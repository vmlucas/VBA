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5055" windowWidth="20730" windowHeight="4680" tabRatio="438"/>
  </bookViews>
  <sheets>
    <sheet name="Briefing_FID" sheetId="57" r:id="rId1"/>
    <sheet name="Briefing_TRAT" sheetId="69" state="hidden" r:id="rId2"/>
    <sheet name="ARBOR" sheetId="65" r:id="rId3"/>
    <sheet name="BENEFICIOS" sheetId="66" state="hidden" r:id="rId4"/>
    <sheet name="PLANOS" sheetId="6" state="hidden" r:id="rId5"/>
    <sheet name="PDVs" sheetId="70" r:id="rId6"/>
  </sheets>
  <definedNames>
    <definedName name="_xlnm._FilterDatabase" localSheetId="3" hidden="1">BENEFICIOS!$A$1:$G$1260</definedName>
    <definedName name="_xlnm._FilterDatabase" localSheetId="0" hidden="1">Briefing_FID!$A$3:$FF$9</definedName>
    <definedName name="_xlnm._FilterDatabase" localSheetId="1" hidden="1">Briefing_TRAT!$A$3:$EZ$9</definedName>
  </definedNames>
  <calcPr calcId="145621"/>
</workbook>
</file>

<file path=xl/calcChain.xml><?xml version="1.0" encoding="utf-8"?>
<calcChain xmlns="http://schemas.openxmlformats.org/spreadsheetml/2006/main">
  <c r="A18" i="69" l="1"/>
  <c r="B18" i="69"/>
  <c r="C18" i="69"/>
  <c r="AP18" i="69"/>
  <c r="AQ18" i="69"/>
  <c r="AR18" i="69"/>
  <c r="AS18" i="69"/>
  <c r="AT18" i="69"/>
  <c r="AU18" i="69"/>
  <c r="AV18" i="69"/>
  <c r="AW18" i="69"/>
  <c r="AX18" i="69"/>
  <c r="AZ18" i="69"/>
  <c r="BA18" i="69"/>
  <c r="BC18" i="69"/>
  <c r="BD18" i="69"/>
  <c r="BE18" i="69"/>
  <c r="BF18" i="69"/>
  <c r="BH18" i="69"/>
  <c r="BI18" i="69"/>
  <c r="BK18" i="69"/>
  <c r="BL18" i="69"/>
  <c r="BN18" i="69"/>
  <c r="BO18" i="69"/>
  <c r="BQ18" i="69"/>
  <c r="BR18" i="69"/>
  <c r="BT18" i="69"/>
  <c r="BU18" i="69"/>
  <c r="BW18" i="69"/>
  <c r="BX18" i="69"/>
  <c r="BZ18" i="69"/>
  <c r="CA18" i="69"/>
  <c r="CC18" i="69"/>
  <c r="CD18" i="69"/>
  <c r="CF18" i="69"/>
  <c r="CG18" i="69"/>
  <c r="CI18" i="69"/>
  <c r="CJ18" i="69"/>
  <c r="CL18" i="69"/>
  <c r="CM18" i="69"/>
  <c r="CO18" i="69"/>
  <c r="CP18" i="69"/>
  <c r="CR18" i="69"/>
  <c r="CS18" i="69"/>
  <c r="CU18" i="69"/>
  <c r="CV18" i="69"/>
  <c r="CX18" i="69"/>
  <c r="CY18" i="69"/>
  <c r="DA18" i="69"/>
  <c r="DB18" i="69"/>
  <c r="DD18" i="69"/>
  <c r="DE18" i="69"/>
  <c r="DG18" i="69"/>
  <c r="DH18" i="69"/>
  <c r="DJ18" i="69"/>
  <c r="DK18" i="69"/>
  <c r="DM18" i="69"/>
  <c r="DN18" i="69"/>
  <c r="DP18" i="69"/>
  <c r="DQ18" i="69"/>
  <c r="DS18" i="69"/>
  <c r="DT18" i="69"/>
  <c r="DV18" i="69"/>
  <c r="DW18" i="69"/>
  <c r="DY18" i="69"/>
  <c r="DZ18" i="69"/>
  <c r="EA18" i="69"/>
  <c r="EB18" i="69"/>
  <c r="EC18" i="69"/>
  <c r="ED18" i="69"/>
  <c r="EE18" i="69"/>
  <c r="EF18" i="69"/>
  <c r="EG18" i="69"/>
  <c r="EH18" i="69"/>
  <c r="EI18" i="69"/>
  <c r="EJ18" i="69"/>
  <c r="EK18" i="69"/>
  <c r="EL18" i="69"/>
  <c r="EM18" i="69"/>
  <c r="EN18" i="69"/>
  <c r="EO18" i="69"/>
  <c r="EQ18" i="69"/>
  <c r="ER18" i="69"/>
  <c r="ET18" i="69"/>
  <c r="EU18" i="69"/>
  <c r="EV18" i="69"/>
  <c r="EW18" i="69"/>
  <c r="EX18" i="69"/>
  <c r="EY18" i="69"/>
  <c r="EZ18" i="69"/>
  <c r="FA18" i="69"/>
  <c r="FB18" i="69"/>
  <c r="FC18" i="69"/>
  <c r="FD18" i="69"/>
  <c r="FE18" i="69"/>
  <c r="FF18" i="69"/>
  <c r="FG18" i="69"/>
  <c r="FH18" i="69"/>
  <c r="FI18" i="69"/>
  <c r="FJ18" i="69"/>
  <c r="FK18" i="69"/>
  <c r="FL18" i="69"/>
  <c r="FM18" i="69"/>
  <c r="FN18" i="69"/>
  <c r="FO18" i="69"/>
  <c r="FP18" i="69"/>
  <c r="FQ18" i="69"/>
  <c r="A19" i="69"/>
  <c r="B19" i="69"/>
  <c r="C19" i="69"/>
  <c r="AP19" i="69"/>
  <c r="AQ19" i="69"/>
  <c r="AR19" i="69"/>
  <c r="AS19" i="69"/>
  <c r="AT19" i="69"/>
  <c r="AU19" i="69"/>
  <c r="AV19" i="69"/>
  <c r="AW19" i="69"/>
  <c r="AX19" i="69"/>
  <c r="AZ19" i="69"/>
  <c r="BA19" i="69"/>
  <c r="BC19" i="69"/>
  <c r="BD19" i="69"/>
  <c r="BE19" i="69"/>
  <c r="BF19" i="69"/>
  <c r="BH19" i="69"/>
  <c r="BI19" i="69"/>
  <c r="BK19" i="69"/>
  <c r="BL19" i="69"/>
  <c r="BN19" i="69"/>
  <c r="BO19" i="69"/>
  <c r="BQ19" i="69"/>
  <c r="BR19" i="69"/>
  <c r="BT19" i="69"/>
  <c r="BU19" i="69"/>
  <c r="BW19" i="69"/>
  <c r="BX19" i="69"/>
  <c r="BZ19" i="69"/>
  <c r="CA19" i="69"/>
  <c r="CC19" i="69"/>
  <c r="CD19" i="69"/>
  <c r="CF19" i="69"/>
  <c r="CG19" i="69"/>
  <c r="CI19" i="69"/>
  <c r="CJ19" i="69"/>
  <c r="CL19" i="69"/>
  <c r="CM19" i="69"/>
  <c r="CO19" i="69"/>
  <c r="CP19" i="69"/>
  <c r="CR19" i="69"/>
  <c r="CS19" i="69"/>
  <c r="CU19" i="69"/>
  <c r="CV19" i="69"/>
  <c r="CX19" i="69"/>
  <c r="CY19" i="69"/>
  <c r="DA19" i="69"/>
  <c r="DB19" i="69"/>
  <c r="DD19" i="69"/>
  <c r="DE19" i="69"/>
  <c r="DG19" i="69"/>
  <c r="DH19" i="69"/>
  <c r="DJ19" i="69"/>
  <c r="DK19" i="69"/>
  <c r="DM19" i="69"/>
  <c r="DN19" i="69"/>
  <c r="DP19" i="69"/>
  <c r="DQ19" i="69"/>
  <c r="DS19" i="69"/>
  <c r="DT19" i="69"/>
  <c r="DV19" i="69"/>
  <c r="DW19" i="69"/>
  <c r="DY19" i="69"/>
  <c r="DZ19" i="69"/>
  <c r="EA19" i="69"/>
  <c r="EB19" i="69"/>
  <c r="EC19" i="69"/>
  <c r="ED19" i="69"/>
  <c r="EE19" i="69"/>
  <c r="EF19" i="69"/>
  <c r="EG19" i="69"/>
  <c r="EH19" i="69"/>
  <c r="EI19" i="69"/>
  <c r="EJ19" i="69"/>
  <c r="EK19" i="69"/>
  <c r="EL19" i="69"/>
  <c r="EM19" i="69"/>
  <c r="EN19" i="69"/>
  <c r="EO19" i="69"/>
  <c r="EQ19" i="69"/>
  <c r="ER19" i="69"/>
  <c r="ET19" i="69"/>
  <c r="EU19" i="69"/>
  <c r="EV19" i="69"/>
  <c r="EW19" i="69"/>
  <c r="EX19" i="69"/>
  <c r="EY19" i="69"/>
  <c r="EZ19" i="69"/>
  <c r="FA19" i="69"/>
  <c r="FB19" i="69"/>
  <c r="FC19" i="69"/>
  <c r="FD19" i="69"/>
  <c r="FE19" i="69"/>
  <c r="FF19" i="69"/>
  <c r="FG19" i="69"/>
  <c r="FH19" i="69"/>
  <c r="FI19" i="69"/>
  <c r="FJ19" i="69"/>
  <c r="FK19" i="69"/>
  <c r="FL19" i="69"/>
  <c r="FM19" i="69"/>
  <c r="FN19" i="69"/>
  <c r="FO19" i="69"/>
  <c r="FP19" i="69"/>
  <c r="FQ19" i="69"/>
  <c r="A20" i="69"/>
  <c r="B20" i="69"/>
  <c r="C20" i="69"/>
  <c r="AP20" i="69"/>
  <c r="AQ20" i="69"/>
  <c r="AR20" i="69"/>
  <c r="AS20" i="69"/>
  <c r="AT20" i="69"/>
  <c r="AU20" i="69"/>
  <c r="AV20" i="69"/>
  <c r="AW20" i="69"/>
  <c r="AX20" i="69"/>
  <c r="AZ20" i="69"/>
  <c r="BA20" i="69"/>
  <c r="BC20" i="69"/>
  <c r="BD20" i="69"/>
  <c r="BE20" i="69"/>
  <c r="BF20" i="69"/>
  <c r="BH20" i="69"/>
  <c r="BI20" i="69"/>
  <c r="BK20" i="69"/>
  <c r="BL20" i="69"/>
  <c r="BN20" i="69"/>
  <c r="BO20" i="69"/>
  <c r="BQ20" i="69"/>
  <c r="BR20" i="69"/>
  <c r="BT20" i="69"/>
  <c r="BU20" i="69"/>
  <c r="BW20" i="69"/>
  <c r="BX20" i="69"/>
  <c r="BZ20" i="69"/>
  <c r="CA20" i="69"/>
  <c r="CC20" i="69"/>
  <c r="CD20" i="69"/>
  <c r="CF20" i="69"/>
  <c r="CG20" i="69"/>
  <c r="CI20" i="69"/>
  <c r="CJ20" i="69"/>
  <c r="CL20" i="69"/>
  <c r="CM20" i="69"/>
  <c r="CO20" i="69"/>
  <c r="CP20" i="69"/>
  <c r="CR20" i="69"/>
  <c r="CS20" i="69"/>
  <c r="CU20" i="69"/>
  <c r="CV20" i="69"/>
  <c r="CX20" i="69"/>
  <c r="CY20" i="69"/>
  <c r="DA20" i="69"/>
  <c r="DB20" i="69"/>
  <c r="DD20" i="69"/>
  <c r="DE20" i="69"/>
  <c r="DG20" i="69"/>
  <c r="DH20" i="69"/>
  <c r="DJ20" i="69"/>
  <c r="DK20" i="69"/>
  <c r="DM20" i="69"/>
  <c r="DN20" i="69"/>
  <c r="DP20" i="69"/>
  <c r="DQ20" i="69"/>
  <c r="DS20" i="69"/>
  <c r="DT20" i="69"/>
  <c r="DV20" i="69"/>
  <c r="DW20" i="69"/>
  <c r="DY20" i="69"/>
  <c r="DZ20" i="69"/>
  <c r="EA20" i="69"/>
  <c r="EB20" i="69"/>
  <c r="EC20" i="69"/>
  <c r="ED20" i="69"/>
  <c r="EE20" i="69"/>
  <c r="EF20" i="69"/>
  <c r="EG20" i="69"/>
  <c r="EH20" i="69"/>
  <c r="EI20" i="69"/>
  <c r="EJ20" i="69"/>
  <c r="EK20" i="69"/>
  <c r="EL20" i="69"/>
  <c r="EM20" i="69"/>
  <c r="EN20" i="69"/>
  <c r="EO20" i="69"/>
  <c r="EQ20" i="69"/>
  <c r="ER20" i="69"/>
  <c r="ET20" i="69"/>
  <c r="EU20" i="69"/>
  <c r="EV20" i="69"/>
  <c r="EW20" i="69"/>
  <c r="EX20" i="69"/>
  <c r="EY20" i="69"/>
  <c r="EZ20" i="69"/>
  <c r="FA20" i="69"/>
  <c r="FB20" i="69"/>
  <c r="FC20" i="69"/>
  <c r="FD20" i="69"/>
  <c r="FE20" i="69"/>
  <c r="FF20" i="69"/>
  <c r="FG20" i="69"/>
  <c r="FH20" i="69"/>
  <c r="FI20" i="69"/>
  <c r="FJ20" i="69"/>
  <c r="FK20" i="69"/>
  <c r="FL20" i="69"/>
  <c r="FM20" i="69"/>
  <c r="FN20" i="69"/>
  <c r="FO20" i="69"/>
  <c r="FP20" i="69"/>
  <c r="FQ20" i="69"/>
  <c r="A21" i="69"/>
  <c r="B21" i="69"/>
  <c r="C21" i="69"/>
  <c r="AP21" i="69"/>
  <c r="AQ21" i="69"/>
  <c r="AR21" i="69"/>
  <c r="AS21" i="69"/>
  <c r="AT21" i="69"/>
  <c r="AU21" i="69"/>
  <c r="AV21" i="69"/>
  <c r="AW21" i="69"/>
  <c r="AX21" i="69"/>
  <c r="AZ21" i="69"/>
  <c r="BA21" i="69"/>
  <c r="BC21" i="69"/>
  <c r="BD21" i="69"/>
  <c r="BE21" i="69"/>
  <c r="BF21" i="69"/>
  <c r="BH21" i="69"/>
  <c r="BI21" i="69"/>
  <c r="BK21" i="69"/>
  <c r="BL21" i="69"/>
  <c r="BN21" i="69"/>
  <c r="BO21" i="69"/>
  <c r="BQ21" i="69"/>
  <c r="BR21" i="69"/>
  <c r="BT21" i="69"/>
  <c r="BU21" i="69"/>
  <c r="BW21" i="69"/>
  <c r="BX21" i="69"/>
  <c r="BZ21" i="69"/>
  <c r="CA21" i="69"/>
  <c r="CC21" i="69"/>
  <c r="CD21" i="69"/>
  <c r="CF21" i="69"/>
  <c r="CG21" i="69"/>
  <c r="CI21" i="69"/>
  <c r="CJ21" i="69"/>
  <c r="CL21" i="69"/>
  <c r="CM21" i="69"/>
  <c r="CO21" i="69"/>
  <c r="CP21" i="69"/>
  <c r="CR21" i="69"/>
  <c r="CS21" i="69"/>
  <c r="CU21" i="69"/>
  <c r="CV21" i="69"/>
  <c r="CX21" i="69"/>
  <c r="CY21" i="69"/>
  <c r="DA21" i="69"/>
  <c r="DB21" i="69"/>
  <c r="DD21" i="69"/>
  <c r="DE21" i="69"/>
  <c r="DG21" i="69"/>
  <c r="DH21" i="69"/>
  <c r="DJ21" i="69"/>
  <c r="DK21" i="69"/>
  <c r="DM21" i="69"/>
  <c r="DN21" i="69"/>
  <c r="DP21" i="69"/>
  <c r="DQ21" i="69"/>
  <c r="DS21" i="69"/>
  <c r="DT21" i="69"/>
  <c r="DV21" i="69"/>
  <c r="DW21" i="69"/>
  <c r="DY21" i="69"/>
  <c r="DZ21" i="69"/>
  <c r="EA21" i="69"/>
  <c r="EB21" i="69"/>
  <c r="EC21" i="69"/>
  <c r="ED21" i="69"/>
  <c r="EE21" i="69"/>
  <c r="EF21" i="69"/>
  <c r="EG21" i="69"/>
  <c r="EH21" i="69"/>
  <c r="EI21" i="69"/>
  <c r="EJ21" i="69"/>
  <c r="EK21" i="69"/>
  <c r="EL21" i="69"/>
  <c r="EM21" i="69"/>
  <c r="EN21" i="69"/>
  <c r="EO21" i="69"/>
  <c r="EQ21" i="69"/>
  <c r="ER21" i="69"/>
  <c r="ET21" i="69"/>
  <c r="EU21" i="69"/>
  <c r="EV21" i="69"/>
  <c r="EW21" i="69"/>
  <c r="EX21" i="69"/>
  <c r="EY21" i="69"/>
  <c r="EZ21" i="69"/>
  <c r="FA21" i="69"/>
  <c r="FB21" i="69"/>
  <c r="FC21" i="69"/>
  <c r="FD21" i="69"/>
  <c r="FE21" i="69"/>
  <c r="FF21" i="69"/>
  <c r="FG21" i="69"/>
  <c r="FH21" i="69"/>
  <c r="FI21" i="69"/>
  <c r="FJ21" i="69"/>
  <c r="FK21" i="69"/>
  <c r="FL21" i="69"/>
  <c r="FM21" i="69"/>
  <c r="FN21" i="69"/>
  <c r="FO21" i="69"/>
  <c r="FP21" i="69"/>
  <c r="FQ21" i="69"/>
  <c r="A22" i="69"/>
  <c r="B22" i="69"/>
  <c r="C22" i="69"/>
  <c r="AP22" i="69"/>
  <c r="AQ22" i="69"/>
  <c r="AR22" i="69"/>
  <c r="AS22" i="69"/>
  <c r="AT22" i="69"/>
  <c r="AU22" i="69"/>
  <c r="AV22" i="69"/>
  <c r="AW22" i="69"/>
  <c r="AX22" i="69"/>
  <c r="AZ22" i="69"/>
  <c r="BA22" i="69"/>
  <c r="BC22" i="69"/>
  <c r="BD22" i="69"/>
  <c r="BE22" i="69"/>
  <c r="BF22" i="69"/>
  <c r="BH22" i="69"/>
  <c r="BI22" i="69"/>
  <c r="BK22" i="69"/>
  <c r="BL22" i="69"/>
  <c r="BN22" i="69"/>
  <c r="BO22" i="69"/>
  <c r="BQ22" i="69"/>
  <c r="BR22" i="69"/>
  <c r="BT22" i="69"/>
  <c r="BU22" i="69"/>
  <c r="BW22" i="69"/>
  <c r="BX22" i="69"/>
  <c r="BZ22" i="69"/>
  <c r="CA22" i="69"/>
  <c r="CC22" i="69"/>
  <c r="CD22" i="69"/>
  <c r="CF22" i="69"/>
  <c r="CG22" i="69"/>
  <c r="CI22" i="69"/>
  <c r="CJ22" i="69"/>
  <c r="CL22" i="69"/>
  <c r="CM22" i="69"/>
  <c r="CO22" i="69"/>
  <c r="CP22" i="69"/>
  <c r="CR22" i="69"/>
  <c r="CS22" i="69"/>
  <c r="CU22" i="69"/>
  <c r="CV22" i="69"/>
  <c r="CX22" i="69"/>
  <c r="CY22" i="69"/>
  <c r="DA22" i="69"/>
  <c r="DB22" i="69"/>
  <c r="DD22" i="69"/>
  <c r="DE22" i="69"/>
  <c r="DG22" i="69"/>
  <c r="DH22" i="69"/>
  <c r="DJ22" i="69"/>
  <c r="DK22" i="69"/>
  <c r="DM22" i="69"/>
  <c r="DN22" i="69"/>
  <c r="DP22" i="69"/>
  <c r="DQ22" i="69"/>
  <c r="DS22" i="69"/>
  <c r="DT22" i="69"/>
  <c r="DV22" i="69"/>
  <c r="DW22" i="69"/>
  <c r="DY22" i="69"/>
  <c r="DZ22" i="69"/>
  <c r="EA22" i="69"/>
  <c r="EB22" i="69"/>
  <c r="EC22" i="69"/>
  <c r="ED22" i="69"/>
  <c r="EE22" i="69"/>
  <c r="EF22" i="69"/>
  <c r="EG22" i="69"/>
  <c r="EH22" i="69"/>
  <c r="EI22" i="69"/>
  <c r="EJ22" i="69"/>
  <c r="EK22" i="69"/>
  <c r="EL22" i="69"/>
  <c r="EM22" i="69"/>
  <c r="EN22" i="69"/>
  <c r="EO22" i="69"/>
  <c r="EQ22" i="69"/>
  <c r="ER22" i="69"/>
  <c r="ET22" i="69"/>
  <c r="EU22" i="69"/>
  <c r="EV22" i="69"/>
  <c r="EW22" i="69"/>
  <c r="EX22" i="69"/>
  <c r="EY22" i="69"/>
  <c r="EZ22" i="69"/>
  <c r="FA22" i="69"/>
  <c r="FB22" i="69"/>
  <c r="FC22" i="69"/>
  <c r="FD22" i="69"/>
  <c r="FE22" i="69"/>
  <c r="FF22" i="69"/>
  <c r="FG22" i="69"/>
  <c r="FH22" i="69"/>
  <c r="FI22" i="69"/>
  <c r="FJ22" i="69"/>
  <c r="FK22" i="69"/>
  <c r="FL22" i="69"/>
  <c r="FM22" i="69"/>
  <c r="FN22" i="69"/>
  <c r="FO22" i="69"/>
  <c r="FP22" i="69"/>
  <c r="FQ22" i="69"/>
  <c r="A23" i="69"/>
  <c r="B23" i="69"/>
  <c r="C23" i="69"/>
  <c r="AP23" i="69"/>
  <c r="AQ23" i="69"/>
  <c r="AR23" i="69"/>
  <c r="AS23" i="69"/>
  <c r="AT23" i="69"/>
  <c r="AU23" i="69"/>
  <c r="AV23" i="69"/>
  <c r="AW23" i="69"/>
  <c r="AX23" i="69"/>
  <c r="AZ23" i="69"/>
  <c r="BA23" i="69"/>
  <c r="BC23" i="69"/>
  <c r="BD23" i="69"/>
  <c r="BE23" i="69"/>
  <c r="BF23" i="69"/>
  <c r="BH23" i="69"/>
  <c r="BI23" i="69"/>
  <c r="BK23" i="69"/>
  <c r="BL23" i="69"/>
  <c r="BN23" i="69"/>
  <c r="BO23" i="69"/>
  <c r="BQ23" i="69"/>
  <c r="BR23" i="69"/>
  <c r="BT23" i="69"/>
  <c r="BU23" i="69"/>
  <c r="BW23" i="69"/>
  <c r="BX23" i="69"/>
  <c r="BZ23" i="69"/>
  <c r="CA23" i="69"/>
  <c r="CC23" i="69"/>
  <c r="CD23" i="69"/>
  <c r="CF23" i="69"/>
  <c r="CG23" i="69"/>
  <c r="CI23" i="69"/>
  <c r="CJ23" i="69"/>
  <c r="CL23" i="69"/>
  <c r="CM23" i="69"/>
  <c r="CO23" i="69"/>
  <c r="CP23" i="69"/>
  <c r="CR23" i="69"/>
  <c r="CS23" i="69"/>
  <c r="CU23" i="69"/>
  <c r="CV23" i="69"/>
  <c r="CX23" i="69"/>
  <c r="CY23" i="69"/>
  <c r="DA23" i="69"/>
  <c r="DB23" i="69"/>
  <c r="DD23" i="69"/>
  <c r="DE23" i="69"/>
  <c r="DG23" i="69"/>
  <c r="DH23" i="69"/>
  <c r="DJ23" i="69"/>
  <c r="DK23" i="69"/>
  <c r="DM23" i="69"/>
  <c r="DN23" i="69"/>
  <c r="DP23" i="69"/>
  <c r="DQ23" i="69"/>
  <c r="DS23" i="69"/>
  <c r="DT23" i="69"/>
  <c r="DV23" i="69"/>
  <c r="DW23" i="69"/>
  <c r="DY23" i="69"/>
  <c r="DZ23" i="69"/>
  <c r="EA23" i="69"/>
  <c r="EB23" i="69"/>
  <c r="EC23" i="69"/>
  <c r="ED23" i="69"/>
  <c r="EE23" i="69"/>
  <c r="EF23" i="69"/>
  <c r="EG23" i="69"/>
  <c r="EH23" i="69"/>
  <c r="EI23" i="69"/>
  <c r="EJ23" i="69"/>
  <c r="EK23" i="69"/>
  <c r="EL23" i="69"/>
  <c r="EM23" i="69"/>
  <c r="EN23" i="69"/>
  <c r="EO23" i="69"/>
  <c r="EQ23" i="69"/>
  <c r="ER23" i="69"/>
  <c r="ET23" i="69"/>
  <c r="EU23" i="69"/>
  <c r="EV23" i="69"/>
  <c r="EW23" i="69"/>
  <c r="EX23" i="69"/>
  <c r="EY23" i="69"/>
  <c r="EZ23" i="69"/>
  <c r="FA23" i="69"/>
  <c r="FB23" i="69"/>
  <c r="FC23" i="69"/>
  <c r="FD23" i="69"/>
  <c r="FE23" i="69"/>
  <c r="FF23" i="69"/>
  <c r="FG23" i="69"/>
  <c r="FH23" i="69"/>
  <c r="FI23" i="69"/>
  <c r="FJ23" i="69"/>
  <c r="FK23" i="69"/>
  <c r="FL23" i="69"/>
  <c r="FM23" i="69"/>
  <c r="FN23" i="69"/>
  <c r="FO23" i="69"/>
  <c r="FP23" i="69"/>
  <c r="FQ23" i="69"/>
  <c r="A24" i="69"/>
  <c r="B24" i="69"/>
  <c r="C24" i="69"/>
  <c r="AP24" i="69"/>
  <c r="AQ24" i="69"/>
  <c r="AR24" i="69"/>
  <c r="AS24" i="69"/>
  <c r="AT24" i="69"/>
  <c r="AU24" i="69"/>
  <c r="AV24" i="69"/>
  <c r="AW24" i="69"/>
  <c r="AX24" i="69"/>
  <c r="AZ24" i="69"/>
  <c r="BA24" i="69"/>
  <c r="BC24" i="69"/>
  <c r="BD24" i="69"/>
  <c r="BE24" i="69"/>
  <c r="BF24" i="69"/>
  <c r="BH24" i="69"/>
  <c r="BI24" i="69"/>
  <c r="BK24" i="69"/>
  <c r="BL24" i="69"/>
  <c r="BN24" i="69"/>
  <c r="BO24" i="69"/>
  <c r="BQ24" i="69"/>
  <c r="BR24" i="69"/>
  <c r="BT24" i="69"/>
  <c r="BU24" i="69"/>
  <c r="BW24" i="69"/>
  <c r="BX24" i="69"/>
  <c r="BZ24" i="69"/>
  <c r="CA24" i="69"/>
  <c r="CC24" i="69"/>
  <c r="CD24" i="69"/>
  <c r="CF24" i="69"/>
  <c r="CG24" i="69"/>
  <c r="CI24" i="69"/>
  <c r="CJ24" i="69"/>
  <c r="CL24" i="69"/>
  <c r="CM24" i="69"/>
  <c r="CO24" i="69"/>
  <c r="CP24" i="69"/>
  <c r="CR24" i="69"/>
  <c r="CS24" i="69"/>
  <c r="CU24" i="69"/>
  <c r="CV24" i="69"/>
  <c r="CX24" i="69"/>
  <c r="CY24" i="69"/>
  <c r="DA24" i="69"/>
  <c r="DB24" i="69"/>
  <c r="DD24" i="69"/>
  <c r="DE24" i="69"/>
  <c r="DG24" i="69"/>
  <c r="DH24" i="69"/>
  <c r="DJ24" i="69"/>
  <c r="DK24" i="69"/>
  <c r="DM24" i="69"/>
  <c r="DN24" i="69"/>
  <c r="DP24" i="69"/>
  <c r="DQ24" i="69"/>
  <c r="DS24" i="69"/>
  <c r="DT24" i="69"/>
  <c r="DV24" i="69"/>
  <c r="DW24" i="69"/>
  <c r="DY24" i="69"/>
  <c r="DZ24" i="69"/>
  <c r="EA24" i="69"/>
  <c r="EB24" i="69"/>
  <c r="EC24" i="69"/>
  <c r="ED24" i="69"/>
  <c r="EE24" i="69"/>
  <c r="EF24" i="69"/>
  <c r="EG24" i="69"/>
  <c r="EH24" i="69"/>
  <c r="EI24" i="69"/>
  <c r="EJ24" i="69"/>
  <c r="EK24" i="69"/>
  <c r="EL24" i="69"/>
  <c r="EM24" i="69"/>
  <c r="EN24" i="69"/>
  <c r="EO24" i="69"/>
  <c r="EQ24" i="69"/>
  <c r="ER24" i="69"/>
  <c r="ET24" i="69"/>
  <c r="EU24" i="69"/>
  <c r="EV24" i="69"/>
  <c r="EW24" i="69"/>
  <c r="EX24" i="69"/>
  <c r="EY24" i="69"/>
  <c r="EZ24" i="69"/>
  <c r="FA24" i="69"/>
  <c r="FB24" i="69"/>
  <c r="FC24" i="69"/>
  <c r="FD24" i="69"/>
  <c r="FE24" i="69"/>
  <c r="FF24" i="69"/>
  <c r="FG24" i="69"/>
  <c r="FH24" i="69"/>
  <c r="FI24" i="69"/>
  <c r="FJ24" i="69"/>
  <c r="FK24" i="69"/>
  <c r="FL24" i="69"/>
  <c r="FM24" i="69"/>
  <c r="FN24" i="69"/>
  <c r="FO24" i="69"/>
  <c r="FP24" i="69"/>
  <c r="FQ24" i="69"/>
  <c r="A25" i="69"/>
  <c r="B25" i="69"/>
  <c r="C25" i="69"/>
  <c r="AP25" i="69"/>
  <c r="AQ25" i="69"/>
  <c r="AR25" i="69"/>
  <c r="AS25" i="69"/>
  <c r="AT25" i="69"/>
  <c r="AU25" i="69"/>
  <c r="AV25" i="69"/>
  <c r="AW25" i="69"/>
  <c r="AX25" i="69"/>
  <c r="AZ25" i="69"/>
  <c r="BA25" i="69"/>
  <c r="BC25" i="69"/>
  <c r="BD25" i="69"/>
  <c r="BE25" i="69"/>
  <c r="BF25" i="69"/>
  <c r="BH25" i="69"/>
  <c r="BI25" i="69"/>
  <c r="BK25" i="69"/>
  <c r="BL25" i="69"/>
  <c r="BN25" i="69"/>
  <c r="BO25" i="69"/>
  <c r="BQ25" i="69"/>
  <c r="BR25" i="69"/>
  <c r="BT25" i="69"/>
  <c r="BU25" i="69"/>
  <c r="BW25" i="69"/>
  <c r="BX25" i="69"/>
  <c r="BZ25" i="69"/>
  <c r="CA25" i="69"/>
  <c r="CC25" i="69"/>
  <c r="CD25" i="69"/>
  <c r="CF25" i="69"/>
  <c r="CG25" i="69"/>
  <c r="CI25" i="69"/>
  <c r="CJ25" i="69"/>
  <c r="CL25" i="69"/>
  <c r="CM25" i="69"/>
  <c r="CO25" i="69"/>
  <c r="CP25" i="69"/>
  <c r="CR25" i="69"/>
  <c r="CS25" i="69"/>
  <c r="CU25" i="69"/>
  <c r="CV25" i="69"/>
  <c r="CX25" i="69"/>
  <c r="CY25" i="69"/>
  <c r="DA25" i="69"/>
  <c r="DB25" i="69"/>
  <c r="DD25" i="69"/>
  <c r="DE25" i="69"/>
  <c r="DG25" i="69"/>
  <c r="DH25" i="69"/>
  <c r="DJ25" i="69"/>
  <c r="DK25" i="69"/>
  <c r="DM25" i="69"/>
  <c r="DN25" i="69"/>
  <c r="DP25" i="69"/>
  <c r="DQ25" i="69"/>
  <c r="DS25" i="69"/>
  <c r="DT25" i="69"/>
  <c r="DV25" i="69"/>
  <c r="DW25" i="69"/>
  <c r="DY25" i="69"/>
  <c r="DZ25" i="69"/>
  <c r="EA25" i="69"/>
  <c r="EB25" i="69"/>
  <c r="EC25" i="69"/>
  <c r="ED25" i="69"/>
  <c r="EE25" i="69"/>
  <c r="EF25" i="69"/>
  <c r="EG25" i="69"/>
  <c r="EH25" i="69"/>
  <c r="EI25" i="69"/>
  <c r="EJ25" i="69"/>
  <c r="EK25" i="69"/>
  <c r="EL25" i="69"/>
  <c r="EM25" i="69"/>
  <c r="EN25" i="69"/>
  <c r="EO25" i="69"/>
  <c r="EQ25" i="69"/>
  <c r="ER25" i="69"/>
  <c r="ET25" i="69"/>
  <c r="EU25" i="69"/>
  <c r="EV25" i="69"/>
  <c r="EW25" i="69"/>
  <c r="EX25" i="69"/>
  <c r="EY25" i="69"/>
  <c r="EZ25" i="69"/>
  <c r="FA25" i="69"/>
  <c r="FB25" i="69"/>
  <c r="FC25" i="69"/>
  <c r="FD25" i="69"/>
  <c r="FE25" i="69"/>
  <c r="FF25" i="69"/>
  <c r="FG25" i="69"/>
  <c r="FH25" i="69"/>
  <c r="FI25" i="69"/>
  <c r="FJ25" i="69"/>
  <c r="FK25" i="69"/>
  <c r="FL25" i="69"/>
  <c r="FM25" i="69"/>
  <c r="FN25" i="69"/>
  <c r="FO25" i="69"/>
  <c r="FP25" i="69"/>
  <c r="FQ25" i="69"/>
  <c r="A26" i="69"/>
  <c r="B26" i="69"/>
  <c r="C26" i="69"/>
  <c r="AP26" i="69"/>
  <c r="AQ26" i="69"/>
  <c r="AR26" i="69"/>
  <c r="AS26" i="69"/>
  <c r="AT26" i="69"/>
  <c r="AU26" i="69"/>
  <c r="AV26" i="69"/>
  <c r="AW26" i="69"/>
  <c r="AX26" i="69"/>
  <c r="AZ26" i="69"/>
  <c r="BA26" i="69"/>
  <c r="BC26" i="69"/>
  <c r="BD26" i="69"/>
  <c r="BE26" i="69"/>
  <c r="BF26" i="69"/>
  <c r="BH26" i="69"/>
  <c r="BI26" i="69"/>
  <c r="BK26" i="69"/>
  <c r="BL26" i="69"/>
  <c r="BN26" i="69"/>
  <c r="BO26" i="69"/>
  <c r="BQ26" i="69"/>
  <c r="BR26" i="69"/>
  <c r="BT26" i="69"/>
  <c r="BU26" i="69"/>
  <c r="BW26" i="69"/>
  <c r="BX26" i="69"/>
  <c r="BZ26" i="69"/>
  <c r="CA26" i="69"/>
  <c r="CC26" i="69"/>
  <c r="CD26" i="69"/>
  <c r="CF26" i="69"/>
  <c r="CG26" i="69"/>
  <c r="CI26" i="69"/>
  <c r="CJ26" i="69"/>
  <c r="CL26" i="69"/>
  <c r="CM26" i="69"/>
  <c r="CO26" i="69"/>
  <c r="CP26" i="69"/>
  <c r="CR26" i="69"/>
  <c r="CS26" i="69"/>
  <c r="CU26" i="69"/>
  <c r="CV26" i="69"/>
  <c r="CX26" i="69"/>
  <c r="CY26" i="69"/>
  <c r="DA26" i="69"/>
  <c r="DB26" i="69"/>
  <c r="DD26" i="69"/>
  <c r="DE26" i="69"/>
  <c r="DG26" i="69"/>
  <c r="DH26" i="69"/>
  <c r="DJ26" i="69"/>
  <c r="DK26" i="69"/>
  <c r="DM26" i="69"/>
  <c r="DN26" i="69"/>
  <c r="DP26" i="69"/>
  <c r="DQ26" i="69"/>
  <c r="DS26" i="69"/>
  <c r="DT26" i="69"/>
  <c r="DV26" i="69"/>
  <c r="DW26" i="69"/>
  <c r="DY26" i="69"/>
  <c r="DZ26" i="69"/>
  <c r="EA26" i="69"/>
  <c r="EB26" i="69"/>
  <c r="EC26" i="69"/>
  <c r="ED26" i="69"/>
  <c r="EE26" i="69"/>
  <c r="EF26" i="69"/>
  <c r="EG26" i="69"/>
  <c r="EH26" i="69"/>
  <c r="EI26" i="69"/>
  <c r="EJ26" i="69"/>
  <c r="EK26" i="69"/>
  <c r="EL26" i="69"/>
  <c r="EM26" i="69"/>
  <c r="EN26" i="69"/>
  <c r="EO26" i="69"/>
  <c r="EQ26" i="69"/>
  <c r="ER26" i="69"/>
  <c r="ET26" i="69"/>
  <c r="EU26" i="69"/>
  <c r="EV26" i="69"/>
  <c r="EW26" i="69"/>
  <c r="EX26" i="69"/>
  <c r="EY26" i="69"/>
  <c r="EZ26" i="69"/>
  <c r="FA26" i="69"/>
  <c r="FB26" i="69"/>
  <c r="FC26" i="69"/>
  <c r="FD26" i="69"/>
  <c r="FE26" i="69"/>
  <c r="FF26" i="69"/>
  <c r="FG26" i="69"/>
  <c r="FH26" i="69"/>
  <c r="FI26" i="69"/>
  <c r="FJ26" i="69"/>
  <c r="FK26" i="69"/>
  <c r="FL26" i="69"/>
  <c r="FM26" i="69"/>
  <c r="FN26" i="69"/>
  <c r="FO26" i="69"/>
  <c r="FP26" i="69"/>
  <c r="FQ26" i="69"/>
  <c r="A27" i="69"/>
  <c r="B27" i="69"/>
  <c r="C27" i="69"/>
  <c r="AP27" i="69"/>
  <c r="AQ27" i="69"/>
  <c r="AR27" i="69"/>
  <c r="AS27" i="69"/>
  <c r="AT27" i="69"/>
  <c r="AU27" i="69"/>
  <c r="AV27" i="69"/>
  <c r="AW27" i="69"/>
  <c r="AX27" i="69"/>
  <c r="AZ27" i="69"/>
  <c r="BA27" i="69"/>
  <c r="BC27" i="69"/>
  <c r="BD27" i="69"/>
  <c r="BE27" i="69"/>
  <c r="BF27" i="69"/>
  <c r="BH27" i="69"/>
  <c r="BI27" i="69"/>
  <c r="BK27" i="69"/>
  <c r="BL27" i="69"/>
  <c r="BN27" i="69"/>
  <c r="BO27" i="69"/>
  <c r="BQ27" i="69"/>
  <c r="BR27" i="69"/>
  <c r="BT27" i="69"/>
  <c r="BU27" i="69"/>
  <c r="BW27" i="69"/>
  <c r="BX27" i="69"/>
  <c r="BZ27" i="69"/>
  <c r="CA27" i="69"/>
  <c r="CC27" i="69"/>
  <c r="CD27" i="69"/>
  <c r="CF27" i="69"/>
  <c r="CG27" i="69"/>
  <c r="CI27" i="69"/>
  <c r="CJ27" i="69"/>
  <c r="CL27" i="69"/>
  <c r="CM27" i="69"/>
  <c r="CO27" i="69"/>
  <c r="CP27" i="69"/>
  <c r="CR27" i="69"/>
  <c r="CS27" i="69"/>
  <c r="CU27" i="69"/>
  <c r="CV27" i="69"/>
  <c r="CX27" i="69"/>
  <c r="CY27" i="69"/>
  <c r="DA27" i="69"/>
  <c r="DB27" i="69"/>
  <c r="DD27" i="69"/>
  <c r="DE27" i="69"/>
  <c r="DG27" i="69"/>
  <c r="DH27" i="69"/>
  <c r="DJ27" i="69"/>
  <c r="DK27" i="69"/>
  <c r="DM27" i="69"/>
  <c r="DN27" i="69"/>
  <c r="DP27" i="69"/>
  <c r="DQ27" i="69"/>
  <c r="DS27" i="69"/>
  <c r="DT27" i="69"/>
  <c r="DV27" i="69"/>
  <c r="DW27" i="69"/>
  <c r="DY27" i="69"/>
  <c r="DZ27" i="69"/>
  <c r="EA27" i="69"/>
  <c r="EB27" i="69"/>
  <c r="EC27" i="69"/>
  <c r="ED27" i="69"/>
  <c r="EE27" i="69"/>
  <c r="EF27" i="69"/>
  <c r="EG27" i="69"/>
  <c r="EH27" i="69"/>
  <c r="EI27" i="69"/>
  <c r="EJ27" i="69"/>
  <c r="EK27" i="69"/>
  <c r="EL27" i="69"/>
  <c r="EM27" i="69"/>
  <c r="EN27" i="69"/>
  <c r="EO27" i="69"/>
  <c r="EQ27" i="69"/>
  <c r="ER27" i="69"/>
  <c r="ET27" i="69"/>
  <c r="EU27" i="69"/>
  <c r="EV27" i="69"/>
  <c r="EW27" i="69"/>
  <c r="EX27" i="69"/>
  <c r="EY27" i="69"/>
  <c r="EZ27" i="69"/>
  <c r="FA27" i="69"/>
  <c r="FB27" i="69"/>
  <c r="FC27" i="69"/>
  <c r="FD27" i="69"/>
  <c r="FE27" i="69"/>
  <c r="FF27" i="69"/>
  <c r="FG27" i="69"/>
  <c r="FH27" i="69"/>
  <c r="FI27" i="69"/>
  <c r="FJ27" i="69"/>
  <c r="FK27" i="69"/>
  <c r="FL27" i="69"/>
  <c r="FM27" i="69"/>
  <c r="FN27" i="69"/>
  <c r="FO27" i="69"/>
  <c r="FP27" i="69"/>
  <c r="FQ27" i="69"/>
  <c r="A28" i="69"/>
  <c r="B28" i="69"/>
  <c r="C28" i="69"/>
  <c r="AP28" i="69"/>
  <c r="AQ28" i="69"/>
  <c r="AR28" i="69"/>
  <c r="AS28" i="69"/>
  <c r="AT28" i="69"/>
  <c r="AU28" i="69"/>
  <c r="AV28" i="69"/>
  <c r="AW28" i="69"/>
  <c r="AX28" i="69"/>
  <c r="AZ28" i="69"/>
  <c r="BA28" i="69"/>
  <c r="BC28" i="69"/>
  <c r="BD28" i="69"/>
  <c r="BE28" i="69"/>
  <c r="BF28" i="69"/>
  <c r="BH28" i="69"/>
  <c r="BI28" i="69"/>
  <c r="BK28" i="69"/>
  <c r="BL28" i="69"/>
  <c r="BN28" i="69"/>
  <c r="BO28" i="69"/>
  <c r="BQ28" i="69"/>
  <c r="BR28" i="69"/>
  <c r="BT28" i="69"/>
  <c r="BU28" i="69"/>
  <c r="BW28" i="69"/>
  <c r="BX28" i="69"/>
  <c r="BZ28" i="69"/>
  <c r="CA28" i="69"/>
  <c r="CC28" i="69"/>
  <c r="CD28" i="69"/>
  <c r="CF28" i="69"/>
  <c r="CG28" i="69"/>
  <c r="CI28" i="69"/>
  <c r="CJ28" i="69"/>
  <c r="CL28" i="69"/>
  <c r="CM28" i="69"/>
  <c r="CO28" i="69"/>
  <c r="CP28" i="69"/>
  <c r="CR28" i="69"/>
  <c r="CS28" i="69"/>
  <c r="CU28" i="69"/>
  <c r="CV28" i="69"/>
  <c r="CX28" i="69"/>
  <c r="CY28" i="69"/>
  <c r="DA28" i="69"/>
  <c r="DB28" i="69"/>
  <c r="DD28" i="69"/>
  <c r="DE28" i="69"/>
  <c r="DG28" i="69"/>
  <c r="DH28" i="69"/>
  <c r="DJ28" i="69"/>
  <c r="DK28" i="69"/>
  <c r="DM28" i="69"/>
  <c r="DN28" i="69"/>
  <c r="DP28" i="69"/>
  <c r="DQ28" i="69"/>
  <c r="DS28" i="69"/>
  <c r="DT28" i="69"/>
  <c r="DV28" i="69"/>
  <c r="DW28" i="69"/>
  <c r="DY28" i="69"/>
  <c r="DZ28" i="69"/>
  <c r="EA28" i="69"/>
  <c r="EB28" i="69"/>
  <c r="EC28" i="69"/>
  <c r="ED28" i="69"/>
  <c r="EE28" i="69"/>
  <c r="EF28" i="69"/>
  <c r="EG28" i="69"/>
  <c r="EH28" i="69"/>
  <c r="EI28" i="69"/>
  <c r="EJ28" i="69"/>
  <c r="EK28" i="69"/>
  <c r="EL28" i="69"/>
  <c r="EM28" i="69"/>
  <c r="EN28" i="69"/>
  <c r="EO28" i="69"/>
  <c r="EQ28" i="69"/>
  <c r="ER28" i="69"/>
  <c r="ET28" i="69"/>
  <c r="EU28" i="69"/>
  <c r="EV28" i="69"/>
  <c r="EW28" i="69"/>
  <c r="EX28" i="69"/>
  <c r="EY28" i="69"/>
  <c r="EZ28" i="69"/>
  <c r="FA28" i="69"/>
  <c r="FB28" i="69"/>
  <c r="FC28" i="69"/>
  <c r="FD28" i="69"/>
  <c r="FE28" i="69"/>
  <c r="FF28" i="69"/>
  <c r="FG28" i="69"/>
  <c r="FH28" i="69"/>
  <c r="FI28" i="69"/>
  <c r="FJ28" i="69"/>
  <c r="FK28" i="69"/>
  <c r="FL28" i="69"/>
  <c r="FM28" i="69"/>
  <c r="FN28" i="69"/>
  <c r="FO28" i="69"/>
  <c r="FP28" i="69"/>
  <c r="FQ28" i="69"/>
  <c r="A29" i="69"/>
  <c r="B29" i="69"/>
  <c r="C29" i="69"/>
  <c r="AP29" i="69"/>
  <c r="AQ29" i="69"/>
  <c r="AR29" i="69"/>
  <c r="AS29" i="69"/>
  <c r="AT29" i="69"/>
  <c r="AU29" i="69"/>
  <c r="AV29" i="69"/>
  <c r="AW29" i="69"/>
  <c r="AX29" i="69"/>
  <c r="AZ29" i="69"/>
  <c r="BA29" i="69"/>
  <c r="BC29" i="69"/>
  <c r="BD29" i="69"/>
  <c r="BE29" i="69"/>
  <c r="BF29" i="69"/>
  <c r="BH29" i="69"/>
  <c r="BI29" i="69"/>
  <c r="BK29" i="69"/>
  <c r="BL29" i="69"/>
  <c r="BN29" i="69"/>
  <c r="BO29" i="69"/>
  <c r="BQ29" i="69"/>
  <c r="BR29" i="69"/>
  <c r="BT29" i="69"/>
  <c r="BU29" i="69"/>
  <c r="BW29" i="69"/>
  <c r="BX29" i="69"/>
  <c r="BZ29" i="69"/>
  <c r="CA29" i="69"/>
  <c r="CC29" i="69"/>
  <c r="CD29" i="69"/>
  <c r="CF29" i="69"/>
  <c r="CG29" i="69"/>
  <c r="CI29" i="69"/>
  <c r="CJ29" i="69"/>
  <c r="CL29" i="69"/>
  <c r="CM29" i="69"/>
  <c r="CO29" i="69"/>
  <c r="CP29" i="69"/>
  <c r="CR29" i="69"/>
  <c r="CS29" i="69"/>
  <c r="CU29" i="69"/>
  <c r="CV29" i="69"/>
  <c r="CX29" i="69"/>
  <c r="CY29" i="69"/>
  <c r="DA29" i="69"/>
  <c r="DB29" i="69"/>
  <c r="DD29" i="69"/>
  <c r="DE29" i="69"/>
  <c r="DG29" i="69"/>
  <c r="DH29" i="69"/>
  <c r="DJ29" i="69"/>
  <c r="DK29" i="69"/>
  <c r="DM29" i="69"/>
  <c r="DN29" i="69"/>
  <c r="DP29" i="69"/>
  <c r="DQ29" i="69"/>
  <c r="DS29" i="69"/>
  <c r="DT29" i="69"/>
  <c r="DV29" i="69"/>
  <c r="DW29" i="69"/>
  <c r="DY29" i="69"/>
  <c r="DZ29" i="69"/>
  <c r="EA29" i="69"/>
  <c r="EB29" i="69"/>
  <c r="EC29" i="69"/>
  <c r="ED29" i="69"/>
  <c r="EE29" i="69"/>
  <c r="EF29" i="69"/>
  <c r="EG29" i="69"/>
  <c r="EH29" i="69"/>
  <c r="EI29" i="69"/>
  <c r="EJ29" i="69"/>
  <c r="EK29" i="69"/>
  <c r="EL29" i="69"/>
  <c r="EM29" i="69"/>
  <c r="EN29" i="69"/>
  <c r="EO29" i="69"/>
  <c r="EQ29" i="69"/>
  <c r="ER29" i="69"/>
  <c r="ET29" i="69"/>
  <c r="EU29" i="69"/>
  <c r="EV29" i="69"/>
  <c r="EW29" i="69"/>
  <c r="EX29" i="69"/>
  <c r="EY29" i="69"/>
  <c r="EZ29" i="69"/>
  <c r="FA29" i="69"/>
  <c r="FB29" i="69"/>
  <c r="FC29" i="69"/>
  <c r="FD29" i="69"/>
  <c r="FE29" i="69"/>
  <c r="FF29" i="69"/>
  <c r="FG29" i="69"/>
  <c r="FH29" i="69"/>
  <c r="FI29" i="69"/>
  <c r="FJ29" i="69"/>
  <c r="FK29" i="69"/>
  <c r="FL29" i="69"/>
  <c r="FM29" i="69"/>
  <c r="FN29" i="69"/>
  <c r="FO29" i="69"/>
  <c r="FP29" i="69"/>
  <c r="FQ29" i="69"/>
  <c r="A30" i="69"/>
  <c r="B30" i="69"/>
  <c r="C30" i="69"/>
  <c r="AP30" i="69"/>
  <c r="AQ30" i="69"/>
  <c r="AR30" i="69"/>
  <c r="AS30" i="69"/>
  <c r="AT30" i="69"/>
  <c r="AU30" i="69"/>
  <c r="AV30" i="69"/>
  <c r="AW30" i="69"/>
  <c r="AX30" i="69"/>
  <c r="AZ30" i="69"/>
  <c r="BA30" i="69"/>
  <c r="BC30" i="69"/>
  <c r="BD30" i="69"/>
  <c r="BE30" i="69"/>
  <c r="BF30" i="69"/>
  <c r="BH30" i="69"/>
  <c r="BI30" i="69"/>
  <c r="BK30" i="69"/>
  <c r="BL30" i="69"/>
  <c r="BN30" i="69"/>
  <c r="BO30" i="69"/>
  <c r="BQ30" i="69"/>
  <c r="BR30" i="69"/>
  <c r="BT30" i="69"/>
  <c r="BU30" i="69"/>
  <c r="BW30" i="69"/>
  <c r="BX30" i="69"/>
  <c r="BZ30" i="69"/>
  <c r="CA30" i="69"/>
  <c r="CC30" i="69"/>
  <c r="CD30" i="69"/>
  <c r="CF30" i="69"/>
  <c r="CG30" i="69"/>
  <c r="CI30" i="69"/>
  <c r="CJ30" i="69"/>
  <c r="CL30" i="69"/>
  <c r="CM30" i="69"/>
  <c r="CO30" i="69"/>
  <c r="CP30" i="69"/>
  <c r="CR30" i="69"/>
  <c r="CS30" i="69"/>
  <c r="CU30" i="69"/>
  <c r="CV30" i="69"/>
  <c r="CX30" i="69"/>
  <c r="CY30" i="69"/>
  <c r="DA30" i="69"/>
  <c r="DB30" i="69"/>
  <c r="DD30" i="69"/>
  <c r="DE30" i="69"/>
  <c r="DG30" i="69"/>
  <c r="DH30" i="69"/>
  <c r="DJ30" i="69"/>
  <c r="DK30" i="69"/>
  <c r="DM30" i="69"/>
  <c r="DN30" i="69"/>
  <c r="DP30" i="69"/>
  <c r="DQ30" i="69"/>
  <c r="DS30" i="69"/>
  <c r="DT30" i="69"/>
  <c r="DV30" i="69"/>
  <c r="DW30" i="69"/>
  <c r="DY30" i="69"/>
  <c r="DZ30" i="69"/>
  <c r="EA30" i="69"/>
  <c r="EB30" i="69"/>
  <c r="EC30" i="69"/>
  <c r="ED30" i="69"/>
  <c r="EE30" i="69"/>
  <c r="EF30" i="69"/>
  <c r="EG30" i="69"/>
  <c r="EH30" i="69"/>
  <c r="EI30" i="69"/>
  <c r="EJ30" i="69"/>
  <c r="EK30" i="69"/>
  <c r="EL30" i="69"/>
  <c r="EM30" i="69"/>
  <c r="EN30" i="69"/>
  <c r="EO30" i="69"/>
  <c r="EQ30" i="69"/>
  <c r="ER30" i="69"/>
  <c r="ET30" i="69"/>
  <c r="EU30" i="69"/>
  <c r="EV30" i="69"/>
  <c r="EW30" i="69"/>
  <c r="EX30" i="69"/>
  <c r="EY30" i="69"/>
  <c r="EZ30" i="69"/>
  <c r="FA30" i="69"/>
  <c r="FB30" i="69"/>
  <c r="FC30" i="69"/>
  <c r="FD30" i="69"/>
  <c r="FE30" i="69"/>
  <c r="FF30" i="69"/>
  <c r="FG30" i="69"/>
  <c r="FH30" i="69"/>
  <c r="FI30" i="69"/>
  <c r="FJ30" i="69"/>
  <c r="FK30" i="69"/>
  <c r="FL30" i="69"/>
  <c r="FM30" i="69"/>
  <c r="FN30" i="69"/>
  <c r="FO30" i="69"/>
  <c r="FP30" i="69"/>
  <c r="FQ30" i="69"/>
  <c r="A31" i="69"/>
  <c r="B31" i="69"/>
  <c r="C31" i="69"/>
  <c r="AP31" i="69"/>
  <c r="AQ31" i="69"/>
  <c r="AR31" i="69"/>
  <c r="AS31" i="69"/>
  <c r="AT31" i="69"/>
  <c r="AU31" i="69"/>
  <c r="AV31" i="69"/>
  <c r="AW31" i="69"/>
  <c r="AX31" i="69"/>
  <c r="AZ31" i="69"/>
  <c r="BA31" i="69"/>
  <c r="BC31" i="69"/>
  <c r="BD31" i="69"/>
  <c r="BE31" i="69"/>
  <c r="BF31" i="69"/>
  <c r="BH31" i="69"/>
  <c r="BI31" i="69"/>
  <c r="BK31" i="69"/>
  <c r="BL31" i="69"/>
  <c r="BN31" i="69"/>
  <c r="BO31" i="69"/>
  <c r="BQ31" i="69"/>
  <c r="BR31" i="69"/>
  <c r="BT31" i="69"/>
  <c r="BU31" i="69"/>
  <c r="BW31" i="69"/>
  <c r="BX31" i="69"/>
  <c r="BZ31" i="69"/>
  <c r="CA31" i="69"/>
  <c r="CC31" i="69"/>
  <c r="CD31" i="69"/>
  <c r="CF31" i="69"/>
  <c r="CG31" i="69"/>
  <c r="CI31" i="69"/>
  <c r="CJ31" i="69"/>
  <c r="CL31" i="69"/>
  <c r="CM31" i="69"/>
  <c r="CO31" i="69"/>
  <c r="CP31" i="69"/>
  <c r="CR31" i="69"/>
  <c r="CS31" i="69"/>
  <c r="CU31" i="69"/>
  <c r="CV31" i="69"/>
  <c r="CX31" i="69"/>
  <c r="CY31" i="69"/>
  <c r="DA31" i="69"/>
  <c r="DB31" i="69"/>
  <c r="DD31" i="69"/>
  <c r="DE31" i="69"/>
  <c r="DG31" i="69"/>
  <c r="DH31" i="69"/>
  <c r="DJ31" i="69"/>
  <c r="DK31" i="69"/>
  <c r="DM31" i="69"/>
  <c r="DN31" i="69"/>
  <c r="DP31" i="69"/>
  <c r="DQ31" i="69"/>
  <c r="DS31" i="69"/>
  <c r="DT31" i="69"/>
  <c r="DV31" i="69"/>
  <c r="DW31" i="69"/>
  <c r="DY31" i="69"/>
  <c r="DZ31" i="69"/>
  <c r="EA31" i="69"/>
  <c r="EB31" i="69"/>
  <c r="EC31" i="69"/>
  <c r="ED31" i="69"/>
  <c r="EE31" i="69"/>
  <c r="EF31" i="69"/>
  <c r="EG31" i="69"/>
  <c r="EH31" i="69"/>
  <c r="EI31" i="69"/>
  <c r="EJ31" i="69"/>
  <c r="EK31" i="69"/>
  <c r="EL31" i="69"/>
  <c r="EM31" i="69"/>
  <c r="EN31" i="69"/>
  <c r="EO31" i="69"/>
  <c r="EQ31" i="69"/>
  <c r="ER31" i="69"/>
  <c r="ET31" i="69"/>
  <c r="EU31" i="69"/>
  <c r="EV31" i="69"/>
  <c r="EW31" i="69"/>
  <c r="EX31" i="69"/>
  <c r="EY31" i="69"/>
  <c r="EZ31" i="69"/>
  <c r="FA31" i="69"/>
  <c r="FB31" i="69"/>
  <c r="FC31" i="69"/>
  <c r="FD31" i="69"/>
  <c r="FE31" i="69"/>
  <c r="FF31" i="69"/>
  <c r="FG31" i="69"/>
  <c r="FH31" i="69"/>
  <c r="FI31" i="69"/>
  <c r="FJ31" i="69"/>
  <c r="FK31" i="69"/>
  <c r="FL31" i="69"/>
  <c r="FM31" i="69"/>
  <c r="FN31" i="69"/>
  <c r="FO31" i="69"/>
  <c r="FP31" i="69"/>
  <c r="FQ31" i="69"/>
  <c r="A32" i="69"/>
  <c r="B32" i="69"/>
  <c r="C32" i="69"/>
  <c r="AP32" i="69"/>
  <c r="AQ32" i="69"/>
  <c r="AR32" i="69"/>
  <c r="AS32" i="69"/>
  <c r="AT32" i="69"/>
  <c r="AU32" i="69"/>
  <c r="AV32" i="69"/>
  <c r="AW32" i="69"/>
  <c r="AX32" i="69"/>
  <c r="AZ32" i="69"/>
  <c r="BA32" i="69"/>
  <c r="BC32" i="69"/>
  <c r="BD32" i="69"/>
  <c r="BE32" i="69"/>
  <c r="BF32" i="69"/>
  <c r="BH32" i="69"/>
  <c r="BI32" i="69"/>
  <c r="BK32" i="69"/>
  <c r="BL32" i="69"/>
  <c r="BN32" i="69"/>
  <c r="BO32" i="69"/>
  <c r="BQ32" i="69"/>
  <c r="BR32" i="69"/>
  <c r="BT32" i="69"/>
  <c r="BU32" i="69"/>
  <c r="BW32" i="69"/>
  <c r="BX32" i="69"/>
  <c r="BZ32" i="69"/>
  <c r="CA32" i="69"/>
  <c r="CC32" i="69"/>
  <c r="CD32" i="69"/>
  <c r="CF32" i="69"/>
  <c r="CG32" i="69"/>
  <c r="CI32" i="69"/>
  <c r="CJ32" i="69"/>
  <c r="CL32" i="69"/>
  <c r="CM32" i="69"/>
  <c r="CO32" i="69"/>
  <c r="CP32" i="69"/>
  <c r="CR32" i="69"/>
  <c r="CS32" i="69"/>
  <c r="CU32" i="69"/>
  <c r="CV32" i="69"/>
  <c r="CX32" i="69"/>
  <c r="CY32" i="69"/>
  <c r="DA32" i="69"/>
  <c r="DB32" i="69"/>
  <c r="DD32" i="69"/>
  <c r="DE32" i="69"/>
  <c r="DG32" i="69"/>
  <c r="DH32" i="69"/>
  <c r="DJ32" i="69"/>
  <c r="DK32" i="69"/>
  <c r="DM32" i="69"/>
  <c r="DN32" i="69"/>
  <c r="DP32" i="69"/>
  <c r="DQ32" i="69"/>
  <c r="DS32" i="69"/>
  <c r="DT32" i="69"/>
  <c r="DV32" i="69"/>
  <c r="DW32" i="69"/>
  <c r="DY32" i="69"/>
  <c r="DZ32" i="69"/>
  <c r="EA32" i="69"/>
  <c r="EB32" i="69"/>
  <c r="EC32" i="69"/>
  <c r="ED32" i="69"/>
  <c r="EE32" i="69"/>
  <c r="EF32" i="69"/>
  <c r="EG32" i="69"/>
  <c r="EH32" i="69"/>
  <c r="EI32" i="69"/>
  <c r="EJ32" i="69"/>
  <c r="EK32" i="69"/>
  <c r="EL32" i="69"/>
  <c r="EM32" i="69"/>
  <c r="EN32" i="69"/>
  <c r="EO32" i="69"/>
  <c r="EQ32" i="69"/>
  <c r="ER32" i="69"/>
  <c r="ET32" i="69"/>
  <c r="EU32" i="69"/>
  <c r="EV32" i="69"/>
  <c r="EW32" i="69"/>
  <c r="EX32" i="69"/>
  <c r="EY32" i="69"/>
  <c r="EZ32" i="69"/>
  <c r="FA32" i="69"/>
  <c r="FB32" i="69"/>
  <c r="FC32" i="69"/>
  <c r="FD32" i="69"/>
  <c r="FE32" i="69"/>
  <c r="FF32" i="69"/>
  <c r="FG32" i="69"/>
  <c r="FH32" i="69"/>
  <c r="FI32" i="69"/>
  <c r="FJ32" i="69"/>
  <c r="FK32" i="69"/>
  <c r="FL32" i="69"/>
  <c r="FM32" i="69"/>
  <c r="FN32" i="69"/>
  <c r="FO32" i="69"/>
  <c r="FP32" i="69"/>
  <c r="FQ32" i="69"/>
  <c r="A33" i="69"/>
  <c r="B33" i="69"/>
  <c r="C33" i="69"/>
  <c r="AP33" i="69"/>
  <c r="AQ33" i="69"/>
  <c r="AR33" i="69"/>
  <c r="AS33" i="69"/>
  <c r="AT33" i="69"/>
  <c r="AU33" i="69"/>
  <c r="AV33" i="69"/>
  <c r="AW33" i="69"/>
  <c r="AX33" i="69"/>
  <c r="AZ33" i="69"/>
  <c r="BA33" i="69"/>
  <c r="BC33" i="69"/>
  <c r="BD33" i="69"/>
  <c r="BE33" i="69"/>
  <c r="BF33" i="69"/>
  <c r="BH33" i="69"/>
  <c r="BI33" i="69"/>
  <c r="BK33" i="69"/>
  <c r="BL33" i="69"/>
  <c r="BN33" i="69"/>
  <c r="BO33" i="69"/>
  <c r="BQ33" i="69"/>
  <c r="BR33" i="69"/>
  <c r="BT33" i="69"/>
  <c r="BU33" i="69"/>
  <c r="BW33" i="69"/>
  <c r="BX33" i="69"/>
  <c r="BZ33" i="69"/>
  <c r="CA33" i="69"/>
  <c r="CC33" i="69"/>
  <c r="CD33" i="69"/>
  <c r="CF33" i="69"/>
  <c r="CG33" i="69"/>
  <c r="CI33" i="69"/>
  <c r="CJ33" i="69"/>
  <c r="CL33" i="69"/>
  <c r="CM33" i="69"/>
  <c r="CO33" i="69"/>
  <c r="CP33" i="69"/>
  <c r="CR33" i="69"/>
  <c r="CS33" i="69"/>
  <c r="CU33" i="69"/>
  <c r="CV33" i="69"/>
  <c r="CX33" i="69"/>
  <c r="CY33" i="69"/>
  <c r="DA33" i="69"/>
  <c r="DB33" i="69"/>
  <c r="DD33" i="69"/>
  <c r="DE33" i="69"/>
  <c r="DG33" i="69"/>
  <c r="DH33" i="69"/>
  <c r="DJ33" i="69"/>
  <c r="DK33" i="69"/>
  <c r="DM33" i="69"/>
  <c r="DN33" i="69"/>
  <c r="DP33" i="69"/>
  <c r="DQ33" i="69"/>
  <c r="DS33" i="69"/>
  <c r="DT33" i="69"/>
  <c r="DV33" i="69"/>
  <c r="DW33" i="69"/>
  <c r="DY33" i="69"/>
  <c r="DZ33" i="69"/>
  <c r="EA33" i="69"/>
  <c r="EB33" i="69"/>
  <c r="EC33" i="69"/>
  <c r="ED33" i="69"/>
  <c r="EE33" i="69"/>
  <c r="EF33" i="69"/>
  <c r="EG33" i="69"/>
  <c r="EH33" i="69"/>
  <c r="EI33" i="69"/>
  <c r="EJ33" i="69"/>
  <c r="EK33" i="69"/>
  <c r="EL33" i="69"/>
  <c r="EM33" i="69"/>
  <c r="EN33" i="69"/>
  <c r="EO33" i="69"/>
  <c r="EQ33" i="69"/>
  <c r="ER33" i="69"/>
  <c r="ET33" i="69"/>
  <c r="EU33" i="69"/>
  <c r="EV33" i="69"/>
  <c r="EW33" i="69"/>
  <c r="EX33" i="69"/>
  <c r="EY33" i="69"/>
  <c r="EZ33" i="69"/>
  <c r="FA33" i="69"/>
  <c r="FB33" i="69"/>
  <c r="FC33" i="69"/>
  <c r="FD33" i="69"/>
  <c r="FE33" i="69"/>
  <c r="FF33" i="69"/>
  <c r="FG33" i="69"/>
  <c r="FH33" i="69"/>
  <c r="FI33" i="69"/>
  <c r="FJ33" i="69"/>
  <c r="FK33" i="69"/>
  <c r="FL33" i="69"/>
  <c r="FM33" i="69"/>
  <c r="FN33" i="69"/>
  <c r="FO33" i="69"/>
  <c r="FP33" i="69"/>
  <c r="FQ33" i="69"/>
  <c r="A34" i="69"/>
  <c r="B34" i="69"/>
  <c r="C34" i="69"/>
  <c r="AP34" i="69"/>
  <c r="AQ34" i="69"/>
  <c r="AR34" i="69"/>
  <c r="AS34" i="69"/>
  <c r="AT34" i="69"/>
  <c r="AU34" i="69"/>
  <c r="AV34" i="69"/>
  <c r="AW34" i="69"/>
  <c r="AX34" i="69"/>
  <c r="AZ34" i="69"/>
  <c r="BA34" i="69"/>
  <c r="BC34" i="69"/>
  <c r="BD34" i="69"/>
  <c r="BE34" i="69"/>
  <c r="BF34" i="69"/>
  <c r="BH34" i="69"/>
  <c r="BI34" i="69"/>
  <c r="BK34" i="69"/>
  <c r="BL34" i="69"/>
  <c r="BN34" i="69"/>
  <c r="BO34" i="69"/>
  <c r="BQ34" i="69"/>
  <c r="BR34" i="69"/>
  <c r="BT34" i="69"/>
  <c r="BU34" i="69"/>
  <c r="BW34" i="69"/>
  <c r="BX34" i="69"/>
  <c r="BZ34" i="69"/>
  <c r="CA34" i="69"/>
  <c r="CC34" i="69"/>
  <c r="CD34" i="69"/>
  <c r="CF34" i="69"/>
  <c r="CG34" i="69"/>
  <c r="CI34" i="69"/>
  <c r="CJ34" i="69"/>
  <c r="CL34" i="69"/>
  <c r="CM34" i="69"/>
  <c r="CO34" i="69"/>
  <c r="CP34" i="69"/>
  <c r="CR34" i="69"/>
  <c r="CS34" i="69"/>
  <c r="CU34" i="69"/>
  <c r="CV34" i="69"/>
  <c r="CX34" i="69"/>
  <c r="CY34" i="69"/>
  <c r="DA34" i="69"/>
  <c r="DB34" i="69"/>
  <c r="DD34" i="69"/>
  <c r="DE34" i="69"/>
  <c r="DG34" i="69"/>
  <c r="DH34" i="69"/>
  <c r="DJ34" i="69"/>
  <c r="DK34" i="69"/>
  <c r="DM34" i="69"/>
  <c r="DN34" i="69"/>
  <c r="DP34" i="69"/>
  <c r="DQ34" i="69"/>
  <c r="DS34" i="69"/>
  <c r="DT34" i="69"/>
  <c r="DV34" i="69"/>
  <c r="DW34" i="69"/>
  <c r="DY34" i="69"/>
  <c r="DZ34" i="69"/>
  <c r="EA34" i="69"/>
  <c r="EB34" i="69"/>
  <c r="EC34" i="69"/>
  <c r="ED34" i="69"/>
  <c r="EE34" i="69"/>
  <c r="EF34" i="69"/>
  <c r="EG34" i="69"/>
  <c r="EH34" i="69"/>
  <c r="EI34" i="69"/>
  <c r="EJ34" i="69"/>
  <c r="EK34" i="69"/>
  <c r="EL34" i="69"/>
  <c r="EM34" i="69"/>
  <c r="EN34" i="69"/>
  <c r="EO34" i="69"/>
  <c r="EQ34" i="69"/>
  <c r="ER34" i="69"/>
  <c r="ET34" i="69"/>
  <c r="EU34" i="69"/>
  <c r="EV34" i="69"/>
  <c r="EW34" i="69"/>
  <c r="EX34" i="69"/>
  <c r="EY34" i="69"/>
  <c r="EZ34" i="69"/>
  <c r="FA34" i="69"/>
  <c r="FB34" i="69"/>
  <c r="FC34" i="69"/>
  <c r="FD34" i="69"/>
  <c r="FE34" i="69"/>
  <c r="FF34" i="69"/>
  <c r="FG34" i="69"/>
  <c r="FH34" i="69"/>
  <c r="FI34" i="69"/>
  <c r="FJ34" i="69"/>
  <c r="FK34" i="69"/>
  <c r="FL34" i="69"/>
  <c r="FM34" i="69"/>
  <c r="FN34" i="69"/>
  <c r="FO34" i="69"/>
  <c r="FP34" i="69"/>
  <c r="FQ34" i="69"/>
  <c r="A35" i="69"/>
  <c r="B35" i="69"/>
  <c r="C35" i="69"/>
  <c r="AP35" i="69"/>
  <c r="AQ35" i="69"/>
  <c r="AR35" i="69"/>
  <c r="AS35" i="69"/>
  <c r="AT35" i="69"/>
  <c r="AU35" i="69"/>
  <c r="AV35" i="69"/>
  <c r="AW35" i="69"/>
  <c r="AX35" i="69"/>
  <c r="AZ35" i="69"/>
  <c r="BA35" i="69"/>
  <c r="BC35" i="69"/>
  <c r="BD35" i="69"/>
  <c r="BE35" i="69"/>
  <c r="BF35" i="69"/>
  <c r="BH35" i="69"/>
  <c r="BI35" i="69"/>
  <c r="BK35" i="69"/>
  <c r="BL35" i="69"/>
  <c r="BN35" i="69"/>
  <c r="BO35" i="69"/>
  <c r="BQ35" i="69"/>
  <c r="BR35" i="69"/>
  <c r="BT35" i="69"/>
  <c r="BU35" i="69"/>
  <c r="BW35" i="69"/>
  <c r="BX35" i="69"/>
  <c r="BZ35" i="69"/>
  <c r="CA35" i="69"/>
  <c r="CC35" i="69"/>
  <c r="CD35" i="69"/>
  <c r="CF35" i="69"/>
  <c r="CG35" i="69"/>
  <c r="CI35" i="69"/>
  <c r="CJ35" i="69"/>
  <c r="CL35" i="69"/>
  <c r="CM35" i="69"/>
  <c r="CO35" i="69"/>
  <c r="CP35" i="69"/>
  <c r="CR35" i="69"/>
  <c r="CS35" i="69"/>
  <c r="CU35" i="69"/>
  <c r="CV35" i="69"/>
  <c r="CX35" i="69"/>
  <c r="CY35" i="69"/>
  <c r="DA35" i="69"/>
  <c r="DB35" i="69"/>
  <c r="DD35" i="69"/>
  <c r="DE35" i="69"/>
  <c r="DG35" i="69"/>
  <c r="DH35" i="69"/>
  <c r="DJ35" i="69"/>
  <c r="DK35" i="69"/>
  <c r="DM35" i="69"/>
  <c r="DN35" i="69"/>
  <c r="DP35" i="69"/>
  <c r="DQ35" i="69"/>
  <c r="DS35" i="69"/>
  <c r="DT35" i="69"/>
  <c r="DV35" i="69"/>
  <c r="DW35" i="69"/>
  <c r="DY35" i="69"/>
  <c r="DZ35" i="69"/>
  <c r="EA35" i="69"/>
  <c r="EB35" i="69"/>
  <c r="EC35" i="69"/>
  <c r="ED35" i="69"/>
  <c r="EE35" i="69"/>
  <c r="EF35" i="69"/>
  <c r="EG35" i="69"/>
  <c r="EH35" i="69"/>
  <c r="EI35" i="69"/>
  <c r="EJ35" i="69"/>
  <c r="EK35" i="69"/>
  <c r="EL35" i="69"/>
  <c r="EM35" i="69"/>
  <c r="EN35" i="69"/>
  <c r="EO35" i="69"/>
  <c r="EQ35" i="69"/>
  <c r="ER35" i="69"/>
  <c r="ET35" i="69"/>
  <c r="EU35" i="69"/>
  <c r="EV35" i="69"/>
  <c r="EW35" i="69"/>
  <c r="EX35" i="69"/>
  <c r="EY35" i="69"/>
  <c r="EZ35" i="69"/>
  <c r="FA35" i="69"/>
  <c r="FB35" i="69"/>
  <c r="FC35" i="69"/>
  <c r="FD35" i="69"/>
  <c r="FE35" i="69"/>
  <c r="FF35" i="69"/>
  <c r="FG35" i="69"/>
  <c r="FH35" i="69"/>
  <c r="FI35" i="69"/>
  <c r="FJ35" i="69"/>
  <c r="FK35" i="69"/>
  <c r="FL35" i="69"/>
  <c r="FM35" i="69"/>
  <c r="FN35" i="69"/>
  <c r="FO35" i="69"/>
  <c r="FP35" i="69"/>
  <c r="FQ35" i="69"/>
  <c r="A36" i="69"/>
  <c r="B36" i="69"/>
  <c r="C36" i="69"/>
  <c r="AP36" i="69"/>
  <c r="AQ36" i="69"/>
  <c r="AR36" i="69"/>
  <c r="AS36" i="69"/>
  <c r="AT36" i="69"/>
  <c r="AU36" i="69"/>
  <c r="AV36" i="69"/>
  <c r="AW36" i="69"/>
  <c r="AX36" i="69"/>
  <c r="AZ36" i="69"/>
  <c r="BA36" i="69"/>
  <c r="BC36" i="69"/>
  <c r="BD36" i="69"/>
  <c r="BE36" i="69"/>
  <c r="BF36" i="69"/>
  <c r="BH36" i="69"/>
  <c r="BI36" i="69"/>
  <c r="BK36" i="69"/>
  <c r="BL36" i="69"/>
  <c r="BN36" i="69"/>
  <c r="BO36" i="69"/>
  <c r="BQ36" i="69"/>
  <c r="BR36" i="69"/>
  <c r="BT36" i="69"/>
  <c r="BU36" i="69"/>
  <c r="BW36" i="69"/>
  <c r="BX36" i="69"/>
  <c r="BZ36" i="69"/>
  <c r="CA36" i="69"/>
  <c r="CC36" i="69"/>
  <c r="CD36" i="69"/>
  <c r="CF36" i="69"/>
  <c r="CG36" i="69"/>
  <c r="CI36" i="69"/>
  <c r="CJ36" i="69"/>
  <c r="CL36" i="69"/>
  <c r="CM36" i="69"/>
  <c r="CO36" i="69"/>
  <c r="CP36" i="69"/>
  <c r="CR36" i="69"/>
  <c r="CS36" i="69"/>
  <c r="CU36" i="69"/>
  <c r="CV36" i="69"/>
  <c r="CX36" i="69"/>
  <c r="CY36" i="69"/>
  <c r="DA36" i="69"/>
  <c r="DB36" i="69"/>
  <c r="DD36" i="69"/>
  <c r="DE36" i="69"/>
  <c r="DG36" i="69"/>
  <c r="DH36" i="69"/>
  <c r="DJ36" i="69"/>
  <c r="DK36" i="69"/>
  <c r="DM36" i="69"/>
  <c r="DN36" i="69"/>
  <c r="DP36" i="69"/>
  <c r="DQ36" i="69"/>
  <c r="DS36" i="69"/>
  <c r="DT36" i="69"/>
  <c r="DV36" i="69"/>
  <c r="DW36" i="69"/>
  <c r="DY36" i="69"/>
  <c r="DZ36" i="69"/>
  <c r="EA36" i="69"/>
  <c r="EB36" i="69"/>
  <c r="EC36" i="69"/>
  <c r="ED36" i="69"/>
  <c r="EE36" i="69"/>
  <c r="EF36" i="69"/>
  <c r="EG36" i="69"/>
  <c r="EH36" i="69"/>
  <c r="EI36" i="69"/>
  <c r="EJ36" i="69"/>
  <c r="EK36" i="69"/>
  <c r="EL36" i="69"/>
  <c r="EM36" i="69"/>
  <c r="EN36" i="69"/>
  <c r="EO36" i="69"/>
  <c r="EQ36" i="69"/>
  <c r="ER36" i="69"/>
  <c r="ET36" i="69"/>
  <c r="EU36" i="69"/>
  <c r="EV36" i="69"/>
  <c r="EW36" i="69"/>
  <c r="EX36" i="69"/>
  <c r="EY36" i="69"/>
  <c r="EZ36" i="69"/>
  <c r="FA36" i="69"/>
  <c r="FB36" i="69"/>
  <c r="FC36" i="69"/>
  <c r="FD36" i="69"/>
  <c r="FE36" i="69"/>
  <c r="FF36" i="69"/>
  <c r="FG36" i="69"/>
  <c r="FH36" i="69"/>
  <c r="FI36" i="69"/>
  <c r="FJ36" i="69"/>
  <c r="FK36" i="69"/>
  <c r="FL36" i="69"/>
  <c r="FM36" i="69"/>
  <c r="FN36" i="69"/>
  <c r="FO36" i="69"/>
  <c r="FP36" i="69"/>
  <c r="FQ36" i="69"/>
  <c r="A37" i="69"/>
  <c r="B37" i="69"/>
  <c r="C37" i="69"/>
  <c r="AP37" i="69"/>
  <c r="AQ37" i="69"/>
  <c r="AR37" i="69"/>
  <c r="AS37" i="69"/>
  <c r="AT37" i="69"/>
  <c r="AU37" i="69"/>
  <c r="AV37" i="69"/>
  <c r="AW37" i="69"/>
  <c r="AX37" i="69"/>
  <c r="AZ37" i="69"/>
  <c r="BA37" i="69"/>
  <c r="BC37" i="69"/>
  <c r="BD37" i="69"/>
  <c r="BE37" i="69"/>
  <c r="BF37" i="69"/>
  <c r="BH37" i="69"/>
  <c r="BI37" i="69"/>
  <c r="BK37" i="69"/>
  <c r="BL37" i="69"/>
  <c r="BN37" i="69"/>
  <c r="BO37" i="69"/>
  <c r="BQ37" i="69"/>
  <c r="BR37" i="69"/>
  <c r="BT37" i="69"/>
  <c r="BU37" i="69"/>
  <c r="BW37" i="69"/>
  <c r="BX37" i="69"/>
  <c r="BZ37" i="69"/>
  <c r="CA37" i="69"/>
  <c r="CC37" i="69"/>
  <c r="CD37" i="69"/>
  <c r="CF37" i="69"/>
  <c r="CG37" i="69"/>
  <c r="CI37" i="69"/>
  <c r="CJ37" i="69"/>
  <c r="CL37" i="69"/>
  <c r="CM37" i="69"/>
  <c r="CO37" i="69"/>
  <c r="CP37" i="69"/>
  <c r="CR37" i="69"/>
  <c r="CS37" i="69"/>
  <c r="CU37" i="69"/>
  <c r="CV37" i="69"/>
  <c r="CX37" i="69"/>
  <c r="CY37" i="69"/>
  <c r="DA37" i="69"/>
  <c r="DB37" i="69"/>
  <c r="DD37" i="69"/>
  <c r="DE37" i="69"/>
  <c r="DG37" i="69"/>
  <c r="DH37" i="69"/>
  <c r="DJ37" i="69"/>
  <c r="DK37" i="69"/>
  <c r="DM37" i="69"/>
  <c r="DN37" i="69"/>
  <c r="DP37" i="69"/>
  <c r="DQ37" i="69"/>
  <c r="DS37" i="69"/>
  <c r="DT37" i="69"/>
  <c r="DV37" i="69"/>
  <c r="DW37" i="69"/>
  <c r="DY37" i="69"/>
  <c r="DZ37" i="69"/>
  <c r="EA37" i="69"/>
  <c r="EB37" i="69"/>
  <c r="EC37" i="69"/>
  <c r="ED37" i="69"/>
  <c r="EE37" i="69"/>
  <c r="EF37" i="69"/>
  <c r="EG37" i="69"/>
  <c r="EH37" i="69"/>
  <c r="EI37" i="69"/>
  <c r="EJ37" i="69"/>
  <c r="EK37" i="69"/>
  <c r="EL37" i="69"/>
  <c r="EM37" i="69"/>
  <c r="EN37" i="69"/>
  <c r="EO37" i="69"/>
  <c r="EQ37" i="69"/>
  <c r="ER37" i="69"/>
  <c r="ET37" i="69"/>
  <c r="EU37" i="69"/>
  <c r="EV37" i="69"/>
  <c r="EW37" i="69"/>
  <c r="EX37" i="69"/>
  <c r="EY37" i="69"/>
  <c r="EZ37" i="69"/>
  <c r="FA37" i="69"/>
  <c r="FB37" i="69"/>
  <c r="FC37" i="69"/>
  <c r="FD37" i="69"/>
  <c r="FE37" i="69"/>
  <c r="FF37" i="69"/>
  <c r="FG37" i="69"/>
  <c r="FH37" i="69"/>
  <c r="FI37" i="69"/>
  <c r="FJ37" i="69"/>
  <c r="FK37" i="69"/>
  <c r="FL37" i="69"/>
  <c r="FM37" i="69"/>
  <c r="FN37" i="69"/>
  <c r="FO37" i="69"/>
  <c r="FP37" i="69"/>
  <c r="FQ37" i="69"/>
  <c r="A38" i="69"/>
  <c r="B38" i="69"/>
  <c r="C38" i="69"/>
  <c r="AP38" i="69"/>
  <c r="AQ38" i="69"/>
  <c r="AR38" i="69"/>
  <c r="AS38" i="69"/>
  <c r="AT38" i="69"/>
  <c r="AU38" i="69"/>
  <c r="AV38" i="69"/>
  <c r="AW38" i="69"/>
  <c r="AX38" i="69"/>
  <c r="AZ38" i="69"/>
  <c r="BA38" i="69"/>
  <c r="BC38" i="69"/>
  <c r="BD38" i="69"/>
  <c r="BE38" i="69"/>
  <c r="BF38" i="69"/>
  <c r="BH38" i="69"/>
  <c r="BI38" i="69"/>
  <c r="BK38" i="69"/>
  <c r="BL38" i="69"/>
  <c r="BN38" i="69"/>
  <c r="BO38" i="69"/>
  <c r="BQ38" i="69"/>
  <c r="BR38" i="69"/>
  <c r="BT38" i="69"/>
  <c r="BU38" i="69"/>
  <c r="BW38" i="69"/>
  <c r="BX38" i="69"/>
  <c r="BZ38" i="69"/>
  <c r="CA38" i="69"/>
  <c r="CC38" i="69"/>
  <c r="CD38" i="69"/>
  <c r="CF38" i="69"/>
  <c r="CG38" i="69"/>
  <c r="CI38" i="69"/>
  <c r="CJ38" i="69"/>
  <c r="CL38" i="69"/>
  <c r="CM38" i="69"/>
  <c r="CO38" i="69"/>
  <c r="CP38" i="69"/>
  <c r="CR38" i="69"/>
  <c r="CS38" i="69"/>
  <c r="CU38" i="69"/>
  <c r="CV38" i="69"/>
  <c r="CX38" i="69"/>
  <c r="CY38" i="69"/>
  <c r="DA38" i="69"/>
  <c r="DB38" i="69"/>
  <c r="DD38" i="69"/>
  <c r="DE38" i="69"/>
  <c r="DG38" i="69"/>
  <c r="DH38" i="69"/>
  <c r="DJ38" i="69"/>
  <c r="DK38" i="69"/>
  <c r="DM38" i="69"/>
  <c r="DN38" i="69"/>
  <c r="DP38" i="69"/>
  <c r="DQ38" i="69"/>
  <c r="DS38" i="69"/>
  <c r="DT38" i="69"/>
  <c r="DV38" i="69"/>
  <c r="DW38" i="69"/>
  <c r="DY38" i="69"/>
  <c r="DZ38" i="69"/>
  <c r="EA38" i="69"/>
  <c r="EB38" i="69"/>
  <c r="EC38" i="69"/>
  <c r="ED38" i="69"/>
  <c r="EE38" i="69"/>
  <c r="EF38" i="69"/>
  <c r="EG38" i="69"/>
  <c r="EH38" i="69"/>
  <c r="EI38" i="69"/>
  <c r="EJ38" i="69"/>
  <c r="EK38" i="69"/>
  <c r="EL38" i="69"/>
  <c r="EM38" i="69"/>
  <c r="EN38" i="69"/>
  <c r="EO38" i="69"/>
  <c r="EQ38" i="69"/>
  <c r="ER38" i="69"/>
  <c r="ET38" i="69"/>
  <c r="EU38" i="69"/>
  <c r="EV38" i="69"/>
  <c r="EW38" i="69"/>
  <c r="EX38" i="69"/>
  <c r="EY38" i="69"/>
  <c r="EZ38" i="69"/>
  <c r="FA38" i="69"/>
  <c r="FB38" i="69"/>
  <c r="FC38" i="69"/>
  <c r="FD38" i="69"/>
  <c r="FE38" i="69"/>
  <c r="FF38" i="69"/>
  <c r="FG38" i="69"/>
  <c r="FH38" i="69"/>
  <c r="FI38" i="69"/>
  <c r="FJ38" i="69"/>
  <c r="FK38" i="69"/>
  <c r="FL38" i="69"/>
  <c r="FM38" i="69"/>
  <c r="FN38" i="69"/>
  <c r="FO38" i="69"/>
  <c r="FP38" i="69"/>
  <c r="FQ38" i="69"/>
  <c r="A39" i="69"/>
  <c r="B39" i="69"/>
  <c r="C39" i="69"/>
  <c r="AP39" i="69"/>
  <c r="AQ39" i="69"/>
  <c r="AR39" i="69"/>
  <c r="AS39" i="69"/>
  <c r="AT39" i="69"/>
  <c r="AU39" i="69"/>
  <c r="AV39" i="69"/>
  <c r="AW39" i="69"/>
  <c r="AX39" i="69"/>
  <c r="AZ39" i="69"/>
  <c r="BA39" i="69"/>
  <c r="BC39" i="69"/>
  <c r="BD39" i="69"/>
  <c r="BE39" i="69"/>
  <c r="BF39" i="69"/>
  <c r="BH39" i="69"/>
  <c r="BI39" i="69"/>
  <c r="BK39" i="69"/>
  <c r="BL39" i="69"/>
  <c r="BN39" i="69"/>
  <c r="BO39" i="69"/>
  <c r="BQ39" i="69"/>
  <c r="BR39" i="69"/>
  <c r="BT39" i="69"/>
  <c r="BU39" i="69"/>
  <c r="BW39" i="69"/>
  <c r="BX39" i="69"/>
  <c r="BZ39" i="69"/>
  <c r="CA39" i="69"/>
  <c r="CC39" i="69"/>
  <c r="CD39" i="69"/>
  <c r="CF39" i="69"/>
  <c r="CG39" i="69"/>
  <c r="CI39" i="69"/>
  <c r="CJ39" i="69"/>
  <c r="CL39" i="69"/>
  <c r="CM39" i="69"/>
  <c r="CO39" i="69"/>
  <c r="CP39" i="69"/>
  <c r="CR39" i="69"/>
  <c r="CS39" i="69"/>
  <c r="CU39" i="69"/>
  <c r="CV39" i="69"/>
  <c r="CX39" i="69"/>
  <c r="CY39" i="69"/>
  <c r="DA39" i="69"/>
  <c r="DB39" i="69"/>
  <c r="DD39" i="69"/>
  <c r="DE39" i="69"/>
  <c r="DG39" i="69"/>
  <c r="DH39" i="69"/>
  <c r="DJ39" i="69"/>
  <c r="DK39" i="69"/>
  <c r="DM39" i="69"/>
  <c r="DN39" i="69"/>
  <c r="DP39" i="69"/>
  <c r="DQ39" i="69"/>
  <c r="DS39" i="69"/>
  <c r="DT39" i="69"/>
  <c r="DV39" i="69"/>
  <c r="DW39" i="69"/>
  <c r="DY39" i="69"/>
  <c r="DZ39" i="69"/>
  <c r="EA39" i="69"/>
  <c r="EB39" i="69"/>
  <c r="EC39" i="69"/>
  <c r="ED39" i="69"/>
  <c r="EE39" i="69"/>
  <c r="EF39" i="69"/>
  <c r="EG39" i="69"/>
  <c r="EH39" i="69"/>
  <c r="EI39" i="69"/>
  <c r="EJ39" i="69"/>
  <c r="EK39" i="69"/>
  <c r="EL39" i="69"/>
  <c r="EM39" i="69"/>
  <c r="EN39" i="69"/>
  <c r="EO39" i="69"/>
  <c r="EQ39" i="69"/>
  <c r="ER39" i="69"/>
  <c r="ET39" i="69"/>
  <c r="EU39" i="69"/>
  <c r="EV39" i="69"/>
  <c r="EW39" i="69"/>
  <c r="EX39" i="69"/>
  <c r="EY39" i="69"/>
  <c r="EZ39" i="69"/>
  <c r="FA39" i="69"/>
  <c r="FB39" i="69"/>
  <c r="FC39" i="69"/>
  <c r="FD39" i="69"/>
  <c r="FE39" i="69"/>
  <c r="FF39" i="69"/>
  <c r="FG39" i="69"/>
  <c r="FH39" i="69"/>
  <c r="FI39" i="69"/>
  <c r="FJ39" i="69"/>
  <c r="FK39" i="69"/>
  <c r="FL39" i="69"/>
  <c r="FM39" i="69"/>
  <c r="FN39" i="69"/>
  <c r="FO39" i="69"/>
  <c r="FP39" i="69"/>
  <c r="FQ39" i="69"/>
  <c r="A40" i="69"/>
  <c r="B40" i="69"/>
  <c r="C40" i="69"/>
  <c r="AP40" i="69"/>
  <c r="AQ40" i="69"/>
  <c r="AR40" i="69"/>
  <c r="AS40" i="69"/>
  <c r="AT40" i="69"/>
  <c r="AU40" i="69"/>
  <c r="AV40" i="69"/>
  <c r="AW40" i="69"/>
  <c r="AX40" i="69"/>
  <c r="AZ40" i="69"/>
  <c r="BA40" i="69"/>
  <c r="BC40" i="69"/>
  <c r="BD40" i="69"/>
  <c r="BE40" i="69"/>
  <c r="BF40" i="69"/>
  <c r="BH40" i="69"/>
  <c r="BI40" i="69"/>
  <c r="BK40" i="69"/>
  <c r="BL40" i="69"/>
  <c r="BN40" i="69"/>
  <c r="BO40" i="69"/>
  <c r="BQ40" i="69"/>
  <c r="BR40" i="69"/>
  <c r="BT40" i="69"/>
  <c r="BU40" i="69"/>
  <c r="BW40" i="69"/>
  <c r="BX40" i="69"/>
  <c r="BZ40" i="69"/>
  <c r="CA40" i="69"/>
  <c r="CC40" i="69"/>
  <c r="CD40" i="69"/>
  <c r="CF40" i="69"/>
  <c r="CG40" i="69"/>
  <c r="CI40" i="69"/>
  <c r="CJ40" i="69"/>
  <c r="CL40" i="69"/>
  <c r="CM40" i="69"/>
  <c r="CO40" i="69"/>
  <c r="CP40" i="69"/>
  <c r="CR40" i="69"/>
  <c r="CS40" i="69"/>
  <c r="CU40" i="69"/>
  <c r="CV40" i="69"/>
  <c r="CX40" i="69"/>
  <c r="CY40" i="69"/>
  <c r="DA40" i="69"/>
  <c r="DB40" i="69"/>
  <c r="DD40" i="69"/>
  <c r="DE40" i="69"/>
  <c r="DG40" i="69"/>
  <c r="DH40" i="69"/>
  <c r="DJ40" i="69"/>
  <c r="DK40" i="69"/>
  <c r="DM40" i="69"/>
  <c r="DN40" i="69"/>
  <c r="DP40" i="69"/>
  <c r="DQ40" i="69"/>
  <c r="DS40" i="69"/>
  <c r="DT40" i="69"/>
  <c r="DV40" i="69"/>
  <c r="DW40" i="69"/>
  <c r="DY40" i="69"/>
  <c r="DZ40" i="69"/>
  <c r="EA40" i="69"/>
  <c r="EB40" i="69"/>
  <c r="EC40" i="69"/>
  <c r="ED40" i="69"/>
  <c r="EE40" i="69"/>
  <c r="EF40" i="69"/>
  <c r="EG40" i="69"/>
  <c r="EH40" i="69"/>
  <c r="EI40" i="69"/>
  <c r="EJ40" i="69"/>
  <c r="EK40" i="69"/>
  <c r="EL40" i="69"/>
  <c r="EM40" i="69"/>
  <c r="EN40" i="69"/>
  <c r="EO40" i="69"/>
  <c r="EQ40" i="69"/>
  <c r="ER40" i="69"/>
  <c r="ET40" i="69"/>
  <c r="EU40" i="69"/>
  <c r="EV40" i="69"/>
  <c r="EW40" i="69"/>
  <c r="EX40" i="69"/>
  <c r="EY40" i="69"/>
  <c r="EZ40" i="69"/>
  <c r="FA40" i="69"/>
  <c r="FB40" i="69"/>
  <c r="FC40" i="69"/>
  <c r="FD40" i="69"/>
  <c r="FE40" i="69"/>
  <c r="FF40" i="69"/>
  <c r="FG40" i="69"/>
  <c r="FH40" i="69"/>
  <c r="FI40" i="69"/>
  <c r="FJ40" i="69"/>
  <c r="FK40" i="69"/>
  <c r="FL40" i="69"/>
  <c r="FM40" i="69"/>
  <c r="FN40" i="69"/>
  <c r="FO40" i="69"/>
  <c r="FP40" i="69"/>
  <c r="FQ40" i="69"/>
  <c r="A41" i="69"/>
  <c r="B41" i="69"/>
  <c r="C41" i="69"/>
  <c r="AP41" i="69"/>
  <c r="AQ41" i="69"/>
  <c r="AR41" i="69"/>
  <c r="AS41" i="69"/>
  <c r="AT41" i="69"/>
  <c r="AU41" i="69"/>
  <c r="AV41" i="69"/>
  <c r="AW41" i="69"/>
  <c r="AX41" i="69"/>
  <c r="AZ41" i="69"/>
  <c r="BA41" i="69"/>
  <c r="BC41" i="69"/>
  <c r="BD41" i="69"/>
  <c r="BE41" i="69"/>
  <c r="BF41" i="69"/>
  <c r="BH41" i="69"/>
  <c r="BI41" i="69"/>
  <c r="BK41" i="69"/>
  <c r="BL41" i="69"/>
  <c r="BN41" i="69"/>
  <c r="BO41" i="69"/>
  <c r="BQ41" i="69"/>
  <c r="BR41" i="69"/>
  <c r="BT41" i="69"/>
  <c r="BU41" i="69"/>
  <c r="BW41" i="69"/>
  <c r="BX41" i="69"/>
  <c r="BZ41" i="69"/>
  <c r="CA41" i="69"/>
  <c r="CC41" i="69"/>
  <c r="CD41" i="69"/>
  <c r="CF41" i="69"/>
  <c r="CG41" i="69"/>
  <c r="CI41" i="69"/>
  <c r="CJ41" i="69"/>
  <c r="CL41" i="69"/>
  <c r="CM41" i="69"/>
  <c r="CO41" i="69"/>
  <c r="CP41" i="69"/>
  <c r="CR41" i="69"/>
  <c r="CS41" i="69"/>
  <c r="CU41" i="69"/>
  <c r="CV41" i="69"/>
  <c r="CX41" i="69"/>
  <c r="CY41" i="69"/>
  <c r="DA41" i="69"/>
  <c r="DB41" i="69"/>
  <c r="DD41" i="69"/>
  <c r="DE41" i="69"/>
  <c r="DG41" i="69"/>
  <c r="DH41" i="69"/>
  <c r="DJ41" i="69"/>
  <c r="DK41" i="69"/>
  <c r="DM41" i="69"/>
  <c r="DN41" i="69"/>
  <c r="DP41" i="69"/>
  <c r="DQ41" i="69"/>
  <c r="DS41" i="69"/>
  <c r="DT41" i="69"/>
  <c r="DV41" i="69"/>
  <c r="DW41" i="69"/>
  <c r="DY41" i="69"/>
  <c r="DZ41" i="69"/>
  <c r="EA41" i="69"/>
  <c r="EB41" i="69"/>
  <c r="EC41" i="69"/>
  <c r="ED41" i="69"/>
  <c r="EE41" i="69"/>
  <c r="EF41" i="69"/>
  <c r="EG41" i="69"/>
  <c r="EH41" i="69"/>
  <c r="EI41" i="69"/>
  <c r="EJ41" i="69"/>
  <c r="EK41" i="69"/>
  <c r="EL41" i="69"/>
  <c r="EM41" i="69"/>
  <c r="EN41" i="69"/>
  <c r="EO41" i="69"/>
  <c r="EQ41" i="69"/>
  <c r="ER41" i="69"/>
  <c r="ET41" i="69"/>
  <c r="EU41" i="69"/>
  <c r="EV41" i="69"/>
  <c r="EW41" i="69"/>
  <c r="EX41" i="69"/>
  <c r="EY41" i="69"/>
  <c r="EZ41" i="69"/>
  <c r="FA41" i="69"/>
  <c r="FB41" i="69"/>
  <c r="FC41" i="69"/>
  <c r="FD41" i="69"/>
  <c r="FE41" i="69"/>
  <c r="FF41" i="69"/>
  <c r="FG41" i="69"/>
  <c r="FH41" i="69"/>
  <c r="FI41" i="69"/>
  <c r="FJ41" i="69"/>
  <c r="FK41" i="69"/>
  <c r="FL41" i="69"/>
  <c r="FM41" i="69"/>
  <c r="FN41" i="69"/>
  <c r="FO41" i="69"/>
  <c r="FP41" i="69"/>
  <c r="FQ41" i="69"/>
  <c r="A42" i="69"/>
  <c r="B42" i="69"/>
  <c r="C42" i="69"/>
  <c r="AP42" i="69"/>
  <c r="AQ42" i="69"/>
  <c r="AR42" i="69"/>
  <c r="AS42" i="69"/>
  <c r="AT42" i="69"/>
  <c r="AU42" i="69"/>
  <c r="AV42" i="69"/>
  <c r="AW42" i="69"/>
  <c r="AX42" i="69"/>
  <c r="AZ42" i="69"/>
  <c r="BA42" i="69"/>
  <c r="BC42" i="69"/>
  <c r="BD42" i="69"/>
  <c r="BE42" i="69"/>
  <c r="BF42" i="69"/>
  <c r="BH42" i="69"/>
  <c r="BI42" i="69"/>
  <c r="BK42" i="69"/>
  <c r="BL42" i="69"/>
  <c r="BN42" i="69"/>
  <c r="BO42" i="69"/>
  <c r="BQ42" i="69"/>
  <c r="BR42" i="69"/>
  <c r="BT42" i="69"/>
  <c r="BU42" i="69"/>
  <c r="BW42" i="69"/>
  <c r="BX42" i="69"/>
  <c r="BZ42" i="69"/>
  <c r="CA42" i="69"/>
  <c r="CC42" i="69"/>
  <c r="CD42" i="69"/>
  <c r="CF42" i="69"/>
  <c r="CG42" i="69"/>
  <c r="CI42" i="69"/>
  <c r="CJ42" i="69"/>
  <c r="CL42" i="69"/>
  <c r="CM42" i="69"/>
  <c r="CO42" i="69"/>
  <c r="CP42" i="69"/>
  <c r="CR42" i="69"/>
  <c r="CS42" i="69"/>
  <c r="CU42" i="69"/>
  <c r="CV42" i="69"/>
  <c r="CX42" i="69"/>
  <c r="CY42" i="69"/>
  <c r="DA42" i="69"/>
  <c r="DB42" i="69"/>
  <c r="DD42" i="69"/>
  <c r="DE42" i="69"/>
  <c r="DG42" i="69"/>
  <c r="DH42" i="69"/>
  <c r="DJ42" i="69"/>
  <c r="DK42" i="69"/>
  <c r="DM42" i="69"/>
  <c r="DN42" i="69"/>
  <c r="DP42" i="69"/>
  <c r="DQ42" i="69"/>
  <c r="DS42" i="69"/>
  <c r="DT42" i="69"/>
  <c r="DV42" i="69"/>
  <c r="DW42" i="69"/>
  <c r="DY42" i="69"/>
  <c r="DZ42" i="69"/>
  <c r="EA42" i="69"/>
  <c r="EB42" i="69"/>
  <c r="EC42" i="69"/>
  <c r="ED42" i="69"/>
  <c r="EE42" i="69"/>
  <c r="EF42" i="69"/>
  <c r="EG42" i="69"/>
  <c r="EH42" i="69"/>
  <c r="EI42" i="69"/>
  <c r="EJ42" i="69"/>
  <c r="EK42" i="69"/>
  <c r="EL42" i="69"/>
  <c r="EM42" i="69"/>
  <c r="EN42" i="69"/>
  <c r="EO42" i="69"/>
  <c r="EQ42" i="69"/>
  <c r="ER42" i="69"/>
  <c r="ET42" i="69"/>
  <c r="EU42" i="69"/>
  <c r="EV42" i="69"/>
  <c r="EW42" i="69"/>
  <c r="EX42" i="69"/>
  <c r="EY42" i="69"/>
  <c r="EZ42" i="69"/>
  <c r="FA42" i="69"/>
  <c r="FB42" i="69"/>
  <c r="FC42" i="69"/>
  <c r="FD42" i="69"/>
  <c r="FE42" i="69"/>
  <c r="FF42" i="69"/>
  <c r="FG42" i="69"/>
  <c r="FH42" i="69"/>
  <c r="FI42" i="69"/>
  <c r="FJ42" i="69"/>
  <c r="FK42" i="69"/>
  <c r="FL42" i="69"/>
  <c r="FM42" i="69"/>
  <c r="FN42" i="69"/>
  <c r="FO42" i="69"/>
  <c r="FP42" i="69"/>
  <c r="FQ42" i="69"/>
  <c r="A43" i="69"/>
  <c r="B43" i="69"/>
  <c r="C43" i="69"/>
  <c r="AP43" i="69"/>
  <c r="AQ43" i="69"/>
  <c r="AR43" i="69"/>
  <c r="AS43" i="69"/>
  <c r="AT43" i="69"/>
  <c r="AU43" i="69"/>
  <c r="AV43" i="69"/>
  <c r="AW43" i="69"/>
  <c r="AX43" i="69"/>
  <c r="AZ43" i="69"/>
  <c r="BA43" i="69"/>
  <c r="BC43" i="69"/>
  <c r="BD43" i="69"/>
  <c r="BE43" i="69"/>
  <c r="BF43" i="69"/>
  <c r="BH43" i="69"/>
  <c r="BI43" i="69"/>
  <c r="BK43" i="69"/>
  <c r="BL43" i="69"/>
  <c r="BN43" i="69"/>
  <c r="BO43" i="69"/>
  <c r="BQ43" i="69"/>
  <c r="BR43" i="69"/>
  <c r="BT43" i="69"/>
  <c r="BU43" i="69"/>
  <c r="BW43" i="69"/>
  <c r="BX43" i="69"/>
  <c r="BZ43" i="69"/>
  <c r="CA43" i="69"/>
  <c r="CC43" i="69"/>
  <c r="CD43" i="69"/>
  <c r="CF43" i="69"/>
  <c r="CG43" i="69"/>
  <c r="CI43" i="69"/>
  <c r="CJ43" i="69"/>
  <c r="CL43" i="69"/>
  <c r="CM43" i="69"/>
  <c r="CO43" i="69"/>
  <c r="CP43" i="69"/>
  <c r="CR43" i="69"/>
  <c r="CS43" i="69"/>
  <c r="CU43" i="69"/>
  <c r="CV43" i="69"/>
  <c r="CX43" i="69"/>
  <c r="CY43" i="69"/>
  <c r="DA43" i="69"/>
  <c r="DB43" i="69"/>
  <c r="DD43" i="69"/>
  <c r="DE43" i="69"/>
  <c r="DG43" i="69"/>
  <c r="DH43" i="69"/>
  <c r="DJ43" i="69"/>
  <c r="DK43" i="69"/>
  <c r="DM43" i="69"/>
  <c r="DN43" i="69"/>
  <c r="DP43" i="69"/>
  <c r="DQ43" i="69"/>
  <c r="DS43" i="69"/>
  <c r="DT43" i="69"/>
  <c r="DV43" i="69"/>
  <c r="DW43" i="69"/>
  <c r="DY43" i="69"/>
  <c r="DZ43" i="69"/>
  <c r="EA43" i="69"/>
  <c r="EB43" i="69"/>
  <c r="EC43" i="69"/>
  <c r="ED43" i="69"/>
  <c r="EE43" i="69"/>
  <c r="EF43" i="69"/>
  <c r="EG43" i="69"/>
  <c r="EH43" i="69"/>
  <c r="EI43" i="69"/>
  <c r="EJ43" i="69"/>
  <c r="EK43" i="69"/>
  <c r="EL43" i="69"/>
  <c r="EM43" i="69"/>
  <c r="EN43" i="69"/>
  <c r="EO43" i="69"/>
  <c r="EQ43" i="69"/>
  <c r="ER43" i="69"/>
  <c r="ET43" i="69"/>
  <c r="EU43" i="69"/>
  <c r="EV43" i="69"/>
  <c r="EW43" i="69"/>
  <c r="EX43" i="69"/>
  <c r="EY43" i="69"/>
  <c r="EZ43" i="69"/>
  <c r="FA43" i="69"/>
  <c r="FB43" i="69"/>
  <c r="FC43" i="69"/>
  <c r="FD43" i="69"/>
  <c r="FE43" i="69"/>
  <c r="FF43" i="69"/>
  <c r="FG43" i="69"/>
  <c r="FH43" i="69"/>
  <c r="FI43" i="69"/>
  <c r="FJ43" i="69"/>
  <c r="FK43" i="69"/>
  <c r="FL43" i="69"/>
  <c r="FM43" i="69"/>
  <c r="FN43" i="69"/>
  <c r="FO43" i="69"/>
  <c r="FP43" i="69"/>
  <c r="FQ43" i="69"/>
  <c r="A44" i="69"/>
  <c r="B44" i="69"/>
  <c r="C44" i="69"/>
  <c r="AP44" i="69"/>
  <c r="AQ44" i="69"/>
  <c r="AR44" i="69"/>
  <c r="AS44" i="69"/>
  <c r="AT44" i="69"/>
  <c r="AU44" i="69"/>
  <c r="AV44" i="69"/>
  <c r="AW44" i="69"/>
  <c r="AX44" i="69"/>
  <c r="AZ44" i="69"/>
  <c r="BA44" i="69"/>
  <c r="BC44" i="69"/>
  <c r="BD44" i="69"/>
  <c r="BE44" i="69"/>
  <c r="BF44" i="69"/>
  <c r="BH44" i="69"/>
  <c r="BI44" i="69"/>
  <c r="BK44" i="69"/>
  <c r="BL44" i="69"/>
  <c r="BN44" i="69"/>
  <c r="BO44" i="69"/>
  <c r="BQ44" i="69"/>
  <c r="BR44" i="69"/>
  <c r="BT44" i="69"/>
  <c r="BU44" i="69"/>
  <c r="BW44" i="69"/>
  <c r="BX44" i="69"/>
  <c r="BZ44" i="69"/>
  <c r="CA44" i="69"/>
  <c r="CC44" i="69"/>
  <c r="CD44" i="69"/>
  <c r="CF44" i="69"/>
  <c r="CG44" i="69"/>
  <c r="CI44" i="69"/>
  <c r="CJ44" i="69"/>
  <c r="CL44" i="69"/>
  <c r="CM44" i="69"/>
  <c r="CO44" i="69"/>
  <c r="CP44" i="69"/>
  <c r="CR44" i="69"/>
  <c r="CS44" i="69"/>
  <c r="CU44" i="69"/>
  <c r="CV44" i="69"/>
  <c r="CX44" i="69"/>
  <c r="CY44" i="69"/>
  <c r="DA44" i="69"/>
  <c r="DB44" i="69"/>
  <c r="DD44" i="69"/>
  <c r="DE44" i="69"/>
  <c r="DG44" i="69"/>
  <c r="DH44" i="69"/>
  <c r="DJ44" i="69"/>
  <c r="DK44" i="69"/>
  <c r="DM44" i="69"/>
  <c r="DN44" i="69"/>
  <c r="DP44" i="69"/>
  <c r="DQ44" i="69"/>
  <c r="DS44" i="69"/>
  <c r="DT44" i="69"/>
  <c r="DV44" i="69"/>
  <c r="DW44" i="69"/>
  <c r="DY44" i="69"/>
  <c r="DZ44" i="69"/>
  <c r="EA44" i="69"/>
  <c r="EB44" i="69"/>
  <c r="EC44" i="69"/>
  <c r="ED44" i="69"/>
  <c r="EE44" i="69"/>
  <c r="EF44" i="69"/>
  <c r="EG44" i="69"/>
  <c r="EH44" i="69"/>
  <c r="EI44" i="69"/>
  <c r="EJ44" i="69"/>
  <c r="EK44" i="69"/>
  <c r="EL44" i="69"/>
  <c r="EM44" i="69"/>
  <c r="EN44" i="69"/>
  <c r="EO44" i="69"/>
  <c r="EQ44" i="69"/>
  <c r="ER44" i="69"/>
  <c r="ET44" i="69"/>
  <c r="EU44" i="69"/>
  <c r="EV44" i="69"/>
  <c r="EW44" i="69"/>
  <c r="EX44" i="69"/>
  <c r="EY44" i="69"/>
  <c r="EZ44" i="69"/>
  <c r="FA44" i="69"/>
  <c r="FB44" i="69"/>
  <c r="FC44" i="69"/>
  <c r="FD44" i="69"/>
  <c r="FE44" i="69"/>
  <c r="FF44" i="69"/>
  <c r="FG44" i="69"/>
  <c r="FH44" i="69"/>
  <c r="FI44" i="69"/>
  <c r="FJ44" i="69"/>
  <c r="FK44" i="69"/>
  <c r="FL44" i="69"/>
  <c r="FM44" i="69"/>
  <c r="FN44" i="69"/>
  <c r="FO44" i="69"/>
  <c r="FP44" i="69"/>
  <c r="FQ44" i="69"/>
  <c r="A45" i="69"/>
  <c r="B45" i="69"/>
  <c r="C45" i="69"/>
  <c r="AP45" i="69"/>
  <c r="AQ45" i="69"/>
  <c r="AR45" i="69"/>
  <c r="AS45" i="69"/>
  <c r="AT45" i="69"/>
  <c r="AU45" i="69"/>
  <c r="AV45" i="69"/>
  <c r="AW45" i="69"/>
  <c r="AX45" i="69"/>
  <c r="AZ45" i="69"/>
  <c r="BA45" i="69"/>
  <c r="BC45" i="69"/>
  <c r="BD45" i="69"/>
  <c r="BE45" i="69"/>
  <c r="BF45" i="69"/>
  <c r="BH45" i="69"/>
  <c r="BI45" i="69"/>
  <c r="BK45" i="69"/>
  <c r="BL45" i="69"/>
  <c r="BN45" i="69"/>
  <c r="BO45" i="69"/>
  <c r="BQ45" i="69"/>
  <c r="BR45" i="69"/>
  <c r="BT45" i="69"/>
  <c r="BU45" i="69"/>
  <c r="BW45" i="69"/>
  <c r="BX45" i="69"/>
  <c r="BZ45" i="69"/>
  <c r="CA45" i="69"/>
  <c r="CC45" i="69"/>
  <c r="CD45" i="69"/>
  <c r="CF45" i="69"/>
  <c r="CG45" i="69"/>
  <c r="CI45" i="69"/>
  <c r="CJ45" i="69"/>
  <c r="CL45" i="69"/>
  <c r="CM45" i="69"/>
  <c r="CO45" i="69"/>
  <c r="CP45" i="69"/>
  <c r="CR45" i="69"/>
  <c r="CS45" i="69"/>
  <c r="CU45" i="69"/>
  <c r="CV45" i="69"/>
  <c r="CX45" i="69"/>
  <c r="CY45" i="69"/>
  <c r="DA45" i="69"/>
  <c r="DB45" i="69"/>
  <c r="DD45" i="69"/>
  <c r="DE45" i="69"/>
  <c r="DG45" i="69"/>
  <c r="DH45" i="69"/>
  <c r="DJ45" i="69"/>
  <c r="DK45" i="69"/>
  <c r="DM45" i="69"/>
  <c r="DN45" i="69"/>
  <c r="DP45" i="69"/>
  <c r="DQ45" i="69"/>
  <c r="DS45" i="69"/>
  <c r="DT45" i="69"/>
  <c r="DV45" i="69"/>
  <c r="DW45" i="69"/>
  <c r="DY45" i="69"/>
  <c r="DZ45" i="69"/>
  <c r="EA45" i="69"/>
  <c r="EB45" i="69"/>
  <c r="EC45" i="69"/>
  <c r="ED45" i="69"/>
  <c r="EE45" i="69"/>
  <c r="EF45" i="69"/>
  <c r="EG45" i="69"/>
  <c r="EH45" i="69"/>
  <c r="EI45" i="69"/>
  <c r="EJ45" i="69"/>
  <c r="EK45" i="69"/>
  <c r="EL45" i="69"/>
  <c r="EM45" i="69"/>
  <c r="EN45" i="69"/>
  <c r="EO45" i="69"/>
  <c r="EQ45" i="69"/>
  <c r="ER45" i="69"/>
  <c r="ET45" i="69"/>
  <c r="EU45" i="69"/>
  <c r="EV45" i="69"/>
  <c r="EW45" i="69"/>
  <c r="EX45" i="69"/>
  <c r="EY45" i="69"/>
  <c r="EZ45" i="69"/>
  <c r="FA45" i="69"/>
  <c r="FB45" i="69"/>
  <c r="FC45" i="69"/>
  <c r="FD45" i="69"/>
  <c r="FE45" i="69"/>
  <c r="FF45" i="69"/>
  <c r="FG45" i="69"/>
  <c r="FH45" i="69"/>
  <c r="FI45" i="69"/>
  <c r="FJ45" i="69"/>
  <c r="FK45" i="69"/>
  <c r="FL45" i="69"/>
  <c r="FM45" i="69"/>
  <c r="FN45" i="69"/>
  <c r="FO45" i="69"/>
  <c r="FP45" i="69"/>
  <c r="FQ45" i="69"/>
  <c r="A46" i="69"/>
  <c r="B46" i="69"/>
  <c r="C46" i="69"/>
  <c r="AP46" i="69"/>
  <c r="AQ46" i="69"/>
  <c r="AR46" i="69"/>
  <c r="AS46" i="69"/>
  <c r="AT46" i="69"/>
  <c r="AU46" i="69"/>
  <c r="AV46" i="69"/>
  <c r="AW46" i="69"/>
  <c r="AX46" i="69"/>
  <c r="AZ46" i="69"/>
  <c r="BA46" i="69"/>
  <c r="BC46" i="69"/>
  <c r="BD46" i="69"/>
  <c r="BE46" i="69"/>
  <c r="BF46" i="69"/>
  <c r="BH46" i="69"/>
  <c r="BI46" i="69"/>
  <c r="BK46" i="69"/>
  <c r="BL46" i="69"/>
  <c r="BN46" i="69"/>
  <c r="BO46" i="69"/>
  <c r="BQ46" i="69"/>
  <c r="BR46" i="69"/>
  <c r="BT46" i="69"/>
  <c r="BU46" i="69"/>
  <c r="BW46" i="69"/>
  <c r="BX46" i="69"/>
  <c r="BZ46" i="69"/>
  <c r="CA46" i="69"/>
  <c r="CC46" i="69"/>
  <c r="CD46" i="69"/>
  <c r="CF46" i="69"/>
  <c r="CG46" i="69"/>
  <c r="CI46" i="69"/>
  <c r="CJ46" i="69"/>
  <c r="CL46" i="69"/>
  <c r="CM46" i="69"/>
  <c r="CO46" i="69"/>
  <c r="CP46" i="69"/>
  <c r="CR46" i="69"/>
  <c r="CS46" i="69"/>
  <c r="CU46" i="69"/>
  <c r="CV46" i="69"/>
  <c r="CX46" i="69"/>
  <c r="CY46" i="69"/>
  <c r="DA46" i="69"/>
  <c r="DB46" i="69"/>
  <c r="DD46" i="69"/>
  <c r="DE46" i="69"/>
  <c r="DG46" i="69"/>
  <c r="DH46" i="69"/>
  <c r="DJ46" i="69"/>
  <c r="DK46" i="69"/>
  <c r="DM46" i="69"/>
  <c r="DN46" i="69"/>
  <c r="DP46" i="69"/>
  <c r="DQ46" i="69"/>
  <c r="DS46" i="69"/>
  <c r="DT46" i="69"/>
  <c r="DV46" i="69"/>
  <c r="DW46" i="69"/>
  <c r="DY46" i="69"/>
  <c r="DZ46" i="69"/>
  <c r="EA46" i="69"/>
  <c r="EB46" i="69"/>
  <c r="EC46" i="69"/>
  <c r="ED46" i="69"/>
  <c r="EE46" i="69"/>
  <c r="EF46" i="69"/>
  <c r="EG46" i="69"/>
  <c r="EH46" i="69"/>
  <c r="EI46" i="69"/>
  <c r="EJ46" i="69"/>
  <c r="EK46" i="69"/>
  <c r="EL46" i="69"/>
  <c r="EM46" i="69"/>
  <c r="EN46" i="69"/>
  <c r="EO46" i="69"/>
  <c r="EQ46" i="69"/>
  <c r="ER46" i="69"/>
  <c r="ET46" i="69"/>
  <c r="EU46" i="69"/>
  <c r="EV46" i="69"/>
  <c r="EW46" i="69"/>
  <c r="EX46" i="69"/>
  <c r="EY46" i="69"/>
  <c r="EZ46" i="69"/>
  <c r="FA46" i="69"/>
  <c r="FB46" i="69"/>
  <c r="FC46" i="69"/>
  <c r="FD46" i="69"/>
  <c r="FE46" i="69"/>
  <c r="FF46" i="69"/>
  <c r="FG46" i="69"/>
  <c r="FH46" i="69"/>
  <c r="FI46" i="69"/>
  <c r="FJ46" i="69"/>
  <c r="FK46" i="69"/>
  <c r="FL46" i="69"/>
  <c r="FM46" i="69"/>
  <c r="FN46" i="69"/>
  <c r="FO46" i="69"/>
  <c r="FP46" i="69"/>
  <c r="FQ46" i="69"/>
  <c r="A47" i="69"/>
  <c r="B47" i="69"/>
  <c r="C47" i="69"/>
  <c r="AP47" i="69"/>
  <c r="AQ47" i="69"/>
  <c r="AR47" i="69"/>
  <c r="AS47" i="69"/>
  <c r="AT47" i="69"/>
  <c r="AU47" i="69"/>
  <c r="AV47" i="69"/>
  <c r="AW47" i="69"/>
  <c r="AX47" i="69"/>
  <c r="AZ47" i="69"/>
  <c r="BA47" i="69"/>
  <c r="BC47" i="69"/>
  <c r="BD47" i="69"/>
  <c r="BE47" i="69"/>
  <c r="BF47" i="69"/>
  <c r="BH47" i="69"/>
  <c r="BI47" i="69"/>
  <c r="BK47" i="69"/>
  <c r="BL47" i="69"/>
  <c r="BN47" i="69"/>
  <c r="BO47" i="69"/>
  <c r="BQ47" i="69"/>
  <c r="BR47" i="69"/>
  <c r="BT47" i="69"/>
  <c r="BU47" i="69"/>
  <c r="BW47" i="69"/>
  <c r="BX47" i="69"/>
  <c r="BZ47" i="69"/>
  <c r="CA47" i="69"/>
  <c r="CC47" i="69"/>
  <c r="CD47" i="69"/>
  <c r="CF47" i="69"/>
  <c r="CG47" i="69"/>
  <c r="CI47" i="69"/>
  <c r="CJ47" i="69"/>
  <c r="CL47" i="69"/>
  <c r="CM47" i="69"/>
  <c r="CO47" i="69"/>
  <c r="CP47" i="69"/>
  <c r="CR47" i="69"/>
  <c r="CS47" i="69"/>
  <c r="CU47" i="69"/>
  <c r="CV47" i="69"/>
  <c r="CX47" i="69"/>
  <c r="CY47" i="69"/>
  <c r="DA47" i="69"/>
  <c r="DB47" i="69"/>
  <c r="DD47" i="69"/>
  <c r="DE47" i="69"/>
  <c r="DG47" i="69"/>
  <c r="DH47" i="69"/>
  <c r="DJ47" i="69"/>
  <c r="DK47" i="69"/>
  <c r="DM47" i="69"/>
  <c r="DN47" i="69"/>
  <c r="DP47" i="69"/>
  <c r="DQ47" i="69"/>
  <c r="DS47" i="69"/>
  <c r="DT47" i="69"/>
  <c r="DV47" i="69"/>
  <c r="DW47" i="69"/>
  <c r="DY47" i="69"/>
  <c r="DZ47" i="69"/>
  <c r="EA47" i="69"/>
  <c r="EB47" i="69"/>
  <c r="EC47" i="69"/>
  <c r="ED47" i="69"/>
  <c r="EE47" i="69"/>
  <c r="EF47" i="69"/>
  <c r="EG47" i="69"/>
  <c r="EH47" i="69"/>
  <c r="EI47" i="69"/>
  <c r="EJ47" i="69"/>
  <c r="EK47" i="69"/>
  <c r="EL47" i="69"/>
  <c r="EM47" i="69"/>
  <c r="EN47" i="69"/>
  <c r="EO47" i="69"/>
  <c r="EQ47" i="69"/>
  <c r="ER47" i="69"/>
  <c r="ET47" i="69"/>
  <c r="EU47" i="69"/>
  <c r="EV47" i="69"/>
  <c r="EW47" i="69"/>
  <c r="EX47" i="69"/>
  <c r="EY47" i="69"/>
  <c r="EZ47" i="69"/>
  <c r="FA47" i="69"/>
  <c r="FB47" i="69"/>
  <c r="FC47" i="69"/>
  <c r="FD47" i="69"/>
  <c r="FE47" i="69"/>
  <c r="FF47" i="69"/>
  <c r="FG47" i="69"/>
  <c r="FH47" i="69"/>
  <c r="FI47" i="69"/>
  <c r="FJ47" i="69"/>
  <c r="FK47" i="69"/>
  <c r="FL47" i="69"/>
  <c r="FM47" i="69"/>
  <c r="FN47" i="69"/>
  <c r="FO47" i="69"/>
  <c r="FP47" i="69"/>
  <c r="FQ47" i="69"/>
  <c r="A48" i="69"/>
  <c r="B48" i="69"/>
  <c r="C48" i="69"/>
  <c r="AP48" i="69"/>
  <c r="AQ48" i="69"/>
  <c r="AR48" i="69"/>
  <c r="AS48" i="69"/>
  <c r="AT48" i="69"/>
  <c r="AU48" i="69"/>
  <c r="AV48" i="69"/>
  <c r="AW48" i="69"/>
  <c r="AX48" i="69"/>
  <c r="AZ48" i="69"/>
  <c r="BA48" i="69"/>
  <c r="BC48" i="69"/>
  <c r="BD48" i="69"/>
  <c r="BE48" i="69"/>
  <c r="BF48" i="69"/>
  <c r="BH48" i="69"/>
  <c r="BI48" i="69"/>
  <c r="BK48" i="69"/>
  <c r="BL48" i="69"/>
  <c r="BN48" i="69"/>
  <c r="BO48" i="69"/>
  <c r="BQ48" i="69"/>
  <c r="BR48" i="69"/>
  <c r="BT48" i="69"/>
  <c r="BU48" i="69"/>
  <c r="BW48" i="69"/>
  <c r="BX48" i="69"/>
  <c r="BZ48" i="69"/>
  <c r="CA48" i="69"/>
  <c r="CC48" i="69"/>
  <c r="CD48" i="69"/>
  <c r="CF48" i="69"/>
  <c r="CG48" i="69"/>
  <c r="CI48" i="69"/>
  <c r="CJ48" i="69"/>
  <c r="CL48" i="69"/>
  <c r="CM48" i="69"/>
  <c r="CO48" i="69"/>
  <c r="CP48" i="69"/>
  <c r="CR48" i="69"/>
  <c r="CS48" i="69"/>
  <c r="CU48" i="69"/>
  <c r="CV48" i="69"/>
  <c r="CX48" i="69"/>
  <c r="CY48" i="69"/>
  <c r="DA48" i="69"/>
  <c r="DB48" i="69"/>
  <c r="DD48" i="69"/>
  <c r="DE48" i="69"/>
  <c r="DG48" i="69"/>
  <c r="DH48" i="69"/>
  <c r="DJ48" i="69"/>
  <c r="DK48" i="69"/>
  <c r="DM48" i="69"/>
  <c r="DN48" i="69"/>
  <c r="DP48" i="69"/>
  <c r="DQ48" i="69"/>
  <c r="DS48" i="69"/>
  <c r="DT48" i="69"/>
  <c r="DV48" i="69"/>
  <c r="DW48" i="69"/>
  <c r="DY48" i="69"/>
  <c r="DZ48" i="69"/>
  <c r="EA48" i="69"/>
  <c r="EB48" i="69"/>
  <c r="EC48" i="69"/>
  <c r="ED48" i="69"/>
  <c r="EE48" i="69"/>
  <c r="EF48" i="69"/>
  <c r="EG48" i="69"/>
  <c r="EH48" i="69"/>
  <c r="EI48" i="69"/>
  <c r="EJ48" i="69"/>
  <c r="EK48" i="69"/>
  <c r="EL48" i="69"/>
  <c r="EM48" i="69"/>
  <c r="EN48" i="69"/>
  <c r="EO48" i="69"/>
  <c r="EQ48" i="69"/>
  <c r="ER48" i="69"/>
  <c r="ET48" i="69"/>
  <c r="EU48" i="69"/>
  <c r="EV48" i="69"/>
  <c r="EW48" i="69"/>
  <c r="EX48" i="69"/>
  <c r="EY48" i="69"/>
  <c r="EZ48" i="69"/>
  <c r="FA48" i="69"/>
  <c r="FB48" i="69"/>
  <c r="FC48" i="69"/>
  <c r="FD48" i="69"/>
  <c r="FE48" i="69"/>
  <c r="FF48" i="69"/>
  <c r="FG48" i="69"/>
  <c r="FH48" i="69"/>
  <c r="FI48" i="69"/>
  <c r="FJ48" i="69"/>
  <c r="FK48" i="69"/>
  <c r="FL48" i="69"/>
  <c r="FM48" i="69"/>
  <c r="FN48" i="69"/>
  <c r="FO48" i="69"/>
  <c r="FP48" i="69"/>
  <c r="FQ48" i="69"/>
  <c r="A49" i="69"/>
  <c r="B49" i="69"/>
  <c r="C49" i="69"/>
  <c r="AP49" i="69"/>
  <c r="AQ49" i="69"/>
  <c r="AR49" i="69"/>
  <c r="AS49" i="69"/>
  <c r="AT49" i="69"/>
  <c r="AU49" i="69"/>
  <c r="AV49" i="69"/>
  <c r="AW49" i="69"/>
  <c r="AX49" i="69"/>
  <c r="AZ49" i="69"/>
  <c r="BA49" i="69"/>
  <c r="BC49" i="69"/>
  <c r="BD49" i="69"/>
  <c r="BE49" i="69"/>
  <c r="BF49" i="69"/>
  <c r="BH49" i="69"/>
  <c r="BI49" i="69"/>
  <c r="BK49" i="69"/>
  <c r="BL49" i="69"/>
  <c r="BN49" i="69"/>
  <c r="BO49" i="69"/>
  <c r="BQ49" i="69"/>
  <c r="BR49" i="69"/>
  <c r="BT49" i="69"/>
  <c r="BU49" i="69"/>
  <c r="BW49" i="69"/>
  <c r="BX49" i="69"/>
  <c r="BZ49" i="69"/>
  <c r="CA49" i="69"/>
  <c r="CC49" i="69"/>
  <c r="CD49" i="69"/>
  <c r="CF49" i="69"/>
  <c r="CG49" i="69"/>
  <c r="CI49" i="69"/>
  <c r="CJ49" i="69"/>
  <c r="CL49" i="69"/>
  <c r="CM49" i="69"/>
  <c r="CO49" i="69"/>
  <c r="CP49" i="69"/>
  <c r="CR49" i="69"/>
  <c r="CS49" i="69"/>
  <c r="CU49" i="69"/>
  <c r="CV49" i="69"/>
  <c r="CX49" i="69"/>
  <c r="CY49" i="69"/>
  <c r="DA49" i="69"/>
  <c r="DB49" i="69"/>
  <c r="DD49" i="69"/>
  <c r="DE49" i="69"/>
  <c r="DG49" i="69"/>
  <c r="DH49" i="69"/>
  <c r="DJ49" i="69"/>
  <c r="DK49" i="69"/>
  <c r="DM49" i="69"/>
  <c r="DN49" i="69"/>
  <c r="DP49" i="69"/>
  <c r="DQ49" i="69"/>
  <c r="DS49" i="69"/>
  <c r="DT49" i="69"/>
  <c r="DV49" i="69"/>
  <c r="DW49" i="69"/>
  <c r="DY49" i="69"/>
  <c r="DZ49" i="69"/>
  <c r="EA49" i="69"/>
  <c r="EB49" i="69"/>
  <c r="EC49" i="69"/>
  <c r="ED49" i="69"/>
  <c r="EE49" i="69"/>
  <c r="EF49" i="69"/>
  <c r="EG49" i="69"/>
  <c r="EH49" i="69"/>
  <c r="EI49" i="69"/>
  <c r="EJ49" i="69"/>
  <c r="EK49" i="69"/>
  <c r="EL49" i="69"/>
  <c r="EM49" i="69"/>
  <c r="EN49" i="69"/>
  <c r="EO49" i="69"/>
  <c r="EQ49" i="69"/>
  <c r="ER49" i="69"/>
  <c r="ET49" i="69"/>
  <c r="EU49" i="69"/>
  <c r="EV49" i="69"/>
  <c r="EW49" i="69"/>
  <c r="EX49" i="69"/>
  <c r="EY49" i="69"/>
  <c r="EZ49" i="69"/>
  <c r="FA49" i="69"/>
  <c r="FB49" i="69"/>
  <c r="FC49" i="69"/>
  <c r="FD49" i="69"/>
  <c r="FE49" i="69"/>
  <c r="FF49" i="69"/>
  <c r="FG49" i="69"/>
  <c r="FH49" i="69"/>
  <c r="FI49" i="69"/>
  <c r="FJ49" i="69"/>
  <c r="FK49" i="69"/>
  <c r="FL49" i="69"/>
  <c r="FM49" i="69"/>
  <c r="FN49" i="69"/>
  <c r="FO49" i="69"/>
  <c r="FP49" i="69"/>
  <c r="FQ49" i="69"/>
  <c r="A50" i="69"/>
  <c r="B50" i="69"/>
  <c r="C50" i="69"/>
  <c r="AP50" i="69"/>
  <c r="AQ50" i="69"/>
  <c r="AR50" i="69"/>
  <c r="AS50" i="69"/>
  <c r="AT50" i="69"/>
  <c r="AU50" i="69"/>
  <c r="AV50" i="69"/>
  <c r="AW50" i="69"/>
  <c r="AX50" i="69"/>
  <c r="AZ50" i="69"/>
  <c r="BA50" i="69"/>
  <c r="BC50" i="69"/>
  <c r="BD50" i="69"/>
  <c r="BE50" i="69"/>
  <c r="BF50" i="69"/>
  <c r="BH50" i="69"/>
  <c r="BI50" i="69"/>
  <c r="BK50" i="69"/>
  <c r="BL50" i="69"/>
  <c r="BN50" i="69"/>
  <c r="BO50" i="69"/>
  <c r="BQ50" i="69"/>
  <c r="BR50" i="69"/>
  <c r="BT50" i="69"/>
  <c r="BU50" i="69"/>
  <c r="BW50" i="69"/>
  <c r="BX50" i="69"/>
  <c r="BZ50" i="69"/>
  <c r="CA50" i="69"/>
  <c r="CC50" i="69"/>
  <c r="CD50" i="69"/>
  <c r="CF50" i="69"/>
  <c r="CG50" i="69"/>
  <c r="CI50" i="69"/>
  <c r="CJ50" i="69"/>
  <c r="CL50" i="69"/>
  <c r="CM50" i="69"/>
  <c r="CO50" i="69"/>
  <c r="CP50" i="69"/>
  <c r="CR50" i="69"/>
  <c r="CS50" i="69"/>
  <c r="CU50" i="69"/>
  <c r="CV50" i="69"/>
  <c r="CX50" i="69"/>
  <c r="CY50" i="69"/>
  <c r="DA50" i="69"/>
  <c r="DB50" i="69"/>
  <c r="DD50" i="69"/>
  <c r="DE50" i="69"/>
  <c r="DG50" i="69"/>
  <c r="DH50" i="69"/>
  <c r="DJ50" i="69"/>
  <c r="DK50" i="69"/>
  <c r="DM50" i="69"/>
  <c r="DN50" i="69"/>
  <c r="DP50" i="69"/>
  <c r="DQ50" i="69"/>
  <c r="DS50" i="69"/>
  <c r="DT50" i="69"/>
  <c r="DV50" i="69"/>
  <c r="DW50" i="69"/>
  <c r="DY50" i="69"/>
  <c r="DZ50" i="69"/>
  <c r="EA50" i="69"/>
  <c r="EB50" i="69"/>
  <c r="EC50" i="69"/>
  <c r="ED50" i="69"/>
  <c r="EE50" i="69"/>
  <c r="EF50" i="69"/>
  <c r="EG50" i="69"/>
  <c r="EH50" i="69"/>
  <c r="EI50" i="69"/>
  <c r="EJ50" i="69"/>
  <c r="EK50" i="69"/>
  <c r="EL50" i="69"/>
  <c r="EM50" i="69"/>
  <c r="EN50" i="69"/>
  <c r="EO50" i="69"/>
  <c r="EQ50" i="69"/>
  <c r="ER50" i="69"/>
  <c r="ET50" i="69"/>
  <c r="EU50" i="69"/>
  <c r="EV50" i="69"/>
  <c r="EW50" i="69"/>
  <c r="EX50" i="69"/>
  <c r="EY50" i="69"/>
  <c r="EZ50" i="69"/>
  <c r="FA50" i="69"/>
  <c r="FB50" i="69"/>
  <c r="FC50" i="69"/>
  <c r="FD50" i="69"/>
  <c r="FE50" i="69"/>
  <c r="FF50" i="69"/>
  <c r="FG50" i="69"/>
  <c r="FH50" i="69"/>
  <c r="FI50" i="69"/>
  <c r="FJ50" i="69"/>
  <c r="FK50" i="69"/>
  <c r="FL50" i="69"/>
  <c r="FM50" i="69"/>
  <c r="FN50" i="69"/>
  <c r="FO50" i="69"/>
  <c r="FP50" i="69"/>
  <c r="FQ50" i="69"/>
  <c r="A51" i="69"/>
  <c r="B51" i="69"/>
  <c r="C51" i="69"/>
  <c r="AP51" i="69"/>
  <c r="AQ51" i="69"/>
  <c r="AR51" i="69"/>
  <c r="AS51" i="69"/>
  <c r="AT51" i="69"/>
  <c r="AU51" i="69"/>
  <c r="AV51" i="69"/>
  <c r="AW51" i="69"/>
  <c r="AX51" i="69"/>
  <c r="AZ51" i="69"/>
  <c r="BA51" i="69"/>
  <c r="BC51" i="69"/>
  <c r="BD51" i="69"/>
  <c r="BE51" i="69"/>
  <c r="BF51" i="69"/>
  <c r="BH51" i="69"/>
  <c r="BI51" i="69"/>
  <c r="BK51" i="69"/>
  <c r="BL51" i="69"/>
  <c r="BN51" i="69"/>
  <c r="BO51" i="69"/>
  <c r="BQ51" i="69"/>
  <c r="BR51" i="69"/>
  <c r="BT51" i="69"/>
  <c r="BU51" i="69"/>
  <c r="BW51" i="69"/>
  <c r="BX51" i="69"/>
  <c r="BZ51" i="69"/>
  <c r="CA51" i="69"/>
  <c r="CC51" i="69"/>
  <c r="CD51" i="69"/>
  <c r="CF51" i="69"/>
  <c r="CG51" i="69"/>
  <c r="CI51" i="69"/>
  <c r="CJ51" i="69"/>
  <c r="CL51" i="69"/>
  <c r="CM51" i="69"/>
  <c r="CO51" i="69"/>
  <c r="CP51" i="69"/>
  <c r="CR51" i="69"/>
  <c r="CS51" i="69"/>
  <c r="CU51" i="69"/>
  <c r="CV51" i="69"/>
  <c r="CX51" i="69"/>
  <c r="CY51" i="69"/>
  <c r="DA51" i="69"/>
  <c r="DB51" i="69"/>
  <c r="DD51" i="69"/>
  <c r="DE51" i="69"/>
  <c r="DG51" i="69"/>
  <c r="DH51" i="69"/>
  <c r="DJ51" i="69"/>
  <c r="DK51" i="69"/>
  <c r="DM51" i="69"/>
  <c r="DN51" i="69"/>
  <c r="DP51" i="69"/>
  <c r="DQ51" i="69"/>
  <c r="DS51" i="69"/>
  <c r="DT51" i="69"/>
  <c r="DV51" i="69"/>
  <c r="DW51" i="69"/>
  <c r="DY51" i="69"/>
  <c r="DZ51" i="69"/>
  <c r="EA51" i="69"/>
  <c r="EB51" i="69"/>
  <c r="EC51" i="69"/>
  <c r="ED51" i="69"/>
  <c r="EE51" i="69"/>
  <c r="EF51" i="69"/>
  <c r="EG51" i="69"/>
  <c r="EH51" i="69"/>
  <c r="EI51" i="69"/>
  <c r="EJ51" i="69"/>
  <c r="EK51" i="69"/>
  <c r="EL51" i="69"/>
  <c r="EM51" i="69"/>
  <c r="EN51" i="69"/>
  <c r="EO51" i="69"/>
  <c r="EQ51" i="69"/>
  <c r="ER51" i="69"/>
  <c r="ET51" i="69"/>
  <c r="EU51" i="69"/>
  <c r="EV51" i="69"/>
  <c r="EW51" i="69"/>
  <c r="EX51" i="69"/>
  <c r="EY51" i="69"/>
  <c r="EZ51" i="69"/>
  <c r="FA51" i="69"/>
  <c r="FB51" i="69"/>
  <c r="FC51" i="69"/>
  <c r="FD51" i="69"/>
  <c r="FE51" i="69"/>
  <c r="FF51" i="69"/>
  <c r="FG51" i="69"/>
  <c r="FH51" i="69"/>
  <c r="FI51" i="69"/>
  <c r="FJ51" i="69"/>
  <c r="FK51" i="69"/>
  <c r="FL51" i="69"/>
  <c r="FM51" i="69"/>
  <c r="FN51" i="69"/>
  <c r="FO51" i="69"/>
  <c r="FP51" i="69"/>
  <c r="FQ51" i="69"/>
  <c r="A52" i="69"/>
  <c r="B52" i="69"/>
  <c r="C52" i="69"/>
  <c r="AP52" i="69"/>
  <c r="AQ52" i="69"/>
  <c r="AR52" i="69"/>
  <c r="AS52" i="69"/>
  <c r="AT52" i="69"/>
  <c r="AU52" i="69"/>
  <c r="AV52" i="69"/>
  <c r="AW52" i="69"/>
  <c r="AX52" i="69"/>
  <c r="AZ52" i="69"/>
  <c r="BA52" i="69"/>
  <c r="BC52" i="69"/>
  <c r="BD52" i="69"/>
  <c r="BE52" i="69"/>
  <c r="BF52" i="69"/>
  <c r="BH52" i="69"/>
  <c r="BI52" i="69"/>
  <c r="BK52" i="69"/>
  <c r="BL52" i="69"/>
  <c r="BN52" i="69"/>
  <c r="BO52" i="69"/>
  <c r="BQ52" i="69"/>
  <c r="BR52" i="69"/>
  <c r="BT52" i="69"/>
  <c r="BU52" i="69"/>
  <c r="BW52" i="69"/>
  <c r="BX52" i="69"/>
  <c r="BZ52" i="69"/>
  <c r="CA52" i="69"/>
  <c r="CC52" i="69"/>
  <c r="CD52" i="69"/>
  <c r="CF52" i="69"/>
  <c r="CG52" i="69"/>
  <c r="CI52" i="69"/>
  <c r="CJ52" i="69"/>
  <c r="CL52" i="69"/>
  <c r="CM52" i="69"/>
  <c r="CO52" i="69"/>
  <c r="CP52" i="69"/>
  <c r="CR52" i="69"/>
  <c r="CS52" i="69"/>
  <c r="CU52" i="69"/>
  <c r="CV52" i="69"/>
  <c r="CX52" i="69"/>
  <c r="CY52" i="69"/>
  <c r="DA52" i="69"/>
  <c r="DB52" i="69"/>
  <c r="DD52" i="69"/>
  <c r="DE52" i="69"/>
  <c r="DG52" i="69"/>
  <c r="DH52" i="69"/>
  <c r="DJ52" i="69"/>
  <c r="DK52" i="69"/>
  <c r="DM52" i="69"/>
  <c r="DN52" i="69"/>
  <c r="DP52" i="69"/>
  <c r="DQ52" i="69"/>
  <c r="DS52" i="69"/>
  <c r="DT52" i="69"/>
  <c r="DV52" i="69"/>
  <c r="DW52" i="69"/>
  <c r="DY52" i="69"/>
  <c r="DZ52" i="69"/>
  <c r="EA52" i="69"/>
  <c r="EB52" i="69"/>
  <c r="EC52" i="69"/>
  <c r="ED52" i="69"/>
  <c r="EE52" i="69"/>
  <c r="EF52" i="69"/>
  <c r="EG52" i="69"/>
  <c r="EH52" i="69"/>
  <c r="EI52" i="69"/>
  <c r="EJ52" i="69"/>
  <c r="EK52" i="69"/>
  <c r="EL52" i="69"/>
  <c r="EM52" i="69"/>
  <c r="EN52" i="69"/>
  <c r="EO52" i="69"/>
  <c r="EQ52" i="69"/>
  <c r="ER52" i="69"/>
  <c r="ET52" i="69"/>
  <c r="EU52" i="69"/>
  <c r="EV52" i="69"/>
  <c r="EW52" i="69"/>
  <c r="EX52" i="69"/>
  <c r="EY52" i="69"/>
  <c r="EZ52" i="69"/>
  <c r="FA52" i="69"/>
  <c r="FB52" i="69"/>
  <c r="FC52" i="69"/>
  <c r="FD52" i="69"/>
  <c r="FE52" i="69"/>
  <c r="FF52" i="69"/>
  <c r="FG52" i="69"/>
  <c r="FH52" i="69"/>
  <c r="FI52" i="69"/>
  <c r="FJ52" i="69"/>
  <c r="FK52" i="69"/>
  <c r="FL52" i="69"/>
  <c r="FM52" i="69"/>
  <c r="FN52" i="69"/>
  <c r="FO52" i="69"/>
  <c r="FP52" i="69"/>
  <c r="FQ52" i="69"/>
  <c r="A53" i="69"/>
  <c r="B53" i="69"/>
  <c r="C53" i="69"/>
  <c r="AP53" i="69"/>
  <c r="AQ53" i="69"/>
  <c r="AR53" i="69"/>
  <c r="AS53" i="69"/>
  <c r="AT53" i="69"/>
  <c r="AU53" i="69"/>
  <c r="AV53" i="69"/>
  <c r="AW53" i="69"/>
  <c r="AX53" i="69"/>
  <c r="AZ53" i="69"/>
  <c r="BA53" i="69"/>
  <c r="BC53" i="69"/>
  <c r="BD53" i="69"/>
  <c r="BE53" i="69"/>
  <c r="BF53" i="69"/>
  <c r="BH53" i="69"/>
  <c r="BI53" i="69"/>
  <c r="BK53" i="69"/>
  <c r="BL53" i="69"/>
  <c r="BN53" i="69"/>
  <c r="BO53" i="69"/>
  <c r="BQ53" i="69"/>
  <c r="BR53" i="69"/>
  <c r="BT53" i="69"/>
  <c r="BU53" i="69"/>
  <c r="BW53" i="69"/>
  <c r="BX53" i="69"/>
  <c r="BZ53" i="69"/>
  <c r="CA53" i="69"/>
  <c r="CC53" i="69"/>
  <c r="CD53" i="69"/>
  <c r="CF53" i="69"/>
  <c r="CG53" i="69"/>
  <c r="CI53" i="69"/>
  <c r="CJ53" i="69"/>
  <c r="CL53" i="69"/>
  <c r="CM53" i="69"/>
  <c r="CO53" i="69"/>
  <c r="CP53" i="69"/>
  <c r="CR53" i="69"/>
  <c r="CS53" i="69"/>
  <c r="CU53" i="69"/>
  <c r="CV53" i="69"/>
  <c r="CX53" i="69"/>
  <c r="CY53" i="69"/>
  <c r="DA53" i="69"/>
  <c r="DB53" i="69"/>
  <c r="DD53" i="69"/>
  <c r="DE53" i="69"/>
  <c r="DG53" i="69"/>
  <c r="DH53" i="69"/>
  <c r="DJ53" i="69"/>
  <c r="DK53" i="69"/>
  <c r="DM53" i="69"/>
  <c r="DN53" i="69"/>
  <c r="DP53" i="69"/>
  <c r="DQ53" i="69"/>
  <c r="DS53" i="69"/>
  <c r="DT53" i="69"/>
  <c r="DV53" i="69"/>
  <c r="DW53" i="69"/>
  <c r="DY53" i="69"/>
  <c r="DZ53" i="69"/>
  <c r="EA53" i="69"/>
  <c r="EB53" i="69"/>
  <c r="EC53" i="69"/>
  <c r="ED53" i="69"/>
  <c r="EE53" i="69"/>
  <c r="EF53" i="69"/>
  <c r="EG53" i="69"/>
  <c r="EH53" i="69"/>
  <c r="EI53" i="69"/>
  <c r="EJ53" i="69"/>
  <c r="EK53" i="69"/>
  <c r="EL53" i="69"/>
  <c r="EM53" i="69"/>
  <c r="EN53" i="69"/>
  <c r="EO53" i="69"/>
  <c r="EQ53" i="69"/>
  <c r="ER53" i="69"/>
  <c r="ET53" i="69"/>
  <c r="EU53" i="69"/>
  <c r="EV53" i="69"/>
  <c r="EW53" i="69"/>
  <c r="EX53" i="69"/>
  <c r="EY53" i="69"/>
  <c r="EZ53" i="69"/>
  <c r="FA53" i="69"/>
  <c r="FB53" i="69"/>
  <c r="FC53" i="69"/>
  <c r="FD53" i="69"/>
  <c r="FE53" i="69"/>
  <c r="FF53" i="69"/>
  <c r="FG53" i="69"/>
  <c r="FH53" i="69"/>
  <c r="FI53" i="69"/>
  <c r="FJ53" i="69"/>
  <c r="FK53" i="69"/>
  <c r="FL53" i="69"/>
  <c r="FM53" i="69"/>
  <c r="FN53" i="69"/>
  <c r="FO53" i="69"/>
  <c r="FP53" i="69"/>
  <c r="FQ53" i="69"/>
  <c r="A54" i="69"/>
  <c r="B54" i="69"/>
  <c r="C54" i="69"/>
  <c r="AP54" i="69"/>
  <c r="AQ54" i="69"/>
  <c r="AR54" i="69"/>
  <c r="AS54" i="69"/>
  <c r="AT54" i="69"/>
  <c r="AU54" i="69"/>
  <c r="AV54" i="69"/>
  <c r="AW54" i="69"/>
  <c r="AX54" i="69"/>
  <c r="AZ54" i="69"/>
  <c r="BA54" i="69"/>
  <c r="BC54" i="69"/>
  <c r="BD54" i="69"/>
  <c r="BE54" i="69"/>
  <c r="BF54" i="69"/>
  <c r="BH54" i="69"/>
  <c r="BI54" i="69"/>
  <c r="BK54" i="69"/>
  <c r="BL54" i="69"/>
  <c r="BN54" i="69"/>
  <c r="BO54" i="69"/>
  <c r="BQ54" i="69"/>
  <c r="BR54" i="69"/>
  <c r="BT54" i="69"/>
  <c r="BU54" i="69"/>
  <c r="BW54" i="69"/>
  <c r="BX54" i="69"/>
  <c r="BZ54" i="69"/>
  <c r="CA54" i="69"/>
  <c r="CC54" i="69"/>
  <c r="CD54" i="69"/>
  <c r="CF54" i="69"/>
  <c r="CG54" i="69"/>
  <c r="CI54" i="69"/>
  <c r="CJ54" i="69"/>
  <c r="CL54" i="69"/>
  <c r="CM54" i="69"/>
  <c r="CO54" i="69"/>
  <c r="CP54" i="69"/>
  <c r="CR54" i="69"/>
  <c r="CS54" i="69"/>
  <c r="CU54" i="69"/>
  <c r="CV54" i="69"/>
  <c r="CX54" i="69"/>
  <c r="CY54" i="69"/>
  <c r="DA54" i="69"/>
  <c r="DB54" i="69"/>
  <c r="DD54" i="69"/>
  <c r="DE54" i="69"/>
  <c r="DG54" i="69"/>
  <c r="DH54" i="69"/>
  <c r="DJ54" i="69"/>
  <c r="DK54" i="69"/>
  <c r="DM54" i="69"/>
  <c r="DN54" i="69"/>
  <c r="DP54" i="69"/>
  <c r="DQ54" i="69"/>
  <c r="DS54" i="69"/>
  <c r="DT54" i="69"/>
  <c r="DV54" i="69"/>
  <c r="DW54" i="69"/>
  <c r="DY54" i="69"/>
  <c r="DZ54" i="69"/>
  <c r="EA54" i="69"/>
  <c r="EB54" i="69"/>
  <c r="EC54" i="69"/>
  <c r="ED54" i="69"/>
  <c r="EE54" i="69"/>
  <c r="EF54" i="69"/>
  <c r="EG54" i="69"/>
  <c r="EH54" i="69"/>
  <c r="EI54" i="69"/>
  <c r="EJ54" i="69"/>
  <c r="EK54" i="69"/>
  <c r="EL54" i="69"/>
  <c r="EM54" i="69"/>
  <c r="EN54" i="69"/>
  <c r="EO54" i="69"/>
  <c r="EQ54" i="69"/>
  <c r="ER54" i="69"/>
  <c r="ET54" i="69"/>
  <c r="EU54" i="69"/>
  <c r="EV54" i="69"/>
  <c r="EW54" i="69"/>
  <c r="EX54" i="69"/>
  <c r="EY54" i="69"/>
  <c r="EZ54" i="69"/>
  <c r="FA54" i="69"/>
  <c r="FB54" i="69"/>
  <c r="FC54" i="69"/>
  <c r="FD54" i="69"/>
  <c r="FE54" i="69"/>
  <c r="FF54" i="69"/>
  <c r="FG54" i="69"/>
  <c r="FH54" i="69"/>
  <c r="FI54" i="69"/>
  <c r="FJ54" i="69"/>
  <c r="FK54" i="69"/>
  <c r="FL54" i="69"/>
  <c r="FM54" i="69"/>
  <c r="FN54" i="69"/>
  <c r="FO54" i="69"/>
  <c r="FP54" i="69"/>
  <c r="FQ54" i="69"/>
  <c r="A55" i="69"/>
  <c r="B55" i="69"/>
  <c r="C55" i="69"/>
  <c r="AP55" i="69"/>
  <c r="AQ55" i="69"/>
  <c r="AR55" i="69"/>
  <c r="AS55" i="69"/>
  <c r="AT55" i="69"/>
  <c r="AU55" i="69"/>
  <c r="AV55" i="69"/>
  <c r="AW55" i="69"/>
  <c r="AX55" i="69"/>
  <c r="AZ55" i="69"/>
  <c r="BA55" i="69"/>
  <c r="BC55" i="69"/>
  <c r="BD55" i="69"/>
  <c r="BE55" i="69"/>
  <c r="BF55" i="69"/>
  <c r="BH55" i="69"/>
  <c r="BI55" i="69"/>
  <c r="BK55" i="69"/>
  <c r="BL55" i="69"/>
  <c r="BN55" i="69"/>
  <c r="BO55" i="69"/>
  <c r="BQ55" i="69"/>
  <c r="BR55" i="69"/>
  <c r="BT55" i="69"/>
  <c r="BU55" i="69"/>
  <c r="BW55" i="69"/>
  <c r="BX55" i="69"/>
  <c r="BZ55" i="69"/>
  <c r="CA55" i="69"/>
  <c r="CC55" i="69"/>
  <c r="CD55" i="69"/>
  <c r="CF55" i="69"/>
  <c r="CG55" i="69"/>
  <c r="CI55" i="69"/>
  <c r="CJ55" i="69"/>
  <c r="CL55" i="69"/>
  <c r="CM55" i="69"/>
  <c r="CO55" i="69"/>
  <c r="CP55" i="69"/>
  <c r="CR55" i="69"/>
  <c r="CS55" i="69"/>
  <c r="CU55" i="69"/>
  <c r="CV55" i="69"/>
  <c r="CX55" i="69"/>
  <c r="CY55" i="69"/>
  <c r="DA55" i="69"/>
  <c r="DB55" i="69"/>
  <c r="DD55" i="69"/>
  <c r="DE55" i="69"/>
  <c r="DG55" i="69"/>
  <c r="DH55" i="69"/>
  <c r="DJ55" i="69"/>
  <c r="DK55" i="69"/>
  <c r="DM55" i="69"/>
  <c r="DN55" i="69"/>
  <c r="DP55" i="69"/>
  <c r="DQ55" i="69"/>
  <c r="DS55" i="69"/>
  <c r="DT55" i="69"/>
  <c r="DV55" i="69"/>
  <c r="DW55" i="69"/>
  <c r="DY55" i="69"/>
  <c r="DZ55" i="69"/>
  <c r="EA55" i="69"/>
  <c r="EB55" i="69"/>
  <c r="EC55" i="69"/>
  <c r="ED55" i="69"/>
  <c r="EE55" i="69"/>
  <c r="EF55" i="69"/>
  <c r="EG55" i="69"/>
  <c r="EH55" i="69"/>
  <c r="EI55" i="69"/>
  <c r="EJ55" i="69"/>
  <c r="EK55" i="69"/>
  <c r="EL55" i="69"/>
  <c r="EM55" i="69"/>
  <c r="EN55" i="69"/>
  <c r="EO55" i="69"/>
  <c r="EQ55" i="69"/>
  <c r="ER55" i="69"/>
  <c r="ET55" i="69"/>
  <c r="EU55" i="69"/>
  <c r="EV55" i="69"/>
  <c r="EW55" i="69"/>
  <c r="EX55" i="69"/>
  <c r="EY55" i="69"/>
  <c r="EZ55" i="69"/>
  <c r="FA55" i="69"/>
  <c r="FB55" i="69"/>
  <c r="FC55" i="69"/>
  <c r="FD55" i="69"/>
  <c r="FE55" i="69"/>
  <c r="FF55" i="69"/>
  <c r="FG55" i="69"/>
  <c r="FH55" i="69"/>
  <c r="FI55" i="69"/>
  <c r="FJ55" i="69"/>
  <c r="FK55" i="69"/>
  <c r="FL55" i="69"/>
  <c r="FM55" i="69"/>
  <c r="FN55" i="69"/>
  <c r="FO55" i="69"/>
  <c r="FP55" i="69"/>
  <c r="FQ55" i="69"/>
  <c r="A56" i="69"/>
  <c r="B56" i="69"/>
  <c r="C56" i="69"/>
  <c r="AP56" i="69"/>
  <c r="AQ56" i="69"/>
  <c r="AR56" i="69"/>
  <c r="AS56" i="69"/>
  <c r="AT56" i="69"/>
  <c r="AU56" i="69"/>
  <c r="AV56" i="69"/>
  <c r="AW56" i="69"/>
  <c r="AX56" i="69"/>
  <c r="AZ56" i="69"/>
  <c r="BA56" i="69"/>
  <c r="BC56" i="69"/>
  <c r="BD56" i="69"/>
  <c r="BE56" i="69"/>
  <c r="BF56" i="69"/>
  <c r="BH56" i="69"/>
  <c r="BI56" i="69"/>
  <c r="BK56" i="69"/>
  <c r="BL56" i="69"/>
  <c r="BN56" i="69"/>
  <c r="BO56" i="69"/>
  <c r="BQ56" i="69"/>
  <c r="BR56" i="69"/>
  <c r="BT56" i="69"/>
  <c r="BU56" i="69"/>
  <c r="BW56" i="69"/>
  <c r="BX56" i="69"/>
  <c r="BZ56" i="69"/>
  <c r="CA56" i="69"/>
  <c r="CC56" i="69"/>
  <c r="CD56" i="69"/>
  <c r="CF56" i="69"/>
  <c r="CG56" i="69"/>
  <c r="CI56" i="69"/>
  <c r="CJ56" i="69"/>
  <c r="CL56" i="69"/>
  <c r="CM56" i="69"/>
  <c r="CO56" i="69"/>
  <c r="CP56" i="69"/>
  <c r="CR56" i="69"/>
  <c r="CS56" i="69"/>
  <c r="CU56" i="69"/>
  <c r="CV56" i="69"/>
  <c r="CX56" i="69"/>
  <c r="CY56" i="69"/>
  <c r="DA56" i="69"/>
  <c r="DB56" i="69"/>
  <c r="DD56" i="69"/>
  <c r="DE56" i="69"/>
  <c r="DG56" i="69"/>
  <c r="DH56" i="69"/>
  <c r="DJ56" i="69"/>
  <c r="DK56" i="69"/>
  <c r="DM56" i="69"/>
  <c r="DN56" i="69"/>
  <c r="DP56" i="69"/>
  <c r="DQ56" i="69"/>
  <c r="DS56" i="69"/>
  <c r="DT56" i="69"/>
  <c r="DV56" i="69"/>
  <c r="DW56" i="69"/>
  <c r="DY56" i="69"/>
  <c r="DZ56" i="69"/>
  <c r="EA56" i="69"/>
  <c r="EB56" i="69"/>
  <c r="EC56" i="69"/>
  <c r="ED56" i="69"/>
  <c r="EE56" i="69"/>
  <c r="EF56" i="69"/>
  <c r="EG56" i="69"/>
  <c r="EH56" i="69"/>
  <c r="EI56" i="69"/>
  <c r="EJ56" i="69"/>
  <c r="EK56" i="69"/>
  <c r="EL56" i="69"/>
  <c r="EM56" i="69"/>
  <c r="EN56" i="69"/>
  <c r="EO56" i="69"/>
  <c r="EQ56" i="69"/>
  <c r="ER56" i="69"/>
  <c r="ET56" i="69"/>
  <c r="EU56" i="69"/>
  <c r="EV56" i="69"/>
  <c r="EW56" i="69"/>
  <c r="EX56" i="69"/>
  <c r="EY56" i="69"/>
  <c r="EZ56" i="69"/>
  <c r="FA56" i="69"/>
  <c r="FB56" i="69"/>
  <c r="FC56" i="69"/>
  <c r="FD56" i="69"/>
  <c r="FE56" i="69"/>
  <c r="FF56" i="69"/>
  <c r="FG56" i="69"/>
  <c r="FH56" i="69"/>
  <c r="FI56" i="69"/>
  <c r="FJ56" i="69"/>
  <c r="FK56" i="69"/>
  <c r="FL56" i="69"/>
  <c r="FM56" i="69"/>
  <c r="FN56" i="69"/>
  <c r="FO56" i="69"/>
  <c r="FP56" i="69"/>
  <c r="FQ56" i="69"/>
  <c r="A57" i="69"/>
  <c r="B57" i="69"/>
  <c r="C57" i="69"/>
  <c r="AP57" i="69"/>
  <c r="AQ57" i="69"/>
  <c r="AR57" i="69"/>
  <c r="AS57" i="69"/>
  <c r="AT57" i="69"/>
  <c r="AU57" i="69"/>
  <c r="AV57" i="69"/>
  <c r="AW57" i="69"/>
  <c r="AX57" i="69"/>
  <c r="AZ57" i="69"/>
  <c r="BA57" i="69"/>
  <c r="BC57" i="69"/>
  <c r="BD57" i="69"/>
  <c r="BE57" i="69"/>
  <c r="BF57" i="69"/>
  <c r="BH57" i="69"/>
  <c r="BI57" i="69"/>
  <c r="BK57" i="69"/>
  <c r="BL57" i="69"/>
  <c r="BN57" i="69"/>
  <c r="BO57" i="69"/>
  <c r="BQ57" i="69"/>
  <c r="BR57" i="69"/>
  <c r="BT57" i="69"/>
  <c r="BU57" i="69"/>
  <c r="BW57" i="69"/>
  <c r="BX57" i="69"/>
  <c r="BZ57" i="69"/>
  <c r="CA57" i="69"/>
  <c r="CC57" i="69"/>
  <c r="CD57" i="69"/>
  <c r="CF57" i="69"/>
  <c r="CG57" i="69"/>
  <c r="CI57" i="69"/>
  <c r="CJ57" i="69"/>
  <c r="CL57" i="69"/>
  <c r="CM57" i="69"/>
  <c r="CO57" i="69"/>
  <c r="CP57" i="69"/>
  <c r="CR57" i="69"/>
  <c r="CS57" i="69"/>
  <c r="CU57" i="69"/>
  <c r="CV57" i="69"/>
  <c r="CX57" i="69"/>
  <c r="CY57" i="69"/>
  <c r="DA57" i="69"/>
  <c r="DB57" i="69"/>
  <c r="DD57" i="69"/>
  <c r="DE57" i="69"/>
  <c r="DG57" i="69"/>
  <c r="DH57" i="69"/>
  <c r="DJ57" i="69"/>
  <c r="DK57" i="69"/>
  <c r="DM57" i="69"/>
  <c r="DN57" i="69"/>
  <c r="DP57" i="69"/>
  <c r="DQ57" i="69"/>
  <c r="DS57" i="69"/>
  <c r="DT57" i="69"/>
  <c r="DV57" i="69"/>
  <c r="DW57" i="69"/>
  <c r="DY57" i="69"/>
  <c r="DZ57" i="69"/>
  <c r="EA57" i="69"/>
  <c r="EB57" i="69"/>
  <c r="EC57" i="69"/>
  <c r="ED57" i="69"/>
  <c r="EE57" i="69"/>
  <c r="EF57" i="69"/>
  <c r="EG57" i="69"/>
  <c r="EH57" i="69"/>
  <c r="EI57" i="69"/>
  <c r="EJ57" i="69"/>
  <c r="EK57" i="69"/>
  <c r="EL57" i="69"/>
  <c r="EM57" i="69"/>
  <c r="EN57" i="69"/>
  <c r="EO57" i="69"/>
  <c r="EQ57" i="69"/>
  <c r="ER57" i="69"/>
  <c r="ET57" i="69"/>
  <c r="EU57" i="69"/>
  <c r="EV57" i="69"/>
  <c r="EW57" i="69"/>
  <c r="EX57" i="69"/>
  <c r="EY57" i="69"/>
  <c r="EZ57" i="69"/>
  <c r="FA57" i="69"/>
  <c r="FB57" i="69"/>
  <c r="FC57" i="69"/>
  <c r="FD57" i="69"/>
  <c r="FE57" i="69"/>
  <c r="FF57" i="69"/>
  <c r="FG57" i="69"/>
  <c r="FH57" i="69"/>
  <c r="FI57" i="69"/>
  <c r="FJ57" i="69"/>
  <c r="FK57" i="69"/>
  <c r="FL57" i="69"/>
  <c r="FM57" i="69"/>
  <c r="FN57" i="69"/>
  <c r="FO57" i="69"/>
  <c r="FP57" i="69"/>
  <c r="FQ57" i="69"/>
  <c r="A58" i="69"/>
  <c r="B58" i="69"/>
  <c r="C58" i="69"/>
  <c r="AP58" i="69"/>
  <c r="AQ58" i="69"/>
  <c r="AR58" i="69"/>
  <c r="AS58" i="69"/>
  <c r="AT58" i="69"/>
  <c r="AU58" i="69"/>
  <c r="AV58" i="69"/>
  <c r="AW58" i="69"/>
  <c r="AX58" i="69"/>
  <c r="AZ58" i="69"/>
  <c r="BA58" i="69"/>
  <c r="BC58" i="69"/>
  <c r="BD58" i="69"/>
  <c r="BE58" i="69"/>
  <c r="BF58" i="69"/>
  <c r="BH58" i="69"/>
  <c r="BI58" i="69"/>
  <c r="BK58" i="69"/>
  <c r="BL58" i="69"/>
  <c r="BN58" i="69"/>
  <c r="BO58" i="69"/>
  <c r="BQ58" i="69"/>
  <c r="BR58" i="69"/>
  <c r="BT58" i="69"/>
  <c r="BU58" i="69"/>
  <c r="BW58" i="69"/>
  <c r="BX58" i="69"/>
  <c r="BZ58" i="69"/>
  <c r="CA58" i="69"/>
  <c r="CC58" i="69"/>
  <c r="CD58" i="69"/>
  <c r="CF58" i="69"/>
  <c r="CG58" i="69"/>
  <c r="CI58" i="69"/>
  <c r="CJ58" i="69"/>
  <c r="CL58" i="69"/>
  <c r="CM58" i="69"/>
  <c r="CO58" i="69"/>
  <c r="CP58" i="69"/>
  <c r="CR58" i="69"/>
  <c r="CS58" i="69"/>
  <c r="CU58" i="69"/>
  <c r="CV58" i="69"/>
  <c r="CX58" i="69"/>
  <c r="CY58" i="69"/>
  <c r="DA58" i="69"/>
  <c r="DB58" i="69"/>
  <c r="DD58" i="69"/>
  <c r="DE58" i="69"/>
  <c r="DG58" i="69"/>
  <c r="DH58" i="69"/>
  <c r="DJ58" i="69"/>
  <c r="DK58" i="69"/>
  <c r="DM58" i="69"/>
  <c r="DN58" i="69"/>
  <c r="DP58" i="69"/>
  <c r="DQ58" i="69"/>
  <c r="DS58" i="69"/>
  <c r="DT58" i="69"/>
  <c r="DV58" i="69"/>
  <c r="DW58" i="69"/>
  <c r="DY58" i="69"/>
  <c r="DZ58" i="69"/>
  <c r="EA58" i="69"/>
  <c r="EB58" i="69"/>
  <c r="EC58" i="69"/>
  <c r="ED58" i="69"/>
  <c r="EE58" i="69"/>
  <c r="EF58" i="69"/>
  <c r="EG58" i="69"/>
  <c r="EH58" i="69"/>
  <c r="EI58" i="69"/>
  <c r="EJ58" i="69"/>
  <c r="EK58" i="69"/>
  <c r="EL58" i="69"/>
  <c r="EM58" i="69"/>
  <c r="EN58" i="69"/>
  <c r="EO58" i="69"/>
  <c r="EQ58" i="69"/>
  <c r="ER58" i="69"/>
  <c r="ET58" i="69"/>
  <c r="EU58" i="69"/>
  <c r="EV58" i="69"/>
  <c r="EW58" i="69"/>
  <c r="EX58" i="69"/>
  <c r="EY58" i="69"/>
  <c r="EZ58" i="69"/>
  <c r="FA58" i="69"/>
  <c r="FB58" i="69"/>
  <c r="FC58" i="69"/>
  <c r="FD58" i="69"/>
  <c r="FE58" i="69"/>
  <c r="FF58" i="69"/>
  <c r="FG58" i="69"/>
  <c r="FH58" i="69"/>
  <c r="FI58" i="69"/>
  <c r="FJ58" i="69"/>
  <c r="FK58" i="69"/>
  <c r="FL58" i="69"/>
  <c r="FM58" i="69"/>
  <c r="FN58" i="69"/>
  <c r="FO58" i="69"/>
  <c r="FP58" i="69"/>
  <c r="FQ58" i="69"/>
  <c r="A59" i="69"/>
  <c r="B59" i="69"/>
  <c r="C59" i="69"/>
  <c r="AP59" i="69"/>
  <c r="AQ59" i="69"/>
  <c r="AR59" i="69"/>
  <c r="AS59" i="69"/>
  <c r="AT59" i="69"/>
  <c r="AU59" i="69"/>
  <c r="AV59" i="69"/>
  <c r="AW59" i="69"/>
  <c r="AX59" i="69"/>
  <c r="AZ59" i="69"/>
  <c r="BA59" i="69"/>
  <c r="BC59" i="69"/>
  <c r="BD59" i="69"/>
  <c r="BE59" i="69"/>
  <c r="BF59" i="69"/>
  <c r="BH59" i="69"/>
  <c r="BI59" i="69"/>
  <c r="BK59" i="69"/>
  <c r="BL59" i="69"/>
  <c r="BN59" i="69"/>
  <c r="BO59" i="69"/>
  <c r="BQ59" i="69"/>
  <c r="BR59" i="69"/>
  <c r="BT59" i="69"/>
  <c r="BU59" i="69"/>
  <c r="BW59" i="69"/>
  <c r="BX59" i="69"/>
  <c r="BZ59" i="69"/>
  <c r="CA59" i="69"/>
  <c r="CC59" i="69"/>
  <c r="CD59" i="69"/>
  <c r="CF59" i="69"/>
  <c r="CG59" i="69"/>
  <c r="CI59" i="69"/>
  <c r="CJ59" i="69"/>
  <c r="CL59" i="69"/>
  <c r="CM59" i="69"/>
  <c r="CO59" i="69"/>
  <c r="CP59" i="69"/>
  <c r="CR59" i="69"/>
  <c r="CS59" i="69"/>
  <c r="CU59" i="69"/>
  <c r="CV59" i="69"/>
  <c r="CX59" i="69"/>
  <c r="CY59" i="69"/>
  <c r="DA59" i="69"/>
  <c r="DB59" i="69"/>
  <c r="DD59" i="69"/>
  <c r="DE59" i="69"/>
  <c r="DG59" i="69"/>
  <c r="DH59" i="69"/>
  <c r="DJ59" i="69"/>
  <c r="DK59" i="69"/>
  <c r="DM59" i="69"/>
  <c r="DN59" i="69"/>
  <c r="DP59" i="69"/>
  <c r="DQ59" i="69"/>
  <c r="DS59" i="69"/>
  <c r="DT59" i="69"/>
  <c r="DV59" i="69"/>
  <c r="DW59" i="69"/>
  <c r="DY59" i="69"/>
  <c r="DZ59" i="69"/>
  <c r="EA59" i="69"/>
  <c r="EB59" i="69"/>
  <c r="EC59" i="69"/>
  <c r="ED59" i="69"/>
  <c r="EE59" i="69"/>
  <c r="EF59" i="69"/>
  <c r="EG59" i="69"/>
  <c r="EH59" i="69"/>
  <c r="EI59" i="69"/>
  <c r="EJ59" i="69"/>
  <c r="EK59" i="69"/>
  <c r="EL59" i="69"/>
  <c r="EM59" i="69"/>
  <c r="EN59" i="69"/>
  <c r="EO59" i="69"/>
  <c r="EQ59" i="69"/>
  <c r="ER59" i="69"/>
  <c r="ET59" i="69"/>
  <c r="EU59" i="69"/>
  <c r="EV59" i="69"/>
  <c r="EW59" i="69"/>
  <c r="EX59" i="69"/>
  <c r="EY59" i="69"/>
  <c r="EZ59" i="69"/>
  <c r="FA59" i="69"/>
  <c r="FB59" i="69"/>
  <c r="FC59" i="69"/>
  <c r="FD59" i="69"/>
  <c r="FE59" i="69"/>
  <c r="FF59" i="69"/>
  <c r="FG59" i="69"/>
  <c r="FH59" i="69"/>
  <c r="FI59" i="69"/>
  <c r="FJ59" i="69"/>
  <c r="FK59" i="69"/>
  <c r="FL59" i="69"/>
  <c r="FM59" i="69"/>
  <c r="FN59" i="69"/>
  <c r="FO59" i="69"/>
  <c r="FP59" i="69"/>
  <c r="FQ59" i="69"/>
  <c r="A60" i="69"/>
  <c r="B60" i="69"/>
  <c r="C60" i="69"/>
  <c r="AP60" i="69"/>
  <c r="AQ60" i="69"/>
  <c r="AR60" i="69"/>
  <c r="AS60" i="69"/>
  <c r="AT60" i="69"/>
  <c r="AU60" i="69"/>
  <c r="AV60" i="69"/>
  <c r="AW60" i="69"/>
  <c r="AX60" i="69"/>
  <c r="AZ60" i="69"/>
  <c r="BA60" i="69"/>
  <c r="BC60" i="69"/>
  <c r="BD60" i="69"/>
  <c r="BE60" i="69"/>
  <c r="BF60" i="69"/>
  <c r="BH60" i="69"/>
  <c r="BI60" i="69"/>
  <c r="BK60" i="69"/>
  <c r="BL60" i="69"/>
  <c r="BN60" i="69"/>
  <c r="BO60" i="69"/>
  <c r="BQ60" i="69"/>
  <c r="BR60" i="69"/>
  <c r="BT60" i="69"/>
  <c r="BU60" i="69"/>
  <c r="BW60" i="69"/>
  <c r="BX60" i="69"/>
  <c r="BZ60" i="69"/>
  <c r="CA60" i="69"/>
  <c r="CC60" i="69"/>
  <c r="CD60" i="69"/>
  <c r="CF60" i="69"/>
  <c r="CG60" i="69"/>
  <c r="CI60" i="69"/>
  <c r="CJ60" i="69"/>
  <c r="CL60" i="69"/>
  <c r="CM60" i="69"/>
  <c r="CO60" i="69"/>
  <c r="CP60" i="69"/>
  <c r="CR60" i="69"/>
  <c r="CS60" i="69"/>
  <c r="CU60" i="69"/>
  <c r="CV60" i="69"/>
  <c r="CX60" i="69"/>
  <c r="CY60" i="69"/>
  <c r="DA60" i="69"/>
  <c r="DB60" i="69"/>
  <c r="DD60" i="69"/>
  <c r="DE60" i="69"/>
  <c r="DG60" i="69"/>
  <c r="DH60" i="69"/>
  <c r="DJ60" i="69"/>
  <c r="DK60" i="69"/>
  <c r="DM60" i="69"/>
  <c r="DN60" i="69"/>
  <c r="DP60" i="69"/>
  <c r="DQ60" i="69"/>
  <c r="DS60" i="69"/>
  <c r="DT60" i="69"/>
  <c r="DV60" i="69"/>
  <c r="DW60" i="69"/>
  <c r="DY60" i="69"/>
  <c r="DZ60" i="69"/>
  <c r="EA60" i="69"/>
  <c r="EB60" i="69"/>
  <c r="EC60" i="69"/>
  <c r="ED60" i="69"/>
  <c r="EE60" i="69"/>
  <c r="EF60" i="69"/>
  <c r="EG60" i="69"/>
  <c r="EH60" i="69"/>
  <c r="EI60" i="69"/>
  <c r="EJ60" i="69"/>
  <c r="EK60" i="69"/>
  <c r="EL60" i="69"/>
  <c r="EM60" i="69"/>
  <c r="EN60" i="69"/>
  <c r="EO60" i="69"/>
  <c r="EQ60" i="69"/>
  <c r="ER60" i="69"/>
  <c r="ET60" i="69"/>
  <c r="EU60" i="69"/>
  <c r="EV60" i="69"/>
  <c r="EW60" i="69"/>
  <c r="EX60" i="69"/>
  <c r="EY60" i="69"/>
  <c r="EZ60" i="69"/>
  <c r="FA60" i="69"/>
  <c r="FB60" i="69"/>
  <c r="FC60" i="69"/>
  <c r="FD60" i="69"/>
  <c r="FE60" i="69"/>
  <c r="FF60" i="69"/>
  <c r="FG60" i="69"/>
  <c r="FH60" i="69"/>
  <c r="FI60" i="69"/>
  <c r="FJ60" i="69"/>
  <c r="FK60" i="69"/>
  <c r="FL60" i="69"/>
  <c r="FM60" i="69"/>
  <c r="FN60" i="69"/>
  <c r="FO60" i="69"/>
  <c r="FP60" i="69"/>
  <c r="FQ60" i="69"/>
  <c r="A61" i="69"/>
  <c r="B61" i="69"/>
  <c r="C61" i="69"/>
  <c r="AP61" i="69"/>
  <c r="AQ61" i="69"/>
  <c r="AR61" i="69"/>
  <c r="AS61" i="69"/>
  <c r="AT61" i="69"/>
  <c r="AU61" i="69"/>
  <c r="AV61" i="69"/>
  <c r="AW61" i="69"/>
  <c r="AX61" i="69"/>
  <c r="AZ61" i="69"/>
  <c r="BA61" i="69"/>
  <c r="BC61" i="69"/>
  <c r="BD61" i="69"/>
  <c r="BE61" i="69"/>
  <c r="BF61" i="69"/>
  <c r="BH61" i="69"/>
  <c r="BI61" i="69"/>
  <c r="BK61" i="69"/>
  <c r="BL61" i="69"/>
  <c r="BN61" i="69"/>
  <c r="BO61" i="69"/>
  <c r="BQ61" i="69"/>
  <c r="BR61" i="69"/>
  <c r="BT61" i="69"/>
  <c r="BU61" i="69"/>
  <c r="BW61" i="69"/>
  <c r="BX61" i="69"/>
  <c r="BZ61" i="69"/>
  <c r="CA61" i="69"/>
  <c r="CC61" i="69"/>
  <c r="CD61" i="69"/>
  <c r="CF61" i="69"/>
  <c r="CG61" i="69"/>
  <c r="CI61" i="69"/>
  <c r="CJ61" i="69"/>
  <c r="CL61" i="69"/>
  <c r="CM61" i="69"/>
  <c r="CO61" i="69"/>
  <c r="CP61" i="69"/>
  <c r="CR61" i="69"/>
  <c r="CS61" i="69"/>
  <c r="CU61" i="69"/>
  <c r="CV61" i="69"/>
  <c r="CX61" i="69"/>
  <c r="CY61" i="69"/>
  <c r="DA61" i="69"/>
  <c r="DB61" i="69"/>
  <c r="DD61" i="69"/>
  <c r="DE61" i="69"/>
  <c r="DG61" i="69"/>
  <c r="DH61" i="69"/>
  <c r="DJ61" i="69"/>
  <c r="DK61" i="69"/>
  <c r="DM61" i="69"/>
  <c r="DN61" i="69"/>
  <c r="DP61" i="69"/>
  <c r="DQ61" i="69"/>
  <c r="DS61" i="69"/>
  <c r="DT61" i="69"/>
  <c r="DV61" i="69"/>
  <c r="DW61" i="69"/>
  <c r="DY61" i="69"/>
  <c r="DZ61" i="69"/>
  <c r="EA61" i="69"/>
  <c r="EB61" i="69"/>
  <c r="EC61" i="69"/>
  <c r="ED61" i="69"/>
  <c r="EE61" i="69"/>
  <c r="EF61" i="69"/>
  <c r="EG61" i="69"/>
  <c r="EH61" i="69"/>
  <c r="EI61" i="69"/>
  <c r="EJ61" i="69"/>
  <c r="EK61" i="69"/>
  <c r="EL61" i="69"/>
  <c r="EM61" i="69"/>
  <c r="EN61" i="69"/>
  <c r="EO61" i="69"/>
  <c r="EQ61" i="69"/>
  <c r="ER61" i="69"/>
  <c r="ET61" i="69"/>
  <c r="EU61" i="69"/>
  <c r="EV61" i="69"/>
  <c r="EW61" i="69"/>
  <c r="EX61" i="69"/>
  <c r="EY61" i="69"/>
  <c r="EZ61" i="69"/>
  <c r="FA61" i="69"/>
  <c r="FB61" i="69"/>
  <c r="FC61" i="69"/>
  <c r="FD61" i="69"/>
  <c r="FE61" i="69"/>
  <c r="FF61" i="69"/>
  <c r="FG61" i="69"/>
  <c r="FH61" i="69"/>
  <c r="FI61" i="69"/>
  <c r="FJ61" i="69"/>
  <c r="FK61" i="69"/>
  <c r="FL61" i="69"/>
  <c r="FM61" i="69"/>
  <c r="FN61" i="69"/>
  <c r="FO61" i="69"/>
  <c r="FP61" i="69"/>
  <c r="FQ61" i="69"/>
  <c r="A62" i="69"/>
  <c r="B62" i="69"/>
  <c r="C62" i="69"/>
  <c r="AP62" i="69"/>
  <c r="AQ62" i="69"/>
  <c r="AR62" i="69"/>
  <c r="AS62" i="69"/>
  <c r="AT62" i="69"/>
  <c r="AU62" i="69"/>
  <c r="AV62" i="69"/>
  <c r="AW62" i="69"/>
  <c r="AX62" i="69"/>
  <c r="AZ62" i="69"/>
  <c r="BA62" i="69"/>
  <c r="BC62" i="69"/>
  <c r="BD62" i="69"/>
  <c r="BE62" i="69"/>
  <c r="BF62" i="69"/>
  <c r="BH62" i="69"/>
  <c r="BI62" i="69"/>
  <c r="BK62" i="69"/>
  <c r="BL62" i="69"/>
  <c r="BN62" i="69"/>
  <c r="BO62" i="69"/>
  <c r="BQ62" i="69"/>
  <c r="BR62" i="69"/>
  <c r="BT62" i="69"/>
  <c r="BU62" i="69"/>
  <c r="BW62" i="69"/>
  <c r="BX62" i="69"/>
  <c r="BZ62" i="69"/>
  <c r="CA62" i="69"/>
  <c r="CC62" i="69"/>
  <c r="CD62" i="69"/>
  <c r="CF62" i="69"/>
  <c r="CG62" i="69"/>
  <c r="CI62" i="69"/>
  <c r="CJ62" i="69"/>
  <c r="CL62" i="69"/>
  <c r="CM62" i="69"/>
  <c r="CO62" i="69"/>
  <c r="CP62" i="69"/>
  <c r="CR62" i="69"/>
  <c r="CS62" i="69"/>
  <c r="CU62" i="69"/>
  <c r="CV62" i="69"/>
  <c r="CX62" i="69"/>
  <c r="CY62" i="69"/>
  <c r="DA62" i="69"/>
  <c r="DB62" i="69"/>
  <c r="DD62" i="69"/>
  <c r="DE62" i="69"/>
  <c r="DG62" i="69"/>
  <c r="DH62" i="69"/>
  <c r="DJ62" i="69"/>
  <c r="DK62" i="69"/>
  <c r="DM62" i="69"/>
  <c r="DN62" i="69"/>
  <c r="DP62" i="69"/>
  <c r="DQ62" i="69"/>
  <c r="DS62" i="69"/>
  <c r="DT62" i="69"/>
  <c r="DV62" i="69"/>
  <c r="DW62" i="69"/>
  <c r="DY62" i="69"/>
  <c r="DZ62" i="69"/>
  <c r="EA62" i="69"/>
  <c r="EB62" i="69"/>
  <c r="EC62" i="69"/>
  <c r="ED62" i="69"/>
  <c r="EE62" i="69"/>
  <c r="EF62" i="69"/>
  <c r="EG62" i="69"/>
  <c r="EH62" i="69"/>
  <c r="EI62" i="69"/>
  <c r="EJ62" i="69"/>
  <c r="EK62" i="69"/>
  <c r="EL62" i="69"/>
  <c r="EM62" i="69"/>
  <c r="EN62" i="69"/>
  <c r="EO62" i="69"/>
  <c r="EQ62" i="69"/>
  <c r="ER62" i="69"/>
  <c r="ET62" i="69"/>
  <c r="EU62" i="69"/>
  <c r="EV62" i="69"/>
  <c r="EW62" i="69"/>
  <c r="EX62" i="69"/>
  <c r="EY62" i="69"/>
  <c r="EZ62" i="69"/>
  <c r="FA62" i="69"/>
  <c r="FB62" i="69"/>
  <c r="FC62" i="69"/>
  <c r="FD62" i="69"/>
  <c r="FE62" i="69"/>
  <c r="FF62" i="69"/>
  <c r="FG62" i="69"/>
  <c r="FH62" i="69"/>
  <c r="FI62" i="69"/>
  <c r="FJ62" i="69"/>
  <c r="FK62" i="69"/>
  <c r="FL62" i="69"/>
  <c r="FM62" i="69"/>
  <c r="FN62" i="69"/>
  <c r="FO62" i="69"/>
  <c r="FP62" i="69"/>
  <c r="FQ62" i="69"/>
  <c r="A63" i="69"/>
  <c r="B63" i="69"/>
  <c r="C63" i="69"/>
  <c r="AP63" i="69"/>
  <c r="AQ63" i="69"/>
  <c r="AR63" i="69"/>
  <c r="AS63" i="69"/>
  <c r="AT63" i="69"/>
  <c r="AU63" i="69"/>
  <c r="AV63" i="69"/>
  <c r="AW63" i="69"/>
  <c r="AX63" i="69"/>
  <c r="AZ63" i="69"/>
  <c r="BA63" i="69"/>
  <c r="BC63" i="69"/>
  <c r="BD63" i="69"/>
  <c r="BE63" i="69"/>
  <c r="BF63" i="69"/>
  <c r="BH63" i="69"/>
  <c r="BI63" i="69"/>
  <c r="BK63" i="69"/>
  <c r="BL63" i="69"/>
  <c r="BN63" i="69"/>
  <c r="BO63" i="69"/>
  <c r="BQ63" i="69"/>
  <c r="BR63" i="69"/>
  <c r="BT63" i="69"/>
  <c r="BU63" i="69"/>
  <c r="BW63" i="69"/>
  <c r="BX63" i="69"/>
  <c r="BZ63" i="69"/>
  <c r="CA63" i="69"/>
  <c r="CC63" i="69"/>
  <c r="CD63" i="69"/>
  <c r="CF63" i="69"/>
  <c r="CG63" i="69"/>
  <c r="CI63" i="69"/>
  <c r="CJ63" i="69"/>
  <c r="CL63" i="69"/>
  <c r="CM63" i="69"/>
  <c r="CO63" i="69"/>
  <c r="CP63" i="69"/>
  <c r="CR63" i="69"/>
  <c r="CS63" i="69"/>
  <c r="CU63" i="69"/>
  <c r="CV63" i="69"/>
  <c r="CX63" i="69"/>
  <c r="CY63" i="69"/>
  <c r="DA63" i="69"/>
  <c r="DB63" i="69"/>
  <c r="DD63" i="69"/>
  <c r="DE63" i="69"/>
  <c r="DG63" i="69"/>
  <c r="DH63" i="69"/>
  <c r="DJ63" i="69"/>
  <c r="DK63" i="69"/>
  <c r="DM63" i="69"/>
  <c r="DN63" i="69"/>
  <c r="DP63" i="69"/>
  <c r="DQ63" i="69"/>
  <c r="DS63" i="69"/>
  <c r="DT63" i="69"/>
  <c r="DV63" i="69"/>
  <c r="DW63" i="69"/>
  <c r="DY63" i="69"/>
  <c r="DZ63" i="69"/>
  <c r="EA63" i="69"/>
  <c r="EB63" i="69"/>
  <c r="EC63" i="69"/>
  <c r="ED63" i="69"/>
  <c r="EE63" i="69"/>
  <c r="EF63" i="69"/>
  <c r="EG63" i="69"/>
  <c r="EH63" i="69"/>
  <c r="EI63" i="69"/>
  <c r="EJ63" i="69"/>
  <c r="EK63" i="69"/>
  <c r="EL63" i="69"/>
  <c r="EM63" i="69"/>
  <c r="EN63" i="69"/>
  <c r="EO63" i="69"/>
  <c r="EQ63" i="69"/>
  <c r="ER63" i="69"/>
  <c r="ET63" i="69"/>
  <c r="EU63" i="69"/>
  <c r="EV63" i="69"/>
  <c r="EW63" i="69"/>
  <c r="EX63" i="69"/>
  <c r="EY63" i="69"/>
  <c r="EZ63" i="69"/>
  <c r="FA63" i="69"/>
  <c r="FB63" i="69"/>
  <c r="FC63" i="69"/>
  <c r="FD63" i="69"/>
  <c r="FE63" i="69"/>
  <c r="FF63" i="69"/>
  <c r="FG63" i="69"/>
  <c r="FH63" i="69"/>
  <c r="FI63" i="69"/>
  <c r="FJ63" i="69"/>
  <c r="FK63" i="69"/>
  <c r="FL63" i="69"/>
  <c r="FM63" i="69"/>
  <c r="FN63" i="69"/>
  <c r="FO63" i="69"/>
  <c r="FP63" i="69"/>
  <c r="FQ63" i="69"/>
  <c r="A64" i="69"/>
  <c r="B64" i="69"/>
  <c r="C64" i="69"/>
  <c r="AP64" i="69"/>
  <c r="AQ64" i="69"/>
  <c r="AR64" i="69"/>
  <c r="AS64" i="69"/>
  <c r="AT64" i="69"/>
  <c r="AU64" i="69"/>
  <c r="AV64" i="69"/>
  <c r="AW64" i="69"/>
  <c r="AX64" i="69"/>
  <c r="AZ64" i="69"/>
  <c r="BA64" i="69"/>
  <c r="BC64" i="69"/>
  <c r="BD64" i="69"/>
  <c r="BE64" i="69"/>
  <c r="BF64" i="69"/>
  <c r="BH64" i="69"/>
  <c r="BI64" i="69"/>
  <c r="BK64" i="69"/>
  <c r="BL64" i="69"/>
  <c r="BN64" i="69"/>
  <c r="BO64" i="69"/>
  <c r="BQ64" i="69"/>
  <c r="BR64" i="69"/>
  <c r="BT64" i="69"/>
  <c r="BU64" i="69"/>
  <c r="BW64" i="69"/>
  <c r="BX64" i="69"/>
  <c r="BZ64" i="69"/>
  <c r="CA64" i="69"/>
  <c r="CC64" i="69"/>
  <c r="CD64" i="69"/>
  <c r="CF64" i="69"/>
  <c r="CG64" i="69"/>
  <c r="CI64" i="69"/>
  <c r="CJ64" i="69"/>
  <c r="CL64" i="69"/>
  <c r="CM64" i="69"/>
  <c r="CO64" i="69"/>
  <c r="CP64" i="69"/>
  <c r="CR64" i="69"/>
  <c r="CS64" i="69"/>
  <c r="CU64" i="69"/>
  <c r="CV64" i="69"/>
  <c r="CX64" i="69"/>
  <c r="CY64" i="69"/>
  <c r="DA64" i="69"/>
  <c r="DB64" i="69"/>
  <c r="DD64" i="69"/>
  <c r="DE64" i="69"/>
  <c r="DG64" i="69"/>
  <c r="DH64" i="69"/>
  <c r="DJ64" i="69"/>
  <c r="DK64" i="69"/>
  <c r="DM64" i="69"/>
  <c r="DN64" i="69"/>
  <c r="DP64" i="69"/>
  <c r="DQ64" i="69"/>
  <c r="DS64" i="69"/>
  <c r="DT64" i="69"/>
  <c r="DV64" i="69"/>
  <c r="DW64" i="69"/>
  <c r="DY64" i="69"/>
  <c r="DZ64" i="69"/>
  <c r="EA64" i="69"/>
  <c r="EB64" i="69"/>
  <c r="EC64" i="69"/>
  <c r="ED64" i="69"/>
  <c r="EE64" i="69"/>
  <c r="EF64" i="69"/>
  <c r="EG64" i="69"/>
  <c r="EH64" i="69"/>
  <c r="EI64" i="69"/>
  <c r="EJ64" i="69"/>
  <c r="EK64" i="69"/>
  <c r="EL64" i="69"/>
  <c r="EM64" i="69"/>
  <c r="EN64" i="69"/>
  <c r="EO64" i="69"/>
  <c r="EQ64" i="69"/>
  <c r="ER64" i="69"/>
  <c r="ET64" i="69"/>
  <c r="EU64" i="69"/>
  <c r="EV64" i="69"/>
  <c r="EW64" i="69"/>
  <c r="EX64" i="69"/>
  <c r="EY64" i="69"/>
  <c r="EZ64" i="69"/>
  <c r="FA64" i="69"/>
  <c r="FB64" i="69"/>
  <c r="FC64" i="69"/>
  <c r="FD64" i="69"/>
  <c r="FE64" i="69"/>
  <c r="FF64" i="69"/>
  <c r="FG64" i="69"/>
  <c r="FH64" i="69"/>
  <c r="FI64" i="69"/>
  <c r="FJ64" i="69"/>
  <c r="FK64" i="69"/>
  <c r="FL64" i="69"/>
  <c r="FM64" i="69"/>
  <c r="FN64" i="69"/>
  <c r="FO64" i="69"/>
  <c r="FP64" i="69"/>
  <c r="FQ64" i="69"/>
  <c r="A65" i="69"/>
  <c r="B65" i="69"/>
  <c r="C65" i="69"/>
  <c r="AP65" i="69"/>
  <c r="AQ65" i="69"/>
  <c r="AR65" i="69"/>
  <c r="AS65" i="69"/>
  <c r="AT65" i="69"/>
  <c r="AU65" i="69"/>
  <c r="AV65" i="69"/>
  <c r="AW65" i="69"/>
  <c r="AX65" i="69"/>
  <c r="AZ65" i="69"/>
  <c r="BA65" i="69"/>
  <c r="BC65" i="69"/>
  <c r="BD65" i="69"/>
  <c r="BE65" i="69"/>
  <c r="BF65" i="69"/>
  <c r="BH65" i="69"/>
  <c r="BI65" i="69"/>
  <c r="BK65" i="69"/>
  <c r="BL65" i="69"/>
  <c r="BN65" i="69"/>
  <c r="BO65" i="69"/>
  <c r="BQ65" i="69"/>
  <c r="BR65" i="69"/>
  <c r="BT65" i="69"/>
  <c r="BU65" i="69"/>
  <c r="BW65" i="69"/>
  <c r="BX65" i="69"/>
  <c r="BZ65" i="69"/>
  <c r="CA65" i="69"/>
  <c r="CC65" i="69"/>
  <c r="CD65" i="69"/>
  <c r="CF65" i="69"/>
  <c r="CG65" i="69"/>
  <c r="CI65" i="69"/>
  <c r="CJ65" i="69"/>
  <c r="CL65" i="69"/>
  <c r="CM65" i="69"/>
  <c r="CO65" i="69"/>
  <c r="CP65" i="69"/>
  <c r="CR65" i="69"/>
  <c r="CS65" i="69"/>
  <c r="CU65" i="69"/>
  <c r="CV65" i="69"/>
  <c r="CX65" i="69"/>
  <c r="CY65" i="69"/>
  <c r="DA65" i="69"/>
  <c r="DB65" i="69"/>
  <c r="DD65" i="69"/>
  <c r="DE65" i="69"/>
  <c r="DG65" i="69"/>
  <c r="DH65" i="69"/>
  <c r="DJ65" i="69"/>
  <c r="DK65" i="69"/>
  <c r="DM65" i="69"/>
  <c r="DN65" i="69"/>
  <c r="DP65" i="69"/>
  <c r="DQ65" i="69"/>
  <c r="DS65" i="69"/>
  <c r="DT65" i="69"/>
  <c r="DV65" i="69"/>
  <c r="DW65" i="69"/>
  <c r="DY65" i="69"/>
  <c r="DZ65" i="69"/>
  <c r="EA65" i="69"/>
  <c r="EB65" i="69"/>
  <c r="EC65" i="69"/>
  <c r="ED65" i="69"/>
  <c r="EE65" i="69"/>
  <c r="EF65" i="69"/>
  <c r="EG65" i="69"/>
  <c r="EH65" i="69"/>
  <c r="EI65" i="69"/>
  <c r="EJ65" i="69"/>
  <c r="EK65" i="69"/>
  <c r="EL65" i="69"/>
  <c r="EM65" i="69"/>
  <c r="EN65" i="69"/>
  <c r="EO65" i="69"/>
  <c r="EQ65" i="69"/>
  <c r="ER65" i="69"/>
  <c r="ET65" i="69"/>
  <c r="EU65" i="69"/>
  <c r="EV65" i="69"/>
  <c r="EW65" i="69"/>
  <c r="EX65" i="69"/>
  <c r="EY65" i="69"/>
  <c r="EZ65" i="69"/>
  <c r="FA65" i="69"/>
  <c r="FB65" i="69"/>
  <c r="FC65" i="69"/>
  <c r="FD65" i="69"/>
  <c r="FE65" i="69"/>
  <c r="FF65" i="69"/>
  <c r="FG65" i="69"/>
  <c r="FH65" i="69"/>
  <c r="FI65" i="69"/>
  <c r="FJ65" i="69"/>
  <c r="FK65" i="69"/>
  <c r="FL65" i="69"/>
  <c r="FM65" i="69"/>
  <c r="FN65" i="69"/>
  <c r="FO65" i="69"/>
  <c r="FP65" i="69"/>
  <c r="FQ65" i="69"/>
  <c r="A66" i="69"/>
  <c r="B66" i="69"/>
  <c r="C66" i="69"/>
  <c r="AP66" i="69"/>
  <c r="AQ66" i="69"/>
  <c r="AR66" i="69"/>
  <c r="AS66" i="69"/>
  <c r="AT66" i="69"/>
  <c r="AU66" i="69"/>
  <c r="AV66" i="69"/>
  <c r="AW66" i="69"/>
  <c r="AX66" i="69"/>
  <c r="AZ66" i="69"/>
  <c r="BA66" i="69"/>
  <c r="BC66" i="69"/>
  <c r="BD66" i="69"/>
  <c r="BE66" i="69"/>
  <c r="BF66" i="69"/>
  <c r="BH66" i="69"/>
  <c r="BI66" i="69"/>
  <c r="BK66" i="69"/>
  <c r="BL66" i="69"/>
  <c r="BN66" i="69"/>
  <c r="BO66" i="69"/>
  <c r="BQ66" i="69"/>
  <c r="BR66" i="69"/>
  <c r="BT66" i="69"/>
  <c r="BU66" i="69"/>
  <c r="BW66" i="69"/>
  <c r="BX66" i="69"/>
  <c r="BZ66" i="69"/>
  <c r="CA66" i="69"/>
  <c r="CC66" i="69"/>
  <c r="CD66" i="69"/>
  <c r="CF66" i="69"/>
  <c r="CG66" i="69"/>
  <c r="CI66" i="69"/>
  <c r="CJ66" i="69"/>
  <c r="CL66" i="69"/>
  <c r="CM66" i="69"/>
  <c r="CO66" i="69"/>
  <c r="CP66" i="69"/>
  <c r="CR66" i="69"/>
  <c r="CS66" i="69"/>
  <c r="CU66" i="69"/>
  <c r="CV66" i="69"/>
  <c r="CX66" i="69"/>
  <c r="CY66" i="69"/>
  <c r="DA66" i="69"/>
  <c r="DB66" i="69"/>
  <c r="DD66" i="69"/>
  <c r="DE66" i="69"/>
  <c r="DG66" i="69"/>
  <c r="DH66" i="69"/>
  <c r="DJ66" i="69"/>
  <c r="DK66" i="69"/>
  <c r="DM66" i="69"/>
  <c r="DN66" i="69"/>
  <c r="DP66" i="69"/>
  <c r="DQ66" i="69"/>
  <c r="DS66" i="69"/>
  <c r="DT66" i="69"/>
  <c r="DV66" i="69"/>
  <c r="DW66" i="69"/>
  <c r="DY66" i="69"/>
  <c r="DZ66" i="69"/>
  <c r="EA66" i="69"/>
  <c r="EB66" i="69"/>
  <c r="EC66" i="69"/>
  <c r="ED66" i="69"/>
  <c r="EE66" i="69"/>
  <c r="EF66" i="69"/>
  <c r="EG66" i="69"/>
  <c r="EH66" i="69"/>
  <c r="EI66" i="69"/>
  <c r="EJ66" i="69"/>
  <c r="EK66" i="69"/>
  <c r="EL66" i="69"/>
  <c r="EM66" i="69"/>
  <c r="EN66" i="69"/>
  <c r="EO66" i="69"/>
  <c r="EQ66" i="69"/>
  <c r="ER66" i="69"/>
  <c r="ET66" i="69"/>
  <c r="EU66" i="69"/>
  <c r="EV66" i="69"/>
  <c r="EW66" i="69"/>
  <c r="EX66" i="69"/>
  <c r="EY66" i="69"/>
  <c r="EZ66" i="69"/>
  <c r="FA66" i="69"/>
  <c r="FB66" i="69"/>
  <c r="FC66" i="69"/>
  <c r="FD66" i="69"/>
  <c r="FE66" i="69"/>
  <c r="FF66" i="69"/>
  <c r="FG66" i="69"/>
  <c r="FH66" i="69"/>
  <c r="FI66" i="69"/>
  <c r="FJ66" i="69"/>
  <c r="FK66" i="69"/>
  <c r="FL66" i="69"/>
  <c r="FM66" i="69"/>
  <c r="FN66" i="69"/>
  <c r="FO66" i="69"/>
  <c r="FP66" i="69"/>
  <c r="FQ66" i="69"/>
  <c r="A67" i="69"/>
  <c r="B67" i="69"/>
  <c r="C67" i="69"/>
  <c r="AP67" i="69"/>
  <c r="AQ67" i="69"/>
  <c r="AR67" i="69"/>
  <c r="AS67" i="69"/>
  <c r="AT67" i="69"/>
  <c r="AU67" i="69"/>
  <c r="AV67" i="69"/>
  <c r="AW67" i="69"/>
  <c r="AX67" i="69"/>
  <c r="AZ67" i="69"/>
  <c r="BA67" i="69"/>
  <c r="BC67" i="69"/>
  <c r="BD67" i="69"/>
  <c r="BE67" i="69"/>
  <c r="BF67" i="69"/>
  <c r="BH67" i="69"/>
  <c r="BI67" i="69"/>
  <c r="BK67" i="69"/>
  <c r="BL67" i="69"/>
  <c r="BN67" i="69"/>
  <c r="BO67" i="69"/>
  <c r="BQ67" i="69"/>
  <c r="BR67" i="69"/>
  <c r="BT67" i="69"/>
  <c r="BU67" i="69"/>
  <c r="BW67" i="69"/>
  <c r="BX67" i="69"/>
  <c r="BZ67" i="69"/>
  <c r="CA67" i="69"/>
  <c r="CC67" i="69"/>
  <c r="CD67" i="69"/>
  <c r="CF67" i="69"/>
  <c r="CG67" i="69"/>
  <c r="CI67" i="69"/>
  <c r="CJ67" i="69"/>
  <c r="CL67" i="69"/>
  <c r="CM67" i="69"/>
  <c r="CO67" i="69"/>
  <c r="CP67" i="69"/>
  <c r="CR67" i="69"/>
  <c r="CS67" i="69"/>
  <c r="CU67" i="69"/>
  <c r="CV67" i="69"/>
  <c r="CX67" i="69"/>
  <c r="CY67" i="69"/>
  <c r="DA67" i="69"/>
  <c r="DB67" i="69"/>
  <c r="DD67" i="69"/>
  <c r="DE67" i="69"/>
  <c r="DG67" i="69"/>
  <c r="DH67" i="69"/>
  <c r="DJ67" i="69"/>
  <c r="DK67" i="69"/>
  <c r="DM67" i="69"/>
  <c r="DN67" i="69"/>
  <c r="DP67" i="69"/>
  <c r="DQ67" i="69"/>
  <c r="DS67" i="69"/>
  <c r="DT67" i="69"/>
  <c r="DV67" i="69"/>
  <c r="DW67" i="69"/>
  <c r="DY67" i="69"/>
  <c r="DZ67" i="69"/>
  <c r="EA67" i="69"/>
  <c r="EB67" i="69"/>
  <c r="EC67" i="69"/>
  <c r="ED67" i="69"/>
  <c r="EE67" i="69"/>
  <c r="EF67" i="69"/>
  <c r="EG67" i="69"/>
  <c r="EH67" i="69"/>
  <c r="EI67" i="69"/>
  <c r="EJ67" i="69"/>
  <c r="EK67" i="69"/>
  <c r="EL67" i="69"/>
  <c r="EM67" i="69"/>
  <c r="EN67" i="69"/>
  <c r="EO67" i="69"/>
  <c r="EQ67" i="69"/>
  <c r="ER67" i="69"/>
  <c r="ET67" i="69"/>
  <c r="EU67" i="69"/>
  <c r="EV67" i="69"/>
  <c r="EW67" i="69"/>
  <c r="EX67" i="69"/>
  <c r="EY67" i="69"/>
  <c r="EZ67" i="69"/>
  <c r="FA67" i="69"/>
  <c r="FB67" i="69"/>
  <c r="FC67" i="69"/>
  <c r="FD67" i="69"/>
  <c r="FE67" i="69"/>
  <c r="FF67" i="69"/>
  <c r="FG67" i="69"/>
  <c r="FH67" i="69"/>
  <c r="FI67" i="69"/>
  <c r="FJ67" i="69"/>
  <c r="FK67" i="69"/>
  <c r="FL67" i="69"/>
  <c r="FM67" i="69"/>
  <c r="FN67" i="69"/>
  <c r="FO67" i="69"/>
  <c r="FP67" i="69"/>
  <c r="FQ67" i="69"/>
  <c r="A68" i="69"/>
  <c r="B68" i="69"/>
  <c r="C68" i="69"/>
  <c r="AP68" i="69"/>
  <c r="AQ68" i="69"/>
  <c r="AR68" i="69"/>
  <c r="AS68" i="69"/>
  <c r="AT68" i="69"/>
  <c r="AU68" i="69"/>
  <c r="AV68" i="69"/>
  <c r="AW68" i="69"/>
  <c r="AX68" i="69"/>
  <c r="AZ68" i="69"/>
  <c r="BA68" i="69"/>
  <c r="BC68" i="69"/>
  <c r="BD68" i="69"/>
  <c r="BE68" i="69"/>
  <c r="BF68" i="69"/>
  <c r="BH68" i="69"/>
  <c r="BI68" i="69"/>
  <c r="BK68" i="69"/>
  <c r="BL68" i="69"/>
  <c r="BN68" i="69"/>
  <c r="BO68" i="69"/>
  <c r="BQ68" i="69"/>
  <c r="BR68" i="69"/>
  <c r="BT68" i="69"/>
  <c r="BU68" i="69"/>
  <c r="BW68" i="69"/>
  <c r="BX68" i="69"/>
  <c r="BZ68" i="69"/>
  <c r="CA68" i="69"/>
  <c r="CC68" i="69"/>
  <c r="CD68" i="69"/>
  <c r="CF68" i="69"/>
  <c r="CG68" i="69"/>
  <c r="CI68" i="69"/>
  <c r="CJ68" i="69"/>
  <c r="CL68" i="69"/>
  <c r="CM68" i="69"/>
  <c r="CO68" i="69"/>
  <c r="CP68" i="69"/>
  <c r="CR68" i="69"/>
  <c r="CS68" i="69"/>
  <c r="CU68" i="69"/>
  <c r="CV68" i="69"/>
  <c r="CX68" i="69"/>
  <c r="CY68" i="69"/>
  <c r="DA68" i="69"/>
  <c r="DB68" i="69"/>
  <c r="DD68" i="69"/>
  <c r="DE68" i="69"/>
  <c r="DG68" i="69"/>
  <c r="DH68" i="69"/>
  <c r="DJ68" i="69"/>
  <c r="DK68" i="69"/>
  <c r="DM68" i="69"/>
  <c r="DN68" i="69"/>
  <c r="DP68" i="69"/>
  <c r="DQ68" i="69"/>
  <c r="DS68" i="69"/>
  <c r="DT68" i="69"/>
  <c r="DV68" i="69"/>
  <c r="DW68" i="69"/>
  <c r="DY68" i="69"/>
  <c r="DZ68" i="69"/>
  <c r="EA68" i="69"/>
  <c r="EB68" i="69"/>
  <c r="EC68" i="69"/>
  <c r="ED68" i="69"/>
  <c r="EE68" i="69"/>
  <c r="EF68" i="69"/>
  <c r="EG68" i="69"/>
  <c r="EH68" i="69"/>
  <c r="EI68" i="69"/>
  <c r="EJ68" i="69"/>
  <c r="EK68" i="69"/>
  <c r="EL68" i="69"/>
  <c r="EM68" i="69"/>
  <c r="EN68" i="69"/>
  <c r="EO68" i="69"/>
  <c r="EQ68" i="69"/>
  <c r="ER68" i="69"/>
  <c r="ET68" i="69"/>
  <c r="EU68" i="69"/>
  <c r="EV68" i="69"/>
  <c r="EW68" i="69"/>
  <c r="EX68" i="69"/>
  <c r="EY68" i="69"/>
  <c r="EZ68" i="69"/>
  <c r="FA68" i="69"/>
  <c r="FB68" i="69"/>
  <c r="FC68" i="69"/>
  <c r="FD68" i="69"/>
  <c r="FE68" i="69"/>
  <c r="FF68" i="69"/>
  <c r="FG68" i="69"/>
  <c r="FH68" i="69"/>
  <c r="FI68" i="69"/>
  <c r="FJ68" i="69"/>
  <c r="FK68" i="69"/>
  <c r="FL68" i="69"/>
  <c r="FM68" i="69"/>
  <c r="FN68" i="69"/>
  <c r="FO68" i="69"/>
  <c r="FP68" i="69"/>
  <c r="FQ68" i="69"/>
  <c r="A69" i="69"/>
  <c r="B69" i="69"/>
  <c r="C69" i="69"/>
  <c r="AP69" i="69"/>
  <c r="AQ69" i="69"/>
  <c r="AR69" i="69"/>
  <c r="AS69" i="69"/>
  <c r="AT69" i="69"/>
  <c r="AU69" i="69"/>
  <c r="AV69" i="69"/>
  <c r="AW69" i="69"/>
  <c r="AX69" i="69"/>
  <c r="AZ69" i="69"/>
  <c r="BA69" i="69"/>
  <c r="BC69" i="69"/>
  <c r="BD69" i="69"/>
  <c r="BE69" i="69"/>
  <c r="BF69" i="69"/>
  <c r="BH69" i="69"/>
  <c r="BI69" i="69"/>
  <c r="BK69" i="69"/>
  <c r="BL69" i="69"/>
  <c r="BN69" i="69"/>
  <c r="BO69" i="69"/>
  <c r="BQ69" i="69"/>
  <c r="BR69" i="69"/>
  <c r="BT69" i="69"/>
  <c r="BU69" i="69"/>
  <c r="BW69" i="69"/>
  <c r="BX69" i="69"/>
  <c r="BZ69" i="69"/>
  <c r="CA69" i="69"/>
  <c r="CC69" i="69"/>
  <c r="CD69" i="69"/>
  <c r="CF69" i="69"/>
  <c r="CG69" i="69"/>
  <c r="CI69" i="69"/>
  <c r="CJ69" i="69"/>
  <c r="CL69" i="69"/>
  <c r="CM69" i="69"/>
  <c r="CO69" i="69"/>
  <c r="CP69" i="69"/>
  <c r="CR69" i="69"/>
  <c r="CS69" i="69"/>
  <c r="CU69" i="69"/>
  <c r="CV69" i="69"/>
  <c r="CX69" i="69"/>
  <c r="CY69" i="69"/>
  <c r="DA69" i="69"/>
  <c r="DB69" i="69"/>
  <c r="DD69" i="69"/>
  <c r="DE69" i="69"/>
  <c r="DG69" i="69"/>
  <c r="DH69" i="69"/>
  <c r="DJ69" i="69"/>
  <c r="DK69" i="69"/>
  <c r="DM69" i="69"/>
  <c r="DN69" i="69"/>
  <c r="DP69" i="69"/>
  <c r="DQ69" i="69"/>
  <c r="DS69" i="69"/>
  <c r="DT69" i="69"/>
  <c r="DV69" i="69"/>
  <c r="DW69" i="69"/>
  <c r="DY69" i="69"/>
  <c r="DZ69" i="69"/>
  <c r="EA69" i="69"/>
  <c r="EB69" i="69"/>
  <c r="EC69" i="69"/>
  <c r="ED69" i="69"/>
  <c r="EE69" i="69"/>
  <c r="EF69" i="69"/>
  <c r="EG69" i="69"/>
  <c r="EH69" i="69"/>
  <c r="EI69" i="69"/>
  <c r="EJ69" i="69"/>
  <c r="EK69" i="69"/>
  <c r="EL69" i="69"/>
  <c r="EM69" i="69"/>
  <c r="EN69" i="69"/>
  <c r="EO69" i="69"/>
  <c r="EQ69" i="69"/>
  <c r="ER69" i="69"/>
  <c r="ET69" i="69"/>
  <c r="EU69" i="69"/>
  <c r="EV69" i="69"/>
  <c r="EW69" i="69"/>
  <c r="EX69" i="69"/>
  <c r="EY69" i="69"/>
  <c r="EZ69" i="69"/>
  <c r="FA69" i="69"/>
  <c r="FB69" i="69"/>
  <c r="FC69" i="69"/>
  <c r="FD69" i="69"/>
  <c r="FE69" i="69"/>
  <c r="FF69" i="69"/>
  <c r="FG69" i="69"/>
  <c r="FH69" i="69"/>
  <c r="FI69" i="69"/>
  <c r="FJ69" i="69"/>
  <c r="FK69" i="69"/>
  <c r="FL69" i="69"/>
  <c r="FM69" i="69"/>
  <c r="FN69" i="69"/>
  <c r="FO69" i="69"/>
  <c r="FP69" i="69"/>
  <c r="FQ69" i="69"/>
  <c r="A70" i="69"/>
  <c r="B70" i="69"/>
  <c r="C70" i="69"/>
  <c r="AP70" i="69"/>
  <c r="AQ70" i="69"/>
  <c r="AR70" i="69"/>
  <c r="AS70" i="69"/>
  <c r="AT70" i="69"/>
  <c r="AU70" i="69"/>
  <c r="AV70" i="69"/>
  <c r="AW70" i="69"/>
  <c r="AX70" i="69"/>
  <c r="AZ70" i="69"/>
  <c r="BA70" i="69"/>
  <c r="BC70" i="69"/>
  <c r="BD70" i="69"/>
  <c r="BE70" i="69"/>
  <c r="BF70" i="69"/>
  <c r="BH70" i="69"/>
  <c r="BI70" i="69"/>
  <c r="BK70" i="69"/>
  <c r="BL70" i="69"/>
  <c r="BN70" i="69"/>
  <c r="BO70" i="69"/>
  <c r="BQ70" i="69"/>
  <c r="BR70" i="69"/>
  <c r="BT70" i="69"/>
  <c r="BU70" i="69"/>
  <c r="BW70" i="69"/>
  <c r="BX70" i="69"/>
  <c r="BZ70" i="69"/>
  <c r="CA70" i="69"/>
  <c r="CC70" i="69"/>
  <c r="CD70" i="69"/>
  <c r="CF70" i="69"/>
  <c r="CG70" i="69"/>
  <c r="CI70" i="69"/>
  <c r="CJ70" i="69"/>
  <c r="CL70" i="69"/>
  <c r="CM70" i="69"/>
  <c r="CO70" i="69"/>
  <c r="CP70" i="69"/>
  <c r="CR70" i="69"/>
  <c r="CS70" i="69"/>
  <c r="CU70" i="69"/>
  <c r="CV70" i="69"/>
  <c r="CX70" i="69"/>
  <c r="CY70" i="69"/>
  <c r="DA70" i="69"/>
  <c r="DB70" i="69"/>
  <c r="DD70" i="69"/>
  <c r="DE70" i="69"/>
  <c r="DG70" i="69"/>
  <c r="DH70" i="69"/>
  <c r="DJ70" i="69"/>
  <c r="DK70" i="69"/>
  <c r="DM70" i="69"/>
  <c r="DN70" i="69"/>
  <c r="DP70" i="69"/>
  <c r="DQ70" i="69"/>
  <c r="DS70" i="69"/>
  <c r="DT70" i="69"/>
  <c r="DV70" i="69"/>
  <c r="DW70" i="69"/>
  <c r="DY70" i="69"/>
  <c r="DZ70" i="69"/>
  <c r="EA70" i="69"/>
  <c r="EB70" i="69"/>
  <c r="EC70" i="69"/>
  <c r="ED70" i="69"/>
  <c r="EE70" i="69"/>
  <c r="EF70" i="69"/>
  <c r="EG70" i="69"/>
  <c r="EH70" i="69"/>
  <c r="EI70" i="69"/>
  <c r="EJ70" i="69"/>
  <c r="EK70" i="69"/>
  <c r="EL70" i="69"/>
  <c r="EM70" i="69"/>
  <c r="EN70" i="69"/>
  <c r="EO70" i="69"/>
  <c r="EQ70" i="69"/>
  <c r="ER70" i="69"/>
  <c r="ET70" i="69"/>
  <c r="EU70" i="69"/>
  <c r="EV70" i="69"/>
  <c r="EW70" i="69"/>
  <c r="EX70" i="69"/>
  <c r="EY70" i="69"/>
  <c r="EZ70" i="69"/>
  <c r="FA70" i="69"/>
  <c r="FB70" i="69"/>
  <c r="FC70" i="69"/>
  <c r="FD70" i="69"/>
  <c r="FE70" i="69"/>
  <c r="FF70" i="69"/>
  <c r="FG70" i="69"/>
  <c r="FH70" i="69"/>
  <c r="FI70" i="69"/>
  <c r="FJ70" i="69"/>
  <c r="FK70" i="69"/>
  <c r="FL70" i="69"/>
  <c r="FM70" i="69"/>
  <c r="FN70" i="69"/>
  <c r="FO70" i="69"/>
  <c r="FP70" i="69"/>
  <c r="FQ70" i="69"/>
  <c r="A71" i="69"/>
  <c r="B71" i="69"/>
  <c r="C71" i="69"/>
  <c r="AP71" i="69"/>
  <c r="AQ71" i="69"/>
  <c r="AR71" i="69"/>
  <c r="AS71" i="69"/>
  <c r="AT71" i="69"/>
  <c r="AU71" i="69"/>
  <c r="AV71" i="69"/>
  <c r="AW71" i="69"/>
  <c r="AX71" i="69"/>
  <c r="AZ71" i="69"/>
  <c r="BA71" i="69"/>
  <c r="BC71" i="69"/>
  <c r="BD71" i="69"/>
  <c r="BE71" i="69"/>
  <c r="BF71" i="69"/>
  <c r="BH71" i="69"/>
  <c r="BI71" i="69"/>
  <c r="BK71" i="69"/>
  <c r="BL71" i="69"/>
  <c r="BN71" i="69"/>
  <c r="BO71" i="69"/>
  <c r="BQ71" i="69"/>
  <c r="BR71" i="69"/>
  <c r="BT71" i="69"/>
  <c r="BU71" i="69"/>
  <c r="BW71" i="69"/>
  <c r="BX71" i="69"/>
  <c r="BZ71" i="69"/>
  <c r="CA71" i="69"/>
  <c r="CC71" i="69"/>
  <c r="CD71" i="69"/>
  <c r="CF71" i="69"/>
  <c r="CG71" i="69"/>
  <c r="CI71" i="69"/>
  <c r="CJ71" i="69"/>
  <c r="CL71" i="69"/>
  <c r="CM71" i="69"/>
  <c r="CO71" i="69"/>
  <c r="CP71" i="69"/>
  <c r="CR71" i="69"/>
  <c r="CS71" i="69"/>
  <c r="CU71" i="69"/>
  <c r="CV71" i="69"/>
  <c r="CX71" i="69"/>
  <c r="CY71" i="69"/>
  <c r="DA71" i="69"/>
  <c r="DB71" i="69"/>
  <c r="DD71" i="69"/>
  <c r="DE71" i="69"/>
  <c r="DG71" i="69"/>
  <c r="DH71" i="69"/>
  <c r="DJ71" i="69"/>
  <c r="DK71" i="69"/>
  <c r="DM71" i="69"/>
  <c r="DN71" i="69"/>
  <c r="DP71" i="69"/>
  <c r="DQ71" i="69"/>
  <c r="DS71" i="69"/>
  <c r="DT71" i="69"/>
  <c r="DV71" i="69"/>
  <c r="DW71" i="69"/>
  <c r="DY71" i="69"/>
  <c r="DZ71" i="69"/>
  <c r="EA71" i="69"/>
  <c r="EB71" i="69"/>
  <c r="EC71" i="69"/>
  <c r="ED71" i="69"/>
  <c r="EE71" i="69"/>
  <c r="EF71" i="69"/>
  <c r="EG71" i="69"/>
  <c r="EH71" i="69"/>
  <c r="EI71" i="69"/>
  <c r="EJ71" i="69"/>
  <c r="EK71" i="69"/>
  <c r="EL71" i="69"/>
  <c r="EM71" i="69"/>
  <c r="EN71" i="69"/>
  <c r="EO71" i="69"/>
  <c r="EQ71" i="69"/>
  <c r="ER71" i="69"/>
  <c r="ET71" i="69"/>
  <c r="EU71" i="69"/>
  <c r="EV71" i="69"/>
  <c r="EW71" i="69"/>
  <c r="EX71" i="69"/>
  <c r="EY71" i="69"/>
  <c r="EZ71" i="69"/>
  <c r="FA71" i="69"/>
  <c r="FB71" i="69"/>
  <c r="FC71" i="69"/>
  <c r="FD71" i="69"/>
  <c r="FE71" i="69"/>
  <c r="FF71" i="69"/>
  <c r="FG71" i="69"/>
  <c r="FH71" i="69"/>
  <c r="FI71" i="69"/>
  <c r="FJ71" i="69"/>
  <c r="FK71" i="69"/>
  <c r="FL71" i="69"/>
  <c r="FM71" i="69"/>
  <c r="FN71" i="69"/>
  <c r="FO71" i="69"/>
  <c r="FP71" i="69"/>
  <c r="FQ71" i="69"/>
  <c r="A72" i="69"/>
  <c r="B72" i="69"/>
  <c r="C72" i="69"/>
  <c r="AP72" i="69"/>
  <c r="AQ72" i="69"/>
  <c r="AR72" i="69"/>
  <c r="AS72" i="69"/>
  <c r="AT72" i="69"/>
  <c r="AU72" i="69"/>
  <c r="AV72" i="69"/>
  <c r="AW72" i="69"/>
  <c r="AX72" i="69"/>
  <c r="AZ72" i="69"/>
  <c r="BA72" i="69"/>
  <c r="BC72" i="69"/>
  <c r="BD72" i="69"/>
  <c r="BE72" i="69"/>
  <c r="BF72" i="69"/>
  <c r="BH72" i="69"/>
  <c r="BI72" i="69"/>
  <c r="BK72" i="69"/>
  <c r="BL72" i="69"/>
  <c r="BN72" i="69"/>
  <c r="BO72" i="69"/>
  <c r="BQ72" i="69"/>
  <c r="BR72" i="69"/>
  <c r="BT72" i="69"/>
  <c r="BU72" i="69"/>
  <c r="BW72" i="69"/>
  <c r="BX72" i="69"/>
  <c r="BZ72" i="69"/>
  <c r="CA72" i="69"/>
  <c r="CC72" i="69"/>
  <c r="CD72" i="69"/>
  <c r="CF72" i="69"/>
  <c r="CG72" i="69"/>
  <c r="CI72" i="69"/>
  <c r="CJ72" i="69"/>
  <c r="CL72" i="69"/>
  <c r="CM72" i="69"/>
  <c r="CO72" i="69"/>
  <c r="CP72" i="69"/>
  <c r="CR72" i="69"/>
  <c r="CS72" i="69"/>
  <c r="CU72" i="69"/>
  <c r="CV72" i="69"/>
  <c r="CX72" i="69"/>
  <c r="CY72" i="69"/>
  <c r="DA72" i="69"/>
  <c r="DB72" i="69"/>
  <c r="DD72" i="69"/>
  <c r="DE72" i="69"/>
  <c r="DG72" i="69"/>
  <c r="DH72" i="69"/>
  <c r="DJ72" i="69"/>
  <c r="DK72" i="69"/>
  <c r="DM72" i="69"/>
  <c r="DN72" i="69"/>
  <c r="DP72" i="69"/>
  <c r="DQ72" i="69"/>
  <c r="DS72" i="69"/>
  <c r="DT72" i="69"/>
  <c r="DV72" i="69"/>
  <c r="DW72" i="69"/>
  <c r="DY72" i="69"/>
  <c r="DZ72" i="69"/>
  <c r="EA72" i="69"/>
  <c r="EB72" i="69"/>
  <c r="EC72" i="69"/>
  <c r="ED72" i="69"/>
  <c r="EE72" i="69"/>
  <c r="EF72" i="69"/>
  <c r="EG72" i="69"/>
  <c r="EH72" i="69"/>
  <c r="EI72" i="69"/>
  <c r="EJ72" i="69"/>
  <c r="EK72" i="69"/>
  <c r="EL72" i="69"/>
  <c r="EM72" i="69"/>
  <c r="EN72" i="69"/>
  <c r="EO72" i="69"/>
  <c r="EQ72" i="69"/>
  <c r="ER72" i="69"/>
  <c r="ET72" i="69"/>
  <c r="EU72" i="69"/>
  <c r="EV72" i="69"/>
  <c r="EW72" i="69"/>
  <c r="EX72" i="69"/>
  <c r="EY72" i="69"/>
  <c r="EZ72" i="69"/>
  <c r="FA72" i="69"/>
  <c r="FB72" i="69"/>
  <c r="FC72" i="69"/>
  <c r="FD72" i="69"/>
  <c r="FE72" i="69"/>
  <c r="FF72" i="69"/>
  <c r="FG72" i="69"/>
  <c r="FH72" i="69"/>
  <c r="FI72" i="69"/>
  <c r="FJ72" i="69"/>
  <c r="FK72" i="69"/>
  <c r="FL72" i="69"/>
  <c r="FM72" i="69"/>
  <c r="FN72" i="69"/>
  <c r="FO72" i="69"/>
  <c r="FP72" i="69"/>
  <c r="FQ72" i="69"/>
  <c r="A73" i="69"/>
  <c r="B73" i="69"/>
  <c r="C73" i="69"/>
  <c r="AP73" i="69"/>
  <c r="AQ73" i="69"/>
  <c r="AR73" i="69"/>
  <c r="AS73" i="69"/>
  <c r="AT73" i="69"/>
  <c r="AU73" i="69"/>
  <c r="AV73" i="69"/>
  <c r="AW73" i="69"/>
  <c r="AX73" i="69"/>
  <c r="AZ73" i="69"/>
  <c r="BA73" i="69"/>
  <c r="BC73" i="69"/>
  <c r="BD73" i="69"/>
  <c r="BE73" i="69"/>
  <c r="BF73" i="69"/>
  <c r="BH73" i="69"/>
  <c r="BI73" i="69"/>
  <c r="BK73" i="69"/>
  <c r="BL73" i="69"/>
  <c r="BN73" i="69"/>
  <c r="BO73" i="69"/>
  <c r="BQ73" i="69"/>
  <c r="BR73" i="69"/>
  <c r="BT73" i="69"/>
  <c r="BU73" i="69"/>
  <c r="BW73" i="69"/>
  <c r="BX73" i="69"/>
  <c r="BZ73" i="69"/>
  <c r="CA73" i="69"/>
  <c r="CC73" i="69"/>
  <c r="CD73" i="69"/>
  <c r="CF73" i="69"/>
  <c r="CG73" i="69"/>
  <c r="CI73" i="69"/>
  <c r="CJ73" i="69"/>
  <c r="CL73" i="69"/>
  <c r="CM73" i="69"/>
  <c r="CO73" i="69"/>
  <c r="CP73" i="69"/>
  <c r="CR73" i="69"/>
  <c r="CS73" i="69"/>
  <c r="CU73" i="69"/>
  <c r="CV73" i="69"/>
  <c r="CX73" i="69"/>
  <c r="CY73" i="69"/>
  <c r="DA73" i="69"/>
  <c r="DB73" i="69"/>
  <c r="DD73" i="69"/>
  <c r="DE73" i="69"/>
  <c r="DG73" i="69"/>
  <c r="DH73" i="69"/>
  <c r="DJ73" i="69"/>
  <c r="DK73" i="69"/>
  <c r="DM73" i="69"/>
  <c r="DN73" i="69"/>
  <c r="DP73" i="69"/>
  <c r="DQ73" i="69"/>
  <c r="DS73" i="69"/>
  <c r="DT73" i="69"/>
  <c r="DV73" i="69"/>
  <c r="DW73" i="69"/>
  <c r="DY73" i="69"/>
  <c r="DZ73" i="69"/>
  <c r="EA73" i="69"/>
  <c r="EB73" i="69"/>
  <c r="EC73" i="69"/>
  <c r="ED73" i="69"/>
  <c r="EE73" i="69"/>
  <c r="EF73" i="69"/>
  <c r="EG73" i="69"/>
  <c r="EH73" i="69"/>
  <c r="EI73" i="69"/>
  <c r="EJ73" i="69"/>
  <c r="EK73" i="69"/>
  <c r="EL73" i="69"/>
  <c r="EM73" i="69"/>
  <c r="EN73" i="69"/>
  <c r="EO73" i="69"/>
  <c r="EQ73" i="69"/>
  <c r="ER73" i="69"/>
  <c r="ET73" i="69"/>
  <c r="EU73" i="69"/>
  <c r="EV73" i="69"/>
  <c r="EW73" i="69"/>
  <c r="EX73" i="69"/>
  <c r="EY73" i="69"/>
  <c r="EZ73" i="69"/>
  <c r="FA73" i="69"/>
  <c r="FB73" i="69"/>
  <c r="FC73" i="69"/>
  <c r="FD73" i="69"/>
  <c r="FE73" i="69"/>
  <c r="FF73" i="69"/>
  <c r="FG73" i="69"/>
  <c r="FH73" i="69"/>
  <c r="FI73" i="69"/>
  <c r="FJ73" i="69"/>
  <c r="FK73" i="69"/>
  <c r="FL73" i="69"/>
  <c r="FM73" i="69"/>
  <c r="FN73" i="69"/>
  <c r="FO73" i="69"/>
  <c r="FP73" i="69"/>
  <c r="FQ73" i="69"/>
  <c r="A74" i="69"/>
  <c r="B74" i="69"/>
  <c r="C74" i="69"/>
  <c r="AP74" i="69"/>
  <c r="AQ74" i="69"/>
  <c r="AR74" i="69"/>
  <c r="AS74" i="69"/>
  <c r="AT74" i="69"/>
  <c r="AU74" i="69"/>
  <c r="AV74" i="69"/>
  <c r="AW74" i="69"/>
  <c r="AX74" i="69"/>
  <c r="AZ74" i="69"/>
  <c r="BA74" i="69"/>
  <c r="BC74" i="69"/>
  <c r="BD74" i="69"/>
  <c r="BE74" i="69"/>
  <c r="BF74" i="69"/>
  <c r="BH74" i="69"/>
  <c r="BI74" i="69"/>
  <c r="BK74" i="69"/>
  <c r="BL74" i="69"/>
  <c r="BN74" i="69"/>
  <c r="BO74" i="69"/>
  <c r="BQ74" i="69"/>
  <c r="BR74" i="69"/>
  <c r="BT74" i="69"/>
  <c r="BU74" i="69"/>
  <c r="BW74" i="69"/>
  <c r="BX74" i="69"/>
  <c r="BZ74" i="69"/>
  <c r="CA74" i="69"/>
  <c r="CC74" i="69"/>
  <c r="CD74" i="69"/>
  <c r="CF74" i="69"/>
  <c r="CG74" i="69"/>
  <c r="CI74" i="69"/>
  <c r="CJ74" i="69"/>
  <c r="CL74" i="69"/>
  <c r="CM74" i="69"/>
  <c r="CO74" i="69"/>
  <c r="CP74" i="69"/>
  <c r="CR74" i="69"/>
  <c r="CS74" i="69"/>
  <c r="CU74" i="69"/>
  <c r="CV74" i="69"/>
  <c r="CX74" i="69"/>
  <c r="CY74" i="69"/>
  <c r="DA74" i="69"/>
  <c r="DB74" i="69"/>
  <c r="DD74" i="69"/>
  <c r="DE74" i="69"/>
  <c r="DG74" i="69"/>
  <c r="DH74" i="69"/>
  <c r="DJ74" i="69"/>
  <c r="DK74" i="69"/>
  <c r="DM74" i="69"/>
  <c r="DN74" i="69"/>
  <c r="DP74" i="69"/>
  <c r="DQ74" i="69"/>
  <c r="DS74" i="69"/>
  <c r="DT74" i="69"/>
  <c r="DV74" i="69"/>
  <c r="DW74" i="69"/>
  <c r="DY74" i="69"/>
  <c r="DZ74" i="69"/>
  <c r="EA74" i="69"/>
  <c r="EB74" i="69"/>
  <c r="EC74" i="69"/>
  <c r="ED74" i="69"/>
  <c r="EE74" i="69"/>
  <c r="EF74" i="69"/>
  <c r="EG74" i="69"/>
  <c r="EH74" i="69"/>
  <c r="EI74" i="69"/>
  <c r="EJ74" i="69"/>
  <c r="EK74" i="69"/>
  <c r="EL74" i="69"/>
  <c r="EM74" i="69"/>
  <c r="EN74" i="69"/>
  <c r="EO74" i="69"/>
  <c r="EQ74" i="69"/>
  <c r="ER74" i="69"/>
  <c r="ET74" i="69"/>
  <c r="EU74" i="69"/>
  <c r="EV74" i="69"/>
  <c r="EW74" i="69"/>
  <c r="EX74" i="69"/>
  <c r="EY74" i="69"/>
  <c r="EZ74" i="69"/>
  <c r="FA74" i="69"/>
  <c r="FB74" i="69"/>
  <c r="FC74" i="69"/>
  <c r="FD74" i="69"/>
  <c r="FE74" i="69"/>
  <c r="FF74" i="69"/>
  <c r="FG74" i="69"/>
  <c r="FH74" i="69"/>
  <c r="FI74" i="69"/>
  <c r="FJ74" i="69"/>
  <c r="FK74" i="69"/>
  <c r="FL74" i="69"/>
  <c r="FM74" i="69"/>
  <c r="FN74" i="69"/>
  <c r="FO74" i="69"/>
  <c r="FP74" i="69"/>
  <c r="FQ74" i="69"/>
  <c r="A75" i="69"/>
  <c r="B75" i="69"/>
  <c r="C75" i="69"/>
  <c r="AP75" i="69"/>
  <c r="AQ75" i="69"/>
  <c r="AR75" i="69"/>
  <c r="AS75" i="69"/>
  <c r="AT75" i="69"/>
  <c r="AU75" i="69"/>
  <c r="AV75" i="69"/>
  <c r="AW75" i="69"/>
  <c r="AX75" i="69"/>
  <c r="AZ75" i="69"/>
  <c r="BA75" i="69"/>
  <c r="BC75" i="69"/>
  <c r="BD75" i="69"/>
  <c r="BE75" i="69"/>
  <c r="BF75" i="69"/>
  <c r="BH75" i="69"/>
  <c r="BI75" i="69"/>
  <c r="BK75" i="69"/>
  <c r="BL75" i="69"/>
  <c r="BN75" i="69"/>
  <c r="BO75" i="69"/>
  <c r="BQ75" i="69"/>
  <c r="BR75" i="69"/>
  <c r="BT75" i="69"/>
  <c r="BU75" i="69"/>
  <c r="BW75" i="69"/>
  <c r="BX75" i="69"/>
  <c r="BZ75" i="69"/>
  <c r="CA75" i="69"/>
  <c r="CC75" i="69"/>
  <c r="CD75" i="69"/>
  <c r="CF75" i="69"/>
  <c r="CG75" i="69"/>
  <c r="CI75" i="69"/>
  <c r="CJ75" i="69"/>
  <c r="CL75" i="69"/>
  <c r="CM75" i="69"/>
  <c r="CO75" i="69"/>
  <c r="CP75" i="69"/>
  <c r="CR75" i="69"/>
  <c r="CS75" i="69"/>
  <c r="CU75" i="69"/>
  <c r="CV75" i="69"/>
  <c r="CX75" i="69"/>
  <c r="CY75" i="69"/>
  <c r="DA75" i="69"/>
  <c r="DB75" i="69"/>
  <c r="DD75" i="69"/>
  <c r="DE75" i="69"/>
  <c r="DG75" i="69"/>
  <c r="DH75" i="69"/>
  <c r="DJ75" i="69"/>
  <c r="DK75" i="69"/>
  <c r="DM75" i="69"/>
  <c r="DN75" i="69"/>
  <c r="DP75" i="69"/>
  <c r="DQ75" i="69"/>
  <c r="DS75" i="69"/>
  <c r="DT75" i="69"/>
  <c r="DV75" i="69"/>
  <c r="DW75" i="69"/>
  <c r="DY75" i="69"/>
  <c r="DZ75" i="69"/>
  <c r="EA75" i="69"/>
  <c r="EB75" i="69"/>
  <c r="EC75" i="69"/>
  <c r="ED75" i="69"/>
  <c r="EE75" i="69"/>
  <c r="EF75" i="69"/>
  <c r="EG75" i="69"/>
  <c r="EH75" i="69"/>
  <c r="EI75" i="69"/>
  <c r="EJ75" i="69"/>
  <c r="EK75" i="69"/>
  <c r="EL75" i="69"/>
  <c r="EM75" i="69"/>
  <c r="EN75" i="69"/>
  <c r="EO75" i="69"/>
  <c r="EQ75" i="69"/>
  <c r="ER75" i="69"/>
  <c r="ET75" i="69"/>
  <c r="EU75" i="69"/>
  <c r="EV75" i="69"/>
  <c r="EW75" i="69"/>
  <c r="EX75" i="69"/>
  <c r="EY75" i="69"/>
  <c r="EZ75" i="69"/>
  <c r="FA75" i="69"/>
  <c r="FB75" i="69"/>
  <c r="FC75" i="69"/>
  <c r="FD75" i="69"/>
  <c r="FE75" i="69"/>
  <c r="FF75" i="69"/>
  <c r="FG75" i="69"/>
  <c r="FH75" i="69"/>
  <c r="FI75" i="69"/>
  <c r="FJ75" i="69"/>
  <c r="FK75" i="69"/>
  <c r="FL75" i="69"/>
  <c r="FM75" i="69"/>
  <c r="FN75" i="69"/>
  <c r="FO75" i="69"/>
  <c r="FP75" i="69"/>
  <c r="FQ75" i="69"/>
  <c r="A76" i="69"/>
  <c r="B76" i="69"/>
  <c r="C76" i="69"/>
  <c r="AP76" i="69"/>
  <c r="AQ76" i="69"/>
  <c r="AR76" i="69"/>
  <c r="AS76" i="69"/>
  <c r="AT76" i="69"/>
  <c r="AU76" i="69"/>
  <c r="AV76" i="69"/>
  <c r="AW76" i="69"/>
  <c r="AX76" i="69"/>
  <c r="AZ76" i="69"/>
  <c r="BA76" i="69"/>
  <c r="BC76" i="69"/>
  <c r="BD76" i="69"/>
  <c r="BE76" i="69"/>
  <c r="BF76" i="69"/>
  <c r="BH76" i="69"/>
  <c r="BI76" i="69"/>
  <c r="BK76" i="69"/>
  <c r="BL76" i="69"/>
  <c r="BN76" i="69"/>
  <c r="BO76" i="69"/>
  <c r="BQ76" i="69"/>
  <c r="BR76" i="69"/>
  <c r="BT76" i="69"/>
  <c r="BU76" i="69"/>
  <c r="BW76" i="69"/>
  <c r="BX76" i="69"/>
  <c r="BZ76" i="69"/>
  <c r="CA76" i="69"/>
  <c r="CC76" i="69"/>
  <c r="CD76" i="69"/>
  <c r="CF76" i="69"/>
  <c r="CG76" i="69"/>
  <c r="CI76" i="69"/>
  <c r="CJ76" i="69"/>
  <c r="CL76" i="69"/>
  <c r="CM76" i="69"/>
  <c r="CO76" i="69"/>
  <c r="CP76" i="69"/>
  <c r="CR76" i="69"/>
  <c r="CS76" i="69"/>
  <c r="CU76" i="69"/>
  <c r="CV76" i="69"/>
  <c r="CX76" i="69"/>
  <c r="CY76" i="69"/>
  <c r="DA76" i="69"/>
  <c r="DB76" i="69"/>
  <c r="DD76" i="69"/>
  <c r="DE76" i="69"/>
  <c r="DG76" i="69"/>
  <c r="DH76" i="69"/>
  <c r="DJ76" i="69"/>
  <c r="DK76" i="69"/>
  <c r="DM76" i="69"/>
  <c r="DN76" i="69"/>
  <c r="DP76" i="69"/>
  <c r="DQ76" i="69"/>
  <c r="DS76" i="69"/>
  <c r="DT76" i="69"/>
  <c r="DV76" i="69"/>
  <c r="DW76" i="69"/>
  <c r="DY76" i="69"/>
  <c r="DZ76" i="69"/>
  <c r="EA76" i="69"/>
  <c r="EB76" i="69"/>
  <c r="EC76" i="69"/>
  <c r="ED76" i="69"/>
  <c r="EE76" i="69"/>
  <c r="EF76" i="69"/>
  <c r="EG76" i="69"/>
  <c r="EH76" i="69"/>
  <c r="EI76" i="69"/>
  <c r="EJ76" i="69"/>
  <c r="EK76" i="69"/>
  <c r="EL76" i="69"/>
  <c r="EM76" i="69"/>
  <c r="EN76" i="69"/>
  <c r="EO76" i="69"/>
  <c r="EQ76" i="69"/>
  <c r="ER76" i="69"/>
  <c r="ET76" i="69"/>
  <c r="EU76" i="69"/>
  <c r="EV76" i="69"/>
  <c r="EW76" i="69"/>
  <c r="EX76" i="69"/>
  <c r="EY76" i="69"/>
  <c r="EZ76" i="69"/>
  <c r="FA76" i="69"/>
  <c r="FB76" i="69"/>
  <c r="FC76" i="69"/>
  <c r="FD76" i="69"/>
  <c r="FE76" i="69"/>
  <c r="FF76" i="69"/>
  <c r="FG76" i="69"/>
  <c r="FH76" i="69"/>
  <c r="FI76" i="69"/>
  <c r="FJ76" i="69"/>
  <c r="FK76" i="69"/>
  <c r="FL76" i="69"/>
  <c r="FM76" i="69"/>
  <c r="FN76" i="69"/>
  <c r="FO76" i="69"/>
  <c r="FP76" i="69"/>
  <c r="FQ76" i="69"/>
  <c r="A77" i="69"/>
  <c r="B77" i="69"/>
  <c r="C77" i="69"/>
  <c r="AP77" i="69"/>
  <c r="AQ77" i="69"/>
  <c r="AR77" i="69"/>
  <c r="AS77" i="69"/>
  <c r="AT77" i="69"/>
  <c r="AU77" i="69"/>
  <c r="AV77" i="69"/>
  <c r="AW77" i="69"/>
  <c r="AX77" i="69"/>
  <c r="AZ77" i="69"/>
  <c r="BA77" i="69"/>
  <c r="BC77" i="69"/>
  <c r="BD77" i="69"/>
  <c r="BE77" i="69"/>
  <c r="BF77" i="69"/>
  <c r="BH77" i="69"/>
  <c r="BI77" i="69"/>
  <c r="BK77" i="69"/>
  <c r="BL77" i="69"/>
  <c r="BN77" i="69"/>
  <c r="BO77" i="69"/>
  <c r="BQ77" i="69"/>
  <c r="BR77" i="69"/>
  <c r="BT77" i="69"/>
  <c r="BU77" i="69"/>
  <c r="BW77" i="69"/>
  <c r="BX77" i="69"/>
  <c r="BZ77" i="69"/>
  <c r="CA77" i="69"/>
  <c r="CC77" i="69"/>
  <c r="CD77" i="69"/>
  <c r="CF77" i="69"/>
  <c r="CG77" i="69"/>
  <c r="CI77" i="69"/>
  <c r="CJ77" i="69"/>
  <c r="CL77" i="69"/>
  <c r="CM77" i="69"/>
  <c r="CO77" i="69"/>
  <c r="CP77" i="69"/>
  <c r="CR77" i="69"/>
  <c r="CS77" i="69"/>
  <c r="CU77" i="69"/>
  <c r="CV77" i="69"/>
  <c r="CX77" i="69"/>
  <c r="CY77" i="69"/>
  <c r="DA77" i="69"/>
  <c r="DB77" i="69"/>
  <c r="DD77" i="69"/>
  <c r="DE77" i="69"/>
  <c r="DG77" i="69"/>
  <c r="DH77" i="69"/>
  <c r="DJ77" i="69"/>
  <c r="DK77" i="69"/>
  <c r="DM77" i="69"/>
  <c r="DN77" i="69"/>
  <c r="DP77" i="69"/>
  <c r="DQ77" i="69"/>
  <c r="DS77" i="69"/>
  <c r="DT77" i="69"/>
  <c r="DV77" i="69"/>
  <c r="DW77" i="69"/>
  <c r="DY77" i="69"/>
  <c r="DZ77" i="69"/>
  <c r="EA77" i="69"/>
  <c r="EB77" i="69"/>
  <c r="EC77" i="69"/>
  <c r="ED77" i="69"/>
  <c r="EE77" i="69"/>
  <c r="EF77" i="69"/>
  <c r="EG77" i="69"/>
  <c r="EH77" i="69"/>
  <c r="EI77" i="69"/>
  <c r="EJ77" i="69"/>
  <c r="EK77" i="69"/>
  <c r="EL77" i="69"/>
  <c r="EM77" i="69"/>
  <c r="EN77" i="69"/>
  <c r="EO77" i="69"/>
  <c r="EQ77" i="69"/>
  <c r="ER77" i="69"/>
  <c r="ET77" i="69"/>
  <c r="EU77" i="69"/>
  <c r="EV77" i="69"/>
  <c r="EW77" i="69"/>
  <c r="EX77" i="69"/>
  <c r="EY77" i="69"/>
  <c r="EZ77" i="69"/>
  <c r="FA77" i="69"/>
  <c r="FB77" i="69"/>
  <c r="FC77" i="69"/>
  <c r="FD77" i="69"/>
  <c r="FE77" i="69"/>
  <c r="FF77" i="69"/>
  <c r="FG77" i="69"/>
  <c r="FH77" i="69"/>
  <c r="FI77" i="69"/>
  <c r="FJ77" i="69"/>
  <c r="FK77" i="69"/>
  <c r="FL77" i="69"/>
  <c r="FM77" i="69"/>
  <c r="FN77" i="69"/>
  <c r="FO77" i="69"/>
  <c r="FP77" i="69"/>
  <c r="FQ77" i="69"/>
  <c r="A78" i="69"/>
  <c r="B78" i="69"/>
  <c r="C78" i="69"/>
  <c r="AP78" i="69"/>
  <c r="AQ78" i="69"/>
  <c r="AR78" i="69"/>
  <c r="AS78" i="69"/>
  <c r="AT78" i="69"/>
  <c r="AU78" i="69"/>
  <c r="AV78" i="69"/>
  <c r="AW78" i="69"/>
  <c r="AX78" i="69"/>
  <c r="AZ78" i="69"/>
  <c r="BA78" i="69"/>
  <c r="BC78" i="69"/>
  <c r="BD78" i="69"/>
  <c r="BE78" i="69"/>
  <c r="BF78" i="69"/>
  <c r="BH78" i="69"/>
  <c r="BI78" i="69"/>
  <c r="BK78" i="69"/>
  <c r="BL78" i="69"/>
  <c r="BN78" i="69"/>
  <c r="BO78" i="69"/>
  <c r="BQ78" i="69"/>
  <c r="BR78" i="69"/>
  <c r="BT78" i="69"/>
  <c r="BU78" i="69"/>
  <c r="BW78" i="69"/>
  <c r="BX78" i="69"/>
  <c r="BZ78" i="69"/>
  <c r="CA78" i="69"/>
  <c r="CC78" i="69"/>
  <c r="CD78" i="69"/>
  <c r="CF78" i="69"/>
  <c r="CG78" i="69"/>
  <c r="CI78" i="69"/>
  <c r="CJ78" i="69"/>
  <c r="CL78" i="69"/>
  <c r="CM78" i="69"/>
  <c r="CO78" i="69"/>
  <c r="CP78" i="69"/>
  <c r="CR78" i="69"/>
  <c r="CS78" i="69"/>
  <c r="CU78" i="69"/>
  <c r="CV78" i="69"/>
  <c r="CX78" i="69"/>
  <c r="CY78" i="69"/>
  <c r="DA78" i="69"/>
  <c r="DB78" i="69"/>
  <c r="DD78" i="69"/>
  <c r="DE78" i="69"/>
  <c r="DG78" i="69"/>
  <c r="DH78" i="69"/>
  <c r="DJ78" i="69"/>
  <c r="DK78" i="69"/>
  <c r="DM78" i="69"/>
  <c r="DN78" i="69"/>
  <c r="DP78" i="69"/>
  <c r="DQ78" i="69"/>
  <c r="DS78" i="69"/>
  <c r="DT78" i="69"/>
  <c r="DV78" i="69"/>
  <c r="DW78" i="69"/>
  <c r="DY78" i="69"/>
  <c r="DZ78" i="69"/>
  <c r="EA78" i="69"/>
  <c r="EB78" i="69"/>
  <c r="EC78" i="69"/>
  <c r="ED78" i="69"/>
  <c r="EE78" i="69"/>
  <c r="EF78" i="69"/>
  <c r="EG78" i="69"/>
  <c r="EH78" i="69"/>
  <c r="EI78" i="69"/>
  <c r="EJ78" i="69"/>
  <c r="EK78" i="69"/>
  <c r="EL78" i="69"/>
  <c r="EM78" i="69"/>
  <c r="EN78" i="69"/>
  <c r="EO78" i="69"/>
  <c r="EQ78" i="69"/>
  <c r="ER78" i="69"/>
  <c r="ET78" i="69"/>
  <c r="EU78" i="69"/>
  <c r="EV78" i="69"/>
  <c r="EW78" i="69"/>
  <c r="EX78" i="69"/>
  <c r="EY78" i="69"/>
  <c r="EZ78" i="69"/>
  <c r="FA78" i="69"/>
  <c r="FB78" i="69"/>
  <c r="FC78" i="69"/>
  <c r="FD78" i="69"/>
  <c r="FE78" i="69"/>
  <c r="FF78" i="69"/>
  <c r="FG78" i="69"/>
  <c r="FH78" i="69"/>
  <c r="FI78" i="69"/>
  <c r="FJ78" i="69"/>
  <c r="FK78" i="69"/>
  <c r="FL78" i="69"/>
  <c r="FM78" i="69"/>
  <c r="FN78" i="69"/>
  <c r="FO78" i="69"/>
  <c r="FP78" i="69"/>
  <c r="FQ78" i="69"/>
  <c r="A79" i="69"/>
  <c r="B79" i="69"/>
  <c r="C79" i="69"/>
  <c r="AP79" i="69"/>
  <c r="AQ79" i="69"/>
  <c r="AR79" i="69"/>
  <c r="AS79" i="69"/>
  <c r="AT79" i="69"/>
  <c r="AU79" i="69"/>
  <c r="AV79" i="69"/>
  <c r="AW79" i="69"/>
  <c r="AX79" i="69"/>
  <c r="AZ79" i="69"/>
  <c r="BA79" i="69"/>
  <c r="BC79" i="69"/>
  <c r="BD79" i="69"/>
  <c r="BE79" i="69"/>
  <c r="BF79" i="69"/>
  <c r="BH79" i="69"/>
  <c r="BI79" i="69"/>
  <c r="BK79" i="69"/>
  <c r="BL79" i="69"/>
  <c r="BN79" i="69"/>
  <c r="BO79" i="69"/>
  <c r="BQ79" i="69"/>
  <c r="BR79" i="69"/>
  <c r="BT79" i="69"/>
  <c r="BU79" i="69"/>
  <c r="BW79" i="69"/>
  <c r="BX79" i="69"/>
  <c r="BZ79" i="69"/>
  <c r="CA79" i="69"/>
  <c r="CC79" i="69"/>
  <c r="CD79" i="69"/>
  <c r="CF79" i="69"/>
  <c r="CG79" i="69"/>
  <c r="CI79" i="69"/>
  <c r="CJ79" i="69"/>
  <c r="CL79" i="69"/>
  <c r="CM79" i="69"/>
  <c r="CO79" i="69"/>
  <c r="CP79" i="69"/>
  <c r="CR79" i="69"/>
  <c r="CS79" i="69"/>
  <c r="CU79" i="69"/>
  <c r="CV79" i="69"/>
  <c r="CX79" i="69"/>
  <c r="CY79" i="69"/>
  <c r="DA79" i="69"/>
  <c r="DB79" i="69"/>
  <c r="DD79" i="69"/>
  <c r="DE79" i="69"/>
  <c r="DG79" i="69"/>
  <c r="DH79" i="69"/>
  <c r="DJ79" i="69"/>
  <c r="DK79" i="69"/>
  <c r="DM79" i="69"/>
  <c r="DN79" i="69"/>
  <c r="DP79" i="69"/>
  <c r="DQ79" i="69"/>
  <c r="DS79" i="69"/>
  <c r="DT79" i="69"/>
  <c r="DV79" i="69"/>
  <c r="DW79" i="69"/>
  <c r="DY79" i="69"/>
  <c r="DZ79" i="69"/>
  <c r="EA79" i="69"/>
  <c r="EB79" i="69"/>
  <c r="EC79" i="69"/>
  <c r="ED79" i="69"/>
  <c r="EE79" i="69"/>
  <c r="EF79" i="69"/>
  <c r="EG79" i="69"/>
  <c r="EH79" i="69"/>
  <c r="EI79" i="69"/>
  <c r="EJ79" i="69"/>
  <c r="EK79" i="69"/>
  <c r="EL79" i="69"/>
  <c r="EM79" i="69"/>
  <c r="EN79" i="69"/>
  <c r="EO79" i="69"/>
  <c r="EQ79" i="69"/>
  <c r="ER79" i="69"/>
  <c r="ET79" i="69"/>
  <c r="EU79" i="69"/>
  <c r="EV79" i="69"/>
  <c r="EW79" i="69"/>
  <c r="EX79" i="69"/>
  <c r="EY79" i="69"/>
  <c r="EZ79" i="69"/>
  <c r="FA79" i="69"/>
  <c r="FB79" i="69"/>
  <c r="FC79" i="69"/>
  <c r="FD79" i="69"/>
  <c r="FE79" i="69"/>
  <c r="FF79" i="69"/>
  <c r="FG79" i="69"/>
  <c r="FH79" i="69"/>
  <c r="FI79" i="69"/>
  <c r="FJ79" i="69"/>
  <c r="FK79" i="69"/>
  <c r="FL79" i="69"/>
  <c r="FM79" i="69"/>
  <c r="FN79" i="69"/>
  <c r="FO79" i="69"/>
  <c r="FP79" i="69"/>
  <c r="FQ79" i="69"/>
  <c r="A80" i="69"/>
  <c r="B80" i="69"/>
  <c r="C80" i="69"/>
  <c r="AP80" i="69"/>
  <c r="AQ80" i="69"/>
  <c r="AR80" i="69"/>
  <c r="AS80" i="69"/>
  <c r="AT80" i="69"/>
  <c r="AU80" i="69"/>
  <c r="AV80" i="69"/>
  <c r="AW80" i="69"/>
  <c r="AX80" i="69"/>
  <c r="AZ80" i="69"/>
  <c r="BA80" i="69"/>
  <c r="BC80" i="69"/>
  <c r="BD80" i="69"/>
  <c r="BE80" i="69"/>
  <c r="BF80" i="69"/>
  <c r="BH80" i="69"/>
  <c r="BI80" i="69"/>
  <c r="BK80" i="69"/>
  <c r="BL80" i="69"/>
  <c r="BN80" i="69"/>
  <c r="BO80" i="69"/>
  <c r="BQ80" i="69"/>
  <c r="BR80" i="69"/>
  <c r="BT80" i="69"/>
  <c r="BU80" i="69"/>
  <c r="BW80" i="69"/>
  <c r="BX80" i="69"/>
  <c r="BZ80" i="69"/>
  <c r="CA80" i="69"/>
  <c r="CC80" i="69"/>
  <c r="CD80" i="69"/>
  <c r="CF80" i="69"/>
  <c r="CG80" i="69"/>
  <c r="CI80" i="69"/>
  <c r="CJ80" i="69"/>
  <c r="CL80" i="69"/>
  <c r="CM80" i="69"/>
  <c r="CO80" i="69"/>
  <c r="CP80" i="69"/>
  <c r="CR80" i="69"/>
  <c r="CS80" i="69"/>
  <c r="CU80" i="69"/>
  <c r="CV80" i="69"/>
  <c r="CX80" i="69"/>
  <c r="CY80" i="69"/>
  <c r="DA80" i="69"/>
  <c r="DB80" i="69"/>
  <c r="DD80" i="69"/>
  <c r="DE80" i="69"/>
  <c r="DG80" i="69"/>
  <c r="DH80" i="69"/>
  <c r="DJ80" i="69"/>
  <c r="DK80" i="69"/>
  <c r="DM80" i="69"/>
  <c r="DN80" i="69"/>
  <c r="DP80" i="69"/>
  <c r="DQ80" i="69"/>
  <c r="DS80" i="69"/>
  <c r="DT80" i="69"/>
  <c r="DV80" i="69"/>
  <c r="DW80" i="69"/>
  <c r="DY80" i="69"/>
  <c r="DZ80" i="69"/>
  <c r="EA80" i="69"/>
  <c r="EB80" i="69"/>
  <c r="EC80" i="69"/>
  <c r="ED80" i="69"/>
  <c r="EE80" i="69"/>
  <c r="EF80" i="69"/>
  <c r="EG80" i="69"/>
  <c r="EH80" i="69"/>
  <c r="EI80" i="69"/>
  <c r="EJ80" i="69"/>
  <c r="EK80" i="69"/>
  <c r="EL80" i="69"/>
  <c r="EM80" i="69"/>
  <c r="EN80" i="69"/>
  <c r="EO80" i="69"/>
  <c r="EQ80" i="69"/>
  <c r="ER80" i="69"/>
  <c r="ET80" i="69"/>
  <c r="EU80" i="69"/>
  <c r="EV80" i="69"/>
  <c r="EW80" i="69"/>
  <c r="EX80" i="69"/>
  <c r="EY80" i="69"/>
  <c r="EZ80" i="69"/>
  <c r="FA80" i="69"/>
  <c r="FB80" i="69"/>
  <c r="FC80" i="69"/>
  <c r="FD80" i="69"/>
  <c r="FE80" i="69"/>
  <c r="FF80" i="69"/>
  <c r="FG80" i="69"/>
  <c r="FH80" i="69"/>
  <c r="FI80" i="69"/>
  <c r="FJ80" i="69"/>
  <c r="FK80" i="69"/>
  <c r="FL80" i="69"/>
  <c r="FM80" i="69"/>
  <c r="FN80" i="69"/>
  <c r="FO80" i="69"/>
  <c r="FP80" i="69"/>
  <c r="FQ80" i="69"/>
  <c r="A81" i="69"/>
  <c r="B81" i="69"/>
  <c r="C81" i="69"/>
  <c r="AP81" i="69"/>
  <c r="AQ81" i="69"/>
  <c r="AR81" i="69"/>
  <c r="AS81" i="69"/>
  <c r="AT81" i="69"/>
  <c r="AU81" i="69"/>
  <c r="AV81" i="69"/>
  <c r="AW81" i="69"/>
  <c r="AX81" i="69"/>
  <c r="AZ81" i="69"/>
  <c r="BA81" i="69"/>
  <c r="BC81" i="69"/>
  <c r="BD81" i="69"/>
  <c r="BE81" i="69"/>
  <c r="BF81" i="69"/>
  <c r="BH81" i="69"/>
  <c r="BI81" i="69"/>
  <c r="BK81" i="69"/>
  <c r="BL81" i="69"/>
  <c r="BN81" i="69"/>
  <c r="BO81" i="69"/>
  <c r="BQ81" i="69"/>
  <c r="BR81" i="69"/>
  <c r="BT81" i="69"/>
  <c r="BU81" i="69"/>
  <c r="BW81" i="69"/>
  <c r="BX81" i="69"/>
  <c r="BZ81" i="69"/>
  <c r="CA81" i="69"/>
  <c r="CC81" i="69"/>
  <c r="CD81" i="69"/>
  <c r="CF81" i="69"/>
  <c r="CG81" i="69"/>
  <c r="CI81" i="69"/>
  <c r="CJ81" i="69"/>
  <c r="CL81" i="69"/>
  <c r="CM81" i="69"/>
  <c r="CO81" i="69"/>
  <c r="CP81" i="69"/>
  <c r="CR81" i="69"/>
  <c r="CS81" i="69"/>
  <c r="CU81" i="69"/>
  <c r="CV81" i="69"/>
  <c r="CX81" i="69"/>
  <c r="CY81" i="69"/>
  <c r="DA81" i="69"/>
  <c r="DB81" i="69"/>
  <c r="DD81" i="69"/>
  <c r="DE81" i="69"/>
  <c r="DG81" i="69"/>
  <c r="DH81" i="69"/>
  <c r="DJ81" i="69"/>
  <c r="DK81" i="69"/>
  <c r="DM81" i="69"/>
  <c r="DN81" i="69"/>
  <c r="DP81" i="69"/>
  <c r="DQ81" i="69"/>
  <c r="DS81" i="69"/>
  <c r="DT81" i="69"/>
  <c r="DV81" i="69"/>
  <c r="DW81" i="69"/>
  <c r="DY81" i="69"/>
  <c r="DZ81" i="69"/>
  <c r="EA81" i="69"/>
  <c r="EB81" i="69"/>
  <c r="EC81" i="69"/>
  <c r="ED81" i="69"/>
  <c r="EE81" i="69"/>
  <c r="EF81" i="69"/>
  <c r="EG81" i="69"/>
  <c r="EH81" i="69"/>
  <c r="EI81" i="69"/>
  <c r="EJ81" i="69"/>
  <c r="EK81" i="69"/>
  <c r="EL81" i="69"/>
  <c r="EM81" i="69"/>
  <c r="EN81" i="69"/>
  <c r="EO81" i="69"/>
  <c r="EQ81" i="69"/>
  <c r="ER81" i="69"/>
  <c r="ET81" i="69"/>
  <c r="EU81" i="69"/>
  <c r="EV81" i="69"/>
  <c r="EW81" i="69"/>
  <c r="EX81" i="69"/>
  <c r="EY81" i="69"/>
  <c r="EZ81" i="69"/>
  <c r="FA81" i="69"/>
  <c r="FB81" i="69"/>
  <c r="FC81" i="69"/>
  <c r="FD81" i="69"/>
  <c r="FE81" i="69"/>
  <c r="FF81" i="69"/>
  <c r="FG81" i="69"/>
  <c r="FH81" i="69"/>
  <c r="FI81" i="69"/>
  <c r="FJ81" i="69"/>
  <c r="FK81" i="69"/>
  <c r="FL81" i="69"/>
  <c r="FM81" i="69"/>
  <c r="FN81" i="69"/>
  <c r="FO81" i="69"/>
  <c r="FP81" i="69"/>
  <c r="FQ81" i="69"/>
  <c r="A82" i="69"/>
  <c r="B82" i="69"/>
  <c r="C82" i="69"/>
  <c r="AP82" i="69"/>
  <c r="AQ82" i="69"/>
  <c r="AR82" i="69"/>
  <c r="AS82" i="69"/>
  <c r="AT82" i="69"/>
  <c r="AU82" i="69"/>
  <c r="AV82" i="69"/>
  <c r="AW82" i="69"/>
  <c r="AX82" i="69"/>
  <c r="AZ82" i="69"/>
  <c r="BA82" i="69"/>
  <c r="BC82" i="69"/>
  <c r="BD82" i="69"/>
  <c r="BE82" i="69"/>
  <c r="BF82" i="69"/>
  <c r="BH82" i="69"/>
  <c r="BI82" i="69"/>
  <c r="BK82" i="69"/>
  <c r="BL82" i="69"/>
  <c r="BN82" i="69"/>
  <c r="BO82" i="69"/>
  <c r="BQ82" i="69"/>
  <c r="BR82" i="69"/>
  <c r="BT82" i="69"/>
  <c r="BU82" i="69"/>
  <c r="BW82" i="69"/>
  <c r="BX82" i="69"/>
  <c r="BZ82" i="69"/>
  <c r="CA82" i="69"/>
  <c r="CC82" i="69"/>
  <c r="CD82" i="69"/>
  <c r="CF82" i="69"/>
  <c r="CG82" i="69"/>
  <c r="CI82" i="69"/>
  <c r="CJ82" i="69"/>
  <c r="CL82" i="69"/>
  <c r="CM82" i="69"/>
  <c r="CO82" i="69"/>
  <c r="CP82" i="69"/>
  <c r="CR82" i="69"/>
  <c r="CS82" i="69"/>
  <c r="CU82" i="69"/>
  <c r="CV82" i="69"/>
  <c r="CX82" i="69"/>
  <c r="CY82" i="69"/>
  <c r="DA82" i="69"/>
  <c r="DB82" i="69"/>
  <c r="DD82" i="69"/>
  <c r="DE82" i="69"/>
  <c r="DG82" i="69"/>
  <c r="DH82" i="69"/>
  <c r="DJ82" i="69"/>
  <c r="DK82" i="69"/>
  <c r="DM82" i="69"/>
  <c r="DN82" i="69"/>
  <c r="DP82" i="69"/>
  <c r="DQ82" i="69"/>
  <c r="DS82" i="69"/>
  <c r="DT82" i="69"/>
  <c r="DV82" i="69"/>
  <c r="DW82" i="69"/>
  <c r="DY82" i="69"/>
  <c r="DZ82" i="69"/>
  <c r="EA82" i="69"/>
  <c r="EB82" i="69"/>
  <c r="EC82" i="69"/>
  <c r="ED82" i="69"/>
  <c r="EE82" i="69"/>
  <c r="EF82" i="69"/>
  <c r="EG82" i="69"/>
  <c r="EH82" i="69"/>
  <c r="EI82" i="69"/>
  <c r="EJ82" i="69"/>
  <c r="EK82" i="69"/>
  <c r="EL82" i="69"/>
  <c r="EM82" i="69"/>
  <c r="EN82" i="69"/>
  <c r="EO82" i="69"/>
  <c r="EQ82" i="69"/>
  <c r="ER82" i="69"/>
  <c r="ET82" i="69"/>
  <c r="EU82" i="69"/>
  <c r="EV82" i="69"/>
  <c r="EW82" i="69"/>
  <c r="EX82" i="69"/>
  <c r="EY82" i="69"/>
  <c r="EZ82" i="69"/>
  <c r="FA82" i="69"/>
  <c r="FB82" i="69"/>
  <c r="FC82" i="69"/>
  <c r="FD82" i="69"/>
  <c r="FE82" i="69"/>
  <c r="FF82" i="69"/>
  <c r="FG82" i="69"/>
  <c r="FH82" i="69"/>
  <c r="FI82" i="69"/>
  <c r="FJ82" i="69"/>
  <c r="FK82" i="69"/>
  <c r="FL82" i="69"/>
  <c r="FM82" i="69"/>
  <c r="FN82" i="69"/>
  <c r="FO82" i="69"/>
  <c r="FP82" i="69"/>
  <c r="FQ82" i="69"/>
  <c r="EM17" i="69"/>
  <c r="EL17" i="69"/>
  <c r="EK17" i="69"/>
  <c r="EJ17" i="69"/>
  <c r="EI17" i="69"/>
  <c r="EH17" i="69"/>
  <c r="EG17" i="69"/>
  <c r="EF17" i="69"/>
  <c r="EE17" i="69"/>
  <c r="ED17" i="69"/>
  <c r="EC17" i="69"/>
  <c r="EB17" i="69"/>
  <c r="EA17" i="69"/>
  <c r="EM16" i="69"/>
  <c r="EL16" i="69"/>
  <c r="EK16" i="69"/>
  <c r="EJ16" i="69"/>
  <c r="EI16" i="69"/>
  <c r="EH16" i="69"/>
  <c r="EG16" i="69"/>
  <c r="EF16" i="69"/>
  <c r="EE16" i="69"/>
  <c r="ED16" i="69"/>
  <c r="EC16" i="69"/>
  <c r="EB16" i="69"/>
  <c r="EA16" i="69"/>
  <c r="EM15" i="69"/>
  <c r="EL15" i="69"/>
  <c r="EK15" i="69"/>
  <c r="EJ15" i="69"/>
  <c r="EI15" i="69"/>
  <c r="EH15" i="69"/>
  <c r="EG15" i="69"/>
  <c r="EF15" i="69"/>
  <c r="EE15" i="69"/>
  <c r="ED15" i="69"/>
  <c r="EC15" i="69"/>
  <c r="EB15" i="69"/>
  <c r="EA15" i="69"/>
  <c r="EM14" i="69"/>
  <c r="EL14" i="69"/>
  <c r="EK14" i="69"/>
  <c r="EJ14" i="69"/>
  <c r="EI14" i="69"/>
  <c r="EH14" i="69"/>
  <c r="EG14" i="69"/>
  <c r="EF14" i="69"/>
  <c r="EE14" i="69"/>
  <c r="ED14" i="69"/>
  <c r="EC14" i="69"/>
  <c r="EB14" i="69"/>
  <c r="EA14" i="69"/>
  <c r="EM13" i="69"/>
  <c r="EL13" i="69"/>
  <c r="EK13" i="69"/>
  <c r="EJ13" i="69"/>
  <c r="EI13" i="69"/>
  <c r="EH13" i="69"/>
  <c r="EG13" i="69"/>
  <c r="EF13" i="69"/>
  <c r="EE13" i="69"/>
  <c r="ED13" i="69"/>
  <c r="EC13" i="69"/>
  <c r="EB13" i="69"/>
  <c r="EA13" i="69"/>
  <c r="EM12" i="69"/>
  <c r="EL12" i="69"/>
  <c r="EK12" i="69"/>
  <c r="EJ12" i="69"/>
  <c r="EI12" i="69"/>
  <c r="EH12" i="69"/>
  <c r="EG12" i="69"/>
  <c r="EF12" i="69"/>
  <c r="EE12" i="69"/>
  <c r="ED12" i="69"/>
  <c r="EC12" i="69"/>
  <c r="EB12" i="69"/>
  <c r="EA12" i="69"/>
  <c r="EM11" i="69"/>
  <c r="EL11" i="69"/>
  <c r="EK11" i="69"/>
  <c r="EJ11" i="69"/>
  <c r="EI11" i="69"/>
  <c r="EH11" i="69"/>
  <c r="EG11" i="69"/>
  <c r="EF11" i="69"/>
  <c r="EE11" i="69"/>
  <c r="ED11" i="69"/>
  <c r="EC11" i="69"/>
  <c r="EB11" i="69"/>
  <c r="EA11" i="69"/>
  <c r="EM10" i="69"/>
  <c r="EL10" i="69"/>
  <c r="EK10" i="69"/>
  <c r="EJ10" i="69"/>
  <c r="EI10" i="69"/>
  <c r="EH10" i="69"/>
  <c r="EG10" i="69"/>
  <c r="EF10" i="69"/>
  <c r="EE10" i="69"/>
  <c r="ED10" i="69"/>
  <c r="EC10" i="69"/>
  <c r="EB10" i="69"/>
  <c r="EA10" i="69"/>
  <c r="EM9" i="69"/>
  <c r="EL9" i="69"/>
  <c r="EK9" i="69"/>
  <c r="EJ9" i="69"/>
  <c r="EI9" i="69"/>
  <c r="EH9" i="69"/>
  <c r="EG9" i="69"/>
  <c r="EF9" i="69"/>
  <c r="EE9" i="69"/>
  <c r="ED9" i="69"/>
  <c r="EC9" i="69"/>
  <c r="EB9" i="69"/>
  <c r="EA9" i="69"/>
  <c r="EM8" i="69"/>
  <c r="EL8" i="69"/>
  <c r="EK8" i="69"/>
  <c r="EJ8" i="69"/>
  <c r="EI8" i="69"/>
  <c r="EH8" i="69"/>
  <c r="EG8" i="69"/>
  <c r="EF8" i="69"/>
  <c r="EE8" i="69"/>
  <c r="ED8" i="69"/>
  <c r="EC8" i="69"/>
  <c r="EB8" i="69"/>
  <c r="EA8" i="69"/>
  <c r="EM7" i="69"/>
  <c r="EL7" i="69"/>
  <c r="EK7" i="69"/>
  <c r="EJ7" i="69"/>
  <c r="EI7" i="69"/>
  <c r="EH7" i="69"/>
  <c r="EG7" i="69"/>
  <c r="EF7" i="69"/>
  <c r="EE7" i="69"/>
  <c r="ED7" i="69"/>
  <c r="EC7" i="69"/>
  <c r="EB7" i="69"/>
  <c r="EA7" i="69"/>
  <c r="EM6" i="69"/>
  <c r="EL6" i="69"/>
  <c r="EK6" i="69"/>
  <c r="EJ6" i="69"/>
  <c r="EI6" i="69"/>
  <c r="EH6" i="69"/>
  <c r="EG6" i="69"/>
  <c r="EF6" i="69"/>
  <c r="EE6" i="69"/>
  <c r="ED6" i="69"/>
  <c r="EC6" i="69"/>
  <c r="EB6" i="69"/>
  <c r="EA6" i="69"/>
  <c r="EM5" i="69"/>
  <c r="EL5" i="69"/>
  <c r="EK5" i="69"/>
  <c r="EJ5" i="69"/>
  <c r="EI5" i="69"/>
  <c r="EH5" i="69"/>
  <c r="EG5" i="69"/>
  <c r="EF5" i="69"/>
  <c r="EE5" i="69"/>
  <c r="ED5" i="69"/>
  <c r="EC5" i="69"/>
  <c r="EB5" i="69"/>
  <c r="EA5" i="69"/>
  <c r="EM4" i="69"/>
  <c r="EL4" i="69"/>
  <c r="EK4" i="69"/>
  <c r="EJ4" i="69"/>
  <c r="EI4" i="69"/>
  <c r="EH4" i="69"/>
  <c r="EG4" i="69"/>
  <c r="EF4" i="69"/>
  <c r="EE4" i="69"/>
  <c r="ED4" i="69"/>
  <c r="EC4" i="69"/>
  <c r="EB4" i="69"/>
  <c r="EA4" i="69"/>
  <c r="EM3" i="69"/>
  <c r="EL3" i="69"/>
  <c r="EK3" i="69"/>
  <c r="EJ3" i="69"/>
  <c r="EI3" i="69"/>
  <c r="EH3" i="69"/>
  <c r="EG3" i="69"/>
  <c r="EF3" i="69"/>
  <c r="EE3" i="69"/>
  <c r="ED3" i="69"/>
  <c r="EC3" i="69"/>
  <c r="EB3" i="69"/>
  <c r="EA3" i="69"/>
  <c r="EK1" i="69"/>
  <c r="EH1" i="69"/>
  <c r="EE1" i="69"/>
  <c r="EB1" i="69"/>
  <c r="DY1" i="69"/>
  <c r="BD18" i="57"/>
  <c r="BF18" i="57"/>
  <c r="BG18" i="57" s="1"/>
  <c r="BG18" i="69" s="1"/>
  <c r="BI18" i="57"/>
  <c r="BJ18" i="57" s="1"/>
  <c r="BJ18" i="69" s="1"/>
  <c r="BL18" i="57"/>
  <c r="BM18" i="57" s="1"/>
  <c r="BM18" i="69" s="1"/>
  <c r="BO18" i="57"/>
  <c r="BP18" i="57" s="1"/>
  <c r="BP18" i="69" s="1"/>
  <c r="BR18" i="57"/>
  <c r="BS18" i="57" s="1"/>
  <c r="BS18" i="69" s="1"/>
  <c r="BU18" i="57"/>
  <c r="BV18" i="57" s="1"/>
  <c r="BV18" i="69" s="1"/>
  <c r="BX18" i="57"/>
  <c r="BY18" i="57" s="1"/>
  <c r="BY18" i="69" s="1"/>
  <c r="CA18" i="57"/>
  <c r="CB18" i="57" s="1"/>
  <c r="CB18" i="69" s="1"/>
  <c r="CD18" i="57"/>
  <c r="CE18" i="57" s="1"/>
  <c r="CE18" i="69" s="1"/>
  <c r="CG18" i="57"/>
  <c r="CH18" i="57" s="1"/>
  <c r="CH18" i="69" s="1"/>
  <c r="CJ18" i="57"/>
  <c r="CK18" i="57" s="1"/>
  <c r="CK18" i="69" s="1"/>
  <c r="CM18" i="57"/>
  <c r="CN18" i="57" s="1"/>
  <c r="CN18" i="69" s="1"/>
  <c r="CP18" i="57"/>
  <c r="CQ18" i="57" s="1"/>
  <c r="CQ18" i="69" s="1"/>
  <c r="CS18" i="57"/>
  <c r="CT18" i="57" s="1"/>
  <c r="CT18" i="69" s="1"/>
  <c r="CV18" i="57"/>
  <c r="CW18" i="57" s="1"/>
  <c r="CW18" i="69" s="1"/>
  <c r="CY18" i="57"/>
  <c r="CZ18" i="57" s="1"/>
  <c r="CZ18" i="69" s="1"/>
  <c r="DB18" i="57"/>
  <c r="DC18" i="57" s="1"/>
  <c r="DC18" i="69" s="1"/>
  <c r="DE18" i="57"/>
  <c r="DF18" i="57" s="1"/>
  <c r="DF18" i="69" s="1"/>
  <c r="DH18" i="57"/>
  <c r="DI18" i="57" s="1"/>
  <c r="DI18" i="69" s="1"/>
  <c r="DK18" i="57"/>
  <c r="DL18" i="57" s="1"/>
  <c r="DL18" i="69" s="1"/>
  <c r="DN18" i="57"/>
  <c r="DO18" i="57" s="1"/>
  <c r="DO18" i="69" s="1"/>
  <c r="DQ18" i="57"/>
  <c r="DR18" i="57" s="1"/>
  <c r="DR18" i="69" s="1"/>
  <c r="DT18" i="57"/>
  <c r="DU18" i="57" s="1"/>
  <c r="DU18" i="69" s="1"/>
  <c r="DW18" i="57"/>
  <c r="DX18" i="57" s="1"/>
  <c r="DX18" i="69" s="1"/>
  <c r="DZ18" i="57"/>
  <c r="EC18" i="57"/>
  <c r="EF18" i="57"/>
  <c r="EI18" i="57"/>
  <c r="EL18" i="57"/>
  <c r="EO18" i="57"/>
  <c r="EP18" i="57"/>
  <c r="EP18" i="69" s="1"/>
  <c r="ER18" i="57"/>
  <c r="EW18" i="57"/>
  <c r="EX18" i="57"/>
  <c r="EY18" i="57"/>
  <c r="FG18" i="57"/>
  <c r="FH18" i="57"/>
  <c r="FI18" i="57"/>
  <c r="FJ18" i="57"/>
  <c r="FK18" i="57"/>
  <c r="FL18" i="57"/>
  <c r="FM18" i="57"/>
  <c r="FN18" i="57"/>
  <c r="FO18" i="57"/>
  <c r="FP18" i="57"/>
  <c r="FQ18" i="57"/>
  <c r="FR18" i="57"/>
  <c r="FS18" i="57"/>
  <c r="FT18" i="57"/>
  <c r="FU18" i="57"/>
  <c r="FV18" i="57"/>
  <c r="FW18" i="57"/>
  <c r="BD19" i="57"/>
  <c r="BF19" i="57"/>
  <c r="BG19" i="57"/>
  <c r="BG19" i="69" s="1"/>
  <c r="BI19" i="57"/>
  <c r="BJ19" i="57"/>
  <c r="BJ19" i="69" s="1"/>
  <c r="BL19" i="57"/>
  <c r="BM19" i="57"/>
  <c r="BM19" i="69" s="1"/>
  <c r="BO19" i="57"/>
  <c r="BP19" i="57"/>
  <c r="BP19" i="69" s="1"/>
  <c r="BR19" i="57"/>
  <c r="BS19" i="57"/>
  <c r="BS19" i="69" s="1"/>
  <c r="BU19" i="57"/>
  <c r="BV19" i="57"/>
  <c r="BV19" i="69" s="1"/>
  <c r="BX19" i="57"/>
  <c r="BY19" i="57"/>
  <c r="BY19" i="69" s="1"/>
  <c r="CA19" i="57"/>
  <c r="CB19" i="57"/>
  <c r="CB19" i="69" s="1"/>
  <c r="CD19" i="57"/>
  <c r="CE19" i="57"/>
  <c r="CE19" i="69" s="1"/>
  <c r="CG19" i="57"/>
  <c r="CH19" i="57"/>
  <c r="CH19" i="69" s="1"/>
  <c r="CJ19" i="57"/>
  <c r="CK19" i="57"/>
  <c r="CK19" i="69" s="1"/>
  <c r="CM19" i="57"/>
  <c r="CN19" i="57"/>
  <c r="CN19" i="69" s="1"/>
  <c r="CP19" i="57"/>
  <c r="CQ19" i="57"/>
  <c r="CQ19" i="69" s="1"/>
  <c r="CS19" i="57"/>
  <c r="CT19" i="57"/>
  <c r="CT19" i="69" s="1"/>
  <c r="CV19" i="57"/>
  <c r="CW19" i="57"/>
  <c r="CW19" i="69" s="1"/>
  <c r="CY19" i="57"/>
  <c r="CZ19" i="57"/>
  <c r="CZ19" i="69" s="1"/>
  <c r="DB19" i="57"/>
  <c r="DC19" i="57"/>
  <c r="DC19" i="69" s="1"/>
  <c r="DE19" i="57"/>
  <c r="DF19" i="57"/>
  <c r="DF19" i="69" s="1"/>
  <c r="DH19" i="57"/>
  <c r="DI19" i="57"/>
  <c r="DI19" i="69" s="1"/>
  <c r="DK19" i="57"/>
  <c r="DL19" i="57"/>
  <c r="DL19" i="69" s="1"/>
  <c r="DN19" i="57"/>
  <c r="DO19" i="57"/>
  <c r="DO19" i="69" s="1"/>
  <c r="DQ19" i="57"/>
  <c r="DR19" i="57"/>
  <c r="DR19" i="69" s="1"/>
  <c r="DT19" i="57"/>
  <c r="DU19" i="57"/>
  <c r="DU19" i="69" s="1"/>
  <c r="DW19" i="57"/>
  <c r="DX19" i="57"/>
  <c r="DX19" i="69" s="1"/>
  <c r="DZ19" i="57"/>
  <c r="EC19" i="57"/>
  <c r="EF19" i="57"/>
  <c r="EI19" i="57"/>
  <c r="EL19" i="57"/>
  <c r="EO19" i="57"/>
  <c r="EP19" i="57" s="1"/>
  <c r="EP19" i="69" s="1"/>
  <c r="ER19" i="57"/>
  <c r="EW19" i="57"/>
  <c r="EX19" i="57"/>
  <c r="EY19" i="57"/>
  <c r="FG19" i="57"/>
  <c r="FH19" i="57"/>
  <c r="FI19" i="57"/>
  <c r="FJ19" i="57"/>
  <c r="FK19" i="57"/>
  <c r="FL19" i="57"/>
  <c r="FM19" i="57"/>
  <c r="FN19" i="57"/>
  <c r="FO19" i="57"/>
  <c r="FP19" i="57"/>
  <c r="FQ19" i="57"/>
  <c r="FR19" i="57"/>
  <c r="FS19" i="57"/>
  <c r="FT19" i="57"/>
  <c r="FU19" i="57"/>
  <c r="FV19" i="57"/>
  <c r="FW19" i="57"/>
  <c r="BD20" i="57"/>
  <c r="BF20" i="57"/>
  <c r="BG20" i="57" s="1"/>
  <c r="BG20" i="69" s="1"/>
  <c r="BI20" i="57"/>
  <c r="BJ20" i="57" s="1"/>
  <c r="BJ20" i="69" s="1"/>
  <c r="BL20" i="57"/>
  <c r="BM20" i="57" s="1"/>
  <c r="BM20" i="69" s="1"/>
  <c r="BO20" i="57"/>
  <c r="BP20" i="57" s="1"/>
  <c r="BP20" i="69" s="1"/>
  <c r="BR20" i="57"/>
  <c r="BS20" i="57" s="1"/>
  <c r="BS20" i="69" s="1"/>
  <c r="BU20" i="57"/>
  <c r="BV20" i="57" s="1"/>
  <c r="BV20" i="69" s="1"/>
  <c r="BX20" i="57"/>
  <c r="BY20" i="57" s="1"/>
  <c r="BY20" i="69" s="1"/>
  <c r="CA20" i="57"/>
  <c r="CB20" i="57" s="1"/>
  <c r="CB20" i="69" s="1"/>
  <c r="CD20" i="57"/>
  <c r="CE20" i="57" s="1"/>
  <c r="CE20" i="69" s="1"/>
  <c r="CG20" i="57"/>
  <c r="CH20" i="57" s="1"/>
  <c r="CH20" i="69" s="1"/>
  <c r="CJ20" i="57"/>
  <c r="CK20" i="57" s="1"/>
  <c r="CK20" i="69" s="1"/>
  <c r="CM20" i="57"/>
  <c r="CN20" i="57" s="1"/>
  <c r="CN20" i="69" s="1"/>
  <c r="CP20" i="57"/>
  <c r="CQ20" i="57" s="1"/>
  <c r="CQ20" i="69" s="1"/>
  <c r="CS20" i="57"/>
  <c r="CT20" i="57" s="1"/>
  <c r="CT20" i="69" s="1"/>
  <c r="CV20" i="57"/>
  <c r="CW20" i="57" s="1"/>
  <c r="CW20" i="69" s="1"/>
  <c r="CY20" i="57"/>
  <c r="CZ20" i="57" s="1"/>
  <c r="CZ20" i="69" s="1"/>
  <c r="DB20" i="57"/>
  <c r="DC20" i="57" s="1"/>
  <c r="DC20" i="69" s="1"/>
  <c r="DE20" i="57"/>
  <c r="DF20" i="57" s="1"/>
  <c r="DF20" i="69" s="1"/>
  <c r="DH20" i="57"/>
  <c r="DI20" i="57" s="1"/>
  <c r="DI20" i="69" s="1"/>
  <c r="DK20" i="57"/>
  <c r="DL20" i="57" s="1"/>
  <c r="DL20" i="69" s="1"/>
  <c r="DN20" i="57"/>
  <c r="DO20" i="57" s="1"/>
  <c r="DO20" i="69" s="1"/>
  <c r="DQ20" i="57"/>
  <c r="DR20" i="57" s="1"/>
  <c r="DR20" i="69" s="1"/>
  <c r="DT20" i="57"/>
  <c r="DU20" i="57" s="1"/>
  <c r="DU20" i="69" s="1"/>
  <c r="DW20" i="57"/>
  <c r="DX20" i="57" s="1"/>
  <c r="DX20" i="69" s="1"/>
  <c r="DZ20" i="57"/>
  <c r="EC20" i="57"/>
  <c r="EF20" i="57"/>
  <c r="EI20" i="57"/>
  <c r="EL20" i="57"/>
  <c r="EO20" i="57"/>
  <c r="EP20" i="57"/>
  <c r="EP20" i="69" s="1"/>
  <c r="ER20" i="57"/>
  <c r="EW20" i="57"/>
  <c r="EX20" i="57"/>
  <c r="EY20" i="57"/>
  <c r="FG20" i="57"/>
  <c r="FH20" i="57"/>
  <c r="FI20" i="57"/>
  <c r="FJ20" i="57"/>
  <c r="FK20" i="57"/>
  <c r="FL20" i="57"/>
  <c r="FM20" i="57"/>
  <c r="FN20" i="57"/>
  <c r="FO20" i="57"/>
  <c r="FP20" i="57"/>
  <c r="FQ20" i="57"/>
  <c r="FR20" i="57"/>
  <c r="FS20" i="57"/>
  <c r="FT20" i="57"/>
  <c r="FU20" i="57"/>
  <c r="FV20" i="57"/>
  <c r="FW20" i="57"/>
  <c r="BD21" i="57"/>
  <c r="BF21" i="57"/>
  <c r="BG21" i="57"/>
  <c r="BG21" i="69" s="1"/>
  <c r="BI21" i="57"/>
  <c r="BJ21" i="57"/>
  <c r="BJ21" i="69" s="1"/>
  <c r="BL21" i="57"/>
  <c r="BM21" i="57"/>
  <c r="BM21" i="69" s="1"/>
  <c r="BO21" i="57"/>
  <c r="BP21" i="57"/>
  <c r="BP21" i="69" s="1"/>
  <c r="BR21" i="57"/>
  <c r="BS21" i="57"/>
  <c r="BS21" i="69" s="1"/>
  <c r="BU21" i="57"/>
  <c r="BV21" i="57"/>
  <c r="BV21" i="69" s="1"/>
  <c r="BX21" i="57"/>
  <c r="BY21" i="57"/>
  <c r="BY21" i="69" s="1"/>
  <c r="CA21" i="57"/>
  <c r="CB21" i="57"/>
  <c r="CB21" i="69" s="1"/>
  <c r="CD21" i="57"/>
  <c r="CE21" i="57"/>
  <c r="CE21" i="69" s="1"/>
  <c r="CG21" i="57"/>
  <c r="CH21" i="57"/>
  <c r="CH21" i="69" s="1"/>
  <c r="CJ21" i="57"/>
  <c r="CK21" i="57"/>
  <c r="CK21" i="69" s="1"/>
  <c r="CM21" i="57"/>
  <c r="CN21" i="57"/>
  <c r="CN21" i="69" s="1"/>
  <c r="CP21" i="57"/>
  <c r="CQ21" i="57"/>
  <c r="CQ21" i="69" s="1"/>
  <c r="CS21" i="57"/>
  <c r="CT21" i="57"/>
  <c r="CT21" i="69" s="1"/>
  <c r="CV21" i="57"/>
  <c r="CW21" i="57"/>
  <c r="CW21" i="69" s="1"/>
  <c r="CY21" i="57"/>
  <c r="CZ21" i="57"/>
  <c r="CZ21" i="69" s="1"/>
  <c r="DB21" i="57"/>
  <c r="DC21" i="57"/>
  <c r="DC21" i="69" s="1"/>
  <c r="DE21" i="57"/>
  <c r="DF21" i="57"/>
  <c r="DF21" i="69" s="1"/>
  <c r="DH21" i="57"/>
  <c r="DI21" i="57"/>
  <c r="DI21" i="69" s="1"/>
  <c r="DK21" i="57"/>
  <c r="DL21" i="57"/>
  <c r="DL21" i="69" s="1"/>
  <c r="DN21" i="57"/>
  <c r="DO21" i="57"/>
  <c r="DO21" i="69" s="1"/>
  <c r="DQ21" i="57"/>
  <c r="DR21" i="57"/>
  <c r="DR21" i="69" s="1"/>
  <c r="DT21" i="57"/>
  <c r="DU21" i="57"/>
  <c r="DU21" i="69" s="1"/>
  <c r="DW21" i="57"/>
  <c r="DX21" i="57"/>
  <c r="DX21" i="69" s="1"/>
  <c r="DZ21" i="57"/>
  <c r="EC21" i="57"/>
  <c r="EF21" i="57"/>
  <c r="EI21" i="57"/>
  <c r="EL21" i="57"/>
  <c r="EO21" i="57"/>
  <c r="EP21" i="57" s="1"/>
  <c r="EP21" i="69" s="1"/>
  <c r="ER21" i="57"/>
  <c r="EW21" i="57"/>
  <c r="EX21" i="57"/>
  <c r="EY21" i="57"/>
  <c r="FG21" i="57"/>
  <c r="FH21" i="57"/>
  <c r="FI21" i="57"/>
  <c r="FJ21" i="57"/>
  <c r="FK21" i="57"/>
  <c r="FL21" i="57"/>
  <c r="FM21" i="57"/>
  <c r="FN21" i="57"/>
  <c r="FO21" i="57"/>
  <c r="FP21" i="57"/>
  <c r="FQ21" i="57"/>
  <c r="FR21" i="57"/>
  <c r="FS21" i="57"/>
  <c r="FT21" i="57"/>
  <c r="FU21" i="57"/>
  <c r="FV21" i="57"/>
  <c r="FW21" i="57"/>
  <c r="BD22" i="57"/>
  <c r="BF22" i="57"/>
  <c r="BG22" i="57" s="1"/>
  <c r="BG22" i="69" s="1"/>
  <c r="BI22" i="57"/>
  <c r="BJ22" i="57" s="1"/>
  <c r="BJ22" i="69" s="1"/>
  <c r="BL22" i="57"/>
  <c r="BM22" i="57" s="1"/>
  <c r="BM22" i="69" s="1"/>
  <c r="BO22" i="57"/>
  <c r="BP22" i="57" s="1"/>
  <c r="BP22" i="69" s="1"/>
  <c r="BR22" i="57"/>
  <c r="BS22" i="57" s="1"/>
  <c r="BS22" i="69" s="1"/>
  <c r="BU22" i="57"/>
  <c r="BV22" i="57" s="1"/>
  <c r="BV22" i="69" s="1"/>
  <c r="BX22" i="57"/>
  <c r="BY22" i="57" s="1"/>
  <c r="BY22" i="69" s="1"/>
  <c r="CA22" i="57"/>
  <c r="CB22" i="57" s="1"/>
  <c r="CB22" i="69" s="1"/>
  <c r="CD22" i="57"/>
  <c r="CE22" i="57" s="1"/>
  <c r="CE22" i="69" s="1"/>
  <c r="CG22" i="57"/>
  <c r="CH22" i="57" s="1"/>
  <c r="CH22" i="69" s="1"/>
  <c r="CJ22" i="57"/>
  <c r="CK22" i="57" s="1"/>
  <c r="CK22" i="69" s="1"/>
  <c r="CM22" i="57"/>
  <c r="CN22" i="57" s="1"/>
  <c r="CN22" i="69" s="1"/>
  <c r="CP22" i="57"/>
  <c r="CQ22" i="57" s="1"/>
  <c r="CQ22" i="69" s="1"/>
  <c r="CS22" i="57"/>
  <c r="CT22" i="57" s="1"/>
  <c r="CT22" i="69" s="1"/>
  <c r="CV22" i="57"/>
  <c r="CW22" i="57" s="1"/>
  <c r="CW22" i="69" s="1"/>
  <c r="CY22" i="57"/>
  <c r="CZ22" i="57" s="1"/>
  <c r="CZ22" i="69" s="1"/>
  <c r="DB22" i="57"/>
  <c r="DC22" i="57" s="1"/>
  <c r="DC22" i="69" s="1"/>
  <c r="DE22" i="57"/>
  <c r="DF22" i="57" s="1"/>
  <c r="DF22" i="69" s="1"/>
  <c r="DH22" i="57"/>
  <c r="DI22" i="57" s="1"/>
  <c r="DI22" i="69" s="1"/>
  <c r="DK22" i="57"/>
  <c r="DL22" i="57" s="1"/>
  <c r="DL22" i="69" s="1"/>
  <c r="DN22" i="57"/>
  <c r="DO22" i="57" s="1"/>
  <c r="DO22" i="69" s="1"/>
  <c r="DQ22" i="57"/>
  <c r="DR22" i="57" s="1"/>
  <c r="DR22" i="69" s="1"/>
  <c r="DT22" i="57"/>
  <c r="DU22" i="57" s="1"/>
  <c r="DU22" i="69" s="1"/>
  <c r="DW22" i="57"/>
  <c r="DX22" i="57" s="1"/>
  <c r="DX22" i="69" s="1"/>
  <c r="DZ22" i="57"/>
  <c r="EC22" i="57"/>
  <c r="EF22" i="57"/>
  <c r="EI22" i="57"/>
  <c r="EL22" i="57"/>
  <c r="EO22" i="57"/>
  <c r="EP22" i="57"/>
  <c r="EP22" i="69" s="1"/>
  <c r="ER22" i="57"/>
  <c r="EW22" i="57"/>
  <c r="EX22" i="57"/>
  <c r="EY22" i="57"/>
  <c r="FG22" i="57"/>
  <c r="FH22" i="57"/>
  <c r="FI22" i="57"/>
  <c r="FJ22" i="57"/>
  <c r="FK22" i="57"/>
  <c r="FL22" i="57"/>
  <c r="FM22" i="57"/>
  <c r="FN22" i="57"/>
  <c r="FO22" i="57"/>
  <c r="FP22" i="57"/>
  <c r="FQ22" i="57"/>
  <c r="FR22" i="57"/>
  <c r="FS22" i="57"/>
  <c r="FT22" i="57"/>
  <c r="FU22" i="57"/>
  <c r="FV22" i="57"/>
  <c r="FW22" i="57"/>
  <c r="BD23" i="57"/>
  <c r="BF23" i="57"/>
  <c r="BG23" i="57"/>
  <c r="BG23" i="69" s="1"/>
  <c r="BI23" i="57"/>
  <c r="BJ23" i="57"/>
  <c r="BJ23" i="69" s="1"/>
  <c r="BL23" i="57"/>
  <c r="BM23" i="57"/>
  <c r="BM23" i="69" s="1"/>
  <c r="BO23" i="57"/>
  <c r="BP23" i="57"/>
  <c r="BP23" i="69" s="1"/>
  <c r="BR23" i="57"/>
  <c r="BS23" i="57"/>
  <c r="BS23" i="69" s="1"/>
  <c r="BU23" i="57"/>
  <c r="BV23" i="57"/>
  <c r="BV23" i="69" s="1"/>
  <c r="BX23" i="57"/>
  <c r="BY23" i="57"/>
  <c r="BY23" i="69" s="1"/>
  <c r="CA23" i="57"/>
  <c r="CB23" i="57"/>
  <c r="CB23" i="69" s="1"/>
  <c r="CD23" i="57"/>
  <c r="CE23" i="57"/>
  <c r="CE23" i="69" s="1"/>
  <c r="CG23" i="57"/>
  <c r="CH23" i="57"/>
  <c r="CH23" i="69" s="1"/>
  <c r="CJ23" i="57"/>
  <c r="CK23" i="57"/>
  <c r="CK23" i="69" s="1"/>
  <c r="CM23" i="57"/>
  <c r="CN23" i="57"/>
  <c r="CN23" i="69" s="1"/>
  <c r="CP23" i="57"/>
  <c r="CQ23" i="57"/>
  <c r="CQ23" i="69" s="1"/>
  <c r="CS23" i="57"/>
  <c r="CT23" i="57"/>
  <c r="CT23" i="69" s="1"/>
  <c r="CV23" i="57"/>
  <c r="CW23" i="57"/>
  <c r="CW23" i="69" s="1"/>
  <c r="CY23" i="57"/>
  <c r="CZ23" i="57"/>
  <c r="CZ23" i="69" s="1"/>
  <c r="DB23" i="57"/>
  <c r="DC23" i="57"/>
  <c r="DC23" i="69" s="1"/>
  <c r="DE23" i="57"/>
  <c r="DF23" i="57"/>
  <c r="DF23" i="69" s="1"/>
  <c r="DH23" i="57"/>
  <c r="DI23" i="57"/>
  <c r="DI23" i="69" s="1"/>
  <c r="DK23" i="57"/>
  <c r="DL23" i="57"/>
  <c r="DL23" i="69" s="1"/>
  <c r="DN23" i="57"/>
  <c r="DO23" i="57"/>
  <c r="DO23" i="69" s="1"/>
  <c r="DQ23" i="57"/>
  <c r="DR23" i="57"/>
  <c r="DR23" i="69" s="1"/>
  <c r="DT23" i="57"/>
  <c r="DU23" i="57"/>
  <c r="DU23" i="69" s="1"/>
  <c r="DW23" i="57"/>
  <c r="DX23" i="57"/>
  <c r="DX23" i="69" s="1"/>
  <c r="DZ23" i="57"/>
  <c r="EC23" i="57"/>
  <c r="EF23" i="57"/>
  <c r="EI23" i="57"/>
  <c r="EL23" i="57"/>
  <c r="EO23" i="57"/>
  <c r="EP23" i="57" s="1"/>
  <c r="EP23" i="69" s="1"/>
  <c r="ER23" i="57"/>
  <c r="EW23" i="57"/>
  <c r="EX23" i="57"/>
  <c r="EY23" i="57"/>
  <c r="FG23" i="57"/>
  <c r="FH23" i="57"/>
  <c r="FI23" i="57"/>
  <c r="FJ23" i="57"/>
  <c r="FK23" i="57"/>
  <c r="FL23" i="57"/>
  <c r="FM23" i="57"/>
  <c r="FN23" i="57"/>
  <c r="FO23" i="57"/>
  <c r="FP23" i="57"/>
  <c r="FQ23" i="57"/>
  <c r="FR23" i="57"/>
  <c r="FS23" i="57"/>
  <c r="FT23" i="57"/>
  <c r="FU23" i="57"/>
  <c r="FV23" i="57"/>
  <c r="FW23" i="57"/>
  <c r="BD24" i="57"/>
  <c r="BF24" i="57"/>
  <c r="BG24" i="57" s="1"/>
  <c r="BG24" i="69" s="1"/>
  <c r="BI24" i="57"/>
  <c r="BJ24" i="57" s="1"/>
  <c r="BJ24" i="69" s="1"/>
  <c r="BL24" i="57"/>
  <c r="BM24" i="57" s="1"/>
  <c r="BM24" i="69" s="1"/>
  <c r="BO24" i="57"/>
  <c r="BP24" i="57" s="1"/>
  <c r="BP24" i="69" s="1"/>
  <c r="BR24" i="57"/>
  <c r="BS24" i="57" s="1"/>
  <c r="BS24" i="69" s="1"/>
  <c r="BU24" i="57"/>
  <c r="BV24" i="57" s="1"/>
  <c r="BV24" i="69" s="1"/>
  <c r="BX24" i="57"/>
  <c r="BY24" i="57" s="1"/>
  <c r="BY24" i="69" s="1"/>
  <c r="CA24" i="57"/>
  <c r="CB24" i="57" s="1"/>
  <c r="CB24" i="69" s="1"/>
  <c r="CD24" i="57"/>
  <c r="CE24" i="57" s="1"/>
  <c r="CE24" i="69" s="1"/>
  <c r="CG24" i="57"/>
  <c r="CH24" i="57" s="1"/>
  <c r="CH24" i="69" s="1"/>
  <c r="CJ24" i="57"/>
  <c r="CK24" i="57" s="1"/>
  <c r="CK24" i="69" s="1"/>
  <c r="CM24" i="57"/>
  <c r="CN24" i="57" s="1"/>
  <c r="CN24" i="69" s="1"/>
  <c r="CP24" i="57"/>
  <c r="CQ24" i="57" s="1"/>
  <c r="CQ24" i="69" s="1"/>
  <c r="CS24" i="57"/>
  <c r="CT24" i="57" s="1"/>
  <c r="CT24" i="69" s="1"/>
  <c r="CV24" i="57"/>
  <c r="CW24" i="57" s="1"/>
  <c r="CW24" i="69" s="1"/>
  <c r="CY24" i="57"/>
  <c r="CZ24" i="57" s="1"/>
  <c r="CZ24" i="69" s="1"/>
  <c r="DB24" i="57"/>
  <c r="DC24" i="57" s="1"/>
  <c r="DC24" i="69" s="1"/>
  <c r="DE24" i="57"/>
  <c r="DF24" i="57" s="1"/>
  <c r="DF24" i="69" s="1"/>
  <c r="DH24" i="57"/>
  <c r="DI24" i="57" s="1"/>
  <c r="DI24" i="69" s="1"/>
  <c r="DK24" i="57"/>
  <c r="DL24" i="57" s="1"/>
  <c r="DL24" i="69" s="1"/>
  <c r="DN24" i="57"/>
  <c r="DO24" i="57" s="1"/>
  <c r="DO24" i="69" s="1"/>
  <c r="DQ24" i="57"/>
  <c r="DR24" i="57" s="1"/>
  <c r="DR24" i="69" s="1"/>
  <c r="DT24" i="57"/>
  <c r="DU24" i="57" s="1"/>
  <c r="DU24" i="69" s="1"/>
  <c r="DW24" i="57"/>
  <c r="DX24" i="57" s="1"/>
  <c r="DX24" i="69" s="1"/>
  <c r="DZ24" i="57"/>
  <c r="EC24" i="57"/>
  <c r="EF24" i="57"/>
  <c r="EI24" i="57"/>
  <c r="EL24" i="57"/>
  <c r="EO24" i="57"/>
  <c r="EP24" i="57"/>
  <c r="EP24" i="69" s="1"/>
  <c r="ER24" i="57"/>
  <c r="EW24" i="57"/>
  <c r="EX24" i="57"/>
  <c r="EY24" i="57"/>
  <c r="FG24" i="57"/>
  <c r="FH24" i="57"/>
  <c r="FI24" i="57"/>
  <c r="FJ24" i="57"/>
  <c r="FK24" i="57"/>
  <c r="FL24" i="57"/>
  <c r="FM24" i="57"/>
  <c r="FN24" i="57"/>
  <c r="FO24" i="57"/>
  <c r="FP24" i="57"/>
  <c r="FQ24" i="57"/>
  <c r="FR24" i="57"/>
  <c r="FS24" i="57"/>
  <c r="FT24" i="57"/>
  <c r="FU24" i="57"/>
  <c r="FV24" i="57"/>
  <c r="FW24" i="57"/>
  <c r="BD25" i="57"/>
  <c r="BF25" i="57"/>
  <c r="BG25" i="57"/>
  <c r="BG25" i="69" s="1"/>
  <c r="BI25" i="57"/>
  <c r="BJ25" i="57"/>
  <c r="BJ25" i="69" s="1"/>
  <c r="BL25" i="57"/>
  <c r="BM25" i="57"/>
  <c r="BM25" i="69" s="1"/>
  <c r="BO25" i="57"/>
  <c r="BP25" i="57"/>
  <c r="BP25" i="69" s="1"/>
  <c r="BR25" i="57"/>
  <c r="BS25" i="57"/>
  <c r="BS25" i="69" s="1"/>
  <c r="BU25" i="57"/>
  <c r="BV25" i="57"/>
  <c r="BV25" i="69" s="1"/>
  <c r="BX25" i="57"/>
  <c r="BY25" i="57"/>
  <c r="BY25" i="69" s="1"/>
  <c r="CA25" i="57"/>
  <c r="CB25" i="57"/>
  <c r="CB25" i="69" s="1"/>
  <c r="CD25" i="57"/>
  <c r="CE25" i="57"/>
  <c r="CE25" i="69" s="1"/>
  <c r="CG25" i="57"/>
  <c r="CH25" i="57"/>
  <c r="CH25" i="69" s="1"/>
  <c r="CJ25" i="57"/>
  <c r="CK25" i="57"/>
  <c r="CK25" i="69" s="1"/>
  <c r="CM25" i="57"/>
  <c r="CN25" i="57"/>
  <c r="CN25" i="69" s="1"/>
  <c r="CP25" i="57"/>
  <c r="CQ25" i="57"/>
  <c r="CQ25" i="69" s="1"/>
  <c r="CS25" i="57"/>
  <c r="CT25" i="57"/>
  <c r="CT25" i="69" s="1"/>
  <c r="CV25" i="57"/>
  <c r="CW25" i="57"/>
  <c r="CW25" i="69" s="1"/>
  <c r="CY25" i="57"/>
  <c r="CZ25" i="57"/>
  <c r="CZ25" i="69" s="1"/>
  <c r="DB25" i="57"/>
  <c r="DC25" i="57"/>
  <c r="DC25" i="69" s="1"/>
  <c r="DE25" i="57"/>
  <c r="DF25" i="57"/>
  <c r="DF25" i="69" s="1"/>
  <c r="DH25" i="57"/>
  <c r="DI25" i="57"/>
  <c r="DI25" i="69" s="1"/>
  <c r="DK25" i="57"/>
  <c r="DL25" i="57"/>
  <c r="DL25" i="69" s="1"/>
  <c r="DN25" i="57"/>
  <c r="DO25" i="57"/>
  <c r="DO25" i="69" s="1"/>
  <c r="DQ25" i="57"/>
  <c r="DR25" i="57"/>
  <c r="DR25" i="69" s="1"/>
  <c r="DT25" i="57"/>
  <c r="DU25" i="57"/>
  <c r="DU25" i="69" s="1"/>
  <c r="DW25" i="57"/>
  <c r="DX25" i="57"/>
  <c r="DX25" i="69" s="1"/>
  <c r="DZ25" i="57"/>
  <c r="EC25" i="57"/>
  <c r="EF25" i="57"/>
  <c r="EI25" i="57"/>
  <c r="EL25" i="57"/>
  <c r="EO25" i="57"/>
  <c r="EP25" i="57"/>
  <c r="EP25" i="69" s="1"/>
  <c r="ER25" i="57"/>
  <c r="EW25" i="57"/>
  <c r="EX25" i="57"/>
  <c r="EY25" i="57"/>
  <c r="FG25" i="57"/>
  <c r="FH25" i="57"/>
  <c r="FI25" i="57"/>
  <c r="FJ25" i="57"/>
  <c r="FK25" i="57"/>
  <c r="FL25" i="57"/>
  <c r="FM25" i="57"/>
  <c r="FN25" i="57"/>
  <c r="FO25" i="57"/>
  <c r="FP25" i="57"/>
  <c r="FQ25" i="57"/>
  <c r="FR25" i="57"/>
  <c r="FS25" i="57"/>
  <c r="FT25" i="57"/>
  <c r="FU25" i="57"/>
  <c r="FV25" i="57"/>
  <c r="FW25" i="57"/>
  <c r="BD26" i="57"/>
  <c r="BF26" i="57"/>
  <c r="BG26" i="57"/>
  <c r="BG26" i="69" s="1"/>
  <c r="BI26" i="57"/>
  <c r="BJ26" i="57" s="1"/>
  <c r="BJ26" i="69" s="1"/>
  <c r="BL26" i="57"/>
  <c r="BM26" i="57"/>
  <c r="BM26" i="69" s="1"/>
  <c r="BO26" i="57"/>
  <c r="BP26" i="57" s="1"/>
  <c r="BP26" i="69" s="1"/>
  <c r="BR26" i="57"/>
  <c r="BS26" i="57"/>
  <c r="BS26" i="69" s="1"/>
  <c r="BU26" i="57"/>
  <c r="BV26" i="57" s="1"/>
  <c r="BV26" i="69" s="1"/>
  <c r="BX26" i="57"/>
  <c r="BY26" i="57"/>
  <c r="BY26" i="69" s="1"/>
  <c r="CA26" i="57"/>
  <c r="CB26" i="57" s="1"/>
  <c r="CB26" i="69" s="1"/>
  <c r="CD26" i="57"/>
  <c r="CE26" i="57"/>
  <c r="CE26" i="69" s="1"/>
  <c r="CG26" i="57"/>
  <c r="CH26" i="57" s="1"/>
  <c r="CH26" i="69" s="1"/>
  <c r="CJ26" i="57"/>
  <c r="CK26" i="57"/>
  <c r="CK26" i="69" s="1"/>
  <c r="CM26" i="57"/>
  <c r="CN26" i="57" s="1"/>
  <c r="CN26" i="69" s="1"/>
  <c r="CP26" i="57"/>
  <c r="CQ26" i="57"/>
  <c r="CQ26" i="69" s="1"/>
  <c r="CS26" i="57"/>
  <c r="CT26" i="57" s="1"/>
  <c r="CT26" i="69" s="1"/>
  <c r="CV26" i="57"/>
  <c r="CW26" i="57"/>
  <c r="CW26" i="69" s="1"/>
  <c r="CY26" i="57"/>
  <c r="CZ26" i="57" s="1"/>
  <c r="CZ26" i="69" s="1"/>
  <c r="DB26" i="57"/>
  <c r="DC26" i="57"/>
  <c r="DC26" i="69" s="1"/>
  <c r="DE26" i="57"/>
  <c r="DF26" i="57" s="1"/>
  <c r="DF26" i="69" s="1"/>
  <c r="DH26" i="57"/>
  <c r="DI26" i="57"/>
  <c r="DI26" i="69" s="1"/>
  <c r="DK26" i="57"/>
  <c r="DL26" i="57" s="1"/>
  <c r="DL26" i="69" s="1"/>
  <c r="DN26" i="57"/>
  <c r="DO26" i="57"/>
  <c r="DO26" i="69" s="1"/>
  <c r="DQ26" i="57"/>
  <c r="DR26" i="57" s="1"/>
  <c r="DR26" i="69" s="1"/>
  <c r="DT26" i="57"/>
  <c r="DU26" i="57"/>
  <c r="DU26" i="69" s="1"/>
  <c r="DW26" i="57"/>
  <c r="DX26" i="57" s="1"/>
  <c r="DX26" i="69" s="1"/>
  <c r="DZ26" i="57"/>
  <c r="EC26" i="57"/>
  <c r="EF26" i="57"/>
  <c r="EI26" i="57"/>
  <c r="EL26" i="57"/>
  <c r="EO26" i="57"/>
  <c r="EP26" i="57"/>
  <c r="EP26" i="69" s="1"/>
  <c r="ER26" i="57"/>
  <c r="EW26" i="57"/>
  <c r="EX26" i="57"/>
  <c r="EY26" i="57"/>
  <c r="FG26" i="57"/>
  <c r="FH26" i="57"/>
  <c r="FI26" i="57"/>
  <c r="FJ26" i="57"/>
  <c r="FK26" i="57"/>
  <c r="FL26" i="57"/>
  <c r="FM26" i="57"/>
  <c r="FN26" i="57"/>
  <c r="FO26" i="57"/>
  <c r="FP26" i="57"/>
  <c r="FQ26" i="57"/>
  <c r="FR26" i="57"/>
  <c r="FS26" i="57"/>
  <c r="FT26" i="57"/>
  <c r="FU26" i="57"/>
  <c r="FV26" i="57"/>
  <c r="FW26" i="57"/>
  <c r="BD27" i="57"/>
  <c r="BF27" i="57"/>
  <c r="BG27" i="57"/>
  <c r="BG27" i="69" s="1"/>
  <c r="BI27" i="57"/>
  <c r="BJ27" i="57"/>
  <c r="BJ27" i="69" s="1"/>
  <c r="BL27" i="57"/>
  <c r="BM27" i="57"/>
  <c r="BM27" i="69" s="1"/>
  <c r="BO27" i="57"/>
  <c r="BP27" i="57"/>
  <c r="BP27" i="69" s="1"/>
  <c r="BR27" i="57"/>
  <c r="BS27" i="57"/>
  <c r="BS27" i="69" s="1"/>
  <c r="BU27" i="57"/>
  <c r="BV27" i="57"/>
  <c r="BV27" i="69" s="1"/>
  <c r="BX27" i="57"/>
  <c r="BY27" i="57"/>
  <c r="BY27" i="69" s="1"/>
  <c r="CA27" i="57"/>
  <c r="CB27" i="57"/>
  <c r="CB27" i="69" s="1"/>
  <c r="CD27" i="57"/>
  <c r="CE27" i="57"/>
  <c r="CE27" i="69" s="1"/>
  <c r="CG27" i="57"/>
  <c r="CH27" i="57"/>
  <c r="CH27" i="69" s="1"/>
  <c r="CJ27" i="57"/>
  <c r="CK27" i="57"/>
  <c r="CK27" i="69" s="1"/>
  <c r="CM27" i="57"/>
  <c r="CN27" i="57"/>
  <c r="CN27" i="69" s="1"/>
  <c r="CP27" i="57"/>
  <c r="CQ27" i="57"/>
  <c r="CQ27" i="69" s="1"/>
  <c r="CS27" i="57"/>
  <c r="CT27" i="57"/>
  <c r="CT27" i="69" s="1"/>
  <c r="CV27" i="57"/>
  <c r="CW27" i="57"/>
  <c r="CW27" i="69" s="1"/>
  <c r="CY27" i="57"/>
  <c r="CZ27" i="57"/>
  <c r="CZ27" i="69" s="1"/>
  <c r="DB27" i="57"/>
  <c r="DC27" i="57"/>
  <c r="DC27" i="69" s="1"/>
  <c r="DE27" i="57"/>
  <c r="DF27" i="57"/>
  <c r="DF27" i="69" s="1"/>
  <c r="DH27" i="57"/>
  <c r="DI27" i="57"/>
  <c r="DI27" i="69" s="1"/>
  <c r="DK27" i="57"/>
  <c r="DL27" i="57"/>
  <c r="DL27" i="69" s="1"/>
  <c r="DN27" i="57"/>
  <c r="DO27" i="57"/>
  <c r="DO27" i="69" s="1"/>
  <c r="DQ27" i="57"/>
  <c r="DR27" i="57"/>
  <c r="DR27" i="69" s="1"/>
  <c r="DT27" i="57"/>
  <c r="DU27" i="57"/>
  <c r="DU27" i="69" s="1"/>
  <c r="DW27" i="57"/>
  <c r="DX27" i="57"/>
  <c r="DX27" i="69" s="1"/>
  <c r="DZ27" i="57"/>
  <c r="EC27" i="57"/>
  <c r="EF27" i="57"/>
  <c r="EI27" i="57"/>
  <c r="EL27" i="57"/>
  <c r="EO27" i="57"/>
  <c r="EP27" i="57" s="1"/>
  <c r="EP27" i="69" s="1"/>
  <c r="ER27" i="57"/>
  <c r="EW27" i="57"/>
  <c r="EX27" i="57"/>
  <c r="EY27" i="57"/>
  <c r="FG27" i="57"/>
  <c r="FH27" i="57"/>
  <c r="FI27" i="57"/>
  <c r="FJ27" i="57"/>
  <c r="FK27" i="57"/>
  <c r="FL27" i="57"/>
  <c r="FM27" i="57"/>
  <c r="FN27" i="57"/>
  <c r="FO27" i="57"/>
  <c r="FP27" i="57"/>
  <c r="FQ27" i="57"/>
  <c r="FR27" i="57"/>
  <c r="FS27" i="57"/>
  <c r="FT27" i="57"/>
  <c r="FU27" i="57"/>
  <c r="FV27" i="57"/>
  <c r="FW27" i="57"/>
  <c r="BD28" i="57"/>
  <c r="BF28" i="57"/>
  <c r="BG28" i="57" s="1"/>
  <c r="BG28" i="69" s="1"/>
  <c r="BI28" i="57"/>
  <c r="BJ28" i="57"/>
  <c r="BJ28" i="69" s="1"/>
  <c r="BL28" i="57"/>
  <c r="BM28" i="57" s="1"/>
  <c r="BM28" i="69" s="1"/>
  <c r="BO28" i="57"/>
  <c r="BP28" i="57"/>
  <c r="BP28" i="69" s="1"/>
  <c r="BR28" i="57"/>
  <c r="BS28" i="57" s="1"/>
  <c r="BS28" i="69" s="1"/>
  <c r="BU28" i="57"/>
  <c r="BV28" i="57" s="1"/>
  <c r="BV28" i="69" s="1"/>
  <c r="BX28" i="57"/>
  <c r="BY28" i="57" s="1"/>
  <c r="BY28" i="69" s="1"/>
  <c r="CA28" i="57"/>
  <c r="CB28" i="57"/>
  <c r="CB28" i="69" s="1"/>
  <c r="CD28" i="57"/>
  <c r="CE28" i="57" s="1"/>
  <c r="CE28" i="69" s="1"/>
  <c r="CG28" i="57"/>
  <c r="CH28" i="57"/>
  <c r="CH28" i="69" s="1"/>
  <c r="CJ28" i="57"/>
  <c r="CK28" i="57" s="1"/>
  <c r="CK28" i="69" s="1"/>
  <c r="CM28" i="57"/>
  <c r="CN28" i="57"/>
  <c r="CN28" i="69" s="1"/>
  <c r="CP28" i="57"/>
  <c r="CQ28" i="57" s="1"/>
  <c r="CQ28" i="69" s="1"/>
  <c r="CS28" i="57"/>
  <c r="CT28" i="57" s="1"/>
  <c r="CT28" i="69" s="1"/>
  <c r="CV28" i="57"/>
  <c r="CW28" i="57" s="1"/>
  <c r="CW28" i="69" s="1"/>
  <c r="CY28" i="57"/>
  <c r="CZ28" i="57" s="1"/>
  <c r="CZ28" i="69" s="1"/>
  <c r="DB28" i="57"/>
  <c r="DC28" i="57" s="1"/>
  <c r="DC28" i="69" s="1"/>
  <c r="DE28" i="57"/>
  <c r="DF28" i="57"/>
  <c r="DF28" i="69" s="1"/>
  <c r="DH28" i="57"/>
  <c r="DI28" i="57" s="1"/>
  <c r="DI28" i="69" s="1"/>
  <c r="DK28" i="57"/>
  <c r="DL28" i="57"/>
  <c r="DL28" i="69" s="1"/>
  <c r="DN28" i="57"/>
  <c r="DO28" i="57" s="1"/>
  <c r="DO28" i="69" s="1"/>
  <c r="DQ28" i="57"/>
  <c r="DR28" i="57" s="1"/>
  <c r="DR28" i="69" s="1"/>
  <c r="DT28" i="57"/>
  <c r="DU28" i="57" s="1"/>
  <c r="DU28" i="69" s="1"/>
  <c r="DW28" i="57"/>
  <c r="DX28" i="57"/>
  <c r="DX28" i="69" s="1"/>
  <c r="DZ28" i="57"/>
  <c r="EC28" i="57"/>
  <c r="EF28" i="57"/>
  <c r="EI28" i="57"/>
  <c r="EL28" i="57"/>
  <c r="EO28" i="57"/>
  <c r="EP28" i="57"/>
  <c r="EP28" i="69" s="1"/>
  <c r="ER28" i="57"/>
  <c r="EW28" i="57"/>
  <c r="EX28" i="57"/>
  <c r="EY28" i="57"/>
  <c r="FG28" i="57"/>
  <c r="FH28" i="57"/>
  <c r="FI28" i="57"/>
  <c r="FJ28" i="57"/>
  <c r="FK28" i="57"/>
  <c r="FL28" i="57"/>
  <c r="FM28" i="57"/>
  <c r="FN28" i="57"/>
  <c r="FO28" i="57"/>
  <c r="FP28" i="57"/>
  <c r="FQ28" i="57"/>
  <c r="FR28" i="57"/>
  <c r="FS28" i="57"/>
  <c r="FT28" i="57"/>
  <c r="FU28" i="57"/>
  <c r="FV28" i="57"/>
  <c r="FW28" i="57"/>
  <c r="BD29" i="57"/>
  <c r="BF29" i="57"/>
  <c r="BG29" i="57"/>
  <c r="BG29" i="69" s="1"/>
  <c r="BI29" i="57"/>
  <c r="BJ29" i="57" s="1"/>
  <c r="BJ29" i="69" s="1"/>
  <c r="BL29" i="57"/>
  <c r="BM29" i="57"/>
  <c r="BM29" i="69" s="1"/>
  <c r="BO29" i="57"/>
  <c r="BP29" i="57" s="1"/>
  <c r="BP29" i="69" s="1"/>
  <c r="BR29" i="57"/>
  <c r="BS29" i="57"/>
  <c r="BS29" i="69" s="1"/>
  <c r="BU29" i="57"/>
  <c r="BV29" i="57" s="1"/>
  <c r="BV29" i="69" s="1"/>
  <c r="BX29" i="57"/>
  <c r="BY29" i="57"/>
  <c r="BY29" i="69" s="1"/>
  <c r="CA29" i="57"/>
  <c r="CB29" i="57" s="1"/>
  <c r="CB29" i="69" s="1"/>
  <c r="CD29" i="57"/>
  <c r="CE29" i="57"/>
  <c r="CE29" i="69" s="1"/>
  <c r="CG29" i="57"/>
  <c r="CH29" i="57" s="1"/>
  <c r="CH29" i="69" s="1"/>
  <c r="CJ29" i="57"/>
  <c r="CK29" i="57"/>
  <c r="CK29" i="69" s="1"/>
  <c r="CM29" i="57"/>
  <c r="CN29" i="57" s="1"/>
  <c r="CN29" i="69" s="1"/>
  <c r="CP29" i="57"/>
  <c r="CQ29" i="57"/>
  <c r="CQ29" i="69" s="1"/>
  <c r="CS29" i="57"/>
  <c r="CT29" i="57" s="1"/>
  <c r="CT29" i="69" s="1"/>
  <c r="CV29" i="57"/>
  <c r="CW29" i="57"/>
  <c r="CW29" i="69" s="1"/>
  <c r="CY29" i="57"/>
  <c r="CZ29" i="57" s="1"/>
  <c r="CZ29" i="69" s="1"/>
  <c r="DB29" i="57"/>
  <c r="DC29" i="57"/>
  <c r="DC29" i="69" s="1"/>
  <c r="DE29" i="57"/>
  <c r="DF29" i="57" s="1"/>
  <c r="DF29" i="69" s="1"/>
  <c r="DH29" i="57"/>
  <c r="DI29" i="57"/>
  <c r="DI29" i="69" s="1"/>
  <c r="DK29" i="57"/>
  <c r="DL29" i="57" s="1"/>
  <c r="DL29" i="69" s="1"/>
  <c r="DN29" i="57"/>
  <c r="DO29" i="57"/>
  <c r="DO29" i="69" s="1"/>
  <c r="DQ29" i="57"/>
  <c r="DR29" i="57" s="1"/>
  <c r="DR29" i="69" s="1"/>
  <c r="DT29" i="57"/>
  <c r="DU29" i="57"/>
  <c r="DU29" i="69" s="1"/>
  <c r="DW29" i="57"/>
  <c r="DX29" i="57" s="1"/>
  <c r="DX29" i="69" s="1"/>
  <c r="DZ29" i="57"/>
  <c r="EC29" i="57"/>
  <c r="EF29" i="57"/>
  <c r="EI29" i="57"/>
  <c r="EL29" i="57"/>
  <c r="EO29" i="57"/>
  <c r="EP29" i="57"/>
  <c r="EP29" i="69" s="1"/>
  <c r="ER29" i="57"/>
  <c r="EW29" i="57"/>
  <c r="EX29" i="57"/>
  <c r="EY29" i="57"/>
  <c r="FG29" i="57"/>
  <c r="FH29" i="57"/>
  <c r="FI29" i="57"/>
  <c r="FJ29" i="57"/>
  <c r="FK29" i="57"/>
  <c r="FL29" i="57"/>
  <c r="FM29" i="57"/>
  <c r="FN29" i="57"/>
  <c r="FO29" i="57"/>
  <c r="FP29" i="57"/>
  <c r="FQ29" i="57"/>
  <c r="FR29" i="57"/>
  <c r="FS29" i="57"/>
  <c r="FT29" i="57"/>
  <c r="FU29" i="57"/>
  <c r="FV29" i="57"/>
  <c r="FW29" i="57"/>
  <c r="BD30" i="57"/>
  <c r="BF30" i="57"/>
  <c r="BG30" i="57"/>
  <c r="BG30" i="69" s="1"/>
  <c r="BI30" i="57"/>
  <c r="BJ30" i="57" s="1"/>
  <c r="BJ30" i="69" s="1"/>
  <c r="BL30" i="57"/>
  <c r="BM30" i="57"/>
  <c r="BM30" i="69" s="1"/>
  <c r="BO30" i="57"/>
  <c r="BP30" i="57" s="1"/>
  <c r="BP30" i="69" s="1"/>
  <c r="BR30" i="57"/>
  <c r="BS30" i="57"/>
  <c r="BS30" i="69" s="1"/>
  <c r="BU30" i="57"/>
  <c r="BV30" i="57" s="1"/>
  <c r="BV30" i="69" s="1"/>
  <c r="BX30" i="57"/>
  <c r="BY30" i="57" s="1"/>
  <c r="BY30" i="69" s="1"/>
  <c r="CA30" i="57"/>
  <c r="CB30" i="57" s="1"/>
  <c r="CB30" i="69" s="1"/>
  <c r="CD30" i="57"/>
  <c r="CE30" i="57"/>
  <c r="CE30" i="69" s="1"/>
  <c r="CG30" i="57"/>
  <c r="CH30" i="57" s="1"/>
  <c r="CH30" i="69" s="1"/>
  <c r="CJ30" i="57"/>
  <c r="CK30" i="57"/>
  <c r="CK30" i="69" s="1"/>
  <c r="CM30" i="57"/>
  <c r="CN30" i="57" s="1"/>
  <c r="CN30" i="69" s="1"/>
  <c r="CP30" i="57"/>
  <c r="CQ30" i="57"/>
  <c r="CQ30" i="69" s="1"/>
  <c r="CS30" i="57"/>
  <c r="CT30" i="57" s="1"/>
  <c r="CT30" i="69" s="1"/>
  <c r="CV30" i="57"/>
  <c r="CW30" i="57" s="1"/>
  <c r="CW30" i="69" s="1"/>
  <c r="CY30" i="57"/>
  <c r="CZ30" i="57" s="1"/>
  <c r="CZ30" i="69" s="1"/>
  <c r="DB30" i="57"/>
  <c r="DC30" i="57"/>
  <c r="DC30" i="69" s="1"/>
  <c r="DE30" i="57"/>
  <c r="DF30" i="57" s="1"/>
  <c r="DF30" i="69" s="1"/>
  <c r="DH30" i="57"/>
  <c r="DI30" i="57"/>
  <c r="DI30" i="69" s="1"/>
  <c r="DK30" i="57"/>
  <c r="DL30" i="57" s="1"/>
  <c r="DL30" i="69" s="1"/>
  <c r="DN30" i="57"/>
  <c r="DO30" i="57"/>
  <c r="DO30" i="69" s="1"/>
  <c r="DQ30" i="57"/>
  <c r="DR30" i="57"/>
  <c r="DR30" i="69" s="1"/>
  <c r="DT30" i="57"/>
  <c r="DU30" i="57"/>
  <c r="DU30" i="69" s="1"/>
  <c r="DW30" i="57"/>
  <c r="DX30" i="57"/>
  <c r="DX30" i="69" s="1"/>
  <c r="DZ30" i="57"/>
  <c r="EC30" i="57"/>
  <c r="EF30" i="57"/>
  <c r="EI30" i="57"/>
  <c r="EL30" i="57"/>
  <c r="EO30" i="57"/>
  <c r="EP30" i="57"/>
  <c r="EP30" i="69" s="1"/>
  <c r="ER30" i="57"/>
  <c r="EW30" i="57"/>
  <c r="EX30" i="57"/>
  <c r="EY30" i="57"/>
  <c r="FG30" i="57"/>
  <c r="FH30" i="57"/>
  <c r="FI30" i="57"/>
  <c r="FJ30" i="57"/>
  <c r="FK30" i="57"/>
  <c r="FL30" i="57"/>
  <c r="FM30" i="57"/>
  <c r="FN30" i="57"/>
  <c r="FO30" i="57"/>
  <c r="FP30" i="57"/>
  <c r="FQ30" i="57"/>
  <c r="FR30" i="57"/>
  <c r="FS30" i="57"/>
  <c r="FT30" i="57"/>
  <c r="FU30" i="57"/>
  <c r="FV30" i="57"/>
  <c r="FW30" i="57"/>
  <c r="BD31" i="57"/>
  <c r="BF31" i="57"/>
  <c r="BG31" i="57"/>
  <c r="BG31" i="69" s="1"/>
  <c r="BI31" i="57"/>
  <c r="BJ31" i="57" s="1"/>
  <c r="BJ31" i="69" s="1"/>
  <c r="BL31" i="57"/>
  <c r="BM31" i="57"/>
  <c r="BM31" i="69" s="1"/>
  <c r="BO31" i="57"/>
  <c r="BP31" i="57" s="1"/>
  <c r="BP31" i="69" s="1"/>
  <c r="BR31" i="57"/>
  <c r="BS31" i="57"/>
  <c r="BS31" i="69" s="1"/>
  <c r="BU31" i="57"/>
  <c r="BV31" i="57" s="1"/>
  <c r="BV31" i="69" s="1"/>
  <c r="BX31" i="57"/>
  <c r="BY31" i="57"/>
  <c r="BY31" i="69" s="1"/>
  <c r="CA31" i="57"/>
  <c r="CB31" i="57" s="1"/>
  <c r="CB31" i="69" s="1"/>
  <c r="CD31" i="57"/>
  <c r="CE31" i="57"/>
  <c r="CE31" i="69" s="1"/>
  <c r="CG31" i="57"/>
  <c r="CH31" i="57" s="1"/>
  <c r="CH31" i="69" s="1"/>
  <c r="CJ31" i="57"/>
  <c r="CK31" i="57"/>
  <c r="CK31" i="69" s="1"/>
  <c r="CM31" i="57"/>
  <c r="CN31" i="57" s="1"/>
  <c r="CN31" i="69" s="1"/>
  <c r="CP31" i="57"/>
  <c r="CQ31" i="57"/>
  <c r="CQ31" i="69" s="1"/>
  <c r="CS31" i="57"/>
  <c r="CT31" i="57" s="1"/>
  <c r="CT31" i="69" s="1"/>
  <c r="CV31" i="57"/>
  <c r="CW31" i="57"/>
  <c r="CW31" i="69" s="1"/>
  <c r="CY31" i="57"/>
  <c r="CZ31" i="57" s="1"/>
  <c r="CZ31" i="69" s="1"/>
  <c r="DB31" i="57"/>
  <c r="DC31" i="57"/>
  <c r="DC31" i="69" s="1"/>
  <c r="DE31" i="57"/>
  <c r="DF31" i="57" s="1"/>
  <c r="DF31" i="69" s="1"/>
  <c r="DH31" i="57"/>
  <c r="DI31" i="57"/>
  <c r="DI31" i="69" s="1"/>
  <c r="DK31" i="57"/>
  <c r="DL31" i="57" s="1"/>
  <c r="DL31" i="69" s="1"/>
  <c r="DN31" i="57"/>
  <c r="DO31" i="57"/>
  <c r="DO31" i="69" s="1"/>
  <c r="DQ31" i="57"/>
  <c r="DR31" i="57" s="1"/>
  <c r="DR31" i="69" s="1"/>
  <c r="DT31" i="57"/>
  <c r="DU31" i="57"/>
  <c r="DU31" i="69" s="1"/>
  <c r="DW31" i="57"/>
  <c r="DX31" i="57" s="1"/>
  <c r="DX31" i="69" s="1"/>
  <c r="DZ31" i="57"/>
  <c r="EC31" i="57"/>
  <c r="EF31" i="57"/>
  <c r="EI31" i="57"/>
  <c r="EL31" i="57"/>
  <c r="EO31" i="57"/>
  <c r="EP31" i="57"/>
  <c r="EP31" i="69" s="1"/>
  <c r="ER31" i="57"/>
  <c r="EW31" i="57"/>
  <c r="EX31" i="57"/>
  <c r="EY31" i="57"/>
  <c r="FG31" i="57"/>
  <c r="FH31" i="57"/>
  <c r="FI31" i="57"/>
  <c r="FJ31" i="57"/>
  <c r="FK31" i="57"/>
  <c r="FL31" i="57"/>
  <c r="FM31" i="57"/>
  <c r="FN31" i="57"/>
  <c r="FO31" i="57"/>
  <c r="FP31" i="57"/>
  <c r="FQ31" i="57"/>
  <c r="FR31" i="57"/>
  <c r="FS31" i="57"/>
  <c r="FT31" i="57"/>
  <c r="FU31" i="57"/>
  <c r="FV31" i="57"/>
  <c r="FW31" i="57"/>
  <c r="BD32" i="57"/>
  <c r="BF32" i="57"/>
  <c r="BG32" i="57"/>
  <c r="BG32" i="69" s="1"/>
  <c r="BI32" i="57"/>
  <c r="BJ32" i="57"/>
  <c r="BJ32" i="69" s="1"/>
  <c r="BL32" i="57"/>
  <c r="BM32" i="57"/>
  <c r="BM32" i="69" s="1"/>
  <c r="BO32" i="57"/>
  <c r="BP32" i="57"/>
  <c r="BP32" i="69" s="1"/>
  <c r="BR32" i="57"/>
  <c r="BS32" i="57"/>
  <c r="BS32" i="69" s="1"/>
  <c r="BU32" i="57"/>
  <c r="BV32" i="57"/>
  <c r="BV32" i="69" s="1"/>
  <c r="BX32" i="57"/>
  <c r="BY32" i="57"/>
  <c r="BY32" i="69" s="1"/>
  <c r="CA32" i="57"/>
  <c r="CB32" i="57"/>
  <c r="CB32" i="69" s="1"/>
  <c r="CD32" i="57"/>
  <c r="CE32" i="57"/>
  <c r="CE32" i="69" s="1"/>
  <c r="CG32" i="57"/>
  <c r="CH32" i="57"/>
  <c r="CH32" i="69" s="1"/>
  <c r="CJ32" i="57"/>
  <c r="CK32" i="57"/>
  <c r="CK32" i="69" s="1"/>
  <c r="CM32" i="57"/>
  <c r="CN32" i="57"/>
  <c r="CN32" i="69" s="1"/>
  <c r="CP32" i="57"/>
  <c r="CQ32" i="57"/>
  <c r="CQ32" i="69" s="1"/>
  <c r="CS32" i="57"/>
  <c r="CT32" i="57"/>
  <c r="CT32" i="69" s="1"/>
  <c r="CV32" i="57"/>
  <c r="CW32" i="57"/>
  <c r="CW32" i="69" s="1"/>
  <c r="CY32" i="57"/>
  <c r="CZ32" i="57"/>
  <c r="CZ32" i="69" s="1"/>
  <c r="DB32" i="57"/>
  <c r="DC32" i="57"/>
  <c r="DC32" i="69" s="1"/>
  <c r="DE32" i="57"/>
  <c r="DF32" i="57"/>
  <c r="DF32" i="69" s="1"/>
  <c r="DH32" i="57"/>
  <c r="DI32" i="57"/>
  <c r="DI32" i="69" s="1"/>
  <c r="DK32" i="57"/>
  <c r="DL32" i="57"/>
  <c r="DL32" i="69" s="1"/>
  <c r="DN32" i="57"/>
  <c r="DO32" i="57"/>
  <c r="DO32" i="69" s="1"/>
  <c r="DQ32" i="57"/>
  <c r="DR32" i="57"/>
  <c r="DR32" i="69" s="1"/>
  <c r="DT32" i="57"/>
  <c r="DU32" i="57"/>
  <c r="DU32" i="69" s="1"/>
  <c r="DW32" i="57"/>
  <c r="DX32" i="57"/>
  <c r="DX32" i="69" s="1"/>
  <c r="DZ32" i="57"/>
  <c r="EC32" i="57"/>
  <c r="EF32" i="57"/>
  <c r="EI32" i="57"/>
  <c r="EL32" i="57"/>
  <c r="EO32" i="57"/>
  <c r="EP32" i="57" s="1"/>
  <c r="EP32" i="69" s="1"/>
  <c r="ER32" i="57"/>
  <c r="EW32" i="57"/>
  <c r="EX32" i="57"/>
  <c r="EY32" i="57"/>
  <c r="FG32" i="57"/>
  <c r="FH32" i="57"/>
  <c r="FI32" i="57"/>
  <c r="FJ32" i="57"/>
  <c r="FK32" i="57"/>
  <c r="FL32" i="57"/>
  <c r="FM32" i="57"/>
  <c r="FN32" i="57"/>
  <c r="FO32" i="57"/>
  <c r="FP32" i="57"/>
  <c r="FQ32" i="57"/>
  <c r="FR32" i="57"/>
  <c r="FS32" i="57"/>
  <c r="FT32" i="57"/>
  <c r="FU32" i="57"/>
  <c r="FV32" i="57"/>
  <c r="FW32" i="57"/>
  <c r="BD33" i="57"/>
  <c r="BF33" i="57"/>
  <c r="BG33" i="57" s="1"/>
  <c r="BG33" i="69" s="1"/>
  <c r="BI33" i="57"/>
  <c r="BJ33" i="57"/>
  <c r="BJ33" i="69" s="1"/>
  <c r="BL33" i="57"/>
  <c r="BM33" i="57" s="1"/>
  <c r="BM33" i="69" s="1"/>
  <c r="BO33" i="57"/>
  <c r="BP33" i="57"/>
  <c r="BP33" i="69" s="1"/>
  <c r="BR33" i="57"/>
  <c r="BS33" i="57" s="1"/>
  <c r="BS33" i="69" s="1"/>
  <c r="BU33" i="57"/>
  <c r="BV33" i="57"/>
  <c r="BV33" i="69" s="1"/>
  <c r="BX33" i="57"/>
  <c r="BY33" i="57" s="1"/>
  <c r="BY33" i="69" s="1"/>
  <c r="CA33" i="57"/>
  <c r="CB33" i="57"/>
  <c r="CB33" i="69" s="1"/>
  <c r="CD33" i="57"/>
  <c r="CE33" i="57" s="1"/>
  <c r="CE33" i="69" s="1"/>
  <c r="CG33" i="57"/>
  <c r="CH33" i="57"/>
  <c r="CH33" i="69" s="1"/>
  <c r="CJ33" i="57"/>
  <c r="CK33" i="57" s="1"/>
  <c r="CK33" i="69" s="1"/>
  <c r="CM33" i="57"/>
  <c r="CN33" i="57"/>
  <c r="CN33" i="69" s="1"/>
  <c r="CP33" i="57"/>
  <c r="CQ33" i="57" s="1"/>
  <c r="CQ33" i="69" s="1"/>
  <c r="CS33" i="57"/>
  <c r="CT33" i="57"/>
  <c r="CT33" i="69" s="1"/>
  <c r="CV33" i="57"/>
  <c r="CW33" i="57" s="1"/>
  <c r="CW33" i="69" s="1"/>
  <c r="CY33" i="57"/>
  <c r="CZ33" i="57"/>
  <c r="CZ33" i="69" s="1"/>
  <c r="DB33" i="57"/>
  <c r="DC33" i="57" s="1"/>
  <c r="DC33" i="69" s="1"/>
  <c r="DE33" i="57"/>
  <c r="DF33" i="57"/>
  <c r="DF33" i="69" s="1"/>
  <c r="DH33" i="57"/>
  <c r="DI33" i="57" s="1"/>
  <c r="DI33" i="69" s="1"/>
  <c r="DK33" i="57"/>
  <c r="DL33" i="57"/>
  <c r="DL33" i="69" s="1"/>
  <c r="DN33" i="57"/>
  <c r="DO33" i="57" s="1"/>
  <c r="DO33" i="69" s="1"/>
  <c r="DQ33" i="57"/>
  <c r="DR33" i="57"/>
  <c r="DR33" i="69" s="1"/>
  <c r="DT33" i="57"/>
  <c r="DU33" i="57" s="1"/>
  <c r="DU33" i="69" s="1"/>
  <c r="DW33" i="57"/>
  <c r="DX33" i="57"/>
  <c r="DX33" i="69" s="1"/>
  <c r="DZ33" i="57"/>
  <c r="EC33" i="57"/>
  <c r="EF33" i="57"/>
  <c r="EI33" i="57"/>
  <c r="EL33" i="57"/>
  <c r="EO33" i="57"/>
  <c r="EP33" i="57"/>
  <c r="EP33" i="69" s="1"/>
  <c r="ER33" i="57"/>
  <c r="EW33" i="57"/>
  <c r="EX33" i="57"/>
  <c r="EY33" i="57"/>
  <c r="FG33" i="57"/>
  <c r="FH33" i="57"/>
  <c r="FI33" i="57"/>
  <c r="FJ33" i="57"/>
  <c r="FK33" i="57"/>
  <c r="FL33" i="57"/>
  <c r="FM33" i="57"/>
  <c r="FN33" i="57"/>
  <c r="FO33" i="57"/>
  <c r="FP33" i="57"/>
  <c r="FQ33" i="57"/>
  <c r="FR33" i="57"/>
  <c r="FS33" i="57"/>
  <c r="FT33" i="57"/>
  <c r="FU33" i="57"/>
  <c r="FV33" i="57"/>
  <c r="FW33" i="57"/>
  <c r="BD34" i="57"/>
  <c r="BF34" i="57"/>
  <c r="BG34" i="57"/>
  <c r="BG34" i="69" s="1"/>
  <c r="BI34" i="57"/>
  <c r="BJ34" i="57" s="1"/>
  <c r="BJ34" i="69" s="1"/>
  <c r="BL34" i="57"/>
  <c r="BM34" i="57"/>
  <c r="BM34" i="69" s="1"/>
  <c r="BO34" i="57"/>
  <c r="BP34" i="57" s="1"/>
  <c r="BP34" i="69" s="1"/>
  <c r="BR34" i="57"/>
  <c r="BS34" i="57"/>
  <c r="BS34" i="69" s="1"/>
  <c r="BU34" i="57"/>
  <c r="BV34" i="57" s="1"/>
  <c r="BV34" i="69" s="1"/>
  <c r="BX34" i="57"/>
  <c r="BY34" i="57"/>
  <c r="BY34" i="69" s="1"/>
  <c r="CA34" i="57"/>
  <c r="CB34" i="57" s="1"/>
  <c r="CB34" i="69" s="1"/>
  <c r="CD34" i="57"/>
  <c r="CE34" i="57"/>
  <c r="CE34" i="69" s="1"/>
  <c r="CG34" i="57"/>
  <c r="CH34" i="57" s="1"/>
  <c r="CH34" i="69" s="1"/>
  <c r="CJ34" i="57"/>
  <c r="CK34" i="57"/>
  <c r="CK34" i="69" s="1"/>
  <c r="CM34" i="57"/>
  <c r="CN34" i="57" s="1"/>
  <c r="CN34" i="69" s="1"/>
  <c r="CP34" i="57"/>
  <c r="CQ34" i="57"/>
  <c r="CQ34" i="69" s="1"/>
  <c r="CS34" i="57"/>
  <c r="CT34" i="57" s="1"/>
  <c r="CT34" i="69" s="1"/>
  <c r="CV34" i="57"/>
  <c r="CW34" i="57"/>
  <c r="CW34" i="69" s="1"/>
  <c r="CY34" i="57"/>
  <c r="CZ34" i="57" s="1"/>
  <c r="CZ34" i="69" s="1"/>
  <c r="DB34" i="57"/>
  <c r="DC34" i="57"/>
  <c r="DC34" i="69" s="1"/>
  <c r="DE34" i="57"/>
  <c r="DF34" i="57" s="1"/>
  <c r="DF34" i="69" s="1"/>
  <c r="DH34" i="57"/>
  <c r="DI34" i="57"/>
  <c r="DI34" i="69" s="1"/>
  <c r="DK34" i="57"/>
  <c r="DL34" i="57" s="1"/>
  <c r="DL34" i="69" s="1"/>
  <c r="DN34" i="57"/>
  <c r="DO34" i="57"/>
  <c r="DO34" i="69" s="1"/>
  <c r="DQ34" i="57"/>
  <c r="DR34" i="57" s="1"/>
  <c r="DR34" i="69" s="1"/>
  <c r="DT34" i="57"/>
  <c r="DU34" i="57"/>
  <c r="DU34" i="69" s="1"/>
  <c r="DW34" i="57"/>
  <c r="DX34" i="57" s="1"/>
  <c r="DX34" i="69" s="1"/>
  <c r="DZ34" i="57"/>
  <c r="EC34" i="57"/>
  <c r="EF34" i="57"/>
  <c r="EI34" i="57"/>
  <c r="EL34" i="57"/>
  <c r="EO34" i="57"/>
  <c r="EP34" i="57"/>
  <c r="EP34" i="69" s="1"/>
  <c r="ER34" i="57"/>
  <c r="EW34" i="57"/>
  <c r="EX34" i="57"/>
  <c r="EY34" i="57"/>
  <c r="FG34" i="57"/>
  <c r="FH34" i="57"/>
  <c r="FI34" i="57"/>
  <c r="FJ34" i="57"/>
  <c r="FK34" i="57"/>
  <c r="FL34" i="57"/>
  <c r="FM34" i="57"/>
  <c r="FN34" i="57"/>
  <c r="FO34" i="57"/>
  <c r="FP34" i="57"/>
  <c r="FQ34" i="57"/>
  <c r="FR34" i="57"/>
  <c r="FS34" i="57"/>
  <c r="FT34" i="57"/>
  <c r="FU34" i="57"/>
  <c r="FV34" i="57"/>
  <c r="FW34" i="57"/>
  <c r="BD35" i="57"/>
  <c r="BF35" i="57"/>
  <c r="BG35" i="57"/>
  <c r="BG35" i="69" s="1"/>
  <c r="BI35" i="57"/>
  <c r="BJ35" i="57" s="1"/>
  <c r="BJ35" i="69" s="1"/>
  <c r="BL35" i="57"/>
  <c r="BM35" i="57"/>
  <c r="BM35" i="69" s="1"/>
  <c r="BO35" i="57"/>
  <c r="BP35" i="57" s="1"/>
  <c r="BP35" i="69" s="1"/>
  <c r="BR35" i="57"/>
  <c r="BS35" i="57"/>
  <c r="BS35" i="69" s="1"/>
  <c r="BU35" i="57"/>
  <c r="BV35" i="57" s="1"/>
  <c r="BV35" i="69" s="1"/>
  <c r="BX35" i="57"/>
  <c r="BY35" i="57"/>
  <c r="BY35" i="69" s="1"/>
  <c r="CA35" i="57"/>
  <c r="CB35" i="57" s="1"/>
  <c r="CB35" i="69" s="1"/>
  <c r="CD35" i="57"/>
  <c r="CE35" i="57"/>
  <c r="CE35" i="69" s="1"/>
  <c r="CG35" i="57"/>
  <c r="CH35" i="57" s="1"/>
  <c r="CH35" i="69" s="1"/>
  <c r="CJ35" i="57"/>
  <c r="CK35" i="57"/>
  <c r="CK35" i="69" s="1"/>
  <c r="CM35" i="57"/>
  <c r="CN35" i="57" s="1"/>
  <c r="CN35" i="69" s="1"/>
  <c r="CP35" i="57"/>
  <c r="CQ35" i="57"/>
  <c r="CQ35" i="69" s="1"/>
  <c r="CS35" i="57"/>
  <c r="CT35" i="57" s="1"/>
  <c r="CT35" i="69" s="1"/>
  <c r="CV35" i="57"/>
  <c r="CW35" i="57" s="1"/>
  <c r="CW35" i="69" s="1"/>
  <c r="CY35" i="57"/>
  <c r="CZ35" i="57" s="1"/>
  <c r="CZ35" i="69" s="1"/>
  <c r="DB35" i="57"/>
  <c r="DC35" i="57"/>
  <c r="DC35" i="69" s="1"/>
  <c r="DE35" i="57"/>
  <c r="DF35" i="57" s="1"/>
  <c r="DF35" i="69" s="1"/>
  <c r="DH35" i="57"/>
  <c r="DI35" i="57"/>
  <c r="DI35" i="69" s="1"/>
  <c r="DK35" i="57"/>
  <c r="DL35" i="57" s="1"/>
  <c r="DL35" i="69" s="1"/>
  <c r="DN35" i="57"/>
  <c r="DO35" i="57"/>
  <c r="DO35" i="69" s="1"/>
  <c r="DQ35" i="57"/>
  <c r="DR35" i="57" s="1"/>
  <c r="DR35" i="69" s="1"/>
  <c r="DT35" i="57"/>
  <c r="DU35" i="57" s="1"/>
  <c r="DU35" i="69" s="1"/>
  <c r="DW35" i="57"/>
  <c r="DX35" i="57" s="1"/>
  <c r="DX35" i="69" s="1"/>
  <c r="DZ35" i="57"/>
  <c r="EC35" i="57"/>
  <c r="EF35" i="57"/>
  <c r="EI35" i="57"/>
  <c r="EL35" i="57"/>
  <c r="EO35" i="57"/>
  <c r="EP35" i="57" s="1"/>
  <c r="EP35" i="69" s="1"/>
  <c r="ER35" i="57"/>
  <c r="EW35" i="57"/>
  <c r="EX35" i="57"/>
  <c r="EY35" i="57"/>
  <c r="FG35" i="57"/>
  <c r="FH35" i="57"/>
  <c r="FI35" i="57"/>
  <c r="FJ35" i="57"/>
  <c r="FK35" i="57"/>
  <c r="FL35" i="57"/>
  <c r="FM35" i="57"/>
  <c r="FN35" i="57"/>
  <c r="FO35" i="57"/>
  <c r="FP35" i="57"/>
  <c r="FQ35" i="57"/>
  <c r="FR35" i="57"/>
  <c r="FS35" i="57"/>
  <c r="FT35" i="57"/>
  <c r="FU35" i="57"/>
  <c r="FV35" i="57"/>
  <c r="FW35" i="57"/>
  <c r="BD36" i="57"/>
  <c r="BF36" i="57"/>
  <c r="BG36" i="57" s="1"/>
  <c r="BG36" i="69" s="1"/>
  <c r="BI36" i="57"/>
  <c r="BJ36" i="57"/>
  <c r="BJ36" i="69" s="1"/>
  <c r="BL36" i="57"/>
  <c r="BM36" i="57" s="1"/>
  <c r="BM36" i="69" s="1"/>
  <c r="BO36" i="57"/>
  <c r="BP36" i="57"/>
  <c r="BP36" i="69" s="1"/>
  <c r="BR36" i="57"/>
  <c r="BS36" i="57" s="1"/>
  <c r="BS36" i="69" s="1"/>
  <c r="BU36" i="57"/>
  <c r="BV36" i="57"/>
  <c r="BV36" i="69" s="1"/>
  <c r="BX36" i="57"/>
  <c r="BY36" i="57" s="1"/>
  <c r="BY36" i="69" s="1"/>
  <c r="CA36" i="57"/>
  <c r="CB36" i="57"/>
  <c r="CB36" i="69" s="1"/>
  <c r="CD36" i="57"/>
  <c r="CE36" i="57" s="1"/>
  <c r="CE36" i="69" s="1"/>
  <c r="CG36" i="57"/>
  <c r="CH36" i="57"/>
  <c r="CH36" i="69" s="1"/>
  <c r="CJ36" i="57"/>
  <c r="CK36" i="57" s="1"/>
  <c r="CK36" i="69" s="1"/>
  <c r="CM36" i="57"/>
  <c r="CN36" i="57"/>
  <c r="CN36" i="69" s="1"/>
  <c r="CP36" i="57"/>
  <c r="CQ36" i="57" s="1"/>
  <c r="CQ36" i="69" s="1"/>
  <c r="CS36" i="57"/>
  <c r="CT36" i="57"/>
  <c r="CT36" i="69" s="1"/>
  <c r="CV36" i="57"/>
  <c r="CW36" i="57" s="1"/>
  <c r="CW36" i="69" s="1"/>
  <c r="CY36" i="57"/>
  <c r="CZ36" i="57"/>
  <c r="CZ36" i="69" s="1"/>
  <c r="DB36" i="57"/>
  <c r="DC36" i="57" s="1"/>
  <c r="DC36" i="69" s="1"/>
  <c r="DE36" i="57"/>
  <c r="DF36" i="57"/>
  <c r="DF36" i="69" s="1"/>
  <c r="DH36" i="57"/>
  <c r="DI36" i="57" s="1"/>
  <c r="DI36" i="69" s="1"/>
  <c r="DK36" i="57"/>
  <c r="DL36" i="57"/>
  <c r="DL36" i="69" s="1"/>
  <c r="DN36" i="57"/>
  <c r="DO36" i="57" s="1"/>
  <c r="DO36" i="69" s="1"/>
  <c r="DQ36" i="57"/>
  <c r="DR36" i="57"/>
  <c r="DR36" i="69" s="1"/>
  <c r="DT36" i="57"/>
  <c r="DU36" i="57" s="1"/>
  <c r="DU36" i="69" s="1"/>
  <c r="DW36" i="57"/>
  <c r="DX36" i="57"/>
  <c r="DX36" i="69" s="1"/>
  <c r="DZ36" i="57"/>
  <c r="EC36" i="57"/>
  <c r="EF36" i="57"/>
  <c r="EI36" i="57"/>
  <c r="EL36" i="57"/>
  <c r="EO36" i="57"/>
  <c r="EP36" i="57" s="1"/>
  <c r="EP36" i="69" s="1"/>
  <c r="ER36" i="57"/>
  <c r="EW36" i="57"/>
  <c r="EX36" i="57"/>
  <c r="EY36" i="57"/>
  <c r="FG36" i="57"/>
  <c r="FH36" i="57"/>
  <c r="FI36" i="57"/>
  <c r="FJ36" i="57"/>
  <c r="FK36" i="57"/>
  <c r="FL36" i="57"/>
  <c r="FM36" i="57"/>
  <c r="FN36" i="57"/>
  <c r="FO36" i="57"/>
  <c r="FP36" i="57"/>
  <c r="FQ36" i="57"/>
  <c r="FR36" i="57"/>
  <c r="FS36" i="57"/>
  <c r="FT36" i="57"/>
  <c r="FU36" i="57"/>
  <c r="FV36" i="57"/>
  <c r="FW36" i="57"/>
  <c r="BD37" i="57"/>
  <c r="BF37" i="57"/>
  <c r="BG37" i="57" s="1"/>
  <c r="BG37" i="69" s="1"/>
  <c r="BI37" i="57"/>
  <c r="BJ37" i="57"/>
  <c r="BJ37" i="69" s="1"/>
  <c r="BL37" i="57"/>
  <c r="BM37" i="57" s="1"/>
  <c r="BM37" i="69" s="1"/>
  <c r="BO37" i="57"/>
  <c r="BP37" i="57" s="1"/>
  <c r="BP37" i="69" s="1"/>
  <c r="BR37" i="57"/>
  <c r="BS37" i="57" s="1"/>
  <c r="BS37" i="69" s="1"/>
  <c r="BU37" i="57"/>
  <c r="BV37" i="57"/>
  <c r="BV37" i="69" s="1"/>
  <c r="BX37" i="57"/>
  <c r="BY37" i="57" s="1"/>
  <c r="BY37" i="69" s="1"/>
  <c r="CA37" i="57"/>
  <c r="CB37" i="57"/>
  <c r="CB37" i="69" s="1"/>
  <c r="CD37" i="57"/>
  <c r="CE37" i="57" s="1"/>
  <c r="CE37" i="69" s="1"/>
  <c r="CG37" i="57"/>
  <c r="CH37" i="57"/>
  <c r="CH37" i="69" s="1"/>
  <c r="CJ37" i="57"/>
  <c r="CK37" i="57" s="1"/>
  <c r="CK37" i="69" s="1"/>
  <c r="CM37" i="57"/>
  <c r="CN37" i="57" s="1"/>
  <c r="CN37" i="69" s="1"/>
  <c r="CP37" i="57"/>
  <c r="CQ37" i="57" s="1"/>
  <c r="CQ37" i="69" s="1"/>
  <c r="CS37" i="57"/>
  <c r="CT37" i="57"/>
  <c r="CT37" i="69" s="1"/>
  <c r="CV37" i="57"/>
  <c r="CW37" i="57" s="1"/>
  <c r="CW37" i="69" s="1"/>
  <c r="CY37" i="57"/>
  <c r="CZ37" i="57"/>
  <c r="CZ37" i="69" s="1"/>
  <c r="DB37" i="57"/>
  <c r="DC37" i="57" s="1"/>
  <c r="DC37" i="69" s="1"/>
  <c r="DE37" i="57"/>
  <c r="DF37" i="57"/>
  <c r="DF37" i="69" s="1"/>
  <c r="DH37" i="57"/>
  <c r="DI37" i="57" s="1"/>
  <c r="DI37" i="69" s="1"/>
  <c r="DK37" i="57"/>
  <c r="DL37" i="57" s="1"/>
  <c r="DL37" i="69" s="1"/>
  <c r="DN37" i="57"/>
  <c r="DO37" i="57" s="1"/>
  <c r="DO37" i="69" s="1"/>
  <c r="DQ37" i="57"/>
  <c r="DR37" i="57"/>
  <c r="DR37" i="69" s="1"/>
  <c r="DT37" i="57"/>
  <c r="DU37" i="57" s="1"/>
  <c r="DU37" i="69" s="1"/>
  <c r="DW37" i="57"/>
  <c r="DX37" i="57"/>
  <c r="DX37" i="69" s="1"/>
  <c r="DZ37" i="57"/>
  <c r="EC37" i="57"/>
  <c r="EF37" i="57"/>
  <c r="EI37" i="57"/>
  <c r="EL37" i="57"/>
  <c r="EO37" i="57"/>
  <c r="EP37" i="57"/>
  <c r="EP37" i="69" s="1"/>
  <c r="ER37" i="57"/>
  <c r="EW37" i="57"/>
  <c r="EX37" i="57"/>
  <c r="EY37" i="57"/>
  <c r="FG37" i="57"/>
  <c r="FH37" i="57"/>
  <c r="FI37" i="57"/>
  <c r="FJ37" i="57"/>
  <c r="FK37" i="57"/>
  <c r="FL37" i="57"/>
  <c r="FM37" i="57"/>
  <c r="FN37" i="57"/>
  <c r="FO37" i="57"/>
  <c r="FP37" i="57"/>
  <c r="FQ37" i="57"/>
  <c r="FR37" i="57"/>
  <c r="FS37" i="57"/>
  <c r="FT37" i="57"/>
  <c r="FU37" i="57"/>
  <c r="FV37" i="57"/>
  <c r="FW37" i="57"/>
  <c r="BD38" i="57"/>
  <c r="BF38" i="57"/>
  <c r="BG38" i="57"/>
  <c r="BG38" i="69" s="1"/>
  <c r="BI38" i="57"/>
  <c r="BJ38" i="57"/>
  <c r="BJ38" i="69" s="1"/>
  <c r="BL38" i="57"/>
  <c r="BM38" i="57"/>
  <c r="BM38" i="69" s="1"/>
  <c r="BO38" i="57"/>
  <c r="BP38" i="57"/>
  <c r="BP38" i="69" s="1"/>
  <c r="BR38" i="57"/>
  <c r="BS38" i="57"/>
  <c r="BS38" i="69" s="1"/>
  <c r="BU38" i="57"/>
  <c r="BV38" i="57"/>
  <c r="BV38" i="69" s="1"/>
  <c r="BX38" i="57"/>
  <c r="BY38" i="57"/>
  <c r="BY38" i="69" s="1"/>
  <c r="CA38" i="57"/>
  <c r="CB38" i="57"/>
  <c r="CB38" i="69" s="1"/>
  <c r="CD38" i="57"/>
  <c r="CE38" i="57"/>
  <c r="CE38" i="69" s="1"/>
  <c r="CG38" i="57"/>
  <c r="CH38" i="57"/>
  <c r="CH38" i="69" s="1"/>
  <c r="CJ38" i="57"/>
  <c r="CK38" i="57"/>
  <c r="CK38" i="69" s="1"/>
  <c r="CM38" i="57"/>
  <c r="CN38" i="57"/>
  <c r="CN38" i="69" s="1"/>
  <c r="CP38" i="57"/>
  <c r="CQ38" i="57"/>
  <c r="CQ38" i="69" s="1"/>
  <c r="CS38" i="57"/>
  <c r="CT38" i="57"/>
  <c r="CT38" i="69" s="1"/>
  <c r="CV38" i="57"/>
  <c r="CW38" i="57"/>
  <c r="CW38" i="69" s="1"/>
  <c r="CY38" i="57"/>
  <c r="CZ38" i="57"/>
  <c r="CZ38" i="69" s="1"/>
  <c r="DB38" i="57"/>
  <c r="DC38" i="57"/>
  <c r="DC38" i="69" s="1"/>
  <c r="DE38" i="57"/>
  <c r="DF38" i="57"/>
  <c r="DF38" i="69" s="1"/>
  <c r="DH38" i="57"/>
  <c r="DI38" i="57"/>
  <c r="DI38" i="69" s="1"/>
  <c r="DK38" i="57"/>
  <c r="DL38" i="57"/>
  <c r="DL38" i="69" s="1"/>
  <c r="DN38" i="57"/>
  <c r="DO38" i="57"/>
  <c r="DO38" i="69" s="1"/>
  <c r="DQ38" i="57"/>
  <c r="DR38" i="57"/>
  <c r="DR38" i="69" s="1"/>
  <c r="DT38" i="57"/>
  <c r="DU38" i="57"/>
  <c r="DU38" i="69" s="1"/>
  <c r="DW38" i="57"/>
  <c r="DX38" i="57"/>
  <c r="DX38" i="69" s="1"/>
  <c r="DZ38" i="57"/>
  <c r="EC38" i="57"/>
  <c r="EF38" i="57"/>
  <c r="EI38" i="57"/>
  <c r="EL38" i="57"/>
  <c r="EO38" i="57"/>
  <c r="EP38" i="57"/>
  <c r="EP38" i="69" s="1"/>
  <c r="ER38" i="57"/>
  <c r="EW38" i="57"/>
  <c r="EX38" i="57"/>
  <c r="EY38" i="57"/>
  <c r="FG38" i="57"/>
  <c r="FH38" i="57"/>
  <c r="FI38" i="57"/>
  <c r="FJ38" i="57"/>
  <c r="FK38" i="57"/>
  <c r="FL38" i="57"/>
  <c r="FM38" i="57"/>
  <c r="FN38" i="57"/>
  <c r="FO38" i="57"/>
  <c r="FP38" i="57"/>
  <c r="FQ38" i="57"/>
  <c r="FR38" i="57"/>
  <c r="FS38" i="57"/>
  <c r="FT38" i="57"/>
  <c r="FU38" i="57"/>
  <c r="FV38" i="57"/>
  <c r="FW38" i="57"/>
  <c r="BD39" i="57"/>
  <c r="BF39" i="57"/>
  <c r="BG39" i="57"/>
  <c r="BG39" i="69" s="1"/>
  <c r="BI39" i="57"/>
  <c r="BJ39" i="57" s="1"/>
  <c r="BJ39" i="69" s="1"/>
  <c r="BL39" i="57"/>
  <c r="BM39" i="57"/>
  <c r="BM39" i="69" s="1"/>
  <c r="BO39" i="57"/>
  <c r="BP39" i="57" s="1"/>
  <c r="BP39" i="69" s="1"/>
  <c r="BR39" i="57"/>
  <c r="BS39" i="57" s="1"/>
  <c r="BS39" i="69" s="1"/>
  <c r="BU39" i="57"/>
  <c r="BV39" i="57" s="1"/>
  <c r="BV39" i="69" s="1"/>
  <c r="BX39" i="57"/>
  <c r="BY39" i="57"/>
  <c r="BY39" i="69" s="1"/>
  <c r="CA39" i="57"/>
  <c r="CB39" i="57" s="1"/>
  <c r="CB39" i="69" s="1"/>
  <c r="CD39" i="57"/>
  <c r="CE39" i="57"/>
  <c r="CE39" i="69" s="1"/>
  <c r="CG39" i="57"/>
  <c r="CH39" i="57" s="1"/>
  <c r="CH39" i="69" s="1"/>
  <c r="CJ39" i="57"/>
  <c r="CK39" i="57"/>
  <c r="CK39" i="69" s="1"/>
  <c r="CM39" i="57"/>
  <c r="CN39" i="57" s="1"/>
  <c r="CN39" i="69" s="1"/>
  <c r="CP39" i="57"/>
  <c r="CQ39" i="57" s="1"/>
  <c r="CQ39" i="69" s="1"/>
  <c r="CS39" i="57"/>
  <c r="CT39" i="57" s="1"/>
  <c r="CT39" i="69" s="1"/>
  <c r="CV39" i="57"/>
  <c r="CW39" i="57"/>
  <c r="CW39" i="69" s="1"/>
  <c r="CY39" i="57"/>
  <c r="CZ39" i="57" s="1"/>
  <c r="CZ39" i="69" s="1"/>
  <c r="DB39" i="57"/>
  <c r="DC39" i="57"/>
  <c r="DC39" i="69" s="1"/>
  <c r="DE39" i="57"/>
  <c r="DF39" i="57" s="1"/>
  <c r="DF39" i="69" s="1"/>
  <c r="DH39" i="57"/>
  <c r="DI39" i="57"/>
  <c r="DI39" i="69" s="1"/>
  <c r="DK39" i="57"/>
  <c r="DL39" i="57" s="1"/>
  <c r="DL39" i="69" s="1"/>
  <c r="DN39" i="57"/>
  <c r="DO39" i="57" s="1"/>
  <c r="DO39" i="69" s="1"/>
  <c r="DQ39" i="57"/>
  <c r="DR39" i="57" s="1"/>
  <c r="DR39" i="69" s="1"/>
  <c r="DT39" i="57"/>
  <c r="DU39" i="57"/>
  <c r="DU39" i="69" s="1"/>
  <c r="DW39" i="57"/>
  <c r="DX39" i="57" s="1"/>
  <c r="DX39" i="69" s="1"/>
  <c r="DZ39" i="57"/>
  <c r="EC39" i="57"/>
  <c r="EF39" i="57"/>
  <c r="EI39" i="57"/>
  <c r="EL39" i="57"/>
  <c r="EO39" i="57"/>
  <c r="EP39" i="57"/>
  <c r="EP39" i="69" s="1"/>
  <c r="ER39" i="57"/>
  <c r="EW39" i="57"/>
  <c r="EX39" i="57"/>
  <c r="EY39" i="57"/>
  <c r="FG39" i="57"/>
  <c r="FH39" i="57"/>
  <c r="FI39" i="57"/>
  <c r="FJ39" i="57"/>
  <c r="FK39" i="57"/>
  <c r="FL39" i="57"/>
  <c r="FM39" i="57"/>
  <c r="FN39" i="57"/>
  <c r="FO39" i="57"/>
  <c r="FP39" i="57"/>
  <c r="FQ39" i="57"/>
  <c r="FR39" i="57"/>
  <c r="FS39" i="57"/>
  <c r="FT39" i="57"/>
  <c r="FU39" i="57"/>
  <c r="FV39" i="57"/>
  <c r="FW39" i="57"/>
  <c r="BD40" i="57"/>
  <c r="BF40" i="57"/>
  <c r="BG40" i="57"/>
  <c r="BG40" i="69" s="1"/>
  <c r="BI40" i="57"/>
  <c r="BJ40" i="57"/>
  <c r="BJ40" i="69" s="1"/>
  <c r="BL40" i="57"/>
  <c r="BM40" i="57"/>
  <c r="BM40" i="69" s="1"/>
  <c r="BO40" i="57"/>
  <c r="BP40" i="57"/>
  <c r="BP40" i="69" s="1"/>
  <c r="BR40" i="57"/>
  <c r="BS40" i="57"/>
  <c r="BS40" i="69" s="1"/>
  <c r="BU40" i="57"/>
  <c r="BV40" i="57"/>
  <c r="BV40" i="69" s="1"/>
  <c r="BX40" i="57"/>
  <c r="BY40" i="57"/>
  <c r="BY40" i="69" s="1"/>
  <c r="CA40" i="57"/>
  <c r="CB40" i="57"/>
  <c r="CB40" i="69" s="1"/>
  <c r="CD40" i="57"/>
  <c r="CE40" i="57"/>
  <c r="CE40" i="69" s="1"/>
  <c r="CG40" i="57"/>
  <c r="CH40" i="57"/>
  <c r="CH40" i="69" s="1"/>
  <c r="CJ40" i="57"/>
  <c r="CK40" i="57"/>
  <c r="CK40" i="69" s="1"/>
  <c r="CM40" i="57"/>
  <c r="CN40" i="57"/>
  <c r="CN40" i="69" s="1"/>
  <c r="CP40" i="57"/>
  <c r="CQ40" i="57"/>
  <c r="CQ40" i="69" s="1"/>
  <c r="CS40" i="57"/>
  <c r="CT40" i="57"/>
  <c r="CT40" i="69" s="1"/>
  <c r="CV40" i="57"/>
  <c r="CW40" i="57"/>
  <c r="CW40" i="69" s="1"/>
  <c r="CY40" i="57"/>
  <c r="CZ40" i="57"/>
  <c r="CZ40" i="69" s="1"/>
  <c r="DB40" i="57"/>
  <c r="DC40" i="57"/>
  <c r="DC40" i="69" s="1"/>
  <c r="DE40" i="57"/>
  <c r="DF40" i="57"/>
  <c r="DF40" i="69" s="1"/>
  <c r="DH40" i="57"/>
  <c r="DI40" i="57"/>
  <c r="DI40" i="69" s="1"/>
  <c r="DK40" i="57"/>
  <c r="DL40" i="57"/>
  <c r="DL40" i="69" s="1"/>
  <c r="DN40" i="57"/>
  <c r="DO40" i="57"/>
  <c r="DO40" i="69" s="1"/>
  <c r="DQ40" i="57"/>
  <c r="DR40" i="57"/>
  <c r="DR40" i="69" s="1"/>
  <c r="DT40" i="57"/>
  <c r="DU40" i="57"/>
  <c r="DU40" i="69" s="1"/>
  <c r="DW40" i="57"/>
  <c r="DX40" i="57"/>
  <c r="DX40" i="69" s="1"/>
  <c r="DZ40" i="57"/>
  <c r="EC40" i="57"/>
  <c r="EF40" i="57"/>
  <c r="EI40" i="57"/>
  <c r="EL40" i="57"/>
  <c r="EO40" i="57"/>
  <c r="EP40" i="57" s="1"/>
  <c r="EP40" i="69" s="1"/>
  <c r="ER40" i="57"/>
  <c r="EW40" i="57"/>
  <c r="EX40" i="57"/>
  <c r="EY40" i="57"/>
  <c r="FG40" i="57"/>
  <c r="FH40" i="57"/>
  <c r="FI40" i="57"/>
  <c r="FJ40" i="57"/>
  <c r="FK40" i="57"/>
  <c r="FL40" i="57"/>
  <c r="FM40" i="57"/>
  <c r="FN40" i="57"/>
  <c r="FO40" i="57"/>
  <c r="FP40" i="57"/>
  <c r="FQ40" i="57"/>
  <c r="FR40" i="57"/>
  <c r="FS40" i="57"/>
  <c r="FT40" i="57"/>
  <c r="FU40" i="57"/>
  <c r="FV40" i="57"/>
  <c r="FW40" i="57"/>
  <c r="BD41" i="57"/>
  <c r="BF41" i="57"/>
  <c r="BG41" i="57" s="1"/>
  <c r="BG41" i="69" s="1"/>
  <c r="BI41" i="57"/>
  <c r="BJ41" i="57" s="1"/>
  <c r="BJ41" i="69" s="1"/>
  <c r="BL41" i="57"/>
  <c r="BM41" i="57" s="1"/>
  <c r="BM41" i="69" s="1"/>
  <c r="BO41" i="57"/>
  <c r="BP41" i="57"/>
  <c r="BP41" i="69" s="1"/>
  <c r="BR41" i="57"/>
  <c r="BS41" i="57" s="1"/>
  <c r="BS41" i="69" s="1"/>
  <c r="BU41" i="57"/>
  <c r="BV41" i="57"/>
  <c r="BV41" i="69" s="1"/>
  <c r="BX41" i="57"/>
  <c r="BY41" i="57" s="1"/>
  <c r="BY41" i="69" s="1"/>
  <c r="CA41" i="57"/>
  <c r="CB41" i="57"/>
  <c r="CB41" i="69" s="1"/>
  <c r="CD41" i="57"/>
  <c r="CE41" i="57" s="1"/>
  <c r="CE41" i="69" s="1"/>
  <c r="CG41" i="57"/>
  <c r="CH41" i="57" s="1"/>
  <c r="CH41" i="69" s="1"/>
  <c r="CJ41" i="57"/>
  <c r="CK41" i="57"/>
  <c r="CK41" i="69" s="1"/>
  <c r="CM41" i="57"/>
  <c r="CN41" i="57" s="1"/>
  <c r="CN41" i="69" s="1"/>
  <c r="CP41" i="57"/>
  <c r="CQ41" i="57"/>
  <c r="CQ41" i="69" s="1"/>
  <c r="CS41" i="57"/>
  <c r="CT41" i="57" s="1"/>
  <c r="CT41" i="69" s="1"/>
  <c r="CV41" i="57"/>
  <c r="CW41" i="57"/>
  <c r="CW41" i="69" s="1"/>
  <c r="CY41" i="57"/>
  <c r="CZ41" i="57" s="1"/>
  <c r="CZ41" i="69" s="1"/>
  <c r="DB41" i="57"/>
  <c r="DC41" i="57"/>
  <c r="DC41" i="69" s="1"/>
  <c r="DE41" i="57"/>
  <c r="DF41" i="57" s="1"/>
  <c r="DF41" i="69" s="1"/>
  <c r="DH41" i="57"/>
  <c r="DI41" i="57"/>
  <c r="DI41" i="69" s="1"/>
  <c r="DK41" i="57"/>
  <c r="DL41" i="57" s="1"/>
  <c r="DL41" i="69" s="1"/>
  <c r="DN41" i="57"/>
  <c r="DO41" i="57"/>
  <c r="DO41" i="69" s="1"/>
  <c r="DQ41" i="57"/>
  <c r="DR41" i="57" s="1"/>
  <c r="DR41" i="69" s="1"/>
  <c r="DT41" i="57"/>
  <c r="DU41" i="57"/>
  <c r="DU41" i="69" s="1"/>
  <c r="DW41" i="57"/>
  <c r="DX41" i="57" s="1"/>
  <c r="DX41" i="69" s="1"/>
  <c r="DZ41" i="57"/>
  <c r="EC41" i="57"/>
  <c r="EF41" i="57"/>
  <c r="EI41" i="57"/>
  <c r="EL41" i="57"/>
  <c r="EO41" i="57"/>
  <c r="EP41" i="57"/>
  <c r="EP41" i="69" s="1"/>
  <c r="ER41" i="57"/>
  <c r="EW41" i="57"/>
  <c r="EX41" i="57"/>
  <c r="EY41" i="57"/>
  <c r="FG41" i="57"/>
  <c r="FH41" i="57"/>
  <c r="FI41" i="57"/>
  <c r="FJ41" i="57"/>
  <c r="FK41" i="57"/>
  <c r="FL41" i="57"/>
  <c r="FM41" i="57"/>
  <c r="FN41" i="57"/>
  <c r="FO41" i="57"/>
  <c r="FP41" i="57"/>
  <c r="FQ41" i="57"/>
  <c r="FR41" i="57"/>
  <c r="FS41" i="57"/>
  <c r="FT41" i="57"/>
  <c r="FU41" i="57"/>
  <c r="FV41" i="57"/>
  <c r="FW41" i="57"/>
  <c r="BD42" i="57"/>
  <c r="BF42" i="57"/>
  <c r="BG42" i="57"/>
  <c r="BG42" i="69" s="1"/>
  <c r="BI42" i="57"/>
  <c r="BJ42" i="57"/>
  <c r="BJ42" i="69" s="1"/>
  <c r="BL42" i="57"/>
  <c r="BM42" i="57"/>
  <c r="BM42" i="69" s="1"/>
  <c r="BO42" i="57"/>
  <c r="BP42" i="57"/>
  <c r="BP42" i="69" s="1"/>
  <c r="BR42" i="57"/>
  <c r="BS42" i="57"/>
  <c r="BS42" i="69" s="1"/>
  <c r="BU42" i="57"/>
  <c r="BV42" i="57"/>
  <c r="BV42" i="69" s="1"/>
  <c r="BX42" i="57"/>
  <c r="BY42" i="57"/>
  <c r="BY42" i="69" s="1"/>
  <c r="CA42" i="57"/>
  <c r="CB42" i="57"/>
  <c r="CB42" i="69" s="1"/>
  <c r="CD42" i="57"/>
  <c r="CE42" i="57"/>
  <c r="CE42" i="69" s="1"/>
  <c r="CG42" i="57"/>
  <c r="CH42" i="57"/>
  <c r="CH42" i="69" s="1"/>
  <c r="CJ42" i="57"/>
  <c r="CK42" i="57"/>
  <c r="CK42" i="69" s="1"/>
  <c r="CM42" i="57"/>
  <c r="CN42" i="57"/>
  <c r="CN42" i="69" s="1"/>
  <c r="CP42" i="57"/>
  <c r="CQ42" i="57"/>
  <c r="CQ42" i="69" s="1"/>
  <c r="CS42" i="57"/>
  <c r="CT42" i="57"/>
  <c r="CT42" i="69" s="1"/>
  <c r="CV42" i="57"/>
  <c r="CW42" i="57"/>
  <c r="CW42" i="69" s="1"/>
  <c r="CY42" i="57"/>
  <c r="CZ42" i="57"/>
  <c r="CZ42" i="69" s="1"/>
  <c r="DB42" i="57"/>
  <c r="DC42" i="57"/>
  <c r="DC42" i="69" s="1"/>
  <c r="DE42" i="57"/>
  <c r="DF42" i="57"/>
  <c r="DF42" i="69" s="1"/>
  <c r="DH42" i="57"/>
  <c r="DI42" i="57"/>
  <c r="DI42" i="69" s="1"/>
  <c r="DK42" i="57"/>
  <c r="DL42" i="57"/>
  <c r="DL42" i="69" s="1"/>
  <c r="DN42" i="57"/>
  <c r="DO42" i="57"/>
  <c r="DO42" i="69" s="1"/>
  <c r="DQ42" i="57"/>
  <c r="DR42" i="57"/>
  <c r="DR42" i="69" s="1"/>
  <c r="DT42" i="57"/>
  <c r="DU42" i="57"/>
  <c r="DU42" i="69" s="1"/>
  <c r="DW42" i="57"/>
  <c r="DX42" i="57"/>
  <c r="DX42" i="69" s="1"/>
  <c r="DZ42" i="57"/>
  <c r="EC42" i="57"/>
  <c r="EF42" i="57"/>
  <c r="EI42" i="57"/>
  <c r="EL42" i="57"/>
  <c r="EO42" i="57"/>
  <c r="EP42" i="57" s="1"/>
  <c r="EP42" i="69" s="1"/>
  <c r="ER42" i="57"/>
  <c r="EW42" i="57"/>
  <c r="EX42" i="57"/>
  <c r="EY42" i="57"/>
  <c r="FG42" i="57"/>
  <c r="FH42" i="57"/>
  <c r="FI42" i="57"/>
  <c r="FJ42" i="57"/>
  <c r="FK42" i="57"/>
  <c r="FL42" i="57"/>
  <c r="FM42" i="57"/>
  <c r="FN42" i="57"/>
  <c r="FO42" i="57"/>
  <c r="FP42" i="57"/>
  <c r="FQ42" i="57"/>
  <c r="FR42" i="57"/>
  <c r="FS42" i="57"/>
  <c r="FT42" i="57"/>
  <c r="FU42" i="57"/>
  <c r="FV42" i="57"/>
  <c r="FW42" i="57"/>
  <c r="BD43" i="57"/>
  <c r="BF43" i="57"/>
  <c r="BG43" i="57" s="1"/>
  <c r="BG43" i="69" s="1"/>
  <c r="BI43" i="57"/>
  <c r="BJ43" i="57"/>
  <c r="BJ43" i="69" s="1"/>
  <c r="BL43" i="57"/>
  <c r="BM43" i="57" s="1"/>
  <c r="BM43" i="69" s="1"/>
  <c r="BO43" i="57"/>
  <c r="BP43" i="57"/>
  <c r="BP43" i="69" s="1"/>
  <c r="BR43" i="57"/>
  <c r="BS43" i="57" s="1"/>
  <c r="BS43" i="69" s="1"/>
  <c r="BU43" i="57"/>
  <c r="BV43" i="57"/>
  <c r="BV43" i="69" s="1"/>
  <c r="BX43" i="57"/>
  <c r="BY43" i="57" s="1"/>
  <c r="BY43" i="69" s="1"/>
  <c r="CA43" i="57"/>
  <c r="CB43" i="57"/>
  <c r="CB43" i="69" s="1"/>
  <c r="CD43" i="57"/>
  <c r="CE43" i="57" s="1"/>
  <c r="CE43" i="69" s="1"/>
  <c r="CG43" i="57"/>
  <c r="CH43" i="57"/>
  <c r="CH43" i="69" s="1"/>
  <c r="CJ43" i="57"/>
  <c r="CK43" i="57" s="1"/>
  <c r="CK43" i="69" s="1"/>
  <c r="CM43" i="57"/>
  <c r="CN43" i="57"/>
  <c r="CN43" i="69" s="1"/>
  <c r="CP43" i="57"/>
  <c r="CQ43" i="57" s="1"/>
  <c r="CQ43" i="69" s="1"/>
  <c r="CS43" i="57"/>
  <c r="CT43" i="57"/>
  <c r="CT43" i="69" s="1"/>
  <c r="CV43" i="57"/>
  <c r="CW43" i="57" s="1"/>
  <c r="CW43" i="69" s="1"/>
  <c r="CY43" i="57"/>
  <c r="CZ43" i="57"/>
  <c r="CZ43" i="69" s="1"/>
  <c r="DB43" i="57"/>
  <c r="DC43" i="57" s="1"/>
  <c r="DC43" i="69" s="1"/>
  <c r="DE43" i="57"/>
  <c r="DF43" i="57"/>
  <c r="DF43" i="69" s="1"/>
  <c r="DH43" i="57"/>
  <c r="DI43" i="57" s="1"/>
  <c r="DI43" i="69" s="1"/>
  <c r="DK43" i="57"/>
  <c r="DL43" i="57"/>
  <c r="DL43" i="69" s="1"/>
  <c r="DN43" i="57"/>
  <c r="DO43" i="57" s="1"/>
  <c r="DO43" i="69" s="1"/>
  <c r="DQ43" i="57"/>
  <c r="DR43" i="57"/>
  <c r="DR43" i="69" s="1"/>
  <c r="DT43" i="57"/>
  <c r="DU43" i="57" s="1"/>
  <c r="DU43" i="69" s="1"/>
  <c r="DW43" i="57"/>
  <c r="DX43" i="57"/>
  <c r="DX43" i="69" s="1"/>
  <c r="DZ43" i="57"/>
  <c r="EC43" i="57"/>
  <c r="EF43" i="57"/>
  <c r="EI43" i="57"/>
  <c r="EL43" i="57"/>
  <c r="EO43" i="57"/>
  <c r="EP43" i="57"/>
  <c r="EP43" i="69" s="1"/>
  <c r="ER43" i="57"/>
  <c r="EW43" i="57"/>
  <c r="EX43" i="57"/>
  <c r="EY43" i="57"/>
  <c r="FG43" i="57"/>
  <c r="FH43" i="57"/>
  <c r="FI43" i="57"/>
  <c r="FJ43" i="57"/>
  <c r="FK43" i="57"/>
  <c r="FL43" i="57"/>
  <c r="FM43" i="57"/>
  <c r="FN43" i="57"/>
  <c r="FO43" i="57"/>
  <c r="FP43" i="57"/>
  <c r="FQ43" i="57"/>
  <c r="FR43" i="57"/>
  <c r="FS43" i="57"/>
  <c r="FT43" i="57"/>
  <c r="FU43" i="57"/>
  <c r="FV43" i="57"/>
  <c r="FW43" i="57"/>
  <c r="BD44" i="57"/>
  <c r="BF44" i="57"/>
  <c r="BG44" i="57"/>
  <c r="BG44" i="69" s="1"/>
  <c r="BI44" i="57"/>
  <c r="BJ44" i="57"/>
  <c r="BJ44" i="69" s="1"/>
  <c r="BL44" i="57"/>
  <c r="BM44" i="57"/>
  <c r="BM44" i="69" s="1"/>
  <c r="BO44" i="57"/>
  <c r="BP44" i="57"/>
  <c r="BP44" i="69" s="1"/>
  <c r="BR44" i="57"/>
  <c r="BS44" i="57"/>
  <c r="BS44" i="69" s="1"/>
  <c r="BU44" i="57"/>
  <c r="BV44" i="57"/>
  <c r="BV44" i="69" s="1"/>
  <c r="BX44" i="57"/>
  <c r="BY44" i="57"/>
  <c r="BY44" i="69" s="1"/>
  <c r="CA44" i="57"/>
  <c r="CB44" i="57" s="1"/>
  <c r="CB44" i="69" s="1"/>
  <c r="CD44" i="57"/>
  <c r="CE44" i="57"/>
  <c r="CE44" i="69" s="1"/>
  <c r="CG44" i="57"/>
  <c r="CH44" i="57" s="1"/>
  <c r="CH44" i="69" s="1"/>
  <c r="CJ44" i="57"/>
  <c r="CK44" i="57"/>
  <c r="CK44" i="69" s="1"/>
  <c r="CM44" i="57"/>
  <c r="CN44" i="57" s="1"/>
  <c r="CN44" i="69" s="1"/>
  <c r="CP44" i="57"/>
  <c r="CQ44" i="57"/>
  <c r="CQ44" i="69" s="1"/>
  <c r="CS44" i="57"/>
  <c r="CT44" i="57" s="1"/>
  <c r="CT44" i="69" s="1"/>
  <c r="CV44" i="57"/>
  <c r="CW44" i="57"/>
  <c r="CW44" i="69" s="1"/>
  <c r="CY44" i="57"/>
  <c r="CZ44" i="57" s="1"/>
  <c r="CZ44" i="69" s="1"/>
  <c r="DB44" i="57"/>
  <c r="DC44" i="57"/>
  <c r="DC44" i="69" s="1"/>
  <c r="DE44" i="57"/>
  <c r="DF44" i="57" s="1"/>
  <c r="DF44" i="69" s="1"/>
  <c r="DH44" i="57"/>
  <c r="DI44" i="57"/>
  <c r="DI44" i="69" s="1"/>
  <c r="DK44" i="57"/>
  <c r="DL44" i="57" s="1"/>
  <c r="DL44" i="69" s="1"/>
  <c r="DN44" i="57"/>
  <c r="DO44" i="57"/>
  <c r="DO44" i="69" s="1"/>
  <c r="DQ44" i="57"/>
  <c r="DR44" i="57" s="1"/>
  <c r="DR44" i="69" s="1"/>
  <c r="DT44" i="57"/>
  <c r="DU44" i="57"/>
  <c r="DU44" i="69" s="1"/>
  <c r="DW44" i="57"/>
  <c r="DX44" i="57" s="1"/>
  <c r="DX44" i="69" s="1"/>
  <c r="DZ44" i="57"/>
  <c r="EC44" i="57"/>
  <c r="EF44" i="57"/>
  <c r="EI44" i="57"/>
  <c r="EL44" i="57"/>
  <c r="EO44" i="57"/>
  <c r="EP44" i="57"/>
  <c r="EP44" i="69" s="1"/>
  <c r="ER44" i="57"/>
  <c r="EW44" i="57"/>
  <c r="EX44" i="57"/>
  <c r="EY44" i="57"/>
  <c r="FG44" i="57"/>
  <c r="FH44" i="57"/>
  <c r="FI44" i="57"/>
  <c r="FJ44" i="57"/>
  <c r="FK44" i="57"/>
  <c r="FL44" i="57"/>
  <c r="FM44" i="57"/>
  <c r="FN44" i="57"/>
  <c r="FO44" i="57"/>
  <c r="FP44" i="57"/>
  <c r="FQ44" i="57"/>
  <c r="FR44" i="57"/>
  <c r="FS44" i="57"/>
  <c r="FT44" i="57"/>
  <c r="FU44" i="57"/>
  <c r="FV44" i="57"/>
  <c r="FW44" i="57"/>
  <c r="BD45" i="57"/>
  <c r="BF45" i="57"/>
  <c r="BG45" i="57"/>
  <c r="BG45" i="69" s="1"/>
  <c r="BI45" i="57"/>
  <c r="BJ45" i="57" s="1"/>
  <c r="BJ45" i="69" s="1"/>
  <c r="BL45" i="57"/>
  <c r="BM45" i="57"/>
  <c r="BM45" i="69" s="1"/>
  <c r="BO45" i="57"/>
  <c r="BP45" i="57" s="1"/>
  <c r="BP45" i="69" s="1"/>
  <c r="BR45" i="57"/>
  <c r="BS45" i="57"/>
  <c r="BS45" i="69" s="1"/>
  <c r="BU45" i="57"/>
  <c r="BV45" i="57" s="1"/>
  <c r="BV45" i="69" s="1"/>
  <c r="BX45" i="57"/>
  <c r="BY45" i="57"/>
  <c r="BY45" i="69" s="1"/>
  <c r="CA45" i="57"/>
  <c r="CB45" i="57" s="1"/>
  <c r="CB45" i="69" s="1"/>
  <c r="CD45" i="57"/>
  <c r="CE45" i="57"/>
  <c r="CE45" i="69" s="1"/>
  <c r="CG45" i="57"/>
  <c r="CH45" i="57" s="1"/>
  <c r="CH45" i="69" s="1"/>
  <c r="CJ45" i="57"/>
  <c r="CK45" i="57"/>
  <c r="CK45" i="69" s="1"/>
  <c r="CM45" i="57"/>
  <c r="CN45" i="57" s="1"/>
  <c r="CN45" i="69" s="1"/>
  <c r="CP45" i="57"/>
  <c r="CQ45" i="57"/>
  <c r="CQ45" i="69" s="1"/>
  <c r="CS45" i="57"/>
  <c r="CT45" i="57" s="1"/>
  <c r="CT45" i="69" s="1"/>
  <c r="CV45" i="57"/>
  <c r="CW45" i="57"/>
  <c r="CW45" i="69" s="1"/>
  <c r="CY45" i="57"/>
  <c r="CZ45" i="57" s="1"/>
  <c r="CZ45" i="69" s="1"/>
  <c r="DB45" i="57"/>
  <c r="DC45" i="57"/>
  <c r="DC45" i="69" s="1"/>
  <c r="DE45" i="57"/>
  <c r="DF45" i="57" s="1"/>
  <c r="DF45" i="69" s="1"/>
  <c r="DH45" i="57"/>
  <c r="DI45" i="57"/>
  <c r="DI45" i="69" s="1"/>
  <c r="DK45" i="57"/>
  <c r="DL45" i="57" s="1"/>
  <c r="DL45" i="69" s="1"/>
  <c r="DN45" i="57"/>
  <c r="DO45" i="57"/>
  <c r="DO45" i="69" s="1"/>
  <c r="DQ45" i="57"/>
  <c r="DR45" i="57" s="1"/>
  <c r="DR45" i="69" s="1"/>
  <c r="DT45" i="57"/>
  <c r="DU45" i="57"/>
  <c r="DU45" i="69" s="1"/>
  <c r="DW45" i="57"/>
  <c r="DX45" i="57" s="1"/>
  <c r="DX45" i="69" s="1"/>
  <c r="DZ45" i="57"/>
  <c r="EC45" i="57"/>
  <c r="EF45" i="57"/>
  <c r="EI45" i="57"/>
  <c r="EL45" i="57"/>
  <c r="EO45" i="57"/>
  <c r="EP45" i="57" s="1"/>
  <c r="EP45" i="69" s="1"/>
  <c r="ER45" i="57"/>
  <c r="EW45" i="57"/>
  <c r="EX45" i="57"/>
  <c r="EY45" i="57"/>
  <c r="FG45" i="57"/>
  <c r="FH45" i="57"/>
  <c r="FI45" i="57"/>
  <c r="FJ45" i="57"/>
  <c r="FK45" i="57"/>
  <c r="FL45" i="57"/>
  <c r="FM45" i="57"/>
  <c r="FN45" i="57"/>
  <c r="FO45" i="57"/>
  <c r="FP45" i="57"/>
  <c r="FQ45" i="57"/>
  <c r="FR45" i="57"/>
  <c r="FS45" i="57"/>
  <c r="FT45" i="57"/>
  <c r="FU45" i="57"/>
  <c r="FV45" i="57"/>
  <c r="FW45" i="57"/>
  <c r="BD46" i="57"/>
  <c r="BF46" i="57"/>
  <c r="BG46" i="57" s="1"/>
  <c r="BG46" i="69" s="1"/>
  <c r="BI46" i="57"/>
  <c r="BJ46" i="57"/>
  <c r="BJ46" i="69" s="1"/>
  <c r="BL46" i="57"/>
  <c r="BM46" i="57" s="1"/>
  <c r="BM46" i="69" s="1"/>
  <c r="BO46" i="57"/>
  <c r="BP46" i="57"/>
  <c r="BP46" i="69" s="1"/>
  <c r="BR46" i="57"/>
  <c r="BS46" i="57" s="1"/>
  <c r="BS46" i="69" s="1"/>
  <c r="BU46" i="57"/>
  <c r="BV46" i="57"/>
  <c r="BV46" i="69" s="1"/>
  <c r="BX46" i="57"/>
  <c r="BY46" i="57" s="1"/>
  <c r="BY46" i="69" s="1"/>
  <c r="CA46" i="57"/>
  <c r="CB46" i="57"/>
  <c r="CB46" i="69" s="1"/>
  <c r="CD46" i="57"/>
  <c r="CE46" i="57" s="1"/>
  <c r="CE46" i="69" s="1"/>
  <c r="CG46" i="57"/>
  <c r="CH46" i="57"/>
  <c r="CH46" i="69" s="1"/>
  <c r="CJ46" i="57"/>
  <c r="CK46" i="57" s="1"/>
  <c r="CK46" i="69" s="1"/>
  <c r="CM46" i="57"/>
  <c r="CN46" i="57"/>
  <c r="CN46" i="69" s="1"/>
  <c r="CP46" i="57"/>
  <c r="CQ46" i="57" s="1"/>
  <c r="CQ46" i="69" s="1"/>
  <c r="CS46" i="57"/>
  <c r="CT46" i="57"/>
  <c r="CT46" i="69" s="1"/>
  <c r="CV46" i="57"/>
  <c r="CW46" i="57" s="1"/>
  <c r="CW46" i="69" s="1"/>
  <c r="CY46" i="57"/>
  <c r="CZ46" i="57"/>
  <c r="CZ46" i="69" s="1"/>
  <c r="DB46" i="57"/>
  <c r="DC46" i="57" s="1"/>
  <c r="DC46" i="69" s="1"/>
  <c r="DE46" i="57"/>
  <c r="DF46" i="57"/>
  <c r="DF46" i="69" s="1"/>
  <c r="DH46" i="57"/>
  <c r="DI46" i="57" s="1"/>
  <c r="DI46" i="69" s="1"/>
  <c r="DK46" i="57"/>
  <c r="DL46" i="57"/>
  <c r="DL46" i="69" s="1"/>
  <c r="DN46" i="57"/>
  <c r="DO46" i="57" s="1"/>
  <c r="DO46" i="69" s="1"/>
  <c r="DQ46" i="57"/>
  <c r="DR46" i="57"/>
  <c r="DR46" i="69" s="1"/>
  <c r="DT46" i="57"/>
  <c r="DU46" i="57" s="1"/>
  <c r="DU46" i="69" s="1"/>
  <c r="DW46" i="57"/>
  <c r="DX46" i="57"/>
  <c r="DX46" i="69" s="1"/>
  <c r="DZ46" i="57"/>
  <c r="EC46" i="57"/>
  <c r="EF46" i="57"/>
  <c r="EI46" i="57"/>
  <c r="EL46" i="57"/>
  <c r="EO46" i="57"/>
  <c r="EP46" i="57" s="1"/>
  <c r="EP46" i="69" s="1"/>
  <c r="ER46" i="57"/>
  <c r="EW46" i="57"/>
  <c r="EX46" i="57"/>
  <c r="EY46" i="57"/>
  <c r="FG46" i="57"/>
  <c r="FH46" i="57"/>
  <c r="FI46" i="57"/>
  <c r="FJ46" i="57"/>
  <c r="FK46" i="57"/>
  <c r="FL46" i="57"/>
  <c r="FM46" i="57"/>
  <c r="FN46" i="57"/>
  <c r="FO46" i="57"/>
  <c r="FP46" i="57"/>
  <c r="FQ46" i="57"/>
  <c r="FR46" i="57"/>
  <c r="FS46" i="57"/>
  <c r="FT46" i="57"/>
  <c r="FU46" i="57"/>
  <c r="FV46" i="57"/>
  <c r="FW46" i="57"/>
  <c r="BD47" i="57"/>
  <c r="BF47" i="57"/>
  <c r="BG47" i="57" s="1"/>
  <c r="BG47" i="69" s="1"/>
  <c r="BI47" i="57"/>
  <c r="BJ47" i="57"/>
  <c r="BJ47" i="69" s="1"/>
  <c r="BL47" i="57"/>
  <c r="BM47" i="57" s="1"/>
  <c r="BM47" i="69" s="1"/>
  <c r="BO47" i="57"/>
  <c r="BP47" i="57"/>
  <c r="BP47" i="69" s="1"/>
  <c r="BR47" i="57"/>
  <c r="BS47" i="57" s="1"/>
  <c r="BS47" i="69" s="1"/>
  <c r="BU47" i="57"/>
  <c r="BV47" i="57"/>
  <c r="BV47" i="69" s="1"/>
  <c r="BX47" i="57"/>
  <c r="BY47" i="57" s="1"/>
  <c r="BY47" i="69" s="1"/>
  <c r="CA47" i="57"/>
  <c r="CB47" i="57"/>
  <c r="CB47" i="69" s="1"/>
  <c r="CD47" i="57"/>
  <c r="CE47" i="57" s="1"/>
  <c r="CE47" i="69" s="1"/>
  <c r="CG47" i="57"/>
  <c r="CH47" i="57"/>
  <c r="CH47" i="69" s="1"/>
  <c r="CJ47" i="57"/>
  <c r="CK47" i="57" s="1"/>
  <c r="CK47" i="69" s="1"/>
  <c r="CM47" i="57"/>
  <c r="CN47" i="57"/>
  <c r="CN47" i="69" s="1"/>
  <c r="CP47" i="57"/>
  <c r="CQ47" i="57" s="1"/>
  <c r="CQ47" i="69" s="1"/>
  <c r="CS47" i="57"/>
  <c r="CT47" i="57"/>
  <c r="CT47" i="69" s="1"/>
  <c r="CV47" i="57"/>
  <c r="CW47" i="57" s="1"/>
  <c r="CW47" i="69" s="1"/>
  <c r="CY47" i="57"/>
  <c r="CZ47" i="57"/>
  <c r="CZ47" i="69" s="1"/>
  <c r="DB47" i="57"/>
  <c r="DC47" i="57" s="1"/>
  <c r="DC47" i="69" s="1"/>
  <c r="DE47" i="57"/>
  <c r="DF47" i="57"/>
  <c r="DF47" i="69" s="1"/>
  <c r="DH47" i="57"/>
  <c r="DI47" i="57" s="1"/>
  <c r="DI47" i="69" s="1"/>
  <c r="DK47" i="57"/>
  <c r="DL47" i="57"/>
  <c r="DL47" i="69" s="1"/>
  <c r="DN47" i="57"/>
  <c r="DO47" i="57" s="1"/>
  <c r="DO47" i="69" s="1"/>
  <c r="DQ47" i="57"/>
  <c r="DR47" i="57"/>
  <c r="DR47" i="69" s="1"/>
  <c r="DT47" i="57"/>
  <c r="DU47" i="57" s="1"/>
  <c r="DU47" i="69" s="1"/>
  <c r="DW47" i="57"/>
  <c r="DX47" i="57"/>
  <c r="DX47" i="69" s="1"/>
  <c r="DZ47" i="57"/>
  <c r="EC47" i="57"/>
  <c r="EF47" i="57"/>
  <c r="EI47" i="57"/>
  <c r="EL47" i="57"/>
  <c r="EO47" i="57"/>
  <c r="EP47" i="57"/>
  <c r="EP47" i="69" s="1"/>
  <c r="ER47" i="57"/>
  <c r="EW47" i="57"/>
  <c r="EX47" i="57"/>
  <c r="EY47" i="57"/>
  <c r="FG47" i="57"/>
  <c r="FH47" i="57"/>
  <c r="FI47" i="57"/>
  <c r="FJ47" i="57"/>
  <c r="FK47" i="57"/>
  <c r="FL47" i="57"/>
  <c r="FM47" i="57"/>
  <c r="FN47" i="57"/>
  <c r="FO47" i="57"/>
  <c r="FP47" i="57"/>
  <c r="FQ47" i="57"/>
  <c r="FR47" i="57"/>
  <c r="FS47" i="57"/>
  <c r="FT47" i="57"/>
  <c r="FU47" i="57"/>
  <c r="FV47" i="57"/>
  <c r="FW47" i="57"/>
  <c r="BD48" i="57"/>
  <c r="BF48" i="57"/>
  <c r="BG48" i="57"/>
  <c r="BG48" i="69" s="1"/>
  <c r="BI48" i="57"/>
  <c r="BJ48" i="57" s="1"/>
  <c r="BJ48" i="69" s="1"/>
  <c r="BL48" i="57"/>
  <c r="BM48" i="57"/>
  <c r="BM48" i="69" s="1"/>
  <c r="BO48" i="57"/>
  <c r="BP48" i="57" s="1"/>
  <c r="BP48" i="69" s="1"/>
  <c r="BR48" i="57"/>
  <c r="BS48" i="57"/>
  <c r="BS48" i="69" s="1"/>
  <c r="BU48" i="57"/>
  <c r="BV48" i="57" s="1"/>
  <c r="BV48" i="69" s="1"/>
  <c r="BX48" i="57"/>
  <c r="BY48" i="57"/>
  <c r="BY48" i="69" s="1"/>
  <c r="CA48" i="57"/>
  <c r="CB48" i="57" s="1"/>
  <c r="CB48" i="69" s="1"/>
  <c r="CD48" i="57"/>
  <c r="CE48" i="57"/>
  <c r="CE48" i="69" s="1"/>
  <c r="CG48" i="57"/>
  <c r="CH48" i="57" s="1"/>
  <c r="CH48" i="69" s="1"/>
  <c r="CJ48" i="57"/>
  <c r="CK48" i="57"/>
  <c r="CK48" i="69" s="1"/>
  <c r="CM48" i="57"/>
  <c r="CN48" i="57" s="1"/>
  <c r="CN48" i="69" s="1"/>
  <c r="CP48" i="57"/>
  <c r="CQ48" i="57"/>
  <c r="CQ48" i="69" s="1"/>
  <c r="CS48" i="57"/>
  <c r="CT48" i="57" s="1"/>
  <c r="CT48" i="69" s="1"/>
  <c r="CV48" i="57"/>
  <c r="CW48" i="57"/>
  <c r="CW48" i="69" s="1"/>
  <c r="CY48" i="57"/>
  <c r="CZ48" i="57" s="1"/>
  <c r="CZ48" i="69" s="1"/>
  <c r="DB48" i="57"/>
  <c r="DC48" i="57"/>
  <c r="DC48" i="69" s="1"/>
  <c r="DE48" i="57"/>
  <c r="DF48" i="57" s="1"/>
  <c r="DF48" i="69" s="1"/>
  <c r="DH48" i="57"/>
  <c r="DI48" i="57"/>
  <c r="DI48" i="69" s="1"/>
  <c r="DK48" i="57"/>
  <c r="DL48" i="57" s="1"/>
  <c r="DL48" i="69" s="1"/>
  <c r="DN48" i="57"/>
  <c r="DO48" i="57"/>
  <c r="DO48" i="69" s="1"/>
  <c r="DQ48" i="57"/>
  <c r="DR48" i="57" s="1"/>
  <c r="DR48" i="69" s="1"/>
  <c r="DT48" i="57"/>
  <c r="DU48" i="57"/>
  <c r="DU48" i="69" s="1"/>
  <c r="DW48" i="57"/>
  <c r="DX48" i="57" s="1"/>
  <c r="DX48" i="69" s="1"/>
  <c r="DZ48" i="57"/>
  <c r="EC48" i="57"/>
  <c r="EF48" i="57"/>
  <c r="EI48" i="57"/>
  <c r="EL48" i="57"/>
  <c r="EO48" i="57"/>
  <c r="EP48" i="57"/>
  <c r="EP48" i="69" s="1"/>
  <c r="ER48" i="57"/>
  <c r="EW48" i="57"/>
  <c r="EX48" i="57"/>
  <c r="EY48" i="57"/>
  <c r="FG48" i="57"/>
  <c r="FH48" i="57"/>
  <c r="FI48" i="57"/>
  <c r="FJ48" i="57"/>
  <c r="FK48" i="57"/>
  <c r="FL48" i="57"/>
  <c r="FM48" i="57"/>
  <c r="FN48" i="57"/>
  <c r="FO48" i="57"/>
  <c r="FP48" i="57"/>
  <c r="FQ48" i="57"/>
  <c r="FR48" i="57"/>
  <c r="FS48" i="57"/>
  <c r="FT48" i="57"/>
  <c r="FU48" i="57"/>
  <c r="FV48" i="57"/>
  <c r="FW48" i="57"/>
  <c r="BD49" i="57"/>
  <c r="BF49" i="57"/>
  <c r="BG49" i="57"/>
  <c r="BG49" i="69" s="1"/>
  <c r="BI49" i="57"/>
  <c r="BJ49" i="57" s="1"/>
  <c r="BJ49" i="69" s="1"/>
  <c r="BL49" i="57"/>
  <c r="BM49" i="57"/>
  <c r="BM49" i="69" s="1"/>
  <c r="BO49" i="57"/>
  <c r="BP49" i="57" s="1"/>
  <c r="BP49" i="69" s="1"/>
  <c r="BR49" i="57"/>
  <c r="BS49" i="57"/>
  <c r="BS49" i="69" s="1"/>
  <c r="BU49" i="57"/>
  <c r="BV49" i="57" s="1"/>
  <c r="BV49" i="69" s="1"/>
  <c r="BX49" i="57"/>
  <c r="BY49" i="57"/>
  <c r="BY49" i="69" s="1"/>
  <c r="CA49" i="57"/>
  <c r="CB49" i="57" s="1"/>
  <c r="CB49" i="69" s="1"/>
  <c r="CD49" i="57"/>
  <c r="CE49" i="57"/>
  <c r="CE49" i="69" s="1"/>
  <c r="CG49" i="57"/>
  <c r="CH49" i="57" s="1"/>
  <c r="CH49" i="69" s="1"/>
  <c r="CJ49" i="57"/>
  <c r="CK49" i="57"/>
  <c r="CK49" i="69" s="1"/>
  <c r="CM49" i="57"/>
  <c r="CN49" i="57" s="1"/>
  <c r="CN49" i="69" s="1"/>
  <c r="CP49" i="57"/>
  <c r="CQ49" i="57"/>
  <c r="CQ49" i="69" s="1"/>
  <c r="CS49" i="57"/>
  <c r="CT49" i="57" s="1"/>
  <c r="CT49" i="69" s="1"/>
  <c r="CV49" i="57"/>
  <c r="CW49" i="57"/>
  <c r="CW49" i="69" s="1"/>
  <c r="CY49" i="57"/>
  <c r="CZ49" i="57" s="1"/>
  <c r="CZ49" i="69" s="1"/>
  <c r="DB49" i="57"/>
  <c r="DC49" i="57"/>
  <c r="DC49" i="69" s="1"/>
  <c r="DE49" i="57"/>
  <c r="DF49" i="57" s="1"/>
  <c r="DF49" i="69" s="1"/>
  <c r="DH49" i="57"/>
  <c r="DI49" i="57"/>
  <c r="DI49" i="69" s="1"/>
  <c r="DK49" i="57"/>
  <c r="DL49" i="57" s="1"/>
  <c r="DL49" i="69" s="1"/>
  <c r="DN49" i="57"/>
  <c r="DO49" i="57"/>
  <c r="DO49" i="69" s="1"/>
  <c r="DQ49" i="57"/>
  <c r="DR49" i="57" s="1"/>
  <c r="DR49" i="69" s="1"/>
  <c r="DT49" i="57"/>
  <c r="DU49" i="57"/>
  <c r="DU49" i="69" s="1"/>
  <c r="DW49" i="57"/>
  <c r="DX49" i="57" s="1"/>
  <c r="DX49" i="69" s="1"/>
  <c r="DZ49" i="57"/>
  <c r="EC49" i="57"/>
  <c r="EF49" i="57"/>
  <c r="EI49" i="57"/>
  <c r="EL49" i="57"/>
  <c r="EO49" i="57"/>
  <c r="EP49" i="57" s="1"/>
  <c r="EP49" i="69" s="1"/>
  <c r="ER49" i="57"/>
  <c r="EW49" i="57"/>
  <c r="EX49" i="57"/>
  <c r="EY49" i="57"/>
  <c r="FG49" i="57"/>
  <c r="FH49" i="57"/>
  <c r="FI49" i="57"/>
  <c r="FJ49" i="57"/>
  <c r="FK49" i="57"/>
  <c r="FL49" i="57"/>
  <c r="FM49" i="57"/>
  <c r="FN49" i="57"/>
  <c r="FO49" i="57"/>
  <c r="FP49" i="57"/>
  <c r="FQ49" i="57"/>
  <c r="FR49" i="57"/>
  <c r="FS49" i="57"/>
  <c r="FT49" i="57"/>
  <c r="FU49" i="57"/>
  <c r="FV49" i="57"/>
  <c r="FW49" i="57"/>
  <c r="BD50" i="57"/>
  <c r="BF50" i="57"/>
  <c r="BG50" i="57" s="1"/>
  <c r="BG50" i="69" s="1"/>
  <c r="BI50" i="57"/>
  <c r="BJ50" i="57"/>
  <c r="BJ50" i="69" s="1"/>
  <c r="BL50" i="57"/>
  <c r="BM50" i="57" s="1"/>
  <c r="BM50" i="69" s="1"/>
  <c r="BO50" i="57"/>
  <c r="BP50" i="57"/>
  <c r="BP50" i="69" s="1"/>
  <c r="BR50" i="57"/>
  <c r="BS50" i="57" s="1"/>
  <c r="BS50" i="69" s="1"/>
  <c r="BU50" i="57"/>
  <c r="BV50" i="57"/>
  <c r="BV50" i="69" s="1"/>
  <c r="BX50" i="57"/>
  <c r="BY50" i="57" s="1"/>
  <c r="BY50" i="69" s="1"/>
  <c r="CA50" i="57"/>
  <c r="CB50" i="57"/>
  <c r="CB50" i="69" s="1"/>
  <c r="CD50" i="57"/>
  <c r="CE50" i="57" s="1"/>
  <c r="CE50" i="69" s="1"/>
  <c r="CG50" i="57"/>
  <c r="CH50" i="57"/>
  <c r="CH50" i="69" s="1"/>
  <c r="CJ50" i="57"/>
  <c r="CK50" i="57" s="1"/>
  <c r="CK50" i="69" s="1"/>
  <c r="CM50" i="57"/>
  <c r="CN50" i="57"/>
  <c r="CN50" i="69" s="1"/>
  <c r="CP50" i="57"/>
  <c r="CQ50" i="57" s="1"/>
  <c r="CQ50" i="69" s="1"/>
  <c r="CS50" i="57"/>
  <c r="CT50" i="57"/>
  <c r="CT50" i="69" s="1"/>
  <c r="CV50" i="57"/>
  <c r="CW50" i="57" s="1"/>
  <c r="CW50" i="69" s="1"/>
  <c r="CY50" i="57"/>
  <c r="CZ50" i="57"/>
  <c r="CZ50" i="69" s="1"/>
  <c r="DB50" i="57"/>
  <c r="DC50" i="57" s="1"/>
  <c r="DC50" i="69" s="1"/>
  <c r="DE50" i="57"/>
  <c r="DF50" i="57"/>
  <c r="DF50" i="69" s="1"/>
  <c r="DH50" i="57"/>
  <c r="DI50" i="57" s="1"/>
  <c r="DI50" i="69" s="1"/>
  <c r="DK50" i="57"/>
  <c r="DL50" i="57"/>
  <c r="DL50" i="69" s="1"/>
  <c r="DN50" i="57"/>
  <c r="DO50" i="57" s="1"/>
  <c r="DO50" i="69" s="1"/>
  <c r="DQ50" i="57"/>
  <c r="DR50" i="57"/>
  <c r="DR50" i="69" s="1"/>
  <c r="DT50" i="57"/>
  <c r="DU50" i="57" s="1"/>
  <c r="DU50" i="69" s="1"/>
  <c r="DW50" i="57"/>
  <c r="DX50" i="57"/>
  <c r="DX50" i="69" s="1"/>
  <c r="DZ50" i="57"/>
  <c r="EC50" i="57"/>
  <c r="EF50" i="57"/>
  <c r="EI50" i="57"/>
  <c r="EL50" i="57"/>
  <c r="EO50" i="57"/>
  <c r="EP50" i="57" s="1"/>
  <c r="EP50" i="69" s="1"/>
  <c r="ER50" i="57"/>
  <c r="EW50" i="57"/>
  <c r="EX50" i="57"/>
  <c r="EY50" i="57"/>
  <c r="FG50" i="57"/>
  <c r="FH50" i="57"/>
  <c r="FI50" i="57"/>
  <c r="FJ50" i="57"/>
  <c r="FK50" i="57"/>
  <c r="FL50" i="57"/>
  <c r="FM50" i="57"/>
  <c r="FN50" i="57"/>
  <c r="FO50" i="57"/>
  <c r="FP50" i="57"/>
  <c r="FQ50" i="57"/>
  <c r="FR50" i="57"/>
  <c r="FS50" i="57"/>
  <c r="FT50" i="57"/>
  <c r="FU50" i="57"/>
  <c r="FV50" i="57"/>
  <c r="FW50" i="57"/>
  <c r="BD51" i="57"/>
  <c r="BF51" i="57"/>
  <c r="BG51" i="57" s="1"/>
  <c r="BG51" i="69" s="1"/>
  <c r="BI51" i="57"/>
  <c r="BJ51" i="57"/>
  <c r="BJ51" i="69" s="1"/>
  <c r="BL51" i="57"/>
  <c r="BM51" i="57" s="1"/>
  <c r="BM51" i="69" s="1"/>
  <c r="BO51" i="57"/>
  <c r="BP51" i="57"/>
  <c r="BP51" i="69" s="1"/>
  <c r="BR51" i="57"/>
  <c r="BS51" i="57" s="1"/>
  <c r="BS51" i="69" s="1"/>
  <c r="BU51" i="57"/>
  <c r="BV51" i="57"/>
  <c r="BV51" i="69" s="1"/>
  <c r="BX51" i="57"/>
  <c r="BY51" i="57" s="1"/>
  <c r="BY51" i="69" s="1"/>
  <c r="CA51" i="57"/>
  <c r="CB51" i="57"/>
  <c r="CB51" i="69" s="1"/>
  <c r="CD51" i="57"/>
  <c r="CE51" i="57" s="1"/>
  <c r="CE51" i="69" s="1"/>
  <c r="CG51" i="57"/>
  <c r="CH51" i="57"/>
  <c r="CH51" i="69" s="1"/>
  <c r="CJ51" i="57"/>
  <c r="CK51" i="57" s="1"/>
  <c r="CK51" i="69" s="1"/>
  <c r="CM51" i="57"/>
  <c r="CN51" i="57"/>
  <c r="CN51" i="69" s="1"/>
  <c r="CP51" i="57"/>
  <c r="CQ51" i="57" s="1"/>
  <c r="CQ51" i="69" s="1"/>
  <c r="CS51" i="57"/>
  <c r="CT51" i="57"/>
  <c r="CT51" i="69" s="1"/>
  <c r="CV51" i="57"/>
  <c r="CW51" i="57" s="1"/>
  <c r="CW51" i="69" s="1"/>
  <c r="CY51" i="57"/>
  <c r="CZ51" i="57"/>
  <c r="CZ51" i="69" s="1"/>
  <c r="DB51" i="57"/>
  <c r="DC51" i="57" s="1"/>
  <c r="DC51" i="69" s="1"/>
  <c r="DE51" i="57"/>
  <c r="DF51" i="57"/>
  <c r="DF51" i="69" s="1"/>
  <c r="DH51" i="57"/>
  <c r="DI51" i="57" s="1"/>
  <c r="DI51" i="69" s="1"/>
  <c r="DK51" i="57"/>
  <c r="DL51" i="57"/>
  <c r="DL51" i="69" s="1"/>
  <c r="DN51" i="57"/>
  <c r="DO51" i="57" s="1"/>
  <c r="DO51" i="69" s="1"/>
  <c r="DQ51" i="57"/>
  <c r="DR51" i="57"/>
  <c r="DR51" i="69" s="1"/>
  <c r="DT51" i="57"/>
  <c r="DU51" i="57" s="1"/>
  <c r="DU51" i="69" s="1"/>
  <c r="DW51" i="57"/>
  <c r="DX51" i="57"/>
  <c r="DX51" i="69" s="1"/>
  <c r="DZ51" i="57"/>
  <c r="EC51" i="57"/>
  <c r="EF51" i="57"/>
  <c r="EI51" i="57"/>
  <c r="EL51" i="57"/>
  <c r="EO51" i="57"/>
  <c r="EP51" i="57"/>
  <c r="EP51" i="69" s="1"/>
  <c r="ER51" i="57"/>
  <c r="EW51" i="57"/>
  <c r="EX51" i="57"/>
  <c r="EY51" i="57"/>
  <c r="FG51" i="57"/>
  <c r="FH51" i="57"/>
  <c r="FI51" i="57"/>
  <c r="FJ51" i="57"/>
  <c r="FK51" i="57"/>
  <c r="FL51" i="57"/>
  <c r="FM51" i="57"/>
  <c r="FN51" i="57"/>
  <c r="FO51" i="57"/>
  <c r="FP51" i="57"/>
  <c r="FQ51" i="57"/>
  <c r="FR51" i="57"/>
  <c r="FS51" i="57"/>
  <c r="FT51" i="57"/>
  <c r="FU51" i="57"/>
  <c r="FV51" i="57"/>
  <c r="FW51" i="57"/>
  <c r="BD52" i="57"/>
  <c r="BF52" i="57"/>
  <c r="BG52" i="57"/>
  <c r="BG52" i="69" s="1"/>
  <c r="BI52" i="57"/>
  <c r="BJ52" i="57"/>
  <c r="BJ52" i="69" s="1"/>
  <c r="BL52" i="57"/>
  <c r="BM52" i="57"/>
  <c r="BM52" i="69" s="1"/>
  <c r="BO52" i="57"/>
  <c r="BP52" i="57"/>
  <c r="BP52" i="69" s="1"/>
  <c r="BR52" i="57"/>
  <c r="BS52" i="57"/>
  <c r="BS52" i="69" s="1"/>
  <c r="BU52" i="57"/>
  <c r="BV52" i="57"/>
  <c r="BV52" i="69" s="1"/>
  <c r="BX52" i="57"/>
  <c r="BY52" i="57"/>
  <c r="BY52" i="69" s="1"/>
  <c r="CA52" i="57"/>
  <c r="CB52" i="57"/>
  <c r="CB52" i="69" s="1"/>
  <c r="CD52" i="57"/>
  <c r="CE52" i="57"/>
  <c r="CE52" i="69" s="1"/>
  <c r="CG52" i="57"/>
  <c r="CH52" i="57"/>
  <c r="CH52" i="69" s="1"/>
  <c r="CJ52" i="57"/>
  <c r="CK52" i="57"/>
  <c r="CK52" i="69" s="1"/>
  <c r="CM52" i="57"/>
  <c r="CN52" i="57"/>
  <c r="CN52" i="69" s="1"/>
  <c r="CP52" i="57"/>
  <c r="CQ52" i="57"/>
  <c r="CQ52" i="69" s="1"/>
  <c r="CS52" i="57"/>
  <c r="CT52" i="57"/>
  <c r="CT52" i="69" s="1"/>
  <c r="CV52" i="57"/>
  <c r="CW52" i="57"/>
  <c r="CW52" i="69" s="1"/>
  <c r="CY52" i="57"/>
  <c r="CZ52" i="57"/>
  <c r="CZ52" i="69" s="1"/>
  <c r="DB52" i="57"/>
  <c r="DC52" i="57"/>
  <c r="DC52" i="69" s="1"/>
  <c r="DE52" i="57"/>
  <c r="DF52" i="57"/>
  <c r="DF52" i="69" s="1"/>
  <c r="DH52" i="57"/>
  <c r="DI52" i="57"/>
  <c r="DI52" i="69" s="1"/>
  <c r="DK52" i="57"/>
  <c r="DL52" i="57"/>
  <c r="DL52" i="69" s="1"/>
  <c r="DN52" i="57"/>
  <c r="DO52" i="57"/>
  <c r="DO52" i="69" s="1"/>
  <c r="DQ52" i="57"/>
  <c r="DR52" i="57"/>
  <c r="DR52" i="69" s="1"/>
  <c r="DT52" i="57"/>
  <c r="DU52" i="57"/>
  <c r="DU52" i="69" s="1"/>
  <c r="DW52" i="57"/>
  <c r="DX52" i="57"/>
  <c r="DX52" i="69" s="1"/>
  <c r="DZ52" i="57"/>
  <c r="EC52" i="57"/>
  <c r="EF52" i="57"/>
  <c r="EI52" i="57"/>
  <c r="EL52" i="57"/>
  <c r="EO52" i="57"/>
  <c r="EP52" i="57"/>
  <c r="EP52" i="69" s="1"/>
  <c r="ER52" i="57"/>
  <c r="EW52" i="57"/>
  <c r="EX52" i="57"/>
  <c r="EY52" i="57"/>
  <c r="FG52" i="57"/>
  <c r="FH52" i="57"/>
  <c r="FI52" i="57"/>
  <c r="FJ52" i="57"/>
  <c r="FK52" i="57"/>
  <c r="FL52" i="57"/>
  <c r="FM52" i="57"/>
  <c r="FN52" i="57"/>
  <c r="FO52" i="57"/>
  <c r="FP52" i="57"/>
  <c r="FQ52" i="57"/>
  <c r="FR52" i="57"/>
  <c r="FS52" i="57"/>
  <c r="FT52" i="57"/>
  <c r="FU52" i="57"/>
  <c r="FV52" i="57"/>
  <c r="FW52" i="57"/>
  <c r="BD53" i="57"/>
  <c r="BF53" i="57"/>
  <c r="BG53" i="57"/>
  <c r="BG53" i="69" s="1"/>
  <c r="BI53" i="57"/>
  <c r="BJ53" i="57" s="1"/>
  <c r="BJ53" i="69" s="1"/>
  <c r="BL53" i="57"/>
  <c r="BM53" i="57" s="1"/>
  <c r="BM53" i="69" s="1"/>
  <c r="BO53" i="57"/>
  <c r="BP53" i="57" s="1"/>
  <c r="BP53" i="69" s="1"/>
  <c r="BR53" i="57"/>
  <c r="BS53" i="57" s="1"/>
  <c r="BS53" i="69" s="1"/>
  <c r="BU53" i="57"/>
  <c r="BV53" i="57" s="1"/>
  <c r="BV53" i="69" s="1"/>
  <c r="BX53" i="57"/>
  <c r="BY53" i="57"/>
  <c r="BY53" i="69" s="1"/>
  <c r="CA53" i="57"/>
  <c r="CB53" i="57" s="1"/>
  <c r="CB53" i="69" s="1"/>
  <c r="CD53" i="57"/>
  <c r="CE53" i="57"/>
  <c r="CE53" i="69" s="1"/>
  <c r="CG53" i="57"/>
  <c r="CH53" i="57" s="1"/>
  <c r="CH53" i="69" s="1"/>
  <c r="CJ53" i="57"/>
  <c r="CK53" i="57" s="1"/>
  <c r="CK53" i="69" s="1"/>
  <c r="CM53" i="57"/>
  <c r="CN53" i="57" s="1"/>
  <c r="CN53" i="69" s="1"/>
  <c r="CP53" i="57"/>
  <c r="CQ53" i="57" s="1"/>
  <c r="CQ53" i="69" s="1"/>
  <c r="CS53" i="57"/>
  <c r="CT53" i="57" s="1"/>
  <c r="CT53" i="69" s="1"/>
  <c r="CV53" i="57"/>
  <c r="CW53" i="57"/>
  <c r="CW53" i="69" s="1"/>
  <c r="CY53" i="57"/>
  <c r="CZ53" i="57" s="1"/>
  <c r="CZ53" i="69" s="1"/>
  <c r="DB53" i="57"/>
  <c r="DC53" i="57"/>
  <c r="DC53" i="69" s="1"/>
  <c r="DE53" i="57"/>
  <c r="DF53" i="57" s="1"/>
  <c r="DF53" i="69" s="1"/>
  <c r="DH53" i="57"/>
  <c r="DI53" i="57" s="1"/>
  <c r="DI53" i="69" s="1"/>
  <c r="DK53" i="57"/>
  <c r="DL53" i="57" s="1"/>
  <c r="DL53" i="69" s="1"/>
  <c r="DN53" i="57"/>
  <c r="DO53" i="57" s="1"/>
  <c r="DO53" i="69" s="1"/>
  <c r="DQ53" i="57"/>
  <c r="DR53" i="57" s="1"/>
  <c r="DR53" i="69" s="1"/>
  <c r="DT53" i="57"/>
  <c r="DU53" i="57"/>
  <c r="DU53" i="69" s="1"/>
  <c r="DW53" i="57"/>
  <c r="DX53" i="57" s="1"/>
  <c r="DX53" i="69" s="1"/>
  <c r="DZ53" i="57"/>
  <c r="EC53" i="57"/>
  <c r="EF53" i="57"/>
  <c r="EI53" i="57"/>
  <c r="EL53" i="57"/>
  <c r="EO53" i="57"/>
  <c r="EP53" i="57"/>
  <c r="EP53" i="69" s="1"/>
  <c r="ER53" i="57"/>
  <c r="EW53" i="57"/>
  <c r="EX53" i="57"/>
  <c r="EY53" i="57"/>
  <c r="FG53" i="57"/>
  <c r="FH53" i="57"/>
  <c r="FI53" i="57"/>
  <c r="FJ53" i="57"/>
  <c r="FK53" i="57"/>
  <c r="FL53" i="57"/>
  <c r="FM53" i="57"/>
  <c r="FN53" i="57"/>
  <c r="FO53" i="57"/>
  <c r="FP53" i="57"/>
  <c r="FQ53" i="57"/>
  <c r="FR53" i="57"/>
  <c r="FS53" i="57"/>
  <c r="FT53" i="57"/>
  <c r="FU53" i="57"/>
  <c r="FV53" i="57"/>
  <c r="FW53" i="57"/>
  <c r="BD54" i="57"/>
  <c r="BF54" i="57"/>
  <c r="BG54" i="57"/>
  <c r="BG54" i="69" s="1"/>
  <c r="BI54" i="57"/>
  <c r="BJ54" i="57"/>
  <c r="BJ54" i="69" s="1"/>
  <c r="BL54" i="57"/>
  <c r="BM54" i="57"/>
  <c r="BM54" i="69" s="1"/>
  <c r="BO54" i="57"/>
  <c r="BP54" i="57"/>
  <c r="BP54" i="69" s="1"/>
  <c r="BR54" i="57"/>
  <c r="BS54" i="57"/>
  <c r="BS54" i="69" s="1"/>
  <c r="BU54" i="57"/>
  <c r="BV54" i="57"/>
  <c r="BV54" i="69" s="1"/>
  <c r="BX54" i="57"/>
  <c r="BY54" i="57"/>
  <c r="BY54" i="69" s="1"/>
  <c r="CA54" i="57"/>
  <c r="CB54" i="57"/>
  <c r="CB54" i="69" s="1"/>
  <c r="CD54" i="57"/>
  <c r="CE54" i="57"/>
  <c r="CE54" i="69" s="1"/>
  <c r="CG54" i="57"/>
  <c r="CH54" i="57"/>
  <c r="CH54" i="69" s="1"/>
  <c r="CJ54" i="57"/>
  <c r="CK54" i="57"/>
  <c r="CK54" i="69" s="1"/>
  <c r="CM54" i="57"/>
  <c r="CN54" i="57"/>
  <c r="CN54" i="69" s="1"/>
  <c r="CP54" i="57"/>
  <c r="CQ54" i="57"/>
  <c r="CQ54" i="69" s="1"/>
  <c r="CS54" i="57"/>
  <c r="CT54" i="57"/>
  <c r="CT54" i="69" s="1"/>
  <c r="CV54" i="57"/>
  <c r="CW54" i="57"/>
  <c r="CW54" i="69" s="1"/>
  <c r="CY54" i="57"/>
  <c r="CZ54" i="57"/>
  <c r="CZ54" i="69" s="1"/>
  <c r="DB54" i="57"/>
  <c r="DC54" i="57"/>
  <c r="DC54" i="69" s="1"/>
  <c r="DE54" i="57"/>
  <c r="DF54" i="57"/>
  <c r="DF54" i="69" s="1"/>
  <c r="DH54" i="57"/>
  <c r="DI54" i="57"/>
  <c r="DI54" i="69" s="1"/>
  <c r="DK54" i="57"/>
  <c r="DL54" i="57"/>
  <c r="DL54" i="69" s="1"/>
  <c r="DN54" i="57"/>
  <c r="DO54" i="57"/>
  <c r="DO54" i="69" s="1"/>
  <c r="DQ54" i="57"/>
  <c r="DR54" i="57"/>
  <c r="DR54" i="69" s="1"/>
  <c r="DT54" i="57"/>
  <c r="DU54" i="57"/>
  <c r="DU54" i="69" s="1"/>
  <c r="DW54" i="57"/>
  <c r="DX54" i="57"/>
  <c r="DX54" i="69" s="1"/>
  <c r="DZ54" i="57"/>
  <c r="EC54" i="57"/>
  <c r="EF54" i="57"/>
  <c r="EI54" i="57"/>
  <c r="EL54" i="57"/>
  <c r="EO54" i="57"/>
  <c r="EP54" i="57" s="1"/>
  <c r="EP54" i="69" s="1"/>
  <c r="ER54" i="57"/>
  <c r="EW54" i="57"/>
  <c r="EX54" i="57"/>
  <c r="EY54" i="57"/>
  <c r="FG54" i="57"/>
  <c r="FH54" i="57"/>
  <c r="FI54" i="57"/>
  <c r="FJ54" i="57"/>
  <c r="FK54" i="57"/>
  <c r="FL54" i="57"/>
  <c r="FM54" i="57"/>
  <c r="FN54" i="57"/>
  <c r="FO54" i="57"/>
  <c r="FP54" i="57"/>
  <c r="FQ54" i="57"/>
  <c r="FR54" i="57"/>
  <c r="FS54" i="57"/>
  <c r="FT54" i="57"/>
  <c r="FU54" i="57"/>
  <c r="FV54" i="57"/>
  <c r="FW54" i="57"/>
  <c r="BD55" i="57"/>
  <c r="BF55" i="57"/>
  <c r="BG55" i="57" s="1"/>
  <c r="BG55" i="69" s="1"/>
  <c r="BI55" i="57"/>
  <c r="BJ55" i="57" s="1"/>
  <c r="BJ55" i="69" s="1"/>
  <c r="BL55" i="57"/>
  <c r="BM55" i="57" s="1"/>
  <c r="BM55" i="69" s="1"/>
  <c r="BO55" i="57"/>
  <c r="BP55" i="57"/>
  <c r="BP55" i="69" s="1"/>
  <c r="BR55" i="57"/>
  <c r="BS55" i="57" s="1"/>
  <c r="BS55" i="69" s="1"/>
  <c r="BU55" i="57"/>
  <c r="BV55" i="57"/>
  <c r="BV55" i="69" s="1"/>
  <c r="BX55" i="57"/>
  <c r="BY55" i="57" s="1"/>
  <c r="BY55" i="69" s="1"/>
  <c r="CA55" i="57"/>
  <c r="CB55" i="57" s="1"/>
  <c r="CB55" i="69" s="1"/>
  <c r="CD55" i="57"/>
  <c r="CE55" i="57" s="1"/>
  <c r="CE55" i="69" s="1"/>
  <c r="CG55" i="57"/>
  <c r="CH55" i="57" s="1"/>
  <c r="CH55" i="69" s="1"/>
  <c r="CJ55" i="57"/>
  <c r="CK55" i="57" s="1"/>
  <c r="CK55" i="69" s="1"/>
  <c r="CM55" i="57"/>
  <c r="CN55" i="57"/>
  <c r="CN55" i="69" s="1"/>
  <c r="CP55" i="57"/>
  <c r="CQ55" i="57" s="1"/>
  <c r="CQ55" i="69" s="1"/>
  <c r="CS55" i="57"/>
  <c r="CT55" i="57"/>
  <c r="CT55" i="69" s="1"/>
  <c r="CV55" i="57"/>
  <c r="CW55" i="57" s="1"/>
  <c r="CW55" i="69" s="1"/>
  <c r="CY55" i="57"/>
  <c r="CZ55" i="57" s="1"/>
  <c r="CZ55" i="69" s="1"/>
  <c r="DB55" i="57"/>
  <c r="DC55" i="57" s="1"/>
  <c r="DC55" i="69" s="1"/>
  <c r="DE55" i="57"/>
  <c r="DF55" i="57" s="1"/>
  <c r="DF55" i="69" s="1"/>
  <c r="DH55" i="57"/>
  <c r="DI55" i="57" s="1"/>
  <c r="DI55" i="69" s="1"/>
  <c r="DK55" i="57"/>
  <c r="DL55" i="57"/>
  <c r="DL55" i="69" s="1"/>
  <c r="DN55" i="57"/>
  <c r="DO55" i="57" s="1"/>
  <c r="DO55" i="69" s="1"/>
  <c r="DQ55" i="57"/>
  <c r="DR55" i="57"/>
  <c r="DR55" i="69" s="1"/>
  <c r="DT55" i="57"/>
  <c r="DU55" i="57" s="1"/>
  <c r="DU55" i="69" s="1"/>
  <c r="DW55" i="57"/>
  <c r="DX55" i="57" s="1"/>
  <c r="DX55" i="69" s="1"/>
  <c r="DZ55" i="57"/>
  <c r="EC55" i="57"/>
  <c r="EF55" i="57"/>
  <c r="EI55" i="57"/>
  <c r="EL55" i="57"/>
  <c r="EO55" i="57"/>
  <c r="EP55" i="57"/>
  <c r="EP55" i="69" s="1"/>
  <c r="ER55" i="57"/>
  <c r="EW55" i="57"/>
  <c r="EX55" i="57"/>
  <c r="EY55" i="57"/>
  <c r="FG55" i="57"/>
  <c r="FH55" i="57"/>
  <c r="FI55" i="57"/>
  <c r="FJ55" i="57"/>
  <c r="FK55" i="57"/>
  <c r="FL55" i="57"/>
  <c r="FM55" i="57"/>
  <c r="FN55" i="57"/>
  <c r="FO55" i="57"/>
  <c r="FP55" i="57"/>
  <c r="FQ55" i="57"/>
  <c r="FR55" i="57"/>
  <c r="FS55" i="57"/>
  <c r="FT55" i="57"/>
  <c r="FU55" i="57"/>
  <c r="FV55" i="57"/>
  <c r="FW55" i="57"/>
  <c r="BD56" i="57"/>
  <c r="BF56" i="57"/>
  <c r="BG56" i="57"/>
  <c r="BG56" i="69" s="1"/>
  <c r="BI56" i="57"/>
  <c r="BJ56" i="57"/>
  <c r="BJ56" i="69" s="1"/>
  <c r="BL56" i="57"/>
  <c r="BM56" i="57"/>
  <c r="BM56" i="69" s="1"/>
  <c r="BO56" i="57"/>
  <c r="BP56" i="57"/>
  <c r="BP56" i="69" s="1"/>
  <c r="BR56" i="57"/>
  <c r="BS56" i="57"/>
  <c r="BS56" i="69" s="1"/>
  <c r="BU56" i="57"/>
  <c r="BV56" i="57"/>
  <c r="BV56" i="69" s="1"/>
  <c r="BX56" i="57"/>
  <c r="BY56" i="57"/>
  <c r="BY56" i="69" s="1"/>
  <c r="CA56" i="57"/>
  <c r="CB56" i="57"/>
  <c r="CB56" i="69" s="1"/>
  <c r="CD56" i="57"/>
  <c r="CE56" i="57"/>
  <c r="CE56" i="69" s="1"/>
  <c r="CG56" i="57"/>
  <c r="CH56" i="57"/>
  <c r="CH56" i="69" s="1"/>
  <c r="CJ56" i="57"/>
  <c r="CK56" i="57"/>
  <c r="CK56" i="69" s="1"/>
  <c r="CM56" i="57"/>
  <c r="CN56" i="57"/>
  <c r="CN56" i="69" s="1"/>
  <c r="CP56" i="57"/>
  <c r="CQ56" i="57"/>
  <c r="CQ56" i="69" s="1"/>
  <c r="CS56" i="57"/>
  <c r="CT56" i="57"/>
  <c r="CT56" i="69" s="1"/>
  <c r="CV56" i="57"/>
  <c r="CW56" i="57"/>
  <c r="CW56" i="69" s="1"/>
  <c r="CY56" i="57"/>
  <c r="CZ56" i="57"/>
  <c r="CZ56" i="69" s="1"/>
  <c r="DB56" i="57"/>
  <c r="DC56" i="57"/>
  <c r="DC56" i="69" s="1"/>
  <c r="DE56" i="57"/>
  <c r="DF56" i="57"/>
  <c r="DF56" i="69" s="1"/>
  <c r="DH56" i="57"/>
  <c r="DI56" i="57"/>
  <c r="DI56" i="69" s="1"/>
  <c r="DK56" i="57"/>
  <c r="DL56" i="57"/>
  <c r="DL56" i="69" s="1"/>
  <c r="DN56" i="57"/>
  <c r="DO56" i="57"/>
  <c r="DO56" i="69" s="1"/>
  <c r="DQ56" i="57"/>
  <c r="DR56" i="57"/>
  <c r="DR56" i="69" s="1"/>
  <c r="DT56" i="57"/>
  <c r="DU56" i="57"/>
  <c r="DU56" i="69" s="1"/>
  <c r="DW56" i="57"/>
  <c r="DX56" i="57"/>
  <c r="DX56" i="69" s="1"/>
  <c r="DZ56" i="57"/>
  <c r="EC56" i="57"/>
  <c r="EF56" i="57"/>
  <c r="EI56" i="57"/>
  <c r="EL56" i="57"/>
  <c r="EO56" i="57"/>
  <c r="EP56" i="57" s="1"/>
  <c r="EP56" i="69" s="1"/>
  <c r="ER56" i="57"/>
  <c r="EW56" i="57"/>
  <c r="EX56" i="57"/>
  <c r="EY56" i="57"/>
  <c r="FG56" i="57"/>
  <c r="FH56" i="57"/>
  <c r="FI56" i="57"/>
  <c r="FJ56" i="57"/>
  <c r="FK56" i="57"/>
  <c r="FL56" i="57"/>
  <c r="FM56" i="57"/>
  <c r="FN56" i="57"/>
  <c r="FO56" i="57"/>
  <c r="FP56" i="57"/>
  <c r="FQ56" i="57"/>
  <c r="FR56" i="57"/>
  <c r="FS56" i="57"/>
  <c r="FT56" i="57"/>
  <c r="FU56" i="57"/>
  <c r="FV56" i="57"/>
  <c r="FW56" i="57"/>
  <c r="BD57" i="57"/>
  <c r="BF57" i="57"/>
  <c r="BG57" i="57" s="1"/>
  <c r="BG57" i="69" s="1"/>
  <c r="BI57" i="57"/>
  <c r="BJ57" i="57" s="1"/>
  <c r="BJ57" i="69" s="1"/>
  <c r="BL57" i="57"/>
  <c r="BM57" i="57" s="1"/>
  <c r="BM57" i="69" s="1"/>
  <c r="BO57" i="57"/>
  <c r="BP57" i="57" s="1"/>
  <c r="BP57" i="69" s="1"/>
  <c r="BR57" i="57"/>
  <c r="BS57" i="57"/>
  <c r="BS57" i="69" s="1"/>
  <c r="BU57" i="57"/>
  <c r="BV57" i="57" s="1"/>
  <c r="BV57" i="69" s="1"/>
  <c r="BX57" i="57"/>
  <c r="BY57" i="57"/>
  <c r="BY57" i="69" s="1"/>
  <c r="CA57" i="57"/>
  <c r="CB57" i="57" s="1"/>
  <c r="CB57" i="69" s="1"/>
  <c r="CD57" i="57"/>
  <c r="CE57" i="57" s="1"/>
  <c r="CE57" i="69" s="1"/>
  <c r="CG57" i="57"/>
  <c r="CH57" i="57" s="1"/>
  <c r="CH57" i="69" s="1"/>
  <c r="CJ57" i="57"/>
  <c r="CK57" i="57" s="1"/>
  <c r="CK57" i="69" s="1"/>
  <c r="CM57" i="57"/>
  <c r="CN57" i="57" s="1"/>
  <c r="CN57" i="69" s="1"/>
  <c r="CP57" i="57"/>
  <c r="CQ57" i="57"/>
  <c r="CQ57" i="69" s="1"/>
  <c r="CS57" i="57"/>
  <c r="CT57" i="57" s="1"/>
  <c r="CT57" i="69" s="1"/>
  <c r="CV57" i="57"/>
  <c r="CW57" i="57"/>
  <c r="CW57" i="69" s="1"/>
  <c r="CY57" i="57"/>
  <c r="CZ57" i="57" s="1"/>
  <c r="CZ57" i="69" s="1"/>
  <c r="DB57" i="57"/>
  <c r="DC57" i="57" s="1"/>
  <c r="DC57" i="69" s="1"/>
  <c r="DE57" i="57"/>
  <c r="DF57" i="57" s="1"/>
  <c r="DF57" i="69" s="1"/>
  <c r="DH57" i="57"/>
  <c r="DI57" i="57" s="1"/>
  <c r="DI57" i="69" s="1"/>
  <c r="DK57" i="57"/>
  <c r="DL57" i="57" s="1"/>
  <c r="DL57" i="69" s="1"/>
  <c r="DN57" i="57"/>
  <c r="DO57" i="57"/>
  <c r="DO57" i="69" s="1"/>
  <c r="DQ57" i="57"/>
  <c r="DR57" i="57" s="1"/>
  <c r="DR57" i="69" s="1"/>
  <c r="DT57" i="57"/>
  <c r="DU57" i="57"/>
  <c r="DU57" i="69" s="1"/>
  <c r="DW57" i="57"/>
  <c r="DX57" i="57" s="1"/>
  <c r="DX57" i="69" s="1"/>
  <c r="DZ57" i="57"/>
  <c r="EC57" i="57"/>
  <c r="EF57" i="57"/>
  <c r="EI57" i="57"/>
  <c r="EL57" i="57"/>
  <c r="EO57" i="57"/>
  <c r="EP57" i="57"/>
  <c r="EP57" i="69" s="1"/>
  <c r="ER57" i="57"/>
  <c r="EW57" i="57"/>
  <c r="EX57" i="57"/>
  <c r="EY57" i="57"/>
  <c r="FG57" i="57"/>
  <c r="FH57" i="57"/>
  <c r="FI57" i="57"/>
  <c r="FJ57" i="57"/>
  <c r="FK57" i="57"/>
  <c r="FL57" i="57"/>
  <c r="FM57" i="57"/>
  <c r="FN57" i="57"/>
  <c r="FO57" i="57"/>
  <c r="FP57" i="57"/>
  <c r="FQ57" i="57"/>
  <c r="FR57" i="57"/>
  <c r="FS57" i="57"/>
  <c r="FT57" i="57"/>
  <c r="FU57" i="57"/>
  <c r="FV57" i="57"/>
  <c r="FW57" i="57"/>
  <c r="BD58" i="57"/>
  <c r="BF58" i="57"/>
  <c r="BG58" i="57"/>
  <c r="BG58" i="69" s="1"/>
  <c r="BI58" i="57"/>
  <c r="BJ58" i="57"/>
  <c r="BJ58" i="69" s="1"/>
  <c r="BL58" i="57"/>
  <c r="BM58" i="57"/>
  <c r="BM58" i="69" s="1"/>
  <c r="BO58" i="57"/>
  <c r="BP58" i="57"/>
  <c r="BP58" i="69" s="1"/>
  <c r="BR58" i="57"/>
  <c r="BS58" i="57"/>
  <c r="BS58" i="69" s="1"/>
  <c r="BU58" i="57"/>
  <c r="BV58" i="57"/>
  <c r="BV58" i="69" s="1"/>
  <c r="BX58" i="57"/>
  <c r="BY58" i="57"/>
  <c r="BY58" i="69" s="1"/>
  <c r="CA58" i="57"/>
  <c r="CB58" i="57"/>
  <c r="CB58" i="69" s="1"/>
  <c r="CD58" i="57"/>
  <c r="CE58" i="57"/>
  <c r="CE58" i="69" s="1"/>
  <c r="CG58" i="57"/>
  <c r="CH58" i="57"/>
  <c r="CH58" i="69" s="1"/>
  <c r="CJ58" i="57"/>
  <c r="CK58" i="57"/>
  <c r="CK58" i="69" s="1"/>
  <c r="CM58" i="57"/>
  <c r="CN58" i="57"/>
  <c r="CN58" i="69" s="1"/>
  <c r="CP58" i="57"/>
  <c r="CQ58" i="57"/>
  <c r="CQ58" i="69" s="1"/>
  <c r="CS58" i="57"/>
  <c r="CT58" i="57"/>
  <c r="CT58" i="69" s="1"/>
  <c r="CV58" i="57"/>
  <c r="CW58" i="57"/>
  <c r="CW58" i="69" s="1"/>
  <c r="CY58" i="57"/>
  <c r="CZ58" i="57"/>
  <c r="CZ58" i="69" s="1"/>
  <c r="DB58" i="57"/>
  <c r="DC58" i="57"/>
  <c r="DC58" i="69" s="1"/>
  <c r="DE58" i="57"/>
  <c r="DF58" i="57"/>
  <c r="DF58" i="69" s="1"/>
  <c r="DH58" i="57"/>
  <c r="DI58" i="57"/>
  <c r="DI58" i="69" s="1"/>
  <c r="DK58" i="57"/>
  <c r="DL58" i="57"/>
  <c r="DL58" i="69" s="1"/>
  <c r="DN58" i="57"/>
  <c r="DO58" i="57"/>
  <c r="DO58" i="69" s="1"/>
  <c r="DQ58" i="57"/>
  <c r="DR58" i="57"/>
  <c r="DR58" i="69" s="1"/>
  <c r="DT58" i="57"/>
  <c r="DU58" i="57"/>
  <c r="DU58" i="69" s="1"/>
  <c r="DW58" i="57"/>
  <c r="DX58" i="57"/>
  <c r="DX58" i="69" s="1"/>
  <c r="DZ58" i="57"/>
  <c r="EC58" i="57"/>
  <c r="EF58" i="57"/>
  <c r="EI58" i="57"/>
  <c r="EL58" i="57"/>
  <c r="EO58" i="57"/>
  <c r="EP58" i="57" s="1"/>
  <c r="EP58" i="69" s="1"/>
  <c r="ER58" i="57"/>
  <c r="EW58" i="57"/>
  <c r="EX58" i="57"/>
  <c r="EY58" i="57"/>
  <c r="FG58" i="57"/>
  <c r="FH58" i="57"/>
  <c r="FI58" i="57"/>
  <c r="FJ58" i="57"/>
  <c r="FK58" i="57"/>
  <c r="FL58" i="57"/>
  <c r="FM58" i="57"/>
  <c r="FN58" i="57"/>
  <c r="FO58" i="57"/>
  <c r="FP58" i="57"/>
  <c r="FQ58" i="57"/>
  <c r="FR58" i="57"/>
  <c r="FS58" i="57"/>
  <c r="FT58" i="57"/>
  <c r="FU58" i="57"/>
  <c r="FV58" i="57"/>
  <c r="FW58" i="57"/>
  <c r="BD59" i="57"/>
  <c r="BF59" i="57"/>
  <c r="BG59" i="57" s="1"/>
  <c r="BG59" i="69" s="1"/>
  <c r="BI59" i="57"/>
  <c r="BJ59" i="57"/>
  <c r="BJ59" i="69" s="1"/>
  <c r="BL59" i="57"/>
  <c r="BM59" i="57" s="1"/>
  <c r="BM59" i="69" s="1"/>
  <c r="BO59" i="57"/>
  <c r="BP59" i="57"/>
  <c r="BP59" i="69" s="1"/>
  <c r="BR59" i="57"/>
  <c r="BS59" i="57" s="1"/>
  <c r="BS59" i="69" s="1"/>
  <c r="BU59" i="57"/>
  <c r="BV59" i="57" s="1"/>
  <c r="BV59" i="69" s="1"/>
  <c r="BX59" i="57"/>
  <c r="BY59" i="57" s="1"/>
  <c r="BY59" i="69" s="1"/>
  <c r="CA59" i="57"/>
  <c r="CB59" i="57" s="1"/>
  <c r="CB59" i="69" s="1"/>
  <c r="CD59" i="57"/>
  <c r="CE59" i="57" s="1"/>
  <c r="CE59" i="69" s="1"/>
  <c r="CG59" i="57"/>
  <c r="CH59" i="57"/>
  <c r="CH59" i="69" s="1"/>
  <c r="CJ59" i="57"/>
  <c r="CK59" i="57" s="1"/>
  <c r="CK59" i="69" s="1"/>
  <c r="CM59" i="57"/>
  <c r="CN59" i="57"/>
  <c r="CN59" i="69" s="1"/>
  <c r="CP59" i="57"/>
  <c r="CQ59" i="57" s="1"/>
  <c r="CQ59" i="69" s="1"/>
  <c r="CS59" i="57"/>
  <c r="CT59" i="57" s="1"/>
  <c r="CT59" i="69" s="1"/>
  <c r="CV59" i="57"/>
  <c r="CW59" i="57" s="1"/>
  <c r="CW59" i="69" s="1"/>
  <c r="CY59" i="57"/>
  <c r="CZ59" i="57" s="1"/>
  <c r="CZ59" i="69" s="1"/>
  <c r="DB59" i="57"/>
  <c r="DC59" i="57" s="1"/>
  <c r="DC59" i="69" s="1"/>
  <c r="DE59" i="57"/>
  <c r="DF59" i="57"/>
  <c r="DF59" i="69" s="1"/>
  <c r="DH59" i="57"/>
  <c r="DI59" i="57" s="1"/>
  <c r="DI59" i="69" s="1"/>
  <c r="DK59" i="57"/>
  <c r="DL59" i="57"/>
  <c r="DL59" i="69" s="1"/>
  <c r="DN59" i="57"/>
  <c r="DO59" i="57" s="1"/>
  <c r="DO59" i="69" s="1"/>
  <c r="DQ59" i="57"/>
  <c r="DR59" i="57" s="1"/>
  <c r="DR59" i="69" s="1"/>
  <c r="DT59" i="57"/>
  <c r="DU59" i="57" s="1"/>
  <c r="DU59" i="69" s="1"/>
  <c r="DW59" i="57"/>
  <c r="DX59" i="57" s="1"/>
  <c r="DX59" i="69" s="1"/>
  <c r="DZ59" i="57"/>
  <c r="EC59" i="57"/>
  <c r="EF59" i="57"/>
  <c r="EI59" i="57"/>
  <c r="EL59" i="57"/>
  <c r="EO59" i="57"/>
  <c r="EP59" i="57"/>
  <c r="EP59" i="69" s="1"/>
  <c r="ER59" i="57"/>
  <c r="EW59" i="57"/>
  <c r="EX59" i="57"/>
  <c r="EY59" i="57"/>
  <c r="FG59" i="57"/>
  <c r="FH59" i="57"/>
  <c r="FI59" i="57"/>
  <c r="FJ59" i="57"/>
  <c r="FK59" i="57"/>
  <c r="FL59" i="57"/>
  <c r="FM59" i="57"/>
  <c r="FN59" i="57"/>
  <c r="FO59" i="57"/>
  <c r="FP59" i="57"/>
  <c r="FQ59" i="57"/>
  <c r="FR59" i="57"/>
  <c r="FS59" i="57"/>
  <c r="FT59" i="57"/>
  <c r="FU59" i="57"/>
  <c r="FV59" i="57"/>
  <c r="FW59" i="57"/>
  <c r="BD60" i="57"/>
  <c r="BF60" i="57"/>
  <c r="BG60" i="57"/>
  <c r="BG60" i="69" s="1"/>
  <c r="BI60" i="57"/>
  <c r="BJ60" i="57" s="1"/>
  <c r="BJ60" i="69" s="1"/>
  <c r="BL60" i="57"/>
  <c r="BM60" i="57"/>
  <c r="BM60" i="69" s="1"/>
  <c r="BO60" i="57"/>
  <c r="BP60" i="57" s="1"/>
  <c r="BP60" i="69" s="1"/>
  <c r="BR60" i="57"/>
  <c r="BS60" i="57"/>
  <c r="BS60" i="69" s="1"/>
  <c r="BU60" i="57"/>
  <c r="BV60" i="57" s="1"/>
  <c r="BV60" i="69" s="1"/>
  <c r="BX60" i="57"/>
  <c r="BY60" i="57"/>
  <c r="BY60" i="69" s="1"/>
  <c r="CA60" i="57"/>
  <c r="CB60" i="57" s="1"/>
  <c r="CB60" i="69" s="1"/>
  <c r="CD60" i="57"/>
  <c r="CE60" i="57"/>
  <c r="CE60" i="69" s="1"/>
  <c r="CG60" i="57"/>
  <c r="CH60" i="57" s="1"/>
  <c r="CH60" i="69" s="1"/>
  <c r="CJ60" i="57"/>
  <c r="CK60" i="57"/>
  <c r="CK60" i="69" s="1"/>
  <c r="CM60" i="57"/>
  <c r="CN60" i="57" s="1"/>
  <c r="CN60" i="69" s="1"/>
  <c r="CP60" i="57"/>
  <c r="CQ60" i="57"/>
  <c r="CQ60" i="69" s="1"/>
  <c r="CS60" i="57"/>
  <c r="CT60" i="57" s="1"/>
  <c r="CT60" i="69" s="1"/>
  <c r="CV60" i="57"/>
  <c r="CW60" i="57"/>
  <c r="CW60" i="69" s="1"/>
  <c r="CY60" i="57"/>
  <c r="CZ60" i="57" s="1"/>
  <c r="CZ60" i="69" s="1"/>
  <c r="DB60" i="57"/>
  <c r="DC60" i="57"/>
  <c r="DC60" i="69" s="1"/>
  <c r="DE60" i="57"/>
  <c r="DF60" i="57" s="1"/>
  <c r="DF60" i="69" s="1"/>
  <c r="DH60" i="57"/>
  <c r="DI60" i="57"/>
  <c r="DI60" i="69" s="1"/>
  <c r="DK60" i="57"/>
  <c r="DL60" i="57" s="1"/>
  <c r="DL60" i="69" s="1"/>
  <c r="DN60" i="57"/>
  <c r="DO60" i="57"/>
  <c r="DO60" i="69" s="1"/>
  <c r="DQ60" i="57"/>
  <c r="DR60" i="57" s="1"/>
  <c r="DR60" i="69" s="1"/>
  <c r="DT60" i="57"/>
  <c r="DU60" i="57"/>
  <c r="DU60" i="69" s="1"/>
  <c r="DW60" i="57"/>
  <c r="DX60" i="57" s="1"/>
  <c r="DX60" i="69" s="1"/>
  <c r="DZ60" i="57"/>
  <c r="EC60" i="57"/>
  <c r="EF60" i="57"/>
  <c r="EI60" i="57"/>
  <c r="EL60" i="57"/>
  <c r="EO60" i="57"/>
  <c r="EP60" i="57" s="1"/>
  <c r="EP60" i="69" s="1"/>
  <c r="ER60" i="57"/>
  <c r="EW60" i="57"/>
  <c r="EX60" i="57"/>
  <c r="EY60" i="57"/>
  <c r="FG60" i="57"/>
  <c r="FH60" i="57"/>
  <c r="FI60" i="57"/>
  <c r="FJ60" i="57"/>
  <c r="FK60" i="57"/>
  <c r="FL60" i="57"/>
  <c r="FM60" i="57"/>
  <c r="FN60" i="57"/>
  <c r="FO60" i="57"/>
  <c r="FP60" i="57"/>
  <c r="FQ60" i="57"/>
  <c r="FR60" i="57"/>
  <c r="FS60" i="57"/>
  <c r="FT60" i="57"/>
  <c r="FU60" i="57"/>
  <c r="FV60" i="57"/>
  <c r="FW60" i="57"/>
  <c r="BD61" i="57"/>
  <c r="BF61" i="57"/>
  <c r="BG61" i="57" s="1"/>
  <c r="BG61" i="69" s="1"/>
  <c r="BI61" i="57"/>
  <c r="BJ61" i="57" s="1"/>
  <c r="BJ61" i="69" s="1"/>
  <c r="BL61" i="57"/>
  <c r="BM61" i="57"/>
  <c r="BM61" i="69" s="1"/>
  <c r="BO61" i="57"/>
  <c r="BP61" i="57" s="1"/>
  <c r="BP61" i="69" s="1"/>
  <c r="BR61" i="57"/>
  <c r="BS61" i="57"/>
  <c r="BS61" i="69" s="1"/>
  <c r="BU61" i="57"/>
  <c r="BV61" i="57" s="1"/>
  <c r="BV61" i="69" s="1"/>
  <c r="BX61" i="57"/>
  <c r="BY61" i="57" s="1"/>
  <c r="BY61" i="69" s="1"/>
  <c r="CA61" i="57"/>
  <c r="CB61" i="57" s="1"/>
  <c r="CB61" i="69" s="1"/>
  <c r="CD61" i="57"/>
  <c r="CE61" i="57" s="1"/>
  <c r="CE61" i="69" s="1"/>
  <c r="CG61" i="57"/>
  <c r="CH61" i="57" s="1"/>
  <c r="CH61" i="69" s="1"/>
  <c r="CJ61" i="57"/>
  <c r="CK61" i="57"/>
  <c r="CK61" i="69" s="1"/>
  <c r="CM61" i="57"/>
  <c r="CN61" i="57" s="1"/>
  <c r="CN61" i="69" s="1"/>
  <c r="CP61" i="57"/>
  <c r="CQ61" i="57"/>
  <c r="CQ61" i="69" s="1"/>
  <c r="CS61" i="57"/>
  <c r="CT61" i="57" s="1"/>
  <c r="CT61" i="69" s="1"/>
  <c r="CV61" i="57"/>
  <c r="CW61" i="57" s="1"/>
  <c r="CW61" i="69" s="1"/>
  <c r="CY61" i="57"/>
  <c r="CZ61" i="57" s="1"/>
  <c r="CZ61" i="69" s="1"/>
  <c r="DB61" i="57"/>
  <c r="DC61" i="57" s="1"/>
  <c r="DC61" i="69" s="1"/>
  <c r="DE61" i="57"/>
  <c r="DF61" i="57" s="1"/>
  <c r="DF61" i="69" s="1"/>
  <c r="DH61" i="57"/>
  <c r="DI61" i="57"/>
  <c r="DI61" i="69" s="1"/>
  <c r="DK61" i="57"/>
  <c r="DL61" i="57" s="1"/>
  <c r="DL61" i="69" s="1"/>
  <c r="DN61" i="57"/>
  <c r="DO61" i="57"/>
  <c r="DO61" i="69" s="1"/>
  <c r="DQ61" i="57"/>
  <c r="DR61" i="57" s="1"/>
  <c r="DR61" i="69" s="1"/>
  <c r="DT61" i="57"/>
  <c r="DU61" i="57" s="1"/>
  <c r="DU61" i="69" s="1"/>
  <c r="DW61" i="57"/>
  <c r="DX61" i="57" s="1"/>
  <c r="DX61" i="69" s="1"/>
  <c r="DZ61" i="57"/>
  <c r="EC61" i="57"/>
  <c r="EF61" i="57"/>
  <c r="EI61" i="57"/>
  <c r="EL61" i="57"/>
  <c r="EO61" i="57"/>
  <c r="EP61" i="57" s="1"/>
  <c r="EP61" i="69" s="1"/>
  <c r="ER61" i="57"/>
  <c r="EW61" i="57"/>
  <c r="EX61" i="57"/>
  <c r="EY61" i="57"/>
  <c r="FG61" i="57"/>
  <c r="FH61" i="57"/>
  <c r="FI61" i="57"/>
  <c r="FJ61" i="57"/>
  <c r="FK61" i="57"/>
  <c r="FL61" i="57"/>
  <c r="FM61" i="57"/>
  <c r="FN61" i="57"/>
  <c r="FO61" i="57"/>
  <c r="FP61" i="57"/>
  <c r="FQ61" i="57"/>
  <c r="FR61" i="57"/>
  <c r="FS61" i="57"/>
  <c r="FT61" i="57"/>
  <c r="FU61" i="57"/>
  <c r="FV61" i="57"/>
  <c r="FW61" i="57"/>
  <c r="BD62" i="57"/>
  <c r="BF62" i="57"/>
  <c r="BG62" i="57" s="1"/>
  <c r="BG62" i="69" s="1"/>
  <c r="BI62" i="57"/>
  <c r="BJ62" i="57"/>
  <c r="BJ62" i="69" s="1"/>
  <c r="BL62" i="57"/>
  <c r="BM62" i="57" s="1"/>
  <c r="BM62" i="69" s="1"/>
  <c r="BO62" i="57"/>
  <c r="BP62" i="57"/>
  <c r="BP62" i="69" s="1"/>
  <c r="BR62" i="57"/>
  <c r="BS62" i="57" s="1"/>
  <c r="BS62" i="69" s="1"/>
  <c r="BU62" i="57"/>
  <c r="BV62" i="57"/>
  <c r="BV62" i="69" s="1"/>
  <c r="BX62" i="57"/>
  <c r="BY62" i="57" s="1"/>
  <c r="BY62" i="69" s="1"/>
  <c r="CA62" i="57"/>
  <c r="CB62" i="57"/>
  <c r="CB62" i="69" s="1"/>
  <c r="CD62" i="57"/>
  <c r="CE62" i="57" s="1"/>
  <c r="CE62" i="69" s="1"/>
  <c r="CG62" i="57"/>
  <c r="CH62" i="57"/>
  <c r="CH62" i="69" s="1"/>
  <c r="CJ62" i="57"/>
  <c r="CK62" i="57" s="1"/>
  <c r="CK62" i="69" s="1"/>
  <c r="CM62" i="57"/>
  <c r="CN62" i="57"/>
  <c r="CN62" i="69" s="1"/>
  <c r="CP62" i="57"/>
  <c r="CQ62" i="57" s="1"/>
  <c r="CQ62" i="69" s="1"/>
  <c r="CS62" i="57"/>
  <c r="CT62" i="57"/>
  <c r="CT62" i="69" s="1"/>
  <c r="CV62" i="57"/>
  <c r="CW62" i="57" s="1"/>
  <c r="CW62" i="69" s="1"/>
  <c r="CY62" i="57"/>
  <c r="CZ62" i="57"/>
  <c r="CZ62" i="69" s="1"/>
  <c r="DB62" i="57"/>
  <c r="DC62" i="57" s="1"/>
  <c r="DC62" i="69" s="1"/>
  <c r="DE62" i="57"/>
  <c r="DF62" i="57"/>
  <c r="DF62" i="69" s="1"/>
  <c r="DH62" i="57"/>
  <c r="DI62" i="57" s="1"/>
  <c r="DI62" i="69" s="1"/>
  <c r="DK62" i="57"/>
  <c r="DL62" i="57"/>
  <c r="DL62" i="69" s="1"/>
  <c r="DN62" i="57"/>
  <c r="DO62" i="57" s="1"/>
  <c r="DO62" i="69" s="1"/>
  <c r="DQ62" i="57"/>
  <c r="DR62" i="57"/>
  <c r="DR62" i="69" s="1"/>
  <c r="DT62" i="57"/>
  <c r="DU62" i="57" s="1"/>
  <c r="DU62" i="69" s="1"/>
  <c r="DW62" i="57"/>
  <c r="DX62" i="57"/>
  <c r="DX62" i="69" s="1"/>
  <c r="DZ62" i="57"/>
  <c r="EC62" i="57"/>
  <c r="EF62" i="57"/>
  <c r="EI62" i="57"/>
  <c r="EL62" i="57"/>
  <c r="EO62" i="57"/>
  <c r="EP62" i="57" s="1"/>
  <c r="EP62" i="69" s="1"/>
  <c r="ER62" i="57"/>
  <c r="EW62" i="57"/>
  <c r="EX62" i="57"/>
  <c r="EY62" i="57"/>
  <c r="FG62" i="57"/>
  <c r="FH62" i="57"/>
  <c r="FI62" i="57"/>
  <c r="FJ62" i="57"/>
  <c r="FK62" i="57"/>
  <c r="FL62" i="57"/>
  <c r="FM62" i="57"/>
  <c r="FN62" i="57"/>
  <c r="FO62" i="57"/>
  <c r="FP62" i="57"/>
  <c r="FQ62" i="57"/>
  <c r="FR62" i="57"/>
  <c r="FS62" i="57"/>
  <c r="FT62" i="57"/>
  <c r="FU62" i="57"/>
  <c r="FV62" i="57"/>
  <c r="FW62" i="57"/>
  <c r="BD63" i="57"/>
  <c r="BF63" i="57"/>
  <c r="BG63" i="57" s="1"/>
  <c r="BG63" i="69" s="1"/>
  <c r="BI63" i="57"/>
  <c r="BJ63" i="57"/>
  <c r="BJ63" i="69" s="1"/>
  <c r="BL63" i="57"/>
  <c r="BM63" i="57" s="1"/>
  <c r="BM63" i="69" s="1"/>
  <c r="BO63" i="57"/>
  <c r="BP63" i="57"/>
  <c r="BP63" i="69" s="1"/>
  <c r="BR63" i="57"/>
  <c r="BS63" i="57" s="1"/>
  <c r="BS63" i="69" s="1"/>
  <c r="BU63" i="57"/>
  <c r="BV63" i="57"/>
  <c r="BV63" i="69" s="1"/>
  <c r="BX63" i="57"/>
  <c r="BY63" i="57" s="1"/>
  <c r="BY63" i="69" s="1"/>
  <c r="CA63" i="57"/>
  <c r="CB63" i="57"/>
  <c r="CB63" i="69" s="1"/>
  <c r="CD63" i="57"/>
  <c r="CE63" i="57" s="1"/>
  <c r="CE63" i="69" s="1"/>
  <c r="CG63" i="57"/>
  <c r="CH63" i="57"/>
  <c r="CH63" i="69" s="1"/>
  <c r="CJ63" i="57"/>
  <c r="CK63" i="57" s="1"/>
  <c r="CK63" i="69" s="1"/>
  <c r="CM63" i="57"/>
  <c r="CN63" i="57"/>
  <c r="CN63" i="69" s="1"/>
  <c r="CP63" i="57"/>
  <c r="CQ63" i="57" s="1"/>
  <c r="CQ63" i="69" s="1"/>
  <c r="CS63" i="57"/>
  <c r="CT63" i="57"/>
  <c r="CT63" i="69" s="1"/>
  <c r="CV63" i="57"/>
  <c r="CW63" i="57" s="1"/>
  <c r="CW63" i="69" s="1"/>
  <c r="CY63" i="57"/>
  <c r="CZ63" i="57"/>
  <c r="CZ63" i="69" s="1"/>
  <c r="DB63" i="57"/>
  <c r="DC63" i="57" s="1"/>
  <c r="DC63" i="69" s="1"/>
  <c r="DE63" i="57"/>
  <c r="DF63" i="57"/>
  <c r="DF63" i="69" s="1"/>
  <c r="DH63" i="57"/>
  <c r="DI63" i="57" s="1"/>
  <c r="DI63" i="69" s="1"/>
  <c r="DK63" i="57"/>
  <c r="DL63" i="57"/>
  <c r="DL63" i="69" s="1"/>
  <c r="DN63" i="57"/>
  <c r="DO63" i="57" s="1"/>
  <c r="DO63" i="69" s="1"/>
  <c r="DQ63" i="57"/>
  <c r="DR63" i="57"/>
  <c r="DR63" i="69" s="1"/>
  <c r="DT63" i="57"/>
  <c r="DU63" i="57" s="1"/>
  <c r="DU63" i="69" s="1"/>
  <c r="DW63" i="57"/>
  <c r="DX63" i="57"/>
  <c r="DX63" i="69" s="1"/>
  <c r="DZ63" i="57"/>
  <c r="EC63" i="57"/>
  <c r="EF63" i="57"/>
  <c r="EI63" i="57"/>
  <c r="EL63" i="57"/>
  <c r="EO63" i="57"/>
  <c r="EP63" i="57" s="1"/>
  <c r="EP63" i="69" s="1"/>
  <c r="ER63" i="57"/>
  <c r="EW63" i="57"/>
  <c r="EX63" i="57"/>
  <c r="EY63" i="57"/>
  <c r="FG63" i="57"/>
  <c r="FH63" i="57"/>
  <c r="FI63" i="57"/>
  <c r="FJ63" i="57"/>
  <c r="FK63" i="57"/>
  <c r="FL63" i="57"/>
  <c r="FM63" i="57"/>
  <c r="FN63" i="57"/>
  <c r="FO63" i="57"/>
  <c r="FP63" i="57"/>
  <c r="FQ63" i="57"/>
  <c r="FR63" i="57"/>
  <c r="FS63" i="57"/>
  <c r="FT63" i="57"/>
  <c r="FU63" i="57"/>
  <c r="FV63" i="57"/>
  <c r="FW63" i="57"/>
  <c r="BD64" i="57"/>
  <c r="BF64" i="57"/>
  <c r="BG64" i="57" s="1"/>
  <c r="BG64" i="69" s="1"/>
  <c r="BI64" i="57"/>
  <c r="BJ64" i="57"/>
  <c r="BJ64" i="69" s="1"/>
  <c r="BL64" i="57"/>
  <c r="BM64" i="57" s="1"/>
  <c r="BM64" i="69" s="1"/>
  <c r="BO64" i="57"/>
  <c r="BP64" i="57"/>
  <c r="BP64" i="69" s="1"/>
  <c r="BR64" i="57"/>
  <c r="BS64" i="57" s="1"/>
  <c r="BS64" i="69" s="1"/>
  <c r="BU64" i="57"/>
  <c r="BV64" i="57"/>
  <c r="BV64" i="69" s="1"/>
  <c r="BX64" i="57"/>
  <c r="BY64" i="57" s="1"/>
  <c r="BY64" i="69" s="1"/>
  <c r="CA64" i="57"/>
  <c r="CB64" i="57"/>
  <c r="CB64" i="69" s="1"/>
  <c r="CD64" i="57"/>
  <c r="CE64" i="57" s="1"/>
  <c r="CE64" i="69" s="1"/>
  <c r="CG64" i="57"/>
  <c r="CH64" i="57"/>
  <c r="CH64" i="69" s="1"/>
  <c r="CJ64" i="57"/>
  <c r="CK64" i="57" s="1"/>
  <c r="CK64" i="69" s="1"/>
  <c r="CM64" i="57"/>
  <c r="CN64" i="57"/>
  <c r="CN64" i="69" s="1"/>
  <c r="CP64" i="57"/>
  <c r="CQ64" i="57" s="1"/>
  <c r="CQ64" i="69" s="1"/>
  <c r="CS64" i="57"/>
  <c r="CT64" i="57"/>
  <c r="CT64" i="69" s="1"/>
  <c r="CV64" i="57"/>
  <c r="CW64" i="57" s="1"/>
  <c r="CW64" i="69" s="1"/>
  <c r="CY64" i="57"/>
  <c r="CZ64" i="57"/>
  <c r="CZ64" i="69" s="1"/>
  <c r="DB64" i="57"/>
  <c r="DC64" i="57" s="1"/>
  <c r="DC64" i="69" s="1"/>
  <c r="DE64" i="57"/>
  <c r="DF64" i="57"/>
  <c r="DF64" i="69" s="1"/>
  <c r="DH64" i="57"/>
  <c r="DI64" i="57" s="1"/>
  <c r="DI64" i="69" s="1"/>
  <c r="DK64" i="57"/>
  <c r="DL64" i="57"/>
  <c r="DL64" i="69" s="1"/>
  <c r="DN64" i="57"/>
  <c r="DO64" i="57" s="1"/>
  <c r="DO64" i="69" s="1"/>
  <c r="DQ64" i="57"/>
  <c r="DR64" i="57"/>
  <c r="DR64" i="69" s="1"/>
  <c r="DT64" i="57"/>
  <c r="DU64" i="57" s="1"/>
  <c r="DU64" i="69" s="1"/>
  <c r="DW64" i="57"/>
  <c r="DX64" i="57"/>
  <c r="DX64" i="69" s="1"/>
  <c r="DZ64" i="57"/>
  <c r="EC64" i="57"/>
  <c r="EF64" i="57"/>
  <c r="EI64" i="57"/>
  <c r="EL64" i="57"/>
  <c r="EO64" i="57"/>
  <c r="EP64" i="57"/>
  <c r="EP64" i="69" s="1"/>
  <c r="ER64" i="57"/>
  <c r="EW64" i="57"/>
  <c r="EX64" i="57"/>
  <c r="EY64" i="57"/>
  <c r="FG64" i="57"/>
  <c r="FH64" i="57"/>
  <c r="FI64" i="57"/>
  <c r="FJ64" i="57"/>
  <c r="FK64" i="57"/>
  <c r="FL64" i="57"/>
  <c r="FM64" i="57"/>
  <c r="FN64" i="57"/>
  <c r="FO64" i="57"/>
  <c r="FP64" i="57"/>
  <c r="FQ64" i="57"/>
  <c r="FR64" i="57"/>
  <c r="FS64" i="57"/>
  <c r="FT64" i="57"/>
  <c r="FU64" i="57"/>
  <c r="FV64" i="57"/>
  <c r="FW64" i="57"/>
  <c r="BD65" i="57"/>
  <c r="BF65" i="57"/>
  <c r="BG65" i="57"/>
  <c r="BG65" i="69" s="1"/>
  <c r="BI65" i="57"/>
  <c r="BJ65" i="57" s="1"/>
  <c r="BJ65" i="69" s="1"/>
  <c r="BL65" i="57"/>
  <c r="BM65" i="57"/>
  <c r="BM65" i="69" s="1"/>
  <c r="BO65" i="57"/>
  <c r="BP65" i="57" s="1"/>
  <c r="BP65" i="69" s="1"/>
  <c r="BR65" i="57"/>
  <c r="BS65" i="57"/>
  <c r="BS65" i="69" s="1"/>
  <c r="BU65" i="57"/>
  <c r="BV65" i="57" s="1"/>
  <c r="BV65" i="69" s="1"/>
  <c r="BX65" i="57"/>
  <c r="BY65" i="57"/>
  <c r="BY65" i="69" s="1"/>
  <c r="CA65" i="57"/>
  <c r="CB65" i="57" s="1"/>
  <c r="CB65" i="69" s="1"/>
  <c r="CD65" i="57"/>
  <c r="CE65" i="57"/>
  <c r="CE65" i="69" s="1"/>
  <c r="CG65" i="57"/>
  <c r="CH65" i="57" s="1"/>
  <c r="CH65" i="69" s="1"/>
  <c r="CJ65" i="57"/>
  <c r="CK65" i="57"/>
  <c r="CK65" i="69" s="1"/>
  <c r="CM65" i="57"/>
  <c r="CN65" i="57" s="1"/>
  <c r="CN65" i="69" s="1"/>
  <c r="CP65" i="57"/>
  <c r="CQ65" i="57"/>
  <c r="CQ65" i="69" s="1"/>
  <c r="CS65" i="57"/>
  <c r="CT65" i="57" s="1"/>
  <c r="CT65" i="69" s="1"/>
  <c r="CV65" i="57"/>
  <c r="CW65" i="57"/>
  <c r="CW65" i="69" s="1"/>
  <c r="CY65" i="57"/>
  <c r="CZ65" i="57" s="1"/>
  <c r="CZ65" i="69" s="1"/>
  <c r="DB65" i="57"/>
  <c r="DC65" i="57"/>
  <c r="DC65" i="69" s="1"/>
  <c r="DE65" i="57"/>
  <c r="DF65" i="57" s="1"/>
  <c r="DF65" i="69" s="1"/>
  <c r="DH65" i="57"/>
  <c r="DI65" i="57"/>
  <c r="DI65" i="69" s="1"/>
  <c r="DK65" i="57"/>
  <c r="DL65" i="57" s="1"/>
  <c r="DL65" i="69" s="1"/>
  <c r="DN65" i="57"/>
  <c r="DO65" i="57"/>
  <c r="DO65" i="69" s="1"/>
  <c r="DQ65" i="57"/>
  <c r="DR65" i="57" s="1"/>
  <c r="DR65" i="69" s="1"/>
  <c r="DT65" i="57"/>
  <c r="DU65" i="57"/>
  <c r="DU65" i="69" s="1"/>
  <c r="DW65" i="57"/>
  <c r="DX65" i="57" s="1"/>
  <c r="DX65" i="69" s="1"/>
  <c r="DZ65" i="57"/>
  <c r="EC65" i="57"/>
  <c r="EF65" i="57"/>
  <c r="EI65" i="57"/>
  <c r="EL65" i="57"/>
  <c r="EO65" i="57"/>
  <c r="EP65" i="57"/>
  <c r="EP65" i="69" s="1"/>
  <c r="ER65" i="57"/>
  <c r="EW65" i="57"/>
  <c r="EX65" i="57"/>
  <c r="EY65" i="57"/>
  <c r="FG65" i="57"/>
  <c r="FH65" i="57"/>
  <c r="FI65" i="57"/>
  <c r="FJ65" i="57"/>
  <c r="FK65" i="57"/>
  <c r="FL65" i="57"/>
  <c r="FM65" i="57"/>
  <c r="FN65" i="57"/>
  <c r="FO65" i="57"/>
  <c r="FP65" i="57"/>
  <c r="FQ65" i="57"/>
  <c r="FR65" i="57"/>
  <c r="FS65" i="57"/>
  <c r="FT65" i="57"/>
  <c r="FU65" i="57"/>
  <c r="FV65" i="57"/>
  <c r="FW65" i="57"/>
  <c r="BD66" i="57"/>
  <c r="BF66" i="57"/>
  <c r="BG66" i="57"/>
  <c r="BG66" i="69" s="1"/>
  <c r="BI66" i="57"/>
  <c r="BJ66" i="57" s="1"/>
  <c r="BJ66" i="69" s="1"/>
  <c r="BL66" i="57"/>
  <c r="BM66" i="57"/>
  <c r="BM66" i="69" s="1"/>
  <c r="BO66" i="57"/>
  <c r="BP66" i="57" s="1"/>
  <c r="BP66" i="69" s="1"/>
  <c r="BR66" i="57"/>
  <c r="BS66" i="57"/>
  <c r="BS66" i="69" s="1"/>
  <c r="BU66" i="57"/>
  <c r="BV66" i="57" s="1"/>
  <c r="BV66" i="69" s="1"/>
  <c r="BX66" i="57"/>
  <c r="BY66" i="57"/>
  <c r="BY66" i="69" s="1"/>
  <c r="CA66" i="57"/>
  <c r="CB66" i="57" s="1"/>
  <c r="CB66" i="69" s="1"/>
  <c r="CD66" i="57"/>
  <c r="CE66" i="57"/>
  <c r="CE66" i="69" s="1"/>
  <c r="CG66" i="57"/>
  <c r="CH66" i="57" s="1"/>
  <c r="CH66" i="69" s="1"/>
  <c r="CJ66" i="57"/>
  <c r="CK66" i="57"/>
  <c r="CK66" i="69" s="1"/>
  <c r="CM66" i="57"/>
  <c r="CN66" i="57" s="1"/>
  <c r="CN66" i="69" s="1"/>
  <c r="CP66" i="57"/>
  <c r="CQ66" i="57"/>
  <c r="CQ66" i="69" s="1"/>
  <c r="CS66" i="57"/>
  <c r="CT66" i="57" s="1"/>
  <c r="CT66" i="69" s="1"/>
  <c r="CV66" i="57"/>
  <c r="CW66" i="57"/>
  <c r="CW66" i="69" s="1"/>
  <c r="CY66" i="57"/>
  <c r="CZ66" i="57" s="1"/>
  <c r="CZ66" i="69" s="1"/>
  <c r="DB66" i="57"/>
  <c r="DC66" i="57"/>
  <c r="DC66" i="69" s="1"/>
  <c r="DE66" i="57"/>
  <c r="DF66" i="57" s="1"/>
  <c r="DF66" i="69" s="1"/>
  <c r="DH66" i="57"/>
  <c r="DI66" i="57"/>
  <c r="DI66" i="69" s="1"/>
  <c r="DK66" i="57"/>
  <c r="DL66" i="57" s="1"/>
  <c r="DL66" i="69" s="1"/>
  <c r="DN66" i="57"/>
  <c r="DO66" i="57"/>
  <c r="DO66" i="69" s="1"/>
  <c r="DQ66" i="57"/>
  <c r="DR66" i="57" s="1"/>
  <c r="DR66" i="69" s="1"/>
  <c r="DT66" i="57"/>
  <c r="DU66" i="57"/>
  <c r="DU66" i="69" s="1"/>
  <c r="DW66" i="57"/>
  <c r="DX66" i="57" s="1"/>
  <c r="DX66" i="69" s="1"/>
  <c r="DZ66" i="57"/>
  <c r="EC66" i="57"/>
  <c r="EF66" i="57"/>
  <c r="EI66" i="57"/>
  <c r="EL66" i="57"/>
  <c r="EO66" i="57"/>
  <c r="EP66" i="57" s="1"/>
  <c r="EP66" i="69" s="1"/>
  <c r="ER66" i="57"/>
  <c r="EW66" i="57"/>
  <c r="EX66" i="57"/>
  <c r="EY66" i="57"/>
  <c r="FG66" i="57"/>
  <c r="FH66" i="57"/>
  <c r="FI66" i="57"/>
  <c r="FJ66" i="57"/>
  <c r="FK66" i="57"/>
  <c r="FL66" i="57"/>
  <c r="FM66" i="57"/>
  <c r="FN66" i="57"/>
  <c r="FO66" i="57"/>
  <c r="FP66" i="57"/>
  <c r="FQ66" i="57"/>
  <c r="FR66" i="57"/>
  <c r="FS66" i="57"/>
  <c r="FT66" i="57"/>
  <c r="FU66" i="57"/>
  <c r="FV66" i="57"/>
  <c r="FW66" i="57"/>
  <c r="BD67" i="57"/>
  <c r="BF67" i="57"/>
  <c r="BG67" i="57" s="1"/>
  <c r="BG67" i="69" s="1"/>
  <c r="BI67" i="57"/>
  <c r="BJ67" i="57"/>
  <c r="BJ67" i="69" s="1"/>
  <c r="BL67" i="57"/>
  <c r="BM67" i="57" s="1"/>
  <c r="BM67" i="69" s="1"/>
  <c r="BO67" i="57"/>
  <c r="BP67" i="57"/>
  <c r="BP67" i="69" s="1"/>
  <c r="BR67" i="57"/>
  <c r="BS67" i="57" s="1"/>
  <c r="BS67" i="69" s="1"/>
  <c r="BU67" i="57"/>
  <c r="BV67" i="57"/>
  <c r="BV67" i="69" s="1"/>
  <c r="BX67" i="57"/>
  <c r="BY67" i="57" s="1"/>
  <c r="BY67" i="69" s="1"/>
  <c r="CA67" i="57"/>
  <c r="CB67" i="57"/>
  <c r="CB67" i="69" s="1"/>
  <c r="CD67" i="57"/>
  <c r="CE67" i="57" s="1"/>
  <c r="CE67" i="69" s="1"/>
  <c r="CG67" i="57"/>
  <c r="CH67" i="57"/>
  <c r="CH67" i="69" s="1"/>
  <c r="CJ67" i="57"/>
  <c r="CK67" i="57" s="1"/>
  <c r="CK67" i="69" s="1"/>
  <c r="CM67" i="57"/>
  <c r="CN67" i="57"/>
  <c r="CN67" i="69" s="1"/>
  <c r="CP67" i="57"/>
  <c r="CQ67" i="57" s="1"/>
  <c r="CQ67" i="69" s="1"/>
  <c r="CS67" i="57"/>
  <c r="CT67" i="57"/>
  <c r="CT67" i="69" s="1"/>
  <c r="CV67" i="57"/>
  <c r="CW67" i="57" s="1"/>
  <c r="CW67" i="69" s="1"/>
  <c r="CY67" i="57"/>
  <c r="CZ67" i="57"/>
  <c r="CZ67" i="69" s="1"/>
  <c r="DB67" i="57"/>
  <c r="DC67" i="57" s="1"/>
  <c r="DC67" i="69" s="1"/>
  <c r="DE67" i="57"/>
  <c r="DF67" i="57"/>
  <c r="DF67" i="69" s="1"/>
  <c r="DH67" i="57"/>
  <c r="DI67" i="57" s="1"/>
  <c r="DI67" i="69" s="1"/>
  <c r="DK67" i="57"/>
  <c r="DL67" i="57"/>
  <c r="DL67" i="69" s="1"/>
  <c r="DN67" i="57"/>
  <c r="DO67" i="57" s="1"/>
  <c r="DO67" i="69" s="1"/>
  <c r="DQ67" i="57"/>
  <c r="DR67" i="57"/>
  <c r="DR67" i="69" s="1"/>
  <c r="DT67" i="57"/>
  <c r="DU67" i="57" s="1"/>
  <c r="DU67" i="69" s="1"/>
  <c r="DW67" i="57"/>
  <c r="DX67" i="57"/>
  <c r="DX67" i="69" s="1"/>
  <c r="DZ67" i="57"/>
  <c r="EC67" i="57"/>
  <c r="EF67" i="57"/>
  <c r="EI67" i="57"/>
  <c r="EL67" i="57"/>
  <c r="EO67" i="57"/>
  <c r="EP67" i="57" s="1"/>
  <c r="EP67" i="69" s="1"/>
  <c r="ER67" i="57"/>
  <c r="EW67" i="57"/>
  <c r="EX67" i="57"/>
  <c r="EY67" i="57"/>
  <c r="FG67" i="57"/>
  <c r="FH67" i="57"/>
  <c r="FI67" i="57"/>
  <c r="FJ67" i="57"/>
  <c r="FK67" i="57"/>
  <c r="FL67" i="57"/>
  <c r="FM67" i="57"/>
  <c r="FN67" i="57"/>
  <c r="FO67" i="57"/>
  <c r="FP67" i="57"/>
  <c r="FQ67" i="57"/>
  <c r="FR67" i="57"/>
  <c r="FS67" i="57"/>
  <c r="FT67" i="57"/>
  <c r="FU67" i="57"/>
  <c r="FV67" i="57"/>
  <c r="FW67" i="57"/>
  <c r="BD68" i="57"/>
  <c r="BF68" i="57"/>
  <c r="BG68" i="57" s="1"/>
  <c r="BG68" i="69" s="1"/>
  <c r="BI68" i="57"/>
  <c r="BJ68" i="57"/>
  <c r="BJ68" i="69" s="1"/>
  <c r="BL68" i="57"/>
  <c r="BM68" i="57" s="1"/>
  <c r="BM68" i="69" s="1"/>
  <c r="BO68" i="57"/>
  <c r="BP68" i="57"/>
  <c r="BP68" i="69" s="1"/>
  <c r="BR68" i="57"/>
  <c r="BS68" i="57" s="1"/>
  <c r="BS68" i="69" s="1"/>
  <c r="BU68" i="57"/>
  <c r="BV68" i="57"/>
  <c r="BV68" i="69" s="1"/>
  <c r="BX68" i="57"/>
  <c r="BY68" i="57" s="1"/>
  <c r="BY68" i="69" s="1"/>
  <c r="CA68" i="57"/>
  <c r="CB68" i="57"/>
  <c r="CB68" i="69" s="1"/>
  <c r="CD68" i="57"/>
  <c r="CE68" i="57" s="1"/>
  <c r="CE68" i="69" s="1"/>
  <c r="CG68" i="57"/>
  <c r="CH68" i="57"/>
  <c r="CH68" i="69" s="1"/>
  <c r="CJ68" i="57"/>
  <c r="CK68" i="57" s="1"/>
  <c r="CK68" i="69" s="1"/>
  <c r="CM68" i="57"/>
  <c r="CN68" i="57"/>
  <c r="CN68" i="69" s="1"/>
  <c r="CP68" i="57"/>
  <c r="CQ68" i="57" s="1"/>
  <c r="CQ68" i="69" s="1"/>
  <c r="CS68" i="57"/>
  <c r="CT68" i="57"/>
  <c r="CT68" i="69" s="1"/>
  <c r="CV68" i="57"/>
  <c r="CW68" i="57" s="1"/>
  <c r="CW68" i="69" s="1"/>
  <c r="CY68" i="57"/>
  <c r="CZ68" i="57"/>
  <c r="CZ68" i="69" s="1"/>
  <c r="DB68" i="57"/>
  <c r="DC68" i="57" s="1"/>
  <c r="DC68" i="69" s="1"/>
  <c r="DE68" i="57"/>
  <c r="DF68" i="57"/>
  <c r="DF68" i="69" s="1"/>
  <c r="DH68" i="57"/>
  <c r="DI68" i="57" s="1"/>
  <c r="DI68" i="69" s="1"/>
  <c r="DK68" i="57"/>
  <c r="DL68" i="57"/>
  <c r="DL68" i="69" s="1"/>
  <c r="DN68" i="57"/>
  <c r="DO68" i="57" s="1"/>
  <c r="DO68" i="69" s="1"/>
  <c r="DQ68" i="57"/>
  <c r="DR68" i="57"/>
  <c r="DR68" i="69" s="1"/>
  <c r="DT68" i="57"/>
  <c r="DU68" i="57" s="1"/>
  <c r="DU68" i="69" s="1"/>
  <c r="DW68" i="57"/>
  <c r="DX68" i="57"/>
  <c r="DX68" i="69" s="1"/>
  <c r="DZ68" i="57"/>
  <c r="EC68" i="57"/>
  <c r="EF68" i="57"/>
  <c r="EI68" i="57"/>
  <c r="EL68" i="57"/>
  <c r="EO68" i="57"/>
  <c r="EP68" i="57"/>
  <c r="EP68" i="69" s="1"/>
  <c r="ER68" i="57"/>
  <c r="EW68" i="57"/>
  <c r="EX68" i="57"/>
  <c r="EY68" i="57"/>
  <c r="FG68" i="57"/>
  <c r="FH68" i="57"/>
  <c r="FI68" i="57"/>
  <c r="FJ68" i="57"/>
  <c r="FK68" i="57"/>
  <c r="FL68" i="57"/>
  <c r="FM68" i="57"/>
  <c r="FN68" i="57"/>
  <c r="FO68" i="57"/>
  <c r="FP68" i="57"/>
  <c r="FQ68" i="57"/>
  <c r="FR68" i="57"/>
  <c r="FS68" i="57"/>
  <c r="FT68" i="57"/>
  <c r="FU68" i="57"/>
  <c r="FV68" i="57"/>
  <c r="FW68" i="57"/>
  <c r="BD69" i="57"/>
  <c r="BF69" i="57"/>
  <c r="BG69" i="57"/>
  <c r="BG69" i="69" s="1"/>
  <c r="BI69" i="57"/>
  <c r="BJ69" i="57" s="1"/>
  <c r="BJ69" i="69" s="1"/>
  <c r="BL69" i="57"/>
  <c r="BM69" i="57"/>
  <c r="BM69" i="69" s="1"/>
  <c r="BO69" i="57"/>
  <c r="BP69" i="57" s="1"/>
  <c r="BP69" i="69" s="1"/>
  <c r="BR69" i="57"/>
  <c r="BS69" i="57"/>
  <c r="BS69" i="69" s="1"/>
  <c r="BU69" i="57"/>
  <c r="BV69" i="57" s="1"/>
  <c r="BV69" i="69" s="1"/>
  <c r="BX69" i="57"/>
  <c r="BY69" i="57"/>
  <c r="BY69" i="69" s="1"/>
  <c r="CA69" i="57"/>
  <c r="CB69" i="57" s="1"/>
  <c r="CB69" i="69" s="1"/>
  <c r="CD69" i="57"/>
  <c r="CE69" i="57"/>
  <c r="CE69" i="69" s="1"/>
  <c r="CG69" i="57"/>
  <c r="CH69" i="57" s="1"/>
  <c r="CH69" i="69" s="1"/>
  <c r="CJ69" i="57"/>
  <c r="CK69" i="57"/>
  <c r="CK69" i="69" s="1"/>
  <c r="CM69" i="57"/>
  <c r="CN69" i="57" s="1"/>
  <c r="CN69" i="69" s="1"/>
  <c r="CP69" i="57"/>
  <c r="CQ69" i="57"/>
  <c r="CQ69" i="69" s="1"/>
  <c r="CS69" i="57"/>
  <c r="CT69" i="57" s="1"/>
  <c r="CT69" i="69" s="1"/>
  <c r="CV69" i="57"/>
  <c r="CW69" i="57"/>
  <c r="CW69" i="69" s="1"/>
  <c r="CY69" i="57"/>
  <c r="CZ69" i="57" s="1"/>
  <c r="CZ69" i="69" s="1"/>
  <c r="DB69" i="57"/>
  <c r="DC69" i="57"/>
  <c r="DC69" i="69" s="1"/>
  <c r="DE69" i="57"/>
  <c r="DF69" i="57" s="1"/>
  <c r="DF69" i="69" s="1"/>
  <c r="DH69" i="57"/>
  <c r="DI69" i="57"/>
  <c r="DI69" i="69" s="1"/>
  <c r="DK69" i="57"/>
  <c r="DL69" i="57" s="1"/>
  <c r="DL69" i="69" s="1"/>
  <c r="DN69" i="57"/>
  <c r="DO69" i="57"/>
  <c r="DO69" i="69" s="1"/>
  <c r="DQ69" i="57"/>
  <c r="DR69" i="57" s="1"/>
  <c r="DR69" i="69" s="1"/>
  <c r="DT69" i="57"/>
  <c r="DU69" i="57"/>
  <c r="DU69" i="69" s="1"/>
  <c r="DW69" i="57"/>
  <c r="DX69" i="57" s="1"/>
  <c r="DX69" i="69" s="1"/>
  <c r="DZ69" i="57"/>
  <c r="EC69" i="57"/>
  <c r="EF69" i="57"/>
  <c r="EI69" i="57"/>
  <c r="EL69" i="57"/>
  <c r="EO69" i="57"/>
  <c r="EP69" i="57"/>
  <c r="EP69" i="69" s="1"/>
  <c r="ER69" i="57"/>
  <c r="EW69" i="57"/>
  <c r="EX69" i="57"/>
  <c r="EY69" i="57"/>
  <c r="FG69" i="57"/>
  <c r="FH69" i="57"/>
  <c r="FI69" i="57"/>
  <c r="FJ69" i="57"/>
  <c r="FK69" i="57"/>
  <c r="FL69" i="57"/>
  <c r="FM69" i="57"/>
  <c r="FN69" i="57"/>
  <c r="FO69" i="57"/>
  <c r="FP69" i="57"/>
  <c r="FQ69" i="57"/>
  <c r="FR69" i="57"/>
  <c r="FS69" i="57"/>
  <c r="FT69" i="57"/>
  <c r="FU69" i="57"/>
  <c r="FV69" i="57"/>
  <c r="FW69" i="57"/>
  <c r="BD70" i="57"/>
  <c r="BF70" i="57"/>
  <c r="BG70" i="57"/>
  <c r="BG70" i="69" s="1"/>
  <c r="BI70" i="57"/>
  <c r="BJ70" i="57" s="1"/>
  <c r="BJ70" i="69" s="1"/>
  <c r="BL70" i="57"/>
  <c r="BM70" i="57"/>
  <c r="BM70" i="69" s="1"/>
  <c r="BO70" i="57"/>
  <c r="BP70" i="57" s="1"/>
  <c r="BP70" i="69" s="1"/>
  <c r="BR70" i="57"/>
  <c r="BS70" i="57"/>
  <c r="BS70" i="69" s="1"/>
  <c r="BU70" i="57"/>
  <c r="BV70" i="57" s="1"/>
  <c r="BV70" i="69" s="1"/>
  <c r="BX70" i="57"/>
  <c r="BY70" i="57"/>
  <c r="BY70" i="69" s="1"/>
  <c r="CA70" i="57"/>
  <c r="CB70" i="57" s="1"/>
  <c r="CB70" i="69" s="1"/>
  <c r="CD70" i="57"/>
  <c r="CE70" i="57"/>
  <c r="CE70" i="69" s="1"/>
  <c r="CG70" i="57"/>
  <c r="CH70" i="57" s="1"/>
  <c r="CH70" i="69" s="1"/>
  <c r="CJ70" i="57"/>
  <c r="CK70" i="57"/>
  <c r="CK70" i="69" s="1"/>
  <c r="CM70" i="57"/>
  <c r="CN70" i="57" s="1"/>
  <c r="CN70" i="69" s="1"/>
  <c r="CP70" i="57"/>
  <c r="CQ70" i="57"/>
  <c r="CQ70" i="69" s="1"/>
  <c r="CS70" i="57"/>
  <c r="CT70" i="57" s="1"/>
  <c r="CT70" i="69" s="1"/>
  <c r="CV70" i="57"/>
  <c r="CW70" i="57"/>
  <c r="CW70" i="69" s="1"/>
  <c r="CY70" i="57"/>
  <c r="CZ70" i="57" s="1"/>
  <c r="CZ70" i="69" s="1"/>
  <c r="DB70" i="57"/>
  <c r="DC70" i="57"/>
  <c r="DC70" i="69" s="1"/>
  <c r="DE70" i="57"/>
  <c r="DF70" i="57" s="1"/>
  <c r="DF70" i="69" s="1"/>
  <c r="DH70" i="57"/>
  <c r="DI70" i="57"/>
  <c r="DI70" i="69" s="1"/>
  <c r="DK70" i="57"/>
  <c r="DL70" i="57" s="1"/>
  <c r="DL70" i="69" s="1"/>
  <c r="DN70" i="57"/>
  <c r="DO70" i="57"/>
  <c r="DO70" i="69" s="1"/>
  <c r="DQ70" i="57"/>
  <c r="DR70" i="57" s="1"/>
  <c r="DR70" i="69" s="1"/>
  <c r="DT70" i="57"/>
  <c r="DU70" i="57"/>
  <c r="DU70" i="69" s="1"/>
  <c r="DW70" i="57"/>
  <c r="DX70" i="57" s="1"/>
  <c r="DX70" i="69" s="1"/>
  <c r="DZ70" i="57"/>
  <c r="EC70" i="57"/>
  <c r="EF70" i="57"/>
  <c r="EI70" i="57"/>
  <c r="EL70" i="57"/>
  <c r="EO70" i="57"/>
  <c r="EP70" i="57" s="1"/>
  <c r="EP70" i="69" s="1"/>
  <c r="ER70" i="57"/>
  <c r="EW70" i="57"/>
  <c r="EX70" i="57"/>
  <c r="EY70" i="57"/>
  <c r="FG70" i="57"/>
  <c r="FH70" i="57"/>
  <c r="FI70" i="57"/>
  <c r="FJ70" i="57"/>
  <c r="FK70" i="57"/>
  <c r="FL70" i="57"/>
  <c r="FM70" i="57"/>
  <c r="FN70" i="57"/>
  <c r="FO70" i="57"/>
  <c r="FP70" i="57"/>
  <c r="FQ70" i="57"/>
  <c r="FR70" i="57"/>
  <c r="FS70" i="57"/>
  <c r="FT70" i="57"/>
  <c r="FU70" i="57"/>
  <c r="FV70" i="57"/>
  <c r="FW70" i="57"/>
  <c r="BD71" i="57"/>
  <c r="BF71" i="57"/>
  <c r="BG71" i="57" s="1"/>
  <c r="BG71" i="69" s="1"/>
  <c r="BI71" i="57"/>
  <c r="BJ71" i="57"/>
  <c r="BJ71" i="69" s="1"/>
  <c r="BL71" i="57"/>
  <c r="BM71" i="57" s="1"/>
  <c r="BM71" i="69" s="1"/>
  <c r="BO71" i="57"/>
  <c r="BP71" i="57"/>
  <c r="BP71" i="69" s="1"/>
  <c r="BR71" i="57"/>
  <c r="BS71" i="57" s="1"/>
  <c r="BS71" i="69" s="1"/>
  <c r="BU71" i="57"/>
  <c r="BV71" i="57"/>
  <c r="BV71" i="69" s="1"/>
  <c r="BX71" i="57"/>
  <c r="BY71" i="57" s="1"/>
  <c r="BY71" i="69" s="1"/>
  <c r="CA71" i="57"/>
  <c r="CB71" i="57"/>
  <c r="CB71" i="69" s="1"/>
  <c r="CD71" i="57"/>
  <c r="CE71" i="57" s="1"/>
  <c r="CE71" i="69" s="1"/>
  <c r="CG71" i="57"/>
  <c r="CH71" i="57"/>
  <c r="CH71" i="69" s="1"/>
  <c r="CJ71" i="57"/>
  <c r="CK71" i="57" s="1"/>
  <c r="CK71" i="69" s="1"/>
  <c r="CM71" i="57"/>
  <c r="CN71" i="57"/>
  <c r="CN71" i="69" s="1"/>
  <c r="CP71" i="57"/>
  <c r="CQ71" i="57" s="1"/>
  <c r="CQ71" i="69" s="1"/>
  <c r="CS71" i="57"/>
  <c r="CT71" i="57"/>
  <c r="CT71" i="69" s="1"/>
  <c r="CV71" i="57"/>
  <c r="CW71" i="57" s="1"/>
  <c r="CW71" i="69" s="1"/>
  <c r="CY71" i="57"/>
  <c r="CZ71" i="57"/>
  <c r="CZ71" i="69" s="1"/>
  <c r="DB71" i="57"/>
  <c r="DC71" i="57" s="1"/>
  <c r="DC71" i="69" s="1"/>
  <c r="DE71" i="57"/>
  <c r="DF71" i="57"/>
  <c r="DF71" i="69" s="1"/>
  <c r="DH71" i="57"/>
  <c r="DI71" i="57" s="1"/>
  <c r="DI71" i="69" s="1"/>
  <c r="DK71" i="57"/>
  <c r="DL71" i="57"/>
  <c r="DL71" i="69" s="1"/>
  <c r="DN71" i="57"/>
  <c r="DO71" i="57" s="1"/>
  <c r="DO71" i="69" s="1"/>
  <c r="DQ71" i="57"/>
  <c r="DR71" i="57"/>
  <c r="DR71" i="69" s="1"/>
  <c r="DT71" i="57"/>
  <c r="DU71" i="57" s="1"/>
  <c r="DU71" i="69" s="1"/>
  <c r="DW71" i="57"/>
  <c r="DX71" i="57"/>
  <c r="DX71" i="69" s="1"/>
  <c r="DZ71" i="57"/>
  <c r="EC71" i="57"/>
  <c r="EF71" i="57"/>
  <c r="EI71" i="57"/>
  <c r="EL71" i="57"/>
  <c r="EO71" i="57"/>
  <c r="EP71" i="57" s="1"/>
  <c r="EP71" i="69" s="1"/>
  <c r="ER71" i="57"/>
  <c r="EW71" i="57"/>
  <c r="EX71" i="57"/>
  <c r="EY71" i="57"/>
  <c r="FG71" i="57"/>
  <c r="FH71" i="57"/>
  <c r="FI71" i="57"/>
  <c r="FJ71" i="57"/>
  <c r="FK71" i="57"/>
  <c r="FL71" i="57"/>
  <c r="FM71" i="57"/>
  <c r="FN71" i="57"/>
  <c r="FO71" i="57"/>
  <c r="FP71" i="57"/>
  <c r="FQ71" i="57"/>
  <c r="FR71" i="57"/>
  <c r="FS71" i="57"/>
  <c r="FT71" i="57"/>
  <c r="FU71" i="57"/>
  <c r="FV71" i="57"/>
  <c r="FW71" i="57"/>
  <c r="BD72" i="57"/>
  <c r="BF72" i="57"/>
  <c r="BG72" i="57" s="1"/>
  <c r="BG72" i="69" s="1"/>
  <c r="BI72" i="57"/>
  <c r="BJ72" i="57"/>
  <c r="BJ72" i="69" s="1"/>
  <c r="BL72" i="57"/>
  <c r="BM72" i="57" s="1"/>
  <c r="BM72" i="69" s="1"/>
  <c r="BO72" i="57"/>
  <c r="BP72" i="57" s="1"/>
  <c r="BP72" i="69" s="1"/>
  <c r="BR72" i="57"/>
  <c r="BS72" i="57" s="1"/>
  <c r="BS72" i="69" s="1"/>
  <c r="BU72" i="57"/>
  <c r="BV72" i="57"/>
  <c r="BV72" i="69" s="1"/>
  <c r="BX72" i="57"/>
  <c r="BY72" i="57" s="1"/>
  <c r="BY72" i="69" s="1"/>
  <c r="CA72" i="57"/>
  <c r="CB72" i="57" s="1"/>
  <c r="CB72" i="69" s="1"/>
  <c r="CD72" i="57"/>
  <c r="CE72" i="57" s="1"/>
  <c r="CE72" i="69" s="1"/>
  <c r="CG72" i="57"/>
  <c r="CH72" i="57"/>
  <c r="CH72" i="69" s="1"/>
  <c r="CJ72" i="57"/>
  <c r="CK72" i="57" s="1"/>
  <c r="CK72" i="69" s="1"/>
  <c r="CM72" i="57"/>
  <c r="CN72" i="57" s="1"/>
  <c r="CN72" i="69" s="1"/>
  <c r="CP72" i="57"/>
  <c r="CQ72" i="57" s="1"/>
  <c r="CQ72" i="69" s="1"/>
  <c r="CS72" i="57"/>
  <c r="CT72" i="57"/>
  <c r="CT72" i="69" s="1"/>
  <c r="CV72" i="57"/>
  <c r="CW72" i="57" s="1"/>
  <c r="CW72" i="69" s="1"/>
  <c r="CY72" i="57"/>
  <c r="CZ72" i="57" s="1"/>
  <c r="CZ72" i="69" s="1"/>
  <c r="DB72" i="57"/>
  <c r="DC72" i="57" s="1"/>
  <c r="DC72" i="69" s="1"/>
  <c r="DE72" i="57"/>
  <c r="DF72" i="57"/>
  <c r="DF72" i="69" s="1"/>
  <c r="DH72" i="57"/>
  <c r="DI72" i="57" s="1"/>
  <c r="DI72" i="69" s="1"/>
  <c r="DK72" i="57"/>
  <c r="DL72" i="57" s="1"/>
  <c r="DL72" i="69" s="1"/>
  <c r="DN72" i="57"/>
  <c r="DO72" i="57" s="1"/>
  <c r="DO72" i="69" s="1"/>
  <c r="DQ72" i="57"/>
  <c r="DR72" i="57"/>
  <c r="DR72" i="69" s="1"/>
  <c r="DT72" i="57"/>
  <c r="DU72" i="57" s="1"/>
  <c r="DU72" i="69" s="1"/>
  <c r="DW72" i="57"/>
  <c r="DX72" i="57" s="1"/>
  <c r="DX72" i="69" s="1"/>
  <c r="DZ72" i="57"/>
  <c r="EC72" i="57"/>
  <c r="EF72" i="57"/>
  <c r="EI72" i="57"/>
  <c r="EL72" i="57"/>
  <c r="EO72" i="57"/>
  <c r="EP72" i="57"/>
  <c r="EP72" i="69" s="1"/>
  <c r="ER72" i="57"/>
  <c r="EW72" i="57"/>
  <c r="EX72" i="57"/>
  <c r="EY72" i="57"/>
  <c r="FG72" i="57"/>
  <c r="FH72" i="57"/>
  <c r="FI72" i="57"/>
  <c r="FJ72" i="57"/>
  <c r="FK72" i="57"/>
  <c r="FL72" i="57"/>
  <c r="FM72" i="57"/>
  <c r="FN72" i="57"/>
  <c r="FO72" i="57"/>
  <c r="FP72" i="57"/>
  <c r="FQ72" i="57"/>
  <c r="FR72" i="57"/>
  <c r="FS72" i="57"/>
  <c r="FT72" i="57"/>
  <c r="FU72" i="57"/>
  <c r="FV72" i="57"/>
  <c r="FW72" i="57"/>
  <c r="BD73" i="57"/>
  <c r="BF73" i="57"/>
  <c r="BG73" i="57"/>
  <c r="BG73" i="69" s="1"/>
  <c r="BI73" i="57"/>
  <c r="BJ73" i="57"/>
  <c r="BJ73" i="69" s="1"/>
  <c r="BL73" i="57"/>
  <c r="BM73" i="57"/>
  <c r="BM73" i="69" s="1"/>
  <c r="BO73" i="57"/>
  <c r="BP73" i="57"/>
  <c r="BP73" i="69" s="1"/>
  <c r="BR73" i="57"/>
  <c r="BS73" i="57"/>
  <c r="BS73" i="69" s="1"/>
  <c r="BU73" i="57"/>
  <c r="BV73" i="57"/>
  <c r="BV73" i="69" s="1"/>
  <c r="BX73" i="57"/>
  <c r="BY73" i="57"/>
  <c r="BY73" i="69" s="1"/>
  <c r="CA73" i="57"/>
  <c r="CB73" i="57"/>
  <c r="CB73" i="69" s="1"/>
  <c r="CD73" i="57"/>
  <c r="CE73" i="57"/>
  <c r="CE73" i="69" s="1"/>
  <c r="CG73" i="57"/>
  <c r="CH73" i="57"/>
  <c r="CH73" i="69" s="1"/>
  <c r="CJ73" i="57"/>
  <c r="CK73" i="57"/>
  <c r="CK73" i="69" s="1"/>
  <c r="CM73" i="57"/>
  <c r="CN73" i="57"/>
  <c r="CN73" i="69" s="1"/>
  <c r="CP73" i="57"/>
  <c r="CQ73" i="57"/>
  <c r="CQ73" i="69" s="1"/>
  <c r="CS73" i="57"/>
  <c r="CT73" i="57"/>
  <c r="CT73" i="69" s="1"/>
  <c r="CV73" i="57"/>
  <c r="CW73" i="57"/>
  <c r="CW73" i="69" s="1"/>
  <c r="CY73" i="57"/>
  <c r="CZ73" i="57"/>
  <c r="CZ73" i="69" s="1"/>
  <c r="DB73" i="57"/>
  <c r="DC73" i="57"/>
  <c r="DC73" i="69" s="1"/>
  <c r="DE73" i="57"/>
  <c r="DF73" i="57"/>
  <c r="DF73" i="69" s="1"/>
  <c r="DH73" i="57"/>
  <c r="DI73" i="57"/>
  <c r="DI73" i="69" s="1"/>
  <c r="DK73" i="57"/>
  <c r="DL73" i="57"/>
  <c r="DL73" i="69" s="1"/>
  <c r="DN73" i="57"/>
  <c r="DO73" i="57"/>
  <c r="DO73" i="69" s="1"/>
  <c r="DQ73" i="57"/>
  <c r="DR73" i="57"/>
  <c r="DR73" i="69" s="1"/>
  <c r="DT73" i="57"/>
  <c r="DU73" i="57"/>
  <c r="DU73" i="69" s="1"/>
  <c r="DW73" i="57"/>
  <c r="DX73" i="57"/>
  <c r="DX73" i="69" s="1"/>
  <c r="DZ73" i="57"/>
  <c r="EC73" i="57"/>
  <c r="EF73" i="57"/>
  <c r="EI73" i="57"/>
  <c r="EL73" i="57"/>
  <c r="EO73" i="57"/>
  <c r="EP73" i="57" s="1"/>
  <c r="EP73" i="69" s="1"/>
  <c r="ER73" i="57"/>
  <c r="EW73" i="57"/>
  <c r="EX73" i="57"/>
  <c r="EY73" i="57"/>
  <c r="FG73" i="57"/>
  <c r="FH73" i="57"/>
  <c r="FI73" i="57"/>
  <c r="FJ73" i="57"/>
  <c r="FK73" i="57"/>
  <c r="FL73" i="57"/>
  <c r="FM73" i="57"/>
  <c r="FN73" i="57"/>
  <c r="FO73" i="57"/>
  <c r="FP73" i="57"/>
  <c r="FQ73" i="57"/>
  <c r="FR73" i="57"/>
  <c r="FS73" i="57"/>
  <c r="FT73" i="57"/>
  <c r="FU73" i="57"/>
  <c r="FV73" i="57"/>
  <c r="FW73" i="57"/>
  <c r="BD74" i="57"/>
  <c r="BF74" i="57"/>
  <c r="BG74" i="57" s="1"/>
  <c r="BG74" i="69" s="1"/>
  <c r="BI74" i="57"/>
  <c r="BJ74" i="57" s="1"/>
  <c r="BJ74" i="69" s="1"/>
  <c r="BL74" i="57"/>
  <c r="BM74" i="57"/>
  <c r="BM74" i="69" s="1"/>
  <c r="BO74" i="57"/>
  <c r="BP74" i="57" s="1"/>
  <c r="BP74" i="69" s="1"/>
  <c r="BR74" i="57"/>
  <c r="BS74" i="57" s="1"/>
  <c r="BS74" i="69" s="1"/>
  <c r="BU74" i="57"/>
  <c r="BV74" i="57" s="1"/>
  <c r="BV74" i="69" s="1"/>
  <c r="BX74" i="57"/>
  <c r="BY74" i="57"/>
  <c r="BY74" i="69" s="1"/>
  <c r="CA74" i="57"/>
  <c r="CB74" i="57" s="1"/>
  <c r="CB74" i="69" s="1"/>
  <c r="CD74" i="57"/>
  <c r="CE74" i="57" s="1"/>
  <c r="CE74" i="69" s="1"/>
  <c r="CG74" i="57"/>
  <c r="CH74" i="57" s="1"/>
  <c r="CH74" i="69" s="1"/>
  <c r="CJ74" i="57"/>
  <c r="CK74" i="57"/>
  <c r="CK74" i="69" s="1"/>
  <c r="CM74" i="57"/>
  <c r="CN74" i="57" s="1"/>
  <c r="CN74" i="69" s="1"/>
  <c r="CP74" i="57"/>
  <c r="CQ74" i="57" s="1"/>
  <c r="CQ74" i="69" s="1"/>
  <c r="CS74" i="57"/>
  <c r="CT74" i="57" s="1"/>
  <c r="CT74" i="69" s="1"/>
  <c r="CV74" i="57"/>
  <c r="CW74" i="57"/>
  <c r="CW74" i="69" s="1"/>
  <c r="CY74" i="57"/>
  <c r="CZ74" i="57" s="1"/>
  <c r="CZ74" i="69" s="1"/>
  <c r="DB74" i="57"/>
  <c r="DC74" i="57" s="1"/>
  <c r="DC74" i="69" s="1"/>
  <c r="DE74" i="57"/>
  <c r="DF74" i="57" s="1"/>
  <c r="DF74" i="69" s="1"/>
  <c r="DH74" i="57"/>
  <c r="DI74" i="57"/>
  <c r="DI74" i="69" s="1"/>
  <c r="DK74" i="57"/>
  <c r="DL74" i="57" s="1"/>
  <c r="DL74" i="69" s="1"/>
  <c r="DN74" i="57"/>
  <c r="DO74" i="57" s="1"/>
  <c r="DO74" i="69" s="1"/>
  <c r="DQ74" i="57"/>
  <c r="DR74" i="57" s="1"/>
  <c r="DR74" i="69" s="1"/>
  <c r="DT74" i="57"/>
  <c r="DU74" i="57"/>
  <c r="DU74" i="69" s="1"/>
  <c r="DW74" i="57"/>
  <c r="DX74" i="57" s="1"/>
  <c r="DX74" i="69" s="1"/>
  <c r="DZ74" i="57"/>
  <c r="EC74" i="57"/>
  <c r="EF74" i="57"/>
  <c r="EI74" i="57"/>
  <c r="EL74" i="57"/>
  <c r="EO74" i="57"/>
  <c r="EP74" i="57"/>
  <c r="EP74" i="69" s="1"/>
  <c r="ER74" i="57"/>
  <c r="EW74" i="57"/>
  <c r="EX74" i="57"/>
  <c r="EY74" i="57"/>
  <c r="FG74" i="57"/>
  <c r="FH74" i="57"/>
  <c r="FI74" i="57"/>
  <c r="FJ74" i="57"/>
  <c r="FK74" i="57"/>
  <c r="FL74" i="57"/>
  <c r="FM74" i="57"/>
  <c r="FN74" i="57"/>
  <c r="FO74" i="57"/>
  <c r="FP74" i="57"/>
  <c r="FQ74" i="57"/>
  <c r="FR74" i="57"/>
  <c r="FS74" i="57"/>
  <c r="FT74" i="57"/>
  <c r="FU74" i="57"/>
  <c r="FV74" i="57"/>
  <c r="FW74" i="57"/>
  <c r="BD75" i="57"/>
  <c r="BF75" i="57"/>
  <c r="BG75" i="57"/>
  <c r="BG75" i="69" s="1"/>
  <c r="BI75" i="57"/>
  <c r="BJ75" i="57"/>
  <c r="BJ75" i="69" s="1"/>
  <c r="BL75" i="57"/>
  <c r="BM75" i="57"/>
  <c r="BM75" i="69" s="1"/>
  <c r="BO75" i="57"/>
  <c r="BP75" i="57"/>
  <c r="BP75" i="69" s="1"/>
  <c r="BR75" i="57"/>
  <c r="BS75" i="57"/>
  <c r="BS75" i="69" s="1"/>
  <c r="BU75" i="57"/>
  <c r="BV75" i="57"/>
  <c r="BV75" i="69" s="1"/>
  <c r="BX75" i="57"/>
  <c r="BY75" i="57"/>
  <c r="BY75" i="69" s="1"/>
  <c r="CA75" i="57"/>
  <c r="CB75" i="57"/>
  <c r="CB75" i="69" s="1"/>
  <c r="CD75" i="57"/>
  <c r="CE75" i="57"/>
  <c r="CE75" i="69" s="1"/>
  <c r="CG75" i="57"/>
  <c r="CH75" i="57"/>
  <c r="CH75" i="69" s="1"/>
  <c r="CJ75" i="57"/>
  <c r="CK75" i="57"/>
  <c r="CK75" i="69" s="1"/>
  <c r="CM75" i="57"/>
  <c r="CN75" i="57"/>
  <c r="CN75" i="69" s="1"/>
  <c r="CP75" i="57"/>
  <c r="CQ75" i="57"/>
  <c r="CQ75" i="69" s="1"/>
  <c r="CS75" i="57"/>
  <c r="CT75" i="57"/>
  <c r="CT75" i="69" s="1"/>
  <c r="CV75" i="57"/>
  <c r="CW75" i="57"/>
  <c r="CW75" i="69" s="1"/>
  <c r="CY75" i="57"/>
  <c r="CZ75" i="57"/>
  <c r="CZ75" i="69" s="1"/>
  <c r="DB75" i="57"/>
  <c r="DC75" i="57"/>
  <c r="DC75" i="69" s="1"/>
  <c r="DE75" i="57"/>
  <c r="DF75" i="57"/>
  <c r="DF75" i="69" s="1"/>
  <c r="DH75" i="57"/>
  <c r="DI75" i="57"/>
  <c r="DI75" i="69" s="1"/>
  <c r="DK75" i="57"/>
  <c r="DL75" i="57"/>
  <c r="DL75" i="69" s="1"/>
  <c r="DN75" i="57"/>
  <c r="DO75" i="57"/>
  <c r="DO75" i="69" s="1"/>
  <c r="DQ75" i="57"/>
  <c r="DR75" i="57"/>
  <c r="DR75" i="69" s="1"/>
  <c r="DT75" i="57"/>
  <c r="DU75" i="57"/>
  <c r="DU75" i="69" s="1"/>
  <c r="DW75" i="57"/>
  <c r="DX75" i="57"/>
  <c r="DX75" i="69" s="1"/>
  <c r="DZ75" i="57"/>
  <c r="EC75" i="57"/>
  <c r="EF75" i="57"/>
  <c r="EI75" i="57"/>
  <c r="EL75" i="57"/>
  <c r="EO75" i="57"/>
  <c r="EP75" i="57" s="1"/>
  <c r="EP75" i="69" s="1"/>
  <c r="ER75" i="57"/>
  <c r="EW75" i="57"/>
  <c r="EX75" i="57"/>
  <c r="EY75" i="57"/>
  <c r="FG75" i="57"/>
  <c r="FH75" i="57"/>
  <c r="FI75" i="57"/>
  <c r="FJ75" i="57"/>
  <c r="FK75" i="57"/>
  <c r="FL75" i="57"/>
  <c r="FM75" i="57"/>
  <c r="FN75" i="57"/>
  <c r="FO75" i="57"/>
  <c r="FP75" i="57"/>
  <c r="FQ75" i="57"/>
  <c r="FR75" i="57"/>
  <c r="FS75" i="57"/>
  <c r="FT75" i="57"/>
  <c r="FU75" i="57"/>
  <c r="FV75" i="57"/>
  <c r="FW75" i="57"/>
  <c r="BD76" i="57"/>
  <c r="BF76" i="57"/>
  <c r="BG76" i="57" s="1"/>
  <c r="BG76" i="69" s="1"/>
  <c r="BI76" i="57"/>
  <c r="BJ76" i="57" s="1"/>
  <c r="BJ76" i="69" s="1"/>
  <c r="BL76" i="57"/>
  <c r="BM76" i="57" s="1"/>
  <c r="BM76" i="69" s="1"/>
  <c r="BO76" i="57"/>
  <c r="BP76" i="57"/>
  <c r="BP76" i="69" s="1"/>
  <c r="BR76" i="57"/>
  <c r="BS76" i="57" s="1"/>
  <c r="BS76" i="69" s="1"/>
  <c r="BU76" i="57"/>
  <c r="BV76" i="57" s="1"/>
  <c r="BV76" i="69" s="1"/>
  <c r="BX76" i="57"/>
  <c r="BY76" i="57" s="1"/>
  <c r="BY76" i="69" s="1"/>
  <c r="CA76" i="57"/>
  <c r="CB76" i="57"/>
  <c r="CB76" i="69" s="1"/>
  <c r="CD76" i="57"/>
  <c r="CE76" i="57" s="1"/>
  <c r="CE76" i="69" s="1"/>
  <c r="CG76" i="57"/>
  <c r="CH76" i="57" s="1"/>
  <c r="CH76" i="69" s="1"/>
  <c r="CJ76" i="57"/>
  <c r="CK76" i="57" s="1"/>
  <c r="CK76" i="69" s="1"/>
  <c r="CM76" i="57"/>
  <c r="CN76" i="57"/>
  <c r="CN76" i="69" s="1"/>
  <c r="CP76" i="57"/>
  <c r="CQ76" i="57" s="1"/>
  <c r="CQ76" i="69" s="1"/>
  <c r="CS76" i="57"/>
  <c r="CT76" i="57" s="1"/>
  <c r="CT76" i="69" s="1"/>
  <c r="CV76" i="57"/>
  <c r="CW76" i="57" s="1"/>
  <c r="CW76" i="69" s="1"/>
  <c r="CY76" i="57"/>
  <c r="CZ76" i="57"/>
  <c r="CZ76" i="69" s="1"/>
  <c r="DB76" i="57"/>
  <c r="DC76" i="57" s="1"/>
  <c r="DC76" i="69" s="1"/>
  <c r="DE76" i="57"/>
  <c r="DF76" i="57" s="1"/>
  <c r="DF76" i="69" s="1"/>
  <c r="DH76" i="57"/>
  <c r="DI76" i="57" s="1"/>
  <c r="DI76" i="69" s="1"/>
  <c r="DK76" i="57"/>
  <c r="DL76" i="57"/>
  <c r="DL76" i="69" s="1"/>
  <c r="DN76" i="57"/>
  <c r="DO76" i="57" s="1"/>
  <c r="DO76" i="69" s="1"/>
  <c r="DQ76" i="57"/>
  <c r="DR76" i="57" s="1"/>
  <c r="DR76" i="69" s="1"/>
  <c r="DT76" i="57"/>
  <c r="DU76" i="57" s="1"/>
  <c r="DU76" i="69" s="1"/>
  <c r="DW76" i="57"/>
  <c r="DX76" i="57"/>
  <c r="DX76" i="69" s="1"/>
  <c r="DZ76" i="57"/>
  <c r="EC76" i="57"/>
  <c r="EF76" i="57"/>
  <c r="EI76" i="57"/>
  <c r="EL76" i="57"/>
  <c r="EO76" i="57"/>
  <c r="EP76" i="57"/>
  <c r="EP76" i="69" s="1"/>
  <c r="ER76" i="57"/>
  <c r="EW76" i="57"/>
  <c r="EX76" i="57"/>
  <c r="EY76" i="57"/>
  <c r="FG76" i="57"/>
  <c r="FH76" i="57"/>
  <c r="FI76" i="57"/>
  <c r="FJ76" i="57"/>
  <c r="FK76" i="57"/>
  <c r="FL76" i="57"/>
  <c r="FM76" i="57"/>
  <c r="FN76" i="57"/>
  <c r="FO76" i="57"/>
  <c r="FP76" i="57"/>
  <c r="FQ76" i="57"/>
  <c r="FR76" i="57"/>
  <c r="FS76" i="57"/>
  <c r="FT76" i="57"/>
  <c r="FU76" i="57"/>
  <c r="FV76" i="57"/>
  <c r="FW76" i="57"/>
  <c r="BD77" i="57"/>
  <c r="BF77" i="57"/>
  <c r="BG77" i="57" s="1"/>
  <c r="BG77" i="69" s="1"/>
  <c r="BI77" i="57"/>
  <c r="BJ77" i="57" s="1"/>
  <c r="BJ77" i="69" s="1"/>
  <c r="BL77" i="57"/>
  <c r="BM77" i="57" s="1"/>
  <c r="BM77" i="69" s="1"/>
  <c r="BO77" i="57"/>
  <c r="BP77" i="57" s="1"/>
  <c r="BP77" i="69" s="1"/>
  <c r="BR77" i="57"/>
  <c r="BS77" i="57" s="1"/>
  <c r="BS77" i="69" s="1"/>
  <c r="BU77" i="57"/>
  <c r="BV77" i="57" s="1"/>
  <c r="BV77" i="69" s="1"/>
  <c r="BX77" i="57"/>
  <c r="BY77" i="57" s="1"/>
  <c r="BY77" i="69" s="1"/>
  <c r="CA77" i="57"/>
  <c r="CB77" i="57" s="1"/>
  <c r="CB77" i="69" s="1"/>
  <c r="CD77" i="57"/>
  <c r="CE77" i="57" s="1"/>
  <c r="CE77" i="69" s="1"/>
  <c r="CG77" i="57"/>
  <c r="CH77" i="57" s="1"/>
  <c r="CH77" i="69" s="1"/>
  <c r="CJ77" i="57"/>
  <c r="CK77" i="57" s="1"/>
  <c r="CK77" i="69" s="1"/>
  <c r="CM77" i="57"/>
  <c r="CN77" i="57" s="1"/>
  <c r="CN77" i="69" s="1"/>
  <c r="CP77" i="57"/>
  <c r="CQ77" i="57" s="1"/>
  <c r="CQ77" i="69" s="1"/>
  <c r="CS77" i="57"/>
  <c r="CT77" i="57" s="1"/>
  <c r="CT77" i="69" s="1"/>
  <c r="CV77" i="57"/>
  <c r="CW77" i="57" s="1"/>
  <c r="CW77" i="69" s="1"/>
  <c r="CY77" i="57"/>
  <c r="CZ77" i="57" s="1"/>
  <c r="CZ77" i="69" s="1"/>
  <c r="DB77" i="57"/>
  <c r="DC77" i="57" s="1"/>
  <c r="DC77" i="69" s="1"/>
  <c r="DE77" i="57"/>
  <c r="DF77" i="57" s="1"/>
  <c r="DF77" i="69" s="1"/>
  <c r="DH77" i="57"/>
  <c r="DI77" i="57" s="1"/>
  <c r="DI77" i="69" s="1"/>
  <c r="DK77" i="57"/>
  <c r="DL77" i="57" s="1"/>
  <c r="DL77" i="69" s="1"/>
  <c r="DN77" i="57"/>
  <c r="DO77" i="57" s="1"/>
  <c r="DO77" i="69" s="1"/>
  <c r="DQ77" i="57"/>
  <c r="DR77" i="57" s="1"/>
  <c r="DR77" i="69" s="1"/>
  <c r="DT77" i="57"/>
  <c r="DU77" i="57" s="1"/>
  <c r="DU77" i="69" s="1"/>
  <c r="DW77" i="57"/>
  <c r="DX77" i="57" s="1"/>
  <c r="DX77" i="69" s="1"/>
  <c r="DZ77" i="57"/>
  <c r="EC77" i="57"/>
  <c r="EF77" i="57"/>
  <c r="EI77" i="57"/>
  <c r="EL77" i="57"/>
  <c r="EO77" i="57"/>
  <c r="EP77" i="57"/>
  <c r="EP77" i="69" s="1"/>
  <c r="ER77" i="57"/>
  <c r="EW77" i="57"/>
  <c r="EX77" i="57"/>
  <c r="EY77" i="57"/>
  <c r="FG77" i="57"/>
  <c r="FH77" i="57"/>
  <c r="FI77" i="57"/>
  <c r="FJ77" i="57"/>
  <c r="FK77" i="57"/>
  <c r="FL77" i="57"/>
  <c r="FM77" i="57"/>
  <c r="FN77" i="57"/>
  <c r="FO77" i="57"/>
  <c r="FP77" i="57"/>
  <c r="FQ77" i="57"/>
  <c r="FR77" i="57"/>
  <c r="FS77" i="57"/>
  <c r="FT77" i="57"/>
  <c r="FU77" i="57"/>
  <c r="FV77" i="57"/>
  <c r="FW77" i="57"/>
  <c r="BD78" i="57"/>
  <c r="BF78" i="57"/>
  <c r="BG78" i="57"/>
  <c r="BG78" i="69" s="1"/>
  <c r="BI78" i="57"/>
  <c r="BJ78" i="57"/>
  <c r="BJ78" i="69" s="1"/>
  <c r="BL78" i="57"/>
  <c r="BM78" i="57"/>
  <c r="BM78" i="69" s="1"/>
  <c r="BO78" i="57"/>
  <c r="BP78" i="57"/>
  <c r="BP78" i="69" s="1"/>
  <c r="BR78" i="57"/>
  <c r="BS78" i="57"/>
  <c r="BS78" i="69" s="1"/>
  <c r="BU78" i="57"/>
  <c r="BV78" i="57"/>
  <c r="BV78" i="69" s="1"/>
  <c r="BX78" i="57"/>
  <c r="BY78" i="57"/>
  <c r="BY78" i="69" s="1"/>
  <c r="CA78" i="57"/>
  <c r="CB78" i="57"/>
  <c r="CB78" i="69" s="1"/>
  <c r="CD78" i="57"/>
  <c r="CE78" i="57"/>
  <c r="CE78" i="69" s="1"/>
  <c r="CG78" i="57"/>
  <c r="CH78" i="57"/>
  <c r="CH78" i="69" s="1"/>
  <c r="CJ78" i="57"/>
  <c r="CK78" i="57"/>
  <c r="CK78" i="69" s="1"/>
  <c r="CM78" i="57"/>
  <c r="CN78" i="57"/>
  <c r="CN78" i="69" s="1"/>
  <c r="CP78" i="57"/>
  <c r="CQ78" i="57"/>
  <c r="CQ78" i="69" s="1"/>
  <c r="CS78" i="57"/>
  <c r="CT78" i="57"/>
  <c r="CT78" i="69" s="1"/>
  <c r="CV78" i="57"/>
  <c r="CW78" i="57"/>
  <c r="CW78" i="69" s="1"/>
  <c r="CY78" i="57"/>
  <c r="CZ78" i="57"/>
  <c r="CZ78" i="69" s="1"/>
  <c r="DB78" i="57"/>
  <c r="DC78" i="57"/>
  <c r="DC78" i="69" s="1"/>
  <c r="DE78" i="57"/>
  <c r="DF78" i="57"/>
  <c r="DF78" i="69" s="1"/>
  <c r="DH78" i="57"/>
  <c r="DI78" i="57"/>
  <c r="DI78" i="69" s="1"/>
  <c r="DK78" i="57"/>
  <c r="DL78" i="57"/>
  <c r="DL78" i="69" s="1"/>
  <c r="DN78" i="57"/>
  <c r="DO78" i="57"/>
  <c r="DO78" i="69" s="1"/>
  <c r="DQ78" i="57"/>
  <c r="DR78" i="57"/>
  <c r="DR78" i="69" s="1"/>
  <c r="DT78" i="57"/>
  <c r="DU78" i="57"/>
  <c r="DU78" i="69" s="1"/>
  <c r="DW78" i="57"/>
  <c r="DX78" i="57"/>
  <c r="DX78" i="69" s="1"/>
  <c r="DZ78" i="57"/>
  <c r="EC78" i="57"/>
  <c r="EF78" i="57"/>
  <c r="EI78" i="57"/>
  <c r="EL78" i="57"/>
  <c r="EO78" i="57"/>
  <c r="EP78" i="57" s="1"/>
  <c r="EP78" i="69" s="1"/>
  <c r="ER78" i="57"/>
  <c r="EW78" i="57"/>
  <c r="EX78" i="57"/>
  <c r="EY78" i="57"/>
  <c r="FG78" i="57"/>
  <c r="FH78" i="57"/>
  <c r="FI78" i="57"/>
  <c r="FJ78" i="57"/>
  <c r="FK78" i="57"/>
  <c r="FL78" i="57"/>
  <c r="FM78" i="57"/>
  <c r="FN78" i="57"/>
  <c r="FO78" i="57"/>
  <c r="FP78" i="57"/>
  <c r="FQ78" i="57"/>
  <c r="FR78" i="57"/>
  <c r="FS78" i="57"/>
  <c r="FT78" i="57"/>
  <c r="FU78" i="57"/>
  <c r="FV78" i="57"/>
  <c r="FW78" i="57"/>
  <c r="BD79" i="57"/>
  <c r="BF79" i="57"/>
  <c r="BG79" i="57" s="1"/>
  <c r="BG79" i="69" s="1"/>
  <c r="BI79" i="57"/>
  <c r="BJ79" i="57" s="1"/>
  <c r="BJ79" i="69" s="1"/>
  <c r="BL79" i="57"/>
  <c r="BM79" i="57" s="1"/>
  <c r="BM79" i="69" s="1"/>
  <c r="BO79" i="57"/>
  <c r="BP79" i="57" s="1"/>
  <c r="BP79" i="69" s="1"/>
  <c r="BR79" i="57"/>
  <c r="BS79" i="57" s="1"/>
  <c r="BS79" i="69" s="1"/>
  <c r="BU79" i="57"/>
  <c r="BV79" i="57" s="1"/>
  <c r="BV79" i="69" s="1"/>
  <c r="BX79" i="57"/>
  <c r="BY79" i="57" s="1"/>
  <c r="BY79" i="69" s="1"/>
  <c r="CA79" i="57"/>
  <c r="CB79" i="57" s="1"/>
  <c r="CB79" i="69" s="1"/>
  <c r="CD79" i="57"/>
  <c r="CE79" i="57" s="1"/>
  <c r="CE79" i="69" s="1"/>
  <c r="CG79" i="57"/>
  <c r="CH79" i="57" s="1"/>
  <c r="CH79" i="69" s="1"/>
  <c r="CJ79" i="57"/>
  <c r="CK79" i="57" s="1"/>
  <c r="CK79" i="69" s="1"/>
  <c r="CM79" i="57"/>
  <c r="CN79" i="57" s="1"/>
  <c r="CN79" i="69" s="1"/>
  <c r="CP79" i="57"/>
  <c r="CQ79" i="57" s="1"/>
  <c r="CQ79" i="69" s="1"/>
  <c r="CS79" i="57"/>
  <c r="CT79" i="57" s="1"/>
  <c r="CT79" i="69" s="1"/>
  <c r="CV79" i="57"/>
  <c r="CW79" i="57" s="1"/>
  <c r="CW79" i="69" s="1"/>
  <c r="CY79" i="57"/>
  <c r="CZ79" i="57" s="1"/>
  <c r="CZ79" i="69" s="1"/>
  <c r="DB79" i="57"/>
  <c r="DC79" i="57" s="1"/>
  <c r="DC79" i="69" s="1"/>
  <c r="DE79" i="57"/>
  <c r="DF79" i="57" s="1"/>
  <c r="DF79" i="69" s="1"/>
  <c r="DH79" i="57"/>
  <c r="DI79" i="57" s="1"/>
  <c r="DI79" i="69" s="1"/>
  <c r="DK79" i="57"/>
  <c r="DL79" i="57" s="1"/>
  <c r="DL79" i="69" s="1"/>
  <c r="DN79" i="57"/>
  <c r="DO79" i="57" s="1"/>
  <c r="DO79" i="69" s="1"/>
  <c r="DQ79" i="57"/>
  <c r="DR79" i="57" s="1"/>
  <c r="DR79" i="69" s="1"/>
  <c r="DT79" i="57"/>
  <c r="DU79" i="57" s="1"/>
  <c r="DU79" i="69" s="1"/>
  <c r="DW79" i="57"/>
  <c r="DX79" i="57" s="1"/>
  <c r="DX79" i="69" s="1"/>
  <c r="DZ79" i="57"/>
  <c r="EC79" i="57"/>
  <c r="EF79" i="57"/>
  <c r="EI79" i="57"/>
  <c r="EL79" i="57"/>
  <c r="EO79" i="57"/>
  <c r="EP79" i="57"/>
  <c r="EP79" i="69" s="1"/>
  <c r="ER79" i="57"/>
  <c r="EW79" i="57"/>
  <c r="EX79" i="57"/>
  <c r="EY79" i="57"/>
  <c r="FG79" i="57"/>
  <c r="FH79" i="57"/>
  <c r="FI79" i="57"/>
  <c r="FJ79" i="57"/>
  <c r="FK79" i="57"/>
  <c r="FL79" i="57"/>
  <c r="FM79" i="57"/>
  <c r="FN79" i="57"/>
  <c r="FO79" i="57"/>
  <c r="FP79" i="57"/>
  <c r="FQ79" i="57"/>
  <c r="FR79" i="57"/>
  <c r="FS79" i="57"/>
  <c r="FT79" i="57"/>
  <c r="FU79" i="57"/>
  <c r="FV79" i="57"/>
  <c r="FW79" i="57"/>
  <c r="BD80" i="57"/>
  <c r="BF80" i="57"/>
  <c r="BG80" i="57"/>
  <c r="BG80" i="69" s="1"/>
  <c r="BI80" i="57"/>
  <c r="BJ80" i="57"/>
  <c r="BJ80" i="69" s="1"/>
  <c r="BL80" i="57"/>
  <c r="BM80" i="57"/>
  <c r="BM80" i="69" s="1"/>
  <c r="BO80" i="57"/>
  <c r="BP80" i="57"/>
  <c r="BP80" i="69" s="1"/>
  <c r="BR80" i="57"/>
  <c r="BS80" i="57"/>
  <c r="BS80" i="69" s="1"/>
  <c r="BU80" i="57"/>
  <c r="BV80" i="57"/>
  <c r="BV80" i="69" s="1"/>
  <c r="BX80" i="57"/>
  <c r="BY80" i="57"/>
  <c r="BY80" i="69" s="1"/>
  <c r="CA80" i="57"/>
  <c r="CB80" i="57"/>
  <c r="CB80" i="69" s="1"/>
  <c r="CD80" i="57"/>
  <c r="CE80" i="57"/>
  <c r="CE80" i="69" s="1"/>
  <c r="CG80" i="57"/>
  <c r="CH80" i="57"/>
  <c r="CH80" i="69" s="1"/>
  <c r="CJ80" i="57"/>
  <c r="CK80" i="57"/>
  <c r="CK80" i="69" s="1"/>
  <c r="CM80" i="57"/>
  <c r="CN80" i="57"/>
  <c r="CN80" i="69" s="1"/>
  <c r="CP80" i="57"/>
  <c r="CQ80" i="57"/>
  <c r="CQ80" i="69" s="1"/>
  <c r="CS80" i="57"/>
  <c r="CT80" i="57"/>
  <c r="CT80" i="69" s="1"/>
  <c r="CV80" i="57"/>
  <c r="CW80" i="57"/>
  <c r="CW80" i="69" s="1"/>
  <c r="CY80" i="57"/>
  <c r="CZ80" i="57"/>
  <c r="CZ80" i="69" s="1"/>
  <c r="DB80" i="57"/>
  <c r="DC80" i="57"/>
  <c r="DC80" i="69" s="1"/>
  <c r="DE80" i="57"/>
  <c r="DF80" i="57"/>
  <c r="DF80" i="69" s="1"/>
  <c r="DH80" i="57"/>
  <c r="DI80" i="57"/>
  <c r="DI80" i="69" s="1"/>
  <c r="DK80" i="57"/>
  <c r="DL80" i="57"/>
  <c r="DL80" i="69" s="1"/>
  <c r="DN80" i="57"/>
  <c r="DO80" i="57"/>
  <c r="DO80" i="69" s="1"/>
  <c r="DQ80" i="57"/>
  <c r="DR80" i="57"/>
  <c r="DR80" i="69" s="1"/>
  <c r="DT80" i="57"/>
  <c r="DU80" i="57"/>
  <c r="DU80" i="69" s="1"/>
  <c r="DW80" i="57"/>
  <c r="DX80" i="57"/>
  <c r="DX80" i="69" s="1"/>
  <c r="DZ80" i="57"/>
  <c r="EC80" i="57"/>
  <c r="EF80" i="57"/>
  <c r="EI80" i="57"/>
  <c r="EL80" i="57"/>
  <c r="EO80" i="57"/>
  <c r="EP80" i="57" s="1"/>
  <c r="EP80" i="69" s="1"/>
  <c r="ER80" i="57"/>
  <c r="EW80" i="57"/>
  <c r="EX80" i="57"/>
  <c r="EY80" i="57"/>
  <c r="FG80" i="57"/>
  <c r="FH80" i="57"/>
  <c r="FI80" i="57"/>
  <c r="FJ80" i="57"/>
  <c r="FK80" i="57"/>
  <c r="FL80" i="57"/>
  <c r="FM80" i="57"/>
  <c r="FN80" i="57"/>
  <c r="FO80" i="57"/>
  <c r="FP80" i="57"/>
  <c r="FQ80" i="57"/>
  <c r="FR80" i="57"/>
  <c r="FS80" i="57"/>
  <c r="FT80" i="57"/>
  <c r="FU80" i="57"/>
  <c r="FV80" i="57"/>
  <c r="FW80" i="57"/>
  <c r="BD81" i="57"/>
  <c r="BF81" i="57"/>
  <c r="BG81" i="57" s="1"/>
  <c r="BG81" i="69" s="1"/>
  <c r="BI81" i="57"/>
  <c r="BJ81" i="57" s="1"/>
  <c r="BJ81" i="69" s="1"/>
  <c r="BL81" i="57"/>
  <c r="BM81" i="57" s="1"/>
  <c r="BM81" i="69" s="1"/>
  <c r="BO81" i="57"/>
  <c r="BP81" i="57" s="1"/>
  <c r="BP81" i="69" s="1"/>
  <c r="BR81" i="57"/>
  <c r="BS81" i="57" s="1"/>
  <c r="BS81" i="69" s="1"/>
  <c r="BU81" i="57"/>
  <c r="BV81" i="57" s="1"/>
  <c r="BV81" i="69" s="1"/>
  <c r="BX81" i="57"/>
  <c r="BY81" i="57" s="1"/>
  <c r="BY81" i="69" s="1"/>
  <c r="CA81" i="57"/>
  <c r="CB81" i="57" s="1"/>
  <c r="CB81" i="69" s="1"/>
  <c r="CD81" i="57"/>
  <c r="CE81" i="57" s="1"/>
  <c r="CE81" i="69" s="1"/>
  <c r="CG81" i="57"/>
  <c r="CH81" i="57" s="1"/>
  <c r="CH81" i="69" s="1"/>
  <c r="CJ81" i="57"/>
  <c r="CK81" i="57" s="1"/>
  <c r="CK81" i="69" s="1"/>
  <c r="CM81" i="57"/>
  <c r="CN81" i="57" s="1"/>
  <c r="CN81" i="69" s="1"/>
  <c r="CP81" i="57"/>
  <c r="CQ81" i="57" s="1"/>
  <c r="CQ81" i="69" s="1"/>
  <c r="CS81" i="57"/>
  <c r="CT81" i="57" s="1"/>
  <c r="CT81" i="69" s="1"/>
  <c r="CV81" i="57"/>
  <c r="CW81" i="57" s="1"/>
  <c r="CW81" i="69" s="1"/>
  <c r="CY81" i="57"/>
  <c r="CZ81" i="57" s="1"/>
  <c r="CZ81" i="69" s="1"/>
  <c r="DB81" i="57"/>
  <c r="DC81" i="57" s="1"/>
  <c r="DC81" i="69" s="1"/>
  <c r="DE81" i="57"/>
  <c r="DF81" i="57" s="1"/>
  <c r="DF81" i="69" s="1"/>
  <c r="DH81" i="57"/>
  <c r="DI81" i="57" s="1"/>
  <c r="DI81" i="69" s="1"/>
  <c r="DK81" i="57"/>
  <c r="DL81" i="57" s="1"/>
  <c r="DL81" i="69" s="1"/>
  <c r="DN81" i="57"/>
  <c r="DO81" i="57" s="1"/>
  <c r="DO81" i="69" s="1"/>
  <c r="DQ81" i="57"/>
  <c r="DR81" i="57" s="1"/>
  <c r="DR81" i="69" s="1"/>
  <c r="DT81" i="57"/>
  <c r="DU81" i="57" s="1"/>
  <c r="DU81" i="69" s="1"/>
  <c r="DW81" i="57"/>
  <c r="DX81" i="57" s="1"/>
  <c r="DX81" i="69" s="1"/>
  <c r="DZ81" i="57"/>
  <c r="EC81" i="57"/>
  <c r="EF81" i="57"/>
  <c r="EI81" i="57"/>
  <c r="EL81" i="57"/>
  <c r="EO81" i="57"/>
  <c r="EP81" i="57"/>
  <c r="EP81" i="69" s="1"/>
  <c r="ER81" i="57"/>
  <c r="EW81" i="57"/>
  <c r="EX81" i="57"/>
  <c r="EY81" i="57"/>
  <c r="FG81" i="57"/>
  <c r="FH81" i="57"/>
  <c r="FI81" i="57"/>
  <c r="FJ81" i="57"/>
  <c r="FK81" i="57"/>
  <c r="FL81" i="57"/>
  <c r="FM81" i="57"/>
  <c r="FN81" i="57"/>
  <c r="FO81" i="57"/>
  <c r="FP81" i="57"/>
  <c r="FQ81" i="57"/>
  <c r="FR81" i="57"/>
  <c r="FS81" i="57"/>
  <c r="FT81" i="57"/>
  <c r="FU81" i="57"/>
  <c r="FV81" i="57"/>
  <c r="FW81" i="57"/>
  <c r="BD82" i="57"/>
  <c r="BF82" i="57"/>
  <c r="BG82" i="57"/>
  <c r="BG82" i="69" s="1"/>
  <c r="BI82" i="57"/>
  <c r="BJ82" i="57"/>
  <c r="BJ82" i="69" s="1"/>
  <c r="BL82" i="57"/>
  <c r="BM82" i="57"/>
  <c r="BM82" i="69" s="1"/>
  <c r="BO82" i="57"/>
  <c r="BP82" i="57"/>
  <c r="BP82" i="69" s="1"/>
  <c r="BR82" i="57"/>
  <c r="BS82" i="57"/>
  <c r="BS82" i="69" s="1"/>
  <c r="BU82" i="57"/>
  <c r="BV82" i="57"/>
  <c r="BV82" i="69" s="1"/>
  <c r="BX82" i="57"/>
  <c r="BY82" i="57"/>
  <c r="BY82" i="69" s="1"/>
  <c r="CA82" i="57"/>
  <c r="CB82" i="57"/>
  <c r="CB82" i="69" s="1"/>
  <c r="CD82" i="57"/>
  <c r="CE82" i="57"/>
  <c r="CE82" i="69" s="1"/>
  <c r="CG82" i="57"/>
  <c r="CH82" i="57"/>
  <c r="CH82" i="69" s="1"/>
  <c r="CJ82" i="57"/>
  <c r="CK82" i="57"/>
  <c r="CK82" i="69" s="1"/>
  <c r="CM82" i="57"/>
  <c r="CN82" i="57"/>
  <c r="CN82" i="69" s="1"/>
  <c r="CP82" i="57"/>
  <c r="CQ82" i="57"/>
  <c r="CQ82" i="69" s="1"/>
  <c r="CS82" i="57"/>
  <c r="CT82" i="57"/>
  <c r="CT82" i="69" s="1"/>
  <c r="CV82" i="57"/>
  <c r="CW82" i="57"/>
  <c r="CW82" i="69" s="1"/>
  <c r="CY82" i="57"/>
  <c r="CZ82" i="57"/>
  <c r="CZ82" i="69" s="1"/>
  <c r="DB82" i="57"/>
  <c r="DC82" i="57"/>
  <c r="DC82" i="69" s="1"/>
  <c r="DE82" i="57"/>
  <c r="DF82" i="57"/>
  <c r="DF82" i="69" s="1"/>
  <c r="DH82" i="57"/>
  <c r="DI82" i="57"/>
  <c r="DI82" i="69" s="1"/>
  <c r="DK82" i="57"/>
  <c r="DL82" i="57"/>
  <c r="DL82" i="69" s="1"/>
  <c r="DN82" i="57"/>
  <c r="DO82" i="57"/>
  <c r="DO82" i="69" s="1"/>
  <c r="DQ82" i="57"/>
  <c r="DR82" i="57"/>
  <c r="DR82" i="69" s="1"/>
  <c r="DT82" i="57"/>
  <c r="DU82" i="57"/>
  <c r="DU82" i="69" s="1"/>
  <c r="DW82" i="57"/>
  <c r="DX82" i="57"/>
  <c r="DX82" i="69" s="1"/>
  <c r="DZ82" i="57"/>
  <c r="EC82" i="57"/>
  <c r="EF82" i="57"/>
  <c r="EI82" i="57"/>
  <c r="EL82" i="57"/>
  <c r="EO82" i="57"/>
  <c r="EP82" i="57" s="1"/>
  <c r="EP82" i="69" s="1"/>
  <c r="ER82" i="57"/>
  <c r="EW82" i="57"/>
  <c r="EX82" i="57"/>
  <c r="EY82" i="57"/>
  <c r="FG82" i="57"/>
  <c r="FH82" i="57"/>
  <c r="FI82" i="57"/>
  <c r="FJ82" i="57"/>
  <c r="FK82" i="57"/>
  <c r="FL82" i="57"/>
  <c r="FM82" i="57"/>
  <c r="FN82" i="57"/>
  <c r="FO82" i="57"/>
  <c r="FP82" i="57"/>
  <c r="FQ82" i="57"/>
  <c r="FR82" i="57"/>
  <c r="FS82" i="57"/>
  <c r="FT82" i="57"/>
  <c r="FU82" i="57"/>
  <c r="FV82" i="57"/>
  <c r="FW82" i="57"/>
  <c r="EL17" i="57"/>
  <c r="EI17" i="57"/>
  <c r="EF17" i="57"/>
  <c r="EC17" i="57"/>
  <c r="DZ17" i="57"/>
  <c r="EL16" i="57"/>
  <c r="EI16" i="57"/>
  <c r="EF16" i="57"/>
  <c r="EC16" i="57"/>
  <c r="DZ16" i="57"/>
  <c r="EL15" i="57"/>
  <c r="EI15" i="57"/>
  <c r="EF15" i="57"/>
  <c r="EC15" i="57"/>
  <c r="DZ15" i="57"/>
  <c r="EL14" i="57"/>
  <c r="EI14" i="57"/>
  <c r="EF14" i="57"/>
  <c r="EC14" i="57"/>
  <c r="DZ14" i="57"/>
  <c r="EL13" i="57"/>
  <c r="EI13" i="57"/>
  <c r="EF13" i="57"/>
  <c r="EC13" i="57"/>
  <c r="DZ13" i="57"/>
  <c r="EL12" i="57"/>
  <c r="EI12" i="57"/>
  <c r="EF12" i="57"/>
  <c r="EC12" i="57"/>
  <c r="DZ12" i="57"/>
  <c r="EL11" i="57"/>
  <c r="EI11" i="57"/>
  <c r="EF11" i="57"/>
  <c r="EC11" i="57"/>
  <c r="DZ11" i="57"/>
  <c r="EL10" i="57"/>
  <c r="EI10" i="57"/>
  <c r="EF10" i="57"/>
  <c r="EC10" i="57"/>
  <c r="DZ10" i="57"/>
  <c r="EL9" i="57"/>
  <c r="EI9" i="57"/>
  <c r="EF9" i="57"/>
  <c r="EC9" i="57"/>
  <c r="DZ9" i="57"/>
  <c r="EL8" i="57"/>
  <c r="EI8" i="57"/>
  <c r="EF8" i="57"/>
  <c r="EC8" i="57"/>
  <c r="DZ8" i="57"/>
  <c r="EL7" i="57"/>
  <c r="EI7" i="57"/>
  <c r="EF7" i="57"/>
  <c r="EC7" i="57"/>
  <c r="DZ7" i="57"/>
  <c r="EL6" i="57"/>
  <c r="EI6" i="57"/>
  <c r="EF6" i="57"/>
  <c r="EC6" i="57"/>
  <c r="DZ6" i="57"/>
  <c r="EL5" i="57"/>
  <c r="EI5" i="57"/>
  <c r="EF5" i="57"/>
  <c r="EC5" i="57"/>
  <c r="DZ5" i="57"/>
  <c r="EL4" i="57"/>
  <c r="EI4" i="57"/>
  <c r="EF4" i="57"/>
  <c r="EC4" i="57"/>
  <c r="DZ4" i="57"/>
  <c r="EL3" i="57"/>
  <c r="EI3" i="57"/>
  <c r="EF3" i="57"/>
  <c r="EC3" i="57"/>
  <c r="DZ3" i="57"/>
  <c r="EK1" i="57"/>
  <c r="EH1" i="57"/>
  <c r="EE1" i="57"/>
  <c r="EB1" i="57"/>
  <c r="DY1" i="57"/>
  <c r="A1126" i="66" l="1"/>
  <c r="A1127" i="66"/>
  <c r="A1128" i="66"/>
  <c r="A1129" i="66"/>
  <c r="A1130" i="66"/>
  <c r="A1131" i="66"/>
  <c r="A1132" i="66"/>
  <c r="A1133" i="66"/>
  <c r="A1134" i="66"/>
  <c r="A1135" i="66"/>
  <c r="A1136" i="66"/>
  <c r="A1137" i="66"/>
  <c r="A1138" i="66"/>
  <c r="A1139" i="66"/>
  <c r="A1140" i="66"/>
  <c r="A1141" i="66"/>
  <c r="A1142" i="66"/>
  <c r="A1143" i="66"/>
  <c r="A1144" i="66"/>
  <c r="A1145" i="66"/>
  <c r="A1146" i="66"/>
  <c r="A1147" i="66"/>
  <c r="A1148" i="66"/>
  <c r="A1149" i="66"/>
  <c r="A1150" i="66"/>
  <c r="A1151" i="66"/>
  <c r="A1152" i="66"/>
  <c r="A1153" i="66"/>
  <c r="A1154" i="66"/>
  <c r="A1155" i="66"/>
  <c r="A1156" i="66"/>
  <c r="A1157" i="66"/>
  <c r="A1158" i="66"/>
  <c r="A1159" i="66"/>
  <c r="A1160" i="66"/>
  <c r="A1161" i="66"/>
  <c r="A1162" i="66"/>
  <c r="A1163" i="66"/>
  <c r="A1164" i="66"/>
  <c r="A1165" i="66"/>
  <c r="A1166" i="66"/>
  <c r="A1167" i="66"/>
  <c r="A1168" i="66"/>
  <c r="A1169" i="66"/>
  <c r="A1170" i="66"/>
  <c r="A785" i="66" l="1"/>
  <c r="A786" i="66"/>
  <c r="A787" i="66"/>
  <c r="A788" i="66"/>
  <c r="A789" i="66"/>
  <c r="A790" i="66"/>
  <c r="A791" i="66"/>
  <c r="A792" i="66"/>
  <c r="A793" i="66"/>
  <c r="A794" i="66"/>
  <c r="A795" i="66"/>
  <c r="A796" i="66"/>
  <c r="A797" i="66"/>
  <c r="A798" i="66"/>
  <c r="A799" i="66"/>
  <c r="A800" i="66"/>
  <c r="A801" i="66"/>
  <c r="A802" i="66"/>
  <c r="A803" i="66"/>
  <c r="A804" i="66"/>
  <c r="A805" i="66"/>
  <c r="A806" i="66"/>
  <c r="A807" i="66"/>
  <c r="A808" i="66"/>
  <c r="A809" i="66"/>
  <c r="A810" i="66"/>
  <c r="A811" i="66"/>
  <c r="A812" i="66"/>
  <c r="A813" i="66"/>
  <c r="A814" i="66"/>
  <c r="A815" i="66"/>
  <c r="A816" i="66"/>
  <c r="A817" i="66"/>
  <c r="A818" i="66"/>
  <c r="A819" i="66"/>
  <c r="A820" i="66"/>
  <c r="A821" i="66"/>
  <c r="A822" i="66"/>
  <c r="A823" i="66"/>
  <c r="A824" i="66"/>
  <c r="A825" i="66"/>
  <c r="A826" i="66"/>
  <c r="A827" i="66"/>
  <c r="A828" i="66"/>
  <c r="A829" i="66"/>
  <c r="A830" i="66"/>
  <c r="A831" i="66"/>
  <c r="A832" i="66"/>
  <c r="A833" i="66"/>
  <c r="A834" i="66"/>
  <c r="A835" i="66"/>
  <c r="A836" i="66"/>
  <c r="A837" i="66"/>
  <c r="A838" i="66"/>
  <c r="A839" i="66"/>
  <c r="A840" i="66"/>
  <c r="A841" i="66"/>
  <c r="A842" i="66"/>
  <c r="A843" i="66"/>
  <c r="A844" i="66"/>
  <c r="A845" i="66"/>
  <c r="A846" i="66"/>
  <c r="A847" i="66"/>
  <c r="A848" i="66"/>
  <c r="A849" i="66"/>
  <c r="A850" i="66"/>
  <c r="A851" i="66"/>
  <c r="A852" i="66"/>
  <c r="A853" i="66"/>
  <c r="A854" i="66"/>
  <c r="A855" i="66"/>
  <c r="A856" i="66"/>
  <c r="A857" i="66"/>
  <c r="A858" i="66"/>
  <c r="A859" i="66"/>
  <c r="A860" i="66"/>
  <c r="A861" i="66"/>
  <c r="A862" i="66"/>
  <c r="A863" i="66"/>
  <c r="A864" i="66"/>
  <c r="A865" i="66"/>
  <c r="A866" i="66"/>
  <c r="A867" i="66"/>
  <c r="A868" i="66"/>
  <c r="A869" i="66"/>
  <c r="A870" i="66"/>
  <c r="A871" i="66"/>
  <c r="A872" i="66"/>
  <c r="A873" i="66"/>
  <c r="A874" i="66"/>
  <c r="A875" i="66"/>
  <c r="A876" i="66"/>
  <c r="A877" i="66"/>
  <c r="A878" i="66"/>
  <c r="A879" i="66"/>
  <c r="A880" i="66"/>
  <c r="A881" i="66"/>
  <c r="A882" i="66"/>
  <c r="A883" i="66"/>
  <c r="A884" i="66"/>
  <c r="A885" i="66"/>
  <c r="A886" i="66"/>
  <c r="A887" i="66"/>
  <c r="A888" i="66"/>
  <c r="A889" i="66"/>
  <c r="A890" i="66"/>
  <c r="A891" i="66"/>
  <c r="A892" i="66"/>
  <c r="A893" i="66"/>
  <c r="A894" i="66"/>
  <c r="A895" i="66"/>
  <c r="A896" i="66"/>
  <c r="A897" i="66"/>
  <c r="A898" i="66"/>
  <c r="A899" i="66"/>
  <c r="A900" i="66"/>
  <c r="A901" i="66"/>
  <c r="A902" i="66"/>
  <c r="A903" i="66"/>
  <c r="A904" i="66"/>
  <c r="A905" i="66"/>
  <c r="A906" i="66"/>
  <c r="A907" i="66"/>
  <c r="A908" i="66"/>
  <c r="A909" i="66"/>
  <c r="A910" i="66"/>
  <c r="A911" i="66"/>
  <c r="A912" i="66"/>
  <c r="A913" i="66"/>
  <c r="A914" i="66"/>
  <c r="A915" i="66"/>
  <c r="A916" i="66"/>
  <c r="A917" i="66"/>
  <c r="A918" i="66"/>
  <c r="A919" i="66"/>
  <c r="A920" i="66"/>
  <c r="A921" i="66"/>
  <c r="A922" i="66"/>
  <c r="A923" i="66"/>
  <c r="A924" i="66"/>
  <c r="A925" i="66"/>
  <c r="A926" i="66"/>
  <c r="A927" i="66"/>
  <c r="A928" i="66"/>
  <c r="A929" i="66"/>
  <c r="A930" i="66"/>
  <c r="A931" i="66"/>
  <c r="A932" i="66"/>
  <c r="A933" i="66"/>
  <c r="A934" i="66"/>
  <c r="A935" i="66"/>
  <c r="A936" i="66"/>
  <c r="A937" i="66"/>
  <c r="A938" i="66"/>
  <c r="A939" i="66"/>
  <c r="A940" i="66"/>
  <c r="A941" i="66"/>
  <c r="A942" i="66"/>
  <c r="A943" i="66"/>
  <c r="A944" i="66"/>
  <c r="A945" i="66"/>
  <c r="A946" i="66"/>
  <c r="A947" i="66"/>
  <c r="A948" i="66"/>
  <c r="A949" i="66"/>
  <c r="A950" i="66"/>
  <c r="A951" i="66"/>
  <c r="A952" i="66"/>
  <c r="A953" i="66"/>
  <c r="A954" i="66"/>
  <c r="A955" i="66"/>
  <c r="A956" i="66"/>
  <c r="A957" i="66"/>
  <c r="A958" i="66"/>
  <c r="A959" i="66"/>
  <c r="A960" i="66"/>
  <c r="A961" i="66"/>
  <c r="A962" i="66"/>
  <c r="A963" i="66"/>
  <c r="A964" i="66"/>
  <c r="A965" i="66"/>
  <c r="A966" i="66"/>
  <c r="A967" i="66"/>
  <c r="A968" i="66"/>
  <c r="A969" i="66"/>
  <c r="A970" i="66"/>
  <c r="A971" i="66"/>
  <c r="A972" i="66"/>
  <c r="A973" i="66"/>
  <c r="A974" i="66"/>
  <c r="A975" i="66"/>
  <c r="A976" i="66"/>
  <c r="A977" i="66"/>
  <c r="A978" i="66"/>
  <c r="A979" i="66"/>
  <c r="A980" i="66"/>
  <c r="A981" i="66"/>
  <c r="A982" i="66"/>
  <c r="A983" i="66"/>
  <c r="A984" i="66"/>
  <c r="A985" i="66"/>
  <c r="A986" i="66"/>
  <c r="A987" i="66"/>
  <c r="A988" i="66"/>
  <c r="A989" i="66"/>
  <c r="A990" i="66"/>
  <c r="A991" i="66"/>
  <c r="A992" i="66"/>
  <c r="A993" i="66"/>
  <c r="A994" i="66"/>
  <c r="A995" i="66"/>
  <c r="A996" i="66"/>
  <c r="A997" i="66"/>
  <c r="A998" i="66"/>
  <c r="A999" i="66"/>
  <c r="A1000" i="66"/>
  <c r="A1001" i="66"/>
  <c r="A1002" i="66"/>
  <c r="A1003" i="66"/>
  <c r="A1004" i="66"/>
  <c r="A1005" i="66"/>
  <c r="A1006" i="66"/>
  <c r="A1007" i="66"/>
  <c r="A1008" i="66"/>
  <c r="A1009" i="66"/>
  <c r="A1010" i="66"/>
  <c r="A1011" i="66"/>
  <c r="A1012" i="66"/>
  <c r="A1013" i="66"/>
  <c r="A1014" i="66"/>
  <c r="A1015" i="66"/>
  <c r="A1016" i="66"/>
  <c r="A1017" i="66"/>
  <c r="A1018" i="66"/>
  <c r="A1019" i="66"/>
  <c r="A1020" i="66"/>
  <c r="A1021" i="66"/>
  <c r="A1022" i="66"/>
  <c r="A1023" i="66"/>
  <c r="A1024" i="66"/>
  <c r="A1025" i="66"/>
  <c r="A1026" i="66"/>
  <c r="A1027" i="66"/>
  <c r="A1028" i="66"/>
  <c r="A1029" i="66"/>
  <c r="A1030" i="66"/>
  <c r="A1031" i="66"/>
  <c r="A1032" i="66"/>
  <c r="A1033" i="66"/>
  <c r="A1034" i="66"/>
  <c r="A1035" i="66"/>
  <c r="A1036" i="66"/>
  <c r="A1037" i="66"/>
  <c r="A1038" i="66"/>
  <c r="A1039" i="66"/>
  <c r="A1040" i="66"/>
  <c r="A1041" i="66"/>
  <c r="A1042" i="66"/>
  <c r="A1043" i="66"/>
  <c r="A1044" i="66"/>
  <c r="A1045" i="66"/>
  <c r="A1046" i="66"/>
  <c r="A1047" i="66"/>
  <c r="A1048" i="66"/>
  <c r="A1049" i="66"/>
  <c r="A1050" i="66"/>
  <c r="A1051" i="66"/>
  <c r="A1052" i="66"/>
  <c r="A1053" i="66"/>
  <c r="A1054" i="66"/>
  <c r="A1055" i="66"/>
  <c r="A1056" i="66"/>
  <c r="A1057" i="66"/>
  <c r="A1058" i="66"/>
  <c r="A1059" i="66"/>
  <c r="A1060" i="66"/>
  <c r="A1061" i="66"/>
  <c r="A1062" i="66"/>
  <c r="A1063" i="66"/>
  <c r="A1064" i="66"/>
  <c r="A1065" i="66"/>
  <c r="A1066" i="66"/>
  <c r="A1067" i="66"/>
  <c r="A1068" i="66"/>
  <c r="A1069" i="66"/>
  <c r="A1070" i="66"/>
  <c r="A1071" i="66"/>
  <c r="A1072" i="66"/>
  <c r="A1073" i="66"/>
  <c r="A1074" i="66"/>
  <c r="A1075" i="66"/>
  <c r="A1076" i="66"/>
  <c r="A1077" i="66"/>
  <c r="A1078" i="66"/>
  <c r="A1079" i="66"/>
  <c r="A1080" i="66"/>
  <c r="A1081" i="66"/>
  <c r="A1082" i="66"/>
  <c r="A1083" i="66"/>
  <c r="A1084" i="66"/>
  <c r="A1085" i="66"/>
  <c r="A1086" i="66"/>
  <c r="A1087" i="66"/>
  <c r="A1088" i="66"/>
  <c r="A1089" i="66"/>
  <c r="A1090" i="66"/>
  <c r="A1091" i="66"/>
  <c r="A1092" i="66"/>
  <c r="A1093" i="66"/>
  <c r="A1094" i="66"/>
  <c r="A1095" i="66"/>
  <c r="A1096" i="66"/>
  <c r="A1097" i="66"/>
  <c r="A1098" i="66"/>
  <c r="A1099" i="66"/>
  <c r="A1100" i="66"/>
  <c r="A1101" i="66"/>
  <c r="A1102" i="66"/>
  <c r="A1103" i="66"/>
  <c r="A1104" i="66"/>
  <c r="A1105" i="66"/>
  <c r="A1106" i="66"/>
  <c r="A1107" i="66"/>
  <c r="A1108" i="66"/>
  <c r="A1109" i="66"/>
  <c r="A1110" i="66"/>
  <c r="A1111" i="66"/>
  <c r="A1112" i="66"/>
  <c r="A1113" i="66"/>
  <c r="A1114" i="66"/>
  <c r="A1115" i="66"/>
  <c r="A1116" i="66"/>
  <c r="A1117" i="66"/>
  <c r="A1118" i="66"/>
  <c r="A1119" i="66"/>
  <c r="A1120" i="66"/>
  <c r="A1121" i="66"/>
  <c r="A1122" i="66"/>
  <c r="A1123" i="66"/>
  <c r="A1124" i="66"/>
  <c r="A1125" i="66"/>
  <c r="EQ17" i="69" l="1"/>
  <c r="EQ16" i="69"/>
  <c r="ER15" i="69"/>
  <c r="EQ15" i="69"/>
  <c r="ER14" i="69"/>
  <c r="EQ14" i="69"/>
  <c r="EQ13" i="69"/>
  <c r="EQ12" i="69"/>
  <c r="EQ11" i="69"/>
  <c r="EQ10" i="69"/>
  <c r="EQ9" i="69"/>
  <c r="EQ8" i="69"/>
  <c r="ER7" i="69"/>
  <c r="EQ7" i="69"/>
  <c r="EQ6" i="69"/>
  <c r="EQ5" i="69"/>
  <c r="EQ4" i="69"/>
  <c r="ER3" i="69"/>
  <c r="EQ3" i="69"/>
  <c r="ER17" i="57"/>
  <c r="ER17" i="69" s="1"/>
  <c r="ER16" i="57"/>
  <c r="ER16" i="69" s="1"/>
  <c r="ER15" i="57"/>
  <c r="ER14" i="57"/>
  <c r="ER13" i="57"/>
  <c r="ER13" i="69" s="1"/>
  <c r="ER12" i="57"/>
  <c r="ER12" i="69" s="1"/>
  <c r="ER11" i="57"/>
  <c r="ER11" i="69" s="1"/>
  <c r="ER10" i="57"/>
  <c r="ER10" i="69" s="1"/>
  <c r="ER9" i="57"/>
  <c r="ER9" i="69" s="1"/>
  <c r="ER8" i="57"/>
  <c r="ER8" i="69" s="1"/>
  <c r="ER7" i="57"/>
  <c r="ER6" i="57"/>
  <c r="ER6" i="69" s="1"/>
  <c r="ER5" i="57"/>
  <c r="ER5" i="69" s="1"/>
  <c r="ER4" i="57"/>
  <c r="ER4" i="69" s="1"/>
  <c r="ER3" i="57"/>
  <c r="A784" i="66" l="1"/>
  <c r="A783" i="66"/>
  <c r="A782" i="66"/>
  <c r="A781" i="66"/>
  <c r="A780" i="66"/>
  <c r="A779" i="66"/>
  <c r="A778" i="66"/>
  <c r="A777" i="66"/>
  <c r="A776" i="66"/>
  <c r="A775" i="66"/>
  <c r="A774" i="66"/>
  <c r="A773" i="66"/>
  <c r="A772" i="66"/>
  <c r="A771" i="66"/>
  <c r="A770" i="66"/>
  <c r="A769" i="66"/>
  <c r="A768" i="66"/>
  <c r="A767" i="66"/>
  <c r="A766" i="66"/>
  <c r="A765" i="66"/>
  <c r="A764" i="66"/>
  <c r="A763" i="66"/>
  <c r="A762" i="66"/>
  <c r="A761" i="66"/>
  <c r="A760" i="66"/>
  <c r="A759" i="66"/>
  <c r="A758" i="66"/>
  <c r="A757" i="66"/>
  <c r="A756" i="66"/>
  <c r="A755" i="66"/>
  <c r="A754" i="66"/>
  <c r="A753" i="66"/>
  <c r="A752" i="66"/>
  <c r="A751" i="66"/>
  <c r="A750" i="66"/>
  <c r="A749" i="66"/>
  <c r="A748" i="66"/>
  <c r="A747" i="66"/>
  <c r="A746" i="66"/>
  <c r="A745" i="66"/>
  <c r="A744" i="66"/>
  <c r="A743" i="66"/>
  <c r="A742" i="66"/>
  <c r="A741" i="66"/>
  <c r="A740" i="66"/>
  <c r="A739" i="66"/>
  <c r="A738" i="66"/>
  <c r="A737" i="66"/>
  <c r="A736" i="66"/>
  <c r="A735" i="66"/>
  <c r="A734" i="66"/>
  <c r="A733" i="66"/>
  <c r="A732" i="66"/>
  <c r="A731" i="66"/>
  <c r="A730" i="66"/>
  <c r="A729" i="66"/>
  <c r="A728" i="66"/>
  <c r="A727" i="66"/>
  <c r="A726" i="66"/>
  <c r="A725" i="66"/>
  <c r="A724" i="66"/>
  <c r="A723" i="66"/>
  <c r="A722" i="66"/>
  <c r="A721" i="66"/>
  <c r="A720" i="66"/>
  <c r="A719" i="66"/>
  <c r="A718" i="66"/>
  <c r="A717" i="66"/>
  <c r="A716" i="66"/>
  <c r="A715" i="66"/>
  <c r="A714" i="66"/>
  <c r="A713" i="66"/>
  <c r="A712" i="66"/>
  <c r="A711" i="66"/>
  <c r="A710" i="66"/>
  <c r="A709" i="66"/>
  <c r="A708" i="66"/>
  <c r="A707" i="66"/>
  <c r="A706" i="66"/>
  <c r="A705" i="66"/>
  <c r="A704" i="66"/>
  <c r="A703" i="66"/>
  <c r="A702" i="66"/>
  <c r="A701" i="66"/>
  <c r="A700" i="66"/>
  <c r="A699" i="66"/>
  <c r="A698" i="66"/>
  <c r="A697" i="66"/>
  <c r="A696" i="66"/>
  <c r="A695" i="66"/>
  <c r="A694" i="66"/>
  <c r="A693" i="66"/>
  <c r="A692" i="66"/>
  <c r="A691" i="66"/>
  <c r="A690" i="66"/>
  <c r="A689" i="66"/>
  <c r="A688" i="66"/>
  <c r="A687" i="66"/>
  <c r="A686" i="66"/>
  <c r="A685" i="66"/>
  <c r="A684" i="66"/>
  <c r="A683" i="66"/>
  <c r="A682" i="66"/>
  <c r="A681" i="66"/>
  <c r="A680" i="66"/>
  <c r="A679" i="66"/>
  <c r="A678" i="66"/>
  <c r="A677" i="66"/>
  <c r="A676" i="66"/>
  <c r="A675" i="66"/>
  <c r="A674" i="66"/>
  <c r="A673" i="66"/>
  <c r="A672" i="66"/>
  <c r="A671" i="66"/>
  <c r="A670" i="66"/>
  <c r="A669" i="66"/>
  <c r="A668" i="66"/>
  <c r="A667" i="66"/>
  <c r="A666" i="66"/>
  <c r="A665" i="66"/>
  <c r="A664" i="66"/>
  <c r="A663" i="66"/>
  <c r="A662" i="66"/>
  <c r="A661" i="66"/>
  <c r="A660" i="66"/>
  <c r="A659" i="66"/>
  <c r="A658" i="66"/>
  <c r="A657" i="66"/>
  <c r="A656" i="66"/>
  <c r="A655" i="66"/>
  <c r="A654" i="66"/>
  <c r="A653" i="66"/>
  <c r="A652" i="66"/>
  <c r="A651" i="66"/>
  <c r="A650" i="66"/>
  <c r="A649" i="66"/>
  <c r="A648" i="66"/>
  <c r="A647" i="66"/>
  <c r="A646" i="66"/>
  <c r="A645" i="66"/>
  <c r="A644" i="66"/>
  <c r="A643" i="66"/>
  <c r="A642" i="66"/>
  <c r="A641" i="66"/>
  <c r="A640" i="66"/>
  <c r="A639" i="66"/>
  <c r="A638" i="66"/>
  <c r="A637" i="66"/>
  <c r="A636" i="66"/>
  <c r="A635" i="66"/>
  <c r="A634" i="66"/>
  <c r="A633" i="66"/>
  <c r="A632" i="66"/>
  <c r="A631" i="66"/>
  <c r="A630" i="66"/>
  <c r="A629" i="66"/>
  <c r="A628" i="66"/>
  <c r="A627" i="66"/>
  <c r="A626" i="66"/>
  <c r="A625" i="66"/>
  <c r="A624" i="66"/>
  <c r="A623" i="66"/>
  <c r="A622" i="66"/>
  <c r="A621" i="66"/>
  <c r="A620" i="66"/>
  <c r="A619" i="66"/>
  <c r="A618" i="66"/>
  <c r="A617" i="66"/>
  <c r="A616" i="66"/>
  <c r="A615" i="66"/>
  <c r="A614" i="66"/>
  <c r="A613" i="66"/>
  <c r="A612" i="66"/>
  <c r="A611" i="66"/>
  <c r="A610" i="66"/>
  <c r="A609" i="66"/>
  <c r="A608" i="66"/>
  <c r="A607" i="66"/>
  <c r="A606" i="66"/>
  <c r="A605" i="66"/>
  <c r="A604" i="66"/>
  <c r="A603" i="66"/>
  <c r="A602" i="66"/>
  <c r="A601" i="66"/>
  <c r="A600" i="66"/>
  <c r="A599" i="66"/>
  <c r="A598" i="66"/>
  <c r="A597" i="66"/>
  <c r="A596" i="66"/>
  <c r="A595" i="66"/>
  <c r="A594" i="66"/>
  <c r="A593" i="66"/>
  <c r="A592" i="66"/>
  <c r="A591" i="66"/>
  <c r="A590" i="66"/>
  <c r="A589" i="66"/>
  <c r="A588" i="66"/>
  <c r="A587" i="66"/>
  <c r="A586" i="66"/>
  <c r="A585" i="66"/>
  <c r="A584" i="66"/>
  <c r="A583" i="66"/>
  <c r="A582" i="66"/>
  <c r="A581" i="66"/>
  <c r="A580" i="66"/>
  <c r="A579" i="66"/>
  <c r="A578" i="66"/>
  <c r="A577" i="66"/>
  <c r="A576" i="66"/>
  <c r="A575" i="66"/>
  <c r="A574" i="66"/>
  <c r="A573" i="66"/>
  <c r="A572" i="66"/>
  <c r="A571" i="66"/>
  <c r="A570" i="66"/>
  <c r="A569" i="66"/>
  <c r="A568" i="66"/>
  <c r="A567" i="66"/>
  <c r="A566" i="66"/>
  <c r="A565" i="66"/>
  <c r="A564" i="66"/>
  <c r="A563" i="66"/>
  <c r="A562" i="66"/>
  <c r="A561" i="66"/>
  <c r="A560" i="66"/>
  <c r="A559" i="66"/>
  <c r="A558" i="66"/>
  <c r="A557" i="66"/>
  <c r="A556" i="66"/>
  <c r="A555" i="66"/>
  <c r="A554" i="66"/>
  <c r="A553" i="66"/>
  <c r="A552" i="66"/>
  <c r="A551" i="66"/>
  <c r="A550" i="66"/>
  <c r="A549" i="66"/>
  <c r="A548" i="66"/>
  <c r="A547" i="66"/>
  <c r="A546" i="66"/>
  <c r="A545" i="66"/>
  <c r="A544" i="66"/>
  <c r="A543" i="66"/>
  <c r="A542" i="66"/>
  <c r="A541" i="66"/>
  <c r="A540" i="66"/>
  <c r="A539" i="66"/>
  <c r="A538" i="66"/>
  <c r="A537" i="66"/>
  <c r="A536" i="66"/>
  <c r="A535" i="66"/>
  <c r="A534" i="66"/>
  <c r="A533" i="66"/>
  <c r="A532" i="66"/>
  <c r="A531" i="66"/>
  <c r="A530" i="66"/>
  <c r="A529" i="66"/>
  <c r="A528" i="66"/>
  <c r="A527" i="66"/>
  <c r="A526" i="66"/>
  <c r="A525" i="66"/>
  <c r="A524" i="66"/>
  <c r="A523" i="66"/>
  <c r="A522" i="66"/>
  <c r="A521" i="66"/>
  <c r="A520" i="66"/>
  <c r="A519" i="66"/>
  <c r="A518" i="66"/>
  <c r="A517" i="66"/>
  <c r="A516" i="66"/>
  <c r="A515" i="66"/>
  <c r="A514" i="66"/>
  <c r="A513" i="66"/>
  <c r="A512" i="66"/>
  <c r="A511" i="66"/>
  <c r="A510" i="66"/>
  <c r="A509" i="66"/>
  <c r="A508" i="66"/>
  <c r="A507" i="66"/>
  <c r="A506" i="66"/>
  <c r="A505" i="66"/>
  <c r="A504" i="66"/>
  <c r="A503" i="66"/>
  <c r="A502" i="66"/>
  <c r="A501" i="66"/>
  <c r="A500" i="66"/>
  <c r="A499" i="66"/>
  <c r="A498" i="66"/>
  <c r="A497" i="66"/>
  <c r="A496" i="66"/>
  <c r="A495" i="66"/>
  <c r="A494" i="66"/>
  <c r="A493" i="66"/>
  <c r="A492" i="66"/>
  <c r="A491" i="66"/>
  <c r="A490" i="66"/>
  <c r="A489" i="66"/>
  <c r="A488" i="66"/>
  <c r="A487" i="66"/>
  <c r="A486" i="66"/>
  <c r="A485" i="66"/>
  <c r="A484" i="66"/>
  <c r="A483" i="66"/>
  <c r="A482" i="66"/>
  <c r="A481" i="66"/>
  <c r="A480" i="66"/>
  <c r="A479" i="66"/>
  <c r="A478" i="66"/>
  <c r="A477" i="66"/>
  <c r="A476" i="66"/>
  <c r="A475" i="66"/>
  <c r="A474" i="66"/>
  <c r="A473" i="66"/>
  <c r="A472" i="66"/>
  <c r="A471" i="66"/>
  <c r="A470" i="66"/>
  <c r="A469" i="66"/>
  <c r="A468" i="66"/>
  <c r="A467" i="66"/>
  <c r="A466" i="66"/>
  <c r="A465" i="66"/>
  <c r="A464" i="66"/>
  <c r="A463" i="66"/>
  <c r="A462" i="66"/>
  <c r="A461" i="66"/>
  <c r="A460" i="66"/>
  <c r="A459" i="66"/>
  <c r="A458" i="66"/>
  <c r="A457" i="66"/>
  <c r="A456" i="66"/>
  <c r="A455" i="66"/>
  <c r="A454" i="66"/>
  <c r="A453" i="66"/>
  <c r="A452" i="66"/>
  <c r="A451" i="66"/>
  <c r="A450" i="66"/>
  <c r="A449" i="66"/>
  <c r="A448" i="66"/>
  <c r="A447" i="66"/>
  <c r="A446" i="66"/>
  <c r="A445" i="66"/>
  <c r="A444" i="66"/>
  <c r="A443" i="66"/>
  <c r="A442" i="66"/>
  <c r="A441" i="66"/>
  <c r="A440" i="66"/>
  <c r="A439" i="66"/>
  <c r="A438" i="66"/>
  <c r="A437" i="66"/>
  <c r="A436" i="66"/>
  <c r="A435" i="66"/>
  <c r="A434" i="66"/>
  <c r="A433" i="66"/>
  <c r="A432" i="66"/>
  <c r="A431" i="66"/>
  <c r="A430" i="66"/>
  <c r="A429" i="66"/>
  <c r="A428" i="66"/>
  <c r="A427" i="66"/>
  <c r="A426" i="66"/>
  <c r="A425" i="66"/>
  <c r="A424" i="66"/>
  <c r="A423" i="66"/>
  <c r="A422" i="66"/>
  <c r="A421" i="66"/>
  <c r="A420" i="66"/>
  <c r="A419" i="66"/>
  <c r="A418" i="66"/>
  <c r="A417" i="66"/>
  <c r="A416" i="66"/>
  <c r="A415" i="66"/>
  <c r="A414" i="66"/>
  <c r="A413" i="66"/>
  <c r="A412" i="66"/>
  <c r="A411" i="66"/>
  <c r="A410" i="66"/>
  <c r="A409" i="66"/>
  <c r="A408" i="66"/>
  <c r="A407" i="66"/>
  <c r="A406" i="66"/>
  <c r="A405" i="66"/>
  <c r="A404" i="66"/>
  <c r="A403" i="66"/>
  <c r="A402" i="66"/>
  <c r="A401" i="66"/>
  <c r="A400" i="66"/>
  <c r="A399" i="66"/>
  <c r="A398" i="66"/>
  <c r="A397" i="66"/>
  <c r="A396" i="66"/>
  <c r="A395" i="66"/>
  <c r="A394" i="66"/>
  <c r="A393" i="66"/>
  <c r="A392" i="66"/>
  <c r="A391" i="66"/>
  <c r="A390" i="66"/>
  <c r="A389" i="66"/>
  <c r="A388" i="66"/>
  <c r="A387" i="66"/>
  <c r="A386" i="66"/>
  <c r="A385" i="66"/>
  <c r="A384" i="66"/>
  <c r="A383" i="66"/>
  <c r="A382" i="66"/>
  <c r="A381" i="66"/>
  <c r="A380" i="66"/>
  <c r="A379" i="66"/>
  <c r="A378" i="66"/>
  <c r="A377" i="66"/>
  <c r="A376" i="66"/>
  <c r="A375" i="66"/>
  <c r="A374" i="66"/>
  <c r="A373" i="66"/>
  <c r="A372" i="66"/>
  <c r="A371" i="66"/>
  <c r="A370" i="66"/>
  <c r="A369" i="66"/>
  <c r="A368" i="66"/>
  <c r="A367" i="66"/>
  <c r="A366" i="66"/>
  <c r="A365" i="66"/>
  <c r="A364" i="66"/>
  <c r="A363" i="66"/>
  <c r="A362" i="66"/>
  <c r="A361" i="66"/>
  <c r="A360" i="66"/>
  <c r="A359" i="66"/>
  <c r="A358" i="66"/>
  <c r="A357" i="66"/>
  <c r="A356" i="66"/>
  <c r="A355" i="66"/>
  <c r="A354" i="66"/>
  <c r="A353" i="66"/>
  <c r="A352" i="66"/>
  <c r="A351" i="66"/>
  <c r="A350" i="66"/>
  <c r="A349" i="66"/>
  <c r="A348" i="66"/>
  <c r="A347" i="66"/>
  <c r="A346" i="66"/>
  <c r="A345" i="66"/>
  <c r="A344" i="66"/>
  <c r="A343" i="66"/>
  <c r="A342" i="66"/>
  <c r="A341" i="66"/>
  <c r="A340" i="66"/>
  <c r="A339" i="66"/>
  <c r="A338" i="66"/>
  <c r="A337" i="66"/>
  <c r="A336" i="66"/>
  <c r="A335" i="66"/>
  <c r="A334" i="66"/>
  <c r="A333" i="66"/>
  <c r="A332" i="66"/>
  <c r="A331" i="66"/>
  <c r="A330" i="66"/>
  <c r="A329" i="66"/>
  <c r="A328" i="66"/>
  <c r="A327" i="66"/>
  <c r="A326" i="66"/>
  <c r="A325" i="66"/>
  <c r="A324" i="66"/>
  <c r="A323" i="66"/>
  <c r="A322" i="66"/>
  <c r="A321" i="66"/>
  <c r="A320" i="66"/>
  <c r="A319" i="66"/>
  <c r="A318" i="66"/>
  <c r="A317" i="66"/>
  <c r="A316" i="66"/>
  <c r="A315" i="66"/>
  <c r="A314" i="66"/>
  <c r="A313" i="66"/>
  <c r="A312" i="66"/>
  <c r="A311" i="66"/>
  <c r="A310" i="66"/>
  <c r="A309" i="66"/>
  <c r="A308" i="66"/>
  <c r="A307" i="66"/>
  <c r="A306" i="66"/>
  <c r="A305" i="66"/>
  <c r="A304" i="66"/>
  <c r="A303" i="66"/>
  <c r="A302" i="66"/>
  <c r="A301" i="66"/>
  <c r="A300" i="66"/>
  <c r="A299" i="66"/>
  <c r="A298" i="66"/>
  <c r="A297" i="66"/>
  <c r="A296" i="66"/>
  <c r="A295" i="66"/>
  <c r="A294" i="66"/>
  <c r="A293" i="66"/>
  <c r="A292" i="66"/>
  <c r="A291" i="66"/>
  <c r="A290" i="66"/>
  <c r="A289" i="66"/>
  <c r="A288" i="66"/>
  <c r="A287" i="66"/>
  <c r="A286" i="66"/>
  <c r="A285" i="66"/>
  <c r="A284" i="66"/>
  <c r="A283" i="66"/>
  <c r="A282" i="66"/>
  <c r="A281" i="66"/>
  <c r="A280" i="66"/>
  <c r="A279" i="66"/>
  <c r="A278" i="66"/>
  <c r="A277" i="66"/>
  <c r="A276" i="66"/>
  <c r="A275" i="66"/>
  <c r="A274" i="66"/>
  <c r="A273" i="66"/>
  <c r="A272" i="66"/>
  <c r="A271" i="66"/>
  <c r="A270" i="66"/>
  <c r="A269" i="66"/>
  <c r="A268" i="66"/>
  <c r="A267" i="66"/>
  <c r="A266" i="66"/>
  <c r="A265" i="66"/>
  <c r="A264" i="66"/>
  <c r="A263" i="66"/>
  <c r="A262" i="66"/>
  <c r="A261" i="66"/>
  <c r="A260" i="66"/>
  <c r="A259" i="66"/>
  <c r="A258" i="66"/>
  <c r="A257" i="66"/>
  <c r="A256" i="66"/>
  <c r="A255" i="66"/>
  <c r="A254" i="66"/>
  <c r="A253" i="66"/>
  <c r="A252" i="66"/>
  <c r="A251" i="66"/>
  <c r="A250" i="66"/>
  <c r="A249" i="66"/>
  <c r="A248" i="66"/>
  <c r="A247" i="66"/>
  <c r="A246" i="66"/>
  <c r="A245" i="66"/>
  <c r="A244" i="66"/>
  <c r="A243" i="66"/>
  <c r="A242" i="66"/>
  <c r="A241" i="66"/>
  <c r="A240" i="66"/>
  <c r="A239" i="66"/>
  <c r="A238" i="66"/>
  <c r="A237" i="66"/>
  <c r="A236" i="66"/>
  <c r="A235" i="66"/>
  <c r="A234" i="66"/>
  <c r="A233" i="66"/>
  <c r="A232" i="66"/>
  <c r="A231" i="66"/>
  <c r="A230" i="66"/>
  <c r="A229" i="66"/>
  <c r="A228" i="66"/>
  <c r="A227" i="66"/>
  <c r="A226" i="66"/>
  <c r="A225" i="66"/>
  <c r="A224" i="66"/>
  <c r="A223" i="66"/>
  <c r="A222" i="66"/>
  <c r="A221" i="66"/>
  <c r="A220" i="66"/>
  <c r="A219" i="66"/>
  <c r="A218" i="66"/>
  <c r="A217" i="66"/>
  <c r="A216" i="66"/>
  <c r="A215" i="66"/>
  <c r="A214" i="66"/>
  <c r="A213" i="66"/>
  <c r="A212" i="66"/>
  <c r="A211" i="66"/>
  <c r="A210" i="66"/>
  <c r="A209" i="66"/>
  <c r="A208" i="66"/>
  <c r="A207" i="66"/>
  <c r="A206" i="66"/>
  <c r="A205" i="66"/>
  <c r="A204" i="66"/>
  <c r="A203" i="66"/>
  <c r="A202" i="66"/>
  <c r="A201" i="66"/>
  <c r="A200" i="66"/>
  <c r="A199" i="66"/>
  <c r="A198" i="66"/>
  <c r="A197" i="66"/>
  <c r="A196" i="66"/>
  <c r="A195" i="66"/>
  <c r="A194" i="66"/>
  <c r="A193" i="66"/>
  <c r="A192" i="66"/>
  <c r="A191" i="66"/>
  <c r="A190" i="66"/>
  <c r="A189" i="66"/>
  <c r="A188" i="66"/>
  <c r="A187" i="66"/>
  <c r="A186" i="66"/>
  <c r="A185" i="66"/>
  <c r="A184" i="66"/>
  <c r="A183" i="66"/>
  <c r="A182" i="66"/>
  <c r="A181" i="66"/>
  <c r="A180" i="66"/>
  <c r="A179" i="66"/>
  <c r="A178" i="66"/>
  <c r="A177" i="66"/>
  <c r="A176" i="66"/>
  <c r="A175" i="66"/>
  <c r="A174" i="66"/>
  <c r="A173" i="66"/>
  <c r="A172" i="66"/>
  <c r="A171" i="66"/>
  <c r="A170" i="66"/>
  <c r="A169" i="66"/>
  <c r="A168" i="66"/>
  <c r="A167" i="66"/>
  <c r="A166" i="66"/>
  <c r="A165" i="66"/>
  <c r="A164" i="66"/>
  <c r="A163" i="66"/>
  <c r="A162" i="66"/>
  <c r="A161" i="66"/>
  <c r="A160" i="66"/>
  <c r="A159" i="66"/>
  <c r="A158" i="66"/>
  <c r="A157" i="66"/>
  <c r="A156" i="66"/>
  <c r="A155" i="66"/>
  <c r="A154" i="66"/>
  <c r="A153" i="66"/>
  <c r="A152" i="66"/>
  <c r="A151" i="66"/>
  <c r="A150" i="66"/>
  <c r="A149" i="66"/>
  <c r="A148" i="66"/>
  <c r="A147" i="66"/>
  <c r="A146" i="66"/>
  <c r="A145" i="66"/>
  <c r="A144" i="66"/>
  <c r="A143" i="66"/>
  <c r="A142" i="66"/>
  <c r="A141" i="66"/>
  <c r="A140" i="66"/>
  <c r="A139" i="66"/>
  <c r="A138" i="66"/>
  <c r="A137" i="66"/>
  <c r="A136" i="66"/>
  <c r="A135" i="66"/>
  <c r="A134" i="66"/>
  <c r="A133" i="66"/>
  <c r="A132" i="66"/>
  <c r="A131" i="66"/>
  <c r="A130" i="66"/>
  <c r="A129" i="66"/>
  <c r="A128" i="66"/>
  <c r="A127" i="66"/>
  <c r="A126" i="66"/>
  <c r="A125" i="66"/>
  <c r="A124" i="66"/>
  <c r="A123" i="66"/>
  <c r="A122" i="66"/>
  <c r="A121" i="66"/>
  <c r="A120" i="66"/>
  <c r="A119" i="66"/>
  <c r="A118" i="66"/>
  <c r="A117" i="66"/>
  <c r="A116" i="66"/>
  <c r="A115" i="66"/>
  <c r="A114" i="66"/>
  <c r="A113" i="66"/>
  <c r="A112" i="66"/>
  <c r="A111" i="66"/>
  <c r="A110" i="66"/>
  <c r="A109" i="66"/>
  <c r="A108" i="66"/>
  <c r="A107" i="66"/>
  <c r="A106" i="66"/>
  <c r="A105" i="66"/>
  <c r="A104" i="66"/>
  <c r="A103" i="66"/>
  <c r="A102" i="66"/>
  <c r="A101" i="66"/>
  <c r="A100" i="66"/>
  <c r="A99" i="66"/>
  <c r="A98" i="66"/>
  <c r="A97" i="66"/>
  <c r="A96" i="66"/>
  <c r="A95" i="66"/>
  <c r="A94" i="66"/>
  <c r="A93" i="66"/>
  <c r="A92" i="66"/>
  <c r="A91" i="66"/>
  <c r="A90" i="66"/>
  <c r="A89" i="66"/>
  <c r="A88" i="66"/>
  <c r="A87" i="66"/>
  <c r="A86" i="66"/>
  <c r="A85" i="66"/>
  <c r="A84" i="66"/>
  <c r="A83" i="66"/>
  <c r="A82" i="66"/>
  <c r="A81" i="66"/>
  <c r="A80" i="66"/>
  <c r="A79" i="66"/>
  <c r="A78" i="66"/>
  <c r="A77" i="66"/>
  <c r="A76" i="66"/>
  <c r="A75" i="66"/>
  <c r="A74" i="66"/>
  <c r="A73" i="66"/>
  <c r="A72" i="66"/>
  <c r="A71" i="66"/>
  <c r="A70" i="66"/>
  <c r="A69" i="66"/>
  <c r="A68" i="66"/>
  <c r="A67" i="66"/>
  <c r="A66" i="66"/>
  <c r="A65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A2" i="66"/>
  <c r="FH4" i="69" l="1"/>
  <c r="FI4" i="69"/>
  <c r="FE5" i="69"/>
  <c r="FH5" i="69"/>
  <c r="FI5" i="69"/>
  <c r="FP5" i="69"/>
  <c r="FQ5" i="69"/>
  <c r="FI7" i="69"/>
  <c r="FD8" i="69"/>
  <c r="FH8" i="69"/>
  <c r="FI8" i="69"/>
  <c r="FL8" i="69"/>
  <c r="FP8" i="69"/>
  <c r="FQ8" i="69"/>
  <c r="FH9" i="69"/>
  <c r="FI9" i="69"/>
  <c r="FP9" i="69"/>
  <c r="FQ9" i="69"/>
  <c r="FB10" i="69"/>
  <c r="FC10" i="69"/>
  <c r="FD10" i="69"/>
  <c r="FE10" i="69"/>
  <c r="FF10" i="69"/>
  <c r="FG10" i="69"/>
  <c r="FH10" i="69"/>
  <c r="FI10" i="69"/>
  <c r="FJ10" i="69"/>
  <c r="FK10" i="69"/>
  <c r="FL10" i="69"/>
  <c r="FM10" i="69"/>
  <c r="FN10" i="69"/>
  <c r="FO10" i="69"/>
  <c r="FP10" i="69"/>
  <c r="FQ10" i="69"/>
  <c r="FB11" i="69"/>
  <c r="FC11" i="69"/>
  <c r="FD11" i="69"/>
  <c r="FE11" i="69"/>
  <c r="FF11" i="69"/>
  <c r="FG11" i="69"/>
  <c r="FH11" i="69"/>
  <c r="FI11" i="69"/>
  <c r="FJ11" i="69"/>
  <c r="FK11" i="69"/>
  <c r="FL11" i="69"/>
  <c r="FM11" i="69"/>
  <c r="FN11" i="69"/>
  <c r="FO11" i="69"/>
  <c r="FP11" i="69"/>
  <c r="FQ11" i="69"/>
  <c r="FB12" i="69"/>
  <c r="FC12" i="69"/>
  <c r="FD12" i="69"/>
  <c r="FE12" i="69"/>
  <c r="FF12" i="69"/>
  <c r="FG12" i="69"/>
  <c r="FH12" i="69"/>
  <c r="FI12" i="69"/>
  <c r="FJ12" i="69"/>
  <c r="FK12" i="69"/>
  <c r="FL12" i="69"/>
  <c r="FM12" i="69"/>
  <c r="FN12" i="69"/>
  <c r="FO12" i="69"/>
  <c r="FP12" i="69"/>
  <c r="FQ12" i="69"/>
  <c r="FB13" i="69"/>
  <c r="FC13" i="69"/>
  <c r="FD13" i="69"/>
  <c r="FE13" i="69"/>
  <c r="FF13" i="69"/>
  <c r="FG13" i="69"/>
  <c r="FH13" i="69"/>
  <c r="FI13" i="69"/>
  <c r="FJ13" i="69"/>
  <c r="FK13" i="69"/>
  <c r="FL13" i="69"/>
  <c r="FM13" i="69"/>
  <c r="FN13" i="69"/>
  <c r="FO13" i="69"/>
  <c r="FP13" i="69"/>
  <c r="FQ13" i="69"/>
  <c r="FB14" i="69"/>
  <c r="FC14" i="69"/>
  <c r="FD14" i="69"/>
  <c r="FE14" i="69"/>
  <c r="FF14" i="69"/>
  <c r="FG14" i="69"/>
  <c r="FH14" i="69"/>
  <c r="FI14" i="69"/>
  <c r="FJ14" i="69"/>
  <c r="FK14" i="69"/>
  <c r="FL14" i="69"/>
  <c r="FM14" i="69"/>
  <c r="FN14" i="69"/>
  <c r="FO14" i="69"/>
  <c r="FP14" i="69"/>
  <c r="FQ14" i="69"/>
  <c r="FB15" i="69"/>
  <c r="FC15" i="69"/>
  <c r="FD15" i="69"/>
  <c r="FE15" i="69"/>
  <c r="FF15" i="69"/>
  <c r="FG15" i="69"/>
  <c r="FH15" i="69"/>
  <c r="FI15" i="69"/>
  <c r="FJ15" i="69"/>
  <c r="FK15" i="69"/>
  <c r="FL15" i="69"/>
  <c r="FM15" i="69"/>
  <c r="FN15" i="69"/>
  <c r="FO15" i="69"/>
  <c r="FP15" i="69"/>
  <c r="FQ15" i="69"/>
  <c r="FB16" i="69"/>
  <c r="FC16" i="69"/>
  <c r="FD16" i="69"/>
  <c r="FE16" i="69"/>
  <c r="FF16" i="69"/>
  <c r="FG16" i="69"/>
  <c r="FH16" i="69"/>
  <c r="FI16" i="69"/>
  <c r="FJ16" i="69"/>
  <c r="FK16" i="69"/>
  <c r="FL16" i="69"/>
  <c r="FM16" i="69"/>
  <c r="FN16" i="69"/>
  <c r="FO16" i="69"/>
  <c r="FP16" i="69"/>
  <c r="FQ16" i="69"/>
  <c r="FA7" i="69"/>
  <c r="FA10" i="69"/>
  <c r="FA11" i="69"/>
  <c r="FA12" i="69"/>
  <c r="FA13" i="69"/>
  <c r="FA14" i="69"/>
  <c r="FA15" i="69"/>
  <c r="FA16" i="69"/>
  <c r="FW4" i="57"/>
  <c r="FQ4" i="69" s="1"/>
  <c r="FW5" i="57"/>
  <c r="FW6" i="57"/>
  <c r="FQ6" i="69" s="1"/>
  <c r="FW7" i="57"/>
  <c r="FQ7" i="69" s="1"/>
  <c r="FW8" i="57"/>
  <c r="FW9" i="57"/>
  <c r="FW10" i="57"/>
  <c r="FW11" i="57"/>
  <c r="FW12" i="57"/>
  <c r="FW13" i="57"/>
  <c r="FW14" i="57"/>
  <c r="FW15" i="57"/>
  <c r="FW16" i="57"/>
  <c r="FW17" i="57"/>
  <c r="FQ17" i="69" s="1"/>
  <c r="FW3" i="57"/>
  <c r="FQ3" i="69" s="1"/>
  <c r="FV4" i="57"/>
  <c r="FP4" i="69" s="1"/>
  <c r="FV5" i="57"/>
  <c r="FV6" i="57"/>
  <c r="FP6" i="69" s="1"/>
  <c r="FV7" i="57"/>
  <c r="FP7" i="69" s="1"/>
  <c r="FV8" i="57"/>
  <c r="FV9" i="57"/>
  <c r="FV10" i="57"/>
  <c r="FV11" i="57"/>
  <c r="FV12" i="57"/>
  <c r="FV13" i="57"/>
  <c r="FV14" i="57"/>
  <c r="FV15" i="57"/>
  <c r="FV16" i="57"/>
  <c r="FV17" i="57"/>
  <c r="FP17" i="69" s="1"/>
  <c r="FV3" i="57"/>
  <c r="FP3" i="69" s="1"/>
  <c r="FU4" i="57"/>
  <c r="FO4" i="69" s="1"/>
  <c r="FU5" i="57"/>
  <c r="FO5" i="69" s="1"/>
  <c r="FU6" i="57"/>
  <c r="FO6" i="69" s="1"/>
  <c r="FU7" i="57"/>
  <c r="FO7" i="69" s="1"/>
  <c r="FU8" i="57"/>
  <c r="FO8" i="69" s="1"/>
  <c r="FU9" i="57"/>
  <c r="FO9" i="69" s="1"/>
  <c r="FU10" i="57"/>
  <c r="FU11" i="57"/>
  <c r="FU12" i="57"/>
  <c r="FU13" i="57"/>
  <c r="FU14" i="57"/>
  <c r="FU15" i="57"/>
  <c r="FU16" i="57"/>
  <c r="FU17" i="57"/>
  <c r="FO17" i="69" s="1"/>
  <c r="FU3" i="57"/>
  <c r="FO3" i="69" s="1"/>
  <c r="FT4" i="57"/>
  <c r="FN4" i="69" s="1"/>
  <c r="FT5" i="57"/>
  <c r="FN5" i="69" s="1"/>
  <c r="FT6" i="57"/>
  <c r="FN6" i="69" s="1"/>
  <c r="FT7" i="57"/>
  <c r="FN7" i="69" s="1"/>
  <c r="FT8" i="57"/>
  <c r="FN8" i="69" s="1"/>
  <c r="FT9" i="57"/>
  <c r="FN9" i="69" s="1"/>
  <c r="FT10" i="57"/>
  <c r="FT11" i="57"/>
  <c r="FT12" i="57"/>
  <c r="FT13" i="57"/>
  <c r="FT14" i="57"/>
  <c r="FT15" i="57"/>
  <c r="FT16" i="57"/>
  <c r="FT17" i="57"/>
  <c r="FN17" i="69" s="1"/>
  <c r="FT3" i="57"/>
  <c r="FN3" i="69" s="1"/>
  <c r="FS4" i="57"/>
  <c r="FM4" i="69" s="1"/>
  <c r="FS5" i="57"/>
  <c r="FM5" i="69" s="1"/>
  <c r="FS6" i="57"/>
  <c r="FM6" i="69" s="1"/>
  <c r="FS7" i="57"/>
  <c r="FM7" i="69" s="1"/>
  <c r="FS8" i="57"/>
  <c r="FM8" i="69" s="1"/>
  <c r="FS9" i="57"/>
  <c r="FM9" i="69" s="1"/>
  <c r="FS10" i="57"/>
  <c r="FS11" i="57"/>
  <c r="FS12" i="57"/>
  <c r="FS13" i="57"/>
  <c r="FS14" i="57"/>
  <c r="FS15" i="57"/>
  <c r="FS16" i="57"/>
  <c r="FS17" i="57"/>
  <c r="FM17" i="69" s="1"/>
  <c r="FS3" i="57"/>
  <c r="FM3" i="69" s="1"/>
  <c r="FR4" i="57"/>
  <c r="FL4" i="69" s="1"/>
  <c r="FR5" i="57"/>
  <c r="FL5" i="69" s="1"/>
  <c r="FR6" i="57"/>
  <c r="FL6" i="69" s="1"/>
  <c r="FR7" i="57"/>
  <c r="FL7" i="69" s="1"/>
  <c r="FR8" i="57"/>
  <c r="FR9" i="57"/>
  <c r="FL9" i="69" s="1"/>
  <c r="FR10" i="57"/>
  <c r="FR11" i="57"/>
  <c r="FR12" i="57"/>
  <c r="FR13" i="57"/>
  <c r="FR14" i="57"/>
  <c r="FR15" i="57"/>
  <c r="FR16" i="57"/>
  <c r="FR17" i="57"/>
  <c r="FL17" i="69" s="1"/>
  <c r="FR3" i="57"/>
  <c r="FL3" i="69" s="1"/>
  <c r="FQ4" i="57"/>
  <c r="FK4" i="69" s="1"/>
  <c r="FQ5" i="57"/>
  <c r="FK5" i="69" s="1"/>
  <c r="FQ6" i="57"/>
  <c r="FK6" i="69" s="1"/>
  <c r="FQ7" i="57"/>
  <c r="FK7" i="69" s="1"/>
  <c r="FQ8" i="57"/>
  <c r="FK8" i="69" s="1"/>
  <c r="FQ9" i="57"/>
  <c r="FK9" i="69" s="1"/>
  <c r="FQ10" i="57"/>
  <c r="FQ11" i="57"/>
  <c r="FQ12" i="57"/>
  <c r="FQ13" i="57"/>
  <c r="FQ14" i="57"/>
  <c r="FQ15" i="57"/>
  <c r="FQ16" i="57"/>
  <c r="FQ17" i="57"/>
  <c r="FK17" i="69" s="1"/>
  <c r="FQ3" i="57"/>
  <c r="FK3" i="69" s="1"/>
  <c r="FP4" i="57"/>
  <c r="FJ4" i="69" s="1"/>
  <c r="FP5" i="57"/>
  <c r="FJ5" i="69" s="1"/>
  <c r="FP6" i="57"/>
  <c r="FJ6" i="69" s="1"/>
  <c r="FP7" i="57"/>
  <c r="FJ7" i="69" s="1"/>
  <c r="FP8" i="57"/>
  <c r="FJ8" i="69" s="1"/>
  <c r="FP9" i="57"/>
  <c r="FJ9" i="69" s="1"/>
  <c r="FP10" i="57"/>
  <c r="FP11" i="57"/>
  <c r="FP12" i="57"/>
  <c r="FP13" i="57"/>
  <c r="FP14" i="57"/>
  <c r="FP15" i="57"/>
  <c r="FP16" i="57"/>
  <c r="FP17" i="57"/>
  <c r="FJ17" i="69" s="1"/>
  <c r="FP3" i="57"/>
  <c r="FJ3" i="69" s="1"/>
  <c r="FO4" i="57"/>
  <c r="FO5" i="57"/>
  <c r="FO6" i="57"/>
  <c r="FI6" i="69" s="1"/>
  <c r="FO7" i="57"/>
  <c r="FO8" i="57"/>
  <c r="FO9" i="57"/>
  <c r="FO10" i="57"/>
  <c r="FO11" i="57"/>
  <c r="FO12" i="57"/>
  <c r="FO13" i="57"/>
  <c r="FO14" i="57"/>
  <c r="FO15" i="57"/>
  <c r="FO16" i="57"/>
  <c r="FO17" i="57"/>
  <c r="FI17" i="69" s="1"/>
  <c r="FO3" i="57"/>
  <c r="FI3" i="69" s="1"/>
  <c r="FN4" i="57"/>
  <c r="FN5" i="57"/>
  <c r="FN6" i="57"/>
  <c r="FH6" i="69" s="1"/>
  <c r="FN7" i="57"/>
  <c r="FH7" i="69" s="1"/>
  <c r="FN8" i="57"/>
  <c r="FN9" i="57"/>
  <c r="FN10" i="57"/>
  <c r="FN11" i="57"/>
  <c r="FN12" i="57"/>
  <c r="FN13" i="57"/>
  <c r="FN14" i="57"/>
  <c r="FN15" i="57"/>
  <c r="FN16" i="57"/>
  <c r="FN17" i="57"/>
  <c r="FH17" i="69" s="1"/>
  <c r="FN3" i="57"/>
  <c r="FH3" i="69" s="1"/>
  <c r="FM4" i="57"/>
  <c r="FG4" i="69" s="1"/>
  <c r="FM5" i="57"/>
  <c r="FG5" i="69" s="1"/>
  <c r="FM6" i="57"/>
  <c r="FG6" i="69" s="1"/>
  <c r="FM7" i="57"/>
  <c r="FG7" i="69" s="1"/>
  <c r="FM8" i="57"/>
  <c r="FG8" i="69" s="1"/>
  <c r="FM9" i="57"/>
  <c r="FG9" i="69" s="1"/>
  <c r="FM10" i="57"/>
  <c r="FM11" i="57"/>
  <c r="FM12" i="57"/>
  <c r="FM13" i="57"/>
  <c r="FM14" i="57"/>
  <c r="FM15" i="57"/>
  <c r="FM16" i="57"/>
  <c r="FM17" i="57"/>
  <c r="FG17" i="69" s="1"/>
  <c r="FM3" i="57"/>
  <c r="FG3" i="69" s="1"/>
  <c r="FL4" i="57"/>
  <c r="FF4" i="69" s="1"/>
  <c r="FL5" i="57"/>
  <c r="FF5" i="69" s="1"/>
  <c r="FL6" i="57"/>
  <c r="FF6" i="69" s="1"/>
  <c r="FL7" i="57"/>
  <c r="FF7" i="69" s="1"/>
  <c r="FL8" i="57"/>
  <c r="FF8" i="69" s="1"/>
  <c r="FL9" i="57"/>
  <c r="FF9" i="69" s="1"/>
  <c r="FL10" i="57"/>
  <c r="FL11" i="57"/>
  <c r="FL12" i="57"/>
  <c r="FL13" i="57"/>
  <c r="FL14" i="57"/>
  <c r="FL15" i="57"/>
  <c r="FL16" i="57"/>
  <c r="FL17" i="57"/>
  <c r="FF17" i="69" s="1"/>
  <c r="FL3" i="57"/>
  <c r="FF3" i="69" s="1"/>
  <c r="FK4" i="57"/>
  <c r="FE4" i="69" s="1"/>
  <c r="FK5" i="57"/>
  <c r="FK6" i="57"/>
  <c r="FE6" i="69" s="1"/>
  <c r="FK7" i="57"/>
  <c r="FE7" i="69" s="1"/>
  <c r="FK8" i="57"/>
  <c r="FE8" i="69" s="1"/>
  <c r="FK9" i="57"/>
  <c r="FE9" i="69" s="1"/>
  <c r="FK10" i="57"/>
  <c r="FK11" i="57"/>
  <c r="FK12" i="57"/>
  <c r="FK13" i="57"/>
  <c r="FK14" i="57"/>
  <c r="FK15" i="57"/>
  <c r="FK16" i="57"/>
  <c r="FK17" i="57"/>
  <c r="FE17" i="69" s="1"/>
  <c r="FK3" i="57"/>
  <c r="FE3" i="69" s="1"/>
  <c r="FJ4" i="57"/>
  <c r="FD4" i="69" s="1"/>
  <c r="FJ5" i="57"/>
  <c r="FD5" i="69" s="1"/>
  <c r="FJ6" i="57"/>
  <c r="FD6" i="69" s="1"/>
  <c r="FJ7" i="57"/>
  <c r="FD7" i="69" s="1"/>
  <c r="FJ8" i="57"/>
  <c r="FJ9" i="57"/>
  <c r="FD9" i="69" s="1"/>
  <c r="FJ10" i="57"/>
  <c r="FJ11" i="57"/>
  <c r="FJ12" i="57"/>
  <c r="FJ13" i="57"/>
  <c r="FJ14" i="57"/>
  <c r="FJ15" i="57"/>
  <c r="FJ16" i="57"/>
  <c r="FJ17" i="57"/>
  <c r="FD17" i="69" s="1"/>
  <c r="FJ3" i="57"/>
  <c r="FD3" i="69" s="1"/>
  <c r="FI4" i="57"/>
  <c r="FC4" i="69" s="1"/>
  <c r="FI5" i="57"/>
  <c r="FC5" i="69" s="1"/>
  <c r="FI6" i="57"/>
  <c r="FC6" i="69" s="1"/>
  <c r="FI7" i="57"/>
  <c r="FC7" i="69" s="1"/>
  <c r="FI8" i="57"/>
  <c r="FC8" i="69" s="1"/>
  <c r="FI9" i="57"/>
  <c r="FC9" i="69" s="1"/>
  <c r="FI10" i="57"/>
  <c r="FI11" i="57"/>
  <c r="FI12" i="57"/>
  <c r="FI13" i="57"/>
  <c r="FI14" i="57"/>
  <c r="FI15" i="57"/>
  <c r="FI16" i="57"/>
  <c r="FI17" i="57"/>
  <c r="FC17" i="69" s="1"/>
  <c r="FI3" i="57"/>
  <c r="FC3" i="69" s="1"/>
  <c r="FH4" i="57"/>
  <c r="FB4" i="69" s="1"/>
  <c r="FH5" i="57"/>
  <c r="FB5" i="69" s="1"/>
  <c r="FH6" i="57"/>
  <c r="FB6" i="69" s="1"/>
  <c r="FH7" i="57"/>
  <c r="FB7" i="69" s="1"/>
  <c r="FH8" i="57"/>
  <c r="FB8" i="69" s="1"/>
  <c r="FH9" i="57"/>
  <c r="FB9" i="69" s="1"/>
  <c r="FH10" i="57"/>
  <c r="FH11" i="57"/>
  <c r="FH12" i="57"/>
  <c r="FH13" i="57"/>
  <c r="FH14" i="57"/>
  <c r="FH15" i="57"/>
  <c r="FH16" i="57"/>
  <c r="FH17" i="57"/>
  <c r="FB17" i="69" s="1"/>
  <c r="FH3" i="57"/>
  <c r="FB3" i="69" s="1"/>
  <c r="FG4" i="57"/>
  <c r="FA4" i="69" s="1"/>
  <c r="FG5" i="57"/>
  <c r="FA5" i="69" s="1"/>
  <c r="FG6" i="57"/>
  <c r="FA6" i="69" s="1"/>
  <c r="FG7" i="57"/>
  <c r="FG8" i="57"/>
  <c r="FA8" i="69" s="1"/>
  <c r="FG9" i="57"/>
  <c r="FA9" i="69" s="1"/>
  <c r="FG10" i="57"/>
  <c r="FG11" i="57"/>
  <c r="FG12" i="57"/>
  <c r="FG13" i="57"/>
  <c r="FG14" i="57"/>
  <c r="FG15" i="57"/>
  <c r="FG16" i="57"/>
  <c r="FG17" i="57"/>
  <c r="FA17" i="69" s="1"/>
  <c r="FG3" i="57"/>
  <c r="FA3" i="69" s="1"/>
  <c r="A4" i="69"/>
  <c r="B4" i="69"/>
  <c r="C4" i="69"/>
  <c r="A5" i="69"/>
  <c r="B5" i="69"/>
  <c r="C5" i="69"/>
  <c r="A6" i="69"/>
  <c r="B6" i="69"/>
  <c r="C6" i="69"/>
  <c r="A7" i="69"/>
  <c r="B7" i="69"/>
  <c r="C7" i="69"/>
  <c r="A8" i="69"/>
  <c r="B8" i="69"/>
  <c r="C8" i="69"/>
  <c r="A9" i="69"/>
  <c r="B9" i="69"/>
  <c r="C9" i="69"/>
  <c r="A10" i="69"/>
  <c r="B10" i="69"/>
  <c r="C10" i="69"/>
  <c r="A11" i="69"/>
  <c r="B11" i="69"/>
  <c r="C11" i="69"/>
  <c r="A12" i="69"/>
  <c r="B12" i="69"/>
  <c r="C12" i="69"/>
  <c r="A13" i="69"/>
  <c r="B13" i="69"/>
  <c r="C13" i="69"/>
  <c r="A14" i="69"/>
  <c r="B14" i="69"/>
  <c r="C14" i="69"/>
  <c r="A15" i="69"/>
  <c r="B15" i="69"/>
  <c r="C15" i="69"/>
  <c r="A16" i="69"/>
  <c r="B16" i="69"/>
  <c r="C16" i="69"/>
  <c r="A17" i="69"/>
  <c r="B17" i="69"/>
  <c r="C17" i="69"/>
  <c r="B3" i="69"/>
  <c r="C3" i="69"/>
  <c r="A3" i="69"/>
  <c r="EO17" i="57" l="1"/>
  <c r="EO16" i="57"/>
  <c r="EO15" i="57"/>
  <c r="EO14" i="57"/>
  <c r="EO13" i="57"/>
  <c r="EO12" i="57"/>
  <c r="EO11" i="57"/>
  <c r="EO10" i="57"/>
  <c r="EO9" i="57"/>
  <c r="EO8" i="57"/>
  <c r="EO7" i="57"/>
  <c r="EO6" i="57"/>
  <c r="EO5" i="57"/>
  <c r="EO4" i="57"/>
  <c r="EO3" i="57"/>
  <c r="DW17" i="57"/>
  <c r="DW16" i="57"/>
  <c r="DW15" i="57"/>
  <c r="DW14" i="57"/>
  <c r="DW13" i="57"/>
  <c r="DW12" i="57"/>
  <c r="DW11" i="57"/>
  <c r="DW10" i="57"/>
  <c r="DW9" i="57"/>
  <c r="DW8" i="57"/>
  <c r="DW7" i="57"/>
  <c r="DW6" i="57"/>
  <c r="DW5" i="57"/>
  <c r="DW4" i="57"/>
  <c r="DW3" i="57"/>
  <c r="DT17" i="57"/>
  <c r="DT16" i="57"/>
  <c r="DT15" i="57"/>
  <c r="DT14" i="57"/>
  <c r="DT13" i="57"/>
  <c r="DT12" i="57"/>
  <c r="DT11" i="57"/>
  <c r="DT10" i="57"/>
  <c r="DT9" i="57"/>
  <c r="DT8" i="57"/>
  <c r="DT7" i="57"/>
  <c r="DT6" i="57"/>
  <c r="DT5" i="57"/>
  <c r="DT4" i="57"/>
  <c r="DT3" i="57"/>
  <c r="DQ17" i="57"/>
  <c r="DQ16" i="57"/>
  <c r="DQ15" i="57"/>
  <c r="DQ14" i="57"/>
  <c r="DQ13" i="57"/>
  <c r="DQ12" i="57"/>
  <c r="DQ11" i="57"/>
  <c r="DQ10" i="57"/>
  <c r="DQ9" i="57"/>
  <c r="DQ8" i="57"/>
  <c r="DQ7" i="57"/>
  <c r="DQ6" i="57"/>
  <c r="DQ5" i="57"/>
  <c r="DQ4" i="57"/>
  <c r="DQ3" i="57"/>
  <c r="DN17" i="57"/>
  <c r="DN16" i="57"/>
  <c r="DN15" i="57"/>
  <c r="DN14" i="57"/>
  <c r="DN13" i="57"/>
  <c r="DN12" i="57"/>
  <c r="DN11" i="57"/>
  <c r="DN10" i="57"/>
  <c r="DN9" i="57"/>
  <c r="DN8" i="57"/>
  <c r="DN7" i="57"/>
  <c r="DN6" i="57"/>
  <c r="DN5" i="57"/>
  <c r="DN4" i="57"/>
  <c r="DN3" i="57"/>
  <c r="DK17" i="57"/>
  <c r="DK16" i="57"/>
  <c r="DK15" i="57"/>
  <c r="DK14" i="57"/>
  <c r="DK13" i="57"/>
  <c r="DK12" i="57"/>
  <c r="DK11" i="57"/>
  <c r="DK10" i="57"/>
  <c r="DK9" i="57"/>
  <c r="DK8" i="57"/>
  <c r="DK7" i="57"/>
  <c r="DK6" i="57"/>
  <c r="DK5" i="57"/>
  <c r="DK4" i="57"/>
  <c r="DK3" i="57"/>
  <c r="DH17" i="57"/>
  <c r="DH16" i="57"/>
  <c r="DH15" i="57"/>
  <c r="DH14" i="57"/>
  <c r="DH13" i="57"/>
  <c r="DH12" i="57"/>
  <c r="DH11" i="57"/>
  <c r="DH10" i="57"/>
  <c r="DH9" i="57"/>
  <c r="DH8" i="57"/>
  <c r="DH7" i="57"/>
  <c r="DH6" i="57"/>
  <c r="DH5" i="57"/>
  <c r="DH4" i="57"/>
  <c r="DH3" i="57"/>
  <c r="DE17" i="57"/>
  <c r="DE16" i="57"/>
  <c r="DE15" i="57"/>
  <c r="DE14" i="57"/>
  <c r="DE13" i="57"/>
  <c r="DE12" i="57"/>
  <c r="DE11" i="57"/>
  <c r="DE10" i="57"/>
  <c r="DE9" i="57"/>
  <c r="DE8" i="57"/>
  <c r="DE7" i="57"/>
  <c r="DE6" i="57"/>
  <c r="DE5" i="57"/>
  <c r="DE4" i="57"/>
  <c r="DE3" i="57"/>
  <c r="DB17" i="57"/>
  <c r="DB16" i="57"/>
  <c r="DB15" i="57"/>
  <c r="DB14" i="57"/>
  <c r="DB13" i="57"/>
  <c r="DB12" i="57"/>
  <c r="DB11" i="57"/>
  <c r="DB10" i="57"/>
  <c r="DB9" i="57"/>
  <c r="DB8" i="57"/>
  <c r="DB7" i="57"/>
  <c r="DB6" i="57"/>
  <c r="DB5" i="57"/>
  <c r="DB4" i="57"/>
  <c r="DB3" i="57"/>
  <c r="CY17" i="57"/>
  <c r="CY16" i="57"/>
  <c r="CY15" i="57"/>
  <c r="CY14" i="57"/>
  <c r="CY13" i="57"/>
  <c r="CY12" i="57"/>
  <c r="CY11" i="57"/>
  <c r="CY10" i="57"/>
  <c r="CY9" i="57"/>
  <c r="CY8" i="57"/>
  <c r="CY7" i="57"/>
  <c r="CY6" i="57"/>
  <c r="CY5" i="57"/>
  <c r="CY4" i="57"/>
  <c r="CY3" i="57"/>
  <c r="CV17" i="57"/>
  <c r="CV16" i="57"/>
  <c r="CV15" i="57"/>
  <c r="CV14" i="57"/>
  <c r="CV13" i="57"/>
  <c r="CV12" i="57"/>
  <c r="CV11" i="57"/>
  <c r="CV10" i="57"/>
  <c r="CV9" i="57"/>
  <c r="CV8" i="57"/>
  <c r="CV7" i="57"/>
  <c r="CV6" i="57"/>
  <c r="CV5" i="57"/>
  <c r="CV4" i="57"/>
  <c r="CV3" i="57"/>
  <c r="CS17" i="57"/>
  <c r="CS16" i="57"/>
  <c r="CS15" i="57"/>
  <c r="CS14" i="57"/>
  <c r="CS13" i="57"/>
  <c r="CS12" i="57"/>
  <c r="CS11" i="57"/>
  <c r="CS10" i="57"/>
  <c r="CS9" i="57"/>
  <c r="CS8" i="57"/>
  <c r="CS7" i="57"/>
  <c r="CS6" i="57"/>
  <c r="CS5" i="57"/>
  <c r="CS4" i="57"/>
  <c r="CS3" i="57"/>
  <c r="CP17" i="57"/>
  <c r="CP16" i="57"/>
  <c r="CP15" i="57"/>
  <c r="CP14" i="57"/>
  <c r="CP13" i="57"/>
  <c r="CP12" i="57"/>
  <c r="CP11" i="57"/>
  <c r="CP10" i="57"/>
  <c r="CP9" i="57"/>
  <c r="CP8" i="57"/>
  <c r="CP7" i="57"/>
  <c r="CP6" i="57"/>
  <c r="CP5" i="57"/>
  <c r="CP4" i="57"/>
  <c r="CP3" i="57"/>
  <c r="CM17" i="57"/>
  <c r="CM16" i="57"/>
  <c r="CM15" i="57"/>
  <c r="CM14" i="57"/>
  <c r="CM13" i="57"/>
  <c r="CM12" i="57"/>
  <c r="CM11" i="57"/>
  <c r="CM10" i="57"/>
  <c r="CM9" i="57"/>
  <c r="CM8" i="57"/>
  <c r="CM7" i="57"/>
  <c r="CM6" i="57"/>
  <c r="CM5" i="57"/>
  <c r="CM4" i="57"/>
  <c r="CM3" i="57"/>
  <c r="CJ17" i="57"/>
  <c r="CJ16" i="57"/>
  <c r="CJ15" i="57"/>
  <c r="CJ14" i="57"/>
  <c r="CJ13" i="57"/>
  <c r="CJ12" i="57"/>
  <c r="CJ11" i="57"/>
  <c r="CJ10" i="57"/>
  <c r="CJ9" i="57"/>
  <c r="CJ8" i="57"/>
  <c r="CJ7" i="57"/>
  <c r="CJ6" i="57"/>
  <c r="CJ5" i="57"/>
  <c r="CJ4" i="57"/>
  <c r="CJ3" i="57"/>
  <c r="CG17" i="57"/>
  <c r="CG16" i="57"/>
  <c r="CG15" i="57"/>
  <c r="CG14" i="57"/>
  <c r="CG13" i="57"/>
  <c r="CG12" i="57"/>
  <c r="CG11" i="57"/>
  <c r="CG10" i="57"/>
  <c r="CG9" i="57"/>
  <c r="CG8" i="57"/>
  <c r="CG7" i="57"/>
  <c r="CG6" i="57"/>
  <c r="CG5" i="57"/>
  <c r="CG4" i="57"/>
  <c r="CG3" i="57"/>
  <c r="CD17" i="57"/>
  <c r="CD16" i="57"/>
  <c r="CD15" i="57"/>
  <c r="CD14" i="57"/>
  <c r="CD13" i="57"/>
  <c r="CD12" i="57"/>
  <c r="CD11" i="57"/>
  <c r="CD10" i="57"/>
  <c r="CD9" i="57"/>
  <c r="CD8" i="57"/>
  <c r="CD7" i="57"/>
  <c r="CD6" i="57"/>
  <c r="CD5" i="57"/>
  <c r="CD4" i="57"/>
  <c r="CD3" i="57"/>
  <c r="CA17" i="57"/>
  <c r="CA16" i="57"/>
  <c r="CA15" i="57"/>
  <c r="CA14" i="57"/>
  <c r="CA13" i="57"/>
  <c r="CA12" i="57"/>
  <c r="CA11" i="57"/>
  <c r="CA10" i="57"/>
  <c r="CA9" i="57"/>
  <c r="CA8" i="57"/>
  <c r="CA7" i="57"/>
  <c r="CA6" i="57"/>
  <c r="CA5" i="57"/>
  <c r="CA4" i="57"/>
  <c r="CA3" i="57"/>
  <c r="BX17" i="57"/>
  <c r="BX16" i="57"/>
  <c r="BX15" i="57"/>
  <c r="BX14" i="57"/>
  <c r="BX13" i="57"/>
  <c r="BX12" i="57"/>
  <c r="BX11" i="57"/>
  <c r="BX10" i="57"/>
  <c r="BX9" i="57"/>
  <c r="BX8" i="57"/>
  <c r="BX7" i="57"/>
  <c r="BX6" i="57"/>
  <c r="BX5" i="57"/>
  <c r="BX4" i="57"/>
  <c r="BX3" i="57"/>
  <c r="BU17" i="57"/>
  <c r="BU16" i="57"/>
  <c r="BU15" i="57"/>
  <c r="BU14" i="57"/>
  <c r="BU13" i="57"/>
  <c r="BU12" i="57"/>
  <c r="BU11" i="57"/>
  <c r="BU10" i="57"/>
  <c r="BU9" i="57"/>
  <c r="BU8" i="57"/>
  <c r="BU7" i="57"/>
  <c r="BU6" i="57"/>
  <c r="BU5" i="57"/>
  <c r="BU4" i="57"/>
  <c r="BU3" i="57"/>
  <c r="BR17" i="57"/>
  <c r="BR16" i="57"/>
  <c r="BR15" i="57"/>
  <c r="BR14" i="57"/>
  <c r="BR13" i="57"/>
  <c r="BR12" i="57"/>
  <c r="BR11" i="57"/>
  <c r="BR10" i="57"/>
  <c r="BR9" i="57"/>
  <c r="BR8" i="57"/>
  <c r="BR7" i="57"/>
  <c r="BR6" i="57"/>
  <c r="BR5" i="57"/>
  <c r="BR4" i="57"/>
  <c r="BR3" i="57"/>
  <c r="BO17" i="57"/>
  <c r="BO16" i="57"/>
  <c r="BO15" i="57"/>
  <c r="BO14" i="57"/>
  <c r="BO13" i="57"/>
  <c r="BO12" i="57"/>
  <c r="BO11" i="57"/>
  <c r="BO10" i="57"/>
  <c r="BO9" i="57"/>
  <c r="BO8" i="57"/>
  <c r="BO7" i="57"/>
  <c r="BO6" i="57"/>
  <c r="BO5" i="57"/>
  <c r="BO4" i="57"/>
  <c r="BO3" i="57"/>
  <c r="BL17" i="57"/>
  <c r="BL16" i="57"/>
  <c r="BL15" i="57"/>
  <c r="BL14" i="57"/>
  <c r="BL13" i="57"/>
  <c r="BL12" i="57"/>
  <c r="BL11" i="57"/>
  <c r="BL10" i="57"/>
  <c r="BL9" i="57"/>
  <c r="BL8" i="57"/>
  <c r="BL7" i="57"/>
  <c r="BL6" i="57"/>
  <c r="BL5" i="57"/>
  <c r="BL4" i="57"/>
  <c r="BL3" i="57"/>
  <c r="BI5" i="57" l="1"/>
  <c r="BI6" i="57"/>
  <c r="BI7" i="57"/>
  <c r="BI8" i="57"/>
  <c r="BI9" i="57"/>
  <c r="BI10" i="57"/>
  <c r="BI11" i="57"/>
  <c r="BI12" i="57"/>
  <c r="BI13" i="57"/>
  <c r="BI14" i="57"/>
  <c r="BI15" i="57"/>
  <c r="BI16" i="57"/>
  <c r="BI17" i="57"/>
  <c r="BI3" i="57"/>
  <c r="BI4" i="57"/>
  <c r="BF11" i="57"/>
  <c r="BG11" i="57" s="1"/>
  <c r="BF12" i="57"/>
  <c r="BG12" i="57" s="1"/>
  <c r="BF13" i="57"/>
  <c r="BG13" i="57" s="1"/>
  <c r="BF14" i="57"/>
  <c r="BG14" i="57" s="1"/>
  <c r="BF15" i="57"/>
  <c r="BG15" i="57" s="1"/>
  <c r="BF16" i="57"/>
  <c r="BG16" i="57" s="1"/>
  <c r="BF17" i="57"/>
  <c r="BG17" i="57" s="1"/>
  <c r="BF6" i="57"/>
  <c r="BG6" i="57" s="1"/>
  <c r="BF7" i="57"/>
  <c r="BG7" i="57" s="1"/>
  <c r="BF8" i="57"/>
  <c r="BG8" i="57" s="1"/>
  <c r="BF9" i="57"/>
  <c r="BG9" i="57" s="1"/>
  <c r="BF10" i="57"/>
  <c r="BG10" i="57" s="1"/>
  <c r="BF5" i="57"/>
  <c r="BG5" i="57" s="1"/>
  <c r="BF4" i="57"/>
  <c r="BG4" i="57" s="1"/>
  <c r="BF3" i="57"/>
  <c r="BG3" i="57" s="1"/>
  <c r="EY17" i="57" l="1"/>
  <c r="EX17" i="57"/>
  <c r="EW17" i="57"/>
  <c r="EY16" i="57"/>
  <c r="EX16" i="57"/>
  <c r="EW16" i="57"/>
  <c r="EY15" i="57"/>
  <c r="EX15" i="57"/>
  <c r="EW15" i="57"/>
  <c r="EY14" i="57"/>
  <c r="EX14" i="57"/>
  <c r="EW14" i="57"/>
  <c r="EY13" i="57"/>
  <c r="EX13" i="57"/>
  <c r="EW13" i="57"/>
  <c r="EY12" i="57"/>
  <c r="EX12" i="57"/>
  <c r="EW12" i="57"/>
  <c r="EY11" i="57"/>
  <c r="EX11" i="57"/>
  <c r="EW11" i="57"/>
  <c r="EY10" i="57"/>
  <c r="EX10" i="57"/>
  <c r="EW10" i="57"/>
  <c r="EY9" i="57"/>
  <c r="EX9" i="57"/>
  <c r="EW9" i="57"/>
  <c r="EY8" i="57"/>
  <c r="EX8" i="57"/>
  <c r="EW8" i="57"/>
  <c r="EY7" i="57"/>
  <c r="EX7" i="57"/>
  <c r="EW7" i="57"/>
  <c r="EY6" i="57"/>
  <c r="EX6" i="57"/>
  <c r="EW6" i="57"/>
  <c r="EY5" i="57"/>
  <c r="EX5" i="57"/>
  <c r="EW5" i="57"/>
  <c r="EY4" i="57"/>
  <c r="EX4" i="57"/>
  <c r="EW4" i="57"/>
  <c r="EY3" i="57"/>
  <c r="EX3" i="57"/>
  <c r="EW3" i="57"/>
  <c r="BA17" i="69" l="1"/>
  <c r="AZ17" i="69"/>
  <c r="BA16" i="69"/>
  <c r="AZ16" i="69"/>
  <c r="BA15" i="69"/>
  <c r="AZ15" i="69"/>
  <c r="BA14" i="69"/>
  <c r="AZ14" i="69"/>
  <c r="BA13" i="69"/>
  <c r="AZ13" i="69"/>
  <c r="BA12" i="69"/>
  <c r="AZ12" i="69"/>
  <c r="BA11" i="69"/>
  <c r="AZ11" i="69"/>
  <c r="BA10" i="69"/>
  <c r="AZ10" i="69"/>
  <c r="BA9" i="69"/>
  <c r="AZ9" i="69"/>
  <c r="BA8" i="69"/>
  <c r="AZ8" i="69"/>
  <c r="BA7" i="69"/>
  <c r="AZ7" i="69"/>
  <c r="BA6" i="69"/>
  <c r="AZ6" i="69"/>
  <c r="BA5" i="69"/>
  <c r="AZ5" i="69"/>
  <c r="BA4" i="69"/>
  <c r="AZ4" i="69"/>
  <c r="BA3" i="69"/>
  <c r="AZ3" i="69"/>
  <c r="AX17" i="69"/>
  <c r="AW17" i="69"/>
  <c r="AV17" i="69"/>
  <c r="AU17" i="69"/>
  <c r="AT17" i="69"/>
  <c r="AS17" i="69"/>
  <c r="AR17" i="69"/>
  <c r="AQ17" i="69"/>
  <c r="AP17" i="69"/>
  <c r="AX16" i="69"/>
  <c r="AW16" i="69"/>
  <c r="AV16" i="69"/>
  <c r="AU16" i="69"/>
  <c r="AT16" i="69"/>
  <c r="AS16" i="69"/>
  <c r="AR16" i="69"/>
  <c r="AQ16" i="69"/>
  <c r="AP16" i="69"/>
  <c r="AX15" i="69"/>
  <c r="AW15" i="69"/>
  <c r="AV15" i="69"/>
  <c r="AU15" i="69"/>
  <c r="AT15" i="69"/>
  <c r="AS15" i="69"/>
  <c r="AR15" i="69"/>
  <c r="AQ15" i="69"/>
  <c r="AP15" i="69"/>
  <c r="AX14" i="69"/>
  <c r="AW14" i="69"/>
  <c r="AV14" i="69"/>
  <c r="AU14" i="69"/>
  <c r="AT14" i="69"/>
  <c r="AS14" i="69"/>
  <c r="AR14" i="69"/>
  <c r="AQ14" i="69"/>
  <c r="AP14" i="69"/>
  <c r="AX13" i="69"/>
  <c r="AW13" i="69"/>
  <c r="AV13" i="69"/>
  <c r="AU13" i="69"/>
  <c r="AT13" i="69"/>
  <c r="AS13" i="69"/>
  <c r="AR13" i="69"/>
  <c r="AQ13" i="69"/>
  <c r="AP13" i="69"/>
  <c r="AX12" i="69"/>
  <c r="AW12" i="69"/>
  <c r="AV12" i="69"/>
  <c r="AU12" i="69"/>
  <c r="AT12" i="69"/>
  <c r="AS12" i="69"/>
  <c r="AR12" i="69"/>
  <c r="AQ12" i="69"/>
  <c r="AP12" i="69"/>
  <c r="AX11" i="69"/>
  <c r="AW11" i="69"/>
  <c r="AV11" i="69"/>
  <c r="AU11" i="69"/>
  <c r="AT11" i="69"/>
  <c r="AS11" i="69"/>
  <c r="AR11" i="69"/>
  <c r="AQ11" i="69"/>
  <c r="AP11" i="69"/>
  <c r="AX10" i="69"/>
  <c r="AW10" i="69"/>
  <c r="AV10" i="69"/>
  <c r="AU10" i="69"/>
  <c r="AT10" i="69"/>
  <c r="AS10" i="69"/>
  <c r="AR10" i="69"/>
  <c r="AQ10" i="69"/>
  <c r="AP10" i="69"/>
  <c r="AX9" i="69"/>
  <c r="AW9" i="69"/>
  <c r="AV9" i="69"/>
  <c r="AU9" i="69"/>
  <c r="AT9" i="69"/>
  <c r="AS9" i="69"/>
  <c r="AR9" i="69"/>
  <c r="AQ9" i="69"/>
  <c r="AP9" i="69"/>
  <c r="AX8" i="69"/>
  <c r="AW8" i="69"/>
  <c r="AV8" i="69"/>
  <c r="AU8" i="69"/>
  <c r="AT8" i="69"/>
  <c r="AS8" i="69"/>
  <c r="AR8" i="69"/>
  <c r="AQ8" i="69"/>
  <c r="AP8" i="69"/>
  <c r="AX7" i="69"/>
  <c r="AW7" i="69"/>
  <c r="AV7" i="69"/>
  <c r="AU7" i="69"/>
  <c r="AT7" i="69"/>
  <c r="AS7" i="69"/>
  <c r="AR7" i="69"/>
  <c r="AQ7" i="69"/>
  <c r="AP7" i="69"/>
  <c r="AX6" i="69"/>
  <c r="AW6" i="69"/>
  <c r="AV6" i="69"/>
  <c r="AU6" i="69"/>
  <c r="AT6" i="69"/>
  <c r="AS6" i="69"/>
  <c r="AR6" i="69"/>
  <c r="AQ6" i="69"/>
  <c r="AP6" i="69"/>
  <c r="AX5" i="69"/>
  <c r="AW5" i="69"/>
  <c r="AV5" i="69"/>
  <c r="AU5" i="69"/>
  <c r="AT5" i="69"/>
  <c r="AS5" i="69"/>
  <c r="AR5" i="69"/>
  <c r="AQ5" i="69"/>
  <c r="AP5" i="69"/>
  <c r="AX4" i="69"/>
  <c r="AW4" i="69"/>
  <c r="AV4" i="69"/>
  <c r="AU4" i="69"/>
  <c r="AT4" i="69"/>
  <c r="AS4" i="69"/>
  <c r="AR4" i="69"/>
  <c r="AQ4" i="69"/>
  <c r="AP4" i="69"/>
  <c r="AX3" i="69"/>
  <c r="AW3" i="69"/>
  <c r="AV3" i="69"/>
  <c r="AU3" i="69"/>
  <c r="AT3" i="69"/>
  <c r="AS3" i="69"/>
  <c r="AR3" i="69"/>
  <c r="AQ3" i="69"/>
  <c r="AP3" i="69"/>
  <c r="EZ17" i="69"/>
  <c r="EZ16" i="69"/>
  <c r="EZ15" i="69"/>
  <c r="EZ14" i="69"/>
  <c r="EZ13" i="69"/>
  <c r="EZ12" i="69"/>
  <c r="EZ11" i="69"/>
  <c r="EZ10" i="69"/>
  <c r="EZ9" i="69"/>
  <c r="EZ8" i="69"/>
  <c r="EZ7" i="69"/>
  <c r="EZ6" i="69"/>
  <c r="EZ5" i="69"/>
  <c r="EZ4" i="69"/>
  <c r="EZ3" i="69"/>
  <c r="EN17" i="69"/>
  <c r="DY17" i="69"/>
  <c r="DV17" i="69"/>
  <c r="DS17" i="69"/>
  <c r="DP17" i="69"/>
  <c r="DM17" i="69"/>
  <c r="DJ17" i="69"/>
  <c r="DG17" i="69"/>
  <c r="DD17" i="69"/>
  <c r="DA17" i="69"/>
  <c r="CX17" i="69"/>
  <c r="CU17" i="69"/>
  <c r="CR17" i="69"/>
  <c r="CO17" i="69"/>
  <c r="CL17" i="69"/>
  <c r="CI17" i="69"/>
  <c r="CF17" i="69"/>
  <c r="CC17" i="69"/>
  <c r="BZ17" i="69"/>
  <c r="BW17" i="69"/>
  <c r="BT17" i="69"/>
  <c r="BQ17" i="69"/>
  <c r="BN17" i="69"/>
  <c r="BK17" i="69"/>
  <c r="BH17" i="69"/>
  <c r="BE17" i="69"/>
  <c r="BC17" i="69"/>
  <c r="EN16" i="69"/>
  <c r="DY16" i="69"/>
  <c r="DV16" i="69"/>
  <c r="DS16" i="69"/>
  <c r="DP16" i="69"/>
  <c r="DM16" i="69"/>
  <c r="DJ16" i="69"/>
  <c r="DG16" i="69"/>
  <c r="DD16" i="69"/>
  <c r="DA16" i="69"/>
  <c r="CX16" i="69"/>
  <c r="CU16" i="69"/>
  <c r="CR16" i="69"/>
  <c r="CO16" i="69"/>
  <c r="CL16" i="69"/>
  <c r="CI16" i="69"/>
  <c r="CF16" i="69"/>
  <c r="CC16" i="69"/>
  <c r="BZ16" i="69"/>
  <c r="BW16" i="69"/>
  <c r="BT16" i="69"/>
  <c r="BQ16" i="69"/>
  <c r="BN16" i="69"/>
  <c r="BK16" i="69"/>
  <c r="BH16" i="69"/>
  <c r="BE16" i="69"/>
  <c r="BD16" i="69"/>
  <c r="BC16" i="69"/>
  <c r="EN15" i="69"/>
  <c r="DY15" i="69"/>
  <c r="DV15" i="69"/>
  <c r="DS15" i="69"/>
  <c r="DP15" i="69"/>
  <c r="DM15" i="69"/>
  <c r="DJ15" i="69"/>
  <c r="DG15" i="69"/>
  <c r="DD15" i="69"/>
  <c r="DA15" i="69"/>
  <c r="CX15" i="69"/>
  <c r="CU15" i="69"/>
  <c r="CR15" i="69"/>
  <c r="CO15" i="69"/>
  <c r="CL15" i="69"/>
  <c r="CI15" i="69"/>
  <c r="CF15" i="69"/>
  <c r="CC15" i="69"/>
  <c r="BZ15" i="69"/>
  <c r="BW15" i="69"/>
  <c r="BT15" i="69"/>
  <c r="BQ15" i="69"/>
  <c r="BN15" i="69"/>
  <c r="BK15" i="69"/>
  <c r="BH15" i="69"/>
  <c r="BE15" i="69"/>
  <c r="BD15" i="69"/>
  <c r="BC15" i="69"/>
  <c r="EN14" i="69"/>
  <c r="DY14" i="69"/>
  <c r="DV14" i="69"/>
  <c r="DS14" i="69"/>
  <c r="DP14" i="69"/>
  <c r="DM14" i="69"/>
  <c r="DJ14" i="69"/>
  <c r="DG14" i="69"/>
  <c r="DD14" i="69"/>
  <c r="DA14" i="69"/>
  <c r="CX14" i="69"/>
  <c r="CU14" i="69"/>
  <c r="CR14" i="69"/>
  <c r="CO14" i="69"/>
  <c r="CL14" i="69"/>
  <c r="CI14" i="69"/>
  <c r="CF14" i="69"/>
  <c r="CC14" i="69"/>
  <c r="BZ14" i="69"/>
  <c r="BW14" i="69"/>
  <c r="BT14" i="69"/>
  <c r="BQ14" i="69"/>
  <c r="BN14" i="69"/>
  <c r="BK14" i="69"/>
  <c r="BH14" i="69"/>
  <c r="BE14" i="69"/>
  <c r="BD14" i="69"/>
  <c r="BC14" i="69"/>
  <c r="EN13" i="69"/>
  <c r="DY13" i="69"/>
  <c r="DV13" i="69"/>
  <c r="DS13" i="69"/>
  <c r="DP13" i="69"/>
  <c r="DM13" i="69"/>
  <c r="DJ13" i="69"/>
  <c r="DG13" i="69"/>
  <c r="DD13" i="69"/>
  <c r="DA13" i="69"/>
  <c r="CX13" i="69"/>
  <c r="CU13" i="69"/>
  <c r="CR13" i="69"/>
  <c r="CO13" i="69"/>
  <c r="CL13" i="69"/>
  <c r="CI13" i="69"/>
  <c r="CF13" i="69"/>
  <c r="CC13" i="69"/>
  <c r="BZ13" i="69"/>
  <c r="BW13" i="69"/>
  <c r="BT13" i="69"/>
  <c r="BQ13" i="69"/>
  <c r="BN13" i="69"/>
  <c r="BK13" i="69"/>
  <c r="BH13" i="69"/>
  <c r="BE13" i="69"/>
  <c r="BD13" i="69"/>
  <c r="BC13" i="69"/>
  <c r="EN12" i="69"/>
  <c r="DY12" i="69"/>
  <c r="DV12" i="69"/>
  <c r="DS12" i="69"/>
  <c r="DP12" i="69"/>
  <c r="DM12" i="69"/>
  <c r="DJ12" i="69"/>
  <c r="DG12" i="69"/>
  <c r="DD12" i="69"/>
  <c r="DA12" i="69"/>
  <c r="CX12" i="69"/>
  <c r="CU12" i="69"/>
  <c r="CR12" i="69"/>
  <c r="CO12" i="69"/>
  <c r="CL12" i="69"/>
  <c r="CI12" i="69"/>
  <c r="CF12" i="69"/>
  <c r="CC12" i="69"/>
  <c r="BZ12" i="69"/>
  <c r="BW12" i="69"/>
  <c r="BT12" i="69"/>
  <c r="BQ12" i="69"/>
  <c r="BN12" i="69"/>
  <c r="BK12" i="69"/>
  <c r="BH12" i="69"/>
  <c r="BE12" i="69"/>
  <c r="BD12" i="69"/>
  <c r="BC12" i="69"/>
  <c r="EN11" i="69"/>
  <c r="DY11" i="69"/>
  <c r="DV11" i="69"/>
  <c r="DS11" i="69"/>
  <c r="DP11" i="69"/>
  <c r="DM11" i="69"/>
  <c r="DJ11" i="69"/>
  <c r="DG11" i="69"/>
  <c r="DD11" i="69"/>
  <c r="DA11" i="69"/>
  <c r="CX11" i="69"/>
  <c r="CU11" i="69"/>
  <c r="CR11" i="69"/>
  <c r="CO11" i="69"/>
  <c r="CL11" i="69"/>
  <c r="CI11" i="69"/>
  <c r="CF11" i="69"/>
  <c r="CC11" i="69"/>
  <c r="BZ11" i="69"/>
  <c r="BW11" i="69"/>
  <c r="BT11" i="69"/>
  <c r="BQ11" i="69"/>
  <c r="BN11" i="69"/>
  <c r="BK11" i="69"/>
  <c r="BH11" i="69"/>
  <c r="BE11" i="69"/>
  <c r="BD11" i="69"/>
  <c r="BC11" i="69"/>
  <c r="EN10" i="69"/>
  <c r="DY10" i="69"/>
  <c r="DV10" i="69"/>
  <c r="DS10" i="69"/>
  <c r="DP10" i="69"/>
  <c r="DM10" i="69"/>
  <c r="DJ10" i="69"/>
  <c r="DG10" i="69"/>
  <c r="DD10" i="69"/>
  <c r="DA10" i="69"/>
  <c r="CX10" i="69"/>
  <c r="CU10" i="69"/>
  <c r="CR10" i="69"/>
  <c r="CO10" i="69"/>
  <c r="CL10" i="69"/>
  <c r="CI10" i="69"/>
  <c r="CF10" i="69"/>
  <c r="CC10" i="69"/>
  <c r="BZ10" i="69"/>
  <c r="BW10" i="69"/>
  <c r="BT10" i="69"/>
  <c r="BQ10" i="69"/>
  <c r="BN10" i="69"/>
  <c r="BK10" i="69"/>
  <c r="BH10" i="69"/>
  <c r="BE10" i="69"/>
  <c r="BD10" i="69"/>
  <c r="BC10" i="69"/>
  <c r="EN9" i="69"/>
  <c r="DY9" i="69"/>
  <c r="DV9" i="69"/>
  <c r="DS9" i="69"/>
  <c r="DP9" i="69"/>
  <c r="DM9" i="69"/>
  <c r="DJ9" i="69"/>
  <c r="DG9" i="69"/>
  <c r="DD9" i="69"/>
  <c r="DA9" i="69"/>
  <c r="CX9" i="69"/>
  <c r="CU9" i="69"/>
  <c r="CR9" i="69"/>
  <c r="CO9" i="69"/>
  <c r="CL9" i="69"/>
  <c r="CI9" i="69"/>
  <c r="CF9" i="69"/>
  <c r="CC9" i="69"/>
  <c r="BZ9" i="69"/>
  <c r="BW9" i="69"/>
  <c r="BT9" i="69"/>
  <c r="BQ9" i="69"/>
  <c r="BN9" i="69"/>
  <c r="BK9" i="69"/>
  <c r="BH9" i="69"/>
  <c r="BE9" i="69"/>
  <c r="BC9" i="69"/>
  <c r="EN8" i="69"/>
  <c r="DY8" i="69"/>
  <c r="DV8" i="69"/>
  <c r="DS8" i="69"/>
  <c r="DP8" i="69"/>
  <c r="DM8" i="69"/>
  <c r="DJ8" i="69"/>
  <c r="DG8" i="69"/>
  <c r="DD8" i="69"/>
  <c r="DA8" i="69"/>
  <c r="CX8" i="69"/>
  <c r="CU8" i="69"/>
  <c r="CR8" i="69"/>
  <c r="CO8" i="69"/>
  <c r="CL8" i="69"/>
  <c r="CI8" i="69"/>
  <c r="CF8" i="69"/>
  <c r="CC8" i="69"/>
  <c r="BZ8" i="69"/>
  <c r="BW8" i="69"/>
  <c r="BT8" i="69"/>
  <c r="BQ8" i="69"/>
  <c r="BN8" i="69"/>
  <c r="BK8" i="69"/>
  <c r="BH8" i="69"/>
  <c r="BE8" i="69"/>
  <c r="BC8" i="69"/>
  <c r="EN7" i="69"/>
  <c r="DY7" i="69"/>
  <c r="DV7" i="69"/>
  <c r="DS7" i="69"/>
  <c r="DP7" i="69"/>
  <c r="DM7" i="69"/>
  <c r="DJ7" i="69"/>
  <c r="DG7" i="69"/>
  <c r="DD7" i="69"/>
  <c r="DA7" i="69"/>
  <c r="CX7" i="69"/>
  <c r="CU7" i="69"/>
  <c r="CR7" i="69"/>
  <c r="CO7" i="69"/>
  <c r="CL7" i="69"/>
  <c r="CI7" i="69"/>
  <c r="CF7" i="69"/>
  <c r="CC7" i="69"/>
  <c r="BZ7" i="69"/>
  <c r="BW7" i="69"/>
  <c r="BT7" i="69"/>
  <c r="BQ7" i="69"/>
  <c r="BN7" i="69"/>
  <c r="BK7" i="69"/>
  <c r="BH7" i="69"/>
  <c r="BE7" i="69"/>
  <c r="BC7" i="69"/>
  <c r="EN6" i="69"/>
  <c r="DY6" i="69"/>
  <c r="DV6" i="69"/>
  <c r="DS6" i="69"/>
  <c r="DP6" i="69"/>
  <c r="DM6" i="69"/>
  <c r="DJ6" i="69"/>
  <c r="DG6" i="69"/>
  <c r="DD6" i="69"/>
  <c r="DA6" i="69"/>
  <c r="CX6" i="69"/>
  <c r="CU6" i="69"/>
  <c r="CR6" i="69"/>
  <c r="CO6" i="69"/>
  <c r="CL6" i="69"/>
  <c r="CI6" i="69"/>
  <c r="CF6" i="69"/>
  <c r="CC6" i="69"/>
  <c r="BZ6" i="69"/>
  <c r="BW6" i="69"/>
  <c r="BT6" i="69"/>
  <c r="BQ6" i="69"/>
  <c r="BN6" i="69"/>
  <c r="BK6" i="69"/>
  <c r="BH6" i="69"/>
  <c r="BE6" i="69"/>
  <c r="BC6" i="69"/>
  <c r="EN5" i="69"/>
  <c r="DY5" i="69"/>
  <c r="DV5" i="69"/>
  <c r="DS5" i="69"/>
  <c r="DP5" i="69"/>
  <c r="DM5" i="69"/>
  <c r="DJ5" i="69"/>
  <c r="DG5" i="69"/>
  <c r="DD5" i="69"/>
  <c r="DA5" i="69"/>
  <c r="CX5" i="69"/>
  <c r="CU5" i="69"/>
  <c r="CR5" i="69"/>
  <c r="CO5" i="69"/>
  <c r="CL5" i="69"/>
  <c r="CI5" i="69"/>
  <c r="CF5" i="69"/>
  <c r="CC5" i="69"/>
  <c r="BZ5" i="69"/>
  <c r="BW5" i="69"/>
  <c r="BT5" i="69"/>
  <c r="BQ5" i="69"/>
  <c r="BN5" i="69"/>
  <c r="BK5" i="69"/>
  <c r="BH5" i="69"/>
  <c r="BE5" i="69"/>
  <c r="BC5" i="69"/>
  <c r="EN4" i="69"/>
  <c r="DY4" i="69"/>
  <c r="DV4" i="69"/>
  <c r="DS4" i="69"/>
  <c r="DP4" i="69"/>
  <c r="DM4" i="69"/>
  <c r="DJ4" i="69"/>
  <c r="DG4" i="69"/>
  <c r="DD4" i="69"/>
  <c r="DA4" i="69"/>
  <c r="CX4" i="69"/>
  <c r="CU4" i="69"/>
  <c r="CR4" i="69"/>
  <c r="CO4" i="69"/>
  <c r="CL4" i="69"/>
  <c r="CI4" i="69"/>
  <c r="CF4" i="69"/>
  <c r="CC4" i="69"/>
  <c r="BZ4" i="69"/>
  <c r="BW4" i="69"/>
  <c r="BT4" i="69"/>
  <c r="BQ4" i="69"/>
  <c r="BN4" i="69"/>
  <c r="BK4" i="69"/>
  <c r="BH4" i="69"/>
  <c r="BE4" i="69"/>
  <c r="BC4" i="69"/>
  <c r="EN3" i="69"/>
  <c r="DY3" i="69"/>
  <c r="DV3" i="69"/>
  <c r="DS3" i="69"/>
  <c r="DP3" i="69"/>
  <c r="DM3" i="69"/>
  <c r="DJ3" i="69"/>
  <c r="DG3" i="69"/>
  <c r="DD3" i="69"/>
  <c r="DA3" i="69"/>
  <c r="CX3" i="69"/>
  <c r="CU3" i="69"/>
  <c r="CR3" i="69"/>
  <c r="CO3" i="69"/>
  <c r="CL3" i="69"/>
  <c r="CI3" i="69"/>
  <c r="CF3" i="69"/>
  <c r="CC3" i="69"/>
  <c r="BZ3" i="69"/>
  <c r="BW3" i="69"/>
  <c r="BT3" i="69"/>
  <c r="BQ3" i="69"/>
  <c r="BN3" i="69"/>
  <c r="BK3" i="69"/>
  <c r="BH3" i="69"/>
  <c r="BE3" i="69"/>
  <c r="BC3" i="69"/>
  <c r="EY17" i="69" l="1"/>
  <c r="EX17" i="69"/>
  <c r="EW17" i="69"/>
  <c r="EY16" i="69"/>
  <c r="EX16" i="69"/>
  <c r="EW16" i="69"/>
  <c r="EY15" i="69"/>
  <c r="EX15" i="69"/>
  <c r="EW15" i="69"/>
  <c r="EY14" i="69"/>
  <c r="EX14" i="69"/>
  <c r="EW14" i="69"/>
  <c r="EY13" i="69"/>
  <c r="EX13" i="69"/>
  <c r="EW13" i="69"/>
  <c r="EY12" i="69"/>
  <c r="EX12" i="69"/>
  <c r="EW12" i="69"/>
  <c r="EY11" i="69"/>
  <c r="EX11" i="69"/>
  <c r="EW11" i="69"/>
  <c r="EY10" i="69"/>
  <c r="EX10" i="69"/>
  <c r="EW10" i="69"/>
  <c r="EY9" i="69"/>
  <c r="EX9" i="69"/>
  <c r="EW9" i="69"/>
  <c r="EY8" i="69"/>
  <c r="EX8" i="69"/>
  <c r="EW8" i="69"/>
  <c r="EY7" i="69"/>
  <c r="EX7" i="69"/>
  <c r="EW7" i="69"/>
  <c r="EY6" i="69"/>
  <c r="EX6" i="69"/>
  <c r="EW6" i="69"/>
  <c r="EY5" i="69"/>
  <c r="EX5" i="69"/>
  <c r="EW5" i="69"/>
  <c r="EY4" i="69"/>
  <c r="EX4" i="69"/>
  <c r="EW4" i="69"/>
  <c r="EY3" i="69"/>
  <c r="EX3" i="69"/>
  <c r="EW3" i="69"/>
  <c r="EV17" i="69"/>
  <c r="EV16" i="69"/>
  <c r="EV15" i="69"/>
  <c r="EV14" i="69"/>
  <c r="EV13" i="69"/>
  <c r="EV12" i="69"/>
  <c r="EV11" i="69"/>
  <c r="EV10" i="69"/>
  <c r="EV9" i="69"/>
  <c r="EV8" i="69"/>
  <c r="EV7" i="69"/>
  <c r="EV6" i="69"/>
  <c r="EV5" i="69"/>
  <c r="EV4" i="69"/>
  <c r="EU17" i="69"/>
  <c r="EU16" i="69"/>
  <c r="EU15" i="69"/>
  <c r="EU14" i="69"/>
  <c r="EU13" i="69"/>
  <c r="EU12" i="69"/>
  <c r="EU11" i="69"/>
  <c r="EU10" i="69"/>
  <c r="EU9" i="69"/>
  <c r="EU8" i="69"/>
  <c r="EU7" i="69"/>
  <c r="EU6" i="69"/>
  <c r="EU5" i="69"/>
  <c r="EU4" i="69"/>
  <c r="EV3" i="69"/>
  <c r="EU3" i="69"/>
  <c r="ET17" i="69"/>
  <c r="ET16" i="69"/>
  <c r="ET15" i="69"/>
  <c r="ET14" i="69"/>
  <c r="ET13" i="69"/>
  <c r="ET12" i="69"/>
  <c r="ET11" i="69"/>
  <c r="ET10" i="69"/>
  <c r="ET9" i="69"/>
  <c r="ET8" i="69"/>
  <c r="ET7" i="69"/>
  <c r="ET6" i="69"/>
  <c r="ET5" i="69"/>
  <c r="ET4" i="69"/>
  <c r="ET3" i="69"/>
  <c r="EN1" i="69"/>
  <c r="DV1" i="69"/>
  <c r="DS1" i="69"/>
  <c r="DP1" i="69"/>
  <c r="DM1" i="69"/>
  <c r="DJ1" i="69"/>
  <c r="DG1" i="69"/>
  <c r="DD1" i="69"/>
  <c r="DA1" i="69"/>
  <c r="CX1" i="69"/>
  <c r="CU1" i="69"/>
  <c r="CR1" i="69"/>
  <c r="CO1" i="69"/>
  <c r="CL1" i="69"/>
  <c r="CI1" i="69"/>
  <c r="CF1" i="69"/>
  <c r="CC1" i="69"/>
  <c r="BZ1" i="69"/>
  <c r="BW1" i="69"/>
  <c r="BT1" i="69"/>
  <c r="BQ1" i="69"/>
  <c r="BN1" i="69"/>
  <c r="BK1" i="69"/>
  <c r="BH1" i="69"/>
  <c r="BE1" i="69"/>
  <c r="BF4" i="69" l="1"/>
  <c r="BF5" i="69"/>
  <c r="BF6" i="69"/>
  <c r="BF3" i="69"/>
  <c r="BG17" i="69" l="1"/>
  <c r="BF17" i="69"/>
  <c r="BG16" i="69"/>
  <c r="BF16" i="69"/>
  <c r="BG14" i="69"/>
  <c r="BF14" i="69"/>
  <c r="BG15" i="69"/>
  <c r="BF15" i="69"/>
  <c r="BG8" i="69"/>
  <c r="BF8" i="69"/>
  <c r="BG7" i="69"/>
  <c r="BF7" i="69"/>
  <c r="BG13" i="69"/>
  <c r="BF13" i="69"/>
  <c r="BG12" i="69"/>
  <c r="BF12" i="69"/>
  <c r="BG9" i="69"/>
  <c r="BF9" i="69"/>
  <c r="BG11" i="69"/>
  <c r="BF11" i="69"/>
  <c r="BG10" i="69"/>
  <c r="BF10" i="69"/>
  <c r="EO4" i="69"/>
  <c r="EO5" i="69"/>
  <c r="DZ4" i="69"/>
  <c r="DZ5" i="69"/>
  <c r="DW4" i="69"/>
  <c r="DW5" i="69"/>
  <c r="DT4" i="69"/>
  <c r="DT5" i="69"/>
  <c r="DQ4" i="69"/>
  <c r="DQ5" i="69"/>
  <c r="DN4" i="69"/>
  <c r="DN5" i="69"/>
  <c r="DH6" i="69"/>
  <c r="DK5" i="69"/>
  <c r="DH5" i="69"/>
  <c r="DE5" i="69"/>
  <c r="DB5" i="69"/>
  <c r="CY5" i="69"/>
  <c r="CV5" i="69"/>
  <c r="CS5" i="69"/>
  <c r="CP5" i="69"/>
  <c r="CM5" i="69"/>
  <c r="CJ5" i="69"/>
  <c r="CG5" i="69"/>
  <c r="CD5" i="69"/>
  <c r="CA5" i="69"/>
  <c r="BX5" i="69"/>
  <c r="BU5" i="69"/>
  <c r="BR5" i="69"/>
  <c r="BO5" i="69"/>
  <c r="BL5" i="69"/>
  <c r="BI5" i="69"/>
  <c r="DE4" i="69"/>
  <c r="DB4" i="69"/>
  <c r="CY4" i="69"/>
  <c r="CV4" i="69"/>
  <c r="CS4" i="69"/>
  <c r="CP4" i="69"/>
  <c r="CM4" i="69"/>
  <c r="CJ4" i="69"/>
  <c r="CG4" i="69"/>
  <c r="CD4" i="69"/>
  <c r="CA4" i="69"/>
  <c r="BX4" i="69"/>
  <c r="BU4" i="69"/>
  <c r="BR4" i="69"/>
  <c r="BO4" i="69"/>
  <c r="BL4" i="69"/>
  <c r="BI4" i="69"/>
  <c r="DH3" i="69"/>
  <c r="DE3" i="69"/>
  <c r="DB3" i="69"/>
  <c r="CY3" i="69"/>
  <c r="CV3" i="69"/>
  <c r="CS3" i="69"/>
  <c r="CP3" i="69"/>
  <c r="CM3" i="69"/>
  <c r="CJ3" i="69"/>
  <c r="CG3" i="69"/>
  <c r="CD3" i="69"/>
  <c r="CA3" i="69"/>
  <c r="BX3" i="69"/>
  <c r="BU3" i="69"/>
  <c r="BR3" i="69"/>
  <c r="BO3" i="69"/>
  <c r="BL3" i="69"/>
  <c r="BI3" i="69"/>
  <c r="EN1" i="57"/>
  <c r="DV1" i="57"/>
  <c r="DS1" i="57"/>
  <c r="DP1" i="57"/>
  <c r="DM1" i="57"/>
  <c r="DJ1" i="57"/>
  <c r="DG1" i="57"/>
  <c r="DD1" i="57"/>
  <c r="DA1" i="57"/>
  <c r="CX1" i="57"/>
  <c r="CU1" i="57"/>
  <c r="CR1" i="57"/>
  <c r="CO1" i="57"/>
  <c r="CL1" i="57"/>
  <c r="CI1" i="57"/>
  <c r="CF1" i="57"/>
  <c r="CC1" i="57"/>
  <c r="BZ1" i="57"/>
  <c r="BW1" i="57"/>
  <c r="BT1" i="57"/>
  <c r="BQ1" i="57"/>
  <c r="BN1" i="57"/>
  <c r="BK1" i="57"/>
  <c r="BH1" i="57"/>
  <c r="DI4" i="57" l="1"/>
  <c r="DI4" i="69" s="1"/>
  <c r="DH4" i="69"/>
  <c r="BS6" i="57"/>
  <c r="BS6" i="69" s="1"/>
  <c r="BR6" i="69"/>
  <c r="CE6" i="57"/>
  <c r="CE6" i="69" s="1"/>
  <c r="CD6" i="69"/>
  <c r="CQ6" i="57"/>
  <c r="CQ6" i="69" s="1"/>
  <c r="CP6" i="69"/>
  <c r="DC6" i="57"/>
  <c r="DC6" i="69" s="1"/>
  <c r="DB6" i="69"/>
  <c r="BJ7" i="57"/>
  <c r="BJ7" i="69" s="1"/>
  <c r="BI7" i="69"/>
  <c r="BV7" i="57"/>
  <c r="BV7" i="69" s="1"/>
  <c r="BU7" i="69"/>
  <c r="CH7" i="57"/>
  <c r="CH7" i="69" s="1"/>
  <c r="CG7" i="69"/>
  <c r="CT7" i="57"/>
  <c r="CT7" i="69" s="1"/>
  <c r="CS7" i="69"/>
  <c r="DF7" i="57"/>
  <c r="DF7" i="69" s="1"/>
  <c r="DE7" i="69"/>
  <c r="BM8" i="57"/>
  <c r="BM8" i="69" s="1"/>
  <c r="BL8" i="69"/>
  <c r="BY8" i="57"/>
  <c r="BY8" i="69" s="1"/>
  <c r="BX8" i="69"/>
  <c r="CK8" i="57"/>
  <c r="CK8" i="69" s="1"/>
  <c r="CJ8" i="69"/>
  <c r="CW8" i="57"/>
  <c r="CW8" i="69" s="1"/>
  <c r="CV8" i="69"/>
  <c r="DI8" i="57"/>
  <c r="DI8" i="69" s="1"/>
  <c r="DH8" i="69"/>
  <c r="BP9" i="57"/>
  <c r="BP9" i="69" s="1"/>
  <c r="BO9" i="69"/>
  <c r="CB9" i="57"/>
  <c r="CB9" i="69" s="1"/>
  <c r="CA9" i="69"/>
  <c r="CN9" i="57"/>
  <c r="CN9" i="69" s="1"/>
  <c r="CM9" i="69"/>
  <c r="CZ9" i="57"/>
  <c r="CZ9" i="69" s="1"/>
  <c r="CY9" i="69"/>
  <c r="DL9" i="57"/>
  <c r="DL9" i="69" s="1"/>
  <c r="DK9" i="69"/>
  <c r="BS10" i="57"/>
  <c r="BS10" i="69" s="1"/>
  <c r="BR10" i="69"/>
  <c r="CE10" i="57"/>
  <c r="CE10" i="69" s="1"/>
  <c r="CD10" i="69"/>
  <c r="CQ10" i="57"/>
  <c r="CQ10" i="69" s="1"/>
  <c r="CP10" i="69"/>
  <c r="DC10" i="57"/>
  <c r="DC10" i="69" s="1"/>
  <c r="DB10" i="69"/>
  <c r="BJ11" i="57"/>
  <c r="BJ11" i="69" s="1"/>
  <c r="BI11" i="69"/>
  <c r="BV11" i="57"/>
  <c r="BV11" i="69" s="1"/>
  <c r="BU11" i="69"/>
  <c r="CH11" i="57"/>
  <c r="CH11" i="69" s="1"/>
  <c r="CG11" i="69"/>
  <c r="CT11" i="57"/>
  <c r="CT11" i="69" s="1"/>
  <c r="CS11" i="69"/>
  <c r="DF11" i="57"/>
  <c r="DF11" i="69" s="1"/>
  <c r="DE11" i="69"/>
  <c r="BM12" i="57"/>
  <c r="BM12" i="69" s="1"/>
  <c r="BL12" i="69"/>
  <c r="BY12" i="57"/>
  <c r="BY12" i="69" s="1"/>
  <c r="BX12" i="69"/>
  <c r="CK12" i="57"/>
  <c r="CK12" i="69" s="1"/>
  <c r="CJ12" i="69"/>
  <c r="CW12" i="57"/>
  <c r="CW12" i="69" s="1"/>
  <c r="CV12" i="69"/>
  <c r="DI12" i="57"/>
  <c r="DI12" i="69" s="1"/>
  <c r="DH12" i="69"/>
  <c r="BP13" i="57"/>
  <c r="BP13" i="69" s="1"/>
  <c r="BO13" i="69"/>
  <c r="CB13" i="57"/>
  <c r="CB13" i="69" s="1"/>
  <c r="CA13" i="69"/>
  <c r="CN13" i="57"/>
  <c r="CN13" i="69" s="1"/>
  <c r="CM13" i="69"/>
  <c r="CZ13" i="57"/>
  <c r="CZ13" i="69" s="1"/>
  <c r="CY13" i="69"/>
  <c r="DL13" i="57"/>
  <c r="DL13" i="69" s="1"/>
  <c r="DK13" i="69"/>
  <c r="BS14" i="57"/>
  <c r="BS14" i="69" s="1"/>
  <c r="BR14" i="69"/>
  <c r="CE14" i="57"/>
  <c r="CE14" i="69" s="1"/>
  <c r="CD14" i="69"/>
  <c r="CQ14" i="57"/>
  <c r="CQ14" i="69" s="1"/>
  <c r="CP14" i="69"/>
  <c r="DC14" i="57"/>
  <c r="DC14" i="69" s="1"/>
  <c r="DB14" i="69"/>
  <c r="BJ15" i="57"/>
  <c r="BJ15" i="69" s="1"/>
  <c r="BI15" i="69"/>
  <c r="BV15" i="57"/>
  <c r="BV15" i="69" s="1"/>
  <c r="BU15" i="69"/>
  <c r="CH15" i="57"/>
  <c r="CH15" i="69" s="1"/>
  <c r="CG15" i="69"/>
  <c r="CT15" i="57"/>
  <c r="CT15" i="69" s="1"/>
  <c r="CS15" i="69"/>
  <c r="DF15" i="57"/>
  <c r="DF15" i="69" s="1"/>
  <c r="DE15" i="69"/>
  <c r="BM16" i="57"/>
  <c r="BM16" i="69" s="1"/>
  <c r="BL16" i="69"/>
  <c r="BY16" i="57"/>
  <c r="BY16" i="69" s="1"/>
  <c r="BX16" i="69"/>
  <c r="CK16" i="57"/>
  <c r="CK16" i="69" s="1"/>
  <c r="CJ16" i="69"/>
  <c r="CW16" i="57"/>
  <c r="CW16" i="69" s="1"/>
  <c r="CV16" i="69"/>
  <c r="DI16" i="57"/>
  <c r="DI16" i="69" s="1"/>
  <c r="DH16" i="69"/>
  <c r="BP17" i="57"/>
  <c r="BP17" i="69" s="1"/>
  <c r="BO17" i="69"/>
  <c r="CB17" i="57"/>
  <c r="CB17" i="69" s="1"/>
  <c r="CA17" i="69"/>
  <c r="CN17" i="57"/>
  <c r="CN17" i="69" s="1"/>
  <c r="CM17" i="69"/>
  <c r="CZ17" i="57"/>
  <c r="CZ17" i="69" s="1"/>
  <c r="CY17" i="69"/>
  <c r="DL17" i="57"/>
  <c r="DL17" i="69" s="1"/>
  <c r="DK17" i="69"/>
  <c r="DO15" i="57"/>
  <c r="DO15" i="69" s="1"/>
  <c r="DN15" i="69"/>
  <c r="DO11" i="57"/>
  <c r="DO11" i="69" s="1"/>
  <c r="DN11" i="69"/>
  <c r="DO7" i="57"/>
  <c r="DO7" i="69" s="1"/>
  <c r="DN7" i="69"/>
  <c r="DR3" i="57"/>
  <c r="DR3" i="69" s="1"/>
  <c r="DQ3" i="69"/>
  <c r="DR14" i="57"/>
  <c r="DR14" i="69" s="1"/>
  <c r="DQ14" i="69"/>
  <c r="DR10" i="57"/>
  <c r="DR10" i="69" s="1"/>
  <c r="DQ10" i="69"/>
  <c r="DR6" i="57"/>
  <c r="DR6" i="69" s="1"/>
  <c r="DQ6" i="69"/>
  <c r="DU17" i="57"/>
  <c r="DU17" i="69" s="1"/>
  <c r="DT17" i="69"/>
  <c r="DU13" i="57"/>
  <c r="DU13" i="69" s="1"/>
  <c r="DT13" i="69"/>
  <c r="DU9" i="57"/>
  <c r="DU9" i="69" s="1"/>
  <c r="DT9" i="69"/>
  <c r="DX16" i="57"/>
  <c r="DX16" i="69" s="1"/>
  <c r="DW16" i="69"/>
  <c r="DX12" i="57"/>
  <c r="DX12" i="69" s="1"/>
  <c r="DW12" i="69"/>
  <c r="DX8" i="57"/>
  <c r="DX8" i="69" s="1"/>
  <c r="DW8" i="69"/>
  <c r="DZ15" i="69"/>
  <c r="DZ11" i="69"/>
  <c r="DZ7" i="69"/>
  <c r="EP15" i="57"/>
  <c r="EP15" i="69" s="1"/>
  <c r="EO15" i="69"/>
  <c r="EP11" i="57"/>
  <c r="EP11" i="69" s="1"/>
  <c r="EO11" i="69"/>
  <c r="EP7" i="57"/>
  <c r="EP7" i="69" s="1"/>
  <c r="EO7" i="69"/>
  <c r="DL4" i="57"/>
  <c r="DL4" i="69" s="1"/>
  <c r="DK4" i="69"/>
  <c r="BJ6" i="57"/>
  <c r="BJ6" i="69" s="1"/>
  <c r="BI6" i="69"/>
  <c r="BV6" i="57"/>
  <c r="BV6" i="69" s="1"/>
  <c r="BU6" i="69"/>
  <c r="CH6" i="57"/>
  <c r="CH6" i="69" s="1"/>
  <c r="CG6" i="69"/>
  <c r="CT6" i="57"/>
  <c r="CT6" i="69" s="1"/>
  <c r="CS6" i="69"/>
  <c r="DF6" i="57"/>
  <c r="DF6" i="69" s="1"/>
  <c r="DE6" i="69"/>
  <c r="BM7" i="57"/>
  <c r="BM7" i="69" s="1"/>
  <c r="BL7" i="69"/>
  <c r="BY7" i="57"/>
  <c r="BY7" i="69" s="1"/>
  <c r="BX7" i="69"/>
  <c r="CK7" i="57"/>
  <c r="CK7" i="69" s="1"/>
  <c r="CJ7" i="69"/>
  <c r="CW7" i="57"/>
  <c r="CW7" i="69" s="1"/>
  <c r="CV7" i="69"/>
  <c r="DI7" i="57"/>
  <c r="DI7" i="69" s="1"/>
  <c r="DH7" i="69"/>
  <c r="BP8" i="57"/>
  <c r="BP8" i="69" s="1"/>
  <c r="BO8" i="69"/>
  <c r="CB8" i="57"/>
  <c r="CB8" i="69" s="1"/>
  <c r="CA8" i="69"/>
  <c r="CN8" i="57"/>
  <c r="CN8" i="69" s="1"/>
  <c r="CM8" i="69"/>
  <c r="CZ8" i="57"/>
  <c r="CZ8" i="69" s="1"/>
  <c r="CY8" i="69"/>
  <c r="DL8" i="57"/>
  <c r="DL8" i="69" s="1"/>
  <c r="DK8" i="69"/>
  <c r="BS9" i="57"/>
  <c r="BS9" i="69" s="1"/>
  <c r="BR9" i="69"/>
  <c r="CE9" i="57"/>
  <c r="CE9" i="69" s="1"/>
  <c r="CD9" i="69"/>
  <c r="CQ9" i="57"/>
  <c r="CQ9" i="69" s="1"/>
  <c r="CP9" i="69"/>
  <c r="DC9" i="57"/>
  <c r="DC9" i="69" s="1"/>
  <c r="DB9" i="69"/>
  <c r="BJ10" i="57"/>
  <c r="BJ10" i="69" s="1"/>
  <c r="BI10" i="69"/>
  <c r="BV10" i="57"/>
  <c r="BV10" i="69" s="1"/>
  <c r="BU10" i="69"/>
  <c r="CH10" i="57"/>
  <c r="CH10" i="69" s="1"/>
  <c r="CG10" i="69"/>
  <c r="CT10" i="57"/>
  <c r="CT10" i="69" s="1"/>
  <c r="CS10" i="69"/>
  <c r="DF10" i="57"/>
  <c r="DF10" i="69" s="1"/>
  <c r="DE10" i="69"/>
  <c r="BM11" i="57"/>
  <c r="BM11" i="69" s="1"/>
  <c r="BL11" i="69"/>
  <c r="BY11" i="57"/>
  <c r="BY11" i="69" s="1"/>
  <c r="BX11" i="69"/>
  <c r="CK11" i="57"/>
  <c r="CK11" i="69" s="1"/>
  <c r="CJ11" i="69"/>
  <c r="CW11" i="57"/>
  <c r="CW11" i="69" s="1"/>
  <c r="CV11" i="69"/>
  <c r="DI11" i="57"/>
  <c r="DI11" i="69" s="1"/>
  <c r="DH11" i="69"/>
  <c r="BP12" i="57"/>
  <c r="BP12" i="69" s="1"/>
  <c r="BO12" i="69"/>
  <c r="CB12" i="57"/>
  <c r="CB12" i="69" s="1"/>
  <c r="CA12" i="69"/>
  <c r="CN12" i="57"/>
  <c r="CN12" i="69" s="1"/>
  <c r="CM12" i="69"/>
  <c r="CZ12" i="57"/>
  <c r="CZ12" i="69" s="1"/>
  <c r="CY12" i="69"/>
  <c r="DL12" i="57"/>
  <c r="DL12" i="69" s="1"/>
  <c r="DK12" i="69"/>
  <c r="BS13" i="57"/>
  <c r="BS13" i="69" s="1"/>
  <c r="BR13" i="69"/>
  <c r="CE13" i="57"/>
  <c r="CE13" i="69" s="1"/>
  <c r="CD13" i="69"/>
  <c r="CQ13" i="57"/>
  <c r="CQ13" i="69" s="1"/>
  <c r="CP13" i="69"/>
  <c r="DC13" i="57"/>
  <c r="DC13" i="69" s="1"/>
  <c r="DB13" i="69"/>
  <c r="BJ14" i="57"/>
  <c r="BJ14" i="69" s="1"/>
  <c r="BI14" i="69"/>
  <c r="BV14" i="57"/>
  <c r="BV14" i="69" s="1"/>
  <c r="BU14" i="69"/>
  <c r="CH14" i="57"/>
  <c r="CH14" i="69" s="1"/>
  <c r="CG14" i="69"/>
  <c r="CT14" i="57"/>
  <c r="CT14" i="69" s="1"/>
  <c r="CS14" i="69"/>
  <c r="DF14" i="57"/>
  <c r="DF14" i="69" s="1"/>
  <c r="DE14" i="69"/>
  <c r="BM15" i="57"/>
  <c r="BM15" i="69" s="1"/>
  <c r="BL15" i="69"/>
  <c r="BY15" i="57"/>
  <c r="BY15" i="69" s="1"/>
  <c r="BX15" i="69"/>
  <c r="CK15" i="57"/>
  <c r="CK15" i="69" s="1"/>
  <c r="CJ15" i="69"/>
  <c r="CW15" i="57"/>
  <c r="CW15" i="69" s="1"/>
  <c r="CV15" i="69"/>
  <c r="DI15" i="57"/>
  <c r="DI15" i="69" s="1"/>
  <c r="DH15" i="69"/>
  <c r="BP16" i="57"/>
  <c r="BP16" i="69" s="1"/>
  <c r="BO16" i="69"/>
  <c r="CB16" i="57"/>
  <c r="CB16" i="69" s="1"/>
  <c r="CA16" i="69"/>
  <c r="CN16" i="57"/>
  <c r="CN16" i="69" s="1"/>
  <c r="CM16" i="69"/>
  <c r="CZ16" i="57"/>
  <c r="CZ16" i="69" s="1"/>
  <c r="CY16" i="69"/>
  <c r="DL16" i="57"/>
  <c r="DL16" i="69" s="1"/>
  <c r="DK16" i="69"/>
  <c r="BS17" i="57"/>
  <c r="BS17" i="69" s="1"/>
  <c r="BR17" i="69"/>
  <c r="CE17" i="57"/>
  <c r="CE17" i="69" s="1"/>
  <c r="CD17" i="69"/>
  <c r="CQ17" i="57"/>
  <c r="CQ17" i="69" s="1"/>
  <c r="CP17" i="69"/>
  <c r="DC17" i="57"/>
  <c r="DC17" i="69" s="1"/>
  <c r="DB17" i="69"/>
  <c r="DO3" i="57"/>
  <c r="DO3" i="69" s="1"/>
  <c r="DN3" i="69"/>
  <c r="DO14" i="57"/>
  <c r="DO14" i="69" s="1"/>
  <c r="DN14" i="69"/>
  <c r="DO10" i="57"/>
  <c r="DO10" i="69" s="1"/>
  <c r="DN10" i="69"/>
  <c r="DO6" i="57"/>
  <c r="DO6" i="69" s="1"/>
  <c r="DN6" i="69"/>
  <c r="DR17" i="57"/>
  <c r="DR17" i="69" s="1"/>
  <c r="DQ17" i="69"/>
  <c r="DR13" i="57"/>
  <c r="DR13" i="69" s="1"/>
  <c r="DQ13" i="69"/>
  <c r="DR9" i="57"/>
  <c r="DR9" i="69" s="1"/>
  <c r="DQ9" i="69"/>
  <c r="DU16" i="57"/>
  <c r="DU16" i="69" s="1"/>
  <c r="DT16" i="69"/>
  <c r="DU12" i="57"/>
  <c r="DU12" i="69" s="1"/>
  <c r="DT12" i="69"/>
  <c r="DU8" i="57"/>
  <c r="DU8" i="69" s="1"/>
  <c r="DT8" i="69"/>
  <c r="DX15" i="57"/>
  <c r="DX15" i="69" s="1"/>
  <c r="DW15" i="69"/>
  <c r="DX11" i="57"/>
  <c r="DX11" i="69" s="1"/>
  <c r="DW11" i="69"/>
  <c r="DX7" i="57"/>
  <c r="DX7" i="69" s="1"/>
  <c r="DW7" i="69"/>
  <c r="DZ3" i="69"/>
  <c r="DZ14" i="69"/>
  <c r="DZ10" i="69"/>
  <c r="DZ6" i="69"/>
  <c r="EP3" i="57"/>
  <c r="EP3" i="69" s="1"/>
  <c r="EO3" i="69"/>
  <c r="EP14" i="57"/>
  <c r="EP14" i="69" s="1"/>
  <c r="EO14" i="69"/>
  <c r="EP10" i="57"/>
  <c r="EP10" i="69" s="1"/>
  <c r="EO10" i="69"/>
  <c r="EP6" i="57"/>
  <c r="EP6" i="69" s="1"/>
  <c r="EO6" i="69"/>
  <c r="DL3" i="57"/>
  <c r="DL3" i="69" s="1"/>
  <c r="DK3" i="69"/>
  <c r="BM6" i="57"/>
  <c r="BM6" i="69" s="1"/>
  <c r="BL6" i="69"/>
  <c r="BY6" i="57"/>
  <c r="BY6" i="69" s="1"/>
  <c r="BX6" i="69"/>
  <c r="CK6" i="57"/>
  <c r="CK6" i="69" s="1"/>
  <c r="CJ6" i="69"/>
  <c r="CW6" i="57"/>
  <c r="CW6" i="69" s="1"/>
  <c r="CV6" i="69"/>
  <c r="BP7" i="57"/>
  <c r="BP7" i="69" s="1"/>
  <c r="BO7" i="69"/>
  <c r="CB7" i="57"/>
  <c r="CB7" i="69" s="1"/>
  <c r="CA7" i="69"/>
  <c r="CN7" i="57"/>
  <c r="CN7" i="69" s="1"/>
  <c r="CM7" i="69"/>
  <c r="CZ7" i="57"/>
  <c r="CZ7" i="69" s="1"/>
  <c r="CY7" i="69"/>
  <c r="DL7" i="57"/>
  <c r="DL7" i="69" s="1"/>
  <c r="DK7" i="69"/>
  <c r="BS8" i="57"/>
  <c r="BS8" i="69" s="1"/>
  <c r="BR8" i="69"/>
  <c r="CE8" i="57"/>
  <c r="CE8" i="69" s="1"/>
  <c r="CD8" i="69"/>
  <c r="CQ8" i="57"/>
  <c r="CQ8" i="69" s="1"/>
  <c r="CP8" i="69"/>
  <c r="DC8" i="57"/>
  <c r="DC8" i="69" s="1"/>
  <c r="DB8" i="69"/>
  <c r="BJ9" i="57"/>
  <c r="BJ9" i="69" s="1"/>
  <c r="BI9" i="69"/>
  <c r="BV9" i="57"/>
  <c r="BV9" i="69" s="1"/>
  <c r="BU9" i="69"/>
  <c r="CH9" i="57"/>
  <c r="CH9" i="69" s="1"/>
  <c r="CG9" i="69"/>
  <c r="CT9" i="57"/>
  <c r="CT9" i="69" s="1"/>
  <c r="CS9" i="69"/>
  <c r="DF9" i="57"/>
  <c r="DF9" i="69" s="1"/>
  <c r="DE9" i="69"/>
  <c r="BM10" i="57"/>
  <c r="BM10" i="69" s="1"/>
  <c r="BL10" i="69"/>
  <c r="BY10" i="57"/>
  <c r="BY10" i="69" s="1"/>
  <c r="BX10" i="69"/>
  <c r="CK10" i="57"/>
  <c r="CK10" i="69" s="1"/>
  <c r="CJ10" i="69"/>
  <c r="CW10" i="57"/>
  <c r="CW10" i="69" s="1"/>
  <c r="CV10" i="69"/>
  <c r="DI10" i="57"/>
  <c r="DI10" i="69" s="1"/>
  <c r="DH10" i="69"/>
  <c r="BP11" i="57"/>
  <c r="BP11" i="69" s="1"/>
  <c r="BO11" i="69"/>
  <c r="CB11" i="57"/>
  <c r="CB11" i="69" s="1"/>
  <c r="CA11" i="69"/>
  <c r="CN11" i="57"/>
  <c r="CN11" i="69" s="1"/>
  <c r="CM11" i="69"/>
  <c r="CZ11" i="57"/>
  <c r="CZ11" i="69" s="1"/>
  <c r="CY11" i="69"/>
  <c r="DL11" i="57"/>
  <c r="DL11" i="69" s="1"/>
  <c r="DK11" i="69"/>
  <c r="BS12" i="57"/>
  <c r="BS12" i="69" s="1"/>
  <c r="BR12" i="69"/>
  <c r="CE12" i="57"/>
  <c r="CE12" i="69" s="1"/>
  <c r="CD12" i="69"/>
  <c r="CQ12" i="57"/>
  <c r="CQ12" i="69" s="1"/>
  <c r="CP12" i="69"/>
  <c r="DC12" i="57"/>
  <c r="DC12" i="69" s="1"/>
  <c r="DB12" i="69"/>
  <c r="BJ13" i="57"/>
  <c r="BJ13" i="69" s="1"/>
  <c r="BI13" i="69"/>
  <c r="BV13" i="57"/>
  <c r="BV13" i="69" s="1"/>
  <c r="BU13" i="69"/>
  <c r="CH13" i="57"/>
  <c r="CH13" i="69" s="1"/>
  <c r="CG13" i="69"/>
  <c r="CT13" i="57"/>
  <c r="CT13" i="69" s="1"/>
  <c r="CS13" i="69"/>
  <c r="DF13" i="57"/>
  <c r="DF13" i="69" s="1"/>
  <c r="DE13" i="69"/>
  <c r="BM14" i="57"/>
  <c r="BM14" i="69" s="1"/>
  <c r="BL14" i="69"/>
  <c r="BY14" i="57"/>
  <c r="BY14" i="69" s="1"/>
  <c r="BX14" i="69"/>
  <c r="CK14" i="57"/>
  <c r="CK14" i="69" s="1"/>
  <c r="CJ14" i="69"/>
  <c r="CW14" i="57"/>
  <c r="CW14" i="69" s="1"/>
  <c r="CV14" i="69"/>
  <c r="DI14" i="57"/>
  <c r="DI14" i="69" s="1"/>
  <c r="DH14" i="69"/>
  <c r="BP15" i="57"/>
  <c r="BP15" i="69" s="1"/>
  <c r="BO15" i="69"/>
  <c r="CB15" i="57"/>
  <c r="CB15" i="69" s="1"/>
  <c r="CA15" i="69"/>
  <c r="CN15" i="57"/>
  <c r="CN15" i="69" s="1"/>
  <c r="CM15" i="69"/>
  <c r="CZ15" i="57"/>
  <c r="CZ15" i="69" s="1"/>
  <c r="CY15" i="69"/>
  <c r="DL15" i="57"/>
  <c r="DL15" i="69" s="1"/>
  <c r="DK15" i="69"/>
  <c r="BS16" i="57"/>
  <c r="BS16" i="69" s="1"/>
  <c r="BR16" i="69"/>
  <c r="CE16" i="57"/>
  <c r="CE16" i="69" s="1"/>
  <c r="CD16" i="69"/>
  <c r="CQ16" i="57"/>
  <c r="CQ16" i="69" s="1"/>
  <c r="CP16" i="69"/>
  <c r="DC16" i="57"/>
  <c r="DC16" i="69" s="1"/>
  <c r="DB16" i="69"/>
  <c r="BJ17" i="57"/>
  <c r="BJ17" i="69" s="1"/>
  <c r="BI17" i="69"/>
  <c r="BV17" i="57"/>
  <c r="BV17" i="69" s="1"/>
  <c r="BU17" i="69"/>
  <c r="CH17" i="57"/>
  <c r="CH17" i="69" s="1"/>
  <c r="CG17" i="69"/>
  <c r="CT17" i="57"/>
  <c r="CT17" i="69" s="1"/>
  <c r="CS17" i="69"/>
  <c r="DF17" i="57"/>
  <c r="DF17" i="69" s="1"/>
  <c r="DE17" i="69"/>
  <c r="DO17" i="57"/>
  <c r="DO17" i="69" s="1"/>
  <c r="DN17" i="69"/>
  <c r="DO13" i="57"/>
  <c r="DO13" i="69" s="1"/>
  <c r="DN13" i="69"/>
  <c r="DO9" i="57"/>
  <c r="DO9" i="69" s="1"/>
  <c r="DN9" i="69"/>
  <c r="DR16" i="57"/>
  <c r="DR16" i="69" s="1"/>
  <c r="DQ16" i="69"/>
  <c r="DR12" i="57"/>
  <c r="DR12" i="69" s="1"/>
  <c r="DQ12" i="69"/>
  <c r="DR8" i="57"/>
  <c r="DR8" i="69" s="1"/>
  <c r="DQ8" i="69"/>
  <c r="DU15" i="57"/>
  <c r="DU15" i="69" s="1"/>
  <c r="DT15" i="69"/>
  <c r="DU11" i="57"/>
  <c r="DU11" i="69" s="1"/>
  <c r="DT11" i="69"/>
  <c r="DU7" i="57"/>
  <c r="DU7" i="69" s="1"/>
  <c r="DT7" i="69"/>
  <c r="DX3" i="57"/>
  <c r="DX3" i="69" s="1"/>
  <c r="DW3" i="69"/>
  <c r="DX14" i="57"/>
  <c r="DX14" i="69" s="1"/>
  <c r="DW14" i="69"/>
  <c r="DX10" i="57"/>
  <c r="DX10" i="69" s="1"/>
  <c r="DW10" i="69"/>
  <c r="DX6" i="57"/>
  <c r="DX6" i="69" s="1"/>
  <c r="DW6" i="69"/>
  <c r="DZ17" i="69"/>
  <c r="DZ13" i="69"/>
  <c r="DZ9" i="69"/>
  <c r="EP17" i="57"/>
  <c r="EP17" i="69" s="1"/>
  <c r="EO17" i="69"/>
  <c r="EP13" i="57"/>
  <c r="EP13" i="69" s="1"/>
  <c r="EO13" i="69"/>
  <c r="EP9" i="57"/>
  <c r="EP9" i="69" s="1"/>
  <c r="EO9" i="69"/>
  <c r="BP6" i="57"/>
  <c r="BP6" i="69" s="1"/>
  <c r="BO6" i="69"/>
  <c r="CB6" i="57"/>
  <c r="CB6" i="69" s="1"/>
  <c r="CA6" i="69"/>
  <c r="CN6" i="57"/>
  <c r="CN6" i="69" s="1"/>
  <c r="CM6" i="69"/>
  <c r="CZ6" i="57"/>
  <c r="CZ6" i="69" s="1"/>
  <c r="CY6" i="69"/>
  <c r="DL6" i="57"/>
  <c r="DL6" i="69" s="1"/>
  <c r="DK6" i="69"/>
  <c r="BS7" i="57"/>
  <c r="BS7" i="69" s="1"/>
  <c r="BR7" i="69"/>
  <c r="CE7" i="57"/>
  <c r="CE7" i="69" s="1"/>
  <c r="CD7" i="69"/>
  <c r="CQ7" i="57"/>
  <c r="CQ7" i="69" s="1"/>
  <c r="CP7" i="69"/>
  <c r="DC7" i="57"/>
  <c r="DC7" i="69" s="1"/>
  <c r="DB7" i="69"/>
  <c r="BJ8" i="57"/>
  <c r="BJ8" i="69" s="1"/>
  <c r="BI8" i="69"/>
  <c r="BV8" i="57"/>
  <c r="BV8" i="69" s="1"/>
  <c r="BU8" i="69"/>
  <c r="CH8" i="57"/>
  <c r="CH8" i="69" s="1"/>
  <c r="CG8" i="69"/>
  <c r="CT8" i="57"/>
  <c r="CT8" i="69" s="1"/>
  <c r="CS8" i="69"/>
  <c r="DF8" i="57"/>
  <c r="DF8" i="69" s="1"/>
  <c r="DE8" i="69"/>
  <c r="BM9" i="57"/>
  <c r="BM9" i="69" s="1"/>
  <c r="BL9" i="69"/>
  <c r="BY9" i="57"/>
  <c r="BY9" i="69" s="1"/>
  <c r="BX9" i="69"/>
  <c r="CK9" i="57"/>
  <c r="CK9" i="69" s="1"/>
  <c r="CJ9" i="69"/>
  <c r="CW9" i="57"/>
  <c r="CW9" i="69" s="1"/>
  <c r="CV9" i="69"/>
  <c r="DI9" i="57"/>
  <c r="DI9" i="69" s="1"/>
  <c r="DH9" i="69"/>
  <c r="BP10" i="57"/>
  <c r="BP10" i="69" s="1"/>
  <c r="BO10" i="69"/>
  <c r="CB10" i="57"/>
  <c r="CB10" i="69" s="1"/>
  <c r="CA10" i="69"/>
  <c r="CN10" i="57"/>
  <c r="CN10" i="69" s="1"/>
  <c r="CM10" i="69"/>
  <c r="CZ10" i="57"/>
  <c r="CZ10" i="69" s="1"/>
  <c r="CY10" i="69"/>
  <c r="DL10" i="57"/>
  <c r="DL10" i="69" s="1"/>
  <c r="DK10" i="69"/>
  <c r="BS11" i="57"/>
  <c r="BS11" i="69" s="1"/>
  <c r="BR11" i="69"/>
  <c r="CE11" i="57"/>
  <c r="CE11" i="69" s="1"/>
  <c r="CD11" i="69"/>
  <c r="CQ11" i="57"/>
  <c r="CQ11" i="69" s="1"/>
  <c r="CP11" i="69"/>
  <c r="DC11" i="57"/>
  <c r="DC11" i="69" s="1"/>
  <c r="DB11" i="69"/>
  <c r="BJ12" i="57"/>
  <c r="BJ12" i="69" s="1"/>
  <c r="BI12" i="69"/>
  <c r="BV12" i="57"/>
  <c r="BV12" i="69" s="1"/>
  <c r="BU12" i="69"/>
  <c r="CH12" i="57"/>
  <c r="CH12" i="69" s="1"/>
  <c r="CG12" i="69"/>
  <c r="CT12" i="57"/>
  <c r="CT12" i="69" s="1"/>
  <c r="CS12" i="69"/>
  <c r="DF12" i="57"/>
  <c r="DF12" i="69" s="1"/>
  <c r="DE12" i="69"/>
  <c r="BM13" i="57"/>
  <c r="BM13" i="69" s="1"/>
  <c r="BL13" i="69"/>
  <c r="BY13" i="57"/>
  <c r="BY13" i="69" s="1"/>
  <c r="BX13" i="69"/>
  <c r="CK13" i="57"/>
  <c r="CK13" i="69" s="1"/>
  <c r="CJ13" i="69"/>
  <c r="CW13" i="57"/>
  <c r="CW13" i="69" s="1"/>
  <c r="CV13" i="69"/>
  <c r="DI13" i="57"/>
  <c r="DI13" i="69" s="1"/>
  <c r="DH13" i="69"/>
  <c r="BP14" i="57"/>
  <c r="BP14" i="69" s="1"/>
  <c r="BO14" i="69"/>
  <c r="CB14" i="57"/>
  <c r="CB14" i="69" s="1"/>
  <c r="CA14" i="69"/>
  <c r="CN14" i="57"/>
  <c r="CN14" i="69" s="1"/>
  <c r="CM14" i="69"/>
  <c r="CZ14" i="57"/>
  <c r="CZ14" i="69" s="1"/>
  <c r="CY14" i="69"/>
  <c r="DL14" i="57"/>
  <c r="DL14" i="69" s="1"/>
  <c r="DK14" i="69"/>
  <c r="BS15" i="57"/>
  <c r="BS15" i="69" s="1"/>
  <c r="BR15" i="69"/>
  <c r="CE15" i="57"/>
  <c r="CE15" i="69" s="1"/>
  <c r="CD15" i="69"/>
  <c r="CQ15" i="57"/>
  <c r="CQ15" i="69" s="1"/>
  <c r="CP15" i="69"/>
  <c r="DC15" i="57"/>
  <c r="DC15" i="69" s="1"/>
  <c r="DB15" i="69"/>
  <c r="BJ16" i="57"/>
  <c r="BJ16" i="69" s="1"/>
  <c r="BI16" i="69"/>
  <c r="BV16" i="57"/>
  <c r="BV16" i="69" s="1"/>
  <c r="BU16" i="69"/>
  <c r="CH16" i="57"/>
  <c r="CH16" i="69" s="1"/>
  <c r="CG16" i="69"/>
  <c r="CT16" i="57"/>
  <c r="CT16" i="69" s="1"/>
  <c r="CS16" i="69"/>
  <c r="DF16" i="57"/>
  <c r="DF16" i="69" s="1"/>
  <c r="DE16" i="69"/>
  <c r="BM17" i="57"/>
  <c r="BM17" i="69" s="1"/>
  <c r="BL17" i="69"/>
  <c r="BY17" i="57"/>
  <c r="BY17" i="69" s="1"/>
  <c r="BX17" i="69"/>
  <c r="CK17" i="57"/>
  <c r="CK17" i="69" s="1"/>
  <c r="CJ17" i="69"/>
  <c r="CW17" i="57"/>
  <c r="CW17" i="69" s="1"/>
  <c r="CV17" i="69"/>
  <c r="DI17" i="57"/>
  <c r="DI17" i="69" s="1"/>
  <c r="DH17" i="69"/>
  <c r="DO16" i="57"/>
  <c r="DO16" i="69" s="1"/>
  <c r="DN16" i="69"/>
  <c r="DO12" i="57"/>
  <c r="DO12" i="69" s="1"/>
  <c r="DN12" i="69"/>
  <c r="DO8" i="57"/>
  <c r="DO8" i="69" s="1"/>
  <c r="DN8" i="69"/>
  <c r="DR15" i="57"/>
  <c r="DR15" i="69" s="1"/>
  <c r="DQ15" i="69"/>
  <c r="DR11" i="57"/>
  <c r="DR11" i="69" s="1"/>
  <c r="DQ11" i="69"/>
  <c r="DR7" i="57"/>
  <c r="DR7" i="69" s="1"/>
  <c r="DQ7" i="69"/>
  <c r="DU3" i="57"/>
  <c r="DU3" i="69" s="1"/>
  <c r="DT3" i="69"/>
  <c r="DU14" i="57"/>
  <c r="DU14" i="69" s="1"/>
  <c r="DT14" i="69"/>
  <c r="DU10" i="57"/>
  <c r="DU10" i="69" s="1"/>
  <c r="DT10" i="69"/>
  <c r="DU6" i="57"/>
  <c r="DU6" i="69" s="1"/>
  <c r="DT6" i="69"/>
  <c r="DX17" i="57"/>
  <c r="DX17" i="69" s="1"/>
  <c r="DW17" i="69"/>
  <c r="DX13" i="57"/>
  <c r="DX13" i="69" s="1"/>
  <c r="DW13" i="69"/>
  <c r="DX9" i="57"/>
  <c r="DX9" i="69" s="1"/>
  <c r="DW9" i="69"/>
  <c r="DZ16" i="69"/>
  <c r="DZ12" i="69"/>
  <c r="DZ8" i="69"/>
  <c r="EP16" i="57"/>
  <c r="EP16" i="69" s="1"/>
  <c r="EO16" i="69"/>
  <c r="EP12" i="57"/>
  <c r="EP12" i="69" s="1"/>
  <c r="EO12" i="69"/>
  <c r="EP8" i="57"/>
  <c r="EP8" i="69" s="1"/>
  <c r="EO8" i="69"/>
  <c r="BE1" i="57"/>
  <c r="BD10" i="57" l="1"/>
  <c r="BD11" i="57"/>
  <c r="BD12" i="57"/>
  <c r="BD13" i="57"/>
  <c r="BD14" i="57"/>
  <c r="BD15" i="57"/>
  <c r="BD16" i="57"/>
  <c r="BD17" i="57"/>
  <c r="BD17" i="69" s="1"/>
  <c r="BD4" i="57"/>
  <c r="BD4" i="69" s="1"/>
  <c r="BD5" i="57"/>
  <c r="BD5" i="69" s="1"/>
  <c r="BD6" i="57"/>
  <c r="BD6" i="69" s="1"/>
  <c r="BD7" i="57"/>
  <c r="BD7" i="69" s="1"/>
  <c r="BD8" i="57"/>
  <c r="BD8" i="69" s="1"/>
  <c r="BD9" i="57"/>
  <c r="BD9" i="69" s="1"/>
  <c r="BD3" i="57"/>
  <c r="BD3" i="69" s="1"/>
  <c r="BG3" i="69" l="1"/>
  <c r="BG4" i="69"/>
  <c r="BG5" i="69"/>
  <c r="BG6" i="69"/>
  <c r="CT3" i="57"/>
  <c r="CT3" i="69" s="1"/>
  <c r="DX4" i="57"/>
  <c r="DX4" i="69" s="1"/>
  <c r="DL5" i="57"/>
  <c r="DL5" i="69" s="1"/>
  <c r="CB4" i="57"/>
  <c r="CB4" i="69" s="1"/>
  <c r="CE5" i="57"/>
  <c r="CE5" i="69" s="1"/>
  <c r="DU4" i="57"/>
  <c r="DU4" i="69" s="1"/>
  <c r="CB5" i="57"/>
  <c r="CB5" i="69" s="1"/>
  <c r="CE4" i="57"/>
  <c r="CE4" i="69" s="1"/>
  <c r="BV5" i="57"/>
  <c r="BV5" i="69" s="1"/>
  <c r="DI6" i="57"/>
  <c r="DI6" i="69" s="1"/>
  <c r="CN5" i="57"/>
  <c r="CN5" i="69" s="1"/>
  <c r="CH4" i="57"/>
  <c r="CH4" i="69" s="1"/>
  <c r="BY5" i="57"/>
  <c r="BY5" i="69" s="1"/>
  <c r="DO4" i="57"/>
  <c r="DO4" i="69" s="1"/>
  <c r="EP4" i="57"/>
  <c r="EP4" i="69" s="1"/>
  <c r="CN4" i="57"/>
  <c r="CN4" i="69" s="1"/>
  <c r="CQ5" i="57"/>
  <c r="CQ5" i="69" s="1"/>
  <c r="CB3" i="57"/>
  <c r="CQ4" i="57"/>
  <c r="CQ4" i="69" s="1"/>
  <c r="DO5" i="57"/>
  <c r="DO5" i="69" s="1"/>
  <c r="CE3" i="57"/>
  <c r="CK5" i="57"/>
  <c r="CK5" i="69" s="1"/>
  <c r="BJ5" i="57"/>
  <c r="BJ5" i="69" s="1"/>
  <c r="DI5" i="57"/>
  <c r="DI5" i="69" s="1"/>
  <c r="CW4" i="57"/>
  <c r="CW4" i="69" s="1"/>
  <c r="CK3" i="57"/>
  <c r="CH5" i="57"/>
  <c r="CH5" i="69" s="1"/>
  <c r="EP5" i="57"/>
  <c r="EP5" i="69" s="1"/>
  <c r="CT4" i="57"/>
  <c r="CT4" i="69" s="1"/>
  <c r="DX5" i="57"/>
  <c r="DX5" i="69" s="1"/>
  <c r="DC3" i="57"/>
  <c r="DC3" i="69" s="1"/>
  <c r="CZ5" i="57"/>
  <c r="CZ5" i="69" s="1"/>
  <c r="CW3" i="57"/>
  <c r="CW3" i="69" s="1"/>
  <c r="CZ4" i="57"/>
  <c r="CZ4" i="69" s="1"/>
  <c r="DC5" i="57"/>
  <c r="DC5" i="69" s="1"/>
  <c r="CN3" i="57"/>
  <c r="DC4" i="57"/>
  <c r="DC4" i="69" s="1"/>
  <c r="CT5" i="57"/>
  <c r="CT5" i="69" s="1"/>
  <c r="DR4" i="57"/>
  <c r="DR4" i="69" s="1"/>
  <c r="DF3" i="57"/>
  <c r="DF3" i="69" s="1"/>
  <c r="CQ3" i="57"/>
  <c r="CQ3" i="69" s="1"/>
  <c r="DF4" i="57"/>
  <c r="DF4" i="69" s="1"/>
  <c r="CW5" i="57"/>
  <c r="CW5" i="69" s="1"/>
  <c r="CZ3" i="57"/>
  <c r="CZ3" i="69" s="1"/>
  <c r="CK4" i="57"/>
  <c r="CK4" i="69" s="1"/>
  <c r="DU5" i="57"/>
  <c r="DU5" i="69" s="1"/>
  <c r="BP5" i="57"/>
  <c r="BP5" i="69" s="1"/>
  <c r="DI3" i="57"/>
  <c r="DI3" i="69" s="1"/>
  <c r="BS5" i="57"/>
  <c r="BS5" i="69" s="1"/>
  <c r="DR5" i="57"/>
  <c r="DR5" i="69" s="1"/>
  <c r="CH3" i="57"/>
  <c r="DF5" i="57"/>
  <c r="DF5" i="69" s="1"/>
  <c r="BM5" i="57"/>
  <c r="BM5" i="69" s="1"/>
  <c r="BY4" i="57"/>
  <c r="BY4" i="69" s="1"/>
  <c r="BM4" i="57"/>
  <c r="BM4" i="69" s="1"/>
  <c r="BS3" i="57"/>
  <c r="BV4" i="57"/>
  <c r="BV4" i="69" s="1"/>
  <c r="BJ4" i="57"/>
  <c r="BJ4" i="69" s="1"/>
  <c r="BP3" i="57"/>
  <c r="BS4" i="57"/>
  <c r="BS4" i="69" s="1"/>
  <c r="BY3" i="57"/>
  <c r="BM3" i="57"/>
  <c r="BP4" i="57"/>
  <c r="BP4" i="69" s="1"/>
  <c r="BV3" i="57"/>
  <c r="BJ3" i="57"/>
  <c r="CN3" i="69" l="1"/>
  <c r="CK3" i="69"/>
  <c r="CH3" i="69"/>
  <c r="CE3" i="69"/>
  <c r="CB3" i="69"/>
  <c r="BY3" i="69"/>
  <c r="BV3" i="69"/>
  <c r="BS3" i="69"/>
  <c r="BP3" i="69"/>
  <c r="BM3" i="69"/>
  <c r="BJ3" i="69"/>
</calcChain>
</file>

<file path=xl/comments1.xml><?xml version="1.0" encoding="utf-8"?>
<comments xmlns="http://schemas.openxmlformats.org/spreadsheetml/2006/main">
  <authors>
    <author>profile</author>
  </authors>
  <commentList>
    <comment ref="AR2" authorId="0">
      <text>
        <r>
          <rPr>
            <b/>
            <sz val="9"/>
            <color indexed="81"/>
            <rFont val="Segoe UI"/>
            <family val="2"/>
          </rPr>
          <t>Consultar planilha de localidade. Filtrar pela coluna Portfólio.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profile</author>
  </authors>
  <commentList>
    <comment ref="AR2" authorId="0">
      <text>
        <r>
          <rPr>
            <b/>
            <sz val="9"/>
            <color indexed="81"/>
            <rFont val="Segoe UI"/>
            <family val="2"/>
          </rPr>
          <t>Consultar planilha de localidade. Filtrar pela coluna Portfólio.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<sst xmlns="http://schemas.openxmlformats.org/spreadsheetml/2006/main" count="888" uniqueCount="371">
  <si>
    <t>Portfolio
(linguagem comercial)</t>
  </si>
  <si>
    <t>Estratégia 
(aquisição, retenção ou Oi Pontos)</t>
  </si>
  <si>
    <t>Retenção</t>
  </si>
  <si>
    <t>Cliente Elegivel</t>
  </si>
  <si>
    <t>Visível no Oi Vende?</t>
  </si>
  <si>
    <t>Canais</t>
  </si>
  <si>
    <t>Agex Simples</t>
  </si>
  <si>
    <t>Teleagentes</t>
  </si>
  <si>
    <t>Web</t>
  </si>
  <si>
    <t>Atendimento</t>
  </si>
  <si>
    <t>BO Retenção</t>
  </si>
  <si>
    <t>Blindagem</t>
  </si>
  <si>
    <t>Ilha de Migração</t>
  </si>
  <si>
    <t>BO Hotline</t>
  </si>
  <si>
    <t>BO Oi Pontos</t>
  </si>
  <si>
    <t>Rentabilização</t>
  </si>
  <si>
    <t>PDV's específicos</t>
  </si>
  <si>
    <t>Resumo da Campanha</t>
  </si>
  <si>
    <t>Objetivo da Campanha</t>
  </si>
  <si>
    <t xml:space="preserve">Data inicio </t>
  </si>
  <si>
    <t>Data fim</t>
  </si>
  <si>
    <t>Localidade</t>
  </si>
  <si>
    <t>Filial</t>
  </si>
  <si>
    <t>DDD's</t>
  </si>
  <si>
    <t>Unidade de Negócio</t>
  </si>
  <si>
    <t>nº Maximo de oportunidades</t>
  </si>
  <si>
    <t>Nº de adesões esperadas</t>
  </si>
  <si>
    <t>Publico  Alvo</t>
  </si>
  <si>
    <t>DACC</t>
  </si>
  <si>
    <t>CSP</t>
  </si>
  <si>
    <t>Nome Oferta</t>
  </si>
  <si>
    <t>Plano Voz 
(campo obrigatório)</t>
  </si>
  <si>
    <t>Nome plano</t>
  </si>
  <si>
    <t>Comercial</t>
  </si>
  <si>
    <t>% Desc</t>
  </si>
  <si>
    <t>Código</t>
  </si>
  <si>
    <t>% Desc
(ind)</t>
  </si>
  <si>
    <t>Cod</t>
  </si>
  <si>
    <t>Multa</t>
  </si>
  <si>
    <t>Sim/ Não</t>
  </si>
  <si>
    <t>Valor da multa</t>
  </si>
  <si>
    <t>Duração (meses)</t>
  </si>
  <si>
    <t xml:space="preserve">ELEMENTO DE MULTA </t>
  </si>
  <si>
    <t>Nome do benefício</t>
  </si>
  <si>
    <t>Elementos</t>
  </si>
  <si>
    <t>2GB</t>
  </si>
  <si>
    <t>5GB</t>
  </si>
  <si>
    <t>Oi BSIM R1</t>
  </si>
  <si>
    <t>Oi BSIM R2</t>
  </si>
  <si>
    <t>Benefícios de Minutos/SMS</t>
  </si>
  <si>
    <t>Benefício que gerou a fidelização</t>
  </si>
  <si>
    <t>Nome da campanha</t>
  </si>
  <si>
    <t>CHAVE</t>
  </si>
  <si>
    <t>300MB</t>
  </si>
  <si>
    <t>% Desc Ajust</t>
  </si>
  <si>
    <t>Oi TV Série A + 1 Estadual</t>
  </si>
  <si>
    <t>Oi TV Série A + 2 Estaduais</t>
  </si>
  <si>
    <t>Oi TV Série A + B + 1 Estadual</t>
  </si>
  <si>
    <t>Oi TV Série B + 1 Estadual</t>
  </si>
  <si>
    <t>Código Benefício que gerou Fidelização</t>
  </si>
  <si>
    <t>BO Atendimento</t>
  </si>
  <si>
    <t>Auditoria de Vendas</t>
  </si>
  <si>
    <t>Hotline</t>
  </si>
  <si>
    <t>Lojas Próprias</t>
  </si>
  <si>
    <t>Procon</t>
  </si>
  <si>
    <t>JEC</t>
  </si>
  <si>
    <t>Agex</t>
  </si>
  <si>
    <t>Pap</t>
  </si>
  <si>
    <t>Faranqua Alto Valor</t>
  </si>
  <si>
    <t>Franquia Oi Atende</t>
  </si>
  <si>
    <t>Teleagentes 4P</t>
  </si>
  <si>
    <t>Televendas Ativo 3P RES</t>
  </si>
  <si>
    <t>Televendas Ativo 4P/ 3P Móvel</t>
  </si>
  <si>
    <t>Televendas Receptivo 3P RES</t>
  </si>
  <si>
    <t>BO Contratos</t>
  </si>
  <si>
    <t>Blindagem Oi ToTal</t>
  </si>
  <si>
    <t>Portfolio</t>
  </si>
  <si>
    <t>Estratégia</t>
  </si>
  <si>
    <t>Elegibilidade</t>
  </si>
  <si>
    <t>Oi Vende</t>
  </si>
  <si>
    <t>Campanha</t>
  </si>
  <si>
    <t>Data</t>
  </si>
  <si>
    <t>Configurações da Campanha</t>
  </si>
  <si>
    <t>Regras de Campanha</t>
  </si>
  <si>
    <t>Campanha
Subsidiada</t>
  </si>
  <si>
    <t>Configurações da Oferta</t>
  </si>
  <si>
    <t>Tipo
Benefício/ Aparelho/ Oi Pontos</t>
  </si>
  <si>
    <t>CODIGO SBL</t>
  </si>
  <si>
    <t>PRODUTO</t>
  </si>
  <si>
    <t>PREÇO</t>
  </si>
  <si>
    <t>Bundle Pacote Oi Fixo</t>
  </si>
  <si>
    <t>PCS-30874g</t>
  </si>
  <si>
    <t>Bundle Oi Velox 300 Kb</t>
  </si>
  <si>
    <t>PCS-30577g</t>
  </si>
  <si>
    <t>Bundle Oi Velox 600 Kb</t>
  </si>
  <si>
    <t>PCS-30604g</t>
  </si>
  <si>
    <t>Bundle Oi Velox 1 Mb</t>
  </si>
  <si>
    <t>PCS-30631g</t>
  </si>
  <si>
    <t>Bundle Oi Velox 2 Mb</t>
  </si>
  <si>
    <t>PCS-30658g</t>
  </si>
  <si>
    <t>Bundle Oi Velox 5 Mb</t>
  </si>
  <si>
    <t>PCS-30685g</t>
  </si>
  <si>
    <t>Bundle Oi Velox 10 Mb</t>
  </si>
  <si>
    <t>PCS-30712g</t>
  </si>
  <si>
    <t>Bundle Oi Velox 15 Mb</t>
  </si>
  <si>
    <t>PCS-30739g</t>
  </si>
  <si>
    <t>Bundle Oi Velox 20 Mb</t>
  </si>
  <si>
    <t>PCS-30766g</t>
  </si>
  <si>
    <t>Bundle Oi Velox 25 Mb</t>
  </si>
  <si>
    <t>PCS-30793g</t>
  </si>
  <si>
    <t>Bundle Oi Velox 30 Mb</t>
  </si>
  <si>
    <t>Bundle Oi Velox 35 Mb</t>
  </si>
  <si>
    <t>Bundle Oi Velox 40 Mb</t>
  </si>
  <si>
    <t>Bundle Oi Velox 50 Mb</t>
  </si>
  <si>
    <t>Bundle Oi Velox 60 Mb</t>
  </si>
  <si>
    <t>Bundle Oi Velox 70 Mb</t>
  </si>
  <si>
    <t>Bundle Oi Velox 80 Mb</t>
  </si>
  <si>
    <t>Bundle Oi Velox 90 Mb</t>
  </si>
  <si>
    <t>Bundle Oi Velox 100 Mb</t>
  </si>
  <si>
    <t>PCS-4P1pi</t>
  </si>
  <si>
    <t>Bundle Oi Conta Total</t>
  </si>
  <si>
    <t>PCS-4P2pi</t>
  </si>
  <si>
    <t>Bundle Oi Conta Total 50</t>
  </si>
  <si>
    <t>PCS-4P3pi</t>
  </si>
  <si>
    <t>Bundle Oi Conta Total 100</t>
  </si>
  <si>
    <t>PCS-4P4pi</t>
  </si>
  <si>
    <t>Bundle Oi Conta Total 250</t>
  </si>
  <si>
    <t>PCS-4P5pi</t>
  </si>
  <si>
    <t>Bundle Oi Conta Total 500</t>
  </si>
  <si>
    <t>PCS-4P6pi</t>
  </si>
  <si>
    <t>Bundle Oi Conta Total 800</t>
  </si>
  <si>
    <t>PCS-4P7pi</t>
  </si>
  <si>
    <t>BUNDLE Oi Completo 250</t>
  </si>
  <si>
    <t>PCS-4P8pi</t>
  </si>
  <si>
    <t>BUNDLE Oi Completo 500</t>
  </si>
  <si>
    <t>PCS-4P10pi</t>
  </si>
  <si>
    <t>BUNDLE Oi Completo 1.000</t>
  </si>
  <si>
    <t>PCS-4P9pi</t>
  </si>
  <si>
    <t>BUNDLE Oi Completo Mais</t>
  </si>
  <si>
    <t>PCS-OzTL40</t>
  </si>
  <si>
    <t>BUNDLE OI TV START HD</t>
  </si>
  <si>
    <t>PCS-OzTL740</t>
  </si>
  <si>
    <t>Bundle Oi TV Start HD DVR</t>
  </si>
  <si>
    <t>PCS-OzTL41</t>
  </si>
  <si>
    <t>BUNDLE OI TV MIX HD</t>
  </si>
  <si>
    <t>PCS-OzTL741</t>
  </si>
  <si>
    <t>Bundle Oi TV Mix HD DVR</t>
  </si>
  <si>
    <t>PCS-OzTL44</t>
  </si>
  <si>
    <t>BUNDLE OI TV MIX HBOMAX HD</t>
  </si>
  <si>
    <t>PCS-OzTL744</t>
  </si>
  <si>
    <t>Bundle Oi TV Mix HBOMax HD DVR</t>
  </si>
  <si>
    <t>PCS-OzTL43</t>
  </si>
  <si>
    <t>BUNDLE OI TV MIX TELECINE HD</t>
  </si>
  <si>
    <t>PCS-OzTL743</t>
  </si>
  <si>
    <t>Bundle Oi TV Mix Telecine HD DVR</t>
  </si>
  <si>
    <t>PCS-OzTL45</t>
  </si>
  <si>
    <t>BUNDLE OI TV MIX CINEMA HD</t>
  </si>
  <si>
    <t>PCS-OzTL745</t>
  </si>
  <si>
    <t>Bundle Oi TV Mix Cinema HD DVR</t>
  </si>
  <si>
    <t>PCS-OzTL42</t>
  </si>
  <si>
    <t>BUNDLE OI TV TOTAL HD</t>
  </si>
  <si>
    <t>PCS-OzTL742</t>
  </si>
  <si>
    <t>Bundle Oi TV Total HD DVR</t>
  </si>
  <si>
    <t>PCS-OzTL47</t>
  </si>
  <si>
    <t>BUNDLE OI TV TOTAL HBOMAX HD</t>
  </si>
  <si>
    <t>PCS-OzTL747</t>
  </si>
  <si>
    <t>Bundle Oi TV Total HBOMax HD DVR</t>
  </si>
  <si>
    <t>PCS-OzTL46</t>
  </si>
  <si>
    <t>BUNDLE OI TV TOTAL TELECINE HD</t>
  </si>
  <si>
    <t>PCS-OzTL746</t>
  </si>
  <si>
    <t>Bundle Oi TV Total Telecine HD DVR</t>
  </si>
  <si>
    <t>PCS-OzTL48</t>
  </si>
  <si>
    <t>BUNDLE OI TV TOTAL CINEMA HD</t>
  </si>
  <si>
    <t>PCS-OzTL748</t>
  </si>
  <si>
    <t>Bundle Oi TV Total Cinema HD DVR</t>
  </si>
  <si>
    <t>PCS-OzTL34</t>
  </si>
  <si>
    <t>Bundle COMBATE</t>
  </si>
  <si>
    <t>PCS-OzTL500</t>
  </si>
  <si>
    <t>Bundle Étnicos</t>
  </si>
  <si>
    <t>PCS-OzTL32</t>
  </si>
  <si>
    <t>Bundle Playboy TV</t>
  </si>
  <si>
    <t>PCS-OzTL501</t>
  </si>
  <si>
    <t>Bundle Premiere FC (2 campeonatos)</t>
  </si>
  <si>
    <t>PCS-OzTL502</t>
  </si>
  <si>
    <t>Bundle Premiere FC (3 campeonatos)</t>
  </si>
  <si>
    <t>PCS-OzTL503</t>
  </si>
  <si>
    <t>Bundle SexPrivê</t>
  </si>
  <si>
    <t>PCS-OzTL31</t>
  </si>
  <si>
    <t>Bundle Sexy Hot</t>
  </si>
  <si>
    <t>PCS-OzTL33</t>
  </si>
  <si>
    <t>Bundle Sexy Hot + Playboy (Combo)</t>
  </si>
  <si>
    <t>PCS-OzTL99</t>
  </si>
  <si>
    <t>Bundle PONTO ADICIONAL</t>
  </si>
  <si>
    <t>PCS-813566</t>
  </si>
  <si>
    <t>PCS-813564</t>
  </si>
  <si>
    <t>500 MB</t>
  </si>
  <si>
    <t>PCS-813565</t>
  </si>
  <si>
    <t>PCS-51793o08</t>
  </si>
  <si>
    <t>PCS-7171B</t>
  </si>
  <si>
    <t>3GB</t>
  </si>
  <si>
    <t>PCS-7171A</t>
  </si>
  <si>
    <t>10GB</t>
  </si>
  <si>
    <t>PCS-OzTL35</t>
  </si>
  <si>
    <t>PCS-OzTL36</t>
  </si>
  <si>
    <t>PCS-OzTL37</t>
  </si>
  <si>
    <t>PCS-OzTL38</t>
  </si>
  <si>
    <t>PLANO</t>
  </si>
  <si>
    <t>TEMPLATE</t>
  </si>
  <si>
    <t>DESCONTO</t>
  </si>
  <si>
    <t>Oi Internet Pra Celular</t>
  </si>
  <si>
    <t>Oi Internet pra Celular 500MB</t>
  </si>
  <si>
    <t>Oi Internet pra Celular 5GB</t>
  </si>
  <si>
    <t>Oi Internet pra Celular 2GB</t>
  </si>
  <si>
    <t>Oi Internet pra Celular 10GB</t>
  </si>
  <si>
    <t>Oi Internet pra Celular 3GB</t>
  </si>
  <si>
    <t>Oi Internet pra Celular 300MB</t>
  </si>
  <si>
    <t>Oi Total Fixo + Pós Conectado 500 + Banda Larga</t>
  </si>
  <si>
    <t>Oi Total Fixo + Pós Conectado 1.000 + Banda Larga</t>
  </si>
  <si>
    <t>Oi Total Fixo + Pós Conectado Mais + Banda Larga</t>
  </si>
  <si>
    <t>Oi Total Fixo + Pós + Banda Larga</t>
  </si>
  <si>
    <t>Oi Total Fixo + Pós 50 + Banda Larga</t>
  </si>
  <si>
    <t>Oi Total Fixo + Pós 100 + Banda Larga</t>
  </si>
  <si>
    <t>Oi Total Fixo + Pós 250 + Banda Larga</t>
  </si>
  <si>
    <t>Oi Total Fixo + Pós 500 + Banda Larga</t>
  </si>
  <si>
    <t>Oi Total Fixo + Pós 800 + Banda Larga</t>
  </si>
  <si>
    <t>Oi Total Fixo + Banda Larga + TV 1</t>
  </si>
  <si>
    <t>Oi Total Fixo + Banda Larga + TV 2</t>
  </si>
  <si>
    <t>Oi Total Fixo + Banda Larga + TV 3</t>
  </si>
  <si>
    <t>Oi Total Fixo +  TV 1</t>
  </si>
  <si>
    <t>Oi Total Fixo +  TV 2</t>
  </si>
  <si>
    <t>Oi Total Fixo +  TV 3</t>
  </si>
  <si>
    <t>PCS-3PLowpi</t>
  </si>
  <si>
    <t>PCS-3PMepi</t>
  </si>
  <si>
    <t>PCS-3PHipi</t>
  </si>
  <si>
    <t>CFG-2Plowpi</t>
  </si>
  <si>
    <t>PCS-2PMepi</t>
  </si>
  <si>
    <t>PCS-2PHipi</t>
  </si>
  <si>
    <t>Código SBL</t>
  </si>
  <si>
    <t>Código
SBL</t>
  </si>
  <si>
    <t>FIXO</t>
  </si>
  <si>
    <t>Plano Oi Internet Total Low</t>
  </si>
  <si>
    <t>Plano Oi Internet Total Medium</t>
  </si>
  <si>
    <t>Plano Oi Internet Total High</t>
  </si>
  <si>
    <t>Plano Oi Completo 250</t>
  </si>
  <si>
    <t>Plano Oi Completo 500</t>
  </si>
  <si>
    <t>Plano Oi Completo Mais</t>
  </si>
  <si>
    <t>Plano Oi Completo Mini</t>
  </si>
  <si>
    <t>Plano Oi Completo Xsmall</t>
  </si>
  <si>
    <t>Plano Oi Completo Small</t>
  </si>
  <si>
    <t>Plano Oi Completo Medium</t>
  </si>
  <si>
    <t>Plano Oi Completo Large</t>
  </si>
  <si>
    <t>Plano Oi Completo Xlarge</t>
  </si>
  <si>
    <t>Plano Oi Convergente Low</t>
  </si>
  <si>
    <t>Plano Oi Convergente Medium</t>
  </si>
  <si>
    <t>Plano Oi Convergente High</t>
  </si>
  <si>
    <t>Plano Oi Completo 1.000</t>
  </si>
  <si>
    <t>Oi Total Fixo + Pós Conectado 250 + Banda Larga</t>
  </si>
  <si>
    <t>Nome plano BUNDLE</t>
  </si>
  <si>
    <t>PCS-31036g</t>
  </si>
  <si>
    <t>PCS-31009g</t>
  </si>
  <si>
    <t>PCS-30982g</t>
  </si>
  <si>
    <t>PCS-30955g</t>
  </si>
  <si>
    <t>PCS-30928g</t>
  </si>
  <si>
    <t>PCS-30901g</t>
  </si>
  <si>
    <t>PCS-30847g</t>
  </si>
  <si>
    <t>PCS-30820g</t>
  </si>
  <si>
    <t>Tipo do benefício</t>
  </si>
  <si>
    <t>Chip Alone</t>
  </si>
  <si>
    <t>Ouvidoria</t>
  </si>
  <si>
    <t>Televendas Receptivo 4P/ 3P MÓVEL</t>
  </si>
  <si>
    <t>Operações Especiais Retenção (Propenso e Ativo Reversão)</t>
  </si>
  <si>
    <t>NOME BENEFICIO</t>
  </si>
  <si>
    <t>FORMULA</t>
  </si>
  <si>
    <t>CODIGO</t>
  </si>
  <si>
    <t>TOTAIS</t>
  </si>
  <si>
    <t>Campos de uso livre</t>
  </si>
  <si>
    <t>Livre 1</t>
  </si>
  <si>
    <t>Livre 2</t>
  </si>
  <si>
    <t>Livre 3</t>
  </si>
  <si>
    <t>Livre 4</t>
  </si>
  <si>
    <t>Livre 5</t>
  </si>
  <si>
    <t>Livre 6</t>
  </si>
  <si>
    <t>Livre 7</t>
  </si>
  <si>
    <t>Livre 8</t>
  </si>
  <si>
    <t>Livre 9</t>
  </si>
  <si>
    <t>Livre 10</t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</si>
  <si>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START</t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</si>
  <si>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MIX</t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</si>
  <si>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MIX HBO</t>
    </r>
    <r>
      <rPr>
        <b/>
        <sz val="8"/>
        <color theme="0"/>
        <rFont val="Calibri"/>
        <family val="2"/>
        <scheme val="minor"/>
      </rPr>
      <t/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</si>
  <si>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MIX Telecine</t>
    </r>
    <r>
      <rPr>
        <b/>
        <sz val="8"/>
        <color theme="0"/>
        <rFont val="Calibri"/>
        <family val="2"/>
        <scheme val="minor"/>
      </rPr>
      <t/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</si>
  <si>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MIX Cinema</t>
    </r>
  </si>
  <si>
    <r>
      <t xml:space="preserve">
</t>
    </r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MIX HBO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</si>
  <si>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MIX Telecine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</si>
  <si>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MIX Cinema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</si>
  <si>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Total HBO</t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</si>
  <si>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Total Telecine</t>
    </r>
  </si>
  <si>
    <r>
      <rPr>
        <b/>
        <sz val="8"/>
        <rFont val="Calibri"/>
        <family val="2"/>
        <scheme val="minor"/>
      </rPr>
      <t>[Fixo]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Total Cinema</t>
    </r>
  </si>
  <si>
    <r>
      <rPr>
        <b/>
        <sz val="8"/>
        <rFont val="Calibri"/>
        <family val="2"/>
        <scheme val="minor"/>
      </rPr>
      <t xml:space="preserve">
[Fixo]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Total
</t>
    </r>
    <r>
      <rPr>
        <b/>
        <sz val="8"/>
        <color rgb="FF00B0F0"/>
        <rFont val="Calibri"/>
        <family val="2"/>
        <scheme val="minor"/>
      </rPr>
      <t>DVR</t>
    </r>
    <r>
      <rPr>
        <b/>
        <sz val="8"/>
        <color rgb="FFC00000"/>
        <rFont val="Calibri"/>
        <family val="2"/>
        <scheme val="minor"/>
      </rPr>
      <t/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</si>
  <si>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Total HBO
</t>
    </r>
    <r>
      <rPr>
        <b/>
        <sz val="8"/>
        <color rgb="FF00B0F0"/>
        <rFont val="Calibri"/>
        <family val="2"/>
        <scheme val="minor"/>
      </rPr>
      <t>DVR</t>
    </r>
    <r>
      <rPr>
        <b/>
        <sz val="8"/>
        <color rgb="FFC00000"/>
        <rFont val="Calibri"/>
        <family val="2"/>
        <scheme val="minor"/>
      </rPr>
      <t/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</si>
  <si>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Total Telecine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</si>
  <si>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Total Cinema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</si>
  <si>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
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 xml:space="preserve">MIX
</t>
    </r>
    <r>
      <rPr>
        <b/>
        <sz val="8"/>
        <color rgb="FF00B0F0"/>
        <rFont val="Calibri"/>
        <family val="2"/>
        <scheme val="minor"/>
      </rPr>
      <t>DVR</t>
    </r>
  </si>
  <si>
    <r>
      <rPr>
        <b/>
        <sz val="8"/>
        <rFont val="Calibri"/>
        <family val="2"/>
        <scheme val="minor"/>
      </rPr>
      <t xml:space="preserve">[Fixo]
</t>
    </r>
    <r>
      <rPr>
        <b/>
        <sz val="8"/>
        <color theme="0"/>
        <rFont val="Calibri"/>
        <family val="2"/>
        <scheme val="minor"/>
      </rPr>
      <t xml:space="preserve">
</t>
    </r>
    <r>
      <rPr>
        <b/>
        <sz val="8"/>
        <color rgb="FFC00000"/>
        <rFont val="Calibri"/>
        <family val="2"/>
        <scheme val="minor"/>
      </rPr>
      <t>Total</t>
    </r>
  </si>
  <si>
    <t>OCT Plug 10GB Downgrade</t>
  </si>
  <si>
    <t>Oi Internet pra Celular 1GB</t>
  </si>
  <si>
    <t>Oi Conta Total Plug 10GB Downgrade</t>
  </si>
  <si>
    <t xml:space="preserve">
1o Ponto Adicional
Gratuito?</t>
  </si>
  <si>
    <t>Oi Total Fixo + Banda Larga 1</t>
  </si>
  <si>
    <t>Oi Total Fixo + Banda Larga 2</t>
  </si>
  <si>
    <t>Oi Total Fixo + Banda Larga 3</t>
  </si>
  <si>
    <t>Oi Internet Móvel 10GB</t>
  </si>
  <si>
    <t>Oi Internet Móvel 5GB</t>
  </si>
  <si>
    <t>UF Refer.</t>
  </si>
  <si>
    <t>Obs</t>
  </si>
  <si>
    <t>PI</t>
  </si>
  <si>
    <t>PCS-21448p2</t>
  </si>
  <si>
    <t>Oi Internet Móvel Substituta 10GB Redução de Velocidade</t>
  </si>
  <si>
    <t>pendente</t>
  </si>
  <si>
    <t>AM</t>
  </si>
  <si>
    <t>x</t>
  </si>
  <si>
    <t>MG</t>
  </si>
  <si>
    <t>não utilizado</t>
  </si>
  <si>
    <t>velhos</t>
  </si>
  <si>
    <t>PCS-OzTL50</t>
  </si>
  <si>
    <t>Coleção OI</t>
  </si>
  <si>
    <t>novos</t>
  </si>
  <si>
    <t>PCS-OzTL51</t>
  </si>
  <si>
    <t>Fox Premium</t>
  </si>
  <si>
    <t>PCS-OzTL52</t>
  </si>
  <si>
    <t>PenVr</t>
  </si>
  <si>
    <t>PCS-OzTL53</t>
  </si>
  <si>
    <t>PFC Completo</t>
  </si>
  <si>
    <t>PCS-OzTL54</t>
  </si>
  <si>
    <t>PFC Básico</t>
  </si>
  <si>
    <t>PCS-10357</t>
  </si>
  <si>
    <t>sva</t>
  </si>
  <si>
    <t>Serviço Valor agregado</t>
  </si>
  <si>
    <t>Intragrupo</t>
  </si>
  <si>
    <t>Dependente</t>
  </si>
  <si>
    <t>Oi Total</t>
  </si>
  <si>
    <t>Migração</t>
  </si>
  <si>
    <t>Atuais</t>
  </si>
  <si>
    <t>Não</t>
  </si>
  <si>
    <t>OT_ATV_JUL17_FID_DACC_2PTV_TV1_ST_LD-VC_OF1</t>
  </si>
  <si>
    <t>OT_ATV_JUL17_FID_DACC_2PTV_TV2_MI-TO_LD-VC_OF1</t>
  </si>
  <si>
    <t>OT_ATV_JUL17_FID_DACC_2PTV_TV3_MF-TF_LD-VC_OF1</t>
  </si>
  <si>
    <t>OT_ATV_JUL17_FID_DACC_2PTV_TV2_MI-TO_LD-VC_OF2</t>
  </si>
  <si>
    <t>OT_ATV_JUL17_FID_DACC_2PTV_TV3_MF-TF_LD-VC_OF2</t>
  </si>
  <si>
    <t>OT_ATV_JUL17_FID_DACC_2PTV_TV2_MI-TO_LD-VC_OF3</t>
  </si>
  <si>
    <t>OT_ATV_JUL17_FID_DACC_2PTV_TV3_MF-TF_LD-VC_OF3</t>
  </si>
  <si>
    <t>Rentabilizar atuais clientes do plano</t>
  </si>
  <si>
    <t>Produto Fixo + TV , Produto com fidelização</t>
  </si>
  <si>
    <t>20. Oi Total</t>
  </si>
  <si>
    <t>Varejo</t>
  </si>
  <si>
    <t>Campanha Restrita</t>
  </si>
  <si>
    <t>Sim</t>
  </si>
  <si>
    <t>Benefício</t>
  </si>
  <si>
    <t>LD + VC Oi</t>
  </si>
  <si>
    <t>0T0T_FTV_MIN_LD_270000.</t>
  </si>
  <si>
    <t>Estratágia</t>
  </si>
  <si>
    <t>Operação</t>
  </si>
  <si>
    <t>Produto</t>
  </si>
  <si>
    <t>PDV</t>
  </si>
  <si>
    <t>Fornecedor</t>
  </si>
  <si>
    <t>Portfólio</t>
  </si>
  <si>
    <t>Já cliente</t>
  </si>
  <si>
    <t>Ativo</t>
  </si>
  <si>
    <t>Contax</t>
  </si>
  <si>
    <t>ATD e ATV</t>
  </si>
  <si>
    <t>Master</t>
  </si>
  <si>
    <t>Atento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</si>
</sst>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0"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&quot;$&quot;#,##0_);[Red]\(&quot;$&quot;#,##0\)"/>
    <numFmt numFmtId="166" formatCode="_-&quot;£&quot;* #,##0_-;\-&quot;£&quot;* #,##0_-;_-&quot;£&quot;* &quot;-&quot;_-;_-@_-"/>
    <numFmt numFmtId="167" formatCode="#,##0;\(#,##0\)"/>
    <numFmt numFmtId="168" formatCode="_([$€-2]* #,##0.00_);_([$€-2]* \(#,##0.00\);_([$€-2]* &quot;-&quot;??_)"/>
    <numFmt numFmtId="169" formatCode="##0.00"/>
    <numFmt numFmtId="170" formatCode="_ * #,##0_ ;_ * \-#,##0_ ;_ * &quot;-&quot;_ ;_ @_ "/>
    <numFmt numFmtId="171" formatCode="_ * #,##0.00_ ;_ * \-#,##0.00_ ;_ * &quot;-&quot;??_ ;_ @_ "/>
    <numFmt numFmtId="172" formatCode="_ &quot;S/&quot;* #,##0_ ;_ &quot;S/&quot;* \-#,##0_ ;_ &quot;S/&quot;* &quot;-&quot;_ ;_ @_ "/>
    <numFmt numFmtId="173" formatCode="_ &quot;S/&quot;* #,##0.00_ ;_ &quot;S/&quot;* \-#,##0.00_ ;_ &quot;S/&quot;* &quot;-&quot;??_ ;_ @_ "/>
    <numFmt numFmtId="174" formatCode="0.00_)"/>
    <numFmt numFmtId="175" formatCode="&quot;$&quot;#,##0_);\(&quot;$&quot;#,##0\)"/>
    <numFmt numFmtId="176" formatCode="_(* #,##0.00_);_(* \(#,##0.00\);_(* &quot;-&quot;??_);_(@_)"/>
    <numFmt numFmtId="177" formatCode="#,##0.000_);[Red]\(#,##0.000\)"/>
    <numFmt numFmtId="178" formatCode="_(&quot;R$ &quot;* #,##0.00_);_(&quot;R$ &quot;* \(#,##0.00\);_(&quot;R$ &quot;* &quot;-&quot;??_);_(@_)"/>
    <numFmt numFmtId="179" formatCode="_([$€]* #,##0.00_);_([$€]* \(#,##0.00\);_([$€]* &quot;-&quot;??_);_(@_)"/>
    <numFmt numFmtId="180" formatCode="mmmm\ dd\,\ yyyy"/>
    <numFmt numFmtId="181" formatCode="hh\:mm"/>
    <numFmt numFmtId="182" formatCode="#,##0.0_);\(#,##0.0\);\-\ \ \ \ \ "/>
    <numFmt numFmtId="183" formatCode="0.00;[Red]0.00"/>
    <numFmt numFmtId="184" formatCode="00000000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_(* #,##0_);_(* \(#,##0\);_(* &quot;-&quot;_);_(@_)"/>
    <numFmt numFmtId="188" formatCode="#,##0,;\-#,##0,"/>
    <numFmt numFmtId="189" formatCode="General_)"/>
    <numFmt numFmtId="190" formatCode="#\ ###\ ###\ ##0\ "/>
    <numFmt numFmtId="191" formatCode="#,##0.0\ ;\(#,##0.0\)"/>
    <numFmt numFmtId="192" formatCode="#,##0\ \ "/>
    <numFmt numFmtId="193" formatCode="0.0%\ \ "/>
    <numFmt numFmtId="194" formatCode="_-* #,##0.0_-;\-* #,##0.0_-;_-* &quot;-&quot;_-;_-@_-"/>
    <numFmt numFmtId="195" formatCode="_-* #,##0\ _P_t_s_-;\-* #,##0\ _P_t_s_-;_-* &quot;- &quot;_P_t_s_-;_-@_-"/>
    <numFmt numFmtId="196" formatCode="&quot;₩&quot;#,##0;&quot;₩&quot;&quot;₩&quot;&quot;₩&quot;&quot;₩&quot;&quot;₩&quot;\-&quot;₩&quot;#,##0"/>
    <numFmt numFmtId="197" formatCode="#,##0.0_);\(#,##0.0\)"/>
    <numFmt numFmtId="198" formatCode="&quot;$&quot;#,##0.00_);[Red]\(&quot;$&quot;#,##0.00\)"/>
    <numFmt numFmtId="199" formatCode="\$#,##0\ ;\(\$#,##0\)"/>
    <numFmt numFmtId="200" formatCode="_(* #,##0.0_);_(* \(#,##0.0\);_(* &quot;-&quot;??_);_(@_)"/>
    <numFmt numFmtId="201" formatCode="#,##0.0\ \ ;\(#,##0.0\)\ "/>
    <numFmt numFmtId="202" formatCode="0.000&quot;%&quot;"/>
    <numFmt numFmtId="203" formatCode="#,##0.00\ ;&quot; (&quot;#,##0.00\);&quot; -&quot;#\ ;@\ "/>
    <numFmt numFmtId="204" formatCode="#,#00"/>
    <numFmt numFmtId="205" formatCode="####"/>
    <numFmt numFmtId="206" formatCode="0_);\(0\)"/>
    <numFmt numFmtId="207" formatCode="&quot; R$ &quot;#,##0.00\ ;&quot;-R$ &quot;#,##0.00\ ;&quot; R$ -&quot;#\ ;@\ "/>
    <numFmt numFmtId="208" formatCode="#,##0.0&quot; P&quot;;[Red]\-#,##0.0&quot; P&quot;"/>
    <numFmt numFmtId="209" formatCode="0.0"/>
    <numFmt numFmtId="210" formatCode="#,##0.0;\(#,##0.0\)"/>
    <numFmt numFmtId="211" formatCode="&quot;  -  &quot;0&quot;  -  &quot;;&quot;  -  &quot;@&quot;  -  &quot;"/>
    <numFmt numFmtId="212" formatCode="&quot;$&quot;#,##0.00;\-&quot;$&quot;#,##0.00"/>
    <numFmt numFmtId="213" formatCode="mm/dd/yyyy"/>
    <numFmt numFmtId="214" formatCode="0.0%"/>
    <numFmt numFmtId="215" formatCode="%#,#00"/>
    <numFmt numFmtId="216" formatCode="#.##000"/>
    <numFmt numFmtId="217" formatCode="##0.00%;\(##0.00\)%"/>
    <numFmt numFmtId="218" formatCode="_(&quot;R$&quot;\ * #,##0_);_(&quot;R$&quot;\ * \(#,##0\);_(&quot;R$&quot;\ * &quot;-&quot;_);_(@_)"/>
    <numFmt numFmtId="219" formatCode="_(* #,##0_%\);_(* \(#,##0\);_(* &quot;-&quot;_);_(@_)"/>
    <numFmt numFmtId="220" formatCode="0_%_);\(0\)_%;0_%_);@_%_)"/>
    <numFmt numFmtId="221" formatCode="#,##0.0\ ;\(#,##0.0\);\ \-"/>
    <numFmt numFmtId="222" formatCode="#,"/>
    <numFmt numFmtId="223" formatCode="_-* #,##0\ _m_k_-;\-* #,##0\ _m_k_-;_-* &quot;-&quot;\ _m_k_-;_-@_-"/>
    <numFmt numFmtId="224" formatCode="_-* #,##0.00\ _m_k_-;\-* #,##0.00\ _m_k_-;_-* &quot;-&quot;??\ _m_k_-;_-@_-"/>
    <numFmt numFmtId="225" formatCode="_-* #,##0\ &quot;mk&quot;_-;\-* #,##0\ &quot;mk&quot;_-;_-* &quot;-&quot;\ &quot;mk&quot;_-;_-@_-"/>
    <numFmt numFmtId="226" formatCode="_-* #,##0.00\ &quot;mk&quot;_-;\-* #,##0.00\ &quot;mk&quot;_-;_-* &quot;-&quot;??\ &quot;mk&quot;_-;_-@_-"/>
    <numFmt numFmtId="227" formatCode="#,##0_);\(#,##0\);\-"/>
    <numFmt numFmtId="228" formatCode="#,##0.0_);\(#,##0.0\);\-"/>
    <numFmt numFmtId="229" formatCode="#,###\ &quot;K&quot;"/>
    <numFmt numFmtId="230" formatCode="#,##0.00,\ &quot;K&quot;"/>
    <numFmt numFmtId="231" formatCode="_-* #,##0\ _D_M_-;\-* #,##0\ _D_M_-;_-* &quot;-&quot;\ _D_M_-;_-@_-"/>
    <numFmt numFmtId="232" formatCode="&quot;₩&quot;#,##0;[Red]&quot;₩&quot;\-#,##0"/>
    <numFmt numFmtId="233" formatCode="_-&quot;₩&quot;* #,##0_-;\-&quot;₩&quot;* #,##0_-;_-&quot;₩&quot;* &quot;-&quot;_-;_-@_-"/>
    <numFmt numFmtId="234" formatCode="_ &quot;\&quot;* #,##0_ ;_ &quot;\&quot;* \-#,##0_ ;_ &quot;\&quot;* &quot;-&quot;_ ;_ @_ "/>
    <numFmt numFmtId="235" formatCode="_ &quot;\&quot;* #,##0.00_ ;_ &quot;\&quot;* \-#,##0.00_ ;_ &quot;\&quot;* &quot;-&quot;??_ ;_ @_ "/>
    <numFmt numFmtId="236" formatCode="_ &quot;₩&quot;* #,##0_ ;_ &quot;₩&quot;* &quot;₩&quot;\-#,##0_ ;_ &quot;₩&quot;* &quot;-&quot;_ ;_ @_ "/>
    <numFmt numFmtId="237" formatCode="_ &quot;₩&quot;* #,##0.00_ ;_ &quot;₩&quot;* &quot;₩&quot;\-#,##0.00_ ;_ &quot;₩&quot;* &quot;-&quot;??_ ;_ @_ "/>
    <numFmt numFmtId="238" formatCode="_ * #,##0_ ;_ * &quot;₩&quot;\-#,##0_ ;_ * &quot;-&quot;_ ;_ @_ "/>
    <numFmt numFmtId="239" formatCode="_ * #,##0.00_ ;_ * &quot;₩&quot;\-#,##0.00_ ;_ * &quot;-&quot;??_ ;_ @_ "/>
  </numFmts>
  <fonts count="3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FFFF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12"/>
      <name val="Arial"/>
      <family val="2"/>
    </font>
    <font>
      <b/>
      <sz val="10"/>
      <name val="Helv"/>
    </font>
    <font>
      <sz val="10"/>
      <name val="BERNHARD"/>
    </font>
    <font>
      <sz val="10"/>
      <name val="Helv"/>
    </font>
    <font>
      <sz val="8"/>
      <color indexed="12"/>
      <name val="Tms Rmn"/>
    </font>
    <font>
      <sz val="8"/>
      <name val="Arial"/>
      <family val="2"/>
    </font>
    <font>
      <sz val="1"/>
      <color indexed="8"/>
      <name val="Courier"/>
      <family val="3"/>
    </font>
    <font>
      <sz val="10"/>
      <name val="Tms Rmn"/>
    </font>
    <font>
      <b/>
      <sz val="1"/>
      <color indexed="8"/>
      <name val="Courier"/>
      <family val="3"/>
    </font>
    <font>
      <b/>
      <sz val="12"/>
      <name val="Helv"/>
    </font>
    <font>
      <b/>
      <sz val="12"/>
      <name val="Arial"/>
      <family val="2"/>
    </font>
    <font>
      <sz val="10"/>
      <name val="Courier"/>
      <family val="3"/>
    </font>
    <font>
      <sz val="10"/>
      <color indexed="17"/>
      <name val="Arial"/>
      <family val="2"/>
    </font>
    <font>
      <b/>
      <sz val="11"/>
      <name val="Helv"/>
    </font>
    <font>
      <b/>
      <sz val="10"/>
      <color indexed="17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7"/>
      <name val="Tms Rmn"/>
    </font>
    <font>
      <i/>
      <sz val="9"/>
      <color indexed="12"/>
      <name val="Helv"/>
    </font>
    <font>
      <sz val="8"/>
      <color indexed="14"/>
      <name val="Tms Rmn"/>
    </font>
    <font>
      <sz val="10"/>
      <name val="MS Sans Serif"/>
      <family val="2"/>
    </font>
    <font>
      <sz val="9"/>
      <name val="Arial"/>
      <family val="2"/>
    </font>
    <font>
      <b/>
      <sz val="10"/>
      <name val="MS Sans Serif"/>
      <family val="2"/>
    </font>
    <font>
      <sz val="8"/>
      <name val="Helv"/>
    </font>
    <font>
      <sz val="9"/>
      <color indexed="20"/>
      <name val="Arial"/>
      <family val="2"/>
    </font>
    <font>
      <sz val="11"/>
      <name val="Arial"/>
      <family val="2"/>
    </font>
    <font>
      <sz val="9"/>
      <color indexed="8"/>
      <name val="Times New Roman"/>
      <family val="1"/>
    </font>
    <font>
      <sz val="10"/>
      <name val="MS Serif"/>
      <family val="1"/>
    </font>
    <font>
      <b/>
      <u/>
      <sz val="10"/>
      <name val="Tms Rmn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0"/>
      <name val="Geneva"/>
      <family val="2"/>
    </font>
    <font>
      <i/>
      <sz val="9"/>
      <name val="Helvetica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Geneva"/>
    </font>
    <font>
      <sz val="12"/>
      <name val="官帕眉"/>
      <family val="3"/>
      <charset val="129"/>
    </font>
    <font>
      <sz val="11"/>
      <name val="MS P????"/>
      <family val="3"/>
    </font>
    <font>
      <sz val="14"/>
      <name val="Terminal"/>
      <family val="3"/>
      <charset val="255"/>
    </font>
    <font>
      <sz val="10"/>
      <color indexed="10"/>
      <name val="Arial"/>
      <family val="2"/>
    </font>
    <font>
      <sz val="10"/>
      <name val="Helv"/>
      <family val="2"/>
    </font>
    <font>
      <sz val="10"/>
      <color indexed="8"/>
      <name val="MS Sans Serif"/>
      <family val="2"/>
    </font>
    <font>
      <i/>
      <sz val="10"/>
      <name val="Arial"/>
      <family val="2"/>
    </font>
    <font>
      <sz val="10"/>
      <name val="Helv"/>
      <charset val="204"/>
    </font>
    <font>
      <b/>
      <sz val="18"/>
      <name val="Arial"/>
      <family val="2"/>
    </font>
    <font>
      <sz val="8"/>
      <name val="Antique Olive"/>
      <family val="2"/>
    </font>
    <font>
      <sz val="8"/>
      <name val="Geneva"/>
    </font>
    <font>
      <sz val="12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2"/>
      <color indexed="8"/>
      <name val="宋体"/>
      <family val="3"/>
      <charset val="129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theme="0"/>
      <name val="Calibri"/>
      <family val="2"/>
    </font>
    <font>
      <sz val="11"/>
      <color theme="0"/>
      <name val="맑은 고딕"/>
      <family val="3"/>
      <charset val="129"/>
    </font>
    <font>
      <sz val="12"/>
      <color indexed="9"/>
      <name val="宋体"/>
    </font>
    <font>
      <b/>
      <sz val="16"/>
      <color indexed="9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b/>
      <sz val="8"/>
      <name val="Arial"/>
      <family val="2"/>
    </font>
    <font>
      <b/>
      <sz val="10"/>
      <color indexed="10"/>
      <name val="Arial Narrow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8"/>
      <name val="Times New Roman"/>
      <family val="1"/>
    </font>
    <font>
      <sz val="8"/>
      <color indexed="12"/>
      <name val="Helv"/>
    </font>
    <font>
      <sz val="12"/>
      <name val="¹ÙÅÁÃ¼"/>
      <family val="1"/>
      <charset val="129"/>
    </font>
    <font>
      <sz val="10"/>
      <color indexed="12"/>
      <name val="Trebuchet MS"/>
      <family val="2"/>
    </font>
    <font>
      <sz val="12"/>
      <name val="굴림체"/>
      <family val="3"/>
      <charset val="129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6"/>
      <color indexed="9"/>
      <name val="Arial MT Black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7"/>
      <name val="Times New Roman"/>
      <family val="1"/>
    </font>
    <font>
      <sz val="11"/>
      <color indexed="17"/>
      <name val="Calibri"/>
      <family val="2"/>
    </font>
    <font>
      <sz val="11"/>
      <color indexed="48"/>
      <name val="Arial"/>
      <family val="2"/>
    </font>
    <font>
      <sz val="12"/>
      <name val="±¼¸²Ã¼"/>
      <family val="3"/>
      <charset val="129"/>
    </font>
    <font>
      <sz val="10"/>
      <color indexed="8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9"/>
      <color indexed="10"/>
      <name val="Geneva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u/>
      <sz val="11"/>
      <color indexed="12"/>
      <name val="μ¸¿o"/>
      <family val="3"/>
      <charset val="129"/>
    </font>
    <font>
      <sz val="10"/>
      <color indexed="39"/>
      <name val="Helvetica"/>
      <family val="2"/>
    </font>
    <font>
      <i/>
      <sz val="9"/>
      <color indexed="8"/>
      <name val="Helvetica"/>
      <family val="2"/>
    </font>
    <font>
      <sz val="8"/>
      <name val="Palatino"/>
      <family val="1"/>
    </font>
    <font>
      <sz val="12"/>
      <color indexed="24"/>
      <name val="System"/>
      <family val="2"/>
    </font>
    <font>
      <sz val="12"/>
      <name val="Arial"/>
      <family val="2"/>
    </font>
    <font>
      <sz val="8"/>
      <color indexed="16"/>
      <name val="MS Sans Serif"/>
      <family val="2"/>
    </font>
    <font>
      <sz val="10"/>
      <color indexed="13"/>
      <name val="Arial Narrow"/>
      <family val="2"/>
    </font>
    <font>
      <sz val="10"/>
      <name val="Book Antiqua"/>
      <family val="1"/>
    </font>
    <font>
      <i/>
      <sz val="8"/>
      <name val="Arial"/>
      <family val="2"/>
    </font>
    <font>
      <b/>
      <sz val="16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u/>
      <sz val="10"/>
      <color indexed="36"/>
      <name val="Geneva"/>
      <family val="2"/>
    </font>
    <font>
      <i/>
      <sz val="6"/>
      <name val="Times New Roman"/>
      <family val="1"/>
    </font>
    <font>
      <sz val="10"/>
      <color indexed="10"/>
      <name val="Arial Narrow"/>
      <family val="2"/>
    </font>
    <font>
      <b/>
      <sz val="11"/>
      <name val="Arial"/>
      <family val="2"/>
    </font>
    <font>
      <b/>
      <i/>
      <sz val="9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맑은 고딕"/>
      <family val="3"/>
      <charset val="129"/>
    </font>
    <font>
      <b/>
      <sz val="13"/>
      <color indexed="62"/>
      <name val="Calibri"/>
      <family val="2"/>
    </font>
    <font>
      <b/>
      <sz val="13"/>
      <color indexed="56"/>
      <name val="맑은 고딕"/>
      <family val="3"/>
      <charset val="129"/>
    </font>
    <font>
      <b/>
      <sz val="11"/>
      <color indexed="62"/>
      <name val="Calibri"/>
      <family val="2"/>
    </font>
    <font>
      <b/>
      <sz val="11"/>
      <color indexed="56"/>
      <name val="맑은 고딕"/>
      <family val="3"/>
      <charset val="129"/>
    </font>
    <font>
      <b/>
      <i/>
      <sz val="10"/>
      <name val="Arial"/>
      <family val="2"/>
    </font>
    <font>
      <b/>
      <sz val="10"/>
      <color indexed="62"/>
      <name val="Arial Narrow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u/>
      <sz val="11"/>
      <color theme="10"/>
      <name val="Calibri"/>
      <family val="2"/>
    </font>
    <font>
      <sz val="10"/>
      <color indexed="12"/>
      <name val="Arial Narrow"/>
      <family val="2"/>
    </font>
    <font>
      <sz val="9"/>
      <color indexed="12"/>
      <name val="Arial"/>
      <family val="2"/>
    </font>
    <font>
      <sz val="11"/>
      <color indexed="62"/>
      <name val="맑은 고딕"/>
      <family val="3"/>
      <charset val="129"/>
    </font>
    <font>
      <sz val="8"/>
      <color indexed="56"/>
      <name val="Helvetica"/>
      <family val="2"/>
    </font>
    <font>
      <sz val="12"/>
      <name val="Helv"/>
    </font>
    <font>
      <sz val="8"/>
      <color indexed="39"/>
      <name val="Helvetica"/>
      <family val="2"/>
    </font>
    <font>
      <sz val="11"/>
      <color indexed="48"/>
      <name val="Calibri"/>
      <family val="2"/>
    </font>
    <font>
      <i/>
      <sz val="10"/>
      <color indexed="8"/>
      <name val="Gill Sans MT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3"/>
      <name val="Calibri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b/>
      <sz val="12"/>
      <color indexed="8"/>
      <name val="Times New Roman"/>
      <family val="1"/>
    </font>
    <font>
      <sz val="11"/>
      <color indexed="60"/>
      <name val="Calibri"/>
      <family val="2"/>
    </font>
    <font>
      <sz val="12"/>
      <name val="Helv"/>
      <family val="2"/>
    </font>
    <font>
      <b/>
      <u/>
      <sz val="12"/>
      <name val="L Serifa Light"/>
    </font>
    <font>
      <sz val="10"/>
      <color theme="1"/>
      <name val="Calibri"/>
      <family val="2"/>
      <scheme val="minor"/>
    </font>
    <font>
      <sz val="6"/>
      <name val="Arial"/>
      <family val="2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0"/>
      <name val="Arial CE"/>
      <charset val="238"/>
    </font>
    <font>
      <sz val="10"/>
      <name val="Arial "/>
    </font>
    <font>
      <b/>
      <sz val="11"/>
      <color indexed="63"/>
      <name val="Calibri"/>
      <family val="2"/>
    </font>
    <font>
      <sz val="10"/>
      <color indexed="8"/>
      <name val="Helvetica"/>
      <family val="2"/>
    </font>
    <font>
      <sz val="10"/>
      <color indexed="16"/>
      <name val="Helvetica-Black"/>
    </font>
    <font>
      <sz val="10"/>
      <name val="Verdana"/>
      <family val="2"/>
    </font>
    <font>
      <sz val="10"/>
      <color indexed="8"/>
      <name val="Verdana"/>
      <family val="2"/>
    </font>
    <font>
      <sz val="11"/>
      <color indexed="8"/>
      <name val="Calibri"/>
      <family val="2"/>
      <charset val="129"/>
    </font>
    <font>
      <sz val="11"/>
      <name val="굴림체"/>
      <family val="3"/>
      <charset val="129"/>
    </font>
    <font>
      <sz val="10"/>
      <color indexed="10"/>
      <name val="MS Sans Serif"/>
      <family val="2"/>
    </font>
    <font>
      <sz val="10"/>
      <color indexed="39"/>
      <name val="Arial"/>
      <family val="2"/>
    </font>
    <font>
      <b/>
      <sz val="16"/>
      <color indexed="23"/>
      <name val="Arial"/>
      <family val="2"/>
    </font>
    <font>
      <b/>
      <sz val="12"/>
      <color indexed="56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i/>
      <sz val="12"/>
      <color indexed="9"/>
      <name val="Arial"/>
      <family val="2"/>
    </font>
    <font>
      <b/>
      <sz val="18"/>
      <color indexed="62"/>
      <name val="Cambria"/>
      <family val="2"/>
    </font>
    <font>
      <b/>
      <sz val="14"/>
      <name val="Palatino"/>
      <family val="1"/>
    </font>
    <font>
      <b/>
      <sz val="8"/>
      <color indexed="17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9"/>
      <name val="Arial"/>
      <family val="2"/>
    </font>
    <font>
      <sz val="9"/>
      <name val="Helvetica-Black"/>
    </font>
    <font>
      <sz val="7"/>
      <name val="Palatino"/>
      <family val="1"/>
    </font>
    <font>
      <sz val="10"/>
      <color indexed="9"/>
      <name val="Arial"/>
      <family val="2"/>
    </font>
    <font>
      <i/>
      <sz val="9"/>
      <name val="Eras Lt BT"/>
      <family val="2"/>
    </font>
    <font>
      <i/>
      <sz val="8"/>
      <name val="Eras Lt BT"/>
      <family val="2"/>
    </font>
    <font>
      <i/>
      <sz val="7"/>
      <name val="Eras Lt BT"/>
      <family val="2"/>
    </font>
    <font>
      <i/>
      <sz val="6"/>
      <name val="Eras Lt BT"/>
      <family val="2"/>
    </font>
    <font>
      <sz val="10"/>
      <name val="Eras Md BT"/>
      <family val="2"/>
    </font>
    <font>
      <sz val="8"/>
      <name val="Eras Lt BT"/>
      <family val="2"/>
    </font>
    <font>
      <sz val="12"/>
      <color indexed="62"/>
      <name val="Eras Lt BT"/>
      <family val="2"/>
    </font>
    <font>
      <sz val="12"/>
      <name val="Eras Md BT"/>
      <family val="2"/>
    </font>
    <font>
      <sz val="8"/>
      <name val="Eras Md BT"/>
      <family val="2"/>
    </font>
    <font>
      <i/>
      <sz val="12"/>
      <name val="Eras Md BT"/>
      <family val="2"/>
    </font>
    <font>
      <sz val="14"/>
      <name val="Eras Bd BT"/>
      <family val="2"/>
    </font>
    <font>
      <sz val="9"/>
      <name val="Eras Md BT"/>
      <family val="2"/>
    </font>
    <font>
      <b/>
      <sz val="11"/>
      <name val="Eras Md BT"/>
      <family val="2"/>
    </font>
    <font>
      <i/>
      <sz val="10"/>
      <name val="Eras Md BT"/>
      <family val="2"/>
    </font>
    <font>
      <b/>
      <sz val="12"/>
      <name val="Eras Md BT"/>
      <family val="2"/>
    </font>
    <font>
      <sz val="9"/>
      <name val="Eras Lt BT"/>
      <family val="2"/>
    </font>
    <font>
      <sz val="12"/>
      <name val="Eras Lt BT"/>
      <family val="2"/>
    </font>
    <font>
      <b/>
      <sz val="10"/>
      <name val="Eras Lt BT"/>
      <family val="2"/>
    </font>
    <font>
      <sz val="12"/>
      <name val="Symbol"/>
      <family val="1"/>
    </font>
    <font>
      <b/>
      <sz val="12"/>
      <name val="Eras Lt BT"/>
      <family val="2"/>
    </font>
    <font>
      <b/>
      <sz val="14"/>
      <color indexed="63"/>
      <name val="Eras Md BT"/>
      <family val="2"/>
    </font>
    <font>
      <sz val="10"/>
      <name val="Eras Lt BT"/>
      <family val="2"/>
    </font>
    <font>
      <sz val="6"/>
      <color indexed="9"/>
      <name val="Small Fonts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b/>
      <sz val="14"/>
      <color indexed="62"/>
      <name val="Arial Narrow"/>
      <family val="2"/>
    </font>
    <font>
      <b/>
      <sz val="16"/>
      <color indexed="62"/>
      <name val="Arial"/>
      <family val="2"/>
    </font>
    <font>
      <b/>
      <i/>
      <sz val="14"/>
      <name val="Helvetica"/>
      <family val="2"/>
    </font>
    <font>
      <b/>
      <u/>
      <sz val="12"/>
      <name val="Arial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sz val="10"/>
      <color indexed="32"/>
      <name val="Arial"/>
      <family val="2"/>
    </font>
    <font>
      <sz val="8"/>
      <color indexed="10"/>
      <name val="Arial Narrow"/>
      <family val="2"/>
    </font>
    <font>
      <sz val="10"/>
      <name val="Helvetica"/>
      <family val="2"/>
    </font>
    <font>
      <b/>
      <sz val="12"/>
      <name val="MS Sans Serif"/>
      <family val="2"/>
    </font>
    <font>
      <u/>
      <sz val="11"/>
      <color indexed="36"/>
      <name val="μ¸¿o"/>
      <family val="3"/>
      <charset val="129"/>
    </font>
    <font>
      <sz val="11"/>
      <name val="ＭＳ Ｐゴシック"/>
      <family val="2"/>
      <charset val="128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Calibri"/>
      <family val="2"/>
    </font>
    <font>
      <b/>
      <sz val="11"/>
      <color rgb="FFFA7D0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Calibri"/>
      <family val="2"/>
    </font>
    <font>
      <sz val="11"/>
      <color rgb="FF9C0006"/>
      <name val="맑은 고딕"/>
      <family val="3"/>
      <charset val="129"/>
    </font>
    <font>
      <u/>
      <sz val="7.5"/>
      <color indexed="36"/>
      <name val="Arial"/>
      <family val="2"/>
    </font>
    <font>
      <sz val="11"/>
      <name val="Arial Narrow"/>
      <family val="2"/>
    </font>
    <font>
      <sz val="10"/>
      <name val="楲污rar"/>
      <family val="2"/>
    </font>
    <font>
      <sz val="9"/>
      <color theme="1"/>
      <name val="굴림체"/>
      <family val="2"/>
      <charset val="129"/>
    </font>
    <font>
      <sz val="11"/>
      <color indexed="60"/>
      <name val="맑은 고딕"/>
      <family val="3"/>
      <charset val="129"/>
    </font>
    <font>
      <sz val="11"/>
      <color rgb="FF9C6500"/>
      <name val="Calibri"/>
      <family val="2"/>
    </font>
    <font>
      <sz val="11"/>
      <color rgb="FF9C6500"/>
      <name val="맑은 고딕"/>
      <family val="3"/>
      <charset val="129"/>
    </font>
    <font>
      <sz val="18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Calibri"/>
      <family val="2"/>
    </font>
    <font>
      <i/>
      <sz val="11"/>
      <color rgb="FF7F7F7F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theme="0"/>
      <name val="Calibri"/>
      <family val="2"/>
    </font>
    <font>
      <b/>
      <sz val="11"/>
      <color theme="0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Calibri"/>
      <family val="2"/>
    </font>
    <font>
      <sz val="11"/>
      <color rgb="FFFA7D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1"/>
      <color rgb="FF3F3F76"/>
      <name val="Calibri"/>
      <family val="2"/>
    </font>
    <font>
      <sz val="11"/>
      <color rgb="FF3F3F7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theme="3"/>
      <name val="Calibri"/>
      <family val="2"/>
    </font>
    <font>
      <b/>
      <sz val="15"/>
      <color theme="3"/>
      <name val="맑은 고딕"/>
      <family val="3"/>
      <charset val="129"/>
    </font>
    <font>
      <b/>
      <sz val="13"/>
      <color theme="3"/>
      <name val="Calibri"/>
      <family val="2"/>
    </font>
    <font>
      <b/>
      <sz val="13"/>
      <color theme="3"/>
      <name val="맑은 고딕"/>
      <family val="3"/>
      <charset val="129"/>
    </font>
    <font>
      <b/>
      <sz val="11"/>
      <color theme="3"/>
      <name val="Calibri"/>
      <family val="2"/>
    </font>
    <font>
      <b/>
      <sz val="11"/>
      <color theme="3"/>
      <name val="맑은 고딕"/>
      <family val="3"/>
      <charset val="129"/>
    </font>
    <font>
      <b/>
      <sz val="18"/>
      <color indexed="56"/>
      <name val="Cambria"/>
      <family val="1"/>
    </font>
    <font>
      <b/>
      <sz val="18"/>
      <color theme="3"/>
      <name val="Cambria"/>
      <family val="1"/>
    </font>
    <font>
      <b/>
      <sz val="18"/>
      <color theme="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Calibri"/>
      <family val="2"/>
    </font>
    <font>
      <sz val="11"/>
      <color rgb="FF00610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Calibri"/>
      <family val="2"/>
    </font>
    <font>
      <b/>
      <sz val="11"/>
      <color rgb="FF3F3F3F"/>
      <name val="맑은 고딕"/>
      <family val="3"/>
      <charset val="129"/>
    </font>
    <font>
      <sz val="11"/>
      <name val="바탕체"/>
      <family val="1"/>
      <charset val="129"/>
    </font>
    <font>
      <sz val="11"/>
      <color indexed="8"/>
      <name val="굴림"/>
      <family val="3"/>
      <charset val="129"/>
    </font>
    <font>
      <sz val="10"/>
      <name val="바탕"/>
      <family val="1"/>
      <charset val="129"/>
    </font>
    <font>
      <sz val="11"/>
      <color indexed="8"/>
      <name val="바탕체"/>
      <family val="1"/>
      <charset val="129"/>
    </font>
    <font>
      <sz val="10"/>
      <name val="Batang"/>
      <family val="1"/>
    </font>
    <font>
      <sz val="10"/>
      <name val="Lucida Console"/>
      <family val="3"/>
    </font>
    <font>
      <sz val="10"/>
      <name val="PragmaticaCTT"/>
      <family val="1"/>
    </font>
    <font>
      <sz val="12"/>
      <color indexed="17"/>
      <name val="宋体"/>
    </font>
    <font>
      <sz val="12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2"/>
      <color indexed="9"/>
      <name val="宋体"/>
    </font>
    <font>
      <sz val="12"/>
      <name val="Osaka"/>
      <family val="3"/>
      <charset val="128"/>
    </font>
    <font>
      <b/>
      <sz val="12"/>
      <color indexed="8"/>
      <name val="宋体"/>
    </font>
    <font>
      <i/>
      <sz val="12"/>
      <color indexed="23"/>
      <name val="宋体"/>
    </font>
    <font>
      <sz val="12"/>
      <color indexed="10"/>
      <name val="宋体"/>
    </font>
    <font>
      <b/>
      <sz val="12"/>
      <color indexed="52"/>
      <name val="宋体"/>
    </font>
    <font>
      <sz val="12"/>
      <color indexed="62"/>
      <name val="宋体"/>
    </font>
    <font>
      <b/>
      <sz val="12"/>
      <color indexed="63"/>
      <name val="宋体"/>
    </font>
    <font>
      <sz val="12"/>
      <color indexed="60"/>
      <name val="宋体"/>
    </font>
    <font>
      <sz val="12"/>
      <color indexed="52"/>
      <name val="宋体"/>
    </font>
    <font>
      <sz val="11"/>
      <color rgb="FFC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B0F0"/>
      <name val="Calibri"/>
      <family val="2"/>
      <scheme val="minor"/>
    </font>
    <font>
      <sz val="11"/>
      <color rgb="FF4D4D4D"/>
      <name val="Calibri"/>
      <family val="2"/>
      <scheme val="minor"/>
    </font>
    <font>
      <b/>
      <sz val="11"/>
      <color rgb="FF000000"/>
      <name val="Calibri"/>
      <family val="2"/>
    </font>
  </fonts>
  <fills count="14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1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19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1"/>
      </patternFill>
    </fill>
    <fill>
      <patternFill patternType="solid">
        <fgColor indexed="28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19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1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9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39"/>
      </patternFill>
    </fill>
    <fill>
      <patternFill patternType="solid">
        <fgColor indexed="42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19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14"/>
        <bgColor indexed="47"/>
      </patternFill>
    </fill>
    <fill>
      <patternFill patternType="solid">
        <fgColor indexed="45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47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65"/>
        <bgColor indexed="47"/>
      </patternFill>
    </fill>
    <fill>
      <patternFill patternType="solid">
        <fgColor indexed="1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4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671B3"/>
        <bgColor indexed="64"/>
      </patternFill>
    </fill>
    <fill>
      <patternFill patternType="solid">
        <fgColor rgb="FF0082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6E3BC"/>
        <bgColor indexed="64"/>
      </patternFill>
    </fill>
  </fills>
  <borders count="11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22"/>
      </left>
      <right style="medium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medium">
        <color indexed="22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22"/>
      </left>
      <right style="hair">
        <color indexed="14"/>
      </right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63"/>
      </right>
      <top style="thin">
        <color indexed="22"/>
      </top>
      <bottom style="thin">
        <color indexed="63"/>
      </bottom>
      <diagonal/>
    </border>
    <border>
      <left style="thin">
        <color indexed="22"/>
      </left>
      <right style="medium">
        <color indexed="63"/>
      </right>
      <top style="thin">
        <color indexed="22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6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indexed="41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6144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1" fillId="0" borderId="0" applyNumberFormat="0" applyFill="0" applyBorder="0" applyAlignment="0">
      <protection locked="0"/>
    </xf>
    <xf numFmtId="0" fontId="12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5" fontId="15" fillId="0" borderId="10" applyBorder="0"/>
    <xf numFmtId="166" fontId="9" fillId="0" borderId="0" applyFont="0" applyFill="0" applyBorder="0" applyAlignment="0" applyProtection="0"/>
    <xf numFmtId="17" fontId="9" fillId="0" borderId="7" applyFont="0" applyFill="0" applyBorder="0" applyAlignment="0" applyProtection="0">
      <alignment horizontal="center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49" fontId="16" fillId="6" borderId="6">
      <alignment vertical="center" wrapText="1"/>
    </xf>
    <xf numFmtId="0" fontId="17" fillId="0" borderId="0">
      <protection locked="0"/>
    </xf>
    <xf numFmtId="167" fontId="18" fillId="0" borderId="0"/>
    <xf numFmtId="0" fontId="19" fillId="0" borderId="0">
      <protection locked="0"/>
    </xf>
    <xf numFmtId="0" fontId="19" fillId="0" borderId="0">
      <protection locked="0"/>
    </xf>
    <xf numFmtId="0" fontId="10" fillId="0" borderId="0"/>
    <xf numFmtId="0" fontId="9" fillId="0" borderId="0"/>
    <xf numFmtId="168" fontId="9" fillId="0" borderId="0" applyFont="0" applyFill="0" applyBorder="0" applyAlignment="0" applyProtection="0"/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38" fontId="16" fillId="7" borderId="0" applyNumberFormat="0" applyBorder="0" applyAlignment="0" applyProtection="0"/>
    <xf numFmtId="0" fontId="20" fillId="0" borderId="0">
      <alignment horizontal="left"/>
    </xf>
    <xf numFmtId="0" fontId="21" fillId="0" borderId="12" applyNumberFormat="0" applyAlignment="0" applyProtection="0">
      <alignment horizontal="left" vertical="center"/>
    </xf>
    <xf numFmtId="0" fontId="21" fillId="0" borderId="11">
      <alignment horizontal="left" vertical="center"/>
    </xf>
    <xf numFmtId="0" fontId="21" fillId="0" borderId="11">
      <alignment horizontal="left" vertical="center"/>
    </xf>
    <xf numFmtId="0" fontId="22" fillId="0" borderId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69" fontId="23" fillId="0" borderId="8" applyBorder="0">
      <protection locked="0"/>
    </xf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4" fillId="0" borderId="9"/>
    <xf numFmtId="44" fontId="1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17" fillId="0" borderId="0">
      <protection locked="0"/>
    </xf>
    <xf numFmtId="0" fontId="25" fillId="0" borderId="0">
      <alignment horizontal="right"/>
    </xf>
    <xf numFmtId="0" fontId="23" fillId="0" borderId="13" applyNumberFormat="0" applyAlignment="0"/>
    <xf numFmtId="37" fontId="26" fillId="0" borderId="0"/>
    <xf numFmtId="174" fontId="27" fillId="0" borderId="0"/>
    <xf numFmtId="37" fontId="15" fillId="0" borderId="0"/>
    <xf numFmtId="38" fontId="28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 applyNumberFormat="0" applyAlignment="0">
      <alignment vertical="top"/>
    </xf>
    <xf numFmtId="0" fontId="30" fillId="0" borderId="0"/>
    <xf numFmtId="10" fontId="9" fillId="0" borderId="0" applyFont="0" applyFill="0" applyBorder="0" applyAlignment="0" applyProtection="0"/>
    <xf numFmtId="38" fontId="16" fillId="0" borderId="0" applyFill="0" applyBorder="0" applyAlignment="0" applyProtection="0">
      <alignment horizontal="right"/>
    </xf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7" fillId="0" borderId="0">
      <protection locked="0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175" fontId="32" fillId="6" borderId="6">
      <alignment vertical="center"/>
    </xf>
    <xf numFmtId="0" fontId="31" fillId="0" borderId="0" applyNumberFormat="0" applyFont="0" applyFill="0" applyBorder="0" applyAlignment="0" applyProtection="0">
      <alignment horizontal="left"/>
    </xf>
    <xf numFmtId="15" fontId="31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33" fillId="0" borderId="9">
      <alignment horizontal="center"/>
    </xf>
    <xf numFmtId="3" fontId="31" fillId="0" borderId="0" applyFont="0" applyFill="0" applyBorder="0" applyAlignment="0" applyProtection="0"/>
    <xf numFmtId="0" fontId="31" fillId="9" borderId="0" applyNumberFormat="0" applyFont="0" applyBorder="0" applyAlignment="0" applyProtection="0"/>
    <xf numFmtId="38" fontId="34" fillId="0" borderId="0"/>
    <xf numFmtId="0" fontId="35" fillId="10" borderId="0"/>
    <xf numFmtId="0" fontId="35" fillId="6" borderId="14">
      <protection locked="0"/>
    </xf>
    <xf numFmtId="0" fontId="35" fillId="10" borderId="0"/>
    <xf numFmtId="176" fontId="9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9" fillId="0" borderId="0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38" fontId="9" fillId="7" borderId="16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0" fontId="24" fillId="0" borderId="0"/>
    <xf numFmtId="167" fontId="37" fillId="0" borderId="0" applyNumberFormat="0" applyFill="0" applyBorder="0" applyAlignment="0" applyProtection="0"/>
    <xf numFmtId="0" fontId="17" fillId="0" borderId="17">
      <protection locked="0"/>
    </xf>
    <xf numFmtId="0" fontId="38" fillId="0" borderId="7" applyNumberFormat="0" applyFill="0" applyProtection="0"/>
    <xf numFmtId="176" fontId="1" fillId="0" borderId="0" applyFont="0" applyFill="0" applyBorder="0" applyAlignment="0" applyProtection="0"/>
    <xf numFmtId="0" fontId="39" fillId="0" borderId="0"/>
    <xf numFmtId="178" fontId="1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0" fontId="9" fillId="0" borderId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0" fontId="46" fillId="0" borderId="0"/>
    <xf numFmtId="0" fontId="10" fillId="0" borderId="0"/>
    <xf numFmtId="179" fontId="10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67" fontId="47" fillId="0" borderId="0" applyBorder="0">
      <alignment vertical="center"/>
      <protection locked="0"/>
    </xf>
    <xf numFmtId="167" fontId="47" fillId="0" borderId="0" applyBorder="0">
      <alignment vertical="center"/>
      <protection locked="0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67" fontId="47" fillId="0" borderId="0" applyBorder="0">
      <alignment vertical="center"/>
      <protection locked="0"/>
    </xf>
    <xf numFmtId="167" fontId="47" fillId="0" borderId="0" applyBorder="0">
      <alignment vertical="center"/>
      <protection locked="0"/>
    </xf>
    <xf numFmtId="179" fontId="9" fillId="0" borderId="0"/>
    <xf numFmtId="167" fontId="47" fillId="0" borderId="0" applyBorder="0">
      <alignment vertical="center"/>
      <protection locked="0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67" fontId="47" fillId="0" borderId="0" applyBorder="0">
      <alignment vertical="center"/>
      <protection locked="0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67" fontId="47" fillId="0" borderId="0" applyBorder="0">
      <alignment vertical="center"/>
      <protection locked="0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44" borderId="37" applyNumberFormat="0">
      <alignment horizontal="left" vertical="center"/>
    </xf>
    <xf numFmtId="0" fontId="48" fillId="0" borderId="0"/>
    <xf numFmtId="0" fontId="49" fillId="0" borderId="0"/>
    <xf numFmtId="166" fontId="5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40" fontId="52" fillId="0" borderId="0" applyFont="0" applyFill="0" applyBorder="0" applyAlignment="0" applyProtection="0"/>
    <xf numFmtId="180" fontId="9" fillId="0" borderId="0" applyFont="0" applyFill="0" applyBorder="0" applyAlignment="0" applyProtection="0"/>
    <xf numFmtId="38" fontId="52" fillId="0" borderId="0" applyFont="0" applyFill="0" applyBorder="0" applyAlignment="0" applyProtection="0"/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1" fontId="9" fillId="0" borderId="0" applyFont="0" applyFill="0" applyBorder="0" applyAlignment="0" applyProtection="0"/>
    <xf numFmtId="179" fontId="53" fillId="0" borderId="0"/>
    <xf numFmtId="0" fontId="48" fillId="0" borderId="0"/>
    <xf numFmtId="0" fontId="48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48" fillId="0" borderId="0"/>
    <xf numFmtId="0" fontId="48" fillId="0" borderId="0"/>
    <xf numFmtId="0" fontId="9" fillId="0" borderId="0"/>
    <xf numFmtId="0" fontId="49" fillId="0" borderId="0" applyFont="0" applyFill="0" applyBorder="0" applyAlignment="0" applyProtection="0"/>
    <xf numFmtId="0" fontId="10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6" fillId="0" borderId="0"/>
    <xf numFmtId="0" fontId="55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55" fillId="0" borderId="0"/>
    <xf numFmtId="0" fontId="5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9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10" fillId="0" borderId="0"/>
    <xf numFmtId="179" fontId="10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55" fillId="0" borderId="0"/>
    <xf numFmtId="0" fontId="9" fillId="0" borderId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55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0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0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46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4" fontId="9" fillId="8" borderId="0"/>
    <xf numFmtId="4" fontId="9" fillId="8" borderId="0"/>
    <xf numFmtId="4" fontId="9" fillId="8" borderId="0"/>
    <xf numFmtId="4" fontId="9" fillId="8" borderId="0"/>
    <xf numFmtId="4" fontId="9" fillId="8" borderId="0"/>
    <xf numFmtId="4" fontId="9" fillId="8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0" fillId="0" borderId="0"/>
    <xf numFmtId="0" fontId="10" fillId="0" borderId="0"/>
    <xf numFmtId="0" fontId="10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7" fillId="45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58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9" fillId="0" borderId="0"/>
    <xf numFmtId="0" fontId="10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10" fillId="0" borderId="0" applyBorder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0" fillId="0" borderId="0"/>
    <xf numFmtId="179" fontId="10" fillId="0" borderId="0"/>
    <xf numFmtId="179" fontId="10" fillId="0" borderId="0"/>
    <xf numFmtId="179" fontId="10" fillId="0" borderId="0"/>
    <xf numFmtId="179" fontId="10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10" fillId="0" borderId="0"/>
    <xf numFmtId="179" fontId="10" fillId="0" borderId="0"/>
    <xf numFmtId="179" fontId="10" fillId="0" borderId="0"/>
    <xf numFmtId="179" fontId="10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9" fillId="0" borderId="0"/>
    <xf numFmtId="179" fontId="31" fillId="0" borderId="0"/>
    <xf numFmtId="179" fontId="31" fillId="0" borderId="0"/>
    <xf numFmtId="179" fontId="9" fillId="0" borderId="0"/>
    <xf numFmtId="179" fontId="9" fillId="0" borderId="0"/>
    <xf numFmtId="179" fontId="31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10" fillId="0" borderId="0"/>
    <xf numFmtId="0" fontId="4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6" fillId="0" borderId="0"/>
    <xf numFmtId="0" fontId="5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0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5" fillId="0" borderId="0"/>
    <xf numFmtId="0" fontId="10" fillId="0" borderId="0"/>
    <xf numFmtId="0" fontId="42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10" fillId="0" borderId="0"/>
    <xf numFmtId="0" fontId="4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54" fillId="0" borderId="0">
      <alignment vertical="top"/>
    </xf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6" fillId="0" borderId="0" applyNumberFormat="0" applyFill="0" applyBorder="0" applyAlignment="0" applyProtection="0"/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4" fillId="0" borderId="0">
      <alignment vertical="top"/>
    </xf>
    <xf numFmtId="179" fontId="50" fillId="0" borderId="0"/>
    <xf numFmtId="179" fontId="10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0" borderId="0"/>
    <xf numFmtId="0" fontId="49" fillId="0" borderId="0"/>
    <xf numFmtId="0" fontId="9" fillId="0" borderId="0"/>
    <xf numFmtId="0" fontId="9" fillId="0" borderId="0"/>
    <xf numFmtId="0" fontId="48" fillId="0" borderId="0"/>
    <xf numFmtId="0" fontId="5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5" fillId="0" borderId="0"/>
    <xf numFmtId="0" fontId="49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9" fillId="0" borderId="0"/>
    <xf numFmtId="0" fontId="10" fillId="0" borderId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NumberFormat="0" applyFill="0" applyBorder="0" applyAlignment="0" applyProtection="0"/>
    <xf numFmtId="179" fontId="9" fillId="0" borderId="0"/>
    <xf numFmtId="182" fontId="59" fillId="0" borderId="0" applyFont="0" applyAlignment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46" fillId="0" borderId="0"/>
    <xf numFmtId="182" fontId="21" fillId="0" borderId="0" applyFont="0" applyFill="0" applyBorder="0" applyAlignment="0" applyProtection="0"/>
    <xf numFmtId="182" fontId="59" fillId="0" borderId="0" applyFont="0" applyAlignment="0">
      <alignment horizontal="center"/>
    </xf>
    <xf numFmtId="183" fontId="60" fillId="0" borderId="0">
      <alignment horizontal="left"/>
    </xf>
    <xf numFmtId="184" fontId="61" fillId="0" borderId="0">
      <alignment horizontal="left"/>
    </xf>
    <xf numFmtId="0" fontId="9" fillId="0" borderId="0" applyNumberFormat="0" applyFill="0" applyBorder="0" applyAlignment="0" applyProtection="0"/>
    <xf numFmtId="3" fontId="62" fillId="46" borderId="0">
      <alignment horizontal="left"/>
    </xf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0" fontId="43" fillId="47" borderId="0" applyNumberFormat="0" applyBorder="0" applyAlignment="0" applyProtection="0"/>
    <xf numFmtId="179" fontId="43" fillId="48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0" fontId="43" fillId="49" borderId="0" applyNumberFormat="0" applyBorder="0" applyAlignment="0" applyProtection="0"/>
    <xf numFmtId="179" fontId="43" fillId="50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179" fontId="43" fillId="51" borderId="0" applyNumberFormat="0" applyBorder="0" applyAlignment="0" applyProtection="0"/>
    <xf numFmtId="0" fontId="43" fillId="51" borderId="0" applyNumberFormat="0" applyBorder="0" applyAlignment="0" applyProtection="0"/>
    <xf numFmtId="179" fontId="43" fillId="52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179" fontId="43" fillId="47" borderId="0" applyNumberFormat="0" applyBorder="0" applyAlignment="0" applyProtection="0"/>
    <xf numFmtId="0" fontId="43" fillId="47" borderId="0" applyNumberFormat="0" applyBorder="0" applyAlignment="0" applyProtection="0"/>
    <xf numFmtId="179" fontId="43" fillId="53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55" borderId="0" applyNumberFormat="0" applyBorder="0" applyAlignment="0" applyProtection="0"/>
    <xf numFmtId="179" fontId="43" fillId="56" borderId="0" applyNumberFormat="0" applyBorder="0" applyAlignment="0" applyProtection="0"/>
    <xf numFmtId="179" fontId="43" fillId="55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48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49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0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1" borderId="0" applyNumberFormat="0" applyBorder="0" applyAlignment="0" applyProtection="0"/>
    <xf numFmtId="179" fontId="43" fillId="57" borderId="0" applyNumberFormat="0" applyBorder="0" applyAlignment="0" applyProtection="0"/>
    <xf numFmtId="179" fontId="43" fillId="51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2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47" borderId="0" applyNumberFormat="0" applyBorder="0" applyAlignment="0" applyProtection="0"/>
    <xf numFmtId="179" fontId="43" fillId="48" borderId="0" applyNumberFormat="0" applyBorder="0" applyAlignment="0" applyProtection="0"/>
    <xf numFmtId="179" fontId="43" fillId="47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5" borderId="0" applyNumberFormat="0" applyBorder="0" applyAlignment="0" applyProtection="0"/>
    <xf numFmtId="179" fontId="43" fillId="56" borderId="0" applyNumberFormat="0" applyBorder="0" applyAlignment="0" applyProtection="0"/>
    <xf numFmtId="179" fontId="43" fillId="55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54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50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49" borderId="0" applyNumberFormat="0" applyBorder="0" applyAlignment="0" applyProtection="0"/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5" fillId="21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5" fillId="21" borderId="0" applyNumberFormat="0" applyBorder="0" applyAlignment="0" applyProtection="0"/>
    <xf numFmtId="0" fontId="43" fillId="48" borderId="0" applyNumberFormat="0" applyBorder="0" applyAlignment="0" applyProtection="0"/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6" fillId="21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6" fillId="21" borderId="0" applyNumberFormat="0" applyBorder="0" applyAlignment="0" applyProtection="0"/>
    <xf numFmtId="0" fontId="6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5" fillId="21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5" fillId="21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63" fillId="48" borderId="0" applyNumberFormat="0" applyBorder="0" applyAlignment="0" applyProtection="0">
      <alignment vertical="center"/>
    </xf>
    <xf numFmtId="0" fontId="65" fillId="21" borderId="0" applyNumberFormat="0" applyBorder="0" applyAlignment="0" applyProtection="0"/>
    <xf numFmtId="0" fontId="43" fillId="48" borderId="0" applyNumberFormat="0" applyBorder="0" applyAlignment="0" applyProtection="0"/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5" fillId="25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5" fillId="25" borderId="0" applyNumberFormat="0" applyBorder="0" applyAlignment="0" applyProtection="0"/>
    <xf numFmtId="0" fontId="43" fillId="50" borderId="0" applyNumberFormat="0" applyBorder="0" applyAlignment="0" applyProtection="0"/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3" fillId="50" borderId="0" applyNumberFormat="0" applyBorder="0" applyAlignment="0" applyProtection="0"/>
    <xf numFmtId="0" fontId="63" fillId="50" borderId="0" applyNumberFormat="0" applyBorder="0" applyAlignment="0" applyProtection="0"/>
    <xf numFmtId="0" fontId="66" fillId="25" borderId="0" applyNumberFormat="0" applyBorder="0" applyAlignment="0" applyProtection="0"/>
    <xf numFmtId="0" fontId="63" fillId="50" borderId="0" applyNumberFormat="0" applyBorder="0" applyAlignment="0" applyProtection="0"/>
    <xf numFmtId="0" fontId="63" fillId="50" borderId="0" applyNumberFormat="0" applyBorder="0" applyAlignment="0" applyProtection="0"/>
    <xf numFmtId="0" fontId="63" fillId="50" borderId="0" applyNumberFormat="0" applyBorder="0" applyAlignment="0" applyProtection="0"/>
    <xf numFmtId="0" fontId="66" fillId="25" borderId="0" applyNumberFormat="0" applyBorder="0" applyAlignment="0" applyProtection="0"/>
    <xf numFmtId="0" fontId="6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5" fillId="25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5" fillId="25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63" fillId="50" borderId="0" applyNumberFormat="0" applyBorder="0" applyAlignment="0" applyProtection="0">
      <alignment vertical="center"/>
    </xf>
    <xf numFmtId="0" fontId="65" fillId="25" borderId="0" applyNumberFormat="0" applyBorder="0" applyAlignment="0" applyProtection="0"/>
    <xf numFmtId="0" fontId="43" fillId="50" borderId="0" applyNumberFormat="0" applyBorder="0" applyAlignment="0" applyProtection="0"/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5" fillId="29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5" fillId="29" borderId="0" applyNumberFormat="0" applyBorder="0" applyAlignment="0" applyProtection="0"/>
    <xf numFmtId="0" fontId="43" fillId="52" borderId="0" applyNumberFormat="0" applyBorder="0" applyAlignment="0" applyProtection="0"/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3" fillId="52" borderId="0" applyNumberFormat="0" applyBorder="0" applyAlignment="0" applyProtection="0"/>
    <xf numFmtId="0" fontId="63" fillId="52" borderId="0" applyNumberFormat="0" applyBorder="0" applyAlignment="0" applyProtection="0"/>
    <xf numFmtId="0" fontId="66" fillId="29" borderId="0" applyNumberFormat="0" applyBorder="0" applyAlignment="0" applyProtection="0"/>
    <xf numFmtId="0" fontId="63" fillId="52" borderId="0" applyNumberFormat="0" applyBorder="0" applyAlignment="0" applyProtection="0"/>
    <xf numFmtId="0" fontId="63" fillId="52" borderId="0" applyNumberFormat="0" applyBorder="0" applyAlignment="0" applyProtection="0"/>
    <xf numFmtId="0" fontId="63" fillId="52" borderId="0" applyNumberFormat="0" applyBorder="0" applyAlignment="0" applyProtection="0"/>
    <xf numFmtId="0" fontId="66" fillId="29" borderId="0" applyNumberFormat="0" applyBorder="0" applyAlignment="0" applyProtection="0"/>
    <xf numFmtId="0" fontId="6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5" fillId="29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5" fillId="29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63" fillId="52" borderId="0" applyNumberFormat="0" applyBorder="0" applyAlignment="0" applyProtection="0">
      <alignment vertical="center"/>
    </xf>
    <xf numFmtId="0" fontId="65" fillId="29" borderId="0" applyNumberFormat="0" applyBorder="0" applyAlignment="0" applyProtection="0"/>
    <xf numFmtId="0" fontId="43" fillId="52" borderId="0" applyNumberFormat="0" applyBorder="0" applyAlignment="0" applyProtection="0"/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6" fillId="3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6" fillId="33" borderId="0" applyNumberFormat="0" applyBorder="0" applyAlignment="0" applyProtection="0"/>
    <xf numFmtId="0" fontId="6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5" fillId="3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5" fillId="37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5" fillId="37" borderId="0" applyNumberFormat="0" applyBorder="0" applyAlignment="0" applyProtection="0"/>
    <xf numFmtId="0" fontId="43" fillId="54" borderId="0" applyNumberFormat="0" applyBorder="0" applyAlignment="0" applyProtection="0"/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3" fillId="54" borderId="0" applyNumberFormat="0" applyBorder="0" applyAlignment="0" applyProtection="0"/>
    <xf numFmtId="0" fontId="63" fillId="54" borderId="0" applyNumberFormat="0" applyBorder="0" applyAlignment="0" applyProtection="0"/>
    <xf numFmtId="0" fontId="66" fillId="37" borderId="0" applyNumberFormat="0" applyBorder="0" applyAlignment="0" applyProtection="0"/>
    <xf numFmtId="0" fontId="63" fillId="54" borderId="0" applyNumberFormat="0" applyBorder="0" applyAlignment="0" applyProtection="0"/>
    <xf numFmtId="0" fontId="63" fillId="54" borderId="0" applyNumberFormat="0" applyBorder="0" applyAlignment="0" applyProtection="0"/>
    <xf numFmtId="0" fontId="63" fillId="54" borderId="0" applyNumberFormat="0" applyBorder="0" applyAlignment="0" applyProtection="0"/>
    <xf numFmtId="0" fontId="66" fillId="37" borderId="0" applyNumberFormat="0" applyBorder="0" applyAlignment="0" applyProtection="0"/>
    <xf numFmtId="0" fontId="6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5" fillId="37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5" fillId="37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63" fillId="54" borderId="0" applyNumberFormat="0" applyBorder="0" applyAlignment="0" applyProtection="0">
      <alignment vertical="center"/>
    </xf>
    <xf numFmtId="0" fontId="65" fillId="37" borderId="0" applyNumberFormat="0" applyBorder="0" applyAlignment="0" applyProtection="0"/>
    <xf numFmtId="0" fontId="43" fillId="54" borderId="0" applyNumberFormat="0" applyBorder="0" applyAlignment="0" applyProtection="0"/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5" fillId="41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5" fillId="41" borderId="0" applyNumberFormat="0" applyBorder="0" applyAlignment="0" applyProtection="0"/>
    <xf numFmtId="0" fontId="43" fillId="49" borderId="0" applyNumberFormat="0" applyBorder="0" applyAlignment="0" applyProtection="0"/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3" fillId="49" borderId="0" applyNumberFormat="0" applyBorder="0" applyAlignment="0" applyProtection="0"/>
    <xf numFmtId="0" fontId="63" fillId="49" borderId="0" applyNumberFormat="0" applyBorder="0" applyAlignment="0" applyProtection="0"/>
    <xf numFmtId="0" fontId="66" fillId="41" borderId="0" applyNumberFormat="0" applyBorder="0" applyAlignment="0" applyProtection="0"/>
    <xf numFmtId="0" fontId="63" fillId="49" borderId="0" applyNumberFormat="0" applyBorder="0" applyAlignment="0" applyProtection="0"/>
    <xf numFmtId="0" fontId="63" fillId="49" borderId="0" applyNumberFormat="0" applyBorder="0" applyAlignment="0" applyProtection="0"/>
    <xf numFmtId="0" fontId="63" fillId="49" borderId="0" applyNumberFormat="0" applyBorder="0" applyAlignment="0" applyProtection="0"/>
    <xf numFmtId="0" fontId="66" fillId="41" borderId="0" applyNumberFormat="0" applyBorder="0" applyAlignment="0" applyProtection="0"/>
    <xf numFmtId="0" fontId="6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5" fillId="41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5" fillId="41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63" fillId="49" borderId="0" applyNumberFormat="0" applyBorder="0" applyAlignment="0" applyProtection="0">
      <alignment vertical="center"/>
    </xf>
    <xf numFmtId="0" fontId="65" fillId="41" borderId="0" applyNumberFormat="0" applyBorder="0" applyAlignment="0" applyProtection="0"/>
    <xf numFmtId="0" fontId="43" fillId="49" borderId="0" applyNumberFormat="0" applyBorder="0" applyAlignment="0" applyProtection="0"/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3" fontId="68" fillId="7" borderId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0" fontId="43" fillId="58" borderId="0" applyNumberFormat="0" applyBorder="0" applyAlignment="0" applyProtection="0"/>
    <xf numFmtId="179" fontId="43" fillId="59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179" fontId="43" fillId="57" borderId="0" applyNumberFormat="0" applyBorder="0" applyAlignment="0" applyProtection="0"/>
    <xf numFmtId="0" fontId="43" fillId="57" borderId="0" applyNumberFormat="0" applyBorder="0" applyAlignment="0" applyProtection="0"/>
    <xf numFmtId="179" fontId="43" fillId="61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179" fontId="43" fillId="58" borderId="0" applyNumberFormat="0" applyBorder="0" applyAlignment="0" applyProtection="0"/>
    <xf numFmtId="0" fontId="43" fillId="58" borderId="0" applyNumberFormat="0" applyBorder="0" applyAlignment="0" applyProtection="0"/>
    <xf numFmtId="179" fontId="43" fillId="53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179" fontId="43" fillId="49" borderId="0" applyNumberFormat="0" applyBorder="0" applyAlignment="0" applyProtection="0"/>
    <xf numFmtId="0" fontId="43" fillId="49" borderId="0" applyNumberFormat="0" applyBorder="0" applyAlignment="0" applyProtection="0"/>
    <xf numFmtId="179" fontId="43" fillId="62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5" borderId="0" applyNumberFormat="0" applyBorder="0" applyAlignment="0" applyProtection="0"/>
    <xf numFmtId="179" fontId="43" fillId="56" borderId="0" applyNumberFormat="0" applyBorder="0" applyAlignment="0" applyProtection="0"/>
    <xf numFmtId="179" fontId="43" fillId="55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0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57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61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8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3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5" borderId="0" applyNumberFormat="0" applyBorder="0" applyAlignment="0" applyProtection="0"/>
    <xf numFmtId="179" fontId="43" fillId="56" borderId="0" applyNumberFormat="0" applyBorder="0" applyAlignment="0" applyProtection="0"/>
    <xf numFmtId="179" fontId="43" fillId="55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59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49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179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3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2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22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6" fillId="22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6" fillId="22" borderId="0" applyNumberFormat="0" applyBorder="0" applyAlignment="0" applyProtection="0"/>
    <xf numFmtId="0" fontId="6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2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2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5" fillId="22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5" fillId="26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5" fillId="26" borderId="0" applyNumberFormat="0" applyBorder="0" applyAlignment="0" applyProtection="0"/>
    <xf numFmtId="0" fontId="43" fillId="60" borderId="0" applyNumberFormat="0" applyBorder="0" applyAlignment="0" applyProtection="0"/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6" fillId="26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6" fillId="26" borderId="0" applyNumberFormat="0" applyBorder="0" applyAlignment="0" applyProtection="0"/>
    <xf numFmtId="0" fontId="6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5" fillId="26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5" fillId="26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63" fillId="60" borderId="0" applyNumberFormat="0" applyBorder="0" applyAlignment="0" applyProtection="0">
      <alignment vertical="center"/>
    </xf>
    <xf numFmtId="0" fontId="65" fillId="26" borderId="0" applyNumberFormat="0" applyBorder="0" applyAlignment="0" applyProtection="0"/>
    <xf numFmtId="0" fontId="43" fillId="60" borderId="0" applyNumberFormat="0" applyBorder="0" applyAlignment="0" applyProtection="0"/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5" fillId="30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5" fillId="30" borderId="0" applyNumberFormat="0" applyBorder="0" applyAlignment="0" applyProtection="0"/>
    <xf numFmtId="0" fontId="43" fillId="61" borderId="0" applyNumberFormat="0" applyBorder="0" applyAlignment="0" applyProtection="0"/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6" fillId="30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3" fillId="61" borderId="0" applyNumberFormat="0" applyBorder="0" applyAlignment="0" applyProtection="0"/>
    <xf numFmtId="0" fontId="66" fillId="30" borderId="0" applyNumberFormat="0" applyBorder="0" applyAlignment="0" applyProtection="0"/>
    <xf numFmtId="0" fontId="6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5" fillId="30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5" fillId="30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63" fillId="61" borderId="0" applyNumberFormat="0" applyBorder="0" applyAlignment="0" applyProtection="0">
      <alignment vertical="center"/>
    </xf>
    <xf numFmtId="0" fontId="65" fillId="30" borderId="0" applyNumberFormat="0" applyBorder="0" applyAlignment="0" applyProtection="0"/>
    <xf numFmtId="0" fontId="43" fillId="61" borderId="0" applyNumberFormat="0" applyBorder="0" applyAlignment="0" applyProtection="0"/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4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6" fillId="34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3" fillId="53" borderId="0" applyNumberFormat="0" applyBorder="0" applyAlignment="0" applyProtection="0"/>
    <xf numFmtId="0" fontId="66" fillId="34" borderId="0" applyNumberFormat="0" applyBorder="0" applyAlignment="0" applyProtection="0"/>
    <xf numFmtId="0" fontId="6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5" fillId="3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5" fillId="34" borderId="0" applyNumberFormat="0" applyBorder="0" applyAlignment="0" applyProtection="0"/>
    <xf numFmtId="0" fontId="43" fillId="53" borderId="0" applyNumberFormat="0" applyBorder="0" applyAlignment="0" applyProtection="0"/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3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38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6" fillId="38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3" fillId="59" borderId="0" applyNumberFormat="0" applyBorder="0" applyAlignment="0" applyProtection="0"/>
    <xf numFmtId="0" fontId="66" fillId="38" borderId="0" applyNumberFormat="0" applyBorder="0" applyAlignment="0" applyProtection="0"/>
    <xf numFmtId="0" fontId="6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3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5" fillId="3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5" fillId="38" borderId="0" applyNumberFormat="0" applyBorder="0" applyAlignment="0" applyProtection="0"/>
    <xf numFmtId="0" fontId="43" fillId="59" borderId="0" applyNumberFormat="0" applyBorder="0" applyAlignment="0" applyProtection="0"/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5" fillId="4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5" fillId="42" borderId="0" applyNumberFormat="0" applyBorder="0" applyAlignment="0" applyProtection="0"/>
    <xf numFmtId="0" fontId="43" fillId="62" borderId="0" applyNumberFormat="0" applyBorder="0" applyAlignment="0" applyProtection="0"/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6" fillId="4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3" fillId="62" borderId="0" applyNumberFormat="0" applyBorder="0" applyAlignment="0" applyProtection="0"/>
    <xf numFmtId="0" fontId="66" fillId="42" borderId="0" applyNumberFormat="0" applyBorder="0" applyAlignment="0" applyProtection="0"/>
    <xf numFmtId="0" fontId="6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5" fillId="4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5" fillId="4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63" fillId="62" borderId="0" applyNumberFormat="0" applyBorder="0" applyAlignment="0" applyProtection="0">
      <alignment vertical="center"/>
    </xf>
    <xf numFmtId="0" fontId="65" fillId="42" borderId="0" applyNumberFormat="0" applyBorder="0" applyAlignment="0" applyProtection="0"/>
    <xf numFmtId="0" fontId="43" fillId="62" borderId="0" applyNumberFormat="0" applyBorder="0" applyAlignment="0" applyProtection="0"/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0" fontId="69" fillId="63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179" fontId="69" fillId="57" borderId="0" applyNumberFormat="0" applyBorder="0" applyAlignment="0" applyProtection="0"/>
    <xf numFmtId="0" fontId="69" fillId="57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179" fontId="69" fillId="58" borderId="0" applyNumberFormat="0" applyBorder="0" applyAlignment="0" applyProtection="0"/>
    <xf numFmtId="0" fontId="69" fillId="58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179" fontId="69" fillId="49" borderId="0" applyNumberFormat="0" applyBorder="0" applyAlignment="0" applyProtection="0"/>
    <xf numFmtId="0" fontId="69" fillId="49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55" borderId="0" applyNumberFormat="0" applyBorder="0" applyAlignment="0" applyProtection="0"/>
    <xf numFmtId="179" fontId="69" fillId="54" borderId="0" applyNumberFormat="0" applyBorder="0" applyAlignment="0" applyProtection="0"/>
    <xf numFmtId="179" fontId="69" fillId="55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4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0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57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1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58" borderId="0" applyNumberFormat="0" applyBorder="0" applyAlignment="0" applyProtection="0"/>
    <xf numFmtId="179" fontId="69" fillId="64" borderId="0" applyNumberFormat="0" applyBorder="0" applyAlignment="0" applyProtection="0"/>
    <xf numFmtId="179" fontId="69" fillId="58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55" borderId="0" applyNumberFormat="0" applyBorder="0" applyAlignment="0" applyProtection="0"/>
    <xf numFmtId="179" fontId="69" fillId="54" borderId="0" applyNumberFormat="0" applyBorder="0" applyAlignment="0" applyProtection="0"/>
    <xf numFmtId="179" fontId="69" fillId="55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49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179" fontId="69" fillId="66" borderId="0" applyNumberFormat="0" applyBorder="0" applyAlignment="0" applyProtection="0"/>
    <xf numFmtId="0" fontId="69" fillId="64" borderId="0" applyNumberFormat="0" applyBorder="0" applyAlignment="0" applyProtection="0"/>
    <xf numFmtId="0" fontId="69" fillId="60" borderId="0" applyNumberFormat="0" applyBorder="0" applyAlignment="0" applyProtection="0"/>
    <xf numFmtId="0" fontId="69" fillId="61" borderId="0" applyNumberFormat="0" applyBorder="0" applyAlignment="0" applyProtection="0"/>
    <xf numFmtId="0" fontId="69" fillId="65" borderId="0" applyNumberFormat="0" applyBorder="0" applyAlignment="0" applyProtection="0"/>
    <xf numFmtId="0" fontId="69" fillId="63" borderId="0" applyNumberFormat="0" applyBorder="0" applyAlignment="0" applyProtection="0"/>
    <xf numFmtId="0" fontId="69" fillId="66" borderId="0" applyNumberFormat="0" applyBorder="0" applyAlignment="0" applyProtection="0"/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69" fillId="64" borderId="0" applyNumberFormat="0" applyBorder="0" applyAlignment="0" applyProtection="0"/>
    <xf numFmtId="0" fontId="69" fillId="64" borderId="0" applyNumberFormat="0" applyBorder="0" applyAlignment="0" applyProtection="0"/>
    <xf numFmtId="0" fontId="71" fillId="23" borderId="0" applyNumberFormat="0" applyBorder="0" applyAlignment="0" applyProtection="0"/>
    <xf numFmtId="0" fontId="69" fillId="64" borderId="0" applyNumberFormat="0" applyBorder="0" applyAlignment="0" applyProtection="0"/>
    <xf numFmtId="0" fontId="69" fillId="64" borderId="0" applyNumberFormat="0" applyBorder="0" applyAlignment="0" applyProtection="0"/>
    <xf numFmtId="0" fontId="71" fillId="23" borderId="0" applyNumberFormat="0" applyBorder="0" applyAlignment="0" applyProtection="0"/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69" fillId="64" borderId="0" applyNumberFormat="0" applyBorder="0" applyAlignment="0" applyProtection="0"/>
    <xf numFmtId="0" fontId="69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2" fillId="23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/>
    <xf numFmtId="0" fontId="72" fillId="23" borderId="0" applyNumberFormat="0" applyBorder="0" applyAlignment="0" applyProtection="0"/>
    <xf numFmtId="0" fontId="70" fillId="64" borderId="0" applyNumberFormat="0" applyBorder="0" applyAlignment="0" applyProtection="0"/>
    <xf numFmtId="0" fontId="69" fillId="64" borderId="0" applyNumberFormat="0" applyBorder="0" applyAlignment="0" applyProtection="0"/>
    <xf numFmtId="0" fontId="69" fillId="64" borderId="0" applyNumberFormat="0" applyBorder="0" applyAlignment="0" applyProtection="0"/>
    <xf numFmtId="0" fontId="71" fillId="23" borderId="0" applyNumberFormat="0" applyBorder="0" applyAlignment="0" applyProtection="0"/>
    <xf numFmtId="0" fontId="69" fillId="64" borderId="0" applyNumberFormat="0" applyBorder="0" applyAlignment="0" applyProtection="0"/>
    <xf numFmtId="0" fontId="69" fillId="64" borderId="0" applyNumberFormat="0" applyBorder="0" applyAlignment="0" applyProtection="0"/>
    <xf numFmtId="0" fontId="71" fillId="23" borderId="0" applyNumberFormat="0" applyBorder="0" applyAlignment="0" applyProtection="0"/>
    <xf numFmtId="0" fontId="69" fillId="64" borderId="0" applyNumberFormat="0" applyBorder="0" applyAlignment="0" applyProtection="0"/>
    <xf numFmtId="0" fontId="70" fillId="64" borderId="0" applyNumberFormat="0" applyBorder="0" applyAlignment="0" applyProtection="0">
      <alignment vertical="center"/>
    </xf>
    <xf numFmtId="0" fontId="71" fillId="23" borderId="0" applyNumberFormat="0" applyBorder="0" applyAlignment="0" applyProtection="0"/>
    <xf numFmtId="0" fontId="70" fillId="64" borderId="0" applyNumberFormat="0" applyBorder="0" applyAlignment="0" applyProtection="0"/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4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/>
    <xf numFmtId="0" fontId="69" fillId="60" borderId="0" applyNumberFormat="0" applyBorder="0" applyAlignment="0" applyProtection="0"/>
    <xf numFmtId="0" fontId="71" fillId="27" borderId="0" applyNumberFormat="0" applyBorder="0" applyAlignment="0" applyProtection="0"/>
    <xf numFmtId="0" fontId="69" fillId="60" borderId="0" applyNumberFormat="0" applyBorder="0" applyAlignment="0" applyProtection="0"/>
    <xf numFmtId="0" fontId="69" fillId="60" borderId="0" applyNumberFormat="0" applyBorder="0" applyAlignment="0" applyProtection="0"/>
    <xf numFmtId="0" fontId="71" fillId="27" borderId="0" applyNumberFormat="0" applyBorder="0" applyAlignment="0" applyProtection="0"/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/>
    <xf numFmtId="0" fontId="69" fillId="60" borderId="0" applyNumberFormat="0" applyBorder="0" applyAlignment="0" applyProtection="0"/>
    <xf numFmtId="0" fontId="70" fillId="60" borderId="0" applyNumberFormat="0" applyBorder="0" applyAlignment="0" applyProtection="0"/>
    <xf numFmtId="0" fontId="70" fillId="60" borderId="0" applyNumberFormat="0" applyBorder="0" applyAlignment="0" applyProtection="0"/>
    <xf numFmtId="0" fontId="72" fillId="27" borderId="0" applyNumberFormat="0" applyBorder="0" applyAlignment="0" applyProtection="0"/>
    <xf numFmtId="0" fontId="70" fillId="60" borderId="0" applyNumberFormat="0" applyBorder="0" applyAlignment="0" applyProtection="0"/>
    <xf numFmtId="0" fontId="70" fillId="60" borderId="0" applyNumberFormat="0" applyBorder="0" applyAlignment="0" applyProtection="0"/>
    <xf numFmtId="0" fontId="70" fillId="60" borderId="0" applyNumberFormat="0" applyBorder="0" applyAlignment="0" applyProtection="0"/>
    <xf numFmtId="0" fontId="72" fillId="27" borderId="0" applyNumberFormat="0" applyBorder="0" applyAlignment="0" applyProtection="0"/>
    <xf numFmtId="0" fontId="70" fillId="60" borderId="0" applyNumberFormat="0" applyBorder="0" applyAlignment="0" applyProtection="0"/>
    <xf numFmtId="0" fontId="69" fillId="60" borderId="0" applyNumberFormat="0" applyBorder="0" applyAlignment="0" applyProtection="0"/>
    <xf numFmtId="0" fontId="69" fillId="60" borderId="0" applyNumberFormat="0" applyBorder="0" applyAlignment="0" applyProtection="0"/>
    <xf numFmtId="0" fontId="71" fillId="27" borderId="0" applyNumberFormat="0" applyBorder="0" applyAlignment="0" applyProtection="0"/>
    <xf numFmtId="0" fontId="69" fillId="60" borderId="0" applyNumberFormat="0" applyBorder="0" applyAlignment="0" applyProtection="0"/>
    <xf numFmtId="0" fontId="69" fillId="60" borderId="0" applyNumberFormat="0" applyBorder="0" applyAlignment="0" applyProtection="0"/>
    <xf numFmtId="0" fontId="71" fillId="27" borderId="0" applyNumberFormat="0" applyBorder="0" applyAlignment="0" applyProtection="0"/>
    <xf numFmtId="0" fontId="69" fillId="60" borderId="0" applyNumberFormat="0" applyBorder="0" applyAlignment="0" applyProtection="0"/>
    <xf numFmtId="0" fontId="70" fillId="60" borderId="0" applyNumberFormat="0" applyBorder="0" applyAlignment="0" applyProtection="0">
      <alignment vertical="center"/>
    </xf>
    <xf numFmtId="0" fontId="71" fillId="27" borderId="0" applyNumberFormat="0" applyBorder="0" applyAlignment="0" applyProtection="0"/>
    <xf numFmtId="0" fontId="70" fillId="60" borderId="0" applyNumberFormat="0" applyBorder="0" applyAlignment="0" applyProtection="0"/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/>
    <xf numFmtId="0" fontId="69" fillId="61" borderId="0" applyNumberFormat="0" applyBorder="0" applyAlignment="0" applyProtection="0"/>
    <xf numFmtId="0" fontId="71" fillId="31" borderId="0" applyNumberFormat="0" applyBorder="0" applyAlignment="0" applyProtection="0"/>
    <xf numFmtId="0" fontId="69" fillId="61" borderId="0" applyNumberFormat="0" applyBorder="0" applyAlignment="0" applyProtection="0"/>
    <xf numFmtId="0" fontId="69" fillId="61" borderId="0" applyNumberFormat="0" applyBorder="0" applyAlignment="0" applyProtection="0"/>
    <xf numFmtId="0" fontId="71" fillId="31" borderId="0" applyNumberFormat="0" applyBorder="0" applyAlignment="0" applyProtection="0"/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/>
    <xf numFmtId="0" fontId="69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2" fillId="3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/>
    <xf numFmtId="0" fontId="72" fillId="31" borderId="0" applyNumberFormat="0" applyBorder="0" applyAlignment="0" applyProtection="0"/>
    <xf numFmtId="0" fontId="70" fillId="61" borderId="0" applyNumberFormat="0" applyBorder="0" applyAlignment="0" applyProtection="0"/>
    <xf numFmtId="0" fontId="69" fillId="61" borderId="0" applyNumberFormat="0" applyBorder="0" applyAlignment="0" applyProtection="0"/>
    <xf numFmtId="0" fontId="69" fillId="61" borderId="0" applyNumberFormat="0" applyBorder="0" applyAlignment="0" applyProtection="0"/>
    <xf numFmtId="0" fontId="71" fillId="31" borderId="0" applyNumberFormat="0" applyBorder="0" applyAlignment="0" applyProtection="0"/>
    <xf numFmtId="0" fontId="69" fillId="61" borderId="0" applyNumberFormat="0" applyBorder="0" applyAlignment="0" applyProtection="0"/>
    <xf numFmtId="0" fontId="69" fillId="61" borderId="0" applyNumberFormat="0" applyBorder="0" applyAlignment="0" applyProtection="0"/>
    <xf numFmtId="0" fontId="71" fillId="31" borderId="0" applyNumberFormat="0" applyBorder="0" applyAlignment="0" applyProtection="0"/>
    <xf numFmtId="0" fontId="69" fillId="61" borderId="0" applyNumberFormat="0" applyBorder="0" applyAlignment="0" applyProtection="0"/>
    <xf numFmtId="0" fontId="70" fillId="61" borderId="0" applyNumberFormat="0" applyBorder="0" applyAlignment="0" applyProtection="0">
      <alignment vertical="center"/>
    </xf>
    <xf numFmtId="0" fontId="71" fillId="31" borderId="0" applyNumberFormat="0" applyBorder="0" applyAlignment="0" applyProtection="0"/>
    <xf numFmtId="0" fontId="70" fillId="61" borderId="0" applyNumberFormat="0" applyBorder="0" applyAlignment="0" applyProtection="0"/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5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5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3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35" borderId="0" applyNumberFormat="0" applyBorder="0" applyAlignment="0" applyProtection="0"/>
    <xf numFmtId="0" fontId="70" fillId="65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5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1" fillId="3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9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9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2" fillId="39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2" fillId="39" borderId="0" applyNumberFormat="0" applyBorder="0" applyAlignment="0" applyProtection="0"/>
    <xf numFmtId="0" fontId="70" fillId="63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9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9" borderId="0" applyNumberFormat="0" applyBorder="0" applyAlignment="0" applyProtection="0"/>
    <xf numFmtId="0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1" fillId="39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71" fillId="43" borderId="0" applyNumberFormat="0" applyBorder="0" applyAlignment="0" applyProtection="0"/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71" fillId="43" borderId="0" applyNumberFormat="0" applyBorder="0" applyAlignment="0" applyProtection="0"/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2" fillId="43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/>
    <xf numFmtId="0" fontId="72" fillId="43" borderId="0" applyNumberFormat="0" applyBorder="0" applyAlignment="0" applyProtection="0"/>
    <xf numFmtId="0" fontId="70" fillId="66" borderId="0" applyNumberFormat="0" applyBorder="0" applyAlignment="0" applyProtection="0"/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71" fillId="43" borderId="0" applyNumberFormat="0" applyBorder="0" applyAlignment="0" applyProtection="0"/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71" fillId="43" borderId="0" applyNumberFormat="0" applyBorder="0" applyAlignment="0" applyProtection="0"/>
    <xf numFmtId="0" fontId="69" fillId="66" borderId="0" applyNumberFormat="0" applyBorder="0" applyAlignment="0" applyProtection="0"/>
    <xf numFmtId="0" fontId="70" fillId="66" borderId="0" applyNumberFormat="0" applyBorder="0" applyAlignment="0" applyProtection="0">
      <alignment vertical="center"/>
    </xf>
    <xf numFmtId="0" fontId="71" fillId="43" borderId="0" applyNumberFormat="0" applyBorder="0" applyAlignment="0" applyProtection="0"/>
    <xf numFmtId="0" fontId="70" fillId="66" borderId="0" applyNumberFormat="0" applyBorder="0" applyAlignment="0" applyProtection="0"/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4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179" fontId="14" fillId="0" borderId="0">
      <protection locked="0"/>
    </xf>
    <xf numFmtId="0" fontId="48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9" fontId="74" fillId="67" borderId="38">
      <alignment horizontal="center"/>
    </xf>
    <xf numFmtId="0" fontId="74" fillId="67" borderId="38">
      <alignment horizontal="center"/>
    </xf>
    <xf numFmtId="179" fontId="74" fillId="67" borderId="38">
      <alignment horizontal="center"/>
    </xf>
    <xf numFmtId="0" fontId="74" fillId="67" borderId="38">
      <alignment horizontal="center"/>
    </xf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42" fillId="7" borderId="0"/>
    <xf numFmtId="179" fontId="75" fillId="7" borderId="0">
      <alignment horizontal="center"/>
    </xf>
    <xf numFmtId="179" fontId="76" fillId="7" borderId="0">
      <alignment horizontal="left"/>
    </xf>
    <xf numFmtId="0" fontId="31" fillId="0" borderId="0"/>
    <xf numFmtId="3" fontId="42" fillId="68" borderId="0">
      <alignment horizontal="left"/>
    </xf>
    <xf numFmtId="179" fontId="69" fillId="69" borderId="0" applyNumberFormat="0" applyBorder="0" applyAlignment="0" applyProtection="0"/>
    <xf numFmtId="179" fontId="43" fillId="70" borderId="0" applyNumberFormat="0" applyBorder="0" applyAlignment="0" applyProtection="0"/>
    <xf numFmtId="179" fontId="43" fillId="70" borderId="0" applyNumberFormat="0" applyBorder="0" applyAlignment="0" applyProtection="0"/>
    <xf numFmtId="179" fontId="69" fillId="71" borderId="0" applyNumberFormat="0" applyBorder="0" applyAlignment="0" applyProtection="0"/>
    <xf numFmtId="0" fontId="69" fillId="69" borderId="0" applyNumberFormat="0" applyBorder="0" applyAlignment="0" applyProtection="0"/>
    <xf numFmtId="0" fontId="69" fillId="69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0" fontId="69" fillId="69" borderId="0" applyNumberFormat="0" applyBorder="0" applyAlignment="0" applyProtection="0"/>
    <xf numFmtId="179" fontId="69" fillId="63" borderId="0" applyNumberFormat="0" applyBorder="0" applyAlignment="0" applyProtection="0"/>
    <xf numFmtId="179" fontId="69" fillId="73" borderId="0" applyNumberFormat="0" applyBorder="0" applyAlignment="0" applyProtection="0"/>
    <xf numFmtId="179" fontId="43" fillId="74" borderId="0" applyNumberFormat="0" applyBorder="0" applyAlignment="0" applyProtection="0"/>
    <xf numFmtId="179" fontId="43" fillId="75" borderId="0" applyNumberFormat="0" applyBorder="0" applyAlignment="0" applyProtection="0"/>
    <xf numFmtId="179" fontId="69" fillId="76" borderId="0" applyNumberFormat="0" applyBorder="0" applyAlignment="0" applyProtection="0"/>
    <xf numFmtId="0" fontId="69" fillId="73" borderId="0" applyNumberFormat="0" applyBorder="0" applyAlignment="0" applyProtection="0"/>
    <xf numFmtId="0" fontId="69" fillId="73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179" fontId="69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179" fontId="69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179" fontId="69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179" fontId="69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0" fontId="69" fillId="73" borderId="0" applyNumberFormat="0" applyBorder="0" applyAlignment="0" applyProtection="0"/>
    <xf numFmtId="179" fontId="69" fillId="77" borderId="0" applyNumberFormat="0" applyBorder="0" applyAlignment="0" applyProtection="0"/>
    <xf numFmtId="179" fontId="69" fillId="76" borderId="0" applyNumberFormat="0" applyBorder="0" applyAlignment="0" applyProtection="0"/>
    <xf numFmtId="179" fontId="43" fillId="74" borderId="0" applyNumberFormat="0" applyBorder="0" applyAlignment="0" applyProtection="0"/>
    <xf numFmtId="179" fontId="43" fillId="78" borderId="0" applyNumberFormat="0" applyBorder="0" applyAlignment="0" applyProtection="0"/>
    <xf numFmtId="179" fontId="69" fillId="75" borderId="0" applyNumberFormat="0" applyBorder="0" applyAlignment="0" applyProtection="0"/>
    <xf numFmtId="0" fontId="69" fillId="76" borderId="0" applyNumberFormat="0" applyBorder="0" applyAlignment="0" applyProtection="0"/>
    <xf numFmtId="0" fontId="69" fillId="76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179" fontId="69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179" fontId="69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179" fontId="69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179" fontId="69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0" fontId="69" fillId="76" borderId="0" applyNumberFormat="0" applyBorder="0" applyAlignment="0" applyProtection="0"/>
    <xf numFmtId="179" fontId="69" fillId="79" borderId="0" applyNumberFormat="0" applyBorder="0" applyAlignment="0" applyProtection="0"/>
    <xf numFmtId="179" fontId="69" fillId="69" borderId="0" applyNumberFormat="0" applyBorder="0" applyAlignment="0" applyProtection="0"/>
    <xf numFmtId="179" fontId="43" fillId="70" borderId="0" applyNumberFormat="0" applyBorder="0" applyAlignment="0" applyProtection="0"/>
    <xf numFmtId="179" fontId="43" fillId="75" borderId="0" applyNumberFormat="0" applyBorder="0" applyAlignment="0" applyProtection="0"/>
    <xf numFmtId="179" fontId="69" fillId="75" borderId="0" applyNumberFormat="0" applyBorder="0" applyAlignment="0" applyProtection="0"/>
    <xf numFmtId="0" fontId="69" fillId="69" borderId="0" applyNumberFormat="0" applyBorder="0" applyAlignment="0" applyProtection="0"/>
    <xf numFmtId="0" fontId="69" fillId="69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179" fontId="69" fillId="80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179" fontId="69" fillId="80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179" fontId="69" fillId="80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179" fontId="69" fillId="80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179" fontId="69" fillId="80" borderId="0" applyNumberFormat="0" applyBorder="0" applyAlignment="0" applyProtection="0"/>
    <xf numFmtId="179" fontId="69" fillId="80" borderId="0" applyNumberFormat="0" applyBorder="0" applyAlignment="0" applyProtection="0"/>
    <xf numFmtId="179" fontId="69" fillId="80" borderId="0" applyNumberFormat="0" applyBorder="0" applyAlignment="0" applyProtection="0"/>
    <xf numFmtId="0" fontId="69" fillId="69" borderId="0" applyNumberFormat="0" applyBorder="0" applyAlignment="0" applyProtection="0"/>
    <xf numFmtId="179" fontId="69" fillId="80" borderId="0" applyNumberFormat="0" applyBorder="0" applyAlignment="0" applyProtection="0"/>
    <xf numFmtId="179" fontId="69" fillId="81" borderId="0" applyNumberFormat="0" applyBorder="0" applyAlignment="0" applyProtection="0"/>
    <xf numFmtId="179" fontId="43" fillId="82" borderId="0" applyNumberFormat="0" applyBorder="0" applyAlignment="0" applyProtection="0"/>
    <xf numFmtId="179" fontId="43" fillId="70" borderId="0" applyNumberFormat="0" applyBorder="0" applyAlignment="0" applyProtection="0"/>
    <xf numFmtId="179" fontId="69" fillId="71" borderId="0" applyNumberFormat="0" applyBorder="0" applyAlignment="0" applyProtection="0"/>
    <xf numFmtId="0" fontId="69" fillId="81" borderId="0" applyNumberFormat="0" applyBorder="0" applyAlignment="0" applyProtection="0"/>
    <xf numFmtId="0" fontId="69" fillId="81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0" fontId="69" fillId="81" borderId="0" applyNumberFormat="0" applyBorder="0" applyAlignment="0" applyProtection="0"/>
    <xf numFmtId="179" fontId="69" fillId="63" borderId="0" applyNumberFormat="0" applyBorder="0" applyAlignment="0" applyProtection="0"/>
    <xf numFmtId="179" fontId="69" fillId="83" borderId="0" applyNumberFormat="0" applyBorder="0" applyAlignment="0" applyProtection="0"/>
    <xf numFmtId="179" fontId="43" fillId="74" borderId="0" applyNumberFormat="0" applyBorder="0" applyAlignment="0" applyProtection="0"/>
    <xf numFmtId="179" fontId="43" fillId="84" borderId="0" applyNumberFormat="0" applyBorder="0" applyAlignment="0" applyProtection="0"/>
    <xf numFmtId="179" fontId="69" fillId="84" borderId="0" applyNumberFormat="0" applyBorder="0" applyAlignment="0" applyProtection="0"/>
    <xf numFmtId="0" fontId="69" fillId="83" borderId="0" applyNumberFormat="0" applyBorder="0" applyAlignment="0" applyProtection="0"/>
    <xf numFmtId="0" fontId="69" fillId="83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179" fontId="69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179" fontId="69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179" fontId="69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179" fontId="69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0" fontId="69" fillId="83" borderId="0" applyNumberFormat="0" applyBorder="0" applyAlignment="0" applyProtection="0"/>
    <xf numFmtId="179" fontId="69" fillId="85" borderId="0" applyNumberFormat="0" applyBorder="0" applyAlignment="0" applyProtection="0"/>
    <xf numFmtId="179" fontId="77" fillId="6" borderId="0" applyNumberFormat="0" applyBorder="0" applyAlignment="0" applyProtection="0"/>
    <xf numFmtId="179" fontId="9" fillId="0" borderId="0" applyNumberFormat="0" applyFont="0" applyFill="0" applyBorder="0" applyAlignment="0">
      <protection locked="0"/>
    </xf>
    <xf numFmtId="1" fontId="78" fillId="86" borderId="0">
      <alignment horizontal="left"/>
    </xf>
    <xf numFmtId="185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79" fontId="9" fillId="0" borderId="0"/>
    <xf numFmtId="3" fontId="79" fillId="87" borderId="39">
      <alignment horizontal="center"/>
    </xf>
    <xf numFmtId="3" fontId="79" fillId="87" borderId="39">
      <alignment horizontal="center"/>
    </xf>
    <xf numFmtId="3" fontId="80" fillId="88" borderId="38" applyNumberFormat="0">
      <alignment horizontal="center"/>
    </xf>
    <xf numFmtId="3" fontId="80" fillId="88" borderId="38" applyNumberFormat="0">
      <alignment horizontal="center"/>
    </xf>
    <xf numFmtId="179" fontId="81" fillId="0" borderId="0">
      <alignment horizontal="center" wrapText="1"/>
      <protection locked="0"/>
    </xf>
    <xf numFmtId="179" fontId="82" fillId="0" borderId="26">
      <protection hidden="1"/>
    </xf>
    <xf numFmtId="0" fontId="82" fillId="0" borderId="26">
      <protection hidden="1"/>
    </xf>
    <xf numFmtId="0" fontId="82" fillId="0" borderId="26">
      <protection hidden="1"/>
    </xf>
    <xf numFmtId="179" fontId="50" fillId="58" borderId="26" applyNumberFormat="0" applyFont="0" applyBorder="0" applyAlignment="0" applyProtection="0">
      <protection hidden="1"/>
    </xf>
    <xf numFmtId="0" fontId="50" fillId="58" borderId="26" applyNumberFormat="0" applyFont="0" applyBorder="0" applyAlignment="0" applyProtection="0">
      <protection hidden="1"/>
    </xf>
    <xf numFmtId="0" fontId="50" fillId="58" borderId="26" applyNumberFormat="0" applyFont="0" applyBorder="0" applyAlignment="0" applyProtection="0">
      <protection hidden="1"/>
    </xf>
    <xf numFmtId="187" fontId="10" fillId="0" borderId="0" applyFont="0" applyFill="0" applyBorder="0" applyAlignment="0" applyProtection="0"/>
    <xf numFmtId="170" fontId="83" fillId="0" borderId="0" applyFont="0" applyFill="0" applyBorder="0" applyAlignment="0" applyProtection="0"/>
    <xf numFmtId="176" fontId="10" fillId="0" borderId="0" applyFont="0" applyFill="0" applyBorder="0" applyAlignment="0" applyProtection="0"/>
    <xf numFmtId="171" fontId="83" fillId="0" borderId="0" applyFont="0" applyFill="0" applyBorder="0" applyAlignment="0" applyProtection="0"/>
    <xf numFmtId="188" fontId="9" fillId="0" borderId="0" applyFont="0" applyFill="0" applyAlignment="0" applyProtection="0"/>
    <xf numFmtId="179" fontId="84" fillId="89" borderId="27">
      <alignment horizontal="center"/>
    </xf>
    <xf numFmtId="0" fontId="85" fillId="0" borderId="0" applyFont="0" applyFill="0" applyBorder="0" applyAlignment="0" applyProtection="0"/>
    <xf numFmtId="2" fontId="86" fillId="90" borderId="0">
      <alignment vertical="center"/>
    </xf>
    <xf numFmtId="2" fontId="87" fillId="90" borderId="0">
      <alignment vertical="center"/>
    </xf>
    <xf numFmtId="179" fontId="9" fillId="91" borderId="40" applyBorder="0"/>
    <xf numFmtId="0" fontId="9" fillId="91" borderId="40" applyBorder="0"/>
    <xf numFmtId="0" fontId="9" fillId="91" borderId="40" applyBorder="0"/>
    <xf numFmtId="0" fontId="9" fillId="91" borderId="40" applyBorder="0"/>
    <xf numFmtId="0" fontId="9" fillId="91" borderId="40" applyBorder="0"/>
    <xf numFmtId="0" fontId="9" fillId="91" borderId="40" applyBorder="0"/>
    <xf numFmtId="0" fontId="9" fillId="91" borderId="40" applyBorder="0"/>
    <xf numFmtId="0" fontId="9" fillId="91" borderId="40" applyBorder="0"/>
    <xf numFmtId="179" fontId="88" fillId="92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0" fontId="88" fillId="92" borderId="0" applyNumberFormat="0" applyBorder="0" applyAlignment="0" applyProtection="0"/>
    <xf numFmtId="179" fontId="89" fillId="50" borderId="0" applyNumberFormat="0" applyBorder="0" applyAlignment="0" applyProtection="0"/>
    <xf numFmtId="3" fontId="90" fillId="91" borderId="0">
      <alignment horizontal="center" vertical="center" textRotation="180"/>
    </xf>
    <xf numFmtId="179" fontId="9" fillId="59" borderId="0" applyNumberFormat="0" applyBorder="0" applyAlignment="0">
      <protection locked="0"/>
    </xf>
    <xf numFmtId="179" fontId="61" fillId="0" borderId="0" applyFont="0" applyFill="0" applyBorder="0" applyAlignment="0" applyProtection="0">
      <alignment horizontal="right"/>
    </xf>
    <xf numFmtId="179" fontId="91" fillId="0" borderId="7" applyNumberFormat="0" applyFill="0" applyAlignment="0" applyProtection="0"/>
    <xf numFmtId="0" fontId="91" fillId="0" borderId="7" applyNumberFormat="0" applyFill="0" applyAlignment="0" applyProtection="0"/>
    <xf numFmtId="189" fontId="92" fillId="0" borderId="0">
      <alignment vertical="top"/>
    </xf>
    <xf numFmtId="190" fontId="9" fillId="0" borderId="2"/>
    <xf numFmtId="189" fontId="93" fillId="0" borderId="0">
      <alignment horizontal="left"/>
    </xf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5" borderId="0" applyNumberFormat="0" applyBorder="0" applyAlignment="0" applyProtection="0"/>
    <xf numFmtId="179" fontId="94" fillId="56" borderId="0" applyNumberFormat="0" applyBorder="0" applyAlignment="0" applyProtection="0"/>
    <xf numFmtId="179" fontId="94" fillId="55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3" fontId="77" fillId="7" borderId="0" applyNumberFormat="0" applyBorder="0" applyAlignment="0" applyProtection="0"/>
    <xf numFmtId="191" fontId="95" fillId="0" borderId="41" applyNumberFormat="0" applyFont="0" applyFill="0" applyAlignment="0" applyProtection="0">
      <alignment vertical="center"/>
    </xf>
    <xf numFmtId="0" fontId="94" fillId="52" borderId="0" applyNumberFormat="0" applyBorder="0" applyAlignment="0" applyProtection="0"/>
    <xf numFmtId="179" fontId="10" fillId="0" borderId="0" applyFont="0" applyFill="0" applyBorder="0" applyAlignment="0" applyProtection="0"/>
    <xf numFmtId="179" fontId="9" fillId="0" borderId="0"/>
    <xf numFmtId="0" fontId="10" fillId="0" borderId="0"/>
    <xf numFmtId="179" fontId="96" fillId="0" borderId="0"/>
    <xf numFmtId="192" fontId="97" fillId="89" borderId="0"/>
    <xf numFmtId="193" fontId="98" fillId="89" borderId="0"/>
    <xf numFmtId="3" fontId="99" fillId="93" borderId="0"/>
    <xf numFmtId="194" fontId="9" fillId="7" borderId="6">
      <alignment vertical="center"/>
    </xf>
    <xf numFmtId="179" fontId="100" fillId="94" borderId="37" applyNumberFormat="0" applyAlignment="0" applyProtection="0"/>
    <xf numFmtId="0" fontId="100" fillId="94" borderId="37" applyNumberFormat="0" applyAlignment="0" applyProtection="0"/>
    <xf numFmtId="0" fontId="100" fillId="94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179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1" fillId="47" borderId="37" applyNumberFormat="0" applyAlignment="0" applyProtection="0"/>
    <xf numFmtId="0" fontId="100" fillId="94" borderId="37" applyNumberFormat="0" applyAlignment="0" applyProtection="0"/>
    <xf numFmtId="0" fontId="100" fillId="94" borderId="37" applyNumberFormat="0" applyAlignment="0" applyProtection="0"/>
    <xf numFmtId="0" fontId="100" fillId="94" borderId="37" applyNumberFormat="0" applyAlignment="0" applyProtection="0"/>
    <xf numFmtId="0" fontId="100" fillId="94" borderId="37" applyNumberFormat="0" applyAlignment="0" applyProtection="0"/>
    <xf numFmtId="179" fontId="101" fillId="47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1" fillId="58" borderId="37" applyNumberFormat="0" applyAlignment="0" applyProtection="0"/>
    <xf numFmtId="179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179" fontId="102" fillId="0" borderId="0"/>
    <xf numFmtId="179" fontId="12" fillId="0" borderId="0"/>
    <xf numFmtId="0" fontId="103" fillId="95" borderId="42" applyNumberFormat="0" applyAlignment="0" applyProtection="0"/>
    <xf numFmtId="0" fontId="104" fillId="0" borderId="43" applyNumberFormat="0" applyFill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3" fillId="95" borderId="42" applyNumberFormat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03" fillId="76" borderId="42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179" fontId="103" fillId="95" borderId="44" applyNumberFormat="0" applyAlignment="0" applyProtection="0"/>
    <xf numFmtId="0" fontId="103" fillId="76" borderId="42" applyNumberFormat="0" applyAlignment="0" applyProtection="0"/>
    <xf numFmtId="179" fontId="103" fillId="95" borderId="44" applyNumberFormat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79" fontId="16" fillId="0" borderId="0" applyNumberFormat="0" applyFill="0" applyBorder="0" applyProtection="0">
      <alignment horizontal="center" wrapText="1"/>
    </xf>
    <xf numFmtId="167" fontId="106" fillId="93" borderId="0">
      <protection locked="0"/>
    </xf>
    <xf numFmtId="167" fontId="107" fillId="0" borderId="45" applyBorder="0">
      <protection locked="0"/>
    </xf>
    <xf numFmtId="4" fontId="77" fillId="96" borderId="46" applyNumberFormat="0" applyProtection="0">
      <alignment horizontal="right" wrapText="1"/>
    </xf>
    <xf numFmtId="0" fontId="79" fillId="0" borderId="6">
      <alignment horizontal="left" wrapText="1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0" fontId="9" fillId="0" borderId="0" applyFont="0" applyFill="0" applyBorder="0" applyAlignment="0" applyProtection="0"/>
    <xf numFmtId="195" fontId="9" fillId="0" borderId="0" applyFont="0" applyFill="0" applyAlignment="0" applyProtection="0"/>
    <xf numFmtId="179" fontId="108" fillId="0" borderId="0" applyFont="0" applyFill="0" applyBorder="0" applyAlignment="0" applyProtection="0">
      <alignment horizontal="right"/>
    </xf>
    <xf numFmtId="179" fontId="108" fillId="0" borderId="0" applyFont="0" applyFill="0" applyBorder="0" applyAlignment="0" applyProtection="0">
      <alignment horizontal="right"/>
    </xf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48" fillId="0" borderId="0"/>
    <xf numFmtId="0" fontId="9" fillId="0" borderId="0" applyFont="0" applyFill="0" applyBorder="0" applyAlignment="0" applyProtection="0"/>
    <xf numFmtId="3" fontId="109" fillId="0" borderId="0" applyFont="0" applyFill="0" applyBorder="0" applyAlignment="0" applyProtection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9" fillId="0" borderId="0"/>
    <xf numFmtId="179" fontId="13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9" fillId="0" borderId="0"/>
    <xf numFmtId="179" fontId="14" fillId="0" borderId="0"/>
    <xf numFmtId="197" fontId="110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13" fillId="0" borderId="0"/>
    <xf numFmtId="179" fontId="9" fillId="0" borderId="0"/>
    <xf numFmtId="179" fontId="13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14" fillId="0" borderId="0"/>
    <xf numFmtId="179" fontId="9" fillId="0" borderId="0"/>
    <xf numFmtId="179" fontId="14" fillId="0" borderId="0"/>
    <xf numFmtId="179" fontId="111" fillId="0" borderId="26" applyBorder="0" applyProtection="0"/>
    <xf numFmtId="0" fontId="111" fillId="0" borderId="26" applyBorder="0" applyProtection="0"/>
    <xf numFmtId="0" fontId="111" fillId="0" borderId="26" applyBorder="0" applyProtection="0"/>
    <xf numFmtId="37" fontId="33" fillId="0" borderId="0" applyBorder="0" applyAlignment="0">
      <alignment horizontal="center"/>
    </xf>
    <xf numFmtId="192" fontId="97" fillId="93" borderId="0">
      <alignment horizontal="right"/>
    </xf>
    <xf numFmtId="192" fontId="112" fillId="97" borderId="0">
      <alignment horizontal="left"/>
    </xf>
    <xf numFmtId="185" fontId="16" fillId="0" borderId="0" applyFont="0" applyFill="0" applyBorder="0" applyAlignment="0" applyProtection="0"/>
    <xf numFmtId="0" fontId="9" fillId="0" borderId="0" applyFont="0" applyFill="0" applyBorder="0" applyAlignment="0" applyProtection="0"/>
    <xf numFmtId="198" fontId="113" fillId="0" borderId="0" applyBorder="0"/>
    <xf numFmtId="179" fontId="108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199" fontId="109" fillId="0" borderId="0" applyFont="0" applyFill="0" applyBorder="0" applyAlignment="0" applyProtection="0"/>
    <xf numFmtId="0" fontId="48" fillId="0" borderId="0"/>
    <xf numFmtId="17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79" fontId="10" fillId="0" borderId="0" applyFont="0" applyFill="0" applyBorder="0" applyAlignment="0" applyProtection="0"/>
    <xf numFmtId="17" fontId="9" fillId="0" borderId="7" applyFont="0" applyFill="0" applyBorder="0" applyAlignment="0" applyProtection="0">
      <alignment horizontal="center"/>
    </xf>
    <xf numFmtId="17" fontId="9" fillId="0" borderId="7" applyFont="0" applyFill="0" applyBorder="0" applyAlignment="0" applyProtection="0">
      <alignment horizontal="center"/>
    </xf>
    <xf numFmtId="17" fontId="9" fillId="0" borderId="7" applyFont="0" applyFill="0" applyBorder="0" applyAlignment="0" applyProtection="0">
      <alignment horizontal="center"/>
    </xf>
    <xf numFmtId="179" fontId="109" fillId="0" borderId="0" applyFont="0" applyFill="0" applyBorder="0" applyAlignment="0" applyProtection="0"/>
    <xf numFmtId="179" fontId="108" fillId="0" borderId="0" applyFont="0" applyFill="0" applyBorder="0" applyAlignment="0" applyProtection="0"/>
    <xf numFmtId="179" fontId="114" fillId="6" borderId="0" applyNumberFormat="0" applyBorder="0" applyAlignment="0" applyProtection="0"/>
    <xf numFmtId="201" fontId="9" fillId="0" borderId="0" applyFont="0" applyFill="0" applyBorder="0" applyAlignment="0" applyProtection="0"/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9" fillId="0" borderId="0"/>
    <xf numFmtId="3" fontId="115" fillId="98" borderId="38">
      <alignment horizontal="center"/>
    </xf>
    <xf numFmtId="3" fontId="115" fillId="98" borderId="38">
      <alignment horizontal="center"/>
    </xf>
    <xf numFmtId="202" fontId="48" fillId="0" borderId="0"/>
    <xf numFmtId="179" fontId="108" fillId="0" borderId="47" applyNumberFormat="0" applyFont="0" applyFill="0" applyAlignment="0" applyProtection="0"/>
    <xf numFmtId="179" fontId="116" fillId="99" borderId="0" applyNumberFormat="0" applyBorder="0" applyAlignment="0" applyProtection="0"/>
    <xf numFmtId="179" fontId="116" fillId="100" borderId="0" applyNumberFormat="0" applyBorder="0" applyAlignment="0" applyProtection="0"/>
    <xf numFmtId="179" fontId="116" fillId="101" borderId="0" applyNumberFormat="0" applyBorder="0" applyAlignment="0" applyProtection="0"/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19" fillId="0" borderId="0">
      <protection locked="0"/>
    </xf>
    <xf numFmtId="179" fontId="9" fillId="0" borderId="0">
      <protection locked="0"/>
    </xf>
    <xf numFmtId="179" fontId="19" fillId="0" borderId="0">
      <protection locked="0"/>
    </xf>
    <xf numFmtId="0" fontId="117" fillId="0" borderId="0" applyNumberFormat="0" applyFill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63" borderId="0" applyNumberFormat="0" applyBorder="0" applyAlignment="0" applyProtection="0"/>
    <xf numFmtId="179" fontId="69" fillId="51" borderId="0" applyNumberFormat="0" applyBorder="0" applyAlignment="0" applyProtection="0"/>
    <xf numFmtId="179" fontId="69" fillId="63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2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7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79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80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5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63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179" fontId="69" fillId="85" borderId="0" applyNumberFormat="0" applyBorder="0" applyAlignment="0" applyProtection="0"/>
    <xf numFmtId="0" fontId="69" fillId="72" borderId="0" applyNumberFormat="0" applyBorder="0" applyAlignment="0" applyProtection="0"/>
    <xf numFmtId="0" fontId="69" fillId="77" borderId="0" applyNumberFormat="0" applyBorder="0" applyAlignment="0" applyProtection="0"/>
    <xf numFmtId="0" fontId="69" fillId="79" borderId="0" applyNumberFormat="0" applyBorder="0" applyAlignment="0" applyProtection="0"/>
    <xf numFmtId="0" fontId="69" fillId="65" borderId="0" applyNumberFormat="0" applyBorder="0" applyAlignment="0" applyProtection="0"/>
    <xf numFmtId="0" fontId="69" fillId="63" borderId="0" applyNumberFormat="0" applyBorder="0" applyAlignment="0" applyProtection="0"/>
    <xf numFmtId="0" fontId="69" fillId="85" borderId="0" applyNumberFormat="0" applyBorder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9" fontId="56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9" fontId="9" fillId="0" borderId="0"/>
    <xf numFmtId="0" fontId="55" fillId="0" borderId="0"/>
    <xf numFmtId="0" fontId="55" fillId="0" borderId="0"/>
    <xf numFmtId="0" fontId="46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55" fillId="0" borderId="0"/>
    <xf numFmtId="0" fontId="55" fillId="0" borderId="0"/>
    <xf numFmtId="0" fontId="55" fillId="0" borderId="0"/>
    <xf numFmtId="179" fontId="10" fillId="0" borderId="0"/>
    <xf numFmtId="179" fontId="10" fillId="0" borderId="0"/>
    <xf numFmtId="179" fontId="10" fillId="0" borderId="0"/>
    <xf numFmtId="179" fontId="10" fillId="0" borderId="0"/>
    <xf numFmtId="179" fontId="10" fillId="0" borderId="0"/>
    <xf numFmtId="179" fontId="9" fillId="0" borderId="0"/>
    <xf numFmtId="179" fontId="31" fillId="0" borderId="0"/>
    <xf numFmtId="179" fontId="10" fillId="0" borderId="0"/>
    <xf numFmtId="179" fontId="9" fillId="0" borderId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3" fontId="9" fillId="0" borderId="0" applyFont="0" applyFill="0" applyAlignment="0" applyProtection="0"/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3" fontId="9" fillId="0" borderId="0" applyFont="0" applyFill="0" applyBorder="0" applyAlignment="0" applyProtection="0"/>
    <xf numFmtId="2" fontId="109" fillId="0" borderId="0" applyFont="0" applyFill="0" applyBorder="0" applyAlignment="0" applyProtection="0"/>
    <xf numFmtId="204" fontId="17" fillId="0" borderId="0">
      <protection locked="0"/>
    </xf>
    <xf numFmtId="179" fontId="120" fillId="0" borderId="0" applyNumberFormat="0" applyFill="0" applyBorder="0" applyAlignment="0" applyProtection="0">
      <alignment vertical="top"/>
      <protection locked="0"/>
    </xf>
    <xf numFmtId="179" fontId="121" fillId="0" borderId="0" applyNumberFormat="0" applyFill="0" applyAlignment="0" applyProtection="0"/>
    <xf numFmtId="192" fontId="122" fillId="102" borderId="0"/>
    <xf numFmtId="193" fontId="122" fillId="102" borderId="0"/>
    <xf numFmtId="192" fontId="99" fillId="103" borderId="0">
      <alignment horizontal="right"/>
    </xf>
    <xf numFmtId="179" fontId="94" fillId="78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179" fontId="94" fillId="52" borderId="0" applyNumberFormat="0" applyBorder="0" applyAlignment="0" applyProtection="0"/>
    <xf numFmtId="0" fontId="94" fillId="78" borderId="0" applyNumberFormat="0" applyBorder="0" applyAlignment="0" applyProtection="0"/>
    <xf numFmtId="179" fontId="94" fillId="52" borderId="0" applyNumberFormat="0" applyBorder="0" applyAlignment="0" applyProtection="0"/>
    <xf numFmtId="187" fontId="79" fillId="0" borderId="0"/>
    <xf numFmtId="179" fontId="108" fillId="0" borderId="0" applyFont="0" applyFill="0" applyBorder="0" applyAlignment="0" applyProtection="0">
      <alignment horizontal="right"/>
    </xf>
    <xf numFmtId="179" fontId="79" fillId="91" borderId="48">
      <alignment vertical="top" wrapText="1"/>
    </xf>
    <xf numFmtId="179" fontId="79" fillId="91" borderId="48">
      <alignment vertical="top" wrapText="1"/>
    </xf>
    <xf numFmtId="179" fontId="79" fillId="91" borderId="48">
      <alignment vertical="top" wrapText="1"/>
    </xf>
    <xf numFmtId="179" fontId="79" fillId="91" borderId="48">
      <alignment vertical="top" wrapText="1"/>
    </xf>
    <xf numFmtId="179" fontId="79" fillId="91" borderId="48">
      <alignment vertical="top" wrapText="1"/>
    </xf>
    <xf numFmtId="205" fontId="123" fillId="0" borderId="0" applyNumberFormat="0" applyFill="0" applyBorder="0" applyProtection="0">
      <alignment horizontal="right"/>
    </xf>
    <xf numFmtId="179" fontId="79" fillId="91" borderId="48">
      <alignment vertical="top" wrapText="1"/>
    </xf>
    <xf numFmtId="179" fontId="21" fillId="0" borderId="12" applyNumberFormat="0" applyAlignment="0" applyProtection="0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0" fontId="21" fillId="0" borderId="49">
      <alignment horizontal="left" vertical="center"/>
    </xf>
    <xf numFmtId="179" fontId="21" fillId="0" borderId="49">
      <alignment horizontal="left" vertical="center"/>
    </xf>
    <xf numFmtId="4" fontId="124" fillId="7" borderId="0" applyNumberFormat="0" applyFill="0" applyBorder="0" applyAlignment="0" applyProtection="0"/>
    <xf numFmtId="179" fontId="16" fillId="0" borderId="0" applyNumberFormat="0" applyFont="0" applyFill="0" applyBorder="0" applyProtection="0">
      <alignment horizontal="center" vertical="top" wrapText="1"/>
    </xf>
    <xf numFmtId="179" fontId="125" fillId="0" borderId="50" applyNumberFormat="0" applyFill="0" applyAlignment="0" applyProtection="0"/>
    <xf numFmtId="0" fontId="125" fillId="0" borderId="50" applyNumberFormat="0" applyFill="0" applyAlignment="0" applyProtection="0"/>
    <xf numFmtId="0" fontId="125" fillId="0" borderId="51" applyNumberFormat="0" applyFill="0" applyAlignment="0" applyProtection="0"/>
    <xf numFmtId="0" fontId="126" fillId="0" borderId="52" applyNumberFormat="0" applyFill="0" applyAlignment="0" applyProtection="0">
      <alignment vertical="center"/>
    </xf>
    <xf numFmtId="179" fontId="127" fillId="0" borderId="53" applyNumberFormat="0" applyFill="0" applyAlignment="0" applyProtection="0"/>
    <xf numFmtId="0" fontId="127" fillId="0" borderId="53" applyNumberFormat="0" applyFill="0" applyAlignment="0" applyProtection="0"/>
    <xf numFmtId="0" fontId="127" fillId="0" borderId="53" applyNumberFormat="0" applyFill="0" applyAlignment="0" applyProtection="0"/>
    <xf numFmtId="0" fontId="128" fillId="0" borderId="53" applyNumberFormat="0" applyFill="0" applyAlignment="0" applyProtection="0">
      <alignment vertical="center"/>
    </xf>
    <xf numFmtId="179" fontId="129" fillId="0" borderId="54" applyNumberFormat="0" applyFill="0" applyAlignment="0" applyProtection="0"/>
    <xf numFmtId="0" fontId="129" fillId="0" borderId="54" applyNumberFormat="0" applyFill="0" applyAlignment="0" applyProtection="0"/>
    <xf numFmtId="0" fontId="129" fillId="0" borderId="55" applyNumberFormat="0" applyFill="0" applyAlignment="0" applyProtection="0"/>
    <xf numFmtId="0" fontId="130" fillId="0" borderId="56" applyNumberFormat="0" applyFill="0" applyAlignment="0" applyProtection="0">
      <alignment vertical="center"/>
    </xf>
    <xf numFmtId="179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179" fontId="131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" fontId="132" fillId="102" borderId="7">
      <alignment horizontal="center"/>
    </xf>
    <xf numFmtId="179" fontId="79" fillId="0" borderId="0">
      <protection hidden="1"/>
    </xf>
    <xf numFmtId="179" fontId="79" fillId="0" borderId="0">
      <protection hidden="1"/>
    </xf>
    <xf numFmtId="179" fontId="79" fillId="0" borderId="0">
      <protection hidden="1"/>
    </xf>
    <xf numFmtId="179" fontId="79" fillId="0" borderId="0">
      <protection hidden="1"/>
    </xf>
    <xf numFmtId="179" fontId="79" fillId="0" borderId="0">
      <protection hidden="1"/>
    </xf>
    <xf numFmtId="1" fontId="132" fillId="102" borderId="7">
      <alignment horizontal="center"/>
    </xf>
    <xf numFmtId="179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179" fontId="133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179" fontId="133" fillId="0" borderId="0" applyNumberFormat="0" applyFill="0" applyBorder="0" applyAlignment="0" applyProtection="0">
      <alignment vertical="top"/>
      <protection locked="0"/>
    </xf>
    <xf numFmtId="192" fontId="97" fillId="88" borderId="0"/>
    <xf numFmtId="0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89" fillId="50" borderId="0" applyNumberFormat="0" applyBorder="0" applyAlignment="0" applyProtection="0"/>
    <xf numFmtId="179" fontId="22" fillId="0" borderId="0"/>
    <xf numFmtId="4" fontId="9" fillId="104" borderId="0"/>
    <xf numFmtId="179" fontId="9" fillId="0" borderId="0" applyNumberFormat="0" applyFill="0" applyAlignment="0" applyProtection="0"/>
    <xf numFmtId="192" fontId="136" fillId="105" borderId="0"/>
    <xf numFmtId="193" fontId="136" fillId="105" borderId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10" fontId="16" fillId="8" borderId="6" applyNumberFormat="0" applyBorder="0" applyAlignment="0" applyProtection="0"/>
    <xf numFmtId="3" fontId="137" fillId="7" borderId="0">
      <alignment horizontal="right"/>
      <protection locked="0"/>
    </xf>
    <xf numFmtId="192" fontId="136" fillId="105" borderId="0"/>
    <xf numFmtId="192" fontId="136" fillId="105" borderId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179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179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179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179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179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0" fontId="118" fillId="84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79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192" fontId="136" fillId="105" borderId="0"/>
    <xf numFmtId="167" fontId="139" fillId="0" borderId="26">
      <alignment vertical="center"/>
    </xf>
    <xf numFmtId="197" fontId="140" fillId="106" borderId="0"/>
    <xf numFmtId="167" fontId="141" fillId="8" borderId="26" applyBorder="0"/>
    <xf numFmtId="167" fontId="47" fillId="0" borderId="57">
      <protection locked="0"/>
    </xf>
    <xf numFmtId="167" fontId="141" fillId="8" borderId="26" applyBorder="0"/>
    <xf numFmtId="0" fontId="142" fillId="84" borderId="37" applyNumberFormat="0" applyAlignment="0" applyProtection="0"/>
    <xf numFmtId="179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0" fontId="9" fillId="0" borderId="58" applyNumberFormat="0">
      <alignment horizontal="left" wrapText="1"/>
      <protection locked="0"/>
    </xf>
    <xf numFmtId="194" fontId="9" fillId="105" borderId="58"/>
    <xf numFmtId="179" fontId="143" fillId="0" borderId="0"/>
    <xf numFmtId="0" fontId="50" fillId="0" borderId="0"/>
    <xf numFmtId="38" fontId="144" fillId="0" borderId="0"/>
    <xf numFmtId="38" fontId="145" fillId="0" borderId="0"/>
    <xf numFmtId="38" fontId="146" fillId="0" borderId="0"/>
    <xf numFmtId="38" fontId="147" fillId="0" borderId="0"/>
    <xf numFmtId="179" fontId="148" fillId="0" borderId="0"/>
    <xf numFmtId="179" fontId="148" fillId="0" borderId="0"/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49" fontId="16" fillId="0" borderId="58">
      <alignment horizontal="left" vertical="center" wrapText="1"/>
      <protection locked="0"/>
    </xf>
    <xf numFmtId="206" fontId="98" fillId="7" borderId="0" applyFont="0"/>
    <xf numFmtId="179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179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179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179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179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0" fontId="9" fillId="8" borderId="58" applyNumberFormat="0" applyProtection="0">
      <alignment vertical="center" wrapText="1"/>
    </xf>
    <xf numFmtId="179" fontId="149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179" fontId="104" fillId="0" borderId="43" applyNumberFormat="0" applyFill="0" applyAlignment="0" applyProtection="0"/>
    <xf numFmtId="0" fontId="149" fillId="0" borderId="43" applyNumberFormat="0" applyFill="0" applyAlignment="0" applyProtection="0"/>
    <xf numFmtId="179" fontId="104" fillId="0" borderId="43" applyNumberFormat="0" applyFill="0" applyAlignment="0" applyProtection="0"/>
    <xf numFmtId="197" fontId="9" fillId="107" borderId="0"/>
    <xf numFmtId="179" fontId="9" fillId="108" borderId="0" applyNumberFormat="0" applyFont="0" applyAlignment="0"/>
    <xf numFmtId="179" fontId="9" fillId="109" borderId="59" applyNumberFormat="0" applyFont="0" applyAlignment="0"/>
    <xf numFmtId="9" fontId="77" fillId="7" borderId="0" applyNumberFormat="0" applyFont="0" applyBorder="0" applyAlignment="0">
      <protection locked="0"/>
    </xf>
    <xf numFmtId="179" fontId="150" fillId="0" borderId="26">
      <alignment horizontal="left"/>
      <protection locked="0"/>
    </xf>
    <xf numFmtId="0" fontId="150" fillId="0" borderId="26">
      <alignment horizontal="left"/>
      <protection locked="0"/>
    </xf>
    <xf numFmtId="0" fontId="150" fillId="0" borderId="26">
      <alignment horizontal="left"/>
      <protection locked="0"/>
    </xf>
    <xf numFmtId="187" fontId="42" fillId="0" borderId="0" applyFont="0" applyFill="0" applyBorder="0" applyAlignment="0" applyProtection="0"/>
    <xf numFmtId="41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9" fontId="151" fillId="0" borderId="0" applyBorder="0"/>
    <xf numFmtId="191" fontId="36" fillId="0" borderId="0" applyFont="0" applyFill="0" applyBorder="0" applyAlignment="0" applyProtection="0"/>
    <xf numFmtId="179" fontId="9" fillId="0" borderId="6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43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207" fontId="43" fillId="0" borderId="0" applyFill="0" applyBorder="0" applyAlignment="0" applyProtection="0"/>
    <xf numFmtId="44" fontId="7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3" fontId="152" fillId="46" borderId="7">
      <alignment horizontal="center"/>
    </xf>
    <xf numFmtId="179" fontId="31" fillId="0" borderId="0" applyNumberFormat="0">
      <alignment horizontal="left"/>
    </xf>
    <xf numFmtId="179" fontId="108" fillId="0" borderId="0" applyFont="0" applyFill="0" applyBorder="0" applyAlignment="0" applyProtection="0">
      <alignment horizontal="right"/>
    </xf>
    <xf numFmtId="179" fontId="25" fillId="0" borderId="0">
      <alignment horizontal="right"/>
    </xf>
    <xf numFmtId="208" fontId="9" fillId="0" borderId="61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110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179" fontId="153" fillId="57" borderId="0" applyNumberFormat="0" applyBorder="0" applyAlignment="0" applyProtection="0"/>
    <xf numFmtId="0" fontId="153" fillId="110" borderId="0" applyNumberFormat="0" applyBorder="0" applyAlignment="0" applyProtection="0"/>
    <xf numFmtId="179" fontId="153" fillId="57" borderId="0" applyNumberFormat="0" applyBorder="0" applyAlignment="0" applyProtection="0"/>
    <xf numFmtId="179" fontId="23" fillId="0" borderId="13" applyNumberFormat="0" applyAlignment="0"/>
    <xf numFmtId="37" fontId="26" fillId="0" borderId="0"/>
    <xf numFmtId="37" fontId="26" fillId="0" borderId="0"/>
    <xf numFmtId="37" fontId="26" fillId="0" borderId="0"/>
    <xf numFmtId="37" fontId="26" fillId="0" borderId="0"/>
    <xf numFmtId="37" fontId="26" fillId="0" borderId="0"/>
    <xf numFmtId="37" fontId="9" fillId="0" borderId="0"/>
    <xf numFmtId="37" fontId="26" fillId="0" borderId="0"/>
    <xf numFmtId="179" fontId="9" fillId="0" borderId="62">
      <alignment horizontal="center"/>
    </xf>
    <xf numFmtId="179" fontId="9" fillId="0" borderId="62">
      <alignment horizontal="center"/>
    </xf>
    <xf numFmtId="179" fontId="9" fillId="0" borderId="62">
      <alignment horizontal="center"/>
    </xf>
    <xf numFmtId="179" fontId="9" fillId="0" borderId="62">
      <alignment horizontal="center"/>
    </xf>
    <xf numFmtId="179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9" fillId="7" borderId="58" applyNumberFormat="0" applyAlignment="0"/>
    <xf numFmtId="0" fontId="22" fillId="0" borderId="0"/>
    <xf numFmtId="174" fontId="27" fillId="0" borderId="0"/>
    <xf numFmtId="174" fontId="27" fillId="0" borderId="0"/>
    <xf numFmtId="174" fontId="27" fillId="0" borderId="0"/>
    <xf numFmtId="174" fontId="27" fillId="0" borderId="0"/>
    <xf numFmtId="174" fontId="27" fillId="0" borderId="0"/>
    <xf numFmtId="209" fontId="27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0" fontId="154" fillId="0" borderId="0"/>
    <xf numFmtId="1" fontId="155" fillId="0" borderId="0" applyFill="0" applyBorder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0" fontId="9" fillId="0" borderId="0"/>
    <xf numFmtId="0" fontId="1" fillId="0" borderId="0"/>
    <xf numFmtId="0" fontId="43" fillId="0" borderId="0"/>
    <xf numFmtId="179" fontId="9" fillId="0" borderId="0"/>
    <xf numFmtId="0" fontId="1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0" fontId="42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0" fontId="1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0" fontId="1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9" fillId="0" borderId="0"/>
    <xf numFmtId="0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9" fillId="0" borderId="0"/>
    <xf numFmtId="179" fontId="43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9" fillId="0" borderId="0"/>
    <xf numFmtId="179" fontId="9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56" fillId="0" borderId="0"/>
    <xf numFmtId="179" fontId="1" fillId="0" borderId="0"/>
    <xf numFmtId="0" fontId="156" fillId="0" borderId="0"/>
    <xf numFmtId="0" fontId="9" fillId="0" borderId="0"/>
    <xf numFmtId="0" fontId="48" fillId="0" borderId="0">
      <alignment vertical="center"/>
    </xf>
    <xf numFmtId="179" fontId="157" fillId="0" borderId="0"/>
    <xf numFmtId="179" fontId="43" fillId="0" borderId="0"/>
    <xf numFmtId="179" fontId="157" fillId="0" borderId="0"/>
    <xf numFmtId="179" fontId="43" fillId="0" borderId="0"/>
    <xf numFmtId="179" fontId="157" fillId="0" borderId="0"/>
    <xf numFmtId="179" fontId="43" fillId="0" borderId="0"/>
    <xf numFmtId="179" fontId="43" fillId="0" borderId="0"/>
    <xf numFmtId="179" fontId="157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157" fillId="0" borderId="0"/>
    <xf numFmtId="179" fontId="157" fillId="0" borderId="0"/>
    <xf numFmtId="179" fontId="157" fillId="0" borderId="0"/>
    <xf numFmtId="0" fontId="1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43" fillId="0" borderId="0"/>
    <xf numFmtId="179" fontId="9" fillId="0" borderId="0"/>
    <xf numFmtId="179" fontId="9" fillId="0" borderId="0"/>
    <xf numFmtId="0" fontId="7" fillId="0" borderId="0"/>
    <xf numFmtId="17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43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0" fontId="9" fillId="0" borderId="0"/>
    <xf numFmtId="0" fontId="158" fillId="0" borderId="0">
      <alignment vertical="center"/>
    </xf>
    <xf numFmtId="0" fontId="64" fillId="0" borderId="0">
      <alignment vertical="center"/>
    </xf>
    <xf numFmtId="0" fontId="43" fillId="0" borderId="0"/>
    <xf numFmtId="0" fontId="1" fillId="0" borderId="0"/>
    <xf numFmtId="179" fontId="9" fillId="0" borderId="0"/>
    <xf numFmtId="179" fontId="9" fillId="0" borderId="0"/>
    <xf numFmtId="179" fontId="9" fillId="0" borderId="0" applyNumberFormat="0" applyFill="0" applyBorder="0" applyAlignment="0" applyProtection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179" fontId="9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9" fillId="0" borderId="0"/>
    <xf numFmtId="179" fontId="1" fillId="0" borderId="0"/>
    <xf numFmtId="179" fontId="1" fillId="0" borderId="0"/>
    <xf numFmtId="179" fontId="9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" fillId="0" borderId="0"/>
    <xf numFmtId="179" fontId="1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9" fillId="0" borderId="0"/>
    <xf numFmtId="179" fontId="9" fillId="0" borderId="0"/>
    <xf numFmtId="179" fontId="9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9" fillId="0" borderId="0"/>
    <xf numFmtId="179" fontId="9" fillId="0" borderId="0">
      <alignment vertical="top"/>
    </xf>
    <xf numFmtId="179" fontId="9" fillId="0" borderId="0">
      <alignment vertical="top"/>
    </xf>
    <xf numFmtId="179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0" fontId="43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9" fontId="43" fillId="0" borderId="0"/>
    <xf numFmtId="179" fontId="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9" fontId="1" fillId="0" borderId="0"/>
    <xf numFmtId="179" fontId="43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179" fontId="31" fillId="0" borderId="0"/>
    <xf numFmtId="0" fontId="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43" fillId="0" borderId="0"/>
    <xf numFmtId="179" fontId="9" fillId="0" borderId="0"/>
    <xf numFmtId="179" fontId="9" fillId="0" borderId="0"/>
    <xf numFmtId="179" fontId="1" fillId="0" borderId="0"/>
    <xf numFmtId="179" fontId="9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9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0" fontId="1" fillId="0" borderId="0"/>
    <xf numFmtId="179" fontId="9" fillId="0" borderId="0"/>
    <xf numFmtId="179" fontId="31" fillId="0" borderId="0"/>
    <xf numFmtId="179" fontId="31" fillId="0" borderId="0"/>
    <xf numFmtId="179" fontId="31" fillId="0" borderId="0"/>
    <xf numFmtId="179" fontId="9" fillId="0" borderId="0"/>
    <xf numFmtId="179" fontId="31" fillId="0" borderId="0"/>
    <xf numFmtId="0" fontId="1" fillId="0" borderId="0"/>
    <xf numFmtId="0" fontId="9" fillId="0" borderId="0"/>
    <xf numFmtId="0" fontId="1" fillId="0" borderId="0"/>
    <xf numFmtId="0" fontId="63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31" fillId="0" borderId="0"/>
    <xf numFmtId="179" fontId="31" fillId="0" borderId="0"/>
    <xf numFmtId="179" fontId="31" fillId="0" borderId="0"/>
    <xf numFmtId="179" fontId="31" fillId="0" borderId="0"/>
    <xf numFmtId="179" fontId="9" fillId="0" borderId="0"/>
    <xf numFmtId="179" fontId="31" fillId="0" borderId="0"/>
    <xf numFmtId="0" fontId="1" fillId="0" borderId="0"/>
    <xf numFmtId="0" fontId="43" fillId="0" borderId="0"/>
    <xf numFmtId="0" fontId="6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179" fontId="9" fillId="0" borderId="0"/>
    <xf numFmtId="179" fontId="9" fillId="0" borderId="0"/>
    <xf numFmtId="179" fontId="43" fillId="0" borderId="0"/>
    <xf numFmtId="179" fontId="9" fillId="0" borderId="0"/>
    <xf numFmtId="179" fontId="9" fillId="0" borderId="0"/>
    <xf numFmtId="179" fontId="9" fillId="0" borderId="0"/>
    <xf numFmtId="0" fontId="15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43" fillId="0" borderId="0"/>
    <xf numFmtId="179" fontId="43" fillId="0" borderId="0"/>
    <xf numFmtId="179" fontId="9" fillId="0" borderId="0"/>
    <xf numFmtId="0" fontId="42" fillId="0" borderId="0"/>
    <xf numFmtId="179" fontId="1" fillId="0" borderId="0"/>
    <xf numFmtId="179" fontId="9" fillId="0" borderId="0"/>
    <xf numFmtId="179" fontId="9" fillId="0" borderId="0"/>
    <xf numFmtId="0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0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/>
    <xf numFmtId="179" fontId="9" fillId="0" borderId="0"/>
    <xf numFmtId="179" fontId="9" fillId="0" borderId="0">
      <alignment vertical="top"/>
    </xf>
    <xf numFmtId="179" fontId="9" fillId="0" borderId="0"/>
    <xf numFmtId="179" fontId="9" fillId="0" borderId="0"/>
    <xf numFmtId="0" fontId="1" fillId="0" borderId="0"/>
    <xf numFmtId="0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9" fillId="0" borderId="0">
      <alignment vertical="top"/>
    </xf>
    <xf numFmtId="179" fontId="9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43" fillId="0" borderId="0"/>
    <xf numFmtId="0" fontId="1" fillId="0" borderId="0"/>
    <xf numFmtId="179" fontId="1" fillId="0" borderId="0"/>
    <xf numFmtId="179" fontId="9" fillId="0" borderId="0"/>
    <xf numFmtId="179" fontId="9" fillId="0" borderId="0"/>
    <xf numFmtId="179" fontId="9" fillId="0" borderId="0"/>
    <xf numFmtId="179" fontId="43" fillId="0" borderId="0"/>
    <xf numFmtId="179" fontId="43" fillId="0" borderId="0"/>
    <xf numFmtId="179" fontId="43" fillId="0" borderId="0"/>
    <xf numFmtId="179" fontId="1" fillId="0" borderId="0"/>
    <xf numFmtId="179" fontId="43" fillId="0" borderId="0"/>
    <xf numFmtId="179" fontId="1" fillId="0" borderId="0"/>
    <xf numFmtId="179" fontId="1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189" fontId="81" fillId="0" borderId="58">
      <alignment horizontal="center"/>
    </xf>
    <xf numFmtId="0" fontId="9" fillId="0" borderId="0" applyBorder="0"/>
    <xf numFmtId="210" fontId="106" fillId="0" borderId="0" applyNumberFormat="0" applyFill="0" applyBorder="0" applyAlignment="0">
      <alignment vertical="center"/>
      <protection locked="0"/>
    </xf>
    <xf numFmtId="0" fontId="9" fillId="0" borderId="0"/>
    <xf numFmtId="179" fontId="160" fillId="0" borderId="0"/>
    <xf numFmtId="179" fontId="9" fillId="111" borderId="58" applyNumberFormat="0" applyFont="0" applyBorder="0" applyAlignment="0" applyProtection="0"/>
    <xf numFmtId="179" fontId="9" fillId="111" borderId="58" applyNumberFormat="0" applyFont="0" applyBorder="0" applyAlignment="0" applyProtection="0"/>
    <xf numFmtId="179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179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0" fontId="9" fillId="111" borderId="58" applyNumberFormat="0" applyFont="0" applyBorder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9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9" fillId="57" borderId="63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161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9" fillId="57" borderId="63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179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43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179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0" fontId="9" fillId="51" borderId="27" applyNumberFormat="0" applyFont="0" applyAlignment="0" applyProtection="0"/>
    <xf numFmtId="179" fontId="9" fillId="74" borderId="27" applyNumberFormat="0" applyFont="0" applyAlignment="0" applyProtection="0"/>
    <xf numFmtId="179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0" fontId="9" fillId="74" borderId="27" applyNumberFormat="0" applyFont="0" applyAlignment="0" applyProtection="0"/>
    <xf numFmtId="3" fontId="32" fillId="0" borderId="0"/>
    <xf numFmtId="179" fontId="29" fillId="0" borderId="0" applyNumberFormat="0" applyAlignment="0">
      <alignment vertical="top"/>
    </xf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NumberFormat="0" applyFill="0" applyAlignment="0" applyProtection="0"/>
    <xf numFmtId="179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179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179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179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179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0" fontId="162" fillId="94" borderId="64" applyNumberFormat="0" applyAlignment="0" applyProtection="0"/>
    <xf numFmtId="179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179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116" fillId="47" borderId="65" applyNumberFormat="0" applyAlignment="0" applyProtection="0"/>
    <xf numFmtId="0" fontId="9" fillId="0" borderId="0" applyNumberFormat="0" applyFill="0" applyAlignment="0" applyProtection="0"/>
    <xf numFmtId="167" fontId="163" fillId="0" borderId="57" applyBorder="0">
      <protection locked="0"/>
    </xf>
    <xf numFmtId="179" fontId="116" fillId="47" borderId="65" applyNumberFormat="0" applyAlignment="0" applyProtection="0"/>
    <xf numFmtId="3" fontId="98" fillId="6" borderId="0" applyAlignment="0"/>
    <xf numFmtId="1" fontId="164" fillId="0" borderId="0" applyProtection="0">
      <alignment horizontal="right" vertical="center"/>
    </xf>
    <xf numFmtId="211" fontId="79" fillId="0" borderId="0" applyFont="0">
      <alignment horizontal="centerContinuous"/>
    </xf>
    <xf numFmtId="212" fontId="9" fillId="0" borderId="0" applyFont="0" applyFill="0" applyBorder="0" applyAlignment="0" applyProtection="0"/>
    <xf numFmtId="213" fontId="81" fillId="0" borderId="0">
      <alignment horizontal="center" wrapText="1"/>
      <protection locked="0"/>
    </xf>
    <xf numFmtId="214" fontId="9" fillId="0" borderId="0" applyFont="0" applyFill="0" applyBorder="0" applyAlignment="0" applyProtection="0"/>
    <xf numFmtId="214" fontId="14" fillId="0" borderId="0" applyFont="0" applyFill="0" applyBorder="0" applyAlignment="0" applyProtection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79" fontId="16" fillId="0" borderId="0"/>
    <xf numFmtId="10" fontId="14" fillId="0" borderId="0" applyFont="0" applyFill="0" applyBorder="0" applyAlignment="0" applyProtection="0"/>
    <xf numFmtId="179" fontId="30" fillId="0" borderId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59" fillId="0" borderId="0" applyFont="0" applyFill="0" applyBorder="0" applyAlignment="0" applyProtection="0"/>
    <xf numFmtId="9" fontId="9" fillId="0" borderId="0" applyFont="0" applyFill="0" applyBorder="0" applyAlignment="0" applyProtection="0"/>
    <xf numFmtId="215" fontId="17" fillId="0" borderId="0">
      <protection locked="0"/>
    </xf>
    <xf numFmtId="216" fontId="17" fillId="0" borderId="0">
      <protection locked="0"/>
    </xf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64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17" fillId="0" borderId="0">
      <protection locked="0"/>
    </xf>
    <xf numFmtId="179" fontId="9" fillId="0" borderId="0">
      <protection locked="0"/>
    </xf>
    <xf numFmtId="179" fontId="17" fillId="0" borderId="0">
      <protection locked="0"/>
    </xf>
    <xf numFmtId="214" fontId="32" fillId="0" borderId="0" applyBorder="0" applyAlignment="0" applyProtection="0">
      <protection locked="0"/>
    </xf>
    <xf numFmtId="175" fontId="32" fillId="6" borderId="58">
      <alignment vertical="center"/>
    </xf>
    <xf numFmtId="179" fontId="31" fillId="0" borderId="0" applyNumberFormat="0" applyFont="0" applyFill="0" applyBorder="0" applyAlignment="0" applyProtection="0">
      <alignment horizontal="left"/>
    </xf>
    <xf numFmtId="179" fontId="33" fillId="0" borderId="9">
      <alignment horizontal="center"/>
    </xf>
    <xf numFmtId="179" fontId="31" fillId="9" borderId="0" applyNumberFormat="0" applyFont="0" applyBorder="0" applyAlignment="0" applyProtection="0"/>
    <xf numFmtId="0" fontId="168" fillId="0" borderId="0" applyFont="0" applyFill="0" applyBorder="0" applyAlignment="0" applyProtection="0"/>
    <xf numFmtId="179" fontId="169" fillId="0" borderId="26" applyNumberFormat="0" applyFill="0" applyBorder="0" applyAlignment="0" applyProtection="0">
      <protection hidden="1"/>
    </xf>
    <xf numFmtId="0" fontId="169" fillId="0" borderId="26" applyNumberFormat="0" applyFill="0" applyBorder="0" applyAlignment="0" applyProtection="0">
      <protection hidden="1"/>
    </xf>
    <xf numFmtId="0" fontId="169" fillId="0" borderId="26" applyNumberFormat="0" applyFill="0" applyBorder="0" applyAlignment="0" applyProtection="0">
      <protection hidden="1"/>
    </xf>
    <xf numFmtId="49" fontId="32" fillId="0" borderId="0">
      <alignment horizontal="right"/>
    </xf>
    <xf numFmtId="38" fontId="34" fillId="0" borderId="0"/>
    <xf numFmtId="38" fontId="34" fillId="0" borderId="0"/>
    <xf numFmtId="38" fontId="34" fillId="0" borderId="0"/>
    <xf numFmtId="38" fontId="34" fillId="0" borderId="0"/>
    <xf numFmtId="38" fontId="34" fillId="0" borderId="0"/>
    <xf numFmtId="38" fontId="9" fillId="0" borderId="0"/>
    <xf numFmtId="38" fontId="34" fillId="0" borderId="0"/>
    <xf numFmtId="3" fontId="21" fillId="87" borderId="39">
      <alignment horizontal="center"/>
    </xf>
    <xf numFmtId="3" fontId="21" fillId="87" borderId="39">
      <alignment horizontal="center"/>
    </xf>
    <xf numFmtId="3" fontId="21" fillId="87" borderId="39">
      <alignment horizontal="center"/>
    </xf>
    <xf numFmtId="3" fontId="21" fillId="87" borderId="39">
      <alignment horizontal="center"/>
    </xf>
    <xf numFmtId="3" fontId="21" fillId="87" borderId="39">
      <alignment horizontal="center"/>
    </xf>
    <xf numFmtId="3" fontId="21" fillId="87" borderId="39">
      <alignment horizontal="center"/>
    </xf>
    <xf numFmtId="3" fontId="77" fillId="96" borderId="46" applyNumberFormat="0" applyFill="0" applyBorder="0" applyProtection="0">
      <alignment horizontal="left"/>
    </xf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179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42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170" fillId="89" borderId="64" applyNumberFormat="0" applyProtection="0">
      <alignment vertical="center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4" fontId="42" fillId="89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02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3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14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03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5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6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7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8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42" fillId="119" borderId="64" applyNumberFormat="0" applyProtection="0">
      <alignment horizontal="right" vertical="center"/>
    </xf>
    <xf numFmtId="4" fontId="68" fillId="120" borderId="64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0" borderId="64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68" fillId="121" borderId="66" applyNumberFormat="0" applyProtection="0">
      <alignment horizontal="left" vertical="center" indent="1"/>
    </xf>
    <xf numFmtId="4" fontId="42" fillId="122" borderId="67" applyNumberFormat="0" applyProtection="0">
      <alignment horizontal="left" vertical="center" indent="1"/>
    </xf>
    <xf numFmtId="4" fontId="42" fillId="122" borderId="67" applyNumberFormat="0" applyProtection="0">
      <alignment horizontal="left" vertical="center" indent="1"/>
    </xf>
    <xf numFmtId="4" fontId="42" fillId="122" borderId="67" applyNumberFormat="0" applyProtection="0">
      <alignment horizontal="left" vertical="center" indent="1"/>
    </xf>
    <xf numFmtId="4" fontId="80" fillId="44" borderId="0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122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4" fontId="42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179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0" fontId="9" fillId="91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179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0" fontId="9" fillId="9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179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0" fontId="9" fillId="7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47" borderId="6" applyNumberFormat="0">
      <protection locked="0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42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170" fillId="8" borderId="64" applyNumberFormat="0" applyProtection="0">
      <alignment vertical="center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8" borderId="64" applyNumberFormat="0" applyProtection="0">
      <alignment horizontal="left" vertical="center" indent="1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42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4" fontId="170" fillId="122" borderId="64" applyNumberFormat="0" applyProtection="0">
      <alignment horizontal="right" vertical="center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0" fontId="9" fillId="112" borderId="64" applyNumberFormat="0" applyProtection="0">
      <alignment horizontal="left" vertical="center" indent="1"/>
    </xf>
    <xf numFmtId="179" fontId="171" fillId="0" borderId="0"/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4" fontId="54" fillId="122" borderId="64" applyNumberFormat="0" applyProtection="0">
      <alignment horizontal="right" vertical="center"/>
    </xf>
    <xf numFmtId="197" fontId="172" fillId="0" borderId="0">
      <alignment horizontal="left"/>
    </xf>
    <xf numFmtId="179" fontId="35" fillId="10" borderId="0"/>
    <xf numFmtId="49" fontId="173" fillId="10" borderId="0"/>
    <xf numFmtId="49" fontId="174" fillId="10" borderId="14"/>
    <xf numFmtId="49" fontId="174" fillId="10" borderId="14"/>
    <xf numFmtId="49" fontId="174" fillId="10" borderId="14"/>
    <xf numFmtId="49" fontId="174" fillId="10" borderId="0"/>
    <xf numFmtId="0" fontId="35" fillId="6" borderId="14">
      <protection locked="0"/>
    </xf>
    <xf numFmtId="0" fontId="35" fillId="6" borderId="14">
      <protection locked="0"/>
    </xf>
    <xf numFmtId="179" fontId="35" fillId="6" borderId="14">
      <protection locked="0"/>
    </xf>
    <xf numFmtId="179" fontId="35" fillId="10" borderId="0"/>
    <xf numFmtId="179" fontId="175" fillId="93" borderId="0"/>
    <xf numFmtId="179" fontId="175" fillId="119" borderId="0"/>
    <xf numFmtId="179" fontId="175" fillId="103" borderId="0"/>
    <xf numFmtId="38" fontId="31" fillId="0" borderId="0" applyFont="0" applyFill="0" applyBorder="0" applyAlignment="0" applyProtection="0"/>
    <xf numFmtId="218" fontId="9" fillId="0" borderId="0">
      <protection locked="0"/>
    </xf>
    <xf numFmtId="218" fontId="9" fillId="0" borderId="0">
      <protection locked="0"/>
    </xf>
    <xf numFmtId="218" fontId="9" fillId="0" borderId="0">
      <protection locked="0"/>
    </xf>
    <xf numFmtId="218" fontId="9" fillId="0" borderId="0">
      <protection locked="0"/>
    </xf>
    <xf numFmtId="41" fontId="6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48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9" fontId="176" fillId="91" borderId="0" applyAlignment="0"/>
    <xf numFmtId="179" fontId="177" fillId="0" borderId="0" applyNumberFormat="0" applyFill="0" applyBorder="0" applyAlignment="0" applyProtection="0"/>
    <xf numFmtId="0" fontId="31" fillId="0" borderId="0" applyFont="0" applyProtection="0"/>
    <xf numFmtId="3" fontId="16" fillId="0" borderId="0"/>
    <xf numFmtId="197" fontId="178" fillId="0" borderId="0">
      <alignment horizontal="left"/>
    </xf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3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4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77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10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9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2" fontId="9" fillId="7" borderId="15" applyFont="0" applyFill="0" applyBorder="0" applyAlignment="0" applyProtection="0"/>
    <xf numFmtId="3" fontId="76" fillId="123" borderId="0">
      <alignment horizontal="left"/>
    </xf>
    <xf numFmtId="0" fontId="9" fillId="0" borderId="0"/>
    <xf numFmtId="0" fontId="14" fillId="0" borderId="0"/>
    <xf numFmtId="179" fontId="9" fillId="0" borderId="0"/>
    <xf numFmtId="179" fontId="179" fillId="0" borderId="26"/>
    <xf numFmtId="0" fontId="179" fillId="0" borderId="26"/>
    <xf numFmtId="0" fontId="179" fillId="0" borderId="26"/>
    <xf numFmtId="3" fontId="62" fillId="123" borderId="0">
      <alignment horizontal="left"/>
    </xf>
    <xf numFmtId="219" fontId="9" fillId="0" borderId="0"/>
    <xf numFmtId="219" fontId="9" fillId="0" borderId="0"/>
    <xf numFmtId="219" fontId="9" fillId="0" borderId="0"/>
    <xf numFmtId="219" fontId="9" fillId="0" borderId="0"/>
    <xf numFmtId="3" fontId="62" fillId="123" borderId="0">
      <alignment horizontal="left"/>
    </xf>
    <xf numFmtId="219" fontId="9" fillId="0" borderId="0"/>
    <xf numFmtId="3" fontId="62" fillId="123" borderId="0">
      <alignment horizontal="left"/>
    </xf>
    <xf numFmtId="219" fontId="9" fillId="0" borderId="0"/>
    <xf numFmtId="0" fontId="180" fillId="0" borderId="0" applyBorder="0" applyProtection="0">
      <alignment vertical="center"/>
    </xf>
    <xf numFmtId="220" fontId="180" fillId="0" borderId="7" applyBorder="0" applyProtection="0">
      <alignment horizontal="right" vertical="center"/>
    </xf>
    <xf numFmtId="0" fontId="181" fillId="67" borderId="0" applyBorder="0" applyProtection="0">
      <alignment horizontal="centerContinuous" vertical="center"/>
    </xf>
    <xf numFmtId="0" fontId="181" fillId="90" borderId="7" applyBorder="0" applyProtection="0">
      <alignment horizontal="centerContinuous" vertical="center"/>
    </xf>
    <xf numFmtId="179" fontId="182" fillId="0" borderId="0" applyNumberFormat="0"/>
    <xf numFmtId="0" fontId="183" fillId="0" borderId="0" applyFill="0" applyBorder="0" applyProtection="0">
      <alignment horizontal="left"/>
    </xf>
    <xf numFmtId="0" fontId="184" fillId="0" borderId="57" applyFill="0" applyBorder="0" applyProtection="0">
      <alignment horizontal="left" vertical="top"/>
    </xf>
    <xf numFmtId="179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0" fontId="79" fillId="8" borderId="6" applyNumberFormat="0" applyAlignment="0">
      <alignment horizontal="center"/>
    </xf>
    <xf numFmtId="179" fontId="9" fillId="0" borderId="0"/>
    <xf numFmtId="194" fontId="9" fillId="88" borderId="6">
      <alignment vertical="center"/>
    </xf>
    <xf numFmtId="194" fontId="9" fillId="7" borderId="6">
      <alignment vertical="center"/>
    </xf>
    <xf numFmtId="194" fontId="9" fillId="115" borderId="6">
      <alignment vertical="center"/>
    </xf>
    <xf numFmtId="194" fontId="185" fillId="117" borderId="6">
      <alignment horizontal="right" vertical="center"/>
    </xf>
    <xf numFmtId="194" fontId="185" fillId="124" borderId="6">
      <alignment horizontal="right" vertical="center"/>
    </xf>
    <xf numFmtId="194" fontId="185" fillId="117" borderId="6"/>
    <xf numFmtId="194" fontId="9" fillId="105" borderId="6">
      <alignment horizontal="right"/>
    </xf>
    <xf numFmtId="194" fontId="9" fillId="86" borderId="6">
      <alignment vertical="center"/>
    </xf>
    <xf numFmtId="194" fontId="9" fillId="125" borderId="6">
      <alignment horizontal="right" vertical="center"/>
    </xf>
    <xf numFmtId="194" fontId="9" fillId="67" borderId="6">
      <alignment horizontal="right"/>
    </xf>
    <xf numFmtId="191" fontId="186" fillId="126" borderId="68" applyBorder="0">
      <alignment vertical="center"/>
    </xf>
    <xf numFmtId="191" fontId="187" fillId="126" borderId="19">
      <alignment horizontal="right" vertical="center"/>
    </xf>
    <xf numFmtId="191" fontId="188" fillId="127" borderId="0">
      <alignment horizontal="left" vertical="center" indent="8"/>
    </xf>
    <xf numFmtId="191" fontId="188" fillId="128" borderId="0">
      <alignment horizontal="left" vertical="center" indent="8"/>
    </xf>
    <xf numFmtId="191" fontId="189" fillId="127" borderId="0">
      <alignment horizontal="left" vertical="center" indent="11"/>
    </xf>
    <xf numFmtId="191" fontId="190" fillId="126" borderId="69">
      <alignment horizontal="left" vertical="center" indent="4"/>
    </xf>
    <xf numFmtId="191" fontId="191" fillId="126" borderId="70" applyBorder="0">
      <alignment vertical="center"/>
    </xf>
    <xf numFmtId="191" fontId="190" fillId="128" borderId="69">
      <alignment horizontal="left" vertical="center" indent="4"/>
    </xf>
    <xf numFmtId="191" fontId="187" fillId="128" borderId="71">
      <alignment horizontal="left" vertical="center" indent="6"/>
    </xf>
    <xf numFmtId="191" fontId="187" fillId="127" borderId="0">
      <alignment horizontal="left" vertical="center" indent="6"/>
    </xf>
    <xf numFmtId="191" fontId="192" fillId="127" borderId="71">
      <alignment horizontal="left" vertical="center" indent="4"/>
    </xf>
    <xf numFmtId="191" fontId="193" fillId="128" borderId="69">
      <alignment horizontal="left" vertical="center" indent="2"/>
    </xf>
    <xf numFmtId="191" fontId="194" fillId="128" borderId="18">
      <alignment horizontal="right" vertical="center"/>
    </xf>
    <xf numFmtId="191" fontId="193" fillId="84" borderId="69">
      <alignment horizontal="left" vertical="center" indent="2"/>
    </xf>
    <xf numFmtId="191" fontId="195" fillId="128" borderId="72">
      <alignment horizontal="left" vertical="center" indent="2"/>
    </xf>
    <xf numFmtId="191" fontId="186" fillId="128" borderId="71">
      <alignment horizontal="left" vertical="center" indent="4"/>
    </xf>
    <xf numFmtId="191" fontId="186" fillId="127" borderId="71">
      <alignment horizontal="left" vertical="center" indent="4"/>
    </xf>
    <xf numFmtId="191" fontId="193" fillId="129" borderId="69">
      <alignment horizontal="left" vertical="center" indent="2"/>
    </xf>
    <xf numFmtId="191" fontId="196" fillId="130" borderId="69">
      <alignment vertical="center"/>
    </xf>
    <xf numFmtId="191" fontId="197" fillId="130" borderId="73" applyBorder="0">
      <alignment vertical="center"/>
    </xf>
    <xf numFmtId="191" fontId="198" fillId="109" borderId="74">
      <alignment vertical="center"/>
    </xf>
    <xf numFmtId="191" fontId="199" fillId="129" borderId="71">
      <alignment horizontal="left" vertical="center" indent="2"/>
    </xf>
    <xf numFmtId="191" fontId="199" fillId="84" borderId="75">
      <alignment horizontal="left" vertical="center" indent="2"/>
    </xf>
    <xf numFmtId="191" fontId="198" fillId="131" borderId="74">
      <alignment vertical="center"/>
    </xf>
    <xf numFmtId="191" fontId="200" fillId="132" borderId="72">
      <alignment vertical="center"/>
    </xf>
    <xf numFmtId="191" fontId="188" fillId="127" borderId="0">
      <alignment horizontal="right" vertical="center"/>
    </xf>
    <xf numFmtId="191" fontId="188" fillId="128" borderId="0">
      <alignment horizontal="right" vertical="center"/>
    </xf>
    <xf numFmtId="191" fontId="188" fillId="127" borderId="76">
      <alignment horizontal="right" vertical="center"/>
    </xf>
    <xf numFmtId="191" fontId="201" fillId="127" borderId="0">
      <alignment horizontal="right" vertical="center"/>
    </xf>
    <xf numFmtId="191" fontId="201" fillId="128" borderId="0">
      <alignment horizontal="right" vertical="center"/>
    </xf>
    <xf numFmtId="191" fontId="187" fillId="128" borderId="0">
      <alignment horizontal="right" vertical="center"/>
    </xf>
    <xf numFmtId="191" fontId="187" fillId="127" borderId="0">
      <alignment horizontal="right" vertical="center"/>
    </xf>
    <xf numFmtId="191" fontId="192" fillId="127" borderId="0">
      <alignment horizontal="right" vertical="center"/>
    </xf>
    <xf numFmtId="191" fontId="190" fillId="129" borderId="0">
      <alignment horizontal="right" vertical="center"/>
    </xf>
    <xf numFmtId="191" fontId="190" fillId="84" borderId="0">
      <alignment horizontal="right" vertical="center"/>
    </xf>
    <xf numFmtId="191" fontId="186" fillId="127" borderId="0">
      <alignment horizontal="right" vertical="center"/>
    </xf>
    <xf numFmtId="191" fontId="186" fillId="128" borderId="0">
      <alignment horizontal="right" vertical="center"/>
    </xf>
    <xf numFmtId="191" fontId="198" fillId="131" borderId="0">
      <alignment horizontal="right" vertical="center"/>
    </xf>
    <xf numFmtId="191" fontId="198" fillId="109" borderId="0">
      <alignment horizontal="right" vertical="center"/>
    </xf>
    <xf numFmtId="191" fontId="199" fillId="129" borderId="0">
      <alignment horizontal="right" vertical="center"/>
    </xf>
    <xf numFmtId="191" fontId="199" fillId="84" borderId="0">
      <alignment horizontal="right" vertical="center"/>
    </xf>
    <xf numFmtId="191" fontId="198" fillId="132" borderId="77">
      <alignment horizontal="right" vertical="center"/>
    </xf>
    <xf numFmtId="191" fontId="201" fillId="128" borderId="45">
      <alignment horizontal="right" vertical="center"/>
    </xf>
    <xf numFmtId="191" fontId="187" fillId="128" borderId="57">
      <alignment horizontal="right" vertical="center"/>
    </xf>
    <xf numFmtId="191" fontId="201" fillId="84" borderId="57">
      <alignment horizontal="right" vertical="center"/>
    </xf>
    <xf numFmtId="191" fontId="186" fillId="84" borderId="57">
      <alignment horizontal="right" vertical="center"/>
    </xf>
    <xf numFmtId="0" fontId="202" fillId="133" borderId="0">
      <alignment horizontal="left" vertical="center"/>
    </xf>
    <xf numFmtId="221" fontId="9" fillId="0" borderId="0" applyFont="0" applyFill="0" applyBorder="0" applyProtection="0">
      <alignment horizontal="right" vertical="center"/>
    </xf>
    <xf numFmtId="191" fontId="191" fillId="128" borderId="78">
      <alignment horizontal="right" vertical="center"/>
    </xf>
    <xf numFmtId="191" fontId="188" fillId="128" borderId="70">
      <alignment horizontal="right" vertical="center"/>
    </xf>
    <xf numFmtId="191" fontId="191" fillId="84" borderId="70">
      <alignment horizontal="right" vertical="center"/>
    </xf>
    <xf numFmtId="191" fontId="187" fillId="84" borderId="70">
      <alignment horizontal="right" vertical="center"/>
    </xf>
    <xf numFmtId="0" fontId="203" fillId="128" borderId="79">
      <alignment horizontal="center" vertical="center"/>
    </xf>
    <xf numFmtId="0" fontId="204" fillId="84" borderId="79" applyFont="0">
      <alignment horizontal="center" vertical="center" wrapText="1"/>
    </xf>
    <xf numFmtId="0" fontId="205" fillId="84" borderId="79">
      <alignment horizontal="center" vertical="center"/>
    </xf>
    <xf numFmtId="0" fontId="206" fillId="133" borderId="0">
      <alignment horizontal="left" vertical="center"/>
    </xf>
    <xf numFmtId="0" fontId="193" fillId="84" borderId="80" applyBorder="0">
      <alignment horizontal="center" vertical="center"/>
    </xf>
    <xf numFmtId="0" fontId="207" fillId="133" borderId="0">
      <alignment horizontal="center" vertical="center"/>
    </xf>
    <xf numFmtId="194" fontId="185" fillId="134" borderId="10">
      <alignment horizontal="center" vertical="center"/>
    </xf>
    <xf numFmtId="0" fontId="208" fillId="0" borderId="0" applyFont="0" applyAlignment="0">
      <alignment horizontal="center" vertical="center"/>
    </xf>
    <xf numFmtId="0" fontId="209" fillId="135" borderId="6">
      <alignment horizontal="center" vertical="center"/>
    </xf>
    <xf numFmtId="0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179" fontId="119" fillId="0" borderId="0" applyNumberFormat="0" applyFill="0" applyBorder="0" applyAlignment="0" applyProtection="0"/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179" fontId="176" fillId="136" borderId="0"/>
    <xf numFmtId="179" fontId="176" fillId="136" borderId="0"/>
    <xf numFmtId="179" fontId="176" fillId="136" borderId="0"/>
    <xf numFmtId="179" fontId="176" fillId="136" borderId="0"/>
    <xf numFmtId="179" fontId="176" fillId="136" borderId="0"/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1" fillId="6" borderId="10">
      <alignment horizontal="left" indent="1"/>
    </xf>
    <xf numFmtId="3" fontId="212" fillId="0" borderId="0"/>
    <xf numFmtId="179" fontId="176" fillId="136" borderId="0"/>
    <xf numFmtId="167" fontId="213" fillId="0" borderId="0" applyNumberFormat="0">
      <alignment vertical="center"/>
    </xf>
    <xf numFmtId="3" fontId="214" fillId="123" borderId="0">
      <alignment horizontal="center"/>
    </xf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125" fillId="0" borderId="81" applyNumberFormat="0" applyFill="0" applyAlignment="0" applyProtection="0"/>
    <xf numFmtId="179" fontId="125" fillId="0" borderId="82" applyNumberFormat="0" applyFill="0" applyAlignment="0" applyProtection="0"/>
    <xf numFmtId="179" fontId="125" fillId="0" borderId="81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5" fillId="0" borderId="52" applyNumberFormat="0" applyFill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127" fillId="0" borderId="83" applyNumberFormat="0" applyFill="0" applyAlignment="0" applyProtection="0"/>
    <xf numFmtId="179" fontId="127" fillId="0" borderId="84" applyNumberFormat="0" applyFill="0" applyAlignment="0" applyProtection="0"/>
    <xf numFmtId="179" fontId="127" fillId="0" borderId="8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217" fillId="0" borderId="53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0" fontId="117" fillId="0" borderId="56" applyNumberFormat="0" applyFill="0" applyAlignment="0" applyProtection="0"/>
    <xf numFmtId="179" fontId="129" fillId="0" borderId="85" applyNumberFormat="0" applyFill="0" applyAlignment="0" applyProtection="0"/>
    <xf numFmtId="0" fontId="117" fillId="0" borderId="56" applyNumberFormat="0" applyFill="0" applyAlignment="0" applyProtection="0"/>
    <xf numFmtId="179" fontId="129" fillId="0" borderId="86" applyNumberFormat="0" applyFill="0" applyAlignment="0" applyProtection="0"/>
    <xf numFmtId="0" fontId="117" fillId="0" borderId="56" applyNumberFormat="0" applyFill="0" applyAlignment="0" applyProtection="0"/>
    <xf numFmtId="179" fontId="129" fillId="0" borderId="85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56" applyNumberFormat="0" applyFill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29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117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177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179" fontId="216" fillId="0" borderId="0" applyNumberFormat="0" applyFill="0" applyBorder="0" applyAlignment="0" applyProtection="0"/>
    <xf numFmtId="3" fontId="214" fillId="123" borderId="0">
      <alignment horizontal="center"/>
    </xf>
    <xf numFmtId="222" fontId="19" fillId="0" borderId="0">
      <protection locked="0"/>
    </xf>
    <xf numFmtId="222" fontId="19" fillId="0" borderId="0">
      <protection locked="0"/>
    </xf>
    <xf numFmtId="3" fontId="152" fillId="6" borderId="7">
      <alignment horizontal="center" vertical="center"/>
    </xf>
    <xf numFmtId="3" fontId="152" fillId="6" borderId="7">
      <alignment horizontal="center" vertical="center"/>
    </xf>
    <xf numFmtId="3" fontId="218" fillId="123" borderId="0">
      <alignment horizontal="left"/>
    </xf>
    <xf numFmtId="179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0" fontId="182" fillId="0" borderId="87">
      <alignment horizontal="right" wrapText="1"/>
    </xf>
    <xf numFmtId="179" fontId="34" fillId="58" borderId="26"/>
    <xf numFmtId="0" fontId="34" fillId="58" borderId="26"/>
    <xf numFmtId="0" fontId="34" fillId="58" borderId="26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9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179" fontId="182" fillId="0" borderId="90" applyNumberFormat="0"/>
    <xf numFmtId="3" fontId="68" fillId="137" borderId="0">
      <alignment horizontal="right"/>
    </xf>
    <xf numFmtId="194" fontId="79" fillId="86" borderId="6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179" fontId="38" fillId="0" borderId="7" applyNumberFormat="0" applyFill="0" applyProtection="0"/>
    <xf numFmtId="179" fontId="219" fillId="0" borderId="0">
      <alignment vertical="top"/>
    </xf>
    <xf numFmtId="167" fontId="163" fillId="6" borderId="57" applyNumberFormat="0" applyBorder="0">
      <protection locked="0"/>
    </xf>
    <xf numFmtId="185" fontId="42" fillId="0" borderId="0" applyFont="0" applyFill="0" applyBorder="0" applyAlignment="0" applyProtection="0"/>
    <xf numFmtId="225" fontId="9" fillId="0" borderId="0" applyFont="0" applyFill="0" applyBorder="0" applyAlignment="0" applyProtection="0"/>
    <xf numFmtId="226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6" fontId="9" fillId="0" borderId="0" applyFon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79" fontId="210" fillId="0" borderId="0" applyNumberFormat="0" applyFill="0" applyBorder="0" applyAlignment="0" applyProtection="0"/>
    <xf numFmtId="192" fontId="98" fillId="6" borderId="0">
      <alignment horizontal="right"/>
    </xf>
    <xf numFmtId="0" fontId="220" fillId="0" borderId="0">
      <alignment horizontal="right"/>
    </xf>
    <xf numFmtId="179" fontId="39" fillId="0" borderId="0"/>
    <xf numFmtId="227" fontId="221" fillId="0" borderId="0">
      <alignment horizontal="center"/>
    </xf>
    <xf numFmtId="227" fontId="221" fillId="0" borderId="0" applyFont="0" applyFill="0" applyBorder="0" applyAlignment="0" applyProtection="0">
      <alignment horizontal="center"/>
    </xf>
    <xf numFmtId="228" fontId="31" fillId="0" borderId="0" applyFont="0" applyFill="0" applyBorder="0" applyAlignment="0" applyProtection="0"/>
    <xf numFmtId="228" fontId="33" fillId="0" borderId="0" applyFont="0" applyFill="0" applyBorder="0" applyAlignment="0" applyProtection="0"/>
    <xf numFmtId="227" fontId="221" fillId="0" borderId="0">
      <alignment horizontal="center"/>
    </xf>
    <xf numFmtId="0" fontId="222" fillId="0" borderId="0" applyNumberFormat="0" applyFill="0" applyBorder="0" applyAlignment="0" applyProtection="0">
      <alignment vertical="top"/>
      <protection locked="0"/>
    </xf>
    <xf numFmtId="0" fontId="223" fillId="0" borderId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69" fillId="72" borderId="0" applyNumberFormat="0" applyBorder="0" applyAlignment="0" applyProtection="0"/>
    <xf numFmtId="0" fontId="69" fillId="72" borderId="0" applyNumberFormat="0" applyBorder="0" applyAlignment="0" applyProtection="0"/>
    <xf numFmtId="0" fontId="71" fillId="20" borderId="0" applyNumberFormat="0" applyBorder="0" applyAlignment="0" applyProtection="0"/>
    <xf numFmtId="0" fontId="69" fillId="72" borderId="0" applyNumberFormat="0" applyBorder="0" applyAlignment="0" applyProtection="0"/>
    <xf numFmtId="0" fontId="69" fillId="72" borderId="0" applyNumberFormat="0" applyBorder="0" applyAlignment="0" applyProtection="0"/>
    <xf numFmtId="0" fontId="71" fillId="20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69" fillId="72" borderId="0" applyNumberFormat="0" applyBorder="0" applyAlignment="0" applyProtection="0"/>
    <xf numFmtId="0" fontId="69" fillId="72" borderId="0" applyNumberFormat="0" applyBorder="0" applyAlignment="0" applyProtection="0"/>
    <xf numFmtId="0" fontId="70" fillId="72" borderId="0" applyNumberFormat="0" applyBorder="0" applyAlignment="0" applyProtection="0"/>
    <xf numFmtId="0" fontId="70" fillId="72" borderId="0" applyNumberFormat="0" applyBorder="0" applyAlignment="0" applyProtection="0"/>
    <xf numFmtId="0" fontId="72" fillId="20" borderId="0" applyNumberFormat="0" applyBorder="0" applyAlignment="0" applyProtection="0"/>
    <xf numFmtId="0" fontId="70" fillId="72" borderId="0" applyNumberFormat="0" applyBorder="0" applyAlignment="0" applyProtection="0"/>
    <xf numFmtId="0" fontId="70" fillId="72" borderId="0" applyNumberFormat="0" applyBorder="0" applyAlignment="0" applyProtection="0"/>
    <xf numFmtId="0" fontId="70" fillId="72" borderId="0" applyNumberFormat="0" applyBorder="0" applyAlignment="0" applyProtection="0"/>
    <xf numFmtId="0" fontId="72" fillId="20" borderId="0" applyNumberFormat="0" applyBorder="0" applyAlignment="0" applyProtection="0"/>
    <xf numFmtId="0" fontId="70" fillId="72" borderId="0" applyNumberFormat="0" applyBorder="0" applyAlignment="0" applyProtection="0"/>
    <xf numFmtId="0" fontId="69" fillId="72" borderId="0" applyNumberFormat="0" applyBorder="0" applyAlignment="0" applyProtection="0"/>
    <xf numFmtId="0" fontId="69" fillId="72" borderId="0" applyNumberFormat="0" applyBorder="0" applyAlignment="0" applyProtection="0"/>
    <xf numFmtId="0" fontId="71" fillId="20" borderId="0" applyNumberFormat="0" applyBorder="0" applyAlignment="0" applyProtection="0"/>
    <xf numFmtId="0" fontId="69" fillId="72" borderId="0" applyNumberFormat="0" applyBorder="0" applyAlignment="0" applyProtection="0"/>
    <xf numFmtId="0" fontId="69" fillId="72" borderId="0" applyNumberFormat="0" applyBorder="0" applyAlignment="0" applyProtection="0"/>
    <xf numFmtId="0" fontId="71" fillId="20" borderId="0" applyNumberFormat="0" applyBorder="0" applyAlignment="0" applyProtection="0"/>
    <xf numFmtId="0" fontId="69" fillId="72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1" fillId="20" borderId="0" applyNumberFormat="0" applyBorder="0" applyAlignment="0" applyProtection="0"/>
    <xf numFmtId="0" fontId="70" fillId="72" borderId="0" applyNumberFormat="0" applyBorder="0" applyAlignment="0" applyProtection="0"/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69" fillId="77" borderId="0" applyNumberFormat="0" applyBorder="0" applyAlignment="0" applyProtection="0"/>
    <xf numFmtId="0" fontId="69" fillId="77" borderId="0" applyNumberFormat="0" applyBorder="0" applyAlignment="0" applyProtection="0"/>
    <xf numFmtId="0" fontId="71" fillId="24" borderId="0" applyNumberFormat="0" applyBorder="0" applyAlignment="0" applyProtection="0"/>
    <xf numFmtId="0" fontId="69" fillId="77" borderId="0" applyNumberFormat="0" applyBorder="0" applyAlignment="0" applyProtection="0"/>
    <xf numFmtId="0" fontId="69" fillId="77" borderId="0" applyNumberFormat="0" applyBorder="0" applyAlignment="0" applyProtection="0"/>
    <xf numFmtId="0" fontId="71" fillId="24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69" fillId="77" borderId="0" applyNumberFormat="0" applyBorder="0" applyAlignment="0" applyProtection="0"/>
    <xf numFmtId="0" fontId="69" fillId="77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/>
    <xf numFmtId="0" fontId="72" fillId="24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/>
    <xf numFmtId="0" fontId="72" fillId="24" borderId="0" applyNumberFormat="0" applyBorder="0" applyAlignment="0" applyProtection="0"/>
    <xf numFmtId="0" fontId="70" fillId="77" borderId="0" applyNumberFormat="0" applyBorder="0" applyAlignment="0" applyProtection="0"/>
    <xf numFmtId="0" fontId="69" fillId="77" borderId="0" applyNumberFormat="0" applyBorder="0" applyAlignment="0" applyProtection="0"/>
    <xf numFmtId="0" fontId="69" fillId="77" borderId="0" applyNumberFormat="0" applyBorder="0" applyAlignment="0" applyProtection="0"/>
    <xf numFmtId="0" fontId="71" fillId="24" borderId="0" applyNumberFormat="0" applyBorder="0" applyAlignment="0" applyProtection="0"/>
    <xf numFmtId="0" fontId="69" fillId="77" borderId="0" applyNumberFormat="0" applyBorder="0" applyAlignment="0" applyProtection="0"/>
    <xf numFmtId="0" fontId="69" fillId="77" borderId="0" applyNumberFormat="0" applyBorder="0" applyAlignment="0" applyProtection="0"/>
    <xf numFmtId="0" fontId="71" fillId="24" borderId="0" applyNumberFormat="0" applyBorder="0" applyAlignment="0" applyProtection="0"/>
    <xf numFmtId="0" fontId="69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1" fillId="24" borderId="0" applyNumberFormat="0" applyBorder="0" applyAlignment="0" applyProtection="0"/>
    <xf numFmtId="0" fontId="70" fillId="77" borderId="0" applyNumberFormat="0" applyBorder="0" applyAlignment="0" applyProtection="0"/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69" fillId="79" borderId="0" applyNumberFormat="0" applyBorder="0" applyAlignment="0" applyProtection="0"/>
    <xf numFmtId="0" fontId="69" fillId="79" borderId="0" applyNumberFormat="0" applyBorder="0" applyAlignment="0" applyProtection="0"/>
    <xf numFmtId="0" fontId="71" fillId="28" borderId="0" applyNumberFormat="0" applyBorder="0" applyAlignment="0" applyProtection="0"/>
    <xf numFmtId="0" fontId="69" fillId="79" borderId="0" applyNumberFormat="0" applyBorder="0" applyAlignment="0" applyProtection="0"/>
    <xf numFmtId="0" fontId="69" fillId="79" borderId="0" applyNumberFormat="0" applyBorder="0" applyAlignment="0" applyProtection="0"/>
    <xf numFmtId="0" fontId="71" fillId="28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69" fillId="79" borderId="0" applyNumberFormat="0" applyBorder="0" applyAlignment="0" applyProtection="0"/>
    <xf numFmtId="0" fontId="69" fillId="79" borderId="0" applyNumberFormat="0" applyBorder="0" applyAlignment="0" applyProtection="0"/>
    <xf numFmtId="0" fontId="70" fillId="79" borderId="0" applyNumberFormat="0" applyBorder="0" applyAlignment="0" applyProtection="0"/>
    <xf numFmtId="0" fontId="70" fillId="79" borderId="0" applyNumberFormat="0" applyBorder="0" applyAlignment="0" applyProtection="0"/>
    <xf numFmtId="0" fontId="72" fillId="28" borderId="0" applyNumberFormat="0" applyBorder="0" applyAlignment="0" applyProtection="0"/>
    <xf numFmtId="0" fontId="70" fillId="79" borderId="0" applyNumberFormat="0" applyBorder="0" applyAlignment="0" applyProtection="0"/>
    <xf numFmtId="0" fontId="70" fillId="79" borderId="0" applyNumberFormat="0" applyBorder="0" applyAlignment="0" applyProtection="0"/>
    <xf numFmtId="0" fontId="70" fillId="79" borderId="0" applyNumberFormat="0" applyBorder="0" applyAlignment="0" applyProtection="0"/>
    <xf numFmtId="0" fontId="72" fillId="28" borderId="0" applyNumberFormat="0" applyBorder="0" applyAlignment="0" applyProtection="0"/>
    <xf numFmtId="0" fontId="70" fillId="79" borderId="0" applyNumberFormat="0" applyBorder="0" applyAlignment="0" applyProtection="0"/>
    <xf numFmtId="0" fontId="69" fillId="79" borderId="0" applyNumberFormat="0" applyBorder="0" applyAlignment="0" applyProtection="0"/>
    <xf numFmtId="0" fontId="69" fillId="79" borderId="0" applyNumberFormat="0" applyBorder="0" applyAlignment="0" applyProtection="0"/>
    <xf numFmtId="0" fontId="71" fillId="28" borderId="0" applyNumberFormat="0" applyBorder="0" applyAlignment="0" applyProtection="0"/>
    <xf numFmtId="0" fontId="69" fillId="79" borderId="0" applyNumberFormat="0" applyBorder="0" applyAlignment="0" applyProtection="0"/>
    <xf numFmtId="0" fontId="69" fillId="79" borderId="0" applyNumberFormat="0" applyBorder="0" applyAlignment="0" applyProtection="0"/>
    <xf numFmtId="0" fontId="71" fillId="28" borderId="0" applyNumberFormat="0" applyBorder="0" applyAlignment="0" applyProtection="0"/>
    <xf numFmtId="0" fontId="69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1" fillId="28" borderId="0" applyNumberFormat="0" applyBorder="0" applyAlignment="0" applyProtection="0"/>
    <xf numFmtId="0" fontId="70" fillId="79" borderId="0" applyNumberFormat="0" applyBorder="0" applyAlignment="0" applyProtection="0"/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2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2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32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32" borderId="0" applyNumberFormat="0" applyBorder="0" applyAlignment="0" applyProtection="0"/>
    <xf numFmtId="0" fontId="70" fillId="65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2" borderId="0" applyNumberFormat="0" applyBorder="0" applyAlignment="0" applyProtection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1" fillId="32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1" fillId="32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6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6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2" fillId="36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/>
    <xf numFmtId="0" fontId="72" fillId="36" borderId="0" applyNumberFormat="0" applyBorder="0" applyAlignment="0" applyProtection="0"/>
    <xf numFmtId="0" fontId="70" fillId="63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6" borderId="0" applyNumberFormat="0" applyBorder="0" applyAlignment="0" applyProtection="0"/>
    <xf numFmtId="0" fontId="69" fillId="63" borderId="0" applyNumberFormat="0" applyBorder="0" applyAlignment="0" applyProtection="0"/>
    <xf numFmtId="0" fontId="69" fillId="63" borderId="0" applyNumberFormat="0" applyBorder="0" applyAlignment="0" applyProtection="0"/>
    <xf numFmtId="0" fontId="71" fillId="36" borderId="0" applyNumberFormat="0" applyBorder="0" applyAlignment="0" applyProtection="0"/>
    <xf numFmtId="0" fontId="69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1" fillId="36" borderId="0" applyNumberFormat="0" applyBorder="0" applyAlignment="0" applyProtection="0"/>
    <xf numFmtId="0" fontId="70" fillId="63" borderId="0" applyNumberFormat="0" applyBorder="0" applyAlignment="0" applyProtection="0"/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63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69" fillId="85" borderId="0" applyNumberFormat="0" applyBorder="0" applyAlignment="0" applyProtection="0"/>
    <xf numFmtId="0" fontId="69" fillId="85" borderId="0" applyNumberFormat="0" applyBorder="0" applyAlignment="0" applyProtection="0"/>
    <xf numFmtId="0" fontId="71" fillId="40" borderId="0" applyNumberFormat="0" applyBorder="0" applyAlignment="0" applyProtection="0"/>
    <xf numFmtId="0" fontId="69" fillId="85" borderId="0" applyNumberFormat="0" applyBorder="0" applyAlignment="0" applyProtection="0"/>
    <xf numFmtId="0" fontId="69" fillId="85" borderId="0" applyNumberFormat="0" applyBorder="0" applyAlignment="0" applyProtection="0"/>
    <xf numFmtId="0" fontId="71" fillId="40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69" fillId="85" borderId="0" applyNumberFormat="0" applyBorder="0" applyAlignment="0" applyProtection="0"/>
    <xf numFmtId="0" fontId="69" fillId="85" borderId="0" applyNumberFormat="0" applyBorder="0" applyAlignment="0" applyProtection="0"/>
    <xf numFmtId="0" fontId="70" fillId="85" borderId="0" applyNumberFormat="0" applyBorder="0" applyAlignment="0" applyProtection="0"/>
    <xf numFmtId="0" fontId="70" fillId="85" borderId="0" applyNumberFormat="0" applyBorder="0" applyAlignment="0" applyProtection="0"/>
    <xf numFmtId="0" fontId="72" fillId="40" borderId="0" applyNumberFormat="0" applyBorder="0" applyAlignment="0" applyProtection="0"/>
    <xf numFmtId="0" fontId="70" fillId="85" borderId="0" applyNumberFormat="0" applyBorder="0" applyAlignment="0" applyProtection="0"/>
    <xf numFmtId="0" fontId="70" fillId="85" borderId="0" applyNumberFormat="0" applyBorder="0" applyAlignment="0" applyProtection="0"/>
    <xf numFmtId="0" fontId="70" fillId="85" borderId="0" applyNumberFormat="0" applyBorder="0" applyAlignment="0" applyProtection="0"/>
    <xf numFmtId="0" fontId="72" fillId="40" borderId="0" applyNumberFormat="0" applyBorder="0" applyAlignment="0" applyProtection="0"/>
    <xf numFmtId="0" fontId="70" fillId="85" borderId="0" applyNumberFormat="0" applyBorder="0" applyAlignment="0" applyProtection="0"/>
    <xf numFmtId="0" fontId="69" fillId="85" borderId="0" applyNumberFormat="0" applyBorder="0" applyAlignment="0" applyProtection="0"/>
    <xf numFmtId="0" fontId="69" fillId="85" borderId="0" applyNumberFormat="0" applyBorder="0" applyAlignment="0" applyProtection="0"/>
    <xf numFmtId="0" fontId="71" fillId="40" borderId="0" applyNumberFormat="0" applyBorder="0" applyAlignment="0" applyProtection="0"/>
    <xf numFmtId="0" fontId="69" fillId="85" borderId="0" applyNumberFormat="0" applyBorder="0" applyAlignment="0" applyProtection="0"/>
    <xf numFmtId="0" fontId="69" fillId="85" borderId="0" applyNumberFormat="0" applyBorder="0" applyAlignment="0" applyProtection="0"/>
    <xf numFmtId="0" fontId="71" fillId="40" borderId="0" applyNumberFormat="0" applyBorder="0" applyAlignment="0" applyProtection="0"/>
    <xf numFmtId="0" fontId="69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1" fillId="40" borderId="0" applyNumberFormat="0" applyBorder="0" applyAlignment="0" applyProtection="0"/>
    <xf numFmtId="0" fontId="70" fillId="85" borderId="0" applyNumberFormat="0" applyBorder="0" applyAlignment="0" applyProtection="0"/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70" fillId="85" borderId="0" applyNumberFormat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2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101" fillId="58" borderId="37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6" fillId="58" borderId="37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6" fillId="58" borderId="37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6" fillId="58" borderId="37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6" fillId="58" borderId="37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8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101" fillId="58" borderId="37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7" fillId="17" borderId="31" applyNumberFormat="0" applyAlignment="0" applyProtection="0"/>
    <xf numFmtId="0" fontId="226" fillId="58" borderId="37" applyNumberFormat="0" applyAlignment="0" applyProtection="0">
      <alignment vertical="center"/>
    </xf>
    <xf numFmtId="0" fontId="227" fillId="17" borderId="31" applyNumberFormat="0" applyAlignment="0" applyProtection="0"/>
    <xf numFmtId="0" fontId="227" fillId="17" borderId="31" applyNumberFormat="0" applyAlignment="0" applyProtection="0"/>
    <xf numFmtId="0" fontId="226" fillId="58" borderId="37" applyNumberFormat="0" applyAlignment="0" applyProtection="0"/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6" fillId="58" borderId="37" applyNumberFormat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230" fillId="14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230" fillId="14" borderId="0" applyNumberFormat="0" applyBorder="0" applyAlignment="0" applyProtection="0"/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229" fillId="50" borderId="0" applyNumberFormat="0" applyBorder="0" applyAlignment="0" applyProtection="0"/>
    <xf numFmtId="0" fontId="229" fillId="50" borderId="0" applyNumberFormat="0" applyBorder="0" applyAlignment="0" applyProtection="0"/>
    <xf numFmtId="0" fontId="231" fillId="14" borderId="0" applyNumberFormat="0" applyBorder="0" applyAlignment="0" applyProtection="0"/>
    <xf numFmtId="0" fontId="229" fillId="50" borderId="0" applyNumberFormat="0" applyBorder="0" applyAlignment="0" applyProtection="0"/>
    <xf numFmtId="0" fontId="229" fillId="50" borderId="0" applyNumberFormat="0" applyBorder="0" applyAlignment="0" applyProtection="0"/>
    <xf numFmtId="0" fontId="229" fillId="50" borderId="0" applyNumberFormat="0" applyBorder="0" applyAlignment="0" applyProtection="0"/>
    <xf numFmtId="0" fontId="231" fillId="14" borderId="0" applyNumberFormat="0" applyBorder="0" applyAlignment="0" applyProtection="0"/>
    <xf numFmtId="0" fontId="22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230" fillId="14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230" fillId="14" borderId="0" applyNumberFormat="0" applyBorder="0" applyAlignment="0" applyProtection="0"/>
    <xf numFmtId="0" fontId="89" fillId="50" borderId="0" applyNumberFormat="0" applyBorder="0" applyAlignment="0" applyProtection="0"/>
    <xf numFmtId="0" fontId="229" fillId="50" borderId="0" applyNumberFormat="0" applyBorder="0" applyAlignment="0" applyProtection="0">
      <alignment vertical="center"/>
    </xf>
    <xf numFmtId="0" fontId="230" fillId="14" borderId="0" applyNumberFormat="0" applyBorder="0" applyAlignment="0" applyProtection="0"/>
    <xf numFmtId="0" fontId="229" fillId="50" borderId="0" applyNumberFormat="0" applyBorder="0" applyAlignment="0" applyProtection="0"/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29" fillId="50" borderId="0" applyNumberFormat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top"/>
      <protection locked="0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48" fillId="51" borderId="27" applyNumberFormat="0" applyFont="0" applyAlignment="0" applyProtection="0">
      <alignment vertical="center"/>
    </xf>
    <xf numFmtId="0" fontId="64" fillId="19" borderId="35" applyNumberFormat="0" applyFont="0" applyAlignment="0" applyProtection="0">
      <alignment vertical="center"/>
    </xf>
    <xf numFmtId="0" fontId="64" fillId="19" borderId="35" applyNumberFormat="0" applyFont="0" applyAlignment="0" applyProtection="0">
      <alignment vertical="center"/>
    </xf>
    <xf numFmtId="0" fontId="64" fillId="19" borderId="35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48" fillId="51" borderId="27" applyNumberFormat="0" applyFont="0" applyAlignment="0" applyProtection="0">
      <alignment vertical="center"/>
    </xf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3" fillId="51" borderId="27" applyNumberFormat="0" applyFont="0" applyAlignment="0" applyProtection="0"/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48" fillId="51" borderId="27" applyNumberFormat="0" applyFont="0" applyAlignment="0" applyProtection="0">
      <alignment vertical="center"/>
    </xf>
    <xf numFmtId="0" fontId="43" fillId="19" borderId="35" applyNumberFormat="0" applyFont="0" applyAlignment="0" applyProtection="0"/>
    <xf numFmtId="0" fontId="43" fillId="51" borderId="27" applyNumberFormat="0" applyFont="0" applyAlignment="0" applyProtection="0"/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48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0" fontId="9" fillId="51" borderId="27" applyNumberFormat="0" applyFont="0" applyAlignment="0" applyProtection="0">
      <alignment vertical="center"/>
    </xf>
    <xf numFmtId="9" fontId="43" fillId="0" borderId="0" applyFont="0" applyFill="0" applyBorder="0" applyAlignment="0" applyProtection="0"/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3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35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/>
    <xf numFmtId="0" fontId="153" fillId="57" borderId="0" applyNumberFormat="0" applyBorder="0" applyAlignment="0" applyProtection="0"/>
    <xf numFmtId="0" fontId="237" fillId="15" borderId="0" applyNumberFormat="0" applyBorder="0" applyAlignment="0" applyProtection="0"/>
    <xf numFmtId="0" fontId="153" fillId="57" borderId="0" applyNumberFormat="0" applyBorder="0" applyAlignment="0" applyProtection="0"/>
    <xf numFmtId="0" fontId="153" fillId="57" borderId="0" applyNumberFormat="0" applyBorder="0" applyAlignment="0" applyProtection="0"/>
    <xf numFmtId="0" fontId="237" fillId="15" borderId="0" applyNumberFormat="0" applyBorder="0" applyAlignment="0" applyProtection="0"/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/>
    <xf numFmtId="0" fontId="153" fillId="57" borderId="0" applyNumberFormat="0" applyBorder="0" applyAlignment="0" applyProtection="0"/>
    <xf numFmtId="0" fontId="236" fillId="57" borderId="0" applyNumberFormat="0" applyBorder="0" applyAlignment="0" applyProtection="0"/>
    <xf numFmtId="0" fontId="236" fillId="57" borderId="0" applyNumberFormat="0" applyBorder="0" applyAlignment="0" applyProtection="0"/>
    <xf numFmtId="0" fontId="238" fillId="15" borderId="0" applyNumberFormat="0" applyBorder="0" applyAlignment="0" applyProtection="0"/>
    <xf numFmtId="0" fontId="236" fillId="57" borderId="0" applyNumberFormat="0" applyBorder="0" applyAlignment="0" applyProtection="0"/>
    <xf numFmtId="0" fontId="236" fillId="57" borderId="0" applyNumberFormat="0" applyBorder="0" applyAlignment="0" applyProtection="0"/>
    <xf numFmtId="0" fontId="236" fillId="57" borderId="0" applyNumberFormat="0" applyBorder="0" applyAlignment="0" applyProtection="0"/>
    <xf numFmtId="0" fontId="238" fillId="15" borderId="0" applyNumberFormat="0" applyBorder="0" applyAlignment="0" applyProtection="0"/>
    <xf numFmtId="0" fontId="236" fillId="57" borderId="0" applyNumberFormat="0" applyBorder="0" applyAlignment="0" applyProtection="0"/>
    <xf numFmtId="0" fontId="153" fillId="57" borderId="0" applyNumberFormat="0" applyBorder="0" applyAlignment="0" applyProtection="0"/>
    <xf numFmtId="0" fontId="153" fillId="57" borderId="0" applyNumberFormat="0" applyBorder="0" applyAlignment="0" applyProtection="0"/>
    <xf numFmtId="0" fontId="237" fillId="15" borderId="0" applyNumberFormat="0" applyBorder="0" applyAlignment="0" applyProtection="0"/>
    <xf numFmtId="0" fontId="153" fillId="57" borderId="0" applyNumberFormat="0" applyBorder="0" applyAlignment="0" applyProtection="0"/>
    <xf numFmtId="0" fontId="153" fillId="57" borderId="0" applyNumberFormat="0" applyBorder="0" applyAlignment="0" applyProtection="0"/>
    <xf numFmtId="0" fontId="237" fillId="15" borderId="0" applyNumberFormat="0" applyBorder="0" applyAlignment="0" applyProtection="0"/>
    <xf numFmtId="0" fontId="153" fillId="57" borderId="0" applyNumberFormat="0" applyBorder="0" applyAlignment="0" applyProtection="0"/>
    <xf numFmtId="0" fontId="236" fillId="57" borderId="0" applyNumberFormat="0" applyBorder="0" applyAlignment="0" applyProtection="0">
      <alignment vertical="center"/>
    </xf>
    <xf numFmtId="0" fontId="237" fillId="15" borderId="0" applyNumberFormat="0" applyBorder="0" applyAlignment="0" applyProtection="0"/>
    <xf numFmtId="0" fontId="236" fillId="57" borderId="0" applyNumberFormat="0" applyBorder="0" applyAlignment="0" applyProtection="0"/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6" fillId="57" borderId="0" applyNumberFormat="0" applyBorder="0" applyAlignment="0" applyProtection="0">
      <alignment vertical="center"/>
    </xf>
    <xf numFmtId="0" fontId="239" fillId="0" borderId="0"/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40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103" fillId="95" borderId="42" applyNumberFormat="0" applyAlignment="0" applyProtection="0"/>
    <xf numFmtId="0" fontId="103" fillId="95" borderId="42" applyNumberFormat="0" applyAlignment="0" applyProtection="0"/>
    <xf numFmtId="0" fontId="244" fillId="18" borderId="34" applyNumberFormat="0" applyAlignment="0" applyProtection="0"/>
    <xf numFmtId="0" fontId="103" fillId="95" borderId="42" applyNumberFormat="0" applyAlignment="0" applyProtection="0"/>
    <xf numFmtId="0" fontId="103" fillId="95" borderId="42" applyNumberFormat="0" applyAlignment="0" applyProtection="0"/>
    <xf numFmtId="0" fontId="244" fillId="18" borderId="34" applyNumberFormat="0" applyAlignment="0" applyProtection="0"/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103" fillId="95" borderId="42" applyNumberFormat="0" applyAlignment="0" applyProtection="0"/>
    <xf numFmtId="0" fontId="103" fillId="95" borderId="42" applyNumberFormat="0" applyAlignment="0" applyProtection="0"/>
    <xf numFmtId="0" fontId="243" fillId="95" borderId="42" applyNumberFormat="0" applyAlignment="0" applyProtection="0"/>
    <xf numFmtId="0" fontId="243" fillId="95" borderId="42" applyNumberFormat="0" applyAlignment="0" applyProtection="0"/>
    <xf numFmtId="0" fontId="245" fillId="18" borderId="34" applyNumberFormat="0" applyAlignment="0" applyProtection="0"/>
    <xf numFmtId="0" fontId="243" fillId="95" borderId="42" applyNumberFormat="0" applyAlignment="0" applyProtection="0"/>
    <xf numFmtId="0" fontId="243" fillId="95" borderId="42" applyNumberFormat="0" applyAlignment="0" applyProtection="0"/>
    <xf numFmtId="0" fontId="243" fillId="95" borderId="42" applyNumberFormat="0" applyAlignment="0" applyProtection="0"/>
    <xf numFmtId="0" fontId="245" fillId="18" borderId="34" applyNumberFormat="0" applyAlignment="0" applyProtection="0"/>
    <xf numFmtId="0" fontId="243" fillId="95" borderId="42" applyNumberFormat="0" applyAlignment="0" applyProtection="0"/>
    <xf numFmtId="0" fontId="103" fillId="95" borderId="42" applyNumberFormat="0" applyAlignment="0" applyProtection="0"/>
    <xf numFmtId="0" fontId="103" fillId="95" borderId="42" applyNumberFormat="0" applyAlignment="0" applyProtection="0"/>
    <xf numFmtId="0" fontId="244" fillId="18" borderId="34" applyNumberFormat="0" applyAlignment="0" applyProtection="0"/>
    <xf numFmtId="0" fontId="103" fillId="95" borderId="42" applyNumberFormat="0" applyAlignment="0" applyProtection="0"/>
    <xf numFmtId="0" fontId="103" fillId="95" borderId="42" applyNumberFormat="0" applyAlignment="0" applyProtection="0"/>
    <xf numFmtId="0" fontId="244" fillId="18" borderId="34" applyNumberFormat="0" applyAlignment="0" applyProtection="0"/>
    <xf numFmtId="0" fontId="103" fillId="95" borderId="42" applyNumberFormat="0" applyAlignment="0" applyProtection="0"/>
    <xf numFmtId="0" fontId="243" fillId="95" borderId="42" applyNumberFormat="0" applyAlignment="0" applyProtection="0">
      <alignment vertical="center"/>
    </xf>
    <xf numFmtId="0" fontId="244" fillId="18" borderId="34" applyNumberFormat="0" applyAlignment="0" applyProtection="0"/>
    <xf numFmtId="0" fontId="243" fillId="95" borderId="42" applyNumberFormat="0" applyAlignment="0" applyProtection="0"/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0" fontId="243" fillId="95" borderId="42" applyNumberFormat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0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229" fontId="48" fillId="0" borderId="0" applyFont="0" applyFill="0" applyBorder="0" applyAlignment="0" applyProtection="0">
      <alignment vertical="center"/>
    </xf>
    <xf numFmtId="41" fontId="23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230" fontId="9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230" fontId="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230" fontId="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230" fontId="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230" fontId="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231" fontId="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247" fillId="0" borderId="33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247" fillId="0" borderId="33" applyNumberFormat="0" applyFill="0" applyAlignment="0" applyProtection="0"/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246" fillId="0" borderId="43" applyNumberFormat="0" applyFill="0" applyAlignment="0" applyProtection="0"/>
    <xf numFmtId="0" fontId="246" fillId="0" borderId="43" applyNumberFormat="0" applyFill="0" applyAlignment="0" applyProtection="0"/>
    <xf numFmtId="0" fontId="248" fillId="0" borderId="33" applyNumberFormat="0" applyFill="0" applyAlignment="0" applyProtection="0"/>
    <xf numFmtId="0" fontId="246" fillId="0" borderId="43" applyNumberFormat="0" applyFill="0" applyAlignment="0" applyProtection="0"/>
    <xf numFmtId="0" fontId="246" fillId="0" borderId="43" applyNumberFormat="0" applyFill="0" applyAlignment="0" applyProtection="0"/>
    <xf numFmtId="0" fontId="246" fillId="0" borderId="43" applyNumberFormat="0" applyFill="0" applyAlignment="0" applyProtection="0"/>
    <xf numFmtId="0" fontId="248" fillId="0" borderId="33" applyNumberFormat="0" applyFill="0" applyAlignment="0" applyProtection="0"/>
    <xf numFmtId="0" fontId="246" fillId="0" borderId="43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247" fillId="0" borderId="33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247" fillId="0" borderId="33" applyNumberFormat="0" applyFill="0" applyAlignment="0" applyProtection="0"/>
    <xf numFmtId="0" fontId="104" fillId="0" borderId="43" applyNumberFormat="0" applyFill="0" applyAlignment="0" applyProtection="0"/>
    <xf numFmtId="0" fontId="246" fillId="0" borderId="43" applyNumberFormat="0" applyFill="0" applyAlignment="0" applyProtection="0">
      <alignment vertical="center"/>
    </xf>
    <xf numFmtId="0" fontId="247" fillId="0" borderId="33" applyNumberFormat="0" applyFill="0" applyAlignment="0" applyProtection="0"/>
    <xf numFmtId="0" fontId="246" fillId="0" borderId="43" applyNumberFormat="0" applyFill="0" applyAlignment="0" applyProtection="0"/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6" fillId="0" borderId="43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250" fillId="0" borderId="36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250" fillId="0" borderId="36" applyNumberFormat="0" applyFill="0" applyAlignment="0" applyProtection="0"/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249" fillId="0" borderId="88" applyNumberFormat="0" applyFill="0" applyAlignment="0" applyProtection="0"/>
    <xf numFmtId="0" fontId="249" fillId="0" borderId="88" applyNumberFormat="0" applyFill="0" applyAlignment="0" applyProtection="0"/>
    <xf numFmtId="0" fontId="251" fillId="0" borderId="36" applyNumberFormat="0" applyFill="0" applyAlignment="0" applyProtection="0"/>
    <xf numFmtId="0" fontId="249" fillId="0" borderId="88" applyNumberFormat="0" applyFill="0" applyAlignment="0" applyProtection="0"/>
    <xf numFmtId="0" fontId="249" fillId="0" borderId="88" applyNumberFormat="0" applyFill="0" applyAlignment="0" applyProtection="0"/>
    <xf numFmtId="0" fontId="249" fillId="0" borderId="88" applyNumberFormat="0" applyFill="0" applyAlignment="0" applyProtection="0"/>
    <xf numFmtId="0" fontId="251" fillId="0" borderId="36" applyNumberFormat="0" applyFill="0" applyAlignment="0" applyProtection="0"/>
    <xf numFmtId="0" fontId="249" fillId="0" borderId="88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250" fillId="0" borderId="36" applyNumberFormat="0" applyFill="0" applyAlignment="0" applyProtection="0"/>
    <xf numFmtId="0" fontId="116" fillId="0" borderId="88" applyNumberFormat="0" applyFill="0" applyAlignment="0" applyProtection="0"/>
    <xf numFmtId="0" fontId="116" fillId="0" borderId="88" applyNumberFormat="0" applyFill="0" applyAlignment="0" applyProtection="0"/>
    <xf numFmtId="0" fontId="250" fillId="0" borderId="36" applyNumberFormat="0" applyFill="0" applyAlignment="0" applyProtection="0"/>
    <xf numFmtId="0" fontId="116" fillId="0" borderId="88" applyNumberFormat="0" applyFill="0" applyAlignment="0" applyProtection="0"/>
    <xf numFmtId="0" fontId="249" fillId="0" borderId="88" applyNumberFormat="0" applyFill="0" applyAlignment="0" applyProtection="0">
      <alignment vertical="center"/>
    </xf>
    <xf numFmtId="0" fontId="250" fillId="0" borderId="36" applyNumberFormat="0" applyFill="0" applyAlignment="0" applyProtection="0"/>
    <xf numFmtId="0" fontId="249" fillId="0" borderId="88" applyNumberFormat="0" applyFill="0" applyAlignment="0" applyProtection="0"/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249" fillId="0" borderId="88" applyNumberFormat="0" applyFill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18" fillId="49" borderId="37" applyNumberFormat="0" applyAlignment="0" applyProtection="0"/>
    <xf numFmtId="0" fontId="118" fillId="49" borderId="37" applyNumberFormat="0" applyAlignment="0" applyProtection="0"/>
    <xf numFmtId="0" fontId="252" fillId="16" borderId="31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252" fillId="16" borderId="31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18" fillId="49" borderId="37" applyNumberFormat="0" applyAlignment="0" applyProtection="0"/>
    <xf numFmtId="0" fontId="118" fillId="49" borderId="37" applyNumberFormat="0" applyAlignment="0" applyProtection="0"/>
    <xf numFmtId="0" fontId="138" fillId="49" borderId="37" applyNumberFormat="0" applyAlignment="0" applyProtection="0"/>
    <xf numFmtId="0" fontId="138" fillId="49" borderId="37" applyNumberFormat="0" applyAlignment="0" applyProtection="0"/>
    <xf numFmtId="0" fontId="253" fillId="16" borderId="31" applyNumberFormat="0" applyAlignment="0" applyProtection="0"/>
    <xf numFmtId="0" fontId="138" fillId="49" borderId="37" applyNumberFormat="0" applyAlignment="0" applyProtection="0"/>
    <xf numFmtId="0" fontId="138" fillId="49" borderId="37" applyNumberFormat="0" applyAlignment="0" applyProtection="0"/>
    <xf numFmtId="0" fontId="138" fillId="49" borderId="37" applyNumberFormat="0" applyAlignment="0" applyProtection="0"/>
    <xf numFmtId="0" fontId="253" fillId="16" borderId="31" applyNumberFormat="0" applyAlignment="0" applyProtection="0"/>
    <xf numFmtId="0" fontId="138" fillId="49" borderId="37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252" fillId="16" borderId="31" applyNumberFormat="0" applyAlignment="0" applyProtection="0"/>
    <xf numFmtId="0" fontId="118" fillId="49" borderId="37" applyNumberFormat="0" applyAlignment="0" applyProtection="0"/>
    <xf numFmtId="0" fontId="118" fillId="49" borderId="37" applyNumberFormat="0" applyAlignment="0" applyProtection="0"/>
    <xf numFmtId="0" fontId="252" fillId="16" borderId="31" applyNumberFormat="0" applyAlignment="0" applyProtection="0"/>
    <xf numFmtId="0" fontId="118" fillId="49" borderId="37" applyNumberFormat="0" applyAlignment="0" applyProtection="0"/>
    <xf numFmtId="0" fontId="138" fillId="49" borderId="37" applyNumberFormat="0" applyAlignment="0" applyProtection="0">
      <alignment vertical="center"/>
    </xf>
    <xf numFmtId="0" fontId="252" fillId="16" borderId="31" applyNumberFormat="0" applyAlignment="0" applyProtection="0"/>
    <xf numFmtId="0" fontId="138" fillId="49" borderId="37" applyNumberFormat="0" applyAlignment="0" applyProtection="0"/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138" fillId="49" borderId="37" applyNumberFormat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215" fillId="0" borderId="52" applyNumberFormat="0" applyFill="0" applyAlignment="0" applyProtection="0"/>
    <xf numFmtId="0" fontId="215" fillId="0" borderId="52" applyNumberFormat="0" applyFill="0" applyAlignment="0" applyProtection="0"/>
    <xf numFmtId="0" fontId="255" fillId="0" borderId="28" applyNumberFormat="0" applyFill="0" applyAlignment="0" applyProtection="0"/>
    <xf numFmtId="0" fontId="215" fillId="0" borderId="52" applyNumberFormat="0" applyFill="0" applyAlignment="0" applyProtection="0"/>
    <xf numFmtId="0" fontId="215" fillId="0" borderId="52" applyNumberFormat="0" applyFill="0" applyAlignment="0" applyProtection="0"/>
    <xf numFmtId="0" fontId="255" fillId="0" borderId="28" applyNumberFormat="0" applyFill="0" applyAlignment="0" applyProtection="0"/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215" fillId="0" borderId="52" applyNumberFormat="0" applyFill="0" applyAlignment="0" applyProtection="0"/>
    <xf numFmtId="0" fontId="215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256" fillId="0" borderId="28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/>
    <xf numFmtId="0" fontId="256" fillId="0" borderId="28" applyNumberFormat="0" applyFill="0" applyAlignment="0" applyProtection="0"/>
    <xf numFmtId="0" fontId="126" fillId="0" borderId="52" applyNumberFormat="0" applyFill="0" applyAlignment="0" applyProtection="0"/>
    <xf numFmtId="0" fontId="215" fillId="0" borderId="52" applyNumberFormat="0" applyFill="0" applyAlignment="0" applyProtection="0"/>
    <xf numFmtId="0" fontId="215" fillId="0" borderId="52" applyNumberFormat="0" applyFill="0" applyAlignment="0" applyProtection="0"/>
    <xf numFmtId="0" fontId="255" fillId="0" borderId="28" applyNumberFormat="0" applyFill="0" applyAlignment="0" applyProtection="0"/>
    <xf numFmtId="0" fontId="215" fillId="0" borderId="52" applyNumberFormat="0" applyFill="0" applyAlignment="0" applyProtection="0"/>
    <xf numFmtId="0" fontId="215" fillId="0" borderId="52" applyNumberFormat="0" applyFill="0" applyAlignment="0" applyProtection="0"/>
    <xf numFmtId="0" fontId="255" fillId="0" borderId="28" applyNumberFormat="0" applyFill="0" applyAlignment="0" applyProtection="0"/>
    <xf numFmtId="0" fontId="215" fillId="0" borderId="52" applyNumberFormat="0" applyFill="0" applyAlignment="0" applyProtection="0"/>
    <xf numFmtId="0" fontId="126" fillId="0" borderId="52" applyNumberFormat="0" applyFill="0" applyAlignment="0" applyProtection="0">
      <alignment vertical="center"/>
    </xf>
    <xf numFmtId="0" fontId="255" fillId="0" borderId="28" applyNumberFormat="0" applyFill="0" applyAlignment="0" applyProtection="0"/>
    <xf numFmtId="0" fontId="126" fillId="0" borderId="52" applyNumberFormat="0" applyFill="0" applyAlignment="0" applyProtection="0"/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126" fillId="0" borderId="52" applyNumberFormat="0" applyFill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217" fillId="0" borderId="53" applyNumberFormat="0" applyFill="0" applyAlignment="0" applyProtection="0"/>
    <xf numFmtId="0" fontId="217" fillId="0" borderId="53" applyNumberFormat="0" applyFill="0" applyAlignment="0" applyProtection="0"/>
    <xf numFmtId="0" fontId="257" fillId="0" borderId="29" applyNumberFormat="0" applyFill="0" applyAlignment="0" applyProtection="0"/>
    <xf numFmtId="0" fontId="217" fillId="0" borderId="53" applyNumberFormat="0" applyFill="0" applyAlignment="0" applyProtection="0"/>
    <xf numFmtId="0" fontId="217" fillId="0" borderId="53" applyNumberFormat="0" applyFill="0" applyAlignment="0" applyProtection="0"/>
    <xf numFmtId="0" fontId="257" fillId="0" borderId="29" applyNumberFormat="0" applyFill="0" applyAlignment="0" applyProtection="0"/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217" fillId="0" borderId="53" applyNumberFormat="0" applyFill="0" applyAlignment="0" applyProtection="0"/>
    <xf numFmtId="0" fontId="217" fillId="0" borderId="53" applyNumberFormat="0" applyFill="0" applyAlignment="0" applyProtection="0"/>
    <xf numFmtId="0" fontId="128" fillId="0" borderId="53" applyNumberFormat="0" applyFill="0" applyAlignment="0" applyProtection="0"/>
    <xf numFmtId="0" fontId="128" fillId="0" borderId="53" applyNumberFormat="0" applyFill="0" applyAlignment="0" applyProtection="0"/>
    <xf numFmtId="0" fontId="258" fillId="0" borderId="29" applyNumberFormat="0" applyFill="0" applyAlignment="0" applyProtection="0"/>
    <xf numFmtId="0" fontId="128" fillId="0" borderId="53" applyNumberFormat="0" applyFill="0" applyAlignment="0" applyProtection="0"/>
    <xf numFmtId="0" fontId="128" fillId="0" borderId="53" applyNumberFormat="0" applyFill="0" applyAlignment="0" applyProtection="0"/>
    <xf numFmtId="0" fontId="128" fillId="0" borderId="53" applyNumberFormat="0" applyFill="0" applyAlignment="0" applyProtection="0"/>
    <xf numFmtId="0" fontId="258" fillId="0" borderId="29" applyNumberFormat="0" applyFill="0" applyAlignment="0" applyProtection="0"/>
    <xf numFmtId="0" fontId="128" fillId="0" borderId="53" applyNumberFormat="0" applyFill="0" applyAlignment="0" applyProtection="0"/>
    <xf numFmtId="0" fontId="217" fillId="0" borderId="53" applyNumberFormat="0" applyFill="0" applyAlignment="0" applyProtection="0"/>
    <xf numFmtId="0" fontId="217" fillId="0" borderId="53" applyNumberFormat="0" applyFill="0" applyAlignment="0" applyProtection="0"/>
    <xf numFmtId="0" fontId="257" fillId="0" borderId="29" applyNumberFormat="0" applyFill="0" applyAlignment="0" applyProtection="0"/>
    <xf numFmtId="0" fontId="217" fillId="0" borderId="53" applyNumberFormat="0" applyFill="0" applyAlignment="0" applyProtection="0"/>
    <xf numFmtId="0" fontId="217" fillId="0" borderId="53" applyNumberFormat="0" applyFill="0" applyAlignment="0" applyProtection="0"/>
    <xf numFmtId="0" fontId="257" fillId="0" borderId="29" applyNumberFormat="0" applyFill="0" applyAlignment="0" applyProtection="0"/>
    <xf numFmtId="0" fontId="217" fillId="0" borderId="53" applyNumberFormat="0" applyFill="0" applyAlignment="0" applyProtection="0"/>
    <xf numFmtId="0" fontId="128" fillId="0" borderId="53" applyNumberFormat="0" applyFill="0" applyAlignment="0" applyProtection="0">
      <alignment vertical="center"/>
    </xf>
    <xf numFmtId="0" fontId="257" fillId="0" borderId="29" applyNumberFormat="0" applyFill="0" applyAlignment="0" applyProtection="0"/>
    <xf numFmtId="0" fontId="128" fillId="0" borderId="53" applyNumberFormat="0" applyFill="0" applyAlignment="0" applyProtection="0"/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28" fillId="0" borderId="53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17" fillId="0" borderId="56" applyNumberFormat="0" applyFill="0" applyAlignment="0" applyProtection="0"/>
    <xf numFmtId="0" fontId="117" fillId="0" borderId="56" applyNumberFormat="0" applyFill="0" applyAlignment="0" applyProtection="0"/>
    <xf numFmtId="0" fontId="259" fillId="0" borderId="30" applyNumberFormat="0" applyFill="0" applyAlignment="0" applyProtection="0"/>
    <xf numFmtId="0" fontId="117" fillId="0" borderId="56" applyNumberFormat="0" applyFill="0" applyAlignment="0" applyProtection="0"/>
    <xf numFmtId="0" fontId="117" fillId="0" borderId="56" applyNumberFormat="0" applyFill="0" applyAlignment="0" applyProtection="0"/>
    <xf numFmtId="0" fontId="259" fillId="0" borderId="30" applyNumberFormat="0" applyFill="0" applyAlignment="0" applyProtection="0"/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17" fillId="0" borderId="56" applyNumberFormat="0" applyFill="0" applyAlignment="0" applyProtection="0"/>
    <xf numFmtId="0" fontId="117" fillId="0" borderId="56" applyNumberFormat="0" applyFill="0" applyAlignment="0" applyProtection="0"/>
    <xf numFmtId="0" fontId="130" fillId="0" borderId="56" applyNumberFormat="0" applyFill="0" applyAlignment="0" applyProtection="0"/>
    <xf numFmtId="0" fontId="130" fillId="0" borderId="56" applyNumberFormat="0" applyFill="0" applyAlignment="0" applyProtection="0"/>
    <xf numFmtId="0" fontId="260" fillId="0" borderId="30" applyNumberFormat="0" applyFill="0" applyAlignment="0" applyProtection="0"/>
    <xf numFmtId="0" fontId="130" fillId="0" borderId="56" applyNumberFormat="0" applyFill="0" applyAlignment="0" applyProtection="0"/>
    <xf numFmtId="0" fontId="130" fillId="0" borderId="56" applyNumberFormat="0" applyFill="0" applyAlignment="0" applyProtection="0"/>
    <xf numFmtId="0" fontId="130" fillId="0" borderId="56" applyNumberFormat="0" applyFill="0" applyAlignment="0" applyProtection="0"/>
    <xf numFmtId="0" fontId="260" fillId="0" borderId="30" applyNumberFormat="0" applyFill="0" applyAlignment="0" applyProtection="0"/>
    <xf numFmtId="0" fontId="130" fillId="0" borderId="56" applyNumberFormat="0" applyFill="0" applyAlignment="0" applyProtection="0"/>
    <xf numFmtId="0" fontId="117" fillId="0" borderId="56" applyNumberFormat="0" applyFill="0" applyAlignment="0" applyProtection="0"/>
    <xf numFmtId="0" fontId="117" fillId="0" borderId="56" applyNumberFormat="0" applyFill="0" applyAlignment="0" applyProtection="0"/>
    <xf numFmtId="0" fontId="259" fillId="0" borderId="30" applyNumberFormat="0" applyFill="0" applyAlignment="0" applyProtection="0"/>
    <xf numFmtId="0" fontId="117" fillId="0" borderId="56" applyNumberFormat="0" applyFill="0" applyAlignment="0" applyProtection="0"/>
    <xf numFmtId="0" fontId="117" fillId="0" borderId="56" applyNumberFormat="0" applyFill="0" applyAlignment="0" applyProtection="0"/>
    <xf numFmtId="0" fontId="259" fillId="0" borderId="30" applyNumberFormat="0" applyFill="0" applyAlignment="0" applyProtection="0"/>
    <xf numFmtId="0" fontId="117" fillId="0" borderId="56" applyNumberFormat="0" applyFill="0" applyAlignment="0" applyProtection="0"/>
    <xf numFmtId="0" fontId="130" fillId="0" borderId="56" applyNumberFormat="0" applyFill="0" applyAlignment="0" applyProtection="0">
      <alignment vertical="center"/>
    </xf>
    <xf numFmtId="0" fontId="259" fillId="0" borderId="30" applyNumberFormat="0" applyFill="0" applyAlignment="0" applyProtection="0"/>
    <xf numFmtId="0" fontId="130" fillId="0" borderId="56" applyNumberFormat="0" applyFill="0" applyAlignment="0" applyProtection="0"/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56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54" fillId="0" borderId="0" applyNumberFormat="0" applyFill="0" applyBorder="0" applyAlignment="0" applyProtection="0">
      <alignment vertical="center"/>
    </xf>
    <xf numFmtId="0" fontId="262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265" fillId="13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265" fillId="13" borderId="0" applyNumberFormat="0" applyBorder="0" applyAlignment="0" applyProtection="0"/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264" fillId="52" borderId="0" applyNumberFormat="0" applyBorder="0" applyAlignment="0" applyProtection="0"/>
    <xf numFmtId="0" fontId="264" fillId="52" borderId="0" applyNumberFormat="0" applyBorder="0" applyAlignment="0" applyProtection="0"/>
    <xf numFmtId="0" fontId="266" fillId="13" borderId="0" applyNumberFormat="0" applyBorder="0" applyAlignment="0" applyProtection="0"/>
    <xf numFmtId="0" fontId="264" fillId="52" borderId="0" applyNumberFormat="0" applyBorder="0" applyAlignment="0" applyProtection="0"/>
    <xf numFmtId="0" fontId="264" fillId="52" borderId="0" applyNumberFormat="0" applyBorder="0" applyAlignment="0" applyProtection="0"/>
    <xf numFmtId="0" fontId="264" fillId="52" borderId="0" applyNumberFormat="0" applyBorder="0" applyAlignment="0" applyProtection="0"/>
    <xf numFmtId="0" fontId="266" fillId="13" borderId="0" applyNumberFormat="0" applyBorder="0" applyAlignment="0" applyProtection="0"/>
    <xf numFmtId="0" fontId="264" fillId="52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265" fillId="13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265" fillId="13" borderId="0" applyNumberFormat="0" applyBorder="0" applyAlignment="0" applyProtection="0"/>
    <xf numFmtId="0" fontId="94" fillId="52" borderId="0" applyNumberFormat="0" applyBorder="0" applyAlignment="0" applyProtection="0"/>
    <xf numFmtId="0" fontId="264" fillId="52" borderId="0" applyNumberFormat="0" applyBorder="0" applyAlignment="0" applyProtection="0">
      <alignment vertical="center"/>
    </xf>
    <xf numFmtId="0" fontId="265" fillId="13" borderId="0" applyNumberFormat="0" applyBorder="0" applyAlignment="0" applyProtection="0"/>
    <xf numFmtId="0" fontId="264" fillId="52" borderId="0" applyNumberFormat="0" applyBorder="0" applyAlignment="0" applyProtection="0"/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4" fillId="52" borderId="0" applyNumberFormat="0" applyBorder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162" fillId="58" borderId="64" applyNumberFormat="0" applyAlignment="0" applyProtection="0"/>
    <xf numFmtId="0" fontId="162" fillId="58" borderId="64" applyNumberFormat="0" applyAlignment="0" applyProtection="0"/>
    <xf numFmtId="0" fontId="268" fillId="17" borderId="32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268" fillId="17" borderId="32" applyNumberFormat="0" applyAlignment="0" applyProtection="0"/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162" fillId="58" borderId="64" applyNumberFormat="0" applyAlignment="0" applyProtection="0"/>
    <xf numFmtId="0" fontId="162" fillId="58" borderId="64" applyNumberFormat="0" applyAlignment="0" applyProtection="0"/>
    <xf numFmtId="0" fontId="267" fillId="58" borderId="64" applyNumberFormat="0" applyAlignment="0" applyProtection="0"/>
    <xf numFmtId="0" fontId="267" fillId="58" borderId="64" applyNumberFormat="0" applyAlignment="0" applyProtection="0"/>
    <xf numFmtId="0" fontId="269" fillId="17" borderId="32" applyNumberFormat="0" applyAlignment="0" applyProtection="0"/>
    <xf numFmtId="0" fontId="267" fillId="58" borderId="64" applyNumberFormat="0" applyAlignment="0" applyProtection="0"/>
    <xf numFmtId="0" fontId="267" fillId="58" borderId="64" applyNumberFormat="0" applyAlignment="0" applyProtection="0"/>
    <xf numFmtId="0" fontId="267" fillId="58" borderId="64" applyNumberFormat="0" applyAlignment="0" applyProtection="0"/>
    <xf numFmtId="0" fontId="269" fillId="17" borderId="32" applyNumberFormat="0" applyAlignment="0" applyProtection="0"/>
    <xf numFmtId="0" fontId="267" fillId="58" borderId="64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268" fillId="17" borderId="32" applyNumberFormat="0" applyAlignment="0" applyProtection="0"/>
    <xf numFmtId="0" fontId="162" fillId="58" borderId="64" applyNumberFormat="0" applyAlignment="0" applyProtection="0"/>
    <xf numFmtId="0" fontId="162" fillId="58" borderId="64" applyNumberFormat="0" applyAlignment="0" applyProtection="0"/>
    <xf numFmtId="0" fontId="268" fillId="17" borderId="32" applyNumberFormat="0" applyAlignment="0" applyProtection="0"/>
    <xf numFmtId="0" fontId="162" fillId="58" borderId="64" applyNumberFormat="0" applyAlignment="0" applyProtection="0"/>
    <xf numFmtId="0" fontId="267" fillId="58" borderId="64" applyNumberFormat="0" applyAlignment="0" applyProtection="0">
      <alignment vertical="center"/>
    </xf>
    <xf numFmtId="0" fontId="268" fillId="17" borderId="32" applyNumberFormat="0" applyAlignment="0" applyProtection="0"/>
    <xf numFmtId="0" fontId="267" fillId="58" borderId="64" applyNumberFormat="0" applyAlignment="0" applyProtection="0"/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0" fontId="267" fillId="58" borderId="64" applyNumberFormat="0" applyAlignment="0" applyProtection="0">
      <alignment vertical="center"/>
    </xf>
    <xf numFmtId="232" fontId="270" fillId="0" borderId="0" applyFont="0" applyFill="0" applyBorder="0" applyAlignment="0" applyProtection="0"/>
    <xf numFmtId="0" fontId="49" fillId="0" borderId="0" applyFont="0" applyFill="0" applyBorder="0" applyAlignment="0" applyProtection="0"/>
    <xf numFmtId="233" fontId="48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48" fillId="0" borderId="0" applyFont="0" applyFill="0" applyBorder="0" applyAlignment="0" applyProtection="0">
      <alignment vertical="center"/>
    </xf>
    <xf numFmtId="233" fontId="48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233" fillId="0" borderId="0" applyFont="0" applyFill="0" applyBorder="0" applyAlignment="0" applyProtection="0">
      <alignment vertical="center"/>
    </xf>
    <xf numFmtId="233" fontId="48" fillId="0" borderId="0" applyFont="0" applyFill="0" applyBorder="0" applyAlignment="0" applyProtection="0">
      <alignment vertical="center"/>
    </xf>
    <xf numFmtId="234" fontId="49" fillId="0" borderId="0" applyFont="0" applyFill="0" applyBorder="0" applyAlignment="0" applyProtection="0"/>
    <xf numFmtId="235" fontId="49" fillId="0" borderId="0" applyFont="0" applyFill="0" applyBorder="0" applyAlignment="0" applyProtection="0"/>
    <xf numFmtId="0" fontId="271" fillId="0" borderId="0">
      <alignment vertical="center"/>
    </xf>
    <xf numFmtId="0" fontId="48" fillId="0" borderId="0">
      <alignment vertical="center"/>
    </xf>
    <xf numFmtId="0" fontId="65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5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5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70" fillId="0" borderId="0">
      <alignment vertical="center"/>
    </xf>
    <xf numFmtId="0" fontId="272" fillId="0" borderId="0"/>
    <xf numFmtId="0" fontId="65" fillId="0" borderId="0"/>
    <xf numFmtId="0" fontId="1" fillId="0" borderId="0"/>
    <xf numFmtId="0" fontId="64" fillId="0" borderId="0">
      <alignment vertical="center"/>
    </xf>
    <xf numFmtId="0" fontId="23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8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6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58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8" fillId="0" borderId="0">
      <alignment vertical="center"/>
    </xf>
    <xf numFmtId="0" fontId="158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74" fillId="0" borderId="0"/>
    <xf numFmtId="0" fontId="43" fillId="0" borderId="0"/>
    <xf numFmtId="0" fontId="6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3" fillId="0" borderId="0">
      <alignment vertical="center"/>
    </xf>
    <xf numFmtId="0" fontId="48" fillId="0" borderId="0">
      <alignment vertical="center"/>
    </xf>
    <xf numFmtId="0" fontId="158" fillId="0" borderId="0">
      <alignment vertical="center"/>
    </xf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>
      <alignment vertical="center"/>
    </xf>
    <xf numFmtId="0" fontId="48" fillId="0" borderId="0">
      <alignment vertical="center"/>
    </xf>
    <xf numFmtId="0" fontId="158" fillId="0" borderId="0">
      <alignment vertical="center"/>
    </xf>
    <xf numFmtId="0" fontId="64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5" fillId="0" borderId="0"/>
    <xf numFmtId="0" fontId="158" fillId="0" borderId="0">
      <alignment vertical="center"/>
    </xf>
    <xf numFmtId="0" fontId="65" fillId="0" borderId="0"/>
    <xf numFmtId="0" fontId="65" fillId="0" borderId="0"/>
    <xf numFmtId="0" fontId="65" fillId="0" borderId="0"/>
    <xf numFmtId="0" fontId="48" fillId="0" borderId="0">
      <alignment vertical="center"/>
    </xf>
    <xf numFmtId="0" fontId="9" fillId="0" borderId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48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72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72" fillId="0" borderId="0"/>
    <xf numFmtId="0" fontId="272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72" fillId="0" borderId="0"/>
    <xf numFmtId="0" fontId="272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72" fillId="0" borderId="0"/>
    <xf numFmtId="0" fontId="272" fillId="0" borderId="0"/>
    <xf numFmtId="0" fontId="272" fillId="0" borderId="0"/>
    <xf numFmtId="0" fontId="65" fillId="0" borderId="0"/>
    <xf numFmtId="0" fontId="272" fillId="0" borderId="0"/>
    <xf numFmtId="0" fontId="272" fillId="0" borderId="0"/>
    <xf numFmtId="0" fontId="65" fillId="0" borderId="0"/>
    <xf numFmtId="0" fontId="65" fillId="0" borderId="0"/>
    <xf numFmtId="0" fontId="55" fillId="0" borderId="0"/>
    <xf numFmtId="0" fontId="49" fillId="0" borderId="0" applyFont="0" applyFill="0" applyBorder="0" applyAlignment="0" applyProtection="0"/>
    <xf numFmtId="0" fontId="275" fillId="0" borderId="0"/>
    <xf numFmtId="17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276" fillId="0" borderId="0"/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7" fillId="52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278" fillId="50" borderId="0" applyNumberFormat="0" applyBorder="0" applyAlignment="0" applyProtection="0">
      <alignment vertical="center"/>
    </xf>
    <xf numFmtId="0" fontId="168" fillId="0" borderId="0"/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7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79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73" fillId="85" borderId="0" applyNumberFormat="0" applyBorder="0" applyAlignment="0" applyProtection="0">
      <alignment vertical="center"/>
    </xf>
    <xf numFmtId="0" fontId="10" fillId="0" borderId="0" applyNumberFormat="0"/>
    <xf numFmtId="0" fontId="279" fillId="0" borderId="0" applyNumberFormat="0" applyFill="0" applyBorder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80" fillId="0" borderId="52" applyNumberFormat="0" applyFill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1" fillId="0" borderId="53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56" applyNumberFormat="0" applyFill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9" fillId="0" borderId="0"/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3" fillId="95" borderId="42" applyNumberFormat="0" applyAlignment="0" applyProtection="0">
      <alignment vertical="center"/>
    </xf>
    <xf numFmtId="0" fontId="284" fillId="0" borderId="0"/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285" fillId="0" borderId="88" applyNumberFormat="0" applyFill="0" applyAlignment="0" applyProtection="0">
      <alignment vertical="center"/>
    </xf>
    <xf numFmtId="0" fontId="48" fillId="51" borderId="27" applyNumberFormat="0" applyFont="0" applyAlignment="0" applyProtection="0">
      <alignment vertical="center"/>
    </xf>
    <xf numFmtId="236" fontId="51" fillId="0" borderId="0" applyFont="0" applyFill="0" applyBorder="0" applyAlignment="0" applyProtection="0"/>
    <xf numFmtId="237" fontId="51" fillId="0" borderId="0" applyFont="0" applyFill="0" applyBorder="0" applyAlignment="0" applyProtection="0"/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288" fillId="58" borderId="37" applyNumberForma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89" fillId="49" borderId="37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0" fillId="58" borderId="64" applyNumberFormat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291" fillId="57" borderId="0" applyNumberFormat="0" applyBorder="0" applyAlignment="0" applyProtection="0">
      <alignment vertical="center"/>
    </xf>
    <xf numFmtId="0" fontId="51" fillId="0" borderId="0"/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0" fontId="292" fillId="0" borderId="43" applyNumberFormat="0" applyFill="0" applyAlignment="0" applyProtection="0">
      <alignment vertical="center"/>
    </xf>
    <xf numFmtId="238" fontId="51" fillId="0" borderId="0" applyFont="0" applyFill="0" applyBorder="0" applyAlignment="0" applyProtection="0"/>
    <xf numFmtId="239" fontId="51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/>
    <xf numFmtId="0" fontId="0" fillId="0" borderId="0" xfId="0" applyFont="1"/>
    <xf numFmtId="10" fontId="0" fillId="11" borderId="91" xfId="3" applyNumberFormat="1" applyFont="1" applyFill="1" applyBorder="1" applyProtection="1">
      <protection hidden="1"/>
    </xf>
    <xf numFmtId="0" fontId="0" fillId="138" borderId="92" xfId="0" applyFill="1" applyBorder="1"/>
    <xf numFmtId="0" fontId="0" fillId="12" borderId="92" xfId="0" applyFill="1" applyBorder="1"/>
    <xf numFmtId="44" fontId="0" fillId="0" borderId="24" xfId="2" applyFont="1" applyBorder="1" applyProtection="1">
      <protection locked="0"/>
    </xf>
    <xf numFmtId="10" fontId="0" fillId="11" borderId="25" xfId="3" applyNumberFormat="1" applyFont="1" applyFill="1" applyBorder="1" applyProtection="1">
      <protection hidden="1"/>
    </xf>
    <xf numFmtId="44" fontId="0" fillId="0" borderId="95" xfId="2" applyFont="1" applyBorder="1" applyProtection="1">
      <protection locked="0"/>
    </xf>
    <xf numFmtId="10" fontId="0" fillId="11" borderId="94" xfId="3" applyNumberFormat="1" applyFont="1" applyFill="1" applyBorder="1" applyProtection="1">
      <protection hidden="1"/>
    </xf>
    <xf numFmtId="10" fontId="0" fillId="11" borderId="96" xfId="3" applyNumberFormat="1" applyFont="1" applyFill="1" applyBorder="1" applyProtection="1">
      <protection hidden="1"/>
    </xf>
    <xf numFmtId="8" fontId="0" fillId="0" borderId="95" xfId="2" applyNumberFormat="1" applyFont="1" applyBorder="1" applyProtection="1">
      <protection locked="0"/>
    </xf>
    <xf numFmtId="0" fontId="294" fillId="4" borderId="1" xfId="0" applyFont="1" applyFill="1" applyBorder="1" applyAlignment="1" applyProtection="1">
      <alignment horizontal="center" vertical="center"/>
      <protection hidden="1"/>
    </xf>
    <xf numFmtId="0" fontId="2" fillId="2" borderId="23" xfId="0" applyFont="1" applyFill="1" applyBorder="1" applyAlignment="1" applyProtection="1">
      <alignment vertical="center" wrapText="1"/>
      <protection hidden="1"/>
    </xf>
    <xf numFmtId="0" fontId="2" fillId="2" borderId="23" xfId="0" applyFont="1" applyFill="1" applyBorder="1" applyAlignment="1" applyProtection="1">
      <alignment horizontal="center" textRotation="90"/>
      <protection hidden="1"/>
    </xf>
    <xf numFmtId="0" fontId="2" fillId="2" borderId="23" xfId="0" applyFont="1" applyFill="1" applyBorder="1" applyAlignment="1" applyProtection="1">
      <alignment horizontal="center" textRotation="90" wrapText="1"/>
      <protection hidden="1"/>
    </xf>
    <xf numFmtId="0" fontId="3" fillId="3" borderId="23" xfId="0" applyFont="1" applyFill="1" applyBorder="1" applyAlignment="1" applyProtection="1">
      <alignment vertical="center" wrapText="1"/>
      <protection hidden="1"/>
    </xf>
    <xf numFmtId="0" fontId="3" fillId="3" borderId="23" xfId="0" applyFont="1" applyFill="1" applyBorder="1" applyAlignment="1" applyProtection="1">
      <alignment horizontal="center" vertical="center" textRotation="90" wrapText="1"/>
      <protection hidden="1"/>
    </xf>
    <xf numFmtId="44" fontId="2" fillId="2" borderId="23" xfId="2" applyFont="1" applyFill="1" applyBorder="1" applyAlignment="1" applyProtection="1">
      <alignment vertical="center" wrapText="1"/>
      <protection hidden="1"/>
    </xf>
    <xf numFmtId="10" fontId="2" fillId="2" borderId="23" xfId="3" applyNumberFormat="1" applyFont="1" applyFill="1" applyBorder="1" applyAlignment="1" applyProtection="1">
      <alignment vertical="center" wrapText="1"/>
      <protection hidden="1"/>
    </xf>
    <xf numFmtId="43" fontId="2" fillId="2" borderId="23" xfId="1" applyFont="1" applyFill="1" applyBorder="1" applyAlignment="1" applyProtection="1">
      <alignment vertical="center" wrapText="1"/>
      <protection hidden="1"/>
    </xf>
    <xf numFmtId="9" fontId="2" fillId="2" borderId="23" xfId="3" applyFont="1" applyFill="1" applyBorder="1" applyAlignment="1" applyProtection="1">
      <alignment vertical="center" wrapText="1"/>
      <protection hidden="1"/>
    </xf>
    <xf numFmtId="0" fontId="2" fillId="3" borderId="23" xfId="0" applyFont="1" applyFill="1" applyBorder="1" applyAlignment="1" applyProtection="1">
      <alignment horizontal="left" vertical="center" wrapText="1"/>
      <protection hidden="1"/>
    </xf>
    <xf numFmtId="0" fontId="2" fillId="2" borderId="23" xfId="0" applyFont="1" applyFill="1" applyBorder="1" applyAlignment="1" applyProtection="1">
      <alignment horizontal="left" vertical="center" wrapText="1"/>
      <protection hidden="1"/>
    </xf>
    <xf numFmtId="0" fontId="3" fillId="3" borderId="23" xfId="0" applyFont="1" applyFill="1" applyBorder="1" applyAlignment="1" applyProtection="1">
      <alignment horizontal="left" vertical="center" wrapText="1"/>
      <protection hidden="1"/>
    </xf>
    <xf numFmtId="0" fontId="0" fillId="11" borderId="94" xfId="0" applyFill="1" applyBorder="1" applyProtection="1">
      <protection hidden="1"/>
    </xf>
    <xf numFmtId="0" fontId="0" fillId="11" borderId="94" xfId="0" applyFont="1" applyFill="1" applyBorder="1" applyProtection="1">
      <protection hidden="1"/>
    </xf>
    <xf numFmtId="0" fontId="0" fillId="11" borderId="96" xfId="0" applyFill="1" applyBorder="1" applyProtection="1">
      <protection hidden="1"/>
    </xf>
    <xf numFmtId="0" fontId="0" fillId="11" borderId="96" xfId="0" applyFont="1" applyFill="1" applyBorder="1" applyProtection="1">
      <protection hidden="1"/>
    </xf>
    <xf numFmtId="0" fontId="40" fillId="0" borderId="24" xfId="0" applyFont="1" applyFill="1" applyBorder="1" applyAlignment="1" applyProtection="1">
      <alignment horizontal="left" vertical="center"/>
      <protection locked="0"/>
    </xf>
    <xf numFmtId="0" fontId="0" fillId="0" borderId="25" xfId="0" applyFont="1" applyFill="1" applyBorder="1" applyAlignment="1" applyProtection="1">
      <alignment horizontal="left" vertical="center"/>
      <protection locked="0"/>
    </xf>
    <xf numFmtId="0" fontId="0" fillId="0" borderId="94" xfId="0" applyFont="1" applyFill="1" applyBorder="1" applyAlignment="1" applyProtection="1">
      <alignment horizontal="left" vertical="center"/>
      <protection locked="0"/>
    </xf>
    <xf numFmtId="0" fontId="0" fillId="0" borderId="24" xfId="0" applyFont="1" applyFill="1" applyBorder="1" applyProtection="1">
      <protection locked="0"/>
    </xf>
    <xf numFmtId="0" fontId="0" fillId="0" borderId="25" xfId="0" applyFont="1" applyFill="1" applyBorder="1" applyProtection="1">
      <protection locked="0"/>
    </xf>
    <xf numFmtId="0" fontId="0" fillId="0" borderId="25" xfId="0" applyFont="1" applyFill="1" applyBorder="1" applyAlignment="1" applyProtection="1">
      <alignment horizontal="left"/>
      <protection locked="0"/>
    </xf>
    <xf numFmtId="0" fontId="41" fillId="0" borderId="25" xfId="0" applyFont="1" applyFill="1" applyBorder="1" applyAlignment="1" applyProtection="1">
      <alignment horizontal="center" vertical="center" wrapText="1"/>
      <protection locked="0"/>
    </xf>
    <xf numFmtId="0" fontId="40" fillId="0" borderId="94" xfId="0" applyFont="1" applyBorder="1" applyAlignment="1" applyProtection="1">
      <alignment horizontal="left" vertical="center"/>
      <protection locked="0"/>
    </xf>
    <xf numFmtId="0" fontId="40" fillId="0" borderId="73" xfId="0" applyFont="1" applyBorder="1" applyAlignment="1" applyProtection="1">
      <alignment horizontal="left" vertical="center"/>
      <protection locked="0"/>
    </xf>
    <xf numFmtId="0" fontId="40" fillId="0" borderId="19" xfId="0" applyFont="1" applyFill="1" applyBorder="1" applyAlignment="1" applyProtection="1">
      <alignment horizontal="left" vertical="center"/>
      <protection locked="0"/>
    </xf>
    <xf numFmtId="0" fontId="40" fillId="0" borderId="68" xfId="0" applyFont="1" applyFill="1" applyBorder="1" applyAlignment="1" applyProtection="1">
      <alignment horizontal="left" vertical="center"/>
      <protection locked="0"/>
    </xf>
    <xf numFmtId="14" fontId="293" fillId="0" borderId="24" xfId="0" applyNumberFormat="1" applyFont="1" applyFill="1" applyBorder="1" applyAlignment="1" applyProtection="1">
      <alignment horizontal="left" vertical="center"/>
      <protection locked="0"/>
    </xf>
    <xf numFmtId="14" fontId="293" fillId="0" borderId="94" xfId="0" applyNumberFormat="1" applyFont="1" applyFill="1" applyBorder="1" applyAlignment="1" applyProtection="1">
      <alignment horizontal="left" vertical="center"/>
      <protection locked="0"/>
    </xf>
    <xf numFmtId="0" fontId="40" fillId="0" borderId="19" xfId="0" applyFont="1" applyFill="1" applyBorder="1" applyAlignment="1" applyProtection="1">
      <alignment horizontal="center" vertical="center"/>
      <protection locked="0"/>
    </xf>
    <xf numFmtId="0" fontId="40" fillId="0" borderId="24" xfId="0" applyFont="1" applyBorder="1" applyAlignment="1" applyProtection="1">
      <alignment horizontal="left" vertical="center"/>
      <protection locked="0"/>
    </xf>
    <xf numFmtId="0" fontId="40" fillId="0" borderId="25" xfId="0" applyFont="1" applyFill="1" applyBorder="1" applyAlignment="1" applyProtection="1">
      <protection locked="0"/>
    </xf>
    <xf numFmtId="0" fontId="40" fillId="0" borderId="95" xfId="0" applyFont="1" applyFill="1" applyBorder="1" applyAlignment="1" applyProtection="1">
      <alignment horizontal="left" vertical="center"/>
      <protection locked="0"/>
    </xf>
    <xf numFmtId="0" fontId="0" fillId="0" borderId="96" xfId="0" applyFont="1" applyFill="1" applyBorder="1" applyAlignment="1" applyProtection="1">
      <alignment horizontal="left" vertical="center"/>
      <protection locked="0"/>
    </xf>
    <xf numFmtId="0" fontId="0" fillId="0" borderId="95" xfId="0" applyFont="1" applyFill="1" applyBorder="1" applyProtection="1">
      <protection locked="0"/>
    </xf>
    <xf numFmtId="0" fontId="0" fillId="0" borderId="91" xfId="0" applyFont="1" applyFill="1" applyBorder="1" applyProtection="1">
      <protection locked="0"/>
    </xf>
    <xf numFmtId="0" fontId="0" fillId="0" borderId="91" xfId="0" applyFont="1" applyFill="1" applyBorder="1" applyAlignment="1" applyProtection="1">
      <alignment horizontal="left"/>
      <protection locked="0"/>
    </xf>
    <xf numFmtId="0" fontId="41" fillId="0" borderId="91" xfId="0" applyFont="1" applyFill="1" applyBorder="1" applyAlignment="1" applyProtection="1">
      <alignment horizontal="center" vertical="center" wrapText="1"/>
      <protection locked="0"/>
    </xf>
    <xf numFmtId="0" fontId="40" fillId="0" borderId="96" xfId="0" applyFont="1" applyBorder="1" applyAlignment="1" applyProtection="1">
      <alignment horizontal="left" vertical="center"/>
      <protection locked="0"/>
    </xf>
    <xf numFmtId="14" fontId="293" fillId="0" borderId="95" xfId="0" applyNumberFormat="1" applyFont="1" applyFill="1" applyBorder="1" applyAlignment="1" applyProtection="1">
      <alignment horizontal="left" vertical="center"/>
      <protection locked="0"/>
    </xf>
    <xf numFmtId="14" fontId="293" fillId="0" borderId="96" xfId="0" applyNumberFormat="1" applyFont="1" applyFill="1" applyBorder="1" applyAlignment="1" applyProtection="1">
      <alignment horizontal="left" vertical="center"/>
      <protection locked="0"/>
    </xf>
    <xf numFmtId="0" fontId="40" fillId="0" borderId="6" xfId="0" applyFont="1" applyFill="1" applyBorder="1" applyAlignment="1" applyProtection="1">
      <alignment horizontal="center" vertical="center"/>
      <protection locked="0"/>
    </xf>
    <xf numFmtId="0" fontId="40" fillId="0" borderId="95" xfId="0" applyFont="1" applyBorder="1" applyAlignment="1" applyProtection="1">
      <alignment horizontal="left" vertical="center"/>
      <protection locked="0"/>
    </xf>
    <xf numFmtId="0" fontId="40" fillId="0" borderId="91" xfId="0" applyFont="1" applyFill="1" applyBorder="1" applyAlignment="1" applyProtection="1">
      <protection locked="0"/>
    </xf>
    <xf numFmtId="44" fontId="40" fillId="0" borderId="25" xfId="2" applyFont="1" applyFill="1" applyBorder="1" applyAlignment="1" applyProtection="1">
      <alignment horizontal="left" vertical="center"/>
      <protection locked="0"/>
    </xf>
    <xf numFmtId="44" fontId="40" fillId="0" borderId="91" xfId="2" applyFont="1" applyFill="1" applyBorder="1" applyAlignment="1" applyProtection="1">
      <alignment horizontal="left" vertical="center"/>
      <protection locked="0"/>
    </xf>
    <xf numFmtId="0" fontId="40" fillId="0" borderId="24" xfId="0" applyFont="1" applyFill="1" applyBorder="1" applyAlignment="1" applyProtection="1">
      <alignment horizontal="center"/>
      <protection locked="0"/>
    </xf>
    <xf numFmtId="0" fontId="40" fillId="0" borderId="25" xfId="0" applyFont="1" applyFill="1" applyBorder="1" applyAlignment="1" applyProtection="1">
      <alignment horizontal="center"/>
      <protection locked="0"/>
    </xf>
    <xf numFmtId="44" fontId="40" fillId="0" borderId="25" xfId="2" applyFont="1" applyFill="1" applyBorder="1" applyAlignment="1" applyProtection="1">
      <alignment horizontal="center"/>
      <protection locked="0"/>
    </xf>
    <xf numFmtId="0" fontId="40" fillId="0" borderId="95" xfId="0" applyFont="1" applyFill="1" applyBorder="1" applyAlignment="1" applyProtection="1">
      <alignment horizontal="center"/>
      <protection locked="0"/>
    </xf>
    <xf numFmtId="0" fontId="0" fillId="0" borderId="91" xfId="0" applyFont="1" applyFill="1" applyBorder="1" applyAlignment="1" applyProtection="1">
      <alignment horizontal="center" vertical="center" wrapText="1"/>
      <protection locked="0"/>
    </xf>
    <xf numFmtId="14" fontId="40" fillId="0" borderId="73" xfId="0" applyNumberFormat="1" applyFont="1" applyFill="1" applyBorder="1" applyAlignment="1" applyProtection="1">
      <alignment horizontal="left" vertical="center"/>
      <protection locked="0"/>
    </xf>
    <xf numFmtId="14" fontId="40" fillId="0" borderId="19" xfId="0" applyNumberFormat="1" applyFont="1" applyFill="1" applyBorder="1" applyAlignment="1" applyProtection="1">
      <alignment horizontal="left" vertical="center"/>
      <protection locked="0"/>
    </xf>
    <xf numFmtId="0" fontId="0" fillId="0" borderId="68" xfId="0" applyFont="1" applyFill="1" applyBorder="1" applyAlignment="1" applyProtection="1">
      <alignment horizontal="center" vertical="center"/>
      <protection locked="0"/>
    </xf>
    <xf numFmtId="0" fontId="0" fillId="0" borderId="24" xfId="0" applyFont="1" applyFill="1" applyBorder="1" applyAlignment="1" applyProtection="1">
      <alignment horizontal="center" vertical="center"/>
      <protection locked="0"/>
    </xf>
    <xf numFmtId="0" fontId="0" fillId="0" borderId="25" xfId="0" applyFont="1" applyFill="1" applyBorder="1" applyAlignment="1" applyProtection="1">
      <alignment horizontal="center" vertical="center"/>
      <protection locked="0"/>
    </xf>
    <xf numFmtId="0" fontId="0" fillId="0" borderId="94" xfId="0" applyFont="1" applyFill="1" applyBorder="1" applyAlignment="1" applyProtection="1">
      <alignment horizontal="center" vertical="center"/>
      <protection locked="0"/>
    </xf>
    <xf numFmtId="0" fontId="0" fillId="0" borderId="93" xfId="0" applyFont="1" applyFill="1" applyBorder="1" applyAlignment="1" applyProtection="1">
      <alignment horizontal="center" vertical="center"/>
      <protection locked="0"/>
    </xf>
    <xf numFmtId="0" fontId="0" fillId="0" borderId="95" xfId="0" applyFont="1" applyFill="1" applyBorder="1" applyAlignment="1" applyProtection="1">
      <alignment horizontal="center" vertical="center"/>
      <protection locked="0"/>
    </xf>
    <xf numFmtId="0" fontId="0" fillId="0" borderId="91" xfId="0" applyFont="1" applyFill="1" applyBorder="1" applyAlignment="1" applyProtection="1">
      <alignment horizontal="center" vertical="center"/>
      <protection locked="0"/>
    </xf>
    <xf numFmtId="0" fontId="0" fillId="0" borderId="96" xfId="0" applyFont="1" applyFill="1" applyBorder="1" applyAlignment="1" applyProtection="1">
      <alignment horizontal="center" vertical="center"/>
      <protection locked="0"/>
    </xf>
    <xf numFmtId="0" fontId="6" fillId="5" borderId="91" xfId="0" applyFont="1" applyFill="1" applyBorder="1" applyProtection="1"/>
    <xf numFmtId="0" fontId="6" fillId="5" borderId="6" xfId="0" applyFont="1" applyFill="1" applyBorder="1" applyProtection="1"/>
    <xf numFmtId="0" fontId="0" fillId="0" borderId="0" xfId="0" applyProtection="1"/>
    <xf numFmtId="0" fontId="45" fillId="0" borderId="0" xfId="0" applyFont="1" applyProtection="1"/>
    <xf numFmtId="0" fontId="7" fillId="0" borderId="91" xfId="0" applyFont="1" applyBorder="1" applyAlignment="1" applyProtection="1">
      <alignment vertical="center"/>
    </xf>
    <xf numFmtId="0" fontId="0" fillId="0" borderId="91" xfId="0" applyBorder="1" applyProtection="1"/>
    <xf numFmtId="0" fontId="0" fillId="139" borderId="91" xfId="0" applyFill="1" applyBorder="1" applyProtection="1"/>
    <xf numFmtId="0" fontId="0" fillId="0" borderId="0" xfId="0" applyBorder="1" applyProtection="1"/>
    <xf numFmtId="0" fontId="294" fillId="4" borderId="1" xfId="0" applyFont="1" applyFill="1" applyBorder="1" applyAlignment="1" applyProtection="1">
      <alignment horizontal="center" vertical="center"/>
      <protection hidden="1"/>
    </xf>
    <xf numFmtId="0" fontId="3" fillId="2" borderId="23" xfId="0" applyFont="1" applyFill="1" applyBorder="1" applyAlignment="1" applyProtection="1">
      <alignment horizontal="center" vertical="center" textRotation="90" wrapText="1"/>
      <protection hidden="1"/>
    </xf>
    <xf numFmtId="0" fontId="40" fillId="0" borderId="24" xfId="0" applyFont="1" applyFill="1" applyBorder="1" applyAlignment="1" applyProtection="1">
      <alignment horizontal="left"/>
      <protection locked="0"/>
    </xf>
    <xf numFmtId="0" fontId="40" fillId="0" borderId="95" xfId="0" applyFont="1" applyFill="1" applyBorder="1" applyAlignment="1" applyProtection="1">
      <alignment horizontal="left"/>
      <protection locked="0"/>
    </xf>
    <xf numFmtId="0" fontId="40" fillId="0" borderId="97" xfId="0" applyFont="1" applyFill="1" applyBorder="1" applyAlignment="1" applyProtection="1">
      <alignment horizontal="center"/>
      <protection locked="0"/>
    </xf>
    <xf numFmtId="0" fontId="40" fillId="0" borderId="98" xfId="0" applyFont="1" applyFill="1" applyBorder="1" applyAlignment="1" applyProtection="1">
      <alignment horizontal="center"/>
      <protection locked="0"/>
    </xf>
    <xf numFmtId="0" fontId="40" fillId="11" borderId="25" xfId="0" applyFont="1" applyFill="1" applyBorder="1" applyAlignment="1" applyProtection="1">
      <alignment horizontal="left"/>
      <protection hidden="1"/>
    </xf>
    <xf numFmtId="0" fontId="40" fillId="11" borderId="25" xfId="0" applyFont="1" applyFill="1" applyBorder="1" applyAlignment="1" applyProtection="1">
      <alignment horizontal="center"/>
      <protection hidden="1"/>
    </xf>
    <xf numFmtId="0" fontId="40" fillId="11" borderId="94" xfId="0" applyFont="1" applyFill="1" applyBorder="1" applyAlignment="1" applyProtection="1">
      <alignment horizontal="center"/>
      <protection hidden="1"/>
    </xf>
    <xf numFmtId="0" fontId="40" fillId="11" borderId="96" xfId="0" applyFont="1" applyFill="1" applyBorder="1" applyAlignment="1" applyProtection="1">
      <alignment horizontal="center"/>
      <protection hidden="1"/>
    </xf>
    <xf numFmtId="0" fontId="294" fillId="4" borderId="99" xfId="0" applyFont="1" applyFill="1" applyBorder="1" applyAlignment="1" applyProtection="1">
      <alignment horizontal="center" vertical="center"/>
      <protection hidden="1"/>
    </xf>
    <xf numFmtId="0" fontId="40" fillId="11" borderId="97" xfId="0" applyFont="1" applyFill="1" applyBorder="1" applyAlignment="1" applyProtection="1">
      <alignment horizontal="left"/>
      <protection hidden="1"/>
    </xf>
    <xf numFmtId="0" fontId="40" fillId="11" borderId="24" xfId="0" applyFont="1" applyFill="1" applyBorder="1" applyAlignment="1" applyProtection="1">
      <alignment horizontal="left"/>
      <protection hidden="1"/>
    </xf>
    <xf numFmtId="0" fontId="40" fillId="11" borderId="94" xfId="0" applyFont="1" applyFill="1" applyBorder="1" applyAlignment="1" applyProtection="1">
      <alignment horizontal="left"/>
      <protection hidden="1"/>
    </xf>
    <xf numFmtId="0" fontId="40" fillId="11" borderId="98" xfId="0" applyFont="1" applyFill="1" applyBorder="1" applyAlignment="1" applyProtection="1">
      <alignment horizontal="left"/>
      <protection hidden="1"/>
    </xf>
    <xf numFmtId="0" fontId="40" fillId="11" borderId="95" xfId="0" applyFont="1" applyFill="1" applyBorder="1" applyAlignment="1" applyProtection="1">
      <alignment horizontal="left"/>
      <protection hidden="1"/>
    </xf>
    <xf numFmtId="0" fontId="40" fillId="11" borderId="96" xfId="0" applyFont="1" applyFill="1" applyBorder="1" applyAlignment="1" applyProtection="1">
      <alignment horizontal="left"/>
      <protection hidden="1"/>
    </xf>
    <xf numFmtId="44" fontId="40" fillId="11" borderId="24" xfId="2" applyFont="1" applyFill="1" applyBorder="1" applyAlignment="1" applyProtection="1">
      <alignment horizontal="left" vertical="center"/>
      <protection hidden="1"/>
    </xf>
    <xf numFmtId="44" fontId="40" fillId="11" borderId="95" xfId="2" applyFont="1" applyFill="1" applyBorder="1" applyAlignment="1" applyProtection="1">
      <alignment horizontal="left" vertical="center"/>
      <protection hidden="1"/>
    </xf>
    <xf numFmtId="0" fontId="40" fillId="11" borderId="25" xfId="0" applyFont="1" applyFill="1" applyBorder="1" applyAlignment="1" applyProtection="1">
      <protection hidden="1"/>
    </xf>
    <xf numFmtId="0" fontId="40" fillId="11" borderId="91" xfId="0" applyFont="1" applyFill="1" applyBorder="1" applyAlignment="1" applyProtection="1">
      <protection hidden="1"/>
    </xf>
    <xf numFmtId="0" fontId="40" fillId="11" borderId="97" xfId="0" applyFont="1" applyFill="1" applyBorder="1" applyAlignment="1" applyProtection="1">
      <alignment horizontal="center"/>
      <protection hidden="1"/>
    </xf>
    <xf numFmtId="0" fontId="40" fillId="11" borderId="98" xfId="0" applyFont="1" applyFill="1" applyBorder="1" applyAlignment="1" applyProtection="1">
      <alignment horizontal="center"/>
      <protection hidden="1"/>
    </xf>
    <xf numFmtId="14" fontId="293" fillId="11" borderId="24" xfId="0" applyNumberFormat="1" applyFont="1" applyFill="1" applyBorder="1" applyAlignment="1" applyProtection="1">
      <alignment horizontal="left" vertical="center"/>
      <protection hidden="1"/>
    </xf>
    <xf numFmtId="14" fontId="293" fillId="11" borderId="94" xfId="0" applyNumberFormat="1" applyFont="1" applyFill="1" applyBorder="1" applyAlignment="1" applyProtection="1">
      <alignment horizontal="left" vertical="center"/>
      <protection hidden="1"/>
    </xf>
    <xf numFmtId="14" fontId="40" fillId="11" borderId="73" xfId="0" applyNumberFormat="1" applyFont="1" applyFill="1" applyBorder="1" applyAlignment="1" applyProtection="1">
      <alignment horizontal="left" vertical="center"/>
      <protection hidden="1"/>
    </xf>
    <xf numFmtId="14" fontId="40" fillId="11" borderId="19" xfId="0" applyNumberFormat="1" applyFont="1" applyFill="1" applyBorder="1" applyAlignment="1" applyProtection="1">
      <alignment horizontal="left" vertical="center"/>
      <protection hidden="1"/>
    </xf>
    <xf numFmtId="0" fontId="40" fillId="11" borderId="19" xfId="0" applyFont="1" applyFill="1" applyBorder="1" applyAlignment="1" applyProtection="1">
      <alignment horizontal="center" vertical="center"/>
      <protection hidden="1"/>
    </xf>
    <xf numFmtId="0" fontId="0" fillId="11" borderId="68" xfId="0" applyFont="1" applyFill="1" applyBorder="1" applyAlignment="1" applyProtection="1">
      <alignment horizontal="center" vertical="center"/>
      <protection hidden="1"/>
    </xf>
    <xf numFmtId="14" fontId="293" fillId="11" borderId="95" xfId="0" applyNumberFormat="1" applyFont="1" applyFill="1" applyBorder="1" applyAlignment="1" applyProtection="1">
      <alignment horizontal="left" vertical="center"/>
      <protection hidden="1"/>
    </xf>
    <xf numFmtId="14" fontId="293" fillId="11" borderId="96" xfId="0" applyNumberFormat="1" applyFont="1" applyFill="1" applyBorder="1" applyAlignment="1" applyProtection="1">
      <alignment horizontal="left" vertical="center"/>
      <protection hidden="1"/>
    </xf>
    <xf numFmtId="0" fontId="40" fillId="11" borderId="6" xfId="0" applyFont="1" applyFill="1" applyBorder="1" applyAlignment="1" applyProtection="1">
      <alignment horizontal="center" vertical="center"/>
      <protection hidden="1"/>
    </xf>
    <xf numFmtId="0" fontId="0" fillId="11" borderId="93" xfId="0" applyFont="1" applyFill="1" applyBorder="1" applyAlignment="1" applyProtection="1">
      <alignment horizontal="center" vertical="center"/>
      <protection hidden="1"/>
    </xf>
    <xf numFmtId="0" fontId="0" fillId="11" borderId="25" xfId="0" applyFont="1" applyFill="1" applyBorder="1" applyAlignment="1" applyProtection="1">
      <alignment horizontal="center" vertical="center"/>
      <protection hidden="1"/>
    </xf>
    <xf numFmtId="0" fontId="0" fillId="11" borderId="94" xfId="0" applyFont="1" applyFill="1" applyBorder="1" applyAlignment="1" applyProtection="1">
      <alignment horizontal="center" vertical="center"/>
      <protection hidden="1"/>
    </xf>
    <xf numFmtId="0" fontId="0" fillId="11" borderId="91" xfId="0" applyFont="1" applyFill="1" applyBorder="1" applyAlignment="1" applyProtection="1">
      <alignment horizontal="center" vertical="center"/>
      <protection hidden="1"/>
    </xf>
    <xf numFmtId="0" fontId="0" fillId="11" borderId="96" xfId="0" applyFont="1" applyFill="1" applyBorder="1" applyAlignment="1" applyProtection="1">
      <alignment horizontal="center" vertical="center"/>
      <protection hidden="1"/>
    </xf>
    <xf numFmtId="0" fontId="0" fillId="11" borderId="24" xfId="0" applyFont="1" applyFill="1" applyBorder="1" applyAlignment="1" applyProtection="1">
      <alignment horizontal="center" vertical="center"/>
      <protection hidden="1"/>
    </xf>
    <xf numFmtId="0" fontId="0" fillId="11" borderId="95" xfId="0" applyFont="1" applyFill="1" applyBorder="1" applyAlignment="1" applyProtection="1">
      <alignment horizontal="center" vertical="center"/>
      <protection hidden="1"/>
    </xf>
    <xf numFmtId="0" fontId="41" fillId="11" borderId="25" xfId="0" applyFont="1" applyFill="1" applyBorder="1" applyAlignment="1" applyProtection="1">
      <alignment horizontal="center" vertical="center" wrapText="1"/>
      <protection hidden="1"/>
    </xf>
    <xf numFmtId="0" fontId="40" fillId="11" borderId="94" xfId="0" applyFont="1" applyFill="1" applyBorder="1" applyAlignment="1" applyProtection="1">
      <alignment horizontal="center" vertical="center"/>
      <protection hidden="1"/>
    </xf>
    <xf numFmtId="0" fontId="41" fillId="11" borderId="91" xfId="0" applyFont="1" applyFill="1" applyBorder="1" applyAlignment="1" applyProtection="1">
      <alignment horizontal="center" vertical="center" wrapText="1"/>
      <protection hidden="1"/>
    </xf>
    <xf numFmtId="0" fontId="40" fillId="11" borderId="96" xfId="0" applyFont="1" applyFill="1" applyBorder="1" applyAlignment="1" applyProtection="1">
      <alignment horizontal="center" vertical="center"/>
      <protection hidden="1"/>
    </xf>
    <xf numFmtId="0" fontId="0" fillId="11" borderId="91" xfId="0" applyFont="1" applyFill="1" applyBorder="1" applyAlignment="1" applyProtection="1">
      <alignment horizontal="center" vertical="center" wrapText="1"/>
      <protection hidden="1"/>
    </xf>
    <xf numFmtId="0" fontId="40" fillId="0" borderId="100" xfId="0" applyFont="1" applyFill="1" applyBorder="1" applyAlignment="1" applyProtection="1">
      <alignment horizontal="center"/>
      <protection locked="0"/>
    </xf>
    <xf numFmtId="44" fontId="40" fillId="0" borderId="100" xfId="2" applyFont="1" applyFill="1" applyBorder="1" applyAlignment="1" applyProtection="1">
      <alignment horizontal="center"/>
      <protection locked="0"/>
    </xf>
    <xf numFmtId="0" fontId="40" fillId="11" borderId="100" xfId="0" applyFont="1" applyFill="1" applyBorder="1" applyAlignment="1" applyProtection="1">
      <alignment horizontal="left"/>
      <protection hidden="1"/>
    </xf>
    <xf numFmtId="0" fontId="40" fillId="11" borderId="100" xfId="0" applyFont="1" applyFill="1" applyBorder="1" applyAlignment="1" applyProtection="1">
      <alignment horizontal="center"/>
      <protection hidden="1"/>
    </xf>
    <xf numFmtId="0" fontId="8" fillId="142" borderId="0" xfId="0" applyFont="1" applyFill="1"/>
    <xf numFmtId="0" fontId="297" fillId="3" borderId="0" xfId="0" applyFont="1" applyFill="1"/>
    <xf numFmtId="0" fontId="298" fillId="142" borderId="0" xfId="0" applyFont="1" applyFill="1"/>
    <xf numFmtId="0" fontId="0" fillId="0" borderId="100" xfId="0" applyFont="1" applyFill="1" applyBorder="1" applyAlignment="1" applyProtection="1">
      <alignment horizontal="left" vertical="center"/>
      <protection locked="0"/>
    </xf>
    <xf numFmtId="0" fontId="40" fillId="11" borderId="24" xfId="0" applyFont="1" applyFill="1" applyBorder="1" applyAlignment="1" applyProtection="1">
      <alignment horizontal="left" vertical="center"/>
      <protection hidden="1"/>
    </xf>
    <xf numFmtId="0" fontId="40" fillId="11" borderId="25" xfId="0" applyFont="1" applyFill="1" applyBorder="1" applyAlignment="1" applyProtection="1">
      <alignment horizontal="left" vertical="center"/>
      <protection hidden="1"/>
    </xf>
    <xf numFmtId="0" fontId="40" fillId="11" borderId="95" xfId="0" applyFont="1" applyFill="1" applyBorder="1" applyAlignment="1" applyProtection="1">
      <alignment horizontal="left" vertical="center"/>
      <protection hidden="1"/>
    </xf>
    <xf numFmtId="0" fontId="40" fillId="11" borderId="100" xfId="0" applyFont="1" applyFill="1" applyBorder="1" applyAlignment="1" applyProtection="1">
      <alignment horizontal="left" vertical="center"/>
      <protection hidden="1"/>
    </xf>
    <xf numFmtId="0" fontId="299" fillId="11" borderId="103" xfId="0" applyFont="1" applyFill="1" applyBorder="1" applyAlignment="1" applyProtection="1">
      <alignment horizontal="center" vertical="center" wrapText="1"/>
      <protection hidden="1"/>
    </xf>
    <xf numFmtId="0" fontId="299" fillId="11" borderId="23" xfId="0" applyFont="1" applyFill="1" applyBorder="1" applyAlignment="1" applyProtection="1">
      <alignment horizontal="center" vertical="center" wrapText="1"/>
      <protection hidden="1"/>
    </xf>
    <xf numFmtId="0" fontId="299" fillId="11" borderId="104" xfId="0" applyFont="1" applyFill="1" applyBorder="1" applyAlignment="1" applyProtection="1">
      <alignment horizontal="center" vertical="center" wrapText="1"/>
      <protection hidden="1"/>
    </xf>
    <xf numFmtId="0" fontId="8" fillId="139" borderId="105" xfId="0" applyFont="1" applyFill="1" applyBorder="1" applyAlignment="1" applyProtection="1">
      <alignment horizontal="center" vertical="center"/>
      <protection locked="0"/>
    </xf>
    <xf numFmtId="0" fontId="8" fillId="139" borderId="92" xfId="0" applyFont="1" applyFill="1" applyBorder="1" applyAlignment="1" applyProtection="1">
      <alignment horizontal="center" vertical="center"/>
      <protection locked="0"/>
    </xf>
    <xf numFmtId="0" fontId="8" fillId="139" borderId="106" xfId="0" applyFont="1" applyFill="1" applyBorder="1" applyAlignment="1" applyProtection="1">
      <alignment horizontal="center" vertical="center"/>
      <protection locked="0"/>
    </xf>
    <xf numFmtId="8" fontId="0" fillId="11" borderId="95" xfId="2" applyNumberFormat="1" applyFont="1" applyFill="1" applyBorder="1" applyProtection="1">
      <protection hidden="1"/>
    </xf>
    <xf numFmtId="0" fontId="0" fillId="0" borderId="24" xfId="0" applyFont="1" applyBorder="1" applyProtection="1">
      <protection locked="0"/>
    </xf>
    <xf numFmtId="0" fontId="0" fillId="0" borderId="25" xfId="0" applyFont="1" applyBorder="1" applyProtection="1">
      <protection locked="0"/>
    </xf>
    <xf numFmtId="0" fontId="0" fillId="0" borderId="94" xfId="0" applyFont="1" applyBorder="1" applyProtection="1">
      <protection locked="0"/>
    </xf>
    <xf numFmtId="0" fontId="0" fillId="0" borderId="95" xfId="0" applyFont="1" applyBorder="1" applyProtection="1">
      <protection locked="0"/>
    </xf>
    <xf numFmtId="0" fontId="0" fillId="0" borderId="100" xfId="0" applyFont="1" applyBorder="1" applyProtection="1">
      <protection locked="0"/>
    </xf>
    <xf numFmtId="0" fontId="0" fillId="0" borderId="96" xfId="0" applyFont="1" applyBorder="1" applyProtection="1">
      <protection locked="0"/>
    </xf>
    <xf numFmtId="0" fontId="0" fillId="0" borderId="95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96" xfId="0" applyBorder="1" applyProtection="1">
      <protection locked="0"/>
    </xf>
    <xf numFmtId="0" fontId="0" fillId="139" borderId="26" xfId="0" applyFill="1" applyBorder="1" applyProtection="1"/>
    <xf numFmtId="10" fontId="0" fillId="0" borderId="0" xfId="0" applyNumberFormat="1"/>
    <xf numFmtId="39" fontId="295" fillId="11" borderId="100" xfId="369" applyNumberFormat="1" applyFont="1" applyFill="1" applyBorder="1" applyAlignment="1">
      <alignment horizontal="center" vertical="center"/>
    </xf>
    <xf numFmtId="39" fontId="295" fillId="11" borderId="92" xfId="369" applyNumberFormat="1" applyFont="1" applyFill="1" applyBorder="1" applyAlignment="1">
      <alignment horizontal="center" vertical="center"/>
    </xf>
    <xf numFmtId="39" fontId="295" fillId="11" borderId="26" xfId="369" applyNumberFormat="1" applyFont="1" applyFill="1" applyBorder="1" applyAlignment="1">
      <alignment horizontal="center" vertical="center"/>
    </xf>
    <xf numFmtId="0" fontId="0" fillId="138" borderId="100" xfId="0" applyFill="1" applyBorder="1"/>
    <xf numFmtId="0" fontId="40" fillId="138" borderId="100" xfId="0" applyFont="1" applyFill="1" applyBorder="1" applyAlignment="1">
      <alignment horizontal="left"/>
    </xf>
    <xf numFmtId="44" fontId="40" fillId="138" borderId="100" xfId="2" applyNumberFormat="1" applyFont="1" applyFill="1" applyBorder="1" applyAlignment="1">
      <alignment horizontal="center" vertical="center"/>
    </xf>
    <xf numFmtId="0" fontId="0" fillId="3" borderId="100" xfId="0" applyFill="1" applyBorder="1"/>
    <xf numFmtId="0" fontId="0" fillId="0" borderId="100" xfId="0" applyBorder="1"/>
    <xf numFmtId="0" fontId="0" fillId="12" borderId="100" xfId="0" applyFill="1" applyBorder="1"/>
    <xf numFmtId="0" fontId="40" fillId="12" borderId="100" xfId="0" applyFont="1" applyFill="1" applyBorder="1" applyAlignment="1">
      <alignment horizontal="left"/>
    </xf>
    <xf numFmtId="44" fontId="40" fillId="12" borderId="100" xfId="2" applyNumberFormat="1" applyFont="1" applyFill="1" applyBorder="1" applyAlignment="1">
      <alignment horizontal="center" vertical="center"/>
    </xf>
    <xf numFmtId="0" fontId="0" fillId="0" borderId="100" xfId="0" applyFill="1" applyBorder="1"/>
    <xf numFmtId="0" fontId="40" fillId="0" borderId="100" xfId="0" applyFont="1" applyFill="1" applyBorder="1" applyAlignment="1">
      <alignment horizontal="left"/>
    </xf>
    <xf numFmtId="44" fontId="40" fillId="0" borderId="100" xfId="2" applyNumberFormat="1" applyFont="1" applyFill="1" applyBorder="1" applyAlignment="1">
      <alignment horizontal="center" vertical="center"/>
    </xf>
    <xf numFmtId="44" fontId="0" fillId="0" borderId="100" xfId="2" applyFont="1" applyBorder="1"/>
    <xf numFmtId="0" fontId="0" fillId="144" borderId="100" xfId="0" applyFill="1" applyBorder="1"/>
    <xf numFmtId="44" fontId="40" fillId="144" borderId="100" xfId="2" applyNumberFormat="1" applyFont="1" applyFill="1" applyBorder="1" applyAlignment="1">
      <alignment horizontal="center" vertical="center"/>
    </xf>
    <xf numFmtId="0" fontId="0" fillId="145" borderId="100" xfId="0" applyFill="1" applyBorder="1"/>
    <xf numFmtId="0" fontId="302" fillId="145" borderId="100" xfId="0" applyFont="1" applyFill="1" applyBorder="1" applyAlignment="1">
      <alignment vertical="center"/>
    </xf>
    <xf numFmtId="44" fontId="40" fillId="3" borderId="100" xfId="2" applyNumberFormat="1" applyFont="1" applyFill="1" applyBorder="1" applyAlignment="1">
      <alignment horizontal="center" vertical="center"/>
    </xf>
    <xf numFmtId="44" fontId="40" fillId="146" borderId="100" xfId="2" applyNumberFormat="1" applyFont="1" applyFill="1" applyBorder="1" applyAlignment="1">
      <alignment horizontal="center" vertical="center"/>
    </xf>
    <xf numFmtId="0" fontId="0" fillId="139" borderId="100" xfId="0" applyFill="1" applyBorder="1"/>
    <xf numFmtId="44" fontId="40" fillId="139" borderId="100" xfId="2" applyNumberFormat="1" applyFont="1" applyFill="1" applyBorder="1" applyAlignment="1">
      <alignment horizontal="center" vertical="center"/>
    </xf>
    <xf numFmtId="0" fontId="0" fillId="11" borderId="100" xfId="0" applyFill="1" applyBorder="1"/>
    <xf numFmtId="44" fontId="40" fillId="11" borderId="100" xfId="2" applyNumberFormat="1" applyFont="1" applyFill="1" applyBorder="1" applyAlignment="1">
      <alignment horizontal="center" vertical="center"/>
    </xf>
    <xf numFmtId="10" fontId="0" fillId="11" borderId="100" xfId="3" applyNumberFormat="1" applyFont="1" applyFill="1" applyBorder="1" applyProtection="1">
      <protection hidden="1"/>
    </xf>
    <xf numFmtId="0" fontId="294" fillId="141" borderId="20" xfId="0" applyFont="1" applyFill="1" applyBorder="1" applyAlignment="1" applyProtection="1">
      <alignment horizontal="center" vertical="center" wrapText="1"/>
      <protection hidden="1"/>
    </xf>
    <xf numFmtId="0" fontId="294" fillId="141" borderId="21" xfId="0" applyFont="1" applyFill="1" applyBorder="1" applyAlignment="1" applyProtection="1">
      <alignment horizontal="center" vertical="center" wrapText="1"/>
      <protection hidden="1"/>
    </xf>
    <xf numFmtId="0" fontId="294" fillId="141" borderId="22" xfId="0" applyFont="1" applyFill="1" applyBorder="1" applyAlignment="1" applyProtection="1">
      <alignment horizontal="center" vertical="center" wrapText="1"/>
      <protection hidden="1"/>
    </xf>
    <xf numFmtId="0" fontId="294" fillId="4" borderId="1" xfId="0" applyFont="1" applyFill="1" applyBorder="1" applyAlignment="1" applyProtection="1">
      <alignment horizontal="center" vertical="center" wrapText="1"/>
      <protection hidden="1"/>
    </xf>
    <xf numFmtId="0" fontId="294" fillId="4" borderId="1" xfId="0" applyFont="1" applyFill="1" applyBorder="1" applyAlignment="1" applyProtection="1">
      <alignment horizontal="center" vertical="center"/>
      <protection hidden="1"/>
    </xf>
    <xf numFmtId="0" fontId="294" fillId="140" borderId="20" xfId="0" applyFont="1" applyFill="1" applyBorder="1" applyAlignment="1" applyProtection="1">
      <alignment horizontal="center" vertical="center" wrapText="1"/>
      <protection hidden="1"/>
    </xf>
    <xf numFmtId="0" fontId="294" fillId="140" borderId="21" xfId="0" applyFont="1" applyFill="1" applyBorder="1" applyAlignment="1" applyProtection="1">
      <alignment horizontal="center" vertical="center" wrapText="1"/>
      <protection hidden="1"/>
    </xf>
    <xf numFmtId="0" fontId="294" fillId="4" borderId="3" xfId="0" applyFont="1" applyFill="1" applyBorder="1" applyAlignment="1" applyProtection="1">
      <alignment horizontal="center" vertical="center" wrapText="1"/>
      <protection hidden="1"/>
    </xf>
    <xf numFmtId="0" fontId="294" fillId="4" borderId="4" xfId="0" applyFont="1" applyFill="1" applyBorder="1" applyAlignment="1" applyProtection="1">
      <alignment horizontal="center" vertical="center" wrapText="1"/>
      <protection hidden="1"/>
    </xf>
    <xf numFmtId="0" fontId="294" fillId="4" borderId="5" xfId="0" applyFont="1" applyFill="1" applyBorder="1" applyAlignment="1" applyProtection="1">
      <alignment horizontal="center" vertical="center"/>
      <protection hidden="1"/>
    </xf>
    <xf numFmtId="0" fontId="294" fillId="143" borderId="101" xfId="0" applyFont="1" applyFill="1" applyBorder="1" applyAlignment="1" applyProtection="1">
      <alignment horizontal="center" vertical="center"/>
      <protection hidden="1"/>
    </xf>
    <xf numFmtId="0" fontId="294" fillId="143" borderId="4" xfId="0" applyFont="1" applyFill="1" applyBorder="1" applyAlignment="1" applyProtection="1">
      <alignment horizontal="center" vertical="center"/>
      <protection hidden="1"/>
    </xf>
    <xf numFmtId="0" fontId="294" fillId="143" borderId="102" xfId="0" applyFont="1" applyFill="1" applyBorder="1" applyAlignment="1" applyProtection="1">
      <alignment horizontal="center" vertical="center"/>
      <protection hidden="1"/>
    </xf>
    <xf numFmtId="0" fontId="296" fillId="139" borderId="24" xfId="0" applyFont="1" applyFill="1" applyBorder="1" applyAlignment="1" applyProtection="1">
      <alignment horizontal="center" vertical="center"/>
      <protection locked="0"/>
    </xf>
    <xf numFmtId="0" fontId="296" fillId="139" borderId="25" xfId="0" applyFont="1" applyFill="1" applyBorder="1" applyAlignment="1" applyProtection="1">
      <alignment horizontal="center" vertical="center"/>
      <protection locked="0"/>
    </xf>
    <xf numFmtId="0" fontId="296" fillId="139" borderId="94" xfId="0" applyFont="1" applyFill="1" applyBorder="1" applyAlignment="1" applyProtection="1">
      <alignment horizontal="center" vertical="center"/>
      <protection locked="0"/>
    </xf>
    <xf numFmtId="0" fontId="294" fillId="4" borderId="3" xfId="0" applyFont="1" applyFill="1" applyBorder="1" applyAlignment="1" applyProtection="1">
      <alignment horizontal="center" vertical="center"/>
      <protection hidden="1"/>
    </xf>
    <xf numFmtId="0" fontId="294" fillId="4" borderId="4" xfId="0" applyFont="1" applyFill="1" applyBorder="1" applyAlignment="1" applyProtection="1">
      <alignment horizontal="center" vertical="center"/>
      <protection hidden="1"/>
    </xf>
    <xf numFmtId="0" fontId="294" fillId="141" borderId="107" xfId="0" applyFont="1" applyFill="1" applyBorder="1" applyAlignment="1" applyProtection="1">
      <alignment horizontal="center" vertical="center" wrapText="1"/>
      <protection hidden="1"/>
    </xf>
    <xf numFmtId="0" fontId="294" fillId="141" borderId="108" xfId="0" applyFont="1" applyFill="1" applyBorder="1" applyAlignment="1" applyProtection="1">
      <alignment horizontal="center" vertical="center" wrapText="1"/>
      <protection hidden="1"/>
    </xf>
    <xf numFmtId="0" fontId="294" fillId="141" borderId="109" xfId="0" applyFont="1" applyFill="1" applyBorder="1" applyAlignment="1" applyProtection="1">
      <alignment horizontal="center" vertical="center" wrapText="1"/>
      <protection hidden="1"/>
    </xf>
    <xf numFmtId="0" fontId="293" fillId="0" borderId="25" xfId="0" applyFont="1" applyFill="1" applyBorder="1" applyAlignment="1" applyProtection="1">
      <alignment horizontal="left" vertical="center"/>
      <protection locked="0"/>
    </xf>
    <xf numFmtId="0" fontId="293" fillId="0" borderId="100" xfId="0" applyFont="1" applyFill="1" applyBorder="1" applyAlignment="1" applyProtection="1">
      <alignment horizontal="left" vertical="center"/>
      <protection locked="0"/>
    </xf>
    <xf numFmtId="0" fontId="293" fillId="0" borderId="73" xfId="0" applyFont="1" applyBorder="1" applyAlignment="1" applyProtection="1">
      <alignment horizontal="left" vertical="center"/>
      <protection locked="0"/>
    </xf>
    <xf numFmtId="44" fontId="40" fillId="0" borderId="100" xfId="2" applyNumberFormat="1" applyFont="1" applyFill="1" applyBorder="1" applyAlignment="1" applyProtection="1">
      <alignment horizontal="left" vertical="center"/>
      <protection locked="0"/>
    </xf>
    <xf numFmtId="44" fontId="40" fillId="0" borderId="100" xfId="2" applyFont="1" applyFill="1" applyBorder="1" applyAlignment="1" applyProtection="1">
      <alignment horizontal="left" vertical="center"/>
      <protection locked="0"/>
    </xf>
    <xf numFmtId="0" fontId="303" fillId="147" borderId="110" xfId="0" applyFont="1" applyFill="1" applyBorder="1" applyAlignment="1">
      <alignment horizontal="center" vertical="center"/>
    </xf>
    <xf numFmtId="0" fontId="303" fillId="147" borderId="111" xfId="0" applyFont="1" applyFill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12" xfId="0" applyFont="1" applyBorder="1" applyAlignment="1">
      <alignment vertical="center"/>
    </xf>
    <xf numFmtId="0" fontId="7" fillId="148" borderId="113" xfId="0" applyFont="1" applyFill="1" applyBorder="1" applyAlignment="1">
      <alignment vertical="center"/>
    </xf>
    <xf numFmtId="0" fontId="7" fillId="0" borderId="113" xfId="0" applyFont="1" applyBorder="1" applyAlignment="1">
      <alignment vertical="center"/>
    </xf>
    <xf numFmtId="0" fontId="7" fillId="0" borderId="76" xfId="0" applyFont="1" applyBorder="1" applyAlignment="1">
      <alignment horizontal="center" vertical="center"/>
    </xf>
    <xf numFmtId="0" fontId="7" fillId="0" borderId="76" xfId="0" applyFont="1" applyBorder="1" applyAlignment="1">
      <alignment vertical="center"/>
    </xf>
    <xf numFmtId="0" fontId="7" fillId="0" borderId="114" xfId="0" applyFont="1" applyBorder="1" applyAlignment="1">
      <alignment horizontal="center" vertical="center"/>
    </xf>
    <xf numFmtId="0" fontId="7" fillId="0" borderId="114" xfId="0" applyFont="1" applyBorder="1" applyAlignment="1">
      <alignment vertical="center"/>
    </xf>
    <xf numFmtId="0" fontId="7" fillId="0" borderId="115" xfId="0" applyFont="1" applyBorder="1" applyAlignment="1">
      <alignment vertical="center"/>
    </xf>
  </cellXfs>
  <cellStyles count="61441">
    <cellStyle name=" 1" xfId="395"/>
    <cellStyle name=" 2" xfId="396"/>
    <cellStyle name=" Task]_x000d__x000a_TaskName=Scan At_x000d__x000a_TaskID=3_x000d__x000a_WorkstationName=SmarTone_x000d__x000a_LastExecuted=0_x000d__x000a_LastSt" xfId="5"/>
    <cellStyle name=" Task]_x000d__x000a_TaskName=Scan At_x000d__x000a_TaskID=3_x000d__x000a_WorkstationName=SmarTone_x000d__x000a_LastExecuted=0_x000d__x000a_LastSt 2" xfId="397"/>
    <cellStyle name=" Task]_x000d__x000a_TaskName=Scan At_x000d__x000a_TaskID=3_x000d__x000a_WorkstationName=SmarTone_x000d__x000a_LastExecuted=0_x000d__x000a_LastSt 3" xfId="398"/>
    <cellStyle name="%" xfId="6"/>
    <cellStyle name="% 2" xfId="399"/>
    <cellStyle name="% 2 2" xfId="400"/>
    <cellStyle name="% 3" xfId="401"/>
    <cellStyle name="% 4" xfId="402"/>
    <cellStyle name="%_Análise Gráfica Final" xfId="403"/>
    <cellStyle name="%_Análise Gráfica Final 2" xfId="404"/>
    <cellStyle name="%_Análise Gráfica Final 2 2" xfId="405"/>
    <cellStyle name="%_Análise Gráfica Final 3" xfId="406"/>
    <cellStyle name="%_Análise Gráfica Final_Base" xfId="407"/>
    <cellStyle name="%_Análise Gráfica Final_D_Ret_Fixa_EMP" xfId="408"/>
    <cellStyle name="%_Análise Gráfica Final_D_Ret_Fixa_EMP_1" xfId="409"/>
    <cellStyle name="%_Análise Gráfica Final_D_Ret_Fixa_EMP_2" xfId="410"/>
    <cellStyle name="%_Análise Gráfica Final_D_Ret_Fixa_EMP_3" xfId="411"/>
    <cellStyle name="%_Análise Gráfica Final_D_Ret_Fixa_EMP_4" xfId="412"/>
    <cellStyle name="%_Análise Gráfica Final_D_Ret_Fixa_EMP_5" xfId="413"/>
    <cellStyle name="%_Análise Gráfica Final_D_Ret_Fixa_EMP_6" xfId="414"/>
    <cellStyle name="%_Análise Gráfica Final_D_Ret_Fixa_EMP_7" xfId="415"/>
    <cellStyle name="%_Análise Gráfica Final_D_Ret_Fixa_EMP_8" xfId="416"/>
    <cellStyle name="%_Análise Gráfica Final_D_Ret_Fixa_VAR" xfId="417"/>
    <cellStyle name="%_Análise Gráfica Final_D_Ret_Fixa_VAR_1" xfId="418"/>
    <cellStyle name="%_Análise Gráfica Final_D_Ret_Fixa_VAR_2" xfId="419"/>
    <cellStyle name="%_Análise Gráfica Final_D_Ret_Fixa_VAR_3" xfId="420"/>
    <cellStyle name="%_Análise Gráfica Final_D_Ret_Fixa_VAR_4" xfId="421"/>
    <cellStyle name="%_Análise Gráfica Final_D_Ret_Fixa_VAR_5" xfId="422"/>
    <cellStyle name="%_Análise Gráfica Final_D_Ret_Fixa_VAR_6" xfId="423"/>
    <cellStyle name="%_Análise Gráfica Final_D_Ret_Fixa_VAR_7" xfId="424"/>
    <cellStyle name="%_Análise Gráfica Final_D_Ret_Fixa_VAR_8" xfId="425"/>
    <cellStyle name="%_Análise Gráfica Final_Mig Ret 3G" xfId="426"/>
    <cellStyle name="%_Análise Gráfica Final_Mig Ret 3G_1" xfId="427"/>
    <cellStyle name="%_Análise Gráfica Final_Mig Ret 3G_2" xfId="428"/>
    <cellStyle name="%_Análise Gráfica Final_Mig Ret 3G_3" xfId="429"/>
    <cellStyle name="%_Análise Gráfica Final_Mig Ret 3G_4" xfId="430"/>
    <cellStyle name="%_Análise Gráfica Final_Mig Ret 3G_5" xfId="431"/>
    <cellStyle name="%_Análise Gráfica Final_Mig Ret 3G_6" xfId="432"/>
    <cellStyle name="%_Análise Gráfica Final_Movel" xfId="433"/>
    <cellStyle name="%_Análise Gráfica Final_Movel_1" xfId="434"/>
    <cellStyle name="%_Análise Gráfica Final_Movel_2" xfId="435"/>
    <cellStyle name="%_Análise Gráfica Final_Movel_3" xfId="436"/>
    <cellStyle name="%_Análise Gráfica Final_Movel_4" xfId="437"/>
    <cellStyle name="%_Análise Gráfica Final_Movel_5" xfId="438"/>
    <cellStyle name="%_Análise Gráfica Final_Movel_6" xfId="439"/>
    <cellStyle name="%_Base" xfId="440"/>
    <cellStyle name="%_Book_RV_Premium_Maio" xfId="441"/>
    <cellStyle name="%_Canal" xfId="442"/>
    <cellStyle name="%_Canal_Base" xfId="443"/>
    <cellStyle name="%_Canal_D_Movel" xfId="444"/>
    <cellStyle name="%_Canal_D_Ret_Fixa_EMP" xfId="445"/>
    <cellStyle name="%_Canal_D_Ret_Fixa_EMP_1" xfId="446"/>
    <cellStyle name="%_Canal_D_Ret_Fixa_EMP_2" xfId="447"/>
    <cellStyle name="%_Canal_D_Ret_Fixa_EMP_3" xfId="448"/>
    <cellStyle name="%_Canal_D_Ret_Fixa_EMP_4" xfId="449"/>
    <cellStyle name="%_Canal_D_Ret_Fixa_EMP_5" xfId="450"/>
    <cellStyle name="%_Canal_D_Ret_Fixa_EMP_6" xfId="451"/>
    <cellStyle name="%_Canal_D_Ret_Fixa_EMP_7" xfId="452"/>
    <cellStyle name="%_Canal_D_Ret_Fixa_EMP_8" xfId="453"/>
    <cellStyle name="%_Canal_D_Ret_Fixa_VAR" xfId="454"/>
    <cellStyle name="%_Canal_D_Ret_Fixa_VAR_1" xfId="455"/>
    <cellStyle name="%_Canal_D_Ret_Fixa_VAR_2" xfId="456"/>
    <cellStyle name="%_Canal_D_Ret_Fixa_VAR_3" xfId="457"/>
    <cellStyle name="%_Canal_D_Ret_Fixa_VAR_4" xfId="458"/>
    <cellStyle name="%_Canal_D_Ret_Fixa_VAR_5" xfId="459"/>
    <cellStyle name="%_Canal_D_Ret_Fixa_VAR_6" xfId="460"/>
    <cellStyle name="%_Canal_D_Ret_Fixa_VAR_7" xfId="461"/>
    <cellStyle name="%_Canal_D_Ret_Fixa_VAR_8" xfId="462"/>
    <cellStyle name="%_Canal_De_Para_plano" xfId="463"/>
    <cellStyle name="%_Canal_Mig Ret 3G" xfId="464"/>
    <cellStyle name="%_Canal_Mig Ret 3G_1" xfId="465"/>
    <cellStyle name="%_Canal_Mig Ret 3G_2" xfId="466"/>
    <cellStyle name="%_Canal_Mig Ret 3G_3" xfId="467"/>
    <cellStyle name="%_Canal_Mig Ret 3G_4" xfId="468"/>
    <cellStyle name="%_Canal_Mig Ret 3G_5" xfId="469"/>
    <cellStyle name="%_Canal_Mig Ret 3G_6" xfId="470"/>
    <cellStyle name="%_Canal_Movel" xfId="471"/>
    <cellStyle name="%_Canal_Movel_1" xfId="472"/>
    <cellStyle name="%_Canal_Movel_2" xfId="473"/>
    <cellStyle name="%_Canal_Movel_3" xfId="474"/>
    <cellStyle name="%_Canal_Movel_4" xfId="475"/>
    <cellStyle name="%_Canal_Movel_5" xfId="476"/>
    <cellStyle name="%_Canal_Movel_6" xfId="477"/>
    <cellStyle name="%_Canal_Retirada" xfId="478"/>
    <cellStyle name="%_Canal_Retirada_Base" xfId="479"/>
    <cellStyle name="%_Canal_Retirada_D_Ret_Fixa_EMP" xfId="480"/>
    <cellStyle name="%_Canal_Retirada_D_Ret_Fixa_EMP_1" xfId="481"/>
    <cellStyle name="%_Canal_Retirada_D_Ret_Fixa_EMP_2" xfId="482"/>
    <cellStyle name="%_Canal_Retirada_D_Ret_Fixa_EMP_3" xfId="483"/>
    <cellStyle name="%_Canal_Retirada_D_Ret_Fixa_EMP_4" xfId="484"/>
    <cellStyle name="%_Canal_Retirada_D_Ret_Fixa_EMP_5" xfId="485"/>
    <cellStyle name="%_Canal_Retirada_D_Ret_Fixa_EMP_6" xfId="486"/>
    <cellStyle name="%_Canal_Retirada_D_Ret_Fixa_EMP_7" xfId="487"/>
    <cellStyle name="%_Canal_Retirada_D_Ret_Fixa_EMP_8" xfId="488"/>
    <cellStyle name="%_Canal_Retirada_D_Ret_Fixa_VAR" xfId="489"/>
    <cellStyle name="%_Canal_Retirada_D_Ret_Fixa_VAR_1" xfId="490"/>
    <cellStyle name="%_Canal_Retirada_D_Ret_Fixa_VAR_2" xfId="491"/>
    <cellStyle name="%_Canal_Retirada_D_Ret_Fixa_VAR_3" xfId="492"/>
    <cellStyle name="%_Canal_Retirada_D_Ret_Fixa_VAR_4" xfId="493"/>
    <cellStyle name="%_Canal_Retirada_D_Ret_Fixa_VAR_5" xfId="494"/>
    <cellStyle name="%_Canal_Retirada_D_Ret_Fixa_VAR_6" xfId="495"/>
    <cellStyle name="%_Canal_Retirada_D_Ret_Fixa_VAR_7" xfId="496"/>
    <cellStyle name="%_Canal_Retirada_D_Ret_Fixa_VAR_8" xfId="497"/>
    <cellStyle name="%_Canal_Retirada_Mig Ret 3G" xfId="498"/>
    <cellStyle name="%_Canal_Retirada_Mig Ret 3G_1" xfId="499"/>
    <cellStyle name="%_Canal_Retirada_Mig Ret 3G_2" xfId="500"/>
    <cellStyle name="%_Canal_Retirada_Mig Ret 3G_3" xfId="501"/>
    <cellStyle name="%_Canal_Retirada_Mig Ret 3G_4" xfId="502"/>
    <cellStyle name="%_Canal_Retirada_Mig Ret 3G_5" xfId="503"/>
    <cellStyle name="%_Canal_Retirada_Mig Ret 3G_6" xfId="504"/>
    <cellStyle name="%_Canal_Retirada_Movel" xfId="505"/>
    <cellStyle name="%_Canal_Retirada_Movel_1" xfId="506"/>
    <cellStyle name="%_Canal_Retirada_Movel_2" xfId="507"/>
    <cellStyle name="%_Canal_Retirada_Movel_3" xfId="508"/>
    <cellStyle name="%_Canal_Retirada_Movel_4" xfId="509"/>
    <cellStyle name="%_Canal_Retirada_Movel_5" xfId="510"/>
    <cellStyle name="%_Canal_Retirada_Movel_6" xfId="511"/>
    <cellStyle name="%_Cartel1" xfId="512"/>
    <cellStyle name="%_Cash Costs" xfId="513"/>
    <cellStyle name="%_Corp_Relatórios de Físico" xfId="514"/>
    <cellStyle name="%_Corp_Relatórios de Físico v2" xfId="515"/>
    <cellStyle name="%_Corp_Relatórios de Físico v2_Base" xfId="516"/>
    <cellStyle name="%_Corp_Relatórios de Físico v2_D_Ret_Fixa_EMP" xfId="517"/>
    <cellStyle name="%_Corp_Relatórios de Físico v2_D_Ret_Fixa_VAR" xfId="518"/>
    <cellStyle name="%_Corp_Relatórios de Físico v2_Mig Ret 3G" xfId="519"/>
    <cellStyle name="%_Corp_Relatórios de Físico v2_Movel" xfId="520"/>
    <cellStyle name="%_Corp_Relatórios de Físico_Base" xfId="521"/>
    <cellStyle name="%_Corp_Relatórios de Físico_D_Ret_Fixa_EMP" xfId="522"/>
    <cellStyle name="%_Corp_Relatórios de Físico_D_Ret_Fixa_VAR" xfId="523"/>
    <cellStyle name="%_Corp_Relatórios de Físico_Mig Ret 3G" xfId="524"/>
    <cellStyle name="%_Corp_Relatórios de Físico_Movel" xfId="525"/>
    <cellStyle name="%_D_Movel" xfId="526"/>
    <cellStyle name="%_D_Ret_Fixa_EMP" xfId="527"/>
    <cellStyle name="%_D_Ret_Fixa_EMP_1" xfId="528"/>
    <cellStyle name="%_D_Ret_Fixa_EMP_2" xfId="529"/>
    <cellStyle name="%_D_Ret_Fixa_EMP_3" xfId="530"/>
    <cellStyle name="%_D_Ret_Fixa_EMP_4" xfId="531"/>
    <cellStyle name="%_D_Ret_Fixa_EMP_5" xfId="532"/>
    <cellStyle name="%_D_Ret_Fixa_EMP_6" xfId="533"/>
    <cellStyle name="%_D_Ret_Fixa_EMP_7" xfId="534"/>
    <cellStyle name="%_D_Ret_Fixa_EMP_8" xfId="535"/>
    <cellStyle name="%_D_Ret_Fixa_VAR" xfId="536"/>
    <cellStyle name="%_D_Ret_Fixa_VAR_1" xfId="537"/>
    <cellStyle name="%_D_Ret_Fixa_VAR_2" xfId="538"/>
    <cellStyle name="%_D_Ret_Fixa_VAR_3" xfId="539"/>
    <cellStyle name="%_D_Ret_Fixa_VAR_4" xfId="540"/>
    <cellStyle name="%_D_Ret_Fixa_VAR_5" xfId="541"/>
    <cellStyle name="%_D_Ret_Fixa_VAR_6" xfId="542"/>
    <cellStyle name="%_D_Ret_Fixa_VAR_7" xfId="543"/>
    <cellStyle name="%_D_Ret_Fixa_VAR_8" xfId="544"/>
    <cellStyle name="%_Data Book BU IOP_Febbraio2" xfId="545"/>
    <cellStyle name="%_Data Book BU IOP_Febbraio3" xfId="546"/>
    <cellStyle name="%_De_Para_plano" xfId="547"/>
    <cellStyle name="%_Effetto cambio_DW" xfId="548"/>
    <cellStyle name="%_Estrutura" xfId="549"/>
    <cellStyle name="%_Estrutura_Base" xfId="550"/>
    <cellStyle name="%_Estrutura_D_Ret_Fixa_EMP" xfId="551"/>
    <cellStyle name="%_Estrutura_D_Ret_Fixa_VAR" xfId="552"/>
    <cellStyle name="%_Estrutura_Mig Ret 3G" xfId="553"/>
    <cellStyle name="%_Estrutura_Movel" xfId="554"/>
    <cellStyle name="%_Fixa" xfId="555"/>
    <cellStyle name="%_Fixa_Base" xfId="556"/>
    <cellStyle name="%_Fixa_D_Ret_Fixa_EMP" xfId="557"/>
    <cellStyle name="%_Fixa_D_Ret_Fixa_VAR" xfId="558"/>
    <cellStyle name="%_Fixa_Mig Ret 3G" xfId="559"/>
    <cellStyle name="%_Fixa_Movel" xfId="560"/>
    <cellStyle name="%_Input_R" xfId="561"/>
    <cellStyle name="%_Input_R_Base" xfId="562"/>
    <cellStyle name="%_Input_R_D_Ret_Fixa_EMP" xfId="563"/>
    <cellStyle name="%_Input_R_D_Ret_Fixa_VAR" xfId="564"/>
    <cellStyle name="%_Input_R_Mig Ret 3G" xfId="565"/>
    <cellStyle name="%_Input_R_Movel" xfId="566"/>
    <cellStyle name="%_Log Save" xfId="567"/>
    <cellStyle name="%_Log Save_Base" xfId="568"/>
    <cellStyle name="%_Log Save_D_Ret_Fixa_EMP" xfId="569"/>
    <cellStyle name="%_Log Save_D_Ret_Fixa_VAR" xfId="570"/>
    <cellStyle name="%_Log Save_Mig Ret 3G" xfId="571"/>
    <cellStyle name="%_Log Save_Movel" xfId="572"/>
    <cellStyle name="%_Metrics Febbraio11" xfId="573"/>
    <cellStyle name="%_Mig Ret 3G" xfId="574"/>
    <cellStyle name="%_Mig Ret 3G_1" xfId="575"/>
    <cellStyle name="%_Mig Ret 3G_2" xfId="576"/>
    <cellStyle name="%_Mig Ret 3G_3" xfId="577"/>
    <cellStyle name="%_Mig Ret 3G_4" xfId="578"/>
    <cellStyle name="%_Mig Ret 3G_5" xfId="579"/>
    <cellStyle name="%_Mig Ret 3G_6" xfId="580"/>
    <cellStyle name="%_Movel" xfId="581"/>
    <cellStyle name="%_Movel_1" xfId="582"/>
    <cellStyle name="%_Movel_2" xfId="583"/>
    <cellStyle name="%_Movel_3" xfId="584"/>
    <cellStyle name="%_Movel_4" xfId="585"/>
    <cellStyle name="%_Movel_5" xfId="586"/>
    <cellStyle name="%_Movel_6" xfId="587"/>
    <cellStyle name="%_Movel_7" xfId="588"/>
    <cellStyle name="%_Movel_Base" xfId="589"/>
    <cellStyle name="%_Movel_D_Ret_Fixa_EMP" xfId="590"/>
    <cellStyle name="%_Movel_D_Ret_Fixa_VAR" xfId="591"/>
    <cellStyle name="%_Movel_Mig Ret 3G" xfId="592"/>
    <cellStyle name="%_Movel_Movel" xfId="593"/>
    <cellStyle name="%_Oi" xfId="594"/>
    <cellStyle name="%_Oi_Base" xfId="595"/>
    <cellStyle name="%_Oi_D_Movel" xfId="596"/>
    <cellStyle name="%_Oi_D_Ret_Fixa_EMP" xfId="597"/>
    <cellStyle name="%_Oi_D_Ret_Fixa_EMP_1" xfId="598"/>
    <cellStyle name="%_Oi_D_Ret_Fixa_EMP_2" xfId="599"/>
    <cellStyle name="%_Oi_D_Ret_Fixa_EMP_3" xfId="600"/>
    <cellStyle name="%_Oi_D_Ret_Fixa_EMP_4" xfId="601"/>
    <cellStyle name="%_Oi_D_Ret_Fixa_EMP_5" xfId="602"/>
    <cellStyle name="%_Oi_D_Ret_Fixa_EMP_6" xfId="603"/>
    <cellStyle name="%_Oi_D_Ret_Fixa_EMP_7" xfId="604"/>
    <cellStyle name="%_Oi_D_Ret_Fixa_EMP_8" xfId="605"/>
    <cellStyle name="%_Oi_D_Ret_Fixa_VAR" xfId="606"/>
    <cellStyle name="%_Oi_D_Ret_Fixa_VAR_1" xfId="607"/>
    <cellStyle name="%_Oi_D_Ret_Fixa_VAR_2" xfId="608"/>
    <cellStyle name="%_Oi_D_Ret_Fixa_VAR_3" xfId="609"/>
    <cellStyle name="%_Oi_D_Ret_Fixa_VAR_4" xfId="610"/>
    <cellStyle name="%_Oi_D_Ret_Fixa_VAR_5" xfId="611"/>
    <cellStyle name="%_Oi_D_Ret_Fixa_VAR_6" xfId="612"/>
    <cellStyle name="%_Oi_D_Ret_Fixa_VAR_7" xfId="613"/>
    <cellStyle name="%_Oi_D_Ret_Fixa_VAR_8" xfId="614"/>
    <cellStyle name="%_Oi_De_Para_plano" xfId="615"/>
    <cellStyle name="%_Oi_Mig Ret 3G" xfId="616"/>
    <cellStyle name="%_Oi_Mig Ret 3G_1" xfId="617"/>
    <cellStyle name="%_Oi_Mig Ret 3G_2" xfId="618"/>
    <cellStyle name="%_Oi_Mig Ret 3G_3" xfId="619"/>
    <cellStyle name="%_Oi_Mig Ret 3G_4" xfId="620"/>
    <cellStyle name="%_Oi_Mig Ret 3G_5" xfId="621"/>
    <cellStyle name="%_Oi_Mig Ret 3G_6" xfId="622"/>
    <cellStyle name="%_Oi_Movel" xfId="623"/>
    <cellStyle name="%_Oi_Movel_1" xfId="624"/>
    <cellStyle name="%_Oi_Movel_2" xfId="625"/>
    <cellStyle name="%_Oi_Movel_3" xfId="626"/>
    <cellStyle name="%_Oi_Movel_4" xfId="627"/>
    <cellStyle name="%_Oi_Movel_5" xfId="628"/>
    <cellStyle name="%_Oi_Movel_6" xfId="629"/>
    <cellStyle name="%_Oi_Retirada" xfId="630"/>
    <cellStyle name="%_Oi_Retirada_Base" xfId="631"/>
    <cellStyle name="%_Oi_Retirada_D_Ret_Fixa_EMP" xfId="632"/>
    <cellStyle name="%_Oi_Retirada_D_Ret_Fixa_EMP_1" xfId="633"/>
    <cellStyle name="%_Oi_Retirada_D_Ret_Fixa_EMP_2" xfId="634"/>
    <cellStyle name="%_Oi_Retirada_D_Ret_Fixa_EMP_3" xfId="635"/>
    <cellStyle name="%_Oi_Retirada_D_Ret_Fixa_EMP_4" xfId="636"/>
    <cellStyle name="%_Oi_Retirada_D_Ret_Fixa_EMP_5" xfId="637"/>
    <cellStyle name="%_Oi_Retirada_D_Ret_Fixa_EMP_6" xfId="638"/>
    <cellStyle name="%_Oi_Retirada_D_Ret_Fixa_EMP_7" xfId="639"/>
    <cellStyle name="%_Oi_Retirada_D_Ret_Fixa_EMP_8" xfId="640"/>
    <cellStyle name="%_Oi_Retirada_D_Ret_Fixa_VAR" xfId="641"/>
    <cellStyle name="%_Oi_Retirada_D_Ret_Fixa_VAR_1" xfId="642"/>
    <cellStyle name="%_Oi_Retirada_D_Ret_Fixa_VAR_2" xfId="643"/>
    <cellStyle name="%_Oi_Retirada_D_Ret_Fixa_VAR_3" xfId="644"/>
    <cellStyle name="%_Oi_Retirada_D_Ret_Fixa_VAR_4" xfId="645"/>
    <cellStyle name="%_Oi_Retirada_D_Ret_Fixa_VAR_5" xfId="646"/>
    <cellStyle name="%_Oi_Retirada_D_Ret_Fixa_VAR_6" xfId="647"/>
    <cellStyle name="%_Oi_Retirada_D_Ret_Fixa_VAR_7" xfId="648"/>
    <cellStyle name="%_Oi_Retirada_D_Ret_Fixa_VAR_8" xfId="649"/>
    <cellStyle name="%_Oi_Retirada_Mig Ret 3G" xfId="650"/>
    <cellStyle name="%_Oi_Retirada_Mig Ret 3G_1" xfId="651"/>
    <cellStyle name="%_Oi_Retirada_Mig Ret 3G_2" xfId="652"/>
    <cellStyle name="%_Oi_Retirada_Mig Ret 3G_3" xfId="653"/>
    <cellStyle name="%_Oi_Retirada_Mig Ret 3G_4" xfId="654"/>
    <cellStyle name="%_Oi_Retirada_Mig Ret 3G_5" xfId="655"/>
    <cellStyle name="%_Oi_Retirada_Mig Ret 3G_6" xfId="656"/>
    <cellStyle name="%_Oi_Retirada_Movel" xfId="657"/>
    <cellStyle name="%_Oi_Retirada_Movel_1" xfId="658"/>
    <cellStyle name="%_Oi_Retirada_Movel_2" xfId="659"/>
    <cellStyle name="%_Oi_Retirada_Movel_3" xfId="660"/>
    <cellStyle name="%_Oi_Retirada_Movel_4" xfId="661"/>
    <cellStyle name="%_Oi_Retirada_Movel_5" xfId="662"/>
    <cellStyle name="%_Oi_Retirada_Movel_6" xfId="663"/>
    <cellStyle name="%_Oi_Sumário Executivo OI - Integrado" xfId="664"/>
    <cellStyle name="%_Oi_Sumário Executivo OI - Integrado_Base" xfId="665"/>
    <cellStyle name="%_Oi_Sumário Executivo OI - Integrado_D_Movel" xfId="666"/>
    <cellStyle name="%_Oi_Sumário Executivo OI - Integrado_D_Ret_Fixa_EMP" xfId="667"/>
    <cellStyle name="%_Oi_Sumário Executivo OI - Integrado_D_Ret_Fixa_EMP_1" xfId="668"/>
    <cellStyle name="%_Oi_Sumário Executivo OI - Integrado_D_Ret_Fixa_EMP_2" xfId="669"/>
    <cellStyle name="%_Oi_Sumário Executivo OI - Integrado_D_Ret_Fixa_EMP_3" xfId="670"/>
    <cellStyle name="%_Oi_Sumário Executivo OI - Integrado_D_Ret_Fixa_EMP_4" xfId="671"/>
    <cellStyle name="%_Oi_Sumário Executivo OI - Integrado_D_Ret_Fixa_EMP_5" xfId="672"/>
    <cellStyle name="%_Oi_Sumário Executivo OI - Integrado_D_Ret_Fixa_EMP_6" xfId="673"/>
    <cellStyle name="%_Oi_Sumário Executivo OI - Integrado_D_Ret_Fixa_EMP_7" xfId="674"/>
    <cellStyle name="%_Oi_Sumário Executivo OI - Integrado_D_Ret_Fixa_EMP_8" xfId="675"/>
    <cellStyle name="%_Oi_Sumário Executivo OI - Integrado_D_Ret_Fixa_VAR" xfId="676"/>
    <cellStyle name="%_Oi_Sumário Executivo OI - Integrado_D_Ret_Fixa_VAR_1" xfId="677"/>
    <cellStyle name="%_Oi_Sumário Executivo OI - Integrado_D_Ret_Fixa_VAR_2" xfId="678"/>
    <cellStyle name="%_Oi_Sumário Executivo OI - Integrado_D_Ret_Fixa_VAR_3" xfId="679"/>
    <cellStyle name="%_Oi_Sumário Executivo OI - Integrado_D_Ret_Fixa_VAR_4" xfId="680"/>
    <cellStyle name="%_Oi_Sumário Executivo OI - Integrado_D_Ret_Fixa_VAR_5" xfId="681"/>
    <cellStyle name="%_Oi_Sumário Executivo OI - Integrado_D_Ret_Fixa_VAR_6" xfId="682"/>
    <cellStyle name="%_Oi_Sumário Executivo OI - Integrado_D_Ret_Fixa_VAR_7" xfId="683"/>
    <cellStyle name="%_Oi_Sumário Executivo OI - Integrado_D_Ret_Fixa_VAR_8" xfId="684"/>
    <cellStyle name="%_Oi_Sumário Executivo OI - Integrado_De_Para_plano" xfId="685"/>
    <cellStyle name="%_Oi_Sumário Executivo OI - Integrado_Mig Ret 3G" xfId="686"/>
    <cellStyle name="%_Oi_Sumário Executivo OI - Integrado_Mig Ret 3G_1" xfId="687"/>
    <cellStyle name="%_Oi_Sumário Executivo OI - Integrado_Mig Ret 3G_2" xfId="688"/>
    <cellStyle name="%_Oi_Sumário Executivo OI - Integrado_Mig Ret 3G_3" xfId="689"/>
    <cellStyle name="%_Oi_Sumário Executivo OI - Integrado_Mig Ret 3G_4" xfId="690"/>
    <cellStyle name="%_Oi_Sumário Executivo OI - Integrado_Mig Ret 3G_5" xfId="691"/>
    <cellStyle name="%_Oi_Sumário Executivo OI - Integrado_Mig Ret 3G_6" xfId="692"/>
    <cellStyle name="%_Oi_Sumário Executivo OI - Integrado_Movel" xfId="693"/>
    <cellStyle name="%_Oi_Sumário Executivo OI - Integrado_Movel_1" xfId="694"/>
    <cellStyle name="%_Oi_Sumário Executivo OI - Integrado_Movel_2" xfId="695"/>
    <cellStyle name="%_Oi_Sumário Executivo OI - Integrado_Movel_3" xfId="696"/>
    <cellStyle name="%_Oi_Sumário Executivo OI - Integrado_Movel_4" xfId="697"/>
    <cellStyle name="%_Oi_Sumário Executivo OI - Integrado_Movel_5" xfId="698"/>
    <cellStyle name="%_Oi_Sumário Executivo OI - Integrado_Movel_6" xfId="699"/>
    <cellStyle name="%_Oi_Sumário Executivo OI - Integrado_Retirada" xfId="700"/>
    <cellStyle name="%_Oi_Sumário Executivo OI - Integrado_Retirada_Base" xfId="701"/>
    <cellStyle name="%_Oi_Sumário Executivo OI - Integrado_Retirada_D_Ret_Fixa_EMP" xfId="702"/>
    <cellStyle name="%_Oi_Sumário Executivo OI - Integrado_Retirada_D_Ret_Fixa_EMP_1" xfId="703"/>
    <cellStyle name="%_Oi_Sumário Executivo OI - Integrado_Retirada_D_Ret_Fixa_EMP_2" xfId="704"/>
    <cellStyle name="%_Oi_Sumário Executivo OI - Integrado_Retirada_D_Ret_Fixa_EMP_3" xfId="705"/>
    <cellStyle name="%_Oi_Sumário Executivo OI - Integrado_Retirada_D_Ret_Fixa_EMP_4" xfId="706"/>
    <cellStyle name="%_Oi_Sumário Executivo OI - Integrado_Retirada_D_Ret_Fixa_EMP_5" xfId="707"/>
    <cellStyle name="%_Oi_Sumário Executivo OI - Integrado_Retirada_D_Ret_Fixa_EMP_6" xfId="708"/>
    <cellStyle name="%_Oi_Sumário Executivo OI - Integrado_Retirada_D_Ret_Fixa_EMP_7" xfId="709"/>
    <cellStyle name="%_Oi_Sumário Executivo OI - Integrado_Retirada_D_Ret_Fixa_EMP_8" xfId="710"/>
    <cellStyle name="%_Oi_Sumário Executivo OI - Integrado_Retirada_D_Ret_Fixa_VAR" xfId="711"/>
    <cellStyle name="%_Oi_Sumário Executivo OI - Integrado_Retirada_D_Ret_Fixa_VAR_1" xfId="712"/>
    <cellStyle name="%_Oi_Sumário Executivo OI - Integrado_Retirada_D_Ret_Fixa_VAR_2" xfId="713"/>
    <cellStyle name="%_Oi_Sumário Executivo OI - Integrado_Retirada_D_Ret_Fixa_VAR_3" xfId="714"/>
    <cellStyle name="%_Oi_Sumário Executivo OI - Integrado_Retirada_D_Ret_Fixa_VAR_4" xfId="715"/>
    <cellStyle name="%_Oi_Sumário Executivo OI - Integrado_Retirada_D_Ret_Fixa_VAR_5" xfId="716"/>
    <cellStyle name="%_Oi_Sumário Executivo OI - Integrado_Retirada_D_Ret_Fixa_VAR_6" xfId="717"/>
    <cellStyle name="%_Oi_Sumário Executivo OI - Integrado_Retirada_D_Ret_Fixa_VAR_7" xfId="718"/>
    <cellStyle name="%_Oi_Sumário Executivo OI - Integrado_Retirada_D_Ret_Fixa_VAR_8" xfId="719"/>
    <cellStyle name="%_Oi_Sumário Executivo OI - Integrado_Retirada_Mig Ret 3G" xfId="720"/>
    <cellStyle name="%_Oi_Sumário Executivo OI - Integrado_Retirada_Mig Ret 3G_1" xfId="721"/>
    <cellStyle name="%_Oi_Sumário Executivo OI - Integrado_Retirada_Mig Ret 3G_2" xfId="722"/>
    <cellStyle name="%_Oi_Sumário Executivo OI - Integrado_Retirada_Mig Ret 3G_3" xfId="723"/>
    <cellStyle name="%_Oi_Sumário Executivo OI - Integrado_Retirada_Mig Ret 3G_4" xfId="724"/>
    <cellStyle name="%_Oi_Sumário Executivo OI - Integrado_Retirada_Mig Ret 3G_5" xfId="725"/>
    <cellStyle name="%_Oi_Sumário Executivo OI - Integrado_Retirada_Mig Ret 3G_6" xfId="726"/>
    <cellStyle name="%_Oi_Sumário Executivo OI - Integrado_Retirada_Movel" xfId="727"/>
    <cellStyle name="%_Oi_Sumário Executivo OI - Integrado_Retirada_Movel_1" xfId="728"/>
    <cellStyle name="%_Oi_Sumário Executivo OI - Integrado_Retirada_Movel_2" xfId="729"/>
    <cellStyle name="%_Oi_Sumário Executivo OI - Integrado_Retirada_Movel_3" xfId="730"/>
    <cellStyle name="%_Oi_Sumário Executivo OI - Integrado_Retirada_Movel_4" xfId="731"/>
    <cellStyle name="%_Oi_Sumário Executivo OI - Integrado_Retirada_Movel_5" xfId="732"/>
    <cellStyle name="%_Oi_Sumário Executivo OI - Integrado_Retirada_Movel_6" xfId="733"/>
    <cellStyle name="%_Resultado de Vendas Premium_13_OUT_V2" xfId="734"/>
    <cellStyle name="%_Resultado por EC_R1_09_Set" xfId="735"/>
    <cellStyle name="%_Resultado por EC_R1_23_Set" xfId="736"/>
    <cellStyle name="%_Resultado por EC_R1_FECHAMENTO_V2_TESTE_CANAL" xfId="737"/>
    <cellStyle name="%_Resumo Estrutura" xfId="738"/>
    <cellStyle name="%_Resumo Estrutura_Base" xfId="739"/>
    <cellStyle name="%_Resumo Estrutura_D_Ret_Fixa_EMP" xfId="740"/>
    <cellStyle name="%_Resumo Estrutura_D_Ret_Fixa_VAR" xfId="741"/>
    <cellStyle name="%_Resumo Estrutura_Mig Ret 3G" xfId="742"/>
    <cellStyle name="%_Resumo Estrutura_Movel" xfId="743"/>
    <cellStyle name="%_Retenção Painel" xfId="744"/>
    <cellStyle name="%_Retenção Painel_Base" xfId="745"/>
    <cellStyle name="%_Retenção Painel_D_Ret_Fixa_EMP" xfId="746"/>
    <cellStyle name="%_Retenção Painel_D_Ret_Fixa_VAR" xfId="747"/>
    <cellStyle name="%_Retenção Painel_Mig Ret 3G" xfId="748"/>
    <cellStyle name="%_Retenção Painel_Movel" xfId="749"/>
    <cellStyle name="%_Retirada" xfId="750"/>
    <cellStyle name="%_Retirada_Base" xfId="751"/>
    <cellStyle name="%_Retirada_D_Ret_Fixa_EMP" xfId="752"/>
    <cellStyle name="%_Retirada_D_Ret_Fixa_EMP_1" xfId="753"/>
    <cellStyle name="%_Retirada_D_Ret_Fixa_EMP_2" xfId="754"/>
    <cellStyle name="%_Retirada_D_Ret_Fixa_EMP_3" xfId="755"/>
    <cellStyle name="%_Retirada_D_Ret_Fixa_EMP_4" xfId="756"/>
    <cellStyle name="%_Retirada_D_Ret_Fixa_EMP_5" xfId="757"/>
    <cellStyle name="%_Retirada_D_Ret_Fixa_EMP_6" xfId="758"/>
    <cellStyle name="%_Retirada_D_Ret_Fixa_EMP_7" xfId="759"/>
    <cellStyle name="%_Retirada_D_Ret_Fixa_EMP_8" xfId="760"/>
    <cellStyle name="%_Retirada_D_Ret_Fixa_VAR" xfId="761"/>
    <cellStyle name="%_Retirada_D_Ret_Fixa_VAR_1" xfId="762"/>
    <cellStyle name="%_Retirada_D_Ret_Fixa_VAR_2" xfId="763"/>
    <cellStyle name="%_Retirada_D_Ret_Fixa_VAR_3" xfId="764"/>
    <cellStyle name="%_Retirada_D_Ret_Fixa_VAR_4" xfId="765"/>
    <cellStyle name="%_Retirada_D_Ret_Fixa_VAR_5" xfId="766"/>
    <cellStyle name="%_Retirada_D_Ret_Fixa_VAR_6" xfId="767"/>
    <cellStyle name="%_Retirada_D_Ret_Fixa_VAR_7" xfId="768"/>
    <cellStyle name="%_Retirada_D_Ret_Fixa_VAR_8" xfId="769"/>
    <cellStyle name="%_Retirada_Mig Ret 3G" xfId="770"/>
    <cellStyle name="%_Retirada_Mig Ret 3G_1" xfId="771"/>
    <cellStyle name="%_Retirada_Mig Ret 3G_2" xfId="772"/>
    <cellStyle name="%_Retirada_Mig Ret 3G_3" xfId="773"/>
    <cellStyle name="%_Retirada_Mig Ret 3G_4" xfId="774"/>
    <cellStyle name="%_Retirada_Mig Ret 3G_5" xfId="775"/>
    <cellStyle name="%_Retirada_Mig Ret 3G_6" xfId="776"/>
    <cellStyle name="%_Retirada_Movel" xfId="777"/>
    <cellStyle name="%_Retirada_Movel_1" xfId="778"/>
    <cellStyle name="%_Retirada_Movel_2" xfId="779"/>
    <cellStyle name="%_Retirada_Movel_3" xfId="780"/>
    <cellStyle name="%_Retirada_Movel_4" xfId="781"/>
    <cellStyle name="%_Retirada_Movel_5" xfId="782"/>
    <cellStyle name="%_Retirada_Movel_6" xfId="783"/>
    <cellStyle name="%_Simulador de Receita Corp_Em Construção" xfId="784"/>
    <cellStyle name="%_Simulador de Receita Corp_Em Construção_Base" xfId="785"/>
    <cellStyle name="%_Simulador de Receita Corp_Em Construção_BckUp" xfId="786"/>
    <cellStyle name="%_Simulador de Receita Corp_Em Construção_BckUp_Base" xfId="787"/>
    <cellStyle name="%_Simulador de Receita Corp_Em Construção_BckUp_D_Ret_Fixa_EMP" xfId="788"/>
    <cellStyle name="%_Simulador de Receita Corp_Em Construção_BckUp_D_Ret_Fixa_VAR" xfId="789"/>
    <cellStyle name="%_Simulador de Receita Corp_Em Construção_BckUp_Mig Ret 3G" xfId="790"/>
    <cellStyle name="%_Simulador de Receita Corp_Em Construção_BckUp_Movel" xfId="791"/>
    <cellStyle name="%_Simulador de Receita Corp_Em Construção_D_Ret_Fixa_EMP" xfId="792"/>
    <cellStyle name="%_Simulador de Receita Corp_Em Construção_D_Ret_Fixa_VAR" xfId="793"/>
    <cellStyle name="%_Simulador de Receita Corp_Em Construção_Mig Ret 3G" xfId="794"/>
    <cellStyle name="%_Simulador de Receita Corp_Em Construção_Movel" xfId="795"/>
    <cellStyle name="%_Televendas Painel" xfId="796"/>
    <cellStyle name="%_Televendas Painel_Base" xfId="797"/>
    <cellStyle name="%_Televendas Painel_D_Ret_Fixa_EMP" xfId="798"/>
    <cellStyle name="%_Televendas Painel_D_Ret_Fixa_VAR" xfId="799"/>
    <cellStyle name="%_Televendas Painel_Mig Ret 3G" xfId="800"/>
    <cellStyle name="%_Televendas Painel_Movel" xfId="801"/>
    <cellStyle name="%_TENDÊNCIA INVOL" xfId="802"/>
    <cellStyle name="%_TENDÊNCIA INVOL_Base" xfId="803"/>
    <cellStyle name="%_TENDÊNCIA INVOL_D_Ret_Fixa_EMP" xfId="804"/>
    <cellStyle name="%_TENDÊNCIA INVOL_D_Ret_Fixa_VAR" xfId="805"/>
    <cellStyle name="%_TENDÊNCIA INVOL_Mig Ret 3G" xfId="806"/>
    <cellStyle name="%_TENDÊNCIA INVOL_Movel" xfId="807"/>
    <cellStyle name="%_Traffic BU IOP def valori" xfId="808"/>
    <cellStyle name="%_Velox" xfId="809"/>
    <cellStyle name="%_Velox_Base" xfId="810"/>
    <cellStyle name="%_Velox_D_Ret_Fixa_EMP" xfId="811"/>
    <cellStyle name="%_Velox_D_Ret_Fixa_VAR" xfId="812"/>
    <cellStyle name="%_Velox_Mig Ret 3G" xfId="813"/>
    <cellStyle name="%_Velox_Movel" xfId="814"/>
    <cellStyle name="(Lefting)" xfId="815"/>
    <cellStyle name="_x0002_._x0011__x0002_._x001b__x0002_ _x0015_%_x0018__x0001_" xfId="816"/>
    <cellStyle name="??" xfId="817"/>
    <cellStyle name="?? [0]_DN40071-METL " xfId="818"/>
    <cellStyle name="??&amp;O" xfId="819"/>
    <cellStyle name="??&amp;O?" xfId="820"/>
    <cellStyle name="??&amp;O?&amp;H" xfId="821"/>
    <cellStyle name="??&amp;O?&amp;H?_x0008_" xfId="822"/>
    <cellStyle name="??&amp;O?&amp;H?_x0008__x000f__x0007_?" xfId="823"/>
    <cellStyle name="??&amp;O?&amp;H?_x0008__x000f__x0007_?_x0007__x0001__x0001_" xfId="824"/>
    <cellStyle name="??&amp;O?&amp;H?_x0008_??_x0007__x0001__x0001_" xfId="825"/>
    <cellStyle name="??&amp;O?&amp;H_가격 Simulation 061206" xfId="826"/>
    <cellStyle name="??&amp;O龡&amp;H?_x0008__x000f__x0007_?_x0007__x0001__x0001_" xfId="827"/>
    <cellStyle name="??&amp;O龡&amp;H?_x0008_??_x0007__x0001__x0001_" xfId="828"/>
    <cellStyle name="???? [0.00]_Book1" xfId="829"/>
    <cellStyle name="????[0]_Book1" xfId="830"/>
    <cellStyle name="????_Book1" xfId="831"/>
    <cellStyle name="???[0]_DN40071-METL " xfId="832"/>
    <cellStyle name="???_DN40071-METL " xfId="833"/>
    <cellStyle name="??[0]_Book1" xfId="834"/>
    <cellStyle name="??_??" xfId="835"/>
    <cellStyle name="_★ '07~'08年 GVE 과제 현황_080502" xfId="836"/>
    <cellStyle name="_★ '07年 GVE 과제 현황_080407" xfId="837"/>
    <cellStyle name="_0108retoifixobv2" xfId="838"/>
    <cellStyle name="_0108retoifixobv2_0608retoifixobv" xfId="839"/>
    <cellStyle name="_0108retoifixobv2_0608retoifixobv_BD Resumo diário Painel de Televendas Abril 2011" xfId="840"/>
    <cellStyle name="_0108retoifixobv2_0608retoifixobv_BD Resumo diário Painel de Televendas Janeiro 2011" xfId="841"/>
    <cellStyle name="_0108retoifixobv2_0608retoifixobv_BD Resumo diário Painel de Televendas Setembro 2010_BASE_UNICA" xfId="842"/>
    <cellStyle name="_0108retoifixobv2_0608retoifixobv_Painel de Retenção Junho 2011" xfId="843"/>
    <cellStyle name="_0108retoifixobv2_0608retoifixobv_Pasta1" xfId="844"/>
    <cellStyle name="_0108retoifixobv2_0608retoifixobv_Plan1" xfId="845"/>
    <cellStyle name="_0108retoifixobv2_0608retoifixobv_Plan2" xfId="846"/>
    <cellStyle name="_0108retoifixobv2_0608retoifixobv_Retenção" xfId="847"/>
    <cellStyle name="_0108retoifixobv2_0608retoifixobv_Retenção Painel" xfId="848"/>
    <cellStyle name="_0108retoifixobv2_0608retoifixobv_Televendas Painel" xfId="849"/>
    <cellStyle name="_0108retoifixobv2_0608retoifixobv_Televendas Painel_ant" xfId="850"/>
    <cellStyle name="_0108retoifixobv2_0708RetSDLD" xfId="851"/>
    <cellStyle name="_0108retoifixobv2_0708RetSDLD_BD Resumo diário Painel de Televendas Abril 2011" xfId="852"/>
    <cellStyle name="_0108retoifixobv2_0708RetSDLD_BD Resumo diário Painel de Televendas Janeiro 2011" xfId="853"/>
    <cellStyle name="_0108retoifixobv2_0708RetSDLD_BD Resumo diário Painel de Televendas Setembro 2010_BASE_UNICA" xfId="854"/>
    <cellStyle name="_0108retoifixobv2_0708RetSDLD_Painel de Retenção Junho 2011" xfId="855"/>
    <cellStyle name="_0108retoifixobv2_0708RetSDLD_Pasta1" xfId="856"/>
    <cellStyle name="_0108retoifixobv2_0708RetSDLD_Plan1" xfId="857"/>
    <cellStyle name="_0108retoifixobv2_0708RetSDLD_Plan2" xfId="858"/>
    <cellStyle name="_0108retoifixobv2_0708RetSDLD_Retenção" xfId="859"/>
    <cellStyle name="_0108retoifixobv2_0708RetSDLD_Retenção Painel" xfId="860"/>
    <cellStyle name="_0108retoifixobv2_0708RetSDLD_Televendas Painel" xfId="861"/>
    <cellStyle name="_0108retoifixobv2_0708RetSDLD_Televendas Painel_ant" xfId="862"/>
    <cellStyle name="_0108retoifixobv2_Arvore OCT" xfId="863"/>
    <cellStyle name="_0108retoifixobv2_Arvore OCT_BD Resumo diário Painel de Televendas Abril 2011" xfId="864"/>
    <cellStyle name="_0108retoifixobv2_Arvore OCT_BD Resumo diário Painel de Televendas Janeiro 2011" xfId="865"/>
    <cellStyle name="_0108retoifixobv2_Arvore OCT_BD Resumo diário Painel de Televendas Setembro 2010_BASE_UNICA" xfId="866"/>
    <cellStyle name="_0108retoifixobv2_Arvore OCT_Painel de Retenção Junho 2011" xfId="867"/>
    <cellStyle name="_0108retoifixobv2_Arvore OCT_Pasta1" xfId="868"/>
    <cellStyle name="_0108retoifixobv2_Arvore OCT_Plan1" xfId="869"/>
    <cellStyle name="_0108retoifixobv2_Arvore OCT_Plan2" xfId="870"/>
    <cellStyle name="_0108retoifixobv2_Arvore OCT_Retenção" xfId="871"/>
    <cellStyle name="_0108retoifixobv2_Arvore OCT_Retenção Painel" xfId="872"/>
    <cellStyle name="_0108retoifixobv2_Arvore OCT_Televendas Painel" xfId="873"/>
    <cellStyle name="_0108retoifixobv2_Arvore OCT_Televendas Painel_ant" xfId="874"/>
    <cellStyle name="_0108retoifixobv2_Base Input Driver Retenção Premium" xfId="875"/>
    <cellStyle name="_0108retoifixobv2_Base Input Driver Retenção Premium_BD Resumo diário Painel de Televendas Abril 2011" xfId="876"/>
    <cellStyle name="_0108retoifixobv2_Base Input Driver Retenção Premium_BD Resumo diário Painel de Televendas Janeiro 2011" xfId="877"/>
    <cellStyle name="_0108retoifixobv2_Base Input Driver Retenção Premium_BD Resumo diário Painel de Televendas Setembro 2010_BASE_UNICA" xfId="878"/>
    <cellStyle name="_0108retoifixobv2_Base Input Driver Retenção Premium_Painel de Retenção Junho 2011" xfId="879"/>
    <cellStyle name="_0108retoifixobv2_Base Input Driver Retenção Premium_Pasta1" xfId="880"/>
    <cellStyle name="_0108retoifixobv2_Base Input Driver Retenção Premium_Plan1" xfId="881"/>
    <cellStyle name="_0108retoifixobv2_Base Input Driver Retenção Premium_Plan2" xfId="882"/>
    <cellStyle name="_0108retoifixobv2_Base Input Driver Retenção Premium_Retenção" xfId="883"/>
    <cellStyle name="_0108retoifixobv2_Base Input Driver Retenção Premium_Retenção Painel" xfId="884"/>
    <cellStyle name="_0108retoifixobv2_Base Input Driver Retenção Premium_Televendas Painel" xfId="885"/>
    <cellStyle name="_0108retoifixobv2_Base Input Driver Retenção Premium_Televendas Painel_ant" xfId="886"/>
    <cellStyle name="_0108retoifixobv2_BD Resumo diário Painel de Televendas Abril 2011" xfId="887"/>
    <cellStyle name="_0108retoifixobv2_BD Resumo diário Painel de Televendas Janeiro 2011" xfId="888"/>
    <cellStyle name="_0108retoifixobv2_BD Resumo diário Painel de Televendas Setembro 2010_BASE_UNICA" xfId="889"/>
    <cellStyle name="_0108retoifixobv2_COMPARAÇÃO 2008 X 2009" xfId="890"/>
    <cellStyle name="_0108retoifixobv2_COMPARAÇÃO 2008 X 2009_BD Resumo diário Painel de Televendas Abril 2011" xfId="891"/>
    <cellStyle name="_0108retoifixobv2_COMPARAÇÃO 2008 X 2009_BD Resumo diário Painel de Televendas Janeiro 2011" xfId="892"/>
    <cellStyle name="_0108retoifixobv2_COMPARAÇÃO 2008 X 2009_BD Resumo diário Painel de Televendas Setembro 2010_BASE_UNICA" xfId="893"/>
    <cellStyle name="_0108retoifixobv2_COMPARAÇÃO 2008 X 2009_Painel de Retenção Junho 2011" xfId="894"/>
    <cellStyle name="_0108retoifixobv2_COMPARAÇÃO 2008 X 2009_Pasta1" xfId="895"/>
    <cellStyle name="_0108retoifixobv2_COMPARAÇÃO 2008 X 2009_Plan1" xfId="896"/>
    <cellStyle name="_0108retoifixobv2_COMPARAÇÃO 2008 X 2009_Plan2" xfId="897"/>
    <cellStyle name="_0108retoifixobv2_COMPARAÇÃO 2008 X 2009_Retenção" xfId="898"/>
    <cellStyle name="_0108retoifixobv2_COMPARAÇÃO 2008 X 2009_Retenção Painel" xfId="899"/>
    <cellStyle name="_0108retoifixobv2_COMPARAÇÃO 2008 X 2009_Televendas Painel" xfId="900"/>
    <cellStyle name="_0108retoifixobv2_COMPARAÇÃO 2008 X 2009_Televendas Painel_ant" xfId="901"/>
    <cellStyle name="_0108retoifixobv2_CUSTOS TLV AV - 2008" xfId="902"/>
    <cellStyle name="_0108retoifixobv2_CUSTOS TLV AV - 2008_BD Resumo diário Painel de Televendas Abril 2011" xfId="903"/>
    <cellStyle name="_0108retoifixobv2_CUSTOS TLV AV - 2008_BD Resumo diário Painel de Televendas Janeiro 2011" xfId="904"/>
    <cellStyle name="_0108retoifixobv2_CUSTOS TLV AV - 2008_BD Resumo diário Painel de Televendas Setembro 2010_BASE_UNICA" xfId="905"/>
    <cellStyle name="_0108retoifixobv2_CUSTOS TLV AV - 2008_Painel de Retenção Junho 2011" xfId="906"/>
    <cellStyle name="_0108retoifixobv2_CUSTOS TLV AV - 2008_Pasta1" xfId="907"/>
    <cellStyle name="_0108retoifixobv2_CUSTOS TLV AV - 2008_Plan1" xfId="908"/>
    <cellStyle name="_0108retoifixobv2_CUSTOS TLV AV - 2008_Plan2" xfId="909"/>
    <cellStyle name="_0108retoifixobv2_CUSTOS TLV AV - 2008_Retenção" xfId="910"/>
    <cellStyle name="_0108retoifixobv2_CUSTOS TLV AV - 2008_Retenção Painel" xfId="911"/>
    <cellStyle name="_0108retoifixobv2_CUSTOS TLV AV - 2008_Televendas Painel" xfId="912"/>
    <cellStyle name="_0108retoifixobv2_CUSTOS TLV AV - 2008_Televendas Painel_ant" xfId="913"/>
    <cellStyle name="_0108retoifixobv2_Diário_OF" xfId="914"/>
    <cellStyle name="_0108retoifixobv2_Diário_OF 2" xfId="915"/>
    <cellStyle name="_0108retoifixobv2_Diário_OF_Base" xfId="916"/>
    <cellStyle name="_0108retoifixobv2_Diário_OF_D_Movel" xfId="917"/>
    <cellStyle name="_0108retoifixobv2_Diário_OF_D_Ret_Fixa_EMP" xfId="918"/>
    <cellStyle name="_0108retoifixobv2_Diário_OF_D_Ret_Fixa_EMP_1" xfId="919"/>
    <cellStyle name="_0108retoifixobv2_Diário_OF_D_Ret_Fixa_EMP_2" xfId="920"/>
    <cellStyle name="_0108retoifixobv2_Diário_OF_D_Ret_Fixa_EMP_3" xfId="921"/>
    <cellStyle name="_0108retoifixobv2_Diário_OF_D_Ret_Fixa_EMP_4" xfId="922"/>
    <cellStyle name="_0108retoifixobv2_Diário_OF_D_Ret_Fixa_EMP_5" xfId="923"/>
    <cellStyle name="_0108retoifixobv2_Diário_OF_D_Ret_Fixa_EMP_6" xfId="924"/>
    <cellStyle name="_0108retoifixobv2_Diário_OF_D_Ret_Fixa_EMP_7" xfId="925"/>
    <cellStyle name="_0108retoifixobv2_Diário_OF_D_Ret_Fixa_EMP_8" xfId="926"/>
    <cellStyle name="_0108retoifixobv2_Diário_OF_D_Ret_Fixa_VAR" xfId="927"/>
    <cellStyle name="_0108retoifixobv2_Diário_OF_D_Ret_Fixa_VAR_1" xfId="928"/>
    <cellStyle name="_0108retoifixobv2_Diário_OF_D_Ret_Fixa_VAR_2" xfId="929"/>
    <cellStyle name="_0108retoifixobv2_Diário_OF_D_Ret_Fixa_VAR_3" xfId="930"/>
    <cellStyle name="_0108retoifixobv2_Diário_OF_D_Ret_Fixa_VAR_4" xfId="931"/>
    <cellStyle name="_0108retoifixobv2_Diário_OF_D_Ret_Fixa_VAR_5" xfId="932"/>
    <cellStyle name="_0108retoifixobv2_Diário_OF_D_Ret_Fixa_VAR_6" xfId="933"/>
    <cellStyle name="_0108retoifixobv2_Diário_OF_D_Ret_Fixa_VAR_7" xfId="934"/>
    <cellStyle name="_0108retoifixobv2_Diário_OF_D_Ret_Fixa_VAR_8" xfId="935"/>
    <cellStyle name="_0108retoifixobv2_Diário_OF_Mig Ret 3G" xfId="936"/>
    <cellStyle name="_0108retoifixobv2_Diário_OF_Mig Ret 3G_1" xfId="937"/>
    <cellStyle name="_0108retoifixobv2_Diário_OF_Mig Ret 3G_2" xfId="938"/>
    <cellStyle name="_0108retoifixobv2_Diário_OF_Mig Ret 3G_3" xfId="939"/>
    <cellStyle name="_0108retoifixobv2_Diário_OF_Mig Ret 3G_4" xfId="940"/>
    <cellStyle name="_0108retoifixobv2_Diário_OF_Mig Ret 3G_5" xfId="941"/>
    <cellStyle name="_0108retoifixobv2_Diário_OF_Mig Ret 3G_6" xfId="942"/>
    <cellStyle name="_0108retoifixobv2_Diário_OF_Mig Ret 3G_7" xfId="943"/>
    <cellStyle name="_0108retoifixobv2_Diário_OF_Movel" xfId="944"/>
    <cellStyle name="_0108retoifixobv2_Diário_OF_Movel_1" xfId="945"/>
    <cellStyle name="_0108retoifixobv2_Diário_OF_Movel_2" xfId="946"/>
    <cellStyle name="_0108retoifixobv2_Diário_OF_Movel_3" xfId="947"/>
    <cellStyle name="_0108retoifixobv2_Diário_OF_Movel_4" xfId="948"/>
    <cellStyle name="_0108retoifixobv2_Diário_OF_Movel_5" xfId="949"/>
    <cellStyle name="_0108retoifixobv2_Diário_OF_Movel_6" xfId="950"/>
    <cellStyle name="_0108retoifixobv2_Diário_OF_Movel_7" xfId="951"/>
    <cellStyle name="_0108retoifixobv2_Diário_OF_Retenção" xfId="952"/>
    <cellStyle name="_0108retoifixobv2_Faturamento TLV_Varejo_Ago 16-07 a 15-08-09 - V4 - Validação Cliente" xfId="953"/>
    <cellStyle name="_0108retoifixobv2_Faturamento TLV_Varejo_Ago 16-07 a 15-08-09 - V4 - Validação Cliente_BD Resumo diário Painel de Televendas Abril 2011" xfId="954"/>
    <cellStyle name="_0108retoifixobv2_Faturamento TLV_Varejo_Ago 16-07 a 15-08-09 - V4 - Validação Cliente_BD Resumo diário Painel de Televendas Janeiro 2011" xfId="955"/>
    <cellStyle name="_0108retoifixobv2_Faturamento TLV_Varejo_Ago 16-07 a 15-08-09 - V4 - Validação Cliente_BD Resumo diário Painel de Televendas Setembro 2010_BASE_UNICA" xfId="956"/>
    <cellStyle name="_0108retoifixobv2_Faturamento TLV_Varejo_Ago 16-07 a 15-08-09 - V4 - Validação Cliente_Painel de Retenção Junho 2011" xfId="957"/>
    <cellStyle name="_0108retoifixobv2_Faturamento TLV_Varejo_Ago 16-07 a 15-08-09 - V4 - Validação Cliente_Pasta1" xfId="958"/>
    <cellStyle name="_0108retoifixobv2_Faturamento TLV_Varejo_Ago 16-07 a 15-08-09 - V4 - Validação Cliente_Plan1" xfId="959"/>
    <cellStyle name="_0108retoifixobv2_Faturamento TLV_Varejo_Ago 16-07 a 15-08-09 - V4 - Validação Cliente_Plan2" xfId="960"/>
    <cellStyle name="_0108retoifixobv2_Faturamento TLV_Varejo_Ago 16-07 a 15-08-09 - V4 - Validação Cliente_Retenção" xfId="961"/>
    <cellStyle name="_0108retoifixobv2_Faturamento TLV_Varejo_Ago 16-07 a 15-08-09 - V4 - Validação Cliente_Retenção Painel" xfId="962"/>
    <cellStyle name="_0108retoifixobv2_Faturamento TLV_Varejo_Ago 16-07 a 15-08-09 - V4 - Validação Cliente_Televendas Painel" xfId="963"/>
    <cellStyle name="_0108retoifixobv2_Faturamento TLV_Varejo_Ago 16-07 a 15-08-09 - V4 - Validação Cliente_Televendas Painel_ant" xfId="964"/>
    <cellStyle name="_0108retoifixobv2_Faturamento TLV_Varejo_Jun 16-05 a 15-06-09 - M3 - Validação Cliente_v2" xfId="965"/>
    <cellStyle name="_0108retoifixobv2_Faturamento TLV_Varejo_Jun 16-05 a 15-06-09 - M3 - Validação Cliente_v2_BD Resumo diário Painel de Televendas Abril 2011" xfId="966"/>
    <cellStyle name="_0108retoifixobv2_Faturamento TLV_Varejo_Jun 16-05 a 15-06-09 - M3 - Validação Cliente_v2_BD Resumo diário Painel de Televendas Janeiro 2011" xfId="967"/>
    <cellStyle name="_0108retoifixobv2_Faturamento TLV_Varejo_Jun 16-05 a 15-06-09 - M3 - Validação Cliente_v2_BD Resumo diário Painel de Televendas Setembro 2010_BASE_UNICA" xfId="968"/>
    <cellStyle name="_0108retoifixobv2_Faturamento TLV_Varejo_Jun 16-05 a 15-06-09 - M3 - Validação Cliente_v2_Painel de Retenção Junho 2011" xfId="969"/>
    <cellStyle name="_0108retoifixobv2_Faturamento TLV_Varejo_Jun 16-05 a 15-06-09 - M3 - Validação Cliente_v2_Pasta1" xfId="970"/>
    <cellStyle name="_0108retoifixobv2_Faturamento TLV_Varejo_Jun 16-05 a 15-06-09 - M3 - Validação Cliente_v2_Plan1" xfId="971"/>
    <cellStyle name="_0108retoifixobv2_Faturamento TLV_Varejo_Jun 16-05 a 15-06-09 - M3 - Validação Cliente_v2_Plan2" xfId="972"/>
    <cellStyle name="_0108retoifixobv2_Faturamento TLV_Varejo_Jun 16-05 a 15-06-09 - M3 - Validação Cliente_v2_Retenção" xfId="973"/>
    <cellStyle name="_0108retoifixobv2_Faturamento TLV_Varejo_Jun 16-05 a 15-06-09 - M3 - Validação Cliente_v2_Retenção Painel" xfId="974"/>
    <cellStyle name="_0108retoifixobv2_Faturamento TLV_Varejo_Jun 16-05 a 15-06-09 - M3 - Validação Cliente_v2_Televendas Painel" xfId="975"/>
    <cellStyle name="_0108retoifixobv2_Faturamento TLV_Varejo_Jun 16-05 a 15-06-09 - M3 - Validação Cliente_v2_Televendas Painel_ant" xfId="976"/>
    <cellStyle name="_0108retoifixobv2_Faturamento TLV_Varejo_Mai 16-04 a 15-05-09 - M3 - Validação Cliente_V2" xfId="977"/>
    <cellStyle name="_0108retoifixobv2_Faturamento TLV_Varejo_Mai 16-04 a 15-05-09 - M3 - Validação Cliente_V2_BD Resumo diário Painel de Televendas Abril 2011" xfId="978"/>
    <cellStyle name="_0108retoifixobv2_Faturamento TLV_Varejo_Mai 16-04 a 15-05-09 - M3 - Validação Cliente_V2_BD Resumo diário Painel de Televendas Janeiro 2011" xfId="979"/>
    <cellStyle name="_0108retoifixobv2_Faturamento TLV_Varejo_Mai 16-04 a 15-05-09 - M3 - Validação Cliente_V2_BD Resumo diário Painel de Televendas Setembro 2010_BASE_UNICA" xfId="980"/>
    <cellStyle name="_0108retoifixobv2_Faturamento TLV_Varejo_Mai 16-04 a 15-05-09 - M3 - Validação Cliente_V2_Painel de Retenção Junho 2011" xfId="981"/>
    <cellStyle name="_0108retoifixobv2_Faturamento TLV_Varejo_Mai 16-04 a 15-05-09 - M3 - Validação Cliente_V2_Pasta1" xfId="982"/>
    <cellStyle name="_0108retoifixobv2_Faturamento TLV_Varejo_Mai 16-04 a 15-05-09 - M3 - Validação Cliente_V2_Plan1" xfId="983"/>
    <cellStyle name="_0108retoifixobv2_Faturamento TLV_Varejo_Mai 16-04 a 15-05-09 - M3 - Validação Cliente_V2_Plan2" xfId="984"/>
    <cellStyle name="_0108retoifixobv2_Faturamento TLV_Varejo_Mai 16-04 a 15-05-09 - M3 - Validação Cliente_V2_Retenção" xfId="985"/>
    <cellStyle name="_0108retoifixobv2_Faturamento TLV_Varejo_Mai 16-04 a 15-05-09 - M3 - Validação Cliente_V2_Retenção Painel" xfId="986"/>
    <cellStyle name="_0108retoifixobv2_Faturamento TLV_Varejo_Mai 16-04 a 15-05-09 - M3 - Validação Cliente_V2_Televendas Painel" xfId="987"/>
    <cellStyle name="_0108retoifixobv2_Faturamento TLV_Varejo_Mai 16-04 a 15-05-09 - M3 - Validação Cliente_V2_Televendas Painel_ant" xfId="988"/>
    <cellStyle name="_0108retoifixobv2_Fechamento Faturamento Abril2008_ CE_Retenção Oi_v01" xfId="989"/>
    <cellStyle name="_0108retoifixobv2_Fechamento Faturamento Abril2008_ CE_Retenção Oi_v01_BD Resumo diário Painel de Televendas Abril 2011" xfId="990"/>
    <cellStyle name="_0108retoifixobv2_Fechamento Faturamento Abril2008_ CE_Retenção Oi_v01_BD Resumo diário Painel de Televendas Janeiro 2011" xfId="991"/>
    <cellStyle name="_0108retoifixobv2_Fechamento Faturamento Abril2008_ CE_Retenção Oi_v01_BD Resumo diário Painel de Televendas Setembro 2010_BASE_UNICA" xfId="992"/>
    <cellStyle name="_0108retoifixobv2_Fechamento Faturamento Abril2008_ CE_Retenção Oi_v01_Faturamento TLV_Varejo_Ago 16-07 a 15-08-09 - V4 - Validação Cliente" xfId="993"/>
    <cellStyle name="_0108retoifixobv2_Fechamento Faturamento Abril2008_ CE_Retenção Oi_v01_Faturamento TLV_Varejo_Ago 16-07 a 15-08-09 - V4 - Validação Cliente_BD Resumo diário Painel de Televendas Abril 2011" xfId="994"/>
    <cellStyle name="_0108retoifixobv2_Fechamento Faturamento Abril2008_ CE_Retenção Oi_v01_Faturamento TLV_Varejo_Ago 16-07 a 15-08-09 - V4 - Validação Cliente_BD Resumo diário Painel de Televendas Janeiro 2011" xfId="995"/>
    <cellStyle name="_0108retoifixobv2_Fechamento Faturamento Abril2008_ CE_Retenção Oi_v01_Faturamento TLV_Varejo_Ago 16-07 a 15-08-09 - V4 - Validação Cliente_BD Resumo diário Painel de Televendas Setembro 2010_BASE_UNICA" xfId="996"/>
    <cellStyle name="_0108retoifixobv2_Fechamento Faturamento Abril2008_ CE_Retenção Oi_v01_Faturamento TLV_Varejo_Ago 16-07 a 15-08-09 - V4 - Validação Cliente_Painel de Retenção Junho 2011" xfId="997"/>
    <cellStyle name="_0108retoifixobv2_Fechamento Faturamento Abril2008_ CE_Retenção Oi_v01_Faturamento TLV_Varejo_Ago 16-07 a 15-08-09 - V4 - Validação Cliente_Pasta1" xfId="998"/>
    <cellStyle name="_0108retoifixobv2_Fechamento Faturamento Abril2008_ CE_Retenção Oi_v01_Faturamento TLV_Varejo_Ago 16-07 a 15-08-09 - V4 - Validação Cliente_Plan1" xfId="999"/>
    <cellStyle name="_0108retoifixobv2_Fechamento Faturamento Abril2008_ CE_Retenção Oi_v01_Faturamento TLV_Varejo_Ago 16-07 a 15-08-09 - V4 - Validação Cliente_Plan2" xfId="1000"/>
    <cellStyle name="_0108retoifixobv2_Fechamento Faturamento Abril2008_ CE_Retenção Oi_v01_Faturamento TLV_Varejo_Ago 16-07 a 15-08-09 - V4 - Validação Cliente_Retenção" xfId="1001"/>
    <cellStyle name="_0108retoifixobv2_Fechamento Faturamento Abril2008_ CE_Retenção Oi_v01_Faturamento TLV_Varejo_Ago 16-07 a 15-08-09 - V4 - Validação Cliente_Retenção Painel" xfId="1002"/>
    <cellStyle name="_0108retoifixobv2_Fechamento Faturamento Abril2008_ CE_Retenção Oi_v01_Faturamento TLV_Varejo_Ago 16-07 a 15-08-09 - V4 - Validação Cliente_Televendas Painel" xfId="1003"/>
    <cellStyle name="_0108retoifixobv2_Fechamento Faturamento Abril2008_ CE_Retenção Oi_v01_Faturamento TLV_Varejo_Ago 16-07 a 15-08-09 - V4 - Validação Cliente_Televendas Painel_ant" xfId="1004"/>
    <cellStyle name="_0108retoifixobv2_Fechamento Faturamento Abril2008_ CE_Retenção Oi_v01_Painel de Retenção Junho 2011" xfId="1005"/>
    <cellStyle name="_0108retoifixobv2_Fechamento Faturamento Abril2008_ CE_Retenção Oi_v01_Pasta1" xfId="1006"/>
    <cellStyle name="_0108retoifixobv2_Fechamento Faturamento Abril2008_ CE_Retenção Oi_v01_Plan1" xfId="1007"/>
    <cellStyle name="_0108retoifixobv2_Fechamento Faturamento Abril2008_ CE_Retenção Oi_v01_Plan2" xfId="1008"/>
    <cellStyle name="_0108retoifixobv2_Fechamento Faturamento Abril2008_ CE_Retenção Oi_v01_Retenção" xfId="1009"/>
    <cellStyle name="_0108retoifixobv2_Fechamento Faturamento Abril2008_ CE_Retenção Oi_v01_Retenção Painel" xfId="1010"/>
    <cellStyle name="_0108retoifixobv2_Fechamento Faturamento Abril2008_ CE_Retenção Oi_v01_Televendas Painel" xfId="1011"/>
    <cellStyle name="_0108retoifixobv2_Fechamento Faturamento Abril2008_ CE_Retenção Oi_v01_Televendas Painel_ant" xfId="1012"/>
    <cellStyle name="_0108retoifixobv2_Indicadores TLV 2008 (ORÇ 2009) V3" xfId="1013"/>
    <cellStyle name="_0108retoifixobv2_Indicadores TLV 2008 (ORÇ 2009) V3_BD Resumo diário Painel de Televendas Abril 2011" xfId="1014"/>
    <cellStyle name="_0108retoifixobv2_Indicadores TLV 2008 (ORÇ 2009) V3_BD Resumo diário Painel de Televendas Janeiro 2011" xfId="1015"/>
    <cellStyle name="_0108retoifixobv2_Indicadores TLV 2008 (ORÇ 2009) V3_BD Resumo diário Painel de Televendas Setembro 2010_BASE_UNICA" xfId="1016"/>
    <cellStyle name="_0108retoifixobv2_Indicadores TLV 2008 (ORÇ 2009) V3_Painel de Retenção Junho 2011" xfId="1017"/>
    <cellStyle name="_0108retoifixobv2_Indicadores TLV 2008 (ORÇ 2009) V3_Pasta1" xfId="1018"/>
    <cellStyle name="_0108retoifixobv2_Indicadores TLV 2008 (ORÇ 2009) V3_Plan1" xfId="1019"/>
    <cellStyle name="_0108retoifixobv2_Indicadores TLV 2008 (ORÇ 2009) V3_Plan2" xfId="1020"/>
    <cellStyle name="_0108retoifixobv2_Indicadores TLV 2008 (ORÇ 2009) V3_Retenção" xfId="1021"/>
    <cellStyle name="_0108retoifixobv2_Indicadores TLV 2008 (ORÇ 2009) V3_Retenção Painel" xfId="1022"/>
    <cellStyle name="_0108retoifixobv2_Indicadores TLV 2008 (ORÇ 2009) V3_Televendas Painel" xfId="1023"/>
    <cellStyle name="_0108retoifixobv2_Indicadores TLV 2008 (ORÇ 2009) V3_Televendas Painel_ant" xfId="1024"/>
    <cellStyle name="_0108retoifixobv2_Indicadores TLV AV 2009 (ORÇADO)" xfId="1025"/>
    <cellStyle name="_0108retoifixobv2_Indicadores TLV AV 2009 (ORÇADO)_BD Resumo diário Painel de Televendas Abril 2011" xfId="1026"/>
    <cellStyle name="_0108retoifixobv2_Indicadores TLV AV 2009 (ORÇADO)_BD Resumo diário Painel de Televendas Janeiro 2011" xfId="1027"/>
    <cellStyle name="_0108retoifixobv2_Indicadores TLV AV 2009 (ORÇADO)_BD Resumo diário Painel de Televendas Setembro 2010_BASE_UNICA" xfId="1028"/>
    <cellStyle name="_0108retoifixobv2_Indicadores TLV AV 2009 (ORÇADO)_Painel de Retenção Junho 2011" xfId="1029"/>
    <cellStyle name="_0108retoifixobv2_Indicadores TLV AV 2009 (ORÇADO)_Pasta1" xfId="1030"/>
    <cellStyle name="_0108retoifixobv2_Indicadores TLV AV 2009 (ORÇADO)_Plan1" xfId="1031"/>
    <cellStyle name="_0108retoifixobv2_Indicadores TLV AV 2009 (ORÇADO)_Plan2" xfId="1032"/>
    <cellStyle name="_0108retoifixobv2_Indicadores TLV AV 2009 (ORÇADO)_Retenção" xfId="1033"/>
    <cellStyle name="_0108retoifixobv2_Indicadores TLV AV 2009 (ORÇADO)_Retenção Painel" xfId="1034"/>
    <cellStyle name="_0108retoifixobv2_Indicadores TLV AV 2009 (ORÇADO)_Televendas Painel" xfId="1035"/>
    <cellStyle name="_0108retoifixobv2_Indicadores TLV AV 2009 (ORÇADO)_Televendas Painel_ant" xfId="1036"/>
    <cellStyle name="_0108retoifixobv2_Painel de Retenção Junho 2011" xfId="1037"/>
    <cellStyle name="_0108retoifixobv2_Pasta1" xfId="1038"/>
    <cellStyle name="_0108retoifixobv2_Pasta1_1" xfId="1039"/>
    <cellStyle name="_0108retoifixobv2_Pasta1_BD Resumo diário Painel de Televendas Abril 2011" xfId="1040"/>
    <cellStyle name="_0108retoifixobv2_Pasta1_BD Resumo diário Painel de Televendas Janeiro 2011" xfId="1041"/>
    <cellStyle name="_0108retoifixobv2_Pasta1_BD Resumo diário Painel de Televendas Setembro 2010_BASE_UNICA" xfId="1042"/>
    <cellStyle name="_0108retoifixobv2_Pasta1_Painel de Retenção Junho 2011" xfId="1043"/>
    <cellStyle name="_0108retoifixobv2_Pasta1_Pasta1" xfId="1044"/>
    <cellStyle name="_0108retoifixobv2_Pasta1_Plan1" xfId="1045"/>
    <cellStyle name="_0108retoifixobv2_Pasta1_Plan2" xfId="1046"/>
    <cellStyle name="_0108retoifixobv2_Pasta1_Retenção" xfId="1047"/>
    <cellStyle name="_0108retoifixobv2_Pasta1_Retenção Painel" xfId="1048"/>
    <cellStyle name="_0108retoifixobv2_Pasta1_Televendas Painel" xfId="1049"/>
    <cellStyle name="_0108retoifixobv2_Pasta1_Televendas Painel_ant" xfId="1050"/>
    <cellStyle name="_0108retoifixobv2_Plan1" xfId="1051"/>
    <cellStyle name="_0108retoifixobv2_Plan2" xfId="1052"/>
    <cellStyle name="_0108retoifixobv2_RET AV 22_02_2008" xfId="1053"/>
    <cellStyle name="_0108retoifixobv2_RET AV 22_02_2008_BD Resumo diário Painel de Televendas Abril 2011" xfId="1054"/>
    <cellStyle name="_0108retoifixobv2_RET AV 22_02_2008_BD Resumo diário Painel de Televendas Janeiro 2011" xfId="1055"/>
    <cellStyle name="_0108retoifixobv2_RET AV 22_02_2008_BD Resumo diário Painel de Televendas Setembro 2010_BASE_UNICA" xfId="1056"/>
    <cellStyle name="_0108retoifixobv2_RET AV 22_02_2008_Faturamento TLV_Varejo_Ago 16-07 a 15-08-09 - V4 - Validação Cliente" xfId="1057"/>
    <cellStyle name="_0108retoifixobv2_RET AV 22_02_2008_Faturamento TLV_Varejo_Ago 16-07 a 15-08-09 - V4 - Validação Cliente_BD Resumo diário Painel de Televendas Abril 2011" xfId="1058"/>
    <cellStyle name="_0108retoifixobv2_RET AV 22_02_2008_Faturamento TLV_Varejo_Ago 16-07 a 15-08-09 - V4 - Validação Cliente_BD Resumo diário Painel de Televendas Janeiro 2011" xfId="1059"/>
    <cellStyle name="_0108retoifixobv2_RET AV 22_02_2008_Faturamento TLV_Varejo_Ago 16-07 a 15-08-09 - V4 - Validação Cliente_BD Resumo diário Painel de Televendas Setembro 2010_BASE_UNICA" xfId="1060"/>
    <cellStyle name="_0108retoifixobv2_RET AV 22_02_2008_Faturamento TLV_Varejo_Ago 16-07 a 15-08-09 - V4 - Validação Cliente_Painel de Retenção Junho 2011" xfId="1061"/>
    <cellStyle name="_0108retoifixobv2_RET AV 22_02_2008_Faturamento TLV_Varejo_Ago 16-07 a 15-08-09 - V4 - Validação Cliente_Pasta1" xfId="1062"/>
    <cellStyle name="_0108retoifixobv2_RET AV 22_02_2008_Faturamento TLV_Varejo_Ago 16-07 a 15-08-09 - V4 - Validação Cliente_Plan1" xfId="1063"/>
    <cellStyle name="_0108retoifixobv2_RET AV 22_02_2008_Faturamento TLV_Varejo_Ago 16-07 a 15-08-09 - V4 - Validação Cliente_Plan2" xfId="1064"/>
    <cellStyle name="_0108retoifixobv2_RET AV 22_02_2008_Faturamento TLV_Varejo_Ago 16-07 a 15-08-09 - V4 - Validação Cliente_Retenção" xfId="1065"/>
    <cellStyle name="_0108retoifixobv2_RET AV 22_02_2008_Faturamento TLV_Varejo_Ago 16-07 a 15-08-09 - V4 - Validação Cliente_Retenção Painel" xfId="1066"/>
    <cellStyle name="_0108retoifixobv2_RET AV 22_02_2008_Faturamento TLV_Varejo_Ago 16-07 a 15-08-09 - V4 - Validação Cliente_Televendas Painel" xfId="1067"/>
    <cellStyle name="_0108retoifixobv2_RET AV 22_02_2008_Faturamento TLV_Varejo_Ago 16-07 a 15-08-09 - V4 - Validação Cliente_Televendas Painel_ant" xfId="1068"/>
    <cellStyle name="_0108retoifixobv2_RET AV 22_02_2008_Painel de Retenção Junho 2011" xfId="1069"/>
    <cellStyle name="_0108retoifixobv2_RET AV 22_02_2008_Pasta1" xfId="1070"/>
    <cellStyle name="_0108retoifixobv2_RET AV 22_02_2008_Plan1" xfId="1071"/>
    <cellStyle name="_0108retoifixobv2_RET AV 22_02_2008_Plan2" xfId="1072"/>
    <cellStyle name="_0108retoifixobv2_RET AV 22_02_2008_Retenção" xfId="1073"/>
    <cellStyle name="_0108retoifixobv2_RET AV 22_02_2008_Retenção Painel" xfId="1074"/>
    <cellStyle name="_0108retoifixobv2_RET AV 22_02_2008_Televendas Painel" xfId="1075"/>
    <cellStyle name="_0108retoifixobv2_RET AV 22_02_2008_Televendas Painel_ant" xfId="1076"/>
    <cellStyle name="_0108retoifixobv2_RET AV 22_02_2008_TENDÊNCIA RET VAR CONTROLE" xfId="1077"/>
    <cellStyle name="_0108retoifixobv2_RET AV 22_02_2008_TENDÊNCIA RET VAR CONTROLE_Base" xfId="1078"/>
    <cellStyle name="_0108retoifixobv2_RET AV 22_02_2008_TENDÊNCIA RET VAR CONTROLE_D_Ret_Fixa_EMP" xfId="1079"/>
    <cellStyle name="_0108retoifixobv2_RET AV 22_02_2008_TENDÊNCIA RET VAR CONTROLE_D_Ret_Fixa_EMP_1" xfId="1080"/>
    <cellStyle name="_0108retoifixobv2_RET AV 22_02_2008_TENDÊNCIA RET VAR CONTROLE_D_Ret_Fixa_EMP_2" xfId="1081"/>
    <cellStyle name="_0108retoifixobv2_RET AV 22_02_2008_TENDÊNCIA RET VAR CONTROLE_D_Ret_Fixa_EMP_3" xfId="1082"/>
    <cellStyle name="_0108retoifixobv2_RET AV 22_02_2008_TENDÊNCIA RET VAR CONTROLE_D_Ret_Fixa_EMP_4" xfId="1083"/>
    <cellStyle name="_0108retoifixobv2_RET AV 22_02_2008_TENDÊNCIA RET VAR CONTROLE_D_Ret_Fixa_EMP_5" xfId="1084"/>
    <cellStyle name="_0108retoifixobv2_RET AV 22_02_2008_TENDÊNCIA RET VAR CONTROLE_D_Ret_Fixa_EMP_6" xfId="1085"/>
    <cellStyle name="_0108retoifixobv2_RET AV 22_02_2008_TENDÊNCIA RET VAR CONTROLE_D_Ret_Fixa_EMP_7" xfId="1086"/>
    <cellStyle name="_0108retoifixobv2_RET AV 22_02_2008_TENDÊNCIA RET VAR CONTROLE_D_Ret_Fixa_EMP_8" xfId="1087"/>
    <cellStyle name="_0108retoifixobv2_RET AV 22_02_2008_TENDÊNCIA RET VAR CONTROLE_D_Ret_Fixa_VAR" xfId="1088"/>
    <cellStyle name="_0108retoifixobv2_RET AV 22_02_2008_TENDÊNCIA RET VAR CONTROLE_D_Ret_Fixa_VAR_1" xfId="1089"/>
    <cellStyle name="_0108retoifixobv2_RET AV 22_02_2008_TENDÊNCIA RET VAR CONTROLE_D_Ret_Fixa_VAR_2" xfId="1090"/>
    <cellStyle name="_0108retoifixobv2_RET AV 22_02_2008_TENDÊNCIA RET VAR CONTROLE_D_Ret_Fixa_VAR_3" xfId="1091"/>
    <cellStyle name="_0108retoifixobv2_RET AV 22_02_2008_TENDÊNCIA RET VAR CONTROLE_D_Ret_Fixa_VAR_4" xfId="1092"/>
    <cellStyle name="_0108retoifixobv2_RET AV 22_02_2008_TENDÊNCIA RET VAR CONTROLE_D_Ret_Fixa_VAR_5" xfId="1093"/>
    <cellStyle name="_0108retoifixobv2_RET AV 22_02_2008_TENDÊNCIA RET VAR CONTROLE_D_Ret_Fixa_VAR_6" xfId="1094"/>
    <cellStyle name="_0108retoifixobv2_RET AV 22_02_2008_TENDÊNCIA RET VAR CONTROLE_D_Ret_Fixa_VAR_7" xfId="1095"/>
    <cellStyle name="_0108retoifixobv2_RET AV 22_02_2008_TENDÊNCIA RET VAR CONTROLE_D_Ret_Fixa_VAR_8" xfId="1096"/>
    <cellStyle name="_0108retoifixobv2_RET AV 22_02_2008_TENDÊNCIA RET VAR CONTROLE_Mig Ret 3G" xfId="1097"/>
    <cellStyle name="_0108retoifixobv2_RET AV 22_02_2008_TENDÊNCIA RET VAR CONTROLE_Mig Ret 3G_1" xfId="1098"/>
    <cellStyle name="_0108retoifixobv2_RET AV 22_02_2008_TENDÊNCIA RET VAR CONTROLE_Mig Ret 3G_2" xfId="1099"/>
    <cellStyle name="_0108retoifixobv2_RET AV 22_02_2008_TENDÊNCIA RET VAR CONTROLE_Mig Ret 3G_3" xfId="1100"/>
    <cellStyle name="_0108retoifixobv2_RET AV 22_02_2008_TENDÊNCIA RET VAR CONTROLE_Mig Ret 3G_4" xfId="1101"/>
    <cellStyle name="_0108retoifixobv2_RET AV 22_02_2008_TENDÊNCIA RET VAR CONTROLE_Mig Ret 3G_5" xfId="1102"/>
    <cellStyle name="_0108retoifixobv2_RET AV 22_02_2008_TENDÊNCIA RET VAR CONTROLE_Mig Ret 3G_6" xfId="1103"/>
    <cellStyle name="_0108retoifixobv2_RET AV 22_02_2008_TENDÊNCIA RET VAR CONTROLE_Mig Ret 3G_7" xfId="1104"/>
    <cellStyle name="_0108retoifixobv2_RET AV 22_02_2008_TENDÊNCIA RET VAR CONTROLE_Movel" xfId="1105"/>
    <cellStyle name="_0108retoifixobv2_RET AV 22_02_2008_TENDÊNCIA RET VAR CONTROLE_Movel_1" xfId="1106"/>
    <cellStyle name="_0108retoifixobv2_RET AV 22_02_2008_TENDÊNCIA RET VAR CONTROLE_Movel_2" xfId="1107"/>
    <cellStyle name="_0108retoifixobv2_RET AV 22_02_2008_TENDÊNCIA RET VAR CONTROLE_Movel_3" xfId="1108"/>
    <cellStyle name="_0108retoifixobv2_RET AV 22_02_2008_TENDÊNCIA RET VAR CONTROLE_Movel_4" xfId="1109"/>
    <cellStyle name="_0108retoifixobv2_RET AV 22_02_2008_TENDÊNCIA RET VAR CONTROLE_Movel_5" xfId="1110"/>
    <cellStyle name="_0108retoifixobv2_RET AV 22_02_2008_TENDÊNCIA RET VAR CONTROLE_Movel_6" xfId="1111"/>
    <cellStyle name="_0108retoifixobv2_RET AV 22_02_2008_TENDÊNCIA RET VAR CONTROLE_Movel_7" xfId="1112"/>
    <cellStyle name="_0108retoifixobv2_RET AV 22_02_2008_TENDÊNCIA RET VAR CONTROLE_Retenção" xfId="1113"/>
    <cellStyle name="_0108retoifixobv2_RET AV 22_02_2008_TENDÊNCIA RET VAR VOL" xfId="1114"/>
    <cellStyle name="_0108retoifixobv2_RET AV 22_02_2008_TENDÊNCIA RET VAR VOL 2" xfId="1115"/>
    <cellStyle name="_0108retoifixobv2_RET AV 22_02_2008_TENDÊNCIA RET VAR VOL_Base" xfId="1116"/>
    <cellStyle name="_0108retoifixobv2_RET AV 22_02_2008_TENDÊNCIA RET VAR VOL_D_Movel" xfId="1117"/>
    <cellStyle name="_0108retoifixobv2_RET AV 22_02_2008_TENDÊNCIA RET VAR VOL_D_Ret_Fixa_EMP" xfId="1118"/>
    <cellStyle name="_0108retoifixobv2_RET AV 22_02_2008_TENDÊNCIA RET VAR VOL_D_Ret_Fixa_EMP_1" xfId="1119"/>
    <cellStyle name="_0108retoifixobv2_RET AV 22_02_2008_TENDÊNCIA RET VAR VOL_D_Ret_Fixa_EMP_2" xfId="1120"/>
    <cellStyle name="_0108retoifixobv2_RET AV 22_02_2008_TENDÊNCIA RET VAR VOL_D_Ret_Fixa_EMP_3" xfId="1121"/>
    <cellStyle name="_0108retoifixobv2_RET AV 22_02_2008_TENDÊNCIA RET VAR VOL_D_Ret_Fixa_EMP_4" xfId="1122"/>
    <cellStyle name="_0108retoifixobv2_RET AV 22_02_2008_TENDÊNCIA RET VAR VOL_D_Ret_Fixa_EMP_5" xfId="1123"/>
    <cellStyle name="_0108retoifixobv2_RET AV 22_02_2008_TENDÊNCIA RET VAR VOL_D_Ret_Fixa_EMP_6" xfId="1124"/>
    <cellStyle name="_0108retoifixobv2_RET AV 22_02_2008_TENDÊNCIA RET VAR VOL_D_Ret_Fixa_EMP_7" xfId="1125"/>
    <cellStyle name="_0108retoifixobv2_RET AV 22_02_2008_TENDÊNCIA RET VAR VOL_D_Ret_Fixa_EMP_8" xfId="1126"/>
    <cellStyle name="_0108retoifixobv2_RET AV 22_02_2008_TENDÊNCIA RET VAR VOL_D_Ret_Fixa_VAR" xfId="1127"/>
    <cellStyle name="_0108retoifixobv2_RET AV 22_02_2008_TENDÊNCIA RET VAR VOL_D_Ret_Fixa_VAR_1" xfId="1128"/>
    <cellStyle name="_0108retoifixobv2_RET AV 22_02_2008_TENDÊNCIA RET VAR VOL_D_Ret_Fixa_VAR_2" xfId="1129"/>
    <cellStyle name="_0108retoifixobv2_RET AV 22_02_2008_TENDÊNCIA RET VAR VOL_D_Ret_Fixa_VAR_3" xfId="1130"/>
    <cellStyle name="_0108retoifixobv2_RET AV 22_02_2008_TENDÊNCIA RET VAR VOL_D_Ret_Fixa_VAR_4" xfId="1131"/>
    <cellStyle name="_0108retoifixobv2_RET AV 22_02_2008_TENDÊNCIA RET VAR VOL_D_Ret_Fixa_VAR_5" xfId="1132"/>
    <cellStyle name="_0108retoifixobv2_RET AV 22_02_2008_TENDÊNCIA RET VAR VOL_D_Ret_Fixa_VAR_6" xfId="1133"/>
    <cellStyle name="_0108retoifixobv2_RET AV 22_02_2008_TENDÊNCIA RET VAR VOL_D_Ret_Fixa_VAR_7" xfId="1134"/>
    <cellStyle name="_0108retoifixobv2_RET AV 22_02_2008_TENDÊNCIA RET VAR VOL_D_Ret_Fixa_VAR_8" xfId="1135"/>
    <cellStyle name="_0108retoifixobv2_RET AV 22_02_2008_TENDÊNCIA RET VAR VOL_Mig Ret 3G" xfId="1136"/>
    <cellStyle name="_0108retoifixobv2_RET AV 22_02_2008_TENDÊNCIA RET VAR VOL_Mig Ret 3G_1" xfId="1137"/>
    <cellStyle name="_0108retoifixobv2_RET AV 22_02_2008_TENDÊNCIA RET VAR VOL_Mig Ret 3G_2" xfId="1138"/>
    <cellStyle name="_0108retoifixobv2_RET AV 22_02_2008_TENDÊNCIA RET VAR VOL_Mig Ret 3G_3" xfId="1139"/>
    <cellStyle name="_0108retoifixobv2_RET AV 22_02_2008_TENDÊNCIA RET VAR VOL_Mig Ret 3G_4" xfId="1140"/>
    <cellStyle name="_0108retoifixobv2_RET AV 22_02_2008_TENDÊNCIA RET VAR VOL_Mig Ret 3G_5" xfId="1141"/>
    <cellStyle name="_0108retoifixobv2_RET AV 22_02_2008_TENDÊNCIA RET VAR VOL_Mig Ret 3G_6" xfId="1142"/>
    <cellStyle name="_0108retoifixobv2_RET AV 22_02_2008_TENDÊNCIA RET VAR VOL_Mig Ret 3G_7" xfId="1143"/>
    <cellStyle name="_0108retoifixobv2_RET AV 22_02_2008_TENDÊNCIA RET VAR VOL_Movel" xfId="1144"/>
    <cellStyle name="_0108retoifixobv2_RET AV 22_02_2008_TENDÊNCIA RET VAR VOL_Movel_1" xfId="1145"/>
    <cellStyle name="_0108retoifixobv2_RET AV 22_02_2008_TENDÊNCIA RET VAR VOL_Movel_2" xfId="1146"/>
    <cellStyle name="_0108retoifixobv2_RET AV 22_02_2008_TENDÊNCIA RET VAR VOL_Movel_3" xfId="1147"/>
    <cellStyle name="_0108retoifixobv2_RET AV 22_02_2008_TENDÊNCIA RET VAR VOL_Movel_4" xfId="1148"/>
    <cellStyle name="_0108retoifixobv2_RET AV 22_02_2008_TENDÊNCIA RET VAR VOL_Movel_5" xfId="1149"/>
    <cellStyle name="_0108retoifixobv2_RET AV 22_02_2008_TENDÊNCIA RET VAR VOL_Movel_6" xfId="1150"/>
    <cellStyle name="_0108retoifixobv2_RET AV 22_02_2008_TENDÊNCIA RET VAR VOL_Movel_7" xfId="1151"/>
    <cellStyle name="_0108retoifixobv2_RET AV 22_02_2008_TENDÊNCIA RET VAR VOL_Retenção" xfId="1152"/>
    <cellStyle name="_0108retoifixobv2_Retenção" xfId="1153"/>
    <cellStyle name="_0108retoifixobv2_Retenção Painel" xfId="1154"/>
    <cellStyle name="_0108retoifixobv2_Simulador de Desconto de TMA_AV_Validado em 17.06" xfId="1155"/>
    <cellStyle name="_0108retoifixobv2_Simulador de Desconto de TMA_AV_Validado em 17.06_BD Resumo diário Painel de Televendas Abril 2011" xfId="1156"/>
    <cellStyle name="_0108retoifixobv2_Simulador de Desconto de TMA_AV_Validado em 17.06_BD Resumo diário Painel de Televendas Janeiro 2011" xfId="1157"/>
    <cellStyle name="_0108retoifixobv2_Simulador de Desconto de TMA_AV_Validado em 17.06_BD Resumo diário Painel de Televendas Setembro 2010_BASE_UNICA" xfId="1158"/>
    <cellStyle name="_0108retoifixobv2_Simulador de Desconto de TMA_AV_Validado em 17.06_Faturamento TLV_Varejo_Ago 16-07 a 15-08-09 - V4 - Validação Cliente" xfId="1159"/>
    <cellStyle name="_0108retoifixobv2_Simulador de Desconto de TMA_AV_Validado em 17.06_Faturamento TLV_Varejo_Ago 16-07 a 15-08-09 - V4 - Validação Cliente_BD Resumo diário Painel de Televendas Abril 2011" xfId="1160"/>
    <cellStyle name="_0108retoifixobv2_Simulador de Desconto de TMA_AV_Validado em 17.06_Faturamento TLV_Varejo_Ago 16-07 a 15-08-09 - V4 - Validação Cliente_BD Resumo diário Painel de Televendas Janeiro 2011" xfId="1161"/>
    <cellStyle name="_0108retoifixobv2_Simulador de Desconto de TMA_AV_Validado em 17.06_Faturamento TLV_Varejo_Ago 16-07 a 15-08-09 - V4 - Validação Cliente_BD Resumo diário Painel de Televendas Setembro 2010_BASE_UNICA" xfId="1162"/>
    <cellStyle name="_0108retoifixobv2_Simulador de Desconto de TMA_AV_Validado em 17.06_Faturamento TLV_Varejo_Ago 16-07 a 15-08-09 - V4 - Validação Cliente_Painel de Retenção Junho 2011" xfId="1163"/>
    <cellStyle name="_0108retoifixobv2_Simulador de Desconto de TMA_AV_Validado em 17.06_Faturamento TLV_Varejo_Ago 16-07 a 15-08-09 - V4 - Validação Cliente_Pasta1" xfId="1164"/>
    <cellStyle name="_0108retoifixobv2_Simulador de Desconto de TMA_AV_Validado em 17.06_Faturamento TLV_Varejo_Ago 16-07 a 15-08-09 - V4 - Validação Cliente_Plan1" xfId="1165"/>
    <cellStyle name="_0108retoifixobv2_Simulador de Desconto de TMA_AV_Validado em 17.06_Faturamento TLV_Varejo_Ago 16-07 a 15-08-09 - V4 - Validação Cliente_Plan2" xfId="1166"/>
    <cellStyle name="_0108retoifixobv2_Simulador de Desconto de TMA_AV_Validado em 17.06_Faturamento TLV_Varejo_Ago 16-07 a 15-08-09 - V4 - Validação Cliente_Retenção" xfId="1167"/>
    <cellStyle name="_0108retoifixobv2_Simulador de Desconto de TMA_AV_Validado em 17.06_Faturamento TLV_Varejo_Ago 16-07 a 15-08-09 - V4 - Validação Cliente_Retenção Painel" xfId="1168"/>
    <cellStyle name="_0108retoifixobv2_Simulador de Desconto de TMA_AV_Validado em 17.06_Faturamento TLV_Varejo_Ago 16-07 a 15-08-09 - V4 - Validação Cliente_Televendas Painel" xfId="1169"/>
    <cellStyle name="_0108retoifixobv2_Simulador de Desconto de TMA_AV_Validado em 17.06_Faturamento TLV_Varejo_Ago 16-07 a 15-08-09 - V4 - Validação Cliente_Televendas Painel_ant" xfId="1170"/>
    <cellStyle name="_0108retoifixobv2_Simulador de Desconto de TMA_AV_Validado em 17.06_Painel de Retenção Junho 2011" xfId="1171"/>
    <cellStyle name="_0108retoifixobv2_Simulador de Desconto de TMA_AV_Validado em 17.06_Pasta1" xfId="1172"/>
    <cellStyle name="_0108retoifixobv2_Simulador de Desconto de TMA_AV_Validado em 17.06_Plan1" xfId="1173"/>
    <cellStyle name="_0108retoifixobv2_Simulador de Desconto de TMA_AV_Validado em 17.06_Plan2" xfId="1174"/>
    <cellStyle name="_0108retoifixobv2_Simulador de Desconto de TMA_AV_Validado em 17.06_Retenção" xfId="1175"/>
    <cellStyle name="_0108retoifixobv2_Simulador de Desconto de TMA_AV_Validado em 17.06_Retenção Painel" xfId="1176"/>
    <cellStyle name="_0108retoifixobv2_Simulador de Desconto de TMA_AV_Validado em 17.06_Televendas Painel" xfId="1177"/>
    <cellStyle name="_0108retoifixobv2_Simulador de Desconto de TMA_AV_Validado em 17.06_Televendas Painel_ant" xfId="1178"/>
    <cellStyle name="_0108retoifixobv2_Sumário Executivo TLV Empresarial_Fev09" xfId="1179"/>
    <cellStyle name="_0108retoifixobv2_Sumário Executivo TLV Empresarial_Fev09_BD Resumo diário Painel de Televendas Abril 2011" xfId="1180"/>
    <cellStyle name="_0108retoifixobv2_Sumário Executivo TLV Empresarial_Fev09_BD Resumo diário Painel de Televendas Janeiro 2011" xfId="1181"/>
    <cellStyle name="_0108retoifixobv2_Sumário Executivo TLV Empresarial_Fev09_BD Resumo diário Painel de Televendas Setembro 2010_BASE_UNICA" xfId="1182"/>
    <cellStyle name="_0108retoifixobv2_Sumário Executivo TLV Empresarial_Fev09_Faturamento TLV_Varejo_Ago 16-07 a 15-08-09 - V4 - Validação Cliente" xfId="1183"/>
    <cellStyle name="_0108retoifixobv2_Sumário Executivo TLV Empresarial_Fev09_Faturamento TLV_Varejo_Ago 16-07 a 15-08-09 - V4 - Validação Cliente_BD Resumo diário Painel de Televendas Abril 2011" xfId="1184"/>
    <cellStyle name="_0108retoifixobv2_Sumário Executivo TLV Empresarial_Fev09_Faturamento TLV_Varejo_Ago 16-07 a 15-08-09 - V4 - Validação Cliente_BD Resumo diário Painel de Televendas Janeiro 2011" xfId="1185"/>
    <cellStyle name="_0108retoifixobv2_Sumário Executivo TLV Empresarial_Fev09_Faturamento TLV_Varejo_Ago 16-07 a 15-08-09 - V4 - Validação Cliente_BD Resumo diário Painel de Televendas Setembro 2010_BASE_UNICA" xfId="1186"/>
    <cellStyle name="_0108retoifixobv2_Sumário Executivo TLV Empresarial_Fev09_Faturamento TLV_Varejo_Ago 16-07 a 15-08-09 - V4 - Validação Cliente_Painel de Retenção Junho 2011" xfId="1187"/>
    <cellStyle name="_0108retoifixobv2_Sumário Executivo TLV Empresarial_Fev09_Faturamento TLV_Varejo_Ago 16-07 a 15-08-09 - V4 - Validação Cliente_Pasta1" xfId="1188"/>
    <cellStyle name="_0108retoifixobv2_Sumário Executivo TLV Empresarial_Fev09_Faturamento TLV_Varejo_Ago 16-07 a 15-08-09 - V4 - Validação Cliente_Plan1" xfId="1189"/>
    <cellStyle name="_0108retoifixobv2_Sumário Executivo TLV Empresarial_Fev09_Faturamento TLV_Varejo_Ago 16-07 a 15-08-09 - V4 - Validação Cliente_Plan2" xfId="1190"/>
    <cellStyle name="_0108retoifixobv2_Sumário Executivo TLV Empresarial_Fev09_Faturamento TLV_Varejo_Ago 16-07 a 15-08-09 - V4 - Validação Cliente_Retenção" xfId="1191"/>
    <cellStyle name="_0108retoifixobv2_Sumário Executivo TLV Empresarial_Fev09_Faturamento TLV_Varejo_Ago 16-07 a 15-08-09 - V4 - Validação Cliente_Retenção Painel" xfId="1192"/>
    <cellStyle name="_0108retoifixobv2_Sumário Executivo TLV Empresarial_Fev09_Faturamento TLV_Varejo_Ago 16-07 a 15-08-09 - V4 - Validação Cliente_Televendas Painel" xfId="1193"/>
    <cellStyle name="_0108retoifixobv2_Sumário Executivo TLV Empresarial_Fev09_Faturamento TLV_Varejo_Ago 16-07 a 15-08-09 - V4 - Validação Cliente_Televendas Painel_ant" xfId="1194"/>
    <cellStyle name="_0108retoifixobv2_Sumário Executivo TLV Empresarial_Fev09_Painel de Retenção Junho 2011" xfId="1195"/>
    <cellStyle name="_0108retoifixobv2_Sumário Executivo TLV Empresarial_Fev09_Pasta1" xfId="1196"/>
    <cellStyle name="_0108retoifixobv2_Sumário Executivo TLV Empresarial_Fev09_Plan1" xfId="1197"/>
    <cellStyle name="_0108retoifixobv2_Sumário Executivo TLV Empresarial_Fev09_Plan2" xfId="1198"/>
    <cellStyle name="_0108retoifixobv2_Sumário Executivo TLV Empresarial_Fev09_Retenção" xfId="1199"/>
    <cellStyle name="_0108retoifixobv2_Sumário Executivo TLV Empresarial_Fev09_Retenção Painel" xfId="1200"/>
    <cellStyle name="_0108retoifixobv2_Sumário Executivo TLV Empresarial_Fev09_Televendas Painel" xfId="1201"/>
    <cellStyle name="_0108retoifixobv2_Sumário Executivo TLV Empresarial_Fev09_Televendas Painel_ant" xfId="1202"/>
    <cellStyle name="_0108retoifixobv2_Televendas Painel" xfId="1203"/>
    <cellStyle name="_0108retoifixobv2_Televendas Painel_ant" xfId="1204"/>
    <cellStyle name="_0108retoifixobv2_TENDÊNCIA RET VAR CONTROLE" xfId="1205"/>
    <cellStyle name="_0108retoifixobv2_TENDÊNCIA RET VAR CONTROLE_Base" xfId="1206"/>
    <cellStyle name="_0108retoifixobv2_TENDÊNCIA RET VAR CONTROLE_D_Ret_Fixa_EMP" xfId="1207"/>
    <cellStyle name="_0108retoifixobv2_TENDÊNCIA RET VAR CONTROLE_D_Ret_Fixa_EMP_1" xfId="1208"/>
    <cellStyle name="_0108retoifixobv2_TENDÊNCIA RET VAR CONTROLE_D_Ret_Fixa_EMP_2" xfId="1209"/>
    <cellStyle name="_0108retoifixobv2_TENDÊNCIA RET VAR CONTROLE_D_Ret_Fixa_EMP_3" xfId="1210"/>
    <cellStyle name="_0108retoifixobv2_TENDÊNCIA RET VAR CONTROLE_D_Ret_Fixa_EMP_4" xfId="1211"/>
    <cellStyle name="_0108retoifixobv2_TENDÊNCIA RET VAR CONTROLE_D_Ret_Fixa_EMP_5" xfId="1212"/>
    <cellStyle name="_0108retoifixobv2_TENDÊNCIA RET VAR CONTROLE_D_Ret_Fixa_EMP_6" xfId="1213"/>
    <cellStyle name="_0108retoifixobv2_TENDÊNCIA RET VAR CONTROLE_D_Ret_Fixa_EMP_7" xfId="1214"/>
    <cellStyle name="_0108retoifixobv2_TENDÊNCIA RET VAR CONTROLE_D_Ret_Fixa_EMP_8" xfId="1215"/>
    <cellStyle name="_0108retoifixobv2_TENDÊNCIA RET VAR CONTROLE_D_Ret_Fixa_VAR" xfId="1216"/>
    <cellStyle name="_0108retoifixobv2_TENDÊNCIA RET VAR CONTROLE_D_Ret_Fixa_VAR_1" xfId="1217"/>
    <cellStyle name="_0108retoifixobv2_TENDÊNCIA RET VAR CONTROLE_D_Ret_Fixa_VAR_2" xfId="1218"/>
    <cellStyle name="_0108retoifixobv2_TENDÊNCIA RET VAR CONTROLE_D_Ret_Fixa_VAR_3" xfId="1219"/>
    <cellStyle name="_0108retoifixobv2_TENDÊNCIA RET VAR CONTROLE_D_Ret_Fixa_VAR_4" xfId="1220"/>
    <cellStyle name="_0108retoifixobv2_TENDÊNCIA RET VAR CONTROLE_D_Ret_Fixa_VAR_5" xfId="1221"/>
    <cellStyle name="_0108retoifixobv2_TENDÊNCIA RET VAR CONTROLE_D_Ret_Fixa_VAR_6" xfId="1222"/>
    <cellStyle name="_0108retoifixobv2_TENDÊNCIA RET VAR CONTROLE_D_Ret_Fixa_VAR_7" xfId="1223"/>
    <cellStyle name="_0108retoifixobv2_TENDÊNCIA RET VAR CONTROLE_D_Ret_Fixa_VAR_8" xfId="1224"/>
    <cellStyle name="_0108retoifixobv2_TENDÊNCIA RET VAR CONTROLE_Mig Ret 3G" xfId="1225"/>
    <cellStyle name="_0108retoifixobv2_TENDÊNCIA RET VAR CONTROLE_Mig Ret 3G_1" xfId="1226"/>
    <cellStyle name="_0108retoifixobv2_TENDÊNCIA RET VAR CONTROLE_Mig Ret 3G_2" xfId="1227"/>
    <cellStyle name="_0108retoifixobv2_TENDÊNCIA RET VAR CONTROLE_Mig Ret 3G_3" xfId="1228"/>
    <cellStyle name="_0108retoifixobv2_TENDÊNCIA RET VAR CONTROLE_Mig Ret 3G_4" xfId="1229"/>
    <cellStyle name="_0108retoifixobv2_TENDÊNCIA RET VAR CONTROLE_Mig Ret 3G_5" xfId="1230"/>
    <cellStyle name="_0108retoifixobv2_TENDÊNCIA RET VAR CONTROLE_Mig Ret 3G_6" xfId="1231"/>
    <cellStyle name="_0108retoifixobv2_TENDÊNCIA RET VAR CONTROLE_Mig Ret 3G_7" xfId="1232"/>
    <cellStyle name="_0108retoifixobv2_TENDÊNCIA RET VAR CONTROLE_Movel" xfId="1233"/>
    <cellStyle name="_0108retoifixobv2_TENDÊNCIA RET VAR CONTROLE_Movel_1" xfId="1234"/>
    <cellStyle name="_0108retoifixobv2_TENDÊNCIA RET VAR CONTROLE_Movel_2" xfId="1235"/>
    <cellStyle name="_0108retoifixobv2_TENDÊNCIA RET VAR CONTROLE_Movel_3" xfId="1236"/>
    <cellStyle name="_0108retoifixobv2_TENDÊNCIA RET VAR CONTROLE_Movel_4" xfId="1237"/>
    <cellStyle name="_0108retoifixobv2_TENDÊNCIA RET VAR CONTROLE_Movel_5" xfId="1238"/>
    <cellStyle name="_0108retoifixobv2_TENDÊNCIA RET VAR CONTROLE_Movel_6" xfId="1239"/>
    <cellStyle name="_0108retoifixobv2_TENDÊNCIA RET VAR CONTROLE_Movel_7" xfId="1240"/>
    <cellStyle name="_0108retoifixobv2_TENDÊNCIA RET VAR CONTROLE_Retenção" xfId="1241"/>
    <cellStyle name="_0108retoifixobv2_TENDÊNCIA RET VAR VOL" xfId="1242"/>
    <cellStyle name="_0108retoifixobv2_TENDÊNCIA RET VAR VOL 2" xfId="1243"/>
    <cellStyle name="_0108retoifixobv2_TENDÊNCIA RET VAR VOL_Base" xfId="1244"/>
    <cellStyle name="_0108retoifixobv2_TENDÊNCIA RET VAR VOL_D_Movel" xfId="1245"/>
    <cellStyle name="_0108retoifixobv2_TENDÊNCIA RET VAR VOL_D_Ret_Fixa_EMP" xfId="1246"/>
    <cellStyle name="_0108retoifixobv2_TENDÊNCIA RET VAR VOL_D_Ret_Fixa_EMP_1" xfId="1247"/>
    <cellStyle name="_0108retoifixobv2_TENDÊNCIA RET VAR VOL_D_Ret_Fixa_EMP_2" xfId="1248"/>
    <cellStyle name="_0108retoifixobv2_TENDÊNCIA RET VAR VOL_D_Ret_Fixa_EMP_3" xfId="1249"/>
    <cellStyle name="_0108retoifixobv2_TENDÊNCIA RET VAR VOL_D_Ret_Fixa_EMP_4" xfId="1250"/>
    <cellStyle name="_0108retoifixobv2_TENDÊNCIA RET VAR VOL_D_Ret_Fixa_EMP_5" xfId="1251"/>
    <cellStyle name="_0108retoifixobv2_TENDÊNCIA RET VAR VOL_D_Ret_Fixa_EMP_6" xfId="1252"/>
    <cellStyle name="_0108retoifixobv2_TENDÊNCIA RET VAR VOL_D_Ret_Fixa_EMP_7" xfId="1253"/>
    <cellStyle name="_0108retoifixobv2_TENDÊNCIA RET VAR VOL_D_Ret_Fixa_EMP_8" xfId="1254"/>
    <cellStyle name="_0108retoifixobv2_TENDÊNCIA RET VAR VOL_D_Ret_Fixa_VAR" xfId="1255"/>
    <cellStyle name="_0108retoifixobv2_TENDÊNCIA RET VAR VOL_D_Ret_Fixa_VAR_1" xfId="1256"/>
    <cellStyle name="_0108retoifixobv2_TENDÊNCIA RET VAR VOL_D_Ret_Fixa_VAR_2" xfId="1257"/>
    <cellStyle name="_0108retoifixobv2_TENDÊNCIA RET VAR VOL_D_Ret_Fixa_VAR_3" xfId="1258"/>
    <cellStyle name="_0108retoifixobv2_TENDÊNCIA RET VAR VOL_D_Ret_Fixa_VAR_4" xfId="1259"/>
    <cellStyle name="_0108retoifixobv2_TENDÊNCIA RET VAR VOL_D_Ret_Fixa_VAR_5" xfId="1260"/>
    <cellStyle name="_0108retoifixobv2_TENDÊNCIA RET VAR VOL_D_Ret_Fixa_VAR_6" xfId="1261"/>
    <cellStyle name="_0108retoifixobv2_TENDÊNCIA RET VAR VOL_D_Ret_Fixa_VAR_7" xfId="1262"/>
    <cellStyle name="_0108retoifixobv2_TENDÊNCIA RET VAR VOL_D_Ret_Fixa_VAR_8" xfId="1263"/>
    <cellStyle name="_0108retoifixobv2_TENDÊNCIA RET VAR VOL_Mig Ret 3G" xfId="1264"/>
    <cellStyle name="_0108retoifixobv2_TENDÊNCIA RET VAR VOL_Mig Ret 3G_1" xfId="1265"/>
    <cellStyle name="_0108retoifixobv2_TENDÊNCIA RET VAR VOL_Mig Ret 3G_2" xfId="1266"/>
    <cellStyle name="_0108retoifixobv2_TENDÊNCIA RET VAR VOL_Mig Ret 3G_3" xfId="1267"/>
    <cellStyle name="_0108retoifixobv2_TENDÊNCIA RET VAR VOL_Mig Ret 3G_4" xfId="1268"/>
    <cellStyle name="_0108retoifixobv2_TENDÊNCIA RET VAR VOL_Mig Ret 3G_5" xfId="1269"/>
    <cellStyle name="_0108retoifixobv2_TENDÊNCIA RET VAR VOL_Mig Ret 3G_6" xfId="1270"/>
    <cellStyle name="_0108retoifixobv2_TENDÊNCIA RET VAR VOL_Mig Ret 3G_7" xfId="1271"/>
    <cellStyle name="_0108retoifixobv2_TENDÊNCIA RET VAR VOL_Movel" xfId="1272"/>
    <cellStyle name="_0108retoifixobv2_TENDÊNCIA RET VAR VOL_Movel_1" xfId="1273"/>
    <cellStyle name="_0108retoifixobv2_TENDÊNCIA RET VAR VOL_Movel_2" xfId="1274"/>
    <cellStyle name="_0108retoifixobv2_TENDÊNCIA RET VAR VOL_Movel_3" xfId="1275"/>
    <cellStyle name="_0108retoifixobv2_TENDÊNCIA RET VAR VOL_Movel_4" xfId="1276"/>
    <cellStyle name="_0108retoifixobv2_TENDÊNCIA RET VAR VOL_Movel_5" xfId="1277"/>
    <cellStyle name="_0108retoifixobv2_TENDÊNCIA RET VAR VOL_Movel_6" xfId="1278"/>
    <cellStyle name="_0108retoifixobv2_TENDÊNCIA RET VAR VOL_Movel_7" xfId="1279"/>
    <cellStyle name="_0108retoifixobv2_TENDÊNCIA RET VAR VOL_Retenção" xfId="1280"/>
    <cellStyle name="_0108retoifixobv2_Tendência TLV_Varejo_Jul 16-06 a 15-07-09 - M3 - 3ºTendência Oi" xfId="1281"/>
    <cellStyle name="_0108retoifixobv2_Tendência TLV_Varejo_Jul 16-06 a 15-07-09 - M3 - 3ºTendência Oi_BD Resumo diário Painel de Televendas Abril 2011" xfId="1282"/>
    <cellStyle name="_0108retoifixobv2_Tendência TLV_Varejo_Jul 16-06 a 15-07-09 - M3 - 3ºTendência Oi_BD Resumo diário Painel de Televendas Janeiro 2011" xfId="1283"/>
    <cellStyle name="_0108retoifixobv2_Tendência TLV_Varejo_Jul 16-06 a 15-07-09 - M3 - 3ºTendência Oi_BD Resumo diário Painel de Televendas Setembro 2010_BASE_UNICA" xfId="1284"/>
    <cellStyle name="_0108retoifixobv2_Tendência TLV_Varejo_Jul 16-06 a 15-07-09 - M3 - 3ºTendência Oi_Painel de Retenção Junho 2011" xfId="1285"/>
    <cellStyle name="_0108retoifixobv2_Tendência TLV_Varejo_Jul 16-06 a 15-07-09 - M3 - 3ºTendência Oi_Pasta1" xfId="1286"/>
    <cellStyle name="_0108retoifixobv2_Tendência TLV_Varejo_Jul 16-06 a 15-07-09 - M3 - 3ºTendência Oi_Plan1" xfId="1287"/>
    <cellStyle name="_0108retoifixobv2_Tendência TLV_Varejo_Jul 16-06 a 15-07-09 - M3 - 3ºTendência Oi_Plan2" xfId="1288"/>
    <cellStyle name="_0108retoifixobv2_Tendência TLV_Varejo_Jul 16-06 a 15-07-09 - M3 - 3ºTendência Oi_Retenção" xfId="1289"/>
    <cellStyle name="_0108retoifixobv2_Tendência TLV_Varejo_Jul 16-06 a 15-07-09 - M3 - 3ºTendência Oi_Retenção Painel" xfId="1290"/>
    <cellStyle name="_0108retoifixobv2_Tendência TLV_Varejo_Jul 16-06 a 15-07-09 - M3 - 3ºTendência Oi_Televendas Painel" xfId="1291"/>
    <cellStyle name="_0108retoifixobv2_Tendência TLV_Varejo_Jul 16-06 a 15-07-09 - M3 - 3ºTendência Oi_Televendas Painel_ant" xfId="1292"/>
    <cellStyle name="_0108retoifixobv2_TLV AV R1 - FORECAST 9+3" xfId="1293"/>
    <cellStyle name="_0108retoifixobv2_TLV AV R1 - FORECAST 9+3_BD Resumo diário Painel de Televendas Abril 2011" xfId="1294"/>
    <cellStyle name="_0108retoifixobv2_TLV AV R1 - FORECAST 9+3_BD Resumo diário Painel de Televendas Janeiro 2011" xfId="1295"/>
    <cellStyle name="_0108retoifixobv2_TLV AV R1 - FORECAST 9+3_BD Resumo diário Painel de Televendas Setembro 2010_BASE_UNICA" xfId="1296"/>
    <cellStyle name="_0108retoifixobv2_TLV AV R1 - FORECAST 9+3_Painel de Retenção Junho 2011" xfId="1297"/>
    <cellStyle name="_0108retoifixobv2_TLV AV R1 - FORECAST 9+3_Pasta1" xfId="1298"/>
    <cellStyle name="_0108retoifixobv2_TLV AV R1 - FORECAST 9+3_Plan1" xfId="1299"/>
    <cellStyle name="_0108retoifixobv2_TLV AV R1 - FORECAST 9+3_Plan2" xfId="1300"/>
    <cellStyle name="_0108retoifixobv2_TLV AV R1 - FORECAST 9+3_Retenção" xfId="1301"/>
    <cellStyle name="_0108retoifixobv2_TLV AV R1 - FORECAST 9+3_Retenção Painel" xfId="1302"/>
    <cellStyle name="_0108retoifixobv2_TLV AV R1 - FORECAST 9+3_Televendas Painel" xfId="1303"/>
    <cellStyle name="_0108retoifixobv2_TLV AV R1 - FORECAST 9+3_Televendas Painel_ant" xfId="1304"/>
    <cellStyle name="_0108retoifixobv2_Validação Fat Site Contorno_Varejo_Fev 09" xfId="1305"/>
    <cellStyle name="_0108retoifixobv2_Validação Fat Site Contorno_Varejo_Fev 09_BD Resumo diário Painel de Televendas Abril 2011" xfId="1306"/>
    <cellStyle name="_0108retoifixobv2_Validação Fat Site Contorno_Varejo_Fev 09_BD Resumo diário Painel de Televendas Janeiro 2011" xfId="1307"/>
    <cellStyle name="_0108retoifixobv2_Validação Fat Site Contorno_Varejo_Fev 09_BD Resumo diário Painel de Televendas Setembro 2010_BASE_UNICA" xfId="1308"/>
    <cellStyle name="_0108retoifixobv2_Validação Fat Site Contorno_Varejo_Fev 09_Painel de Retenção Junho 2011" xfId="1309"/>
    <cellStyle name="_0108retoifixobv2_Validação Fat Site Contorno_Varejo_Fev 09_Pasta1" xfId="1310"/>
    <cellStyle name="_0108retoifixobv2_Validação Fat Site Contorno_Varejo_Fev 09_Plan1" xfId="1311"/>
    <cellStyle name="_0108retoifixobv2_Validação Fat Site Contorno_Varejo_Fev 09_Plan2" xfId="1312"/>
    <cellStyle name="_0108retoifixobv2_Validação Fat Site Contorno_Varejo_Fev 09_Retenção" xfId="1313"/>
    <cellStyle name="_0108retoifixobv2_Validação Fat Site Contorno_Varejo_Fev 09_Retenção Painel" xfId="1314"/>
    <cellStyle name="_0108retoifixobv2_Validação Fat Site Contorno_Varejo_Fev 09_Televendas Painel" xfId="1315"/>
    <cellStyle name="_0108retoifixobv2_Validação Fat Site Contorno_Varejo_Fev 09_Televendas Painel_ant" xfId="1316"/>
    <cellStyle name="_0108retoifixobv2_Validação Faturamento TLV_Varejo_Abril" xfId="1317"/>
    <cellStyle name="_0108retoifixobv2_Validação Faturamento TLV_Varejo_Abril_BD Resumo diário Painel de Televendas Abril 2011" xfId="1318"/>
    <cellStyle name="_0108retoifixobv2_Validação Faturamento TLV_Varejo_Abril_BD Resumo diário Painel de Televendas Janeiro 2011" xfId="1319"/>
    <cellStyle name="_0108retoifixobv2_Validação Faturamento TLV_Varejo_Abril_BD Resumo diário Painel de Televendas Setembro 2010_BASE_UNICA" xfId="1320"/>
    <cellStyle name="_0108retoifixobv2_Validação Faturamento TLV_Varejo_Abril_Painel de Retenção Junho 2011" xfId="1321"/>
    <cellStyle name="_0108retoifixobv2_Validação Faturamento TLV_Varejo_Abril_Pasta1" xfId="1322"/>
    <cellStyle name="_0108retoifixobv2_Validação Faturamento TLV_Varejo_Abril_Plan1" xfId="1323"/>
    <cellStyle name="_0108retoifixobv2_Validação Faturamento TLV_Varejo_Abril_Plan2" xfId="1324"/>
    <cellStyle name="_0108retoifixobv2_Validação Faturamento TLV_Varejo_Abril_Retenção" xfId="1325"/>
    <cellStyle name="_0108retoifixobv2_Validação Faturamento TLV_Varejo_Abril_Retenção Painel" xfId="1326"/>
    <cellStyle name="_0108retoifixobv2_Validação Faturamento TLV_Varejo_Abril_Televendas Painel" xfId="1327"/>
    <cellStyle name="_0108retoifixobv2_Validação Faturamento TLV_Varejo_Abril_Televendas Painel_ant" xfId="1328"/>
    <cellStyle name="_0108retoifixobv2_Validação Faturamento TLV_Varejo_Mar 16-02 a 15-03-09 - M3 - V3" xfId="1329"/>
    <cellStyle name="_0108retoifixobv2_Validação Faturamento TLV_Varejo_Mar 16-02 a 15-03-09 - M3 - V3_BD Resumo diário Painel de Televendas Abril 2011" xfId="1330"/>
    <cellStyle name="_0108retoifixobv2_Validação Faturamento TLV_Varejo_Mar 16-02 a 15-03-09 - M3 - V3_BD Resumo diário Painel de Televendas Janeiro 2011" xfId="1331"/>
    <cellStyle name="_0108retoifixobv2_Validação Faturamento TLV_Varejo_Mar 16-02 a 15-03-09 - M3 - V3_BD Resumo diário Painel de Televendas Setembro 2010_BASE_UNICA" xfId="1332"/>
    <cellStyle name="_0108retoifixobv2_Validação Faturamento TLV_Varejo_Mar 16-02 a 15-03-09 - M3 - V3_Painel de Retenção Junho 2011" xfId="1333"/>
    <cellStyle name="_0108retoifixobv2_Validação Faturamento TLV_Varejo_Mar 16-02 a 15-03-09 - M3 - V3_Pasta1" xfId="1334"/>
    <cellStyle name="_0108retoifixobv2_Validação Faturamento TLV_Varejo_Mar 16-02 a 15-03-09 - M3 - V3_Plan1" xfId="1335"/>
    <cellStyle name="_0108retoifixobv2_Validação Faturamento TLV_Varejo_Mar 16-02 a 15-03-09 - M3 - V3_Plan2" xfId="1336"/>
    <cellStyle name="_0108retoifixobv2_Validação Faturamento TLV_Varejo_Mar 16-02 a 15-03-09 - M3 - V3_Retenção" xfId="1337"/>
    <cellStyle name="_0108retoifixobv2_Validação Faturamento TLV_Varejo_Mar 16-02 a 15-03-09 - M3 - V3_Retenção Painel" xfId="1338"/>
    <cellStyle name="_0108retoifixobv2_Validação Faturamento TLV_Varejo_Mar 16-02 a 15-03-09 - M3 - V3_Televendas Painel" xfId="1339"/>
    <cellStyle name="_0108retoifixobv2_Validação Faturamento TLV_Varejo_Mar 16-02 a 15-03-09 - M3 - V3_Televendas Painel_ant" xfId="1340"/>
    <cellStyle name="_03 Março Contorno Televendas Oi  MG 2008" xfId="1341"/>
    <cellStyle name="_03 Março Contorno Televendas Oi  MG 2008_Base" xfId="1342"/>
    <cellStyle name="_03 Março Contorno Televendas Oi  MG 2008_D_Ret_Fixa_EMP" xfId="1343"/>
    <cellStyle name="_03 Março Contorno Televendas Oi  MG 2008_D_Ret_Fixa_VAR" xfId="1344"/>
    <cellStyle name="_03 Março Contorno Televendas Oi  MG 2008_Mig Ret 3G" xfId="1345"/>
    <cellStyle name="_03 Março Contorno Televendas Oi  MG 2008_Movel" xfId="1346"/>
    <cellStyle name="_03. KaburaSGH-M310G)_원가분석(8.27)_환율업뎃_080903" xfId="1347"/>
    <cellStyle name="_05년 효율화_최종1_(050324)" xfId="1348"/>
    <cellStyle name="_05년 효율화_최종1_(050324)_05년 효율화_최종1_(050324)" xfId="1349"/>
    <cellStyle name="_0602월코바이" xfId="1350"/>
    <cellStyle name="_07 MED 가격  061204 TTL" xfId="1351"/>
    <cellStyle name="_070425 Vapor -  기구재검토 대환" xfId="1352"/>
    <cellStyle name="_070425 Vapor -  기구재검토 대환 2" xfId="1353"/>
    <cellStyle name="_070425 Vapor -  기구재검토 대환 3" xfId="1354"/>
    <cellStyle name="_070425 Vapor -  기구재검토 대환 4" xfId="1355"/>
    <cellStyle name="_070425 Vapor -  기구재검토 대환 5" xfId="1356"/>
    <cellStyle name="_070425 Vapor -  기구재검토 대환 6" xfId="1357"/>
    <cellStyle name="_070425 Vapor -  기구재검토 대환 7" xfId="1358"/>
    <cellStyle name="_070425 Vapor -  기구재검토 대환 8" xfId="1359"/>
    <cellStyle name="_070425 Vapor -  기구재검토 대환 9" xfId="1360"/>
    <cellStyle name="_070425 Vapor -  기구재검토 대환_Claro Deal Q409" xfId="1361"/>
    <cellStyle name="_070425 Vapor -  기구재검토 대환_Claro Deal Q409 final" xfId="1362"/>
    <cellStyle name="_070425 Vapor -  기구재검토 대환_Claro Q309 final version" xfId="1363"/>
    <cellStyle name="_070425 Vapor -  기구재검토 대환_Claro Q309 final version_Claro Deal Q409" xfId="1364"/>
    <cellStyle name="_070425 Vapor -  기구재검토 대환_Claro Q309 final version_Claro Deal Q409 final" xfId="1365"/>
    <cellStyle name="_070425 Vapor -  기구재검토 대환_GSM 0405월출시 신규자재list_080410" xfId="1366"/>
    <cellStyle name="_070425 Vapor -  기구재검토 대환_GSM 0405월출시 신규자재list_080410 2" xfId="1367"/>
    <cellStyle name="_070425 Vapor -  기구재검토 대환_GSM 0405월출시 신규자재list_080410 3" xfId="1368"/>
    <cellStyle name="_070425 Vapor -  기구재검토 대환_GSM 0405월출시 신규자재list_080410 4" xfId="1369"/>
    <cellStyle name="_070425 Vapor -  기구재검토 대환_GSM 0405월출시 신규자재list_080410 5" xfId="1370"/>
    <cellStyle name="_070425 Vapor -  기구재검토 대환_GSM 0405월출시 신규자재list_080410 6" xfId="1371"/>
    <cellStyle name="_070425 Vapor -  기구재검토 대환_GSM 0405월출시 신규자재list_080410 7" xfId="1372"/>
    <cellStyle name="_070425 Vapor -  기구재검토 대환_GSM 0405월출시 신규자재list_080410 8" xfId="1373"/>
    <cellStyle name="_070425 Vapor -  기구재검토 대환_GSM 0405월출시 신규자재list_080410 9" xfId="1374"/>
    <cellStyle name="_070425 Vapor -  기구재검토 대환_GSM 0405월출시 신규자재list_080423" xfId="1375"/>
    <cellStyle name="_070425 Vapor -  기구재검토 대환_GSM 0405월출시 신규자재list_080423 2" xfId="1376"/>
    <cellStyle name="_070425 Vapor -  기구재검토 대환_GSM 0405월출시 신규자재list_080423 3" xfId="1377"/>
    <cellStyle name="_070425 Vapor -  기구재검토 대환_GSM 0405월출시 신규자재list_080423 4" xfId="1378"/>
    <cellStyle name="_070425 Vapor -  기구재검토 대환_GSM 0405월출시 신규자재list_080423 5" xfId="1379"/>
    <cellStyle name="_070425 Vapor -  기구재검토 대환_GSM 0405월출시 신규자재list_080423 6" xfId="1380"/>
    <cellStyle name="_070425 Vapor -  기구재검토 대환_GSM 0405월출시 신규자재list_080423 7" xfId="1381"/>
    <cellStyle name="_070425 Vapor -  기구재검토 대환_GSM 0405월출시 신규자재list_080423 8" xfId="1382"/>
    <cellStyle name="_070425 Vapor -  기구재검토 대환_GSM 0405월출시 신규자재list_080423 9" xfId="1383"/>
    <cellStyle name="_070425 Vapor -  기구재검토 대환_GSM 0506월출시 신규자재list_080430" xfId="1384"/>
    <cellStyle name="_070425 Vapor -  기구재검토 대환_GSM 0506월출시 신규자재list_080430 2" xfId="1385"/>
    <cellStyle name="_070425 Vapor -  기구재검토 대환_GSM 0506월출시 신규자재list_080430 3" xfId="1386"/>
    <cellStyle name="_070425 Vapor -  기구재검토 대환_GSM 0506월출시 신규자재list_080430 4" xfId="1387"/>
    <cellStyle name="_070425 Vapor -  기구재검토 대환_GSM 0506월출시 신규자재list_080430 5" xfId="1388"/>
    <cellStyle name="_070425 Vapor -  기구재검토 대환_GSM 0506월출시 신규자재list_080430 6" xfId="1389"/>
    <cellStyle name="_070425 Vapor -  기구재검토 대환_GSM 0506월출시 신규자재list_080430 7" xfId="1390"/>
    <cellStyle name="_070425 Vapor -  기구재검토 대환_GSM 0506월출시 신규자재list_080430 8" xfId="1391"/>
    <cellStyle name="_070425 Vapor -  기구재검토 대환_GSM 0506월출시 신규자재list_080430 9" xfId="1392"/>
    <cellStyle name="_070425 Vapor -  기구재검토 대환_Q3 Claro deal 07jul09" xfId="1393"/>
    <cellStyle name="_070425 Vapor -  기구재검토 대환_Q3 Claro deal 07jul09_Claro Deal Q409" xfId="1394"/>
    <cellStyle name="_070425 Vapor -  기구재검토 대환_Q3 Claro deal 07jul09_Claro Deal Q409 final" xfId="1395"/>
    <cellStyle name="_070425 Vapor -  기구재검토 대환_Q3 Claro deal 15jul09" xfId="1396"/>
    <cellStyle name="_070425 Vapor -  기구재검토 대환_Q3 Claro deal 15jul09_Claro Deal Q409" xfId="1397"/>
    <cellStyle name="_070425 Vapor -  기구재검토 대환_Q3 Claro deal 15jul09_Claro Deal Q409 final" xfId="1398"/>
    <cellStyle name="_070425 Vapor -  기구재검토 대환_Q3 Claro proposal_v2" xfId="1399"/>
    <cellStyle name="_070425 Vapor -  기구재검토 대환_Q3 Claro proposal_v2_Claro Deal Q409" xfId="1400"/>
    <cellStyle name="_070425 Vapor -  기구재검토 대환_Q3 Claro proposal_v2_Claro Deal Q409 final" xfId="1401"/>
    <cellStyle name="_070425 Vapor -  기구재검토 대환_Q3 Claro Tabelas Precos" xfId="1402"/>
    <cellStyle name="_070425 Vapor -  기구재검토 대환_Q3 Claro Tabelas Precos_Claro Deal Q409" xfId="1403"/>
    <cellStyle name="_070425 Vapor -  기구재검토 대환_Q3 Claro Tabelas Precos_Claro Deal Q409 final" xfId="1404"/>
    <cellStyle name="_08 Medição de Pv's Desmemb__16072006a15082006" xfId="1405"/>
    <cellStyle name="_08 Medição de Pv's Desmemb__16072006a15082006_Base" xfId="1406"/>
    <cellStyle name="_08 Medição de Pv's Desmemb__16072006a15082006_D_Ret_Fixa_EMP" xfId="1407"/>
    <cellStyle name="_08 Medição de Pv's Desmemb__16072006a15082006_D_Ret_Fixa_VAR" xfId="1408"/>
    <cellStyle name="_08 Medição de Pv's Desmemb__16072006a15082006_Mig Ret 3G" xfId="1409"/>
    <cellStyle name="_08 Medição de Pv's Desmemb__16072006a15082006_Movel" xfId="1410"/>
    <cellStyle name="_080204_1월실적 코바이" xfId="1411"/>
    <cellStyle name="_080205_코바이거래현황" xfId="1412"/>
    <cellStyle name="_080806 로열티 (RM 반영, 매크로비젼 삭제)" xfId="1413"/>
    <cellStyle name="_'08년 CIS향 모델 가격구조" xfId="1414"/>
    <cellStyle name="_08년모델" xfId="1415"/>
    <cellStyle name="_09 Setembro   EMPRESRIAL MG 2008" xfId="1416"/>
    <cellStyle name="_09 Setembro   EMPRESRIAL MG 2008_Base" xfId="1417"/>
    <cellStyle name="_09 Setembro   EMPRESRIAL MG 2008_D_Ret_Fixa_EMP" xfId="1418"/>
    <cellStyle name="_09 Setembro   EMPRESRIAL MG 2008_D_Ret_Fixa_VAR" xfId="1419"/>
    <cellStyle name="_09 Setembro   EMPRESRIAL MG 2008_Mig Ret 3G" xfId="1420"/>
    <cellStyle name="_09 Setembro   EMPRESRIAL MG 2008_Movel" xfId="1421"/>
    <cellStyle name="_0907oiatendece" xfId="1422"/>
    <cellStyle name="_0907oiatendece_Base" xfId="1423"/>
    <cellStyle name="_0907oiatendece_D_Ret_Fixa_EMP" xfId="1424"/>
    <cellStyle name="_0907oiatendece_D_Ret_Fixa_VAR" xfId="1425"/>
    <cellStyle name="_0907oiatendece_Mig Ret 3G" xfId="1426"/>
    <cellStyle name="_0907oiatendece_Movel" xfId="1427"/>
    <cellStyle name="_090827_정식" xfId="1428"/>
    <cellStyle name="_090827_정식 2" xfId="1429"/>
    <cellStyle name="_090827_정식 3" xfId="1430"/>
    <cellStyle name="_090827_정식 4" xfId="1431"/>
    <cellStyle name="_090827_정식 5" xfId="1432"/>
    <cellStyle name="_090827_정식 6" xfId="1433"/>
    <cellStyle name="_090827_정식 7" xfId="1434"/>
    <cellStyle name="_090827_정식 8" xfId="1435"/>
    <cellStyle name="_090827_정식 9" xfId="1436"/>
    <cellStyle name="_0908Retoifixobv" xfId="1437"/>
    <cellStyle name="_0908Retoifixobv 2" xfId="1438"/>
    <cellStyle name="_0908Retoifixobv_Base" xfId="1439"/>
    <cellStyle name="_0908Retoifixobv_D_Movel" xfId="1440"/>
    <cellStyle name="_0908Retoifixobv_D_Ret_Fixa_EMP" xfId="1441"/>
    <cellStyle name="_0908Retoifixobv_D_Ret_Fixa_EMP_1" xfId="1442"/>
    <cellStyle name="_0908Retoifixobv_D_Ret_Fixa_EMP_2" xfId="1443"/>
    <cellStyle name="_0908Retoifixobv_D_Ret_Fixa_EMP_3" xfId="1444"/>
    <cellStyle name="_0908Retoifixobv_D_Ret_Fixa_EMP_4" xfId="1445"/>
    <cellStyle name="_0908Retoifixobv_D_Ret_Fixa_EMP_5" xfId="1446"/>
    <cellStyle name="_0908Retoifixobv_D_Ret_Fixa_EMP_6" xfId="1447"/>
    <cellStyle name="_0908Retoifixobv_D_Ret_Fixa_EMP_7" xfId="1448"/>
    <cellStyle name="_0908Retoifixobv_D_Ret_Fixa_EMP_8" xfId="1449"/>
    <cellStyle name="_0908Retoifixobv_D_Ret_Fixa_VAR" xfId="1450"/>
    <cellStyle name="_0908Retoifixobv_D_Ret_Fixa_VAR_1" xfId="1451"/>
    <cellStyle name="_0908Retoifixobv_D_Ret_Fixa_VAR_2" xfId="1452"/>
    <cellStyle name="_0908Retoifixobv_D_Ret_Fixa_VAR_3" xfId="1453"/>
    <cellStyle name="_0908Retoifixobv_D_Ret_Fixa_VAR_4" xfId="1454"/>
    <cellStyle name="_0908Retoifixobv_D_Ret_Fixa_VAR_5" xfId="1455"/>
    <cellStyle name="_0908Retoifixobv_D_Ret_Fixa_VAR_6" xfId="1456"/>
    <cellStyle name="_0908Retoifixobv_D_Ret_Fixa_VAR_7" xfId="1457"/>
    <cellStyle name="_0908Retoifixobv_D_Ret_Fixa_VAR_8" xfId="1458"/>
    <cellStyle name="_0908Retoifixobv_Mig Ret 3G" xfId="1459"/>
    <cellStyle name="_0908Retoifixobv_Mig Ret 3G_1" xfId="1460"/>
    <cellStyle name="_0908Retoifixobv_Mig Ret 3G_2" xfId="1461"/>
    <cellStyle name="_0908Retoifixobv_Mig Ret 3G_3" xfId="1462"/>
    <cellStyle name="_0908Retoifixobv_Mig Ret 3G_4" xfId="1463"/>
    <cellStyle name="_0908Retoifixobv_Mig Ret 3G_5" xfId="1464"/>
    <cellStyle name="_0908Retoifixobv_Mig Ret 3G_6" xfId="1465"/>
    <cellStyle name="_0908Retoifixobv_Mig Ret 3G_7" xfId="1466"/>
    <cellStyle name="_0908Retoifixobv_Movel" xfId="1467"/>
    <cellStyle name="_0908Retoifixobv_Movel_1" xfId="1468"/>
    <cellStyle name="_0908Retoifixobv_Movel_2" xfId="1469"/>
    <cellStyle name="_0908Retoifixobv_Movel_3" xfId="1470"/>
    <cellStyle name="_0908Retoifixobv_Movel_4" xfId="1471"/>
    <cellStyle name="_0908Retoifixobv_Movel_5" xfId="1472"/>
    <cellStyle name="_0908Retoifixobv_Movel_6" xfId="1473"/>
    <cellStyle name="_0908Retoifixobv_Movel_7" xfId="1474"/>
    <cellStyle name="_0908Retoifixobv_Retenção" xfId="1475"/>
    <cellStyle name="_1.GVE추진현황-0216" xfId="1476"/>
    <cellStyle name="_1.GVE추진현황-0216_(확인) '06年 협력사 GVE_Master File_" xfId="1477"/>
    <cellStyle name="_1.GVE추진현황-0216_(확인) '06年 협력사 GVE_Master File__★ '07~'08年 GVE 과제 현황_080502" xfId="1478"/>
    <cellStyle name="_1.GVE추진현황-0216_(확인) '06年 협력사 GVE_Master File__★ '07年 GVE 과제 현황_080407" xfId="1479"/>
    <cellStyle name="_1.GVE추진현황-0216_06년과제(협력사+GBM)" xfId="1480"/>
    <cellStyle name="_1.GVE추진현황-0216_06년과제(협력사+GBM)_★ '07~'08年 GVE 과제 현황_080502" xfId="1481"/>
    <cellStyle name="_1.GVE추진현황-0216_06년과제(협력사+GBM)_★ '07年 GVE 과제 현황_080407" xfId="1482"/>
    <cellStyle name="_1.GVE추진현황-0216_06년과제_전체" xfId="1483"/>
    <cellStyle name="_1.GVE추진현황-0216_06년과제_전체_★ '07~'08年 GVE 과제 현황_080502" xfId="1484"/>
    <cellStyle name="_1.GVE추진현황-0216_06년과제_전체_★ '07年 GVE 과제 현황_080407" xfId="1485"/>
    <cellStyle name="_1.GVE추진현황-0216_'06年 협력사 GVE_Master File" xfId="1486"/>
    <cellStyle name="_1.GVE추진현황-0216_'06年 협력사 GVE_Master File_★ '07~'08年 GVE 과제 현황_080502" xfId="1487"/>
    <cellStyle name="_1.GVE추진현황-0216_'06年 협력사 GVE_Master File_★ '07年 GVE 과제 현황_080407" xfId="1488"/>
    <cellStyle name="_1.GVE추진현황-0216_'07年 추진과제 적용현황_080214(취합)" xfId="1489"/>
    <cellStyle name="_1.GVE추진현황-0216_'07年 추진과제 적용현황_080214(취합)_★ '07~'08年 GVE 과제 현황_080502" xfId="1490"/>
    <cellStyle name="_1.GVE추진현황-0216_'07年 추진과제 적용현황_080214(취합)_★ '07年 GVE 과제 현황_080407" xfId="1491"/>
    <cellStyle name="_1.GVE추진현황-0216_'07年 협력사 GVE 과제 LIST_20071029" xfId="1492"/>
    <cellStyle name="_1.GVE추진현황-0216_'07年 협력사 GVE 과제 LIST_20071029_★ '07~'08年 GVE 과제 현황_080502" xfId="1493"/>
    <cellStyle name="_1.GVE추진현황-0216_'07年 협력사 GVE 과제 LIST_20071029_★ '07年 GVE 과제 현황_080407" xfId="1494"/>
    <cellStyle name="_1.GVE추진현황-0216_'07年 협력사 GVE 과제 관리" xfId="1495"/>
    <cellStyle name="_1.GVE추진현황-0216_'07年 협력사 GVE 과제 관리_★ '07~'08年 GVE 과제 현황_080502" xfId="1496"/>
    <cellStyle name="_1.GVE추진현황-0216_'07年 협력사 GVE 과제 관리_★ '07年 GVE 과제 현황_080407" xfId="1497"/>
    <cellStyle name="_1.GVE추진현황-0216_'07年 협력사 GVE 과제 관리_20070712" xfId="1498"/>
    <cellStyle name="_1.GVE추진현황-0216_'07年 협력사 GVE 과제 관리_20070712_★ '07~'08年 GVE 과제 현황_080502" xfId="1499"/>
    <cellStyle name="_1.GVE추진현황-0216_'07年 협력사 GVE 과제 관리_20070712_★ '07年 GVE 과제 현황_080407" xfId="1500"/>
    <cellStyle name="_1.GVE추진현황-0216_'07年 협력사 GVE 과제 관리_20070723" xfId="1501"/>
    <cellStyle name="_1.GVE추진현황-0216_'07年 협력사 GVE 과제 관리_20070723_★ '07~'08年 GVE 과제 현황_080502" xfId="1502"/>
    <cellStyle name="_1.GVE추진현황-0216_'07年 협력사 GVE 과제 관리_20070723_★ '07年 GVE 과제 현황_080407" xfId="1503"/>
    <cellStyle name="_1.GVE추진현황-0216_'07年 협력사 GVE 과제 관리_20070821" xfId="1504"/>
    <cellStyle name="_1.GVE추진현황-0216_'07年 협력사 GVE 과제 관리_20070821_★ '07~'08年 GVE 과제 현황_080502" xfId="1505"/>
    <cellStyle name="_1.GVE추진현황-0216_'07年 협력사 GVE 과제 관리_20070821_★ '07年 GVE 과제 현황_080407" xfId="1506"/>
    <cellStyle name="_1.GVE추진현황-0216_'07年 협력사 GVE 과제 관리_20071017" xfId="1507"/>
    <cellStyle name="_1.GVE추진현황-0216_'07年 협력사 GVE 과제 관리_20071017_★ '07~'08年 GVE 과제 현황_080502" xfId="1508"/>
    <cellStyle name="_1.GVE추진현황-0216_'07年 협력사 GVE 과제 관리_20071017_★ '07年 GVE 과제 현황_080407" xfId="1509"/>
    <cellStyle name="_1.GVE추진현황-0216_'07年 협력사 GVE 과제 진행현황" xfId="1510"/>
    <cellStyle name="_1.GVE추진현황-0216_'07年 협력사 GVE 과제 진행현황_★ '07~'08年 GVE 과제 현황_080502" xfId="1511"/>
    <cellStyle name="_1.GVE추진현황-0216_'07年 협력사 GVE 과제 진행현황_★ '07年 GVE 과제 현황_080407" xfId="1512"/>
    <cellStyle name="_1.GVE추진현황-0216_GVE추진과제현황_Master(통합)" xfId="1513"/>
    <cellStyle name="_1.GVE추진현황-0216_GVE추진과제현황_Master(통합)_★ '07~'08年 GVE 과제 현황_080502" xfId="1514"/>
    <cellStyle name="_1.GVE추진현황-0216_GVE추진과제현황_Master(통합)_★ '07年 GVE 과제 현황_080407" xfId="1515"/>
    <cellStyle name="_1.GVE추진현황-0216_GVE추진과제현황_Master(통합)_41184" xfId="1516"/>
    <cellStyle name="_1.GVE추진현황-0216_GVE추진과제현황_Master(통합)_41184_★ '07~'08年 GVE 과제 현황_080502" xfId="1517"/>
    <cellStyle name="_1.GVE추진현황-0216_GVE추진과제현황_Master(통합)_41184_★ '07年 GVE 과제 현황_080407" xfId="1518"/>
    <cellStyle name="_1_Proposta_Samsung_4T09_20090825_VF" xfId="1519"/>
    <cellStyle name="_10월계획(안)_1007" xfId="1520"/>
    <cellStyle name="_1107retoifixobv" xfId="1521"/>
    <cellStyle name="_1107retoifixobv_BD Resumo diário Painel de Televendas Abril 2011" xfId="1522"/>
    <cellStyle name="_1107retoifixobv_BD Resumo diário Painel de Televendas Janeiro 2011" xfId="1523"/>
    <cellStyle name="_1107retoifixobv_BD Resumo diário Painel de Televendas Setembro 2010_BASE_UNICA" xfId="1524"/>
    <cellStyle name="_1107retoifixobv_Faturamento TLV_Varejo_Ago 16-07 a 15-08-09 - V4 - Validação Cliente" xfId="1525"/>
    <cellStyle name="_1107retoifixobv_Faturamento TLV_Varejo_Ago 16-07 a 15-08-09 - V4 - Validação Cliente_BD Resumo diário Painel de Televendas Abril 2011" xfId="1526"/>
    <cellStyle name="_1107retoifixobv_Faturamento TLV_Varejo_Ago 16-07 a 15-08-09 - V4 - Validação Cliente_BD Resumo diário Painel de Televendas Janeiro 2011" xfId="1527"/>
    <cellStyle name="_1107retoifixobv_Faturamento TLV_Varejo_Ago 16-07 a 15-08-09 - V4 - Validação Cliente_BD Resumo diário Painel de Televendas Setembro 2010_BASE_UNICA" xfId="1528"/>
    <cellStyle name="_1107retoifixobv_Faturamento TLV_Varejo_Ago 16-07 a 15-08-09 - V4 - Validação Cliente_Painel de Retenção Junho 2011" xfId="1529"/>
    <cellStyle name="_1107retoifixobv_Faturamento TLV_Varejo_Ago 16-07 a 15-08-09 - V4 - Validação Cliente_Pasta1" xfId="1530"/>
    <cellStyle name="_1107retoifixobv_Faturamento TLV_Varejo_Ago 16-07 a 15-08-09 - V4 - Validação Cliente_Plan1" xfId="1531"/>
    <cellStyle name="_1107retoifixobv_Faturamento TLV_Varejo_Ago 16-07 a 15-08-09 - V4 - Validação Cliente_Plan2" xfId="1532"/>
    <cellStyle name="_1107retoifixobv_Faturamento TLV_Varejo_Ago 16-07 a 15-08-09 - V4 - Validação Cliente_Retenção" xfId="1533"/>
    <cellStyle name="_1107retoifixobv_Faturamento TLV_Varejo_Ago 16-07 a 15-08-09 - V4 - Validação Cliente_Retenção Painel" xfId="1534"/>
    <cellStyle name="_1107retoifixobv_Faturamento TLV_Varejo_Ago 16-07 a 15-08-09 - V4 - Validação Cliente_Televendas Painel" xfId="1535"/>
    <cellStyle name="_1107retoifixobv_Faturamento TLV_Varejo_Ago 16-07 a 15-08-09 - V4 - Validação Cliente_Televendas Painel_ant" xfId="1536"/>
    <cellStyle name="_1107retoifixobv_Painel de Retenção Junho 2011" xfId="1537"/>
    <cellStyle name="_1107retoifixobv_Pasta1" xfId="1538"/>
    <cellStyle name="_1107retoifixobv_Plan1" xfId="1539"/>
    <cellStyle name="_1107retoifixobv_Plan2" xfId="1540"/>
    <cellStyle name="_1107retoifixobv_Retenção" xfId="1541"/>
    <cellStyle name="_1107retoifixobv_Retenção Painel" xfId="1542"/>
    <cellStyle name="_1107retoifixobv_Televendas Painel" xfId="1543"/>
    <cellStyle name="_1107retoifixobv_Televendas Painel_ant" xfId="1544"/>
    <cellStyle name="_1107retoifixobv_TENDÊNCIA RET VAR CONTROLE" xfId="1545"/>
    <cellStyle name="_1107retoifixobv_TENDÊNCIA RET VAR CONTROLE_Base" xfId="1546"/>
    <cellStyle name="_1107retoifixobv_TENDÊNCIA RET VAR CONTROLE_D_Ret_Fixa_EMP" xfId="1547"/>
    <cellStyle name="_1107retoifixobv_TENDÊNCIA RET VAR CONTROLE_D_Ret_Fixa_EMP_1" xfId="1548"/>
    <cellStyle name="_1107retoifixobv_TENDÊNCIA RET VAR CONTROLE_D_Ret_Fixa_EMP_2" xfId="1549"/>
    <cellStyle name="_1107retoifixobv_TENDÊNCIA RET VAR CONTROLE_D_Ret_Fixa_EMP_3" xfId="1550"/>
    <cellStyle name="_1107retoifixobv_TENDÊNCIA RET VAR CONTROLE_D_Ret_Fixa_EMP_4" xfId="1551"/>
    <cellStyle name="_1107retoifixobv_TENDÊNCIA RET VAR CONTROLE_D_Ret_Fixa_EMP_5" xfId="1552"/>
    <cellStyle name="_1107retoifixobv_TENDÊNCIA RET VAR CONTROLE_D_Ret_Fixa_EMP_6" xfId="1553"/>
    <cellStyle name="_1107retoifixobv_TENDÊNCIA RET VAR CONTROLE_D_Ret_Fixa_EMP_7" xfId="1554"/>
    <cellStyle name="_1107retoifixobv_TENDÊNCIA RET VAR CONTROLE_D_Ret_Fixa_EMP_8" xfId="1555"/>
    <cellStyle name="_1107retoifixobv_TENDÊNCIA RET VAR CONTROLE_D_Ret_Fixa_VAR" xfId="1556"/>
    <cellStyle name="_1107retoifixobv_TENDÊNCIA RET VAR CONTROLE_D_Ret_Fixa_VAR_1" xfId="1557"/>
    <cellStyle name="_1107retoifixobv_TENDÊNCIA RET VAR CONTROLE_D_Ret_Fixa_VAR_2" xfId="1558"/>
    <cellStyle name="_1107retoifixobv_TENDÊNCIA RET VAR CONTROLE_D_Ret_Fixa_VAR_3" xfId="1559"/>
    <cellStyle name="_1107retoifixobv_TENDÊNCIA RET VAR CONTROLE_D_Ret_Fixa_VAR_4" xfId="1560"/>
    <cellStyle name="_1107retoifixobv_TENDÊNCIA RET VAR CONTROLE_D_Ret_Fixa_VAR_5" xfId="1561"/>
    <cellStyle name="_1107retoifixobv_TENDÊNCIA RET VAR CONTROLE_D_Ret_Fixa_VAR_6" xfId="1562"/>
    <cellStyle name="_1107retoifixobv_TENDÊNCIA RET VAR CONTROLE_D_Ret_Fixa_VAR_7" xfId="1563"/>
    <cellStyle name="_1107retoifixobv_TENDÊNCIA RET VAR CONTROLE_D_Ret_Fixa_VAR_8" xfId="1564"/>
    <cellStyle name="_1107retoifixobv_TENDÊNCIA RET VAR CONTROLE_Mig Ret 3G" xfId="1565"/>
    <cellStyle name="_1107retoifixobv_TENDÊNCIA RET VAR CONTROLE_Mig Ret 3G_1" xfId="1566"/>
    <cellStyle name="_1107retoifixobv_TENDÊNCIA RET VAR CONTROLE_Mig Ret 3G_2" xfId="1567"/>
    <cellStyle name="_1107retoifixobv_TENDÊNCIA RET VAR CONTROLE_Mig Ret 3G_3" xfId="1568"/>
    <cellStyle name="_1107retoifixobv_TENDÊNCIA RET VAR CONTROLE_Mig Ret 3G_4" xfId="1569"/>
    <cellStyle name="_1107retoifixobv_TENDÊNCIA RET VAR CONTROLE_Mig Ret 3G_5" xfId="1570"/>
    <cellStyle name="_1107retoifixobv_TENDÊNCIA RET VAR CONTROLE_Mig Ret 3G_6" xfId="1571"/>
    <cellStyle name="_1107retoifixobv_TENDÊNCIA RET VAR CONTROLE_Mig Ret 3G_7" xfId="1572"/>
    <cellStyle name="_1107retoifixobv_TENDÊNCIA RET VAR CONTROLE_Movel" xfId="1573"/>
    <cellStyle name="_1107retoifixobv_TENDÊNCIA RET VAR CONTROLE_Movel_1" xfId="1574"/>
    <cellStyle name="_1107retoifixobv_TENDÊNCIA RET VAR CONTROLE_Movel_2" xfId="1575"/>
    <cellStyle name="_1107retoifixobv_TENDÊNCIA RET VAR CONTROLE_Movel_3" xfId="1576"/>
    <cellStyle name="_1107retoifixobv_TENDÊNCIA RET VAR CONTROLE_Movel_4" xfId="1577"/>
    <cellStyle name="_1107retoifixobv_TENDÊNCIA RET VAR CONTROLE_Movel_5" xfId="1578"/>
    <cellStyle name="_1107retoifixobv_TENDÊNCIA RET VAR CONTROLE_Movel_6" xfId="1579"/>
    <cellStyle name="_1107retoifixobv_TENDÊNCIA RET VAR CONTROLE_Movel_7" xfId="1580"/>
    <cellStyle name="_1107retoifixobv_TENDÊNCIA RET VAR CONTROLE_Retenção" xfId="1581"/>
    <cellStyle name="_1107retoifixobv_TENDÊNCIA RET VAR VOL" xfId="1582"/>
    <cellStyle name="_1107retoifixobv_TENDÊNCIA RET VAR VOL 2" xfId="1583"/>
    <cellStyle name="_1107retoifixobv_TENDÊNCIA RET VAR VOL_Base" xfId="1584"/>
    <cellStyle name="_1107retoifixobv_TENDÊNCIA RET VAR VOL_D_Movel" xfId="1585"/>
    <cellStyle name="_1107retoifixobv_TENDÊNCIA RET VAR VOL_D_Ret_Fixa_EMP" xfId="1586"/>
    <cellStyle name="_1107retoifixobv_TENDÊNCIA RET VAR VOL_D_Ret_Fixa_EMP_1" xfId="1587"/>
    <cellStyle name="_1107retoifixobv_TENDÊNCIA RET VAR VOL_D_Ret_Fixa_EMP_2" xfId="1588"/>
    <cellStyle name="_1107retoifixobv_TENDÊNCIA RET VAR VOL_D_Ret_Fixa_EMP_3" xfId="1589"/>
    <cellStyle name="_1107retoifixobv_TENDÊNCIA RET VAR VOL_D_Ret_Fixa_EMP_4" xfId="1590"/>
    <cellStyle name="_1107retoifixobv_TENDÊNCIA RET VAR VOL_D_Ret_Fixa_EMP_5" xfId="1591"/>
    <cellStyle name="_1107retoifixobv_TENDÊNCIA RET VAR VOL_D_Ret_Fixa_EMP_6" xfId="1592"/>
    <cellStyle name="_1107retoifixobv_TENDÊNCIA RET VAR VOL_D_Ret_Fixa_EMP_7" xfId="1593"/>
    <cellStyle name="_1107retoifixobv_TENDÊNCIA RET VAR VOL_D_Ret_Fixa_EMP_8" xfId="1594"/>
    <cellStyle name="_1107retoifixobv_TENDÊNCIA RET VAR VOL_D_Ret_Fixa_VAR" xfId="1595"/>
    <cellStyle name="_1107retoifixobv_TENDÊNCIA RET VAR VOL_D_Ret_Fixa_VAR_1" xfId="1596"/>
    <cellStyle name="_1107retoifixobv_TENDÊNCIA RET VAR VOL_D_Ret_Fixa_VAR_2" xfId="1597"/>
    <cellStyle name="_1107retoifixobv_TENDÊNCIA RET VAR VOL_D_Ret_Fixa_VAR_3" xfId="1598"/>
    <cellStyle name="_1107retoifixobv_TENDÊNCIA RET VAR VOL_D_Ret_Fixa_VAR_4" xfId="1599"/>
    <cellStyle name="_1107retoifixobv_TENDÊNCIA RET VAR VOL_D_Ret_Fixa_VAR_5" xfId="1600"/>
    <cellStyle name="_1107retoifixobv_TENDÊNCIA RET VAR VOL_D_Ret_Fixa_VAR_6" xfId="1601"/>
    <cellStyle name="_1107retoifixobv_TENDÊNCIA RET VAR VOL_D_Ret_Fixa_VAR_7" xfId="1602"/>
    <cellStyle name="_1107retoifixobv_TENDÊNCIA RET VAR VOL_D_Ret_Fixa_VAR_8" xfId="1603"/>
    <cellStyle name="_1107retoifixobv_TENDÊNCIA RET VAR VOL_Mig Ret 3G" xfId="1604"/>
    <cellStyle name="_1107retoifixobv_TENDÊNCIA RET VAR VOL_Mig Ret 3G_1" xfId="1605"/>
    <cellStyle name="_1107retoifixobv_TENDÊNCIA RET VAR VOL_Mig Ret 3G_2" xfId="1606"/>
    <cellStyle name="_1107retoifixobv_TENDÊNCIA RET VAR VOL_Mig Ret 3G_3" xfId="1607"/>
    <cellStyle name="_1107retoifixobv_TENDÊNCIA RET VAR VOL_Mig Ret 3G_4" xfId="1608"/>
    <cellStyle name="_1107retoifixobv_TENDÊNCIA RET VAR VOL_Mig Ret 3G_5" xfId="1609"/>
    <cellStyle name="_1107retoifixobv_TENDÊNCIA RET VAR VOL_Mig Ret 3G_6" xfId="1610"/>
    <cellStyle name="_1107retoifixobv_TENDÊNCIA RET VAR VOL_Mig Ret 3G_7" xfId="1611"/>
    <cellStyle name="_1107retoifixobv_TENDÊNCIA RET VAR VOL_Movel" xfId="1612"/>
    <cellStyle name="_1107retoifixobv_TENDÊNCIA RET VAR VOL_Movel_1" xfId="1613"/>
    <cellStyle name="_1107retoifixobv_TENDÊNCIA RET VAR VOL_Movel_2" xfId="1614"/>
    <cellStyle name="_1107retoifixobv_TENDÊNCIA RET VAR VOL_Movel_3" xfId="1615"/>
    <cellStyle name="_1107retoifixobv_TENDÊNCIA RET VAR VOL_Movel_4" xfId="1616"/>
    <cellStyle name="_1107retoifixobv_TENDÊNCIA RET VAR VOL_Movel_5" xfId="1617"/>
    <cellStyle name="_1107retoifixobv_TENDÊNCIA RET VAR VOL_Movel_6" xfId="1618"/>
    <cellStyle name="_1107retoifixobv_TENDÊNCIA RET VAR VOL_Movel_7" xfId="1619"/>
    <cellStyle name="_1107retoifixobv_TENDÊNCIA RET VAR VOL_Retenção" xfId="1620"/>
    <cellStyle name="_2. 재료비파일 2Q 3Q 포멧-지연 단가 입력" xfId="1621"/>
    <cellStyle name="_2. 재료비파일 2Q 3Q 포멧-지연 단가 입력 2" xfId="1622"/>
    <cellStyle name="_2. 재료비파일 2Q 3Q 포멧-지연 단가 입력 3" xfId="1623"/>
    <cellStyle name="_2. 재료비파일 2Q 3Q 포멧-지연 단가 입력 4" xfId="1624"/>
    <cellStyle name="_2. 재료비파일 2Q 3Q 포멧-지연 단가 입력 5" xfId="1625"/>
    <cellStyle name="_2. 재료비파일 2Q 3Q 포멧-지연 단가 입력 6" xfId="1626"/>
    <cellStyle name="_2. 재료비파일 2Q 3Q 포멧-지연 단가 입력 7" xfId="1627"/>
    <cellStyle name="_2. 재료비파일 2Q 3Q 포멧-지연 단가 입력 8" xfId="1628"/>
    <cellStyle name="_2. 재료비파일 2Q 3Q 포멧-지연 단가 입력 9" xfId="1629"/>
    <cellStyle name="_2. 재료비파일 2Q 3Q 포멧-지연 단가 입력_Claro Deal Q409" xfId="1630"/>
    <cellStyle name="_2. 재료비파일 2Q 3Q 포멧-지연 단가 입력_Claro Deal Q409 final" xfId="1631"/>
    <cellStyle name="_2. 재료비파일 2Q 3Q 포멧-지연 단가 입력_Claro Q309 final version" xfId="1632"/>
    <cellStyle name="_2. 재료비파일 2Q 3Q 포멧-지연 단가 입력_Claro Q309 final version_Claro Deal Q409" xfId="1633"/>
    <cellStyle name="_2. 재료비파일 2Q 3Q 포멧-지연 단가 입력_Claro Q309 final version_Claro Deal Q409 final" xfId="1634"/>
    <cellStyle name="_2. 재료비파일 2Q 3Q 포멧-지연 단가 입력_GSM 0405월출시 신규자재list_080410" xfId="1635"/>
    <cellStyle name="_2. 재료비파일 2Q 3Q 포멧-지연 단가 입력_GSM 0405월출시 신규자재list_080410 2" xfId="1636"/>
    <cellStyle name="_2. 재료비파일 2Q 3Q 포멧-지연 단가 입력_GSM 0405월출시 신규자재list_080410 3" xfId="1637"/>
    <cellStyle name="_2. 재료비파일 2Q 3Q 포멧-지연 단가 입력_GSM 0405월출시 신규자재list_080410 4" xfId="1638"/>
    <cellStyle name="_2. 재료비파일 2Q 3Q 포멧-지연 단가 입력_GSM 0405월출시 신규자재list_080410 5" xfId="1639"/>
    <cellStyle name="_2. 재료비파일 2Q 3Q 포멧-지연 단가 입력_GSM 0405월출시 신규자재list_080410 6" xfId="1640"/>
    <cellStyle name="_2. 재료비파일 2Q 3Q 포멧-지연 단가 입력_GSM 0405월출시 신규자재list_080410 7" xfId="1641"/>
    <cellStyle name="_2. 재료비파일 2Q 3Q 포멧-지연 단가 입력_GSM 0405월출시 신규자재list_080410 8" xfId="1642"/>
    <cellStyle name="_2. 재료비파일 2Q 3Q 포멧-지연 단가 입력_GSM 0405월출시 신규자재list_080410 9" xfId="1643"/>
    <cellStyle name="_2. 재료비파일 2Q 3Q 포멧-지연 단가 입력_GSM 0405월출시 신규자재list_080423" xfId="1644"/>
    <cellStyle name="_2. 재료비파일 2Q 3Q 포멧-지연 단가 입력_GSM 0405월출시 신규자재list_080423 2" xfId="1645"/>
    <cellStyle name="_2. 재료비파일 2Q 3Q 포멧-지연 단가 입력_GSM 0405월출시 신규자재list_080423 3" xfId="1646"/>
    <cellStyle name="_2. 재료비파일 2Q 3Q 포멧-지연 단가 입력_GSM 0405월출시 신규자재list_080423 4" xfId="1647"/>
    <cellStyle name="_2. 재료비파일 2Q 3Q 포멧-지연 단가 입력_GSM 0405월출시 신규자재list_080423 5" xfId="1648"/>
    <cellStyle name="_2. 재료비파일 2Q 3Q 포멧-지연 단가 입력_GSM 0405월출시 신규자재list_080423 6" xfId="1649"/>
    <cellStyle name="_2. 재료비파일 2Q 3Q 포멧-지연 단가 입력_GSM 0405월출시 신규자재list_080423 7" xfId="1650"/>
    <cellStyle name="_2. 재료비파일 2Q 3Q 포멧-지연 단가 입력_GSM 0405월출시 신규자재list_080423 8" xfId="1651"/>
    <cellStyle name="_2. 재료비파일 2Q 3Q 포멧-지연 단가 입력_GSM 0405월출시 신규자재list_080423 9" xfId="1652"/>
    <cellStyle name="_2. 재료비파일 2Q 3Q 포멧-지연 단가 입력_GSM 0506월출시 신규자재list_080430" xfId="1653"/>
    <cellStyle name="_2. 재료비파일 2Q 3Q 포멧-지연 단가 입력_GSM 0506월출시 신규자재list_080430 2" xfId="1654"/>
    <cellStyle name="_2. 재료비파일 2Q 3Q 포멧-지연 단가 입력_GSM 0506월출시 신규자재list_080430 3" xfId="1655"/>
    <cellStyle name="_2. 재료비파일 2Q 3Q 포멧-지연 단가 입력_GSM 0506월출시 신규자재list_080430 4" xfId="1656"/>
    <cellStyle name="_2. 재료비파일 2Q 3Q 포멧-지연 단가 입력_GSM 0506월출시 신규자재list_080430 5" xfId="1657"/>
    <cellStyle name="_2. 재료비파일 2Q 3Q 포멧-지연 단가 입력_GSM 0506월출시 신규자재list_080430 6" xfId="1658"/>
    <cellStyle name="_2. 재료비파일 2Q 3Q 포멧-지연 단가 입력_GSM 0506월출시 신규자재list_080430 7" xfId="1659"/>
    <cellStyle name="_2. 재료비파일 2Q 3Q 포멧-지연 단가 입력_GSM 0506월출시 신규자재list_080430 8" xfId="1660"/>
    <cellStyle name="_2. 재료비파일 2Q 3Q 포멧-지연 단가 입력_GSM 0506월출시 신규자재list_080430 9" xfId="1661"/>
    <cellStyle name="_2. 재료비파일 2Q 3Q 포멧-지연 단가 입력_Q3 Claro deal 07jul09" xfId="1662"/>
    <cellStyle name="_2. 재료비파일 2Q 3Q 포멧-지연 단가 입력_Q3 Claro deal 07jul09_Claro Deal Q409" xfId="1663"/>
    <cellStyle name="_2. 재료비파일 2Q 3Q 포멧-지연 단가 입력_Q3 Claro deal 07jul09_Claro Deal Q409 final" xfId="1664"/>
    <cellStyle name="_2. 재료비파일 2Q 3Q 포멧-지연 단가 입력_Q3 Claro deal 15jul09" xfId="1665"/>
    <cellStyle name="_2. 재료비파일 2Q 3Q 포멧-지연 단가 입력_Q3 Claro deal 15jul09_Claro Deal Q409" xfId="1666"/>
    <cellStyle name="_2. 재료비파일 2Q 3Q 포멧-지연 단가 입력_Q3 Claro deal 15jul09_Claro Deal Q409 final" xfId="1667"/>
    <cellStyle name="_2. 재료비파일 2Q 3Q 포멧-지연 단가 입력_Q3 Claro proposal_v2" xfId="1668"/>
    <cellStyle name="_2. 재료비파일 2Q 3Q 포멧-지연 단가 입력_Q3 Claro proposal_v2_Claro Deal Q409" xfId="1669"/>
    <cellStyle name="_2. 재료비파일 2Q 3Q 포멧-지연 단가 입력_Q3 Claro proposal_v2_Claro Deal Q409 final" xfId="1670"/>
    <cellStyle name="_2. 재료비파일 2Q 3Q 포멧-지연 단가 입력_Q3 Claro Tabelas Precos" xfId="1671"/>
    <cellStyle name="_2. 재료비파일 2Q 3Q 포멧-지연 단가 입력_Q3 Claro Tabelas Precos_Claro Deal Q409" xfId="1672"/>
    <cellStyle name="_2. 재료비파일 2Q 3Q 포멧-지연 단가 입력_Q3 Claro Tabelas Precos_Claro Deal Q409 final" xfId="1673"/>
    <cellStyle name="_2.SCH-U410MSAVZW 심천 080103(VE)" xfId="1674"/>
    <cellStyle name="_2005년 GB 수료생" xfId="1675"/>
    <cellStyle name="_2005년 GB 수료생_(확인) '06年 협력사 GVE_Master File_" xfId="1676"/>
    <cellStyle name="_2005년 GB 수료생_(확인) '06年 협력사 GVE_Master File__★ '07~'08年 GVE 과제 현황_080502" xfId="1677"/>
    <cellStyle name="_2005년 GB 수료생_(확인) '06年 협력사 GVE_Master File__★ '07年 GVE 과제 현황_080407" xfId="1678"/>
    <cellStyle name="_2005년 GB 수료생_06년과제(협력사+GBM)" xfId="1679"/>
    <cellStyle name="_2005년 GB 수료생_06년과제(협력사+GBM)_★ '07~'08年 GVE 과제 현황_080502" xfId="1680"/>
    <cellStyle name="_2005년 GB 수료생_06년과제(협력사+GBM)_★ '07年 GVE 과제 현황_080407" xfId="1681"/>
    <cellStyle name="_2005년 GB 수료생_06년과제_전체" xfId="1682"/>
    <cellStyle name="_2005년 GB 수료생_06년과제_전체_★ '07~'08年 GVE 과제 현황_080502" xfId="1683"/>
    <cellStyle name="_2005년 GB 수료생_06년과제_전체_★ '07年 GVE 과제 현황_080407" xfId="1684"/>
    <cellStyle name="_2005년 GB 수료생_'06年 협력사 GVE_Master File" xfId="1685"/>
    <cellStyle name="_2005년 GB 수료생_'06年 협력사 GVE_Master File_★ '07~'08年 GVE 과제 현황_080502" xfId="1686"/>
    <cellStyle name="_2005년 GB 수료생_'06年 협력사 GVE_Master File_★ '07年 GVE 과제 현황_080407" xfId="1687"/>
    <cellStyle name="_2005년 GB 수료생_'07年 추진과제 적용현황_080214(취합)" xfId="1688"/>
    <cellStyle name="_2005년 GB 수료생_'07年 추진과제 적용현황_080214(취합)_★ '07~'08年 GVE 과제 현황_080502" xfId="1689"/>
    <cellStyle name="_2005년 GB 수료생_'07年 추진과제 적용현황_080214(취합)_★ '07年 GVE 과제 현황_080407" xfId="1690"/>
    <cellStyle name="_2005년 GB 수료생_'07年 협력사 GVE 과제 LIST_20071029" xfId="1691"/>
    <cellStyle name="_2005년 GB 수료생_'07年 협력사 GVE 과제 LIST_20071029_★ '07~'08年 GVE 과제 현황_080502" xfId="1692"/>
    <cellStyle name="_2005년 GB 수료생_'07年 협력사 GVE 과제 LIST_20071029_★ '07年 GVE 과제 현황_080407" xfId="1693"/>
    <cellStyle name="_2005년 GB 수료생_'07年 협력사 GVE 과제 관리" xfId="1694"/>
    <cellStyle name="_2005년 GB 수료생_'07年 협력사 GVE 과제 관리_★ '07~'08年 GVE 과제 현황_080502" xfId="1695"/>
    <cellStyle name="_2005년 GB 수료생_'07年 협력사 GVE 과제 관리_★ '07年 GVE 과제 현황_080407" xfId="1696"/>
    <cellStyle name="_2005년 GB 수료생_'07年 협력사 GVE 과제 관리_20070712" xfId="1697"/>
    <cellStyle name="_2005년 GB 수료생_'07年 협력사 GVE 과제 관리_20070712_★ '07~'08年 GVE 과제 현황_080502" xfId="1698"/>
    <cellStyle name="_2005년 GB 수료생_'07年 협력사 GVE 과제 관리_20070712_★ '07年 GVE 과제 현황_080407" xfId="1699"/>
    <cellStyle name="_2005년 GB 수료생_'07年 협력사 GVE 과제 관리_20070723" xfId="1700"/>
    <cellStyle name="_2005년 GB 수료생_'07年 협력사 GVE 과제 관리_20070723_★ '07~'08年 GVE 과제 현황_080502" xfId="1701"/>
    <cellStyle name="_2005년 GB 수료생_'07年 협력사 GVE 과제 관리_20070723_★ '07年 GVE 과제 현황_080407" xfId="1702"/>
    <cellStyle name="_2005년 GB 수료생_'07年 협력사 GVE 과제 관리_20070821" xfId="1703"/>
    <cellStyle name="_2005년 GB 수료생_'07年 협력사 GVE 과제 관리_20070821_★ '07~'08年 GVE 과제 현황_080502" xfId="1704"/>
    <cellStyle name="_2005년 GB 수료생_'07年 협력사 GVE 과제 관리_20070821_★ '07年 GVE 과제 현황_080407" xfId="1705"/>
    <cellStyle name="_2005년 GB 수료생_'07年 협력사 GVE 과제 관리_20071017" xfId="1706"/>
    <cellStyle name="_2005년 GB 수료생_'07年 협력사 GVE 과제 관리_20071017_★ '07~'08年 GVE 과제 현황_080502" xfId="1707"/>
    <cellStyle name="_2005년 GB 수료생_'07年 협력사 GVE 과제 관리_20071017_★ '07年 GVE 과제 현황_080407" xfId="1708"/>
    <cellStyle name="_2005년 GB 수료생_'07年 협력사 GVE 과제 진행현황" xfId="1709"/>
    <cellStyle name="_2005년 GB 수료생_'07年 협력사 GVE 과제 진행현황_★ '07~'08年 GVE 과제 현황_080502" xfId="1710"/>
    <cellStyle name="_2005년 GB 수료생_'07年 협력사 GVE 과제 진행현황_★ '07年 GVE 과제 현황_080407" xfId="1711"/>
    <cellStyle name="_2005년 GB 수료생_GVE추진과제현황_Master(통합)" xfId="1712"/>
    <cellStyle name="_2005년 GB 수료생_GVE추진과제현황_Master(통합)_★ '07~'08年 GVE 과제 현황_080502" xfId="1713"/>
    <cellStyle name="_2005년 GB 수료생_GVE추진과제현황_Master(통합)_★ '07年 GVE 과제 현황_080407" xfId="1714"/>
    <cellStyle name="_2005년 GB 수료생_GVE추진과제현황_Master(통합)_41184" xfId="1715"/>
    <cellStyle name="_2005년 GB 수료생_GVE추진과제현황_Master(통합)_41184_★ '07~'08年 GVE 과제 현황_080502" xfId="1716"/>
    <cellStyle name="_2005년 GB 수료생_GVE추진과제현황_Master(통합)_41184_★ '07年 GVE 과제 현황_080407" xfId="1717"/>
    <cellStyle name="_2006년 1월(무선)" xfId="1718"/>
    <cellStyle name="_200801_Sumario Retenção AV - JAN" xfId="1719"/>
    <cellStyle name="_200801_Sumario Retenção AV - JAN_Base" xfId="1720"/>
    <cellStyle name="_200801_Sumario Retenção AV - JAN_D_Ret_Fixa_EMP" xfId="1721"/>
    <cellStyle name="_200801_Sumario Retenção AV - JAN_D_Ret_Fixa_VAR" xfId="1722"/>
    <cellStyle name="_200801_Sumario Retenção AV - JAN_Mig Ret 3G" xfId="1723"/>
    <cellStyle name="_200801_Sumario Retenção AV - JAN_Movel" xfId="1724"/>
    <cellStyle name="_200801_Sumario Retenção AV - JAN_TENDÊNCIA RET VAR CONTROLE" xfId="1725"/>
    <cellStyle name="_200801_Sumario Retenção AV - JAN_TENDÊNCIA RET VAR CONTROLE_Base" xfId="1726"/>
    <cellStyle name="_200801_Sumario Retenção AV - JAN_TENDÊNCIA RET VAR CONTROLE_D_Ret_Fixa_EMP" xfId="1727"/>
    <cellStyle name="_200801_Sumario Retenção AV - JAN_TENDÊNCIA RET VAR CONTROLE_D_Ret_Fixa_EMP_1" xfId="1728"/>
    <cellStyle name="_200801_Sumario Retenção AV - JAN_TENDÊNCIA RET VAR CONTROLE_D_Ret_Fixa_EMP_2" xfId="1729"/>
    <cellStyle name="_200801_Sumario Retenção AV - JAN_TENDÊNCIA RET VAR CONTROLE_D_Ret_Fixa_EMP_3" xfId="1730"/>
    <cellStyle name="_200801_Sumario Retenção AV - JAN_TENDÊNCIA RET VAR CONTROLE_D_Ret_Fixa_EMP_4" xfId="1731"/>
    <cellStyle name="_200801_Sumario Retenção AV - JAN_TENDÊNCIA RET VAR CONTROLE_D_Ret_Fixa_EMP_5" xfId="1732"/>
    <cellStyle name="_200801_Sumario Retenção AV - JAN_TENDÊNCIA RET VAR CONTROLE_D_Ret_Fixa_EMP_6" xfId="1733"/>
    <cellStyle name="_200801_Sumario Retenção AV - JAN_TENDÊNCIA RET VAR CONTROLE_D_Ret_Fixa_EMP_7" xfId="1734"/>
    <cellStyle name="_200801_Sumario Retenção AV - JAN_TENDÊNCIA RET VAR CONTROLE_D_Ret_Fixa_VAR" xfId="1735"/>
    <cellStyle name="_200801_Sumario Retenção AV - JAN_TENDÊNCIA RET VAR CONTROLE_D_Ret_Fixa_VAR_1" xfId="1736"/>
    <cellStyle name="_200801_Sumario Retenção AV - JAN_TENDÊNCIA RET VAR CONTROLE_D_Ret_Fixa_VAR_2" xfId="1737"/>
    <cellStyle name="_200801_Sumario Retenção AV - JAN_TENDÊNCIA RET VAR CONTROLE_D_Ret_Fixa_VAR_3" xfId="1738"/>
    <cellStyle name="_200801_Sumario Retenção AV - JAN_TENDÊNCIA RET VAR CONTROLE_D_Ret_Fixa_VAR_4" xfId="1739"/>
    <cellStyle name="_200801_Sumario Retenção AV - JAN_TENDÊNCIA RET VAR CONTROLE_D_Ret_Fixa_VAR_5" xfId="1740"/>
    <cellStyle name="_200801_Sumario Retenção AV - JAN_TENDÊNCIA RET VAR CONTROLE_D_Ret_Fixa_VAR_6" xfId="1741"/>
    <cellStyle name="_200801_Sumario Retenção AV - JAN_TENDÊNCIA RET VAR CONTROLE_D_Ret_Fixa_VAR_7" xfId="1742"/>
    <cellStyle name="_200801_Sumario Retenção AV - JAN_TENDÊNCIA RET VAR CONTROLE_Mig Ret 3G" xfId="1743"/>
    <cellStyle name="_200801_Sumario Retenção AV - JAN_TENDÊNCIA RET VAR CONTROLE_Mig Ret 3G_1" xfId="1744"/>
    <cellStyle name="_200801_Sumario Retenção AV - JAN_TENDÊNCIA RET VAR CONTROLE_Mig Ret 3G_2" xfId="1745"/>
    <cellStyle name="_200801_Sumario Retenção AV - JAN_TENDÊNCIA RET VAR CONTROLE_Mig Ret 3G_3" xfId="1746"/>
    <cellStyle name="_200801_Sumario Retenção AV - JAN_TENDÊNCIA RET VAR CONTROLE_Mig Ret 3G_4" xfId="1747"/>
    <cellStyle name="_200801_Sumario Retenção AV - JAN_TENDÊNCIA RET VAR CONTROLE_Mig Ret 3G_5" xfId="1748"/>
    <cellStyle name="_200801_Sumario Retenção AV - JAN_TENDÊNCIA RET VAR CONTROLE_Mig Ret 3G_6" xfId="1749"/>
    <cellStyle name="_200801_Sumario Retenção AV - JAN_TENDÊNCIA RET VAR CONTROLE_Movel" xfId="1750"/>
    <cellStyle name="_200801_Sumario Retenção AV - JAN_TENDÊNCIA RET VAR CONTROLE_Movel_1" xfId="1751"/>
    <cellStyle name="_200801_Sumario Retenção AV - JAN_TENDÊNCIA RET VAR CONTROLE_Movel_2" xfId="1752"/>
    <cellStyle name="_200801_Sumario Retenção AV - JAN_TENDÊNCIA RET VAR CONTROLE_Movel_3" xfId="1753"/>
    <cellStyle name="_200801_Sumario Retenção AV - JAN_TENDÊNCIA RET VAR CONTROLE_Movel_4" xfId="1754"/>
    <cellStyle name="_200801_Sumario Retenção AV - JAN_TENDÊNCIA RET VAR CONTROLE_Movel_5" xfId="1755"/>
    <cellStyle name="_200801_Sumario Retenção AV - JAN_TENDÊNCIA RET VAR CONTROLE_Movel_6" xfId="1756"/>
    <cellStyle name="_200801_Sumario Retenção AV - JAN_TENDÊNCIA RET VAR VOL" xfId="1757"/>
    <cellStyle name="_200801_Sumario Retenção AV - JAN_TENDÊNCIA RET VAR VOL 2" xfId="1758"/>
    <cellStyle name="_200801_Sumario Retenção AV - JAN_TENDÊNCIA RET VAR VOL_Base" xfId="1759"/>
    <cellStyle name="_200801_Sumario Retenção AV - JAN_TENDÊNCIA RET VAR VOL_D_Movel" xfId="1760"/>
    <cellStyle name="_200801_Sumario Retenção AV - JAN_TENDÊNCIA RET VAR VOL_D_Ret_Fixa_EMP" xfId="1761"/>
    <cellStyle name="_200801_Sumario Retenção AV - JAN_TENDÊNCIA RET VAR VOL_D_Ret_Fixa_EMP_1" xfId="1762"/>
    <cellStyle name="_200801_Sumario Retenção AV - JAN_TENDÊNCIA RET VAR VOL_D_Ret_Fixa_EMP_2" xfId="1763"/>
    <cellStyle name="_200801_Sumario Retenção AV - JAN_TENDÊNCIA RET VAR VOL_D_Ret_Fixa_EMP_3" xfId="1764"/>
    <cellStyle name="_200801_Sumario Retenção AV - JAN_TENDÊNCIA RET VAR VOL_D_Ret_Fixa_EMP_4" xfId="1765"/>
    <cellStyle name="_200801_Sumario Retenção AV - JAN_TENDÊNCIA RET VAR VOL_D_Ret_Fixa_EMP_5" xfId="1766"/>
    <cellStyle name="_200801_Sumario Retenção AV - JAN_TENDÊNCIA RET VAR VOL_D_Ret_Fixa_EMP_6" xfId="1767"/>
    <cellStyle name="_200801_Sumario Retenção AV - JAN_TENDÊNCIA RET VAR VOL_D_Ret_Fixa_EMP_7" xfId="1768"/>
    <cellStyle name="_200801_Sumario Retenção AV - JAN_TENDÊNCIA RET VAR VOL_D_Ret_Fixa_EMP_8" xfId="1769"/>
    <cellStyle name="_200801_Sumario Retenção AV - JAN_TENDÊNCIA RET VAR VOL_D_Ret_Fixa_VAR" xfId="1770"/>
    <cellStyle name="_200801_Sumario Retenção AV - JAN_TENDÊNCIA RET VAR VOL_D_Ret_Fixa_VAR_1" xfId="1771"/>
    <cellStyle name="_200801_Sumario Retenção AV - JAN_TENDÊNCIA RET VAR VOL_D_Ret_Fixa_VAR_2" xfId="1772"/>
    <cellStyle name="_200801_Sumario Retenção AV - JAN_TENDÊNCIA RET VAR VOL_D_Ret_Fixa_VAR_3" xfId="1773"/>
    <cellStyle name="_200801_Sumario Retenção AV - JAN_TENDÊNCIA RET VAR VOL_D_Ret_Fixa_VAR_4" xfId="1774"/>
    <cellStyle name="_200801_Sumario Retenção AV - JAN_TENDÊNCIA RET VAR VOL_D_Ret_Fixa_VAR_5" xfId="1775"/>
    <cellStyle name="_200801_Sumario Retenção AV - JAN_TENDÊNCIA RET VAR VOL_D_Ret_Fixa_VAR_6" xfId="1776"/>
    <cellStyle name="_200801_Sumario Retenção AV - JAN_TENDÊNCIA RET VAR VOL_D_Ret_Fixa_VAR_7" xfId="1777"/>
    <cellStyle name="_200801_Sumario Retenção AV - JAN_TENDÊNCIA RET VAR VOL_D_Ret_Fixa_VAR_8" xfId="1778"/>
    <cellStyle name="_200801_Sumario Retenção AV - JAN_TENDÊNCIA RET VAR VOL_Mig Ret 3G" xfId="1779"/>
    <cellStyle name="_200801_Sumario Retenção AV - JAN_TENDÊNCIA RET VAR VOL_Mig Ret 3G_1" xfId="1780"/>
    <cellStyle name="_200801_Sumario Retenção AV - JAN_TENDÊNCIA RET VAR VOL_Mig Ret 3G_2" xfId="1781"/>
    <cellStyle name="_200801_Sumario Retenção AV - JAN_TENDÊNCIA RET VAR VOL_Mig Ret 3G_3" xfId="1782"/>
    <cellStyle name="_200801_Sumario Retenção AV - JAN_TENDÊNCIA RET VAR VOL_Mig Ret 3G_4" xfId="1783"/>
    <cellStyle name="_200801_Sumario Retenção AV - JAN_TENDÊNCIA RET VAR VOL_Mig Ret 3G_5" xfId="1784"/>
    <cellStyle name="_200801_Sumario Retenção AV - JAN_TENDÊNCIA RET VAR VOL_Mig Ret 3G_6" xfId="1785"/>
    <cellStyle name="_200801_Sumario Retenção AV - JAN_TENDÊNCIA RET VAR VOL_Mig Ret 3G_7" xfId="1786"/>
    <cellStyle name="_200801_Sumario Retenção AV - JAN_TENDÊNCIA RET VAR VOL_Movel" xfId="1787"/>
    <cellStyle name="_200801_Sumario Retenção AV - JAN_TENDÊNCIA RET VAR VOL_Movel_1" xfId="1788"/>
    <cellStyle name="_200801_Sumario Retenção AV - JAN_TENDÊNCIA RET VAR VOL_Movel_2" xfId="1789"/>
    <cellStyle name="_200801_Sumario Retenção AV - JAN_TENDÊNCIA RET VAR VOL_Movel_3" xfId="1790"/>
    <cellStyle name="_200801_Sumario Retenção AV - JAN_TENDÊNCIA RET VAR VOL_Movel_4" xfId="1791"/>
    <cellStyle name="_200801_Sumario Retenção AV - JAN_TENDÊNCIA RET VAR VOL_Movel_5" xfId="1792"/>
    <cellStyle name="_200801_Sumario Retenção AV - JAN_TENDÊNCIA RET VAR VOL_Movel_6" xfId="1793"/>
    <cellStyle name="_200801_Sumario Retenção AV - JAN_TENDÊNCIA RET VAR VOL_Movel_7" xfId="1794"/>
    <cellStyle name="_200801_Sumario Retenção AV - JAN_TENDÊNCIA RET VAR VOL_Retirada" xfId="1795"/>
    <cellStyle name="_200801_Sumario Retenção AV - JAN_TENDÊNCIA RET VAR VOL_Retirada_Base" xfId="1796"/>
    <cellStyle name="_200801_Sumario Retenção AV - JAN_TENDÊNCIA RET VAR VOL_Retirada_D_Ret_Fixa_EMP" xfId="1797"/>
    <cellStyle name="_200801_Sumario Retenção AV - JAN_TENDÊNCIA RET VAR VOL_Retirada_D_Ret_Fixa_EMP_1" xfId="1798"/>
    <cellStyle name="_200801_Sumario Retenção AV - JAN_TENDÊNCIA RET VAR VOL_Retirada_D_Ret_Fixa_EMP_2" xfId="1799"/>
    <cellStyle name="_200801_Sumario Retenção AV - JAN_TENDÊNCIA RET VAR VOL_Retirada_D_Ret_Fixa_EMP_3" xfId="1800"/>
    <cellStyle name="_200801_Sumario Retenção AV - JAN_TENDÊNCIA RET VAR VOL_Retirada_D_Ret_Fixa_EMP_4" xfId="1801"/>
    <cellStyle name="_200801_Sumario Retenção AV - JAN_TENDÊNCIA RET VAR VOL_Retirada_D_Ret_Fixa_EMP_5" xfId="1802"/>
    <cellStyle name="_200801_Sumario Retenção AV - JAN_TENDÊNCIA RET VAR VOL_Retirada_D_Ret_Fixa_EMP_6" xfId="1803"/>
    <cellStyle name="_200801_Sumario Retenção AV - JAN_TENDÊNCIA RET VAR VOL_Retirada_D_Ret_Fixa_EMP_7" xfId="1804"/>
    <cellStyle name="_200801_Sumario Retenção AV - JAN_TENDÊNCIA RET VAR VOL_Retirada_D_Ret_Fixa_EMP_8" xfId="1805"/>
    <cellStyle name="_200801_Sumario Retenção AV - JAN_TENDÊNCIA RET VAR VOL_Retirada_D_Ret_Fixa_VAR" xfId="1806"/>
    <cellStyle name="_200801_Sumario Retenção AV - JAN_TENDÊNCIA RET VAR VOL_Retirada_D_Ret_Fixa_VAR_1" xfId="1807"/>
    <cellStyle name="_200801_Sumario Retenção AV - JAN_TENDÊNCIA RET VAR VOL_Retirada_D_Ret_Fixa_VAR_2" xfId="1808"/>
    <cellStyle name="_200801_Sumario Retenção AV - JAN_TENDÊNCIA RET VAR VOL_Retirada_D_Ret_Fixa_VAR_3" xfId="1809"/>
    <cellStyle name="_200801_Sumario Retenção AV - JAN_TENDÊNCIA RET VAR VOL_Retirada_D_Ret_Fixa_VAR_4" xfId="1810"/>
    <cellStyle name="_200801_Sumario Retenção AV - JAN_TENDÊNCIA RET VAR VOL_Retirada_D_Ret_Fixa_VAR_5" xfId="1811"/>
    <cellStyle name="_200801_Sumario Retenção AV - JAN_TENDÊNCIA RET VAR VOL_Retirada_D_Ret_Fixa_VAR_6" xfId="1812"/>
    <cellStyle name="_200801_Sumario Retenção AV - JAN_TENDÊNCIA RET VAR VOL_Retirada_D_Ret_Fixa_VAR_7" xfId="1813"/>
    <cellStyle name="_200801_Sumario Retenção AV - JAN_TENDÊNCIA RET VAR VOL_Retirada_D_Ret_Fixa_VAR_8" xfId="1814"/>
    <cellStyle name="_200801_Sumario Retenção AV - JAN_TENDÊNCIA RET VAR VOL_Retirada_Mig Ret 3G" xfId="1815"/>
    <cellStyle name="_200801_Sumario Retenção AV - JAN_TENDÊNCIA RET VAR VOL_Retirada_Mig Ret 3G_1" xfId="1816"/>
    <cellStyle name="_200801_Sumario Retenção AV - JAN_TENDÊNCIA RET VAR VOL_Retirada_Mig Ret 3G_2" xfId="1817"/>
    <cellStyle name="_200801_Sumario Retenção AV - JAN_TENDÊNCIA RET VAR VOL_Retirada_Mig Ret 3G_3" xfId="1818"/>
    <cellStyle name="_200801_Sumario Retenção AV - JAN_TENDÊNCIA RET VAR VOL_Retirada_Mig Ret 3G_4" xfId="1819"/>
    <cellStyle name="_200801_Sumario Retenção AV - JAN_TENDÊNCIA RET VAR VOL_Retirada_Mig Ret 3G_5" xfId="1820"/>
    <cellStyle name="_200801_Sumario Retenção AV - JAN_TENDÊNCIA RET VAR VOL_Retirada_Mig Ret 3G_6" xfId="1821"/>
    <cellStyle name="_200801_Sumario Retenção AV - JAN_TENDÊNCIA RET VAR VOL_Retirada_Movel" xfId="1822"/>
    <cellStyle name="_200801_Sumario Retenção AV - JAN_TENDÊNCIA RET VAR VOL_Retirada_Movel_1" xfId="1823"/>
    <cellStyle name="_200801_Sumario Retenção AV - JAN_TENDÊNCIA RET VAR VOL_Retirada_Movel_2" xfId="1824"/>
    <cellStyle name="_200801_Sumario Retenção AV - JAN_TENDÊNCIA RET VAR VOL_Retirada_Movel_3" xfId="1825"/>
    <cellStyle name="_200801_Sumario Retenção AV - JAN_TENDÊNCIA RET VAR VOL_Retirada_Movel_4" xfId="1826"/>
    <cellStyle name="_200801_Sumario Retenção AV - JAN_TENDÊNCIA RET VAR VOL_Retirada_Movel_5" xfId="1827"/>
    <cellStyle name="_200801_Sumario Retenção AV - JAN_TENDÊNCIA RET VAR VOL_Retirada_Movel_6" xfId="1828"/>
    <cellStyle name="_2010 1Q 091104" xfId="1829"/>
    <cellStyle name="_2010 1Q 091104 2" xfId="1830"/>
    <cellStyle name="_2010 1Q 091104 3" xfId="1831"/>
    <cellStyle name="_2010 1Q 091104 4" xfId="1832"/>
    <cellStyle name="_2010 1Q 091104 5" xfId="1833"/>
    <cellStyle name="_2010 1Q 091104 6" xfId="1834"/>
    <cellStyle name="_2010 1Q 091104 7" xfId="1835"/>
    <cellStyle name="_2010 1Q 091104 8" xfId="1836"/>
    <cellStyle name="_2010 1Q 091104 9" xfId="1837"/>
    <cellStyle name="_2월1차생판자료" xfId="1838"/>
    <cellStyle name="_2월1차생판자료 2" xfId="1839"/>
    <cellStyle name="_2월1차생판자료 3" xfId="1840"/>
    <cellStyle name="_2월1차생판자료 4" xfId="1841"/>
    <cellStyle name="_2월1차생판자료 5" xfId="1842"/>
    <cellStyle name="_2월1차생판자료 6" xfId="1843"/>
    <cellStyle name="_2월1차생판자료 7" xfId="1844"/>
    <cellStyle name="_2월1차생판자료 8" xfId="1845"/>
    <cellStyle name="_2월1차생판자료 9" xfId="1846"/>
    <cellStyle name="_2월1차생판자료_Claro Deal Q409" xfId="1847"/>
    <cellStyle name="_2월1차생판자료_Claro Deal Q409 final" xfId="1848"/>
    <cellStyle name="_2월1차생판자료_Claro Q309 final version" xfId="1849"/>
    <cellStyle name="_2월1차생판자료_Claro Q309 final version_Claro Deal Q409" xfId="1850"/>
    <cellStyle name="_2월1차생판자료_Claro Q309 final version_Claro Deal Q409 final" xfId="1851"/>
    <cellStyle name="_2월1차생판자료_GSM 0405월출시 신규자재list_080410" xfId="1852"/>
    <cellStyle name="_2월1차생판자료_GSM 0405월출시 신규자재list_080410 2" xfId="1853"/>
    <cellStyle name="_2월1차생판자료_GSM 0405월출시 신규자재list_080410 3" xfId="1854"/>
    <cellStyle name="_2월1차생판자료_GSM 0405월출시 신규자재list_080410 4" xfId="1855"/>
    <cellStyle name="_2월1차생판자료_GSM 0405월출시 신규자재list_080410 5" xfId="1856"/>
    <cellStyle name="_2월1차생판자료_GSM 0405월출시 신규자재list_080410 6" xfId="1857"/>
    <cellStyle name="_2월1차생판자료_GSM 0405월출시 신규자재list_080410 7" xfId="1858"/>
    <cellStyle name="_2월1차생판자료_GSM 0405월출시 신규자재list_080410 8" xfId="1859"/>
    <cellStyle name="_2월1차생판자료_GSM 0405월출시 신규자재list_080410 9" xfId="1860"/>
    <cellStyle name="_2월1차생판자료_GSM 0405월출시 신규자재list_080423" xfId="1861"/>
    <cellStyle name="_2월1차생판자료_GSM 0405월출시 신규자재list_080423 2" xfId="1862"/>
    <cellStyle name="_2월1차생판자료_GSM 0405월출시 신규자재list_080423 3" xfId="1863"/>
    <cellStyle name="_2월1차생판자료_GSM 0405월출시 신규자재list_080423 4" xfId="1864"/>
    <cellStyle name="_2월1차생판자료_GSM 0405월출시 신규자재list_080423 5" xfId="1865"/>
    <cellStyle name="_2월1차생판자료_GSM 0405월출시 신규자재list_080423 6" xfId="1866"/>
    <cellStyle name="_2월1차생판자료_GSM 0405월출시 신규자재list_080423 7" xfId="1867"/>
    <cellStyle name="_2월1차생판자료_GSM 0405월출시 신규자재list_080423 8" xfId="1868"/>
    <cellStyle name="_2월1차생판자료_GSM 0405월출시 신규자재list_080423 9" xfId="1869"/>
    <cellStyle name="_2월1차생판자료_GSM 0506월출시 신규자재list_080430" xfId="1870"/>
    <cellStyle name="_2월1차생판자료_GSM 0506월출시 신규자재list_080430 2" xfId="1871"/>
    <cellStyle name="_2월1차생판자료_GSM 0506월출시 신규자재list_080430 3" xfId="1872"/>
    <cellStyle name="_2월1차생판자료_GSM 0506월출시 신규자재list_080430 4" xfId="1873"/>
    <cellStyle name="_2월1차생판자료_GSM 0506월출시 신규자재list_080430 5" xfId="1874"/>
    <cellStyle name="_2월1차생판자료_GSM 0506월출시 신규자재list_080430 6" xfId="1875"/>
    <cellStyle name="_2월1차생판자료_GSM 0506월출시 신규자재list_080430 7" xfId="1876"/>
    <cellStyle name="_2월1차생판자료_GSM 0506월출시 신규자재list_080430 8" xfId="1877"/>
    <cellStyle name="_2월1차생판자료_GSM 0506월출시 신규자재list_080430 9" xfId="1878"/>
    <cellStyle name="_2월1차생판자료_Q3 Claro deal 07jul09" xfId="1879"/>
    <cellStyle name="_2월1차생판자료_Q3 Claro deal 07jul09_Claro Deal Q409" xfId="1880"/>
    <cellStyle name="_2월1차생판자료_Q3 Claro deal 07jul09_Claro Deal Q409 final" xfId="1881"/>
    <cellStyle name="_2월1차생판자료_Q3 Claro deal 15jul09" xfId="1882"/>
    <cellStyle name="_2월1차생판자료_Q3 Claro deal 15jul09_Claro Deal Q409" xfId="1883"/>
    <cellStyle name="_2월1차생판자료_Q3 Claro deal 15jul09_Claro Deal Q409 final" xfId="1884"/>
    <cellStyle name="_2월1차생판자료_Q3 Claro proposal_v2" xfId="1885"/>
    <cellStyle name="_2월1차생판자료_Q3 Claro proposal_v2_Claro Deal Q409" xfId="1886"/>
    <cellStyle name="_2월1차생판자료_Q3 Claro proposal_v2_Claro Deal Q409 final" xfId="1887"/>
    <cellStyle name="_2월1차생판자료_Q3 Claro Tabelas Precos" xfId="1888"/>
    <cellStyle name="_2월1차생판자료_Q3 Claro Tabelas Precos_Claro Deal Q409" xfId="1889"/>
    <cellStyle name="_2월1차생판자료_Q3 Claro Tabelas Precos_Claro Deal Q409 final" xfId="1890"/>
    <cellStyle name="_3.GVE실적분석-0220" xfId="1891"/>
    <cellStyle name="_3.GVE실적분석-0220_(확인) '06年 협력사 GVE_Master File_" xfId="1892"/>
    <cellStyle name="_3.GVE실적분석-0220_(확인) '06年 협력사 GVE_Master File__★ '07~'08年 GVE 과제 현황_080502" xfId="1893"/>
    <cellStyle name="_3.GVE실적분석-0220_(확인) '06年 협력사 GVE_Master File__★ '07年 GVE 과제 현황_080407" xfId="1894"/>
    <cellStyle name="_3.GVE실적분석-0220_06년과제(협력사+GBM)" xfId="1895"/>
    <cellStyle name="_3.GVE실적분석-0220_06년과제(협력사+GBM)_★ '07~'08年 GVE 과제 현황_080502" xfId="1896"/>
    <cellStyle name="_3.GVE실적분석-0220_06년과제(협력사+GBM)_★ '07年 GVE 과제 현황_080407" xfId="1897"/>
    <cellStyle name="_3.GVE실적분석-0220_06년과제_전체" xfId="1898"/>
    <cellStyle name="_3.GVE실적분석-0220_06년과제_전체_★ '07~'08年 GVE 과제 현황_080502" xfId="1899"/>
    <cellStyle name="_3.GVE실적분석-0220_06년과제_전체_★ '07年 GVE 과제 현황_080407" xfId="1900"/>
    <cellStyle name="_3.GVE실적분석-0220_'06年 협력사 GVE_Master File" xfId="1901"/>
    <cellStyle name="_3.GVE실적분석-0220_'06年 협력사 GVE_Master File_★ '07~'08年 GVE 과제 현황_080502" xfId="1902"/>
    <cellStyle name="_3.GVE실적분석-0220_'06年 협력사 GVE_Master File_★ '07年 GVE 과제 현황_080407" xfId="1903"/>
    <cellStyle name="_3.GVE실적분석-0220_'07年 추진과제 적용현황_080214(취합)" xfId="1904"/>
    <cellStyle name="_3.GVE실적분석-0220_'07年 추진과제 적용현황_080214(취합)_★ '07~'08年 GVE 과제 현황_080502" xfId="1905"/>
    <cellStyle name="_3.GVE실적분석-0220_'07年 추진과제 적용현황_080214(취합)_★ '07年 GVE 과제 현황_080407" xfId="1906"/>
    <cellStyle name="_3.GVE실적분석-0220_'07年 협력사 GVE 과제 LIST_20071029" xfId="1907"/>
    <cellStyle name="_3.GVE실적분석-0220_'07年 협력사 GVE 과제 LIST_20071029_★ '07~'08年 GVE 과제 현황_080502" xfId="1908"/>
    <cellStyle name="_3.GVE실적분석-0220_'07年 협력사 GVE 과제 LIST_20071029_★ '07年 GVE 과제 현황_080407" xfId="1909"/>
    <cellStyle name="_3.GVE실적분석-0220_'07年 협력사 GVE 과제 관리" xfId="1910"/>
    <cellStyle name="_3.GVE실적분석-0220_'07年 협력사 GVE 과제 관리_★ '07~'08年 GVE 과제 현황_080502" xfId="1911"/>
    <cellStyle name="_3.GVE실적분석-0220_'07年 협력사 GVE 과제 관리_★ '07年 GVE 과제 현황_080407" xfId="1912"/>
    <cellStyle name="_3.GVE실적분석-0220_'07年 협력사 GVE 과제 관리_20070712" xfId="1913"/>
    <cellStyle name="_3.GVE실적분석-0220_'07年 협력사 GVE 과제 관리_20070712_★ '07~'08年 GVE 과제 현황_080502" xfId="1914"/>
    <cellStyle name="_3.GVE실적분석-0220_'07年 협력사 GVE 과제 관리_20070712_★ '07年 GVE 과제 현황_080407" xfId="1915"/>
    <cellStyle name="_3.GVE실적분석-0220_'07年 협력사 GVE 과제 관리_20070723" xfId="1916"/>
    <cellStyle name="_3.GVE실적분석-0220_'07年 협력사 GVE 과제 관리_20070723_★ '07~'08年 GVE 과제 현황_080502" xfId="1917"/>
    <cellStyle name="_3.GVE실적분석-0220_'07年 협력사 GVE 과제 관리_20070723_★ '07年 GVE 과제 현황_080407" xfId="1918"/>
    <cellStyle name="_3.GVE실적분석-0220_'07年 협력사 GVE 과제 관리_20070821" xfId="1919"/>
    <cellStyle name="_3.GVE실적분석-0220_'07年 협력사 GVE 과제 관리_20070821_★ '07~'08年 GVE 과제 현황_080502" xfId="1920"/>
    <cellStyle name="_3.GVE실적분석-0220_'07年 협력사 GVE 과제 관리_20070821_★ '07年 GVE 과제 현황_080407" xfId="1921"/>
    <cellStyle name="_3.GVE실적분석-0220_'07年 협력사 GVE 과제 관리_20071017" xfId="1922"/>
    <cellStyle name="_3.GVE실적분석-0220_'07年 협력사 GVE 과제 관리_20071017_★ '07~'08年 GVE 과제 현황_080502" xfId="1923"/>
    <cellStyle name="_3.GVE실적분석-0220_'07年 협력사 GVE 과제 관리_20071017_★ '07年 GVE 과제 현황_080407" xfId="1924"/>
    <cellStyle name="_3.GVE실적분석-0220_'07年 협력사 GVE 과제 진행현황" xfId="1925"/>
    <cellStyle name="_3.GVE실적분석-0220_'07年 협력사 GVE 과제 진행현황_★ '07~'08年 GVE 과제 현황_080502" xfId="1926"/>
    <cellStyle name="_3.GVE실적분석-0220_'07年 협력사 GVE 과제 진행현황_★ '07年 GVE 과제 현황_080407" xfId="1927"/>
    <cellStyle name="_3.GVE실적분석-0220_GVE추진과제현황_Master(통합)" xfId="1928"/>
    <cellStyle name="_3.GVE실적분석-0220_GVE추진과제현황_Master(통합)_★ '07~'08年 GVE 과제 현황_080502" xfId="1929"/>
    <cellStyle name="_3.GVE실적분석-0220_GVE추진과제현황_Master(통합)_★ '07年 GVE 과제 현황_080407" xfId="1930"/>
    <cellStyle name="_3.GVE실적분석-0220_GVE추진과제현황_Master(통합)_41184" xfId="1931"/>
    <cellStyle name="_3.GVE실적분석-0220_GVE추진과제현황_Master(통합)_41184_★ '07~'08年 GVE 과제 현황_080502" xfId="1932"/>
    <cellStyle name="_3.GVE실적분석-0220_GVE추진과제현황_Master(통합)_41184_★ '07年 GVE 과제 현황_080407" xfId="1933"/>
    <cellStyle name="_50W_SHIPMENT" xfId="1934"/>
    <cellStyle name="_5월생산계획_0509" xfId="1935"/>
    <cellStyle name="_5월생산계획_0526" xfId="1936"/>
    <cellStyle name="_5월일별계획" xfId="1937"/>
    <cellStyle name="_5월일별계획 2" xfId="1938"/>
    <cellStyle name="_5월일별계획 3" xfId="1939"/>
    <cellStyle name="_5월일별계획 4" xfId="1940"/>
    <cellStyle name="_5월일별계획 5" xfId="1941"/>
    <cellStyle name="_5월일별계획 6" xfId="1942"/>
    <cellStyle name="_5월일별계획 7" xfId="1943"/>
    <cellStyle name="_5월일별계획 8" xfId="1944"/>
    <cellStyle name="_5월일별계획 9" xfId="1945"/>
    <cellStyle name="_5월일별계획(안)" xfId="1946"/>
    <cellStyle name="_5월일별계획_Claro Deal Q409" xfId="1947"/>
    <cellStyle name="_5월일별계획_Claro Deal Q409 final" xfId="1948"/>
    <cellStyle name="_5월일별계획_Claro Q309 final version" xfId="1949"/>
    <cellStyle name="_5월일별계획_Claro Q309 final version_Claro Deal Q409" xfId="1950"/>
    <cellStyle name="_5월일별계획_Claro Q309 final version_Claro Deal Q409 final" xfId="1951"/>
    <cellStyle name="_5월일별계획_GSM 0405월출시 신규자재list_080410" xfId="1952"/>
    <cellStyle name="_5월일별계획_GSM 0405월출시 신규자재list_080410 2" xfId="1953"/>
    <cellStyle name="_5월일별계획_GSM 0405월출시 신규자재list_080410 3" xfId="1954"/>
    <cellStyle name="_5월일별계획_GSM 0405월출시 신규자재list_080410 4" xfId="1955"/>
    <cellStyle name="_5월일별계획_GSM 0405월출시 신규자재list_080410 5" xfId="1956"/>
    <cellStyle name="_5월일별계획_GSM 0405월출시 신규자재list_080410 6" xfId="1957"/>
    <cellStyle name="_5월일별계획_GSM 0405월출시 신규자재list_080410 7" xfId="1958"/>
    <cellStyle name="_5월일별계획_GSM 0405월출시 신규자재list_080410 8" xfId="1959"/>
    <cellStyle name="_5월일별계획_GSM 0405월출시 신규자재list_080410 9" xfId="1960"/>
    <cellStyle name="_5월일별계획_GSM 0405월출시 신규자재list_080423" xfId="1961"/>
    <cellStyle name="_5월일별계획_GSM 0405월출시 신규자재list_080423 2" xfId="1962"/>
    <cellStyle name="_5월일별계획_GSM 0405월출시 신규자재list_080423 3" xfId="1963"/>
    <cellStyle name="_5월일별계획_GSM 0405월출시 신규자재list_080423 4" xfId="1964"/>
    <cellStyle name="_5월일별계획_GSM 0405월출시 신규자재list_080423 5" xfId="1965"/>
    <cellStyle name="_5월일별계획_GSM 0405월출시 신규자재list_080423 6" xfId="1966"/>
    <cellStyle name="_5월일별계획_GSM 0405월출시 신규자재list_080423 7" xfId="1967"/>
    <cellStyle name="_5월일별계획_GSM 0405월출시 신규자재list_080423 8" xfId="1968"/>
    <cellStyle name="_5월일별계획_GSM 0405월출시 신규자재list_080423 9" xfId="1969"/>
    <cellStyle name="_5월일별계획_GSM 0506월출시 신규자재list_080430" xfId="1970"/>
    <cellStyle name="_5월일별계획_GSM 0506월출시 신규자재list_080430 2" xfId="1971"/>
    <cellStyle name="_5월일별계획_GSM 0506월출시 신규자재list_080430 3" xfId="1972"/>
    <cellStyle name="_5월일별계획_GSM 0506월출시 신규자재list_080430 4" xfId="1973"/>
    <cellStyle name="_5월일별계획_GSM 0506월출시 신규자재list_080430 5" xfId="1974"/>
    <cellStyle name="_5월일별계획_GSM 0506월출시 신규자재list_080430 6" xfId="1975"/>
    <cellStyle name="_5월일별계획_GSM 0506월출시 신규자재list_080430 7" xfId="1976"/>
    <cellStyle name="_5월일별계획_GSM 0506월출시 신규자재list_080430 8" xfId="1977"/>
    <cellStyle name="_5월일별계획_GSM 0506월출시 신규자재list_080430 9" xfId="1978"/>
    <cellStyle name="_5월일별계획_Q3 Claro deal 07jul09" xfId="1979"/>
    <cellStyle name="_5월일별계획_Q3 Claro deal 07jul09_Claro Deal Q409" xfId="1980"/>
    <cellStyle name="_5월일별계획_Q3 Claro deal 07jul09_Claro Deal Q409 final" xfId="1981"/>
    <cellStyle name="_5월일별계획_Q3 Claro deal 15jul09" xfId="1982"/>
    <cellStyle name="_5월일별계획_Q3 Claro deal 15jul09_Claro Deal Q409" xfId="1983"/>
    <cellStyle name="_5월일별계획_Q3 Claro deal 15jul09_Claro Deal Q409 final" xfId="1984"/>
    <cellStyle name="_5월일별계획_Q3 Claro proposal_v2" xfId="1985"/>
    <cellStyle name="_5월일별계획_Q3 Claro proposal_v2_Claro Deal Q409" xfId="1986"/>
    <cellStyle name="_5월일별계획_Q3 Claro proposal_v2_Claro Deal Q409 final" xfId="1987"/>
    <cellStyle name="_5월일별계획_Q3 Claro Tabelas Precos" xfId="1988"/>
    <cellStyle name="_5월일별계획_Q3 Claro Tabelas Precos_Claro Deal Q409" xfId="1989"/>
    <cellStyle name="_5월일별계획_Q3 Claro Tabelas Precos_Claro Deal Q409 final" xfId="1990"/>
    <cellStyle name="_678실행신모델문의PM_법인(0516)" xfId="1991"/>
    <cellStyle name="_99서식류" xfId="1992"/>
    <cellStyle name="_99서식류_1" xfId="1993"/>
    <cellStyle name="_99서식류_2" xfId="1994"/>
    <cellStyle name="_99서식류_3" xfId="1995"/>
    <cellStyle name="_Acceptance of conditions" xfId="1996"/>
    <cellStyle name="_Análise Inventário x Plano Vivo Q409 W40" xfId="1997"/>
    <cellStyle name="_Análise Inventário x Plano Vivo Q409 W41" xfId="1998"/>
    <cellStyle name="_Arno(GT-C3110)" xfId="1999"/>
    <cellStyle name="_Arno(GT-C3110) 2" xfId="2000"/>
    <cellStyle name="_Arno(GT-C3110) 3" xfId="2001"/>
    <cellStyle name="_Arno(GT-C3110) 4" xfId="2002"/>
    <cellStyle name="_Arno(GT-C3110) 5" xfId="2003"/>
    <cellStyle name="_Arno(GT-C3110) 6" xfId="2004"/>
    <cellStyle name="_Arno(GT-C3110) 7" xfId="2005"/>
    <cellStyle name="_Arno(GT-C3110) 8" xfId="2006"/>
    <cellStyle name="_Arno(GT-C3110) 9" xfId="2007"/>
    <cellStyle name="_Até_19_06_2009" xfId="2008"/>
    <cellStyle name="_Avila(GT-S3310)" xfId="2009"/>
    <cellStyle name="_Avila(GT-S3310) 2" xfId="2010"/>
    <cellStyle name="_Avila(GT-S3310) 3" xfId="2011"/>
    <cellStyle name="_Avila(GT-S3310) 4" xfId="2012"/>
    <cellStyle name="_Avila(GT-S3310) 5" xfId="2013"/>
    <cellStyle name="_Avila(GT-S3310) 6" xfId="2014"/>
    <cellStyle name="_Avila(GT-S3310) 7" xfId="2015"/>
    <cellStyle name="_Avila(GT-S3310) 8" xfId="2016"/>
    <cellStyle name="_Avila(GT-S3310) 9" xfId="2017"/>
    <cellStyle name="_Avila(GT-S3310)_Claro Deal Q409" xfId="2018"/>
    <cellStyle name="_Avila(GT-S3310)_Claro Deal Q409 final" xfId="2019"/>
    <cellStyle name="_Avila(GT-S3310)_Claro Q309 final version" xfId="2020"/>
    <cellStyle name="_Avila(GT-S3310)_Claro Q309 final version_Claro Deal Q409" xfId="2021"/>
    <cellStyle name="_Avila(GT-S3310)_Claro Q309 final version_Claro Deal Q409 final" xfId="2022"/>
    <cellStyle name="_Avila(GT-S3310)_Q3 Claro deal 07jul09" xfId="2023"/>
    <cellStyle name="_Avila(GT-S3310)_Q3 Claro deal 07jul09_Claro Deal Q409" xfId="2024"/>
    <cellStyle name="_Avila(GT-S3310)_Q3 Claro deal 07jul09_Claro Deal Q409 final" xfId="2025"/>
    <cellStyle name="_Avila(GT-S3310)_Q3 Claro deal 15jul09" xfId="2026"/>
    <cellStyle name="_Avila(GT-S3310)_Q3 Claro deal 15jul09_Claro Deal Q409" xfId="2027"/>
    <cellStyle name="_Avila(GT-S3310)_Q3 Claro deal 15jul09_Claro Deal Q409 final" xfId="2028"/>
    <cellStyle name="_Avila(GT-S3310)_Q3 Claro proposal_v2" xfId="2029"/>
    <cellStyle name="_Avila(GT-S3310)_Q3 Claro proposal_v2_Claro Deal Q409" xfId="2030"/>
    <cellStyle name="_Avila(GT-S3310)_Q3 Claro proposal_v2_Claro Deal Q409 final" xfId="2031"/>
    <cellStyle name="_Avila(GT-S3310)_Q3 Claro Tabelas Precos" xfId="2032"/>
    <cellStyle name="_Avila(GT-S3310)_Q3 Claro Tabelas Precos_Claro Deal Q409" xfId="2033"/>
    <cellStyle name="_Avila(GT-S3310)_Q3 Claro Tabelas Precos_Claro Deal Q409 final" xfId="2034"/>
    <cellStyle name="_Base" xfId="7"/>
    <cellStyle name="_Base 2" xfId="2035"/>
    <cellStyle name="_Base Input Driver Retenção Premium" xfId="2036"/>
    <cellStyle name="_Base_Oi_Fixo" xfId="2037"/>
    <cellStyle name="_Base_Oi_Fixo 2" xfId="2038"/>
    <cellStyle name="_Base_Oi_Fixo_Base" xfId="2039"/>
    <cellStyle name="_Base_Oi_Fixo_D_Movel" xfId="2040"/>
    <cellStyle name="_Base_Oi_Fixo_D_Ret_Fixa_EMP" xfId="2041"/>
    <cellStyle name="_Base_Oi_Fixo_D_Ret_Fixa_EMP_1" xfId="2042"/>
    <cellStyle name="_Base_Oi_Fixo_D_Ret_Fixa_EMP_2" xfId="2043"/>
    <cellStyle name="_Base_Oi_Fixo_D_Ret_Fixa_EMP_3" xfId="2044"/>
    <cellStyle name="_Base_Oi_Fixo_D_Ret_Fixa_EMP_4" xfId="2045"/>
    <cellStyle name="_Base_Oi_Fixo_D_Ret_Fixa_EMP_5" xfId="2046"/>
    <cellStyle name="_Base_Oi_Fixo_D_Ret_Fixa_EMP_6" xfId="2047"/>
    <cellStyle name="_Base_Oi_Fixo_D_Ret_Fixa_EMP_7" xfId="2048"/>
    <cellStyle name="_Base_Oi_Fixo_D_Ret_Fixa_EMP_8" xfId="2049"/>
    <cellStyle name="_Base_Oi_Fixo_D_Ret_Fixa_VAR" xfId="2050"/>
    <cellStyle name="_Base_Oi_Fixo_D_Ret_Fixa_VAR_1" xfId="2051"/>
    <cellStyle name="_Base_Oi_Fixo_D_Ret_Fixa_VAR_2" xfId="2052"/>
    <cellStyle name="_Base_Oi_Fixo_D_Ret_Fixa_VAR_3" xfId="2053"/>
    <cellStyle name="_Base_Oi_Fixo_D_Ret_Fixa_VAR_4" xfId="2054"/>
    <cellStyle name="_Base_Oi_Fixo_D_Ret_Fixa_VAR_5" xfId="2055"/>
    <cellStyle name="_Base_Oi_Fixo_D_Ret_Fixa_VAR_6" xfId="2056"/>
    <cellStyle name="_Base_Oi_Fixo_D_Ret_Fixa_VAR_7" xfId="2057"/>
    <cellStyle name="_Base_Oi_Fixo_D_Ret_Fixa_VAR_8" xfId="2058"/>
    <cellStyle name="_Base_Oi_Fixo_Mig Ret 3G" xfId="2059"/>
    <cellStyle name="_Base_Oi_Fixo_Mig Ret 3G_1" xfId="2060"/>
    <cellStyle name="_Base_Oi_Fixo_Mig Ret 3G_2" xfId="2061"/>
    <cellStyle name="_Base_Oi_Fixo_Mig Ret 3G_3" xfId="2062"/>
    <cellStyle name="_Base_Oi_Fixo_Mig Ret 3G_4" xfId="2063"/>
    <cellStyle name="_Base_Oi_Fixo_Mig Ret 3G_5" xfId="2064"/>
    <cellStyle name="_Base_Oi_Fixo_Mig Ret 3G_6" xfId="2065"/>
    <cellStyle name="_Base_Oi_Fixo_Mig Ret 3G_7" xfId="2066"/>
    <cellStyle name="_Base_Oi_Fixo_Movel" xfId="2067"/>
    <cellStyle name="_Base_Oi_Fixo_Movel_1" xfId="2068"/>
    <cellStyle name="_Base_Oi_Fixo_Movel_2" xfId="2069"/>
    <cellStyle name="_Base_Oi_Fixo_Movel_3" xfId="2070"/>
    <cellStyle name="_Base_Oi_Fixo_Movel_4" xfId="2071"/>
    <cellStyle name="_Base_Oi_Fixo_Movel_5" xfId="2072"/>
    <cellStyle name="_Base_Oi_Fixo_Movel_6" xfId="2073"/>
    <cellStyle name="_Base_Oi_Fixo_Movel_7" xfId="2074"/>
    <cellStyle name="_Base_Oi_Fixo_Retenção" xfId="2075"/>
    <cellStyle name="_Base_Web" xfId="2076"/>
    <cellStyle name="_Base_Web 2" xfId="2077"/>
    <cellStyle name="_Base_Web SD" xfId="2078"/>
    <cellStyle name="_Base_Web SD_Base" xfId="2079"/>
    <cellStyle name="_Base_Web SD_D_Ret_Fixa_EMP" xfId="2080"/>
    <cellStyle name="_Base_Web SD_D_Ret_Fixa_VAR" xfId="2081"/>
    <cellStyle name="_Base_Web SD_Mig Ret 3G" xfId="2082"/>
    <cellStyle name="_Base_Web SD_Movel" xfId="2083"/>
    <cellStyle name="_Base_Web_1" xfId="2084"/>
    <cellStyle name="_Base_Web_1_Base" xfId="2085"/>
    <cellStyle name="_Base_Web_1_D_Ret_Fixa_EMP" xfId="2086"/>
    <cellStyle name="_Base_Web_1_D_Ret_Fixa_VAR" xfId="2087"/>
    <cellStyle name="_Base_Web_1_Mig Ret 3G" xfId="2088"/>
    <cellStyle name="_Base_Web_1_Movel" xfId="2089"/>
    <cellStyle name="_Base_Web_Base" xfId="2090"/>
    <cellStyle name="_Base_Web_D_Movel" xfId="2091"/>
    <cellStyle name="_Base_Web_D_Ret_Fixa_EMP" xfId="2092"/>
    <cellStyle name="_Base_Web_D_Ret_Fixa_EMP_1" xfId="2093"/>
    <cellStyle name="_Base_Web_D_Ret_Fixa_EMP_2" xfId="2094"/>
    <cellStyle name="_Base_Web_D_Ret_Fixa_EMP_3" xfId="2095"/>
    <cellStyle name="_Base_Web_D_Ret_Fixa_EMP_4" xfId="2096"/>
    <cellStyle name="_Base_Web_D_Ret_Fixa_EMP_5" xfId="2097"/>
    <cellStyle name="_Base_Web_D_Ret_Fixa_EMP_6" xfId="2098"/>
    <cellStyle name="_Base_Web_D_Ret_Fixa_EMP_7" xfId="2099"/>
    <cellStyle name="_Base_Web_D_Ret_Fixa_EMP_8" xfId="2100"/>
    <cellStyle name="_Base_Web_D_Ret_Fixa_VAR" xfId="2101"/>
    <cellStyle name="_Base_Web_D_Ret_Fixa_VAR_1" xfId="2102"/>
    <cellStyle name="_Base_Web_D_Ret_Fixa_VAR_2" xfId="2103"/>
    <cellStyle name="_Base_Web_D_Ret_Fixa_VAR_3" xfId="2104"/>
    <cellStyle name="_Base_Web_D_Ret_Fixa_VAR_4" xfId="2105"/>
    <cellStyle name="_Base_Web_D_Ret_Fixa_VAR_5" xfId="2106"/>
    <cellStyle name="_Base_Web_D_Ret_Fixa_VAR_6" xfId="2107"/>
    <cellStyle name="_Base_Web_D_Ret_Fixa_VAR_7" xfId="2108"/>
    <cellStyle name="_Base_Web_D_Ret_Fixa_VAR_8" xfId="2109"/>
    <cellStyle name="_Base_Web_Mig Ret 3G" xfId="2110"/>
    <cellStyle name="_Base_Web_Mig Ret 3G_1" xfId="2111"/>
    <cellStyle name="_Base_Web_Mig Ret 3G_2" xfId="2112"/>
    <cellStyle name="_Base_Web_Mig Ret 3G_3" xfId="2113"/>
    <cellStyle name="_Base_Web_Mig Ret 3G_4" xfId="2114"/>
    <cellStyle name="_Base_Web_Mig Ret 3G_5" xfId="2115"/>
    <cellStyle name="_Base_Web_Mig Ret 3G_6" xfId="2116"/>
    <cellStyle name="_Base_Web_Mig Ret 3G_7" xfId="2117"/>
    <cellStyle name="_Base_Web_Movel" xfId="2118"/>
    <cellStyle name="_Base_Web_Movel_1" xfId="2119"/>
    <cellStyle name="_Base_Web_Movel_2" xfId="2120"/>
    <cellStyle name="_Base_Web_Movel_3" xfId="2121"/>
    <cellStyle name="_Base_Web_Movel_4" xfId="2122"/>
    <cellStyle name="_Base_Web_Movel_5" xfId="2123"/>
    <cellStyle name="_Base_Web_Movel_6" xfId="2124"/>
    <cellStyle name="_Base_Web_Movel_7" xfId="2125"/>
    <cellStyle name="_Base_Web_Retenção" xfId="2126"/>
    <cellStyle name="_BD RECARGA" xfId="2127"/>
    <cellStyle name="_BD RECARGA_Base_PJ_e _PF" xfId="2128"/>
    <cellStyle name="_BD RECARGA_Cancelamento_de_OS_16_Dez" xfId="2129"/>
    <cellStyle name="_BD RECARGA_Fixo_Consolidado" xfId="2130"/>
    <cellStyle name="_BD RECARGA_VENDAS VAREJO R1,R2,R3_15_01_10" xfId="2131"/>
    <cellStyle name="_BD RECARGA_VENDAS VAREJO RECARGA R1,R2,R3_COM FORMULAS" xfId="2132"/>
    <cellStyle name="_BD RECARGA_VENDAS VAREJO_20091126" xfId="2133"/>
    <cellStyle name="_BD RECARGA_VENDAS VAREJO_20091130" xfId="2134"/>
    <cellStyle name="_BD RECARGA_VENDAS VAREJO_20100127" xfId="2135"/>
    <cellStyle name="_Bom Dia Retenção MG 0801" xfId="2136"/>
    <cellStyle name="_Bom Dia Retenção MG 0801_Arvore OCT" xfId="2137"/>
    <cellStyle name="_Bom Dia Retenção MG 0801_Arvore OCT_BD Resumo diário Painel de Televendas Abril 2011" xfId="2138"/>
    <cellStyle name="_Bom Dia Retenção MG 0801_Arvore OCT_BD Resumo diário Painel de Televendas Janeiro 2011" xfId="2139"/>
    <cellStyle name="_Bom Dia Retenção MG 0801_Arvore OCT_BD Resumo diário Painel de Televendas Setembro 2010_BASE_UNICA" xfId="2140"/>
    <cellStyle name="_Bom Dia Retenção MG 0801_Arvore OCT_Painel de Retenção Junho 2011" xfId="2141"/>
    <cellStyle name="_Bom Dia Retenção MG 0801_Arvore OCT_Pasta1" xfId="2142"/>
    <cellStyle name="_Bom Dia Retenção MG 0801_Arvore OCT_Plan1" xfId="2143"/>
    <cellStyle name="_Bom Dia Retenção MG 0801_Arvore OCT_Plan2" xfId="2144"/>
    <cellStyle name="_Bom Dia Retenção MG 0801_Arvore OCT_Retenção" xfId="2145"/>
    <cellStyle name="_Bom Dia Retenção MG 0801_Arvore OCT_Retenção Painel" xfId="2146"/>
    <cellStyle name="_Bom Dia Retenção MG 0801_Arvore OCT_Televendas Painel" xfId="2147"/>
    <cellStyle name="_Bom Dia Retenção MG 0801_Arvore OCT_Televendas Painel_ant" xfId="2148"/>
    <cellStyle name="_Bom Dia Retenção MG 0801_Base Input Driver Retenção Premium" xfId="2149"/>
    <cellStyle name="_Bom Dia Retenção MG 0801_Base Input Driver Retenção Premium_BD Resumo diário Painel de Televendas Abril 2011" xfId="2150"/>
    <cellStyle name="_Bom Dia Retenção MG 0801_Base Input Driver Retenção Premium_BD Resumo diário Painel de Televendas Janeiro 2011" xfId="2151"/>
    <cellStyle name="_Bom Dia Retenção MG 0801_Base Input Driver Retenção Premium_BD Resumo diário Painel de Televendas Setembro 2010_BASE_UNICA" xfId="2152"/>
    <cellStyle name="_Bom Dia Retenção MG 0801_Base Input Driver Retenção Premium_Painel de Retenção Junho 2011" xfId="2153"/>
    <cellStyle name="_Bom Dia Retenção MG 0801_Base Input Driver Retenção Premium_Pasta1" xfId="2154"/>
    <cellStyle name="_Bom Dia Retenção MG 0801_Base Input Driver Retenção Premium_Plan1" xfId="2155"/>
    <cellStyle name="_Bom Dia Retenção MG 0801_Base Input Driver Retenção Premium_Plan2" xfId="2156"/>
    <cellStyle name="_Bom Dia Retenção MG 0801_Base Input Driver Retenção Premium_Retenção" xfId="2157"/>
    <cellStyle name="_Bom Dia Retenção MG 0801_Base Input Driver Retenção Premium_Retenção Painel" xfId="2158"/>
    <cellStyle name="_Bom Dia Retenção MG 0801_Base Input Driver Retenção Premium_Televendas Painel" xfId="2159"/>
    <cellStyle name="_Bom Dia Retenção MG 0801_Base Input Driver Retenção Premium_Televendas Painel_ant" xfId="2160"/>
    <cellStyle name="_Bom Dia Retenção MG 0801_BD Resumo diário Painel de Televendas Abril 2011" xfId="2161"/>
    <cellStyle name="_Bom Dia Retenção MG 0801_BD Resumo diário Painel de Televendas Janeiro 2011" xfId="2162"/>
    <cellStyle name="_Bom Dia Retenção MG 0801_BD Resumo diário Painel de Televendas Setembro 2010_BASE_UNICA" xfId="2163"/>
    <cellStyle name="_Bom Dia Retenção MG 0801_COMPARAÇÃO 2008 X 2009" xfId="2164"/>
    <cellStyle name="_Bom Dia Retenção MG 0801_COMPARAÇÃO 2008 X 2009_BD Resumo diário Painel de Televendas Abril 2011" xfId="2165"/>
    <cellStyle name="_Bom Dia Retenção MG 0801_COMPARAÇÃO 2008 X 2009_BD Resumo diário Painel de Televendas Janeiro 2011" xfId="2166"/>
    <cellStyle name="_Bom Dia Retenção MG 0801_COMPARAÇÃO 2008 X 2009_BD Resumo diário Painel de Televendas Setembro 2010_BASE_UNICA" xfId="2167"/>
    <cellStyle name="_Bom Dia Retenção MG 0801_COMPARAÇÃO 2008 X 2009_Painel de Retenção Junho 2011" xfId="2168"/>
    <cellStyle name="_Bom Dia Retenção MG 0801_COMPARAÇÃO 2008 X 2009_Pasta1" xfId="2169"/>
    <cellStyle name="_Bom Dia Retenção MG 0801_COMPARAÇÃO 2008 X 2009_Plan1" xfId="2170"/>
    <cellStyle name="_Bom Dia Retenção MG 0801_COMPARAÇÃO 2008 X 2009_Plan2" xfId="2171"/>
    <cellStyle name="_Bom Dia Retenção MG 0801_COMPARAÇÃO 2008 X 2009_Retenção" xfId="2172"/>
    <cellStyle name="_Bom Dia Retenção MG 0801_COMPARAÇÃO 2008 X 2009_Retenção Painel" xfId="2173"/>
    <cellStyle name="_Bom Dia Retenção MG 0801_COMPARAÇÃO 2008 X 2009_Televendas Painel" xfId="2174"/>
    <cellStyle name="_Bom Dia Retenção MG 0801_COMPARAÇÃO 2008 X 2009_Televendas Painel_ant" xfId="2175"/>
    <cellStyle name="_Bom Dia Retenção MG 0801_CUSTOS TLV AV - 2008" xfId="2176"/>
    <cellStyle name="_Bom Dia Retenção MG 0801_CUSTOS TLV AV - 2008_BD Resumo diário Painel de Televendas Abril 2011" xfId="2177"/>
    <cellStyle name="_Bom Dia Retenção MG 0801_CUSTOS TLV AV - 2008_BD Resumo diário Painel de Televendas Janeiro 2011" xfId="2178"/>
    <cellStyle name="_Bom Dia Retenção MG 0801_CUSTOS TLV AV - 2008_BD Resumo diário Painel de Televendas Setembro 2010_BASE_UNICA" xfId="2179"/>
    <cellStyle name="_Bom Dia Retenção MG 0801_CUSTOS TLV AV - 2008_Painel de Retenção Junho 2011" xfId="2180"/>
    <cellStyle name="_Bom Dia Retenção MG 0801_CUSTOS TLV AV - 2008_Pasta1" xfId="2181"/>
    <cellStyle name="_Bom Dia Retenção MG 0801_CUSTOS TLV AV - 2008_Plan1" xfId="2182"/>
    <cellStyle name="_Bom Dia Retenção MG 0801_CUSTOS TLV AV - 2008_Plan2" xfId="2183"/>
    <cellStyle name="_Bom Dia Retenção MG 0801_CUSTOS TLV AV - 2008_Retenção" xfId="2184"/>
    <cellStyle name="_Bom Dia Retenção MG 0801_CUSTOS TLV AV - 2008_Retenção Painel" xfId="2185"/>
    <cellStyle name="_Bom Dia Retenção MG 0801_CUSTOS TLV AV - 2008_Televendas Painel" xfId="2186"/>
    <cellStyle name="_Bom Dia Retenção MG 0801_CUSTOS TLV AV - 2008_Televendas Painel_ant" xfId="2187"/>
    <cellStyle name="_Bom Dia Retenção MG 0801_Faturamento TLV_Varejo_Ago 16-07 a 15-08-09 - V4 - Validação Cliente" xfId="2188"/>
    <cellStyle name="_Bom Dia Retenção MG 0801_Faturamento TLV_Varejo_Ago 16-07 a 15-08-09 - V4 - Validação Cliente_BD Resumo diário Painel de Televendas Abril 2011" xfId="2189"/>
    <cellStyle name="_Bom Dia Retenção MG 0801_Faturamento TLV_Varejo_Ago 16-07 a 15-08-09 - V4 - Validação Cliente_BD Resumo diário Painel de Televendas Janeiro 2011" xfId="2190"/>
    <cellStyle name="_Bom Dia Retenção MG 0801_Faturamento TLV_Varejo_Ago 16-07 a 15-08-09 - V4 - Validação Cliente_BD Resumo diário Painel de Televendas Setembro 2010_BASE_UNICA" xfId="2191"/>
    <cellStyle name="_Bom Dia Retenção MG 0801_Faturamento TLV_Varejo_Ago 16-07 a 15-08-09 - V4 - Validação Cliente_Painel de Retenção Junho 2011" xfId="2192"/>
    <cellStyle name="_Bom Dia Retenção MG 0801_Faturamento TLV_Varejo_Ago 16-07 a 15-08-09 - V4 - Validação Cliente_Pasta1" xfId="2193"/>
    <cellStyle name="_Bom Dia Retenção MG 0801_Faturamento TLV_Varejo_Ago 16-07 a 15-08-09 - V4 - Validação Cliente_Plan1" xfId="2194"/>
    <cellStyle name="_Bom Dia Retenção MG 0801_Faturamento TLV_Varejo_Ago 16-07 a 15-08-09 - V4 - Validação Cliente_Plan2" xfId="2195"/>
    <cellStyle name="_Bom Dia Retenção MG 0801_Faturamento TLV_Varejo_Ago 16-07 a 15-08-09 - V4 - Validação Cliente_Retenção" xfId="2196"/>
    <cellStyle name="_Bom Dia Retenção MG 0801_Faturamento TLV_Varejo_Ago 16-07 a 15-08-09 - V4 - Validação Cliente_Retenção Painel" xfId="2197"/>
    <cellStyle name="_Bom Dia Retenção MG 0801_Faturamento TLV_Varejo_Ago 16-07 a 15-08-09 - V4 - Validação Cliente_Televendas Painel" xfId="2198"/>
    <cellStyle name="_Bom Dia Retenção MG 0801_Faturamento TLV_Varejo_Ago 16-07 a 15-08-09 - V4 - Validação Cliente_Televendas Painel_ant" xfId="2199"/>
    <cellStyle name="_Bom Dia Retenção MG 0801_Faturamento TLV_Varejo_Jun 16-05 a 15-06-09 - M3 - Validação Cliente_v2" xfId="2200"/>
    <cellStyle name="_Bom Dia Retenção MG 0801_Faturamento TLV_Varejo_Jun 16-05 a 15-06-09 - M3 - Validação Cliente_v2_BD Resumo diário Painel de Televendas Abril 2011" xfId="2201"/>
    <cellStyle name="_Bom Dia Retenção MG 0801_Faturamento TLV_Varejo_Jun 16-05 a 15-06-09 - M3 - Validação Cliente_v2_BD Resumo diário Painel de Televendas Janeiro 2011" xfId="2202"/>
    <cellStyle name="_Bom Dia Retenção MG 0801_Faturamento TLV_Varejo_Jun 16-05 a 15-06-09 - M3 - Validação Cliente_v2_BD Resumo diário Painel de Televendas Setembro 2010_BASE_UNICA" xfId="2203"/>
    <cellStyle name="_Bom Dia Retenção MG 0801_Faturamento TLV_Varejo_Jun 16-05 a 15-06-09 - M3 - Validação Cliente_v2_Painel de Retenção Junho 2011" xfId="2204"/>
    <cellStyle name="_Bom Dia Retenção MG 0801_Faturamento TLV_Varejo_Jun 16-05 a 15-06-09 - M3 - Validação Cliente_v2_Pasta1" xfId="2205"/>
    <cellStyle name="_Bom Dia Retenção MG 0801_Faturamento TLV_Varejo_Jun 16-05 a 15-06-09 - M3 - Validação Cliente_v2_Plan1" xfId="2206"/>
    <cellStyle name="_Bom Dia Retenção MG 0801_Faturamento TLV_Varejo_Jun 16-05 a 15-06-09 - M3 - Validação Cliente_v2_Plan2" xfId="2207"/>
    <cellStyle name="_Bom Dia Retenção MG 0801_Faturamento TLV_Varejo_Jun 16-05 a 15-06-09 - M3 - Validação Cliente_v2_Retenção" xfId="2208"/>
    <cellStyle name="_Bom Dia Retenção MG 0801_Faturamento TLV_Varejo_Jun 16-05 a 15-06-09 - M3 - Validação Cliente_v2_Retenção Painel" xfId="2209"/>
    <cellStyle name="_Bom Dia Retenção MG 0801_Faturamento TLV_Varejo_Jun 16-05 a 15-06-09 - M3 - Validação Cliente_v2_Televendas Painel" xfId="2210"/>
    <cellStyle name="_Bom Dia Retenção MG 0801_Faturamento TLV_Varejo_Jun 16-05 a 15-06-09 - M3 - Validação Cliente_v2_Televendas Painel_ant" xfId="2211"/>
    <cellStyle name="_Bom Dia Retenção MG 0801_Faturamento TLV_Varejo_Mai 16-04 a 15-05-09 - M3 - Validação Cliente_V2" xfId="2212"/>
    <cellStyle name="_Bom Dia Retenção MG 0801_Faturamento TLV_Varejo_Mai 16-04 a 15-05-09 - M3 - Validação Cliente_V2_BD Resumo diário Painel de Televendas Abril 2011" xfId="2213"/>
    <cellStyle name="_Bom Dia Retenção MG 0801_Faturamento TLV_Varejo_Mai 16-04 a 15-05-09 - M3 - Validação Cliente_V2_BD Resumo diário Painel de Televendas Janeiro 2011" xfId="2214"/>
    <cellStyle name="_Bom Dia Retenção MG 0801_Faturamento TLV_Varejo_Mai 16-04 a 15-05-09 - M3 - Validação Cliente_V2_BD Resumo diário Painel de Televendas Setembro 2010_BASE_UNICA" xfId="2215"/>
    <cellStyle name="_Bom Dia Retenção MG 0801_Faturamento TLV_Varejo_Mai 16-04 a 15-05-09 - M3 - Validação Cliente_V2_Painel de Retenção Junho 2011" xfId="2216"/>
    <cellStyle name="_Bom Dia Retenção MG 0801_Faturamento TLV_Varejo_Mai 16-04 a 15-05-09 - M3 - Validação Cliente_V2_Pasta1" xfId="2217"/>
    <cellStyle name="_Bom Dia Retenção MG 0801_Faturamento TLV_Varejo_Mai 16-04 a 15-05-09 - M3 - Validação Cliente_V2_Plan1" xfId="2218"/>
    <cellStyle name="_Bom Dia Retenção MG 0801_Faturamento TLV_Varejo_Mai 16-04 a 15-05-09 - M3 - Validação Cliente_V2_Plan2" xfId="2219"/>
    <cellStyle name="_Bom Dia Retenção MG 0801_Faturamento TLV_Varejo_Mai 16-04 a 15-05-09 - M3 - Validação Cliente_V2_Retenção" xfId="2220"/>
    <cellStyle name="_Bom Dia Retenção MG 0801_Faturamento TLV_Varejo_Mai 16-04 a 15-05-09 - M3 - Validação Cliente_V2_Retenção Painel" xfId="2221"/>
    <cellStyle name="_Bom Dia Retenção MG 0801_Faturamento TLV_Varejo_Mai 16-04 a 15-05-09 - M3 - Validação Cliente_V2_Televendas Painel" xfId="2222"/>
    <cellStyle name="_Bom Dia Retenção MG 0801_Faturamento TLV_Varejo_Mai 16-04 a 15-05-09 - M3 - Validação Cliente_V2_Televendas Painel_ant" xfId="2223"/>
    <cellStyle name="_Bom Dia Retenção MG 0801_Indicadores TLV 2008 (ORÇ 2009) V3" xfId="2224"/>
    <cellStyle name="_Bom Dia Retenção MG 0801_Indicadores TLV 2008 (ORÇ 2009) V3_BD Resumo diário Painel de Televendas Abril 2011" xfId="2225"/>
    <cellStyle name="_Bom Dia Retenção MG 0801_Indicadores TLV 2008 (ORÇ 2009) V3_BD Resumo diário Painel de Televendas Janeiro 2011" xfId="2226"/>
    <cellStyle name="_Bom Dia Retenção MG 0801_Indicadores TLV 2008 (ORÇ 2009) V3_BD Resumo diário Painel de Televendas Setembro 2010_BASE_UNICA" xfId="2227"/>
    <cellStyle name="_Bom Dia Retenção MG 0801_Indicadores TLV 2008 (ORÇ 2009) V3_Painel de Retenção Junho 2011" xfId="2228"/>
    <cellStyle name="_Bom Dia Retenção MG 0801_Indicadores TLV 2008 (ORÇ 2009) V3_Pasta1" xfId="2229"/>
    <cellStyle name="_Bom Dia Retenção MG 0801_Indicadores TLV 2008 (ORÇ 2009) V3_Plan1" xfId="2230"/>
    <cellStyle name="_Bom Dia Retenção MG 0801_Indicadores TLV 2008 (ORÇ 2009) V3_Plan2" xfId="2231"/>
    <cellStyle name="_Bom Dia Retenção MG 0801_Indicadores TLV 2008 (ORÇ 2009) V3_Retenção" xfId="2232"/>
    <cellStyle name="_Bom Dia Retenção MG 0801_Indicadores TLV 2008 (ORÇ 2009) V3_Retenção Painel" xfId="2233"/>
    <cellStyle name="_Bom Dia Retenção MG 0801_Indicadores TLV 2008 (ORÇ 2009) V3_Televendas Painel" xfId="2234"/>
    <cellStyle name="_Bom Dia Retenção MG 0801_Indicadores TLV 2008 (ORÇ 2009) V3_Televendas Painel_ant" xfId="2235"/>
    <cellStyle name="_Bom Dia Retenção MG 0801_Indicadores TLV AV 2009 (ORÇADO)" xfId="2236"/>
    <cellStyle name="_Bom Dia Retenção MG 0801_Indicadores TLV AV 2009 (ORÇADO)_BD Resumo diário Painel de Televendas Abril 2011" xfId="2237"/>
    <cellStyle name="_Bom Dia Retenção MG 0801_Indicadores TLV AV 2009 (ORÇADO)_BD Resumo diário Painel de Televendas Janeiro 2011" xfId="2238"/>
    <cellStyle name="_Bom Dia Retenção MG 0801_Indicadores TLV AV 2009 (ORÇADO)_BD Resumo diário Painel de Televendas Setembro 2010_BASE_UNICA" xfId="2239"/>
    <cellStyle name="_Bom Dia Retenção MG 0801_Indicadores TLV AV 2009 (ORÇADO)_Painel de Retenção Junho 2011" xfId="2240"/>
    <cellStyle name="_Bom Dia Retenção MG 0801_Indicadores TLV AV 2009 (ORÇADO)_Pasta1" xfId="2241"/>
    <cellStyle name="_Bom Dia Retenção MG 0801_Indicadores TLV AV 2009 (ORÇADO)_Plan1" xfId="2242"/>
    <cellStyle name="_Bom Dia Retenção MG 0801_Indicadores TLV AV 2009 (ORÇADO)_Plan2" xfId="2243"/>
    <cellStyle name="_Bom Dia Retenção MG 0801_Indicadores TLV AV 2009 (ORÇADO)_Retenção" xfId="2244"/>
    <cellStyle name="_Bom Dia Retenção MG 0801_Indicadores TLV AV 2009 (ORÇADO)_Retenção Painel" xfId="2245"/>
    <cellStyle name="_Bom Dia Retenção MG 0801_Indicadores TLV AV 2009 (ORÇADO)_Televendas Painel" xfId="2246"/>
    <cellStyle name="_Bom Dia Retenção MG 0801_Indicadores TLV AV 2009 (ORÇADO)_Televendas Painel_ant" xfId="2247"/>
    <cellStyle name="_Bom Dia Retenção MG 0801_Painel de Retenção Junho 2011" xfId="2248"/>
    <cellStyle name="_Bom Dia Retenção MG 0801_Pasta1" xfId="2249"/>
    <cellStyle name="_Bom Dia Retenção MG 0801_Plan1" xfId="2250"/>
    <cellStyle name="_Bom Dia Retenção MG 0801_Plan2" xfId="2251"/>
    <cellStyle name="_Bom Dia Retenção MG 0801_RET AV 22_02_2008" xfId="2252"/>
    <cellStyle name="_Bom Dia Retenção MG 0801_RET AV 22_02_2008_BD Resumo diário Painel de Televendas Abril 2011" xfId="2253"/>
    <cellStyle name="_Bom Dia Retenção MG 0801_RET AV 22_02_2008_BD Resumo diário Painel de Televendas Janeiro 2011" xfId="2254"/>
    <cellStyle name="_Bom Dia Retenção MG 0801_RET AV 22_02_2008_BD Resumo diário Painel de Televendas Setembro 2010_BASE_UNICA" xfId="2255"/>
    <cellStyle name="_Bom Dia Retenção MG 0801_RET AV 22_02_2008_Faturamento TLV_Varejo_Ago 16-07 a 15-08-09 - V4 - Validação Cliente" xfId="2256"/>
    <cellStyle name="_Bom Dia Retenção MG 0801_RET AV 22_02_2008_Faturamento TLV_Varejo_Ago 16-07 a 15-08-09 - V4 - Validação Cliente_BD Resumo diário Painel de Televendas Abril 2011" xfId="2257"/>
    <cellStyle name="_Bom Dia Retenção MG 0801_RET AV 22_02_2008_Faturamento TLV_Varejo_Ago 16-07 a 15-08-09 - V4 - Validação Cliente_BD Resumo diário Painel de Televendas Janeiro 2011" xfId="2258"/>
    <cellStyle name="_Bom Dia Retenção MG 0801_RET AV 22_02_2008_Faturamento TLV_Varejo_Ago 16-07 a 15-08-09 - V4 - Validação Cliente_BD Resumo diário Painel de Televendas Setembro 2010_BASE_UNICA" xfId="2259"/>
    <cellStyle name="_Bom Dia Retenção MG 0801_RET AV 22_02_2008_Faturamento TLV_Varejo_Ago 16-07 a 15-08-09 - V4 - Validação Cliente_Painel de Retenção Junho 2011" xfId="2260"/>
    <cellStyle name="_Bom Dia Retenção MG 0801_RET AV 22_02_2008_Faturamento TLV_Varejo_Ago 16-07 a 15-08-09 - V4 - Validação Cliente_Pasta1" xfId="2261"/>
    <cellStyle name="_Bom Dia Retenção MG 0801_RET AV 22_02_2008_Faturamento TLV_Varejo_Ago 16-07 a 15-08-09 - V4 - Validação Cliente_Plan1" xfId="2262"/>
    <cellStyle name="_Bom Dia Retenção MG 0801_RET AV 22_02_2008_Faturamento TLV_Varejo_Ago 16-07 a 15-08-09 - V4 - Validação Cliente_Plan2" xfId="2263"/>
    <cellStyle name="_Bom Dia Retenção MG 0801_RET AV 22_02_2008_Faturamento TLV_Varejo_Ago 16-07 a 15-08-09 - V4 - Validação Cliente_Retenção" xfId="2264"/>
    <cellStyle name="_Bom Dia Retenção MG 0801_RET AV 22_02_2008_Faturamento TLV_Varejo_Ago 16-07 a 15-08-09 - V4 - Validação Cliente_Retenção Painel" xfId="2265"/>
    <cellStyle name="_Bom Dia Retenção MG 0801_RET AV 22_02_2008_Faturamento TLV_Varejo_Ago 16-07 a 15-08-09 - V4 - Validação Cliente_Televendas Painel" xfId="2266"/>
    <cellStyle name="_Bom Dia Retenção MG 0801_RET AV 22_02_2008_Faturamento TLV_Varejo_Ago 16-07 a 15-08-09 - V4 - Validação Cliente_Televendas Painel_ant" xfId="2267"/>
    <cellStyle name="_Bom Dia Retenção MG 0801_RET AV 22_02_2008_Painel de Retenção Junho 2011" xfId="2268"/>
    <cellStyle name="_Bom Dia Retenção MG 0801_RET AV 22_02_2008_Pasta1" xfId="2269"/>
    <cellStyle name="_Bom Dia Retenção MG 0801_RET AV 22_02_2008_Plan1" xfId="2270"/>
    <cellStyle name="_Bom Dia Retenção MG 0801_RET AV 22_02_2008_Plan2" xfId="2271"/>
    <cellStyle name="_Bom Dia Retenção MG 0801_RET AV 22_02_2008_Retenção" xfId="2272"/>
    <cellStyle name="_Bom Dia Retenção MG 0801_RET AV 22_02_2008_Retenção Painel" xfId="2273"/>
    <cellStyle name="_Bom Dia Retenção MG 0801_RET AV 22_02_2008_Televendas Painel" xfId="2274"/>
    <cellStyle name="_Bom Dia Retenção MG 0801_RET AV 22_02_2008_Televendas Painel_ant" xfId="2275"/>
    <cellStyle name="_Bom Dia Retenção MG 0801_RET AV 22_02_2008_TENDÊNCIA RET VAR CONTROLE" xfId="2276"/>
    <cellStyle name="_Bom Dia Retenção MG 0801_RET AV 22_02_2008_TENDÊNCIA RET VAR CONTROLE_Base" xfId="2277"/>
    <cellStyle name="_Bom Dia Retenção MG 0801_RET AV 22_02_2008_TENDÊNCIA RET VAR CONTROLE_D_Ret_Fixa_EMP" xfId="2278"/>
    <cellStyle name="_Bom Dia Retenção MG 0801_RET AV 22_02_2008_TENDÊNCIA RET VAR CONTROLE_D_Ret_Fixa_EMP_1" xfId="2279"/>
    <cellStyle name="_Bom Dia Retenção MG 0801_RET AV 22_02_2008_TENDÊNCIA RET VAR CONTROLE_D_Ret_Fixa_EMP_2" xfId="2280"/>
    <cellStyle name="_Bom Dia Retenção MG 0801_RET AV 22_02_2008_TENDÊNCIA RET VAR CONTROLE_D_Ret_Fixa_EMP_3" xfId="2281"/>
    <cellStyle name="_Bom Dia Retenção MG 0801_RET AV 22_02_2008_TENDÊNCIA RET VAR CONTROLE_D_Ret_Fixa_EMP_4" xfId="2282"/>
    <cellStyle name="_Bom Dia Retenção MG 0801_RET AV 22_02_2008_TENDÊNCIA RET VAR CONTROLE_D_Ret_Fixa_EMP_5" xfId="2283"/>
    <cellStyle name="_Bom Dia Retenção MG 0801_RET AV 22_02_2008_TENDÊNCIA RET VAR CONTROLE_D_Ret_Fixa_EMP_6" xfId="2284"/>
    <cellStyle name="_Bom Dia Retenção MG 0801_RET AV 22_02_2008_TENDÊNCIA RET VAR CONTROLE_D_Ret_Fixa_EMP_7" xfId="2285"/>
    <cellStyle name="_Bom Dia Retenção MG 0801_RET AV 22_02_2008_TENDÊNCIA RET VAR CONTROLE_D_Ret_Fixa_EMP_8" xfId="2286"/>
    <cellStyle name="_Bom Dia Retenção MG 0801_RET AV 22_02_2008_TENDÊNCIA RET VAR CONTROLE_D_Ret_Fixa_VAR" xfId="2287"/>
    <cellStyle name="_Bom Dia Retenção MG 0801_RET AV 22_02_2008_TENDÊNCIA RET VAR CONTROLE_D_Ret_Fixa_VAR_1" xfId="2288"/>
    <cellStyle name="_Bom Dia Retenção MG 0801_RET AV 22_02_2008_TENDÊNCIA RET VAR CONTROLE_D_Ret_Fixa_VAR_2" xfId="2289"/>
    <cellStyle name="_Bom Dia Retenção MG 0801_RET AV 22_02_2008_TENDÊNCIA RET VAR CONTROLE_D_Ret_Fixa_VAR_3" xfId="2290"/>
    <cellStyle name="_Bom Dia Retenção MG 0801_RET AV 22_02_2008_TENDÊNCIA RET VAR CONTROLE_D_Ret_Fixa_VAR_4" xfId="2291"/>
    <cellStyle name="_Bom Dia Retenção MG 0801_RET AV 22_02_2008_TENDÊNCIA RET VAR CONTROLE_D_Ret_Fixa_VAR_5" xfId="2292"/>
    <cellStyle name="_Bom Dia Retenção MG 0801_RET AV 22_02_2008_TENDÊNCIA RET VAR CONTROLE_D_Ret_Fixa_VAR_6" xfId="2293"/>
    <cellStyle name="_Bom Dia Retenção MG 0801_RET AV 22_02_2008_TENDÊNCIA RET VAR CONTROLE_D_Ret_Fixa_VAR_7" xfId="2294"/>
    <cellStyle name="_Bom Dia Retenção MG 0801_RET AV 22_02_2008_TENDÊNCIA RET VAR CONTROLE_D_Ret_Fixa_VAR_8" xfId="2295"/>
    <cellStyle name="_Bom Dia Retenção MG 0801_RET AV 22_02_2008_TENDÊNCIA RET VAR CONTROLE_Mig Ret 3G" xfId="2296"/>
    <cellStyle name="_Bom Dia Retenção MG 0801_RET AV 22_02_2008_TENDÊNCIA RET VAR CONTROLE_Mig Ret 3G_1" xfId="2297"/>
    <cellStyle name="_Bom Dia Retenção MG 0801_RET AV 22_02_2008_TENDÊNCIA RET VAR CONTROLE_Mig Ret 3G_2" xfId="2298"/>
    <cellStyle name="_Bom Dia Retenção MG 0801_RET AV 22_02_2008_TENDÊNCIA RET VAR CONTROLE_Mig Ret 3G_3" xfId="2299"/>
    <cellStyle name="_Bom Dia Retenção MG 0801_RET AV 22_02_2008_TENDÊNCIA RET VAR CONTROLE_Mig Ret 3G_4" xfId="2300"/>
    <cellStyle name="_Bom Dia Retenção MG 0801_RET AV 22_02_2008_TENDÊNCIA RET VAR CONTROLE_Mig Ret 3G_5" xfId="2301"/>
    <cellStyle name="_Bom Dia Retenção MG 0801_RET AV 22_02_2008_TENDÊNCIA RET VAR CONTROLE_Mig Ret 3G_6" xfId="2302"/>
    <cellStyle name="_Bom Dia Retenção MG 0801_RET AV 22_02_2008_TENDÊNCIA RET VAR CONTROLE_Mig Ret 3G_7" xfId="2303"/>
    <cellStyle name="_Bom Dia Retenção MG 0801_RET AV 22_02_2008_TENDÊNCIA RET VAR CONTROLE_Movel" xfId="2304"/>
    <cellStyle name="_Bom Dia Retenção MG 0801_RET AV 22_02_2008_TENDÊNCIA RET VAR CONTROLE_Movel_1" xfId="2305"/>
    <cellStyle name="_Bom Dia Retenção MG 0801_RET AV 22_02_2008_TENDÊNCIA RET VAR CONTROLE_Movel_2" xfId="2306"/>
    <cellStyle name="_Bom Dia Retenção MG 0801_RET AV 22_02_2008_TENDÊNCIA RET VAR CONTROLE_Movel_3" xfId="2307"/>
    <cellStyle name="_Bom Dia Retenção MG 0801_RET AV 22_02_2008_TENDÊNCIA RET VAR CONTROLE_Movel_4" xfId="2308"/>
    <cellStyle name="_Bom Dia Retenção MG 0801_RET AV 22_02_2008_TENDÊNCIA RET VAR CONTROLE_Movel_5" xfId="2309"/>
    <cellStyle name="_Bom Dia Retenção MG 0801_RET AV 22_02_2008_TENDÊNCIA RET VAR CONTROLE_Movel_6" xfId="2310"/>
    <cellStyle name="_Bom Dia Retenção MG 0801_RET AV 22_02_2008_TENDÊNCIA RET VAR CONTROLE_Movel_7" xfId="2311"/>
    <cellStyle name="_Bom Dia Retenção MG 0801_RET AV 22_02_2008_TENDÊNCIA RET VAR CONTROLE_Retenção" xfId="2312"/>
    <cellStyle name="_Bom Dia Retenção MG 0801_RET AV 22_02_2008_TENDÊNCIA RET VAR VOL" xfId="2313"/>
    <cellStyle name="_Bom Dia Retenção MG 0801_RET AV 22_02_2008_TENDÊNCIA RET VAR VOL 2" xfId="2314"/>
    <cellStyle name="_Bom Dia Retenção MG 0801_RET AV 22_02_2008_TENDÊNCIA RET VAR VOL_Base" xfId="2315"/>
    <cellStyle name="_Bom Dia Retenção MG 0801_RET AV 22_02_2008_TENDÊNCIA RET VAR VOL_D_Movel" xfId="2316"/>
    <cellStyle name="_Bom Dia Retenção MG 0801_RET AV 22_02_2008_TENDÊNCIA RET VAR VOL_D_Ret_Fixa_EMP" xfId="2317"/>
    <cellStyle name="_Bom Dia Retenção MG 0801_RET AV 22_02_2008_TENDÊNCIA RET VAR VOL_D_Ret_Fixa_EMP_1" xfId="2318"/>
    <cellStyle name="_Bom Dia Retenção MG 0801_RET AV 22_02_2008_TENDÊNCIA RET VAR VOL_D_Ret_Fixa_EMP_2" xfId="2319"/>
    <cellStyle name="_Bom Dia Retenção MG 0801_RET AV 22_02_2008_TENDÊNCIA RET VAR VOL_D_Ret_Fixa_EMP_3" xfId="2320"/>
    <cellStyle name="_Bom Dia Retenção MG 0801_RET AV 22_02_2008_TENDÊNCIA RET VAR VOL_D_Ret_Fixa_EMP_4" xfId="2321"/>
    <cellStyle name="_Bom Dia Retenção MG 0801_RET AV 22_02_2008_TENDÊNCIA RET VAR VOL_D_Ret_Fixa_EMP_5" xfId="2322"/>
    <cellStyle name="_Bom Dia Retenção MG 0801_RET AV 22_02_2008_TENDÊNCIA RET VAR VOL_D_Ret_Fixa_EMP_6" xfId="2323"/>
    <cellStyle name="_Bom Dia Retenção MG 0801_RET AV 22_02_2008_TENDÊNCIA RET VAR VOL_D_Ret_Fixa_EMP_7" xfId="2324"/>
    <cellStyle name="_Bom Dia Retenção MG 0801_RET AV 22_02_2008_TENDÊNCIA RET VAR VOL_D_Ret_Fixa_EMP_8" xfId="2325"/>
    <cellStyle name="_Bom Dia Retenção MG 0801_RET AV 22_02_2008_TENDÊNCIA RET VAR VOL_D_Ret_Fixa_VAR" xfId="2326"/>
    <cellStyle name="_Bom Dia Retenção MG 0801_RET AV 22_02_2008_TENDÊNCIA RET VAR VOL_D_Ret_Fixa_VAR_1" xfId="2327"/>
    <cellStyle name="_Bom Dia Retenção MG 0801_RET AV 22_02_2008_TENDÊNCIA RET VAR VOL_D_Ret_Fixa_VAR_2" xfId="2328"/>
    <cellStyle name="_Bom Dia Retenção MG 0801_RET AV 22_02_2008_TENDÊNCIA RET VAR VOL_D_Ret_Fixa_VAR_3" xfId="2329"/>
    <cellStyle name="_Bom Dia Retenção MG 0801_RET AV 22_02_2008_TENDÊNCIA RET VAR VOL_D_Ret_Fixa_VAR_4" xfId="2330"/>
    <cellStyle name="_Bom Dia Retenção MG 0801_RET AV 22_02_2008_TENDÊNCIA RET VAR VOL_D_Ret_Fixa_VAR_5" xfId="2331"/>
    <cellStyle name="_Bom Dia Retenção MG 0801_RET AV 22_02_2008_TENDÊNCIA RET VAR VOL_D_Ret_Fixa_VAR_6" xfId="2332"/>
    <cellStyle name="_Bom Dia Retenção MG 0801_RET AV 22_02_2008_TENDÊNCIA RET VAR VOL_D_Ret_Fixa_VAR_7" xfId="2333"/>
    <cellStyle name="_Bom Dia Retenção MG 0801_RET AV 22_02_2008_TENDÊNCIA RET VAR VOL_D_Ret_Fixa_VAR_8" xfId="2334"/>
    <cellStyle name="_Bom Dia Retenção MG 0801_RET AV 22_02_2008_TENDÊNCIA RET VAR VOL_Mig Ret 3G" xfId="2335"/>
    <cellStyle name="_Bom Dia Retenção MG 0801_RET AV 22_02_2008_TENDÊNCIA RET VAR VOL_Mig Ret 3G_1" xfId="2336"/>
    <cellStyle name="_Bom Dia Retenção MG 0801_RET AV 22_02_2008_TENDÊNCIA RET VAR VOL_Mig Ret 3G_2" xfId="2337"/>
    <cellStyle name="_Bom Dia Retenção MG 0801_RET AV 22_02_2008_TENDÊNCIA RET VAR VOL_Mig Ret 3G_3" xfId="2338"/>
    <cellStyle name="_Bom Dia Retenção MG 0801_RET AV 22_02_2008_TENDÊNCIA RET VAR VOL_Mig Ret 3G_4" xfId="2339"/>
    <cellStyle name="_Bom Dia Retenção MG 0801_RET AV 22_02_2008_TENDÊNCIA RET VAR VOL_Mig Ret 3G_5" xfId="2340"/>
    <cellStyle name="_Bom Dia Retenção MG 0801_RET AV 22_02_2008_TENDÊNCIA RET VAR VOL_Mig Ret 3G_6" xfId="2341"/>
    <cellStyle name="_Bom Dia Retenção MG 0801_RET AV 22_02_2008_TENDÊNCIA RET VAR VOL_Mig Ret 3G_7" xfId="2342"/>
    <cellStyle name="_Bom Dia Retenção MG 0801_RET AV 22_02_2008_TENDÊNCIA RET VAR VOL_Movel" xfId="2343"/>
    <cellStyle name="_Bom Dia Retenção MG 0801_RET AV 22_02_2008_TENDÊNCIA RET VAR VOL_Movel_1" xfId="2344"/>
    <cellStyle name="_Bom Dia Retenção MG 0801_RET AV 22_02_2008_TENDÊNCIA RET VAR VOL_Movel_2" xfId="2345"/>
    <cellStyle name="_Bom Dia Retenção MG 0801_RET AV 22_02_2008_TENDÊNCIA RET VAR VOL_Movel_3" xfId="2346"/>
    <cellStyle name="_Bom Dia Retenção MG 0801_RET AV 22_02_2008_TENDÊNCIA RET VAR VOL_Movel_4" xfId="2347"/>
    <cellStyle name="_Bom Dia Retenção MG 0801_RET AV 22_02_2008_TENDÊNCIA RET VAR VOL_Movel_5" xfId="2348"/>
    <cellStyle name="_Bom Dia Retenção MG 0801_RET AV 22_02_2008_TENDÊNCIA RET VAR VOL_Movel_6" xfId="2349"/>
    <cellStyle name="_Bom Dia Retenção MG 0801_RET AV 22_02_2008_TENDÊNCIA RET VAR VOL_Movel_7" xfId="2350"/>
    <cellStyle name="_Bom Dia Retenção MG 0801_RET AV 22_02_2008_TENDÊNCIA RET VAR VOL_Retenção" xfId="2351"/>
    <cellStyle name="_Bom Dia Retenção MG 0801_Retenção" xfId="2352"/>
    <cellStyle name="_Bom Dia Retenção MG 0801_Retenção Painel" xfId="2353"/>
    <cellStyle name="_Bom Dia Retenção MG 0801_Sumário Executivo TLV Empresarial_Fev09" xfId="2354"/>
    <cellStyle name="_Bom Dia Retenção MG 0801_Sumário Executivo TLV Empresarial_Fev09_BD Resumo diário Painel de Televendas Abril 2011" xfId="2355"/>
    <cellStyle name="_Bom Dia Retenção MG 0801_Sumário Executivo TLV Empresarial_Fev09_BD Resumo diário Painel de Televendas Janeiro 2011" xfId="2356"/>
    <cellStyle name="_Bom Dia Retenção MG 0801_Sumário Executivo TLV Empresarial_Fev09_BD Resumo diário Painel de Televendas Setembro 2010_BASE_UNICA" xfId="2357"/>
    <cellStyle name="_Bom Dia Retenção MG 0801_Sumário Executivo TLV Empresarial_Fev09_Faturamento TLV_Varejo_Ago 16-07 a 15-08-09 - V4 - Validação Cliente" xfId="2358"/>
    <cellStyle name="_Bom Dia Retenção MG 0801_Sumário Executivo TLV Empresarial_Fev09_Faturamento TLV_Varejo_Ago 16-07 a 15-08-09 - V4 - Validação Cliente_BD Resumo diário Painel de Televendas Abril 2011" xfId="2359"/>
    <cellStyle name="_Bom Dia Retenção MG 0801_Sumário Executivo TLV Empresarial_Fev09_Faturamento TLV_Varejo_Ago 16-07 a 15-08-09 - V4 - Validação Cliente_BD Resumo diário Painel de Televendas Janeiro 2011" xfId="2360"/>
    <cellStyle name="_Bom Dia Retenção MG 0801_Sumário Executivo TLV Empresarial_Fev09_Faturamento TLV_Varejo_Ago 16-07 a 15-08-09 - V4 - Validação Cliente_BD Resumo diário Painel de Televendas Setembro 2010_BASE_UNICA" xfId="2361"/>
    <cellStyle name="_Bom Dia Retenção MG 0801_Sumário Executivo TLV Empresarial_Fev09_Faturamento TLV_Varejo_Ago 16-07 a 15-08-09 - V4 - Validação Cliente_Painel de Retenção Junho 2011" xfId="2362"/>
    <cellStyle name="_Bom Dia Retenção MG 0801_Sumário Executivo TLV Empresarial_Fev09_Faturamento TLV_Varejo_Ago 16-07 a 15-08-09 - V4 - Validação Cliente_Pasta1" xfId="2363"/>
    <cellStyle name="_Bom Dia Retenção MG 0801_Sumário Executivo TLV Empresarial_Fev09_Faturamento TLV_Varejo_Ago 16-07 a 15-08-09 - V4 - Validação Cliente_Plan1" xfId="2364"/>
    <cellStyle name="_Bom Dia Retenção MG 0801_Sumário Executivo TLV Empresarial_Fev09_Faturamento TLV_Varejo_Ago 16-07 a 15-08-09 - V4 - Validação Cliente_Plan2" xfId="2365"/>
    <cellStyle name="_Bom Dia Retenção MG 0801_Sumário Executivo TLV Empresarial_Fev09_Faturamento TLV_Varejo_Ago 16-07 a 15-08-09 - V4 - Validação Cliente_Retenção" xfId="2366"/>
    <cellStyle name="_Bom Dia Retenção MG 0801_Sumário Executivo TLV Empresarial_Fev09_Faturamento TLV_Varejo_Ago 16-07 a 15-08-09 - V4 - Validação Cliente_Retenção Painel" xfId="2367"/>
    <cellStyle name="_Bom Dia Retenção MG 0801_Sumário Executivo TLV Empresarial_Fev09_Faturamento TLV_Varejo_Ago 16-07 a 15-08-09 - V4 - Validação Cliente_Televendas Painel" xfId="2368"/>
    <cellStyle name="_Bom Dia Retenção MG 0801_Sumário Executivo TLV Empresarial_Fev09_Faturamento TLV_Varejo_Ago 16-07 a 15-08-09 - V4 - Validação Cliente_Televendas Painel_ant" xfId="2369"/>
    <cellStyle name="_Bom Dia Retenção MG 0801_Sumário Executivo TLV Empresarial_Fev09_Painel de Retenção Junho 2011" xfId="2370"/>
    <cellStyle name="_Bom Dia Retenção MG 0801_Sumário Executivo TLV Empresarial_Fev09_Pasta1" xfId="2371"/>
    <cellStyle name="_Bom Dia Retenção MG 0801_Sumário Executivo TLV Empresarial_Fev09_Plan1" xfId="2372"/>
    <cellStyle name="_Bom Dia Retenção MG 0801_Sumário Executivo TLV Empresarial_Fev09_Plan2" xfId="2373"/>
    <cellStyle name="_Bom Dia Retenção MG 0801_Sumário Executivo TLV Empresarial_Fev09_Retenção" xfId="2374"/>
    <cellStyle name="_Bom Dia Retenção MG 0801_Sumário Executivo TLV Empresarial_Fev09_Retenção Painel" xfId="2375"/>
    <cellStyle name="_Bom Dia Retenção MG 0801_Sumário Executivo TLV Empresarial_Fev09_Televendas Painel" xfId="2376"/>
    <cellStyle name="_Bom Dia Retenção MG 0801_Sumário Executivo TLV Empresarial_Fev09_Televendas Painel_ant" xfId="2377"/>
    <cellStyle name="_Bom Dia Retenção MG 0801_Televendas Painel" xfId="2378"/>
    <cellStyle name="_Bom Dia Retenção MG 0801_Televendas Painel_ant" xfId="2379"/>
    <cellStyle name="_Bom Dia Retenção MG 0801_TENDÊNCIA RET VAR CONTROLE" xfId="2380"/>
    <cellStyle name="_Bom Dia Retenção MG 0801_TENDÊNCIA RET VAR CONTROLE_Base" xfId="2381"/>
    <cellStyle name="_Bom Dia Retenção MG 0801_TENDÊNCIA RET VAR CONTROLE_D_Ret_Fixa_EMP" xfId="2382"/>
    <cellStyle name="_Bom Dia Retenção MG 0801_TENDÊNCIA RET VAR CONTROLE_D_Ret_Fixa_EMP_1" xfId="2383"/>
    <cellStyle name="_Bom Dia Retenção MG 0801_TENDÊNCIA RET VAR CONTROLE_D_Ret_Fixa_EMP_2" xfId="2384"/>
    <cellStyle name="_Bom Dia Retenção MG 0801_TENDÊNCIA RET VAR CONTROLE_D_Ret_Fixa_EMP_3" xfId="2385"/>
    <cellStyle name="_Bom Dia Retenção MG 0801_TENDÊNCIA RET VAR CONTROLE_D_Ret_Fixa_EMP_4" xfId="2386"/>
    <cellStyle name="_Bom Dia Retenção MG 0801_TENDÊNCIA RET VAR CONTROLE_D_Ret_Fixa_EMP_5" xfId="2387"/>
    <cellStyle name="_Bom Dia Retenção MG 0801_TENDÊNCIA RET VAR CONTROLE_D_Ret_Fixa_EMP_6" xfId="2388"/>
    <cellStyle name="_Bom Dia Retenção MG 0801_TENDÊNCIA RET VAR CONTROLE_D_Ret_Fixa_EMP_7" xfId="2389"/>
    <cellStyle name="_Bom Dia Retenção MG 0801_TENDÊNCIA RET VAR CONTROLE_D_Ret_Fixa_EMP_8" xfId="2390"/>
    <cellStyle name="_Bom Dia Retenção MG 0801_TENDÊNCIA RET VAR CONTROLE_D_Ret_Fixa_VAR" xfId="2391"/>
    <cellStyle name="_Bom Dia Retenção MG 0801_TENDÊNCIA RET VAR CONTROLE_D_Ret_Fixa_VAR_1" xfId="2392"/>
    <cellStyle name="_Bom Dia Retenção MG 0801_TENDÊNCIA RET VAR CONTROLE_D_Ret_Fixa_VAR_2" xfId="2393"/>
    <cellStyle name="_Bom Dia Retenção MG 0801_TENDÊNCIA RET VAR CONTROLE_D_Ret_Fixa_VAR_3" xfId="2394"/>
    <cellStyle name="_Bom Dia Retenção MG 0801_TENDÊNCIA RET VAR CONTROLE_D_Ret_Fixa_VAR_4" xfId="2395"/>
    <cellStyle name="_Bom Dia Retenção MG 0801_TENDÊNCIA RET VAR CONTROLE_D_Ret_Fixa_VAR_5" xfId="2396"/>
    <cellStyle name="_Bom Dia Retenção MG 0801_TENDÊNCIA RET VAR CONTROLE_D_Ret_Fixa_VAR_6" xfId="2397"/>
    <cellStyle name="_Bom Dia Retenção MG 0801_TENDÊNCIA RET VAR CONTROLE_D_Ret_Fixa_VAR_7" xfId="2398"/>
    <cellStyle name="_Bom Dia Retenção MG 0801_TENDÊNCIA RET VAR CONTROLE_D_Ret_Fixa_VAR_8" xfId="2399"/>
    <cellStyle name="_Bom Dia Retenção MG 0801_TENDÊNCIA RET VAR CONTROLE_Mig Ret 3G" xfId="2400"/>
    <cellStyle name="_Bom Dia Retenção MG 0801_TENDÊNCIA RET VAR CONTROLE_Mig Ret 3G_1" xfId="2401"/>
    <cellStyle name="_Bom Dia Retenção MG 0801_TENDÊNCIA RET VAR CONTROLE_Mig Ret 3G_2" xfId="2402"/>
    <cellStyle name="_Bom Dia Retenção MG 0801_TENDÊNCIA RET VAR CONTROLE_Mig Ret 3G_3" xfId="2403"/>
    <cellStyle name="_Bom Dia Retenção MG 0801_TENDÊNCIA RET VAR CONTROLE_Mig Ret 3G_4" xfId="2404"/>
    <cellStyle name="_Bom Dia Retenção MG 0801_TENDÊNCIA RET VAR CONTROLE_Mig Ret 3G_5" xfId="2405"/>
    <cellStyle name="_Bom Dia Retenção MG 0801_TENDÊNCIA RET VAR CONTROLE_Mig Ret 3G_6" xfId="2406"/>
    <cellStyle name="_Bom Dia Retenção MG 0801_TENDÊNCIA RET VAR CONTROLE_Mig Ret 3G_7" xfId="2407"/>
    <cellStyle name="_Bom Dia Retenção MG 0801_TENDÊNCIA RET VAR CONTROLE_Movel" xfId="2408"/>
    <cellStyle name="_Bom Dia Retenção MG 0801_TENDÊNCIA RET VAR CONTROLE_Movel_1" xfId="2409"/>
    <cellStyle name="_Bom Dia Retenção MG 0801_TENDÊNCIA RET VAR CONTROLE_Movel_2" xfId="2410"/>
    <cellStyle name="_Bom Dia Retenção MG 0801_TENDÊNCIA RET VAR CONTROLE_Movel_3" xfId="2411"/>
    <cellStyle name="_Bom Dia Retenção MG 0801_TENDÊNCIA RET VAR CONTROLE_Movel_4" xfId="2412"/>
    <cellStyle name="_Bom Dia Retenção MG 0801_TENDÊNCIA RET VAR CONTROLE_Movel_5" xfId="2413"/>
    <cellStyle name="_Bom Dia Retenção MG 0801_TENDÊNCIA RET VAR CONTROLE_Movel_6" xfId="2414"/>
    <cellStyle name="_Bom Dia Retenção MG 0801_TENDÊNCIA RET VAR CONTROLE_Movel_7" xfId="2415"/>
    <cellStyle name="_Bom Dia Retenção MG 0801_TENDÊNCIA RET VAR CONTROLE_Retenção" xfId="2416"/>
    <cellStyle name="_Bom Dia Retenção MG 0801_TENDÊNCIA RET VAR VOL" xfId="2417"/>
    <cellStyle name="_Bom Dia Retenção MG 0801_TENDÊNCIA RET VAR VOL 2" xfId="2418"/>
    <cellStyle name="_Bom Dia Retenção MG 0801_TENDÊNCIA RET VAR VOL_Base" xfId="2419"/>
    <cellStyle name="_Bom Dia Retenção MG 0801_TENDÊNCIA RET VAR VOL_D_Movel" xfId="2420"/>
    <cellStyle name="_Bom Dia Retenção MG 0801_TENDÊNCIA RET VAR VOL_D_Ret_Fixa_EMP" xfId="2421"/>
    <cellStyle name="_Bom Dia Retenção MG 0801_TENDÊNCIA RET VAR VOL_D_Ret_Fixa_EMP_1" xfId="2422"/>
    <cellStyle name="_Bom Dia Retenção MG 0801_TENDÊNCIA RET VAR VOL_D_Ret_Fixa_EMP_2" xfId="2423"/>
    <cellStyle name="_Bom Dia Retenção MG 0801_TENDÊNCIA RET VAR VOL_D_Ret_Fixa_EMP_3" xfId="2424"/>
    <cellStyle name="_Bom Dia Retenção MG 0801_TENDÊNCIA RET VAR VOL_D_Ret_Fixa_EMP_4" xfId="2425"/>
    <cellStyle name="_Bom Dia Retenção MG 0801_TENDÊNCIA RET VAR VOL_D_Ret_Fixa_EMP_5" xfId="2426"/>
    <cellStyle name="_Bom Dia Retenção MG 0801_TENDÊNCIA RET VAR VOL_D_Ret_Fixa_EMP_6" xfId="2427"/>
    <cellStyle name="_Bom Dia Retenção MG 0801_TENDÊNCIA RET VAR VOL_D_Ret_Fixa_EMP_7" xfId="2428"/>
    <cellStyle name="_Bom Dia Retenção MG 0801_TENDÊNCIA RET VAR VOL_D_Ret_Fixa_EMP_8" xfId="2429"/>
    <cellStyle name="_Bom Dia Retenção MG 0801_TENDÊNCIA RET VAR VOL_D_Ret_Fixa_VAR" xfId="2430"/>
    <cellStyle name="_Bom Dia Retenção MG 0801_TENDÊNCIA RET VAR VOL_D_Ret_Fixa_VAR_1" xfId="2431"/>
    <cellStyle name="_Bom Dia Retenção MG 0801_TENDÊNCIA RET VAR VOL_D_Ret_Fixa_VAR_2" xfId="2432"/>
    <cellStyle name="_Bom Dia Retenção MG 0801_TENDÊNCIA RET VAR VOL_D_Ret_Fixa_VAR_3" xfId="2433"/>
    <cellStyle name="_Bom Dia Retenção MG 0801_TENDÊNCIA RET VAR VOL_D_Ret_Fixa_VAR_4" xfId="2434"/>
    <cellStyle name="_Bom Dia Retenção MG 0801_TENDÊNCIA RET VAR VOL_D_Ret_Fixa_VAR_5" xfId="2435"/>
    <cellStyle name="_Bom Dia Retenção MG 0801_TENDÊNCIA RET VAR VOL_D_Ret_Fixa_VAR_6" xfId="2436"/>
    <cellStyle name="_Bom Dia Retenção MG 0801_TENDÊNCIA RET VAR VOL_D_Ret_Fixa_VAR_7" xfId="2437"/>
    <cellStyle name="_Bom Dia Retenção MG 0801_TENDÊNCIA RET VAR VOL_D_Ret_Fixa_VAR_8" xfId="2438"/>
    <cellStyle name="_Bom Dia Retenção MG 0801_TENDÊNCIA RET VAR VOL_Mig Ret 3G" xfId="2439"/>
    <cellStyle name="_Bom Dia Retenção MG 0801_TENDÊNCIA RET VAR VOL_Mig Ret 3G_1" xfId="2440"/>
    <cellStyle name="_Bom Dia Retenção MG 0801_TENDÊNCIA RET VAR VOL_Mig Ret 3G_2" xfId="2441"/>
    <cellStyle name="_Bom Dia Retenção MG 0801_TENDÊNCIA RET VAR VOL_Mig Ret 3G_3" xfId="2442"/>
    <cellStyle name="_Bom Dia Retenção MG 0801_TENDÊNCIA RET VAR VOL_Mig Ret 3G_4" xfId="2443"/>
    <cellStyle name="_Bom Dia Retenção MG 0801_TENDÊNCIA RET VAR VOL_Mig Ret 3G_5" xfId="2444"/>
    <cellStyle name="_Bom Dia Retenção MG 0801_TENDÊNCIA RET VAR VOL_Mig Ret 3G_6" xfId="2445"/>
    <cellStyle name="_Bom Dia Retenção MG 0801_TENDÊNCIA RET VAR VOL_Mig Ret 3G_7" xfId="2446"/>
    <cellStyle name="_Bom Dia Retenção MG 0801_TENDÊNCIA RET VAR VOL_Movel" xfId="2447"/>
    <cellStyle name="_Bom Dia Retenção MG 0801_TENDÊNCIA RET VAR VOL_Movel_1" xfId="2448"/>
    <cellStyle name="_Bom Dia Retenção MG 0801_TENDÊNCIA RET VAR VOL_Movel_2" xfId="2449"/>
    <cellStyle name="_Bom Dia Retenção MG 0801_TENDÊNCIA RET VAR VOL_Movel_3" xfId="2450"/>
    <cellStyle name="_Bom Dia Retenção MG 0801_TENDÊNCIA RET VAR VOL_Movel_4" xfId="2451"/>
    <cellStyle name="_Bom Dia Retenção MG 0801_TENDÊNCIA RET VAR VOL_Movel_5" xfId="2452"/>
    <cellStyle name="_Bom Dia Retenção MG 0801_TENDÊNCIA RET VAR VOL_Movel_6" xfId="2453"/>
    <cellStyle name="_Bom Dia Retenção MG 0801_TENDÊNCIA RET VAR VOL_Movel_7" xfId="2454"/>
    <cellStyle name="_Bom Dia Retenção MG 0801_TENDÊNCIA RET VAR VOL_Retenção" xfId="2455"/>
    <cellStyle name="_Bom Dia Retenção MG 0801_Tendência TLV_Varejo_Jul 16-06 a 15-07-09 - M3 - 3ºTendência Oi" xfId="2456"/>
    <cellStyle name="_Bom Dia Retenção MG 0801_Tendência TLV_Varejo_Jul 16-06 a 15-07-09 - M3 - 3ºTendência Oi_BD Resumo diário Painel de Televendas Abril 2011" xfId="2457"/>
    <cellStyle name="_Bom Dia Retenção MG 0801_Tendência TLV_Varejo_Jul 16-06 a 15-07-09 - M3 - 3ºTendência Oi_BD Resumo diário Painel de Televendas Janeiro 2011" xfId="2458"/>
    <cellStyle name="_Bom Dia Retenção MG 0801_Tendência TLV_Varejo_Jul 16-06 a 15-07-09 - M3 - 3ºTendência Oi_BD Resumo diário Painel de Televendas Setembro 2010_BASE_UNICA" xfId="2459"/>
    <cellStyle name="_Bom Dia Retenção MG 0801_Tendência TLV_Varejo_Jul 16-06 a 15-07-09 - M3 - 3ºTendência Oi_Painel de Retenção Junho 2011" xfId="2460"/>
    <cellStyle name="_Bom Dia Retenção MG 0801_Tendência TLV_Varejo_Jul 16-06 a 15-07-09 - M3 - 3ºTendência Oi_Pasta1" xfId="2461"/>
    <cellStyle name="_Bom Dia Retenção MG 0801_Tendência TLV_Varejo_Jul 16-06 a 15-07-09 - M3 - 3ºTendência Oi_Plan1" xfId="2462"/>
    <cellStyle name="_Bom Dia Retenção MG 0801_Tendência TLV_Varejo_Jul 16-06 a 15-07-09 - M3 - 3ºTendência Oi_Plan2" xfId="2463"/>
    <cellStyle name="_Bom Dia Retenção MG 0801_Tendência TLV_Varejo_Jul 16-06 a 15-07-09 - M3 - 3ºTendência Oi_Retenção" xfId="2464"/>
    <cellStyle name="_Bom Dia Retenção MG 0801_Tendência TLV_Varejo_Jul 16-06 a 15-07-09 - M3 - 3ºTendência Oi_Retenção Painel" xfId="2465"/>
    <cellStyle name="_Bom Dia Retenção MG 0801_Tendência TLV_Varejo_Jul 16-06 a 15-07-09 - M3 - 3ºTendência Oi_Televendas Painel" xfId="2466"/>
    <cellStyle name="_Bom Dia Retenção MG 0801_Tendência TLV_Varejo_Jul 16-06 a 15-07-09 - M3 - 3ºTendência Oi_Televendas Painel_ant" xfId="2467"/>
    <cellStyle name="_Bom Dia Retenção MG 0801_TLV AV R1 - FORECAST 9+3" xfId="2468"/>
    <cellStyle name="_Bom Dia Retenção MG 0801_TLV AV R1 - FORECAST 9+3_BD Resumo diário Painel de Televendas Abril 2011" xfId="2469"/>
    <cellStyle name="_Bom Dia Retenção MG 0801_TLV AV R1 - FORECAST 9+3_BD Resumo diário Painel de Televendas Janeiro 2011" xfId="2470"/>
    <cellStyle name="_Bom Dia Retenção MG 0801_TLV AV R1 - FORECAST 9+3_BD Resumo diário Painel de Televendas Setembro 2010_BASE_UNICA" xfId="2471"/>
    <cellStyle name="_Bom Dia Retenção MG 0801_TLV AV R1 - FORECAST 9+3_Painel de Retenção Junho 2011" xfId="2472"/>
    <cellStyle name="_Bom Dia Retenção MG 0801_TLV AV R1 - FORECAST 9+3_Pasta1" xfId="2473"/>
    <cellStyle name="_Bom Dia Retenção MG 0801_TLV AV R1 - FORECAST 9+3_Plan1" xfId="2474"/>
    <cellStyle name="_Bom Dia Retenção MG 0801_TLV AV R1 - FORECAST 9+3_Plan2" xfId="2475"/>
    <cellStyle name="_Bom Dia Retenção MG 0801_TLV AV R1 - FORECAST 9+3_Retenção" xfId="2476"/>
    <cellStyle name="_Bom Dia Retenção MG 0801_TLV AV R1 - FORECAST 9+3_Retenção Painel" xfId="2477"/>
    <cellStyle name="_Bom Dia Retenção MG 0801_TLV AV R1 - FORECAST 9+3_Televendas Painel" xfId="2478"/>
    <cellStyle name="_Bom Dia Retenção MG 0801_TLV AV R1 - FORECAST 9+3_Televendas Painel_ant" xfId="2479"/>
    <cellStyle name="_Bom Dia Retenção MG 0801_Validação Fat Site Contorno_Varejo_Fev 09" xfId="2480"/>
    <cellStyle name="_Bom Dia Retenção MG 0801_Validação Fat Site Contorno_Varejo_Fev 09_BD Resumo diário Painel de Televendas Abril 2011" xfId="2481"/>
    <cellStyle name="_Bom Dia Retenção MG 0801_Validação Fat Site Contorno_Varejo_Fev 09_BD Resumo diário Painel de Televendas Janeiro 2011" xfId="2482"/>
    <cellStyle name="_Bom Dia Retenção MG 0801_Validação Fat Site Contorno_Varejo_Fev 09_BD Resumo diário Painel de Televendas Setembro 2010_BASE_UNICA" xfId="2483"/>
    <cellStyle name="_Bom Dia Retenção MG 0801_Validação Fat Site Contorno_Varejo_Fev 09_Painel de Retenção Junho 2011" xfId="2484"/>
    <cellStyle name="_Bom Dia Retenção MG 0801_Validação Fat Site Contorno_Varejo_Fev 09_Pasta1" xfId="2485"/>
    <cellStyle name="_Bom Dia Retenção MG 0801_Validação Fat Site Contorno_Varejo_Fev 09_Plan1" xfId="2486"/>
    <cellStyle name="_Bom Dia Retenção MG 0801_Validação Fat Site Contorno_Varejo_Fev 09_Plan2" xfId="2487"/>
    <cellStyle name="_Bom Dia Retenção MG 0801_Validação Fat Site Contorno_Varejo_Fev 09_Retenção" xfId="2488"/>
    <cellStyle name="_Bom Dia Retenção MG 0801_Validação Fat Site Contorno_Varejo_Fev 09_Retenção Painel" xfId="2489"/>
    <cellStyle name="_Bom Dia Retenção MG 0801_Validação Fat Site Contorno_Varejo_Fev 09_Televendas Painel" xfId="2490"/>
    <cellStyle name="_Bom Dia Retenção MG 0801_Validação Fat Site Contorno_Varejo_Fev 09_Televendas Painel_ant" xfId="2491"/>
    <cellStyle name="_Bom Dia Retenção MG 0801_Validação Faturamento TLV_Varejo_Abril" xfId="2492"/>
    <cellStyle name="_Bom Dia Retenção MG 0801_Validação Faturamento TLV_Varejo_Abril_BD Resumo diário Painel de Televendas Abril 2011" xfId="2493"/>
    <cellStyle name="_Bom Dia Retenção MG 0801_Validação Faturamento TLV_Varejo_Abril_BD Resumo diário Painel de Televendas Janeiro 2011" xfId="2494"/>
    <cellStyle name="_Bom Dia Retenção MG 0801_Validação Faturamento TLV_Varejo_Abril_BD Resumo diário Painel de Televendas Setembro 2010_BASE_UNICA" xfId="2495"/>
    <cellStyle name="_Bom Dia Retenção MG 0801_Validação Faturamento TLV_Varejo_Abril_Painel de Retenção Junho 2011" xfId="2496"/>
    <cellStyle name="_Bom Dia Retenção MG 0801_Validação Faturamento TLV_Varejo_Abril_Pasta1" xfId="2497"/>
    <cellStyle name="_Bom Dia Retenção MG 0801_Validação Faturamento TLV_Varejo_Abril_Plan1" xfId="2498"/>
    <cellStyle name="_Bom Dia Retenção MG 0801_Validação Faturamento TLV_Varejo_Abril_Plan2" xfId="2499"/>
    <cellStyle name="_Bom Dia Retenção MG 0801_Validação Faturamento TLV_Varejo_Abril_Retenção" xfId="2500"/>
    <cellStyle name="_Bom Dia Retenção MG 0801_Validação Faturamento TLV_Varejo_Abril_Retenção Painel" xfId="2501"/>
    <cellStyle name="_Bom Dia Retenção MG 0801_Validação Faturamento TLV_Varejo_Abril_Televendas Painel" xfId="2502"/>
    <cellStyle name="_Bom Dia Retenção MG 0801_Validação Faturamento TLV_Varejo_Abril_Televendas Painel_ant" xfId="2503"/>
    <cellStyle name="_Bom Dia Retenção MG 0801_Validação Faturamento TLV_Varejo_Mar 16-02 a 15-03-09 - M3 - V3" xfId="2504"/>
    <cellStyle name="_Bom Dia Retenção MG 0801_Validação Faturamento TLV_Varejo_Mar 16-02 a 15-03-09 - M3 - V3_BD Resumo diário Painel de Televendas Abril 2011" xfId="2505"/>
    <cellStyle name="_Bom Dia Retenção MG 0801_Validação Faturamento TLV_Varejo_Mar 16-02 a 15-03-09 - M3 - V3_BD Resumo diário Painel de Televendas Janeiro 2011" xfId="2506"/>
    <cellStyle name="_Bom Dia Retenção MG 0801_Validação Faturamento TLV_Varejo_Mar 16-02 a 15-03-09 - M3 - V3_BD Resumo diário Painel de Televendas Setembro 2010_BASE_UNICA" xfId="2507"/>
    <cellStyle name="_Bom Dia Retenção MG 0801_Validação Faturamento TLV_Varejo_Mar 16-02 a 15-03-09 - M3 - V3_Painel de Retenção Junho 2011" xfId="2508"/>
    <cellStyle name="_Bom Dia Retenção MG 0801_Validação Faturamento TLV_Varejo_Mar 16-02 a 15-03-09 - M3 - V3_Pasta1" xfId="2509"/>
    <cellStyle name="_Bom Dia Retenção MG 0801_Validação Faturamento TLV_Varejo_Mar 16-02 a 15-03-09 - M3 - V3_Plan1" xfId="2510"/>
    <cellStyle name="_Bom Dia Retenção MG 0801_Validação Faturamento TLV_Varejo_Mar 16-02 a 15-03-09 - M3 - V3_Plan2" xfId="2511"/>
    <cellStyle name="_Bom Dia Retenção MG 0801_Validação Faturamento TLV_Varejo_Mar 16-02 a 15-03-09 - M3 - V3_Retenção" xfId="2512"/>
    <cellStyle name="_Bom Dia Retenção MG 0801_Validação Faturamento TLV_Varejo_Mar 16-02 a 15-03-09 - M3 - V3_Retenção Painel" xfId="2513"/>
    <cellStyle name="_Bom Dia Retenção MG 0801_Validação Faturamento TLV_Varejo_Mar 16-02 a 15-03-09 - M3 - V3_Televendas Painel" xfId="2514"/>
    <cellStyle name="_Bom Dia Retenção MG 0801_Validação Faturamento TLV_Varejo_Mar 16-02 a 15-03-09 - M3 - V3_Televendas Painel_ant" xfId="2515"/>
    <cellStyle name="_Book4" xfId="2516"/>
    <cellStyle name="_Book4111111" xfId="2517"/>
    <cellStyle name="_Budget2009Web_v5 (2)" xfId="2518"/>
    <cellStyle name="_Budget2009Web_v5 (2)_BD Resumo diário Painel de Televendas Abril 2011" xfId="2519"/>
    <cellStyle name="_Budget2009Web_v5 (2)_BD Resumo diário Painel de Televendas Janeiro 2011" xfId="2520"/>
    <cellStyle name="_Budget2009Web_v5 (2)_BD Resumo diário Painel de Televendas Setembro 2010_BASE_UNICA" xfId="2521"/>
    <cellStyle name="_Budget2009Web_v5 (2)_Painel de Retenção Junho 2011" xfId="2522"/>
    <cellStyle name="_Budget2009Web_v5 (2)_Pasta1" xfId="2523"/>
    <cellStyle name="_Budget2009Web_v5 (2)_Plan1" xfId="2524"/>
    <cellStyle name="_Budget2009Web_v5 (2)_Plan2" xfId="2525"/>
    <cellStyle name="_Budget2009Web_v5 (2)_Retenção" xfId="2526"/>
    <cellStyle name="_Budget2009Web_v5 (2)_Retenção Painel" xfId="2527"/>
    <cellStyle name="_Budget2009Web_v5 (2)_Televendas Painel" xfId="2528"/>
    <cellStyle name="_Budget2009Web_v5 (2)_Televendas Painel_ant" xfId="2529"/>
    <cellStyle name="_Campanha Tabelas" xfId="2530"/>
    <cellStyle name="_Campanha Tabelas_Base" xfId="2531"/>
    <cellStyle name="_Campanha Tabelas_D_Ret_Fixa_EMP" xfId="2532"/>
    <cellStyle name="_Campanha Tabelas_D_Ret_Fixa_VAR" xfId="2533"/>
    <cellStyle name="_Campanha Tabelas_Mig Ret 3G" xfId="2534"/>
    <cellStyle name="_Campanha Tabelas_Movel" xfId="2535"/>
    <cellStyle name="_Campanha Tabelas_Velox" xfId="2536"/>
    <cellStyle name="_Campanha Tabelas_Velox_Base" xfId="2537"/>
    <cellStyle name="_Campanha Tabelas_Velox_D_Ret_Fixa_EMP" xfId="2538"/>
    <cellStyle name="_Campanha Tabelas_Velox_D_Ret_Fixa_VAR" xfId="2539"/>
    <cellStyle name="_Campanha Tabelas_Velox_Mig Ret 3G" xfId="2540"/>
    <cellStyle name="_Campanha Tabelas_Velox_Movel" xfId="2541"/>
    <cellStyle name="_CIS" xfId="2542"/>
    <cellStyle name="_CIS(2)" xfId="2543"/>
    <cellStyle name="_CMS_MBV" xfId="2544"/>
    <cellStyle name="_CMS_MBV_Base" xfId="2545"/>
    <cellStyle name="_CMS_MBV_D_Ret_Fixa_EMP" xfId="2546"/>
    <cellStyle name="_CMS_MBV_D_Ret_Fixa_VAR" xfId="2547"/>
    <cellStyle name="_CMS_MBV_Mig Ret 3G" xfId="2548"/>
    <cellStyle name="_CMS_MBV_Movel" xfId="2549"/>
    <cellStyle name="_Comm. support &amp; discounts" xfId="2550"/>
    <cellStyle name="_Company data" xfId="2551"/>
    <cellStyle name="_COMPARAÇÃO 2008 X 2009" xfId="2552"/>
    <cellStyle name="_COMPARAÇÃO 2008 X 2009_BD Resumo diário Painel de Televendas Abril 2011" xfId="2553"/>
    <cellStyle name="_COMPARAÇÃO 2008 X 2009_BD Resumo diário Painel de Televendas Janeiro 2011" xfId="2554"/>
    <cellStyle name="_COMPARAÇÃO 2008 X 2009_BD Resumo diário Painel de Televendas Setembro 2010_BASE_UNICA" xfId="2555"/>
    <cellStyle name="_COMPARAÇÃO 2008 X 2009_Painel de Retenção Junho 2011" xfId="2556"/>
    <cellStyle name="_COMPARAÇÃO 2008 X 2009_Pasta1" xfId="2557"/>
    <cellStyle name="_COMPARAÇÃO 2008 X 2009_Plan1" xfId="2558"/>
    <cellStyle name="_COMPARAÇÃO 2008 X 2009_Plan2" xfId="2559"/>
    <cellStyle name="_COMPARAÇÃO 2008 X 2009_Retenção" xfId="2560"/>
    <cellStyle name="_COMPARAÇÃO 2008 X 2009_Retenção Painel" xfId="2561"/>
    <cellStyle name="_COMPARAÇÃO 2008 X 2009_Televendas Painel" xfId="2562"/>
    <cellStyle name="_COMPARAÇÃO 2008 X 2009_Televendas Painel_ant" xfId="2563"/>
    <cellStyle name="_comparison" xfId="2564"/>
    <cellStyle name="_Controle BadLog" xfId="2565"/>
    <cellStyle name="_Controle BadLog_Base" xfId="2566"/>
    <cellStyle name="_Controle BadLog_D_Ret_Fixa_EMP" xfId="2567"/>
    <cellStyle name="_Controle BadLog_D_Ret_Fixa_VAR" xfId="2568"/>
    <cellStyle name="_Controle BadLog_Mig Ret 3G" xfId="2569"/>
    <cellStyle name="_Controle BadLog_Movel" xfId="2570"/>
    <cellStyle name="_Conv por canal" xfId="2571"/>
    <cellStyle name="_Corporativo_Resultado Final (2)" xfId="2572"/>
    <cellStyle name="_Corporativo_Resultado Final (2)_Base" xfId="2573"/>
    <cellStyle name="_Corporativo_Resultado Final (2)_D_Ret_Fixa_EMP" xfId="2574"/>
    <cellStyle name="_Corporativo_Resultado Final (2)_D_Ret_Fixa_VAR" xfId="2575"/>
    <cellStyle name="_Corporativo_Resultado Final (2)_Mig Ret 3G" xfId="2576"/>
    <cellStyle name="_Corporativo_Resultado Final (2)_Movel" xfId="2577"/>
    <cellStyle name="_Corporativo_Resultado Final (2)_Velox" xfId="2578"/>
    <cellStyle name="_Corporativo_Resultado Final (2)_Velox_Base" xfId="2579"/>
    <cellStyle name="_Corporativo_Resultado Final (2)_Velox_D_Ret_Fixa_EMP" xfId="2580"/>
    <cellStyle name="_Corporativo_Resultado Final (2)_Velox_D_Ret_Fixa_VAR" xfId="2581"/>
    <cellStyle name="_Corporativo_Resultado Final (2)_Velox_Mig Ret 3G" xfId="2582"/>
    <cellStyle name="_Corporativo_Resultado Final (2)_Velox_Movel" xfId="2583"/>
    <cellStyle name="_Custos Terminais Samsung com Rebate Q409 20090923" xfId="2584"/>
    <cellStyle name="_CUSTOS TLV AV - 2008" xfId="2585"/>
    <cellStyle name="_CUSTOS TLV AV - 2008_BD Resumo diário Painel de Televendas Abril 2011" xfId="2586"/>
    <cellStyle name="_CUSTOS TLV AV - 2008_BD Resumo diário Painel de Televendas Janeiro 2011" xfId="2587"/>
    <cellStyle name="_CUSTOS TLV AV - 2008_BD Resumo diário Painel de Televendas Setembro 2010_BASE_UNICA" xfId="2588"/>
    <cellStyle name="_CUSTOS TLV AV - 2008_Painel de Retenção Junho 2011" xfId="2589"/>
    <cellStyle name="_CUSTOS TLV AV - 2008_Pasta1" xfId="2590"/>
    <cellStyle name="_CUSTOS TLV AV - 2008_Plan1" xfId="2591"/>
    <cellStyle name="_CUSTOS TLV AV - 2008_Plan2" xfId="2592"/>
    <cellStyle name="_CUSTOS TLV AV - 2008_Retenção" xfId="2593"/>
    <cellStyle name="_CUSTOS TLV AV - 2008_Retenção Painel" xfId="2594"/>
    <cellStyle name="_CUSTOS TLV AV - 2008_Televendas Painel" xfId="2595"/>
    <cellStyle name="_CUSTOS TLV AV - 2008_Televendas Painel_ant" xfId="2596"/>
    <cellStyle name="_Data" xfId="2597"/>
    <cellStyle name="_Data_EUROPE PRICELIST (040508)" xfId="2598"/>
    <cellStyle name="_Data_EUROPE Q4 PRICE SIMULATION (040806)" xfId="2599"/>
    <cellStyle name="_Data_HIFI sef price 030120A 가격 SIMULATION" xfId="2600"/>
    <cellStyle name="_Data_Reply HQ PRICE SEBN" xfId="2601"/>
    <cellStyle name="_Data_본사안 04 신모델  PROPOSAL SEF Simul  HIFI Budget  2004" xfId="2602"/>
    <cellStyle name="_DEPARA" xfId="2603"/>
    <cellStyle name="_DEPARA_1" xfId="2604"/>
    <cellStyle name="_DEPARA_1 2" xfId="2605"/>
    <cellStyle name="_DEPARA_1_Base" xfId="2606"/>
    <cellStyle name="_DEPARA_1_D_Movel" xfId="2607"/>
    <cellStyle name="_DEPARA_1_D_Ret_Fixa_EMP" xfId="2608"/>
    <cellStyle name="_DEPARA_1_D_Ret_Fixa_EMP_1" xfId="2609"/>
    <cellStyle name="_DEPARA_1_D_Ret_Fixa_EMP_2" xfId="2610"/>
    <cellStyle name="_DEPARA_1_D_Ret_Fixa_EMP_3" xfId="2611"/>
    <cellStyle name="_DEPARA_1_D_Ret_Fixa_EMP_4" xfId="2612"/>
    <cellStyle name="_DEPARA_1_D_Ret_Fixa_EMP_5" xfId="2613"/>
    <cellStyle name="_DEPARA_1_D_Ret_Fixa_EMP_6" xfId="2614"/>
    <cellStyle name="_DEPARA_1_D_Ret_Fixa_EMP_7" xfId="2615"/>
    <cellStyle name="_DEPARA_1_D_Ret_Fixa_EMP_8" xfId="2616"/>
    <cellStyle name="_DEPARA_1_D_Ret_Fixa_VAR" xfId="2617"/>
    <cellStyle name="_DEPARA_1_D_Ret_Fixa_VAR_1" xfId="2618"/>
    <cellStyle name="_DEPARA_1_D_Ret_Fixa_VAR_2" xfId="2619"/>
    <cellStyle name="_DEPARA_1_D_Ret_Fixa_VAR_3" xfId="2620"/>
    <cellStyle name="_DEPARA_1_D_Ret_Fixa_VAR_4" xfId="2621"/>
    <cellStyle name="_DEPARA_1_D_Ret_Fixa_VAR_5" xfId="2622"/>
    <cellStyle name="_DEPARA_1_D_Ret_Fixa_VAR_6" xfId="2623"/>
    <cellStyle name="_DEPARA_1_D_Ret_Fixa_VAR_7" xfId="2624"/>
    <cellStyle name="_DEPARA_1_D_Ret_Fixa_VAR_8" xfId="2625"/>
    <cellStyle name="_DEPARA_1_Mig Ret 3G" xfId="2626"/>
    <cellStyle name="_DEPARA_1_Mig Ret 3G_1" xfId="2627"/>
    <cellStyle name="_DEPARA_1_Mig Ret 3G_2" xfId="2628"/>
    <cellStyle name="_DEPARA_1_Mig Ret 3G_3" xfId="2629"/>
    <cellStyle name="_DEPARA_1_Mig Ret 3G_4" xfId="2630"/>
    <cellStyle name="_DEPARA_1_Mig Ret 3G_5" xfId="2631"/>
    <cellStyle name="_DEPARA_1_Mig Ret 3G_6" xfId="2632"/>
    <cellStyle name="_DEPARA_1_Mig Ret 3G_7" xfId="2633"/>
    <cellStyle name="_DEPARA_1_Movel" xfId="2634"/>
    <cellStyle name="_DEPARA_1_Movel_1" xfId="2635"/>
    <cellStyle name="_DEPARA_1_Movel_2" xfId="2636"/>
    <cellStyle name="_DEPARA_1_Movel_3" xfId="2637"/>
    <cellStyle name="_DEPARA_1_Movel_4" xfId="2638"/>
    <cellStyle name="_DEPARA_1_Movel_5" xfId="2639"/>
    <cellStyle name="_DEPARA_1_Movel_6" xfId="2640"/>
    <cellStyle name="_DEPARA_1_Movel_7" xfId="2641"/>
    <cellStyle name="_DEPARA_1_Retenção" xfId="2642"/>
    <cellStyle name="_DEPARA_Base" xfId="2643"/>
    <cellStyle name="_DEPARA_D_Ret_Fixa_EMP" xfId="2644"/>
    <cellStyle name="_DEPARA_D_Ret_Fixa_VAR" xfId="2645"/>
    <cellStyle name="_DEPARA_Mig Ret 3G" xfId="2646"/>
    <cellStyle name="_DEPARA_Movel" xfId="2647"/>
    <cellStyle name="_DESL PARA SET (2)" xfId="2648"/>
    <cellStyle name="_DESL PARA SET (2)_0108retoifixobv2" xfId="2649"/>
    <cellStyle name="_DESL PARA SET (2)_0108retoifixobv2_BD Resumo diário Painel de Televendas Abril 2011" xfId="2650"/>
    <cellStyle name="_DESL PARA SET (2)_0108retoifixobv2_BD Resumo diário Painel de Televendas Janeiro 2011" xfId="2651"/>
    <cellStyle name="_DESL PARA SET (2)_0108retoifixobv2_BD Resumo diário Painel de Televendas Setembro 2010_BASE_UNICA" xfId="2652"/>
    <cellStyle name="_DESL PARA SET (2)_0108retoifixobv2_Faturamento TLV_Varejo_Ago 16-07 a 15-08-09 - V4 - Validação Cliente" xfId="2653"/>
    <cellStyle name="_DESL PARA SET (2)_0108retoifixobv2_Faturamento TLV_Varejo_Ago 16-07 a 15-08-09 - V4 - Validação Cliente_BD Resumo diário Painel de Televendas Abril 2011" xfId="2654"/>
    <cellStyle name="_DESL PARA SET (2)_0108retoifixobv2_Faturamento TLV_Varejo_Ago 16-07 a 15-08-09 - V4 - Validação Cliente_BD Resumo diário Painel de Televendas Janeiro 2011" xfId="2655"/>
    <cellStyle name="_DESL PARA SET (2)_0108retoifixobv2_Faturamento TLV_Varejo_Ago 16-07 a 15-08-09 - V4 - Validação Cliente_BD Resumo diário Painel de Televendas Setembro 2010_BASE_UNICA" xfId="2656"/>
    <cellStyle name="_DESL PARA SET (2)_0108retoifixobv2_Faturamento TLV_Varejo_Ago 16-07 a 15-08-09 - V4 - Validação Cliente_Painel de Retenção Junho 2011" xfId="2657"/>
    <cellStyle name="_DESL PARA SET (2)_0108retoifixobv2_Faturamento TLV_Varejo_Ago 16-07 a 15-08-09 - V4 - Validação Cliente_Pasta1" xfId="2658"/>
    <cellStyle name="_DESL PARA SET (2)_0108retoifixobv2_Faturamento TLV_Varejo_Ago 16-07 a 15-08-09 - V4 - Validação Cliente_Plan1" xfId="2659"/>
    <cellStyle name="_DESL PARA SET (2)_0108retoifixobv2_Faturamento TLV_Varejo_Ago 16-07 a 15-08-09 - V4 - Validação Cliente_Plan2" xfId="2660"/>
    <cellStyle name="_DESL PARA SET (2)_0108retoifixobv2_Faturamento TLV_Varejo_Ago 16-07 a 15-08-09 - V4 - Validação Cliente_Retenção" xfId="2661"/>
    <cellStyle name="_DESL PARA SET (2)_0108retoifixobv2_Faturamento TLV_Varejo_Ago 16-07 a 15-08-09 - V4 - Validação Cliente_Retenção Painel" xfId="2662"/>
    <cellStyle name="_DESL PARA SET (2)_0108retoifixobv2_Faturamento TLV_Varejo_Ago 16-07 a 15-08-09 - V4 - Validação Cliente_Televendas Painel" xfId="2663"/>
    <cellStyle name="_DESL PARA SET (2)_0108retoifixobv2_Faturamento TLV_Varejo_Ago 16-07 a 15-08-09 - V4 - Validação Cliente_Televendas Painel_ant" xfId="2664"/>
    <cellStyle name="_DESL PARA SET (2)_0108retoifixobv2_Painel de Retenção Junho 2011" xfId="2665"/>
    <cellStyle name="_DESL PARA SET (2)_0108retoifixobv2_Pasta1" xfId="2666"/>
    <cellStyle name="_DESL PARA SET (2)_0108retoifixobv2_Plan1" xfId="2667"/>
    <cellStyle name="_DESL PARA SET (2)_0108retoifixobv2_Plan2" xfId="2668"/>
    <cellStyle name="_DESL PARA SET (2)_0108retoifixobv2_Retenção" xfId="2669"/>
    <cellStyle name="_DESL PARA SET (2)_0108retoifixobv2_Retenção Painel" xfId="2670"/>
    <cellStyle name="_DESL PARA SET (2)_0108retoifixobv2_Televendas Painel" xfId="2671"/>
    <cellStyle name="_DESL PARA SET (2)_0108retoifixobv2_Televendas Painel_ant" xfId="2672"/>
    <cellStyle name="_DESL PARA SET (2)_0108retoifixobv2_TENDÊNCIA RET VAR CONTROLE" xfId="2673"/>
    <cellStyle name="_DESL PARA SET (2)_0108retoifixobv2_TENDÊNCIA RET VAR CONTROLE_Base" xfId="2674"/>
    <cellStyle name="_DESL PARA SET (2)_0108retoifixobv2_TENDÊNCIA RET VAR CONTROLE_D_Ret_Fixa_EMP" xfId="2675"/>
    <cellStyle name="_DESL PARA SET (2)_0108retoifixobv2_TENDÊNCIA RET VAR CONTROLE_D_Ret_Fixa_EMP_1" xfId="2676"/>
    <cellStyle name="_DESL PARA SET (2)_0108retoifixobv2_TENDÊNCIA RET VAR CONTROLE_D_Ret_Fixa_EMP_2" xfId="2677"/>
    <cellStyle name="_DESL PARA SET (2)_0108retoifixobv2_TENDÊNCIA RET VAR CONTROLE_D_Ret_Fixa_EMP_3" xfId="2678"/>
    <cellStyle name="_DESL PARA SET (2)_0108retoifixobv2_TENDÊNCIA RET VAR CONTROLE_D_Ret_Fixa_EMP_4" xfId="2679"/>
    <cellStyle name="_DESL PARA SET (2)_0108retoifixobv2_TENDÊNCIA RET VAR CONTROLE_D_Ret_Fixa_EMP_5" xfId="2680"/>
    <cellStyle name="_DESL PARA SET (2)_0108retoifixobv2_TENDÊNCIA RET VAR CONTROLE_D_Ret_Fixa_EMP_6" xfId="2681"/>
    <cellStyle name="_DESL PARA SET (2)_0108retoifixobv2_TENDÊNCIA RET VAR CONTROLE_D_Ret_Fixa_EMP_7" xfId="2682"/>
    <cellStyle name="_DESL PARA SET (2)_0108retoifixobv2_TENDÊNCIA RET VAR CONTROLE_D_Ret_Fixa_EMP_8" xfId="2683"/>
    <cellStyle name="_DESL PARA SET (2)_0108retoifixobv2_TENDÊNCIA RET VAR CONTROLE_D_Ret_Fixa_VAR" xfId="2684"/>
    <cellStyle name="_DESL PARA SET (2)_0108retoifixobv2_TENDÊNCIA RET VAR CONTROLE_D_Ret_Fixa_VAR_1" xfId="2685"/>
    <cellStyle name="_DESL PARA SET (2)_0108retoifixobv2_TENDÊNCIA RET VAR CONTROLE_D_Ret_Fixa_VAR_2" xfId="2686"/>
    <cellStyle name="_DESL PARA SET (2)_0108retoifixobv2_TENDÊNCIA RET VAR CONTROLE_D_Ret_Fixa_VAR_3" xfId="2687"/>
    <cellStyle name="_DESL PARA SET (2)_0108retoifixobv2_TENDÊNCIA RET VAR CONTROLE_D_Ret_Fixa_VAR_4" xfId="2688"/>
    <cellStyle name="_DESL PARA SET (2)_0108retoifixobv2_TENDÊNCIA RET VAR CONTROLE_D_Ret_Fixa_VAR_5" xfId="2689"/>
    <cellStyle name="_DESL PARA SET (2)_0108retoifixobv2_TENDÊNCIA RET VAR CONTROLE_D_Ret_Fixa_VAR_6" xfId="2690"/>
    <cellStyle name="_DESL PARA SET (2)_0108retoifixobv2_TENDÊNCIA RET VAR CONTROLE_D_Ret_Fixa_VAR_7" xfId="2691"/>
    <cellStyle name="_DESL PARA SET (2)_0108retoifixobv2_TENDÊNCIA RET VAR CONTROLE_D_Ret_Fixa_VAR_8" xfId="2692"/>
    <cellStyle name="_DESL PARA SET (2)_0108retoifixobv2_TENDÊNCIA RET VAR CONTROLE_Mig Ret 3G" xfId="2693"/>
    <cellStyle name="_DESL PARA SET (2)_0108retoifixobv2_TENDÊNCIA RET VAR CONTROLE_Mig Ret 3G_1" xfId="2694"/>
    <cellStyle name="_DESL PARA SET (2)_0108retoifixobv2_TENDÊNCIA RET VAR CONTROLE_Mig Ret 3G_2" xfId="2695"/>
    <cellStyle name="_DESL PARA SET (2)_0108retoifixobv2_TENDÊNCIA RET VAR CONTROLE_Mig Ret 3G_3" xfId="2696"/>
    <cellStyle name="_DESL PARA SET (2)_0108retoifixobv2_TENDÊNCIA RET VAR CONTROLE_Mig Ret 3G_4" xfId="2697"/>
    <cellStyle name="_DESL PARA SET (2)_0108retoifixobv2_TENDÊNCIA RET VAR CONTROLE_Mig Ret 3G_5" xfId="2698"/>
    <cellStyle name="_DESL PARA SET (2)_0108retoifixobv2_TENDÊNCIA RET VAR CONTROLE_Mig Ret 3G_6" xfId="2699"/>
    <cellStyle name="_DESL PARA SET (2)_0108retoifixobv2_TENDÊNCIA RET VAR CONTROLE_Mig Ret 3G_7" xfId="2700"/>
    <cellStyle name="_DESL PARA SET (2)_0108retoifixobv2_TENDÊNCIA RET VAR CONTROLE_Movel" xfId="2701"/>
    <cellStyle name="_DESL PARA SET (2)_0108retoifixobv2_TENDÊNCIA RET VAR CONTROLE_Movel_1" xfId="2702"/>
    <cellStyle name="_DESL PARA SET (2)_0108retoifixobv2_TENDÊNCIA RET VAR CONTROLE_Movel_2" xfId="2703"/>
    <cellStyle name="_DESL PARA SET (2)_0108retoifixobv2_TENDÊNCIA RET VAR CONTROLE_Movel_3" xfId="2704"/>
    <cellStyle name="_DESL PARA SET (2)_0108retoifixobv2_TENDÊNCIA RET VAR CONTROLE_Movel_4" xfId="2705"/>
    <cellStyle name="_DESL PARA SET (2)_0108retoifixobv2_TENDÊNCIA RET VAR CONTROLE_Movel_5" xfId="2706"/>
    <cellStyle name="_DESL PARA SET (2)_0108retoifixobv2_TENDÊNCIA RET VAR CONTROLE_Movel_6" xfId="2707"/>
    <cellStyle name="_DESL PARA SET (2)_0108retoifixobv2_TENDÊNCIA RET VAR CONTROLE_Movel_7" xfId="2708"/>
    <cellStyle name="_DESL PARA SET (2)_0108retoifixobv2_TENDÊNCIA RET VAR CONTROLE_Retenção" xfId="2709"/>
    <cellStyle name="_DESL PARA SET (2)_0108retoifixobv2_TENDÊNCIA RET VAR VOL" xfId="2710"/>
    <cellStyle name="_DESL PARA SET (2)_0108retoifixobv2_TENDÊNCIA RET VAR VOL 2" xfId="2711"/>
    <cellStyle name="_DESL PARA SET (2)_0108retoifixobv2_TENDÊNCIA RET VAR VOL_Base" xfId="2712"/>
    <cellStyle name="_DESL PARA SET (2)_0108retoifixobv2_TENDÊNCIA RET VAR VOL_D_Movel" xfId="2713"/>
    <cellStyle name="_DESL PARA SET (2)_0108retoifixobv2_TENDÊNCIA RET VAR VOL_D_Ret_Fixa_EMP" xfId="2714"/>
    <cellStyle name="_DESL PARA SET (2)_0108retoifixobv2_TENDÊNCIA RET VAR VOL_D_Ret_Fixa_EMP_1" xfId="2715"/>
    <cellStyle name="_DESL PARA SET (2)_0108retoifixobv2_TENDÊNCIA RET VAR VOL_D_Ret_Fixa_EMP_2" xfId="2716"/>
    <cellStyle name="_DESL PARA SET (2)_0108retoifixobv2_TENDÊNCIA RET VAR VOL_D_Ret_Fixa_EMP_3" xfId="2717"/>
    <cellStyle name="_DESL PARA SET (2)_0108retoifixobv2_TENDÊNCIA RET VAR VOL_D_Ret_Fixa_EMP_4" xfId="2718"/>
    <cellStyle name="_DESL PARA SET (2)_0108retoifixobv2_TENDÊNCIA RET VAR VOL_D_Ret_Fixa_EMP_5" xfId="2719"/>
    <cellStyle name="_DESL PARA SET (2)_0108retoifixobv2_TENDÊNCIA RET VAR VOL_D_Ret_Fixa_EMP_6" xfId="2720"/>
    <cellStyle name="_DESL PARA SET (2)_0108retoifixobv2_TENDÊNCIA RET VAR VOL_D_Ret_Fixa_EMP_7" xfId="2721"/>
    <cellStyle name="_DESL PARA SET (2)_0108retoifixobv2_TENDÊNCIA RET VAR VOL_D_Ret_Fixa_EMP_8" xfId="2722"/>
    <cellStyle name="_DESL PARA SET (2)_0108retoifixobv2_TENDÊNCIA RET VAR VOL_D_Ret_Fixa_VAR" xfId="2723"/>
    <cellStyle name="_DESL PARA SET (2)_0108retoifixobv2_TENDÊNCIA RET VAR VOL_D_Ret_Fixa_VAR_1" xfId="2724"/>
    <cellStyle name="_DESL PARA SET (2)_0108retoifixobv2_TENDÊNCIA RET VAR VOL_D_Ret_Fixa_VAR_2" xfId="2725"/>
    <cellStyle name="_DESL PARA SET (2)_0108retoifixobv2_TENDÊNCIA RET VAR VOL_D_Ret_Fixa_VAR_3" xfId="2726"/>
    <cellStyle name="_DESL PARA SET (2)_0108retoifixobv2_TENDÊNCIA RET VAR VOL_D_Ret_Fixa_VAR_4" xfId="2727"/>
    <cellStyle name="_DESL PARA SET (2)_0108retoifixobv2_TENDÊNCIA RET VAR VOL_D_Ret_Fixa_VAR_5" xfId="2728"/>
    <cellStyle name="_DESL PARA SET (2)_0108retoifixobv2_TENDÊNCIA RET VAR VOL_D_Ret_Fixa_VAR_6" xfId="2729"/>
    <cellStyle name="_DESL PARA SET (2)_0108retoifixobv2_TENDÊNCIA RET VAR VOL_D_Ret_Fixa_VAR_7" xfId="2730"/>
    <cellStyle name="_DESL PARA SET (2)_0108retoifixobv2_TENDÊNCIA RET VAR VOL_D_Ret_Fixa_VAR_8" xfId="2731"/>
    <cellStyle name="_DESL PARA SET (2)_0108retoifixobv2_TENDÊNCIA RET VAR VOL_Mig Ret 3G" xfId="2732"/>
    <cellStyle name="_DESL PARA SET (2)_0108retoifixobv2_TENDÊNCIA RET VAR VOL_Mig Ret 3G_1" xfId="2733"/>
    <cellStyle name="_DESL PARA SET (2)_0108retoifixobv2_TENDÊNCIA RET VAR VOL_Mig Ret 3G_2" xfId="2734"/>
    <cellStyle name="_DESL PARA SET (2)_0108retoifixobv2_TENDÊNCIA RET VAR VOL_Mig Ret 3G_3" xfId="2735"/>
    <cellStyle name="_DESL PARA SET (2)_0108retoifixobv2_TENDÊNCIA RET VAR VOL_Mig Ret 3G_4" xfId="2736"/>
    <cellStyle name="_DESL PARA SET (2)_0108retoifixobv2_TENDÊNCIA RET VAR VOL_Mig Ret 3G_5" xfId="2737"/>
    <cellStyle name="_DESL PARA SET (2)_0108retoifixobv2_TENDÊNCIA RET VAR VOL_Mig Ret 3G_6" xfId="2738"/>
    <cellStyle name="_DESL PARA SET (2)_0108retoifixobv2_TENDÊNCIA RET VAR VOL_Mig Ret 3G_7" xfId="2739"/>
    <cellStyle name="_DESL PARA SET (2)_0108retoifixobv2_TENDÊNCIA RET VAR VOL_Movel" xfId="2740"/>
    <cellStyle name="_DESL PARA SET (2)_0108retoifixobv2_TENDÊNCIA RET VAR VOL_Movel_1" xfId="2741"/>
    <cellStyle name="_DESL PARA SET (2)_0108retoifixobv2_TENDÊNCIA RET VAR VOL_Movel_2" xfId="2742"/>
    <cellStyle name="_DESL PARA SET (2)_0108retoifixobv2_TENDÊNCIA RET VAR VOL_Movel_3" xfId="2743"/>
    <cellStyle name="_DESL PARA SET (2)_0108retoifixobv2_TENDÊNCIA RET VAR VOL_Movel_4" xfId="2744"/>
    <cellStyle name="_DESL PARA SET (2)_0108retoifixobv2_TENDÊNCIA RET VAR VOL_Movel_5" xfId="2745"/>
    <cellStyle name="_DESL PARA SET (2)_0108retoifixobv2_TENDÊNCIA RET VAR VOL_Movel_6" xfId="2746"/>
    <cellStyle name="_DESL PARA SET (2)_0108retoifixobv2_TENDÊNCIA RET VAR VOL_Movel_7" xfId="2747"/>
    <cellStyle name="_DESL PARA SET (2)_0108retoifixobv2_TENDÊNCIA RET VAR VOL_Retenção" xfId="2748"/>
    <cellStyle name="_DESL PARA SET (2)_0508retoifixobv" xfId="2749"/>
    <cellStyle name="_DESL PARA SET (2)_0508retoifixobv_BD Resumo diário Painel de Televendas Abril 2011" xfId="2750"/>
    <cellStyle name="_DESL PARA SET (2)_0508retoifixobv_BD Resumo diário Painel de Televendas Janeiro 2011" xfId="2751"/>
    <cellStyle name="_DESL PARA SET (2)_0508retoifixobv_BD Resumo diário Painel de Televendas Setembro 2010_BASE_UNICA" xfId="2752"/>
    <cellStyle name="_DESL PARA SET (2)_0508retoifixobv_Painel de Retenção Junho 2011" xfId="2753"/>
    <cellStyle name="_DESL PARA SET (2)_0508retoifixobv_Pasta1" xfId="2754"/>
    <cellStyle name="_DESL PARA SET (2)_0508retoifixobv_Plan1" xfId="2755"/>
    <cellStyle name="_DESL PARA SET (2)_0508retoifixobv_Plan2" xfId="2756"/>
    <cellStyle name="_DESL PARA SET (2)_0508retoifixobv_Retenção" xfId="2757"/>
    <cellStyle name="_DESL PARA SET (2)_0508retoifixobv_Retenção Painel" xfId="2758"/>
    <cellStyle name="_DESL PARA SET (2)_0508retoifixobv_Televendas Painel" xfId="2759"/>
    <cellStyle name="_DESL PARA SET (2)_0508retoifixobv_Televendas Painel_ant" xfId="2760"/>
    <cellStyle name="_DESL PARA SET (2)_0608retoifixobv" xfId="2761"/>
    <cellStyle name="_DESL PARA SET (2)_0608retoifixobv_BD Resumo diário Painel de Televendas Abril 2011" xfId="2762"/>
    <cellStyle name="_DESL PARA SET (2)_0608retoifixobv_BD Resumo diário Painel de Televendas Janeiro 2011" xfId="2763"/>
    <cellStyle name="_DESL PARA SET (2)_0608retoifixobv_BD Resumo diário Painel de Televendas Setembro 2010_BASE_UNICA" xfId="2764"/>
    <cellStyle name="_DESL PARA SET (2)_0608retoifixobv_Painel de Retenção Junho 2011" xfId="2765"/>
    <cellStyle name="_DESL PARA SET (2)_0608retoifixobv_Pasta1" xfId="2766"/>
    <cellStyle name="_DESL PARA SET (2)_0608retoifixobv_Plan1" xfId="2767"/>
    <cellStyle name="_DESL PARA SET (2)_0608retoifixobv_Plan2" xfId="2768"/>
    <cellStyle name="_DESL PARA SET (2)_0608retoifixobv_Retenção" xfId="2769"/>
    <cellStyle name="_DESL PARA SET (2)_0608retoifixobv_Retenção Painel" xfId="2770"/>
    <cellStyle name="_DESL PARA SET (2)_0608retoifixobv_Televendas Painel" xfId="2771"/>
    <cellStyle name="_DESL PARA SET (2)_0608retoifixobv_Televendas Painel_ant" xfId="2772"/>
    <cellStyle name="_DESL PARA SET (2)_0708RetSDLD" xfId="2773"/>
    <cellStyle name="_DESL PARA SET (2)_0708RetSDLD_BD Resumo diário Painel de Televendas Abril 2011" xfId="2774"/>
    <cellStyle name="_DESL PARA SET (2)_0708RetSDLD_BD Resumo diário Painel de Televendas Janeiro 2011" xfId="2775"/>
    <cellStyle name="_DESL PARA SET (2)_0708RetSDLD_BD Resumo diário Painel de Televendas Setembro 2010_BASE_UNICA" xfId="2776"/>
    <cellStyle name="_DESL PARA SET (2)_0708RetSDLD_Painel de Retenção Junho 2011" xfId="2777"/>
    <cellStyle name="_DESL PARA SET (2)_0708RetSDLD_Pasta1" xfId="2778"/>
    <cellStyle name="_DESL PARA SET (2)_0708RetSDLD_Plan1" xfId="2779"/>
    <cellStyle name="_DESL PARA SET (2)_0708RetSDLD_Plan2" xfId="2780"/>
    <cellStyle name="_DESL PARA SET (2)_0708RetSDLD_Retenção" xfId="2781"/>
    <cellStyle name="_DESL PARA SET (2)_0708RetSDLD_Retenção Painel" xfId="2782"/>
    <cellStyle name="_DESL PARA SET (2)_0708RetSDLD_Televendas Painel" xfId="2783"/>
    <cellStyle name="_DESL PARA SET (2)_0708RetSDLD_Televendas Painel_ant" xfId="2784"/>
    <cellStyle name="_DESL PARA SET (2)_0908Retoifixobv" xfId="2785"/>
    <cellStyle name="_DESL PARA SET (2)_0908Retoifixobv 2" xfId="2786"/>
    <cellStyle name="_DESL PARA SET (2)_0908Retoifixobv_Base" xfId="2787"/>
    <cellStyle name="_DESL PARA SET (2)_0908Retoifixobv_D_Movel" xfId="2788"/>
    <cellStyle name="_DESL PARA SET (2)_0908Retoifixobv_D_Ret_Fixa_EMP" xfId="2789"/>
    <cellStyle name="_DESL PARA SET (2)_0908Retoifixobv_D_Ret_Fixa_EMP_1" xfId="2790"/>
    <cellStyle name="_DESL PARA SET (2)_0908Retoifixobv_D_Ret_Fixa_EMP_2" xfId="2791"/>
    <cellStyle name="_DESL PARA SET (2)_0908Retoifixobv_D_Ret_Fixa_EMP_3" xfId="2792"/>
    <cellStyle name="_DESL PARA SET (2)_0908Retoifixobv_D_Ret_Fixa_EMP_4" xfId="2793"/>
    <cellStyle name="_DESL PARA SET (2)_0908Retoifixobv_D_Ret_Fixa_EMP_5" xfId="2794"/>
    <cellStyle name="_DESL PARA SET (2)_0908Retoifixobv_D_Ret_Fixa_EMP_6" xfId="2795"/>
    <cellStyle name="_DESL PARA SET (2)_0908Retoifixobv_D_Ret_Fixa_EMP_7" xfId="2796"/>
    <cellStyle name="_DESL PARA SET (2)_0908Retoifixobv_D_Ret_Fixa_EMP_8" xfId="2797"/>
    <cellStyle name="_DESL PARA SET (2)_0908Retoifixobv_D_Ret_Fixa_VAR" xfId="2798"/>
    <cellStyle name="_DESL PARA SET (2)_0908Retoifixobv_D_Ret_Fixa_VAR_1" xfId="2799"/>
    <cellStyle name="_DESL PARA SET (2)_0908Retoifixobv_D_Ret_Fixa_VAR_2" xfId="2800"/>
    <cellStyle name="_DESL PARA SET (2)_0908Retoifixobv_D_Ret_Fixa_VAR_3" xfId="2801"/>
    <cellStyle name="_DESL PARA SET (2)_0908Retoifixobv_D_Ret_Fixa_VAR_4" xfId="2802"/>
    <cellStyle name="_DESL PARA SET (2)_0908Retoifixobv_D_Ret_Fixa_VAR_5" xfId="2803"/>
    <cellStyle name="_DESL PARA SET (2)_0908Retoifixobv_D_Ret_Fixa_VAR_6" xfId="2804"/>
    <cellStyle name="_DESL PARA SET (2)_0908Retoifixobv_D_Ret_Fixa_VAR_7" xfId="2805"/>
    <cellStyle name="_DESL PARA SET (2)_0908Retoifixobv_D_Ret_Fixa_VAR_8" xfId="2806"/>
    <cellStyle name="_DESL PARA SET (2)_0908Retoifixobv_Mig Ret 3G" xfId="2807"/>
    <cellStyle name="_DESL PARA SET (2)_0908Retoifixobv_Mig Ret 3G_1" xfId="2808"/>
    <cellStyle name="_DESL PARA SET (2)_0908Retoifixobv_Mig Ret 3G_2" xfId="2809"/>
    <cellStyle name="_DESL PARA SET (2)_0908Retoifixobv_Mig Ret 3G_3" xfId="2810"/>
    <cellStyle name="_DESL PARA SET (2)_0908Retoifixobv_Mig Ret 3G_4" xfId="2811"/>
    <cellStyle name="_DESL PARA SET (2)_0908Retoifixobv_Mig Ret 3G_5" xfId="2812"/>
    <cellStyle name="_DESL PARA SET (2)_0908Retoifixobv_Mig Ret 3G_6" xfId="2813"/>
    <cellStyle name="_DESL PARA SET (2)_0908Retoifixobv_Mig Ret 3G_7" xfId="2814"/>
    <cellStyle name="_DESL PARA SET (2)_0908Retoifixobv_Movel" xfId="2815"/>
    <cellStyle name="_DESL PARA SET (2)_0908Retoifixobv_Movel_1" xfId="2816"/>
    <cellStyle name="_DESL PARA SET (2)_0908Retoifixobv_Movel_2" xfId="2817"/>
    <cellStyle name="_DESL PARA SET (2)_0908Retoifixobv_Movel_3" xfId="2818"/>
    <cellStyle name="_DESL PARA SET (2)_0908Retoifixobv_Movel_4" xfId="2819"/>
    <cellStyle name="_DESL PARA SET (2)_0908Retoifixobv_Movel_5" xfId="2820"/>
    <cellStyle name="_DESL PARA SET (2)_0908Retoifixobv_Movel_6" xfId="2821"/>
    <cellStyle name="_DESL PARA SET (2)_0908Retoifixobv_Movel_7" xfId="2822"/>
    <cellStyle name="_DESL PARA SET (2)_0908Retoifixobv_Retenção" xfId="2823"/>
    <cellStyle name="_DESL PARA SET (2)_Arvore OCT" xfId="2824"/>
    <cellStyle name="_DESL PARA SET (2)_Arvore OCT_BD Resumo diário Painel de Televendas Abril 2011" xfId="2825"/>
    <cellStyle name="_DESL PARA SET (2)_Arvore OCT_BD Resumo diário Painel de Televendas Janeiro 2011" xfId="2826"/>
    <cellStyle name="_DESL PARA SET (2)_Arvore OCT_BD Resumo diário Painel de Televendas Setembro 2010_BASE_UNICA" xfId="2827"/>
    <cellStyle name="_DESL PARA SET (2)_Arvore OCT_Painel de Retenção Junho 2011" xfId="2828"/>
    <cellStyle name="_DESL PARA SET (2)_Arvore OCT_Pasta1" xfId="2829"/>
    <cellStyle name="_DESL PARA SET (2)_Arvore OCT_Plan1" xfId="2830"/>
    <cellStyle name="_DESL PARA SET (2)_Arvore OCT_Plan2" xfId="2831"/>
    <cellStyle name="_DESL PARA SET (2)_Arvore OCT_Retenção" xfId="2832"/>
    <cellStyle name="_DESL PARA SET (2)_Arvore OCT_Retenção Painel" xfId="2833"/>
    <cellStyle name="_DESL PARA SET (2)_Arvore OCT_Televendas Painel" xfId="2834"/>
    <cellStyle name="_DESL PARA SET (2)_Arvore OCT_Televendas Painel_ant" xfId="2835"/>
    <cellStyle name="_DESL PARA SET (2)_Base Input Driver Retenção Premium" xfId="2836"/>
    <cellStyle name="_DESL PARA SET (2)_Base Input Driver Retenção Premium_BD Resumo diário Painel de Televendas Abril 2011" xfId="2837"/>
    <cellStyle name="_DESL PARA SET (2)_Base Input Driver Retenção Premium_BD Resumo diário Painel de Televendas Janeiro 2011" xfId="2838"/>
    <cellStyle name="_DESL PARA SET (2)_Base Input Driver Retenção Premium_BD Resumo diário Painel de Televendas Setembro 2010_BASE_UNICA" xfId="2839"/>
    <cellStyle name="_DESL PARA SET (2)_Base Input Driver Retenção Premium_Painel de Retenção Junho 2011" xfId="2840"/>
    <cellStyle name="_DESL PARA SET (2)_Base Input Driver Retenção Premium_Pasta1" xfId="2841"/>
    <cellStyle name="_DESL PARA SET (2)_Base Input Driver Retenção Premium_Plan1" xfId="2842"/>
    <cellStyle name="_DESL PARA SET (2)_Base Input Driver Retenção Premium_Plan2" xfId="2843"/>
    <cellStyle name="_DESL PARA SET (2)_Base Input Driver Retenção Premium_Retenção" xfId="2844"/>
    <cellStyle name="_DESL PARA SET (2)_Base Input Driver Retenção Premium_Retenção Painel" xfId="2845"/>
    <cellStyle name="_DESL PARA SET (2)_Base Input Driver Retenção Premium_Televendas Painel" xfId="2846"/>
    <cellStyle name="_DESL PARA SET (2)_Base Input Driver Retenção Premium_Televendas Painel_ant" xfId="2847"/>
    <cellStyle name="_DESL PARA SET (2)_Base_Oi_Fixo" xfId="2848"/>
    <cellStyle name="_DESL PARA SET (2)_Base_Oi_Fixo 2" xfId="2849"/>
    <cellStyle name="_DESL PARA SET (2)_Base_Oi_Fixo_Base" xfId="2850"/>
    <cellStyle name="_DESL PARA SET (2)_Base_Oi_Fixo_D_Movel" xfId="2851"/>
    <cellStyle name="_DESL PARA SET (2)_Base_Oi_Fixo_D_Ret_Fixa_EMP" xfId="2852"/>
    <cellStyle name="_DESL PARA SET (2)_Base_Oi_Fixo_D_Ret_Fixa_EMP_1" xfId="2853"/>
    <cellStyle name="_DESL PARA SET (2)_Base_Oi_Fixo_D_Ret_Fixa_EMP_2" xfId="2854"/>
    <cellStyle name="_DESL PARA SET (2)_Base_Oi_Fixo_D_Ret_Fixa_EMP_3" xfId="2855"/>
    <cellStyle name="_DESL PARA SET (2)_Base_Oi_Fixo_D_Ret_Fixa_EMP_4" xfId="2856"/>
    <cellStyle name="_DESL PARA SET (2)_Base_Oi_Fixo_D_Ret_Fixa_EMP_5" xfId="2857"/>
    <cellStyle name="_DESL PARA SET (2)_Base_Oi_Fixo_D_Ret_Fixa_EMP_6" xfId="2858"/>
    <cellStyle name="_DESL PARA SET (2)_Base_Oi_Fixo_D_Ret_Fixa_EMP_7" xfId="2859"/>
    <cellStyle name="_DESL PARA SET (2)_Base_Oi_Fixo_D_Ret_Fixa_EMP_8" xfId="2860"/>
    <cellStyle name="_DESL PARA SET (2)_Base_Oi_Fixo_D_Ret_Fixa_VAR" xfId="2861"/>
    <cellStyle name="_DESL PARA SET (2)_Base_Oi_Fixo_D_Ret_Fixa_VAR_1" xfId="2862"/>
    <cellStyle name="_DESL PARA SET (2)_Base_Oi_Fixo_D_Ret_Fixa_VAR_2" xfId="2863"/>
    <cellStyle name="_DESL PARA SET (2)_Base_Oi_Fixo_D_Ret_Fixa_VAR_3" xfId="2864"/>
    <cellStyle name="_DESL PARA SET (2)_Base_Oi_Fixo_D_Ret_Fixa_VAR_4" xfId="2865"/>
    <cellStyle name="_DESL PARA SET (2)_Base_Oi_Fixo_D_Ret_Fixa_VAR_5" xfId="2866"/>
    <cellStyle name="_DESL PARA SET (2)_Base_Oi_Fixo_D_Ret_Fixa_VAR_6" xfId="2867"/>
    <cellStyle name="_DESL PARA SET (2)_Base_Oi_Fixo_D_Ret_Fixa_VAR_7" xfId="2868"/>
    <cellStyle name="_DESL PARA SET (2)_Base_Oi_Fixo_D_Ret_Fixa_VAR_8" xfId="2869"/>
    <cellStyle name="_DESL PARA SET (2)_Base_Oi_Fixo_Mig Ret 3G" xfId="2870"/>
    <cellStyle name="_DESL PARA SET (2)_Base_Oi_Fixo_Mig Ret 3G_1" xfId="2871"/>
    <cellStyle name="_DESL PARA SET (2)_Base_Oi_Fixo_Mig Ret 3G_2" xfId="2872"/>
    <cellStyle name="_DESL PARA SET (2)_Base_Oi_Fixo_Mig Ret 3G_3" xfId="2873"/>
    <cellStyle name="_DESL PARA SET (2)_Base_Oi_Fixo_Mig Ret 3G_4" xfId="2874"/>
    <cellStyle name="_DESL PARA SET (2)_Base_Oi_Fixo_Mig Ret 3G_5" xfId="2875"/>
    <cellStyle name="_DESL PARA SET (2)_Base_Oi_Fixo_Mig Ret 3G_6" xfId="2876"/>
    <cellStyle name="_DESL PARA SET (2)_Base_Oi_Fixo_Mig Ret 3G_7" xfId="2877"/>
    <cellStyle name="_DESL PARA SET (2)_Base_Oi_Fixo_Movel" xfId="2878"/>
    <cellStyle name="_DESL PARA SET (2)_Base_Oi_Fixo_Movel_1" xfId="2879"/>
    <cellStyle name="_DESL PARA SET (2)_Base_Oi_Fixo_Movel_2" xfId="2880"/>
    <cellStyle name="_DESL PARA SET (2)_Base_Oi_Fixo_Movel_3" xfId="2881"/>
    <cellStyle name="_DESL PARA SET (2)_Base_Oi_Fixo_Movel_4" xfId="2882"/>
    <cellStyle name="_DESL PARA SET (2)_Base_Oi_Fixo_Movel_5" xfId="2883"/>
    <cellStyle name="_DESL PARA SET (2)_Base_Oi_Fixo_Movel_6" xfId="2884"/>
    <cellStyle name="_DESL PARA SET (2)_Base_Oi_Fixo_Movel_7" xfId="2885"/>
    <cellStyle name="_DESL PARA SET (2)_Base_Oi_Fixo_Retenção" xfId="2886"/>
    <cellStyle name="_DESL PARA SET (2)_BD Resumo diário Painel de Televendas Abril 2011" xfId="2887"/>
    <cellStyle name="_DESL PARA SET (2)_BD Resumo diário Painel de Televendas Janeiro 2011" xfId="2888"/>
    <cellStyle name="_DESL PARA SET (2)_BD Resumo diário Painel de Televendas Setembro 2010_BASE_UNICA" xfId="2889"/>
    <cellStyle name="_DESL PARA SET (2)_COMPARAÇÃO 2008 X 2009" xfId="2890"/>
    <cellStyle name="_DESL PARA SET (2)_COMPARAÇÃO 2008 X 2009_BD Resumo diário Painel de Televendas Abril 2011" xfId="2891"/>
    <cellStyle name="_DESL PARA SET (2)_COMPARAÇÃO 2008 X 2009_BD Resumo diário Painel de Televendas Janeiro 2011" xfId="2892"/>
    <cellStyle name="_DESL PARA SET (2)_COMPARAÇÃO 2008 X 2009_BD Resumo diário Painel de Televendas Setembro 2010_BASE_UNICA" xfId="2893"/>
    <cellStyle name="_DESL PARA SET (2)_COMPARAÇÃO 2008 X 2009_Painel de Retenção Junho 2011" xfId="2894"/>
    <cellStyle name="_DESL PARA SET (2)_COMPARAÇÃO 2008 X 2009_Pasta1" xfId="2895"/>
    <cellStyle name="_DESL PARA SET (2)_COMPARAÇÃO 2008 X 2009_Plan1" xfId="2896"/>
    <cellStyle name="_DESL PARA SET (2)_COMPARAÇÃO 2008 X 2009_Plan2" xfId="2897"/>
    <cellStyle name="_DESL PARA SET (2)_COMPARAÇÃO 2008 X 2009_Retenção" xfId="2898"/>
    <cellStyle name="_DESL PARA SET (2)_COMPARAÇÃO 2008 X 2009_Retenção Painel" xfId="2899"/>
    <cellStyle name="_DESL PARA SET (2)_COMPARAÇÃO 2008 X 2009_Televendas Painel" xfId="2900"/>
    <cellStyle name="_DESL PARA SET (2)_COMPARAÇÃO 2008 X 2009_Televendas Painel_ant" xfId="2901"/>
    <cellStyle name="_DESL PARA SET (2)_CUSTOS TLV AV - 2008" xfId="2902"/>
    <cellStyle name="_DESL PARA SET (2)_CUSTOS TLV AV - 2008_BD Resumo diário Painel de Televendas Abril 2011" xfId="2903"/>
    <cellStyle name="_DESL PARA SET (2)_CUSTOS TLV AV - 2008_BD Resumo diário Painel de Televendas Janeiro 2011" xfId="2904"/>
    <cellStyle name="_DESL PARA SET (2)_CUSTOS TLV AV - 2008_BD Resumo diário Painel de Televendas Setembro 2010_BASE_UNICA" xfId="2905"/>
    <cellStyle name="_DESL PARA SET (2)_CUSTOS TLV AV - 2008_Painel de Retenção Junho 2011" xfId="2906"/>
    <cellStyle name="_DESL PARA SET (2)_CUSTOS TLV AV - 2008_Pasta1" xfId="2907"/>
    <cellStyle name="_DESL PARA SET (2)_CUSTOS TLV AV - 2008_Plan1" xfId="2908"/>
    <cellStyle name="_DESL PARA SET (2)_CUSTOS TLV AV - 2008_Plan2" xfId="2909"/>
    <cellStyle name="_DESL PARA SET (2)_CUSTOS TLV AV - 2008_Retenção" xfId="2910"/>
    <cellStyle name="_DESL PARA SET (2)_CUSTOS TLV AV - 2008_Retenção Painel" xfId="2911"/>
    <cellStyle name="_DESL PARA SET (2)_CUSTOS TLV AV - 2008_Televendas Painel" xfId="2912"/>
    <cellStyle name="_DESL PARA SET (2)_CUSTOS TLV AV - 2008_Televendas Painel_ant" xfId="2913"/>
    <cellStyle name="_DESL PARA SET (2)_DEPARA" xfId="2914"/>
    <cellStyle name="_DESL PARA SET (2)_DEPARA 2" xfId="2915"/>
    <cellStyle name="_DESL PARA SET (2)_DEPARA_Base" xfId="2916"/>
    <cellStyle name="_DESL PARA SET (2)_DEPARA_D_Movel" xfId="2917"/>
    <cellStyle name="_DESL PARA SET (2)_DEPARA_D_Ret_Fixa_EMP" xfId="2918"/>
    <cellStyle name="_DESL PARA SET (2)_DEPARA_D_Ret_Fixa_EMP_1" xfId="2919"/>
    <cellStyle name="_DESL PARA SET (2)_DEPARA_D_Ret_Fixa_EMP_2" xfId="2920"/>
    <cellStyle name="_DESL PARA SET (2)_DEPARA_D_Ret_Fixa_EMP_3" xfId="2921"/>
    <cellStyle name="_DESL PARA SET (2)_DEPARA_D_Ret_Fixa_EMP_4" xfId="2922"/>
    <cellStyle name="_DESL PARA SET (2)_DEPARA_D_Ret_Fixa_EMP_5" xfId="2923"/>
    <cellStyle name="_DESL PARA SET (2)_DEPARA_D_Ret_Fixa_EMP_6" xfId="2924"/>
    <cellStyle name="_DESL PARA SET (2)_DEPARA_D_Ret_Fixa_EMP_7" xfId="2925"/>
    <cellStyle name="_DESL PARA SET (2)_DEPARA_D_Ret_Fixa_EMP_8" xfId="2926"/>
    <cellStyle name="_DESL PARA SET (2)_DEPARA_D_Ret_Fixa_VAR" xfId="2927"/>
    <cellStyle name="_DESL PARA SET (2)_DEPARA_D_Ret_Fixa_VAR_1" xfId="2928"/>
    <cellStyle name="_DESL PARA SET (2)_DEPARA_D_Ret_Fixa_VAR_2" xfId="2929"/>
    <cellStyle name="_DESL PARA SET (2)_DEPARA_D_Ret_Fixa_VAR_3" xfId="2930"/>
    <cellStyle name="_DESL PARA SET (2)_DEPARA_D_Ret_Fixa_VAR_4" xfId="2931"/>
    <cellStyle name="_DESL PARA SET (2)_DEPARA_D_Ret_Fixa_VAR_5" xfId="2932"/>
    <cellStyle name="_DESL PARA SET (2)_DEPARA_D_Ret_Fixa_VAR_6" xfId="2933"/>
    <cellStyle name="_DESL PARA SET (2)_DEPARA_D_Ret_Fixa_VAR_7" xfId="2934"/>
    <cellStyle name="_DESL PARA SET (2)_DEPARA_D_Ret_Fixa_VAR_8" xfId="2935"/>
    <cellStyle name="_DESL PARA SET (2)_DEPARA_Mig Ret 3G" xfId="2936"/>
    <cellStyle name="_DESL PARA SET (2)_DEPARA_Mig Ret 3G_1" xfId="2937"/>
    <cellStyle name="_DESL PARA SET (2)_DEPARA_Mig Ret 3G_2" xfId="2938"/>
    <cellStyle name="_DESL PARA SET (2)_DEPARA_Mig Ret 3G_3" xfId="2939"/>
    <cellStyle name="_DESL PARA SET (2)_DEPARA_Mig Ret 3G_4" xfId="2940"/>
    <cellStyle name="_DESL PARA SET (2)_DEPARA_Mig Ret 3G_5" xfId="2941"/>
    <cellStyle name="_DESL PARA SET (2)_DEPARA_Mig Ret 3G_6" xfId="2942"/>
    <cellStyle name="_DESL PARA SET (2)_DEPARA_Mig Ret 3G_7" xfId="2943"/>
    <cellStyle name="_DESL PARA SET (2)_DEPARA_Movel" xfId="2944"/>
    <cellStyle name="_DESL PARA SET (2)_DEPARA_Movel_1" xfId="2945"/>
    <cellStyle name="_DESL PARA SET (2)_DEPARA_Movel_2" xfId="2946"/>
    <cellStyle name="_DESL PARA SET (2)_DEPARA_Movel_3" xfId="2947"/>
    <cellStyle name="_DESL PARA SET (2)_DEPARA_Movel_4" xfId="2948"/>
    <cellStyle name="_DESL PARA SET (2)_DEPARA_Movel_5" xfId="2949"/>
    <cellStyle name="_DESL PARA SET (2)_DEPARA_Movel_6" xfId="2950"/>
    <cellStyle name="_DESL PARA SET (2)_DEPARA_Movel_7" xfId="2951"/>
    <cellStyle name="_DESL PARA SET (2)_DEPARA_Retenção" xfId="2952"/>
    <cellStyle name="_DESL PARA SET (2)_Diario" xfId="2953"/>
    <cellStyle name="_DESL PARA SET (2)_Diario 2" xfId="2954"/>
    <cellStyle name="_DESL PARA SET (2)_Diario_Base" xfId="2955"/>
    <cellStyle name="_DESL PARA SET (2)_Diario_D_Movel" xfId="2956"/>
    <cellStyle name="_DESL PARA SET (2)_Diario_D_Ret_Fixa_EMP" xfId="2957"/>
    <cellStyle name="_DESL PARA SET (2)_Diario_D_Ret_Fixa_EMP_1" xfId="2958"/>
    <cellStyle name="_DESL PARA SET (2)_Diario_D_Ret_Fixa_EMP_2" xfId="2959"/>
    <cellStyle name="_DESL PARA SET (2)_Diario_D_Ret_Fixa_EMP_3" xfId="2960"/>
    <cellStyle name="_DESL PARA SET (2)_Diario_D_Ret_Fixa_EMP_4" xfId="2961"/>
    <cellStyle name="_DESL PARA SET (2)_Diario_D_Ret_Fixa_EMP_5" xfId="2962"/>
    <cellStyle name="_DESL PARA SET (2)_Diario_D_Ret_Fixa_EMP_6" xfId="2963"/>
    <cellStyle name="_DESL PARA SET (2)_Diario_D_Ret_Fixa_EMP_7" xfId="2964"/>
    <cellStyle name="_DESL PARA SET (2)_Diario_D_Ret_Fixa_EMP_8" xfId="2965"/>
    <cellStyle name="_DESL PARA SET (2)_Diario_D_Ret_Fixa_VAR" xfId="2966"/>
    <cellStyle name="_DESL PARA SET (2)_Diario_D_Ret_Fixa_VAR_1" xfId="2967"/>
    <cellStyle name="_DESL PARA SET (2)_Diario_D_Ret_Fixa_VAR_2" xfId="2968"/>
    <cellStyle name="_DESL PARA SET (2)_Diario_D_Ret_Fixa_VAR_3" xfId="2969"/>
    <cellStyle name="_DESL PARA SET (2)_Diario_D_Ret_Fixa_VAR_4" xfId="2970"/>
    <cellStyle name="_DESL PARA SET (2)_Diario_D_Ret_Fixa_VAR_5" xfId="2971"/>
    <cellStyle name="_DESL PARA SET (2)_Diario_D_Ret_Fixa_VAR_6" xfId="2972"/>
    <cellStyle name="_DESL PARA SET (2)_Diario_D_Ret_Fixa_VAR_7" xfId="2973"/>
    <cellStyle name="_DESL PARA SET (2)_Diario_D_Ret_Fixa_VAR_8" xfId="2974"/>
    <cellStyle name="_DESL PARA SET (2)_Diario_Mig Ret 3G" xfId="2975"/>
    <cellStyle name="_DESL PARA SET (2)_Diario_Mig Ret 3G_1" xfId="2976"/>
    <cellStyle name="_DESL PARA SET (2)_Diario_Mig Ret 3G_2" xfId="2977"/>
    <cellStyle name="_DESL PARA SET (2)_Diario_Mig Ret 3G_3" xfId="2978"/>
    <cellStyle name="_DESL PARA SET (2)_Diario_Mig Ret 3G_4" xfId="2979"/>
    <cellStyle name="_DESL PARA SET (2)_Diario_Mig Ret 3G_5" xfId="2980"/>
    <cellStyle name="_DESL PARA SET (2)_Diario_Mig Ret 3G_6" xfId="2981"/>
    <cellStyle name="_DESL PARA SET (2)_Diario_Mig Ret 3G_7" xfId="2982"/>
    <cellStyle name="_DESL PARA SET (2)_Diario_Movel" xfId="2983"/>
    <cellStyle name="_DESL PARA SET (2)_Diario_Movel_1" xfId="2984"/>
    <cellStyle name="_DESL PARA SET (2)_Diario_Movel_2" xfId="2985"/>
    <cellStyle name="_DESL PARA SET (2)_Diario_Movel_3" xfId="2986"/>
    <cellStyle name="_DESL PARA SET (2)_Diario_Movel_4" xfId="2987"/>
    <cellStyle name="_DESL PARA SET (2)_Diario_Movel_5" xfId="2988"/>
    <cellStyle name="_DESL PARA SET (2)_Diario_Movel_6" xfId="2989"/>
    <cellStyle name="_DESL PARA SET (2)_Diario_Movel_7" xfId="2990"/>
    <cellStyle name="_DESL PARA SET (2)_Diário_OF" xfId="2991"/>
    <cellStyle name="_DESL PARA SET (2)_Diário_OF 2" xfId="2992"/>
    <cellStyle name="_DESL PARA SET (2)_Diário_OF_Base" xfId="2993"/>
    <cellStyle name="_DESL PARA SET (2)_Diário_OF_D_Movel" xfId="2994"/>
    <cellStyle name="_DESL PARA SET (2)_Diário_OF_D_Ret_Fixa_EMP" xfId="2995"/>
    <cellStyle name="_DESL PARA SET (2)_Diário_OF_D_Ret_Fixa_EMP_1" xfId="2996"/>
    <cellStyle name="_DESL PARA SET (2)_Diário_OF_D_Ret_Fixa_EMP_2" xfId="2997"/>
    <cellStyle name="_DESL PARA SET (2)_Diário_OF_D_Ret_Fixa_EMP_3" xfId="2998"/>
    <cellStyle name="_DESL PARA SET (2)_Diário_OF_D_Ret_Fixa_EMP_4" xfId="2999"/>
    <cellStyle name="_DESL PARA SET (2)_Diário_OF_D_Ret_Fixa_EMP_5" xfId="3000"/>
    <cellStyle name="_DESL PARA SET (2)_Diário_OF_D_Ret_Fixa_EMP_6" xfId="3001"/>
    <cellStyle name="_DESL PARA SET (2)_Diário_OF_D_Ret_Fixa_EMP_7" xfId="3002"/>
    <cellStyle name="_DESL PARA SET (2)_Diário_OF_D_Ret_Fixa_EMP_8" xfId="3003"/>
    <cellStyle name="_DESL PARA SET (2)_Diário_OF_D_Ret_Fixa_VAR" xfId="3004"/>
    <cellStyle name="_DESL PARA SET (2)_Diário_OF_D_Ret_Fixa_VAR_1" xfId="3005"/>
    <cellStyle name="_DESL PARA SET (2)_Diário_OF_D_Ret_Fixa_VAR_2" xfId="3006"/>
    <cellStyle name="_DESL PARA SET (2)_Diário_OF_D_Ret_Fixa_VAR_3" xfId="3007"/>
    <cellStyle name="_DESL PARA SET (2)_Diário_OF_D_Ret_Fixa_VAR_4" xfId="3008"/>
    <cellStyle name="_DESL PARA SET (2)_Diário_OF_D_Ret_Fixa_VAR_5" xfId="3009"/>
    <cellStyle name="_DESL PARA SET (2)_Diário_OF_D_Ret_Fixa_VAR_6" xfId="3010"/>
    <cellStyle name="_DESL PARA SET (2)_Diário_OF_D_Ret_Fixa_VAR_7" xfId="3011"/>
    <cellStyle name="_DESL PARA SET (2)_Diário_OF_D_Ret_Fixa_VAR_8" xfId="3012"/>
    <cellStyle name="_DESL PARA SET (2)_Diário_OF_Mig Ret 3G" xfId="3013"/>
    <cellStyle name="_DESL PARA SET (2)_Diário_OF_Mig Ret 3G_1" xfId="3014"/>
    <cellStyle name="_DESL PARA SET (2)_Diário_OF_Mig Ret 3G_2" xfId="3015"/>
    <cellStyle name="_DESL PARA SET (2)_Diário_OF_Mig Ret 3G_3" xfId="3016"/>
    <cellStyle name="_DESL PARA SET (2)_Diário_OF_Mig Ret 3G_4" xfId="3017"/>
    <cellStyle name="_DESL PARA SET (2)_Diário_OF_Mig Ret 3G_5" xfId="3018"/>
    <cellStyle name="_DESL PARA SET (2)_Diário_OF_Mig Ret 3G_6" xfId="3019"/>
    <cellStyle name="_DESL PARA SET (2)_Diário_OF_Mig Ret 3G_7" xfId="3020"/>
    <cellStyle name="_DESL PARA SET (2)_Diário_OF_Movel" xfId="3021"/>
    <cellStyle name="_DESL PARA SET (2)_Diário_OF_Movel_1" xfId="3022"/>
    <cellStyle name="_DESL PARA SET (2)_Diário_OF_Movel_2" xfId="3023"/>
    <cellStyle name="_DESL PARA SET (2)_Diário_OF_Movel_3" xfId="3024"/>
    <cellStyle name="_DESL PARA SET (2)_Diário_OF_Movel_4" xfId="3025"/>
    <cellStyle name="_DESL PARA SET (2)_Diário_OF_Movel_5" xfId="3026"/>
    <cellStyle name="_DESL PARA SET (2)_Diário_OF_Movel_6" xfId="3027"/>
    <cellStyle name="_DESL PARA SET (2)_Diário_OF_Movel_7" xfId="3028"/>
    <cellStyle name="_DESL PARA SET (2)_Diário_OF_Retenção" xfId="3029"/>
    <cellStyle name="_DESL PARA SET (2)_Diario_Retenção" xfId="3030"/>
    <cellStyle name="_DESL PARA SET (2)_Faturamento LD" xfId="3031"/>
    <cellStyle name="_DESL PARA SET (2)_Faturamento LD_BD Resumo diário Painel de Televendas Abril 2011" xfId="3032"/>
    <cellStyle name="_DESL PARA SET (2)_Faturamento LD_BD Resumo diário Painel de Televendas Janeiro 2011" xfId="3033"/>
    <cellStyle name="_DESL PARA SET (2)_Faturamento LD_BD Resumo diário Painel de Televendas Setembro 2010_BASE_UNICA" xfId="3034"/>
    <cellStyle name="_DESL PARA SET (2)_Faturamento LD_Faturamento TLV_Varejo_Ago 16-07 a 15-08-09 - V4 - Validação Cliente" xfId="3035"/>
    <cellStyle name="_DESL PARA SET (2)_Faturamento LD_Faturamento TLV_Varejo_Ago 16-07 a 15-08-09 - V4 - Validação Cliente_BD Resumo diário Painel de Televendas Abril 2011" xfId="3036"/>
    <cellStyle name="_DESL PARA SET (2)_Faturamento LD_Faturamento TLV_Varejo_Ago 16-07 a 15-08-09 - V4 - Validação Cliente_BD Resumo diário Painel de Televendas Janeiro 2011" xfId="3037"/>
    <cellStyle name="_DESL PARA SET (2)_Faturamento LD_Faturamento TLV_Varejo_Ago 16-07 a 15-08-09 - V4 - Validação Cliente_BD Resumo diário Painel de Televendas Setembro 2010_BASE_UNICA" xfId="3038"/>
    <cellStyle name="_DESL PARA SET (2)_Faturamento LD_Faturamento TLV_Varejo_Ago 16-07 a 15-08-09 - V4 - Validação Cliente_Painel de Retenção Junho 2011" xfId="3039"/>
    <cellStyle name="_DESL PARA SET (2)_Faturamento LD_Faturamento TLV_Varejo_Ago 16-07 a 15-08-09 - V4 - Validação Cliente_Pasta1" xfId="3040"/>
    <cellStyle name="_DESL PARA SET (2)_Faturamento LD_Faturamento TLV_Varejo_Ago 16-07 a 15-08-09 - V4 - Validação Cliente_Plan1" xfId="3041"/>
    <cellStyle name="_DESL PARA SET (2)_Faturamento LD_Faturamento TLV_Varejo_Ago 16-07 a 15-08-09 - V4 - Validação Cliente_Plan2" xfId="3042"/>
    <cellStyle name="_DESL PARA SET (2)_Faturamento LD_Faturamento TLV_Varejo_Ago 16-07 a 15-08-09 - V4 - Validação Cliente_Retenção" xfId="3043"/>
    <cellStyle name="_DESL PARA SET (2)_Faturamento LD_Faturamento TLV_Varejo_Ago 16-07 a 15-08-09 - V4 - Validação Cliente_Retenção Painel" xfId="3044"/>
    <cellStyle name="_DESL PARA SET (2)_Faturamento LD_Faturamento TLV_Varejo_Ago 16-07 a 15-08-09 - V4 - Validação Cliente_Televendas Painel" xfId="3045"/>
    <cellStyle name="_DESL PARA SET (2)_Faturamento LD_Faturamento TLV_Varejo_Ago 16-07 a 15-08-09 - V4 - Validação Cliente_Televendas Painel_ant" xfId="3046"/>
    <cellStyle name="_DESL PARA SET (2)_Faturamento LD_Painel de Retenção Junho 2011" xfId="3047"/>
    <cellStyle name="_DESL PARA SET (2)_Faturamento LD_Pasta1" xfId="3048"/>
    <cellStyle name="_DESL PARA SET (2)_Faturamento LD_Plan1" xfId="3049"/>
    <cellStyle name="_DESL PARA SET (2)_Faturamento LD_Plan2" xfId="3050"/>
    <cellStyle name="_DESL PARA SET (2)_Faturamento LD_Retenção" xfId="3051"/>
    <cellStyle name="_DESL PARA SET (2)_Faturamento LD_Retenção Painel" xfId="3052"/>
    <cellStyle name="_DESL PARA SET (2)_Faturamento LD_Televendas Painel" xfId="3053"/>
    <cellStyle name="_DESL PARA SET (2)_Faturamento LD_Televendas Painel_ant" xfId="3054"/>
    <cellStyle name="_DESL PARA SET (2)_Faturamento Oi fixo" xfId="3055"/>
    <cellStyle name="_DESL PARA SET (2)_Faturamento Oi fixo_BD Resumo diário Painel de Televendas Abril 2011" xfId="3056"/>
    <cellStyle name="_DESL PARA SET (2)_Faturamento Oi fixo_BD Resumo diário Painel de Televendas Janeiro 2011" xfId="3057"/>
    <cellStyle name="_DESL PARA SET (2)_Faturamento Oi fixo_BD Resumo diário Painel de Televendas Setembro 2010_BASE_UNICA" xfId="3058"/>
    <cellStyle name="_DESL PARA SET (2)_Faturamento Oi fixo_Faturamento TLV_Varejo_Ago 16-07 a 15-08-09 - V4 - Validação Cliente" xfId="3059"/>
    <cellStyle name="_DESL PARA SET (2)_Faturamento Oi fixo_Faturamento TLV_Varejo_Ago 16-07 a 15-08-09 - V4 - Validação Cliente_BD Resumo diário Painel de Televendas Abril 2011" xfId="3060"/>
    <cellStyle name="_DESL PARA SET (2)_Faturamento Oi fixo_Faturamento TLV_Varejo_Ago 16-07 a 15-08-09 - V4 - Validação Cliente_BD Resumo diário Painel de Televendas Janeiro 2011" xfId="3061"/>
    <cellStyle name="_DESL PARA SET (2)_Faturamento Oi fixo_Faturamento TLV_Varejo_Ago 16-07 a 15-08-09 - V4 - Validação Cliente_BD Resumo diário Painel de Televendas Setembro 2010_BASE_UNICA" xfId="3062"/>
    <cellStyle name="_DESL PARA SET (2)_Faturamento Oi fixo_Faturamento TLV_Varejo_Ago 16-07 a 15-08-09 - V4 - Validação Cliente_Painel de Retenção Junho 2011" xfId="3063"/>
    <cellStyle name="_DESL PARA SET (2)_Faturamento Oi fixo_Faturamento TLV_Varejo_Ago 16-07 a 15-08-09 - V4 - Validação Cliente_Pasta1" xfId="3064"/>
    <cellStyle name="_DESL PARA SET (2)_Faturamento Oi fixo_Faturamento TLV_Varejo_Ago 16-07 a 15-08-09 - V4 - Validação Cliente_Plan1" xfId="3065"/>
    <cellStyle name="_DESL PARA SET (2)_Faturamento Oi fixo_Faturamento TLV_Varejo_Ago 16-07 a 15-08-09 - V4 - Validação Cliente_Plan2" xfId="3066"/>
    <cellStyle name="_DESL PARA SET (2)_Faturamento Oi fixo_Faturamento TLV_Varejo_Ago 16-07 a 15-08-09 - V4 - Validação Cliente_Retenção" xfId="3067"/>
    <cellStyle name="_DESL PARA SET (2)_Faturamento Oi fixo_Faturamento TLV_Varejo_Ago 16-07 a 15-08-09 - V4 - Validação Cliente_Retenção Painel" xfId="3068"/>
    <cellStyle name="_DESL PARA SET (2)_Faturamento Oi fixo_Faturamento TLV_Varejo_Ago 16-07 a 15-08-09 - V4 - Validação Cliente_Televendas Painel" xfId="3069"/>
    <cellStyle name="_DESL PARA SET (2)_Faturamento Oi fixo_Faturamento TLV_Varejo_Ago 16-07 a 15-08-09 - V4 - Validação Cliente_Televendas Painel_ant" xfId="3070"/>
    <cellStyle name="_DESL PARA SET (2)_Faturamento Oi fixo_Painel de Retenção Junho 2011" xfId="3071"/>
    <cellStyle name="_DESL PARA SET (2)_Faturamento Oi fixo_Pasta1" xfId="3072"/>
    <cellStyle name="_DESL PARA SET (2)_Faturamento Oi fixo_Plan1" xfId="3073"/>
    <cellStyle name="_DESL PARA SET (2)_Faturamento Oi fixo_Plan2" xfId="3074"/>
    <cellStyle name="_DESL PARA SET (2)_Faturamento Oi fixo_Retenção" xfId="3075"/>
    <cellStyle name="_DESL PARA SET (2)_Faturamento Oi fixo_Retenção Painel" xfId="3076"/>
    <cellStyle name="_DESL PARA SET (2)_Faturamento Oi fixo_Televendas Painel" xfId="3077"/>
    <cellStyle name="_DESL PARA SET (2)_Faturamento Oi fixo_Televendas Painel_ant" xfId="3078"/>
    <cellStyle name="_DESL PARA SET (2)_Faturamento SD" xfId="3079"/>
    <cellStyle name="_DESL PARA SET (2)_Faturamento SD_BD Resumo diário Painel de Televendas Abril 2011" xfId="3080"/>
    <cellStyle name="_DESL PARA SET (2)_Faturamento SD_BD Resumo diário Painel de Televendas Janeiro 2011" xfId="3081"/>
    <cellStyle name="_DESL PARA SET (2)_Faturamento SD_BD Resumo diário Painel de Televendas Setembro 2010_BASE_UNICA" xfId="3082"/>
    <cellStyle name="_DESL PARA SET (2)_Faturamento SD_Faturamento TLV_Varejo_Ago 16-07 a 15-08-09 - V4 - Validação Cliente" xfId="3083"/>
    <cellStyle name="_DESL PARA SET (2)_Faturamento SD_Faturamento TLV_Varejo_Ago 16-07 a 15-08-09 - V4 - Validação Cliente_BD Resumo diário Painel de Televendas Abril 2011" xfId="3084"/>
    <cellStyle name="_DESL PARA SET (2)_Faturamento SD_Faturamento TLV_Varejo_Ago 16-07 a 15-08-09 - V4 - Validação Cliente_BD Resumo diário Painel de Televendas Janeiro 2011" xfId="3085"/>
    <cellStyle name="_DESL PARA SET (2)_Faturamento SD_Faturamento TLV_Varejo_Ago 16-07 a 15-08-09 - V4 - Validação Cliente_BD Resumo diário Painel de Televendas Setembro 2010_BASE_UNICA" xfId="3086"/>
    <cellStyle name="_DESL PARA SET (2)_Faturamento SD_Faturamento TLV_Varejo_Ago 16-07 a 15-08-09 - V4 - Validação Cliente_Painel de Retenção Junho 2011" xfId="3087"/>
    <cellStyle name="_DESL PARA SET (2)_Faturamento SD_Faturamento TLV_Varejo_Ago 16-07 a 15-08-09 - V4 - Validação Cliente_Pasta1" xfId="3088"/>
    <cellStyle name="_DESL PARA SET (2)_Faturamento SD_Faturamento TLV_Varejo_Ago 16-07 a 15-08-09 - V4 - Validação Cliente_Plan1" xfId="3089"/>
    <cellStyle name="_DESL PARA SET (2)_Faturamento SD_Faturamento TLV_Varejo_Ago 16-07 a 15-08-09 - V4 - Validação Cliente_Plan2" xfId="3090"/>
    <cellStyle name="_DESL PARA SET (2)_Faturamento SD_Faturamento TLV_Varejo_Ago 16-07 a 15-08-09 - V4 - Validação Cliente_Retenção" xfId="3091"/>
    <cellStyle name="_DESL PARA SET (2)_Faturamento SD_Faturamento TLV_Varejo_Ago 16-07 a 15-08-09 - V4 - Validação Cliente_Retenção Painel" xfId="3092"/>
    <cellStyle name="_DESL PARA SET (2)_Faturamento SD_Faturamento TLV_Varejo_Ago 16-07 a 15-08-09 - V4 - Validação Cliente_Televendas Painel" xfId="3093"/>
    <cellStyle name="_DESL PARA SET (2)_Faturamento SD_Faturamento TLV_Varejo_Ago 16-07 a 15-08-09 - V4 - Validação Cliente_Televendas Painel_ant" xfId="3094"/>
    <cellStyle name="_DESL PARA SET (2)_Faturamento SD_Painel de Retenção Junho 2011" xfId="3095"/>
    <cellStyle name="_DESL PARA SET (2)_Faturamento SD_Pasta1" xfId="3096"/>
    <cellStyle name="_DESL PARA SET (2)_Faturamento SD_Plan1" xfId="3097"/>
    <cellStyle name="_DESL PARA SET (2)_Faturamento SD_Plan2" xfId="3098"/>
    <cellStyle name="_DESL PARA SET (2)_Faturamento SD_Retenção" xfId="3099"/>
    <cellStyle name="_DESL PARA SET (2)_Faturamento SD_Retenção Painel" xfId="3100"/>
    <cellStyle name="_DESL PARA SET (2)_Faturamento SD_Televendas Painel" xfId="3101"/>
    <cellStyle name="_DESL PARA SET (2)_Faturamento SD_Televendas Painel_ant" xfId="3102"/>
    <cellStyle name="_DESL PARA SET (2)_Faturamento TLV_Varejo_Ago 16-07 a 15-08-09 - V4 - Validação Cliente" xfId="3103"/>
    <cellStyle name="_DESL PARA SET (2)_Faturamento TLV_Varejo_Ago 16-07 a 15-08-09 - V4 - Validação Cliente_BD Resumo diário Painel de Televendas Abril 2011" xfId="3104"/>
    <cellStyle name="_DESL PARA SET (2)_Faturamento TLV_Varejo_Ago 16-07 a 15-08-09 - V4 - Validação Cliente_BD Resumo diário Painel de Televendas Janeiro 2011" xfId="3105"/>
    <cellStyle name="_DESL PARA SET (2)_Faturamento TLV_Varejo_Ago 16-07 a 15-08-09 - V4 - Validação Cliente_BD Resumo diário Painel de Televendas Setembro 2010_BASE_UNICA" xfId="3106"/>
    <cellStyle name="_DESL PARA SET (2)_Faturamento TLV_Varejo_Ago 16-07 a 15-08-09 - V4 - Validação Cliente_Painel de Retenção Junho 2011" xfId="3107"/>
    <cellStyle name="_DESL PARA SET (2)_Faturamento TLV_Varejo_Ago 16-07 a 15-08-09 - V4 - Validação Cliente_Pasta1" xfId="3108"/>
    <cellStyle name="_DESL PARA SET (2)_Faturamento TLV_Varejo_Ago 16-07 a 15-08-09 - V4 - Validação Cliente_Plan1" xfId="3109"/>
    <cellStyle name="_DESL PARA SET (2)_Faturamento TLV_Varejo_Ago 16-07 a 15-08-09 - V4 - Validação Cliente_Plan2" xfId="3110"/>
    <cellStyle name="_DESL PARA SET (2)_Faturamento TLV_Varejo_Ago 16-07 a 15-08-09 - V4 - Validação Cliente_Retenção" xfId="3111"/>
    <cellStyle name="_DESL PARA SET (2)_Faturamento TLV_Varejo_Ago 16-07 a 15-08-09 - V4 - Validação Cliente_Retenção Painel" xfId="3112"/>
    <cellStyle name="_DESL PARA SET (2)_Faturamento TLV_Varejo_Ago 16-07 a 15-08-09 - V4 - Validação Cliente_Televendas Painel" xfId="3113"/>
    <cellStyle name="_DESL PARA SET (2)_Faturamento TLV_Varejo_Ago 16-07 a 15-08-09 - V4 - Validação Cliente_Televendas Painel_ant" xfId="3114"/>
    <cellStyle name="_DESL PARA SET (2)_Faturamento TLV_Varejo_Jun 16-05 a 15-06-09 - M3 - Validação Cliente_v2" xfId="3115"/>
    <cellStyle name="_DESL PARA SET (2)_Faturamento TLV_Varejo_Jun 16-05 a 15-06-09 - M3 - Validação Cliente_v2_BD Resumo diário Painel de Televendas Abril 2011" xfId="3116"/>
    <cellStyle name="_DESL PARA SET (2)_Faturamento TLV_Varejo_Jun 16-05 a 15-06-09 - M3 - Validação Cliente_v2_BD Resumo diário Painel de Televendas Janeiro 2011" xfId="3117"/>
    <cellStyle name="_DESL PARA SET (2)_Faturamento TLV_Varejo_Jun 16-05 a 15-06-09 - M3 - Validação Cliente_v2_BD Resumo diário Painel de Televendas Setembro 2010_BASE_UNICA" xfId="3118"/>
    <cellStyle name="_DESL PARA SET (2)_Faturamento TLV_Varejo_Jun 16-05 a 15-06-09 - M3 - Validação Cliente_v2_Painel de Retenção Junho 2011" xfId="3119"/>
    <cellStyle name="_DESL PARA SET (2)_Faturamento TLV_Varejo_Jun 16-05 a 15-06-09 - M3 - Validação Cliente_v2_Pasta1" xfId="3120"/>
    <cellStyle name="_DESL PARA SET (2)_Faturamento TLV_Varejo_Jun 16-05 a 15-06-09 - M3 - Validação Cliente_v2_Plan1" xfId="3121"/>
    <cellStyle name="_DESL PARA SET (2)_Faturamento TLV_Varejo_Jun 16-05 a 15-06-09 - M3 - Validação Cliente_v2_Plan2" xfId="3122"/>
    <cellStyle name="_DESL PARA SET (2)_Faturamento TLV_Varejo_Jun 16-05 a 15-06-09 - M3 - Validação Cliente_v2_Retenção" xfId="3123"/>
    <cellStyle name="_DESL PARA SET (2)_Faturamento TLV_Varejo_Jun 16-05 a 15-06-09 - M3 - Validação Cliente_v2_Retenção Painel" xfId="3124"/>
    <cellStyle name="_DESL PARA SET (2)_Faturamento TLV_Varejo_Jun 16-05 a 15-06-09 - M3 - Validação Cliente_v2_Televendas Painel" xfId="3125"/>
    <cellStyle name="_DESL PARA SET (2)_Faturamento TLV_Varejo_Jun 16-05 a 15-06-09 - M3 - Validação Cliente_v2_Televendas Painel_ant" xfId="3126"/>
    <cellStyle name="_DESL PARA SET (2)_Faturamento TLV_Varejo_Mai 16-04 a 15-05-09 - M3 - Validação Cliente_V2" xfId="3127"/>
    <cellStyle name="_DESL PARA SET (2)_Faturamento TLV_Varejo_Mai 16-04 a 15-05-09 - M3 - Validação Cliente_V2_BD Resumo diário Painel de Televendas Abril 2011" xfId="3128"/>
    <cellStyle name="_DESL PARA SET (2)_Faturamento TLV_Varejo_Mai 16-04 a 15-05-09 - M3 - Validação Cliente_V2_BD Resumo diário Painel de Televendas Janeiro 2011" xfId="3129"/>
    <cellStyle name="_DESL PARA SET (2)_Faturamento TLV_Varejo_Mai 16-04 a 15-05-09 - M3 - Validação Cliente_V2_BD Resumo diário Painel de Televendas Setembro 2010_BASE_UNICA" xfId="3130"/>
    <cellStyle name="_DESL PARA SET (2)_Faturamento TLV_Varejo_Mai 16-04 a 15-05-09 - M3 - Validação Cliente_V2_Painel de Retenção Junho 2011" xfId="3131"/>
    <cellStyle name="_DESL PARA SET (2)_Faturamento TLV_Varejo_Mai 16-04 a 15-05-09 - M3 - Validação Cliente_V2_Pasta1" xfId="3132"/>
    <cellStyle name="_DESL PARA SET (2)_Faturamento TLV_Varejo_Mai 16-04 a 15-05-09 - M3 - Validação Cliente_V2_Plan1" xfId="3133"/>
    <cellStyle name="_DESL PARA SET (2)_Faturamento TLV_Varejo_Mai 16-04 a 15-05-09 - M3 - Validação Cliente_V2_Plan2" xfId="3134"/>
    <cellStyle name="_DESL PARA SET (2)_Faturamento TLV_Varejo_Mai 16-04 a 15-05-09 - M3 - Validação Cliente_V2_Retenção" xfId="3135"/>
    <cellStyle name="_DESL PARA SET (2)_Faturamento TLV_Varejo_Mai 16-04 a 15-05-09 - M3 - Validação Cliente_V2_Retenção Painel" xfId="3136"/>
    <cellStyle name="_DESL PARA SET (2)_Faturamento TLV_Varejo_Mai 16-04 a 15-05-09 - M3 - Validação Cliente_V2_Televendas Painel" xfId="3137"/>
    <cellStyle name="_DESL PARA SET (2)_Faturamento TLV_Varejo_Mai 16-04 a 15-05-09 - M3 - Validação Cliente_V2_Televendas Painel_ant" xfId="3138"/>
    <cellStyle name="_DESL PARA SET (2)_Fechamento Faturamento Maio2008_ CE_Retenção Oi_Validação Final" xfId="3139"/>
    <cellStyle name="_DESL PARA SET (2)_Fechamento Faturamento Maio2008_ CE_Retenção Oi_Validação Final_BD Resumo diário Painel de Televendas Abril 2011" xfId="3140"/>
    <cellStyle name="_DESL PARA SET (2)_Fechamento Faturamento Maio2008_ CE_Retenção Oi_Validação Final_BD Resumo diário Painel de Televendas Janeiro 2011" xfId="3141"/>
    <cellStyle name="_DESL PARA SET (2)_Fechamento Faturamento Maio2008_ CE_Retenção Oi_Validação Final_BD Resumo diário Painel de Televendas Setembro 2010_BASE_UNICA" xfId="3142"/>
    <cellStyle name="_DESL PARA SET (2)_Fechamento Faturamento Maio2008_ CE_Retenção Oi_Validação Final_Painel de Retenção Junho 2011" xfId="3143"/>
    <cellStyle name="_DESL PARA SET (2)_Fechamento Faturamento Maio2008_ CE_Retenção Oi_Validação Final_Pasta1" xfId="3144"/>
    <cellStyle name="_DESL PARA SET (2)_Fechamento Faturamento Maio2008_ CE_Retenção Oi_Validação Final_Plan1" xfId="3145"/>
    <cellStyle name="_DESL PARA SET (2)_Fechamento Faturamento Maio2008_ CE_Retenção Oi_Validação Final_Plan2" xfId="3146"/>
    <cellStyle name="_DESL PARA SET (2)_Fechamento Faturamento Maio2008_ CE_Retenção Oi_Validação Final_Retenção" xfId="3147"/>
    <cellStyle name="_DESL PARA SET (2)_Fechamento Faturamento Maio2008_ CE_Retenção Oi_Validação Final_Retenção Painel" xfId="3148"/>
    <cellStyle name="_DESL PARA SET (2)_Fechamento Faturamento Maio2008_ CE_Retenção Oi_Validação Final_Televendas Painel" xfId="3149"/>
    <cellStyle name="_DESL PARA SET (2)_Fechamento Faturamento Maio2008_ CE_Retenção Oi_Validação Final_Televendas Painel_ant" xfId="3150"/>
    <cellStyle name="_DESL PARA SET (2)_Indicadores TLV 2008 (ORÇ 2009) V3" xfId="3151"/>
    <cellStyle name="_DESL PARA SET (2)_Indicadores TLV 2008 (ORÇ 2009) V3_BD Resumo diário Painel de Televendas Abril 2011" xfId="3152"/>
    <cellStyle name="_DESL PARA SET (2)_Indicadores TLV 2008 (ORÇ 2009) V3_BD Resumo diário Painel de Televendas Janeiro 2011" xfId="3153"/>
    <cellStyle name="_DESL PARA SET (2)_Indicadores TLV 2008 (ORÇ 2009) V3_BD Resumo diário Painel de Televendas Setembro 2010_BASE_UNICA" xfId="3154"/>
    <cellStyle name="_DESL PARA SET (2)_Indicadores TLV 2008 (ORÇ 2009) V3_Painel de Retenção Junho 2011" xfId="3155"/>
    <cellStyle name="_DESL PARA SET (2)_Indicadores TLV 2008 (ORÇ 2009) V3_Pasta1" xfId="3156"/>
    <cellStyle name="_DESL PARA SET (2)_Indicadores TLV 2008 (ORÇ 2009) V3_Plan1" xfId="3157"/>
    <cellStyle name="_DESL PARA SET (2)_Indicadores TLV 2008 (ORÇ 2009) V3_Plan2" xfId="3158"/>
    <cellStyle name="_DESL PARA SET (2)_Indicadores TLV 2008 (ORÇ 2009) V3_Retenção" xfId="3159"/>
    <cellStyle name="_DESL PARA SET (2)_Indicadores TLV 2008 (ORÇ 2009) V3_Retenção Painel" xfId="3160"/>
    <cellStyle name="_DESL PARA SET (2)_Indicadores TLV 2008 (ORÇ 2009) V3_Televendas Painel" xfId="3161"/>
    <cellStyle name="_DESL PARA SET (2)_Indicadores TLV 2008 (ORÇ 2009) V3_Televendas Painel_ant" xfId="3162"/>
    <cellStyle name="_DESL PARA SET (2)_Indicadores TLV AV 2009 (ORÇADO)" xfId="3163"/>
    <cellStyle name="_DESL PARA SET (2)_Indicadores TLV AV 2009 (ORÇADO)_BD Resumo diário Painel de Televendas Abril 2011" xfId="3164"/>
    <cellStyle name="_DESL PARA SET (2)_Indicadores TLV AV 2009 (ORÇADO)_BD Resumo diário Painel de Televendas Janeiro 2011" xfId="3165"/>
    <cellStyle name="_DESL PARA SET (2)_Indicadores TLV AV 2009 (ORÇADO)_BD Resumo diário Painel de Televendas Setembro 2010_BASE_UNICA" xfId="3166"/>
    <cellStyle name="_DESL PARA SET (2)_Indicadores TLV AV 2009 (ORÇADO)_Painel de Retenção Junho 2011" xfId="3167"/>
    <cellStyle name="_DESL PARA SET (2)_Indicadores TLV AV 2009 (ORÇADO)_Pasta1" xfId="3168"/>
    <cellStyle name="_DESL PARA SET (2)_Indicadores TLV AV 2009 (ORÇADO)_Plan1" xfId="3169"/>
    <cellStyle name="_DESL PARA SET (2)_Indicadores TLV AV 2009 (ORÇADO)_Plan2" xfId="3170"/>
    <cellStyle name="_DESL PARA SET (2)_Indicadores TLV AV 2009 (ORÇADO)_Retenção" xfId="3171"/>
    <cellStyle name="_DESL PARA SET (2)_Indicadores TLV AV 2009 (ORÇADO)_Retenção Painel" xfId="3172"/>
    <cellStyle name="_DESL PARA SET (2)_Indicadores TLV AV 2009 (ORÇADO)_Televendas Painel" xfId="3173"/>
    <cellStyle name="_DESL PARA SET (2)_Indicadores TLV AV 2009 (ORÇADO)_Televendas Painel_ant" xfId="3174"/>
    <cellStyle name="_DESL PARA SET (2)_Info Gerencial Mai08" xfId="3175"/>
    <cellStyle name="_DESL PARA SET (2)_Info Gerencial Mai08 2" xfId="3176"/>
    <cellStyle name="_DESL PARA SET (2)_Info Gerencial Mai08_Base" xfId="3177"/>
    <cellStyle name="_DESL PARA SET (2)_Info Gerencial Mai08_D_Movel" xfId="3178"/>
    <cellStyle name="_DESL PARA SET (2)_Info Gerencial Mai08_D_Ret_Fixa_EMP" xfId="3179"/>
    <cellStyle name="_DESL PARA SET (2)_Info Gerencial Mai08_D_Ret_Fixa_EMP_1" xfId="3180"/>
    <cellStyle name="_DESL PARA SET (2)_Info Gerencial Mai08_D_Ret_Fixa_EMP_2" xfId="3181"/>
    <cellStyle name="_DESL PARA SET (2)_Info Gerencial Mai08_D_Ret_Fixa_EMP_3" xfId="3182"/>
    <cellStyle name="_DESL PARA SET (2)_Info Gerencial Mai08_D_Ret_Fixa_EMP_4" xfId="3183"/>
    <cellStyle name="_DESL PARA SET (2)_Info Gerencial Mai08_D_Ret_Fixa_EMP_5" xfId="3184"/>
    <cellStyle name="_DESL PARA SET (2)_Info Gerencial Mai08_D_Ret_Fixa_EMP_6" xfId="3185"/>
    <cellStyle name="_DESL PARA SET (2)_Info Gerencial Mai08_D_Ret_Fixa_EMP_7" xfId="3186"/>
    <cellStyle name="_DESL PARA SET (2)_Info Gerencial Mai08_D_Ret_Fixa_EMP_8" xfId="3187"/>
    <cellStyle name="_DESL PARA SET (2)_Info Gerencial Mai08_D_Ret_Fixa_VAR" xfId="3188"/>
    <cellStyle name="_DESL PARA SET (2)_Info Gerencial Mai08_D_Ret_Fixa_VAR_1" xfId="3189"/>
    <cellStyle name="_DESL PARA SET (2)_Info Gerencial Mai08_D_Ret_Fixa_VAR_2" xfId="3190"/>
    <cellStyle name="_DESL PARA SET (2)_Info Gerencial Mai08_D_Ret_Fixa_VAR_3" xfId="3191"/>
    <cellStyle name="_DESL PARA SET (2)_Info Gerencial Mai08_D_Ret_Fixa_VAR_4" xfId="3192"/>
    <cellStyle name="_DESL PARA SET (2)_Info Gerencial Mai08_D_Ret_Fixa_VAR_5" xfId="3193"/>
    <cellStyle name="_DESL PARA SET (2)_Info Gerencial Mai08_D_Ret_Fixa_VAR_6" xfId="3194"/>
    <cellStyle name="_DESL PARA SET (2)_Info Gerencial Mai08_D_Ret_Fixa_VAR_7" xfId="3195"/>
    <cellStyle name="_DESL PARA SET (2)_Info Gerencial Mai08_D_Ret_Fixa_VAR_8" xfId="3196"/>
    <cellStyle name="_DESL PARA SET (2)_Info Gerencial Mai08_Mig Ret 3G" xfId="3197"/>
    <cellStyle name="_DESL PARA SET (2)_Info Gerencial Mai08_Mig Ret 3G_1" xfId="3198"/>
    <cellStyle name="_DESL PARA SET (2)_Info Gerencial Mai08_Mig Ret 3G_2" xfId="3199"/>
    <cellStyle name="_DESL PARA SET (2)_Info Gerencial Mai08_Mig Ret 3G_3" xfId="3200"/>
    <cellStyle name="_DESL PARA SET (2)_Info Gerencial Mai08_Mig Ret 3G_4" xfId="3201"/>
    <cellStyle name="_DESL PARA SET (2)_Info Gerencial Mai08_Mig Ret 3G_5" xfId="3202"/>
    <cellStyle name="_DESL PARA SET (2)_Info Gerencial Mai08_Mig Ret 3G_6" xfId="3203"/>
    <cellStyle name="_DESL PARA SET (2)_Info Gerencial Mai08_Mig Ret 3G_7" xfId="3204"/>
    <cellStyle name="_DESL PARA SET (2)_Info Gerencial Mai08_Movel" xfId="3205"/>
    <cellStyle name="_DESL PARA SET (2)_Info Gerencial Mai08_Movel_1" xfId="3206"/>
    <cellStyle name="_DESL PARA SET (2)_Info Gerencial Mai08_Movel_2" xfId="3207"/>
    <cellStyle name="_DESL PARA SET (2)_Info Gerencial Mai08_Movel_3" xfId="3208"/>
    <cellStyle name="_DESL PARA SET (2)_Info Gerencial Mai08_Movel_4" xfId="3209"/>
    <cellStyle name="_DESL PARA SET (2)_Info Gerencial Mai08_Movel_5" xfId="3210"/>
    <cellStyle name="_DESL PARA SET (2)_Info Gerencial Mai08_Movel_6" xfId="3211"/>
    <cellStyle name="_DESL PARA SET (2)_Info Gerencial Mai08_Movel_7" xfId="3212"/>
    <cellStyle name="_DESL PARA SET (2)_Info Gerencial Mai08_Retenção" xfId="3213"/>
    <cellStyle name="_DESL PARA SET (2)_Info Gerencial Mar08" xfId="3214"/>
    <cellStyle name="_DESL PARA SET (2)_Info Gerencial Mar08_BD Resumo diário Painel de Televendas Abril 2011" xfId="3215"/>
    <cellStyle name="_DESL PARA SET (2)_Info Gerencial Mar08_BD Resumo diário Painel de Televendas Janeiro 2011" xfId="3216"/>
    <cellStyle name="_DESL PARA SET (2)_Info Gerencial Mar08_BD Resumo diário Painel de Televendas Setembro 2010_BASE_UNICA" xfId="3217"/>
    <cellStyle name="_DESL PARA SET (2)_Info Gerencial Mar08_Painel de Retenção Junho 2011" xfId="3218"/>
    <cellStyle name="_DESL PARA SET (2)_Info Gerencial Mar08_Pasta1" xfId="3219"/>
    <cellStyle name="_DESL PARA SET (2)_Info Gerencial Mar08_Plan1" xfId="3220"/>
    <cellStyle name="_DESL PARA SET (2)_Info Gerencial Mar08_Plan2" xfId="3221"/>
    <cellStyle name="_DESL PARA SET (2)_Info Gerencial Mar08_Retenção" xfId="3222"/>
    <cellStyle name="_DESL PARA SET (2)_Info Gerencial Mar08_Retenção Painel" xfId="3223"/>
    <cellStyle name="_DESL PARA SET (2)_Info Gerencial Mar08_Televendas Painel" xfId="3224"/>
    <cellStyle name="_DESL PARA SET (2)_Info Gerencial Mar08_Televendas Painel_ant" xfId="3225"/>
    <cellStyle name="_DESL PARA SET (2)_Info Gerencial Mar08_TENDÊNCIA RET VAR CONTROLE" xfId="3226"/>
    <cellStyle name="_DESL PARA SET (2)_Info Gerencial Mar08_TENDÊNCIA RET VAR CONTROLE_Base" xfId="3227"/>
    <cellStyle name="_DESL PARA SET (2)_Info Gerencial Mar08_TENDÊNCIA RET VAR CONTROLE_D_Ret_Fixa_EMP" xfId="3228"/>
    <cellStyle name="_DESL PARA SET (2)_Info Gerencial Mar08_TENDÊNCIA RET VAR CONTROLE_D_Ret_Fixa_EMP_1" xfId="3229"/>
    <cellStyle name="_DESL PARA SET (2)_Info Gerencial Mar08_TENDÊNCIA RET VAR CONTROLE_D_Ret_Fixa_EMP_2" xfId="3230"/>
    <cellStyle name="_DESL PARA SET (2)_Info Gerencial Mar08_TENDÊNCIA RET VAR CONTROLE_D_Ret_Fixa_EMP_3" xfId="3231"/>
    <cellStyle name="_DESL PARA SET (2)_Info Gerencial Mar08_TENDÊNCIA RET VAR CONTROLE_D_Ret_Fixa_EMP_4" xfId="3232"/>
    <cellStyle name="_DESL PARA SET (2)_Info Gerencial Mar08_TENDÊNCIA RET VAR CONTROLE_D_Ret_Fixa_EMP_5" xfId="3233"/>
    <cellStyle name="_DESL PARA SET (2)_Info Gerencial Mar08_TENDÊNCIA RET VAR CONTROLE_D_Ret_Fixa_EMP_6" xfId="3234"/>
    <cellStyle name="_DESL PARA SET (2)_Info Gerencial Mar08_TENDÊNCIA RET VAR CONTROLE_D_Ret_Fixa_EMP_7" xfId="3235"/>
    <cellStyle name="_DESL PARA SET (2)_Info Gerencial Mar08_TENDÊNCIA RET VAR CONTROLE_D_Ret_Fixa_EMP_8" xfId="3236"/>
    <cellStyle name="_DESL PARA SET (2)_Info Gerencial Mar08_TENDÊNCIA RET VAR CONTROLE_D_Ret_Fixa_VAR" xfId="3237"/>
    <cellStyle name="_DESL PARA SET (2)_Info Gerencial Mar08_TENDÊNCIA RET VAR CONTROLE_D_Ret_Fixa_VAR_1" xfId="3238"/>
    <cellStyle name="_DESL PARA SET (2)_Info Gerencial Mar08_TENDÊNCIA RET VAR CONTROLE_D_Ret_Fixa_VAR_2" xfId="3239"/>
    <cellStyle name="_DESL PARA SET (2)_Info Gerencial Mar08_TENDÊNCIA RET VAR CONTROLE_D_Ret_Fixa_VAR_3" xfId="3240"/>
    <cellStyle name="_DESL PARA SET (2)_Info Gerencial Mar08_TENDÊNCIA RET VAR CONTROLE_D_Ret_Fixa_VAR_4" xfId="3241"/>
    <cellStyle name="_DESL PARA SET (2)_Info Gerencial Mar08_TENDÊNCIA RET VAR CONTROLE_D_Ret_Fixa_VAR_5" xfId="3242"/>
    <cellStyle name="_DESL PARA SET (2)_Info Gerencial Mar08_TENDÊNCIA RET VAR CONTROLE_D_Ret_Fixa_VAR_6" xfId="3243"/>
    <cellStyle name="_DESL PARA SET (2)_Info Gerencial Mar08_TENDÊNCIA RET VAR CONTROLE_D_Ret_Fixa_VAR_7" xfId="3244"/>
    <cellStyle name="_DESL PARA SET (2)_Info Gerencial Mar08_TENDÊNCIA RET VAR CONTROLE_D_Ret_Fixa_VAR_8" xfId="3245"/>
    <cellStyle name="_DESL PARA SET (2)_Info Gerencial Mar08_TENDÊNCIA RET VAR CONTROLE_Mig Ret 3G" xfId="3246"/>
    <cellStyle name="_DESL PARA SET (2)_Info Gerencial Mar08_TENDÊNCIA RET VAR CONTROLE_Mig Ret 3G_1" xfId="3247"/>
    <cellStyle name="_DESL PARA SET (2)_Info Gerencial Mar08_TENDÊNCIA RET VAR CONTROLE_Mig Ret 3G_2" xfId="3248"/>
    <cellStyle name="_DESL PARA SET (2)_Info Gerencial Mar08_TENDÊNCIA RET VAR CONTROLE_Mig Ret 3G_3" xfId="3249"/>
    <cellStyle name="_DESL PARA SET (2)_Info Gerencial Mar08_TENDÊNCIA RET VAR CONTROLE_Mig Ret 3G_4" xfId="3250"/>
    <cellStyle name="_DESL PARA SET (2)_Info Gerencial Mar08_TENDÊNCIA RET VAR CONTROLE_Mig Ret 3G_5" xfId="3251"/>
    <cellStyle name="_DESL PARA SET (2)_Info Gerencial Mar08_TENDÊNCIA RET VAR CONTROLE_Mig Ret 3G_6" xfId="3252"/>
    <cellStyle name="_DESL PARA SET (2)_Info Gerencial Mar08_TENDÊNCIA RET VAR CONTROLE_Mig Ret 3G_7" xfId="3253"/>
    <cellStyle name="_DESL PARA SET (2)_Info Gerencial Mar08_TENDÊNCIA RET VAR CONTROLE_Movel" xfId="3254"/>
    <cellStyle name="_DESL PARA SET (2)_Info Gerencial Mar08_TENDÊNCIA RET VAR CONTROLE_Movel_1" xfId="3255"/>
    <cellStyle name="_DESL PARA SET (2)_Info Gerencial Mar08_TENDÊNCIA RET VAR CONTROLE_Movel_2" xfId="3256"/>
    <cellStyle name="_DESL PARA SET (2)_Info Gerencial Mar08_TENDÊNCIA RET VAR CONTROLE_Movel_3" xfId="3257"/>
    <cellStyle name="_DESL PARA SET (2)_Info Gerencial Mar08_TENDÊNCIA RET VAR CONTROLE_Movel_4" xfId="3258"/>
    <cellStyle name="_DESL PARA SET (2)_Info Gerencial Mar08_TENDÊNCIA RET VAR CONTROLE_Movel_5" xfId="3259"/>
    <cellStyle name="_DESL PARA SET (2)_Info Gerencial Mar08_TENDÊNCIA RET VAR CONTROLE_Movel_6" xfId="3260"/>
    <cellStyle name="_DESL PARA SET (2)_Info Gerencial Mar08_TENDÊNCIA RET VAR CONTROLE_Movel_7" xfId="3261"/>
    <cellStyle name="_DESL PARA SET (2)_Info Gerencial Mar08_TENDÊNCIA RET VAR CONTROLE_Retenção" xfId="3262"/>
    <cellStyle name="_DESL PARA SET (2)_Info Gerencial Mar08_TENDÊNCIA RET VAR VOL" xfId="3263"/>
    <cellStyle name="_DESL PARA SET (2)_Info Gerencial Mar08_TENDÊNCIA RET VAR VOL 2" xfId="3264"/>
    <cellStyle name="_DESL PARA SET (2)_Info Gerencial Mar08_TENDÊNCIA RET VAR VOL_Base" xfId="3265"/>
    <cellStyle name="_DESL PARA SET (2)_Info Gerencial Mar08_TENDÊNCIA RET VAR VOL_D_Movel" xfId="3266"/>
    <cellStyle name="_DESL PARA SET (2)_Info Gerencial Mar08_TENDÊNCIA RET VAR VOL_D_Ret_Fixa_EMP" xfId="3267"/>
    <cellStyle name="_DESL PARA SET (2)_Info Gerencial Mar08_TENDÊNCIA RET VAR VOL_D_Ret_Fixa_EMP_1" xfId="3268"/>
    <cellStyle name="_DESL PARA SET (2)_Info Gerencial Mar08_TENDÊNCIA RET VAR VOL_D_Ret_Fixa_EMP_2" xfId="3269"/>
    <cellStyle name="_DESL PARA SET (2)_Info Gerencial Mar08_TENDÊNCIA RET VAR VOL_D_Ret_Fixa_EMP_3" xfId="3270"/>
    <cellStyle name="_DESL PARA SET (2)_Info Gerencial Mar08_TENDÊNCIA RET VAR VOL_D_Ret_Fixa_EMP_4" xfId="3271"/>
    <cellStyle name="_DESL PARA SET (2)_Info Gerencial Mar08_TENDÊNCIA RET VAR VOL_D_Ret_Fixa_EMP_5" xfId="3272"/>
    <cellStyle name="_DESL PARA SET (2)_Info Gerencial Mar08_TENDÊNCIA RET VAR VOL_D_Ret_Fixa_EMP_6" xfId="3273"/>
    <cellStyle name="_DESL PARA SET (2)_Info Gerencial Mar08_TENDÊNCIA RET VAR VOL_D_Ret_Fixa_EMP_7" xfId="3274"/>
    <cellStyle name="_DESL PARA SET (2)_Info Gerencial Mar08_TENDÊNCIA RET VAR VOL_D_Ret_Fixa_EMP_8" xfId="3275"/>
    <cellStyle name="_DESL PARA SET (2)_Info Gerencial Mar08_TENDÊNCIA RET VAR VOL_D_Ret_Fixa_VAR" xfId="3276"/>
    <cellStyle name="_DESL PARA SET (2)_Info Gerencial Mar08_TENDÊNCIA RET VAR VOL_D_Ret_Fixa_VAR_1" xfId="3277"/>
    <cellStyle name="_DESL PARA SET (2)_Info Gerencial Mar08_TENDÊNCIA RET VAR VOL_D_Ret_Fixa_VAR_2" xfId="3278"/>
    <cellStyle name="_DESL PARA SET (2)_Info Gerencial Mar08_TENDÊNCIA RET VAR VOL_D_Ret_Fixa_VAR_3" xfId="3279"/>
    <cellStyle name="_DESL PARA SET (2)_Info Gerencial Mar08_TENDÊNCIA RET VAR VOL_D_Ret_Fixa_VAR_4" xfId="3280"/>
    <cellStyle name="_DESL PARA SET (2)_Info Gerencial Mar08_TENDÊNCIA RET VAR VOL_D_Ret_Fixa_VAR_5" xfId="3281"/>
    <cellStyle name="_DESL PARA SET (2)_Info Gerencial Mar08_TENDÊNCIA RET VAR VOL_D_Ret_Fixa_VAR_6" xfId="3282"/>
    <cellStyle name="_DESL PARA SET (2)_Info Gerencial Mar08_TENDÊNCIA RET VAR VOL_D_Ret_Fixa_VAR_7" xfId="3283"/>
    <cellStyle name="_DESL PARA SET (2)_Info Gerencial Mar08_TENDÊNCIA RET VAR VOL_D_Ret_Fixa_VAR_8" xfId="3284"/>
    <cellStyle name="_DESL PARA SET (2)_Info Gerencial Mar08_TENDÊNCIA RET VAR VOL_Mig Ret 3G" xfId="3285"/>
    <cellStyle name="_DESL PARA SET (2)_Info Gerencial Mar08_TENDÊNCIA RET VAR VOL_Mig Ret 3G_1" xfId="3286"/>
    <cellStyle name="_DESL PARA SET (2)_Info Gerencial Mar08_TENDÊNCIA RET VAR VOL_Mig Ret 3G_2" xfId="3287"/>
    <cellStyle name="_DESL PARA SET (2)_Info Gerencial Mar08_TENDÊNCIA RET VAR VOL_Mig Ret 3G_3" xfId="3288"/>
    <cellStyle name="_DESL PARA SET (2)_Info Gerencial Mar08_TENDÊNCIA RET VAR VOL_Mig Ret 3G_4" xfId="3289"/>
    <cellStyle name="_DESL PARA SET (2)_Info Gerencial Mar08_TENDÊNCIA RET VAR VOL_Mig Ret 3G_5" xfId="3290"/>
    <cellStyle name="_DESL PARA SET (2)_Info Gerencial Mar08_TENDÊNCIA RET VAR VOL_Mig Ret 3G_6" xfId="3291"/>
    <cellStyle name="_DESL PARA SET (2)_Info Gerencial Mar08_TENDÊNCIA RET VAR VOL_Mig Ret 3G_7" xfId="3292"/>
    <cellStyle name="_DESL PARA SET (2)_Info Gerencial Mar08_TENDÊNCIA RET VAR VOL_Movel" xfId="3293"/>
    <cellStyle name="_DESL PARA SET (2)_Info Gerencial Mar08_TENDÊNCIA RET VAR VOL_Movel_1" xfId="3294"/>
    <cellStyle name="_DESL PARA SET (2)_Info Gerencial Mar08_TENDÊNCIA RET VAR VOL_Movel_2" xfId="3295"/>
    <cellStyle name="_DESL PARA SET (2)_Info Gerencial Mar08_TENDÊNCIA RET VAR VOL_Movel_3" xfId="3296"/>
    <cellStyle name="_DESL PARA SET (2)_Info Gerencial Mar08_TENDÊNCIA RET VAR VOL_Movel_4" xfId="3297"/>
    <cellStyle name="_DESL PARA SET (2)_Info Gerencial Mar08_TENDÊNCIA RET VAR VOL_Movel_5" xfId="3298"/>
    <cellStyle name="_DESL PARA SET (2)_Info Gerencial Mar08_TENDÊNCIA RET VAR VOL_Movel_6" xfId="3299"/>
    <cellStyle name="_DESL PARA SET (2)_Info Gerencial Mar08_TENDÊNCIA RET VAR VOL_Movel_7" xfId="3300"/>
    <cellStyle name="_DESL PARA SET (2)_Info Gerencial Mar08_TENDÊNCIA RET VAR VOL_Retenção" xfId="3301"/>
    <cellStyle name="_DESL PARA SET (2)_Info Gerencial Out" xfId="3302"/>
    <cellStyle name="_DESL PARA SET (2)_Info Gerencial Out_BD Resumo diário Painel de Televendas Abril 2011" xfId="3303"/>
    <cellStyle name="_DESL PARA SET (2)_Info Gerencial Out_BD Resumo diário Painel de Televendas Janeiro 2011" xfId="3304"/>
    <cellStyle name="_DESL PARA SET (2)_Info Gerencial Out_BD Resumo diário Painel de Televendas Setembro 2010_BASE_UNICA" xfId="3305"/>
    <cellStyle name="_DESL PARA SET (2)_Info Gerencial Out_Painel de Retenção Junho 2011" xfId="3306"/>
    <cellStyle name="_DESL PARA SET (2)_Info Gerencial Out_Pasta1" xfId="3307"/>
    <cellStyle name="_DESL PARA SET (2)_Info Gerencial Out_Plan1" xfId="3308"/>
    <cellStyle name="_DESL PARA SET (2)_Info Gerencial Out_Plan2" xfId="3309"/>
    <cellStyle name="_DESL PARA SET (2)_Info Gerencial Out_Retenção" xfId="3310"/>
    <cellStyle name="_DESL PARA SET (2)_Info Gerencial Out_Retenção Painel" xfId="3311"/>
    <cellStyle name="_DESL PARA SET (2)_Info Gerencial Out_Televendas Painel" xfId="3312"/>
    <cellStyle name="_DESL PARA SET (2)_Info Gerencial Out_Televendas Painel_ant" xfId="3313"/>
    <cellStyle name="_DESL PARA SET (2)_Info Gerencial Out_TENDÊNCIA RET VAR CONTROLE" xfId="3314"/>
    <cellStyle name="_DESL PARA SET (2)_Info Gerencial Out_TENDÊNCIA RET VAR CONTROLE_Base" xfId="3315"/>
    <cellStyle name="_DESL PARA SET (2)_Info Gerencial Out_TENDÊNCIA RET VAR CONTROLE_D_Ret_Fixa_EMP" xfId="3316"/>
    <cellStyle name="_DESL PARA SET (2)_Info Gerencial Out_TENDÊNCIA RET VAR CONTROLE_D_Ret_Fixa_EMP_1" xfId="3317"/>
    <cellStyle name="_DESL PARA SET (2)_Info Gerencial Out_TENDÊNCIA RET VAR CONTROLE_D_Ret_Fixa_EMP_2" xfId="3318"/>
    <cellStyle name="_DESL PARA SET (2)_Info Gerencial Out_TENDÊNCIA RET VAR CONTROLE_D_Ret_Fixa_EMP_3" xfId="3319"/>
    <cellStyle name="_DESL PARA SET (2)_Info Gerencial Out_TENDÊNCIA RET VAR CONTROLE_D_Ret_Fixa_EMP_4" xfId="3320"/>
    <cellStyle name="_DESL PARA SET (2)_Info Gerencial Out_TENDÊNCIA RET VAR CONTROLE_D_Ret_Fixa_EMP_5" xfId="3321"/>
    <cellStyle name="_DESL PARA SET (2)_Info Gerencial Out_TENDÊNCIA RET VAR CONTROLE_D_Ret_Fixa_EMP_6" xfId="3322"/>
    <cellStyle name="_DESL PARA SET (2)_Info Gerencial Out_TENDÊNCIA RET VAR CONTROLE_D_Ret_Fixa_EMP_7" xfId="3323"/>
    <cellStyle name="_DESL PARA SET (2)_Info Gerencial Out_TENDÊNCIA RET VAR CONTROLE_D_Ret_Fixa_EMP_8" xfId="3324"/>
    <cellStyle name="_DESL PARA SET (2)_Info Gerencial Out_TENDÊNCIA RET VAR CONTROLE_D_Ret_Fixa_VAR" xfId="3325"/>
    <cellStyle name="_DESL PARA SET (2)_Info Gerencial Out_TENDÊNCIA RET VAR CONTROLE_D_Ret_Fixa_VAR_1" xfId="3326"/>
    <cellStyle name="_DESL PARA SET (2)_Info Gerencial Out_TENDÊNCIA RET VAR CONTROLE_D_Ret_Fixa_VAR_2" xfId="3327"/>
    <cellStyle name="_DESL PARA SET (2)_Info Gerencial Out_TENDÊNCIA RET VAR CONTROLE_D_Ret_Fixa_VAR_3" xfId="3328"/>
    <cellStyle name="_DESL PARA SET (2)_Info Gerencial Out_TENDÊNCIA RET VAR CONTROLE_D_Ret_Fixa_VAR_4" xfId="3329"/>
    <cellStyle name="_DESL PARA SET (2)_Info Gerencial Out_TENDÊNCIA RET VAR CONTROLE_D_Ret_Fixa_VAR_5" xfId="3330"/>
    <cellStyle name="_DESL PARA SET (2)_Info Gerencial Out_TENDÊNCIA RET VAR CONTROLE_D_Ret_Fixa_VAR_6" xfId="3331"/>
    <cellStyle name="_DESL PARA SET (2)_Info Gerencial Out_TENDÊNCIA RET VAR CONTROLE_D_Ret_Fixa_VAR_7" xfId="3332"/>
    <cellStyle name="_DESL PARA SET (2)_Info Gerencial Out_TENDÊNCIA RET VAR CONTROLE_D_Ret_Fixa_VAR_8" xfId="3333"/>
    <cellStyle name="_DESL PARA SET (2)_Info Gerencial Out_TENDÊNCIA RET VAR CONTROLE_Mig Ret 3G" xfId="3334"/>
    <cellStyle name="_DESL PARA SET (2)_Info Gerencial Out_TENDÊNCIA RET VAR CONTROLE_Mig Ret 3G_1" xfId="3335"/>
    <cellStyle name="_DESL PARA SET (2)_Info Gerencial Out_TENDÊNCIA RET VAR CONTROLE_Mig Ret 3G_2" xfId="3336"/>
    <cellStyle name="_DESL PARA SET (2)_Info Gerencial Out_TENDÊNCIA RET VAR CONTROLE_Mig Ret 3G_3" xfId="3337"/>
    <cellStyle name="_DESL PARA SET (2)_Info Gerencial Out_TENDÊNCIA RET VAR CONTROLE_Mig Ret 3G_4" xfId="3338"/>
    <cellStyle name="_DESL PARA SET (2)_Info Gerencial Out_TENDÊNCIA RET VAR CONTROLE_Mig Ret 3G_5" xfId="3339"/>
    <cellStyle name="_DESL PARA SET (2)_Info Gerencial Out_TENDÊNCIA RET VAR CONTROLE_Mig Ret 3G_6" xfId="3340"/>
    <cellStyle name="_DESL PARA SET (2)_Info Gerencial Out_TENDÊNCIA RET VAR CONTROLE_Mig Ret 3G_7" xfId="3341"/>
    <cellStyle name="_DESL PARA SET (2)_Info Gerencial Out_TENDÊNCIA RET VAR CONTROLE_Movel" xfId="3342"/>
    <cellStyle name="_DESL PARA SET (2)_Info Gerencial Out_TENDÊNCIA RET VAR CONTROLE_Movel_1" xfId="3343"/>
    <cellStyle name="_DESL PARA SET (2)_Info Gerencial Out_TENDÊNCIA RET VAR CONTROLE_Movel_2" xfId="3344"/>
    <cellStyle name="_DESL PARA SET (2)_Info Gerencial Out_TENDÊNCIA RET VAR CONTROLE_Movel_3" xfId="3345"/>
    <cellStyle name="_DESL PARA SET (2)_Info Gerencial Out_TENDÊNCIA RET VAR CONTROLE_Movel_4" xfId="3346"/>
    <cellStyle name="_DESL PARA SET (2)_Info Gerencial Out_TENDÊNCIA RET VAR CONTROLE_Movel_5" xfId="3347"/>
    <cellStyle name="_DESL PARA SET (2)_Info Gerencial Out_TENDÊNCIA RET VAR CONTROLE_Movel_6" xfId="3348"/>
    <cellStyle name="_DESL PARA SET (2)_Info Gerencial Out_TENDÊNCIA RET VAR CONTROLE_Movel_7" xfId="3349"/>
    <cellStyle name="_DESL PARA SET (2)_Info Gerencial Out_TENDÊNCIA RET VAR CONTROLE_Retenção" xfId="3350"/>
    <cellStyle name="_DESL PARA SET (2)_Info Gerencial Out_TENDÊNCIA RET VAR VOL" xfId="3351"/>
    <cellStyle name="_DESL PARA SET (2)_Info Gerencial Out_TENDÊNCIA RET VAR VOL 2" xfId="3352"/>
    <cellStyle name="_DESL PARA SET (2)_Info Gerencial Out_TENDÊNCIA RET VAR VOL_Base" xfId="3353"/>
    <cellStyle name="_DESL PARA SET (2)_Info Gerencial Out_TENDÊNCIA RET VAR VOL_D_Movel" xfId="3354"/>
    <cellStyle name="_DESL PARA SET (2)_Info Gerencial Out_TENDÊNCIA RET VAR VOL_D_Ret_Fixa_EMP" xfId="3355"/>
    <cellStyle name="_DESL PARA SET (2)_Info Gerencial Out_TENDÊNCIA RET VAR VOL_D_Ret_Fixa_EMP_1" xfId="3356"/>
    <cellStyle name="_DESL PARA SET (2)_Info Gerencial Out_TENDÊNCIA RET VAR VOL_D_Ret_Fixa_EMP_2" xfId="3357"/>
    <cellStyle name="_DESL PARA SET (2)_Info Gerencial Out_TENDÊNCIA RET VAR VOL_D_Ret_Fixa_EMP_3" xfId="3358"/>
    <cellStyle name="_DESL PARA SET (2)_Info Gerencial Out_TENDÊNCIA RET VAR VOL_D_Ret_Fixa_EMP_4" xfId="3359"/>
    <cellStyle name="_DESL PARA SET (2)_Info Gerencial Out_TENDÊNCIA RET VAR VOL_D_Ret_Fixa_EMP_5" xfId="3360"/>
    <cellStyle name="_DESL PARA SET (2)_Info Gerencial Out_TENDÊNCIA RET VAR VOL_D_Ret_Fixa_EMP_6" xfId="3361"/>
    <cellStyle name="_DESL PARA SET (2)_Info Gerencial Out_TENDÊNCIA RET VAR VOL_D_Ret_Fixa_EMP_7" xfId="3362"/>
    <cellStyle name="_DESL PARA SET (2)_Info Gerencial Out_TENDÊNCIA RET VAR VOL_D_Ret_Fixa_EMP_8" xfId="3363"/>
    <cellStyle name="_DESL PARA SET (2)_Info Gerencial Out_TENDÊNCIA RET VAR VOL_D_Ret_Fixa_VAR" xfId="3364"/>
    <cellStyle name="_DESL PARA SET (2)_Info Gerencial Out_TENDÊNCIA RET VAR VOL_D_Ret_Fixa_VAR_1" xfId="3365"/>
    <cellStyle name="_DESL PARA SET (2)_Info Gerencial Out_TENDÊNCIA RET VAR VOL_D_Ret_Fixa_VAR_2" xfId="3366"/>
    <cellStyle name="_DESL PARA SET (2)_Info Gerencial Out_TENDÊNCIA RET VAR VOL_D_Ret_Fixa_VAR_3" xfId="3367"/>
    <cellStyle name="_DESL PARA SET (2)_Info Gerencial Out_TENDÊNCIA RET VAR VOL_D_Ret_Fixa_VAR_4" xfId="3368"/>
    <cellStyle name="_DESL PARA SET (2)_Info Gerencial Out_TENDÊNCIA RET VAR VOL_D_Ret_Fixa_VAR_5" xfId="3369"/>
    <cellStyle name="_DESL PARA SET (2)_Info Gerencial Out_TENDÊNCIA RET VAR VOL_D_Ret_Fixa_VAR_6" xfId="3370"/>
    <cellStyle name="_DESL PARA SET (2)_Info Gerencial Out_TENDÊNCIA RET VAR VOL_D_Ret_Fixa_VAR_7" xfId="3371"/>
    <cellStyle name="_DESL PARA SET (2)_Info Gerencial Out_TENDÊNCIA RET VAR VOL_D_Ret_Fixa_VAR_8" xfId="3372"/>
    <cellStyle name="_DESL PARA SET (2)_Info Gerencial Out_TENDÊNCIA RET VAR VOL_Mig Ret 3G" xfId="3373"/>
    <cellStyle name="_DESL PARA SET (2)_Info Gerencial Out_TENDÊNCIA RET VAR VOL_Mig Ret 3G_1" xfId="3374"/>
    <cellStyle name="_DESL PARA SET (2)_Info Gerencial Out_TENDÊNCIA RET VAR VOL_Mig Ret 3G_2" xfId="3375"/>
    <cellStyle name="_DESL PARA SET (2)_Info Gerencial Out_TENDÊNCIA RET VAR VOL_Mig Ret 3G_3" xfId="3376"/>
    <cellStyle name="_DESL PARA SET (2)_Info Gerencial Out_TENDÊNCIA RET VAR VOL_Mig Ret 3G_4" xfId="3377"/>
    <cellStyle name="_DESL PARA SET (2)_Info Gerencial Out_TENDÊNCIA RET VAR VOL_Mig Ret 3G_5" xfId="3378"/>
    <cellStyle name="_DESL PARA SET (2)_Info Gerencial Out_TENDÊNCIA RET VAR VOL_Mig Ret 3G_6" xfId="3379"/>
    <cellStyle name="_DESL PARA SET (2)_Info Gerencial Out_TENDÊNCIA RET VAR VOL_Mig Ret 3G_7" xfId="3380"/>
    <cellStyle name="_DESL PARA SET (2)_Info Gerencial Out_TENDÊNCIA RET VAR VOL_Movel" xfId="3381"/>
    <cellStyle name="_DESL PARA SET (2)_Info Gerencial Out_TENDÊNCIA RET VAR VOL_Movel_1" xfId="3382"/>
    <cellStyle name="_DESL PARA SET (2)_Info Gerencial Out_TENDÊNCIA RET VAR VOL_Movel_2" xfId="3383"/>
    <cellStyle name="_DESL PARA SET (2)_Info Gerencial Out_TENDÊNCIA RET VAR VOL_Movel_3" xfId="3384"/>
    <cellStyle name="_DESL PARA SET (2)_Info Gerencial Out_TENDÊNCIA RET VAR VOL_Movel_4" xfId="3385"/>
    <cellStyle name="_DESL PARA SET (2)_Info Gerencial Out_TENDÊNCIA RET VAR VOL_Movel_5" xfId="3386"/>
    <cellStyle name="_DESL PARA SET (2)_Info Gerencial Out_TENDÊNCIA RET VAR VOL_Movel_6" xfId="3387"/>
    <cellStyle name="_DESL PARA SET (2)_Info Gerencial Out_TENDÊNCIA RET VAR VOL_Movel_7" xfId="3388"/>
    <cellStyle name="_DESL PARA SET (2)_Info Gerencial Out_TENDÊNCIA RET VAR VOL_Retenção" xfId="3389"/>
    <cellStyle name="_DESL PARA SET (2)_Infogerencial SD LD Julho 08" xfId="3390"/>
    <cellStyle name="_DESL PARA SET (2)_Infogerencial SD LD Julho 08 2" xfId="3391"/>
    <cellStyle name="_DESL PARA SET (2)_Infogerencial SD LD Julho 08_Base" xfId="3392"/>
    <cellStyle name="_DESL PARA SET (2)_Infogerencial SD LD Julho 08_D_Movel" xfId="3393"/>
    <cellStyle name="_DESL PARA SET (2)_Infogerencial SD LD Julho 08_D_Ret_Fixa_EMP" xfId="3394"/>
    <cellStyle name="_DESL PARA SET (2)_Infogerencial SD LD Julho 08_D_Ret_Fixa_EMP_1" xfId="3395"/>
    <cellStyle name="_DESL PARA SET (2)_Infogerencial SD LD Julho 08_D_Ret_Fixa_EMP_2" xfId="3396"/>
    <cellStyle name="_DESL PARA SET (2)_Infogerencial SD LD Julho 08_D_Ret_Fixa_EMP_3" xfId="3397"/>
    <cellStyle name="_DESL PARA SET (2)_Infogerencial SD LD Julho 08_D_Ret_Fixa_EMP_4" xfId="3398"/>
    <cellStyle name="_DESL PARA SET (2)_Infogerencial SD LD Julho 08_D_Ret_Fixa_EMP_5" xfId="3399"/>
    <cellStyle name="_DESL PARA SET (2)_Infogerencial SD LD Julho 08_D_Ret_Fixa_EMP_6" xfId="3400"/>
    <cellStyle name="_DESL PARA SET (2)_Infogerencial SD LD Julho 08_D_Ret_Fixa_EMP_7" xfId="3401"/>
    <cellStyle name="_DESL PARA SET (2)_Infogerencial SD LD Julho 08_D_Ret_Fixa_EMP_8" xfId="3402"/>
    <cellStyle name="_DESL PARA SET (2)_Infogerencial SD LD Julho 08_D_Ret_Fixa_VAR" xfId="3403"/>
    <cellStyle name="_DESL PARA SET (2)_Infogerencial SD LD Julho 08_D_Ret_Fixa_VAR_1" xfId="3404"/>
    <cellStyle name="_DESL PARA SET (2)_Infogerencial SD LD Julho 08_D_Ret_Fixa_VAR_2" xfId="3405"/>
    <cellStyle name="_DESL PARA SET (2)_Infogerencial SD LD Julho 08_D_Ret_Fixa_VAR_3" xfId="3406"/>
    <cellStyle name="_DESL PARA SET (2)_Infogerencial SD LD Julho 08_D_Ret_Fixa_VAR_4" xfId="3407"/>
    <cellStyle name="_DESL PARA SET (2)_Infogerencial SD LD Julho 08_D_Ret_Fixa_VAR_5" xfId="3408"/>
    <cellStyle name="_DESL PARA SET (2)_Infogerencial SD LD Julho 08_D_Ret_Fixa_VAR_6" xfId="3409"/>
    <cellStyle name="_DESL PARA SET (2)_Infogerencial SD LD Julho 08_D_Ret_Fixa_VAR_7" xfId="3410"/>
    <cellStyle name="_DESL PARA SET (2)_Infogerencial SD LD Julho 08_D_Ret_Fixa_VAR_8" xfId="3411"/>
    <cellStyle name="_DESL PARA SET (2)_Infogerencial SD LD Julho 08_Mig Ret 3G" xfId="3412"/>
    <cellStyle name="_DESL PARA SET (2)_Infogerencial SD LD Julho 08_Mig Ret 3G_1" xfId="3413"/>
    <cellStyle name="_DESL PARA SET (2)_Infogerencial SD LD Julho 08_Mig Ret 3G_2" xfId="3414"/>
    <cellStyle name="_DESL PARA SET (2)_Infogerencial SD LD Julho 08_Mig Ret 3G_3" xfId="3415"/>
    <cellStyle name="_DESL PARA SET (2)_Infogerencial SD LD Julho 08_Mig Ret 3G_4" xfId="3416"/>
    <cellStyle name="_DESL PARA SET (2)_Infogerencial SD LD Julho 08_Mig Ret 3G_5" xfId="3417"/>
    <cellStyle name="_DESL PARA SET (2)_Infogerencial SD LD Julho 08_Mig Ret 3G_6" xfId="3418"/>
    <cellStyle name="_DESL PARA SET (2)_Infogerencial SD LD Julho 08_Mig Ret 3G_7" xfId="3419"/>
    <cellStyle name="_DESL PARA SET (2)_Infogerencial SD LD Julho 08_Movel" xfId="3420"/>
    <cellStyle name="_DESL PARA SET (2)_Infogerencial SD LD Julho 08_Movel_1" xfId="3421"/>
    <cellStyle name="_DESL PARA SET (2)_Infogerencial SD LD Julho 08_Movel_2" xfId="3422"/>
    <cellStyle name="_DESL PARA SET (2)_Infogerencial SD LD Julho 08_Movel_3" xfId="3423"/>
    <cellStyle name="_DESL PARA SET (2)_Infogerencial SD LD Julho 08_Movel_4" xfId="3424"/>
    <cellStyle name="_DESL PARA SET (2)_Infogerencial SD LD Julho 08_Movel_5" xfId="3425"/>
    <cellStyle name="_DESL PARA SET (2)_Infogerencial SD LD Julho 08_Movel_6" xfId="3426"/>
    <cellStyle name="_DESL PARA SET (2)_Infogerencial SD LD Julho 08_Movel_7" xfId="3427"/>
    <cellStyle name="_DESL PARA SET (2)_Infogerencial SD LD Julho 08_Retenção" xfId="3428"/>
    <cellStyle name="_DESL PARA SET (2)_Infogerencial SD LD Junho 08" xfId="3429"/>
    <cellStyle name="_DESL PARA SET (2)_Infogerencial SD LD Junho 08 2" xfId="3430"/>
    <cellStyle name="_DESL PARA SET (2)_Infogerencial SD LD Junho 08_Base" xfId="3431"/>
    <cellStyle name="_DESL PARA SET (2)_Infogerencial SD LD Junho 08_D_Movel" xfId="3432"/>
    <cellStyle name="_DESL PARA SET (2)_Infogerencial SD LD Junho 08_D_Ret_Fixa_EMP" xfId="3433"/>
    <cellStyle name="_DESL PARA SET (2)_Infogerencial SD LD Junho 08_D_Ret_Fixa_EMP_1" xfId="3434"/>
    <cellStyle name="_DESL PARA SET (2)_Infogerencial SD LD Junho 08_D_Ret_Fixa_EMP_2" xfId="3435"/>
    <cellStyle name="_DESL PARA SET (2)_Infogerencial SD LD Junho 08_D_Ret_Fixa_EMP_3" xfId="3436"/>
    <cellStyle name="_DESL PARA SET (2)_Infogerencial SD LD Junho 08_D_Ret_Fixa_EMP_4" xfId="3437"/>
    <cellStyle name="_DESL PARA SET (2)_Infogerencial SD LD Junho 08_D_Ret_Fixa_EMP_5" xfId="3438"/>
    <cellStyle name="_DESL PARA SET (2)_Infogerencial SD LD Junho 08_D_Ret_Fixa_EMP_6" xfId="3439"/>
    <cellStyle name="_DESL PARA SET (2)_Infogerencial SD LD Junho 08_D_Ret_Fixa_EMP_7" xfId="3440"/>
    <cellStyle name="_DESL PARA SET (2)_Infogerencial SD LD Junho 08_D_Ret_Fixa_EMP_8" xfId="3441"/>
    <cellStyle name="_DESL PARA SET (2)_Infogerencial SD LD Junho 08_D_Ret_Fixa_VAR" xfId="3442"/>
    <cellStyle name="_DESL PARA SET (2)_Infogerencial SD LD Junho 08_D_Ret_Fixa_VAR_1" xfId="3443"/>
    <cellStyle name="_DESL PARA SET (2)_Infogerencial SD LD Junho 08_D_Ret_Fixa_VAR_2" xfId="3444"/>
    <cellStyle name="_DESL PARA SET (2)_Infogerencial SD LD Junho 08_D_Ret_Fixa_VAR_3" xfId="3445"/>
    <cellStyle name="_DESL PARA SET (2)_Infogerencial SD LD Junho 08_D_Ret_Fixa_VAR_4" xfId="3446"/>
    <cellStyle name="_DESL PARA SET (2)_Infogerencial SD LD Junho 08_D_Ret_Fixa_VAR_5" xfId="3447"/>
    <cellStyle name="_DESL PARA SET (2)_Infogerencial SD LD Junho 08_D_Ret_Fixa_VAR_6" xfId="3448"/>
    <cellStyle name="_DESL PARA SET (2)_Infogerencial SD LD Junho 08_D_Ret_Fixa_VAR_7" xfId="3449"/>
    <cellStyle name="_DESL PARA SET (2)_Infogerencial SD LD Junho 08_D_Ret_Fixa_VAR_8" xfId="3450"/>
    <cellStyle name="_DESL PARA SET (2)_Infogerencial SD LD Junho 08_Mig Ret 3G" xfId="3451"/>
    <cellStyle name="_DESL PARA SET (2)_Infogerencial SD LD Junho 08_Mig Ret 3G_1" xfId="3452"/>
    <cellStyle name="_DESL PARA SET (2)_Infogerencial SD LD Junho 08_Mig Ret 3G_2" xfId="3453"/>
    <cellStyle name="_DESL PARA SET (2)_Infogerencial SD LD Junho 08_Mig Ret 3G_3" xfId="3454"/>
    <cellStyle name="_DESL PARA SET (2)_Infogerencial SD LD Junho 08_Mig Ret 3G_4" xfId="3455"/>
    <cellStyle name="_DESL PARA SET (2)_Infogerencial SD LD Junho 08_Mig Ret 3G_5" xfId="3456"/>
    <cellStyle name="_DESL PARA SET (2)_Infogerencial SD LD Junho 08_Mig Ret 3G_6" xfId="3457"/>
    <cellStyle name="_DESL PARA SET (2)_Infogerencial SD LD Junho 08_Mig Ret 3G_7" xfId="3458"/>
    <cellStyle name="_DESL PARA SET (2)_Infogerencial SD LD Junho 08_Movel" xfId="3459"/>
    <cellStyle name="_DESL PARA SET (2)_Infogerencial SD LD Junho 08_Movel_1" xfId="3460"/>
    <cellStyle name="_DESL PARA SET (2)_Infogerencial SD LD Junho 08_Movel_2" xfId="3461"/>
    <cellStyle name="_DESL PARA SET (2)_Infogerencial SD LD Junho 08_Movel_3" xfId="3462"/>
    <cellStyle name="_DESL PARA SET (2)_Infogerencial SD LD Junho 08_Movel_4" xfId="3463"/>
    <cellStyle name="_DESL PARA SET (2)_Infogerencial SD LD Junho 08_Movel_5" xfId="3464"/>
    <cellStyle name="_DESL PARA SET (2)_Infogerencial SD LD Junho 08_Movel_6" xfId="3465"/>
    <cellStyle name="_DESL PARA SET (2)_Infogerencial SD LD Junho 08_Movel_7" xfId="3466"/>
    <cellStyle name="_DESL PARA SET (2)_Infogerencial SD LD Junho 08_Retenção" xfId="3467"/>
    <cellStyle name="_DESL PARA SET (2)_Memoria_MBV" xfId="3468"/>
    <cellStyle name="_DESL PARA SET (2)_Memoria_MBV 2" xfId="3469"/>
    <cellStyle name="_DESL PARA SET (2)_Memoria_MBV_Base" xfId="3470"/>
    <cellStyle name="_DESL PARA SET (2)_Memoria_MBV_D_Movel" xfId="3471"/>
    <cellStyle name="_DESL PARA SET (2)_Memoria_MBV_D_Ret_Fixa_EMP" xfId="3472"/>
    <cellStyle name="_DESL PARA SET (2)_Memoria_MBV_D_Ret_Fixa_EMP_1" xfId="3473"/>
    <cellStyle name="_DESL PARA SET (2)_Memoria_MBV_D_Ret_Fixa_EMP_2" xfId="3474"/>
    <cellStyle name="_DESL PARA SET (2)_Memoria_MBV_D_Ret_Fixa_EMP_3" xfId="3475"/>
    <cellStyle name="_DESL PARA SET (2)_Memoria_MBV_D_Ret_Fixa_EMP_4" xfId="3476"/>
    <cellStyle name="_DESL PARA SET (2)_Memoria_MBV_D_Ret_Fixa_EMP_5" xfId="3477"/>
    <cellStyle name="_DESL PARA SET (2)_Memoria_MBV_D_Ret_Fixa_EMP_6" xfId="3478"/>
    <cellStyle name="_DESL PARA SET (2)_Memoria_MBV_D_Ret_Fixa_EMP_7" xfId="3479"/>
    <cellStyle name="_DESL PARA SET (2)_Memoria_MBV_D_Ret_Fixa_EMP_8" xfId="3480"/>
    <cellStyle name="_DESL PARA SET (2)_Memoria_MBV_D_Ret_Fixa_VAR" xfId="3481"/>
    <cellStyle name="_DESL PARA SET (2)_Memoria_MBV_D_Ret_Fixa_VAR_1" xfId="3482"/>
    <cellStyle name="_DESL PARA SET (2)_Memoria_MBV_D_Ret_Fixa_VAR_2" xfId="3483"/>
    <cellStyle name="_DESL PARA SET (2)_Memoria_MBV_D_Ret_Fixa_VAR_3" xfId="3484"/>
    <cellStyle name="_DESL PARA SET (2)_Memoria_MBV_D_Ret_Fixa_VAR_4" xfId="3485"/>
    <cellStyle name="_DESL PARA SET (2)_Memoria_MBV_D_Ret_Fixa_VAR_5" xfId="3486"/>
    <cellStyle name="_DESL PARA SET (2)_Memoria_MBV_D_Ret_Fixa_VAR_6" xfId="3487"/>
    <cellStyle name="_DESL PARA SET (2)_Memoria_MBV_D_Ret_Fixa_VAR_7" xfId="3488"/>
    <cellStyle name="_DESL PARA SET (2)_Memoria_MBV_D_Ret_Fixa_VAR_8" xfId="3489"/>
    <cellStyle name="_DESL PARA SET (2)_Memoria_MBV_Mig Ret 3G" xfId="3490"/>
    <cellStyle name="_DESL PARA SET (2)_Memoria_MBV_Mig Ret 3G_1" xfId="3491"/>
    <cellStyle name="_DESL PARA SET (2)_Memoria_MBV_Mig Ret 3G_2" xfId="3492"/>
    <cellStyle name="_DESL PARA SET (2)_Memoria_MBV_Mig Ret 3G_3" xfId="3493"/>
    <cellStyle name="_DESL PARA SET (2)_Memoria_MBV_Mig Ret 3G_4" xfId="3494"/>
    <cellStyle name="_DESL PARA SET (2)_Memoria_MBV_Mig Ret 3G_5" xfId="3495"/>
    <cellStyle name="_DESL PARA SET (2)_Memoria_MBV_Mig Ret 3G_6" xfId="3496"/>
    <cellStyle name="_DESL PARA SET (2)_Memoria_MBV_Mig Ret 3G_7" xfId="3497"/>
    <cellStyle name="_DESL PARA SET (2)_Memoria_MBV_Movel" xfId="3498"/>
    <cellStyle name="_DESL PARA SET (2)_Memoria_MBV_Movel_1" xfId="3499"/>
    <cellStyle name="_DESL PARA SET (2)_Memoria_MBV_Movel_2" xfId="3500"/>
    <cellStyle name="_DESL PARA SET (2)_Memoria_MBV_Movel_3" xfId="3501"/>
    <cellStyle name="_DESL PARA SET (2)_Memoria_MBV_Movel_4" xfId="3502"/>
    <cellStyle name="_DESL PARA SET (2)_Memoria_MBV_Movel_5" xfId="3503"/>
    <cellStyle name="_DESL PARA SET (2)_Memoria_MBV_Movel_6" xfId="3504"/>
    <cellStyle name="_DESL PARA SET (2)_Memoria_MBV_Movel_7" xfId="3505"/>
    <cellStyle name="_DESL PARA SET (2)_Memoria_MBV_Retenção" xfId="3506"/>
    <cellStyle name="_DESL PARA SET (2)_Memória_Oi_Fixo" xfId="3507"/>
    <cellStyle name="_DESL PARA SET (2)_Memória_Oi_Fixo 2" xfId="3508"/>
    <cellStyle name="_DESL PARA SET (2)_Memória_Oi_Fixo_Base" xfId="3509"/>
    <cellStyle name="_DESL PARA SET (2)_Memória_Oi_Fixo_D_Movel" xfId="3510"/>
    <cellStyle name="_DESL PARA SET (2)_Memória_Oi_Fixo_D_Ret_Fixa_EMP" xfId="3511"/>
    <cellStyle name="_DESL PARA SET (2)_Memória_Oi_Fixo_D_Ret_Fixa_EMP_1" xfId="3512"/>
    <cellStyle name="_DESL PARA SET (2)_Memória_Oi_Fixo_D_Ret_Fixa_EMP_2" xfId="3513"/>
    <cellStyle name="_DESL PARA SET (2)_Memória_Oi_Fixo_D_Ret_Fixa_EMP_3" xfId="3514"/>
    <cellStyle name="_DESL PARA SET (2)_Memória_Oi_Fixo_D_Ret_Fixa_EMP_4" xfId="3515"/>
    <cellStyle name="_DESL PARA SET (2)_Memória_Oi_Fixo_D_Ret_Fixa_EMP_5" xfId="3516"/>
    <cellStyle name="_DESL PARA SET (2)_Memória_Oi_Fixo_D_Ret_Fixa_EMP_6" xfId="3517"/>
    <cellStyle name="_DESL PARA SET (2)_Memória_Oi_Fixo_D_Ret_Fixa_EMP_7" xfId="3518"/>
    <cellStyle name="_DESL PARA SET (2)_Memória_Oi_Fixo_D_Ret_Fixa_EMP_8" xfId="3519"/>
    <cellStyle name="_DESL PARA SET (2)_Memória_Oi_Fixo_D_Ret_Fixa_VAR" xfId="3520"/>
    <cellStyle name="_DESL PARA SET (2)_Memória_Oi_Fixo_D_Ret_Fixa_VAR_1" xfId="3521"/>
    <cellStyle name="_DESL PARA SET (2)_Memória_Oi_Fixo_D_Ret_Fixa_VAR_2" xfId="3522"/>
    <cellStyle name="_DESL PARA SET (2)_Memória_Oi_Fixo_D_Ret_Fixa_VAR_3" xfId="3523"/>
    <cellStyle name="_DESL PARA SET (2)_Memória_Oi_Fixo_D_Ret_Fixa_VAR_4" xfId="3524"/>
    <cellStyle name="_DESL PARA SET (2)_Memória_Oi_Fixo_D_Ret_Fixa_VAR_5" xfId="3525"/>
    <cellStyle name="_DESL PARA SET (2)_Memória_Oi_Fixo_D_Ret_Fixa_VAR_6" xfId="3526"/>
    <cellStyle name="_DESL PARA SET (2)_Memória_Oi_Fixo_D_Ret_Fixa_VAR_7" xfId="3527"/>
    <cellStyle name="_DESL PARA SET (2)_Memória_Oi_Fixo_D_Ret_Fixa_VAR_8" xfId="3528"/>
    <cellStyle name="_DESL PARA SET (2)_Memória_Oi_Fixo_Mig Ret 3G" xfId="3529"/>
    <cellStyle name="_DESL PARA SET (2)_Memória_Oi_Fixo_Mig Ret 3G_1" xfId="3530"/>
    <cellStyle name="_DESL PARA SET (2)_Memória_Oi_Fixo_Mig Ret 3G_2" xfId="3531"/>
    <cellStyle name="_DESL PARA SET (2)_Memória_Oi_Fixo_Mig Ret 3G_3" xfId="3532"/>
    <cellStyle name="_DESL PARA SET (2)_Memória_Oi_Fixo_Mig Ret 3G_4" xfId="3533"/>
    <cellStyle name="_DESL PARA SET (2)_Memória_Oi_Fixo_Mig Ret 3G_5" xfId="3534"/>
    <cellStyle name="_DESL PARA SET (2)_Memória_Oi_Fixo_Mig Ret 3G_6" xfId="3535"/>
    <cellStyle name="_DESL PARA SET (2)_Memória_Oi_Fixo_Mig Ret 3G_7" xfId="3536"/>
    <cellStyle name="_DESL PARA SET (2)_Memória_Oi_Fixo_Movel" xfId="3537"/>
    <cellStyle name="_DESL PARA SET (2)_Memória_Oi_Fixo_Movel_1" xfId="3538"/>
    <cellStyle name="_DESL PARA SET (2)_Memória_Oi_Fixo_Movel_2" xfId="3539"/>
    <cellStyle name="_DESL PARA SET (2)_Memória_Oi_Fixo_Movel_3" xfId="3540"/>
    <cellStyle name="_DESL PARA SET (2)_Memória_Oi_Fixo_Movel_4" xfId="3541"/>
    <cellStyle name="_DESL PARA SET (2)_Memória_Oi_Fixo_Movel_5" xfId="3542"/>
    <cellStyle name="_DESL PARA SET (2)_Memória_Oi_Fixo_Movel_6" xfId="3543"/>
    <cellStyle name="_DESL PARA SET (2)_Memória_Oi_Fixo_Movel_7" xfId="3544"/>
    <cellStyle name="_DESL PARA SET (2)_Memória_Oi_Fixo_Retenção" xfId="3545"/>
    <cellStyle name="_DESL PARA SET (2)_Menu" xfId="3546"/>
    <cellStyle name="_DESL PARA SET (2)_Menu 2" xfId="3547"/>
    <cellStyle name="_DESL PARA SET (2)_Menu_Base" xfId="3548"/>
    <cellStyle name="_DESL PARA SET (2)_Menu_D_Movel" xfId="3549"/>
    <cellStyle name="_DESL PARA SET (2)_Menu_D_Ret_Fixa_EMP" xfId="3550"/>
    <cellStyle name="_DESL PARA SET (2)_Menu_D_Ret_Fixa_EMP_1" xfId="3551"/>
    <cellStyle name="_DESL PARA SET (2)_Menu_D_Ret_Fixa_EMP_2" xfId="3552"/>
    <cellStyle name="_DESL PARA SET (2)_Menu_D_Ret_Fixa_EMP_3" xfId="3553"/>
    <cellStyle name="_DESL PARA SET (2)_Menu_D_Ret_Fixa_EMP_4" xfId="3554"/>
    <cellStyle name="_DESL PARA SET (2)_Menu_D_Ret_Fixa_EMP_5" xfId="3555"/>
    <cellStyle name="_DESL PARA SET (2)_Menu_D_Ret_Fixa_EMP_6" xfId="3556"/>
    <cellStyle name="_DESL PARA SET (2)_Menu_D_Ret_Fixa_EMP_7" xfId="3557"/>
    <cellStyle name="_DESL PARA SET (2)_Menu_D_Ret_Fixa_EMP_8" xfId="3558"/>
    <cellStyle name="_DESL PARA SET (2)_Menu_D_Ret_Fixa_VAR" xfId="3559"/>
    <cellStyle name="_DESL PARA SET (2)_Menu_D_Ret_Fixa_VAR_1" xfId="3560"/>
    <cellStyle name="_DESL PARA SET (2)_Menu_D_Ret_Fixa_VAR_2" xfId="3561"/>
    <cellStyle name="_DESL PARA SET (2)_Menu_D_Ret_Fixa_VAR_3" xfId="3562"/>
    <cellStyle name="_DESL PARA SET (2)_Menu_D_Ret_Fixa_VAR_4" xfId="3563"/>
    <cellStyle name="_DESL PARA SET (2)_Menu_D_Ret_Fixa_VAR_5" xfId="3564"/>
    <cellStyle name="_DESL PARA SET (2)_Menu_D_Ret_Fixa_VAR_6" xfId="3565"/>
    <cellStyle name="_DESL PARA SET (2)_Menu_D_Ret_Fixa_VAR_7" xfId="3566"/>
    <cellStyle name="_DESL PARA SET (2)_Menu_D_Ret_Fixa_VAR_8" xfId="3567"/>
    <cellStyle name="_DESL PARA SET (2)_Menu_Mig Ret 3G" xfId="3568"/>
    <cellStyle name="_DESL PARA SET (2)_Menu_Mig Ret 3G_1" xfId="3569"/>
    <cellStyle name="_DESL PARA SET (2)_Menu_Mig Ret 3G_2" xfId="3570"/>
    <cellStyle name="_DESL PARA SET (2)_Menu_Mig Ret 3G_3" xfId="3571"/>
    <cellStyle name="_DESL PARA SET (2)_Menu_Mig Ret 3G_4" xfId="3572"/>
    <cellStyle name="_DESL PARA SET (2)_Menu_Mig Ret 3G_5" xfId="3573"/>
    <cellStyle name="_DESL PARA SET (2)_Menu_Mig Ret 3G_6" xfId="3574"/>
    <cellStyle name="_DESL PARA SET (2)_Menu_Mig Ret 3G_7" xfId="3575"/>
    <cellStyle name="_DESL PARA SET (2)_Menu_Movel" xfId="3576"/>
    <cellStyle name="_DESL PARA SET (2)_Menu_Movel_1" xfId="3577"/>
    <cellStyle name="_DESL PARA SET (2)_Menu_Movel_2" xfId="3578"/>
    <cellStyle name="_DESL PARA SET (2)_Menu_Movel_3" xfId="3579"/>
    <cellStyle name="_DESL PARA SET (2)_Menu_Movel_4" xfId="3580"/>
    <cellStyle name="_DESL PARA SET (2)_Menu_Movel_5" xfId="3581"/>
    <cellStyle name="_DESL PARA SET (2)_Menu_Movel_6" xfId="3582"/>
    <cellStyle name="_DESL PARA SET (2)_Menu_Movel_7" xfId="3583"/>
    <cellStyle name="_DESL PARA SET (2)_Menu_Retenção" xfId="3584"/>
    <cellStyle name="_DESL PARA SET (2)_Painel de Retenção Junho 2011" xfId="3585"/>
    <cellStyle name="_DESL PARA SET (2)_Painel TI Retenção 02_2008" xfId="3586"/>
    <cellStyle name="_DESL PARA SET (2)_Painel TI Retenção 02_2008_BD Resumo diário Painel de Televendas Abril 2011" xfId="3587"/>
    <cellStyle name="_DESL PARA SET (2)_Painel TI Retenção 02_2008_BD Resumo diário Painel de Televendas Janeiro 2011" xfId="3588"/>
    <cellStyle name="_DESL PARA SET (2)_Painel TI Retenção 02_2008_BD Resumo diário Painel de Televendas Setembro 2010_BASE_UNICA" xfId="3589"/>
    <cellStyle name="_DESL PARA SET (2)_Painel TI Retenção 02_2008_Faturamento TLV_Varejo_Ago 16-07 a 15-08-09 - V4 - Validação Cliente" xfId="3590"/>
    <cellStyle name="_DESL PARA SET (2)_Painel TI Retenção 02_2008_Faturamento TLV_Varejo_Ago 16-07 a 15-08-09 - V4 - Validação Cliente_BD Resumo diário Painel de Televendas Abril 2011" xfId="3591"/>
    <cellStyle name="_DESL PARA SET (2)_Painel TI Retenção 02_2008_Faturamento TLV_Varejo_Ago 16-07 a 15-08-09 - V4 - Validação Cliente_BD Resumo diário Painel de Televendas Janeiro 2011" xfId="3592"/>
    <cellStyle name="_DESL PARA SET (2)_Painel TI Retenção 02_2008_Faturamento TLV_Varejo_Ago 16-07 a 15-08-09 - V4 - Validação Cliente_BD Resumo diário Painel de Televendas Setembro 2010_BASE_UNICA" xfId="3593"/>
    <cellStyle name="_DESL PARA SET (2)_Painel TI Retenção 02_2008_Faturamento TLV_Varejo_Ago 16-07 a 15-08-09 - V4 - Validação Cliente_Painel de Retenção Junho 2011" xfId="3594"/>
    <cellStyle name="_DESL PARA SET (2)_Painel TI Retenção 02_2008_Faturamento TLV_Varejo_Ago 16-07 a 15-08-09 - V4 - Validação Cliente_Pasta1" xfId="3595"/>
    <cellStyle name="_DESL PARA SET (2)_Painel TI Retenção 02_2008_Faturamento TLV_Varejo_Ago 16-07 a 15-08-09 - V4 - Validação Cliente_Plan1" xfId="3596"/>
    <cellStyle name="_DESL PARA SET (2)_Painel TI Retenção 02_2008_Faturamento TLV_Varejo_Ago 16-07 a 15-08-09 - V4 - Validação Cliente_Plan2" xfId="3597"/>
    <cellStyle name="_DESL PARA SET (2)_Painel TI Retenção 02_2008_Faturamento TLV_Varejo_Ago 16-07 a 15-08-09 - V4 - Validação Cliente_Retenção" xfId="3598"/>
    <cellStyle name="_DESL PARA SET (2)_Painel TI Retenção 02_2008_Faturamento TLV_Varejo_Ago 16-07 a 15-08-09 - V4 - Validação Cliente_Retenção Painel" xfId="3599"/>
    <cellStyle name="_DESL PARA SET (2)_Painel TI Retenção 02_2008_Faturamento TLV_Varejo_Ago 16-07 a 15-08-09 - V4 - Validação Cliente_Televendas Painel" xfId="3600"/>
    <cellStyle name="_DESL PARA SET (2)_Painel TI Retenção 02_2008_Faturamento TLV_Varejo_Ago 16-07 a 15-08-09 - V4 - Validação Cliente_Televendas Painel_ant" xfId="3601"/>
    <cellStyle name="_DESL PARA SET (2)_Painel TI Retenção 02_2008_Painel de Retenção Junho 2011" xfId="3602"/>
    <cellStyle name="_DESL PARA SET (2)_Painel TI Retenção 02_2008_Pasta1" xfId="3603"/>
    <cellStyle name="_DESL PARA SET (2)_Painel TI Retenção 02_2008_Plan1" xfId="3604"/>
    <cellStyle name="_DESL PARA SET (2)_Painel TI Retenção 02_2008_Plan2" xfId="3605"/>
    <cellStyle name="_DESL PARA SET (2)_Painel TI Retenção 02_2008_Retenção" xfId="3606"/>
    <cellStyle name="_DESL PARA SET (2)_Painel TI Retenção 02_2008_Retenção Painel" xfId="3607"/>
    <cellStyle name="_DESL PARA SET (2)_Painel TI Retenção 02_2008_Televendas Painel" xfId="3608"/>
    <cellStyle name="_DESL PARA SET (2)_Painel TI Retenção 02_2008_Televendas Painel_ant" xfId="3609"/>
    <cellStyle name="_DESL PARA SET (2)_Painel TI Retenção 03_2008" xfId="3610"/>
    <cellStyle name="_DESL PARA SET (2)_Painel TI Retenção 03_2008_BD Resumo diário Painel de Televendas Abril 2011" xfId="3611"/>
    <cellStyle name="_DESL PARA SET (2)_Painel TI Retenção 03_2008_BD Resumo diário Painel de Televendas Janeiro 2011" xfId="3612"/>
    <cellStyle name="_DESL PARA SET (2)_Painel TI Retenção 03_2008_BD Resumo diário Painel de Televendas Setembro 2010_BASE_UNICA" xfId="3613"/>
    <cellStyle name="_DESL PARA SET (2)_Painel TI Retenção 03_2008_Faturamento TLV_Varejo_Ago 16-07 a 15-08-09 - V4 - Validação Cliente" xfId="3614"/>
    <cellStyle name="_DESL PARA SET (2)_Painel TI Retenção 03_2008_Faturamento TLV_Varejo_Ago 16-07 a 15-08-09 - V4 - Validação Cliente_BD Resumo diário Painel de Televendas Abril 2011" xfId="3615"/>
    <cellStyle name="_DESL PARA SET (2)_Painel TI Retenção 03_2008_Faturamento TLV_Varejo_Ago 16-07 a 15-08-09 - V4 - Validação Cliente_BD Resumo diário Painel de Televendas Janeiro 2011" xfId="3616"/>
    <cellStyle name="_DESL PARA SET (2)_Painel TI Retenção 03_2008_Faturamento TLV_Varejo_Ago 16-07 a 15-08-09 - V4 - Validação Cliente_BD Resumo diário Painel de Televendas Setembro 2010_BASE_UNICA" xfId="3617"/>
    <cellStyle name="_DESL PARA SET (2)_Painel TI Retenção 03_2008_Faturamento TLV_Varejo_Ago 16-07 a 15-08-09 - V4 - Validação Cliente_Painel de Retenção Junho 2011" xfId="3618"/>
    <cellStyle name="_DESL PARA SET (2)_Painel TI Retenção 03_2008_Faturamento TLV_Varejo_Ago 16-07 a 15-08-09 - V4 - Validação Cliente_Pasta1" xfId="3619"/>
    <cellStyle name="_DESL PARA SET (2)_Painel TI Retenção 03_2008_Faturamento TLV_Varejo_Ago 16-07 a 15-08-09 - V4 - Validação Cliente_Plan1" xfId="3620"/>
    <cellStyle name="_DESL PARA SET (2)_Painel TI Retenção 03_2008_Faturamento TLV_Varejo_Ago 16-07 a 15-08-09 - V4 - Validação Cliente_Plan2" xfId="3621"/>
    <cellStyle name="_DESL PARA SET (2)_Painel TI Retenção 03_2008_Faturamento TLV_Varejo_Ago 16-07 a 15-08-09 - V4 - Validação Cliente_Retenção" xfId="3622"/>
    <cellStyle name="_DESL PARA SET (2)_Painel TI Retenção 03_2008_Faturamento TLV_Varejo_Ago 16-07 a 15-08-09 - V4 - Validação Cliente_Retenção Painel" xfId="3623"/>
    <cellStyle name="_DESL PARA SET (2)_Painel TI Retenção 03_2008_Faturamento TLV_Varejo_Ago 16-07 a 15-08-09 - V4 - Validação Cliente_Televendas Painel" xfId="3624"/>
    <cellStyle name="_DESL PARA SET (2)_Painel TI Retenção 03_2008_Faturamento TLV_Varejo_Ago 16-07 a 15-08-09 - V4 - Validação Cliente_Televendas Painel_ant" xfId="3625"/>
    <cellStyle name="_DESL PARA SET (2)_Painel TI Retenção 03_2008_Painel de Retenção Junho 2011" xfId="3626"/>
    <cellStyle name="_DESL PARA SET (2)_Painel TI Retenção 03_2008_Pasta1" xfId="3627"/>
    <cellStyle name="_DESL PARA SET (2)_Painel TI Retenção 03_2008_Plan1" xfId="3628"/>
    <cellStyle name="_DESL PARA SET (2)_Painel TI Retenção 03_2008_Plan2" xfId="3629"/>
    <cellStyle name="_DESL PARA SET (2)_Painel TI Retenção 03_2008_Retenção" xfId="3630"/>
    <cellStyle name="_DESL PARA SET (2)_Painel TI Retenção 03_2008_Retenção Painel" xfId="3631"/>
    <cellStyle name="_DESL PARA SET (2)_Painel TI Retenção 03_2008_Televendas Painel" xfId="3632"/>
    <cellStyle name="_DESL PARA SET (2)_Painel TI Retenção 03_2008_Televendas Painel_ant" xfId="3633"/>
    <cellStyle name="_DESL PARA SET (2)_Pasta1" xfId="3634"/>
    <cellStyle name="_DESL PARA SET (2)_Pasta4" xfId="3635"/>
    <cellStyle name="_DESL PARA SET (2)_Pasta4_BD Resumo diário Painel de Televendas Abril 2011" xfId="3636"/>
    <cellStyle name="_DESL PARA SET (2)_Pasta4_BD Resumo diário Painel de Televendas Janeiro 2011" xfId="3637"/>
    <cellStyle name="_DESL PARA SET (2)_Pasta4_BD Resumo diário Painel de Televendas Setembro 2010_BASE_UNICA" xfId="3638"/>
    <cellStyle name="_DESL PARA SET (2)_Pasta4_Painel de Retenção Junho 2011" xfId="3639"/>
    <cellStyle name="_DESL PARA SET (2)_Pasta4_Pasta1" xfId="3640"/>
    <cellStyle name="_DESL PARA SET (2)_Pasta4_Plan1" xfId="3641"/>
    <cellStyle name="_DESL PARA SET (2)_Pasta4_Plan2" xfId="3642"/>
    <cellStyle name="_DESL PARA SET (2)_Pasta4_Retenção" xfId="3643"/>
    <cellStyle name="_DESL PARA SET (2)_Pasta4_Retenção Painel" xfId="3644"/>
    <cellStyle name="_DESL PARA SET (2)_Pasta4_Televendas Painel" xfId="3645"/>
    <cellStyle name="_DESL PARA SET (2)_Pasta4_Televendas Painel_ant" xfId="3646"/>
    <cellStyle name="_DESL PARA SET (2)_Pasta4_TENDÊNCIA RET VAR CONTROLE" xfId="3647"/>
    <cellStyle name="_DESL PARA SET (2)_Pasta4_TENDÊNCIA RET VAR CONTROLE_Base" xfId="3648"/>
    <cellStyle name="_DESL PARA SET (2)_Pasta4_TENDÊNCIA RET VAR CONTROLE_D_Ret_Fixa_EMP" xfId="3649"/>
    <cellStyle name="_DESL PARA SET (2)_Pasta4_TENDÊNCIA RET VAR CONTROLE_D_Ret_Fixa_EMP_1" xfId="3650"/>
    <cellStyle name="_DESL PARA SET (2)_Pasta4_TENDÊNCIA RET VAR CONTROLE_D_Ret_Fixa_EMP_2" xfId="3651"/>
    <cellStyle name="_DESL PARA SET (2)_Pasta4_TENDÊNCIA RET VAR CONTROLE_D_Ret_Fixa_EMP_3" xfId="3652"/>
    <cellStyle name="_DESL PARA SET (2)_Pasta4_TENDÊNCIA RET VAR CONTROLE_D_Ret_Fixa_EMP_4" xfId="3653"/>
    <cellStyle name="_DESL PARA SET (2)_Pasta4_TENDÊNCIA RET VAR CONTROLE_D_Ret_Fixa_EMP_5" xfId="3654"/>
    <cellStyle name="_DESL PARA SET (2)_Pasta4_TENDÊNCIA RET VAR CONTROLE_D_Ret_Fixa_EMP_6" xfId="3655"/>
    <cellStyle name="_DESL PARA SET (2)_Pasta4_TENDÊNCIA RET VAR CONTROLE_D_Ret_Fixa_EMP_7" xfId="3656"/>
    <cellStyle name="_DESL PARA SET (2)_Pasta4_TENDÊNCIA RET VAR CONTROLE_D_Ret_Fixa_EMP_8" xfId="3657"/>
    <cellStyle name="_DESL PARA SET (2)_Pasta4_TENDÊNCIA RET VAR CONTROLE_D_Ret_Fixa_VAR" xfId="3658"/>
    <cellStyle name="_DESL PARA SET (2)_Pasta4_TENDÊNCIA RET VAR CONTROLE_D_Ret_Fixa_VAR_1" xfId="3659"/>
    <cellStyle name="_DESL PARA SET (2)_Pasta4_TENDÊNCIA RET VAR CONTROLE_D_Ret_Fixa_VAR_2" xfId="3660"/>
    <cellStyle name="_DESL PARA SET (2)_Pasta4_TENDÊNCIA RET VAR CONTROLE_D_Ret_Fixa_VAR_3" xfId="3661"/>
    <cellStyle name="_DESL PARA SET (2)_Pasta4_TENDÊNCIA RET VAR CONTROLE_D_Ret_Fixa_VAR_4" xfId="3662"/>
    <cellStyle name="_DESL PARA SET (2)_Pasta4_TENDÊNCIA RET VAR CONTROLE_D_Ret_Fixa_VAR_5" xfId="3663"/>
    <cellStyle name="_DESL PARA SET (2)_Pasta4_TENDÊNCIA RET VAR CONTROLE_D_Ret_Fixa_VAR_6" xfId="3664"/>
    <cellStyle name="_DESL PARA SET (2)_Pasta4_TENDÊNCIA RET VAR CONTROLE_D_Ret_Fixa_VAR_7" xfId="3665"/>
    <cellStyle name="_DESL PARA SET (2)_Pasta4_TENDÊNCIA RET VAR CONTROLE_D_Ret_Fixa_VAR_8" xfId="3666"/>
    <cellStyle name="_DESL PARA SET (2)_Pasta4_TENDÊNCIA RET VAR CONTROLE_Mig Ret 3G" xfId="3667"/>
    <cellStyle name="_DESL PARA SET (2)_Pasta4_TENDÊNCIA RET VAR CONTROLE_Mig Ret 3G_1" xfId="3668"/>
    <cellStyle name="_DESL PARA SET (2)_Pasta4_TENDÊNCIA RET VAR CONTROLE_Mig Ret 3G_2" xfId="3669"/>
    <cellStyle name="_DESL PARA SET (2)_Pasta4_TENDÊNCIA RET VAR CONTROLE_Mig Ret 3G_3" xfId="3670"/>
    <cellStyle name="_DESL PARA SET (2)_Pasta4_TENDÊNCIA RET VAR CONTROLE_Mig Ret 3G_4" xfId="3671"/>
    <cellStyle name="_DESL PARA SET (2)_Pasta4_TENDÊNCIA RET VAR CONTROLE_Mig Ret 3G_5" xfId="3672"/>
    <cellStyle name="_DESL PARA SET (2)_Pasta4_TENDÊNCIA RET VAR CONTROLE_Mig Ret 3G_6" xfId="3673"/>
    <cellStyle name="_DESL PARA SET (2)_Pasta4_TENDÊNCIA RET VAR CONTROLE_Mig Ret 3G_7" xfId="3674"/>
    <cellStyle name="_DESL PARA SET (2)_Pasta4_TENDÊNCIA RET VAR CONTROLE_Movel" xfId="3675"/>
    <cellStyle name="_DESL PARA SET (2)_Pasta4_TENDÊNCIA RET VAR CONTROLE_Movel_1" xfId="3676"/>
    <cellStyle name="_DESL PARA SET (2)_Pasta4_TENDÊNCIA RET VAR CONTROLE_Movel_2" xfId="3677"/>
    <cellStyle name="_DESL PARA SET (2)_Pasta4_TENDÊNCIA RET VAR CONTROLE_Movel_3" xfId="3678"/>
    <cellStyle name="_DESL PARA SET (2)_Pasta4_TENDÊNCIA RET VAR CONTROLE_Movel_4" xfId="3679"/>
    <cellStyle name="_DESL PARA SET (2)_Pasta4_TENDÊNCIA RET VAR CONTROLE_Movel_5" xfId="3680"/>
    <cellStyle name="_DESL PARA SET (2)_Pasta4_TENDÊNCIA RET VAR CONTROLE_Movel_6" xfId="3681"/>
    <cellStyle name="_DESL PARA SET (2)_Pasta4_TENDÊNCIA RET VAR CONTROLE_Movel_7" xfId="3682"/>
    <cellStyle name="_DESL PARA SET (2)_Pasta4_TENDÊNCIA RET VAR CONTROLE_Retenção" xfId="3683"/>
    <cellStyle name="_DESL PARA SET (2)_Pasta4_TENDÊNCIA RET VAR VOL" xfId="3684"/>
    <cellStyle name="_DESL PARA SET (2)_Pasta4_TENDÊNCIA RET VAR VOL 2" xfId="3685"/>
    <cellStyle name="_DESL PARA SET (2)_Pasta4_TENDÊNCIA RET VAR VOL_Base" xfId="3686"/>
    <cellStyle name="_DESL PARA SET (2)_Pasta4_TENDÊNCIA RET VAR VOL_D_Movel" xfId="3687"/>
    <cellStyle name="_DESL PARA SET (2)_Pasta4_TENDÊNCIA RET VAR VOL_D_Ret_Fixa_EMP" xfId="3688"/>
    <cellStyle name="_DESL PARA SET (2)_Pasta4_TENDÊNCIA RET VAR VOL_D_Ret_Fixa_EMP_1" xfId="3689"/>
    <cellStyle name="_DESL PARA SET (2)_Pasta4_TENDÊNCIA RET VAR VOL_D_Ret_Fixa_EMP_2" xfId="3690"/>
    <cellStyle name="_DESL PARA SET (2)_Pasta4_TENDÊNCIA RET VAR VOL_D_Ret_Fixa_EMP_3" xfId="3691"/>
    <cellStyle name="_DESL PARA SET (2)_Pasta4_TENDÊNCIA RET VAR VOL_D_Ret_Fixa_EMP_4" xfId="3692"/>
    <cellStyle name="_DESL PARA SET (2)_Pasta4_TENDÊNCIA RET VAR VOL_D_Ret_Fixa_EMP_5" xfId="3693"/>
    <cellStyle name="_DESL PARA SET (2)_Pasta4_TENDÊNCIA RET VAR VOL_D_Ret_Fixa_EMP_6" xfId="3694"/>
    <cellStyle name="_DESL PARA SET (2)_Pasta4_TENDÊNCIA RET VAR VOL_D_Ret_Fixa_EMP_7" xfId="3695"/>
    <cellStyle name="_DESL PARA SET (2)_Pasta4_TENDÊNCIA RET VAR VOL_D_Ret_Fixa_EMP_8" xfId="3696"/>
    <cellStyle name="_DESL PARA SET (2)_Pasta4_TENDÊNCIA RET VAR VOL_D_Ret_Fixa_VAR" xfId="3697"/>
    <cellStyle name="_DESL PARA SET (2)_Pasta4_TENDÊNCIA RET VAR VOL_D_Ret_Fixa_VAR_1" xfId="3698"/>
    <cellStyle name="_DESL PARA SET (2)_Pasta4_TENDÊNCIA RET VAR VOL_D_Ret_Fixa_VAR_2" xfId="3699"/>
    <cellStyle name="_DESL PARA SET (2)_Pasta4_TENDÊNCIA RET VAR VOL_D_Ret_Fixa_VAR_3" xfId="3700"/>
    <cellStyle name="_DESL PARA SET (2)_Pasta4_TENDÊNCIA RET VAR VOL_D_Ret_Fixa_VAR_4" xfId="3701"/>
    <cellStyle name="_DESL PARA SET (2)_Pasta4_TENDÊNCIA RET VAR VOL_D_Ret_Fixa_VAR_5" xfId="3702"/>
    <cellStyle name="_DESL PARA SET (2)_Pasta4_TENDÊNCIA RET VAR VOL_D_Ret_Fixa_VAR_6" xfId="3703"/>
    <cellStyle name="_DESL PARA SET (2)_Pasta4_TENDÊNCIA RET VAR VOL_D_Ret_Fixa_VAR_7" xfId="3704"/>
    <cellStyle name="_DESL PARA SET (2)_Pasta4_TENDÊNCIA RET VAR VOL_D_Ret_Fixa_VAR_8" xfId="3705"/>
    <cellStyle name="_DESL PARA SET (2)_Pasta4_TENDÊNCIA RET VAR VOL_Mig Ret 3G" xfId="3706"/>
    <cellStyle name="_DESL PARA SET (2)_Pasta4_TENDÊNCIA RET VAR VOL_Mig Ret 3G_1" xfId="3707"/>
    <cellStyle name="_DESL PARA SET (2)_Pasta4_TENDÊNCIA RET VAR VOL_Mig Ret 3G_2" xfId="3708"/>
    <cellStyle name="_DESL PARA SET (2)_Pasta4_TENDÊNCIA RET VAR VOL_Mig Ret 3G_3" xfId="3709"/>
    <cellStyle name="_DESL PARA SET (2)_Pasta4_TENDÊNCIA RET VAR VOL_Mig Ret 3G_4" xfId="3710"/>
    <cellStyle name="_DESL PARA SET (2)_Pasta4_TENDÊNCIA RET VAR VOL_Mig Ret 3G_5" xfId="3711"/>
    <cellStyle name="_DESL PARA SET (2)_Pasta4_TENDÊNCIA RET VAR VOL_Mig Ret 3G_6" xfId="3712"/>
    <cellStyle name="_DESL PARA SET (2)_Pasta4_TENDÊNCIA RET VAR VOL_Mig Ret 3G_7" xfId="3713"/>
    <cellStyle name="_DESL PARA SET (2)_Pasta4_TENDÊNCIA RET VAR VOL_Movel" xfId="3714"/>
    <cellStyle name="_DESL PARA SET (2)_Pasta4_TENDÊNCIA RET VAR VOL_Movel_1" xfId="3715"/>
    <cellStyle name="_DESL PARA SET (2)_Pasta4_TENDÊNCIA RET VAR VOL_Movel_2" xfId="3716"/>
    <cellStyle name="_DESL PARA SET (2)_Pasta4_TENDÊNCIA RET VAR VOL_Movel_3" xfId="3717"/>
    <cellStyle name="_DESL PARA SET (2)_Pasta4_TENDÊNCIA RET VAR VOL_Movel_4" xfId="3718"/>
    <cellStyle name="_DESL PARA SET (2)_Pasta4_TENDÊNCIA RET VAR VOL_Movel_5" xfId="3719"/>
    <cellStyle name="_DESL PARA SET (2)_Pasta4_TENDÊNCIA RET VAR VOL_Movel_6" xfId="3720"/>
    <cellStyle name="_DESL PARA SET (2)_Pasta4_TENDÊNCIA RET VAR VOL_Movel_7" xfId="3721"/>
    <cellStyle name="_DESL PARA SET (2)_Pasta4_TENDÊNCIA RET VAR VOL_Retenção" xfId="3722"/>
    <cellStyle name="_DESL PARA SET (2)_Plan1" xfId="3723"/>
    <cellStyle name="_DESL PARA SET (2)_Plan1_0508retoifixobv" xfId="3724"/>
    <cellStyle name="_DESL PARA SET (2)_Plan1_0508retoifixobv_BD Resumo diário Painel de Televendas Abril 2011" xfId="3725"/>
    <cellStyle name="_DESL PARA SET (2)_Plan1_0508retoifixobv_BD Resumo diário Painel de Televendas Janeiro 2011" xfId="3726"/>
    <cellStyle name="_DESL PARA SET (2)_Plan1_0508retoifixobv_BD Resumo diário Painel de Televendas Setembro 2010_BASE_UNICA" xfId="3727"/>
    <cellStyle name="_DESL PARA SET (2)_Plan1_0508retoifixobv_Painel de Retenção Junho 2011" xfId="3728"/>
    <cellStyle name="_DESL PARA SET (2)_Plan1_0508retoifixobv_Pasta1" xfId="3729"/>
    <cellStyle name="_DESL PARA SET (2)_Plan1_0508retoifixobv_Plan1" xfId="3730"/>
    <cellStyle name="_DESL PARA SET (2)_Plan1_0508retoifixobv_Plan2" xfId="3731"/>
    <cellStyle name="_DESL PARA SET (2)_Plan1_0508retoifixobv_Retenção" xfId="3732"/>
    <cellStyle name="_DESL PARA SET (2)_Plan1_0508retoifixobv_Retenção Painel" xfId="3733"/>
    <cellStyle name="_DESL PARA SET (2)_Plan1_0508retoifixobv_Televendas Painel" xfId="3734"/>
    <cellStyle name="_DESL PARA SET (2)_Plan1_0508retoifixobv_Televendas Painel_ant" xfId="3735"/>
    <cellStyle name="_DESL PARA SET (2)_Plan1_1" xfId="3736"/>
    <cellStyle name="_DESL PARA SET (2)_Plan1_BD Resumo diário Painel de Televendas Abril 2011" xfId="3737"/>
    <cellStyle name="_DESL PARA SET (2)_Plan1_BD Resumo diário Painel de Televendas Janeiro 2011" xfId="3738"/>
    <cellStyle name="_DESL PARA SET (2)_Plan1_BD Resumo diário Painel de Televendas Setembro 2010_BASE_UNICA" xfId="3739"/>
    <cellStyle name="_DESL PARA SET (2)_Plan1_Faturamento Abril 2008 - 100% Variável - Oi Fixo, SD e LD - CE" xfId="3740"/>
    <cellStyle name="_DESL PARA SET (2)_Plan1_Faturamento Abril 2008 - 100% Variável - Oi Fixo, SD e LD - CE _ V02" xfId="3741"/>
    <cellStyle name="_DESL PARA SET (2)_Plan1_Faturamento Abril 2008 - 100% Variável - Oi Fixo, SD e LD - CE _ V02_BD Resumo diário Painel de Televendas Abril 2011" xfId="3742"/>
    <cellStyle name="_DESL PARA SET (2)_Plan1_Faturamento Abril 2008 - 100% Variável - Oi Fixo, SD e LD - CE _ V02_BD Resumo diário Painel de Televendas Janeiro 2011" xfId="3743"/>
    <cellStyle name="_DESL PARA SET (2)_Plan1_Faturamento Abril 2008 - 100% Variável - Oi Fixo, SD e LD - CE _ V02_BD Resumo diário Painel de Televendas Setembro 2010_BASE_UNICA" xfId="3744"/>
    <cellStyle name="_DESL PARA SET (2)_Plan1_Faturamento Abril 2008 - 100% Variável - Oi Fixo, SD e LD - CE _ V02_Painel de Retenção Junho 2011" xfId="3745"/>
    <cellStyle name="_DESL PARA SET (2)_Plan1_Faturamento Abril 2008 - 100% Variável - Oi Fixo, SD e LD - CE _ V02_Pasta1" xfId="3746"/>
    <cellStyle name="_DESL PARA SET (2)_Plan1_Faturamento Abril 2008 - 100% Variável - Oi Fixo, SD e LD - CE _ V02_Plan1" xfId="3747"/>
    <cellStyle name="_DESL PARA SET (2)_Plan1_Faturamento Abril 2008 - 100% Variável - Oi Fixo, SD e LD - CE _ V02_Plan2" xfId="3748"/>
    <cellStyle name="_DESL PARA SET (2)_Plan1_Faturamento Abril 2008 - 100% Variável - Oi Fixo, SD e LD - CE _ V02_Retenção" xfId="3749"/>
    <cellStyle name="_DESL PARA SET (2)_Plan1_Faturamento Abril 2008 - 100% Variável - Oi Fixo, SD e LD - CE _ V02_Retenção Painel" xfId="3750"/>
    <cellStyle name="_DESL PARA SET (2)_Plan1_Faturamento Abril 2008 - 100% Variável - Oi Fixo, SD e LD - CE _ V02_Televendas Painel" xfId="3751"/>
    <cellStyle name="_DESL PARA SET (2)_Plan1_Faturamento Abril 2008 - 100% Variável - Oi Fixo, SD e LD - CE _ V02_Televendas Painel_ant" xfId="3752"/>
    <cellStyle name="_DESL PARA SET (2)_Plan1_Faturamento Abril 2008 - 100% Variável - Oi Fixo, SD e LD - CE_BD Resumo diário Painel de Televendas Abril 2011" xfId="3753"/>
    <cellStyle name="_DESL PARA SET (2)_Plan1_Faturamento Abril 2008 - 100% Variável - Oi Fixo, SD e LD - CE_BD Resumo diário Painel de Televendas Janeiro 2011" xfId="3754"/>
    <cellStyle name="_DESL PARA SET (2)_Plan1_Faturamento Abril 2008 - 100% Variável - Oi Fixo, SD e LD - CE_BD Resumo diário Painel de Televendas Setembro 2010_BASE_UNICA" xfId="3755"/>
    <cellStyle name="_DESL PARA SET (2)_Plan1_Faturamento Abril 2008 - 100% Variável - Oi Fixo, SD e LD - CE_Painel de Retenção Junho 2011" xfId="3756"/>
    <cellStyle name="_DESL PARA SET (2)_Plan1_Faturamento Abril 2008 - 100% Variável - Oi Fixo, SD e LD - CE_Pasta1" xfId="3757"/>
    <cellStyle name="_DESL PARA SET (2)_Plan1_Faturamento Abril 2008 - 100% Variável - Oi Fixo, SD e LD - CE_Plan1" xfId="3758"/>
    <cellStyle name="_DESL PARA SET (2)_Plan1_Faturamento Abril 2008 - 100% Variável - Oi Fixo, SD e LD - CE_Plan2" xfId="3759"/>
    <cellStyle name="_DESL PARA SET (2)_Plan1_Faturamento Abril 2008 - 100% Variável - Oi Fixo, SD e LD - CE_Retenção" xfId="3760"/>
    <cellStyle name="_DESL PARA SET (2)_Plan1_Faturamento Abril 2008 - 100% Variável - Oi Fixo, SD e LD - CE_Retenção Painel" xfId="3761"/>
    <cellStyle name="_DESL PARA SET (2)_Plan1_Faturamento Abril 2008 - 100% Variável - Oi Fixo, SD e LD - CE_Televendas Painel" xfId="3762"/>
    <cellStyle name="_DESL PARA SET (2)_Plan1_Faturamento Abril 2008 - 100% Variável - Oi Fixo, SD e LD - CE_Televendas Painel_ant" xfId="3763"/>
    <cellStyle name="_DESL PARA SET (2)_Plan1_Faturamento TLV_Varejo_Jun 16-05 a 15-06-09 - M3 - Validação Cliente_v2" xfId="3764"/>
    <cellStyle name="_DESL PARA SET (2)_Plan1_Faturamento TLV_Varejo_Jun 16-05 a 15-06-09 - M3 - Validação Cliente_v2_BD Resumo diário Painel de Televendas Abril 2011" xfId="3765"/>
    <cellStyle name="_DESL PARA SET (2)_Plan1_Faturamento TLV_Varejo_Jun 16-05 a 15-06-09 - M3 - Validação Cliente_v2_BD Resumo diário Painel de Televendas Janeiro 2011" xfId="3766"/>
    <cellStyle name="_DESL PARA SET (2)_Plan1_Faturamento TLV_Varejo_Jun 16-05 a 15-06-09 - M3 - Validação Cliente_v2_BD Resumo diário Painel de Televendas Setembro 2010_BASE_UNICA" xfId="3767"/>
    <cellStyle name="_DESL PARA SET (2)_Plan1_Faturamento TLV_Varejo_Jun 16-05 a 15-06-09 - M3 - Validação Cliente_v2_Painel de Retenção Junho 2011" xfId="3768"/>
    <cellStyle name="_DESL PARA SET (2)_Plan1_Faturamento TLV_Varejo_Jun 16-05 a 15-06-09 - M3 - Validação Cliente_v2_Pasta1" xfId="3769"/>
    <cellStyle name="_DESL PARA SET (2)_Plan1_Faturamento TLV_Varejo_Jun 16-05 a 15-06-09 - M3 - Validação Cliente_v2_Plan1" xfId="3770"/>
    <cellStyle name="_DESL PARA SET (2)_Plan1_Faturamento TLV_Varejo_Jun 16-05 a 15-06-09 - M3 - Validação Cliente_v2_Plan2" xfId="3771"/>
    <cellStyle name="_DESL PARA SET (2)_Plan1_Faturamento TLV_Varejo_Jun 16-05 a 15-06-09 - M3 - Validação Cliente_v2_Retenção" xfId="3772"/>
    <cellStyle name="_DESL PARA SET (2)_Plan1_Faturamento TLV_Varejo_Jun 16-05 a 15-06-09 - M3 - Validação Cliente_v2_Retenção Painel" xfId="3773"/>
    <cellStyle name="_DESL PARA SET (2)_Plan1_Faturamento TLV_Varejo_Jun 16-05 a 15-06-09 - M3 - Validação Cliente_v2_Televendas Painel" xfId="3774"/>
    <cellStyle name="_DESL PARA SET (2)_Plan1_Faturamento TLV_Varejo_Jun 16-05 a 15-06-09 - M3 - Validação Cliente_v2_Televendas Painel_ant" xfId="3775"/>
    <cellStyle name="_DESL PARA SET (2)_Plan1_Faturamento TLV_Varejo_Mai 16-04 a 15-05-09 - M3 - Validação Cliente_V2" xfId="3776"/>
    <cellStyle name="_DESL PARA SET (2)_Plan1_Faturamento TLV_Varejo_Mai 16-04 a 15-05-09 - M3 - Validação Cliente_V2_BD Resumo diário Painel de Televendas Abril 2011" xfId="3777"/>
    <cellStyle name="_DESL PARA SET (2)_Plan1_Faturamento TLV_Varejo_Mai 16-04 a 15-05-09 - M3 - Validação Cliente_V2_BD Resumo diário Painel de Televendas Janeiro 2011" xfId="3778"/>
    <cellStyle name="_DESL PARA SET (2)_Plan1_Faturamento TLV_Varejo_Mai 16-04 a 15-05-09 - M3 - Validação Cliente_V2_BD Resumo diário Painel de Televendas Setembro 2010_BASE_UNICA" xfId="3779"/>
    <cellStyle name="_DESL PARA SET (2)_Plan1_Faturamento TLV_Varejo_Mai 16-04 a 15-05-09 - M3 - Validação Cliente_V2_Painel de Retenção Junho 2011" xfId="3780"/>
    <cellStyle name="_DESL PARA SET (2)_Plan1_Faturamento TLV_Varejo_Mai 16-04 a 15-05-09 - M3 - Validação Cliente_V2_Pasta1" xfId="3781"/>
    <cellStyle name="_DESL PARA SET (2)_Plan1_Faturamento TLV_Varejo_Mai 16-04 a 15-05-09 - M3 - Validação Cliente_V2_Plan1" xfId="3782"/>
    <cellStyle name="_DESL PARA SET (2)_Plan1_Faturamento TLV_Varejo_Mai 16-04 a 15-05-09 - M3 - Validação Cliente_V2_Plan2" xfId="3783"/>
    <cellStyle name="_DESL PARA SET (2)_Plan1_Faturamento TLV_Varejo_Mai 16-04 a 15-05-09 - M3 - Validação Cliente_V2_Retenção" xfId="3784"/>
    <cellStyle name="_DESL PARA SET (2)_Plan1_Faturamento TLV_Varejo_Mai 16-04 a 15-05-09 - M3 - Validação Cliente_V2_Retenção Painel" xfId="3785"/>
    <cellStyle name="_DESL PARA SET (2)_Plan1_Faturamento TLV_Varejo_Mai 16-04 a 15-05-09 - M3 - Validação Cliente_V2_Televendas Painel" xfId="3786"/>
    <cellStyle name="_DESL PARA SET (2)_Plan1_Faturamento TLV_Varejo_Mai 16-04 a 15-05-09 - M3 - Validação Cliente_V2_Televendas Painel_ant" xfId="3787"/>
    <cellStyle name="_DESL PARA SET (2)_Plan1_Faturamento_Oi Fixo SD e LD_Jul-08" xfId="3788"/>
    <cellStyle name="_DESL PARA SET (2)_Plan1_Faturamento_Oi Fixo SD e LD_Jul-08_BD Resumo diário Painel de Televendas Abril 2011" xfId="3789"/>
    <cellStyle name="_DESL PARA SET (2)_Plan1_Faturamento_Oi Fixo SD e LD_Jul-08_BD Resumo diário Painel de Televendas Janeiro 2011" xfId="3790"/>
    <cellStyle name="_DESL PARA SET (2)_Plan1_Faturamento_Oi Fixo SD e LD_Jul-08_BD Resumo diário Painel de Televendas Setembro 2010_BASE_UNICA" xfId="3791"/>
    <cellStyle name="_DESL PARA SET (2)_Plan1_Faturamento_Oi Fixo SD e LD_Jul-08_Painel de Retenção Junho 2011" xfId="3792"/>
    <cellStyle name="_DESL PARA SET (2)_Plan1_Faturamento_Oi Fixo SD e LD_Jul-08_Pasta1" xfId="3793"/>
    <cellStyle name="_DESL PARA SET (2)_Plan1_Faturamento_Oi Fixo SD e LD_Jul-08_Plan1" xfId="3794"/>
    <cellStyle name="_DESL PARA SET (2)_Plan1_Faturamento_Oi Fixo SD e LD_Jul-08_Plan2" xfId="3795"/>
    <cellStyle name="_DESL PARA SET (2)_Plan1_Faturamento_Oi Fixo SD e LD_Jul-08_Retenção" xfId="3796"/>
    <cellStyle name="_DESL PARA SET (2)_Plan1_Faturamento_Oi Fixo SD e LD_Jul-08_Retenção Painel" xfId="3797"/>
    <cellStyle name="_DESL PARA SET (2)_Plan1_Faturamento_Oi Fixo SD e LD_Jul-08_Televendas Painel" xfId="3798"/>
    <cellStyle name="_DESL PARA SET (2)_Plan1_Faturamento_Oi Fixo SD e LD_Jul-08_Televendas Painel_ant" xfId="3799"/>
    <cellStyle name="_DESL PARA SET (2)_Plan1_Faturamento_Oi Fixo, SD e LD_Jun08_v01" xfId="3800"/>
    <cellStyle name="_DESL PARA SET (2)_Plan1_Faturamento_Oi Fixo, SD e LD_Jun08_v01_BD Resumo diário Painel de Televendas Abril 2011" xfId="3801"/>
    <cellStyle name="_DESL PARA SET (2)_Plan1_Faturamento_Oi Fixo, SD e LD_Jun08_v01_BD Resumo diário Painel de Televendas Janeiro 2011" xfId="3802"/>
    <cellStyle name="_DESL PARA SET (2)_Plan1_Faturamento_Oi Fixo, SD e LD_Jun08_v01_BD Resumo diário Painel de Televendas Setembro 2010_BASE_UNICA" xfId="3803"/>
    <cellStyle name="_DESL PARA SET (2)_Plan1_Faturamento_Oi Fixo, SD e LD_Jun08_v01_Painel de Retenção Junho 2011" xfId="3804"/>
    <cellStyle name="_DESL PARA SET (2)_Plan1_Faturamento_Oi Fixo, SD e LD_Jun08_v01_Pasta1" xfId="3805"/>
    <cellStyle name="_DESL PARA SET (2)_Plan1_Faturamento_Oi Fixo, SD e LD_Jun08_v01_Plan1" xfId="3806"/>
    <cellStyle name="_DESL PARA SET (2)_Plan1_Faturamento_Oi Fixo, SD e LD_Jun08_v01_Plan2" xfId="3807"/>
    <cellStyle name="_DESL PARA SET (2)_Plan1_Faturamento_Oi Fixo, SD e LD_Jun08_v01_Retenção" xfId="3808"/>
    <cellStyle name="_DESL PARA SET (2)_Plan1_Faturamento_Oi Fixo, SD e LD_Jun08_v01_Retenção Painel" xfId="3809"/>
    <cellStyle name="_DESL PARA SET (2)_Plan1_Faturamento_Oi Fixo, SD e LD_Jun08_v01_Televendas Painel" xfId="3810"/>
    <cellStyle name="_DESL PARA SET (2)_Plan1_Faturamento_Oi Fixo, SD e LD_Jun08_v01_Televendas Painel_ant" xfId="3811"/>
    <cellStyle name="_DESL PARA SET (2)_Plan1_Faturamento_Oi Fixo, SD e LD_Mai08_v01" xfId="3812"/>
    <cellStyle name="_DESL PARA SET (2)_Plan1_Faturamento_Oi Fixo, SD e LD_Mai08_v01_BD Resumo diário Painel de Televendas Abril 2011" xfId="3813"/>
    <cellStyle name="_DESL PARA SET (2)_Plan1_Faturamento_Oi Fixo, SD e LD_Mai08_v01_BD Resumo diário Painel de Televendas Janeiro 2011" xfId="3814"/>
    <cellStyle name="_DESL PARA SET (2)_Plan1_Faturamento_Oi Fixo, SD e LD_Mai08_v01_BD Resumo diário Painel de Televendas Setembro 2010_BASE_UNICA" xfId="3815"/>
    <cellStyle name="_DESL PARA SET (2)_Plan1_Faturamento_Oi Fixo, SD e LD_Mai08_v01_Painel de Retenção Junho 2011" xfId="3816"/>
    <cellStyle name="_DESL PARA SET (2)_Plan1_Faturamento_Oi Fixo, SD e LD_Mai08_v01_Pasta1" xfId="3817"/>
    <cellStyle name="_DESL PARA SET (2)_Plan1_Faturamento_Oi Fixo, SD e LD_Mai08_v01_Plan1" xfId="3818"/>
    <cellStyle name="_DESL PARA SET (2)_Plan1_Faturamento_Oi Fixo, SD e LD_Mai08_v01_Plan2" xfId="3819"/>
    <cellStyle name="_DESL PARA SET (2)_Plan1_Faturamento_Oi Fixo, SD e LD_Mai08_v01_Retenção" xfId="3820"/>
    <cellStyle name="_DESL PARA SET (2)_Plan1_Faturamento_Oi Fixo, SD e LD_Mai08_v01_Retenção Painel" xfId="3821"/>
    <cellStyle name="_DESL PARA SET (2)_Plan1_Faturamento_Oi Fixo, SD e LD_Mai08_v01_Televendas Painel" xfId="3822"/>
    <cellStyle name="_DESL PARA SET (2)_Plan1_Faturamento_Oi Fixo, SD e LD_Mai08_v01_Televendas Painel_ant" xfId="3823"/>
    <cellStyle name="_DESL PARA SET (2)_Plan1_Faturamento_Oi Fixo, SD e LD_Mai08_vOi" xfId="3824"/>
    <cellStyle name="_DESL PARA SET (2)_Plan1_Faturamento_Oi Fixo, SD e LD_Mai08_vOi_BD Resumo diário Painel de Televendas Abril 2011" xfId="3825"/>
    <cellStyle name="_DESL PARA SET (2)_Plan1_Faturamento_Oi Fixo, SD e LD_Mai08_vOi_BD Resumo diário Painel de Televendas Janeiro 2011" xfId="3826"/>
    <cellStyle name="_DESL PARA SET (2)_Plan1_Faturamento_Oi Fixo, SD e LD_Mai08_vOi_BD Resumo diário Painel de Televendas Setembro 2010_BASE_UNICA" xfId="3827"/>
    <cellStyle name="_DESL PARA SET (2)_Plan1_Faturamento_Oi Fixo, SD e LD_Mai08_vOi_Painel de Retenção Junho 2011" xfId="3828"/>
    <cellStyle name="_DESL PARA SET (2)_Plan1_Faturamento_Oi Fixo, SD e LD_Mai08_vOi_Pasta1" xfId="3829"/>
    <cellStyle name="_DESL PARA SET (2)_Plan1_Faturamento_Oi Fixo, SD e LD_Mai08_vOi_Plan1" xfId="3830"/>
    <cellStyle name="_DESL PARA SET (2)_Plan1_Faturamento_Oi Fixo, SD e LD_Mai08_vOi_Plan2" xfId="3831"/>
    <cellStyle name="_DESL PARA SET (2)_Plan1_Faturamento_Oi Fixo, SD e LD_Mai08_vOi_Retenção" xfId="3832"/>
    <cellStyle name="_DESL PARA SET (2)_Plan1_Faturamento_Oi Fixo, SD e LD_Mai08_vOi_Retenção Painel" xfId="3833"/>
    <cellStyle name="_DESL PARA SET (2)_Plan1_Faturamento_Oi Fixo, SD e LD_Mai08_vOi_Televendas Painel" xfId="3834"/>
    <cellStyle name="_DESL PARA SET (2)_Plan1_Faturamento_Oi Fixo, SD e LD_Mai08_vOi_Televendas Painel_ant" xfId="3835"/>
    <cellStyle name="_DESL PARA SET (2)_Plan1_Fechamento Faturamento Abril2008_ CE_Retenção Oi_Final" xfId="3836"/>
    <cellStyle name="_DESL PARA SET (2)_Plan1_Fechamento Faturamento Abril2008_ CE_Retenção Oi_Final_BD Resumo diário Painel de Televendas Abril 2011" xfId="3837"/>
    <cellStyle name="_DESL PARA SET (2)_Plan1_Fechamento Faturamento Abril2008_ CE_Retenção Oi_Final_BD Resumo diário Painel de Televendas Janeiro 2011" xfId="3838"/>
    <cellStyle name="_DESL PARA SET (2)_Plan1_Fechamento Faturamento Abril2008_ CE_Retenção Oi_Final_BD Resumo diário Painel de Televendas Setembro 2010_BASE_UNICA" xfId="3839"/>
    <cellStyle name="_DESL PARA SET (2)_Plan1_Fechamento Faturamento Abril2008_ CE_Retenção Oi_Final_Faturamento TLV_Varejo_Ago 16-07 a 15-08-09 - V4 - Validação Cliente" xfId="3840"/>
    <cellStyle name="_DESL PARA SET (2)_Plan1_Fechamento Faturamento Abril2008_ CE_Retenção Oi_Final_Faturamento TLV_Varejo_Ago 16-07 a 15-08-09 - V4 - Validação Cliente_BD Resumo diário Painel de Televendas Abril 2011" xfId="3841"/>
    <cellStyle name="_DESL PARA SET (2)_Plan1_Fechamento Faturamento Abril2008_ CE_Retenção Oi_Final_Faturamento TLV_Varejo_Ago 16-07 a 15-08-09 - V4 - Validação Cliente_BD Resumo diário Painel de Televendas Janeiro 2011" xfId="3842"/>
    <cellStyle name="_DESL PARA SET (2)_Plan1_Fechamento Faturamento Abril2008_ CE_Retenção Oi_Final_Faturamento TLV_Varejo_Ago 16-07 a 15-08-09 - V4 - Validação Cliente_BD Resumo diário Painel de Televendas Setembro 2010_BASE_UNICA" xfId="3843"/>
    <cellStyle name="_DESL PARA SET (2)_Plan1_Fechamento Faturamento Abril2008_ CE_Retenção Oi_Final_Faturamento TLV_Varejo_Ago 16-07 a 15-08-09 - V4 - Validação Cliente_Painel de Retenção Junho 2011" xfId="3844"/>
    <cellStyle name="_DESL PARA SET (2)_Plan1_Fechamento Faturamento Abril2008_ CE_Retenção Oi_Final_Faturamento TLV_Varejo_Ago 16-07 a 15-08-09 - V4 - Validação Cliente_Pasta1" xfId="3845"/>
    <cellStyle name="_DESL PARA SET (2)_Plan1_Fechamento Faturamento Abril2008_ CE_Retenção Oi_Final_Faturamento TLV_Varejo_Ago 16-07 a 15-08-09 - V4 - Validação Cliente_Plan1" xfId="3846"/>
    <cellStyle name="_DESL PARA SET (2)_Plan1_Fechamento Faturamento Abril2008_ CE_Retenção Oi_Final_Faturamento TLV_Varejo_Ago 16-07 a 15-08-09 - V4 - Validação Cliente_Plan2" xfId="3847"/>
    <cellStyle name="_DESL PARA SET (2)_Plan1_Fechamento Faturamento Abril2008_ CE_Retenção Oi_Final_Faturamento TLV_Varejo_Ago 16-07 a 15-08-09 - V4 - Validação Cliente_Retenção" xfId="3848"/>
    <cellStyle name="_DESL PARA SET (2)_Plan1_Fechamento Faturamento Abril2008_ CE_Retenção Oi_Final_Faturamento TLV_Varejo_Ago 16-07 a 15-08-09 - V4 - Validação Cliente_Retenção Painel" xfId="3849"/>
    <cellStyle name="_DESL PARA SET (2)_Plan1_Fechamento Faturamento Abril2008_ CE_Retenção Oi_Final_Faturamento TLV_Varejo_Ago 16-07 a 15-08-09 - V4 - Validação Cliente_Televendas Painel" xfId="3850"/>
    <cellStyle name="_DESL PARA SET (2)_Plan1_Fechamento Faturamento Abril2008_ CE_Retenção Oi_Final_Faturamento TLV_Varejo_Ago 16-07 a 15-08-09 - V4 - Validação Cliente_Televendas Painel_ant" xfId="3851"/>
    <cellStyle name="_DESL PARA SET (2)_Plan1_Fechamento Faturamento Abril2008_ CE_Retenção Oi_Final_Painel de Retenção Junho 2011" xfId="3852"/>
    <cellStyle name="_DESL PARA SET (2)_Plan1_Fechamento Faturamento Abril2008_ CE_Retenção Oi_Final_Pasta1" xfId="3853"/>
    <cellStyle name="_DESL PARA SET (2)_Plan1_Fechamento Faturamento Abril2008_ CE_Retenção Oi_Final_Plan1" xfId="3854"/>
    <cellStyle name="_DESL PARA SET (2)_Plan1_Fechamento Faturamento Abril2008_ CE_Retenção Oi_Final_Plan2" xfId="3855"/>
    <cellStyle name="_DESL PARA SET (2)_Plan1_Fechamento Faturamento Abril2008_ CE_Retenção Oi_Final_Retenção" xfId="3856"/>
    <cellStyle name="_DESL PARA SET (2)_Plan1_Fechamento Faturamento Abril2008_ CE_Retenção Oi_Final_Retenção Painel" xfId="3857"/>
    <cellStyle name="_DESL PARA SET (2)_Plan1_Fechamento Faturamento Abril2008_ CE_Retenção Oi_Final_Televendas Painel" xfId="3858"/>
    <cellStyle name="_DESL PARA SET (2)_Plan1_Fechamento Faturamento Abril2008_ CE_Retenção Oi_Final_Televendas Painel_ant" xfId="3859"/>
    <cellStyle name="_DESL PARA SET (2)_Plan1_Fechamento Faturamento Mai-Jun 2008 Ret-CE" xfId="3860"/>
    <cellStyle name="_DESL PARA SET (2)_Plan1_Fechamento Faturamento Mai-Jun 2008 Ret-CE_BD Resumo diário Painel de Televendas Abril 2011" xfId="3861"/>
    <cellStyle name="_DESL PARA SET (2)_Plan1_Fechamento Faturamento Mai-Jun 2008 Ret-CE_BD Resumo diário Painel de Televendas Janeiro 2011" xfId="3862"/>
    <cellStyle name="_DESL PARA SET (2)_Plan1_Fechamento Faturamento Mai-Jun 2008 Ret-CE_BD Resumo diário Painel de Televendas Setembro 2010_BASE_UNICA" xfId="3863"/>
    <cellStyle name="_DESL PARA SET (2)_Plan1_Fechamento Faturamento Mai-Jun 2008 Ret-CE_Painel de Retenção Junho 2011" xfId="3864"/>
    <cellStyle name="_DESL PARA SET (2)_Plan1_Fechamento Faturamento Mai-Jun 2008 Ret-CE_Pasta1" xfId="3865"/>
    <cellStyle name="_DESL PARA SET (2)_Plan1_Fechamento Faturamento Mai-Jun 2008 Ret-CE_Plan1" xfId="3866"/>
    <cellStyle name="_DESL PARA SET (2)_Plan1_Fechamento Faturamento Mai-Jun 2008 Ret-CE_Plan2" xfId="3867"/>
    <cellStyle name="_DESL PARA SET (2)_Plan1_Fechamento Faturamento Mai-Jun 2008 Ret-CE_Retenção" xfId="3868"/>
    <cellStyle name="_DESL PARA SET (2)_Plan1_Fechamento Faturamento Mai-Jun 2008 Ret-CE_Retenção Painel" xfId="3869"/>
    <cellStyle name="_DESL PARA SET (2)_Plan1_Fechamento Faturamento Mai-Jun 2008 Ret-CE_Televendas Painel" xfId="3870"/>
    <cellStyle name="_DESL PARA SET (2)_Plan1_Fechamento Faturamento Mai-Jun 2008 Ret-CE_Televendas Painel_ant" xfId="3871"/>
    <cellStyle name="_DESL PARA SET (2)_Plan1_Fechamento Faturamento Maio2008_ CE_Retenção Oi_Validação Final" xfId="3872"/>
    <cellStyle name="_DESL PARA SET (2)_Plan1_Fechamento Faturamento Maio2008_ CE_Retenção Oi_Validação Final_BD Resumo diário Painel de Televendas Abril 2011" xfId="3873"/>
    <cellStyle name="_DESL PARA SET (2)_Plan1_Fechamento Faturamento Maio2008_ CE_Retenção Oi_Validação Final_BD Resumo diário Painel de Televendas Janeiro 2011" xfId="3874"/>
    <cellStyle name="_DESL PARA SET (2)_Plan1_Fechamento Faturamento Maio2008_ CE_Retenção Oi_Validação Final_BD Resumo diário Painel de Televendas Setembro 2010_BASE_UNICA" xfId="3875"/>
    <cellStyle name="_DESL PARA SET (2)_Plan1_Fechamento Faturamento Maio2008_ CE_Retenção Oi_Validação Final_Faturamento TLV_Varejo_Ago 16-07 a 15-08-09 - V4 - Validação Cliente" xfId="3876"/>
    <cellStyle name="_DESL PARA SET (2)_Plan1_Fechamento Faturamento Maio2008_ CE_Retenção Oi_Validação Final_Faturamento TLV_Varejo_Ago 16-07 a 15-08-09 - V4 - Validação Cliente_BD Resumo diário Painel de Televendas Abril 2011" xfId="3877"/>
    <cellStyle name="_DESL PARA SET (2)_Plan1_Fechamento Faturamento Maio2008_ CE_Retenção Oi_Validação Final_Faturamento TLV_Varejo_Ago 16-07 a 15-08-09 - V4 - Validação Cliente_BD Resumo diário Painel de Televendas Janeiro 2011" xfId="3878"/>
    <cellStyle name="_DESL PARA SET (2)_Plan1_Fechamento Faturamento Maio2008_ CE_Retenção Oi_Validação Final_Faturamento TLV_Varejo_Ago 16-07 a 15-08-09 - V4 - Validação Cliente_BD Resumo diário Painel de Televendas Setembro 2010_BASE_UNICA" xfId="3879"/>
    <cellStyle name="_DESL PARA SET (2)_Plan1_Fechamento Faturamento Maio2008_ CE_Retenção Oi_Validação Final_Faturamento TLV_Varejo_Ago 16-07 a 15-08-09 - V4 - Validação Cliente_Painel de Retenção Junho 2011" xfId="3880"/>
    <cellStyle name="_DESL PARA SET (2)_Plan1_Fechamento Faturamento Maio2008_ CE_Retenção Oi_Validação Final_Faturamento TLV_Varejo_Ago 16-07 a 15-08-09 - V4 - Validação Cliente_Pasta1" xfId="3881"/>
    <cellStyle name="_DESL PARA SET (2)_Plan1_Fechamento Faturamento Maio2008_ CE_Retenção Oi_Validação Final_Faturamento TLV_Varejo_Ago 16-07 a 15-08-09 - V4 - Validação Cliente_Plan1" xfId="3882"/>
    <cellStyle name="_DESL PARA SET (2)_Plan1_Fechamento Faturamento Maio2008_ CE_Retenção Oi_Validação Final_Faturamento TLV_Varejo_Ago 16-07 a 15-08-09 - V4 - Validação Cliente_Plan2" xfId="3883"/>
    <cellStyle name="_DESL PARA SET (2)_Plan1_Fechamento Faturamento Maio2008_ CE_Retenção Oi_Validação Final_Faturamento TLV_Varejo_Ago 16-07 a 15-08-09 - V4 - Validação Cliente_Retenção" xfId="3884"/>
    <cellStyle name="_DESL PARA SET (2)_Plan1_Fechamento Faturamento Maio2008_ CE_Retenção Oi_Validação Final_Faturamento TLV_Varejo_Ago 16-07 a 15-08-09 - V4 - Validação Cliente_Retenção Painel" xfId="3885"/>
    <cellStyle name="_DESL PARA SET (2)_Plan1_Fechamento Faturamento Maio2008_ CE_Retenção Oi_Validação Final_Faturamento TLV_Varejo_Ago 16-07 a 15-08-09 - V4 - Validação Cliente_Televendas Painel" xfId="3886"/>
    <cellStyle name="_DESL PARA SET (2)_Plan1_Fechamento Faturamento Maio2008_ CE_Retenção Oi_Validação Final_Faturamento TLV_Varejo_Ago 16-07 a 15-08-09 - V4 - Validação Cliente_Televendas Painel_ant" xfId="3887"/>
    <cellStyle name="_DESL PARA SET (2)_Plan1_Fechamento Faturamento Maio2008_ CE_Retenção Oi_Validação Final_Painel de Retenção Junho 2011" xfId="3888"/>
    <cellStyle name="_DESL PARA SET (2)_Plan1_Fechamento Faturamento Maio2008_ CE_Retenção Oi_Validação Final_Pasta1" xfId="3889"/>
    <cellStyle name="_DESL PARA SET (2)_Plan1_Fechamento Faturamento Maio2008_ CE_Retenção Oi_Validação Final_Plan1" xfId="3890"/>
    <cellStyle name="_DESL PARA SET (2)_Plan1_Fechamento Faturamento Maio2008_ CE_Retenção Oi_Validação Final_Plan2" xfId="3891"/>
    <cellStyle name="_DESL PARA SET (2)_Plan1_Fechamento Faturamento Maio2008_ CE_Retenção Oi_Validação Final_Retenção" xfId="3892"/>
    <cellStyle name="_DESL PARA SET (2)_Plan1_Fechamento Faturamento Maio2008_ CE_Retenção Oi_Validação Final_Retenção Painel" xfId="3893"/>
    <cellStyle name="_DESL PARA SET (2)_Plan1_Fechamento Faturamento Maio2008_ CE_Retenção Oi_Validação Final_Televendas Painel" xfId="3894"/>
    <cellStyle name="_DESL PARA SET (2)_Plan1_Fechamento Faturamento Maio2008_ CE_Retenção Oi_Validação Final_Televendas Painel_ant" xfId="3895"/>
    <cellStyle name="_DESL PARA SET (2)_Plan1_Painel de Retenção Junho 2011" xfId="3896"/>
    <cellStyle name="_DESL PARA SET (2)_Plan1_Pasta1" xfId="3897"/>
    <cellStyle name="_DESL PARA SET (2)_Plan1_Pasta1_1" xfId="3898"/>
    <cellStyle name="_DESL PARA SET (2)_Plan1_Pasta1_BD Resumo diário Painel de Televendas Abril 2011" xfId="3899"/>
    <cellStyle name="_DESL PARA SET (2)_Plan1_Pasta1_BD Resumo diário Painel de Televendas Janeiro 2011" xfId="3900"/>
    <cellStyle name="_DESL PARA SET (2)_Plan1_Pasta1_BD Resumo diário Painel de Televendas Setembro 2010_BASE_UNICA" xfId="3901"/>
    <cellStyle name="_DESL PARA SET (2)_Plan1_Pasta1_Painel de Retenção Junho 2011" xfId="3902"/>
    <cellStyle name="_DESL PARA SET (2)_Plan1_Pasta1_Pasta1" xfId="3903"/>
    <cellStyle name="_DESL PARA SET (2)_Plan1_Pasta1_Plan1" xfId="3904"/>
    <cellStyle name="_DESL PARA SET (2)_Plan1_Pasta1_Plan2" xfId="3905"/>
    <cellStyle name="_DESL PARA SET (2)_Plan1_Pasta1_Retenção" xfId="3906"/>
    <cellStyle name="_DESL PARA SET (2)_Plan1_Pasta1_Retenção Painel" xfId="3907"/>
    <cellStyle name="_DESL PARA SET (2)_Plan1_Pasta1_Televendas Painel" xfId="3908"/>
    <cellStyle name="_DESL PARA SET (2)_Plan1_Pasta1_Televendas Painel_ant" xfId="3909"/>
    <cellStyle name="_DESL PARA SET (2)_Plan1_Plan1" xfId="3910"/>
    <cellStyle name="_DESL PARA SET (2)_Plan1_Plan2" xfId="3911"/>
    <cellStyle name="_DESL PARA SET (2)_Plan1_Retenção" xfId="3912"/>
    <cellStyle name="_DESL PARA SET (2)_Plan1_Retenção Painel" xfId="3913"/>
    <cellStyle name="_DESL PARA SET (2)_Plan1_Simulador de Desconto de TMA_AV_Validado em 17.06" xfId="3914"/>
    <cellStyle name="_DESL PARA SET (2)_Plan1_Simulador de Desconto de TMA_AV_Validado em 17.06_BD Resumo diário Painel de Televendas Abril 2011" xfId="3915"/>
    <cellStyle name="_DESL PARA SET (2)_Plan1_Simulador de Desconto de TMA_AV_Validado em 17.06_BD Resumo diário Painel de Televendas Janeiro 2011" xfId="3916"/>
    <cellStyle name="_DESL PARA SET (2)_Plan1_Simulador de Desconto de TMA_AV_Validado em 17.06_BD Resumo diário Painel de Televendas Setembro 2010_BASE_UNICA" xfId="3917"/>
    <cellStyle name="_DESL PARA SET (2)_Plan1_Simulador de Desconto de TMA_AV_Validado em 17.06_Painel de Retenção Junho 2011" xfId="3918"/>
    <cellStyle name="_DESL PARA SET (2)_Plan1_Simulador de Desconto de TMA_AV_Validado em 17.06_Pasta1" xfId="3919"/>
    <cellStyle name="_DESL PARA SET (2)_Plan1_Simulador de Desconto de TMA_AV_Validado em 17.06_Plan1" xfId="3920"/>
    <cellStyle name="_DESL PARA SET (2)_Plan1_Simulador de Desconto de TMA_AV_Validado em 17.06_Plan2" xfId="3921"/>
    <cellStyle name="_DESL PARA SET (2)_Plan1_Simulador de Desconto de TMA_AV_Validado em 17.06_Retenção" xfId="3922"/>
    <cellStyle name="_DESL PARA SET (2)_Plan1_Simulador de Desconto de TMA_AV_Validado em 17.06_Retenção Painel" xfId="3923"/>
    <cellStyle name="_DESL PARA SET (2)_Plan1_Simulador de Desconto de TMA_AV_Validado em 17.06_Televendas Painel" xfId="3924"/>
    <cellStyle name="_DESL PARA SET (2)_Plan1_Simulador de Desconto de TMA_AV_Validado em 17.06_Televendas Painel_ant" xfId="3925"/>
    <cellStyle name="_DESL PARA SET (2)_Plan1_Televendas Painel" xfId="3926"/>
    <cellStyle name="_DESL PARA SET (2)_Plan1_Televendas Painel_ant" xfId="3927"/>
    <cellStyle name="_DESL PARA SET (2)_Plan1_TENDÊNCIA RET VAR CONTROLE" xfId="3928"/>
    <cellStyle name="_DESL PARA SET (2)_Plan1_TENDÊNCIA RET VAR CONTROLE_Base" xfId="3929"/>
    <cellStyle name="_DESL PARA SET (2)_Plan1_TENDÊNCIA RET VAR CONTROLE_D_Ret_Fixa_EMP" xfId="3930"/>
    <cellStyle name="_DESL PARA SET (2)_Plan1_TENDÊNCIA RET VAR CONTROLE_D_Ret_Fixa_EMP_1" xfId="3931"/>
    <cellStyle name="_DESL PARA SET (2)_Plan1_TENDÊNCIA RET VAR CONTROLE_D_Ret_Fixa_EMP_2" xfId="3932"/>
    <cellStyle name="_DESL PARA SET (2)_Plan1_TENDÊNCIA RET VAR CONTROLE_D_Ret_Fixa_EMP_3" xfId="3933"/>
    <cellStyle name="_DESL PARA SET (2)_Plan1_TENDÊNCIA RET VAR CONTROLE_D_Ret_Fixa_EMP_4" xfId="3934"/>
    <cellStyle name="_DESL PARA SET (2)_Plan1_TENDÊNCIA RET VAR CONTROLE_D_Ret_Fixa_EMP_5" xfId="3935"/>
    <cellStyle name="_DESL PARA SET (2)_Plan1_TENDÊNCIA RET VAR CONTROLE_D_Ret_Fixa_EMP_6" xfId="3936"/>
    <cellStyle name="_DESL PARA SET (2)_Plan1_TENDÊNCIA RET VAR CONTROLE_D_Ret_Fixa_EMP_7" xfId="3937"/>
    <cellStyle name="_DESL PARA SET (2)_Plan1_TENDÊNCIA RET VAR CONTROLE_D_Ret_Fixa_EMP_8" xfId="3938"/>
    <cellStyle name="_DESL PARA SET (2)_Plan1_TENDÊNCIA RET VAR CONTROLE_D_Ret_Fixa_VAR" xfId="3939"/>
    <cellStyle name="_DESL PARA SET (2)_Plan1_TENDÊNCIA RET VAR CONTROLE_D_Ret_Fixa_VAR_1" xfId="3940"/>
    <cellStyle name="_DESL PARA SET (2)_Plan1_TENDÊNCIA RET VAR CONTROLE_D_Ret_Fixa_VAR_2" xfId="3941"/>
    <cellStyle name="_DESL PARA SET (2)_Plan1_TENDÊNCIA RET VAR CONTROLE_D_Ret_Fixa_VAR_3" xfId="3942"/>
    <cellStyle name="_DESL PARA SET (2)_Plan1_TENDÊNCIA RET VAR CONTROLE_D_Ret_Fixa_VAR_4" xfId="3943"/>
    <cellStyle name="_DESL PARA SET (2)_Plan1_TENDÊNCIA RET VAR CONTROLE_D_Ret_Fixa_VAR_5" xfId="3944"/>
    <cellStyle name="_DESL PARA SET (2)_Plan1_TENDÊNCIA RET VAR CONTROLE_D_Ret_Fixa_VAR_6" xfId="3945"/>
    <cellStyle name="_DESL PARA SET (2)_Plan1_TENDÊNCIA RET VAR CONTROLE_D_Ret_Fixa_VAR_7" xfId="3946"/>
    <cellStyle name="_DESL PARA SET (2)_Plan1_TENDÊNCIA RET VAR CONTROLE_D_Ret_Fixa_VAR_8" xfId="3947"/>
    <cellStyle name="_DESL PARA SET (2)_Plan1_TENDÊNCIA RET VAR CONTROLE_Mig Ret 3G" xfId="3948"/>
    <cellStyle name="_DESL PARA SET (2)_Plan1_TENDÊNCIA RET VAR CONTROLE_Mig Ret 3G_1" xfId="3949"/>
    <cellStyle name="_DESL PARA SET (2)_Plan1_TENDÊNCIA RET VAR CONTROLE_Mig Ret 3G_2" xfId="3950"/>
    <cellStyle name="_DESL PARA SET (2)_Plan1_TENDÊNCIA RET VAR CONTROLE_Mig Ret 3G_3" xfId="3951"/>
    <cellStyle name="_DESL PARA SET (2)_Plan1_TENDÊNCIA RET VAR CONTROLE_Mig Ret 3G_4" xfId="3952"/>
    <cellStyle name="_DESL PARA SET (2)_Plan1_TENDÊNCIA RET VAR CONTROLE_Mig Ret 3G_5" xfId="3953"/>
    <cellStyle name="_DESL PARA SET (2)_Plan1_TENDÊNCIA RET VAR CONTROLE_Mig Ret 3G_6" xfId="3954"/>
    <cellStyle name="_DESL PARA SET (2)_Plan1_TENDÊNCIA RET VAR CONTROLE_Mig Ret 3G_7" xfId="3955"/>
    <cellStyle name="_DESL PARA SET (2)_Plan1_TENDÊNCIA RET VAR CONTROLE_Movel" xfId="3956"/>
    <cellStyle name="_DESL PARA SET (2)_Plan1_TENDÊNCIA RET VAR CONTROLE_Movel_1" xfId="3957"/>
    <cellStyle name="_DESL PARA SET (2)_Plan1_TENDÊNCIA RET VAR CONTROLE_Movel_2" xfId="3958"/>
    <cellStyle name="_DESL PARA SET (2)_Plan1_TENDÊNCIA RET VAR CONTROLE_Movel_3" xfId="3959"/>
    <cellStyle name="_DESL PARA SET (2)_Plan1_TENDÊNCIA RET VAR CONTROLE_Movel_4" xfId="3960"/>
    <cellStyle name="_DESL PARA SET (2)_Plan1_TENDÊNCIA RET VAR CONTROLE_Movel_5" xfId="3961"/>
    <cellStyle name="_DESL PARA SET (2)_Plan1_TENDÊNCIA RET VAR CONTROLE_Movel_6" xfId="3962"/>
    <cellStyle name="_DESL PARA SET (2)_Plan1_TENDÊNCIA RET VAR CONTROLE_Movel_7" xfId="3963"/>
    <cellStyle name="_DESL PARA SET (2)_Plan1_TENDÊNCIA RET VAR CONTROLE_Retenção" xfId="3964"/>
    <cellStyle name="_DESL PARA SET (2)_Plan1_TENDÊNCIA RET VAR VOL" xfId="3965"/>
    <cellStyle name="_DESL PARA SET (2)_Plan1_TENDÊNCIA RET VAR VOL 2" xfId="3966"/>
    <cellStyle name="_DESL PARA SET (2)_Plan1_TENDÊNCIA RET VAR VOL_Base" xfId="3967"/>
    <cellStyle name="_DESL PARA SET (2)_Plan1_TENDÊNCIA RET VAR VOL_D_Movel" xfId="3968"/>
    <cellStyle name="_DESL PARA SET (2)_Plan1_TENDÊNCIA RET VAR VOL_D_Ret_Fixa_EMP" xfId="3969"/>
    <cellStyle name="_DESL PARA SET (2)_Plan1_TENDÊNCIA RET VAR VOL_D_Ret_Fixa_EMP_1" xfId="3970"/>
    <cellStyle name="_DESL PARA SET (2)_Plan1_TENDÊNCIA RET VAR VOL_D_Ret_Fixa_EMP_2" xfId="3971"/>
    <cellStyle name="_DESL PARA SET (2)_Plan1_TENDÊNCIA RET VAR VOL_D_Ret_Fixa_EMP_3" xfId="3972"/>
    <cellStyle name="_DESL PARA SET (2)_Plan1_TENDÊNCIA RET VAR VOL_D_Ret_Fixa_EMP_4" xfId="3973"/>
    <cellStyle name="_DESL PARA SET (2)_Plan1_TENDÊNCIA RET VAR VOL_D_Ret_Fixa_EMP_5" xfId="3974"/>
    <cellStyle name="_DESL PARA SET (2)_Plan1_TENDÊNCIA RET VAR VOL_D_Ret_Fixa_EMP_6" xfId="3975"/>
    <cellStyle name="_DESL PARA SET (2)_Plan1_TENDÊNCIA RET VAR VOL_D_Ret_Fixa_EMP_7" xfId="3976"/>
    <cellStyle name="_DESL PARA SET (2)_Plan1_TENDÊNCIA RET VAR VOL_D_Ret_Fixa_EMP_8" xfId="3977"/>
    <cellStyle name="_DESL PARA SET (2)_Plan1_TENDÊNCIA RET VAR VOL_D_Ret_Fixa_VAR" xfId="3978"/>
    <cellStyle name="_DESL PARA SET (2)_Plan1_TENDÊNCIA RET VAR VOL_D_Ret_Fixa_VAR_1" xfId="3979"/>
    <cellStyle name="_DESL PARA SET (2)_Plan1_TENDÊNCIA RET VAR VOL_D_Ret_Fixa_VAR_2" xfId="3980"/>
    <cellStyle name="_DESL PARA SET (2)_Plan1_TENDÊNCIA RET VAR VOL_D_Ret_Fixa_VAR_3" xfId="3981"/>
    <cellStyle name="_DESL PARA SET (2)_Plan1_TENDÊNCIA RET VAR VOL_D_Ret_Fixa_VAR_4" xfId="3982"/>
    <cellStyle name="_DESL PARA SET (2)_Plan1_TENDÊNCIA RET VAR VOL_D_Ret_Fixa_VAR_5" xfId="3983"/>
    <cellStyle name="_DESL PARA SET (2)_Plan1_TENDÊNCIA RET VAR VOL_D_Ret_Fixa_VAR_6" xfId="3984"/>
    <cellStyle name="_DESL PARA SET (2)_Plan1_TENDÊNCIA RET VAR VOL_D_Ret_Fixa_VAR_7" xfId="3985"/>
    <cellStyle name="_DESL PARA SET (2)_Plan1_TENDÊNCIA RET VAR VOL_D_Ret_Fixa_VAR_8" xfId="3986"/>
    <cellStyle name="_DESL PARA SET (2)_Plan1_TENDÊNCIA RET VAR VOL_Mig Ret 3G" xfId="3987"/>
    <cellStyle name="_DESL PARA SET (2)_Plan1_TENDÊNCIA RET VAR VOL_Mig Ret 3G_1" xfId="3988"/>
    <cellStyle name="_DESL PARA SET (2)_Plan1_TENDÊNCIA RET VAR VOL_Mig Ret 3G_2" xfId="3989"/>
    <cellStyle name="_DESL PARA SET (2)_Plan1_TENDÊNCIA RET VAR VOL_Mig Ret 3G_3" xfId="3990"/>
    <cellStyle name="_DESL PARA SET (2)_Plan1_TENDÊNCIA RET VAR VOL_Mig Ret 3G_4" xfId="3991"/>
    <cellStyle name="_DESL PARA SET (2)_Plan1_TENDÊNCIA RET VAR VOL_Mig Ret 3G_5" xfId="3992"/>
    <cellStyle name="_DESL PARA SET (2)_Plan1_TENDÊNCIA RET VAR VOL_Mig Ret 3G_6" xfId="3993"/>
    <cellStyle name="_DESL PARA SET (2)_Plan1_TENDÊNCIA RET VAR VOL_Mig Ret 3G_7" xfId="3994"/>
    <cellStyle name="_DESL PARA SET (2)_Plan1_TENDÊNCIA RET VAR VOL_Movel" xfId="3995"/>
    <cellStyle name="_DESL PARA SET (2)_Plan1_TENDÊNCIA RET VAR VOL_Movel_1" xfId="3996"/>
    <cellStyle name="_DESL PARA SET (2)_Plan1_TENDÊNCIA RET VAR VOL_Movel_2" xfId="3997"/>
    <cellStyle name="_DESL PARA SET (2)_Plan1_TENDÊNCIA RET VAR VOL_Movel_3" xfId="3998"/>
    <cellStyle name="_DESL PARA SET (2)_Plan1_TENDÊNCIA RET VAR VOL_Movel_4" xfId="3999"/>
    <cellStyle name="_DESL PARA SET (2)_Plan1_TENDÊNCIA RET VAR VOL_Movel_5" xfId="4000"/>
    <cellStyle name="_DESL PARA SET (2)_Plan1_TENDÊNCIA RET VAR VOL_Movel_6" xfId="4001"/>
    <cellStyle name="_DESL PARA SET (2)_Plan1_TENDÊNCIA RET VAR VOL_Movel_7" xfId="4002"/>
    <cellStyle name="_DESL PARA SET (2)_Plan1_TENDÊNCIA RET VAR VOL_Retenção" xfId="4003"/>
    <cellStyle name="_DESL PARA SET (2)_Plan1_Tendência TLV_Varejo_Jul 16-06 a 15-07-09 - M3 - 3ºTendência Oi" xfId="4004"/>
    <cellStyle name="_DESL PARA SET (2)_Plan1_Tendência TLV_Varejo_Jul 16-06 a 15-07-09 - M3 - 3ºTendência Oi_BD Resumo diário Painel de Televendas Abril 2011" xfId="4005"/>
    <cellStyle name="_DESL PARA SET (2)_Plan1_Tendência TLV_Varejo_Jul 16-06 a 15-07-09 - M3 - 3ºTendência Oi_BD Resumo diário Painel de Televendas Janeiro 2011" xfId="4006"/>
    <cellStyle name="_DESL PARA SET (2)_Plan1_Tendência TLV_Varejo_Jul 16-06 a 15-07-09 - M3 - 3ºTendência Oi_BD Resumo diário Painel de Televendas Setembro 2010_BASE_UNICA" xfId="4007"/>
    <cellStyle name="_DESL PARA SET (2)_Plan1_Tendência TLV_Varejo_Jul 16-06 a 15-07-09 - M3 - 3ºTendência Oi_Painel de Retenção Junho 2011" xfId="4008"/>
    <cellStyle name="_DESL PARA SET (2)_Plan1_Tendência TLV_Varejo_Jul 16-06 a 15-07-09 - M3 - 3ºTendência Oi_Pasta1" xfId="4009"/>
    <cellStyle name="_DESL PARA SET (2)_Plan1_Tendência TLV_Varejo_Jul 16-06 a 15-07-09 - M3 - 3ºTendência Oi_Plan1" xfId="4010"/>
    <cellStyle name="_DESL PARA SET (2)_Plan1_Tendência TLV_Varejo_Jul 16-06 a 15-07-09 - M3 - 3ºTendência Oi_Plan2" xfId="4011"/>
    <cellStyle name="_DESL PARA SET (2)_Plan1_Tendência TLV_Varejo_Jul 16-06 a 15-07-09 - M3 - 3ºTendência Oi_Retenção" xfId="4012"/>
    <cellStyle name="_DESL PARA SET (2)_Plan1_Tendência TLV_Varejo_Jul 16-06 a 15-07-09 - M3 - 3ºTendência Oi_Retenção Painel" xfId="4013"/>
    <cellStyle name="_DESL PARA SET (2)_Plan1_Tendência TLV_Varejo_Jul 16-06 a 15-07-09 - M3 - 3ºTendência Oi_Televendas Painel" xfId="4014"/>
    <cellStyle name="_DESL PARA SET (2)_Plan1_Tendência TLV_Varejo_Jul 16-06 a 15-07-09 - M3 - 3ºTendência Oi_Televendas Painel_ant" xfId="4015"/>
    <cellStyle name="_DESL PARA SET (2)_Plan1_Validação Fat Site Contorno_Varejo_Fev 09" xfId="4016"/>
    <cellStyle name="_DESL PARA SET (2)_Plan1_Validação Fat Site Contorno_Varejo_Fev 09_BD Resumo diário Painel de Televendas Abril 2011" xfId="4017"/>
    <cellStyle name="_DESL PARA SET (2)_Plan1_Validação Fat Site Contorno_Varejo_Fev 09_BD Resumo diário Painel de Televendas Janeiro 2011" xfId="4018"/>
    <cellStyle name="_DESL PARA SET (2)_Plan1_Validação Fat Site Contorno_Varejo_Fev 09_BD Resumo diário Painel de Televendas Setembro 2010_BASE_UNICA" xfId="4019"/>
    <cellStyle name="_DESL PARA SET (2)_Plan1_Validação Fat Site Contorno_Varejo_Fev 09_Painel de Retenção Junho 2011" xfId="4020"/>
    <cellStyle name="_DESL PARA SET (2)_Plan1_Validação Fat Site Contorno_Varejo_Fev 09_Pasta1" xfId="4021"/>
    <cellStyle name="_DESL PARA SET (2)_Plan1_Validação Fat Site Contorno_Varejo_Fev 09_Plan1" xfId="4022"/>
    <cellStyle name="_DESL PARA SET (2)_Plan1_Validação Fat Site Contorno_Varejo_Fev 09_Plan2" xfId="4023"/>
    <cellStyle name="_DESL PARA SET (2)_Plan1_Validação Fat Site Contorno_Varejo_Fev 09_Retenção" xfId="4024"/>
    <cellStyle name="_DESL PARA SET (2)_Plan1_Validação Fat Site Contorno_Varejo_Fev 09_Retenção Painel" xfId="4025"/>
    <cellStyle name="_DESL PARA SET (2)_Plan1_Validação Fat Site Contorno_Varejo_Fev 09_Televendas Painel" xfId="4026"/>
    <cellStyle name="_DESL PARA SET (2)_Plan1_Validação Fat Site Contorno_Varejo_Fev 09_Televendas Painel_ant" xfId="4027"/>
    <cellStyle name="_DESL PARA SET (2)_Plan1_Validação Faturamento TLV_Varejo_Abril" xfId="4028"/>
    <cellStyle name="_DESL PARA SET (2)_Plan1_Validação Faturamento TLV_Varejo_Abril_BD Resumo diário Painel de Televendas Abril 2011" xfId="4029"/>
    <cellStyle name="_DESL PARA SET (2)_Plan1_Validação Faturamento TLV_Varejo_Abril_BD Resumo diário Painel de Televendas Janeiro 2011" xfId="4030"/>
    <cellStyle name="_DESL PARA SET (2)_Plan1_Validação Faturamento TLV_Varejo_Abril_BD Resumo diário Painel de Televendas Setembro 2010_BASE_UNICA" xfId="4031"/>
    <cellStyle name="_DESL PARA SET (2)_Plan1_Validação Faturamento TLV_Varejo_Abril_Painel de Retenção Junho 2011" xfId="4032"/>
    <cellStyle name="_DESL PARA SET (2)_Plan1_Validação Faturamento TLV_Varejo_Abril_Pasta1" xfId="4033"/>
    <cellStyle name="_DESL PARA SET (2)_Plan1_Validação Faturamento TLV_Varejo_Abril_Plan1" xfId="4034"/>
    <cellStyle name="_DESL PARA SET (2)_Plan1_Validação Faturamento TLV_Varejo_Abril_Plan2" xfId="4035"/>
    <cellStyle name="_DESL PARA SET (2)_Plan1_Validação Faturamento TLV_Varejo_Abril_Retenção" xfId="4036"/>
    <cellStyle name="_DESL PARA SET (2)_Plan1_Validação Faturamento TLV_Varejo_Abril_Retenção Painel" xfId="4037"/>
    <cellStyle name="_DESL PARA SET (2)_Plan1_Validação Faturamento TLV_Varejo_Abril_Televendas Painel" xfId="4038"/>
    <cellStyle name="_DESL PARA SET (2)_Plan1_Validação Faturamento TLV_Varejo_Abril_Televendas Painel_ant" xfId="4039"/>
    <cellStyle name="_DESL PARA SET (2)_Plan1_Validação Faturamento TLV_Varejo_Mar 16-02 a 15-03-09 - M3 - V3" xfId="4040"/>
    <cellStyle name="_DESL PARA SET (2)_Plan1_Validação Faturamento TLV_Varejo_Mar 16-02 a 15-03-09 - M3 - V3_BD Resumo diário Painel de Televendas Abril 2011" xfId="4041"/>
    <cellStyle name="_DESL PARA SET (2)_Plan1_Validação Faturamento TLV_Varejo_Mar 16-02 a 15-03-09 - M3 - V3_BD Resumo diário Painel de Televendas Janeiro 2011" xfId="4042"/>
    <cellStyle name="_DESL PARA SET (2)_Plan1_Validação Faturamento TLV_Varejo_Mar 16-02 a 15-03-09 - M3 - V3_BD Resumo diário Painel de Televendas Setembro 2010_BASE_UNICA" xfId="4043"/>
    <cellStyle name="_DESL PARA SET (2)_Plan1_Validação Faturamento TLV_Varejo_Mar 16-02 a 15-03-09 - M3 - V3_Painel de Retenção Junho 2011" xfId="4044"/>
    <cellStyle name="_DESL PARA SET (2)_Plan1_Validação Faturamento TLV_Varejo_Mar 16-02 a 15-03-09 - M3 - V3_Pasta1" xfId="4045"/>
    <cellStyle name="_DESL PARA SET (2)_Plan1_Validação Faturamento TLV_Varejo_Mar 16-02 a 15-03-09 - M3 - V3_Plan1" xfId="4046"/>
    <cellStyle name="_DESL PARA SET (2)_Plan1_Validação Faturamento TLV_Varejo_Mar 16-02 a 15-03-09 - M3 - V3_Plan2" xfId="4047"/>
    <cellStyle name="_DESL PARA SET (2)_Plan1_Validação Faturamento TLV_Varejo_Mar 16-02 a 15-03-09 - M3 - V3_Retenção" xfId="4048"/>
    <cellStyle name="_DESL PARA SET (2)_Plan1_Validação Faturamento TLV_Varejo_Mar 16-02 a 15-03-09 - M3 - V3_Retenção Painel" xfId="4049"/>
    <cellStyle name="_DESL PARA SET (2)_Plan1_Validação Faturamento TLV_Varejo_Mar 16-02 a 15-03-09 - M3 - V3_Televendas Painel" xfId="4050"/>
    <cellStyle name="_DESL PARA SET (2)_Plan1_Validação Faturamento TLV_Varejo_Mar 16-02 a 15-03-09 - M3 - V3_Televendas Painel_ant" xfId="4051"/>
    <cellStyle name="_DESL PARA SET (2)_Plan2" xfId="4052"/>
    <cellStyle name="_DESL PARA SET (2)_Plan2_1" xfId="4053"/>
    <cellStyle name="_DESL PARA SET (2)_Plan2_BD Resumo diário Painel de Televendas Abril 2011" xfId="4054"/>
    <cellStyle name="_DESL PARA SET (2)_Plan2_BD Resumo diário Painel de Televendas Janeiro 2011" xfId="4055"/>
    <cellStyle name="_DESL PARA SET (2)_Plan2_BD Resumo diário Painel de Televendas Setembro 2010_BASE_UNICA" xfId="4056"/>
    <cellStyle name="_DESL PARA SET (2)_Plan2_Painel de Retenção Junho 2011" xfId="4057"/>
    <cellStyle name="_DESL PARA SET (2)_Plan2_Pasta1" xfId="4058"/>
    <cellStyle name="_DESL PARA SET (2)_Plan2_Plan1" xfId="4059"/>
    <cellStyle name="_DESL PARA SET (2)_Plan2_Plan2" xfId="4060"/>
    <cellStyle name="_DESL PARA SET (2)_Plan2_Retenção" xfId="4061"/>
    <cellStyle name="_DESL PARA SET (2)_Plan2_Retenção Painel" xfId="4062"/>
    <cellStyle name="_DESL PARA SET (2)_Plan2_Televendas Painel" xfId="4063"/>
    <cellStyle name="_DESL PARA SET (2)_Plan2_Televendas Painel_ant" xfId="4064"/>
    <cellStyle name="_DESL PARA SET (2)_Plan2_TENDÊNCIA RET VAR CONTROLE" xfId="4065"/>
    <cellStyle name="_DESL PARA SET (2)_Plan2_TENDÊNCIA RET VAR CONTROLE_Base" xfId="4066"/>
    <cellStyle name="_DESL PARA SET (2)_Plan2_TENDÊNCIA RET VAR CONTROLE_D_Ret_Fixa_EMP" xfId="4067"/>
    <cellStyle name="_DESL PARA SET (2)_Plan2_TENDÊNCIA RET VAR CONTROLE_D_Ret_Fixa_EMP_1" xfId="4068"/>
    <cellStyle name="_DESL PARA SET (2)_Plan2_TENDÊNCIA RET VAR CONTROLE_D_Ret_Fixa_EMP_2" xfId="4069"/>
    <cellStyle name="_DESL PARA SET (2)_Plan2_TENDÊNCIA RET VAR CONTROLE_D_Ret_Fixa_EMP_3" xfId="4070"/>
    <cellStyle name="_DESL PARA SET (2)_Plan2_TENDÊNCIA RET VAR CONTROLE_D_Ret_Fixa_EMP_4" xfId="4071"/>
    <cellStyle name="_DESL PARA SET (2)_Plan2_TENDÊNCIA RET VAR CONTROLE_D_Ret_Fixa_EMP_5" xfId="4072"/>
    <cellStyle name="_DESL PARA SET (2)_Plan2_TENDÊNCIA RET VAR CONTROLE_D_Ret_Fixa_EMP_6" xfId="4073"/>
    <cellStyle name="_DESL PARA SET (2)_Plan2_TENDÊNCIA RET VAR CONTROLE_D_Ret_Fixa_EMP_7" xfId="4074"/>
    <cellStyle name="_DESL PARA SET (2)_Plan2_TENDÊNCIA RET VAR CONTROLE_D_Ret_Fixa_EMP_8" xfId="4075"/>
    <cellStyle name="_DESL PARA SET (2)_Plan2_TENDÊNCIA RET VAR CONTROLE_D_Ret_Fixa_VAR" xfId="4076"/>
    <cellStyle name="_DESL PARA SET (2)_Plan2_TENDÊNCIA RET VAR CONTROLE_D_Ret_Fixa_VAR_1" xfId="4077"/>
    <cellStyle name="_DESL PARA SET (2)_Plan2_TENDÊNCIA RET VAR CONTROLE_D_Ret_Fixa_VAR_2" xfId="4078"/>
    <cellStyle name="_DESL PARA SET (2)_Plan2_TENDÊNCIA RET VAR CONTROLE_D_Ret_Fixa_VAR_3" xfId="4079"/>
    <cellStyle name="_DESL PARA SET (2)_Plan2_TENDÊNCIA RET VAR CONTROLE_D_Ret_Fixa_VAR_4" xfId="4080"/>
    <cellStyle name="_DESL PARA SET (2)_Plan2_TENDÊNCIA RET VAR CONTROLE_D_Ret_Fixa_VAR_5" xfId="4081"/>
    <cellStyle name="_DESL PARA SET (2)_Plan2_TENDÊNCIA RET VAR CONTROLE_D_Ret_Fixa_VAR_6" xfId="4082"/>
    <cellStyle name="_DESL PARA SET (2)_Plan2_TENDÊNCIA RET VAR CONTROLE_D_Ret_Fixa_VAR_7" xfId="4083"/>
    <cellStyle name="_DESL PARA SET (2)_Plan2_TENDÊNCIA RET VAR CONTROLE_D_Ret_Fixa_VAR_8" xfId="4084"/>
    <cellStyle name="_DESL PARA SET (2)_Plan2_TENDÊNCIA RET VAR CONTROLE_Mig Ret 3G" xfId="4085"/>
    <cellStyle name="_DESL PARA SET (2)_Plan2_TENDÊNCIA RET VAR CONTROLE_Mig Ret 3G_1" xfId="4086"/>
    <cellStyle name="_DESL PARA SET (2)_Plan2_TENDÊNCIA RET VAR CONTROLE_Mig Ret 3G_2" xfId="4087"/>
    <cellStyle name="_DESL PARA SET (2)_Plan2_TENDÊNCIA RET VAR CONTROLE_Mig Ret 3G_3" xfId="4088"/>
    <cellStyle name="_DESL PARA SET (2)_Plan2_TENDÊNCIA RET VAR CONTROLE_Mig Ret 3G_4" xfId="4089"/>
    <cellStyle name="_DESL PARA SET (2)_Plan2_TENDÊNCIA RET VAR CONTROLE_Mig Ret 3G_5" xfId="4090"/>
    <cellStyle name="_DESL PARA SET (2)_Plan2_TENDÊNCIA RET VAR CONTROLE_Mig Ret 3G_6" xfId="4091"/>
    <cellStyle name="_DESL PARA SET (2)_Plan2_TENDÊNCIA RET VAR CONTROLE_Mig Ret 3G_7" xfId="4092"/>
    <cellStyle name="_DESL PARA SET (2)_Plan2_TENDÊNCIA RET VAR CONTROLE_Movel" xfId="4093"/>
    <cellStyle name="_DESL PARA SET (2)_Plan2_TENDÊNCIA RET VAR CONTROLE_Movel_1" xfId="4094"/>
    <cellStyle name="_DESL PARA SET (2)_Plan2_TENDÊNCIA RET VAR CONTROLE_Movel_2" xfId="4095"/>
    <cellStyle name="_DESL PARA SET (2)_Plan2_TENDÊNCIA RET VAR CONTROLE_Movel_3" xfId="4096"/>
    <cellStyle name="_DESL PARA SET (2)_Plan2_TENDÊNCIA RET VAR CONTROLE_Movel_4" xfId="4097"/>
    <cellStyle name="_DESL PARA SET (2)_Plan2_TENDÊNCIA RET VAR CONTROLE_Movel_5" xfId="4098"/>
    <cellStyle name="_DESL PARA SET (2)_Plan2_TENDÊNCIA RET VAR CONTROLE_Movel_6" xfId="4099"/>
    <cellStyle name="_DESL PARA SET (2)_Plan2_TENDÊNCIA RET VAR CONTROLE_Movel_7" xfId="4100"/>
    <cellStyle name="_DESL PARA SET (2)_Plan2_TENDÊNCIA RET VAR CONTROLE_Retenção" xfId="4101"/>
    <cellStyle name="_DESL PARA SET (2)_Plan2_TENDÊNCIA RET VAR VOL" xfId="4102"/>
    <cellStyle name="_DESL PARA SET (2)_Plan2_TENDÊNCIA RET VAR VOL 2" xfId="4103"/>
    <cellStyle name="_DESL PARA SET (2)_Plan2_TENDÊNCIA RET VAR VOL_Base" xfId="4104"/>
    <cellStyle name="_DESL PARA SET (2)_Plan2_TENDÊNCIA RET VAR VOL_D_Movel" xfId="4105"/>
    <cellStyle name="_DESL PARA SET (2)_Plan2_TENDÊNCIA RET VAR VOL_D_Ret_Fixa_EMP" xfId="4106"/>
    <cellStyle name="_DESL PARA SET (2)_Plan2_TENDÊNCIA RET VAR VOL_D_Ret_Fixa_EMP_1" xfId="4107"/>
    <cellStyle name="_DESL PARA SET (2)_Plan2_TENDÊNCIA RET VAR VOL_D_Ret_Fixa_EMP_2" xfId="4108"/>
    <cellStyle name="_DESL PARA SET (2)_Plan2_TENDÊNCIA RET VAR VOL_D_Ret_Fixa_EMP_3" xfId="4109"/>
    <cellStyle name="_DESL PARA SET (2)_Plan2_TENDÊNCIA RET VAR VOL_D_Ret_Fixa_EMP_4" xfId="4110"/>
    <cellStyle name="_DESL PARA SET (2)_Plan2_TENDÊNCIA RET VAR VOL_D_Ret_Fixa_EMP_5" xfId="4111"/>
    <cellStyle name="_DESL PARA SET (2)_Plan2_TENDÊNCIA RET VAR VOL_D_Ret_Fixa_EMP_6" xfId="4112"/>
    <cellStyle name="_DESL PARA SET (2)_Plan2_TENDÊNCIA RET VAR VOL_D_Ret_Fixa_EMP_7" xfId="4113"/>
    <cellStyle name="_DESL PARA SET (2)_Plan2_TENDÊNCIA RET VAR VOL_D_Ret_Fixa_EMP_8" xfId="4114"/>
    <cellStyle name="_DESL PARA SET (2)_Plan2_TENDÊNCIA RET VAR VOL_D_Ret_Fixa_VAR" xfId="4115"/>
    <cellStyle name="_DESL PARA SET (2)_Plan2_TENDÊNCIA RET VAR VOL_D_Ret_Fixa_VAR_1" xfId="4116"/>
    <cellStyle name="_DESL PARA SET (2)_Plan2_TENDÊNCIA RET VAR VOL_D_Ret_Fixa_VAR_2" xfId="4117"/>
    <cellStyle name="_DESL PARA SET (2)_Plan2_TENDÊNCIA RET VAR VOL_D_Ret_Fixa_VAR_3" xfId="4118"/>
    <cellStyle name="_DESL PARA SET (2)_Plan2_TENDÊNCIA RET VAR VOL_D_Ret_Fixa_VAR_4" xfId="4119"/>
    <cellStyle name="_DESL PARA SET (2)_Plan2_TENDÊNCIA RET VAR VOL_D_Ret_Fixa_VAR_5" xfId="4120"/>
    <cellStyle name="_DESL PARA SET (2)_Plan2_TENDÊNCIA RET VAR VOL_D_Ret_Fixa_VAR_6" xfId="4121"/>
    <cellStyle name="_DESL PARA SET (2)_Plan2_TENDÊNCIA RET VAR VOL_D_Ret_Fixa_VAR_7" xfId="4122"/>
    <cellStyle name="_DESL PARA SET (2)_Plan2_TENDÊNCIA RET VAR VOL_D_Ret_Fixa_VAR_8" xfId="4123"/>
    <cellStyle name="_DESL PARA SET (2)_Plan2_TENDÊNCIA RET VAR VOL_Mig Ret 3G" xfId="4124"/>
    <cellStyle name="_DESL PARA SET (2)_Plan2_TENDÊNCIA RET VAR VOL_Mig Ret 3G_1" xfId="4125"/>
    <cellStyle name="_DESL PARA SET (2)_Plan2_TENDÊNCIA RET VAR VOL_Mig Ret 3G_2" xfId="4126"/>
    <cellStyle name="_DESL PARA SET (2)_Plan2_TENDÊNCIA RET VAR VOL_Mig Ret 3G_3" xfId="4127"/>
    <cellStyle name="_DESL PARA SET (2)_Plan2_TENDÊNCIA RET VAR VOL_Mig Ret 3G_4" xfId="4128"/>
    <cellStyle name="_DESL PARA SET (2)_Plan2_TENDÊNCIA RET VAR VOL_Mig Ret 3G_5" xfId="4129"/>
    <cellStyle name="_DESL PARA SET (2)_Plan2_TENDÊNCIA RET VAR VOL_Mig Ret 3G_6" xfId="4130"/>
    <cellStyle name="_DESL PARA SET (2)_Plan2_TENDÊNCIA RET VAR VOL_Mig Ret 3G_7" xfId="4131"/>
    <cellStyle name="_DESL PARA SET (2)_Plan2_TENDÊNCIA RET VAR VOL_Movel" xfId="4132"/>
    <cellStyle name="_DESL PARA SET (2)_Plan2_TENDÊNCIA RET VAR VOL_Movel_1" xfId="4133"/>
    <cellStyle name="_DESL PARA SET (2)_Plan2_TENDÊNCIA RET VAR VOL_Movel_2" xfId="4134"/>
    <cellStyle name="_DESL PARA SET (2)_Plan2_TENDÊNCIA RET VAR VOL_Movel_3" xfId="4135"/>
    <cellStyle name="_DESL PARA SET (2)_Plan2_TENDÊNCIA RET VAR VOL_Movel_4" xfId="4136"/>
    <cellStyle name="_DESL PARA SET (2)_Plan2_TENDÊNCIA RET VAR VOL_Movel_5" xfId="4137"/>
    <cellStyle name="_DESL PARA SET (2)_Plan2_TENDÊNCIA RET VAR VOL_Movel_6" xfId="4138"/>
    <cellStyle name="_DESL PARA SET (2)_Plan2_TENDÊNCIA RET VAR VOL_Movel_7" xfId="4139"/>
    <cellStyle name="_DESL PARA SET (2)_Plan2_TENDÊNCIA RET VAR VOL_Retenção" xfId="4140"/>
    <cellStyle name="_DESL PARA SET (2)_rechamada" xfId="4141"/>
    <cellStyle name="_DESL PARA SET (2)_rechamada_BD Resumo diário Painel de Televendas Abril 2011" xfId="4142"/>
    <cellStyle name="_DESL PARA SET (2)_rechamada_BD Resumo diário Painel de Televendas Janeiro 2011" xfId="4143"/>
    <cellStyle name="_DESL PARA SET (2)_rechamada_BD Resumo diário Painel de Televendas Setembro 2010_BASE_UNICA" xfId="4144"/>
    <cellStyle name="_DESL PARA SET (2)_rechamada_Faturamento TLV_Varejo_Ago 16-07 a 15-08-09 - V4 - Validação Cliente" xfId="4145"/>
    <cellStyle name="_DESL PARA SET (2)_rechamada_Faturamento TLV_Varejo_Ago 16-07 a 15-08-09 - V4 - Validação Cliente_BD Resumo diário Painel de Televendas Abril 2011" xfId="4146"/>
    <cellStyle name="_DESL PARA SET (2)_rechamada_Faturamento TLV_Varejo_Ago 16-07 a 15-08-09 - V4 - Validação Cliente_BD Resumo diário Painel de Televendas Janeiro 2011" xfId="4147"/>
    <cellStyle name="_DESL PARA SET (2)_rechamada_Faturamento TLV_Varejo_Ago 16-07 a 15-08-09 - V4 - Validação Cliente_BD Resumo diário Painel de Televendas Setembro 2010_BASE_UNICA" xfId="4148"/>
    <cellStyle name="_DESL PARA SET (2)_rechamada_Faturamento TLV_Varejo_Ago 16-07 a 15-08-09 - V4 - Validação Cliente_Painel de Retenção Junho 2011" xfId="4149"/>
    <cellStyle name="_DESL PARA SET (2)_rechamada_Faturamento TLV_Varejo_Ago 16-07 a 15-08-09 - V4 - Validação Cliente_Pasta1" xfId="4150"/>
    <cellStyle name="_DESL PARA SET (2)_rechamada_Faturamento TLV_Varejo_Ago 16-07 a 15-08-09 - V4 - Validação Cliente_Plan1" xfId="4151"/>
    <cellStyle name="_DESL PARA SET (2)_rechamada_Faturamento TLV_Varejo_Ago 16-07 a 15-08-09 - V4 - Validação Cliente_Plan2" xfId="4152"/>
    <cellStyle name="_DESL PARA SET (2)_rechamada_Faturamento TLV_Varejo_Ago 16-07 a 15-08-09 - V4 - Validação Cliente_Retenção" xfId="4153"/>
    <cellStyle name="_DESL PARA SET (2)_rechamada_Faturamento TLV_Varejo_Ago 16-07 a 15-08-09 - V4 - Validação Cliente_Retenção Painel" xfId="4154"/>
    <cellStyle name="_DESL PARA SET (2)_rechamada_Faturamento TLV_Varejo_Ago 16-07 a 15-08-09 - V4 - Validação Cliente_Televendas Painel" xfId="4155"/>
    <cellStyle name="_DESL PARA SET (2)_rechamada_Faturamento TLV_Varejo_Ago 16-07 a 15-08-09 - V4 - Validação Cliente_Televendas Painel_ant" xfId="4156"/>
    <cellStyle name="_DESL PARA SET (2)_rechamada_Painel de Retenção Junho 2011" xfId="4157"/>
    <cellStyle name="_DESL PARA SET (2)_rechamada_Pasta1" xfId="4158"/>
    <cellStyle name="_DESL PARA SET (2)_rechamada_Plan1" xfId="4159"/>
    <cellStyle name="_DESL PARA SET (2)_rechamada_Plan2" xfId="4160"/>
    <cellStyle name="_DESL PARA SET (2)_rechamada_Retenção" xfId="4161"/>
    <cellStyle name="_DESL PARA SET (2)_rechamada_Retenção Painel" xfId="4162"/>
    <cellStyle name="_DESL PARA SET (2)_rechamada_Televendas Painel" xfId="4163"/>
    <cellStyle name="_DESL PARA SET (2)_rechamada_Televendas Painel_ant" xfId="4164"/>
    <cellStyle name="_DESL PARA SET (2)_Resumo_Coordenação" xfId="4165"/>
    <cellStyle name="_DESL PARA SET (2)_Resumo_Coordenação 2" xfId="4166"/>
    <cellStyle name="_DESL PARA SET (2)_Resumo_Coordenação_Base" xfId="4167"/>
    <cellStyle name="_DESL PARA SET (2)_Resumo_Coordenação_D_Movel" xfId="4168"/>
    <cellStyle name="_DESL PARA SET (2)_Resumo_Coordenação_D_Ret_Fixa_EMP" xfId="4169"/>
    <cellStyle name="_DESL PARA SET (2)_Resumo_Coordenação_D_Ret_Fixa_EMP_1" xfId="4170"/>
    <cellStyle name="_DESL PARA SET (2)_Resumo_Coordenação_D_Ret_Fixa_EMP_2" xfId="4171"/>
    <cellStyle name="_DESL PARA SET (2)_Resumo_Coordenação_D_Ret_Fixa_EMP_3" xfId="4172"/>
    <cellStyle name="_DESL PARA SET (2)_Resumo_Coordenação_D_Ret_Fixa_EMP_4" xfId="4173"/>
    <cellStyle name="_DESL PARA SET (2)_Resumo_Coordenação_D_Ret_Fixa_EMP_5" xfId="4174"/>
    <cellStyle name="_DESL PARA SET (2)_Resumo_Coordenação_D_Ret_Fixa_EMP_6" xfId="4175"/>
    <cellStyle name="_DESL PARA SET (2)_Resumo_Coordenação_D_Ret_Fixa_EMP_7" xfId="4176"/>
    <cellStyle name="_DESL PARA SET (2)_Resumo_Coordenação_D_Ret_Fixa_EMP_8" xfId="4177"/>
    <cellStyle name="_DESL PARA SET (2)_Resumo_Coordenação_D_Ret_Fixa_VAR" xfId="4178"/>
    <cellStyle name="_DESL PARA SET (2)_Resumo_Coordenação_D_Ret_Fixa_VAR_1" xfId="4179"/>
    <cellStyle name="_DESL PARA SET (2)_Resumo_Coordenação_D_Ret_Fixa_VAR_2" xfId="4180"/>
    <cellStyle name="_DESL PARA SET (2)_Resumo_Coordenação_D_Ret_Fixa_VAR_3" xfId="4181"/>
    <cellStyle name="_DESL PARA SET (2)_Resumo_Coordenação_D_Ret_Fixa_VAR_4" xfId="4182"/>
    <cellStyle name="_DESL PARA SET (2)_Resumo_Coordenação_D_Ret_Fixa_VAR_5" xfId="4183"/>
    <cellStyle name="_DESL PARA SET (2)_Resumo_Coordenação_D_Ret_Fixa_VAR_6" xfId="4184"/>
    <cellStyle name="_DESL PARA SET (2)_Resumo_Coordenação_D_Ret_Fixa_VAR_7" xfId="4185"/>
    <cellStyle name="_DESL PARA SET (2)_Resumo_Coordenação_D_Ret_Fixa_VAR_8" xfId="4186"/>
    <cellStyle name="_DESL PARA SET (2)_Resumo_Coordenação_Mig Ret 3G" xfId="4187"/>
    <cellStyle name="_DESL PARA SET (2)_Resumo_Coordenação_Mig Ret 3G_1" xfId="4188"/>
    <cellStyle name="_DESL PARA SET (2)_Resumo_Coordenação_Mig Ret 3G_2" xfId="4189"/>
    <cellStyle name="_DESL PARA SET (2)_Resumo_Coordenação_Mig Ret 3G_3" xfId="4190"/>
    <cellStyle name="_DESL PARA SET (2)_Resumo_Coordenação_Mig Ret 3G_4" xfId="4191"/>
    <cellStyle name="_DESL PARA SET (2)_Resumo_Coordenação_Mig Ret 3G_5" xfId="4192"/>
    <cellStyle name="_DESL PARA SET (2)_Resumo_Coordenação_Mig Ret 3G_6" xfId="4193"/>
    <cellStyle name="_DESL PARA SET (2)_Resumo_Coordenação_Mig Ret 3G_7" xfId="4194"/>
    <cellStyle name="_DESL PARA SET (2)_Resumo_Coordenação_Movel" xfId="4195"/>
    <cellStyle name="_DESL PARA SET (2)_Resumo_Coordenação_Movel_1" xfId="4196"/>
    <cellStyle name="_DESL PARA SET (2)_Resumo_Coordenação_Movel_2" xfId="4197"/>
    <cellStyle name="_DESL PARA SET (2)_Resumo_Coordenação_Movel_3" xfId="4198"/>
    <cellStyle name="_DESL PARA SET (2)_Resumo_Coordenação_Movel_4" xfId="4199"/>
    <cellStyle name="_DESL PARA SET (2)_Resumo_Coordenação_Movel_5" xfId="4200"/>
    <cellStyle name="_DESL PARA SET (2)_Resumo_Coordenação_Movel_6" xfId="4201"/>
    <cellStyle name="_DESL PARA SET (2)_Resumo_Coordenação_Movel_7" xfId="4202"/>
    <cellStyle name="_DESL PARA SET (2)_Resumo_Coordenação_Retenção" xfId="4203"/>
    <cellStyle name="_DESL PARA SET (2)_Ret - Ofertas Jan2008 (version 4.3)" xfId="4204"/>
    <cellStyle name="_DESL PARA SET (2)_Ret - Ofertas Jan2008 (version 4.3)_BD Resumo diário Painel de Televendas Abril 2011" xfId="4205"/>
    <cellStyle name="_DESL PARA SET (2)_Ret - Ofertas Jan2008 (version 4.3)_BD Resumo diário Painel de Televendas Janeiro 2011" xfId="4206"/>
    <cellStyle name="_DESL PARA SET (2)_Ret - Ofertas Jan2008 (version 4.3)_BD Resumo diário Painel de Televendas Setembro 2010_BASE_UNICA" xfId="4207"/>
    <cellStyle name="_DESL PARA SET (2)_Ret - Ofertas Jan2008 (version 4.3)_Faturamento TLV_Varejo_Ago 16-07 a 15-08-09 - V4 - Validação Cliente" xfId="4208"/>
    <cellStyle name="_DESL PARA SET (2)_Ret - Ofertas Jan2008 (version 4.3)_Faturamento TLV_Varejo_Ago 16-07 a 15-08-09 - V4 - Validação Cliente_BD Resumo diário Painel de Televendas Abril 2011" xfId="4209"/>
    <cellStyle name="_DESL PARA SET (2)_Ret - Ofertas Jan2008 (version 4.3)_Faturamento TLV_Varejo_Ago 16-07 a 15-08-09 - V4 - Validação Cliente_BD Resumo diário Painel de Televendas Janeiro 2011" xfId="4210"/>
    <cellStyle name="_DESL PARA SET (2)_Ret - Ofertas Jan2008 (version 4.3)_Faturamento TLV_Varejo_Ago 16-07 a 15-08-09 - V4 - Validação Cliente_BD Resumo diário Painel de Televendas Setembro 2010_BASE_UNICA" xfId="4211"/>
    <cellStyle name="_DESL PARA SET (2)_Ret - Ofertas Jan2008 (version 4.3)_Faturamento TLV_Varejo_Ago 16-07 a 15-08-09 - V4 - Validação Cliente_Painel de Retenção Junho 2011" xfId="4212"/>
    <cellStyle name="_DESL PARA SET (2)_Ret - Ofertas Jan2008 (version 4.3)_Faturamento TLV_Varejo_Ago 16-07 a 15-08-09 - V4 - Validação Cliente_Pasta1" xfId="4213"/>
    <cellStyle name="_DESL PARA SET (2)_Ret - Ofertas Jan2008 (version 4.3)_Faturamento TLV_Varejo_Ago 16-07 a 15-08-09 - V4 - Validação Cliente_Plan1" xfId="4214"/>
    <cellStyle name="_DESL PARA SET (2)_Ret - Ofertas Jan2008 (version 4.3)_Faturamento TLV_Varejo_Ago 16-07 a 15-08-09 - V4 - Validação Cliente_Plan2" xfId="4215"/>
    <cellStyle name="_DESL PARA SET (2)_Ret - Ofertas Jan2008 (version 4.3)_Faturamento TLV_Varejo_Ago 16-07 a 15-08-09 - V4 - Validação Cliente_Retenção" xfId="4216"/>
    <cellStyle name="_DESL PARA SET (2)_Ret - Ofertas Jan2008 (version 4.3)_Faturamento TLV_Varejo_Ago 16-07 a 15-08-09 - V4 - Validação Cliente_Retenção Painel" xfId="4217"/>
    <cellStyle name="_DESL PARA SET (2)_Ret - Ofertas Jan2008 (version 4.3)_Faturamento TLV_Varejo_Ago 16-07 a 15-08-09 - V4 - Validação Cliente_Televendas Painel" xfId="4218"/>
    <cellStyle name="_DESL PARA SET (2)_Ret - Ofertas Jan2008 (version 4.3)_Faturamento TLV_Varejo_Ago 16-07 a 15-08-09 - V4 - Validação Cliente_Televendas Painel_ant" xfId="4219"/>
    <cellStyle name="_DESL PARA SET (2)_Ret - Ofertas Jan2008 (version 4.3)_Painel de Retenção Junho 2011" xfId="4220"/>
    <cellStyle name="_DESL PARA SET (2)_Ret - Ofertas Jan2008 (version 4.3)_Pasta1" xfId="4221"/>
    <cellStyle name="_DESL PARA SET (2)_Ret - Ofertas Jan2008 (version 4.3)_Plan1" xfId="4222"/>
    <cellStyle name="_DESL PARA SET (2)_Ret - Ofertas Jan2008 (version 4.3)_Plan2" xfId="4223"/>
    <cellStyle name="_DESL PARA SET (2)_Ret - Ofertas Jan2008 (version 4.3)_Retenção" xfId="4224"/>
    <cellStyle name="_DESL PARA SET (2)_Ret - Ofertas Jan2008 (version 4.3)_Retenção Painel" xfId="4225"/>
    <cellStyle name="_DESL PARA SET (2)_Ret - Ofertas Jan2008 (version 4.3)_Televendas Painel" xfId="4226"/>
    <cellStyle name="_DESL PARA SET (2)_Ret - Ofertas Jan2008 (version 4.3)_Televendas Painel_ant" xfId="4227"/>
    <cellStyle name="_DESL PARA SET (2)_Ret - Ofertas Jan2008 (version 4.3)_TENDÊNCIA RET VAR CONTROLE" xfId="4228"/>
    <cellStyle name="_DESL PARA SET (2)_Ret - Ofertas Jan2008 (version 4.3)_TENDÊNCIA RET VAR CONTROLE_Base" xfId="4229"/>
    <cellStyle name="_DESL PARA SET (2)_Ret - Ofertas Jan2008 (version 4.3)_TENDÊNCIA RET VAR CONTROLE_D_Ret_Fixa_EMP" xfId="4230"/>
    <cellStyle name="_DESL PARA SET (2)_Ret - Ofertas Jan2008 (version 4.3)_TENDÊNCIA RET VAR CONTROLE_D_Ret_Fixa_EMP_1" xfId="4231"/>
    <cellStyle name="_DESL PARA SET (2)_Ret - Ofertas Jan2008 (version 4.3)_TENDÊNCIA RET VAR CONTROLE_D_Ret_Fixa_EMP_2" xfId="4232"/>
    <cellStyle name="_DESL PARA SET (2)_Ret - Ofertas Jan2008 (version 4.3)_TENDÊNCIA RET VAR CONTROLE_D_Ret_Fixa_EMP_3" xfId="4233"/>
    <cellStyle name="_DESL PARA SET (2)_Ret - Ofertas Jan2008 (version 4.3)_TENDÊNCIA RET VAR CONTROLE_D_Ret_Fixa_EMP_4" xfId="4234"/>
    <cellStyle name="_DESL PARA SET (2)_Ret - Ofertas Jan2008 (version 4.3)_TENDÊNCIA RET VAR CONTROLE_D_Ret_Fixa_EMP_5" xfId="4235"/>
    <cellStyle name="_DESL PARA SET (2)_Ret - Ofertas Jan2008 (version 4.3)_TENDÊNCIA RET VAR CONTROLE_D_Ret_Fixa_EMP_6" xfId="4236"/>
    <cellStyle name="_DESL PARA SET (2)_Ret - Ofertas Jan2008 (version 4.3)_TENDÊNCIA RET VAR CONTROLE_D_Ret_Fixa_EMP_7" xfId="4237"/>
    <cellStyle name="_DESL PARA SET (2)_Ret - Ofertas Jan2008 (version 4.3)_TENDÊNCIA RET VAR CONTROLE_D_Ret_Fixa_EMP_8" xfId="4238"/>
    <cellStyle name="_DESL PARA SET (2)_Ret - Ofertas Jan2008 (version 4.3)_TENDÊNCIA RET VAR CONTROLE_D_Ret_Fixa_VAR" xfId="4239"/>
    <cellStyle name="_DESL PARA SET (2)_Ret - Ofertas Jan2008 (version 4.3)_TENDÊNCIA RET VAR CONTROLE_D_Ret_Fixa_VAR_1" xfId="4240"/>
    <cellStyle name="_DESL PARA SET (2)_Ret - Ofertas Jan2008 (version 4.3)_TENDÊNCIA RET VAR CONTROLE_D_Ret_Fixa_VAR_2" xfId="4241"/>
    <cellStyle name="_DESL PARA SET (2)_Ret - Ofertas Jan2008 (version 4.3)_TENDÊNCIA RET VAR CONTROLE_D_Ret_Fixa_VAR_3" xfId="4242"/>
    <cellStyle name="_DESL PARA SET (2)_Ret - Ofertas Jan2008 (version 4.3)_TENDÊNCIA RET VAR CONTROLE_D_Ret_Fixa_VAR_4" xfId="4243"/>
    <cellStyle name="_DESL PARA SET (2)_Ret - Ofertas Jan2008 (version 4.3)_TENDÊNCIA RET VAR CONTROLE_D_Ret_Fixa_VAR_5" xfId="4244"/>
    <cellStyle name="_DESL PARA SET (2)_Ret - Ofertas Jan2008 (version 4.3)_TENDÊNCIA RET VAR CONTROLE_D_Ret_Fixa_VAR_6" xfId="4245"/>
    <cellStyle name="_DESL PARA SET (2)_Ret - Ofertas Jan2008 (version 4.3)_TENDÊNCIA RET VAR CONTROLE_D_Ret_Fixa_VAR_7" xfId="4246"/>
    <cellStyle name="_DESL PARA SET (2)_Ret - Ofertas Jan2008 (version 4.3)_TENDÊNCIA RET VAR CONTROLE_D_Ret_Fixa_VAR_8" xfId="4247"/>
    <cellStyle name="_DESL PARA SET (2)_Ret - Ofertas Jan2008 (version 4.3)_TENDÊNCIA RET VAR CONTROLE_Mig Ret 3G" xfId="4248"/>
    <cellStyle name="_DESL PARA SET (2)_Ret - Ofertas Jan2008 (version 4.3)_TENDÊNCIA RET VAR CONTROLE_Mig Ret 3G_1" xfId="4249"/>
    <cellStyle name="_DESL PARA SET (2)_Ret - Ofertas Jan2008 (version 4.3)_TENDÊNCIA RET VAR CONTROLE_Mig Ret 3G_2" xfId="4250"/>
    <cellStyle name="_DESL PARA SET (2)_Ret - Ofertas Jan2008 (version 4.3)_TENDÊNCIA RET VAR CONTROLE_Mig Ret 3G_3" xfId="4251"/>
    <cellStyle name="_DESL PARA SET (2)_Ret - Ofertas Jan2008 (version 4.3)_TENDÊNCIA RET VAR CONTROLE_Mig Ret 3G_4" xfId="4252"/>
    <cellStyle name="_DESL PARA SET (2)_Ret - Ofertas Jan2008 (version 4.3)_TENDÊNCIA RET VAR CONTROLE_Mig Ret 3G_5" xfId="4253"/>
    <cellStyle name="_DESL PARA SET (2)_Ret - Ofertas Jan2008 (version 4.3)_TENDÊNCIA RET VAR CONTROLE_Mig Ret 3G_6" xfId="4254"/>
    <cellStyle name="_DESL PARA SET (2)_Ret - Ofertas Jan2008 (version 4.3)_TENDÊNCIA RET VAR CONTROLE_Mig Ret 3G_7" xfId="4255"/>
    <cellStyle name="_DESL PARA SET (2)_Ret - Ofertas Jan2008 (version 4.3)_TENDÊNCIA RET VAR CONTROLE_Movel" xfId="4256"/>
    <cellStyle name="_DESL PARA SET (2)_Ret - Ofertas Jan2008 (version 4.3)_TENDÊNCIA RET VAR CONTROLE_Movel_1" xfId="4257"/>
    <cellStyle name="_DESL PARA SET (2)_Ret - Ofertas Jan2008 (version 4.3)_TENDÊNCIA RET VAR CONTROLE_Movel_2" xfId="4258"/>
    <cellStyle name="_DESL PARA SET (2)_Ret - Ofertas Jan2008 (version 4.3)_TENDÊNCIA RET VAR CONTROLE_Movel_3" xfId="4259"/>
    <cellStyle name="_DESL PARA SET (2)_Ret - Ofertas Jan2008 (version 4.3)_TENDÊNCIA RET VAR CONTROLE_Movel_4" xfId="4260"/>
    <cellStyle name="_DESL PARA SET (2)_Ret - Ofertas Jan2008 (version 4.3)_TENDÊNCIA RET VAR CONTROLE_Movel_5" xfId="4261"/>
    <cellStyle name="_DESL PARA SET (2)_Ret - Ofertas Jan2008 (version 4.3)_TENDÊNCIA RET VAR CONTROLE_Movel_6" xfId="4262"/>
    <cellStyle name="_DESL PARA SET (2)_Ret - Ofertas Jan2008 (version 4.3)_TENDÊNCIA RET VAR CONTROLE_Movel_7" xfId="4263"/>
    <cellStyle name="_DESL PARA SET (2)_Ret - Ofertas Jan2008 (version 4.3)_TENDÊNCIA RET VAR CONTROLE_Retenção" xfId="4264"/>
    <cellStyle name="_DESL PARA SET (2)_Ret - Ofertas Jan2008 (version 4.3)_TENDÊNCIA RET VAR VOL" xfId="4265"/>
    <cellStyle name="_DESL PARA SET (2)_Ret - Ofertas Jan2008 (version 4.3)_TENDÊNCIA RET VAR VOL 2" xfId="4266"/>
    <cellStyle name="_DESL PARA SET (2)_Ret - Ofertas Jan2008 (version 4.3)_TENDÊNCIA RET VAR VOL_Base" xfId="4267"/>
    <cellStyle name="_DESL PARA SET (2)_Ret - Ofertas Jan2008 (version 4.3)_TENDÊNCIA RET VAR VOL_D_Movel" xfId="4268"/>
    <cellStyle name="_DESL PARA SET (2)_Ret - Ofertas Jan2008 (version 4.3)_TENDÊNCIA RET VAR VOL_D_Ret_Fixa_EMP" xfId="4269"/>
    <cellStyle name="_DESL PARA SET (2)_Ret - Ofertas Jan2008 (version 4.3)_TENDÊNCIA RET VAR VOL_D_Ret_Fixa_EMP_1" xfId="4270"/>
    <cellStyle name="_DESL PARA SET (2)_Ret - Ofertas Jan2008 (version 4.3)_TENDÊNCIA RET VAR VOL_D_Ret_Fixa_EMP_2" xfId="4271"/>
    <cellStyle name="_DESL PARA SET (2)_Ret - Ofertas Jan2008 (version 4.3)_TENDÊNCIA RET VAR VOL_D_Ret_Fixa_EMP_3" xfId="4272"/>
    <cellStyle name="_DESL PARA SET (2)_Ret - Ofertas Jan2008 (version 4.3)_TENDÊNCIA RET VAR VOL_D_Ret_Fixa_EMP_4" xfId="4273"/>
    <cellStyle name="_DESL PARA SET (2)_Ret - Ofertas Jan2008 (version 4.3)_TENDÊNCIA RET VAR VOL_D_Ret_Fixa_EMP_5" xfId="4274"/>
    <cellStyle name="_DESL PARA SET (2)_Ret - Ofertas Jan2008 (version 4.3)_TENDÊNCIA RET VAR VOL_D_Ret_Fixa_EMP_6" xfId="4275"/>
    <cellStyle name="_DESL PARA SET (2)_Ret - Ofertas Jan2008 (version 4.3)_TENDÊNCIA RET VAR VOL_D_Ret_Fixa_EMP_7" xfId="4276"/>
    <cellStyle name="_DESL PARA SET (2)_Ret - Ofertas Jan2008 (version 4.3)_TENDÊNCIA RET VAR VOL_D_Ret_Fixa_EMP_8" xfId="4277"/>
    <cellStyle name="_DESL PARA SET (2)_Ret - Ofertas Jan2008 (version 4.3)_TENDÊNCIA RET VAR VOL_D_Ret_Fixa_VAR" xfId="4278"/>
    <cellStyle name="_DESL PARA SET (2)_Ret - Ofertas Jan2008 (version 4.3)_TENDÊNCIA RET VAR VOL_D_Ret_Fixa_VAR_1" xfId="4279"/>
    <cellStyle name="_DESL PARA SET (2)_Ret - Ofertas Jan2008 (version 4.3)_TENDÊNCIA RET VAR VOL_D_Ret_Fixa_VAR_2" xfId="4280"/>
    <cellStyle name="_DESL PARA SET (2)_Ret - Ofertas Jan2008 (version 4.3)_TENDÊNCIA RET VAR VOL_D_Ret_Fixa_VAR_3" xfId="4281"/>
    <cellStyle name="_DESL PARA SET (2)_Ret - Ofertas Jan2008 (version 4.3)_TENDÊNCIA RET VAR VOL_D_Ret_Fixa_VAR_4" xfId="4282"/>
    <cellStyle name="_DESL PARA SET (2)_Ret - Ofertas Jan2008 (version 4.3)_TENDÊNCIA RET VAR VOL_D_Ret_Fixa_VAR_5" xfId="4283"/>
    <cellStyle name="_DESL PARA SET (2)_Ret - Ofertas Jan2008 (version 4.3)_TENDÊNCIA RET VAR VOL_D_Ret_Fixa_VAR_6" xfId="4284"/>
    <cellStyle name="_DESL PARA SET (2)_Ret - Ofertas Jan2008 (version 4.3)_TENDÊNCIA RET VAR VOL_D_Ret_Fixa_VAR_7" xfId="4285"/>
    <cellStyle name="_DESL PARA SET (2)_Ret - Ofertas Jan2008 (version 4.3)_TENDÊNCIA RET VAR VOL_D_Ret_Fixa_VAR_8" xfId="4286"/>
    <cellStyle name="_DESL PARA SET (2)_Ret - Ofertas Jan2008 (version 4.3)_TENDÊNCIA RET VAR VOL_Mig Ret 3G" xfId="4287"/>
    <cellStyle name="_DESL PARA SET (2)_Ret - Ofertas Jan2008 (version 4.3)_TENDÊNCIA RET VAR VOL_Mig Ret 3G_1" xfId="4288"/>
    <cellStyle name="_DESL PARA SET (2)_Ret - Ofertas Jan2008 (version 4.3)_TENDÊNCIA RET VAR VOL_Mig Ret 3G_2" xfId="4289"/>
    <cellStyle name="_DESL PARA SET (2)_Ret - Ofertas Jan2008 (version 4.3)_TENDÊNCIA RET VAR VOL_Mig Ret 3G_3" xfId="4290"/>
    <cellStyle name="_DESL PARA SET (2)_Ret - Ofertas Jan2008 (version 4.3)_TENDÊNCIA RET VAR VOL_Mig Ret 3G_4" xfId="4291"/>
    <cellStyle name="_DESL PARA SET (2)_Ret - Ofertas Jan2008 (version 4.3)_TENDÊNCIA RET VAR VOL_Mig Ret 3G_5" xfId="4292"/>
    <cellStyle name="_DESL PARA SET (2)_Ret - Ofertas Jan2008 (version 4.3)_TENDÊNCIA RET VAR VOL_Mig Ret 3G_6" xfId="4293"/>
    <cellStyle name="_DESL PARA SET (2)_Ret - Ofertas Jan2008 (version 4.3)_TENDÊNCIA RET VAR VOL_Mig Ret 3G_7" xfId="4294"/>
    <cellStyle name="_DESL PARA SET (2)_Ret - Ofertas Jan2008 (version 4.3)_TENDÊNCIA RET VAR VOL_Movel" xfId="4295"/>
    <cellStyle name="_DESL PARA SET (2)_Ret - Ofertas Jan2008 (version 4.3)_TENDÊNCIA RET VAR VOL_Movel_1" xfId="4296"/>
    <cellStyle name="_DESL PARA SET (2)_Ret - Ofertas Jan2008 (version 4.3)_TENDÊNCIA RET VAR VOL_Movel_2" xfId="4297"/>
    <cellStyle name="_DESL PARA SET (2)_Ret - Ofertas Jan2008 (version 4.3)_TENDÊNCIA RET VAR VOL_Movel_3" xfId="4298"/>
    <cellStyle name="_DESL PARA SET (2)_Ret - Ofertas Jan2008 (version 4.3)_TENDÊNCIA RET VAR VOL_Movel_4" xfId="4299"/>
    <cellStyle name="_DESL PARA SET (2)_Ret - Ofertas Jan2008 (version 4.3)_TENDÊNCIA RET VAR VOL_Movel_5" xfId="4300"/>
    <cellStyle name="_DESL PARA SET (2)_Ret - Ofertas Jan2008 (version 4.3)_TENDÊNCIA RET VAR VOL_Movel_6" xfId="4301"/>
    <cellStyle name="_DESL PARA SET (2)_Ret - Ofertas Jan2008 (version 4.3)_TENDÊNCIA RET VAR VOL_Movel_7" xfId="4302"/>
    <cellStyle name="_DESL PARA SET (2)_Ret - Ofertas Jan2008 (version 4.3)_TENDÊNCIA RET VAR VOL_Retenção" xfId="4303"/>
    <cellStyle name="_DESL PARA SET (2)_RET AV 22_02_2008" xfId="4304"/>
    <cellStyle name="_DESL PARA SET (2)_RET AV 22_02_2008_BD Resumo diário Painel de Televendas Abril 2011" xfId="4305"/>
    <cellStyle name="_DESL PARA SET (2)_RET AV 22_02_2008_BD Resumo diário Painel de Televendas Janeiro 2011" xfId="4306"/>
    <cellStyle name="_DESL PARA SET (2)_RET AV 22_02_2008_BD Resumo diário Painel de Televendas Setembro 2010_BASE_UNICA" xfId="4307"/>
    <cellStyle name="_DESL PARA SET (2)_RET AV 22_02_2008_Faturamento TLV_Varejo_Ago 16-07 a 15-08-09 - V4 - Validação Cliente" xfId="4308"/>
    <cellStyle name="_DESL PARA SET (2)_RET AV 22_02_2008_Faturamento TLV_Varejo_Ago 16-07 a 15-08-09 - V4 - Validação Cliente_BD Resumo diário Painel de Televendas Abril 2011" xfId="4309"/>
    <cellStyle name="_DESL PARA SET (2)_RET AV 22_02_2008_Faturamento TLV_Varejo_Ago 16-07 a 15-08-09 - V4 - Validação Cliente_BD Resumo diário Painel de Televendas Janeiro 2011" xfId="4310"/>
    <cellStyle name="_DESL PARA SET (2)_RET AV 22_02_2008_Faturamento TLV_Varejo_Ago 16-07 a 15-08-09 - V4 - Validação Cliente_BD Resumo diário Painel de Televendas Setembro 2010_BASE_UNICA" xfId="4311"/>
    <cellStyle name="_DESL PARA SET (2)_RET AV 22_02_2008_Faturamento TLV_Varejo_Ago 16-07 a 15-08-09 - V4 - Validação Cliente_Painel de Retenção Junho 2011" xfId="4312"/>
    <cellStyle name="_DESL PARA SET (2)_RET AV 22_02_2008_Faturamento TLV_Varejo_Ago 16-07 a 15-08-09 - V4 - Validação Cliente_Pasta1" xfId="4313"/>
    <cellStyle name="_DESL PARA SET (2)_RET AV 22_02_2008_Faturamento TLV_Varejo_Ago 16-07 a 15-08-09 - V4 - Validação Cliente_Plan1" xfId="4314"/>
    <cellStyle name="_DESL PARA SET (2)_RET AV 22_02_2008_Faturamento TLV_Varejo_Ago 16-07 a 15-08-09 - V4 - Validação Cliente_Plan2" xfId="4315"/>
    <cellStyle name="_DESL PARA SET (2)_RET AV 22_02_2008_Faturamento TLV_Varejo_Ago 16-07 a 15-08-09 - V4 - Validação Cliente_Retenção" xfId="4316"/>
    <cellStyle name="_DESL PARA SET (2)_RET AV 22_02_2008_Faturamento TLV_Varejo_Ago 16-07 a 15-08-09 - V4 - Validação Cliente_Retenção Painel" xfId="4317"/>
    <cellStyle name="_DESL PARA SET (2)_RET AV 22_02_2008_Faturamento TLV_Varejo_Ago 16-07 a 15-08-09 - V4 - Validação Cliente_Televendas Painel" xfId="4318"/>
    <cellStyle name="_DESL PARA SET (2)_RET AV 22_02_2008_Faturamento TLV_Varejo_Ago 16-07 a 15-08-09 - V4 - Validação Cliente_Televendas Painel_ant" xfId="4319"/>
    <cellStyle name="_DESL PARA SET (2)_RET AV 22_02_2008_Painel de Retenção Junho 2011" xfId="4320"/>
    <cellStyle name="_DESL PARA SET (2)_RET AV 22_02_2008_Pasta1" xfId="4321"/>
    <cellStyle name="_DESL PARA SET (2)_RET AV 22_02_2008_Plan1" xfId="4322"/>
    <cellStyle name="_DESL PARA SET (2)_RET AV 22_02_2008_Plan2" xfId="4323"/>
    <cellStyle name="_DESL PARA SET (2)_RET AV 22_02_2008_Retenção" xfId="4324"/>
    <cellStyle name="_DESL PARA SET (2)_RET AV 22_02_2008_Retenção Painel" xfId="4325"/>
    <cellStyle name="_DESL PARA SET (2)_RET AV 22_02_2008_Televendas Painel" xfId="4326"/>
    <cellStyle name="_DESL PARA SET (2)_RET AV 22_02_2008_Televendas Painel_ant" xfId="4327"/>
    <cellStyle name="_DESL PARA SET (2)_RET AV 22_02_2008_TENDÊNCIA RET VAR CONTROLE" xfId="4328"/>
    <cellStyle name="_DESL PARA SET (2)_RET AV 22_02_2008_TENDÊNCIA RET VAR CONTROLE_Base" xfId="4329"/>
    <cellStyle name="_DESL PARA SET (2)_RET AV 22_02_2008_TENDÊNCIA RET VAR CONTROLE_D_Ret_Fixa_EMP" xfId="4330"/>
    <cellStyle name="_DESL PARA SET (2)_RET AV 22_02_2008_TENDÊNCIA RET VAR CONTROLE_D_Ret_Fixa_EMP_1" xfId="4331"/>
    <cellStyle name="_DESL PARA SET (2)_RET AV 22_02_2008_TENDÊNCIA RET VAR CONTROLE_D_Ret_Fixa_EMP_2" xfId="4332"/>
    <cellStyle name="_DESL PARA SET (2)_RET AV 22_02_2008_TENDÊNCIA RET VAR CONTROLE_D_Ret_Fixa_EMP_3" xfId="4333"/>
    <cellStyle name="_DESL PARA SET (2)_RET AV 22_02_2008_TENDÊNCIA RET VAR CONTROLE_D_Ret_Fixa_EMP_4" xfId="4334"/>
    <cellStyle name="_DESL PARA SET (2)_RET AV 22_02_2008_TENDÊNCIA RET VAR CONTROLE_D_Ret_Fixa_EMP_5" xfId="4335"/>
    <cellStyle name="_DESL PARA SET (2)_RET AV 22_02_2008_TENDÊNCIA RET VAR CONTROLE_D_Ret_Fixa_EMP_6" xfId="4336"/>
    <cellStyle name="_DESL PARA SET (2)_RET AV 22_02_2008_TENDÊNCIA RET VAR CONTROLE_D_Ret_Fixa_EMP_7" xfId="4337"/>
    <cellStyle name="_DESL PARA SET (2)_RET AV 22_02_2008_TENDÊNCIA RET VAR CONTROLE_D_Ret_Fixa_EMP_8" xfId="4338"/>
    <cellStyle name="_DESL PARA SET (2)_RET AV 22_02_2008_TENDÊNCIA RET VAR CONTROLE_D_Ret_Fixa_VAR" xfId="4339"/>
    <cellStyle name="_DESL PARA SET (2)_RET AV 22_02_2008_TENDÊNCIA RET VAR CONTROLE_D_Ret_Fixa_VAR_1" xfId="4340"/>
    <cellStyle name="_DESL PARA SET (2)_RET AV 22_02_2008_TENDÊNCIA RET VAR CONTROLE_D_Ret_Fixa_VAR_2" xfId="4341"/>
    <cellStyle name="_DESL PARA SET (2)_RET AV 22_02_2008_TENDÊNCIA RET VAR CONTROLE_D_Ret_Fixa_VAR_3" xfId="4342"/>
    <cellStyle name="_DESL PARA SET (2)_RET AV 22_02_2008_TENDÊNCIA RET VAR CONTROLE_D_Ret_Fixa_VAR_4" xfId="4343"/>
    <cellStyle name="_DESL PARA SET (2)_RET AV 22_02_2008_TENDÊNCIA RET VAR CONTROLE_D_Ret_Fixa_VAR_5" xfId="4344"/>
    <cellStyle name="_DESL PARA SET (2)_RET AV 22_02_2008_TENDÊNCIA RET VAR CONTROLE_D_Ret_Fixa_VAR_6" xfId="4345"/>
    <cellStyle name="_DESL PARA SET (2)_RET AV 22_02_2008_TENDÊNCIA RET VAR CONTROLE_D_Ret_Fixa_VAR_7" xfId="4346"/>
    <cellStyle name="_DESL PARA SET (2)_RET AV 22_02_2008_TENDÊNCIA RET VAR CONTROLE_D_Ret_Fixa_VAR_8" xfId="4347"/>
    <cellStyle name="_DESL PARA SET (2)_RET AV 22_02_2008_TENDÊNCIA RET VAR CONTROLE_Mig Ret 3G" xfId="4348"/>
    <cellStyle name="_DESL PARA SET (2)_RET AV 22_02_2008_TENDÊNCIA RET VAR CONTROLE_Mig Ret 3G_1" xfId="4349"/>
    <cellStyle name="_DESL PARA SET (2)_RET AV 22_02_2008_TENDÊNCIA RET VAR CONTROLE_Mig Ret 3G_2" xfId="4350"/>
    <cellStyle name="_DESL PARA SET (2)_RET AV 22_02_2008_TENDÊNCIA RET VAR CONTROLE_Mig Ret 3G_3" xfId="4351"/>
    <cellStyle name="_DESL PARA SET (2)_RET AV 22_02_2008_TENDÊNCIA RET VAR CONTROLE_Mig Ret 3G_4" xfId="4352"/>
    <cellStyle name="_DESL PARA SET (2)_RET AV 22_02_2008_TENDÊNCIA RET VAR CONTROLE_Mig Ret 3G_5" xfId="4353"/>
    <cellStyle name="_DESL PARA SET (2)_RET AV 22_02_2008_TENDÊNCIA RET VAR CONTROLE_Mig Ret 3G_6" xfId="4354"/>
    <cellStyle name="_DESL PARA SET (2)_RET AV 22_02_2008_TENDÊNCIA RET VAR CONTROLE_Mig Ret 3G_7" xfId="4355"/>
    <cellStyle name="_DESL PARA SET (2)_RET AV 22_02_2008_TENDÊNCIA RET VAR CONTROLE_Movel" xfId="4356"/>
    <cellStyle name="_DESL PARA SET (2)_RET AV 22_02_2008_TENDÊNCIA RET VAR CONTROLE_Movel_1" xfId="4357"/>
    <cellStyle name="_DESL PARA SET (2)_RET AV 22_02_2008_TENDÊNCIA RET VAR CONTROLE_Movel_2" xfId="4358"/>
    <cellStyle name="_DESL PARA SET (2)_RET AV 22_02_2008_TENDÊNCIA RET VAR CONTROLE_Movel_3" xfId="4359"/>
    <cellStyle name="_DESL PARA SET (2)_RET AV 22_02_2008_TENDÊNCIA RET VAR CONTROLE_Movel_4" xfId="4360"/>
    <cellStyle name="_DESL PARA SET (2)_RET AV 22_02_2008_TENDÊNCIA RET VAR CONTROLE_Movel_5" xfId="4361"/>
    <cellStyle name="_DESL PARA SET (2)_RET AV 22_02_2008_TENDÊNCIA RET VAR CONTROLE_Movel_6" xfId="4362"/>
    <cellStyle name="_DESL PARA SET (2)_RET AV 22_02_2008_TENDÊNCIA RET VAR CONTROLE_Movel_7" xfId="4363"/>
    <cellStyle name="_DESL PARA SET (2)_RET AV 22_02_2008_TENDÊNCIA RET VAR CONTROLE_Retenção" xfId="4364"/>
    <cellStyle name="_DESL PARA SET (2)_RET AV 22_02_2008_TENDÊNCIA RET VAR VOL" xfId="4365"/>
    <cellStyle name="_DESL PARA SET (2)_RET AV 22_02_2008_TENDÊNCIA RET VAR VOL 2" xfId="4366"/>
    <cellStyle name="_DESL PARA SET (2)_RET AV 22_02_2008_TENDÊNCIA RET VAR VOL_Base" xfId="4367"/>
    <cellStyle name="_DESL PARA SET (2)_RET AV 22_02_2008_TENDÊNCIA RET VAR VOL_D_Movel" xfId="4368"/>
    <cellStyle name="_DESL PARA SET (2)_RET AV 22_02_2008_TENDÊNCIA RET VAR VOL_D_Ret_Fixa_EMP" xfId="4369"/>
    <cellStyle name="_DESL PARA SET (2)_RET AV 22_02_2008_TENDÊNCIA RET VAR VOL_D_Ret_Fixa_EMP_1" xfId="4370"/>
    <cellStyle name="_DESL PARA SET (2)_RET AV 22_02_2008_TENDÊNCIA RET VAR VOL_D_Ret_Fixa_EMP_2" xfId="4371"/>
    <cellStyle name="_DESL PARA SET (2)_RET AV 22_02_2008_TENDÊNCIA RET VAR VOL_D_Ret_Fixa_EMP_3" xfId="4372"/>
    <cellStyle name="_DESL PARA SET (2)_RET AV 22_02_2008_TENDÊNCIA RET VAR VOL_D_Ret_Fixa_EMP_4" xfId="4373"/>
    <cellStyle name="_DESL PARA SET (2)_RET AV 22_02_2008_TENDÊNCIA RET VAR VOL_D_Ret_Fixa_EMP_5" xfId="4374"/>
    <cellStyle name="_DESL PARA SET (2)_RET AV 22_02_2008_TENDÊNCIA RET VAR VOL_D_Ret_Fixa_EMP_6" xfId="4375"/>
    <cellStyle name="_DESL PARA SET (2)_RET AV 22_02_2008_TENDÊNCIA RET VAR VOL_D_Ret_Fixa_EMP_7" xfId="4376"/>
    <cellStyle name="_DESL PARA SET (2)_RET AV 22_02_2008_TENDÊNCIA RET VAR VOL_D_Ret_Fixa_EMP_8" xfId="4377"/>
    <cellStyle name="_DESL PARA SET (2)_RET AV 22_02_2008_TENDÊNCIA RET VAR VOL_D_Ret_Fixa_VAR" xfId="4378"/>
    <cellStyle name="_DESL PARA SET (2)_RET AV 22_02_2008_TENDÊNCIA RET VAR VOL_D_Ret_Fixa_VAR_1" xfId="4379"/>
    <cellStyle name="_DESL PARA SET (2)_RET AV 22_02_2008_TENDÊNCIA RET VAR VOL_D_Ret_Fixa_VAR_2" xfId="4380"/>
    <cellStyle name="_DESL PARA SET (2)_RET AV 22_02_2008_TENDÊNCIA RET VAR VOL_D_Ret_Fixa_VAR_3" xfId="4381"/>
    <cellStyle name="_DESL PARA SET (2)_RET AV 22_02_2008_TENDÊNCIA RET VAR VOL_D_Ret_Fixa_VAR_4" xfId="4382"/>
    <cellStyle name="_DESL PARA SET (2)_RET AV 22_02_2008_TENDÊNCIA RET VAR VOL_D_Ret_Fixa_VAR_5" xfId="4383"/>
    <cellStyle name="_DESL PARA SET (2)_RET AV 22_02_2008_TENDÊNCIA RET VAR VOL_D_Ret_Fixa_VAR_6" xfId="4384"/>
    <cellStyle name="_DESL PARA SET (2)_RET AV 22_02_2008_TENDÊNCIA RET VAR VOL_D_Ret_Fixa_VAR_7" xfId="4385"/>
    <cellStyle name="_DESL PARA SET (2)_RET AV 22_02_2008_TENDÊNCIA RET VAR VOL_D_Ret_Fixa_VAR_8" xfId="4386"/>
    <cellStyle name="_DESL PARA SET (2)_RET AV 22_02_2008_TENDÊNCIA RET VAR VOL_Mig Ret 3G" xfId="4387"/>
    <cellStyle name="_DESL PARA SET (2)_RET AV 22_02_2008_TENDÊNCIA RET VAR VOL_Mig Ret 3G_1" xfId="4388"/>
    <cellStyle name="_DESL PARA SET (2)_RET AV 22_02_2008_TENDÊNCIA RET VAR VOL_Mig Ret 3G_2" xfId="4389"/>
    <cellStyle name="_DESL PARA SET (2)_RET AV 22_02_2008_TENDÊNCIA RET VAR VOL_Mig Ret 3G_3" xfId="4390"/>
    <cellStyle name="_DESL PARA SET (2)_RET AV 22_02_2008_TENDÊNCIA RET VAR VOL_Mig Ret 3G_4" xfId="4391"/>
    <cellStyle name="_DESL PARA SET (2)_RET AV 22_02_2008_TENDÊNCIA RET VAR VOL_Mig Ret 3G_5" xfId="4392"/>
    <cellStyle name="_DESL PARA SET (2)_RET AV 22_02_2008_TENDÊNCIA RET VAR VOL_Mig Ret 3G_6" xfId="4393"/>
    <cellStyle name="_DESL PARA SET (2)_RET AV 22_02_2008_TENDÊNCIA RET VAR VOL_Mig Ret 3G_7" xfId="4394"/>
    <cellStyle name="_DESL PARA SET (2)_RET AV 22_02_2008_TENDÊNCIA RET VAR VOL_Movel" xfId="4395"/>
    <cellStyle name="_DESL PARA SET (2)_RET AV 22_02_2008_TENDÊNCIA RET VAR VOL_Movel_1" xfId="4396"/>
    <cellStyle name="_DESL PARA SET (2)_RET AV 22_02_2008_TENDÊNCIA RET VAR VOL_Movel_2" xfId="4397"/>
    <cellStyle name="_DESL PARA SET (2)_RET AV 22_02_2008_TENDÊNCIA RET VAR VOL_Movel_3" xfId="4398"/>
    <cellStyle name="_DESL PARA SET (2)_RET AV 22_02_2008_TENDÊNCIA RET VAR VOL_Movel_4" xfId="4399"/>
    <cellStyle name="_DESL PARA SET (2)_RET AV 22_02_2008_TENDÊNCIA RET VAR VOL_Movel_5" xfId="4400"/>
    <cellStyle name="_DESL PARA SET (2)_RET AV 22_02_2008_TENDÊNCIA RET VAR VOL_Movel_6" xfId="4401"/>
    <cellStyle name="_DESL PARA SET (2)_RET AV 22_02_2008_TENDÊNCIA RET VAR VOL_Movel_7" xfId="4402"/>
    <cellStyle name="_DESL PARA SET (2)_RET AV 22_02_2008_TENDÊNCIA RET VAR VOL_Retenção" xfId="4403"/>
    <cellStyle name="_DESL PARA SET (2)_Retenção" xfId="4404"/>
    <cellStyle name="_DESL PARA SET (2)_Retenção Painel" xfId="4405"/>
    <cellStyle name="_DESL PARA SET (2)_RV" xfId="4406"/>
    <cellStyle name="_DESL PARA SET (2)_RV_BD Resumo diário Painel de Televendas Abril 2011" xfId="4407"/>
    <cellStyle name="_DESL PARA SET (2)_RV_BD Resumo diário Painel de Televendas Janeiro 2011" xfId="4408"/>
    <cellStyle name="_DESL PARA SET (2)_RV_BD Resumo diário Painel de Televendas Setembro 2010_BASE_UNICA" xfId="4409"/>
    <cellStyle name="_DESL PARA SET (2)_RV_Faturamento TLV_Varejo_Ago 16-07 a 15-08-09 - V4 - Validação Cliente" xfId="4410"/>
    <cellStyle name="_DESL PARA SET (2)_RV_Faturamento TLV_Varejo_Ago 16-07 a 15-08-09 - V4 - Validação Cliente_BD Resumo diário Painel de Televendas Abril 2011" xfId="4411"/>
    <cellStyle name="_DESL PARA SET (2)_RV_Faturamento TLV_Varejo_Ago 16-07 a 15-08-09 - V4 - Validação Cliente_BD Resumo diário Painel de Televendas Janeiro 2011" xfId="4412"/>
    <cellStyle name="_DESL PARA SET (2)_RV_Faturamento TLV_Varejo_Ago 16-07 a 15-08-09 - V4 - Validação Cliente_BD Resumo diário Painel de Televendas Setembro 2010_BASE_UNICA" xfId="4413"/>
    <cellStyle name="_DESL PARA SET (2)_RV_Faturamento TLV_Varejo_Ago 16-07 a 15-08-09 - V4 - Validação Cliente_Painel de Retenção Junho 2011" xfId="4414"/>
    <cellStyle name="_DESL PARA SET (2)_RV_Faturamento TLV_Varejo_Ago 16-07 a 15-08-09 - V4 - Validação Cliente_Pasta1" xfId="4415"/>
    <cellStyle name="_DESL PARA SET (2)_RV_Faturamento TLV_Varejo_Ago 16-07 a 15-08-09 - V4 - Validação Cliente_Plan1" xfId="4416"/>
    <cellStyle name="_DESL PARA SET (2)_RV_Faturamento TLV_Varejo_Ago 16-07 a 15-08-09 - V4 - Validação Cliente_Plan2" xfId="4417"/>
    <cellStyle name="_DESL PARA SET (2)_RV_Faturamento TLV_Varejo_Ago 16-07 a 15-08-09 - V4 - Validação Cliente_Retenção" xfId="4418"/>
    <cellStyle name="_DESL PARA SET (2)_RV_Faturamento TLV_Varejo_Ago 16-07 a 15-08-09 - V4 - Validação Cliente_Retenção Painel" xfId="4419"/>
    <cellStyle name="_DESL PARA SET (2)_RV_Faturamento TLV_Varejo_Ago 16-07 a 15-08-09 - V4 - Validação Cliente_Televendas Painel" xfId="4420"/>
    <cellStyle name="_DESL PARA SET (2)_RV_Faturamento TLV_Varejo_Ago 16-07 a 15-08-09 - V4 - Validação Cliente_Televendas Painel_ant" xfId="4421"/>
    <cellStyle name="_DESL PARA SET (2)_RV_Painel de Retenção Junho 2011" xfId="4422"/>
    <cellStyle name="_DESL PARA SET (2)_RV_Pasta1" xfId="4423"/>
    <cellStyle name="_DESL PARA SET (2)_RV_Plan1" xfId="4424"/>
    <cellStyle name="_DESL PARA SET (2)_RV_Plan2" xfId="4425"/>
    <cellStyle name="_DESL PARA SET (2)_RV_Retenção" xfId="4426"/>
    <cellStyle name="_DESL PARA SET (2)_RV_Retenção Painel" xfId="4427"/>
    <cellStyle name="_DESL PARA SET (2)_RV_Televendas Painel" xfId="4428"/>
    <cellStyle name="_DESL PARA SET (2)_RV_Televendas Painel_ant" xfId="4429"/>
    <cellStyle name="_DESL PARA SET (2)_Simulador de Desconto de TMA_AV_Validado em 17.06" xfId="4430"/>
    <cellStyle name="_DESL PARA SET (2)_Simulador de Desconto de TMA_AV_Validado em 17.06_BD Resumo diário Painel de Televendas Abril 2011" xfId="4431"/>
    <cellStyle name="_DESL PARA SET (2)_Simulador de Desconto de TMA_AV_Validado em 17.06_BD Resumo diário Painel de Televendas Janeiro 2011" xfId="4432"/>
    <cellStyle name="_DESL PARA SET (2)_Simulador de Desconto de TMA_AV_Validado em 17.06_BD Resumo diário Painel de Televendas Setembro 2010_BASE_UNICA" xfId="4433"/>
    <cellStyle name="_DESL PARA SET (2)_Simulador de Desconto de TMA_AV_Validado em 17.06_Faturamento TLV_Varejo_Ago 16-07 a 15-08-09 - V4 - Validação Cliente" xfId="4434"/>
    <cellStyle name="_DESL PARA SET (2)_Simulador de Desconto de TMA_AV_Validado em 17.06_Faturamento TLV_Varejo_Ago 16-07 a 15-08-09 - V4 - Validação Cliente_BD Resumo diário Painel de Televendas Abril 2011" xfId="4435"/>
    <cellStyle name="_DESL PARA SET (2)_Simulador de Desconto de TMA_AV_Validado em 17.06_Faturamento TLV_Varejo_Ago 16-07 a 15-08-09 - V4 - Validação Cliente_BD Resumo diário Painel de Televendas Janeiro 2011" xfId="4436"/>
    <cellStyle name="_DESL PARA SET (2)_Simulador de Desconto de TMA_AV_Validado em 17.06_Faturamento TLV_Varejo_Ago 16-07 a 15-08-09 - V4 - Validação Cliente_BD Resumo diário Painel de Televendas Setembro 2010_BASE_UNICA" xfId="4437"/>
    <cellStyle name="_DESL PARA SET (2)_Simulador de Desconto de TMA_AV_Validado em 17.06_Faturamento TLV_Varejo_Ago 16-07 a 15-08-09 - V4 - Validação Cliente_Painel de Retenção Junho 2011" xfId="4438"/>
    <cellStyle name="_DESL PARA SET (2)_Simulador de Desconto de TMA_AV_Validado em 17.06_Faturamento TLV_Varejo_Ago 16-07 a 15-08-09 - V4 - Validação Cliente_Pasta1" xfId="4439"/>
    <cellStyle name="_DESL PARA SET (2)_Simulador de Desconto de TMA_AV_Validado em 17.06_Faturamento TLV_Varejo_Ago 16-07 a 15-08-09 - V4 - Validação Cliente_Plan1" xfId="4440"/>
    <cellStyle name="_DESL PARA SET (2)_Simulador de Desconto de TMA_AV_Validado em 17.06_Faturamento TLV_Varejo_Ago 16-07 a 15-08-09 - V4 - Validação Cliente_Plan2" xfId="4441"/>
    <cellStyle name="_DESL PARA SET (2)_Simulador de Desconto de TMA_AV_Validado em 17.06_Faturamento TLV_Varejo_Ago 16-07 a 15-08-09 - V4 - Validação Cliente_Retenção" xfId="4442"/>
    <cellStyle name="_DESL PARA SET (2)_Simulador de Desconto de TMA_AV_Validado em 17.06_Faturamento TLV_Varejo_Ago 16-07 a 15-08-09 - V4 - Validação Cliente_Retenção Painel" xfId="4443"/>
    <cellStyle name="_DESL PARA SET (2)_Simulador de Desconto de TMA_AV_Validado em 17.06_Faturamento TLV_Varejo_Ago 16-07 a 15-08-09 - V4 - Validação Cliente_Televendas Painel" xfId="4444"/>
    <cellStyle name="_DESL PARA SET (2)_Simulador de Desconto de TMA_AV_Validado em 17.06_Faturamento TLV_Varejo_Ago 16-07 a 15-08-09 - V4 - Validação Cliente_Televendas Painel_ant" xfId="4445"/>
    <cellStyle name="_DESL PARA SET (2)_Simulador de Desconto de TMA_AV_Validado em 17.06_Painel de Retenção Junho 2011" xfId="4446"/>
    <cellStyle name="_DESL PARA SET (2)_Simulador de Desconto de TMA_AV_Validado em 17.06_Pasta1" xfId="4447"/>
    <cellStyle name="_DESL PARA SET (2)_Simulador de Desconto de TMA_AV_Validado em 17.06_Plan1" xfId="4448"/>
    <cellStyle name="_DESL PARA SET (2)_Simulador de Desconto de TMA_AV_Validado em 17.06_Plan2" xfId="4449"/>
    <cellStyle name="_DESL PARA SET (2)_Simulador de Desconto de TMA_AV_Validado em 17.06_Retenção" xfId="4450"/>
    <cellStyle name="_DESL PARA SET (2)_Simulador de Desconto de TMA_AV_Validado em 17.06_Retenção Painel" xfId="4451"/>
    <cellStyle name="_DESL PARA SET (2)_Simulador de Desconto de TMA_AV_Validado em 17.06_Televendas Painel" xfId="4452"/>
    <cellStyle name="_DESL PARA SET (2)_Simulador de Desconto de TMA_AV_Validado em 17.06_Televendas Painel_ant" xfId="4453"/>
    <cellStyle name="_DESL PARA SET (2)_Sumário Executivo TLV Empresarial_Fev09" xfId="4454"/>
    <cellStyle name="_DESL PARA SET (2)_Sumário Executivo TLV Empresarial_Fev09_BD Resumo diário Painel de Televendas Abril 2011" xfId="4455"/>
    <cellStyle name="_DESL PARA SET (2)_Sumário Executivo TLV Empresarial_Fev09_BD Resumo diário Painel de Televendas Janeiro 2011" xfId="4456"/>
    <cellStyle name="_DESL PARA SET (2)_Sumário Executivo TLV Empresarial_Fev09_BD Resumo diário Painel de Televendas Setembro 2010_BASE_UNICA" xfId="4457"/>
    <cellStyle name="_DESL PARA SET (2)_Sumário Executivo TLV Empresarial_Fev09_Faturamento TLV_Varejo_Ago 16-07 a 15-08-09 - V4 - Validação Cliente" xfId="4458"/>
    <cellStyle name="_DESL PARA SET (2)_Sumário Executivo TLV Empresarial_Fev09_Faturamento TLV_Varejo_Ago 16-07 a 15-08-09 - V4 - Validação Cliente_BD Resumo diário Painel de Televendas Abril 2011" xfId="4459"/>
    <cellStyle name="_DESL PARA SET (2)_Sumário Executivo TLV Empresarial_Fev09_Faturamento TLV_Varejo_Ago 16-07 a 15-08-09 - V4 - Validação Cliente_BD Resumo diário Painel de Televendas Janeiro 2011" xfId="4460"/>
    <cellStyle name="_DESL PARA SET (2)_Sumário Executivo TLV Empresarial_Fev09_Faturamento TLV_Varejo_Ago 16-07 a 15-08-09 - V4 - Validação Cliente_BD Resumo diário Painel de Televendas Setembro 2010_BASE_UNICA" xfId="4461"/>
    <cellStyle name="_DESL PARA SET (2)_Sumário Executivo TLV Empresarial_Fev09_Faturamento TLV_Varejo_Ago 16-07 a 15-08-09 - V4 - Validação Cliente_Painel de Retenção Junho 2011" xfId="4462"/>
    <cellStyle name="_DESL PARA SET (2)_Sumário Executivo TLV Empresarial_Fev09_Faturamento TLV_Varejo_Ago 16-07 a 15-08-09 - V4 - Validação Cliente_Pasta1" xfId="4463"/>
    <cellStyle name="_DESL PARA SET (2)_Sumário Executivo TLV Empresarial_Fev09_Faturamento TLV_Varejo_Ago 16-07 a 15-08-09 - V4 - Validação Cliente_Plan1" xfId="4464"/>
    <cellStyle name="_DESL PARA SET (2)_Sumário Executivo TLV Empresarial_Fev09_Faturamento TLV_Varejo_Ago 16-07 a 15-08-09 - V4 - Validação Cliente_Plan2" xfId="4465"/>
    <cellStyle name="_DESL PARA SET (2)_Sumário Executivo TLV Empresarial_Fev09_Faturamento TLV_Varejo_Ago 16-07 a 15-08-09 - V4 - Validação Cliente_Retenção" xfId="4466"/>
    <cellStyle name="_DESL PARA SET (2)_Sumário Executivo TLV Empresarial_Fev09_Faturamento TLV_Varejo_Ago 16-07 a 15-08-09 - V4 - Validação Cliente_Retenção Painel" xfId="4467"/>
    <cellStyle name="_DESL PARA SET (2)_Sumário Executivo TLV Empresarial_Fev09_Faturamento TLV_Varejo_Ago 16-07 a 15-08-09 - V4 - Validação Cliente_Televendas Painel" xfId="4468"/>
    <cellStyle name="_DESL PARA SET (2)_Sumário Executivo TLV Empresarial_Fev09_Faturamento TLV_Varejo_Ago 16-07 a 15-08-09 - V4 - Validação Cliente_Televendas Painel_ant" xfId="4469"/>
    <cellStyle name="_DESL PARA SET (2)_Sumário Executivo TLV Empresarial_Fev09_Painel de Retenção Junho 2011" xfId="4470"/>
    <cellStyle name="_DESL PARA SET (2)_Sumário Executivo TLV Empresarial_Fev09_Pasta1" xfId="4471"/>
    <cellStyle name="_DESL PARA SET (2)_Sumário Executivo TLV Empresarial_Fev09_Plan1" xfId="4472"/>
    <cellStyle name="_DESL PARA SET (2)_Sumário Executivo TLV Empresarial_Fev09_Plan2" xfId="4473"/>
    <cellStyle name="_DESL PARA SET (2)_Sumário Executivo TLV Empresarial_Fev09_Retenção" xfId="4474"/>
    <cellStyle name="_DESL PARA SET (2)_Sumário Executivo TLV Empresarial_Fev09_Retenção Painel" xfId="4475"/>
    <cellStyle name="_DESL PARA SET (2)_Sumário Executivo TLV Empresarial_Fev09_Televendas Painel" xfId="4476"/>
    <cellStyle name="_DESL PARA SET (2)_Sumário Executivo TLV Empresarial_Fev09_Televendas Painel_ant" xfId="4477"/>
    <cellStyle name="_DESL PARA SET (2)_Televendas Painel" xfId="4478"/>
    <cellStyle name="_DESL PARA SET (2)_Televendas Painel_ant" xfId="4479"/>
    <cellStyle name="_DESL PARA SET (2)_TENDÊNCIA RET VAR CONTROLE" xfId="4480"/>
    <cellStyle name="_DESL PARA SET (2)_TENDÊNCIA RET VAR CONTROLE_Base" xfId="4481"/>
    <cellStyle name="_DESL PARA SET (2)_TENDÊNCIA RET VAR CONTROLE_D_Ret_Fixa_EMP" xfId="4482"/>
    <cellStyle name="_DESL PARA SET (2)_TENDÊNCIA RET VAR CONTROLE_D_Ret_Fixa_EMP_1" xfId="4483"/>
    <cellStyle name="_DESL PARA SET (2)_TENDÊNCIA RET VAR CONTROLE_D_Ret_Fixa_EMP_2" xfId="4484"/>
    <cellStyle name="_DESL PARA SET (2)_TENDÊNCIA RET VAR CONTROLE_D_Ret_Fixa_EMP_3" xfId="4485"/>
    <cellStyle name="_DESL PARA SET (2)_TENDÊNCIA RET VAR CONTROLE_D_Ret_Fixa_EMP_4" xfId="4486"/>
    <cellStyle name="_DESL PARA SET (2)_TENDÊNCIA RET VAR CONTROLE_D_Ret_Fixa_EMP_5" xfId="4487"/>
    <cellStyle name="_DESL PARA SET (2)_TENDÊNCIA RET VAR CONTROLE_D_Ret_Fixa_EMP_6" xfId="4488"/>
    <cellStyle name="_DESL PARA SET (2)_TENDÊNCIA RET VAR CONTROLE_D_Ret_Fixa_EMP_7" xfId="4489"/>
    <cellStyle name="_DESL PARA SET (2)_TENDÊNCIA RET VAR CONTROLE_D_Ret_Fixa_EMP_8" xfId="4490"/>
    <cellStyle name="_DESL PARA SET (2)_TENDÊNCIA RET VAR CONTROLE_D_Ret_Fixa_VAR" xfId="4491"/>
    <cellStyle name="_DESL PARA SET (2)_TENDÊNCIA RET VAR CONTROLE_D_Ret_Fixa_VAR_1" xfId="4492"/>
    <cellStyle name="_DESL PARA SET (2)_TENDÊNCIA RET VAR CONTROLE_D_Ret_Fixa_VAR_2" xfId="4493"/>
    <cellStyle name="_DESL PARA SET (2)_TENDÊNCIA RET VAR CONTROLE_D_Ret_Fixa_VAR_3" xfId="4494"/>
    <cellStyle name="_DESL PARA SET (2)_TENDÊNCIA RET VAR CONTROLE_D_Ret_Fixa_VAR_4" xfId="4495"/>
    <cellStyle name="_DESL PARA SET (2)_TENDÊNCIA RET VAR CONTROLE_D_Ret_Fixa_VAR_5" xfId="4496"/>
    <cellStyle name="_DESL PARA SET (2)_TENDÊNCIA RET VAR CONTROLE_D_Ret_Fixa_VAR_6" xfId="4497"/>
    <cellStyle name="_DESL PARA SET (2)_TENDÊNCIA RET VAR CONTROLE_D_Ret_Fixa_VAR_7" xfId="4498"/>
    <cellStyle name="_DESL PARA SET (2)_TENDÊNCIA RET VAR CONTROLE_D_Ret_Fixa_VAR_8" xfId="4499"/>
    <cellStyle name="_DESL PARA SET (2)_TENDÊNCIA RET VAR CONTROLE_Mig Ret 3G" xfId="4500"/>
    <cellStyle name="_DESL PARA SET (2)_TENDÊNCIA RET VAR CONTROLE_Mig Ret 3G_1" xfId="4501"/>
    <cellStyle name="_DESL PARA SET (2)_TENDÊNCIA RET VAR CONTROLE_Mig Ret 3G_2" xfId="4502"/>
    <cellStyle name="_DESL PARA SET (2)_TENDÊNCIA RET VAR CONTROLE_Mig Ret 3G_3" xfId="4503"/>
    <cellStyle name="_DESL PARA SET (2)_TENDÊNCIA RET VAR CONTROLE_Mig Ret 3G_4" xfId="4504"/>
    <cellStyle name="_DESL PARA SET (2)_TENDÊNCIA RET VAR CONTROLE_Mig Ret 3G_5" xfId="4505"/>
    <cellStyle name="_DESL PARA SET (2)_TENDÊNCIA RET VAR CONTROLE_Mig Ret 3G_6" xfId="4506"/>
    <cellStyle name="_DESL PARA SET (2)_TENDÊNCIA RET VAR CONTROLE_Mig Ret 3G_7" xfId="4507"/>
    <cellStyle name="_DESL PARA SET (2)_TENDÊNCIA RET VAR CONTROLE_Movel" xfId="4508"/>
    <cellStyle name="_DESL PARA SET (2)_TENDÊNCIA RET VAR CONTROLE_Movel_1" xfId="4509"/>
    <cellStyle name="_DESL PARA SET (2)_TENDÊNCIA RET VAR CONTROLE_Movel_2" xfId="4510"/>
    <cellStyle name="_DESL PARA SET (2)_TENDÊNCIA RET VAR CONTROLE_Movel_3" xfId="4511"/>
    <cellStyle name="_DESL PARA SET (2)_TENDÊNCIA RET VAR CONTROLE_Movel_4" xfId="4512"/>
    <cellStyle name="_DESL PARA SET (2)_TENDÊNCIA RET VAR CONTROLE_Movel_5" xfId="4513"/>
    <cellStyle name="_DESL PARA SET (2)_TENDÊNCIA RET VAR CONTROLE_Movel_6" xfId="4514"/>
    <cellStyle name="_DESL PARA SET (2)_TENDÊNCIA RET VAR CONTROLE_Movel_7" xfId="4515"/>
    <cellStyle name="_DESL PARA SET (2)_TENDÊNCIA RET VAR CONTROLE_Retenção" xfId="4516"/>
    <cellStyle name="_DESL PARA SET (2)_TENDÊNCIA RET VAR VOL" xfId="4517"/>
    <cellStyle name="_DESL PARA SET (2)_TENDÊNCIA RET VAR VOL 2" xfId="4518"/>
    <cellStyle name="_DESL PARA SET (2)_TENDÊNCIA RET VAR VOL_Base" xfId="4519"/>
    <cellStyle name="_DESL PARA SET (2)_TENDÊNCIA RET VAR VOL_D_Movel" xfId="4520"/>
    <cellStyle name="_DESL PARA SET (2)_TENDÊNCIA RET VAR VOL_D_Ret_Fixa_EMP" xfId="4521"/>
    <cellStyle name="_DESL PARA SET (2)_TENDÊNCIA RET VAR VOL_D_Ret_Fixa_EMP_1" xfId="4522"/>
    <cellStyle name="_DESL PARA SET (2)_TENDÊNCIA RET VAR VOL_D_Ret_Fixa_EMP_2" xfId="4523"/>
    <cellStyle name="_DESL PARA SET (2)_TENDÊNCIA RET VAR VOL_D_Ret_Fixa_EMP_3" xfId="4524"/>
    <cellStyle name="_DESL PARA SET (2)_TENDÊNCIA RET VAR VOL_D_Ret_Fixa_EMP_4" xfId="4525"/>
    <cellStyle name="_DESL PARA SET (2)_TENDÊNCIA RET VAR VOL_D_Ret_Fixa_EMP_5" xfId="4526"/>
    <cellStyle name="_DESL PARA SET (2)_TENDÊNCIA RET VAR VOL_D_Ret_Fixa_EMP_6" xfId="4527"/>
    <cellStyle name="_DESL PARA SET (2)_TENDÊNCIA RET VAR VOL_D_Ret_Fixa_EMP_7" xfId="4528"/>
    <cellStyle name="_DESL PARA SET (2)_TENDÊNCIA RET VAR VOL_D_Ret_Fixa_EMP_8" xfId="4529"/>
    <cellStyle name="_DESL PARA SET (2)_TENDÊNCIA RET VAR VOL_D_Ret_Fixa_VAR" xfId="4530"/>
    <cellStyle name="_DESL PARA SET (2)_TENDÊNCIA RET VAR VOL_D_Ret_Fixa_VAR_1" xfId="4531"/>
    <cellStyle name="_DESL PARA SET (2)_TENDÊNCIA RET VAR VOL_D_Ret_Fixa_VAR_2" xfId="4532"/>
    <cellStyle name="_DESL PARA SET (2)_TENDÊNCIA RET VAR VOL_D_Ret_Fixa_VAR_3" xfId="4533"/>
    <cellStyle name="_DESL PARA SET (2)_TENDÊNCIA RET VAR VOL_D_Ret_Fixa_VAR_4" xfId="4534"/>
    <cellStyle name="_DESL PARA SET (2)_TENDÊNCIA RET VAR VOL_D_Ret_Fixa_VAR_5" xfId="4535"/>
    <cellStyle name="_DESL PARA SET (2)_TENDÊNCIA RET VAR VOL_D_Ret_Fixa_VAR_6" xfId="4536"/>
    <cellStyle name="_DESL PARA SET (2)_TENDÊNCIA RET VAR VOL_D_Ret_Fixa_VAR_7" xfId="4537"/>
    <cellStyle name="_DESL PARA SET (2)_TENDÊNCIA RET VAR VOL_D_Ret_Fixa_VAR_8" xfId="4538"/>
    <cellStyle name="_DESL PARA SET (2)_TENDÊNCIA RET VAR VOL_Mig Ret 3G" xfId="4539"/>
    <cellStyle name="_DESL PARA SET (2)_TENDÊNCIA RET VAR VOL_Mig Ret 3G_1" xfId="4540"/>
    <cellStyle name="_DESL PARA SET (2)_TENDÊNCIA RET VAR VOL_Mig Ret 3G_2" xfId="4541"/>
    <cellStyle name="_DESL PARA SET (2)_TENDÊNCIA RET VAR VOL_Mig Ret 3G_3" xfId="4542"/>
    <cellStyle name="_DESL PARA SET (2)_TENDÊNCIA RET VAR VOL_Mig Ret 3G_4" xfId="4543"/>
    <cellStyle name="_DESL PARA SET (2)_TENDÊNCIA RET VAR VOL_Mig Ret 3G_5" xfId="4544"/>
    <cellStyle name="_DESL PARA SET (2)_TENDÊNCIA RET VAR VOL_Mig Ret 3G_6" xfId="4545"/>
    <cellStyle name="_DESL PARA SET (2)_TENDÊNCIA RET VAR VOL_Mig Ret 3G_7" xfId="4546"/>
    <cellStyle name="_DESL PARA SET (2)_TENDÊNCIA RET VAR VOL_Movel" xfId="4547"/>
    <cellStyle name="_DESL PARA SET (2)_TENDÊNCIA RET VAR VOL_Movel_1" xfId="4548"/>
    <cellStyle name="_DESL PARA SET (2)_TENDÊNCIA RET VAR VOL_Movel_2" xfId="4549"/>
    <cellStyle name="_DESL PARA SET (2)_TENDÊNCIA RET VAR VOL_Movel_3" xfId="4550"/>
    <cellStyle name="_DESL PARA SET (2)_TENDÊNCIA RET VAR VOL_Movel_4" xfId="4551"/>
    <cellStyle name="_DESL PARA SET (2)_TENDÊNCIA RET VAR VOL_Movel_5" xfId="4552"/>
    <cellStyle name="_DESL PARA SET (2)_TENDÊNCIA RET VAR VOL_Movel_6" xfId="4553"/>
    <cellStyle name="_DESL PARA SET (2)_TENDÊNCIA RET VAR VOL_Movel_7" xfId="4554"/>
    <cellStyle name="_DESL PARA SET (2)_TENDÊNCIA RET VAR VOL_Retenção" xfId="4555"/>
    <cellStyle name="_DESL PARA SET (2)_Tendência TLV_Varejo_Jul 16-06 a 15-07-09 - M3 - 3ºTendência Oi" xfId="4556"/>
    <cellStyle name="_DESL PARA SET (2)_Tendência TLV_Varejo_Jul 16-06 a 15-07-09 - M3 - 3ºTendência Oi_BD Resumo diário Painel de Televendas Abril 2011" xfId="4557"/>
    <cellStyle name="_DESL PARA SET (2)_Tendência TLV_Varejo_Jul 16-06 a 15-07-09 - M3 - 3ºTendência Oi_BD Resumo diário Painel de Televendas Janeiro 2011" xfId="4558"/>
    <cellStyle name="_DESL PARA SET (2)_Tendência TLV_Varejo_Jul 16-06 a 15-07-09 - M3 - 3ºTendência Oi_BD Resumo diário Painel de Televendas Setembro 2010_BASE_UNICA" xfId="4559"/>
    <cellStyle name="_DESL PARA SET (2)_Tendência TLV_Varejo_Jul 16-06 a 15-07-09 - M3 - 3ºTendência Oi_Painel de Retenção Junho 2011" xfId="4560"/>
    <cellStyle name="_DESL PARA SET (2)_Tendência TLV_Varejo_Jul 16-06 a 15-07-09 - M3 - 3ºTendência Oi_Pasta1" xfId="4561"/>
    <cellStyle name="_DESL PARA SET (2)_Tendência TLV_Varejo_Jul 16-06 a 15-07-09 - M3 - 3ºTendência Oi_Plan1" xfId="4562"/>
    <cellStyle name="_DESL PARA SET (2)_Tendência TLV_Varejo_Jul 16-06 a 15-07-09 - M3 - 3ºTendência Oi_Plan2" xfId="4563"/>
    <cellStyle name="_DESL PARA SET (2)_Tendência TLV_Varejo_Jul 16-06 a 15-07-09 - M3 - 3ºTendência Oi_Retenção" xfId="4564"/>
    <cellStyle name="_DESL PARA SET (2)_Tendência TLV_Varejo_Jul 16-06 a 15-07-09 - M3 - 3ºTendência Oi_Retenção Painel" xfId="4565"/>
    <cellStyle name="_DESL PARA SET (2)_Tendência TLV_Varejo_Jul 16-06 a 15-07-09 - M3 - 3ºTendência Oi_Televendas Painel" xfId="4566"/>
    <cellStyle name="_DESL PARA SET (2)_Tendência TLV_Varejo_Jul 16-06 a 15-07-09 - M3 - 3ºTendência Oi_Televendas Painel_ant" xfId="4567"/>
    <cellStyle name="_DESL PARA SET (2)_TLV AV R1 - FORECAST 9+3" xfId="4568"/>
    <cellStyle name="_DESL PARA SET (2)_TLV AV R1 - FORECAST 9+3_BD Resumo diário Painel de Televendas Abril 2011" xfId="4569"/>
    <cellStyle name="_DESL PARA SET (2)_TLV AV R1 - FORECAST 9+3_BD Resumo diário Painel de Televendas Janeiro 2011" xfId="4570"/>
    <cellStyle name="_DESL PARA SET (2)_TLV AV R1 - FORECAST 9+3_BD Resumo diário Painel de Televendas Setembro 2010_BASE_UNICA" xfId="4571"/>
    <cellStyle name="_DESL PARA SET (2)_TLV AV R1 - FORECAST 9+3_Painel de Retenção Junho 2011" xfId="4572"/>
    <cellStyle name="_DESL PARA SET (2)_TLV AV R1 - FORECAST 9+3_Pasta1" xfId="4573"/>
    <cellStyle name="_DESL PARA SET (2)_TLV AV R1 - FORECAST 9+3_Plan1" xfId="4574"/>
    <cellStyle name="_DESL PARA SET (2)_TLV AV R1 - FORECAST 9+3_Plan2" xfId="4575"/>
    <cellStyle name="_DESL PARA SET (2)_TLV AV R1 - FORECAST 9+3_Retenção" xfId="4576"/>
    <cellStyle name="_DESL PARA SET (2)_TLV AV R1 - FORECAST 9+3_Retenção Painel" xfId="4577"/>
    <cellStyle name="_DESL PARA SET (2)_TLV AV R1 - FORECAST 9+3_Televendas Painel" xfId="4578"/>
    <cellStyle name="_DESL PARA SET (2)_TLV AV R1 - FORECAST 9+3_Televendas Painel_ant" xfId="4579"/>
    <cellStyle name="_DESL PARA SET (2)_Validação Fat Site Contorno_Varejo_Fev 09" xfId="4580"/>
    <cellStyle name="_DESL PARA SET (2)_Validação Fat Site Contorno_Varejo_Fev 09_BD Resumo diário Painel de Televendas Abril 2011" xfId="4581"/>
    <cellStyle name="_DESL PARA SET (2)_Validação Fat Site Contorno_Varejo_Fev 09_BD Resumo diário Painel de Televendas Janeiro 2011" xfId="4582"/>
    <cellStyle name="_DESL PARA SET (2)_Validação Fat Site Contorno_Varejo_Fev 09_BD Resumo diário Painel de Televendas Setembro 2010_BASE_UNICA" xfId="4583"/>
    <cellStyle name="_DESL PARA SET (2)_Validação Fat Site Contorno_Varejo_Fev 09_Painel de Retenção Junho 2011" xfId="4584"/>
    <cellStyle name="_DESL PARA SET (2)_Validação Fat Site Contorno_Varejo_Fev 09_Pasta1" xfId="4585"/>
    <cellStyle name="_DESL PARA SET (2)_Validação Fat Site Contorno_Varejo_Fev 09_Plan1" xfId="4586"/>
    <cellStyle name="_DESL PARA SET (2)_Validação Fat Site Contorno_Varejo_Fev 09_Plan2" xfId="4587"/>
    <cellStyle name="_DESL PARA SET (2)_Validação Fat Site Contorno_Varejo_Fev 09_Retenção" xfId="4588"/>
    <cellStyle name="_DESL PARA SET (2)_Validação Fat Site Contorno_Varejo_Fev 09_Retenção Painel" xfId="4589"/>
    <cellStyle name="_DESL PARA SET (2)_Validação Fat Site Contorno_Varejo_Fev 09_Televendas Painel" xfId="4590"/>
    <cellStyle name="_DESL PARA SET (2)_Validação Fat Site Contorno_Varejo_Fev 09_Televendas Painel_ant" xfId="4591"/>
    <cellStyle name="_DESL PARA SET (2)_Validação Faturamento TLV_Varejo_Abril" xfId="4592"/>
    <cellStyle name="_DESL PARA SET (2)_Validação Faturamento TLV_Varejo_Abril_BD Resumo diário Painel de Televendas Abril 2011" xfId="4593"/>
    <cellStyle name="_DESL PARA SET (2)_Validação Faturamento TLV_Varejo_Abril_BD Resumo diário Painel de Televendas Janeiro 2011" xfId="4594"/>
    <cellStyle name="_DESL PARA SET (2)_Validação Faturamento TLV_Varejo_Abril_BD Resumo diário Painel de Televendas Setembro 2010_BASE_UNICA" xfId="4595"/>
    <cellStyle name="_DESL PARA SET (2)_Validação Faturamento TLV_Varejo_Abril_Painel de Retenção Junho 2011" xfId="4596"/>
    <cellStyle name="_DESL PARA SET (2)_Validação Faturamento TLV_Varejo_Abril_Pasta1" xfId="4597"/>
    <cellStyle name="_DESL PARA SET (2)_Validação Faturamento TLV_Varejo_Abril_Plan1" xfId="4598"/>
    <cellStyle name="_DESL PARA SET (2)_Validação Faturamento TLV_Varejo_Abril_Plan2" xfId="4599"/>
    <cellStyle name="_DESL PARA SET (2)_Validação Faturamento TLV_Varejo_Abril_Retenção" xfId="4600"/>
    <cellStyle name="_DESL PARA SET (2)_Validação Faturamento TLV_Varejo_Abril_Retenção Painel" xfId="4601"/>
    <cellStyle name="_DESL PARA SET (2)_Validação Faturamento TLV_Varejo_Abril_Televendas Painel" xfId="4602"/>
    <cellStyle name="_DESL PARA SET (2)_Validação Faturamento TLV_Varejo_Abril_Televendas Painel_ant" xfId="4603"/>
    <cellStyle name="_DESL PARA SET (2)_Validação Faturamento TLV_Varejo_Mar 16-02 a 15-03-09 - M3 - V3" xfId="4604"/>
    <cellStyle name="_DESL PARA SET (2)_Validação Faturamento TLV_Varejo_Mar 16-02 a 15-03-09 - M3 - V3_BD Resumo diário Painel de Televendas Abril 2011" xfId="4605"/>
    <cellStyle name="_DESL PARA SET (2)_Validação Faturamento TLV_Varejo_Mar 16-02 a 15-03-09 - M3 - V3_BD Resumo diário Painel de Televendas Janeiro 2011" xfId="4606"/>
    <cellStyle name="_DESL PARA SET (2)_Validação Faturamento TLV_Varejo_Mar 16-02 a 15-03-09 - M3 - V3_BD Resumo diário Painel de Televendas Setembro 2010_BASE_UNICA" xfId="4607"/>
    <cellStyle name="_DESL PARA SET (2)_Validação Faturamento TLV_Varejo_Mar 16-02 a 15-03-09 - M3 - V3_Painel de Retenção Junho 2011" xfId="4608"/>
    <cellStyle name="_DESL PARA SET (2)_Validação Faturamento TLV_Varejo_Mar 16-02 a 15-03-09 - M3 - V3_Pasta1" xfId="4609"/>
    <cellStyle name="_DESL PARA SET (2)_Validação Faturamento TLV_Varejo_Mar 16-02 a 15-03-09 - M3 - V3_Plan1" xfId="4610"/>
    <cellStyle name="_DESL PARA SET (2)_Validação Faturamento TLV_Varejo_Mar 16-02 a 15-03-09 - M3 - V3_Plan2" xfId="4611"/>
    <cellStyle name="_DESL PARA SET (2)_Validação Faturamento TLV_Varejo_Mar 16-02 a 15-03-09 - M3 - V3_Retenção" xfId="4612"/>
    <cellStyle name="_DESL PARA SET (2)_Validação Faturamento TLV_Varejo_Mar 16-02 a 15-03-09 - M3 - V3_Retenção Painel" xfId="4613"/>
    <cellStyle name="_DESL PARA SET (2)_Validação Faturamento TLV_Varejo_Mar 16-02 a 15-03-09 - M3 - V3_Televendas Painel" xfId="4614"/>
    <cellStyle name="_DESL PARA SET (2)_Validação Faturamento TLV_Varejo_Mar 16-02 a 15-03-09 - M3 - V3_Televendas Painel_ant" xfId="4615"/>
    <cellStyle name="_Diario" xfId="4616"/>
    <cellStyle name="_Diario 2" xfId="4617"/>
    <cellStyle name="_Diario de Bordo - 01 á 17 Junho (2)" xfId="4618"/>
    <cellStyle name="_Diario_Base" xfId="4619"/>
    <cellStyle name="_Diario_D_Movel" xfId="4620"/>
    <cellStyle name="_Diario_D_Ret_Fixa_EMP" xfId="4621"/>
    <cellStyle name="_Diario_D_Ret_Fixa_EMP_1" xfId="4622"/>
    <cellStyle name="_Diario_D_Ret_Fixa_EMP_2" xfId="4623"/>
    <cellStyle name="_Diario_D_Ret_Fixa_EMP_3" xfId="4624"/>
    <cellStyle name="_Diario_D_Ret_Fixa_EMP_4" xfId="4625"/>
    <cellStyle name="_Diario_D_Ret_Fixa_EMP_5" xfId="4626"/>
    <cellStyle name="_Diario_D_Ret_Fixa_EMP_6" xfId="4627"/>
    <cellStyle name="_Diario_D_Ret_Fixa_EMP_7" xfId="4628"/>
    <cellStyle name="_Diario_D_Ret_Fixa_EMP_8" xfId="4629"/>
    <cellStyle name="_Diario_D_Ret_Fixa_VAR" xfId="4630"/>
    <cellStyle name="_Diario_D_Ret_Fixa_VAR_1" xfId="4631"/>
    <cellStyle name="_Diario_D_Ret_Fixa_VAR_2" xfId="4632"/>
    <cellStyle name="_Diario_D_Ret_Fixa_VAR_3" xfId="4633"/>
    <cellStyle name="_Diario_D_Ret_Fixa_VAR_4" xfId="4634"/>
    <cellStyle name="_Diario_D_Ret_Fixa_VAR_5" xfId="4635"/>
    <cellStyle name="_Diario_D_Ret_Fixa_VAR_6" xfId="4636"/>
    <cellStyle name="_Diario_D_Ret_Fixa_VAR_7" xfId="4637"/>
    <cellStyle name="_Diario_D_Ret_Fixa_VAR_8" xfId="4638"/>
    <cellStyle name="_Diario_Mig Ret 3G" xfId="4639"/>
    <cellStyle name="_Diario_Mig Ret 3G_1" xfId="4640"/>
    <cellStyle name="_Diario_Mig Ret 3G_2" xfId="4641"/>
    <cellStyle name="_Diario_Mig Ret 3G_3" xfId="4642"/>
    <cellStyle name="_Diario_Mig Ret 3G_4" xfId="4643"/>
    <cellStyle name="_Diario_Mig Ret 3G_5" xfId="4644"/>
    <cellStyle name="_Diario_Mig Ret 3G_6" xfId="4645"/>
    <cellStyle name="_Diario_Mig Ret 3G_7" xfId="4646"/>
    <cellStyle name="_Diario_Movel" xfId="4647"/>
    <cellStyle name="_Diario_Movel_1" xfId="4648"/>
    <cellStyle name="_Diario_Movel_2" xfId="4649"/>
    <cellStyle name="_Diario_Movel_3" xfId="4650"/>
    <cellStyle name="_Diario_Movel_4" xfId="4651"/>
    <cellStyle name="_Diario_Movel_5" xfId="4652"/>
    <cellStyle name="_Diario_Movel_6" xfId="4653"/>
    <cellStyle name="_Diario_Movel_7" xfId="4654"/>
    <cellStyle name="_Diario_Retenção" xfId="4655"/>
    <cellStyle name="_ET_STYLE_NoName_00_" xfId="4656"/>
    <cellStyle name="_ET_STYLE_NoName_00_ 2" xfId="4657"/>
    <cellStyle name="_ET_STYLE_NoName_00_ 3" xfId="4658"/>
    <cellStyle name="_ET_STYLE_NoName_00_ 4" xfId="4659"/>
    <cellStyle name="_ET_STYLE_NoName_00_ 5" xfId="4660"/>
    <cellStyle name="_ET_STYLE_NoName_00_ 6" xfId="4661"/>
    <cellStyle name="_ET_STYLE_NoName_00_ 7" xfId="4662"/>
    <cellStyle name="_ET_STYLE_NoName_00_ 8" xfId="4663"/>
    <cellStyle name="_ET_STYLE_NoName_00_ 9" xfId="4664"/>
    <cellStyle name="_Faturamento Empresarial 16 04 a 15 05" xfId="4665"/>
    <cellStyle name="_Faturamento Empresarial 16 04 a 15 05_Base" xfId="4666"/>
    <cellStyle name="_Faturamento Empresarial 16 04 a 15 05_D_Ret_Fixa_EMP" xfId="4667"/>
    <cellStyle name="_Faturamento Empresarial 16 04 a 15 05_D_Ret_Fixa_VAR" xfId="4668"/>
    <cellStyle name="_Faturamento Empresarial 16 04 a 15 05_Mig Ret 3G" xfId="4669"/>
    <cellStyle name="_Faturamento Empresarial 16 04 a 15 05_Movel" xfId="4670"/>
    <cellStyle name="_Faturamento TLV_Varejo_Jun 16-05 a 15-06-09 - M3 - Validação Cliente_v2" xfId="4671"/>
    <cellStyle name="_Faturamento TLV_Varejo_Jun 16-05 a 15-06-09 - M3 - Validação Cliente_v2_BD Resumo diário Painel de Televendas Abril 2011" xfId="4672"/>
    <cellStyle name="_Faturamento TLV_Varejo_Jun 16-05 a 15-06-09 - M3 - Validação Cliente_v2_BD Resumo diário Painel de Televendas Janeiro 2011" xfId="4673"/>
    <cellStyle name="_Faturamento TLV_Varejo_Jun 16-05 a 15-06-09 - M3 - Validação Cliente_v2_BD Resumo diário Painel de Televendas Setembro 2010_BASE_UNICA" xfId="4674"/>
    <cellStyle name="_Faturamento TLV_Varejo_Jun 16-05 a 15-06-09 - M3 - Validação Cliente_v2_Painel de Retenção Junho 2011" xfId="4675"/>
    <cellStyle name="_Faturamento TLV_Varejo_Jun 16-05 a 15-06-09 - M3 - Validação Cliente_v2_Pasta1" xfId="4676"/>
    <cellStyle name="_Faturamento TLV_Varejo_Jun 16-05 a 15-06-09 - M3 - Validação Cliente_v2_Plan1" xfId="4677"/>
    <cellStyle name="_Faturamento TLV_Varejo_Jun 16-05 a 15-06-09 - M3 - Validação Cliente_v2_Plan2" xfId="4678"/>
    <cellStyle name="_Faturamento TLV_Varejo_Jun 16-05 a 15-06-09 - M3 - Validação Cliente_v2_Retenção" xfId="4679"/>
    <cellStyle name="_Faturamento TLV_Varejo_Jun 16-05 a 15-06-09 - M3 - Validação Cliente_v2_Retenção Painel" xfId="4680"/>
    <cellStyle name="_Faturamento TLV_Varejo_Jun 16-05 a 15-06-09 - M3 - Validação Cliente_v2_Televendas Painel" xfId="4681"/>
    <cellStyle name="_Faturamento TLV_Varejo_Jun 16-05 a 15-06-09 - M3 - Validação Cliente_v2_Televendas Painel_ant" xfId="4682"/>
    <cellStyle name="_Faturamento TLV_Varejo_Mai 16-04 a 15-05-09 - M3 - Validação Cliente_V2" xfId="4683"/>
    <cellStyle name="_Faturamento TLV_Varejo_Mai 16-04 a 15-05-09 - M3 - Validação Cliente_V2_BD Resumo diário Painel de Televendas Abril 2011" xfId="4684"/>
    <cellStyle name="_Faturamento TLV_Varejo_Mai 16-04 a 15-05-09 - M3 - Validação Cliente_V2_BD Resumo diário Painel de Televendas Janeiro 2011" xfId="4685"/>
    <cellStyle name="_Faturamento TLV_Varejo_Mai 16-04 a 15-05-09 - M3 - Validação Cliente_V2_BD Resumo diário Painel de Televendas Setembro 2010_BASE_UNICA" xfId="4686"/>
    <cellStyle name="_Faturamento TLV_Varejo_Mai 16-04 a 15-05-09 - M3 - Validação Cliente_V2_Painel de Retenção Junho 2011" xfId="4687"/>
    <cellStyle name="_Faturamento TLV_Varejo_Mai 16-04 a 15-05-09 - M3 - Validação Cliente_V2_Pasta1" xfId="4688"/>
    <cellStyle name="_Faturamento TLV_Varejo_Mai 16-04 a 15-05-09 - M3 - Validação Cliente_V2_Plan1" xfId="4689"/>
    <cellStyle name="_Faturamento TLV_Varejo_Mai 16-04 a 15-05-09 - M3 - Validação Cliente_V2_Plan2" xfId="4690"/>
    <cellStyle name="_Faturamento TLV_Varejo_Mai 16-04 a 15-05-09 - M3 - Validação Cliente_V2_Retenção" xfId="4691"/>
    <cellStyle name="_Faturamento TLV_Varejo_Mai 16-04 a 15-05-09 - M3 - Validação Cliente_V2_Retenção Painel" xfId="4692"/>
    <cellStyle name="_Faturamento TLV_Varejo_Mai 16-04 a 15-05-09 - M3 - Validação Cliente_V2_Televendas Painel" xfId="4693"/>
    <cellStyle name="_Faturamento TLV_Varejo_Mai 16-04 a 15-05-09 - M3 - Validação Cliente_V2_Televendas Painel_ant" xfId="4694"/>
    <cellStyle name="_Faturamento_01_2008_Oi" xfId="4695"/>
    <cellStyle name="_Faturamento_01_2008_Oi_Base" xfId="4696"/>
    <cellStyle name="_Faturamento_01_2008_Oi_D_Ret_Fixa_EMP" xfId="4697"/>
    <cellStyle name="_Faturamento_01_2008_Oi_D_Ret_Fixa_VAR" xfId="4698"/>
    <cellStyle name="_Faturamento_01_2008_Oi_Mig Ret 3G" xfId="4699"/>
    <cellStyle name="_Faturamento_01_2008_Oi_Movel" xfId="4700"/>
    <cellStyle name="_Faturamento_02_2008_OI" xfId="4701"/>
    <cellStyle name="_Faturamento_02_2008_OI_Base" xfId="4702"/>
    <cellStyle name="_Faturamento_02_2008_OI_D_Ret_Fixa_EMP" xfId="4703"/>
    <cellStyle name="_Faturamento_02_2008_OI_D_Ret_Fixa_VAR" xfId="4704"/>
    <cellStyle name="_Faturamento_02_2008_OI_Mig Ret 3G" xfId="4705"/>
    <cellStyle name="_Faturamento_02_2008_OI_Movel" xfId="4706"/>
    <cellStyle name="_Faturamento_Thiago" xfId="4707"/>
    <cellStyle name="_Faturamento_Thiago_Base" xfId="4708"/>
    <cellStyle name="_Faturamento_Thiago_D_Ret_Fixa_EMP" xfId="4709"/>
    <cellStyle name="_Faturamento_Thiago_D_Ret_Fixa_VAR" xfId="4710"/>
    <cellStyle name="_Faturamento_Thiago_Mig Ret 3G" xfId="4711"/>
    <cellStyle name="_Faturamento_Thiago_Movel" xfId="4712"/>
    <cellStyle name="_Faturamento_Thiago1" xfId="4713"/>
    <cellStyle name="_Faturamento_Thiago1_Base" xfId="4714"/>
    <cellStyle name="_Faturamento_Thiago1_D_Ret_Fixa_EMP" xfId="4715"/>
    <cellStyle name="_Faturamento_Thiago1_D_Ret_Fixa_VAR" xfId="4716"/>
    <cellStyle name="_Faturamento_Thiago1_Mig Ret 3G" xfId="4717"/>
    <cellStyle name="_Faturamento_Thiago1_Movel" xfId="4718"/>
    <cellStyle name="_FINAL DE FASE_Acumulado" xfId="4719"/>
    <cellStyle name="_FlataC(SCH-W619) 070205 BOM up" xfId="4720"/>
    <cellStyle name="_FlataC(SCH-W619) 070525 Bom up" xfId="4721"/>
    <cellStyle name="_Flipper(SPH-M620) 061031" xfId="4722"/>
    <cellStyle name="_GB 총정리 주거래" xfId="4723"/>
    <cellStyle name="_GB 총정리 주거래_(확인) '06年 협력사 GVE_Master File_" xfId="4724"/>
    <cellStyle name="_GB 총정리 주거래_(확인) '06年 협력사 GVE_Master File__★ '07~'08年 GVE 과제 현황_080502" xfId="4725"/>
    <cellStyle name="_GB 총정리 주거래_(확인) '06年 협력사 GVE_Master File__★ '07年 GVE 과제 현황_080407" xfId="4726"/>
    <cellStyle name="_GB 총정리 주거래_06년과제(협력사+GBM)" xfId="4727"/>
    <cellStyle name="_GB 총정리 주거래_06년과제(협력사+GBM)_★ '07~'08年 GVE 과제 현황_080502" xfId="4728"/>
    <cellStyle name="_GB 총정리 주거래_06년과제(협력사+GBM)_★ '07年 GVE 과제 현황_080407" xfId="4729"/>
    <cellStyle name="_GB 총정리 주거래_06년과제_전체" xfId="4730"/>
    <cellStyle name="_GB 총정리 주거래_06년과제_전체_★ '07~'08年 GVE 과제 현황_080502" xfId="4731"/>
    <cellStyle name="_GB 총정리 주거래_06년과제_전체_★ '07年 GVE 과제 현황_080407" xfId="4732"/>
    <cellStyle name="_GB 총정리 주거래_'06年 협력사 GVE_Master File" xfId="4733"/>
    <cellStyle name="_GB 총정리 주거래_'06年 협력사 GVE_Master File_★ '07~'08年 GVE 과제 현황_080502" xfId="4734"/>
    <cellStyle name="_GB 총정리 주거래_'06年 협력사 GVE_Master File_★ '07年 GVE 과제 현황_080407" xfId="4735"/>
    <cellStyle name="_GB 총정리 주거래_'07年 추진과제 적용현황_080214(취합)" xfId="4736"/>
    <cellStyle name="_GB 총정리 주거래_'07年 추진과제 적용현황_080214(취합)_★ '07~'08年 GVE 과제 현황_080502" xfId="4737"/>
    <cellStyle name="_GB 총정리 주거래_'07年 추진과제 적용현황_080214(취합)_★ '07年 GVE 과제 현황_080407" xfId="4738"/>
    <cellStyle name="_GB 총정리 주거래_'07年 협력사 GVE 과제 LIST_20071029" xfId="4739"/>
    <cellStyle name="_GB 총정리 주거래_'07年 협력사 GVE 과제 LIST_20071029_★ '07~'08年 GVE 과제 현황_080502" xfId="4740"/>
    <cellStyle name="_GB 총정리 주거래_'07年 협력사 GVE 과제 LIST_20071029_★ '07年 GVE 과제 현황_080407" xfId="4741"/>
    <cellStyle name="_GB 총정리 주거래_'07年 협력사 GVE 과제 관리" xfId="4742"/>
    <cellStyle name="_GB 총정리 주거래_'07年 협력사 GVE 과제 관리_★ '07~'08年 GVE 과제 현황_080502" xfId="4743"/>
    <cellStyle name="_GB 총정리 주거래_'07年 협력사 GVE 과제 관리_★ '07年 GVE 과제 현황_080407" xfId="4744"/>
    <cellStyle name="_GB 총정리 주거래_'07年 협력사 GVE 과제 관리_20070712" xfId="4745"/>
    <cellStyle name="_GB 총정리 주거래_'07年 협력사 GVE 과제 관리_20070712_★ '07~'08年 GVE 과제 현황_080502" xfId="4746"/>
    <cellStyle name="_GB 총정리 주거래_'07年 협력사 GVE 과제 관리_20070712_★ '07年 GVE 과제 현황_080407" xfId="4747"/>
    <cellStyle name="_GB 총정리 주거래_'07年 협력사 GVE 과제 관리_20070723" xfId="4748"/>
    <cellStyle name="_GB 총정리 주거래_'07年 협력사 GVE 과제 관리_20070723_★ '07~'08年 GVE 과제 현황_080502" xfId="4749"/>
    <cellStyle name="_GB 총정리 주거래_'07年 협력사 GVE 과제 관리_20070723_★ '07年 GVE 과제 현황_080407" xfId="4750"/>
    <cellStyle name="_GB 총정리 주거래_'07年 협력사 GVE 과제 관리_20070821" xfId="4751"/>
    <cellStyle name="_GB 총정리 주거래_'07年 협력사 GVE 과제 관리_20070821_★ '07~'08年 GVE 과제 현황_080502" xfId="4752"/>
    <cellStyle name="_GB 총정리 주거래_'07年 협력사 GVE 과제 관리_20070821_★ '07年 GVE 과제 현황_080407" xfId="4753"/>
    <cellStyle name="_GB 총정리 주거래_'07年 협력사 GVE 과제 관리_20071017" xfId="4754"/>
    <cellStyle name="_GB 총정리 주거래_'07年 협력사 GVE 과제 관리_20071017_★ '07~'08年 GVE 과제 현황_080502" xfId="4755"/>
    <cellStyle name="_GB 총정리 주거래_'07年 협력사 GVE 과제 관리_20071017_★ '07年 GVE 과제 현황_080407" xfId="4756"/>
    <cellStyle name="_GB 총정리 주거래_'07年 협력사 GVE 과제 진행현황" xfId="4757"/>
    <cellStyle name="_GB 총정리 주거래_'07年 협력사 GVE 과제 진행현황_★ '07~'08年 GVE 과제 현황_080502" xfId="4758"/>
    <cellStyle name="_GB 총정리 주거래_'07年 협력사 GVE 과제 진행현황_★ '07年 GVE 과제 현황_080407" xfId="4759"/>
    <cellStyle name="_GB 총정리 주거래_GVE추진과제현황_Master(통합)" xfId="4760"/>
    <cellStyle name="_GB 총정리 주거래_GVE추진과제현황_Master(통합)_★ '07~'08年 GVE 과제 현황_080502" xfId="4761"/>
    <cellStyle name="_GB 총정리 주거래_GVE추진과제현황_Master(통합)_★ '07年 GVE 과제 현황_080407" xfId="4762"/>
    <cellStyle name="_GB 총정리 주거래_GVE추진과제현황_Master(통합)_41184" xfId="4763"/>
    <cellStyle name="_GB 총정리 주거래_GVE추진과제현황_Master(통합)_41184_★ '07~'08年 GVE 과제 현황_080502" xfId="4764"/>
    <cellStyle name="_GB 총정리 주거래_GVE추진과제현황_Master(통합)_41184_★ '07年 GVE 과제 현황_080407" xfId="4765"/>
    <cellStyle name="_Gerencial - Operação - SD e LD" xfId="4766"/>
    <cellStyle name="_Gerencial - Operação - SD e LD_BD Resumo diário Painel de Televendas Abril 2011" xfId="4767"/>
    <cellStyle name="_Gerencial - Operação - SD e LD_BD Resumo diário Painel de Televendas Janeiro 2011" xfId="4768"/>
    <cellStyle name="_Gerencial - Operação - SD e LD_BD Resumo diário Painel de Televendas Setembro 2010_BASE_UNICA" xfId="4769"/>
    <cellStyle name="_Gerencial - Operação - SD e LD_Faturamento TLV_Varejo_Ago 16-07 a 15-08-09 - V4 - Validação Cliente" xfId="4770"/>
    <cellStyle name="_Gerencial - Operação - SD e LD_Faturamento TLV_Varejo_Ago 16-07 a 15-08-09 - V4 - Validação Cliente_BD Resumo diário Painel de Televendas Abril 2011" xfId="4771"/>
    <cellStyle name="_Gerencial - Operação - SD e LD_Faturamento TLV_Varejo_Ago 16-07 a 15-08-09 - V4 - Validação Cliente_BD Resumo diário Painel de Televendas Janeiro 2011" xfId="4772"/>
    <cellStyle name="_Gerencial - Operação - SD e LD_Faturamento TLV_Varejo_Ago 16-07 a 15-08-09 - V4 - Validação Cliente_BD Resumo diário Painel de Televendas Setembro 2010_BASE_UNICA" xfId="4773"/>
    <cellStyle name="_Gerencial - Operação - SD e LD_Faturamento TLV_Varejo_Ago 16-07 a 15-08-09 - V4 - Validação Cliente_Painel de Retenção Junho 2011" xfId="4774"/>
    <cellStyle name="_Gerencial - Operação - SD e LD_Faturamento TLV_Varejo_Ago 16-07 a 15-08-09 - V4 - Validação Cliente_Pasta1" xfId="4775"/>
    <cellStyle name="_Gerencial - Operação - SD e LD_Faturamento TLV_Varejo_Ago 16-07 a 15-08-09 - V4 - Validação Cliente_Plan1" xfId="4776"/>
    <cellStyle name="_Gerencial - Operação - SD e LD_Faturamento TLV_Varejo_Ago 16-07 a 15-08-09 - V4 - Validação Cliente_Plan2" xfId="4777"/>
    <cellStyle name="_Gerencial - Operação - SD e LD_Faturamento TLV_Varejo_Ago 16-07 a 15-08-09 - V4 - Validação Cliente_Retenção" xfId="4778"/>
    <cellStyle name="_Gerencial - Operação - SD e LD_Faturamento TLV_Varejo_Ago 16-07 a 15-08-09 - V4 - Validação Cliente_Retenção Painel" xfId="4779"/>
    <cellStyle name="_Gerencial - Operação - SD e LD_Faturamento TLV_Varejo_Ago 16-07 a 15-08-09 - V4 - Validação Cliente_Televendas Painel" xfId="4780"/>
    <cellStyle name="_Gerencial - Operação - SD e LD_Faturamento TLV_Varejo_Ago 16-07 a 15-08-09 - V4 - Validação Cliente_Televendas Painel_ant" xfId="4781"/>
    <cellStyle name="_Gerencial - Operação - SD e LD_Painel de Retenção Junho 2011" xfId="4782"/>
    <cellStyle name="_Gerencial - Operação - SD e LD_Pasta1" xfId="4783"/>
    <cellStyle name="_Gerencial - Operação - SD e LD_Plan1" xfId="4784"/>
    <cellStyle name="_Gerencial - Operação - SD e LD_Plan2" xfId="4785"/>
    <cellStyle name="_Gerencial - Operação - SD e LD_Retenção" xfId="4786"/>
    <cellStyle name="_Gerencial - Operação - SD e LD_Retenção Painel" xfId="4787"/>
    <cellStyle name="_Gerencial - Operação - SD e LD_Televendas Painel" xfId="4788"/>
    <cellStyle name="_Gerencial - Operação - SD e LD_Televendas Painel_ant" xfId="4789"/>
    <cellStyle name="_Gerencial - Operação - SD e LD_TENDÊNCIA RET VAR CONTROLE" xfId="4790"/>
    <cellStyle name="_Gerencial - Operação - SD e LD_TENDÊNCIA RET VAR CONTROLE_Base" xfId="4791"/>
    <cellStyle name="_Gerencial - Operação - SD e LD_TENDÊNCIA RET VAR CONTROLE_D_Ret_Fixa_EMP" xfId="4792"/>
    <cellStyle name="_Gerencial - Operação - SD e LD_TENDÊNCIA RET VAR CONTROLE_D_Ret_Fixa_EMP_1" xfId="4793"/>
    <cellStyle name="_Gerencial - Operação - SD e LD_TENDÊNCIA RET VAR CONTROLE_D_Ret_Fixa_EMP_2" xfId="4794"/>
    <cellStyle name="_Gerencial - Operação - SD e LD_TENDÊNCIA RET VAR CONTROLE_D_Ret_Fixa_EMP_3" xfId="4795"/>
    <cellStyle name="_Gerencial - Operação - SD e LD_TENDÊNCIA RET VAR CONTROLE_D_Ret_Fixa_EMP_4" xfId="4796"/>
    <cellStyle name="_Gerencial - Operação - SD e LD_TENDÊNCIA RET VAR CONTROLE_D_Ret_Fixa_EMP_5" xfId="4797"/>
    <cellStyle name="_Gerencial - Operação - SD e LD_TENDÊNCIA RET VAR CONTROLE_D_Ret_Fixa_EMP_6" xfId="4798"/>
    <cellStyle name="_Gerencial - Operação - SD e LD_TENDÊNCIA RET VAR CONTROLE_D_Ret_Fixa_EMP_7" xfId="4799"/>
    <cellStyle name="_Gerencial - Operação - SD e LD_TENDÊNCIA RET VAR CONTROLE_D_Ret_Fixa_EMP_8" xfId="4800"/>
    <cellStyle name="_Gerencial - Operação - SD e LD_TENDÊNCIA RET VAR CONTROLE_D_Ret_Fixa_VAR" xfId="4801"/>
    <cellStyle name="_Gerencial - Operação - SD e LD_TENDÊNCIA RET VAR CONTROLE_D_Ret_Fixa_VAR_1" xfId="4802"/>
    <cellStyle name="_Gerencial - Operação - SD e LD_TENDÊNCIA RET VAR CONTROLE_D_Ret_Fixa_VAR_2" xfId="4803"/>
    <cellStyle name="_Gerencial - Operação - SD e LD_TENDÊNCIA RET VAR CONTROLE_D_Ret_Fixa_VAR_3" xfId="4804"/>
    <cellStyle name="_Gerencial - Operação - SD e LD_TENDÊNCIA RET VAR CONTROLE_D_Ret_Fixa_VAR_4" xfId="4805"/>
    <cellStyle name="_Gerencial - Operação - SD e LD_TENDÊNCIA RET VAR CONTROLE_D_Ret_Fixa_VAR_5" xfId="4806"/>
    <cellStyle name="_Gerencial - Operação - SD e LD_TENDÊNCIA RET VAR CONTROLE_D_Ret_Fixa_VAR_6" xfId="4807"/>
    <cellStyle name="_Gerencial - Operação - SD e LD_TENDÊNCIA RET VAR CONTROLE_D_Ret_Fixa_VAR_7" xfId="4808"/>
    <cellStyle name="_Gerencial - Operação - SD e LD_TENDÊNCIA RET VAR CONTROLE_D_Ret_Fixa_VAR_8" xfId="4809"/>
    <cellStyle name="_Gerencial - Operação - SD e LD_TENDÊNCIA RET VAR CONTROLE_Mig Ret 3G" xfId="4810"/>
    <cellStyle name="_Gerencial - Operação - SD e LD_TENDÊNCIA RET VAR CONTROLE_Mig Ret 3G_1" xfId="4811"/>
    <cellStyle name="_Gerencial - Operação - SD e LD_TENDÊNCIA RET VAR CONTROLE_Mig Ret 3G_2" xfId="4812"/>
    <cellStyle name="_Gerencial - Operação - SD e LD_TENDÊNCIA RET VAR CONTROLE_Mig Ret 3G_3" xfId="4813"/>
    <cellStyle name="_Gerencial - Operação - SD e LD_TENDÊNCIA RET VAR CONTROLE_Mig Ret 3G_4" xfId="4814"/>
    <cellStyle name="_Gerencial - Operação - SD e LD_TENDÊNCIA RET VAR CONTROLE_Mig Ret 3G_5" xfId="4815"/>
    <cellStyle name="_Gerencial - Operação - SD e LD_TENDÊNCIA RET VAR CONTROLE_Mig Ret 3G_6" xfId="4816"/>
    <cellStyle name="_Gerencial - Operação - SD e LD_TENDÊNCIA RET VAR CONTROLE_Mig Ret 3G_7" xfId="4817"/>
    <cellStyle name="_Gerencial - Operação - SD e LD_TENDÊNCIA RET VAR CONTROLE_Movel" xfId="4818"/>
    <cellStyle name="_Gerencial - Operação - SD e LD_TENDÊNCIA RET VAR CONTROLE_Movel_1" xfId="4819"/>
    <cellStyle name="_Gerencial - Operação - SD e LD_TENDÊNCIA RET VAR CONTROLE_Movel_2" xfId="4820"/>
    <cellStyle name="_Gerencial - Operação - SD e LD_TENDÊNCIA RET VAR CONTROLE_Movel_3" xfId="4821"/>
    <cellStyle name="_Gerencial - Operação - SD e LD_TENDÊNCIA RET VAR CONTROLE_Movel_4" xfId="4822"/>
    <cellStyle name="_Gerencial - Operação - SD e LD_TENDÊNCIA RET VAR CONTROLE_Movel_5" xfId="4823"/>
    <cellStyle name="_Gerencial - Operação - SD e LD_TENDÊNCIA RET VAR CONTROLE_Movel_6" xfId="4824"/>
    <cellStyle name="_Gerencial - Operação - SD e LD_TENDÊNCIA RET VAR CONTROLE_Movel_7" xfId="4825"/>
    <cellStyle name="_Gerencial - Operação - SD e LD_TENDÊNCIA RET VAR CONTROLE_Retenção" xfId="4826"/>
    <cellStyle name="_Gerencial - Operação - SD e LD_TENDÊNCIA RET VAR VOL" xfId="4827"/>
    <cellStyle name="_Gerencial - Operação - SD e LD_TENDÊNCIA RET VAR VOL 2" xfId="4828"/>
    <cellStyle name="_Gerencial - Operação - SD e LD_TENDÊNCIA RET VAR VOL_Base" xfId="4829"/>
    <cellStyle name="_Gerencial - Operação - SD e LD_TENDÊNCIA RET VAR VOL_D_Movel" xfId="4830"/>
    <cellStyle name="_Gerencial - Operação - SD e LD_TENDÊNCIA RET VAR VOL_D_Ret_Fixa_EMP" xfId="4831"/>
    <cellStyle name="_Gerencial - Operação - SD e LD_TENDÊNCIA RET VAR VOL_D_Ret_Fixa_EMP_1" xfId="4832"/>
    <cellStyle name="_Gerencial - Operação - SD e LD_TENDÊNCIA RET VAR VOL_D_Ret_Fixa_EMP_2" xfId="4833"/>
    <cellStyle name="_Gerencial - Operação - SD e LD_TENDÊNCIA RET VAR VOL_D_Ret_Fixa_EMP_3" xfId="4834"/>
    <cellStyle name="_Gerencial - Operação - SD e LD_TENDÊNCIA RET VAR VOL_D_Ret_Fixa_EMP_4" xfId="4835"/>
    <cellStyle name="_Gerencial - Operação - SD e LD_TENDÊNCIA RET VAR VOL_D_Ret_Fixa_EMP_5" xfId="4836"/>
    <cellStyle name="_Gerencial - Operação - SD e LD_TENDÊNCIA RET VAR VOL_D_Ret_Fixa_EMP_6" xfId="4837"/>
    <cellStyle name="_Gerencial - Operação - SD e LD_TENDÊNCIA RET VAR VOL_D_Ret_Fixa_EMP_7" xfId="4838"/>
    <cellStyle name="_Gerencial - Operação - SD e LD_TENDÊNCIA RET VAR VOL_D_Ret_Fixa_EMP_8" xfId="4839"/>
    <cellStyle name="_Gerencial - Operação - SD e LD_TENDÊNCIA RET VAR VOL_D_Ret_Fixa_VAR" xfId="4840"/>
    <cellStyle name="_Gerencial - Operação - SD e LD_TENDÊNCIA RET VAR VOL_D_Ret_Fixa_VAR_1" xfId="4841"/>
    <cellStyle name="_Gerencial - Operação - SD e LD_TENDÊNCIA RET VAR VOL_D_Ret_Fixa_VAR_2" xfId="4842"/>
    <cellStyle name="_Gerencial - Operação - SD e LD_TENDÊNCIA RET VAR VOL_D_Ret_Fixa_VAR_3" xfId="4843"/>
    <cellStyle name="_Gerencial - Operação - SD e LD_TENDÊNCIA RET VAR VOL_D_Ret_Fixa_VAR_4" xfId="4844"/>
    <cellStyle name="_Gerencial - Operação - SD e LD_TENDÊNCIA RET VAR VOL_D_Ret_Fixa_VAR_5" xfId="4845"/>
    <cellStyle name="_Gerencial - Operação - SD e LD_TENDÊNCIA RET VAR VOL_D_Ret_Fixa_VAR_6" xfId="4846"/>
    <cellStyle name="_Gerencial - Operação - SD e LD_TENDÊNCIA RET VAR VOL_D_Ret_Fixa_VAR_7" xfId="4847"/>
    <cellStyle name="_Gerencial - Operação - SD e LD_TENDÊNCIA RET VAR VOL_D_Ret_Fixa_VAR_8" xfId="4848"/>
    <cellStyle name="_Gerencial - Operação - SD e LD_TENDÊNCIA RET VAR VOL_Mig Ret 3G" xfId="4849"/>
    <cellStyle name="_Gerencial - Operação - SD e LD_TENDÊNCIA RET VAR VOL_Mig Ret 3G_1" xfId="4850"/>
    <cellStyle name="_Gerencial - Operação - SD e LD_TENDÊNCIA RET VAR VOL_Mig Ret 3G_2" xfId="4851"/>
    <cellStyle name="_Gerencial - Operação - SD e LD_TENDÊNCIA RET VAR VOL_Mig Ret 3G_3" xfId="4852"/>
    <cellStyle name="_Gerencial - Operação - SD e LD_TENDÊNCIA RET VAR VOL_Mig Ret 3G_4" xfId="4853"/>
    <cellStyle name="_Gerencial - Operação - SD e LD_TENDÊNCIA RET VAR VOL_Mig Ret 3G_5" xfId="4854"/>
    <cellStyle name="_Gerencial - Operação - SD e LD_TENDÊNCIA RET VAR VOL_Mig Ret 3G_6" xfId="4855"/>
    <cellStyle name="_Gerencial - Operação - SD e LD_TENDÊNCIA RET VAR VOL_Mig Ret 3G_7" xfId="4856"/>
    <cellStyle name="_Gerencial - Operação - SD e LD_TENDÊNCIA RET VAR VOL_Movel" xfId="4857"/>
    <cellStyle name="_Gerencial - Operação - SD e LD_TENDÊNCIA RET VAR VOL_Movel_1" xfId="4858"/>
    <cellStyle name="_Gerencial - Operação - SD e LD_TENDÊNCIA RET VAR VOL_Movel_2" xfId="4859"/>
    <cellStyle name="_Gerencial - Operação - SD e LD_TENDÊNCIA RET VAR VOL_Movel_3" xfId="4860"/>
    <cellStyle name="_Gerencial - Operação - SD e LD_TENDÊNCIA RET VAR VOL_Movel_4" xfId="4861"/>
    <cellStyle name="_Gerencial - Operação - SD e LD_TENDÊNCIA RET VAR VOL_Movel_5" xfId="4862"/>
    <cellStyle name="_Gerencial - Operação - SD e LD_TENDÊNCIA RET VAR VOL_Movel_6" xfId="4863"/>
    <cellStyle name="_Gerencial - Operação - SD e LD_TENDÊNCIA RET VAR VOL_Movel_7" xfId="4864"/>
    <cellStyle name="_Gerencial - Operação - SD e LD_TENDÊNCIA RET VAR VOL_Retenção" xfId="4865"/>
    <cellStyle name="_Gerencial Operação SD e LD - Fev2008" xfId="4866"/>
    <cellStyle name="_Gerencial Operação SD e LD - Fev2008_BD Resumo diário Painel de Televendas Abril 2011" xfId="4867"/>
    <cellStyle name="_Gerencial Operação SD e LD - Fev2008_BD Resumo diário Painel de Televendas Janeiro 2011" xfId="4868"/>
    <cellStyle name="_Gerencial Operação SD e LD - Fev2008_BD Resumo diário Painel de Televendas Setembro 2010_BASE_UNICA" xfId="4869"/>
    <cellStyle name="_Gerencial Operação SD e LD - Fev2008_Faturamento TLV_Varejo_Ago 16-07 a 15-08-09 - V4 - Validação Cliente" xfId="4870"/>
    <cellStyle name="_Gerencial Operação SD e LD - Fev2008_Faturamento TLV_Varejo_Ago 16-07 a 15-08-09 - V4 - Validação Cliente_BD Resumo diário Painel de Televendas Abril 2011" xfId="4871"/>
    <cellStyle name="_Gerencial Operação SD e LD - Fev2008_Faturamento TLV_Varejo_Ago 16-07 a 15-08-09 - V4 - Validação Cliente_BD Resumo diário Painel de Televendas Janeiro 2011" xfId="4872"/>
    <cellStyle name="_Gerencial Operação SD e LD - Fev2008_Faturamento TLV_Varejo_Ago 16-07 a 15-08-09 - V4 - Validação Cliente_BD Resumo diário Painel de Televendas Setembro 2010_BASE_UNICA" xfId="4873"/>
    <cellStyle name="_Gerencial Operação SD e LD - Fev2008_Faturamento TLV_Varejo_Ago 16-07 a 15-08-09 - V4 - Validação Cliente_Painel de Retenção Junho 2011" xfId="4874"/>
    <cellStyle name="_Gerencial Operação SD e LD - Fev2008_Faturamento TLV_Varejo_Ago 16-07 a 15-08-09 - V4 - Validação Cliente_Pasta1" xfId="4875"/>
    <cellStyle name="_Gerencial Operação SD e LD - Fev2008_Faturamento TLV_Varejo_Ago 16-07 a 15-08-09 - V4 - Validação Cliente_Plan1" xfId="4876"/>
    <cellStyle name="_Gerencial Operação SD e LD - Fev2008_Faturamento TLV_Varejo_Ago 16-07 a 15-08-09 - V4 - Validação Cliente_Plan2" xfId="4877"/>
    <cellStyle name="_Gerencial Operação SD e LD - Fev2008_Faturamento TLV_Varejo_Ago 16-07 a 15-08-09 - V4 - Validação Cliente_Retenção" xfId="4878"/>
    <cellStyle name="_Gerencial Operação SD e LD - Fev2008_Faturamento TLV_Varejo_Ago 16-07 a 15-08-09 - V4 - Validação Cliente_Retenção Painel" xfId="4879"/>
    <cellStyle name="_Gerencial Operação SD e LD - Fev2008_Faturamento TLV_Varejo_Ago 16-07 a 15-08-09 - V4 - Validação Cliente_Televendas Painel" xfId="4880"/>
    <cellStyle name="_Gerencial Operação SD e LD - Fev2008_Faturamento TLV_Varejo_Ago 16-07 a 15-08-09 - V4 - Validação Cliente_Televendas Painel_ant" xfId="4881"/>
    <cellStyle name="_Gerencial Operação SD e LD - Fev2008_Painel de Retenção Junho 2011" xfId="4882"/>
    <cellStyle name="_Gerencial Operação SD e LD - Fev2008_Pasta1" xfId="4883"/>
    <cellStyle name="_Gerencial Operação SD e LD - Fev2008_Plan1" xfId="4884"/>
    <cellStyle name="_Gerencial Operação SD e LD - Fev2008_Plan2" xfId="4885"/>
    <cellStyle name="_Gerencial Operação SD e LD - Fev2008_Retenção" xfId="4886"/>
    <cellStyle name="_Gerencial Operação SD e LD - Fev2008_Retenção Painel" xfId="4887"/>
    <cellStyle name="_Gerencial Operação SD e LD - Fev2008_Televendas Painel" xfId="4888"/>
    <cellStyle name="_Gerencial Operação SD e LD - Fev2008_Televendas Painel_ant" xfId="4889"/>
    <cellStyle name="_Gerencial Operação SD e LD - Fev2008_TENDÊNCIA RET VAR CONTROLE" xfId="4890"/>
    <cellStyle name="_Gerencial Operação SD e LD - Fev2008_TENDÊNCIA RET VAR CONTROLE_Base" xfId="4891"/>
    <cellStyle name="_Gerencial Operação SD e LD - Fev2008_TENDÊNCIA RET VAR CONTROLE_D_Ret_Fixa_EMP" xfId="4892"/>
    <cellStyle name="_Gerencial Operação SD e LD - Fev2008_TENDÊNCIA RET VAR CONTROLE_D_Ret_Fixa_EMP_1" xfId="4893"/>
    <cellStyle name="_Gerencial Operação SD e LD - Fev2008_TENDÊNCIA RET VAR CONTROLE_D_Ret_Fixa_EMP_2" xfId="4894"/>
    <cellStyle name="_Gerencial Operação SD e LD - Fev2008_TENDÊNCIA RET VAR CONTROLE_D_Ret_Fixa_EMP_3" xfId="4895"/>
    <cellStyle name="_Gerencial Operação SD e LD - Fev2008_TENDÊNCIA RET VAR CONTROLE_D_Ret_Fixa_EMP_4" xfId="4896"/>
    <cellStyle name="_Gerencial Operação SD e LD - Fev2008_TENDÊNCIA RET VAR CONTROLE_D_Ret_Fixa_EMP_5" xfId="4897"/>
    <cellStyle name="_Gerencial Operação SD e LD - Fev2008_TENDÊNCIA RET VAR CONTROLE_D_Ret_Fixa_EMP_6" xfId="4898"/>
    <cellStyle name="_Gerencial Operação SD e LD - Fev2008_TENDÊNCIA RET VAR CONTROLE_D_Ret_Fixa_EMP_7" xfId="4899"/>
    <cellStyle name="_Gerencial Operação SD e LD - Fev2008_TENDÊNCIA RET VAR CONTROLE_D_Ret_Fixa_EMP_8" xfId="4900"/>
    <cellStyle name="_Gerencial Operação SD e LD - Fev2008_TENDÊNCIA RET VAR CONTROLE_D_Ret_Fixa_VAR" xfId="4901"/>
    <cellStyle name="_Gerencial Operação SD e LD - Fev2008_TENDÊNCIA RET VAR CONTROLE_D_Ret_Fixa_VAR_1" xfId="4902"/>
    <cellStyle name="_Gerencial Operação SD e LD - Fev2008_TENDÊNCIA RET VAR CONTROLE_D_Ret_Fixa_VAR_2" xfId="4903"/>
    <cellStyle name="_Gerencial Operação SD e LD - Fev2008_TENDÊNCIA RET VAR CONTROLE_D_Ret_Fixa_VAR_3" xfId="4904"/>
    <cellStyle name="_Gerencial Operação SD e LD - Fev2008_TENDÊNCIA RET VAR CONTROLE_D_Ret_Fixa_VAR_4" xfId="4905"/>
    <cellStyle name="_Gerencial Operação SD e LD - Fev2008_TENDÊNCIA RET VAR CONTROLE_D_Ret_Fixa_VAR_5" xfId="4906"/>
    <cellStyle name="_Gerencial Operação SD e LD - Fev2008_TENDÊNCIA RET VAR CONTROLE_D_Ret_Fixa_VAR_6" xfId="4907"/>
    <cellStyle name="_Gerencial Operação SD e LD - Fev2008_TENDÊNCIA RET VAR CONTROLE_D_Ret_Fixa_VAR_7" xfId="4908"/>
    <cellStyle name="_Gerencial Operação SD e LD - Fev2008_TENDÊNCIA RET VAR CONTROLE_D_Ret_Fixa_VAR_8" xfId="4909"/>
    <cellStyle name="_Gerencial Operação SD e LD - Fev2008_TENDÊNCIA RET VAR CONTROLE_Mig Ret 3G" xfId="4910"/>
    <cellStyle name="_Gerencial Operação SD e LD - Fev2008_TENDÊNCIA RET VAR CONTROLE_Mig Ret 3G_1" xfId="4911"/>
    <cellStyle name="_Gerencial Operação SD e LD - Fev2008_TENDÊNCIA RET VAR CONTROLE_Mig Ret 3G_2" xfId="4912"/>
    <cellStyle name="_Gerencial Operação SD e LD - Fev2008_TENDÊNCIA RET VAR CONTROLE_Mig Ret 3G_3" xfId="4913"/>
    <cellStyle name="_Gerencial Operação SD e LD - Fev2008_TENDÊNCIA RET VAR CONTROLE_Mig Ret 3G_4" xfId="4914"/>
    <cellStyle name="_Gerencial Operação SD e LD - Fev2008_TENDÊNCIA RET VAR CONTROLE_Mig Ret 3G_5" xfId="4915"/>
    <cellStyle name="_Gerencial Operação SD e LD - Fev2008_TENDÊNCIA RET VAR CONTROLE_Mig Ret 3G_6" xfId="4916"/>
    <cellStyle name="_Gerencial Operação SD e LD - Fev2008_TENDÊNCIA RET VAR CONTROLE_Mig Ret 3G_7" xfId="4917"/>
    <cellStyle name="_Gerencial Operação SD e LD - Fev2008_TENDÊNCIA RET VAR CONTROLE_Movel" xfId="4918"/>
    <cellStyle name="_Gerencial Operação SD e LD - Fev2008_TENDÊNCIA RET VAR CONTROLE_Movel_1" xfId="4919"/>
    <cellStyle name="_Gerencial Operação SD e LD - Fev2008_TENDÊNCIA RET VAR CONTROLE_Movel_2" xfId="4920"/>
    <cellStyle name="_Gerencial Operação SD e LD - Fev2008_TENDÊNCIA RET VAR CONTROLE_Movel_3" xfId="4921"/>
    <cellStyle name="_Gerencial Operação SD e LD - Fev2008_TENDÊNCIA RET VAR CONTROLE_Movel_4" xfId="4922"/>
    <cellStyle name="_Gerencial Operação SD e LD - Fev2008_TENDÊNCIA RET VAR CONTROLE_Movel_5" xfId="4923"/>
    <cellStyle name="_Gerencial Operação SD e LD - Fev2008_TENDÊNCIA RET VAR CONTROLE_Movel_6" xfId="4924"/>
    <cellStyle name="_Gerencial Operação SD e LD - Fev2008_TENDÊNCIA RET VAR CONTROLE_Movel_7" xfId="4925"/>
    <cellStyle name="_Gerencial Operação SD e LD - Fev2008_TENDÊNCIA RET VAR CONTROLE_Retenção" xfId="4926"/>
    <cellStyle name="_Gerencial Operação SD e LD - Fev2008_TENDÊNCIA RET VAR VOL" xfId="4927"/>
    <cellStyle name="_Gerencial Operação SD e LD - Fev2008_TENDÊNCIA RET VAR VOL 2" xfId="4928"/>
    <cellStyle name="_Gerencial Operação SD e LD - Fev2008_TENDÊNCIA RET VAR VOL_Base" xfId="4929"/>
    <cellStyle name="_Gerencial Operação SD e LD - Fev2008_TENDÊNCIA RET VAR VOL_D_Movel" xfId="4930"/>
    <cellStyle name="_Gerencial Operação SD e LD - Fev2008_TENDÊNCIA RET VAR VOL_D_Ret_Fixa_EMP" xfId="4931"/>
    <cellStyle name="_Gerencial Operação SD e LD - Fev2008_TENDÊNCIA RET VAR VOL_D_Ret_Fixa_EMP_1" xfId="4932"/>
    <cellStyle name="_Gerencial Operação SD e LD - Fev2008_TENDÊNCIA RET VAR VOL_D_Ret_Fixa_EMP_2" xfId="4933"/>
    <cellStyle name="_Gerencial Operação SD e LD - Fev2008_TENDÊNCIA RET VAR VOL_D_Ret_Fixa_EMP_3" xfId="4934"/>
    <cellStyle name="_Gerencial Operação SD e LD - Fev2008_TENDÊNCIA RET VAR VOL_D_Ret_Fixa_EMP_4" xfId="4935"/>
    <cellStyle name="_Gerencial Operação SD e LD - Fev2008_TENDÊNCIA RET VAR VOL_D_Ret_Fixa_EMP_5" xfId="4936"/>
    <cellStyle name="_Gerencial Operação SD e LD - Fev2008_TENDÊNCIA RET VAR VOL_D_Ret_Fixa_EMP_6" xfId="4937"/>
    <cellStyle name="_Gerencial Operação SD e LD - Fev2008_TENDÊNCIA RET VAR VOL_D_Ret_Fixa_EMP_7" xfId="4938"/>
    <cellStyle name="_Gerencial Operação SD e LD - Fev2008_TENDÊNCIA RET VAR VOL_D_Ret_Fixa_EMP_8" xfId="4939"/>
    <cellStyle name="_Gerencial Operação SD e LD - Fev2008_TENDÊNCIA RET VAR VOL_D_Ret_Fixa_VAR" xfId="4940"/>
    <cellStyle name="_Gerencial Operação SD e LD - Fev2008_TENDÊNCIA RET VAR VOL_D_Ret_Fixa_VAR_1" xfId="4941"/>
    <cellStyle name="_Gerencial Operação SD e LD - Fev2008_TENDÊNCIA RET VAR VOL_D_Ret_Fixa_VAR_2" xfId="4942"/>
    <cellStyle name="_Gerencial Operação SD e LD - Fev2008_TENDÊNCIA RET VAR VOL_D_Ret_Fixa_VAR_3" xfId="4943"/>
    <cellStyle name="_Gerencial Operação SD e LD - Fev2008_TENDÊNCIA RET VAR VOL_D_Ret_Fixa_VAR_4" xfId="4944"/>
    <cellStyle name="_Gerencial Operação SD e LD - Fev2008_TENDÊNCIA RET VAR VOL_D_Ret_Fixa_VAR_5" xfId="4945"/>
    <cellStyle name="_Gerencial Operação SD e LD - Fev2008_TENDÊNCIA RET VAR VOL_D_Ret_Fixa_VAR_6" xfId="4946"/>
    <cellStyle name="_Gerencial Operação SD e LD - Fev2008_TENDÊNCIA RET VAR VOL_D_Ret_Fixa_VAR_7" xfId="4947"/>
    <cellStyle name="_Gerencial Operação SD e LD - Fev2008_TENDÊNCIA RET VAR VOL_D_Ret_Fixa_VAR_8" xfId="4948"/>
    <cellStyle name="_Gerencial Operação SD e LD - Fev2008_TENDÊNCIA RET VAR VOL_Mig Ret 3G" xfId="4949"/>
    <cellStyle name="_Gerencial Operação SD e LD - Fev2008_TENDÊNCIA RET VAR VOL_Mig Ret 3G_1" xfId="4950"/>
    <cellStyle name="_Gerencial Operação SD e LD - Fev2008_TENDÊNCIA RET VAR VOL_Mig Ret 3G_2" xfId="4951"/>
    <cellStyle name="_Gerencial Operação SD e LD - Fev2008_TENDÊNCIA RET VAR VOL_Mig Ret 3G_3" xfId="4952"/>
    <cellStyle name="_Gerencial Operação SD e LD - Fev2008_TENDÊNCIA RET VAR VOL_Mig Ret 3G_4" xfId="4953"/>
    <cellStyle name="_Gerencial Operação SD e LD - Fev2008_TENDÊNCIA RET VAR VOL_Mig Ret 3G_5" xfId="4954"/>
    <cellStyle name="_Gerencial Operação SD e LD - Fev2008_TENDÊNCIA RET VAR VOL_Mig Ret 3G_6" xfId="4955"/>
    <cellStyle name="_Gerencial Operação SD e LD - Fev2008_TENDÊNCIA RET VAR VOL_Mig Ret 3G_7" xfId="4956"/>
    <cellStyle name="_Gerencial Operação SD e LD - Fev2008_TENDÊNCIA RET VAR VOL_Movel" xfId="4957"/>
    <cellStyle name="_Gerencial Operação SD e LD - Fev2008_TENDÊNCIA RET VAR VOL_Movel_1" xfId="4958"/>
    <cellStyle name="_Gerencial Operação SD e LD - Fev2008_TENDÊNCIA RET VAR VOL_Movel_2" xfId="4959"/>
    <cellStyle name="_Gerencial Operação SD e LD - Fev2008_TENDÊNCIA RET VAR VOL_Movel_3" xfId="4960"/>
    <cellStyle name="_Gerencial Operação SD e LD - Fev2008_TENDÊNCIA RET VAR VOL_Movel_4" xfId="4961"/>
    <cellStyle name="_Gerencial Operação SD e LD - Fev2008_TENDÊNCIA RET VAR VOL_Movel_5" xfId="4962"/>
    <cellStyle name="_Gerencial Operação SD e LD - Fev2008_TENDÊNCIA RET VAR VOL_Movel_6" xfId="4963"/>
    <cellStyle name="_Gerencial Operação SD e LD - Fev2008_TENDÊNCIA RET VAR VOL_Movel_7" xfId="4964"/>
    <cellStyle name="_Gerencial Operação SD e LD - Fev2008_TENDÊNCIA RET VAR VOL_Retenção" xfId="4965"/>
    <cellStyle name="_Gerencial SD-LD (Modelo 02)" xfId="4966"/>
    <cellStyle name="_Gerencial SD-LD (Modelo 02) 2" xfId="4967"/>
    <cellStyle name="_Gerencial SD-LD (Modelo 02)_Base" xfId="4968"/>
    <cellStyle name="_Gerencial SD-LD (Modelo 02)_D_Movel" xfId="4969"/>
    <cellStyle name="_Gerencial SD-LD (Modelo 02)_D_Ret_Fixa_EMP" xfId="4970"/>
    <cellStyle name="_Gerencial SD-LD (Modelo 02)_D_Ret_Fixa_EMP_1" xfId="4971"/>
    <cellStyle name="_Gerencial SD-LD (Modelo 02)_D_Ret_Fixa_EMP_2" xfId="4972"/>
    <cellStyle name="_Gerencial SD-LD (Modelo 02)_D_Ret_Fixa_EMP_3" xfId="4973"/>
    <cellStyle name="_Gerencial SD-LD (Modelo 02)_D_Ret_Fixa_EMP_4" xfId="4974"/>
    <cellStyle name="_Gerencial SD-LD (Modelo 02)_D_Ret_Fixa_EMP_5" xfId="4975"/>
    <cellStyle name="_Gerencial SD-LD (Modelo 02)_D_Ret_Fixa_EMP_6" xfId="4976"/>
    <cellStyle name="_Gerencial SD-LD (Modelo 02)_D_Ret_Fixa_EMP_7" xfId="4977"/>
    <cellStyle name="_Gerencial SD-LD (Modelo 02)_D_Ret_Fixa_EMP_8" xfId="4978"/>
    <cellStyle name="_Gerencial SD-LD (Modelo 02)_D_Ret_Fixa_VAR" xfId="4979"/>
    <cellStyle name="_Gerencial SD-LD (Modelo 02)_D_Ret_Fixa_VAR_1" xfId="4980"/>
    <cellStyle name="_Gerencial SD-LD (Modelo 02)_D_Ret_Fixa_VAR_2" xfId="4981"/>
    <cellStyle name="_Gerencial SD-LD (Modelo 02)_D_Ret_Fixa_VAR_3" xfId="4982"/>
    <cellStyle name="_Gerencial SD-LD (Modelo 02)_D_Ret_Fixa_VAR_4" xfId="4983"/>
    <cellStyle name="_Gerencial SD-LD (Modelo 02)_D_Ret_Fixa_VAR_5" xfId="4984"/>
    <cellStyle name="_Gerencial SD-LD (Modelo 02)_D_Ret_Fixa_VAR_6" xfId="4985"/>
    <cellStyle name="_Gerencial SD-LD (Modelo 02)_D_Ret_Fixa_VAR_7" xfId="4986"/>
    <cellStyle name="_Gerencial SD-LD (Modelo 02)_D_Ret_Fixa_VAR_8" xfId="4987"/>
    <cellStyle name="_Gerencial SD-LD (Modelo 02)_Mig Ret 3G" xfId="4988"/>
    <cellStyle name="_Gerencial SD-LD (Modelo 02)_Mig Ret 3G_1" xfId="4989"/>
    <cellStyle name="_Gerencial SD-LD (Modelo 02)_Mig Ret 3G_2" xfId="4990"/>
    <cellStyle name="_Gerencial SD-LD (Modelo 02)_Mig Ret 3G_3" xfId="4991"/>
    <cellStyle name="_Gerencial SD-LD (Modelo 02)_Mig Ret 3G_4" xfId="4992"/>
    <cellStyle name="_Gerencial SD-LD (Modelo 02)_Mig Ret 3G_5" xfId="4993"/>
    <cellStyle name="_Gerencial SD-LD (Modelo 02)_Mig Ret 3G_6" xfId="4994"/>
    <cellStyle name="_Gerencial SD-LD (Modelo 02)_Mig Ret 3G_7" xfId="4995"/>
    <cellStyle name="_Gerencial SD-LD (Modelo 02)_Movel" xfId="4996"/>
    <cellStyle name="_Gerencial SD-LD (Modelo 02)_Movel_1" xfId="4997"/>
    <cellStyle name="_Gerencial SD-LD (Modelo 02)_Movel_2" xfId="4998"/>
    <cellStyle name="_Gerencial SD-LD (Modelo 02)_Movel_3" xfId="4999"/>
    <cellStyle name="_Gerencial SD-LD (Modelo 02)_Movel_4" xfId="5000"/>
    <cellStyle name="_Gerencial SD-LD (Modelo 02)_Movel_5" xfId="5001"/>
    <cellStyle name="_Gerencial SD-LD (Modelo 02)_Movel_6" xfId="5002"/>
    <cellStyle name="_Gerencial SD-LD (Modelo 02)_Movel_7" xfId="5003"/>
    <cellStyle name="_Gerencial SD-LD (Modelo 02)_Retenção" xfId="5004"/>
    <cellStyle name="_Gerencial SD-LD_Fev20082" xfId="5005"/>
    <cellStyle name="_Gerencial SD-LD_Fev20082_BD Resumo diário Painel de Televendas Abril 2011" xfId="5006"/>
    <cellStyle name="_Gerencial SD-LD_Fev20082_BD Resumo diário Painel de Televendas Janeiro 2011" xfId="5007"/>
    <cellStyle name="_Gerencial SD-LD_Fev20082_BD Resumo diário Painel de Televendas Setembro 2010_BASE_UNICA" xfId="5008"/>
    <cellStyle name="_Gerencial SD-LD_Fev20082_Faturamento TLV_Varejo_Ago 16-07 a 15-08-09 - V4 - Validação Cliente" xfId="5009"/>
    <cellStyle name="_Gerencial SD-LD_Fev20082_Faturamento TLV_Varejo_Ago 16-07 a 15-08-09 - V4 - Validação Cliente_BD Resumo diário Painel de Televendas Abril 2011" xfId="5010"/>
    <cellStyle name="_Gerencial SD-LD_Fev20082_Faturamento TLV_Varejo_Ago 16-07 a 15-08-09 - V4 - Validação Cliente_BD Resumo diário Painel de Televendas Janeiro 2011" xfId="5011"/>
    <cellStyle name="_Gerencial SD-LD_Fev20082_Faturamento TLV_Varejo_Ago 16-07 a 15-08-09 - V4 - Validação Cliente_BD Resumo diário Painel de Televendas Setembro 2010_BASE_UNICA" xfId="5012"/>
    <cellStyle name="_Gerencial SD-LD_Fev20082_Faturamento TLV_Varejo_Ago 16-07 a 15-08-09 - V4 - Validação Cliente_Painel de Retenção Junho 2011" xfId="5013"/>
    <cellStyle name="_Gerencial SD-LD_Fev20082_Faturamento TLV_Varejo_Ago 16-07 a 15-08-09 - V4 - Validação Cliente_Pasta1" xfId="5014"/>
    <cellStyle name="_Gerencial SD-LD_Fev20082_Faturamento TLV_Varejo_Ago 16-07 a 15-08-09 - V4 - Validação Cliente_Plan1" xfId="5015"/>
    <cellStyle name="_Gerencial SD-LD_Fev20082_Faturamento TLV_Varejo_Ago 16-07 a 15-08-09 - V4 - Validação Cliente_Plan2" xfId="5016"/>
    <cellStyle name="_Gerencial SD-LD_Fev20082_Faturamento TLV_Varejo_Ago 16-07 a 15-08-09 - V4 - Validação Cliente_Retenção" xfId="5017"/>
    <cellStyle name="_Gerencial SD-LD_Fev20082_Faturamento TLV_Varejo_Ago 16-07 a 15-08-09 - V4 - Validação Cliente_Retenção Painel" xfId="5018"/>
    <cellStyle name="_Gerencial SD-LD_Fev20082_Faturamento TLV_Varejo_Ago 16-07 a 15-08-09 - V4 - Validação Cliente_Televendas Painel" xfId="5019"/>
    <cellStyle name="_Gerencial SD-LD_Fev20082_Faturamento TLV_Varejo_Ago 16-07 a 15-08-09 - V4 - Validação Cliente_Televendas Painel_ant" xfId="5020"/>
    <cellStyle name="_Gerencial SD-LD_Fev20082_Painel de Retenção Junho 2011" xfId="5021"/>
    <cellStyle name="_Gerencial SD-LD_Fev20082_Pasta1" xfId="5022"/>
    <cellStyle name="_Gerencial SD-LD_Fev20082_Plan1" xfId="5023"/>
    <cellStyle name="_Gerencial SD-LD_Fev20082_Plan2" xfId="5024"/>
    <cellStyle name="_Gerencial SD-LD_Fev20082_Retenção" xfId="5025"/>
    <cellStyle name="_Gerencial SD-LD_Fev20082_Retenção Painel" xfId="5026"/>
    <cellStyle name="_Gerencial SD-LD_Fev20082_Televendas Painel" xfId="5027"/>
    <cellStyle name="_Gerencial SD-LD_Fev20082_Televendas Painel_ant" xfId="5028"/>
    <cellStyle name="_Gerencial SD-LD_Fev20082_TENDÊNCIA RET VAR CONTROLE" xfId="5029"/>
    <cellStyle name="_Gerencial SD-LD_Fev20082_TENDÊNCIA RET VAR CONTROLE_Base" xfId="5030"/>
    <cellStyle name="_Gerencial SD-LD_Fev20082_TENDÊNCIA RET VAR CONTROLE_D_Ret_Fixa_EMP" xfId="5031"/>
    <cellStyle name="_Gerencial SD-LD_Fev20082_TENDÊNCIA RET VAR CONTROLE_D_Ret_Fixa_EMP_1" xfId="5032"/>
    <cellStyle name="_Gerencial SD-LD_Fev20082_TENDÊNCIA RET VAR CONTROLE_D_Ret_Fixa_EMP_2" xfId="5033"/>
    <cellStyle name="_Gerencial SD-LD_Fev20082_TENDÊNCIA RET VAR CONTROLE_D_Ret_Fixa_EMP_3" xfId="5034"/>
    <cellStyle name="_Gerencial SD-LD_Fev20082_TENDÊNCIA RET VAR CONTROLE_D_Ret_Fixa_EMP_4" xfId="5035"/>
    <cellStyle name="_Gerencial SD-LD_Fev20082_TENDÊNCIA RET VAR CONTROLE_D_Ret_Fixa_EMP_5" xfId="5036"/>
    <cellStyle name="_Gerencial SD-LD_Fev20082_TENDÊNCIA RET VAR CONTROLE_D_Ret_Fixa_EMP_6" xfId="5037"/>
    <cellStyle name="_Gerencial SD-LD_Fev20082_TENDÊNCIA RET VAR CONTROLE_D_Ret_Fixa_EMP_7" xfId="5038"/>
    <cellStyle name="_Gerencial SD-LD_Fev20082_TENDÊNCIA RET VAR CONTROLE_D_Ret_Fixa_EMP_8" xfId="5039"/>
    <cellStyle name="_Gerencial SD-LD_Fev20082_TENDÊNCIA RET VAR CONTROLE_D_Ret_Fixa_VAR" xfId="5040"/>
    <cellStyle name="_Gerencial SD-LD_Fev20082_TENDÊNCIA RET VAR CONTROLE_D_Ret_Fixa_VAR_1" xfId="5041"/>
    <cellStyle name="_Gerencial SD-LD_Fev20082_TENDÊNCIA RET VAR CONTROLE_D_Ret_Fixa_VAR_2" xfId="5042"/>
    <cellStyle name="_Gerencial SD-LD_Fev20082_TENDÊNCIA RET VAR CONTROLE_D_Ret_Fixa_VAR_3" xfId="5043"/>
    <cellStyle name="_Gerencial SD-LD_Fev20082_TENDÊNCIA RET VAR CONTROLE_D_Ret_Fixa_VAR_4" xfId="5044"/>
    <cellStyle name="_Gerencial SD-LD_Fev20082_TENDÊNCIA RET VAR CONTROLE_D_Ret_Fixa_VAR_5" xfId="5045"/>
    <cellStyle name="_Gerencial SD-LD_Fev20082_TENDÊNCIA RET VAR CONTROLE_D_Ret_Fixa_VAR_6" xfId="5046"/>
    <cellStyle name="_Gerencial SD-LD_Fev20082_TENDÊNCIA RET VAR CONTROLE_D_Ret_Fixa_VAR_7" xfId="5047"/>
    <cellStyle name="_Gerencial SD-LD_Fev20082_TENDÊNCIA RET VAR CONTROLE_D_Ret_Fixa_VAR_8" xfId="5048"/>
    <cellStyle name="_Gerencial SD-LD_Fev20082_TENDÊNCIA RET VAR CONTROLE_Mig Ret 3G" xfId="5049"/>
    <cellStyle name="_Gerencial SD-LD_Fev20082_TENDÊNCIA RET VAR CONTROLE_Mig Ret 3G_1" xfId="5050"/>
    <cellStyle name="_Gerencial SD-LD_Fev20082_TENDÊNCIA RET VAR CONTROLE_Mig Ret 3G_2" xfId="5051"/>
    <cellStyle name="_Gerencial SD-LD_Fev20082_TENDÊNCIA RET VAR CONTROLE_Mig Ret 3G_3" xfId="5052"/>
    <cellStyle name="_Gerencial SD-LD_Fev20082_TENDÊNCIA RET VAR CONTROLE_Mig Ret 3G_4" xfId="5053"/>
    <cellStyle name="_Gerencial SD-LD_Fev20082_TENDÊNCIA RET VAR CONTROLE_Mig Ret 3G_5" xfId="5054"/>
    <cellStyle name="_Gerencial SD-LD_Fev20082_TENDÊNCIA RET VAR CONTROLE_Mig Ret 3G_6" xfId="5055"/>
    <cellStyle name="_Gerencial SD-LD_Fev20082_TENDÊNCIA RET VAR CONTROLE_Mig Ret 3G_7" xfId="5056"/>
    <cellStyle name="_Gerencial SD-LD_Fev20082_TENDÊNCIA RET VAR CONTROLE_Movel" xfId="5057"/>
    <cellStyle name="_Gerencial SD-LD_Fev20082_TENDÊNCIA RET VAR CONTROLE_Movel_1" xfId="5058"/>
    <cellStyle name="_Gerencial SD-LD_Fev20082_TENDÊNCIA RET VAR CONTROLE_Movel_2" xfId="5059"/>
    <cellStyle name="_Gerencial SD-LD_Fev20082_TENDÊNCIA RET VAR CONTROLE_Movel_3" xfId="5060"/>
    <cellStyle name="_Gerencial SD-LD_Fev20082_TENDÊNCIA RET VAR CONTROLE_Movel_4" xfId="5061"/>
    <cellStyle name="_Gerencial SD-LD_Fev20082_TENDÊNCIA RET VAR CONTROLE_Movel_5" xfId="5062"/>
    <cellStyle name="_Gerencial SD-LD_Fev20082_TENDÊNCIA RET VAR CONTROLE_Movel_6" xfId="5063"/>
    <cellStyle name="_Gerencial SD-LD_Fev20082_TENDÊNCIA RET VAR CONTROLE_Movel_7" xfId="5064"/>
    <cellStyle name="_Gerencial SD-LD_Fev20082_TENDÊNCIA RET VAR CONTROLE_Retenção" xfId="5065"/>
    <cellStyle name="_Gerencial SD-LD_Fev20082_TENDÊNCIA RET VAR VOL" xfId="5066"/>
    <cellStyle name="_Gerencial SD-LD_Fev20082_TENDÊNCIA RET VAR VOL 2" xfId="5067"/>
    <cellStyle name="_Gerencial SD-LD_Fev20082_TENDÊNCIA RET VAR VOL_Base" xfId="5068"/>
    <cellStyle name="_Gerencial SD-LD_Fev20082_TENDÊNCIA RET VAR VOL_D_Movel" xfId="5069"/>
    <cellStyle name="_Gerencial SD-LD_Fev20082_TENDÊNCIA RET VAR VOL_D_Ret_Fixa_EMP" xfId="5070"/>
    <cellStyle name="_Gerencial SD-LD_Fev20082_TENDÊNCIA RET VAR VOL_D_Ret_Fixa_EMP_1" xfId="5071"/>
    <cellStyle name="_Gerencial SD-LD_Fev20082_TENDÊNCIA RET VAR VOL_D_Ret_Fixa_EMP_2" xfId="5072"/>
    <cellStyle name="_Gerencial SD-LD_Fev20082_TENDÊNCIA RET VAR VOL_D_Ret_Fixa_EMP_3" xfId="5073"/>
    <cellStyle name="_Gerencial SD-LD_Fev20082_TENDÊNCIA RET VAR VOL_D_Ret_Fixa_EMP_4" xfId="5074"/>
    <cellStyle name="_Gerencial SD-LD_Fev20082_TENDÊNCIA RET VAR VOL_D_Ret_Fixa_EMP_5" xfId="5075"/>
    <cellStyle name="_Gerencial SD-LD_Fev20082_TENDÊNCIA RET VAR VOL_D_Ret_Fixa_EMP_6" xfId="5076"/>
    <cellStyle name="_Gerencial SD-LD_Fev20082_TENDÊNCIA RET VAR VOL_D_Ret_Fixa_EMP_7" xfId="5077"/>
    <cellStyle name="_Gerencial SD-LD_Fev20082_TENDÊNCIA RET VAR VOL_D_Ret_Fixa_EMP_8" xfId="5078"/>
    <cellStyle name="_Gerencial SD-LD_Fev20082_TENDÊNCIA RET VAR VOL_D_Ret_Fixa_VAR" xfId="5079"/>
    <cellStyle name="_Gerencial SD-LD_Fev20082_TENDÊNCIA RET VAR VOL_D_Ret_Fixa_VAR_1" xfId="5080"/>
    <cellStyle name="_Gerencial SD-LD_Fev20082_TENDÊNCIA RET VAR VOL_D_Ret_Fixa_VAR_2" xfId="5081"/>
    <cellStyle name="_Gerencial SD-LD_Fev20082_TENDÊNCIA RET VAR VOL_D_Ret_Fixa_VAR_3" xfId="5082"/>
    <cellStyle name="_Gerencial SD-LD_Fev20082_TENDÊNCIA RET VAR VOL_D_Ret_Fixa_VAR_4" xfId="5083"/>
    <cellStyle name="_Gerencial SD-LD_Fev20082_TENDÊNCIA RET VAR VOL_D_Ret_Fixa_VAR_5" xfId="5084"/>
    <cellStyle name="_Gerencial SD-LD_Fev20082_TENDÊNCIA RET VAR VOL_D_Ret_Fixa_VAR_6" xfId="5085"/>
    <cellStyle name="_Gerencial SD-LD_Fev20082_TENDÊNCIA RET VAR VOL_D_Ret_Fixa_VAR_7" xfId="5086"/>
    <cellStyle name="_Gerencial SD-LD_Fev20082_TENDÊNCIA RET VAR VOL_D_Ret_Fixa_VAR_8" xfId="5087"/>
    <cellStyle name="_Gerencial SD-LD_Fev20082_TENDÊNCIA RET VAR VOL_Mig Ret 3G" xfId="5088"/>
    <cellStyle name="_Gerencial SD-LD_Fev20082_TENDÊNCIA RET VAR VOL_Mig Ret 3G_1" xfId="5089"/>
    <cellStyle name="_Gerencial SD-LD_Fev20082_TENDÊNCIA RET VAR VOL_Mig Ret 3G_2" xfId="5090"/>
    <cellStyle name="_Gerencial SD-LD_Fev20082_TENDÊNCIA RET VAR VOL_Mig Ret 3G_3" xfId="5091"/>
    <cellStyle name="_Gerencial SD-LD_Fev20082_TENDÊNCIA RET VAR VOL_Mig Ret 3G_4" xfId="5092"/>
    <cellStyle name="_Gerencial SD-LD_Fev20082_TENDÊNCIA RET VAR VOL_Mig Ret 3G_5" xfId="5093"/>
    <cellStyle name="_Gerencial SD-LD_Fev20082_TENDÊNCIA RET VAR VOL_Mig Ret 3G_6" xfId="5094"/>
    <cellStyle name="_Gerencial SD-LD_Fev20082_TENDÊNCIA RET VAR VOL_Mig Ret 3G_7" xfId="5095"/>
    <cellStyle name="_Gerencial SD-LD_Fev20082_TENDÊNCIA RET VAR VOL_Movel" xfId="5096"/>
    <cellStyle name="_Gerencial SD-LD_Fev20082_TENDÊNCIA RET VAR VOL_Movel_1" xfId="5097"/>
    <cellStyle name="_Gerencial SD-LD_Fev20082_TENDÊNCIA RET VAR VOL_Movel_2" xfId="5098"/>
    <cellStyle name="_Gerencial SD-LD_Fev20082_TENDÊNCIA RET VAR VOL_Movel_3" xfId="5099"/>
    <cellStyle name="_Gerencial SD-LD_Fev20082_TENDÊNCIA RET VAR VOL_Movel_4" xfId="5100"/>
    <cellStyle name="_Gerencial SD-LD_Fev20082_TENDÊNCIA RET VAR VOL_Movel_5" xfId="5101"/>
    <cellStyle name="_Gerencial SD-LD_Fev20082_TENDÊNCIA RET VAR VOL_Movel_6" xfId="5102"/>
    <cellStyle name="_Gerencial SD-LD_Fev20082_TENDÊNCIA RET VAR VOL_Movel_7" xfId="5103"/>
    <cellStyle name="_Gerencial SD-LD_Fev20082_TENDÊNCIA RET VAR VOL_Retenção" xfId="5104"/>
    <cellStyle name="_Gerencial SD-LD_Jan2008" xfId="5105"/>
    <cellStyle name="_Gerencial SD-LD_Jan2008_BD Resumo diário Painel de Televendas Abril 2011" xfId="5106"/>
    <cellStyle name="_Gerencial SD-LD_Jan2008_BD Resumo diário Painel de Televendas Janeiro 2011" xfId="5107"/>
    <cellStyle name="_Gerencial SD-LD_Jan2008_BD Resumo diário Painel de Televendas Setembro 2010_BASE_UNICA" xfId="5108"/>
    <cellStyle name="_Gerencial SD-LD_Jan2008_Faturamento TLV_Varejo_Ago 16-07 a 15-08-09 - V4 - Validação Cliente" xfId="5109"/>
    <cellStyle name="_Gerencial SD-LD_Jan2008_Faturamento TLV_Varejo_Ago 16-07 a 15-08-09 - V4 - Validação Cliente_BD Resumo diário Painel de Televendas Abril 2011" xfId="5110"/>
    <cellStyle name="_Gerencial SD-LD_Jan2008_Faturamento TLV_Varejo_Ago 16-07 a 15-08-09 - V4 - Validação Cliente_BD Resumo diário Painel de Televendas Janeiro 2011" xfId="5111"/>
    <cellStyle name="_Gerencial SD-LD_Jan2008_Faturamento TLV_Varejo_Ago 16-07 a 15-08-09 - V4 - Validação Cliente_BD Resumo diário Painel de Televendas Setembro 2010_BASE_UNICA" xfId="5112"/>
    <cellStyle name="_Gerencial SD-LD_Jan2008_Faturamento TLV_Varejo_Ago 16-07 a 15-08-09 - V4 - Validação Cliente_Painel de Retenção Junho 2011" xfId="5113"/>
    <cellStyle name="_Gerencial SD-LD_Jan2008_Faturamento TLV_Varejo_Ago 16-07 a 15-08-09 - V4 - Validação Cliente_Pasta1" xfId="5114"/>
    <cellStyle name="_Gerencial SD-LD_Jan2008_Faturamento TLV_Varejo_Ago 16-07 a 15-08-09 - V4 - Validação Cliente_Plan1" xfId="5115"/>
    <cellStyle name="_Gerencial SD-LD_Jan2008_Faturamento TLV_Varejo_Ago 16-07 a 15-08-09 - V4 - Validação Cliente_Plan2" xfId="5116"/>
    <cellStyle name="_Gerencial SD-LD_Jan2008_Faturamento TLV_Varejo_Ago 16-07 a 15-08-09 - V4 - Validação Cliente_Retenção" xfId="5117"/>
    <cellStyle name="_Gerencial SD-LD_Jan2008_Faturamento TLV_Varejo_Ago 16-07 a 15-08-09 - V4 - Validação Cliente_Retenção Painel" xfId="5118"/>
    <cellStyle name="_Gerencial SD-LD_Jan2008_Faturamento TLV_Varejo_Ago 16-07 a 15-08-09 - V4 - Validação Cliente_Televendas Painel" xfId="5119"/>
    <cellStyle name="_Gerencial SD-LD_Jan2008_Faturamento TLV_Varejo_Ago 16-07 a 15-08-09 - V4 - Validação Cliente_Televendas Painel_ant" xfId="5120"/>
    <cellStyle name="_Gerencial SD-LD_Jan2008_Painel de Retenção Junho 2011" xfId="5121"/>
    <cellStyle name="_Gerencial SD-LD_Jan2008_Pasta1" xfId="5122"/>
    <cellStyle name="_Gerencial SD-LD_Jan2008_Plan1" xfId="5123"/>
    <cellStyle name="_Gerencial SD-LD_Jan2008_Plan2" xfId="5124"/>
    <cellStyle name="_Gerencial SD-LD_Jan2008_Retenção" xfId="5125"/>
    <cellStyle name="_Gerencial SD-LD_Jan2008_Retenção Painel" xfId="5126"/>
    <cellStyle name="_Gerencial SD-LD_Jan2008_Televendas Painel" xfId="5127"/>
    <cellStyle name="_Gerencial SD-LD_Jan2008_Televendas Painel_ant" xfId="5128"/>
    <cellStyle name="_Gerencial SD-LD_Jan2008_TENDÊNCIA RET VAR CONTROLE" xfId="5129"/>
    <cellStyle name="_Gerencial SD-LD_Jan2008_TENDÊNCIA RET VAR CONTROLE_Base" xfId="5130"/>
    <cellStyle name="_Gerencial SD-LD_Jan2008_TENDÊNCIA RET VAR CONTROLE_D_Ret_Fixa_EMP" xfId="5131"/>
    <cellStyle name="_Gerencial SD-LD_Jan2008_TENDÊNCIA RET VAR CONTROLE_D_Ret_Fixa_EMP_1" xfId="5132"/>
    <cellStyle name="_Gerencial SD-LD_Jan2008_TENDÊNCIA RET VAR CONTROLE_D_Ret_Fixa_EMP_2" xfId="5133"/>
    <cellStyle name="_Gerencial SD-LD_Jan2008_TENDÊNCIA RET VAR CONTROLE_D_Ret_Fixa_EMP_3" xfId="5134"/>
    <cellStyle name="_Gerencial SD-LD_Jan2008_TENDÊNCIA RET VAR CONTROLE_D_Ret_Fixa_EMP_4" xfId="5135"/>
    <cellStyle name="_Gerencial SD-LD_Jan2008_TENDÊNCIA RET VAR CONTROLE_D_Ret_Fixa_EMP_5" xfId="5136"/>
    <cellStyle name="_Gerencial SD-LD_Jan2008_TENDÊNCIA RET VAR CONTROLE_D_Ret_Fixa_EMP_6" xfId="5137"/>
    <cellStyle name="_Gerencial SD-LD_Jan2008_TENDÊNCIA RET VAR CONTROLE_D_Ret_Fixa_EMP_7" xfId="5138"/>
    <cellStyle name="_Gerencial SD-LD_Jan2008_TENDÊNCIA RET VAR CONTROLE_D_Ret_Fixa_EMP_8" xfId="5139"/>
    <cellStyle name="_Gerencial SD-LD_Jan2008_TENDÊNCIA RET VAR CONTROLE_D_Ret_Fixa_VAR" xfId="5140"/>
    <cellStyle name="_Gerencial SD-LD_Jan2008_TENDÊNCIA RET VAR CONTROLE_D_Ret_Fixa_VAR_1" xfId="5141"/>
    <cellStyle name="_Gerencial SD-LD_Jan2008_TENDÊNCIA RET VAR CONTROLE_D_Ret_Fixa_VAR_2" xfId="5142"/>
    <cellStyle name="_Gerencial SD-LD_Jan2008_TENDÊNCIA RET VAR CONTROLE_D_Ret_Fixa_VAR_3" xfId="5143"/>
    <cellStyle name="_Gerencial SD-LD_Jan2008_TENDÊNCIA RET VAR CONTROLE_D_Ret_Fixa_VAR_4" xfId="5144"/>
    <cellStyle name="_Gerencial SD-LD_Jan2008_TENDÊNCIA RET VAR CONTROLE_D_Ret_Fixa_VAR_5" xfId="5145"/>
    <cellStyle name="_Gerencial SD-LD_Jan2008_TENDÊNCIA RET VAR CONTROLE_D_Ret_Fixa_VAR_6" xfId="5146"/>
    <cellStyle name="_Gerencial SD-LD_Jan2008_TENDÊNCIA RET VAR CONTROLE_D_Ret_Fixa_VAR_7" xfId="5147"/>
    <cellStyle name="_Gerencial SD-LD_Jan2008_TENDÊNCIA RET VAR CONTROLE_D_Ret_Fixa_VAR_8" xfId="5148"/>
    <cellStyle name="_Gerencial SD-LD_Jan2008_TENDÊNCIA RET VAR CONTROLE_Mig Ret 3G" xfId="5149"/>
    <cellStyle name="_Gerencial SD-LD_Jan2008_TENDÊNCIA RET VAR CONTROLE_Mig Ret 3G_1" xfId="5150"/>
    <cellStyle name="_Gerencial SD-LD_Jan2008_TENDÊNCIA RET VAR CONTROLE_Mig Ret 3G_2" xfId="5151"/>
    <cellStyle name="_Gerencial SD-LD_Jan2008_TENDÊNCIA RET VAR CONTROLE_Mig Ret 3G_3" xfId="5152"/>
    <cellStyle name="_Gerencial SD-LD_Jan2008_TENDÊNCIA RET VAR CONTROLE_Mig Ret 3G_4" xfId="5153"/>
    <cellStyle name="_Gerencial SD-LD_Jan2008_TENDÊNCIA RET VAR CONTROLE_Mig Ret 3G_5" xfId="5154"/>
    <cellStyle name="_Gerencial SD-LD_Jan2008_TENDÊNCIA RET VAR CONTROLE_Mig Ret 3G_6" xfId="5155"/>
    <cellStyle name="_Gerencial SD-LD_Jan2008_TENDÊNCIA RET VAR CONTROLE_Mig Ret 3G_7" xfId="5156"/>
    <cellStyle name="_Gerencial SD-LD_Jan2008_TENDÊNCIA RET VAR CONTROLE_Movel" xfId="5157"/>
    <cellStyle name="_Gerencial SD-LD_Jan2008_TENDÊNCIA RET VAR CONTROLE_Movel_1" xfId="5158"/>
    <cellStyle name="_Gerencial SD-LD_Jan2008_TENDÊNCIA RET VAR CONTROLE_Movel_2" xfId="5159"/>
    <cellStyle name="_Gerencial SD-LD_Jan2008_TENDÊNCIA RET VAR CONTROLE_Movel_3" xfId="5160"/>
    <cellStyle name="_Gerencial SD-LD_Jan2008_TENDÊNCIA RET VAR CONTROLE_Movel_4" xfId="5161"/>
    <cellStyle name="_Gerencial SD-LD_Jan2008_TENDÊNCIA RET VAR CONTROLE_Movel_5" xfId="5162"/>
    <cellStyle name="_Gerencial SD-LD_Jan2008_TENDÊNCIA RET VAR CONTROLE_Movel_6" xfId="5163"/>
    <cellStyle name="_Gerencial SD-LD_Jan2008_TENDÊNCIA RET VAR CONTROLE_Movel_7" xfId="5164"/>
    <cellStyle name="_Gerencial SD-LD_Jan2008_TENDÊNCIA RET VAR CONTROLE_Retenção" xfId="5165"/>
    <cellStyle name="_Gerencial SD-LD_Jan2008_TENDÊNCIA RET VAR VOL" xfId="5166"/>
    <cellStyle name="_Gerencial SD-LD_Jan2008_TENDÊNCIA RET VAR VOL 2" xfId="5167"/>
    <cellStyle name="_Gerencial SD-LD_Jan2008_TENDÊNCIA RET VAR VOL_Base" xfId="5168"/>
    <cellStyle name="_Gerencial SD-LD_Jan2008_TENDÊNCIA RET VAR VOL_D_Movel" xfId="5169"/>
    <cellStyle name="_Gerencial SD-LD_Jan2008_TENDÊNCIA RET VAR VOL_D_Ret_Fixa_EMP" xfId="5170"/>
    <cellStyle name="_Gerencial SD-LD_Jan2008_TENDÊNCIA RET VAR VOL_D_Ret_Fixa_EMP_1" xfId="5171"/>
    <cellStyle name="_Gerencial SD-LD_Jan2008_TENDÊNCIA RET VAR VOL_D_Ret_Fixa_EMP_2" xfId="5172"/>
    <cellStyle name="_Gerencial SD-LD_Jan2008_TENDÊNCIA RET VAR VOL_D_Ret_Fixa_EMP_3" xfId="5173"/>
    <cellStyle name="_Gerencial SD-LD_Jan2008_TENDÊNCIA RET VAR VOL_D_Ret_Fixa_EMP_4" xfId="5174"/>
    <cellStyle name="_Gerencial SD-LD_Jan2008_TENDÊNCIA RET VAR VOL_D_Ret_Fixa_EMP_5" xfId="5175"/>
    <cellStyle name="_Gerencial SD-LD_Jan2008_TENDÊNCIA RET VAR VOL_D_Ret_Fixa_EMP_6" xfId="5176"/>
    <cellStyle name="_Gerencial SD-LD_Jan2008_TENDÊNCIA RET VAR VOL_D_Ret_Fixa_EMP_7" xfId="5177"/>
    <cellStyle name="_Gerencial SD-LD_Jan2008_TENDÊNCIA RET VAR VOL_D_Ret_Fixa_EMP_8" xfId="5178"/>
    <cellStyle name="_Gerencial SD-LD_Jan2008_TENDÊNCIA RET VAR VOL_D_Ret_Fixa_VAR" xfId="5179"/>
    <cellStyle name="_Gerencial SD-LD_Jan2008_TENDÊNCIA RET VAR VOL_D_Ret_Fixa_VAR_1" xfId="5180"/>
    <cellStyle name="_Gerencial SD-LD_Jan2008_TENDÊNCIA RET VAR VOL_D_Ret_Fixa_VAR_2" xfId="5181"/>
    <cellStyle name="_Gerencial SD-LD_Jan2008_TENDÊNCIA RET VAR VOL_D_Ret_Fixa_VAR_3" xfId="5182"/>
    <cellStyle name="_Gerencial SD-LD_Jan2008_TENDÊNCIA RET VAR VOL_D_Ret_Fixa_VAR_4" xfId="5183"/>
    <cellStyle name="_Gerencial SD-LD_Jan2008_TENDÊNCIA RET VAR VOL_D_Ret_Fixa_VAR_5" xfId="5184"/>
    <cellStyle name="_Gerencial SD-LD_Jan2008_TENDÊNCIA RET VAR VOL_D_Ret_Fixa_VAR_6" xfId="5185"/>
    <cellStyle name="_Gerencial SD-LD_Jan2008_TENDÊNCIA RET VAR VOL_D_Ret_Fixa_VAR_7" xfId="5186"/>
    <cellStyle name="_Gerencial SD-LD_Jan2008_TENDÊNCIA RET VAR VOL_D_Ret_Fixa_VAR_8" xfId="5187"/>
    <cellStyle name="_Gerencial SD-LD_Jan2008_TENDÊNCIA RET VAR VOL_Mig Ret 3G" xfId="5188"/>
    <cellStyle name="_Gerencial SD-LD_Jan2008_TENDÊNCIA RET VAR VOL_Mig Ret 3G_1" xfId="5189"/>
    <cellStyle name="_Gerencial SD-LD_Jan2008_TENDÊNCIA RET VAR VOL_Mig Ret 3G_2" xfId="5190"/>
    <cellStyle name="_Gerencial SD-LD_Jan2008_TENDÊNCIA RET VAR VOL_Mig Ret 3G_3" xfId="5191"/>
    <cellStyle name="_Gerencial SD-LD_Jan2008_TENDÊNCIA RET VAR VOL_Mig Ret 3G_4" xfId="5192"/>
    <cellStyle name="_Gerencial SD-LD_Jan2008_TENDÊNCIA RET VAR VOL_Mig Ret 3G_5" xfId="5193"/>
    <cellStyle name="_Gerencial SD-LD_Jan2008_TENDÊNCIA RET VAR VOL_Mig Ret 3G_6" xfId="5194"/>
    <cellStyle name="_Gerencial SD-LD_Jan2008_TENDÊNCIA RET VAR VOL_Mig Ret 3G_7" xfId="5195"/>
    <cellStyle name="_Gerencial SD-LD_Jan2008_TENDÊNCIA RET VAR VOL_Movel" xfId="5196"/>
    <cellStyle name="_Gerencial SD-LD_Jan2008_TENDÊNCIA RET VAR VOL_Movel_1" xfId="5197"/>
    <cellStyle name="_Gerencial SD-LD_Jan2008_TENDÊNCIA RET VAR VOL_Movel_2" xfId="5198"/>
    <cellStyle name="_Gerencial SD-LD_Jan2008_TENDÊNCIA RET VAR VOL_Movel_3" xfId="5199"/>
    <cellStyle name="_Gerencial SD-LD_Jan2008_TENDÊNCIA RET VAR VOL_Movel_4" xfId="5200"/>
    <cellStyle name="_Gerencial SD-LD_Jan2008_TENDÊNCIA RET VAR VOL_Movel_5" xfId="5201"/>
    <cellStyle name="_Gerencial SD-LD_Jan2008_TENDÊNCIA RET VAR VOL_Movel_6" xfId="5202"/>
    <cellStyle name="_Gerencial SD-LD_Jan2008_TENDÊNCIA RET VAR VOL_Movel_7" xfId="5203"/>
    <cellStyle name="_Gerencial SD-LD_Jan2008_TENDÊNCIA RET VAR VOL_Retenção" xfId="5204"/>
    <cellStyle name="_Gerencial_RPM_Atendidas" xfId="5205"/>
    <cellStyle name="_Gerencial_RPM_Atendidas_Base" xfId="5206"/>
    <cellStyle name="_Gerencial_RPM_Atendidas_D_Ret_Fixa_EMP" xfId="5207"/>
    <cellStyle name="_Gerencial_RPM_Atendidas_D_Ret_Fixa_VAR" xfId="5208"/>
    <cellStyle name="_Gerencial_RPM_Atendidas_Mig Ret 3G" xfId="5209"/>
    <cellStyle name="_Gerencial_RPM_Atendidas_Movel" xfId="5210"/>
    <cellStyle name="_Gerencial_RPM_Jan2008" xfId="5211"/>
    <cellStyle name="_Gerencial_RPM_Jan2008_Base" xfId="5212"/>
    <cellStyle name="_Gerencial_RPM_Jan2008_D_Ret_Fixa_EMP" xfId="5213"/>
    <cellStyle name="_Gerencial_RPM_Jan2008_D_Ret_Fixa_VAR" xfId="5214"/>
    <cellStyle name="_Gerencial_RPM_Jan2008_Mig Ret 3G" xfId="5215"/>
    <cellStyle name="_Gerencial_RPM_Jan2008_Movel" xfId="5216"/>
    <cellStyle name="_GT-M8800DKAXEU" xfId="5217"/>
    <cellStyle name="_GT-M8800DKAXEU 2" xfId="5218"/>
    <cellStyle name="_GT-M8800DKAXEU 3" xfId="5219"/>
    <cellStyle name="_GT-M8800DKAXEU 4" xfId="5220"/>
    <cellStyle name="_GT-M8800DKAXEU 5" xfId="5221"/>
    <cellStyle name="_GT-M8800DKAXEU 6" xfId="5222"/>
    <cellStyle name="_GT-M8800DKAXEU 7" xfId="5223"/>
    <cellStyle name="_GT-M8800DKAXEU 8" xfId="5224"/>
    <cellStyle name="_GT-M8800DKAXEU 9" xfId="5225"/>
    <cellStyle name="_GT-S3600TSASER" xfId="5226"/>
    <cellStyle name="_GT-S3600TSASER 2" xfId="5227"/>
    <cellStyle name="_GT-S3600TSASER 3" xfId="5228"/>
    <cellStyle name="_GT-S3600TSASER 4" xfId="5229"/>
    <cellStyle name="_GT-S3600TSASER 5" xfId="5230"/>
    <cellStyle name="_GT-S3600TSASER 6" xfId="5231"/>
    <cellStyle name="_GT-S3600TSASER 7" xfId="5232"/>
    <cellStyle name="_GT-S3600TSASER 8" xfId="5233"/>
    <cellStyle name="_GT-S3600TSASER 9" xfId="5234"/>
    <cellStyle name="_GVE추진현황(_04~_05年)-master_41184" xfId="5235"/>
    <cellStyle name="_GVE추진현황(_04~_05年)-master_41184_(확인) '06年 협력사 GVE_Master File_" xfId="5236"/>
    <cellStyle name="_GVE추진현황(_04~_05年)-master_41184_(확인) '06年 협력사 GVE_Master File__★ '07~'08年 GVE 과제 현황_080502" xfId="5237"/>
    <cellStyle name="_GVE추진현황(_04~_05年)-master_41184_(확인) '06年 협력사 GVE_Master File__★ '07年 GVE 과제 현황_080407" xfId="5238"/>
    <cellStyle name="_GVE추진현황(_04~_05年)-master_41184_06년과제(협력사+GBM)" xfId="5239"/>
    <cellStyle name="_GVE추진현황(_04~_05年)-master_41184_06년과제(협력사+GBM)_★ '07~'08年 GVE 과제 현황_080502" xfId="5240"/>
    <cellStyle name="_GVE추진현황(_04~_05年)-master_41184_06년과제(협력사+GBM)_★ '07年 GVE 과제 현황_080407" xfId="5241"/>
    <cellStyle name="_GVE추진현황(_04~_05年)-master_41184_06년과제_전체" xfId="5242"/>
    <cellStyle name="_GVE추진현황(_04~_05年)-master_41184_06년과제_전체_★ '07~'08年 GVE 과제 현황_080502" xfId="5243"/>
    <cellStyle name="_GVE추진현황(_04~_05年)-master_41184_06년과제_전체_★ '07年 GVE 과제 현황_080407" xfId="5244"/>
    <cellStyle name="_GVE추진현황(_04~_05年)-master_41184_'06年 협력사 GVE_Master File" xfId="5245"/>
    <cellStyle name="_GVE추진현황(_04~_05年)-master_41184_'06年 협력사 GVE_Master File_★ '07~'08年 GVE 과제 현황_080502" xfId="5246"/>
    <cellStyle name="_GVE추진현황(_04~_05年)-master_41184_'06年 협력사 GVE_Master File_★ '07年 GVE 과제 현황_080407" xfId="5247"/>
    <cellStyle name="_GVE추진현황(_04~_05年)-master_41184_'07年 추진과제 적용현황_080214(취합)" xfId="5248"/>
    <cellStyle name="_GVE추진현황(_04~_05年)-master_41184_'07年 추진과제 적용현황_080214(취합)_★ '07~'08年 GVE 과제 현황_080502" xfId="5249"/>
    <cellStyle name="_GVE추진현황(_04~_05年)-master_41184_'07年 추진과제 적용현황_080214(취합)_★ '07年 GVE 과제 현황_080407" xfId="5250"/>
    <cellStyle name="_GVE추진현황(_04~_05年)-master_41184_'07年 협력사 GVE 과제 LIST_20071029" xfId="5251"/>
    <cellStyle name="_GVE추진현황(_04~_05年)-master_41184_'07年 협력사 GVE 과제 LIST_20071029_★ '07~'08年 GVE 과제 현황_080502" xfId="5252"/>
    <cellStyle name="_GVE추진현황(_04~_05年)-master_41184_'07年 협력사 GVE 과제 LIST_20071029_★ '07年 GVE 과제 현황_080407" xfId="5253"/>
    <cellStyle name="_GVE추진현황(_04~_05年)-master_41184_'07年 협력사 GVE 과제 관리" xfId="5254"/>
    <cellStyle name="_GVE추진현황(_04~_05年)-master_41184_'07年 협력사 GVE 과제 관리_★ '07~'08年 GVE 과제 현황_080502" xfId="5255"/>
    <cellStyle name="_GVE추진현황(_04~_05年)-master_41184_'07年 협력사 GVE 과제 관리_★ '07年 GVE 과제 현황_080407" xfId="5256"/>
    <cellStyle name="_GVE추진현황(_04~_05年)-master_41184_'07年 협력사 GVE 과제 관리_20070712" xfId="5257"/>
    <cellStyle name="_GVE추진현황(_04~_05年)-master_41184_'07年 협력사 GVE 과제 관리_20070712_★ '07~'08年 GVE 과제 현황_080502" xfId="5258"/>
    <cellStyle name="_GVE추진현황(_04~_05年)-master_41184_'07年 협력사 GVE 과제 관리_20070712_★ '07年 GVE 과제 현황_080407" xfId="5259"/>
    <cellStyle name="_GVE추진현황(_04~_05年)-master_41184_'07年 협력사 GVE 과제 관리_20070723" xfId="5260"/>
    <cellStyle name="_GVE추진현황(_04~_05年)-master_41184_'07年 협력사 GVE 과제 관리_20070723_★ '07~'08年 GVE 과제 현황_080502" xfId="5261"/>
    <cellStyle name="_GVE추진현황(_04~_05年)-master_41184_'07年 협력사 GVE 과제 관리_20070723_★ '07年 GVE 과제 현황_080407" xfId="5262"/>
    <cellStyle name="_GVE추진현황(_04~_05年)-master_41184_'07年 협력사 GVE 과제 관리_20070821" xfId="5263"/>
    <cellStyle name="_GVE추진현황(_04~_05年)-master_41184_'07年 협력사 GVE 과제 관리_20070821_★ '07~'08年 GVE 과제 현황_080502" xfId="5264"/>
    <cellStyle name="_GVE추진현황(_04~_05年)-master_41184_'07年 협력사 GVE 과제 관리_20070821_★ '07年 GVE 과제 현황_080407" xfId="5265"/>
    <cellStyle name="_GVE추진현황(_04~_05年)-master_41184_'07年 협력사 GVE 과제 관리_20071017" xfId="5266"/>
    <cellStyle name="_GVE추진현황(_04~_05年)-master_41184_'07年 협력사 GVE 과제 관리_20071017_★ '07~'08年 GVE 과제 현황_080502" xfId="5267"/>
    <cellStyle name="_GVE추진현황(_04~_05年)-master_41184_'07年 협력사 GVE 과제 관리_20071017_★ '07年 GVE 과제 현황_080407" xfId="5268"/>
    <cellStyle name="_GVE추진현황(_04~_05年)-master_41184_'07年 협력사 GVE 과제 진행현황" xfId="5269"/>
    <cellStyle name="_GVE추진현황(_04~_05年)-master_41184_'07年 협력사 GVE 과제 진행현황_★ '07~'08年 GVE 과제 현황_080502" xfId="5270"/>
    <cellStyle name="_GVE추진현황(_04~_05年)-master_41184_'07年 협력사 GVE 과제 진행현황_★ '07年 GVE 과제 현황_080407" xfId="5271"/>
    <cellStyle name="_GVE추진현황(_04~_05年)-master_41184_GVE추진과제현황_Master(통합)" xfId="5272"/>
    <cellStyle name="_GVE추진현황(_04~_05年)-master_41184_GVE추진과제현황_Master(통합)_★ '07~'08年 GVE 과제 현황_080502" xfId="5273"/>
    <cellStyle name="_GVE추진현황(_04~_05年)-master_41184_GVE추진과제현황_Master(통합)_★ '07年 GVE 과제 현황_080407" xfId="5274"/>
    <cellStyle name="_GVE추진현황(_04~_05年)-master_41184_GVE추진과제현황_Master(통합)_41184" xfId="5275"/>
    <cellStyle name="_GVE추진현황(_04~_05年)-master_41184_GVE추진과제현황_Master(통합)_41184_★ '07~'08年 GVE 과제 현황_080502" xfId="5276"/>
    <cellStyle name="_GVE추진현황(_04~_05年)-master_41184_GVE추진과제현황_Master(통합)_41184_★ '07年 GVE 과제 현황_080407" xfId="5277"/>
    <cellStyle name="_GVE추진현황('04~'05年)-0216" xfId="5278"/>
    <cellStyle name="_GVE추진현황('04~'05年)-0216_(확인) '06年 협력사 GVE_Master File_" xfId="5279"/>
    <cellStyle name="_GVE추진현황('04~'05年)-0216_(확인) '06年 협력사 GVE_Master File__★ '07~'08年 GVE 과제 현황_080502" xfId="5280"/>
    <cellStyle name="_GVE추진현황('04~'05年)-0216_(확인) '06年 협력사 GVE_Master File__★ '07年 GVE 과제 현황_080407" xfId="5281"/>
    <cellStyle name="_GVE추진현황('04~'05年)-0216_06년과제(협력사+GBM)" xfId="5282"/>
    <cellStyle name="_GVE추진현황('04~'05年)-0216_06년과제(협력사+GBM)_★ '07~'08年 GVE 과제 현황_080502" xfId="5283"/>
    <cellStyle name="_GVE추진현황('04~'05年)-0216_06년과제(협력사+GBM)_★ '07年 GVE 과제 현황_080407" xfId="5284"/>
    <cellStyle name="_GVE추진현황('04~'05年)-0216_06년과제_전체" xfId="5285"/>
    <cellStyle name="_GVE추진현황('04~'05年)-0216_06년과제_전체_★ '07~'08年 GVE 과제 현황_080502" xfId="5286"/>
    <cellStyle name="_GVE추진현황('04~'05年)-0216_06년과제_전체_★ '07年 GVE 과제 현황_080407" xfId="5287"/>
    <cellStyle name="_GVE추진현황('04~'05年)-0216_'06年 협력사 GVE_Master File" xfId="5288"/>
    <cellStyle name="_GVE추진현황('04~'05年)-0216_'06年 협력사 GVE_Master File_★ '07~'08年 GVE 과제 현황_080502" xfId="5289"/>
    <cellStyle name="_GVE추진현황('04~'05年)-0216_'06年 협력사 GVE_Master File_★ '07年 GVE 과제 현황_080407" xfId="5290"/>
    <cellStyle name="_GVE추진현황('04~'05年)-0216_'07年 추진과제 적용현황_080214(취합)" xfId="5291"/>
    <cellStyle name="_GVE추진현황('04~'05年)-0216_'07年 추진과제 적용현황_080214(취합)_★ '07~'08年 GVE 과제 현황_080502" xfId="5292"/>
    <cellStyle name="_GVE추진현황('04~'05年)-0216_'07年 추진과제 적용현황_080214(취합)_★ '07年 GVE 과제 현황_080407" xfId="5293"/>
    <cellStyle name="_GVE추진현황('04~'05年)-0216_'07年 협력사 GVE 과제 LIST_20071029" xfId="5294"/>
    <cellStyle name="_GVE추진현황('04~'05年)-0216_'07年 협력사 GVE 과제 LIST_20071029_★ '07~'08年 GVE 과제 현황_080502" xfId="5295"/>
    <cellStyle name="_GVE추진현황('04~'05年)-0216_'07年 협력사 GVE 과제 LIST_20071029_★ '07年 GVE 과제 현황_080407" xfId="5296"/>
    <cellStyle name="_GVE추진현황('04~'05年)-0216_'07年 협력사 GVE 과제 관리" xfId="5297"/>
    <cellStyle name="_GVE추진현황('04~'05年)-0216_'07年 협력사 GVE 과제 관리_★ '07~'08年 GVE 과제 현황_080502" xfId="5298"/>
    <cellStyle name="_GVE추진현황('04~'05年)-0216_'07年 협력사 GVE 과제 관리_★ '07年 GVE 과제 현황_080407" xfId="5299"/>
    <cellStyle name="_GVE추진현황('04~'05年)-0216_'07年 협력사 GVE 과제 관리_20070712" xfId="5300"/>
    <cellStyle name="_GVE추진현황('04~'05年)-0216_'07年 협력사 GVE 과제 관리_20070712_★ '07~'08年 GVE 과제 현황_080502" xfId="5301"/>
    <cellStyle name="_GVE추진현황('04~'05年)-0216_'07年 협력사 GVE 과제 관리_20070712_★ '07年 GVE 과제 현황_080407" xfId="5302"/>
    <cellStyle name="_GVE추진현황('04~'05年)-0216_'07年 협력사 GVE 과제 관리_20070723" xfId="5303"/>
    <cellStyle name="_GVE추진현황('04~'05年)-0216_'07年 협력사 GVE 과제 관리_20070723_★ '07~'08年 GVE 과제 현황_080502" xfId="5304"/>
    <cellStyle name="_GVE추진현황('04~'05年)-0216_'07年 협력사 GVE 과제 관리_20070723_★ '07年 GVE 과제 현황_080407" xfId="5305"/>
    <cellStyle name="_GVE추진현황('04~'05年)-0216_'07年 협력사 GVE 과제 관리_20070821" xfId="5306"/>
    <cellStyle name="_GVE추진현황('04~'05年)-0216_'07年 협력사 GVE 과제 관리_20070821_★ '07~'08年 GVE 과제 현황_080502" xfId="5307"/>
    <cellStyle name="_GVE추진현황('04~'05年)-0216_'07年 협력사 GVE 과제 관리_20070821_★ '07年 GVE 과제 현황_080407" xfId="5308"/>
    <cellStyle name="_GVE추진현황('04~'05年)-0216_'07年 협력사 GVE 과제 관리_20071017" xfId="5309"/>
    <cellStyle name="_GVE추진현황('04~'05年)-0216_'07年 협력사 GVE 과제 관리_20071017_★ '07~'08年 GVE 과제 현황_080502" xfId="5310"/>
    <cellStyle name="_GVE추진현황('04~'05年)-0216_'07年 협력사 GVE 과제 관리_20071017_★ '07年 GVE 과제 현황_080407" xfId="5311"/>
    <cellStyle name="_GVE추진현황('04~'05年)-0216_'07年 협력사 GVE 과제 진행현황" xfId="5312"/>
    <cellStyle name="_GVE추진현황('04~'05年)-0216_'07年 협력사 GVE 과제 진행현황_★ '07~'08年 GVE 과제 현황_080502" xfId="5313"/>
    <cellStyle name="_GVE추진현황('04~'05年)-0216_'07年 협력사 GVE 과제 진행현황_★ '07年 GVE 과제 현황_080407" xfId="5314"/>
    <cellStyle name="_GVE추진현황('04~'05年)-0216_GVE추진과제현황_Master(통합)" xfId="5315"/>
    <cellStyle name="_GVE추진현황('04~'05年)-0216_GVE추진과제현황_Master(통합)_★ '07~'08年 GVE 과제 현황_080502" xfId="5316"/>
    <cellStyle name="_GVE추진현황('04~'05年)-0216_GVE추진과제현황_Master(통합)_★ '07年 GVE 과제 현황_080407" xfId="5317"/>
    <cellStyle name="_GVE추진현황('04~'05年)-0216_GVE추진과제현황_Master(통합)_41184" xfId="5318"/>
    <cellStyle name="_GVE추진현황('04~'05年)-0216_GVE추진과제현황_Master(통합)_41184_★ '07~'08年 GVE 과제 현황_080502" xfId="5319"/>
    <cellStyle name="_GVE추진현황('04~'05年)-0216_GVE추진과제현황_Master(통합)_41184_★ '07年 GVE 과제 현황_080407" xfId="5320"/>
    <cellStyle name="_GVE추진현황('04~'05年)-060323" xfId="5321"/>
    <cellStyle name="_GVE추진현황('04~'05年)-060323_(확인) '06年 협력사 GVE_Master File_" xfId="5322"/>
    <cellStyle name="_GVE추진현황('04~'05年)-060323_(확인) '06年 협력사 GVE_Master File__★ '07~'08年 GVE 과제 현황_080502" xfId="5323"/>
    <cellStyle name="_GVE추진현황('04~'05年)-060323_(확인) '06年 협력사 GVE_Master File__★ '07年 GVE 과제 현황_080407" xfId="5324"/>
    <cellStyle name="_GVE추진현황('04~'05年)-060323_06년과제(협력사+GBM)" xfId="5325"/>
    <cellStyle name="_GVE추진현황('04~'05年)-060323_06년과제(협력사+GBM)_★ '07~'08年 GVE 과제 현황_080502" xfId="5326"/>
    <cellStyle name="_GVE추진현황('04~'05年)-060323_06년과제(협력사+GBM)_★ '07年 GVE 과제 현황_080407" xfId="5327"/>
    <cellStyle name="_GVE추진현황('04~'05年)-060323_06년과제_전체" xfId="5328"/>
    <cellStyle name="_GVE추진현황('04~'05年)-060323_06년과제_전체_★ '07~'08年 GVE 과제 현황_080502" xfId="5329"/>
    <cellStyle name="_GVE추진현황('04~'05年)-060323_06년과제_전체_★ '07年 GVE 과제 현황_080407" xfId="5330"/>
    <cellStyle name="_GVE추진현황('04~'05年)-060323_'06年 협력사 GVE_Master File" xfId="5331"/>
    <cellStyle name="_GVE추진현황('04~'05年)-060323_'06年 협력사 GVE_Master File_★ '07~'08年 GVE 과제 현황_080502" xfId="5332"/>
    <cellStyle name="_GVE추진현황('04~'05年)-060323_'06年 협력사 GVE_Master File_★ '07年 GVE 과제 현황_080407" xfId="5333"/>
    <cellStyle name="_GVE추진현황('04~'05年)-060323_'07年 추진과제 적용현황_080214(취합)" xfId="5334"/>
    <cellStyle name="_GVE추진현황('04~'05年)-060323_'07年 추진과제 적용현황_080214(취합)_★ '07~'08年 GVE 과제 현황_080502" xfId="5335"/>
    <cellStyle name="_GVE추진현황('04~'05年)-060323_'07年 추진과제 적용현황_080214(취합)_★ '07年 GVE 과제 현황_080407" xfId="5336"/>
    <cellStyle name="_GVE추진현황('04~'05年)-060323_'07年 협력사 GVE 과제 LIST_20071029" xfId="5337"/>
    <cellStyle name="_GVE추진현황('04~'05年)-060323_'07年 협력사 GVE 과제 LIST_20071029_★ '07~'08年 GVE 과제 현황_080502" xfId="5338"/>
    <cellStyle name="_GVE추진현황('04~'05年)-060323_'07年 협력사 GVE 과제 LIST_20071029_★ '07年 GVE 과제 현황_080407" xfId="5339"/>
    <cellStyle name="_GVE추진현황('04~'05年)-060323_'07年 협력사 GVE 과제 관리" xfId="5340"/>
    <cellStyle name="_GVE추진현황('04~'05年)-060323_'07年 협력사 GVE 과제 관리_★ '07~'08年 GVE 과제 현황_080502" xfId="5341"/>
    <cellStyle name="_GVE추진현황('04~'05年)-060323_'07年 협력사 GVE 과제 관리_★ '07年 GVE 과제 현황_080407" xfId="5342"/>
    <cellStyle name="_GVE추진현황('04~'05年)-060323_'07年 협력사 GVE 과제 관리_20070712" xfId="5343"/>
    <cellStyle name="_GVE추진현황('04~'05年)-060323_'07年 협력사 GVE 과제 관리_20070712_★ '07~'08年 GVE 과제 현황_080502" xfId="5344"/>
    <cellStyle name="_GVE추진현황('04~'05年)-060323_'07年 협력사 GVE 과제 관리_20070712_★ '07年 GVE 과제 현황_080407" xfId="5345"/>
    <cellStyle name="_GVE추진현황('04~'05年)-060323_'07年 협력사 GVE 과제 관리_20070723" xfId="5346"/>
    <cellStyle name="_GVE추진현황('04~'05年)-060323_'07年 협력사 GVE 과제 관리_20070723_★ '07~'08年 GVE 과제 현황_080502" xfId="5347"/>
    <cellStyle name="_GVE추진현황('04~'05年)-060323_'07年 협력사 GVE 과제 관리_20070723_★ '07年 GVE 과제 현황_080407" xfId="5348"/>
    <cellStyle name="_GVE추진현황('04~'05年)-060323_'07年 협력사 GVE 과제 관리_20070821" xfId="5349"/>
    <cellStyle name="_GVE추진현황('04~'05年)-060323_'07年 협력사 GVE 과제 관리_20070821_★ '07~'08年 GVE 과제 현황_080502" xfId="5350"/>
    <cellStyle name="_GVE추진현황('04~'05年)-060323_'07年 협력사 GVE 과제 관리_20070821_★ '07年 GVE 과제 현황_080407" xfId="5351"/>
    <cellStyle name="_GVE추진현황('04~'05年)-060323_'07年 협력사 GVE 과제 관리_20071017" xfId="5352"/>
    <cellStyle name="_GVE추진현황('04~'05年)-060323_'07年 협력사 GVE 과제 관리_20071017_★ '07~'08年 GVE 과제 현황_080502" xfId="5353"/>
    <cellStyle name="_GVE추진현황('04~'05年)-060323_'07年 협력사 GVE 과제 관리_20071017_★ '07年 GVE 과제 현황_080407" xfId="5354"/>
    <cellStyle name="_GVE추진현황('04~'05年)-060323_'07年 협력사 GVE 과제 진행현황" xfId="5355"/>
    <cellStyle name="_GVE추진현황('04~'05年)-060323_'07年 협력사 GVE 과제 진행현황_★ '07~'08年 GVE 과제 현황_080502" xfId="5356"/>
    <cellStyle name="_GVE추진현황('04~'05年)-060323_'07年 협력사 GVE 과제 진행현황_★ '07年 GVE 과제 현황_080407" xfId="5357"/>
    <cellStyle name="_GVE추진현황('04~'05年)-060323_GVE추진과제현황_Master(통합)" xfId="5358"/>
    <cellStyle name="_GVE추진현황('04~'05年)-060323_GVE추진과제현황_Master(통합)_★ '07~'08年 GVE 과제 현황_080502" xfId="5359"/>
    <cellStyle name="_GVE추진현황('04~'05年)-060323_GVE추진과제현황_Master(통합)_★ '07年 GVE 과제 현황_080407" xfId="5360"/>
    <cellStyle name="_GVE추진현황('04~'05年)-060323_GVE추진과제현황_Master(통합)_41184" xfId="5361"/>
    <cellStyle name="_GVE추진현황('04~'05年)-060323_GVE추진과제현황_Master(통합)_41184_★ '07~'08年 GVE 과제 현황_080502" xfId="5362"/>
    <cellStyle name="_GVE추진현황('04~'05年)-060323_GVE추진과제현황_Master(통합)_41184_★ '07年 GVE 과제 현황_080407" xfId="5363"/>
    <cellStyle name="_GVE추진현황('04~'05年)-master" xfId="5364"/>
    <cellStyle name="_GVE추진현황('04~'05年)-master_(확인) '06年 협력사 GVE_Master File_" xfId="5365"/>
    <cellStyle name="_GVE추진현황('04~'05年)-master_(확인) '06年 협력사 GVE_Master File__★ '07~'08年 GVE 과제 현황_080502" xfId="5366"/>
    <cellStyle name="_GVE추진현황('04~'05年)-master_(확인) '06年 협력사 GVE_Master File__★ '07年 GVE 과제 현황_080407" xfId="5367"/>
    <cellStyle name="_GVE추진현황('04~'05年)-master_06년과제(협력사+GBM)" xfId="5368"/>
    <cellStyle name="_GVE추진현황('04~'05年)-master_06년과제(협력사+GBM)_★ '07~'08年 GVE 과제 현황_080502" xfId="5369"/>
    <cellStyle name="_GVE추진현황('04~'05年)-master_06년과제(협력사+GBM)_★ '07年 GVE 과제 현황_080407" xfId="5370"/>
    <cellStyle name="_GVE추진현황('04~'05年)-master_06년과제_전체" xfId="5371"/>
    <cellStyle name="_GVE추진현황('04~'05年)-master_06년과제_전체_★ '07~'08年 GVE 과제 현황_080502" xfId="5372"/>
    <cellStyle name="_GVE추진현황('04~'05年)-master_06년과제_전체_★ '07年 GVE 과제 현황_080407" xfId="5373"/>
    <cellStyle name="_GVE추진현황('04~'05年)-master_'06年 협력사 GVE_Master File" xfId="5374"/>
    <cellStyle name="_GVE추진현황('04~'05年)-master_'06年 협력사 GVE_Master File_★ '07~'08年 GVE 과제 현황_080502" xfId="5375"/>
    <cellStyle name="_GVE추진현황('04~'05年)-master_'06年 협력사 GVE_Master File_★ '07年 GVE 과제 현황_080407" xfId="5376"/>
    <cellStyle name="_GVE추진현황('04~'05年)-master_'07年 추진과제 적용현황_080214(취합)" xfId="5377"/>
    <cellStyle name="_GVE추진현황('04~'05年)-master_'07年 추진과제 적용현황_080214(취합)_★ '07~'08年 GVE 과제 현황_080502" xfId="5378"/>
    <cellStyle name="_GVE추진현황('04~'05年)-master_'07年 추진과제 적용현황_080214(취합)_★ '07年 GVE 과제 현황_080407" xfId="5379"/>
    <cellStyle name="_GVE추진현황('04~'05年)-master_'07年 협력사 GVE 과제 LIST_20071029" xfId="5380"/>
    <cellStyle name="_GVE추진현황('04~'05年)-master_'07年 협력사 GVE 과제 LIST_20071029_★ '07~'08年 GVE 과제 현황_080502" xfId="5381"/>
    <cellStyle name="_GVE추진현황('04~'05年)-master_'07年 협력사 GVE 과제 LIST_20071029_★ '07年 GVE 과제 현황_080407" xfId="5382"/>
    <cellStyle name="_GVE추진현황('04~'05年)-master_'07年 협력사 GVE 과제 관리" xfId="5383"/>
    <cellStyle name="_GVE추진현황('04~'05年)-master_'07年 협력사 GVE 과제 관리_★ '07~'08年 GVE 과제 현황_080502" xfId="5384"/>
    <cellStyle name="_GVE추진현황('04~'05年)-master_'07年 협력사 GVE 과제 관리_★ '07年 GVE 과제 현황_080407" xfId="5385"/>
    <cellStyle name="_GVE추진현황('04~'05年)-master_'07年 협력사 GVE 과제 관리_20070712" xfId="5386"/>
    <cellStyle name="_GVE추진현황('04~'05年)-master_'07年 협력사 GVE 과제 관리_20070712_★ '07~'08年 GVE 과제 현황_080502" xfId="5387"/>
    <cellStyle name="_GVE추진현황('04~'05年)-master_'07年 협력사 GVE 과제 관리_20070712_★ '07年 GVE 과제 현황_080407" xfId="5388"/>
    <cellStyle name="_GVE추진현황('04~'05年)-master_'07年 협력사 GVE 과제 관리_20070723" xfId="5389"/>
    <cellStyle name="_GVE추진현황('04~'05年)-master_'07年 협력사 GVE 과제 관리_20070723_★ '07~'08年 GVE 과제 현황_080502" xfId="5390"/>
    <cellStyle name="_GVE추진현황('04~'05年)-master_'07年 협력사 GVE 과제 관리_20070723_★ '07年 GVE 과제 현황_080407" xfId="5391"/>
    <cellStyle name="_GVE추진현황('04~'05年)-master_'07年 협력사 GVE 과제 관리_20070821" xfId="5392"/>
    <cellStyle name="_GVE추진현황('04~'05年)-master_'07年 협력사 GVE 과제 관리_20070821_★ '07~'08年 GVE 과제 현황_080502" xfId="5393"/>
    <cellStyle name="_GVE추진현황('04~'05年)-master_'07年 협력사 GVE 과제 관리_20070821_★ '07年 GVE 과제 현황_080407" xfId="5394"/>
    <cellStyle name="_GVE추진현황('04~'05年)-master_'07年 협력사 GVE 과제 관리_20071017" xfId="5395"/>
    <cellStyle name="_GVE추진현황('04~'05年)-master_'07年 협력사 GVE 과제 관리_20071017_★ '07~'08年 GVE 과제 현황_080502" xfId="5396"/>
    <cellStyle name="_GVE추진현황('04~'05年)-master_'07年 협력사 GVE 과제 관리_20071017_★ '07年 GVE 과제 현황_080407" xfId="5397"/>
    <cellStyle name="_GVE추진현황('04~'05年)-master_'07年 협력사 GVE 과제 진행현황" xfId="5398"/>
    <cellStyle name="_GVE추진현황('04~'05年)-master_'07年 협력사 GVE 과제 진행현황_★ '07~'08年 GVE 과제 현황_080502" xfId="5399"/>
    <cellStyle name="_GVE추진현황('04~'05年)-master_'07年 협력사 GVE 과제 진행현황_★ '07年 GVE 과제 현황_080407" xfId="5400"/>
    <cellStyle name="_GVE추진현황('04~'05年)-master_GVE추진과제현황_Master(통합)" xfId="5401"/>
    <cellStyle name="_GVE추진현황('04~'05年)-master_GVE추진과제현황_Master(통합)_★ '07~'08年 GVE 과제 현황_080502" xfId="5402"/>
    <cellStyle name="_GVE추진현황('04~'05年)-master_GVE추진과제현황_Master(통합)_★ '07年 GVE 과제 현황_080407" xfId="5403"/>
    <cellStyle name="_GVE추진현황('04~'05年)-master_GVE추진과제현황_Master(통합)_41184" xfId="5404"/>
    <cellStyle name="_GVE추진현황('04~'05年)-master_GVE추진과제현황_Master(통합)_41184_★ '07~'08年 GVE 과제 현황_080502" xfId="5405"/>
    <cellStyle name="_GVE추진현황('04~'05年)-master_GVE추진과제현황_Master(통합)_41184_★ '07年 GVE 과제 현황_080407" xfId="5406"/>
    <cellStyle name="_GVE추진현황('04~'05年)-원본" xfId="5407"/>
    <cellStyle name="_GVE추진현황('04~'05年)-원본_(확인) '06年 협력사 GVE_Master File_" xfId="5408"/>
    <cellStyle name="_GVE추진현황('04~'05年)-원본_(확인) '06年 협력사 GVE_Master File__★ '07~'08年 GVE 과제 현황_080502" xfId="5409"/>
    <cellStyle name="_GVE추진현황('04~'05年)-원본_(확인) '06年 협력사 GVE_Master File__★ '07年 GVE 과제 현황_080407" xfId="5410"/>
    <cellStyle name="_GVE추진현황('04~'05年)-원본_06년과제(협력사+GBM)" xfId="5411"/>
    <cellStyle name="_GVE추진현황('04~'05年)-원본_06년과제(협력사+GBM)_★ '07~'08年 GVE 과제 현황_080502" xfId="5412"/>
    <cellStyle name="_GVE추진현황('04~'05年)-원본_06년과제(협력사+GBM)_★ '07年 GVE 과제 현황_080407" xfId="5413"/>
    <cellStyle name="_GVE추진현황('04~'05年)-원본_06년과제_전체" xfId="5414"/>
    <cellStyle name="_GVE추진현황('04~'05年)-원본_06년과제_전체_★ '07~'08年 GVE 과제 현황_080502" xfId="5415"/>
    <cellStyle name="_GVE추진현황('04~'05年)-원본_06년과제_전체_★ '07年 GVE 과제 현황_080407" xfId="5416"/>
    <cellStyle name="_GVE추진현황('04~'05年)-원본_'06年 협력사 GVE_Master File" xfId="5417"/>
    <cellStyle name="_GVE추진현황('04~'05年)-원본_'06年 협력사 GVE_Master File_★ '07~'08年 GVE 과제 현황_080502" xfId="5418"/>
    <cellStyle name="_GVE추진현황('04~'05年)-원본_'06年 협력사 GVE_Master File_★ '07年 GVE 과제 현황_080407" xfId="5419"/>
    <cellStyle name="_GVE추진현황('04~'05年)-원본_'07年 추진과제 적용현황_080214(취합)" xfId="5420"/>
    <cellStyle name="_GVE추진현황('04~'05年)-원본_'07年 추진과제 적용현황_080214(취합)_★ '07~'08年 GVE 과제 현황_080502" xfId="5421"/>
    <cellStyle name="_GVE추진현황('04~'05年)-원본_'07年 추진과제 적용현황_080214(취합)_★ '07年 GVE 과제 현황_080407" xfId="5422"/>
    <cellStyle name="_GVE추진현황('04~'05年)-원본_'07年 협력사 GVE 과제 LIST_20071029" xfId="5423"/>
    <cellStyle name="_GVE추진현황('04~'05年)-원본_'07年 협력사 GVE 과제 LIST_20071029_★ '07~'08年 GVE 과제 현황_080502" xfId="5424"/>
    <cellStyle name="_GVE추진현황('04~'05年)-원본_'07年 협력사 GVE 과제 LIST_20071029_★ '07年 GVE 과제 현황_080407" xfId="5425"/>
    <cellStyle name="_GVE추진현황('04~'05年)-원본_'07年 협력사 GVE 과제 관리" xfId="5426"/>
    <cellStyle name="_GVE추진현황('04~'05年)-원본_'07年 협력사 GVE 과제 관리_★ '07~'08年 GVE 과제 현황_080502" xfId="5427"/>
    <cellStyle name="_GVE추진현황('04~'05年)-원본_'07年 협력사 GVE 과제 관리_★ '07年 GVE 과제 현황_080407" xfId="5428"/>
    <cellStyle name="_GVE추진현황('04~'05年)-원본_'07年 협력사 GVE 과제 관리_20070712" xfId="5429"/>
    <cellStyle name="_GVE추진현황('04~'05年)-원본_'07年 협력사 GVE 과제 관리_20070712_★ '07~'08年 GVE 과제 현황_080502" xfId="5430"/>
    <cellStyle name="_GVE추진현황('04~'05年)-원본_'07年 협력사 GVE 과제 관리_20070712_★ '07年 GVE 과제 현황_080407" xfId="5431"/>
    <cellStyle name="_GVE추진현황('04~'05年)-원본_'07年 협력사 GVE 과제 관리_20070723" xfId="5432"/>
    <cellStyle name="_GVE추진현황('04~'05年)-원본_'07年 협력사 GVE 과제 관리_20070723_★ '07~'08年 GVE 과제 현황_080502" xfId="5433"/>
    <cellStyle name="_GVE추진현황('04~'05年)-원본_'07年 협력사 GVE 과제 관리_20070723_★ '07年 GVE 과제 현황_080407" xfId="5434"/>
    <cellStyle name="_GVE추진현황('04~'05年)-원본_'07年 협력사 GVE 과제 관리_20070821" xfId="5435"/>
    <cellStyle name="_GVE추진현황('04~'05年)-원본_'07年 협력사 GVE 과제 관리_20070821_★ '07~'08年 GVE 과제 현황_080502" xfId="5436"/>
    <cellStyle name="_GVE추진현황('04~'05年)-원본_'07年 협력사 GVE 과제 관리_20070821_★ '07年 GVE 과제 현황_080407" xfId="5437"/>
    <cellStyle name="_GVE추진현황('04~'05年)-원본_'07年 협력사 GVE 과제 관리_20071017" xfId="5438"/>
    <cellStyle name="_GVE추진현황('04~'05年)-원본_'07年 협력사 GVE 과제 관리_20071017_★ '07~'08年 GVE 과제 현황_080502" xfId="5439"/>
    <cellStyle name="_GVE추진현황('04~'05年)-원본_'07年 협력사 GVE 과제 관리_20071017_★ '07年 GVE 과제 현황_080407" xfId="5440"/>
    <cellStyle name="_GVE추진현황('04~'05年)-원본_'07年 협력사 GVE 과제 진행현황" xfId="5441"/>
    <cellStyle name="_GVE추진현황('04~'05年)-원본_'07年 협력사 GVE 과제 진행현황_★ '07~'08年 GVE 과제 현황_080502" xfId="5442"/>
    <cellStyle name="_GVE추진현황('04~'05年)-원본_'07年 협력사 GVE 과제 진행현황_★ '07年 GVE 과제 현황_080407" xfId="5443"/>
    <cellStyle name="_GVE추진현황('04~'05年)-원본_GVE추진과제현황_Master(통합)" xfId="5444"/>
    <cellStyle name="_GVE추진현황('04~'05年)-원본_GVE추진과제현황_Master(통합)_★ '07~'08年 GVE 과제 현황_080502" xfId="5445"/>
    <cellStyle name="_GVE추진현황('04~'05年)-원본_GVE추진과제현황_Master(통합)_★ '07年 GVE 과제 현황_080407" xfId="5446"/>
    <cellStyle name="_GVE추진현황('04~'05年)-원본_GVE추진과제현황_Master(통합)_41184" xfId="5447"/>
    <cellStyle name="_GVE추진현황('04~'05年)-원본_GVE추진과제현황_Master(통합)_41184_★ '07~'08年 GVE 과제 현황_080502" xfId="5448"/>
    <cellStyle name="_GVE추진현황('04~'05年)-원본_GVE추진과제현황_Master(통합)_41184_★ '07年 GVE 과제 현황_080407" xfId="5449"/>
    <cellStyle name="_Header" xfId="5450"/>
    <cellStyle name="_histórico de resultados por operação ATIVAÇão  Instalação" xfId="5451"/>
    <cellStyle name="_histórico de resultados por operação ATIVAÇão  Instalação_Base" xfId="5452"/>
    <cellStyle name="_histórico de resultados por operação ATIVAÇão  Instalação_D_Ret_Fixa_EMP" xfId="5453"/>
    <cellStyle name="_histórico de resultados por operação ATIVAÇão  Instalação_D_Ret_Fixa_VAR" xfId="5454"/>
    <cellStyle name="_histórico de resultados por operação ATIVAÇão  Instalação_Mig Ret 3G" xfId="5455"/>
    <cellStyle name="_histórico de resultados por operação ATIVAÇão  Instalação_Movel" xfId="5456"/>
    <cellStyle name="_histórico de resultados por operação Inst Final 03 10 08" xfId="5457"/>
    <cellStyle name="_histórico de resultados por operação Inst Final 03 10 08_Base" xfId="5458"/>
    <cellStyle name="_histórico de resultados por operação Inst Final 03 10 08_D_Ret_Fixa_EMP" xfId="5459"/>
    <cellStyle name="_histórico de resultados por operação Inst Final 03 10 08_D_Ret_Fixa_VAR" xfId="5460"/>
    <cellStyle name="_histórico de resultados por operação Inst Final 03 10 08_Mig Ret 3G" xfId="5461"/>
    <cellStyle name="_histórico de resultados por operação Inst Final 03 10 08_Movel" xfId="5462"/>
    <cellStyle name="_histórico de resultados por operação Por CANAL AT REC" xfId="5463"/>
    <cellStyle name="_histórico de resultados por operação Por CANAL AT REC_Base" xfId="5464"/>
    <cellStyle name="_histórico de resultados por operação Por CANAL AT REC_D_Ret_Fixa_EMP" xfId="5465"/>
    <cellStyle name="_histórico de resultados por operação Por CANAL AT REC_D_Ret_Fixa_VAR" xfId="5466"/>
    <cellStyle name="_histórico de resultados por operação Por CANAL AT REC_Mig Ret 3G" xfId="5467"/>
    <cellStyle name="_histórico de resultados por operação Por CANAL AT REC_Movel" xfId="5468"/>
    <cellStyle name="_IARA v8" xfId="8"/>
    <cellStyle name="_IARA v8 2" xfId="5469"/>
    <cellStyle name="_IARA v8_Base" xfId="5470"/>
    <cellStyle name="_IARA v8_D_Ret_Fixa_EMP" xfId="5471"/>
    <cellStyle name="_IARA v8_D_Ret_Fixa_VAR" xfId="5472"/>
    <cellStyle name="_IARA v8_Mig Ret 3G" xfId="5473"/>
    <cellStyle name="_IARA v8_Movel" xfId="5474"/>
    <cellStyle name="_Indicadores" xfId="5475"/>
    <cellStyle name="_Indicadores TLV 2008 (ORÇ 2009) V3" xfId="5476"/>
    <cellStyle name="_Indicadores TLV 2008 (ORÇ 2009) V3_BD Resumo diário Painel de Televendas Abril 2011" xfId="5477"/>
    <cellStyle name="_Indicadores TLV 2008 (ORÇ 2009) V3_BD Resumo diário Painel de Televendas Janeiro 2011" xfId="5478"/>
    <cellStyle name="_Indicadores TLV 2008 (ORÇ 2009) V3_BD Resumo diário Painel de Televendas Setembro 2010_BASE_UNICA" xfId="5479"/>
    <cellStyle name="_Indicadores TLV 2008 (ORÇ 2009) V3_Painel de Retenção Junho 2011" xfId="5480"/>
    <cellStyle name="_Indicadores TLV 2008 (ORÇ 2009) V3_Pasta1" xfId="5481"/>
    <cellStyle name="_Indicadores TLV 2008 (ORÇ 2009) V3_Plan1" xfId="5482"/>
    <cellStyle name="_Indicadores TLV 2008 (ORÇ 2009) V3_Plan2" xfId="5483"/>
    <cellStyle name="_Indicadores TLV 2008 (ORÇ 2009) V3_Retenção" xfId="5484"/>
    <cellStyle name="_Indicadores TLV 2008 (ORÇ 2009) V3_Retenção Painel" xfId="5485"/>
    <cellStyle name="_Indicadores TLV 2008 (ORÇ 2009) V3_Televendas Painel" xfId="5486"/>
    <cellStyle name="_Indicadores TLV 2008 (ORÇ 2009) V3_Televendas Painel_ant" xfId="5487"/>
    <cellStyle name="_Indicadores TLV AV 2009 (ORÇADO)" xfId="5488"/>
    <cellStyle name="_Indicadores TLV AV 2009 (ORÇADO)_BD Resumo diário Painel de Televendas Abril 2011" xfId="5489"/>
    <cellStyle name="_Indicadores TLV AV 2009 (ORÇADO)_BD Resumo diário Painel de Televendas Janeiro 2011" xfId="5490"/>
    <cellStyle name="_Indicadores TLV AV 2009 (ORÇADO)_BD Resumo diário Painel de Televendas Setembro 2010_BASE_UNICA" xfId="5491"/>
    <cellStyle name="_Indicadores TLV AV 2009 (ORÇADO)_Painel de Retenção Junho 2011" xfId="5492"/>
    <cellStyle name="_Indicadores TLV AV 2009 (ORÇADO)_Pasta1" xfId="5493"/>
    <cellStyle name="_Indicadores TLV AV 2009 (ORÇADO)_Plan1" xfId="5494"/>
    <cellStyle name="_Indicadores TLV AV 2009 (ORÇADO)_Plan2" xfId="5495"/>
    <cellStyle name="_Indicadores TLV AV 2009 (ORÇADO)_Retenção" xfId="5496"/>
    <cellStyle name="_Indicadores TLV AV 2009 (ORÇADO)_Retenção Painel" xfId="5497"/>
    <cellStyle name="_Indicadores TLV AV 2009 (ORÇADO)_Televendas Painel" xfId="5498"/>
    <cellStyle name="_Indicadores TLV AV 2009 (ORÇADO)_Televendas Painel_ant" xfId="5499"/>
    <cellStyle name="_Indicadores_BD Resumo diário Painel de Televendas Abril 2011" xfId="5500"/>
    <cellStyle name="_Indicadores_BD Resumo diário Painel de Televendas Janeiro 2011" xfId="5501"/>
    <cellStyle name="_Indicadores_BD Resumo diário Painel de Televendas Setembro 2010_BASE_UNICA" xfId="5502"/>
    <cellStyle name="_Indicadores_Faturamento TLV_Varejo_Ago 16-07 a 15-08-09 - V4 - Validação Cliente" xfId="5503"/>
    <cellStyle name="_Indicadores_Faturamento TLV_Varejo_Ago 16-07 a 15-08-09 - V4 - Validação Cliente_BD Resumo diário Painel de Televendas Abril 2011" xfId="5504"/>
    <cellStyle name="_Indicadores_Faturamento TLV_Varejo_Ago 16-07 a 15-08-09 - V4 - Validação Cliente_BD Resumo diário Painel de Televendas Janeiro 2011" xfId="5505"/>
    <cellStyle name="_Indicadores_Faturamento TLV_Varejo_Ago 16-07 a 15-08-09 - V4 - Validação Cliente_BD Resumo diário Painel de Televendas Setembro 2010_BASE_UNICA" xfId="5506"/>
    <cellStyle name="_Indicadores_Faturamento TLV_Varejo_Ago 16-07 a 15-08-09 - V4 - Validação Cliente_Painel de Retenção Junho 2011" xfId="5507"/>
    <cellStyle name="_Indicadores_Faturamento TLV_Varejo_Ago 16-07 a 15-08-09 - V4 - Validação Cliente_Pasta1" xfId="5508"/>
    <cellStyle name="_Indicadores_Faturamento TLV_Varejo_Ago 16-07 a 15-08-09 - V4 - Validação Cliente_Plan1" xfId="5509"/>
    <cellStyle name="_Indicadores_Faturamento TLV_Varejo_Ago 16-07 a 15-08-09 - V4 - Validação Cliente_Plan2" xfId="5510"/>
    <cellStyle name="_Indicadores_Faturamento TLV_Varejo_Ago 16-07 a 15-08-09 - V4 - Validação Cliente_Retenção" xfId="5511"/>
    <cellStyle name="_Indicadores_Faturamento TLV_Varejo_Ago 16-07 a 15-08-09 - V4 - Validação Cliente_Retenção Painel" xfId="5512"/>
    <cellStyle name="_Indicadores_Faturamento TLV_Varejo_Ago 16-07 a 15-08-09 - V4 - Validação Cliente_Televendas Painel" xfId="5513"/>
    <cellStyle name="_Indicadores_Faturamento TLV_Varejo_Ago 16-07 a 15-08-09 - V4 - Validação Cliente_Televendas Painel_ant" xfId="5514"/>
    <cellStyle name="_Indicadores_Painel de Retenção Junho 2011" xfId="5515"/>
    <cellStyle name="_Indicadores_Pasta1" xfId="5516"/>
    <cellStyle name="_Indicadores_Plan1" xfId="5517"/>
    <cellStyle name="_Indicadores_Plan2" xfId="5518"/>
    <cellStyle name="_Indicadores_Retenção" xfId="5519"/>
    <cellStyle name="_Indicadores_Retenção Painel" xfId="5520"/>
    <cellStyle name="_Indicadores_Televendas Painel" xfId="5521"/>
    <cellStyle name="_Indicadores_Televendas Painel_ant" xfId="5522"/>
    <cellStyle name="_Info Gerencial Mai08" xfId="5523"/>
    <cellStyle name="_Info Gerencial Mai08_Base" xfId="5524"/>
    <cellStyle name="_Info Gerencial Mai08_D_Ret_Fixa_EMP" xfId="5525"/>
    <cellStyle name="_Info Gerencial Mai08_D_Ret_Fixa_VAR" xfId="5526"/>
    <cellStyle name="_Info Gerencial Mai08_Mig Ret 3G" xfId="5527"/>
    <cellStyle name="_Info Gerencial Mai08_Movel" xfId="5528"/>
    <cellStyle name="_Infogerencial SD LD Julho 08" xfId="5529"/>
    <cellStyle name="_Infogerencial SD LD Julho 08 2" xfId="5530"/>
    <cellStyle name="_Infogerencial SD LD Julho 08_Base" xfId="5531"/>
    <cellStyle name="_Infogerencial SD LD Julho 08_D_Movel" xfId="5532"/>
    <cellStyle name="_Infogerencial SD LD Julho 08_D_Ret_Fixa_EMP" xfId="5533"/>
    <cellStyle name="_Infogerencial SD LD Julho 08_D_Ret_Fixa_EMP_1" xfId="5534"/>
    <cellStyle name="_Infogerencial SD LD Julho 08_D_Ret_Fixa_EMP_2" xfId="5535"/>
    <cellStyle name="_Infogerencial SD LD Julho 08_D_Ret_Fixa_EMP_3" xfId="5536"/>
    <cellStyle name="_Infogerencial SD LD Julho 08_D_Ret_Fixa_EMP_4" xfId="5537"/>
    <cellStyle name="_Infogerencial SD LD Julho 08_D_Ret_Fixa_EMP_5" xfId="5538"/>
    <cellStyle name="_Infogerencial SD LD Julho 08_D_Ret_Fixa_EMP_6" xfId="5539"/>
    <cellStyle name="_Infogerencial SD LD Julho 08_D_Ret_Fixa_EMP_7" xfId="5540"/>
    <cellStyle name="_Infogerencial SD LD Julho 08_D_Ret_Fixa_EMP_8" xfId="5541"/>
    <cellStyle name="_Infogerencial SD LD Julho 08_D_Ret_Fixa_VAR" xfId="5542"/>
    <cellStyle name="_Infogerencial SD LD Julho 08_D_Ret_Fixa_VAR_1" xfId="5543"/>
    <cellStyle name="_Infogerencial SD LD Julho 08_D_Ret_Fixa_VAR_2" xfId="5544"/>
    <cellStyle name="_Infogerencial SD LD Julho 08_D_Ret_Fixa_VAR_3" xfId="5545"/>
    <cellStyle name="_Infogerencial SD LD Julho 08_D_Ret_Fixa_VAR_4" xfId="5546"/>
    <cellStyle name="_Infogerencial SD LD Julho 08_D_Ret_Fixa_VAR_5" xfId="5547"/>
    <cellStyle name="_Infogerencial SD LD Julho 08_D_Ret_Fixa_VAR_6" xfId="5548"/>
    <cellStyle name="_Infogerencial SD LD Julho 08_D_Ret_Fixa_VAR_7" xfId="5549"/>
    <cellStyle name="_Infogerencial SD LD Julho 08_D_Ret_Fixa_VAR_8" xfId="5550"/>
    <cellStyle name="_Infogerencial SD LD Julho 08_Mig Ret 3G" xfId="5551"/>
    <cellStyle name="_Infogerencial SD LD Julho 08_Mig Ret 3G_1" xfId="5552"/>
    <cellStyle name="_Infogerencial SD LD Julho 08_Mig Ret 3G_2" xfId="5553"/>
    <cellStyle name="_Infogerencial SD LD Julho 08_Mig Ret 3G_3" xfId="5554"/>
    <cellStyle name="_Infogerencial SD LD Julho 08_Mig Ret 3G_4" xfId="5555"/>
    <cellStyle name="_Infogerencial SD LD Julho 08_Mig Ret 3G_5" xfId="5556"/>
    <cellStyle name="_Infogerencial SD LD Julho 08_Mig Ret 3G_6" xfId="5557"/>
    <cellStyle name="_Infogerencial SD LD Julho 08_Mig Ret 3G_7" xfId="5558"/>
    <cellStyle name="_Infogerencial SD LD Julho 08_Movel" xfId="5559"/>
    <cellStyle name="_Infogerencial SD LD Julho 08_Movel_1" xfId="5560"/>
    <cellStyle name="_Infogerencial SD LD Julho 08_Movel_2" xfId="5561"/>
    <cellStyle name="_Infogerencial SD LD Julho 08_Movel_3" xfId="5562"/>
    <cellStyle name="_Infogerencial SD LD Julho 08_Movel_4" xfId="5563"/>
    <cellStyle name="_Infogerencial SD LD Julho 08_Movel_5" xfId="5564"/>
    <cellStyle name="_Infogerencial SD LD Julho 08_Movel_6" xfId="5565"/>
    <cellStyle name="_Infogerencial SD LD Julho 08_Movel_7" xfId="5566"/>
    <cellStyle name="_Infogerencial SD LD Julho 08_Retenção" xfId="5567"/>
    <cellStyle name="_Infogerencial SD LD Junho 08" xfId="5568"/>
    <cellStyle name="_Infogerencial SD LD Junho 08 2" xfId="5569"/>
    <cellStyle name="_Infogerencial SD LD Junho 08_Base" xfId="5570"/>
    <cellStyle name="_Infogerencial SD LD Junho 08_D_Movel" xfId="5571"/>
    <cellStyle name="_Infogerencial SD LD Junho 08_D_Ret_Fixa_EMP" xfId="5572"/>
    <cellStyle name="_Infogerencial SD LD Junho 08_D_Ret_Fixa_EMP_1" xfId="5573"/>
    <cellStyle name="_Infogerencial SD LD Junho 08_D_Ret_Fixa_EMP_2" xfId="5574"/>
    <cellStyle name="_Infogerencial SD LD Junho 08_D_Ret_Fixa_EMP_3" xfId="5575"/>
    <cellStyle name="_Infogerencial SD LD Junho 08_D_Ret_Fixa_EMP_4" xfId="5576"/>
    <cellStyle name="_Infogerencial SD LD Junho 08_D_Ret_Fixa_EMP_5" xfId="5577"/>
    <cellStyle name="_Infogerencial SD LD Junho 08_D_Ret_Fixa_EMP_6" xfId="5578"/>
    <cellStyle name="_Infogerencial SD LD Junho 08_D_Ret_Fixa_EMP_7" xfId="5579"/>
    <cellStyle name="_Infogerencial SD LD Junho 08_D_Ret_Fixa_EMP_8" xfId="5580"/>
    <cellStyle name="_Infogerencial SD LD Junho 08_D_Ret_Fixa_VAR" xfId="5581"/>
    <cellStyle name="_Infogerencial SD LD Junho 08_D_Ret_Fixa_VAR_1" xfId="5582"/>
    <cellStyle name="_Infogerencial SD LD Junho 08_D_Ret_Fixa_VAR_2" xfId="5583"/>
    <cellStyle name="_Infogerencial SD LD Junho 08_D_Ret_Fixa_VAR_3" xfId="5584"/>
    <cellStyle name="_Infogerencial SD LD Junho 08_D_Ret_Fixa_VAR_4" xfId="5585"/>
    <cellStyle name="_Infogerencial SD LD Junho 08_D_Ret_Fixa_VAR_5" xfId="5586"/>
    <cellStyle name="_Infogerencial SD LD Junho 08_D_Ret_Fixa_VAR_6" xfId="5587"/>
    <cellStyle name="_Infogerencial SD LD Junho 08_D_Ret_Fixa_VAR_7" xfId="5588"/>
    <cellStyle name="_Infogerencial SD LD Junho 08_D_Ret_Fixa_VAR_8" xfId="5589"/>
    <cellStyle name="_Infogerencial SD LD Junho 08_Mig Ret 3G" xfId="5590"/>
    <cellStyle name="_Infogerencial SD LD Junho 08_Mig Ret 3G_1" xfId="5591"/>
    <cellStyle name="_Infogerencial SD LD Junho 08_Mig Ret 3G_2" xfId="5592"/>
    <cellStyle name="_Infogerencial SD LD Junho 08_Mig Ret 3G_3" xfId="5593"/>
    <cellStyle name="_Infogerencial SD LD Junho 08_Mig Ret 3G_4" xfId="5594"/>
    <cellStyle name="_Infogerencial SD LD Junho 08_Mig Ret 3G_5" xfId="5595"/>
    <cellStyle name="_Infogerencial SD LD Junho 08_Mig Ret 3G_6" xfId="5596"/>
    <cellStyle name="_Infogerencial SD LD Junho 08_Mig Ret 3G_7" xfId="5597"/>
    <cellStyle name="_Infogerencial SD LD Junho 08_Movel" xfId="5598"/>
    <cellStyle name="_Infogerencial SD LD Junho 08_Movel_1" xfId="5599"/>
    <cellStyle name="_Infogerencial SD LD Junho 08_Movel_2" xfId="5600"/>
    <cellStyle name="_Infogerencial SD LD Junho 08_Movel_3" xfId="5601"/>
    <cellStyle name="_Infogerencial SD LD Junho 08_Movel_4" xfId="5602"/>
    <cellStyle name="_Infogerencial SD LD Junho 08_Movel_5" xfId="5603"/>
    <cellStyle name="_Infogerencial SD LD Junho 08_Movel_6" xfId="5604"/>
    <cellStyle name="_Infogerencial SD LD Junho 08_Movel_7" xfId="5605"/>
    <cellStyle name="_Infogerencial SD LD Junho 08_Retenção" xfId="5606"/>
    <cellStyle name="_Lucid VE(SGH-U800G)_재료비_20080903" xfId="5607"/>
    <cellStyle name="_Lucid(SGH-U800)_080710" xfId="5608"/>
    <cellStyle name="_Lucid(SGH-U800)_080710_05-(기구사출파트)재검토 Marcel(GT-S3500)-081114" xfId="5609"/>
    <cellStyle name="_Lucid(SGH-U800)_080710_090908" xfId="5610"/>
    <cellStyle name="_Lucid(SGH-U800)_080710_090923" xfId="5611"/>
    <cellStyle name="_Lucid(SGH-U800)_080710_10 2Q 100104 (2)" xfId="5612"/>
    <cellStyle name="_Lucid(SGH-U800)_080710_10 3Q 100309" xfId="5613"/>
    <cellStyle name="_Lucid(SGH-U800)_080710_10 3Q 100408 국별의견취합용 (2)" xfId="5614"/>
    <cellStyle name="_Lucid(SGH-U800)_080710_10월2일 기구" xfId="5615"/>
    <cellStyle name="_Lucid(SGH-U800)_080710_14-(기구파트)Lime Lite(SGH-E250i)_20081114" xfId="5616"/>
    <cellStyle name="_Lucid(SGH-U800)_080710_9월22일 기구" xfId="5617"/>
    <cellStyle name="_Lucid(SGH-U800)_080710_Arno(GT-C3110)" xfId="5618"/>
    <cellStyle name="_Lucid(SGH-U800)_080710_Avila(GT-S3310)" xfId="5619"/>
    <cellStyle name="_Lucid(SGH-U800)_080710_Comm. support &amp; discounts" xfId="5620"/>
    <cellStyle name="_Lucid(SGH-U800)_080710_Ely(GT-S5230)_Wedge(SCH-U350)_취합" xfId="5621"/>
    <cellStyle name="_Lucid(SGH-U800)_080710_Fedora(SGH-i688)_080930" xfId="5622"/>
    <cellStyle name="_Lucid(SGH-U800)_080710_GT-M8800DKAXEU" xfId="5623"/>
    <cellStyle name="_Lucid(SGH-U800)_080710_GT-S3600TSASER" xfId="5624"/>
    <cellStyle name="_Lucid(SGH-U800)_080710_Holic(SGH-T459)" xfId="5625"/>
    <cellStyle name="_Lucid(SGH-U800)_080710_Lime Lite(SGH-E250i)" xfId="5626"/>
    <cellStyle name="_Lucid(SGH-U800)_080710_Lime-Lite" xfId="5627"/>
    <cellStyle name="_Lucid(SGH-U800)_080710_Marcel(GT-S3500) 090211_41184" xfId="5628"/>
    <cellStyle name="_Lucid(SGH-U800)_080710_Q210 Claro Deal" xfId="5629"/>
    <cellStyle name="_Lucid(SGH-U800)_080710_SGH-J800HAAPLS" xfId="5630"/>
    <cellStyle name="_Lucid(SGH-U800)_080710_Sheet1" xfId="5631"/>
    <cellStyle name="_Lucid(SGH-U800)_080710_simulation" xfId="5632"/>
    <cellStyle name="_Lucid(SGH-U800)_080710_spec" xfId="5633"/>
    <cellStyle name="_Lucid(SGH-U800)_080710_spec_수식포함" xfId="5634"/>
    <cellStyle name="_Lucid(SGH-U800)_080710_Tabela Preços Claro Q110" xfId="5635"/>
    <cellStyle name="_Lucid(SGH-U800)_080710_Tailor(SGH-L878E)_080930" xfId="5636"/>
    <cellStyle name="_Lucid(SGH-U800)_080710_Twist(GT-M2710)" xfId="5637"/>
    <cellStyle name="_Lucid(SGH-U800)_080710_개발" xfId="5638"/>
    <cellStyle name="_Lucid(SGH-U800)_080710_기" xfId="5639"/>
    <cellStyle name="_Lucid(SGH-U800)_080710_수식포함" xfId="5640"/>
    <cellStyle name="_Lucid(SGH-U800)_080710_양산모두" xfId="5641"/>
    <cellStyle name="_Lucid(SGH-U800)_080710_재료비" xfId="5642"/>
    <cellStyle name="_Lucid(SGH-U800)_재료비_20080902" xfId="5643"/>
    <cellStyle name="_M300" xfId="5644"/>
    <cellStyle name="_M300 2" xfId="5645"/>
    <cellStyle name="_M300 3" xfId="5646"/>
    <cellStyle name="_M300 4" xfId="5647"/>
    <cellStyle name="_M300 5" xfId="5648"/>
    <cellStyle name="_M300 6" xfId="5649"/>
    <cellStyle name="_M300 7" xfId="5650"/>
    <cellStyle name="_M300 8" xfId="5651"/>
    <cellStyle name="_M300 9" xfId="5652"/>
    <cellStyle name="_M300_Claro Deal Q409" xfId="5653"/>
    <cellStyle name="_M300_Claro Deal Q409 final" xfId="5654"/>
    <cellStyle name="_M300_Claro Q309 final version" xfId="5655"/>
    <cellStyle name="_M300_Claro Q309 final version_Claro Deal Q409" xfId="5656"/>
    <cellStyle name="_M300_Claro Q309 final version_Claro Deal Q409 final" xfId="5657"/>
    <cellStyle name="_M300_GSM 0405월출시 신규자재list_080410" xfId="5658"/>
    <cellStyle name="_M300_GSM 0405월출시 신규자재list_080410 2" xfId="5659"/>
    <cellStyle name="_M300_GSM 0405월출시 신규자재list_080410 3" xfId="5660"/>
    <cellStyle name="_M300_GSM 0405월출시 신규자재list_080410 4" xfId="5661"/>
    <cellStyle name="_M300_GSM 0405월출시 신규자재list_080410 5" xfId="5662"/>
    <cellStyle name="_M300_GSM 0405월출시 신규자재list_080410 6" xfId="5663"/>
    <cellStyle name="_M300_GSM 0405월출시 신규자재list_080410 7" xfId="5664"/>
    <cellStyle name="_M300_GSM 0405월출시 신규자재list_080410 8" xfId="5665"/>
    <cellStyle name="_M300_GSM 0405월출시 신규자재list_080410 9" xfId="5666"/>
    <cellStyle name="_M300_GSM 0405월출시 신규자재list_080423" xfId="5667"/>
    <cellStyle name="_M300_GSM 0405월출시 신규자재list_080423 2" xfId="5668"/>
    <cellStyle name="_M300_GSM 0405월출시 신규자재list_080423 3" xfId="5669"/>
    <cellStyle name="_M300_GSM 0405월출시 신규자재list_080423 4" xfId="5670"/>
    <cellStyle name="_M300_GSM 0405월출시 신규자재list_080423 5" xfId="5671"/>
    <cellStyle name="_M300_GSM 0405월출시 신규자재list_080423 6" xfId="5672"/>
    <cellStyle name="_M300_GSM 0405월출시 신규자재list_080423 7" xfId="5673"/>
    <cellStyle name="_M300_GSM 0405월출시 신규자재list_080423 8" xfId="5674"/>
    <cellStyle name="_M300_GSM 0405월출시 신규자재list_080423 9" xfId="5675"/>
    <cellStyle name="_M300_GSM 0506월출시 신규자재list_080430" xfId="5676"/>
    <cellStyle name="_M300_GSM 0506월출시 신규자재list_080430 2" xfId="5677"/>
    <cellStyle name="_M300_GSM 0506월출시 신규자재list_080430 3" xfId="5678"/>
    <cellStyle name="_M300_GSM 0506월출시 신규자재list_080430 4" xfId="5679"/>
    <cellStyle name="_M300_GSM 0506월출시 신규자재list_080430 5" xfId="5680"/>
    <cellStyle name="_M300_GSM 0506월출시 신규자재list_080430 6" xfId="5681"/>
    <cellStyle name="_M300_GSM 0506월출시 신규자재list_080430 7" xfId="5682"/>
    <cellStyle name="_M300_GSM 0506월출시 신규자재list_080430 8" xfId="5683"/>
    <cellStyle name="_M300_GSM 0506월출시 신규자재list_080430 9" xfId="5684"/>
    <cellStyle name="_M300_Q3 Claro deal 07jul09" xfId="5685"/>
    <cellStyle name="_M300_Q3 Claro deal 07jul09_Claro Deal Q409" xfId="5686"/>
    <cellStyle name="_M300_Q3 Claro deal 07jul09_Claro Deal Q409 final" xfId="5687"/>
    <cellStyle name="_M300_Q3 Claro deal 15jul09" xfId="5688"/>
    <cellStyle name="_M300_Q3 Claro deal 15jul09_Claro Deal Q409" xfId="5689"/>
    <cellStyle name="_M300_Q3 Claro deal 15jul09_Claro Deal Q409 final" xfId="5690"/>
    <cellStyle name="_M300_Q3 Claro proposal_v2" xfId="5691"/>
    <cellStyle name="_M300_Q3 Claro proposal_v2_Claro Deal Q409" xfId="5692"/>
    <cellStyle name="_M300_Q3 Claro proposal_v2_Claro Deal Q409 final" xfId="5693"/>
    <cellStyle name="_M300_Q3 Claro Tabelas Precos" xfId="5694"/>
    <cellStyle name="_M300_Q3 Claro Tabelas Precos_Claro Deal Q409" xfId="5695"/>
    <cellStyle name="_M300_Q3 Claro Tabelas Precos_Claro Deal Q409 final" xfId="5696"/>
    <cellStyle name="_Main GSM 1031 다운로드(담당수정)_환율변경본-재료비개선작업 반영" xfId="5697"/>
    <cellStyle name="_Mapa de Aparelhos" xfId="5698"/>
    <cellStyle name="_Medição de PV's (version 1)" xfId="5699"/>
    <cellStyle name="_Medição de PV's (version 1)_Base" xfId="5700"/>
    <cellStyle name="_Medição de PV's (version 1)_D_Ret_Fixa_EMP" xfId="5701"/>
    <cellStyle name="_Medição de PV's (version 1)_D_Ret_Fixa_VAR" xfId="5702"/>
    <cellStyle name="_Medição de PV's (version 1)_Mig Ret 3G" xfId="5703"/>
    <cellStyle name="_Medição de PV's (version 1)_Movel" xfId="5704"/>
    <cellStyle name="_Medição de PV's Desmembrada Civil TLMK 01062007 a 30062007" xfId="5705"/>
    <cellStyle name="_Medição de PV's Desmembrada Civil TLMK 01062007 a 30062007_Base" xfId="5706"/>
    <cellStyle name="_Medição de PV's Desmembrada Civil TLMK 01062007 a 30062007_D_Ret_Fixa_EMP" xfId="5707"/>
    <cellStyle name="_Medição de PV's Desmembrada Civil TLMK 01062007 a 30062007_D_Ret_Fixa_VAR" xfId="5708"/>
    <cellStyle name="_Medição de PV's Desmembrada Civil TLMK 01062007 a 30062007_Mig Ret 3G" xfId="5709"/>
    <cellStyle name="_Medição de PV's Desmembrada Civil TLMK 01062007 a 30062007_Movel" xfId="5710"/>
    <cellStyle name="_Medição de PV's Desmembrada Civil TLMK 01092007 a 30092007" xfId="5711"/>
    <cellStyle name="_Medição de PV's Desmembrada Civil TLMK 01092007 a 30092007_Base" xfId="5712"/>
    <cellStyle name="_Medição de PV's Desmembrada Civil TLMK 01092007 a 30092007_D_Ret_Fixa_EMP" xfId="5713"/>
    <cellStyle name="_Medição de PV's Desmembrada Civil TLMK 01092007 a 30092007_D_Ret_Fixa_VAR" xfId="5714"/>
    <cellStyle name="_Medição de PV's Desmembrada Civil TLMK 01092007 a 30092007_Mig Ret 3G" xfId="5715"/>
    <cellStyle name="_Medição de PV's Desmembrada Civil TLMK 01092007 a 30092007_Movel" xfId="5716"/>
    <cellStyle name="_Medição de PV's por Aderencia 15052008 a 14062008" xfId="5717"/>
    <cellStyle name="_Medição de PV's por Aderencia 15052008 a 14062008_Base" xfId="5718"/>
    <cellStyle name="_Medição de PV's por Aderencia 15052008 a 14062008_D_Ret_Fixa_EMP" xfId="5719"/>
    <cellStyle name="_Medição de PV's por Aderencia 15052008 a 14062008_D_Ret_Fixa_VAR" xfId="5720"/>
    <cellStyle name="_Medição de PV's por Aderencia 15052008 a 14062008_Mig Ret 3G" xfId="5721"/>
    <cellStyle name="_Medição de PV's por Aderencia 15052008 a 14062008_Movel" xfId="5722"/>
    <cellStyle name="_Medição de PV's por Aderencia 15062008 a 14072008" xfId="5723"/>
    <cellStyle name="_Medição de PV's por Aderencia 15062008 a 14072008_Base" xfId="5724"/>
    <cellStyle name="_Medição de PV's por Aderencia 15062008 a 14072008_D_Ret_Fixa_EMP" xfId="5725"/>
    <cellStyle name="_Medição de PV's por Aderencia 15062008 a 14072008_D_Ret_Fixa_VAR" xfId="5726"/>
    <cellStyle name="_Medição de PV's por Aderencia 15062008 a 14072008_Mig Ret 3G" xfId="5727"/>
    <cellStyle name="_Medição de PV's por Aderencia 15062008 a 14072008_Movel" xfId="5728"/>
    <cellStyle name="_Medição de PV's por Aderencia 15072008 a 14082008" xfId="5729"/>
    <cellStyle name="_Medição de PV's por Aderencia 15072008 a 14082008_Base" xfId="5730"/>
    <cellStyle name="_Medição de PV's por Aderencia 15072008 a 14082008_D_Ret_Fixa_EMP" xfId="5731"/>
    <cellStyle name="_Medição de PV's por Aderencia 15072008 a 14082008_D_Ret_Fixa_VAR" xfId="5732"/>
    <cellStyle name="_Medição de PV's por Aderencia 15072008 a 14082008_Mig Ret 3G" xfId="5733"/>
    <cellStyle name="_Medição de PV's por Aderencia 15072008 a 14082008_Movel" xfId="5734"/>
    <cellStyle name="_Medição de PV's por Aderencia 15082008 a 14092008" xfId="5735"/>
    <cellStyle name="_Medição de PV's por Aderencia 15082008 a 14092008_Base" xfId="5736"/>
    <cellStyle name="_Medição de PV's por Aderencia 15082008 a 14092008_D_Ret_Fixa_EMP" xfId="5737"/>
    <cellStyle name="_Medição de PV's por Aderencia 15082008 a 14092008_D_Ret_Fixa_VAR" xfId="5738"/>
    <cellStyle name="_Medição de PV's por Aderencia 15082008 a 14092008_Mig Ret 3G" xfId="5739"/>
    <cellStyle name="_Medição de PV's por Aderencia 15082008 a 14092008_Movel" xfId="5740"/>
    <cellStyle name="_Medição de PV's por Aderencia_01012007 a 31012007" xfId="5741"/>
    <cellStyle name="_Medição de PV's por Aderencia_01012007 a 31012007_Base" xfId="5742"/>
    <cellStyle name="_Medição de PV's por Aderencia_01012007 a 31012007_D_Ret_Fixa_EMP" xfId="5743"/>
    <cellStyle name="_Medição de PV's por Aderencia_01012007 a 31012007_D_Ret_Fixa_VAR" xfId="5744"/>
    <cellStyle name="_Medição de PV's por Aderencia_01012007 a 31012007_Mig Ret 3G" xfId="5745"/>
    <cellStyle name="_Medição de PV's por Aderencia_01012007 a 31012007_Movel" xfId="5746"/>
    <cellStyle name="_Medição de PV's por Aderencia_01012007 a 31012007_New2" xfId="5747"/>
    <cellStyle name="_Medição de PV's por Aderencia_01012007 a 31012007_New2_Base" xfId="5748"/>
    <cellStyle name="_Medição de PV's por Aderencia_01012007 a 31012007_New2_D_Ret_Fixa_EMP" xfId="5749"/>
    <cellStyle name="_Medição de PV's por Aderencia_01012007 a 31012007_New2_D_Ret_Fixa_VAR" xfId="5750"/>
    <cellStyle name="_Medição de PV's por Aderencia_01012007 a 31012007_New2_Mig Ret 3G" xfId="5751"/>
    <cellStyle name="_Medição de PV's por Aderencia_01012007 a 31012007_New2_Movel" xfId="5752"/>
    <cellStyle name="_Medição de PV's por Aderencia_01022007 a 28022007" xfId="5753"/>
    <cellStyle name="_Medição de PV's por Aderencia_01022007 a 28022007_Base" xfId="5754"/>
    <cellStyle name="_Medição de PV's por Aderencia_01022007 a 28022007_D_Ret_Fixa_EMP" xfId="5755"/>
    <cellStyle name="_Medição de PV's por Aderencia_01022007 a 28022007_D_Ret_Fixa_VAR" xfId="5756"/>
    <cellStyle name="_Medição de PV's por Aderencia_01022007 a 28022007_Mig Ret 3G" xfId="5757"/>
    <cellStyle name="_Medição de PV's por Aderencia_01022007 a 28022007_Movel" xfId="5758"/>
    <cellStyle name="_Medição de PV's por Aderencia_01022007 a 28022007_New2" xfId="5759"/>
    <cellStyle name="_Medição de PV's por Aderencia_01022007 a 28022007_New2_Base" xfId="5760"/>
    <cellStyle name="_Medição de PV's por Aderencia_01022007 a 28022007_New2_D_Ret_Fixa_EMP" xfId="5761"/>
    <cellStyle name="_Medição de PV's por Aderencia_01022007 a 28022007_New2_D_Ret_Fixa_VAR" xfId="5762"/>
    <cellStyle name="_Medição de PV's por Aderencia_01022007 a 28022007_New2_Mig Ret 3G" xfId="5763"/>
    <cellStyle name="_Medição de PV's por Aderencia_01022007 a 28022007_New2_Movel" xfId="5764"/>
    <cellStyle name="_Medição de PV's por Aderencia_01032007 a 31032007" xfId="5765"/>
    <cellStyle name="_Medição de PV's por Aderencia_01032007 a 31032007_Base" xfId="5766"/>
    <cellStyle name="_Medição de PV's por Aderencia_01032007 a 31032007_D_Ret_Fixa_EMP" xfId="5767"/>
    <cellStyle name="_Medição de PV's por Aderencia_01032007 a 31032007_D_Ret_Fixa_VAR" xfId="5768"/>
    <cellStyle name="_Medição de PV's por Aderencia_01032007 a 31032007_Mig Ret 3G" xfId="5769"/>
    <cellStyle name="_Medição de PV's por Aderencia_01032007 a 31032007_Movel" xfId="5770"/>
    <cellStyle name="_Medição de PV's por Aderencia_01032007 a 31032007_New3" xfId="5771"/>
    <cellStyle name="_Medição de PV's por Aderencia_01032007 a 31032007_New3_Base" xfId="5772"/>
    <cellStyle name="_Medição de PV's por Aderencia_01032007 a 31032007_New3_D_Ret_Fixa_EMP" xfId="5773"/>
    <cellStyle name="_Medição de PV's por Aderencia_01032007 a 31032007_New3_D_Ret_Fixa_VAR" xfId="5774"/>
    <cellStyle name="_Medição de PV's por Aderencia_01032007 a 31032007_New3_Mig Ret 3G" xfId="5775"/>
    <cellStyle name="_Medição de PV's por Aderencia_01032007 a 31032007_New3_Movel" xfId="5776"/>
    <cellStyle name="_Medição de PV's por Aderencia_01042007 a 30042007" xfId="5777"/>
    <cellStyle name="_Medição de PV's por Aderencia_01042007 a 30042007_Base" xfId="5778"/>
    <cellStyle name="_Medição de PV's por Aderencia_01042007 a 30042007_D_Ret_Fixa_EMP" xfId="5779"/>
    <cellStyle name="_Medição de PV's por Aderencia_01042007 a 30042007_D_Ret_Fixa_VAR" xfId="5780"/>
    <cellStyle name="_Medição de PV's por Aderencia_01042007 a 30042007_Mig Ret 3G" xfId="5781"/>
    <cellStyle name="_Medição de PV's por Aderencia_01042007 a 30042007_Movel" xfId="5782"/>
    <cellStyle name="_Medição de PV's por Aderencia_01042007 a 30042007_New3" xfId="5783"/>
    <cellStyle name="_Medição de PV's por Aderencia_01042007 a 30042007_New3_Base" xfId="5784"/>
    <cellStyle name="_Medição de PV's por Aderencia_01042007 a 30042007_New3_D_Ret_Fixa_EMP" xfId="5785"/>
    <cellStyle name="_Medição de PV's por Aderencia_01042007 a 30042007_New3_D_Ret_Fixa_VAR" xfId="5786"/>
    <cellStyle name="_Medição de PV's por Aderencia_01042007 a 30042007_New3_Mig Ret 3G" xfId="5787"/>
    <cellStyle name="_Medição de PV's por Aderencia_01042007 a 30042007_New3_Movel" xfId="5788"/>
    <cellStyle name="_Medição de PV's por Aderencia_01052007 a 31052007" xfId="5789"/>
    <cellStyle name="_Medição de PV's por Aderencia_01052007 a 31052007_Base" xfId="5790"/>
    <cellStyle name="_Medição de PV's por Aderencia_01052007 a 31052007_D_Ret_Fixa_EMP" xfId="5791"/>
    <cellStyle name="_Medição de PV's por Aderencia_01052007 a 31052007_D_Ret_Fixa_VAR" xfId="5792"/>
    <cellStyle name="_Medição de PV's por Aderencia_01052007 a 31052007_Mig Ret 3G" xfId="5793"/>
    <cellStyle name="_Medição de PV's por Aderencia_01052007 a 31052007_Movel" xfId="5794"/>
    <cellStyle name="_Medição de PV's por Aderencia_01052007 a 31052007_New3" xfId="5795"/>
    <cellStyle name="_Medição de PV's por Aderencia_01052007 a 31052007_New3_Base" xfId="5796"/>
    <cellStyle name="_Medição de PV's por Aderencia_01052007 a 31052007_New3_D_Ret_Fixa_EMP" xfId="5797"/>
    <cellStyle name="_Medição de PV's por Aderencia_01052007 a 31052007_New3_D_Ret_Fixa_VAR" xfId="5798"/>
    <cellStyle name="_Medição de PV's por Aderencia_01052007 a 31052007_New3_Mig Ret 3G" xfId="5799"/>
    <cellStyle name="_Medição de PV's por Aderencia_01052007 a 31052007_New3_Movel" xfId="5800"/>
    <cellStyle name="_Medição de PV's por Aderencia_01062007 a 30062007" xfId="5801"/>
    <cellStyle name="_Medição de PV's por Aderencia_01062007 a 30062007_Base" xfId="5802"/>
    <cellStyle name="_Medição de PV's por Aderencia_01062007 a 30062007_D_Ret_Fixa_EMP" xfId="5803"/>
    <cellStyle name="_Medição de PV's por Aderencia_01062007 a 30062007_D_Ret_Fixa_VAR" xfId="5804"/>
    <cellStyle name="_Medição de PV's por Aderencia_01062007 a 30062007_Mig Ret 3G" xfId="5805"/>
    <cellStyle name="_Medição de PV's por Aderencia_01062007 a 30062007_Movel" xfId="5806"/>
    <cellStyle name="_Medição de PV's por Aderencia_01092007 a 30092007" xfId="5807"/>
    <cellStyle name="_Medição de PV's por Aderencia_01092007 a 30092007_Base" xfId="5808"/>
    <cellStyle name="_Medição de PV's por Aderencia_01092007 a 30092007_D_Ret_Fixa_EMP" xfId="5809"/>
    <cellStyle name="_Medição de PV's por Aderencia_01092007 a 30092007_D_Ret_Fixa_VAR" xfId="5810"/>
    <cellStyle name="_Medição de PV's por Aderencia_01092007 a 30092007_Mig Ret 3G" xfId="5811"/>
    <cellStyle name="_Medição de PV's por Aderencia_01092007 a 30092007_Movel" xfId="5812"/>
    <cellStyle name="_Medição de PV's por Aderencia_01122006 a 31122006_New2" xfId="5813"/>
    <cellStyle name="_Medição de PV's por Aderencia_01122006 a 31122006_New2_Base" xfId="5814"/>
    <cellStyle name="_Medição de PV's por Aderencia_01122006 a 31122006_New2_D_Ret_Fixa_EMP" xfId="5815"/>
    <cellStyle name="_Medição de PV's por Aderencia_01122006 a 31122006_New2_D_Ret_Fixa_VAR" xfId="5816"/>
    <cellStyle name="_Medição de PV's por Aderencia_01122006 a 31122006_New2_Mig Ret 3G" xfId="5817"/>
    <cellStyle name="_Medição de PV's por Aderencia_01122006 a 31122006_New2_Movel" xfId="5818"/>
    <cellStyle name="_Medição de PV's por Aderencia_01122006 a 31122007" xfId="5819"/>
    <cellStyle name="_Medição de PV's por Aderencia_01122006 a 31122007_Base" xfId="5820"/>
    <cellStyle name="_Medição de PV's por Aderencia_01122006 a 31122007_D_Ret_Fixa_EMP" xfId="5821"/>
    <cellStyle name="_Medição de PV's por Aderencia_01122006 a 31122007_D_Ret_Fixa_VAR" xfId="5822"/>
    <cellStyle name="_Medição de PV's por Aderencia_01122006 a 31122007_Mig Ret 3G" xfId="5823"/>
    <cellStyle name="_Medição de PV's por Aderencia_01122006 a 31122007_Movel" xfId="5824"/>
    <cellStyle name="_Medição de PV's por Aderencia_16012007 a 15022007" xfId="5825"/>
    <cellStyle name="_Medição de PV's por Aderencia_16012007 a 15022007_Base" xfId="5826"/>
    <cellStyle name="_Medição de PV's por Aderencia_16012007 a 15022007_D_Ret_Fixa_EMP" xfId="5827"/>
    <cellStyle name="_Medição de PV's por Aderencia_16012007 a 15022007_D_Ret_Fixa_VAR" xfId="5828"/>
    <cellStyle name="_Medição de PV's por Aderencia_16012007 a 15022007_Mig Ret 3G" xfId="5829"/>
    <cellStyle name="_Medição de PV's por Aderencia_16012007 a 15022007_Movel" xfId="5830"/>
    <cellStyle name="_Medição de PV's por Aderencia_16012008 a 15022008" xfId="5831"/>
    <cellStyle name="_Medição de PV's por Aderencia_16012008 a 15022008_Base" xfId="5832"/>
    <cellStyle name="_Medição de PV's por Aderencia_16012008 a 15022008_D_Ret_Fixa_EMP" xfId="5833"/>
    <cellStyle name="_Medição de PV's por Aderencia_16012008 a 15022008_D_Ret_Fixa_VAR" xfId="5834"/>
    <cellStyle name="_Medição de PV's por Aderencia_16012008 a 15022008_Mig Ret 3G" xfId="5835"/>
    <cellStyle name="_Medição de PV's por Aderencia_16012008 a 15022008_Movel" xfId="5836"/>
    <cellStyle name="_Medição de PV's por Aderencia_16022007 a 15032007" xfId="5837"/>
    <cellStyle name="_Medição de PV's por Aderencia_16022007 a 15032007_Base" xfId="5838"/>
    <cellStyle name="_Medição de PV's por Aderencia_16022007 a 15032007_D_Ret_Fixa_EMP" xfId="5839"/>
    <cellStyle name="_Medição de PV's por Aderencia_16022007 a 15032007_D_Ret_Fixa_VAR" xfId="5840"/>
    <cellStyle name="_Medição de PV's por Aderencia_16022007 a 15032007_Mig Ret 3G" xfId="5841"/>
    <cellStyle name="_Medição de PV's por Aderencia_16022007 a 15032007_Movel" xfId="5842"/>
    <cellStyle name="_Medição de PV's por Aderencia_16022008 a 15032008" xfId="5843"/>
    <cellStyle name="_Medição de PV's por Aderencia_16022008 a 15032008_Base" xfId="5844"/>
    <cellStyle name="_Medição de PV's por Aderencia_16022008 a 15032008_D_Ret_Fixa_EMP" xfId="5845"/>
    <cellStyle name="_Medição de PV's por Aderencia_16022008 a 15032008_D_Ret_Fixa_VAR" xfId="5846"/>
    <cellStyle name="_Medição de PV's por Aderencia_16022008 a 15032008_Mig Ret 3G" xfId="5847"/>
    <cellStyle name="_Medição de PV's por Aderencia_16022008 a 15032008_Movel" xfId="5848"/>
    <cellStyle name="_Medição de PV's por Aderencia_16032007 a 15042007" xfId="5849"/>
    <cellStyle name="_Medição de PV's por Aderencia_16032007 a 15042007_Base" xfId="5850"/>
    <cellStyle name="_Medição de PV's por Aderencia_16032007 a 15042007_D_Ret_Fixa_EMP" xfId="5851"/>
    <cellStyle name="_Medição de PV's por Aderencia_16032007 a 15042007_D_Ret_Fixa_VAR" xfId="5852"/>
    <cellStyle name="_Medição de PV's por Aderencia_16032007 a 15042007_Mig Ret 3G" xfId="5853"/>
    <cellStyle name="_Medição de PV's por Aderencia_16032007 a 15042007_Movel" xfId="5854"/>
    <cellStyle name="_Medição de PV's por Aderencia_16042007 a 15052007" xfId="5855"/>
    <cellStyle name="_Medição de PV's por Aderencia_16042007 a 15052007_Base" xfId="5856"/>
    <cellStyle name="_Medição de PV's por Aderencia_16042007 a 15052007_D_Ret_Fixa_EMP" xfId="5857"/>
    <cellStyle name="_Medição de PV's por Aderencia_16042007 a 15052007_D_Ret_Fixa_VAR" xfId="5858"/>
    <cellStyle name="_Medição de PV's por Aderencia_16042007 a 15052007_Mig Ret 3G" xfId="5859"/>
    <cellStyle name="_Medição de PV's por Aderencia_16042007 a 15052007_Movel" xfId="5860"/>
    <cellStyle name="_Medição de PV's por Aderencia_16042008 a 15052008" xfId="5861"/>
    <cellStyle name="_Medição de PV's por Aderencia_16042008 a 15052008_Base" xfId="5862"/>
    <cellStyle name="_Medição de PV's por Aderencia_16042008 a 15052008_D_Ret_Fixa_EMP" xfId="5863"/>
    <cellStyle name="_Medição de PV's por Aderencia_16042008 a 15052008_D_Ret_Fixa_VAR" xfId="5864"/>
    <cellStyle name="_Medição de PV's por Aderencia_16042008 a 15052008_Mig Ret 3G" xfId="5865"/>
    <cellStyle name="_Medição de PV's por Aderencia_16042008 a 15052008_Movel" xfId="5866"/>
    <cellStyle name="_Medição de PV's por Aderencia_16052006a15062006 " xfId="5867"/>
    <cellStyle name="_Medição de PV's por Aderencia_16052006a15062006 _Base" xfId="5868"/>
    <cellStyle name="_Medição de PV's por Aderencia_16052006a15062006 _D_Ret_Fixa_EMP" xfId="5869"/>
    <cellStyle name="_Medição de PV's por Aderencia_16052006a15062006 _D_Ret_Fixa_VAR" xfId="5870"/>
    <cellStyle name="_Medição de PV's por Aderencia_16052006a15062006 _Mig Ret 3G" xfId="5871"/>
    <cellStyle name="_Medição de PV's por Aderencia_16052006a15062006 _Movel" xfId="5872"/>
    <cellStyle name="_Medição de PV's por Aderencia_16052007 a 15062007" xfId="5873"/>
    <cellStyle name="_Medição de PV's por Aderencia_16052007 a 15062007_Base" xfId="5874"/>
    <cellStyle name="_Medição de PV's por Aderencia_16052007 a 15062007_D_Ret_Fixa_EMP" xfId="5875"/>
    <cellStyle name="_Medição de PV's por Aderencia_16052007 a 15062007_D_Ret_Fixa_VAR" xfId="5876"/>
    <cellStyle name="_Medição de PV's por Aderencia_16052007 a 15062007_Mig Ret 3G" xfId="5877"/>
    <cellStyle name="_Medição de PV's por Aderencia_16052007 a 15062007_Movel" xfId="5878"/>
    <cellStyle name="_Medição de PV's por Aderencia_16052008 a 15062008" xfId="5879"/>
    <cellStyle name="_Medição de PV's por Aderencia_16052008 a 15062008_Base" xfId="5880"/>
    <cellStyle name="_Medição de PV's por Aderencia_16052008 a 15062008_D_Ret_Fixa_EMP" xfId="5881"/>
    <cellStyle name="_Medição de PV's por Aderencia_16052008 a 15062008_D_Ret_Fixa_VAR" xfId="5882"/>
    <cellStyle name="_Medição de PV's por Aderencia_16052008 a 15062008_Mig Ret 3G" xfId="5883"/>
    <cellStyle name="_Medição de PV's por Aderencia_16052008 a 15062008_Movel" xfId="5884"/>
    <cellStyle name="_Medição de PV's por Aderencia_16062007 a 15072007" xfId="5885"/>
    <cellStyle name="_Medição de PV's por Aderencia_16062007 a 15072007_Base" xfId="5886"/>
    <cellStyle name="_Medição de PV's por Aderencia_16062007 a 15072007_D_Ret_Fixa_EMP" xfId="5887"/>
    <cellStyle name="_Medição de PV's por Aderencia_16062007 a 15072007_D_Ret_Fixa_VAR" xfId="5888"/>
    <cellStyle name="_Medição de PV's por Aderencia_16062007 a 15072007_Mig Ret 3G" xfId="5889"/>
    <cellStyle name="_Medição de PV's por Aderencia_16062007 a 15072007_Movel" xfId="5890"/>
    <cellStyle name="_Medição de PV's por Aderencia_16062008 a 15072008" xfId="5891"/>
    <cellStyle name="_Medição de PV's por Aderencia_16062008 a 15072008_Base" xfId="5892"/>
    <cellStyle name="_Medição de PV's por Aderencia_16062008 a 15072008_D_Ret_Fixa_EMP" xfId="5893"/>
    <cellStyle name="_Medição de PV's por Aderencia_16062008 a 15072008_D_Ret_Fixa_VAR" xfId="5894"/>
    <cellStyle name="_Medição de PV's por Aderencia_16062008 a 15072008_Mig Ret 3G" xfId="5895"/>
    <cellStyle name="_Medição de PV's por Aderencia_16062008 a 15072008_Movel" xfId="5896"/>
    <cellStyle name="_Medição de PV's por Aderencia_16072006 a 15082006 " xfId="5897"/>
    <cellStyle name="_Medição de PV's por Aderencia_16072006 a 15082006 _Base" xfId="5898"/>
    <cellStyle name="_Medição de PV's por Aderencia_16072006 a 15082006 _D_Ret_Fixa_EMP" xfId="5899"/>
    <cellStyle name="_Medição de PV's por Aderencia_16072006 a 15082006 _D_Ret_Fixa_VAR" xfId="5900"/>
    <cellStyle name="_Medição de PV's por Aderencia_16072006 a 15082006 _Mig Ret 3G" xfId="5901"/>
    <cellStyle name="_Medição de PV's por Aderencia_16072006 a 15082006 _Movel" xfId="5902"/>
    <cellStyle name="_Medição de PV's por Aderencia_16072007 a 15082007" xfId="5903"/>
    <cellStyle name="_Medição de PV's por Aderencia_16072007 a 15082007_Base" xfId="5904"/>
    <cellStyle name="_Medição de PV's por Aderencia_16072007 a 15082007_D_Ret_Fixa_EMP" xfId="5905"/>
    <cellStyle name="_Medição de PV's por Aderencia_16072007 a 15082007_D_Ret_Fixa_VAR" xfId="5906"/>
    <cellStyle name="_Medição de PV's por Aderencia_16072007 a 15082007_Mig Ret 3G" xfId="5907"/>
    <cellStyle name="_Medição de PV's por Aderencia_16072007 a 15082007_Movel" xfId="5908"/>
    <cellStyle name="_Medição de PV's por Aderencia_16072008 a 15082008" xfId="5909"/>
    <cellStyle name="_Medição de PV's por Aderencia_16072008 a 15082008_Base" xfId="5910"/>
    <cellStyle name="_Medição de PV's por Aderencia_16072008 a 15082008_D_Ret_Fixa_EMP" xfId="5911"/>
    <cellStyle name="_Medição de PV's por Aderencia_16072008 a 15082008_D_Ret_Fixa_VAR" xfId="5912"/>
    <cellStyle name="_Medição de PV's por Aderencia_16072008 a 15082008_Mig Ret 3G" xfId="5913"/>
    <cellStyle name="_Medição de PV's por Aderencia_16072008 a 15082008_Movel" xfId="5914"/>
    <cellStyle name="_Medição de PV's por Aderencia_16082007 a 16092007" xfId="5915"/>
    <cellStyle name="_Medição de PV's por Aderencia_16082007 a 16092007_Base" xfId="5916"/>
    <cellStyle name="_Medição de PV's por Aderencia_16082007 a 16092007_D_Ret_Fixa_EMP" xfId="5917"/>
    <cellStyle name="_Medição de PV's por Aderencia_16082007 a 16092007_D_Ret_Fixa_VAR" xfId="5918"/>
    <cellStyle name="_Medição de PV's por Aderencia_16082007 a 16092007_Mig Ret 3G" xfId="5919"/>
    <cellStyle name="_Medição de PV's por Aderencia_16082007 a 16092007_Movel" xfId="5920"/>
    <cellStyle name="_Medição de PV's por Aderencia_16082008 a 15092008" xfId="5921"/>
    <cellStyle name="_Medição de PV's por Aderencia_16082008 a 15092008_Base" xfId="5922"/>
    <cellStyle name="_Medição de PV's por Aderencia_16082008 a 15092008_D_Ret_Fixa_EMP" xfId="5923"/>
    <cellStyle name="_Medição de PV's por Aderencia_16082008 a 15092008_D_Ret_Fixa_VAR" xfId="5924"/>
    <cellStyle name="_Medição de PV's por Aderencia_16082008 a 15092008_Mig Ret 3G" xfId="5925"/>
    <cellStyle name="_Medição de PV's por Aderencia_16082008 a 15092008_Movel" xfId="5926"/>
    <cellStyle name="_Medição de PV's por Aderencia_16092006 a 15102006_New2" xfId="5927"/>
    <cellStyle name="_Medição de PV's por Aderencia_16092006 a 15102006_New2_Base" xfId="5928"/>
    <cellStyle name="_Medição de PV's por Aderencia_16092006 a 15102006_New2_D_Ret_Fixa_EMP" xfId="5929"/>
    <cellStyle name="_Medição de PV's por Aderencia_16092006 a 15102006_New2_D_Ret_Fixa_VAR" xfId="5930"/>
    <cellStyle name="_Medição de PV's por Aderencia_16092006 a 15102006_New2_Mig Ret 3G" xfId="5931"/>
    <cellStyle name="_Medição de PV's por Aderencia_16092006 a 15102006_New2_Movel" xfId="5932"/>
    <cellStyle name="_Medição de PV's por Aderencia_16102006 a 15112006_New3" xfId="5933"/>
    <cellStyle name="_Medição de PV's por Aderencia_16102006 a 15112006_New3_Base" xfId="5934"/>
    <cellStyle name="_Medição de PV's por Aderencia_16102006 a 15112006_New3_D_Ret_Fixa_EMP" xfId="5935"/>
    <cellStyle name="_Medição de PV's por Aderencia_16102006 a 15112006_New3_D_Ret_Fixa_VAR" xfId="5936"/>
    <cellStyle name="_Medição de PV's por Aderencia_16102006 a 15112006_New3_Mig Ret 3G" xfId="5937"/>
    <cellStyle name="_Medição de PV's por Aderencia_16102006 a 15112006_New3_Movel" xfId="5938"/>
    <cellStyle name="_Medição de PV's por Aderencia_16102007 a 15112007" xfId="5939"/>
    <cellStyle name="_Medição de PV's por Aderencia_16102007 a 15112007_Base" xfId="5940"/>
    <cellStyle name="_Medição de PV's por Aderencia_16102007 a 15112007_D_Ret_Fixa_EMP" xfId="5941"/>
    <cellStyle name="_Medição de PV's por Aderencia_16102007 a 15112007_D_Ret_Fixa_VAR" xfId="5942"/>
    <cellStyle name="_Medição de PV's por Aderencia_16102007 a 15112007_Mig Ret 3G" xfId="5943"/>
    <cellStyle name="_Medição de PV's por Aderencia_16102007 a 15112007_Movel" xfId="5944"/>
    <cellStyle name="_Medição de PV's por Aderencia_16112006 a 15122006" xfId="5945"/>
    <cellStyle name="_Medição de PV's por Aderencia_16112006 a 15122006_Base" xfId="5946"/>
    <cellStyle name="_Medição de PV's por Aderencia_16112006 a 15122006_D_Ret_Fixa_EMP" xfId="5947"/>
    <cellStyle name="_Medição de PV's por Aderencia_16112006 a 15122006_D_Ret_Fixa_VAR" xfId="5948"/>
    <cellStyle name="_Medição de PV's por Aderencia_16112006 a 15122006_Mig Ret 3G" xfId="5949"/>
    <cellStyle name="_Medição de PV's por Aderencia_16112006 a 15122006_Movel" xfId="5950"/>
    <cellStyle name="_Medição de PV's por Aderencia_16112007 a 16122007" xfId="5951"/>
    <cellStyle name="_Medição de PV's por Aderencia_16112007 a 16122007_Base" xfId="5952"/>
    <cellStyle name="_Medição de PV's por Aderencia_16112007 a 16122007_D_Ret_Fixa_EMP" xfId="5953"/>
    <cellStyle name="_Medição de PV's por Aderencia_16112007 a 16122007_D_Ret_Fixa_VAR" xfId="5954"/>
    <cellStyle name="_Medição de PV's por Aderencia_16112007 a 16122007_Mig Ret 3G" xfId="5955"/>
    <cellStyle name="_Medição de PV's por Aderencia_16112007 a 16122007_Movel" xfId="5956"/>
    <cellStyle name="_Medição de PV's por Aderencia_16122006 a 15012007" xfId="5957"/>
    <cellStyle name="_Medição de PV's por Aderencia_16122006 a 15012007_Base" xfId="5958"/>
    <cellStyle name="_Medição de PV's por Aderencia_16122006 a 15012007_D_Ret_Fixa_EMP" xfId="5959"/>
    <cellStyle name="_Medição de PV's por Aderencia_16122006 a 15012007_D_Ret_Fixa_VAR" xfId="5960"/>
    <cellStyle name="_Medição de PV's por Aderencia_16122006 a 15012007_Mig Ret 3G" xfId="5961"/>
    <cellStyle name="_Medição de PV's por Aderencia_16122006 a 15012007_Movel" xfId="5962"/>
    <cellStyle name="_Medição de PV's por Aderencia_17032008 a 15042008" xfId="5963"/>
    <cellStyle name="_Medição de PV's por Aderencia_17032008 a 15042008_Base" xfId="5964"/>
    <cellStyle name="_Medição de PV's por Aderencia_17032008 a 15042008_D_Ret_Fixa_EMP" xfId="5965"/>
    <cellStyle name="_Medição de PV's por Aderencia_17032008 a 15042008_D_Ret_Fixa_VAR" xfId="5966"/>
    <cellStyle name="_Medição de PV's por Aderencia_17032008 a 15042008_Mig Ret 3G" xfId="5967"/>
    <cellStyle name="_Medição de PV's por Aderencia_17032008 a 15042008_Movel" xfId="5968"/>
    <cellStyle name="_Medição de PV's por Aderencia_17092007 a 15102007" xfId="5969"/>
    <cellStyle name="_Medição de PV's por Aderencia_17092007 a 15102007_Base" xfId="5970"/>
    <cellStyle name="_Medição de PV's por Aderencia_17092007 a 15102007_D_Ret_Fixa_EMP" xfId="5971"/>
    <cellStyle name="_Medição de PV's por Aderencia_17092007 a 15102007_D_Ret_Fixa_VAR" xfId="5972"/>
    <cellStyle name="_Medição de PV's por Aderencia_17092007 a 15102007_Mig Ret 3G" xfId="5973"/>
    <cellStyle name="_Medição de PV's por Aderencia_17092007 a 15102007_Movel" xfId="5974"/>
    <cellStyle name="_Medição de PV's por Aderencia_17122007 a 15012008" xfId="5975"/>
    <cellStyle name="_Medição de PV's por Aderencia_17122007 a 15012008_Base" xfId="5976"/>
    <cellStyle name="_Medição de PV's por Aderencia_17122007 a 15012008_D_Ret_Fixa_EMP" xfId="5977"/>
    <cellStyle name="_Medição de PV's por Aderencia_17122007 a 15012008_D_Ret_Fixa_VAR" xfId="5978"/>
    <cellStyle name="_Medição de PV's por Aderencia_17122007 a 15012008_Mig Ret 3G" xfId="5979"/>
    <cellStyle name="_Medição de PV's por Aderencia_17122007 a 15012008_Movel" xfId="5980"/>
    <cellStyle name="_Memoria" xfId="5981"/>
    <cellStyle name="_Memoria_BD Resumo diário Painel de Televendas Abril 2011" xfId="5982"/>
    <cellStyle name="_Memoria_BD Resumo diário Painel de Televendas Janeiro 2011" xfId="5983"/>
    <cellStyle name="_Memoria_BD Resumo diário Painel de Televendas Setembro 2010_BASE_UNICA" xfId="5984"/>
    <cellStyle name="_Memoria_Faturamento TLV_Varejo_Ago 16-07 a 15-08-09 - V4 - Validação Cliente" xfId="5985"/>
    <cellStyle name="_Memoria_Faturamento TLV_Varejo_Ago 16-07 a 15-08-09 - V4 - Validação Cliente_BD Resumo diário Painel de Televendas Abril 2011" xfId="5986"/>
    <cellStyle name="_Memoria_Faturamento TLV_Varejo_Ago 16-07 a 15-08-09 - V4 - Validação Cliente_BD Resumo diário Painel de Televendas Janeiro 2011" xfId="5987"/>
    <cellStyle name="_Memoria_Faturamento TLV_Varejo_Ago 16-07 a 15-08-09 - V4 - Validação Cliente_BD Resumo diário Painel de Televendas Setembro 2010_BASE_UNICA" xfId="5988"/>
    <cellStyle name="_Memoria_Faturamento TLV_Varejo_Ago 16-07 a 15-08-09 - V4 - Validação Cliente_Painel de Retenção Junho 2011" xfId="5989"/>
    <cellStyle name="_Memoria_Faturamento TLV_Varejo_Ago 16-07 a 15-08-09 - V4 - Validação Cliente_Pasta1" xfId="5990"/>
    <cellStyle name="_Memoria_Faturamento TLV_Varejo_Ago 16-07 a 15-08-09 - V4 - Validação Cliente_Plan1" xfId="5991"/>
    <cellStyle name="_Memoria_Faturamento TLV_Varejo_Ago 16-07 a 15-08-09 - V4 - Validação Cliente_Plan2" xfId="5992"/>
    <cellStyle name="_Memoria_Faturamento TLV_Varejo_Ago 16-07 a 15-08-09 - V4 - Validação Cliente_Retenção" xfId="5993"/>
    <cellStyle name="_Memoria_Faturamento TLV_Varejo_Ago 16-07 a 15-08-09 - V4 - Validação Cliente_Retenção Painel" xfId="5994"/>
    <cellStyle name="_Memoria_Faturamento TLV_Varejo_Ago 16-07 a 15-08-09 - V4 - Validação Cliente_Televendas Painel" xfId="5995"/>
    <cellStyle name="_Memoria_Faturamento TLV_Varejo_Ago 16-07 a 15-08-09 - V4 - Validação Cliente_Televendas Painel_ant" xfId="5996"/>
    <cellStyle name="_Memoria_MBV" xfId="5997"/>
    <cellStyle name="_Memoria_MBV_Base" xfId="5998"/>
    <cellStyle name="_Memoria_MBV_D_Ret_Fixa_EMP" xfId="5999"/>
    <cellStyle name="_Memoria_MBV_D_Ret_Fixa_VAR" xfId="6000"/>
    <cellStyle name="_Memoria_MBV_Mig Ret 3G" xfId="6001"/>
    <cellStyle name="_Memoria_MBV_Movel" xfId="6002"/>
    <cellStyle name="_Memória_Oi_Fixo" xfId="6003"/>
    <cellStyle name="_Memória_Oi_Fixo 2" xfId="6004"/>
    <cellStyle name="_Memória_Oi_Fixo_Base" xfId="6005"/>
    <cellStyle name="_Memória_Oi_Fixo_D_Movel" xfId="6006"/>
    <cellStyle name="_Memória_Oi_Fixo_D_Ret_Fixa_EMP" xfId="6007"/>
    <cellStyle name="_Memória_Oi_Fixo_D_Ret_Fixa_EMP_1" xfId="6008"/>
    <cellStyle name="_Memória_Oi_Fixo_D_Ret_Fixa_EMP_2" xfId="6009"/>
    <cellStyle name="_Memória_Oi_Fixo_D_Ret_Fixa_EMP_3" xfId="6010"/>
    <cellStyle name="_Memória_Oi_Fixo_D_Ret_Fixa_EMP_4" xfId="6011"/>
    <cellStyle name="_Memória_Oi_Fixo_D_Ret_Fixa_EMP_5" xfId="6012"/>
    <cellStyle name="_Memória_Oi_Fixo_D_Ret_Fixa_EMP_6" xfId="6013"/>
    <cellStyle name="_Memória_Oi_Fixo_D_Ret_Fixa_EMP_7" xfId="6014"/>
    <cellStyle name="_Memória_Oi_Fixo_D_Ret_Fixa_EMP_8" xfId="6015"/>
    <cellStyle name="_Memória_Oi_Fixo_D_Ret_Fixa_VAR" xfId="6016"/>
    <cellStyle name="_Memória_Oi_Fixo_D_Ret_Fixa_VAR_1" xfId="6017"/>
    <cellStyle name="_Memória_Oi_Fixo_D_Ret_Fixa_VAR_2" xfId="6018"/>
    <cellStyle name="_Memória_Oi_Fixo_D_Ret_Fixa_VAR_3" xfId="6019"/>
    <cellStyle name="_Memória_Oi_Fixo_D_Ret_Fixa_VAR_4" xfId="6020"/>
    <cellStyle name="_Memória_Oi_Fixo_D_Ret_Fixa_VAR_5" xfId="6021"/>
    <cellStyle name="_Memória_Oi_Fixo_D_Ret_Fixa_VAR_6" xfId="6022"/>
    <cellStyle name="_Memória_Oi_Fixo_D_Ret_Fixa_VAR_7" xfId="6023"/>
    <cellStyle name="_Memória_Oi_Fixo_D_Ret_Fixa_VAR_8" xfId="6024"/>
    <cellStyle name="_Memória_Oi_Fixo_Mig Ret 3G" xfId="6025"/>
    <cellStyle name="_Memória_Oi_Fixo_Mig Ret 3G_1" xfId="6026"/>
    <cellStyle name="_Memória_Oi_Fixo_Mig Ret 3G_2" xfId="6027"/>
    <cellStyle name="_Memória_Oi_Fixo_Mig Ret 3G_3" xfId="6028"/>
    <cellStyle name="_Memória_Oi_Fixo_Mig Ret 3G_4" xfId="6029"/>
    <cellStyle name="_Memória_Oi_Fixo_Mig Ret 3G_5" xfId="6030"/>
    <cellStyle name="_Memória_Oi_Fixo_Mig Ret 3G_6" xfId="6031"/>
    <cellStyle name="_Memória_Oi_Fixo_Mig Ret 3G_7" xfId="6032"/>
    <cellStyle name="_Memória_Oi_Fixo_Movel" xfId="6033"/>
    <cellStyle name="_Memória_Oi_Fixo_Movel_1" xfId="6034"/>
    <cellStyle name="_Memória_Oi_Fixo_Movel_2" xfId="6035"/>
    <cellStyle name="_Memória_Oi_Fixo_Movel_3" xfId="6036"/>
    <cellStyle name="_Memória_Oi_Fixo_Movel_4" xfId="6037"/>
    <cellStyle name="_Memória_Oi_Fixo_Movel_5" xfId="6038"/>
    <cellStyle name="_Memória_Oi_Fixo_Movel_6" xfId="6039"/>
    <cellStyle name="_Memória_Oi_Fixo_Movel_7" xfId="6040"/>
    <cellStyle name="_Memória_Oi_Fixo_Retenção" xfId="6041"/>
    <cellStyle name="_Memoria_Painel de Retenção Junho 2011" xfId="6042"/>
    <cellStyle name="_Memoria_Pasta1" xfId="6043"/>
    <cellStyle name="_Memoria_Plan1" xfId="6044"/>
    <cellStyle name="_Memoria_Plan2" xfId="6045"/>
    <cellStyle name="_Memoria_Retenção" xfId="6046"/>
    <cellStyle name="_Memoria_Retenção Painel" xfId="6047"/>
    <cellStyle name="_Memoria_Televendas Painel" xfId="6048"/>
    <cellStyle name="_Memoria_Televendas Painel_ant" xfId="6049"/>
    <cellStyle name="_Memoria_TENDÊNCIA RET VAR CONTROLE" xfId="6050"/>
    <cellStyle name="_Memoria_TENDÊNCIA RET VAR CONTROLE_Base" xfId="6051"/>
    <cellStyle name="_Memoria_TENDÊNCIA RET VAR CONTROLE_D_Ret_Fixa_EMP" xfId="6052"/>
    <cellStyle name="_Memoria_TENDÊNCIA RET VAR CONTROLE_D_Ret_Fixa_EMP_1" xfId="6053"/>
    <cellStyle name="_Memoria_TENDÊNCIA RET VAR CONTROLE_D_Ret_Fixa_EMP_2" xfId="6054"/>
    <cellStyle name="_Memoria_TENDÊNCIA RET VAR CONTROLE_D_Ret_Fixa_EMP_3" xfId="6055"/>
    <cellStyle name="_Memoria_TENDÊNCIA RET VAR CONTROLE_D_Ret_Fixa_EMP_4" xfId="6056"/>
    <cellStyle name="_Memoria_TENDÊNCIA RET VAR CONTROLE_D_Ret_Fixa_EMP_5" xfId="6057"/>
    <cellStyle name="_Memoria_TENDÊNCIA RET VAR CONTROLE_D_Ret_Fixa_EMP_6" xfId="6058"/>
    <cellStyle name="_Memoria_TENDÊNCIA RET VAR CONTROLE_D_Ret_Fixa_EMP_7" xfId="6059"/>
    <cellStyle name="_Memoria_TENDÊNCIA RET VAR CONTROLE_D_Ret_Fixa_EMP_8" xfId="6060"/>
    <cellStyle name="_Memoria_TENDÊNCIA RET VAR CONTROLE_D_Ret_Fixa_VAR" xfId="6061"/>
    <cellStyle name="_Memoria_TENDÊNCIA RET VAR CONTROLE_D_Ret_Fixa_VAR_1" xfId="6062"/>
    <cellStyle name="_Memoria_TENDÊNCIA RET VAR CONTROLE_D_Ret_Fixa_VAR_2" xfId="6063"/>
    <cellStyle name="_Memoria_TENDÊNCIA RET VAR CONTROLE_D_Ret_Fixa_VAR_3" xfId="6064"/>
    <cellStyle name="_Memoria_TENDÊNCIA RET VAR CONTROLE_D_Ret_Fixa_VAR_4" xfId="6065"/>
    <cellStyle name="_Memoria_TENDÊNCIA RET VAR CONTROLE_D_Ret_Fixa_VAR_5" xfId="6066"/>
    <cellStyle name="_Memoria_TENDÊNCIA RET VAR CONTROLE_D_Ret_Fixa_VAR_6" xfId="6067"/>
    <cellStyle name="_Memoria_TENDÊNCIA RET VAR CONTROLE_D_Ret_Fixa_VAR_7" xfId="6068"/>
    <cellStyle name="_Memoria_TENDÊNCIA RET VAR CONTROLE_D_Ret_Fixa_VAR_8" xfId="6069"/>
    <cellStyle name="_Memoria_TENDÊNCIA RET VAR CONTROLE_Mig Ret 3G" xfId="6070"/>
    <cellStyle name="_Memoria_TENDÊNCIA RET VAR CONTROLE_Mig Ret 3G_1" xfId="6071"/>
    <cellStyle name="_Memoria_TENDÊNCIA RET VAR CONTROLE_Mig Ret 3G_2" xfId="6072"/>
    <cellStyle name="_Memoria_TENDÊNCIA RET VAR CONTROLE_Mig Ret 3G_3" xfId="6073"/>
    <cellStyle name="_Memoria_TENDÊNCIA RET VAR CONTROLE_Mig Ret 3G_4" xfId="6074"/>
    <cellStyle name="_Memoria_TENDÊNCIA RET VAR CONTROLE_Mig Ret 3G_5" xfId="6075"/>
    <cellStyle name="_Memoria_TENDÊNCIA RET VAR CONTROLE_Mig Ret 3G_6" xfId="6076"/>
    <cellStyle name="_Memoria_TENDÊNCIA RET VAR CONTROLE_Mig Ret 3G_7" xfId="6077"/>
    <cellStyle name="_Memoria_TENDÊNCIA RET VAR CONTROLE_Movel" xfId="6078"/>
    <cellStyle name="_Memoria_TENDÊNCIA RET VAR CONTROLE_Movel_1" xfId="6079"/>
    <cellStyle name="_Memoria_TENDÊNCIA RET VAR CONTROLE_Movel_2" xfId="6080"/>
    <cellStyle name="_Memoria_TENDÊNCIA RET VAR CONTROLE_Movel_3" xfId="6081"/>
    <cellStyle name="_Memoria_TENDÊNCIA RET VAR CONTROLE_Movel_4" xfId="6082"/>
    <cellStyle name="_Memoria_TENDÊNCIA RET VAR CONTROLE_Movel_5" xfId="6083"/>
    <cellStyle name="_Memoria_TENDÊNCIA RET VAR CONTROLE_Movel_6" xfId="6084"/>
    <cellStyle name="_Memoria_TENDÊNCIA RET VAR CONTROLE_Movel_7" xfId="6085"/>
    <cellStyle name="_Memoria_TENDÊNCIA RET VAR CONTROLE_Retenção" xfId="6086"/>
    <cellStyle name="_Memoria_TENDÊNCIA RET VAR VOL" xfId="6087"/>
    <cellStyle name="_Memoria_TENDÊNCIA RET VAR VOL 2" xfId="6088"/>
    <cellStyle name="_Memoria_TENDÊNCIA RET VAR VOL_Base" xfId="6089"/>
    <cellStyle name="_Memoria_TENDÊNCIA RET VAR VOL_D_Movel" xfId="6090"/>
    <cellStyle name="_Memoria_TENDÊNCIA RET VAR VOL_D_Ret_Fixa_EMP" xfId="6091"/>
    <cellStyle name="_Memoria_TENDÊNCIA RET VAR VOL_D_Ret_Fixa_EMP_1" xfId="6092"/>
    <cellStyle name="_Memoria_TENDÊNCIA RET VAR VOL_D_Ret_Fixa_EMP_2" xfId="6093"/>
    <cellStyle name="_Memoria_TENDÊNCIA RET VAR VOL_D_Ret_Fixa_EMP_3" xfId="6094"/>
    <cellStyle name="_Memoria_TENDÊNCIA RET VAR VOL_D_Ret_Fixa_EMP_4" xfId="6095"/>
    <cellStyle name="_Memoria_TENDÊNCIA RET VAR VOL_D_Ret_Fixa_EMP_5" xfId="6096"/>
    <cellStyle name="_Memoria_TENDÊNCIA RET VAR VOL_D_Ret_Fixa_EMP_6" xfId="6097"/>
    <cellStyle name="_Memoria_TENDÊNCIA RET VAR VOL_D_Ret_Fixa_EMP_7" xfId="6098"/>
    <cellStyle name="_Memoria_TENDÊNCIA RET VAR VOL_D_Ret_Fixa_EMP_8" xfId="6099"/>
    <cellStyle name="_Memoria_TENDÊNCIA RET VAR VOL_D_Ret_Fixa_VAR" xfId="6100"/>
    <cellStyle name="_Memoria_TENDÊNCIA RET VAR VOL_D_Ret_Fixa_VAR_1" xfId="6101"/>
    <cellStyle name="_Memoria_TENDÊNCIA RET VAR VOL_D_Ret_Fixa_VAR_2" xfId="6102"/>
    <cellStyle name="_Memoria_TENDÊNCIA RET VAR VOL_D_Ret_Fixa_VAR_3" xfId="6103"/>
    <cellStyle name="_Memoria_TENDÊNCIA RET VAR VOL_D_Ret_Fixa_VAR_4" xfId="6104"/>
    <cellStyle name="_Memoria_TENDÊNCIA RET VAR VOL_D_Ret_Fixa_VAR_5" xfId="6105"/>
    <cellStyle name="_Memoria_TENDÊNCIA RET VAR VOL_D_Ret_Fixa_VAR_6" xfId="6106"/>
    <cellStyle name="_Memoria_TENDÊNCIA RET VAR VOL_D_Ret_Fixa_VAR_7" xfId="6107"/>
    <cellStyle name="_Memoria_TENDÊNCIA RET VAR VOL_D_Ret_Fixa_VAR_8" xfId="6108"/>
    <cellStyle name="_Memoria_TENDÊNCIA RET VAR VOL_Mig Ret 3G" xfId="6109"/>
    <cellStyle name="_Memoria_TENDÊNCIA RET VAR VOL_Mig Ret 3G_1" xfId="6110"/>
    <cellStyle name="_Memoria_TENDÊNCIA RET VAR VOL_Mig Ret 3G_2" xfId="6111"/>
    <cellStyle name="_Memoria_TENDÊNCIA RET VAR VOL_Mig Ret 3G_3" xfId="6112"/>
    <cellStyle name="_Memoria_TENDÊNCIA RET VAR VOL_Mig Ret 3G_4" xfId="6113"/>
    <cellStyle name="_Memoria_TENDÊNCIA RET VAR VOL_Mig Ret 3G_5" xfId="6114"/>
    <cellStyle name="_Memoria_TENDÊNCIA RET VAR VOL_Mig Ret 3G_6" xfId="6115"/>
    <cellStyle name="_Memoria_TENDÊNCIA RET VAR VOL_Mig Ret 3G_7" xfId="6116"/>
    <cellStyle name="_Memoria_TENDÊNCIA RET VAR VOL_Movel" xfId="6117"/>
    <cellStyle name="_Memoria_TENDÊNCIA RET VAR VOL_Movel_1" xfId="6118"/>
    <cellStyle name="_Memoria_TENDÊNCIA RET VAR VOL_Movel_2" xfId="6119"/>
    <cellStyle name="_Memoria_TENDÊNCIA RET VAR VOL_Movel_3" xfId="6120"/>
    <cellStyle name="_Memoria_TENDÊNCIA RET VAR VOL_Movel_4" xfId="6121"/>
    <cellStyle name="_Memoria_TENDÊNCIA RET VAR VOL_Movel_5" xfId="6122"/>
    <cellStyle name="_Memoria_TENDÊNCIA RET VAR VOL_Movel_6" xfId="6123"/>
    <cellStyle name="_Memoria_TENDÊNCIA RET VAR VOL_Movel_7" xfId="6124"/>
    <cellStyle name="_Memoria_TENDÊNCIA RET VAR VOL_Retenção" xfId="6125"/>
    <cellStyle name="_Memory Cards" xfId="6126"/>
    <cellStyle name="_Mentor(W629)" xfId="6127"/>
    <cellStyle name="_Menu" xfId="6128"/>
    <cellStyle name="_Menu_1" xfId="6129"/>
    <cellStyle name="_Menu_1 2" xfId="6130"/>
    <cellStyle name="_Menu_1_Base" xfId="6131"/>
    <cellStyle name="_Menu_1_D_Movel" xfId="6132"/>
    <cellStyle name="_Menu_1_D_Ret_Fixa_EMP" xfId="6133"/>
    <cellStyle name="_Menu_1_D_Ret_Fixa_EMP_1" xfId="6134"/>
    <cellStyle name="_Menu_1_D_Ret_Fixa_EMP_2" xfId="6135"/>
    <cellStyle name="_Menu_1_D_Ret_Fixa_EMP_3" xfId="6136"/>
    <cellStyle name="_Menu_1_D_Ret_Fixa_EMP_4" xfId="6137"/>
    <cellStyle name="_Menu_1_D_Ret_Fixa_EMP_5" xfId="6138"/>
    <cellStyle name="_Menu_1_D_Ret_Fixa_EMP_6" xfId="6139"/>
    <cellStyle name="_Menu_1_D_Ret_Fixa_EMP_7" xfId="6140"/>
    <cellStyle name="_Menu_1_D_Ret_Fixa_EMP_8" xfId="6141"/>
    <cellStyle name="_Menu_1_D_Ret_Fixa_VAR" xfId="6142"/>
    <cellStyle name="_Menu_1_D_Ret_Fixa_VAR_1" xfId="6143"/>
    <cellStyle name="_Menu_1_D_Ret_Fixa_VAR_2" xfId="6144"/>
    <cellStyle name="_Menu_1_D_Ret_Fixa_VAR_3" xfId="6145"/>
    <cellStyle name="_Menu_1_D_Ret_Fixa_VAR_4" xfId="6146"/>
    <cellStyle name="_Menu_1_D_Ret_Fixa_VAR_5" xfId="6147"/>
    <cellStyle name="_Menu_1_D_Ret_Fixa_VAR_6" xfId="6148"/>
    <cellStyle name="_Menu_1_D_Ret_Fixa_VAR_7" xfId="6149"/>
    <cellStyle name="_Menu_1_D_Ret_Fixa_VAR_8" xfId="6150"/>
    <cellStyle name="_Menu_1_Mig Ret 3G" xfId="6151"/>
    <cellStyle name="_Menu_1_Mig Ret 3G_1" xfId="6152"/>
    <cellStyle name="_Menu_1_Mig Ret 3G_2" xfId="6153"/>
    <cellStyle name="_Menu_1_Mig Ret 3G_3" xfId="6154"/>
    <cellStyle name="_Menu_1_Mig Ret 3G_4" xfId="6155"/>
    <cellStyle name="_Menu_1_Mig Ret 3G_5" xfId="6156"/>
    <cellStyle name="_Menu_1_Mig Ret 3G_6" xfId="6157"/>
    <cellStyle name="_Menu_1_Mig Ret 3G_7" xfId="6158"/>
    <cellStyle name="_Menu_1_Movel" xfId="6159"/>
    <cellStyle name="_Menu_1_Movel_1" xfId="6160"/>
    <cellStyle name="_Menu_1_Movel_2" xfId="6161"/>
    <cellStyle name="_Menu_1_Movel_3" xfId="6162"/>
    <cellStyle name="_Menu_1_Movel_4" xfId="6163"/>
    <cellStyle name="_Menu_1_Movel_5" xfId="6164"/>
    <cellStyle name="_Menu_1_Movel_6" xfId="6165"/>
    <cellStyle name="_Menu_1_Movel_7" xfId="6166"/>
    <cellStyle name="_Menu_1_Retenção" xfId="6167"/>
    <cellStyle name="_Menu_Base" xfId="6168"/>
    <cellStyle name="_Menu_D_Ret_Fixa_EMP" xfId="6169"/>
    <cellStyle name="_Menu_D_Ret_Fixa_VAR" xfId="6170"/>
    <cellStyle name="_Menu_Mig Ret 3G" xfId="6171"/>
    <cellStyle name="_Menu_Movel" xfId="6172"/>
    <cellStyle name="_Menu_Transmissão_v11" xfId="6173"/>
    <cellStyle name="_Meta Recarga Reg 2_Julho_v1" xfId="6174"/>
    <cellStyle name="_METAS" xfId="6175"/>
    <cellStyle name="_METAS_BD Resumo diário Painel de Televendas Abril 2011" xfId="6176"/>
    <cellStyle name="_METAS_BD Resumo diário Painel de Televendas Janeiro 2011" xfId="6177"/>
    <cellStyle name="_METAS_BD Resumo diário Painel de Televendas Setembro 2010_BASE_UNICA" xfId="6178"/>
    <cellStyle name="_METAS_Faturamento TLV_Varejo_Ago 16-07 a 15-08-09 - V4 - Validação Cliente" xfId="6179"/>
    <cellStyle name="_METAS_Faturamento TLV_Varejo_Ago 16-07 a 15-08-09 - V4 - Validação Cliente_BD Resumo diário Painel de Televendas Abril 2011" xfId="6180"/>
    <cellStyle name="_METAS_Faturamento TLV_Varejo_Ago 16-07 a 15-08-09 - V4 - Validação Cliente_BD Resumo diário Painel de Televendas Janeiro 2011" xfId="6181"/>
    <cellStyle name="_METAS_Faturamento TLV_Varejo_Ago 16-07 a 15-08-09 - V4 - Validação Cliente_BD Resumo diário Painel de Televendas Setembro 2010_BASE_UNICA" xfId="6182"/>
    <cellStyle name="_METAS_Faturamento TLV_Varejo_Ago 16-07 a 15-08-09 - V4 - Validação Cliente_Painel de Retenção Junho 2011" xfId="6183"/>
    <cellStyle name="_METAS_Faturamento TLV_Varejo_Ago 16-07 a 15-08-09 - V4 - Validação Cliente_Pasta1" xfId="6184"/>
    <cellStyle name="_METAS_Faturamento TLV_Varejo_Ago 16-07 a 15-08-09 - V4 - Validação Cliente_Plan1" xfId="6185"/>
    <cellStyle name="_METAS_Faturamento TLV_Varejo_Ago 16-07 a 15-08-09 - V4 - Validação Cliente_Plan2" xfId="6186"/>
    <cellStyle name="_METAS_Faturamento TLV_Varejo_Ago 16-07 a 15-08-09 - V4 - Validação Cliente_Retenção" xfId="6187"/>
    <cellStyle name="_METAS_Faturamento TLV_Varejo_Ago 16-07 a 15-08-09 - V4 - Validação Cliente_Retenção Painel" xfId="6188"/>
    <cellStyle name="_METAS_Faturamento TLV_Varejo_Ago 16-07 a 15-08-09 - V4 - Validação Cliente_Televendas Painel" xfId="6189"/>
    <cellStyle name="_METAS_Faturamento TLV_Varejo_Ago 16-07 a 15-08-09 - V4 - Validação Cliente_Televendas Painel_ant" xfId="6190"/>
    <cellStyle name="_METAS_Painel de Retenção Junho 2011" xfId="6191"/>
    <cellStyle name="_METAS_Pasta1" xfId="6192"/>
    <cellStyle name="_METAS_Plan1" xfId="6193"/>
    <cellStyle name="_METAS_Plan2" xfId="6194"/>
    <cellStyle name="_METAS_Retenção" xfId="6195"/>
    <cellStyle name="_METAS_Retenção Painel" xfId="6196"/>
    <cellStyle name="_METAS_Televendas Painel" xfId="6197"/>
    <cellStyle name="_METAS_Televendas Painel_ant" xfId="6198"/>
    <cellStyle name="_METAS_TENDÊNCIA RET VAR CONTROLE" xfId="6199"/>
    <cellStyle name="_METAS_TENDÊNCIA RET VAR CONTROLE_Base" xfId="6200"/>
    <cellStyle name="_METAS_TENDÊNCIA RET VAR CONTROLE_D_Ret_Fixa_EMP" xfId="6201"/>
    <cellStyle name="_METAS_TENDÊNCIA RET VAR CONTROLE_D_Ret_Fixa_EMP_1" xfId="6202"/>
    <cellStyle name="_METAS_TENDÊNCIA RET VAR CONTROLE_D_Ret_Fixa_EMP_2" xfId="6203"/>
    <cellStyle name="_METAS_TENDÊNCIA RET VAR CONTROLE_D_Ret_Fixa_EMP_3" xfId="6204"/>
    <cellStyle name="_METAS_TENDÊNCIA RET VAR CONTROLE_D_Ret_Fixa_EMP_4" xfId="6205"/>
    <cellStyle name="_METAS_TENDÊNCIA RET VAR CONTROLE_D_Ret_Fixa_EMP_5" xfId="6206"/>
    <cellStyle name="_METAS_TENDÊNCIA RET VAR CONTROLE_D_Ret_Fixa_EMP_6" xfId="6207"/>
    <cellStyle name="_METAS_TENDÊNCIA RET VAR CONTROLE_D_Ret_Fixa_EMP_7" xfId="6208"/>
    <cellStyle name="_METAS_TENDÊNCIA RET VAR CONTROLE_D_Ret_Fixa_EMP_8" xfId="6209"/>
    <cellStyle name="_METAS_TENDÊNCIA RET VAR CONTROLE_D_Ret_Fixa_VAR" xfId="6210"/>
    <cellStyle name="_METAS_TENDÊNCIA RET VAR CONTROLE_D_Ret_Fixa_VAR_1" xfId="6211"/>
    <cellStyle name="_METAS_TENDÊNCIA RET VAR CONTROLE_D_Ret_Fixa_VAR_2" xfId="6212"/>
    <cellStyle name="_METAS_TENDÊNCIA RET VAR CONTROLE_D_Ret_Fixa_VAR_3" xfId="6213"/>
    <cellStyle name="_METAS_TENDÊNCIA RET VAR CONTROLE_D_Ret_Fixa_VAR_4" xfId="6214"/>
    <cellStyle name="_METAS_TENDÊNCIA RET VAR CONTROLE_D_Ret_Fixa_VAR_5" xfId="6215"/>
    <cellStyle name="_METAS_TENDÊNCIA RET VAR CONTROLE_D_Ret_Fixa_VAR_6" xfId="6216"/>
    <cellStyle name="_METAS_TENDÊNCIA RET VAR CONTROLE_D_Ret_Fixa_VAR_7" xfId="6217"/>
    <cellStyle name="_METAS_TENDÊNCIA RET VAR CONTROLE_D_Ret_Fixa_VAR_8" xfId="6218"/>
    <cellStyle name="_METAS_TENDÊNCIA RET VAR CONTROLE_Mig Ret 3G" xfId="6219"/>
    <cellStyle name="_METAS_TENDÊNCIA RET VAR CONTROLE_Mig Ret 3G_1" xfId="6220"/>
    <cellStyle name="_METAS_TENDÊNCIA RET VAR CONTROLE_Mig Ret 3G_2" xfId="6221"/>
    <cellStyle name="_METAS_TENDÊNCIA RET VAR CONTROLE_Mig Ret 3G_3" xfId="6222"/>
    <cellStyle name="_METAS_TENDÊNCIA RET VAR CONTROLE_Mig Ret 3G_4" xfId="6223"/>
    <cellStyle name="_METAS_TENDÊNCIA RET VAR CONTROLE_Mig Ret 3G_5" xfId="6224"/>
    <cellStyle name="_METAS_TENDÊNCIA RET VAR CONTROLE_Mig Ret 3G_6" xfId="6225"/>
    <cellStyle name="_METAS_TENDÊNCIA RET VAR CONTROLE_Mig Ret 3G_7" xfId="6226"/>
    <cellStyle name="_METAS_TENDÊNCIA RET VAR CONTROLE_Movel" xfId="6227"/>
    <cellStyle name="_METAS_TENDÊNCIA RET VAR CONTROLE_Movel_1" xfId="6228"/>
    <cellStyle name="_METAS_TENDÊNCIA RET VAR CONTROLE_Movel_2" xfId="6229"/>
    <cellStyle name="_METAS_TENDÊNCIA RET VAR CONTROLE_Movel_3" xfId="6230"/>
    <cellStyle name="_METAS_TENDÊNCIA RET VAR CONTROLE_Movel_4" xfId="6231"/>
    <cellStyle name="_METAS_TENDÊNCIA RET VAR CONTROLE_Movel_5" xfId="6232"/>
    <cellStyle name="_METAS_TENDÊNCIA RET VAR CONTROLE_Movel_6" xfId="6233"/>
    <cellStyle name="_METAS_TENDÊNCIA RET VAR CONTROLE_Movel_7" xfId="6234"/>
    <cellStyle name="_METAS_TENDÊNCIA RET VAR CONTROLE_Retenção" xfId="6235"/>
    <cellStyle name="_METAS_TENDÊNCIA RET VAR VOL" xfId="6236"/>
    <cellStyle name="_METAS_TENDÊNCIA RET VAR VOL 2" xfId="6237"/>
    <cellStyle name="_METAS_TENDÊNCIA RET VAR VOL_Base" xfId="6238"/>
    <cellStyle name="_METAS_TENDÊNCIA RET VAR VOL_D_Movel" xfId="6239"/>
    <cellStyle name="_METAS_TENDÊNCIA RET VAR VOL_D_Ret_Fixa_EMP" xfId="6240"/>
    <cellStyle name="_METAS_TENDÊNCIA RET VAR VOL_D_Ret_Fixa_EMP_1" xfId="6241"/>
    <cellStyle name="_METAS_TENDÊNCIA RET VAR VOL_D_Ret_Fixa_EMP_2" xfId="6242"/>
    <cellStyle name="_METAS_TENDÊNCIA RET VAR VOL_D_Ret_Fixa_EMP_3" xfId="6243"/>
    <cellStyle name="_METAS_TENDÊNCIA RET VAR VOL_D_Ret_Fixa_EMP_4" xfId="6244"/>
    <cellStyle name="_METAS_TENDÊNCIA RET VAR VOL_D_Ret_Fixa_EMP_5" xfId="6245"/>
    <cellStyle name="_METAS_TENDÊNCIA RET VAR VOL_D_Ret_Fixa_EMP_6" xfId="6246"/>
    <cellStyle name="_METAS_TENDÊNCIA RET VAR VOL_D_Ret_Fixa_EMP_7" xfId="6247"/>
    <cellStyle name="_METAS_TENDÊNCIA RET VAR VOL_D_Ret_Fixa_EMP_8" xfId="6248"/>
    <cellStyle name="_METAS_TENDÊNCIA RET VAR VOL_D_Ret_Fixa_VAR" xfId="6249"/>
    <cellStyle name="_METAS_TENDÊNCIA RET VAR VOL_D_Ret_Fixa_VAR_1" xfId="6250"/>
    <cellStyle name="_METAS_TENDÊNCIA RET VAR VOL_D_Ret_Fixa_VAR_2" xfId="6251"/>
    <cellStyle name="_METAS_TENDÊNCIA RET VAR VOL_D_Ret_Fixa_VAR_3" xfId="6252"/>
    <cellStyle name="_METAS_TENDÊNCIA RET VAR VOL_D_Ret_Fixa_VAR_4" xfId="6253"/>
    <cellStyle name="_METAS_TENDÊNCIA RET VAR VOL_D_Ret_Fixa_VAR_5" xfId="6254"/>
    <cellStyle name="_METAS_TENDÊNCIA RET VAR VOL_D_Ret_Fixa_VAR_6" xfId="6255"/>
    <cellStyle name="_METAS_TENDÊNCIA RET VAR VOL_D_Ret_Fixa_VAR_7" xfId="6256"/>
    <cellStyle name="_METAS_TENDÊNCIA RET VAR VOL_D_Ret_Fixa_VAR_8" xfId="6257"/>
    <cellStyle name="_METAS_TENDÊNCIA RET VAR VOL_Mig Ret 3G" xfId="6258"/>
    <cellStyle name="_METAS_TENDÊNCIA RET VAR VOL_Mig Ret 3G_1" xfId="6259"/>
    <cellStyle name="_METAS_TENDÊNCIA RET VAR VOL_Mig Ret 3G_2" xfId="6260"/>
    <cellStyle name="_METAS_TENDÊNCIA RET VAR VOL_Mig Ret 3G_3" xfId="6261"/>
    <cellStyle name="_METAS_TENDÊNCIA RET VAR VOL_Mig Ret 3G_4" xfId="6262"/>
    <cellStyle name="_METAS_TENDÊNCIA RET VAR VOL_Mig Ret 3G_5" xfId="6263"/>
    <cellStyle name="_METAS_TENDÊNCIA RET VAR VOL_Mig Ret 3G_6" xfId="6264"/>
    <cellStyle name="_METAS_TENDÊNCIA RET VAR VOL_Mig Ret 3G_7" xfId="6265"/>
    <cellStyle name="_METAS_TENDÊNCIA RET VAR VOL_Movel" xfId="6266"/>
    <cellStyle name="_METAS_TENDÊNCIA RET VAR VOL_Movel_1" xfId="6267"/>
    <cellStyle name="_METAS_TENDÊNCIA RET VAR VOL_Movel_2" xfId="6268"/>
    <cellStyle name="_METAS_TENDÊNCIA RET VAR VOL_Movel_3" xfId="6269"/>
    <cellStyle name="_METAS_TENDÊNCIA RET VAR VOL_Movel_4" xfId="6270"/>
    <cellStyle name="_METAS_TENDÊNCIA RET VAR VOL_Movel_5" xfId="6271"/>
    <cellStyle name="_METAS_TENDÊNCIA RET VAR VOL_Movel_6" xfId="6272"/>
    <cellStyle name="_METAS_TENDÊNCIA RET VAR VOL_Movel_7" xfId="6273"/>
    <cellStyle name="_METAS_TENDÊNCIA RET VAR VOL_Retenção" xfId="6274"/>
    <cellStyle name="_Mexico post weekly report(5W 2010)" xfId="6275"/>
    <cellStyle name="_Mobile Handsets Q1 2008 LatAm" xfId="6276"/>
    <cellStyle name="_Mobile Handsets Q1 2008 LatAm 2" xfId="6277"/>
    <cellStyle name="_Mobile Handsets Q1 2008 LatAm 3" xfId="6278"/>
    <cellStyle name="_Mobile Handsets Q1 2008 LatAm 4" xfId="6279"/>
    <cellStyle name="_Mobile Handsets Q1 2008 LatAm 5" xfId="6280"/>
    <cellStyle name="_Mobile Handsets Q1 2008 LatAm 6" xfId="6281"/>
    <cellStyle name="_Mobile Handsets Q1 2008 LatAm 7" xfId="6282"/>
    <cellStyle name="_Mobile Handsets Q1 2008 LatAm 8" xfId="6283"/>
    <cellStyle name="_Mobile Handsets Q1 2008 LatAm 9" xfId="6284"/>
    <cellStyle name="_Mobile Handsets Q1 2008 LatAm_08년 3분기 경쟁사 가격 세부 정보_0430_(송부)" xfId="6285"/>
    <cellStyle name="_Mobile Handsets Q1 2008 LatAm_08년 3분기 경쟁사 가격 세부 정보_0430_(송부) 2" xfId="6286"/>
    <cellStyle name="_Mobile Handsets Q1 2008 LatAm_08년 3분기 경쟁사 가격 세부 정보_0430_(송부) 3" xfId="6287"/>
    <cellStyle name="_Mobile Handsets Q1 2008 LatAm_08년 3분기 경쟁사 가격 세부 정보_0430_(송부) 4" xfId="6288"/>
    <cellStyle name="_Mobile Handsets Q1 2008 LatAm_08년 3분기 경쟁사 가격 세부 정보_0430_(송부) 5" xfId="6289"/>
    <cellStyle name="_Mobile Handsets Q1 2008 LatAm_08년 3분기 경쟁사 가격 세부 정보_0430_(송부) 6" xfId="6290"/>
    <cellStyle name="_Mobile Handsets Q1 2008 LatAm_08년 3분기 경쟁사 가격 세부 정보_0430_(송부) 7" xfId="6291"/>
    <cellStyle name="_Mobile Handsets Q1 2008 LatAm_08년 3분기 경쟁사 가격 세부 정보_0430_(송부) 8" xfId="6292"/>
    <cellStyle name="_Mobile Handsets Q1 2008 LatAm_08년 3분기 경쟁사 가격 세부 정보_0430_(송부) 9" xfId="6293"/>
    <cellStyle name="_Mobile Handsets Q1 2008 LatAm_08년 3분기 경쟁사 가격 세부 정보_0430_(송부)_Claro Deal Q409" xfId="6294"/>
    <cellStyle name="_Mobile Handsets Q1 2008 LatAm_08년 3분기 경쟁사 가격 세부 정보_0430_(송부)_Claro Deal Q409 final" xfId="6295"/>
    <cellStyle name="_Mobile Handsets Q1 2008 LatAm_08년 3분기 경쟁사 가격 세부 정보_0430_(송부)_Claro Q309 final version" xfId="6296"/>
    <cellStyle name="_Mobile Handsets Q1 2008 LatAm_08년 3분기 경쟁사 가격 세부 정보_0430_(송부)_Claro Q309 final version_Claro Deal Q409" xfId="6297"/>
    <cellStyle name="_Mobile Handsets Q1 2008 LatAm_08년 3분기 경쟁사 가격 세부 정보_0430_(송부)_Claro Q309 final version_Claro Deal Q409 final" xfId="6298"/>
    <cellStyle name="_Mobile Handsets Q1 2008 LatAm_08년 3분기 경쟁사 가격 세부 정보_0430_(송부)_Q3 Claro deal 07jul09" xfId="6299"/>
    <cellStyle name="_Mobile Handsets Q1 2008 LatAm_08년 3분기 경쟁사 가격 세부 정보_0430_(송부)_Q3 Claro deal 07jul09_Claro Deal Q409" xfId="6300"/>
    <cellStyle name="_Mobile Handsets Q1 2008 LatAm_08년 3분기 경쟁사 가격 세부 정보_0430_(송부)_Q3 Claro deal 07jul09_Claro Deal Q409 final" xfId="6301"/>
    <cellStyle name="_Mobile Handsets Q1 2008 LatAm_08년 3분기 경쟁사 가격 세부 정보_0430_(송부)_Q3 Claro deal 15jul09" xfId="6302"/>
    <cellStyle name="_Mobile Handsets Q1 2008 LatAm_08년 3분기 경쟁사 가격 세부 정보_0430_(송부)_Q3 Claro deal 15jul09_Claro Deal Q409" xfId="6303"/>
    <cellStyle name="_Mobile Handsets Q1 2008 LatAm_08년 3분기 경쟁사 가격 세부 정보_0430_(송부)_Q3 Claro deal 15jul09_Claro Deal Q409 final" xfId="6304"/>
    <cellStyle name="_Mobile Handsets Q1 2008 LatAm_08년 3분기 경쟁사 가격 세부 정보_0430_(송부)_Q3 Claro proposal_v2" xfId="6305"/>
    <cellStyle name="_Mobile Handsets Q1 2008 LatAm_08년 3분기 경쟁사 가격 세부 정보_0430_(송부)_Q3 Claro proposal_v2_Claro Deal Q409" xfId="6306"/>
    <cellStyle name="_Mobile Handsets Q1 2008 LatAm_08년 3분기 경쟁사 가격 세부 정보_0430_(송부)_Q3 Claro proposal_v2_Claro Deal Q409 final" xfId="6307"/>
    <cellStyle name="_Mobile Handsets Q1 2008 LatAm_08년 3분기 경쟁사 가격 세부 정보_0430_(송부)_Q3 Claro Tabelas Precos" xfId="6308"/>
    <cellStyle name="_Mobile Handsets Q1 2008 LatAm_08년 3분기 경쟁사 가격 세부 정보_0430_(송부)_Q3 Claro Tabelas Precos_Claro Deal Q409" xfId="6309"/>
    <cellStyle name="_Mobile Handsets Q1 2008 LatAm_08년 3분기 경쟁사 가격 세부 정보_0430_(송부)_Q3 Claro Tabelas Precos_Claro Deal Q409 final" xfId="6310"/>
    <cellStyle name="_Mobile Handsets Q1 2008 LatAm_08년 3분기 경쟁사 가격 세부 정보_0430_작업" xfId="6311"/>
    <cellStyle name="_Mobile Handsets Q1 2008 LatAm_08년 3분기 경쟁사 가격 세부 정보_0430_작업 2" xfId="6312"/>
    <cellStyle name="_Mobile Handsets Q1 2008 LatAm_08년 3분기 경쟁사 가격 세부 정보_0430_작업 3" xfId="6313"/>
    <cellStyle name="_Mobile Handsets Q1 2008 LatAm_08년 3분기 경쟁사 가격 세부 정보_0430_작업 4" xfId="6314"/>
    <cellStyle name="_Mobile Handsets Q1 2008 LatAm_08년 3분기 경쟁사 가격 세부 정보_0430_작업 5" xfId="6315"/>
    <cellStyle name="_Mobile Handsets Q1 2008 LatAm_08년 3분기 경쟁사 가격 세부 정보_0430_작업 6" xfId="6316"/>
    <cellStyle name="_Mobile Handsets Q1 2008 LatAm_08년 3분기 경쟁사 가격 세부 정보_0430_작업 7" xfId="6317"/>
    <cellStyle name="_Mobile Handsets Q1 2008 LatAm_08년 3분기 경쟁사 가격 세부 정보_0430_작업 8" xfId="6318"/>
    <cellStyle name="_Mobile Handsets Q1 2008 LatAm_08년 3분기 경쟁사 가격 세부 정보_0430_작업 9" xfId="6319"/>
    <cellStyle name="_Mobile Handsets Q1 2008 LatAm_08년 3분기 경쟁사 가격 세부 정보_0430_작업_Claro Deal Q409" xfId="6320"/>
    <cellStyle name="_Mobile Handsets Q1 2008 LatAm_08년 3분기 경쟁사 가격 세부 정보_0430_작업_Claro Deal Q409 final" xfId="6321"/>
    <cellStyle name="_Mobile Handsets Q1 2008 LatAm_08년 3분기 경쟁사 가격 세부 정보_0430_작업_Claro Q309 final version" xfId="6322"/>
    <cellStyle name="_Mobile Handsets Q1 2008 LatAm_08년 3분기 경쟁사 가격 세부 정보_0430_작업_Claro Q309 final version_Claro Deal Q409" xfId="6323"/>
    <cellStyle name="_Mobile Handsets Q1 2008 LatAm_08년 3분기 경쟁사 가격 세부 정보_0430_작업_Claro Q309 final version_Claro Deal Q409 final" xfId="6324"/>
    <cellStyle name="_Mobile Handsets Q1 2008 LatAm_08년 3분기 경쟁사 가격 세부 정보_0430_작업_Q3 Claro deal 07jul09" xfId="6325"/>
    <cellStyle name="_Mobile Handsets Q1 2008 LatAm_08년 3분기 경쟁사 가격 세부 정보_0430_작업_Q3 Claro deal 07jul09_Claro Deal Q409" xfId="6326"/>
    <cellStyle name="_Mobile Handsets Q1 2008 LatAm_08년 3분기 경쟁사 가격 세부 정보_0430_작업_Q3 Claro deal 07jul09_Claro Deal Q409 final" xfId="6327"/>
    <cellStyle name="_Mobile Handsets Q1 2008 LatAm_08년 3분기 경쟁사 가격 세부 정보_0430_작업_Q3 Claro deal 15jul09" xfId="6328"/>
    <cellStyle name="_Mobile Handsets Q1 2008 LatAm_08년 3분기 경쟁사 가격 세부 정보_0430_작업_Q3 Claro deal 15jul09_Claro Deal Q409" xfId="6329"/>
    <cellStyle name="_Mobile Handsets Q1 2008 LatAm_08년 3분기 경쟁사 가격 세부 정보_0430_작업_Q3 Claro deal 15jul09_Claro Deal Q409 final" xfId="6330"/>
    <cellStyle name="_Mobile Handsets Q1 2008 LatAm_08년 3분기 경쟁사 가격 세부 정보_0430_작업_Q3 Claro proposal_v2" xfId="6331"/>
    <cellStyle name="_Mobile Handsets Q1 2008 LatAm_08년 3분기 경쟁사 가격 세부 정보_0430_작업_Q3 Claro proposal_v2_Claro Deal Q409" xfId="6332"/>
    <cellStyle name="_Mobile Handsets Q1 2008 LatAm_08년 3분기 경쟁사 가격 세부 정보_0430_작업_Q3 Claro proposal_v2_Claro Deal Q409 final" xfId="6333"/>
    <cellStyle name="_Mobile Handsets Q1 2008 LatAm_08년 3분기 경쟁사 가격 세부 정보_0430_작업_Q3 Claro Tabelas Precos" xfId="6334"/>
    <cellStyle name="_Mobile Handsets Q1 2008 LatAm_08년 3분기 경쟁사 가격 세부 정보_0430_작업_Q3 Claro Tabelas Precos_Claro Deal Q409" xfId="6335"/>
    <cellStyle name="_Mobile Handsets Q1 2008 LatAm_08년 3분기 경쟁사 가격 세부 정보_0430_작업_Q3 Claro Tabelas Precos_Claro Deal Q409 final" xfId="6336"/>
    <cellStyle name="_Mobile Handsets Q1 2008 LatAm_Claro Deal Q409" xfId="6337"/>
    <cellStyle name="_Mobile Handsets Q1 2008 LatAm_Claro Deal Q409 final" xfId="6338"/>
    <cellStyle name="_Mobile Handsets Q1 2008 LatAm_Claro Q309 final version" xfId="6339"/>
    <cellStyle name="_Mobile Handsets Q1 2008 LatAm_Claro Q309 final version_Claro Deal Q409" xfId="6340"/>
    <cellStyle name="_Mobile Handsets Q1 2008 LatAm_Claro Q309 final version_Claro Deal Q409 final" xfId="6341"/>
    <cellStyle name="_Mobile Handsets Q1 2008 LatAm_Q3 Claro deal 07jul09" xfId="6342"/>
    <cellStyle name="_Mobile Handsets Q1 2008 LatAm_Q3 Claro deal 07jul09_Claro Deal Q409" xfId="6343"/>
    <cellStyle name="_Mobile Handsets Q1 2008 LatAm_Q3 Claro deal 07jul09_Claro Deal Q409 final" xfId="6344"/>
    <cellStyle name="_Mobile Handsets Q1 2008 LatAm_Q3 Claro deal 15jul09" xfId="6345"/>
    <cellStyle name="_Mobile Handsets Q1 2008 LatAm_Q3 Claro deal 15jul09_Claro Deal Q409" xfId="6346"/>
    <cellStyle name="_Mobile Handsets Q1 2008 LatAm_Q3 Claro deal 15jul09_Claro Deal Q409 final" xfId="6347"/>
    <cellStyle name="_Mobile Handsets Q1 2008 LatAm_Q3 Claro proposal_v2" xfId="6348"/>
    <cellStyle name="_Mobile Handsets Q1 2008 LatAm_Q3 Claro proposal_v2_Claro Deal Q409" xfId="6349"/>
    <cellStyle name="_Mobile Handsets Q1 2008 LatAm_Q3 Claro proposal_v2_Claro Deal Q409 final" xfId="6350"/>
    <cellStyle name="_Mobile Handsets Q1 2008 LatAm_Q3 Claro Tabelas Precos" xfId="6351"/>
    <cellStyle name="_Mobile Handsets Q1 2008 LatAm_Q3 Claro Tabelas Precos_Claro Deal Q409" xfId="6352"/>
    <cellStyle name="_Mobile Handsets Q1 2008 LatAm_Q3 Claro Tabelas Precos_Claro Deal Q409 final" xfId="6353"/>
    <cellStyle name="_Mobile Handsets Q1 2008 LatAm_Telefonica 08년 3분기 경쟁상황 (0510)" xfId="6354"/>
    <cellStyle name="_Mobile Handsets Q1 2008 LatAm_Telefonica 08년 3분기 경쟁상황 (0510) 2" xfId="6355"/>
    <cellStyle name="_Mobile Handsets Q1 2008 LatAm_Telefonica 08년 3분기 경쟁상황 (0510) 3" xfId="6356"/>
    <cellStyle name="_Mobile Handsets Q1 2008 LatAm_Telefonica 08년 3분기 경쟁상황 (0510) 4" xfId="6357"/>
    <cellStyle name="_Mobile Handsets Q1 2008 LatAm_Telefonica 08년 3분기 경쟁상황 (0510) 5" xfId="6358"/>
    <cellStyle name="_Mobile Handsets Q1 2008 LatAm_Telefonica 08년 3분기 경쟁상황 (0510) 6" xfId="6359"/>
    <cellStyle name="_Mobile Handsets Q1 2008 LatAm_Telefonica 08년 3분기 경쟁상황 (0510) 7" xfId="6360"/>
    <cellStyle name="_Mobile Handsets Q1 2008 LatAm_Telefonica 08년 3분기 경쟁상황 (0510) 8" xfId="6361"/>
    <cellStyle name="_Mobile Handsets Q1 2008 LatAm_Telefonica 08년 3분기 경쟁상황 (0510) 9" xfId="6362"/>
    <cellStyle name="_Mobile Handsets Q1 2008 LatAm_Telefonica 08년 3분기 경쟁상황 (0510)_Claro Deal Q409" xfId="6363"/>
    <cellStyle name="_Mobile Handsets Q1 2008 LatAm_Telefonica 08년 3분기 경쟁상황 (0510)_Claro Deal Q409 final" xfId="6364"/>
    <cellStyle name="_Mobile Handsets Q1 2008 LatAm_Telefonica 08년 3분기 경쟁상황 (0510)_Claro Q309 final version" xfId="6365"/>
    <cellStyle name="_Mobile Handsets Q1 2008 LatAm_Telefonica 08년 3분기 경쟁상황 (0510)_Claro Q309 final version_Claro Deal Q409" xfId="6366"/>
    <cellStyle name="_Mobile Handsets Q1 2008 LatAm_Telefonica 08년 3분기 경쟁상황 (0510)_Claro Q309 final version_Claro Deal Q409 final" xfId="6367"/>
    <cellStyle name="_Mobile Handsets Q1 2008 LatAm_Telefonica 08년 3분기 경쟁상황 (0510)_Q3 Claro deal 07jul09" xfId="6368"/>
    <cellStyle name="_Mobile Handsets Q1 2008 LatAm_Telefonica 08년 3분기 경쟁상황 (0510)_Q3 Claro deal 07jul09_Claro Deal Q409" xfId="6369"/>
    <cellStyle name="_Mobile Handsets Q1 2008 LatAm_Telefonica 08년 3분기 경쟁상황 (0510)_Q3 Claro deal 07jul09_Claro Deal Q409 final" xfId="6370"/>
    <cellStyle name="_Mobile Handsets Q1 2008 LatAm_Telefonica 08년 3분기 경쟁상황 (0510)_Q3 Claro deal 15jul09" xfId="6371"/>
    <cellStyle name="_Mobile Handsets Q1 2008 LatAm_Telefonica 08년 3분기 경쟁상황 (0510)_Q3 Claro deal 15jul09_Claro Deal Q409" xfId="6372"/>
    <cellStyle name="_Mobile Handsets Q1 2008 LatAm_Telefonica 08년 3분기 경쟁상황 (0510)_Q3 Claro deal 15jul09_Claro Deal Q409 final" xfId="6373"/>
    <cellStyle name="_Mobile Handsets Q1 2008 LatAm_Telefonica 08년 3분기 경쟁상황 (0510)_Q3 Claro proposal_v2" xfId="6374"/>
    <cellStyle name="_Mobile Handsets Q1 2008 LatAm_Telefonica 08년 3분기 경쟁상황 (0510)_Q3 Claro proposal_v2_Claro Deal Q409" xfId="6375"/>
    <cellStyle name="_Mobile Handsets Q1 2008 LatAm_Telefonica 08년 3분기 경쟁상황 (0510)_Q3 Claro proposal_v2_Claro Deal Q409 final" xfId="6376"/>
    <cellStyle name="_Mobile Handsets Q1 2008 LatAm_Telefonica 08년 3분기 경쟁상황 (0510)_Q3 Claro Tabelas Precos" xfId="6377"/>
    <cellStyle name="_Mobile Handsets Q1 2008 LatAm_Telefonica 08년 3분기 경쟁상황 (0510)_Q3 Claro Tabelas Precos_Claro Deal Q409" xfId="6378"/>
    <cellStyle name="_Mobile Handsets Q1 2008 LatAm_Telefonica 08년 3분기 경쟁상황 (0510)_Q3 Claro Tabelas Precos_Claro Deal Q409 final" xfId="6379"/>
    <cellStyle name="_Motive(SCH-B179)" xfId="6380"/>
    <cellStyle name="_MP3 Price request(080612)" xfId="6381"/>
    <cellStyle name="_Nova Medição de PV's por Aderencia 15042008 a 14052008" xfId="6382"/>
    <cellStyle name="_Nova Medição de PV's por Aderencia 15042008 a 14052008_Base" xfId="6383"/>
    <cellStyle name="_Nova Medição de PV's por Aderencia 15042008 a 14052008_D_Ret_Fixa_EMP" xfId="6384"/>
    <cellStyle name="_Nova Medição de PV's por Aderencia 15042008 a 14052008_D_Ret_Fixa_VAR" xfId="6385"/>
    <cellStyle name="_Nova Medição de PV's por Aderencia 15042008 a 14052008_Mig Ret 3G" xfId="6386"/>
    <cellStyle name="_Nova Medição de PV's por Aderencia 15042008 a 14052008_Movel" xfId="6387"/>
    <cellStyle name="_Novo relatório retenção" xfId="6388"/>
    <cellStyle name="_Novo relatório retenção (2)" xfId="6389"/>
    <cellStyle name="_ocorrencias BA1" xfId="6390"/>
    <cellStyle name="_Ocorrencias_cliente_MG" xfId="6391"/>
    <cellStyle name="_Ocorrencias_contax_MG" xfId="6392"/>
    <cellStyle name="_OCT v_ Final" xfId="6393"/>
    <cellStyle name="_OCT v_ Final_BD Resumo diário Painel de Televendas Abril 2011" xfId="6394"/>
    <cellStyle name="_OCT v_ Final_BD Resumo diário Painel de Televendas Janeiro 2011" xfId="6395"/>
    <cellStyle name="_OCT v_ Final_BD Resumo diário Painel de Televendas Setembro 2010_BASE_UNICA" xfId="6396"/>
    <cellStyle name="_OCT v_ Final_Painel de Retenção Junho 2011" xfId="6397"/>
    <cellStyle name="_OCT v_ Final_Pasta1" xfId="6398"/>
    <cellStyle name="_OCT v_ Final_Plan1" xfId="6399"/>
    <cellStyle name="_OCT v_ Final_Plan2" xfId="6400"/>
    <cellStyle name="_OCT v_ Final_Retenção" xfId="6401"/>
    <cellStyle name="_OCT v_ Final_Retenção Painel" xfId="6402"/>
    <cellStyle name="_OCT v_ Final_Televendas Painel" xfId="6403"/>
    <cellStyle name="_OCT v_ Final_Televendas Painel_ant" xfId="6404"/>
    <cellStyle name="_OCT v_ Final_TENDÊNCIA RET VAR CONTROLE" xfId="6405"/>
    <cellStyle name="_OCT v_ Final_TENDÊNCIA RET VAR CONTROLE_Base" xfId="6406"/>
    <cellStyle name="_OCT v_ Final_TENDÊNCIA RET VAR CONTROLE_D_Ret_Fixa_EMP" xfId="6407"/>
    <cellStyle name="_OCT v_ Final_TENDÊNCIA RET VAR CONTROLE_D_Ret_Fixa_EMP_1" xfId="6408"/>
    <cellStyle name="_OCT v_ Final_TENDÊNCIA RET VAR CONTROLE_D_Ret_Fixa_EMP_2" xfId="6409"/>
    <cellStyle name="_OCT v_ Final_TENDÊNCIA RET VAR CONTROLE_D_Ret_Fixa_EMP_3" xfId="6410"/>
    <cellStyle name="_OCT v_ Final_TENDÊNCIA RET VAR CONTROLE_D_Ret_Fixa_EMP_4" xfId="6411"/>
    <cellStyle name="_OCT v_ Final_TENDÊNCIA RET VAR CONTROLE_D_Ret_Fixa_EMP_5" xfId="6412"/>
    <cellStyle name="_OCT v_ Final_TENDÊNCIA RET VAR CONTROLE_D_Ret_Fixa_EMP_6" xfId="6413"/>
    <cellStyle name="_OCT v_ Final_TENDÊNCIA RET VAR CONTROLE_D_Ret_Fixa_EMP_7" xfId="6414"/>
    <cellStyle name="_OCT v_ Final_TENDÊNCIA RET VAR CONTROLE_D_Ret_Fixa_EMP_8" xfId="6415"/>
    <cellStyle name="_OCT v_ Final_TENDÊNCIA RET VAR CONTROLE_D_Ret_Fixa_VAR" xfId="6416"/>
    <cellStyle name="_OCT v_ Final_TENDÊNCIA RET VAR CONTROLE_D_Ret_Fixa_VAR_1" xfId="6417"/>
    <cellStyle name="_OCT v_ Final_TENDÊNCIA RET VAR CONTROLE_D_Ret_Fixa_VAR_2" xfId="6418"/>
    <cellStyle name="_OCT v_ Final_TENDÊNCIA RET VAR CONTROLE_D_Ret_Fixa_VAR_3" xfId="6419"/>
    <cellStyle name="_OCT v_ Final_TENDÊNCIA RET VAR CONTROLE_D_Ret_Fixa_VAR_4" xfId="6420"/>
    <cellStyle name="_OCT v_ Final_TENDÊNCIA RET VAR CONTROLE_D_Ret_Fixa_VAR_5" xfId="6421"/>
    <cellStyle name="_OCT v_ Final_TENDÊNCIA RET VAR CONTROLE_D_Ret_Fixa_VAR_6" xfId="6422"/>
    <cellStyle name="_OCT v_ Final_TENDÊNCIA RET VAR CONTROLE_D_Ret_Fixa_VAR_7" xfId="6423"/>
    <cellStyle name="_OCT v_ Final_TENDÊNCIA RET VAR CONTROLE_D_Ret_Fixa_VAR_8" xfId="6424"/>
    <cellStyle name="_OCT v_ Final_TENDÊNCIA RET VAR CONTROLE_Mig Ret 3G" xfId="6425"/>
    <cellStyle name="_OCT v_ Final_TENDÊNCIA RET VAR CONTROLE_Mig Ret 3G_1" xfId="6426"/>
    <cellStyle name="_OCT v_ Final_TENDÊNCIA RET VAR CONTROLE_Mig Ret 3G_2" xfId="6427"/>
    <cellStyle name="_OCT v_ Final_TENDÊNCIA RET VAR CONTROLE_Mig Ret 3G_3" xfId="6428"/>
    <cellStyle name="_OCT v_ Final_TENDÊNCIA RET VAR CONTROLE_Mig Ret 3G_4" xfId="6429"/>
    <cellStyle name="_OCT v_ Final_TENDÊNCIA RET VAR CONTROLE_Mig Ret 3G_5" xfId="6430"/>
    <cellStyle name="_OCT v_ Final_TENDÊNCIA RET VAR CONTROLE_Mig Ret 3G_6" xfId="6431"/>
    <cellStyle name="_OCT v_ Final_TENDÊNCIA RET VAR CONTROLE_Mig Ret 3G_7" xfId="6432"/>
    <cellStyle name="_OCT v_ Final_TENDÊNCIA RET VAR CONTROLE_Movel" xfId="6433"/>
    <cellStyle name="_OCT v_ Final_TENDÊNCIA RET VAR CONTROLE_Movel_1" xfId="6434"/>
    <cellStyle name="_OCT v_ Final_TENDÊNCIA RET VAR CONTROLE_Movel_2" xfId="6435"/>
    <cellStyle name="_OCT v_ Final_TENDÊNCIA RET VAR CONTROLE_Movel_3" xfId="6436"/>
    <cellStyle name="_OCT v_ Final_TENDÊNCIA RET VAR CONTROLE_Movel_4" xfId="6437"/>
    <cellStyle name="_OCT v_ Final_TENDÊNCIA RET VAR CONTROLE_Movel_5" xfId="6438"/>
    <cellStyle name="_OCT v_ Final_TENDÊNCIA RET VAR CONTROLE_Movel_6" xfId="6439"/>
    <cellStyle name="_OCT v_ Final_TENDÊNCIA RET VAR CONTROLE_Movel_7" xfId="6440"/>
    <cellStyle name="_OCT v_ Final_TENDÊNCIA RET VAR CONTROLE_Retenção" xfId="6441"/>
    <cellStyle name="_OCT v_ Final_TENDÊNCIA RET VAR VOL" xfId="6442"/>
    <cellStyle name="_OCT v_ Final_TENDÊNCIA RET VAR VOL 2" xfId="6443"/>
    <cellStyle name="_OCT v_ Final_TENDÊNCIA RET VAR VOL_Base" xfId="6444"/>
    <cellStyle name="_OCT v_ Final_TENDÊNCIA RET VAR VOL_D_Movel" xfId="6445"/>
    <cellStyle name="_OCT v_ Final_TENDÊNCIA RET VAR VOL_D_Ret_Fixa_EMP" xfId="6446"/>
    <cellStyle name="_OCT v_ Final_TENDÊNCIA RET VAR VOL_D_Ret_Fixa_EMP_1" xfId="6447"/>
    <cellStyle name="_OCT v_ Final_TENDÊNCIA RET VAR VOL_D_Ret_Fixa_EMP_2" xfId="6448"/>
    <cellStyle name="_OCT v_ Final_TENDÊNCIA RET VAR VOL_D_Ret_Fixa_EMP_3" xfId="6449"/>
    <cellStyle name="_OCT v_ Final_TENDÊNCIA RET VAR VOL_D_Ret_Fixa_EMP_4" xfId="6450"/>
    <cellStyle name="_OCT v_ Final_TENDÊNCIA RET VAR VOL_D_Ret_Fixa_EMP_5" xfId="6451"/>
    <cellStyle name="_OCT v_ Final_TENDÊNCIA RET VAR VOL_D_Ret_Fixa_EMP_6" xfId="6452"/>
    <cellStyle name="_OCT v_ Final_TENDÊNCIA RET VAR VOL_D_Ret_Fixa_EMP_7" xfId="6453"/>
    <cellStyle name="_OCT v_ Final_TENDÊNCIA RET VAR VOL_D_Ret_Fixa_EMP_8" xfId="6454"/>
    <cellStyle name="_OCT v_ Final_TENDÊNCIA RET VAR VOL_D_Ret_Fixa_VAR" xfId="6455"/>
    <cellStyle name="_OCT v_ Final_TENDÊNCIA RET VAR VOL_D_Ret_Fixa_VAR_1" xfId="6456"/>
    <cellStyle name="_OCT v_ Final_TENDÊNCIA RET VAR VOL_D_Ret_Fixa_VAR_2" xfId="6457"/>
    <cellStyle name="_OCT v_ Final_TENDÊNCIA RET VAR VOL_D_Ret_Fixa_VAR_3" xfId="6458"/>
    <cellStyle name="_OCT v_ Final_TENDÊNCIA RET VAR VOL_D_Ret_Fixa_VAR_4" xfId="6459"/>
    <cellStyle name="_OCT v_ Final_TENDÊNCIA RET VAR VOL_D_Ret_Fixa_VAR_5" xfId="6460"/>
    <cellStyle name="_OCT v_ Final_TENDÊNCIA RET VAR VOL_D_Ret_Fixa_VAR_6" xfId="6461"/>
    <cellStyle name="_OCT v_ Final_TENDÊNCIA RET VAR VOL_D_Ret_Fixa_VAR_7" xfId="6462"/>
    <cellStyle name="_OCT v_ Final_TENDÊNCIA RET VAR VOL_D_Ret_Fixa_VAR_8" xfId="6463"/>
    <cellStyle name="_OCT v_ Final_TENDÊNCIA RET VAR VOL_Mig Ret 3G" xfId="6464"/>
    <cellStyle name="_OCT v_ Final_TENDÊNCIA RET VAR VOL_Mig Ret 3G_1" xfId="6465"/>
    <cellStyle name="_OCT v_ Final_TENDÊNCIA RET VAR VOL_Mig Ret 3G_2" xfId="6466"/>
    <cellStyle name="_OCT v_ Final_TENDÊNCIA RET VAR VOL_Mig Ret 3G_3" xfId="6467"/>
    <cellStyle name="_OCT v_ Final_TENDÊNCIA RET VAR VOL_Mig Ret 3G_4" xfId="6468"/>
    <cellStyle name="_OCT v_ Final_TENDÊNCIA RET VAR VOL_Mig Ret 3G_5" xfId="6469"/>
    <cellStyle name="_OCT v_ Final_TENDÊNCIA RET VAR VOL_Mig Ret 3G_6" xfId="6470"/>
    <cellStyle name="_OCT v_ Final_TENDÊNCIA RET VAR VOL_Mig Ret 3G_7" xfId="6471"/>
    <cellStyle name="_OCT v_ Final_TENDÊNCIA RET VAR VOL_Movel" xfId="6472"/>
    <cellStyle name="_OCT v_ Final_TENDÊNCIA RET VAR VOL_Movel_1" xfId="6473"/>
    <cellStyle name="_OCT v_ Final_TENDÊNCIA RET VAR VOL_Movel_2" xfId="6474"/>
    <cellStyle name="_OCT v_ Final_TENDÊNCIA RET VAR VOL_Movel_3" xfId="6475"/>
    <cellStyle name="_OCT v_ Final_TENDÊNCIA RET VAR VOL_Movel_4" xfId="6476"/>
    <cellStyle name="_OCT v_ Final_TENDÊNCIA RET VAR VOL_Movel_5" xfId="6477"/>
    <cellStyle name="_OCT v_ Final_TENDÊNCIA RET VAR VOL_Movel_6" xfId="6478"/>
    <cellStyle name="_OCT v_ Final_TENDÊNCIA RET VAR VOL_Movel_7" xfId="6479"/>
    <cellStyle name="_OCT v_ Final_TENDÊNCIA RET VAR VOL_Retenção" xfId="6480"/>
    <cellStyle name="_Painel TI Retenção 01_2008" xfId="6481"/>
    <cellStyle name="_Painel TI Retenção 02_2008" xfId="6482"/>
    <cellStyle name="_Painel TI Retenção 03_2008" xfId="6483"/>
    <cellStyle name="_Paradas Sistemicas - Painel TI Retenção 01_2008" xfId="6484"/>
    <cellStyle name="_Pasta1" xfId="6485"/>
    <cellStyle name="_Pasta1_BD Resumo diário Painel de Televendas Abril 2011" xfId="6486"/>
    <cellStyle name="_Pasta1_BD Resumo diário Painel de Televendas Janeiro 2011" xfId="6487"/>
    <cellStyle name="_Pasta1_BD Resumo diário Painel de Televendas Setembro 2010_BASE_UNICA" xfId="6488"/>
    <cellStyle name="_Pasta1_Faturamento TLV_Varejo_Ago 16-07 a 15-08-09 - V4 - Validação Cliente" xfId="6489"/>
    <cellStyle name="_Pasta1_Faturamento TLV_Varejo_Ago 16-07 a 15-08-09 - V4 - Validação Cliente_BD Resumo diário Painel de Televendas Abril 2011" xfId="6490"/>
    <cellStyle name="_Pasta1_Faturamento TLV_Varejo_Ago 16-07 a 15-08-09 - V4 - Validação Cliente_BD Resumo diário Painel de Televendas Janeiro 2011" xfId="6491"/>
    <cellStyle name="_Pasta1_Faturamento TLV_Varejo_Ago 16-07 a 15-08-09 - V4 - Validação Cliente_BD Resumo diário Painel de Televendas Setembro 2010_BASE_UNICA" xfId="6492"/>
    <cellStyle name="_Pasta1_Faturamento TLV_Varejo_Ago 16-07 a 15-08-09 - V4 - Validação Cliente_Painel de Retenção Junho 2011" xfId="6493"/>
    <cellStyle name="_Pasta1_Faturamento TLV_Varejo_Ago 16-07 a 15-08-09 - V4 - Validação Cliente_Pasta1" xfId="6494"/>
    <cellStyle name="_Pasta1_Faturamento TLV_Varejo_Ago 16-07 a 15-08-09 - V4 - Validação Cliente_Plan1" xfId="6495"/>
    <cellStyle name="_Pasta1_Faturamento TLV_Varejo_Ago 16-07 a 15-08-09 - V4 - Validação Cliente_Plan2" xfId="6496"/>
    <cellStyle name="_Pasta1_Faturamento TLV_Varejo_Ago 16-07 a 15-08-09 - V4 - Validação Cliente_Retenção" xfId="6497"/>
    <cellStyle name="_Pasta1_Faturamento TLV_Varejo_Ago 16-07 a 15-08-09 - V4 - Validação Cliente_Retenção Painel" xfId="6498"/>
    <cellStyle name="_Pasta1_Faturamento TLV_Varejo_Ago 16-07 a 15-08-09 - V4 - Validação Cliente_Televendas Painel" xfId="6499"/>
    <cellStyle name="_Pasta1_Faturamento TLV_Varejo_Ago 16-07 a 15-08-09 - V4 - Validação Cliente_Televendas Painel_ant" xfId="6500"/>
    <cellStyle name="_Pasta1_Painel de Retenção Junho 2011" xfId="6501"/>
    <cellStyle name="_Pasta1_Pasta1" xfId="6502"/>
    <cellStyle name="_Pasta1_Plan1" xfId="6503"/>
    <cellStyle name="_Pasta1_Plan2" xfId="6504"/>
    <cellStyle name="_Pasta1_Retenção" xfId="6505"/>
    <cellStyle name="_Pasta1_Retenção Painel" xfId="6506"/>
    <cellStyle name="_Pasta1_Televendas Painel" xfId="6507"/>
    <cellStyle name="_Pasta1_Televendas Painel_ant" xfId="6508"/>
    <cellStyle name="_Pasta1_TENDÊNCIA RET VAR CONTROLE" xfId="6509"/>
    <cellStyle name="_Pasta1_TENDÊNCIA RET VAR CONTROLE_Base" xfId="6510"/>
    <cellStyle name="_Pasta1_TENDÊNCIA RET VAR CONTROLE_D_Ret_Fixa_EMP" xfId="6511"/>
    <cellStyle name="_Pasta1_TENDÊNCIA RET VAR CONTROLE_D_Ret_Fixa_EMP_1" xfId="6512"/>
    <cellStyle name="_Pasta1_TENDÊNCIA RET VAR CONTROLE_D_Ret_Fixa_EMP_2" xfId="6513"/>
    <cellStyle name="_Pasta1_TENDÊNCIA RET VAR CONTROLE_D_Ret_Fixa_EMP_3" xfId="6514"/>
    <cellStyle name="_Pasta1_TENDÊNCIA RET VAR CONTROLE_D_Ret_Fixa_EMP_4" xfId="6515"/>
    <cellStyle name="_Pasta1_TENDÊNCIA RET VAR CONTROLE_D_Ret_Fixa_EMP_5" xfId="6516"/>
    <cellStyle name="_Pasta1_TENDÊNCIA RET VAR CONTROLE_D_Ret_Fixa_EMP_6" xfId="6517"/>
    <cellStyle name="_Pasta1_TENDÊNCIA RET VAR CONTROLE_D_Ret_Fixa_EMP_7" xfId="6518"/>
    <cellStyle name="_Pasta1_TENDÊNCIA RET VAR CONTROLE_D_Ret_Fixa_EMP_8" xfId="6519"/>
    <cellStyle name="_Pasta1_TENDÊNCIA RET VAR CONTROLE_D_Ret_Fixa_VAR" xfId="6520"/>
    <cellStyle name="_Pasta1_TENDÊNCIA RET VAR CONTROLE_D_Ret_Fixa_VAR_1" xfId="6521"/>
    <cellStyle name="_Pasta1_TENDÊNCIA RET VAR CONTROLE_D_Ret_Fixa_VAR_2" xfId="6522"/>
    <cellStyle name="_Pasta1_TENDÊNCIA RET VAR CONTROLE_D_Ret_Fixa_VAR_3" xfId="6523"/>
    <cellStyle name="_Pasta1_TENDÊNCIA RET VAR CONTROLE_D_Ret_Fixa_VAR_4" xfId="6524"/>
    <cellStyle name="_Pasta1_TENDÊNCIA RET VAR CONTROLE_D_Ret_Fixa_VAR_5" xfId="6525"/>
    <cellStyle name="_Pasta1_TENDÊNCIA RET VAR CONTROLE_D_Ret_Fixa_VAR_6" xfId="6526"/>
    <cellStyle name="_Pasta1_TENDÊNCIA RET VAR CONTROLE_D_Ret_Fixa_VAR_7" xfId="6527"/>
    <cellStyle name="_Pasta1_TENDÊNCIA RET VAR CONTROLE_D_Ret_Fixa_VAR_8" xfId="6528"/>
    <cellStyle name="_Pasta1_TENDÊNCIA RET VAR CONTROLE_Mig Ret 3G" xfId="6529"/>
    <cellStyle name="_Pasta1_TENDÊNCIA RET VAR CONTROLE_Mig Ret 3G_1" xfId="6530"/>
    <cellStyle name="_Pasta1_TENDÊNCIA RET VAR CONTROLE_Mig Ret 3G_2" xfId="6531"/>
    <cellStyle name="_Pasta1_TENDÊNCIA RET VAR CONTROLE_Mig Ret 3G_3" xfId="6532"/>
    <cellStyle name="_Pasta1_TENDÊNCIA RET VAR CONTROLE_Mig Ret 3G_4" xfId="6533"/>
    <cellStyle name="_Pasta1_TENDÊNCIA RET VAR CONTROLE_Mig Ret 3G_5" xfId="6534"/>
    <cellStyle name="_Pasta1_TENDÊNCIA RET VAR CONTROLE_Mig Ret 3G_6" xfId="6535"/>
    <cellStyle name="_Pasta1_TENDÊNCIA RET VAR CONTROLE_Mig Ret 3G_7" xfId="6536"/>
    <cellStyle name="_Pasta1_TENDÊNCIA RET VAR CONTROLE_Movel" xfId="6537"/>
    <cellStyle name="_Pasta1_TENDÊNCIA RET VAR CONTROLE_Movel_1" xfId="6538"/>
    <cellStyle name="_Pasta1_TENDÊNCIA RET VAR CONTROLE_Movel_2" xfId="6539"/>
    <cellStyle name="_Pasta1_TENDÊNCIA RET VAR CONTROLE_Movel_3" xfId="6540"/>
    <cellStyle name="_Pasta1_TENDÊNCIA RET VAR CONTROLE_Movel_4" xfId="6541"/>
    <cellStyle name="_Pasta1_TENDÊNCIA RET VAR CONTROLE_Movel_5" xfId="6542"/>
    <cellStyle name="_Pasta1_TENDÊNCIA RET VAR CONTROLE_Movel_6" xfId="6543"/>
    <cellStyle name="_Pasta1_TENDÊNCIA RET VAR CONTROLE_Movel_7" xfId="6544"/>
    <cellStyle name="_Pasta1_TENDÊNCIA RET VAR CONTROLE_Retenção" xfId="6545"/>
    <cellStyle name="_Pasta1_TENDÊNCIA RET VAR VOL" xfId="6546"/>
    <cellStyle name="_Pasta1_TENDÊNCIA RET VAR VOL 2" xfId="6547"/>
    <cellStyle name="_Pasta1_TENDÊNCIA RET VAR VOL_Base" xfId="6548"/>
    <cellStyle name="_Pasta1_TENDÊNCIA RET VAR VOL_D_Movel" xfId="6549"/>
    <cellStyle name="_Pasta1_TENDÊNCIA RET VAR VOL_D_Ret_Fixa_EMP" xfId="6550"/>
    <cellStyle name="_Pasta1_TENDÊNCIA RET VAR VOL_D_Ret_Fixa_EMP_1" xfId="6551"/>
    <cellStyle name="_Pasta1_TENDÊNCIA RET VAR VOL_D_Ret_Fixa_EMP_2" xfId="6552"/>
    <cellStyle name="_Pasta1_TENDÊNCIA RET VAR VOL_D_Ret_Fixa_EMP_3" xfId="6553"/>
    <cellStyle name="_Pasta1_TENDÊNCIA RET VAR VOL_D_Ret_Fixa_EMP_4" xfId="6554"/>
    <cellStyle name="_Pasta1_TENDÊNCIA RET VAR VOL_D_Ret_Fixa_EMP_5" xfId="6555"/>
    <cellStyle name="_Pasta1_TENDÊNCIA RET VAR VOL_D_Ret_Fixa_EMP_6" xfId="6556"/>
    <cellStyle name="_Pasta1_TENDÊNCIA RET VAR VOL_D_Ret_Fixa_EMP_7" xfId="6557"/>
    <cellStyle name="_Pasta1_TENDÊNCIA RET VAR VOL_D_Ret_Fixa_EMP_8" xfId="6558"/>
    <cellStyle name="_Pasta1_TENDÊNCIA RET VAR VOL_D_Ret_Fixa_VAR" xfId="6559"/>
    <cellStyle name="_Pasta1_TENDÊNCIA RET VAR VOL_D_Ret_Fixa_VAR_1" xfId="6560"/>
    <cellStyle name="_Pasta1_TENDÊNCIA RET VAR VOL_D_Ret_Fixa_VAR_2" xfId="6561"/>
    <cellStyle name="_Pasta1_TENDÊNCIA RET VAR VOL_D_Ret_Fixa_VAR_3" xfId="6562"/>
    <cellStyle name="_Pasta1_TENDÊNCIA RET VAR VOL_D_Ret_Fixa_VAR_4" xfId="6563"/>
    <cellStyle name="_Pasta1_TENDÊNCIA RET VAR VOL_D_Ret_Fixa_VAR_5" xfId="6564"/>
    <cellStyle name="_Pasta1_TENDÊNCIA RET VAR VOL_D_Ret_Fixa_VAR_6" xfId="6565"/>
    <cellStyle name="_Pasta1_TENDÊNCIA RET VAR VOL_D_Ret_Fixa_VAR_7" xfId="6566"/>
    <cellStyle name="_Pasta1_TENDÊNCIA RET VAR VOL_D_Ret_Fixa_VAR_8" xfId="6567"/>
    <cellStyle name="_Pasta1_TENDÊNCIA RET VAR VOL_Mig Ret 3G" xfId="6568"/>
    <cellStyle name="_Pasta1_TENDÊNCIA RET VAR VOL_Mig Ret 3G_1" xfId="6569"/>
    <cellStyle name="_Pasta1_TENDÊNCIA RET VAR VOL_Mig Ret 3G_2" xfId="6570"/>
    <cellStyle name="_Pasta1_TENDÊNCIA RET VAR VOL_Mig Ret 3G_3" xfId="6571"/>
    <cellStyle name="_Pasta1_TENDÊNCIA RET VAR VOL_Mig Ret 3G_4" xfId="6572"/>
    <cellStyle name="_Pasta1_TENDÊNCIA RET VAR VOL_Mig Ret 3G_5" xfId="6573"/>
    <cellStyle name="_Pasta1_TENDÊNCIA RET VAR VOL_Mig Ret 3G_6" xfId="6574"/>
    <cellStyle name="_Pasta1_TENDÊNCIA RET VAR VOL_Mig Ret 3G_7" xfId="6575"/>
    <cellStyle name="_Pasta1_TENDÊNCIA RET VAR VOL_Movel" xfId="6576"/>
    <cellStyle name="_Pasta1_TENDÊNCIA RET VAR VOL_Movel_1" xfId="6577"/>
    <cellStyle name="_Pasta1_TENDÊNCIA RET VAR VOL_Movel_2" xfId="6578"/>
    <cellStyle name="_Pasta1_TENDÊNCIA RET VAR VOL_Movel_3" xfId="6579"/>
    <cellStyle name="_Pasta1_TENDÊNCIA RET VAR VOL_Movel_4" xfId="6580"/>
    <cellStyle name="_Pasta1_TENDÊNCIA RET VAR VOL_Movel_5" xfId="6581"/>
    <cellStyle name="_Pasta1_TENDÊNCIA RET VAR VOL_Movel_6" xfId="6582"/>
    <cellStyle name="_Pasta1_TENDÊNCIA RET VAR VOL_Movel_7" xfId="6583"/>
    <cellStyle name="_Pasta1_TENDÊNCIA RET VAR VOL_Retenção" xfId="6584"/>
    <cellStyle name="_Plan1" xfId="6585"/>
    <cellStyle name="_Plan1_1" xfId="6586"/>
    <cellStyle name="_Plan1_1_Base_PJ_e _PF" xfId="6587"/>
    <cellStyle name="_Plan1_1_Cancelamento_de_OS_16_Dez" xfId="6588"/>
    <cellStyle name="_Plan1_1_Fixo_Consolidado" xfId="6589"/>
    <cellStyle name="_Plan1_1_VENDAS VAREJO R1,R2,R3_15_01_10" xfId="6590"/>
    <cellStyle name="_Plan1_1_VENDAS VAREJO RECARGA R1,R2,R3_COM FORMULAS" xfId="6591"/>
    <cellStyle name="_Plan1_1_VENDAS VAREJO_20091126" xfId="6592"/>
    <cellStyle name="_Plan1_1_VENDAS VAREJO_20091130" xfId="6593"/>
    <cellStyle name="_Plan1_1_VENDAS VAREJO_20100127" xfId="6594"/>
    <cellStyle name="_Plan1_Base" xfId="6595"/>
    <cellStyle name="_Plan1_Base_PJ_e _PF" xfId="6596"/>
    <cellStyle name="_Plan1_Cancelamento_de_OS_16_Dez" xfId="6597"/>
    <cellStyle name="_Plan1_D_Ret_Fixa_EMP" xfId="6598"/>
    <cellStyle name="_Plan1_D_Ret_Fixa_VAR" xfId="6599"/>
    <cellStyle name="_Plan1_Fixo_Consolidado" xfId="6600"/>
    <cellStyle name="_Plan1_Mig Ret 3G" xfId="6601"/>
    <cellStyle name="_Plan1_Movel" xfId="6602"/>
    <cellStyle name="_Plan1_RV" xfId="6603"/>
    <cellStyle name="_Plan1_RV_BD Resumo diário Painel de Televendas Abril 2011" xfId="6604"/>
    <cellStyle name="_Plan1_RV_BD Resumo diário Painel de Televendas Janeiro 2011" xfId="6605"/>
    <cellStyle name="_Plan1_RV_BD Resumo diário Painel de Televendas Setembro 2010_BASE_UNICA" xfId="6606"/>
    <cellStyle name="_Plan1_RV_Faturamento TLV_Varejo_Ago 16-07 a 15-08-09 - V4 - Validação Cliente" xfId="6607"/>
    <cellStyle name="_Plan1_RV_Faturamento TLV_Varejo_Ago 16-07 a 15-08-09 - V4 - Validação Cliente_BD Resumo diário Painel de Televendas Abril 2011" xfId="6608"/>
    <cellStyle name="_Plan1_RV_Faturamento TLV_Varejo_Ago 16-07 a 15-08-09 - V4 - Validação Cliente_BD Resumo diário Painel de Televendas Janeiro 2011" xfId="6609"/>
    <cellStyle name="_Plan1_RV_Faturamento TLV_Varejo_Ago 16-07 a 15-08-09 - V4 - Validação Cliente_BD Resumo diário Painel de Televendas Setembro 2010_BASE_UNICA" xfId="6610"/>
    <cellStyle name="_Plan1_RV_Faturamento TLV_Varejo_Ago 16-07 a 15-08-09 - V4 - Validação Cliente_Painel de Retenção Junho 2011" xfId="6611"/>
    <cellStyle name="_Plan1_RV_Faturamento TLV_Varejo_Ago 16-07 a 15-08-09 - V4 - Validação Cliente_Pasta1" xfId="6612"/>
    <cellStyle name="_Plan1_RV_Faturamento TLV_Varejo_Ago 16-07 a 15-08-09 - V4 - Validação Cliente_Plan1" xfId="6613"/>
    <cellStyle name="_Plan1_RV_Faturamento TLV_Varejo_Ago 16-07 a 15-08-09 - V4 - Validação Cliente_Plan2" xfId="6614"/>
    <cellStyle name="_Plan1_RV_Faturamento TLV_Varejo_Ago 16-07 a 15-08-09 - V4 - Validação Cliente_Retenção" xfId="6615"/>
    <cellStyle name="_Plan1_RV_Faturamento TLV_Varejo_Ago 16-07 a 15-08-09 - V4 - Validação Cliente_Retenção Painel" xfId="6616"/>
    <cellStyle name="_Plan1_RV_Faturamento TLV_Varejo_Ago 16-07 a 15-08-09 - V4 - Validação Cliente_Televendas Painel" xfId="6617"/>
    <cellStyle name="_Plan1_RV_Faturamento TLV_Varejo_Ago 16-07 a 15-08-09 - V4 - Validação Cliente_Televendas Painel_ant" xfId="6618"/>
    <cellStyle name="_Plan1_RV_Painel de Retenção Junho 2011" xfId="6619"/>
    <cellStyle name="_Plan1_RV_Pasta1" xfId="6620"/>
    <cellStyle name="_Plan1_RV_Plan1" xfId="6621"/>
    <cellStyle name="_Plan1_RV_Plan2" xfId="6622"/>
    <cellStyle name="_Plan1_RV_Retenção" xfId="6623"/>
    <cellStyle name="_Plan1_RV_Retenção Painel" xfId="6624"/>
    <cellStyle name="_Plan1_RV_Televendas Painel" xfId="6625"/>
    <cellStyle name="_Plan1_RV_Televendas Painel_ant" xfId="6626"/>
    <cellStyle name="_Plan1_VENDAS VAREJO apenas recarga_2010" xfId="6627"/>
    <cellStyle name="_Plan1_VENDAS VAREJO R1,R2,R3_15_01_10" xfId="6628"/>
    <cellStyle name="_Plan1_VENDAS VAREJO R1,R2,R3_15_01_10 (version 1)" xfId="6629"/>
    <cellStyle name="_Plan1_VENDAS VAREJO R1,R2,R3_apenas recarga" xfId="6630"/>
    <cellStyle name="_Plan1_VENDAS VAREJO R1,R2,R3_apenas recarga_Base_PJ_e _PF" xfId="6631"/>
    <cellStyle name="_Plan1_VENDAS VAREJO R1,R2,R3_apenas recarga_Cancelamento_de_OS_16_Dez" xfId="6632"/>
    <cellStyle name="_Plan1_VENDAS VAREJO R1,R2,R3_apenas recarga_Fixo_Consolidado" xfId="6633"/>
    <cellStyle name="_Plan1_VENDAS VAREJO R1,R2,R3_apenas recarga_VENDAS VAREJO R1,R2,R3_15_01_10" xfId="6634"/>
    <cellStyle name="_Plan1_VENDAS VAREJO R1,R2,R3_apenas recarga_VENDAS VAREJO RECARGA R1,R2,R3_COM FORMULAS" xfId="6635"/>
    <cellStyle name="_Plan1_VENDAS VAREJO R1,R2,R3_apenas recarga_VENDAS VAREJO_20091126" xfId="6636"/>
    <cellStyle name="_Plan1_VENDAS VAREJO R1,R2,R3_apenas recarga_VENDAS VAREJO_20091130" xfId="6637"/>
    <cellStyle name="_Plan1_VENDAS VAREJO R1,R2,R3_apenas recarga_VENDAS VAREJO_20100127" xfId="6638"/>
    <cellStyle name="_Plan1_VENDAS VAREJO RECARGA R1,R2,R3_COM FORMULAS" xfId="6639"/>
    <cellStyle name="_Plan1_VENDAS VAREJO_20091126" xfId="6640"/>
    <cellStyle name="_Plan1_VENDAS VAREJO_20091130" xfId="6641"/>
    <cellStyle name="_Plan1_VENDAS VAREJO_20100115" xfId="6642"/>
    <cellStyle name="_Plan1_VENDAS VAREJO_20100127" xfId="6643"/>
    <cellStyle name="_Plan1_VENDAS VAREJO_Janeiro_2010" xfId="6644"/>
    <cellStyle name="_Plan1_VENDAS VAREJO_Janeiro_2010_Novo_layout" xfId="6645"/>
    <cellStyle name="_Projeção_Abril_2009" xfId="6646"/>
    <cellStyle name="_Proposta_Samsung_4T09_20090825_VF" xfId="6647"/>
    <cellStyle name="_Q4 LATAM TARGETS SAMSUNG" xfId="6648"/>
    <cellStyle name="_Q4 LATAM TARGETS SAMSUNG 2" xfId="6649"/>
    <cellStyle name="_Q4 LATAM TARGETS SAMSUNG 3" xfId="6650"/>
    <cellStyle name="_Q4 LATAM TARGETS SAMSUNG 4" xfId="6651"/>
    <cellStyle name="_Q4 LATAM TARGETS SAMSUNG 5" xfId="6652"/>
    <cellStyle name="_Q4 LATAM TARGETS SAMSUNG 6" xfId="6653"/>
    <cellStyle name="_Q4 LATAM TARGETS SAMSUNG 7" xfId="6654"/>
    <cellStyle name="_Q4 LATAM TARGETS SAMSUNG 8" xfId="6655"/>
    <cellStyle name="_Q4 LATAM TARGETS SAMSUNG 9" xfId="6656"/>
    <cellStyle name="_Q409 Deal  Vivo - Revision 20090813 FINAL" xfId="6657"/>
    <cellStyle name="_Qualomm_0523" xfId="6658"/>
    <cellStyle name="_Quantum(T229)Kabura(M310) 비교_080513" xfId="6659"/>
    <cellStyle name="_Quantum(T229)Kabura(M310) 비교_080513 2" xfId="6660"/>
    <cellStyle name="_Quantum(T229)Kabura(M310) 비교_080513 3" xfId="6661"/>
    <cellStyle name="_Quantum(T229)Kabura(M310) 비교_080513 4" xfId="6662"/>
    <cellStyle name="_Quantum(T229)Kabura(M310) 비교_080513 5" xfId="6663"/>
    <cellStyle name="_Quantum(T229)Kabura(M310) 비교_080513 6" xfId="6664"/>
    <cellStyle name="_Quantum(T229)Kabura(M310) 비교_080513 7" xfId="6665"/>
    <cellStyle name="_Quantum(T229)Kabura(M310) 비교_080513 8" xfId="6666"/>
    <cellStyle name="_Quantum(T229)Kabura(M310) 비교_080513 9" xfId="6667"/>
    <cellStyle name="_Quartil_final_Abril2" xfId="6668"/>
    <cellStyle name="_Quartil_final_Abril2_Base" xfId="6669"/>
    <cellStyle name="_Quartil_final_Abril2_D_Ret_Fixa_EMP" xfId="6670"/>
    <cellStyle name="_Quartil_final_Abril2_D_Ret_Fixa_VAR" xfId="6671"/>
    <cellStyle name="_Quartil_final_Abril2_Mig Ret 3G" xfId="6672"/>
    <cellStyle name="_Quartil_final_Abril2_Movel" xfId="6673"/>
    <cellStyle name="_Quartil_final_Fevereiro" xfId="6674"/>
    <cellStyle name="_Quartil_final_Fevereiro_Base" xfId="6675"/>
    <cellStyle name="_Quartil_final_Fevereiro_D_Ret_Fixa_EMP" xfId="6676"/>
    <cellStyle name="_Quartil_final_Fevereiro_D_Ret_Fixa_VAR" xfId="6677"/>
    <cellStyle name="_Quartil_final_Fevereiro_Mig Ret 3G" xfId="6678"/>
    <cellStyle name="_Quartil_final_Fevereiro_Movel" xfId="6679"/>
    <cellStyle name="_RECARGA POR PARCEIRO rR2" xfId="6680"/>
    <cellStyle name="_RECARGA POR PARCEIRO rR2_Base_PJ_e _PF" xfId="6681"/>
    <cellStyle name="_RECARGA POR PARCEIRO rR2_Cancelamento_de_OS_16_Dez" xfId="6682"/>
    <cellStyle name="_RECARGA POR PARCEIRO rR2_Fixo_Consolidado" xfId="6683"/>
    <cellStyle name="_RECARGA POR PARCEIRO rR2_VENDAS VAREJO apenas recarga_2010" xfId="6684"/>
    <cellStyle name="_RECARGA POR PARCEIRO rR2_VENDAS VAREJO R1,R2,R3_15_01_10" xfId="6685"/>
    <cellStyle name="_RECARGA POR PARCEIRO rR2_VENDAS VAREJO R1,R2,R3_15_01_10 (version 1)" xfId="6686"/>
    <cellStyle name="_RECARGA POR PARCEIRO rR2_VENDAS VAREJO R1,R2,R3_31_08" xfId="6687"/>
    <cellStyle name="_RECARGA POR PARCEIRO rR2_VENDAS VAREJO R1,R2,R3_apenas recarga" xfId="6688"/>
    <cellStyle name="_RECARGA POR PARCEIRO rR2_VENDAS VAREJO R1,R2,R3_apenas recarga_31_08" xfId="6689"/>
    <cellStyle name="_RECARGA POR PARCEIRO rR2_VENDAS VAREJO RECARGA R1,R2,R3_COM FORMULAS" xfId="6690"/>
    <cellStyle name="_RECARGA POR PARCEIRO rR2_VENDAS VAREJO_20090909" xfId="6691"/>
    <cellStyle name="_RECARGA POR PARCEIRO rR2_VENDAS VAREJO_20091126" xfId="6692"/>
    <cellStyle name="_RECARGA POR PARCEIRO rR2_VENDAS VAREJO_20091130" xfId="6693"/>
    <cellStyle name="_RECARGA POR PARCEIRO rR2_VENDAS VAREJO_20100115" xfId="6694"/>
    <cellStyle name="_RECARGA POR PARCEIRO rR2_VENDAS VAREJO_20100127" xfId="6695"/>
    <cellStyle name="_RECARGA POR PARCEIRO rR2_VENDAS VAREJO_Janeiro_2010" xfId="6696"/>
    <cellStyle name="_RECARGA POR PARCEIRO rR2_VENDAS VAREJO_Janeiro_2010_Novo_layout" xfId="6697"/>
    <cellStyle name="_Relatório Gerencial Ativo Retencao - Junho" xfId="6698"/>
    <cellStyle name="_Relatório Gerencial Ativo Retencao - Junho 2" xfId="6699"/>
    <cellStyle name="_Relatório Gerencial Ativo Retencao - Junho_Base" xfId="6700"/>
    <cellStyle name="_Relatório Gerencial Ativo Retencao - Junho_D_Movel" xfId="6701"/>
    <cellStyle name="_Relatório Gerencial Ativo Retencao - Junho_D_Ret_Fixa_EMP" xfId="6702"/>
    <cellStyle name="_Relatório Gerencial Ativo Retencao - Junho_D_Ret_Fixa_EMP_1" xfId="6703"/>
    <cellStyle name="_Relatório Gerencial Ativo Retencao - Junho_D_Ret_Fixa_EMP_2" xfId="6704"/>
    <cellStyle name="_Relatório Gerencial Ativo Retencao - Junho_D_Ret_Fixa_EMP_3" xfId="6705"/>
    <cellStyle name="_Relatório Gerencial Ativo Retencao - Junho_D_Ret_Fixa_EMP_4" xfId="6706"/>
    <cellStyle name="_Relatório Gerencial Ativo Retencao - Junho_D_Ret_Fixa_EMP_5" xfId="6707"/>
    <cellStyle name="_Relatório Gerencial Ativo Retencao - Junho_D_Ret_Fixa_EMP_6" xfId="6708"/>
    <cellStyle name="_Relatório Gerencial Ativo Retencao - Junho_D_Ret_Fixa_EMP_7" xfId="6709"/>
    <cellStyle name="_Relatório Gerencial Ativo Retencao - Junho_D_Ret_Fixa_EMP_8" xfId="6710"/>
    <cellStyle name="_Relatório Gerencial Ativo Retencao - Junho_D_Ret_Fixa_VAR" xfId="6711"/>
    <cellStyle name="_Relatório Gerencial Ativo Retencao - Junho_D_Ret_Fixa_VAR_1" xfId="6712"/>
    <cellStyle name="_Relatório Gerencial Ativo Retencao - Junho_D_Ret_Fixa_VAR_2" xfId="6713"/>
    <cellStyle name="_Relatório Gerencial Ativo Retencao - Junho_D_Ret_Fixa_VAR_3" xfId="6714"/>
    <cellStyle name="_Relatório Gerencial Ativo Retencao - Junho_D_Ret_Fixa_VAR_4" xfId="6715"/>
    <cellStyle name="_Relatório Gerencial Ativo Retencao - Junho_D_Ret_Fixa_VAR_5" xfId="6716"/>
    <cellStyle name="_Relatório Gerencial Ativo Retencao - Junho_D_Ret_Fixa_VAR_6" xfId="6717"/>
    <cellStyle name="_Relatório Gerencial Ativo Retencao - Junho_D_Ret_Fixa_VAR_7" xfId="6718"/>
    <cellStyle name="_Relatório Gerencial Ativo Retencao - Junho_D_Ret_Fixa_VAR_8" xfId="6719"/>
    <cellStyle name="_Relatório Gerencial Ativo Retencao - Junho_Mig Ret 3G" xfId="6720"/>
    <cellStyle name="_Relatório Gerencial Ativo Retencao - Junho_Mig Ret 3G_1" xfId="6721"/>
    <cellStyle name="_Relatório Gerencial Ativo Retencao - Junho_Mig Ret 3G_2" xfId="6722"/>
    <cellStyle name="_Relatório Gerencial Ativo Retencao - Junho_Mig Ret 3G_3" xfId="6723"/>
    <cellStyle name="_Relatório Gerencial Ativo Retencao - Junho_Mig Ret 3G_4" xfId="6724"/>
    <cellStyle name="_Relatório Gerencial Ativo Retencao - Junho_Mig Ret 3G_5" xfId="6725"/>
    <cellStyle name="_Relatório Gerencial Ativo Retencao - Junho_Mig Ret 3G_6" xfId="6726"/>
    <cellStyle name="_Relatório Gerencial Ativo Retencao - Junho_Mig Ret 3G_7" xfId="6727"/>
    <cellStyle name="_Relatório Gerencial Ativo Retencao - Junho_Movel" xfId="6728"/>
    <cellStyle name="_Relatório Gerencial Ativo Retencao - Junho_Movel_1" xfId="6729"/>
    <cellStyle name="_Relatório Gerencial Ativo Retencao - Junho_Movel_2" xfId="6730"/>
    <cellStyle name="_Relatório Gerencial Ativo Retencao - Junho_Movel_3" xfId="6731"/>
    <cellStyle name="_Relatório Gerencial Ativo Retencao - Junho_Movel_4" xfId="6732"/>
    <cellStyle name="_Relatório Gerencial Ativo Retencao - Junho_Movel_5" xfId="6733"/>
    <cellStyle name="_Relatório Gerencial Ativo Retencao - Junho_Movel_6" xfId="6734"/>
    <cellStyle name="_Relatório Gerencial Ativo Retencao - Junho_Movel_7" xfId="6735"/>
    <cellStyle name="_Relatório Gerencial Ativo Retencao - Junho_Retenção" xfId="6736"/>
    <cellStyle name="_Relatório Gerencial SDLD - Junho 2008" xfId="6737"/>
    <cellStyle name="_Relatório Gerencial SDLD - Junho 2008 2" xfId="6738"/>
    <cellStyle name="_Relatório Gerencial SDLD - Junho 2008_Base" xfId="6739"/>
    <cellStyle name="_Relatório Gerencial SDLD - Junho 2008_D_Movel" xfId="6740"/>
    <cellStyle name="_Relatório Gerencial SDLD - Junho 2008_D_Ret_Fixa_EMP" xfId="6741"/>
    <cellStyle name="_Relatório Gerencial SDLD - Junho 2008_D_Ret_Fixa_EMP_1" xfId="6742"/>
    <cellStyle name="_Relatório Gerencial SDLD - Junho 2008_D_Ret_Fixa_EMP_2" xfId="6743"/>
    <cellStyle name="_Relatório Gerencial SDLD - Junho 2008_D_Ret_Fixa_EMP_3" xfId="6744"/>
    <cellStyle name="_Relatório Gerencial SDLD - Junho 2008_D_Ret_Fixa_EMP_4" xfId="6745"/>
    <cellStyle name="_Relatório Gerencial SDLD - Junho 2008_D_Ret_Fixa_EMP_5" xfId="6746"/>
    <cellStyle name="_Relatório Gerencial SDLD - Junho 2008_D_Ret_Fixa_EMP_6" xfId="6747"/>
    <cellStyle name="_Relatório Gerencial SDLD - Junho 2008_D_Ret_Fixa_EMP_7" xfId="6748"/>
    <cellStyle name="_Relatório Gerencial SDLD - Junho 2008_D_Ret_Fixa_EMP_8" xfId="6749"/>
    <cellStyle name="_Relatório Gerencial SDLD - Junho 2008_D_Ret_Fixa_VAR" xfId="6750"/>
    <cellStyle name="_Relatório Gerencial SDLD - Junho 2008_D_Ret_Fixa_VAR_1" xfId="6751"/>
    <cellStyle name="_Relatório Gerencial SDLD - Junho 2008_D_Ret_Fixa_VAR_2" xfId="6752"/>
    <cellStyle name="_Relatório Gerencial SDLD - Junho 2008_D_Ret_Fixa_VAR_3" xfId="6753"/>
    <cellStyle name="_Relatório Gerencial SDLD - Junho 2008_D_Ret_Fixa_VAR_4" xfId="6754"/>
    <cellStyle name="_Relatório Gerencial SDLD - Junho 2008_D_Ret_Fixa_VAR_5" xfId="6755"/>
    <cellStyle name="_Relatório Gerencial SDLD - Junho 2008_D_Ret_Fixa_VAR_6" xfId="6756"/>
    <cellStyle name="_Relatório Gerencial SDLD - Junho 2008_D_Ret_Fixa_VAR_7" xfId="6757"/>
    <cellStyle name="_Relatório Gerencial SDLD - Junho 2008_D_Ret_Fixa_VAR_8" xfId="6758"/>
    <cellStyle name="_Relatório Gerencial SDLD - Junho 2008_Mig Ret 3G" xfId="6759"/>
    <cellStyle name="_Relatório Gerencial SDLD - Junho 2008_Mig Ret 3G_1" xfId="6760"/>
    <cellStyle name="_Relatório Gerencial SDLD - Junho 2008_Mig Ret 3G_2" xfId="6761"/>
    <cellStyle name="_Relatório Gerencial SDLD - Junho 2008_Mig Ret 3G_3" xfId="6762"/>
    <cellStyle name="_Relatório Gerencial SDLD - Junho 2008_Mig Ret 3G_4" xfId="6763"/>
    <cellStyle name="_Relatório Gerencial SDLD - Junho 2008_Mig Ret 3G_5" xfId="6764"/>
    <cellStyle name="_Relatório Gerencial SDLD - Junho 2008_Mig Ret 3G_6" xfId="6765"/>
    <cellStyle name="_Relatório Gerencial SDLD - Junho 2008_Mig Ret 3G_7" xfId="6766"/>
    <cellStyle name="_Relatório Gerencial SDLD - Junho 2008_Movel" xfId="6767"/>
    <cellStyle name="_Relatório Gerencial SDLD - Junho 2008_Movel_1" xfId="6768"/>
    <cellStyle name="_Relatório Gerencial SDLD - Junho 2008_Movel_2" xfId="6769"/>
    <cellStyle name="_Relatório Gerencial SDLD - Junho 2008_Movel_3" xfId="6770"/>
    <cellStyle name="_Relatório Gerencial SDLD - Junho 2008_Movel_4" xfId="6771"/>
    <cellStyle name="_Relatório Gerencial SDLD - Junho 2008_Movel_5" xfId="6772"/>
    <cellStyle name="_Relatório Gerencial SDLD - Junho 2008_Movel_6" xfId="6773"/>
    <cellStyle name="_Relatório Gerencial SDLD - Junho 2008_Movel_7" xfId="6774"/>
    <cellStyle name="_Relatório Gerencial SDLD - Junho 2008_Retenção" xfId="6775"/>
    <cellStyle name="_Relatório Gerencial Web - Janeiro 20091" xfId="6776"/>
    <cellStyle name="_Relatório Gerencial Web - Janeiro 20091_Base" xfId="6777"/>
    <cellStyle name="_Relatório Gerencial Web - Janeiro 20091_D_Ret_Fixa_EMP" xfId="6778"/>
    <cellStyle name="_Relatório Gerencial Web - Janeiro 20091_D_Ret_Fixa_VAR" xfId="6779"/>
    <cellStyle name="_Relatório Gerencial Web - Janeiro 20091_Mig Ret 3G" xfId="6780"/>
    <cellStyle name="_Relatório Gerencial Web - Janeiro 20091_Movel" xfId="6781"/>
    <cellStyle name="_Relatório Reunião Semanal_20080820_V2" xfId="6782"/>
    <cellStyle name="_Relatório Reunião Semanal_20080820_V2_BD Resumo diário Painel de Televendas Abril 2011" xfId="6783"/>
    <cellStyle name="_Relatório Reunião Semanal_20080820_V2_BD Resumo diário Painel de Televendas Janeiro 2011" xfId="6784"/>
    <cellStyle name="_Relatório Reunião Semanal_20080820_V2_BD Resumo diário Painel de Televendas Setembro 2010_BASE_UNICA" xfId="6785"/>
    <cellStyle name="_Relatório Reunião Semanal_20080820_V2_Faturamento TLV_Varejo_Ago 16-07 a 15-08-09 - V4 - Validação Cliente" xfId="6786"/>
    <cellStyle name="_Relatório Reunião Semanal_20080820_V2_Faturamento TLV_Varejo_Ago 16-07 a 15-08-09 - V4 - Validação Cliente_BD Resumo diário Painel de Televendas Abril 2011" xfId="6787"/>
    <cellStyle name="_Relatório Reunião Semanal_20080820_V2_Faturamento TLV_Varejo_Ago 16-07 a 15-08-09 - V4 - Validação Cliente_BD Resumo diário Painel de Televendas Janeiro 2011" xfId="6788"/>
    <cellStyle name="_Relatório Reunião Semanal_20080820_V2_Faturamento TLV_Varejo_Ago 16-07 a 15-08-09 - V4 - Validação Cliente_BD Resumo diário Painel de Televendas Setembro 2010_BASE_UNICA" xfId="6789"/>
    <cellStyle name="_Relatório Reunião Semanal_20080820_V2_Faturamento TLV_Varejo_Ago 16-07 a 15-08-09 - V4 - Validação Cliente_Painel de Retenção Junho 2011" xfId="6790"/>
    <cellStyle name="_Relatório Reunião Semanal_20080820_V2_Faturamento TLV_Varejo_Ago 16-07 a 15-08-09 - V4 - Validação Cliente_Pasta1" xfId="6791"/>
    <cellStyle name="_Relatório Reunião Semanal_20080820_V2_Faturamento TLV_Varejo_Ago 16-07 a 15-08-09 - V4 - Validação Cliente_Plan1" xfId="6792"/>
    <cellStyle name="_Relatório Reunião Semanal_20080820_V2_Faturamento TLV_Varejo_Ago 16-07 a 15-08-09 - V4 - Validação Cliente_Plan2" xfId="6793"/>
    <cellStyle name="_Relatório Reunião Semanal_20080820_V2_Faturamento TLV_Varejo_Ago 16-07 a 15-08-09 - V4 - Validação Cliente_Retenção" xfId="6794"/>
    <cellStyle name="_Relatório Reunião Semanal_20080820_V2_Faturamento TLV_Varejo_Ago 16-07 a 15-08-09 - V4 - Validação Cliente_Retenção Painel" xfId="6795"/>
    <cellStyle name="_Relatório Reunião Semanal_20080820_V2_Faturamento TLV_Varejo_Ago 16-07 a 15-08-09 - V4 - Validação Cliente_Televendas Painel" xfId="6796"/>
    <cellStyle name="_Relatório Reunião Semanal_20080820_V2_Faturamento TLV_Varejo_Ago 16-07 a 15-08-09 - V4 - Validação Cliente_Televendas Painel_ant" xfId="6797"/>
    <cellStyle name="_Relatório Reunião Semanal_20080820_V2_Painel de Retenção Junho 2011" xfId="6798"/>
    <cellStyle name="_Relatório Reunião Semanal_20080820_V2_Pasta1" xfId="6799"/>
    <cellStyle name="_Relatório Reunião Semanal_20080820_V2_Plan1" xfId="6800"/>
    <cellStyle name="_Relatório Reunião Semanal_20080820_V2_Plan2" xfId="6801"/>
    <cellStyle name="_Relatório Reunião Semanal_20080820_V2_Retenção" xfId="6802"/>
    <cellStyle name="_Relatório Reunião Semanal_20080820_V2_Retenção Painel" xfId="6803"/>
    <cellStyle name="_Relatório Reunião Semanal_20080820_V2_Televendas Painel" xfId="6804"/>
    <cellStyle name="_Relatório Reunião Semanal_20080820_V2_Televendas Painel_ant" xfId="6805"/>
    <cellStyle name="_Relatório semanal_TLV Empresarial - 1108 v3" xfId="6806"/>
    <cellStyle name="_Relatório semanal_TLV Empresarial - 1108 v3_BD Resumo diário Painel de Televendas Abril 2011" xfId="6807"/>
    <cellStyle name="_Relatório semanal_TLV Empresarial - 1108 v3_BD Resumo diário Painel de Televendas Janeiro 2011" xfId="6808"/>
    <cellStyle name="_Relatório semanal_TLV Empresarial - 1108 v3_BD Resumo diário Painel de Televendas Setembro 2010_BASE_UNICA" xfId="6809"/>
    <cellStyle name="_Relatório semanal_TLV Empresarial - 1108 v3_Faturamento TLV_Varejo_Ago 16-07 a 15-08-09 - V4 - Validação Cliente" xfId="6810"/>
    <cellStyle name="_Relatório semanal_TLV Empresarial - 1108 v3_Faturamento TLV_Varejo_Ago 16-07 a 15-08-09 - V4 - Validação Cliente_BD Resumo diário Painel de Televendas Abril 2011" xfId="6811"/>
    <cellStyle name="_Relatório semanal_TLV Empresarial - 1108 v3_Faturamento TLV_Varejo_Ago 16-07 a 15-08-09 - V4 - Validação Cliente_BD Resumo diário Painel de Televendas Janeiro 2011" xfId="6812"/>
    <cellStyle name="_Relatório semanal_TLV Empresarial - 1108 v3_Faturamento TLV_Varejo_Ago 16-07 a 15-08-09 - V4 - Validação Cliente_BD Resumo diário Painel de Televendas Setembro 2010_BASE_UNICA" xfId="6813"/>
    <cellStyle name="_Relatório semanal_TLV Empresarial - 1108 v3_Faturamento TLV_Varejo_Ago 16-07 a 15-08-09 - V4 - Validação Cliente_Painel de Retenção Junho 2011" xfId="6814"/>
    <cellStyle name="_Relatório semanal_TLV Empresarial - 1108 v3_Faturamento TLV_Varejo_Ago 16-07 a 15-08-09 - V4 - Validação Cliente_Pasta1" xfId="6815"/>
    <cellStyle name="_Relatório semanal_TLV Empresarial - 1108 v3_Faturamento TLV_Varejo_Ago 16-07 a 15-08-09 - V4 - Validação Cliente_Plan1" xfId="6816"/>
    <cellStyle name="_Relatório semanal_TLV Empresarial - 1108 v3_Faturamento TLV_Varejo_Ago 16-07 a 15-08-09 - V4 - Validação Cliente_Plan2" xfId="6817"/>
    <cellStyle name="_Relatório semanal_TLV Empresarial - 1108 v3_Faturamento TLV_Varejo_Ago 16-07 a 15-08-09 - V4 - Validação Cliente_Retenção" xfId="6818"/>
    <cellStyle name="_Relatório semanal_TLV Empresarial - 1108 v3_Faturamento TLV_Varejo_Ago 16-07 a 15-08-09 - V4 - Validação Cliente_Retenção Painel" xfId="6819"/>
    <cellStyle name="_Relatório semanal_TLV Empresarial - 1108 v3_Faturamento TLV_Varejo_Ago 16-07 a 15-08-09 - V4 - Validação Cliente_Televendas Painel" xfId="6820"/>
    <cellStyle name="_Relatório semanal_TLV Empresarial - 1108 v3_Faturamento TLV_Varejo_Ago 16-07 a 15-08-09 - V4 - Validação Cliente_Televendas Painel_ant" xfId="6821"/>
    <cellStyle name="_Relatório semanal_TLV Empresarial - 1108 v3_Painel de Retenção Junho 2011" xfId="6822"/>
    <cellStyle name="_Relatório semanal_TLV Empresarial - 1108 v3_Pasta1" xfId="6823"/>
    <cellStyle name="_Relatório semanal_TLV Empresarial - 1108 v3_Plan1" xfId="6824"/>
    <cellStyle name="_Relatório semanal_TLV Empresarial - 1108 v3_Plan2" xfId="6825"/>
    <cellStyle name="_Relatório semanal_TLV Empresarial - 1108 v3_Retenção" xfId="6826"/>
    <cellStyle name="_Relatório semanal_TLV Empresarial - 1108 v3_Retenção Painel" xfId="6827"/>
    <cellStyle name="_Relatório semanal_TLV Empresarial - 1108 v3_Televendas Painel" xfId="6828"/>
    <cellStyle name="_Relatório semanal_TLV Empresarial - 1108 v3_Televendas Painel_ant" xfId="6829"/>
    <cellStyle name="_Relatório semanal_TLV Empresarial - 29052008" xfId="6830"/>
    <cellStyle name="_Relatório semanal_TLV Empresarial - 29052008_BD Resumo diário Painel de Televendas Abril 2011" xfId="6831"/>
    <cellStyle name="_Relatório semanal_TLV Empresarial - 29052008_BD Resumo diário Painel de Televendas Janeiro 2011" xfId="6832"/>
    <cellStyle name="_Relatório semanal_TLV Empresarial - 29052008_BD Resumo diário Painel de Televendas Setembro 2010_BASE_UNICA" xfId="6833"/>
    <cellStyle name="_Relatório semanal_TLV Empresarial - 29052008_Faturamento TLV_Varejo_Ago 16-07 a 15-08-09 - V4 - Validação Cliente" xfId="6834"/>
    <cellStyle name="_Relatório semanal_TLV Empresarial - 29052008_Faturamento TLV_Varejo_Ago 16-07 a 15-08-09 - V4 - Validação Cliente_BD Resumo diário Painel de Televendas Abril 2011" xfId="6835"/>
    <cellStyle name="_Relatório semanal_TLV Empresarial - 29052008_Faturamento TLV_Varejo_Ago 16-07 a 15-08-09 - V4 - Validação Cliente_BD Resumo diário Painel de Televendas Janeiro 2011" xfId="6836"/>
    <cellStyle name="_Relatório semanal_TLV Empresarial - 29052008_Faturamento TLV_Varejo_Ago 16-07 a 15-08-09 - V4 - Validação Cliente_BD Resumo diário Painel de Televendas Setembro 2010_BASE_UNICA" xfId="6837"/>
    <cellStyle name="_Relatório semanal_TLV Empresarial - 29052008_Faturamento TLV_Varejo_Ago 16-07 a 15-08-09 - V4 - Validação Cliente_Painel de Retenção Junho 2011" xfId="6838"/>
    <cellStyle name="_Relatório semanal_TLV Empresarial - 29052008_Faturamento TLV_Varejo_Ago 16-07 a 15-08-09 - V4 - Validação Cliente_Pasta1" xfId="6839"/>
    <cellStyle name="_Relatório semanal_TLV Empresarial - 29052008_Faturamento TLV_Varejo_Ago 16-07 a 15-08-09 - V4 - Validação Cliente_Plan1" xfId="6840"/>
    <cellStyle name="_Relatório semanal_TLV Empresarial - 29052008_Faturamento TLV_Varejo_Ago 16-07 a 15-08-09 - V4 - Validação Cliente_Plan2" xfId="6841"/>
    <cellStyle name="_Relatório semanal_TLV Empresarial - 29052008_Faturamento TLV_Varejo_Ago 16-07 a 15-08-09 - V4 - Validação Cliente_Retenção" xfId="6842"/>
    <cellStyle name="_Relatório semanal_TLV Empresarial - 29052008_Faturamento TLV_Varejo_Ago 16-07 a 15-08-09 - V4 - Validação Cliente_Retenção Painel" xfId="6843"/>
    <cellStyle name="_Relatório semanal_TLV Empresarial - 29052008_Faturamento TLV_Varejo_Ago 16-07 a 15-08-09 - V4 - Validação Cliente_Televendas Painel" xfId="6844"/>
    <cellStyle name="_Relatório semanal_TLV Empresarial - 29052008_Faturamento TLV_Varejo_Ago 16-07 a 15-08-09 - V4 - Validação Cliente_Televendas Painel_ant" xfId="6845"/>
    <cellStyle name="_Relatório semanal_TLV Empresarial - 29052008_Painel de Retenção Junho 2011" xfId="6846"/>
    <cellStyle name="_Relatório semanal_TLV Empresarial - 29052008_Pasta1" xfId="6847"/>
    <cellStyle name="_Relatório semanal_TLV Empresarial - 29052008_Plan1" xfId="6848"/>
    <cellStyle name="_Relatório semanal_TLV Empresarial - 29052008_Plan2" xfId="6849"/>
    <cellStyle name="_Relatório semanal_TLV Empresarial - 29052008_Retenção" xfId="6850"/>
    <cellStyle name="_Relatório semanal_TLV Empresarial - 29052008_Retenção Painel" xfId="6851"/>
    <cellStyle name="_Relatório semanal_TLV Empresarial - 29052008_Televendas Painel" xfId="6852"/>
    <cellStyle name="_Relatório semanal_TLV Empresarial - 29052008_Televendas Painel_ant" xfId="6853"/>
    <cellStyle name="_Relatório semanal_TLV Empresarial (2)" xfId="6854"/>
    <cellStyle name="_Relatório semanal_TLV Empresarial (2)_BD Resumo diário Painel de Televendas Abril 2011" xfId="6855"/>
    <cellStyle name="_Relatório semanal_TLV Empresarial (2)_BD Resumo diário Painel de Televendas Janeiro 2011" xfId="6856"/>
    <cellStyle name="_Relatório semanal_TLV Empresarial (2)_BD Resumo diário Painel de Televendas Setembro 2010_BASE_UNICA" xfId="6857"/>
    <cellStyle name="_Relatório semanal_TLV Empresarial (2)_Faturamento TLV_Varejo_Ago 16-07 a 15-08-09 - V4 - Validação Cliente" xfId="6858"/>
    <cellStyle name="_Relatório semanal_TLV Empresarial (2)_Faturamento TLV_Varejo_Ago 16-07 a 15-08-09 - V4 - Validação Cliente_BD Resumo diário Painel de Televendas Abril 2011" xfId="6859"/>
    <cellStyle name="_Relatório semanal_TLV Empresarial (2)_Faturamento TLV_Varejo_Ago 16-07 a 15-08-09 - V4 - Validação Cliente_BD Resumo diário Painel de Televendas Janeiro 2011" xfId="6860"/>
    <cellStyle name="_Relatório semanal_TLV Empresarial (2)_Faturamento TLV_Varejo_Ago 16-07 a 15-08-09 - V4 - Validação Cliente_BD Resumo diário Painel de Televendas Setembro 2010_BASE_UNICA" xfId="6861"/>
    <cellStyle name="_Relatório semanal_TLV Empresarial (2)_Faturamento TLV_Varejo_Ago 16-07 a 15-08-09 - V4 - Validação Cliente_Painel de Retenção Junho 2011" xfId="6862"/>
    <cellStyle name="_Relatório semanal_TLV Empresarial (2)_Faturamento TLV_Varejo_Ago 16-07 a 15-08-09 - V4 - Validação Cliente_Pasta1" xfId="6863"/>
    <cellStyle name="_Relatório semanal_TLV Empresarial (2)_Faturamento TLV_Varejo_Ago 16-07 a 15-08-09 - V4 - Validação Cliente_Plan1" xfId="6864"/>
    <cellStyle name="_Relatório semanal_TLV Empresarial (2)_Faturamento TLV_Varejo_Ago 16-07 a 15-08-09 - V4 - Validação Cliente_Plan2" xfId="6865"/>
    <cellStyle name="_Relatório semanal_TLV Empresarial (2)_Faturamento TLV_Varejo_Ago 16-07 a 15-08-09 - V4 - Validação Cliente_Retenção" xfId="6866"/>
    <cellStyle name="_Relatório semanal_TLV Empresarial (2)_Faturamento TLV_Varejo_Ago 16-07 a 15-08-09 - V4 - Validação Cliente_Retenção Painel" xfId="6867"/>
    <cellStyle name="_Relatório semanal_TLV Empresarial (2)_Faturamento TLV_Varejo_Ago 16-07 a 15-08-09 - V4 - Validação Cliente_Televendas Painel" xfId="6868"/>
    <cellStyle name="_Relatório semanal_TLV Empresarial (2)_Faturamento TLV_Varejo_Ago 16-07 a 15-08-09 - V4 - Validação Cliente_Televendas Painel_ant" xfId="6869"/>
    <cellStyle name="_Relatório semanal_TLV Empresarial (2)_Painel de Retenção Junho 2011" xfId="6870"/>
    <cellStyle name="_Relatório semanal_TLV Empresarial (2)_Pasta1" xfId="6871"/>
    <cellStyle name="_Relatório semanal_TLV Empresarial (2)_Plan1" xfId="6872"/>
    <cellStyle name="_Relatório semanal_TLV Empresarial (2)_Plan2" xfId="6873"/>
    <cellStyle name="_Relatório semanal_TLV Empresarial (2)_Retenção" xfId="6874"/>
    <cellStyle name="_Relatório semanal_TLV Empresarial (2)_Retenção Painel" xfId="6875"/>
    <cellStyle name="_Relatório semanal_TLV Empresarial (2)_Televendas Painel" xfId="6876"/>
    <cellStyle name="_Relatório semanal_TLV Empresarial (2)_Televendas Painel_ant" xfId="6877"/>
    <cellStyle name="_Relatório semanal_TLV Empresarial_Dez_08_12" xfId="6878"/>
    <cellStyle name="_Relatório semanal_TLV Empresarial_Dez_08_12_BD Resumo diário Painel de Televendas Abril 2011" xfId="6879"/>
    <cellStyle name="_Relatório semanal_TLV Empresarial_Dez_08_12_BD Resumo diário Painel de Televendas Janeiro 2011" xfId="6880"/>
    <cellStyle name="_Relatório semanal_TLV Empresarial_Dez_08_12_BD Resumo diário Painel de Televendas Setembro 2010_BASE_UNICA" xfId="6881"/>
    <cellStyle name="_Relatório semanal_TLV Empresarial_Dez_08_12_Faturamento TLV_Varejo_Ago 16-07 a 15-08-09 - V4 - Validação Cliente" xfId="6882"/>
    <cellStyle name="_Relatório semanal_TLV Empresarial_Dez_08_12_Faturamento TLV_Varejo_Ago 16-07 a 15-08-09 - V4 - Validação Cliente_BD Resumo diário Painel de Televendas Abril 2011" xfId="6883"/>
    <cellStyle name="_Relatório semanal_TLV Empresarial_Dez_08_12_Faturamento TLV_Varejo_Ago 16-07 a 15-08-09 - V4 - Validação Cliente_BD Resumo diário Painel de Televendas Janeiro 2011" xfId="6884"/>
    <cellStyle name="_Relatório semanal_TLV Empresarial_Dez_08_12_Faturamento TLV_Varejo_Ago 16-07 a 15-08-09 - V4 - Validação Cliente_BD Resumo diário Painel de Televendas Setembro 2010_BASE_UNICA" xfId="6885"/>
    <cellStyle name="_Relatório semanal_TLV Empresarial_Dez_08_12_Faturamento TLV_Varejo_Ago 16-07 a 15-08-09 - V4 - Validação Cliente_Painel de Retenção Junho 2011" xfId="6886"/>
    <cellStyle name="_Relatório semanal_TLV Empresarial_Dez_08_12_Faturamento TLV_Varejo_Ago 16-07 a 15-08-09 - V4 - Validação Cliente_Pasta1" xfId="6887"/>
    <cellStyle name="_Relatório semanal_TLV Empresarial_Dez_08_12_Faturamento TLV_Varejo_Ago 16-07 a 15-08-09 - V4 - Validação Cliente_Plan1" xfId="6888"/>
    <cellStyle name="_Relatório semanal_TLV Empresarial_Dez_08_12_Faturamento TLV_Varejo_Ago 16-07 a 15-08-09 - V4 - Validação Cliente_Plan2" xfId="6889"/>
    <cellStyle name="_Relatório semanal_TLV Empresarial_Dez_08_12_Faturamento TLV_Varejo_Ago 16-07 a 15-08-09 - V4 - Validação Cliente_Retenção" xfId="6890"/>
    <cellStyle name="_Relatório semanal_TLV Empresarial_Dez_08_12_Faturamento TLV_Varejo_Ago 16-07 a 15-08-09 - V4 - Validação Cliente_Retenção Painel" xfId="6891"/>
    <cellStyle name="_Relatório semanal_TLV Empresarial_Dez_08_12_Faturamento TLV_Varejo_Ago 16-07 a 15-08-09 - V4 - Validação Cliente_Televendas Painel" xfId="6892"/>
    <cellStyle name="_Relatório semanal_TLV Empresarial_Dez_08_12_Faturamento TLV_Varejo_Ago 16-07 a 15-08-09 - V4 - Validação Cliente_Televendas Painel_ant" xfId="6893"/>
    <cellStyle name="_Relatório semanal_TLV Empresarial_Dez_08_12_Painel de Retenção Junho 2011" xfId="6894"/>
    <cellStyle name="_Relatório semanal_TLV Empresarial_Dez_08_12_Pasta1" xfId="6895"/>
    <cellStyle name="_Relatório semanal_TLV Empresarial_Dez_08_12_Plan1" xfId="6896"/>
    <cellStyle name="_Relatório semanal_TLV Empresarial_Dez_08_12_Plan2" xfId="6897"/>
    <cellStyle name="_Relatório semanal_TLV Empresarial_Dez_08_12_Retenção" xfId="6898"/>
    <cellStyle name="_Relatório semanal_TLV Empresarial_Dez_08_12_Retenção Painel" xfId="6899"/>
    <cellStyle name="_Relatório semanal_TLV Empresarial_Dez_08_12_Televendas Painel" xfId="6900"/>
    <cellStyle name="_Relatório semanal_TLV Empresarial_Dez_08_12_Televendas Painel_ant" xfId="6901"/>
    <cellStyle name="_RelatoriodevendasBACKOFFICE" xfId="6902"/>
    <cellStyle name="_RelatoriodevendasBACKOFFICE_Base" xfId="6903"/>
    <cellStyle name="_RelatoriodevendasBACKOFFICE_D_Ret_Fixa_EMP" xfId="6904"/>
    <cellStyle name="_RelatoriodevendasBACKOFFICE_D_Ret_Fixa_VAR" xfId="6905"/>
    <cellStyle name="_RelatoriodevendasBACKOFFICE_Mig Ret 3G" xfId="6906"/>
    <cellStyle name="_RelatoriodevendasBACKOFFICE_Movel" xfId="6907"/>
    <cellStyle name="_Rentabilidade de Produtos v5 - Alçadas" xfId="9"/>
    <cellStyle name="_Rentabilidade de Produtos v5 - Alçadas 2" xfId="6908"/>
    <cellStyle name="_Resultado dos Contatos_Web" xfId="6909"/>
    <cellStyle name="_Resultado dos Contatos_Web_Base" xfId="6910"/>
    <cellStyle name="_Resultado dos Contatos_Web_D_Ret_Fixa_EMP" xfId="6911"/>
    <cellStyle name="_Resultado dos Contatos_Web_D_Ret_Fixa_VAR" xfId="6912"/>
    <cellStyle name="_Resultado dos Contatos_Web_Mig Ret 3G" xfId="6913"/>
    <cellStyle name="_Resultado dos Contatos_Web_Movel" xfId="6914"/>
    <cellStyle name="_Resumo_Coordenação" xfId="6915"/>
    <cellStyle name="_Resumo_Coordenação 2" xfId="6916"/>
    <cellStyle name="_Resumo_Coordenação_Base" xfId="6917"/>
    <cellStyle name="_Resumo_Coordenação_D_Movel" xfId="6918"/>
    <cellStyle name="_Resumo_Coordenação_D_Ret_Fixa_EMP" xfId="6919"/>
    <cellStyle name="_Resumo_Coordenação_D_Ret_Fixa_EMP_1" xfId="6920"/>
    <cellStyle name="_Resumo_Coordenação_D_Ret_Fixa_EMP_2" xfId="6921"/>
    <cellStyle name="_Resumo_Coordenação_D_Ret_Fixa_EMP_3" xfId="6922"/>
    <cellStyle name="_Resumo_Coordenação_D_Ret_Fixa_EMP_4" xfId="6923"/>
    <cellStyle name="_Resumo_Coordenação_D_Ret_Fixa_EMP_5" xfId="6924"/>
    <cellStyle name="_Resumo_Coordenação_D_Ret_Fixa_EMP_6" xfId="6925"/>
    <cellStyle name="_Resumo_Coordenação_D_Ret_Fixa_EMP_7" xfId="6926"/>
    <cellStyle name="_Resumo_Coordenação_D_Ret_Fixa_EMP_8" xfId="6927"/>
    <cellStyle name="_Resumo_Coordenação_D_Ret_Fixa_VAR" xfId="6928"/>
    <cellStyle name="_Resumo_Coordenação_D_Ret_Fixa_VAR_1" xfId="6929"/>
    <cellStyle name="_Resumo_Coordenação_D_Ret_Fixa_VAR_2" xfId="6930"/>
    <cellStyle name="_Resumo_Coordenação_D_Ret_Fixa_VAR_3" xfId="6931"/>
    <cellStyle name="_Resumo_Coordenação_D_Ret_Fixa_VAR_4" xfId="6932"/>
    <cellStyle name="_Resumo_Coordenação_D_Ret_Fixa_VAR_5" xfId="6933"/>
    <cellStyle name="_Resumo_Coordenação_D_Ret_Fixa_VAR_6" xfId="6934"/>
    <cellStyle name="_Resumo_Coordenação_D_Ret_Fixa_VAR_7" xfId="6935"/>
    <cellStyle name="_Resumo_Coordenação_D_Ret_Fixa_VAR_8" xfId="6936"/>
    <cellStyle name="_Resumo_Coordenação_Mig Ret 3G" xfId="6937"/>
    <cellStyle name="_Resumo_Coordenação_Mig Ret 3G_1" xfId="6938"/>
    <cellStyle name="_Resumo_Coordenação_Mig Ret 3G_2" xfId="6939"/>
    <cellStyle name="_Resumo_Coordenação_Mig Ret 3G_3" xfId="6940"/>
    <cellStyle name="_Resumo_Coordenação_Mig Ret 3G_4" xfId="6941"/>
    <cellStyle name="_Resumo_Coordenação_Mig Ret 3G_5" xfId="6942"/>
    <cellStyle name="_Resumo_Coordenação_Mig Ret 3G_6" xfId="6943"/>
    <cellStyle name="_Resumo_Coordenação_Mig Ret 3G_7" xfId="6944"/>
    <cellStyle name="_Resumo_Coordenação_Movel" xfId="6945"/>
    <cellStyle name="_Resumo_Coordenação_Movel_1" xfId="6946"/>
    <cellStyle name="_Resumo_Coordenação_Movel_2" xfId="6947"/>
    <cellStyle name="_Resumo_Coordenação_Movel_3" xfId="6948"/>
    <cellStyle name="_Resumo_Coordenação_Movel_4" xfId="6949"/>
    <cellStyle name="_Resumo_Coordenação_Movel_5" xfId="6950"/>
    <cellStyle name="_Resumo_Coordenação_Movel_6" xfId="6951"/>
    <cellStyle name="_Resumo_Coordenação_Movel_7" xfId="6952"/>
    <cellStyle name="_Resumo_Coordenação_Retenção" xfId="6953"/>
    <cellStyle name="_Retenção Painel" xfId="6954"/>
    <cellStyle name="_Retenção Painel_Base" xfId="6955"/>
    <cellStyle name="_Retenção Painel_D_Movel" xfId="6956"/>
    <cellStyle name="_Retenção Painel_D_Ret_Fixa_EMP" xfId="6957"/>
    <cellStyle name="_Retenção Painel_D_Ret_Fixa_EMP_1" xfId="6958"/>
    <cellStyle name="_Retenção Painel_D_Ret_Fixa_EMP_2" xfId="6959"/>
    <cellStyle name="_Retenção Painel_D_Ret_Fixa_EMP_3" xfId="6960"/>
    <cellStyle name="_Retenção Painel_D_Ret_Fixa_EMP_4" xfId="6961"/>
    <cellStyle name="_Retenção Painel_D_Ret_Fixa_EMP_5" xfId="6962"/>
    <cellStyle name="_Retenção Painel_D_Ret_Fixa_EMP_6" xfId="6963"/>
    <cellStyle name="_Retenção Painel_D_Ret_Fixa_EMP_7" xfId="6964"/>
    <cellStyle name="_Retenção Painel_D_Ret_Fixa_EMP_8" xfId="6965"/>
    <cellStyle name="_Retenção Painel_D_Ret_Fixa_VAR" xfId="6966"/>
    <cellStyle name="_Retenção Painel_D_Ret_Fixa_VAR_1" xfId="6967"/>
    <cellStyle name="_Retenção Painel_D_Ret_Fixa_VAR_2" xfId="6968"/>
    <cellStyle name="_Retenção Painel_D_Ret_Fixa_VAR_3" xfId="6969"/>
    <cellStyle name="_Retenção Painel_D_Ret_Fixa_VAR_4" xfId="6970"/>
    <cellStyle name="_Retenção Painel_D_Ret_Fixa_VAR_5" xfId="6971"/>
    <cellStyle name="_Retenção Painel_D_Ret_Fixa_VAR_6" xfId="6972"/>
    <cellStyle name="_Retenção Painel_D_Ret_Fixa_VAR_7" xfId="6973"/>
    <cellStyle name="_Retenção Painel_D_Ret_Fixa_VAR_8" xfId="6974"/>
    <cellStyle name="_Retenção Painel_De_Para_plano" xfId="6975"/>
    <cellStyle name="_Retenção Painel_Mig Ret 3G" xfId="6976"/>
    <cellStyle name="_Retenção Painel_Mig Ret 3G_1" xfId="6977"/>
    <cellStyle name="_Retenção Painel_Mig Ret 3G_2" xfId="6978"/>
    <cellStyle name="_Retenção Painel_Mig Ret 3G_3" xfId="6979"/>
    <cellStyle name="_Retenção Painel_Mig Ret 3G_4" xfId="6980"/>
    <cellStyle name="_Retenção Painel_Mig Ret 3G_5" xfId="6981"/>
    <cellStyle name="_Retenção Painel_Mig Ret 3G_6" xfId="6982"/>
    <cellStyle name="_Retenção Painel_Mig Ret 3G_7" xfId="6983"/>
    <cellStyle name="_Retenção Painel_Movel" xfId="6984"/>
    <cellStyle name="_Retenção Painel_Movel_1" xfId="6985"/>
    <cellStyle name="_Retenção Painel_Movel_2" xfId="6986"/>
    <cellStyle name="_Retenção Painel_Movel_3" xfId="6987"/>
    <cellStyle name="_Retenção Painel_Movel_4" xfId="6988"/>
    <cellStyle name="_Retenção Painel_Movel_5" xfId="6989"/>
    <cellStyle name="_Retenção Painel_Movel_6" xfId="6990"/>
    <cellStyle name="_Retenção Painel_Movel_7" xfId="6991"/>
    <cellStyle name="_Retenção Painel_Retenção" xfId="6992"/>
    <cellStyle name="_RV" xfId="6993"/>
    <cellStyle name="_RV Dezembro" xfId="6994"/>
    <cellStyle name="_RV Dezembro_Base" xfId="6995"/>
    <cellStyle name="_RV Dezembro_D_Ret_Fixa_EMP" xfId="6996"/>
    <cellStyle name="_RV Dezembro_D_Ret_Fixa_VAR" xfId="6997"/>
    <cellStyle name="_RV Dezembro_Mig Ret 3G" xfId="6998"/>
    <cellStyle name="_RV Dezembro_Movel" xfId="6999"/>
    <cellStyle name="_RV Janeiro" xfId="7000"/>
    <cellStyle name="_RV Janeiro_Base" xfId="7001"/>
    <cellStyle name="_RV Janeiro_D_Ret_Fixa_EMP" xfId="7002"/>
    <cellStyle name="_RV Janeiro_D_Ret_Fixa_VAR" xfId="7003"/>
    <cellStyle name="_RV Janeiro_Mig Ret 3G" xfId="7004"/>
    <cellStyle name="_RV Janeiro_Movel" xfId="7005"/>
    <cellStyle name="_RV_Base" xfId="7006"/>
    <cellStyle name="_RV_D_Ret_Fixa_EMP" xfId="7007"/>
    <cellStyle name="_RV_D_Ret_Fixa_VAR" xfId="7008"/>
    <cellStyle name="_RV_Mig Ret 3G" xfId="7009"/>
    <cellStyle name="_RV_Movel" xfId="7010"/>
    <cellStyle name="_SGH-J800HAAPLS" xfId="7011"/>
    <cellStyle name="_SGH-J800HAAPLS 2" xfId="7012"/>
    <cellStyle name="_SGH-J800HAAPLS 3" xfId="7013"/>
    <cellStyle name="_SGH-J800HAAPLS 4" xfId="7014"/>
    <cellStyle name="_SGH-J800HAAPLS 5" xfId="7015"/>
    <cellStyle name="_SGH-J800HAAPLS 6" xfId="7016"/>
    <cellStyle name="_SGH-J800HAAPLS 7" xfId="7017"/>
    <cellStyle name="_SGH-J800HAAPLS 8" xfId="7018"/>
    <cellStyle name="_SGH-J800HAAPLS 9" xfId="7019"/>
    <cellStyle name="_Sheet1" xfId="7020"/>
    <cellStyle name="_Soul(SGH-U900)_재료비_20080903" xfId="7021"/>
    <cellStyle name="_SoulVE(SGH-U900G)_재료비_20080903" xfId="7022"/>
    <cellStyle name="_Sumário Contax_Televendas AV_Site BA" xfId="7023"/>
    <cellStyle name="_Sumário Contax_Televendas AV_Site BA_BD Resumo diário Painel de Televendas Abril 2011" xfId="7024"/>
    <cellStyle name="_Sumário Contax_Televendas AV_Site BA_BD Resumo diário Painel de Televendas Janeiro 2011" xfId="7025"/>
    <cellStyle name="_Sumário Contax_Televendas AV_Site BA_BD Resumo diário Painel de Televendas Setembro 2010_BASE_UNICA" xfId="7026"/>
    <cellStyle name="_Sumário Contax_Televendas AV_Site BA_Painel de Retenção Junho 2011" xfId="7027"/>
    <cellStyle name="_Sumário Contax_Televendas AV_Site BA_Pasta1" xfId="7028"/>
    <cellStyle name="_Sumário Contax_Televendas AV_Site BA_Plan1" xfId="7029"/>
    <cellStyle name="_Sumário Contax_Televendas AV_Site BA_Plan2" xfId="7030"/>
    <cellStyle name="_Sumário Contax_Televendas AV_Site BA_Retenção" xfId="7031"/>
    <cellStyle name="_Sumário Contax_Televendas AV_Site BA_Retenção Painel" xfId="7032"/>
    <cellStyle name="_Sumário Contax_Televendas AV_Site BA_Televendas Painel" xfId="7033"/>
    <cellStyle name="_Sumário Contax_Televendas AV_Site BA_Televendas Painel_ant" xfId="7034"/>
    <cellStyle name="_Sumário Executivo TLV Empresarial_Fev09" xfId="7035"/>
    <cellStyle name="_Technical and economic offer" xfId="7036"/>
    <cellStyle name="_Technical and economic offer_Comm. support &amp; discounts" xfId="7037"/>
    <cellStyle name="_Telefonica 2차 offer 준비 손익" xfId="7038"/>
    <cellStyle name="_Telefonica 2차 offer 준비 손익 2" xfId="7039"/>
    <cellStyle name="_Telefonica 2차 offer 준비 손익 3" xfId="7040"/>
    <cellStyle name="_Telefonica 2차 offer 준비 손익 4" xfId="7041"/>
    <cellStyle name="_Telefonica 2차 offer 준비 손익 5" xfId="7042"/>
    <cellStyle name="_Telefonica 2차 offer 준비 손익 6" xfId="7043"/>
    <cellStyle name="_Telefonica 2차 offer 준비 손익 7" xfId="7044"/>
    <cellStyle name="_Telefonica 2차 offer 준비 손익 8" xfId="7045"/>
    <cellStyle name="_Telefonica 2차 offer 준비 손익 9" xfId="7046"/>
    <cellStyle name="_Telefonica 2차 offer 준비 손익_Claro Deal Q409" xfId="7047"/>
    <cellStyle name="_Telefonica 2차 offer 준비 손익_Claro Deal Q409 final" xfId="7048"/>
    <cellStyle name="_Telefonica 2차 offer 준비 손익_Claro Q309 final version" xfId="7049"/>
    <cellStyle name="_Telefonica 2차 offer 준비 손익_Claro Q309 final version_Claro Deal Q409" xfId="7050"/>
    <cellStyle name="_Telefonica 2차 offer 준비 손익_Claro Q309 final version_Claro Deal Q409 final" xfId="7051"/>
    <cellStyle name="_Telefonica 2차 offer 준비 손익_Q3 Claro deal 07jul09" xfId="7052"/>
    <cellStyle name="_Telefonica 2차 offer 준비 손익_Q3 Claro deal 07jul09_Claro Deal Q409" xfId="7053"/>
    <cellStyle name="_Telefonica 2차 offer 준비 손익_Q3 Claro deal 07jul09_Claro Deal Q409 final" xfId="7054"/>
    <cellStyle name="_Telefonica 2차 offer 준비 손익_Q3 Claro deal 15jul09" xfId="7055"/>
    <cellStyle name="_Telefonica 2차 offer 준비 손익_Q3 Claro deal 15jul09_Claro Deal Q409" xfId="7056"/>
    <cellStyle name="_Telefonica 2차 offer 준비 손익_Q3 Claro deal 15jul09_Claro Deal Q409 final" xfId="7057"/>
    <cellStyle name="_Telefonica 2차 offer 준비 손익_Q3 Claro proposal_v2" xfId="7058"/>
    <cellStyle name="_Telefonica 2차 offer 준비 손익_Q3 Claro proposal_v2_Claro Deal Q409" xfId="7059"/>
    <cellStyle name="_Telefonica 2차 offer 준비 손익_Q3 Claro proposal_v2_Claro Deal Q409 final" xfId="7060"/>
    <cellStyle name="_Telefonica 2차 offer 준비 손익_Q3 Claro Tabelas Precos" xfId="7061"/>
    <cellStyle name="_Telefonica 2차 offer 준비 손익_Q3 Claro Tabelas Precos_Claro Deal Q409" xfId="7062"/>
    <cellStyle name="_Telefonica 2차 offer 준비 손익_Q3 Claro Tabelas Precos_Claro Deal Q409 final" xfId="7063"/>
    <cellStyle name="_Televendas Painel" xfId="7064"/>
    <cellStyle name="_Televendas Painel_1" xfId="7065"/>
    <cellStyle name="_Televendas Painel_1_Base" xfId="7066"/>
    <cellStyle name="_Televendas Painel_1_D_Movel" xfId="7067"/>
    <cellStyle name="_Televendas Painel_1_D_Ret_Fixa_EMP" xfId="7068"/>
    <cellStyle name="_Televendas Painel_1_D_Ret_Fixa_EMP_1" xfId="7069"/>
    <cellStyle name="_Televendas Painel_1_D_Ret_Fixa_EMP_2" xfId="7070"/>
    <cellStyle name="_Televendas Painel_1_D_Ret_Fixa_EMP_3" xfId="7071"/>
    <cellStyle name="_Televendas Painel_1_D_Ret_Fixa_EMP_4" xfId="7072"/>
    <cellStyle name="_Televendas Painel_1_D_Ret_Fixa_EMP_5" xfId="7073"/>
    <cellStyle name="_Televendas Painel_1_D_Ret_Fixa_EMP_6" xfId="7074"/>
    <cellStyle name="_Televendas Painel_1_D_Ret_Fixa_EMP_7" xfId="7075"/>
    <cellStyle name="_Televendas Painel_1_D_Ret_Fixa_EMP_8" xfId="7076"/>
    <cellStyle name="_Televendas Painel_1_D_Ret_Fixa_VAR" xfId="7077"/>
    <cellStyle name="_Televendas Painel_1_D_Ret_Fixa_VAR_1" xfId="7078"/>
    <cellStyle name="_Televendas Painel_1_D_Ret_Fixa_VAR_2" xfId="7079"/>
    <cellStyle name="_Televendas Painel_1_D_Ret_Fixa_VAR_3" xfId="7080"/>
    <cellStyle name="_Televendas Painel_1_D_Ret_Fixa_VAR_4" xfId="7081"/>
    <cellStyle name="_Televendas Painel_1_D_Ret_Fixa_VAR_5" xfId="7082"/>
    <cellStyle name="_Televendas Painel_1_D_Ret_Fixa_VAR_6" xfId="7083"/>
    <cellStyle name="_Televendas Painel_1_D_Ret_Fixa_VAR_7" xfId="7084"/>
    <cellStyle name="_Televendas Painel_1_D_Ret_Fixa_VAR_8" xfId="7085"/>
    <cellStyle name="_Televendas Painel_1_De_Para_plano" xfId="7086"/>
    <cellStyle name="_Televendas Painel_1_Mig Ret 3G" xfId="7087"/>
    <cellStyle name="_Televendas Painel_1_Mig Ret 3G_1" xfId="7088"/>
    <cellStyle name="_Televendas Painel_1_Mig Ret 3G_2" xfId="7089"/>
    <cellStyle name="_Televendas Painel_1_Mig Ret 3G_3" xfId="7090"/>
    <cellStyle name="_Televendas Painel_1_Mig Ret 3G_4" xfId="7091"/>
    <cellStyle name="_Televendas Painel_1_Mig Ret 3G_5" xfId="7092"/>
    <cellStyle name="_Televendas Painel_1_Mig Ret 3G_6" xfId="7093"/>
    <cellStyle name="_Televendas Painel_1_Mig Ret 3G_7" xfId="7094"/>
    <cellStyle name="_Televendas Painel_1_Movel" xfId="7095"/>
    <cellStyle name="_Televendas Painel_1_Movel_1" xfId="7096"/>
    <cellStyle name="_Televendas Painel_1_Movel_2" xfId="7097"/>
    <cellStyle name="_Televendas Painel_1_Movel_3" xfId="7098"/>
    <cellStyle name="_Televendas Painel_1_Movel_4" xfId="7099"/>
    <cellStyle name="_Televendas Painel_1_Movel_5" xfId="7100"/>
    <cellStyle name="_Televendas Painel_1_Movel_6" xfId="7101"/>
    <cellStyle name="_Televendas Painel_1_Movel_7" xfId="7102"/>
    <cellStyle name="_Televendas Painel_1_Retenção" xfId="7103"/>
    <cellStyle name="_Televendas Painel_BD Painel_Abr" xfId="7104"/>
    <cellStyle name="_Televendas Painel_BD Painel_Abr_Base" xfId="7105"/>
    <cellStyle name="_Televendas Painel_BD Painel_Abr_D_Ret_Fixa_EMP" xfId="7106"/>
    <cellStyle name="_Televendas Painel_BD Painel_Abr_D_Ret_Fixa_EMP_1" xfId="7107"/>
    <cellStyle name="_Televendas Painel_BD Painel_Abr_D_Ret_Fixa_EMP_2" xfId="7108"/>
    <cellStyle name="_Televendas Painel_BD Painel_Abr_D_Ret_Fixa_EMP_3" xfId="7109"/>
    <cellStyle name="_Televendas Painel_BD Painel_Abr_D_Ret_Fixa_EMP_4" xfId="7110"/>
    <cellStyle name="_Televendas Painel_BD Painel_Abr_D_Ret_Fixa_EMP_5" xfId="7111"/>
    <cellStyle name="_Televendas Painel_BD Painel_Abr_D_Ret_Fixa_EMP_6" xfId="7112"/>
    <cellStyle name="_Televendas Painel_BD Painel_Abr_D_Ret_Fixa_EMP_7" xfId="7113"/>
    <cellStyle name="_Televendas Painel_BD Painel_Abr_D_Ret_Fixa_EMP_8" xfId="7114"/>
    <cellStyle name="_Televendas Painel_BD Painel_Abr_D_Ret_Fixa_VAR" xfId="7115"/>
    <cellStyle name="_Televendas Painel_BD Painel_Abr_D_Ret_Fixa_VAR_1" xfId="7116"/>
    <cellStyle name="_Televendas Painel_BD Painel_Abr_D_Ret_Fixa_VAR_2" xfId="7117"/>
    <cellStyle name="_Televendas Painel_BD Painel_Abr_D_Ret_Fixa_VAR_3" xfId="7118"/>
    <cellStyle name="_Televendas Painel_BD Painel_Abr_D_Ret_Fixa_VAR_4" xfId="7119"/>
    <cellStyle name="_Televendas Painel_BD Painel_Abr_D_Ret_Fixa_VAR_5" xfId="7120"/>
    <cellStyle name="_Televendas Painel_BD Painel_Abr_D_Ret_Fixa_VAR_6" xfId="7121"/>
    <cellStyle name="_Televendas Painel_BD Painel_Abr_D_Ret_Fixa_VAR_7" xfId="7122"/>
    <cellStyle name="_Televendas Painel_BD Painel_Abr_D_Ret_Fixa_VAR_8" xfId="7123"/>
    <cellStyle name="_Televendas Painel_BD Painel_Abr_Mig Ret 3G" xfId="7124"/>
    <cellStyle name="_Televendas Painel_BD Painel_Abr_Mig Ret 3G_1" xfId="7125"/>
    <cellStyle name="_Televendas Painel_BD Painel_Abr_Mig Ret 3G_2" xfId="7126"/>
    <cellStyle name="_Televendas Painel_BD Painel_Abr_Mig Ret 3G_3" xfId="7127"/>
    <cellStyle name="_Televendas Painel_BD Painel_Abr_Mig Ret 3G_4" xfId="7128"/>
    <cellStyle name="_Televendas Painel_BD Painel_Abr_Mig Ret 3G_5" xfId="7129"/>
    <cellStyle name="_Televendas Painel_BD Painel_Abr_Mig Ret 3G_6" xfId="7130"/>
    <cellStyle name="_Televendas Painel_BD Painel_Abr_Mig Ret 3G_7" xfId="7131"/>
    <cellStyle name="_Televendas Painel_BD Painel_Abr_Movel" xfId="7132"/>
    <cellStyle name="_Televendas Painel_BD Painel_Abr_Movel_1" xfId="7133"/>
    <cellStyle name="_Televendas Painel_BD Painel_Abr_Movel_2" xfId="7134"/>
    <cellStyle name="_Televendas Painel_BD Painel_Abr_Movel_3" xfId="7135"/>
    <cellStyle name="_Televendas Painel_BD Painel_Abr_Movel_4" xfId="7136"/>
    <cellStyle name="_Televendas Painel_BD Painel_Abr_Movel_5" xfId="7137"/>
    <cellStyle name="_Televendas Painel_BD Painel_Abr_Movel_6" xfId="7138"/>
    <cellStyle name="_Televendas Painel_BD Painel_Abr_Movel_7" xfId="7139"/>
    <cellStyle name="_Televendas Painel_BD Painel_Abr_Retenção" xfId="7140"/>
    <cellStyle name="_Televendas Painel_BD Resumo diário Painel de Televendas Setembro 2010_BASE_UNICA" xfId="7141"/>
    <cellStyle name="_Televendas Painel_BD Resumo diário Painel de Televendas Setembro 2010_BASE_UNICA_Base" xfId="7142"/>
    <cellStyle name="_Televendas Painel_BD Resumo diário Painel de Televendas Setembro 2010_BASE_UNICA_D_Movel" xfId="7143"/>
    <cellStyle name="_Televendas Painel_BD Resumo diário Painel de Televendas Setembro 2010_BASE_UNICA_D_Ret_Fixa_EMP" xfId="7144"/>
    <cellStyle name="_Televendas Painel_BD Resumo diário Painel de Televendas Setembro 2010_BASE_UNICA_D_Ret_Fixa_EMP_1" xfId="7145"/>
    <cellStyle name="_Televendas Painel_BD Resumo diário Painel de Televendas Setembro 2010_BASE_UNICA_D_Ret_Fixa_EMP_2" xfId="7146"/>
    <cellStyle name="_Televendas Painel_BD Resumo diário Painel de Televendas Setembro 2010_BASE_UNICA_D_Ret_Fixa_EMP_3" xfId="7147"/>
    <cellStyle name="_Televendas Painel_BD Resumo diário Painel de Televendas Setembro 2010_BASE_UNICA_D_Ret_Fixa_EMP_4" xfId="7148"/>
    <cellStyle name="_Televendas Painel_BD Resumo diário Painel de Televendas Setembro 2010_BASE_UNICA_D_Ret_Fixa_EMP_5" xfId="7149"/>
    <cellStyle name="_Televendas Painel_BD Resumo diário Painel de Televendas Setembro 2010_BASE_UNICA_D_Ret_Fixa_EMP_6" xfId="7150"/>
    <cellStyle name="_Televendas Painel_BD Resumo diário Painel de Televendas Setembro 2010_BASE_UNICA_D_Ret_Fixa_EMP_7" xfId="7151"/>
    <cellStyle name="_Televendas Painel_BD Resumo diário Painel de Televendas Setembro 2010_BASE_UNICA_D_Ret_Fixa_EMP_8" xfId="7152"/>
    <cellStyle name="_Televendas Painel_BD Resumo diário Painel de Televendas Setembro 2010_BASE_UNICA_D_Ret_Fixa_VAR" xfId="7153"/>
    <cellStyle name="_Televendas Painel_BD Resumo diário Painel de Televendas Setembro 2010_BASE_UNICA_D_Ret_Fixa_VAR_1" xfId="7154"/>
    <cellStyle name="_Televendas Painel_BD Resumo diário Painel de Televendas Setembro 2010_BASE_UNICA_D_Ret_Fixa_VAR_2" xfId="7155"/>
    <cellStyle name="_Televendas Painel_BD Resumo diário Painel de Televendas Setembro 2010_BASE_UNICA_D_Ret_Fixa_VAR_3" xfId="7156"/>
    <cellStyle name="_Televendas Painel_BD Resumo diário Painel de Televendas Setembro 2010_BASE_UNICA_D_Ret_Fixa_VAR_4" xfId="7157"/>
    <cellStyle name="_Televendas Painel_BD Resumo diário Painel de Televendas Setembro 2010_BASE_UNICA_D_Ret_Fixa_VAR_5" xfId="7158"/>
    <cellStyle name="_Televendas Painel_BD Resumo diário Painel de Televendas Setembro 2010_BASE_UNICA_D_Ret_Fixa_VAR_6" xfId="7159"/>
    <cellStyle name="_Televendas Painel_BD Resumo diário Painel de Televendas Setembro 2010_BASE_UNICA_D_Ret_Fixa_VAR_7" xfId="7160"/>
    <cellStyle name="_Televendas Painel_BD Resumo diário Painel de Televendas Setembro 2010_BASE_UNICA_D_Ret_Fixa_VAR_8" xfId="7161"/>
    <cellStyle name="_Televendas Painel_BD Resumo diário Painel de Televendas Setembro 2010_BASE_UNICA_De_Para_plano" xfId="7162"/>
    <cellStyle name="_Televendas Painel_BD Resumo diário Painel de Televendas Setembro 2010_BASE_UNICA_Mig Ret 3G" xfId="7163"/>
    <cellStyle name="_Televendas Painel_BD Resumo diário Painel de Televendas Setembro 2010_BASE_UNICA_Mig Ret 3G_1" xfId="7164"/>
    <cellStyle name="_Televendas Painel_BD Resumo diário Painel de Televendas Setembro 2010_BASE_UNICA_Mig Ret 3G_2" xfId="7165"/>
    <cellStyle name="_Televendas Painel_BD Resumo diário Painel de Televendas Setembro 2010_BASE_UNICA_Mig Ret 3G_3" xfId="7166"/>
    <cellStyle name="_Televendas Painel_BD Resumo diário Painel de Televendas Setembro 2010_BASE_UNICA_Mig Ret 3G_4" xfId="7167"/>
    <cellStyle name="_Televendas Painel_BD Resumo diário Painel de Televendas Setembro 2010_BASE_UNICA_Mig Ret 3G_5" xfId="7168"/>
    <cellStyle name="_Televendas Painel_BD Resumo diário Painel de Televendas Setembro 2010_BASE_UNICA_Mig Ret 3G_6" xfId="7169"/>
    <cellStyle name="_Televendas Painel_BD Resumo diário Painel de Televendas Setembro 2010_BASE_UNICA_Mig Ret 3G_7" xfId="7170"/>
    <cellStyle name="_Televendas Painel_BD Resumo diário Painel de Televendas Setembro 2010_BASE_UNICA_Movel" xfId="7171"/>
    <cellStyle name="_Televendas Painel_BD Resumo diário Painel de Televendas Setembro 2010_BASE_UNICA_Movel_1" xfId="7172"/>
    <cellStyle name="_Televendas Painel_BD Resumo diário Painel de Televendas Setembro 2010_BASE_UNICA_Movel_2" xfId="7173"/>
    <cellStyle name="_Televendas Painel_BD Resumo diário Painel de Televendas Setembro 2010_BASE_UNICA_Movel_3" xfId="7174"/>
    <cellStyle name="_Televendas Painel_BD Resumo diário Painel de Televendas Setembro 2010_BASE_UNICA_Movel_4" xfId="7175"/>
    <cellStyle name="_Televendas Painel_BD Resumo diário Painel de Televendas Setembro 2010_BASE_UNICA_Movel_5" xfId="7176"/>
    <cellStyle name="_Televendas Painel_BD Resumo diário Painel de Televendas Setembro 2010_BASE_UNICA_Movel_6" xfId="7177"/>
    <cellStyle name="_Televendas Painel_BD Resumo diário Painel de Televendas Setembro 2010_BASE_UNICA_Movel_7" xfId="7178"/>
    <cellStyle name="_Televendas Painel_BD Resumo diário Painel de Televendas Setembro 2010_BASE_UNICA_Retenção" xfId="7179"/>
    <cellStyle name="_Televendas Painel_D_Movel" xfId="7180"/>
    <cellStyle name="_Televendas Painel_Mig Ret 3G" xfId="7181"/>
    <cellStyle name="_Televendas Painel_Pasta1" xfId="7182"/>
    <cellStyle name="_Televendas Painel_Pasta1_Base" xfId="7183"/>
    <cellStyle name="_Televendas Painel_Pasta1_D_Movel" xfId="7184"/>
    <cellStyle name="_Televendas Painel_Pasta1_D_Ret_Fixa_EMP" xfId="7185"/>
    <cellStyle name="_Televendas Painel_Pasta1_D_Ret_Fixa_EMP_1" xfId="7186"/>
    <cellStyle name="_Televendas Painel_Pasta1_D_Ret_Fixa_EMP_2" xfId="7187"/>
    <cellStyle name="_Televendas Painel_Pasta1_D_Ret_Fixa_EMP_3" xfId="7188"/>
    <cellStyle name="_Televendas Painel_Pasta1_D_Ret_Fixa_EMP_4" xfId="7189"/>
    <cellStyle name="_Televendas Painel_Pasta1_D_Ret_Fixa_EMP_5" xfId="7190"/>
    <cellStyle name="_Televendas Painel_Pasta1_D_Ret_Fixa_EMP_6" xfId="7191"/>
    <cellStyle name="_Televendas Painel_Pasta1_D_Ret_Fixa_EMP_7" xfId="7192"/>
    <cellStyle name="_Televendas Painel_Pasta1_D_Ret_Fixa_EMP_8" xfId="7193"/>
    <cellStyle name="_Televendas Painel_Pasta1_D_Ret_Fixa_VAR" xfId="7194"/>
    <cellStyle name="_Televendas Painel_Pasta1_D_Ret_Fixa_VAR_1" xfId="7195"/>
    <cellStyle name="_Televendas Painel_Pasta1_D_Ret_Fixa_VAR_2" xfId="7196"/>
    <cellStyle name="_Televendas Painel_Pasta1_D_Ret_Fixa_VAR_3" xfId="7197"/>
    <cellStyle name="_Televendas Painel_Pasta1_D_Ret_Fixa_VAR_4" xfId="7198"/>
    <cellStyle name="_Televendas Painel_Pasta1_D_Ret_Fixa_VAR_5" xfId="7199"/>
    <cellStyle name="_Televendas Painel_Pasta1_D_Ret_Fixa_VAR_6" xfId="7200"/>
    <cellStyle name="_Televendas Painel_Pasta1_D_Ret_Fixa_VAR_7" xfId="7201"/>
    <cellStyle name="_Televendas Painel_Pasta1_D_Ret_Fixa_VAR_8" xfId="7202"/>
    <cellStyle name="_Televendas Painel_Pasta1_De_Para_plano" xfId="7203"/>
    <cellStyle name="_Televendas Painel_Pasta1_Mig Ret 3G" xfId="7204"/>
    <cellStyle name="_Televendas Painel_Pasta1_Mig Ret 3G_1" xfId="7205"/>
    <cellStyle name="_Televendas Painel_Pasta1_Mig Ret 3G_2" xfId="7206"/>
    <cellStyle name="_Televendas Painel_Pasta1_Mig Ret 3G_3" xfId="7207"/>
    <cellStyle name="_Televendas Painel_Pasta1_Mig Ret 3G_4" xfId="7208"/>
    <cellStyle name="_Televendas Painel_Pasta1_Mig Ret 3G_5" xfId="7209"/>
    <cellStyle name="_Televendas Painel_Pasta1_Mig Ret 3G_6" xfId="7210"/>
    <cellStyle name="_Televendas Painel_Pasta1_Mig Ret 3G_7" xfId="7211"/>
    <cellStyle name="_Televendas Painel_Pasta1_Movel" xfId="7212"/>
    <cellStyle name="_Televendas Painel_Pasta1_Movel_1" xfId="7213"/>
    <cellStyle name="_Televendas Painel_Pasta1_Movel_2" xfId="7214"/>
    <cellStyle name="_Televendas Painel_Pasta1_Movel_3" xfId="7215"/>
    <cellStyle name="_Televendas Painel_Pasta1_Movel_4" xfId="7216"/>
    <cellStyle name="_Televendas Painel_Pasta1_Movel_5" xfId="7217"/>
    <cellStyle name="_Televendas Painel_Pasta1_Movel_6" xfId="7218"/>
    <cellStyle name="_Televendas Painel_Pasta1_Movel_7" xfId="7219"/>
    <cellStyle name="_Televendas Painel_Pasta1_Retenção" xfId="7220"/>
    <cellStyle name="_Televendas Painel_Plan1" xfId="7221"/>
    <cellStyle name="_Televendas Painel_Plan1_Base" xfId="7222"/>
    <cellStyle name="_Televendas Painel_Plan1_D_Ret_Fixa_EMP" xfId="7223"/>
    <cellStyle name="_Televendas Painel_Plan1_D_Ret_Fixa_EMP_1" xfId="7224"/>
    <cellStyle name="_Televendas Painel_Plan1_D_Ret_Fixa_EMP_2" xfId="7225"/>
    <cellStyle name="_Televendas Painel_Plan1_D_Ret_Fixa_EMP_3" xfId="7226"/>
    <cellStyle name="_Televendas Painel_Plan1_D_Ret_Fixa_EMP_4" xfId="7227"/>
    <cellStyle name="_Televendas Painel_Plan1_D_Ret_Fixa_EMP_5" xfId="7228"/>
    <cellStyle name="_Televendas Painel_Plan1_D_Ret_Fixa_EMP_6" xfId="7229"/>
    <cellStyle name="_Televendas Painel_Plan1_D_Ret_Fixa_EMP_7" xfId="7230"/>
    <cellStyle name="_Televendas Painel_Plan1_D_Ret_Fixa_EMP_8" xfId="7231"/>
    <cellStyle name="_Televendas Painel_Plan1_D_Ret_Fixa_VAR" xfId="7232"/>
    <cellStyle name="_Televendas Painel_Plan1_D_Ret_Fixa_VAR_1" xfId="7233"/>
    <cellStyle name="_Televendas Painel_Plan1_D_Ret_Fixa_VAR_2" xfId="7234"/>
    <cellStyle name="_Televendas Painel_Plan1_D_Ret_Fixa_VAR_3" xfId="7235"/>
    <cellStyle name="_Televendas Painel_Plan1_D_Ret_Fixa_VAR_4" xfId="7236"/>
    <cellStyle name="_Televendas Painel_Plan1_D_Ret_Fixa_VAR_5" xfId="7237"/>
    <cellStyle name="_Televendas Painel_Plan1_D_Ret_Fixa_VAR_6" xfId="7238"/>
    <cellStyle name="_Televendas Painel_Plan1_D_Ret_Fixa_VAR_7" xfId="7239"/>
    <cellStyle name="_Televendas Painel_Plan1_D_Ret_Fixa_VAR_8" xfId="7240"/>
    <cellStyle name="_Televendas Painel_Plan1_Mig Ret 3G" xfId="7241"/>
    <cellStyle name="_Televendas Painel_Plan1_Mig Ret 3G_1" xfId="7242"/>
    <cellStyle name="_Televendas Painel_Plan1_Mig Ret 3G_2" xfId="7243"/>
    <cellStyle name="_Televendas Painel_Plan1_Mig Ret 3G_3" xfId="7244"/>
    <cellStyle name="_Televendas Painel_Plan1_Mig Ret 3G_4" xfId="7245"/>
    <cellStyle name="_Televendas Painel_Plan1_Mig Ret 3G_5" xfId="7246"/>
    <cellStyle name="_Televendas Painel_Plan1_Mig Ret 3G_6" xfId="7247"/>
    <cellStyle name="_Televendas Painel_Plan1_Mig Ret 3G_7" xfId="7248"/>
    <cellStyle name="_Televendas Painel_Plan1_Movel" xfId="7249"/>
    <cellStyle name="_Televendas Painel_Plan1_Movel_1" xfId="7250"/>
    <cellStyle name="_Televendas Painel_Plan1_Movel_2" xfId="7251"/>
    <cellStyle name="_Televendas Painel_Plan1_Movel_3" xfId="7252"/>
    <cellStyle name="_Televendas Painel_Plan1_Movel_4" xfId="7253"/>
    <cellStyle name="_Televendas Painel_Plan1_Movel_5" xfId="7254"/>
    <cellStyle name="_Televendas Painel_Plan1_Movel_6" xfId="7255"/>
    <cellStyle name="_Televendas Painel_Plan1_Movel_7" xfId="7256"/>
    <cellStyle name="_Televendas Painel_Plan1_Retenção" xfId="7257"/>
    <cellStyle name="_Televendas Painel_Plan2" xfId="7258"/>
    <cellStyle name="_Televendas Painel_Plan2_Base" xfId="7259"/>
    <cellStyle name="_Televendas Painel_Plan2_D_Ret_Fixa_EMP" xfId="7260"/>
    <cellStyle name="_Televendas Painel_Plan2_D_Ret_Fixa_EMP_1" xfId="7261"/>
    <cellStyle name="_Televendas Painel_Plan2_D_Ret_Fixa_EMP_2" xfId="7262"/>
    <cellStyle name="_Televendas Painel_Plan2_D_Ret_Fixa_EMP_3" xfId="7263"/>
    <cellStyle name="_Televendas Painel_Plan2_D_Ret_Fixa_EMP_4" xfId="7264"/>
    <cellStyle name="_Televendas Painel_Plan2_D_Ret_Fixa_EMP_5" xfId="7265"/>
    <cellStyle name="_Televendas Painel_Plan2_D_Ret_Fixa_EMP_6" xfId="7266"/>
    <cellStyle name="_Televendas Painel_Plan2_D_Ret_Fixa_EMP_7" xfId="7267"/>
    <cellStyle name="_Televendas Painel_Plan2_D_Ret_Fixa_EMP_8" xfId="7268"/>
    <cellStyle name="_Televendas Painel_Plan2_D_Ret_Fixa_VAR" xfId="7269"/>
    <cellStyle name="_Televendas Painel_Plan2_D_Ret_Fixa_VAR_1" xfId="7270"/>
    <cellStyle name="_Televendas Painel_Plan2_D_Ret_Fixa_VAR_2" xfId="7271"/>
    <cellStyle name="_Televendas Painel_Plan2_D_Ret_Fixa_VAR_3" xfId="7272"/>
    <cellStyle name="_Televendas Painel_Plan2_D_Ret_Fixa_VAR_4" xfId="7273"/>
    <cellStyle name="_Televendas Painel_Plan2_D_Ret_Fixa_VAR_5" xfId="7274"/>
    <cellStyle name="_Televendas Painel_Plan2_D_Ret_Fixa_VAR_6" xfId="7275"/>
    <cellStyle name="_Televendas Painel_Plan2_D_Ret_Fixa_VAR_7" xfId="7276"/>
    <cellStyle name="_Televendas Painel_Plan2_D_Ret_Fixa_VAR_8" xfId="7277"/>
    <cellStyle name="_Televendas Painel_Plan2_Mig Ret 3G" xfId="7278"/>
    <cellStyle name="_Televendas Painel_Plan2_Mig Ret 3G_1" xfId="7279"/>
    <cellStyle name="_Televendas Painel_Plan2_Mig Ret 3G_2" xfId="7280"/>
    <cellStyle name="_Televendas Painel_Plan2_Mig Ret 3G_3" xfId="7281"/>
    <cellStyle name="_Televendas Painel_Plan2_Mig Ret 3G_4" xfId="7282"/>
    <cellStyle name="_Televendas Painel_Plan2_Mig Ret 3G_5" xfId="7283"/>
    <cellStyle name="_Televendas Painel_Plan2_Mig Ret 3G_6" xfId="7284"/>
    <cellStyle name="_Televendas Painel_Plan2_Mig Ret 3G_7" xfId="7285"/>
    <cellStyle name="_Televendas Painel_Plan2_Movel" xfId="7286"/>
    <cellStyle name="_Televendas Painel_Plan2_Movel_1" xfId="7287"/>
    <cellStyle name="_Televendas Painel_Plan2_Movel_2" xfId="7288"/>
    <cellStyle name="_Televendas Painel_Plan2_Movel_3" xfId="7289"/>
    <cellStyle name="_Televendas Painel_Plan2_Movel_4" xfId="7290"/>
    <cellStyle name="_Televendas Painel_Plan2_Movel_5" xfId="7291"/>
    <cellStyle name="_Televendas Painel_Plan2_Movel_6" xfId="7292"/>
    <cellStyle name="_Televendas Painel_Plan2_Movel_7" xfId="7293"/>
    <cellStyle name="_Televendas Painel_Plan2_Retenção" xfId="7294"/>
    <cellStyle name="_Televendas Painel_Real" xfId="7295"/>
    <cellStyle name="_Televendas Painel_Real_BD Resumo diário Painel de Televendas Setembro 2010_BASE_UNICA" xfId="7296"/>
    <cellStyle name="_Televendas Painel_Real_BD Resumo diário Painel de Televendas Setembro 2010_BASE_UNICA_Base" xfId="7297"/>
    <cellStyle name="_Televendas Painel_Real_BD Resumo diário Painel de Televendas Setembro 2010_BASE_UNICA_D_Movel" xfId="7298"/>
    <cellStyle name="_Televendas Painel_Real_BD Resumo diário Painel de Televendas Setembro 2010_BASE_UNICA_D_Ret_Fixa_EMP" xfId="7299"/>
    <cellStyle name="_Televendas Painel_Real_BD Resumo diário Painel de Televendas Setembro 2010_BASE_UNICA_D_Ret_Fixa_EMP_1" xfId="7300"/>
    <cellStyle name="_Televendas Painel_Real_BD Resumo diário Painel de Televendas Setembro 2010_BASE_UNICA_D_Ret_Fixa_EMP_2" xfId="7301"/>
    <cellStyle name="_Televendas Painel_Real_BD Resumo diário Painel de Televendas Setembro 2010_BASE_UNICA_D_Ret_Fixa_EMP_3" xfId="7302"/>
    <cellStyle name="_Televendas Painel_Real_BD Resumo diário Painel de Televendas Setembro 2010_BASE_UNICA_D_Ret_Fixa_EMP_4" xfId="7303"/>
    <cellStyle name="_Televendas Painel_Real_BD Resumo diário Painel de Televendas Setembro 2010_BASE_UNICA_D_Ret_Fixa_EMP_5" xfId="7304"/>
    <cellStyle name="_Televendas Painel_Real_BD Resumo diário Painel de Televendas Setembro 2010_BASE_UNICA_D_Ret_Fixa_EMP_6" xfId="7305"/>
    <cellStyle name="_Televendas Painel_Real_BD Resumo diário Painel de Televendas Setembro 2010_BASE_UNICA_D_Ret_Fixa_EMP_7" xfId="7306"/>
    <cellStyle name="_Televendas Painel_Real_BD Resumo diário Painel de Televendas Setembro 2010_BASE_UNICA_D_Ret_Fixa_EMP_8" xfId="7307"/>
    <cellStyle name="_Televendas Painel_Real_BD Resumo diário Painel de Televendas Setembro 2010_BASE_UNICA_D_Ret_Fixa_VAR" xfId="7308"/>
    <cellStyle name="_Televendas Painel_Real_BD Resumo diário Painel de Televendas Setembro 2010_BASE_UNICA_D_Ret_Fixa_VAR_1" xfId="7309"/>
    <cellStyle name="_Televendas Painel_Real_BD Resumo diário Painel de Televendas Setembro 2010_BASE_UNICA_D_Ret_Fixa_VAR_2" xfId="7310"/>
    <cellStyle name="_Televendas Painel_Real_BD Resumo diário Painel de Televendas Setembro 2010_BASE_UNICA_D_Ret_Fixa_VAR_3" xfId="7311"/>
    <cellStyle name="_Televendas Painel_Real_BD Resumo diário Painel de Televendas Setembro 2010_BASE_UNICA_D_Ret_Fixa_VAR_4" xfId="7312"/>
    <cellStyle name="_Televendas Painel_Real_BD Resumo diário Painel de Televendas Setembro 2010_BASE_UNICA_D_Ret_Fixa_VAR_5" xfId="7313"/>
    <cellStyle name="_Televendas Painel_Real_BD Resumo diário Painel de Televendas Setembro 2010_BASE_UNICA_D_Ret_Fixa_VAR_6" xfId="7314"/>
    <cellStyle name="_Televendas Painel_Real_BD Resumo diário Painel de Televendas Setembro 2010_BASE_UNICA_D_Ret_Fixa_VAR_7" xfId="7315"/>
    <cellStyle name="_Televendas Painel_Real_BD Resumo diário Painel de Televendas Setembro 2010_BASE_UNICA_D_Ret_Fixa_VAR_8" xfId="7316"/>
    <cellStyle name="_Televendas Painel_Real_BD Resumo diário Painel de Televendas Setembro 2010_BASE_UNICA_De_Para_plano" xfId="7317"/>
    <cellStyle name="_Televendas Painel_Real_BD Resumo diário Painel de Televendas Setembro 2010_BASE_UNICA_Mig Ret 3G" xfId="7318"/>
    <cellStyle name="_Televendas Painel_Real_BD Resumo diário Painel de Televendas Setembro 2010_BASE_UNICA_Mig Ret 3G_1" xfId="7319"/>
    <cellStyle name="_Televendas Painel_Real_BD Resumo diário Painel de Televendas Setembro 2010_BASE_UNICA_Mig Ret 3G_2" xfId="7320"/>
    <cellStyle name="_Televendas Painel_Real_BD Resumo diário Painel de Televendas Setembro 2010_BASE_UNICA_Mig Ret 3G_3" xfId="7321"/>
    <cellStyle name="_Televendas Painel_Real_BD Resumo diário Painel de Televendas Setembro 2010_BASE_UNICA_Mig Ret 3G_4" xfId="7322"/>
    <cellStyle name="_Televendas Painel_Real_BD Resumo diário Painel de Televendas Setembro 2010_BASE_UNICA_Mig Ret 3G_5" xfId="7323"/>
    <cellStyle name="_Televendas Painel_Real_BD Resumo diário Painel de Televendas Setembro 2010_BASE_UNICA_Mig Ret 3G_6" xfId="7324"/>
    <cellStyle name="_Televendas Painel_Real_BD Resumo diário Painel de Televendas Setembro 2010_BASE_UNICA_Mig Ret 3G_7" xfId="7325"/>
    <cellStyle name="_Televendas Painel_Real_BD Resumo diário Painel de Televendas Setembro 2010_BASE_UNICA_Movel" xfId="7326"/>
    <cellStyle name="_Televendas Painel_Real_BD Resumo diário Painel de Televendas Setembro 2010_BASE_UNICA_Movel_1" xfId="7327"/>
    <cellStyle name="_Televendas Painel_Real_BD Resumo diário Painel de Televendas Setembro 2010_BASE_UNICA_Movel_2" xfId="7328"/>
    <cellStyle name="_Televendas Painel_Real_BD Resumo diário Painel de Televendas Setembro 2010_BASE_UNICA_Movel_3" xfId="7329"/>
    <cellStyle name="_Televendas Painel_Real_BD Resumo diário Painel de Televendas Setembro 2010_BASE_UNICA_Movel_4" xfId="7330"/>
    <cellStyle name="_Televendas Painel_Real_BD Resumo diário Painel de Televendas Setembro 2010_BASE_UNICA_Movel_5" xfId="7331"/>
    <cellStyle name="_Televendas Painel_Real_BD Resumo diário Painel de Televendas Setembro 2010_BASE_UNICA_Movel_6" xfId="7332"/>
    <cellStyle name="_Televendas Painel_Real_BD Resumo diário Painel de Televendas Setembro 2010_BASE_UNICA_Movel_7" xfId="7333"/>
    <cellStyle name="_Televendas Painel_Real_BD Resumo diário Painel de Televendas Setembro 2010_BASE_UNICA_Retenção" xfId="7334"/>
    <cellStyle name="_Televendas Painel_Real_Pasta1" xfId="7335"/>
    <cellStyle name="_Televendas Painel_Real_Pasta1_Base" xfId="7336"/>
    <cellStyle name="_Televendas Painel_Real_Pasta1_D_Movel" xfId="7337"/>
    <cellStyle name="_Televendas Painel_Real_Pasta1_D_Ret_Fixa_EMP" xfId="7338"/>
    <cellStyle name="_Televendas Painel_Real_Pasta1_D_Ret_Fixa_EMP_1" xfId="7339"/>
    <cellStyle name="_Televendas Painel_Real_Pasta1_D_Ret_Fixa_EMP_2" xfId="7340"/>
    <cellStyle name="_Televendas Painel_Real_Pasta1_D_Ret_Fixa_EMP_3" xfId="7341"/>
    <cellStyle name="_Televendas Painel_Real_Pasta1_D_Ret_Fixa_EMP_4" xfId="7342"/>
    <cellStyle name="_Televendas Painel_Real_Pasta1_D_Ret_Fixa_EMP_5" xfId="7343"/>
    <cellStyle name="_Televendas Painel_Real_Pasta1_D_Ret_Fixa_EMP_6" xfId="7344"/>
    <cellStyle name="_Televendas Painel_Real_Pasta1_D_Ret_Fixa_EMP_7" xfId="7345"/>
    <cellStyle name="_Televendas Painel_Real_Pasta1_D_Ret_Fixa_EMP_8" xfId="7346"/>
    <cellStyle name="_Televendas Painel_Real_Pasta1_D_Ret_Fixa_VAR" xfId="7347"/>
    <cellStyle name="_Televendas Painel_Real_Pasta1_D_Ret_Fixa_VAR_1" xfId="7348"/>
    <cellStyle name="_Televendas Painel_Real_Pasta1_D_Ret_Fixa_VAR_2" xfId="7349"/>
    <cellStyle name="_Televendas Painel_Real_Pasta1_D_Ret_Fixa_VAR_3" xfId="7350"/>
    <cellStyle name="_Televendas Painel_Real_Pasta1_D_Ret_Fixa_VAR_4" xfId="7351"/>
    <cellStyle name="_Televendas Painel_Real_Pasta1_D_Ret_Fixa_VAR_5" xfId="7352"/>
    <cellStyle name="_Televendas Painel_Real_Pasta1_D_Ret_Fixa_VAR_6" xfId="7353"/>
    <cellStyle name="_Televendas Painel_Real_Pasta1_D_Ret_Fixa_VAR_7" xfId="7354"/>
    <cellStyle name="_Televendas Painel_Real_Pasta1_D_Ret_Fixa_VAR_8" xfId="7355"/>
    <cellStyle name="_Televendas Painel_Real_Pasta1_De_Para_plano" xfId="7356"/>
    <cellStyle name="_Televendas Painel_Real_Pasta1_Mig Ret 3G" xfId="7357"/>
    <cellStyle name="_Televendas Painel_Real_Pasta1_Mig Ret 3G_1" xfId="7358"/>
    <cellStyle name="_Televendas Painel_Real_Pasta1_Mig Ret 3G_2" xfId="7359"/>
    <cellStyle name="_Televendas Painel_Real_Pasta1_Mig Ret 3G_3" xfId="7360"/>
    <cellStyle name="_Televendas Painel_Real_Pasta1_Mig Ret 3G_4" xfId="7361"/>
    <cellStyle name="_Televendas Painel_Real_Pasta1_Mig Ret 3G_5" xfId="7362"/>
    <cellStyle name="_Televendas Painel_Real_Pasta1_Mig Ret 3G_6" xfId="7363"/>
    <cellStyle name="_Televendas Painel_Real_Pasta1_Mig Ret 3G_7" xfId="7364"/>
    <cellStyle name="_Televendas Painel_Real_Pasta1_Movel" xfId="7365"/>
    <cellStyle name="_Televendas Painel_Real_Pasta1_Movel_1" xfId="7366"/>
    <cellStyle name="_Televendas Painel_Real_Pasta1_Movel_2" xfId="7367"/>
    <cellStyle name="_Televendas Painel_Real_Pasta1_Movel_3" xfId="7368"/>
    <cellStyle name="_Televendas Painel_Real_Pasta1_Movel_4" xfId="7369"/>
    <cellStyle name="_Televendas Painel_Real_Pasta1_Movel_5" xfId="7370"/>
    <cellStyle name="_Televendas Painel_Real_Pasta1_Movel_6" xfId="7371"/>
    <cellStyle name="_Televendas Painel_Real_Pasta1_Movel_7" xfId="7372"/>
    <cellStyle name="_Televendas Painel_Real_Pasta1_Retenção" xfId="7373"/>
    <cellStyle name="_Televendas Painel_Real_Televendas Painel" xfId="7374"/>
    <cellStyle name="_Televendas Painel_Real_Televendas Painel_Base" xfId="7375"/>
    <cellStyle name="_Televendas Painel_Real_Televendas Painel_D_Movel" xfId="7376"/>
    <cellStyle name="_Televendas Painel_Real_Televendas Painel_D_Ret_Fixa_EMP" xfId="7377"/>
    <cellStyle name="_Televendas Painel_Real_Televendas Painel_D_Ret_Fixa_EMP_1" xfId="7378"/>
    <cellStyle name="_Televendas Painel_Real_Televendas Painel_D_Ret_Fixa_EMP_2" xfId="7379"/>
    <cellStyle name="_Televendas Painel_Real_Televendas Painel_D_Ret_Fixa_EMP_3" xfId="7380"/>
    <cellStyle name="_Televendas Painel_Real_Televendas Painel_D_Ret_Fixa_EMP_4" xfId="7381"/>
    <cellStyle name="_Televendas Painel_Real_Televendas Painel_D_Ret_Fixa_EMP_5" xfId="7382"/>
    <cellStyle name="_Televendas Painel_Real_Televendas Painel_D_Ret_Fixa_EMP_6" xfId="7383"/>
    <cellStyle name="_Televendas Painel_Real_Televendas Painel_D_Ret_Fixa_EMP_7" xfId="7384"/>
    <cellStyle name="_Televendas Painel_Real_Televendas Painel_D_Ret_Fixa_EMP_8" xfId="7385"/>
    <cellStyle name="_Televendas Painel_Real_Televendas Painel_D_Ret_Fixa_VAR" xfId="7386"/>
    <cellStyle name="_Televendas Painel_Real_Televendas Painel_D_Ret_Fixa_VAR_1" xfId="7387"/>
    <cellStyle name="_Televendas Painel_Real_Televendas Painel_D_Ret_Fixa_VAR_2" xfId="7388"/>
    <cellStyle name="_Televendas Painel_Real_Televendas Painel_D_Ret_Fixa_VAR_3" xfId="7389"/>
    <cellStyle name="_Televendas Painel_Real_Televendas Painel_D_Ret_Fixa_VAR_4" xfId="7390"/>
    <cellStyle name="_Televendas Painel_Real_Televendas Painel_D_Ret_Fixa_VAR_5" xfId="7391"/>
    <cellStyle name="_Televendas Painel_Real_Televendas Painel_D_Ret_Fixa_VAR_6" xfId="7392"/>
    <cellStyle name="_Televendas Painel_Real_Televendas Painel_D_Ret_Fixa_VAR_7" xfId="7393"/>
    <cellStyle name="_Televendas Painel_Real_Televendas Painel_D_Ret_Fixa_VAR_8" xfId="7394"/>
    <cellStyle name="_Televendas Painel_Real_Televendas Painel_De_Para_plano" xfId="7395"/>
    <cellStyle name="_Televendas Painel_Real_Televendas Painel_Mig Ret 3G" xfId="7396"/>
    <cellStyle name="_Televendas Painel_Real_Televendas Painel_Mig Ret 3G_1" xfId="7397"/>
    <cellStyle name="_Televendas Painel_Real_Televendas Painel_Mig Ret 3G_2" xfId="7398"/>
    <cellStyle name="_Televendas Painel_Real_Televendas Painel_Mig Ret 3G_3" xfId="7399"/>
    <cellStyle name="_Televendas Painel_Real_Televendas Painel_Mig Ret 3G_4" xfId="7400"/>
    <cellStyle name="_Televendas Painel_Real_Televendas Painel_Mig Ret 3G_5" xfId="7401"/>
    <cellStyle name="_Televendas Painel_Real_Televendas Painel_Mig Ret 3G_6" xfId="7402"/>
    <cellStyle name="_Televendas Painel_Real_Televendas Painel_Mig Ret 3G_7" xfId="7403"/>
    <cellStyle name="_Televendas Painel_Real_Televendas Painel_Movel" xfId="7404"/>
    <cellStyle name="_Televendas Painel_Real_Televendas Painel_Movel_1" xfId="7405"/>
    <cellStyle name="_Televendas Painel_Real_Televendas Painel_Movel_2" xfId="7406"/>
    <cellStyle name="_Televendas Painel_Real_Televendas Painel_Movel_3" xfId="7407"/>
    <cellStyle name="_Televendas Painel_Real_Televendas Painel_Movel_4" xfId="7408"/>
    <cellStyle name="_Televendas Painel_Real_Televendas Painel_Movel_5" xfId="7409"/>
    <cellStyle name="_Televendas Painel_Real_Televendas Painel_Movel_6" xfId="7410"/>
    <cellStyle name="_Televendas Painel_Real_Televendas Painel_Movel_7" xfId="7411"/>
    <cellStyle name="_Televendas Painel_Real_Televendas Painel_Retenção" xfId="7412"/>
    <cellStyle name="_Televendas Painel_Retenção" xfId="7413"/>
    <cellStyle name="_Televendas Painel_Retenção Painel" xfId="7414"/>
    <cellStyle name="_Televendas Painel_Retenção Painel_1" xfId="7415"/>
    <cellStyle name="_Televendas Painel_Retenção Painel_1_Base" xfId="7416"/>
    <cellStyle name="_Televendas Painel_Retenção Painel_1_D_Movel" xfId="7417"/>
    <cellStyle name="_Televendas Painel_Retenção Painel_1_D_Ret_Fixa_EMP" xfId="7418"/>
    <cellStyle name="_Televendas Painel_Retenção Painel_1_D_Ret_Fixa_EMP_1" xfId="7419"/>
    <cellStyle name="_Televendas Painel_Retenção Painel_1_D_Ret_Fixa_EMP_2" xfId="7420"/>
    <cellStyle name="_Televendas Painel_Retenção Painel_1_D_Ret_Fixa_EMP_3" xfId="7421"/>
    <cellStyle name="_Televendas Painel_Retenção Painel_1_D_Ret_Fixa_EMP_4" xfId="7422"/>
    <cellStyle name="_Televendas Painel_Retenção Painel_1_D_Ret_Fixa_EMP_5" xfId="7423"/>
    <cellStyle name="_Televendas Painel_Retenção Painel_1_D_Ret_Fixa_EMP_6" xfId="7424"/>
    <cellStyle name="_Televendas Painel_Retenção Painel_1_D_Ret_Fixa_EMP_7" xfId="7425"/>
    <cellStyle name="_Televendas Painel_Retenção Painel_1_D_Ret_Fixa_EMP_8" xfId="7426"/>
    <cellStyle name="_Televendas Painel_Retenção Painel_1_D_Ret_Fixa_VAR" xfId="7427"/>
    <cellStyle name="_Televendas Painel_Retenção Painel_1_D_Ret_Fixa_VAR_1" xfId="7428"/>
    <cellStyle name="_Televendas Painel_Retenção Painel_1_D_Ret_Fixa_VAR_2" xfId="7429"/>
    <cellStyle name="_Televendas Painel_Retenção Painel_1_D_Ret_Fixa_VAR_3" xfId="7430"/>
    <cellStyle name="_Televendas Painel_Retenção Painel_1_D_Ret_Fixa_VAR_4" xfId="7431"/>
    <cellStyle name="_Televendas Painel_Retenção Painel_1_D_Ret_Fixa_VAR_5" xfId="7432"/>
    <cellStyle name="_Televendas Painel_Retenção Painel_1_D_Ret_Fixa_VAR_6" xfId="7433"/>
    <cellStyle name="_Televendas Painel_Retenção Painel_1_D_Ret_Fixa_VAR_7" xfId="7434"/>
    <cellStyle name="_Televendas Painel_Retenção Painel_1_D_Ret_Fixa_VAR_8" xfId="7435"/>
    <cellStyle name="_Televendas Painel_Retenção Painel_1_De_Para_plano" xfId="7436"/>
    <cellStyle name="_Televendas Painel_Retenção Painel_1_Mig Ret 3G" xfId="7437"/>
    <cellStyle name="_Televendas Painel_Retenção Painel_1_Mig Ret 3G_1" xfId="7438"/>
    <cellStyle name="_Televendas Painel_Retenção Painel_1_Mig Ret 3G_2" xfId="7439"/>
    <cellStyle name="_Televendas Painel_Retenção Painel_1_Mig Ret 3G_3" xfId="7440"/>
    <cellStyle name="_Televendas Painel_Retenção Painel_1_Mig Ret 3G_4" xfId="7441"/>
    <cellStyle name="_Televendas Painel_Retenção Painel_1_Mig Ret 3G_5" xfId="7442"/>
    <cellStyle name="_Televendas Painel_Retenção Painel_1_Mig Ret 3G_6" xfId="7443"/>
    <cellStyle name="_Televendas Painel_Retenção Painel_1_Mig Ret 3G_7" xfId="7444"/>
    <cellStyle name="_Televendas Painel_Retenção Painel_1_Movel" xfId="7445"/>
    <cellStyle name="_Televendas Painel_Retenção Painel_1_Movel_1" xfId="7446"/>
    <cellStyle name="_Televendas Painel_Retenção Painel_1_Movel_2" xfId="7447"/>
    <cellStyle name="_Televendas Painel_Retenção Painel_1_Movel_3" xfId="7448"/>
    <cellStyle name="_Televendas Painel_Retenção Painel_1_Movel_4" xfId="7449"/>
    <cellStyle name="_Televendas Painel_Retenção Painel_1_Movel_5" xfId="7450"/>
    <cellStyle name="_Televendas Painel_Retenção Painel_1_Movel_6" xfId="7451"/>
    <cellStyle name="_Televendas Painel_Retenção Painel_1_Movel_7" xfId="7452"/>
    <cellStyle name="_Televendas Painel_Retenção Painel_1_Retenção" xfId="7453"/>
    <cellStyle name="_Televendas Painel_Retenção Painel_2" xfId="7454"/>
    <cellStyle name="_Televendas Painel_Retenção Painel_2_Base" xfId="7455"/>
    <cellStyle name="_Televendas Painel_Retenção Painel_2_D_Movel" xfId="7456"/>
    <cellStyle name="_Televendas Painel_Retenção Painel_2_D_Ret_Fixa_EMP" xfId="7457"/>
    <cellStyle name="_Televendas Painel_Retenção Painel_2_D_Ret_Fixa_EMP_1" xfId="7458"/>
    <cellStyle name="_Televendas Painel_Retenção Painel_2_D_Ret_Fixa_EMP_2" xfId="7459"/>
    <cellStyle name="_Televendas Painel_Retenção Painel_2_D_Ret_Fixa_EMP_3" xfId="7460"/>
    <cellStyle name="_Televendas Painel_Retenção Painel_2_D_Ret_Fixa_EMP_4" xfId="7461"/>
    <cellStyle name="_Televendas Painel_Retenção Painel_2_D_Ret_Fixa_EMP_5" xfId="7462"/>
    <cellStyle name="_Televendas Painel_Retenção Painel_2_D_Ret_Fixa_EMP_6" xfId="7463"/>
    <cellStyle name="_Televendas Painel_Retenção Painel_2_D_Ret_Fixa_EMP_7" xfId="7464"/>
    <cellStyle name="_Televendas Painel_Retenção Painel_2_D_Ret_Fixa_EMP_8" xfId="7465"/>
    <cellStyle name="_Televendas Painel_Retenção Painel_2_D_Ret_Fixa_VAR" xfId="7466"/>
    <cellStyle name="_Televendas Painel_Retenção Painel_2_D_Ret_Fixa_VAR_1" xfId="7467"/>
    <cellStyle name="_Televendas Painel_Retenção Painel_2_D_Ret_Fixa_VAR_2" xfId="7468"/>
    <cellStyle name="_Televendas Painel_Retenção Painel_2_D_Ret_Fixa_VAR_3" xfId="7469"/>
    <cellStyle name="_Televendas Painel_Retenção Painel_2_D_Ret_Fixa_VAR_4" xfId="7470"/>
    <cellStyle name="_Televendas Painel_Retenção Painel_2_D_Ret_Fixa_VAR_5" xfId="7471"/>
    <cellStyle name="_Televendas Painel_Retenção Painel_2_D_Ret_Fixa_VAR_6" xfId="7472"/>
    <cellStyle name="_Televendas Painel_Retenção Painel_2_D_Ret_Fixa_VAR_7" xfId="7473"/>
    <cellStyle name="_Televendas Painel_Retenção Painel_2_D_Ret_Fixa_VAR_8" xfId="7474"/>
    <cellStyle name="_Televendas Painel_Retenção Painel_2_De_Para_plano" xfId="7475"/>
    <cellStyle name="_Televendas Painel_Retenção Painel_2_Mig Ret 3G" xfId="7476"/>
    <cellStyle name="_Televendas Painel_Retenção Painel_2_Mig Ret 3G_1" xfId="7477"/>
    <cellStyle name="_Televendas Painel_Retenção Painel_2_Mig Ret 3G_2" xfId="7478"/>
    <cellStyle name="_Televendas Painel_Retenção Painel_2_Mig Ret 3G_3" xfId="7479"/>
    <cellStyle name="_Televendas Painel_Retenção Painel_2_Mig Ret 3G_4" xfId="7480"/>
    <cellStyle name="_Televendas Painel_Retenção Painel_2_Mig Ret 3G_5" xfId="7481"/>
    <cellStyle name="_Televendas Painel_Retenção Painel_2_Mig Ret 3G_6" xfId="7482"/>
    <cellStyle name="_Televendas Painel_Retenção Painel_2_Mig Ret 3G_7" xfId="7483"/>
    <cellStyle name="_Televendas Painel_Retenção Painel_2_Movel" xfId="7484"/>
    <cellStyle name="_Televendas Painel_Retenção Painel_2_Movel_1" xfId="7485"/>
    <cellStyle name="_Televendas Painel_Retenção Painel_2_Movel_2" xfId="7486"/>
    <cellStyle name="_Televendas Painel_Retenção Painel_2_Movel_3" xfId="7487"/>
    <cellStyle name="_Televendas Painel_Retenção Painel_2_Movel_4" xfId="7488"/>
    <cellStyle name="_Televendas Painel_Retenção Painel_2_Movel_5" xfId="7489"/>
    <cellStyle name="_Televendas Painel_Retenção Painel_2_Movel_6" xfId="7490"/>
    <cellStyle name="_Televendas Painel_Retenção Painel_2_Movel_7" xfId="7491"/>
    <cellStyle name="_Televendas Painel_Retenção Painel_2_Retenção" xfId="7492"/>
    <cellStyle name="_Televendas Painel_Retenção Painel_2_Retenção Painel" xfId="7493"/>
    <cellStyle name="_Televendas Painel_Retenção Painel_2_Retenção Painel_Base" xfId="7494"/>
    <cellStyle name="_Televendas Painel_Retenção Painel_2_Retenção Painel_D_Movel" xfId="7495"/>
    <cellStyle name="_Televendas Painel_Retenção Painel_2_Retenção Painel_D_Ret_Fixa_EMP" xfId="7496"/>
    <cellStyle name="_Televendas Painel_Retenção Painel_2_Retenção Painel_D_Ret_Fixa_EMP_1" xfId="7497"/>
    <cellStyle name="_Televendas Painel_Retenção Painel_2_Retenção Painel_D_Ret_Fixa_EMP_2" xfId="7498"/>
    <cellStyle name="_Televendas Painel_Retenção Painel_2_Retenção Painel_D_Ret_Fixa_EMP_3" xfId="7499"/>
    <cellStyle name="_Televendas Painel_Retenção Painel_2_Retenção Painel_D_Ret_Fixa_EMP_4" xfId="7500"/>
    <cellStyle name="_Televendas Painel_Retenção Painel_2_Retenção Painel_D_Ret_Fixa_EMP_5" xfId="7501"/>
    <cellStyle name="_Televendas Painel_Retenção Painel_2_Retenção Painel_D_Ret_Fixa_EMP_6" xfId="7502"/>
    <cellStyle name="_Televendas Painel_Retenção Painel_2_Retenção Painel_D_Ret_Fixa_EMP_7" xfId="7503"/>
    <cellStyle name="_Televendas Painel_Retenção Painel_2_Retenção Painel_D_Ret_Fixa_EMP_8" xfId="7504"/>
    <cellStyle name="_Televendas Painel_Retenção Painel_2_Retenção Painel_D_Ret_Fixa_VAR" xfId="7505"/>
    <cellStyle name="_Televendas Painel_Retenção Painel_2_Retenção Painel_D_Ret_Fixa_VAR_1" xfId="7506"/>
    <cellStyle name="_Televendas Painel_Retenção Painel_2_Retenção Painel_D_Ret_Fixa_VAR_2" xfId="7507"/>
    <cellStyle name="_Televendas Painel_Retenção Painel_2_Retenção Painel_D_Ret_Fixa_VAR_3" xfId="7508"/>
    <cellStyle name="_Televendas Painel_Retenção Painel_2_Retenção Painel_D_Ret_Fixa_VAR_4" xfId="7509"/>
    <cellStyle name="_Televendas Painel_Retenção Painel_2_Retenção Painel_D_Ret_Fixa_VAR_5" xfId="7510"/>
    <cellStyle name="_Televendas Painel_Retenção Painel_2_Retenção Painel_D_Ret_Fixa_VAR_6" xfId="7511"/>
    <cellStyle name="_Televendas Painel_Retenção Painel_2_Retenção Painel_D_Ret_Fixa_VAR_7" xfId="7512"/>
    <cellStyle name="_Televendas Painel_Retenção Painel_2_Retenção Painel_D_Ret_Fixa_VAR_8" xfId="7513"/>
    <cellStyle name="_Televendas Painel_Retenção Painel_2_Retenção Painel_De_Para_plano" xfId="7514"/>
    <cellStyle name="_Televendas Painel_Retenção Painel_2_Retenção Painel_Mig Ret 3G" xfId="7515"/>
    <cellStyle name="_Televendas Painel_Retenção Painel_2_Retenção Painel_Mig Ret 3G_1" xfId="7516"/>
    <cellStyle name="_Televendas Painel_Retenção Painel_2_Retenção Painel_Mig Ret 3G_2" xfId="7517"/>
    <cellStyle name="_Televendas Painel_Retenção Painel_2_Retenção Painel_Mig Ret 3G_3" xfId="7518"/>
    <cellStyle name="_Televendas Painel_Retenção Painel_2_Retenção Painel_Mig Ret 3G_4" xfId="7519"/>
    <cellStyle name="_Televendas Painel_Retenção Painel_2_Retenção Painel_Mig Ret 3G_5" xfId="7520"/>
    <cellStyle name="_Televendas Painel_Retenção Painel_2_Retenção Painel_Mig Ret 3G_6" xfId="7521"/>
    <cellStyle name="_Televendas Painel_Retenção Painel_2_Retenção Painel_Mig Ret 3G_7" xfId="7522"/>
    <cellStyle name="_Televendas Painel_Retenção Painel_2_Retenção Painel_Movel" xfId="7523"/>
    <cellStyle name="_Televendas Painel_Retenção Painel_2_Retenção Painel_Movel_1" xfId="7524"/>
    <cellStyle name="_Televendas Painel_Retenção Painel_2_Retenção Painel_Movel_2" xfId="7525"/>
    <cellStyle name="_Televendas Painel_Retenção Painel_2_Retenção Painel_Movel_3" xfId="7526"/>
    <cellStyle name="_Televendas Painel_Retenção Painel_2_Retenção Painel_Movel_4" xfId="7527"/>
    <cellStyle name="_Televendas Painel_Retenção Painel_2_Retenção Painel_Movel_5" xfId="7528"/>
    <cellStyle name="_Televendas Painel_Retenção Painel_2_Retenção Painel_Movel_6" xfId="7529"/>
    <cellStyle name="_Televendas Painel_Retenção Painel_2_Retenção Painel_Movel_7" xfId="7530"/>
    <cellStyle name="_Televendas Painel_Retenção Painel_2_Retenção Painel_Retenção" xfId="7531"/>
    <cellStyle name="_Televendas Painel_Retenção Painel_BD Resumo diário Painel de Televendas Setembro 2010_BASE_UNICA" xfId="7532"/>
    <cellStyle name="_Televendas Painel_Retenção Painel_BD Resumo diário Painel de Televendas Setembro 2010_BASE_UNICA_Base" xfId="7533"/>
    <cellStyle name="_Televendas Painel_Retenção Painel_BD Resumo diário Painel de Televendas Setembro 2010_BASE_UNICA_D_Movel" xfId="7534"/>
    <cellStyle name="_Televendas Painel_Retenção Painel_BD Resumo diário Painel de Televendas Setembro 2010_BASE_UNICA_D_Ret_Fixa_EMP" xfId="7535"/>
    <cellStyle name="_Televendas Painel_Retenção Painel_BD Resumo diário Painel de Televendas Setembro 2010_BASE_UNICA_D_Ret_Fixa_EMP_1" xfId="7536"/>
    <cellStyle name="_Televendas Painel_Retenção Painel_BD Resumo diário Painel de Televendas Setembro 2010_BASE_UNICA_D_Ret_Fixa_EMP_2" xfId="7537"/>
    <cellStyle name="_Televendas Painel_Retenção Painel_BD Resumo diário Painel de Televendas Setembro 2010_BASE_UNICA_D_Ret_Fixa_EMP_3" xfId="7538"/>
    <cellStyle name="_Televendas Painel_Retenção Painel_BD Resumo diário Painel de Televendas Setembro 2010_BASE_UNICA_D_Ret_Fixa_EMP_4" xfId="7539"/>
    <cellStyle name="_Televendas Painel_Retenção Painel_BD Resumo diário Painel de Televendas Setembro 2010_BASE_UNICA_D_Ret_Fixa_EMP_5" xfId="7540"/>
    <cellStyle name="_Televendas Painel_Retenção Painel_BD Resumo diário Painel de Televendas Setembro 2010_BASE_UNICA_D_Ret_Fixa_EMP_6" xfId="7541"/>
    <cellStyle name="_Televendas Painel_Retenção Painel_BD Resumo diário Painel de Televendas Setembro 2010_BASE_UNICA_D_Ret_Fixa_EMP_7" xfId="7542"/>
    <cellStyle name="_Televendas Painel_Retenção Painel_BD Resumo diário Painel de Televendas Setembro 2010_BASE_UNICA_D_Ret_Fixa_EMP_8" xfId="7543"/>
    <cellStyle name="_Televendas Painel_Retenção Painel_BD Resumo diário Painel de Televendas Setembro 2010_BASE_UNICA_D_Ret_Fixa_VAR" xfId="7544"/>
    <cellStyle name="_Televendas Painel_Retenção Painel_BD Resumo diário Painel de Televendas Setembro 2010_BASE_UNICA_D_Ret_Fixa_VAR_1" xfId="7545"/>
    <cellStyle name="_Televendas Painel_Retenção Painel_BD Resumo diário Painel de Televendas Setembro 2010_BASE_UNICA_D_Ret_Fixa_VAR_2" xfId="7546"/>
    <cellStyle name="_Televendas Painel_Retenção Painel_BD Resumo diário Painel de Televendas Setembro 2010_BASE_UNICA_D_Ret_Fixa_VAR_3" xfId="7547"/>
    <cellStyle name="_Televendas Painel_Retenção Painel_BD Resumo diário Painel de Televendas Setembro 2010_BASE_UNICA_D_Ret_Fixa_VAR_4" xfId="7548"/>
    <cellStyle name="_Televendas Painel_Retenção Painel_BD Resumo diário Painel de Televendas Setembro 2010_BASE_UNICA_D_Ret_Fixa_VAR_5" xfId="7549"/>
    <cellStyle name="_Televendas Painel_Retenção Painel_BD Resumo diário Painel de Televendas Setembro 2010_BASE_UNICA_D_Ret_Fixa_VAR_6" xfId="7550"/>
    <cellStyle name="_Televendas Painel_Retenção Painel_BD Resumo diário Painel de Televendas Setembro 2010_BASE_UNICA_D_Ret_Fixa_VAR_7" xfId="7551"/>
    <cellStyle name="_Televendas Painel_Retenção Painel_BD Resumo diário Painel de Televendas Setembro 2010_BASE_UNICA_D_Ret_Fixa_VAR_8" xfId="7552"/>
    <cellStyle name="_Televendas Painel_Retenção Painel_BD Resumo diário Painel de Televendas Setembro 2010_BASE_UNICA_De_Para_plano" xfId="7553"/>
    <cellStyle name="_Televendas Painel_Retenção Painel_BD Resumo diário Painel de Televendas Setembro 2010_BASE_UNICA_Mig Ret 3G" xfId="7554"/>
    <cellStyle name="_Televendas Painel_Retenção Painel_BD Resumo diário Painel de Televendas Setembro 2010_BASE_UNICA_Mig Ret 3G_1" xfId="7555"/>
    <cellStyle name="_Televendas Painel_Retenção Painel_BD Resumo diário Painel de Televendas Setembro 2010_BASE_UNICA_Mig Ret 3G_2" xfId="7556"/>
    <cellStyle name="_Televendas Painel_Retenção Painel_BD Resumo diário Painel de Televendas Setembro 2010_BASE_UNICA_Mig Ret 3G_3" xfId="7557"/>
    <cellStyle name="_Televendas Painel_Retenção Painel_BD Resumo diário Painel de Televendas Setembro 2010_BASE_UNICA_Mig Ret 3G_4" xfId="7558"/>
    <cellStyle name="_Televendas Painel_Retenção Painel_BD Resumo diário Painel de Televendas Setembro 2010_BASE_UNICA_Mig Ret 3G_5" xfId="7559"/>
    <cellStyle name="_Televendas Painel_Retenção Painel_BD Resumo diário Painel de Televendas Setembro 2010_BASE_UNICA_Mig Ret 3G_6" xfId="7560"/>
    <cellStyle name="_Televendas Painel_Retenção Painel_BD Resumo diário Painel de Televendas Setembro 2010_BASE_UNICA_Mig Ret 3G_7" xfId="7561"/>
    <cellStyle name="_Televendas Painel_Retenção Painel_BD Resumo diário Painel de Televendas Setembro 2010_BASE_UNICA_Movel" xfId="7562"/>
    <cellStyle name="_Televendas Painel_Retenção Painel_BD Resumo diário Painel de Televendas Setembro 2010_BASE_UNICA_Movel_1" xfId="7563"/>
    <cellStyle name="_Televendas Painel_Retenção Painel_BD Resumo diário Painel de Televendas Setembro 2010_BASE_UNICA_Movel_2" xfId="7564"/>
    <cellStyle name="_Televendas Painel_Retenção Painel_BD Resumo diário Painel de Televendas Setembro 2010_BASE_UNICA_Movel_3" xfId="7565"/>
    <cellStyle name="_Televendas Painel_Retenção Painel_BD Resumo diário Painel de Televendas Setembro 2010_BASE_UNICA_Movel_4" xfId="7566"/>
    <cellStyle name="_Televendas Painel_Retenção Painel_BD Resumo diário Painel de Televendas Setembro 2010_BASE_UNICA_Movel_5" xfId="7567"/>
    <cellStyle name="_Televendas Painel_Retenção Painel_BD Resumo diário Painel de Televendas Setembro 2010_BASE_UNICA_Movel_6" xfId="7568"/>
    <cellStyle name="_Televendas Painel_Retenção Painel_BD Resumo diário Painel de Televendas Setembro 2010_BASE_UNICA_Movel_7" xfId="7569"/>
    <cellStyle name="_Televendas Painel_Retenção Painel_BD Resumo diário Painel de Televendas Setembro 2010_BASE_UNICA_Retenção" xfId="7570"/>
    <cellStyle name="_Televendas Painel_Retenção Painel_Pasta1" xfId="7571"/>
    <cellStyle name="_Televendas Painel_Retenção Painel_Pasta1_Base" xfId="7572"/>
    <cellStyle name="_Televendas Painel_Retenção Painel_Pasta1_D_Movel" xfId="7573"/>
    <cellStyle name="_Televendas Painel_Retenção Painel_Pasta1_D_Ret_Fixa_EMP" xfId="7574"/>
    <cellStyle name="_Televendas Painel_Retenção Painel_Pasta1_D_Ret_Fixa_EMP_1" xfId="7575"/>
    <cellStyle name="_Televendas Painel_Retenção Painel_Pasta1_D_Ret_Fixa_EMP_2" xfId="7576"/>
    <cellStyle name="_Televendas Painel_Retenção Painel_Pasta1_D_Ret_Fixa_EMP_3" xfId="7577"/>
    <cellStyle name="_Televendas Painel_Retenção Painel_Pasta1_D_Ret_Fixa_EMP_4" xfId="7578"/>
    <cellStyle name="_Televendas Painel_Retenção Painel_Pasta1_D_Ret_Fixa_EMP_5" xfId="7579"/>
    <cellStyle name="_Televendas Painel_Retenção Painel_Pasta1_D_Ret_Fixa_EMP_6" xfId="7580"/>
    <cellStyle name="_Televendas Painel_Retenção Painel_Pasta1_D_Ret_Fixa_EMP_7" xfId="7581"/>
    <cellStyle name="_Televendas Painel_Retenção Painel_Pasta1_D_Ret_Fixa_EMP_8" xfId="7582"/>
    <cellStyle name="_Televendas Painel_Retenção Painel_Pasta1_D_Ret_Fixa_VAR" xfId="7583"/>
    <cellStyle name="_Televendas Painel_Retenção Painel_Pasta1_D_Ret_Fixa_VAR_1" xfId="7584"/>
    <cellStyle name="_Televendas Painel_Retenção Painel_Pasta1_D_Ret_Fixa_VAR_2" xfId="7585"/>
    <cellStyle name="_Televendas Painel_Retenção Painel_Pasta1_D_Ret_Fixa_VAR_3" xfId="7586"/>
    <cellStyle name="_Televendas Painel_Retenção Painel_Pasta1_D_Ret_Fixa_VAR_4" xfId="7587"/>
    <cellStyle name="_Televendas Painel_Retenção Painel_Pasta1_D_Ret_Fixa_VAR_5" xfId="7588"/>
    <cellStyle name="_Televendas Painel_Retenção Painel_Pasta1_D_Ret_Fixa_VAR_6" xfId="7589"/>
    <cellStyle name="_Televendas Painel_Retenção Painel_Pasta1_D_Ret_Fixa_VAR_7" xfId="7590"/>
    <cellStyle name="_Televendas Painel_Retenção Painel_Pasta1_D_Ret_Fixa_VAR_8" xfId="7591"/>
    <cellStyle name="_Televendas Painel_Retenção Painel_Pasta1_De_Para_plano" xfId="7592"/>
    <cellStyle name="_Televendas Painel_Retenção Painel_Pasta1_Mig Ret 3G" xfId="7593"/>
    <cellStyle name="_Televendas Painel_Retenção Painel_Pasta1_Mig Ret 3G_1" xfId="7594"/>
    <cellStyle name="_Televendas Painel_Retenção Painel_Pasta1_Mig Ret 3G_2" xfId="7595"/>
    <cellStyle name="_Televendas Painel_Retenção Painel_Pasta1_Mig Ret 3G_3" xfId="7596"/>
    <cellStyle name="_Televendas Painel_Retenção Painel_Pasta1_Mig Ret 3G_4" xfId="7597"/>
    <cellStyle name="_Televendas Painel_Retenção Painel_Pasta1_Mig Ret 3G_5" xfId="7598"/>
    <cellStyle name="_Televendas Painel_Retenção Painel_Pasta1_Mig Ret 3G_6" xfId="7599"/>
    <cellStyle name="_Televendas Painel_Retenção Painel_Pasta1_Mig Ret 3G_7" xfId="7600"/>
    <cellStyle name="_Televendas Painel_Retenção Painel_Pasta1_Movel" xfId="7601"/>
    <cellStyle name="_Televendas Painel_Retenção Painel_Pasta1_Movel_1" xfId="7602"/>
    <cellStyle name="_Televendas Painel_Retenção Painel_Pasta1_Movel_2" xfId="7603"/>
    <cellStyle name="_Televendas Painel_Retenção Painel_Pasta1_Movel_3" xfId="7604"/>
    <cellStyle name="_Televendas Painel_Retenção Painel_Pasta1_Movel_4" xfId="7605"/>
    <cellStyle name="_Televendas Painel_Retenção Painel_Pasta1_Movel_5" xfId="7606"/>
    <cellStyle name="_Televendas Painel_Retenção Painel_Pasta1_Movel_6" xfId="7607"/>
    <cellStyle name="_Televendas Painel_Retenção Painel_Pasta1_Movel_7" xfId="7608"/>
    <cellStyle name="_Televendas Painel_Retenção Painel_Pasta1_Retenção" xfId="7609"/>
    <cellStyle name="_Televendas Painel_Retenção Painel_Televendas Painel" xfId="7610"/>
    <cellStyle name="_Televendas Painel_Retenção Painel_Televendas Painel_Base" xfId="7611"/>
    <cellStyle name="_Televendas Painel_Retenção Painel_Televendas Painel_D_Movel" xfId="7612"/>
    <cellStyle name="_Televendas Painel_Retenção Painel_Televendas Painel_D_Ret_Fixa_EMP" xfId="7613"/>
    <cellStyle name="_Televendas Painel_Retenção Painel_Televendas Painel_D_Ret_Fixa_EMP_1" xfId="7614"/>
    <cellStyle name="_Televendas Painel_Retenção Painel_Televendas Painel_D_Ret_Fixa_EMP_2" xfId="7615"/>
    <cellStyle name="_Televendas Painel_Retenção Painel_Televendas Painel_D_Ret_Fixa_EMP_3" xfId="7616"/>
    <cellStyle name="_Televendas Painel_Retenção Painel_Televendas Painel_D_Ret_Fixa_EMP_4" xfId="7617"/>
    <cellStyle name="_Televendas Painel_Retenção Painel_Televendas Painel_D_Ret_Fixa_EMP_5" xfId="7618"/>
    <cellStyle name="_Televendas Painel_Retenção Painel_Televendas Painel_D_Ret_Fixa_EMP_6" xfId="7619"/>
    <cellStyle name="_Televendas Painel_Retenção Painel_Televendas Painel_D_Ret_Fixa_EMP_7" xfId="7620"/>
    <cellStyle name="_Televendas Painel_Retenção Painel_Televendas Painel_D_Ret_Fixa_EMP_8" xfId="7621"/>
    <cellStyle name="_Televendas Painel_Retenção Painel_Televendas Painel_D_Ret_Fixa_VAR" xfId="7622"/>
    <cellStyle name="_Televendas Painel_Retenção Painel_Televendas Painel_D_Ret_Fixa_VAR_1" xfId="7623"/>
    <cellStyle name="_Televendas Painel_Retenção Painel_Televendas Painel_D_Ret_Fixa_VAR_2" xfId="7624"/>
    <cellStyle name="_Televendas Painel_Retenção Painel_Televendas Painel_D_Ret_Fixa_VAR_3" xfId="7625"/>
    <cellStyle name="_Televendas Painel_Retenção Painel_Televendas Painel_D_Ret_Fixa_VAR_4" xfId="7626"/>
    <cellStyle name="_Televendas Painel_Retenção Painel_Televendas Painel_D_Ret_Fixa_VAR_5" xfId="7627"/>
    <cellStyle name="_Televendas Painel_Retenção Painel_Televendas Painel_D_Ret_Fixa_VAR_6" xfId="7628"/>
    <cellStyle name="_Televendas Painel_Retenção Painel_Televendas Painel_D_Ret_Fixa_VAR_7" xfId="7629"/>
    <cellStyle name="_Televendas Painel_Retenção Painel_Televendas Painel_D_Ret_Fixa_VAR_8" xfId="7630"/>
    <cellStyle name="_Televendas Painel_Retenção Painel_Televendas Painel_De_Para_plano" xfId="7631"/>
    <cellStyle name="_Televendas Painel_Retenção Painel_Televendas Painel_Mig Ret 3G" xfId="7632"/>
    <cellStyle name="_Televendas Painel_Retenção Painel_Televendas Painel_Mig Ret 3G_1" xfId="7633"/>
    <cellStyle name="_Televendas Painel_Retenção Painel_Televendas Painel_Mig Ret 3G_2" xfId="7634"/>
    <cellStyle name="_Televendas Painel_Retenção Painel_Televendas Painel_Mig Ret 3G_3" xfId="7635"/>
    <cellStyle name="_Televendas Painel_Retenção Painel_Televendas Painel_Mig Ret 3G_4" xfId="7636"/>
    <cellStyle name="_Televendas Painel_Retenção Painel_Televendas Painel_Mig Ret 3G_5" xfId="7637"/>
    <cellStyle name="_Televendas Painel_Retenção Painel_Televendas Painel_Mig Ret 3G_6" xfId="7638"/>
    <cellStyle name="_Televendas Painel_Retenção Painel_Televendas Painel_Mig Ret 3G_7" xfId="7639"/>
    <cellStyle name="_Televendas Painel_Retenção Painel_Televendas Painel_Movel" xfId="7640"/>
    <cellStyle name="_Televendas Painel_Retenção Painel_Televendas Painel_Movel_1" xfId="7641"/>
    <cellStyle name="_Televendas Painel_Retenção Painel_Televendas Painel_Movel_2" xfId="7642"/>
    <cellStyle name="_Televendas Painel_Retenção Painel_Televendas Painel_Movel_3" xfId="7643"/>
    <cellStyle name="_Televendas Painel_Retenção Painel_Televendas Painel_Movel_4" xfId="7644"/>
    <cellStyle name="_Televendas Painel_Retenção Painel_Televendas Painel_Movel_5" xfId="7645"/>
    <cellStyle name="_Televendas Painel_Retenção Painel_Televendas Painel_Movel_6" xfId="7646"/>
    <cellStyle name="_Televendas Painel_Retenção Painel_Televendas Painel_Movel_7" xfId="7647"/>
    <cellStyle name="_Televendas Painel_Retenção Painel_Televendas Painel_Retenção" xfId="7648"/>
    <cellStyle name="_Televendas Painel_Retenção_Base" xfId="7649"/>
    <cellStyle name="_Televendas Painel_Retenção_D_Ret_Fixa_EMP" xfId="7650"/>
    <cellStyle name="_Televendas Painel_Retenção_D_Ret_Fixa_EMP_1" xfId="7651"/>
    <cellStyle name="_Televendas Painel_Retenção_D_Ret_Fixa_EMP_2" xfId="7652"/>
    <cellStyle name="_Televendas Painel_Retenção_D_Ret_Fixa_EMP_3" xfId="7653"/>
    <cellStyle name="_Televendas Painel_Retenção_D_Ret_Fixa_EMP_4" xfId="7654"/>
    <cellStyle name="_Televendas Painel_Retenção_D_Ret_Fixa_EMP_5" xfId="7655"/>
    <cellStyle name="_Televendas Painel_Retenção_D_Ret_Fixa_EMP_6" xfId="7656"/>
    <cellStyle name="_Televendas Painel_Retenção_D_Ret_Fixa_EMP_7" xfId="7657"/>
    <cellStyle name="_Televendas Painel_Retenção_D_Ret_Fixa_EMP_8" xfId="7658"/>
    <cellStyle name="_Televendas Painel_Retenção_D_Ret_Fixa_VAR" xfId="7659"/>
    <cellStyle name="_Televendas Painel_Retenção_D_Ret_Fixa_VAR_1" xfId="7660"/>
    <cellStyle name="_Televendas Painel_Retenção_D_Ret_Fixa_VAR_2" xfId="7661"/>
    <cellStyle name="_Televendas Painel_Retenção_D_Ret_Fixa_VAR_3" xfId="7662"/>
    <cellStyle name="_Televendas Painel_Retenção_D_Ret_Fixa_VAR_4" xfId="7663"/>
    <cellStyle name="_Televendas Painel_Retenção_D_Ret_Fixa_VAR_5" xfId="7664"/>
    <cellStyle name="_Televendas Painel_Retenção_D_Ret_Fixa_VAR_6" xfId="7665"/>
    <cellStyle name="_Televendas Painel_Retenção_D_Ret_Fixa_VAR_7" xfId="7666"/>
    <cellStyle name="_Televendas Painel_Retenção_D_Ret_Fixa_VAR_8" xfId="7667"/>
    <cellStyle name="_Televendas Painel_Retenção_Mig Ret 3G" xfId="7668"/>
    <cellStyle name="_Televendas Painel_Retenção_Mig Ret 3G_1" xfId="7669"/>
    <cellStyle name="_Televendas Painel_Retenção_Mig Ret 3G_2" xfId="7670"/>
    <cellStyle name="_Televendas Painel_Retenção_Mig Ret 3G_3" xfId="7671"/>
    <cellStyle name="_Televendas Painel_Retenção_Mig Ret 3G_4" xfId="7672"/>
    <cellStyle name="_Televendas Painel_Retenção_Mig Ret 3G_5" xfId="7673"/>
    <cellStyle name="_Televendas Painel_Retenção_Mig Ret 3G_6" xfId="7674"/>
    <cellStyle name="_Televendas Painel_Retenção_Mig Ret 3G_7" xfId="7675"/>
    <cellStyle name="_Televendas Painel_Retenção_Movel" xfId="7676"/>
    <cellStyle name="_Televendas Painel_Retenção_Movel_1" xfId="7677"/>
    <cellStyle name="_Televendas Painel_Retenção_Movel_2" xfId="7678"/>
    <cellStyle name="_Televendas Painel_Retenção_Movel_3" xfId="7679"/>
    <cellStyle name="_Televendas Painel_Retenção_Movel_4" xfId="7680"/>
    <cellStyle name="_Televendas Painel_Retenção_Movel_5" xfId="7681"/>
    <cellStyle name="_Televendas Painel_Retenção_Movel_6" xfId="7682"/>
    <cellStyle name="_Televendas Painel_Retenção_Movel_7" xfId="7683"/>
    <cellStyle name="_Televendas Painel_Retenção_Retenção" xfId="7684"/>
    <cellStyle name="_Televendas Painel_Televendas Painel" xfId="7685"/>
    <cellStyle name="_Televendas Painel_Televendas Painel_1" xfId="7686"/>
    <cellStyle name="_Televendas Painel_Televendas Painel_1_Base" xfId="7687"/>
    <cellStyle name="_Televendas Painel_Televendas Painel_1_D_Movel" xfId="7688"/>
    <cellStyle name="_Televendas Painel_Televendas Painel_1_D_Ret_Fixa_EMP" xfId="7689"/>
    <cellStyle name="_Televendas Painel_Televendas Painel_1_D_Ret_Fixa_EMP_1" xfId="7690"/>
    <cellStyle name="_Televendas Painel_Televendas Painel_1_D_Ret_Fixa_EMP_2" xfId="7691"/>
    <cellStyle name="_Televendas Painel_Televendas Painel_1_D_Ret_Fixa_EMP_3" xfId="7692"/>
    <cellStyle name="_Televendas Painel_Televendas Painel_1_D_Ret_Fixa_EMP_4" xfId="7693"/>
    <cellStyle name="_Televendas Painel_Televendas Painel_1_D_Ret_Fixa_EMP_5" xfId="7694"/>
    <cellStyle name="_Televendas Painel_Televendas Painel_1_D_Ret_Fixa_EMP_6" xfId="7695"/>
    <cellStyle name="_Televendas Painel_Televendas Painel_1_D_Ret_Fixa_EMP_7" xfId="7696"/>
    <cellStyle name="_Televendas Painel_Televendas Painel_1_D_Ret_Fixa_EMP_8" xfId="7697"/>
    <cellStyle name="_Televendas Painel_Televendas Painel_1_D_Ret_Fixa_VAR" xfId="7698"/>
    <cellStyle name="_Televendas Painel_Televendas Painel_1_D_Ret_Fixa_VAR_1" xfId="7699"/>
    <cellStyle name="_Televendas Painel_Televendas Painel_1_D_Ret_Fixa_VAR_2" xfId="7700"/>
    <cellStyle name="_Televendas Painel_Televendas Painel_1_D_Ret_Fixa_VAR_3" xfId="7701"/>
    <cellStyle name="_Televendas Painel_Televendas Painel_1_D_Ret_Fixa_VAR_4" xfId="7702"/>
    <cellStyle name="_Televendas Painel_Televendas Painel_1_D_Ret_Fixa_VAR_5" xfId="7703"/>
    <cellStyle name="_Televendas Painel_Televendas Painel_1_D_Ret_Fixa_VAR_6" xfId="7704"/>
    <cellStyle name="_Televendas Painel_Televendas Painel_1_D_Ret_Fixa_VAR_7" xfId="7705"/>
    <cellStyle name="_Televendas Painel_Televendas Painel_1_D_Ret_Fixa_VAR_8" xfId="7706"/>
    <cellStyle name="_Televendas Painel_Televendas Painel_1_De_Para_plano" xfId="7707"/>
    <cellStyle name="_Televendas Painel_Televendas Painel_1_Mig Ret 3G" xfId="7708"/>
    <cellStyle name="_Televendas Painel_Televendas Painel_1_Mig Ret 3G_1" xfId="7709"/>
    <cellStyle name="_Televendas Painel_Televendas Painel_1_Mig Ret 3G_2" xfId="7710"/>
    <cellStyle name="_Televendas Painel_Televendas Painel_1_Mig Ret 3G_3" xfId="7711"/>
    <cellStyle name="_Televendas Painel_Televendas Painel_1_Mig Ret 3G_4" xfId="7712"/>
    <cellStyle name="_Televendas Painel_Televendas Painel_1_Mig Ret 3G_5" xfId="7713"/>
    <cellStyle name="_Televendas Painel_Televendas Painel_1_Mig Ret 3G_6" xfId="7714"/>
    <cellStyle name="_Televendas Painel_Televendas Painel_1_Mig Ret 3G_7" xfId="7715"/>
    <cellStyle name="_Televendas Painel_Televendas Painel_1_Movel" xfId="7716"/>
    <cellStyle name="_Televendas Painel_Televendas Painel_1_Movel_1" xfId="7717"/>
    <cellStyle name="_Televendas Painel_Televendas Painel_1_Movel_2" xfId="7718"/>
    <cellStyle name="_Televendas Painel_Televendas Painel_1_Movel_3" xfId="7719"/>
    <cellStyle name="_Televendas Painel_Televendas Painel_1_Movel_4" xfId="7720"/>
    <cellStyle name="_Televendas Painel_Televendas Painel_1_Movel_5" xfId="7721"/>
    <cellStyle name="_Televendas Painel_Televendas Painel_1_Movel_6" xfId="7722"/>
    <cellStyle name="_Televendas Painel_Televendas Painel_1_Movel_7" xfId="7723"/>
    <cellStyle name="_Televendas Painel_Televendas Painel_1_Retenção" xfId="7724"/>
    <cellStyle name="_Televendas Painel_Televendas Painel_1_Retenção Painel" xfId="7725"/>
    <cellStyle name="_Televendas Painel_Televendas Painel_1_Retenção Painel_Base" xfId="7726"/>
    <cellStyle name="_Televendas Painel_Televendas Painel_1_Retenção Painel_D_Movel" xfId="7727"/>
    <cellStyle name="_Televendas Painel_Televendas Painel_1_Retenção Painel_D_Ret_Fixa_EMP" xfId="7728"/>
    <cellStyle name="_Televendas Painel_Televendas Painel_1_Retenção Painel_D_Ret_Fixa_EMP_1" xfId="7729"/>
    <cellStyle name="_Televendas Painel_Televendas Painel_1_Retenção Painel_D_Ret_Fixa_EMP_2" xfId="7730"/>
    <cellStyle name="_Televendas Painel_Televendas Painel_1_Retenção Painel_D_Ret_Fixa_EMP_3" xfId="7731"/>
    <cellStyle name="_Televendas Painel_Televendas Painel_1_Retenção Painel_D_Ret_Fixa_EMP_4" xfId="7732"/>
    <cellStyle name="_Televendas Painel_Televendas Painel_1_Retenção Painel_D_Ret_Fixa_EMP_5" xfId="7733"/>
    <cellStyle name="_Televendas Painel_Televendas Painel_1_Retenção Painel_D_Ret_Fixa_EMP_6" xfId="7734"/>
    <cellStyle name="_Televendas Painel_Televendas Painel_1_Retenção Painel_D_Ret_Fixa_EMP_7" xfId="7735"/>
    <cellStyle name="_Televendas Painel_Televendas Painel_1_Retenção Painel_D_Ret_Fixa_EMP_8" xfId="7736"/>
    <cellStyle name="_Televendas Painel_Televendas Painel_1_Retenção Painel_D_Ret_Fixa_VAR" xfId="7737"/>
    <cellStyle name="_Televendas Painel_Televendas Painel_1_Retenção Painel_D_Ret_Fixa_VAR_1" xfId="7738"/>
    <cellStyle name="_Televendas Painel_Televendas Painel_1_Retenção Painel_D_Ret_Fixa_VAR_2" xfId="7739"/>
    <cellStyle name="_Televendas Painel_Televendas Painel_1_Retenção Painel_D_Ret_Fixa_VAR_3" xfId="7740"/>
    <cellStyle name="_Televendas Painel_Televendas Painel_1_Retenção Painel_D_Ret_Fixa_VAR_4" xfId="7741"/>
    <cellStyle name="_Televendas Painel_Televendas Painel_1_Retenção Painel_D_Ret_Fixa_VAR_5" xfId="7742"/>
    <cellStyle name="_Televendas Painel_Televendas Painel_1_Retenção Painel_D_Ret_Fixa_VAR_6" xfId="7743"/>
    <cellStyle name="_Televendas Painel_Televendas Painel_1_Retenção Painel_D_Ret_Fixa_VAR_7" xfId="7744"/>
    <cellStyle name="_Televendas Painel_Televendas Painel_1_Retenção Painel_D_Ret_Fixa_VAR_8" xfId="7745"/>
    <cellStyle name="_Televendas Painel_Televendas Painel_1_Retenção Painel_De_Para_plano" xfId="7746"/>
    <cellStyle name="_Televendas Painel_Televendas Painel_1_Retenção Painel_Mig Ret 3G" xfId="7747"/>
    <cellStyle name="_Televendas Painel_Televendas Painel_1_Retenção Painel_Mig Ret 3G_1" xfId="7748"/>
    <cellStyle name="_Televendas Painel_Televendas Painel_1_Retenção Painel_Mig Ret 3G_2" xfId="7749"/>
    <cellStyle name="_Televendas Painel_Televendas Painel_1_Retenção Painel_Mig Ret 3G_3" xfId="7750"/>
    <cellStyle name="_Televendas Painel_Televendas Painel_1_Retenção Painel_Mig Ret 3G_4" xfId="7751"/>
    <cellStyle name="_Televendas Painel_Televendas Painel_1_Retenção Painel_Mig Ret 3G_5" xfId="7752"/>
    <cellStyle name="_Televendas Painel_Televendas Painel_1_Retenção Painel_Mig Ret 3G_6" xfId="7753"/>
    <cellStyle name="_Televendas Painel_Televendas Painel_1_Retenção Painel_Mig Ret 3G_7" xfId="7754"/>
    <cellStyle name="_Televendas Painel_Televendas Painel_1_Retenção Painel_Movel" xfId="7755"/>
    <cellStyle name="_Televendas Painel_Televendas Painel_1_Retenção Painel_Movel_1" xfId="7756"/>
    <cellStyle name="_Televendas Painel_Televendas Painel_1_Retenção Painel_Movel_2" xfId="7757"/>
    <cellStyle name="_Televendas Painel_Televendas Painel_1_Retenção Painel_Movel_3" xfId="7758"/>
    <cellStyle name="_Televendas Painel_Televendas Painel_1_Retenção Painel_Movel_4" xfId="7759"/>
    <cellStyle name="_Televendas Painel_Televendas Painel_1_Retenção Painel_Movel_5" xfId="7760"/>
    <cellStyle name="_Televendas Painel_Televendas Painel_1_Retenção Painel_Movel_6" xfId="7761"/>
    <cellStyle name="_Televendas Painel_Televendas Painel_1_Retenção Painel_Movel_7" xfId="7762"/>
    <cellStyle name="_Televendas Painel_Televendas Painel_1_Retenção Painel_Retenção" xfId="7763"/>
    <cellStyle name="_Televendas Painel_Televendas Painel_Base" xfId="7764"/>
    <cellStyle name="_Televendas Painel_Televendas Painel_D_Movel" xfId="7765"/>
    <cellStyle name="_Televendas Painel_Televendas Painel_D_Ret_Fixa_EMP" xfId="7766"/>
    <cellStyle name="_Televendas Painel_Televendas Painel_D_Ret_Fixa_EMP_1" xfId="7767"/>
    <cellStyle name="_Televendas Painel_Televendas Painel_D_Ret_Fixa_EMP_2" xfId="7768"/>
    <cellStyle name="_Televendas Painel_Televendas Painel_D_Ret_Fixa_EMP_3" xfId="7769"/>
    <cellStyle name="_Televendas Painel_Televendas Painel_D_Ret_Fixa_EMP_4" xfId="7770"/>
    <cellStyle name="_Televendas Painel_Televendas Painel_D_Ret_Fixa_EMP_5" xfId="7771"/>
    <cellStyle name="_Televendas Painel_Televendas Painel_D_Ret_Fixa_EMP_6" xfId="7772"/>
    <cellStyle name="_Televendas Painel_Televendas Painel_D_Ret_Fixa_EMP_7" xfId="7773"/>
    <cellStyle name="_Televendas Painel_Televendas Painel_D_Ret_Fixa_EMP_8" xfId="7774"/>
    <cellStyle name="_Televendas Painel_Televendas Painel_D_Ret_Fixa_VAR" xfId="7775"/>
    <cellStyle name="_Televendas Painel_Televendas Painel_D_Ret_Fixa_VAR_1" xfId="7776"/>
    <cellStyle name="_Televendas Painel_Televendas Painel_D_Ret_Fixa_VAR_2" xfId="7777"/>
    <cellStyle name="_Televendas Painel_Televendas Painel_D_Ret_Fixa_VAR_3" xfId="7778"/>
    <cellStyle name="_Televendas Painel_Televendas Painel_D_Ret_Fixa_VAR_4" xfId="7779"/>
    <cellStyle name="_Televendas Painel_Televendas Painel_D_Ret_Fixa_VAR_5" xfId="7780"/>
    <cellStyle name="_Televendas Painel_Televendas Painel_D_Ret_Fixa_VAR_6" xfId="7781"/>
    <cellStyle name="_Televendas Painel_Televendas Painel_D_Ret_Fixa_VAR_7" xfId="7782"/>
    <cellStyle name="_Televendas Painel_Televendas Painel_D_Ret_Fixa_VAR_8" xfId="7783"/>
    <cellStyle name="_Televendas Painel_Televendas Painel_De_Para_plano" xfId="7784"/>
    <cellStyle name="_Televendas Painel_Televendas Painel_Mig Ret 3G" xfId="7785"/>
    <cellStyle name="_Televendas Painel_Televendas Painel_Mig Ret 3G_1" xfId="7786"/>
    <cellStyle name="_Televendas Painel_Televendas Painel_Mig Ret 3G_2" xfId="7787"/>
    <cellStyle name="_Televendas Painel_Televendas Painel_Mig Ret 3G_3" xfId="7788"/>
    <cellStyle name="_Televendas Painel_Televendas Painel_Mig Ret 3G_4" xfId="7789"/>
    <cellStyle name="_Televendas Painel_Televendas Painel_Mig Ret 3G_5" xfId="7790"/>
    <cellStyle name="_Televendas Painel_Televendas Painel_Mig Ret 3G_6" xfId="7791"/>
    <cellStyle name="_Televendas Painel_Televendas Painel_Mig Ret 3G_7" xfId="7792"/>
    <cellStyle name="_Televendas Painel_Televendas Painel_Movel" xfId="7793"/>
    <cellStyle name="_Televendas Painel_Televendas Painel_Movel_1" xfId="7794"/>
    <cellStyle name="_Televendas Painel_Televendas Painel_Movel_2" xfId="7795"/>
    <cellStyle name="_Televendas Painel_Televendas Painel_Movel_3" xfId="7796"/>
    <cellStyle name="_Televendas Painel_Televendas Painel_Movel_4" xfId="7797"/>
    <cellStyle name="_Televendas Painel_Televendas Painel_Movel_5" xfId="7798"/>
    <cellStyle name="_Televendas Painel_Televendas Painel_Movel_6" xfId="7799"/>
    <cellStyle name="_Televendas Painel_Televendas Painel_Movel_7" xfId="7800"/>
    <cellStyle name="_Televendas Painel_Televendas Painel_Retenção" xfId="7801"/>
    <cellStyle name="_Televendas Painel_TENDÊNCIA RET VAR VOL" xfId="7802"/>
    <cellStyle name="_Televendas Painel_TENDÊNCIA RET VAR VOL_1" xfId="7803"/>
    <cellStyle name="_Televendas Painel_TENDÊNCIA RET VAR VOL_1_Base" xfId="7804"/>
    <cellStyle name="_Televendas Painel_TENDÊNCIA RET VAR VOL_1_D_Movel" xfId="7805"/>
    <cellStyle name="_Televendas Painel_TENDÊNCIA RET VAR VOL_1_D_Ret_Fixa_EMP" xfId="7806"/>
    <cellStyle name="_Televendas Painel_TENDÊNCIA RET VAR VOL_1_D_Ret_Fixa_EMP_1" xfId="7807"/>
    <cellStyle name="_Televendas Painel_TENDÊNCIA RET VAR VOL_1_D_Ret_Fixa_EMP_2" xfId="7808"/>
    <cellStyle name="_Televendas Painel_TENDÊNCIA RET VAR VOL_1_D_Ret_Fixa_EMP_3" xfId="7809"/>
    <cellStyle name="_Televendas Painel_TENDÊNCIA RET VAR VOL_1_D_Ret_Fixa_EMP_4" xfId="7810"/>
    <cellStyle name="_Televendas Painel_TENDÊNCIA RET VAR VOL_1_D_Ret_Fixa_EMP_5" xfId="7811"/>
    <cellStyle name="_Televendas Painel_TENDÊNCIA RET VAR VOL_1_D_Ret_Fixa_EMP_6" xfId="7812"/>
    <cellStyle name="_Televendas Painel_TENDÊNCIA RET VAR VOL_1_D_Ret_Fixa_EMP_7" xfId="7813"/>
    <cellStyle name="_Televendas Painel_TENDÊNCIA RET VAR VOL_1_D_Ret_Fixa_EMP_8" xfId="7814"/>
    <cellStyle name="_Televendas Painel_TENDÊNCIA RET VAR VOL_1_D_Ret_Fixa_VAR" xfId="7815"/>
    <cellStyle name="_Televendas Painel_TENDÊNCIA RET VAR VOL_1_D_Ret_Fixa_VAR_1" xfId="7816"/>
    <cellStyle name="_Televendas Painel_TENDÊNCIA RET VAR VOL_1_D_Ret_Fixa_VAR_2" xfId="7817"/>
    <cellStyle name="_Televendas Painel_TENDÊNCIA RET VAR VOL_1_D_Ret_Fixa_VAR_3" xfId="7818"/>
    <cellStyle name="_Televendas Painel_TENDÊNCIA RET VAR VOL_1_D_Ret_Fixa_VAR_4" xfId="7819"/>
    <cellStyle name="_Televendas Painel_TENDÊNCIA RET VAR VOL_1_D_Ret_Fixa_VAR_5" xfId="7820"/>
    <cellStyle name="_Televendas Painel_TENDÊNCIA RET VAR VOL_1_D_Ret_Fixa_VAR_6" xfId="7821"/>
    <cellStyle name="_Televendas Painel_TENDÊNCIA RET VAR VOL_1_D_Ret_Fixa_VAR_7" xfId="7822"/>
    <cellStyle name="_Televendas Painel_TENDÊNCIA RET VAR VOL_1_D_Ret_Fixa_VAR_8" xfId="7823"/>
    <cellStyle name="_Televendas Painel_TENDÊNCIA RET VAR VOL_1_De_Para_plano" xfId="7824"/>
    <cellStyle name="_Televendas Painel_TENDÊNCIA RET VAR VOL_1_Mig Ret 3G" xfId="7825"/>
    <cellStyle name="_Televendas Painel_TENDÊNCIA RET VAR VOL_1_Mig Ret 3G_1" xfId="7826"/>
    <cellStyle name="_Televendas Painel_TENDÊNCIA RET VAR VOL_1_Mig Ret 3G_2" xfId="7827"/>
    <cellStyle name="_Televendas Painel_TENDÊNCIA RET VAR VOL_1_Mig Ret 3G_3" xfId="7828"/>
    <cellStyle name="_Televendas Painel_TENDÊNCIA RET VAR VOL_1_Mig Ret 3G_4" xfId="7829"/>
    <cellStyle name="_Televendas Painel_TENDÊNCIA RET VAR VOL_1_Mig Ret 3G_5" xfId="7830"/>
    <cellStyle name="_Televendas Painel_TENDÊNCIA RET VAR VOL_1_Mig Ret 3G_6" xfId="7831"/>
    <cellStyle name="_Televendas Painel_TENDÊNCIA RET VAR VOL_1_Mig Ret 3G_7" xfId="7832"/>
    <cellStyle name="_Televendas Painel_TENDÊNCIA RET VAR VOL_1_Movel" xfId="7833"/>
    <cellStyle name="_Televendas Painel_TENDÊNCIA RET VAR VOL_1_Movel_1" xfId="7834"/>
    <cellStyle name="_Televendas Painel_TENDÊNCIA RET VAR VOL_1_Movel_2" xfId="7835"/>
    <cellStyle name="_Televendas Painel_TENDÊNCIA RET VAR VOL_1_Movel_3" xfId="7836"/>
    <cellStyle name="_Televendas Painel_TENDÊNCIA RET VAR VOL_1_Movel_4" xfId="7837"/>
    <cellStyle name="_Televendas Painel_TENDÊNCIA RET VAR VOL_1_Movel_5" xfId="7838"/>
    <cellStyle name="_Televendas Painel_TENDÊNCIA RET VAR VOL_1_Movel_6" xfId="7839"/>
    <cellStyle name="_Televendas Painel_TENDÊNCIA RET VAR VOL_1_Movel_7" xfId="7840"/>
    <cellStyle name="_Televendas Painel_TENDÊNCIA RET VAR VOL_1_Retenção" xfId="7841"/>
    <cellStyle name="_Televendas Painel_TENDÊNCIA RET VAR VOL_BD Painel_Abr" xfId="7842"/>
    <cellStyle name="_Televendas Painel_TENDÊNCIA RET VAR VOL_BD Painel_Abr_Base" xfId="7843"/>
    <cellStyle name="_Televendas Painel_TENDÊNCIA RET VAR VOL_BD Painel_Abr_D_Ret_Fixa_EMP" xfId="7844"/>
    <cellStyle name="_Televendas Painel_TENDÊNCIA RET VAR VOL_BD Painel_Abr_D_Ret_Fixa_EMP_1" xfId="7845"/>
    <cellStyle name="_Televendas Painel_TENDÊNCIA RET VAR VOL_BD Painel_Abr_D_Ret_Fixa_EMP_2" xfId="7846"/>
    <cellStyle name="_Televendas Painel_TENDÊNCIA RET VAR VOL_BD Painel_Abr_D_Ret_Fixa_EMP_3" xfId="7847"/>
    <cellStyle name="_Televendas Painel_TENDÊNCIA RET VAR VOL_BD Painel_Abr_D_Ret_Fixa_EMP_4" xfId="7848"/>
    <cellStyle name="_Televendas Painel_TENDÊNCIA RET VAR VOL_BD Painel_Abr_D_Ret_Fixa_EMP_5" xfId="7849"/>
    <cellStyle name="_Televendas Painel_TENDÊNCIA RET VAR VOL_BD Painel_Abr_D_Ret_Fixa_EMP_6" xfId="7850"/>
    <cellStyle name="_Televendas Painel_TENDÊNCIA RET VAR VOL_BD Painel_Abr_D_Ret_Fixa_EMP_7" xfId="7851"/>
    <cellStyle name="_Televendas Painel_TENDÊNCIA RET VAR VOL_BD Painel_Abr_D_Ret_Fixa_EMP_8" xfId="7852"/>
    <cellStyle name="_Televendas Painel_TENDÊNCIA RET VAR VOL_BD Painel_Abr_D_Ret_Fixa_VAR" xfId="7853"/>
    <cellStyle name="_Televendas Painel_TENDÊNCIA RET VAR VOL_BD Painel_Abr_D_Ret_Fixa_VAR_1" xfId="7854"/>
    <cellStyle name="_Televendas Painel_TENDÊNCIA RET VAR VOL_BD Painel_Abr_D_Ret_Fixa_VAR_2" xfId="7855"/>
    <cellStyle name="_Televendas Painel_TENDÊNCIA RET VAR VOL_BD Painel_Abr_D_Ret_Fixa_VAR_3" xfId="7856"/>
    <cellStyle name="_Televendas Painel_TENDÊNCIA RET VAR VOL_BD Painel_Abr_D_Ret_Fixa_VAR_4" xfId="7857"/>
    <cellStyle name="_Televendas Painel_TENDÊNCIA RET VAR VOL_BD Painel_Abr_D_Ret_Fixa_VAR_5" xfId="7858"/>
    <cellStyle name="_Televendas Painel_TENDÊNCIA RET VAR VOL_BD Painel_Abr_D_Ret_Fixa_VAR_6" xfId="7859"/>
    <cellStyle name="_Televendas Painel_TENDÊNCIA RET VAR VOL_BD Painel_Abr_D_Ret_Fixa_VAR_7" xfId="7860"/>
    <cellStyle name="_Televendas Painel_TENDÊNCIA RET VAR VOL_BD Painel_Abr_D_Ret_Fixa_VAR_8" xfId="7861"/>
    <cellStyle name="_Televendas Painel_TENDÊNCIA RET VAR VOL_BD Painel_Abr_Mig Ret 3G" xfId="7862"/>
    <cellStyle name="_Televendas Painel_TENDÊNCIA RET VAR VOL_BD Painel_Abr_Mig Ret 3G_1" xfId="7863"/>
    <cellStyle name="_Televendas Painel_TENDÊNCIA RET VAR VOL_BD Painel_Abr_Mig Ret 3G_2" xfId="7864"/>
    <cellStyle name="_Televendas Painel_TENDÊNCIA RET VAR VOL_BD Painel_Abr_Mig Ret 3G_3" xfId="7865"/>
    <cellStyle name="_Televendas Painel_TENDÊNCIA RET VAR VOL_BD Painel_Abr_Mig Ret 3G_4" xfId="7866"/>
    <cellStyle name="_Televendas Painel_TENDÊNCIA RET VAR VOL_BD Painel_Abr_Mig Ret 3G_5" xfId="7867"/>
    <cellStyle name="_Televendas Painel_TENDÊNCIA RET VAR VOL_BD Painel_Abr_Mig Ret 3G_6" xfId="7868"/>
    <cellStyle name="_Televendas Painel_TENDÊNCIA RET VAR VOL_BD Painel_Abr_Mig Ret 3G_7" xfId="7869"/>
    <cellStyle name="_Televendas Painel_TENDÊNCIA RET VAR VOL_BD Painel_Abr_Movel" xfId="7870"/>
    <cellStyle name="_Televendas Painel_TENDÊNCIA RET VAR VOL_BD Painel_Abr_Movel_1" xfId="7871"/>
    <cellStyle name="_Televendas Painel_TENDÊNCIA RET VAR VOL_BD Painel_Abr_Movel_2" xfId="7872"/>
    <cellStyle name="_Televendas Painel_TENDÊNCIA RET VAR VOL_BD Painel_Abr_Movel_3" xfId="7873"/>
    <cellStyle name="_Televendas Painel_TENDÊNCIA RET VAR VOL_BD Painel_Abr_Movel_4" xfId="7874"/>
    <cellStyle name="_Televendas Painel_TENDÊNCIA RET VAR VOL_BD Painel_Abr_Movel_5" xfId="7875"/>
    <cellStyle name="_Televendas Painel_TENDÊNCIA RET VAR VOL_BD Painel_Abr_Movel_6" xfId="7876"/>
    <cellStyle name="_Televendas Painel_TENDÊNCIA RET VAR VOL_BD Painel_Abr_Movel_7" xfId="7877"/>
    <cellStyle name="_Televendas Painel_TENDÊNCIA RET VAR VOL_BD Painel_Abr_Retenção" xfId="7878"/>
    <cellStyle name="_Televendas Painel_TENDÊNCIA RET VAR VOL_BD Resumo diário Painel de Televendas Setembro 2010_BASE_UNICA" xfId="7879"/>
    <cellStyle name="_Televendas Painel_TENDÊNCIA RET VAR VOL_BD Resumo diário Painel de Televendas Setembro 2010_BASE_UNICA_Base" xfId="7880"/>
    <cellStyle name="_Televendas Painel_TENDÊNCIA RET VAR VOL_BD Resumo diário Painel de Televendas Setembro 2010_BASE_UNICA_D_Movel" xfId="7881"/>
    <cellStyle name="_Televendas Painel_TENDÊNCIA RET VAR VOL_BD Resumo diário Painel de Televendas Setembro 2010_BASE_UNICA_D_Ret_Fixa_EMP" xfId="7882"/>
    <cellStyle name="_Televendas Painel_TENDÊNCIA RET VAR VOL_BD Resumo diário Painel de Televendas Setembro 2010_BASE_UNICA_D_Ret_Fixa_EMP_1" xfId="7883"/>
    <cellStyle name="_Televendas Painel_TENDÊNCIA RET VAR VOL_BD Resumo diário Painel de Televendas Setembro 2010_BASE_UNICA_D_Ret_Fixa_EMP_2" xfId="7884"/>
    <cellStyle name="_Televendas Painel_TENDÊNCIA RET VAR VOL_BD Resumo diário Painel de Televendas Setembro 2010_BASE_UNICA_D_Ret_Fixa_EMP_3" xfId="7885"/>
    <cellStyle name="_Televendas Painel_TENDÊNCIA RET VAR VOL_BD Resumo diário Painel de Televendas Setembro 2010_BASE_UNICA_D_Ret_Fixa_EMP_4" xfId="7886"/>
    <cellStyle name="_Televendas Painel_TENDÊNCIA RET VAR VOL_BD Resumo diário Painel de Televendas Setembro 2010_BASE_UNICA_D_Ret_Fixa_EMP_5" xfId="7887"/>
    <cellStyle name="_Televendas Painel_TENDÊNCIA RET VAR VOL_BD Resumo diário Painel de Televendas Setembro 2010_BASE_UNICA_D_Ret_Fixa_EMP_6" xfId="7888"/>
    <cellStyle name="_Televendas Painel_TENDÊNCIA RET VAR VOL_BD Resumo diário Painel de Televendas Setembro 2010_BASE_UNICA_D_Ret_Fixa_EMP_7" xfId="7889"/>
    <cellStyle name="_Televendas Painel_TENDÊNCIA RET VAR VOL_BD Resumo diário Painel de Televendas Setembro 2010_BASE_UNICA_D_Ret_Fixa_EMP_8" xfId="7890"/>
    <cellStyle name="_Televendas Painel_TENDÊNCIA RET VAR VOL_BD Resumo diário Painel de Televendas Setembro 2010_BASE_UNICA_D_Ret_Fixa_VAR" xfId="7891"/>
    <cellStyle name="_Televendas Painel_TENDÊNCIA RET VAR VOL_BD Resumo diário Painel de Televendas Setembro 2010_BASE_UNICA_D_Ret_Fixa_VAR_1" xfId="7892"/>
    <cellStyle name="_Televendas Painel_TENDÊNCIA RET VAR VOL_BD Resumo diário Painel de Televendas Setembro 2010_BASE_UNICA_D_Ret_Fixa_VAR_2" xfId="7893"/>
    <cellStyle name="_Televendas Painel_TENDÊNCIA RET VAR VOL_BD Resumo diário Painel de Televendas Setembro 2010_BASE_UNICA_D_Ret_Fixa_VAR_3" xfId="7894"/>
    <cellStyle name="_Televendas Painel_TENDÊNCIA RET VAR VOL_BD Resumo diário Painel de Televendas Setembro 2010_BASE_UNICA_D_Ret_Fixa_VAR_4" xfId="7895"/>
    <cellStyle name="_Televendas Painel_TENDÊNCIA RET VAR VOL_BD Resumo diário Painel de Televendas Setembro 2010_BASE_UNICA_D_Ret_Fixa_VAR_5" xfId="7896"/>
    <cellStyle name="_Televendas Painel_TENDÊNCIA RET VAR VOL_BD Resumo diário Painel de Televendas Setembro 2010_BASE_UNICA_D_Ret_Fixa_VAR_6" xfId="7897"/>
    <cellStyle name="_Televendas Painel_TENDÊNCIA RET VAR VOL_BD Resumo diário Painel de Televendas Setembro 2010_BASE_UNICA_D_Ret_Fixa_VAR_7" xfId="7898"/>
    <cellStyle name="_Televendas Painel_TENDÊNCIA RET VAR VOL_BD Resumo diário Painel de Televendas Setembro 2010_BASE_UNICA_D_Ret_Fixa_VAR_8" xfId="7899"/>
    <cellStyle name="_Televendas Painel_TENDÊNCIA RET VAR VOL_BD Resumo diário Painel de Televendas Setembro 2010_BASE_UNICA_De_Para_plano" xfId="7900"/>
    <cellStyle name="_Televendas Painel_TENDÊNCIA RET VAR VOL_BD Resumo diário Painel de Televendas Setembro 2010_BASE_UNICA_Mig Ret 3G" xfId="7901"/>
    <cellStyle name="_Televendas Painel_TENDÊNCIA RET VAR VOL_BD Resumo diário Painel de Televendas Setembro 2010_BASE_UNICA_Mig Ret 3G_1" xfId="7902"/>
    <cellStyle name="_Televendas Painel_TENDÊNCIA RET VAR VOL_BD Resumo diário Painel de Televendas Setembro 2010_BASE_UNICA_Mig Ret 3G_2" xfId="7903"/>
    <cellStyle name="_Televendas Painel_TENDÊNCIA RET VAR VOL_BD Resumo diário Painel de Televendas Setembro 2010_BASE_UNICA_Mig Ret 3G_3" xfId="7904"/>
    <cellStyle name="_Televendas Painel_TENDÊNCIA RET VAR VOL_BD Resumo diário Painel de Televendas Setembro 2010_BASE_UNICA_Mig Ret 3G_4" xfId="7905"/>
    <cellStyle name="_Televendas Painel_TENDÊNCIA RET VAR VOL_BD Resumo diário Painel de Televendas Setembro 2010_BASE_UNICA_Mig Ret 3G_5" xfId="7906"/>
    <cellStyle name="_Televendas Painel_TENDÊNCIA RET VAR VOL_BD Resumo diário Painel de Televendas Setembro 2010_BASE_UNICA_Mig Ret 3G_6" xfId="7907"/>
    <cellStyle name="_Televendas Painel_TENDÊNCIA RET VAR VOL_BD Resumo diário Painel de Televendas Setembro 2010_BASE_UNICA_Mig Ret 3G_7" xfId="7908"/>
    <cellStyle name="_Televendas Painel_TENDÊNCIA RET VAR VOL_BD Resumo diário Painel de Televendas Setembro 2010_BASE_UNICA_Movel" xfId="7909"/>
    <cellStyle name="_Televendas Painel_TENDÊNCIA RET VAR VOL_BD Resumo diário Painel de Televendas Setembro 2010_BASE_UNICA_Movel_1" xfId="7910"/>
    <cellStyle name="_Televendas Painel_TENDÊNCIA RET VAR VOL_BD Resumo diário Painel de Televendas Setembro 2010_BASE_UNICA_Movel_2" xfId="7911"/>
    <cellStyle name="_Televendas Painel_TENDÊNCIA RET VAR VOL_BD Resumo diário Painel de Televendas Setembro 2010_BASE_UNICA_Movel_3" xfId="7912"/>
    <cellStyle name="_Televendas Painel_TENDÊNCIA RET VAR VOL_BD Resumo diário Painel de Televendas Setembro 2010_BASE_UNICA_Movel_4" xfId="7913"/>
    <cellStyle name="_Televendas Painel_TENDÊNCIA RET VAR VOL_BD Resumo diário Painel de Televendas Setembro 2010_BASE_UNICA_Movel_5" xfId="7914"/>
    <cellStyle name="_Televendas Painel_TENDÊNCIA RET VAR VOL_BD Resumo diário Painel de Televendas Setembro 2010_BASE_UNICA_Movel_6" xfId="7915"/>
    <cellStyle name="_Televendas Painel_TENDÊNCIA RET VAR VOL_BD Resumo diário Painel de Televendas Setembro 2010_BASE_UNICA_Movel_7" xfId="7916"/>
    <cellStyle name="_Televendas Painel_TENDÊNCIA RET VAR VOL_BD Resumo diário Painel de Televendas Setembro 2010_BASE_UNICA_Retenção" xfId="7917"/>
    <cellStyle name="_Televendas Painel_TENDÊNCIA RET VAR VOL_D_Movel" xfId="7918"/>
    <cellStyle name="_Televendas Painel_TENDÊNCIA RET VAR VOL_Mig Ret 3G" xfId="7919"/>
    <cellStyle name="_Televendas Painel_TENDÊNCIA RET VAR VOL_Pasta1" xfId="7920"/>
    <cellStyle name="_Televendas Painel_TENDÊNCIA RET VAR VOL_Pasta1_Base" xfId="7921"/>
    <cellStyle name="_Televendas Painel_TENDÊNCIA RET VAR VOL_Pasta1_D_Movel" xfId="7922"/>
    <cellStyle name="_Televendas Painel_TENDÊNCIA RET VAR VOL_Pasta1_D_Ret_Fixa_EMP" xfId="7923"/>
    <cellStyle name="_Televendas Painel_TENDÊNCIA RET VAR VOL_Pasta1_D_Ret_Fixa_EMP_1" xfId="7924"/>
    <cellStyle name="_Televendas Painel_TENDÊNCIA RET VAR VOL_Pasta1_D_Ret_Fixa_EMP_2" xfId="7925"/>
    <cellStyle name="_Televendas Painel_TENDÊNCIA RET VAR VOL_Pasta1_D_Ret_Fixa_EMP_3" xfId="7926"/>
    <cellStyle name="_Televendas Painel_TENDÊNCIA RET VAR VOL_Pasta1_D_Ret_Fixa_EMP_4" xfId="7927"/>
    <cellStyle name="_Televendas Painel_TENDÊNCIA RET VAR VOL_Pasta1_D_Ret_Fixa_EMP_5" xfId="7928"/>
    <cellStyle name="_Televendas Painel_TENDÊNCIA RET VAR VOL_Pasta1_D_Ret_Fixa_EMP_6" xfId="7929"/>
    <cellStyle name="_Televendas Painel_TENDÊNCIA RET VAR VOL_Pasta1_D_Ret_Fixa_EMP_7" xfId="7930"/>
    <cellStyle name="_Televendas Painel_TENDÊNCIA RET VAR VOL_Pasta1_D_Ret_Fixa_EMP_8" xfId="7931"/>
    <cellStyle name="_Televendas Painel_TENDÊNCIA RET VAR VOL_Pasta1_D_Ret_Fixa_VAR" xfId="7932"/>
    <cellStyle name="_Televendas Painel_TENDÊNCIA RET VAR VOL_Pasta1_D_Ret_Fixa_VAR_1" xfId="7933"/>
    <cellStyle name="_Televendas Painel_TENDÊNCIA RET VAR VOL_Pasta1_D_Ret_Fixa_VAR_2" xfId="7934"/>
    <cellStyle name="_Televendas Painel_TENDÊNCIA RET VAR VOL_Pasta1_D_Ret_Fixa_VAR_3" xfId="7935"/>
    <cellStyle name="_Televendas Painel_TENDÊNCIA RET VAR VOL_Pasta1_D_Ret_Fixa_VAR_4" xfId="7936"/>
    <cellStyle name="_Televendas Painel_TENDÊNCIA RET VAR VOL_Pasta1_D_Ret_Fixa_VAR_5" xfId="7937"/>
    <cellStyle name="_Televendas Painel_TENDÊNCIA RET VAR VOL_Pasta1_D_Ret_Fixa_VAR_6" xfId="7938"/>
    <cellStyle name="_Televendas Painel_TENDÊNCIA RET VAR VOL_Pasta1_D_Ret_Fixa_VAR_7" xfId="7939"/>
    <cellStyle name="_Televendas Painel_TENDÊNCIA RET VAR VOL_Pasta1_D_Ret_Fixa_VAR_8" xfId="7940"/>
    <cellStyle name="_Televendas Painel_TENDÊNCIA RET VAR VOL_Pasta1_De_Para_plano" xfId="7941"/>
    <cellStyle name="_Televendas Painel_TENDÊNCIA RET VAR VOL_Pasta1_Mig Ret 3G" xfId="7942"/>
    <cellStyle name="_Televendas Painel_TENDÊNCIA RET VAR VOL_Pasta1_Mig Ret 3G_1" xfId="7943"/>
    <cellStyle name="_Televendas Painel_TENDÊNCIA RET VAR VOL_Pasta1_Mig Ret 3G_2" xfId="7944"/>
    <cellStyle name="_Televendas Painel_TENDÊNCIA RET VAR VOL_Pasta1_Mig Ret 3G_3" xfId="7945"/>
    <cellStyle name="_Televendas Painel_TENDÊNCIA RET VAR VOL_Pasta1_Mig Ret 3G_4" xfId="7946"/>
    <cellStyle name="_Televendas Painel_TENDÊNCIA RET VAR VOL_Pasta1_Mig Ret 3G_5" xfId="7947"/>
    <cellStyle name="_Televendas Painel_TENDÊNCIA RET VAR VOL_Pasta1_Mig Ret 3G_6" xfId="7948"/>
    <cellStyle name="_Televendas Painel_TENDÊNCIA RET VAR VOL_Pasta1_Mig Ret 3G_7" xfId="7949"/>
    <cellStyle name="_Televendas Painel_TENDÊNCIA RET VAR VOL_Pasta1_Movel" xfId="7950"/>
    <cellStyle name="_Televendas Painel_TENDÊNCIA RET VAR VOL_Pasta1_Movel_1" xfId="7951"/>
    <cellStyle name="_Televendas Painel_TENDÊNCIA RET VAR VOL_Pasta1_Movel_2" xfId="7952"/>
    <cellStyle name="_Televendas Painel_TENDÊNCIA RET VAR VOL_Pasta1_Movel_3" xfId="7953"/>
    <cellStyle name="_Televendas Painel_TENDÊNCIA RET VAR VOL_Pasta1_Movel_4" xfId="7954"/>
    <cellStyle name="_Televendas Painel_TENDÊNCIA RET VAR VOL_Pasta1_Movel_5" xfId="7955"/>
    <cellStyle name="_Televendas Painel_TENDÊNCIA RET VAR VOL_Pasta1_Movel_6" xfId="7956"/>
    <cellStyle name="_Televendas Painel_TENDÊNCIA RET VAR VOL_Pasta1_Movel_7" xfId="7957"/>
    <cellStyle name="_Televendas Painel_TENDÊNCIA RET VAR VOL_Pasta1_Retenção" xfId="7958"/>
    <cellStyle name="_Televendas Painel_TENDÊNCIA RET VAR VOL_Plan1" xfId="7959"/>
    <cellStyle name="_Televendas Painel_TENDÊNCIA RET VAR VOL_Plan1_Base" xfId="7960"/>
    <cellStyle name="_Televendas Painel_TENDÊNCIA RET VAR VOL_Plan1_D_Ret_Fixa_EMP" xfId="7961"/>
    <cellStyle name="_Televendas Painel_TENDÊNCIA RET VAR VOL_Plan1_D_Ret_Fixa_EMP_1" xfId="7962"/>
    <cellStyle name="_Televendas Painel_TENDÊNCIA RET VAR VOL_Plan1_D_Ret_Fixa_EMP_2" xfId="7963"/>
    <cellStyle name="_Televendas Painel_TENDÊNCIA RET VAR VOL_Plan1_D_Ret_Fixa_EMP_3" xfId="7964"/>
    <cellStyle name="_Televendas Painel_TENDÊNCIA RET VAR VOL_Plan1_D_Ret_Fixa_EMP_4" xfId="7965"/>
    <cellStyle name="_Televendas Painel_TENDÊNCIA RET VAR VOL_Plan1_D_Ret_Fixa_EMP_5" xfId="7966"/>
    <cellStyle name="_Televendas Painel_TENDÊNCIA RET VAR VOL_Plan1_D_Ret_Fixa_EMP_6" xfId="7967"/>
    <cellStyle name="_Televendas Painel_TENDÊNCIA RET VAR VOL_Plan1_D_Ret_Fixa_EMP_7" xfId="7968"/>
    <cellStyle name="_Televendas Painel_TENDÊNCIA RET VAR VOL_Plan1_D_Ret_Fixa_EMP_8" xfId="7969"/>
    <cellStyle name="_Televendas Painel_TENDÊNCIA RET VAR VOL_Plan1_D_Ret_Fixa_VAR" xfId="7970"/>
    <cellStyle name="_Televendas Painel_TENDÊNCIA RET VAR VOL_Plan1_D_Ret_Fixa_VAR_1" xfId="7971"/>
    <cellStyle name="_Televendas Painel_TENDÊNCIA RET VAR VOL_Plan1_D_Ret_Fixa_VAR_2" xfId="7972"/>
    <cellStyle name="_Televendas Painel_TENDÊNCIA RET VAR VOL_Plan1_D_Ret_Fixa_VAR_3" xfId="7973"/>
    <cellStyle name="_Televendas Painel_TENDÊNCIA RET VAR VOL_Plan1_D_Ret_Fixa_VAR_4" xfId="7974"/>
    <cellStyle name="_Televendas Painel_TENDÊNCIA RET VAR VOL_Plan1_D_Ret_Fixa_VAR_5" xfId="7975"/>
    <cellStyle name="_Televendas Painel_TENDÊNCIA RET VAR VOL_Plan1_D_Ret_Fixa_VAR_6" xfId="7976"/>
    <cellStyle name="_Televendas Painel_TENDÊNCIA RET VAR VOL_Plan1_D_Ret_Fixa_VAR_7" xfId="7977"/>
    <cellStyle name="_Televendas Painel_TENDÊNCIA RET VAR VOL_Plan1_D_Ret_Fixa_VAR_8" xfId="7978"/>
    <cellStyle name="_Televendas Painel_TENDÊNCIA RET VAR VOL_Plan1_Mig Ret 3G" xfId="7979"/>
    <cellStyle name="_Televendas Painel_TENDÊNCIA RET VAR VOL_Plan1_Mig Ret 3G_1" xfId="7980"/>
    <cellStyle name="_Televendas Painel_TENDÊNCIA RET VAR VOL_Plan1_Mig Ret 3G_2" xfId="7981"/>
    <cellStyle name="_Televendas Painel_TENDÊNCIA RET VAR VOL_Plan1_Mig Ret 3G_3" xfId="7982"/>
    <cellStyle name="_Televendas Painel_TENDÊNCIA RET VAR VOL_Plan1_Mig Ret 3G_4" xfId="7983"/>
    <cellStyle name="_Televendas Painel_TENDÊNCIA RET VAR VOL_Plan1_Mig Ret 3G_5" xfId="7984"/>
    <cellStyle name="_Televendas Painel_TENDÊNCIA RET VAR VOL_Plan1_Mig Ret 3G_6" xfId="7985"/>
    <cellStyle name="_Televendas Painel_TENDÊNCIA RET VAR VOL_Plan1_Mig Ret 3G_7" xfId="7986"/>
    <cellStyle name="_Televendas Painel_TENDÊNCIA RET VAR VOL_Plan1_Movel" xfId="7987"/>
    <cellStyle name="_Televendas Painel_TENDÊNCIA RET VAR VOL_Plan1_Movel_1" xfId="7988"/>
    <cellStyle name="_Televendas Painel_TENDÊNCIA RET VAR VOL_Plan1_Movel_2" xfId="7989"/>
    <cellStyle name="_Televendas Painel_TENDÊNCIA RET VAR VOL_Plan1_Movel_3" xfId="7990"/>
    <cellStyle name="_Televendas Painel_TENDÊNCIA RET VAR VOL_Plan1_Movel_4" xfId="7991"/>
    <cellStyle name="_Televendas Painel_TENDÊNCIA RET VAR VOL_Plan1_Movel_5" xfId="7992"/>
    <cellStyle name="_Televendas Painel_TENDÊNCIA RET VAR VOL_Plan1_Movel_6" xfId="7993"/>
    <cellStyle name="_Televendas Painel_TENDÊNCIA RET VAR VOL_Plan1_Movel_7" xfId="7994"/>
    <cellStyle name="_Televendas Painel_TENDÊNCIA RET VAR VOL_Plan1_Retenção" xfId="7995"/>
    <cellStyle name="_Televendas Painel_TENDÊNCIA RET VAR VOL_Plan2" xfId="7996"/>
    <cellStyle name="_Televendas Painel_TENDÊNCIA RET VAR VOL_Plan2_Base" xfId="7997"/>
    <cellStyle name="_Televendas Painel_TENDÊNCIA RET VAR VOL_Plan2_D_Ret_Fixa_EMP" xfId="7998"/>
    <cellStyle name="_Televendas Painel_TENDÊNCIA RET VAR VOL_Plan2_D_Ret_Fixa_EMP_1" xfId="7999"/>
    <cellStyle name="_Televendas Painel_TENDÊNCIA RET VAR VOL_Plan2_D_Ret_Fixa_EMP_2" xfId="8000"/>
    <cellStyle name="_Televendas Painel_TENDÊNCIA RET VAR VOL_Plan2_D_Ret_Fixa_EMP_3" xfId="8001"/>
    <cellStyle name="_Televendas Painel_TENDÊNCIA RET VAR VOL_Plan2_D_Ret_Fixa_EMP_4" xfId="8002"/>
    <cellStyle name="_Televendas Painel_TENDÊNCIA RET VAR VOL_Plan2_D_Ret_Fixa_EMP_5" xfId="8003"/>
    <cellStyle name="_Televendas Painel_TENDÊNCIA RET VAR VOL_Plan2_D_Ret_Fixa_EMP_6" xfId="8004"/>
    <cellStyle name="_Televendas Painel_TENDÊNCIA RET VAR VOL_Plan2_D_Ret_Fixa_EMP_7" xfId="8005"/>
    <cellStyle name="_Televendas Painel_TENDÊNCIA RET VAR VOL_Plan2_D_Ret_Fixa_EMP_8" xfId="8006"/>
    <cellStyle name="_Televendas Painel_TENDÊNCIA RET VAR VOL_Plan2_D_Ret_Fixa_VAR" xfId="8007"/>
    <cellStyle name="_Televendas Painel_TENDÊNCIA RET VAR VOL_Plan2_D_Ret_Fixa_VAR_1" xfId="8008"/>
    <cellStyle name="_Televendas Painel_TENDÊNCIA RET VAR VOL_Plan2_D_Ret_Fixa_VAR_2" xfId="8009"/>
    <cellStyle name="_Televendas Painel_TENDÊNCIA RET VAR VOL_Plan2_D_Ret_Fixa_VAR_3" xfId="8010"/>
    <cellStyle name="_Televendas Painel_TENDÊNCIA RET VAR VOL_Plan2_D_Ret_Fixa_VAR_4" xfId="8011"/>
    <cellStyle name="_Televendas Painel_TENDÊNCIA RET VAR VOL_Plan2_D_Ret_Fixa_VAR_5" xfId="8012"/>
    <cellStyle name="_Televendas Painel_TENDÊNCIA RET VAR VOL_Plan2_D_Ret_Fixa_VAR_6" xfId="8013"/>
    <cellStyle name="_Televendas Painel_TENDÊNCIA RET VAR VOL_Plan2_D_Ret_Fixa_VAR_7" xfId="8014"/>
    <cellStyle name="_Televendas Painel_TENDÊNCIA RET VAR VOL_Plan2_D_Ret_Fixa_VAR_8" xfId="8015"/>
    <cellStyle name="_Televendas Painel_TENDÊNCIA RET VAR VOL_Plan2_Mig Ret 3G" xfId="8016"/>
    <cellStyle name="_Televendas Painel_TENDÊNCIA RET VAR VOL_Plan2_Mig Ret 3G_1" xfId="8017"/>
    <cellStyle name="_Televendas Painel_TENDÊNCIA RET VAR VOL_Plan2_Mig Ret 3G_2" xfId="8018"/>
    <cellStyle name="_Televendas Painel_TENDÊNCIA RET VAR VOL_Plan2_Mig Ret 3G_3" xfId="8019"/>
    <cellStyle name="_Televendas Painel_TENDÊNCIA RET VAR VOL_Plan2_Mig Ret 3G_4" xfId="8020"/>
    <cellStyle name="_Televendas Painel_TENDÊNCIA RET VAR VOL_Plan2_Mig Ret 3G_5" xfId="8021"/>
    <cellStyle name="_Televendas Painel_TENDÊNCIA RET VAR VOL_Plan2_Mig Ret 3G_6" xfId="8022"/>
    <cellStyle name="_Televendas Painel_TENDÊNCIA RET VAR VOL_Plan2_Mig Ret 3G_7" xfId="8023"/>
    <cellStyle name="_Televendas Painel_TENDÊNCIA RET VAR VOL_Plan2_Movel" xfId="8024"/>
    <cellStyle name="_Televendas Painel_TENDÊNCIA RET VAR VOL_Plan2_Movel_1" xfId="8025"/>
    <cellStyle name="_Televendas Painel_TENDÊNCIA RET VAR VOL_Plan2_Movel_2" xfId="8026"/>
    <cellStyle name="_Televendas Painel_TENDÊNCIA RET VAR VOL_Plan2_Movel_3" xfId="8027"/>
    <cellStyle name="_Televendas Painel_TENDÊNCIA RET VAR VOL_Plan2_Movel_4" xfId="8028"/>
    <cellStyle name="_Televendas Painel_TENDÊNCIA RET VAR VOL_Plan2_Movel_5" xfId="8029"/>
    <cellStyle name="_Televendas Painel_TENDÊNCIA RET VAR VOL_Plan2_Movel_6" xfId="8030"/>
    <cellStyle name="_Televendas Painel_TENDÊNCIA RET VAR VOL_Plan2_Movel_7" xfId="8031"/>
    <cellStyle name="_Televendas Painel_TENDÊNCIA RET VAR VOL_Plan2_Retenção" xfId="8032"/>
    <cellStyle name="_Televendas Painel_TENDÊNCIA RET VAR VOL_Retenção" xfId="8033"/>
    <cellStyle name="_Televendas Painel_TENDÊNCIA RET VAR VOL_Retenção Painel" xfId="8034"/>
    <cellStyle name="_Televendas Painel_TENDÊNCIA RET VAR VOL_Retenção Painel_Base" xfId="8035"/>
    <cellStyle name="_Televendas Painel_TENDÊNCIA RET VAR VOL_Retenção Painel_D_Movel" xfId="8036"/>
    <cellStyle name="_Televendas Painel_TENDÊNCIA RET VAR VOL_Retenção Painel_D_Ret_Fixa_EMP" xfId="8037"/>
    <cellStyle name="_Televendas Painel_TENDÊNCIA RET VAR VOL_Retenção Painel_D_Ret_Fixa_EMP_1" xfId="8038"/>
    <cellStyle name="_Televendas Painel_TENDÊNCIA RET VAR VOL_Retenção Painel_D_Ret_Fixa_EMP_2" xfId="8039"/>
    <cellStyle name="_Televendas Painel_TENDÊNCIA RET VAR VOL_Retenção Painel_D_Ret_Fixa_EMP_3" xfId="8040"/>
    <cellStyle name="_Televendas Painel_TENDÊNCIA RET VAR VOL_Retenção Painel_D_Ret_Fixa_EMP_4" xfId="8041"/>
    <cellStyle name="_Televendas Painel_TENDÊNCIA RET VAR VOL_Retenção Painel_D_Ret_Fixa_EMP_5" xfId="8042"/>
    <cellStyle name="_Televendas Painel_TENDÊNCIA RET VAR VOL_Retenção Painel_D_Ret_Fixa_EMP_6" xfId="8043"/>
    <cellStyle name="_Televendas Painel_TENDÊNCIA RET VAR VOL_Retenção Painel_D_Ret_Fixa_EMP_7" xfId="8044"/>
    <cellStyle name="_Televendas Painel_TENDÊNCIA RET VAR VOL_Retenção Painel_D_Ret_Fixa_EMP_8" xfId="8045"/>
    <cellStyle name="_Televendas Painel_TENDÊNCIA RET VAR VOL_Retenção Painel_D_Ret_Fixa_VAR" xfId="8046"/>
    <cellStyle name="_Televendas Painel_TENDÊNCIA RET VAR VOL_Retenção Painel_D_Ret_Fixa_VAR_1" xfId="8047"/>
    <cellStyle name="_Televendas Painel_TENDÊNCIA RET VAR VOL_Retenção Painel_D_Ret_Fixa_VAR_2" xfId="8048"/>
    <cellStyle name="_Televendas Painel_TENDÊNCIA RET VAR VOL_Retenção Painel_D_Ret_Fixa_VAR_3" xfId="8049"/>
    <cellStyle name="_Televendas Painel_TENDÊNCIA RET VAR VOL_Retenção Painel_D_Ret_Fixa_VAR_4" xfId="8050"/>
    <cellStyle name="_Televendas Painel_TENDÊNCIA RET VAR VOL_Retenção Painel_D_Ret_Fixa_VAR_5" xfId="8051"/>
    <cellStyle name="_Televendas Painel_TENDÊNCIA RET VAR VOL_Retenção Painel_D_Ret_Fixa_VAR_6" xfId="8052"/>
    <cellStyle name="_Televendas Painel_TENDÊNCIA RET VAR VOL_Retenção Painel_D_Ret_Fixa_VAR_7" xfId="8053"/>
    <cellStyle name="_Televendas Painel_TENDÊNCIA RET VAR VOL_Retenção Painel_D_Ret_Fixa_VAR_8" xfId="8054"/>
    <cellStyle name="_Televendas Painel_TENDÊNCIA RET VAR VOL_Retenção Painel_De_Para_plano" xfId="8055"/>
    <cellStyle name="_Televendas Painel_TENDÊNCIA RET VAR VOL_Retenção Painel_Mig Ret 3G" xfId="8056"/>
    <cellStyle name="_Televendas Painel_TENDÊNCIA RET VAR VOL_Retenção Painel_Mig Ret 3G_1" xfId="8057"/>
    <cellStyle name="_Televendas Painel_TENDÊNCIA RET VAR VOL_Retenção Painel_Mig Ret 3G_2" xfId="8058"/>
    <cellStyle name="_Televendas Painel_TENDÊNCIA RET VAR VOL_Retenção Painel_Mig Ret 3G_3" xfId="8059"/>
    <cellStyle name="_Televendas Painel_TENDÊNCIA RET VAR VOL_Retenção Painel_Mig Ret 3G_4" xfId="8060"/>
    <cellStyle name="_Televendas Painel_TENDÊNCIA RET VAR VOL_Retenção Painel_Mig Ret 3G_5" xfId="8061"/>
    <cellStyle name="_Televendas Painel_TENDÊNCIA RET VAR VOL_Retenção Painel_Mig Ret 3G_6" xfId="8062"/>
    <cellStyle name="_Televendas Painel_TENDÊNCIA RET VAR VOL_Retenção Painel_Mig Ret 3G_7" xfId="8063"/>
    <cellStyle name="_Televendas Painel_TENDÊNCIA RET VAR VOL_Retenção Painel_Movel" xfId="8064"/>
    <cellStyle name="_Televendas Painel_TENDÊNCIA RET VAR VOL_Retenção Painel_Movel_1" xfId="8065"/>
    <cellStyle name="_Televendas Painel_TENDÊNCIA RET VAR VOL_Retenção Painel_Movel_2" xfId="8066"/>
    <cellStyle name="_Televendas Painel_TENDÊNCIA RET VAR VOL_Retenção Painel_Movel_3" xfId="8067"/>
    <cellStyle name="_Televendas Painel_TENDÊNCIA RET VAR VOL_Retenção Painel_Movel_4" xfId="8068"/>
    <cellStyle name="_Televendas Painel_TENDÊNCIA RET VAR VOL_Retenção Painel_Movel_5" xfId="8069"/>
    <cellStyle name="_Televendas Painel_TENDÊNCIA RET VAR VOL_Retenção Painel_Movel_6" xfId="8070"/>
    <cellStyle name="_Televendas Painel_TENDÊNCIA RET VAR VOL_Retenção Painel_Movel_7" xfId="8071"/>
    <cellStyle name="_Televendas Painel_TENDÊNCIA RET VAR VOL_Retenção Painel_Retenção" xfId="8072"/>
    <cellStyle name="_Televendas Painel_TENDÊNCIA RET VAR VOL_Retenção_Base" xfId="8073"/>
    <cellStyle name="_Televendas Painel_TENDÊNCIA RET VAR VOL_Retenção_D_Ret_Fixa_EMP" xfId="8074"/>
    <cellStyle name="_Televendas Painel_TENDÊNCIA RET VAR VOL_Retenção_D_Ret_Fixa_EMP_1" xfId="8075"/>
    <cellStyle name="_Televendas Painel_TENDÊNCIA RET VAR VOL_Retenção_D_Ret_Fixa_EMP_2" xfId="8076"/>
    <cellStyle name="_Televendas Painel_TENDÊNCIA RET VAR VOL_Retenção_D_Ret_Fixa_EMP_3" xfId="8077"/>
    <cellStyle name="_Televendas Painel_TENDÊNCIA RET VAR VOL_Retenção_D_Ret_Fixa_EMP_4" xfId="8078"/>
    <cellStyle name="_Televendas Painel_TENDÊNCIA RET VAR VOL_Retenção_D_Ret_Fixa_EMP_5" xfId="8079"/>
    <cellStyle name="_Televendas Painel_TENDÊNCIA RET VAR VOL_Retenção_D_Ret_Fixa_EMP_6" xfId="8080"/>
    <cellStyle name="_Televendas Painel_TENDÊNCIA RET VAR VOL_Retenção_D_Ret_Fixa_EMP_7" xfId="8081"/>
    <cellStyle name="_Televendas Painel_TENDÊNCIA RET VAR VOL_Retenção_D_Ret_Fixa_EMP_8" xfId="8082"/>
    <cellStyle name="_Televendas Painel_TENDÊNCIA RET VAR VOL_Retenção_D_Ret_Fixa_VAR" xfId="8083"/>
    <cellStyle name="_Televendas Painel_TENDÊNCIA RET VAR VOL_Retenção_D_Ret_Fixa_VAR_1" xfId="8084"/>
    <cellStyle name="_Televendas Painel_TENDÊNCIA RET VAR VOL_Retenção_D_Ret_Fixa_VAR_2" xfId="8085"/>
    <cellStyle name="_Televendas Painel_TENDÊNCIA RET VAR VOL_Retenção_D_Ret_Fixa_VAR_3" xfId="8086"/>
    <cellStyle name="_Televendas Painel_TENDÊNCIA RET VAR VOL_Retenção_D_Ret_Fixa_VAR_4" xfId="8087"/>
    <cellStyle name="_Televendas Painel_TENDÊNCIA RET VAR VOL_Retenção_D_Ret_Fixa_VAR_5" xfId="8088"/>
    <cellStyle name="_Televendas Painel_TENDÊNCIA RET VAR VOL_Retenção_D_Ret_Fixa_VAR_6" xfId="8089"/>
    <cellStyle name="_Televendas Painel_TENDÊNCIA RET VAR VOL_Retenção_D_Ret_Fixa_VAR_7" xfId="8090"/>
    <cellStyle name="_Televendas Painel_TENDÊNCIA RET VAR VOL_Retenção_D_Ret_Fixa_VAR_8" xfId="8091"/>
    <cellStyle name="_Televendas Painel_TENDÊNCIA RET VAR VOL_Retenção_Mig Ret 3G" xfId="8092"/>
    <cellStyle name="_Televendas Painel_TENDÊNCIA RET VAR VOL_Retenção_Mig Ret 3G_1" xfId="8093"/>
    <cellStyle name="_Televendas Painel_TENDÊNCIA RET VAR VOL_Retenção_Mig Ret 3G_2" xfId="8094"/>
    <cellStyle name="_Televendas Painel_TENDÊNCIA RET VAR VOL_Retenção_Mig Ret 3G_3" xfId="8095"/>
    <cellStyle name="_Televendas Painel_TENDÊNCIA RET VAR VOL_Retenção_Mig Ret 3G_4" xfId="8096"/>
    <cellStyle name="_Televendas Painel_TENDÊNCIA RET VAR VOL_Retenção_Mig Ret 3G_5" xfId="8097"/>
    <cellStyle name="_Televendas Painel_TENDÊNCIA RET VAR VOL_Retenção_Mig Ret 3G_6" xfId="8098"/>
    <cellStyle name="_Televendas Painel_TENDÊNCIA RET VAR VOL_Retenção_Mig Ret 3G_7" xfId="8099"/>
    <cellStyle name="_Televendas Painel_TENDÊNCIA RET VAR VOL_Retenção_Movel" xfId="8100"/>
    <cellStyle name="_Televendas Painel_TENDÊNCIA RET VAR VOL_Retenção_Movel_1" xfId="8101"/>
    <cellStyle name="_Televendas Painel_TENDÊNCIA RET VAR VOL_Retenção_Movel_2" xfId="8102"/>
    <cellStyle name="_Televendas Painel_TENDÊNCIA RET VAR VOL_Retenção_Movel_3" xfId="8103"/>
    <cellStyle name="_Televendas Painel_TENDÊNCIA RET VAR VOL_Retenção_Movel_4" xfId="8104"/>
    <cellStyle name="_Televendas Painel_TENDÊNCIA RET VAR VOL_Retenção_Movel_5" xfId="8105"/>
    <cellStyle name="_Televendas Painel_TENDÊNCIA RET VAR VOL_Retenção_Movel_6" xfId="8106"/>
    <cellStyle name="_Televendas Painel_TENDÊNCIA RET VAR VOL_Retenção_Movel_7" xfId="8107"/>
    <cellStyle name="_Televendas Painel_TENDÊNCIA RET VAR VOL_Retenção_Retenção" xfId="8108"/>
    <cellStyle name="_Televendas Painel_TENDÊNCIA RET VAR VOL_Televendas Painel" xfId="8109"/>
    <cellStyle name="_Televendas Painel_TENDÊNCIA RET VAR VOL_Televendas Painel_Base" xfId="8110"/>
    <cellStyle name="_Televendas Painel_TENDÊNCIA RET VAR VOL_Televendas Painel_D_Movel" xfId="8111"/>
    <cellStyle name="_Televendas Painel_TENDÊNCIA RET VAR VOL_Televendas Painel_D_Ret_Fixa_EMP" xfId="8112"/>
    <cellStyle name="_Televendas Painel_TENDÊNCIA RET VAR VOL_Televendas Painel_D_Ret_Fixa_EMP_1" xfId="8113"/>
    <cellStyle name="_Televendas Painel_TENDÊNCIA RET VAR VOL_Televendas Painel_D_Ret_Fixa_EMP_2" xfId="8114"/>
    <cellStyle name="_Televendas Painel_TENDÊNCIA RET VAR VOL_Televendas Painel_D_Ret_Fixa_EMP_3" xfId="8115"/>
    <cellStyle name="_Televendas Painel_TENDÊNCIA RET VAR VOL_Televendas Painel_D_Ret_Fixa_EMP_4" xfId="8116"/>
    <cellStyle name="_Televendas Painel_TENDÊNCIA RET VAR VOL_Televendas Painel_D_Ret_Fixa_EMP_5" xfId="8117"/>
    <cellStyle name="_Televendas Painel_TENDÊNCIA RET VAR VOL_Televendas Painel_D_Ret_Fixa_EMP_6" xfId="8118"/>
    <cellStyle name="_Televendas Painel_TENDÊNCIA RET VAR VOL_Televendas Painel_D_Ret_Fixa_EMP_7" xfId="8119"/>
    <cellStyle name="_Televendas Painel_TENDÊNCIA RET VAR VOL_Televendas Painel_D_Ret_Fixa_EMP_8" xfId="8120"/>
    <cellStyle name="_Televendas Painel_TENDÊNCIA RET VAR VOL_Televendas Painel_D_Ret_Fixa_VAR" xfId="8121"/>
    <cellStyle name="_Televendas Painel_TENDÊNCIA RET VAR VOL_Televendas Painel_D_Ret_Fixa_VAR_1" xfId="8122"/>
    <cellStyle name="_Televendas Painel_TENDÊNCIA RET VAR VOL_Televendas Painel_D_Ret_Fixa_VAR_2" xfId="8123"/>
    <cellStyle name="_Televendas Painel_TENDÊNCIA RET VAR VOL_Televendas Painel_D_Ret_Fixa_VAR_3" xfId="8124"/>
    <cellStyle name="_Televendas Painel_TENDÊNCIA RET VAR VOL_Televendas Painel_D_Ret_Fixa_VAR_4" xfId="8125"/>
    <cellStyle name="_Televendas Painel_TENDÊNCIA RET VAR VOL_Televendas Painel_D_Ret_Fixa_VAR_5" xfId="8126"/>
    <cellStyle name="_Televendas Painel_TENDÊNCIA RET VAR VOL_Televendas Painel_D_Ret_Fixa_VAR_6" xfId="8127"/>
    <cellStyle name="_Televendas Painel_TENDÊNCIA RET VAR VOL_Televendas Painel_D_Ret_Fixa_VAR_7" xfId="8128"/>
    <cellStyle name="_Televendas Painel_TENDÊNCIA RET VAR VOL_Televendas Painel_D_Ret_Fixa_VAR_8" xfId="8129"/>
    <cellStyle name="_Televendas Painel_TENDÊNCIA RET VAR VOL_Televendas Painel_De_Para_plano" xfId="8130"/>
    <cellStyle name="_Televendas Painel_TENDÊNCIA RET VAR VOL_Televendas Painel_Mig Ret 3G" xfId="8131"/>
    <cellStyle name="_Televendas Painel_TENDÊNCIA RET VAR VOL_Televendas Painel_Mig Ret 3G_1" xfId="8132"/>
    <cellStyle name="_Televendas Painel_TENDÊNCIA RET VAR VOL_Televendas Painel_Mig Ret 3G_2" xfId="8133"/>
    <cellStyle name="_Televendas Painel_TENDÊNCIA RET VAR VOL_Televendas Painel_Mig Ret 3G_3" xfId="8134"/>
    <cellStyle name="_Televendas Painel_TENDÊNCIA RET VAR VOL_Televendas Painel_Mig Ret 3G_4" xfId="8135"/>
    <cellStyle name="_Televendas Painel_TENDÊNCIA RET VAR VOL_Televendas Painel_Mig Ret 3G_5" xfId="8136"/>
    <cellStyle name="_Televendas Painel_TENDÊNCIA RET VAR VOL_Televendas Painel_Mig Ret 3G_6" xfId="8137"/>
    <cellStyle name="_Televendas Painel_TENDÊNCIA RET VAR VOL_Televendas Painel_Mig Ret 3G_7" xfId="8138"/>
    <cellStyle name="_Televendas Painel_TENDÊNCIA RET VAR VOL_Televendas Painel_Movel" xfId="8139"/>
    <cellStyle name="_Televendas Painel_TENDÊNCIA RET VAR VOL_Televendas Painel_Movel_1" xfId="8140"/>
    <cellStyle name="_Televendas Painel_TENDÊNCIA RET VAR VOL_Televendas Painel_Movel_2" xfId="8141"/>
    <cellStyle name="_Televendas Painel_TENDÊNCIA RET VAR VOL_Televendas Painel_Movel_3" xfId="8142"/>
    <cellStyle name="_Televendas Painel_TENDÊNCIA RET VAR VOL_Televendas Painel_Movel_4" xfId="8143"/>
    <cellStyle name="_Televendas Painel_TENDÊNCIA RET VAR VOL_Televendas Painel_Movel_5" xfId="8144"/>
    <cellStyle name="_Televendas Painel_TENDÊNCIA RET VAR VOL_Televendas Painel_Movel_6" xfId="8145"/>
    <cellStyle name="_Televendas Painel_TENDÊNCIA RET VAR VOL_Televendas Painel_Movel_7" xfId="8146"/>
    <cellStyle name="_Televendas Painel_TENDÊNCIA RET VAR VOL_Televendas Painel_Retenção" xfId="8147"/>
    <cellStyle name="_Televendas Painel_TENDÊNCIA RET VAR VOL_TENDÊNCIA RET VAR VOL" xfId="8148"/>
    <cellStyle name="_Televendas Painel_TENDÊNCIA RET VAR VOL_TENDÊNCIA RET VAR VOL_Base" xfId="8149"/>
    <cellStyle name="_Televendas Painel_TENDÊNCIA RET VAR VOL_TENDÊNCIA RET VAR VOL_D_Ret_Fixa_EMP" xfId="8150"/>
    <cellStyle name="_Televendas Painel_TENDÊNCIA RET VAR VOL_TENDÊNCIA RET VAR VOL_D_Ret_Fixa_EMP_1" xfId="8151"/>
    <cellStyle name="_Televendas Painel_TENDÊNCIA RET VAR VOL_TENDÊNCIA RET VAR VOL_D_Ret_Fixa_EMP_2" xfId="8152"/>
    <cellStyle name="_Televendas Painel_TENDÊNCIA RET VAR VOL_TENDÊNCIA RET VAR VOL_D_Ret_Fixa_EMP_3" xfId="8153"/>
    <cellStyle name="_Televendas Painel_TENDÊNCIA RET VAR VOL_TENDÊNCIA RET VAR VOL_D_Ret_Fixa_EMP_4" xfId="8154"/>
    <cellStyle name="_Televendas Painel_TENDÊNCIA RET VAR VOL_TENDÊNCIA RET VAR VOL_D_Ret_Fixa_EMP_5" xfId="8155"/>
    <cellStyle name="_Televendas Painel_TENDÊNCIA RET VAR VOL_TENDÊNCIA RET VAR VOL_D_Ret_Fixa_EMP_6" xfId="8156"/>
    <cellStyle name="_Televendas Painel_TENDÊNCIA RET VAR VOL_TENDÊNCIA RET VAR VOL_D_Ret_Fixa_EMP_7" xfId="8157"/>
    <cellStyle name="_Televendas Painel_TENDÊNCIA RET VAR VOL_TENDÊNCIA RET VAR VOL_D_Ret_Fixa_EMP_8" xfId="8158"/>
    <cellStyle name="_Televendas Painel_TENDÊNCIA RET VAR VOL_TENDÊNCIA RET VAR VOL_D_Ret_Fixa_VAR" xfId="8159"/>
    <cellStyle name="_Televendas Painel_TENDÊNCIA RET VAR VOL_TENDÊNCIA RET VAR VOL_D_Ret_Fixa_VAR_1" xfId="8160"/>
    <cellStyle name="_Televendas Painel_TENDÊNCIA RET VAR VOL_TENDÊNCIA RET VAR VOL_D_Ret_Fixa_VAR_2" xfId="8161"/>
    <cellStyle name="_Televendas Painel_TENDÊNCIA RET VAR VOL_TENDÊNCIA RET VAR VOL_D_Ret_Fixa_VAR_3" xfId="8162"/>
    <cellStyle name="_Televendas Painel_TENDÊNCIA RET VAR VOL_TENDÊNCIA RET VAR VOL_D_Ret_Fixa_VAR_4" xfId="8163"/>
    <cellStyle name="_Televendas Painel_TENDÊNCIA RET VAR VOL_TENDÊNCIA RET VAR VOL_D_Ret_Fixa_VAR_5" xfId="8164"/>
    <cellStyle name="_Televendas Painel_TENDÊNCIA RET VAR VOL_TENDÊNCIA RET VAR VOL_D_Ret_Fixa_VAR_6" xfId="8165"/>
    <cellStyle name="_Televendas Painel_TENDÊNCIA RET VAR VOL_TENDÊNCIA RET VAR VOL_D_Ret_Fixa_VAR_7" xfId="8166"/>
    <cellStyle name="_Televendas Painel_TENDÊNCIA RET VAR VOL_TENDÊNCIA RET VAR VOL_D_Ret_Fixa_VAR_8" xfId="8167"/>
    <cellStyle name="_Televendas Painel_TENDÊNCIA RET VAR VOL_TENDÊNCIA RET VAR VOL_Mig Ret 3G" xfId="8168"/>
    <cellStyle name="_Televendas Painel_TENDÊNCIA RET VAR VOL_TENDÊNCIA RET VAR VOL_Mig Ret 3G_1" xfId="8169"/>
    <cellStyle name="_Televendas Painel_TENDÊNCIA RET VAR VOL_TENDÊNCIA RET VAR VOL_Mig Ret 3G_2" xfId="8170"/>
    <cellStyle name="_Televendas Painel_TENDÊNCIA RET VAR VOL_TENDÊNCIA RET VAR VOL_Mig Ret 3G_3" xfId="8171"/>
    <cellStyle name="_Televendas Painel_TENDÊNCIA RET VAR VOL_TENDÊNCIA RET VAR VOL_Mig Ret 3G_4" xfId="8172"/>
    <cellStyle name="_Televendas Painel_TENDÊNCIA RET VAR VOL_TENDÊNCIA RET VAR VOL_Mig Ret 3G_5" xfId="8173"/>
    <cellStyle name="_Televendas Painel_TENDÊNCIA RET VAR VOL_TENDÊNCIA RET VAR VOL_Mig Ret 3G_6" xfId="8174"/>
    <cellStyle name="_Televendas Painel_TENDÊNCIA RET VAR VOL_TENDÊNCIA RET VAR VOL_Mig Ret 3G_7" xfId="8175"/>
    <cellStyle name="_Televendas Painel_TENDÊNCIA RET VAR VOL_TENDÊNCIA RET VAR VOL_Movel" xfId="8176"/>
    <cellStyle name="_Televendas Painel_TENDÊNCIA RET VAR VOL_TENDÊNCIA RET VAR VOL_Movel_1" xfId="8177"/>
    <cellStyle name="_Televendas Painel_TENDÊNCIA RET VAR VOL_TENDÊNCIA RET VAR VOL_Movel_2" xfId="8178"/>
    <cellStyle name="_Televendas Painel_TENDÊNCIA RET VAR VOL_TENDÊNCIA RET VAR VOL_Movel_3" xfId="8179"/>
    <cellStyle name="_Televendas Painel_TENDÊNCIA RET VAR VOL_TENDÊNCIA RET VAR VOL_Movel_4" xfId="8180"/>
    <cellStyle name="_Televendas Painel_TENDÊNCIA RET VAR VOL_TENDÊNCIA RET VAR VOL_Movel_5" xfId="8181"/>
    <cellStyle name="_Televendas Painel_TENDÊNCIA RET VAR VOL_TENDÊNCIA RET VAR VOL_Movel_6" xfId="8182"/>
    <cellStyle name="_Televendas Painel_TENDÊNCIA RET VAR VOL_TENDÊNCIA RET VAR VOL_Movel_7" xfId="8183"/>
    <cellStyle name="_Televendas Painel_TENDÊNCIA RET VAR VOL_TENDÊNCIA RET VAR VOL_Retenção" xfId="8184"/>
    <cellStyle name="_Template_B2B_OUTSOURCING_Abr-07" xfId="8185"/>
    <cellStyle name="_Template_B2B_OUTSOURCING_Abr-07_BD Resumo diário Painel de Televendas Abril 2011" xfId="8186"/>
    <cellStyle name="_Template_B2B_OUTSOURCING_Abr-07_BD Resumo diário Painel de Televendas Janeiro 2011" xfId="8187"/>
    <cellStyle name="_Template_B2B_OUTSOURCING_Abr-07_BD Resumo diário Painel de Televendas Setembro 2010_BASE_UNICA" xfId="8188"/>
    <cellStyle name="_Template_B2B_OUTSOURCING_Abr-07_Painel de Retenção Junho 2011" xfId="8189"/>
    <cellStyle name="_Template_B2B_OUTSOURCING_Abr-07_Pasta1" xfId="8190"/>
    <cellStyle name="_Template_B2B_OUTSOURCING_Abr-07_Plan1" xfId="8191"/>
    <cellStyle name="_Template_B2B_OUTSOURCING_Abr-07_Plan2" xfId="8192"/>
    <cellStyle name="_Template_B2B_OUTSOURCING_Abr-07_Retenção" xfId="8193"/>
    <cellStyle name="_Template_B2B_OUTSOURCING_Abr-07_Retenção Painel" xfId="8194"/>
    <cellStyle name="_Template_B2B_OUTSOURCING_Abr-07_Televendas Painel" xfId="8195"/>
    <cellStyle name="_Template_B2B_OUTSOURCING_Abr-07_Televendas Painel_ant" xfId="8196"/>
    <cellStyle name="_TENDÊNCIA RET EMP VOL" xfId="8197"/>
    <cellStyle name="_TENDÊNCIA RET EMP VOL_BD Painel_Abr" xfId="8198"/>
    <cellStyle name="_TENDÊNCIA RET EMP VOL_BD Painel_Abr_Base" xfId="8199"/>
    <cellStyle name="_TENDÊNCIA RET EMP VOL_BD Painel_Abr_D_Ret_Fixa_EMP" xfId="8200"/>
    <cellStyle name="_TENDÊNCIA RET EMP VOL_BD Painel_Abr_D_Ret_Fixa_EMP_1" xfId="8201"/>
    <cellStyle name="_TENDÊNCIA RET EMP VOL_BD Painel_Abr_D_Ret_Fixa_EMP_2" xfId="8202"/>
    <cellStyle name="_TENDÊNCIA RET EMP VOL_BD Painel_Abr_D_Ret_Fixa_EMP_3" xfId="8203"/>
    <cellStyle name="_TENDÊNCIA RET EMP VOL_BD Painel_Abr_D_Ret_Fixa_EMP_4" xfId="8204"/>
    <cellStyle name="_TENDÊNCIA RET EMP VOL_BD Painel_Abr_D_Ret_Fixa_EMP_5" xfId="8205"/>
    <cellStyle name="_TENDÊNCIA RET EMP VOL_BD Painel_Abr_D_Ret_Fixa_EMP_6" xfId="8206"/>
    <cellStyle name="_TENDÊNCIA RET EMP VOL_BD Painel_Abr_D_Ret_Fixa_EMP_7" xfId="8207"/>
    <cellStyle name="_TENDÊNCIA RET EMP VOL_BD Painel_Abr_D_Ret_Fixa_EMP_8" xfId="8208"/>
    <cellStyle name="_TENDÊNCIA RET EMP VOL_BD Painel_Abr_D_Ret_Fixa_VAR" xfId="8209"/>
    <cellStyle name="_TENDÊNCIA RET EMP VOL_BD Painel_Abr_D_Ret_Fixa_VAR_1" xfId="8210"/>
    <cellStyle name="_TENDÊNCIA RET EMP VOL_BD Painel_Abr_D_Ret_Fixa_VAR_2" xfId="8211"/>
    <cellStyle name="_TENDÊNCIA RET EMP VOL_BD Painel_Abr_D_Ret_Fixa_VAR_3" xfId="8212"/>
    <cellStyle name="_TENDÊNCIA RET EMP VOL_BD Painel_Abr_D_Ret_Fixa_VAR_4" xfId="8213"/>
    <cellStyle name="_TENDÊNCIA RET EMP VOL_BD Painel_Abr_D_Ret_Fixa_VAR_5" xfId="8214"/>
    <cellStyle name="_TENDÊNCIA RET EMP VOL_BD Painel_Abr_D_Ret_Fixa_VAR_6" xfId="8215"/>
    <cellStyle name="_TENDÊNCIA RET EMP VOL_BD Painel_Abr_D_Ret_Fixa_VAR_7" xfId="8216"/>
    <cellStyle name="_TENDÊNCIA RET EMP VOL_BD Painel_Abr_D_Ret_Fixa_VAR_8" xfId="8217"/>
    <cellStyle name="_TENDÊNCIA RET EMP VOL_BD Painel_Abr_Mig Ret 3G" xfId="8218"/>
    <cellStyle name="_TENDÊNCIA RET EMP VOL_BD Painel_Abr_Mig Ret 3G_1" xfId="8219"/>
    <cellStyle name="_TENDÊNCIA RET EMP VOL_BD Painel_Abr_Mig Ret 3G_2" xfId="8220"/>
    <cellStyle name="_TENDÊNCIA RET EMP VOL_BD Painel_Abr_Mig Ret 3G_3" xfId="8221"/>
    <cellStyle name="_TENDÊNCIA RET EMP VOL_BD Painel_Abr_Mig Ret 3G_4" xfId="8222"/>
    <cellStyle name="_TENDÊNCIA RET EMP VOL_BD Painel_Abr_Mig Ret 3G_5" xfId="8223"/>
    <cellStyle name="_TENDÊNCIA RET EMP VOL_BD Painel_Abr_Mig Ret 3G_6" xfId="8224"/>
    <cellStyle name="_TENDÊNCIA RET EMP VOL_BD Painel_Abr_Mig Ret 3G_7" xfId="8225"/>
    <cellStyle name="_TENDÊNCIA RET EMP VOL_BD Painel_Abr_Movel" xfId="8226"/>
    <cellStyle name="_TENDÊNCIA RET EMP VOL_BD Painel_Abr_Movel_1" xfId="8227"/>
    <cellStyle name="_TENDÊNCIA RET EMP VOL_BD Painel_Abr_Movel_2" xfId="8228"/>
    <cellStyle name="_TENDÊNCIA RET EMP VOL_BD Painel_Abr_Movel_3" xfId="8229"/>
    <cellStyle name="_TENDÊNCIA RET EMP VOL_BD Painel_Abr_Movel_4" xfId="8230"/>
    <cellStyle name="_TENDÊNCIA RET EMP VOL_BD Painel_Abr_Movel_5" xfId="8231"/>
    <cellStyle name="_TENDÊNCIA RET EMP VOL_BD Painel_Abr_Movel_6" xfId="8232"/>
    <cellStyle name="_TENDÊNCIA RET EMP VOL_BD Painel_Abr_Movel_7" xfId="8233"/>
    <cellStyle name="_TENDÊNCIA RET EMP VOL_BD Painel_Abr_Retenção" xfId="8234"/>
    <cellStyle name="_TENDÊNCIA RET EMP VOL_BD Resumo diário Painel de Televendas Setembro 2010_BASE_UNICA" xfId="8235"/>
    <cellStyle name="_TENDÊNCIA RET EMP VOL_BD Resumo diário Painel de Televendas Setembro 2010_BASE_UNICA_Base" xfId="8236"/>
    <cellStyle name="_TENDÊNCIA RET EMP VOL_BD Resumo diário Painel de Televendas Setembro 2010_BASE_UNICA_D_Movel" xfId="8237"/>
    <cellStyle name="_TENDÊNCIA RET EMP VOL_BD Resumo diário Painel de Televendas Setembro 2010_BASE_UNICA_D_Ret_Fixa_EMP" xfId="8238"/>
    <cellStyle name="_TENDÊNCIA RET EMP VOL_BD Resumo diário Painel de Televendas Setembro 2010_BASE_UNICA_D_Ret_Fixa_EMP_1" xfId="8239"/>
    <cellStyle name="_TENDÊNCIA RET EMP VOL_BD Resumo diário Painel de Televendas Setembro 2010_BASE_UNICA_D_Ret_Fixa_EMP_2" xfId="8240"/>
    <cellStyle name="_TENDÊNCIA RET EMP VOL_BD Resumo diário Painel de Televendas Setembro 2010_BASE_UNICA_D_Ret_Fixa_EMP_3" xfId="8241"/>
    <cellStyle name="_TENDÊNCIA RET EMP VOL_BD Resumo diário Painel de Televendas Setembro 2010_BASE_UNICA_D_Ret_Fixa_EMP_4" xfId="8242"/>
    <cellStyle name="_TENDÊNCIA RET EMP VOL_BD Resumo diário Painel de Televendas Setembro 2010_BASE_UNICA_D_Ret_Fixa_EMP_5" xfId="8243"/>
    <cellStyle name="_TENDÊNCIA RET EMP VOL_BD Resumo diário Painel de Televendas Setembro 2010_BASE_UNICA_D_Ret_Fixa_EMP_6" xfId="8244"/>
    <cellStyle name="_TENDÊNCIA RET EMP VOL_BD Resumo diário Painel de Televendas Setembro 2010_BASE_UNICA_D_Ret_Fixa_EMP_7" xfId="8245"/>
    <cellStyle name="_TENDÊNCIA RET EMP VOL_BD Resumo diário Painel de Televendas Setembro 2010_BASE_UNICA_D_Ret_Fixa_EMP_8" xfId="8246"/>
    <cellStyle name="_TENDÊNCIA RET EMP VOL_BD Resumo diário Painel de Televendas Setembro 2010_BASE_UNICA_D_Ret_Fixa_VAR" xfId="8247"/>
    <cellStyle name="_TENDÊNCIA RET EMP VOL_BD Resumo diário Painel de Televendas Setembro 2010_BASE_UNICA_D_Ret_Fixa_VAR_1" xfId="8248"/>
    <cellStyle name="_TENDÊNCIA RET EMP VOL_BD Resumo diário Painel de Televendas Setembro 2010_BASE_UNICA_D_Ret_Fixa_VAR_2" xfId="8249"/>
    <cellStyle name="_TENDÊNCIA RET EMP VOL_BD Resumo diário Painel de Televendas Setembro 2010_BASE_UNICA_D_Ret_Fixa_VAR_3" xfId="8250"/>
    <cellStyle name="_TENDÊNCIA RET EMP VOL_BD Resumo diário Painel de Televendas Setembro 2010_BASE_UNICA_D_Ret_Fixa_VAR_4" xfId="8251"/>
    <cellStyle name="_TENDÊNCIA RET EMP VOL_BD Resumo diário Painel de Televendas Setembro 2010_BASE_UNICA_D_Ret_Fixa_VAR_5" xfId="8252"/>
    <cellStyle name="_TENDÊNCIA RET EMP VOL_BD Resumo diário Painel de Televendas Setembro 2010_BASE_UNICA_D_Ret_Fixa_VAR_6" xfId="8253"/>
    <cellStyle name="_TENDÊNCIA RET EMP VOL_BD Resumo diário Painel de Televendas Setembro 2010_BASE_UNICA_D_Ret_Fixa_VAR_7" xfId="8254"/>
    <cellStyle name="_TENDÊNCIA RET EMP VOL_BD Resumo diário Painel de Televendas Setembro 2010_BASE_UNICA_D_Ret_Fixa_VAR_8" xfId="8255"/>
    <cellStyle name="_TENDÊNCIA RET EMP VOL_BD Resumo diário Painel de Televendas Setembro 2010_BASE_UNICA_De_Para_plano" xfId="8256"/>
    <cellStyle name="_TENDÊNCIA RET EMP VOL_BD Resumo diário Painel de Televendas Setembro 2010_BASE_UNICA_Mig Ret 3G" xfId="8257"/>
    <cellStyle name="_TENDÊNCIA RET EMP VOL_BD Resumo diário Painel de Televendas Setembro 2010_BASE_UNICA_Mig Ret 3G_1" xfId="8258"/>
    <cellStyle name="_TENDÊNCIA RET EMP VOL_BD Resumo diário Painel de Televendas Setembro 2010_BASE_UNICA_Mig Ret 3G_2" xfId="8259"/>
    <cellStyle name="_TENDÊNCIA RET EMP VOL_BD Resumo diário Painel de Televendas Setembro 2010_BASE_UNICA_Mig Ret 3G_3" xfId="8260"/>
    <cellStyle name="_TENDÊNCIA RET EMP VOL_BD Resumo diário Painel de Televendas Setembro 2010_BASE_UNICA_Mig Ret 3G_4" xfId="8261"/>
    <cellStyle name="_TENDÊNCIA RET EMP VOL_BD Resumo diário Painel de Televendas Setembro 2010_BASE_UNICA_Mig Ret 3G_5" xfId="8262"/>
    <cellStyle name="_TENDÊNCIA RET EMP VOL_BD Resumo diário Painel de Televendas Setembro 2010_BASE_UNICA_Mig Ret 3G_6" xfId="8263"/>
    <cellStyle name="_TENDÊNCIA RET EMP VOL_BD Resumo diário Painel de Televendas Setembro 2010_BASE_UNICA_Mig Ret 3G_7" xfId="8264"/>
    <cellStyle name="_TENDÊNCIA RET EMP VOL_BD Resumo diário Painel de Televendas Setembro 2010_BASE_UNICA_Movel" xfId="8265"/>
    <cellStyle name="_TENDÊNCIA RET EMP VOL_BD Resumo diário Painel de Televendas Setembro 2010_BASE_UNICA_Movel_1" xfId="8266"/>
    <cellStyle name="_TENDÊNCIA RET EMP VOL_BD Resumo diário Painel de Televendas Setembro 2010_BASE_UNICA_Movel_2" xfId="8267"/>
    <cellStyle name="_TENDÊNCIA RET EMP VOL_BD Resumo diário Painel de Televendas Setembro 2010_BASE_UNICA_Movel_3" xfId="8268"/>
    <cellStyle name="_TENDÊNCIA RET EMP VOL_BD Resumo diário Painel de Televendas Setembro 2010_BASE_UNICA_Movel_4" xfId="8269"/>
    <cellStyle name="_TENDÊNCIA RET EMP VOL_BD Resumo diário Painel de Televendas Setembro 2010_BASE_UNICA_Movel_5" xfId="8270"/>
    <cellStyle name="_TENDÊNCIA RET EMP VOL_BD Resumo diário Painel de Televendas Setembro 2010_BASE_UNICA_Movel_6" xfId="8271"/>
    <cellStyle name="_TENDÊNCIA RET EMP VOL_BD Resumo diário Painel de Televendas Setembro 2010_BASE_UNICA_Movel_7" xfId="8272"/>
    <cellStyle name="_TENDÊNCIA RET EMP VOL_BD Resumo diário Painel de Televendas Setembro 2010_BASE_UNICA_Retenção" xfId="8273"/>
    <cellStyle name="_TENDÊNCIA RET EMP VOL_D_Movel" xfId="8274"/>
    <cellStyle name="_TENDÊNCIA RET EMP VOL_Mig Ret 3G" xfId="8275"/>
    <cellStyle name="_TENDÊNCIA RET EMP VOL_Pasta1" xfId="8276"/>
    <cellStyle name="_TENDÊNCIA RET EMP VOL_Pasta1_Base" xfId="8277"/>
    <cellStyle name="_TENDÊNCIA RET EMP VOL_Pasta1_D_Movel" xfId="8278"/>
    <cellStyle name="_TENDÊNCIA RET EMP VOL_Pasta1_D_Ret_Fixa_EMP" xfId="8279"/>
    <cellStyle name="_TENDÊNCIA RET EMP VOL_Pasta1_D_Ret_Fixa_EMP_1" xfId="8280"/>
    <cellStyle name="_TENDÊNCIA RET EMP VOL_Pasta1_D_Ret_Fixa_EMP_2" xfId="8281"/>
    <cellStyle name="_TENDÊNCIA RET EMP VOL_Pasta1_D_Ret_Fixa_EMP_3" xfId="8282"/>
    <cellStyle name="_TENDÊNCIA RET EMP VOL_Pasta1_D_Ret_Fixa_EMP_4" xfId="8283"/>
    <cellStyle name="_TENDÊNCIA RET EMP VOL_Pasta1_D_Ret_Fixa_EMP_5" xfId="8284"/>
    <cellStyle name="_TENDÊNCIA RET EMP VOL_Pasta1_D_Ret_Fixa_EMP_6" xfId="8285"/>
    <cellStyle name="_TENDÊNCIA RET EMP VOL_Pasta1_D_Ret_Fixa_EMP_7" xfId="8286"/>
    <cellStyle name="_TENDÊNCIA RET EMP VOL_Pasta1_D_Ret_Fixa_EMP_8" xfId="8287"/>
    <cellStyle name="_TENDÊNCIA RET EMP VOL_Pasta1_D_Ret_Fixa_VAR" xfId="8288"/>
    <cellStyle name="_TENDÊNCIA RET EMP VOL_Pasta1_D_Ret_Fixa_VAR_1" xfId="8289"/>
    <cellStyle name="_TENDÊNCIA RET EMP VOL_Pasta1_D_Ret_Fixa_VAR_2" xfId="8290"/>
    <cellStyle name="_TENDÊNCIA RET EMP VOL_Pasta1_D_Ret_Fixa_VAR_3" xfId="8291"/>
    <cellStyle name="_TENDÊNCIA RET EMP VOL_Pasta1_D_Ret_Fixa_VAR_4" xfId="8292"/>
    <cellStyle name="_TENDÊNCIA RET EMP VOL_Pasta1_D_Ret_Fixa_VAR_5" xfId="8293"/>
    <cellStyle name="_TENDÊNCIA RET EMP VOL_Pasta1_D_Ret_Fixa_VAR_6" xfId="8294"/>
    <cellStyle name="_TENDÊNCIA RET EMP VOL_Pasta1_D_Ret_Fixa_VAR_7" xfId="8295"/>
    <cellStyle name="_TENDÊNCIA RET EMP VOL_Pasta1_D_Ret_Fixa_VAR_8" xfId="8296"/>
    <cellStyle name="_TENDÊNCIA RET EMP VOL_Pasta1_De_Para_plano" xfId="8297"/>
    <cellStyle name="_TENDÊNCIA RET EMP VOL_Pasta1_Mig Ret 3G" xfId="8298"/>
    <cellStyle name="_TENDÊNCIA RET EMP VOL_Pasta1_Mig Ret 3G_1" xfId="8299"/>
    <cellStyle name="_TENDÊNCIA RET EMP VOL_Pasta1_Mig Ret 3G_2" xfId="8300"/>
    <cellStyle name="_TENDÊNCIA RET EMP VOL_Pasta1_Mig Ret 3G_3" xfId="8301"/>
    <cellStyle name="_TENDÊNCIA RET EMP VOL_Pasta1_Mig Ret 3G_4" xfId="8302"/>
    <cellStyle name="_TENDÊNCIA RET EMP VOL_Pasta1_Mig Ret 3G_5" xfId="8303"/>
    <cellStyle name="_TENDÊNCIA RET EMP VOL_Pasta1_Mig Ret 3G_6" xfId="8304"/>
    <cellStyle name="_TENDÊNCIA RET EMP VOL_Pasta1_Mig Ret 3G_7" xfId="8305"/>
    <cellStyle name="_TENDÊNCIA RET EMP VOL_Pasta1_Movel" xfId="8306"/>
    <cellStyle name="_TENDÊNCIA RET EMP VOL_Pasta1_Movel_1" xfId="8307"/>
    <cellStyle name="_TENDÊNCIA RET EMP VOL_Pasta1_Movel_2" xfId="8308"/>
    <cellStyle name="_TENDÊNCIA RET EMP VOL_Pasta1_Movel_3" xfId="8309"/>
    <cellStyle name="_TENDÊNCIA RET EMP VOL_Pasta1_Movel_4" xfId="8310"/>
    <cellStyle name="_TENDÊNCIA RET EMP VOL_Pasta1_Movel_5" xfId="8311"/>
    <cellStyle name="_TENDÊNCIA RET EMP VOL_Pasta1_Movel_6" xfId="8312"/>
    <cellStyle name="_TENDÊNCIA RET EMP VOL_Pasta1_Movel_7" xfId="8313"/>
    <cellStyle name="_TENDÊNCIA RET EMP VOL_Pasta1_Retenção" xfId="8314"/>
    <cellStyle name="_TENDÊNCIA RET EMP VOL_Plan1" xfId="8315"/>
    <cellStyle name="_TENDÊNCIA RET EMP VOL_Plan1_Base" xfId="8316"/>
    <cellStyle name="_TENDÊNCIA RET EMP VOL_Plan1_D_Ret_Fixa_EMP" xfId="8317"/>
    <cellStyle name="_TENDÊNCIA RET EMP VOL_Plan1_D_Ret_Fixa_EMP_1" xfId="8318"/>
    <cellStyle name="_TENDÊNCIA RET EMP VOL_Plan1_D_Ret_Fixa_EMP_2" xfId="8319"/>
    <cellStyle name="_TENDÊNCIA RET EMP VOL_Plan1_D_Ret_Fixa_EMP_3" xfId="8320"/>
    <cellStyle name="_TENDÊNCIA RET EMP VOL_Plan1_D_Ret_Fixa_EMP_4" xfId="8321"/>
    <cellStyle name="_TENDÊNCIA RET EMP VOL_Plan1_D_Ret_Fixa_EMP_5" xfId="8322"/>
    <cellStyle name="_TENDÊNCIA RET EMP VOL_Plan1_D_Ret_Fixa_EMP_6" xfId="8323"/>
    <cellStyle name="_TENDÊNCIA RET EMP VOL_Plan1_D_Ret_Fixa_EMP_7" xfId="8324"/>
    <cellStyle name="_TENDÊNCIA RET EMP VOL_Plan1_D_Ret_Fixa_EMP_8" xfId="8325"/>
    <cellStyle name="_TENDÊNCIA RET EMP VOL_Plan1_D_Ret_Fixa_VAR" xfId="8326"/>
    <cellStyle name="_TENDÊNCIA RET EMP VOL_Plan1_D_Ret_Fixa_VAR_1" xfId="8327"/>
    <cellStyle name="_TENDÊNCIA RET EMP VOL_Plan1_D_Ret_Fixa_VAR_2" xfId="8328"/>
    <cellStyle name="_TENDÊNCIA RET EMP VOL_Plan1_D_Ret_Fixa_VAR_3" xfId="8329"/>
    <cellStyle name="_TENDÊNCIA RET EMP VOL_Plan1_D_Ret_Fixa_VAR_4" xfId="8330"/>
    <cellStyle name="_TENDÊNCIA RET EMP VOL_Plan1_D_Ret_Fixa_VAR_5" xfId="8331"/>
    <cellStyle name="_TENDÊNCIA RET EMP VOL_Plan1_D_Ret_Fixa_VAR_6" xfId="8332"/>
    <cellStyle name="_TENDÊNCIA RET EMP VOL_Plan1_D_Ret_Fixa_VAR_7" xfId="8333"/>
    <cellStyle name="_TENDÊNCIA RET EMP VOL_Plan1_D_Ret_Fixa_VAR_8" xfId="8334"/>
    <cellStyle name="_TENDÊNCIA RET EMP VOL_Plan1_Mig Ret 3G" xfId="8335"/>
    <cellStyle name="_TENDÊNCIA RET EMP VOL_Plan1_Mig Ret 3G_1" xfId="8336"/>
    <cellStyle name="_TENDÊNCIA RET EMP VOL_Plan1_Mig Ret 3G_2" xfId="8337"/>
    <cellStyle name="_TENDÊNCIA RET EMP VOL_Plan1_Mig Ret 3G_3" xfId="8338"/>
    <cellStyle name="_TENDÊNCIA RET EMP VOL_Plan1_Mig Ret 3G_4" xfId="8339"/>
    <cellStyle name="_TENDÊNCIA RET EMP VOL_Plan1_Mig Ret 3G_5" xfId="8340"/>
    <cellStyle name="_TENDÊNCIA RET EMP VOL_Plan1_Mig Ret 3G_6" xfId="8341"/>
    <cellStyle name="_TENDÊNCIA RET EMP VOL_Plan1_Mig Ret 3G_7" xfId="8342"/>
    <cellStyle name="_TENDÊNCIA RET EMP VOL_Plan1_Movel" xfId="8343"/>
    <cellStyle name="_TENDÊNCIA RET EMP VOL_Plan1_Movel_1" xfId="8344"/>
    <cellStyle name="_TENDÊNCIA RET EMP VOL_Plan1_Movel_2" xfId="8345"/>
    <cellStyle name="_TENDÊNCIA RET EMP VOL_Plan1_Movel_3" xfId="8346"/>
    <cellStyle name="_TENDÊNCIA RET EMP VOL_Plan1_Movel_4" xfId="8347"/>
    <cellStyle name="_TENDÊNCIA RET EMP VOL_Plan1_Movel_5" xfId="8348"/>
    <cellStyle name="_TENDÊNCIA RET EMP VOL_Plan1_Movel_6" xfId="8349"/>
    <cellStyle name="_TENDÊNCIA RET EMP VOL_Plan1_Movel_7" xfId="8350"/>
    <cellStyle name="_TENDÊNCIA RET EMP VOL_Plan1_Retenção" xfId="8351"/>
    <cellStyle name="_TENDÊNCIA RET EMP VOL_Plan2" xfId="8352"/>
    <cellStyle name="_TENDÊNCIA RET EMP VOL_Plan2_Base" xfId="8353"/>
    <cellStyle name="_TENDÊNCIA RET EMP VOL_Plan2_D_Ret_Fixa_EMP" xfId="8354"/>
    <cellStyle name="_TENDÊNCIA RET EMP VOL_Plan2_D_Ret_Fixa_EMP_1" xfId="8355"/>
    <cellStyle name="_TENDÊNCIA RET EMP VOL_Plan2_D_Ret_Fixa_EMP_2" xfId="8356"/>
    <cellStyle name="_TENDÊNCIA RET EMP VOL_Plan2_D_Ret_Fixa_EMP_3" xfId="8357"/>
    <cellStyle name="_TENDÊNCIA RET EMP VOL_Plan2_D_Ret_Fixa_EMP_4" xfId="8358"/>
    <cellStyle name="_TENDÊNCIA RET EMP VOL_Plan2_D_Ret_Fixa_EMP_5" xfId="8359"/>
    <cellStyle name="_TENDÊNCIA RET EMP VOL_Plan2_D_Ret_Fixa_EMP_6" xfId="8360"/>
    <cellStyle name="_TENDÊNCIA RET EMP VOL_Plan2_D_Ret_Fixa_EMP_7" xfId="8361"/>
    <cellStyle name="_TENDÊNCIA RET EMP VOL_Plan2_D_Ret_Fixa_EMP_8" xfId="8362"/>
    <cellStyle name="_TENDÊNCIA RET EMP VOL_Plan2_D_Ret_Fixa_VAR" xfId="8363"/>
    <cellStyle name="_TENDÊNCIA RET EMP VOL_Plan2_D_Ret_Fixa_VAR_1" xfId="8364"/>
    <cellStyle name="_TENDÊNCIA RET EMP VOL_Plan2_D_Ret_Fixa_VAR_2" xfId="8365"/>
    <cellStyle name="_TENDÊNCIA RET EMP VOL_Plan2_D_Ret_Fixa_VAR_3" xfId="8366"/>
    <cellStyle name="_TENDÊNCIA RET EMP VOL_Plan2_D_Ret_Fixa_VAR_4" xfId="8367"/>
    <cellStyle name="_TENDÊNCIA RET EMP VOL_Plan2_D_Ret_Fixa_VAR_5" xfId="8368"/>
    <cellStyle name="_TENDÊNCIA RET EMP VOL_Plan2_D_Ret_Fixa_VAR_6" xfId="8369"/>
    <cellStyle name="_TENDÊNCIA RET EMP VOL_Plan2_D_Ret_Fixa_VAR_7" xfId="8370"/>
    <cellStyle name="_TENDÊNCIA RET EMP VOL_Plan2_D_Ret_Fixa_VAR_8" xfId="8371"/>
    <cellStyle name="_TENDÊNCIA RET EMP VOL_Plan2_Mig Ret 3G" xfId="8372"/>
    <cellStyle name="_TENDÊNCIA RET EMP VOL_Plan2_Mig Ret 3G_1" xfId="8373"/>
    <cellStyle name="_TENDÊNCIA RET EMP VOL_Plan2_Mig Ret 3G_2" xfId="8374"/>
    <cellStyle name="_TENDÊNCIA RET EMP VOL_Plan2_Mig Ret 3G_3" xfId="8375"/>
    <cellStyle name="_TENDÊNCIA RET EMP VOL_Plan2_Mig Ret 3G_4" xfId="8376"/>
    <cellStyle name="_TENDÊNCIA RET EMP VOL_Plan2_Mig Ret 3G_5" xfId="8377"/>
    <cellStyle name="_TENDÊNCIA RET EMP VOL_Plan2_Mig Ret 3G_6" xfId="8378"/>
    <cellStyle name="_TENDÊNCIA RET EMP VOL_Plan2_Mig Ret 3G_7" xfId="8379"/>
    <cellStyle name="_TENDÊNCIA RET EMP VOL_Plan2_Movel" xfId="8380"/>
    <cellStyle name="_TENDÊNCIA RET EMP VOL_Plan2_Movel_1" xfId="8381"/>
    <cellStyle name="_TENDÊNCIA RET EMP VOL_Plan2_Movel_2" xfId="8382"/>
    <cellStyle name="_TENDÊNCIA RET EMP VOL_Plan2_Movel_3" xfId="8383"/>
    <cellStyle name="_TENDÊNCIA RET EMP VOL_Plan2_Movel_4" xfId="8384"/>
    <cellStyle name="_TENDÊNCIA RET EMP VOL_Plan2_Movel_5" xfId="8385"/>
    <cellStyle name="_TENDÊNCIA RET EMP VOL_Plan2_Movel_6" xfId="8386"/>
    <cellStyle name="_TENDÊNCIA RET EMP VOL_Plan2_Movel_7" xfId="8387"/>
    <cellStyle name="_TENDÊNCIA RET EMP VOL_Plan2_Retenção" xfId="8388"/>
    <cellStyle name="_TENDÊNCIA RET EMP VOL_Real" xfId="8389"/>
    <cellStyle name="_TENDÊNCIA RET EMP VOL_Real_BD Resumo diário Painel de Televendas Setembro 2010_BASE_UNICA" xfId="8390"/>
    <cellStyle name="_TENDÊNCIA RET EMP VOL_Real_BD Resumo diário Painel de Televendas Setembro 2010_BASE_UNICA_Base" xfId="8391"/>
    <cellStyle name="_TENDÊNCIA RET EMP VOL_Real_BD Resumo diário Painel de Televendas Setembro 2010_BASE_UNICA_D_Movel" xfId="8392"/>
    <cellStyle name="_TENDÊNCIA RET EMP VOL_Real_BD Resumo diário Painel de Televendas Setembro 2010_BASE_UNICA_D_Ret_Fixa_EMP" xfId="8393"/>
    <cellStyle name="_TENDÊNCIA RET EMP VOL_Real_BD Resumo diário Painel de Televendas Setembro 2010_BASE_UNICA_D_Ret_Fixa_EMP_1" xfId="8394"/>
    <cellStyle name="_TENDÊNCIA RET EMP VOL_Real_BD Resumo diário Painel de Televendas Setembro 2010_BASE_UNICA_D_Ret_Fixa_EMP_2" xfId="8395"/>
    <cellStyle name="_TENDÊNCIA RET EMP VOL_Real_BD Resumo diário Painel de Televendas Setembro 2010_BASE_UNICA_D_Ret_Fixa_EMP_3" xfId="8396"/>
    <cellStyle name="_TENDÊNCIA RET EMP VOL_Real_BD Resumo diário Painel de Televendas Setembro 2010_BASE_UNICA_D_Ret_Fixa_EMP_4" xfId="8397"/>
    <cellStyle name="_TENDÊNCIA RET EMP VOL_Real_BD Resumo diário Painel de Televendas Setembro 2010_BASE_UNICA_D_Ret_Fixa_EMP_5" xfId="8398"/>
    <cellStyle name="_TENDÊNCIA RET EMP VOL_Real_BD Resumo diário Painel de Televendas Setembro 2010_BASE_UNICA_D_Ret_Fixa_EMP_6" xfId="8399"/>
    <cellStyle name="_TENDÊNCIA RET EMP VOL_Real_BD Resumo diário Painel de Televendas Setembro 2010_BASE_UNICA_D_Ret_Fixa_EMP_7" xfId="8400"/>
    <cellStyle name="_TENDÊNCIA RET EMP VOL_Real_BD Resumo diário Painel de Televendas Setembro 2010_BASE_UNICA_D_Ret_Fixa_EMP_8" xfId="8401"/>
    <cellStyle name="_TENDÊNCIA RET EMP VOL_Real_BD Resumo diário Painel de Televendas Setembro 2010_BASE_UNICA_D_Ret_Fixa_VAR" xfId="8402"/>
    <cellStyle name="_TENDÊNCIA RET EMP VOL_Real_BD Resumo diário Painel de Televendas Setembro 2010_BASE_UNICA_D_Ret_Fixa_VAR_1" xfId="8403"/>
    <cellStyle name="_TENDÊNCIA RET EMP VOL_Real_BD Resumo diário Painel de Televendas Setembro 2010_BASE_UNICA_D_Ret_Fixa_VAR_2" xfId="8404"/>
    <cellStyle name="_TENDÊNCIA RET EMP VOL_Real_BD Resumo diário Painel de Televendas Setembro 2010_BASE_UNICA_D_Ret_Fixa_VAR_3" xfId="8405"/>
    <cellStyle name="_TENDÊNCIA RET EMP VOL_Real_BD Resumo diário Painel de Televendas Setembro 2010_BASE_UNICA_D_Ret_Fixa_VAR_4" xfId="8406"/>
    <cellStyle name="_TENDÊNCIA RET EMP VOL_Real_BD Resumo diário Painel de Televendas Setembro 2010_BASE_UNICA_D_Ret_Fixa_VAR_5" xfId="8407"/>
    <cellStyle name="_TENDÊNCIA RET EMP VOL_Real_BD Resumo diário Painel de Televendas Setembro 2010_BASE_UNICA_D_Ret_Fixa_VAR_6" xfId="8408"/>
    <cellStyle name="_TENDÊNCIA RET EMP VOL_Real_BD Resumo diário Painel de Televendas Setembro 2010_BASE_UNICA_D_Ret_Fixa_VAR_7" xfId="8409"/>
    <cellStyle name="_TENDÊNCIA RET EMP VOL_Real_BD Resumo diário Painel de Televendas Setembro 2010_BASE_UNICA_D_Ret_Fixa_VAR_8" xfId="8410"/>
    <cellStyle name="_TENDÊNCIA RET EMP VOL_Real_BD Resumo diário Painel de Televendas Setembro 2010_BASE_UNICA_De_Para_plano" xfId="8411"/>
    <cellStyle name="_TENDÊNCIA RET EMP VOL_Real_BD Resumo diário Painel de Televendas Setembro 2010_BASE_UNICA_Mig Ret 3G" xfId="8412"/>
    <cellStyle name="_TENDÊNCIA RET EMP VOL_Real_BD Resumo diário Painel de Televendas Setembro 2010_BASE_UNICA_Mig Ret 3G_1" xfId="8413"/>
    <cellStyle name="_TENDÊNCIA RET EMP VOL_Real_BD Resumo diário Painel de Televendas Setembro 2010_BASE_UNICA_Mig Ret 3G_2" xfId="8414"/>
    <cellStyle name="_TENDÊNCIA RET EMP VOL_Real_BD Resumo diário Painel de Televendas Setembro 2010_BASE_UNICA_Mig Ret 3G_3" xfId="8415"/>
    <cellStyle name="_TENDÊNCIA RET EMP VOL_Real_BD Resumo diário Painel de Televendas Setembro 2010_BASE_UNICA_Mig Ret 3G_4" xfId="8416"/>
    <cellStyle name="_TENDÊNCIA RET EMP VOL_Real_BD Resumo diário Painel de Televendas Setembro 2010_BASE_UNICA_Mig Ret 3G_5" xfId="8417"/>
    <cellStyle name="_TENDÊNCIA RET EMP VOL_Real_BD Resumo diário Painel de Televendas Setembro 2010_BASE_UNICA_Mig Ret 3G_6" xfId="8418"/>
    <cellStyle name="_TENDÊNCIA RET EMP VOL_Real_BD Resumo diário Painel de Televendas Setembro 2010_BASE_UNICA_Mig Ret 3G_7" xfId="8419"/>
    <cellStyle name="_TENDÊNCIA RET EMP VOL_Real_BD Resumo diário Painel de Televendas Setembro 2010_BASE_UNICA_Movel" xfId="8420"/>
    <cellStyle name="_TENDÊNCIA RET EMP VOL_Real_BD Resumo diário Painel de Televendas Setembro 2010_BASE_UNICA_Movel_1" xfId="8421"/>
    <cellStyle name="_TENDÊNCIA RET EMP VOL_Real_BD Resumo diário Painel de Televendas Setembro 2010_BASE_UNICA_Movel_2" xfId="8422"/>
    <cellStyle name="_TENDÊNCIA RET EMP VOL_Real_BD Resumo diário Painel de Televendas Setembro 2010_BASE_UNICA_Movel_3" xfId="8423"/>
    <cellStyle name="_TENDÊNCIA RET EMP VOL_Real_BD Resumo diário Painel de Televendas Setembro 2010_BASE_UNICA_Movel_4" xfId="8424"/>
    <cellStyle name="_TENDÊNCIA RET EMP VOL_Real_BD Resumo diário Painel de Televendas Setembro 2010_BASE_UNICA_Movel_5" xfId="8425"/>
    <cellStyle name="_TENDÊNCIA RET EMP VOL_Real_BD Resumo diário Painel de Televendas Setembro 2010_BASE_UNICA_Movel_6" xfId="8426"/>
    <cellStyle name="_TENDÊNCIA RET EMP VOL_Real_BD Resumo diário Painel de Televendas Setembro 2010_BASE_UNICA_Movel_7" xfId="8427"/>
    <cellStyle name="_TENDÊNCIA RET EMP VOL_Real_BD Resumo diário Painel de Televendas Setembro 2010_BASE_UNICA_Retenção" xfId="8428"/>
    <cellStyle name="_TENDÊNCIA RET EMP VOL_Real_Pasta1" xfId="8429"/>
    <cellStyle name="_TENDÊNCIA RET EMP VOL_Real_Pasta1_Base" xfId="8430"/>
    <cellStyle name="_TENDÊNCIA RET EMP VOL_Real_Pasta1_D_Movel" xfId="8431"/>
    <cellStyle name="_TENDÊNCIA RET EMP VOL_Real_Pasta1_D_Ret_Fixa_EMP" xfId="8432"/>
    <cellStyle name="_TENDÊNCIA RET EMP VOL_Real_Pasta1_D_Ret_Fixa_EMP_1" xfId="8433"/>
    <cellStyle name="_TENDÊNCIA RET EMP VOL_Real_Pasta1_D_Ret_Fixa_EMP_2" xfId="8434"/>
    <cellStyle name="_TENDÊNCIA RET EMP VOL_Real_Pasta1_D_Ret_Fixa_EMP_3" xfId="8435"/>
    <cellStyle name="_TENDÊNCIA RET EMP VOL_Real_Pasta1_D_Ret_Fixa_EMP_4" xfId="8436"/>
    <cellStyle name="_TENDÊNCIA RET EMP VOL_Real_Pasta1_D_Ret_Fixa_EMP_5" xfId="8437"/>
    <cellStyle name="_TENDÊNCIA RET EMP VOL_Real_Pasta1_D_Ret_Fixa_EMP_6" xfId="8438"/>
    <cellStyle name="_TENDÊNCIA RET EMP VOL_Real_Pasta1_D_Ret_Fixa_EMP_7" xfId="8439"/>
    <cellStyle name="_TENDÊNCIA RET EMP VOL_Real_Pasta1_D_Ret_Fixa_EMP_8" xfId="8440"/>
    <cellStyle name="_TENDÊNCIA RET EMP VOL_Real_Pasta1_D_Ret_Fixa_VAR" xfId="8441"/>
    <cellStyle name="_TENDÊNCIA RET EMP VOL_Real_Pasta1_D_Ret_Fixa_VAR_1" xfId="8442"/>
    <cellStyle name="_TENDÊNCIA RET EMP VOL_Real_Pasta1_D_Ret_Fixa_VAR_2" xfId="8443"/>
    <cellStyle name="_TENDÊNCIA RET EMP VOL_Real_Pasta1_D_Ret_Fixa_VAR_3" xfId="8444"/>
    <cellStyle name="_TENDÊNCIA RET EMP VOL_Real_Pasta1_D_Ret_Fixa_VAR_4" xfId="8445"/>
    <cellStyle name="_TENDÊNCIA RET EMP VOL_Real_Pasta1_D_Ret_Fixa_VAR_5" xfId="8446"/>
    <cellStyle name="_TENDÊNCIA RET EMP VOL_Real_Pasta1_D_Ret_Fixa_VAR_6" xfId="8447"/>
    <cellStyle name="_TENDÊNCIA RET EMP VOL_Real_Pasta1_D_Ret_Fixa_VAR_7" xfId="8448"/>
    <cellStyle name="_TENDÊNCIA RET EMP VOL_Real_Pasta1_D_Ret_Fixa_VAR_8" xfId="8449"/>
    <cellStyle name="_TENDÊNCIA RET EMP VOL_Real_Pasta1_De_Para_plano" xfId="8450"/>
    <cellStyle name="_TENDÊNCIA RET EMP VOL_Real_Pasta1_Mig Ret 3G" xfId="8451"/>
    <cellStyle name="_TENDÊNCIA RET EMP VOL_Real_Pasta1_Mig Ret 3G_1" xfId="8452"/>
    <cellStyle name="_TENDÊNCIA RET EMP VOL_Real_Pasta1_Mig Ret 3G_2" xfId="8453"/>
    <cellStyle name="_TENDÊNCIA RET EMP VOL_Real_Pasta1_Mig Ret 3G_3" xfId="8454"/>
    <cellStyle name="_TENDÊNCIA RET EMP VOL_Real_Pasta1_Mig Ret 3G_4" xfId="8455"/>
    <cellStyle name="_TENDÊNCIA RET EMP VOL_Real_Pasta1_Mig Ret 3G_5" xfId="8456"/>
    <cellStyle name="_TENDÊNCIA RET EMP VOL_Real_Pasta1_Mig Ret 3G_6" xfId="8457"/>
    <cellStyle name="_TENDÊNCIA RET EMP VOL_Real_Pasta1_Mig Ret 3G_7" xfId="8458"/>
    <cellStyle name="_TENDÊNCIA RET EMP VOL_Real_Pasta1_Movel" xfId="8459"/>
    <cellStyle name="_TENDÊNCIA RET EMP VOL_Real_Pasta1_Movel_1" xfId="8460"/>
    <cellStyle name="_TENDÊNCIA RET EMP VOL_Real_Pasta1_Movel_2" xfId="8461"/>
    <cellStyle name="_TENDÊNCIA RET EMP VOL_Real_Pasta1_Movel_3" xfId="8462"/>
    <cellStyle name="_TENDÊNCIA RET EMP VOL_Real_Pasta1_Movel_4" xfId="8463"/>
    <cellStyle name="_TENDÊNCIA RET EMP VOL_Real_Pasta1_Movel_5" xfId="8464"/>
    <cellStyle name="_TENDÊNCIA RET EMP VOL_Real_Pasta1_Movel_6" xfId="8465"/>
    <cellStyle name="_TENDÊNCIA RET EMP VOL_Real_Pasta1_Movel_7" xfId="8466"/>
    <cellStyle name="_TENDÊNCIA RET EMP VOL_Real_Pasta1_Retenção" xfId="8467"/>
    <cellStyle name="_TENDÊNCIA RET EMP VOL_Real_Televendas Painel" xfId="8468"/>
    <cellStyle name="_TENDÊNCIA RET EMP VOL_Real_Televendas Painel_Base" xfId="8469"/>
    <cellStyle name="_TENDÊNCIA RET EMP VOL_Real_Televendas Painel_D_Movel" xfId="8470"/>
    <cellStyle name="_TENDÊNCIA RET EMP VOL_Real_Televendas Painel_D_Ret_Fixa_EMP" xfId="8471"/>
    <cellStyle name="_TENDÊNCIA RET EMP VOL_Real_Televendas Painel_D_Ret_Fixa_EMP_1" xfId="8472"/>
    <cellStyle name="_TENDÊNCIA RET EMP VOL_Real_Televendas Painel_D_Ret_Fixa_EMP_2" xfId="8473"/>
    <cellStyle name="_TENDÊNCIA RET EMP VOL_Real_Televendas Painel_D_Ret_Fixa_EMP_3" xfId="8474"/>
    <cellStyle name="_TENDÊNCIA RET EMP VOL_Real_Televendas Painel_D_Ret_Fixa_EMP_4" xfId="8475"/>
    <cellStyle name="_TENDÊNCIA RET EMP VOL_Real_Televendas Painel_D_Ret_Fixa_EMP_5" xfId="8476"/>
    <cellStyle name="_TENDÊNCIA RET EMP VOL_Real_Televendas Painel_D_Ret_Fixa_EMP_6" xfId="8477"/>
    <cellStyle name="_TENDÊNCIA RET EMP VOL_Real_Televendas Painel_D_Ret_Fixa_EMP_7" xfId="8478"/>
    <cellStyle name="_TENDÊNCIA RET EMP VOL_Real_Televendas Painel_D_Ret_Fixa_EMP_8" xfId="8479"/>
    <cellStyle name="_TENDÊNCIA RET EMP VOL_Real_Televendas Painel_D_Ret_Fixa_VAR" xfId="8480"/>
    <cellStyle name="_TENDÊNCIA RET EMP VOL_Real_Televendas Painel_D_Ret_Fixa_VAR_1" xfId="8481"/>
    <cellStyle name="_TENDÊNCIA RET EMP VOL_Real_Televendas Painel_D_Ret_Fixa_VAR_2" xfId="8482"/>
    <cellStyle name="_TENDÊNCIA RET EMP VOL_Real_Televendas Painel_D_Ret_Fixa_VAR_3" xfId="8483"/>
    <cellStyle name="_TENDÊNCIA RET EMP VOL_Real_Televendas Painel_D_Ret_Fixa_VAR_4" xfId="8484"/>
    <cellStyle name="_TENDÊNCIA RET EMP VOL_Real_Televendas Painel_D_Ret_Fixa_VAR_5" xfId="8485"/>
    <cellStyle name="_TENDÊNCIA RET EMP VOL_Real_Televendas Painel_D_Ret_Fixa_VAR_6" xfId="8486"/>
    <cellStyle name="_TENDÊNCIA RET EMP VOL_Real_Televendas Painel_D_Ret_Fixa_VAR_7" xfId="8487"/>
    <cellStyle name="_TENDÊNCIA RET EMP VOL_Real_Televendas Painel_D_Ret_Fixa_VAR_8" xfId="8488"/>
    <cellStyle name="_TENDÊNCIA RET EMP VOL_Real_Televendas Painel_De_Para_plano" xfId="8489"/>
    <cellStyle name="_TENDÊNCIA RET EMP VOL_Real_Televendas Painel_Mig Ret 3G" xfId="8490"/>
    <cellStyle name="_TENDÊNCIA RET EMP VOL_Real_Televendas Painel_Mig Ret 3G_1" xfId="8491"/>
    <cellStyle name="_TENDÊNCIA RET EMP VOL_Real_Televendas Painel_Mig Ret 3G_2" xfId="8492"/>
    <cellStyle name="_TENDÊNCIA RET EMP VOL_Real_Televendas Painel_Mig Ret 3G_3" xfId="8493"/>
    <cellStyle name="_TENDÊNCIA RET EMP VOL_Real_Televendas Painel_Mig Ret 3G_4" xfId="8494"/>
    <cellStyle name="_TENDÊNCIA RET EMP VOL_Real_Televendas Painel_Mig Ret 3G_5" xfId="8495"/>
    <cellStyle name="_TENDÊNCIA RET EMP VOL_Real_Televendas Painel_Mig Ret 3G_6" xfId="8496"/>
    <cellStyle name="_TENDÊNCIA RET EMP VOL_Real_Televendas Painel_Mig Ret 3G_7" xfId="8497"/>
    <cellStyle name="_TENDÊNCIA RET EMP VOL_Real_Televendas Painel_Movel" xfId="8498"/>
    <cellStyle name="_TENDÊNCIA RET EMP VOL_Real_Televendas Painel_Movel_1" xfId="8499"/>
    <cellStyle name="_TENDÊNCIA RET EMP VOL_Real_Televendas Painel_Movel_2" xfId="8500"/>
    <cellStyle name="_TENDÊNCIA RET EMP VOL_Real_Televendas Painel_Movel_3" xfId="8501"/>
    <cellStyle name="_TENDÊNCIA RET EMP VOL_Real_Televendas Painel_Movel_4" xfId="8502"/>
    <cellStyle name="_TENDÊNCIA RET EMP VOL_Real_Televendas Painel_Movel_5" xfId="8503"/>
    <cellStyle name="_TENDÊNCIA RET EMP VOL_Real_Televendas Painel_Movel_6" xfId="8504"/>
    <cellStyle name="_TENDÊNCIA RET EMP VOL_Real_Televendas Painel_Movel_7" xfId="8505"/>
    <cellStyle name="_TENDÊNCIA RET EMP VOL_Real_Televendas Painel_Retenção" xfId="8506"/>
    <cellStyle name="_TENDÊNCIA RET EMP VOL_Retenção" xfId="8507"/>
    <cellStyle name="_TENDÊNCIA RET EMP VOL_Retenção Painel" xfId="8508"/>
    <cellStyle name="_TENDÊNCIA RET EMP VOL_Retenção Painel_1" xfId="8509"/>
    <cellStyle name="_TENDÊNCIA RET EMP VOL_Retenção Painel_1_Base" xfId="8510"/>
    <cellStyle name="_TENDÊNCIA RET EMP VOL_Retenção Painel_1_D_Movel" xfId="8511"/>
    <cellStyle name="_TENDÊNCIA RET EMP VOL_Retenção Painel_1_D_Ret_Fixa_EMP" xfId="8512"/>
    <cellStyle name="_TENDÊNCIA RET EMP VOL_Retenção Painel_1_D_Ret_Fixa_EMP_1" xfId="8513"/>
    <cellStyle name="_TENDÊNCIA RET EMP VOL_Retenção Painel_1_D_Ret_Fixa_EMP_2" xfId="8514"/>
    <cellStyle name="_TENDÊNCIA RET EMP VOL_Retenção Painel_1_D_Ret_Fixa_EMP_3" xfId="8515"/>
    <cellStyle name="_TENDÊNCIA RET EMP VOL_Retenção Painel_1_D_Ret_Fixa_EMP_4" xfId="8516"/>
    <cellStyle name="_TENDÊNCIA RET EMP VOL_Retenção Painel_1_D_Ret_Fixa_EMP_5" xfId="8517"/>
    <cellStyle name="_TENDÊNCIA RET EMP VOL_Retenção Painel_1_D_Ret_Fixa_EMP_6" xfId="8518"/>
    <cellStyle name="_TENDÊNCIA RET EMP VOL_Retenção Painel_1_D_Ret_Fixa_EMP_7" xfId="8519"/>
    <cellStyle name="_TENDÊNCIA RET EMP VOL_Retenção Painel_1_D_Ret_Fixa_EMP_8" xfId="8520"/>
    <cellStyle name="_TENDÊNCIA RET EMP VOL_Retenção Painel_1_D_Ret_Fixa_VAR" xfId="8521"/>
    <cellStyle name="_TENDÊNCIA RET EMP VOL_Retenção Painel_1_D_Ret_Fixa_VAR_1" xfId="8522"/>
    <cellStyle name="_TENDÊNCIA RET EMP VOL_Retenção Painel_1_D_Ret_Fixa_VAR_2" xfId="8523"/>
    <cellStyle name="_TENDÊNCIA RET EMP VOL_Retenção Painel_1_D_Ret_Fixa_VAR_3" xfId="8524"/>
    <cellStyle name="_TENDÊNCIA RET EMP VOL_Retenção Painel_1_D_Ret_Fixa_VAR_4" xfId="8525"/>
    <cellStyle name="_TENDÊNCIA RET EMP VOL_Retenção Painel_1_D_Ret_Fixa_VAR_5" xfId="8526"/>
    <cellStyle name="_TENDÊNCIA RET EMP VOL_Retenção Painel_1_D_Ret_Fixa_VAR_6" xfId="8527"/>
    <cellStyle name="_TENDÊNCIA RET EMP VOL_Retenção Painel_1_D_Ret_Fixa_VAR_7" xfId="8528"/>
    <cellStyle name="_TENDÊNCIA RET EMP VOL_Retenção Painel_1_D_Ret_Fixa_VAR_8" xfId="8529"/>
    <cellStyle name="_TENDÊNCIA RET EMP VOL_Retenção Painel_1_De_Para_plano" xfId="8530"/>
    <cellStyle name="_TENDÊNCIA RET EMP VOL_Retenção Painel_1_Mig Ret 3G" xfId="8531"/>
    <cellStyle name="_TENDÊNCIA RET EMP VOL_Retenção Painel_1_Mig Ret 3G_1" xfId="8532"/>
    <cellStyle name="_TENDÊNCIA RET EMP VOL_Retenção Painel_1_Mig Ret 3G_2" xfId="8533"/>
    <cellStyle name="_TENDÊNCIA RET EMP VOL_Retenção Painel_1_Mig Ret 3G_3" xfId="8534"/>
    <cellStyle name="_TENDÊNCIA RET EMP VOL_Retenção Painel_1_Mig Ret 3G_4" xfId="8535"/>
    <cellStyle name="_TENDÊNCIA RET EMP VOL_Retenção Painel_1_Mig Ret 3G_5" xfId="8536"/>
    <cellStyle name="_TENDÊNCIA RET EMP VOL_Retenção Painel_1_Mig Ret 3G_6" xfId="8537"/>
    <cellStyle name="_TENDÊNCIA RET EMP VOL_Retenção Painel_1_Mig Ret 3G_7" xfId="8538"/>
    <cellStyle name="_TENDÊNCIA RET EMP VOL_Retenção Painel_1_Movel" xfId="8539"/>
    <cellStyle name="_TENDÊNCIA RET EMP VOL_Retenção Painel_1_Movel_1" xfId="8540"/>
    <cellStyle name="_TENDÊNCIA RET EMP VOL_Retenção Painel_1_Movel_2" xfId="8541"/>
    <cellStyle name="_TENDÊNCIA RET EMP VOL_Retenção Painel_1_Movel_3" xfId="8542"/>
    <cellStyle name="_TENDÊNCIA RET EMP VOL_Retenção Painel_1_Movel_4" xfId="8543"/>
    <cellStyle name="_TENDÊNCIA RET EMP VOL_Retenção Painel_1_Movel_5" xfId="8544"/>
    <cellStyle name="_TENDÊNCIA RET EMP VOL_Retenção Painel_1_Movel_6" xfId="8545"/>
    <cellStyle name="_TENDÊNCIA RET EMP VOL_Retenção Painel_1_Movel_7" xfId="8546"/>
    <cellStyle name="_TENDÊNCIA RET EMP VOL_Retenção Painel_1_Retenção" xfId="8547"/>
    <cellStyle name="_TENDÊNCIA RET EMP VOL_Retenção Painel_2" xfId="8548"/>
    <cellStyle name="_TENDÊNCIA RET EMP VOL_Retenção Painel_2_Base" xfId="8549"/>
    <cellStyle name="_TENDÊNCIA RET EMP VOL_Retenção Painel_2_D_Movel" xfId="8550"/>
    <cellStyle name="_TENDÊNCIA RET EMP VOL_Retenção Painel_2_D_Ret_Fixa_EMP" xfId="8551"/>
    <cellStyle name="_TENDÊNCIA RET EMP VOL_Retenção Painel_2_D_Ret_Fixa_EMP_1" xfId="8552"/>
    <cellStyle name="_TENDÊNCIA RET EMP VOL_Retenção Painel_2_D_Ret_Fixa_EMP_2" xfId="8553"/>
    <cellStyle name="_TENDÊNCIA RET EMP VOL_Retenção Painel_2_D_Ret_Fixa_EMP_3" xfId="8554"/>
    <cellStyle name="_TENDÊNCIA RET EMP VOL_Retenção Painel_2_D_Ret_Fixa_EMP_4" xfId="8555"/>
    <cellStyle name="_TENDÊNCIA RET EMP VOL_Retenção Painel_2_D_Ret_Fixa_EMP_5" xfId="8556"/>
    <cellStyle name="_TENDÊNCIA RET EMP VOL_Retenção Painel_2_D_Ret_Fixa_EMP_6" xfId="8557"/>
    <cellStyle name="_TENDÊNCIA RET EMP VOL_Retenção Painel_2_D_Ret_Fixa_EMP_7" xfId="8558"/>
    <cellStyle name="_TENDÊNCIA RET EMP VOL_Retenção Painel_2_D_Ret_Fixa_EMP_8" xfId="8559"/>
    <cellStyle name="_TENDÊNCIA RET EMP VOL_Retenção Painel_2_D_Ret_Fixa_VAR" xfId="8560"/>
    <cellStyle name="_TENDÊNCIA RET EMP VOL_Retenção Painel_2_D_Ret_Fixa_VAR_1" xfId="8561"/>
    <cellStyle name="_TENDÊNCIA RET EMP VOL_Retenção Painel_2_D_Ret_Fixa_VAR_2" xfId="8562"/>
    <cellStyle name="_TENDÊNCIA RET EMP VOL_Retenção Painel_2_D_Ret_Fixa_VAR_3" xfId="8563"/>
    <cellStyle name="_TENDÊNCIA RET EMP VOL_Retenção Painel_2_D_Ret_Fixa_VAR_4" xfId="8564"/>
    <cellStyle name="_TENDÊNCIA RET EMP VOL_Retenção Painel_2_D_Ret_Fixa_VAR_5" xfId="8565"/>
    <cellStyle name="_TENDÊNCIA RET EMP VOL_Retenção Painel_2_D_Ret_Fixa_VAR_6" xfId="8566"/>
    <cellStyle name="_TENDÊNCIA RET EMP VOL_Retenção Painel_2_D_Ret_Fixa_VAR_7" xfId="8567"/>
    <cellStyle name="_TENDÊNCIA RET EMP VOL_Retenção Painel_2_D_Ret_Fixa_VAR_8" xfId="8568"/>
    <cellStyle name="_TENDÊNCIA RET EMP VOL_Retenção Painel_2_De_Para_plano" xfId="8569"/>
    <cellStyle name="_TENDÊNCIA RET EMP VOL_Retenção Painel_2_Mig Ret 3G" xfId="8570"/>
    <cellStyle name="_TENDÊNCIA RET EMP VOL_Retenção Painel_2_Mig Ret 3G_1" xfId="8571"/>
    <cellStyle name="_TENDÊNCIA RET EMP VOL_Retenção Painel_2_Mig Ret 3G_2" xfId="8572"/>
    <cellStyle name="_TENDÊNCIA RET EMP VOL_Retenção Painel_2_Mig Ret 3G_3" xfId="8573"/>
    <cellStyle name="_TENDÊNCIA RET EMP VOL_Retenção Painel_2_Mig Ret 3G_4" xfId="8574"/>
    <cellStyle name="_TENDÊNCIA RET EMP VOL_Retenção Painel_2_Mig Ret 3G_5" xfId="8575"/>
    <cellStyle name="_TENDÊNCIA RET EMP VOL_Retenção Painel_2_Mig Ret 3G_6" xfId="8576"/>
    <cellStyle name="_TENDÊNCIA RET EMP VOL_Retenção Painel_2_Mig Ret 3G_7" xfId="8577"/>
    <cellStyle name="_TENDÊNCIA RET EMP VOL_Retenção Painel_2_Movel" xfId="8578"/>
    <cellStyle name="_TENDÊNCIA RET EMP VOL_Retenção Painel_2_Movel_1" xfId="8579"/>
    <cellStyle name="_TENDÊNCIA RET EMP VOL_Retenção Painel_2_Movel_2" xfId="8580"/>
    <cellStyle name="_TENDÊNCIA RET EMP VOL_Retenção Painel_2_Movel_3" xfId="8581"/>
    <cellStyle name="_TENDÊNCIA RET EMP VOL_Retenção Painel_2_Movel_4" xfId="8582"/>
    <cellStyle name="_TENDÊNCIA RET EMP VOL_Retenção Painel_2_Movel_5" xfId="8583"/>
    <cellStyle name="_TENDÊNCIA RET EMP VOL_Retenção Painel_2_Movel_6" xfId="8584"/>
    <cellStyle name="_TENDÊNCIA RET EMP VOL_Retenção Painel_2_Movel_7" xfId="8585"/>
    <cellStyle name="_TENDÊNCIA RET EMP VOL_Retenção Painel_2_Retenção" xfId="8586"/>
    <cellStyle name="_TENDÊNCIA RET EMP VOL_Retenção Painel_2_Retenção Painel" xfId="8587"/>
    <cellStyle name="_TENDÊNCIA RET EMP VOL_Retenção Painel_2_Retenção Painel_Base" xfId="8588"/>
    <cellStyle name="_TENDÊNCIA RET EMP VOL_Retenção Painel_2_Retenção Painel_D_Movel" xfId="8589"/>
    <cellStyle name="_TENDÊNCIA RET EMP VOL_Retenção Painel_2_Retenção Painel_D_Ret_Fixa_EMP" xfId="8590"/>
    <cellStyle name="_TENDÊNCIA RET EMP VOL_Retenção Painel_2_Retenção Painel_D_Ret_Fixa_EMP_1" xfId="8591"/>
    <cellStyle name="_TENDÊNCIA RET EMP VOL_Retenção Painel_2_Retenção Painel_D_Ret_Fixa_EMP_2" xfId="8592"/>
    <cellStyle name="_TENDÊNCIA RET EMP VOL_Retenção Painel_2_Retenção Painel_D_Ret_Fixa_EMP_3" xfId="8593"/>
    <cellStyle name="_TENDÊNCIA RET EMP VOL_Retenção Painel_2_Retenção Painel_D_Ret_Fixa_EMP_4" xfId="8594"/>
    <cellStyle name="_TENDÊNCIA RET EMP VOL_Retenção Painel_2_Retenção Painel_D_Ret_Fixa_EMP_5" xfId="8595"/>
    <cellStyle name="_TENDÊNCIA RET EMP VOL_Retenção Painel_2_Retenção Painel_D_Ret_Fixa_EMP_6" xfId="8596"/>
    <cellStyle name="_TENDÊNCIA RET EMP VOL_Retenção Painel_2_Retenção Painel_D_Ret_Fixa_EMP_7" xfId="8597"/>
    <cellStyle name="_TENDÊNCIA RET EMP VOL_Retenção Painel_2_Retenção Painel_D_Ret_Fixa_EMP_8" xfId="8598"/>
    <cellStyle name="_TENDÊNCIA RET EMP VOL_Retenção Painel_2_Retenção Painel_D_Ret_Fixa_VAR" xfId="8599"/>
    <cellStyle name="_TENDÊNCIA RET EMP VOL_Retenção Painel_2_Retenção Painel_D_Ret_Fixa_VAR_1" xfId="8600"/>
    <cellStyle name="_TENDÊNCIA RET EMP VOL_Retenção Painel_2_Retenção Painel_D_Ret_Fixa_VAR_2" xfId="8601"/>
    <cellStyle name="_TENDÊNCIA RET EMP VOL_Retenção Painel_2_Retenção Painel_D_Ret_Fixa_VAR_3" xfId="8602"/>
    <cellStyle name="_TENDÊNCIA RET EMP VOL_Retenção Painel_2_Retenção Painel_D_Ret_Fixa_VAR_4" xfId="8603"/>
    <cellStyle name="_TENDÊNCIA RET EMP VOL_Retenção Painel_2_Retenção Painel_D_Ret_Fixa_VAR_5" xfId="8604"/>
    <cellStyle name="_TENDÊNCIA RET EMP VOL_Retenção Painel_2_Retenção Painel_D_Ret_Fixa_VAR_6" xfId="8605"/>
    <cellStyle name="_TENDÊNCIA RET EMP VOL_Retenção Painel_2_Retenção Painel_D_Ret_Fixa_VAR_7" xfId="8606"/>
    <cellStyle name="_TENDÊNCIA RET EMP VOL_Retenção Painel_2_Retenção Painel_D_Ret_Fixa_VAR_8" xfId="8607"/>
    <cellStyle name="_TENDÊNCIA RET EMP VOL_Retenção Painel_2_Retenção Painel_De_Para_plano" xfId="8608"/>
    <cellStyle name="_TENDÊNCIA RET EMP VOL_Retenção Painel_2_Retenção Painel_Mig Ret 3G" xfId="8609"/>
    <cellStyle name="_TENDÊNCIA RET EMP VOL_Retenção Painel_2_Retenção Painel_Mig Ret 3G_1" xfId="8610"/>
    <cellStyle name="_TENDÊNCIA RET EMP VOL_Retenção Painel_2_Retenção Painel_Mig Ret 3G_2" xfId="8611"/>
    <cellStyle name="_TENDÊNCIA RET EMP VOL_Retenção Painel_2_Retenção Painel_Mig Ret 3G_3" xfId="8612"/>
    <cellStyle name="_TENDÊNCIA RET EMP VOL_Retenção Painel_2_Retenção Painel_Mig Ret 3G_4" xfId="8613"/>
    <cellStyle name="_TENDÊNCIA RET EMP VOL_Retenção Painel_2_Retenção Painel_Mig Ret 3G_5" xfId="8614"/>
    <cellStyle name="_TENDÊNCIA RET EMP VOL_Retenção Painel_2_Retenção Painel_Mig Ret 3G_6" xfId="8615"/>
    <cellStyle name="_TENDÊNCIA RET EMP VOL_Retenção Painel_2_Retenção Painel_Mig Ret 3G_7" xfId="8616"/>
    <cellStyle name="_TENDÊNCIA RET EMP VOL_Retenção Painel_2_Retenção Painel_Movel" xfId="8617"/>
    <cellStyle name="_TENDÊNCIA RET EMP VOL_Retenção Painel_2_Retenção Painel_Movel_1" xfId="8618"/>
    <cellStyle name="_TENDÊNCIA RET EMP VOL_Retenção Painel_2_Retenção Painel_Movel_2" xfId="8619"/>
    <cellStyle name="_TENDÊNCIA RET EMP VOL_Retenção Painel_2_Retenção Painel_Movel_3" xfId="8620"/>
    <cellStyle name="_TENDÊNCIA RET EMP VOL_Retenção Painel_2_Retenção Painel_Movel_4" xfId="8621"/>
    <cellStyle name="_TENDÊNCIA RET EMP VOL_Retenção Painel_2_Retenção Painel_Movel_5" xfId="8622"/>
    <cellStyle name="_TENDÊNCIA RET EMP VOL_Retenção Painel_2_Retenção Painel_Movel_6" xfId="8623"/>
    <cellStyle name="_TENDÊNCIA RET EMP VOL_Retenção Painel_2_Retenção Painel_Movel_7" xfId="8624"/>
    <cellStyle name="_TENDÊNCIA RET EMP VOL_Retenção Painel_2_Retenção Painel_Retenção" xfId="8625"/>
    <cellStyle name="_TENDÊNCIA RET EMP VOL_Retenção Painel_BD Resumo diário Painel de Televendas Setembro 2010_BASE_UNICA" xfId="8626"/>
    <cellStyle name="_TENDÊNCIA RET EMP VOL_Retenção Painel_BD Resumo diário Painel de Televendas Setembro 2010_BASE_UNICA_Base" xfId="8627"/>
    <cellStyle name="_TENDÊNCIA RET EMP VOL_Retenção Painel_BD Resumo diário Painel de Televendas Setembro 2010_BASE_UNICA_D_Movel" xfId="8628"/>
    <cellStyle name="_TENDÊNCIA RET EMP VOL_Retenção Painel_BD Resumo diário Painel de Televendas Setembro 2010_BASE_UNICA_D_Ret_Fixa_EMP" xfId="8629"/>
    <cellStyle name="_TENDÊNCIA RET EMP VOL_Retenção Painel_BD Resumo diário Painel de Televendas Setembro 2010_BASE_UNICA_D_Ret_Fixa_EMP_1" xfId="8630"/>
    <cellStyle name="_TENDÊNCIA RET EMP VOL_Retenção Painel_BD Resumo diário Painel de Televendas Setembro 2010_BASE_UNICA_D_Ret_Fixa_EMP_2" xfId="8631"/>
    <cellStyle name="_TENDÊNCIA RET EMP VOL_Retenção Painel_BD Resumo diário Painel de Televendas Setembro 2010_BASE_UNICA_D_Ret_Fixa_EMP_3" xfId="8632"/>
    <cellStyle name="_TENDÊNCIA RET EMP VOL_Retenção Painel_BD Resumo diário Painel de Televendas Setembro 2010_BASE_UNICA_D_Ret_Fixa_EMP_4" xfId="8633"/>
    <cellStyle name="_TENDÊNCIA RET EMP VOL_Retenção Painel_BD Resumo diário Painel de Televendas Setembro 2010_BASE_UNICA_D_Ret_Fixa_EMP_5" xfId="8634"/>
    <cellStyle name="_TENDÊNCIA RET EMP VOL_Retenção Painel_BD Resumo diário Painel de Televendas Setembro 2010_BASE_UNICA_D_Ret_Fixa_EMP_6" xfId="8635"/>
    <cellStyle name="_TENDÊNCIA RET EMP VOL_Retenção Painel_BD Resumo diário Painel de Televendas Setembro 2010_BASE_UNICA_D_Ret_Fixa_EMP_7" xfId="8636"/>
    <cellStyle name="_TENDÊNCIA RET EMP VOL_Retenção Painel_BD Resumo diário Painel de Televendas Setembro 2010_BASE_UNICA_D_Ret_Fixa_EMP_8" xfId="8637"/>
    <cellStyle name="_TENDÊNCIA RET EMP VOL_Retenção Painel_BD Resumo diário Painel de Televendas Setembro 2010_BASE_UNICA_D_Ret_Fixa_VAR" xfId="8638"/>
    <cellStyle name="_TENDÊNCIA RET EMP VOL_Retenção Painel_BD Resumo diário Painel de Televendas Setembro 2010_BASE_UNICA_D_Ret_Fixa_VAR_1" xfId="8639"/>
    <cellStyle name="_TENDÊNCIA RET EMP VOL_Retenção Painel_BD Resumo diário Painel de Televendas Setembro 2010_BASE_UNICA_D_Ret_Fixa_VAR_2" xfId="8640"/>
    <cellStyle name="_TENDÊNCIA RET EMP VOL_Retenção Painel_BD Resumo diário Painel de Televendas Setembro 2010_BASE_UNICA_D_Ret_Fixa_VAR_3" xfId="8641"/>
    <cellStyle name="_TENDÊNCIA RET EMP VOL_Retenção Painel_BD Resumo diário Painel de Televendas Setembro 2010_BASE_UNICA_D_Ret_Fixa_VAR_4" xfId="8642"/>
    <cellStyle name="_TENDÊNCIA RET EMP VOL_Retenção Painel_BD Resumo diário Painel de Televendas Setembro 2010_BASE_UNICA_D_Ret_Fixa_VAR_5" xfId="8643"/>
    <cellStyle name="_TENDÊNCIA RET EMP VOL_Retenção Painel_BD Resumo diário Painel de Televendas Setembro 2010_BASE_UNICA_D_Ret_Fixa_VAR_6" xfId="8644"/>
    <cellStyle name="_TENDÊNCIA RET EMP VOL_Retenção Painel_BD Resumo diário Painel de Televendas Setembro 2010_BASE_UNICA_D_Ret_Fixa_VAR_7" xfId="8645"/>
    <cellStyle name="_TENDÊNCIA RET EMP VOL_Retenção Painel_BD Resumo diário Painel de Televendas Setembro 2010_BASE_UNICA_D_Ret_Fixa_VAR_8" xfId="8646"/>
    <cellStyle name="_TENDÊNCIA RET EMP VOL_Retenção Painel_BD Resumo diário Painel de Televendas Setembro 2010_BASE_UNICA_De_Para_plano" xfId="8647"/>
    <cellStyle name="_TENDÊNCIA RET EMP VOL_Retenção Painel_BD Resumo diário Painel de Televendas Setembro 2010_BASE_UNICA_Mig Ret 3G" xfId="8648"/>
    <cellStyle name="_TENDÊNCIA RET EMP VOL_Retenção Painel_BD Resumo diário Painel de Televendas Setembro 2010_BASE_UNICA_Mig Ret 3G_1" xfId="8649"/>
    <cellStyle name="_TENDÊNCIA RET EMP VOL_Retenção Painel_BD Resumo diário Painel de Televendas Setembro 2010_BASE_UNICA_Mig Ret 3G_2" xfId="8650"/>
    <cellStyle name="_TENDÊNCIA RET EMP VOL_Retenção Painel_BD Resumo diário Painel de Televendas Setembro 2010_BASE_UNICA_Mig Ret 3G_3" xfId="8651"/>
    <cellStyle name="_TENDÊNCIA RET EMP VOL_Retenção Painel_BD Resumo diário Painel de Televendas Setembro 2010_BASE_UNICA_Mig Ret 3G_4" xfId="8652"/>
    <cellStyle name="_TENDÊNCIA RET EMP VOL_Retenção Painel_BD Resumo diário Painel de Televendas Setembro 2010_BASE_UNICA_Mig Ret 3G_5" xfId="8653"/>
    <cellStyle name="_TENDÊNCIA RET EMP VOL_Retenção Painel_BD Resumo diário Painel de Televendas Setembro 2010_BASE_UNICA_Mig Ret 3G_6" xfId="8654"/>
    <cellStyle name="_TENDÊNCIA RET EMP VOL_Retenção Painel_BD Resumo diário Painel de Televendas Setembro 2010_BASE_UNICA_Mig Ret 3G_7" xfId="8655"/>
    <cellStyle name="_TENDÊNCIA RET EMP VOL_Retenção Painel_BD Resumo diário Painel de Televendas Setembro 2010_BASE_UNICA_Movel" xfId="8656"/>
    <cellStyle name="_TENDÊNCIA RET EMP VOL_Retenção Painel_BD Resumo diário Painel de Televendas Setembro 2010_BASE_UNICA_Movel_1" xfId="8657"/>
    <cellStyle name="_TENDÊNCIA RET EMP VOL_Retenção Painel_BD Resumo diário Painel de Televendas Setembro 2010_BASE_UNICA_Movel_2" xfId="8658"/>
    <cellStyle name="_TENDÊNCIA RET EMP VOL_Retenção Painel_BD Resumo diário Painel de Televendas Setembro 2010_BASE_UNICA_Movel_3" xfId="8659"/>
    <cellStyle name="_TENDÊNCIA RET EMP VOL_Retenção Painel_BD Resumo diário Painel de Televendas Setembro 2010_BASE_UNICA_Movel_4" xfId="8660"/>
    <cellStyle name="_TENDÊNCIA RET EMP VOL_Retenção Painel_BD Resumo diário Painel de Televendas Setembro 2010_BASE_UNICA_Movel_5" xfId="8661"/>
    <cellStyle name="_TENDÊNCIA RET EMP VOL_Retenção Painel_BD Resumo diário Painel de Televendas Setembro 2010_BASE_UNICA_Movel_6" xfId="8662"/>
    <cellStyle name="_TENDÊNCIA RET EMP VOL_Retenção Painel_BD Resumo diário Painel de Televendas Setembro 2010_BASE_UNICA_Movel_7" xfId="8663"/>
    <cellStyle name="_TENDÊNCIA RET EMP VOL_Retenção Painel_BD Resumo diário Painel de Televendas Setembro 2010_BASE_UNICA_Retenção" xfId="8664"/>
    <cellStyle name="_TENDÊNCIA RET EMP VOL_Retenção Painel_Pasta1" xfId="8665"/>
    <cellStyle name="_TENDÊNCIA RET EMP VOL_Retenção Painel_Pasta1_Base" xfId="8666"/>
    <cellStyle name="_TENDÊNCIA RET EMP VOL_Retenção Painel_Pasta1_D_Movel" xfId="8667"/>
    <cellStyle name="_TENDÊNCIA RET EMP VOL_Retenção Painel_Pasta1_D_Ret_Fixa_EMP" xfId="8668"/>
    <cellStyle name="_TENDÊNCIA RET EMP VOL_Retenção Painel_Pasta1_D_Ret_Fixa_EMP_1" xfId="8669"/>
    <cellStyle name="_TENDÊNCIA RET EMP VOL_Retenção Painel_Pasta1_D_Ret_Fixa_EMP_2" xfId="8670"/>
    <cellStyle name="_TENDÊNCIA RET EMP VOL_Retenção Painel_Pasta1_D_Ret_Fixa_EMP_3" xfId="8671"/>
    <cellStyle name="_TENDÊNCIA RET EMP VOL_Retenção Painel_Pasta1_D_Ret_Fixa_EMP_4" xfId="8672"/>
    <cellStyle name="_TENDÊNCIA RET EMP VOL_Retenção Painel_Pasta1_D_Ret_Fixa_EMP_5" xfId="8673"/>
    <cellStyle name="_TENDÊNCIA RET EMP VOL_Retenção Painel_Pasta1_D_Ret_Fixa_EMP_6" xfId="8674"/>
    <cellStyle name="_TENDÊNCIA RET EMP VOL_Retenção Painel_Pasta1_D_Ret_Fixa_EMP_7" xfId="8675"/>
    <cellStyle name="_TENDÊNCIA RET EMP VOL_Retenção Painel_Pasta1_D_Ret_Fixa_EMP_8" xfId="8676"/>
    <cellStyle name="_TENDÊNCIA RET EMP VOL_Retenção Painel_Pasta1_D_Ret_Fixa_VAR" xfId="8677"/>
    <cellStyle name="_TENDÊNCIA RET EMP VOL_Retenção Painel_Pasta1_D_Ret_Fixa_VAR_1" xfId="8678"/>
    <cellStyle name="_TENDÊNCIA RET EMP VOL_Retenção Painel_Pasta1_D_Ret_Fixa_VAR_2" xfId="8679"/>
    <cellStyle name="_TENDÊNCIA RET EMP VOL_Retenção Painel_Pasta1_D_Ret_Fixa_VAR_3" xfId="8680"/>
    <cellStyle name="_TENDÊNCIA RET EMP VOL_Retenção Painel_Pasta1_D_Ret_Fixa_VAR_4" xfId="8681"/>
    <cellStyle name="_TENDÊNCIA RET EMP VOL_Retenção Painel_Pasta1_D_Ret_Fixa_VAR_5" xfId="8682"/>
    <cellStyle name="_TENDÊNCIA RET EMP VOL_Retenção Painel_Pasta1_D_Ret_Fixa_VAR_6" xfId="8683"/>
    <cellStyle name="_TENDÊNCIA RET EMP VOL_Retenção Painel_Pasta1_D_Ret_Fixa_VAR_7" xfId="8684"/>
    <cellStyle name="_TENDÊNCIA RET EMP VOL_Retenção Painel_Pasta1_D_Ret_Fixa_VAR_8" xfId="8685"/>
    <cellStyle name="_TENDÊNCIA RET EMP VOL_Retenção Painel_Pasta1_De_Para_plano" xfId="8686"/>
    <cellStyle name="_TENDÊNCIA RET EMP VOL_Retenção Painel_Pasta1_Mig Ret 3G" xfId="8687"/>
    <cellStyle name="_TENDÊNCIA RET EMP VOL_Retenção Painel_Pasta1_Mig Ret 3G_1" xfId="8688"/>
    <cellStyle name="_TENDÊNCIA RET EMP VOL_Retenção Painel_Pasta1_Mig Ret 3G_2" xfId="8689"/>
    <cellStyle name="_TENDÊNCIA RET EMP VOL_Retenção Painel_Pasta1_Mig Ret 3G_3" xfId="8690"/>
    <cellStyle name="_TENDÊNCIA RET EMP VOL_Retenção Painel_Pasta1_Mig Ret 3G_4" xfId="8691"/>
    <cellStyle name="_TENDÊNCIA RET EMP VOL_Retenção Painel_Pasta1_Mig Ret 3G_5" xfId="8692"/>
    <cellStyle name="_TENDÊNCIA RET EMP VOL_Retenção Painel_Pasta1_Mig Ret 3G_6" xfId="8693"/>
    <cellStyle name="_TENDÊNCIA RET EMP VOL_Retenção Painel_Pasta1_Mig Ret 3G_7" xfId="8694"/>
    <cellStyle name="_TENDÊNCIA RET EMP VOL_Retenção Painel_Pasta1_Movel" xfId="8695"/>
    <cellStyle name="_TENDÊNCIA RET EMP VOL_Retenção Painel_Pasta1_Movel_1" xfId="8696"/>
    <cellStyle name="_TENDÊNCIA RET EMP VOL_Retenção Painel_Pasta1_Movel_2" xfId="8697"/>
    <cellStyle name="_TENDÊNCIA RET EMP VOL_Retenção Painel_Pasta1_Movel_3" xfId="8698"/>
    <cellStyle name="_TENDÊNCIA RET EMP VOL_Retenção Painel_Pasta1_Movel_4" xfId="8699"/>
    <cellStyle name="_TENDÊNCIA RET EMP VOL_Retenção Painel_Pasta1_Movel_5" xfId="8700"/>
    <cellStyle name="_TENDÊNCIA RET EMP VOL_Retenção Painel_Pasta1_Movel_6" xfId="8701"/>
    <cellStyle name="_TENDÊNCIA RET EMP VOL_Retenção Painel_Pasta1_Movel_7" xfId="8702"/>
    <cellStyle name="_TENDÊNCIA RET EMP VOL_Retenção Painel_Pasta1_Retenção" xfId="8703"/>
    <cellStyle name="_TENDÊNCIA RET EMP VOL_Retenção Painel_Televendas Painel" xfId="8704"/>
    <cellStyle name="_TENDÊNCIA RET EMP VOL_Retenção Painel_Televendas Painel_Base" xfId="8705"/>
    <cellStyle name="_TENDÊNCIA RET EMP VOL_Retenção Painel_Televendas Painel_D_Movel" xfId="8706"/>
    <cellStyle name="_TENDÊNCIA RET EMP VOL_Retenção Painel_Televendas Painel_D_Ret_Fixa_EMP" xfId="8707"/>
    <cellStyle name="_TENDÊNCIA RET EMP VOL_Retenção Painel_Televendas Painel_D_Ret_Fixa_EMP_1" xfId="8708"/>
    <cellStyle name="_TENDÊNCIA RET EMP VOL_Retenção Painel_Televendas Painel_D_Ret_Fixa_EMP_2" xfId="8709"/>
    <cellStyle name="_TENDÊNCIA RET EMP VOL_Retenção Painel_Televendas Painel_D_Ret_Fixa_EMP_3" xfId="8710"/>
    <cellStyle name="_TENDÊNCIA RET EMP VOL_Retenção Painel_Televendas Painel_D_Ret_Fixa_EMP_4" xfId="8711"/>
    <cellStyle name="_TENDÊNCIA RET EMP VOL_Retenção Painel_Televendas Painel_D_Ret_Fixa_EMP_5" xfId="8712"/>
    <cellStyle name="_TENDÊNCIA RET EMP VOL_Retenção Painel_Televendas Painel_D_Ret_Fixa_EMP_6" xfId="8713"/>
    <cellStyle name="_TENDÊNCIA RET EMP VOL_Retenção Painel_Televendas Painel_D_Ret_Fixa_EMP_7" xfId="8714"/>
    <cellStyle name="_TENDÊNCIA RET EMP VOL_Retenção Painel_Televendas Painel_D_Ret_Fixa_EMP_8" xfId="8715"/>
    <cellStyle name="_TENDÊNCIA RET EMP VOL_Retenção Painel_Televendas Painel_D_Ret_Fixa_VAR" xfId="8716"/>
    <cellStyle name="_TENDÊNCIA RET EMP VOL_Retenção Painel_Televendas Painel_D_Ret_Fixa_VAR_1" xfId="8717"/>
    <cellStyle name="_TENDÊNCIA RET EMP VOL_Retenção Painel_Televendas Painel_D_Ret_Fixa_VAR_2" xfId="8718"/>
    <cellStyle name="_TENDÊNCIA RET EMP VOL_Retenção Painel_Televendas Painel_D_Ret_Fixa_VAR_3" xfId="8719"/>
    <cellStyle name="_TENDÊNCIA RET EMP VOL_Retenção Painel_Televendas Painel_D_Ret_Fixa_VAR_4" xfId="8720"/>
    <cellStyle name="_TENDÊNCIA RET EMP VOL_Retenção Painel_Televendas Painel_D_Ret_Fixa_VAR_5" xfId="8721"/>
    <cellStyle name="_TENDÊNCIA RET EMP VOL_Retenção Painel_Televendas Painel_D_Ret_Fixa_VAR_6" xfId="8722"/>
    <cellStyle name="_TENDÊNCIA RET EMP VOL_Retenção Painel_Televendas Painel_D_Ret_Fixa_VAR_7" xfId="8723"/>
    <cellStyle name="_TENDÊNCIA RET EMP VOL_Retenção Painel_Televendas Painel_D_Ret_Fixa_VAR_8" xfId="8724"/>
    <cellStyle name="_TENDÊNCIA RET EMP VOL_Retenção Painel_Televendas Painel_De_Para_plano" xfId="8725"/>
    <cellStyle name="_TENDÊNCIA RET EMP VOL_Retenção Painel_Televendas Painel_Mig Ret 3G" xfId="8726"/>
    <cellStyle name="_TENDÊNCIA RET EMP VOL_Retenção Painel_Televendas Painel_Mig Ret 3G_1" xfId="8727"/>
    <cellStyle name="_TENDÊNCIA RET EMP VOL_Retenção Painel_Televendas Painel_Mig Ret 3G_2" xfId="8728"/>
    <cellStyle name="_TENDÊNCIA RET EMP VOL_Retenção Painel_Televendas Painel_Mig Ret 3G_3" xfId="8729"/>
    <cellStyle name="_TENDÊNCIA RET EMP VOL_Retenção Painel_Televendas Painel_Mig Ret 3G_4" xfId="8730"/>
    <cellStyle name="_TENDÊNCIA RET EMP VOL_Retenção Painel_Televendas Painel_Mig Ret 3G_5" xfId="8731"/>
    <cellStyle name="_TENDÊNCIA RET EMP VOL_Retenção Painel_Televendas Painel_Mig Ret 3G_6" xfId="8732"/>
    <cellStyle name="_TENDÊNCIA RET EMP VOL_Retenção Painel_Televendas Painel_Mig Ret 3G_7" xfId="8733"/>
    <cellStyle name="_TENDÊNCIA RET EMP VOL_Retenção Painel_Televendas Painel_Movel" xfId="8734"/>
    <cellStyle name="_TENDÊNCIA RET EMP VOL_Retenção Painel_Televendas Painel_Movel_1" xfId="8735"/>
    <cellStyle name="_TENDÊNCIA RET EMP VOL_Retenção Painel_Televendas Painel_Movel_2" xfId="8736"/>
    <cellStyle name="_TENDÊNCIA RET EMP VOL_Retenção Painel_Televendas Painel_Movel_3" xfId="8737"/>
    <cellStyle name="_TENDÊNCIA RET EMP VOL_Retenção Painel_Televendas Painel_Movel_4" xfId="8738"/>
    <cellStyle name="_TENDÊNCIA RET EMP VOL_Retenção Painel_Televendas Painel_Movel_5" xfId="8739"/>
    <cellStyle name="_TENDÊNCIA RET EMP VOL_Retenção Painel_Televendas Painel_Movel_6" xfId="8740"/>
    <cellStyle name="_TENDÊNCIA RET EMP VOL_Retenção Painel_Televendas Painel_Movel_7" xfId="8741"/>
    <cellStyle name="_TENDÊNCIA RET EMP VOL_Retenção Painel_Televendas Painel_Retenção" xfId="8742"/>
    <cellStyle name="_TENDÊNCIA RET EMP VOL_Retenção_Base" xfId="8743"/>
    <cellStyle name="_TENDÊNCIA RET EMP VOL_Retenção_D_Ret_Fixa_EMP" xfId="8744"/>
    <cellStyle name="_TENDÊNCIA RET EMP VOL_Retenção_D_Ret_Fixa_EMP_1" xfId="8745"/>
    <cellStyle name="_TENDÊNCIA RET EMP VOL_Retenção_D_Ret_Fixa_EMP_2" xfId="8746"/>
    <cellStyle name="_TENDÊNCIA RET EMP VOL_Retenção_D_Ret_Fixa_EMP_3" xfId="8747"/>
    <cellStyle name="_TENDÊNCIA RET EMP VOL_Retenção_D_Ret_Fixa_EMP_4" xfId="8748"/>
    <cellStyle name="_TENDÊNCIA RET EMP VOL_Retenção_D_Ret_Fixa_EMP_5" xfId="8749"/>
    <cellStyle name="_TENDÊNCIA RET EMP VOL_Retenção_D_Ret_Fixa_EMP_6" xfId="8750"/>
    <cellStyle name="_TENDÊNCIA RET EMP VOL_Retenção_D_Ret_Fixa_EMP_7" xfId="8751"/>
    <cellStyle name="_TENDÊNCIA RET EMP VOL_Retenção_D_Ret_Fixa_EMP_8" xfId="8752"/>
    <cellStyle name="_TENDÊNCIA RET EMP VOL_Retenção_D_Ret_Fixa_VAR" xfId="8753"/>
    <cellStyle name="_TENDÊNCIA RET EMP VOL_Retenção_D_Ret_Fixa_VAR_1" xfId="8754"/>
    <cellStyle name="_TENDÊNCIA RET EMP VOL_Retenção_D_Ret_Fixa_VAR_2" xfId="8755"/>
    <cellStyle name="_TENDÊNCIA RET EMP VOL_Retenção_D_Ret_Fixa_VAR_3" xfId="8756"/>
    <cellStyle name="_TENDÊNCIA RET EMP VOL_Retenção_D_Ret_Fixa_VAR_4" xfId="8757"/>
    <cellStyle name="_TENDÊNCIA RET EMP VOL_Retenção_D_Ret_Fixa_VAR_5" xfId="8758"/>
    <cellStyle name="_TENDÊNCIA RET EMP VOL_Retenção_D_Ret_Fixa_VAR_6" xfId="8759"/>
    <cellStyle name="_TENDÊNCIA RET EMP VOL_Retenção_D_Ret_Fixa_VAR_7" xfId="8760"/>
    <cellStyle name="_TENDÊNCIA RET EMP VOL_Retenção_D_Ret_Fixa_VAR_8" xfId="8761"/>
    <cellStyle name="_TENDÊNCIA RET EMP VOL_Retenção_Mig Ret 3G" xfId="8762"/>
    <cellStyle name="_TENDÊNCIA RET EMP VOL_Retenção_Mig Ret 3G_1" xfId="8763"/>
    <cellStyle name="_TENDÊNCIA RET EMP VOL_Retenção_Mig Ret 3G_2" xfId="8764"/>
    <cellStyle name="_TENDÊNCIA RET EMP VOL_Retenção_Mig Ret 3G_3" xfId="8765"/>
    <cellStyle name="_TENDÊNCIA RET EMP VOL_Retenção_Mig Ret 3G_4" xfId="8766"/>
    <cellStyle name="_TENDÊNCIA RET EMP VOL_Retenção_Mig Ret 3G_5" xfId="8767"/>
    <cellStyle name="_TENDÊNCIA RET EMP VOL_Retenção_Mig Ret 3G_6" xfId="8768"/>
    <cellStyle name="_TENDÊNCIA RET EMP VOL_Retenção_Mig Ret 3G_7" xfId="8769"/>
    <cellStyle name="_TENDÊNCIA RET EMP VOL_Retenção_Movel" xfId="8770"/>
    <cellStyle name="_TENDÊNCIA RET EMP VOL_Retenção_Movel_1" xfId="8771"/>
    <cellStyle name="_TENDÊNCIA RET EMP VOL_Retenção_Movel_2" xfId="8772"/>
    <cellStyle name="_TENDÊNCIA RET EMP VOL_Retenção_Movel_3" xfId="8773"/>
    <cellStyle name="_TENDÊNCIA RET EMP VOL_Retenção_Movel_4" xfId="8774"/>
    <cellStyle name="_TENDÊNCIA RET EMP VOL_Retenção_Movel_5" xfId="8775"/>
    <cellStyle name="_TENDÊNCIA RET EMP VOL_Retenção_Movel_6" xfId="8776"/>
    <cellStyle name="_TENDÊNCIA RET EMP VOL_Retenção_Movel_7" xfId="8777"/>
    <cellStyle name="_TENDÊNCIA RET EMP VOL_Retenção_Retenção" xfId="8778"/>
    <cellStyle name="_TENDÊNCIA RET EMP VOL_Televendas Painel" xfId="8779"/>
    <cellStyle name="_TENDÊNCIA RET EMP VOL_Televendas Painel_1" xfId="8780"/>
    <cellStyle name="_TENDÊNCIA RET EMP VOL_Televendas Painel_1_Base" xfId="8781"/>
    <cellStyle name="_TENDÊNCIA RET EMP VOL_Televendas Painel_1_D_Movel" xfId="8782"/>
    <cellStyle name="_TENDÊNCIA RET EMP VOL_Televendas Painel_1_D_Ret_Fixa_EMP" xfId="8783"/>
    <cellStyle name="_TENDÊNCIA RET EMP VOL_Televendas Painel_1_D_Ret_Fixa_EMP_1" xfId="8784"/>
    <cellStyle name="_TENDÊNCIA RET EMP VOL_Televendas Painel_1_D_Ret_Fixa_EMP_2" xfId="8785"/>
    <cellStyle name="_TENDÊNCIA RET EMP VOL_Televendas Painel_1_D_Ret_Fixa_EMP_3" xfId="8786"/>
    <cellStyle name="_TENDÊNCIA RET EMP VOL_Televendas Painel_1_D_Ret_Fixa_EMP_4" xfId="8787"/>
    <cellStyle name="_TENDÊNCIA RET EMP VOL_Televendas Painel_1_D_Ret_Fixa_EMP_5" xfId="8788"/>
    <cellStyle name="_TENDÊNCIA RET EMP VOL_Televendas Painel_1_D_Ret_Fixa_EMP_6" xfId="8789"/>
    <cellStyle name="_TENDÊNCIA RET EMP VOL_Televendas Painel_1_D_Ret_Fixa_EMP_7" xfId="8790"/>
    <cellStyle name="_TENDÊNCIA RET EMP VOL_Televendas Painel_1_D_Ret_Fixa_EMP_8" xfId="8791"/>
    <cellStyle name="_TENDÊNCIA RET EMP VOL_Televendas Painel_1_D_Ret_Fixa_VAR" xfId="8792"/>
    <cellStyle name="_TENDÊNCIA RET EMP VOL_Televendas Painel_1_D_Ret_Fixa_VAR_1" xfId="8793"/>
    <cellStyle name="_TENDÊNCIA RET EMP VOL_Televendas Painel_1_D_Ret_Fixa_VAR_2" xfId="8794"/>
    <cellStyle name="_TENDÊNCIA RET EMP VOL_Televendas Painel_1_D_Ret_Fixa_VAR_3" xfId="8795"/>
    <cellStyle name="_TENDÊNCIA RET EMP VOL_Televendas Painel_1_D_Ret_Fixa_VAR_4" xfId="8796"/>
    <cellStyle name="_TENDÊNCIA RET EMP VOL_Televendas Painel_1_D_Ret_Fixa_VAR_5" xfId="8797"/>
    <cellStyle name="_TENDÊNCIA RET EMP VOL_Televendas Painel_1_D_Ret_Fixa_VAR_6" xfId="8798"/>
    <cellStyle name="_TENDÊNCIA RET EMP VOL_Televendas Painel_1_D_Ret_Fixa_VAR_7" xfId="8799"/>
    <cellStyle name="_TENDÊNCIA RET EMP VOL_Televendas Painel_1_D_Ret_Fixa_VAR_8" xfId="8800"/>
    <cellStyle name="_TENDÊNCIA RET EMP VOL_Televendas Painel_1_De_Para_plano" xfId="8801"/>
    <cellStyle name="_TENDÊNCIA RET EMP VOL_Televendas Painel_1_Mig Ret 3G" xfId="8802"/>
    <cellStyle name="_TENDÊNCIA RET EMP VOL_Televendas Painel_1_Mig Ret 3G_1" xfId="8803"/>
    <cellStyle name="_TENDÊNCIA RET EMP VOL_Televendas Painel_1_Mig Ret 3G_2" xfId="8804"/>
    <cellStyle name="_TENDÊNCIA RET EMP VOL_Televendas Painel_1_Mig Ret 3G_3" xfId="8805"/>
    <cellStyle name="_TENDÊNCIA RET EMP VOL_Televendas Painel_1_Mig Ret 3G_4" xfId="8806"/>
    <cellStyle name="_TENDÊNCIA RET EMP VOL_Televendas Painel_1_Mig Ret 3G_5" xfId="8807"/>
    <cellStyle name="_TENDÊNCIA RET EMP VOL_Televendas Painel_1_Mig Ret 3G_6" xfId="8808"/>
    <cellStyle name="_TENDÊNCIA RET EMP VOL_Televendas Painel_1_Mig Ret 3G_7" xfId="8809"/>
    <cellStyle name="_TENDÊNCIA RET EMP VOL_Televendas Painel_1_Movel" xfId="8810"/>
    <cellStyle name="_TENDÊNCIA RET EMP VOL_Televendas Painel_1_Movel_1" xfId="8811"/>
    <cellStyle name="_TENDÊNCIA RET EMP VOL_Televendas Painel_1_Movel_2" xfId="8812"/>
    <cellStyle name="_TENDÊNCIA RET EMP VOL_Televendas Painel_1_Movel_3" xfId="8813"/>
    <cellStyle name="_TENDÊNCIA RET EMP VOL_Televendas Painel_1_Movel_4" xfId="8814"/>
    <cellStyle name="_TENDÊNCIA RET EMP VOL_Televendas Painel_1_Movel_5" xfId="8815"/>
    <cellStyle name="_TENDÊNCIA RET EMP VOL_Televendas Painel_1_Movel_6" xfId="8816"/>
    <cellStyle name="_TENDÊNCIA RET EMP VOL_Televendas Painel_1_Movel_7" xfId="8817"/>
    <cellStyle name="_TENDÊNCIA RET EMP VOL_Televendas Painel_1_Retenção" xfId="8818"/>
    <cellStyle name="_TENDÊNCIA RET EMP VOL_Televendas Painel_1_Retenção Painel" xfId="8819"/>
    <cellStyle name="_TENDÊNCIA RET EMP VOL_Televendas Painel_1_Retenção Painel_Base" xfId="8820"/>
    <cellStyle name="_TENDÊNCIA RET EMP VOL_Televendas Painel_1_Retenção Painel_D_Movel" xfId="8821"/>
    <cellStyle name="_TENDÊNCIA RET EMP VOL_Televendas Painel_1_Retenção Painel_D_Ret_Fixa_EMP" xfId="8822"/>
    <cellStyle name="_TENDÊNCIA RET EMP VOL_Televendas Painel_1_Retenção Painel_D_Ret_Fixa_EMP_1" xfId="8823"/>
    <cellStyle name="_TENDÊNCIA RET EMP VOL_Televendas Painel_1_Retenção Painel_D_Ret_Fixa_EMP_2" xfId="8824"/>
    <cellStyle name="_TENDÊNCIA RET EMP VOL_Televendas Painel_1_Retenção Painel_D_Ret_Fixa_EMP_3" xfId="8825"/>
    <cellStyle name="_TENDÊNCIA RET EMP VOL_Televendas Painel_1_Retenção Painel_D_Ret_Fixa_EMP_4" xfId="8826"/>
    <cellStyle name="_TENDÊNCIA RET EMP VOL_Televendas Painel_1_Retenção Painel_D_Ret_Fixa_EMP_5" xfId="8827"/>
    <cellStyle name="_TENDÊNCIA RET EMP VOL_Televendas Painel_1_Retenção Painel_D_Ret_Fixa_EMP_6" xfId="8828"/>
    <cellStyle name="_TENDÊNCIA RET EMP VOL_Televendas Painel_1_Retenção Painel_D_Ret_Fixa_EMP_7" xfId="8829"/>
    <cellStyle name="_TENDÊNCIA RET EMP VOL_Televendas Painel_1_Retenção Painel_D_Ret_Fixa_EMP_8" xfId="8830"/>
    <cellStyle name="_TENDÊNCIA RET EMP VOL_Televendas Painel_1_Retenção Painel_D_Ret_Fixa_VAR" xfId="8831"/>
    <cellStyle name="_TENDÊNCIA RET EMP VOL_Televendas Painel_1_Retenção Painel_D_Ret_Fixa_VAR_1" xfId="8832"/>
    <cellStyle name="_TENDÊNCIA RET EMP VOL_Televendas Painel_1_Retenção Painel_D_Ret_Fixa_VAR_2" xfId="8833"/>
    <cellStyle name="_TENDÊNCIA RET EMP VOL_Televendas Painel_1_Retenção Painel_D_Ret_Fixa_VAR_3" xfId="8834"/>
    <cellStyle name="_TENDÊNCIA RET EMP VOL_Televendas Painel_1_Retenção Painel_D_Ret_Fixa_VAR_4" xfId="8835"/>
    <cellStyle name="_TENDÊNCIA RET EMP VOL_Televendas Painel_1_Retenção Painel_D_Ret_Fixa_VAR_5" xfId="8836"/>
    <cellStyle name="_TENDÊNCIA RET EMP VOL_Televendas Painel_1_Retenção Painel_D_Ret_Fixa_VAR_6" xfId="8837"/>
    <cellStyle name="_TENDÊNCIA RET EMP VOL_Televendas Painel_1_Retenção Painel_D_Ret_Fixa_VAR_7" xfId="8838"/>
    <cellStyle name="_TENDÊNCIA RET EMP VOL_Televendas Painel_1_Retenção Painel_D_Ret_Fixa_VAR_8" xfId="8839"/>
    <cellStyle name="_TENDÊNCIA RET EMP VOL_Televendas Painel_1_Retenção Painel_De_Para_plano" xfId="8840"/>
    <cellStyle name="_TENDÊNCIA RET EMP VOL_Televendas Painel_1_Retenção Painel_Mig Ret 3G" xfId="8841"/>
    <cellStyle name="_TENDÊNCIA RET EMP VOL_Televendas Painel_1_Retenção Painel_Mig Ret 3G_1" xfId="8842"/>
    <cellStyle name="_TENDÊNCIA RET EMP VOL_Televendas Painel_1_Retenção Painel_Mig Ret 3G_2" xfId="8843"/>
    <cellStyle name="_TENDÊNCIA RET EMP VOL_Televendas Painel_1_Retenção Painel_Mig Ret 3G_3" xfId="8844"/>
    <cellStyle name="_TENDÊNCIA RET EMP VOL_Televendas Painel_1_Retenção Painel_Mig Ret 3G_4" xfId="8845"/>
    <cellStyle name="_TENDÊNCIA RET EMP VOL_Televendas Painel_1_Retenção Painel_Mig Ret 3G_5" xfId="8846"/>
    <cellStyle name="_TENDÊNCIA RET EMP VOL_Televendas Painel_1_Retenção Painel_Mig Ret 3G_6" xfId="8847"/>
    <cellStyle name="_TENDÊNCIA RET EMP VOL_Televendas Painel_1_Retenção Painel_Mig Ret 3G_7" xfId="8848"/>
    <cellStyle name="_TENDÊNCIA RET EMP VOL_Televendas Painel_1_Retenção Painel_Movel" xfId="8849"/>
    <cellStyle name="_TENDÊNCIA RET EMP VOL_Televendas Painel_1_Retenção Painel_Movel_1" xfId="8850"/>
    <cellStyle name="_TENDÊNCIA RET EMP VOL_Televendas Painel_1_Retenção Painel_Movel_2" xfId="8851"/>
    <cellStyle name="_TENDÊNCIA RET EMP VOL_Televendas Painel_1_Retenção Painel_Movel_3" xfId="8852"/>
    <cellStyle name="_TENDÊNCIA RET EMP VOL_Televendas Painel_1_Retenção Painel_Movel_4" xfId="8853"/>
    <cellStyle name="_TENDÊNCIA RET EMP VOL_Televendas Painel_1_Retenção Painel_Movel_5" xfId="8854"/>
    <cellStyle name="_TENDÊNCIA RET EMP VOL_Televendas Painel_1_Retenção Painel_Movel_6" xfId="8855"/>
    <cellStyle name="_TENDÊNCIA RET EMP VOL_Televendas Painel_1_Retenção Painel_Movel_7" xfId="8856"/>
    <cellStyle name="_TENDÊNCIA RET EMP VOL_Televendas Painel_1_Retenção Painel_Retenção" xfId="8857"/>
    <cellStyle name="_TENDÊNCIA RET EMP VOL_Televendas Painel_Base" xfId="8858"/>
    <cellStyle name="_TENDÊNCIA RET EMP VOL_Televendas Painel_D_Movel" xfId="8859"/>
    <cellStyle name="_TENDÊNCIA RET EMP VOL_Televendas Painel_D_Ret_Fixa_EMP" xfId="8860"/>
    <cellStyle name="_TENDÊNCIA RET EMP VOL_Televendas Painel_D_Ret_Fixa_EMP_1" xfId="8861"/>
    <cellStyle name="_TENDÊNCIA RET EMP VOL_Televendas Painel_D_Ret_Fixa_EMP_2" xfId="8862"/>
    <cellStyle name="_TENDÊNCIA RET EMP VOL_Televendas Painel_D_Ret_Fixa_EMP_3" xfId="8863"/>
    <cellStyle name="_TENDÊNCIA RET EMP VOL_Televendas Painel_D_Ret_Fixa_EMP_4" xfId="8864"/>
    <cellStyle name="_TENDÊNCIA RET EMP VOL_Televendas Painel_D_Ret_Fixa_EMP_5" xfId="8865"/>
    <cellStyle name="_TENDÊNCIA RET EMP VOL_Televendas Painel_D_Ret_Fixa_EMP_6" xfId="8866"/>
    <cellStyle name="_TENDÊNCIA RET EMP VOL_Televendas Painel_D_Ret_Fixa_EMP_7" xfId="8867"/>
    <cellStyle name="_TENDÊNCIA RET EMP VOL_Televendas Painel_D_Ret_Fixa_EMP_8" xfId="8868"/>
    <cellStyle name="_TENDÊNCIA RET EMP VOL_Televendas Painel_D_Ret_Fixa_VAR" xfId="8869"/>
    <cellStyle name="_TENDÊNCIA RET EMP VOL_Televendas Painel_D_Ret_Fixa_VAR_1" xfId="8870"/>
    <cellStyle name="_TENDÊNCIA RET EMP VOL_Televendas Painel_D_Ret_Fixa_VAR_2" xfId="8871"/>
    <cellStyle name="_TENDÊNCIA RET EMP VOL_Televendas Painel_D_Ret_Fixa_VAR_3" xfId="8872"/>
    <cellStyle name="_TENDÊNCIA RET EMP VOL_Televendas Painel_D_Ret_Fixa_VAR_4" xfId="8873"/>
    <cellStyle name="_TENDÊNCIA RET EMP VOL_Televendas Painel_D_Ret_Fixa_VAR_5" xfId="8874"/>
    <cellStyle name="_TENDÊNCIA RET EMP VOL_Televendas Painel_D_Ret_Fixa_VAR_6" xfId="8875"/>
    <cellStyle name="_TENDÊNCIA RET EMP VOL_Televendas Painel_D_Ret_Fixa_VAR_7" xfId="8876"/>
    <cellStyle name="_TENDÊNCIA RET EMP VOL_Televendas Painel_D_Ret_Fixa_VAR_8" xfId="8877"/>
    <cellStyle name="_TENDÊNCIA RET EMP VOL_Televendas Painel_De_Para_plano" xfId="8878"/>
    <cellStyle name="_TENDÊNCIA RET EMP VOL_Televendas Painel_Mig Ret 3G" xfId="8879"/>
    <cellStyle name="_TENDÊNCIA RET EMP VOL_Televendas Painel_Mig Ret 3G_1" xfId="8880"/>
    <cellStyle name="_TENDÊNCIA RET EMP VOL_Televendas Painel_Mig Ret 3G_2" xfId="8881"/>
    <cellStyle name="_TENDÊNCIA RET EMP VOL_Televendas Painel_Mig Ret 3G_3" xfId="8882"/>
    <cellStyle name="_TENDÊNCIA RET EMP VOL_Televendas Painel_Mig Ret 3G_4" xfId="8883"/>
    <cellStyle name="_TENDÊNCIA RET EMP VOL_Televendas Painel_Mig Ret 3G_5" xfId="8884"/>
    <cellStyle name="_TENDÊNCIA RET EMP VOL_Televendas Painel_Mig Ret 3G_6" xfId="8885"/>
    <cellStyle name="_TENDÊNCIA RET EMP VOL_Televendas Painel_Mig Ret 3G_7" xfId="8886"/>
    <cellStyle name="_TENDÊNCIA RET EMP VOL_Televendas Painel_Movel" xfId="8887"/>
    <cellStyle name="_TENDÊNCIA RET EMP VOL_Televendas Painel_Movel_1" xfId="8888"/>
    <cellStyle name="_TENDÊNCIA RET EMP VOL_Televendas Painel_Movel_2" xfId="8889"/>
    <cellStyle name="_TENDÊNCIA RET EMP VOL_Televendas Painel_Movel_3" xfId="8890"/>
    <cellStyle name="_TENDÊNCIA RET EMP VOL_Televendas Painel_Movel_4" xfId="8891"/>
    <cellStyle name="_TENDÊNCIA RET EMP VOL_Televendas Painel_Movel_5" xfId="8892"/>
    <cellStyle name="_TENDÊNCIA RET EMP VOL_Televendas Painel_Movel_6" xfId="8893"/>
    <cellStyle name="_TENDÊNCIA RET EMP VOL_Televendas Painel_Movel_7" xfId="8894"/>
    <cellStyle name="_TENDÊNCIA RET EMP VOL_Televendas Painel_Retenção" xfId="8895"/>
    <cellStyle name="_TENDÊNCIA RET EMP VOL_TENDÊNCIA RET VAR VOL" xfId="8896"/>
    <cellStyle name="_TENDÊNCIA RET EMP VOL_TENDÊNCIA RET VAR VOL_1" xfId="8897"/>
    <cellStyle name="_TENDÊNCIA RET EMP VOL_TENDÊNCIA RET VAR VOL_1_Base" xfId="8898"/>
    <cellStyle name="_TENDÊNCIA RET EMP VOL_TENDÊNCIA RET VAR VOL_1_D_Movel" xfId="8899"/>
    <cellStyle name="_TENDÊNCIA RET EMP VOL_TENDÊNCIA RET VAR VOL_1_D_Ret_Fixa_EMP" xfId="8900"/>
    <cellStyle name="_TENDÊNCIA RET EMP VOL_TENDÊNCIA RET VAR VOL_1_D_Ret_Fixa_EMP_1" xfId="8901"/>
    <cellStyle name="_TENDÊNCIA RET EMP VOL_TENDÊNCIA RET VAR VOL_1_D_Ret_Fixa_EMP_2" xfId="8902"/>
    <cellStyle name="_TENDÊNCIA RET EMP VOL_TENDÊNCIA RET VAR VOL_1_D_Ret_Fixa_EMP_3" xfId="8903"/>
    <cellStyle name="_TENDÊNCIA RET EMP VOL_TENDÊNCIA RET VAR VOL_1_D_Ret_Fixa_EMP_4" xfId="8904"/>
    <cellStyle name="_TENDÊNCIA RET EMP VOL_TENDÊNCIA RET VAR VOL_1_D_Ret_Fixa_EMP_5" xfId="8905"/>
    <cellStyle name="_TENDÊNCIA RET EMP VOL_TENDÊNCIA RET VAR VOL_1_D_Ret_Fixa_EMP_6" xfId="8906"/>
    <cellStyle name="_TENDÊNCIA RET EMP VOL_TENDÊNCIA RET VAR VOL_1_D_Ret_Fixa_EMP_7" xfId="8907"/>
    <cellStyle name="_TENDÊNCIA RET EMP VOL_TENDÊNCIA RET VAR VOL_1_D_Ret_Fixa_EMP_8" xfId="8908"/>
    <cellStyle name="_TENDÊNCIA RET EMP VOL_TENDÊNCIA RET VAR VOL_1_D_Ret_Fixa_VAR" xfId="8909"/>
    <cellStyle name="_TENDÊNCIA RET EMP VOL_TENDÊNCIA RET VAR VOL_1_D_Ret_Fixa_VAR_1" xfId="8910"/>
    <cellStyle name="_TENDÊNCIA RET EMP VOL_TENDÊNCIA RET VAR VOL_1_D_Ret_Fixa_VAR_2" xfId="8911"/>
    <cellStyle name="_TENDÊNCIA RET EMP VOL_TENDÊNCIA RET VAR VOL_1_D_Ret_Fixa_VAR_3" xfId="8912"/>
    <cellStyle name="_TENDÊNCIA RET EMP VOL_TENDÊNCIA RET VAR VOL_1_D_Ret_Fixa_VAR_4" xfId="8913"/>
    <cellStyle name="_TENDÊNCIA RET EMP VOL_TENDÊNCIA RET VAR VOL_1_D_Ret_Fixa_VAR_5" xfId="8914"/>
    <cellStyle name="_TENDÊNCIA RET EMP VOL_TENDÊNCIA RET VAR VOL_1_D_Ret_Fixa_VAR_6" xfId="8915"/>
    <cellStyle name="_TENDÊNCIA RET EMP VOL_TENDÊNCIA RET VAR VOL_1_D_Ret_Fixa_VAR_7" xfId="8916"/>
    <cellStyle name="_TENDÊNCIA RET EMP VOL_TENDÊNCIA RET VAR VOL_1_D_Ret_Fixa_VAR_8" xfId="8917"/>
    <cellStyle name="_TENDÊNCIA RET EMP VOL_TENDÊNCIA RET VAR VOL_1_De_Para_plano" xfId="8918"/>
    <cellStyle name="_TENDÊNCIA RET EMP VOL_TENDÊNCIA RET VAR VOL_1_Mig Ret 3G" xfId="8919"/>
    <cellStyle name="_TENDÊNCIA RET EMP VOL_TENDÊNCIA RET VAR VOL_1_Mig Ret 3G_1" xfId="8920"/>
    <cellStyle name="_TENDÊNCIA RET EMP VOL_TENDÊNCIA RET VAR VOL_1_Mig Ret 3G_2" xfId="8921"/>
    <cellStyle name="_TENDÊNCIA RET EMP VOL_TENDÊNCIA RET VAR VOL_1_Mig Ret 3G_3" xfId="8922"/>
    <cellStyle name="_TENDÊNCIA RET EMP VOL_TENDÊNCIA RET VAR VOL_1_Mig Ret 3G_4" xfId="8923"/>
    <cellStyle name="_TENDÊNCIA RET EMP VOL_TENDÊNCIA RET VAR VOL_1_Mig Ret 3G_5" xfId="8924"/>
    <cellStyle name="_TENDÊNCIA RET EMP VOL_TENDÊNCIA RET VAR VOL_1_Mig Ret 3G_6" xfId="8925"/>
    <cellStyle name="_TENDÊNCIA RET EMP VOL_TENDÊNCIA RET VAR VOL_1_Mig Ret 3G_7" xfId="8926"/>
    <cellStyle name="_TENDÊNCIA RET EMP VOL_TENDÊNCIA RET VAR VOL_1_Movel" xfId="8927"/>
    <cellStyle name="_TENDÊNCIA RET EMP VOL_TENDÊNCIA RET VAR VOL_1_Movel_1" xfId="8928"/>
    <cellStyle name="_TENDÊNCIA RET EMP VOL_TENDÊNCIA RET VAR VOL_1_Movel_2" xfId="8929"/>
    <cellStyle name="_TENDÊNCIA RET EMP VOL_TENDÊNCIA RET VAR VOL_1_Movel_3" xfId="8930"/>
    <cellStyle name="_TENDÊNCIA RET EMP VOL_TENDÊNCIA RET VAR VOL_1_Movel_4" xfId="8931"/>
    <cellStyle name="_TENDÊNCIA RET EMP VOL_TENDÊNCIA RET VAR VOL_1_Movel_5" xfId="8932"/>
    <cellStyle name="_TENDÊNCIA RET EMP VOL_TENDÊNCIA RET VAR VOL_1_Movel_6" xfId="8933"/>
    <cellStyle name="_TENDÊNCIA RET EMP VOL_TENDÊNCIA RET VAR VOL_1_Movel_7" xfId="8934"/>
    <cellStyle name="_TENDÊNCIA RET EMP VOL_TENDÊNCIA RET VAR VOL_1_Retenção" xfId="8935"/>
    <cellStyle name="_TENDÊNCIA RET EMP VOL_TENDÊNCIA RET VAR VOL_BD Painel_Abr" xfId="8936"/>
    <cellStyle name="_TENDÊNCIA RET EMP VOL_TENDÊNCIA RET VAR VOL_BD Painel_Abr_Base" xfId="8937"/>
    <cellStyle name="_TENDÊNCIA RET EMP VOL_TENDÊNCIA RET VAR VOL_BD Painel_Abr_D_Ret_Fixa_EMP" xfId="8938"/>
    <cellStyle name="_TENDÊNCIA RET EMP VOL_TENDÊNCIA RET VAR VOL_BD Painel_Abr_D_Ret_Fixa_EMP_1" xfId="8939"/>
    <cellStyle name="_TENDÊNCIA RET EMP VOL_TENDÊNCIA RET VAR VOL_BD Painel_Abr_D_Ret_Fixa_EMP_2" xfId="8940"/>
    <cellStyle name="_TENDÊNCIA RET EMP VOL_TENDÊNCIA RET VAR VOL_BD Painel_Abr_D_Ret_Fixa_EMP_3" xfId="8941"/>
    <cellStyle name="_TENDÊNCIA RET EMP VOL_TENDÊNCIA RET VAR VOL_BD Painel_Abr_D_Ret_Fixa_EMP_4" xfId="8942"/>
    <cellStyle name="_TENDÊNCIA RET EMP VOL_TENDÊNCIA RET VAR VOL_BD Painel_Abr_D_Ret_Fixa_EMP_5" xfId="8943"/>
    <cellStyle name="_TENDÊNCIA RET EMP VOL_TENDÊNCIA RET VAR VOL_BD Painel_Abr_D_Ret_Fixa_EMP_6" xfId="8944"/>
    <cellStyle name="_TENDÊNCIA RET EMP VOL_TENDÊNCIA RET VAR VOL_BD Painel_Abr_D_Ret_Fixa_EMP_7" xfId="8945"/>
    <cellStyle name="_TENDÊNCIA RET EMP VOL_TENDÊNCIA RET VAR VOL_BD Painel_Abr_D_Ret_Fixa_EMP_8" xfId="8946"/>
    <cellStyle name="_TENDÊNCIA RET EMP VOL_TENDÊNCIA RET VAR VOL_BD Painel_Abr_D_Ret_Fixa_VAR" xfId="8947"/>
    <cellStyle name="_TENDÊNCIA RET EMP VOL_TENDÊNCIA RET VAR VOL_BD Painel_Abr_D_Ret_Fixa_VAR_1" xfId="8948"/>
    <cellStyle name="_TENDÊNCIA RET EMP VOL_TENDÊNCIA RET VAR VOL_BD Painel_Abr_D_Ret_Fixa_VAR_2" xfId="8949"/>
    <cellStyle name="_TENDÊNCIA RET EMP VOL_TENDÊNCIA RET VAR VOL_BD Painel_Abr_D_Ret_Fixa_VAR_3" xfId="8950"/>
    <cellStyle name="_TENDÊNCIA RET EMP VOL_TENDÊNCIA RET VAR VOL_BD Painel_Abr_D_Ret_Fixa_VAR_4" xfId="8951"/>
    <cellStyle name="_TENDÊNCIA RET EMP VOL_TENDÊNCIA RET VAR VOL_BD Painel_Abr_D_Ret_Fixa_VAR_5" xfId="8952"/>
    <cellStyle name="_TENDÊNCIA RET EMP VOL_TENDÊNCIA RET VAR VOL_BD Painel_Abr_D_Ret_Fixa_VAR_6" xfId="8953"/>
    <cellStyle name="_TENDÊNCIA RET EMP VOL_TENDÊNCIA RET VAR VOL_BD Painel_Abr_D_Ret_Fixa_VAR_7" xfId="8954"/>
    <cellStyle name="_TENDÊNCIA RET EMP VOL_TENDÊNCIA RET VAR VOL_BD Painel_Abr_D_Ret_Fixa_VAR_8" xfId="8955"/>
    <cellStyle name="_TENDÊNCIA RET EMP VOL_TENDÊNCIA RET VAR VOL_BD Painel_Abr_Mig Ret 3G" xfId="8956"/>
    <cellStyle name="_TENDÊNCIA RET EMP VOL_TENDÊNCIA RET VAR VOL_BD Painel_Abr_Mig Ret 3G_1" xfId="8957"/>
    <cellStyle name="_TENDÊNCIA RET EMP VOL_TENDÊNCIA RET VAR VOL_BD Painel_Abr_Mig Ret 3G_2" xfId="8958"/>
    <cellStyle name="_TENDÊNCIA RET EMP VOL_TENDÊNCIA RET VAR VOL_BD Painel_Abr_Mig Ret 3G_3" xfId="8959"/>
    <cellStyle name="_TENDÊNCIA RET EMP VOL_TENDÊNCIA RET VAR VOL_BD Painel_Abr_Mig Ret 3G_4" xfId="8960"/>
    <cellStyle name="_TENDÊNCIA RET EMP VOL_TENDÊNCIA RET VAR VOL_BD Painel_Abr_Mig Ret 3G_5" xfId="8961"/>
    <cellStyle name="_TENDÊNCIA RET EMP VOL_TENDÊNCIA RET VAR VOL_BD Painel_Abr_Mig Ret 3G_6" xfId="8962"/>
    <cellStyle name="_TENDÊNCIA RET EMP VOL_TENDÊNCIA RET VAR VOL_BD Painel_Abr_Mig Ret 3G_7" xfId="8963"/>
    <cellStyle name="_TENDÊNCIA RET EMP VOL_TENDÊNCIA RET VAR VOL_BD Painel_Abr_Movel" xfId="8964"/>
    <cellStyle name="_TENDÊNCIA RET EMP VOL_TENDÊNCIA RET VAR VOL_BD Painel_Abr_Movel_1" xfId="8965"/>
    <cellStyle name="_TENDÊNCIA RET EMP VOL_TENDÊNCIA RET VAR VOL_BD Painel_Abr_Movel_2" xfId="8966"/>
    <cellStyle name="_TENDÊNCIA RET EMP VOL_TENDÊNCIA RET VAR VOL_BD Painel_Abr_Movel_3" xfId="8967"/>
    <cellStyle name="_TENDÊNCIA RET EMP VOL_TENDÊNCIA RET VAR VOL_BD Painel_Abr_Movel_4" xfId="8968"/>
    <cellStyle name="_TENDÊNCIA RET EMP VOL_TENDÊNCIA RET VAR VOL_BD Painel_Abr_Movel_5" xfId="8969"/>
    <cellStyle name="_TENDÊNCIA RET EMP VOL_TENDÊNCIA RET VAR VOL_BD Painel_Abr_Movel_6" xfId="8970"/>
    <cellStyle name="_TENDÊNCIA RET EMP VOL_TENDÊNCIA RET VAR VOL_BD Painel_Abr_Movel_7" xfId="8971"/>
    <cellStyle name="_TENDÊNCIA RET EMP VOL_TENDÊNCIA RET VAR VOL_BD Painel_Abr_Retenção" xfId="8972"/>
    <cellStyle name="_TENDÊNCIA RET EMP VOL_TENDÊNCIA RET VAR VOL_BD Resumo diário Painel de Televendas Setembro 2010_BASE_UNICA" xfId="8973"/>
    <cellStyle name="_TENDÊNCIA RET EMP VOL_TENDÊNCIA RET VAR VOL_BD Resumo diário Painel de Televendas Setembro 2010_BASE_UNICA_Base" xfId="8974"/>
    <cellStyle name="_TENDÊNCIA RET EMP VOL_TENDÊNCIA RET VAR VOL_BD Resumo diário Painel de Televendas Setembro 2010_BASE_UNICA_D_Movel" xfId="8975"/>
    <cellStyle name="_TENDÊNCIA RET EMP VOL_TENDÊNCIA RET VAR VOL_BD Resumo diário Painel de Televendas Setembro 2010_BASE_UNICA_D_Ret_Fixa_EMP" xfId="8976"/>
    <cellStyle name="_TENDÊNCIA RET EMP VOL_TENDÊNCIA RET VAR VOL_BD Resumo diário Painel de Televendas Setembro 2010_BASE_UNICA_D_Ret_Fixa_EMP_1" xfId="8977"/>
    <cellStyle name="_TENDÊNCIA RET EMP VOL_TENDÊNCIA RET VAR VOL_BD Resumo diário Painel de Televendas Setembro 2010_BASE_UNICA_D_Ret_Fixa_EMP_2" xfId="8978"/>
    <cellStyle name="_TENDÊNCIA RET EMP VOL_TENDÊNCIA RET VAR VOL_BD Resumo diário Painel de Televendas Setembro 2010_BASE_UNICA_D_Ret_Fixa_EMP_3" xfId="8979"/>
    <cellStyle name="_TENDÊNCIA RET EMP VOL_TENDÊNCIA RET VAR VOL_BD Resumo diário Painel de Televendas Setembro 2010_BASE_UNICA_D_Ret_Fixa_EMP_4" xfId="8980"/>
    <cellStyle name="_TENDÊNCIA RET EMP VOL_TENDÊNCIA RET VAR VOL_BD Resumo diário Painel de Televendas Setembro 2010_BASE_UNICA_D_Ret_Fixa_EMP_5" xfId="8981"/>
    <cellStyle name="_TENDÊNCIA RET EMP VOL_TENDÊNCIA RET VAR VOL_BD Resumo diário Painel de Televendas Setembro 2010_BASE_UNICA_D_Ret_Fixa_EMP_6" xfId="8982"/>
    <cellStyle name="_TENDÊNCIA RET EMP VOL_TENDÊNCIA RET VAR VOL_BD Resumo diário Painel de Televendas Setembro 2010_BASE_UNICA_D_Ret_Fixa_EMP_7" xfId="8983"/>
    <cellStyle name="_TENDÊNCIA RET EMP VOL_TENDÊNCIA RET VAR VOL_BD Resumo diário Painel de Televendas Setembro 2010_BASE_UNICA_D_Ret_Fixa_EMP_8" xfId="8984"/>
    <cellStyle name="_TENDÊNCIA RET EMP VOL_TENDÊNCIA RET VAR VOL_BD Resumo diário Painel de Televendas Setembro 2010_BASE_UNICA_D_Ret_Fixa_VAR" xfId="8985"/>
    <cellStyle name="_TENDÊNCIA RET EMP VOL_TENDÊNCIA RET VAR VOL_BD Resumo diário Painel de Televendas Setembro 2010_BASE_UNICA_D_Ret_Fixa_VAR_1" xfId="8986"/>
    <cellStyle name="_TENDÊNCIA RET EMP VOL_TENDÊNCIA RET VAR VOL_BD Resumo diário Painel de Televendas Setembro 2010_BASE_UNICA_D_Ret_Fixa_VAR_2" xfId="8987"/>
    <cellStyle name="_TENDÊNCIA RET EMP VOL_TENDÊNCIA RET VAR VOL_BD Resumo diário Painel de Televendas Setembro 2010_BASE_UNICA_D_Ret_Fixa_VAR_3" xfId="8988"/>
    <cellStyle name="_TENDÊNCIA RET EMP VOL_TENDÊNCIA RET VAR VOL_BD Resumo diário Painel de Televendas Setembro 2010_BASE_UNICA_D_Ret_Fixa_VAR_4" xfId="8989"/>
    <cellStyle name="_TENDÊNCIA RET EMP VOL_TENDÊNCIA RET VAR VOL_BD Resumo diário Painel de Televendas Setembro 2010_BASE_UNICA_D_Ret_Fixa_VAR_5" xfId="8990"/>
    <cellStyle name="_TENDÊNCIA RET EMP VOL_TENDÊNCIA RET VAR VOL_BD Resumo diário Painel de Televendas Setembro 2010_BASE_UNICA_D_Ret_Fixa_VAR_6" xfId="8991"/>
    <cellStyle name="_TENDÊNCIA RET EMP VOL_TENDÊNCIA RET VAR VOL_BD Resumo diário Painel de Televendas Setembro 2010_BASE_UNICA_D_Ret_Fixa_VAR_7" xfId="8992"/>
    <cellStyle name="_TENDÊNCIA RET EMP VOL_TENDÊNCIA RET VAR VOL_BD Resumo diário Painel de Televendas Setembro 2010_BASE_UNICA_D_Ret_Fixa_VAR_8" xfId="8993"/>
    <cellStyle name="_TENDÊNCIA RET EMP VOL_TENDÊNCIA RET VAR VOL_BD Resumo diário Painel de Televendas Setembro 2010_BASE_UNICA_De_Para_plano" xfId="8994"/>
    <cellStyle name="_TENDÊNCIA RET EMP VOL_TENDÊNCIA RET VAR VOL_BD Resumo diário Painel de Televendas Setembro 2010_BASE_UNICA_Mig Ret 3G" xfId="8995"/>
    <cellStyle name="_TENDÊNCIA RET EMP VOL_TENDÊNCIA RET VAR VOL_BD Resumo diário Painel de Televendas Setembro 2010_BASE_UNICA_Mig Ret 3G_1" xfId="8996"/>
    <cellStyle name="_TENDÊNCIA RET EMP VOL_TENDÊNCIA RET VAR VOL_BD Resumo diário Painel de Televendas Setembro 2010_BASE_UNICA_Mig Ret 3G_2" xfId="8997"/>
    <cellStyle name="_TENDÊNCIA RET EMP VOL_TENDÊNCIA RET VAR VOL_BD Resumo diário Painel de Televendas Setembro 2010_BASE_UNICA_Mig Ret 3G_3" xfId="8998"/>
    <cellStyle name="_TENDÊNCIA RET EMP VOL_TENDÊNCIA RET VAR VOL_BD Resumo diário Painel de Televendas Setembro 2010_BASE_UNICA_Mig Ret 3G_4" xfId="8999"/>
    <cellStyle name="_TENDÊNCIA RET EMP VOL_TENDÊNCIA RET VAR VOL_BD Resumo diário Painel de Televendas Setembro 2010_BASE_UNICA_Mig Ret 3G_5" xfId="9000"/>
    <cellStyle name="_TENDÊNCIA RET EMP VOL_TENDÊNCIA RET VAR VOL_BD Resumo diário Painel de Televendas Setembro 2010_BASE_UNICA_Mig Ret 3G_6" xfId="9001"/>
    <cellStyle name="_TENDÊNCIA RET EMP VOL_TENDÊNCIA RET VAR VOL_BD Resumo diário Painel de Televendas Setembro 2010_BASE_UNICA_Mig Ret 3G_7" xfId="9002"/>
    <cellStyle name="_TENDÊNCIA RET EMP VOL_TENDÊNCIA RET VAR VOL_BD Resumo diário Painel de Televendas Setembro 2010_BASE_UNICA_Movel" xfId="9003"/>
    <cellStyle name="_TENDÊNCIA RET EMP VOL_TENDÊNCIA RET VAR VOL_BD Resumo diário Painel de Televendas Setembro 2010_BASE_UNICA_Movel_1" xfId="9004"/>
    <cellStyle name="_TENDÊNCIA RET EMP VOL_TENDÊNCIA RET VAR VOL_BD Resumo diário Painel de Televendas Setembro 2010_BASE_UNICA_Movel_2" xfId="9005"/>
    <cellStyle name="_TENDÊNCIA RET EMP VOL_TENDÊNCIA RET VAR VOL_BD Resumo diário Painel de Televendas Setembro 2010_BASE_UNICA_Movel_3" xfId="9006"/>
    <cellStyle name="_TENDÊNCIA RET EMP VOL_TENDÊNCIA RET VAR VOL_BD Resumo diário Painel de Televendas Setembro 2010_BASE_UNICA_Movel_4" xfId="9007"/>
    <cellStyle name="_TENDÊNCIA RET EMP VOL_TENDÊNCIA RET VAR VOL_BD Resumo diário Painel de Televendas Setembro 2010_BASE_UNICA_Movel_5" xfId="9008"/>
    <cellStyle name="_TENDÊNCIA RET EMP VOL_TENDÊNCIA RET VAR VOL_BD Resumo diário Painel de Televendas Setembro 2010_BASE_UNICA_Movel_6" xfId="9009"/>
    <cellStyle name="_TENDÊNCIA RET EMP VOL_TENDÊNCIA RET VAR VOL_BD Resumo diário Painel de Televendas Setembro 2010_BASE_UNICA_Movel_7" xfId="9010"/>
    <cellStyle name="_TENDÊNCIA RET EMP VOL_TENDÊNCIA RET VAR VOL_BD Resumo diário Painel de Televendas Setembro 2010_BASE_UNICA_Retenção" xfId="9011"/>
    <cellStyle name="_TENDÊNCIA RET EMP VOL_TENDÊNCIA RET VAR VOL_D_Movel" xfId="9012"/>
    <cellStyle name="_TENDÊNCIA RET EMP VOL_TENDÊNCIA RET VAR VOL_Mig Ret 3G" xfId="9013"/>
    <cellStyle name="_TENDÊNCIA RET EMP VOL_TENDÊNCIA RET VAR VOL_Pasta1" xfId="9014"/>
    <cellStyle name="_TENDÊNCIA RET EMP VOL_TENDÊNCIA RET VAR VOL_Pasta1_Base" xfId="9015"/>
    <cellStyle name="_TENDÊNCIA RET EMP VOL_TENDÊNCIA RET VAR VOL_Pasta1_D_Movel" xfId="9016"/>
    <cellStyle name="_TENDÊNCIA RET EMP VOL_TENDÊNCIA RET VAR VOL_Pasta1_D_Ret_Fixa_EMP" xfId="9017"/>
    <cellStyle name="_TENDÊNCIA RET EMP VOL_TENDÊNCIA RET VAR VOL_Pasta1_D_Ret_Fixa_EMP_1" xfId="9018"/>
    <cellStyle name="_TENDÊNCIA RET EMP VOL_TENDÊNCIA RET VAR VOL_Pasta1_D_Ret_Fixa_EMP_2" xfId="9019"/>
    <cellStyle name="_TENDÊNCIA RET EMP VOL_TENDÊNCIA RET VAR VOL_Pasta1_D_Ret_Fixa_EMP_3" xfId="9020"/>
    <cellStyle name="_TENDÊNCIA RET EMP VOL_TENDÊNCIA RET VAR VOL_Pasta1_D_Ret_Fixa_EMP_4" xfId="9021"/>
    <cellStyle name="_TENDÊNCIA RET EMP VOL_TENDÊNCIA RET VAR VOL_Pasta1_D_Ret_Fixa_EMP_5" xfId="9022"/>
    <cellStyle name="_TENDÊNCIA RET EMP VOL_TENDÊNCIA RET VAR VOL_Pasta1_D_Ret_Fixa_EMP_6" xfId="9023"/>
    <cellStyle name="_TENDÊNCIA RET EMP VOL_TENDÊNCIA RET VAR VOL_Pasta1_D_Ret_Fixa_EMP_7" xfId="9024"/>
    <cellStyle name="_TENDÊNCIA RET EMP VOL_TENDÊNCIA RET VAR VOL_Pasta1_D_Ret_Fixa_EMP_8" xfId="9025"/>
    <cellStyle name="_TENDÊNCIA RET EMP VOL_TENDÊNCIA RET VAR VOL_Pasta1_D_Ret_Fixa_VAR" xfId="9026"/>
    <cellStyle name="_TENDÊNCIA RET EMP VOL_TENDÊNCIA RET VAR VOL_Pasta1_D_Ret_Fixa_VAR_1" xfId="9027"/>
    <cellStyle name="_TENDÊNCIA RET EMP VOL_TENDÊNCIA RET VAR VOL_Pasta1_D_Ret_Fixa_VAR_2" xfId="9028"/>
    <cellStyle name="_TENDÊNCIA RET EMP VOL_TENDÊNCIA RET VAR VOL_Pasta1_D_Ret_Fixa_VAR_3" xfId="9029"/>
    <cellStyle name="_TENDÊNCIA RET EMP VOL_TENDÊNCIA RET VAR VOL_Pasta1_D_Ret_Fixa_VAR_4" xfId="9030"/>
    <cellStyle name="_TENDÊNCIA RET EMP VOL_TENDÊNCIA RET VAR VOL_Pasta1_D_Ret_Fixa_VAR_5" xfId="9031"/>
    <cellStyle name="_TENDÊNCIA RET EMP VOL_TENDÊNCIA RET VAR VOL_Pasta1_D_Ret_Fixa_VAR_6" xfId="9032"/>
    <cellStyle name="_TENDÊNCIA RET EMP VOL_TENDÊNCIA RET VAR VOL_Pasta1_D_Ret_Fixa_VAR_7" xfId="9033"/>
    <cellStyle name="_TENDÊNCIA RET EMP VOL_TENDÊNCIA RET VAR VOL_Pasta1_D_Ret_Fixa_VAR_8" xfId="9034"/>
    <cellStyle name="_TENDÊNCIA RET EMP VOL_TENDÊNCIA RET VAR VOL_Pasta1_De_Para_plano" xfId="9035"/>
    <cellStyle name="_TENDÊNCIA RET EMP VOL_TENDÊNCIA RET VAR VOL_Pasta1_Mig Ret 3G" xfId="9036"/>
    <cellStyle name="_TENDÊNCIA RET EMP VOL_TENDÊNCIA RET VAR VOL_Pasta1_Mig Ret 3G_1" xfId="9037"/>
    <cellStyle name="_TENDÊNCIA RET EMP VOL_TENDÊNCIA RET VAR VOL_Pasta1_Mig Ret 3G_2" xfId="9038"/>
    <cellStyle name="_TENDÊNCIA RET EMP VOL_TENDÊNCIA RET VAR VOL_Pasta1_Mig Ret 3G_3" xfId="9039"/>
    <cellStyle name="_TENDÊNCIA RET EMP VOL_TENDÊNCIA RET VAR VOL_Pasta1_Mig Ret 3G_4" xfId="9040"/>
    <cellStyle name="_TENDÊNCIA RET EMP VOL_TENDÊNCIA RET VAR VOL_Pasta1_Mig Ret 3G_5" xfId="9041"/>
    <cellStyle name="_TENDÊNCIA RET EMP VOL_TENDÊNCIA RET VAR VOL_Pasta1_Mig Ret 3G_6" xfId="9042"/>
    <cellStyle name="_TENDÊNCIA RET EMP VOL_TENDÊNCIA RET VAR VOL_Pasta1_Mig Ret 3G_7" xfId="9043"/>
    <cellStyle name="_TENDÊNCIA RET EMP VOL_TENDÊNCIA RET VAR VOL_Pasta1_Movel" xfId="9044"/>
    <cellStyle name="_TENDÊNCIA RET EMP VOL_TENDÊNCIA RET VAR VOL_Pasta1_Movel_1" xfId="9045"/>
    <cellStyle name="_TENDÊNCIA RET EMP VOL_TENDÊNCIA RET VAR VOL_Pasta1_Movel_2" xfId="9046"/>
    <cellStyle name="_TENDÊNCIA RET EMP VOL_TENDÊNCIA RET VAR VOL_Pasta1_Movel_3" xfId="9047"/>
    <cellStyle name="_TENDÊNCIA RET EMP VOL_TENDÊNCIA RET VAR VOL_Pasta1_Movel_4" xfId="9048"/>
    <cellStyle name="_TENDÊNCIA RET EMP VOL_TENDÊNCIA RET VAR VOL_Pasta1_Movel_5" xfId="9049"/>
    <cellStyle name="_TENDÊNCIA RET EMP VOL_TENDÊNCIA RET VAR VOL_Pasta1_Movel_6" xfId="9050"/>
    <cellStyle name="_TENDÊNCIA RET EMP VOL_TENDÊNCIA RET VAR VOL_Pasta1_Movel_7" xfId="9051"/>
    <cellStyle name="_TENDÊNCIA RET EMP VOL_TENDÊNCIA RET VAR VOL_Pasta1_Retenção" xfId="9052"/>
    <cellStyle name="_TENDÊNCIA RET EMP VOL_TENDÊNCIA RET VAR VOL_Plan1" xfId="9053"/>
    <cellStyle name="_TENDÊNCIA RET EMP VOL_TENDÊNCIA RET VAR VOL_Plan1_Base" xfId="9054"/>
    <cellStyle name="_TENDÊNCIA RET EMP VOL_TENDÊNCIA RET VAR VOL_Plan1_D_Ret_Fixa_EMP" xfId="9055"/>
    <cellStyle name="_TENDÊNCIA RET EMP VOL_TENDÊNCIA RET VAR VOL_Plan1_D_Ret_Fixa_EMP_1" xfId="9056"/>
    <cellStyle name="_TENDÊNCIA RET EMP VOL_TENDÊNCIA RET VAR VOL_Plan1_D_Ret_Fixa_EMP_2" xfId="9057"/>
    <cellStyle name="_TENDÊNCIA RET EMP VOL_TENDÊNCIA RET VAR VOL_Plan1_D_Ret_Fixa_EMP_3" xfId="9058"/>
    <cellStyle name="_TENDÊNCIA RET EMP VOL_TENDÊNCIA RET VAR VOL_Plan1_D_Ret_Fixa_EMP_4" xfId="9059"/>
    <cellStyle name="_TENDÊNCIA RET EMP VOL_TENDÊNCIA RET VAR VOL_Plan1_D_Ret_Fixa_EMP_5" xfId="9060"/>
    <cellStyle name="_TENDÊNCIA RET EMP VOL_TENDÊNCIA RET VAR VOL_Plan1_D_Ret_Fixa_EMP_6" xfId="9061"/>
    <cellStyle name="_TENDÊNCIA RET EMP VOL_TENDÊNCIA RET VAR VOL_Plan1_D_Ret_Fixa_EMP_7" xfId="9062"/>
    <cellStyle name="_TENDÊNCIA RET EMP VOL_TENDÊNCIA RET VAR VOL_Plan1_D_Ret_Fixa_EMP_8" xfId="9063"/>
    <cellStyle name="_TENDÊNCIA RET EMP VOL_TENDÊNCIA RET VAR VOL_Plan1_D_Ret_Fixa_VAR" xfId="9064"/>
    <cellStyle name="_TENDÊNCIA RET EMP VOL_TENDÊNCIA RET VAR VOL_Plan1_D_Ret_Fixa_VAR_1" xfId="9065"/>
    <cellStyle name="_TENDÊNCIA RET EMP VOL_TENDÊNCIA RET VAR VOL_Plan1_D_Ret_Fixa_VAR_2" xfId="9066"/>
    <cellStyle name="_TENDÊNCIA RET EMP VOL_TENDÊNCIA RET VAR VOL_Plan1_D_Ret_Fixa_VAR_3" xfId="9067"/>
    <cellStyle name="_TENDÊNCIA RET EMP VOL_TENDÊNCIA RET VAR VOL_Plan1_D_Ret_Fixa_VAR_4" xfId="9068"/>
    <cellStyle name="_TENDÊNCIA RET EMP VOL_TENDÊNCIA RET VAR VOL_Plan1_D_Ret_Fixa_VAR_5" xfId="9069"/>
    <cellStyle name="_TENDÊNCIA RET EMP VOL_TENDÊNCIA RET VAR VOL_Plan1_D_Ret_Fixa_VAR_6" xfId="9070"/>
    <cellStyle name="_TENDÊNCIA RET EMP VOL_TENDÊNCIA RET VAR VOL_Plan1_D_Ret_Fixa_VAR_7" xfId="9071"/>
    <cellStyle name="_TENDÊNCIA RET EMP VOL_TENDÊNCIA RET VAR VOL_Plan1_D_Ret_Fixa_VAR_8" xfId="9072"/>
    <cellStyle name="_TENDÊNCIA RET EMP VOL_TENDÊNCIA RET VAR VOL_Plan1_Mig Ret 3G" xfId="9073"/>
    <cellStyle name="_TENDÊNCIA RET EMP VOL_TENDÊNCIA RET VAR VOL_Plan1_Mig Ret 3G_1" xfId="9074"/>
    <cellStyle name="_TENDÊNCIA RET EMP VOL_TENDÊNCIA RET VAR VOL_Plan1_Mig Ret 3G_2" xfId="9075"/>
    <cellStyle name="_TENDÊNCIA RET EMP VOL_TENDÊNCIA RET VAR VOL_Plan1_Mig Ret 3G_3" xfId="9076"/>
    <cellStyle name="_TENDÊNCIA RET EMP VOL_TENDÊNCIA RET VAR VOL_Plan1_Mig Ret 3G_4" xfId="9077"/>
    <cellStyle name="_TENDÊNCIA RET EMP VOL_TENDÊNCIA RET VAR VOL_Plan1_Mig Ret 3G_5" xfId="9078"/>
    <cellStyle name="_TENDÊNCIA RET EMP VOL_TENDÊNCIA RET VAR VOL_Plan1_Mig Ret 3G_6" xfId="9079"/>
    <cellStyle name="_TENDÊNCIA RET EMP VOL_TENDÊNCIA RET VAR VOL_Plan1_Mig Ret 3G_7" xfId="9080"/>
    <cellStyle name="_TENDÊNCIA RET EMP VOL_TENDÊNCIA RET VAR VOL_Plan1_Movel" xfId="9081"/>
    <cellStyle name="_TENDÊNCIA RET EMP VOL_TENDÊNCIA RET VAR VOL_Plan1_Movel_1" xfId="9082"/>
    <cellStyle name="_TENDÊNCIA RET EMP VOL_TENDÊNCIA RET VAR VOL_Plan1_Movel_2" xfId="9083"/>
    <cellStyle name="_TENDÊNCIA RET EMP VOL_TENDÊNCIA RET VAR VOL_Plan1_Movel_3" xfId="9084"/>
    <cellStyle name="_TENDÊNCIA RET EMP VOL_TENDÊNCIA RET VAR VOL_Plan1_Movel_4" xfId="9085"/>
    <cellStyle name="_TENDÊNCIA RET EMP VOL_TENDÊNCIA RET VAR VOL_Plan1_Movel_5" xfId="9086"/>
    <cellStyle name="_TENDÊNCIA RET EMP VOL_TENDÊNCIA RET VAR VOL_Plan1_Movel_6" xfId="9087"/>
    <cellStyle name="_TENDÊNCIA RET EMP VOL_TENDÊNCIA RET VAR VOL_Plan1_Movel_7" xfId="9088"/>
    <cellStyle name="_TENDÊNCIA RET EMP VOL_TENDÊNCIA RET VAR VOL_Plan1_Retenção" xfId="9089"/>
    <cellStyle name="_TENDÊNCIA RET EMP VOL_TENDÊNCIA RET VAR VOL_Plan2" xfId="9090"/>
    <cellStyle name="_TENDÊNCIA RET EMP VOL_TENDÊNCIA RET VAR VOL_Plan2_Base" xfId="9091"/>
    <cellStyle name="_TENDÊNCIA RET EMP VOL_TENDÊNCIA RET VAR VOL_Plan2_D_Ret_Fixa_EMP" xfId="9092"/>
    <cellStyle name="_TENDÊNCIA RET EMP VOL_TENDÊNCIA RET VAR VOL_Plan2_D_Ret_Fixa_EMP_1" xfId="9093"/>
    <cellStyle name="_TENDÊNCIA RET EMP VOL_TENDÊNCIA RET VAR VOL_Plan2_D_Ret_Fixa_EMP_2" xfId="9094"/>
    <cellStyle name="_TENDÊNCIA RET EMP VOL_TENDÊNCIA RET VAR VOL_Plan2_D_Ret_Fixa_EMP_3" xfId="9095"/>
    <cellStyle name="_TENDÊNCIA RET EMP VOL_TENDÊNCIA RET VAR VOL_Plan2_D_Ret_Fixa_EMP_4" xfId="9096"/>
    <cellStyle name="_TENDÊNCIA RET EMP VOL_TENDÊNCIA RET VAR VOL_Plan2_D_Ret_Fixa_EMP_5" xfId="9097"/>
    <cellStyle name="_TENDÊNCIA RET EMP VOL_TENDÊNCIA RET VAR VOL_Plan2_D_Ret_Fixa_EMP_6" xfId="9098"/>
    <cellStyle name="_TENDÊNCIA RET EMP VOL_TENDÊNCIA RET VAR VOL_Plan2_D_Ret_Fixa_EMP_7" xfId="9099"/>
    <cellStyle name="_TENDÊNCIA RET EMP VOL_TENDÊNCIA RET VAR VOL_Plan2_D_Ret_Fixa_EMP_8" xfId="9100"/>
    <cellStyle name="_TENDÊNCIA RET EMP VOL_TENDÊNCIA RET VAR VOL_Plan2_D_Ret_Fixa_VAR" xfId="9101"/>
    <cellStyle name="_TENDÊNCIA RET EMP VOL_TENDÊNCIA RET VAR VOL_Plan2_D_Ret_Fixa_VAR_1" xfId="9102"/>
    <cellStyle name="_TENDÊNCIA RET EMP VOL_TENDÊNCIA RET VAR VOL_Plan2_D_Ret_Fixa_VAR_2" xfId="9103"/>
    <cellStyle name="_TENDÊNCIA RET EMP VOL_TENDÊNCIA RET VAR VOL_Plan2_D_Ret_Fixa_VAR_3" xfId="9104"/>
    <cellStyle name="_TENDÊNCIA RET EMP VOL_TENDÊNCIA RET VAR VOL_Plan2_D_Ret_Fixa_VAR_4" xfId="9105"/>
    <cellStyle name="_TENDÊNCIA RET EMP VOL_TENDÊNCIA RET VAR VOL_Plan2_D_Ret_Fixa_VAR_5" xfId="9106"/>
    <cellStyle name="_TENDÊNCIA RET EMP VOL_TENDÊNCIA RET VAR VOL_Plan2_D_Ret_Fixa_VAR_6" xfId="9107"/>
    <cellStyle name="_TENDÊNCIA RET EMP VOL_TENDÊNCIA RET VAR VOL_Plan2_D_Ret_Fixa_VAR_7" xfId="9108"/>
    <cellStyle name="_TENDÊNCIA RET EMP VOL_TENDÊNCIA RET VAR VOL_Plan2_D_Ret_Fixa_VAR_8" xfId="9109"/>
    <cellStyle name="_TENDÊNCIA RET EMP VOL_TENDÊNCIA RET VAR VOL_Plan2_Mig Ret 3G" xfId="9110"/>
    <cellStyle name="_TENDÊNCIA RET EMP VOL_TENDÊNCIA RET VAR VOL_Plan2_Mig Ret 3G_1" xfId="9111"/>
    <cellStyle name="_TENDÊNCIA RET EMP VOL_TENDÊNCIA RET VAR VOL_Plan2_Mig Ret 3G_2" xfId="9112"/>
    <cellStyle name="_TENDÊNCIA RET EMP VOL_TENDÊNCIA RET VAR VOL_Plan2_Mig Ret 3G_3" xfId="9113"/>
    <cellStyle name="_TENDÊNCIA RET EMP VOL_TENDÊNCIA RET VAR VOL_Plan2_Mig Ret 3G_4" xfId="9114"/>
    <cellStyle name="_TENDÊNCIA RET EMP VOL_TENDÊNCIA RET VAR VOL_Plan2_Mig Ret 3G_5" xfId="9115"/>
    <cellStyle name="_TENDÊNCIA RET EMP VOL_TENDÊNCIA RET VAR VOL_Plan2_Mig Ret 3G_6" xfId="9116"/>
    <cellStyle name="_TENDÊNCIA RET EMP VOL_TENDÊNCIA RET VAR VOL_Plan2_Mig Ret 3G_7" xfId="9117"/>
    <cellStyle name="_TENDÊNCIA RET EMP VOL_TENDÊNCIA RET VAR VOL_Plan2_Movel" xfId="9118"/>
    <cellStyle name="_TENDÊNCIA RET EMP VOL_TENDÊNCIA RET VAR VOL_Plan2_Movel_1" xfId="9119"/>
    <cellStyle name="_TENDÊNCIA RET EMP VOL_TENDÊNCIA RET VAR VOL_Plan2_Movel_2" xfId="9120"/>
    <cellStyle name="_TENDÊNCIA RET EMP VOL_TENDÊNCIA RET VAR VOL_Plan2_Movel_3" xfId="9121"/>
    <cellStyle name="_TENDÊNCIA RET EMP VOL_TENDÊNCIA RET VAR VOL_Plan2_Movel_4" xfId="9122"/>
    <cellStyle name="_TENDÊNCIA RET EMP VOL_TENDÊNCIA RET VAR VOL_Plan2_Movel_5" xfId="9123"/>
    <cellStyle name="_TENDÊNCIA RET EMP VOL_TENDÊNCIA RET VAR VOL_Plan2_Movel_6" xfId="9124"/>
    <cellStyle name="_TENDÊNCIA RET EMP VOL_TENDÊNCIA RET VAR VOL_Plan2_Movel_7" xfId="9125"/>
    <cellStyle name="_TENDÊNCIA RET EMP VOL_TENDÊNCIA RET VAR VOL_Plan2_Retenção" xfId="9126"/>
    <cellStyle name="_TENDÊNCIA RET EMP VOL_TENDÊNCIA RET VAR VOL_Retenção" xfId="9127"/>
    <cellStyle name="_TENDÊNCIA RET EMP VOL_TENDÊNCIA RET VAR VOL_Retenção Painel" xfId="9128"/>
    <cellStyle name="_TENDÊNCIA RET EMP VOL_TENDÊNCIA RET VAR VOL_Retenção Painel_Base" xfId="9129"/>
    <cellStyle name="_TENDÊNCIA RET EMP VOL_TENDÊNCIA RET VAR VOL_Retenção Painel_D_Movel" xfId="9130"/>
    <cellStyle name="_TENDÊNCIA RET EMP VOL_TENDÊNCIA RET VAR VOL_Retenção Painel_D_Ret_Fixa_EMP" xfId="9131"/>
    <cellStyle name="_TENDÊNCIA RET EMP VOL_TENDÊNCIA RET VAR VOL_Retenção Painel_D_Ret_Fixa_EMP_1" xfId="9132"/>
    <cellStyle name="_TENDÊNCIA RET EMP VOL_TENDÊNCIA RET VAR VOL_Retenção Painel_D_Ret_Fixa_EMP_2" xfId="9133"/>
    <cellStyle name="_TENDÊNCIA RET EMP VOL_TENDÊNCIA RET VAR VOL_Retenção Painel_D_Ret_Fixa_EMP_3" xfId="9134"/>
    <cellStyle name="_TENDÊNCIA RET EMP VOL_TENDÊNCIA RET VAR VOL_Retenção Painel_D_Ret_Fixa_EMP_4" xfId="9135"/>
    <cellStyle name="_TENDÊNCIA RET EMP VOL_TENDÊNCIA RET VAR VOL_Retenção Painel_D_Ret_Fixa_EMP_5" xfId="9136"/>
    <cellStyle name="_TENDÊNCIA RET EMP VOL_TENDÊNCIA RET VAR VOL_Retenção Painel_D_Ret_Fixa_EMP_6" xfId="9137"/>
    <cellStyle name="_TENDÊNCIA RET EMP VOL_TENDÊNCIA RET VAR VOL_Retenção Painel_D_Ret_Fixa_EMP_7" xfId="9138"/>
    <cellStyle name="_TENDÊNCIA RET EMP VOL_TENDÊNCIA RET VAR VOL_Retenção Painel_D_Ret_Fixa_EMP_8" xfId="9139"/>
    <cellStyle name="_TENDÊNCIA RET EMP VOL_TENDÊNCIA RET VAR VOL_Retenção Painel_D_Ret_Fixa_VAR" xfId="9140"/>
    <cellStyle name="_TENDÊNCIA RET EMP VOL_TENDÊNCIA RET VAR VOL_Retenção Painel_D_Ret_Fixa_VAR_1" xfId="9141"/>
    <cellStyle name="_TENDÊNCIA RET EMP VOL_TENDÊNCIA RET VAR VOL_Retenção Painel_D_Ret_Fixa_VAR_2" xfId="9142"/>
    <cellStyle name="_TENDÊNCIA RET EMP VOL_TENDÊNCIA RET VAR VOL_Retenção Painel_D_Ret_Fixa_VAR_3" xfId="9143"/>
    <cellStyle name="_TENDÊNCIA RET EMP VOL_TENDÊNCIA RET VAR VOL_Retenção Painel_D_Ret_Fixa_VAR_4" xfId="9144"/>
    <cellStyle name="_TENDÊNCIA RET EMP VOL_TENDÊNCIA RET VAR VOL_Retenção Painel_D_Ret_Fixa_VAR_5" xfId="9145"/>
    <cellStyle name="_TENDÊNCIA RET EMP VOL_TENDÊNCIA RET VAR VOL_Retenção Painel_D_Ret_Fixa_VAR_6" xfId="9146"/>
    <cellStyle name="_TENDÊNCIA RET EMP VOL_TENDÊNCIA RET VAR VOL_Retenção Painel_D_Ret_Fixa_VAR_7" xfId="9147"/>
    <cellStyle name="_TENDÊNCIA RET EMP VOL_TENDÊNCIA RET VAR VOL_Retenção Painel_D_Ret_Fixa_VAR_8" xfId="9148"/>
    <cellStyle name="_TENDÊNCIA RET EMP VOL_TENDÊNCIA RET VAR VOL_Retenção Painel_De_Para_plano" xfId="9149"/>
    <cellStyle name="_TENDÊNCIA RET EMP VOL_TENDÊNCIA RET VAR VOL_Retenção Painel_Mig Ret 3G" xfId="9150"/>
    <cellStyle name="_TENDÊNCIA RET EMP VOL_TENDÊNCIA RET VAR VOL_Retenção Painel_Mig Ret 3G_1" xfId="9151"/>
    <cellStyle name="_TENDÊNCIA RET EMP VOL_TENDÊNCIA RET VAR VOL_Retenção Painel_Mig Ret 3G_2" xfId="9152"/>
    <cellStyle name="_TENDÊNCIA RET EMP VOL_TENDÊNCIA RET VAR VOL_Retenção Painel_Mig Ret 3G_3" xfId="9153"/>
    <cellStyle name="_TENDÊNCIA RET EMP VOL_TENDÊNCIA RET VAR VOL_Retenção Painel_Mig Ret 3G_4" xfId="9154"/>
    <cellStyle name="_TENDÊNCIA RET EMP VOL_TENDÊNCIA RET VAR VOL_Retenção Painel_Mig Ret 3G_5" xfId="9155"/>
    <cellStyle name="_TENDÊNCIA RET EMP VOL_TENDÊNCIA RET VAR VOL_Retenção Painel_Mig Ret 3G_6" xfId="9156"/>
    <cellStyle name="_TENDÊNCIA RET EMP VOL_TENDÊNCIA RET VAR VOL_Retenção Painel_Mig Ret 3G_7" xfId="9157"/>
    <cellStyle name="_TENDÊNCIA RET EMP VOL_TENDÊNCIA RET VAR VOL_Retenção Painel_Movel" xfId="9158"/>
    <cellStyle name="_TENDÊNCIA RET EMP VOL_TENDÊNCIA RET VAR VOL_Retenção Painel_Movel_1" xfId="9159"/>
    <cellStyle name="_TENDÊNCIA RET EMP VOL_TENDÊNCIA RET VAR VOL_Retenção Painel_Movel_2" xfId="9160"/>
    <cellStyle name="_TENDÊNCIA RET EMP VOL_TENDÊNCIA RET VAR VOL_Retenção Painel_Movel_3" xfId="9161"/>
    <cellStyle name="_TENDÊNCIA RET EMP VOL_TENDÊNCIA RET VAR VOL_Retenção Painel_Movel_4" xfId="9162"/>
    <cellStyle name="_TENDÊNCIA RET EMP VOL_TENDÊNCIA RET VAR VOL_Retenção Painel_Movel_5" xfId="9163"/>
    <cellStyle name="_TENDÊNCIA RET EMP VOL_TENDÊNCIA RET VAR VOL_Retenção Painel_Movel_6" xfId="9164"/>
    <cellStyle name="_TENDÊNCIA RET EMP VOL_TENDÊNCIA RET VAR VOL_Retenção Painel_Movel_7" xfId="9165"/>
    <cellStyle name="_TENDÊNCIA RET EMP VOL_TENDÊNCIA RET VAR VOL_Retenção Painel_Retenção" xfId="9166"/>
    <cellStyle name="_TENDÊNCIA RET EMP VOL_TENDÊNCIA RET VAR VOL_Retenção_Base" xfId="9167"/>
    <cellStyle name="_TENDÊNCIA RET EMP VOL_TENDÊNCIA RET VAR VOL_Retenção_D_Ret_Fixa_EMP" xfId="9168"/>
    <cellStyle name="_TENDÊNCIA RET EMP VOL_TENDÊNCIA RET VAR VOL_Retenção_D_Ret_Fixa_EMP_1" xfId="9169"/>
    <cellStyle name="_TENDÊNCIA RET EMP VOL_TENDÊNCIA RET VAR VOL_Retenção_D_Ret_Fixa_EMP_2" xfId="9170"/>
    <cellStyle name="_TENDÊNCIA RET EMP VOL_TENDÊNCIA RET VAR VOL_Retenção_D_Ret_Fixa_EMP_3" xfId="9171"/>
    <cellStyle name="_TENDÊNCIA RET EMP VOL_TENDÊNCIA RET VAR VOL_Retenção_D_Ret_Fixa_EMP_4" xfId="9172"/>
    <cellStyle name="_TENDÊNCIA RET EMP VOL_TENDÊNCIA RET VAR VOL_Retenção_D_Ret_Fixa_EMP_5" xfId="9173"/>
    <cellStyle name="_TENDÊNCIA RET EMP VOL_TENDÊNCIA RET VAR VOL_Retenção_D_Ret_Fixa_EMP_6" xfId="9174"/>
    <cellStyle name="_TENDÊNCIA RET EMP VOL_TENDÊNCIA RET VAR VOL_Retenção_D_Ret_Fixa_EMP_7" xfId="9175"/>
    <cellStyle name="_TENDÊNCIA RET EMP VOL_TENDÊNCIA RET VAR VOL_Retenção_D_Ret_Fixa_EMP_8" xfId="9176"/>
    <cellStyle name="_TENDÊNCIA RET EMP VOL_TENDÊNCIA RET VAR VOL_Retenção_D_Ret_Fixa_VAR" xfId="9177"/>
    <cellStyle name="_TENDÊNCIA RET EMP VOL_TENDÊNCIA RET VAR VOL_Retenção_D_Ret_Fixa_VAR_1" xfId="9178"/>
    <cellStyle name="_TENDÊNCIA RET EMP VOL_TENDÊNCIA RET VAR VOL_Retenção_D_Ret_Fixa_VAR_2" xfId="9179"/>
    <cellStyle name="_TENDÊNCIA RET EMP VOL_TENDÊNCIA RET VAR VOL_Retenção_D_Ret_Fixa_VAR_3" xfId="9180"/>
    <cellStyle name="_TENDÊNCIA RET EMP VOL_TENDÊNCIA RET VAR VOL_Retenção_D_Ret_Fixa_VAR_4" xfId="9181"/>
    <cellStyle name="_TENDÊNCIA RET EMP VOL_TENDÊNCIA RET VAR VOL_Retenção_D_Ret_Fixa_VAR_5" xfId="9182"/>
    <cellStyle name="_TENDÊNCIA RET EMP VOL_TENDÊNCIA RET VAR VOL_Retenção_D_Ret_Fixa_VAR_6" xfId="9183"/>
    <cellStyle name="_TENDÊNCIA RET EMP VOL_TENDÊNCIA RET VAR VOL_Retenção_D_Ret_Fixa_VAR_7" xfId="9184"/>
    <cellStyle name="_TENDÊNCIA RET EMP VOL_TENDÊNCIA RET VAR VOL_Retenção_D_Ret_Fixa_VAR_8" xfId="9185"/>
    <cellStyle name="_TENDÊNCIA RET EMP VOL_TENDÊNCIA RET VAR VOL_Retenção_Mig Ret 3G" xfId="9186"/>
    <cellStyle name="_TENDÊNCIA RET EMP VOL_TENDÊNCIA RET VAR VOL_Retenção_Mig Ret 3G_1" xfId="9187"/>
    <cellStyle name="_TENDÊNCIA RET EMP VOL_TENDÊNCIA RET VAR VOL_Retenção_Mig Ret 3G_2" xfId="9188"/>
    <cellStyle name="_TENDÊNCIA RET EMP VOL_TENDÊNCIA RET VAR VOL_Retenção_Mig Ret 3G_3" xfId="9189"/>
    <cellStyle name="_TENDÊNCIA RET EMP VOL_TENDÊNCIA RET VAR VOL_Retenção_Mig Ret 3G_4" xfId="9190"/>
    <cellStyle name="_TENDÊNCIA RET EMP VOL_TENDÊNCIA RET VAR VOL_Retenção_Mig Ret 3G_5" xfId="9191"/>
    <cellStyle name="_TENDÊNCIA RET EMP VOL_TENDÊNCIA RET VAR VOL_Retenção_Mig Ret 3G_6" xfId="9192"/>
    <cellStyle name="_TENDÊNCIA RET EMP VOL_TENDÊNCIA RET VAR VOL_Retenção_Mig Ret 3G_7" xfId="9193"/>
    <cellStyle name="_TENDÊNCIA RET EMP VOL_TENDÊNCIA RET VAR VOL_Retenção_Movel" xfId="9194"/>
    <cellStyle name="_TENDÊNCIA RET EMP VOL_TENDÊNCIA RET VAR VOL_Retenção_Movel_1" xfId="9195"/>
    <cellStyle name="_TENDÊNCIA RET EMP VOL_TENDÊNCIA RET VAR VOL_Retenção_Movel_2" xfId="9196"/>
    <cellStyle name="_TENDÊNCIA RET EMP VOL_TENDÊNCIA RET VAR VOL_Retenção_Movel_3" xfId="9197"/>
    <cellStyle name="_TENDÊNCIA RET EMP VOL_TENDÊNCIA RET VAR VOL_Retenção_Movel_4" xfId="9198"/>
    <cellStyle name="_TENDÊNCIA RET EMP VOL_TENDÊNCIA RET VAR VOL_Retenção_Movel_5" xfId="9199"/>
    <cellStyle name="_TENDÊNCIA RET EMP VOL_TENDÊNCIA RET VAR VOL_Retenção_Movel_6" xfId="9200"/>
    <cellStyle name="_TENDÊNCIA RET EMP VOL_TENDÊNCIA RET VAR VOL_Retenção_Movel_7" xfId="9201"/>
    <cellStyle name="_TENDÊNCIA RET EMP VOL_TENDÊNCIA RET VAR VOL_Retenção_Retenção" xfId="9202"/>
    <cellStyle name="_TENDÊNCIA RET EMP VOL_TENDÊNCIA RET VAR VOL_Televendas Painel" xfId="9203"/>
    <cellStyle name="_TENDÊNCIA RET EMP VOL_TENDÊNCIA RET VAR VOL_Televendas Painel_Base" xfId="9204"/>
    <cellStyle name="_TENDÊNCIA RET EMP VOL_TENDÊNCIA RET VAR VOL_Televendas Painel_D_Movel" xfId="9205"/>
    <cellStyle name="_TENDÊNCIA RET EMP VOL_TENDÊNCIA RET VAR VOL_Televendas Painel_D_Ret_Fixa_EMP" xfId="9206"/>
    <cellStyle name="_TENDÊNCIA RET EMP VOL_TENDÊNCIA RET VAR VOL_Televendas Painel_D_Ret_Fixa_EMP_1" xfId="9207"/>
    <cellStyle name="_TENDÊNCIA RET EMP VOL_TENDÊNCIA RET VAR VOL_Televendas Painel_D_Ret_Fixa_EMP_2" xfId="9208"/>
    <cellStyle name="_TENDÊNCIA RET EMP VOL_TENDÊNCIA RET VAR VOL_Televendas Painel_D_Ret_Fixa_EMP_3" xfId="9209"/>
    <cellStyle name="_TENDÊNCIA RET EMP VOL_TENDÊNCIA RET VAR VOL_Televendas Painel_D_Ret_Fixa_EMP_4" xfId="9210"/>
    <cellStyle name="_TENDÊNCIA RET EMP VOL_TENDÊNCIA RET VAR VOL_Televendas Painel_D_Ret_Fixa_EMP_5" xfId="9211"/>
    <cellStyle name="_TENDÊNCIA RET EMP VOL_TENDÊNCIA RET VAR VOL_Televendas Painel_D_Ret_Fixa_EMP_6" xfId="9212"/>
    <cellStyle name="_TENDÊNCIA RET EMP VOL_TENDÊNCIA RET VAR VOL_Televendas Painel_D_Ret_Fixa_EMP_7" xfId="9213"/>
    <cellStyle name="_TENDÊNCIA RET EMP VOL_TENDÊNCIA RET VAR VOL_Televendas Painel_D_Ret_Fixa_EMP_8" xfId="9214"/>
    <cellStyle name="_TENDÊNCIA RET EMP VOL_TENDÊNCIA RET VAR VOL_Televendas Painel_D_Ret_Fixa_VAR" xfId="9215"/>
    <cellStyle name="_TENDÊNCIA RET EMP VOL_TENDÊNCIA RET VAR VOL_Televendas Painel_D_Ret_Fixa_VAR_1" xfId="9216"/>
    <cellStyle name="_TENDÊNCIA RET EMP VOL_TENDÊNCIA RET VAR VOL_Televendas Painel_D_Ret_Fixa_VAR_2" xfId="9217"/>
    <cellStyle name="_TENDÊNCIA RET EMP VOL_TENDÊNCIA RET VAR VOL_Televendas Painel_D_Ret_Fixa_VAR_3" xfId="9218"/>
    <cellStyle name="_TENDÊNCIA RET EMP VOL_TENDÊNCIA RET VAR VOL_Televendas Painel_D_Ret_Fixa_VAR_4" xfId="9219"/>
    <cellStyle name="_TENDÊNCIA RET EMP VOL_TENDÊNCIA RET VAR VOL_Televendas Painel_D_Ret_Fixa_VAR_5" xfId="9220"/>
    <cellStyle name="_TENDÊNCIA RET EMP VOL_TENDÊNCIA RET VAR VOL_Televendas Painel_D_Ret_Fixa_VAR_6" xfId="9221"/>
    <cellStyle name="_TENDÊNCIA RET EMP VOL_TENDÊNCIA RET VAR VOL_Televendas Painel_D_Ret_Fixa_VAR_7" xfId="9222"/>
    <cellStyle name="_TENDÊNCIA RET EMP VOL_TENDÊNCIA RET VAR VOL_Televendas Painel_D_Ret_Fixa_VAR_8" xfId="9223"/>
    <cellStyle name="_TENDÊNCIA RET EMP VOL_TENDÊNCIA RET VAR VOL_Televendas Painel_De_Para_plano" xfId="9224"/>
    <cellStyle name="_TENDÊNCIA RET EMP VOL_TENDÊNCIA RET VAR VOL_Televendas Painel_Mig Ret 3G" xfId="9225"/>
    <cellStyle name="_TENDÊNCIA RET EMP VOL_TENDÊNCIA RET VAR VOL_Televendas Painel_Mig Ret 3G_1" xfId="9226"/>
    <cellStyle name="_TENDÊNCIA RET EMP VOL_TENDÊNCIA RET VAR VOL_Televendas Painel_Mig Ret 3G_2" xfId="9227"/>
    <cellStyle name="_TENDÊNCIA RET EMP VOL_TENDÊNCIA RET VAR VOL_Televendas Painel_Mig Ret 3G_3" xfId="9228"/>
    <cellStyle name="_TENDÊNCIA RET EMP VOL_TENDÊNCIA RET VAR VOL_Televendas Painel_Mig Ret 3G_4" xfId="9229"/>
    <cellStyle name="_TENDÊNCIA RET EMP VOL_TENDÊNCIA RET VAR VOL_Televendas Painel_Mig Ret 3G_5" xfId="9230"/>
    <cellStyle name="_TENDÊNCIA RET EMP VOL_TENDÊNCIA RET VAR VOL_Televendas Painel_Mig Ret 3G_6" xfId="9231"/>
    <cellStyle name="_TENDÊNCIA RET EMP VOL_TENDÊNCIA RET VAR VOL_Televendas Painel_Mig Ret 3G_7" xfId="9232"/>
    <cellStyle name="_TENDÊNCIA RET EMP VOL_TENDÊNCIA RET VAR VOL_Televendas Painel_Movel" xfId="9233"/>
    <cellStyle name="_TENDÊNCIA RET EMP VOL_TENDÊNCIA RET VAR VOL_Televendas Painel_Movel_1" xfId="9234"/>
    <cellStyle name="_TENDÊNCIA RET EMP VOL_TENDÊNCIA RET VAR VOL_Televendas Painel_Movel_2" xfId="9235"/>
    <cellStyle name="_TENDÊNCIA RET EMP VOL_TENDÊNCIA RET VAR VOL_Televendas Painel_Movel_3" xfId="9236"/>
    <cellStyle name="_TENDÊNCIA RET EMP VOL_TENDÊNCIA RET VAR VOL_Televendas Painel_Movel_4" xfId="9237"/>
    <cellStyle name="_TENDÊNCIA RET EMP VOL_TENDÊNCIA RET VAR VOL_Televendas Painel_Movel_5" xfId="9238"/>
    <cellStyle name="_TENDÊNCIA RET EMP VOL_TENDÊNCIA RET VAR VOL_Televendas Painel_Movel_6" xfId="9239"/>
    <cellStyle name="_TENDÊNCIA RET EMP VOL_TENDÊNCIA RET VAR VOL_Televendas Painel_Movel_7" xfId="9240"/>
    <cellStyle name="_TENDÊNCIA RET EMP VOL_TENDÊNCIA RET VAR VOL_Televendas Painel_Retenção" xfId="9241"/>
    <cellStyle name="_TENDÊNCIA RET EMP VOL_TENDÊNCIA RET VAR VOL_TENDÊNCIA RET VAR VOL" xfId="9242"/>
    <cellStyle name="_TENDÊNCIA RET EMP VOL_TENDÊNCIA RET VAR VOL_TENDÊNCIA RET VAR VOL_Base" xfId="9243"/>
    <cellStyle name="_TENDÊNCIA RET EMP VOL_TENDÊNCIA RET VAR VOL_TENDÊNCIA RET VAR VOL_D_Ret_Fixa_EMP" xfId="9244"/>
    <cellStyle name="_TENDÊNCIA RET EMP VOL_TENDÊNCIA RET VAR VOL_TENDÊNCIA RET VAR VOL_D_Ret_Fixa_EMP_1" xfId="9245"/>
    <cellStyle name="_TENDÊNCIA RET EMP VOL_TENDÊNCIA RET VAR VOL_TENDÊNCIA RET VAR VOL_D_Ret_Fixa_EMP_2" xfId="9246"/>
    <cellStyle name="_TENDÊNCIA RET EMP VOL_TENDÊNCIA RET VAR VOL_TENDÊNCIA RET VAR VOL_D_Ret_Fixa_EMP_3" xfId="9247"/>
    <cellStyle name="_TENDÊNCIA RET EMP VOL_TENDÊNCIA RET VAR VOL_TENDÊNCIA RET VAR VOL_D_Ret_Fixa_EMP_4" xfId="9248"/>
    <cellStyle name="_TENDÊNCIA RET EMP VOL_TENDÊNCIA RET VAR VOL_TENDÊNCIA RET VAR VOL_D_Ret_Fixa_EMP_5" xfId="9249"/>
    <cellStyle name="_TENDÊNCIA RET EMP VOL_TENDÊNCIA RET VAR VOL_TENDÊNCIA RET VAR VOL_D_Ret_Fixa_EMP_6" xfId="9250"/>
    <cellStyle name="_TENDÊNCIA RET EMP VOL_TENDÊNCIA RET VAR VOL_TENDÊNCIA RET VAR VOL_D_Ret_Fixa_EMP_7" xfId="9251"/>
    <cellStyle name="_TENDÊNCIA RET EMP VOL_TENDÊNCIA RET VAR VOL_TENDÊNCIA RET VAR VOL_D_Ret_Fixa_EMP_8" xfId="9252"/>
    <cellStyle name="_TENDÊNCIA RET EMP VOL_TENDÊNCIA RET VAR VOL_TENDÊNCIA RET VAR VOL_D_Ret_Fixa_VAR" xfId="9253"/>
    <cellStyle name="_TENDÊNCIA RET EMP VOL_TENDÊNCIA RET VAR VOL_TENDÊNCIA RET VAR VOL_D_Ret_Fixa_VAR_1" xfId="9254"/>
    <cellStyle name="_TENDÊNCIA RET EMP VOL_TENDÊNCIA RET VAR VOL_TENDÊNCIA RET VAR VOL_D_Ret_Fixa_VAR_2" xfId="9255"/>
    <cellStyle name="_TENDÊNCIA RET EMP VOL_TENDÊNCIA RET VAR VOL_TENDÊNCIA RET VAR VOL_D_Ret_Fixa_VAR_3" xfId="9256"/>
    <cellStyle name="_TENDÊNCIA RET EMP VOL_TENDÊNCIA RET VAR VOL_TENDÊNCIA RET VAR VOL_D_Ret_Fixa_VAR_4" xfId="9257"/>
    <cellStyle name="_TENDÊNCIA RET EMP VOL_TENDÊNCIA RET VAR VOL_TENDÊNCIA RET VAR VOL_D_Ret_Fixa_VAR_5" xfId="9258"/>
    <cellStyle name="_TENDÊNCIA RET EMP VOL_TENDÊNCIA RET VAR VOL_TENDÊNCIA RET VAR VOL_D_Ret_Fixa_VAR_6" xfId="9259"/>
    <cellStyle name="_TENDÊNCIA RET EMP VOL_TENDÊNCIA RET VAR VOL_TENDÊNCIA RET VAR VOL_D_Ret_Fixa_VAR_7" xfId="9260"/>
    <cellStyle name="_TENDÊNCIA RET EMP VOL_TENDÊNCIA RET VAR VOL_TENDÊNCIA RET VAR VOL_D_Ret_Fixa_VAR_8" xfId="9261"/>
    <cellStyle name="_TENDÊNCIA RET EMP VOL_TENDÊNCIA RET VAR VOL_TENDÊNCIA RET VAR VOL_Mig Ret 3G" xfId="9262"/>
    <cellStyle name="_TENDÊNCIA RET EMP VOL_TENDÊNCIA RET VAR VOL_TENDÊNCIA RET VAR VOL_Mig Ret 3G_1" xfId="9263"/>
    <cellStyle name="_TENDÊNCIA RET EMP VOL_TENDÊNCIA RET VAR VOL_TENDÊNCIA RET VAR VOL_Mig Ret 3G_2" xfId="9264"/>
    <cellStyle name="_TENDÊNCIA RET EMP VOL_TENDÊNCIA RET VAR VOL_TENDÊNCIA RET VAR VOL_Mig Ret 3G_3" xfId="9265"/>
    <cellStyle name="_TENDÊNCIA RET EMP VOL_TENDÊNCIA RET VAR VOL_TENDÊNCIA RET VAR VOL_Mig Ret 3G_4" xfId="9266"/>
    <cellStyle name="_TENDÊNCIA RET EMP VOL_TENDÊNCIA RET VAR VOL_TENDÊNCIA RET VAR VOL_Mig Ret 3G_5" xfId="9267"/>
    <cellStyle name="_TENDÊNCIA RET EMP VOL_TENDÊNCIA RET VAR VOL_TENDÊNCIA RET VAR VOL_Mig Ret 3G_6" xfId="9268"/>
    <cellStyle name="_TENDÊNCIA RET EMP VOL_TENDÊNCIA RET VAR VOL_TENDÊNCIA RET VAR VOL_Mig Ret 3G_7" xfId="9269"/>
    <cellStyle name="_TENDÊNCIA RET EMP VOL_TENDÊNCIA RET VAR VOL_TENDÊNCIA RET VAR VOL_Movel" xfId="9270"/>
    <cellStyle name="_TENDÊNCIA RET EMP VOL_TENDÊNCIA RET VAR VOL_TENDÊNCIA RET VAR VOL_Movel_1" xfId="9271"/>
    <cellStyle name="_TENDÊNCIA RET EMP VOL_TENDÊNCIA RET VAR VOL_TENDÊNCIA RET VAR VOL_Movel_2" xfId="9272"/>
    <cellStyle name="_TENDÊNCIA RET EMP VOL_TENDÊNCIA RET VAR VOL_TENDÊNCIA RET VAR VOL_Movel_3" xfId="9273"/>
    <cellStyle name="_TENDÊNCIA RET EMP VOL_TENDÊNCIA RET VAR VOL_TENDÊNCIA RET VAR VOL_Movel_4" xfId="9274"/>
    <cellStyle name="_TENDÊNCIA RET EMP VOL_TENDÊNCIA RET VAR VOL_TENDÊNCIA RET VAR VOL_Movel_5" xfId="9275"/>
    <cellStyle name="_TENDÊNCIA RET EMP VOL_TENDÊNCIA RET VAR VOL_TENDÊNCIA RET VAR VOL_Movel_6" xfId="9276"/>
    <cellStyle name="_TENDÊNCIA RET EMP VOL_TENDÊNCIA RET VAR VOL_TENDÊNCIA RET VAR VOL_Movel_7" xfId="9277"/>
    <cellStyle name="_TENDÊNCIA RET EMP VOL_TENDÊNCIA RET VAR VOL_TENDÊNCIA RET VAR VOL_Retenção" xfId="9278"/>
    <cellStyle name="_TENDÊNCIA RET VAR VOL" xfId="9279"/>
    <cellStyle name="_TENDÊNCIA RET VAR VOL_1" xfId="9280"/>
    <cellStyle name="_TENDÊNCIA RET VAR VOL_1_BD Painel_Abr" xfId="9281"/>
    <cellStyle name="_TENDÊNCIA RET VAR VOL_1_BD Painel_Abr_Base" xfId="9282"/>
    <cellStyle name="_TENDÊNCIA RET VAR VOL_1_BD Painel_Abr_D_Ret_Fixa_EMP" xfId="9283"/>
    <cellStyle name="_TENDÊNCIA RET VAR VOL_1_BD Painel_Abr_D_Ret_Fixa_EMP_1" xfId="9284"/>
    <cellStyle name="_TENDÊNCIA RET VAR VOL_1_BD Painel_Abr_D_Ret_Fixa_EMP_2" xfId="9285"/>
    <cellStyle name="_TENDÊNCIA RET VAR VOL_1_BD Painel_Abr_D_Ret_Fixa_EMP_3" xfId="9286"/>
    <cellStyle name="_TENDÊNCIA RET VAR VOL_1_BD Painel_Abr_D_Ret_Fixa_EMP_4" xfId="9287"/>
    <cellStyle name="_TENDÊNCIA RET VAR VOL_1_BD Painel_Abr_D_Ret_Fixa_EMP_5" xfId="9288"/>
    <cellStyle name="_TENDÊNCIA RET VAR VOL_1_BD Painel_Abr_D_Ret_Fixa_EMP_6" xfId="9289"/>
    <cellStyle name="_TENDÊNCIA RET VAR VOL_1_BD Painel_Abr_D_Ret_Fixa_EMP_7" xfId="9290"/>
    <cellStyle name="_TENDÊNCIA RET VAR VOL_1_BD Painel_Abr_D_Ret_Fixa_EMP_8" xfId="9291"/>
    <cellStyle name="_TENDÊNCIA RET VAR VOL_1_BD Painel_Abr_D_Ret_Fixa_VAR" xfId="9292"/>
    <cellStyle name="_TENDÊNCIA RET VAR VOL_1_BD Painel_Abr_D_Ret_Fixa_VAR_1" xfId="9293"/>
    <cellStyle name="_TENDÊNCIA RET VAR VOL_1_BD Painel_Abr_D_Ret_Fixa_VAR_2" xfId="9294"/>
    <cellStyle name="_TENDÊNCIA RET VAR VOL_1_BD Painel_Abr_D_Ret_Fixa_VAR_3" xfId="9295"/>
    <cellStyle name="_TENDÊNCIA RET VAR VOL_1_BD Painel_Abr_D_Ret_Fixa_VAR_4" xfId="9296"/>
    <cellStyle name="_TENDÊNCIA RET VAR VOL_1_BD Painel_Abr_D_Ret_Fixa_VAR_5" xfId="9297"/>
    <cellStyle name="_TENDÊNCIA RET VAR VOL_1_BD Painel_Abr_D_Ret_Fixa_VAR_6" xfId="9298"/>
    <cellStyle name="_TENDÊNCIA RET VAR VOL_1_BD Painel_Abr_D_Ret_Fixa_VAR_7" xfId="9299"/>
    <cellStyle name="_TENDÊNCIA RET VAR VOL_1_BD Painel_Abr_D_Ret_Fixa_VAR_8" xfId="9300"/>
    <cellStyle name="_TENDÊNCIA RET VAR VOL_1_BD Painel_Abr_Mig Ret 3G" xfId="9301"/>
    <cellStyle name="_TENDÊNCIA RET VAR VOL_1_BD Painel_Abr_Mig Ret 3G_1" xfId="9302"/>
    <cellStyle name="_TENDÊNCIA RET VAR VOL_1_BD Painel_Abr_Mig Ret 3G_2" xfId="9303"/>
    <cellStyle name="_TENDÊNCIA RET VAR VOL_1_BD Painel_Abr_Mig Ret 3G_3" xfId="9304"/>
    <cellStyle name="_TENDÊNCIA RET VAR VOL_1_BD Painel_Abr_Mig Ret 3G_4" xfId="9305"/>
    <cellStyle name="_TENDÊNCIA RET VAR VOL_1_BD Painel_Abr_Mig Ret 3G_5" xfId="9306"/>
    <cellStyle name="_TENDÊNCIA RET VAR VOL_1_BD Painel_Abr_Mig Ret 3G_6" xfId="9307"/>
    <cellStyle name="_TENDÊNCIA RET VAR VOL_1_BD Painel_Abr_Mig Ret 3G_7" xfId="9308"/>
    <cellStyle name="_TENDÊNCIA RET VAR VOL_1_BD Painel_Abr_Movel" xfId="9309"/>
    <cellStyle name="_TENDÊNCIA RET VAR VOL_1_BD Painel_Abr_Movel_1" xfId="9310"/>
    <cellStyle name="_TENDÊNCIA RET VAR VOL_1_BD Painel_Abr_Movel_2" xfId="9311"/>
    <cellStyle name="_TENDÊNCIA RET VAR VOL_1_BD Painel_Abr_Movel_3" xfId="9312"/>
    <cellStyle name="_TENDÊNCIA RET VAR VOL_1_BD Painel_Abr_Movel_4" xfId="9313"/>
    <cellStyle name="_TENDÊNCIA RET VAR VOL_1_BD Painel_Abr_Movel_5" xfId="9314"/>
    <cellStyle name="_TENDÊNCIA RET VAR VOL_1_BD Painel_Abr_Movel_6" xfId="9315"/>
    <cellStyle name="_TENDÊNCIA RET VAR VOL_1_BD Painel_Abr_Movel_7" xfId="9316"/>
    <cellStyle name="_TENDÊNCIA RET VAR VOL_1_BD Painel_Abr_Retenção" xfId="9317"/>
    <cellStyle name="_TENDÊNCIA RET VAR VOL_1_BD Resumo diário Painel de Televendas Setembro 2010_BASE_UNICA" xfId="9318"/>
    <cellStyle name="_TENDÊNCIA RET VAR VOL_1_BD Resumo diário Painel de Televendas Setembro 2010_BASE_UNICA_Base" xfId="9319"/>
    <cellStyle name="_TENDÊNCIA RET VAR VOL_1_BD Resumo diário Painel de Televendas Setembro 2010_BASE_UNICA_D_Movel" xfId="9320"/>
    <cellStyle name="_TENDÊNCIA RET VAR VOL_1_BD Resumo diário Painel de Televendas Setembro 2010_BASE_UNICA_D_Ret_Fixa_EMP" xfId="9321"/>
    <cellStyle name="_TENDÊNCIA RET VAR VOL_1_BD Resumo diário Painel de Televendas Setembro 2010_BASE_UNICA_D_Ret_Fixa_EMP_1" xfId="9322"/>
    <cellStyle name="_TENDÊNCIA RET VAR VOL_1_BD Resumo diário Painel de Televendas Setembro 2010_BASE_UNICA_D_Ret_Fixa_EMP_2" xfId="9323"/>
    <cellStyle name="_TENDÊNCIA RET VAR VOL_1_BD Resumo diário Painel de Televendas Setembro 2010_BASE_UNICA_D_Ret_Fixa_EMP_3" xfId="9324"/>
    <cellStyle name="_TENDÊNCIA RET VAR VOL_1_BD Resumo diário Painel de Televendas Setembro 2010_BASE_UNICA_D_Ret_Fixa_EMP_4" xfId="9325"/>
    <cellStyle name="_TENDÊNCIA RET VAR VOL_1_BD Resumo diário Painel de Televendas Setembro 2010_BASE_UNICA_D_Ret_Fixa_EMP_5" xfId="9326"/>
    <cellStyle name="_TENDÊNCIA RET VAR VOL_1_BD Resumo diário Painel de Televendas Setembro 2010_BASE_UNICA_D_Ret_Fixa_EMP_6" xfId="9327"/>
    <cellStyle name="_TENDÊNCIA RET VAR VOL_1_BD Resumo diário Painel de Televendas Setembro 2010_BASE_UNICA_D_Ret_Fixa_EMP_7" xfId="9328"/>
    <cellStyle name="_TENDÊNCIA RET VAR VOL_1_BD Resumo diário Painel de Televendas Setembro 2010_BASE_UNICA_D_Ret_Fixa_EMP_8" xfId="9329"/>
    <cellStyle name="_TENDÊNCIA RET VAR VOL_1_BD Resumo diário Painel de Televendas Setembro 2010_BASE_UNICA_D_Ret_Fixa_VAR" xfId="9330"/>
    <cellStyle name="_TENDÊNCIA RET VAR VOL_1_BD Resumo diário Painel de Televendas Setembro 2010_BASE_UNICA_D_Ret_Fixa_VAR_1" xfId="9331"/>
    <cellStyle name="_TENDÊNCIA RET VAR VOL_1_BD Resumo diário Painel de Televendas Setembro 2010_BASE_UNICA_D_Ret_Fixa_VAR_2" xfId="9332"/>
    <cellStyle name="_TENDÊNCIA RET VAR VOL_1_BD Resumo diário Painel de Televendas Setembro 2010_BASE_UNICA_D_Ret_Fixa_VAR_3" xfId="9333"/>
    <cellStyle name="_TENDÊNCIA RET VAR VOL_1_BD Resumo diário Painel de Televendas Setembro 2010_BASE_UNICA_D_Ret_Fixa_VAR_4" xfId="9334"/>
    <cellStyle name="_TENDÊNCIA RET VAR VOL_1_BD Resumo diário Painel de Televendas Setembro 2010_BASE_UNICA_D_Ret_Fixa_VAR_5" xfId="9335"/>
    <cellStyle name="_TENDÊNCIA RET VAR VOL_1_BD Resumo diário Painel de Televendas Setembro 2010_BASE_UNICA_D_Ret_Fixa_VAR_6" xfId="9336"/>
    <cellStyle name="_TENDÊNCIA RET VAR VOL_1_BD Resumo diário Painel de Televendas Setembro 2010_BASE_UNICA_D_Ret_Fixa_VAR_7" xfId="9337"/>
    <cellStyle name="_TENDÊNCIA RET VAR VOL_1_BD Resumo diário Painel de Televendas Setembro 2010_BASE_UNICA_D_Ret_Fixa_VAR_8" xfId="9338"/>
    <cellStyle name="_TENDÊNCIA RET VAR VOL_1_BD Resumo diário Painel de Televendas Setembro 2010_BASE_UNICA_De_Para_plano" xfId="9339"/>
    <cellStyle name="_TENDÊNCIA RET VAR VOL_1_BD Resumo diário Painel de Televendas Setembro 2010_BASE_UNICA_Mig Ret 3G" xfId="9340"/>
    <cellStyle name="_TENDÊNCIA RET VAR VOL_1_BD Resumo diário Painel de Televendas Setembro 2010_BASE_UNICA_Mig Ret 3G_1" xfId="9341"/>
    <cellStyle name="_TENDÊNCIA RET VAR VOL_1_BD Resumo diário Painel de Televendas Setembro 2010_BASE_UNICA_Mig Ret 3G_2" xfId="9342"/>
    <cellStyle name="_TENDÊNCIA RET VAR VOL_1_BD Resumo diário Painel de Televendas Setembro 2010_BASE_UNICA_Mig Ret 3G_3" xfId="9343"/>
    <cellStyle name="_TENDÊNCIA RET VAR VOL_1_BD Resumo diário Painel de Televendas Setembro 2010_BASE_UNICA_Mig Ret 3G_4" xfId="9344"/>
    <cellStyle name="_TENDÊNCIA RET VAR VOL_1_BD Resumo diário Painel de Televendas Setembro 2010_BASE_UNICA_Mig Ret 3G_5" xfId="9345"/>
    <cellStyle name="_TENDÊNCIA RET VAR VOL_1_BD Resumo diário Painel de Televendas Setembro 2010_BASE_UNICA_Mig Ret 3G_6" xfId="9346"/>
    <cellStyle name="_TENDÊNCIA RET VAR VOL_1_BD Resumo diário Painel de Televendas Setembro 2010_BASE_UNICA_Mig Ret 3G_7" xfId="9347"/>
    <cellStyle name="_TENDÊNCIA RET VAR VOL_1_BD Resumo diário Painel de Televendas Setembro 2010_BASE_UNICA_Movel" xfId="9348"/>
    <cellStyle name="_TENDÊNCIA RET VAR VOL_1_BD Resumo diário Painel de Televendas Setembro 2010_BASE_UNICA_Movel_1" xfId="9349"/>
    <cellStyle name="_TENDÊNCIA RET VAR VOL_1_BD Resumo diário Painel de Televendas Setembro 2010_BASE_UNICA_Movel_2" xfId="9350"/>
    <cellStyle name="_TENDÊNCIA RET VAR VOL_1_BD Resumo diário Painel de Televendas Setembro 2010_BASE_UNICA_Movel_3" xfId="9351"/>
    <cellStyle name="_TENDÊNCIA RET VAR VOL_1_BD Resumo diário Painel de Televendas Setembro 2010_BASE_UNICA_Movel_4" xfId="9352"/>
    <cellStyle name="_TENDÊNCIA RET VAR VOL_1_BD Resumo diário Painel de Televendas Setembro 2010_BASE_UNICA_Movel_5" xfId="9353"/>
    <cellStyle name="_TENDÊNCIA RET VAR VOL_1_BD Resumo diário Painel de Televendas Setembro 2010_BASE_UNICA_Movel_6" xfId="9354"/>
    <cellStyle name="_TENDÊNCIA RET VAR VOL_1_BD Resumo diário Painel de Televendas Setembro 2010_BASE_UNICA_Movel_7" xfId="9355"/>
    <cellStyle name="_TENDÊNCIA RET VAR VOL_1_BD Resumo diário Painel de Televendas Setembro 2010_BASE_UNICA_Retenção" xfId="9356"/>
    <cellStyle name="_TENDÊNCIA RET VAR VOL_1_D_Movel" xfId="9357"/>
    <cellStyle name="_TENDÊNCIA RET VAR VOL_1_Mig Ret 3G" xfId="9358"/>
    <cellStyle name="_TENDÊNCIA RET VAR VOL_1_Pasta1" xfId="9359"/>
    <cellStyle name="_TENDÊNCIA RET VAR VOL_1_Pasta1_Base" xfId="9360"/>
    <cellStyle name="_TENDÊNCIA RET VAR VOL_1_Pasta1_D_Movel" xfId="9361"/>
    <cellStyle name="_TENDÊNCIA RET VAR VOL_1_Pasta1_D_Ret_Fixa_EMP" xfId="9362"/>
    <cellStyle name="_TENDÊNCIA RET VAR VOL_1_Pasta1_D_Ret_Fixa_EMP_1" xfId="9363"/>
    <cellStyle name="_TENDÊNCIA RET VAR VOL_1_Pasta1_D_Ret_Fixa_EMP_2" xfId="9364"/>
    <cellStyle name="_TENDÊNCIA RET VAR VOL_1_Pasta1_D_Ret_Fixa_EMP_3" xfId="9365"/>
    <cellStyle name="_TENDÊNCIA RET VAR VOL_1_Pasta1_D_Ret_Fixa_EMP_4" xfId="9366"/>
    <cellStyle name="_TENDÊNCIA RET VAR VOL_1_Pasta1_D_Ret_Fixa_EMP_5" xfId="9367"/>
    <cellStyle name="_TENDÊNCIA RET VAR VOL_1_Pasta1_D_Ret_Fixa_EMP_6" xfId="9368"/>
    <cellStyle name="_TENDÊNCIA RET VAR VOL_1_Pasta1_D_Ret_Fixa_EMP_7" xfId="9369"/>
    <cellStyle name="_TENDÊNCIA RET VAR VOL_1_Pasta1_D_Ret_Fixa_EMP_8" xfId="9370"/>
    <cellStyle name="_TENDÊNCIA RET VAR VOL_1_Pasta1_D_Ret_Fixa_VAR" xfId="9371"/>
    <cellStyle name="_TENDÊNCIA RET VAR VOL_1_Pasta1_D_Ret_Fixa_VAR_1" xfId="9372"/>
    <cellStyle name="_TENDÊNCIA RET VAR VOL_1_Pasta1_D_Ret_Fixa_VAR_2" xfId="9373"/>
    <cellStyle name="_TENDÊNCIA RET VAR VOL_1_Pasta1_D_Ret_Fixa_VAR_3" xfId="9374"/>
    <cellStyle name="_TENDÊNCIA RET VAR VOL_1_Pasta1_D_Ret_Fixa_VAR_4" xfId="9375"/>
    <cellStyle name="_TENDÊNCIA RET VAR VOL_1_Pasta1_D_Ret_Fixa_VAR_5" xfId="9376"/>
    <cellStyle name="_TENDÊNCIA RET VAR VOL_1_Pasta1_D_Ret_Fixa_VAR_6" xfId="9377"/>
    <cellStyle name="_TENDÊNCIA RET VAR VOL_1_Pasta1_D_Ret_Fixa_VAR_7" xfId="9378"/>
    <cellStyle name="_TENDÊNCIA RET VAR VOL_1_Pasta1_D_Ret_Fixa_VAR_8" xfId="9379"/>
    <cellStyle name="_TENDÊNCIA RET VAR VOL_1_Pasta1_De_Para_plano" xfId="9380"/>
    <cellStyle name="_TENDÊNCIA RET VAR VOL_1_Pasta1_Mig Ret 3G" xfId="9381"/>
    <cellStyle name="_TENDÊNCIA RET VAR VOL_1_Pasta1_Mig Ret 3G_1" xfId="9382"/>
    <cellStyle name="_TENDÊNCIA RET VAR VOL_1_Pasta1_Mig Ret 3G_2" xfId="9383"/>
    <cellStyle name="_TENDÊNCIA RET VAR VOL_1_Pasta1_Mig Ret 3G_3" xfId="9384"/>
    <cellStyle name="_TENDÊNCIA RET VAR VOL_1_Pasta1_Mig Ret 3G_4" xfId="9385"/>
    <cellStyle name="_TENDÊNCIA RET VAR VOL_1_Pasta1_Mig Ret 3G_5" xfId="9386"/>
    <cellStyle name="_TENDÊNCIA RET VAR VOL_1_Pasta1_Mig Ret 3G_6" xfId="9387"/>
    <cellStyle name="_TENDÊNCIA RET VAR VOL_1_Pasta1_Mig Ret 3G_7" xfId="9388"/>
    <cellStyle name="_TENDÊNCIA RET VAR VOL_1_Pasta1_Movel" xfId="9389"/>
    <cellStyle name="_TENDÊNCIA RET VAR VOL_1_Pasta1_Movel_1" xfId="9390"/>
    <cellStyle name="_TENDÊNCIA RET VAR VOL_1_Pasta1_Movel_2" xfId="9391"/>
    <cellStyle name="_TENDÊNCIA RET VAR VOL_1_Pasta1_Movel_3" xfId="9392"/>
    <cellStyle name="_TENDÊNCIA RET VAR VOL_1_Pasta1_Movel_4" xfId="9393"/>
    <cellStyle name="_TENDÊNCIA RET VAR VOL_1_Pasta1_Movel_5" xfId="9394"/>
    <cellStyle name="_TENDÊNCIA RET VAR VOL_1_Pasta1_Movel_6" xfId="9395"/>
    <cellStyle name="_TENDÊNCIA RET VAR VOL_1_Pasta1_Movel_7" xfId="9396"/>
    <cellStyle name="_TENDÊNCIA RET VAR VOL_1_Pasta1_Retenção" xfId="9397"/>
    <cellStyle name="_TENDÊNCIA RET VAR VOL_1_Plan1" xfId="9398"/>
    <cellStyle name="_TENDÊNCIA RET VAR VOL_1_Plan1_Base" xfId="9399"/>
    <cellStyle name="_TENDÊNCIA RET VAR VOL_1_Plan1_D_Ret_Fixa_EMP" xfId="9400"/>
    <cellStyle name="_TENDÊNCIA RET VAR VOL_1_Plan1_D_Ret_Fixa_EMP_1" xfId="9401"/>
    <cellStyle name="_TENDÊNCIA RET VAR VOL_1_Plan1_D_Ret_Fixa_EMP_2" xfId="9402"/>
    <cellStyle name="_TENDÊNCIA RET VAR VOL_1_Plan1_D_Ret_Fixa_EMP_3" xfId="9403"/>
    <cellStyle name="_TENDÊNCIA RET VAR VOL_1_Plan1_D_Ret_Fixa_EMP_4" xfId="9404"/>
    <cellStyle name="_TENDÊNCIA RET VAR VOL_1_Plan1_D_Ret_Fixa_EMP_5" xfId="9405"/>
    <cellStyle name="_TENDÊNCIA RET VAR VOL_1_Plan1_D_Ret_Fixa_EMP_6" xfId="9406"/>
    <cellStyle name="_TENDÊNCIA RET VAR VOL_1_Plan1_D_Ret_Fixa_EMP_7" xfId="9407"/>
    <cellStyle name="_TENDÊNCIA RET VAR VOL_1_Plan1_D_Ret_Fixa_EMP_8" xfId="9408"/>
    <cellStyle name="_TENDÊNCIA RET VAR VOL_1_Plan1_D_Ret_Fixa_VAR" xfId="9409"/>
    <cellStyle name="_TENDÊNCIA RET VAR VOL_1_Plan1_D_Ret_Fixa_VAR_1" xfId="9410"/>
    <cellStyle name="_TENDÊNCIA RET VAR VOL_1_Plan1_D_Ret_Fixa_VAR_2" xfId="9411"/>
    <cellStyle name="_TENDÊNCIA RET VAR VOL_1_Plan1_D_Ret_Fixa_VAR_3" xfId="9412"/>
    <cellStyle name="_TENDÊNCIA RET VAR VOL_1_Plan1_D_Ret_Fixa_VAR_4" xfId="9413"/>
    <cellStyle name="_TENDÊNCIA RET VAR VOL_1_Plan1_D_Ret_Fixa_VAR_5" xfId="9414"/>
    <cellStyle name="_TENDÊNCIA RET VAR VOL_1_Plan1_D_Ret_Fixa_VAR_6" xfId="9415"/>
    <cellStyle name="_TENDÊNCIA RET VAR VOL_1_Plan1_D_Ret_Fixa_VAR_7" xfId="9416"/>
    <cellStyle name="_TENDÊNCIA RET VAR VOL_1_Plan1_D_Ret_Fixa_VAR_8" xfId="9417"/>
    <cellStyle name="_TENDÊNCIA RET VAR VOL_1_Plan1_Mig Ret 3G" xfId="9418"/>
    <cellStyle name="_TENDÊNCIA RET VAR VOL_1_Plan1_Mig Ret 3G_1" xfId="9419"/>
    <cellStyle name="_TENDÊNCIA RET VAR VOL_1_Plan1_Mig Ret 3G_2" xfId="9420"/>
    <cellStyle name="_TENDÊNCIA RET VAR VOL_1_Plan1_Mig Ret 3G_3" xfId="9421"/>
    <cellStyle name="_TENDÊNCIA RET VAR VOL_1_Plan1_Mig Ret 3G_4" xfId="9422"/>
    <cellStyle name="_TENDÊNCIA RET VAR VOL_1_Plan1_Mig Ret 3G_5" xfId="9423"/>
    <cellStyle name="_TENDÊNCIA RET VAR VOL_1_Plan1_Mig Ret 3G_6" xfId="9424"/>
    <cellStyle name="_TENDÊNCIA RET VAR VOL_1_Plan1_Mig Ret 3G_7" xfId="9425"/>
    <cellStyle name="_TENDÊNCIA RET VAR VOL_1_Plan1_Movel" xfId="9426"/>
    <cellStyle name="_TENDÊNCIA RET VAR VOL_1_Plan1_Movel_1" xfId="9427"/>
    <cellStyle name="_TENDÊNCIA RET VAR VOL_1_Plan1_Movel_2" xfId="9428"/>
    <cellStyle name="_TENDÊNCIA RET VAR VOL_1_Plan1_Movel_3" xfId="9429"/>
    <cellStyle name="_TENDÊNCIA RET VAR VOL_1_Plan1_Movel_4" xfId="9430"/>
    <cellStyle name="_TENDÊNCIA RET VAR VOL_1_Plan1_Movel_5" xfId="9431"/>
    <cellStyle name="_TENDÊNCIA RET VAR VOL_1_Plan1_Movel_6" xfId="9432"/>
    <cellStyle name="_TENDÊNCIA RET VAR VOL_1_Plan1_Movel_7" xfId="9433"/>
    <cellStyle name="_TENDÊNCIA RET VAR VOL_1_Plan1_Retenção" xfId="9434"/>
    <cellStyle name="_TENDÊNCIA RET VAR VOL_1_Plan2" xfId="9435"/>
    <cellStyle name="_TENDÊNCIA RET VAR VOL_1_Plan2_Base" xfId="9436"/>
    <cellStyle name="_TENDÊNCIA RET VAR VOL_1_Plan2_D_Ret_Fixa_EMP" xfId="9437"/>
    <cellStyle name="_TENDÊNCIA RET VAR VOL_1_Plan2_D_Ret_Fixa_EMP_1" xfId="9438"/>
    <cellStyle name="_TENDÊNCIA RET VAR VOL_1_Plan2_D_Ret_Fixa_EMP_2" xfId="9439"/>
    <cellStyle name="_TENDÊNCIA RET VAR VOL_1_Plan2_D_Ret_Fixa_EMP_3" xfId="9440"/>
    <cellStyle name="_TENDÊNCIA RET VAR VOL_1_Plan2_D_Ret_Fixa_EMP_4" xfId="9441"/>
    <cellStyle name="_TENDÊNCIA RET VAR VOL_1_Plan2_D_Ret_Fixa_EMP_5" xfId="9442"/>
    <cellStyle name="_TENDÊNCIA RET VAR VOL_1_Plan2_D_Ret_Fixa_EMP_6" xfId="9443"/>
    <cellStyle name="_TENDÊNCIA RET VAR VOL_1_Plan2_D_Ret_Fixa_EMP_7" xfId="9444"/>
    <cellStyle name="_TENDÊNCIA RET VAR VOL_1_Plan2_D_Ret_Fixa_EMP_8" xfId="9445"/>
    <cellStyle name="_TENDÊNCIA RET VAR VOL_1_Plan2_D_Ret_Fixa_VAR" xfId="9446"/>
    <cellStyle name="_TENDÊNCIA RET VAR VOL_1_Plan2_D_Ret_Fixa_VAR_1" xfId="9447"/>
    <cellStyle name="_TENDÊNCIA RET VAR VOL_1_Plan2_D_Ret_Fixa_VAR_2" xfId="9448"/>
    <cellStyle name="_TENDÊNCIA RET VAR VOL_1_Plan2_D_Ret_Fixa_VAR_3" xfId="9449"/>
    <cellStyle name="_TENDÊNCIA RET VAR VOL_1_Plan2_D_Ret_Fixa_VAR_4" xfId="9450"/>
    <cellStyle name="_TENDÊNCIA RET VAR VOL_1_Plan2_D_Ret_Fixa_VAR_5" xfId="9451"/>
    <cellStyle name="_TENDÊNCIA RET VAR VOL_1_Plan2_D_Ret_Fixa_VAR_6" xfId="9452"/>
    <cellStyle name="_TENDÊNCIA RET VAR VOL_1_Plan2_D_Ret_Fixa_VAR_7" xfId="9453"/>
    <cellStyle name="_TENDÊNCIA RET VAR VOL_1_Plan2_D_Ret_Fixa_VAR_8" xfId="9454"/>
    <cellStyle name="_TENDÊNCIA RET VAR VOL_1_Plan2_Mig Ret 3G" xfId="9455"/>
    <cellStyle name="_TENDÊNCIA RET VAR VOL_1_Plan2_Mig Ret 3G_1" xfId="9456"/>
    <cellStyle name="_TENDÊNCIA RET VAR VOL_1_Plan2_Mig Ret 3G_2" xfId="9457"/>
    <cellStyle name="_TENDÊNCIA RET VAR VOL_1_Plan2_Mig Ret 3G_3" xfId="9458"/>
    <cellStyle name="_TENDÊNCIA RET VAR VOL_1_Plan2_Mig Ret 3G_4" xfId="9459"/>
    <cellStyle name="_TENDÊNCIA RET VAR VOL_1_Plan2_Mig Ret 3G_5" xfId="9460"/>
    <cellStyle name="_TENDÊNCIA RET VAR VOL_1_Plan2_Mig Ret 3G_6" xfId="9461"/>
    <cellStyle name="_TENDÊNCIA RET VAR VOL_1_Plan2_Mig Ret 3G_7" xfId="9462"/>
    <cellStyle name="_TENDÊNCIA RET VAR VOL_1_Plan2_Movel" xfId="9463"/>
    <cellStyle name="_TENDÊNCIA RET VAR VOL_1_Plan2_Movel_1" xfId="9464"/>
    <cellStyle name="_TENDÊNCIA RET VAR VOL_1_Plan2_Movel_2" xfId="9465"/>
    <cellStyle name="_TENDÊNCIA RET VAR VOL_1_Plan2_Movel_3" xfId="9466"/>
    <cellStyle name="_TENDÊNCIA RET VAR VOL_1_Plan2_Movel_4" xfId="9467"/>
    <cellStyle name="_TENDÊNCIA RET VAR VOL_1_Plan2_Movel_5" xfId="9468"/>
    <cellStyle name="_TENDÊNCIA RET VAR VOL_1_Plan2_Movel_6" xfId="9469"/>
    <cellStyle name="_TENDÊNCIA RET VAR VOL_1_Plan2_Movel_7" xfId="9470"/>
    <cellStyle name="_TENDÊNCIA RET VAR VOL_1_Plan2_Retenção" xfId="9471"/>
    <cellStyle name="_TENDÊNCIA RET VAR VOL_1_Retenção" xfId="9472"/>
    <cellStyle name="_TENDÊNCIA RET VAR VOL_1_Retenção Painel" xfId="9473"/>
    <cellStyle name="_TENDÊNCIA RET VAR VOL_1_Retenção Painel_Base" xfId="9474"/>
    <cellStyle name="_TENDÊNCIA RET VAR VOL_1_Retenção Painel_D_Movel" xfId="9475"/>
    <cellStyle name="_TENDÊNCIA RET VAR VOL_1_Retenção Painel_D_Ret_Fixa_EMP" xfId="9476"/>
    <cellStyle name="_TENDÊNCIA RET VAR VOL_1_Retenção Painel_D_Ret_Fixa_EMP_1" xfId="9477"/>
    <cellStyle name="_TENDÊNCIA RET VAR VOL_1_Retenção Painel_D_Ret_Fixa_EMP_2" xfId="9478"/>
    <cellStyle name="_TENDÊNCIA RET VAR VOL_1_Retenção Painel_D_Ret_Fixa_EMP_3" xfId="9479"/>
    <cellStyle name="_TENDÊNCIA RET VAR VOL_1_Retenção Painel_D_Ret_Fixa_EMP_4" xfId="9480"/>
    <cellStyle name="_TENDÊNCIA RET VAR VOL_1_Retenção Painel_D_Ret_Fixa_EMP_5" xfId="9481"/>
    <cellStyle name="_TENDÊNCIA RET VAR VOL_1_Retenção Painel_D_Ret_Fixa_EMP_6" xfId="9482"/>
    <cellStyle name="_TENDÊNCIA RET VAR VOL_1_Retenção Painel_D_Ret_Fixa_EMP_7" xfId="9483"/>
    <cellStyle name="_TENDÊNCIA RET VAR VOL_1_Retenção Painel_D_Ret_Fixa_EMP_8" xfId="9484"/>
    <cellStyle name="_TENDÊNCIA RET VAR VOL_1_Retenção Painel_D_Ret_Fixa_VAR" xfId="9485"/>
    <cellStyle name="_TENDÊNCIA RET VAR VOL_1_Retenção Painel_D_Ret_Fixa_VAR_1" xfId="9486"/>
    <cellStyle name="_TENDÊNCIA RET VAR VOL_1_Retenção Painel_D_Ret_Fixa_VAR_2" xfId="9487"/>
    <cellStyle name="_TENDÊNCIA RET VAR VOL_1_Retenção Painel_D_Ret_Fixa_VAR_3" xfId="9488"/>
    <cellStyle name="_TENDÊNCIA RET VAR VOL_1_Retenção Painel_D_Ret_Fixa_VAR_4" xfId="9489"/>
    <cellStyle name="_TENDÊNCIA RET VAR VOL_1_Retenção Painel_D_Ret_Fixa_VAR_5" xfId="9490"/>
    <cellStyle name="_TENDÊNCIA RET VAR VOL_1_Retenção Painel_D_Ret_Fixa_VAR_6" xfId="9491"/>
    <cellStyle name="_TENDÊNCIA RET VAR VOL_1_Retenção Painel_D_Ret_Fixa_VAR_7" xfId="9492"/>
    <cellStyle name="_TENDÊNCIA RET VAR VOL_1_Retenção Painel_D_Ret_Fixa_VAR_8" xfId="9493"/>
    <cellStyle name="_TENDÊNCIA RET VAR VOL_1_Retenção Painel_De_Para_plano" xfId="9494"/>
    <cellStyle name="_TENDÊNCIA RET VAR VOL_1_Retenção Painel_Mig Ret 3G" xfId="9495"/>
    <cellStyle name="_TENDÊNCIA RET VAR VOL_1_Retenção Painel_Mig Ret 3G_1" xfId="9496"/>
    <cellStyle name="_TENDÊNCIA RET VAR VOL_1_Retenção Painel_Mig Ret 3G_2" xfId="9497"/>
    <cellStyle name="_TENDÊNCIA RET VAR VOL_1_Retenção Painel_Mig Ret 3G_3" xfId="9498"/>
    <cellStyle name="_TENDÊNCIA RET VAR VOL_1_Retenção Painel_Mig Ret 3G_4" xfId="9499"/>
    <cellStyle name="_TENDÊNCIA RET VAR VOL_1_Retenção Painel_Mig Ret 3G_5" xfId="9500"/>
    <cellStyle name="_TENDÊNCIA RET VAR VOL_1_Retenção Painel_Mig Ret 3G_6" xfId="9501"/>
    <cellStyle name="_TENDÊNCIA RET VAR VOL_1_Retenção Painel_Mig Ret 3G_7" xfId="9502"/>
    <cellStyle name="_TENDÊNCIA RET VAR VOL_1_Retenção Painel_Movel" xfId="9503"/>
    <cellStyle name="_TENDÊNCIA RET VAR VOL_1_Retenção Painel_Movel_1" xfId="9504"/>
    <cellStyle name="_TENDÊNCIA RET VAR VOL_1_Retenção Painel_Movel_2" xfId="9505"/>
    <cellStyle name="_TENDÊNCIA RET VAR VOL_1_Retenção Painel_Movel_3" xfId="9506"/>
    <cellStyle name="_TENDÊNCIA RET VAR VOL_1_Retenção Painel_Movel_4" xfId="9507"/>
    <cellStyle name="_TENDÊNCIA RET VAR VOL_1_Retenção Painel_Movel_5" xfId="9508"/>
    <cellStyle name="_TENDÊNCIA RET VAR VOL_1_Retenção Painel_Movel_6" xfId="9509"/>
    <cellStyle name="_TENDÊNCIA RET VAR VOL_1_Retenção Painel_Movel_7" xfId="9510"/>
    <cellStyle name="_TENDÊNCIA RET VAR VOL_1_Retenção Painel_Retenção" xfId="9511"/>
    <cellStyle name="_TENDÊNCIA RET VAR VOL_1_Retenção_Base" xfId="9512"/>
    <cellStyle name="_TENDÊNCIA RET VAR VOL_1_Retenção_D_Ret_Fixa_EMP" xfId="9513"/>
    <cellStyle name="_TENDÊNCIA RET VAR VOL_1_Retenção_D_Ret_Fixa_EMP_1" xfId="9514"/>
    <cellStyle name="_TENDÊNCIA RET VAR VOL_1_Retenção_D_Ret_Fixa_EMP_2" xfId="9515"/>
    <cellStyle name="_TENDÊNCIA RET VAR VOL_1_Retenção_D_Ret_Fixa_EMP_3" xfId="9516"/>
    <cellStyle name="_TENDÊNCIA RET VAR VOL_1_Retenção_D_Ret_Fixa_EMP_4" xfId="9517"/>
    <cellStyle name="_TENDÊNCIA RET VAR VOL_1_Retenção_D_Ret_Fixa_EMP_5" xfId="9518"/>
    <cellStyle name="_TENDÊNCIA RET VAR VOL_1_Retenção_D_Ret_Fixa_EMP_6" xfId="9519"/>
    <cellStyle name="_TENDÊNCIA RET VAR VOL_1_Retenção_D_Ret_Fixa_EMP_7" xfId="9520"/>
    <cellStyle name="_TENDÊNCIA RET VAR VOL_1_Retenção_D_Ret_Fixa_EMP_8" xfId="9521"/>
    <cellStyle name="_TENDÊNCIA RET VAR VOL_1_Retenção_D_Ret_Fixa_VAR" xfId="9522"/>
    <cellStyle name="_TENDÊNCIA RET VAR VOL_1_Retenção_D_Ret_Fixa_VAR_1" xfId="9523"/>
    <cellStyle name="_TENDÊNCIA RET VAR VOL_1_Retenção_D_Ret_Fixa_VAR_2" xfId="9524"/>
    <cellStyle name="_TENDÊNCIA RET VAR VOL_1_Retenção_D_Ret_Fixa_VAR_3" xfId="9525"/>
    <cellStyle name="_TENDÊNCIA RET VAR VOL_1_Retenção_D_Ret_Fixa_VAR_4" xfId="9526"/>
    <cellStyle name="_TENDÊNCIA RET VAR VOL_1_Retenção_D_Ret_Fixa_VAR_5" xfId="9527"/>
    <cellStyle name="_TENDÊNCIA RET VAR VOL_1_Retenção_D_Ret_Fixa_VAR_6" xfId="9528"/>
    <cellStyle name="_TENDÊNCIA RET VAR VOL_1_Retenção_D_Ret_Fixa_VAR_7" xfId="9529"/>
    <cellStyle name="_TENDÊNCIA RET VAR VOL_1_Retenção_D_Ret_Fixa_VAR_8" xfId="9530"/>
    <cellStyle name="_TENDÊNCIA RET VAR VOL_1_Retenção_Mig Ret 3G" xfId="9531"/>
    <cellStyle name="_TENDÊNCIA RET VAR VOL_1_Retenção_Mig Ret 3G_1" xfId="9532"/>
    <cellStyle name="_TENDÊNCIA RET VAR VOL_1_Retenção_Mig Ret 3G_2" xfId="9533"/>
    <cellStyle name="_TENDÊNCIA RET VAR VOL_1_Retenção_Mig Ret 3G_3" xfId="9534"/>
    <cellStyle name="_TENDÊNCIA RET VAR VOL_1_Retenção_Mig Ret 3G_4" xfId="9535"/>
    <cellStyle name="_TENDÊNCIA RET VAR VOL_1_Retenção_Mig Ret 3G_5" xfId="9536"/>
    <cellStyle name="_TENDÊNCIA RET VAR VOL_1_Retenção_Mig Ret 3G_6" xfId="9537"/>
    <cellStyle name="_TENDÊNCIA RET VAR VOL_1_Retenção_Mig Ret 3G_7" xfId="9538"/>
    <cellStyle name="_TENDÊNCIA RET VAR VOL_1_Retenção_Movel" xfId="9539"/>
    <cellStyle name="_TENDÊNCIA RET VAR VOL_1_Retenção_Movel_1" xfId="9540"/>
    <cellStyle name="_TENDÊNCIA RET VAR VOL_1_Retenção_Movel_2" xfId="9541"/>
    <cellStyle name="_TENDÊNCIA RET VAR VOL_1_Retenção_Movel_3" xfId="9542"/>
    <cellStyle name="_TENDÊNCIA RET VAR VOL_1_Retenção_Movel_4" xfId="9543"/>
    <cellStyle name="_TENDÊNCIA RET VAR VOL_1_Retenção_Movel_5" xfId="9544"/>
    <cellStyle name="_TENDÊNCIA RET VAR VOL_1_Retenção_Movel_6" xfId="9545"/>
    <cellStyle name="_TENDÊNCIA RET VAR VOL_1_Retenção_Movel_7" xfId="9546"/>
    <cellStyle name="_TENDÊNCIA RET VAR VOL_1_Retenção_Retenção" xfId="9547"/>
    <cellStyle name="_TENDÊNCIA RET VAR VOL_1_Televendas Painel" xfId="9548"/>
    <cellStyle name="_TENDÊNCIA RET VAR VOL_1_Televendas Painel_Base" xfId="9549"/>
    <cellStyle name="_TENDÊNCIA RET VAR VOL_1_Televendas Painel_D_Movel" xfId="9550"/>
    <cellStyle name="_TENDÊNCIA RET VAR VOL_1_Televendas Painel_D_Ret_Fixa_EMP" xfId="9551"/>
    <cellStyle name="_TENDÊNCIA RET VAR VOL_1_Televendas Painel_D_Ret_Fixa_EMP_1" xfId="9552"/>
    <cellStyle name="_TENDÊNCIA RET VAR VOL_1_Televendas Painel_D_Ret_Fixa_EMP_2" xfId="9553"/>
    <cellStyle name="_TENDÊNCIA RET VAR VOL_1_Televendas Painel_D_Ret_Fixa_EMP_3" xfId="9554"/>
    <cellStyle name="_TENDÊNCIA RET VAR VOL_1_Televendas Painel_D_Ret_Fixa_EMP_4" xfId="9555"/>
    <cellStyle name="_TENDÊNCIA RET VAR VOL_1_Televendas Painel_D_Ret_Fixa_EMP_5" xfId="9556"/>
    <cellStyle name="_TENDÊNCIA RET VAR VOL_1_Televendas Painel_D_Ret_Fixa_EMP_6" xfId="9557"/>
    <cellStyle name="_TENDÊNCIA RET VAR VOL_1_Televendas Painel_D_Ret_Fixa_EMP_7" xfId="9558"/>
    <cellStyle name="_TENDÊNCIA RET VAR VOL_1_Televendas Painel_D_Ret_Fixa_EMP_8" xfId="9559"/>
    <cellStyle name="_TENDÊNCIA RET VAR VOL_1_Televendas Painel_D_Ret_Fixa_VAR" xfId="9560"/>
    <cellStyle name="_TENDÊNCIA RET VAR VOL_1_Televendas Painel_D_Ret_Fixa_VAR_1" xfId="9561"/>
    <cellStyle name="_TENDÊNCIA RET VAR VOL_1_Televendas Painel_D_Ret_Fixa_VAR_2" xfId="9562"/>
    <cellStyle name="_TENDÊNCIA RET VAR VOL_1_Televendas Painel_D_Ret_Fixa_VAR_3" xfId="9563"/>
    <cellStyle name="_TENDÊNCIA RET VAR VOL_1_Televendas Painel_D_Ret_Fixa_VAR_4" xfId="9564"/>
    <cellStyle name="_TENDÊNCIA RET VAR VOL_1_Televendas Painel_D_Ret_Fixa_VAR_5" xfId="9565"/>
    <cellStyle name="_TENDÊNCIA RET VAR VOL_1_Televendas Painel_D_Ret_Fixa_VAR_6" xfId="9566"/>
    <cellStyle name="_TENDÊNCIA RET VAR VOL_1_Televendas Painel_D_Ret_Fixa_VAR_7" xfId="9567"/>
    <cellStyle name="_TENDÊNCIA RET VAR VOL_1_Televendas Painel_D_Ret_Fixa_VAR_8" xfId="9568"/>
    <cellStyle name="_TENDÊNCIA RET VAR VOL_1_Televendas Painel_De_Para_plano" xfId="9569"/>
    <cellStyle name="_TENDÊNCIA RET VAR VOL_1_Televendas Painel_Mig Ret 3G" xfId="9570"/>
    <cellStyle name="_TENDÊNCIA RET VAR VOL_1_Televendas Painel_Mig Ret 3G_1" xfId="9571"/>
    <cellStyle name="_TENDÊNCIA RET VAR VOL_1_Televendas Painel_Mig Ret 3G_2" xfId="9572"/>
    <cellStyle name="_TENDÊNCIA RET VAR VOL_1_Televendas Painel_Mig Ret 3G_3" xfId="9573"/>
    <cellStyle name="_TENDÊNCIA RET VAR VOL_1_Televendas Painel_Mig Ret 3G_4" xfId="9574"/>
    <cellStyle name="_TENDÊNCIA RET VAR VOL_1_Televendas Painel_Mig Ret 3G_5" xfId="9575"/>
    <cellStyle name="_TENDÊNCIA RET VAR VOL_1_Televendas Painel_Mig Ret 3G_6" xfId="9576"/>
    <cellStyle name="_TENDÊNCIA RET VAR VOL_1_Televendas Painel_Mig Ret 3G_7" xfId="9577"/>
    <cellStyle name="_TENDÊNCIA RET VAR VOL_1_Televendas Painel_Movel" xfId="9578"/>
    <cellStyle name="_TENDÊNCIA RET VAR VOL_1_Televendas Painel_Movel_1" xfId="9579"/>
    <cellStyle name="_TENDÊNCIA RET VAR VOL_1_Televendas Painel_Movel_2" xfId="9580"/>
    <cellStyle name="_TENDÊNCIA RET VAR VOL_1_Televendas Painel_Movel_3" xfId="9581"/>
    <cellStyle name="_TENDÊNCIA RET VAR VOL_1_Televendas Painel_Movel_4" xfId="9582"/>
    <cellStyle name="_TENDÊNCIA RET VAR VOL_1_Televendas Painel_Movel_5" xfId="9583"/>
    <cellStyle name="_TENDÊNCIA RET VAR VOL_1_Televendas Painel_Movel_6" xfId="9584"/>
    <cellStyle name="_TENDÊNCIA RET VAR VOL_1_Televendas Painel_Movel_7" xfId="9585"/>
    <cellStyle name="_TENDÊNCIA RET VAR VOL_1_Televendas Painel_Retenção" xfId="9586"/>
    <cellStyle name="_TENDÊNCIA RET VAR VOL_1_TENDÊNCIA RET VAR VOL" xfId="9587"/>
    <cellStyle name="_TENDÊNCIA RET VAR VOL_1_TENDÊNCIA RET VAR VOL_Base" xfId="9588"/>
    <cellStyle name="_TENDÊNCIA RET VAR VOL_1_TENDÊNCIA RET VAR VOL_D_Ret_Fixa_EMP" xfId="9589"/>
    <cellStyle name="_TENDÊNCIA RET VAR VOL_1_TENDÊNCIA RET VAR VOL_D_Ret_Fixa_EMP_1" xfId="9590"/>
    <cellStyle name="_TENDÊNCIA RET VAR VOL_1_TENDÊNCIA RET VAR VOL_D_Ret_Fixa_EMP_2" xfId="9591"/>
    <cellStyle name="_TENDÊNCIA RET VAR VOL_1_TENDÊNCIA RET VAR VOL_D_Ret_Fixa_EMP_3" xfId="9592"/>
    <cellStyle name="_TENDÊNCIA RET VAR VOL_1_TENDÊNCIA RET VAR VOL_D_Ret_Fixa_EMP_4" xfId="9593"/>
    <cellStyle name="_TENDÊNCIA RET VAR VOL_1_TENDÊNCIA RET VAR VOL_D_Ret_Fixa_EMP_5" xfId="9594"/>
    <cellStyle name="_TENDÊNCIA RET VAR VOL_1_TENDÊNCIA RET VAR VOL_D_Ret_Fixa_EMP_6" xfId="9595"/>
    <cellStyle name="_TENDÊNCIA RET VAR VOL_1_TENDÊNCIA RET VAR VOL_D_Ret_Fixa_EMP_7" xfId="9596"/>
    <cellStyle name="_TENDÊNCIA RET VAR VOL_1_TENDÊNCIA RET VAR VOL_D_Ret_Fixa_EMP_8" xfId="9597"/>
    <cellStyle name="_TENDÊNCIA RET VAR VOL_1_TENDÊNCIA RET VAR VOL_D_Ret_Fixa_VAR" xfId="9598"/>
    <cellStyle name="_TENDÊNCIA RET VAR VOL_1_TENDÊNCIA RET VAR VOL_D_Ret_Fixa_VAR_1" xfId="9599"/>
    <cellStyle name="_TENDÊNCIA RET VAR VOL_1_TENDÊNCIA RET VAR VOL_D_Ret_Fixa_VAR_2" xfId="9600"/>
    <cellStyle name="_TENDÊNCIA RET VAR VOL_1_TENDÊNCIA RET VAR VOL_D_Ret_Fixa_VAR_3" xfId="9601"/>
    <cellStyle name="_TENDÊNCIA RET VAR VOL_1_TENDÊNCIA RET VAR VOL_D_Ret_Fixa_VAR_4" xfId="9602"/>
    <cellStyle name="_TENDÊNCIA RET VAR VOL_1_TENDÊNCIA RET VAR VOL_D_Ret_Fixa_VAR_5" xfId="9603"/>
    <cellStyle name="_TENDÊNCIA RET VAR VOL_1_TENDÊNCIA RET VAR VOL_D_Ret_Fixa_VAR_6" xfId="9604"/>
    <cellStyle name="_TENDÊNCIA RET VAR VOL_1_TENDÊNCIA RET VAR VOL_D_Ret_Fixa_VAR_7" xfId="9605"/>
    <cellStyle name="_TENDÊNCIA RET VAR VOL_1_TENDÊNCIA RET VAR VOL_D_Ret_Fixa_VAR_8" xfId="9606"/>
    <cellStyle name="_TENDÊNCIA RET VAR VOL_1_TENDÊNCIA RET VAR VOL_Mig Ret 3G" xfId="9607"/>
    <cellStyle name="_TENDÊNCIA RET VAR VOL_1_TENDÊNCIA RET VAR VOL_Mig Ret 3G_1" xfId="9608"/>
    <cellStyle name="_TENDÊNCIA RET VAR VOL_1_TENDÊNCIA RET VAR VOL_Mig Ret 3G_2" xfId="9609"/>
    <cellStyle name="_TENDÊNCIA RET VAR VOL_1_TENDÊNCIA RET VAR VOL_Mig Ret 3G_3" xfId="9610"/>
    <cellStyle name="_TENDÊNCIA RET VAR VOL_1_TENDÊNCIA RET VAR VOL_Mig Ret 3G_4" xfId="9611"/>
    <cellStyle name="_TENDÊNCIA RET VAR VOL_1_TENDÊNCIA RET VAR VOL_Mig Ret 3G_5" xfId="9612"/>
    <cellStyle name="_TENDÊNCIA RET VAR VOL_1_TENDÊNCIA RET VAR VOL_Mig Ret 3G_6" xfId="9613"/>
    <cellStyle name="_TENDÊNCIA RET VAR VOL_1_TENDÊNCIA RET VAR VOL_Mig Ret 3G_7" xfId="9614"/>
    <cellStyle name="_TENDÊNCIA RET VAR VOL_1_TENDÊNCIA RET VAR VOL_Movel" xfId="9615"/>
    <cellStyle name="_TENDÊNCIA RET VAR VOL_1_TENDÊNCIA RET VAR VOL_Movel_1" xfId="9616"/>
    <cellStyle name="_TENDÊNCIA RET VAR VOL_1_TENDÊNCIA RET VAR VOL_Movel_2" xfId="9617"/>
    <cellStyle name="_TENDÊNCIA RET VAR VOL_1_TENDÊNCIA RET VAR VOL_Movel_3" xfId="9618"/>
    <cellStyle name="_TENDÊNCIA RET VAR VOL_1_TENDÊNCIA RET VAR VOL_Movel_4" xfId="9619"/>
    <cellStyle name="_TENDÊNCIA RET VAR VOL_1_TENDÊNCIA RET VAR VOL_Movel_5" xfId="9620"/>
    <cellStyle name="_TENDÊNCIA RET VAR VOL_1_TENDÊNCIA RET VAR VOL_Movel_6" xfId="9621"/>
    <cellStyle name="_TENDÊNCIA RET VAR VOL_1_TENDÊNCIA RET VAR VOL_Movel_7" xfId="9622"/>
    <cellStyle name="_TENDÊNCIA RET VAR VOL_1_TENDÊNCIA RET VAR VOL_Retenção" xfId="9623"/>
    <cellStyle name="_TENDÊNCIA RET VAR VOL_BD Painel_Abr" xfId="9624"/>
    <cellStyle name="_TENDÊNCIA RET VAR VOL_BD Painel_Abr_Base" xfId="9625"/>
    <cellStyle name="_TENDÊNCIA RET VAR VOL_BD Painel_Abr_D_Ret_Fixa_EMP" xfId="9626"/>
    <cellStyle name="_TENDÊNCIA RET VAR VOL_BD Painel_Abr_D_Ret_Fixa_EMP_1" xfId="9627"/>
    <cellStyle name="_TENDÊNCIA RET VAR VOL_BD Painel_Abr_D_Ret_Fixa_EMP_2" xfId="9628"/>
    <cellStyle name="_TENDÊNCIA RET VAR VOL_BD Painel_Abr_D_Ret_Fixa_EMP_3" xfId="9629"/>
    <cellStyle name="_TENDÊNCIA RET VAR VOL_BD Painel_Abr_D_Ret_Fixa_EMP_4" xfId="9630"/>
    <cellStyle name="_TENDÊNCIA RET VAR VOL_BD Painel_Abr_D_Ret_Fixa_EMP_5" xfId="9631"/>
    <cellStyle name="_TENDÊNCIA RET VAR VOL_BD Painel_Abr_D_Ret_Fixa_EMP_6" xfId="9632"/>
    <cellStyle name="_TENDÊNCIA RET VAR VOL_BD Painel_Abr_D_Ret_Fixa_EMP_7" xfId="9633"/>
    <cellStyle name="_TENDÊNCIA RET VAR VOL_BD Painel_Abr_D_Ret_Fixa_EMP_8" xfId="9634"/>
    <cellStyle name="_TENDÊNCIA RET VAR VOL_BD Painel_Abr_D_Ret_Fixa_VAR" xfId="9635"/>
    <cellStyle name="_TENDÊNCIA RET VAR VOL_BD Painel_Abr_D_Ret_Fixa_VAR_1" xfId="9636"/>
    <cellStyle name="_TENDÊNCIA RET VAR VOL_BD Painel_Abr_D_Ret_Fixa_VAR_2" xfId="9637"/>
    <cellStyle name="_TENDÊNCIA RET VAR VOL_BD Painel_Abr_D_Ret_Fixa_VAR_3" xfId="9638"/>
    <cellStyle name="_TENDÊNCIA RET VAR VOL_BD Painel_Abr_D_Ret_Fixa_VAR_4" xfId="9639"/>
    <cellStyle name="_TENDÊNCIA RET VAR VOL_BD Painel_Abr_D_Ret_Fixa_VAR_5" xfId="9640"/>
    <cellStyle name="_TENDÊNCIA RET VAR VOL_BD Painel_Abr_D_Ret_Fixa_VAR_6" xfId="9641"/>
    <cellStyle name="_TENDÊNCIA RET VAR VOL_BD Painel_Abr_D_Ret_Fixa_VAR_7" xfId="9642"/>
    <cellStyle name="_TENDÊNCIA RET VAR VOL_BD Painel_Abr_D_Ret_Fixa_VAR_8" xfId="9643"/>
    <cellStyle name="_TENDÊNCIA RET VAR VOL_BD Painel_Abr_Mig Ret 3G" xfId="9644"/>
    <cellStyle name="_TENDÊNCIA RET VAR VOL_BD Painel_Abr_Mig Ret 3G_1" xfId="9645"/>
    <cellStyle name="_TENDÊNCIA RET VAR VOL_BD Painel_Abr_Mig Ret 3G_2" xfId="9646"/>
    <cellStyle name="_TENDÊNCIA RET VAR VOL_BD Painel_Abr_Mig Ret 3G_3" xfId="9647"/>
    <cellStyle name="_TENDÊNCIA RET VAR VOL_BD Painel_Abr_Mig Ret 3G_4" xfId="9648"/>
    <cellStyle name="_TENDÊNCIA RET VAR VOL_BD Painel_Abr_Mig Ret 3G_5" xfId="9649"/>
    <cellStyle name="_TENDÊNCIA RET VAR VOL_BD Painel_Abr_Mig Ret 3G_6" xfId="9650"/>
    <cellStyle name="_TENDÊNCIA RET VAR VOL_BD Painel_Abr_Mig Ret 3G_7" xfId="9651"/>
    <cellStyle name="_TENDÊNCIA RET VAR VOL_BD Painel_Abr_Movel" xfId="9652"/>
    <cellStyle name="_TENDÊNCIA RET VAR VOL_BD Painel_Abr_Movel_1" xfId="9653"/>
    <cellStyle name="_TENDÊNCIA RET VAR VOL_BD Painel_Abr_Movel_2" xfId="9654"/>
    <cellStyle name="_TENDÊNCIA RET VAR VOL_BD Painel_Abr_Movel_3" xfId="9655"/>
    <cellStyle name="_TENDÊNCIA RET VAR VOL_BD Painel_Abr_Movel_4" xfId="9656"/>
    <cellStyle name="_TENDÊNCIA RET VAR VOL_BD Painel_Abr_Movel_5" xfId="9657"/>
    <cellStyle name="_TENDÊNCIA RET VAR VOL_BD Painel_Abr_Movel_6" xfId="9658"/>
    <cellStyle name="_TENDÊNCIA RET VAR VOL_BD Painel_Abr_Movel_7" xfId="9659"/>
    <cellStyle name="_TENDÊNCIA RET VAR VOL_BD Painel_Abr_Retenção" xfId="9660"/>
    <cellStyle name="_TENDÊNCIA RET VAR VOL_BD Resumo diário Painel de Televendas Setembro 2010_BASE_UNICA" xfId="9661"/>
    <cellStyle name="_TENDÊNCIA RET VAR VOL_BD Resumo diário Painel de Televendas Setembro 2010_BASE_UNICA_Base" xfId="9662"/>
    <cellStyle name="_TENDÊNCIA RET VAR VOL_BD Resumo diário Painel de Televendas Setembro 2010_BASE_UNICA_D_Movel" xfId="9663"/>
    <cellStyle name="_TENDÊNCIA RET VAR VOL_BD Resumo diário Painel de Televendas Setembro 2010_BASE_UNICA_D_Ret_Fixa_EMP" xfId="9664"/>
    <cellStyle name="_TENDÊNCIA RET VAR VOL_BD Resumo diário Painel de Televendas Setembro 2010_BASE_UNICA_D_Ret_Fixa_EMP_1" xfId="9665"/>
    <cellStyle name="_TENDÊNCIA RET VAR VOL_BD Resumo diário Painel de Televendas Setembro 2010_BASE_UNICA_D_Ret_Fixa_EMP_2" xfId="9666"/>
    <cellStyle name="_TENDÊNCIA RET VAR VOL_BD Resumo diário Painel de Televendas Setembro 2010_BASE_UNICA_D_Ret_Fixa_EMP_3" xfId="9667"/>
    <cellStyle name="_TENDÊNCIA RET VAR VOL_BD Resumo diário Painel de Televendas Setembro 2010_BASE_UNICA_D_Ret_Fixa_EMP_4" xfId="9668"/>
    <cellStyle name="_TENDÊNCIA RET VAR VOL_BD Resumo diário Painel de Televendas Setembro 2010_BASE_UNICA_D_Ret_Fixa_EMP_5" xfId="9669"/>
    <cellStyle name="_TENDÊNCIA RET VAR VOL_BD Resumo diário Painel de Televendas Setembro 2010_BASE_UNICA_D_Ret_Fixa_EMP_6" xfId="9670"/>
    <cellStyle name="_TENDÊNCIA RET VAR VOL_BD Resumo diário Painel de Televendas Setembro 2010_BASE_UNICA_D_Ret_Fixa_EMP_7" xfId="9671"/>
    <cellStyle name="_TENDÊNCIA RET VAR VOL_BD Resumo diário Painel de Televendas Setembro 2010_BASE_UNICA_D_Ret_Fixa_EMP_8" xfId="9672"/>
    <cellStyle name="_TENDÊNCIA RET VAR VOL_BD Resumo diário Painel de Televendas Setembro 2010_BASE_UNICA_D_Ret_Fixa_VAR" xfId="9673"/>
    <cellStyle name="_TENDÊNCIA RET VAR VOL_BD Resumo diário Painel de Televendas Setembro 2010_BASE_UNICA_D_Ret_Fixa_VAR_1" xfId="9674"/>
    <cellStyle name="_TENDÊNCIA RET VAR VOL_BD Resumo diário Painel de Televendas Setembro 2010_BASE_UNICA_D_Ret_Fixa_VAR_2" xfId="9675"/>
    <cellStyle name="_TENDÊNCIA RET VAR VOL_BD Resumo diário Painel de Televendas Setembro 2010_BASE_UNICA_D_Ret_Fixa_VAR_3" xfId="9676"/>
    <cellStyle name="_TENDÊNCIA RET VAR VOL_BD Resumo diário Painel de Televendas Setembro 2010_BASE_UNICA_D_Ret_Fixa_VAR_4" xfId="9677"/>
    <cellStyle name="_TENDÊNCIA RET VAR VOL_BD Resumo diário Painel de Televendas Setembro 2010_BASE_UNICA_D_Ret_Fixa_VAR_5" xfId="9678"/>
    <cellStyle name="_TENDÊNCIA RET VAR VOL_BD Resumo diário Painel de Televendas Setembro 2010_BASE_UNICA_D_Ret_Fixa_VAR_6" xfId="9679"/>
    <cellStyle name="_TENDÊNCIA RET VAR VOL_BD Resumo diário Painel de Televendas Setembro 2010_BASE_UNICA_D_Ret_Fixa_VAR_7" xfId="9680"/>
    <cellStyle name="_TENDÊNCIA RET VAR VOL_BD Resumo diário Painel de Televendas Setembro 2010_BASE_UNICA_D_Ret_Fixa_VAR_8" xfId="9681"/>
    <cellStyle name="_TENDÊNCIA RET VAR VOL_BD Resumo diário Painel de Televendas Setembro 2010_BASE_UNICA_De_Para_plano" xfId="9682"/>
    <cellStyle name="_TENDÊNCIA RET VAR VOL_BD Resumo diário Painel de Televendas Setembro 2010_BASE_UNICA_Mig Ret 3G" xfId="9683"/>
    <cellStyle name="_TENDÊNCIA RET VAR VOL_BD Resumo diário Painel de Televendas Setembro 2010_BASE_UNICA_Mig Ret 3G_1" xfId="9684"/>
    <cellStyle name="_TENDÊNCIA RET VAR VOL_BD Resumo diário Painel de Televendas Setembro 2010_BASE_UNICA_Mig Ret 3G_2" xfId="9685"/>
    <cellStyle name="_TENDÊNCIA RET VAR VOL_BD Resumo diário Painel de Televendas Setembro 2010_BASE_UNICA_Mig Ret 3G_3" xfId="9686"/>
    <cellStyle name="_TENDÊNCIA RET VAR VOL_BD Resumo diário Painel de Televendas Setembro 2010_BASE_UNICA_Mig Ret 3G_4" xfId="9687"/>
    <cellStyle name="_TENDÊNCIA RET VAR VOL_BD Resumo diário Painel de Televendas Setembro 2010_BASE_UNICA_Mig Ret 3G_5" xfId="9688"/>
    <cellStyle name="_TENDÊNCIA RET VAR VOL_BD Resumo diário Painel de Televendas Setembro 2010_BASE_UNICA_Mig Ret 3G_6" xfId="9689"/>
    <cellStyle name="_TENDÊNCIA RET VAR VOL_BD Resumo diário Painel de Televendas Setembro 2010_BASE_UNICA_Mig Ret 3G_7" xfId="9690"/>
    <cellStyle name="_TENDÊNCIA RET VAR VOL_BD Resumo diário Painel de Televendas Setembro 2010_BASE_UNICA_Movel" xfId="9691"/>
    <cellStyle name="_TENDÊNCIA RET VAR VOL_BD Resumo diário Painel de Televendas Setembro 2010_BASE_UNICA_Movel_1" xfId="9692"/>
    <cellStyle name="_TENDÊNCIA RET VAR VOL_BD Resumo diário Painel de Televendas Setembro 2010_BASE_UNICA_Movel_2" xfId="9693"/>
    <cellStyle name="_TENDÊNCIA RET VAR VOL_BD Resumo diário Painel de Televendas Setembro 2010_BASE_UNICA_Movel_3" xfId="9694"/>
    <cellStyle name="_TENDÊNCIA RET VAR VOL_BD Resumo diário Painel de Televendas Setembro 2010_BASE_UNICA_Movel_4" xfId="9695"/>
    <cellStyle name="_TENDÊNCIA RET VAR VOL_BD Resumo diário Painel de Televendas Setembro 2010_BASE_UNICA_Movel_5" xfId="9696"/>
    <cellStyle name="_TENDÊNCIA RET VAR VOL_BD Resumo diário Painel de Televendas Setembro 2010_BASE_UNICA_Movel_6" xfId="9697"/>
    <cellStyle name="_TENDÊNCIA RET VAR VOL_BD Resumo diário Painel de Televendas Setembro 2010_BASE_UNICA_Movel_7" xfId="9698"/>
    <cellStyle name="_TENDÊNCIA RET VAR VOL_BD Resumo diário Painel de Televendas Setembro 2010_BASE_UNICA_Retenção" xfId="9699"/>
    <cellStyle name="_TENDÊNCIA RET VAR VOL_D_Movel" xfId="9700"/>
    <cellStyle name="_TENDÊNCIA RET VAR VOL_Mig Ret 3G" xfId="9701"/>
    <cellStyle name="_TENDÊNCIA RET VAR VOL_Pasta1" xfId="9702"/>
    <cellStyle name="_TENDÊNCIA RET VAR VOL_Pasta1_Base" xfId="9703"/>
    <cellStyle name="_TENDÊNCIA RET VAR VOL_Pasta1_D_Movel" xfId="9704"/>
    <cellStyle name="_TENDÊNCIA RET VAR VOL_Pasta1_D_Ret_Fixa_EMP" xfId="9705"/>
    <cellStyle name="_TENDÊNCIA RET VAR VOL_Pasta1_D_Ret_Fixa_EMP_1" xfId="9706"/>
    <cellStyle name="_TENDÊNCIA RET VAR VOL_Pasta1_D_Ret_Fixa_EMP_2" xfId="9707"/>
    <cellStyle name="_TENDÊNCIA RET VAR VOL_Pasta1_D_Ret_Fixa_EMP_3" xfId="9708"/>
    <cellStyle name="_TENDÊNCIA RET VAR VOL_Pasta1_D_Ret_Fixa_EMP_4" xfId="9709"/>
    <cellStyle name="_TENDÊNCIA RET VAR VOL_Pasta1_D_Ret_Fixa_EMP_5" xfId="9710"/>
    <cellStyle name="_TENDÊNCIA RET VAR VOL_Pasta1_D_Ret_Fixa_EMP_6" xfId="9711"/>
    <cellStyle name="_TENDÊNCIA RET VAR VOL_Pasta1_D_Ret_Fixa_EMP_7" xfId="9712"/>
    <cellStyle name="_TENDÊNCIA RET VAR VOL_Pasta1_D_Ret_Fixa_EMP_8" xfId="9713"/>
    <cellStyle name="_TENDÊNCIA RET VAR VOL_Pasta1_D_Ret_Fixa_VAR" xfId="9714"/>
    <cellStyle name="_TENDÊNCIA RET VAR VOL_Pasta1_D_Ret_Fixa_VAR_1" xfId="9715"/>
    <cellStyle name="_TENDÊNCIA RET VAR VOL_Pasta1_D_Ret_Fixa_VAR_2" xfId="9716"/>
    <cellStyle name="_TENDÊNCIA RET VAR VOL_Pasta1_D_Ret_Fixa_VAR_3" xfId="9717"/>
    <cellStyle name="_TENDÊNCIA RET VAR VOL_Pasta1_D_Ret_Fixa_VAR_4" xfId="9718"/>
    <cellStyle name="_TENDÊNCIA RET VAR VOL_Pasta1_D_Ret_Fixa_VAR_5" xfId="9719"/>
    <cellStyle name="_TENDÊNCIA RET VAR VOL_Pasta1_D_Ret_Fixa_VAR_6" xfId="9720"/>
    <cellStyle name="_TENDÊNCIA RET VAR VOL_Pasta1_D_Ret_Fixa_VAR_7" xfId="9721"/>
    <cellStyle name="_TENDÊNCIA RET VAR VOL_Pasta1_D_Ret_Fixa_VAR_8" xfId="9722"/>
    <cellStyle name="_TENDÊNCIA RET VAR VOL_Pasta1_De_Para_plano" xfId="9723"/>
    <cellStyle name="_TENDÊNCIA RET VAR VOL_Pasta1_Mig Ret 3G" xfId="9724"/>
    <cellStyle name="_TENDÊNCIA RET VAR VOL_Pasta1_Mig Ret 3G_1" xfId="9725"/>
    <cellStyle name="_TENDÊNCIA RET VAR VOL_Pasta1_Mig Ret 3G_2" xfId="9726"/>
    <cellStyle name="_TENDÊNCIA RET VAR VOL_Pasta1_Mig Ret 3G_3" xfId="9727"/>
    <cellStyle name="_TENDÊNCIA RET VAR VOL_Pasta1_Mig Ret 3G_4" xfId="9728"/>
    <cellStyle name="_TENDÊNCIA RET VAR VOL_Pasta1_Mig Ret 3G_5" xfId="9729"/>
    <cellStyle name="_TENDÊNCIA RET VAR VOL_Pasta1_Mig Ret 3G_6" xfId="9730"/>
    <cellStyle name="_TENDÊNCIA RET VAR VOL_Pasta1_Mig Ret 3G_7" xfId="9731"/>
    <cellStyle name="_TENDÊNCIA RET VAR VOL_Pasta1_Movel" xfId="9732"/>
    <cellStyle name="_TENDÊNCIA RET VAR VOL_Pasta1_Movel_1" xfId="9733"/>
    <cellStyle name="_TENDÊNCIA RET VAR VOL_Pasta1_Movel_2" xfId="9734"/>
    <cellStyle name="_TENDÊNCIA RET VAR VOL_Pasta1_Movel_3" xfId="9735"/>
    <cellStyle name="_TENDÊNCIA RET VAR VOL_Pasta1_Movel_4" xfId="9736"/>
    <cellStyle name="_TENDÊNCIA RET VAR VOL_Pasta1_Movel_5" xfId="9737"/>
    <cellStyle name="_TENDÊNCIA RET VAR VOL_Pasta1_Movel_6" xfId="9738"/>
    <cellStyle name="_TENDÊNCIA RET VAR VOL_Pasta1_Movel_7" xfId="9739"/>
    <cellStyle name="_TENDÊNCIA RET VAR VOL_Pasta1_Retenção" xfId="9740"/>
    <cellStyle name="_TENDÊNCIA RET VAR VOL_Plan1" xfId="9741"/>
    <cellStyle name="_TENDÊNCIA RET VAR VOL_Plan1_Base" xfId="9742"/>
    <cellStyle name="_TENDÊNCIA RET VAR VOL_Plan1_D_Ret_Fixa_EMP" xfId="9743"/>
    <cellStyle name="_TENDÊNCIA RET VAR VOL_Plan1_D_Ret_Fixa_EMP_1" xfId="9744"/>
    <cellStyle name="_TENDÊNCIA RET VAR VOL_Plan1_D_Ret_Fixa_EMP_2" xfId="9745"/>
    <cellStyle name="_TENDÊNCIA RET VAR VOL_Plan1_D_Ret_Fixa_EMP_3" xfId="9746"/>
    <cellStyle name="_TENDÊNCIA RET VAR VOL_Plan1_D_Ret_Fixa_EMP_4" xfId="9747"/>
    <cellStyle name="_TENDÊNCIA RET VAR VOL_Plan1_D_Ret_Fixa_EMP_5" xfId="9748"/>
    <cellStyle name="_TENDÊNCIA RET VAR VOL_Plan1_D_Ret_Fixa_EMP_6" xfId="9749"/>
    <cellStyle name="_TENDÊNCIA RET VAR VOL_Plan1_D_Ret_Fixa_EMP_7" xfId="9750"/>
    <cellStyle name="_TENDÊNCIA RET VAR VOL_Plan1_D_Ret_Fixa_EMP_8" xfId="9751"/>
    <cellStyle name="_TENDÊNCIA RET VAR VOL_Plan1_D_Ret_Fixa_VAR" xfId="9752"/>
    <cellStyle name="_TENDÊNCIA RET VAR VOL_Plan1_D_Ret_Fixa_VAR_1" xfId="9753"/>
    <cellStyle name="_TENDÊNCIA RET VAR VOL_Plan1_D_Ret_Fixa_VAR_2" xfId="9754"/>
    <cellStyle name="_TENDÊNCIA RET VAR VOL_Plan1_D_Ret_Fixa_VAR_3" xfId="9755"/>
    <cellStyle name="_TENDÊNCIA RET VAR VOL_Plan1_D_Ret_Fixa_VAR_4" xfId="9756"/>
    <cellStyle name="_TENDÊNCIA RET VAR VOL_Plan1_D_Ret_Fixa_VAR_5" xfId="9757"/>
    <cellStyle name="_TENDÊNCIA RET VAR VOL_Plan1_D_Ret_Fixa_VAR_6" xfId="9758"/>
    <cellStyle name="_TENDÊNCIA RET VAR VOL_Plan1_D_Ret_Fixa_VAR_7" xfId="9759"/>
    <cellStyle name="_TENDÊNCIA RET VAR VOL_Plan1_D_Ret_Fixa_VAR_8" xfId="9760"/>
    <cellStyle name="_TENDÊNCIA RET VAR VOL_Plan1_Mig Ret 3G" xfId="9761"/>
    <cellStyle name="_TENDÊNCIA RET VAR VOL_Plan1_Mig Ret 3G_1" xfId="9762"/>
    <cellStyle name="_TENDÊNCIA RET VAR VOL_Plan1_Mig Ret 3G_2" xfId="9763"/>
    <cellStyle name="_TENDÊNCIA RET VAR VOL_Plan1_Mig Ret 3G_3" xfId="9764"/>
    <cellStyle name="_TENDÊNCIA RET VAR VOL_Plan1_Mig Ret 3G_4" xfId="9765"/>
    <cellStyle name="_TENDÊNCIA RET VAR VOL_Plan1_Mig Ret 3G_5" xfId="9766"/>
    <cellStyle name="_TENDÊNCIA RET VAR VOL_Plan1_Mig Ret 3G_6" xfId="9767"/>
    <cellStyle name="_TENDÊNCIA RET VAR VOL_Plan1_Mig Ret 3G_7" xfId="9768"/>
    <cellStyle name="_TENDÊNCIA RET VAR VOL_Plan1_Movel" xfId="9769"/>
    <cellStyle name="_TENDÊNCIA RET VAR VOL_Plan1_Movel_1" xfId="9770"/>
    <cellStyle name="_TENDÊNCIA RET VAR VOL_Plan1_Movel_2" xfId="9771"/>
    <cellStyle name="_TENDÊNCIA RET VAR VOL_Plan1_Movel_3" xfId="9772"/>
    <cellStyle name="_TENDÊNCIA RET VAR VOL_Plan1_Movel_4" xfId="9773"/>
    <cellStyle name="_TENDÊNCIA RET VAR VOL_Plan1_Movel_5" xfId="9774"/>
    <cellStyle name="_TENDÊNCIA RET VAR VOL_Plan1_Movel_6" xfId="9775"/>
    <cellStyle name="_TENDÊNCIA RET VAR VOL_Plan1_Movel_7" xfId="9776"/>
    <cellStyle name="_TENDÊNCIA RET VAR VOL_Plan1_Retenção" xfId="9777"/>
    <cellStyle name="_TENDÊNCIA RET VAR VOL_Plan2" xfId="9778"/>
    <cellStyle name="_TENDÊNCIA RET VAR VOL_Plan2_Base" xfId="9779"/>
    <cellStyle name="_TENDÊNCIA RET VAR VOL_Plan2_D_Ret_Fixa_EMP" xfId="9780"/>
    <cellStyle name="_TENDÊNCIA RET VAR VOL_Plan2_D_Ret_Fixa_EMP_1" xfId="9781"/>
    <cellStyle name="_TENDÊNCIA RET VAR VOL_Plan2_D_Ret_Fixa_EMP_2" xfId="9782"/>
    <cellStyle name="_TENDÊNCIA RET VAR VOL_Plan2_D_Ret_Fixa_EMP_3" xfId="9783"/>
    <cellStyle name="_TENDÊNCIA RET VAR VOL_Plan2_D_Ret_Fixa_EMP_4" xfId="9784"/>
    <cellStyle name="_TENDÊNCIA RET VAR VOL_Plan2_D_Ret_Fixa_EMP_5" xfId="9785"/>
    <cellStyle name="_TENDÊNCIA RET VAR VOL_Plan2_D_Ret_Fixa_EMP_6" xfId="9786"/>
    <cellStyle name="_TENDÊNCIA RET VAR VOL_Plan2_D_Ret_Fixa_EMP_7" xfId="9787"/>
    <cellStyle name="_TENDÊNCIA RET VAR VOL_Plan2_D_Ret_Fixa_EMP_8" xfId="9788"/>
    <cellStyle name="_TENDÊNCIA RET VAR VOL_Plan2_D_Ret_Fixa_VAR" xfId="9789"/>
    <cellStyle name="_TENDÊNCIA RET VAR VOL_Plan2_D_Ret_Fixa_VAR_1" xfId="9790"/>
    <cellStyle name="_TENDÊNCIA RET VAR VOL_Plan2_D_Ret_Fixa_VAR_2" xfId="9791"/>
    <cellStyle name="_TENDÊNCIA RET VAR VOL_Plan2_D_Ret_Fixa_VAR_3" xfId="9792"/>
    <cellStyle name="_TENDÊNCIA RET VAR VOL_Plan2_D_Ret_Fixa_VAR_4" xfId="9793"/>
    <cellStyle name="_TENDÊNCIA RET VAR VOL_Plan2_D_Ret_Fixa_VAR_5" xfId="9794"/>
    <cellStyle name="_TENDÊNCIA RET VAR VOL_Plan2_D_Ret_Fixa_VAR_6" xfId="9795"/>
    <cellStyle name="_TENDÊNCIA RET VAR VOL_Plan2_D_Ret_Fixa_VAR_7" xfId="9796"/>
    <cellStyle name="_TENDÊNCIA RET VAR VOL_Plan2_D_Ret_Fixa_VAR_8" xfId="9797"/>
    <cellStyle name="_TENDÊNCIA RET VAR VOL_Plan2_Mig Ret 3G" xfId="9798"/>
    <cellStyle name="_TENDÊNCIA RET VAR VOL_Plan2_Mig Ret 3G_1" xfId="9799"/>
    <cellStyle name="_TENDÊNCIA RET VAR VOL_Plan2_Mig Ret 3G_2" xfId="9800"/>
    <cellStyle name="_TENDÊNCIA RET VAR VOL_Plan2_Mig Ret 3G_3" xfId="9801"/>
    <cellStyle name="_TENDÊNCIA RET VAR VOL_Plan2_Mig Ret 3G_4" xfId="9802"/>
    <cellStyle name="_TENDÊNCIA RET VAR VOL_Plan2_Mig Ret 3G_5" xfId="9803"/>
    <cellStyle name="_TENDÊNCIA RET VAR VOL_Plan2_Mig Ret 3G_6" xfId="9804"/>
    <cellStyle name="_TENDÊNCIA RET VAR VOL_Plan2_Mig Ret 3G_7" xfId="9805"/>
    <cellStyle name="_TENDÊNCIA RET VAR VOL_Plan2_Movel" xfId="9806"/>
    <cellStyle name="_TENDÊNCIA RET VAR VOL_Plan2_Movel_1" xfId="9807"/>
    <cellStyle name="_TENDÊNCIA RET VAR VOL_Plan2_Movel_2" xfId="9808"/>
    <cellStyle name="_TENDÊNCIA RET VAR VOL_Plan2_Movel_3" xfId="9809"/>
    <cellStyle name="_TENDÊNCIA RET VAR VOL_Plan2_Movel_4" xfId="9810"/>
    <cellStyle name="_TENDÊNCIA RET VAR VOL_Plan2_Movel_5" xfId="9811"/>
    <cellStyle name="_TENDÊNCIA RET VAR VOL_Plan2_Movel_6" xfId="9812"/>
    <cellStyle name="_TENDÊNCIA RET VAR VOL_Plan2_Movel_7" xfId="9813"/>
    <cellStyle name="_TENDÊNCIA RET VAR VOL_Plan2_Retenção" xfId="9814"/>
    <cellStyle name="_TENDÊNCIA RET VAR VOL_Real" xfId="9815"/>
    <cellStyle name="_TENDÊNCIA RET VAR VOL_Real_BD Resumo diário Painel de Televendas Setembro 2010_BASE_UNICA" xfId="9816"/>
    <cellStyle name="_TENDÊNCIA RET VAR VOL_Real_BD Resumo diário Painel de Televendas Setembro 2010_BASE_UNICA_Base" xfId="9817"/>
    <cellStyle name="_TENDÊNCIA RET VAR VOL_Real_BD Resumo diário Painel de Televendas Setembro 2010_BASE_UNICA_D_Movel" xfId="9818"/>
    <cellStyle name="_TENDÊNCIA RET VAR VOL_Real_BD Resumo diário Painel de Televendas Setembro 2010_BASE_UNICA_D_Ret_Fixa_EMP" xfId="9819"/>
    <cellStyle name="_TENDÊNCIA RET VAR VOL_Real_BD Resumo diário Painel de Televendas Setembro 2010_BASE_UNICA_D_Ret_Fixa_EMP_1" xfId="9820"/>
    <cellStyle name="_TENDÊNCIA RET VAR VOL_Real_BD Resumo diário Painel de Televendas Setembro 2010_BASE_UNICA_D_Ret_Fixa_EMP_2" xfId="9821"/>
    <cellStyle name="_TENDÊNCIA RET VAR VOL_Real_BD Resumo diário Painel de Televendas Setembro 2010_BASE_UNICA_D_Ret_Fixa_EMP_3" xfId="9822"/>
    <cellStyle name="_TENDÊNCIA RET VAR VOL_Real_BD Resumo diário Painel de Televendas Setembro 2010_BASE_UNICA_D_Ret_Fixa_EMP_4" xfId="9823"/>
    <cellStyle name="_TENDÊNCIA RET VAR VOL_Real_BD Resumo diário Painel de Televendas Setembro 2010_BASE_UNICA_D_Ret_Fixa_EMP_5" xfId="9824"/>
    <cellStyle name="_TENDÊNCIA RET VAR VOL_Real_BD Resumo diário Painel de Televendas Setembro 2010_BASE_UNICA_D_Ret_Fixa_EMP_6" xfId="9825"/>
    <cellStyle name="_TENDÊNCIA RET VAR VOL_Real_BD Resumo diário Painel de Televendas Setembro 2010_BASE_UNICA_D_Ret_Fixa_EMP_7" xfId="9826"/>
    <cellStyle name="_TENDÊNCIA RET VAR VOL_Real_BD Resumo diário Painel de Televendas Setembro 2010_BASE_UNICA_D_Ret_Fixa_EMP_8" xfId="9827"/>
    <cellStyle name="_TENDÊNCIA RET VAR VOL_Real_BD Resumo diário Painel de Televendas Setembro 2010_BASE_UNICA_D_Ret_Fixa_VAR" xfId="9828"/>
    <cellStyle name="_TENDÊNCIA RET VAR VOL_Real_BD Resumo diário Painel de Televendas Setembro 2010_BASE_UNICA_D_Ret_Fixa_VAR_1" xfId="9829"/>
    <cellStyle name="_TENDÊNCIA RET VAR VOL_Real_BD Resumo diário Painel de Televendas Setembro 2010_BASE_UNICA_D_Ret_Fixa_VAR_2" xfId="9830"/>
    <cellStyle name="_TENDÊNCIA RET VAR VOL_Real_BD Resumo diário Painel de Televendas Setembro 2010_BASE_UNICA_D_Ret_Fixa_VAR_3" xfId="9831"/>
    <cellStyle name="_TENDÊNCIA RET VAR VOL_Real_BD Resumo diário Painel de Televendas Setembro 2010_BASE_UNICA_D_Ret_Fixa_VAR_4" xfId="9832"/>
    <cellStyle name="_TENDÊNCIA RET VAR VOL_Real_BD Resumo diário Painel de Televendas Setembro 2010_BASE_UNICA_D_Ret_Fixa_VAR_5" xfId="9833"/>
    <cellStyle name="_TENDÊNCIA RET VAR VOL_Real_BD Resumo diário Painel de Televendas Setembro 2010_BASE_UNICA_D_Ret_Fixa_VAR_6" xfId="9834"/>
    <cellStyle name="_TENDÊNCIA RET VAR VOL_Real_BD Resumo diário Painel de Televendas Setembro 2010_BASE_UNICA_D_Ret_Fixa_VAR_7" xfId="9835"/>
    <cellStyle name="_TENDÊNCIA RET VAR VOL_Real_BD Resumo diário Painel de Televendas Setembro 2010_BASE_UNICA_D_Ret_Fixa_VAR_8" xfId="9836"/>
    <cellStyle name="_TENDÊNCIA RET VAR VOL_Real_BD Resumo diário Painel de Televendas Setembro 2010_BASE_UNICA_De_Para_plano" xfId="9837"/>
    <cellStyle name="_TENDÊNCIA RET VAR VOL_Real_BD Resumo diário Painel de Televendas Setembro 2010_BASE_UNICA_Mig Ret 3G" xfId="9838"/>
    <cellStyle name="_TENDÊNCIA RET VAR VOL_Real_BD Resumo diário Painel de Televendas Setembro 2010_BASE_UNICA_Mig Ret 3G_1" xfId="9839"/>
    <cellStyle name="_TENDÊNCIA RET VAR VOL_Real_BD Resumo diário Painel de Televendas Setembro 2010_BASE_UNICA_Mig Ret 3G_2" xfId="9840"/>
    <cellStyle name="_TENDÊNCIA RET VAR VOL_Real_BD Resumo diário Painel de Televendas Setembro 2010_BASE_UNICA_Mig Ret 3G_3" xfId="9841"/>
    <cellStyle name="_TENDÊNCIA RET VAR VOL_Real_BD Resumo diário Painel de Televendas Setembro 2010_BASE_UNICA_Mig Ret 3G_4" xfId="9842"/>
    <cellStyle name="_TENDÊNCIA RET VAR VOL_Real_BD Resumo diário Painel de Televendas Setembro 2010_BASE_UNICA_Mig Ret 3G_5" xfId="9843"/>
    <cellStyle name="_TENDÊNCIA RET VAR VOL_Real_BD Resumo diário Painel de Televendas Setembro 2010_BASE_UNICA_Mig Ret 3G_6" xfId="9844"/>
    <cellStyle name="_TENDÊNCIA RET VAR VOL_Real_BD Resumo diário Painel de Televendas Setembro 2010_BASE_UNICA_Mig Ret 3G_7" xfId="9845"/>
    <cellStyle name="_TENDÊNCIA RET VAR VOL_Real_BD Resumo diário Painel de Televendas Setembro 2010_BASE_UNICA_Movel" xfId="9846"/>
    <cellStyle name="_TENDÊNCIA RET VAR VOL_Real_BD Resumo diário Painel de Televendas Setembro 2010_BASE_UNICA_Movel_1" xfId="9847"/>
    <cellStyle name="_TENDÊNCIA RET VAR VOL_Real_BD Resumo diário Painel de Televendas Setembro 2010_BASE_UNICA_Movel_2" xfId="9848"/>
    <cellStyle name="_TENDÊNCIA RET VAR VOL_Real_BD Resumo diário Painel de Televendas Setembro 2010_BASE_UNICA_Movel_3" xfId="9849"/>
    <cellStyle name="_TENDÊNCIA RET VAR VOL_Real_BD Resumo diário Painel de Televendas Setembro 2010_BASE_UNICA_Movel_4" xfId="9850"/>
    <cellStyle name="_TENDÊNCIA RET VAR VOL_Real_BD Resumo diário Painel de Televendas Setembro 2010_BASE_UNICA_Movel_5" xfId="9851"/>
    <cellStyle name="_TENDÊNCIA RET VAR VOL_Real_BD Resumo diário Painel de Televendas Setembro 2010_BASE_UNICA_Movel_6" xfId="9852"/>
    <cellStyle name="_TENDÊNCIA RET VAR VOL_Real_BD Resumo diário Painel de Televendas Setembro 2010_BASE_UNICA_Movel_7" xfId="9853"/>
    <cellStyle name="_TENDÊNCIA RET VAR VOL_Real_BD Resumo diário Painel de Televendas Setembro 2010_BASE_UNICA_Retenção" xfId="9854"/>
    <cellStyle name="_TENDÊNCIA RET VAR VOL_Real_Pasta1" xfId="9855"/>
    <cellStyle name="_TENDÊNCIA RET VAR VOL_Real_Pasta1_Base" xfId="9856"/>
    <cellStyle name="_TENDÊNCIA RET VAR VOL_Real_Pasta1_D_Movel" xfId="9857"/>
    <cellStyle name="_TENDÊNCIA RET VAR VOL_Real_Pasta1_D_Ret_Fixa_EMP" xfId="9858"/>
    <cellStyle name="_TENDÊNCIA RET VAR VOL_Real_Pasta1_D_Ret_Fixa_EMP_1" xfId="9859"/>
    <cellStyle name="_TENDÊNCIA RET VAR VOL_Real_Pasta1_D_Ret_Fixa_EMP_2" xfId="9860"/>
    <cellStyle name="_TENDÊNCIA RET VAR VOL_Real_Pasta1_D_Ret_Fixa_EMP_3" xfId="9861"/>
    <cellStyle name="_TENDÊNCIA RET VAR VOL_Real_Pasta1_D_Ret_Fixa_EMP_4" xfId="9862"/>
    <cellStyle name="_TENDÊNCIA RET VAR VOL_Real_Pasta1_D_Ret_Fixa_EMP_5" xfId="9863"/>
    <cellStyle name="_TENDÊNCIA RET VAR VOL_Real_Pasta1_D_Ret_Fixa_EMP_6" xfId="9864"/>
    <cellStyle name="_TENDÊNCIA RET VAR VOL_Real_Pasta1_D_Ret_Fixa_EMP_7" xfId="9865"/>
    <cellStyle name="_TENDÊNCIA RET VAR VOL_Real_Pasta1_D_Ret_Fixa_EMP_8" xfId="9866"/>
    <cellStyle name="_TENDÊNCIA RET VAR VOL_Real_Pasta1_D_Ret_Fixa_VAR" xfId="9867"/>
    <cellStyle name="_TENDÊNCIA RET VAR VOL_Real_Pasta1_D_Ret_Fixa_VAR_1" xfId="9868"/>
    <cellStyle name="_TENDÊNCIA RET VAR VOL_Real_Pasta1_D_Ret_Fixa_VAR_2" xfId="9869"/>
    <cellStyle name="_TENDÊNCIA RET VAR VOL_Real_Pasta1_D_Ret_Fixa_VAR_3" xfId="9870"/>
    <cellStyle name="_TENDÊNCIA RET VAR VOL_Real_Pasta1_D_Ret_Fixa_VAR_4" xfId="9871"/>
    <cellStyle name="_TENDÊNCIA RET VAR VOL_Real_Pasta1_D_Ret_Fixa_VAR_5" xfId="9872"/>
    <cellStyle name="_TENDÊNCIA RET VAR VOL_Real_Pasta1_D_Ret_Fixa_VAR_6" xfId="9873"/>
    <cellStyle name="_TENDÊNCIA RET VAR VOL_Real_Pasta1_D_Ret_Fixa_VAR_7" xfId="9874"/>
    <cellStyle name="_TENDÊNCIA RET VAR VOL_Real_Pasta1_D_Ret_Fixa_VAR_8" xfId="9875"/>
    <cellStyle name="_TENDÊNCIA RET VAR VOL_Real_Pasta1_De_Para_plano" xfId="9876"/>
    <cellStyle name="_TENDÊNCIA RET VAR VOL_Real_Pasta1_Mig Ret 3G" xfId="9877"/>
    <cellStyle name="_TENDÊNCIA RET VAR VOL_Real_Pasta1_Mig Ret 3G_1" xfId="9878"/>
    <cellStyle name="_TENDÊNCIA RET VAR VOL_Real_Pasta1_Mig Ret 3G_2" xfId="9879"/>
    <cellStyle name="_TENDÊNCIA RET VAR VOL_Real_Pasta1_Mig Ret 3G_3" xfId="9880"/>
    <cellStyle name="_TENDÊNCIA RET VAR VOL_Real_Pasta1_Mig Ret 3G_4" xfId="9881"/>
    <cellStyle name="_TENDÊNCIA RET VAR VOL_Real_Pasta1_Mig Ret 3G_5" xfId="9882"/>
    <cellStyle name="_TENDÊNCIA RET VAR VOL_Real_Pasta1_Mig Ret 3G_6" xfId="9883"/>
    <cellStyle name="_TENDÊNCIA RET VAR VOL_Real_Pasta1_Mig Ret 3G_7" xfId="9884"/>
    <cellStyle name="_TENDÊNCIA RET VAR VOL_Real_Pasta1_Movel" xfId="9885"/>
    <cellStyle name="_TENDÊNCIA RET VAR VOL_Real_Pasta1_Movel_1" xfId="9886"/>
    <cellStyle name="_TENDÊNCIA RET VAR VOL_Real_Pasta1_Movel_2" xfId="9887"/>
    <cellStyle name="_TENDÊNCIA RET VAR VOL_Real_Pasta1_Movel_3" xfId="9888"/>
    <cellStyle name="_TENDÊNCIA RET VAR VOL_Real_Pasta1_Movel_4" xfId="9889"/>
    <cellStyle name="_TENDÊNCIA RET VAR VOL_Real_Pasta1_Movel_5" xfId="9890"/>
    <cellStyle name="_TENDÊNCIA RET VAR VOL_Real_Pasta1_Movel_6" xfId="9891"/>
    <cellStyle name="_TENDÊNCIA RET VAR VOL_Real_Pasta1_Movel_7" xfId="9892"/>
    <cellStyle name="_TENDÊNCIA RET VAR VOL_Real_Pasta1_Retenção" xfId="9893"/>
    <cellStyle name="_TENDÊNCIA RET VAR VOL_Real_Televendas Painel" xfId="9894"/>
    <cellStyle name="_TENDÊNCIA RET VAR VOL_Real_Televendas Painel_Base" xfId="9895"/>
    <cellStyle name="_TENDÊNCIA RET VAR VOL_Real_Televendas Painel_D_Movel" xfId="9896"/>
    <cellStyle name="_TENDÊNCIA RET VAR VOL_Real_Televendas Painel_D_Ret_Fixa_EMP" xfId="9897"/>
    <cellStyle name="_TENDÊNCIA RET VAR VOL_Real_Televendas Painel_D_Ret_Fixa_EMP_1" xfId="9898"/>
    <cellStyle name="_TENDÊNCIA RET VAR VOL_Real_Televendas Painel_D_Ret_Fixa_EMP_2" xfId="9899"/>
    <cellStyle name="_TENDÊNCIA RET VAR VOL_Real_Televendas Painel_D_Ret_Fixa_EMP_3" xfId="9900"/>
    <cellStyle name="_TENDÊNCIA RET VAR VOL_Real_Televendas Painel_D_Ret_Fixa_EMP_4" xfId="9901"/>
    <cellStyle name="_TENDÊNCIA RET VAR VOL_Real_Televendas Painel_D_Ret_Fixa_EMP_5" xfId="9902"/>
    <cellStyle name="_TENDÊNCIA RET VAR VOL_Real_Televendas Painel_D_Ret_Fixa_EMP_6" xfId="9903"/>
    <cellStyle name="_TENDÊNCIA RET VAR VOL_Real_Televendas Painel_D_Ret_Fixa_EMP_7" xfId="9904"/>
    <cellStyle name="_TENDÊNCIA RET VAR VOL_Real_Televendas Painel_D_Ret_Fixa_EMP_8" xfId="9905"/>
    <cellStyle name="_TENDÊNCIA RET VAR VOL_Real_Televendas Painel_D_Ret_Fixa_VAR" xfId="9906"/>
    <cellStyle name="_TENDÊNCIA RET VAR VOL_Real_Televendas Painel_D_Ret_Fixa_VAR_1" xfId="9907"/>
    <cellStyle name="_TENDÊNCIA RET VAR VOL_Real_Televendas Painel_D_Ret_Fixa_VAR_2" xfId="9908"/>
    <cellStyle name="_TENDÊNCIA RET VAR VOL_Real_Televendas Painel_D_Ret_Fixa_VAR_3" xfId="9909"/>
    <cellStyle name="_TENDÊNCIA RET VAR VOL_Real_Televendas Painel_D_Ret_Fixa_VAR_4" xfId="9910"/>
    <cellStyle name="_TENDÊNCIA RET VAR VOL_Real_Televendas Painel_D_Ret_Fixa_VAR_5" xfId="9911"/>
    <cellStyle name="_TENDÊNCIA RET VAR VOL_Real_Televendas Painel_D_Ret_Fixa_VAR_6" xfId="9912"/>
    <cellStyle name="_TENDÊNCIA RET VAR VOL_Real_Televendas Painel_D_Ret_Fixa_VAR_7" xfId="9913"/>
    <cellStyle name="_TENDÊNCIA RET VAR VOL_Real_Televendas Painel_D_Ret_Fixa_VAR_8" xfId="9914"/>
    <cellStyle name="_TENDÊNCIA RET VAR VOL_Real_Televendas Painel_De_Para_plano" xfId="9915"/>
    <cellStyle name="_TENDÊNCIA RET VAR VOL_Real_Televendas Painel_Mig Ret 3G" xfId="9916"/>
    <cellStyle name="_TENDÊNCIA RET VAR VOL_Real_Televendas Painel_Mig Ret 3G_1" xfId="9917"/>
    <cellStyle name="_TENDÊNCIA RET VAR VOL_Real_Televendas Painel_Mig Ret 3G_2" xfId="9918"/>
    <cellStyle name="_TENDÊNCIA RET VAR VOL_Real_Televendas Painel_Mig Ret 3G_3" xfId="9919"/>
    <cellStyle name="_TENDÊNCIA RET VAR VOL_Real_Televendas Painel_Mig Ret 3G_4" xfId="9920"/>
    <cellStyle name="_TENDÊNCIA RET VAR VOL_Real_Televendas Painel_Mig Ret 3G_5" xfId="9921"/>
    <cellStyle name="_TENDÊNCIA RET VAR VOL_Real_Televendas Painel_Mig Ret 3G_6" xfId="9922"/>
    <cellStyle name="_TENDÊNCIA RET VAR VOL_Real_Televendas Painel_Mig Ret 3G_7" xfId="9923"/>
    <cellStyle name="_TENDÊNCIA RET VAR VOL_Real_Televendas Painel_Movel" xfId="9924"/>
    <cellStyle name="_TENDÊNCIA RET VAR VOL_Real_Televendas Painel_Movel_1" xfId="9925"/>
    <cellStyle name="_TENDÊNCIA RET VAR VOL_Real_Televendas Painel_Movel_2" xfId="9926"/>
    <cellStyle name="_TENDÊNCIA RET VAR VOL_Real_Televendas Painel_Movel_3" xfId="9927"/>
    <cellStyle name="_TENDÊNCIA RET VAR VOL_Real_Televendas Painel_Movel_4" xfId="9928"/>
    <cellStyle name="_TENDÊNCIA RET VAR VOL_Real_Televendas Painel_Movel_5" xfId="9929"/>
    <cellStyle name="_TENDÊNCIA RET VAR VOL_Real_Televendas Painel_Movel_6" xfId="9930"/>
    <cellStyle name="_TENDÊNCIA RET VAR VOL_Real_Televendas Painel_Movel_7" xfId="9931"/>
    <cellStyle name="_TENDÊNCIA RET VAR VOL_Real_Televendas Painel_Retenção" xfId="9932"/>
    <cellStyle name="_TENDÊNCIA RET VAR VOL_Retenção" xfId="9933"/>
    <cellStyle name="_TENDÊNCIA RET VAR VOL_Retenção Painel" xfId="9934"/>
    <cellStyle name="_TENDÊNCIA RET VAR VOL_Retenção Painel_1" xfId="9935"/>
    <cellStyle name="_TENDÊNCIA RET VAR VOL_Retenção Painel_1_Base" xfId="9936"/>
    <cellStyle name="_TENDÊNCIA RET VAR VOL_Retenção Painel_1_D_Movel" xfId="9937"/>
    <cellStyle name="_TENDÊNCIA RET VAR VOL_Retenção Painel_1_D_Ret_Fixa_EMP" xfId="9938"/>
    <cellStyle name="_TENDÊNCIA RET VAR VOL_Retenção Painel_1_D_Ret_Fixa_EMP_1" xfId="9939"/>
    <cellStyle name="_TENDÊNCIA RET VAR VOL_Retenção Painel_1_D_Ret_Fixa_EMP_2" xfId="9940"/>
    <cellStyle name="_TENDÊNCIA RET VAR VOL_Retenção Painel_1_D_Ret_Fixa_EMP_3" xfId="9941"/>
    <cellStyle name="_TENDÊNCIA RET VAR VOL_Retenção Painel_1_D_Ret_Fixa_EMP_4" xfId="9942"/>
    <cellStyle name="_TENDÊNCIA RET VAR VOL_Retenção Painel_1_D_Ret_Fixa_EMP_5" xfId="9943"/>
    <cellStyle name="_TENDÊNCIA RET VAR VOL_Retenção Painel_1_D_Ret_Fixa_EMP_6" xfId="9944"/>
    <cellStyle name="_TENDÊNCIA RET VAR VOL_Retenção Painel_1_D_Ret_Fixa_EMP_7" xfId="9945"/>
    <cellStyle name="_TENDÊNCIA RET VAR VOL_Retenção Painel_1_D_Ret_Fixa_EMP_8" xfId="9946"/>
    <cellStyle name="_TENDÊNCIA RET VAR VOL_Retenção Painel_1_D_Ret_Fixa_VAR" xfId="9947"/>
    <cellStyle name="_TENDÊNCIA RET VAR VOL_Retenção Painel_1_D_Ret_Fixa_VAR_1" xfId="9948"/>
    <cellStyle name="_TENDÊNCIA RET VAR VOL_Retenção Painel_1_D_Ret_Fixa_VAR_2" xfId="9949"/>
    <cellStyle name="_TENDÊNCIA RET VAR VOL_Retenção Painel_1_D_Ret_Fixa_VAR_3" xfId="9950"/>
    <cellStyle name="_TENDÊNCIA RET VAR VOL_Retenção Painel_1_D_Ret_Fixa_VAR_4" xfId="9951"/>
    <cellStyle name="_TENDÊNCIA RET VAR VOL_Retenção Painel_1_D_Ret_Fixa_VAR_5" xfId="9952"/>
    <cellStyle name="_TENDÊNCIA RET VAR VOL_Retenção Painel_1_D_Ret_Fixa_VAR_6" xfId="9953"/>
    <cellStyle name="_TENDÊNCIA RET VAR VOL_Retenção Painel_1_D_Ret_Fixa_VAR_7" xfId="9954"/>
    <cellStyle name="_TENDÊNCIA RET VAR VOL_Retenção Painel_1_D_Ret_Fixa_VAR_8" xfId="9955"/>
    <cellStyle name="_TENDÊNCIA RET VAR VOL_Retenção Painel_1_De_Para_plano" xfId="9956"/>
    <cellStyle name="_TENDÊNCIA RET VAR VOL_Retenção Painel_1_Mig Ret 3G" xfId="9957"/>
    <cellStyle name="_TENDÊNCIA RET VAR VOL_Retenção Painel_1_Mig Ret 3G_1" xfId="9958"/>
    <cellStyle name="_TENDÊNCIA RET VAR VOL_Retenção Painel_1_Mig Ret 3G_2" xfId="9959"/>
    <cellStyle name="_TENDÊNCIA RET VAR VOL_Retenção Painel_1_Mig Ret 3G_3" xfId="9960"/>
    <cellStyle name="_TENDÊNCIA RET VAR VOL_Retenção Painel_1_Mig Ret 3G_4" xfId="9961"/>
    <cellStyle name="_TENDÊNCIA RET VAR VOL_Retenção Painel_1_Mig Ret 3G_5" xfId="9962"/>
    <cellStyle name="_TENDÊNCIA RET VAR VOL_Retenção Painel_1_Mig Ret 3G_6" xfId="9963"/>
    <cellStyle name="_TENDÊNCIA RET VAR VOL_Retenção Painel_1_Mig Ret 3G_7" xfId="9964"/>
    <cellStyle name="_TENDÊNCIA RET VAR VOL_Retenção Painel_1_Movel" xfId="9965"/>
    <cellStyle name="_TENDÊNCIA RET VAR VOL_Retenção Painel_1_Movel_1" xfId="9966"/>
    <cellStyle name="_TENDÊNCIA RET VAR VOL_Retenção Painel_1_Movel_2" xfId="9967"/>
    <cellStyle name="_TENDÊNCIA RET VAR VOL_Retenção Painel_1_Movel_3" xfId="9968"/>
    <cellStyle name="_TENDÊNCIA RET VAR VOL_Retenção Painel_1_Movel_4" xfId="9969"/>
    <cellStyle name="_TENDÊNCIA RET VAR VOL_Retenção Painel_1_Movel_5" xfId="9970"/>
    <cellStyle name="_TENDÊNCIA RET VAR VOL_Retenção Painel_1_Movel_6" xfId="9971"/>
    <cellStyle name="_TENDÊNCIA RET VAR VOL_Retenção Painel_1_Movel_7" xfId="9972"/>
    <cellStyle name="_TENDÊNCIA RET VAR VOL_Retenção Painel_1_Retenção" xfId="9973"/>
    <cellStyle name="_TENDÊNCIA RET VAR VOL_Retenção Painel_2" xfId="9974"/>
    <cellStyle name="_TENDÊNCIA RET VAR VOL_Retenção Painel_2_Base" xfId="9975"/>
    <cellStyle name="_TENDÊNCIA RET VAR VOL_Retenção Painel_2_D_Movel" xfId="9976"/>
    <cellStyle name="_TENDÊNCIA RET VAR VOL_Retenção Painel_2_D_Ret_Fixa_EMP" xfId="9977"/>
    <cellStyle name="_TENDÊNCIA RET VAR VOL_Retenção Painel_2_D_Ret_Fixa_EMP_1" xfId="9978"/>
    <cellStyle name="_TENDÊNCIA RET VAR VOL_Retenção Painel_2_D_Ret_Fixa_EMP_2" xfId="9979"/>
    <cellStyle name="_TENDÊNCIA RET VAR VOL_Retenção Painel_2_D_Ret_Fixa_EMP_3" xfId="9980"/>
    <cellStyle name="_TENDÊNCIA RET VAR VOL_Retenção Painel_2_D_Ret_Fixa_EMP_4" xfId="9981"/>
    <cellStyle name="_TENDÊNCIA RET VAR VOL_Retenção Painel_2_D_Ret_Fixa_EMP_5" xfId="9982"/>
    <cellStyle name="_TENDÊNCIA RET VAR VOL_Retenção Painel_2_D_Ret_Fixa_EMP_6" xfId="9983"/>
    <cellStyle name="_TENDÊNCIA RET VAR VOL_Retenção Painel_2_D_Ret_Fixa_EMP_7" xfId="9984"/>
    <cellStyle name="_TENDÊNCIA RET VAR VOL_Retenção Painel_2_D_Ret_Fixa_EMP_8" xfId="9985"/>
    <cellStyle name="_TENDÊNCIA RET VAR VOL_Retenção Painel_2_D_Ret_Fixa_VAR" xfId="9986"/>
    <cellStyle name="_TENDÊNCIA RET VAR VOL_Retenção Painel_2_D_Ret_Fixa_VAR_1" xfId="9987"/>
    <cellStyle name="_TENDÊNCIA RET VAR VOL_Retenção Painel_2_D_Ret_Fixa_VAR_2" xfId="9988"/>
    <cellStyle name="_TENDÊNCIA RET VAR VOL_Retenção Painel_2_D_Ret_Fixa_VAR_3" xfId="9989"/>
    <cellStyle name="_TENDÊNCIA RET VAR VOL_Retenção Painel_2_D_Ret_Fixa_VAR_4" xfId="9990"/>
    <cellStyle name="_TENDÊNCIA RET VAR VOL_Retenção Painel_2_D_Ret_Fixa_VAR_5" xfId="9991"/>
    <cellStyle name="_TENDÊNCIA RET VAR VOL_Retenção Painel_2_D_Ret_Fixa_VAR_6" xfId="9992"/>
    <cellStyle name="_TENDÊNCIA RET VAR VOL_Retenção Painel_2_D_Ret_Fixa_VAR_7" xfId="9993"/>
    <cellStyle name="_TENDÊNCIA RET VAR VOL_Retenção Painel_2_D_Ret_Fixa_VAR_8" xfId="9994"/>
    <cellStyle name="_TENDÊNCIA RET VAR VOL_Retenção Painel_2_De_Para_plano" xfId="9995"/>
    <cellStyle name="_TENDÊNCIA RET VAR VOL_Retenção Painel_2_Mig Ret 3G" xfId="9996"/>
    <cellStyle name="_TENDÊNCIA RET VAR VOL_Retenção Painel_2_Mig Ret 3G_1" xfId="9997"/>
    <cellStyle name="_TENDÊNCIA RET VAR VOL_Retenção Painel_2_Mig Ret 3G_2" xfId="9998"/>
    <cellStyle name="_TENDÊNCIA RET VAR VOL_Retenção Painel_2_Mig Ret 3G_3" xfId="9999"/>
    <cellStyle name="_TENDÊNCIA RET VAR VOL_Retenção Painel_2_Mig Ret 3G_4" xfId="10000"/>
    <cellStyle name="_TENDÊNCIA RET VAR VOL_Retenção Painel_2_Mig Ret 3G_5" xfId="10001"/>
    <cellStyle name="_TENDÊNCIA RET VAR VOL_Retenção Painel_2_Mig Ret 3G_6" xfId="10002"/>
    <cellStyle name="_TENDÊNCIA RET VAR VOL_Retenção Painel_2_Mig Ret 3G_7" xfId="10003"/>
    <cellStyle name="_TENDÊNCIA RET VAR VOL_Retenção Painel_2_Movel" xfId="10004"/>
    <cellStyle name="_TENDÊNCIA RET VAR VOL_Retenção Painel_2_Movel_1" xfId="10005"/>
    <cellStyle name="_TENDÊNCIA RET VAR VOL_Retenção Painel_2_Movel_2" xfId="10006"/>
    <cellStyle name="_TENDÊNCIA RET VAR VOL_Retenção Painel_2_Movel_3" xfId="10007"/>
    <cellStyle name="_TENDÊNCIA RET VAR VOL_Retenção Painel_2_Movel_4" xfId="10008"/>
    <cellStyle name="_TENDÊNCIA RET VAR VOL_Retenção Painel_2_Movel_5" xfId="10009"/>
    <cellStyle name="_TENDÊNCIA RET VAR VOL_Retenção Painel_2_Movel_6" xfId="10010"/>
    <cellStyle name="_TENDÊNCIA RET VAR VOL_Retenção Painel_2_Movel_7" xfId="10011"/>
    <cellStyle name="_TENDÊNCIA RET VAR VOL_Retenção Painel_2_Retenção" xfId="10012"/>
    <cellStyle name="_TENDÊNCIA RET VAR VOL_Retenção Painel_2_Retenção Painel" xfId="10013"/>
    <cellStyle name="_TENDÊNCIA RET VAR VOL_Retenção Painel_2_Retenção Painel_Base" xfId="10014"/>
    <cellStyle name="_TENDÊNCIA RET VAR VOL_Retenção Painel_2_Retenção Painel_D_Movel" xfId="10015"/>
    <cellStyle name="_TENDÊNCIA RET VAR VOL_Retenção Painel_2_Retenção Painel_D_Ret_Fixa_EMP" xfId="10016"/>
    <cellStyle name="_TENDÊNCIA RET VAR VOL_Retenção Painel_2_Retenção Painel_D_Ret_Fixa_EMP_1" xfId="10017"/>
    <cellStyle name="_TENDÊNCIA RET VAR VOL_Retenção Painel_2_Retenção Painel_D_Ret_Fixa_EMP_2" xfId="10018"/>
    <cellStyle name="_TENDÊNCIA RET VAR VOL_Retenção Painel_2_Retenção Painel_D_Ret_Fixa_EMP_3" xfId="10019"/>
    <cellStyle name="_TENDÊNCIA RET VAR VOL_Retenção Painel_2_Retenção Painel_D_Ret_Fixa_EMP_4" xfId="10020"/>
    <cellStyle name="_TENDÊNCIA RET VAR VOL_Retenção Painel_2_Retenção Painel_D_Ret_Fixa_EMP_5" xfId="10021"/>
    <cellStyle name="_TENDÊNCIA RET VAR VOL_Retenção Painel_2_Retenção Painel_D_Ret_Fixa_EMP_6" xfId="10022"/>
    <cellStyle name="_TENDÊNCIA RET VAR VOL_Retenção Painel_2_Retenção Painel_D_Ret_Fixa_EMP_7" xfId="10023"/>
    <cellStyle name="_TENDÊNCIA RET VAR VOL_Retenção Painel_2_Retenção Painel_D_Ret_Fixa_EMP_8" xfId="10024"/>
    <cellStyle name="_TENDÊNCIA RET VAR VOL_Retenção Painel_2_Retenção Painel_D_Ret_Fixa_VAR" xfId="10025"/>
    <cellStyle name="_TENDÊNCIA RET VAR VOL_Retenção Painel_2_Retenção Painel_D_Ret_Fixa_VAR_1" xfId="10026"/>
    <cellStyle name="_TENDÊNCIA RET VAR VOL_Retenção Painel_2_Retenção Painel_D_Ret_Fixa_VAR_2" xfId="10027"/>
    <cellStyle name="_TENDÊNCIA RET VAR VOL_Retenção Painel_2_Retenção Painel_D_Ret_Fixa_VAR_3" xfId="10028"/>
    <cellStyle name="_TENDÊNCIA RET VAR VOL_Retenção Painel_2_Retenção Painel_D_Ret_Fixa_VAR_4" xfId="10029"/>
    <cellStyle name="_TENDÊNCIA RET VAR VOL_Retenção Painel_2_Retenção Painel_D_Ret_Fixa_VAR_5" xfId="10030"/>
    <cellStyle name="_TENDÊNCIA RET VAR VOL_Retenção Painel_2_Retenção Painel_D_Ret_Fixa_VAR_6" xfId="10031"/>
    <cellStyle name="_TENDÊNCIA RET VAR VOL_Retenção Painel_2_Retenção Painel_D_Ret_Fixa_VAR_7" xfId="10032"/>
    <cellStyle name="_TENDÊNCIA RET VAR VOL_Retenção Painel_2_Retenção Painel_D_Ret_Fixa_VAR_8" xfId="10033"/>
    <cellStyle name="_TENDÊNCIA RET VAR VOL_Retenção Painel_2_Retenção Painel_De_Para_plano" xfId="10034"/>
    <cellStyle name="_TENDÊNCIA RET VAR VOL_Retenção Painel_2_Retenção Painel_Mig Ret 3G" xfId="10035"/>
    <cellStyle name="_TENDÊNCIA RET VAR VOL_Retenção Painel_2_Retenção Painel_Mig Ret 3G_1" xfId="10036"/>
    <cellStyle name="_TENDÊNCIA RET VAR VOL_Retenção Painel_2_Retenção Painel_Mig Ret 3G_2" xfId="10037"/>
    <cellStyle name="_TENDÊNCIA RET VAR VOL_Retenção Painel_2_Retenção Painel_Mig Ret 3G_3" xfId="10038"/>
    <cellStyle name="_TENDÊNCIA RET VAR VOL_Retenção Painel_2_Retenção Painel_Mig Ret 3G_4" xfId="10039"/>
    <cellStyle name="_TENDÊNCIA RET VAR VOL_Retenção Painel_2_Retenção Painel_Mig Ret 3G_5" xfId="10040"/>
    <cellStyle name="_TENDÊNCIA RET VAR VOL_Retenção Painel_2_Retenção Painel_Mig Ret 3G_6" xfId="10041"/>
    <cellStyle name="_TENDÊNCIA RET VAR VOL_Retenção Painel_2_Retenção Painel_Mig Ret 3G_7" xfId="10042"/>
    <cellStyle name="_TENDÊNCIA RET VAR VOL_Retenção Painel_2_Retenção Painel_Movel" xfId="10043"/>
    <cellStyle name="_TENDÊNCIA RET VAR VOL_Retenção Painel_2_Retenção Painel_Movel_1" xfId="10044"/>
    <cellStyle name="_TENDÊNCIA RET VAR VOL_Retenção Painel_2_Retenção Painel_Movel_2" xfId="10045"/>
    <cellStyle name="_TENDÊNCIA RET VAR VOL_Retenção Painel_2_Retenção Painel_Movel_3" xfId="10046"/>
    <cellStyle name="_TENDÊNCIA RET VAR VOL_Retenção Painel_2_Retenção Painel_Movel_4" xfId="10047"/>
    <cellStyle name="_TENDÊNCIA RET VAR VOL_Retenção Painel_2_Retenção Painel_Movel_5" xfId="10048"/>
    <cellStyle name="_TENDÊNCIA RET VAR VOL_Retenção Painel_2_Retenção Painel_Movel_6" xfId="10049"/>
    <cellStyle name="_TENDÊNCIA RET VAR VOL_Retenção Painel_2_Retenção Painel_Movel_7" xfId="10050"/>
    <cellStyle name="_TENDÊNCIA RET VAR VOL_Retenção Painel_2_Retenção Painel_Retenção" xfId="10051"/>
    <cellStyle name="_TENDÊNCIA RET VAR VOL_Retenção Painel_BD Resumo diário Painel de Televendas Setembro 2010_BASE_UNICA" xfId="10052"/>
    <cellStyle name="_TENDÊNCIA RET VAR VOL_Retenção Painel_BD Resumo diário Painel de Televendas Setembro 2010_BASE_UNICA_Base" xfId="10053"/>
    <cellStyle name="_TENDÊNCIA RET VAR VOL_Retenção Painel_BD Resumo diário Painel de Televendas Setembro 2010_BASE_UNICA_D_Movel" xfId="10054"/>
    <cellStyle name="_TENDÊNCIA RET VAR VOL_Retenção Painel_BD Resumo diário Painel de Televendas Setembro 2010_BASE_UNICA_D_Ret_Fixa_EMP" xfId="10055"/>
    <cellStyle name="_TENDÊNCIA RET VAR VOL_Retenção Painel_BD Resumo diário Painel de Televendas Setembro 2010_BASE_UNICA_D_Ret_Fixa_EMP_1" xfId="10056"/>
    <cellStyle name="_TENDÊNCIA RET VAR VOL_Retenção Painel_BD Resumo diário Painel de Televendas Setembro 2010_BASE_UNICA_D_Ret_Fixa_EMP_2" xfId="10057"/>
    <cellStyle name="_TENDÊNCIA RET VAR VOL_Retenção Painel_BD Resumo diário Painel de Televendas Setembro 2010_BASE_UNICA_D_Ret_Fixa_EMP_3" xfId="10058"/>
    <cellStyle name="_TENDÊNCIA RET VAR VOL_Retenção Painel_BD Resumo diário Painel de Televendas Setembro 2010_BASE_UNICA_D_Ret_Fixa_EMP_4" xfId="10059"/>
    <cellStyle name="_TENDÊNCIA RET VAR VOL_Retenção Painel_BD Resumo diário Painel de Televendas Setembro 2010_BASE_UNICA_D_Ret_Fixa_EMP_5" xfId="10060"/>
    <cellStyle name="_TENDÊNCIA RET VAR VOL_Retenção Painel_BD Resumo diário Painel de Televendas Setembro 2010_BASE_UNICA_D_Ret_Fixa_EMP_6" xfId="10061"/>
    <cellStyle name="_TENDÊNCIA RET VAR VOL_Retenção Painel_BD Resumo diário Painel de Televendas Setembro 2010_BASE_UNICA_D_Ret_Fixa_EMP_7" xfId="10062"/>
    <cellStyle name="_TENDÊNCIA RET VAR VOL_Retenção Painel_BD Resumo diário Painel de Televendas Setembro 2010_BASE_UNICA_D_Ret_Fixa_EMP_8" xfId="10063"/>
    <cellStyle name="_TENDÊNCIA RET VAR VOL_Retenção Painel_BD Resumo diário Painel de Televendas Setembro 2010_BASE_UNICA_D_Ret_Fixa_VAR" xfId="10064"/>
    <cellStyle name="_TENDÊNCIA RET VAR VOL_Retenção Painel_BD Resumo diário Painel de Televendas Setembro 2010_BASE_UNICA_D_Ret_Fixa_VAR_1" xfId="10065"/>
    <cellStyle name="_TENDÊNCIA RET VAR VOL_Retenção Painel_BD Resumo diário Painel de Televendas Setembro 2010_BASE_UNICA_D_Ret_Fixa_VAR_2" xfId="10066"/>
    <cellStyle name="_TENDÊNCIA RET VAR VOL_Retenção Painel_BD Resumo diário Painel de Televendas Setembro 2010_BASE_UNICA_D_Ret_Fixa_VAR_3" xfId="10067"/>
    <cellStyle name="_TENDÊNCIA RET VAR VOL_Retenção Painel_BD Resumo diário Painel de Televendas Setembro 2010_BASE_UNICA_D_Ret_Fixa_VAR_4" xfId="10068"/>
    <cellStyle name="_TENDÊNCIA RET VAR VOL_Retenção Painel_BD Resumo diário Painel de Televendas Setembro 2010_BASE_UNICA_D_Ret_Fixa_VAR_5" xfId="10069"/>
    <cellStyle name="_TENDÊNCIA RET VAR VOL_Retenção Painel_BD Resumo diário Painel de Televendas Setembro 2010_BASE_UNICA_D_Ret_Fixa_VAR_6" xfId="10070"/>
    <cellStyle name="_TENDÊNCIA RET VAR VOL_Retenção Painel_BD Resumo diário Painel de Televendas Setembro 2010_BASE_UNICA_D_Ret_Fixa_VAR_7" xfId="10071"/>
    <cellStyle name="_TENDÊNCIA RET VAR VOL_Retenção Painel_BD Resumo diário Painel de Televendas Setembro 2010_BASE_UNICA_D_Ret_Fixa_VAR_8" xfId="10072"/>
    <cellStyle name="_TENDÊNCIA RET VAR VOL_Retenção Painel_BD Resumo diário Painel de Televendas Setembro 2010_BASE_UNICA_De_Para_plano" xfId="10073"/>
    <cellStyle name="_TENDÊNCIA RET VAR VOL_Retenção Painel_BD Resumo diário Painel de Televendas Setembro 2010_BASE_UNICA_Mig Ret 3G" xfId="10074"/>
    <cellStyle name="_TENDÊNCIA RET VAR VOL_Retenção Painel_BD Resumo diário Painel de Televendas Setembro 2010_BASE_UNICA_Mig Ret 3G_1" xfId="10075"/>
    <cellStyle name="_TENDÊNCIA RET VAR VOL_Retenção Painel_BD Resumo diário Painel de Televendas Setembro 2010_BASE_UNICA_Mig Ret 3G_2" xfId="10076"/>
    <cellStyle name="_TENDÊNCIA RET VAR VOL_Retenção Painel_BD Resumo diário Painel de Televendas Setembro 2010_BASE_UNICA_Mig Ret 3G_3" xfId="10077"/>
    <cellStyle name="_TENDÊNCIA RET VAR VOL_Retenção Painel_BD Resumo diário Painel de Televendas Setembro 2010_BASE_UNICA_Mig Ret 3G_4" xfId="10078"/>
    <cellStyle name="_TENDÊNCIA RET VAR VOL_Retenção Painel_BD Resumo diário Painel de Televendas Setembro 2010_BASE_UNICA_Mig Ret 3G_5" xfId="10079"/>
    <cellStyle name="_TENDÊNCIA RET VAR VOL_Retenção Painel_BD Resumo diário Painel de Televendas Setembro 2010_BASE_UNICA_Mig Ret 3G_6" xfId="10080"/>
    <cellStyle name="_TENDÊNCIA RET VAR VOL_Retenção Painel_BD Resumo diário Painel de Televendas Setembro 2010_BASE_UNICA_Mig Ret 3G_7" xfId="10081"/>
    <cellStyle name="_TENDÊNCIA RET VAR VOL_Retenção Painel_BD Resumo diário Painel de Televendas Setembro 2010_BASE_UNICA_Movel" xfId="10082"/>
    <cellStyle name="_TENDÊNCIA RET VAR VOL_Retenção Painel_BD Resumo diário Painel de Televendas Setembro 2010_BASE_UNICA_Movel_1" xfId="10083"/>
    <cellStyle name="_TENDÊNCIA RET VAR VOL_Retenção Painel_BD Resumo diário Painel de Televendas Setembro 2010_BASE_UNICA_Movel_2" xfId="10084"/>
    <cellStyle name="_TENDÊNCIA RET VAR VOL_Retenção Painel_BD Resumo diário Painel de Televendas Setembro 2010_BASE_UNICA_Movel_3" xfId="10085"/>
    <cellStyle name="_TENDÊNCIA RET VAR VOL_Retenção Painel_BD Resumo diário Painel de Televendas Setembro 2010_BASE_UNICA_Movel_4" xfId="10086"/>
    <cellStyle name="_TENDÊNCIA RET VAR VOL_Retenção Painel_BD Resumo diário Painel de Televendas Setembro 2010_BASE_UNICA_Movel_5" xfId="10087"/>
    <cellStyle name="_TENDÊNCIA RET VAR VOL_Retenção Painel_BD Resumo diário Painel de Televendas Setembro 2010_BASE_UNICA_Movel_6" xfId="10088"/>
    <cellStyle name="_TENDÊNCIA RET VAR VOL_Retenção Painel_BD Resumo diário Painel de Televendas Setembro 2010_BASE_UNICA_Movel_7" xfId="10089"/>
    <cellStyle name="_TENDÊNCIA RET VAR VOL_Retenção Painel_BD Resumo diário Painel de Televendas Setembro 2010_BASE_UNICA_Retenção" xfId="10090"/>
    <cellStyle name="_TENDÊNCIA RET VAR VOL_Retenção Painel_Pasta1" xfId="10091"/>
    <cellStyle name="_TENDÊNCIA RET VAR VOL_Retenção Painel_Pasta1_Base" xfId="10092"/>
    <cellStyle name="_TENDÊNCIA RET VAR VOL_Retenção Painel_Pasta1_D_Movel" xfId="10093"/>
    <cellStyle name="_TENDÊNCIA RET VAR VOL_Retenção Painel_Pasta1_D_Ret_Fixa_EMP" xfId="10094"/>
    <cellStyle name="_TENDÊNCIA RET VAR VOL_Retenção Painel_Pasta1_D_Ret_Fixa_EMP_1" xfId="10095"/>
    <cellStyle name="_TENDÊNCIA RET VAR VOL_Retenção Painel_Pasta1_D_Ret_Fixa_EMP_2" xfId="10096"/>
    <cellStyle name="_TENDÊNCIA RET VAR VOL_Retenção Painel_Pasta1_D_Ret_Fixa_EMP_3" xfId="10097"/>
    <cellStyle name="_TENDÊNCIA RET VAR VOL_Retenção Painel_Pasta1_D_Ret_Fixa_EMP_4" xfId="10098"/>
    <cellStyle name="_TENDÊNCIA RET VAR VOL_Retenção Painel_Pasta1_D_Ret_Fixa_EMP_5" xfId="10099"/>
    <cellStyle name="_TENDÊNCIA RET VAR VOL_Retenção Painel_Pasta1_D_Ret_Fixa_EMP_6" xfId="10100"/>
    <cellStyle name="_TENDÊNCIA RET VAR VOL_Retenção Painel_Pasta1_D_Ret_Fixa_EMP_7" xfId="10101"/>
    <cellStyle name="_TENDÊNCIA RET VAR VOL_Retenção Painel_Pasta1_D_Ret_Fixa_EMP_8" xfId="10102"/>
    <cellStyle name="_TENDÊNCIA RET VAR VOL_Retenção Painel_Pasta1_D_Ret_Fixa_VAR" xfId="10103"/>
    <cellStyle name="_TENDÊNCIA RET VAR VOL_Retenção Painel_Pasta1_D_Ret_Fixa_VAR_1" xfId="10104"/>
    <cellStyle name="_TENDÊNCIA RET VAR VOL_Retenção Painel_Pasta1_D_Ret_Fixa_VAR_2" xfId="10105"/>
    <cellStyle name="_TENDÊNCIA RET VAR VOL_Retenção Painel_Pasta1_D_Ret_Fixa_VAR_3" xfId="10106"/>
    <cellStyle name="_TENDÊNCIA RET VAR VOL_Retenção Painel_Pasta1_D_Ret_Fixa_VAR_4" xfId="10107"/>
    <cellStyle name="_TENDÊNCIA RET VAR VOL_Retenção Painel_Pasta1_D_Ret_Fixa_VAR_5" xfId="10108"/>
    <cellStyle name="_TENDÊNCIA RET VAR VOL_Retenção Painel_Pasta1_D_Ret_Fixa_VAR_6" xfId="10109"/>
    <cellStyle name="_TENDÊNCIA RET VAR VOL_Retenção Painel_Pasta1_D_Ret_Fixa_VAR_7" xfId="10110"/>
    <cellStyle name="_TENDÊNCIA RET VAR VOL_Retenção Painel_Pasta1_D_Ret_Fixa_VAR_8" xfId="10111"/>
    <cellStyle name="_TENDÊNCIA RET VAR VOL_Retenção Painel_Pasta1_De_Para_plano" xfId="10112"/>
    <cellStyle name="_TENDÊNCIA RET VAR VOL_Retenção Painel_Pasta1_Mig Ret 3G" xfId="10113"/>
    <cellStyle name="_TENDÊNCIA RET VAR VOL_Retenção Painel_Pasta1_Mig Ret 3G_1" xfId="10114"/>
    <cellStyle name="_TENDÊNCIA RET VAR VOL_Retenção Painel_Pasta1_Mig Ret 3G_2" xfId="10115"/>
    <cellStyle name="_TENDÊNCIA RET VAR VOL_Retenção Painel_Pasta1_Mig Ret 3G_3" xfId="10116"/>
    <cellStyle name="_TENDÊNCIA RET VAR VOL_Retenção Painel_Pasta1_Mig Ret 3G_4" xfId="10117"/>
    <cellStyle name="_TENDÊNCIA RET VAR VOL_Retenção Painel_Pasta1_Mig Ret 3G_5" xfId="10118"/>
    <cellStyle name="_TENDÊNCIA RET VAR VOL_Retenção Painel_Pasta1_Mig Ret 3G_6" xfId="10119"/>
    <cellStyle name="_TENDÊNCIA RET VAR VOL_Retenção Painel_Pasta1_Mig Ret 3G_7" xfId="10120"/>
    <cellStyle name="_TENDÊNCIA RET VAR VOL_Retenção Painel_Pasta1_Movel" xfId="10121"/>
    <cellStyle name="_TENDÊNCIA RET VAR VOL_Retenção Painel_Pasta1_Movel_1" xfId="10122"/>
    <cellStyle name="_TENDÊNCIA RET VAR VOL_Retenção Painel_Pasta1_Movel_2" xfId="10123"/>
    <cellStyle name="_TENDÊNCIA RET VAR VOL_Retenção Painel_Pasta1_Movel_3" xfId="10124"/>
    <cellStyle name="_TENDÊNCIA RET VAR VOL_Retenção Painel_Pasta1_Movel_4" xfId="10125"/>
    <cellStyle name="_TENDÊNCIA RET VAR VOL_Retenção Painel_Pasta1_Movel_5" xfId="10126"/>
    <cellStyle name="_TENDÊNCIA RET VAR VOL_Retenção Painel_Pasta1_Movel_6" xfId="10127"/>
    <cellStyle name="_TENDÊNCIA RET VAR VOL_Retenção Painel_Pasta1_Movel_7" xfId="10128"/>
    <cellStyle name="_TENDÊNCIA RET VAR VOL_Retenção Painel_Pasta1_Retenção" xfId="10129"/>
    <cellStyle name="_TENDÊNCIA RET VAR VOL_Retenção Painel_Televendas Painel" xfId="10130"/>
    <cellStyle name="_TENDÊNCIA RET VAR VOL_Retenção Painel_Televendas Painel_Base" xfId="10131"/>
    <cellStyle name="_TENDÊNCIA RET VAR VOL_Retenção Painel_Televendas Painel_D_Movel" xfId="10132"/>
    <cellStyle name="_TENDÊNCIA RET VAR VOL_Retenção Painel_Televendas Painel_D_Ret_Fixa_EMP" xfId="10133"/>
    <cellStyle name="_TENDÊNCIA RET VAR VOL_Retenção Painel_Televendas Painel_D_Ret_Fixa_EMP_1" xfId="10134"/>
    <cellStyle name="_TENDÊNCIA RET VAR VOL_Retenção Painel_Televendas Painel_D_Ret_Fixa_EMP_2" xfId="10135"/>
    <cellStyle name="_TENDÊNCIA RET VAR VOL_Retenção Painel_Televendas Painel_D_Ret_Fixa_EMP_3" xfId="10136"/>
    <cellStyle name="_TENDÊNCIA RET VAR VOL_Retenção Painel_Televendas Painel_D_Ret_Fixa_EMP_4" xfId="10137"/>
    <cellStyle name="_TENDÊNCIA RET VAR VOL_Retenção Painel_Televendas Painel_D_Ret_Fixa_EMP_5" xfId="10138"/>
    <cellStyle name="_TENDÊNCIA RET VAR VOL_Retenção Painel_Televendas Painel_D_Ret_Fixa_EMP_6" xfId="10139"/>
    <cellStyle name="_TENDÊNCIA RET VAR VOL_Retenção Painel_Televendas Painel_D_Ret_Fixa_EMP_7" xfId="10140"/>
    <cellStyle name="_TENDÊNCIA RET VAR VOL_Retenção Painel_Televendas Painel_D_Ret_Fixa_EMP_8" xfId="10141"/>
    <cellStyle name="_TENDÊNCIA RET VAR VOL_Retenção Painel_Televendas Painel_D_Ret_Fixa_VAR" xfId="10142"/>
    <cellStyle name="_TENDÊNCIA RET VAR VOL_Retenção Painel_Televendas Painel_D_Ret_Fixa_VAR_1" xfId="10143"/>
    <cellStyle name="_TENDÊNCIA RET VAR VOL_Retenção Painel_Televendas Painel_D_Ret_Fixa_VAR_2" xfId="10144"/>
    <cellStyle name="_TENDÊNCIA RET VAR VOL_Retenção Painel_Televendas Painel_D_Ret_Fixa_VAR_3" xfId="10145"/>
    <cellStyle name="_TENDÊNCIA RET VAR VOL_Retenção Painel_Televendas Painel_D_Ret_Fixa_VAR_4" xfId="10146"/>
    <cellStyle name="_TENDÊNCIA RET VAR VOL_Retenção Painel_Televendas Painel_D_Ret_Fixa_VAR_5" xfId="10147"/>
    <cellStyle name="_TENDÊNCIA RET VAR VOL_Retenção Painel_Televendas Painel_D_Ret_Fixa_VAR_6" xfId="10148"/>
    <cellStyle name="_TENDÊNCIA RET VAR VOL_Retenção Painel_Televendas Painel_D_Ret_Fixa_VAR_7" xfId="10149"/>
    <cellStyle name="_TENDÊNCIA RET VAR VOL_Retenção Painel_Televendas Painel_D_Ret_Fixa_VAR_8" xfId="10150"/>
    <cellStyle name="_TENDÊNCIA RET VAR VOL_Retenção Painel_Televendas Painel_De_Para_plano" xfId="10151"/>
    <cellStyle name="_TENDÊNCIA RET VAR VOL_Retenção Painel_Televendas Painel_Mig Ret 3G" xfId="10152"/>
    <cellStyle name="_TENDÊNCIA RET VAR VOL_Retenção Painel_Televendas Painel_Mig Ret 3G_1" xfId="10153"/>
    <cellStyle name="_TENDÊNCIA RET VAR VOL_Retenção Painel_Televendas Painel_Mig Ret 3G_2" xfId="10154"/>
    <cellStyle name="_TENDÊNCIA RET VAR VOL_Retenção Painel_Televendas Painel_Mig Ret 3G_3" xfId="10155"/>
    <cellStyle name="_TENDÊNCIA RET VAR VOL_Retenção Painel_Televendas Painel_Mig Ret 3G_4" xfId="10156"/>
    <cellStyle name="_TENDÊNCIA RET VAR VOL_Retenção Painel_Televendas Painel_Mig Ret 3G_5" xfId="10157"/>
    <cellStyle name="_TENDÊNCIA RET VAR VOL_Retenção Painel_Televendas Painel_Mig Ret 3G_6" xfId="10158"/>
    <cellStyle name="_TENDÊNCIA RET VAR VOL_Retenção Painel_Televendas Painel_Mig Ret 3G_7" xfId="10159"/>
    <cellStyle name="_TENDÊNCIA RET VAR VOL_Retenção Painel_Televendas Painel_Movel" xfId="10160"/>
    <cellStyle name="_TENDÊNCIA RET VAR VOL_Retenção Painel_Televendas Painel_Movel_1" xfId="10161"/>
    <cellStyle name="_TENDÊNCIA RET VAR VOL_Retenção Painel_Televendas Painel_Movel_2" xfId="10162"/>
    <cellStyle name="_TENDÊNCIA RET VAR VOL_Retenção Painel_Televendas Painel_Movel_3" xfId="10163"/>
    <cellStyle name="_TENDÊNCIA RET VAR VOL_Retenção Painel_Televendas Painel_Movel_4" xfId="10164"/>
    <cellStyle name="_TENDÊNCIA RET VAR VOL_Retenção Painel_Televendas Painel_Movel_5" xfId="10165"/>
    <cellStyle name="_TENDÊNCIA RET VAR VOL_Retenção Painel_Televendas Painel_Movel_6" xfId="10166"/>
    <cellStyle name="_TENDÊNCIA RET VAR VOL_Retenção Painel_Televendas Painel_Movel_7" xfId="10167"/>
    <cellStyle name="_TENDÊNCIA RET VAR VOL_Retenção Painel_Televendas Painel_Retenção" xfId="10168"/>
    <cellStyle name="_TENDÊNCIA RET VAR VOL_Retenção_Base" xfId="10169"/>
    <cellStyle name="_TENDÊNCIA RET VAR VOL_Retenção_D_Ret_Fixa_EMP" xfId="10170"/>
    <cellStyle name="_TENDÊNCIA RET VAR VOL_Retenção_D_Ret_Fixa_EMP_1" xfId="10171"/>
    <cellStyle name="_TENDÊNCIA RET VAR VOL_Retenção_D_Ret_Fixa_EMP_2" xfId="10172"/>
    <cellStyle name="_TENDÊNCIA RET VAR VOL_Retenção_D_Ret_Fixa_EMP_3" xfId="10173"/>
    <cellStyle name="_TENDÊNCIA RET VAR VOL_Retenção_D_Ret_Fixa_EMP_4" xfId="10174"/>
    <cellStyle name="_TENDÊNCIA RET VAR VOL_Retenção_D_Ret_Fixa_EMP_5" xfId="10175"/>
    <cellStyle name="_TENDÊNCIA RET VAR VOL_Retenção_D_Ret_Fixa_EMP_6" xfId="10176"/>
    <cellStyle name="_TENDÊNCIA RET VAR VOL_Retenção_D_Ret_Fixa_EMP_7" xfId="10177"/>
    <cellStyle name="_TENDÊNCIA RET VAR VOL_Retenção_D_Ret_Fixa_EMP_8" xfId="10178"/>
    <cellStyle name="_TENDÊNCIA RET VAR VOL_Retenção_D_Ret_Fixa_VAR" xfId="10179"/>
    <cellStyle name="_TENDÊNCIA RET VAR VOL_Retenção_D_Ret_Fixa_VAR_1" xfId="10180"/>
    <cellStyle name="_TENDÊNCIA RET VAR VOL_Retenção_D_Ret_Fixa_VAR_2" xfId="10181"/>
    <cellStyle name="_TENDÊNCIA RET VAR VOL_Retenção_D_Ret_Fixa_VAR_3" xfId="10182"/>
    <cellStyle name="_TENDÊNCIA RET VAR VOL_Retenção_D_Ret_Fixa_VAR_4" xfId="10183"/>
    <cellStyle name="_TENDÊNCIA RET VAR VOL_Retenção_D_Ret_Fixa_VAR_5" xfId="10184"/>
    <cellStyle name="_TENDÊNCIA RET VAR VOL_Retenção_D_Ret_Fixa_VAR_6" xfId="10185"/>
    <cellStyle name="_TENDÊNCIA RET VAR VOL_Retenção_D_Ret_Fixa_VAR_7" xfId="10186"/>
    <cellStyle name="_TENDÊNCIA RET VAR VOL_Retenção_D_Ret_Fixa_VAR_8" xfId="10187"/>
    <cellStyle name="_TENDÊNCIA RET VAR VOL_Retenção_Mig Ret 3G" xfId="10188"/>
    <cellStyle name="_TENDÊNCIA RET VAR VOL_Retenção_Mig Ret 3G_1" xfId="10189"/>
    <cellStyle name="_TENDÊNCIA RET VAR VOL_Retenção_Mig Ret 3G_2" xfId="10190"/>
    <cellStyle name="_TENDÊNCIA RET VAR VOL_Retenção_Mig Ret 3G_3" xfId="10191"/>
    <cellStyle name="_TENDÊNCIA RET VAR VOL_Retenção_Mig Ret 3G_4" xfId="10192"/>
    <cellStyle name="_TENDÊNCIA RET VAR VOL_Retenção_Mig Ret 3G_5" xfId="10193"/>
    <cellStyle name="_TENDÊNCIA RET VAR VOL_Retenção_Mig Ret 3G_6" xfId="10194"/>
    <cellStyle name="_TENDÊNCIA RET VAR VOL_Retenção_Mig Ret 3G_7" xfId="10195"/>
    <cellStyle name="_TENDÊNCIA RET VAR VOL_Retenção_Movel" xfId="10196"/>
    <cellStyle name="_TENDÊNCIA RET VAR VOL_Retenção_Movel_1" xfId="10197"/>
    <cellStyle name="_TENDÊNCIA RET VAR VOL_Retenção_Movel_2" xfId="10198"/>
    <cellStyle name="_TENDÊNCIA RET VAR VOL_Retenção_Movel_3" xfId="10199"/>
    <cellStyle name="_TENDÊNCIA RET VAR VOL_Retenção_Movel_4" xfId="10200"/>
    <cellStyle name="_TENDÊNCIA RET VAR VOL_Retenção_Movel_5" xfId="10201"/>
    <cellStyle name="_TENDÊNCIA RET VAR VOL_Retenção_Movel_6" xfId="10202"/>
    <cellStyle name="_TENDÊNCIA RET VAR VOL_Retenção_Movel_7" xfId="10203"/>
    <cellStyle name="_TENDÊNCIA RET VAR VOL_Retenção_Retenção" xfId="10204"/>
    <cellStyle name="_TENDÊNCIA RET VAR VOL_Televendas Painel" xfId="10205"/>
    <cellStyle name="_TENDÊNCIA RET VAR VOL_Televendas Painel_1" xfId="10206"/>
    <cellStyle name="_TENDÊNCIA RET VAR VOL_Televendas Painel_1_Base" xfId="10207"/>
    <cellStyle name="_TENDÊNCIA RET VAR VOL_Televendas Painel_1_D_Movel" xfId="10208"/>
    <cellStyle name="_TENDÊNCIA RET VAR VOL_Televendas Painel_1_D_Ret_Fixa_EMP" xfId="10209"/>
    <cellStyle name="_TENDÊNCIA RET VAR VOL_Televendas Painel_1_D_Ret_Fixa_EMP_1" xfId="10210"/>
    <cellStyle name="_TENDÊNCIA RET VAR VOL_Televendas Painel_1_D_Ret_Fixa_EMP_2" xfId="10211"/>
    <cellStyle name="_TENDÊNCIA RET VAR VOL_Televendas Painel_1_D_Ret_Fixa_EMP_3" xfId="10212"/>
    <cellStyle name="_TENDÊNCIA RET VAR VOL_Televendas Painel_1_D_Ret_Fixa_EMP_4" xfId="10213"/>
    <cellStyle name="_TENDÊNCIA RET VAR VOL_Televendas Painel_1_D_Ret_Fixa_EMP_5" xfId="10214"/>
    <cellStyle name="_TENDÊNCIA RET VAR VOL_Televendas Painel_1_D_Ret_Fixa_EMP_6" xfId="10215"/>
    <cellStyle name="_TENDÊNCIA RET VAR VOL_Televendas Painel_1_D_Ret_Fixa_EMP_7" xfId="10216"/>
    <cellStyle name="_TENDÊNCIA RET VAR VOL_Televendas Painel_1_D_Ret_Fixa_EMP_8" xfId="10217"/>
    <cellStyle name="_TENDÊNCIA RET VAR VOL_Televendas Painel_1_D_Ret_Fixa_VAR" xfId="10218"/>
    <cellStyle name="_TENDÊNCIA RET VAR VOL_Televendas Painel_1_D_Ret_Fixa_VAR_1" xfId="10219"/>
    <cellStyle name="_TENDÊNCIA RET VAR VOL_Televendas Painel_1_D_Ret_Fixa_VAR_2" xfId="10220"/>
    <cellStyle name="_TENDÊNCIA RET VAR VOL_Televendas Painel_1_D_Ret_Fixa_VAR_3" xfId="10221"/>
    <cellStyle name="_TENDÊNCIA RET VAR VOL_Televendas Painel_1_D_Ret_Fixa_VAR_4" xfId="10222"/>
    <cellStyle name="_TENDÊNCIA RET VAR VOL_Televendas Painel_1_D_Ret_Fixa_VAR_5" xfId="10223"/>
    <cellStyle name="_TENDÊNCIA RET VAR VOL_Televendas Painel_1_D_Ret_Fixa_VAR_6" xfId="10224"/>
    <cellStyle name="_TENDÊNCIA RET VAR VOL_Televendas Painel_1_D_Ret_Fixa_VAR_7" xfId="10225"/>
    <cellStyle name="_TENDÊNCIA RET VAR VOL_Televendas Painel_1_D_Ret_Fixa_VAR_8" xfId="10226"/>
    <cellStyle name="_TENDÊNCIA RET VAR VOL_Televendas Painel_1_De_Para_plano" xfId="10227"/>
    <cellStyle name="_TENDÊNCIA RET VAR VOL_Televendas Painel_1_Mig Ret 3G" xfId="10228"/>
    <cellStyle name="_TENDÊNCIA RET VAR VOL_Televendas Painel_1_Mig Ret 3G_1" xfId="10229"/>
    <cellStyle name="_TENDÊNCIA RET VAR VOL_Televendas Painel_1_Mig Ret 3G_2" xfId="10230"/>
    <cellStyle name="_TENDÊNCIA RET VAR VOL_Televendas Painel_1_Mig Ret 3G_3" xfId="10231"/>
    <cellStyle name="_TENDÊNCIA RET VAR VOL_Televendas Painel_1_Mig Ret 3G_4" xfId="10232"/>
    <cellStyle name="_TENDÊNCIA RET VAR VOL_Televendas Painel_1_Mig Ret 3G_5" xfId="10233"/>
    <cellStyle name="_TENDÊNCIA RET VAR VOL_Televendas Painel_1_Mig Ret 3G_6" xfId="10234"/>
    <cellStyle name="_TENDÊNCIA RET VAR VOL_Televendas Painel_1_Mig Ret 3G_7" xfId="10235"/>
    <cellStyle name="_TENDÊNCIA RET VAR VOL_Televendas Painel_1_Movel" xfId="10236"/>
    <cellStyle name="_TENDÊNCIA RET VAR VOL_Televendas Painel_1_Movel_1" xfId="10237"/>
    <cellStyle name="_TENDÊNCIA RET VAR VOL_Televendas Painel_1_Movel_2" xfId="10238"/>
    <cellStyle name="_TENDÊNCIA RET VAR VOL_Televendas Painel_1_Movel_3" xfId="10239"/>
    <cellStyle name="_TENDÊNCIA RET VAR VOL_Televendas Painel_1_Movel_4" xfId="10240"/>
    <cellStyle name="_TENDÊNCIA RET VAR VOL_Televendas Painel_1_Movel_5" xfId="10241"/>
    <cellStyle name="_TENDÊNCIA RET VAR VOL_Televendas Painel_1_Movel_6" xfId="10242"/>
    <cellStyle name="_TENDÊNCIA RET VAR VOL_Televendas Painel_1_Movel_7" xfId="10243"/>
    <cellStyle name="_TENDÊNCIA RET VAR VOL_Televendas Painel_1_Retenção" xfId="10244"/>
    <cellStyle name="_TENDÊNCIA RET VAR VOL_Televendas Painel_1_Retenção Painel" xfId="10245"/>
    <cellStyle name="_TENDÊNCIA RET VAR VOL_Televendas Painel_1_Retenção Painel_Base" xfId="10246"/>
    <cellStyle name="_TENDÊNCIA RET VAR VOL_Televendas Painel_1_Retenção Painel_D_Movel" xfId="10247"/>
    <cellStyle name="_TENDÊNCIA RET VAR VOL_Televendas Painel_1_Retenção Painel_D_Ret_Fixa_EMP" xfId="10248"/>
    <cellStyle name="_TENDÊNCIA RET VAR VOL_Televendas Painel_1_Retenção Painel_D_Ret_Fixa_EMP_1" xfId="10249"/>
    <cellStyle name="_TENDÊNCIA RET VAR VOL_Televendas Painel_1_Retenção Painel_D_Ret_Fixa_EMP_2" xfId="10250"/>
    <cellStyle name="_TENDÊNCIA RET VAR VOL_Televendas Painel_1_Retenção Painel_D_Ret_Fixa_EMP_3" xfId="10251"/>
    <cellStyle name="_TENDÊNCIA RET VAR VOL_Televendas Painel_1_Retenção Painel_D_Ret_Fixa_EMP_4" xfId="10252"/>
    <cellStyle name="_TENDÊNCIA RET VAR VOL_Televendas Painel_1_Retenção Painel_D_Ret_Fixa_EMP_5" xfId="10253"/>
    <cellStyle name="_TENDÊNCIA RET VAR VOL_Televendas Painel_1_Retenção Painel_D_Ret_Fixa_EMP_6" xfId="10254"/>
    <cellStyle name="_TENDÊNCIA RET VAR VOL_Televendas Painel_1_Retenção Painel_D_Ret_Fixa_EMP_7" xfId="10255"/>
    <cellStyle name="_TENDÊNCIA RET VAR VOL_Televendas Painel_1_Retenção Painel_D_Ret_Fixa_EMP_8" xfId="10256"/>
    <cellStyle name="_TENDÊNCIA RET VAR VOL_Televendas Painel_1_Retenção Painel_D_Ret_Fixa_VAR" xfId="10257"/>
    <cellStyle name="_TENDÊNCIA RET VAR VOL_Televendas Painel_1_Retenção Painel_D_Ret_Fixa_VAR_1" xfId="10258"/>
    <cellStyle name="_TENDÊNCIA RET VAR VOL_Televendas Painel_1_Retenção Painel_D_Ret_Fixa_VAR_2" xfId="10259"/>
    <cellStyle name="_TENDÊNCIA RET VAR VOL_Televendas Painel_1_Retenção Painel_D_Ret_Fixa_VAR_3" xfId="10260"/>
    <cellStyle name="_TENDÊNCIA RET VAR VOL_Televendas Painel_1_Retenção Painel_D_Ret_Fixa_VAR_4" xfId="10261"/>
    <cellStyle name="_TENDÊNCIA RET VAR VOL_Televendas Painel_1_Retenção Painel_D_Ret_Fixa_VAR_5" xfId="10262"/>
    <cellStyle name="_TENDÊNCIA RET VAR VOL_Televendas Painel_1_Retenção Painel_D_Ret_Fixa_VAR_6" xfId="10263"/>
    <cellStyle name="_TENDÊNCIA RET VAR VOL_Televendas Painel_1_Retenção Painel_D_Ret_Fixa_VAR_7" xfId="10264"/>
    <cellStyle name="_TENDÊNCIA RET VAR VOL_Televendas Painel_1_Retenção Painel_D_Ret_Fixa_VAR_8" xfId="10265"/>
    <cellStyle name="_TENDÊNCIA RET VAR VOL_Televendas Painel_1_Retenção Painel_De_Para_plano" xfId="10266"/>
    <cellStyle name="_TENDÊNCIA RET VAR VOL_Televendas Painel_1_Retenção Painel_Mig Ret 3G" xfId="10267"/>
    <cellStyle name="_TENDÊNCIA RET VAR VOL_Televendas Painel_1_Retenção Painel_Mig Ret 3G_1" xfId="10268"/>
    <cellStyle name="_TENDÊNCIA RET VAR VOL_Televendas Painel_1_Retenção Painel_Mig Ret 3G_2" xfId="10269"/>
    <cellStyle name="_TENDÊNCIA RET VAR VOL_Televendas Painel_1_Retenção Painel_Mig Ret 3G_3" xfId="10270"/>
    <cellStyle name="_TENDÊNCIA RET VAR VOL_Televendas Painel_1_Retenção Painel_Mig Ret 3G_4" xfId="10271"/>
    <cellStyle name="_TENDÊNCIA RET VAR VOL_Televendas Painel_1_Retenção Painel_Mig Ret 3G_5" xfId="10272"/>
    <cellStyle name="_TENDÊNCIA RET VAR VOL_Televendas Painel_1_Retenção Painel_Mig Ret 3G_6" xfId="10273"/>
    <cellStyle name="_TENDÊNCIA RET VAR VOL_Televendas Painel_1_Retenção Painel_Mig Ret 3G_7" xfId="10274"/>
    <cellStyle name="_TENDÊNCIA RET VAR VOL_Televendas Painel_1_Retenção Painel_Movel" xfId="10275"/>
    <cellStyle name="_TENDÊNCIA RET VAR VOL_Televendas Painel_1_Retenção Painel_Movel_1" xfId="10276"/>
    <cellStyle name="_TENDÊNCIA RET VAR VOL_Televendas Painel_1_Retenção Painel_Movel_2" xfId="10277"/>
    <cellStyle name="_TENDÊNCIA RET VAR VOL_Televendas Painel_1_Retenção Painel_Movel_3" xfId="10278"/>
    <cellStyle name="_TENDÊNCIA RET VAR VOL_Televendas Painel_1_Retenção Painel_Movel_4" xfId="10279"/>
    <cellStyle name="_TENDÊNCIA RET VAR VOL_Televendas Painel_1_Retenção Painel_Movel_5" xfId="10280"/>
    <cellStyle name="_TENDÊNCIA RET VAR VOL_Televendas Painel_1_Retenção Painel_Movel_6" xfId="10281"/>
    <cellStyle name="_TENDÊNCIA RET VAR VOL_Televendas Painel_1_Retenção Painel_Movel_7" xfId="10282"/>
    <cellStyle name="_TENDÊNCIA RET VAR VOL_Televendas Painel_1_Retenção Painel_Retenção" xfId="10283"/>
    <cellStyle name="_TENDÊNCIA RET VAR VOL_Televendas Painel_Base" xfId="10284"/>
    <cellStyle name="_TENDÊNCIA RET VAR VOL_Televendas Painel_D_Movel" xfId="10285"/>
    <cellStyle name="_TENDÊNCIA RET VAR VOL_Televendas Painel_D_Ret_Fixa_EMP" xfId="10286"/>
    <cellStyle name="_TENDÊNCIA RET VAR VOL_Televendas Painel_D_Ret_Fixa_EMP_1" xfId="10287"/>
    <cellStyle name="_TENDÊNCIA RET VAR VOL_Televendas Painel_D_Ret_Fixa_EMP_2" xfId="10288"/>
    <cellStyle name="_TENDÊNCIA RET VAR VOL_Televendas Painel_D_Ret_Fixa_EMP_3" xfId="10289"/>
    <cellStyle name="_TENDÊNCIA RET VAR VOL_Televendas Painel_D_Ret_Fixa_EMP_4" xfId="10290"/>
    <cellStyle name="_TENDÊNCIA RET VAR VOL_Televendas Painel_D_Ret_Fixa_EMP_5" xfId="10291"/>
    <cellStyle name="_TENDÊNCIA RET VAR VOL_Televendas Painel_D_Ret_Fixa_EMP_6" xfId="10292"/>
    <cellStyle name="_TENDÊNCIA RET VAR VOL_Televendas Painel_D_Ret_Fixa_EMP_7" xfId="10293"/>
    <cellStyle name="_TENDÊNCIA RET VAR VOL_Televendas Painel_D_Ret_Fixa_EMP_8" xfId="10294"/>
    <cellStyle name="_TENDÊNCIA RET VAR VOL_Televendas Painel_D_Ret_Fixa_VAR" xfId="10295"/>
    <cellStyle name="_TENDÊNCIA RET VAR VOL_Televendas Painel_D_Ret_Fixa_VAR_1" xfId="10296"/>
    <cellStyle name="_TENDÊNCIA RET VAR VOL_Televendas Painel_D_Ret_Fixa_VAR_2" xfId="10297"/>
    <cellStyle name="_TENDÊNCIA RET VAR VOL_Televendas Painel_D_Ret_Fixa_VAR_3" xfId="10298"/>
    <cellStyle name="_TENDÊNCIA RET VAR VOL_Televendas Painel_D_Ret_Fixa_VAR_4" xfId="10299"/>
    <cellStyle name="_TENDÊNCIA RET VAR VOL_Televendas Painel_D_Ret_Fixa_VAR_5" xfId="10300"/>
    <cellStyle name="_TENDÊNCIA RET VAR VOL_Televendas Painel_D_Ret_Fixa_VAR_6" xfId="10301"/>
    <cellStyle name="_TENDÊNCIA RET VAR VOL_Televendas Painel_D_Ret_Fixa_VAR_7" xfId="10302"/>
    <cellStyle name="_TENDÊNCIA RET VAR VOL_Televendas Painel_D_Ret_Fixa_VAR_8" xfId="10303"/>
    <cellStyle name="_TENDÊNCIA RET VAR VOL_Televendas Painel_De_Para_plano" xfId="10304"/>
    <cellStyle name="_TENDÊNCIA RET VAR VOL_Televendas Painel_Mig Ret 3G" xfId="10305"/>
    <cellStyle name="_TENDÊNCIA RET VAR VOL_Televendas Painel_Mig Ret 3G_1" xfId="10306"/>
    <cellStyle name="_TENDÊNCIA RET VAR VOL_Televendas Painel_Mig Ret 3G_2" xfId="10307"/>
    <cellStyle name="_TENDÊNCIA RET VAR VOL_Televendas Painel_Mig Ret 3G_3" xfId="10308"/>
    <cellStyle name="_TENDÊNCIA RET VAR VOL_Televendas Painel_Mig Ret 3G_4" xfId="10309"/>
    <cellStyle name="_TENDÊNCIA RET VAR VOL_Televendas Painel_Mig Ret 3G_5" xfId="10310"/>
    <cellStyle name="_TENDÊNCIA RET VAR VOL_Televendas Painel_Mig Ret 3G_6" xfId="10311"/>
    <cellStyle name="_TENDÊNCIA RET VAR VOL_Televendas Painel_Mig Ret 3G_7" xfId="10312"/>
    <cellStyle name="_TENDÊNCIA RET VAR VOL_Televendas Painel_Movel" xfId="10313"/>
    <cellStyle name="_TENDÊNCIA RET VAR VOL_Televendas Painel_Movel_1" xfId="10314"/>
    <cellStyle name="_TENDÊNCIA RET VAR VOL_Televendas Painel_Movel_2" xfId="10315"/>
    <cellStyle name="_TENDÊNCIA RET VAR VOL_Televendas Painel_Movel_3" xfId="10316"/>
    <cellStyle name="_TENDÊNCIA RET VAR VOL_Televendas Painel_Movel_4" xfId="10317"/>
    <cellStyle name="_TENDÊNCIA RET VAR VOL_Televendas Painel_Movel_5" xfId="10318"/>
    <cellStyle name="_TENDÊNCIA RET VAR VOL_Televendas Painel_Movel_6" xfId="10319"/>
    <cellStyle name="_TENDÊNCIA RET VAR VOL_Televendas Painel_Movel_7" xfId="10320"/>
    <cellStyle name="_TENDÊNCIA RET VAR VOL_Televendas Painel_Retenção" xfId="10321"/>
    <cellStyle name="_TENDÊNCIA RET VAR VOL_TENDÊNCIA RET VAR VOL" xfId="10322"/>
    <cellStyle name="_TENDÊNCIA RET VAR VOL_TENDÊNCIA RET VAR VOL_Base" xfId="10323"/>
    <cellStyle name="_TENDÊNCIA RET VAR VOL_TENDÊNCIA RET VAR VOL_D_Movel" xfId="10324"/>
    <cellStyle name="_TENDÊNCIA RET VAR VOL_TENDÊNCIA RET VAR VOL_D_Ret_Fixa_EMP" xfId="10325"/>
    <cellStyle name="_TENDÊNCIA RET VAR VOL_TENDÊNCIA RET VAR VOL_D_Ret_Fixa_EMP_1" xfId="10326"/>
    <cellStyle name="_TENDÊNCIA RET VAR VOL_TENDÊNCIA RET VAR VOL_D_Ret_Fixa_EMP_2" xfId="10327"/>
    <cellStyle name="_TENDÊNCIA RET VAR VOL_TENDÊNCIA RET VAR VOL_D_Ret_Fixa_EMP_3" xfId="10328"/>
    <cellStyle name="_TENDÊNCIA RET VAR VOL_TENDÊNCIA RET VAR VOL_D_Ret_Fixa_EMP_4" xfId="10329"/>
    <cellStyle name="_TENDÊNCIA RET VAR VOL_TENDÊNCIA RET VAR VOL_D_Ret_Fixa_EMP_5" xfId="10330"/>
    <cellStyle name="_TENDÊNCIA RET VAR VOL_TENDÊNCIA RET VAR VOL_D_Ret_Fixa_EMP_6" xfId="10331"/>
    <cellStyle name="_TENDÊNCIA RET VAR VOL_TENDÊNCIA RET VAR VOL_D_Ret_Fixa_EMP_7" xfId="10332"/>
    <cellStyle name="_TENDÊNCIA RET VAR VOL_TENDÊNCIA RET VAR VOL_D_Ret_Fixa_EMP_8" xfId="10333"/>
    <cellStyle name="_TENDÊNCIA RET VAR VOL_TENDÊNCIA RET VAR VOL_D_Ret_Fixa_VAR" xfId="10334"/>
    <cellStyle name="_TENDÊNCIA RET VAR VOL_TENDÊNCIA RET VAR VOL_D_Ret_Fixa_VAR_1" xfId="10335"/>
    <cellStyle name="_TENDÊNCIA RET VAR VOL_TENDÊNCIA RET VAR VOL_D_Ret_Fixa_VAR_2" xfId="10336"/>
    <cellStyle name="_TENDÊNCIA RET VAR VOL_TENDÊNCIA RET VAR VOL_D_Ret_Fixa_VAR_3" xfId="10337"/>
    <cellStyle name="_TENDÊNCIA RET VAR VOL_TENDÊNCIA RET VAR VOL_D_Ret_Fixa_VAR_4" xfId="10338"/>
    <cellStyle name="_TENDÊNCIA RET VAR VOL_TENDÊNCIA RET VAR VOL_D_Ret_Fixa_VAR_5" xfId="10339"/>
    <cellStyle name="_TENDÊNCIA RET VAR VOL_TENDÊNCIA RET VAR VOL_D_Ret_Fixa_VAR_6" xfId="10340"/>
    <cellStyle name="_TENDÊNCIA RET VAR VOL_TENDÊNCIA RET VAR VOL_D_Ret_Fixa_VAR_7" xfId="10341"/>
    <cellStyle name="_TENDÊNCIA RET VAR VOL_TENDÊNCIA RET VAR VOL_D_Ret_Fixa_VAR_8" xfId="10342"/>
    <cellStyle name="_TENDÊNCIA RET VAR VOL_TENDÊNCIA RET VAR VOL_De_Para_plano" xfId="10343"/>
    <cellStyle name="_TENDÊNCIA RET VAR VOL_TENDÊNCIA RET VAR VOL_Mig Ret 3G" xfId="10344"/>
    <cellStyle name="_TENDÊNCIA RET VAR VOL_TENDÊNCIA RET VAR VOL_Mig Ret 3G_1" xfId="10345"/>
    <cellStyle name="_TENDÊNCIA RET VAR VOL_TENDÊNCIA RET VAR VOL_Mig Ret 3G_2" xfId="10346"/>
    <cellStyle name="_TENDÊNCIA RET VAR VOL_TENDÊNCIA RET VAR VOL_Mig Ret 3G_3" xfId="10347"/>
    <cellStyle name="_TENDÊNCIA RET VAR VOL_TENDÊNCIA RET VAR VOL_Mig Ret 3G_4" xfId="10348"/>
    <cellStyle name="_TENDÊNCIA RET VAR VOL_TENDÊNCIA RET VAR VOL_Mig Ret 3G_5" xfId="10349"/>
    <cellStyle name="_TENDÊNCIA RET VAR VOL_TENDÊNCIA RET VAR VOL_Mig Ret 3G_6" xfId="10350"/>
    <cellStyle name="_TENDÊNCIA RET VAR VOL_TENDÊNCIA RET VAR VOL_Mig Ret 3G_7" xfId="10351"/>
    <cellStyle name="_TENDÊNCIA RET VAR VOL_TENDÊNCIA RET VAR VOL_Movel" xfId="10352"/>
    <cellStyle name="_TENDÊNCIA RET VAR VOL_TENDÊNCIA RET VAR VOL_Movel_1" xfId="10353"/>
    <cellStyle name="_TENDÊNCIA RET VAR VOL_TENDÊNCIA RET VAR VOL_Movel_2" xfId="10354"/>
    <cellStyle name="_TENDÊNCIA RET VAR VOL_TENDÊNCIA RET VAR VOL_Movel_3" xfId="10355"/>
    <cellStyle name="_TENDÊNCIA RET VAR VOL_TENDÊNCIA RET VAR VOL_Movel_4" xfId="10356"/>
    <cellStyle name="_TENDÊNCIA RET VAR VOL_TENDÊNCIA RET VAR VOL_Movel_5" xfId="10357"/>
    <cellStyle name="_TENDÊNCIA RET VAR VOL_TENDÊNCIA RET VAR VOL_Movel_6" xfId="10358"/>
    <cellStyle name="_TENDÊNCIA RET VAR VOL_TENDÊNCIA RET VAR VOL_Movel_7" xfId="10359"/>
    <cellStyle name="_TENDÊNCIA RET VAR VOL_TENDÊNCIA RET VAR VOL_Retenção" xfId="10360"/>
    <cellStyle name="_Tendência TLV_Varejo_Jul 16-06 a 15-07-09 - M3 - 3ºTendência Oi" xfId="10361"/>
    <cellStyle name="_Tendência TLV_Varejo_Jul 16-06 a 15-07-09 - M3 - 3ºTendência Oi_BD Resumo diário Painel de Televendas Abril 2011" xfId="10362"/>
    <cellStyle name="_Tendência TLV_Varejo_Jul 16-06 a 15-07-09 - M3 - 3ºTendência Oi_BD Resumo diário Painel de Televendas Janeiro 2011" xfId="10363"/>
    <cellStyle name="_Tendência TLV_Varejo_Jul 16-06 a 15-07-09 - M3 - 3ºTendência Oi_BD Resumo diário Painel de Televendas Setembro 2010_BASE_UNICA" xfId="10364"/>
    <cellStyle name="_Tendência TLV_Varejo_Jul 16-06 a 15-07-09 - M3 - 3ºTendência Oi_Painel de Retenção Junho 2011" xfId="10365"/>
    <cellStyle name="_Tendência TLV_Varejo_Jul 16-06 a 15-07-09 - M3 - 3ºTendência Oi_Pasta1" xfId="10366"/>
    <cellStyle name="_Tendência TLV_Varejo_Jul 16-06 a 15-07-09 - M3 - 3ºTendência Oi_Plan1" xfId="10367"/>
    <cellStyle name="_Tendência TLV_Varejo_Jul 16-06 a 15-07-09 - M3 - 3ºTendência Oi_Plan2" xfId="10368"/>
    <cellStyle name="_Tendência TLV_Varejo_Jul 16-06 a 15-07-09 - M3 - 3ºTendência Oi_Retenção" xfId="10369"/>
    <cellStyle name="_Tendência TLV_Varejo_Jul 16-06 a 15-07-09 - M3 - 3ºTendência Oi_Retenção Painel" xfId="10370"/>
    <cellStyle name="_Tendência TLV_Varejo_Jul 16-06 a 15-07-09 - M3 - 3ºTendência Oi_Televendas Painel" xfId="10371"/>
    <cellStyle name="_Tendência TLV_Varejo_Jul 16-06 a 15-07-09 - M3 - 3ºTendência Oi_Televendas Painel_ant" xfId="10372"/>
    <cellStyle name="_teste - dime" xfId="10373"/>
    <cellStyle name="_teste - dime_BD Resumo diário Painel de Televendas Abril 2011" xfId="10374"/>
    <cellStyle name="_teste - dime_BD Resumo diário Painel de Televendas Janeiro 2011" xfId="10375"/>
    <cellStyle name="_teste - dime_BD Resumo diário Painel de Televendas Setembro 2010_BASE_UNICA" xfId="10376"/>
    <cellStyle name="_teste - dime_Faturamento Oi Movel SP_Julho 08" xfId="10377"/>
    <cellStyle name="_teste - dime_Faturamento Oi Movel SP_Julho 08_BD Resumo diário Painel de Televendas Abril 2011" xfId="10378"/>
    <cellStyle name="_teste - dime_Faturamento Oi Movel SP_Julho 08_BD Resumo diário Painel de Televendas Janeiro 2011" xfId="10379"/>
    <cellStyle name="_teste - dime_Faturamento Oi Movel SP_Julho 08_BD Resumo diário Painel de Televendas Setembro 2010_BASE_UNICA" xfId="10380"/>
    <cellStyle name="_teste - dime_Faturamento Oi Movel SP_Julho 08_Painel de Retenção Junho 2011" xfId="10381"/>
    <cellStyle name="_teste - dime_Faturamento Oi Movel SP_Julho 08_Pasta1" xfId="10382"/>
    <cellStyle name="_teste - dime_Faturamento Oi Movel SP_Julho 08_Plan1" xfId="10383"/>
    <cellStyle name="_teste - dime_Faturamento Oi Movel SP_Julho 08_Plan2" xfId="10384"/>
    <cellStyle name="_teste - dime_Faturamento Oi Movel SP_Julho 08_Retenção" xfId="10385"/>
    <cellStyle name="_teste - dime_Faturamento Oi Movel SP_Julho 08_Retenção Painel" xfId="10386"/>
    <cellStyle name="_teste - dime_Faturamento Oi Movel SP_Julho 08_Televendas Painel" xfId="10387"/>
    <cellStyle name="_teste - dime_Faturamento Oi Movel SP_Julho 08_Televendas Painel_ant" xfId="10388"/>
    <cellStyle name="_teste - dime_Medição de PV's por Aderencia 12_12_2008_V3" xfId="10389"/>
    <cellStyle name="_teste - dime_Medição de PV's por Aderencia 12_12_2008_V3_BD Resumo diário Painel de Televendas Abril 2011" xfId="10390"/>
    <cellStyle name="_teste - dime_Medição de PV's por Aderencia 12_12_2008_V3_BD Resumo diário Painel de Televendas Janeiro 2011" xfId="10391"/>
    <cellStyle name="_teste - dime_Medição de PV's por Aderencia 12_12_2008_V3_BD Resumo diário Painel de Televendas Setembro 2010_BASE_UNICA" xfId="10392"/>
    <cellStyle name="_teste - dime_Medição de PV's por Aderencia 12_12_2008_V3_Painel de Retenção Junho 2011" xfId="10393"/>
    <cellStyle name="_teste - dime_Medição de PV's por Aderencia 12_12_2008_V3_Pasta1" xfId="10394"/>
    <cellStyle name="_teste - dime_Medição de PV's por Aderencia 12_12_2008_V3_Plan1" xfId="10395"/>
    <cellStyle name="_teste - dime_Medição de PV's por Aderencia 12_12_2008_V3_Plan2" xfId="10396"/>
    <cellStyle name="_teste - dime_Medição de PV's por Aderencia 12_12_2008_V3_Retenção" xfId="10397"/>
    <cellStyle name="_teste - dime_Medição de PV's por Aderencia 12_12_2008_V3_Retenção Painel" xfId="10398"/>
    <cellStyle name="_teste - dime_Medição de PV's por Aderencia 12_12_2008_V3_Televendas Painel" xfId="10399"/>
    <cellStyle name="_teste - dime_Medição de PV's por Aderencia 12_12_2008_V3_Televendas Painel_ant" xfId="10400"/>
    <cellStyle name="_teste - dime_Medição de PV's por Aderencia 15092008 a 14102008_V2" xfId="10401"/>
    <cellStyle name="_teste - dime_Medição de PV's por Aderencia 15092008 a 14102008_V2_BD Resumo diário Painel de Televendas Abril 2011" xfId="10402"/>
    <cellStyle name="_teste - dime_Medição de PV's por Aderencia 15092008 a 14102008_V2_BD Resumo diário Painel de Televendas Janeiro 2011" xfId="10403"/>
    <cellStyle name="_teste - dime_Medição de PV's por Aderencia 15092008 a 14102008_V2_BD Resumo diário Painel de Televendas Setembro 2010_BASE_UNICA" xfId="10404"/>
    <cellStyle name="_teste - dime_Medição de PV's por Aderencia 15092008 a 14102008_V2_Painel de Retenção Junho 2011" xfId="10405"/>
    <cellStyle name="_teste - dime_Medição de PV's por Aderencia 15092008 a 14102008_V2_Pasta1" xfId="10406"/>
    <cellStyle name="_teste - dime_Medição de PV's por Aderencia 15092008 a 14102008_V2_Plan1" xfId="10407"/>
    <cellStyle name="_teste - dime_Medição de PV's por Aderencia 15092008 a 14102008_V2_Plan2" xfId="10408"/>
    <cellStyle name="_teste - dime_Medição de PV's por Aderencia 15092008 a 14102008_V2_Retenção" xfId="10409"/>
    <cellStyle name="_teste - dime_Medição de PV's por Aderencia 15092008 a 14102008_V2_Retenção Painel" xfId="10410"/>
    <cellStyle name="_teste - dime_Medição de PV's por Aderencia 15092008 a 14102008_V2_Televendas Painel" xfId="10411"/>
    <cellStyle name="_teste - dime_Medição de PV's por Aderencia 15092008 a 14102008_V2_Televendas Painel_ant" xfId="10412"/>
    <cellStyle name="_teste - dime_Oi - SP - Faturamento -2008 - Aberto" xfId="10413"/>
    <cellStyle name="_teste - dime_Oi - SP - Faturamento -2008 - Aberto_BD Resumo diário Painel de Televendas Abril 2011" xfId="10414"/>
    <cellStyle name="_teste - dime_Oi - SP - Faturamento -2008 - Aberto_BD Resumo diário Painel de Televendas Janeiro 2011" xfId="10415"/>
    <cellStyle name="_teste - dime_Oi - SP - Faturamento -2008 - Aberto_BD Resumo diário Painel de Televendas Setembro 2010_BASE_UNICA" xfId="10416"/>
    <cellStyle name="_teste - dime_Oi - SP - Faturamento -2008 - Aberto_Painel de Retenção Junho 2011" xfId="10417"/>
    <cellStyle name="_teste - dime_Oi - SP - Faturamento -2008 - Aberto_Pasta1" xfId="10418"/>
    <cellStyle name="_teste - dime_Oi - SP - Faturamento -2008 - Aberto_Plan1" xfId="10419"/>
    <cellStyle name="_teste - dime_Oi - SP - Faturamento -2008 - Aberto_Plan2" xfId="10420"/>
    <cellStyle name="_teste - dime_Oi - SP - Faturamento -2008 - Aberto_Retenção" xfId="10421"/>
    <cellStyle name="_teste - dime_Oi - SP - Faturamento -2008 - Aberto_Retenção Painel" xfId="10422"/>
    <cellStyle name="_teste - dime_Oi - SP - Faturamento -2008 - Aberto_Televendas Painel" xfId="10423"/>
    <cellStyle name="_teste - dime_Oi - SP - Faturamento -2008 - Aberto_Televendas Painel_ant" xfId="10424"/>
    <cellStyle name="_teste - dime_Painel de Retenção Junho 2011" xfId="10425"/>
    <cellStyle name="_teste - dime_Pasta1" xfId="10426"/>
    <cellStyle name="_teste - dime_Plan1" xfId="10427"/>
    <cellStyle name="_teste - dime_Plan2" xfId="10428"/>
    <cellStyle name="_teste - dime_Retenção" xfId="10429"/>
    <cellStyle name="_teste - dime_Retenção Painel" xfId="10430"/>
    <cellStyle name="_teste - dime_Televendas Painel" xfId="10431"/>
    <cellStyle name="_teste - dime_Televendas Painel_ant" xfId="10432"/>
    <cellStyle name="_teste - dime_TENDÊNCIA RET VAR CONTROLE" xfId="10433"/>
    <cellStyle name="_teste - dime_TENDÊNCIA RET VAR CONTROLE_Base" xfId="10434"/>
    <cellStyle name="_teste - dime_TENDÊNCIA RET VAR CONTROLE_D_Ret_Fixa_EMP" xfId="10435"/>
    <cellStyle name="_teste - dime_TENDÊNCIA RET VAR CONTROLE_D_Ret_Fixa_EMP_1" xfId="10436"/>
    <cellStyle name="_teste - dime_TENDÊNCIA RET VAR CONTROLE_D_Ret_Fixa_EMP_2" xfId="10437"/>
    <cellStyle name="_teste - dime_TENDÊNCIA RET VAR CONTROLE_D_Ret_Fixa_EMP_3" xfId="10438"/>
    <cellStyle name="_teste - dime_TENDÊNCIA RET VAR CONTROLE_D_Ret_Fixa_EMP_4" xfId="10439"/>
    <cellStyle name="_teste - dime_TENDÊNCIA RET VAR CONTROLE_D_Ret_Fixa_EMP_5" xfId="10440"/>
    <cellStyle name="_teste - dime_TENDÊNCIA RET VAR CONTROLE_D_Ret_Fixa_EMP_6" xfId="10441"/>
    <cellStyle name="_teste - dime_TENDÊNCIA RET VAR CONTROLE_D_Ret_Fixa_EMP_7" xfId="10442"/>
    <cellStyle name="_teste - dime_TENDÊNCIA RET VAR CONTROLE_D_Ret_Fixa_EMP_8" xfId="10443"/>
    <cellStyle name="_teste - dime_TENDÊNCIA RET VAR CONTROLE_D_Ret_Fixa_VAR" xfId="10444"/>
    <cellStyle name="_teste - dime_TENDÊNCIA RET VAR CONTROLE_D_Ret_Fixa_VAR_1" xfId="10445"/>
    <cellStyle name="_teste - dime_TENDÊNCIA RET VAR CONTROLE_D_Ret_Fixa_VAR_2" xfId="10446"/>
    <cellStyle name="_teste - dime_TENDÊNCIA RET VAR CONTROLE_D_Ret_Fixa_VAR_3" xfId="10447"/>
    <cellStyle name="_teste - dime_TENDÊNCIA RET VAR CONTROLE_D_Ret_Fixa_VAR_4" xfId="10448"/>
    <cellStyle name="_teste - dime_TENDÊNCIA RET VAR CONTROLE_D_Ret_Fixa_VAR_5" xfId="10449"/>
    <cellStyle name="_teste - dime_TENDÊNCIA RET VAR CONTROLE_D_Ret_Fixa_VAR_6" xfId="10450"/>
    <cellStyle name="_teste - dime_TENDÊNCIA RET VAR CONTROLE_D_Ret_Fixa_VAR_7" xfId="10451"/>
    <cellStyle name="_teste - dime_TENDÊNCIA RET VAR CONTROLE_D_Ret_Fixa_VAR_8" xfId="10452"/>
    <cellStyle name="_teste - dime_TENDÊNCIA RET VAR CONTROLE_Mig Ret 3G" xfId="10453"/>
    <cellStyle name="_teste - dime_TENDÊNCIA RET VAR CONTROLE_Mig Ret 3G_1" xfId="10454"/>
    <cellStyle name="_teste - dime_TENDÊNCIA RET VAR CONTROLE_Mig Ret 3G_2" xfId="10455"/>
    <cellStyle name="_teste - dime_TENDÊNCIA RET VAR CONTROLE_Mig Ret 3G_3" xfId="10456"/>
    <cellStyle name="_teste - dime_TENDÊNCIA RET VAR CONTROLE_Mig Ret 3G_4" xfId="10457"/>
    <cellStyle name="_teste - dime_TENDÊNCIA RET VAR CONTROLE_Mig Ret 3G_5" xfId="10458"/>
    <cellStyle name="_teste - dime_TENDÊNCIA RET VAR CONTROLE_Mig Ret 3G_6" xfId="10459"/>
    <cellStyle name="_teste - dime_TENDÊNCIA RET VAR CONTROLE_Mig Ret 3G_7" xfId="10460"/>
    <cellStyle name="_teste - dime_TENDÊNCIA RET VAR CONTROLE_Movel" xfId="10461"/>
    <cellStyle name="_teste - dime_TENDÊNCIA RET VAR CONTROLE_Movel_1" xfId="10462"/>
    <cellStyle name="_teste - dime_TENDÊNCIA RET VAR CONTROLE_Movel_2" xfId="10463"/>
    <cellStyle name="_teste - dime_TENDÊNCIA RET VAR CONTROLE_Movel_3" xfId="10464"/>
    <cellStyle name="_teste - dime_TENDÊNCIA RET VAR CONTROLE_Movel_4" xfId="10465"/>
    <cellStyle name="_teste - dime_TENDÊNCIA RET VAR CONTROLE_Movel_5" xfId="10466"/>
    <cellStyle name="_teste - dime_TENDÊNCIA RET VAR CONTROLE_Movel_6" xfId="10467"/>
    <cellStyle name="_teste - dime_TENDÊNCIA RET VAR CONTROLE_Movel_7" xfId="10468"/>
    <cellStyle name="_teste - dime_TENDÊNCIA RET VAR CONTROLE_Retenção" xfId="10469"/>
    <cellStyle name="_teste - dime_TENDÊNCIA RET VAR VOL" xfId="10470"/>
    <cellStyle name="_teste - dime_TENDÊNCIA RET VAR VOL 2" xfId="10471"/>
    <cellStyle name="_teste - dime_TENDÊNCIA RET VAR VOL_Base" xfId="10472"/>
    <cellStyle name="_teste - dime_TENDÊNCIA RET VAR VOL_D_Movel" xfId="10473"/>
    <cellStyle name="_teste - dime_TENDÊNCIA RET VAR VOL_D_Ret_Fixa_EMP" xfId="10474"/>
    <cellStyle name="_teste - dime_TENDÊNCIA RET VAR VOL_D_Ret_Fixa_EMP_1" xfId="10475"/>
    <cellStyle name="_teste - dime_TENDÊNCIA RET VAR VOL_D_Ret_Fixa_EMP_2" xfId="10476"/>
    <cellStyle name="_teste - dime_TENDÊNCIA RET VAR VOL_D_Ret_Fixa_EMP_3" xfId="10477"/>
    <cellStyle name="_teste - dime_TENDÊNCIA RET VAR VOL_D_Ret_Fixa_EMP_4" xfId="10478"/>
    <cellStyle name="_teste - dime_TENDÊNCIA RET VAR VOL_D_Ret_Fixa_EMP_5" xfId="10479"/>
    <cellStyle name="_teste - dime_TENDÊNCIA RET VAR VOL_D_Ret_Fixa_EMP_6" xfId="10480"/>
    <cellStyle name="_teste - dime_TENDÊNCIA RET VAR VOL_D_Ret_Fixa_EMP_7" xfId="10481"/>
    <cellStyle name="_teste - dime_TENDÊNCIA RET VAR VOL_D_Ret_Fixa_EMP_8" xfId="10482"/>
    <cellStyle name="_teste - dime_TENDÊNCIA RET VAR VOL_D_Ret_Fixa_VAR" xfId="10483"/>
    <cellStyle name="_teste - dime_TENDÊNCIA RET VAR VOL_D_Ret_Fixa_VAR_1" xfId="10484"/>
    <cellStyle name="_teste - dime_TENDÊNCIA RET VAR VOL_D_Ret_Fixa_VAR_2" xfId="10485"/>
    <cellStyle name="_teste - dime_TENDÊNCIA RET VAR VOL_D_Ret_Fixa_VAR_3" xfId="10486"/>
    <cellStyle name="_teste - dime_TENDÊNCIA RET VAR VOL_D_Ret_Fixa_VAR_4" xfId="10487"/>
    <cellStyle name="_teste - dime_TENDÊNCIA RET VAR VOL_D_Ret_Fixa_VAR_5" xfId="10488"/>
    <cellStyle name="_teste - dime_TENDÊNCIA RET VAR VOL_D_Ret_Fixa_VAR_6" xfId="10489"/>
    <cellStyle name="_teste - dime_TENDÊNCIA RET VAR VOL_D_Ret_Fixa_VAR_7" xfId="10490"/>
    <cellStyle name="_teste - dime_TENDÊNCIA RET VAR VOL_D_Ret_Fixa_VAR_8" xfId="10491"/>
    <cellStyle name="_teste - dime_TENDÊNCIA RET VAR VOL_Mig Ret 3G" xfId="10492"/>
    <cellStyle name="_teste - dime_TENDÊNCIA RET VAR VOL_Mig Ret 3G_1" xfId="10493"/>
    <cellStyle name="_teste - dime_TENDÊNCIA RET VAR VOL_Mig Ret 3G_2" xfId="10494"/>
    <cellStyle name="_teste - dime_TENDÊNCIA RET VAR VOL_Mig Ret 3G_3" xfId="10495"/>
    <cellStyle name="_teste - dime_TENDÊNCIA RET VAR VOL_Mig Ret 3G_4" xfId="10496"/>
    <cellStyle name="_teste - dime_TENDÊNCIA RET VAR VOL_Mig Ret 3G_5" xfId="10497"/>
    <cellStyle name="_teste - dime_TENDÊNCIA RET VAR VOL_Mig Ret 3G_6" xfId="10498"/>
    <cellStyle name="_teste - dime_TENDÊNCIA RET VAR VOL_Mig Ret 3G_7" xfId="10499"/>
    <cellStyle name="_teste - dime_TENDÊNCIA RET VAR VOL_Movel" xfId="10500"/>
    <cellStyle name="_teste - dime_TENDÊNCIA RET VAR VOL_Movel_1" xfId="10501"/>
    <cellStyle name="_teste - dime_TENDÊNCIA RET VAR VOL_Movel_2" xfId="10502"/>
    <cellStyle name="_teste - dime_TENDÊNCIA RET VAR VOL_Movel_3" xfId="10503"/>
    <cellStyle name="_teste - dime_TENDÊNCIA RET VAR VOL_Movel_4" xfId="10504"/>
    <cellStyle name="_teste - dime_TENDÊNCIA RET VAR VOL_Movel_5" xfId="10505"/>
    <cellStyle name="_teste - dime_TENDÊNCIA RET VAR VOL_Movel_6" xfId="10506"/>
    <cellStyle name="_teste - dime_TENDÊNCIA RET VAR VOL_Movel_7" xfId="10507"/>
    <cellStyle name="_teste - dime_TENDÊNCIA RET VAR VOL_Retenção" xfId="10508"/>
    <cellStyle name="_TLV AV R1 - FORECAST 9+3" xfId="10509"/>
    <cellStyle name="_TLV AV R1 - FORECAST 9+3_BD Resumo diário Painel de Televendas Abril 2011" xfId="10510"/>
    <cellStyle name="_TLV AV R1 - FORECAST 9+3_BD Resumo diário Painel de Televendas Janeiro 2011" xfId="10511"/>
    <cellStyle name="_TLV AV R1 - FORECAST 9+3_BD Resumo diário Painel de Televendas Setembro 2010_BASE_UNICA" xfId="10512"/>
    <cellStyle name="_TLV AV R1 - FORECAST 9+3_Painel de Retenção Junho 2011" xfId="10513"/>
    <cellStyle name="_TLV AV R1 - FORECAST 9+3_Pasta1" xfId="10514"/>
    <cellStyle name="_TLV AV R1 - FORECAST 9+3_Plan1" xfId="10515"/>
    <cellStyle name="_TLV AV R1 - FORECAST 9+3_Plan2" xfId="10516"/>
    <cellStyle name="_TLV AV R1 - FORECAST 9+3_Retenção" xfId="10517"/>
    <cellStyle name="_TLV AV R1 - FORECAST 9+3_Retenção Painel" xfId="10518"/>
    <cellStyle name="_TLV AV R1 - FORECAST 9+3_Televendas Painel" xfId="10519"/>
    <cellStyle name="_TLV AV R1 - FORECAST 9+3_Televendas Painel_ant" xfId="10520"/>
    <cellStyle name="_Trejet(W599)" xfId="10521"/>
    <cellStyle name="_Twinkle" xfId="10522"/>
    <cellStyle name="_Twinkle 2" xfId="10523"/>
    <cellStyle name="_Twinkle 3" xfId="10524"/>
    <cellStyle name="_Twinkle 4" xfId="10525"/>
    <cellStyle name="_Twinkle 5" xfId="10526"/>
    <cellStyle name="_Twinkle 6" xfId="10527"/>
    <cellStyle name="_Twinkle 7" xfId="10528"/>
    <cellStyle name="_Twinkle 8" xfId="10529"/>
    <cellStyle name="_Twinkle 9" xfId="10530"/>
    <cellStyle name="_Twist(GT-M2710)" xfId="10531"/>
    <cellStyle name="_Twist(GT-M2710) 2" xfId="10532"/>
    <cellStyle name="_Twist(GT-M2710) 3" xfId="10533"/>
    <cellStyle name="_Twist(GT-M2710) 4" xfId="10534"/>
    <cellStyle name="_Twist(GT-M2710) 5" xfId="10535"/>
    <cellStyle name="_Twist(GT-M2710) 6" xfId="10536"/>
    <cellStyle name="_Twist(GT-M2710) 7" xfId="10537"/>
    <cellStyle name="_Twist(GT-M2710) 8" xfId="10538"/>
    <cellStyle name="_Twist(GT-M2710) 9" xfId="10539"/>
    <cellStyle name="_Validação" xfId="10540"/>
    <cellStyle name="_Validação Fat Site Contorno_Varejo_Fev 09" xfId="10541"/>
    <cellStyle name="_Validação Fat Site Contorno_Varejo_Fev 09_BD Resumo diário Painel de Televendas Abril 2011" xfId="10542"/>
    <cellStyle name="_Validação Fat Site Contorno_Varejo_Fev 09_BD Resumo diário Painel de Televendas Janeiro 2011" xfId="10543"/>
    <cellStyle name="_Validação Fat Site Contorno_Varejo_Fev 09_BD Resumo diário Painel de Televendas Setembro 2010_BASE_UNICA" xfId="10544"/>
    <cellStyle name="_Validação Fat Site Contorno_Varejo_Fev 09_Painel de Retenção Junho 2011" xfId="10545"/>
    <cellStyle name="_Validação Fat Site Contorno_Varejo_Fev 09_Pasta1" xfId="10546"/>
    <cellStyle name="_Validação Fat Site Contorno_Varejo_Fev 09_Plan1" xfId="10547"/>
    <cellStyle name="_Validação Fat Site Contorno_Varejo_Fev 09_Plan2" xfId="10548"/>
    <cellStyle name="_Validação Fat Site Contorno_Varejo_Fev 09_Retenção" xfId="10549"/>
    <cellStyle name="_Validação Fat Site Contorno_Varejo_Fev 09_Retenção Painel" xfId="10550"/>
    <cellStyle name="_Validação Fat Site Contorno_Varejo_Fev 09_Televendas Painel" xfId="10551"/>
    <cellStyle name="_Validação Fat Site Contorno_Varejo_Fev 09_Televendas Painel_ant" xfId="10552"/>
    <cellStyle name="_Validação Fat Site Contorno_Varejo_Jan 09" xfId="10553"/>
    <cellStyle name="_Validação Fat Site Contorno_Varejo_Jan 09_BD Resumo diário Painel de Televendas Abril 2011" xfId="10554"/>
    <cellStyle name="_Validação Fat Site Contorno_Varejo_Jan 09_BD Resumo diário Painel de Televendas Janeiro 2011" xfId="10555"/>
    <cellStyle name="_Validação Fat Site Contorno_Varejo_Jan 09_BD Resumo diário Painel de Televendas Setembro 2010_BASE_UNICA" xfId="10556"/>
    <cellStyle name="_Validação Fat Site Contorno_Varejo_Jan 09_Painel de Retenção Junho 2011" xfId="10557"/>
    <cellStyle name="_Validação Fat Site Contorno_Varejo_Jan 09_Pasta1" xfId="10558"/>
    <cellStyle name="_Validação Fat Site Contorno_Varejo_Jan 09_Plan1" xfId="10559"/>
    <cellStyle name="_Validação Fat Site Contorno_Varejo_Jan 09_Plan2" xfId="10560"/>
    <cellStyle name="_Validação Fat Site Contorno_Varejo_Jan 09_Retenção" xfId="10561"/>
    <cellStyle name="_Validação Fat Site Contorno_Varejo_Jan 09_Retenção Painel" xfId="10562"/>
    <cellStyle name="_Validação Fat Site Contorno_Varejo_Jan 09_Televendas Painel" xfId="10563"/>
    <cellStyle name="_Validação Fat Site Contorno_Varejo_Jan 09_Televendas Painel_ant" xfId="10564"/>
    <cellStyle name="_Validação Faturamento TLV_Varejo_Abril" xfId="10565"/>
    <cellStyle name="_Validação Faturamento TLV_Varejo_Abril_BD Resumo diário Painel de Televendas Abril 2011" xfId="10566"/>
    <cellStyle name="_Validação Faturamento TLV_Varejo_Abril_BD Resumo diário Painel de Televendas Janeiro 2011" xfId="10567"/>
    <cellStyle name="_Validação Faturamento TLV_Varejo_Abril_BD Resumo diário Painel de Televendas Setembro 2010_BASE_UNICA" xfId="10568"/>
    <cellStyle name="_Validação Faturamento TLV_Varejo_Abril_Painel de Retenção Junho 2011" xfId="10569"/>
    <cellStyle name="_Validação Faturamento TLV_Varejo_Abril_Pasta1" xfId="10570"/>
    <cellStyle name="_Validação Faturamento TLV_Varejo_Abril_Plan1" xfId="10571"/>
    <cellStyle name="_Validação Faturamento TLV_Varejo_Abril_Plan2" xfId="10572"/>
    <cellStyle name="_Validação Faturamento TLV_Varejo_Abril_Retenção" xfId="10573"/>
    <cellStyle name="_Validação Faturamento TLV_Varejo_Abril_Retenção Painel" xfId="10574"/>
    <cellStyle name="_Validação Faturamento TLV_Varejo_Abril_Televendas Painel" xfId="10575"/>
    <cellStyle name="_Validação Faturamento TLV_Varejo_Abril_Televendas Painel_ant" xfId="10576"/>
    <cellStyle name="_Validação Faturamento TLV_Varejo_Mar 16-02 a 15-03-09 - M3 - V3" xfId="10577"/>
    <cellStyle name="_Validação Faturamento TLV_Varejo_Mar 16-02 a 15-03-09 - M3 - V3_BD Resumo diário Painel de Televendas Abril 2011" xfId="10578"/>
    <cellStyle name="_Validação Faturamento TLV_Varejo_Mar 16-02 a 15-03-09 - M3 - V3_BD Resumo diário Painel de Televendas Janeiro 2011" xfId="10579"/>
    <cellStyle name="_Validação Faturamento TLV_Varejo_Mar 16-02 a 15-03-09 - M3 - V3_BD Resumo diário Painel de Televendas Setembro 2010_BASE_UNICA" xfId="10580"/>
    <cellStyle name="_Validação Faturamento TLV_Varejo_Mar 16-02 a 15-03-09 - M3 - V3_Painel de Retenção Junho 2011" xfId="10581"/>
    <cellStyle name="_Validação Faturamento TLV_Varejo_Mar 16-02 a 15-03-09 - M3 - V3_Pasta1" xfId="10582"/>
    <cellStyle name="_Validação Faturamento TLV_Varejo_Mar 16-02 a 15-03-09 - M3 - V3_Plan1" xfId="10583"/>
    <cellStyle name="_Validação Faturamento TLV_Varejo_Mar 16-02 a 15-03-09 - M3 - V3_Plan2" xfId="10584"/>
    <cellStyle name="_Validação Faturamento TLV_Varejo_Mar 16-02 a 15-03-09 - M3 - V3_Retenção" xfId="10585"/>
    <cellStyle name="_Validação Faturamento TLV_Varejo_Mar 16-02 a 15-03-09 - M3 - V3_Retenção Painel" xfId="10586"/>
    <cellStyle name="_Validação Faturamento TLV_Varejo_Mar 16-02 a 15-03-09 - M3 - V3_Televendas Painel" xfId="10587"/>
    <cellStyle name="_Validação Faturamento TLV_Varejo_Mar 16-02 a 15-03-09 - M3 - V3_Televendas Painel_ant" xfId="10588"/>
    <cellStyle name="_Validação_BD Resumo diário Painel de Televendas Abril 2011" xfId="10589"/>
    <cellStyle name="_Validação_BD Resumo diário Painel de Televendas Janeiro 2011" xfId="10590"/>
    <cellStyle name="_Validação_BD Resumo diário Painel de Televendas Setembro 2010_BASE_UNICA" xfId="10591"/>
    <cellStyle name="_Validação_Faturamento Oi Movel SP_Julho 08" xfId="10592"/>
    <cellStyle name="_Validação_Faturamento Oi Movel SP_Julho 08_BD Resumo diário Painel de Televendas Abril 2011" xfId="10593"/>
    <cellStyle name="_Validação_Faturamento Oi Movel SP_Julho 08_BD Resumo diário Painel de Televendas Janeiro 2011" xfId="10594"/>
    <cellStyle name="_Validação_Faturamento Oi Movel SP_Julho 08_BD Resumo diário Painel de Televendas Setembro 2010_BASE_UNICA" xfId="10595"/>
    <cellStyle name="_Validação_Faturamento Oi Movel SP_Julho 08_Painel de Retenção Junho 2011" xfId="10596"/>
    <cellStyle name="_Validação_Faturamento Oi Movel SP_Julho 08_Pasta1" xfId="10597"/>
    <cellStyle name="_Validação_Faturamento Oi Movel SP_Julho 08_Plan1" xfId="10598"/>
    <cellStyle name="_Validação_Faturamento Oi Movel SP_Julho 08_Plan2" xfId="10599"/>
    <cellStyle name="_Validação_Faturamento Oi Movel SP_Julho 08_Retenção" xfId="10600"/>
    <cellStyle name="_Validação_Faturamento Oi Movel SP_Julho 08_Retenção Painel" xfId="10601"/>
    <cellStyle name="_Validação_Faturamento Oi Movel SP_Julho 08_Televendas Painel" xfId="10602"/>
    <cellStyle name="_Validação_Faturamento Oi Movel SP_Julho 08_Televendas Painel_ant" xfId="10603"/>
    <cellStyle name="_Validação_Fechamento Faturamento Maio2008_ CE_Retenção Oi_Validação Final" xfId="10604"/>
    <cellStyle name="_Validação_Fechamento Faturamento Maio2008_ CE_Retenção Oi_Validação Final_BD Resumo diário Painel de Televendas Abril 2011" xfId="10605"/>
    <cellStyle name="_Validação_Fechamento Faturamento Maio2008_ CE_Retenção Oi_Validação Final_BD Resumo diário Painel de Televendas Janeiro 2011" xfId="10606"/>
    <cellStyle name="_Validação_Fechamento Faturamento Maio2008_ CE_Retenção Oi_Validação Final_BD Resumo diário Painel de Televendas Setembro 2010_BASE_UNICA" xfId="10607"/>
    <cellStyle name="_Validação_Fechamento Faturamento Maio2008_ CE_Retenção Oi_Validação Final_Painel de Retenção Junho 2011" xfId="10608"/>
    <cellStyle name="_Validação_Fechamento Faturamento Maio2008_ CE_Retenção Oi_Validação Final_Pasta1" xfId="10609"/>
    <cellStyle name="_Validação_Fechamento Faturamento Maio2008_ CE_Retenção Oi_Validação Final_Plan1" xfId="10610"/>
    <cellStyle name="_Validação_Fechamento Faturamento Maio2008_ CE_Retenção Oi_Validação Final_Plan2" xfId="10611"/>
    <cellStyle name="_Validação_Fechamento Faturamento Maio2008_ CE_Retenção Oi_Validação Final_Retenção" xfId="10612"/>
    <cellStyle name="_Validação_Fechamento Faturamento Maio2008_ CE_Retenção Oi_Validação Final_Retenção Painel" xfId="10613"/>
    <cellStyle name="_Validação_Fechamento Faturamento Maio2008_ CE_Retenção Oi_Validação Final_Televendas Painel" xfId="10614"/>
    <cellStyle name="_Validação_Fechamento Faturamento Maio2008_ CE_Retenção Oi_Validação Final_Televendas Painel_ant" xfId="10615"/>
    <cellStyle name="_Validação_Oi - SP - Faturamento -2008 - Aberto" xfId="10616"/>
    <cellStyle name="_Validação_Oi - SP - Faturamento -2008 - Aberto_BD Resumo diário Painel de Televendas Abril 2011" xfId="10617"/>
    <cellStyle name="_Validação_Oi - SP - Faturamento -2008 - Aberto_BD Resumo diário Painel de Televendas Janeiro 2011" xfId="10618"/>
    <cellStyle name="_Validação_Oi - SP - Faturamento -2008 - Aberto_BD Resumo diário Painel de Televendas Setembro 2010_BASE_UNICA" xfId="10619"/>
    <cellStyle name="_Validação_Oi - SP - Faturamento -2008 - Aberto_Painel de Retenção Junho 2011" xfId="10620"/>
    <cellStyle name="_Validação_Oi - SP - Faturamento -2008 - Aberto_Pasta1" xfId="10621"/>
    <cellStyle name="_Validação_Oi - SP - Faturamento -2008 - Aberto_Plan1" xfId="10622"/>
    <cellStyle name="_Validação_Oi - SP - Faturamento -2008 - Aberto_Plan2" xfId="10623"/>
    <cellStyle name="_Validação_Oi - SP - Faturamento -2008 - Aberto_Retenção" xfId="10624"/>
    <cellStyle name="_Validação_Oi - SP - Faturamento -2008 - Aberto_Retenção Painel" xfId="10625"/>
    <cellStyle name="_Validação_Oi - SP - Faturamento -2008 - Aberto_Televendas Painel" xfId="10626"/>
    <cellStyle name="_Validação_Oi - SP - Faturamento -2008 - Aberto_Televendas Painel_ant" xfId="10627"/>
    <cellStyle name="_Validação_Painel de Retenção Junho 2011" xfId="10628"/>
    <cellStyle name="_Validação_Pasta1" xfId="10629"/>
    <cellStyle name="_Validação_Plan1" xfId="10630"/>
    <cellStyle name="_Validação_Plan2" xfId="10631"/>
    <cellStyle name="_Validação_Retenção" xfId="10632"/>
    <cellStyle name="_Validação_Retenção Painel" xfId="10633"/>
    <cellStyle name="_Validação_Simulador de Desconto de TMA_AV_Validado em 17.06" xfId="10634"/>
    <cellStyle name="_Validação_Simulador de Desconto de TMA_AV_Validado em 17.06_BD Resumo diário Painel de Televendas Abril 2011" xfId="10635"/>
    <cellStyle name="_Validação_Simulador de Desconto de TMA_AV_Validado em 17.06_BD Resumo diário Painel de Televendas Janeiro 2011" xfId="10636"/>
    <cellStyle name="_Validação_Simulador de Desconto de TMA_AV_Validado em 17.06_BD Resumo diário Painel de Televendas Setembro 2010_BASE_UNICA" xfId="10637"/>
    <cellStyle name="_Validação_Simulador de Desconto de TMA_AV_Validado em 17.06_Painel de Retenção Junho 2011" xfId="10638"/>
    <cellStyle name="_Validação_Simulador de Desconto de TMA_AV_Validado em 17.06_Pasta1" xfId="10639"/>
    <cellStyle name="_Validação_Simulador de Desconto de TMA_AV_Validado em 17.06_Plan1" xfId="10640"/>
    <cellStyle name="_Validação_Simulador de Desconto de TMA_AV_Validado em 17.06_Plan2" xfId="10641"/>
    <cellStyle name="_Validação_Simulador de Desconto de TMA_AV_Validado em 17.06_Retenção" xfId="10642"/>
    <cellStyle name="_Validação_Simulador de Desconto de TMA_AV_Validado em 17.06_Retenção Painel" xfId="10643"/>
    <cellStyle name="_Validação_Simulador de Desconto de TMA_AV_Validado em 17.06_Televendas Painel" xfId="10644"/>
    <cellStyle name="_Validação_Simulador de Desconto de TMA_AV_Validado em 17.06_Televendas Painel_ant" xfId="10645"/>
    <cellStyle name="_Validação_Televendas Painel" xfId="10646"/>
    <cellStyle name="_Validação_Televendas Painel_ant" xfId="10647"/>
    <cellStyle name="_Validado Faturamento Televendas Abril_08 v1" xfId="10648"/>
    <cellStyle name="_Validado Faturamento Televendas Abril_08 v1_BD Resumo diário Painel de Televendas Abril 2011" xfId="10649"/>
    <cellStyle name="_Validado Faturamento Televendas Abril_08 v1_BD Resumo diário Painel de Televendas Janeiro 2011" xfId="10650"/>
    <cellStyle name="_Validado Faturamento Televendas Abril_08 v1_BD Resumo diário Painel de Televendas Setembro 2010_BASE_UNICA" xfId="10651"/>
    <cellStyle name="_Validado Faturamento Televendas Abril_08 v1_Faturamento TLV_Varejo_Ago 16-07 a 15-08-09 - V4 - Validação Cliente" xfId="10652"/>
    <cellStyle name="_Validado Faturamento Televendas Abril_08 v1_Faturamento TLV_Varejo_Ago 16-07 a 15-08-09 - V4 - Validação Cliente_BD Resumo diário Painel de Televendas Abril 2011" xfId="10653"/>
    <cellStyle name="_Validado Faturamento Televendas Abril_08 v1_Faturamento TLV_Varejo_Ago 16-07 a 15-08-09 - V4 - Validação Cliente_BD Resumo diário Painel de Televendas Janeiro 2011" xfId="10654"/>
    <cellStyle name="_Validado Faturamento Televendas Abril_08 v1_Faturamento TLV_Varejo_Ago 16-07 a 15-08-09 - V4 - Validação Cliente_BD Resumo diário Painel de Televendas Setembro 2010_BASE_UNICA" xfId="10655"/>
    <cellStyle name="_Validado Faturamento Televendas Abril_08 v1_Faturamento TLV_Varejo_Ago 16-07 a 15-08-09 - V4 - Validação Cliente_Painel de Retenção Junho 2011" xfId="10656"/>
    <cellStyle name="_Validado Faturamento Televendas Abril_08 v1_Faturamento TLV_Varejo_Ago 16-07 a 15-08-09 - V4 - Validação Cliente_Pasta1" xfId="10657"/>
    <cellStyle name="_Validado Faturamento Televendas Abril_08 v1_Faturamento TLV_Varejo_Ago 16-07 a 15-08-09 - V4 - Validação Cliente_Plan1" xfId="10658"/>
    <cellStyle name="_Validado Faturamento Televendas Abril_08 v1_Faturamento TLV_Varejo_Ago 16-07 a 15-08-09 - V4 - Validação Cliente_Plan2" xfId="10659"/>
    <cellStyle name="_Validado Faturamento Televendas Abril_08 v1_Faturamento TLV_Varejo_Ago 16-07 a 15-08-09 - V4 - Validação Cliente_Retenção" xfId="10660"/>
    <cellStyle name="_Validado Faturamento Televendas Abril_08 v1_Faturamento TLV_Varejo_Ago 16-07 a 15-08-09 - V4 - Validação Cliente_Retenção Painel" xfId="10661"/>
    <cellStyle name="_Validado Faturamento Televendas Abril_08 v1_Faturamento TLV_Varejo_Ago 16-07 a 15-08-09 - V4 - Validação Cliente_Televendas Painel" xfId="10662"/>
    <cellStyle name="_Validado Faturamento Televendas Abril_08 v1_Faturamento TLV_Varejo_Ago 16-07 a 15-08-09 - V4 - Validação Cliente_Televendas Painel_ant" xfId="10663"/>
    <cellStyle name="_Validado Faturamento Televendas Abril_08 v1_Painel de Retenção Junho 2011" xfId="10664"/>
    <cellStyle name="_Validado Faturamento Televendas Abril_08 v1_Pasta1" xfId="10665"/>
    <cellStyle name="_Validado Faturamento Televendas Abril_08 v1_Plan1" xfId="10666"/>
    <cellStyle name="_Validado Faturamento Televendas Abril_08 v1_Plan2" xfId="10667"/>
    <cellStyle name="_Validado Faturamento Televendas Abril_08 v1_Retenção" xfId="10668"/>
    <cellStyle name="_Validado Faturamento Televendas Abril_08 v1_Retenção Painel" xfId="10669"/>
    <cellStyle name="_Validado Faturamento Televendas Abril_08 v1_Televendas Painel" xfId="10670"/>
    <cellStyle name="_Validado Faturamento Televendas Abril_08 v1_Televendas Painel_ant" xfId="10671"/>
    <cellStyle name="_Valores Planilhados" xfId="10672"/>
    <cellStyle name="_Variação_Orçamento" xfId="10673"/>
    <cellStyle name="_VIVO_PSI_Q3_Mercador 38W" xfId="10674"/>
    <cellStyle name="_W619 중국 678실행 920환율" xfId="10675"/>
    <cellStyle name="_W619 중국 678실행 920환율 2" xfId="10676"/>
    <cellStyle name="_W619 중국 678실행 920환율 3" xfId="10677"/>
    <cellStyle name="_W619 중국 678실행 920환율 4" xfId="10678"/>
    <cellStyle name="_W619 중국 678실행 920환율 5" xfId="10679"/>
    <cellStyle name="_W619 중국 678실행 920환율 6" xfId="10680"/>
    <cellStyle name="_W619 중국 678실행 920환율 7" xfId="10681"/>
    <cellStyle name="_W619 중국 678실행 920환율 8" xfId="10682"/>
    <cellStyle name="_W619 중국 678실행 920환율 9" xfId="10683"/>
    <cellStyle name="_W619 중국 678실행 920환율_Claro Deal Q409" xfId="10684"/>
    <cellStyle name="_W619 중국 678실행 920환율_Claro Deal Q409 final" xfId="10685"/>
    <cellStyle name="_W619 중국 678실행 920환율_Claro Q309 final version" xfId="10686"/>
    <cellStyle name="_W619 중국 678실행 920환율_Claro Q309 final version_Claro Deal Q409" xfId="10687"/>
    <cellStyle name="_W619 중국 678실행 920환율_Claro Q309 final version_Claro Deal Q409 final" xfId="10688"/>
    <cellStyle name="_W619 중국 678실행 920환율_GSM 0405월출시 신규자재list_080410" xfId="10689"/>
    <cellStyle name="_W619 중국 678실행 920환율_GSM 0405월출시 신규자재list_080410 2" xfId="10690"/>
    <cellStyle name="_W619 중국 678실행 920환율_GSM 0405월출시 신규자재list_080410 3" xfId="10691"/>
    <cellStyle name="_W619 중국 678실행 920환율_GSM 0405월출시 신규자재list_080410 4" xfId="10692"/>
    <cellStyle name="_W619 중국 678실행 920환율_GSM 0405월출시 신규자재list_080410 5" xfId="10693"/>
    <cellStyle name="_W619 중국 678실행 920환율_GSM 0405월출시 신규자재list_080410 6" xfId="10694"/>
    <cellStyle name="_W619 중국 678실행 920환율_GSM 0405월출시 신규자재list_080410 7" xfId="10695"/>
    <cellStyle name="_W619 중국 678실행 920환율_GSM 0405월출시 신규자재list_080410 8" xfId="10696"/>
    <cellStyle name="_W619 중국 678실행 920환율_GSM 0405월출시 신규자재list_080410 9" xfId="10697"/>
    <cellStyle name="_W619 중국 678실행 920환율_GSM 0405월출시 신규자재list_080423" xfId="10698"/>
    <cellStyle name="_W619 중국 678실행 920환율_GSM 0405월출시 신규자재list_080423 2" xfId="10699"/>
    <cellStyle name="_W619 중국 678실행 920환율_GSM 0405월출시 신규자재list_080423 3" xfId="10700"/>
    <cellStyle name="_W619 중국 678실행 920환율_GSM 0405월출시 신규자재list_080423 4" xfId="10701"/>
    <cellStyle name="_W619 중국 678실행 920환율_GSM 0405월출시 신규자재list_080423 5" xfId="10702"/>
    <cellStyle name="_W619 중국 678실행 920환율_GSM 0405월출시 신규자재list_080423 6" xfId="10703"/>
    <cellStyle name="_W619 중국 678실행 920환율_GSM 0405월출시 신규자재list_080423 7" xfId="10704"/>
    <cellStyle name="_W619 중국 678실행 920환율_GSM 0405월출시 신규자재list_080423 8" xfId="10705"/>
    <cellStyle name="_W619 중국 678실행 920환율_GSM 0405월출시 신규자재list_080423 9" xfId="10706"/>
    <cellStyle name="_W619 중국 678실행 920환율_GSM 0506월출시 신규자재list_080430" xfId="10707"/>
    <cellStyle name="_W619 중국 678실행 920환율_GSM 0506월출시 신규자재list_080430 2" xfId="10708"/>
    <cellStyle name="_W619 중국 678실행 920환율_GSM 0506월출시 신규자재list_080430 3" xfId="10709"/>
    <cellStyle name="_W619 중국 678실행 920환율_GSM 0506월출시 신규자재list_080430 4" xfId="10710"/>
    <cellStyle name="_W619 중국 678실행 920환율_GSM 0506월출시 신규자재list_080430 5" xfId="10711"/>
    <cellStyle name="_W619 중국 678실행 920환율_GSM 0506월출시 신규자재list_080430 6" xfId="10712"/>
    <cellStyle name="_W619 중국 678실행 920환율_GSM 0506월출시 신규자재list_080430 7" xfId="10713"/>
    <cellStyle name="_W619 중국 678실행 920환율_GSM 0506월출시 신규자재list_080430 8" xfId="10714"/>
    <cellStyle name="_W619 중국 678실행 920환율_GSM 0506월출시 신규자재list_080430 9" xfId="10715"/>
    <cellStyle name="_W619 중국 678실행 920환율_Q3 Claro deal 07jul09" xfId="10716"/>
    <cellStyle name="_W619 중국 678실행 920환율_Q3 Claro deal 07jul09_Claro Deal Q409" xfId="10717"/>
    <cellStyle name="_W619 중국 678실행 920환율_Q3 Claro deal 07jul09_Claro Deal Q409 final" xfId="10718"/>
    <cellStyle name="_W619 중국 678실행 920환율_Q3 Claro deal 15jul09" xfId="10719"/>
    <cellStyle name="_W619 중국 678실행 920환율_Q3 Claro deal 15jul09_Claro Deal Q409" xfId="10720"/>
    <cellStyle name="_W619 중국 678실행 920환율_Q3 Claro deal 15jul09_Claro Deal Q409 final" xfId="10721"/>
    <cellStyle name="_W619 중국 678실행 920환율_Q3 Claro proposal_v2" xfId="10722"/>
    <cellStyle name="_W619 중국 678실행 920환율_Q3 Claro proposal_v2_Claro Deal Q409" xfId="10723"/>
    <cellStyle name="_W619 중국 678실행 920환율_Q3 Claro proposal_v2_Claro Deal Q409 final" xfId="10724"/>
    <cellStyle name="_W619 중국 678실행 920환율_Q3 Claro Tabelas Precos" xfId="10725"/>
    <cellStyle name="_W619 중국 678실행 920환율_Q3 Claro Tabelas Precos_Claro Deal Q409" xfId="10726"/>
    <cellStyle name="_W619 중국 678실행 920환율_Q3 Claro Tabelas Precos_Claro Deal Q409 final" xfId="10727"/>
    <cellStyle name="_가격 Simulation 061206" xfId="10728"/>
    <cellStyle name="_가격 Simulation 061206 T9" xfId="10729"/>
    <cellStyle name="_가격 Simulation 061206_1" xfId="10730"/>
    <cellStyle name="_가공품 청구" xfId="10731"/>
    <cellStyle name="_구매승인서업체" xfId="10732"/>
    <cellStyle name="_구주 직거래" xfId="10733"/>
    <cellStyle name="_국판신모델_0304" xfId="10734"/>
    <cellStyle name="_국판신모델_0304 2" xfId="10735"/>
    <cellStyle name="_국판신모델_0304 3" xfId="10736"/>
    <cellStyle name="_국판신모델_0304 4" xfId="10737"/>
    <cellStyle name="_국판신모델_0304 5" xfId="10738"/>
    <cellStyle name="_국판신모델_0304 6" xfId="10739"/>
    <cellStyle name="_국판신모델_0304 7" xfId="10740"/>
    <cellStyle name="_국판신모델_0304 8" xfId="10741"/>
    <cellStyle name="_국판신모델_0304 9" xfId="10742"/>
    <cellStyle name="_국판신모델_0304_Claro Deal Q409" xfId="10743"/>
    <cellStyle name="_국판신모델_0304_Claro Deal Q409 final" xfId="10744"/>
    <cellStyle name="_국판신모델_0304_Claro Q309 final version" xfId="10745"/>
    <cellStyle name="_국판신모델_0304_Claro Q309 final version_Claro Deal Q409" xfId="10746"/>
    <cellStyle name="_국판신모델_0304_Claro Q309 final version_Claro Deal Q409 final" xfId="10747"/>
    <cellStyle name="_국판신모델_0304_GSM 0405월출시 신규자재list_080410" xfId="10748"/>
    <cellStyle name="_국판신모델_0304_GSM 0405월출시 신규자재list_080410 2" xfId="10749"/>
    <cellStyle name="_국판신모델_0304_GSM 0405월출시 신규자재list_080410 3" xfId="10750"/>
    <cellStyle name="_국판신모델_0304_GSM 0405월출시 신규자재list_080410 4" xfId="10751"/>
    <cellStyle name="_국판신모델_0304_GSM 0405월출시 신규자재list_080410 5" xfId="10752"/>
    <cellStyle name="_국판신모델_0304_GSM 0405월출시 신규자재list_080410 6" xfId="10753"/>
    <cellStyle name="_국판신모델_0304_GSM 0405월출시 신규자재list_080410 7" xfId="10754"/>
    <cellStyle name="_국판신모델_0304_GSM 0405월출시 신규자재list_080410 8" xfId="10755"/>
    <cellStyle name="_국판신모델_0304_GSM 0405월출시 신규자재list_080410 9" xfId="10756"/>
    <cellStyle name="_국판신모델_0304_GSM 0405월출시 신규자재list_080423" xfId="10757"/>
    <cellStyle name="_국판신모델_0304_GSM 0405월출시 신규자재list_080423 2" xfId="10758"/>
    <cellStyle name="_국판신모델_0304_GSM 0405월출시 신규자재list_080423 3" xfId="10759"/>
    <cellStyle name="_국판신모델_0304_GSM 0405월출시 신규자재list_080423 4" xfId="10760"/>
    <cellStyle name="_국판신모델_0304_GSM 0405월출시 신규자재list_080423 5" xfId="10761"/>
    <cellStyle name="_국판신모델_0304_GSM 0405월출시 신규자재list_080423 6" xfId="10762"/>
    <cellStyle name="_국판신모델_0304_GSM 0405월출시 신규자재list_080423 7" xfId="10763"/>
    <cellStyle name="_국판신모델_0304_GSM 0405월출시 신규자재list_080423 8" xfId="10764"/>
    <cellStyle name="_국판신모델_0304_GSM 0405월출시 신규자재list_080423 9" xfId="10765"/>
    <cellStyle name="_국판신모델_0304_GSM 0506월출시 신규자재list_080430" xfId="10766"/>
    <cellStyle name="_국판신모델_0304_GSM 0506월출시 신규자재list_080430 2" xfId="10767"/>
    <cellStyle name="_국판신모델_0304_GSM 0506월출시 신규자재list_080430 3" xfId="10768"/>
    <cellStyle name="_국판신모델_0304_GSM 0506월출시 신규자재list_080430 4" xfId="10769"/>
    <cellStyle name="_국판신모델_0304_GSM 0506월출시 신규자재list_080430 5" xfId="10770"/>
    <cellStyle name="_국판신모델_0304_GSM 0506월출시 신규자재list_080430 6" xfId="10771"/>
    <cellStyle name="_국판신모델_0304_GSM 0506월출시 신규자재list_080430 7" xfId="10772"/>
    <cellStyle name="_국판신모델_0304_GSM 0506월출시 신규자재list_080430 8" xfId="10773"/>
    <cellStyle name="_국판신모델_0304_GSM 0506월출시 신규자재list_080430 9" xfId="10774"/>
    <cellStyle name="_국판신모델_0304_Q3 Claro deal 07jul09" xfId="10775"/>
    <cellStyle name="_국판신모델_0304_Q3 Claro deal 07jul09_Claro Deal Q409" xfId="10776"/>
    <cellStyle name="_국판신모델_0304_Q3 Claro deal 07jul09_Claro Deal Q409 final" xfId="10777"/>
    <cellStyle name="_국판신모델_0304_Q3 Claro deal 15jul09" xfId="10778"/>
    <cellStyle name="_국판신모델_0304_Q3 Claro deal 15jul09_Claro Deal Q409" xfId="10779"/>
    <cellStyle name="_국판신모델_0304_Q3 Claro deal 15jul09_Claro Deal Q409 final" xfId="10780"/>
    <cellStyle name="_국판신모델_0304_Q3 Claro proposal_v2" xfId="10781"/>
    <cellStyle name="_국판신모델_0304_Q3 Claro proposal_v2_Claro Deal Q409" xfId="10782"/>
    <cellStyle name="_국판신모델_0304_Q3 Claro proposal_v2_Claro Deal Q409 final" xfId="10783"/>
    <cellStyle name="_국판신모델_0304_Q3 Claro Tabelas Precos" xfId="10784"/>
    <cellStyle name="_국판신모델_0304_Q3 Claro Tabelas Precos_Claro Deal Q409" xfId="10785"/>
    <cellStyle name="_국판신모델_0304_Q3 Claro Tabelas Precos_Claro Deal Q409 final" xfId="10786"/>
    <cellStyle name="_녹색구매 등록 list" xfId="10787"/>
    <cellStyle name="_메카 2월 2차 마감" xfId="10788"/>
    <cellStyle name="_모델현황" xfId="10789"/>
    <cellStyle name="_복합단말기_0302" xfId="10790"/>
    <cellStyle name="_복합단말기_0302 2" xfId="10791"/>
    <cellStyle name="_복합단말기_0302 3" xfId="10792"/>
    <cellStyle name="_복합단말기_0302 4" xfId="10793"/>
    <cellStyle name="_복합단말기_0302 5" xfId="10794"/>
    <cellStyle name="_복합단말기_0302 6" xfId="10795"/>
    <cellStyle name="_복합단말기_0302 7" xfId="10796"/>
    <cellStyle name="_복합단말기_0302 8" xfId="10797"/>
    <cellStyle name="_복합단말기_0302 9" xfId="10798"/>
    <cellStyle name="_복합단말기_0302_Claro Deal Q409" xfId="10799"/>
    <cellStyle name="_복합단말기_0302_Claro Deal Q409 final" xfId="10800"/>
    <cellStyle name="_복합단말기_0302_Claro Q309 final version" xfId="10801"/>
    <cellStyle name="_복합단말기_0302_Claro Q309 final version_Claro Deal Q409" xfId="10802"/>
    <cellStyle name="_복합단말기_0302_Claro Q309 final version_Claro Deal Q409 final" xfId="10803"/>
    <cellStyle name="_복합단말기_0302_GSM 0405월출시 신규자재list_080410" xfId="10804"/>
    <cellStyle name="_복합단말기_0302_GSM 0405월출시 신규자재list_080410 2" xfId="10805"/>
    <cellStyle name="_복합단말기_0302_GSM 0405월출시 신규자재list_080410 3" xfId="10806"/>
    <cellStyle name="_복합단말기_0302_GSM 0405월출시 신규자재list_080410 4" xfId="10807"/>
    <cellStyle name="_복합단말기_0302_GSM 0405월출시 신규자재list_080410 5" xfId="10808"/>
    <cellStyle name="_복합단말기_0302_GSM 0405월출시 신규자재list_080410 6" xfId="10809"/>
    <cellStyle name="_복합단말기_0302_GSM 0405월출시 신규자재list_080410 7" xfId="10810"/>
    <cellStyle name="_복합단말기_0302_GSM 0405월출시 신규자재list_080410 8" xfId="10811"/>
    <cellStyle name="_복합단말기_0302_GSM 0405월출시 신규자재list_080410 9" xfId="10812"/>
    <cellStyle name="_복합단말기_0302_GSM 0405월출시 신규자재list_080423" xfId="10813"/>
    <cellStyle name="_복합단말기_0302_GSM 0405월출시 신규자재list_080423 2" xfId="10814"/>
    <cellStyle name="_복합단말기_0302_GSM 0405월출시 신규자재list_080423 3" xfId="10815"/>
    <cellStyle name="_복합단말기_0302_GSM 0405월출시 신규자재list_080423 4" xfId="10816"/>
    <cellStyle name="_복합단말기_0302_GSM 0405월출시 신규자재list_080423 5" xfId="10817"/>
    <cellStyle name="_복합단말기_0302_GSM 0405월출시 신규자재list_080423 6" xfId="10818"/>
    <cellStyle name="_복합단말기_0302_GSM 0405월출시 신규자재list_080423 7" xfId="10819"/>
    <cellStyle name="_복합단말기_0302_GSM 0405월출시 신규자재list_080423 8" xfId="10820"/>
    <cellStyle name="_복합단말기_0302_GSM 0405월출시 신규자재list_080423 9" xfId="10821"/>
    <cellStyle name="_복합단말기_0302_GSM 0506월출시 신규자재list_080430" xfId="10822"/>
    <cellStyle name="_복합단말기_0302_GSM 0506월출시 신규자재list_080430 2" xfId="10823"/>
    <cellStyle name="_복합단말기_0302_GSM 0506월출시 신규자재list_080430 3" xfId="10824"/>
    <cellStyle name="_복합단말기_0302_GSM 0506월출시 신규자재list_080430 4" xfId="10825"/>
    <cellStyle name="_복합단말기_0302_GSM 0506월출시 신규자재list_080430 5" xfId="10826"/>
    <cellStyle name="_복합단말기_0302_GSM 0506월출시 신규자재list_080430 6" xfId="10827"/>
    <cellStyle name="_복합단말기_0302_GSM 0506월출시 신규자재list_080430 7" xfId="10828"/>
    <cellStyle name="_복합단말기_0302_GSM 0506월출시 신규자재list_080430 8" xfId="10829"/>
    <cellStyle name="_복합단말기_0302_GSM 0506월출시 신규자재list_080430 9" xfId="10830"/>
    <cellStyle name="_복합단말기_0302_Q3 Claro deal 07jul09" xfId="10831"/>
    <cellStyle name="_복합단말기_0302_Q3 Claro deal 07jul09_Claro Deal Q409" xfId="10832"/>
    <cellStyle name="_복합단말기_0302_Q3 Claro deal 07jul09_Claro Deal Q409 final" xfId="10833"/>
    <cellStyle name="_복합단말기_0302_Q3 Claro deal 15jul09" xfId="10834"/>
    <cellStyle name="_복합단말기_0302_Q3 Claro deal 15jul09_Claro Deal Q409" xfId="10835"/>
    <cellStyle name="_복합단말기_0302_Q3 Claro deal 15jul09_Claro Deal Q409 final" xfId="10836"/>
    <cellStyle name="_복합단말기_0302_Q3 Claro proposal_v2" xfId="10837"/>
    <cellStyle name="_복합단말기_0302_Q3 Claro proposal_v2_Claro Deal Q409" xfId="10838"/>
    <cellStyle name="_복합단말기_0302_Q3 Claro proposal_v2_Claro Deal Q409 final" xfId="10839"/>
    <cellStyle name="_복합단말기_0302_Q3 Claro Tabelas Precos" xfId="10840"/>
    <cellStyle name="_복합단말기_0302_Q3 Claro Tabelas Precos_Claro Deal Q409" xfId="10841"/>
    <cellStyle name="_복합단말기_0302_Q3 Claro Tabelas Precos_Claro Deal Q409 final" xfId="10842"/>
    <cellStyle name="_부품순" xfId="10843"/>
    <cellStyle name="_부품순 2" xfId="10844"/>
    <cellStyle name="_부품순 3" xfId="10845"/>
    <cellStyle name="_부품순 4" xfId="10846"/>
    <cellStyle name="_부품순 5" xfId="10847"/>
    <cellStyle name="_부품순 6" xfId="10848"/>
    <cellStyle name="_부품순 7" xfId="10849"/>
    <cellStyle name="_부품순 8" xfId="10850"/>
    <cellStyle name="_부품순 9" xfId="10851"/>
    <cellStyle name="_부품순_Claro Deal Q409" xfId="10852"/>
    <cellStyle name="_부품순_Claro Deal Q409 final" xfId="10853"/>
    <cellStyle name="_부품순_Claro Q309 final version" xfId="10854"/>
    <cellStyle name="_부품순_Claro Q309 final version_Claro Deal Q409" xfId="10855"/>
    <cellStyle name="_부품순_Claro Q309 final version_Claro Deal Q409 final" xfId="10856"/>
    <cellStyle name="_부품순_GSM 0405월출시 신규자재list_080410" xfId="10857"/>
    <cellStyle name="_부품순_GSM 0405월출시 신규자재list_080410 2" xfId="10858"/>
    <cellStyle name="_부품순_GSM 0405월출시 신규자재list_080410 3" xfId="10859"/>
    <cellStyle name="_부품순_GSM 0405월출시 신규자재list_080410 4" xfId="10860"/>
    <cellStyle name="_부품순_GSM 0405월출시 신규자재list_080410 5" xfId="10861"/>
    <cellStyle name="_부품순_GSM 0405월출시 신규자재list_080410 6" xfId="10862"/>
    <cellStyle name="_부품순_GSM 0405월출시 신규자재list_080410 7" xfId="10863"/>
    <cellStyle name="_부품순_GSM 0405월출시 신규자재list_080410 8" xfId="10864"/>
    <cellStyle name="_부품순_GSM 0405월출시 신규자재list_080410 9" xfId="10865"/>
    <cellStyle name="_부품순_GSM 0405월출시 신규자재list_080423" xfId="10866"/>
    <cellStyle name="_부품순_GSM 0405월출시 신규자재list_080423 2" xfId="10867"/>
    <cellStyle name="_부품순_GSM 0405월출시 신규자재list_080423 3" xfId="10868"/>
    <cellStyle name="_부품순_GSM 0405월출시 신규자재list_080423 4" xfId="10869"/>
    <cellStyle name="_부품순_GSM 0405월출시 신규자재list_080423 5" xfId="10870"/>
    <cellStyle name="_부품순_GSM 0405월출시 신규자재list_080423 6" xfId="10871"/>
    <cellStyle name="_부품순_GSM 0405월출시 신규자재list_080423 7" xfId="10872"/>
    <cellStyle name="_부품순_GSM 0405월출시 신규자재list_080423 8" xfId="10873"/>
    <cellStyle name="_부품순_GSM 0405월출시 신규자재list_080423 9" xfId="10874"/>
    <cellStyle name="_부품순_GSM 0506월출시 신규자재list_080430" xfId="10875"/>
    <cellStyle name="_부품순_GSM 0506월출시 신규자재list_080430 2" xfId="10876"/>
    <cellStyle name="_부품순_GSM 0506월출시 신규자재list_080430 3" xfId="10877"/>
    <cellStyle name="_부품순_GSM 0506월출시 신규자재list_080430 4" xfId="10878"/>
    <cellStyle name="_부품순_GSM 0506월출시 신규자재list_080430 5" xfId="10879"/>
    <cellStyle name="_부품순_GSM 0506월출시 신규자재list_080430 6" xfId="10880"/>
    <cellStyle name="_부품순_GSM 0506월출시 신규자재list_080430 7" xfId="10881"/>
    <cellStyle name="_부품순_GSM 0506월출시 신규자재list_080430 8" xfId="10882"/>
    <cellStyle name="_부품순_GSM 0506월출시 신규자재list_080430 9" xfId="10883"/>
    <cellStyle name="_부품순_Q3 Claro deal 07jul09" xfId="10884"/>
    <cellStyle name="_부품순_Q3 Claro deal 07jul09_Claro Deal Q409" xfId="10885"/>
    <cellStyle name="_부품순_Q3 Claro deal 07jul09_Claro Deal Q409 final" xfId="10886"/>
    <cellStyle name="_부품순_Q3 Claro deal 15jul09" xfId="10887"/>
    <cellStyle name="_부품순_Q3 Claro deal 15jul09_Claro Deal Q409" xfId="10888"/>
    <cellStyle name="_부품순_Q3 Claro deal 15jul09_Claro Deal Q409 final" xfId="10889"/>
    <cellStyle name="_부품순_Q3 Claro proposal_v2" xfId="10890"/>
    <cellStyle name="_부품순_Q3 Claro proposal_v2_Claro Deal Q409" xfId="10891"/>
    <cellStyle name="_부품순_Q3 Claro proposal_v2_Claro Deal Q409 final" xfId="10892"/>
    <cellStyle name="_부품순_Q3 Claro Tabelas Precos" xfId="10893"/>
    <cellStyle name="_부품순_Q3 Claro Tabelas Precos_Claro Deal Q409" xfId="10894"/>
    <cellStyle name="_부품순_Q3 Claro Tabelas Precos_Claro Deal Q409 final" xfId="10895"/>
    <cellStyle name="_북미" xfId="10896"/>
    <cellStyle name="_서식류" xfId="10897"/>
    <cellStyle name="_서식류_1" xfId="10898"/>
    <cellStyle name="_서식류_2" xfId="10899"/>
    <cellStyle name="_서식류_3" xfId="10900"/>
    <cellStyle name="_손익개선 현지화 9모델-절감금액요약-재료비율(080326)" xfId="10901"/>
    <cellStyle name="_신규추가연장_정리파일" xfId="10902"/>
    <cellStyle name="_신규추가연장_정리파일_(확인) '06年 협력사 GVE_Master File_" xfId="10903"/>
    <cellStyle name="_신규추가연장_정리파일_(확인) '06年 협력사 GVE_Master File__★ '07~'08年 GVE 과제 현황_080502" xfId="10904"/>
    <cellStyle name="_신규추가연장_정리파일_(확인) '06年 협력사 GVE_Master File__★ '07年 GVE 과제 현황_080407" xfId="10905"/>
    <cellStyle name="_신규추가연장_정리파일_06년과제(협력사+GBM)" xfId="10906"/>
    <cellStyle name="_신규추가연장_정리파일_06년과제(협력사+GBM)_★ '07~'08年 GVE 과제 현황_080502" xfId="10907"/>
    <cellStyle name="_신규추가연장_정리파일_06년과제(협력사+GBM)_★ '07年 GVE 과제 현황_080407" xfId="10908"/>
    <cellStyle name="_신규추가연장_정리파일_06년과제_전체" xfId="10909"/>
    <cellStyle name="_신규추가연장_정리파일_06년과제_전체_★ '07~'08年 GVE 과제 현황_080502" xfId="10910"/>
    <cellStyle name="_신규추가연장_정리파일_06년과제_전체_★ '07年 GVE 과제 현황_080407" xfId="10911"/>
    <cellStyle name="_신규추가연장_정리파일_'06年 협력사 GVE_Master File" xfId="10912"/>
    <cellStyle name="_신규추가연장_정리파일_'06年 협력사 GVE_Master File_★ '07~'08年 GVE 과제 현황_080502" xfId="10913"/>
    <cellStyle name="_신규추가연장_정리파일_'06年 협력사 GVE_Master File_★ '07年 GVE 과제 현황_080407" xfId="10914"/>
    <cellStyle name="_신규추가연장_정리파일_'07年 추진과제 적용현황_080214(취합)" xfId="10915"/>
    <cellStyle name="_신규추가연장_정리파일_'07年 추진과제 적용현황_080214(취합)_★ '07~'08年 GVE 과제 현황_080502" xfId="10916"/>
    <cellStyle name="_신규추가연장_정리파일_'07年 추진과제 적용현황_080214(취합)_★ '07年 GVE 과제 현황_080407" xfId="10917"/>
    <cellStyle name="_신규추가연장_정리파일_'07年 협력사 GVE 과제 LIST_20071029" xfId="10918"/>
    <cellStyle name="_신규추가연장_정리파일_'07年 협력사 GVE 과제 LIST_20071029_★ '07~'08年 GVE 과제 현황_080502" xfId="10919"/>
    <cellStyle name="_신규추가연장_정리파일_'07年 협력사 GVE 과제 LIST_20071029_★ '07年 GVE 과제 현황_080407" xfId="10920"/>
    <cellStyle name="_신규추가연장_정리파일_'07年 협력사 GVE 과제 관리" xfId="10921"/>
    <cellStyle name="_신규추가연장_정리파일_'07年 협력사 GVE 과제 관리_★ '07~'08年 GVE 과제 현황_080502" xfId="10922"/>
    <cellStyle name="_신규추가연장_정리파일_'07年 협력사 GVE 과제 관리_★ '07年 GVE 과제 현황_080407" xfId="10923"/>
    <cellStyle name="_신규추가연장_정리파일_'07年 협력사 GVE 과제 관리_20070712" xfId="10924"/>
    <cellStyle name="_신규추가연장_정리파일_'07年 협력사 GVE 과제 관리_20070712_★ '07~'08年 GVE 과제 현황_080502" xfId="10925"/>
    <cellStyle name="_신규추가연장_정리파일_'07年 협력사 GVE 과제 관리_20070712_★ '07年 GVE 과제 현황_080407" xfId="10926"/>
    <cellStyle name="_신규추가연장_정리파일_'07年 협력사 GVE 과제 관리_20070723" xfId="10927"/>
    <cellStyle name="_신규추가연장_정리파일_'07年 협력사 GVE 과제 관리_20070723_★ '07~'08年 GVE 과제 현황_080502" xfId="10928"/>
    <cellStyle name="_신규추가연장_정리파일_'07年 협력사 GVE 과제 관리_20070723_★ '07年 GVE 과제 현황_080407" xfId="10929"/>
    <cellStyle name="_신규추가연장_정리파일_'07年 협력사 GVE 과제 관리_20070821" xfId="10930"/>
    <cellStyle name="_신규추가연장_정리파일_'07年 협력사 GVE 과제 관리_20070821_★ '07~'08年 GVE 과제 현황_080502" xfId="10931"/>
    <cellStyle name="_신규추가연장_정리파일_'07年 협력사 GVE 과제 관리_20070821_★ '07年 GVE 과제 현황_080407" xfId="10932"/>
    <cellStyle name="_신규추가연장_정리파일_'07年 협력사 GVE 과제 관리_20071017" xfId="10933"/>
    <cellStyle name="_신규추가연장_정리파일_'07年 협력사 GVE 과제 관리_20071017_★ '07~'08年 GVE 과제 현황_080502" xfId="10934"/>
    <cellStyle name="_신규추가연장_정리파일_'07年 협력사 GVE 과제 관리_20071017_★ '07年 GVE 과제 현황_080407" xfId="10935"/>
    <cellStyle name="_신규추가연장_정리파일_'07年 협력사 GVE 과제 진행현황" xfId="10936"/>
    <cellStyle name="_신규추가연장_정리파일_'07年 협력사 GVE 과제 진행현황_★ '07~'08年 GVE 과제 현황_080502" xfId="10937"/>
    <cellStyle name="_신규추가연장_정리파일_'07年 협력사 GVE 과제 진행현황_★ '07年 GVE 과제 현황_080407" xfId="10938"/>
    <cellStyle name="_신규추가연장_정리파일_GVE추진과제현황_Master(통합)" xfId="10939"/>
    <cellStyle name="_신규추가연장_정리파일_GVE추진과제현황_Master(통합)_★ '07~'08年 GVE 과제 현황_080502" xfId="10940"/>
    <cellStyle name="_신규추가연장_정리파일_GVE추진과제현황_Master(통합)_★ '07年 GVE 과제 현황_080407" xfId="10941"/>
    <cellStyle name="_신규추가연장_정리파일_GVE추진과제현황_Master(통합)_41184" xfId="10942"/>
    <cellStyle name="_신규추가연장_정리파일_GVE추진과제현황_Master(통합)_41184_★ '07~'08年 GVE 과제 현황_080502" xfId="10943"/>
    <cellStyle name="_신규추가연장_정리파일_GVE추진과제현황_Master(통합)_41184_★ '07年 GVE 과제 현황_080407" xfId="10944"/>
    <cellStyle name="_예외생산계획" xfId="10945"/>
    <cellStyle name="_이어폰가격_051207" xfId="10946"/>
    <cellStyle name="_일GSM01" xfId="10947"/>
    <cellStyle name="_일GSM05" xfId="10948"/>
    <cellStyle name="_일GSM07" xfId="10949"/>
    <cellStyle name="_입과대상자명단" xfId="10950"/>
    <cellStyle name="_입과대상자명단_(확인) '06年 협력사 GVE_Master File_" xfId="10951"/>
    <cellStyle name="_입과대상자명단_(확인) '06年 협력사 GVE_Master File__★ '07~'08年 GVE 과제 현황_080502" xfId="10952"/>
    <cellStyle name="_입과대상자명단_(확인) '06年 협력사 GVE_Master File__★ '07年 GVE 과제 현황_080407" xfId="10953"/>
    <cellStyle name="_입과대상자명단_06년과제(협력사+GBM)" xfId="10954"/>
    <cellStyle name="_입과대상자명단_06년과제(협력사+GBM)_★ '07~'08年 GVE 과제 현황_080502" xfId="10955"/>
    <cellStyle name="_입과대상자명단_06년과제(협력사+GBM)_★ '07年 GVE 과제 현황_080407" xfId="10956"/>
    <cellStyle name="_입과대상자명단_06년과제_전체" xfId="10957"/>
    <cellStyle name="_입과대상자명단_06년과제_전체_★ '07~'08年 GVE 과제 현황_080502" xfId="10958"/>
    <cellStyle name="_입과대상자명단_06년과제_전체_★ '07年 GVE 과제 현황_080407" xfId="10959"/>
    <cellStyle name="_입과대상자명단_'06年 협력사 GVE_Master File" xfId="10960"/>
    <cellStyle name="_입과대상자명단_'06年 협력사 GVE_Master File_★ '07~'08年 GVE 과제 현황_080502" xfId="10961"/>
    <cellStyle name="_입과대상자명단_'06年 협력사 GVE_Master File_★ '07年 GVE 과제 현황_080407" xfId="10962"/>
    <cellStyle name="_입과대상자명단_'07年 추진과제 적용현황_080214(취합)" xfId="10963"/>
    <cellStyle name="_입과대상자명단_'07年 추진과제 적용현황_080214(취합)_★ '07~'08年 GVE 과제 현황_080502" xfId="10964"/>
    <cellStyle name="_입과대상자명단_'07年 추진과제 적용현황_080214(취합)_★ '07年 GVE 과제 현황_080407" xfId="10965"/>
    <cellStyle name="_입과대상자명단_'07年 협력사 GVE 과제 LIST_20071029" xfId="10966"/>
    <cellStyle name="_입과대상자명단_'07年 협력사 GVE 과제 LIST_20071029_★ '07~'08年 GVE 과제 현황_080502" xfId="10967"/>
    <cellStyle name="_입과대상자명단_'07年 협력사 GVE 과제 LIST_20071029_★ '07年 GVE 과제 현황_080407" xfId="10968"/>
    <cellStyle name="_입과대상자명단_'07年 협력사 GVE 과제 관리" xfId="10969"/>
    <cellStyle name="_입과대상자명단_'07年 협력사 GVE 과제 관리_★ '07~'08年 GVE 과제 현황_080502" xfId="10970"/>
    <cellStyle name="_입과대상자명단_'07年 협력사 GVE 과제 관리_★ '07年 GVE 과제 현황_080407" xfId="10971"/>
    <cellStyle name="_입과대상자명단_'07年 협력사 GVE 과제 관리_20070712" xfId="10972"/>
    <cellStyle name="_입과대상자명단_'07年 협력사 GVE 과제 관리_20070712_★ '07~'08年 GVE 과제 현황_080502" xfId="10973"/>
    <cellStyle name="_입과대상자명단_'07年 협력사 GVE 과제 관리_20070712_★ '07年 GVE 과제 현황_080407" xfId="10974"/>
    <cellStyle name="_입과대상자명단_'07年 협력사 GVE 과제 관리_20070723" xfId="10975"/>
    <cellStyle name="_입과대상자명단_'07年 협력사 GVE 과제 관리_20070723_★ '07~'08年 GVE 과제 현황_080502" xfId="10976"/>
    <cellStyle name="_입과대상자명단_'07年 협력사 GVE 과제 관리_20070723_★ '07年 GVE 과제 현황_080407" xfId="10977"/>
    <cellStyle name="_입과대상자명단_'07年 협력사 GVE 과제 관리_20070821" xfId="10978"/>
    <cellStyle name="_입과대상자명단_'07年 협력사 GVE 과제 관리_20070821_★ '07~'08年 GVE 과제 현황_080502" xfId="10979"/>
    <cellStyle name="_입과대상자명단_'07年 협력사 GVE 과제 관리_20070821_★ '07年 GVE 과제 현황_080407" xfId="10980"/>
    <cellStyle name="_입과대상자명단_'07年 협력사 GVE 과제 관리_20071017" xfId="10981"/>
    <cellStyle name="_입과대상자명단_'07年 협력사 GVE 과제 관리_20071017_★ '07~'08年 GVE 과제 현황_080502" xfId="10982"/>
    <cellStyle name="_입과대상자명단_'07年 협력사 GVE 과제 관리_20071017_★ '07年 GVE 과제 현황_080407" xfId="10983"/>
    <cellStyle name="_입과대상자명단_'07年 협력사 GVE 과제 진행현황" xfId="10984"/>
    <cellStyle name="_입과대상자명단_'07年 협력사 GVE 과제 진행현황_★ '07~'08年 GVE 과제 현황_080502" xfId="10985"/>
    <cellStyle name="_입과대상자명단_'07年 협력사 GVE 과제 진행현황_★ '07年 GVE 과제 현황_080407" xfId="10986"/>
    <cellStyle name="_입과대상자명단_GVE추진과제현황_Master(통합)" xfId="10987"/>
    <cellStyle name="_입과대상자명단_GVE추진과제현황_Master(통합)_★ '07~'08年 GVE 과제 현황_080502" xfId="10988"/>
    <cellStyle name="_입과대상자명단_GVE추진과제현황_Master(통합)_★ '07年 GVE 과제 현황_080407" xfId="10989"/>
    <cellStyle name="_입과대상자명단_GVE추진과제현황_Master(통합)_41184" xfId="10990"/>
    <cellStyle name="_입과대상자명단_GVE추진과제현황_Master(통합)_41184_★ '07~'08年 GVE 과제 현황_080502" xfId="10991"/>
    <cellStyle name="_입과대상자명단_GVE추진과제현황_Master(통합)_41184_★ '07年 GVE 과제 현황_080407" xfId="10992"/>
    <cellStyle name="_저효율7모델_080930" xfId="10993"/>
    <cellStyle name="_전국센터망" xfId="10994"/>
    <cellStyle name="_전국센터망_1" xfId="10995"/>
    <cellStyle name="_전국센터망_2" xfId="10996"/>
    <cellStyle name="_전성학" xfId="10997"/>
    <cellStyle name="_종합현황060103" xfId="10998"/>
    <cellStyle name="_종합현황060303" xfId="10999"/>
    <cellStyle name="_종합현황060605" xfId="11000"/>
    <cellStyle name="_종합현황060705" xfId="11001"/>
    <cellStyle name="_중국" xfId="11002"/>
    <cellStyle name="_중남미 운영테이블" xfId="11003"/>
    <cellStyle name="_중남미 운영테이블 2" xfId="11004"/>
    <cellStyle name="_중남미 운영테이블 3" xfId="11005"/>
    <cellStyle name="_중남미 운영테이블 4" xfId="11006"/>
    <cellStyle name="_중남미 운영테이블 5" xfId="11007"/>
    <cellStyle name="_중남미 운영테이블 6" xfId="11008"/>
    <cellStyle name="_중남미 운영테이블 7" xfId="11009"/>
    <cellStyle name="_중남미 운영테이블 8" xfId="11010"/>
    <cellStyle name="_중남미 운영테이블 9" xfId="11011"/>
    <cellStyle name="_최종) 협력사LIST(정보통신총괄)" xfId="11012"/>
    <cellStyle name="_최종) 협력사LIST(정보통신총괄)060112" xfId="11013"/>
    <cellStyle name="_출하품질" xfId="11014"/>
    <cellStyle name="_판가재료비현황" xfId="11015"/>
    <cellStyle name="’Ê‰Ý [0.00]_laroux" xfId="11016"/>
    <cellStyle name="’Ê‰Ý_laroux" xfId="11017"/>
    <cellStyle name="£ BP" xfId="11018"/>
    <cellStyle name="¥ JY" xfId="11019"/>
    <cellStyle name="=C:\WINNT\SYSTEM32\COMMAND.COM" xfId="11020"/>
    <cellStyle name="•W€_laroux" xfId="11021"/>
    <cellStyle name="0  + -" xfId="11022"/>
    <cellStyle name="0,0_x000a__x000a_NA_x000a__x000a_" xfId="11023"/>
    <cellStyle name="0,0_x000d__x000a_NA_x000d__x000a_" xfId="10"/>
    <cellStyle name="0,0_x000d__x000a_NA_x000d__x000a_ 10" xfId="11024"/>
    <cellStyle name="0,0_x000d__x000a_NA_x000d__x000a_ 10 2" xfId="11025"/>
    <cellStyle name="0,0_x000d__x000a_NA_x000d__x000a_ 10 3" xfId="11026"/>
    <cellStyle name="0,0_x000d__x000a_NA_x000d__x000a_ 10 4" xfId="11027"/>
    <cellStyle name="0,0_x000d__x000a_NA_x000d__x000a_ 10 5" xfId="11028"/>
    <cellStyle name="0,0_x000d__x000a_NA_x000d__x000a_ 10 6" xfId="11029"/>
    <cellStyle name="0,0_x000d__x000a_NA_x000d__x000a_ 10 7" xfId="11030"/>
    <cellStyle name="0,0_x000d__x000a_NA_x000d__x000a_ 10 8" xfId="11031"/>
    <cellStyle name="0,0_x000d__x000a_NA_x000d__x000a_ 10 9" xfId="11032"/>
    <cellStyle name="0,0_x000d__x000a_NA_x000d__x000a_ 11" xfId="11033"/>
    <cellStyle name="0,0_x000d__x000a_NA_x000d__x000a_ 12" xfId="11034"/>
    <cellStyle name="0,0_x000d__x000a_NA_x000d__x000a_ 13" xfId="11035"/>
    <cellStyle name="0,0_x000d__x000a_NA_x000d__x000a_ 14" xfId="11036"/>
    <cellStyle name="0,0_x000d__x000a_NA_x000d__x000a_ 15" xfId="11037"/>
    <cellStyle name="0,0_x000d__x000a_NA_x000d__x000a_ 16" xfId="11038"/>
    <cellStyle name="0,0_x000d__x000a_NA_x000d__x000a_ 16 2" xfId="11039"/>
    <cellStyle name="0,0_x000d__x000a_NA_x000d__x000a_ 16 3" xfId="11040"/>
    <cellStyle name="0,0_x000d__x000a_NA_x000d__x000a_ 16 4" xfId="11041"/>
    <cellStyle name="0,0_x000d__x000a_NA_x000d__x000a_ 16 5" xfId="11042"/>
    <cellStyle name="0,0_x000d__x000a_NA_x000d__x000a_ 16 6" xfId="11043"/>
    <cellStyle name="0,0_x000d__x000a_NA_x000d__x000a_ 16 7" xfId="11044"/>
    <cellStyle name="0,0_x000d__x000a_NA_x000d__x000a_ 16 8" xfId="11045"/>
    <cellStyle name="0,0_x000d__x000a_NA_x000d__x000a_ 16 9" xfId="11046"/>
    <cellStyle name="0,0_x000d__x000a_NA_x000d__x000a_ 17" xfId="11047"/>
    <cellStyle name="0,0_x000d__x000a_NA_x000d__x000a_ 18" xfId="11048"/>
    <cellStyle name="0,0_x000d__x000a_NA_x000d__x000a_ 18 2" xfId="11049"/>
    <cellStyle name="0,0_x000d__x000a_NA_x000d__x000a_ 18 3" xfId="11050"/>
    <cellStyle name="0,0_x000d__x000a_NA_x000d__x000a_ 18 4" xfId="11051"/>
    <cellStyle name="0,0_x000d__x000a_NA_x000d__x000a_ 18 5" xfId="11052"/>
    <cellStyle name="0,0_x000d__x000a_NA_x000d__x000a_ 18 6" xfId="11053"/>
    <cellStyle name="0,0_x000d__x000a_NA_x000d__x000a_ 18 7" xfId="11054"/>
    <cellStyle name="0,0_x000d__x000a_NA_x000d__x000a_ 18 8" xfId="11055"/>
    <cellStyle name="0,0_x000d__x000a_NA_x000d__x000a_ 18 9" xfId="11056"/>
    <cellStyle name="0,0_x000d__x000a_NA_x000d__x000a_ 19" xfId="11057"/>
    <cellStyle name="0,0_x000d__x000a_NA_x000d__x000a_ 19 2" xfId="11058"/>
    <cellStyle name="0,0_x000d__x000a_NA_x000d__x000a_ 19 3" xfId="11059"/>
    <cellStyle name="0,0_x000d__x000a_NA_x000d__x000a_ 19 4" xfId="11060"/>
    <cellStyle name="0,0_x000d__x000a_NA_x000d__x000a_ 19 5" xfId="11061"/>
    <cellStyle name="0,0_x000d__x000a_NA_x000d__x000a_ 19 6" xfId="11062"/>
    <cellStyle name="0,0_x000d__x000a_NA_x000d__x000a_ 19 7" xfId="11063"/>
    <cellStyle name="0,0_x000d__x000a_NA_x000d__x000a_ 19 8" xfId="11064"/>
    <cellStyle name="0,0_x000d__x000a_NA_x000d__x000a_ 19 9" xfId="11065"/>
    <cellStyle name="0,0_x000d__x000a_NA_x000d__x000a_ 2" xfId="11066"/>
    <cellStyle name="0,0_x000d__x000a_NA_x000d__x000a_ 2 2" xfId="11067"/>
    <cellStyle name="0,0_x000d__x000a_NA_x000d__x000a_ 20" xfId="11068"/>
    <cellStyle name="0,0_x000d__x000a_NA_x000d__x000a_ 20 2" xfId="11069"/>
    <cellStyle name="0,0_x000d__x000a_NA_x000d__x000a_ 20 3" xfId="11070"/>
    <cellStyle name="0,0_x000d__x000a_NA_x000d__x000a_ 20 4" xfId="11071"/>
    <cellStyle name="0,0_x000d__x000a_NA_x000d__x000a_ 20 5" xfId="11072"/>
    <cellStyle name="0,0_x000d__x000a_NA_x000d__x000a_ 20 6" xfId="11073"/>
    <cellStyle name="0,0_x000d__x000a_NA_x000d__x000a_ 20 7" xfId="11074"/>
    <cellStyle name="0,0_x000d__x000a_NA_x000d__x000a_ 20 8" xfId="11075"/>
    <cellStyle name="0,0_x000d__x000a_NA_x000d__x000a_ 20 9" xfId="11076"/>
    <cellStyle name="0,0_x000d__x000a_NA_x000d__x000a_ 21" xfId="11077"/>
    <cellStyle name="0,0_x000d__x000a_NA_x000d__x000a_ 3" xfId="11078"/>
    <cellStyle name="0,0_x000d__x000a_NA_x000d__x000a_ 3 10" xfId="11079"/>
    <cellStyle name="0,0_x000d__x000a_NA_x000d__x000a_ 3 10 2" xfId="11080"/>
    <cellStyle name="0,0_x000d__x000a_NA_x000d__x000a_ 3 10 3" xfId="11081"/>
    <cellStyle name="0,0_x000d__x000a_NA_x000d__x000a_ 3 10 4" xfId="11082"/>
    <cellStyle name="0,0_x000d__x000a_NA_x000d__x000a_ 3 10 5" xfId="11083"/>
    <cellStyle name="0,0_x000d__x000a_NA_x000d__x000a_ 3 10 6" xfId="11084"/>
    <cellStyle name="0,0_x000d__x000a_NA_x000d__x000a_ 3 10 7" xfId="11085"/>
    <cellStyle name="0,0_x000d__x000a_NA_x000d__x000a_ 3 10 8" xfId="11086"/>
    <cellStyle name="0,0_x000d__x000a_NA_x000d__x000a_ 3 10 9" xfId="11087"/>
    <cellStyle name="0,0_x000d__x000a_NA_x000d__x000a_ 3 11" xfId="11088"/>
    <cellStyle name="0,0_x000d__x000a_NA_x000d__x000a_ 3 11 2" xfId="11089"/>
    <cellStyle name="0,0_x000d__x000a_NA_x000d__x000a_ 3 11 3" xfId="11090"/>
    <cellStyle name="0,0_x000d__x000a_NA_x000d__x000a_ 3 11 4" xfId="11091"/>
    <cellStyle name="0,0_x000d__x000a_NA_x000d__x000a_ 3 11 5" xfId="11092"/>
    <cellStyle name="0,0_x000d__x000a_NA_x000d__x000a_ 3 11 6" xfId="11093"/>
    <cellStyle name="0,0_x000d__x000a_NA_x000d__x000a_ 3 11 7" xfId="11094"/>
    <cellStyle name="0,0_x000d__x000a_NA_x000d__x000a_ 3 11 8" xfId="11095"/>
    <cellStyle name="0,0_x000d__x000a_NA_x000d__x000a_ 3 11 9" xfId="11096"/>
    <cellStyle name="0,0_x000d__x000a_NA_x000d__x000a_ 3 12" xfId="11097"/>
    <cellStyle name="0,0_x000d__x000a_NA_x000d__x000a_ 3 12 2" xfId="11098"/>
    <cellStyle name="0,0_x000d__x000a_NA_x000d__x000a_ 3 12 3" xfId="11099"/>
    <cellStyle name="0,0_x000d__x000a_NA_x000d__x000a_ 3 12 4" xfId="11100"/>
    <cellStyle name="0,0_x000d__x000a_NA_x000d__x000a_ 3 12 5" xfId="11101"/>
    <cellStyle name="0,0_x000d__x000a_NA_x000d__x000a_ 3 12 6" xfId="11102"/>
    <cellStyle name="0,0_x000d__x000a_NA_x000d__x000a_ 3 12 7" xfId="11103"/>
    <cellStyle name="0,0_x000d__x000a_NA_x000d__x000a_ 3 12 8" xfId="11104"/>
    <cellStyle name="0,0_x000d__x000a_NA_x000d__x000a_ 3 12 9" xfId="11105"/>
    <cellStyle name="0,0_x000d__x000a_NA_x000d__x000a_ 3 13" xfId="11106"/>
    <cellStyle name="0,0_x000d__x000a_NA_x000d__x000a_ 3 13 2" xfId="11107"/>
    <cellStyle name="0,0_x000d__x000a_NA_x000d__x000a_ 3 13 3" xfId="11108"/>
    <cellStyle name="0,0_x000d__x000a_NA_x000d__x000a_ 3 13 4" xfId="11109"/>
    <cellStyle name="0,0_x000d__x000a_NA_x000d__x000a_ 3 13 5" xfId="11110"/>
    <cellStyle name="0,0_x000d__x000a_NA_x000d__x000a_ 3 13 6" xfId="11111"/>
    <cellStyle name="0,0_x000d__x000a_NA_x000d__x000a_ 3 13 7" xfId="11112"/>
    <cellStyle name="0,0_x000d__x000a_NA_x000d__x000a_ 3 13 8" xfId="11113"/>
    <cellStyle name="0,0_x000d__x000a_NA_x000d__x000a_ 3 13 9" xfId="11114"/>
    <cellStyle name="0,0_x000d__x000a_NA_x000d__x000a_ 3 14" xfId="11115"/>
    <cellStyle name="0,0_x000d__x000a_NA_x000d__x000a_ 3 14 2" xfId="11116"/>
    <cellStyle name="0,0_x000d__x000a_NA_x000d__x000a_ 3 14 3" xfId="11117"/>
    <cellStyle name="0,0_x000d__x000a_NA_x000d__x000a_ 3 14 4" xfId="11118"/>
    <cellStyle name="0,0_x000d__x000a_NA_x000d__x000a_ 3 14 5" xfId="11119"/>
    <cellStyle name="0,0_x000d__x000a_NA_x000d__x000a_ 3 14 6" xfId="11120"/>
    <cellStyle name="0,0_x000d__x000a_NA_x000d__x000a_ 3 14 7" xfId="11121"/>
    <cellStyle name="0,0_x000d__x000a_NA_x000d__x000a_ 3 14 8" xfId="11122"/>
    <cellStyle name="0,0_x000d__x000a_NA_x000d__x000a_ 3 14 9" xfId="11123"/>
    <cellStyle name="0,0_x000d__x000a_NA_x000d__x000a_ 3 15" xfId="11124"/>
    <cellStyle name="0,0_x000d__x000a_NA_x000d__x000a_ 3 15 2" xfId="11125"/>
    <cellStyle name="0,0_x000d__x000a_NA_x000d__x000a_ 3 15 3" xfId="11126"/>
    <cellStyle name="0,0_x000d__x000a_NA_x000d__x000a_ 3 15 4" xfId="11127"/>
    <cellStyle name="0,0_x000d__x000a_NA_x000d__x000a_ 3 15 5" xfId="11128"/>
    <cellStyle name="0,0_x000d__x000a_NA_x000d__x000a_ 3 15 6" xfId="11129"/>
    <cellStyle name="0,0_x000d__x000a_NA_x000d__x000a_ 3 15 7" xfId="11130"/>
    <cellStyle name="0,0_x000d__x000a_NA_x000d__x000a_ 3 15 8" xfId="11131"/>
    <cellStyle name="0,0_x000d__x000a_NA_x000d__x000a_ 3 15 9" xfId="11132"/>
    <cellStyle name="0,0_x000d__x000a_NA_x000d__x000a_ 3 16" xfId="11133"/>
    <cellStyle name="0,0_x000d__x000a_NA_x000d__x000a_ 3 16 2" xfId="11134"/>
    <cellStyle name="0,0_x000d__x000a_NA_x000d__x000a_ 3 16 3" xfId="11135"/>
    <cellStyle name="0,0_x000d__x000a_NA_x000d__x000a_ 3 16 4" xfId="11136"/>
    <cellStyle name="0,0_x000d__x000a_NA_x000d__x000a_ 3 16 5" xfId="11137"/>
    <cellStyle name="0,0_x000d__x000a_NA_x000d__x000a_ 3 16 6" xfId="11138"/>
    <cellStyle name="0,0_x000d__x000a_NA_x000d__x000a_ 3 16 7" xfId="11139"/>
    <cellStyle name="0,0_x000d__x000a_NA_x000d__x000a_ 3 16 8" xfId="11140"/>
    <cellStyle name="0,0_x000d__x000a_NA_x000d__x000a_ 3 16 9" xfId="11141"/>
    <cellStyle name="0,0_x000d__x000a_NA_x000d__x000a_ 3 17" xfId="11142"/>
    <cellStyle name="0,0_x000d__x000a_NA_x000d__x000a_ 3 18" xfId="11143"/>
    <cellStyle name="0,0_x000d__x000a_NA_x000d__x000a_ 3 19" xfId="11144"/>
    <cellStyle name="0,0_x000d__x000a_NA_x000d__x000a_ 3 2" xfId="11145"/>
    <cellStyle name="0,0_x000d__x000a_NA_x000d__x000a_ 3 2 2" xfId="11146"/>
    <cellStyle name="0,0_x000d__x000a_NA_x000d__x000a_ 3 2 3" xfId="11147"/>
    <cellStyle name="0,0_x000d__x000a_NA_x000d__x000a_ 3 2 4" xfId="11148"/>
    <cellStyle name="0,0_x000d__x000a_NA_x000d__x000a_ 3 2 5" xfId="11149"/>
    <cellStyle name="0,0_x000d__x000a_NA_x000d__x000a_ 3 2 6" xfId="11150"/>
    <cellStyle name="0,0_x000d__x000a_NA_x000d__x000a_ 3 2 7" xfId="11151"/>
    <cellStyle name="0,0_x000d__x000a_NA_x000d__x000a_ 3 2 8" xfId="11152"/>
    <cellStyle name="0,0_x000d__x000a_NA_x000d__x000a_ 3 2 9" xfId="11153"/>
    <cellStyle name="0,0_x000d__x000a_NA_x000d__x000a_ 3 20" xfId="11154"/>
    <cellStyle name="0,0_x000d__x000a_NA_x000d__x000a_ 3 21" xfId="11155"/>
    <cellStyle name="0,0_x000d__x000a_NA_x000d__x000a_ 3 22" xfId="11156"/>
    <cellStyle name="0,0_x000d__x000a_NA_x000d__x000a_ 3 23" xfId="11157"/>
    <cellStyle name="0,0_x000d__x000a_NA_x000d__x000a_ 3 24" xfId="11158"/>
    <cellStyle name="0,0_x000d__x000a_NA_x000d__x000a_ 3 3" xfId="11159"/>
    <cellStyle name="0,0_x000d__x000a_NA_x000d__x000a_ 3 3 2" xfId="11160"/>
    <cellStyle name="0,0_x000d__x000a_NA_x000d__x000a_ 3 3 3" xfId="11161"/>
    <cellStyle name="0,0_x000d__x000a_NA_x000d__x000a_ 3 3 4" xfId="11162"/>
    <cellStyle name="0,0_x000d__x000a_NA_x000d__x000a_ 3 3 5" xfId="11163"/>
    <cellStyle name="0,0_x000d__x000a_NA_x000d__x000a_ 3 3 6" xfId="11164"/>
    <cellStyle name="0,0_x000d__x000a_NA_x000d__x000a_ 3 3 7" xfId="11165"/>
    <cellStyle name="0,0_x000d__x000a_NA_x000d__x000a_ 3 3 8" xfId="11166"/>
    <cellStyle name="0,0_x000d__x000a_NA_x000d__x000a_ 3 3 9" xfId="11167"/>
    <cellStyle name="0,0_x000d__x000a_NA_x000d__x000a_ 3 4" xfId="11168"/>
    <cellStyle name="0,0_x000d__x000a_NA_x000d__x000a_ 3 4 2" xfId="11169"/>
    <cellStyle name="0,0_x000d__x000a_NA_x000d__x000a_ 3 4 3" xfId="11170"/>
    <cellStyle name="0,0_x000d__x000a_NA_x000d__x000a_ 3 4 4" xfId="11171"/>
    <cellStyle name="0,0_x000d__x000a_NA_x000d__x000a_ 3 4 5" xfId="11172"/>
    <cellStyle name="0,0_x000d__x000a_NA_x000d__x000a_ 3 4 6" xfId="11173"/>
    <cellStyle name="0,0_x000d__x000a_NA_x000d__x000a_ 3 4 7" xfId="11174"/>
    <cellStyle name="0,0_x000d__x000a_NA_x000d__x000a_ 3 4 8" xfId="11175"/>
    <cellStyle name="0,0_x000d__x000a_NA_x000d__x000a_ 3 4 9" xfId="11176"/>
    <cellStyle name="0,0_x000d__x000a_NA_x000d__x000a_ 3 5" xfId="11177"/>
    <cellStyle name="0,0_x000d__x000a_NA_x000d__x000a_ 3 5 2" xfId="11178"/>
    <cellStyle name="0,0_x000d__x000a_NA_x000d__x000a_ 3 5 3" xfId="11179"/>
    <cellStyle name="0,0_x000d__x000a_NA_x000d__x000a_ 3 6" xfId="11180"/>
    <cellStyle name="0,0_x000d__x000a_NA_x000d__x000a_ 3 7" xfId="11181"/>
    <cellStyle name="0,0_x000d__x000a_NA_x000d__x000a_ 3 8" xfId="11182"/>
    <cellStyle name="0,0_x000d__x000a_NA_x000d__x000a_ 3 9" xfId="11183"/>
    <cellStyle name="0,0_x000d__x000a_NA_x000d__x000a_ 4" xfId="11184"/>
    <cellStyle name="0,0_x000d__x000a_NA_x000d__x000a_ 4 10" xfId="11185"/>
    <cellStyle name="0,0_x000d__x000a_NA_x000d__x000a_ 4 11" xfId="11186"/>
    <cellStyle name="0,0_x000d__x000a_NA_x000d__x000a_ 4 12" xfId="11187"/>
    <cellStyle name="0,0_x000d__x000a_NA_x000d__x000a_ 4 13" xfId="11188"/>
    <cellStyle name="0,0_x000d__x000a_NA_x000d__x000a_ 4 14" xfId="11189"/>
    <cellStyle name="0,0_x000d__x000a_NA_x000d__x000a_ 4 15" xfId="11190"/>
    <cellStyle name="0,0_x000d__x000a_NA_x000d__x000a_ 4 16" xfId="11191"/>
    <cellStyle name="0,0_x000d__x000a_NA_x000d__x000a_ 4 2" xfId="11192"/>
    <cellStyle name="0,0_x000d__x000a_NA_x000d__x000a_ 4 3" xfId="11193"/>
    <cellStyle name="0,0_x000d__x000a_NA_x000d__x000a_ 4 4" xfId="11194"/>
    <cellStyle name="0,0_x000d__x000a_NA_x000d__x000a_ 4 5" xfId="11195"/>
    <cellStyle name="0,0_x000d__x000a_NA_x000d__x000a_ 4 6" xfId="11196"/>
    <cellStyle name="0,0_x000d__x000a_NA_x000d__x000a_ 4 7" xfId="11197"/>
    <cellStyle name="0,0_x000d__x000a_NA_x000d__x000a_ 4 8" xfId="11198"/>
    <cellStyle name="0,0_x000d__x000a_NA_x000d__x000a_ 4 9" xfId="11199"/>
    <cellStyle name="0,0_x000d__x000a_NA_x000d__x000a_ 5" xfId="11200"/>
    <cellStyle name="0,0_x000d__x000a_NA_x000d__x000a_ 5 10" xfId="11201"/>
    <cellStyle name="0,0_x000d__x000a_NA_x000d__x000a_ 5 11" xfId="11202"/>
    <cellStyle name="0,0_x000d__x000a_NA_x000d__x000a_ 5 12" xfId="11203"/>
    <cellStyle name="0,0_x000d__x000a_NA_x000d__x000a_ 5 13" xfId="11204"/>
    <cellStyle name="0,0_x000d__x000a_NA_x000d__x000a_ 5 14" xfId="11205"/>
    <cellStyle name="0,0_x000d__x000a_NA_x000d__x000a_ 5 15" xfId="11206"/>
    <cellStyle name="0,0_x000d__x000a_NA_x000d__x000a_ 5 16" xfId="11207"/>
    <cellStyle name="0,0_x000d__x000a_NA_x000d__x000a_ 5 2" xfId="11208"/>
    <cellStyle name="0,0_x000d__x000a_NA_x000d__x000a_ 5 3" xfId="11209"/>
    <cellStyle name="0,0_x000d__x000a_NA_x000d__x000a_ 5 4" xfId="11210"/>
    <cellStyle name="0,0_x000d__x000a_NA_x000d__x000a_ 5 5" xfId="11211"/>
    <cellStyle name="0,0_x000d__x000a_NA_x000d__x000a_ 5 6" xfId="11212"/>
    <cellStyle name="0,0_x000d__x000a_NA_x000d__x000a_ 5 7" xfId="11213"/>
    <cellStyle name="0,0_x000d__x000a_NA_x000d__x000a_ 5 8" xfId="11214"/>
    <cellStyle name="0,0_x000d__x000a_NA_x000d__x000a_ 5 9" xfId="11215"/>
    <cellStyle name="0,0_x000d__x000a_NA_x000d__x000a_ 6" xfId="11216"/>
    <cellStyle name="0,0_x000d__x000a_NA_x000d__x000a_ 7" xfId="11217"/>
    <cellStyle name="0,0_x000d__x000a_NA_x000d__x000a_ 8" xfId="11218"/>
    <cellStyle name="0,0_x000d__x000a_NA_x000d__x000a_ 9" xfId="11219"/>
    <cellStyle name="0,0_x000d__x000a_NA_x000d__x000a__2010 1Q 091104" xfId="11220"/>
    <cellStyle name="0+ -" xfId="11221"/>
    <cellStyle name="0+   -" xfId="11222"/>
    <cellStyle name="0000" xfId="11223"/>
    <cellStyle name="000000" xfId="11224"/>
    <cellStyle name="19990216" xfId="11225"/>
    <cellStyle name="1o.nível" xfId="11226"/>
    <cellStyle name="20% - Accent1" xfId="11227"/>
    <cellStyle name="20% - Accent1 2" xfId="11228"/>
    <cellStyle name="20% - Accent1 3" xfId="11229"/>
    <cellStyle name="20% - Accent1 4" xfId="11230"/>
    <cellStyle name="20% - Accent1 5" xfId="11231"/>
    <cellStyle name="20% - Accent1 6" xfId="11232"/>
    <cellStyle name="20% - Accent1 7" xfId="11233"/>
    <cellStyle name="20% - Accent1 8" xfId="11234"/>
    <cellStyle name="20% - Accent1 9" xfId="11235"/>
    <cellStyle name="20% - Accent1_Indicador_Fixo_R1 e R2 (Prévia)" xfId="11236"/>
    <cellStyle name="20% - Accent2" xfId="11237"/>
    <cellStyle name="20% - Accent2 2" xfId="11238"/>
    <cellStyle name="20% - Accent2 3" xfId="11239"/>
    <cellStyle name="20% - Accent2 4" xfId="11240"/>
    <cellStyle name="20% - Accent2 5" xfId="11241"/>
    <cellStyle name="20% - Accent2 6" xfId="11242"/>
    <cellStyle name="20% - Accent2 7" xfId="11243"/>
    <cellStyle name="20% - Accent2 8" xfId="11244"/>
    <cellStyle name="20% - Accent2 9" xfId="11245"/>
    <cellStyle name="20% - Accent2_Indicador_Fixo_R1 e R2 (Prévia)" xfId="11246"/>
    <cellStyle name="20% - Accent3" xfId="11247"/>
    <cellStyle name="20% - Accent3 2" xfId="11248"/>
    <cellStyle name="20% - Accent3 3" xfId="11249"/>
    <cellStyle name="20% - Accent3 4" xfId="11250"/>
    <cellStyle name="20% - Accent3 5" xfId="11251"/>
    <cellStyle name="20% - Accent3 6" xfId="11252"/>
    <cellStyle name="20% - Accent3 7" xfId="11253"/>
    <cellStyle name="20% - Accent3 8" xfId="11254"/>
    <cellStyle name="20% - Accent3 9" xfId="11255"/>
    <cellStyle name="20% - Accent3_Indicador_Fixo_R1 e R2 (Prévia)" xfId="11256"/>
    <cellStyle name="20% - Accent4" xfId="11257"/>
    <cellStyle name="20% - Accent4 2" xfId="11258"/>
    <cellStyle name="20% - Accent4 3" xfId="11259"/>
    <cellStyle name="20% - Accent4 4" xfId="11260"/>
    <cellStyle name="20% - Accent4 5" xfId="11261"/>
    <cellStyle name="20% - Accent4 6" xfId="11262"/>
    <cellStyle name="20% - Accent4 7" xfId="11263"/>
    <cellStyle name="20% - Accent4 8" xfId="11264"/>
    <cellStyle name="20% - Accent4 9" xfId="11265"/>
    <cellStyle name="20% - Accent4_Indicador_Fixo_R1 e R2 (Prévia)" xfId="11266"/>
    <cellStyle name="20% - Accent5" xfId="11267"/>
    <cellStyle name="20% - Accent5 2" xfId="11268"/>
    <cellStyle name="20% - Accent5 3" xfId="11269"/>
    <cellStyle name="20% - Accent5 4" xfId="11270"/>
    <cellStyle name="20% - Accent5 5" xfId="11271"/>
    <cellStyle name="20% - Accent5 6" xfId="11272"/>
    <cellStyle name="20% - Accent5 7" xfId="11273"/>
    <cellStyle name="20% - Accent5 8" xfId="11274"/>
    <cellStyle name="20% - Accent5_Indicador_Fixo_R1 e R2 (Prévia)" xfId="11275"/>
    <cellStyle name="20% - Accent6" xfId="11276"/>
    <cellStyle name="20% - Accent6 2" xfId="11277"/>
    <cellStyle name="20% - Accent6 3" xfId="11278"/>
    <cellStyle name="20% - Accent6 4" xfId="11279"/>
    <cellStyle name="20% - Accent6 5" xfId="11280"/>
    <cellStyle name="20% - Accent6 6" xfId="11281"/>
    <cellStyle name="20% - Accent6 7" xfId="11282"/>
    <cellStyle name="20% - Accent6 8" xfId="11283"/>
    <cellStyle name="20% - Accent6_Indicador_Fixo_R1 e R2 (Prévia)" xfId="11284"/>
    <cellStyle name="20% - Ênfase1 10" xfId="11285"/>
    <cellStyle name="20% - Ênfase1 11" xfId="11286"/>
    <cellStyle name="20% - Ênfase1 12" xfId="11287"/>
    <cellStyle name="20% - Ênfase1 13" xfId="11288"/>
    <cellStyle name="20% - Ênfase1 14" xfId="11289"/>
    <cellStyle name="20% - Ênfase1 2" xfId="11290"/>
    <cellStyle name="20% - Ênfase1 2 2" xfId="11291"/>
    <cellStyle name="20% - Ênfase1 2 3" xfId="11292"/>
    <cellStyle name="20% - Ênfase1 2 4" xfId="11293"/>
    <cellStyle name="20% - Ênfase1 2 5" xfId="11294"/>
    <cellStyle name="20% - Ênfase1 3" xfId="11295"/>
    <cellStyle name="20% - Ênfase1 3 2" xfId="11296"/>
    <cellStyle name="20% - Ênfase1 4" xfId="11297"/>
    <cellStyle name="20% - Ênfase1 4 2" xfId="11298"/>
    <cellStyle name="20% - Ênfase1 5" xfId="11299"/>
    <cellStyle name="20% - Ênfase1 5 2" xfId="11300"/>
    <cellStyle name="20% - Ênfase1 6" xfId="11301"/>
    <cellStyle name="20% - Ênfase1 6 2" xfId="11302"/>
    <cellStyle name="20% - Ênfase1 7" xfId="11303"/>
    <cellStyle name="20% - Ênfase1 7 2" xfId="11304"/>
    <cellStyle name="20% - Ênfase1 8" xfId="11305"/>
    <cellStyle name="20% - Ênfase1 8 2" xfId="11306"/>
    <cellStyle name="20% - Ênfase1 9" xfId="11307"/>
    <cellStyle name="20% - Ênfase2 10" xfId="11308"/>
    <cellStyle name="20% - Ênfase2 11" xfId="11309"/>
    <cellStyle name="20% - Ênfase2 12" xfId="11310"/>
    <cellStyle name="20% - Ênfase2 13" xfId="11311"/>
    <cellStyle name="20% - Ênfase2 14" xfId="11312"/>
    <cellStyle name="20% - Ênfase2 2" xfId="11313"/>
    <cellStyle name="20% - Ênfase2 2 2" xfId="11314"/>
    <cellStyle name="20% - Ênfase2 2 3" xfId="11315"/>
    <cellStyle name="20% - Ênfase2 3" xfId="11316"/>
    <cellStyle name="20% - Ênfase2 3 2" xfId="11317"/>
    <cellStyle name="20% - Ênfase2 4" xfId="11318"/>
    <cellStyle name="20% - Ênfase2 4 2" xfId="11319"/>
    <cellStyle name="20% - Ênfase2 5" xfId="11320"/>
    <cellStyle name="20% - Ênfase2 5 2" xfId="11321"/>
    <cellStyle name="20% - Ênfase2 6" xfId="11322"/>
    <cellStyle name="20% - Ênfase2 6 2" xfId="11323"/>
    <cellStyle name="20% - Ênfase2 7" xfId="11324"/>
    <cellStyle name="20% - Ênfase2 7 2" xfId="11325"/>
    <cellStyle name="20% - Ênfase2 8" xfId="11326"/>
    <cellStyle name="20% - Ênfase2 8 2" xfId="11327"/>
    <cellStyle name="20% - Ênfase2 9" xfId="11328"/>
    <cellStyle name="20% - Ênfase3 10" xfId="11329"/>
    <cellStyle name="20% - Ênfase3 11" xfId="11330"/>
    <cellStyle name="20% - Ênfase3 12" xfId="11331"/>
    <cellStyle name="20% - Ênfase3 13" xfId="11332"/>
    <cellStyle name="20% - Ênfase3 14" xfId="11333"/>
    <cellStyle name="20% - Ênfase3 2" xfId="11334"/>
    <cellStyle name="20% - Ênfase3 2 2" xfId="11335"/>
    <cellStyle name="20% - Ênfase3 2 3" xfId="11336"/>
    <cellStyle name="20% - Ênfase3 2 4" xfId="11337"/>
    <cellStyle name="20% - Ênfase3 2 5" xfId="11338"/>
    <cellStyle name="20% - Ênfase3 3" xfId="11339"/>
    <cellStyle name="20% - Ênfase3 3 2" xfId="11340"/>
    <cellStyle name="20% - Ênfase3 4" xfId="11341"/>
    <cellStyle name="20% - Ênfase3 4 2" xfId="11342"/>
    <cellStyle name="20% - Ênfase3 5" xfId="11343"/>
    <cellStyle name="20% - Ênfase3 5 2" xfId="11344"/>
    <cellStyle name="20% - Ênfase3 6" xfId="11345"/>
    <cellStyle name="20% - Ênfase3 6 2" xfId="11346"/>
    <cellStyle name="20% - Ênfase3 7" xfId="11347"/>
    <cellStyle name="20% - Ênfase3 7 2" xfId="11348"/>
    <cellStyle name="20% - Ênfase3 8" xfId="11349"/>
    <cellStyle name="20% - Ênfase3 8 2" xfId="11350"/>
    <cellStyle name="20% - Ênfase3 9" xfId="11351"/>
    <cellStyle name="20% - Ênfase4 10" xfId="11352"/>
    <cellStyle name="20% - Ênfase4 11" xfId="11353"/>
    <cellStyle name="20% - Ênfase4 12" xfId="11354"/>
    <cellStyle name="20% - Ênfase4 13" xfId="11355"/>
    <cellStyle name="20% - Ênfase4 14" xfId="11356"/>
    <cellStyle name="20% - Ênfase4 2" xfId="11357"/>
    <cellStyle name="20% - Ênfase4 2 2" xfId="11358"/>
    <cellStyle name="20% - Ênfase4 2 3" xfId="11359"/>
    <cellStyle name="20% - Ênfase4 2 4" xfId="11360"/>
    <cellStyle name="20% - Ênfase4 2 5" xfId="11361"/>
    <cellStyle name="20% - Ênfase4 3" xfId="11362"/>
    <cellStyle name="20% - Ênfase4 3 2" xfId="11363"/>
    <cellStyle name="20% - Ênfase4 4" xfId="11364"/>
    <cellStyle name="20% - Ênfase4 4 2" xfId="11365"/>
    <cellStyle name="20% - Ênfase4 5" xfId="11366"/>
    <cellStyle name="20% - Ênfase4 5 2" xfId="11367"/>
    <cellStyle name="20% - Ênfase4 6" xfId="11368"/>
    <cellStyle name="20% - Ênfase4 6 2" xfId="11369"/>
    <cellStyle name="20% - Ênfase4 7" xfId="11370"/>
    <cellStyle name="20% - Ênfase4 7 2" xfId="11371"/>
    <cellStyle name="20% - Ênfase4 8" xfId="11372"/>
    <cellStyle name="20% - Ênfase4 8 2" xfId="11373"/>
    <cellStyle name="20% - Ênfase4 9" xfId="11374"/>
    <cellStyle name="20% - Ênfase5 10" xfId="11375"/>
    <cellStyle name="20% - Ênfase5 11" xfId="11376"/>
    <cellStyle name="20% - Ênfase5 12" xfId="11377"/>
    <cellStyle name="20% - Ênfase5 13" xfId="11378"/>
    <cellStyle name="20% - Ênfase5 14" xfId="11379"/>
    <cellStyle name="20% - Ênfase5 2" xfId="11380"/>
    <cellStyle name="20% - Ênfase5 2 2" xfId="11381"/>
    <cellStyle name="20% - Ênfase5 2 3" xfId="11382"/>
    <cellStyle name="20% - Ênfase5 2 4" xfId="11383"/>
    <cellStyle name="20% - Ênfase5 2 5" xfId="11384"/>
    <cellStyle name="20% - Ênfase5 3" xfId="11385"/>
    <cellStyle name="20% - Ênfase5 3 2" xfId="11386"/>
    <cellStyle name="20% - Ênfase5 4" xfId="11387"/>
    <cellStyle name="20% - Ênfase5 4 2" xfId="11388"/>
    <cellStyle name="20% - Ênfase5 5" xfId="11389"/>
    <cellStyle name="20% - Ênfase5 5 2" xfId="11390"/>
    <cellStyle name="20% - Ênfase5 6" xfId="11391"/>
    <cellStyle name="20% - Ênfase5 6 2" xfId="11392"/>
    <cellStyle name="20% - Ênfase5 7" xfId="11393"/>
    <cellStyle name="20% - Ênfase5 7 2" xfId="11394"/>
    <cellStyle name="20% - Ênfase5 8" xfId="11395"/>
    <cellStyle name="20% - Ênfase5 8 2" xfId="11396"/>
    <cellStyle name="20% - Ênfase5 9" xfId="11397"/>
    <cellStyle name="20% - Ênfase6 10" xfId="11398"/>
    <cellStyle name="20% - Ênfase6 11" xfId="11399"/>
    <cellStyle name="20% - Ênfase6 12" xfId="11400"/>
    <cellStyle name="20% - Ênfase6 13" xfId="11401"/>
    <cellStyle name="20% - Ênfase6 14" xfId="11402"/>
    <cellStyle name="20% - Ênfase6 2" xfId="11403"/>
    <cellStyle name="20% - Ênfase6 2 2" xfId="11404"/>
    <cellStyle name="20% - Ênfase6 3" xfId="11405"/>
    <cellStyle name="20% - Ênfase6 3 2" xfId="11406"/>
    <cellStyle name="20% - Ênfase6 4" xfId="11407"/>
    <cellStyle name="20% - Ênfase6 4 2" xfId="11408"/>
    <cellStyle name="20% - Ênfase6 5" xfId="11409"/>
    <cellStyle name="20% - Ênfase6 5 2" xfId="11410"/>
    <cellStyle name="20% - Ênfase6 6" xfId="11411"/>
    <cellStyle name="20% - Ênfase6 6 2" xfId="11412"/>
    <cellStyle name="20% - Ênfase6 7" xfId="11413"/>
    <cellStyle name="20% - Ênfase6 7 2" xfId="11414"/>
    <cellStyle name="20% - Ênfase6 8" xfId="11415"/>
    <cellStyle name="20% - Ênfase6 8 2" xfId="11416"/>
    <cellStyle name="20% - Ênfase6 9" xfId="11417"/>
    <cellStyle name="20% - Énfasis1" xfId="11418"/>
    <cellStyle name="20% - Énfasis2" xfId="11419"/>
    <cellStyle name="20% - Énfasis3" xfId="11420"/>
    <cellStyle name="20% - Énfasis4" xfId="11421"/>
    <cellStyle name="20% - Énfasis5" xfId="11422"/>
    <cellStyle name="20% - Énfasis6" xfId="11423"/>
    <cellStyle name="20% - 강조색1" xfId="11424"/>
    <cellStyle name="20% - 강조색1 10" xfId="11425"/>
    <cellStyle name="20% - 강조색1 11" xfId="11426"/>
    <cellStyle name="20% - 강조색1 12" xfId="11427"/>
    <cellStyle name="20% - 강조색1 13" xfId="11428"/>
    <cellStyle name="20% - 강조색1 14" xfId="11429"/>
    <cellStyle name="20% - 강조색1 2" xfId="11430"/>
    <cellStyle name="20% - 강조색1 2 2" xfId="11431"/>
    <cellStyle name="20% - 강조색1 2 2 2" xfId="11432"/>
    <cellStyle name="20% - 강조색1 2 2 3" xfId="11433"/>
    <cellStyle name="20% - 강조색1 2 2 4" xfId="11434"/>
    <cellStyle name="20% - 강조색1 2 3" xfId="11435"/>
    <cellStyle name="20% - 강조색1 2 3 2" xfId="11436"/>
    <cellStyle name="20% - 강조색1 2 3 3" xfId="11437"/>
    <cellStyle name="20% - 강조색1 2 3 4" xfId="11438"/>
    <cellStyle name="20% - 강조색1 2 4" xfId="11439"/>
    <cellStyle name="20% - 강조색1 2 5" xfId="11440"/>
    <cellStyle name="20% - 강조색1 2 6" xfId="11441"/>
    <cellStyle name="20% - 강조색1 2_master file" xfId="11442"/>
    <cellStyle name="20% - 강조색1 3" xfId="11443"/>
    <cellStyle name="20% - 강조색1 3 2" xfId="11444"/>
    <cellStyle name="20% - 강조색1 3 2 2" xfId="11445"/>
    <cellStyle name="20% - 강조색1 3 2 3" xfId="11446"/>
    <cellStyle name="20% - 강조색1 3 2 4" xfId="11447"/>
    <cellStyle name="20% - 강조색1 3 3" xfId="11448"/>
    <cellStyle name="20% - 강조색1 3 3 2" xfId="11449"/>
    <cellStyle name="20% - 강조색1 3 3 3" xfId="11450"/>
    <cellStyle name="20% - 강조색1 3 3 4" xfId="11451"/>
    <cellStyle name="20% - 강조색1 3 4" xfId="11452"/>
    <cellStyle name="20% - 강조색1 3 4 2" xfId="11453"/>
    <cellStyle name="20% - 강조색1 3 4 3" xfId="11454"/>
    <cellStyle name="20% - 강조색1 3 4 4" xfId="11455"/>
    <cellStyle name="20% - 강조색1 3 5" xfId="11456"/>
    <cellStyle name="20% - 강조색1 3 5 2" xfId="11457"/>
    <cellStyle name="20% - 강조색1 3 5 3" xfId="11458"/>
    <cellStyle name="20% - 강조색1 3 5 4" xfId="11459"/>
    <cellStyle name="20% - 강조색1 3 6" xfId="11460"/>
    <cellStyle name="20% - 강조색1 3 7" xfId="11461"/>
    <cellStyle name="20% - 강조색1 3 8" xfId="11462"/>
    <cellStyle name="20% - 강조색1 3_100927_1 '11 Q1 TEM 1st offer idea HQ1" xfId="11463"/>
    <cellStyle name="20% - 강조색1 4" xfId="11464"/>
    <cellStyle name="20% - 강조색1 4 2" xfId="11465"/>
    <cellStyle name="20% - 강조색1 4 3" xfId="11466"/>
    <cellStyle name="20% - 강조색1 4 4" xfId="11467"/>
    <cellStyle name="20% - 강조색1 5" xfId="11468"/>
    <cellStyle name="20% - 강조색1 6" xfId="11469"/>
    <cellStyle name="20% - 강조색1 7" xfId="11470"/>
    <cellStyle name="20% - 강조색1 8" xfId="11471"/>
    <cellStyle name="20% - 강조색1 9" xfId="11472"/>
    <cellStyle name="20% - 강조색2" xfId="11473"/>
    <cellStyle name="20% - 강조색2 10" xfId="11474"/>
    <cellStyle name="20% - 강조색2 11" xfId="11475"/>
    <cellStyle name="20% - 강조색2 12" xfId="11476"/>
    <cellStyle name="20% - 강조색2 13" xfId="11477"/>
    <cellStyle name="20% - 강조색2 14" xfId="11478"/>
    <cellStyle name="20% - 강조색2 2" xfId="11479"/>
    <cellStyle name="20% - 강조색2 2 2" xfId="11480"/>
    <cellStyle name="20% - 강조색2 2 2 2" xfId="11481"/>
    <cellStyle name="20% - 강조색2 2 2 3" xfId="11482"/>
    <cellStyle name="20% - 강조색2 2 2 4" xfId="11483"/>
    <cellStyle name="20% - 강조색2 2 3" xfId="11484"/>
    <cellStyle name="20% - 강조색2 2 3 2" xfId="11485"/>
    <cellStyle name="20% - 강조색2 2 3 3" xfId="11486"/>
    <cellStyle name="20% - 강조색2 2 3 4" xfId="11487"/>
    <cellStyle name="20% - 강조색2 2 4" xfId="11488"/>
    <cellStyle name="20% - 강조색2 2 5" xfId="11489"/>
    <cellStyle name="20% - 강조색2 2 6" xfId="11490"/>
    <cellStyle name="20% - 강조색2 2_master file" xfId="11491"/>
    <cellStyle name="20% - 강조색2 3" xfId="11492"/>
    <cellStyle name="20% - 강조색2 3 2" xfId="11493"/>
    <cellStyle name="20% - 강조색2 3 2 2" xfId="11494"/>
    <cellStyle name="20% - 강조색2 3 2 3" xfId="11495"/>
    <cellStyle name="20% - 강조색2 3 2 4" xfId="11496"/>
    <cellStyle name="20% - 강조색2 3 3" xfId="11497"/>
    <cellStyle name="20% - 강조색2 3 3 2" xfId="11498"/>
    <cellStyle name="20% - 강조색2 3 3 3" xfId="11499"/>
    <cellStyle name="20% - 강조색2 3 3 4" xfId="11500"/>
    <cellStyle name="20% - 강조색2 3 4" xfId="11501"/>
    <cellStyle name="20% - 강조색2 3 4 2" xfId="11502"/>
    <cellStyle name="20% - 강조색2 3 4 3" xfId="11503"/>
    <cellStyle name="20% - 강조색2 3 4 4" xfId="11504"/>
    <cellStyle name="20% - 강조색2 3 5" xfId="11505"/>
    <cellStyle name="20% - 강조색2 3 5 2" xfId="11506"/>
    <cellStyle name="20% - 강조색2 3 5 3" xfId="11507"/>
    <cellStyle name="20% - 강조색2 3 5 4" xfId="11508"/>
    <cellStyle name="20% - 강조색2 3 6" xfId="11509"/>
    <cellStyle name="20% - 강조색2 3 7" xfId="11510"/>
    <cellStyle name="20% - 강조색2 3 8" xfId="11511"/>
    <cellStyle name="20% - 강조색2 3_100927_1 '11 Q1 TEM 1st offer idea HQ1" xfId="11512"/>
    <cellStyle name="20% - 강조색2 4" xfId="11513"/>
    <cellStyle name="20% - 강조색2 4 2" xfId="11514"/>
    <cellStyle name="20% - 강조색2 4 3" xfId="11515"/>
    <cellStyle name="20% - 강조색2 4 4" xfId="11516"/>
    <cellStyle name="20% - 강조색2 5" xfId="11517"/>
    <cellStyle name="20% - 강조색2 6" xfId="11518"/>
    <cellStyle name="20% - 강조색2 7" xfId="11519"/>
    <cellStyle name="20% - 강조색2 8" xfId="11520"/>
    <cellStyle name="20% - 강조색2 9" xfId="11521"/>
    <cellStyle name="20% - 강조색3" xfId="11522"/>
    <cellStyle name="20% - 강조색3 10" xfId="11523"/>
    <cellStyle name="20% - 강조색3 11" xfId="11524"/>
    <cellStyle name="20% - 강조색3 12" xfId="11525"/>
    <cellStyle name="20% - 강조색3 13" xfId="11526"/>
    <cellStyle name="20% - 강조색3 14" xfId="11527"/>
    <cellStyle name="20% - 강조색3 2" xfId="11528"/>
    <cellStyle name="20% - 강조색3 2 2" xfId="11529"/>
    <cellStyle name="20% - 강조색3 2 2 2" xfId="11530"/>
    <cellStyle name="20% - 강조색3 2 2 3" xfId="11531"/>
    <cellStyle name="20% - 강조색3 2 2 4" xfId="11532"/>
    <cellStyle name="20% - 강조색3 2 3" xfId="11533"/>
    <cellStyle name="20% - 강조색3 2 3 2" xfId="11534"/>
    <cellStyle name="20% - 강조색3 2 3 3" xfId="11535"/>
    <cellStyle name="20% - 강조색3 2 3 4" xfId="11536"/>
    <cellStyle name="20% - 강조색3 2 4" xfId="11537"/>
    <cellStyle name="20% - 강조색3 2 5" xfId="11538"/>
    <cellStyle name="20% - 강조색3 2 6" xfId="11539"/>
    <cellStyle name="20% - 강조색3 2_master file" xfId="11540"/>
    <cellStyle name="20% - 강조색3 3" xfId="11541"/>
    <cellStyle name="20% - 강조색3 3 2" xfId="11542"/>
    <cellStyle name="20% - 강조색3 3 2 2" xfId="11543"/>
    <cellStyle name="20% - 강조색3 3 2 3" xfId="11544"/>
    <cellStyle name="20% - 강조색3 3 2 4" xfId="11545"/>
    <cellStyle name="20% - 강조색3 3 3" xfId="11546"/>
    <cellStyle name="20% - 강조색3 3 3 2" xfId="11547"/>
    <cellStyle name="20% - 강조색3 3 3 3" xfId="11548"/>
    <cellStyle name="20% - 강조색3 3 3 4" xfId="11549"/>
    <cellStyle name="20% - 강조색3 3 4" xfId="11550"/>
    <cellStyle name="20% - 강조색3 3 4 2" xfId="11551"/>
    <cellStyle name="20% - 강조색3 3 4 3" xfId="11552"/>
    <cellStyle name="20% - 강조색3 3 4 4" xfId="11553"/>
    <cellStyle name="20% - 강조색3 3 5" xfId="11554"/>
    <cellStyle name="20% - 강조색3 3 5 2" xfId="11555"/>
    <cellStyle name="20% - 강조색3 3 5 3" xfId="11556"/>
    <cellStyle name="20% - 강조색3 3 5 4" xfId="11557"/>
    <cellStyle name="20% - 강조색3 3 6" xfId="11558"/>
    <cellStyle name="20% - 강조색3 3 7" xfId="11559"/>
    <cellStyle name="20% - 강조색3 3 8" xfId="11560"/>
    <cellStyle name="20% - 강조색3 3_100927_1 '11 Q1 TEM 1st offer idea HQ1" xfId="11561"/>
    <cellStyle name="20% - 강조색3 4" xfId="11562"/>
    <cellStyle name="20% - 강조색3 4 2" xfId="11563"/>
    <cellStyle name="20% - 강조색3 4 3" xfId="11564"/>
    <cellStyle name="20% - 강조색3 4 4" xfId="11565"/>
    <cellStyle name="20% - 강조색3 5" xfId="11566"/>
    <cellStyle name="20% - 강조색3 6" xfId="11567"/>
    <cellStyle name="20% - 강조색3 7" xfId="11568"/>
    <cellStyle name="20% - 강조색3 8" xfId="11569"/>
    <cellStyle name="20% - 강조색3 9" xfId="11570"/>
    <cellStyle name="20% - 강조색4" xfId="11571"/>
    <cellStyle name="20% - 강조색4 10" xfId="11572"/>
    <cellStyle name="20% - 강조색4 11" xfId="11573"/>
    <cellStyle name="20% - 강조색4 12" xfId="11574"/>
    <cellStyle name="20% - 강조색4 13" xfId="11575"/>
    <cellStyle name="20% - 강조색4 14" xfId="11576"/>
    <cellStyle name="20% - 강조색4 2" xfId="11577"/>
    <cellStyle name="20% - 강조색4 2 2" xfId="11578"/>
    <cellStyle name="20% - 강조색4 2 2 2" xfId="11579"/>
    <cellStyle name="20% - 강조색4 2 2 3" xfId="11580"/>
    <cellStyle name="20% - 강조색4 2 2 4" xfId="11581"/>
    <cellStyle name="20% - 강조색4 2 3" xfId="11582"/>
    <cellStyle name="20% - 강조색4 2 3 2" xfId="11583"/>
    <cellStyle name="20% - 강조색4 2 3 3" xfId="11584"/>
    <cellStyle name="20% - 강조색4 2 3 4" xfId="11585"/>
    <cellStyle name="20% - 강조색4 2 4" xfId="11586"/>
    <cellStyle name="20% - 강조색4 2 5" xfId="11587"/>
    <cellStyle name="20% - 강조색4 2 6" xfId="11588"/>
    <cellStyle name="20% - 강조색4 2_master file" xfId="11589"/>
    <cellStyle name="20% - 강조색4 3" xfId="11590"/>
    <cellStyle name="20% - 강조색4 3 2" xfId="11591"/>
    <cellStyle name="20% - 강조색4 3 2 2" xfId="11592"/>
    <cellStyle name="20% - 강조색4 3 2 3" xfId="11593"/>
    <cellStyle name="20% - 강조색4 3 2 4" xfId="11594"/>
    <cellStyle name="20% - 강조색4 3 3" xfId="11595"/>
    <cellStyle name="20% - 강조색4 3 3 2" xfId="11596"/>
    <cellStyle name="20% - 강조색4 3 3 3" xfId="11597"/>
    <cellStyle name="20% - 강조색4 3 3 4" xfId="11598"/>
    <cellStyle name="20% - 강조색4 3 4" xfId="11599"/>
    <cellStyle name="20% - 강조색4 3 4 2" xfId="11600"/>
    <cellStyle name="20% - 강조색4 3 4 3" xfId="11601"/>
    <cellStyle name="20% - 강조색4 3 4 4" xfId="11602"/>
    <cellStyle name="20% - 강조색4 3 5" xfId="11603"/>
    <cellStyle name="20% - 강조색4 3 5 2" xfId="11604"/>
    <cellStyle name="20% - 강조색4 3 5 3" xfId="11605"/>
    <cellStyle name="20% - 강조색4 3 5 4" xfId="11606"/>
    <cellStyle name="20% - 강조색4 3 6" xfId="11607"/>
    <cellStyle name="20% - 강조색4 3 7" xfId="11608"/>
    <cellStyle name="20% - 강조색4 3 8" xfId="11609"/>
    <cellStyle name="20% - 강조색4 3_100927_1 '11 Q1 TEM 1st offer idea HQ1" xfId="11610"/>
    <cellStyle name="20% - 강조색4 4" xfId="11611"/>
    <cellStyle name="20% - 강조색4 4 2" xfId="11612"/>
    <cellStyle name="20% - 강조색4 4 3" xfId="11613"/>
    <cellStyle name="20% - 강조색4 4 4" xfId="11614"/>
    <cellStyle name="20% - 강조색4 5" xfId="11615"/>
    <cellStyle name="20% - 강조색4 6" xfId="11616"/>
    <cellStyle name="20% - 강조색4 7" xfId="11617"/>
    <cellStyle name="20% - 강조색4 8" xfId="11618"/>
    <cellStyle name="20% - 강조색4 9" xfId="11619"/>
    <cellStyle name="20% - 강조색5" xfId="11620"/>
    <cellStyle name="20% - 강조색5 10" xfId="11621"/>
    <cellStyle name="20% - 강조색5 11" xfId="11622"/>
    <cellStyle name="20% - 강조색5 12" xfId="11623"/>
    <cellStyle name="20% - 강조색5 13" xfId="11624"/>
    <cellStyle name="20% - 강조색5 14" xfId="11625"/>
    <cellStyle name="20% - 강조색5 2" xfId="11626"/>
    <cellStyle name="20% - 강조색5 2 2" xfId="11627"/>
    <cellStyle name="20% - 강조색5 2 2 2" xfId="11628"/>
    <cellStyle name="20% - 강조색5 2 2 3" xfId="11629"/>
    <cellStyle name="20% - 강조색5 2 2 4" xfId="11630"/>
    <cellStyle name="20% - 강조색5 2 3" xfId="11631"/>
    <cellStyle name="20% - 강조색5 2 3 2" xfId="11632"/>
    <cellStyle name="20% - 강조색5 2 3 3" xfId="11633"/>
    <cellStyle name="20% - 강조색5 2 3 4" xfId="11634"/>
    <cellStyle name="20% - 강조색5 2 4" xfId="11635"/>
    <cellStyle name="20% - 강조색5 2 5" xfId="11636"/>
    <cellStyle name="20% - 강조색5 2 6" xfId="11637"/>
    <cellStyle name="20% - 강조색5 2_master file" xfId="11638"/>
    <cellStyle name="20% - 강조색5 3" xfId="11639"/>
    <cellStyle name="20% - 강조색5 3 2" xfId="11640"/>
    <cellStyle name="20% - 강조색5 3 2 2" xfId="11641"/>
    <cellStyle name="20% - 강조색5 3 2 3" xfId="11642"/>
    <cellStyle name="20% - 강조색5 3 2 4" xfId="11643"/>
    <cellStyle name="20% - 강조색5 3 3" xfId="11644"/>
    <cellStyle name="20% - 강조색5 3 3 2" xfId="11645"/>
    <cellStyle name="20% - 강조색5 3 3 3" xfId="11646"/>
    <cellStyle name="20% - 강조색5 3 3 4" xfId="11647"/>
    <cellStyle name="20% - 강조색5 3 4" xfId="11648"/>
    <cellStyle name="20% - 강조색5 3 4 2" xfId="11649"/>
    <cellStyle name="20% - 강조색5 3 4 3" xfId="11650"/>
    <cellStyle name="20% - 강조색5 3 4 4" xfId="11651"/>
    <cellStyle name="20% - 강조색5 3 5" xfId="11652"/>
    <cellStyle name="20% - 강조색5 3 5 2" xfId="11653"/>
    <cellStyle name="20% - 강조색5 3 5 3" xfId="11654"/>
    <cellStyle name="20% - 강조색5 3 5 4" xfId="11655"/>
    <cellStyle name="20% - 강조색5 3 6" xfId="11656"/>
    <cellStyle name="20% - 강조색5 3 7" xfId="11657"/>
    <cellStyle name="20% - 강조색5 3 8" xfId="11658"/>
    <cellStyle name="20% - 강조색5 3_100927_1 '11 Q1 TEM 1st offer idea HQ1" xfId="11659"/>
    <cellStyle name="20% - 강조색5 4" xfId="11660"/>
    <cellStyle name="20% - 강조색5 4 2" xfId="11661"/>
    <cellStyle name="20% - 강조색5 4 3" xfId="11662"/>
    <cellStyle name="20% - 강조색5 4 4" xfId="11663"/>
    <cellStyle name="20% - 강조색5 5" xfId="11664"/>
    <cellStyle name="20% - 강조색5 6" xfId="11665"/>
    <cellStyle name="20% - 강조색5 7" xfId="11666"/>
    <cellStyle name="20% - 강조색5 8" xfId="11667"/>
    <cellStyle name="20% - 강조색5 9" xfId="11668"/>
    <cellStyle name="20% - 강조색6" xfId="11669"/>
    <cellStyle name="20% - 강조색6 10" xfId="11670"/>
    <cellStyle name="20% - 강조색6 11" xfId="11671"/>
    <cellStyle name="20% - 강조색6 12" xfId="11672"/>
    <cellStyle name="20% - 강조색6 13" xfId="11673"/>
    <cellStyle name="20% - 강조색6 14" xfId="11674"/>
    <cellStyle name="20% - 강조색6 2" xfId="11675"/>
    <cellStyle name="20% - 강조색6 2 2" xfId="11676"/>
    <cellStyle name="20% - 강조색6 2 2 2" xfId="11677"/>
    <cellStyle name="20% - 강조색6 2 2 3" xfId="11678"/>
    <cellStyle name="20% - 강조색6 2 2 4" xfId="11679"/>
    <cellStyle name="20% - 강조색6 2 3" xfId="11680"/>
    <cellStyle name="20% - 강조색6 2 3 2" xfId="11681"/>
    <cellStyle name="20% - 강조색6 2 3 3" xfId="11682"/>
    <cellStyle name="20% - 강조색6 2 3 4" xfId="11683"/>
    <cellStyle name="20% - 강조색6 2 4" xfId="11684"/>
    <cellStyle name="20% - 강조색6 2 5" xfId="11685"/>
    <cellStyle name="20% - 강조색6 2 6" xfId="11686"/>
    <cellStyle name="20% - 강조색6 2_master file" xfId="11687"/>
    <cellStyle name="20% - 강조색6 3" xfId="11688"/>
    <cellStyle name="20% - 강조색6 3 2" xfId="11689"/>
    <cellStyle name="20% - 강조색6 3 2 2" xfId="11690"/>
    <cellStyle name="20% - 강조색6 3 2 3" xfId="11691"/>
    <cellStyle name="20% - 강조색6 3 2 4" xfId="11692"/>
    <cellStyle name="20% - 강조색6 3 3" xfId="11693"/>
    <cellStyle name="20% - 강조색6 3 3 2" xfId="11694"/>
    <cellStyle name="20% - 강조색6 3 3 3" xfId="11695"/>
    <cellStyle name="20% - 강조색6 3 3 4" xfId="11696"/>
    <cellStyle name="20% - 강조색6 3 4" xfId="11697"/>
    <cellStyle name="20% - 강조색6 3 4 2" xfId="11698"/>
    <cellStyle name="20% - 강조색6 3 4 3" xfId="11699"/>
    <cellStyle name="20% - 강조색6 3 4 4" xfId="11700"/>
    <cellStyle name="20% - 강조색6 3 5" xfId="11701"/>
    <cellStyle name="20% - 강조색6 3 5 2" xfId="11702"/>
    <cellStyle name="20% - 강조색6 3 5 3" xfId="11703"/>
    <cellStyle name="20% - 강조색6 3 5 4" xfId="11704"/>
    <cellStyle name="20% - 강조색6 3 6" xfId="11705"/>
    <cellStyle name="20% - 강조색6 3 7" xfId="11706"/>
    <cellStyle name="20% - 강조색6 3 8" xfId="11707"/>
    <cellStyle name="20% - 강조색6 3_100927_1 '11 Q1 TEM 1st offer idea HQ1" xfId="11708"/>
    <cellStyle name="20% - 강조색6 4" xfId="11709"/>
    <cellStyle name="20% - 강조색6 4 2" xfId="11710"/>
    <cellStyle name="20% - 강조색6 4 3" xfId="11711"/>
    <cellStyle name="20% - 강조색6 4 4" xfId="11712"/>
    <cellStyle name="20% - 강조색6 5" xfId="11713"/>
    <cellStyle name="20% - 강조색6 6" xfId="11714"/>
    <cellStyle name="20% - 강조색6 7" xfId="11715"/>
    <cellStyle name="20% - 강조색6 8" xfId="11716"/>
    <cellStyle name="20% - 강조색6 9" xfId="11717"/>
    <cellStyle name="20% - 强调文字颜色 1" xfId="11718"/>
    <cellStyle name="20% - 强调文字颜色 1 2" xfId="11719"/>
    <cellStyle name="20% - 强调文字颜色 1 2 2" xfId="11720"/>
    <cellStyle name="20% - 强调文字颜色 1 2 3" xfId="11721"/>
    <cellStyle name="20% - 强调文字颜色 1 2_w17_DP_LATAM_100428" xfId="11722"/>
    <cellStyle name="20% - 强调文字颜色 1 3" xfId="11723"/>
    <cellStyle name="20% - 强调文字颜色 1 3 2" xfId="11724"/>
    <cellStyle name="20% - 强调文字颜色 1 3 3" xfId="11725"/>
    <cellStyle name="20% - 强调文字颜色 1 3_w17_DP_LATAM_100428" xfId="11726"/>
    <cellStyle name="20% - 强调文字颜色 1 4" xfId="11727"/>
    <cellStyle name="20% - 强调文字颜色 1 4 2" xfId="11728"/>
    <cellStyle name="20% - 强调文字颜色 1 4 3" xfId="11729"/>
    <cellStyle name="20% - 强调文字颜色 1 4_w17_DP_LATAM_100428" xfId="11730"/>
    <cellStyle name="20% - 强调文字颜色 1 5" xfId="11731"/>
    <cellStyle name="20% - 强调文字颜色 1 5 2" xfId="11732"/>
    <cellStyle name="20% - 强调文字颜色 1 5 3" xfId="11733"/>
    <cellStyle name="20% - 强调文字颜色 1 5_w17_DP_LATAM_100428" xfId="11734"/>
    <cellStyle name="20% - 强调文字颜色 1 6" xfId="11735"/>
    <cellStyle name="20% - 强调文字颜色 1 6 2" xfId="11736"/>
    <cellStyle name="20% - 强调文字颜色 1 6 3" xfId="11737"/>
    <cellStyle name="20% - 强调文字颜色 1 6_w17_DP_LATAM_100428" xfId="11738"/>
    <cellStyle name="20% - 强调文字颜色 1 7" xfId="11739"/>
    <cellStyle name="20% - 强调文字颜色 1 7 2" xfId="11740"/>
    <cellStyle name="20% - 强调文字颜色 1 7 3" xfId="11741"/>
    <cellStyle name="20% - 强调文字颜色 1 7_w17_DP_LATAM_100428" xfId="11742"/>
    <cellStyle name="20% - 强调文字颜色 1 8" xfId="11743"/>
    <cellStyle name="20% - 强调文字颜色 1 9" xfId="11744"/>
    <cellStyle name="20% - 强调文字颜色 1_w17_DP_LATAM_100428" xfId="11745"/>
    <cellStyle name="20% - 强调文字颜色 2" xfId="11746"/>
    <cellStyle name="20% - 强调文字颜色 2 2" xfId="11747"/>
    <cellStyle name="20% - 强调文字颜色 2 2 2" xfId="11748"/>
    <cellStyle name="20% - 强调文字颜色 2 2 3" xfId="11749"/>
    <cellStyle name="20% - 强调文字颜色 2 2_w17_DP_LATAM_100428" xfId="11750"/>
    <cellStyle name="20% - 强调文字颜色 2 3" xfId="11751"/>
    <cellStyle name="20% - 强调文字颜色 2 3 2" xfId="11752"/>
    <cellStyle name="20% - 强调文字颜色 2 3 3" xfId="11753"/>
    <cellStyle name="20% - 强调文字颜色 2 3_w17_DP_LATAM_100428" xfId="11754"/>
    <cellStyle name="20% - 强调文字颜色 2 4" xfId="11755"/>
    <cellStyle name="20% - 强调文字颜色 2 4 2" xfId="11756"/>
    <cellStyle name="20% - 强调文字颜色 2 4 3" xfId="11757"/>
    <cellStyle name="20% - 强调文字颜色 2 4_w17_DP_LATAM_100428" xfId="11758"/>
    <cellStyle name="20% - 强调文字颜色 2 5" xfId="11759"/>
    <cellStyle name="20% - 强调文字颜色 2 5 2" xfId="11760"/>
    <cellStyle name="20% - 强调文字颜色 2 5 3" xfId="11761"/>
    <cellStyle name="20% - 强调文字颜色 2 5_w17_DP_LATAM_100428" xfId="11762"/>
    <cellStyle name="20% - 强调文字颜色 2 6" xfId="11763"/>
    <cellStyle name="20% - 强调文字颜色 2 6 2" xfId="11764"/>
    <cellStyle name="20% - 强调文字颜色 2 6 3" xfId="11765"/>
    <cellStyle name="20% - 强调文字颜色 2 6_w17_DP_LATAM_100428" xfId="11766"/>
    <cellStyle name="20% - 强调文字颜色 2 7" xfId="11767"/>
    <cellStyle name="20% - 强调文字颜色 2 7 2" xfId="11768"/>
    <cellStyle name="20% - 强调文字颜色 2 7 3" xfId="11769"/>
    <cellStyle name="20% - 强调文字颜色 2 7_w17_DP_LATAM_100428" xfId="11770"/>
    <cellStyle name="20% - 强调文字颜色 2 8" xfId="11771"/>
    <cellStyle name="20% - 强调文字颜色 2 9" xfId="11772"/>
    <cellStyle name="20% - 强调文字颜色 2_w17_DP_LATAM_100428" xfId="11773"/>
    <cellStyle name="20% - 强调文字颜色 3" xfId="11774"/>
    <cellStyle name="20% - 强调文字颜色 3 2" xfId="11775"/>
    <cellStyle name="20% - 强调文字颜色 3 2 2" xfId="11776"/>
    <cellStyle name="20% - 强调文字颜色 3 2 3" xfId="11777"/>
    <cellStyle name="20% - 强调文字颜色 3 2_w17_DP_LATAM_100428" xfId="11778"/>
    <cellStyle name="20% - 强调文字颜色 3 3" xfId="11779"/>
    <cellStyle name="20% - 强调文字颜色 3 3 2" xfId="11780"/>
    <cellStyle name="20% - 强调文字颜色 3 3 3" xfId="11781"/>
    <cellStyle name="20% - 强调文字颜色 3 3_w17_DP_LATAM_100428" xfId="11782"/>
    <cellStyle name="20% - 强调文字颜色 3 4" xfId="11783"/>
    <cellStyle name="20% - 强调文字颜色 3 4 2" xfId="11784"/>
    <cellStyle name="20% - 强调文字颜色 3 4 3" xfId="11785"/>
    <cellStyle name="20% - 强调文字颜色 3 4_w17_DP_LATAM_100428" xfId="11786"/>
    <cellStyle name="20% - 强调文字颜色 3 5" xfId="11787"/>
    <cellStyle name="20% - 强调文字颜色 3 5 2" xfId="11788"/>
    <cellStyle name="20% - 强调文字颜色 3 5 3" xfId="11789"/>
    <cellStyle name="20% - 强调文字颜色 3 5_w17_DP_LATAM_100428" xfId="11790"/>
    <cellStyle name="20% - 强调文字颜色 3 6" xfId="11791"/>
    <cellStyle name="20% - 强调文字颜色 3 6 2" xfId="11792"/>
    <cellStyle name="20% - 强调文字颜色 3 6 3" xfId="11793"/>
    <cellStyle name="20% - 强调文字颜色 3 6_w17_DP_LATAM_100428" xfId="11794"/>
    <cellStyle name="20% - 强调文字颜色 3 7" xfId="11795"/>
    <cellStyle name="20% - 强调文字颜色 3 7 2" xfId="11796"/>
    <cellStyle name="20% - 强调文字颜色 3 7 3" xfId="11797"/>
    <cellStyle name="20% - 强调文字颜色 3 7_w17_DP_LATAM_100428" xfId="11798"/>
    <cellStyle name="20% - 强调文字颜色 3 8" xfId="11799"/>
    <cellStyle name="20% - 强调文字颜色 3 9" xfId="11800"/>
    <cellStyle name="20% - 强调文字颜色 3_w17_DP_LATAM_100428" xfId="11801"/>
    <cellStyle name="20% - 强调文字颜色 4" xfId="11802"/>
    <cellStyle name="20% - 强调文字颜色 4 2" xfId="11803"/>
    <cellStyle name="20% - 强调文字颜色 4 2 2" xfId="11804"/>
    <cellStyle name="20% - 强调文字颜色 4 2 3" xfId="11805"/>
    <cellStyle name="20% - 强调文字颜色 4 2_w17_DP_LATAM_100428" xfId="11806"/>
    <cellStyle name="20% - 强调文字颜色 4 3" xfId="11807"/>
    <cellStyle name="20% - 强调文字颜色 4 3 2" xfId="11808"/>
    <cellStyle name="20% - 强调文字颜色 4 3 3" xfId="11809"/>
    <cellStyle name="20% - 强调文字颜色 4 3_w17_DP_LATAM_100428" xfId="11810"/>
    <cellStyle name="20% - 强调文字颜色 4 4" xfId="11811"/>
    <cellStyle name="20% - 强调文字颜色 4 4 2" xfId="11812"/>
    <cellStyle name="20% - 强调文字颜色 4 4 3" xfId="11813"/>
    <cellStyle name="20% - 强调文字颜色 4 4_w17_DP_LATAM_100428" xfId="11814"/>
    <cellStyle name="20% - 强调文字颜色 4 5" xfId="11815"/>
    <cellStyle name="20% - 强调文字颜色 4 5 2" xfId="11816"/>
    <cellStyle name="20% - 强调文字颜色 4 5 3" xfId="11817"/>
    <cellStyle name="20% - 强调文字颜色 4 5_w17_DP_LATAM_100428" xfId="11818"/>
    <cellStyle name="20% - 强调文字颜色 4 6" xfId="11819"/>
    <cellStyle name="20% - 强调文字颜色 4 6 2" xfId="11820"/>
    <cellStyle name="20% - 强调文字颜色 4 6 3" xfId="11821"/>
    <cellStyle name="20% - 强调文字颜色 4 6_w17_DP_LATAM_100428" xfId="11822"/>
    <cellStyle name="20% - 强调文字颜色 4 7" xfId="11823"/>
    <cellStyle name="20% - 强调文字颜色 4 7 2" xfId="11824"/>
    <cellStyle name="20% - 强调文字颜色 4 7 3" xfId="11825"/>
    <cellStyle name="20% - 强调文字颜色 4 7_w17_DP_LATAM_100428" xfId="11826"/>
    <cellStyle name="20% - 强调文字颜色 4 8" xfId="11827"/>
    <cellStyle name="20% - 强调文字颜色 4 9" xfId="11828"/>
    <cellStyle name="20% - 强调文字颜色 4_w17_DP_LATAM_100428" xfId="11829"/>
    <cellStyle name="20% - 强调文字颜色 5" xfId="11830"/>
    <cellStyle name="20% - 强调文字颜色 5 2" xfId="11831"/>
    <cellStyle name="20% - 强调文字颜色 5 2 2" xfId="11832"/>
    <cellStyle name="20% - 强调文字颜色 5 2 3" xfId="11833"/>
    <cellStyle name="20% - 强调文字颜色 5 2_w17_DP_LATAM_100428" xfId="11834"/>
    <cellStyle name="20% - 强调文字颜色 5 3" xfId="11835"/>
    <cellStyle name="20% - 强调文字颜色 5 3 2" xfId="11836"/>
    <cellStyle name="20% - 强调文字颜色 5 3 3" xfId="11837"/>
    <cellStyle name="20% - 强调文字颜色 5 3_w17_DP_LATAM_100428" xfId="11838"/>
    <cellStyle name="20% - 强调文字颜色 5 4" xfId="11839"/>
    <cellStyle name="20% - 强调文字颜色 5 4 2" xfId="11840"/>
    <cellStyle name="20% - 强调文字颜色 5 4 3" xfId="11841"/>
    <cellStyle name="20% - 强调文字颜色 5 4_w17_DP_LATAM_100428" xfId="11842"/>
    <cellStyle name="20% - 强调文字颜色 5 5" xfId="11843"/>
    <cellStyle name="20% - 强调文字颜色 5 5 2" xfId="11844"/>
    <cellStyle name="20% - 强调文字颜色 5 5 3" xfId="11845"/>
    <cellStyle name="20% - 强调文字颜色 5 5_w17_DP_LATAM_100428" xfId="11846"/>
    <cellStyle name="20% - 强调文字颜色 5 6" xfId="11847"/>
    <cellStyle name="20% - 强调文字颜色 5 6 2" xfId="11848"/>
    <cellStyle name="20% - 强调文字颜色 5 6 3" xfId="11849"/>
    <cellStyle name="20% - 强调文字颜色 5 6_w17_DP_LATAM_100428" xfId="11850"/>
    <cellStyle name="20% - 强调文字颜色 5 7" xfId="11851"/>
    <cellStyle name="20% - 强调文字颜色 5 7 2" xfId="11852"/>
    <cellStyle name="20% - 强调文字颜色 5 7 3" xfId="11853"/>
    <cellStyle name="20% - 强调文字颜色 5 7_w17_DP_LATAM_100428" xfId="11854"/>
    <cellStyle name="20% - 强调文字颜色 5 8" xfId="11855"/>
    <cellStyle name="20% - 强调文字颜色 5 9" xfId="11856"/>
    <cellStyle name="20% - 强调文字颜色 5_w17_DP_LATAM_100428" xfId="11857"/>
    <cellStyle name="20% - 强调文字颜色 6" xfId="11858"/>
    <cellStyle name="20% - 强调文字颜色 6 2" xfId="11859"/>
    <cellStyle name="20% - 强调文字颜色 6 2 2" xfId="11860"/>
    <cellStyle name="20% - 强调文字颜色 6 2 3" xfId="11861"/>
    <cellStyle name="20% - 强调文字颜色 6 2_w17_DP_LATAM_100428" xfId="11862"/>
    <cellStyle name="20% - 强调文字颜色 6 3" xfId="11863"/>
    <cellStyle name="20% - 强调文字颜色 6 3 2" xfId="11864"/>
    <cellStyle name="20% - 强调文字颜色 6 3 3" xfId="11865"/>
    <cellStyle name="20% - 强调文字颜色 6 3_w17_DP_LATAM_100428" xfId="11866"/>
    <cellStyle name="20% - 强调文字颜色 6 4" xfId="11867"/>
    <cellStyle name="20% - 强调文字颜色 6 4 2" xfId="11868"/>
    <cellStyle name="20% - 强调文字颜色 6 4 3" xfId="11869"/>
    <cellStyle name="20% - 强调文字颜色 6 4_w17_DP_LATAM_100428" xfId="11870"/>
    <cellStyle name="20% - 强调文字颜色 6 5" xfId="11871"/>
    <cellStyle name="20% - 强调文字颜色 6 5 2" xfId="11872"/>
    <cellStyle name="20% - 强调文字颜色 6 5 3" xfId="11873"/>
    <cellStyle name="20% - 强调文字颜色 6 5_w17_DP_LATAM_100428" xfId="11874"/>
    <cellStyle name="20% - 强调文字颜色 6 6" xfId="11875"/>
    <cellStyle name="20% - 强调文字颜色 6 6 2" xfId="11876"/>
    <cellStyle name="20% - 强调文字颜色 6 6 3" xfId="11877"/>
    <cellStyle name="20% - 强调文字颜色 6 6_w17_DP_LATAM_100428" xfId="11878"/>
    <cellStyle name="20% - 强调文字颜色 6 7" xfId="11879"/>
    <cellStyle name="20% - 强调文字颜色 6 7 2" xfId="11880"/>
    <cellStyle name="20% - 强调文字颜色 6 7 3" xfId="11881"/>
    <cellStyle name="20% - 强调文字颜色 6 7_w17_DP_LATAM_100428" xfId="11882"/>
    <cellStyle name="20% - 强调文字颜色 6 8" xfId="11883"/>
    <cellStyle name="20% - 强调文字颜色 6 9" xfId="11884"/>
    <cellStyle name="20% - 强调文字颜色 6_w17_DP_LATAM_100428" xfId="11885"/>
    <cellStyle name="2o.nível" xfId="11886"/>
    <cellStyle name="40% - Accent1" xfId="11887"/>
    <cellStyle name="40% - Accent1 2" xfId="11888"/>
    <cellStyle name="40% - Accent1 3" xfId="11889"/>
    <cellStyle name="40% - Accent1 4" xfId="11890"/>
    <cellStyle name="40% - Accent1 5" xfId="11891"/>
    <cellStyle name="40% - Accent1 6" xfId="11892"/>
    <cellStyle name="40% - Accent1 7" xfId="11893"/>
    <cellStyle name="40% - Accent1 8" xfId="11894"/>
    <cellStyle name="40% - Accent1 9" xfId="11895"/>
    <cellStyle name="40% - Accent1_Indicador_Fixo_R1 e R2 (Prévia)" xfId="11896"/>
    <cellStyle name="40% - Accent2" xfId="11897"/>
    <cellStyle name="40% - Accent2 2" xfId="11898"/>
    <cellStyle name="40% - Accent2 3" xfId="11899"/>
    <cellStyle name="40% - Accent2 4" xfId="11900"/>
    <cellStyle name="40% - Accent2 5" xfId="11901"/>
    <cellStyle name="40% - Accent2 6" xfId="11902"/>
    <cellStyle name="40% - Accent2 7" xfId="11903"/>
    <cellStyle name="40% - Accent2 8" xfId="11904"/>
    <cellStyle name="40% - Accent2_Indicador_Fixo_R1 e R2 (Prévia)" xfId="11905"/>
    <cellStyle name="40% - Accent3" xfId="11906"/>
    <cellStyle name="40% - Accent3 2" xfId="11907"/>
    <cellStyle name="40% - Accent3 3" xfId="11908"/>
    <cellStyle name="40% - Accent3 4" xfId="11909"/>
    <cellStyle name="40% - Accent3 5" xfId="11910"/>
    <cellStyle name="40% - Accent3 6" xfId="11911"/>
    <cellStyle name="40% - Accent3 7" xfId="11912"/>
    <cellStyle name="40% - Accent3 8" xfId="11913"/>
    <cellStyle name="40% - Accent3 9" xfId="11914"/>
    <cellStyle name="40% - Accent3_Indicador_Fixo_R1 e R2 (Prévia)" xfId="11915"/>
    <cellStyle name="40% - Accent4" xfId="11916"/>
    <cellStyle name="40% - Accent4 2" xfId="11917"/>
    <cellStyle name="40% - Accent4 3" xfId="11918"/>
    <cellStyle name="40% - Accent4 4" xfId="11919"/>
    <cellStyle name="40% - Accent4 5" xfId="11920"/>
    <cellStyle name="40% - Accent4 6" xfId="11921"/>
    <cellStyle name="40% - Accent4 7" xfId="11922"/>
    <cellStyle name="40% - Accent4 8" xfId="11923"/>
    <cellStyle name="40% - Accent4 9" xfId="11924"/>
    <cellStyle name="40% - Accent4_Indicador_Fixo_R1 e R2 (Prévia)" xfId="11925"/>
    <cellStyle name="40% - Accent5" xfId="11926"/>
    <cellStyle name="40% - Accent5 2" xfId="11927"/>
    <cellStyle name="40% - Accent5 3" xfId="11928"/>
    <cellStyle name="40% - Accent5 4" xfId="11929"/>
    <cellStyle name="40% - Accent5 5" xfId="11930"/>
    <cellStyle name="40% - Accent5 6" xfId="11931"/>
    <cellStyle name="40% - Accent5 7" xfId="11932"/>
    <cellStyle name="40% - Accent5 8" xfId="11933"/>
    <cellStyle name="40% - Accent5_Indicador_Fixo_R1 e R2 (Prévia)" xfId="11934"/>
    <cellStyle name="40% - Accent6" xfId="11935"/>
    <cellStyle name="40% - Accent6 2" xfId="11936"/>
    <cellStyle name="40% - Accent6 3" xfId="11937"/>
    <cellStyle name="40% - Accent6 4" xfId="11938"/>
    <cellStyle name="40% - Accent6 5" xfId="11939"/>
    <cellStyle name="40% - Accent6 6" xfId="11940"/>
    <cellStyle name="40% - Accent6 7" xfId="11941"/>
    <cellStyle name="40% - Accent6 8" xfId="11942"/>
    <cellStyle name="40% - Accent6 9" xfId="11943"/>
    <cellStyle name="40% - Accent6_Indicador_Fixo_R1 e R2 (Prévia)" xfId="11944"/>
    <cellStyle name="40% - Ênfase1 10" xfId="11945"/>
    <cellStyle name="40% - Ênfase1 11" xfId="11946"/>
    <cellStyle name="40% - Ênfase1 12" xfId="11947"/>
    <cellStyle name="40% - Ênfase1 13" xfId="11948"/>
    <cellStyle name="40% - Ênfase1 14" xfId="11949"/>
    <cellStyle name="40% - Ênfase1 2" xfId="11950"/>
    <cellStyle name="40% - Ênfase1 2 2" xfId="11951"/>
    <cellStyle name="40% - Ênfase1 2 3" xfId="11952"/>
    <cellStyle name="40% - Ênfase1 2 4" xfId="11953"/>
    <cellStyle name="40% - Ênfase1 2 5" xfId="11954"/>
    <cellStyle name="40% - Ênfase1 3" xfId="11955"/>
    <cellStyle name="40% - Ênfase1 3 2" xfId="11956"/>
    <cellStyle name="40% - Ênfase1 4" xfId="11957"/>
    <cellStyle name="40% - Ênfase1 4 2" xfId="11958"/>
    <cellStyle name="40% - Ênfase1 5" xfId="11959"/>
    <cellStyle name="40% - Ênfase1 5 2" xfId="11960"/>
    <cellStyle name="40% - Ênfase1 6" xfId="11961"/>
    <cellStyle name="40% - Ênfase1 6 2" xfId="11962"/>
    <cellStyle name="40% - Ênfase1 7" xfId="11963"/>
    <cellStyle name="40% - Ênfase1 7 2" xfId="11964"/>
    <cellStyle name="40% - Ênfase1 8" xfId="11965"/>
    <cellStyle name="40% - Ênfase1 8 2" xfId="11966"/>
    <cellStyle name="40% - Ênfase1 9" xfId="11967"/>
    <cellStyle name="40% - Ênfase2 10" xfId="11968"/>
    <cellStyle name="40% - Ênfase2 11" xfId="11969"/>
    <cellStyle name="40% - Ênfase2 12" xfId="11970"/>
    <cellStyle name="40% - Ênfase2 13" xfId="11971"/>
    <cellStyle name="40% - Ênfase2 14" xfId="11972"/>
    <cellStyle name="40% - Ênfase2 2" xfId="11973"/>
    <cellStyle name="40% - Ênfase2 2 2" xfId="11974"/>
    <cellStyle name="40% - Ênfase2 2 3" xfId="11975"/>
    <cellStyle name="40% - Ênfase2 3" xfId="11976"/>
    <cellStyle name="40% - Ênfase2 3 2" xfId="11977"/>
    <cellStyle name="40% - Ênfase2 4" xfId="11978"/>
    <cellStyle name="40% - Ênfase2 4 2" xfId="11979"/>
    <cellStyle name="40% - Ênfase2 5" xfId="11980"/>
    <cellStyle name="40% - Ênfase2 5 2" xfId="11981"/>
    <cellStyle name="40% - Ênfase2 6" xfId="11982"/>
    <cellStyle name="40% - Ênfase2 6 2" xfId="11983"/>
    <cellStyle name="40% - Ênfase2 7" xfId="11984"/>
    <cellStyle name="40% - Ênfase2 7 2" xfId="11985"/>
    <cellStyle name="40% - Ênfase2 8" xfId="11986"/>
    <cellStyle name="40% - Ênfase2 8 2" xfId="11987"/>
    <cellStyle name="40% - Ênfase2 9" xfId="11988"/>
    <cellStyle name="40% - Ênfase3 10" xfId="11989"/>
    <cellStyle name="40% - Ênfase3 11" xfId="11990"/>
    <cellStyle name="40% - Ênfase3 12" xfId="11991"/>
    <cellStyle name="40% - Ênfase3 13" xfId="11992"/>
    <cellStyle name="40% - Ênfase3 14" xfId="11993"/>
    <cellStyle name="40% - Ênfase3 2" xfId="11994"/>
    <cellStyle name="40% - Ênfase3 2 2" xfId="11995"/>
    <cellStyle name="40% - Ênfase3 2 3" xfId="11996"/>
    <cellStyle name="40% - Ênfase3 3" xfId="11997"/>
    <cellStyle name="40% - Ênfase3 3 2" xfId="11998"/>
    <cellStyle name="40% - Ênfase3 4" xfId="11999"/>
    <cellStyle name="40% - Ênfase3 4 2" xfId="12000"/>
    <cellStyle name="40% - Ênfase3 5" xfId="12001"/>
    <cellStyle name="40% - Ênfase3 5 2" xfId="12002"/>
    <cellStyle name="40% - Ênfase3 6" xfId="12003"/>
    <cellStyle name="40% - Ênfase3 6 2" xfId="12004"/>
    <cellStyle name="40% - Ênfase3 7" xfId="12005"/>
    <cellStyle name="40% - Ênfase3 7 2" xfId="12006"/>
    <cellStyle name="40% - Ênfase3 8" xfId="12007"/>
    <cellStyle name="40% - Ênfase3 8 2" xfId="12008"/>
    <cellStyle name="40% - Ênfase3 9" xfId="12009"/>
    <cellStyle name="40% - Ênfase4 10" xfId="12010"/>
    <cellStyle name="40% - Ênfase4 11" xfId="12011"/>
    <cellStyle name="40% - Ênfase4 12" xfId="12012"/>
    <cellStyle name="40% - Ênfase4 13" xfId="12013"/>
    <cellStyle name="40% - Ênfase4 14" xfId="12014"/>
    <cellStyle name="40% - Ênfase4 2" xfId="12015"/>
    <cellStyle name="40% - Ênfase4 2 2" xfId="12016"/>
    <cellStyle name="40% - Ênfase4 2 3" xfId="12017"/>
    <cellStyle name="40% - Ênfase4 3" xfId="12018"/>
    <cellStyle name="40% - Ênfase4 3 2" xfId="12019"/>
    <cellStyle name="40% - Ênfase4 4" xfId="12020"/>
    <cellStyle name="40% - Ênfase4 4 2" xfId="12021"/>
    <cellStyle name="40% - Ênfase4 5" xfId="12022"/>
    <cellStyle name="40% - Ênfase4 5 2" xfId="12023"/>
    <cellStyle name="40% - Ênfase4 6" xfId="12024"/>
    <cellStyle name="40% - Ênfase4 6 2" xfId="12025"/>
    <cellStyle name="40% - Ênfase4 7" xfId="12026"/>
    <cellStyle name="40% - Ênfase4 7 2" xfId="12027"/>
    <cellStyle name="40% - Ênfase4 8" xfId="12028"/>
    <cellStyle name="40% - Ênfase4 8 2" xfId="12029"/>
    <cellStyle name="40% - Ênfase4 9" xfId="12030"/>
    <cellStyle name="40% - Ênfase5 10" xfId="12031"/>
    <cellStyle name="40% - Ênfase5 11" xfId="12032"/>
    <cellStyle name="40% - Ênfase5 12" xfId="12033"/>
    <cellStyle name="40% - Ênfase5 13" xfId="12034"/>
    <cellStyle name="40% - Ênfase5 14" xfId="12035"/>
    <cellStyle name="40% - Ênfase5 2" xfId="12036"/>
    <cellStyle name="40% - Ênfase5 2 2" xfId="12037"/>
    <cellStyle name="40% - Ênfase5 2 3" xfId="12038"/>
    <cellStyle name="40% - Ênfase5 2 4" xfId="12039"/>
    <cellStyle name="40% - Ênfase5 2 5" xfId="12040"/>
    <cellStyle name="40% - Ênfase5 3" xfId="12041"/>
    <cellStyle name="40% - Ênfase5 3 2" xfId="12042"/>
    <cellStyle name="40% - Ênfase5 4" xfId="12043"/>
    <cellStyle name="40% - Ênfase5 4 2" xfId="12044"/>
    <cellStyle name="40% - Ênfase5 5" xfId="12045"/>
    <cellStyle name="40% - Ênfase5 5 2" xfId="12046"/>
    <cellStyle name="40% - Ênfase5 6" xfId="12047"/>
    <cellStyle name="40% - Ênfase5 6 2" xfId="12048"/>
    <cellStyle name="40% - Ênfase5 7" xfId="12049"/>
    <cellStyle name="40% - Ênfase5 7 2" xfId="12050"/>
    <cellStyle name="40% - Ênfase5 8" xfId="12051"/>
    <cellStyle name="40% - Ênfase5 8 2" xfId="12052"/>
    <cellStyle name="40% - Ênfase5 9" xfId="12053"/>
    <cellStyle name="40% - Ênfase6 10" xfId="12054"/>
    <cellStyle name="40% - Ênfase6 11" xfId="12055"/>
    <cellStyle name="40% - Ênfase6 12" xfId="12056"/>
    <cellStyle name="40% - Ênfase6 13" xfId="12057"/>
    <cellStyle name="40% - Ênfase6 14" xfId="12058"/>
    <cellStyle name="40% - Ênfase6 2" xfId="12059"/>
    <cellStyle name="40% - Ênfase6 2 2" xfId="12060"/>
    <cellStyle name="40% - Ênfase6 2 3" xfId="12061"/>
    <cellStyle name="40% - Ênfase6 3" xfId="12062"/>
    <cellStyle name="40% - Ênfase6 3 2" xfId="12063"/>
    <cellStyle name="40% - Ênfase6 4" xfId="12064"/>
    <cellStyle name="40% - Ênfase6 4 2" xfId="12065"/>
    <cellStyle name="40% - Ênfase6 5" xfId="12066"/>
    <cellStyle name="40% - Ênfase6 5 2" xfId="12067"/>
    <cellStyle name="40% - Ênfase6 6" xfId="12068"/>
    <cellStyle name="40% - Ênfase6 6 2" xfId="12069"/>
    <cellStyle name="40% - Ênfase6 7" xfId="12070"/>
    <cellStyle name="40% - Ênfase6 7 2" xfId="12071"/>
    <cellStyle name="40% - Ênfase6 8" xfId="12072"/>
    <cellStyle name="40% - Ênfase6 8 2" xfId="12073"/>
    <cellStyle name="40% - Ênfase6 9" xfId="12074"/>
    <cellStyle name="40% - Énfasis1" xfId="12075"/>
    <cellStyle name="40% - Énfasis2" xfId="12076"/>
    <cellStyle name="40% - Énfasis3" xfId="12077"/>
    <cellStyle name="40% - Énfasis4" xfId="12078"/>
    <cellStyle name="40% - Énfasis5" xfId="12079"/>
    <cellStyle name="40% - Énfasis6" xfId="12080"/>
    <cellStyle name="40% - 강조색1" xfId="12081"/>
    <cellStyle name="40% - 강조색1 10" xfId="12082"/>
    <cellStyle name="40% - 강조색1 11" xfId="12083"/>
    <cellStyle name="40% - 강조색1 12" xfId="12084"/>
    <cellStyle name="40% - 강조색1 13" xfId="12085"/>
    <cellStyle name="40% - 강조색1 14" xfId="12086"/>
    <cellStyle name="40% - 강조색1 2" xfId="12087"/>
    <cellStyle name="40% - 강조색1 2 2" xfId="12088"/>
    <cellStyle name="40% - 강조색1 2 2 2" xfId="12089"/>
    <cellStyle name="40% - 강조색1 2 2 3" xfId="12090"/>
    <cellStyle name="40% - 강조색1 2 2 4" xfId="12091"/>
    <cellStyle name="40% - 강조색1 2 3" xfId="12092"/>
    <cellStyle name="40% - 강조색1 2 3 2" xfId="12093"/>
    <cellStyle name="40% - 강조색1 2 3 3" xfId="12094"/>
    <cellStyle name="40% - 강조색1 2 3 4" xfId="12095"/>
    <cellStyle name="40% - 강조색1 2 4" xfId="12096"/>
    <cellStyle name="40% - 강조색1 2 5" xfId="12097"/>
    <cellStyle name="40% - 강조색1 2 6" xfId="12098"/>
    <cellStyle name="40% - 강조색1 2_master file" xfId="12099"/>
    <cellStyle name="40% - 강조색1 3" xfId="12100"/>
    <cellStyle name="40% - 강조색1 3 2" xfId="12101"/>
    <cellStyle name="40% - 강조색1 3 2 2" xfId="12102"/>
    <cellStyle name="40% - 강조색1 3 2 3" xfId="12103"/>
    <cellStyle name="40% - 강조색1 3 2 4" xfId="12104"/>
    <cellStyle name="40% - 강조색1 3 3" xfId="12105"/>
    <cellStyle name="40% - 강조색1 3 3 2" xfId="12106"/>
    <cellStyle name="40% - 강조색1 3 3 3" xfId="12107"/>
    <cellStyle name="40% - 강조색1 3 3 4" xfId="12108"/>
    <cellStyle name="40% - 강조색1 3 4" xfId="12109"/>
    <cellStyle name="40% - 강조색1 3 4 2" xfId="12110"/>
    <cellStyle name="40% - 강조색1 3 4 3" xfId="12111"/>
    <cellStyle name="40% - 강조색1 3 4 4" xfId="12112"/>
    <cellStyle name="40% - 강조색1 3 5" xfId="12113"/>
    <cellStyle name="40% - 강조색1 3 5 2" xfId="12114"/>
    <cellStyle name="40% - 강조색1 3 5 3" xfId="12115"/>
    <cellStyle name="40% - 강조색1 3 5 4" xfId="12116"/>
    <cellStyle name="40% - 강조색1 3 6" xfId="12117"/>
    <cellStyle name="40% - 강조색1 3 7" xfId="12118"/>
    <cellStyle name="40% - 강조색1 3 8" xfId="12119"/>
    <cellStyle name="40% - 강조색1 3_100927_1 '11 Q1 TEM 1st offer idea HQ1" xfId="12120"/>
    <cellStyle name="40% - 강조색1 4" xfId="12121"/>
    <cellStyle name="40% - 강조색1 4 2" xfId="12122"/>
    <cellStyle name="40% - 강조색1 4 3" xfId="12123"/>
    <cellStyle name="40% - 강조색1 4 4" xfId="12124"/>
    <cellStyle name="40% - 강조색1 5" xfId="12125"/>
    <cellStyle name="40% - 강조색1 6" xfId="12126"/>
    <cellStyle name="40% - 강조색1 7" xfId="12127"/>
    <cellStyle name="40% - 강조색1 8" xfId="12128"/>
    <cellStyle name="40% - 강조색1 9" xfId="12129"/>
    <cellStyle name="40% - 강조색2" xfId="12130"/>
    <cellStyle name="40% - 강조색2 10" xfId="12131"/>
    <cellStyle name="40% - 강조색2 11" xfId="12132"/>
    <cellStyle name="40% - 강조색2 12" xfId="12133"/>
    <cellStyle name="40% - 강조색2 13" xfId="12134"/>
    <cellStyle name="40% - 강조색2 14" xfId="12135"/>
    <cellStyle name="40% - 강조색2 2" xfId="12136"/>
    <cellStyle name="40% - 강조색2 2 2" xfId="12137"/>
    <cellStyle name="40% - 강조색2 2 2 2" xfId="12138"/>
    <cellStyle name="40% - 강조색2 2 2 3" xfId="12139"/>
    <cellStyle name="40% - 강조색2 2 2 4" xfId="12140"/>
    <cellStyle name="40% - 강조색2 2 3" xfId="12141"/>
    <cellStyle name="40% - 강조색2 2 3 2" xfId="12142"/>
    <cellStyle name="40% - 강조색2 2 3 3" xfId="12143"/>
    <cellStyle name="40% - 강조색2 2 3 4" xfId="12144"/>
    <cellStyle name="40% - 강조색2 2 4" xfId="12145"/>
    <cellStyle name="40% - 강조색2 2 5" xfId="12146"/>
    <cellStyle name="40% - 강조색2 2 6" xfId="12147"/>
    <cellStyle name="40% - 강조색2 2_master file" xfId="12148"/>
    <cellStyle name="40% - 강조색2 3" xfId="12149"/>
    <cellStyle name="40% - 강조색2 3 2" xfId="12150"/>
    <cellStyle name="40% - 강조색2 3 2 2" xfId="12151"/>
    <cellStyle name="40% - 강조색2 3 2 3" xfId="12152"/>
    <cellStyle name="40% - 강조색2 3 2 4" xfId="12153"/>
    <cellStyle name="40% - 강조색2 3 3" xfId="12154"/>
    <cellStyle name="40% - 강조색2 3 3 2" xfId="12155"/>
    <cellStyle name="40% - 강조색2 3 3 3" xfId="12156"/>
    <cellStyle name="40% - 강조색2 3 3 4" xfId="12157"/>
    <cellStyle name="40% - 강조색2 3 4" xfId="12158"/>
    <cellStyle name="40% - 강조색2 3 4 2" xfId="12159"/>
    <cellStyle name="40% - 강조색2 3 4 3" xfId="12160"/>
    <cellStyle name="40% - 강조색2 3 4 4" xfId="12161"/>
    <cellStyle name="40% - 강조색2 3 5" xfId="12162"/>
    <cellStyle name="40% - 강조색2 3 5 2" xfId="12163"/>
    <cellStyle name="40% - 강조색2 3 5 3" xfId="12164"/>
    <cellStyle name="40% - 강조색2 3 5 4" xfId="12165"/>
    <cellStyle name="40% - 강조색2 3 6" xfId="12166"/>
    <cellStyle name="40% - 강조색2 3 7" xfId="12167"/>
    <cellStyle name="40% - 강조색2 3 8" xfId="12168"/>
    <cellStyle name="40% - 강조색2 3_100927_1 '11 Q1 TEM 1st offer idea HQ1" xfId="12169"/>
    <cellStyle name="40% - 강조색2 4" xfId="12170"/>
    <cellStyle name="40% - 강조색2 4 2" xfId="12171"/>
    <cellStyle name="40% - 강조색2 4 3" xfId="12172"/>
    <cellStyle name="40% - 강조색2 4 4" xfId="12173"/>
    <cellStyle name="40% - 강조색2 5" xfId="12174"/>
    <cellStyle name="40% - 강조색2 6" xfId="12175"/>
    <cellStyle name="40% - 강조색2 7" xfId="12176"/>
    <cellStyle name="40% - 강조색2 8" xfId="12177"/>
    <cellStyle name="40% - 강조색2 9" xfId="12178"/>
    <cellStyle name="40% - 강조색3" xfId="12179"/>
    <cellStyle name="40% - 강조색3 10" xfId="12180"/>
    <cellStyle name="40% - 강조색3 11" xfId="12181"/>
    <cellStyle name="40% - 강조색3 12" xfId="12182"/>
    <cellStyle name="40% - 강조색3 13" xfId="12183"/>
    <cellStyle name="40% - 강조색3 14" xfId="12184"/>
    <cellStyle name="40% - 강조색3 2" xfId="12185"/>
    <cellStyle name="40% - 강조색3 2 2" xfId="12186"/>
    <cellStyle name="40% - 강조색3 2 2 2" xfId="12187"/>
    <cellStyle name="40% - 강조색3 2 2 3" xfId="12188"/>
    <cellStyle name="40% - 강조색3 2 2 4" xfId="12189"/>
    <cellStyle name="40% - 강조색3 2 3" xfId="12190"/>
    <cellStyle name="40% - 강조색3 2 3 2" xfId="12191"/>
    <cellStyle name="40% - 강조색3 2 3 3" xfId="12192"/>
    <cellStyle name="40% - 강조색3 2 3 4" xfId="12193"/>
    <cellStyle name="40% - 강조색3 2 4" xfId="12194"/>
    <cellStyle name="40% - 강조색3 2 5" xfId="12195"/>
    <cellStyle name="40% - 강조색3 2 6" xfId="12196"/>
    <cellStyle name="40% - 강조색3 2_master file" xfId="12197"/>
    <cellStyle name="40% - 강조색3 3" xfId="12198"/>
    <cellStyle name="40% - 강조색3 3 2" xfId="12199"/>
    <cellStyle name="40% - 강조색3 3 2 2" xfId="12200"/>
    <cellStyle name="40% - 강조색3 3 2 3" xfId="12201"/>
    <cellStyle name="40% - 강조색3 3 2 4" xfId="12202"/>
    <cellStyle name="40% - 강조색3 3 3" xfId="12203"/>
    <cellStyle name="40% - 강조색3 3 3 2" xfId="12204"/>
    <cellStyle name="40% - 강조색3 3 3 3" xfId="12205"/>
    <cellStyle name="40% - 강조색3 3 3 4" xfId="12206"/>
    <cellStyle name="40% - 강조색3 3 4" xfId="12207"/>
    <cellStyle name="40% - 강조색3 3 4 2" xfId="12208"/>
    <cellStyle name="40% - 강조색3 3 4 3" xfId="12209"/>
    <cellStyle name="40% - 강조색3 3 4 4" xfId="12210"/>
    <cellStyle name="40% - 강조색3 3 5" xfId="12211"/>
    <cellStyle name="40% - 강조색3 3 5 2" xfId="12212"/>
    <cellStyle name="40% - 강조색3 3 5 3" xfId="12213"/>
    <cellStyle name="40% - 강조색3 3 5 4" xfId="12214"/>
    <cellStyle name="40% - 강조색3 3 6" xfId="12215"/>
    <cellStyle name="40% - 강조색3 3 7" xfId="12216"/>
    <cellStyle name="40% - 강조색3 3 8" xfId="12217"/>
    <cellStyle name="40% - 강조색3 3_100927_1 '11 Q1 TEM 1st offer idea HQ1" xfId="12218"/>
    <cellStyle name="40% - 강조색3 4" xfId="12219"/>
    <cellStyle name="40% - 강조색3 4 2" xfId="12220"/>
    <cellStyle name="40% - 강조색3 4 3" xfId="12221"/>
    <cellStyle name="40% - 강조색3 4 4" xfId="12222"/>
    <cellStyle name="40% - 강조색3 5" xfId="12223"/>
    <cellStyle name="40% - 강조색3 6" xfId="12224"/>
    <cellStyle name="40% - 강조색3 7" xfId="12225"/>
    <cellStyle name="40% - 강조색3 8" xfId="12226"/>
    <cellStyle name="40% - 강조색3 9" xfId="12227"/>
    <cellStyle name="40% - 강조색4" xfId="12228"/>
    <cellStyle name="40% - 강조색4 10" xfId="12229"/>
    <cellStyle name="40% - 강조색4 11" xfId="12230"/>
    <cellStyle name="40% - 강조색4 12" xfId="12231"/>
    <cellStyle name="40% - 강조색4 13" xfId="12232"/>
    <cellStyle name="40% - 강조색4 14" xfId="12233"/>
    <cellStyle name="40% - 강조색4 2" xfId="12234"/>
    <cellStyle name="40% - 강조색4 2 2" xfId="12235"/>
    <cellStyle name="40% - 강조색4 2 2 2" xfId="12236"/>
    <cellStyle name="40% - 강조색4 2 2 3" xfId="12237"/>
    <cellStyle name="40% - 강조색4 2 2 4" xfId="12238"/>
    <cellStyle name="40% - 강조색4 2 3" xfId="12239"/>
    <cellStyle name="40% - 강조색4 2 3 2" xfId="12240"/>
    <cellStyle name="40% - 강조색4 2 3 3" xfId="12241"/>
    <cellStyle name="40% - 강조색4 2 3 4" xfId="12242"/>
    <cellStyle name="40% - 강조색4 2 4" xfId="12243"/>
    <cellStyle name="40% - 강조색4 2 5" xfId="12244"/>
    <cellStyle name="40% - 강조색4 2 6" xfId="12245"/>
    <cellStyle name="40% - 강조색4 2_master file" xfId="12246"/>
    <cellStyle name="40% - 강조색4 3" xfId="12247"/>
    <cellStyle name="40% - 강조색4 3 2" xfId="12248"/>
    <cellStyle name="40% - 강조색4 3 2 2" xfId="12249"/>
    <cellStyle name="40% - 강조색4 3 2 3" xfId="12250"/>
    <cellStyle name="40% - 강조색4 3 2 4" xfId="12251"/>
    <cellStyle name="40% - 강조색4 3 3" xfId="12252"/>
    <cellStyle name="40% - 강조색4 3 3 2" xfId="12253"/>
    <cellStyle name="40% - 강조색4 3 3 3" xfId="12254"/>
    <cellStyle name="40% - 강조색4 3 3 4" xfId="12255"/>
    <cellStyle name="40% - 강조색4 3 4" xfId="12256"/>
    <cellStyle name="40% - 강조색4 3 4 2" xfId="12257"/>
    <cellStyle name="40% - 강조색4 3 4 3" xfId="12258"/>
    <cellStyle name="40% - 강조색4 3 4 4" xfId="12259"/>
    <cellStyle name="40% - 강조색4 3 5" xfId="12260"/>
    <cellStyle name="40% - 강조색4 3 5 2" xfId="12261"/>
    <cellStyle name="40% - 강조색4 3 5 3" xfId="12262"/>
    <cellStyle name="40% - 강조색4 3 5 4" xfId="12263"/>
    <cellStyle name="40% - 강조색4 3 6" xfId="12264"/>
    <cellStyle name="40% - 강조색4 3 7" xfId="12265"/>
    <cellStyle name="40% - 강조색4 3 8" xfId="12266"/>
    <cellStyle name="40% - 강조색4 3_100927_1 '11 Q1 TEM 1st offer idea HQ1" xfId="12267"/>
    <cellStyle name="40% - 강조색4 4" xfId="12268"/>
    <cellStyle name="40% - 강조색4 4 2" xfId="12269"/>
    <cellStyle name="40% - 강조색4 4 3" xfId="12270"/>
    <cellStyle name="40% - 강조색4 4 4" xfId="12271"/>
    <cellStyle name="40% - 강조색4 5" xfId="12272"/>
    <cellStyle name="40% - 강조색4 6" xfId="12273"/>
    <cellStyle name="40% - 강조색4 7" xfId="12274"/>
    <cellStyle name="40% - 강조색4 8" xfId="12275"/>
    <cellStyle name="40% - 강조색4 9" xfId="12276"/>
    <cellStyle name="40% - 강조색5" xfId="12277"/>
    <cellStyle name="40% - 강조색5 10" xfId="12278"/>
    <cellStyle name="40% - 강조색5 11" xfId="12279"/>
    <cellStyle name="40% - 강조색5 12" xfId="12280"/>
    <cellStyle name="40% - 강조색5 13" xfId="12281"/>
    <cellStyle name="40% - 강조색5 14" xfId="12282"/>
    <cellStyle name="40% - 강조색5 2" xfId="12283"/>
    <cellStyle name="40% - 강조색5 2 2" xfId="12284"/>
    <cellStyle name="40% - 강조색5 2 2 2" xfId="12285"/>
    <cellStyle name="40% - 강조색5 2 2 3" xfId="12286"/>
    <cellStyle name="40% - 강조색5 2 2 4" xfId="12287"/>
    <cellStyle name="40% - 강조색5 2 3" xfId="12288"/>
    <cellStyle name="40% - 강조색5 2 3 2" xfId="12289"/>
    <cellStyle name="40% - 강조색5 2 3 3" xfId="12290"/>
    <cellStyle name="40% - 강조색5 2 3 4" xfId="12291"/>
    <cellStyle name="40% - 강조색5 2 4" xfId="12292"/>
    <cellStyle name="40% - 강조색5 2 5" xfId="12293"/>
    <cellStyle name="40% - 강조색5 2 6" xfId="12294"/>
    <cellStyle name="40% - 강조색5 2_master file" xfId="12295"/>
    <cellStyle name="40% - 강조색5 3" xfId="12296"/>
    <cellStyle name="40% - 강조색5 3 2" xfId="12297"/>
    <cellStyle name="40% - 강조색5 3 2 2" xfId="12298"/>
    <cellStyle name="40% - 강조색5 3 2 3" xfId="12299"/>
    <cellStyle name="40% - 강조색5 3 2 4" xfId="12300"/>
    <cellStyle name="40% - 강조색5 3 3" xfId="12301"/>
    <cellStyle name="40% - 강조색5 3 3 2" xfId="12302"/>
    <cellStyle name="40% - 강조색5 3 3 3" xfId="12303"/>
    <cellStyle name="40% - 강조색5 3 3 4" xfId="12304"/>
    <cellStyle name="40% - 강조색5 3 4" xfId="12305"/>
    <cellStyle name="40% - 강조색5 3 4 2" xfId="12306"/>
    <cellStyle name="40% - 강조색5 3 4 3" xfId="12307"/>
    <cellStyle name="40% - 강조색5 3 4 4" xfId="12308"/>
    <cellStyle name="40% - 강조색5 3 5" xfId="12309"/>
    <cellStyle name="40% - 강조색5 3 5 2" xfId="12310"/>
    <cellStyle name="40% - 강조색5 3 5 3" xfId="12311"/>
    <cellStyle name="40% - 강조색5 3 5 4" xfId="12312"/>
    <cellStyle name="40% - 강조색5 3 6" xfId="12313"/>
    <cellStyle name="40% - 강조색5 3 7" xfId="12314"/>
    <cellStyle name="40% - 강조색5 3 8" xfId="12315"/>
    <cellStyle name="40% - 강조색5 3_100927_1 '11 Q1 TEM 1st offer idea HQ1" xfId="12316"/>
    <cellStyle name="40% - 강조색5 4" xfId="12317"/>
    <cellStyle name="40% - 강조색5 4 2" xfId="12318"/>
    <cellStyle name="40% - 강조색5 4 3" xfId="12319"/>
    <cellStyle name="40% - 강조색5 4 4" xfId="12320"/>
    <cellStyle name="40% - 강조색5 5" xfId="12321"/>
    <cellStyle name="40% - 강조색5 6" xfId="12322"/>
    <cellStyle name="40% - 강조색5 7" xfId="12323"/>
    <cellStyle name="40% - 강조색5 8" xfId="12324"/>
    <cellStyle name="40% - 강조색5 9" xfId="12325"/>
    <cellStyle name="40% - 강조색6" xfId="12326"/>
    <cellStyle name="40% - 강조색6 10" xfId="12327"/>
    <cellStyle name="40% - 강조색6 11" xfId="12328"/>
    <cellStyle name="40% - 강조색6 12" xfId="12329"/>
    <cellStyle name="40% - 강조색6 13" xfId="12330"/>
    <cellStyle name="40% - 강조색6 14" xfId="12331"/>
    <cellStyle name="40% - 강조색6 2" xfId="12332"/>
    <cellStyle name="40% - 강조색6 2 2" xfId="12333"/>
    <cellStyle name="40% - 강조색6 2 2 2" xfId="12334"/>
    <cellStyle name="40% - 강조색6 2 2 3" xfId="12335"/>
    <cellStyle name="40% - 강조색6 2 2 4" xfId="12336"/>
    <cellStyle name="40% - 강조색6 2 3" xfId="12337"/>
    <cellStyle name="40% - 강조색6 2 3 2" xfId="12338"/>
    <cellStyle name="40% - 강조색6 2 3 3" xfId="12339"/>
    <cellStyle name="40% - 강조색6 2 3 4" xfId="12340"/>
    <cellStyle name="40% - 강조색6 2 4" xfId="12341"/>
    <cellStyle name="40% - 강조색6 2 5" xfId="12342"/>
    <cellStyle name="40% - 강조색6 2 6" xfId="12343"/>
    <cellStyle name="40% - 강조색6 2_master file" xfId="12344"/>
    <cellStyle name="40% - 강조색6 3" xfId="12345"/>
    <cellStyle name="40% - 강조색6 3 2" xfId="12346"/>
    <cellStyle name="40% - 강조색6 3 2 2" xfId="12347"/>
    <cellStyle name="40% - 강조색6 3 2 3" xfId="12348"/>
    <cellStyle name="40% - 강조색6 3 2 4" xfId="12349"/>
    <cellStyle name="40% - 강조색6 3 3" xfId="12350"/>
    <cellStyle name="40% - 강조색6 3 3 2" xfId="12351"/>
    <cellStyle name="40% - 강조색6 3 3 3" xfId="12352"/>
    <cellStyle name="40% - 강조색6 3 3 4" xfId="12353"/>
    <cellStyle name="40% - 강조색6 3 4" xfId="12354"/>
    <cellStyle name="40% - 강조색6 3 4 2" xfId="12355"/>
    <cellStyle name="40% - 강조색6 3 4 3" xfId="12356"/>
    <cellStyle name="40% - 강조색6 3 4 4" xfId="12357"/>
    <cellStyle name="40% - 강조색6 3 5" xfId="12358"/>
    <cellStyle name="40% - 강조색6 3 5 2" xfId="12359"/>
    <cellStyle name="40% - 강조색6 3 5 3" xfId="12360"/>
    <cellStyle name="40% - 강조색6 3 5 4" xfId="12361"/>
    <cellStyle name="40% - 강조색6 3 6" xfId="12362"/>
    <cellStyle name="40% - 강조색6 3 7" xfId="12363"/>
    <cellStyle name="40% - 강조색6 3 8" xfId="12364"/>
    <cellStyle name="40% - 강조색6 3_100927_1 '11 Q1 TEM 1st offer idea HQ1" xfId="12365"/>
    <cellStyle name="40% - 강조색6 4" xfId="12366"/>
    <cellStyle name="40% - 강조색6 4 2" xfId="12367"/>
    <cellStyle name="40% - 강조색6 4 3" xfId="12368"/>
    <cellStyle name="40% - 강조색6 4 4" xfId="12369"/>
    <cellStyle name="40% - 강조색6 5" xfId="12370"/>
    <cellStyle name="40% - 강조색6 6" xfId="12371"/>
    <cellStyle name="40% - 강조색6 7" xfId="12372"/>
    <cellStyle name="40% - 강조색6 8" xfId="12373"/>
    <cellStyle name="40% - 강조색6 9" xfId="12374"/>
    <cellStyle name="40% - 强调文字颜色 1" xfId="12375"/>
    <cellStyle name="40% - 强调文字颜色 1 2" xfId="12376"/>
    <cellStyle name="40% - 强调文字颜色 1 2 2" xfId="12377"/>
    <cellStyle name="40% - 强调文字颜色 1 2 3" xfId="12378"/>
    <cellStyle name="40% - 强调文字颜色 1 2_w17_DP_LATAM_100428" xfId="12379"/>
    <cellStyle name="40% - 强调文字颜色 1 3" xfId="12380"/>
    <cellStyle name="40% - 强调文字颜色 1 3 2" xfId="12381"/>
    <cellStyle name="40% - 强调文字颜色 1 3 3" xfId="12382"/>
    <cellStyle name="40% - 强调文字颜色 1 3_w17_DP_LATAM_100428" xfId="12383"/>
    <cellStyle name="40% - 强调文字颜色 1 4" xfId="12384"/>
    <cellStyle name="40% - 强调文字颜色 1 4 2" xfId="12385"/>
    <cellStyle name="40% - 强调文字颜色 1 4 3" xfId="12386"/>
    <cellStyle name="40% - 强调文字颜色 1 4_w17_DP_LATAM_100428" xfId="12387"/>
    <cellStyle name="40% - 强调文字颜色 1 5" xfId="12388"/>
    <cellStyle name="40% - 强调文字颜色 1 5 2" xfId="12389"/>
    <cellStyle name="40% - 强调文字颜色 1 5 3" xfId="12390"/>
    <cellStyle name="40% - 强调文字颜色 1 5_w17_DP_LATAM_100428" xfId="12391"/>
    <cellStyle name="40% - 强调文字颜色 1 6" xfId="12392"/>
    <cellStyle name="40% - 强调文字颜色 1 6 2" xfId="12393"/>
    <cellStyle name="40% - 强调文字颜色 1 6 3" xfId="12394"/>
    <cellStyle name="40% - 强调文字颜色 1 6_w17_DP_LATAM_100428" xfId="12395"/>
    <cellStyle name="40% - 强调文字颜色 1 7" xfId="12396"/>
    <cellStyle name="40% - 强调文字颜色 1 7 2" xfId="12397"/>
    <cellStyle name="40% - 强调文字颜色 1 7 3" xfId="12398"/>
    <cellStyle name="40% - 强调文字颜色 1 7_w17_DP_LATAM_100428" xfId="12399"/>
    <cellStyle name="40% - 强调文字颜色 1 8" xfId="12400"/>
    <cellStyle name="40% - 强调文字颜色 1 9" xfId="12401"/>
    <cellStyle name="40% - 强调文字颜色 1_w17_DP_LATAM_100428" xfId="12402"/>
    <cellStyle name="40% - 强调文字颜色 2" xfId="12403"/>
    <cellStyle name="40% - 强调文字颜色 2 2" xfId="12404"/>
    <cellStyle name="40% - 强调文字颜色 2 2 2" xfId="12405"/>
    <cellStyle name="40% - 强调文字颜色 2 2 3" xfId="12406"/>
    <cellStyle name="40% - 强调文字颜色 2 2_w17_DP_LATAM_100428" xfId="12407"/>
    <cellStyle name="40% - 强调文字颜色 2 3" xfId="12408"/>
    <cellStyle name="40% - 强调文字颜色 2 3 2" xfId="12409"/>
    <cellStyle name="40% - 强调文字颜色 2 3 3" xfId="12410"/>
    <cellStyle name="40% - 强调文字颜色 2 3_w17_DP_LATAM_100428" xfId="12411"/>
    <cellStyle name="40% - 强调文字颜色 2 4" xfId="12412"/>
    <cellStyle name="40% - 强调文字颜色 2 4 2" xfId="12413"/>
    <cellStyle name="40% - 强调文字颜色 2 4 3" xfId="12414"/>
    <cellStyle name="40% - 强调文字颜色 2 4_w17_DP_LATAM_100428" xfId="12415"/>
    <cellStyle name="40% - 强调文字颜色 2 5" xfId="12416"/>
    <cellStyle name="40% - 强调文字颜色 2 5 2" xfId="12417"/>
    <cellStyle name="40% - 强调文字颜色 2 5 3" xfId="12418"/>
    <cellStyle name="40% - 强调文字颜色 2 5_w17_DP_LATAM_100428" xfId="12419"/>
    <cellStyle name="40% - 强调文字颜色 2 6" xfId="12420"/>
    <cellStyle name="40% - 强调文字颜色 2 6 2" xfId="12421"/>
    <cellStyle name="40% - 强调文字颜色 2 6 3" xfId="12422"/>
    <cellStyle name="40% - 强调文字颜色 2 6_w17_DP_LATAM_100428" xfId="12423"/>
    <cellStyle name="40% - 强调文字颜色 2 7" xfId="12424"/>
    <cellStyle name="40% - 强调文字颜色 2 7 2" xfId="12425"/>
    <cellStyle name="40% - 强调文字颜色 2 7 3" xfId="12426"/>
    <cellStyle name="40% - 强调文字颜色 2 7_w17_DP_LATAM_100428" xfId="12427"/>
    <cellStyle name="40% - 强调文字颜色 2 8" xfId="12428"/>
    <cellStyle name="40% - 强调文字颜色 2 9" xfId="12429"/>
    <cellStyle name="40% - 强调文字颜色 2_w17_DP_LATAM_100428" xfId="12430"/>
    <cellStyle name="40% - 强调文字颜色 3" xfId="12431"/>
    <cellStyle name="40% - 强调文字颜色 3 2" xfId="12432"/>
    <cellStyle name="40% - 强调文字颜色 3 2 2" xfId="12433"/>
    <cellStyle name="40% - 强调文字颜色 3 2 3" xfId="12434"/>
    <cellStyle name="40% - 强调文字颜色 3 2_w17_DP_LATAM_100428" xfId="12435"/>
    <cellStyle name="40% - 强调文字颜色 3 3" xfId="12436"/>
    <cellStyle name="40% - 强调文字颜色 3 3 2" xfId="12437"/>
    <cellStyle name="40% - 强调文字颜色 3 3 3" xfId="12438"/>
    <cellStyle name="40% - 强调文字颜色 3 3_w17_DP_LATAM_100428" xfId="12439"/>
    <cellStyle name="40% - 强调文字颜色 3 4" xfId="12440"/>
    <cellStyle name="40% - 强调文字颜色 3 4 2" xfId="12441"/>
    <cellStyle name="40% - 强调文字颜色 3 4 3" xfId="12442"/>
    <cellStyle name="40% - 强调文字颜色 3 4_w17_DP_LATAM_100428" xfId="12443"/>
    <cellStyle name="40% - 强调文字颜色 3 5" xfId="12444"/>
    <cellStyle name="40% - 强调文字颜色 3 5 2" xfId="12445"/>
    <cellStyle name="40% - 强调文字颜色 3 5 3" xfId="12446"/>
    <cellStyle name="40% - 强调文字颜色 3 5_w17_DP_LATAM_100428" xfId="12447"/>
    <cellStyle name="40% - 强调文字颜色 3 6" xfId="12448"/>
    <cellStyle name="40% - 强调文字颜色 3 6 2" xfId="12449"/>
    <cellStyle name="40% - 强调文字颜色 3 6 3" xfId="12450"/>
    <cellStyle name="40% - 强调文字颜色 3 6_w17_DP_LATAM_100428" xfId="12451"/>
    <cellStyle name="40% - 强调文字颜色 3 7" xfId="12452"/>
    <cellStyle name="40% - 强调文字颜色 3 7 2" xfId="12453"/>
    <cellStyle name="40% - 强调文字颜色 3 7 3" xfId="12454"/>
    <cellStyle name="40% - 强调文字颜色 3 7_w17_DP_LATAM_100428" xfId="12455"/>
    <cellStyle name="40% - 强调文字颜色 3 8" xfId="12456"/>
    <cellStyle name="40% - 强调文字颜色 3 9" xfId="12457"/>
    <cellStyle name="40% - 强调文字颜色 3_w17_DP_LATAM_100428" xfId="12458"/>
    <cellStyle name="40% - 强调文字颜色 4" xfId="12459"/>
    <cellStyle name="40% - 强调文字颜色 4 2" xfId="12460"/>
    <cellStyle name="40% - 强调文字颜色 4 2 2" xfId="12461"/>
    <cellStyle name="40% - 强调文字颜色 4 2 3" xfId="12462"/>
    <cellStyle name="40% - 强调文字颜色 4 2_w17_DP_LATAM_100428" xfId="12463"/>
    <cellStyle name="40% - 强调文字颜色 4 3" xfId="12464"/>
    <cellStyle name="40% - 强调文字颜色 4 3 2" xfId="12465"/>
    <cellStyle name="40% - 强调文字颜色 4 3 3" xfId="12466"/>
    <cellStyle name="40% - 强调文字颜色 4 3_w17_DP_LATAM_100428" xfId="12467"/>
    <cellStyle name="40% - 强调文字颜色 4 4" xfId="12468"/>
    <cellStyle name="40% - 强调文字颜色 4 4 2" xfId="12469"/>
    <cellStyle name="40% - 强调文字颜色 4 4 3" xfId="12470"/>
    <cellStyle name="40% - 强调文字颜色 4 4_w17_DP_LATAM_100428" xfId="12471"/>
    <cellStyle name="40% - 强调文字颜色 4 5" xfId="12472"/>
    <cellStyle name="40% - 强调文字颜色 4 5 2" xfId="12473"/>
    <cellStyle name="40% - 强调文字颜色 4 5 3" xfId="12474"/>
    <cellStyle name="40% - 强调文字颜色 4 5_w17_DP_LATAM_100428" xfId="12475"/>
    <cellStyle name="40% - 强调文字颜色 4 6" xfId="12476"/>
    <cellStyle name="40% - 强调文字颜色 4 6 2" xfId="12477"/>
    <cellStyle name="40% - 强调文字颜色 4 6 3" xfId="12478"/>
    <cellStyle name="40% - 强调文字颜色 4 6_w17_DP_LATAM_100428" xfId="12479"/>
    <cellStyle name="40% - 强调文字颜色 4 7" xfId="12480"/>
    <cellStyle name="40% - 强调文字颜色 4 7 2" xfId="12481"/>
    <cellStyle name="40% - 强调文字颜色 4 7 3" xfId="12482"/>
    <cellStyle name="40% - 强调文字颜色 4 7_w17_DP_LATAM_100428" xfId="12483"/>
    <cellStyle name="40% - 强调文字颜色 4 8" xfId="12484"/>
    <cellStyle name="40% - 强调文字颜色 4 9" xfId="12485"/>
    <cellStyle name="40% - 强调文字颜色 4_w17_DP_LATAM_100428" xfId="12486"/>
    <cellStyle name="40% - 强调文字颜色 5" xfId="12487"/>
    <cellStyle name="40% - 强调文字颜色 5 2" xfId="12488"/>
    <cellStyle name="40% - 强调文字颜色 5 2 2" xfId="12489"/>
    <cellStyle name="40% - 强调文字颜色 5 2 3" xfId="12490"/>
    <cellStyle name="40% - 强调文字颜色 5 2_w17_DP_LATAM_100428" xfId="12491"/>
    <cellStyle name="40% - 强调文字颜色 5 3" xfId="12492"/>
    <cellStyle name="40% - 强调文字颜色 5 3 2" xfId="12493"/>
    <cellStyle name="40% - 强调文字颜色 5 3 3" xfId="12494"/>
    <cellStyle name="40% - 强调文字颜色 5 3_w17_DP_LATAM_100428" xfId="12495"/>
    <cellStyle name="40% - 强调文字颜色 5 4" xfId="12496"/>
    <cellStyle name="40% - 强调文字颜色 5 4 2" xfId="12497"/>
    <cellStyle name="40% - 强调文字颜色 5 4 3" xfId="12498"/>
    <cellStyle name="40% - 强调文字颜色 5 4_w17_DP_LATAM_100428" xfId="12499"/>
    <cellStyle name="40% - 强调文字颜色 5 5" xfId="12500"/>
    <cellStyle name="40% - 强调文字颜色 5 5 2" xfId="12501"/>
    <cellStyle name="40% - 强调文字颜色 5 5 3" xfId="12502"/>
    <cellStyle name="40% - 强调文字颜色 5 5_w17_DP_LATAM_100428" xfId="12503"/>
    <cellStyle name="40% - 强调文字颜色 5 6" xfId="12504"/>
    <cellStyle name="40% - 强调文字颜色 5 6 2" xfId="12505"/>
    <cellStyle name="40% - 强调文字颜色 5 6 3" xfId="12506"/>
    <cellStyle name="40% - 强调文字颜色 5 6_w17_DP_LATAM_100428" xfId="12507"/>
    <cellStyle name="40% - 强调文字颜色 5 7" xfId="12508"/>
    <cellStyle name="40% - 强调文字颜色 5 7 2" xfId="12509"/>
    <cellStyle name="40% - 强调文字颜色 5 7 3" xfId="12510"/>
    <cellStyle name="40% - 强调文字颜色 5 7_w17_DP_LATAM_100428" xfId="12511"/>
    <cellStyle name="40% - 强调文字颜色 5 8" xfId="12512"/>
    <cellStyle name="40% - 强调文字颜色 5 9" xfId="12513"/>
    <cellStyle name="40% - 强调文字颜色 5_w17_DP_LATAM_100428" xfId="12514"/>
    <cellStyle name="40% - 强调文字颜色 6" xfId="12515"/>
    <cellStyle name="40% - 强调文字颜色 6 2" xfId="12516"/>
    <cellStyle name="40% - 强调文字颜色 6 2 2" xfId="12517"/>
    <cellStyle name="40% - 强调文字颜色 6 2 3" xfId="12518"/>
    <cellStyle name="40% - 强调文字颜色 6 2_w17_DP_LATAM_100428" xfId="12519"/>
    <cellStyle name="40% - 强调文字颜色 6 3" xfId="12520"/>
    <cellStyle name="40% - 强调文字颜色 6 3 2" xfId="12521"/>
    <cellStyle name="40% - 强调文字颜色 6 3 3" xfId="12522"/>
    <cellStyle name="40% - 强调文字颜色 6 3_w17_DP_LATAM_100428" xfId="12523"/>
    <cellStyle name="40% - 强调文字颜色 6 4" xfId="12524"/>
    <cellStyle name="40% - 强调文字颜色 6 4 2" xfId="12525"/>
    <cellStyle name="40% - 强调文字颜色 6 4 3" xfId="12526"/>
    <cellStyle name="40% - 强调文字颜色 6 4_w17_DP_LATAM_100428" xfId="12527"/>
    <cellStyle name="40% - 强调文字颜色 6 5" xfId="12528"/>
    <cellStyle name="40% - 强调文字颜色 6 5 2" xfId="12529"/>
    <cellStyle name="40% - 强调文字颜色 6 5 3" xfId="12530"/>
    <cellStyle name="40% - 强调文字颜色 6 5_w17_DP_LATAM_100428" xfId="12531"/>
    <cellStyle name="40% - 强调文字颜色 6 6" xfId="12532"/>
    <cellStyle name="40% - 强调文字颜色 6 6 2" xfId="12533"/>
    <cellStyle name="40% - 强调文字颜色 6 6 3" xfId="12534"/>
    <cellStyle name="40% - 强调文字颜色 6 6_w17_DP_LATAM_100428" xfId="12535"/>
    <cellStyle name="40% - 强调文字颜色 6 7" xfId="12536"/>
    <cellStyle name="40% - 强调文字颜色 6 7 2" xfId="12537"/>
    <cellStyle name="40% - 强调文字颜色 6 7 3" xfId="12538"/>
    <cellStyle name="40% - 强调文字颜色 6 7_w17_DP_LATAM_100428" xfId="12539"/>
    <cellStyle name="40% - 强调文字颜色 6 8" xfId="12540"/>
    <cellStyle name="40% - 强调文字颜色 6 9" xfId="12541"/>
    <cellStyle name="40% - 强调文字颜色 6_w17_DP_LATAM_100428" xfId="12542"/>
    <cellStyle name="60% - Accent1" xfId="12543"/>
    <cellStyle name="60% - Accent1 2" xfId="12544"/>
    <cellStyle name="60% - Accent1 3" xfId="12545"/>
    <cellStyle name="60% - Accent1 4" xfId="12546"/>
    <cellStyle name="60% - Accent1 5" xfId="12547"/>
    <cellStyle name="60% - Accent1 6" xfId="12548"/>
    <cellStyle name="60% - Accent1 7" xfId="12549"/>
    <cellStyle name="60% - Accent1 8" xfId="12550"/>
    <cellStyle name="60% - Accent1 9" xfId="12551"/>
    <cellStyle name="60% - Accent2" xfId="12552"/>
    <cellStyle name="60% - Accent2 2" xfId="12553"/>
    <cellStyle name="60% - Accent2 3" xfId="12554"/>
    <cellStyle name="60% - Accent2 4" xfId="12555"/>
    <cellStyle name="60% - Accent2 5" xfId="12556"/>
    <cellStyle name="60% - Accent2 6" xfId="12557"/>
    <cellStyle name="60% - Accent2 7" xfId="12558"/>
    <cellStyle name="60% - Accent2 8" xfId="12559"/>
    <cellStyle name="60% - Accent3" xfId="12560"/>
    <cellStyle name="60% - Accent3 2" xfId="12561"/>
    <cellStyle name="60% - Accent3 3" xfId="12562"/>
    <cellStyle name="60% - Accent3 4" xfId="12563"/>
    <cellStyle name="60% - Accent3 5" xfId="12564"/>
    <cellStyle name="60% - Accent3 6" xfId="12565"/>
    <cellStyle name="60% - Accent3 7" xfId="12566"/>
    <cellStyle name="60% - Accent3 8" xfId="12567"/>
    <cellStyle name="60% - Accent3 9" xfId="12568"/>
    <cellStyle name="60% - Accent4" xfId="12569"/>
    <cellStyle name="60% - Accent4 2" xfId="12570"/>
    <cellStyle name="60% - Accent4 3" xfId="12571"/>
    <cellStyle name="60% - Accent4 4" xfId="12572"/>
    <cellStyle name="60% - Accent4 5" xfId="12573"/>
    <cellStyle name="60% - Accent4 6" xfId="12574"/>
    <cellStyle name="60% - Accent4 7" xfId="12575"/>
    <cellStyle name="60% - Accent4 8" xfId="12576"/>
    <cellStyle name="60% - Accent4 9" xfId="12577"/>
    <cellStyle name="60% - Accent5" xfId="12578"/>
    <cellStyle name="60% - Accent5 2" xfId="12579"/>
    <cellStyle name="60% - Accent5 3" xfId="12580"/>
    <cellStyle name="60% - Accent5 4" xfId="12581"/>
    <cellStyle name="60% - Accent5 5" xfId="12582"/>
    <cellStyle name="60% - Accent5 6" xfId="12583"/>
    <cellStyle name="60% - Accent5 7" xfId="12584"/>
    <cellStyle name="60% - Accent5 8" xfId="12585"/>
    <cellStyle name="60% - Accent6" xfId="12586"/>
    <cellStyle name="60% - Accent6 2" xfId="12587"/>
    <cellStyle name="60% - Accent6 3" xfId="12588"/>
    <cellStyle name="60% - Accent6 4" xfId="12589"/>
    <cellStyle name="60% - Accent6 5" xfId="12590"/>
    <cellStyle name="60% - Accent6 6" xfId="12591"/>
    <cellStyle name="60% - Accent6 7" xfId="12592"/>
    <cellStyle name="60% - Accent6 8" xfId="12593"/>
    <cellStyle name="60% - Accent6 9" xfId="12594"/>
    <cellStyle name="60% - Ênfase1 10" xfId="12595"/>
    <cellStyle name="60% - Ênfase1 11" xfId="12596"/>
    <cellStyle name="60% - Ênfase1 12" xfId="12597"/>
    <cellStyle name="60% - Ênfase1 13" xfId="12598"/>
    <cellStyle name="60% - Ênfase1 14" xfId="12599"/>
    <cellStyle name="60% - Ênfase1 2" xfId="12600"/>
    <cellStyle name="60% - Ênfase1 2 2" xfId="12601"/>
    <cellStyle name="60% - Ênfase1 2 3" xfId="12602"/>
    <cellStyle name="60% - Ênfase1 2 4" xfId="12603"/>
    <cellStyle name="60% - Ênfase1 2 5" xfId="12604"/>
    <cellStyle name="60% - Ênfase1 3" xfId="12605"/>
    <cellStyle name="60% - Ênfase1 3 2" xfId="12606"/>
    <cellStyle name="60% - Ênfase1 4" xfId="12607"/>
    <cellStyle name="60% - Ênfase1 4 2" xfId="12608"/>
    <cellStyle name="60% - Ênfase1 5" xfId="12609"/>
    <cellStyle name="60% - Ênfase1 5 2" xfId="12610"/>
    <cellStyle name="60% - Ênfase1 6" xfId="12611"/>
    <cellStyle name="60% - Ênfase1 6 2" xfId="12612"/>
    <cellStyle name="60% - Ênfase1 7" xfId="12613"/>
    <cellStyle name="60% - Ênfase1 7 2" xfId="12614"/>
    <cellStyle name="60% - Ênfase1 8" xfId="12615"/>
    <cellStyle name="60% - Ênfase1 8 2" xfId="12616"/>
    <cellStyle name="60% - Ênfase1 9" xfId="12617"/>
    <cellStyle name="60% - Ênfase2 10" xfId="12618"/>
    <cellStyle name="60% - Ênfase2 11" xfId="12619"/>
    <cellStyle name="60% - Ênfase2 12" xfId="12620"/>
    <cellStyle name="60% - Ênfase2 13" xfId="12621"/>
    <cellStyle name="60% - Ênfase2 14" xfId="12622"/>
    <cellStyle name="60% - Ênfase2 2" xfId="12623"/>
    <cellStyle name="60% - Ênfase2 2 2" xfId="12624"/>
    <cellStyle name="60% - Ênfase2 2 3" xfId="12625"/>
    <cellStyle name="60% - Ênfase2 3" xfId="12626"/>
    <cellStyle name="60% - Ênfase2 3 2" xfId="12627"/>
    <cellStyle name="60% - Ênfase2 4" xfId="12628"/>
    <cellStyle name="60% - Ênfase2 4 2" xfId="12629"/>
    <cellStyle name="60% - Ênfase2 5" xfId="12630"/>
    <cellStyle name="60% - Ênfase2 5 2" xfId="12631"/>
    <cellStyle name="60% - Ênfase2 6" xfId="12632"/>
    <cellStyle name="60% - Ênfase2 6 2" xfId="12633"/>
    <cellStyle name="60% - Ênfase2 7" xfId="12634"/>
    <cellStyle name="60% - Ênfase2 7 2" xfId="12635"/>
    <cellStyle name="60% - Ênfase2 8" xfId="12636"/>
    <cellStyle name="60% - Ênfase2 8 2" xfId="12637"/>
    <cellStyle name="60% - Ênfase2 9" xfId="12638"/>
    <cellStyle name="60% - Ênfase3 10" xfId="12639"/>
    <cellStyle name="60% - Ênfase3 11" xfId="12640"/>
    <cellStyle name="60% - Ênfase3 12" xfId="12641"/>
    <cellStyle name="60% - Ênfase3 13" xfId="12642"/>
    <cellStyle name="60% - Ênfase3 14" xfId="12643"/>
    <cellStyle name="60% - Ênfase3 2" xfId="12644"/>
    <cellStyle name="60% - Ênfase3 2 2" xfId="12645"/>
    <cellStyle name="60% - Ênfase3 2 3" xfId="12646"/>
    <cellStyle name="60% - Ênfase3 3" xfId="12647"/>
    <cellStyle name="60% - Ênfase3 3 2" xfId="12648"/>
    <cellStyle name="60% - Ênfase3 4" xfId="12649"/>
    <cellStyle name="60% - Ênfase3 4 2" xfId="12650"/>
    <cellStyle name="60% - Ênfase3 5" xfId="12651"/>
    <cellStyle name="60% - Ênfase3 5 2" xfId="12652"/>
    <cellStyle name="60% - Ênfase3 6" xfId="12653"/>
    <cellStyle name="60% - Ênfase3 6 2" xfId="12654"/>
    <cellStyle name="60% - Ênfase3 7" xfId="12655"/>
    <cellStyle name="60% - Ênfase3 7 2" xfId="12656"/>
    <cellStyle name="60% - Ênfase3 8" xfId="12657"/>
    <cellStyle name="60% - Ênfase3 8 2" xfId="12658"/>
    <cellStyle name="60% - Ênfase3 9" xfId="12659"/>
    <cellStyle name="60% - Ênfase4 10" xfId="12660"/>
    <cellStyle name="60% - Ênfase4 11" xfId="12661"/>
    <cellStyle name="60% - Ênfase4 12" xfId="12662"/>
    <cellStyle name="60% - Ênfase4 13" xfId="12663"/>
    <cellStyle name="60% - Ênfase4 14" xfId="12664"/>
    <cellStyle name="60% - Ênfase4 2" xfId="12665"/>
    <cellStyle name="60% - Ênfase4 2 2" xfId="12666"/>
    <cellStyle name="60% - Ênfase4 2 3" xfId="12667"/>
    <cellStyle name="60% - Ênfase4 2 4" xfId="12668"/>
    <cellStyle name="60% - Ênfase4 2 5" xfId="12669"/>
    <cellStyle name="60% - Ênfase4 3" xfId="12670"/>
    <cellStyle name="60% - Ênfase4 3 2" xfId="12671"/>
    <cellStyle name="60% - Ênfase4 4" xfId="12672"/>
    <cellStyle name="60% - Ênfase4 4 2" xfId="12673"/>
    <cellStyle name="60% - Ênfase4 5" xfId="12674"/>
    <cellStyle name="60% - Ênfase4 5 2" xfId="12675"/>
    <cellStyle name="60% - Ênfase4 6" xfId="12676"/>
    <cellStyle name="60% - Ênfase4 6 2" xfId="12677"/>
    <cellStyle name="60% - Ênfase4 7" xfId="12678"/>
    <cellStyle name="60% - Ênfase4 7 2" xfId="12679"/>
    <cellStyle name="60% - Ênfase4 8" xfId="12680"/>
    <cellStyle name="60% - Ênfase4 8 2" xfId="12681"/>
    <cellStyle name="60% - Ênfase4 9" xfId="12682"/>
    <cellStyle name="60% - Ênfase5 10" xfId="12683"/>
    <cellStyle name="60% - Ênfase5 11" xfId="12684"/>
    <cellStyle name="60% - Ênfase5 12" xfId="12685"/>
    <cellStyle name="60% - Ênfase5 13" xfId="12686"/>
    <cellStyle name="60% - Ênfase5 14" xfId="12687"/>
    <cellStyle name="60% - Ênfase5 2" xfId="12688"/>
    <cellStyle name="60% - Ênfase5 2 2" xfId="12689"/>
    <cellStyle name="60% - Ênfase5 2 3" xfId="12690"/>
    <cellStyle name="60% - Ênfase5 2 4" xfId="12691"/>
    <cellStyle name="60% - Ênfase5 2 5" xfId="12692"/>
    <cellStyle name="60% - Ênfase5 3" xfId="12693"/>
    <cellStyle name="60% - Ênfase5 3 2" xfId="12694"/>
    <cellStyle name="60% - Ênfase5 4" xfId="12695"/>
    <cellStyle name="60% - Ênfase5 4 2" xfId="12696"/>
    <cellStyle name="60% - Ênfase5 5" xfId="12697"/>
    <cellStyle name="60% - Ênfase5 5 2" xfId="12698"/>
    <cellStyle name="60% - Ênfase5 6" xfId="12699"/>
    <cellStyle name="60% - Ênfase5 6 2" xfId="12700"/>
    <cellStyle name="60% - Ênfase5 7" xfId="12701"/>
    <cellStyle name="60% - Ênfase5 7 2" xfId="12702"/>
    <cellStyle name="60% - Ênfase5 8" xfId="12703"/>
    <cellStyle name="60% - Ênfase5 8 2" xfId="12704"/>
    <cellStyle name="60% - Ênfase5 9" xfId="12705"/>
    <cellStyle name="60% - Ênfase6 10" xfId="12706"/>
    <cellStyle name="60% - Ênfase6 11" xfId="12707"/>
    <cellStyle name="60% - Ênfase6 12" xfId="12708"/>
    <cellStyle name="60% - Ênfase6 13" xfId="12709"/>
    <cellStyle name="60% - Ênfase6 14" xfId="12710"/>
    <cellStyle name="60% - Ênfase6 2" xfId="12711"/>
    <cellStyle name="60% - Ênfase6 2 2" xfId="12712"/>
    <cellStyle name="60% - Ênfase6 2 3" xfId="12713"/>
    <cellStyle name="60% - Ênfase6 3" xfId="12714"/>
    <cellStyle name="60% - Ênfase6 3 2" xfId="12715"/>
    <cellStyle name="60% - Ênfase6 4" xfId="12716"/>
    <cellStyle name="60% - Ênfase6 4 2" xfId="12717"/>
    <cellStyle name="60% - Ênfase6 5" xfId="12718"/>
    <cellStyle name="60% - Ênfase6 5 2" xfId="12719"/>
    <cellStyle name="60% - Ênfase6 6" xfId="12720"/>
    <cellStyle name="60% - Ênfase6 6 2" xfId="12721"/>
    <cellStyle name="60% - Ênfase6 7" xfId="12722"/>
    <cellStyle name="60% - Ênfase6 7 2" xfId="12723"/>
    <cellStyle name="60% - Ênfase6 8" xfId="12724"/>
    <cellStyle name="60% - Ênfase6 8 2" xfId="12725"/>
    <cellStyle name="60% - Ênfase6 9" xfId="12726"/>
    <cellStyle name="60% - Énfasis1" xfId="12727"/>
    <cellStyle name="60% - Énfasis2" xfId="12728"/>
    <cellStyle name="60% - Énfasis3" xfId="12729"/>
    <cellStyle name="60% - Énfasis4" xfId="12730"/>
    <cellStyle name="60% - Énfasis5" xfId="12731"/>
    <cellStyle name="60% - Énfasis6" xfId="12732"/>
    <cellStyle name="60% - 강조색1" xfId="12733"/>
    <cellStyle name="60% - 강조색1 10" xfId="12734"/>
    <cellStyle name="60% - 강조색1 11" xfId="12735"/>
    <cellStyle name="60% - 강조색1 12" xfId="12736"/>
    <cellStyle name="60% - 강조색1 2" xfId="12737"/>
    <cellStyle name="60% - 강조색1 2 2" xfId="12738"/>
    <cellStyle name="60% - 강조색1 2 2 2" xfId="12739"/>
    <cellStyle name="60% - 강조색1 2 2 3" xfId="12740"/>
    <cellStyle name="60% - 강조색1 2 3" xfId="12741"/>
    <cellStyle name="60% - 강조색1 2 3 2" xfId="12742"/>
    <cellStyle name="60% - 강조색1 2 3 3" xfId="12743"/>
    <cellStyle name="60% - 강조색1 2 4" xfId="12744"/>
    <cellStyle name="60% - 강조색1 2 5" xfId="12745"/>
    <cellStyle name="60% - 강조색1 2 6" xfId="12746"/>
    <cellStyle name="60% - 강조색1 2_master file" xfId="12747"/>
    <cellStyle name="60% - 강조색1 3" xfId="12748"/>
    <cellStyle name="60% - 강조색1 3 2" xfId="12749"/>
    <cellStyle name="60% - 강조색1 3 2 2" xfId="12750"/>
    <cellStyle name="60% - 강조색1 3 2 3" xfId="12751"/>
    <cellStyle name="60% - 강조색1 3 2 4" xfId="12752"/>
    <cellStyle name="60% - 강조색1 3 3" xfId="12753"/>
    <cellStyle name="60% - 강조색1 3 3 2" xfId="12754"/>
    <cellStyle name="60% - 강조색1 3 3 3" xfId="12755"/>
    <cellStyle name="60% - 강조색1 3 3 4" xfId="12756"/>
    <cellStyle name="60% - 강조색1 3 4" xfId="12757"/>
    <cellStyle name="60% - 강조색1 3 4 2" xfId="12758"/>
    <cellStyle name="60% - 강조색1 3 4 3" xfId="12759"/>
    <cellStyle name="60% - 강조색1 3 5" xfId="12760"/>
    <cellStyle name="60% - 강조색1 3 5 2" xfId="12761"/>
    <cellStyle name="60% - 강조색1 3 5 3" xfId="12762"/>
    <cellStyle name="60% - 강조색1 3 6" xfId="12763"/>
    <cellStyle name="60% - 강조색1 3 7" xfId="12764"/>
    <cellStyle name="60% - 강조색1 3 8" xfId="12765"/>
    <cellStyle name="60% - 강조색1 3_master file" xfId="12766"/>
    <cellStyle name="60% - 강조색1 4" xfId="12767"/>
    <cellStyle name="60% - 강조색1 4 2" xfId="12768"/>
    <cellStyle name="60% - 강조색1 4 3" xfId="12769"/>
    <cellStyle name="60% - 강조색1 4 4" xfId="12770"/>
    <cellStyle name="60% - 강조색1 5" xfId="12771"/>
    <cellStyle name="60% - 강조색1 6" xfId="12772"/>
    <cellStyle name="60% - 강조색1 7" xfId="12773"/>
    <cellStyle name="60% - 강조색1 8" xfId="12774"/>
    <cellStyle name="60% - 강조색1 9" xfId="12775"/>
    <cellStyle name="60% - 강조색2" xfId="12776"/>
    <cellStyle name="60% - 강조색2 10" xfId="12777"/>
    <cellStyle name="60% - 강조색2 11" xfId="12778"/>
    <cellStyle name="60% - 강조색2 12" xfId="12779"/>
    <cellStyle name="60% - 강조색2 2" xfId="12780"/>
    <cellStyle name="60% - 강조색2 2 2" xfId="12781"/>
    <cellStyle name="60% - 강조색2 2 2 2" xfId="12782"/>
    <cellStyle name="60% - 강조색2 2 2 3" xfId="12783"/>
    <cellStyle name="60% - 강조색2 2 3" xfId="12784"/>
    <cellStyle name="60% - 강조색2 2 3 2" xfId="12785"/>
    <cellStyle name="60% - 강조색2 2 3 3" xfId="12786"/>
    <cellStyle name="60% - 강조색2 2 4" xfId="12787"/>
    <cellStyle name="60% - 강조색2 2 5" xfId="12788"/>
    <cellStyle name="60% - 강조색2 2 6" xfId="12789"/>
    <cellStyle name="60% - 강조색2 2_master file" xfId="12790"/>
    <cellStyle name="60% - 강조색2 3" xfId="12791"/>
    <cellStyle name="60% - 강조색2 3 2" xfId="12792"/>
    <cellStyle name="60% - 강조색2 3 2 2" xfId="12793"/>
    <cellStyle name="60% - 강조색2 3 2 3" xfId="12794"/>
    <cellStyle name="60% - 강조색2 3 2 4" xfId="12795"/>
    <cellStyle name="60% - 강조색2 3 3" xfId="12796"/>
    <cellStyle name="60% - 강조색2 3 3 2" xfId="12797"/>
    <cellStyle name="60% - 강조색2 3 3 3" xfId="12798"/>
    <cellStyle name="60% - 강조색2 3 3 4" xfId="12799"/>
    <cellStyle name="60% - 강조색2 3 4" xfId="12800"/>
    <cellStyle name="60% - 강조색2 3 4 2" xfId="12801"/>
    <cellStyle name="60% - 강조색2 3 4 3" xfId="12802"/>
    <cellStyle name="60% - 강조색2 3 5" xfId="12803"/>
    <cellStyle name="60% - 강조색2 3 5 2" xfId="12804"/>
    <cellStyle name="60% - 강조색2 3 5 3" xfId="12805"/>
    <cellStyle name="60% - 강조색2 3 6" xfId="12806"/>
    <cellStyle name="60% - 강조색2 3 7" xfId="12807"/>
    <cellStyle name="60% - 강조색2 3 8" xfId="12808"/>
    <cellStyle name="60% - 강조색2 3_master file" xfId="12809"/>
    <cellStyle name="60% - 강조색2 4" xfId="12810"/>
    <cellStyle name="60% - 강조색2 4 2" xfId="12811"/>
    <cellStyle name="60% - 강조색2 4 3" xfId="12812"/>
    <cellStyle name="60% - 강조색2 4 4" xfId="12813"/>
    <cellStyle name="60% - 강조색2 5" xfId="12814"/>
    <cellStyle name="60% - 강조색2 6" xfId="12815"/>
    <cellStyle name="60% - 강조색2 7" xfId="12816"/>
    <cellStyle name="60% - 강조색2 8" xfId="12817"/>
    <cellStyle name="60% - 강조색2 9" xfId="12818"/>
    <cellStyle name="60% - 강조색3" xfId="12819"/>
    <cellStyle name="60% - 강조색3 10" xfId="12820"/>
    <cellStyle name="60% - 강조색3 11" xfId="12821"/>
    <cellStyle name="60% - 강조색3 12" xfId="12822"/>
    <cellStyle name="60% - 강조색3 2" xfId="12823"/>
    <cellStyle name="60% - 강조색3 2 2" xfId="12824"/>
    <cellStyle name="60% - 강조색3 2 2 2" xfId="12825"/>
    <cellStyle name="60% - 강조색3 2 2 3" xfId="12826"/>
    <cellStyle name="60% - 강조색3 2 3" xfId="12827"/>
    <cellStyle name="60% - 강조색3 2 3 2" xfId="12828"/>
    <cellStyle name="60% - 강조색3 2 3 3" xfId="12829"/>
    <cellStyle name="60% - 강조색3 2 4" xfId="12830"/>
    <cellStyle name="60% - 강조색3 2 5" xfId="12831"/>
    <cellStyle name="60% - 강조색3 2 6" xfId="12832"/>
    <cellStyle name="60% - 강조색3 2_master file" xfId="12833"/>
    <cellStyle name="60% - 강조색3 3" xfId="12834"/>
    <cellStyle name="60% - 강조색3 3 2" xfId="12835"/>
    <cellStyle name="60% - 강조색3 3 2 2" xfId="12836"/>
    <cellStyle name="60% - 강조색3 3 2 3" xfId="12837"/>
    <cellStyle name="60% - 강조색3 3 2 4" xfId="12838"/>
    <cellStyle name="60% - 강조색3 3 3" xfId="12839"/>
    <cellStyle name="60% - 강조색3 3 3 2" xfId="12840"/>
    <cellStyle name="60% - 강조색3 3 3 3" xfId="12841"/>
    <cellStyle name="60% - 강조색3 3 3 4" xfId="12842"/>
    <cellStyle name="60% - 강조색3 3 4" xfId="12843"/>
    <cellStyle name="60% - 강조색3 3 4 2" xfId="12844"/>
    <cellStyle name="60% - 강조색3 3 4 3" xfId="12845"/>
    <cellStyle name="60% - 강조색3 3 5" xfId="12846"/>
    <cellStyle name="60% - 강조색3 3 5 2" xfId="12847"/>
    <cellStyle name="60% - 강조색3 3 5 3" xfId="12848"/>
    <cellStyle name="60% - 강조색3 3 6" xfId="12849"/>
    <cellStyle name="60% - 강조색3 3 7" xfId="12850"/>
    <cellStyle name="60% - 강조색3 3 8" xfId="12851"/>
    <cellStyle name="60% - 강조색3 3_master file" xfId="12852"/>
    <cellStyle name="60% - 강조색3 4" xfId="12853"/>
    <cellStyle name="60% - 강조색3 4 2" xfId="12854"/>
    <cellStyle name="60% - 강조색3 4 3" xfId="12855"/>
    <cellStyle name="60% - 강조색3 4 4" xfId="12856"/>
    <cellStyle name="60% - 강조색3 5" xfId="12857"/>
    <cellStyle name="60% - 강조색3 6" xfId="12858"/>
    <cellStyle name="60% - 강조색3 7" xfId="12859"/>
    <cellStyle name="60% - 강조색3 8" xfId="12860"/>
    <cellStyle name="60% - 강조색3 9" xfId="12861"/>
    <cellStyle name="60% - 강조색4" xfId="12862"/>
    <cellStyle name="60% - 강조색4 10" xfId="12863"/>
    <cellStyle name="60% - 강조색4 11" xfId="12864"/>
    <cellStyle name="60% - 강조색4 12" xfId="12865"/>
    <cellStyle name="60% - 강조색4 2" xfId="12866"/>
    <cellStyle name="60% - 강조색4 2 2" xfId="12867"/>
    <cellStyle name="60% - 강조색4 2 2 2" xfId="12868"/>
    <cellStyle name="60% - 강조색4 2 2 3" xfId="12869"/>
    <cellStyle name="60% - 강조색4 2 3" xfId="12870"/>
    <cellStyle name="60% - 강조색4 2 3 2" xfId="12871"/>
    <cellStyle name="60% - 강조색4 2 3 3" xfId="12872"/>
    <cellStyle name="60% - 강조색4 2 4" xfId="12873"/>
    <cellStyle name="60% - 강조색4 2 5" xfId="12874"/>
    <cellStyle name="60% - 강조색4 2 6" xfId="12875"/>
    <cellStyle name="60% - 강조색4 2_master file" xfId="12876"/>
    <cellStyle name="60% - 강조색4 3" xfId="12877"/>
    <cellStyle name="60% - 강조색4 3 2" xfId="12878"/>
    <cellStyle name="60% - 강조색4 3 2 2" xfId="12879"/>
    <cellStyle name="60% - 강조색4 3 2 3" xfId="12880"/>
    <cellStyle name="60% - 강조색4 3 2 4" xfId="12881"/>
    <cellStyle name="60% - 강조색4 3 3" xfId="12882"/>
    <cellStyle name="60% - 강조색4 3 3 2" xfId="12883"/>
    <cellStyle name="60% - 강조색4 3 3 3" xfId="12884"/>
    <cellStyle name="60% - 강조색4 3 3 4" xfId="12885"/>
    <cellStyle name="60% - 강조색4 3 4" xfId="12886"/>
    <cellStyle name="60% - 강조색4 3 4 2" xfId="12887"/>
    <cellStyle name="60% - 강조색4 3 4 3" xfId="12888"/>
    <cellStyle name="60% - 강조색4 3 5" xfId="12889"/>
    <cellStyle name="60% - 강조색4 3 5 2" xfId="12890"/>
    <cellStyle name="60% - 강조색4 3 5 3" xfId="12891"/>
    <cellStyle name="60% - 강조색4 3 6" xfId="12892"/>
    <cellStyle name="60% - 강조색4 3 7" xfId="12893"/>
    <cellStyle name="60% - 강조색4 3 8" xfId="12894"/>
    <cellStyle name="60% - 강조색4 3_master file" xfId="12895"/>
    <cellStyle name="60% - 강조색4 4" xfId="12896"/>
    <cellStyle name="60% - 강조색4 4 2" xfId="12897"/>
    <cellStyle name="60% - 강조색4 4 3" xfId="12898"/>
    <cellStyle name="60% - 강조색4 4 4" xfId="12899"/>
    <cellStyle name="60% - 강조색4 5" xfId="12900"/>
    <cellStyle name="60% - 강조색4 6" xfId="12901"/>
    <cellStyle name="60% - 강조색4 7" xfId="12902"/>
    <cellStyle name="60% - 강조색4 8" xfId="12903"/>
    <cellStyle name="60% - 강조색4 9" xfId="12904"/>
    <cellStyle name="60% - 강조색5" xfId="12905"/>
    <cellStyle name="60% - 강조색5 10" xfId="12906"/>
    <cellStyle name="60% - 강조색5 11" xfId="12907"/>
    <cellStyle name="60% - 강조색5 12" xfId="12908"/>
    <cellStyle name="60% - 강조색5 2" xfId="12909"/>
    <cellStyle name="60% - 강조색5 2 2" xfId="12910"/>
    <cellStyle name="60% - 강조색5 2 2 2" xfId="12911"/>
    <cellStyle name="60% - 강조색5 2 2 3" xfId="12912"/>
    <cellStyle name="60% - 강조색5 2 3" xfId="12913"/>
    <cellStyle name="60% - 강조색5 2 3 2" xfId="12914"/>
    <cellStyle name="60% - 강조색5 2 3 3" xfId="12915"/>
    <cellStyle name="60% - 강조색5 2 4" xfId="12916"/>
    <cellStyle name="60% - 강조색5 2 5" xfId="12917"/>
    <cellStyle name="60% - 강조색5 2 6" xfId="12918"/>
    <cellStyle name="60% - 강조색5 2_master file" xfId="12919"/>
    <cellStyle name="60% - 강조색5 3" xfId="12920"/>
    <cellStyle name="60% - 강조색5 3 2" xfId="12921"/>
    <cellStyle name="60% - 강조색5 3 2 2" xfId="12922"/>
    <cellStyle name="60% - 강조색5 3 2 3" xfId="12923"/>
    <cellStyle name="60% - 강조색5 3 2 4" xfId="12924"/>
    <cellStyle name="60% - 강조색5 3 3" xfId="12925"/>
    <cellStyle name="60% - 강조색5 3 3 2" xfId="12926"/>
    <cellStyle name="60% - 강조색5 3 3 3" xfId="12927"/>
    <cellStyle name="60% - 강조색5 3 3 4" xfId="12928"/>
    <cellStyle name="60% - 강조색5 3 4" xfId="12929"/>
    <cellStyle name="60% - 강조색5 3 4 2" xfId="12930"/>
    <cellStyle name="60% - 강조색5 3 4 3" xfId="12931"/>
    <cellStyle name="60% - 강조색5 3 5" xfId="12932"/>
    <cellStyle name="60% - 강조색5 3 5 2" xfId="12933"/>
    <cellStyle name="60% - 강조색5 3 5 3" xfId="12934"/>
    <cellStyle name="60% - 강조색5 3 6" xfId="12935"/>
    <cellStyle name="60% - 강조색5 3 7" xfId="12936"/>
    <cellStyle name="60% - 강조색5 3 8" xfId="12937"/>
    <cellStyle name="60% - 강조색5 3_master file" xfId="12938"/>
    <cellStyle name="60% - 강조색5 4" xfId="12939"/>
    <cellStyle name="60% - 강조색5 4 2" xfId="12940"/>
    <cellStyle name="60% - 강조색5 4 3" xfId="12941"/>
    <cellStyle name="60% - 강조색5 4 4" xfId="12942"/>
    <cellStyle name="60% - 강조색5 5" xfId="12943"/>
    <cellStyle name="60% - 강조색5 6" xfId="12944"/>
    <cellStyle name="60% - 강조색5 7" xfId="12945"/>
    <cellStyle name="60% - 강조색5 8" xfId="12946"/>
    <cellStyle name="60% - 강조색5 9" xfId="12947"/>
    <cellStyle name="60% - 강조색6" xfId="12948"/>
    <cellStyle name="60% - 강조색6 10" xfId="12949"/>
    <cellStyle name="60% - 강조색6 11" xfId="12950"/>
    <cellStyle name="60% - 강조색6 12" xfId="12951"/>
    <cellStyle name="60% - 강조색6 2" xfId="12952"/>
    <cellStyle name="60% - 강조색6 2 2" xfId="12953"/>
    <cellStyle name="60% - 강조색6 2 2 2" xfId="12954"/>
    <cellStyle name="60% - 강조색6 2 2 3" xfId="12955"/>
    <cellStyle name="60% - 강조색6 2 3" xfId="12956"/>
    <cellStyle name="60% - 강조색6 2 3 2" xfId="12957"/>
    <cellStyle name="60% - 강조색6 2 3 3" xfId="12958"/>
    <cellStyle name="60% - 강조색6 2 4" xfId="12959"/>
    <cellStyle name="60% - 강조색6 2 5" xfId="12960"/>
    <cellStyle name="60% - 강조색6 2 6" xfId="12961"/>
    <cellStyle name="60% - 강조색6 2_master file" xfId="12962"/>
    <cellStyle name="60% - 강조색6 3" xfId="12963"/>
    <cellStyle name="60% - 강조색6 3 2" xfId="12964"/>
    <cellStyle name="60% - 강조색6 3 2 2" xfId="12965"/>
    <cellStyle name="60% - 강조색6 3 2 3" xfId="12966"/>
    <cellStyle name="60% - 강조색6 3 2 4" xfId="12967"/>
    <cellStyle name="60% - 강조색6 3 3" xfId="12968"/>
    <cellStyle name="60% - 강조색6 3 3 2" xfId="12969"/>
    <cellStyle name="60% - 강조색6 3 3 3" xfId="12970"/>
    <cellStyle name="60% - 강조색6 3 3 4" xfId="12971"/>
    <cellStyle name="60% - 강조색6 3 4" xfId="12972"/>
    <cellStyle name="60% - 강조색6 3 4 2" xfId="12973"/>
    <cellStyle name="60% - 강조색6 3 4 3" xfId="12974"/>
    <cellStyle name="60% - 강조색6 3 5" xfId="12975"/>
    <cellStyle name="60% - 강조색6 3 5 2" xfId="12976"/>
    <cellStyle name="60% - 강조색6 3 5 3" xfId="12977"/>
    <cellStyle name="60% - 강조색6 3 6" xfId="12978"/>
    <cellStyle name="60% - 강조색6 3 7" xfId="12979"/>
    <cellStyle name="60% - 강조색6 3 8" xfId="12980"/>
    <cellStyle name="60% - 강조색6 3_master file" xfId="12981"/>
    <cellStyle name="60% - 강조색6 4" xfId="12982"/>
    <cellStyle name="60% - 강조색6 4 2" xfId="12983"/>
    <cellStyle name="60% - 강조색6 4 3" xfId="12984"/>
    <cellStyle name="60% - 강조색6 4 4" xfId="12985"/>
    <cellStyle name="60% - 강조색6 5" xfId="12986"/>
    <cellStyle name="60% - 강조색6 6" xfId="12987"/>
    <cellStyle name="60% - 강조색6 7" xfId="12988"/>
    <cellStyle name="60% - 강조색6 8" xfId="12989"/>
    <cellStyle name="60% - 강조색6 9" xfId="12990"/>
    <cellStyle name="60% - 强调文字颜色 1" xfId="12991"/>
    <cellStyle name="60% - 强调文字颜色 1 2" xfId="12992"/>
    <cellStyle name="60% - 强调文字颜色 1 2 2" xfId="12993"/>
    <cellStyle name="60% - 强调文字颜色 1 2 3" xfId="12994"/>
    <cellStyle name="60% - 强调文字颜色 1 2_w17_DP_LATAM_100428" xfId="12995"/>
    <cellStyle name="60% - 强调文字颜色 1 3" xfId="12996"/>
    <cellStyle name="60% - 强调文字颜色 1 3 2" xfId="12997"/>
    <cellStyle name="60% - 强调文字颜色 1 3 3" xfId="12998"/>
    <cellStyle name="60% - 强调文字颜色 1 3_w17_DP_LATAM_100428" xfId="12999"/>
    <cellStyle name="60% - 强调文字颜色 1 4" xfId="13000"/>
    <cellStyle name="60% - 强调文字颜色 1 4 2" xfId="13001"/>
    <cellStyle name="60% - 强调文字颜色 1 4 3" xfId="13002"/>
    <cellStyle name="60% - 强调文字颜色 1 4_w17_DP_LATAM_100428" xfId="13003"/>
    <cellStyle name="60% - 强调文字颜色 1 5" xfId="13004"/>
    <cellStyle name="60% - 强调文字颜色 1 5 2" xfId="13005"/>
    <cellStyle name="60% - 强调文字颜色 1 5 3" xfId="13006"/>
    <cellStyle name="60% - 强调文字颜色 1 5_w17_DP_LATAM_100428" xfId="13007"/>
    <cellStyle name="60% - 强调文字颜色 1 6" xfId="13008"/>
    <cellStyle name="60% - 强调文字颜色 1 6 2" xfId="13009"/>
    <cellStyle name="60% - 强调文字颜色 1 6 3" xfId="13010"/>
    <cellStyle name="60% - 强调文字颜色 1 6_w17_DP_LATAM_100428" xfId="13011"/>
    <cellStyle name="60% - 强调文字颜色 1 7" xfId="13012"/>
    <cellStyle name="60% - 强调文字颜色 1 7 2" xfId="13013"/>
    <cellStyle name="60% - 强调文字颜色 1 7 3" xfId="13014"/>
    <cellStyle name="60% - 强调文字颜色 1 7_w17_DP_LATAM_100428" xfId="13015"/>
    <cellStyle name="60% - 强调文字颜色 1 8" xfId="13016"/>
    <cellStyle name="60% - 强调文字颜色 1 9" xfId="13017"/>
    <cellStyle name="60% - 强调文字颜色 1_w17_DP_LATAM_100428" xfId="13018"/>
    <cellStyle name="60% - 强调文字颜色 2" xfId="13019"/>
    <cellStyle name="60% - 强调文字颜色 2 2" xfId="13020"/>
    <cellStyle name="60% - 强调文字颜色 2 2 2" xfId="13021"/>
    <cellStyle name="60% - 强调文字颜色 2 2 3" xfId="13022"/>
    <cellStyle name="60% - 强调文字颜色 2 2_w17_DP_LATAM_100428" xfId="13023"/>
    <cellStyle name="60% - 强调文字颜色 2 3" xfId="13024"/>
    <cellStyle name="60% - 强调文字颜色 2 3 2" xfId="13025"/>
    <cellStyle name="60% - 强调文字颜色 2 3 3" xfId="13026"/>
    <cellStyle name="60% - 强调文字颜色 2 3_w17_DP_LATAM_100428" xfId="13027"/>
    <cellStyle name="60% - 强调文字颜色 2 4" xfId="13028"/>
    <cellStyle name="60% - 强调文字颜色 2 4 2" xfId="13029"/>
    <cellStyle name="60% - 强调文字颜色 2 4 3" xfId="13030"/>
    <cellStyle name="60% - 强调文字颜色 2 4_w17_DP_LATAM_100428" xfId="13031"/>
    <cellStyle name="60% - 强调文字颜色 2 5" xfId="13032"/>
    <cellStyle name="60% - 强调文字颜色 2 5 2" xfId="13033"/>
    <cellStyle name="60% - 强调文字颜色 2 5 3" xfId="13034"/>
    <cellStyle name="60% - 强调文字颜色 2 5_w17_DP_LATAM_100428" xfId="13035"/>
    <cellStyle name="60% - 强调文字颜色 2 6" xfId="13036"/>
    <cellStyle name="60% - 强调文字颜色 2 6 2" xfId="13037"/>
    <cellStyle name="60% - 强调文字颜色 2 6 3" xfId="13038"/>
    <cellStyle name="60% - 强调文字颜色 2 6_w17_DP_LATAM_100428" xfId="13039"/>
    <cellStyle name="60% - 强调文字颜色 2 7" xfId="13040"/>
    <cellStyle name="60% - 强调文字颜色 2 7 2" xfId="13041"/>
    <cellStyle name="60% - 强调文字颜色 2 7 3" xfId="13042"/>
    <cellStyle name="60% - 强调文字颜色 2 7_w17_DP_LATAM_100428" xfId="13043"/>
    <cellStyle name="60% - 强调文字颜色 2 8" xfId="13044"/>
    <cellStyle name="60% - 强调文字颜色 2 9" xfId="13045"/>
    <cellStyle name="60% - 强调文字颜色 2_w17_DP_LATAM_100428" xfId="13046"/>
    <cellStyle name="60% - 强调文字颜色 3" xfId="13047"/>
    <cellStyle name="60% - 强调文字颜色 3 2" xfId="13048"/>
    <cellStyle name="60% - 强调文字颜色 3 2 2" xfId="13049"/>
    <cellStyle name="60% - 强调文字颜色 3 2 3" xfId="13050"/>
    <cellStyle name="60% - 强调文字颜色 3 2_w17_DP_LATAM_100428" xfId="13051"/>
    <cellStyle name="60% - 强调文字颜色 3 3" xfId="13052"/>
    <cellStyle name="60% - 强调文字颜色 3 3 2" xfId="13053"/>
    <cellStyle name="60% - 强调文字颜色 3 3 3" xfId="13054"/>
    <cellStyle name="60% - 强调文字颜色 3 3_w17_DP_LATAM_100428" xfId="13055"/>
    <cellStyle name="60% - 强调文字颜色 3 4" xfId="13056"/>
    <cellStyle name="60% - 强调文字颜色 3 4 2" xfId="13057"/>
    <cellStyle name="60% - 强调文字颜色 3 4 3" xfId="13058"/>
    <cellStyle name="60% - 强调文字颜色 3 4_w17_DP_LATAM_100428" xfId="13059"/>
    <cellStyle name="60% - 强调文字颜色 3 5" xfId="13060"/>
    <cellStyle name="60% - 强调文字颜色 3 5 2" xfId="13061"/>
    <cellStyle name="60% - 强调文字颜色 3 5 3" xfId="13062"/>
    <cellStyle name="60% - 强调文字颜色 3 5_w17_DP_LATAM_100428" xfId="13063"/>
    <cellStyle name="60% - 强调文字颜色 3 6" xfId="13064"/>
    <cellStyle name="60% - 强调文字颜色 3 6 2" xfId="13065"/>
    <cellStyle name="60% - 强调文字颜色 3 6 3" xfId="13066"/>
    <cellStyle name="60% - 强调文字颜色 3 6_w17_DP_LATAM_100428" xfId="13067"/>
    <cellStyle name="60% - 强调文字颜色 3 7" xfId="13068"/>
    <cellStyle name="60% - 强调文字颜色 3 7 2" xfId="13069"/>
    <cellStyle name="60% - 强调文字颜色 3 7 3" xfId="13070"/>
    <cellStyle name="60% - 强调文字颜色 3 7_w17_DP_LATAM_100428" xfId="13071"/>
    <cellStyle name="60% - 强调文字颜色 3 8" xfId="13072"/>
    <cellStyle name="60% - 强调文字颜色 3 9" xfId="13073"/>
    <cellStyle name="60% - 强调文字颜色 3_w17_DP_LATAM_100428" xfId="13074"/>
    <cellStyle name="60% - 强调文字颜色 4" xfId="13075"/>
    <cellStyle name="60% - 强调文字颜色 4 2" xfId="13076"/>
    <cellStyle name="60% - 强调文字颜色 4 2 2" xfId="13077"/>
    <cellStyle name="60% - 强调文字颜色 4 2 3" xfId="13078"/>
    <cellStyle name="60% - 强调文字颜色 4 2_w17_DP_LATAM_100428" xfId="13079"/>
    <cellStyle name="60% - 强调文字颜色 4 3" xfId="13080"/>
    <cellStyle name="60% - 强调文字颜色 4 3 2" xfId="13081"/>
    <cellStyle name="60% - 强调文字颜色 4 3 3" xfId="13082"/>
    <cellStyle name="60% - 强调文字颜色 4 3_w17_DP_LATAM_100428" xfId="13083"/>
    <cellStyle name="60% - 强调文字颜色 4 4" xfId="13084"/>
    <cellStyle name="60% - 强调文字颜色 4 4 2" xfId="13085"/>
    <cellStyle name="60% - 强调文字颜色 4 4 3" xfId="13086"/>
    <cellStyle name="60% - 强调文字颜色 4 4_w17_DP_LATAM_100428" xfId="13087"/>
    <cellStyle name="60% - 强调文字颜色 4 5" xfId="13088"/>
    <cellStyle name="60% - 强调文字颜色 4 5 2" xfId="13089"/>
    <cellStyle name="60% - 强调文字颜色 4 5 3" xfId="13090"/>
    <cellStyle name="60% - 强调文字颜色 4 5_w17_DP_LATAM_100428" xfId="13091"/>
    <cellStyle name="60% - 强调文字颜色 4 6" xfId="13092"/>
    <cellStyle name="60% - 强调文字颜色 4 6 2" xfId="13093"/>
    <cellStyle name="60% - 强调文字颜色 4 6 3" xfId="13094"/>
    <cellStyle name="60% - 强调文字颜色 4 6_w17_DP_LATAM_100428" xfId="13095"/>
    <cellStyle name="60% - 强调文字颜色 4 7" xfId="13096"/>
    <cellStyle name="60% - 强调文字颜色 4 7 2" xfId="13097"/>
    <cellStyle name="60% - 强调文字颜色 4 7 3" xfId="13098"/>
    <cellStyle name="60% - 强调文字颜色 4 7_w17_DP_LATAM_100428" xfId="13099"/>
    <cellStyle name="60% - 强调文字颜色 4 8" xfId="13100"/>
    <cellStyle name="60% - 强调文字颜色 4 9" xfId="13101"/>
    <cellStyle name="60% - 强调文字颜色 4_w17_DP_LATAM_100428" xfId="13102"/>
    <cellStyle name="60% - 强调文字颜色 5" xfId="13103"/>
    <cellStyle name="60% - 强调文字颜色 5 2" xfId="13104"/>
    <cellStyle name="60% - 强调文字颜色 5 2 2" xfId="13105"/>
    <cellStyle name="60% - 强调文字颜色 5 2 3" xfId="13106"/>
    <cellStyle name="60% - 强调文字颜色 5 2_w17_DP_LATAM_100428" xfId="13107"/>
    <cellStyle name="60% - 强调文字颜色 5 3" xfId="13108"/>
    <cellStyle name="60% - 强调文字颜色 5 3 2" xfId="13109"/>
    <cellStyle name="60% - 强调文字颜色 5 3 3" xfId="13110"/>
    <cellStyle name="60% - 强调文字颜色 5 3_w17_DP_LATAM_100428" xfId="13111"/>
    <cellStyle name="60% - 强调文字颜色 5 4" xfId="13112"/>
    <cellStyle name="60% - 强调文字颜色 5 4 2" xfId="13113"/>
    <cellStyle name="60% - 强调文字颜色 5 4 3" xfId="13114"/>
    <cellStyle name="60% - 强调文字颜色 5 4_w17_DP_LATAM_100428" xfId="13115"/>
    <cellStyle name="60% - 强调文字颜色 5 5" xfId="13116"/>
    <cellStyle name="60% - 强调文字颜色 5 5 2" xfId="13117"/>
    <cellStyle name="60% - 强调文字颜色 5 5 3" xfId="13118"/>
    <cellStyle name="60% - 强调文字颜色 5 5_w17_DP_LATAM_100428" xfId="13119"/>
    <cellStyle name="60% - 强调文字颜色 5 6" xfId="13120"/>
    <cellStyle name="60% - 强调文字颜色 5 6 2" xfId="13121"/>
    <cellStyle name="60% - 强调文字颜色 5 6 3" xfId="13122"/>
    <cellStyle name="60% - 强调文字颜色 5 6_w17_DP_LATAM_100428" xfId="13123"/>
    <cellStyle name="60% - 强调文字颜色 5 7" xfId="13124"/>
    <cellStyle name="60% - 强调文字颜色 5 7 2" xfId="13125"/>
    <cellStyle name="60% - 强调文字颜色 5 7 3" xfId="13126"/>
    <cellStyle name="60% - 强调文字颜色 5 7_w17_DP_LATAM_100428" xfId="13127"/>
    <cellStyle name="60% - 强调文字颜色 5 8" xfId="13128"/>
    <cellStyle name="60% - 强调文字颜色 5 9" xfId="13129"/>
    <cellStyle name="60% - 强调文字颜色 5_w17_DP_LATAM_100428" xfId="13130"/>
    <cellStyle name="60% - 强调文字颜色 6" xfId="13131"/>
    <cellStyle name="60% - 强调文字颜色 6 2" xfId="13132"/>
    <cellStyle name="60% - 强调文字颜色 6 2 2" xfId="13133"/>
    <cellStyle name="60% - 强调文字颜色 6 2 3" xfId="13134"/>
    <cellStyle name="60% - 强调文字颜色 6 2_w17_DP_LATAM_100428" xfId="13135"/>
    <cellStyle name="60% - 强调文字颜色 6 3" xfId="13136"/>
    <cellStyle name="60% - 强调文字颜色 6 3 2" xfId="13137"/>
    <cellStyle name="60% - 强调文字颜色 6 3 3" xfId="13138"/>
    <cellStyle name="60% - 强调文字颜色 6 3_w17_DP_LATAM_100428" xfId="13139"/>
    <cellStyle name="60% - 强调文字颜色 6 4" xfId="13140"/>
    <cellStyle name="60% - 强调文字颜色 6 4 2" xfId="13141"/>
    <cellStyle name="60% - 强调文字颜色 6 4 3" xfId="13142"/>
    <cellStyle name="60% - 强调文字颜色 6 4_w17_DP_LATAM_100428" xfId="13143"/>
    <cellStyle name="60% - 强调文字颜色 6 5" xfId="13144"/>
    <cellStyle name="60% - 强调文字颜色 6 5 2" xfId="13145"/>
    <cellStyle name="60% - 强调文字颜色 6 5 3" xfId="13146"/>
    <cellStyle name="60% - 强调文字颜色 6 5_w17_DP_LATAM_100428" xfId="13147"/>
    <cellStyle name="60% - 强调文字颜色 6 6" xfId="13148"/>
    <cellStyle name="60% - 强调文字颜色 6 6 2" xfId="13149"/>
    <cellStyle name="60% - 强调文字颜色 6 6 3" xfId="13150"/>
    <cellStyle name="60% - 强调文字颜色 6 6_w17_DP_LATAM_100428" xfId="13151"/>
    <cellStyle name="60% - 强调文字颜色 6 7" xfId="13152"/>
    <cellStyle name="60% - 强调文字颜色 6 7 2" xfId="13153"/>
    <cellStyle name="60% - 强调文字颜色 6 7 3" xfId="13154"/>
    <cellStyle name="60% - 强调文字颜色 6 7_w17_DP_LATAM_100428" xfId="13155"/>
    <cellStyle name="60% - 强调文字颜色 6 8" xfId="13156"/>
    <cellStyle name="60% - 强调文字颜色 6 9" xfId="13157"/>
    <cellStyle name="60% - 强调文字颜色 6_w17_DP_LATAM_100428" xfId="13158"/>
    <cellStyle name="6mal" xfId="13159"/>
    <cellStyle name="7" xfId="13160"/>
    <cellStyle name="7 2" xfId="13161"/>
    <cellStyle name="7_(분리)BAT관리 SHEET 128 4월2주차+국판1차" xfId="13162"/>
    <cellStyle name="7_(분리)BAT관리 SHEET 128 4월2주차+국판1차_(분리)BAT관리 SHEET 158 7월1주차+국판1차" xfId="13163"/>
    <cellStyle name="7_(분리)BAT관리 SHEET 128 4월2주차+국판1차_(분리)BAT관리 SHEET 158 7월1주차+국판1차_100122 전마팀장 보고 자료" xfId="13164"/>
    <cellStyle name="7_(분리)BAT관리 SHEET 128 4월2주차+국판1차_(분리)BAT관리 SHEET 158 7월1주차+국판1차_10Q1 2차 가격안(시뮬레이션)_OH변경후_2" xfId="13165"/>
    <cellStyle name="7_(분리)BAT관리 SHEET 128 4월2주차+국판1차_(분리)BAT관리 SHEET 158 7월1주차+국판1차_10Q1 2차 가격안(시뮬레이션)_OH변경후_2_simulation" xfId="13166"/>
    <cellStyle name="7_(분리)BAT관리 SHEET 128 4월2주차+국판1차_(분리)BAT관리 SHEET 158 7월1주차+국판1차_10Q1 2차 가격안(시뮬레이션)_OH변경후_2_TEM 2010 Q2 Volume_Forecast" xfId="13167"/>
    <cellStyle name="7_(분리)BAT관리 SHEET 128 4월2주차+국판1차_(분리)BAT관리 SHEET 158 7월1주차+국판1차_10Q1 2차 가격안(시뮬레이션)_OH변경후_2_TEM 2010 Q2 Volume_Forecast_simulation" xfId="13168"/>
    <cellStyle name="7_(분리)BAT관리 SHEET 128 4월2주차+국판1차_(분리)BAT관리 SHEET 158 7월1주차+국판1차_10Q1 TEM 가격 물량 안(영업)_경쟁사가격포함" xfId="13169"/>
    <cellStyle name="7_(분리)BAT관리 SHEET 128 4월2주차+국판1차_(분리)BAT관리 SHEET 158 7월1주차+국판1차_10Q1 TEM 가격 물량 안(영업)_경쟁사가격포함_100122 전마팀장 보고 자료" xfId="13170"/>
    <cellStyle name="7_(분리)BAT관리 SHEET 128 4월2주차+국판1차_(분리)BAT관리 SHEET 158 7월1주차+국판1차_10Q1 TEM 가격 물량 안(영업)_경쟁사가격포함_수식포함" xfId="13171"/>
    <cellStyle name="7_(분리)BAT관리 SHEET 128 4월2주차+국판1차_(분리)BAT관리 SHEET 158 7월1주차+국판1차_Rate" xfId="13172"/>
    <cellStyle name="7_(분리)BAT관리 SHEET 128 4월2주차+국판1차_(분리)BAT관리 SHEET 158 7월1주차+국판1차_Rate_simulation" xfId="13173"/>
    <cellStyle name="7_(분리)BAT관리 SHEET 128 4월2주차+국판1차_(분리)BAT관리 SHEET 158 7월1주차+국판1차_Rate_TEM 2010 Q2 Volume_Forecast" xfId="13174"/>
    <cellStyle name="7_(분리)BAT관리 SHEET 128 4월2주차+국판1차_(분리)BAT관리 SHEET 158 7월1주차+국판1차_Rate_TEM 2010 Q2 Volume_Forecast_simulation" xfId="13175"/>
    <cellStyle name="7_(분리)BAT관리 SHEET 128 4월2주차+국판1차_(분리)BAT관리 SHEET 158 7월1주차+국판1차_Telcel 손익" xfId="13176"/>
    <cellStyle name="7_(분리)BAT관리 SHEET 128 4월2주차+국판1차_(분리)BAT관리 SHEET 158 7월1주차+국판1차_Telcel 손익_simulation" xfId="13177"/>
    <cellStyle name="7_(분리)BAT관리 SHEET 128 4월2주차+국판1차_(분리)BAT관리 SHEET 158 7월1주차+국판1차_Telcel 손익_TEM 2010 Q2 Volume_Forecast" xfId="13178"/>
    <cellStyle name="7_(분리)BAT관리 SHEET 128 4월2주차+국판1차_(분리)BAT관리 SHEET 158 7월1주차+국판1차_Telcel 손익_TEM 2010 Q2 Volume_Forecast_simulation" xfId="13179"/>
    <cellStyle name="7_(분리)BAT관리 SHEET 128 4월2주차+국판1차_(분리)BAT관리 SHEET 158 7월1주차+국판1차_TEM 2010 1Q 2nd offer preparation v1_091026" xfId="13180"/>
    <cellStyle name="7_(분리)BAT관리 SHEET 128 4월2주차+국판1차_(분리)BAT관리 SHEET 158 7월1주차+국판1차_TEM 2010 1Q 2nd offer preparation v1_091026_100122 전마팀장 보고 자료" xfId="13181"/>
    <cellStyle name="7_(분리)BAT관리 SHEET 128 4월2주차+국판1차_(분리)BAT관리 SHEET 158 7월1주차+국판1차_TEM 2010 1Q 2nd offer preparation v1_091026_수식포함" xfId="13182"/>
    <cellStyle name="7_(분리)BAT관리 SHEET 128 4월2주차+국판1차_(분리)BAT관리 SHEET 158 7월1주차+국판1차_TEM 2010 1Q 2nd offer preparation v1_091027" xfId="13183"/>
    <cellStyle name="7_(분리)BAT관리 SHEET 128 4월2주차+국판1차_(분리)BAT관리 SHEET 158 7월1주차+국판1차_TEM 2010 1Q 2nd offer preparation v1_091027_100122 전마팀장 보고 자료" xfId="13184"/>
    <cellStyle name="7_(분리)BAT관리 SHEET 128 4월2주차+국판1차_(분리)BAT관리 SHEET 158 7월1주차+국판1차_TEM 2010 1Q 2nd offer preparation v1_091027_수식포함" xfId="13185"/>
    <cellStyle name="7_(분리)BAT관리 SHEET 128 4월2주차+국판1차_(분리)BAT관리 SHEET 158 7월1주차+국판1차_TEM 2010 1Q 2nd offer preparation(손익시뮬)_091027" xfId="13186"/>
    <cellStyle name="7_(분리)BAT관리 SHEET 128 4월2주차+국판1차_(분리)BAT관리 SHEET 158 7월1주차+국판1차_TEM 2010 1Q 2nd offer preparation(손익시뮬)_091027_simulation" xfId="13187"/>
    <cellStyle name="7_(분리)BAT관리 SHEET 128 4월2주차+국판1차_(분리)BAT관리 SHEET 158 7월1주차+국판1차_TEM 2010 1Q 2nd offer preparation(손익시뮬)_091027_TEM 2010 Q2 Volume_Forecast" xfId="13188"/>
    <cellStyle name="7_(분리)BAT관리 SHEET 128 4월2주차+국판1차_(분리)BAT관리 SHEET 158 7월1주차+국판1차_TEM 2010 1Q 2nd offer preparation(손익시뮬)_091027_TEM 2010 Q2 Volume_Forecast_simulation" xfId="13189"/>
    <cellStyle name="7_(분리)BAT관리 SHEET 128 4월2주차+국판1차_(분리)BAT관리 SHEET 158 7월1주차+국판1차_TEM 2010 1Q offer preparation v1_090916" xfId="13190"/>
    <cellStyle name="7_(분리)BAT관리 SHEET 128 4월2주차+국판1차_(분리)BAT관리 SHEET 158 7월1주차+국판1차_TEM 2010 1Q offer preparation v1_090916_100122 전마팀장 보고 자료" xfId="13191"/>
    <cellStyle name="7_(분리)BAT관리 SHEET 128 4월2주차+국판1차_(분리)BAT관리 SHEET 158 7월1주차+국판1차_TEM 2010 1Q offer preparation v1_090916_TEM 2010 1Q offer final v3_090929" xfId="13192"/>
    <cellStyle name="7_(분리)BAT관리 SHEET 128 4월2주차+국판1차_(분리)BAT관리 SHEET 158 7월1주차+국판1차_TEM 2010 1Q offer preparation v1_090916_TEM 2010 1Q offer final v3_090929_simulation" xfId="13193"/>
    <cellStyle name="7_(분리)BAT관리 SHEET 128 4월2주차+국판1차_(분리)BAT관리 SHEET 158 7월1주차+국판1차_TEM 2010 1Q offer preparation v1_090916_TEM 2010 1Q offer final v3_090929_TEM 2010 Q2 Volume_Forecast" xfId="13194"/>
    <cellStyle name="7_(분리)BAT관리 SHEET 128 4월2주차+국판1차_(분리)BAT관리 SHEET 158 7월1주차+국판1차_TEM 2010 1Q offer preparation v1_090916_TEM 2010 1Q offer final v3_090929_TEM 2010 Q2 Volume_Forecast_simulation" xfId="13195"/>
    <cellStyle name="7_(분리)BAT관리 SHEET 128 4월2주차+국판1차_(분리)BAT관리 SHEET 158 7월1주차+국판1차_TEM 2010 1Q offer preparation v1_090916_TEM 2010 1Q offer final v3_091005" xfId="13196"/>
    <cellStyle name="7_(분리)BAT관리 SHEET 128 4월2주차+국판1차_(분리)BAT관리 SHEET 158 7월1주차+국판1차_TEM 2010 1Q offer preparation v1_090916_TEM 2010 1Q offer final v3_091005_simulation" xfId="13197"/>
    <cellStyle name="7_(분리)BAT관리 SHEET 128 4월2주차+국판1차_(분리)BAT관리 SHEET 158 7월1주차+국판1차_TEM 2010 1Q offer preparation v1_090916_TEM 2010 1Q offer final v3_091005_TEM 2010 Q2 Volume_Forecast" xfId="13198"/>
    <cellStyle name="7_(분리)BAT관리 SHEET 128 4월2주차+국판1차_(분리)BAT관리 SHEET 158 7월1주차+국판1차_TEM 2010 1Q offer preparation v1_090916_TEM 2010 1Q offer final v3_091005_TEM 2010 Q2 Volume_Forecast_simulation" xfId="13199"/>
    <cellStyle name="7_(분리)BAT관리 SHEET 128 4월2주차+국판1차_(분리)BAT관리 SHEET 158 7월1주차+국판1차_TEM 2010 1Q offer preparation v1_090916_TEM 2010 1Q offer_091006" xfId="13200"/>
    <cellStyle name="7_(분리)BAT관리 SHEET 128 4월2주차+국판1차_(분리)BAT관리 SHEET 158 7월1주차+국판1차_TEM 2010 1Q offer preparation v1_090916_TEM 2010 1Q offer_091006_simulation" xfId="13201"/>
    <cellStyle name="7_(분리)BAT관리 SHEET 128 4월2주차+국판1차_(분리)BAT관리 SHEET 158 7월1주차+국판1차_TEM 2010 1Q offer preparation v1_090916_TEM 2010 1Q offer_091006_TEM 2010 Q2 Volume_Forecast" xfId="13202"/>
    <cellStyle name="7_(분리)BAT관리 SHEET 128 4월2주차+국판1차_(분리)BAT관리 SHEET 158 7월1주차+국판1차_TEM 2010 1Q offer preparation v1_090916_TEM 2010 1Q offer_091006_TEM 2010 Q2 Volume_Forecast_simulation" xfId="13203"/>
    <cellStyle name="7_(분리)BAT관리 SHEET 128 4월2주차+국판1차_(분리)BAT관리 SHEET 158 7월1주차+국판1차_TEM 2010 1Q offer preparation v1_090916_TEM 2010 1Q offer_091014" xfId="13204"/>
    <cellStyle name="7_(분리)BAT관리 SHEET 128 4월2주차+국판1차_(분리)BAT관리 SHEET 158 7월1주차+국판1차_TEM 2010 1Q offer preparation v1_090916_TEM 2010 1Q offer_091014_simulation" xfId="13205"/>
    <cellStyle name="7_(분리)BAT관리 SHEET 128 4월2주차+국판1차_(분리)BAT관리 SHEET 158 7월1주차+국판1차_TEM 2010 1Q offer preparation v1_090916_TEM 2010 1Q offer_091014_TEM 2010 Q2 Volume_Forecast" xfId="13206"/>
    <cellStyle name="7_(분리)BAT관리 SHEET 128 4월2주차+국판1차_(분리)BAT관리 SHEET 158 7월1주차+국판1차_TEM 2010 1Q offer preparation v1_090916_TEM 2010 1Q offer_091014_TEM 2010 Q2 Volume_Forecast_simulation" xfId="13207"/>
    <cellStyle name="7_(분리)BAT관리 SHEET 128 4월2주차+국판1차_(분리)BAT관리 SHEET 158 7월1주차+국판1차_TEM 2010 1Q offer preparation v1_090916_TEM 2010 1Q offer_091015" xfId="13208"/>
    <cellStyle name="7_(분리)BAT관리 SHEET 128 4월2주차+국판1차_(분리)BAT관리 SHEET 158 7월1주차+국판1차_TEM 2010 1Q offer preparation v1_090916_TEM 2010 1Q offer_091015_simulation" xfId="13209"/>
    <cellStyle name="7_(분리)BAT관리 SHEET 128 4월2주차+국판1차_(분리)BAT관리 SHEET 158 7월1주차+국판1차_TEM 2010 1Q offer preparation v1_090916_TEM 2010 1Q offer_091015_TEM 2010 Q2 Volume_Forecast" xfId="13210"/>
    <cellStyle name="7_(분리)BAT관리 SHEET 128 4월2주차+국판1차_(분리)BAT관리 SHEET 158 7월1주차+국판1차_TEM 2010 1Q offer preparation v1_090916_TEM 2010 1Q offer_091015_TEM 2010 Q2 Volume_Forecast_simulation" xfId="13211"/>
    <cellStyle name="7_(분리)BAT관리 SHEET 128 4월2주차+국판1차_(분리)BAT관리 SHEET 158 7월1주차+국판1차_TEM 2010 1Q offer preparation v1_090916_TEM 2010 Q2 Volume_Forecast" xfId="13212"/>
    <cellStyle name="7_(분리)BAT관리 SHEET 128 4월2주차+국판1차_(분리)BAT관리 SHEET 158 7월1주차+국판1차_TEM 2010 1Q offer preparation v1_090916_TEM 2010 Q2 Volume_Forecast_simulation" xfId="13213"/>
    <cellStyle name="7_(분리)BAT관리 SHEET 128 4월2주차+국판1차_(분리)BAT관리 SHEET 158 7월1주차+국판1차_TEM 2010 1Q offer preparation v1_090916_수식포함" xfId="13214"/>
    <cellStyle name="7_(분리)BAT관리 SHEET 128 4월2주차+국판1차_(분리)BAT관리 SHEET 158 7월1주차+국판1차_TEM 2010 1Q offer preparation v3_090917" xfId="13215"/>
    <cellStyle name="7_(분리)BAT관리 SHEET 128 4월2주차+국판1차_(분리)BAT관리 SHEET 158 7월1주차+국판1차_TEM 2010 1Q offer preparation v3_090917_100122 전마팀장 보고 자료" xfId="13216"/>
    <cellStyle name="7_(분리)BAT관리 SHEET 128 4월2주차+국판1차_(분리)BAT관리 SHEET 158 7월1주차+국판1차_TEM 2010 1Q offer preparation v3_090917_TEM 2010 1Q offer final v3_090929" xfId="13217"/>
    <cellStyle name="7_(분리)BAT관리 SHEET 128 4월2주차+국판1차_(분리)BAT관리 SHEET 158 7월1주차+국판1차_TEM 2010 1Q offer preparation v3_090917_TEM 2010 1Q offer final v3_090929_simulation" xfId="13218"/>
    <cellStyle name="7_(분리)BAT관리 SHEET 128 4월2주차+국판1차_(분리)BAT관리 SHEET 158 7월1주차+국판1차_TEM 2010 1Q offer preparation v3_090917_TEM 2010 1Q offer final v3_090929_TEM 2010 Q2 Volume_Forecast" xfId="13219"/>
    <cellStyle name="7_(분리)BAT관리 SHEET 128 4월2주차+국판1차_(분리)BAT관리 SHEET 158 7월1주차+국판1차_TEM 2010 1Q offer preparation v3_090917_TEM 2010 1Q offer final v3_090929_TEM 2010 Q2 Volume_Forecast_simulation" xfId="13220"/>
    <cellStyle name="7_(분리)BAT관리 SHEET 128 4월2주차+국판1차_(분리)BAT관리 SHEET 158 7월1주차+국판1차_TEM 2010 1Q offer preparation v3_090917_TEM 2010 1Q offer final v3_091005" xfId="13221"/>
    <cellStyle name="7_(분리)BAT관리 SHEET 128 4월2주차+국판1차_(분리)BAT관리 SHEET 158 7월1주차+국판1차_TEM 2010 1Q offer preparation v3_090917_TEM 2010 1Q offer final v3_091005_simulation" xfId="13222"/>
    <cellStyle name="7_(분리)BAT관리 SHEET 128 4월2주차+국판1차_(분리)BAT관리 SHEET 158 7월1주차+국판1차_TEM 2010 1Q offer preparation v3_090917_TEM 2010 1Q offer final v3_091005_TEM 2010 Q2 Volume_Forecast" xfId="13223"/>
    <cellStyle name="7_(분리)BAT관리 SHEET 128 4월2주차+국판1차_(분리)BAT관리 SHEET 158 7월1주차+국판1차_TEM 2010 1Q offer preparation v3_090917_TEM 2010 1Q offer final v3_091005_TEM 2010 Q2 Volume_Forecast_simulation" xfId="13224"/>
    <cellStyle name="7_(분리)BAT관리 SHEET 128 4월2주차+국판1차_(분리)BAT관리 SHEET 158 7월1주차+국판1차_TEM 2010 1Q offer preparation v3_090917_TEM 2010 1Q offer_091006" xfId="13225"/>
    <cellStyle name="7_(분리)BAT관리 SHEET 128 4월2주차+국판1차_(분리)BAT관리 SHEET 158 7월1주차+국판1차_TEM 2010 1Q offer preparation v3_090917_TEM 2010 1Q offer_091006_simulation" xfId="13226"/>
    <cellStyle name="7_(분리)BAT관리 SHEET 128 4월2주차+국판1차_(분리)BAT관리 SHEET 158 7월1주차+국판1차_TEM 2010 1Q offer preparation v3_090917_TEM 2010 1Q offer_091006_TEM 2010 Q2 Volume_Forecast" xfId="13227"/>
    <cellStyle name="7_(분리)BAT관리 SHEET 128 4월2주차+국판1차_(분리)BAT관리 SHEET 158 7월1주차+국판1차_TEM 2010 1Q offer preparation v3_090917_TEM 2010 1Q offer_091006_TEM 2010 Q2 Volume_Forecast_simulation" xfId="13228"/>
    <cellStyle name="7_(분리)BAT관리 SHEET 128 4월2주차+국판1차_(분리)BAT관리 SHEET 158 7월1주차+국판1차_TEM 2010 1Q offer preparation v3_090917_TEM 2010 1Q offer_091014" xfId="13229"/>
    <cellStyle name="7_(분리)BAT관리 SHEET 128 4월2주차+국판1차_(분리)BAT관리 SHEET 158 7월1주차+국판1차_TEM 2010 1Q offer preparation v3_090917_TEM 2010 1Q offer_091014_simulation" xfId="13230"/>
    <cellStyle name="7_(분리)BAT관리 SHEET 128 4월2주차+국판1차_(분리)BAT관리 SHEET 158 7월1주차+국판1차_TEM 2010 1Q offer preparation v3_090917_TEM 2010 1Q offer_091014_TEM 2010 Q2 Volume_Forecast" xfId="13231"/>
    <cellStyle name="7_(분리)BAT관리 SHEET 128 4월2주차+국판1차_(분리)BAT관리 SHEET 158 7월1주차+국판1차_TEM 2010 1Q offer preparation v3_090917_TEM 2010 1Q offer_091014_TEM 2010 Q2 Volume_Forecast_simulation" xfId="13232"/>
    <cellStyle name="7_(분리)BAT관리 SHEET 128 4월2주차+국판1차_(분리)BAT관리 SHEET 158 7월1주차+국판1차_TEM 2010 1Q offer preparation v3_090917_TEM 2010 1Q offer_091015" xfId="13233"/>
    <cellStyle name="7_(분리)BAT관리 SHEET 128 4월2주차+국판1차_(분리)BAT관리 SHEET 158 7월1주차+국판1차_TEM 2010 1Q offer preparation v3_090917_TEM 2010 1Q offer_091015_simulation" xfId="13234"/>
    <cellStyle name="7_(분리)BAT관리 SHEET 128 4월2주차+국판1차_(분리)BAT관리 SHEET 158 7월1주차+국판1차_TEM 2010 1Q offer preparation v3_090917_TEM 2010 1Q offer_091015_TEM 2010 Q2 Volume_Forecast" xfId="13235"/>
    <cellStyle name="7_(분리)BAT관리 SHEET 128 4월2주차+국판1차_(분리)BAT관리 SHEET 158 7월1주차+국판1차_TEM 2010 1Q offer preparation v3_090917_TEM 2010 1Q offer_091015_TEM 2010 Q2 Volume_Forecast_simulation" xfId="13236"/>
    <cellStyle name="7_(분리)BAT관리 SHEET 128 4월2주차+국판1차_(분리)BAT관리 SHEET 158 7월1주차+국판1차_TEM 2010 1Q offer preparation v3_090917_TEM 2010 Q2 Volume_Forecast" xfId="13237"/>
    <cellStyle name="7_(분리)BAT관리 SHEET 128 4월2주차+국판1차_(분리)BAT관리 SHEET 158 7월1주차+국판1차_TEM 2010 1Q offer preparation v3_090917_TEM 2010 Q2 Volume_Forecast_simulation" xfId="13238"/>
    <cellStyle name="7_(분리)BAT관리 SHEET 128 4월2주차+국판1차_(분리)BAT관리 SHEET 158 7월1주차+국판1차_TEM 2010 1Q offer preparation v3_090917_수식포함" xfId="13239"/>
    <cellStyle name="7_(분리)BAT관리 SHEET 128 4월2주차+국판1차_(분리)BAT관리 SHEET 158 7월1주차+국판1차_TEM 2010 Q2 Volume_Forecast" xfId="13240"/>
    <cellStyle name="7_(분리)BAT관리 SHEET 128 4월2주차+국판1차_(분리)BAT관리 SHEET 158 7월1주차+국판1차_TEM 2010 Q2 Volume_Forecast_simulation" xfId="13241"/>
    <cellStyle name="7_(분리)BAT관리 SHEET 128 4월2주차+국판1차_(분리)BAT관리 SHEET 158 7월1주차+국판1차_수식포함" xfId="13242"/>
    <cellStyle name="7_(분리)BAT관리 SHEET 128 4월2주차+국판1차_(분리)BAT관리 SHEET 158 7월1주차+국판1차_이랜텍" xfId="13243"/>
    <cellStyle name="7_(분리)BAT관리 SHEET 128 4월2주차+국판1차_(분리)BAT관리 SHEET 158 7월1주차+국판1차_이랜텍_100122 전마팀장 보고 자료" xfId="13244"/>
    <cellStyle name="7_(분리)BAT관리 SHEET 128 4월2주차+국판1차_(분리)BAT관리 SHEET 158 7월1주차+국판1차_이랜텍_10Q1 2차 가격안(시뮬레이션)_OH변경후_2" xfId="13245"/>
    <cellStyle name="7_(분리)BAT관리 SHEET 128 4월2주차+국판1차_(분리)BAT관리 SHEET 158 7월1주차+국판1차_이랜텍_10Q1 2차 가격안(시뮬레이션)_OH변경후_2_simulation" xfId="13246"/>
    <cellStyle name="7_(분리)BAT관리 SHEET 128 4월2주차+국판1차_(분리)BAT관리 SHEET 158 7월1주차+국판1차_이랜텍_10Q1 2차 가격안(시뮬레이션)_OH변경후_2_TEM 2010 Q2 Volume_Forecast" xfId="13247"/>
    <cellStyle name="7_(분리)BAT관리 SHEET 128 4월2주차+국판1차_(분리)BAT관리 SHEET 158 7월1주차+국판1차_이랜텍_10Q1 2차 가격안(시뮬레이션)_OH변경후_2_TEM 2010 Q2 Volume_Forecast_simulation" xfId="13248"/>
    <cellStyle name="7_(분리)BAT관리 SHEET 128 4월2주차+국판1차_(분리)BAT관리 SHEET 158 7월1주차+국판1차_이랜텍_10Q1 TEM 가격 물량 안(영업)_경쟁사가격포함" xfId="13249"/>
    <cellStyle name="7_(분리)BAT관리 SHEET 128 4월2주차+국판1차_(분리)BAT관리 SHEET 158 7월1주차+국판1차_이랜텍_10Q1 TEM 가격 물량 안(영업)_경쟁사가격포함_100122 전마팀장 보고 자료" xfId="13250"/>
    <cellStyle name="7_(분리)BAT관리 SHEET 128 4월2주차+국판1차_(분리)BAT관리 SHEET 158 7월1주차+국판1차_이랜텍_10Q1 TEM 가격 물량 안(영업)_경쟁사가격포함_수식포함" xfId="13251"/>
    <cellStyle name="7_(분리)BAT관리 SHEET 128 4월2주차+국판1차_(분리)BAT관리 SHEET 158 7월1주차+국판1차_이랜텍_Rate" xfId="13252"/>
    <cellStyle name="7_(분리)BAT관리 SHEET 128 4월2주차+국판1차_(분리)BAT관리 SHEET 158 7월1주차+국판1차_이랜텍_Rate_simulation" xfId="13253"/>
    <cellStyle name="7_(분리)BAT관리 SHEET 128 4월2주차+국판1차_(분리)BAT관리 SHEET 158 7월1주차+국판1차_이랜텍_Rate_TEM 2010 Q2 Volume_Forecast" xfId="13254"/>
    <cellStyle name="7_(분리)BAT관리 SHEET 128 4월2주차+국판1차_(분리)BAT관리 SHEET 158 7월1주차+국판1차_이랜텍_Rate_TEM 2010 Q2 Volume_Forecast_simulation" xfId="13255"/>
    <cellStyle name="7_(분리)BAT관리 SHEET 128 4월2주차+국판1차_(분리)BAT관리 SHEET 158 7월1주차+국판1차_이랜텍_Telcel 손익" xfId="13256"/>
    <cellStyle name="7_(분리)BAT관리 SHEET 128 4월2주차+국판1차_(분리)BAT관리 SHEET 158 7월1주차+국판1차_이랜텍_Telcel 손익_simulation" xfId="13257"/>
    <cellStyle name="7_(분리)BAT관리 SHEET 128 4월2주차+국판1차_(분리)BAT관리 SHEET 158 7월1주차+국판1차_이랜텍_Telcel 손익_TEM 2010 Q2 Volume_Forecast" xfId="13258"/>
    <cellStyle name="7_(분리)BAT관리 SHEET 128 4월2주차+국판1차_(분리)BAT관리 SHEET 158 7월1주차+국판1차_이랜텍_Telcel 손익_TEM 2010 Q2 Volume_Forecast_simulation" xfId="13259"/>
    <cellStyle name="7_(분리)BAT관리 SHEET 128 4월2주차+국판1차_(분리)BAT관리 SHEET 158 7월1주차+국판1차_이랜텍_TEM 2010 1Q 2nd offer preparation v1_091026" xfId="13260"/>
    <cellStyle name="7_(분리)BAT관리 SHEET 128 4월2주차+국판1차_(분리)BAT관리 SHEET 158 7월1주차+국판1차_이랜텍_TEM 2010 1Q 2nd offer preparation v1_091026_100122 전마팀장 보고 자료" xfId="13261"/>
    <cellStyle name="7_(분리)BAT관리 SHEET 128 4월2주차+국판1차_(분리)BAT관리 SHEET 158 7월1주차+국판1차_이랜텍_TEM 2010 1Q 2nd offer preparation v1_091026_수식포함" xfId="13262"/>
    <cellStyle name="7_(분리)BAT관리 SHEET 128 4월2주차+국판1차_(분리)BAT관리 SHEET 158 7월1주차+국판1차_이랜텍_TEM 2010 1Q 2nd offer preparation v1_091027" xfId="13263"/>
    <cellStyle name="7_(분리)BAT관리 SHEET 128 4월2주차+국판1차_(분리)BAT관리 SHEET 158 7월1주차+국판1차_이랜텍_TEM 2010 1Q 2nd offer preparation v1_091027_100122 전마팀장 보고 자료" xfId="13264"/>
    <cellStyle name="7_(분리)BAT관리 SHEET 128 4월2주차+국판1차_(분리)BAT관리 SHEET 158 7월1주차+국판1차_이랜텍_TEM 2010 1Q 2nd offer preparation v1_091027_수식포함" xfId="13265"/>
    <cellStyle name="7_(분리)BAT관리 SHEET 128 4월2주차+국판1차_(분리)BAT관리 SHEET 158 7월1주차+국판1차_이랜텍_TEM 2010 1Q 2nd offer preparation(손익시뮬)_091027" xfId="13266"/>
    <cellStyle name="7_(분리)BAT관리 SHEET 128 4월2주차+국판1차_(분리)BAT관리 SHEET 158 7월1주차+국판1차_이랜텍_TEM 2010 1Q 2nd offer preparation(손익시뮬)_091027_simulation" xfId="13267"/>
    <cellStyle name="7_(분리)BAT관리 SHEET 128 4월2주차+국판1차_(분리)BAT관리 SHEET 158 7월1주차+국판1차_이랜텍_TEM 2010 1Q 2nd offer preparation(손익시뮬)_091027_TEM 2010 Q2 Volume_Forecast" xfId="13268"/>
    <cellStyle name="7_(분리)BAT관리 SHEET 128 4월2주차+국판1차_(분리)BAT관리 SHEET 158 7월1주차+국판1차_이랜텍_TEM 2010 1Q 2nd offer preparation(손익시뮬)_091027_TEM 2010 Q2 Volume_Forecast_simulation" xfId="13269"/>
    <cellStyle name="7_(분리)BAT관리 SHEET 128 4월2주차+국판1차_(분리)BAT관리 SHEET 158 7월1주차+국판1차_이랜텍_TEM 2010 1Q offer preparation v1_090916" xfId="13270"/>
    <cellStyle name="7_(분리)BAT관리 SHEET 128 4월2주차+국판1차_(분리)BAT관리 SHEET 158 7월1주차+국판1차_이랜텍_TEM 2010 1Q offer preparation v1_090916_100122 전마팀장 보고 자료" xfId="13271"/>
    <cellStyle name="7_(분리)BAT관리 SHEET 128 4월2주차+국판1차_(분리)BAT관리 SHEET 158 7월1주차+국판1차_이랜텍_TEM 2010 1Q offer preparation v1_090916_TEM 2010 1Q offer final v3_090929" xfId="13272"/>
    <cellStyle name="7_(분리)BAT관리 SHEET 128 4월2주차+국판1차_(분리)BAT관리 SHEET 158 7월1주차+국판1차_이랜텍_TEM 2010 1Q offer preparation v1_090916_TEM 2010 1Q offer final v3_090929_simulation" xfId="13273"/>
    <cellStyle name="7_(분리)BAT관리 SHEET 128 4월2주차+국판1차_(분리)BAT관리 SHEET 158 7월1주차+국판1차_이랜텍_TEM 2010 1Q offer preparation v1_090916_TEM 2010 1Q offer final v3_090929_TEM 2010 Q2 Volume_Forecast" xfId="13274"/>
    <cellStyle name="7_(분리)BAT관리 SHEET 128 4월2주차+국판1차_(분리)BAT관리 SHEET 158 7월1주차+국판1차_이랜텍_TEM 2010 1Q offer preparation v1_090916_TEM 2010 1Q offer final v3_090929_TEM 2010 Q2 Volume_Forecast_simulation" xfId="13275"/>
    <cellStyle name="7_(분리)BAT관리 SHEET 128 4월2주차+국판1차_(분리)BAT관리 SHEET 158 7월1주차+국판1차_이랜텍_TEM 2010 1Q offer preparation v1_090916_TEM 2010 1Q offer final v3_091005" xfId="13276"/>
    <cellStyle name="7_(분리)BAT관리 SHEET 128 4월2주차+국판1차_(분리)BAT관리 SHEET 158 7월1주차+국판1차_이랜텍_TEM 2010 1Q offer preparation v1_090916_TEM 2010 1Q offer final v3_091005_simulation" xfId="13277"/>
    <cellStyle name="7_(분리)BAT관리 SHEET 128 4월2주차+국판1차_(분리)BAT관리 SHEET 158 7월1주차+국판1차_이랜텍_TEM 2010 1Q offer preparation v1_090916_TEM 2010 1Q offer final v3_091005_TEM 2010 Q2 Volume_Forecast" xfId="13278"/>
    <cellStyle name="7_(분리)BAT관리 SHEET 128 4월2주차+국판1차_(분리)BAT관리 SHEET 158 7월1주차+국판1차_이랜텍_TEM 2010 1Q offer preparation v1_090916_TEM 2010 1Q offer final v3_091005_TEM 2010 Q2 Volume_Forecast_simulation" xfId="13279"/>
    <cellStyle name="7_(분리)BAT관리 SHEET 128 4월2주차+국판1차_(분리)BAT관리 SHEET 158 7월1주차+국판1차_이랜텍_TEM 2010 1Q offer preparation v1_090916_TEM 2010 1Q offer_091006" xfId="13280"/>
    <cellStyle name="7_(분리)BAT관리 SHEET 128 4월2주차+국판1차_(분리)BAT관리 SHEET 158 7월1주차+국판1차_이랜텍_TEM 2010 1Q offer preparation v1_090916_TEM 2010 1Q offer_091006_simulation" xfId="13281"/>
    <cellStyle name="7_(분리)BAT관리 SHEET 128 4월2주차+국판1차_(분리)BAT관리 SHEET 158 7월1주차+국판1차_이랜텍_TEM 2010 1Q offer preparation v1_090916_TEM 2010 1Q offer_091006_TEM 2010 Q2 Volume_Forecast" xfId="13282"/>
    <cellStyle name="7_(분리)BAT관리 SHEET 128 4월2주차+국판1차_(분리)BAT관리 SHEET 158 7월1주차+국판1차_이랜텍_TEM 2010 1Q offer preparation v1_090916_TEM 2010 1Q offer_091006_TEM 2010 Q2 Volume_Forecast_simulation" xfId="13283"/>
    <cellStyle name="7_(분리)BAT관리 SHEET 128 4월2주차+국판1차_(분리)BAT관리 SHEET 158 7월1주차+국판1차_이랜텍_TEM 2010 1Q offer preparation v1_090916_TEM 2010 1Q offer_091014" xfId="13284"/>
    <cellStyle name="7_(분리)BAT관리 SHEET 128 4월2주차+국판1차_(분리)BAT관리 SHEET 158 7월1주차+국판1차_이랜텍_TEM 2010 1Q offer preparation v1_090916_TEM 2010 1Q offer_091014_simulation" xfId="13285"/>
    <cellStyle name="7_(분리)BAT관리 SHEET 128 4월2주차+국판1차_(분리)BAT관리 SHEET 158 7월1주차+국판1차_이랜텍_TEM 2010 1Q offer preparation v1_090916_TEM 2010 1Q offer_091014_TEM 2010 Q2 Volume_Forecast" xfId="13286"/>
    <cellStyle name="7_(분리)BAT관리 SHEET 128 4월2주차+국판1차_(분리)BAT관리 SHEET 158 7월1주차+국판1차_이랜텍_TEM 2010 1Q offer preparation v1_090916_TEM 2010 1Q offer_091014_TEM 2010 Q2 Volume_Forecast_simulation" xfId="13287"/>
    <cellStyle name="7_(분리)BAT관리 SHEET 128 4월2주차+국판1차_(분리)BAT관리 SHEET 158 7월1주차+국판1차_이랜텍_TEM 2010 1Q offer preparation v1_090916_TEM 2010 1Q offer_091015" xfId="13288"/>
    <cellStyle name="7_(분리)BAT관리 SHEET 128 4월2주차+국판1차_(분리)BAT관리 SHEET 158 7월1주차+국판1차_이랜텍_TEM 2010 1Q offer preparation v1_090916_TEM 2010 1Q offer_091015_simulation" xfId="13289"/>
    <cellStyle name="7_(분리)BAT관리 SHEET 128 4월2주차+국판1차_(분리)BAT관리 SHEET 158 7월1주차+국판1차_이랜텍_TEM 2010 1Q offer preparation v1_090916_TEM 2010 1Q offer_091015_TEM 2010 Q2 Volume_Forecast" xfId="13290"/>
    <cellStyle name="7_(분리)BAT관리 SHEET 128 4월2주차+국판1차_(분리)BAT관리 SHEET 158 7월1주차+국판1차_이랜텍_TEM 2010 1Q offer preparation v1_090916_TEM 2010 1Q offer_091015_TEM 2010 Q2 Volume_Forecast_simulation" xfId="13291"/>
    <cellStyle name="7_(분리)BAT관리 SHEET 128 4월2주차+국판1차_(분리)BAT관리 SHEET 158 7월1주차+국판1차_이랜텍_TEM 2010 1Q offer preparation v1_090916_TEM 2010 Q2 Volume_Forecast" xfId="13292"/>
    <cellStyle name="7_(분리)BAT관리 SHEET 128 4월2주차+국판1차_(분리)BAT관리 SHEET 158 7월1주차+국판1차_이랜텍_TEM 2010 1Q offer preparation v1_090916_TEM 2010 Q2 Volume_Forecast_simulation" xfId="13293"/>
    <cellStyle name="7_(분리)BAT관리 SHEET 128 4월2주차+국판1차_(분리)BAT관리 SHEET 158 7월1주차+국판1차_이랜텍_TEM 2010 1Q offer preparation v1_090916_수식포함" xfId="13294"/>
    <cellStyle name="7_(분리)BAT관리 SHEET 128 4월2주차+국판1차_(분리)BAT관리 SHEET 158 7월1주차+국판1차_이랜텍_TEM 2010 1Q offer preparation v3_090917" xfId="13295"/>
    <cellStyle name="7_(분리)BAT관리 SHEET 128 4월2주차+국판1차_(분리)BAT관리 SHEET 158 7월1주차+국판1차_이랜텍_TEM 2010 1Q offer preparation v3_090917_100122 전마팀장 보고 자료" xfId="13296"/>
    <cellStyle name="7_(분리)BAT관리 SHEET 128 4월2주차+국판1차_(분리)BAT관리 SHEET 158 7월1주차+국판1차_이랜텍_TEM 2010 1Q offer preparation v3_090917_TEM 2010 1Q offer final v3_090929" xfId="13297"/>
    <cellStyle name="7_(분리)BAT관리 SHEET 128 4월2주차+국판1차_(분리)BAT관리 SHEET 158 7월1주차+국판1차_이랜텍_TEM 2010 1Q offer preparation v3_090917_TEM 2010 1Q offer final v3_090929_simulation" xfId="13298"/>
    <cellStyle name="7_(분리)BAT관리 SHEET 128 4월2주차+국판1차_(분리)BAT관리 SHEET 158 7월1주차+국판1차_이랜텍_TEM 2010 1Q offer preparation v3_090917_TEM 2010 1Q offer final v3_090929_TEM 2010 Q2 Volume_Forecast" xfId="13299"/>
    <cellStyle name="7_(분리)BAT관리 SHEET 128 4월2주차+국판1차_(분리)BAT관리 SHEET 158 7월1주차+국판1차_이랜텍_TEM 2010 1Q offer preparation v3_090917_TEM 2010 1Q offer final v3_090929_TEM 2010 Q2 Volume_Forecast_simulation" xfId="13300"/>
    <cellStyle name="7_(분리)BAT관리 SHEET 128 4월2주차+국판1차_(분리)BAT관리 SHEET 158 7월1주차+국판1차_이랜텍_TEM 2010 1Q offer preparation v3_090917_TEM 2010 1Q offer final v3_091005" xfId="13301"/>
    <cellStyle name="7_(분리)BAT관리 SHEET 128 4월2주차+국판1차_(분리)BAT관리 SHEET 158 7월1주차+국판1차_이랜텍_TEM 2010 1Q offer preparation v3_090917_TEM 2010 1Q offer final v3_091005_simulation" xfId="13302"/>
    <cellStyle name="7_(분리)BAT관리 SHEET 128 4월2주차+국판1차_(분리)BAT관리 SHEET 158 7월1주차+국판1차_이랜텍_TEM 2010 1Q offer preparation v3_090917_TEM 2010 1Q offer final v3_091005_TEM 2010 Q2 Volume_Forecast" xfId="13303"/>
    <cellStyle name="7_(분리)BAT관리 SHEET 128 4월2주차+국판1차_(분리)BAT관리 SHEET 158 7월1주차+국판1차_이랜텍_TEM 2010 1Q offer preparation v3_090917_TEM 2010 1Q offer final v3_091005_TEM 2010 Q2 Volume_Forecast_simulation" xfId="13304"/>
    <cellStyle name="7_(분리)BAT관리 SHEET 128 4월2주차+국판1차_(분리)BAT관리 SHEET 158 7월1주차+국판1차_이랜텍_TEM 2010 1Q offer preparation v3_090917_TEM 2010 1Q offer_091006" xfId="13305"/>
    <cellStyle name="7_(분리)BAT관리 SHEET 128 4월2주차+국판1차_(분리)BAT관리 SHEET 158 7월1주차+국판1차_이랜텍_TEM 2010 1Q offer preparation v3_090917_TEM 2010 1Q offer_091006_simulation" xfId="13306"/>
    <cellStyle name="7_(분리)BAT관리 SHEET 128 4월2주차+국판1차_(분리)BAT관리 SHEET 158 7월1주차+국판1차_이랜텍_TEM 2010 1Q offer preparation v3_090917_TEM 2010 1Q offer_091006_TEM 2010 Q2 Volume_Forecast" xfId="13307"/>
    <cellStyle name="7_(분리)BAT관리 SHEET 128 4월2주차+국판1차_(분리)BAT관리 SHEET 158 7월1주차+국판1차_이랜텍_TEM 2010 1Q offer preparation v3_090917_TEM 2010 1Q offer_091006_TEM 2010 Q2 Volume_Forecast_simulation" xfId="13308"/>
    <cellStyle name="7_(분리)BAT관리 SHEET 128 4월2주차+국판1차_(분리)BAT관리 SHEET 158 7월1주차+국판1차_이랜텍_TEM 2010 1Q offer preparation v3_090917_TEM 2010 1Q offer_091014" xfId="13309"/>
    <cellStyle name="7_(분리)BAT관리 SHEET 128 4월2주차+국판1차_(분리)BAT관리 SHEET 158 7월1주차+국판1차_이랜텍_TEM 2010 1Q offer preparation v3_090917_TEM 2010 1Q offer_091014_simulation" xfId="13310"/>
    <cellStyle name="7_(분리)BAT관리 SHEET 128 4월2주차+국판1차_(분리)BAT관리 SHEET 158 7월1주차+국판1차_이랜텍_TEM 2010 1Q offer preparation v3_090917_TEM 2010 1Q offer_091014_TEM 2010 Q2 Volume_Forecast" xfId="13311"/>
    <cellStyle name="7_(분리)BAT관리 SHEET 128 4월2주차+국판1차_(분리)BAT관리 SHEET 158 7월1주차+국판1차_이랜텍_TEM 2010 1Q offer preparation v3_090917_TEM 2010 1Q offer_091014_TEM 2010 Q2 Volume_Forecast_simulation" xfId="13312"/>
    <cellStyle name="7_(분리)BAT관리 SHEET 128 4월2주차+국판1차_(분리)BAT관리 SHEET 158 7월1주차+국판1차_이랜텍_TEM 2010 1Q offer preparation v3_090917_TEM 2010 1Q offer_091015" xfId="13313"/>
    <cellStyle name="7_(분리)BAT관리 SHEET 128 4월2주차+국판1차_(분리)BAT관리 SHEET 158 7월1주차+국판1차_이랜텍_TEM 2010 1Q offer preparation v3_090917_TEM 2010 1Q offer_091015_simulation" xfId="13314"/>
    <cellStyle name="7_(분리)BAT관리 SHEET 128 4월2주차+국판1차_(분리)BAT관리 SHEET 158 7월1주차+국판1차_이랜텍_TEM 2010 1Q offer preparation v3_090917_TEM 2010 1Q offer_091015_TEM 2010 Q2 Volume_Forecast" xfId="13315"/>
    <cellStyle name="7_(분리)BAT관리 SHEET 128 4월2주차+국판1차_(분리)BAT관리 SHEET 158 7월1주차+국판1차_이랜텍_TEM 2010 1Q offer preparation v3_090917_TEM 2010 1Q offer_091015_TEM 2010 Q2 Volume_Forecast_simulation" xfId="13316"/>
    <cellStyle name="7_(분리)BAT관리 SHEET 128 4월2주차+국판1차_(분리)BAT관리 SHEET 158 7월1주차+국판1차_이랜텍_TEM 2010 1Q offer preparation v3_090917_TEM 2010 Q2 Volume_Forecast" xfId="13317"/>
    <cellStyle name="7_(분리)BAT관리 SHEET 128 4월2주차+국판1차_(분리)BAT관리 SHEET 158 7월1주차+국판1차_이랜텍_TEM 2010 1Q offer preparation v3_090917_TEM 2010 Q2 Volume_Forecast_simulation" xfId="13318"/>
    <cellStyle name="7_(분리)BAT관리 SHEET 128 4월2주차+국판1차_(분리)BAT관리 SHEET 158 7월1주차+국판1차_이랜텍_TEM 2010 1Q offer preparation v3_090917_수식포함" xfId="13319"/>
    <cellStyle name="7_(분리)BAT관리 SHEET 128 4월2주차+국판1차_(분리)BAT관리 SHEET 158 7월1주차+국판1차_이랜텍_TEM 2010 Q2 Volume_Forecast" xfId="13320"/>
    <cellStyle name="7_(분리)BAT관리 SHEET 128 4월2주차+국판1차_(분리)BAT관리 SHEET 158 7월1주차+국판1차_이랜텍_TEM 2010 Q2 Volume_Forecast_simulation" xfId="13321"/>
    <cellStyle name="7_(분리)BAT관리 SHEET 128 4월2주차+국판1차_(분리)BAT관리 SHEET 158 7월1주차+국판1차_이랜텍_수식포함" xfId="13322"/>
    <cellStyle name="7_(분리)BAT관리 SHEET 128 4월2주차+국판1차_(분리)BAT관리 SHEET 159 7월1주차+국판1차" xfId="13323"/>
    <cellStyle name="7_(분리)BAT관리 SHEET 128 4월2주차+국판1차_(분리)BAT관리 SHEET 159 7월1주차+국판1차_100122 전마팀장 보고 자료" xfId="13324"/>
    <cellStyle name="7_(분리)BAT관리 SHEET 128 4월2주차+국판1차_(분리)BAT관리 SHEET 159 7월1주차+국판1차_10Q1 2차 가격안(시뮬레이션)_OH변경후_2" xfId="13325"/>
    <cellStyle name="7_(분리)BAT관리 SHEET 128 4월2주차+국판1차_(분리)BAT관리 SHEET 159 7월1주차+국판1차_10Q1 2차 가격안(시뮬레이션)_OH변경후_2_simulation" xfId="13326"/>
    <cellStyle name="7_(분리)BAT관리 SHEET 128 4월2주차+국판1차_(분리)BAT관리 SHEET 159 7월1주차+국판1차_10Q1 2차 가격안(시뮬레이션)_OH변경후_2_TEM 2010 Q2 Volume_Forecast" xfId="13327"/>
    <cellStyle name="7_(분리)BAT관리 SHEET 128 4월2주차+국판1차_(분리)BAT관리 SHEET 159 7월1주차+국판1차_10Q1 2차 가격안(시뮬레이션)_OH변경후_2_TEM 2010 Q2 Volume_Forecast_simulation" xfId="13328"/>
    <cellStyle name="7_(분리)BAT관리 SHEET 128 4월2주차+국판1차_(분리)BAT관리 SHEET 159 7월1주차+국판1차_10Q1 TEM 가격 물량 안(영업)_경쟁사가격포함" xfId="13329"/>
    <cellStyle name="7_(분리)BAT관리 SHEET 128 4월2주차+국판1차_(분리)BAT관리 SHEET 159 7월1주차+국판1차_10Q1 TEM 가격 물량 안(영업)_경쟁사가격포함_100122 전마팀장 보고 자료" xfId="13330"/>
    <cellStyle name="7_(분리)BAT관리 SHEET 128 4월2주차+국판1차_(분리)BAT관리 SHEET 159 7월1주차+국판1차_10Q1 TEM 가격 물량 안(영업)_경쟁사가격포함_수식포함" xfId="13331"/>
    <cellStyle name="7_(분리)BAT관리 SHEET 128 4월2주차+국판1차_(분리)BAT관리 SHEET 159 7월1주차+국판1차_Rate" xfId="13332"/>
    <cellStyle name="7_(분리)BAT관리 SHEET 128 4월2주차+국판1차_(분리)BAT관리 SHEET 159 7월1주차+국판1차_Rate_simulation" xfId="13333"/>
    <cellStyle name="7_(분리)BAT관리 SHEET 128 4월2주차+국판1차_(분리)BAT관리 SHEET 159 7월1주차+국판1차_Rate_TEM 2010 Q2 Volume_Forecast" xfId="13334"/>
    <cellStyle name="7_(분리)BAT관리 SHEET 128 4월2주차+국판1차_(분리)BAT관리 SHEET 159 7월1주차+국판1차_Rate_TEM 2010 Q2 Volume_Forecast_simulation" xfId="13335"/>
    <cellStyle name="7_(분리)BAT관리 SHEET 128 4월2주차+국판1차_(분리)BAT관리 SHEET 159 7월1주차+국판1차_Telcel 손익" xfId="13336"/>
    <cellStyle name="7_(분리)BAT관리 SHEET 128 4월2주차+국판1차_(분리)BAT관리 SHEET 159 7월1주차+국판1차_Telcel 손익_simulation" xfId="13337"/>
    <cellStyle name="7_(분리)BAT관리 SHEET 128 4월2주차+국판1차_(분리)BAT관리 SHEET 159 7월1주차+국판1차_Telcel 손익_TEM 2010 Q2 Volume_Forecast" xfId="13338"/>
    <cellStyle name="7_(분리)BAT관리 SHEET 128 4월2주차+국판1차_(분리)BAT관리 SHEET 159 7월1주차+국판1차_Telcel 손익_TEM 2010 Q2 Volume_Forecast_simulation" xfId="13339"/>
    <cellStyle name="7_(분리)BAT관리 SHEET 128 4월2주차+국판1차_(분리)BAT관리 SHEET 159 7월1주차+국판1차_TEM 2010 1Q 2nd offer preparation v1_091026" xfId="13340"/>
    <cellStyle name="7_(분리)BAT관리 SHEET 128 4월2주차+국판1차_(분리)BAT관리 SHEET 159 7월1주차+국판1차_TEM 2010 1Q 2nd offer preparation v1_091026_100122 전마팀장 보고 자료" xfId="13341"/>
    <cellStyle name="7_(분리)BAT관리 SHEET 128 4월2주차+국판1차_(분리)BAT관리 SHEET 159 7월1주차+국판1차_TEM 2010 1Q 2nd offer preparation v1_091026_수식포함" xfId="13342"/>
    <cellStyle name="7_(분리)BAT관리 SHEET 128 4월2주차+국판1차_(분리)BAT관리 SHEET 159 7월1주차+국판1차_TEM 2010 1Q 2nd offer preparation v1_091027" xfId="13343"/>
    <cellStyle name="7_(분리)BAT관리 SHEET 128 4월2주차+국판1차_(분리)BAT관리 SHEET 159 7월1주차+국판1차_TEM 2010 1Q 2nd offer preparation v1_091027_100122 전마팀장 보고 자료" xfId="13344"/>
    <cellStyle name="7_(분리)BAT관리 SHEET 128 4월2주차+국판1차_(분리)BAT관리 SHEET 159 7월1주차+국판1차_TEM 2010 1Q 2nd offer preparation v1_091027_수식포함" xfId="13345"/>
    <cellStyle name="7_(분리)BAT관리 SHEET 128 4월2주차+국판1차_(분리)BAT관리 SHEET 159 7월1주차+국판1차_TEM 2010 1Q 2nd offer preparation(손익시뮬)_091027" xfId="13346"/>
    <cellStyle name="7_(분리)BAT관리 SHEET 128 4월2주차+국판1차_(분리)BAT관리 SHEET 159 7월1주차+국판1차_TEM 2010 1Q 2nd offer preparation(손익시뮬)_091027_simulation" xfId="13347"/>
    <cellStyle name="7_(분리)BAT관리 SHEET 128 4월2주차+국판1차_(분리)BAT관리 SHEET 159 7월1주차+국판1차_TEM 2010 1Q 2nd offer preparation(손익시뮬)_091027_TEM 2010 Q2 Volume_Forecast" xfId="13348"/>
    <cellStyle name="7_(분리)BAT관리 SHEET 128 4월2주차+국판1차_(분리)BAT관리 SHEET 159 7월1주차+국판1차_TEM 2010 1Q 2nd offer preparation(손익시뮬)_091027_TEM 2010 Q2 Volume_Forecast_simulation" xfId="13349"/>
    <cellStyle name="7_(분리)BAT관리 SHEET 128 4월2주차+국판1차_(분리)BAT관리 SHEET 159 7월1주차+국판1차_TEM 2010 1Q offer preparation v1_090916" xfId="13350"/>
    <cellStyle name="7_(분리)BAT관리 SHEET 128 4월2주차+국판1차_(분리)BAT관리 SHEET 159 7월1주차+국판1차_TEM 2010 1Q offer preparation v1_090916_100122 전마팀장 보고 자료" xfId="13351"/>
    <cellStyle name="7_(분리)BAT관리 SHEET 128 4월2주차+국판1차_(분리)BAT관리 SHEET 159 7월1주차+국판1차_TEM 2010 1Q offer preparation v1_090916_TEM 2010 1Q offer final v3_090929" xfId="13352"/>
    <cellStyle name="7_(분리)BAT관리 SHEET 128 4월2주차+국판1차_(분리)BAT관리 SHEET 159 7월1주차+국판1차_TEM 2010 1Q offer preparation v1_090916_TEM 2010 1Q offer final v3_090929_simulation" xfId="13353"/>
    <cellStyle name="7_(분리)BAT관리 SHEET 128 4월2주차+국판1차_(분리)BAT관리 SHEET 159 7월1주차+국판1차_TEM 2010 1Q offer preparation v1_090916_TEM 2010 1Q offer final v3_090929_TEM 2010 Q2 Volume_Forecast" xfId="13354"/>
    <cellStyle name="7_(분리)BAT관리 SHEET 128 4월2주차+국판1차_(분리)BAT관리 SHEET 159 7월1주차+국판1차_TEM 2010 1Q offer preparation v1_090916_TEM 2010 1Q offer final v3_090929_TEM 2010 Q2 Volume_Forecast_simulation" xfId="13355"/>
    <cellStyle name="7_(분리)BAT관리 SHEET 128 4월2주차+국판1차_(분리)BAT관리 SHEET 159 7월1주차+국판1차_TEM 2010 1Q offer preparation v1_090916_TEM 2010 1Q offer final v3_091005" xfId="13356"/>
    <cellStyle name="7_(분리)BAT관리 SHEET 128 4월2주차+국판1차_(분리)BAT관리 SHEET 159 7월1주차+국판1차_TEM 2010 1Q offer preparation v1_090916_TEM 2010 1Q offer final v3_091005_simulation" xfId="13357"/>
    <cellStyle name="7_(분리)BAT관리 SHEET 128 4월2주차+국판1차_(분리)BAT관리 SHEET 159 7월1주차+국판1차_TEM 2010 1Q offer preparation v1_090916_TEM 2010 1Q offer final v3_091005_TEM 2010 Q2 Volume_Forecast" xfId="13358"/>
    <cellStyle name="7_(분리)BAT관리 SHEET 128 4월2주차+국판1차_(분리)BAT관리 SHEET 159 7월1주차+국판1차_TEM 2010 1Q offer preparation v1_090916_TEM 2010 1Q offer final v3_091005_TEM 2010 Q2 Volume_Forecast_simulation" xfId="13359"/>
    <cellStyle name="7_(분리)BAT관리 SHEET 128 4월2주차+국판1차_(분리)BAT관리 SHEET 159 7월1주차+국판1차_TEM 2010 1Q offer preparation v1_090916_TEM 2010 1Q offer_091006" xfId="13360"/>
    <cellStyle name="7_(분리)BAT관리 SHEET 128 4월2주차+국판1차_(분리)BAT관리 SHEET 159 7월1주차+국판1차_TEM 2010 1Q offer preparation v1_090916_TEM 2010 1Q offer_091006_simulation" xfId="13361"/>
    <cellStyle name="7_(분리)BAT관리 SHEET 128 4월2주차+국판1차_(분리)BAT관리 SHEET 159 7월1주차+국판1차_TEM 2010 1Q offer preparation v1_090916_TEM 2010 1Q offer_091006_TEM 2010 Q2 Volume_Forecast" xfId="13362"/>
    <cellStyle name="7_(분리)BAT관리 SHEET 128 4월2주차+국판1차_(분리)BAT관리 SHEET 159 7월1주차+국판1차_TEM 2010 1Q offer preparation v1_090916_TEM 2010 1Q offer_091006_TEM 2010 Q2 Volume_Forecast_simulation" xfId="13363"/>
    <cellStyle name="7_(분리)BAT관리 SHEET 128 4월2주차+국판1차_(분리)BAT관리 SHEET 159 7월1주차+국판1차_TEM 2010 1Q offer preparation v1_090916_TEM 2010 1Q offer_091014" xfId="13364"/>
    <cellStyle name="7_(분리)BAT관리 SHEET 128 4월2주차+국판1차_(분리)BAT관리 SHEET 159 7월1주차+국판1차_TEM 2010 1Q offer preparation v1_090916_TEM 2010 1Q offer_091014_simulation" xfId="13365"/>
    <cellStyle name="7_(분리)BAT관리 SHEET 128 4월2주차+국판1차_(분리)BAT관리 SHEET 159 7월1주차+국판1차_TEM 2010 1Q offer preparation v1_090916_TEM 2010 1Q offer_091014_TEM 2010 Q2 Volume_Forecast" xfId="13366"/>
    <cellStyle name="7_(분리)BAT관리 SHEET 128 4월2주차+국판1차_(분리)BAT관리 SHEET 159 7월1주차+국판1차_TEM 2010 1Q offer preparation v1_090916_TEM 2010 1Q offer_091014_TEM 2010 Q2 Volume_Forecast_simulation" xfId="13367"/>
    <cellStyle name="7_(분리)BAT관리 SHEET 128 4월2주차+국판1차_(분리)BAT관리 SHEET 159 7월1주차+국판1차_TEM 2010 1Q offer preparation v1_090916_TEM 2010 1Q offer_091015" xfId="13368"/>
    <cellStyle name="7_(분리)BAT관리 SHEET 128 4월2주차+국판1차_(분리)BAT관리 SHEET 159 7월1주차+국판1차_TEM 2010 1Q offer preparation v1_090916_TEM 2010 1Q offer_091015_simulation" xfId="13369"/>
    <cellStyle name="7_(분리)BAT관리 SHEET 128 4월2주차+국판1차_(분리)BAT관리 SHEET 159 7월1주차+국판1차_TEM 2010 1Q offer preparation v1_090916_TEM 2010 1Q offer_091015_TEM 2010 Q2 Volume_Forecast" xfId="13370"/>
    <cellStyle name="7_(분리)BAT관리 SHEET 128 4월2주차+국판1차_(분리)BAT관리 SHEET 159 7월1주차+국판1차_TEM 2010 1Q offer preparation v1_090916_TEM 2010 1Q offer_091015_TEM 2010 Q2 Volume_Forecast_simulation" xfId="13371"/>
    <cellStyle name="7_(분리)BAT관리 SHEET 128 4월2주차+국판1차_(분리)BAT관리 SHEET 159 7월1주차+국판1차_TEM 2010 1Q offer preparation v1_090916_TEM 2010 Q2 Volume_Forecast" xfId="13372"/>
    <cellStyle name="7_(분리)BAT관리 SHEET 128 4월2주차+국판1차_(분리)BAT관리 SHEET 159 7월1주차+국판1차_TEM 2010 1Q offer preparation v1_090916_TEM 2010 Q2 Volume_Forecast_simulation" xfId="13373"/>
    <cellStyle name="7_(분리)BAT관리 SHEET 128 4월2주차+국판1차_(분리)BAT관리 SHEET 159 7월1주차+국판1차_TEM 2010 1Q offer preparation v1_090916_수식포함" xfId="13374"/>
    <cellStyle name="7_(분리)BAT관리 SHEET 128 4월2주차+국판1차_(분리)BAT관리 SHEET 159 7월1주차+국판1차_TEM 2010 1Q offer preparation v3_090917" xfId="13375"/>
    <cellStyle name="7_(분리)BAT관리 SHEET 128 4월2주차+국판1차_(분리)BAT관리 SHEET 159 7월1주차+국판1차_TEM 2010 1Q offer preparation v3_090917_100122 전마팀장 보고 자료" xfId="13376"/>
    <cellStyle name="7_(분리)BAT관리 SHEET 128 4월2주차+국판1차_(분리)BAT관리 SHEET 159 7월1주차+국판1차_TEM 2010 1Q offer preparation v3_090917_TEM 2010 1Q offer final v3_090929" xfId="13377"/>
    <cellStyle name="7_(분리)BAT관리 SHEET 128 4월2주차+국판1차_(분리)BAT관리 SHEET 159 7월1주차+국판1차_TEM 2010 1Q offer preparation v3_090917_TEM 2010 1Q offer final v3_090929_simulation" xfId="13378"/>
    <cellStyle name="7_(분리)BAT관리 SHEET 128 4월2주차+국판1차_(분리)BAT관리 SHEET 159 7월1주차+국판1차_TEM 2010 1Q offer preparation v3_090917_TEM 2010 1Q offer final v3_090929_TEM 2010 Q2 Volume_Forecast" xfId="13379"/>
    <cellStyle name="7_(분리)BAT관리 SHEET 128 4월2주차+국판1차_(분리)BAT관리 SHEET 159 7월1주차+국판1차_TEM 2010 1Q offer preparation v3_090917_TEM 2010 1Q offer final v3_090929_TEM 2010 Q2 Volume_Forecast_simulation" xfId="13380"/>
    <cellStyle name="7_(분리)BAT관리 SHEET 128 4월2주차+국판1차_(분리)BAT관리 SHEET 159 7월1주차+국판1차_TEM 2010 1Q offer preparation v3_090917_TEM 2010 1Q offer final v3_091005" xfId="13381"/>
    <cellStyle name="7_(분리)BAT관리 SHEET 128 4월2주차+국판1차_(분리)BAT관리 SHEET 159 7월1주차+국판1차_TEM 2010 1Q offer preparation v3_090917_TEM 2010 1Q offer final v3_091005_simulation" xfId="13382"/>
    <cellStyle name="7_(분리)BAT관리 SHEET 128 4월2주차+국판1차_(분리)BAT관리 SHEET 159 7월1주차+국판1차_TEM 2010 1Q offer preparation v3_090917_TEM 2010 1Q offer final v3_091005_TEM 2010 Q2 Volume_Forecast" xfId="13383"/>
    <cellStyle name="7_(분리)BAT관리 SHEET 128 4월2주차+국판1차_(분리)BAT관리 SHEET 159 7월1주차+국판1차_TEM 2010 1Q offer preparation v3_090917_TEM 2010 1Q offer final v3_091005_TEM 2010 Q2 Volume_Forecast_simulation" xfId="13384"/>
    <cellStyle name="7_(분리)BAT관리 SHEET 128 4월2주차+국판1차_(분리)BAT관리 SHEET 159 7월1주차+국판1차_TEM 2010 1Q offer preparation v3_090917_TEM 2010 1Q offer_091006" xfId="13385"/>
    <cellStyle name="7_(분리)BAT관리 SHEET 128 4월2주차+국판1차_(분리)BAT관리 SHEET 159 7월1주차+국판1차_TEM 2010 1Q offer preparation v3_090917_TEM 2010 1Q offer_091006_simulation" xfId="13386"/>
    <cellStyle name="7_(분리)BAT관리 SHEET 128 4월2주차+국판1차_(분리)BAT관리 SHEET 159 7월1주차+국판1차_TEM 2010 1Q offer preparation v3_090917_TEM 2010 1Q offer_091006_TEM 2010 Q2 Volume_Forecast" xfId="13387"/>
    <cellStyle name="7_(분리)BAT관리 SHEET 128 4월2주차+국판1차_(분리)BAT관리 SHEET 159 7월1주차+국판1차_TEM 2010 1Q offer preparation v3_090917_TEM 2010 1Q offer_091006_TEM 2010 Q2 Volume_Forecast_simulation" xfId="13388"/>
    <cellStyle name="7_(분리)BAT관리 SHEET 128 4월2주차+국판1차_(분리)BAT관리 SHEET 159 7월1주차+국판1차_TEM 2010 1Q offer preparation v3_090917_TEM 2010 1Q offer_091014" xfId="13389"/>
    <cellStyle name="7_(분리)BAT관리 SHEET 128 4월2주차+국판1차_(분리)BAT관리 SHEET 159 7월1주차+국판1차_TEM 2010 1Q offer preparation v3_090917_TEM 2010 1Q offer_091014_simulation" xfId="13390"/>
    <cellStyle name="7_(분리)BAT관리 SHEET 128 4월2주차+국판1차_(분리)BAT관리 SHEET 159 7월1주차+국판1차_TEM 2010 1Q offer preparation v3_090917_TEM 2010 1Q offer_091014_TEM 2010 Q2 Volume_Forecast" xfId="13391"/>
    <cellStyle name="7_(분리)BAT관리 SHEET 128 4월2주차+국판1차_(분리)BAT관리 SHEET 159 7월1주차+국판1차_TEM 2010 1Q offer preparation v3_090917_TEM 2010 1Q offer_091014_TEM 2010 Q2 Volume_Forecast_simulation" xfId="13392"/>
    <cellStyle name="7_(분리)BAT관리 SHEET 128 4월2주차+국판1차_(분리)BAT관리 SHEET 159 7월1주차+국판1차_TEM 2010 1Q offer preparation v3_090917_TEM 2010 1Q offer_091015" xfId="13393"/>
    <cellStyle name="7_(분리)BAT관리 SHEET 128 4월2주차+국판1차_(분리)BAT관리 SHEET 159 7월1주차+국판1차_TEM 2010 1Q offer preparation v3_090917_TEM 2010 1Q offer_091015_simulation" xfId="13394"/>
    <cellStyle name="7_(분리)BAT관리 SHEET 128 4월2주차+국판1차_(분리)BAT관리 SHEET 159 7월1주차+국판1차_TEM 2010 1Q offer preparation v3_090917_TEM 2010 1Q offer_091015_TEM 2010 Q2 Volume_Forecast" xfId="13395"/>
    <cellStyle name="7_(분리)BAT관리 SHEET 128 4월2주차+국판1차_(분리)BAT관리 SHEET 159 7월1주차+국판1차_TEM 2010 1Q offer preparation v3_090917_TEM 2010 1Q offer_091015_TEM 2010 Q2 Volume_Forecast_simulation" xfId="13396"/>
    <cellStyle name="7_(분리)BAT관리 SHEET 128 4월2주차+국판1차_(분리)BAT관리 SHEET 159 7월1주차+국판1차_TEM 2010 1Q offer preparation v3_090917_TEM 2010 Q2 Volume_Forecast" xfId="13397"/>
    <cellStyle name="7_(분리)BAT관리 SHEET 128 4월2주차+국판1차_(분리)BAT관리 SHEET 159 7월1주차+국판1차_TEM 2010 1Q offer preparation v3_090917_TEM 2010 Q2 Volume_Forecast_simulation" xfId="13398"/>
    <cellStyle name="7_(분리)BAT관리 SHEET 128 4월2주차+국판1차_(분리)BAT관리 SHEET 159 7월1주차+국판1차_TEM 2010 1Q offer preparation v3_090917_수식포함" xfId="13399"/>
    <cellStyle name="7_(분리)BAT관리 SHEET 128 4월2주차+국판1차_(분리)BAT관리 SHEET 159 7월1주차+국판1차_TEM 2010 Q2 Volume_Forecast" xfId="13400"/>
    <cellStyle name="7_(분리)BAT관리 SHEET 128 4월2주차+국판1차_(분리)BAT관리 SHEET 159 7월1주차+국판1차_TEM 2010 Q2 Volume_Forecast_simulation" xfId="13401"/>
    <cellStyle name="7_(분리)BAT관리 SHEET 128 4월2주차+국판1차_(분리)BAT관리 SHEET 159 7월1주차+국판1차_수식포함" xfId="13402"/>
    <cellStyle name="7_(분리)BAT관리 SHEET 128 4월2주차+국판1차_(분리)BAT관리 SHEET 159 7월1주차+국판1차_이랜텍" xfId="13403"/>
    <cellStyle name="7_(분리)BAT관리 SHEET 128 4월2주차+국판1차_(분리)BAT관리 SHEET 159 7월1주차+국판1차_이랜텍_100122 전마팀장 보고 자료" xfId="13404"/>
    <cellStyle name="7_(분리)BAT관리 SHEET 128 4월2주차+국판1차_(분리)BAT관리 SHEET 159 7월1주차+국판1차_이랜텍_10Q1 2차 가격안(시뮬레이션)_OH변경후_2" xfId="13405"/>
    <cellStyle name="7_(분리)BAT관리 SHEET 128 4월2주차+국판1차_(분리)BAT관리 SHEET 159 7월1주차+국판1차_이랜텍_10Q1 2차 가격안(시뮬레이션)_OH변경후_2_simulation" xfId="13406"/>
    <cellStyle name="7_(분리)BAT관리 SHEET 128 4월2주차+국판1차_(분리)BAT관리 SHEET 159 7월1주차+국판1차_이랜텍_10Q1 2차 가격안(시뮬레이션)_OH변경후_2_TEM 2010 Q2 Volume_Forecast" xfId="13407"/>
    <cellStyle name="7_(분리)BAT관리 SHEET 128 4월2주차+국판1차_(분리)BAT관리 SHEET 159 7월1주차+국판1차_이랜텍_10Q1 2차 가격안(시뮬레이션)_OH변경후_2_TEM 2010 Q2 Volume_Forecast_simulation" xfId="13408"/>
    <cellStyle name="7_(분리)BAT관리 SHEET 128 4월2주차+국판1차_(분리)BAT관리 SHEET 159 7월1주차+국판1차_이랜텍_10Q1 TEM 가격 물량 안(영업)_경쟁사가격포함" xfId="13409"/>
    <cellStyle name="7_(분리)BAT관리 SHEET 128 4월2주차+국판1차_(분리)BAT관리 SHEET 159 7월1주차+국판1차_이랜텍_10Q1 TEM 가격 물량 안(영업)_경쟁사가격포함_100122 전마팀장 보고 자료" xfId="13410"/>
    <cellStyle name="7_(분리)BAT관리 SHEET 128 4월2주차+국판1차_(분리)BAT관리 SHEET 159 7월1주차+국판1차_이랜텍_10Q1 TEM 가격 물량 안(영업)_경쟁사가격포함_수식포함" xfId="13411"/>
    <cellStyle name="7_(분리)BAT관리 SHEET 128 4월2주차+국판1차_(분리)BAT관리 SHEET 159 7월1주차+국판1차_이랜텍_Rate" xfId="13412"/>
    <cellStyle name="7_(분리)BAT관리 SHEET 128 4월2주차+국판1차_(분리)BAT관리 SHEET 159 7월1주차+국판1차_이랜텍_Rate_simulation" xfId="13413"/>
    <cellStyle name="7_(분리)BAT관리 SHEET 128 4월2주차+국판1차_(분리)BAT관리 SHEET 159 7월1주차+국판1차_이랜텍_Rate_TEM 2010 Q2 Volume_Forecast" xfId="13414"/>
    <cellStyle name="7_(분리)BAT관리 SHEET 128 4월2주차+국판1차_(분리)BAT관리 SHEET 159 7월1주차+국판1차_이랜텍_Rate_TEM 2010 Q2 Volume_Forecast_simulation" xfId="13415"/>
    <cellStyle name="7_(분리)BAT관리 SHEET 128 4월2주차+국판1차_(분리)BAT관리 SHEET 159 7월1주차+국판1차_이랜텍_Telcel 손익" xfId="13416"/>
    <cellStyle name="7_(분리)BAT관리 SHEET 128 4월2주차+국판1차_(분리)BAT관리 SHEET 159 7월1주차+국판1차_이랜텍_Telcel 손익_simulation" xfId="13417"/>
    <cellStyle name="7_(분리)BAT관리 SHEET 128 4월2주차+국판1차_(분리)BAT관리 SHEET 159 7월1주차+국판1차_이랜텍_Telcel 손익_TEM 2010 Q2 Volume_Forecast" xfId="13418"/>
    <cellStyle name="7_(분리)BAT관리 SHEET 128 4월2주차+국판1차_(분리)BAT관리 SHEET 159 7월1주차+국판1차_이랜텍_Telcel 손익_TEM 2010 Q2 Volume_Forecast_simulation" xfId="13419"/>
    <cellStyle name="7_(분리)BAT관리 SHEET 128 4월2주차+국판1차_(분리)BAT관리 SHEET 159 7월1주차+국판1차_이랜텍_TEM 2010 1Q 2nd offer preparation v1_091026" xfId="13420"/>
    <cellStyle name="7_(분리)BAT관리 SHEET 128 4월2주차+국판1차_(분리)BAT관리 SHEET 159 7월1주차+국판1차_이랜텍_TEM 2010 1Q 2nd offer preparation v1_091026_100122 전마팀장 보고 자료" xfId="13421"/>
    <cellStyle name="7_(분리)BAT관리 SHEET 128 4월2주차+국판1차_(분리)BAT관리 SHEET 159 7월1주차+국판1차_이랜텍_TEM 2010 1Q 2nd offer preparation v1_091026_수식포함" xfId="13422"/>
    <cellStyle name="7_(분리)BAT관리 SHEET 128 4월2주차+국판1차_(분리)BAT관리 SHEET 159 7월1주차+국판1차_이랜텍_TEM 2010 1Q 2nd offer preparation v1_091027" xfId="13423"/>
    <cellStyle name="7_(분리)BAT관리 SHEET 128 4월2주차+국판1차_(분리)BAT관리 SHEET 159 7월1주차+국판1차_이랜텍_TEM 2010 1Q 2nd offer preparation v1_091027_100122 전마팀장 보고 자료" xfId="13424"/>
    <cellStyle name="7_(분리)BAT관리 SHEET 128 4월2주차+국판1차_(분리)BAT관리 SHEET 159 7월1주차+국판1차_이랜텍_TEM 2010 1Q 2nd offer preparation v1_091027_수식포함" xfId="13425"/>
    <cellStyle name="7_(분리)BAT관리 SHEET 128 4월2주차+국판1차_(분리)BAT관리 SHEET 159 7월1주차+국판1차_이랜텍_TEM 2010 1Q 2nd offer preparation(손익시뮬)_091027" xfId="13426"/>
    <cellStyle name="7_(분리)BAT관리 SHEET 128 4월2주차+국판1차_(분리)BAT관리 SHEET 159 7월1주차+국판1차_이랜텍_TEM 2010 1Q 2nd offer preparation(손익시뮬)_091027_simulation" xfId="13427"/>
    <cellStyle name="7_(분리)BAT관리 SHEET 128 4월2주차+국판1차_(분리)BAT관리 SHEET 159 7월1주차+국판1차_이랜텍_TEM 2010 1Q 2nd offer preparation(손익시뮬)_091027_TEM 2010 Q2 Volume_Forecast" xfId="13428"/>
    <cellStyle name="7_(분리)BAT관리 SHEET 128 4월2주차+국판1차_(분리)BAT관리 SHEET 159 7월1주차+국판1차_이랜텍_TEM 2010 1Q 2nd offer preparation(손익시뮬)_091027_TEM 2010 Q2 Volume_Forecast_simulation" xfId="13429"/>
    <cellStyle name="7_(분리)BAT관리 SHEET 128 4월2주차+국판1차_(분리)BAT관리 SHEET 159 7월1주차+국판1차_이랜텍_TEM 2010 1Q offer preparation v1_090916" xfId="13430"/>
    <cellStyle name="7_(분리)BAT관리 SHEET 128 4월2주차+국판1차_(분리)BAT관리 SHEET 159 7월1주차+국판1차_이랜텍_TEM 2010 1Q offer preparation v1_090916_100122 전마팀장 보고 자료" xfId="13431"/>
    <cellStyle name="7_(분리)BAT관리 SHEET 128 4월2주차+국판1차_(분리)BAT관리 SHEET 159 7월1주차+국판1차_이랜텍_TEM 2010 1Q offer preparation v1_090916_TEM 2010 1Q offer final v3_090929" xfId="13432"/>
    <cellStyle name="7_(분리)BAT관리 SHEET 128 4월2주차+국판1차_(분리)BAT관리 SHEET 159 7월1주차+국판1차_이랜텍_TEM 2010 1Q offer preparation v1_090916_TEM 2010 1Q offer final v3_090929_simulation" xfId="13433"/>
    <cellStyle name="7_(분리)BAT관리 SHEET 128 4월2주차+국판1차_(분리)BAT관리 SHEET 159 7월1주차+국판1차_이랜텍_TEM 2010 1Q offer preparation v1_090916_TEM 2010 1Q offer final v3_090929_TEM 2010 Q2 Volume_Forecast" xfId="13434"/>
    <cellStyle name="7_(분리)BAT관리 SHEET 128 4월2주차+국판1차_(분리)BAT관리 SHEET 159 7월1주차+국판1차_이랜텍_TEM 2010 1Q offer preparation v1_090916_TEM 2010 1Q offer final v3_090929_TEM 2010 Q2 Volume_Forecast_simulation" xfId="13435"/>
    <cellStyle name="7_(분리)BAT관리 SHEET 128 4월2주차+국판1차_(분리)BAT관리 SHEET 159 7월1주차+국판1차_이랜텍_TEM 2010 1Q offer preparation v1_090916_TEM 2010 1Q offer final v3_091005" xfId="13436"/>
    <cellStyle name="7_(분리)BAT관리 SHEET 128 4월2주차+국판1차_(분리)BAT관리 SHEET 159 7월1주차+국판1차_이랜텍_TEM 2010 1Q offer preparation v1_090916_TEM 2010 1Q offer final v3_091005_simulation" xfId="13437"/>
    <cellStyle name="7_(분리)BAT관리 SHEET 128 4월2주차+국판1차_(분리)BAT관리 SHEET 159 7월1주차+국판1차_이랜텍_TEM 2010 1Q offer preparation v1_090916_TEM 2010 1Q offer final v3_091005_TEM 2010 Q2 Volume_Forecast" xfId="13438"/>
    <cellStyle name="7_(분리)BAT관리 SHEET 128 4월2주차+국판1차_(분리)BAT관리 SHEET 159 7월1주차+국판1차_이랜텍_TEM 2010 1Q offer preparation v1_090916_TEM 2010 1Q offer final v3_091005_TEM 2010 Q2 Volume_Forecast_simulation" xfId="13439"/>
    <cellStyle name="7_(분리)BAT관리 SHEET 128 4월2주차+국판1차_(분리)BAT관리 SHEET 159 7월1주차+국판1차_이랜텍_TEM 2010 1Q offer preparation v1_090916_TEM 2010 1Q offer_091006" xfId="13440"/>
    <cellStyle name="7_(분리)BAT관리 SHEET 128 4월2주차+국판1차_(분리)BAT관리 SHEET 159 7월1주차+국판1차_이랜텍_TEM 2010 1Q offer preparation v1_090916_TEM 2010 1Q offer_091006_simulation" xfId="13441"/>
    <cellStyle name="7_(분리)BAT관리 SHEET 128 4월2주차+국판1차_(분리)BAT관리 SHEET 159 7월1주차+국판1차_이랜텍_TEM 2010 1Q offer preparation v1_090916_TEM 2010 1Q offer_091006_TEM 2010 Q2 Volume_Forecast" xfId="13442"/>
    <cellStyle name="7_(분리)BAT관리 SHEET 128 4월2주차+국판1차_(분리)BAT관리 SHEET 159 7월1주차+국판1차_이랜텍_TEM 2010 1Q offer preparation v1_090916_TEM 2010 1Q offer_091006_TEM 2010 Q2 Volume_Forecast_simulation" xfId="13443"/>
    <cellStyle name="7_(분리)BAT관리 SHEET 128 4월2주차+국판1차_(분리)BAT관리 SHEET 159 7월1주차+국판1차_이랜텍_TEM 2010 1Q offer preparation v1_090916_TEM 2010 1Q offer_091014" xfId="13444"/>
    <cellStyle name="7_(분리)BAT관리 SHEET 128 4월2주차+국판1차_(분리)BAT관리 SHEET 159 7월1주차+국판1차_이랜텍_TEM 2010 1Q offer preparation v1_090916_TEM 2010 1Q offer_091014_simulation" xfId="13445"/>
    <cellStyle name="7_(분리)BAT관리 SHEET 128 4월2주차+국판1차_(분리)BAT관리 SHEET 159 7월1주차+국판1차_이랜텍_TEM 2010 1Q offer preparation v1_090916_TEM 2010 1Q offer_091014_TEM 2010 Q2 Volume_Forecast" xfId="13446"/>
    <cellStyle name="7_(분리)BAT관리 SHEET 128 4월2주차+국판1차_(분리)BAT관리 SHEET 159 7월1주차+국판1차_이랜텍_TEM 2010 1Q offer preparation v1_090916_TEM 2010 1Q offer_091014_TEM 2010 Q2 Volume_Forecast_simulation" xfId="13447"/>
    <cellStyle name="7_(분리)BAT관리 SHEET 128 4월2주차+국판1차_(분리)BAT관리 SHEET 159 7월1주차+국판1차_이랜텍_TEM 2010 1Q offer preparation v1_090916_TEM 2010 1Q offer_091015" xfId="13448"/>
    <cellStyle name="7_(분리)BAT관리 SHEET 128 4월2주차+국판1차_(분리)BAT관리 SHEET 159 7월1주차+국판1차_이랜텍_TEM 2010 1Q offer preparation v1_090916_TEM 2010 1Q offer_091015_simulation" xfId="13449"/>
    <cellStyle name="7_(분리)BAT관리 SHEET 128 4월2주차+국판1차_(분리)BAT관리 SHEET 159 7월1주차+국판1차_이랜텍_TEM 2010 1Q offer preparation v1_090916_TEM 2010 1Q offer_091015_TEM 2010 Q2 Volume_Forecast" xfId="13450"/>
    <cellStyle name="7_(분리)BAT관리 SHEET 128 4월2주차+국판1차_(분리)BAT관리 SHEET 159 7월1주차+국판1차_이랜텍_TEM 2010 1Q offer preparation v1_090916_TEM 2010 1Q offer_091015_TEM 2010 Q2 Volume_Forecast_simulation" xfId="13451"/>
    <cellStyle name="7_(분리)BAT관리 SHEET 128 4월2주차+국판1차_(분리)BAT관리 SHEET 159 7월1주차+국판1차_이랜텍_TEM 2010 1Q offer preparation v1_090916_TEM 2010 Q2 Volume_Forecast" xfId="13452"/>
    <cellStyle name="7_(분리)BAT관리 SHEET 128 4월2주차+국판1차_(분리)BAT관리 SHEET 159 7월1주차+국판1차_이랜텍_TEM 2010 1Q offer preparation v1_090916_TEM 2010 Q2 Volume_Forecast_simulation" xfId="13453"/>
    <cellStyle name="7_(분리)BAT관리 SHEET 128 4월2주차+국판1차_(분리)BAT관리 SHEET 159 7월1주차+국판1차_이랜텍_TEM 2010 1Q offer preparation v1_090916_수식포함" xfId="13454"/>
    <cellStyle name="7_(분리)BAT관리 SHEET 128 4월2주차+국판1차_(분리)BAT관리 SHEET 159 7월1주차+국판1차_이랜텍_TEM 2010 1Q offer preparation v3_090917" xfId="13455"/>
    <cellStyle name="7_(분리)BAT관리 SHEET 128 4월2주차+국판1차_(분리)BAT관리 SHEET 159 7월1주차+국판1차_이랜텍_TEM 2010 1Q offer preparation v3_090917_100122 전마팀장 보고 자료" xfId="13456"/>
    <cellStyle name="7_(분리)BAT관리 SHEET 128 4월2주차+국판1차_(분리)BAT관리 SHEET 159 7월1주차+국판1차_이랜텍_TEM 2010 1Q offer preparation v3_090917_TEM 2010 1Q offer final v3_090929" xfId="13457"/>
    <cellStyle name="7_(분리)BAT관리 SHEET 128 4월2주차+국판1차_(분리)BAT관리 SHEET 159 7월1주차+국판1차_이랜텍_TEM 2010 1Q offer preparation v3_090917_TEM 2010 1Q offer final v3_090929_simulation" xfId="13458"/>
    <cellStyle name="7_(분리)BAT관리 SHEET 128 4월2주차+국판1차_(분리)BAT관리 SHEET 159 7월1주차+국판1차_이랜텍_TEM 2010 1Q offer preparation v3_090917_TEM 2010 1Q offer final v3_090929_TEM 2010 Q2 Volume_Forecast" xfId="13459"/>
    <cellStyle name="7_(분리)BAT관리 SHEET 128 4월2주차+국판1차_(분리)BAT관리 SHEET 159 7월1주차+국판1차_이랜텍_TEM 2010 1Q offer preparation v3_090917_TEM 2010 1Q offer final v3_090929_TEM 2010 Q2 Volume_Forecast_simulation" xfId="13460"/>
    <cellStyle name="7_(분리)BAT관리 SHEET 128 4월2주차+국판1차_(분리)BAT관리 SHEET 159 7월1주차+국판1차_이랜텍_TEM 2010 1Q offer preparation v3_090917_TEM 2010 1Q offer final v3_091005" xfId="13461"/>
    <cellStyle name="7_(분리)BAT관리 SHEET 128 4월2주차+국판1차_(분리)BAT관리 SHEET 159 7월1주차+국판1차_이랜텍_TEM 2010 1Q offer preparation v3_090917_TEM 2010 1Q offer final v3_091005_simulation" xfId="13462"/>
    <cellStyle name="7_(분리)BAT관리 SHEET 128 4월2주차+국판1차_(분리)BAT관리 SHEET 159 7월1주차+국판1차_이랜텍_TEM 2010 1Q offer preparation v3_090917_TEM 2010 1Q offer final v3_091005_TEM 2010 Q2 Volume_Forecast" xfId="13463"/>
    <cellStyle name="7_(분리)BAT관리 SHEET 128 4월2주차+국판1차_(분리)BAT관리 SHEET 159 7월1주차+국판1차_이랜텍_TEM 2010 1Q offer preparation v3_090917_TEM 2010 1Q offer final v3_091005_TEM 2010 Q2 Volume_Forecast_simulation" xfId="13464"/>
    <cellStyle name="7_(분리)BAT관리 SHEET 128 4월2주차+국판1차_(분리)BAT관리 SHEET 159 7월1주차+국판1차_이랜텍_TEM 2010 1Q offer preparation v3_090917_TEM 2010 1Q offer_091006" xfId="13465"/>
    <cellStyle name="7_(분리)BAT관리 SHEET 128 4월2주차+국판1차_(분리)BAT관리 SHEET 159 7월1주차+국판1차_이랜텍_TEM 2010 1Q offer preparation v3_090917_TEM 2010 1Q offer_091006_simulation" xfId="13466"/>
    <cellStyle name="7_(분리)BAT관리 SHEET 128 4월2주차+국판1차_(분리)BAT관리 SHEET 159 7월1주차+국판1차_이랜텍_TEM 2010 1Q offer preparation v3_090917_TEM 2010 1Q offer_091006_TEM 2010 Q2 Volume_Forecast" xfId="13467"/>
    <cellStyle name="7_(분리)BAT관리 SHEET 128 4월2주차+국판1차_(분리)BAT관리 SHEET 159 7월1주차+국판1차_이랜텍_TEM 2010 1Q offer preparation v3_090917_TEM 2010 1Q offer_091006_TEM 2010 Q2 Volume_Forecast_simulation" xfId="13468"/>
    <cellStyle name="7_(분리)BAT관리 SHEET 128 4월2주차+국판1차_(분리)BAT관리 SHEET 159 7월1주차+국판1차_이랜텍_TEM 2010 1Q offer preparation v3_090917_TEM 2010 1Q offer_091014" xfId="13469"/>
    <cellStyle name="7_(분리)BAT관리 SHEET 128 4월2주차+국판1차_(분리)BAT관리 SHEET 159 7월1주차+국판1차_이랜텍_TEM 2010 1Q offer preparation v3_090917_TEM 2010 1Q offer_091014_simulation" xfId="13470"/>
    <cellStyle name="7_(분리)BAT관리 SHEET 128 4월2주차+국판1차_(분리)BAT관리 SHEET 159 7월1주차+국판1차_이랜텍_TEM 2010 1Q offer preparation v3_090917_TEM 2010 1Q offer_091014_TEM 2010 Q2 Volume_Forecast" xfId="13471"/>
    <cellStyle name="7_(분리)BAT관리 SHEET 128 4월2주차+국판1차_(분리)BAT관리 SHEET 159 7월1주차+국판1차_이랜텍_TEM 2010 1Q offer preparation v3_090917_TEM 2010 1Q offer_091014_TEM 2010 Q2 Volume_Forecast_simulation" xfId="13472"/>
    <cellStyle name="7_(분리)BAT관리 SHEET 128 4월2주차+국판1차_(분리)BAT관리 SHEET 159 7월1주차+국판1차_이랜텍_TEM 2010 1Q offer preparation v3_090917_TEM 2010 1Q offer_091015" xfId="13473"/>
    <cellStyle name="7_(분리)BAT관리 SHEET 128 4월2주차+국판1차_(분리)BAT관리 SHEET 159 7월1주차+국판1차_이랜텍_TEM 2010 1Q offer preparation v3_090917_TEM 2010 1Q offer_091015_simulation" xfId="13474"/>
    <cellStyle name="7_(분리)BAT관리 SHEET 128 4월2주차+국판1차_(분리)BAT관리 SHEET 159 7월1주차+국판1차_이랜텍_TEM 2010 1Q offer preparation v3_090917_TEM 2010 1Q offer_091015_TEM 2010 Q2 Volume_Forecast" xfId="13475"/>
    <cellStyle name="7_(분리)BAT관리 SHEET 128 4월2주차+국판1차_(분리)BAT관리 SHEET 159 7월1주차+국판1차_이랜텍_TEM 2010 1Q offer preparation v3_090917_TEM 2010 1Q offer_091015_TEM 2010 Q2 Volume_Forecast_simulation" xfId="13476"/>
    <cellStyle name="7_(분리)BAT관리 SHEET 128 4월2주차+국판1차_(분리)BAT관리 SHEET 159 7월1주차+국판1차_이랜텍_TEM 2010 1Q offer preparation v3_090917_TEM 2010 Q2 Volume_Forecast" xfId="13477"/>
    <cellStyle name="7_(분리)BAT관리 SHEET 128 4월2주차+국판1차_(분리)BAT관리 SHEET 159 7월1주차+국판1차_이랜텍_TEM 2010 1Q offer preparation v3_090917_TEM 2010 Q2 Volume_Forecast_simulation" xfId="13478"/>
    <cellStyle name="7_(분리)BAT관리 SHEET 128 4월2주차+국판1차_(분리)BAT관리 SHEET 159 7월1주차+국판1차_이랜텍_TEM 2010 1Q offer preparation v3_090917_수식포함" xfId="13479"/>
    <cellStyle name="7_(분리)BAT관리 SHEET 128 4월2주차+국판1차_(분리)BAT관리 SHEET 159 7월1주차+국판1차_이랜텍_TEM 2010 Q2 Volume_Forecast" xfId="13480"/>
    <cellStyle name="7_(분리)BAT관리 SHEET 128 4월2주차+국판1차_(분리)BAT관리 SHEET 159 7월1주차+국판1차_이랜텍_TEM 2010 Q2 Volume_Forecast_simulation" xfId="13481"/>
    <cellStyle name="7_(분리)BAT관리 SHEET 128 4월2주차+국판1차_(분리)BAT관리 SHEET 159 7월1주차+국판1차_이랜텍_수식포함" xfId="13482"/>
    <cellStyle name="7_(분리)BAT관리 SHEET 128 4월2주차+국판1차_100122 전마팀장 보고 자료" xfId="13483"/>
    <cellStyle name="7_(분리)BAT관리 SHEET 128 4월2주차+국판1차_10Q1 2차 가격안(시뮬레이션)_OH변경후_2" xfId="13484"/>
    <cellStyle name="7_(분리)BAT관리 SHEET 128 4월2주차+국판1차_10Q1 2차 가격안(시뮬레이션)_OH변경후_2_simulation" xfId="13485"/>
    <cellStyle name="7_(분리)BAT관리 SHEET 128 4월2주차+국판1차_10Q1 2차 가격안(시뮬레이션)_OH변경후_2_TEM 2010 Q2 Volume_Forecast" xfId="13486"/>
    <cellStyle name="7_(분리)BAT관리 SHEET 128 4월2주차+국판1차_10Q1 2차 가격안(시뮬레이션)_OH변경후_2_TEM 2010 Q2 Volume_Forecast_simulation" xfId="13487"/>
    <cellStyle name="7_(분리)BAT관리 SHEET 128 4월2주차+국판1차_10Q1 TEM 가격 물량 안(영업)_경쟁사가격포함" xfId="13488"/>
    <cellStyle name="7_(분리)BAT관리 SHEET 128 4월2주차+국판1차_10Q1 TEM 가격 물량 안(영업)_경쟁사가격포함_100122 전마팀장 보고 자료" xfId="13489"/>
    <cellStyle name="7_(분리)BAT관리 SHEET 128 4월2주차+국판1차_10Q1 TEM 가격 물량 안(영업)_경쟁사가격포함_수식포함" xfId="13490"/>
    <cellStyle name="7_(분리)BAT관리 SHEET 128 4월2주차+국판1차_Rate" xfId="13491"/>
    <cellStyle name="7_(분리)BAT관리 SHEET 128 4월2주차+국판1차_Rate_simulation" xfId="13492"/>
    <cellStyle name="7_(분리)BAT관리 SHEET 128 4월2주차+국판1차_Rate_TEM 2010 Q2 Volume_Forecast" xfId="13493"/>
    <cellStyle name="7_(분리)BAT관리 SHEET 128 4월2주차+국판1차_Rate_TEM 2010 Q2 Volume_Forecast_simulation" xfId="13494"/>
    <cellStyle name="7_(분리)BAT관리 SHEET 128 4월2주차+국판1차_Telcel 손익" xfId="13495"/>
    <cellStyle name="7_(분리)BAT관리 SHEET 128 4월2주차+국판1차_Telcel 손익_simulation" xfId="13496"/>
    <cellStyle name="7_(분리)BAT관리 SHEET 128 4월2주차+국판1차_Telcel 손익_TEM 2010 Q2 Volume_Forecast" xfId="13497"/>
    <cellStyle name="7_(분리)BAT관리 SHEET 128 4월2주차+국판1차_Telcel 손익_TEM 2010 Q2 Volume_Forecast_simulation" xfId="13498"/>
    <cellStyle name="7_(분리)BAT관리 SHEET 128 4월2주차+국판1차_TEM 2010 1Q 2nd offer preparation v1_091026" xfId="13499"/>
    <cellStyle name="7_(분리)BAT관리 SHEET 128 4월2주차+국판1차_TEM 2010 1Q 2nd offer preparation v1_091026_100122 전마팀장 보고 자료" xfId="13500"/>
    <cellStyle name="7_(분리)BAT관리 SHEET 128 4월2주차+국판1차_TEM 2010 1Q 2nd offer preparation v1_091026_수식포함" xfId="13501"/>
    <cellStyle name="7_(분리)BAT관리 SHEET 128 4월2주차+국판1차_TEM 2010 1Q 2nd offer preparation v1_091027" xfId="13502"/>
    <cellStyle name="7_(분리)BAT관리 SHEET 128 4월2주차+국판1차_TEM 2010 1Q 2nd offer preparation v1_091027_100122 전마팀장 보고 자료" xfId="13503"/>
    <cellStyle name="7_(분리)BAT관리 SHEET 128 4월2주차+국판1차_TEM 2010 1Q 2nd offer preparation v1_091027_수식포함" xfId="13504"/>
    <cellStyle name="7_(분리)BAT관리 SHEET 128 4월2주차+국판1차_TEM 2010 1Q 2nd offer preparation(손익시뮬)_091027" xfId="13505"/>
    <cellStyle name="7_(분리)BAT관리 SHEET 128 4월2주차+국판1차_TEM 2010 1Q 2nd offer preparation(손익시뮬)_091027_simulation" xfId="13506"/>
    <cellStyle name="7_(분리)BAT관리 SHEET 128 4월2주차+국판1차_TEM 2010 1Q 2nd offer preparation(손익시뮬)_091027_TEM 2010 Q2 Volume_Forecast" xfId="13507"/>
    <cellStyle name="7_(분리)BAT관리 SHEET 128 4월2주차+국판1차_TEM 2010 1Q 2nd offer preparation(손익시뮬)_091027_TEM 2010 Q2 Volume_Forecast_simulation" xfId="13508"/>
    <cellStyle name="7_(분리)BAT관리 SHEET 128 4월2주차+국판1차_TEM 2010 1Q offer preparation v1_090916" xfId="13509"/>
    <cellStyle name="7_(분리)BAT관리 SHEET 128 4월2주차+국판1차_TEM 2010 1Q offer preparation v1_090916_100122 전마팀장 보고 자료" xfId="13510"/>
    <cellStyle name="7_(분리)BAT관리 SHEET 128 4월2주차+국판1차_TEM 2010 1Q offer preparation v1_090916_TEM 2010 1Q offer final v3_090929" xfId="13511"/>
    <cellStyle name="7_(분리)BAT관리 SHEET 128 4월2주차+국판1차_TEM 2010 1Q offer preparation v1_090916_TEM 2010 1Q offer final v3_090929_simulation" xfId="13512"/>
    <cellStyle name="7_(분리)BAT관리 SHEET 128 4월2주차+국판1차_TEM 2010 1Q offer preparation v1_090916_TEM 2010 1Q offer final v3_090929_TEM 2010 Q2 Volume_Forecast" xfId="13513"/>
    <cellStyle name="7_(분리)BAT관리 SHEET 128 4월2주차+국판1차_TEM 2010 1Q offer preparation v1_090916_TEM 2010 1Q offer final v3_090929_TEM 2010 Q2 Volume_Forecast_simulation" xfId="13514"/>
    <cellStyle name="7_(분리)BAT관리 SHEET 128 4월2주차+국판1차_TEM 2010 1Q offer preparation v1_090916_TEM 2010 1Q offer final v3_091005" xfId="13515"/>
    <cellStyle name="7_(분리)BAT관리 SHEET 128 4월2주차+국판1차_TEM 2010 1Q offer preparation v1_090916_TEM 2010 1Q offer final v3_091005_simulation" xfId="13516"/>
    <cellStyle name="7_(분리)BAT관리 SHEET 128 4월2주차+국판1차_TEM 2010 1Q offer preparation v1_090916_TEM 2010 1Q offer final v3_091005_TEM 2010 Q2 Volume_Forecast" xfId="13517"/>
    <cellStyle name="7_(분리)BAT관리 SHEET 128 4월2주차+국판1차_TEM 2010 1Q offer preparation v1_090916_TEM 2010 1Q offer final v3_091005_TEM 2010 Q2 Volume_Forecast_simulation" xfId="13518"/>
    <cellStyle name="7_(분리)BAT관리 SHEET 128 4월2주차+국판1차_TEM 2010 1Q offer preparation v1_090916_TEM 2010 1Q offer_091006" xfId="13519"/>
    <cellStyle name="7_(분리)BAT관리 SHEET 128 4월2주차+국판1차_TEM 2010 1Q offer preparation v1_090916_TEM 2010 1Q offer_091006_simulation" xfId="13520"/>
    <cellStyle name="7_(분리)BAT관리 SHEET 128 4월2주차+국판1차_TEM 2010 1Q offer preparation v1_090916_TEM 2010 1Q offer_091006_TEM 2010 Q2 Volume_Forecast" xfId="13521"/>
    <cellStyle name="7_(분리)BAT관리 SHEET 128 4월2주차+국판1차_TEM 2010 1Q offer preparation v1_090916_TEM 2010 1Q offer_091006_TEM 2010 Q2 Volume_Forecast_simulation" xfId="13522"/>
    <cellStyle name="7_(분리)BAT관리 SHEET 128 4월2주차+국판1차_TEM 2010 1Q offer preparation v1_090916_TEM 2010 1Q offer_091014" xfId="13523"/>
    <cellStyle name="7_(분리)BAT관리 SHEET 128 4월2주차+국판1차_TEM 2010 1Q offer preparation v1_090916_TEM 2010 1Q offer_091014_simulation" xfId="13524"/>
    <cellStyle name="7_(분리)BAT관리 SHEET 128 4월2주차+국판1차_TEM 2010 1Q offer preparation v1_090916_TEM 2010 1Q offer_091014_TEM 2010 Q2 Volume_Forecast" xfId="13525"/>
    <cellStyle name="7_(분리)BAT관리 SHEET 128 4월2주차+국판1차_TEM 2010 1Q offer preparation v1_090916_TEM 2010 1Q offer_091014_TEM 2010 Q2 Volume_Forecast_simulation" xfId="13526"/>
    <cellStyle name="7_(분리)BAT관리 SHEET 128 4월2주차+국판1차_TEM 2010 1Q offer preparation v1_090916_TEM 2010 1Q offer_091015" xfId="13527"/>
    <cellStyle name="7_(분리)BAT관리 SHEET 128 4월2주차+국판1차_TEM 2010 1Q offer preparation v1_090916_TEM 2010 1Q offer_091015_simulation" xfId="13528"/>
    <cellStyle name="7_(분리)BAT관리 SHEET 128 4월2주차+국판1차_TEM 2010 1Q offer preparation v1_090916_TEM 2010 1Q offer_091015_TEM 2010 Q2 Volume_Forecast" xfId="13529"/>
    <cellStyle name="7_(분리)BAT관리 SHEET 128 4월2주차+국판1차_TEM 2010 1Q offer preparation v1_090916_TEM 2010 1Q offer_091015_TEM 2010 Q2 Volume_Forecast_simulation" xfId="13530"/>
    <cellStyle name="7_(분리)BAT관리 SHEET 128 4월2주차+국판1차_TEM 2010 1Q offer preparation v1_090916_TEM 2010 Q2 Volume_Forecast" xfId="13531"/>
    <cellStyle name="7_(분리)BAT관리 SHEET 128 4월2주차+국판1차_TEM 2010 1Q offer preparation v1_090916_TEM 2010 Q2 Volume_Forecast_simulation" xfId="13532"/>
    <cellStyle name="7_(분리)BAT관리 SHEET 128 4월2주차+국판1차_TEM 2010 1Q offer preparation v1_090916_수식포함" xfId="13533"/>
    <cellStyle name="7_(분리)BAT관리 SHEET 128 4월2주차+국판1차_TEM 2010 1Q offer preparation v3_090917" xfId="13534"/>
    <cellStyle name="7_(분리)BAT관리 SHEET 128 4월2주차+국판1차_TEM 2010 1Q offer preparation v3_090917_100122 전마팀장 보고 자료" xfId="13535"/>
    <cellStyle name="7_(분리)BAT관리 SHEET 128 4월2주차+국판1차_TEM 2010 1Q offer preparation v3_090917_TEM 2010 1Q offer final v3_090929" xfId="13536"/>
    <cellStyle name="7_(분리)BAT관리 SHEET 128 4월2주차+국판1차_TEM 2010 1Q offer preparation v3_090917_TEM 2010 1Q offer final v3_090929_simulation" xfId="13537"/>
    <cellStyle name="7_(분리)BAT관리 SHEET 128 4월2주차+국판1차_TEM 2010 1Q offer preparation v3_090917_TEM 2010 1Q offer final v3_090929_TEM 2010 Q2 Volume_Forecast" xfId="13538"/>
    <cellStyle name="7_(분리)BAT관리 SHEET 128 4월2주차+국판1차_TEM 2010 1Q offer preparation v3_090917_TEM 2010 1Q offer final v3_090929_TEM 2010 Q2 Volume_Forecast_simulation" xfId="13539"/>
    <cellStyle name="7_(분리)BAT관리 SHEET 128 4월2주차+국판1차_TEM 2010 1Q offer preparation v3_090917_TEM 2010 1Q offer final v3_091005" xfId="13540"/>
    <cellStyle name="7_(분리)BAT관리 SHEET 128 4월2주차+국판1차_TEM 2010 1Q offer preparation v3_090917_TEM 2010 1Q offer final v3_091005_simulation" xfId="13541"/>
    <cellStyle name="7_(분리)BAT관리 SHEET 128 4월2주차+국판1차_TEM 2010 1Q offer preparation v3_090917_TEM 2010 1Q offer final v3_091005_TEM 2010 Q2 Volume_Forecast" xfId="13542"/>
    <cellStyle name="7_(분리)BAT관리 SHEET 128 4월2주차+국판1차_TEM 2010 1Q offer preparation v3_090917_TEM 2010 1Q offer final v3_091005_TEM 2010 Q2 Volume_Forecast_simulation" xfId="13543"/>
    <cellStyle name="7_(분리)BAT관리 SHEET 128 4월2주차+국판1차_TEM 2010 1Q offer preparation v3_090917_TEM 2010 1Q offer_091006" xfId="13544"/>
    <cellStyle name="7_(분리)BAT관리 SHEET 128 4월2주차+국판1차_TEM 2010 1Q offer preparation v3_090917_TEM 2010 1Q offer_091006_simulation" xfId="13545"/>
    <cellStyle name="7_(분리)BAT관리 SHEET 128 4월2주차+국판1차_TEM 2010 1Q offer preparation v3_090917_TEM 2010 1Q offer_091006_TEM 2010 Q2 Volume_Forecast" xfId="13546"/>
    <cellStyle name="7_(분리)BAT관리 SHEET 128 4월2주차+국판1차_TEM 2010 1Q offer preparation v3_090917_TEM 2010 1Q offer_091006_TEM 2010 Q2 Volume_Forecast_simulation" xfId="13547"/>
    <cellStyle name="7_(분리)BAT관리 SHEET 128 4월2주차+국판1차_TEM 2010 1Q offer preparation v3_090917_TEM 2010 1Q offer_091014" xfId="13548"/>
    <cellStyle name="7_(분리)BAT관리 SHEET 128 4월2주차+국판1차_TEM 2010 1Q offer preparation v3_090917_TEM 2010 1Q offer_091014_simulation" xfId="13549"/>
    <cellStyle name="7_(분리)BAT관리 SHEET 128 4월2주차+국판1차_TEM 2010 1Q offer preparation v3_090917_TEM 2010 1Q offer_091014_TEM 2010 Q2 Volume_Forecast" xfId="13550"/>
    <cellStyle name="7_(분리)BAT관리 SHEET 128 4월2주차+국판1차_TEM 2010 1Q offer preparation v3_090917_TEM 2010 1Q offer_091014_TEM 2010 Q2 Volume_Forecast_simulation" xfId="13551"/>
    <cellStyle name="7_(분리)BAT관리 SHEET 128 4월2주차+국판1차_TEM 2010 1Q offer preparation v3_090917_TEM 2010 1Q offer_091015" xfId="13552"/>
    <cellStyle name="7_(분리)BAT관리 SHEET 128 4월2주차+국판1차_TEM 2010 1Q offer preparation v3_090917_TEM 2010 1Q offer_091015_simulation" xfId="13553"/>
    <cellStyle name="7_(분리)BAT관리 SHEET 128 4월2주차+국판1차_TEM 2010 1Q offer preparation v3_090917_TEM 2010 1Q offer_091015_TEM 2010 Q2 Volume_Forecast" xfId="13554"/>
    <cellStyle name="7_(분리)BAT관리 SHEET 128 4월2주차+국판1차_TEM 2010 1Q offer preparation v3_090917_TEM 2010 1Q offer_091015_TEM 2010 Q2 Volume_Forecast_simulation" xfId="13555"/>
    <cellStyle name="7_(분리)BAT관리 SHEET 128 4월2주차+국판1차_TEM 2010 1Q offer preparation v3_090917_TEM 2010 Q2 Volume_Forecast" xfId="13556"/>
    <cellStyle name="7_(분리)BAT관리 SHEET 128 4월2주차+국판1차_TEM 2010 1Q offer preparation v3_090917_TEM 2010 Q2 Volume_Forecast_simulation" xfId="13557"/>
    <cellStyle name="7_(분리)BAT관리 SHEET 128 4월2주차+국판1차_TEM 2010 1Q offer preparation v3_090917_수식포함" xfId="13558"/>
    <cellStyle name="7_(분리)BAT관리 SHEET 128 4월2주차+국판1차_TEM 2010 Q2 Volume_Forecast" xfId="13559"/>
    <cellStyle name="7_(분리)BAT관리 SHEET 128 4월2주차+국판1차_TEM 2010 Q2 Volume_Forecast_simulation" xfId="13560"/>
    <cellStyle name="7_(분리)BAT관리 SHEET 128 4월2주차+국판1차_W2100 현황보고" xfId="13561"/>
    <cellStyle name="7_(분리)BAT관리 SHEET 128 4월2주차+국판1차_W2100 현황보고_100122 전마팀장 보고 자료" xfId="13562"/>
    <cellStyle name="7_(분리)BAT관리 SHEET 128 4월2주차+국판1차_W2100 현황보고_10Q1 2차 가격안(시뮬레이션)_OH변경후_2" xfId="13563"/>
    <cellStyle name="7_(분리)BAT관리 SHEET 128 4월2주차+국판1차_W2100 현황보고_10Q1 2차 가격안(시뮬레이션)_OH변경후_2_simulation" xfId="13564"/>
    <cellStyle name="7_(분리)BAT관리 SHEET 128 4월2주차+국판1차_W2100 현황보고_10Q1 2차 가격안(시뮬레이션)_OH변경후_2_TEM 2010 Q2 Volume_Forecast" xfId="13565"/>
    <cellStyle name="7_(분리)BAT관리 SHEET 128 4월2주차+국판1차_W2100 현황보고_10Q1 2차 가격안(시뮬레이션)_OH변경후_2_TEM 2010 Q2 Volume_Forecast_simulation" xfId="13566"/>
    <cellStyle name="7_(분리)BAT관리 SHEET 128 4월2주차+국판1차_W2100 현황보고_10Q1 TEM 가격 물량 안(영업)_경쟁사가격포함" xfId="13567"/>
    <cellStyle name="7_(분리)BAT관리 SHEET 128 4월2주차+국판1차_W2100 현황보고_10Q1 TEM 가격 물량 안(영업)_경쟁사가격포함_100122 전마팀장 보고 자료" xfId="13568"/>
    <cellStyle name="7_(분리)BAT관리 SHEET 128 4월2주차+국판1차_W2100 현황보고_10Q1 TEM 가격 물량 안(영업)_경쟁사가격포함_수식포함" xfId="13569"/>
    <cellStyle name="7_(분리)BAT관리 SHEET 128 4월2주차+국판1차_W2100 현황보고_Rate" xfId="13570"/>
    <cellStyle name="7_(분리)BAT관리 SHEET 128 4월2주차+국판1차_W2100 현황보고_Rate_simulation" xfId="13571"/>
    <cellStyle name="7_(분리)BAT관리 SHEET 128 4월2주차+국판1차_W2100 현황보고_Rate_TEM 2010 Q2 Volume_Forecast" xfId="13572"/>
    <cellStyle name="7_(분리)BAT관리 SHEET 128 4월2주차+국판1차_W2100 현황보고_Rate_TEM 2010 Q2 Volume_Forecast_simulation" xfId="13573"/>
    <cellStyle name="7_(분리)BAT관리 SHEET 128 4월2주차+국판1차_W2100 현황보고_Telcel 손익" xfId="13574"/>
    <cellStyle name="7_(분리)BAT관리 SHEET 128 4월2주차+국판1차_W2100 현황보고_Telcel 손익_simulation" xfId="13575"/>
    <cellStyle name="7_(분리)BAT관리 SHEET 128 4월2주차+국판1차_W2100 현황보고_Telcel 손익_TEM 2010 Q2 Volume_Forecast" xfId="13576"/>
    <cellStyle name="7_(분리)BAT관리 SHEET 128 4월2주차+국판1차_W2100 현황보고_Telcel 손익_TEM 2010 Q2 Volume_Forecast_simulation" xfId="13577"/>
    <cellStyle name="7_(분리)BAT관리 SHEET 128 4월2주차+국판1차_W2100 현황보고_TEM 2010 1Q 2nd offer preparation v1_091026" xfId="13578"/>
    <cellStyle name="7_(분리)BAT관리 SHEET 128 4월2주차+국판1차_W2100 현황보고_TEM 2010 1Q 2nd offer preparation v1_091026_100122 전마팀장 보고 자료" xfId="13579"/>
    <cellStyle name="7_(분리)BAT관리 SHEET 128 4월2주차+국판1차_W2100 현황보고_TEM 2010 1Q 2nd offer preparation v1_091026_수식포함" xfId="13580"/>
    <cellStyle name="7_(분리)BAT관리 SHEET 128 4월2주차+국판1차_W2100 현황보고_TEM 2010 1Q 2nd offer preparation v1_091027" xfId="13581"/>
    <cellStyle name="7_(분리)BAT관리 SHEET 128 4월2주차+국판1차_W2100 현황보고_TEM 2010 1Q 2nd offer preparation v1_091027_100122 전마팀장 보고 자료" xfId="13582"/>
    <cellStyle name="7_(분리)BAT관리 SHEET 128 4월2주차+국판1차_W2100 현황보고_TEM 2010 1Q 2nd offer preparation v1_091027_수식포함" xfId="13583"/>
    <cellStyle name="7_(분리)BAT관리 SHEET 128 4월2주차+국판1차_W2100 현황보고_TEM 2010 1Q 2nd offer preparation(손익시뮬)_091027" xfId="13584"/>
    <cellStyle name="7_(분리)BAT관리 SHEET 128 4월2주차+국판1차_W2100 현황보고_TEM 2010 1Q 2nd offer preparation(손익시뮬)_091027_simulation" xfId="13585"/>
    <cellStyle name="7_(분리)BAT관리 SHEET 128 4월2주차+국판1차_W2100 현황보고_TEM 2010 1Q 2nd offer preparation(손익시뮬)_091027_TEM 2010 Q2 Volume_Forecast" xfId="13586"/>
    <cellStyle name="7_(분리)BAT관리 SHEET 128 4월2주차+국판1차_W2100 현황보고_TEM 2010 1Q 2nd offer preparation(손익시뮬)_091027_TEM 2010 Q2 Volume_Forecast_simulation" xfId="13587"/>
    <cellStyle name="7_(분리)BAT관리 SHEET 128 4월2주차+국판1차_W2100 현황보고_TEM 2010 1Q offer preparation v1_090916" xfId="13588"/>
    <cellStyle name="7_(분리)BAT관리 SHEET 128 4월2주차+국판1차_W2100 현황보고_TEM 2010 1Q offer preparation v1_090916_100122 전마팀장 보고 자료" xfId="13589"/>
    <cellStyle name="7_(분리)BAT관리 SHEET 128 4월2주차+국판1차_W2100 현황보고_TEM 2010 1Q offer preparation v1_090916_TEM 2010 1Q offer final v3_090929" xfId="13590"/>
    <cellStyle name="7_(분리)BAT관리 SHEET 128 4월2주차+국판1차_W2100 현황보고_TEM 2010 1Q offer preparation v1_090916_TEM 2010 1Q offer final v3_090929_TEM 2010 Q2 Volume_Forecast" xfId="13591"/>
    <cellStyle name="7_(분리)BAT관리 SHEET 128 4월2주차+국판1차_W2100 현황보고_TEM 2010 1Q offer preparation v1_090916_TEM 2010 1Q offer final v3_091005" xfId="13592"/>
    <cellStyle name="7_(분리)BAT관리 SHEET 128 4월2주차+국판1차_W2100 현황보고_TEM 2010 1Q offer preparation v1_090916_TEM 2010 1Q offer final v3_091005_TEM 2010 Q2 Volume_Forecast" xfId="13593"/>
    <cellStyle name="7_(분리)BAT관리 SHEET 128 4월2주차+국판1차_W2100 현황보고_TEM 2010 1Q offer preparation v1_090916_TEM 2010 1Q offer_091006" xfId="13594"/>
    <cellStyle name="7_(분리)BAT관리 SHEET 128 4월2주차+국판1차_W2100 현황보고_TEM 2010 1Q offer preparation v1_090916_TEM 2010 1Q offer_091006_TEM 2010 Q2 Volume_Forecast" xfId="13595"/>
    <cellStyle name="7_(분리)BAT관리 SHEET 128 4월2주차+국판1차_W2100 현황보고_TEM 2010 1Q offer preparation v1_090916_TEM 2010 1Q offer_091014" xfId="13596"/>
    <cellStyle name="7_(분리)BAT관리 SHEET 128 4월2주차+국판1차_W2100 현황보고_TEM 2010 1Q offer preparation v1_090916_TEM 2010 1Q offer_091014_TEM 2010 Q2 Volume_Forecast" xfId="13597"/>
    <cellStyle name="7_(분리)BAT관리 SHEET 128 4월2주차+국판1차_W2100 현황보고_TEM 2010 1Q offer preparation v1_090916_TEM 2010 1Q offer_091015" xfId="13598"/>
    <cellStyle name="7_(분리)BAT관리 SHEET 128 4월2주차+국판1차_W2100 현황보고_TEM 2010 1Q offer preparation v1_090916_TEM 2010 1Q offer_091015_TEM 2010 Q2 Volume_Forecast" xfId="13599"/>
    <cellStyle name="7_(분리)BAT관리 SHEET 128 4월2주차+국판1차_W2100 현황보고_TEM 2010 1Q offer preparation v1_090916_TEM 2010 Q2 Volume_Forecast" xfId="13600"/>
    <cellStyle name="7_(분리)BAT관리 SHEET 128 4월2주차+국판1차_W2100 현황보고_TEM 2010 1Q offer preparation v1_090916_수식포함" xfId="13601"/>
    <cellStyle name="7_(분리)BAT관리 SHEET 128 4월2주차+국판1차_W2100 현황보고_TEM 2010 1Q offer preparation v3_090917" xfId="13602"/>
    <cellStyle name="7_(분리)BAT관리 SHEET 128 4월2주차+국판1차_W2100 현황보고_TEM 2010 1Q offer preparation v3_090917_100122 전마팀장 보고 자료" xfId="13603"/>
    <cellStyle name="7_(분리)BAT관리 SHEET 128 4월2주차+국판1차_W2100 현황보고_TEM 2010 1Q offer preparation v3_090917_TEM 2010 1Q offer final v3_090929" xfId="13604"/>
    <cellStyle name="7_(분리)BAT관리 SHEET 128 4월2주차+국판1차_W2100 현황보고_TEM 2010 1Q offer preparation v3_090917_TEM 2010 1Q offer final v3_090929_TEM 2010 Q2 Volume_Forecast" xfId="13605"/>
    <cellStyle name="7_(분리)BAT관리 SHEET 128 4월2주차+국판1차_W2100 현황보고_TEM 2010 1Q offer preparation v3_090917_TEM 2010 1Q offer final v3_091005" xfId="13606"/>
    <cellStyle name="7_(분리)BAT관리 SHEET 128 4월2주차+국판1차_W2100 현황보고_TEM 2010 1Q offer preparation v3_090917_TEM 2010 1Q offer final v3_091005_TEM 2010 Q2 Volume_Forecast" xfId="13607"/>
    <cellStyle name="7_(분리)BAT관리 SHEET 128 4월2주차+국판1차_W2100 현황보고_TEM 2010 1Q offer preparation v3_090917_TEM 2010 1Q offer_091006" xfId="13608"/>
    <cellStyle name="7_(분리)BAT관리 SHEET 128 4월2주차+국판1차_W2100 현황보고_TEM 2010 1Q offer preparation v3_090917_TEM 2010 1Q offer_091006_TEM 2010 Q2 Volume_Forecast" xfId="13609"/>
    <cellStyle name="7_(분리)BAT관리 SHEET 128 4월2주차+국판1차_W2100 현황보고_TEM 2010 1Q offer preparation v3_090917_TEM 2010 1Q offer_091014" xfId="13610"/>
    <cellStyle name="7_(분리)BAT관리 SHEET 128 4월2주차+국판1차_W2100 현황보고_TEM 2010 1Q offer preparation v3_090917_TEM 2010 1Q offer_091014_TEM 2010 Q2 Volume_Forecast" xfId="13611"/>
    <cellStyle name="7_(분리)BAT관리 SHEET 128 4월2주차+국판1차_W2100 현황보고_TEM 2010 1Q offer preparation v3_090917_TEM 2010 1Q offer_091015" xfId="13612"/>
    <cellStyle name="7_(분리)BAT관리 SHEET 128 4월2주차+국판1차_W2100 현황보고_TEM 2010 1Q offer preparation v3_090917_TEM 2010 1Q offer_091015_TEM 2010 Q2 Volume_Forecast" xfId="13613"/>
    <cellStyle name="7_(분리)BAT관리 SHEET 128 4월2주차+국판1차_W2100 현황보고_TEM 2010 1Q offer preparation v3_090917_TEM 2010 Q2 Volume_Forecast" xfId="13614"/>
    <cellStyle name="7_(분리)BAT관리 SHEET 128 4월2주차+국판1차_W2100 현황보고_TEM 2010 1Q offer preparation v3_090917_수식포함" xfId="13615"/>
    <cellStyle name="7_(분리)BAT관리 SHEET 128 4월2주차+국판1차_W2100 현황보고_TEM 2010 Q2 Volume_Forecast" xfId="13616"/>
    <cellStyle name="7_(분리)BAT관리 SHEET 128 4월2주차+국판1차_W2100 현황보고_수식포함" xfId="13617"/>
    <cellStyle name="7_(분리)BAT관리 SHEET 128 4월2주차+국판1차_W2100 현황보고_이랜텍" xfId="13618"/>
    <cellStyle name="7_(분리)BAT관리 SHEET 128 4월2주차+국판1차_W2100 현황보고_이랜텍_100122 전마팀장 보고 자료" xfId="13619"/>
    <cellStyle name="7_(분리)BAT관리 SHEET 128 4월2주차+국판1차_W2100 현황보고_이랜텍_10Q1 2차 가격안(시뮬레이션)_OH변경후_2" xfId="13620"/>
    <cellStyle name="7_(분리)BAT관리 SHEET 128 4월2주차+국판1차_W2100 현황보고_이랜텍_10Q1 2차 가격안(시뮬레이션)_OH변경후_2_simulation" xfId="13621"/>
    <cellStyle name="7_(분리)BAT관리 SHEET 128 4월2주차+국판1차_W2100 현황보고_이랜텍_10Q1 2차 가격안(시뮬레이션)_OH변경후_2_TEM 2010 Q2 Volume_Forecast" xfId="13622"/>
    <cellStyle name="7_(분리)BAT관리 SHEET 128 4월2주차+국판1차_W2100 현황보고_이랜텍_10Q1 2차 가격안(시뮬레이션)_OH변경후_2_TEM 2010 Q2 Volume_Forecast_simulation" xfId="13623"/>
    <cellStyle name="7_(분리)BAT관리 SHEET 128 4월2주차+국판1차_W2100 현황보고_이랜텍_10Q1 TEM 가격 물량 안(영업)_경쟁사가격포함" xfId="13624"/>
    <cellStyle name="7_(분리)BAT관리 SHEET 128 4월2주차+국판1차_W2100 현황보고_이랜텍_10Q1 TEM 가격 물량 안(영업)_경쟁사가격포함_100122 전마팀장 보고 자료" xfId="13625"/>
    <cellStyle name="7_(분리)BAT관리 SHEET 128 4월2주차+국판1차_W2100 현황보고_이랜텍_10Q1 TEM 가격 물량 안(영업)_경쟁사가격포함_수식포함" xfId="13626"/>
    <cellStyle name="7_(분리)BAT관리 SHEET 128 4월2주차+국판1차_W2100 현황보고_이랜텍_Rate" xfId="13627"/>
    <cellStyle name="7_(분리)BAT관리 SHEET 128 4월2주차+국판1차_W2100 현황보고_이랜텍_Rate_simulation" xfId="13628"/>
    <cellStyle name="7_(분리)BAT관리 SHEET 128 4월2주차+국판1차_W2100 현황보고_이랜텍_Rate_TEM 2010 Q2 Volume_Forecast" xfId="13629"/>
    <cellStyle name="7_(분리)BAT관리 SHEET 128 4월2주차+국판1차_W2100 현황보고_이랜텍_Rate_TEM 2010 Q2 Volume_Forecast_simulation" xfId="13630"/>
    <cellStyle name="7_(분리)BAT관리 SHEET 128 4월2주차+국판1차_W2100 현황보고_이랜텍_Telcel 손익" xfId="13631"/>
    <cellStyle name="7_(분리)BAT관리 SHEET 128 4월2주차+국판1차_W2100 현황보고_이랜텍_Telcel 손익_simulation" xfId="13632"/>
    <cellStyle name="7_(분리)BAT관리 SHEET 128 4월2주차+국판1차_W2100 현황보고_이랜텍_Telcel 손익_TEM 2010 Q2 Volume_Forecast" xfId="13633"/>
    <cellStyle name="7_(분리)BAT관리 SHEET 128 4월2주차+국판1차_W2100 현황보고_이랜텍_Telcel 손익_TEM 2010 Q2 Volume_Forecast_simulation" xfId="13634"/>
    <cellStyle name="7_(분리)BAT관리 SHEET 128 4월2주차+국판1차_W2100 현황보고_이랜텍_TEM 2010 1Q 2nd offer preparation v1_091026" xfId="13635"/>
    <cellStyle name="7_(분리)BAT관리 SHEET 128 4월2주차+국판1차_W2100 현황보고_이랜텍_TEM 2010 1Q 2nd offer preparation v1_091026_100122 전마팀장 보고 자료" xfId="13636"/>
    <cellStyle name="7_(분리)BAT관리 SHEET 128 4월2주차+국판1차_W2100 현황보고_이랜텍_TEM 2010 1Q 2nd offer preparation v1_091026_수식포함" xfId="13637"/>
    <cellStyle name="7_(분리)BAT관리 SHEET 128 4월2주차+국판1차_W2100 현황보고_이랜텍_TEM 2010 1Q 2nd offer preparation v1_091027" xfId="13638"/>
    <cellStyle name="7_(분리)BAT관리 SHEET 128 4월2주차+국판1차_W2100 현황보고_이랜텍_TEM 2010 1Q 2nd offer preparation v1_091027_100122 전마팀장 보고 자료" xfId="13639"/>
    <cellStyle name="7_(분리)BAT관리 SHEET 128 4월2주차+국판1차_W2100 현황보고_이랜텍_TEM 2010 1Q 2nd offer preparation v1_091027_수식포함" xfId="13640"/>
    <cellStyle name="7_(분리)BAT관리 SHEET 128 4월2주차+국판1차_W2100 현황보고_이랜텍_TEM 2010 1Q 2nd offer preparation(손익시뮬)_091027" xfId="13641"/>
    <cellStyle name="7_(분리)BAT관리 SHEET 128 4월2주차+국판1차_W2100 현황보고_이랜텍_TEM 2010 1Q 2nd offer preparation(손익시뮬)_091027_simulation" xfId="13642"/>
    <cellStyle name="7_(분리)BAT관리 SHEET 128 4월2주차+국판1차_W2100 현황보고_이랜텍_TEM 2010 1Q 2nd offer preparation(손익시뮬)_091027_TEM 2010 Q2 Volume_Forecast" xfId="13643"/>
    <cellStyle name="7_(분리)BAT관리 SHEET 128 4월2주차+국판1차_W2100 현황보고_이랜텍_TEM 2010 1Q 2nd offer preparation(손익시뮬)_091027_TEM 2010 Q2 Volume_Forecast_simulation" xfId="13644"/>
    <cellStyle name="7_(분리)BAT관리 SHEET 128 4월2주차+국판1차_W2100 현황보고_이랜텍_TEM 2010 1Q offer preparation v1_090916" xfId="13645"/>
    <cellStyle name="7_(분리)BAT관리 SHEET 128 4월2주차+국판1차_W2100 현황보고_이랜텍_TEM 2010 1Q offer preparation v1_090916_100122 전마팀장 보고 자료" xfId="13646"/>
    <cellStyle name="7_(분리)BAT관리 SHEET 128 4월2주차+국판1차_W2100 현황보고_이랜텍_TEM 2010 1Q offer preparation v1_090916_TEM 2010 1Q offer final v3_090929" xfId="13647"/>
    <cellStyle name="7_(분리)BAT관리 SHEET 128 4월2주차+국판1차_W2100 현황보고_이랜텍_TEM 2010 1Q offer preparation v1_090916_TEM 2010 1Q offer final v3_090929_simulation" xfId="13648"/>
    <cellStyle name="7_(분리)BAT관리 SHEET 128 4월2주차+국판1차_W2100 현황보고_이랜텍_TEM 2010 1Q offer preparation v1_090916_TEM 2010 1Q offer final v3_090929_TEM 2010 Q2 Volume_Forecast" xfId="13649"/>
    <cellStyle name="7_(분리)BAT관리 SHEET 128 4월2주차+국판1차_W2100 현황보고_이랜텍_TEM 2010 1Q offer preparation v1_090916_TEM 2010 1Q offer final v3_090929_TEM 2010 Q2 Volume_Forecast_simulation" xfId="13650"/>
    <cellStyle name="7_(분리)BAT관리 SHEET 128 4월2주차+국판1차_W2100 현황보고_이랜텍_TEM 2010 1Q offer preparation v1_090916_TEM 2010 1Q offer final v3_091005" xfId="13651"/>
    <cellStyle name="7_(분리)BAT관리 SHEET 128 4월2주차+국판1차_W2100 현황보고_이랜텍_TEM 2010 1Q offer preparation v1_090916_TEM 2010 1Q offer final v3_091005_simulation" xfId="13652"/>
    <cellStyle name="7_(분리)BAT관리 SHEET 128 4월2주차+국판1차_W2100 현황보고_이랜텍_TEM 2010 1Q offer preparation v1_090916_TEM 2010 1Q offer final v3_091005_TEM 2010 Q2 Volume_Forecast" xfId="13653"/>
    <cellStyle name="7_(분리)BAT관리 SHEET 128 4월2주차+국판1차_W2100 현황보고_이랜텍_TEM 2010 1Q offer preparation v1_090916_TEM 2010 1Q offer final v3_091005_TEM 2010 Q2 Volume_Forecast_simulation" xfId="13654"/>
    <cellStyle name="7_(분리)BAT관리 SHEET 128 4월2주차+국판1차_W2100 현황보고_이랜텍_TEM 2010 1Q offer preparation v1_090916_TEM 2010 1Q offer_091006" xfId="13655"/>
    <cellStyle name="7_(분리)BAT관리 SHEET 128 4월2주차+국판1차_W2100 현황보고_이랜텍_TEM 2010 1Q offer preparation v1_090916_TEM 2010 1Q offer_091006_simulation" xfId="13656"/>
    <cellStyle name="7_(분리)BAT관리 SHEET 128 4월2주차+국판1차_W2100 현황보고_이랜텍_TEM 2010 1Q offer preparation v1_090916_TEM 2010 1Q offer_091006_TEM 2010 Q2 Volume_Forecast" xfId="13657"/>
    <cellStyle name="7_(분리)BAT관리 SHEET 128 4월2주차+국판1차_W2100 현황보고_이랜텍_TEM 2010 1Q offer preparation v1_090916_TEM 2010 1Q offer_091006_TEM 2010 Q2 Volume_Forecast_simulation" xfId="13658"/>
    <cellStyle name="7_(분리)BAT관리 SHEET 128 4월2주차+국판1차_W2100 현황보고_이랜텍_TEM 2010 1Q offer preparation v1_090916_TEM 2010 1Q offer_091014" xfId="13659"/>
    <cellStyle name="7_(분리)BAT관리 SHEET 128 4월2주차+국판1차_W2100 현황보고_이랜텍_TEM 2010 1Q offer preparation v1_090916_TEM 2010 1Q offer_091014_simulation" xfId="13660"/>
    <cellStyle name="7_(분리)BAT관리 SHEET 128 4월2주차+국판1차_W2100 현황보고_이랜텍_TEM 2010 1Q offer preparation v1_090916_TEM 2010 1Q offer_091014_TEM 2010 Q2 Volume_Forecast" xfId="13661"/>
    <cellStyle name="7_(분리)BAT관리 SHEET 128 4월2주차+국판1차_W2100 현황보고_이랜텍_TEM 2010 1Q offer preparation v1_090916_TEM 2010 1Q offer_091014_TEM 2010 Q2 Volume_Forecast_simulation" xfId="13662"/>
    <cellStyle name="7_(분리)BAT관리 SHEET 128 4월2주차+국판1차_W2100 현황보고_이랜텍_TEM 2010 1Q offer preparation v1_090916_TEM 2010 1Q offer_091015" xfId="13663"/>
    <cellStyle name="7_(분리)BAT관리 SHEET 128 4월2주차+국판1차_W2100 현황보고_이랜텍_TEM 2010 1Q offer preparation v1_090916_TEM 2010 1Q offer_091015_simulation" xfId="13664"/>
    <cellStyle name="7_(분리)BAT관리 SHEET 128 4월2주차+국판1차_W2100 현황보고_이랜텍_TEM 2010 1Q offer preparation v1_090916_TEM 2010 1Q offer_091015_TEM 2010 Q2 Volume_Forecast" xfId="13665"/>
    <cellStyle name="7_(분리)BAT관리 SHEET 128 4월2주차+국판1차_W2100 현황보고_이랜텍_TEM 2010 1Q offer preparation v1_090916_TEM 2010 1Q offer_091015_TEM 2010 Q2 Volume_Forecast_simulation" xfId="13666"/>
    <cellStyle name="7_(분리)BAT관리 SHEET 128 4월2주차+국판1차_W2100 현황보고_이랜텍_TEM 2010 1Q offer preparation v1_090916_TEM 2010 Q2 Volume_Forecast" xfId="13667"/>
    <cellStyle name="7_(분리)BAT관리 SHEET 128 4월2주차+국판1차_W2100 현황보고_이랜텍_TEM 2010 1Q offer preparation v1_090916_TEM 2010 Q2 Volume_Forecast_simulation" xfId="13668"/>
    <cellStyle name="7_(분리)BAT관리 SHEET 128 4월2주차+국판1차_W2100 현황보고_이랜텍_TEM 2010 1Q offer preparation v1_090916_수식포함" xfId="13669"/>
    <cellStyle name="7_(분리)BAT관리 SHEET 128 4월2주차+국판1차_W2100 현황보고_이랜텍_TEM 2010 1Q offer preparation v3_090917" xfId="13670"/>
    <cellStyle name="7_(분리)BAT관리 SHEET 128 4월2주차+국판1차_W2100 현황보고_이랜텍_TEM 2010 1Q offer preparation v3_090917_100122 전마팀장 보고 자료" xfId="13671"/>
    <cellStyle name="7_(분리)BAT관리 SHEET 128 4월2주차+국판1차_W2100 현황보고_이랜텍_TEM 2010 1Q offer preparation v3_090917_TEM 2010 1Q offer final v3_090929" xfId="13672"/>
    <cellStyle name="7_(분리)BAT관리 SHEET 128 4월2주차+국판1차_W2100 현황보고_이랜텍_TEM 2010 1Q offer preparation v3_090917_TEM 2010 1Q offer final v3_090929_simulation" xfId="13673"/>
    <cellStyle name="7_(분리)BAT관리 SHEET 128 4월2주차+국판1차_W2100 현황보고_이랜텍_TEM 2010 1Q offer preparation v3_090917_TEM 2010 1Q offer final v3_090929_TEM 2010 Q2 Volume_Forecast" xfId="13674"/>
    <cellStyle name="7_(분리)BAT관리 SHEET 128 4월2주차+국판1차_W2100 현황보고_이랜텍_TEM 2010 1Q offer preparation v3_090917_TEM 2010 1Q offer final v3_090929_TEM 2010 Q2 Volume_Forecast_simulation" xfId="13675"/>
    <cellStyle name="7_(분리)BAT관리 SHEET 128 4월2주차+국판1차_W2100 현황보고_이랜텍_TEM 2010 1Q offer preparation v3_090917_TEM 2010 1Q offer final v3_091005" xfId="13676"/>
    <cellStyle name="7_(분리)BAT관리 SHEET 128 4월2주차+국판1차_W2100 현황보고_이랜텍_TEM 2010 1Q offer preparation v3_090917_TEM 2010 1Q offer final v3_091005_simulation" xfId="13677"/>
    <cellStyle name="7_(분리)BAT관리 SHEET 128 4월2주차+국판1차_W2100 현황보고_이랜텍_TEM 2010 1Q offer preparation v3_090917_TEM 2010 1Q offer final v3_091005_TEM 2010 Q2 Volume_Forecast" xfId="13678"/>
    <cellStyle name="7_(분리)BAT관리 SHEET 128 4월2주차+국판1차_W2100 현황보고_이랜텍_TEM 2010 1Q offer preparation v3_090917_TEM 2010 1Q offer final v3_091005_TEM 2010 Q2 Volume_Forecast_simulation" xfId="13679"/>
    <cellStyle name="7_(분리)BAT관리 SHEET 128 4월2주차+국판1차_W2100 현황보고_이랜텍_TEM 2010 1Q offer preparation v3_090917_TEM 2010 1Q offer_091006" xfId="13680"/>
    <cellStyle name="7_(분리)BAT관리 SHEET 128 4월2주차+국판1차_W2100 현황보고_이랜텍_TEM 2010 1Q offer preparation v3_090917_TEM 2010 1Q offer_091006_simulation" xfId="13681"/>
    <cellStyle name="7_(분리)BAT관리 SHEET 128 4월2주차+국판1차_W2100 현황보고_이랜텍_TEM 2010 1Q offer preparation v3_090917_TEM 2010 1Q offer_091006_TEM 2010 Q2 Volume_Forecast" xfId="13682"/>
    <cellStyle name="7_(분리)BAT관리 SHEET 128 4월2주차+국판1차_W2100 현황보고_이랜텍_TEM 2010 1Q offer preparation v3_090917_TEM 2010 1Q offer_091006_TEM 2010 Q2 Volume_Forecast_simulation" xfId="13683"/>
    <cellStyle name="7_(분리)BAT관리 SHEET 128 4월2주차+국판1차_W2100 현황보고_이랜텍_TEM 2010 1Q offer preparation v3_090917_TEM 2010 1Q offer_091014" xfId="13684"/>
    <cellStyle name="7_(분리)BAT관리 SHEET 128 4월2주차+국판1차_W2100 현황보고_이랜텍_TEM 2010 1Q offer preparation v3_090917_TEM 2010 1Q offer_091014_simulation" xfId="13685"/>
    <cellStyle name="7_(분리)BAT관리 SHEET 128 4월2주차+국판1차_W2100 현황보고_이랜텍_TEM 2010 1Q offer preparation v3_090917_TEM 2010 1Q offer_091014_TEM 2010 Q2 Volume_Forecast" xfId="13686"/>
    <cellStyle name="7_(분리)BAT관리 SHEET 128 4월2주차+국판1차_W2100 현황보고_이랜텍_TEM 2010 1Q offer preparation v3_090917_TEM 2010 1Q offer_091014_TEM 2010 Q2 Volume_Forecast_simulation" xfId="13687"/>
    <cellStyle name="7_(분리)BAT관리 SHEET 128 4월2주차+국판1차_W2100 현황보고_이랜텍_TEM 2010 1Q offer preparation v3_090917_TEM 2010 1Q offer_091015" xfId="13688"/>
    <cellStyle name="7_(분리)BAT관리 SHEET 128 4월2주차+국판1차_W2100 현황보고_이랜텍_TEM 2010 1Q offer preparation v3_090917_TEM 2010 1Q offer_091015_simulation" xfId="13689"/>
    <cellStyle name="7_(분리)BAT관리 SHEET 128 4월2주차+국판1차_W2100 현황보고_이랜텍_TEM 2010 1Q offer preparation v3_090917_TEM 2010 1Q offer_091015_TEM 2010 Q2 Volume_Forecast" xfId="13690"/>
    <cellStyle name="7_(분리)BAT관리 SHEET 128 4월2주차+국판1차_W2100 현황보고_이랜텍_TEM 2010 1Q offer preparation v3_090917_TEM 2010 1Q offer_091015_TEM 2010 Q2 Volume_Forecast_simulation" xfId="13691"/>
    <cellStyle name="7_(분리)BAT관리 SHEET 128 4월2주차+국판1차_W2100 현황보고_이랜텍_TEM 2010 1Q offer preparation v3_090917_TEM 2010 Q2 Volume_Forecast" xfId="13692"/>
    <cellStyle name="7_(분리)BAT관리 SHEET 128 4월2주차+국판1차_W2100 현황보고_이랜텍_TEM 2010 1Q offer preparation v3_090917_TEM 2010 Q2 Volume_Forecast_simulation" xfId="13693"/>
    <cellStyle name="7_(분리)BAT관리 SHEET 128 4월2주차+국판1차_W2100 현황보고_이랜텍_TEM 2010 1Q offer preparation v3_090917_수식포함" xfId="13694"/>
    <cellStyle name="7_(분리)BAT관리 SHEET 128 4월2주차+국판1차_W2100 현황보고_이랜텍_TEM 2010 Q2 Volume_Forecast" xfId="13695"/>
    <cellStyle name="7_(분리)BAT관리 SHEET 128 4월2주차+국판1차_W2100 현황보고_이랜텍_TEM 2010 Q2 Volume_Forecast_simulation" xfId="13696"/>
    <cellStyle name="7_(분리)BAT관리 SHEET 128 4월2주차+국판1차_W2100 현황보고_이랜텍_수식포함" xfId="13697"/>
    <cellStyle name="7_(분리)BAT관리 SHEET 128 4월2주차+국판1차_수식포함" xfId="13698"/>
    <cellStyle name="7_(분리)BAT관리 SHEET 기타 2" xfId="13699"/>
    <cellStyle name="7_(분리)BAT관리 SHEET 기타 2_(분리)BAT관리 SHEET 158 7월1주차+국판1차" xfId="13700"/>
    <cellStyle name="7_(분리)BAT관리 SHEET 기타 2_(분리)BAT관리 SHEET 158 7월1주차+국판1차_100122 전마팀장 보고 자료" xfId="13701"/>
    <cellStyle name="7_(분리)BAT관리 SHEET 기타 2_(분리)BAT관리 SHEET 158 7월1주차+국판1차_10Q1 2차 가격안(시뮬레이션)_OH변경후_2" xfId="13702"/>
    <cellStyle name="7_(분리)BAT관리 SHEET 기타 2_(분리)BAT관리 SHEET 158 7월1주차+국판1차_10Q1 2차 가격안(시뮬레이션)_OH변경후_2_TEM 2010 Q2 Volume_Forecast" xfId="13703"/>
    <cellStyle name="7_(분리)BAT관리 SHEET 기타 2_(분리)BAT관리 SHEET 158 7월1주차+국판1차_10Q1 TEM 가격 물량 안(영업)_경쟁사가격포함" xfId="13704"/>
    <cellStyle name="7_(분리)BAT관리 SHEET 기타 2_(분리)BAT관리 SHEET 158 7월1주차+국판1차_10Q1 TEM 가격 물량 안(영업)_경쟁사가격포함_100122 전마팀장 보고 자료" xfId="13705"/>
    <cellStyle name="7_(분리)BAT관리 SHEET 기타 2_(분리)BAT관리 SHEET 158 7월1주차+국판1차_10Q1 TEM 가격 물량 안(영업)_경쟁사가격포함_수식포함" xfId="13706"/>
    <cellStyle name="7_(분리)BAT관리 SHEET 기타 2_(분리)BAT관리 SHEET 158 7월1주차+국판1차_Rate" xfId="13707"/>
    <cellStyle name="7_(분리)BAT관리 SHEET 기타 2_(분리)BAT관리 SHEET 158 7월1주차+국판1차_Rate_TEM 2010 Q2 Volume_Forecast" xfId="13708"/>
    <cellStyle name="7_(분리)BAT관리 SHEET 기타 2_(분리)BAT관리 SHEET 158 7월1주차+국판1차_Telcel 손익" xfId="13709"/>
    <cellStyle name="7_(분리)BAT관리 SHEET 기타 2_(분리)BAT관리 SHEET 158 7월1주차+국판1차_Telcel 손익_TEM 2010 Q2 Volume_Forecast" xfId="13710"/>
    <cellStyle name="7_(분리)BAT관리 SHEET 기타 2_(분리)BAT관리 SHEET 158 7월1주차+국판1차_TEM 2010 1Q 2nd offer preparation v1_091026" xfId="13711"/>
    <cellStyle name="7_(분리)BAT관리 SHEET 기타 2_(분리)BAT관리 SHEET 158 7월1주차+국판1차_TEM 2010 1Q 2nd offer preparation v1_091026_100122 전마팀장 보고 자료" xfId="13712"/>
    <cellStyle name="7_(분리)BAT관리 SHEET 기타 2_(분리)BAT관리 SHEET 158 7월1주차+국판1차_TEM 2010 1Q 2nd offer preparation v1_091026_수식포함" xfId="13713"/>
    <cellStyle name="7_(분리)BAT관리 SHEET 기타 2_(분리)BAT관리 SHEET 158 7월1주차+국판1차_TEM 2010 1Q 2nd offer preparation v1_091027" xfId="13714"/>
    <cellStyle name="7_(분리)BAT관리 SHEET 기타 2_(분리)BAT관리 SHEET 158 7월1주차+국판1차_TEM 2010 1Q 2nd offer preparation v1_091027_100122 전마팀장 보고 자료" xfId="13715"/>
    <cellStyle name="7_(분리)BAT관리 SHEET 기타 2_(분리)BAT관리 SHEET 158 7월1주차+국판1차_TEM 2010 1Q 2nd offer preparation v1_091027_수식포함" xfId="13716"/>
    <cellStyle name="7_(분리)BAT관리 SHEET 기타 2_(분리)BAT관리 SHEET 158 7월1주차+국판1차_TEM 2010 1Q 2nd offer preparation(손익시뮬)_091027" xfId="13717"/>
    <cellStyle name="7_(분리)BAT관리 SHEET 기타 2_(분리)BAT관리 SHEET 158 7월1주차+국판1차_TEM 2010 1Q 2nd offer preparation(손익시뮬)_091027_TEM 2010 Q2 Volume_Forecast" xfId="13718"/>
    <cellStyle name="7_(분리)BAT관리 SHEET 기타 2_(분리)BAT관리 SHEET 158 7월1주차+국판1차_TEM 2010 1Q offer preparation v1_090916" xfId="13719"/>
    <cellStyle name="7_(분리)BAT관리 SHEET 기타 2_(분리)BAT관리 SHEET 158 7월1주차+국판1차_TEM 2010 1Q offer preparation v1_090916_100122 전마팀장 보고 자료" xfId="13720"/>
    <cellStyle name="7_(분리)BAT관리 SHEET 기타 2_(분리)BAT관리 SHEET 158 7월1주차+국판1차_TEM 2010 1Q offer preparation v1_090916_TEM 2010 1Q offer final v3_090929" xfId="13721"/>
    <cellStyle name="7_(분리)BAT관리 SHEET 기타 2_(분리)BAT관리 SHEET 158 7월1주차+국판1차_TEM 2010 1Q offer preparation v1_090916_TEM 2010 1Q offer final v3_090929_TEM 2010 Q2 Volume_Forecast" xfId="13722"/>
    <cellStyle name="7_(분리)BAT관리 SHEET 기타 2_(분리)BAT관리 SHEET 158 7월1주차+국판1차_TEM 2010 1Q offer preparation v1_090916_TEM 2010 1Q offer final v3_091005" xfId="13723"/>
    <cellStyle name="7_(분리)BAT관리 SHEET 기타 2_(분리)BAT관리 SHEET 158 7월1주차+국판1차_TEM 2010 1Q offer preparation v1_090916_TEM 2010 1Q offer final v3_091005_TEM 2010 Q2 Volume_Forecast" xfId="13724"/>
    <cellStyle name="7_(분리)BAT관리 SHEET 기타 2_(분리)BAT관리 SHEET 158 7월1주차+국판1차_TEM 2010 1Q offer preparation v1_090916_TEM 2010 1Q offer_091006" xfId="13725"/>
    <cellStyle name="7_(분리)BAT관리 SHEET 기타 2_(분리)BAT관리 SHEET 158 7월1주차+국판1차_TEM 2010 1Q offer preparation v1_090916_TEM 2010 1Q offer_091006_TEM 2010 Q2 Volume_Forecast" xfId="13726"/>
    <cellStyle name="7_(분리)BAT관리 SHEET 기타 2_(분리)BAT관리 SHEET 158 7월1주차+국판1차_TEM 2010 1Q offer preparation v1_090916_TEM 2010 1Q offer_091014" xfId="13727"/>
    <cellStyle name="7_(분리)BAT관리 SHEET 기타 2_(분리)BAT관리 SHEET 158 7월1주차+국판1차_TEM 2010 1Q offer preparation v1_090916_TEM 2010 1Q offer_091014_TEM 2010 Q2 Volume_Forecast" xfId="13728"/>
    <cellStyle name="7_(분리)BAT관리 SHEET 기타 2_(분리)BAT관리 SHEET 158 7월1주차+국판1차_TEM 2010 1Q offer preparation v1_090916_TEM 2010 1Q offer_091015" xfId="13729"/>
    <cellStyle name="7_(분리)BAT관리 SHEET 기타 2_(분리)BAT관리 SHEET 158 7월1주차+국판1차_TEM 2010 1Q offer preparation v1_090916_TEM 2010 1Q offer_091015_TEM 2010 Q2 Volume_Forecast" xfId="13730"/>
    <cellStyle name="7_(분리)BAT관리 SHEET 기타 2_(분리)BAT관리 SHEET 158 7월1주차+국판1차_TEM 2010 1Q offer preparation v1_090916_TEM 2010 Q2 Volume_Forecast" xfId="13731"/>
    <cellStyle name="7_(분리)BAT관리 SHEET 기타 2_(분리)BAT관리 SHEET 158 7월1주차+국판1차_TEM 2010 1Q offer preparation v1_090916_수식포함" xfId="13732"/>
    <cellStyle name="7_(분리)BAT관리 SHEET 기타 2_(분리)BAT관리 SHEET 158 7월1주차+국판1차_TEM 2010 1Q offer preparation v3_090917" xfId="13733"/>
    <cellStyle name="7_(분리)BAT관리 SHEET 기타 2_(분리)BAT관리 SHEET 158 7월1주차+국판1차_TEM 2010 1Q offer preparation v3_090917_100122 전마팀장 보고 자료" xfId="13734"/>
    <cellStyle name="7_(분리)BAT관리 SHEET 기타 2_(분리)BAT관리 SHEET 158 7월1주차+국판1차_TEM 2010 1Q offer preparation v3_090917_TEM 2010 1Q offer final v3_090929" xfId="13735"/>
    <cellStyle name="7_(분리)BAT관리 SHEET 기타 2_(분리)BAT관리 SHEET 158 7월1주차+국판1차_TEM 2010 1Q offer preparation v3_090917_TEM 2010 1Q offer final v3_090929_TEM 2010 Q2 Volume_Forecast" xfId="13736"/>
    <cellStyle name="7_(분리)BAT관리 SHEET 기타 2_(분리)BAT관리 SHEET 158 7월1주차+국판1차_TEM 2010 1Q offer preparation v3_090917_TEM 2010 1Q offer final v3_091005" xfId="13737"/>
    <cellStyle name="7_(분리)BAT관리 SHEET 기타 2_(분리)BAT관리 SHEET 158 7월1주차+국판1차_TEM 2010 1Q offer preparation v3_090917_TEM 2010 1Q offer final v3_091005_TEM 2010 Q2 Volume_Forecast" xfId="13738"/>
    <cellStyle name="7_(분리)BAT관리 SHEET 기타 2_(분리)BAT관리 SHEET 158 7월1주차+국판1차_TEM 2010 1Q offer preparation v3_090917_TEM 2010 1Q offer_091006" xfId="13739"/>
    <cellStyle name="7_(분리)BAT관리 SHEET 기타 2_(분리)BAT관리 SHEET 158 7월1주차+국판1차_TEM 2010 1Q offer preparation v3_090917_TEM 2010 1Q offer_091006_TEM 2010 Q2 Volume_Forecast" xfId="13740"/>
    <cellStyle name="7_(분리)BAT관리 SHEET 기타 2_(분리)BAT관리 SHEET 158 7월1주차+국판1차_TEM 2010 1Q offer preparation v3_090917_TEM 2010 1Q offer_091014" xfId="13741"/>
    <cellStyle name="7_(분리)BAT관리 SHEET 기타 2_(분리)BAT관리 SHEET 158 7월1주차+국판1차_TEM 2010 1Q offer preparation v3_090917_TEM 2010 1Q offer_091014_TEM 2010 Q2 Volume_Forecast" xfId="13742"/>
    <cellStyle name="7_(분리)BAT관리 SHEET 기타 2_(분리)BAT관리 SHEET 158 7월1주차+국판1차_TEM 2010 1Q offer preparation v3_090917_TEM 2010 1Q offer_091015" xfId="13743"/>
    <cellStyle name="7_(분리)BAT관리 SHEET 기타 2_(분리)BAT관리 SHEET 158 7월1주차+국판1차_TEM 2010 1Q offer preparation v3_090917_TEM 2010 1Q offer_091015_TEM 2010 Q2 Volume_Forecast" xfId="13744"/>
    <cellStyle name="7_(분리)BAT관리 SHEET 기타 2_(분리)BAT관리 SHEET 158 7월1주차+국판1차_TEM 2010 1Q offer preparation v3_090917_TEM 2010 Q2 Volume_Forecast" xfId="13745"/>
    <cellStyle name="7_(분리)BAT관리 SHEET 기타 2_(분리)BAT관리 SHEET 158 7월1주차+국판1차_TEM 2010 1Q offer preparation v3_090917_수식포함" xfId="13746"/>
    <cellStyle name="7_(분리)BAT관리 SHEET 기타 2_(분리)BAT관리 SHEET 158 7월1주차+국판1차_TEM 2010 Q2 Volume_Forecast" xfId="13747"/>
    <cellStyle name="7_(분리)BAT관리 SHEET 기타 2_(분리)BAT관리 SHEET 158 7월1주차+국판1차_수식포함" xfId="13748"/>
    <cellStyle name="7_(분리)BAT관리 SHEET 기타 2_(분리)BAT관리 SHEET 158 7월1주차+국판1차_이랜텍" xfId="13749"/>
    <cellStyle name="7_(분리)BAT관리 SHEET 기타 2_(분리)BAT관리 SHEET 158 7월1주차+국판1차_이랜텍_100122 전마팀장 보고 자료" xfId="13750"/>
    <cellStyle name="7_(분리)BAT관리 SHEET 기타 2_(분리)BAT관리 SHEET 158 7월1주차+국판1차_이랜텍_10Q1 2차 가격안(시뮬레이션)_OH변경후_2" xfId="13751"/>
    <cellStyle name="7_(분리)BAT관리 SHEET 기타 2_(분리)BAT관리 SHEET 158 7월1주차+국판1차_이랜텍_10Q1 2차 가격안(시뮬레이션)_OH변경후_2_TEM 2010 Q2 Volume_Forecast" xfId="13752"/>
    <cellStyle name="7_(분리)BAT관리 SHEET 기타 2_(분리)BAT관리 SHEET 158 7월1주차+국판1차_이랜텍_10Q1 TEM 가격 물량 안(영업)_경쟁사가격포함" xfId="13753"/>
    <cellStyle name="7_(분리)BAT관리 SHEET 기타 2_(분리)BAT관리 SHEET 158 7월1주차+국판1차_이랜텍_10Q1 TEM 가격 물량 안(영업)_경쟁사가격포함_100122 전마팀장 보고 자료" xfId="13754"/>
    <cellStyle name="7_(분리)BAT관리 SHEET 기타 2_(분리)BAT관리 SHEET 158 7월1주차+국판1차_이랜텍_10Q1 TEM 가격 물량 안(영업)_경쟁사가격포함_수식포함" xfId="13755"/>
    <cellStyle name="7_(분리)BAT관리 SHEET 기타 2_(분리)BAT관리 SHEET 158 7월1주차+국판1차_이랜텍_Rate" xfId="13756"/>
    <cellStyle name="7_(분리)BAT관리 SHEET 기타 2_(분리)BAT관리 SHEET 158 7월1주차+국판1차_이랜텍_Rate_TEM 2010 Q2 Volume_Forecast" xfId="13757"/>
    <cellStyle name="7_(분리)BAT관리 SHEET 기타 2_(분리)BAT관리 SHEET 158 7월1주차+국판1차_이랜텍_Telcel 손익" xfId="13758"/>
    <cellStyle name="7_(분리)BAT관리 SHEET 기타 2_(분리)BAT관리 SHEET 158 7월1주차+국판1차_이랜텍_Telcel 손익_TEM 2010 Q2 Volume_Forecast" xfId="13759"/>
    <cellStyle name="7_(분리)BAT관리 SHEET 기타 2_(분리)BAT관리 SHEET 158 7월1주차+국판1차_이랜텍_TEM 2010 1Q 2nd offer preparation v1_091026" xfId="13760"/>
    <cellStyle name="7_(분리)BAT관리 SHEET 기타 2_(분리)BAT관리 SHEET 158 7월1주차+국판1차_이랜텍_TEM 2010 1Q 2nd offer preparation v1_091026_100122 전마팀장 보고 자료" xfId="13761"/>
    <cellStyle name="7_(분리)BAT관리 SHEET 기타 2_(분리)BAT관리 SHEET 158 7월1주차+국판1차_이랜텍_TEM 2010 1Q 2nd offer preparation v1_091026_수식포함" xfId="13762"/>
    <cellStyle name="7_(분리)BAT관리 SHEET 기타 2_(분리)BAT관리 SHEET 158 7월1주차+국판1차_이랜텍_TEM 2010 1Q 2nd offer preparation v1_091027" xfId="13763"/>
    <cellStyle name="7_(분리)BAT관리 SHEET 기타 2_(분리)BAT관리 SHEET 158 7월1주차+국판1차_이랜텍_TEM 2010 1Q 2nd offer preparation v1_091027_100122 전마팀장 보고 자료" xfId="13764"/>
    <cellStyle name="7_(분리)BAT관리 SHEET 기타 2_(분리)BAT관리 SHEET 158 7월1주차+국판1차_이랜텍_TEM 2010 1Q 2nd offer preparation v1_091027_수식포함" xfId="13765"/>
    <cellStyle name="7_(분리)BAT관리 SHEET 기타 2_(분리)BAT관리 SHEET 158 7월1주차+국판1차_이랜텍_TEM 2010 1Q 2nd offer preparation(손익시뮬)_091027" xfId="13766"/>
    <cellStyle name="7_(분리)BAT관리 SHEET 기타 2_(분리)BAT관리 SHEET 158 7월1주차+국판1차_이랜텍_TEM 2010 1Q 2nd offer preparation(손익시뮬)_091027_TEM 2010 Q2 Volume_Forecast" xfId="13767"/>
    <cellStyle name="7_(분리)BAT관리 SHEET 기타 2_(분리)BAT관리 SHEET 158 7월1주차+국판1차_이랜텍_TEM 2010 1Q offer preparation v1_090916" xfId="13768"/>
    <cellStyle name="7_(분리)BAT관리 SHEET 기타 2_(분리)BAT관리 SHEET 158 7월1주차+국판1차_이랜텍_TEM 2010 1Q offer preparation v1_090916_100122 전마팀장 보고 자료" xfId="13769"/>
    <cellStyle name="7_(분리)BAT관리 SHEET 기타 2_(분리)BAT관리 SHEET 158 7월1주차+국판1차_이랜텍_TEM 2010 1Q offer preparation v1_090916_TEM 2010 1Q offer final v3_090929" xfId="13770"/>
    <cellStyle name="7_(분리)BAT관리 SHEET 기타 2_(분리)BAT관리 SHEET 158 7월1주차+국판1차_이랜텍_TEM 2010 1Q offer preparation v1_090916_TEM 2010 1Q offer final v3_090929_TEM 2010 Q2 Volume_Forecast" xfId="13771"/>
    <cellStyle name="7_(분리)BAT관리 SHEET 기타 2_(분리)BAT관리 SHEET 158 7월1주차+국판1차_이랜텍_TEM 2010 1Q offer preparation v1_090916_TEM 2010 1Q offer final v3_091005" xfId="13772"/>
    <cellStyle name="7_(분리)BAT관리 SHEET 기타 2_(분리)BAT관리 SHEET 158 7월1주차+국판1차_이랜텍_TEM 2010 1Q offer preparation v1_090916_TEM 2010 1Q offer final v3_091005_TEM 2010 Q2 Volume_Forecast" xfId="13773"/>
    <cellStyle name="7_(분리)BAT관리 SHEET 기타 2_(분리)BAT관리 SHEET 158 7월1주차+국판1차_이랜텍_TEM 2010 1Q offer preparation v1_090916_TEM 2010 1Q offer_091006" xfId="13774"/>
    <cellStyle name="7_(분리)BAT관리 SHEET 기타 2_(분리)BAT관리 SHEET 158 7월1주차+국판1차_이랜텍_TEM 2010 1Q offer preparation v1_090916_TEM 2010 1Q offer_091006_TEM 2010 Q2 Volume_Forecast" xfId="13775"/>
    <cellStyle name="7_(분리)BAT관리 SHEET 기타 2_(분리)BAT관리 SHEET 158 7월1주차+국판1차_이랜텍_TEM 2010 1Q offer preparation v1_090916_TEM 2010 1Q offer_091014" xfId="13776"/>
    <cellStyle name="7_(분리)BAT관리 SHEET 기타 2_(분리)BAT관리 SHEET 158 7월1주차+국판1차_이랜텍_TEM 2010 1Q offer preparation v1_090916_TEM 2010 1Q offer_091014_TEM 2010 Q2 Volume_Forecast" xfId="13777"/>
    <cellStyle name="7_(분리)BAT관리 SHEET 기타 2_(분리)BAT관리 SHEET 158 7월1주차+국판1차_이랜텍_TEM 2010 1Q offer preparation v1_090916_TEM 2010 1Q offer_091015" xfId="13778"/>
    <cellStyle name="7_(분리)BAT관리 SHEET 기타 2_(분리)BAT관리 SHEET 158 7월1주차+국판1차_이랜텍_TEM 2010 1Q offer preparation v1_090916_TEM 2010 1Q offer_091015_TEM 2010 Q2 Volume_Forecast" xfId="13779"/>
    <cellStyle name="7_(분리)BAT관리 SHEET 기타 2_(분리)BAT관리 SHEET 158 7월1주차+국판1차_이랜텍_TEM 2010 1Q offer preparation v1_090916_TEM 2010 Q2 Volume_Forecast" xfId="13780"/>
    <cellStyle name="7_(분리)BAT관리 SHEET 기타 2_(분리)BAT관리 SHEET 158 7월1주차+국판1차_이랜텍_TEM 2010 1Q offer preparation v1_090916_수식포함" xfId="13781"/>
    <cellStyle name="7_(분리)BAT관리 SHEET 기타 2_(분리)BAT관리 SHEET 158 7월1주차+국판1차_이랜텍_TEM 2010 1Q offer preparation v3_090917" xfId="13782"/>
    <cellStyle name="7_(분리)BAT관리 SHEET 기타 2_(분리)BAT관리 SHEET 158 7월1주차+국판1차_이랜텍_TEM 2010 1Q offer preparation v3_090917_100122 전마팀장 보고 자료" xfId="13783"/>
    <cellStyle name="7_(분리)BAT관리 SHEET 기타 2_(분리)BAT관리 SHEET 158 7월1주차+국판1차_이랜텍_TEM 2010 1Q offer preparation v3_090917_TEM 2010 1Q offer final v3_090929" xfId="13784"/>
    <cellStyle name="7_(분리)BAT관리 SHEET 기타 2_(분리)BAT관리 SHEET 158 7월1주차+국판1차_이랜텍_TEM 2010 1Q offer preparation v3_090917_TEM 2010 1Q offer final v3_090929_TEM 2010 Q2 Volume_Forecast" xfId="13785"/>
    <cellStyle name="7_(분리)BAT관리 SHEET 기타 2_(분리)BAT관리 SHEET 158 7월1주차+국판1차_이랜텍_TEM 2010 1Q offer preparation v3_090917_TEM 2010 1Q offer final v3_091005" xfId="13786"/>
    <cellStyle name="7_(분리)BAT관리 SHEET 기타 2_(분리)BAT관리 SHEET 158 7월1주차+국판1차_이랜텍_TEM 2010 1Q offer preparation v3_090917_TEM 2010 1Q offer final v3_091005_TEM 2010 Q2 Volume_Forecast" xfId="13787"/>
    <cellStyle name="7_(분리)BAT관리 SHEET 기타 2_(분리)BAT관리 SHEET 158 7월1주차+국판1차_이랜텍_TEM 2010 1Q offer preparation v3_090917_TEM 2010 1Q offer_091006" xfId="13788"/>
    <cellStyle name="7_(분리)BAT관리 SHEET 기타 2_(분리)BAT관리 SHEET 158 7월1주차+국판1차_이랜텍_TEM 2010 1Q offer preparation v3_090917_TEM 2010 1Q offer_091006_TEM 2010 Q2 Volume_Forecast" xfId="13789"/>
    <cellStyle name="7_(분리)BAT관리 SHEET 기타 2_(분리)BAT관리 SHEET 158 7월1주차+국판1차_이랜텍_TEM 2010 1Q offer preparation v3_090917_TEM 2010 1Q offer_091014" xfId="13790"/>
    <cellStyle name="7_(분리)BAT관리 SHEET 기타 2_(분리)BAT관리 SHEET 158 7월1주차+국판1차_이랜텍_TEM 2010 1Q offer preparation v3_090917_TEM 2010 1Q offer_091014_TEM 2010 Q2 Volume_Forecast" xfId="13791"/>
    <cellStyle name="7_(분리)BAT관리 SHEET 기타 2_(분리)BAT관리 SHEET 158 7월1주차+국판1차_이랜텍_TEM 2010 1Q offer preparation v3_090917_TEM 2010 1Q offer_091015" xfId="13792"/>
    <cellStyle name="7_(분리)BAT관리 SHEET 기타 2_(분리)BAT관리 SHEET 158 7월1주차+국판1차_이랜텍_TEM 2010 1Q offer preparation v3_090917_TEM 2010 1Q offer_091015_TEM 2010 Q2 Volume_Forecast" xfId="13793"/>
    <cellStyle name="7_(분리)BAT관리 SHEET 기타 2_(분리)BAT관리 SHEET 158 7월1주차+국판1차_이랜텍_TEM 2010 1Q offer preparation v3_090917_TEM 2010 Q2 Volume_Forecast" xfId="13794"/>
    <cellStyle name="7_(분리)BAT관리 SHEET 기타 2_(분리)BAT관리 SHEET 158 7월1주차+국판1차_이랜텍_TEM 2010 1Q offer preparation v3_090917_수식포함" xfId="13795"/>
    <cellStyle name="7_(분리)BAT관리 SHEET 기타 2_(분리)BAT관리 SHEET 158 7월1주차+국판1차_이랜텍_TEM 2010 Q2 Volume_Forecast" xfId="13796"/>
    <cellStyle name="7_(분리)BAT관리 SHEET 기타 2_(분리)BAT관리 SHEET 158 7월1주차+국판1차_이랜텍_수식포함" xfId="13797"/>
    <cellStyle name="7_(분리)BAT관리 SHEET 기타 2_(분리)BAT관리 SHEET 159 7월1주차+국판1차" xfId="13798"/>
    <cellStyle name="7_(분리)BAT관리 SHEET 기타 2_(분리)BAT관리 SHEET 159 7월1주차+국판1차_100122 전마팀장 보고 자료" xfId="13799"/>
    <cellStyle name="7_(분리)BAT관리 SHEET 기타 2_(분리)BAT관리 SHEET 159 7월1주차+국판1차_10Q1 2차 가격안(시뮬레이션)_OH변경후_2" xfId="13800"/>
    <cellStyle name="7_(분리)BAT관리 SHEET 기타 2_(분리)BAT관리 SHEET 159 7월1주차+국판1차_10Q1 2차 가격안(시뮬레이션)_OH변경후_2_TEM 2010 Q2 Volume_Forecast" xfId="13801"/>
    <cellStyle name="7_(분리)BAT관리 SHEET 기타 2_(분리)BAT관리 SHEET 159 7월1주차+국판1차_10Q1 TEM 가격 물량 안(영업)_경쟁사가격포함" xfId="13802"/>
    <cellStyle name="7_(분리)BAT관리 SHEET 기타 2_(분리)BAT관리 SHEET 159 7월1주차+국판1차_10Q1 TEM 가격 물량 안(영업)_경쟁사가격포함_100122 전마팀장 보고 자료" xfId="13803"/>
    <cellStyle name="7_(분리)BAT관리 SHEET 기타 2_(분리)BAT관리 SHEET 159 7월1주차+국판1차_10Q1 TEM 가격 물량 안(영업)_경쟁사가격포함_수식포함" xfId="13804"/>
    <cellStyle name="7_(분리)BAT관리 SHEET 기타 2_(분리)BAT관리 SHEET 159 7월1주차+국판1차_Rate" xfId="13805"/>
    <cellStyle name="7_(분리)BAT관리 SHEET 기타 2_(분리)BAT관리 SHEET 159 7월1주차+국판1차_Rate_TEM 2010 Q2 Volume_Forecast" xfId="13806"/>
    <cellStyle name="7_(분리)BAT관리 SHEET 기타 2_(분리)BAT관리 SHEET 159 7월1주차+국판1차_Telcel 손익" xfId="13807"/>
    <cellStyle name="7_(분리)BAT관리 SHEET 기타 2_(분리)BAT관리 SHEET 159 7월1주차+국판1차_Telcel 손익_TEM 2010 Q2 Volume_Forecast" xfId="13808"/>
    <cellStyle name="7_(분리)BAT관리 SHEET 기타 2_(분리)BAT관리 SHEET 159 7월1주차+국판1차_TEM 2010 1Q 2nd offer preparation v1_091026" xfId="13809"/>
    <cellStyle name="7_(분리)BAT관리 SHEET 기타 2_(분리)BAT관리 SHEET 159 7월1주차+국판1차_TEM 2010 1Q 2nd offer preparation v1_091026_100122 전마팀장 보고 자료" xfId="13810"/>
    <cellStyle name="7_(분리)BAT관리 SHEET 기타 2_(분리)BAT관리 SHEET 159 7월1주차+국판1차_TEM 2010 1Q 2nd offer preparation v1_091026_수식포함" xfId="13811"/>
    <cellStyle name="7_(분리)BAT관리 SHEET 기타 2_(분리)BAT관리 SHEET 159 7월1주차+국판1차_TEM 2010 1Q 2nd offer preparation v1_091027" xfId="13812"/>
    <cellStyle name="7_(분리)BAT관리 SHEET 기타 2_(분리)BAT관리 SHEET 159 7월1주차+국판1차_TEM 2010 1Q 2nd offer preparation v1_091027_100122 전마팀장 보고 자료" xfId="13813"/>
    <cellStyle name="7_(분리)BAT관리 SHEET 기타 2_(분리)BAT관리 SHEET 159 7월1주차+국판1차_TEM 2010 1Q 2nd offer preparation v1_091027_수식포함" xfId="13814"/>
    <cellStyle name="7_(분리)BAT관리 SHEET 기타 2_(분리)BAT관리 SHEET 159 7월1주차+국판1차_TEM 2010 1Q 2nd offer preparation(손익시뮬)_091027" xfId="13815"/>
    <cellStyle name="7_(분리)BAT관리 SHEET 기타 2_(분리)BAT관리 SHEET 159 7월1주차+국판1차_TEM 2010 1Q 2nd offer preparation(손익시뮬)_091027_TEM 2010 Q2 Volume_Forecast" xfId="13816"/>
    <cellStyle name="7_(분리)BAT관리 SHEET 기타 2_(분리)BAT관리 SHEET 159 7월1주차+국판1차_TEM 2010 1Q offer preparation v1_090916" xfId="13817"/>
    <cellStyle name="7_(분리)BAT관리 SHEET 기타 2_(분리)BAT관리 SHEET 159 7월1주차+국판1차_TEM 2010 1Q offer preparation v1_090916_100122 전마팀장 보고 자료" xfId="13818"/>
    <cellStyle name="7_(분리)BAT관리 SHEET 기타 2_(분리)BAT관리 SHEET 159 7월1주차+국판1차_TEM 2010 1Q offer preparation v1_090916_TEM 2010 1Q offer final v3_090929" xfId="13819"/>
    <cellStyle name="7_(분리)BAT관리 SHEET 기타 2_(분리)BAT관리 SHEET 159 7월1주차+국판1차_TEM 2010 1Q offer preparation v1_090916_TEM 2010 1Q offer final v3_090929_TEM 2010 Q2 Volume_Forecast" xfId="13820"/>
    <cellStyle name="7_(분리)BAT관리 SHEET 기타 2_(분리)BAT관리 SHEET 159 7월1주차+국판1차_TEM 2010 1Q offer preparation v1_090916_TEM 2010 1Q offer final v3_091005" xfId="13821"/>
    <cellStyle name="7_(분리)BAT관리 SHEET 기타 2_(분리)BAT관리 SHEET 159 7월1주차+국판1차_TEM 2010 1Q offer preparation v1_090916_TEM 2010 1Q offer final v3_091005_TEM 2010 Q2 Volume_Forecast" xfId="13822"/>
    <cellStyle name="7_(분리)BAT관리 SHEET 기타 2_(분리)BAT관리 SHEET 159 7월1주차+국판1차_TEM 2010 1Q offer preparation v1_090916_TEM 2010 1Q offer_091006" xfId="13823"/>
    <cellStyle name="7_(분리)BAT관리 SHEET 기타 2_(분리)BAT관리 SHEET 159 7월1주차+국판1차_TEM 2010 1Q offer preparation v1_090916_TEM 2010 1Q offer_091006_TEM 2010 Q2 Volume_Forecast" xfId="13824"/>
    <cellStyle name="7_(분리)BAT관리 SHEET 기타 2_(분리)BAT관리 SHEET 159 7월1주차+국판1차_TEM 2010 1Q offer preparation v1_090916_TEM 2010 1Q offer_091014" xfId="13825"/>
    <cellStyle name="7_(분리)BAT관리 SHEET 기타 2_(분리)BAT관리 SHEET 159 7월1주차+국판1차_TEM 2010 1Q offer preparation v1_090916_TEM 2010 1Q offer_091014_TEM 2010 Q2 Volume_Forecast" xfId="13826"/>
    <cellStyle name="7_(분리)BAT관리 SHEET 기타 2_(분리)BAT관리 SHEET 159 7월1주차+국판1차_TEM 2010 1Q offer preparation v1_090916_TEM 2010 1Q offer_091015" xfId="13827"/>
    <cellStyle name="7_(분리)BAT관리 SHEET 기타 2_(분리)BAT관리 SHEET 159 7월1주차+국판1차_TEM 2010 1Q offer preparation v1_090916_TEM 2010 1Q offer_091015_TEM 2010 Q2 Volume_Forecast" xfId="13828"/>
    <cellStyle name="7_(분리)BAT관리 SHEET 기타 2_(분리)BAT관리 SHEET 159 7월1주차+국판1차_TEM 2010 1Q offer preparation v1_090916_TEM 2010 Q2 Volume_Forecast" xfId="13829"/>
    <cellStyle name="7_(분리)BAT관리 SHEET 기타 2_(분리)BAT관리 SHEET 159 7월1주차+국판1차_TEM 2010 1Q offer preparation v1_090916_수식포함" xfId="13830"/>
    <cellStyle name="7_(분리)BAT관리 SHEET 기타 2_(분리)BAT관리 SHEET 159 7월1주차+국판1차_TEM 2010 1Q offer preparation v3_090917" xfId="13831"/>
    <cellStyle name="7_(분리)BAT관리 SHEET 기타 2_(분리)BAT관리 SHEET 159 7월1주차+국판1차_TEM 2010 1Q offer preparation v3_090917_100122 전마팀장 보고 자료" xfId="13832"/>
    <cellStyle name="7_(분리)BAT관리 SHEET 기타 2_(분리)BAT관리 SHEET 159 7월1주차+국판1차_TEM 2010 1Q offer preparation v3_090917_TEM 2010 1Q offer final v3_090929" xfId="13833"/>
    <cellStyle name="7_(분리)BAT관리 SHEET 기타 2_(분리)BAT관리 SHEET 159 7월1주차+국판1차_TEM 2010 1Q offer preparation v3_090917_TEM 2010 1Q offer final v3_090929_TEM 2010 Q2 Volume_Forecast" xfId="13834"/>
    <cellStyle name="7_(분리)BAT관리 SHEET 기타 2_(분리)BAT관리 SHEET 159 7월1주차+국판1차_TEM 2010 1Q offer preparation v3_090917_TEM 2010 1Q offer final v3_091005" xfId="13835"/>
    <cellStyle name="7_(분리)BAT관리 SHEET 기타 2_(분리)BAT관리 SHEET 159 7월1주차+국판1차_TEM 2010 1Q offer preparation v3_090917_TEM 2010 1Q offer final v3_091005_TEM 2010 Q2 Volume_Forecast" xfId="13836"/>
    <cellStyle name="7_(분리)BAT관리 SHEET 기타 2_(분리)BAT관리 SHEET 159 7월1주차+국판1차_TEM 2010 1Q offer preparation v3_090917_TEM 2010 1Q offer_091006" xfId="13837"/>
    <cellStyle name="7_(분리)BAT관리 SHEET 기타 2_(분리)BAT관리 SHEET 159 7월1주차+국판1차_TEM 2010 1Q offer preparation v3_090917_TEM 2010 1Q offer_091006_TEM 2010 Q2 Volume_Forecast" xfId="13838"/>
    <cellStyle name="7_(분리)BAT관리 SHEET 기타 2_(분리)BAT관리 SHEET 159 7월1주차+국판1차_TEM 2010 1Q offer preparation v3_090917_TEM 2010 1Q offer_091014" xfId="13839"/>
    <cellStyle name="7_(분리)BAT관리 SHEET 기타 2_(분리)BAT관리 SHEET 159 7월1주차+국판1차_TEM 2010 1Q offer preparation v3_090917_TEM 2010 1Q offer_091014_TEM 2010 Q2 Volume_Forecast" xfId="13840"/>
    <cellStyle name="7_(분리)BAT관리 SHEET 기타 2_(분리)BAT관리 SHEET 159 7월1주차+국판1차_TEM 2010 1Q offer preparation v3_090917_TEM 2010 1Q offer_091015" xfId="13841"/>
    <cellStyle name="7_(분리)BAT관리 SHEET 기타 2_(분리)BAT관리 SHEET 159 7월1주차+국판1차_TEM 2010 1Q offer preparation v3_090917_TEM 2010 1Q offer_091015_TEM 2010 Q2 Volume_Forecast" xfId="13842"/>
    <cellStyle name="7_(분리)BAT관리 SHEET 기타 2_(분리)BAT관리 SHEET 159 7월1주차+국판1차_TEM 2010 1Q offer preparation v3_090917_TEM 2010 Q2 Volume_Forecast" xfId="13843"/>
    <cellStyle name="7_(분리)BAT관리 SHEET 기타 2_(분리)BAT관리 SHEET 159 7월1주차+국판1차_TEM 2010 1Q offer preparation v3_090917_수식포함" xfId="13844"/>
    <cellStyle name="7_(분리)BAT관리 SHEET 기타 2_(분리)BAT관리 SHEET 159 7월1주차+국판1차_TEM 2010 Q2 Volume_Forecast" xfId="13845"/>
    <cellStyle name="7_(분리)BAT관리 SHEET 기타 2_(분리)BAT관리 SHEET 159 7월1주차+국판1차_수식포함" xfId="13846"/>
    <cellStyle name="7_(분리)BAT관리 SHEET 기타 2_(분리)BAT관리 SHEET 159 7월1주차+국판1차_이랜텍" xfId="13847"/>
    <cellStyle name="7_(분리)BAT관리 SHEET 기타 2_(분리)BAT관리 SHEET 159 7월1주차+국판1차_이랜텍_100122 전마팀장 보고 자료" xfId="13848"/>
    <cellStyle name="7_(분리)BAT관리 SHEET 기타 2_(분리)BAT관리 SHEET 159 7월1주차+국판1차_이랜텍_10Q1 2차 가격안(시뮬레이션)_OH변경후_2" xfId="13849"/>
    <cellStyle name="7_(분리)BAT관리 SHEET 기타 2_(분리)BAT관리 SHEET 159 7월1주차+국판1차_이랜텍_10Q1 2차 가격안(시뮬레이션)_OH변경후_2_TEM 2010 Q2 Volume_Forecast" xfId="13850"/>
    <cellStyle name="7_(분리)BAT관리 SHEET 기타 2_(분리)BAT관리 SHEET 159 7월1주차+국판1차_이랜텍_10Q1 TEM 가격 물량 안(영업)_경쟁사가격포함" xfId="13851"/>
    <cellStyle name="7_(분리)BAT관리 SHEET 기타 2_(분리)BAT관리 SHEET 159 7월1주차+국판1차_이랜텍_10Q1 TEM 가격 물량 안(영업)_경쟁사가격포함_100122 전마팀장 보고 자료" xfId="13852"/>
    <cellStyle name="7_(분리)BAT관리 SHEET 기타 2_(분리)BAT관리 SHEET 159 7월1주차+국판1차_이랜텍_10Q1 TEM 가격 물량 안(영업)_경쟁사가격포함_수식포함" xfId="13853"/>
    <cellStyle name="7_(분리)BAT관리 SHEET 기타 2_(분리)BAT관리 SHEET 159 7월1주차+국판1차_이랜텍_Rate" xfId="13854"/>
    <cellStyle name="7_(분리)BAT관리 SHEET 기타 2_(분리)BAT관리 SHEET 159 7월1주차+국판1차_이랜텍_Rate_TEM 2010 Q2 Volume_Forecast" xfId="13855"/>
    <cellStyle name="7_(분리)BAT관리 SHEET 기타 2_(분리)BAT관리 SHEET 159 7월1주차+국판1차_이랜텍_Telcel 손익" xfId="13856"/>
    <cellStyle name="7_(분리)BAT관리 SHEET 기타 2_(분리)BAT관리 SHEET 159 7월1주차+국판1차_이랜텍_Telcel 손익_TEM 2010 Q2 Volume_Forecast" xfId="13857"/>
    <cellStyle name="7_(분리)BAT관리 SHEET 기타 2_(분리)BAT관리 SHEET 159 7월1주차+국판1차_이랜텍_TEM 2010 1Q 2nd offer preparation v1_091026" xfId="13858"/>
    <cellStyle name="7_(분리)BAT관리 SHEET 기타 2_(분리)BAT관리 SHEET 159 7월1주차+국판1차_이랜텍_TEM 2010 1Q 2nd offer preparation v1_091026_100122 전마팀장 보고 자료" xfId="13859"/>
    <cellStyle name="7_(분리)BAT관리 SHEET 기타 2_(분리)BAT관리 SHEET 159 7월1주차+국판1차_이랜텍_TEM 2010 1Q 2nd offer preparation v1_091026_수식포함" xfId="13860"/>
    <cellStyle name="7_(분리)BAT관리 SHEET 기타 2_(분리)BAT관리 SHEET 159 7월1주차+국판1차_이랜텍_TEM 2010 1Q 2nd offer preparation v1_091027" xfId="13861"/>
    <cellStyle name="7_(분리)BAT관리 SHEET 기타 2_(분리)BAT관리 SHEET 159 7월1주차+국판1차_이랜텍_TEM 2010 1Q 2nd offer preparation v1_091027_100122 전마팀장 보고 자료" xfId="13862"/>
    <cellStyle name="7_(분리)BAT관리 SHEET 기타 2_(분리)BAT관리 SHEET 159 7월1주차+국판1차_이랜텍_TEM 2010 1Q 2nd offer preparation v1_091027_수식포함" xfId="13863"/>
    <cellStyle name="7_(분리)BAT관리 SHEET 기타 2_(분리)BAT관리 SHEET 159 7월1주차+국판1차_이랜텍_TEM 2010 1Q 2nd offer preparation(손익시뮬)_091027" xfId="13864"/>
    <cellStyle name="7_(분리)BAT관리 SHEET 기타 2_(분리)BAT관리 SHEET 159 7월1주차+국판1차_이랜텍_TEM 2010 1Q 2nd offer preparation(손익시뮬)_091027_TEM 2010 Q2 Volume_Forecast" xfId="13865"/>
    <cellStyle name="7_(분리)BAT관리 SHEET 기타 2_(분리)BAT관리 SHEET 159 7월1주차+국판1차_이랜텍_TEM 2010 1Q offer preparation v1_090916" xfId="13866"/>
    <cellStyle name="7_(분리)BAT관리 SHEET 기타 2_(분리)BAT관리 SHEET 159 7월1주차+국판1차_이랜텍_TEM 2010 1Q offer preparation v1_090916_100122 전마팀장 보고 자료" xfId="13867"/>
    <cellStyle name="7_(분리)BAT관리 SHEET 기타 2_(분리)BAT관리 SHEET 159 7월1주차+국판1차_이랜텍_TEM 2010 1Q offer preparation v1_090916_TEM 2010 1Q offer final v3_090929" xfId="13868"/>
    <cellStyle name="7_(분리)BAT관리 SHEET 기타 2_(분리)BAT관리 SHEET 159 7월1주차+국판1차_이랜텍_TEM 2010 1Q offer preparation v1_090916_TEM 2010 1Q offer final v3_090929_TEM 2010 Q2 Volume_Forecast" xfId="13869"/>
    <cellStyle name="7_(분리)BAT관리 SHEET 기타 2_(분리)BAT관리 SHEET 159 7월1주차+국판1차_이랜텍_TEM 2010 1Q offer preparation v1_090916_TEM 2010 1Q offer final v3_091005" xfId="13870"/>
    <cellStyle name="7_(분리)BAT관리 SHEET 기타 2_(분리)BAT관리 SHEET 159 7월1주차+국판1차_이랜텍_TEM 2010 1Q offer preparation v1_090916_TEM 2010 1Q offer final v3_091005_TEM 2010 Q2 Volume_Forecast" xfId="13871"/>
    <cellStyle name="7_(분리)BAT관리 SHEET 기타 2_(분리)BAT관리 SHEET 159 7월1주차+국판1차_이랜텍_TEM 2010 1Q offer preparation v1_090916_TEM 2010 1Q offer_091006" xfId="13872"/>
    <cellStyle name="7_(분리)BAT관리 SHEET 기타 2_(분리)BAT관리 SHEET 159 7월1주차+국판1차_이랜텍_TEM 2010 1Q offer preparation v1_090916_TEM 2010 1Q offer_091006_TEM 2010 Q2 Volume_Forecast" xfId="13873"/>
    <cellStyle name="7_(분리)BAT관리 SHEET 기타 2_(분리)BAT관리 SHEET 159 7월1주차+국판1차_이랜텍_TEM 2010 1Q offer preparation v1_090916_TEM 2010 1Q offer_091014" xfId="13874"/>
    <cellStyle name="7_(분리)BAT관리 SHEET 기타 2_(분리)BAT관리 SHEET 159 7월1주차+국판1차_이랜텍_TEM 2010 1Q offer preparation v1_090916_TEM 2010 1Q offer_091014_TEM 2010 Q2 Volume_Forecast" xfId="13875"/>
    <cellStyle name="7_(분리)BAT관리 SHEET 기타 2_(분리)BAT관리 SHEET 159 7월1주차+국판1차_이랜텍_TEM 2010 1Q offer preparation v1_090916_TEM 2010 1Q offer_091015" xfId="13876"/>
    <cellStyle name="7_(분리)BAT관리 SHEET 기타 2_(분리)BAT관리 SHEET 159 7월1주차+국판1차_이랜텍_TEM 2010 1Q offer preparation v1_090916_TEM 2010 1Q offer_091015_TEM 2010 Q2 Volume_Forecast" xfId="13877"/>
    <cellStyle name="7_(분리)BAT관리 SHEET 기타 2_(분리)BAT관리 SHEET 159 7월1주차+국판1차_이랜텍_TEM 2010 1Q offer preparation v1_090916_TEM 2010 Q2 Volume_Forecast" xfId="13878"/>
    <cellStyle name="7_(분리)BAT관리 SHEET 기타 2_(분리)BAT관리 SHEET 159 7월1주차+국판1차_이랜텍_TEM 2010 1Q offer preparation v1_090916_수식포함" xfId="13879"/>
    <cellStyle name="7_(분리)BAT관리 SHEET 기타 2_(분리)BAT관리 SHEET 159 7월1주차+국판1차_이랜텍_TEM 2010 1Q offer preparation v3_090917" xfId="13880"/>
    <cellStyle name="7_(분리)BAT관리 SHEET 기타 2_(분리)BAT관리 SHEET 159 7월1주차+국판1차_이랜텍_TEM 2010 1Q offer preparation v3_090917_100122 전마팀장 보고 자료" xfId="13881"/>
    <cellStyle name="7_(분리)BAT관리 SHEET 기타 2_(분리)BAT관리 SHEET 159 7월1주차+국판1차_이랜텍_TEM 2010 1Q offer preparation v3_090917_TEM 2010 1Q offer final v3_090929" xfId="13882"/>
    <cellStyle name="7_(분리)BAT관리 SHEET 기타 2_(분리)BAT관리 SHEET 159 7월1주차+국판1차_이랜텍_TEM 2010 1Q offer preparation v3_090917_TEM 2010 1Q offer final v3_090929_TEM 2010 Q2 Volume_Forecast" xfId="13883"/>
    <cellStyle name="7_(분리)BAT관리 SHEET 기타 2_(분리)BAT관리 SHEET 159 7월1주차+국판1차_이랜텍_TEM 2010 1Q offer preparation v3_090917_TEM 2010 1Q offer final v3_091005" xfId="13884"/>
    <cellStyle name="7_(분리)BAT관리 SHEET 기타 2_(분리)BAT관리 SHEET 159 7월1주차+국판1차_이랜텍_TEM 2010 1Q offer preparation v3_090917_TEM 2010 1Q offer final v3_091005_TEM 2010 Q2 Volume_Forecast" xfId="13885"/>
    <cellStyle name="7_(분리)BAT관리 SHEET 기타 2_(분리)BAT관리 SHEET 159 7월1주차+국판1차_이랜텍_TEM 2010 1Q offer preparation v3_090917_TEM 2010 1Q offer_091006" xfId="13886"/>
    <cellStyle name="7_(분리)BAT관리 SHEET 기타 2_(분리)BAT관리 SHEET 159 7월1주차+국판1차_이랜텍_TEM 2010 1Q offer preparation v3_090917_TEM 2010 1Q offer_091006_TEM 2010 Q2 Volume_Forecast" xfId="13887"/>
    <cellStyle name="7_(분리)BAT관리 SHEET 기타 2_(분리)BAT관리 SHEET 159 7월1주차+국판1차_이랜텍_TEM 2010 1Q offer preparation v3_090917_TEM 2010 1Q offer_091014" xfId="13888"/>
    <cellStyle name="7_(분리)BAT관리 SHEET 기타 2_(분리)BAT관리 SHEET 159 7월1주차+국판1차_이랜텍_TEM 2010 1Q offer preparation v3_090917_TEM 2010 1Q offer_091014_TEM 2010 Q2 Volume_Forecast" xfId="13889"/>
    <cellStyle name="7_(분리)BAT관리 SHEET 기타 2_(분리)BAT관리 SHEET 159 7월1주차+국판1차_이랜텍_TEM 2010 1Q offer preparation v3_090917_TEM 2010 1Q offer_091015" xfId="13890"/>
    <cellStyle name="7_(분리)BAT관리 SHEET 기타 2_(분리)BAT관리 SHEET 159 7월1주차+국판1차_이랜텍_TEM 2010 1Q offer preparation v3_090917_TEM 2010 1Q offer_091015_TEM 2010 Q2 Volume_Forecast" xfId="13891"/>
    <cellStyle name="7_(분리)BAT관리 SHEET 기타 2_(분리)BAT관리 SHEET 159 7월1주차+국판1차_이랜텍_TEM 2010 1Q offer preparation v3_090917_TEM 2010 Q2 Volume_Forecast" xfId="13892"/>
    <cellStyle name="7_(분리)BAT관리 SHEET 기타 2_(분리)BAT관리 SHEET 159 7월1주차+국판1차_이랜텍_TEM 2010 1Q offer preparation v3_090917_수식포함" xfId="13893"/>
    <cellStyle name="7_(분리)BAT관리 SHEET 기타 2_(분리)BAT관리 SHEET 159 7월1주차+국판1차_이랜텍_TEM 2010 Q2 Volume_Forecast" xfId="13894"/>
    <cellStyle name="7_(분리)BAT관리 SHEET 기타 2_(분리)BAT관리 SHEET 159 7월1주차+국판1차_이랜텍_수식포함" xfId="13895"/>
    <cellStyle name="7_(분리)BAT관리 SHEET 기타 2_100122 전마팀장 보고 자료" xfId="13896"/>
    <cellStyle name="7_(분리)BAT관리 SHEET 기타 2_10Q1 2차 가격안(시뮬레이션)_OH변경후_2" xfId="13897"/>
    <cellStyle name="7_(분리)BAT관리 SHEET 기타 2_10Q1 2차 가격안(시뮬레이션)_OH변경후_2_TEM 2010 Q2 Volume_Forecast" xfId="13898"/>
    <cellStyle name="7_(분리)BAT관리 SHEET 기타 2_10Q1 TEM 가격 물량 안(영업)_경쟁사가격포함" xfId="13899"/>
    <cellStyle name="7_(분리)BAT관리 SHEET 기타 2_10Q1 TEM 가격 물량 안(영업)_경쟁사가격포함_100122 전마팀장 보고 자료" xfId="13900"/>
    <cellStyle name="7_(분리)BAT관리 SHEET 기타 2_10Q1 TEM 가격 물량 안(영업)_경쟁사가격포함_수식포함" xfId="13901"/>
    <cellStyle name="7_(분리)BAT관리 SHEET 기타 2_Rate" xfId="13902"/>
    <cellStyle name="7_(분리)BAT관리 SHEET 기타 2_Rate_TEM 2010 Q2 Volume_Forecast" xfId="13903"/>
    <cellStyle name="7_(분리)BAT관리 SHEET 기타 2_Telcel 손익" xfId="13904"/>
    <cellStyle name="7_(분리)BAT관리 SHEET 기타 2_Telcel 손익_TEM 2010 Q2 Volume_Forecast" xfId="13905"/>
    <cellStyle name="7_(분리)BAT관리 SHEET 기타 2_TEM 2010 1Q 2nd offer preparation v1_091026" xfId="13906"/>
    <cellStyle name="7_(분리)BAT관리 SHEET 기타 2_TEM 2010 1Q 2nd offer preparation v1_091026_100122 전마팀장 보고 자료" xfId="13907"/>
    <cellStyle name="7_(분리)BAT관리 SHEET 기타 2_TEM 2010 1Q 2nd offer preparation v1_091026_수식포함" xfId="13908"/>
    <cellStyle name="7_(분리)BAT관리 SHEET 기타 2_TEM 2010 1Q 2nd offer preparation v1_091027" xfId="13909"/>
    <cellStyle name="7_(분리)BAT관리 SHEET 기타 2_TEM 2010 1Q 2nd offer preparation v1_091027_100122 전마팀장 보고 자료" xfId="13910"/>
    <cellStyle name="7_(분리)BAT관리 SHEET 기타 2_TEM 2010 1Q 2nd offer preparation v1_091027_수식포함" xfId="13911"/>
    <cellStyle name="7_(분리)BAT관리 SHEET 기타 2_TEM 2010 1Q 2nd offer preparation(손익시뮬)_091027" xfId="13912"/>
    <cellStyle name="7_(분리)BAT관리 SHEET 기타 2_TEM 2010 1Q 2nd offer preparation(손익시뮬)_091027_TEM 2010 Q2 Volume_Forecast" xfId="13913"/>
    <cellStyle name="7_(분리)BAT관리 SHEET 기타 2_TEM 2010 1Q offer preparation v1_090916" xfId="13914"/>
    <cellStyle name="7_(분리)BAT관리 SHEET 기타 2_TEM 2010 1Q offer preparation v1_090916_100122 전마팀장 보고 자료" xfId="13915"/>
    <cellStyle name="7_(분리)BAT관리 SHEET 기타 2_TEM 2010 1Q offer preparation v1_090916_TEM 2010 1Q offer final v3_090929" xfId="13916"/>
    <cellStyle name="7_(분리)BAT관리 SHEET 기타 2_TEM 2010 1Q offer preparation v1_090916_TEM 2010 1Q offer final v3_090929_TEM 2010 Q2 Volume_Forecast" xfId="13917"/>
    <cellStyle name="7_(분리)BAT관리 SHEET 기타 2_TEM 2010 1Q offer preparation v1_090916_TEM 2010 1Q offer final v3_091005" xfId="13918"/>
    <cellStyle name="7_(분리)BAT관리 SHEET 기타 2_TEM 2010 1Q offer preparation v1_090916_TEM 2010 1Q offer final v3_091005_TEM 2010 Q2 Volume_Forecast" xfId="13919"/>
    <cellStyle name="7_(분리)BAT관리 SHEET 기타 2_TEM 2010 1Q offer preparation v1_090916_TEM 2010 1Q offer_091006" xfId="13920"/>
    <cellStyle name="7_(분리)BAT관리 SHEET 기타 2_TEM 2010 1Q offer preparation v1_090916_TEM 2010 1Q offer_091006_TEM 2010 Q2 Volume_Forecast" xfId="13921"/>
    <cellStyle name="7_(분리)BAT관리 SHEET 기타 2_TEM 2010 1Q offer preparation v1_090916_TEM 2010 1Q offer_091014" xfId="13922"/>
    <cellStyle name="7_(분리)BAT관리 SHEET 기타 2_TEM 2010 1Q offer preparation v1_090916_TEM 2010 1Q offer_091014_TEM 2010 Q2 Volume_Forecast" xfId="13923"/>
    <cellStyle name="7_(분리)BAT관리 SHEET 기타 2_TEM 2010 1Q offer preparation v1_090916_TEM 2010 1Q offer_091015" xfId="13924"/>
    <cellStyle name="7_(분리)BAT관리 SHEET 기타 2_TEM 2010 1Q offer preparation v1_090916_TEM 2010 1Q offer_091015_TEM 2010 Q2 Volume_Forecast" xfId="13925"/>
    <cellStyle name="7_(분리)BAT관리 SHEET 기타 2_TEM 2010 1Q offer preparation v1_090916_TEM 2010 Q2 Volume_Forecast" xfId="13926"/>
    <cellStyle name="7_(분리)BAT관리 SHEET 기타 2_TEM 2010 1Q offer preparation v1_090916_수식포함" xfId="13927"/>
    <cellStyle name="7_(분리)BAT관리 SHEET 기타 2_TEM 2010 1Q offer preparation v3_090917" xfId="13928"/>
    <cellStyle name="7_(분리)BAT관리 SHEET 기타 2_TEM 2010 1Q offer preparation v3_090917_100122 전마팀장 보고 자료" xfId="13929"/>
    <cellStyle name="7_(분리)BAT관리 SHEET 기타 2_TEM 2010 1Q offer preparation v3_090917_TEM 2010 1Q offer final v3_090929" xfId="13930"/>
    <cellStyle name="7_(분리)BAT관리 SHEET 기타 2_TEM 2010 1Q offer preparation v3_090917_TEM 2010 1Q offer final v3_090929_TEM 2010 Q2 Volume_Forecast" xfId="13931"/>
    <cellStyle name="7_(분리)BAT관리 SHEET 기타 2_TEM 2010 1Q offer preparation v3_090917_TEM 2010 1Q offer final v3_091005" xfId="13932"/>
    <cellStyle name="7_(분리)BAT관리 SHEET 기타 2_TEM 2010 1Q offer preparation v3_090917_TEM 2010 1Q offer final v3_091005_TEM 2010 Q2 Volume_Forecast" xfId="13933"/>
    <cellStyle name="7_(분리)BAT관리 SHEET 기타 2_TEM 2010 1Q offer preparation v3_090917_TEM 2010 1Q offer_091006" xfId="13934"/>
    <cellStyle name="7_(분리)BAT관리 SHEET 기타 2_TEM 2010 1Q offer preparation v3_090917_TEM 2010 1Q offer_091006_TEM 2010 Q2 Volume_Forecast" xfId="13935"/>
    <cellStyle name="7_(분리)BAT관리 SHEET 기타 2_TEM 2010 1Q offer preparation v3_090917_TEM 2010 1Q offer_091014" xfId="13936"/>
    <cellStyle name="7_(분리)BAT관리 SHEET 기타 2_TEM 2010 1Q offer preparation v3_090917_TEM 2010 1Q offer_091014_TEM 2010 Q2 Volume_Forecast" xfId="13937"/>
    <cellStyle name="7_(분리)BAT관리 SHEET 기타 2_TEM 2010 1Q offer preparation v3_090917_TEM 2010 1Q offer_091015" xfId="13938"/>
    <cellStyle name="7_(분리)BAT관리 SHEET 기타 2_TEM 2010 1Q offer preparation v3_090917_TEM 2010 1Q offer_091015_TEM 2010 Q2 Volume_Forecast" xfId="13939"/>
    <cellStyle name="7_(분리)BAT관리 SHEET 기타 2_TEM 2010 1Q offer preparation v3_090917_TEM 2010 Q2 Volume_Forecast" xfId="13940"/>
    <cellStyle name="7_(분리)BAT관리 SHEET 기타 2_TEM 2010 1Q offer preparation v3_090917_수식포함" xfId="13941"/>
    <cellStyle name="7_(분리)BAT관리 SHEET 기타 2_TEM 2010 Q2 Volume_Forecast" xfId="13942"/>
    <cellStyle name="7_(분리)BAT관리 SHEET 기타 2_W2100 현황보고" xfId="13943"/>
    <cellStyle name="7_(분리)BAT관리 SHEET 기타 2_W2100 현황보고_100122 전마팀장 보고 자료" xfId="13944"/>
    <cellStyle name="7_(분리)BAT관리 SHEET 기타 2_W2100 현황보고_10Q1 2차 가격안(시뮬레이션)_OH변경후_2" xfId="13945"/>
    <cellStyle name="7_(분리)BAT관리 SHEET 기타 2_W2100 현황보고_10Q1 2차 가격안(시뮬레이션)_OH변경후_2_TEM 2010 Q2 Volume_Forecast" xfId="13946"/>
    <cellStyle name="7_(분리)BAT관리 SHEET 기타 2_W2100 현황보고_10Q1 TEM 가격 물량 안(영업)_경쟁사가격포함" xfId="13947"/>
    <cellStyle name="7_(분리)BAT관리 SHEET 기타 2_W2100 현황보고_10Q1 TEM 가격 물량 안(영업)_경쟁사가격포함_100122 전마팀장 보고 자료" xfId="13948"/>
    <cellStyle name="7_(분리)BAT관리 SHEET 기타 2_W2100 현황보고_10Q1 TEM 가격 물량 안(영업)_경쟁사가격포함_수식포함" xfId="13949"/>
    <cellStyle name="7_(분리)BAT관리 SHEET 기타 2_W2100 현황보고_Rate" xfId="13950"/>
    <cellStyle name="7_(분리)BAT관리 SHEET 기타 2_W2100 현황보고_Rate_TEM 2010 Q2 Volume_Forecast" xfId="13951"/>
    <cellStyle name="7_(분리)BAT관리 SHEET 기타 2_W2100 현황보고_Telcel 손익" xfId="13952"/>
    <cellStyle name="7_(분리)BAT관리 SHEET 기타 2_W2100 현황보고_Telcel 손익_TEM 2010 Q2 Volume_Forecast" xfId="13953"/>
    <cellStyle name="7_(분리)BAT관리 SHEET 기타 2_W2100 현황보고_TEM 2010 1Q 2nd offer preparation v1_091026" xfId="13954"/>
    <cellStyle name="7_(분리)BAT관리 SHEET 기타 2_W2100 현황보고_TEM 2010 1Q 2nd offer preparation v1_091026_100122 전마팀장 보고 자료" xfId="13955"/>
    <cellStyle name="7_(분리)BAT관리 SHEET 기타 2_W2100 현황보고_TEM 2010 1Q 2nd offer preparation v1_091026_수식포함" xfId="13956"/>
    <cellStyle name="7_(분리)BAT관리 SHEET 기타 2_W2100 현황보고_TEM 2010 1Q 2nd offer preparation v1_091027" xfId="13957"/>
    <cellStyle name="7_(분리)BAT관리 SHEET 기타 2_W2100 현황보고_TEM 2010 1Q 2nd offer preparation v1_091027_100122 전마팀장 보고 자료" xfId="13958"/>
    <cellStyle name="7_(분리)BAT관리 SHEET 기타 2_W2100 현황보고_TEM 2010 1Q 2nd offer preparation v1_091027_수식포함" xfId="13959"/>
    <cellStyle name="7_(분리)BAT관리 SHEET 기타 2_W2100 현황보고_TEM 2010 1Q 2nd offer preparation(손익시뮬)_091027" xfId="13960"/>
    <cellStyle name="7_(분리)BAT관리 SHEET 기타 2_W2100 현황보고_TEM 2010 1Q 2nd offer preparation(손익시뮬)_091027_TEM 2010 Q2 Volume_Forecast" xfId="13961"/>
    <cellStyle name="7_(분리)BAT관리 SHEET 기타 2_W2100 현황보고_TEM 2010 1Q offer preparation v1_090916" xfId="13962"/>
    <cellStyle name="7_(분리)BAT관리 SHEET 기타 2_W2100 현황보고_TEM 2010 1Q offer preparation v1_090916_100122 전마팀장 보고 자료" xfId="13963"/>
    <cellStyle name="7_(분리)BAT관리 SHEET 기타 2_W2100 현황보고_TEM 2010 1Q offer preparation v1_090916_TEM 2010 1Q offer final v3_090929" xfId="13964"/>
    <cellStyle name="7_(분리)BAT관리 SHEET 기타 2_W2100 현황보고_TEM 2010 1Q offer preparation v1_090916_TEM 2010 1Q offer final v3_090929_TEM 2010 Q2 Volume_Forecast" xfId="13965"/>
    <cellStyle name="7_(분리)BAT관리 SHEET 기타 2_W2100 현황보고_TEM 2010 1Q offer preparation v1_090916_TEM 2010 1Q offer final v3_091005" xfId="13966"/>
    <cellStyle name="7_(분리)BAT관리 SHEET 기타 2_W2100 현황보고_TEM 2010 1Q offer preparation v1_090916_TEM 2010 1Q offer final v3_091005_TEM 2010 Q2 Volume_Forecast" xfId="13967"/>
    <cellStyle name="7_(분리)BAT관리 SHEET 기타 2_W2100 현황보고_TEM 2010 1Q offer preparation v1_090916_TEM 2010 1Q offer_091006" xfId="13968"/>
    <cellStyle name="7_(분리)BAT관리 SHEET 기타 2_W2100 현황보고_TEM 2010 1Q offer preparation v1_090916_TEM 2010 1Q offer_091006_TEM 2010 Q2 Volume_Forecast" xfId="13969"/>
    <cellStyle name="7_(분리)BAT관리 SHEET 기타 2_W2100 현황보고_TEM 2010 1Q offer preparation v1_090916_TEM 2010 1Q offer_091014" xfId="13970"/>
    <cellStyle name="7_(분리)BAT관리 SHEET 기타 2_W2100 현황보고_TEM 2010 1Q offer preparation v1_090916_TEM 2010 1Q offer_091014_TEM 2010 Q2 Volume_Forecast" xfId="13971"/>
    <cellStyle name="7_(분리)BAT관리 SHEET 기타 2_W2100 현황보고_TEM 2010 1Q offer preparation v1_090916_TEM 2010 1Q offer_091015" xfId="13972"/>
    <cellStyle name="7_(분리)BAT관리 SHEET 기타 2_W2100 현황보고_TEM 2010 1Q offer preparation v1_090916_TEM 2010 1Q offer_091015_TEM 2010 Q2 Volume_Forecast" xfId="13973"/>
    <cellStyle name="7_(분리)BAT관리 SHEET 기타 2_W2100 현황보고_TEM 2010 1Q offer preparation v1_090916_TEM 2010 Q2 Volume_Forecast" xfId="13974"/>
    <cellStyle name="7_(분리)BAT관리 SHEET 기타 2_W2100 현황보고_TEM 2010 1Q offer preparation v1_090916_수식포함" xfId="13975"/>
    <cellStyle name="7_(분리)BAT관리 SHEET 기타 2_W2100 현황보고_TEM 2010 1Q offer preparation v3_090917" xfId="13976"/>
    <cellStyle name="7_(분리)BAT관리 SHEET 기타 2_W2100 현황보고_TEM 2010 1Q offer preparation v3_090917_100122 전마팀장 보고 자료" xfId="13977"/>
    <cellStyle name="7_(분리)BAT관리 SHEET 기타 2_W2100 현황보고_TEM 2010 1Q offer preparation v3_090917_TEM 2010 1Q offer final v3_090929" xfId="13978"/>
    <cellStyle name="7_(분리)BAT관리 SHEET 기타 2_W2100 현황보고_TEM 2010 1Q offer preparation v3_090917_TEM 2010 1Q offer final v3_090929_TEM 2010 Q2 Volume_Forecast" xfId="13979"/>
    <cellStyle name="7_(분리)BAT관리 SHEET 기타 2_W2100 현황보고_TEM 2010 1Q offer preparation v3_090917_TEM 2010 1Q offer final v3_091005" xfId="13980"/>
    <cellStyle name="7_(분리)BAT관리 SHEET 기타 2_W2100 현황보고_TEM 2010 1Q offer preparation v3_090917_TEM 2010 1Q offer final v3_091005_TEM 2010 Q2 Volume_Forecast" xfId="13981"/>
    <cellStyle name="7_(분리)BAT관리 SHEET 기타 2_W2100 현황보고_TEM 2010 1Q offer preparation v3_090917_TEM 2010 1Q offer_091006" xfId="13982"/>
    <cellStyle name="7_(분리)BAT관리 SHEET 기타 2_W2100 현황보고_TEM 2010 1Q offer preparation v3_090917_TEM 2010 1Q offer_091006_TEM 2010 Q2 Volume_Forecast" xfId="13983"/>
    <cellStyle name="7_(분리)BAT관리 SHEET 기타 2_W2100 현황보고_TEM 2010 1Q offer preparation v3_090917_TEM 2010 1Q offer_091014" xfId="13984"/>
    <cellStyle name="7_(분리)BAT관리 SHEET 기타 2_W2100 현황보고_TEM 2010 1Q offer preparation v3_090917_TEM 2010 1Q offer_091014_TEM 2010 Q2 Volume_Forecast" xfId="13985"/>
    <cellStyle name="7_(분리)BAT관리 SHEET 기타 2_W2100 현황보고_TEM 2010 1Q offer preparation v3_090917_TEM 2010 1Q offer_091015" xfId="13986"/>
    <cellStyle name="7_(분리)BAT관리 SHEET 기타 2_W2100 현황보고_TEM 2010 1Q offer preparation v3_090917_TEM 2010 1Q offer_091015_TEM 2010 Q2 Volume_Forecast" xfId="13987"/>
    <cellStyle name="7_(분리)BAT관리 SHEET 기타 2_W2100 현황보고_TEM 2010 1Q offer preparation v3_090917_TEM 2010 Q2 Volume_Forecast" xfId="13988"/>
    <cellStyle name="7_(분리)BAT관리 SHEET 기타 2_W2100 현황보고_TEM 2010 1Q offer preparation v3_090917_수식포함" xfId="13989"/>
    <cellStyle name="7_(분리)BAT관리 SHEET 기타 2_W2100 현황보고_TEM 2010 Q2 Volume_Forecast" xfId="13990"/>
    <cellStyle name="7_(분리)BAT관리 SHEET 기타 2_W2100 현황보고_수식포함" xfId="13991"/>
    <cellStyle name="7_(분리)BAT관리 SHEET 기타 2_W2100 현황보고_이랜텍" xfId="13992"/>
    <cellStyle name="7_(분리)BAT관리 SHEET 기타 2_W2100 현황보고_이랜텍_100122 전마팀장 보고 자료" xfId="13993"/>
    <cellStyle name="7_(분리)BAT관리 SHEET 기타 2_W2100 현황보고_이랜텍_10Q1 2차 가격안(시뮬레이션)_OH변경후_2" xfId="13994"/>
    <cellStyle name="7_(분리)BAT관리 SHEET 기타 2_W2100 현황보고_이랜텍_10Q1 2차 가격안(시뮬레이션)_OH변경후_2_TEM 2010 Q2 Volume_Forecast" xfId="13995"/>
    <cellStyle name="7_(분리)BAT관리 SHEET 기타 2_W2100 현황보고_이랜텍_10Q1 TEM 가격 물량 안(영업)_경쟁사가격포함" xfId="13996"/>
    <cellStyle name="7_(분리)BAT관리 SHEET 기타 2_W2100 현황보고_이랜텍_10Q1 TEM 가격 물량 안(영업)_경쟁사가격포함_100122 전마팀장 보고 자료" xfId="13997"/>
    <cellStyle name="7_(분리)BAT관리 SHEET 기타 2_W2100 현황보고_이랜텍_10Q1 TEM 가격 물량 안(영업)_경쟁사가격포함_수식포함" xfId="13998"/>
    <cellStyle name="7_(분리)BAT관리 SHEET 기타 2_W2100 현황보고_이랜텍_Rate" xfId="13999"/>
    <cellStyle name="7_(분리)BAT관리 SHEET 기타 2_W2100 현황보고_이랜텍_Rate_TEM 2010 Q2 Volume_Forecast" xfId="14000"/>
    <cellStyle name="7_(분리)BAT관리 SHEET 기타 2_W2100 현황보고_이랜텍_Telcel 손익" xfId="14001"/>
    <cellStyle name="7_(분리)BAT관리 SHEET 기타 2_W2100 현황보고_이랜텍_Telcel 손익_TEM 2010 Q2 Volume_Forecast" xfId="14002"/>
    <cellStyle name="7_(분리)BAT관리 SHEET 기타 2_W2100 현황보고_이랜텍_TEM 2010 1Q 2nd offer preparation v1_091026" xfId="14003"/>
    <cellStyle name="7_(분리)BAT관리 SHEET 기타 2_W2100 현황보고_이랜텍_TEM 2010 1Q 2nd offer preparation v1_091026_100122 전마팀장 보고 자료" xfId="14004"/>
    <cellStyle name="7_(분리)BAT관리 SHEET 기타 2_W2100 현황보고_이랜텍_TEM 2010 1Q 2nd offer preparation v1_091026_수식포함" xfId="14005"/>
    <cellStyle name="7_(분리)BAT관리 SHEET 기타 2_W2100 현황보고_이랜텍_TEM 2010 1Q 2nd offer preparation v1_091027" xfId="14006"/>
    <cellStyle name="7_(분리)BAT관리 SHEET 기타 2_W2100 현황보고_이랜텍_TEM 2010 1Q 2nd offer preparation v1_091027_100122 전마팀장 보고 자료" xfId="14007"/>
    <cellStyle name="7_(분리)BAT관리 SHEET 기타 2_W2100 현황보고_이랜텍_TEM 2010 1Q 2nd offer preparation v1_091027_수식포함" xfId="14008"/>
    <cellStyle name="7_(분리)BAT관리 SHEET 기타 2_W2100 현황보고_이랜텍_TEM 2010 1Q 2nd offer preparation(손익시뮬)_091027" xfId="14009"/>
    <cellStyle name="7_(분리)BAT관리 SHEET 기타 2_W2100 현황보고_이랜텍_TEM 2010 1Q 2nd offer preparation(손익시뮬)_091027_TEM 2010 Q2 Volume_Forecast" xfId="14010"/>
    <cellStyle name="7_(분리)BAT관리 SHEET 기타 2_W2100 현황보고_이랜텍_TEM 2010 1Q offer preparation v1_090916" xfId="14011"/>
    <cellStyle name="7_(분리)BAT관리 SHEET 기타 2_W2100 현황보고_이랜텍_TEM 2010 1Q offer preparation v1_090916_100122 전마팀장 보고 자료" xfId="14012"/>
    <cellStyle name="7_(분리)BAT관리 SHEET 기타 2_W2100 현황보고_이랜텍_TEM 2010 1Q offer preparation v1_090916_TEM 2010 1Q offer final v3_090929" xfId="14013"/>
    <cellStyle name="7_(분리)BAT관리 SHEET 기타 2_W2100 현황보고_이랜텍_TEM 2010 1Q offer preparation v1_090916_TEM 2010 1Q offer final v3_090929_TEM 2010 Q2 Volume_Forecast" xfId="14014"/>
    <cellStyle name="7_(분리)BAT관리 SHEET 기타 2_W2100 현황보고_이랜텍_TEM 2010 1Q offer preparation v1_090916_TEM 2010 1Q offer final v3_091005" xfId="14015"/>
    <cellStyle name="7_(분리)BAT관리 SHEET 기타 2_W2100 현황보고_이랜텍_TEM 2010 1Q offer preparation v1_090916_TEM 2010 1Q offer final v3_091005_TEM 2010 Q2 Volume_Forecast" xfId="14016"/>
    <cellStyle name="7_(분리)BAT관리 SHEET 기타 2_W2100 현황보고_이랜텍_TEM 2010 1Q offer preparation v1_090916_TEM 2010 1Q offer_091006" xfId="14017"/>
    <cellStyle name="7_(분리)BAT관리 SHEET 기타 2_W2100 현황보고_이랜텍_TEM 2010 1Q offer preparation v1_090916_TEM 2010 1Q offer_091006_TEM 2010 Q2 Volume_Forecast" xfId="14018"/>
    <cellStyle name="7_(분리)BAT관리 SHEET 기타 2_W2100 현황보고_이랜텍_TEM 2010 1Q offer preparation v1_090916_TEM 2010 1Q offer_091014" xfId="14019"/>
    <cellStyle name="7_(분리)BAT관리 SHEET 기타 2_W2100 현황보고_이랜텍_TEM 2010 1Q offer preparation v1_090916_TEM 2010 1Q offer_091014_TEM 2010 Q2 Volume_Forecast" xfId="14020"/>
    <cellStyle name="7_(분리)BAT관리 SHEET 기타 2_W2100 현황보고_이랜텍_TEM 2010 1Q offer preparation v1_090916_TEM 2010 1Q offer_091015" xfId="14021"/>
    <cellStyle name="7_(분리)BAT관리 SHEET 기타 2_W2100 현황보고_이랜텍_TEM 2010 1Q offer preparation v1_090916_TEM 2010 1Q offer_091015_TEM 2010 Q2 Volume_Forecast" xfId="14022"/>
    <cellStyle name="7_(분리)BAT관리 SHEET 기타 2_W2100 현황보고_이랜텍_TEM 2010 1Q offer preparation v1_090916_TEM 2010 Q2 Volume_Forecast" xfId="14023"/>
    <cellStyle name="7_(분리)BAT관리 SHEET 기타 2_W2100 현황보고_이랜텍_TEM 2010 1Q offer preparation v1_090916_수식포함" xfId="14024"/>
    <cellStyle name="7_(분리)BAT관리 SHEET 기타 2_W2100 현황보고_이랜텍_TEM 2010 1Q offer preparation v3_090917" xfId="14025"/>
    <cellStyle name="7_(분리)BAT관리 SHEET 기타 2_W2100 현황보고_이랜텍_TEM 2010 1Q offer preparation v3_090917_100122 전마팀장 보고 자료" xfId="14026"/>
    <cellStyle name="7_(분리)BAT관리 SHEET 기타 2_W2100 현황보고_이랜텍_TEM 2010 1Q offer preparation v3_090917_TEM 2010 1Q offer final v3_090929" xfId="14027"/>
    <cellStyle name="7_(분리)BAT관리 SHEET 기타 2_W2100 현황보고_이랜텍_TEM 2010 1Q offer preparation v3_090917_TEM 2010 1Q offer final v3_090929_TEM 2010 Q2 Volume_Forecast" xfId="14028"/>
    <cellStyle name="7_(분리)BAT관리 SHEET 기타 2_W2100 현황보고_이랜텍_TEM 2010 1Q offer preparation v3_090917_TEM 2010 1Q offer final v3_091005" xfId="14029"/>
    <cellStyle name="7_(분리)BAT관리 SHEET 기타 2_W2100 현황보고_이랜텍_TEM 2010 1Q offer preparation v3_090917_TEM 2010 1Q offer final v3_091005_TEM 2010 Q2 Volume_Forecast" xfId="14030"/>
    <cellStyle name="7_(분리)BAT관리 SHEET 기타 2_W2100 현황보고_이랜텍_TEM 2010 1Q offer preparation v3_090917_TEM 2010 1Q offer_091006" xfId="14031"/>
    <cellStyle name="7_(분리)BAT관리 SHEET 기타 2_W2100 현황보고_이랜텍_TEM 2010 1Q offer preparation v3_090917_TEM 2010 1Q offer_091006_TEM 2010 Q2 Volume_Forecast" xfId="14032"/>
    <cellStyle name="7_(분리)BAT관리 SHEET 기타 2_W2100 현황보고_이랜텍_TEM 2010 1Q offer preparation v3_090917_TEM 2010 1Q offer_091014" xfId="14033"/>
    <cellStyle name="7_(분리)BAT관리 SHEET 기타 2_W2100 현황보고_이랜텍_TEM 2010 1Q offer preparation v3_090917_TEM 2010 1Q offer_091014_TEM 2010 Q2 Volume_Forecast" xfId="14034"/>
    <cellStyle name="7_(분리)BAT관리 SHEET 기타 2_W2100 현황보고_이랜텍_TEM 2010 1Q offer preparation v3_090917_TEM 2010 1Q offer_091015" xfId="14035"/>
    <cellStyle name="7_(분리)BAT관리 SHEET 기타 2_W2100 현황보고_이랜텍_TEM 2010 1Q offer preparation v3_090917_TEM 2010 1Q offer_091015_TEM 2010 Q2 Volume_Forecast" xfId="14036"/>
    <cellStyle name="7_(분리)BAT관리 SHEET 기타 2_W2100 현황보고_이랜텍_TEM 2010 1Q offer preparation v3_090917_TEM 2010 Q2 Volume_Forecast" xfId="14037"/>
    <cellStyle name="7_(분리)BAT관리 SHEET 기타 2_W2100 현황보고_이랜텍_TEM 2010 1Q offer preparation v3_090917_수식포함" xfId="14038"/>
    <cellStyle name="7_(분리)BAT관리 SHEET 기타 2_W2100 현황보고_이랜텍_TEM 2010 Q2 Volume_Forecast" xfId="14039"/>
    <cellStyle name="7_(분리)BAT관리 SHEET 기타 2_W2100 현황보고_이랜텍_수식포함" xfId="14040"/>
    <cellStyle name="7_(분리)BAT관리 SHEET 기타 2_수식포함" xfId="14041"/>
    <cellStyle name="7_(분리)BAT관리 SHEET 기타 4" xfId="14042"/>
    <cellStyle name="7_(분리)BAT관리 SHEET 기타 4_(분리)BAT관리 SHEET 158 7월1주차+국판1차" xfId="14043"/>
    <cellStyle name="7_(분리)BAT관리 SHEET 기타 4_(분리)BAT관리 SHEET 158 7월1주차+국판1차_100122 전마팀장 보고 자료" xfId="14044"/>
    <cellStyle name="7_(분리)BAT관리 SHEET 기타 4_(분리)BAT관리 SHEET 158 7월1주차+국판1차_10Q1 2차 가격안(시뮬레이션)_OH변경후_2" xfId="14045"/>
    <cellStyle name="7_(분리)BAT관리 SHEET 기타 4_(분리)BAT관리 SHEET 158 7월1주차+국판1차_10Q1 2차 가격안(시뮬레이션)_OH변경후_2_TEM 2010 Q2 Volume_Forecast" xfId="14046"/>
    <cellStyle name="7_(분리)BAT관리 SHEET 기타 4_(분리)BAT관리 SHEET 158 7월1주차+국판1차_10Q1 TEM 가격 물량 안(영업)_경쟁사가격포함" xfId="14047"/>
    <cellStyle name="7_(분리)BAT관리 SHEET 기타 4_(분리)BAT관리 SHEET 158 7월1주차+국판1차_10Q1 TEM 가격 물량 안(영업)_경쟁사가격포함_100122 전마팀장 보고 자료" xfId="14048"/>
    <cellStyle name="7_(분리)BAT관리 SHEET 기타 4_(분리)BAT관리 SHEET 158 7월1주차+국판1차_10Q1 TEM 가격 물량 안(영업)_경쟁사가격포함_수식포함" xfId="14049"/>
    <cellStyle name="7_(분리)BAT관리 SHEET 기타 4_(분리)BAT관리 SHEET 158 7월1주차+국판1차_Rate" xfId="14050"/>
    <cellStyle name="7_(분리)BAT관리 SHEET 기타 4_(분리)BAT관리 SHEET 158 7월1주차+국판1차_Rate_TEM 2010 Q2 Volume_Forecast" xfId="14051"/>
    <cellStyle name="7_(분리)BAT관리 SHEET 기타 4_(분리)BAT관리 SHEET 158 7월1주차+국판1차_Telcel 손익" xfId="14052"/>
    <cellStyle name="7_(분리)BAT관리 SHEET 기타 4_(분리)BAT관리 SHEET 158 7월1주차+국판1차_Telcel 손익_TEM 2010 Q2 Volume_Forecast" xfId="14053"/>
    <cellStyle name="7_(분리)BAT관리 SHEET 기타 4_(분리)BAT관리 SHEET 158 7월1주차+국판1차_TEM 2010 1Q 2nd offer preparation v1_091026" xfId="14054"/>
    <cellStyle name="7_(분리)BAT관리 SHEET 기타 4_(분리)BAT관리 SHEET 158 7월1주차+국판1차_TEM 2010 1Q 2nd offer preparation v1_091026_100122 전마팀장 보고 자료" xfId="14055"/>
    <cellStyle name="7_(분리)BAT관리 SHEET 기타 4_(분리)BAT관리 SHEET 158 7월1주차+국판1차_TEM 2010 1Q 2nd offer preparation v1_091026_수식포함" xfId="14056"/>
    <cellStyle name="7_(분리)BAT관리 SHEET 기타 4_(분리)BAT관리 SHEET 158 7월1주차+국판1차_TEM 2010 1Q 2nd offer preparation v1_091027" xfId="14057"/>
    <cellStyle name="7_(분리)BAT관리 SHEET 기타 4_(분리)BAT관리 SHEET 158 7월1주차+국판1차_TEM 2010 1Q 2nd offer preparation v1_091027_100122 전마팀장 보고 자료" xfId="14058"/>
    <cellStyle name="7_(분리)BAT관리 SHEET 기타 4_(분리)BAT관리 SHEET 158 7월1주차+국판1차_TEM 2010 1Q 2nd offer preparation v1_091027_수식포함" xfId="14059"/>
    <cellStyle name="7_(분리)BAT관리 SHEET 기타 4_(분리)BAT관리 SHEET 158 7월1주차+국판1차_TEM 2010 1Q 2nd offer preparation(손익시뮬)_091027" xfId="14060"/>
    <cellStyle name="7_(분리)BAT관리 SHEET 기타 4_(분리)BAT관리 SHEET 158 7월1주차+국판1차_TEM 2010 1Q 2nd offer preparation(손익시뮬)_091027_TEM 2010 Q2 Volume_Forecast" xfId="14061"/>
    <cellStyle name="7_(분리)BAT관리 SHEET 기타 4_(분리)BAT관리 SHEET 158 7월1주차+국판1차_TEM 2010 1Q offer preparation v1_090916" xfId="14062"/>
    <cellStyle name="7_(분리)BAT관리 SHEET 기타 4_(분리)BAT관리 SHEET 158 7월1주차+국판1차_TEM 2010 1Q offer preparation v1_090916_100122 전마팀장 보고 자료" xfId="14063"/>
    <cellStyle name="7_(분리)BAT관리 SHEET 기타 4_(분리)BAT관리 SHEET 158 7월1주차+국판1차_TEM 2010 1Q offer preparation v1_090916_TEM 2010 1Q offer final v3_090929" xfId="14064"/>
    <cellStyle name="7_(분리)BAT관리 SHEET 기타 4_(분리)BAT관리 SHEET 158 7월1주차+국판1차_TEM 2010 1Q offer preparation v1_090916_TEM 2010 1Q offer final v3_090929_TEM 2010 Q2 Volume_Forecast" xfId="14065"/>
    <cellStyle name="7_(분리)BAT관리 SHEET 기타 4_(분리)BAT관리 SHEET 158 7월1주차+국판1차_TEM 2010 1Q offer preparation v1_090916_TEM 2010 1Q offer final v3_091005" xfId="14066"/>
    <cellStyle name="7_(분리)BAT관리 SHEET 기타 4_(분리)BAT관리 SHEET 158 7월1주차+국판1차_TEM 2010 1Q offer preparation v1_090916_TEM 2010 1Q offer final v3_091005_TEM 2010 Q2 Volume_Forecast" xfId="14067"/>
    <cellStyle name="7_(분리)BAT관리 SHEET 기타 4_(분리)BAT관리 SHEET 158 7월1주차+국판1차_TEM 2010 1Q offer preparation v1_090916_TEM 2010 1Q offer_091006" xfId="14068"/>
    <cellStyle name="7_(분리)BAT관리 SHEET 기타 4_(분리)BAT관리 SHEET 158 7월1주차+국판1차_TEM 2010 1Q offer preparation v1_090916_TEM 2010 1Q offer_091006_TEM 2010 Q2 Volume_Forecast" xfId="14069"/>
    <cellStyle name="7_(분리)BAT관리 SHEET 기타 4_(분리)BAT관리 SHEET 158 7월1주차+국판1차_TEM 2010 1Q offer preparation v1_090916_TEM 2010 1Q offer_091014" xfId="14070"/>
    <cellStyle name="7_(분리)BAT관리 SHEET 기타 4_(분리)BAT관리 SHEET 158 7월1주차+국판1차_TEM 2010 1Q offer preparation v1_090916_TEM 2010 1Q offer_091014_TEM 2010 Q2 Volume_Forecast" xfId="14071"/>
    <cellStyle name="7_(분리)BAT관리 SHEET 기타 4_(분리)BAT관리 SHEET 158 7월1주차+국판1차_TEM 2010 1Q offer preparation v1_090916_TEM 2010 1Q offer_091015" xfId="14072"/>
    <cellStyle name="7_(분리)BAT관리 SHEET 기타 4_(분리)BAT관리 SHEET 158 7월1주차+국판1차_TEM 2010 1Q offer preparation v1_090916_TEM 2010 1Q offer_091015_TEM 2010 Q2 Volume_Forecast" xfId="14073"/>
    <cellStyle name="7_(분리)BAT관리 SHEET 기타 4_(분리)BAT관리 SHEET 158 7월1주차+국판1차_TEM 2010 1Q offer preparation v1_090916_TEM 2010 Q2 Volume_Forecast" xfId="14074"/>
    <cellStyle name="7_(분리)BAT관리 SHEET 기타 4_(분리)BAT관리 SHEET 158 7월1주차+국판1차_TEM 2010 1Q offer preparation v1_090916_수식포함" xfId="14075"/>
    <cellStyle name="7_(분리)BAT관리 SHEET 기타 4_(분리)BAT관리 SHEET 158 7월1주차+국판1차_TEM 2010 1Q offer preparation v3_090917" xfId="14076"/>
    <cellStyle name="7_(분리)BAT관리 SHEET 기타 4_(분리)BAT관리 SHEET 158 7월1주차+국판1차_TEM 2010 1Q offer preparation v3_090917_100122 전마팀장 보고 자료" xfId="14077"/>
    <cellStyle name="7_(분리)BAT관리 SHEET 기타 4_(분리)BAT관리 SHEET 158 7월1주차+국판1차_TEM 2010 1Q offer preparation v3_090917_TEM 2010 1Q offer final v3_090929" xfId="14078"/>
    <cellStyle name="7_(분리)BAT관리 SHEET 기타 4_(분리)BAT관리 SHEET 158 7월1주차+국판1차_TEM 2010 1Q offer preparation v3_090917_TEM 2010 1Q offer final v3_090929_TEM 2010 Q2 Volume_Forecast" xfId="14079"/>
    <cellStyle name="7_(분리)BAT관리 SHEET 기타 4_(분리)BAT관리 SHEET 158 7월1주차+국판1차_TEM 2010 1Q offer preparation v3_090917_TEM 2010 1Q offer final v3_091005" xfId="14080"/>
    <cellStyle name="7_(분리)BAT관리 SHEET 기타 4_(분리)BAT관리 SHEET 158 7월1주차+국판1차_TEM 2010 1Q offer preparation v3_090917_TEM 2010 1Q offer final v3_091005_TEM 2010 Q2 Volume_Forecast" xfId="14081"/>
    <cellStyle name="7_(분리)BAT관리 SHEET 기타 4_(분리)BAT관리 SHEET 158 7월1주차+국판1차_TEM 2010 1Q offer preparation v3_090917_TEM 2010 1Q offer_091006" xfId="14082"/>
    <cellStyle name="7_(분리)BAT관리 SHEET 기타 4_(분리)BAT관리 SHEET 158 7월1주차+국판1차_TEM 2010 1Q offer preparation v3_090917_TEM 2010 1Q offer_091006_TEM 2010 Q2 Volume_Forecast" xfId="14083"/>
    <cellStyle name="7_(분리)BAT관리 SHEET 기타 4_(분리)BAT관리 SHEET 158 7월1주차+국판1차_TEM 2010 1Q offer preparation v3_090917_TEM 2010 1Q offer_091014" xfId="14084"/>
    <cellStyle name="7_(분리)BAT관리 SHEET 기타 4_(분리)BAT관리 SHEET 158 7월1주차+국판1차_TEM 2010 1Q offer preparation v3_090917_TEM 2010 1Q offer_091014_TEM 2010 Q2 Volume_Forecast" xfId="14085"/>
    <cellStyle name="7_(분리)BAT관리 SHEET 기타 4_(분리)BAT관리 SHEET 158 7월1주차+국판1차_TEM 2010 1Q offer preparation v3_090917_TEM 2010 1Q offer_091015" xfId="14086"/>
    <cellStyle name="7_(분리)BAT관리 SHEET 기타 4_(분리)BAT관리 SHEET 158 7월1주차+국판1차_TEM 2010 1Q offer preparation v3_090917_TEM 2010 1Q offer_091015_TEM 2010 Q2 Volume_Forecast" xfId="14087"/>
    <cellStyle name="7_(분리)BAT관리 SHEET 기타 4_(분리)BAT관리 SHEET 158 7월1주차+국판1차_TEM 2010 1Q offer preparation v3_090917_TEM 2010 Q2 Volume_Forecast" xfId="14088"/>
    <cellStyle name="7_(분리)BAT관리 SHEET 기타 4_(분리)BAT관리 SHEET 158 7월1주차+국판1차_TEM 2010 1Q offer preparation v3_090917_수식포함" xfId="14089"/>
    <cellStyle name="7_(분리)BAT관리 SHEET 기타 4_(분리)BAT관리 SHEET 158 7월1주차+국판1차_TEM 2010 Q2 Volume_Forecast" xfId="14090"/>
    <cellStyle name="7_(분리)BAT관리 SHEET 기타 4_(분리)BAT관리 SHEET 158 7월1주차+국판1차_수식포함" xfId="14091"/>
    <cellStyle name="7_(분리)BAT관리 SHEET 기타 4_(분리)BAT관리 SHEET 158 7월1주차+국판1차_이랜텍" xfId="14092"/>
    <cellStyle name="7_(분리)BAT관리 SHEET 기타 4_(분리)BAT관리 SHEET 158 7월1주차+국판1차_이랜텍_100122 전마팀장 보고 자료" xfId="14093"/>
    <cellStyle name="7_(분리)BAT관리 SHEET 기타 4_(분리)BAT관리 SHEET 158 7월1주차+국판1차_이랜텍_10Q1 2차 가격안(시뮬레이션)_OH변경후_2" xfId="14094"/>
    <cellStyle name="7_(분리)BAT관리 SHEET 기타 4_(분리)BAT관리 SHEET 158 7월1주차+국판1차_이랜텍_10Q1 2차 가격안(시뮬레이션)_OH변경후_2_TEM 2010 Q2 Volume_Forecast" xfId="14095"/>
    <cellStyle name="7_(분리)BAT관리 SHEET 기타 4_(분리)BAT관리 SHEET 158 7월1주차+국판1차_이랜텍_10Q1 TEM 가격 물량 안(영업)_경쟁사가격포함" xfId="14096"/>
    <cellStyle name="7_(분리)BAT관리 SHEET 기타 4_(분리)BAT관리 SHEET 158 7월1주차+국판1차_이랜텍_10Q1 TEM 가격 물량 안(영업)_경쟁사가격포함_100122 전마팀장 보고 자료" xfId="14097"/>
    <cellStyle name="7_(분리)BAT관리 SHEET 기타 4_(분리)BAT관리 SHEET 158 7월1주차+국판1차_이랜텍_10Q1 TEM 가격 물량 안(영업)_경쟁사가격포함_수식포함" xfId="14098"/>
    <cellStyle name="7_(분리)BAT관리 SHEET 기타 4_(분리)BAT관리 SHEET 158 7월1주차+국판1차_이랜텍_Rate" xfId="14099"/>
    <cellStyle name="7_(분리)BAT관리 SHEET 기타 4_(분리)BAT관리 SHEET 158 7월1주차+국판1차_이랜텍_Rate_TEM 2010 Q2 Volume_Forecast" xfId="14100"/>
    <cellStyle name="7_(분리)BAT관리 SHEET 기타 4_(분리)BAT관리 SHEET 158 7월1주차+국판1차_이랜텍_Telcel 손익" xfId="14101"/>
    <cellStyle name="7_(분리)BAT관리 SHEET 기타 4_(분리)BAT관리 SHEET 158 7월1주차+국판1차_이랜텍_Telcel 손익_TEM 2010 Q2 Volume_Forecast" xfId="14102"/>
    <cellStyle name="7_(분리)BAT관리 SHEET 기타 4_(분리)BAT관리 SHEET 158 7월1주차+국판1차_이랜텍_TEM 2010 1Q 2nd offer preparation v1_091026" xfId="14103"/>
    <cellStyle name="7_(분리)BAT관리 SHEET 기타 4_(분리)BAT관리 SHEET 158 7월1주차+국판1차_이랜텍_TEM 2010 1Q 2nd offer preparation v1_091026_100122 전마팀장 보고 자료" xfId="14104"/>
    <cellStyle name="7_(분리)BAT관리 SHEET 기타 4_(분리)BAT관리 SHEET 158 7월1주차+국판1차_이랜텍_TEM 2010 1Q 2nd offer preparation v1_091026_수식포함" xfId="14105"/>
    <cellStyle name="7_(분리)BAT관리 SHEET 기타 4_(분리)BAT관리 SHEET 158 7월1주차+국판1차_이랜텍_TEM 2010 1Q 2nd offer preparation v1_091027" xfId="14106"/>
    <cellStyle name="7_(분리)BAT관리 SHEET 기타 4_(분리)BAT관리 SHEET 158 7월1주차+국판1차_이랜텍_TEM 2010 1Q 2nd offer preparation v1_091027_100122 전마팀장 보고 자료" xfId="14107"/>
    <cellStyle name="7_(분리)BAT관리 SHEET 기타 4_(분리)BAT관리 SHEET 158 7월1주차+국판1차_이랜텍_TEM 2010 1Q 2nd offer preparation v1_091027_수식포함" xfId="14108"/>
    <cellStyle name="7_(분리)BAT관리 SHEET 기타 4_(분리)BAT관리 SHEET 158 7월1주차+국판1차_이랜텍_TEM 2010 1Q 2nd offer preparation(손익시뮬)_091027" xfId="14109"/>
    <cellStyle name="7_(분리)BAT관리 SHEET 기타 4_(분리)BAT관리 SHEET 158 7월1주차+국판1차_이랜텍_TEM 2010 1Q 2nd offer preparation(손익시뮬)_091027_TEM 2010 Q2 Volume_Forecast" xfId="14110"/>
    <cellStyle name="7_(분리)BAT관리 SHEET 기타 4_(분리)BAT관리 SHEET 158 7월1주차+국판1차_이랜텍_TEM 2010 1Q offer preparation v1_090916" xfId="14111"/>
    <cellStyle name="7_(분리)BAT관리 SHEET 기타 4_(분리)BAT관리 SHEET 158 7월1주차+국판1차_이랜텍_TEM 2010 1Q offer preparation v1_090916_100122 전마팀장 보고 자료" xfId="14112"/>
    <cellStyle name="7_(분리)BAT관리 SHEET 기타 4_(분리)BAT관리 SHEET 158 7월1주차+국판1차_이랜텍_TEM 2010 1Q offer preparation v1_090916_TEM 2010 1Q offer final v3_090929" xfId="14113"/>
    <cellStyle name="7_(분리)BAT관리 SHEET 기타 4_(분리)BAT관리 SHEET 158 7월1주차+국판1차_이랜텍_TEM 2010 1Q offer preparation v1_090916_TEM 2010 1Q offer final v3_090929_TEM 2010 Q2 Volume_Forecast" xfId="14114"/>
    <cellStyle name="7_(분리)BAT관리 SHEET 기타 4_(분리)BAT관리 SHEET 158 7월1주차+국판1차_이랜텍_TEM 2010 1Q offer preparation v1_090916_TEM 2010 1Q offer final v3_091005" xfId="14115"/>
    <cellStyle name="7_(분리)BAT관리 SHEET 기타 4_(분리)BAT관리 SHEET 158 7월1주차+국판1차_이랜텍_TEM 2010 1Q offer preparation v1_090916_TEM 2010 1Q offer final v3_091005_TEM 2010 Q2 Volume_Forecast" xfId="14116"/>
    <cellStyle name="7_(분리)BAT관리 SHEET 기타 4_(분리)BAT관리 SHEET 158 7월1주차+국판1차_이랜텍_TEM 2010 1Q offer preparation v1_090916_TEM 2010 1Q offer_091006" xfId="14117"/>
    <cellStyle name="7_(분리)BAT관리 SHEET 기타 4_(분리)BAT관리 SHEET 158 7월1주차+국판1차_이랜텍_TEM 2010 1Q offer preparation v1_090916_TEM 2010 1Q offer_091006_TEM 2010 Q2 Volume_Forecast" xfId="14118"/>
    <cellStyle name="7_(분리)BAT관리 SHEET 기타 4_(분리)BAT관리 SHEET 158 7월1주차+국판1차_이랜텍_TEM 2010 1Q offer preparation v1_090916_TEM 2010 1Q offer_091014" xfId="14119"/>
    <cellStyle name="7_(분리)BAT관리 SHEET 기타 4_(분리)BAT관리 SHEET 158 7월1주차+국판1차_이랜텍_TEM 2010 1Q offer preparation v1_090916_TEM 2010 1Q offer_091014_TEM 2010 Q2 Volume_Forecast" xfId="14120"/>
    <cellStyle name="7_(분리)BAT관리 SHEET 기타 4_(분리)BAT관리 SHEET 158 7월1주차+국판1차_이랜텍_TEM 2010 1Q offer preparation v1_090916_TEM 2010 1Q offer_091015" xfId="14121"/>
    <cellStyle name="7_(분리)BAT관리 SHEET 기타 4_(분리)BAT관리 SHEET 158 7월1주차+국판1차_이랜텍_TEM 2010 1Q offer preparation v1_090916_TEM 2010 1Q offer_091015_TEM 2010 Q2 Volume_Forecast" xfId="14122"/>
    <cellStyle name="7_(분리)BAT관리 SHEET 기타 4_(분리)BAT관리 SHEET 158 7월1주차+국판1차_이랜텍_TEM 2010 1Q offer preparation v1_090916_TEM 2010 Q2 Volume_Forecast" xfId="14123"/>
    <cellStyle name="7_(분리)BAT관리 SHEET 기타 4_(분리)BAT관리 SHEET 158 7월1주차+국판1차_이랜텍_TEM 2010 1Q offer preparation v1_090916_수식포함" xfId="14124"/>
    <cellStyle name="7_(분리)BAT관리 SHEET 기타 4_(분리)BAT관리 SHEET 158 7월1주차+국판1차_이랜텍_TEM 2010 1Q offer preparation v3_090917" xfId="14125"/>
    <cellStyle name="7_(분리)BAT관리 SHEET 기타 4_(분리)BAT관리 SHEET 158 7월1주차+국판1차_이랜텍_TEM 2010 1Q offer preparation v3_090917_100122 전마팀장 보고 자료" xfId="14126"/>
    <cellStyle name="7_(분리)BAT관리 SHEET 기타 4_(분리)BAT관리 SHEET 158 7월1주차+국판1차_이랜텍_TEM 2010 1Q offer preparation v3_090917_TEM 2010 1Q offer final v3_090929" xfId="14127"/>
    <cellStyle name="7_(분리)BAT관리 SHEET 기타 4_(분리)BAT관리 SHEET 158 7월1주차+국판1차_이랜텍_TEM 2010 1Q offer preparation v3_090917_TEM 2010 1Q offer final v3_090929_TEM 2010 Q2 Volume_Forecast" xfId="14128"/>
    <cellStyle name="7_(분리)BAT관리 SHEET 기타 4_(분리)BAT관리 SHEET 158 7월1주차+국판1차_이랜텍_TEM 2010 1Q offer preparation v3_090917_TEM 2010 1Q offer final v3_091005" xfId="14129"/>
    <cellStyle name="7_(분리)BAT관리 SHEET 기타 4_(분리)BAT관리 SHEET 158 7월1주차+국판1차_이랜텍_TEM 2010 1Q offer preparation v3_090917_TEM 2010 1Q offer final v3_091005_TEM 2010 Q2 Volume_Forecast" xfId="14130"/>
    <cellStyle name="7_(분리)BAT관리 SHEET 기타 4_(분리)BAT관리 SHEET 158 7월1주차+국판1차_이랜텍_TEM 2010 1Q offer preparation v3_090917_TEM 2010 1Q offer_091006" xfId="14131"/>
    <cellStyle name="7_(분리)BAT관리 SHEET 기타 4_(분리)BAT관리 SHEET 158 7월1주차+국판1차_이랜텍_TEM 2010 1Q offer preparation v3_090917_TEM 2010 1Q offer_091006_TEM 2010 Q2 Volume_Forecast" xfId="14132"/>
    <cellStyle name="7_(분리)BAT관리 SHEET 기타 4_(분리)BAT관리 SHEET 158 7월1주차+국판1차_이랜텍_TEM 2010 1Q offer preparation v3_090917_TEM 2010 1Q offer_091014" xfId="14133"/>
    <cellStyle name="7_(분리)BAT관리 SHEET 기타 4_(분리)BAT관리 SHEET 158 7월1주차+국판1차_이랜텍_TEM 2010 1Q offer preparation v3_090917_TEM 2010 1Q offer_091014_TEM 2010 Q2 Volume_Forecast" xfId="14134"/>
    <cellStyle name="7_(분리)BAT관리 SHEET 기타 4_(분리)BAT관리 SHEET 158 7월1주차+국판1차_이랜텍_TEM 2010 1Q offer preparation v3_090917_TEM 2010 1Q offer_091015" xfId="14135"/>
    <cellStyle name="7_(분리)BAT관리 SHEET 기타 4_(분리)BAT관리 SHEET 158 7월1주차+국판1차_이랜텍_TEM 2010 1Q offer preparation v3_090917_TEM 2010 1Q offer_091015_TEM 2010 Q2 Volume_Forecast" xfId="14136"/>
    <cellStyle name="7_(분리)BAT관리 SHEET 기타 4_(분리)BAT관리 SHEET 158 7월1주차+국판1차_이랜텍_TEM 2010 1Q offer preparation v3_090917_TEM 2010 Q2 Volume_Forecast" xfId="14137"/>
    <cellStyle name="7_(분리)BAT관리 SHEET 기타 4_(분리)BAT관리 SHEET 158 7월1주차+국판1차_이랜텍_TEM 2010 1Q offer preparation v3_090917_수식포함" xfId="14138"/>
    <cellStyle name="7_(분리)BAT관리 SHEET 기타 4_(분리)BAT관리 SHEET 158 7월1주차+국판1차_이랜텍_TEM 2010 Q2 Volume_Forecast" xfId="14139"/>
    <cellStyle name="7_(분리)BAT관리 SHEET 기타 4_(분리)BAT관리 SHEET 158 7월1주차+국판1차_이랜텍_수식포함" xfId="14140"/>
    <cellStyle name="7_(분리)BAT관리 SHEET 기타 4_(분리)BAT관리 SHEET 159 7월1주차+국판1차" xfId="14141"/>
    <cellStyle name="7_(분리)BAT관리 SHEET 기타 4_(분리)BAT관리 SHEET 159 7월1주차+국판1차_100122 전마팀장 보고 자료" xfId="14142"/>
    <cellStyle name="7_(분리)BAT관리 SHEET 기타 4_(분리)BAT관리 SHEET 159 7월1주차+국판1차_10Q1 2차 가격안(시뮬레이션)_OH변경후_2" xfId="14143"/>
    <cellStyle name="7_(분리)BAT관리 SHEET 기타 4_(분리)BAT관리 SHEET 159 7월1주차+국판1차_10Q1 2차 가격안(시뮬레이션)_OH변경후_2_TEM 2010 Q2 Volume_Forecast" xfId="14144"/>
    <cellStyle name="7_(분리)BAT관리 SHEET 기타 4_(분리)BAT관리 SHEET 159 7월1주차+국판1차_10Q1 TEM 가격 물량 안(영업)_경쟁사가격포함" xfId="14145"/>
    <cellStyle name="7_(분리)BAT관리 SHEET 기타 4_(분리)BAT관리 SHEET 159 7월1주차+국판1차_10Q1 TEM 가격 물량 안(영업)_경쟁사가격포함_100122 전마팀장 보고 자료" xfId="14146"/>
    <cellStyle name="7_(분리)BAT관리 SHEET 기타 4_(분리)BAT관리 SHEET 159 7월1주차+국판1차_10Q1 TEM 가격 물량 안(영업)_경쟁사가격포함_수식포함" xfId="14147"/>
    <cellStyle name="7_(분리)BAT관리 SHEET 기타 4_(분리)BAT관리 SHEET 159 7월1주차+국판1차_Rate" xfId="14148"/>
    <cellStyle name="7_(분리)BAT관리 SHEET 기타 4_(분리)BAT관리 SHEET 159 7월1주차+국판1차_Rate_TEM 2010 Q2 Volume_Forecast" xfId="14149"/>
    <cellStyle name="7_(분리)BAT관리 SHEET 기타 4_(분리)BAT관리 SHEET 159 7월1주차+국판1차_Telcel 손익" xfId="14150"/>
    <cellStyle name="7_(분리)BAT관리 SHEET 기타 4_(분리)BAT관리 SHEET 159 7월1주차+국판1차_Telcel 손익_TEM 2010 Q2 Volume_Forecast" xfId="14151"/>
    <cellStyle name="7_(분리)BAT관리 SHEET 기타 4_(분리)BAT관리 SHEET 159 7월1주차+국판1차_TEM 2010 1Q 2nd offer preparation v1_091026" xfId="14152"/>
    <cellStyle name="7_(분리)BAT관리 SHEET 기타 4_(분리)BAT관리 SHEET 159 7월1주차+국판1차_TEM 2010 1Q 2nd offer preparation v1_091026_100122 전마팀장 보고 자료" xfId="14153"/>
    <cellStyle name="7_(분리)BAT관리 SHEET 기타 4_(분리)BAT관리 SHEET 159 7월1주차+국판1차_TEM 2010 1Q 2nd offer preparation v1_091026_수식포함" xfId="14154"/>
    <cellStyle name="7_(분리)BAT관리 SHEET 기타 4_(분리)BAT관리 SHEET 159 7월1주차+국판1차_TEM 2010 1Q 2nd offer preparation v1_091027" xfId="14155"/>
    <cellStyle name="7_(분리)BAT관리 SHEET 기타 4_(분리)BAT관리 SHEET 159 7월1주차+국판1차_TEM 2010 1Q 2nd offer preparation v1_091027_100122 전마팀장 보고 자료" xfId="14156"/>
    <cellStyle name="7_(분리)BAT관리 SHEET 기타 4_(분리)BAT관리 SHEET 159 7월1주차+국판1차_TEM 2010 1Q 2nd offer preparation v1_091027_수식포함" xfId="14157"/>
    <cellStyle name="7_(분리)BAT관리 SHEET 기타 4_(분리)BAT관리 SHEET 159 7월1주차+국판1차_TEM 2010 1Q 2nd offer preparation(손익시뮬)_091027" xfId="14158"/>
    <cellStyle name="7_(분리)BAT관리 SHEET 기타 4_(분리)BAT관리 SHEET 159 7월1주차+국판1차_TEM 2010 1Q 2nd offer preparation(손익시뮬)_091027_TEM 2010 Q2 Volume_Forecast" xfId="14159"/>
    <cellStyle name="7_(분리)BAT관리 SHEET 기타 4_(분리)BAT관리 SHEET 159 7월1주차+국판1차_TEM 2010 1Q offer preparation v1_090916" xfId="14160"/>
    <cellStyle name="7_(분리)BAT관리 SHEET 기타 4_(분리)BAT관리 SHEET 159 7월1주차+국판1차_TEM 2010 1Q offer preparation v1_090916_100122 전마팀장 보고 자료" xfId="14161"/>
    <cellStyle name="7_(분리)BAT관리 SHEET 기타 4_(분리)BAT관리 SHEET 159 7월1주차+국판1차_TEM 2010 1Q offer preparation v1_090916_TEM 2010 1Q offer final v3_090929" xfId="14162"/>
    <cellStyle name="7_(분리)BAT관리 SHEET 기타 4_(분리)BAT관리 SHEET 159 7월1주차+국판1차_TEM 2010 1Q offer preparation v1_090916_TEM 2010 1Q offer final v3_090929_TEM 2010 Q2 Volume_Forecast" xfId="14163"/>
    <cellStyle name="7_(분리)BAT관리 SHEET 기타 4_(분리)BAT관리 SHEET 159 7월1주차+국판1차_TEM 2010 1Q offer preparation v1_090916_TEM 2010 1Q offer final v3_091005" xfId="14164"/>
    <cellStyle name="7_(분리)BAT관리 SHEET 기타 4_(분리)BAT관리 SHEET 159 7월1주차+국판1차_TEM 2010 1Q offer preparation v1_090916_TEM 2010 1Q offer final v3_091005_TEM 2010 Q2 Volume_Forecast" xfId="14165"/>
    <cellStyle name="7_(분리)BAT관리 SHEET 기타 4_(분리)BAT관리 SHEET 159 7월1주차+국판1차_TEM 2010 1Q offer preparation v1_090916_TEM 2010 1Q offer_091006" xfId="14166"/>
    <cellStyle name="7_(분리)BAT관리 SHEET 기타 4_(분리)BAT관리 SHEET 159 7월1주차+국판1차_TEM 2010 1Q offer preparation v1_090916_TEM 2010 1Q offer_091006_TEM 2010 Q2 Volume_Forecast" xfId="14167"/>
    <cellStyle name="7_(분리)BAT관리 SHEET 기타 4_(분리)BAT관리 SHEET 159 7월1주차+국판1차_TEM 2010 1Q offer preparation v1_090916_TEM 2010 1Q offer_091014" xfId="14168"/>
    <cellStyle name="7_(분리)BAT관리 SHEET 기타 4_(분리)BAT관리 SHEET 159 7월1주차+국판1차_TEM 2010 1Q offer preparation v1_090916_TEM 2010 1Q offer_091014_TEM 2010 Q2 Volume_Forecast" xfId="14169"/>
    <cellStyle name="7_(분리)BAT관리 SHEET 기타 4_(분리)BAT관리 SHEET 159 7월1주차+국판1차_TEM 2010 1Q offer preparation v1_090916_TEM 2010 1Q offer_091015" xfId="14170"/>
    <cellStyle name="7_(분리)BAT관리 SHEET 기타 4_(분리)BAT관리 SHEET 159 7월1주차+국판1차_TEM 2010 1Q offer preparation v1_090916_TEM 2010 1Q offer_091015_TEM 2010 Q2 Volume_Forecast" xfId="14171"/>
    <cellStyle name="7_(분리)BAT관리 SHEET 기타 4_(분리)BAT관리 SHEET 159 7월1주차+국판1차_TEM 2010 1Q offer preparation v1_090916_TEM 2010 Q2 Volume_Forecast" xfId="14172"/>
    <cellStyle name="7_(분리)BAT관리 SHEET 기타 4_(분리)BAT관리 SHEET 159 7월1주차+국판1차_TEM 2010 1Q offer preparation v1_090916_수식포함" xfId="14173"/>
    <cellStyle name="7_(분리)BAT관리 SHEET 기타 4_(분리)BAT관리 SHEET 159 7월1주차+국판1차_TEM 2010 1Q offer preparation v3_090917" xfId="14174"/>
    <cellStyle name="7_(분리)BAT관리 SHEET 기타 4_(분리)BAT관리 SHEET 159 7월1주차+국판1차_TEM 2010 1Q offer preparation v3_090917_100122 전마팀장 보고 자료" xfId="14175"/>
    <cellStyle name="7_(분리)BAT관리 SHEET 기타 4_(분리)BAT관리 SHEET 159 7월1주차+국판1차_TEM 2010 1Q offer preparation v3_090917_TEM 2010 1Q offer final v3_090929" xfId="14176"/>
    <cellStyle name="7_(분리)BAT관리 SHEET 기타 4_(분리)BAT관리 SHEET 159 7월1주차+국판1차_TEM 2010 1Q offer preparation v3_090917_TEM 2010 1Q offer final v3_090929_TEM 2010 Q2 Volume_Forecast" xfId="14177"/>
    <cellStyle name="7_(분리)BAT관리 SHEET 기타 4_(분리)BAT관리 SHEET 159 7월1주차+국판1차_TEM 2010 1Q offer preparation v3_090917_TEM 2010 1Q offer final v3_091005" xfId="14178"/>
    <cellStyle name="7_(분리)BAT관리 SHEET 기타 4_(분리)BAT관리 SHEET 159 7월1주차+국판1차_TEM 2010 1Q offer preparation v3_090917_TEM 2010 1Q offer final v3_091005_TEM 2010 Q2 Volume_Forecast" xfId="14179"/>
    <cellStyle name="7_(분리)BAT관리 SHEET 기타 4_(분리)BAT관리 SHEET 159 7월1주차+국판1차_TEM 2010 1Q offer preparation v3_090917_TEM 2010 1Q offer_091006" xfId="14180"/>
    <cellStyle name="7_(분리)BAT관리 SHEET 기타 4_(분리)BAT관리 SHEET 159 7월1주차+국판1차_TEM 2010 1Q offer preparation v3_090917_TEM 2010 1Q offer_091006_TEM 2010 Q2 Volume_Forecast" xfId="14181"/>
    <cellStyle name="7_(분리)BAT관리 SHEET 기타 4_(분리)BAT관리 SHEET 159 7월1주차+국판1차_TEM 2010 1Q offer preparation v3_090917_TEM 2010 1Q offer_091014" xfId="14182"/>
    <cellStyle name="7_(분리)BAT관리 SHEET 기타 4_(분리)BAT관리 SHEET 159 7월1주차+국판1차_TEM 2010 1Q offer preparation v3_090917_TEM 2010 1Q offer_091014_TEM 2010 Q2 Volume_Forecast" xfId="14183"/>
    <cellStyle name="7_(분리)BAT관리 SHEET 기타 4_(분리)BAT관리 SHEET 159 7월1주차+국판1차_TEM 2010 1Q offer preparation v3_090917_TEM 2010 1Q offer_091015" xfId="14184"/>
    <cellStyle name="7_(분리)BAT관리 SHEET 기타 4_(분리)BAT관리 SHEET 159 7월1주차+국판1차_TEM 2010 1Q offer preparation v3_090917_TEM 2010 1Q offer_091015_TEM 2010 Q2 Volume_Forecast" xfId="14185"/>
    <cellStyle name="7_(분리)BAT관리 SHEET 기타 4_(분리)BAT관리 SHEET 159 7월1주차+국판1차_TEM 2010 1Q offer preparation v3_090917_TEM 2010 Q2 Volume_Forecast" xfId="14186"/>
    <cellStyle name="7_(분리)BAT관리 SHEET 기타 4_(분리)BAT관리 SHEET 159 7월1주차+국판1차_TEM 2010 1Q offer preparation v3_090917_수식포함" xfId="14187"/>
    <cellStyle name="7_(분리)BAT관리 SHEET 기타 4_(분리)BAT관리 SHEET 159 7월1주차+국판1차_TEM 2010 Q2 Volume_Forecast" xfId="14188"/>
    <cellStyle name="7_(분리)BAT관리 SHEET 기타 4_(분리)BAT관리 SHEET 159 7월1주차+국판1차_수식포함" xfId="14189"/>
    <cellStyle name="7_(분리)BAT관리 SHEET 기타 4_(분리)BAT관리 SHEET 159 7월1주차+국판1차_이랜텍" xfId="14190"/>
    <cellStyle name="7_(분리)BAT관리 SHEET 기타 4_(분리)BAT관리 SHEET 159 7월1주차+국판1차_이랜텍_100122 전마팀장 보고 자료" xfId="14191"/>
    <cellStyle name="7_(분리)BAT관리 SHEET 기타 4_(분리)BAT관리 SHEET 159 7월1주차+국판1차_이랜텍_10Q1 2차 가격안(시뮬레이션)_OH변경후_2" xfId="14192"/>
    <cellStyle name="7_(분리)BAT관리 SHEET 기타 4_(분리)BAT관리 SHEET 159 7월1주차+국판1차_이랜텍_10Q1 2차 가격안(시뮬레이션)_OH변경후_2_TEM 2010 Q2 Volume_Forecast" xfId="14193"/>
    <cellStyle name="7_(분리)BAT관리 SHEET 기타 4_(분리)BAT관리 SHEET 159 7월1주차+국판1차_이랜텍_10Q1 TEM 가격 물량 안(영업)_경쟁사가격포함" xfId="14194"/>
    <cellStyle name="7_(분리)BAT관리 SHEET 기타 4_(분리)BAT관리 SHEET 159 7월1주차+국판1차_이랜텍_10Q1 TEM 가격 물량 안(영업)_경쟁사가격포함_100122 전마팀장 보고 자료" xfId="14195"/>
    <cellStyle name="7_(분리)BAT관리 SHEET 기타 4_(분리)BAT관리 SHEET 159 7월1주차+국판1차_이랜텍_10Q1 TEM 가격 물량 안(영업)_경쟁사가격포함_수식포함" xfId="14196"/>
    <cellStyle name="7_(분리)BAT관리 SHEET 기타 4_(분리)BAT관리 SHEET 159 7월1주차+국판1차_이랜텍_Rate" xfId="14197"/>
    <cellStyle name="7_(분리)BAT관리 SHEET 기타 4_(분리)BAT관리 SHEET 159 7월1주차+국판1차_이랜텍_Rate_TEM 2010 Q2 Volume_Forecast" xfId="14198"/>
    <cellStyle name="7_(분리)BAT관리 SHEET 기타 4_(분리)BAT관리 SHEET 159 7월1주차+국판1차_이랜텍_Telcel 손익" xfId="14199"/>
    <cellStyle name="7_(분리)BAT관리 SHEET 기타 4_(분리)BAT관리 SHEET 159 7월1주차+국판1차_이랜텍_Telcel 손익_TEM 2010 Q2 Volume_Forecast" xfId="14200"/>
    <cellStyle name="7_(분리)BAT관리 SHEET 기타 4_(분리)BAT관리 SHEET 159 7월1주차+국판1차_이랜텍_TEM 2010 1Q 2nd offer preparation v1_091026" xfId="14201"/>
    <cellStyle name="7_(분리)BAT관리 SHEET 기타 4_(분리)BAT관리 SHEET 159 7월1주차+국판1차_이랜텍_TEM 2010 1Q 2nd offer preparation v1_091026_100122 전마팀장 보고 자료" xfId="14202"/>
    <cellStyle name="7_(분리)BAT관리 SHEET 기타 4_(분리)BAT관리 SHEET 159 7월1주차+국판1차_이랜텍_TEM 2010 1Q 2nd offer preparation v1_091026_수식포함" xfId="14203"/>
    <cellStyle name="7_(분리)BAT관리 SHEET 기타 4_(분리)BAT관리 SHEET 159 7월1주차+국판1차_이랜텍_TEM 2010 1Q 2nd offer preparation v1_091027" xfId="14204"/>
    <cellStyle name="7_(분리)BAT관리 SHEET 기타 4_(분리)BAT관리 SHEET 159 7월1주차+국판1차_이랜텍_TEM 2010 1Q 2nd offer preparation v1_091027_100122 전마팀장 보고 자료" xfId="14205"/>
    <cellStyle name="7_(분리)BAT관리 SHEET 기타 4_(분리)BAT관리 SHEET 159 7월1주차+국판1차_이랜텍_TEM 2010 1Q 2nd offer preparation v1_091027_수식포함" xfId="14206"/>
    <cellStyle name="7_(분리)BAT관리 SHEET 기타 4_(분리)BAT관리 SHEET 159 7월1주차+국판1차_이랜텍_TEM 2010 1Q 2nd offer preparation(손익시뮬)_091027" xfId="14207"/>
    <cellStyle name="7_(분리)BAT관리 SHEET 기타 4_(분리)BAT관리 SHEET 159 7월1주차+국판1차_이랜텍_TEM 2010 1Q 2nd offer preparation(손익시뮬)_091027_TEM 2010 Q2 Volume_Forecast" xfId="14208"/>
    <cellStyle name="7_(분리)BAT관리 SHEET 기타 4_(분리)BAT관리 SHEET 159 7월1주차+국판1차_이랜텍_TEM 2010 1Q offer preparation v1_090916" xfId="14209"/>
    <cellStyle name="7_(분리)BAT관리 SHEET 기타 4_(분리)BAT관리 SHEET 159 7월1주차+국판1차_이랜텍_TEM 2010 1Q offer preparation v1_090916_100122 전마팀장 보고 자료" xfId="14210"/>
    <cellStyle name="7_(분리)BAT관리 SHEET 기타 4_(분리)BAT관리 SHEET 159 7월1주차+국판1차_이랜텍_TEM 2010 1Q offer preparation v1_090916_TEM 2010 1Q offer final v3_090929" xfId="14211"/>
    <cellStyle name="7_(분리)BAT관리 SHEET 기타 4_(분리)BAT관리 SHEET 159 7월1주차+국판1차_이랜텍_TEM 2010 1Q offer preparation v1_090916_TEM 2010 1Q offer final v3_090929_TEM 2010 Q2 Volume_Forecast" xfId="14212"/>
    <cellStyle name="7_(분리)BAT관리 SHEET 기타 4_(분리)BAT관리 SHEET 159 7월1주차+국판1차_이랜텍_TEM 2010 1Q offer preparation v1_090916_TEM 2010 1Q offer final v3_091005" xfId="14213"/>
    <cellStyle name="7_(분리)BAT관리 SHEET 기타 4_(분리)BAT관리 SHEET 159 7월1주차+국판1차_이랜텍_TEM 2010 1Q offer preparation v1_090916_TEM 2010 1Q offer final v3_091005_TEM 2010 Q2 Volume_Forecast" xfId="14214"/>
    <cellStyle name="7_(분리)BAT관리 SHEET 기타 4_(분리)BAT관리 SHEET 159 7월1주차+국판1차_이랜텍_TEM 2010 1Q offer preparation v1_090916_TEM 2010 1Q offer_091006" xfId="14215"/>
    <cellStyle name="7_(분리)BAT관리 SHEET 기타 4_(분리)BAT관리 SHEET 159 7월1주차+국판1차_이랜텍_TEM 2010 1Q offer preparation v1_090916_TEM 2010 1Q offer_091006_TEM 2010 Q2 Volume_Forecast" xfId="14216"/>
    <cellStyle name="7_(분리)BAT관리 SHEET 기타 4_(분리)BAT관리 SHEET 159 7월1주차+국판1차_이랜텍_TEM 2010 1Q offer preparation v1_090916_TEM 2010 1Q offer_091014" xfId="14217"/>
    <cellStyle name="7_(분리)BAT관리 SHEET 기타 4_(분리)BAT관리 SHEET 159 7월1주차+국판1차_이랜텍_TEM 2010 1Q offer preparation v1_090916_TEM 2010 1Q offer_091014_TEM 2010 Q2 Volume_Forecast" xfId="14218"/>
    <cellStyle name="7_(분리)BAT관리 SHEET 기타 4_(분리)BAT관리 SHEET 159 7월1주차+국판1차_이랜텍_TEM 2010 1Q offer preparation v1_090916_TEM 2010 1Q offer_091015" xfId="14219"/>
    <cellStyle name="7_(분리)BAT관리 SHEET 기타 4_(분리)BAT관리 SHEET 159 7월1주차+국판1차_이랜텍_TEM 2010 1Q offer preparation v1_090916_TEM 2010 1Q offer_091015_TEM 2010 Q2 Volume_Forecast" xfId="14220"/>
    <cellStyle name="7_(분리)BAT관리 SHEET 기타 4_(분리)BAT관리 SHEET 159 7월1주차+국판1차_이랜텍_TEM 2010 1Q offer preparation v1_090916_TEM 2010 Q2 Volume_Forecast" xfId="14221"/>
    <cellStyle name="7_(분리)BAT관리 SHEET 기타 4_(분리)BAT관리 SHEET 159 7월1주차+국판1차_이랜텍_TEM 2010 1Q offer preparation v1_090916_수식포함" xfId="14222"/>
    <cellStyle name="7_(분리)BAT관리 SHEET 기타 4_(분리)BAT관리 SHEET 159 7월1주차+국판1차_이랜텍_TEM 2010 1Q offer preparation v3_090917" xfId="14223"/>
    <cellStyle name="7_(분리)BAT관리 SHEET 기타 4_(분리)BAT관리 SHEET 159 7월1주차+국판1차_이랜텍_TEM 2010 1Q offer preparation v3_090917_100122 전마팀장 보고 자료" xfId="14224"/>
    <cellStyle name="7_(분리)BAT관리 SHEET 기타 4_(분리)BAT관리 SHEET 159 7월1주차+국판1차_이랜텍_TEM 2010 1Q offer preparation v3_090917_TEM 2010 1Q offer final v3_090929" xfId="14225"/>
    <cellStyle name="7_(분리)BAT관리 SHEET 기타 4_(분리)BAT관리 SHEET 159 7월1주차+국판1차_이랜텍_TEM 2010 1Q offer preparation v3_090917_TEM 2010 1Q offer final v3_090929_TEM 2010 Q2 Volume_Forecast" xfId="14226"/>
    <cellStyle name="7_(분리)BAT관리 SHEET 기타 4_(분리)BAT관리 SHEET 159 7월1주차+국판1차_이랜텍_TEM 2010 1Q offer preparation v3_090917_TEM 2010 1Q offer final v3_091005" xfId="14227"/>
    <cellStyle name="7_(분리)BAT관리 SHEET 기타 4_(분리)BAT관리 SHEET 159 7월1주차+국판1차_이랜텍_TEM 2010 1Q offer preparation v3_090917_TEM 2010 1Q offer final v3_091005_TEM 2010 Q2 Volume_Forecast" xfId="14228"/>
    <cellStyle name="7_(분리)BAT관리 SHEET 기타 4_(분리)BAT관리 SHEET 159 7월1주차+국판1차_이랜텍_TEM 2010 1Q offer preparation v3_090917_TEM 2010 1Q offer_091006" xfId="14229"/>
    <cellStyle name="7_(분리)BAT관리 SHEET 기타 4_(분리)BAT관리 SHEET 159 7월1주차+국판1차_이랜텍_TEM 2010 1Q offer preparation v3_090917_TEM 2010 1Q offer_091006_TEM 2010 Q2 Volume_Forecast" xfId="14230"/>
    <cellStyle name="7_(분리)BAT관리 SHEET 기타 4_(분리)BAT관리 SHEET 159 7월1주차+국판1차_이랜텍_TEM 2010 1Q offer preparation v3_090917_TEM 2010 1Q offer_091014" xfId="14231"/>
    <cellStyle name="7_(분리)BAT관리 SHEET 기타 4_(분리)BAT관리 SHEET 159 7월1주차+국판1차_이랜텍_TEM 2010 1Q offer preparation v3_090917_TEM 2010 1Q offer_091014_TEM 2010 Q2 Volume_Forecast" xfId="14232"/>
    <cellStyle name="7_(분리)BAT관리 SHEET 기타 4_(분리)BAT관리 SHEET 159 7월1주차+국판1차_이랜텍_TEM 2010 1Q offer preparation v3_090917_TEM 2010 1Q offer_091015" xfId="14233"/>
    <cellStyle name="7_(분리)BAT관리 SHEET 기타 4_(분리)BAT관리 SHEET 159 7월1주차+국판1차_이랜텍_TEM 2010 1Q offer preparation v3_090917_TEM 2010 1Q offer_091015_TEM 2010 Q2 Volume_Forecast" xfId="14234"/>
    <cellStyle name="7_(분리)BAT관리 SHEET 기타 4_(분리)BAT관리 SHEET 159 7월1주차+국판1차_이랜텍_TEM 2010 1Q offer preparation v3_090917_TEM 2010 Q2 Volume_Forecast" xfId="14235"/>
    <cellStyle name="7_(분리)BAT관리 SHEET 기타 4_(분리)BAT관리 SHEET 159 7월1주차+국판1차_이랜텍_TEM 2010 1Q offer preparation v3_090917_수식포함" xfId="14236"/>
    <cellStyle name="7_(분리)BAT관리 SHEET 기타 4_(분리)BAT관리 SHEET 159 7월1주차+국판1차_이랜텍_TEM 2010 Q2 Volume_Forecast" xfId="14237"/>
    <cellStyle name="7_(분리)BAT관리 SHEET 기타 4_(분리)BAT관리 SHEET 159 7월1주차+국판1차_이랜텍_수식포함" xfId="14238"/>
    <cellStyle name="7_(분리)BAT관리 SHEET 기타 4_100122 전마팀장 보고 자료" xfId="14239"/>
    <cellStyle name="7_(분리)BAT관리 SHEET 기타 4_10Q1 2차 가격안(시뮬레이션)_OH변경후_2" xfId="14240"/>
    <cellStyle name="7_(분리)BAT관리 SHEET 기타 4_10Q1 2차 가격안(시뮬레이션)_OH변경후_2_TEM 2010 Q2 Volume_Forecast" xfId="14241"/>
    <cellStyle name="7_(분리)BAT관리 SHEET 기타 4_10Q1 TEM 가격 물량 안(영업)_경쟁사가격포함" xfId="14242"/>
    <cellStyle name="7_(분리)BAT관리 SHEET 기타 4_10Q1 TEM 가격 물량 안(영업)_경쟁사가격포함_100122 전마팀장 보고 자료" xfId="14243"/>
    <cellStyle name="7_(분리)BAT관리 SHEET 기타 4_10Q1 TEM 가격 물량 안(영업)_경쟁사가격포함_수식포함" xfId="14244"/>
    <cellStyle name="7_(분리)BAT관리 SHEET 기타 4_Rate" xfId="14245"/>
    <cellStyle name="7_(분리)BAT관리 SHEET 기타 4_Rate_TEM 2010 Q2 Volume_Forecast" xfId="14246"/>
    <cellStyle name="7_(분리)BAT관리 SHEET 기타 4_Telcel 손익" xfId="14247"/>
    <cellStyle name="7_(분리)BAT관리 SHEET 기타 4_Telcel 손익_TEM 2010 Q2 Volume_Forecast" xfId="14248"/>
    <cellStyle name="7_(분리)BAT관리 SHEET 기타 4_TEM 2010 1Q 2nd offer preparation v1_091026" xfId="14249"/>
    <cellStyle name="7_(분리)BAT관리 SHEET 기타 4_TEM 2010 1Q 2nd offer preparation v1_091026_100122 전마팀장 보고 자료" xfId="14250"/>
    <cellStyle name="7_(분리)BAT관리 SHEET 기타 4_TEM 2010 1Q 2nd offer preparation v1_091026_수식포함" xfId="14251"/>
    <cellStyle name="7_(분리)BAT관리 SHEET 기타 4_TEM 2010 1Q 2nd offer preparation v1_091027" xfId="14252"/>
    <cellStyle name="7_(분리)BAT관리 SHEET 기타 4_TEM 2010 1Q 2nd offer preparation v1_091027_100122 전마팀장 보고 자료" xfId="14253"/>
    <cellStyle name="7_(분리)BAT관리 SHEET 기타 4_TEM 2010 1Q 2nd offer preparation v1_091027_수식포함" xfId="14254"/>
    <cellStyle name="7_(분리)BAT관리 SHEET 기타 4_TEM 2010 1Q 2nd offer preparation(손익시뮬)_091027" xfId="14255"/>
    <cellStyle name="7_(분리)BAT관리 SHEET 기타 4_TEM 2010 1Q 2nd offer preparation(손익시뮬)_091027_TEM 2010 Q2 Volume_Forecast" xfId="14256"/>
    <cellStyle name="7_(분리)BAT관리 SHEET 기타 4_TEM 2010 1Q offer preparation v1_090916" xfId="14257"/>
    <cellStyle name="7_(분리)BAT관리 SHEET 기타 4_TEM 2010 1Q offer preparation v1_090916_100122 전마팀장 보고 자료" xfId="14258"/>
    <cellStyle name="7_(분리)BAT관리 SHEET 기타 4_TEM 2010 1Q offer preparation v1_090916_TEM 2010 1Q offer final v3_090929" xfId="14259"/>
    <cellStyle name="7_(분리)BAT관리 SHEET 기타 4_TEM 2010 1Q offer preparation v1_090916_TEM 2010 1Q offer final v3_090929_TEM 2010 Q2 Volume_Forecast" xfId="14260"/>
    <cellStyle name="7_(분리)BAT관리 SHEET 기타 4_TEM 2010 1Q offer preparation v1_090916_TEM 2010 1Q offer final v3_091005" xfId="14261"/>
    <cellStyle name="7_(분리)BAT관리 SHEET 기타 4_TEM 2010 1Q offer preparation v1_090916_TEM 2010 1Q offer final v3_091005_TEM 2010 Q2 Volume_Forecast" xfId="14262"/>
    <cellStyle name="7_(분리)BAT관리 SHEET 기타 4_TEM 2010 1Q offer preparation v1_090916_TEM 2010 1Q offer_091006" xfId="14263"/>
    <cellStyle name="7_(분리)BAT관리 SHEET 기타 4_TEM 2010 1Q offer preparation v1_090916_TEM 2010 1Q offer_091006_TEM 2010 Q2 Volume_Forecast" xfId="14264"/>
    <cellStyle name="7_(분리)BAT관리 SHEET 기타 4_TEM 2010 1Q offer preparation v1_090916_TEM 2010 1Q offer_091014" xfId="14265"/>
    <cellStyle name="7_(분리)BAT관리 SHEET 기타 4_TEM 2010 1Q offer preparation v1_090916_TEM 2010 1Q offer_091014_TEM 2010 Q2 Volume_Forecast" xfId="14266"/>
    <cellStyle name="7_(분리)BAT관리 SHEET 기타 4_TEM 2010 1Q offer preparation v1_090916_TEM 2010 1Q offer_091015" xfId="14267"/>
    <cellStyle name="7_(분리)BAT관리 SHEET 기타 4_TEM 2010 1Q offer preparation v1_090916_TEM 2010 1Q offer_091015_TEM 2010 Q2 Volume_Forecast" xfId="14268"/>
    <cellStyle name="7_(분리)BAT관리 SHEET 기타 4_TEM 2010 1Q offer preparation v1_090916_TEM 2010 Q2 Volume_Forecast" xfId="14269"/>
    <cellStyle name="7_(분리)BAT관리 SHEET 기타 4_TEM 2010 1Q offer preparation v1_090916_수식포함" xfId="14270"/>
    <cellStyle name="7_(분리)BAT관리 SHEET 기타 4_TEM 2010 1Q offer preparation v3_090917" xfId="14271"/>
    <cellStyle name="7_(분리)BAT관리 SHEET 기타 4_TEM 2010 1Q offer preparation v3_090917_100122 전마팀장 보고 자료" xfId="14272"/>
    <cellStyle name="7_(분리)BAT관리 SHEET 기타 4_TEM 2010 1Q offer preparation v3_090917_TEM 2010 1Q offer final v3_090929" xfId="14273"/>
    <cellStyle name="7_(분리)BAT관리 SHEET 기타 4_TEM 2010 1Q offer preparation v3_090917_TEM 2010 1Q offer final v3_090929_TEM 2010 Q2 Volume_Forecast" xfId="14274"/>
    <cellStyle name="7_(분리)BAT관리 SHEET 기타 4_TEM 2010 1Q offer preparation v3_090917_TEM 2010 1Q offer final v3_091005" xfId="14275"/>
    <cellStyle name="7_(분리)BAT관리 SHEET 기타 4_TEM 2010 1Q offer preparation v3_090917_TEM 2010 1Q offer final v3_091005_TEM 2010 Q2 Volume_Forecast" xfId="14276"/>
    <cellStyle name="7_(분리)BAT관리 SHEET 기타 4_TEM 2010 1Q offer preparation v3_090917_TEM 2010 1Q offer_091006" xfId="14277"/>
    <cellStyle name="7_(분리)BAT관리 SHEET 기타 4_TEM 2010 1Q offer preparation v3_090917_TEM 2010 1Q offer_091006_TEM 2010 Q2 Volume_Forecast" xfId="14278"/>
    <cellStyle name="7_(분리)BAT관리 SHEET 기타 4_TEM 2010 1Q offer preparation v3_090917_TEM 2010 1Q offer_091014" xfId="14279"/>
    <cellStyle name="7_(분리)BAT관리 SHEET 기타 4_TEM 2010 1Q offer preparation v3_090917_TEM 2010 1Q offer_091014_TEM 2010 Q2 Volume_Forecast" xfId="14280"/>
    <cellStyle name="7_(분리)BAT관리 SHEET 기타 4_TEM 2010 1Q offer preparation v3_090917_TEM 2010 1Q offer_091015" xfId="14281"/>
    <cellStyle name="7_(분리)BAT관리 SHEET 기타 4_TEM 2010 1Q offer preparation v3_090917_TEM 2010 1Q offer_091015_TEM 2010 Q2 Volume_Forecast" xfId="14282"/>
    <cellStyle name="7_(분리)BAT관리 SHEET 기타 4_TEM 2010 1Q offer preparation v3_090917_TEM 2010 Q2 Volume_Forecast" xfId="14283"/>
    <cellStyle name="7_(분리)BAT관리 SHEET 기타 4_TEM 2010 1Q offer preparation v3_090917_수식포함" xfId="14284"/>
    <cellStyle name="7_(분리)BAT관리 SHEET 기타 4_TEM 2010 Q2 Volume_Forecast" xfId="14285"/>
    <cellStyle name="7_(분리)BAT관리 SHEET 기타 4_W2100 현황보고" xfId="14286"/>
    <cellStyle name="7_(분리)BAT관리 SHEET 기타 4_W2100 현황보고_100122 전마팀장 보고 자료" xfId="14287"/>
    <cellStyle name="7_(분리)BAT관리 SHEET 기타 4_W2100 현황보고_10Q1 2차 가격안(시뮬레이션)_OH변경후_2" xfId="14288"/>
    <cellStyle name="7_(분리)BAT관리 SHEET 기타 4_W2100 현황보고_10Q1 2차 가격안(시뮬레이션)_OH변경후_2_TEM 2010 Q2 Volume_Forecast" xfId="14289"/>
    <cellStyle name="7_(분리)BAT관리 SHEET 기타 4_W2100 현황보고_10Q1 TEM 가격 물량 안(영업)_경쟁사가격포함" xfId="14290"/>
    <cellStyle name="7_(분리)BAT관리 SHEET 기타 4_W2100 현황보고_10Q1 TEM 가격 물량 안(영업)_경쟁사가격포함_100122 전마팀장 보고 자료" xfId="14291"/>
    <cellStyle name="7_(분리)BAT관리 SHEET 기타 4_W2100 현황보고_10Q1 TEM 가격 물량 안(영업)_경쟁사가격포함_수식포함" xfId="14292"/>
    <cellStyle name="7_(분리)BAT관리 SHEET 기타 4_W2100 현황보고_Rate" xfId="14293"/>
    <cellStyle name="7_(분리)BAT관리 SHEET 기타 4_W2100 현황보고_Rate_TEM 2010 Q2 Volume_Forecast" xfId="14294"/>
    <cellStyle name="7_(분리)BAT관리 SHEET 기타 4_W2100 현황보고_Telcel 손익" xfId="14295"/>
    <cellStyle name="7_(분리)BAT관리 SHEET 기타 4_W2100 현황보고_Telcel 손익_TEM 2010 Q2 Volume_Forecast" xfId="14296"/>
    <cellStyle name="7_(분리)BAT관리 SHEET 기타 4_W2100 현황보고_TEM 2010 1Q 2nd offer preparation v1_091026" xfId="14297"/>
    <cellStyle name="7_(분리)BAT관리 SHEET 기타 4_W2100 현황보고_TEM 2010 1Q 2nd offer preparation v1_091026_100122 전마팀장 보고 자료" xfId="14298"/>
    <cellStyle name="7_(분리)BAT관리 SHEET 기타 4_W2100 현황보고_TEM 2010 1Q 2nd offer preparation v1_091026_수식포함" xfId="14299"/>
    <cellStyle name="7_(분리)BAT관리 SHEET 기타 4_W2100 현황보고_TEM 2010 1Q 2nd offer preparation v1_091027" xfId="14300"/>
    <cellStyle name="7_(분리)BAT관리 SHEET 기타 4_W2100 현황보고_TEM 2010 1Q 2nd offer preparation v1_091027_100122 전마팀장 보고 자료" xfId="14301"/>
    <cellStyle name="7_(분리)BAT관리 SHEET 기타 4_W2100 현황보고_TEM 2010 1Q 2nd offer preparation v1_091027_수식포함" xfId="14302"/>
    <cellStyle name="7_(분리)BAT관리 SHEET 기타 4_W2100 현황보고_TEM 2010 1Q 2nd offer preparation(손익시뮬)_091027" xfId="14303"/>
    <cellStyle name="7_(분리)BAT관리 SHEET 기타 4_W2100 현황보고_TEM 2010 1Q 2nd offer preparation(손익시뮬)_091027_TEM 2010 Q2 Volume_Forecast" xfId="14304"/>
    <cellStyle name="7_(분리)BAT관리 SHEET 기타 4_W2100 현황보고_TEM 2010 1Q offer preparation v1_090916" xfId="14305"/>
    <cellStyle name="7_(분리)BAT관리 SHEET 기타 4_W2100 현황보고_TEM 2010 1Q offer preparation v1_090916_100122 전마팀장 보고 자료" xfId="14306"/>
    <cellStyle name="7_(분리)BAT관리 SHEET 기타 4_W2100 현황보고_TEM 2010 1Q offer preparation v1_090916_TEM 2010 1Q offer final v3_090929" xfId="14307"/>
    <cellStyle name="7_(분리)BAT관리 SHEET 기타 4_W2100 현황보고_TEM 2010 1Q offer preparation v1_090916_TEM 2010 1Q offer final v3_090929_TEM 2010 Q2 Volume_Forecast" xfId="14308"/>
    <cellStyle name="7_(분리)BAT관리 SHEET 기타 4_W2100 현황보고_TEM 2010 1Q offer preparation v1_090916_TEM 2010 1Q offer final v3_091005" xfId="14309"/>
    <cellStyle name="7_(분리)BAT관리 SHEET 기타 4_W2100 현황보고_TEM 2010 1Q offer preparation v1_090916_TEM 2010 1Q offer final v3_091005_TEM 2010 Q2 Volume_Forecast" xfId="14310"/>
    <cellStyle name="7_(분리)BAT관리 SHEET 기타 4_W2100 현황보고_TEM 2010 1Q offer preparation v1_090916_TEM 2010 1Q offer_091006" xfId="14311"/>
    <cellStyle name="7_(분리)BAT관리 SHEET 기타 4_W2100 현황보고_TEM 2010 1Q offer preparation v1_090916_TEM 2010 1Q offer_091006_TEM 2010 Q2 Volume_Forecast" xfId="14312"/>
    <cellStyle name="7_(분리)BAT관리 SHEET 기타 4_W2100 현황보고_TEM 2010 1Q offer preparation v1_090916_TEM 2010 1Q offer_091014" xfId="14313"/>
    <cellStyle name="7_(분리)BAT관리 SHEET 기타 4_W2100 현황보고_TEM 2010 1Q offer preparation v1_090916_TEM 2010 1Q offer_091014_TEM 2010 Q2 Volume_Forecast" xfId="14314"/>
    <cellStyle name="7_(분리)BAT관리 SHEET 기타 4_W2100 현황보고_TEM 2010 1Q offer preparation v1_090916_TEM 2010 1Q offer_091015" xfId="14315"/>
    <cellStyle name="7_(분리)BAT관리 SHEET 기타 4_W2100 현황보고_TEM 2010 1Q offer preparation v1_090916_TEM 2010 1Q offer_091015_TEM 2010 Q2 Volume_Forecast" xfId="14316"/>
    <cellStyle name="7_(분리)BAT관리 SHEET 기타 4_W2100 현황보고_TEM 2010 1Q offer preparation v1_090916_TEM 2010 Q2 Volume_Forecast" xfId="14317"/>
    <cellStyle name="7_(분리)BAT관리 SHEET 기타 4_W2100 현황보고_TEM 2010 1Q offer preparation v1_090916_수식포함" xfId="14318"/>
    <cellStyle name="7_(분리)BAT관리 SHEET 기타 4_W2100 현황보고_TEM 2010 1Q offer preparation v3_090917" xfId="14319"/>
    <cellStyle name="7_(분리)BAT관리 SHEET 기타 4_W2100 현황보고_TEM 2010 1Q offer preparation v3_090917_100122 전마팀장 보고 자료" xfId="14320"/>
    <cellStyle name="7_(분리)BAT관리 SHEET 기타 4_W2100 현황보고_TEM 2010 1Q offer preparation v3_090917_TEM 2010 1Q offer final v3_090929" xfId="14321"/>
    <cellStyle name="7_(분리)BAT관리 SHEET 기타 4_W2100 현황보고_TEM 2010 1Q offer preparation v3_090917_TEM 2010 1Q offer final v3_090929_TEM 2010 Q2 Volume_Forecast" xfId="14322"/>
    <cellStyle name="7_(분리)BAT관리 SHEET 기타 4_W2100 현황보고_TEM 2010 1Q offer preparation v3_090917_TEM 2010 1Q offer final v3_091005" xfId="14323"/>
    <cellStyle name="7_(분리)BAT관리 SHEET 기타 4_W2100 현황보고_TEM 2010 1Q offer preparation v3_090917_TEM 2010 1Q offer final v3_091005_TEM 2010 Q2 Volume_Forecast" xfId="14324"/>
    <cellStyle name="7_(분리)BAT관리 SHEET 기타 4_W2100 현황보고_TEM 2010 1Q offer preparation v3_090917_TEM 2010 1Q offer_091006" xfId="14325"/>
    <cellStyle name="7_(분리)BAT관리 SHEET 기타 4_W2100 현황보고_TEM 2010 1Q offer preparation v3_090917_TEM 2010 1Q offer_091006_TEM 2010 Q2 Volume_Forecast" xfId="14326"/>
    <cellStyle name="7_(분리)BAT관리 SHEET 기타 4_W2100 현황보고_TEM 2010 1Q offer preparation v3_090917_TEM 2010 1Q offer_091014" xfId="14327"/>
    <cellStyle name="7_(분리)BAT관리 SHEET 기타 4_W2100 현황보고_TEM 2010 1Q offer preparation v3_090917_TEM 2010 1Q offer_091014_TEM 2010 Q2 Volume_Forecast" xfId="14328"/>
    <cellStyle name="7_(분리)BAT관리 SHEET 기타 4_W2100 현황보고_TEM 2010 1Q offer preparation v3_090917_TEM 2010 1Q offer_091015" xfId="14329"/>
    <cellStyle name="7_(분리)BAT관리 SHEET 기타 4_W2100 현황보고_TEM 2010 1Q offer preparation v3_090917_TEM 2010 1Q offer_091015_TEM 2010 Q2 Volume_Forecast" xfId="14330"/>
    <cellStyle name="7_(분리)BAT관리 SHEET 기타 4_W2100 현황보고_TEM 2010 1Q offer preparation v3_090917_TEM 2010 Q2 Volume_Forecast" xfId="14331"/>
    <cellStyle name="7_(분리)BAT관리 SHEET 기타 4_W2100 현황보고_TEM 2010 1Q offer preparation v3_090917_수식포함" xfId="14332"/>
    <cellStyle name="7_(분리)BAT관리 SHEET 기타 4_W2100 현황보고_TEM 2010 Q2 Volume_Forecast" xfId="14333"/>
    <cellStyle name="7_(분리)BAT관리 SHEET 기타 4_W2100 현황보고_수식포함" xfId="14334"/>
    <cellStyle name="7_(분리)BAT관리 SHEET 기타 4_W2100 현황보고_이랜텍" xfId="14335"/>
    <cellStyle name="7_(분리)BAT관리 SHEET 기타 4_W2100 현황보고_이랜텍_100122 전마팀장 보고 자료" xfId="14336"/>
    <cellStyle name="7_(분리)BAT관리 SHEET 기타 4_W2100 현황보고_이랜텍_10Q1 2차 가격안(시뮬레이션)_OH변경후_2" xfId="14337"/>
    <cellStyle name="7_(분리)BAT관리 SHEET 기타 4_W2100 현황보고_이랜텍_10Q1 2차 가격안(시뮬레이션)_OH변경후_2_TEM 2010 Q2 Volume_Forecast" xfId="14338"/>
    <cellStyle name="7_(분리)BAT관리 SHEET 기타 4_W2100 현황보고_이랜텍_10Q1 TEM 가격 물량 안(영업)_경쟁사가격포함" xfId="14339"/>
    <cellStyle name="7_(분리)BAT관리 SHEET 기타 4_W2100 현황보고_이랜텍_10Q1 TEM 가격 물량 안(영업)_경쟁사가격포함_100122 전마팀장 보고 자료" xfId="14340"/>
    <cellStyle name="7_(분리)BAT관리 SHEET 기타 4_W2100 현황보고_이랜텍_10Q1 TEM 가격 물량 안(영업)_경쟁사가격포함_수식포함" xfId="14341"/>
    <cellStyle name="7_(분리)BAT관리 SHEET 기타 4_W2100 현황보고_이랜텍_Rate" xfId="14342"/>
    <cellStyle name="7_(분리)BAT관리 SHEET 기타 4_W2100 현황보고_이랜텍_Rate_TEM 2010 Q2 Volume_Forecast" xfId="14343"/>
    <cellStyle name="7_(분리)BAT관리 SHEET 기타 4_W2100 현황보고_이랜텍_Telcel 손익" xfId="14344"/>
    <cellStyle name="7_(분리)BAT관리 SHEET 기타 4_W2100 현황보고_이랜텍_Telcel 손익_TEM 2010 Q2 Volume_Forecast" xfId="14345"/>
    <cellStyle name="7_(분리)BAT관리 SHEET 기타 4_W2100 현황보고_이랜텍_TEM 2010 1Q 2nd offer preparation v1_091026" xfId="14346"/>
    <cellStyle name="7_(분리)BAT관리 SHEET 기타 4_W2100 현황보고_이랜텍_TEM 2010 1Q 2nd offer preparation v1_091026_100122 전마팀장 보고 자료" xfId="14347"/>
    <cellStyle name="7_(분리)BAT관리 SHEET 기타 4_W2100 현황보고_이랜텍_TEM 2010 1Q 2nd offer preparation v1_091026_수식포함" xfId="14348"/>
    <cellStyle name="7_(분리)BAT관리 SHEET 기타 4_W2100 현황보고_이랜텍_TEM 2010 1Q 2nd offer preparation v1_091027" xfId="14349"/>
    <cellStyle name="7_(분리)BAT관리 SHEET 기타 4_W2100 현황보고_이랜텍_TEM 2010 1Q 2nd offer preparation v1_091027_100122 전마팀장 보고 자료" xfId="14350"/>
    <cellStyle name="7_(분리)BAT관리 SHEET 기타 4_W2100 현황보고_이랜텍_TEM 2010 1Q 2nd offer preparation v1_091027_수식포함" xfId="14351"/>
    <cellStyle name="7_(분리)BAT관리 SHEET 기타 4_W2100 현황보고_이랜텍_TEM 2010 1Q 2nd offer preparation(손익시뮬)_091027" xfId="14352"/>
    <cellStyle name="7_(분리)BAT관리 SHEET 기타 4_W2100 현황보고_이랜텍_TEM 2010 1Q 2nd offer preparation(손익시뮬)_091027_TEM 2010 Q2 Volume_Forecast" xfId="14353"/>
    <cellStyle name="7_(분리)BAT관리 SHEET 기타 4_W2100 현황보고_이랜텍_TEM 2010 1Q offer preparation v1_090916" xfId="14354"/>
    <cellStyle name="7_(분리)BAT관리 SHEET 기타 4_W2100 현황보고_이랜텍_TEM 2010 1Q offer preparation v1_090916_100122 전마팀장 보고 자료" xfId="14355"/>
    <cellStyle name="7_(분리)BAT관리 SHEET 기타 4_W2100 현황보고_이랜텍_TEM 2010 1Q offer preparation v1_090916_TEM 2010 1Q offer final v3_090929" xfId="14356"/>
    <cellStyle name="7_(분리)BAT관리 SHEET 기타 4_W2100 현황보고_이랜텍_TEM 2010 1Q offer preparation v1_090916_TEM 2010 1Q offer final v3_090929_TEM 2010 Q2 Volume_Forecast" xfId="14357"/>
    <cellStyle name="7_(분리)BAT관리 SHEET 기타 4_W2100 현황보고_이랜텍_TEM 2010 1Q offer preparation v1_090916_TEM 2010 1Q offer final v3_091005" xfId="14358"/>
    <cellStyle name="7_(분리)BAT관리 SHEET 기타 4_W2100 현황보고_이랜텍_TEM 2010 1Q offer preparation v1_090916_TEM 2010 1Q offer final v3_091005_TEM 2010 Q2 Volume_Forecast" xfId="14359"/>
    <cellStyle name="7_(분리)BAT관리 SHEET 기타 4_W2100 현황보고_이랜텍_TEM 2010 1Q offer preparation v1_090916_TEM 2010 1Q offer_091006" xfId="14360"/>
    <cellStyle name="7_(분리)BAT관리 SHEET 기타 4_W2100 현황보고_이랜텍_TEM 2010 1Q offer preparation v1_090916_TEM 2010 1Q offer_091006_TEM 2010 Q2 Volume_Forecast" xfId="14361"/>
    <cellStyle name="7_(분리)BAT관리 SHEET 기타 4_W2100 현황보고_이랜텍_TEM 2010 1Q offer preparation v1_090916_TEM 2010 1Q offer_091014" xfId="14362"/>
    <cellStyle name="7_(분리)BAT관리 SHEET 기타 4_W2100 현황보고_이랜텍_TEM 2010 1Q offer preparation v1_090916_TEM 2010 1Q offer_091014_TEM 2010 Q2 Volume_Forecast" xfId="14363"/>
    <cellStyle name="7_(분리)BAT관리 SHEET 기타 4_W2100 현황보고_이랜텍_TEM 2010 1Q offer preparation v1_090916_TEM 2010 1Q offer_091015" xfId="14364"/>
    <cellStyle name="7_(분리)BAT관리 SHEET 기타 4_W2100 현황보고_이랜텍_TEM 2010 1Q offer preparation v1_090916_TEM 2010 1Q offer_091015_TEM 2010 Q2 Volume_Forecast" xfId="14365"/>
    <cellStyle name="7_(분리)BAT관리 SHEET 기타 4_W2100 현황보고_이랜텍_TEM 2010 1Q offer preparation v1_090916_TEM 2010 Q2 Volume_Forecast" xfId="14366"/>
    <cellStyle name="7_(분리)BAT관리 SHEET 기타 4_W2100 현황보고_이랜텍_TEM 2010 1Q offer preparation v1_090916_수식포함" xfId="14367"/>
    <cellStyle name="7_(분리)BAT관리 SHEET 기타 4_W2100 현황보고_이랜텍_TEM 2010 1Q offer preparation v3_090917" xfId="14368"/>
    <cellStyle name="7_(분리)BAT관리 SHEET 기타 4_W2100 현황보고_이랜텍_TEM 2010 1Q offer preparation v3_090917_100122 전마팀장 보고 자료" xfId="14369"/>
    <cellStyle name="7_(분리)BAT관리 SHEET 기타 4_W2100 현황보고_이랜텍_TEM 2010 1Q offer preparation v3_090917_TEM 2010 1Q offer final v3_090929" xfId="14370"/>
    <cellStyle name="7_(분리)BAT관리 SHEET 기타 4_W2100 현황보고_이랜텍_TEM 2010 1Q offer preparation v3_090917_TEM 2010 1Q offer final v3_090929_TEM 2010 Q2 Volume_Forecast" xfId="14371"/>
    <cellStyle name="7_(분리)BAT관리 SHEET 기타 4_W2100 현황보고_이랜텍_TEM 2010 1Q offer preparation v3_090917_TEM 2010 1Q offer final v3_091005" xfId="14372"/>
    <cellStyle name="7_(분리)BAT관리 SHEET 기타 4_W2100 현황보고_이랜텍_TEM 2010 1Q offer preparation v3_090917_TEM 2010 1Q offer final v3_091005_TEM 2010 Q2 Volume_Forecast" xfId="14373"/>
    <cellStyle name="7_(분리)BAT관리 SHEET 기타 4_W2100 현황보고_이랜텍_TEM 2010 1Q offer preparation v3_090917_TEM 2010 1Q offer_091006" xfId="14374"/>
    <cellStyle name="7_(분리)BAT관리 SHEET 기타 4_W2100 현황보고_이랜텍_TEM 2010 1Q offer preparation v3_090917_TEM 2010 1Q offer_091006_TEM 2010 Q2 Volume_Forecast" xfId="14375"/>
    <cellStyle name="7_(분리)BAT관리 SHEET 기타 4_W2100 현황보고_이랜텍_TEM 2010 1Q offer preparation v3_090917_TEM 2010 1Q offer_091014" xfId="14376"/>
    <cellStyle name="7_(분리)BAT관리 SHEET 기타 4_W2100 현황보고_이랜텍_TEM 2010 1Q offer preparation v3_090917_TEM 2010 1Q offer_091014_TEM 2010 Q2 Volume_Forecast" xfId="14377"/>
    <cellStyle name="7_(분리)BAT관리 SHEET 기타 4_W2100 현황보고_이랜텍_TEM 2010 1Q offer preparation v3_090917_TEM 2010 1Q offer_091015" xfId="14378"/>
    <cellStyle name="7_(분리)BAT관리 SHEET 기타 4_W2100 현황보고_이랜텍_TEM 2010 1Q offer preparation v3_090917_TEM 2010 1Q offer_091015_TEM 2010 Q2 Volume_Forecast" xfId="14379"/>
    <cellStyle name="7_(분리)BAT관리 SHEET 기타 4_W2100 현황보고_이랜텍_TEM 2010 1Q offer preparation v3_090917_TEM 2010 Q2 Volume_Forecast" xfId="14380"/>
    <cellStyle name="7_(분리)BAT관리 SHEET 기타 4_W2100 현황보고_이랜텍_TEM 2010 1Q offer preparation v3_090917_수식포함" xfId="14381"/>
    <cellStyle name="7_(분리)BAT관리 SHEET 기타 4_W2100 현황보고_이랜텍_TEM 2010 Q2 Volume_Forecast" xfId="14382"/>
    <cellStyle name="7_(분리)BAT관리 SHEET 기타 4_W2100 현황보고_이랜텍_수식포함" xfId="14383"/>
    <cellStyle name="7_(분리)BAT관리 SHEET 기타 4_수식포함" xfId="14384"/>
    <cellStyle name="7_(확인) '06年 협력사 GVE_Master File_" xfId="14385"/>
    <cellStyle name="7_(확인) '06年 협력사 GVE_Master File__★ '07~'08年 GVE 과제 현황_080502" xfId="14386"/>
    <cellStyle name="7_(확인) '06年 협력사 GVE_Master File__★ '07年 GVE 과제 현황_080407" xfId="14387"/>
    <cellStyle name="7_041221_단가계약파일" xfId="14388"/>
    <cellStyle name="7_041221_단가계약파일_(분리)BAT관리 SHEET 128 4월2주차+국판1차" xfId="14389"/>
    <cellStyle name="7_041221_단가계약파일_(분리)BAT관리 SHEET 128 4월2주차+국판1차_(분리)BAT관리 SHEET 158 7월1주차+국판1차" xfId="14390"/>
    <cellStyle name="7_041221_단가계약파일_(분리)BAT관리 SHEET 128 4월2주차+국판1차_(분리)BAT관리 SHEET 158 7월1주차+국판1차_100122 전마팀장 보고 자료" xfId="14391"/>
    <cellStyle name="7_041221_단가계약파일_(분리)BAT관리 SHEET 128 4월2주차+국판1차_(분리)BAT관리 SHEET 158 7월1주차+국판1차_10Q1 2차 가격안(시뮬레이션)_OH변경후_2" xfId="14392"/>
    <cellStyle name="7_041221_단가계약파일_(분리)BAT관리 SHEET 128 4월2주차+국판1차_(분리)BAT관리 SHEET 158 7월1주차+국판1차_10Q1 2차 가격안(시뮬레이션)_OH변경후_2_TEM 2010 Q2 Volume_Forecast" xfId="14393"/>
    <cellStyle name="7_041221_단가계약파일_(분리)BAT관리 SHEET 128 4월2주차+국판1차_(분리)BAT관리 SHEET 158 7월1주차+국판1차_10Q1 TEM 가격 물량 안(영업)_경쟁사가격포함" xfId="14394"/>
    <cellStyle name="7_041221_단가계약파일_(분리)BAT관리 SHEET 128 4월2주차+국판1차_(분리)BAT관리 SHEET 158 7월1주차+국판1차_10Q1 TEM 가격 물량 안(영업)_경쟁사가격포함_100122 전마팀장 보고 자료" xfId="14395"/>
    <cellStyle name="7_041221_단가계약파일_(분리)BAT관리 SHEET 128 4월2주차+국판1차_(분리)BAT관리 SHEET 158 7월1주차+국판1차_10Q1 TEM 가격 물량 안(영업)_경쟁사가격포함_수식포함" xfId="14396"/>
    <cellStyle name="7_041221_단가계약파일_(분리)BAT관리 SHEET 128 4월2주차+국판1차_(분리)BAT관리 SHEET 158 7월1주차+국판1차_Rate" xfId="14397"/>
    <cellStyle name="7_041221_단가계약파일_(분리)BAT관리 SHEET 128 4월2주차+국판1차_(분리)BAT관리 SHEET 158 7월1주차+국판1차_Rate_TEM 2010 Q2 Volume_Forecast" xfId="14398"/>
    <cellStyle name="7_041221_단가계약파일_(분리)BAT관리 SHEET 128 4월2주차+국판1차_(분리)BAT관리 SHEET 158 7월1주차+국판1차_Telcel 손익" xfId="14399"/>
    <cellStyle name="7_041221_단가계약파일_(분리)BAT관리 SHEET 128 4월2주차+국판1차_(분리)BAT관리 SHEET 158 7월1주차+국판1차_Telcel 손익_TEM 2010 Q2 Volume_Forecast" xfId="14400"/>
    <cellStyle name="7_041221_단가계약파일_(분리)BAT관리 SHEET 128 4월2주차+국판1차_(분리)BAT관리 SHEET 158 7월1주차+국판1차_TEM 2010 1Q 2nd offer preparation v1_091026" xfId="14401"/>
    <cellStyle name="7_041221_단가계약파일_(분리)BAT관리 SHEET 128 4월2주차+국판1차_(분리)BAT관리 SHEET 158 7월1주차+국판1차_TEM 2010 1Q 2nd offer preparation v1_091026_100122 전마팀장 보고 자료" xfId="14402"/>
    <cellStyle name="7_041221_단가계약파일_(분리)BAT관리 SHEET 128 4월2주차+국판1차_(분리)BAT관리 SHEET 158 7월1주차+국판1차_TEM 2010 1Q 2nd offer preparation v1_091026_수식포함" xfId="14403"/>
    <cellStyle name="7_041221_단가계약파일_(분리)BAT관리 SHEET 128 4월2주차+국판1차_(분리)BAT관리 SHEET 158 7월1주차+국판1차_TEM 2010 1Q 2nd offer preparation v1_091027" xfId="14404"/>
    <cellStyle name="7_041221_단가계약파일_(분리)BAT관리 SHEET 128 4월2주차+국판1차_(분리)BAT관리 SHEET 158 7월1주차+국판1차_TEM 2010 1Q 2nd offer preparation v1_091027_100122 전마팀장 보고 자료" xfId="14405"/>
    <cellStyle name="7_041221_단가계약파일_(분리)BAT관리 SHEET 128 4월2주차+국판1차_(분리)BAT관리 SHEET 158 7월1주차+국판1차_TEM 2010 1Q 2nd offer preparation v1_091027_수식포함" xfId="14406"/>
    <cellStyle name="7_041221_단가계약파일_(분리)BAT관리 SHEET 128 4월2주차+국판1차_(분리)BAT관리 SHEET 158 7월1주차+국판1차_TEM 2010 1Q 2nd offer preparation(손익시뮬)_091027" xfId="14407"/>
    <cellStyle name="7_041221_단가계약파일_(분리)BAT관리 SHEET 128 4월2주차+국판1차_(분리)BAT관리 SHEET 158 7월1주차+국판1차_TEM 2010 1Q 2nd offer preparation(손익시뮬)_091027_TEM 2010 Q2 Volume_Forecast" xfId="14408"/>
    <cellStyle name="7_041221_단가계약파일_(분리)BAT관리 SHEET 128 4월2주차+국판1차_(분리)BAT관리 SHEET 158 7월1주차+국판1차_TEM 2010 1Q offer preparation v1_090916" xfId="14409"/>
    <cellStyle name="7_041221_단가계약파일_(분리)BAT관리 SHEET 128 4월2주차+국판1차_(분리)BAT관리 SHEET 158 7월1주차+국판1차_TEM 2010 1Q offer preparation v1_090916_100122 전마팀장 보고 자료" xfId="14410"/>
    <cellStyle name="7_041221_단가계약파일_(분리)BAT관리 SHEET 128 4월2주차+국판1차_(분리)BAT관리 SHEET 158 7월1주차+국판1차_TEM 2010 1Q offer preparation v1_090916_TEM 2010 1Q offer final v3_090929" xfId="14411"/>
    <cellStyle name="7_041221_단가계약파일_(분리)BAT관리 SHEET 128 4월2주차+국판1차_(분리)BAT관리 SHEET 158 7월1주차+국판1차_TEM 2010 1Q offer preparation v1_090916_TEM 2010 1Q offer final v3_090929_TEM 2010 Q2 Volume_Forecast" xfId="14412"/>
    <cellStyle name="7_041221_단가계약파일_(분리)BAT관리 SHEET 128 4월2주차+국판1차_(분리)BAT관리 SHEET 158 7월1주차+국판1차_TEM 2010 1Q offer preparation v1_090916_TEM 2010 1Q offer final v3_091005" xfId="14413"/>
    <cellStyle name="7_041221_단가계약파일_(분리)BAT관리 SHEET 128 4월2주차+국판1차_(분리)BAT관리 SHEET 158 7월1주차+국판1차_TEM 2010 1Q offer preparation v1_090916_TEM 2010 1Q offer final v3_091005_TEM 2010 Q2 Volume_Forecast" xfId="14414"/>
    <cellStyle name="7_041221_단가계약파일_(분리)BAT관리 SHEET 128 4월2주차+국판1차_(분리)BAT관리 SHEET 158 7월1주차+국판1차_TEM 2010 1Q offer preparation v1_090916_TEM 2010 1Q offer_091006" xfId="14415"/>
    <cellStyle name="7_041221_단가계약파일_(분리)BAT관리 SHEET 128 4월2주차+국판1차_(분리)BAT관리 SHEET 158 7월1주차+국판1차_TEM 2010 1Q offer preparation v1_090916_TEM 2010 1Q offer_091006_TEM 2010 Q2 Volume_Forecast" xfId="14416"/>
    <cellStyle name="7_041221_단가계약파일_(분리)BAT관리 SHEET 128 4월2주차+국판1차_(분리)BAT관리 SHEET 158 7월1주차+국판1차_TEM 2010 1Q offer preparation v1_090916_TEM 2010 1Q offer_091014" xfId="14417"/>
    <cellStyle name="7_041221_단가계약파일_(분리)BAT관리 SHEET 128 4월2주차+국판1차_(분리)BAT관리 SHEET 158 7월1주차+국판1차_TEM 2010 1Q offer preparation v1_090916_TEM 2010 1Q offer_091014_TEM 2010 Q2 Volume_Forecast" xfId="14418"/>
    <cellStyle name="7_041221_단가계약파일_(분리)BAT관리 SHEET 128 4월2주차+국판1차_(분리)BAT관리 SHEET 158 7월1주차+국판1차_TEM 2010 1Q offer preparation v1_090916_TEM 2010 1Q offer_091015" xfId="14419"/>
    <cellStyle name="7_041221_단가계약파일_(분리)BAT관리 SHEET 128 4월2주차+국판1차_(분리)BAT관리 SHEET 158 7월1주차+국판1차_TEM 2010 1Q offer preparation v1_090916_TEM 2010 1Q offer_091015_TEM 2010 Q2 Volume_Forecast" xfId="14420"/>
    <cellStyle name="7_041221_단가계약파일_(분리)BAT관리 SHEET 128 4월2주차+국판1차_(분리)BAT관리 SHEET 158 7월1주차+국판1차_TEM 2010 1Q offer preparation v1_090916_TEM 2010 Q2 Volume_Forecast" xfId="14421"/>
    <cellStyle name="7_041221_단가계약파일_(분리)BAT관리 SHEET 128 4월2주차+국판1차_(분리)BAT관리 SHEET 158 7월1주차+국판1차_TEM 2010 1Q offer preparation v1_090916_수식포함" xfId="14422"/>
    <cellStyle name="7_041221_단가계약파일_(분리)BAT관리 SHEET 128 4월2주차+국판1차_(분리)BAT관리 SHEET 158 7월1주차+국판1차_TEM 2010 1Q offer preparation v3_090917" xfId="14423"/>
    <cellStyle name="7_041221_단가계약파일_(분리)BAT관리 SHEET 128 4월2주차+국판1차_(분리)BAT관리 SHEET 158 7월1주차+국판1차_TEM 2010 1Q offer preparation v3_090917_100122 전마팀장 보고 자료" xfId="14424"/>
    <cellStyle name="7_041221_단가계약파일_(분리)BAT관리 SHEET 128 4월2주차+국판1차_(분리)BAT관리 SHEET 158 7월1주차+국판1차_TEM 2010 1Q offer preparation v3_090917_TEM 2010 1Q offer final v3_090929" xfId="14425"/>
    <cellStyle name="7_041221_단가계약파일_(분리)BAT관리 SHEET 128 4월2주차+국판1차_(분리)BAT관리 SHEET 158 7월1주차+국판1차_TEM 2010 1Q offer preparation v3_090917_TEM 2010 1Q offer final v3_090929_TEM 2010 Q2 Volume_Forecast" xfId="14426"/>
    <cellStyle name="7_041221_단가계약파일_(분리)BAT관리 SHEET 128 4월2주차+국판1차_(분리)BAT관리 SHEET 158 7월1주차+국판1차_TEM 2010 1Q offer preparation v3_090917_TEM 2010 1Q offer final v3_091005" xfId="14427"/>
    <cellStyle name="7_041221_단가계약파일_(분리)BAT관리 SHEET 128 4월2주차+국판1차_(분리)BAT관리 SHEET 158 7월1주차+국판1차_TEM 2010 1Q offer preparation v3_090917_TEM 2010 1Q offer final v3_091005_TEM 2010 Q2 Volume_Forecast" xfId="14428"/>
    <cellStyle name="7_041221_단가계약파일_(분리)BAT관리 SHEET 128 4월2주차+국판1차_(분리)BAT관리 SHEET 158 7월1주차+국판1차_TEM 2010 1Q offer preparation v3_090917_TEM 2010 1Q offer_091006" xfId="14429"/>
    <cellStyle name="7_041221_단가계약파일_(분리)BAT관리 SHEET 128 4월2주차+국판1차_(분리)BAT관리 SHEET 158 7월1주차+국판1차_TEM 2010 1Q offer preparation v3_090917_TEM 2010 1Q offer_091006_TEM 2010 Q2 Volume_Forecast" xfId="14430"/>
    <cellStyle name="7_041221_단가계약파일_(분리)BAT관리 SHEET 128 4월2주차+국판1차_(분리)BAT관리 SHEET 158 7월1주차+국판1차_TEM 2010 1Q offer preparation v3_090917_TEM 2010 1Q offer_091014" xfId="14431"/>
    <cellStyle name="7_041221_단가계약파일_(분리)BAT관리 SHEET 128 4월2주차+국판1차_(분리)BAT관리 SHEET 158 7월1주차+국판1차_TEM 2010 1Q offer preparation v3_090917_TEM 2010 1Q offer_091014_TEM 2010 Q2 Volume_Forecast" xfId="14432"/>
    <cellStyle name="7_041221_단가계약파일_(분리)BAT관리 SHEET 128 4월2주차+국판1차_(분리)BAT관리 SHEET 158 7월1주차+국판1차_TEM 2010 1Q offer preparation v3_090917_TEM 2010 1Q offer_091015" xfId="14433"/>
    <cellStyle name="7_041221_단가계약파일_(분리)BAT관리 SHEET 128 4월2주차+국판1차_(분리)BAT관리 SHEET 158 7월1주차+국판1차_TEM 2010 1Q offer preparation v3_090917_TEM 2010 1Q offer_091015_TEM 2010 Q2 Volume_Forecast" xfId="14434"/>
    <cellStyle name="7_041221_단가계약파일_(분리)BAT관리 SHEET 128 4월2주차+국판1차_(분리)BAT관리 SHEET 158 7월1주차+국판1차_TEM 2010 1Q offer preparation v3_090917_TEM 2010 Q2 Volume_Forecast" xfId="14435"/>
    <cellStyle name="7_041221_단가계약파일_(분리)BAT관리 SHEET 128 4월2주차+국판1차_(분리)BAT관리 SHEET 158 7월1주차+국판1차_TEM 2010 1Q offer preparation v3_090917_수식포함" xfId="14436"/>
    <cellStyle name="7_041221_단가계약파일_(분리)BAT관리 SHEET 128 4월2주차+국판1차_(분리)BAT관리 SHEET 158 7월1주차+국판1차_TEM 2010 Q2 Volume_Forecast" xfId="14437"/>
    <cellStyle name="7_041221_단가계약파일_(분리)BAT관리 SHEET 128 4월2주차+국판1차_(분리)BAT관리 SHEET 158 7월1주차+국판1차_수식포함" xfId="14438"/>
    <cellStyle name="7_041221_단가계약파일_(분리)BAT관리 SHEET 128 4월2주차+국판1차_(분리)BAT관리 SHEET 158 7월1주차+국판1차_이랜텍" xfId="14439"/>
    <cellStyle name="7_041221_단가계약파일_(분리)BAT관리 SHEET 128 4월2주차+국판1차_(분리)BAT관리 SHEET 158 7월1주차+국판1차_이랜텍_100122 전마팀장 보고 자료" xfId="14440"/>
    <cellStyle name="7_041221_단가계약파일_(분리)BAT관리 SHEET 128 4월2주차+국판1차_(분리)BAT관리 SHEET 158 7월1주차+국판1차_이랜텍_10Q1 2차 가격안(시뮬레이션)_OH변경후_2" xfId="14441"/>
    <cellStyle name="7_041221_단가계약파일_(분리)BAT관리 SHEET 128 4월2주차+국판1차_(분리)BAT관리 SHEET 158 7월1주차+국판1차_이랜텍_10Q1 2차 가격안(시뮬레이션)_OH변경후_2_TEM 2010 Q2 Volume_Forecast" xfId="14442"/>
    <cellStyle name="7_041221_단가계약파일_(분리)BAT관리 SHEET 128 4월2주차+국판1차_(분리)BAT관리 SHEET 158 7월1주차+국판1차_이랜텍_10Q1 TEM 가격 물량 안(영업)_경쟁사가격포함" xfId="14443"/>
    <cellStyle name="7_041221_단가계약파일_(분리)BAT관리 SHEET 128 4월2주차+국판1차_(분리)BAT관리 SHEET 158 7월1주차+국판1차_이랜텍_10Q1 TEM 가격 물량 안(영업)_경쟁사가격포함_100122 전마팀장 보고 자료" xfId="14444"/>
    <cellStyle name="7_041221_단가계약파일_(분리)BAT관리 SHEET 128 4월2주차+국판1차_(분리)BAT관리 SHEET 158 7월1주차+국판1차_이랜텍_10Q1 TEM 가격 물량 안(영업)_경쟁사가격포함_수식포함" xfId="14445"/>
    <cellStyle name="7_041221_단가계약파일_(분리)BAT관리 SHEET 128 4월2주차+국판1차_(분리)BAT관리 SHEET 158 7월1주차+국판1차_이랜텍_Rate" xfId="14446"/>
    <cellStyle name="7_041221_단가계약파일_(분리)BAT관리 SHEET 128 4월2주차+국판1차_(분리)BAT관리 SHEET 158 7월1주차+국판1차_이랜텍_Rate_TEM 2010 Q2 Volume_Forecast" xfId="14447"/>
    <cellStyle name="7_041221_단가계약파일_(분리)BAT관리 SHEET 128 4월2주차+국판1차_(분리)BAT관리 SHEET 158 7월1주차+국판1차_이랜텍_Telcel 손익" xfId="14448"/>
    <cellStyle name="7_041221_단가계약파일_(분리)BAT관리 SHEET 128 4월2주차+국판1차_(분리)BAT관리 SHEET 158 7월1주차+국판1차_이랜텍_Telcel 손익_TEM 2010 Q2 Volume_Forecast" xfId="14449"/>
    <cellStyle name="7_041221_단가계약파일_(분리)BAT관리 SHEET 128 4월2주차+국판1차_(분리)BAT관리 SHEET 158 7월1주차+국판1차_이랜텍_TEM 2010 1Q 2nd offer preparation v1_091026" xfId="14450"/>
    <cellStyle name="7_041221_단가계약파일_(분리)BAT관리 SHEET 128 4월2주차+국판1차_(분리)BAT관리 SHEET 158 7월1주차+국판1차_이랜텍_TEM 2010 1Q 2nd offer preparation v1_091026_100122 전마팀장 보고 자료" xfId="14451"/>
    <cellStyle name="7_041221_단가계약파일_(분리)BAT관리 SHEET 128 4월2주차+국판1차_(분리)BAT관리 SHEET 158 7월1주차+국판1차_이랜텍_TEM 2010 1Q 2nd offer preparation v1_091026_수식포함" xfId="14452"/>
    <cellStyle name="7_041221_단가계약파일_(분리)BAT관리 SHEET 128 4월2주차+국판1차_(분리)BAT관리 SHEET 158 7월1주차+국판1차_이랜텍_TEM 2010 1Q 2nd offer preparation v1_091027" xfId="14453"/>
    <cellStyle name="7_041221_단가계약파일_(분리)BAT관리 SHEET 128 4월2주차+국판1차_(분리)BAT관리 SHEET 158 7월1주차+국판1차_이랜텍_TEM 2010 1Q 2nd offer preparation v1_091027_100122 전마팀장 보고 자료" xfId="14454"/>
    <cellStyle name="7_041221_단가계약파일_(분리)BAT관리 SHEET 128 4월2주차+국판1차_(분리)BAT관리 SHEET 158 7월1주차+국판1차_이랜텍_TEM 2010 1Q 2nd offer preparation v1_091027_수식포함" xfId="14455"/>
    <cellStyle name="7_041221_단가계약파일_(분리)BAT관리 SHEET 128 4월2주차+국판1차_(분리)BAT관리 SHEET 158 7월1주차+국판1차_이랜텍_TEM 2010 1Q 2nd offer preparation(손익시뮬)_091027" xfId="14456"/>
    <cellStyle name="7_041221_단가계약파일_(분리)BAT관리 SHEET 128 4월2주차+국판1차_(분리)BAT관리 SHEET 158 7월1주차+국판1차_이랜텍_TEM 2010 1Q 2nd offer preparation(손익시뮬)_091027_TEM 2010 Q2 Volume_Forecast" xfId="14457"/>
    <cellStyle name="7_041221_단가계약파일_(분리)BAT관리 SHEET 128 4월2주차+국판1차_(분리)BAT관리 SHEET 158 7월1주차+국판1차_이랜텍_TEM 2010 1Q offer preparation v1_090916" xfId="14458"/>
    <cellStyle name="7_041221_단가계약파일_(분리)BAT관리 SHEET 128 4월2주차+국판1차_(분리)BAT관리 SHEET 158 7월1주차+국판1차_이랜텍_TEM 2010 1Q offer preparation v1_090916_100122 전마팀장 보고 자료" xfId="14459"/>
    <cellStyle name="7_041221_단가계약파일_(분리)BAT관리 SHEET 128 4월2주차+국판1차_(분리)BAT관리 SHEET 158 7월1주차+국판1차_이랜텍_TEM 2010 1Q offer preparation v1_090916_TEM 2010 1Q offer final v3_090929" xfId="14460"/>
    <cellStyle name="7_041221_단가계약파일_(분리)BAT관리 SHEET 128 4월2주차+국판1차_(분리)BAT관리 SHEET 158 7월1주차+국판1차_이랜텍_TEM 2010 1Q offer preparation v1_090916_TEM 2010 1Q offer final v3_090929_TEM 2010 Q2 Volume_Forecast" xfId="14461"/>
    <cellStyle name="7_041221_단가계약파일_(분리)BAT관리 SHEET 128 4월2주차+국판1차_(분리)BAT관리 SHEET 158 7월1주차+국판1차_이랜텍_TEM 2010 1Q offer preparation v1_090916_TEM 2010 1Q offer final v3_091005" xfId="14462"/>
    <cellStyle name="7_041221_단가계약파일_(분리)BAT관리 SHEET 128 4월2주차+국판1차_(분리)BAT관리 SHEET 158 7월1주차+국판1차_이랜텍_TEM 2010 1Q offer preparation v1_090916_TEM 2010 1Q offer final v3_091005_TEM 2010 Q2 Volume_Forecast" xfId="14463"/>
    <cellStyle name="7_041221_단가계약파일_(분리)BAT관리 SHEET 128 4월2주차+국판1차_(분리)BAT관리 SHEET 158 7월1주차+국판1차_이랜텍_TEM 2010 1Q offer preparation v1_090916_TEM 2010 1Q offer_091006" xfId="14464"/>
    <cellStyle name="7_041221_단가계약파일_(분리)BAT관리 SHEET 128 4월2주차+국판1차_(분리)BAT관리 SHEET 158 7월1주차+국판1차_이랜텍_TEM 2010 1Q offer preparation v1_090916_TEM 2010 1Q offer_091006_TEM 2010 Q2 Volume_Forecast" xfId="14465"/>
    <cellStyle name="7_041221_단가계약파일_(분리)BAT관리 SHEET 128 4월2주차+국판1차_(분리)BAT관리 SHEET 158 7월1주차+국판1차_이랜텍_TEM 2010 1Q offer preparation v1_090916_TEM 2010 1Q offer_091014" xfId="14466"/>
    <cellStyle name="7_041221_단가계약파일_(분리)BAT관리 SHEET 128 4월2주차+국판1차_(분리)BAT관리 SHEET 158 7월1주차+국판1차_이랜텍_TEM 2010 1Q offer preparation v1_090916_TEM 2010 1Q offer_091014_TEM 2010 Q2 Volume_Forecast" xfId="14467"/>
    <cellStyle name="7_041221_단가계약파일_(분리)BAT관리 SHEET 128 4월2주차+국판1차_(분리)BAT관리 SHEET 158 7월1주차+국판1차_이랜텍_TEM 2010 1Q offer preparation v1_090916_TEM 2010 1Q offer_091015" xfId="14468"/>
    <cellStyle name="7_041221_단가계약파일_(분리)BAT관리 SHEET 128 4월2주차+국판1차_(분리)BAT관리 SHEET 158 7월1주차+국판1차_이랜텍_TEM 2010 1Q offer preparation v1_090916_TEM 2010 1Q offer_091015_TEM 2010 Q2 Volume_Forecast" xfId="14469"/>
    <cellStyle name="7_041221_단가계약파일_(분리)BAT관리 SHEET 128 4월2주차+국판1차_(분리)BAT관리 SHEET 158 7월1주차+국판1차_이랜텍_TEM 2010 1Q offer preparation v1_090916_TEM 2010 Q2 Volume_Forecast" xfId="14470"/>
    <cellStyle name="7_041221_단가계약파일_(분리)BAT관리 SHEET 128 4월2주차+국판1차_(분리)BAT관리 SHEET 158 7월1주차+국판1차_이랜텍_TEM 2010 1Q offer preparation v1_090916_수식포함" xfId="14471"/>
    <cellStyle name="7_041221_단가계약파일_(분리)BAT관리 SHEET 128 4월2주차+국판1차_(분리)BAT관리 SHEET 158 7월1주차+국판1차_이랜텍_TEM 2010 1Q offer preparation v3_090917" xfId="14472"/>
    <cellStyle name="7_041221_단가계약파일_(분리)BAT관리 SHEET 128 4월2주차+국판1차_(분리)BAT관리 SHEET 158 7월1주차+국판1차_이랜텍_TEM 2010 1Q offer preparation v3_090917_100122 전마팀장 보고 자료" xfId="14473"/>
    <cellStyle name="7_041221_단가계약파일_(분리)BAT관리 SHEET 128 4월2주차+국판1차_(분리)BAT관리 SHEET 158 7월1주차+국판1차_이랜텍_TEM 2010 1Q offer preparation v3_090917_TEM 2010 1Q offer final v3_090929" xfId="14474"/>
    <cellStyle name="7_041221_단가계약파일_(분리)BAT관리 SHEET 128 4월2주차+국판1차_(분리)BAT관리 SHEET 158 7월1주차+국판1차_이랜텍_TEM 2010 1Q offer preparation v3_090917_TEM 2010 1Q offer final v3_090929_TEM 2010 Q2 Volume_Forecast" xfId="14475"/>
    <cellStyle name="7_041221_단가계약파일_(분리)BAT관리 SHEET 128 4월2주차+국판1차_(분리)BAT관리 SHEET 158 7월1주차+국판1차_이랜텍_TEM 2010 1Q offer preparation v3_090917_TEM 2010 1Q offer final v3_091005" xfId="14476"/>
    <cellStyle name="7_041221_단가계약파일_(분리)BAT관리 SHEET 128 4월2주차+국판1차_(분리)BAT관리 SHEET 158 7월1주차+국판1차_이랜텍_TEM 2010 1Q offer preparation v3_090917_TEM 2010 1Q offer final v3_091005_TEM 2010 Q2 Volume_Forecast" xfId="14477"/>
    <cellStyle name="7_041221_단가계약파일_(분리)BAT관리 SHEET 128 4월2주차+국판1차_(분리)BAT관리 SHEET 158 7월1주차+국판1차_이랜텍_TEM 2010 1Q offer preparation v3_090917_TEM 2010 1Q offer_091006" xfId="14478"/>
    <cellStyle name="7_041221_단가계약파일_(분리)BAT관리 SHEET 128 4월2주차+국판1차_(분리)BAT관리 SHEET 158 7월1주차+국판1차_이랜텍_TEM 2010 1Q offer preparation v3_090917_TEM 2010 1Q offer_091006_TEM 2010 Q2 Volume_Forecast" xfId="14479"/>
    <cellStyle name="7_041221_단가계약파일_(분리)BAT관리 SHEET 128 4월2주차+국판1차_(분리)BAT관리 SHEET 158 7월1주차+국판1차_이랜텍_TEM 2010 1Q offer preparation v3_090917_TEM 2010 1Q offer_091014" xfId="14480"/>
    <cellStyle name="7_041221_단가계약파일_(분리)BAT관리 SHEET 128 4월2주차+국판1차_(분리)BAT관리 SHEET 158 7월1주차+국판1차_이랜텍_TEM 2010 1Q offer preparation v3_090917_TEM 2010 1Q offer_091014_TEM 2010 Q2 Volume_Forecast" xfId="14481"/>
    <cellStyle name="7_041221_단가계약파일_(분리)BAT관리 SHEET 128 4월2주차+국판1차_(분리)BAT관리 SHEET 158 7월1주차+국판1차_이랜텍_TEM 2010 1Q offer preparation v3_090917_TEM 2010 1Q offer_091015" xfId="14482"/>
    <cellStyle name="7_041221_단가계약파일_(분리)BAT관리 SHEET 128 4월2주차+국판1차_(분리)BAT관리 SHEET 158 7월1주차+국판1차_이랜텍_TEM 2010 1Q offer preparation v3_090917_TEM 2010 1Q offer_091015_TEM 2010 Q2 Volume_Forecast" xfId="14483"/>
    <cellStyle name="7_041221_단가계약파일_(분리)BAT관리 SHEET 128 4월2주차+국판1차_(분리)BAT관리 SHEET 158 7월1주차+국판1차_이랜텍_TEM 2010 1Q offer preparation v3_090917_TEM 2010 Q2 Volume_Forecast" xfId="14484"/>
    <cellStyle name="7_041221_단가계약파일_(분리)BAT관리 SHEET 128 4월2주차+국판1차_(분리)BAT관리 SHEET 158 7월1주차+국판1차_이랜텍_TEM 2010 1Q offer preparation v3_090917_수식포함" xfId="14485"/>
    <cellStyle name="7_041221_단가계약파일_(분리)BAT관리 SHEET 128 4월2주차+국판1차_(분리)BAT관리 SHEET 158 7월1주차+국판1차_이랜텍_TEM 2010 Q2 Volume_Forecast" xfId="14486"/>
    <cellStyle name="7_041221_단가계약파일_(분리)BAT관리 SHEET 128 4월2주차+국판1차_(분리)BAT관리 SHEET 158 7월1주차+국판1차_이랜텍_수식포함" xfId="14487"/>
    <cellStyle name="7_041221_단가계약파일_(분리)BAT관리 SHEET 128 4월2주차+국판1차_(분리)BAT관리 SHEET 159 7월1주차+국판1차" xfId="14488"/>
    <cellStyle name="7_041221_단가계약파일_(분리)BAT관리 SHEET 128 4월2주차+국판1차_(분리)BAT관리 SHEET 159 7월1주차+국판1차_100122 전마팀장 보고 자료" xfId="14489"/>
    <cellStyle name="7_041221_단가계약파일_(분리)BAT관리 SHEET 128 4월2주차+국판1차_(분리)BAT관리 SHEET 159 7월1주차+국판1차_10Q1 2차 가격안(시뮬레이션)_OH변경후_2" xfId="14490"/>
    <cellStyle name="7_041221_단가계약파일_(분리)BAT관리 SHEET 128 4월2주차+국판1차_(분리)BAT관리 SHEET 159 7월1주차+국판1차_10Q1 2차 가격안(시뮬레이션)_OH변경후_2_TEM 2010 Q2 Volume_Forecast" xfId="14491"/>
    <cellStyle name="7_041221_단가계약파일_(분리)BAT관리 SHEET 128 4월2주차+국판1차_(분리)BAT관리 SHEET 159 7월1주차+국판1차_10Q1 TEM 가격 물량 안(영업)_경쟁사가격포함" xfId="14492"/>
    <cellStyle name="7_041221_단가계약파일_(분리)BAT관리 SHEET 128 4월2주차+국판1차_(분리)BAT관리 SHEET 159 7월1주차+국판1차_10Q1 TEM 가격 물량 안(영업)_경쟁사가격포함_100122 전마팀장 보고 자료" xfId="14493"/>
    <cellStyle name="7_041221_단가계약파일_(분리)BAT관리 SHEET 128 4월2주차+국판1차_(분리)BAT관리 SHEET 159 7월1주차+국판1차_10Q1 TEM 가격 물량 안(영업)_경쟁사가격포함_수식포함" xfId="14494"/>
    <cellStyle name="7_041221_단가계약파일_(분리)BAT관리 SHEET 128 4월2주차+국판1차_(분리)BAT관리 SHEET 159 7월1주차+국판1차_Rate" xfId="14495"/>
    <cellStyle name="7_041221_단가계약파일_(분리)BAT관리 SHEET 128 4월2주차+국판1차_(분리)BAT관리 SHEET 159 7월1주차+국판1차_Rate_TEM 2010 Q2 Volume_Forecast" xfId="14496"/>
    <cellStyle name="7_041221_단가계약파일_(분리)BAT관리 SHEET 128 4월2주차+국판1차_(분리)BAT관리 SHEET 159 7월1주차+국판1차_Telcel 손익" xfId="14497"/>
    <cellStyle name="7_041221_단가계약파일_(분리)BAT관리 SHEET 128 4월2주차+국판1차_(분리)BAT관리 SHEET 159 7월1주차+국판1차_Telcel 손익_TEM 2010 Q2 Volume_Forecast" xfId="14498"/>
    <cellStyle name="7_041221_단가계약파일_(분리)BAT관리 SHEET 128 4월2주차+국판1차_(분리)BAT관리 SHEET 159 7월1주차+국판1차_TEM 2010 1Q 2nd offer preparation v1_091026" xfId="14499"/>
    <cellStyle name="7_041221_단가계약파일_(분리)BAT관리 SHEET 128 4월2주차+국판1차_(분리)BAT관리 SHEET 159 7월1주차+국판1차_TEM 2010 1Q 2nd offer preparation v1_091026_100122 전마팀장 보고 자료" xfId="14500"/>
    <cellStyle name="7_041221_단가계약파일_(분리)BAT관리 SHEET 128 4월2주차+국판1차_(분리)BAT관리 SHEET 159 7월1주차+국판1차_TEM 2010 1Q 2nd offer preparation v1_091026_수식포함" xfId="14501"/>
    <cellStyle name="7_041221_단가계약파일_(분리)BAT관리 SHEET 128 4월2주차+국판1차_(분리)BAT관리 SHEET 159 7월1주차+국판1차_TEM 2010 1Q 2nd offer preparation v1_091027" xfId="14502"/>
    <cellStyle name="7_041221_단가계약파일_(분리)BAT관리 SHEET 128 4월2주차+국판1차_(분리)BAT관리 SHEET 159 7월1주차+국판1차_TEM 2010 1Q 2nd offer preparation v1_091027_100122 전마팀장 보고 자료" xfId="14503"/>
    <cellStyle name="7_041221_단가계약파일_(분리)BAT관리 SHEET 128 4월2주차+국판1차_(분리)BAT관리 SHEET 159 7월1주차+국판1차_TEM 2010 1Q 2nd offer preparation v1_091027_수식포함" xfId="14504"/>
    <cellStyle name="7_041221_단가계약파일_(분리)BAT관리 SHEET 128 4월2주차+국판1차_(분리)BAT관리 SHEET 159 7월1주차+국판1차_TEM 2010 1Q 2nd offer preparation(손익시뮬)_091027" xfId="14505"/>
    <cellStyle name="7_041221_단가계약파일_(분리)BAT관리 SHEET 128 4월2주차+국판1차_(분리)BAT관리 SHEET 159 7월1주차+국판1차_TEM 2010 1Q 2nd offer preparation(손익시뮬)_091027_TEM 2010 Q2 Volume_Forecast" xfId="14506"/>
    <cellStyle name="7_041221_단가계약파일_(분리)BAT관리 SHEET 128 4월2주차+국판1차_(분리)BAT관리 SHEET 159 7월1주차+국판1차_TEM 2010 1Q offer preparation v1_090916" xfId="14507"/>
    <cellStyle name="7_041221_단가계약파일_(분리)BAT관리 SHEET 128 4월2주차+국판1차_(분리)BAT관리 SHEET 159 7월1주차+국판1차_TEM 2010 1Q offer preparation v1_090916_100122 전마팀장 보고 자료" xfId="14508"/>
    <cellStyle name="7_041221_단가계약파일_(분리)BAT관리 SHEET 128 4월2주차+국판1차_(분리)BAT관리 SHEET 159 7월1주차+국판1차_TEM 2010 1Q offer preparation v1_090916_TEM 2010 1Q offer final v3_090929" xfId="14509"/>
    <cellStyle name="7_041221_단가계약파일_(분리)BAT관리 SHEET 128 4월2주차+국판1차_(분리)BAT관리 SHEET 159 7월1주차+국판1차_TEM 2010 1Q offer preparation v1_090916_TEM 2010 1Q offer final v3_090929_TEM 2010 Q2 Volume_Forecast" xfId="14510"/>
    <cellStyle name="7_041221_단가계약파일_(분리)BAT관리 SHEET 128 4월2주차+국판1차_(분리)BAT관리 SHEET 159 7월1주차+국판1차_TEM 2010 1Q offer preparation v1_090916_TEM 2010 1Q offer final v3_091005" xfId="14511"/>
    <cellStyle name="7_041221_단가계약파일_(분리)BAT관리 SHEET 128 4월2주차+국판1차_(분리)BAT관리 SHEET 159 7월1주차+국판1차_TEM 2010 1Q offer preparation v1_090916_TEM 2010 1Q offer final v3_091005_TEM 2010 Q2 Volume_Forecast" xfId="14512"/>
    <cellStyle name="7_041221_단가계약파일_(분리)BAT관리 SHEET 128 4월2주차+국판1차_(분리)BAT관리 SHEET 159 7월1주차+국판1차_TEM 2010 1Q offer preparation v1_090916_TEM 2010 1Q offer_091006" xfId="14513"/>
    <cellStyle name="7_041221_단가계약파일_(분리)BAT관리 SHEET 128 4월2주차+국판1차_(분리)BAT관리 SHEET 159 7월1주차+국판1차_TEM 2010 1Q offer preparation v1_090916_TEM 2010 1Q offer_091006_TEM 2010 Q2 Volume_Forecast" xfId="14514"/>
    <cellStyle name="7_041221_단가계약파일_(분리)BAT관리 SHEET 128 4월2주차+국판1차_(분리)BAT관리 SHEET 159 7월1주차+국판1차_TEM 2010 1Q offer preparation v1_090916_TEM 2010 1Q offer_091014" xfId="14515"/>
    <cellStyle name="7_041221_단가계약파일_(분리)BAT관리 SHEET 128 4월2주차+국판1차_(분리)BAT관리 SHEET 159 7월1주차+국판1차_TEM 2010 1Q offer preparation v1_090916_TEM 2010 1Q offer_091014_TEM 2010 Q2 Volume_Forecast" xfId="14516"/>
    <cellStyle name="7_041221_단가계약파일_(분리)BAT관리 SHEET 128 4월2주차+국판1차_(분리)BAT관리 SHEET 159 7월1주차+국판1차_TEM 2010 1Q offer preparation v1_090916_TEM 2010 1Q offer_091015" xfId="14517"/>
    <cellStyle name="7_041221_단가계약파일_(분리)BAT관리 SHEET 128 4월2주차+국판1차_(분리)BAT관리 SHEET 159 7월1주차+국판1차_TEM 2010 1Q offer preparation v1_090916_TEM 2010 1Q offer_091015_TEM 2010 Q2 Volume_Forecast" xfId="14518"/>
    <cellStyle name="7_041221_단가계약파일_(분리)BAT관리 SHEET 128 4월2주차+국판1차_(분리)BAT관리 SHEET 159 7월1주차+국판1차_TEM 2010 1Q offer preparation v1_090916_TEM 2010 Q2 Volume_Forecast" xfId="14519"/>
    <cellStyle name="7_041221_단가계약파일_(분리)BAT관리 SHEET 128 4월2주차+국판1차_(분리)BAT관리 SHEET 159 7월1주차+국판1차_TEM 2010 1Q offer preparation v1_090916_수식포함" xfId="14520"/>
    <cellStyle name="7_041221_단가계약파일_(분리)BAT관리 SHEET 128 4월2주차+국판1차_(분리)BAT관리 SHEET 159 7월1주차+국판1차_TEM 2010 1Q offer preparation v3_090917" xfId="14521"/>
    <cellStyle name="7_041221_단가계약파일_(분리)BAT관리 SHEET 128 4월2주차+국판1차_(분리)BAT관리 SHEET 159 7월1주차+국판1차_TEM 2010 1Q offer preparation v3_090917_100122 전마팀장 보고 자료" xfId="14522"/>
    <cellStyle name="7_041221_단가계약파일_(분리)BAT관리 SHEET 128 4월2주차+국판1차_(분리)BAT관리 SHEET 159 7월1주차+국판1차_TEM 2010 1Q offer preparation v3_090917_TEM 2010 1Q offer final v3_090929" xfId="14523"/>
    <cellStyle name="7_041221_단가계약파일_(분리)BAT관리 SHEET 128 4월2주차+국판1차_(분리)BAT관리 SHEET 159 7월1주차+국판1차_TEM 2010 1Q offer preparation v3_090917_TEM 2010 1Q offer final v3_090929_TEM 2010 Q2 Volume_Forecast" xfId="14524"/>
    <cellStyle name="7_041221_단가계약파일_(분리)BAT관리 SHEET 128 4월2주차+국판1차_(분리)BAT관리 SHEET 159 7월1주차+국판1차_TEM 2010 1Q offer preparation v3_090917_TEM 2010 1Q offer final v3_091005" xfId="14525"/>
    <cellStyle name="7_041221_단가계약파일_(분리)BAT관리 SHEET 128 4월2주차+국판1차_(분리)BAT관리 SHEET 159 7월1주차+국판1차_TEM 2010 1Q offer preparation v3_090917_TEM 2010 1Q offer final v3_091005_TEM 2010 Q2 Volume_Forecast" xfId="14526"/>
    <cellStyle name="7_041221_단가계약파일_(분리)BAT관리 SHEET 128 4월2주차+국판1차_(분리)BAT관리 SHEET 159 7월1주차+국판1차_TEM 2010 1Q offer preparation v3_090917_TEM 2010 1Q offer_091006" xfId="14527"/>
    <cellStyle name="7_041221_단가계약파일_(분리)BAT관리 SHEET 128 4월2주차+국판1차_(분리)BAT관리 SHEET 159 7월1주차+국판1차_TEM 2010 1Q offer preparation v3_090917_TEM 2010 1Q offer_091006_TEM 2010 Q2 Volume_Forecast" xfId="14528"/>
    <cellStyle name="7_041221_단가계약파일_(분리)BAT관리 SHEET 128 4월2주차+국판1차_(분리)BAT관리 SHEET 159 7월1주차+국판1차_TEM 2010 1Q offer preparation v3_090917_TEM 2010 1Q offer_091014" xfId="14529"/>
    <cellStyle name="7_041221_단가계약파일_(분리)BAT관리 SHEET 128 4월2주차+국판1차_(분리)BAT관리 SHEET 159 7월1주차+국판1차_TEM 2010 1Q offer preparation v3_090917_TEM 2010 1Q offer_091014_TEM 2010 Q2 Volume_Forecast" xfId="14530"/>
    <cellStyle name="7_041221_단가계약파일_(분리)BAT관리 SHEET 128 4월2주차+국판1차_(분리)BAT관리 SHEET 159 7월1주차+국판1차_TEM 2010 1Q offer preparation v3_090917_TEM 2010 1Q offer_091015" xfId="14531"/>
    <cellStyle name="7_041221_단가계약파일_(분리)BAT관리 SHEET 128 4월2주차+국판1차_(분리)BAT관리 SHEET 159 7월1주차+국판1차_TEM 2010 1Q offer preparation v3_090917_TEM 2010 1Q offer_091015_TEM 2010 Q2 Volume_Forecast" xfId="14532"/>
    <cellStyle name="7_041221_단가계약파일_(분리)BAT관리 SHEET 128 4월2주차+국판1차_(분리)BAT관리 SHEET 159 7월1주차+국판1차_TEM 2010 1Q offer preparation v3_090917_TEM 2010 Q2 Volume_Forecast" xfId="14533"/>
    <cellStyle name="7_041221_단가계약파일_(분리)BAT관리 SHEET 128 4월2주차+국판1차_(분리)BAT관리 SHEET 159 7월1주차+국판1차_TEM 2010 1Q offer preparation v3_090917_수식포함" xfId="14534"/>
    <cellStyle name="7_041221_단가계약파일_(분리)BAT관리 SHEET 128 4월2주차+국판1차_(분리)BAT관리 SHEET 159 7월1주차+국판1차_TEM 2010 Q2 Volume_Forecast" xfId="14535"/>
    <cellStyle name="7_041221_단가계약파일_(분리)BAT관리 SHEET 128 4월2주차+국판1차_(분리)BAT관리 SHEET 159 7월1주차+국판1차_수식포함" xfId="14536"/>
    <cellStyle name="7_041221_단가계약파일_(분리)BAT관리 SHEET 128 4월2주차+국판1차_(분리)BAT관리 SHEET 159 7월1주차+국판1차_이랜텍" xfId="14537"/>
    <cellStyle name="7_041221_단가계약파일_(분리)BAT관리 SHEET 128 4월2주차+국판1차_(분리)BAT관리 SHEET 159 7월1주차+국판1차_이랜텍_100122 전마팀장 보고 자료" xfId="14538"/>
    <cellStyle name="7_041221_단가계약파일_(분리)BAT관리 SHEET 128 4월2주차+국판1차_(분리)BAT관리 SHEET 159 7월1주차+국판1차_이랜텍_10Q1 2차 가격안(시뮬레이션)_OH변경후_2" xfId="14539"/>
    <cellStyle name="7_041221_단가계약파일_(분리)BAT관리 SHEET 128 4월2주차+국판1차_(분리)BAT관리 SHEET 159 7월1주차+국판1차_이랜텍_10Q1 2차 가격안(시뮬레이션)_OH변경후_2_TEM 2010 Q2 Volume_Forecast" xfId="14540"/>
    <cellStyle name="7_041221_단가계약파일_(분리)BAT관리 SHEET 128 4월2주차+국판1차_(분리)BAT관리 SHEET 159 7월1주차+국판1차_이랜텍_10Q1 TEM 가격 물량 안(영업)_경쟁사가격포함" xfId="14541"/>
    <cellStyle name="7_041221_단가계약파일_(분리)BAT관리 SHEET 128 4월2주차+국판1차_(분리)BAT관리 SHEET 159 7월1주차+국판1차_이랜텍_10Q1 TEM 가격 물량 안(영업)_경쟁사가격포함_100122 전마팀장 보고 자료" xfId="14542"/>
    <cellStyle name="7_041221_단가계약파일_(분리)BAT관리 SHEET 128 4월2주차+국판1차_(분리)BAT관리 SHEET 159 7월1주차+국판1차_이랜텍_10Q1 TEM 가격 물량 안(영업)_경쟁사가격포함_수식포함" xfId="14543"/>
    <cellStyle name="7_041221_단가계약파일_(분리)BAT관리 SHEET 128 4월2주차+국판1차_(분리)BAT관리 SHEET 159 7월1주차+국판1차_이랜텍_Rate" xfId="14544"/>
    <cellStyle name="7_041221_단가계약파일_(분리)BAT관리 SHEET 128 4월2주차+국판1차_(분리)BAT관리 SHEET 159 7월1주차+국판1차_이랜텍_Rate_TEM 2010 Q2 Volume_Forecast" xfId="14545"/>
    <cellStyle name="7_041221_단가계약파일_(분리)BAT관리 SHEET 128 4월2주차+국판1차_(분리)BAT관리 SHEET 159 7월1주차+국판1차_이랜텍_Telcel 손익" xfId="14546"/>
    <cellStyle name="7_041221_단가계약파일_(분리)BAT관리 SHEET 128 4월2주차+국판1차_(분리)BAT관리 SHEET 159 7월1주차+국판1차_이랜텍_Telcel 손익_TEM 2010 Q2 Volume_Forecast" xfId="14547"/>
    <cellStyle name="7_041221_단가계약파일_(분리)BAT관리 SHEET 128 4월2주차+국판1차_(분리)BAT관리 SHEET 159 7월1주차+국판1차_이랜텍_TEM 2010 1Q 2nd offer preparation v1_091026" xfId="14548"/>
    <cellStyle name="7_041221_단가계약파일_(분리)BAT관리 SHEET 128 4월2주차+국판1차_(분리)BAT관리 SHEET 159 7월1주차+국판1차_이랜텍_TEM 2010 1Q 2nd offer preparation v1_091026_100122 전마팀장 보고 자료" xfId="14549"/>
    <cellStyle name="7_041221_단가계약파일_(분리)BAT관리 SHEET 128 4월2주차+국판1차_(분리)BAT관리 SHEET 159 7월1주차+국판1차_이랜텍_TEM 2010 1Q 2nd offer preparation v1_091026_수식포함" xfId="14550"/>
    <cellStyle name="7_041221_단가계약파일_(분리)BAT관리 SHEET 128 4월2주차+국판1차_(분리)BAT관리 SHEET 159 7월1주차+국판1차_이랜텍_TEM 2010 1Q 2nd offer preparation v1_091027" xfId="14551"/>
    <cellStyle name="7_041221_단가계약파일_(분리)BAT관리 SHEET 128 4월2주차+국판1차_(분리)BAT관리 SHEET 159 7월1주차+국판1차_이랜텍_TEM 2010 1Q 2nd offer preparation v1_091027_100122 전마팀장 보고 자료" xfId="14552"/>
    <cellStyle name="7_041221_단가계약파일_(분리)BAT관리 SHEET 128 4월2주차+국판1차_(분리)BAT관리 SHEET 159 7월1주차+국판1차_이랜텍_TEM 2010 1Q 2nd offer preparation v1_091027_수식포함" xfId="14553"/>
    <cellStyle name="7_041221_단가계약파일_(분리)BAT관리 SHEET 128 4월2주차+국판1차_(분리)BAT관리 SHEET 159 7월1주차+국판1차_이랜텍_TEM 2010 1Q 2nd offer preparation(손익시뮬)_091027" xfId="14554"/>
    <cellStyle name="7_041221_단가계약파일_(분리)BAT관리 SHEET 128 4월2주차+국판1차_(분리)BAT관리 SHEET 159 7월1주차+국판1차_이랜텍_TEM 2010 1Q 2nd offer preparation(손익시뮬)_091027_TEM 2010 Q2 Volume_Forecast" xfId="14555"/>
    <cellStyle name="7_041221_단가계약파일_(분리)BAT관리 SHEET 128 4월2주차+국판1차_(분리)BAT관리 SHEET 159 7월1주차+국판1차_이랜텍_TEM 2010 1Q offer preparation v1_090916" xfId="14556"/>
    <cellStyle name="7_041221_단가계약파일_(분리)BAT관리 SHEET 128 4월2주차+국판1차_(분리)BAT관리 SHEET 159 7월1주차+국판1차_이랜텍_TEM 2010 1Q offer preparation v1_090916_100122 전마팀장 보고 자료" xfId="14557"/>
    <cellStyle name="7_041221_단가계약파일_(분리)BAT관리 SHEET 128 4월2주차+국판1차_(분리)BAT관리 SHEET 159 7월1주차+국판1차_이랜텍_TEM 2010 1Q offer preparation v1_090916_TEM 2010 1Q offer final v3_090929" xfId="14558"/>
    <cellStyle name="7_041221_단가계약파일_(분리)BAT관리 SHEET 128 4월2주차+국판1차_(분리)BAT관리 SHEET 159 7월1주차+국판1차_이랜텍_TEM 2010 1Q offer preparation v1_090916_TEM 2010 1Q offer final v3_090929_TEM 2010 Q2 Volume_Forecast" xfId="14559"/>
    <cellStyle name="7_041221_단가계약파일_(분리)BAT관리 SHEET 128 4월2주차+국판1차_(분리)BAT관리 SHEET 159 7월1주차+국판1차_이랜텍_TEM 2010 1Q offer preparation v1_090916_TEM 2010 1Q offer final v3_091005" xfId="14560"/>
    <cellStyle name="7_041221_단가계약파일_(분리)BAT관리 SHEET 128 4월2주차+국판1차_(분리)BAT관리 SHEET 159 7월1주차+국판1차_이랜텍_TEM 2010 1Q offer preparation v1_090916_TEM 2010 1Q offer final v3_091005_TEM 2010 Q2 Volume_Forecast" xfId="14561"/>
    <cellStyle name="7_041221_단가계약파일_(분리)BAT관리 SHEET 128 4월2주차+국판1차_(분리)BAT관리 SHEET 159 7월1주차+국판1차_이랜텍_TEM 2010 1Q offer preparation v1_090916_TEM 2010 1Q offer_091006" xfId="14562"/>
    <cellStyle name="7_041221_단가계약파일_(분리)BAT관리 SHEET 128 4월2주차+국판1차_(분리)BAT관리 SHEET 159 7월1주차+국판1차_이랜텍_TEM 2010 1Q offer preparation v1_090916_TEM 2010 1Q offer_091006_TEM 2010 Q2 Volume_Forecast" xfId="14563"/>
    <cellStyle name="7_041221_단가계약파일_(분리)BAT관리 SHEET 128 4월2주차+국판1차_(분리)BAT관리 SHEET 159 7월1주차+국판1차_이랜텍_TEM 2010 1Q offer preparation v1_090916_TEM 2010 1Q offer_091014" xfId="14564"/>
    <cellStyle name="7_041221_단가계약파일_(분리)BAT관리 SHEET 128 4월2주차+국판1차_(분리)BAT관리 SHEET 159 7월1주차+국판1차_이랜텍_TEM 2010 1Q offer preparation v1_090916_TEM 2010 1Q offer_091014_TEM 2010 Q2 Volume_Forecast" xfId="14565"/>
    <cellStyle name="7_041221_단가계약파일_(분리)BAT관리 SHEET 128 4월2주차+국판1차_(분리)BAT관리 SHEET 159 7월1주차+국판1차_이랜텍_TEM 2010 1Q offer preparation v1_090916_TEM 2010 1Q offer_091015" xfId="14566"/>
    <cellStyle name="7_041221_단가계약파일_(분리)BAT관리 SHEET 128 4월2주차+국판1차_(분리)BAT관리 SHEET 159 7월1주차+국판1차_이랜텍_TEM 2010 1Q offer preparation v1_090916_TEM 2010 1Q offer_091015_TEM 2010 Q2 Volume_Forecast" xfId="14567"/>
    <cellStyle name="7_041221_단가계약파일_(분리)BAT관리 SHEET 128 4월2주차+국판1차_(분리)BAT관리 SHEET 159 7월1주차+국판1차_이랜텍_TEM 2010 1Q offer preparation v1_090916_TEM 2010 Q2 Volume_Forecast" xfId="14568"/>
    <cellStyle name="7_041221_단가계약파일_(분리)BAT관리 SHEET 128 4월2주차+국판1차_(분리)BAT관리 SHEET 159 7월1주차+국판1차_이랜텍_TEM 2010 1Q offer preparation v1_090916_수식포함" xfId="14569"/>
    <cellStyle name="7_041221_단가계약파일_(분리)BAT관리 SHEET 128 4월2주차+국판1차_(분리)BAT관리 SHEET 159 7월1주차+국판1차_이랜텍_TEM 2010 1Q offer preparation v3_090917" xfId="14570"/>
    <cellStyle name="7_041221_단가계약파일_(분리)BAT관리 SHEET 128 4월2주차+국판1차_(분리)BAT관리 SHEET 159 7월1주차+국판1차_이랜텍_TEM 2010 1Q offer preparation v3_090917_100122 전마팀장 보고 자료" xfId="14571"/>
    <cellStyle name="7_041221_단가계약파일_(분리)BAT관리 SHEET 128 4월2주차+국판1차_(분리)BAT관리 SHEET 159 7월1주차+국판1차_이랜텍_TEM 2010 1Q offer preparation v3_090917_TEM 2010 1Q offer final v3_090929" xfId="14572"/>
    <cellStyle name="7_041221_단가계약파일_(분리)BAT관리 SHEET 128 4월2주차+국판1차_(분리)BAT관리 SHEET 159 7월1주차+국판1차_이랜텍_TEM 2010 1Q offer preparation v3_090917_TEM 2010 1Q offer final v3_090929_TEM 2010 Q2 Volume_Forecast" xfId="14573"/>
    <cellStyle name="7_041221_단가계약파일_(분리)BAT관리 SHEET 128 4월2주차+국판1차_(분리)BAT관리 SHEET 159 7월1주차+국판1차_이랜텍_TEM 2010 1Q offer preparation v3_090917_TEM 2010 1Q offer final v3_091005" xfId="14574"/>
    <cellStyle name="7_041221_단가계약파일_(분리)BAT관리 SHEET 128 4월2주차+국판1차_(분리)BAT관리 SHEET 159 7월1주차+국판1차_이랜텍_TEM 2010 1Q offer preparation v3_090917_TEM 2010 1Q offer final v3_091005_TEM 2010 Q2 Volume_Forecast" xfId="14575"/>
    <cellStyle name="7_041221_단가계약파일_(분리)BAT관리 SHEET 128 4월2주차+국판1차_(분리)BAT관리 SHEET 159 7월1주차+국판1차_이랜텍_TEM 2010 1Q offer preparation v3_090917_TEM 2010 1Q offer_091006" xfId="14576"/>
    <cellStyle name="7_041221_단가계약파일_(분리)BAT관리 SHEET 128 4월2주차+국판1차_(분리)BAT관리 SHEET 159 7월1주차+국판1차_이랜텍_TEM 2010 1Q offer preparation v3_090917_TEM 2010 1Q offer_091006_TEM 2010 Q2 Volume_Forecast" xfId="14577"/>
    <cellStyle name="7_041221_단가계약파일_(분리)BAT관리 SHEET 128 4월2주차+국판1차_(분리)BAT관리 SHEET 159 7월1주차+국판1차_이랜텍_TEM 2010 1Q offer preparation v3_090917_TEM 2010 1Q offer_091014" xfId="14578"/>
    <cellStyle name="7_041221_단가계약파일_(분리)BAT관리 SHEET 128 4월2주차+국판1차_(분리)BAT관리 SHEET 159 7월1주차+국판1차_이랜텍_TEM 2010 1Q offer preparation v3_090917_TEM 2010 1Q offer_091014_TEM 2010 Q2 Volume_Forecast" xfId="14579"/>
    <cellStyle name="7_041221_단가계약파일_(분리)BAT관리 SHEET 128 4월2주차+국판1차_(분리)BAT관리 SHEET 159 7월1주차+국판1차_이랜텍_TEM 2010 1Q offer preparation v3_090917_TEM 2010 1Q offer_091015" xfId="14580"/>
    <cellStyle name="7_041221_단가계약파일_(분리)BAT관리 SHEET 128 4월2주차+국판1차_(분리)BAT관리 SHEET 159 7월1주차+국판1차_이랜텍_TEM 2010 1Q offer preparation v3_090917_TEM 2010 1Q offer_091015_TEM 2010 Q2 Volume_Forecast" xfId="14581"/>
    <cellStyle name="7_041221_단가계약파일_(분리)BAT관리 SHEET 128 4월2주차+국판1차_(분리)BAT관리 SHEET 159 7월1주차+국판1차_이랜텍_TEM 2010 1Q offer preparation v3_090917_TEM 2010 Q2 Volume_Forecast" xfId="14582"/>
    <cellStyle name="7_041221_단가계약파일_(분리)BAT관리 SHEET 128 4월2주차+국판1차_(분리)BAT관리 SHEET 159 7월1주차+국판1차_이랜텍_TEM 2010 1Q offer preparation v3_090917_수식포함" xfId="14583"/>
    <cellStyle name="7_041221_단가계약파일_(분리)BAT관리 SHEET 128 4월2주차+국판1차_(분리)BAT관리 SHEET 159 7월1주차+국판1차_이랜텍_TEM 2010 Q2 Volume_Forecast" xfId="14584"/>
    <cellStyle name="7_041221_단가계약파일_(분리)BAT관리 SHEET 128 4월2주차+국판1차_(분리)BAT관리 SHEET 159 7월1주차+국판1차_이랜텍_수식포함" xfId="14585"/>
    <cellStyle name="7_041221_단가계약파일_(분리)BAT관리 SHEET 128 4월2주차+국판1차_100122 전마팀장 보고 자료" xfId="14586"/>
    <cellStyle name="7_041221_단가계약파일_(분리)BAT관리 SHEET 128 4월2주차+국판1차_10Q1 2차 가격안(시뮬레이션)_OH변경후_2" xfId="14587"/>
    <cellStyle name="7_041221_단가계약파일_(분리)BAT관리 SHEET 128 4월2주차+국판1차_10Q1 2차 가격안(시뮬레이션)_OH변경후_2_TEM 2010 Q2 Volume_Forecast" xfId="14588"/>
    <cellStyle name="7_041221_단가계약파일_(분리)BAT관리 SHEET 128 4월2주차+국판1차_10Q1 TEM 가격 물량 안(영업)_경쟁사가격포함" xfId="14589"/>
    <cellStyle name="7_041221_단가계약파일_(분리)BAT관리 SHEET 128 4월2주차+국판1차_10Q1 TEM 가격 물량 안(영업)_경쟁사가격포함_100122 전마팀장 보고 자료" xfId="14590"/>
    <cellStyle name="7_041221_단가계약파일_(분리)BAT관리 SHEET 128 4월2주차+국판1차_10Q1 TEM 가격 물량 안(영업)_경쟁사가격포함_수식포함" xfId="14591"/>
    <cellStyle name="7_041221_단가계약파일_(분리)BAT관리 SHEET 128 4월2주차+국판1차_Rate" xfId="14592"/>
    <cellStyle name="7_041221_단가계약파일_(분리)BAT관리 SHEET 128 4월2주차+국판1차_Rate_TEM 2010 Q2 Volume_Forecast" xfId="14593"/>
    <cellStyle name="7_041221_단가계약파일_(분리)BAT관리 SHEET 128 4월2주차+국판1차_Telcel 손익" xfId="14594"/>
    <cellStyle name="7_041221_단가계약파일_(분리)BAT관리 SHEET 128 4월2주차+국판1차_Telcel 손익_TEM 2010 Q2 Volume_Forecast" xfId="14595"/>
    <cellStyle name="7_041221_단가계약파일_(분리)BAT관리 SHEET 128 4월2주차+국판1차_TEM 2010 1Q 2nd offer preparation v1_091026" xfId="14596"/>
    <cellStyle name="7_041221_단가계약파일_(분리)BAT관리 SHEET 128 4월2주차+국판1차_TEM 2010 1Q 2nd offer preparation v1_091026_100122 전마팀장 보고 자료" xfId="14597"/>
    <cellStyle name="7_041221_단가계약파일_(분리)BAT관리 SHEET 128 4월2주차+국판1차_TEM 2010 1Q 2nd offer preparation v1_091026_수식포함" xfId="14598"/>
    <cellStyle name="7_041221_단가계약파일_(분리)BAT관리 SHEET 128 4월2주차+국판1차_TEM 2010 1Q 2nd offer preparation v1_091027" xfId="14599"/>
    <cellStyle name="7_041221_단가계약파일_(분리)BAT관리 SHEET 128 4월2주차+국판1차_TEM 2010 1Q 2nd offer preparation v1_091027_100122 전마팀장 보고 자료" xfId="14600"/>
    <cellStyle name="7_041221_단가계약파일_(분리)BAT관리 SHEET 128 4월2주차+국판1차_TEM 2010 1Q 2nd offer preparation v1_091027_수식포함" xfId="14601"/>
    <cellStyle name="7_041221_단가계약파일_(분리)BAT관리 SHEET 128 4월2주차+국판1차_TEM 2010 1Q 2nd offer preparation(손익시뮬)_091027" xfId="14602"/>
    <cellStyle name="7_041221_단가계약파일_(분리)BAT관리 SHEET 128 4월2주차+국판1차_TEM 2010 1Q 2nd offer preparation(손익시뮬)_091027_TEM 2010 Q2 Volume_Forecast" xfId="14603"/>
    <cellStyle name="7_041221_단가계약파일_(분리)BAT관리 SHEET 128 4월2주차+국판1차_TEM 2010 1Q offer preparation v1_090916" xfId="14604"/>
    <cellStyle name="7_041221_단가계약파일_(분리)BAT관리 SHEET 128 4월2주차+국판1차_TEM 2010 1Q offer preparation v1_090916_100122 전마팀장 보고 자료" xfId="14605"/>
    <cellStyle name="7_041221_단가계약파일_(분리)BAT관리 SHEET 128 4월2주차+국판1차_TEM 2010 1Q offer preparation v1_090916_TEM 2010 1Q offer final v3_090929" xfId="14606"/>
    <cellStyle name="7_041221_단가계약파일_(분리)BAT관리 SHEET 128 4월2주차+국판1차_TEM 2010 1Q offer preparation v1_090916_TEM 2010 1Q offer final v3_090929_TEM 2010 Q2 Volume_Forecast" xfId="14607"/>
    <cellStyle name="7_041221_단가계약파일_(분리)BAT관리 SHEET 128 4월2주차+국판1차_TEM 2010 1Q offer preparation v1_090916_TEM 2010 1Q offer final v3_091005" xfId="14608"/>
    <cellStyle name="7_041221_단가계약파일_(분리)BAT관리 SHEET 128 4월2주차+국판1차_TEM 2010 1Q offer preparation v1_090916_TEM 2010 1Q offer final v3_091005_TEM 2010 Q2 Volume_Forecast" xfId="14609"/>
    <cellStyle name="7_041221_단가계약파일_(분리)BAT관리 SHEET 128 4월2주차+국판1차_TEM 2010 1Q offer preparation v1_090916_TEM 2010 1Q offer_091006" xfId="14610"/>
    <cellStyle name="7_041221_단가계약파일_(분리)BAT관리 SHEET 128 4월2주차+국판1차_TEM 2010 1Q offer preparation v1_090916_TEM 2010 1Q offer_091006_TEM 2010 Q2 Volume_Forecast" xfId="14611"/>
    <cellStyle name="7_041221_단가계약파일_(분리)BAT관리 SHEET 128 4월2주차+국판1차_TEM 2010 1Q offer preparation v1_090916_TEM 2010 1Q offer_091014" xfId="14612"/>
    <cellStyle name="7_041221_단가계약파일_(분리)BAT관리 SHEET 128 4월2주차+국판1차_TEM 2010 1Q offer preparation v1_090916_TEM 2010 1Q offer_091014_TEM 2010 Q2 Volume_Forecast" xfId="14613"/>
    <cellStyle name="7_041221_단가계약파일_(분리)BAT관리 SHEET 128 4월2주차+국판1차_TEM 2010 1Q offer preparation v1_090916_TEM 2010 1Q offer_091015" xfId="14614"/>
    <cellStyle name="7_041221_단가계약파일_(분리)BAT관리 SHEET 128 4월2주차+국판1차_TEM 2010 1Q offer preparation v1_090916_TEM 2010 1Q offer_091015_TEM 2010 Q2 Volume_Forecast" xfId="14615"/>
    <cellStyle name="7_041221_단가계약파일_(분리)BAT관리 SHEET 128 4월2주차+국판1차_TEM 2010 1Q offer preparation v1_090916_TEM 2010 Q2 Volume_Forecast" xfId="14616"/>
    <cellStyle name="7_041221_단가계약파일_(분리)BAT관리 SHEET 128 4월2주차+국판1차_TEM 2010 1Q offer preparation v1_090916_수식포함" xfId="14617"/>
    <cellStyle name="7_041221_단가계약파일_(분리)BAT관리 SHEET 128 4월2주차+국판1차_TEM 2010 1Q offer preparation v3_090917" xfId="14618"/>
    <cellStyle name="7_041221_단가계약파일_(분리)BAT관리 SHEET 128 4월2주차+국판1차_TEM 2010 1Q offer preparation v3_090917_100122 전마팀장 보고 자료" xfId="14619"/>
    <cellStyle name="7_041221_단가계약파일_(분리)BAT관리 SHEET 128 4월2주차+국판1차_TEM 2010 1Q offer preparation v3_090917_TEM 2010 1Q offer final v3_090929" xfId="14620"/>
    <cellStyle name="7_041221_단가계약파일_(분리)BAT관리 SHEET 128 4월2주차+국판1차_TEM 2010 1Q offer preparation v3_090917_TEM 2010 1Q offer final v3_090929_TEM 2010 Q2 Volume_Forecast" xfId="14621"/>
    <cellStyle name="7_041221_단가계약파일_(분리)BAT관리 SHEET 128 4월2주차+국판1차_TEM 2010 1Q offer preparation v3_090917_TEM 2010 1Q offer final v3_091005" xfId="14622"/>
    <cellStyle name="7_041221_단가계약파일_(분리)BAT관리 SHEET 128 4월2주차+국판1차_TEM 2010 1Q offer preparation v3_090917_TEM 2010 1Q offer final v3_091005_TEM 2010 Q2 Volume_Forecast" xfId="14623"/>
    <cellStyle name="7_041221_단가계약파일_(분리)BAT관리 SHEET 128 4월2주차+국판1차_TEM 2010 1Q offer preparation v3_090917_TEM 2010 1Q offer_091006" xfId="14624"/>
    <cellStyle name="7_041221_단가계약파일_(분리)BAT관리 SHEET 128 4월2주차+국판1차_TEM 2010 1Q offer preparation v3_090917_TEM 2010 1Q offer_091006_TEM 2010 Q2 Volume_Forecast" xfId="14625"/>
    <cellStyle name="7_041221_단가계약파일_(분리)BAT관리 SHEET 128 4월2주차+국판1차_TEM 2010 1Q offer preparation v3_090917_TEM 2010 1Q offer_091014" xfId="14626"/>
    <cellStyle name="7_041221_단가계약파일_(분리)BAT관리 SHEET 128 4월2주차+국판1차_TEM 2010 1Q offer preparation v3_090917_TEM 2010 1Q offer_091014_TEM 2010 Q2 Volume_Forecast" xfId="14627"/>
    <cellStyle name="7_041221_단가계약파일_(분리)BAT관리 SHEET 128 4월2주차+국판1차_TEM 2010 1Q offer preparation v3_090917_TEM 2010 1Q offer_091015" xfId="14628"/>
    <cellStyle name="7_041221_단가계약파일_(분리)BAT관리 SHEET 128 4월2주차+국판1차_TEM 2010 1Q offer preparation v3_090917_TEM 2010 1Q offer_091015_TEM 2010 Q2 Volume_Forecast" xfId="14629"/>
    <cellStyle name="7_041221_단가계약파일_(분리)BAT관리 SHEET 128 4월2주차+국판1차_TEM 2010 1Q offer preparation v3_090917_TEM 2010 Q2 Volume_Forecast" xfId="14630"/>
    <cellStyle name="7_041221_단가계약파일_(분리)BAT관리 SHEET 128 4월2주차+국판1차_TEM 2010 1Q offer preparation v3_090917_수식포함" xfId="14631"/>
    <cellStyle name="7_041221_단가계약파일_(분리)BAT관리 SHEET 128 4월2주차+국판1차_TEM 2010 Q2 Volume_Forecast" xfId="14632"/>
    <cellStyle name="7_041221_단가계약파일_(분리)BAT관리 SHEET 128 4월2주차+국판1차_W2100 현황보고" xfId="14633"/>
    <cellStyle name="7_041221_단가계약파일_(분리)BAT관리 SHEET 128 4월2주차+국판1차_W2100 현황보고_100122 전마팀장 보고 자료" xfId="14634"/>
    <cellStyle name="7_041221_단가계약파일_(분리)BAT관리 SHEET 128 4월2주차+국판1차_W2100 현황보고_10Q1 2차 가격안(시뮬레이션)_OH변경후_2" xfId="14635"/>
    <cellStyle name="7_041221_단가계약파일_(분리)BAT관리 SHEET 128 4월2주차+국판1차_W2100 현황보고_10Q1 2차 가격안(시뮬레이션)_OH변경후_2_TEM 2010 Q2 Volume_Forecast" xfId="14636"/>
    <cellStyle name="7_041221_단가계약파일_(분리)BAT관리 SHEET 128 4월2주차+국판1차_W2100 현황보고_10Q1 TEM 가격 물량 안(영업)_경쟁사가격포함" xfId="14637"/>
    <cellStyle name="7_041221_단가계약파일_(분리)BAT관리 SHEET 128 4월2주차+국판1차_W2100 현황보고_10Q1 TEM 가격 물량 안(영업)_경쟁사가격포함_100122 전마팀장 보고 자료" xfId="14638"/>
    <cellStyle name="7_041221_단가계약파일_(분리)BAT관리 SHEET 128 4월2주차+국판1차_W2100 현황보고_10Q1 TEM 가격 물량 안(영업)_경쟁사가격포함_수식포함" xfId="14639"/>
    <cellStyle name="7_041221_단가계약파일_(분리)BAT관리 SHEET 128 4월2주차+국판1차_W2100 현황보고_Rate" xfId="14640"/>
    <cellStyle name="7_041221_단가계약파일_(분리)BAT관리 SHEET 128 4월2주차+국판1차_W2100 현황보고_Rate_TEM 2010 Q2 Volume_Forecast" xfId="14641"/>
    <cellStyle name="7_041221_단가계약파일_(분리)BAT관리 SHEET 128 4월2주차+국판1차_W2100 현황보고_Telcel 손익" xfId="14642"/>
    <cellStyle name="7_041221_단가계약파일_(분리)BAT관리 SHEET 128 4월2주차+국판1차_W2100 현황보고_Telcel 손익_TEM 2010 Q2 Volume_Forecast" xfId="14643"/>
    <cellStyle name="7_041221_단가계약파일_(분리)BAT관리 SHEET 128 4월2주차+국판1차_W2100 현황보고_TEM 2010 1Q 2nd offer preparation v1_091026" xfId="14644"/>
    <cellStyle name="7_041221_단가계약파일_(분리)BAT관리 SHEET 128 4월2주차+국판1차_W2100 현황보고_TEM 2010 1Q 2nd offer preparation v1_091026_100122 전마팀장 보고 자료" xfId="14645"/>
    <cellStyle name="7_041221_단가계약파일_(분리)BAT관리 SHEET 128 4월2주차+국판1차_W2100 현황보고_TEM 2010 1Q 2nd offer preparation v1_091026_수식포함" xfId="14646"/>
    <cellStyle name="7_041221_단가계약파일_(분리)BAT관리 SHEET 128 4월2주차+국판1차_W2100 현황보고_TEM 2010 1Q 2nd offer preparation v1_091027" xfId="14647"/>
    <cellStyle name="7_041221_단가계약파일_(분리)BAT관리 SHEET 128 4월2주차+국판1차_W2100 현황보고_TEM 2010 1Q 2nd offer preparation v1_091027_100122 전마팀장 보고 자료" xfId="14648"/>
    <cellStyle name="7_041221_단가계약파일_(분리)BAT관리 SHEET 128 4월2주차+국판1차_W2100 현황보고_TEM 2010 1Q 2nd offer preparation v1_091027_수식포함" xfId="14649"/>
    <cellStyle name="7_041221_단가계약파일_(분리)BAT관리 SHEET 128 4월2주차+국판1차_W2100 현황보고_TEM 2010 1Q 2nd offer preparation(손익시뮬)_091027" xfId="14650"/>
    <cellStyle name="7_041221_단가계약파일_(분리)BAT관리 SHEET 128 4월2주차+국판1차_W2100 현황보고_TEM 2010 1Q 2nd offer preparation(손익시뮬)_091027_TEM 2010 Q2 Volume_Forecast" xfId="14651"/>
    <cellStyle name="7_041221_단가계약파일_(분리)BAT관리 SHEET 128 4월2주차+국판1차_W2100 현황보고_TEM 2010 1Q offer preparation v1_090916" xfId="14652"/>
    <cellStyle name="7_041221_단가계약파일_(분리)BAT관리 SHEET 128 4월2주차+국판1차_W2100 현황보고_TEM 2010 1Q offer preparation v1_090916_100122 전마팀장 보고 자료" xfId="14653"/>
    <cellStyle name="7_041221_단가계약파일_(분리)BAT관리 SHEET 128 4월2주차+국판1차_W2100 현황보고_TEM 2010 1Q offer preparation v1_090916_TEM 2010 1Q offer final v3_090929" xfId="14654"/>
    <cellStyle name="7_041221_단가계약파일_(분리)BAT관리 SHEET 128 4월2주차+국판1차_W2100 현황보고_TEM 2010 1Q offer preparation v1_090916_TEM 2010 1Q offer final v3_090929_TEM 2010 Q2 Volume_Forecast" xfId="14655"/>
    <cellStyle name="7_041221_단가계약파일_(분리)BAT관리 SHEET 128 4월2주차+국판1차_W2100 현황보고_TEM 2010 1Q offer preparation v1_090916_TEM 2010 1Q offer final v3_091005" xfId="14656"/>
    <cellStyle name="7_041221_단가계약파일_(분리)BAT관리 SHEET 128 4월2주차+국판1차_W2100 현황보고_TEM 2010 1Q offer preparation v1_090916_TEM 2010 1Q offer final v3_091005_TEM 2010 Q2 Volume_Forecast" xfId="14657"/>
    <cellStyle name="7_041221_단가계약파일_(분리)BAT관리 SHEET 128 4월2주차+국판1차_W2100 현황보고_TEM 2010 1Q offer preparation v1_090916_TEM 2010 1Q offer_091006" xfId="14658"/>
    <cellStyle name="7_041221_단가계약파일_(분리)BAT관리 SHEET 128 4월2주차+국판1차_W2100 현황보고_TEM 2010 1Q offer preparation v1_090916_TEM 2010 1Q offer_091006_TEM 2010 Q2 Volume_Forecast" xfId="14659"/>
    <cellStyle name="7_041221_단가계약파일_(분리)BAT관리 SHEET 128 4월2주차+국판1차_W2100 현황보고_TEM 2010 1Q offer preparation v1_090916_TEM 2010 1Q offer_091014" xfId="14660"/>
    <cellStyle name="7_041221_단가계약파일_(분리)BAT관리 SHEET 128 4월2주차+국판1차_W2100 현황보고_TEM 2010 1Q offer preparation v1_090916_TEM 2010 1Q offer_091014_TEM 2010 Q2 Volume_Forecast" xfId="14661"/>
    <cellStyle name="7_041221_단가계약파일_(분리)BAT관리 SHEET 128 4월2주차+국판1차_W2100 현황보고_TEM 2010 1Q offer preparation v1_090916_TEM 2010 1Q offer_091015" xfId="14662"/>
    <cellStyle name="7_041221_단가계약파일_(분리)BAT관리 SHEET 128 4월2주차+국판1차_W2100 현황보고_TEM 2010 1Q offer preparation v1_090916_TEM 2010 1Q offer_091015_TEM 2010 Q2 Volume_Forecast" xfId="14663"/>
    <cellStyle name="7_041221_단가계약파일_(분리)BAT관리 SHEET 128 4월2주차+국판1차_W2100 현황보고_TEM 2010 1Q offer preparation v1_090916_TEM 2010 Q2 Volume_Forecast" xfId="14664"/>
    <cellStyle name="7_041221_단가계약파일_(분리)BAT관리 SHEET 128 4월2주차+국판1차_W2100 현황보고_TEM 2010 1Q offer preparation v1_090916_수식포함" xfId="14665"/>
    <cellStyle name="7_041221_단가계약파일_(분리)BAT관리 SHEET 128 4월2주차+국판1차_W2100 현황보고_TEM 2010 1Q offer preparation v3_090917" xfId="14666"/>
    <cellStyle name="7_041221_단가계약파일_(분리)BAT관리 SHEET 128 4월2주차+국판1차_W2100 현황보고_TEM 2010 1Q offer preparation v3_090917_100122 전마팀장 보고 자료" xfId="14667"/>
    <cellStyle name="7_041221_단가계약파일_(분리)BAT관리 SHEET 128 4월2주차+국판1차_W2100 현황보고_TEM 2010 1Q offer preparation v3_090917_TEM 2010 1Q offer final v3_090929" xfId="14668"/>
    <cellStyle name="7_041221_단가계약파일_(분리)BAT관리 SHEET 128 4월2주차+국판1차_W2100 현황보고_TEM 2010 1Q offer preparation v3_090917_TEM 2010 1Q offer final v3_090929_TEM 2010 Q2 Volume_Forecast" xfId="14669"/>
    <cellStyle name="7_041221_단가계약파일_(분리)BAT관리 SHEET 128 4월2주차+국판1차_W2100 현황보고_TEM 2010 1Q offer preparation v3_090917_TEM 2010 1Q offer final v3_091005" xfId="14670"/>
    <cellStyle name="7_041221_단가계약파일_(분리)BAT관리 SHEET 128 4월2주차+국판1차_W2100 현황보고_TEM 2010 1Q offer preparation v3_090917_TEM 2010 1Q offer final v3_091005_TEM 2010 Q2 Volume_Forecast" xfId="14671"/>
    <cellStyle name="7_041221_단가계약파일_(분리)BAT관리 SHEET 128 4월2주차+국판1차_W2100 현황보고_TEM 2010 1Q offer preparation v3_090917_TEM 2010 1Q offer_091006" xfId="14672"/>
    <cellStyle name="7_041221_단가계약파일_(분리)BAT관리 SHEET 128 4월2주차+국판1차_W2100 현황보고_TEM 2010 1Q offer preparation v3_090917_TEM 2010 1Q offer_091006_TEM 2010 Q2 Volume_Forecast" xfId="14673"/>
    <cellStyle name="7_041221_단가계약파일_(분리)BAT관리 SHEET 128 4월2주차+국판1차_W2100 현황보고_TEM 2010 1Q offer preparation v3_090917_TEM 2010 1Q offer_091014" xfId="14674"/>
    <cellStyle name="7_041221_단가계약파일_(분리)BAT관리 SHEET 128 4월2주차+국판1차_W2100 현황보고_TEM 2010 1Q offer preparation v3_090917_TEM 2010 1Q offer_091014_TEM 2010 Q2 Volume_Forecast" xfId="14675"/>
    <cellStyle name="7_041221_단가계약파일_(분리)BAT관리 SHEET 128 4월2주차+국판1차_W2100 현황보고_TEM 2010 1Q offer preparation v3_090917_TEM 2010 1Q offer_091015" xfId="14676"/>
    <cellStyle name="7_041221_단가계약파일_(분리)BAT관리 SHEET 128 4월2주차+국판1차_W2100 현황보고_TEM 2010 1Q offer preparation v3_090917_TEM 2010 1Q offer_091015_TEM 2010 Q2 Volume_Forecast" xfId="14677"/>
    <cellStyle name="7_041221_단가계약파일_(분리)BAT관리 SHEET 128 4월2주차+국판1차_W2100 현황보고_TEM 2010 1Q offer preparation v3_090917_TEM 2010 Q2 Volume_Forecast" xfId="14678"/>
    <cellStyle name="7_041221_단가계약파일_(분리)BAT관리 SHEET 128 4월2주차+국판1차_W2100 현황보고_TEM 2010 1Q offer preparation v3_090917_수식포함" xfId="14679"/>
    <cellStyle name="7_041221_단가계약파일_(분리)BAT관리 SHEET 128 4월2주차+국판1차_W2100 현황보고_TEM 2010 Q2 Volume_Forecast" xfId="14680"/>
    <cellStyle name="7_041221_단가계약파일_(분리)BAT관리 SHEET 128 4월2주차+국판1차_W2100 현황보고_수식포함" xfId="14681"/>
    <cellStyle name="7_041221_단가계약파일_(분리)BAT관리 SHEET 128 4월2주차+국판1차_W2100 현황보고_이랜텍" xfId="14682"/>
    <cellStyle name="7_041221_단가계약파일_(분리)BAT관리 SHEET 128 4월2주차+국판1차_W2100 현황보고_이랜텍_100122 전마팀장 보고 자료" xfId="14683"/>
    <cellStyle name="7_041221_단가계약파일_(분리)BAT관리 SHEET 128 4월2주차+국판1차_W2100 현황보고_이랜텍_10Q1 2차 가격안(시뮬레이션)_OH변경후_2" xfId="14684"/>
    <cellStyle name="7_041221_단가계약파일_(분리)BAT관리 SHEET 128 4월2주차+국판1차_W2100 현황보고_이랜텍_10Q1 2차 가격안(시뮬레이션)_OH변경후_2_TEM 2010 Q2 Volume_Forecast" xfId="14685"/>
    <cellStyle name="7_041221_단가계약파일_(분리)BAT관리 SHEET 128 4월2주차+국판1차_W2100 현황보고_이랜텍_10Q1 TEM 가격 물량 안(영업)_경쟁사가격포함" xfId="14686"/>
    <cellStyle name="7_041221_단가계약파일_(분리)BAT관리 SHEET 128 4월2주차+국판1차_W2100 현황보고_이랜텍_10Q1 TEM 가격 물량 안(영업)_경쟁사가격포함_100122 전마팀장 보고 자료" xfId="14687"/>
    <cellStyle name="7_041221_단가계약파일_(분리)BAT관리 SHEET 128 4월2주차+국판1차_W2100 현황보고_이랜텍_10Q1 TEM 가격 물량 안(영업)_경쟁사가격포함_수식포함" xfId="14688"/>
    <cellStyle name="7_041221_단가계약파일_(분리)BAT관리 SHEET 128 4월2주차+국판1차_W2100 현황보고_이랜텍_Rate" xfId="14689"/>
    <cellStyle name="7_041221_단가계약파일_(분리)BAT관리 SHEET 128 4월2주차+국판1차_W2100 현황보고_이랜텍_Rate_TEM 2010 Q2 Volume_Forecast" xfId="14690"/>
    <cellStyle name="7_041221_단가계약파일_(분리)BAT관리 SHEET 128 4월2주차+국판1차_W2100 현황보고_이랜텍_Telcel 손익" xfId="14691"/>
    <cellStyle name="7_041221_단가계약파일_(분리)BAT관리 SHEET 128 4월2주차+국판1차_W2100 현황보고_이랜텍_Telcel 손익_TEM 2010 Q2 Volume_Forecast" xfId="14692"/>
    <cellStyle name="7_041221_단가계약파일_(분리)BAT관리 SHEET 128 4월2주차+국판1차_W2100 현황보고_이랜텍_TEM 2010 1Q 2nd offer preparation v1_091026" xfId="14693"/>
    <cellStyle name="7_041221_단가계약파일_(분리)BAT관리 SHEET 128 4월2주차+국판1차_W2100 현황보고_이랜텍_TEM 2010 1Q 2nd offer preparation v1_091026_100122 전마팀장 보고 자료" xfId="14694"/>
    <cellStyle name="7_041221_단가계약파일_(분리)BAT관리 SHEET 128 4월2주차+국판1차_W2100 현황보고_이랜텍_TEM 2010 1Q 2nd offer preparation v1_091026_수식포함" xfId="14695"/>
    <cellStyle name="7_041221_단가계약파일_(분리)BAT관리 SHEET 128 4월2주차+국판1차_W2100 현황보고_이랜텍_TEM 2010 1Q 2nd offer preparation v1_091027" xfId="14696"/>
    <cellStyle name="7_041221_단가계약파일_(분리)BAT관리 SHEET 128 4월2주차+국판1차_W2100 현황보고_이랜텍_TEM 2010 1Q 2nd offer preparation v1_091027_100122 전마팀장 보고 자료" xfId="14697"/>
    <cellStyle name="7_041221_단가계약파일_(분리)BAT관리 SHEET 128 4월2주차+국판1차_W2100 현황보고_이랜텍_TEM 2010 1Q 2nd offer preparation v1_091027_수식포함" xfId="14698"/>
    <cellStyle name="7_041221_단가계약파일_(분리)BAT관리 SHEET 128 4월2주차+국판1차_W2100 현황보고_이랜텍_TEM 2010 1Q 2nd offer preparation(손익시뮬)_091027" xfId="14699"/>
    <cellStyle name="7_041221_단가계약파일_(분리)BAT관리 SHEET 128 4월2주차+국판1차_W2100 현황보고_이랜텍_TEM 2010 1Q 2nd offer preparation(손익시뮬)_091027_TEM 2010 Q2 Volume_Forecast" xfId="14700"/>
    <cellStyle name="7_041221_단가계약파일_(분리)BAT관리 SHEET 128 4월2주차+국판1차_W2100 현황보고_이랜텍_TEM 2010 1Q offer preparation v1_090916" xfId="14701"/>
    <cellStyle name="7_041221_단가계약파일_(분리)BAT관리 SHEET 128 4월2주차+국판1차_W2100 현황보고_이랜텍_TEM 2010 1Q offer preparation v1_090916_100122 전마팀장 보고 자료" xfId="14702"/>
    <cellStyle name="7_041221_단가계약파일_(분리)BAT관리 SHEET 128 4월2주차+국판1차_W2100 현황보고_이랜텍_TEM 2010 1Q offer preparation v1_090916_TEM 2010 1Q offer final v3_090929" xfId="14703"/>
    <cellStyle name="7_041221_단가계약파일_(분리)BAT관리 SHEET 128 4월2주차+국판1차_W2100 현황보고_이랜텍_TEM 2010 1Q offer preparation v1_090916_TEM 2010 1Q offer final v3_090929_TEM 2010 Q2 Volume_Forecast" xfId="14704"/>
    <cellStyle name="7_041221_단가계약파일_(분리)BAT관리 SHEET 128 4월2주차+국판1차_W2100 현황보고_이랜텍_TEM 2010 1Q offer preparation v1_090916_TEM 2010 1Q offer final v3_091005" xfId="14705"/>
    <cellStyle name="7_041221_단가계약파일_(분리)BAT관리 SHEET 128 4월2주차+국판1차_W2100 현황보고_이랜텍_TEM 2010 1Q offer preparation v1_090916_TEM 2010 1Q offer final v3_091005_TEM 2010 Q2 Volume_Forecast" xfId="14706"/>
    <cellStyle name="7_041221_단가계약파일_(분리)BAT관리 SHEET 128 4월2주차+국판1차_W2100 현황보고_이랜텍_TEM 2010 1Q offer preparation v1_090916_TEM 2010 1Q offer_091006" xfId="14707"/>
    <cellStyle name="7_041221_단가계약파일_(분리)BAT관리 SHEET 128 4월2주차+국판1차_W2100 현황보고_이랜텍_TEM 2010 1Q offer preparation v1_090916_TEM 2010 1Q offer_091006_TEM 2010 Q2 Volume_Forecast" xfId="14708"/>
    <cellStyle name="7_041221_단가계약파일_(분리)BAT관리 SHEET 128 4월2주차+국판1차_W2100 현황보고_이랜텍_TEM 2010 1Q offer preparation v1_090916_TEM 2010 1Q offer_091014" xfId="14709"/>
    <cellStyle name="7_041221_단가계약파일_(분리)BAT관리 SHEET 128 4월2주차+국판1차_W2100 현황보고_이랜텍_TEM 2010 1Q offer preparation v1_090916_TEM 2010 1Q offer_091014_TEM 2010 Q2 Volume_Forecast" xfId="14710"/>
    <cellStyle name="7_041221_단가계약파일_(분리)BAT관리 SHEET 128 4월2주차+국판1차_W2100 현황보고_이랜텍_TEM 2010 1Q offer preparation v1_090916_TEM 2010 1Q offer_091015" xfId="14711"/>
    <cellStyle name="7_041221_단가계약파일_(분리)BAT관리 SHEET 128 4월2주차+국판1차_W2100 현황보고_이랜텍_TEM 2010 1Q offer preparation v1_090916_TEM 2010 1Q offer_091015_TEM 2010 Q2 Volume_Forecast" xfId="14712"/>
    <cellStyle name="7_041221_단가계약파일_(분리)BAT관리 SHEET 128 4월2주차+국판1차_W2100 현황보고_이랜텍_TEM 2010 1Q offer preparation v1_090916_TEM 2010 Q2 Volume_Forecast" xfId="14713"/>
    <cellStyle name="7_041221_단가계약파일_(분리)BAT관리 SHEET 128 4월2주차+국판1차_W2100 현황보고_이랜텍_TEM 2010 1Q offer preparation v1_090916_수식포함" xfId="14714"/>
    <cellStyle name="7_041221_단가계약파일_(분리)BAT관리 SHEET 128 4월2주차+국판1차_W2100 현황보고_이랜텍_TEM 2010 1Q offer preparation v3_090917" xfId="14715"/>
    <cellStyle name="7_041221_단가계약파일_(분리)BAT관리 SHEET 128 4월2주차+국판1차_W2100 현황보고_이랜텍_TEM 2010 1Q offer preparation v3_090917_100122 전마팀장 보고 자료" xfId="14716"/>
    <cellStyle name="7_041221_단가계약파일_(분리)BAT관리 SHEET 128 4월2주차+국판1차_W2100 현황보고_이랜텍_TEM 2010 1Q offer preparation v3_090917_TEM 2010 1Q offer final v3_090929" xfId="14717"/>
    <cellStyle name="7_041221_단가계약파일_(분리)BAT관리 SHEET 128 4월2주차+국판1차_W2100 현황보고_이랜텍_TEM 2010 1Q offer preparation v3_090917_TEM 2010 1Q offer final v3_090929_TEM 2010 Q2 Volume_Forecast" xfId="14718"/>
    <cellStyle name="7_041221_단가계약파일_(분리)BAT관리 SHEET 128 4월2주차+국판1차_W2100 현황보고_이랜텍_TEM 2010 1Q offer preparation v3_090917_TEM 2010 1Q offer final v3_091005" xfId="14719"/>
    <cellStyle name="7_041221_단가계약파일_(분리)BAT관리 SHEET 128 4월2주차+국판1차_W2100 현황보고_이랜텍_TEM 2010 1Q offer preparation v3_090917_TEM 2010 1Q offer final v3_091005_TEM 2010 Q2 Volume_Forecast" xfId="14720"/>
    <cellStyle name="7_041221_단가계약파일_(분리)BAT관리 SHEET 128 4월2주차+국판1차_W2100 현황보고_이랜텍_TEM 2010 1Q offer preparation v3_090917_TEM 2010 1Q offer_091006" xfId="14721"/>
    <cellStyle name="7_041221_단가계약파일_(분리)BAT관리 SHEET 128 4월2주차+국판1차_W2100 현황보고_이랜텍_TEM 2010 1Q offer preparation v3_090917_TEM 2010 1Q offer_091006_TEM 2010 Q2 Volume_Forecast" xfId="14722"/>
    <cellStyle name="7_041221_단가계약파일_(분리)BAT관리 SHEET 128 4월2주차+국판1차_W2100 현황보고_이랜텍_TEM 2010 1Q offer preparation v3_090917_TEM 2010 1Q offer_091014" xfId="14723"/>
    <cellStyle name="7_041221_단가계약파일_(분리)BAT관리 SHEET 128 4월2주차+국판1차_W2100 현황보고_이랜텍_TEM 2010 1Q offer preparation v3_090917_TEM 2010 1Q offer_091014_TEM 2010 Q2 Volume_Forecast" xfId="14724"/>
    <cellStyle name="7_041221_단가계약파일_(분리)BAT관리 SHEET 128 4월2주차+국판1차_W2100 현황보고_이랜텍_TEM 2010 1Q offer preparation v3_090917_TEM 2010 1Q offer_091015" xfId="14725"/>
    <cellStyle name="7_041221_단가계약파일_(분리)BAT관리 SHEET 128 4월2주차+국판1차_W2100 현황보고_이랜텍_TEM 2010 1Q offer preparation v3_090917_TEM 2010 1Q offer_091015_TEM 2010 Q2 Volume_Forecast" xfId="14726"/>
    <cellStyle name="7_041221_단가계약파일_(분리)BAT관리 SHEET 128 4월2주차+국판1차_W2100 현황보고_이랜텍_TEM 2010 1Q offer preparation v3_090917_TEM 2010 Q2 Volume_Forecast" xfId="14727"/>
    <cellStyle name="7_041221_단가계약파일_(분리)BAT관리 SHEET 128 4월2주차+국판1차_W2100 현황보고_이랜텍_TEM 2010 1Q offer preparation v3_090917_수식포함" xfId="14728"/>
    <cellStyle name="7_041221_단가계약파일_(분리)BAT관리 SHEET 128 4월2주차+국판1차_W2100 현황보고_이랜텍_TEM 2010 Q2 Volume_Forecast" xfId="14729"/>
    <cellStyle name="7_041221_단가계약파일_(분리)BAT관리 SHEET 128 4월2주차+국판1차_W2100 현황보고_이랜텍_수식포함" xfId="14730"/>
    <cellStyle name="7_041221_단가계약파일_(분리)BAT관리 SHEET 128 4월2주차+국판1차_수식포함" xfId="14731"/>
    <cellStyle name="7_041221_단가계약파일_(분리)BAT관리 SHEET 기타 2" xfId="14732"/>
    <cellStyle name="7_041221_단가계약파일_(분리)BAT관리 SHEET 기타 2_(분리)BAT관리 SHEET 158 7월1주차+국판1차" xfId="14733"/>
    <cellStyle name="7_041221_단가계약파일_(분리)BAT관리 SHEET 기타 2_(분리)BAT관리 SHEET 158 7월1주차+국판1차_100122 전마팀장 보고 자료" xfId="14734"/>
    <cellStyle name="7_041221_단가계약파일_(분리)BAT관리 SHEET 기타 2_(분리)BAT관리 SHEET 158 7월1주차+국판1차_10Q1 2차 가격안(시뮬레이션)_OH변경후_2" xfId="14735"/>
    <cellStyle name="7_041221_단가계약파일_(분리)BAT관리 SHEET 기타 2_(분리)BAT관리 SHEET 158 7월1주차+국판1차_10Q1 2차 가격안(시뮬레이션)_OH변경후_2_TEM 2010 Q2 Volume_Forecast" xfId="14736"/>
    <cellStyle name="7_041221_단가계약파일_(분리)BAT관리 SHEET 기타 2_(분리)BAT관리 SHEET 158 7월1주차+국판1차_10Q1 TEM 가격 물량 안(영업)_경쟁사가격포함" xfId="14737"/>
    <cellStyle name="7_041221_단가계약파일_(분리)BAT관리 SHEET 기타 2_(분리)BAT관리 SHEET 158 7월1주차+국판1차_10Q1 TEM 가격 물량 안(영업)_경쟁사가격포함_100122 전마팀장 보고 자료" xfId="14738"/>
    <cellStyle name="7_041221_단가계약파일_(분리)BAT관리 SHEET 기타 2_(분리)BAT관리 SHEET 158 7월1주차+국판1차_10Q1 TEM 가격 물량 안(영업)_경쟁사가격포함_수식포함" xfId="14739"/>
    <cellStyle name="7_041221_단가계약파일_(분리)BAT관리 SHEET 기타 2_(분리)BAT관리 SHEET 158 7월1주차+국판1차_Rate" xfId="14740"/>
    <cellStyle name="7_041221_단가계약파일_(분리)BAT관리 SHEET 기타 2_(분리)BAT관리 SHEET 158 7월1주차+국판1차_Rate_TEM 2010 Q2 Volume_Forecast" xfId="14741"/>
    <cellStyle name="7_041221_단가계약파일_(분리)BAT관리 SHEET 기타 2_(분리)BAT관리 SHEET 158 7월1주차+국판1차_Telcel 손익" xfId="14742"/>
    <cellStyle name="7_041221_단가계약파일_(분리)BAT관리 SHEET 기타 2_(분리)BAT관리 SHEET 158 7월1주차+국판1차_Telcel 손익_TEM 2010 Q2 Volume_Forecast" xfId="14743"/>
    <cellStyle name="7_041221_단가계약파일_(분리)BAT관리 SHEET 기타 2_(분리)BAT관리 SHEET 158 7월1주차+국판1차_TEM 2010 1Q 2nd offer preparation v1_091026" xfId="14744"/>
    <cellStyle name="7_041221_단가계약파일_(분리)BAT관리 SHEET 기타 2_(분리)BAT관리 SHEET 158 7월1주차+국판1차_TEM 2010 1Q 2nd offer preparation v1_091026_100122 전마팀장 보고 자료" xfId="14745"/>
    <cellStyle name="7_041221_단가계약파일_(분리)BAT관리 SHEET 기타 2_(분리)BAT관리 SHEET 158 7월1주차+국판1차_TEM 2010 1Q 2nd offer preparation v1_091026_수식포함" xfId="14746"/>
    <cellStyle name="7_041221_단가계약파일_(분리)BAT관리 SHEET 기타 2_(분리)BAT관리 SHEET 158 7월1주차+국판1차_TEM 2010 1Q 2nd offer preparation v1_091027" xfId="14747"/>
    <cellStyle name="7_041221_단가계약파일_(분리)BAT관리 SHEET 기타 2_(분리)BAT관리 SHEET 158 7월1주차+국판1차_TEM 2010 1Q 2nd offer preparation v1_091027_100122 전마팀장 보고 자료" xfId="14748"/>
    <cellStyle name="7_041221_단가계약파일_(분리)BAT관리 SHEET 기타 2_(분리)BAT관리 SHEET 158 7월1주차+국판1차_TEM 2010 1Q 2nd offer preparation v1_091027_수식포함" xfId="14749"/>
    <cellStyle name="7_041221_단가계약파일_(분리)BAT관리 SHEET 기타 2_(분리)BAT관리 SHEET 158 7월1주차+국판1차_TEM 2010 1Q 2nd offer preparation(손익시뮬)_091027" xfId="14750"/>
    <cellStyle name="7_041221_단가계약파일_(분리)BAT관리 SHEET 기타 2_(분리)BAT관리 SHEET 158 7월1주차+국판1차_TEM 2010 1Q 2nd offer preparation(손익시뮬)_091027_TEM 2010 Q2 Volume_Forecast" xfId="14751"/>
    <cellStyle name="7_041221_단가계약파일_(분리)BAT관리 SHEET 기타 2_(분리)BAT관리 SHEET 158 7월1주차+국판1차_TEM 2010 1Q offer preparation v1_090916" xfId="14752"/>
    <cellStyle name="7_041221_단가계약파일_(분리)BAT관리 SHEET 기타 2_(분리)BAT관리 SHEET 158 7월1주차+국판1차_TEM 2010 1Q offer preparation v1_090916_100122 전마팀장 보고 자료" xfId="14753"/>
    <cellStyle name="7_041221_단가계약파일_(분리)BAT관리 SHEET 기타 2_(분리)BAT관리 SHEET 158 7월1주차+국판1차_TEM 2010 1Q offer preparation v1_090916_TEM 2010 1Q offer final v3_090929" xfId="14754"/>
    <cellStyle name="7_041221_단가계약파일_(분리)BAT관리 SHEET 기타 2_(분리)BAT관리 SHEET 158 7월1주차+국판1차_TEM 2010 1Q offer preparation v1_090916_TEM 2010 1Q offer final v3_090929_TEM 2010 Q2 Volume_Forecast" xfId="14755"/>
    <cellStyle name="7_041221_단가계약파일_(분리)BAT관리 SHEET 기타 2_(분리)BAT관리 SHEET 158 7월1주차+국판1차_TEM 2010 1Q offer preparation v1_090916_TEM 2010 1Q offer final v3_091005" xfId="14756"/>
    <cellStyle name="7_041221_단가계약파일_(분리)BAT관리 SHEET 기타 2_(분리)BAT관리 SHEET 158 7월1주차+국판1차_TEM 2010 1Q offer preparation v1_090916_TEM 2010 1Q offer final v3_091005_TEM 2010 Q2 Volume_Forecast" xfId="14757"/>
    <cellStyle name="7_041221_단가계약파일_(분리)BAT관리 SHEET 기타 2_(분리)BAT관리 SHEET 158 7월1주차+국판1차_TEM 2010 1Q offer preparation v1_090916_TEM 2010 1Q offer_091006" xfId="14758"/>
    <cellStyle name="7_041221_단가계약파일_(분리)BAT관리 SHEET 기타 2_(분리)BAT관리 SHEET 158 7월1주차+국판1차_TEM 2010 1Q offer preparation v1_090916_TEM 2010 1Q offer_091006_TEM 2010 Q2 Volume_Forecast" xfId="14759"/>
    <cellStyle name="7_041221_단가계약파일_(분리)BAT관리 SHEET 기타 2_(분리)BAT관리 SHEET 158 7월1주차+국판1차_TEM 2010 1Q offer preparation v1_090916_TEM 2010 1Q offer_091014" xfId="14760"/>
    <cellStyle name="7_041221_단가계약파일_(분리)BAT관리 SHEET 기타 2_(분리)BAT관리 SHEET 158 7월1주차+국판1차_TEM 2010 1Q offer preparation v1_090916_TEM 2010 1Q offer_091014_TEM 2010 Q2 Volume_Forecast" xfId="14761"/>
    <cellStyle name="7_041221_단가계약파일_(분리)BAT관리 SHEET 기타 2_(분리)BAT관리 SHEET 158 7월1주차+국판1차_TEM 2010 1Q offer preparation v1_090916_TEM 2010 1Q offer_091015" xfId="14762"/>
    <cellStyle name="7_041221_단가계약파일_(분리)BAT관리 SHEET 기타 2_(분리)BAT관리 SHEET 158 7월1주차+국판1차_TEM 2010 1Q offer preparation v1_090916_TEM 2010 1Q offer_091015_TEM 2010 Q2 Volume_Forecast" xfId="14763"/>
    <cellStyle name="7_041221_단가계약파일_(분리)BAT관리 SHEET 기타 2_(분리)BAT관리 SHEET 158 7월1주차+국판1차_TEM 2010 1Q offer preparation v1_090916_TEM 2010 Q2 Volume_Forecast" xfId="14764"/>
    <cellStyle name="7_041221_단가계약파일_(분리)BAT관리 SHEET 기타 2_(분리)BAT관리 SHEET 158 7월1주차+국판1차_TEM 2010 1Q offer preparation v1_090916_수식포함" xfId="14765"/>
    <cellStyle name="7_041221_단가계약파일_(분리)BAT관리 SHEET 기타 2_(분리)BAT관리 SHEET 158 7월1주차+국판1차_TEM 2010 1Q offer preparation v3_090917" xfId="14766"/>
    <cellStyle name="7_041221_단가계약파일_(분리)BAT관리 SHEET 기타 2_(분리)BAT관리 SHEET 158 7월1주차+국판1차_TEM 2010 1Q offer preparation v3_090917_100122 전마팀장 보고 자료" xfId="14767"/>
    <cellStyle name="7_041221_단가계약파일_(분리)BAT관리 SHEET 기타 2_(분리)BAT관리 SHEET 158 7월1주차+국판1차_TEM 2010 1Q offer preparation v3_090917_TEM 2010 1Q offer final v3_090929" xfId="14768"/>
    <cellStyle name="7_041221_단가계약파일_(분리)BAT관리 SHEET 기타 2_(분리)BAT관리 SHEET 158 7월1주차+국판1차_TEM 2010 1Q offer preparation v3_090917_TEM 2010 1Q offer final v3_090929_TEM 2010 Q2 Volume_Forecast" xfId="14769"/>
    <cellStyle name="7_041221_단가계약파일_(분리)BAT관리 SHEET 기타 2_(분리)BAT관리 SHEET 158 7월1주차+국판1차_TEM 2010 1Q offer preparation v3_090917_TEM 2010 1Q offer final v3_091005" xfId="14770"/>
    <cellStyle name="7_041221_단가계약파일_(분리)BAT관리 SHEET 기타 2_(분리)BAT관리 SHEET 158 7월1주차+국판1차_TEM 2010 1Q offer preparation v3_090917_TEM 2010 1Q offer final v3_091005_TEM 2010 Q2 Volume_Forecast" xfId="14771"/>
    <cellStyle name="7_041221_단가계약파일_(분리)BAT관리 SHEET 기타 2_(분리)BAT관리 SHEET 158 7월1주차+국판1차_TEM 2010 1Q offer preparation v3_090917_TEM 2010 1Q offer_091006" xfId="14772"/>
    <cellStyle name="7_041221_단가계약파일_(분리)BAT관리 SHEET 기타 2_(분리)BAT관리 SHEET 158 7월1주차+국판1차_TEM 2010 1Q offer preparation v3_090917_TEM 2010 1Q offer_091006_TEM 2010 Q2 Volume_Forecast" xfId="14773"/>
    <cellStyle name="7_041221_단가계약파일_(분리)BAT관리 SHEET 기타 2_(분리)BAT관리 SHEET 158 7월1주차+국판1차_TEM 2010 1Q offer preparation v3_090917_TEM 2010 1Q offer_091014" xfId="14774"/>
    <cellStyle name="7_041221_단가계약파일_(분리)BAT관리 SHEET 기타 2_(분리)BAT관리 SHEET 158 7월1주차+국판1차_TEM 2010 1Q offer preparation v3_090917_TEM 2010 1Q offer_091014_TEM 2010 Q2 Volume_Forecast" xfId="14775"/>
    <cellStyle name="7_041221_단가계약파일_(분리)BAT관리 SHEET 기타 2_(분리)BAT관리 SHEET 158 7월1주차+국판1차_TEM 2010 1Q offer preparation v3_090917_TEM 2010 1Q offer_091015" xfId="14776"/>
    <cellStyle name="7_041221_단가계약파일_(분리)BAT관리 SHEET 기타 2_(분리)BAT관리 SHEET 158 7월1주차+국판1차_TEM 2010 1Q offer preparation v3_090917_TEM 2010 1Q offer_091015_TEM 2010 Q2 Volume_Forecast" xfId="14777"/>
    <cellStyle name="7_041221_단가계약파일_(분리)BAT관리 SHEET 기타 2_(분리)BAT관리 SHEET 158 7월1주차+국판1차_TEM 2010 1Q offer preparation v3_090917_TEM 2010 Q2 Volume_Forecast" xfId="14778"/>
    <cellStyle name="7_041221_단가계약파일_(분리)BAT관리 SHEET 기타 2_(분리)BAT관리 SHEET 158 7월1주차+국판1차_TEM 2010 1Q offer preparation v3_090917_수식포함" xfId="14779"/>
    <cellStyle name="7_041221_단가계약파일_(분리)BAT관리 SHEET 기타 2_(분리)BAT관리 SHEET 158 7월1주차+국판1차_TEM 2010 Q2 Volume_Forecast" xfId="14780"/>
    <cellStyle name="7_041221_단가계약파일_(분리)BAT관리 SHEET 기타 2_(분리)BAT관리 SHEET 158 7월1주차+국판1차_수식포함" xfId="14781"/>
    <cellStyle name="7_041221_단가계약파일_(분리)BAT관리 SHEET 기타 2_(분리)BAT관리 SHEET 158 7월1주차+국판1차_이랜텍" xfId="14782"/>
    <cellStyle name="7_041221_단가계약파일_(분리)BAT관리 SHEET 기타 2_(분리)BAT관리 SHEET 158 7월1주차+국판1차_이랜텍_100122 전마팀장 보고 자료" xfId="14783"/>
    <cellStyle name="7_041221_단가계약파일_(분리)BAT관리 SHEET 기타 2_(분리)BAT관리 SHEET 158 7월1주차+국판1차_이랜텍_10Q1 2차 가격안(시뮬레이션)_OH변경후_2" xfId="14784"/>
    <cellStyle name="7_041221_단가계약파일_(분리)BAT관리 SHEET 기타 2_(분리)BAT관리 SHEET 158 7월1주차+국판1차_이랜텍_10Q1 2차 가격안(시뮬레이션)_OH변경후_2_TEM 2010 Q2 Volume_Forecast" xfId="14785"/>
    <cellStyle name="7_041221_단가계약파일_(분리)BAT관리 SHEET 기타 2_(분리)BAT관리 SHEET 158 7월1주차+국판1차_이랜텍_10Q1 TEM 가격 물량 안(영업)_경쟁사가격포함" xfId="14786"/>
    <cellStyle name="7_041221_단가계약파일_(분리)BAT관리 SHEET 기타 2_(분리)BAT관리 SHEET 158 7월1주차+국판1차_이랜텍_10Q1 TEM 가격 물량 안(영업)_경쟁사가격포함_100122 전마팀장 보고 자료" xfId="14787"/>
    <cellStyle name="7_041221_단가계약파일_(분리)BAT관리 SHEET 기타 2_(분리)BAT관리 SHEET 158 7월1주차+국판1차_이랜텍_10Q1 TEM 가격 물량 안(영업)_경쟁사가격포함_수식포함" xfId="14788"/>
    <cellStyle name="7_041221_단가계약파일_(분리)BAT관리 SHEET 기타 2_(분리)BAT관리 SHEET 158 7월1주차+국판1차_이랜텍_Rate" xfId="14789"/>
    <cellStyle name="7_041221_단가계약파일_(분리)BAT관리 SHEET 기타 2_(분리)BAT관리 SHEET 158 7월1주차+국판1차_이랜텍_Rate_TEM 2010 Q2 Volume_Forecast" xfId="14790"/>
    <cellStyle name="7_041221_단가계약파일_(분리)BAT관리 SHEET 기타 2_(분리)BAT관리 SHEET 158 7월1주차+국판1차_이랜텍_Telcel 손익" xfId="14791"/>
    <cellStyle name="7_041221_단가계약파일_(분리)BAT관리 SHEET 기타 2_(분리)BAT관리 SHEET 158 7월1주차+국판1차_이랜텍_Telcel 손익_TEM 2010 Q2 Volume_Forecast" xfId="14792"/>
    <cellStyle name="7_041221_단가계약파일_(분리)BAT관리 SHEET 기타 2_(분리)BAT관리 SHEET 158 7월1주차+국판1차_이랜텍_TEM 2010 1Q 2nd offer preparation v1_091026" xfId="14793"/>
    <cellStyle name="7_041221_단가계약파일_(분리)BAT관리 SHEET 기타 2_(분리)BAT관리 SHEET 158 7월1주차+국판1차_이랜텍_TEM 2010 1Q 2nd offer preparation v1_091026_100122 전마팀장 보고 자료" xfId="14794"/>
    <cellStyle name="7_041221_단가계약파일_(분리)BAT관리 SHEET 기타 2_(분리)BAT관리 SHEET 158 7월1주차+국판1차_이랜텍_TEM 2010 1Q 2nd offer preparation v1_091026_수식포함" xfId="14795"/>
    <cellStyle name="7_041221_단가계약파일_(분리)BAT관리 SHEET 기타 2_(분리)BAT관리 SHEET 158 7월1주차+국판1차_이랜텍_TEM 2010 1Q 2nd offer preparation v1_091027" xfId="14796"/>
    <cellStyle name="7_041221_단가계약파일_(분리)BAT관리 SHEET 기타 2_(분리)BAT관리 SHEET 158 7월1주차+국판1차_이랜텍_TEM 2010 1Q 2nd offer preparation v1_091027_100122 전마팀장 보고 자료" xfId="14797"/>
    <cellStyle name="7_041221_단가계약파일_(분리)BAT관리 SHEET 기타 2_(분리)BAT관리 SHEET 158 7월1주차+국판1차_이랜텍_TEM 2010 1Q 2nd offer preparation v1_091027_수식포함" xfId="14798"/>
    <cellStyle name="7_041221_단가계약파일_(분리)BAT관리 SHEET 기타 2_(분리)BAT관리 SHEET 158 7월1주차+국판1차_이랜텍_TEM 2010 1Q 2nd offer preparation(손익시뮬)_091027" xfId="14799"/>
    <cellStyle name="7_041221_단가계약파일_(분리)BAT관리 SHEET 기타 2_(분리)BAT관리 SHEET 158 7월1주차+국판1차_이랜텍_TEM 2010 1Q 2nd offer preparation(손익시뮬)_091027_TEM 2010 Q2 Volume_Forecast" xfId="14800"/>
    <cellStyle name="7_041221_단가계약파일_(분리)BAT관리 SHEET 기타 2_(분리)BAT관리 SHEET 158 7월1주차+국판1차_이랜텍_TEM 2010 1Q offer preparation v1_090916" xfId="14801"/>
    <cellStyle name="7_041221_단가계약파일_(분리)BAT관리 SHEET 기타 2_(분리)BAT관리 SHEET 158 7월1주차+국판1차_이랜텍_TEM 2010 1Q offer preparation v1_090916_100122 전마팀장 보고 자료" xfId="14802"/>
    <cellStyle name="7_041221_단가계약파일_(분리)BAT관리 SHEET 기타 2_(분리)BAT관리 SHEET 158 7월1주차+국판1차_이랜텍_TEM 2010 1Q offer preparation v1_090916_TEM 2010 1Q offer final v3_090929" xfId="14803"/>
    <cellStyle name="7_041221_단가계약파일_(분리)BAT관리 SHEET 기타 2_(분리)BAT관리 SHEET 158 7월1주차+국판1차_이랜텍_TEM 2010 1Q offer preparation v1_090916_TEM 2010 1Q offer final v3_090929_TEM 2010 Q2 Volume_Forecast" xfId="14804"/>
    <cellStyle name="7_041221_단가계약파일_(분리)BAT관리 SHEET 기타 2_(분리)BAT관리 SHEET 158 7월1주차+국판1차_이랜텍_TEM 2010 1Q offer preparation v1_090916_TEM 2010 1Q offer final v3_091005" xfId="14805"/>
    <cellStyle name="7_041221_단가계약파일_(분리)BAT관리 SHEET 기타 2_(분리)BAT관리 SHEET 158 7월1주차+국판1차_이랜텍_TEM 2010 1Q offer preparation v1_090916_TEM 2010 1Q offer final v3_091005_TEM 2010 Q2 Volume_Forecast" xfId="14806"/>
    <cellStyle name="7_041221_단가계약파일_(분리)BAT관리 SHEET 기타 2_(분리)BAT관리 SHEET 158 7월1주차+국판1차_이랜텍_TEM 2010 1Q offer preparation v1_090916_TEM 2010 1Q offer_091006" xfId="14807"/>
    <cellStyle name="7_041221_단가계약파일_(분리)BAT관리 SHEET 기타 2_(분리)BAT관리 SHEET 158 7월1주차+국판1차_이랜텍_TEM 2010 1Q offer preparation v1_090916_TEM 2010 1Q offer_091006_TEM 2010 Q2 Volume_Forecast" xfId="14808"/>
    <cellStyle name="7_041221_단가계약파일_(분리)BAT관리 SHEET 기타 2_(분리)BAT관리 SHEET 158 7월1주차+국판1차_이랜텍_TEM 2010 1Q offer preparation v1_090916_TEM 2010 1Q offer_091014" xfId="14809"/>
    <cellStyle name="7_041221_단가계약파일_(분리)BAT관리 SHEET 기타 2_(분리)BAT관리 SHEET 158 7월1주차+국판1차_이랜텍_TEM 2010 1Q offer preparation v1_090916_TEM 2010 1Q offer_091014_TEM 2010 Q2 Volume_Forecast" xfId="14810"/>
    <cellStyle name="7_041221_단가계약파일_(분리)BAT관리 SHEET 기타 2_(분리)BAT관리 SHEET 158 7월1주차+국판1차_이랜텍_TEM 2010 1Q offer preparation v1_090916_TEM 2010 1Q offer_091015" xfId="14811"/>
    <cellStyle name="7_041221_단가계약파일_(분리)BAT관리 SHEET 기타 2_(분리)BAT관리 SHEET 158 7월1주차+국판1차_이랜텍_TEM 2010 1Q offer preparation v1_090916_TEM 2010 1Q offer_091015_TEM 2010 Q2 Volume_Forecast" xfId="14812"/>
    <cellStyle name="7_041221_단가계약파일_(분리)BAT관리 SHEET 기타 2_(분리)BAT관리 SHEET 158 7월1주차+국판1차_이랜텍_TEM 2010 1Q offer preparation v1_090916_TEM 2010 Q2 Volume_Forecast" xfId="14813"/>
    <cellStyle name="7_041221_단가계약파일_(분리)BAT관리 SHEET 기타 2_(분리)BAT관리 SHEET 158 7월1주차+국판1차_이랜텍_TEM 2010 1Q offer preparation v1_090916_수식포함" xfId="14814"/>
    <cellStyle name="7_041221_단가계약파일_(분리)BAT관리 SHEET 기타 2_(분리)BAT관리 SHEET 158 7월1주차+국판1차_이랜텍_TEM 2010 1Q offer preparation v3_090917" xfId="14815"/>
    <cellStyle name="7_041221_단가계약파일_(분리)BAT관리 SHEET 기타 2_(분리)BAT관리 SHEET 158 7월1주차+국판1차_이랜텍_TEM 2010 1Q offer preparation v3_090917_100122 전마팀장 보고 자료" xfId="14816"/>
    <cellStyle name="7_041221_단가계약파일_(분리)BAT관리 SHEET 기타 2_(분리)BAT관리 SHEET 158 7월1주차+국판1차_이랜텍_TEM 2010 1Q offer preparation v3_090917_TEM 2010 1Q offer final v3_090929" xfId="14817"/>
    <cellStyle name="7_041221_단가계약파일_(분리)BAT관리 SHEET 기타 2_(분리)BAT관리 SHEET 158 7월1주차+국판1차_이랜텍_TEM 2010 1Q offer preparation v3_090917_TEM 2010 1Q offer final v3_090929_TEM 2010 Q2 Volume_Forecast" xfId="14818"/>
    <cellStyle name="7_041221_단가계약파일_(분리)BAT관리 SHEET 기타 2_(분리)BAT관리 SHEET 158 7월1주차+국판1차_이랜텍_TEM 2010 1Q offer preparation v3_090917_TEM 2010 1Q offer final v3_091005" xfId="14819"/>
    <cellStyle name="7_041221_단가계약파일_(분리)BAT관리 SHEET 기타 2_(분리)BAT관리 SHEET 158 7월1주차+국판1차_이랜텍_TEM 2010 1Q offer preparation v3_090917_TEM 2010 1Q offer final v3_091005_TEM 2010 Q2 Volume_Forecast" xfId="14820"/>
    <cellStyle name="7_041221_단가계약파일_(분리)BAT관리 SHEET 기타 2_(분리)BAT관리 SHEET 158 7월1주차+국판1차_이랜텍_TEM 2010 1Q offer preparation v3_090917_TEM 2010 1Q offer_091006" xfId="14821"/>
    <cellStyle name="7_041221_단가계약파일_(분리)BAT관리 SHEET 기타 2_(분리)BAT관리 SHEET 158 7월1주차+국판1차_이랜텍_TEM 2010 1Q offer preparation v3_090917_TEM 2010 1Q offer_091006_TEM 2010 Q2 Volume_Forecast" xfId="14822"/>
    <cellStyle name="7_041221_단가계약파일_(분리)BAT관리 SHEET 기타 2_(분리)BAT관리 SHEET 158 7월1주차+국판1차_이랜텍_TEM 2010 1Q offer preparation v3_090917_TEM 2010 1Q offer_091014" xfId="14823"/>
    <cellStyle name="7_041221_단가계약파일_(분리)BAT관리 SHEET 기타 2_(분리)BAT관리 SHEET 158 7월1주차+국판1차_이랜텍_TEM 2010 1Q offer preparation v3_090917_TEM 2010 1Q offer_091014_TEM 2010 Q2 Volume_Forecast" xfId="14824"/>
    <cellStyle name="7_041221_단가계약파일_(분리)BAT관리 SHEET 기타 2_(분리)BAT관리 SHEET 158 7월1주차+국판1차_이랜텍_TEM 2010 1Q offer preparation v3_090917_TEM 2010 1Q offer_091015" xfId="14825"/>
    <cellStyle name="7_041221_단가계약파일_(분리)BAT관리 SHEET 기타 2_(분리)BAT관리 SHEET 158 7월1주차+국판1차_이랜텍_TEM 2010 1Q offer preparation v3_090917_TEM 2010 1Q offer_091015_TEM 2010 Q2 Volume_Forecast" xfId="14826"/>
    <cellStyle name="7_041221_단가계약파일_(분리)BAT관리 SHEET 기타 2_(분리)BAT관리 SHEET 158 7월1주차+국판1차_이랜텍_TEM 2010 1Q offer preparation v3_090917_TEM 2010 Q2 Volume_Forecast" xfId="14827"/>
    <cellStyle name="7_041221_단가계약파일_(분리)BAT관리 SHEET 기타 2_(분리)BAT관리 SHEET 158 7월1주차+국판1차_이랜텍_TEM 2010 1Q offer preparation v3_090917_수식포함" xfId="14828"/>
    <cellStyle name="7_041221_단가계약파일_(분리)BAT관리 SHEET 기타 2_(분리)BAT관리 SHEET 158 7월1주차+국판1차_이랜텍_TEM 2010 Q2 Volume_Forecast" xfId="14829"/>
    <cellStyle name="7_041221_단가계약파일_(분리)BAT관리 SHEET 기타 2_(분리)BAT관리 SHEET 158 7월1주차+국판1차_이랜텍_수식포함" xfId="14830"/>
    <cellStyle name="7_041221_단가계약파일_(분리)BAT관리 SHEET 기타 2_(분리)BAT관리 SHEET 159 7월1주차+국판1차" xfId="14831"/>
    <cellStyle name="7_041221_단가계약파일_(분리)BAT관리 SHEET 기타 2_(분리)BAT관리 SHEET 159 7월1주차+국판1차_100122 전마팀장 보고 자료" xfId="14832"/>
    <cellStyle name="7_041221_단가계약파일_(분리)BAT관리 SHEET 기타 2_(분리)BAT관리 SHEET 159 7월1주차+국판1차_10Q1 2차 가격안(시뮬레이션)_OH변경후_2" xfId="14833"/>
    <cellStyle name="7_041221_단가계약파일_(분리)BAT관리 SHEET 기타 2_(분리)BAT관리 SHEET 159 7월1주차+국판1차_10Q1 2차 가격안(시뮬레이션)_OH변경후_2_TEM 2010 Q2 Volume_Forecast" xfId="14834"/>
    <cellStyle name="7_041221_단가계약파일_(분리)BAT관리 SHEET 기타 2_(분리)BAT관리 SHEET 159 7월1주차+국판1차_10Q1 TEM 가격 물량 안(영업)_경쟁사가격포함" xfId="14835"/>
    <cellStyle name="7_041221_단가계약파일_(분리)BAT관리 SHEET 기타 2_(분리)BAT관리 SHEET 159 7월1주차+국판1차_10Q1 TEM 가격 물량 안(영업)_경쟁사가격포함_100122 전마팀장 보고 자료" xfId="14836"/>
    <cellStyle name="7_041221_단가계약파일_(분리)BAT관리 SHEET 기타 2_(분리)BAT관리 SHEET 159 7월1주차+국판1차_10Q1 TEM 가격 물량 안(영업)_경쟁사가격포함_수식포함" xfId="14837"/>
    <cellStyle name="7_041221_단가계약파일_(분리)BAT관리 SHEET 기타 2_(분리)BAT관리 SHEET 159 7월1주차+국판1차_Rate" xfId="14838"/>
    <cellStyle name="7_041221_단가계약파일_(분리)BAT관리 SHEET 기타 2_(분리)BAT관리 SHEET 159 7월1주차+국판1차_Telcel 손익" xfId="14839"/>
    <cellStyle name="7_041221_단가계약파일_(분리)BAT관리 SHEET 기타 2_(분리)BAT관리 SHEET 159 7월1주차+국판1차_TEM 2010 1Q 2nd offer preparation(손익시뮬)_091027" xfId="14840"/>
    <cellStyle name="7_041221_단가계약파일_(분리)BAT관리 SHEET 기타 2_(분리)BAT관리 SHEET 159 7월1주차+국판1차_TEM 2010 1Q offer preparation v1_090916" xfId="14841"/>
    <cellStyle name="7_041221_단가계약파일_(분리)BAT관리 SHEET 기타 2_(분리)BAT관리 SHEET 159 7월1주차+국판1차_TEM 2010 1Q offer preparation v1_090916_TEM 2010 1Q offer final v3_090929" xfId="14842"/>
    <cellStyle name="7_041221_단가계약파일_(분리)BAT관리 SHEET 기타 2_(분리)BAT관리 SHEET 159 7월1주차+국판1차_TEM 2010 1Q offer preparation v1_090916_TEM 2010 1Q offer final v3_091005" xfId="14843"/>
    <cellStyle name="7_041221_단가계약파일_(분리)BAT관리 SHEET 기타 2_(분리)BAT관리 SHEET 159 7월1주차+국판1차_TEM 2010 1Q offer preparation v1_090916_TEM 2010 1Q offer_091006" xfId="14844"/>
    <cellStyle name="7_041221_단가계약파일_(분리)BAT관리 SHEET 기타 2_(분리)BAT관리 SHEET 159 7월1주차+국판1차_TEM 2010 1Q offer preparation v1_090916_TEM 2010 1Q offer_091014" xfId="14845"/>
    <cellStyle name="7_041221_단가계약파일_(분리)BAT관리 SHEET 기타 2_(분리)BAT관리 SHEET 159 7월1주차+국판1차_TEM 2010 1Q offer preparation v1_090916_TEM 2010 1Q offer_091015" xfId="14846"/>
    <cellStyle name="7_041221_단가계약파일_(분리)BAT관리 SHEET 기타 2_(분리)BAT관리 SHEET 159 7월1주차+국판1차_TEM 2010 1Q offer preparation v3_090917" xfId="14847"/>
    <cellStyle name="7_041221_단가계약파일_(분리)BAT관리 SHEET 기타 2_(분리)BAT관리 SHEET 159 7월1주차+국판1차_TEM 2010 1Q offer preparation v3_090917_TEM 2010 1Q offer final v3_090929" xfId="14848"/>
    <cellStyle name="7_041221_단가계약파일_(분리)BAT관리 SHEET 기타 2_(분리)BAT관리 SHEET 159 7월1주차+국판1차_TEM 2010 1Q offer preparation v3_090917_TEM 2010 1Q offer final v3_091005" xfId="14849"/>
    <cellStyle name="7_041221_단가계약파일_(분리)BAT관리 SHEET 기타 2_(분리)BAT관리 SHEET 159 7월1주차+국판1차_TEM 2010 1Q offer preparation v3_090917_TEM 2010 1Q offer_091006" xfId="14850"/>
    <cellStyle name="7_041221_단가계약파일_(분리)BAT관리 SHEET 기타 2_(분리)BAT관리 SHEET 159 7월1주차+국판1차_TEM 2010 1Q offer preparation v3_090917_TEM 2010 1Q offer_091014" xfId="14851"/>
    <cellStyle name="7_041221_단가계약파일_(분리)BAT관리 SHEET 기타 2_(분리)BAT관리 SHEET 159 7월1주차+국판1차_TEM 2010 1Q offer preparation v3_090917_TEM 2010 1Q offer_091015" xfId="14852"/>
    <cellStyle name="7_041221_단가계약파일_(분리)BAT관리 SHEET 기타 2_(분리)BAT관리 SHEET 159 7월1주차+국판1차_수식포함" xfId="14853"/>
    <cellStyle name="7_041221_단가계약파일_(분리)BAT관리 SHEET 기타 2_(분리)BAT관리 SHEET 159 7월1주차+국판1차_이랜텍" xfId="14854"/>
    <cellStyle name="7_041221_단가계약파일_(분리)BAT관리 SHEET 기타 2_(분리)BAT관리 SHEET 159 7월1주차+국판1차_이랜텍_100122 전마팀장 보고 자료" xfId="14855"/>
    <cellStyle name="7_041221_단가계약파일_(분리)BAT관리 SHEET 기타 2_(분리)BAT관리 SHEET 159 7월1주차+국판1차_이랜텍_10Q1 2차 가격안(시뮬레이션)_OH변경후_2" xfId="14856"/>
    <cellStyle name="7_041221_단가계약파일_(분리)BAT관리 SHEET 기타 2_(분리)BAT관리 SHEET 159 7월1주차+국판1차_이랜텍_10Q1 2차 가격안(시뮬레이션)_OH변경후_2_TEM 2010 Q2 Volume_Forecast" xfId="14857"/>
    <cellStyle name="7_041221_단가계약파일_(분리)BAT관리 SHEET 기타 2_(분리)BAT관리 SHEET 159 7월1주차+국판1차_이랜텍_10Q1 TEM 가격 물량 안(영업)_경쟁사가격포함" xfId="14858"/>
    <cellStyle name="7_041221_단가계약파일_(분리)BAT관리 SHEET 기타 2_(분리)BAT관리 SHEET 159 7월1주차+국판1차_이랜텍_10Q1 TEM 가격 물량 안(영업)_경쟁사가격포함_100122 전마팀장 보고 자료" xfId="14859"/>
    <cellStyle name="7_041221_단가계약파일_(분리)BAT관리 SHEET 기타 2_(분리)BAT관리 SHEET 159 7월1주차+국판1차_이랜텍_10Q1 TEM 가격 물량 안(영업)_경쟁사가격포함_수식포함" xfId="14860"/>
    <cellStyle name="7_041221_단가계약파일_(분리)BAT관리 SHEET 기타 2_(분리)BAT관리 SHEET 159 7월1주차+국판1차_이랜텍_Rate" xfId="14861"/>
    <cellStyle name="7_041221_단가계약파일_(분리)BAT관리 SHEET 기타 2_(분리)BAT관리 SHEET 159 7월1주차+국판1차_이랜텍_Rate_TEM 2010 Q2 Volume_Forecast" xfId="14862"/>
    <cellStyle name="7_041221_단가계약파일_(분리)BAT관리 SHEET 기타 2_(분리)BAT관리 SHEET 159 7월1주차+국판1차_이랜텍_Telcel 손익" xfId="14863"/>
    <cellStyle name="7_041221_단가계약파일_(분리)BAT관리 SHEET 기타 2_(분리)BAT관리 SHEET 159 7월1주차+국판1차_이랜텍_Telcel 손익_TEM 2010 Q2 Volume_Forecast" xfId="14864"/>
    <cellStyle name="7_041221_단가계약파일_(분리)BAT관리 SHEET 기타 2_(분리)BAT관리 SHEET 159 7월1주차+국판1차_이랜텍_TEM 2010 1Q 2nd offer preparation v1_091026" xfId="14865"/>
    <cellStyle name="7_041221_단가계약파일_(분리)BAT관리 SHEET 기타 2_(분리)BAT관리 SHEET 159 7월1주차+국판1차_이랜텍_TEM 2010 1Q 2nd offer preparation v1_091026_100122 전마팀장 보고 자료" xfId="14866"/>
    <cellStyle name="7_041221_단가계약파일_(분리)BAT관리 SHEET 기타 2_(분리)BAT관리 SHEET 159 7월1주차+국판1차_이랜텍_TEM 2010 1Q 2nd offer preparation v1_091026_수식포함" xfId="14867"/>
    <cellStyle name="7_041221_단가계약파일_(분리)BAT관리 SHEET 기타 2_(분리)BAT관리 SHEET 159 7월1주차+국판1차_이랜텍_TEM 2010 1Q 2nd offer preparation v1_091027" xfId="14868"/>
    <cellStyle name="7_041221_단가계약파일_(분리)BAT관리 SHEET 기타 2_(분리)BAT관리 SHEET 159 7월1주차+국판1차_이랜텍_TEM 2010 1Q 2nd offer preparation v1_091027_100122 전마팀장 보고 자료" xfId="14869"/>
    <cellStyle name="7_041221_단가계약파일_(분리)BAT관리 SHEET 기타 2_(분리)BAT관리 SHEET 159 7월1주차+국판1차_이랜텍_TEM 2010 1Q 2nd offer preparation v1_091027_수식포함" xfId="14870"/>
    <cellStyle name="7_041221_단가계약파일_(분리)BAT관리 SHEET 기타 2_(분리)BAT관리 SHEET 159 7월1주차+국판1차_이랜텍_TEM 2010 1Q 2nd offer preparation(손익시뮬)_091027" xfId="14871"/>
    <cellStyle name="7_041221_단가계약파일_(분리)BAT관리 SHEET 기타 2_(분리)BAT관리 SHEET 159 7월1주차+국판1차_이랜텍_TEM 2010 1Q 2nd offer preparation(손익시뮬)_091027_TEM 2010 Q2 Volume_Forecast" xfId="14872"/>
    <cellStyle name="7_041221_단가계약파일_(분리)BAT관리 SHEET 기타 2_(분리)BAT관리 SHEET 159 7월1주차+국판1차_이랜텍_TEM 2010 1Q offer preparation v1_090916" xfId="14873"/>
    <cellStyle name="7_041221_단가계약파일_(분리)BAT관리 SHEET 기타 2_(분리)BAT관리 SHEET 159 7월1주차+국판1차_이랜텍_TEM 2010 1Q offer preparation v1_090916_100122 전마팀장 보고 자료" xfId="14874"/>
    <cellStyle name="7_041221_단가계약파일_(분리)BAT관리 SHEET 기타 2_(분리)BAT관리 SHEET 159 7월1주차+국판1차_이랜텍_TEM 2010 1Q offer preparation v1_090916_TEM 2010 1Q offer final v3_090929" xfId="14875"/>
    <cellStyle name="7_041221_단가계약파일_(분리)BAT관리 SHEET 기타 2_(분리)BAT관리 SHEET 159 7월1주차+국판1차_이랜텍_TEM 2010 1Q offer preparation v1_090916_TEM 2010 1Q offer final v3_090929_TEM 2010 Q2 Volume_Forecast" xfId="14876"/>
    <cellStyle name="7_041221_단가계약파일_(분리)BAT관리 SHEET 기타 2_(분리)BAT관리 SHEET 159 7월1주차+국판1차_이랜텍_TEM 2010 1Q offer preparation v1_090916_TEM 2010 1Q offer final v3_091005" xfId="14877"/>
    <cellStyle name="7_041221_단가계약파일_(분리)BAT관리 SHEET 기타 2_(분리)BAT관리 SHEET 159 7월1주차+국판1차_이랜텍_TEM 2010 1Q offer preparation v1_090916_TEM 2010 1Q offer final v3_091005_TEM 2010 Q2 Volume_Forecast" xfId="14878"/>
    <cellStyle name="7_041221_단가계약파일_(분리)BAT관리 SHEET 기타 2_(분리)BAT관리 SHEET 159 7월1주차+국판1차_이랜텍_TEM 2010 1Q offer preparation v1_090916_TEM 2010 1Q offer_091006" xfId="14879"/>
    <cellStyle name="7_041221_단가계약파일_(분리)BAT관리 SHEET 기타 2_(분리)BAT관리 SHEET 159 7월1주차+국판1차_이랜텍_TEM 2010 1Q offer preparation v1_090916_TEM 2010 1Q offer_091006_TEM 2010 Q2 Volume_Forecast" xfId="14880"/>
    <cellStyle name="7_041221_단가계약파일_(분리)BAT관리 SHEET 기타 2_(분리)BAT관리 SHEET 159 7월1주차+국판1차_이랜텍_TEM 2010 1Q offer preparation v1_090916_TEM 2010 1Q offer_091014" xfId="14881"/>
    <cellStyle name="7_041221_단가계약파일_(분리)BAT관리 SHEET 기타 2_(분리)BAT관리 SHEET 159 7월1주차+국판1차_이랜텍_TEM 2010 1Q offer preparation v1_090916_TEM 2010 1Q offer_091014_TEM 2010 Q2 Volume_Forecast" xfId="14882"/>
    <cellStyle name="7_041221_단가계약파일_(분리)BAT관리 SHEET 기타 2_(분리)BAT관리 SHEET 159 7월1주차+국판1차_이랜텍_TEM 2010 1Q offer preparation v1_090916_TEM 2010 1Q offer_091015" xfId="14883"/>
    <cellStyle name="7_041221_단가계약파일_(분리)BAT관리 SHEET 기타 2_(분리)BAT관리 SHEET 159 7월1주차+국판1차_이랜텍_TEM 2010 1Q offer preparation v1_090916_TEM 2010 1Q offer_091015_TEM 2010 Q2 Volume_Forecast" xfId="14884"/>
    <cellStyle name="7_041221_단가계약파일_(분리)BAT관리 SHEET 기타 2_(분리)BAT관리 SHEET 159 7월1주차+국판1차_이랜텍_TEM 2010 1Q offer preparation v1_090916_TEM 2010 Q2 Volume_Forecast" xfId="14885"/>
    <cellStyle name="7_041221_단가계약파일_(분리)BAT관리 SHEET 기타 2_(분리)BAT관리 SHEET 159 7월1주차+국판1차_이랜텍_TEM 2010 1Q offer preparation v1_090916_수식포함" xfId="14886"/>
    <cellStyle name="7_041221_단가계약파일_(분리)BAT관리 SHEET 기타 2_(분리)BAT관리 SHEET 159 7월1주차+국판1차_이랜텍_TEM 2010 1Q offer preparation v3_090917" xfId="14887"/>
    <cellStyle name="7_041221_단가계약파일_(분리)BAT관리 SHEET 기타 2_(분리)BAT관리 SHEET 159 7월1주차+국판1차_이랜텍_TEM 2010 1Q offer preparation v3_090917_TEM 2010 1Q offer final v3_090929" xfId="14888"/>
    <cellStyle name="7_041221_단가계약파일_(분리)BAT관리 SHEET 기타 2_(분리)BAT관리 SHEET 159 7월1주차+국판1차_이랜텍_TEM 2010 1Q offer preparation v3_090917_TEM 2010 1Q offer final v3_091005" xfId="14889"/>
    <cellStyle name="7_041221_단가계약파일_(분리)BAT관리 SHEET 기타 2_(분리)BAT관리 SHEET 159 7월1주차+국판1차_이랜텍_TEM 2010 1Q offer preparation v3_090917_TEM 2010 1Q offer_091006" xfId="14890"/>
    <cellStyle name="7_041221_단가계약파일_(분리)BAT관리 SHEET 기타 2_(분리)BAT관리 SHEET 159 7월1주차+국판1차_이랜텍_TEM 2010 1Q offer preparation v3_090917_TEM 2010 1Q offer_091014" xfId="14891"/>
    <cellStyle name="7_041221_단가계약파일_(분리)BAT관리 SHEET 기타 2_(분리)BAT관리 SHEET 159 7월1주차+국판1차_이랜텍_TEM 2010 1Q offer preparation v3_090917_TEM 2010 1Q offer_091015" xfId="14892"/>
    <cellStyle name="7_041221_단가계약파일_(분리)BAT관리 SHEET 기타 2_(분리)BAT관리 SHEET 159 7월1주차+국판1차_이랜텍_수식포함" xfId="14893"/>
    <cellStyle name="7_041221_단가계약파일_(분리)BAT관리 SHEET 기타 2_10Q1 2차 가격안(시뮬레이션)_OH변경후_2" xfId="14894"/>
    <cellStyle name="7_041221_단가계약파일_(분리)BAT관리 SHEET 기타 2_Rate" xfId="14895"/>
    <cellStyle name="7_041221_단가계약파일_(분리)BAT관리 SHEET 기타 2_Telcel 손익" xfId="14896"/>
    <cellStyle name="7_041221_단가계약파일_(분리)BAT관리 SHEET 기타 2_TEM 2010 1Q 2nd offer preparation(손익시뮬)_091027" xfId="14897"/>
    <cellStyle name="7_041221_단가계약파일_(분리)BAT관리 SHEET 기타 2_TEM 2010 1Q offer preparation v1_090916" xfId="14898"/>
    <cellStyle name="7_041221_단가계약파일_(분리)BAT관리 SHEET 기타 2_TEM 2010 1Q offer preparation v1_090916_TEM 2010 1Q offer final v3_090929" xfId="14899"/>
    <cellStyle name="7_041221_단가계약파일_(분리)BAT관리 SHEET 기타 2_TEM 2010 1Q offer preparation v1_090916_TEM 2010 1Q offer final v3_091005" xfId="14900"/>
    <cellStyle name="7_041221_단가계약파일_(분리)BAT관리 SHEET 기타 2_TEM 2010 1Q offer preparation v1_090916_TEM 2010 1Q offer_091006" xfId="14901"/>
    <cellStyle name="7_041221_단가계약파일_(분리)BAT관리 SHEET 기타 2_TEM 2010 1Q offer preparation v1_090916_TEM 2010 1Q offer_091014" xfId="14902"/>
    <cellStyle name="7_041221_단가계약파일_(분리)BAT관리 SHEET 기타 2_TEM 2010 1Q offer preparation v1_090916_TEM 2010 1Q offer_091015" xfId="14903"/>
    <cellStyle name="7_041221_단가계약파일_(분리)BAT관리 SHEET 기타 2_TEM 2010 1Q offer preparation v3_090917" xfId="14904"/>
    <cellStyle name="7_041221_단가계약파일_(분리)BAT관리 SHEET 기타 2_TEM 2010 1Q offer preparation v3_090917_TEM 2010 1Q offer final v3_090929" xfId="14905"/>
    <cellStyle name="7_041221_단가계약파일_(분리)BAT관리 SHEET 기타 2_TEM 2010 1Q offer preparation v3_090917_TEM 2010 1Q offer final v3_091005" xfId="14906"/>
    <cellStyle name="7_041221_단가계약파일_(분리)BAT관리 SHEET 기타 2_TEM 2010 1Q offer preparation v3_090917_TEM 2010 1Q offer_091006" xfId="14907"/>
    <cellStyle name="7_041221_단가계약파일_(분리)BAT관리 SHEET 기타 2_TEM 2010 1Q offer preparation v3_090917_TEM 2010 1Q offer_091014" xfId="14908"/>
    <cellStyle name="7_041221_단가계약파일_(분리)BAT관리 SHEET 기타 2_TEM 2010 1Q offer preparation v3_090917_TEM 2010 1Q offer_091015" xfId="14909"/>
    <cellStyle name="7_041221_단가계약파일_(분리)BAT관리 SHEET 기타 2_W2100 현황보고" xfId="14910"/>
    <cellStyle name="7_041221_단가계약파일_(분리)BAT관리 SHEET 기타 2_W2100 현황보고_10Q1 2차 가격안(시뮬레이션)_OH변경후_2" xfId="14911"/>
    <cellStyle name="7_041221_단가계약파일_(분리)BAT관리 SHEET 기타 2_W2100 현황보고_Rate" xfId="14912"/>
    <cellStyle name="7_041221_단가계약파일_(분리)BAT관리 SHEET 기타 2_W2100 현황보고_Telcel 손익" xfId="14913"/>
    <cellStyle name="7_041221_단가계약파일_(분리)BAT관리 SHEET 기타 2_W2100 현황보고_TEM 2010 1Q 2nd offer preparation(손익시뮬)_091027" xfId="14914"/>
    <cellStyle name="7_041221_단가계약파일_(분리)BAT관리 SHEET 기타 2_W2100 현황보고_TEM 2010 1Q offer preparation v1_090916" xfId="14915"/>
    <cellStyle name="7_041221_단가계약파일_(분리)BAT관리 SHEET 기타 2_W2100 현황보고_TEM 2010 1Q offer preparation v1_090916_TEM 2010 1Q offer final v3_090929" xfId="14916"/>
    <cellStyle name="7_041221_단가계약파일_(분리)BAT관리 SHEET 기타 2_W2100 현황보고_TEM 2010 1Q offer preparation v1_090916_TEM 2010 1Q offer final v3_091005" xfId="14917"/>
    <cellStyle name="7_041221_단가계약파일_(분리)BAT관리 SHEET 기타 2_W2100 현황보고_TEM 2010 1Q offer preparation v1_090916_TEM 2010 1Q offer_091006" xfId="14918"/>
    <cellStyle name="7_041221_단가계약파일_(분리)BAT관리 SHEET 기타 2_W2100 현황보고_TEM 2010 1Q offer preparation v1_090916_TEM 2010 1Q offer_091014" xfId="14919"/>
    <cellStyle name="7_041221_단가계약파일_(분리)BAT관리 SHEET 기타 2_W2100 현황보고_TEM 2010 1Q offer preparation v1_090916_TEM 2010 1Q offer_091015" xfId="14920"/>
    <cellStyle name="7_041221_단가계약파일_(분리)BAT관리 SHEET 기타 2_W2100 현황보고_TEM 2010 1Q offer preparation v3_090917" xfId="14921"/>
    <cellStyle name="7_041221_단가계약파일_(분리)BAT관리 SHEET 기타 2_W2100 현황보고_TEM 2010 1Q offer preparation v3_090917_TEM 2010 1Q offer final v3_090929" xfId="14922"/>
    <cellStyle name="7_041221_단가계약파일_(분리)BAT관리 SHEET 기타 2_W2100 현황보고_TEM 2010 1Q offer preparation v3_090917_TEM 2010 1Q offer final v3_091005" xfId="14923"/>
    <cellStyle name="7_041221_단가계약파일_(분리)BAT관리 SHEET 기타 2_W2100 현황보고_TEM 2010 1Q offer preparation v3_090917_TEM 2010 1Q offer_091006" xfId="14924"/>
    <cellStyle name="7_041221_단가계약파일_(분리)BAT관리 SHEET 기타 2_W2100 현황보고_TEM 2010 1Q offer preparation v3_090917_TEM 2010 1Q offer_091014" xfId="14925"/>
    <cellStyle name="7_041221_단가계약파일_(분리)BAT관리 SHEET 기타 2_W2100 현황보고_TEM 2010 1Q offer preparation v3_090917_TEM 2010 1Q offer_091015" xfId="14926"/>
    <cellStyle name="7_041221_단가계약파일_(분리)BAT관리 SHEET 기타 2_W2100 현황보고_이랜텍" xfId="14927"/>
    <cellStyle name="7_041221_단가계약파일_(분리)BAT관리 SHEET 기타 2_W2100 현황보고_이랜텍_10Q1 2차 가격안(시뮬레이션)_OH변경후_2" xfId="14928"/>
    <cellStyle name="7_041221_단가계약파일_(분리)BAT관리 SHEET 기타 2_W2100 현황보고_이랜텍_Rate" xfId="14929"/>
    <cellStyle name="7_041221_단가계약파일_(분리)BAT관리 SHEET 기타 2_W2100 현황보고_이랜텍_Telcel 손익" xfId="14930"/>
    <cellStyle name="7_041221_단가계약파일_(분리)BAT관리 SHEET 기타 2_W2100 현황보고_이랜텍_TEM 2010 1Q 2nd offer preparation(손익시뮬)_091027" xfId="14931"/>
    <cellStyle name="7_041221_단가계약파일_(분리)BAT관리 SHEET 기타 2_W2100 현황보고_이랜텍_TEM 2010 1Q offer preparation v1_090916" xfId="14932"/>
    <cellStyle name="7_041221_단가계약파일_(분리)BAT관리 SHEET 기타 2_W2100 현황보고_이랜텍_TEM 2010 1Q offer preparation v1_090916_TEM 2010 1Q offer final v3_090929" xfId="14933"/>
    <cellStyle name="7_041221_단가계약파일_(분리)BAT관리 SHEET 기타 2_W2100 현황보고_이랜텍_TEM 2010 1Q offer preparation v1_090916_TEM 2010 1Q offer final v3_091005" xfId="14934"/>
    <cellStyle name="7_041221_단가계약파일_(분리)BAT관리 SHEET 기타 2_W2100 현황보고_이랜텍_TEM 2010 1Q offer preparation v1_090916_TEM 2010 1Q offer_091006" xfId="14935"/>
    <cellStyle name="7_041221_단가계약파일_(분리)BAT관리 SHEET 기타 2_W2100 현황보고_이랜텍_TEM 2010 1Q offer preparation v1_090916_TEM 2010 1Q offer_091014" xfId="14936"/>
    <cellStyle name="7_041221_단가계약파일_(분리)BAT관리 SHEET 기타 2_W2100 현황보고_이랜텍_TEM 2010 1Q offer preparation v1_090916_TEM 2010 1Q offer_091015" xfId="14937"/>
    <cellStyle name="7_041221_단가계약파일_(분리)BAT관리 SHEET 기타 2_W2100 현황보고_이랜텍_TEM 2010 1Q offer preparation v3_090917" xfId="14938"/>
    <cellStyle name="7_041221_단가계약파일_(분리)BAT관리 SHEET 기타 2_W2100 현황보고_이랜텍_TEM 2010 1Q offer preparation v3_090917_TEM 2010 1Q offer final v3_090929" xfId="14939"/>
    <cellStyle name="7_041221_단가계약파일_(분리)BAT관리 SHEET 기타 2_W2100 현황보고_이랜텍_TEM 2010 1Q offer preparation v3_090917_TEM 2010 1Q offer final v3_091005" xfId="14940"/>
    <cellStyle name="7_041221_단가계약파일_(분리)BAT관리 SHEET 기타 2_W2100 현황보고_이랜텍_TEM 2010 1Q offer preparation v3_090917_TEM 2010 1Q offer_091006" xfId="14941"/>
    <cellStyle name="7_041221_단가계약파일_(분리)BAT관리 SHEET 기타 2_W2100 현황보고_이랜텍_TEM 2010 1Q offer preparation v3_090917_TEM 2010 1Q offer_091014" xfId="14942"/>
    <cellStyle name="7_041221_단가계약파일_(분리)BAT관리 SHEET 기타 2_W2100 현황보고_이랜텍_TEM 2010 1Q offer preparation v3_090917_TEM 2010 1Q offer_091015" xfId="14943"/>
    <cellStyle name="7_041221_단가계약파일_(분리)BAT관리 SHEET 기타 4" xfId="14944"/>
    <cellStyle name="7_041221_단가계약파일_(분리)BAT관리 SHEET 기타 4_(분리)BAT관리 SHEET 158 7월1주차+국판1차" xfId="14945"/>
    <cellStyle name="7_041221_단가계약파일_(분리)BAT관리 SHEET 기타 4_(분리)BAT관리 SHEET 158 7월1주차+국판1차_10Q1 2차 가격안(시뮬레이션)_OH변경후_2" xfId="14946"/>
    <cellStyle name="7_041221_단가계약파일_(분리)BAT관리 SHEET 기타 4_(분리)BAT관리 SHEET 158 7월1주차+국판1차_Rate" xfId="14947"/>
    <cellStyle name="7_041221_단가계약파일_(분리)BAT관리 SHEET 기타 4_(분리)BAT관리 SHEET 158 7월1주차+국판1차_Telcel 손익" xfId="14948"/>
    <cellStyle name="7_041221_단가계약파일_(분리)BAT관리 SHEET 기타 4_(분리)BAT관리 SHEET 158 7월1주차+국판1차_TEM 2010 1Q 2nd offer preparation(손익시뮬)_091027" xfId="14949"/>
    <cellStyle name="7_041221_단가계약파일_(분리)BAT관리 SHEET 기타 4_(분리)BAT관리 SHEET 158 7월1주차+국판1차_TEM 2010 1Q offer preparation v1_090916" xfId="14950"/>
    <cellStyle name="7_041221_단가계약파일_(분리)BAT관리 SHEET 기타 4_(분리)BAT관리 SHEET 158 7월1주차+국판1차_TEM 2010 1Q offer preparation v1_090916_TEM 2010 1Q offer final v3_090929" xfId="14951"/>
    <cellStyle name="7_041221_단가계약파일_(분리)BAT관리 SHEET 기타 4_(분리)BAT관리 SHEET 158 7월1주차+국판1차_TEM 2010 1Q offer preparation v1_090916_TEM 2010 1Q offer final v3_091005" xfId="14952"/>
    <cellStyle name="7_041221_단가계약파일_(분리)BAT관리 SHEET 기타 4_(분리)BAT관리 SHEET 158 7월1주차+국판1차_TEM 2010 1Q offer preparation v1_090916_TEM 2010 1Q offer_091006" xfId="14953"/>
    <cellStyle name="7_041221_단가계약파일_(분리)BAT관리 SHEET 기타 4_(분리)BAT관리 SHEET 158 7월1주차+국판1차_TEM 2010 1Q offer preparation v1_090916_TEM 2010 1Q offer_091014" xfId="14954"/>
    <cellStyle name="7_041221_단가계약파일_(분리)BAT관리 SHEET 기타 4_(분리)BAT관리 SHEET 158 7월1주차+국판1차_TEM 2010 1Q offer preparation v1_090916_TEM 2010 1Q offer_091015" xfId="14955"/>
    <cellStyle name="7_041221_단가계약파일_(분리)BAT관리 SHEET 기타 4_(분리)BAT관리 SHEET 158 7월1주차+국판1차_TEM 2010 1Q offer preparation v3_090917" xfId="14956"/>
    <cellStyle name="7_041221_단가계약파일_(분리)BAT관리 SHEET 기타 4_(분리)BAT관리 SHEET 158 7월1주차+국판1차_TEM 2010 1Q offer preparation v3_090917_TEM 2010 1Q offer final v3_090929" xfId="14957"/>
    <cellStyle name="7_041221_단가계약파일_(분리)BAT관리 SHEET 기타 4_(분리)BAT관리 SHEET 158 7월1주차+국판1차_TEM 2010 1Q offer preparation v3_090917_TEM 2010 1Q offer final v3_091005" xfId="14958"/>
    <cellStyle name="7_041221_단가계약파일_(분리)BAT관리 SHEET 기타 4_(분리)BAT관리 SHEET 158 7월1주차+국판1차_TEM 2010 1Q offer preparation v3_090917_TEM 2010 1Q offer_091006" xfId="14959"/>
    <cellStyle name="7_041221_단가계약파일_(분리)BAT관리 SHEET 기타 4_(분리)BAT관리 SHEET 158 7월1주차+국판1차_TEM 2010 1Q offer preparation v3_090917_TEM 2010 1Q offer_091014" xfId="14960"/>
    <cellStyle name="7_041221_단가계약파일_(분리)BAT관리 SHEET 기타 4_(분리)BAT관리 SHEET 158 7월1주차+국판1차_TEM 2010 1Q offer preparation v3_090917_TEM 2010 1Q offer_091015" xfId="14961"/>
    <cellStyle name="7_041221_단가계약파일_(분리)BAT관리 SHEET 기타 4_(분리)BAT관리 SHEET 158 7월1주차+국판1차_이랜텍" xfId="14962"/>
    <cellStyle name="7_041221_단가계약파일_(분리)BAT관리 SHEET 기타 4_(분리)BAT관리 SHEET 158 7월1주차+국판1차_이랜텍_10Q1 2차 가격안(시뮬레이션)_OH변경후_2" xfId="14963"/>
    <cellStyle name="7_041221_단가계약파일_(분리)BAT관리 SHEET 기타 4_(분리)BAT관리 SHEET 158 7월1주차+국판1차_이랜텍_Rate" xfId="14964"/>
    <cellStyle name="7_041221_단가계약파일_(분리)BAT관리 SHEET 기타 4_(분리)BAT관리 SHEET 158 7월1주차+국판1차_이랜텍_Telcel 손익" xfId="14965"/>
    <cellStyle name="7_041221_단가계약파일_(분리)BAT관리 SHEET 기타 4_(분리)BAT관리 SHEET 158 7월1주차+국판1차_이랜텍_TEM 2010 1Q 2nd offer preparation(손익시뮬)_091027" xfId="14966"/>
    <cellStyle name="7_041221_단가계약파일_(분리)BAT관리 SHEET 기타 4_(분리)BAT관리 SHEET 158 7월1주차+국판1차_이랜텍_TEM 2010 1Q offer preparation v1_090916" xfId="14967"/>
    <cellStyle name="7_041221_단가계약파일_(분리)BAT관리 SHEET 기타 4_(분리)BAT관리 SHEET 158 7월1주차+국판1차_이랜텍_TEM 2010 1Q offer preparation v1_090916_TEM 2010 1Q offer final v3_090929" xfId="14968"/>
    <cellStyle name="7_041221_단가계약파일_(분리)BAT관리 SHEET 기타 4_(분리)BAT관리 SHEET 158 7월1주차+국판1차_이랜텍_TEM 2010 1Q offer preparation v1_090916_TEM 2010 1Q offer final v3_091005" xfId="14969"/>
    <cellStyle name="7_041221_단가계약파일_(분리)BAT관리 SHEET 기타 4_(분리)BAT관리 SHEET 158 7월1주차+국판1차_이랜텍_TEM 2010 1Q offer preparation v1_090916_TEM 2010 1Q offer_091006" xfId="14970"/>
    <cellStyle name="7_041221_단가계약파일_(분리)BAT관리 SHEET 기타 4_(분리)BAT관리 SHEET 158 7월1주차+국판1차_이랜텍_TEM 2010 1Q offer preparation v1_090916_TEM 2010 1Q offer_091014" xfId="14971"/>
    <cellStyle name="7_041221_단가계약파일_(분리)BAT관리 SHEET 기타 4_(분리)BAT관리 SHEET 158 7월1주차+국판1차_이랜텍_TEM 2010 1Q offer preparation v1_090916_TEM 2010 1Q offer_091015" xfId="14972"/>
    <cellStyle name="7_041221_단가계약파일_(분리)BAT관리 SHEET 기타 4_(분리)BAT관리 SHEET 158 7월1주차+국판1차_이랜텍_TEM 2010 1Q offer preparation v3_090917" xfId="14973"/>
    <cellStyle name="7_041221_단가계약파일_(분리)BAT관리 SHEET 기타 4_(분리)BAT관리 SHEET 158 7월1주차+국판1차_이랜텍_TEM 2010 1Q offer preparation v3_090917_TEM 2010 1Q offer final v3_090929" xfId="14974"/>
    <cellStyle name="7_041221_단가계약파일_(분리)BAT관리 SHEET 기타 4_(분리)BAT관리 SHEET 158 7월1주차+국판1차_이랜텍_TEM 2010 1Q offer preparation v3_090917_TEM 2010 1Q offer final v3_091005" xfId="14975"/>
    <cellStyle name="7_041221_단가계약파일_(분리)BAT관리 SHEET 기타 4_(분리)BAT관리 SHEET 158 7월1주차+국판1차_이랜텍_TEM 2010 1Q offer preparation v3_090917_TEM 2010 1Q offer_091006" xfId="14976"/>
    <cellStyle name="7_041221_단가계약파일_(분리)BAT관리 SHEET 기타 4_(분리)BAT관리 SHEET 158 7월1주차+국판1차_이랜텍_TEM 2010 1Q offer preparation v3_090917_TEM 2010 1Q offer_091014" xfId="14977"/>
    <cellStyle name="7_041221_단가계약파일_(분리)BAT관리 SHEET 기타 4_(분리)BAT관리 SHEET 158 7월1주차+국판1차_이랜텍_TEM 2010 1Q offer preparation v3_090917_TEM 2010 1Q offer_091015" xfId="14978"/>
    <cellStyle name="7_041221_단가계약파일_(분리)BAT관리 SHEET 기타 4_(분리)BAT관리 SHEET 159 7월1주차+국판1차" xfId="14979"/>
    <cellStyle name="7_041221_단가계약파일_(분리)BAT관리 SHEET 기타 4_(분리)BAT관리 SHEET 159 7월1주차+국판1차_10Q1 2차 가격안(시뮬레이션)_OH변경후_2" xfId="14980"/>
    <cellStyle name="7_041221_단가계약파일_(분리)BAT관리 SHEET 기타 4_(분리)BAT관리 SHEET 159 7월1주차+국판1차_Rate" xfId="14981"/>
    <cellStyle name="7_041221_단가계약파일_(분리)BAT관리 SHEET 기타 4_(분리)BAT관리 SHEET 159 7월1주차+국판1차_Telcel 손익" xfId="14982"/>
    <cellStyle name="7_041221_단가계약파일_(분리)BAT관리 SHEET 기타 4_(분리)BAT관리 SHEET 159 7월1주차+국판1차_TEM 2010 1Q 2nd offer preparation(손익시뮬)_091027" xfId="14983"/>
    <cellStyle name="7_041221_단가계약파일_(분리)BAT관리 SHEET 기타 4_(분리)BAT관리 SHEET 159 7월1주차+국판1차_TEM 2010 1Q offer preparation v1_090916" xfId="14984"/>
    <cellStyle name="7_041221_단가계약파일_(분리)BAT관리 SHEET 기타 4_(분리)BAT관리 SHEET 159 7월1주차+국판1차_TEM 2010 1Q offer preparation v1_090916_TEM 2010 1Q offer final v3_090929" xfId="14985"/>
    <cellStyle name="7_041221_단가계약파일_(분리)BAT관리 SHEET 기타 4_(분리)BAT관리 SHEET 159 7월1주차+국판1차_TEM 2010 1Q offer preparation v1_090916_TEM 2010 1Q offer final v3_091005" xfId="14986"/>
    <cellStyle name="7_041221_단가계약파일_(분리)BAT관리 SHEET 기타 4_(분리)BAT관리 SHEET 159 7월1주차+국판1차_TEM 2010 1Q offer preparation v1_090916_TEM 2010 1Q offer_091006" xfId="14987"/>
    <cellStyle name="7_041221_단가계약파일_(분리)BAT관리 SHEET 기타 4_(분리)BAT관리 SHEET 159 7월1주차+국판1차_TEM 2010 1Q offer preparation v1_090916_TEM 2010 1Q offer_091014" xfId="14988"/>
    <cellStyle name="7_041221_단가계약파일_(분리)BAT관리 SHEET 기타 4_(분리)BAT관리 SHEET 159 7월1주차+국판1차_TEM 2010 1Q offer preparation v1_090916_TEM 2010 1Q offer_091015" xfId="14989"/>
    <cellStyle name="7_041221_단가계약파일_(분리)BAT관리 SHEET 기타 4_(분리)BAT관리 SHEET 159 7월1주차+국판1차_TEM 2010 1Q offer preparation v3_090917" xfId="14990"/>
    <cellStyle name="7_041221_단가계약파일_(분리)BAT관리 SHEET 기타 4_(분리)BAT관리 SHEET 159 7월1주차+국판1차_TEM 2010 1Q offer preparation v3_090917_TEM 2010 1Q offer final v3_090929" xfId="14991"/>
    <cellStyle name="7_041221_단가계약파일_(분리)BAT관리 SHEET 기타 4_(분리)BAT관리 SHEET 159 7월1주차+국판1차_TEM 2010 1Q offer preparation v3_090917_TEM 2010 1Q offer final v3_091005" xfId="14992"/>
    <cellStyle name="7_041221_단가계약파일_(분리)BAT관리 SHEET 기타 4_(분리)BAT관리 SHEET 159 7월1주차+국판1차_TEM 2010 1Q offer preparation v3_090917_TEM 2010 1Q offer_091006" xfId="14993"/>
    <cellStyle name="7_041221_단가계약파일_(분리)BAT관리 SHEET 기타 4_(분리)BAT관리 SHEET 159 7월1주차+국판1차_TEM 2010 1Q offer preparation v3_090917_TEM 2010 1Q offer_091014" xfId="14994"/>
    <cellStyle name="7_041221_단가계약파일_(분리)BAT관리 SHEET 기타 4_(분리)BAT관리 SHEET 159 7월1주차+국판1차_TEM 2010 1Q offer preparation v3_090917_TEM 2010 1Q offer_091015" xfId="14995"/>
    <cellStyle name="7_041221_단가계약파일_(분리)BAT관리 SHEET 기타 4_(분리)BAT관리 SHEET 159 7월1주차+국판1차_이랜텍" xfId="14996"/>
    <cellStyle name="7_041221_단가계약파일_(분리)BAT관리 SHEET 기타 4_(분리)BAT관리 SHEET 159 7월1주차+국판1차_이랜텍_10Q1 2차 가격안(시뮬레이션)_OH변경후_2" xfId="14997"/>
    <cellStyle name="7_041221_단가계약파일_(분리)BAT관리 SHEET 기타 4_(분리)BAT관리 SHEET 159 7월1주차+국판1차_이랜텍_Rate" xfId="14998"/>
    <cellStyle name="7_041221_단가계약파일_(분리)BAT관리 SHEET 기타 4_(분리)BAT관리 SHEET 159 7월1주차+국판1차_이랜텍_Telcel 손익" xfId="14999"/>
    <cellStyle name="7_041221_단가계약파일_(분리)BAT관리 SHEET 기타 4_(분리)BAT관리 SHEET 159 7월1주차+국판1차_이랜텍_TEM 2010 1Q 2nd offer preparation(손익시뮬)_091027" xfId="15000"/>
    <cellStyle name="7_041221_단가계약파일_(분리)BAT관리 SHEET 기타 4_(분리)BAT관리 SHEET 159 7월1주차+국판1차_이랜텍_TEM 2010 1Q offer preparation v1_090916" xfId="15001"/>
    <cellStyle name="7_041221_단가계약파일_(분리)BAT관리 SHEET 기타 4_(분리)BAT관리 SHEET 159 7월1주차+국판1차_이랜텍_TEM 2010 1Q offer preparation v1_090916_TEM 2010 1Q offer final v3_090929" xfId="15002"/>
    <cellStyle name="7_041221_단가계약파일_(분리)BAT관리 SHEET 기타 4_(분리)BAT관리 SHEET 159 7월1주차+국판1차_이랜텍_TEM 2010 1Q offer preparation v1_090916_TEM 2010 1Q offer final v3_091005" xfId="15003"/>
    <cellStyle name="7_041221_단가계약파일_(분리)BAT관리 SHEET 기타 4_(분리)BAT관리 SHEET 159 7월1주차+국판1차_이랜텍_TEM 2010 1Q offer preparation v1_090916_TEM 2010 1Q offer_091006" xfId="15004"/>
    <cellStyle name="7_041221_단가계약파일_(분리)BAT관리 SHEET 기타 4_(분리)BAT관리 SHEET 159 7월1주차+국판1차_이랜텍_TEM 2010 1Q offer preparation v1_090916_TEM 2010 1Q offer_091014" xfId="15005"/>
    <cellStyle name="7_041221_단가계약파일_(분리)BAT관리 SHEET 기타 4_(분리)BAT관리 SHEET 159 7월1주차+국판1차_이랜텍_TEM 2010 1Q offer preparation v1_090916_TEM 2010 1Q offer_091015" xfId="15006"/>
    <cellStyle name="7_041221_단가계약파일_(분리)BAT관리 SHEET 기타 4_(분리)BAT관리 SHEET 159 7월1주차+국판1차_이랜텍_TEM 2010 1Q offer preparation v3_090917" xfId="15007"/>
    <cellStyle name="7_041221_단가계약파일_(분리)BAT관리 SHEET 기타 4_(분리)BAT관리 SHEET 159 7월1주차+국판1차_이랜텍_TEM 2010 1Q offer preparation v3_090917_TEM 2010 1Q offer final v3_090929" xfId="15008"/>
    <cellStyle name="7_041221_단가계약파일_(분리)BAT관리 SHEET 기타 4_(분리)BAT관리 SHEET 159 7월1주차+국판1차_이랜텍_TEM 2010 1Q offer preparation v3_090917_TEM 2010 1Q offer final v3_091005" xfId="15009"/>
    <cellStyle name="7_041221_단가계약파일_(분리)BAT관리 SHEET 기타 4_(분리)BAT관리 SHEET 159 7월1주차+국판1차_이랜텍_TEM 2010 1Q offer preparation v3_090917_TEM 2010 1Q offer_091006" xfId="15010"/>
    <cellStyle name="7_041221_단가계약파일_(분리)BAT관리 SHEET 기타 4_(분리)BAT관리 SHEET 159 7월1주차+국판1차_이랜텍_TEM 2010 1Q offer preparation v3_090917_TEM 2010 1Q offer_091014" xfId="15011"/>
    <cellStyle name="7_041221_단가계약파일_(분리)BAT관리 SHEET 기타 4_(분리)BAT관리 SHEET 159 7월1주차+국판1차_이랜텍_TEM 2010 1Q offer preparation v3_090917_TEM 2010 1Q offer_091015" xfId="15012"/>
    <cellStyle name="7_041221_단가계약파일_(분리)BAT관리 SHEET 기타 4_10Q1 2차 가격안(시뮬레이션)_OH변경후_2" xfId="15013"/>
    <cellStyle name="7_041221_단가계약파일_(분리)BAT관리 SHEET 기타 4_Rate" xfId="15014"/>
    <cellStyle name="7_041221_단가계약파일_(분리)BAT관리 SHEET 기타 4_Telcel 손익" xfId="15015"/>
    <cellStyle name="7_041221_단가계약파일_(분리)BAT관리 SHEET 기타 4_TEM 2010 1Q 2nd offer preparation(손익시뮬)_091027" xfId="15016"/>
    <cellStyle name="7_041221_단가계약파일_(분리)BAT관리 SHEET 기타 4_TEM 2010 1Q offer preparation v1_090916" xfId="15017"/>
    <cellStyle name="7_041221_단가계약파일_(분리)BAT관리 SHEET 기타 4_TEM 2010 1Q offer preparation v1_090916_TEM 2010 1Q offer final v3_090929" xfId="15018"/>
    <cellStyle name="7_041221_단가계약파일_(분리)BAT관리 SHEET 기타 4_TEM 2010 1Q offer preparation v1_090916_TEM 2010 1Q offer final v3_091005" xfId="15019"/>
    <cellStyle name="7_041221_단가계약파일_(분리)BAT관리 SHEET 기타 4_TEM 2010 1Q offer preparation v1_090916_TEM 2010 1Q offer_091006" xfId="15020"/>
    <cellStyle name="7_041221_단가계약파일_(분리)BAT관리 SHEET 기타 4_TEM 2010 1Q offer preparation v1_090916_TEM 2010 1Q offer_091014" xfId="15021"/>
    <cellStyle name="7_041221_단가계약파일_(분리)BAT관리 SHEET 기타 4_TEM 2010 1Q offer preparation v1_090916_TEM 2010 1Q offer_091015" xfId="15022"/>
    <cellStyle name="7_041221_단가계약파일_(분리)BAT관리 SHEET 기타 4_TEM 2010 1Q offer preparation v3_090917" xfId="15023"/>
    <cellStyle name="7_041221_단가계약파일_(분리)BAT관리 SHEET 기타 4_TEM 2010 1Q offer preparation v3_090917_TEM 2010 1Q offer final v3_090929" xfId="15024"/>
    <cellStyle name="7_041221_단가계약파일_(분리)BAT관리 SHEET 기타 4_TEM 2010 1Q offer preparation v3_090917_TEM 2010 1Q offer final v3_091005" xfId="15025"/>
    <cellStyle name="7_041221_단가계약파일_(분리)BAT관리 SHEET 기타 4_TEM 2010 1Q offer preparation v3_090917_TEM 2010 1Q offer_091006" xfId="15026"/>
    <cellStyle name="7_041221_단가계약파일_(분리)BAT관리 SHEET 기타 4_TEM 2010 1Q offer preparation v3_090917_TEM 2010 1Q offer_091014" xfId="15027"/>
    <cellStyle name="7_041221_단가계약파일_(분리)BAT관리 SHEET 기타 4_TEM 2010 1Q offer preparation v3_090917_TEM 2010 1Q offer_091015" xfId="15028"/>
    <cellStyle name="7_041221_단가계약파일_(분리)BAT관리 SHEET 기타 4_W2100 현황보고" xfId="15029"/>
    <cellStyle name="7_041221_단가계약파일_(분리)BAT관리 SHEET 기타 4_W2100 현황보고_10Q1 2차 가격안(시뮬레이션)_OH변경후_2" xfId="15030"/>
    <cellStyle name="7_041221_단가계약파일_(분리)BAT관리 SHEET 기타 4_W2100 현황보고_Rate" xfId="15031"/>
    <cellStyle name="7_041221_단가계약파일_(분리)BAT관리 SHEET 기타 4_W2100 현황보고_Telcel 손익" xfId="15032"/>
    <cellStyle name="7_041221_단가계약파일_(분리)BAT관리 SHEET 기타 4_W2100 현황보고_TEM 2010 1Q 2nd offer preparation(손익시뮬)_091027" xfId="15033"/>
    <cellStyle name="7_041221_단가계약파일_(분리)BAT관리 SHEET 기타 4_W2100 현황보고_TEM 2010 1Q offer preparation v1_090916" xfId="15034"/>
    <cellStyle name="7_041221_단가계약파일_(분리)BAT관리 SHEET 기타 4_W2100 현황보고_TEM 2010 1Q offer preparation v1_090916_TEM 2010 1Q offer final v3_090929" xfId="15035"/>
    <cellStyle name="7_041221_단가계약파일_(분리)BAT관리 SHEET 기타 4_W2100 현황보고_TEM 2010 1Q offer preparation v1_090916_TEM 2010 1Q offer final v3_091005" xfId="15036"/>
    <cellStyle name="7_041221_단가계약파일_(분리)BAT관리 SHEET 기타 4_W2100 현황보고_TEM 2010 1Q offer preparation v1_090916_TEM 2010 1Q offer_091006" xfId="15037"/>
    <cellStyle name="7_041221_단가계약파일_(분리)BAT관리 SHEET 기타 4_W2100 현황보고_TEM 2010 1Q offer preparation v1_090916_TEM 2010 1Q offer_091014" xfId="15038"/>
    <cellStyle name="7_041221_단가계약파일_(분리)BAT관리 SHEET 기타 4_W2100 현황보고_TEM 2010 1Q offer preparation v1_090916_TEM 2010 1Q offer_091015" xfId="15039"/>
    <cellStyle name="7_041221_단가계약파일_(분리)BAT관리 SHEET 기타 4_W2100 현황보고_TEM 2010 1Q offer preparation v3_090917" xfId="15040"/>
    <cellStyle name="7_041221_단가계약파일_(분리)BAT관리 SHEET 기타 4_W2100 현황보고_TEM 2010 1Q offer preparation v3_090917_TEM 2010 1Q offer final v3_090929" xfId="15041"/>
    <cellStyle name="7_041221_단가계약파일_(분리)BAT관리 SHEET 기타 4_W2100 현황보고_TEM 2010 1Q offer preparation v3_090917_TEM 2010 1Q offer final v3_091005" xfId="15042"/>
    <cellStyle name="7_041221_단가계약파일_(분리)BAT관리 SHEET 기타 4_W2100 현황보고_TEM 2010 1Q offer preparation v3_090917_TEM 2010 1Q offer_091006" xfId="15043"/>
    <cellStyle name="7_041221_단가계약파일_(분리)BAT관리 SHEET 기타 4_W2100 현황보고_TEM 2010 1Q offer preparation v3_090917_TEM 2010 1Q offer_091014" xfId="15044"/>
    <cellStyle name="7_041221_단가계약파일_(분리)BAT관리 SHEET 기타 4_W2100 현황보고_TEM 2010 1Q offer preparation v3_090917_TEM 2010 1Q offer_091015" xfId="15045"/>
    <cellStyle name="7_041221_단가계약파일_(분리)BAT관리 SHEET 기타 4_W2100 현황보고_이랜텍" xfId="15046"/>
    <cellStyle name="7_041221_단가계약파일_(분리)BAT관리 SHEET 기타 4_W2100 현황보고_이랜텍_10Q1 2차 가격안(시뮬레이션)_OH변경후_2" xfId="15047"/>
    <cellStyle name="7_041221_단가계약파일_(분리)BAT관리 SHEET 기타 4_W2100 현황보고_이랜텍_Rate" xfId="15048"/>
    <cellStyle name="7_041221_단가계약파일_(분리)BAT관리 SHEET 기타 4_W2100 현황보고_이랜텍_Telcel 손익" xfId="15049"/>
    <cellStyle name="7_041221_단가계약파일_(분리)BAT관리 SHEET 기타 4_W2100 현황보고_이랜텍_TEM 2010 1Q 2nd offer preparation(손익시뮬)_091027" xfId="15050"/>
    <cellStyle name="7_041221_단가계약파일_(분리)BAT관리 SHEET 기타 4_W2100 현황보고_이랜텍_TEM 2010 1Q offer preparation v1_090916" xfId="15051"/>
    <cellStyle name="7_041221_단가계약파일_(분리)BAT관리 SHEET 기타 4_W2100 현황보고_이랜텍_TEM 2010 1Q offer preparation v1_090916_TEM 2010 1Q offer final v3_090929" xfId="15052"/>
    <cellStyle name="7_041221_단가계약파일_(분리)BAT관리 SHEET 기타 4_W2100 현황보고_이랜텍_TEM 2010 1Q offer preparation v1_090916_TEM 2010 1Q offer final v3_091005" xfId="15053"/>
    <cellStyle name="7_041221_단가계약파일_(분리)BAT관리 SHEET 기타 4_W2100 현황보고_이랜텍_TEM 2010 1Q offer preparation v1_090916_TEM 2010 1Q offer_091006" xfId="15054"/>
    <cellStyle name="7_041221_단가계약파일_(분리)BAT관리 SHEET 기타 4_W2100 현황보고_이랜텍_TEM 2010 1Q offer preparation v1_090916_TEM 2010 1Q offer_091014" xfId="15055"/>
    <cellStyle name="7_041221_단가계약파일_(분리)BAT관리 SHEET 기타 4_W2100 현황보고_이랜텍_TEM 2010 1Q offer preparation v1_090916_TEM 2010 1Q offer_091015" xfId="15056"/>
    <cellStyle name="7_041221_단가계약파일_(분리)BAT관리 SHEET 기타 4_W2100 현황보고_이랜텍_TEM 2010 1Q offer preparation v3_090917" xfId="15057"/>
    <cellStyle name="7_041221_단가계약파일_(분리)BAT관리 SHEET 기타 4_W2100 현황보고_이랜텍_TEM 2010 1Q offer preparation v3_090917_TEM 2010 1Q offer final v3_090929" xfId="15058"/>
    <cellStyle name="7_041221_단가계약파일_(분리)BAT관리 SHEET 기타 4_W2100 현황보고_이랜텍_TEM 2010 1Q offer preparation v3_090917_TEM 2010 1Q offer final v3_091005" xfId="15059"/>
    <cellStyle name="7_041221_단가계약파일_(분리)BAT관리 SHEET 기타 4_W2100 현황보고_이랜텍_TEM 2010 1Q offer preparation v3_090917_TEM 2010 1Q offer_091006" xfId="15060"/>
    <cellStyle name="7_041221_단가계약파일_(분리)BAT관리 SHEET 기타 4_W2100 현황보고_이랜텍_TEM 2010 1Q offer preparation v3_090917_TEM 2010 1Q offer_091014" xfId="15061"/>
    <cellStyle name="7_041221_단가계약파일_(분리)BAT관리 SHEET 기타 4_W2100 현황보고_이랜텍_TEM 2010 1Q offer preparation v3_090917_TEM 2010 1Q offer_091015" xfId="15062"/>
    <cellStyle name="7_041221_단가계약파일_041221_단가계약파일" xfId="15063"/>
    <cellStyle name="7_041221_단가계약파일_041221_단가계약파일_(분리)BAT관리 SHEET 128 4월2주차+국판1차" xfId="15064"/>
    <cellStyle name="7_041221_단가계약파일_041221_단가계약파일_(분리)BAT관리 SHEET 128 4월2주차+국판1차_(분리)BAT관리 SHEET 158 7월1주차+국판1차" xfId="15065"/>
    <cellStyle name="7_041221_단가계약파일_041221_단가계약파일_(분리)BAT관리 SHEET 128 4월2주차+국판1차_(분리)BAT관리 SHEET 158 7월1주차+국판1차_10Q1 2차 가격안(시뮬레이션)_OH변경후_2" xfId="15066"/>
    <cellStyle name="7_041221_단가계약파일_041221_단가계약파일_(분리)BAT관리 SHEET 128 4월2주차+국판1차_(분리)BAT관리 SHEET 158 7월1주차+국판1차_Rate" xfId="15067"/>
    <cellStyle name="7_041221_단가계약파일_041221_단가계약파일_(분리)BAT관리 SHEET 128 4월2주차+국판1차_(분리)BAT관리 SHEET 158 7월1주차+국판1차_Telcel 손익" xfId="15068"/>
    <cellStyle name="7_041221_단가계약파일_041221_단가계약파일_(분리)BAT관리 SHEET 128 4월2주차+국판1차_(분리)BAT관리 SHEET 158 7월1주차+국판1차_TEM 2010 1Q 2nd offer preparation(손익시뮬)_091027" xfId="15069"/>
    <cellStyle name="7_041221_단가계약파일_041221_단가계약파일_(분리)BAT관리 SHEET 128 4월2주차+국판1차_(분리)BAT관리 SHEET 158 7월1주차+국판1차_TEM 2010 1Q offer preparation v1_090916" xfId="15070"/>
    <cellStyle name="7_041221_단가계약파일_041221_단가계약파일_(분리)BAT관리 SHEET 128 4월2주차+국판1차_(분리)BAT관리 SHEET 158 7월1주차+국판1차_TEM 2010 1Q offer preparation v1_090916_TEM 2010 1Q offer final v3_090929" xfId="15071"/>
    <cellStyle name="7_041221_단가계약파일_041221_단가계약파일_(분리)BAT관리 SHEET 128 4월2주차+국판1차_(분리)BAT관리 SHEET 158 7월1주차+국판1차_TEM 2010 1Q offer preparation v1_090916_TEM 2010 1Q offer final v3_091005" xfId="15072"/>
    <cellStyle name="7_041221_단가계약파일_041221_단가계약파일_(분리)BAT관리 SHEET 128 4월2주차+국판1차_(분리)BAT관리 SHEET 158 7월1주차+국판1차_TEM 2010 1Q offer preparation v1_090916_TEM 2010 1Q offer_091006" xfId="15073"/>
    <cellStyle name="7_041221_단가계약파일_041221_단가계약파일_(분리)BAT관리 SHEET 128 4월2주차+국판1차_(분리)BAT관리 SHEET 158 7월1주차+국판1차_TEM 2010 1Q offer preparation v1_090916_TEM 2010 1Q offer_091014" xfId="15074"/>
    <cellStyle name="7_041221_단가계약파일_041221_단가계약파일_(분리)BAT관리 SHEET 128 4월2주차+국판1차_(분리)BAT관리 SHEET 158 7월1주차+국판1차_TEM 2010 1Q offer preparation v1_090916_TEM 2010 1Q offer_091015" xfId="15075"/>
    <cellStyle name="7_041221_단가계약파일_041221_단가계약파일_(분리)BAT관리 SHEET 128 4월2주차+국판1차_(분리)BAT관리 SHEET 158 7월1주차+국판1차_TEM 2010 1Q offer preparation v3_090917" xfId="15076"/>
    <cellStyle name="7_041221_단가계약파일_041221_단가계약파일_(분리)BAT관리 SHEET 128 4월2주차+국판1차_(분리)BAT관리 SHEET 158 7월1주차+국판1차_TEM 2010 1Q offer preparation v3_090917_TEM 2010 1Q offer final v3_090929" xfId="15077"/>
    <cellStyle name="7_041221_단가계약파일_041221_단가계약파일_(분리)BAT관리 SHEET 128 4월2주차+국판1차_(분리)BAT관리 SHEET 158 7월1주차+국판1차_TEM 2010 1Q offer preparation v3_090917_TEM 2010 1Q offer final v3_091005" xfId="15078"/>
    <cellStyle name="7_041221_단가계약파일_041221_단가계약파일_(분리)BAT관리 SHEET 128 4월2주차+국판1차_(분리)BAT관리 SHEET 158 7월1주차+국판1차_TEM 2010 1Q offer preparation v3_090917_TEM 2010 1Q offer_091006" xfId="15079"/>
    <cellStyle name="7_041221_단가계약파일_041221_단가계약파일_(분리)BAT관리 SHEET 128 4월2주차+국판1차_(분리)BAT관리 SHEET 158 7월1주차+국판1차_TEM 2010 1Q offer preparation v3_090917_TEM 2010 1Q offer_091014" xfId="15080"/>
    <cellStyle name="7_041221_단가계약파일_041221_단가계약파일_(분리)BAT관리 SHEET 128 4월2주차+국판1차_(분리)BAT관리 SHEET 158 7월1주차+국판1차_TEM 2010 1Q offer preparation v3_090917_TEM 2010 1Q offer_091015" xfId="15081"/>
    <cellStyle name="7_041221_단가계약파일_041221_단가계약파일_(분리)BAT관리 SHEET 128 4월2주차+국판1차_(분리)BAT관리 SHEET 158 7월1주차+국판1차_이랜텍" xfId="15082"/>
    <cellStyle name="7_041221_단가계약파일_041221_단가계약파일_(분리)BAT관리 SHEET 128 4월2주차+국판1차_(분리)BAT관리 SHEET 158 7월1주차+국판1차_이랜텍_10Q1 2차 가격안(시뮬레이션)_OH변경후_2" xfId="15083"/>
    <cellStyle name="7_041221_단가계약파일_041221_단가계약파일_(분리)BAT관리 SHEET 128 4월2주차+국판1차_(분리)BAT관리 SHEET 158 7월1주차+국판1차_이랜텍_Rate" xfId="15084"/>
    <cellStyle name="7_041221_단가계약파일_041221_단가계약파일_(분리)BAT관리 SHEET 128 4월2주차+국판1차_(분리)BAT관리 SHEET 158 7월1주차+국판1차_이랜텍_Telcel 손익" xfId="15085"/>
    <cellStyle name="7_041221_단가계약파일_041221_단가계약파일_(분리)BAT관리 SHEET 128 4월2주차+국판1차_(분리)BAT관리 SHEET 158 7월1주차+국판1차_이랜텍_TEM 2010 1Q 2nd offer preparation(손익시뮬)_091027" xfId="15086"/>
    <cellStyle name="7_041221_단가계약파일_041221_단가계약파일_(분리)BAT관리 SHEET 128 4월2주차+국판1차_(분리)BAT관리 SHEET 158 7월1주차+국판1차_이랜텍_TEM 2010 1Q offer preparation v1_090916" xfId="15087"/>
    <cellStyle name="7_041221_단가계약파일_041221_단가계약파일_(분리)BAT관리 SHEET 128 4월2주차+국판1차_(분리)BAT관리 SHEET 158 7월1주차+국판1차_이랜텍_TEM 2010 1Q offer preparation v1_090916_TEM 2010 1Q offer final v3_090929" xfId="15088"/>
    <cellStyle name="7_041221_단가계약파일_041221_단가계약파일_(분리)BAT관리 SHEET 128 4월2주차+국판1차_(분리)BAT관리 SHEET 158 7월1주차+국판1차_이랜텍_TEM 2010 1Q offer preparation v1_090916_TEM 2010 1Q offer final v3_091005" xfId="15089"/>
    <cellStyle name="7_041221_단가계약파일_041221_단가계약파일_(분리)BAT관리 SHEET 128 4월2주차+국판1차_(분리)BAT관리 SHEET 158 7월1주차+국판1차_이랜텍_TEM 2010 1Q offer preparation v1_090916_TEM 2010 1Q offer_091006" xfId="15090"/>
    <cellStyle name="7_041221_단가계약파일_041221_단가계약파일_(분리)BAT관리 SHEET 128 4월2주차+국판1차_(분리)BAT관리 SHEET 158 7월1주차+국판1차_이랜텍_TEM 2010 1Q offer preparation v1_090916_TEM 2010 1Q offer_091014" xfId="15091"/>
    <cellStyle name="7_041221_단가계약파일_041221_단가계약파일_(분리)BAT관리 SHEET 128 4월2주차+국판1차_(분리)BAT관리 SHEET 158 7월1주차+국판1차_이랜텍_TEM 2010 1Q offer preparation v1_090916_TEM 2010 1Q offer_091015" xfId="15092"/>
    <cellStyle name="7_041221_단가계약파일_041221_단가계약파일_(분리)BAT관리 SHEET 128 4월2주차+국판1차_(분리)BAT관리 SHEET 158 7월1주차+국판1차_이랜텍_TEM 2010 1Q offer preparation v3_090917" xfId="15093"/>
    <cellStyle name="7_041221_단가계약파일_041221_단가계약파일_(분리)BAT관리 SHEET 128 4월2주차+국판1차_(분리)BAT관리 SHEET 158 7월1주차+국판1차_이랜텍_TEM 2010 1Q offer preparation v3_090917_TEM 2010 1Q offer final v3_090929" xfId="15094"/>
    <cellStyle name="7_041221_단가계약파일_041221_단가계약파일_(분리)BAT관리 SHEET 128 4월2주차+국판1차_(분리)BAT관리 SHEET 158 7월1주차+국판1차_이랜텍_TEM 2010 1Q offer preparation v3_090917_TEM 2010 1Q offer final v3_091005" xfId="15095"/>
    <cellStyle name="7_041221_단가계약파일_041221_단가계약파일_(분리)BAT관리 SHEET 128 4월2주차+국판1차_(분리)BAT관리 SHEET 158 7월1주차+국판1차_이랜텍_TEM 2010 1Q offer preparation v3_090917_TEM 2010 1Q offer_091006" xfId="15096"/>
    <cellStyle name="7_041221_단가계약파일_041221_단가계약파일_(분리)BAT관리 SHEET 128 4월2주차+국판1차_(분리)BAT관리 SHEET 158 7월1주차+국판1차_이랜텍_TEM 2010 1Q offer preparation v3_090917_TEM 2010 1Q offer_091014" xfId="15097"/>
    <cellStyle name="7_041221_단가계약파일_041221_단가계약파일_(분리)BAT관리 SHEET 128 4월2주차+국판1차_(분리)BAT관리 SHEET 158 7월1주차+국판1차_이랜텍_TEM 2010 1Q offer preparation v3_090917_TEM 2010 1Q offer_091015" xfId="15098"/>
    <cellStyle name="7_041221_단가계약파일_041221_단가계약파일_(분리)BAT관리 SHEET 128 4월2주차+국판1차_(분리)BAT관리 SHEET 159 7월1주차+국판1차" xfId="15099"/>
    <cellStyle name="7_041221_단가계약파일_041221_단가계약파일_(분리)BAT관리 SHEET 128 4월2주차+국판1차_(분리)BAT관리 SHEET 159 7월1주차+국판1차_10Q1 2차 가격안(시뮬레이션)_OH변경후_2" xfId="15100"/>
    <cellStyle name="7_041221_단가계약파일_041221_단가계약파일_(분리)BAT관리 SHEET 128 4월2주차+국판1차_(분리)BAT관리 SHEET 159 7월1주차+국판1차_Rate" xfId="15101"/>
    <cellStyle name="7_041221_단가계약파일_041221_단가계약파일_(분리)BAT관리 SHEET 128 4월2주차+국판1차_(분리)BAT관리 SHEET 159 7월1주차+국판1차_Telcel 손익" xfId="15102"/>
    <cellStyle name="7_041221_단가계약파일_041221_단가계약파일_(분리)BAT관리 SHEET 128 4월2주차+국판1차_(분리)BAT관리 SHEET 159 7월1주차+국판1차_TEM 2010 1Q 2nd offer preparation(손익시뮬)_091027" xfId="15103"/>
    <cellStyle name="7_041221_단가계약파일_041221_단가계약파일_(분리)BAT관리 SHEET 128 4월2주차+국판1차_(분리)BAT관리 SHEET 159 7월1주차+국판1차_TEM 2010 1Q offer preparation v1_090916" xfId="15104"/>
    <cellStyle name="7_041221_단가계약파일_041221_단가계약파일_(분리)BAT관리 SHEET 128 4월2주차+국판1차_(분리)BAT관리 SHEET 159 7월1주차+국판1차_TEM 2010 1Q offer preparation v1_090916_TEM 2010 1Q offer final v3_090929" xfId="15105"/>
    <cellStyle name="7_041221_단가계약파일_041221_단가계약파일_(분리)BAT관리 SHEET 128 4월2주차+국판1차_(분리)BAT관리 SHEET 159 7월1주차+국판1차_TEM 2010 1Q offer preparation v1_090916_TEM 2010 1Q offer final v3_091005" xfId="15106"/>
    <cellStyle name="7_041221_단가계약파일_041221_단가계약파일_(분리)BAT관리 SHEET 128 4월2주차+국판1차_(분리)BAT관리 SHEET 159 7월1주차+국판1차_TEM 2010 1Q offer preparation v1_090916_TEM 2010 1Q offer_091006" xfId="15107"/>
    <cellStyle name="7_041221_단가계약파일_041221_단가계약파일_(분리)BAT관리 SHEET 128 4월2주차+국판1차_(분리)BAT관리 SHEET 159 7월1주차+국판1차_TEM 2010 1Q offer preparation v1_090916_TEM 2010 1Q offer_091014" xfId="15108"/>
    <cellStyle name="7_041221_단가계약파일_041221_단가계약파일_(분리)BAT관리 SHEET 128 4월2주차+국판1차_(분리)BAT관리 SHEET 159 7월1주차+국판1차_TEM 2010 1Q offer preparation v1_090916_TEM 2010 1Q offer_091015" xfId="15109"/>
    <cellStyle name="7_041221_단가계약파일_041221_단가계약파일_(분리)BAT관리 SHEET 128 4월2주차+국판1차_(분리)BAT관리 SHEET 159 7월1주차+국판1차_TEM 2010 1Q offer preparation v3_090917" xfId="15110"/>
    <cellStyle name="7_041221_단가계약파일_041221_단가계약파일_(분리)BAT관리 SHEET 128 4월2주차+국판1차_(분리)BAT관리 SHEET 159 7월1주차+국판1차_TEM 2010 1Q offer preparation v3_090917_TEM 2010 1Q offer final v3_090929" xfId="15111"/>
    <cellStyle name="7_041221_단가계약파일_041221_단가계약파일_(분리)BAT관리 SHEET 128 4월2주차+국판1차_(분리)BAT관리 SHEET 159 7월1주차+국판1차_TEM 2010 1Q offer preparation v3_090917_TEM 2010 1Q offer final v3_091005" xfId="15112"/>
    <cellStyle name="7_041221_단가계약파일_041221_단가계약파일_(분리)BAT관리 SHEET 128 4월2주차+국판1차_(분리)BAT관리 SHEET 159 7월1주차+국판1차_TEM 2010 1Q offer preparation v3_090917_TEM 2010 1Q offer_091006" xfId="15113"/>
    <cellStyle name="7_041221_단가계약파일_041221_단가계약파일_(분리)BAT관리 SHEET 128 4월2주차+국판1차_(분리)BAT관리 SHEET 159 7월1주차+국판1차_TEM 2010 1Q offer preparation v3_090917_TEM 2010 1Q offer_091014" xfId="15114"/>
    <cellStyle name="7_041221_단가계약파일_041221_단가계약파일_(분리)BAT관리 SHEET 128 4월2주차+국판1차_(분리)BAT관리 SHEET 159 7월1주차+국판1차_TEM 2010 1Q offer preparation v3_090917_TEM 2010 1Q offer_091015" xfId="15115"/>
    <cellStyle name="7_041221_단가계약파일_041221_단가계약파일_(분리)BAT관리 SHEET 128 4월2주차+국판1차_(분리)BAT관리 SHEET 159 7월1주차+국판1차_이랜텍" xfId="15116"/>
    <cellStyle name="7_041221_단가계약파일_041221_단가계약파일_(분리)BAT관리 SHEET 128 4월2주차+국판1차_(분리)BAT관리 SHEET 159 7월1주차+국판1차_이랜텍_10Q1 2차 가격안(시뮬레이션)_OH변경후_2" xfId="15117"/>
    <cellStyle name="7_041221_단가계약파일_041221_단가계약파일_(분리)BAT관리 SHEET 128 4월2주차+국판1차_(분리)BAT관리 SHEET 159 7월1주차+국판1차_이랜텍_Rate" xfId="15118"/>
    <cellStyle name="7_041221_단가계약파일_041221_단가계약파일_(분리)BAT관리 SHEET 128 4월2주차+국판1차_(분리)BAT관리 SHEET 159 7월1주차+국판1차_이랜텍_Telcel 손익" xfId="15119"/>
    <cellStyle name="7_041221_단가계약파일_041221_단가계약파일_(분리)BAT관리 SHEET 128 4월2주차+국판1차_(분리)BAT관리 SHEET 159 7월1주차+국판1차_이랜텍_TEM 2010 1Q 2nd offer preparation(손익시뮬)_091027" xfId="15120"/>
    <cellStyle name="7_041221_단가계약파일_041221_단가계약파일_(분리)BAT관리 SHEET 128 4월2주차+국판1차_(분리)BAT관리 SHEET 159 7월1주차+국판1차_이랜텍_TEM 2010 1Q offer preparation v1_090916" xfId="15121"/>
    <cellStyle name="7_041221_단가계약파일_041221_단가계약파일_(분리)BAT관리 SHEET 128 4월2주차+국판1차_(분리)BAT관리 SHEET 159 7월1주차+국판1차_이랜텍_TEM 2010 1Q offer preparation v1_090916_TEM 2010 1Q offer final v3_090929" xfId="15122"/>
    <cellStyle name="7_041221_단가계약파일_041221_단가계약파일_(분리)BAT관리 SHEET 128 4월2주차+국판1차_(분리)BAT관리 SHEET 159 7월1주차+국판1차_이랜텍_TEM 2010 1Q offer preparation v1_090916_TEM 2010 1Q offer final v3_091005" xfId="15123"/>
    <cellStyle name="7_041221_단가계약파일_041221_단가계약파일_(분리)BAT관리 SHEET 128 4월2주차+국판1차_(분리)BAT관리 SHEET 159 7월1주차+국판1차_이랜텍_TEM 2010 1Q offer preparation v1_090916_TEM 2010 1Q offer_091006" xfId="15124"/>
    <cellStyle name="7_041221_단가계약파일_041221_단가계약파일_(분리)BAT관리 SHEET 128 4월2주차+국판1차_(분리)BAT관리 SHEET 159 7월1주차+국판1차_이랜텍_TEM 2010 1Q offer preparation v1_090916_TEM 2010 1Q offer_091014" xfId="15125"/>
    <cellStyle name="7_041221_단가계약파일_041221_단가계약파일_(분리)BAT관리 SHEET 128 4월2주차+국판1차_(분리)BAT관리 SHEET 159 7월1주차+국판1차_이랜텍_TEM 2010 1Q offer preparation v1_090916_TEM 2010 1Q offer_091015" xfId="15126"/>
    <cellStyle name="7_041221_단가계약파일_041221_단가계약파일_(분리)BAT관리 SHEET 128 4월2주차+국판1차_(분리)BAT관리 SHEET 159 7월1주차+국판1차_이랜텍_TEM 2010 1Q offer preparation v3_090917" xfId="15127"/>
    <cellStyle name="7_041221_단가계약파일_041221_단가계약파일_(분리)BAT관리 SHEET 128 4월2주차+국판1차_(분리)BAT관리 SHEET 159 7월1주차+국판1차_이랜텍_TEM 2010 1Q offer preparation v3_090917_TEM 2010 1Q offer final v3_090929" xfId="15128"/>
    <cellStyle name="7_041221_단가계약파일_041221_단가계약파일_(분리)BAT관리 SHEET 128 4월2주차+국판1차_(분리)BAT관리 SHEET 159 7월1주차+국판1차_이랜텍_TEM 2010 1Q offer preparation v3_090917_TEM 2010 1Q offer final v3_091005" xfId="15129"/>
    <cellStyle name="7_041221_단가계약파일_041221_단가계약파일_(분리)BAT관리 SHEET 128 4월2주차+국판1차_(분리)BAT관리 SHEET 159 7월1주차+국판1차_이랜텍_TEM 2010 1Q offer preparation v3_090917_TEM 2010 1Q offer_091006" xfId="15130"/>
    <cellStyle name="7_041221_단가계약파일_041221_단가계약파일_(분리)BAT관리 SHEET 128 4월2주차+국판1차_(분리)BAT관리 SHEET 159 7월1주차+국판1차_이랜텍_TEM 2010 1Q offer preparation v3_090917_TEM 2010 1Q offer_091014" xfId="15131"/>
    <cellStyle name="7_041221_단가계약파일_041221_단가계약파일_(분리)BAT관리 SHEET 128 4월2주차+국판1차_(분리)BAT관리 SHEET 159 7월1주차+국판1차_이랜텍_TEM 2010 1Q offer preparation v3_090917_TEM 2010 1Q offer_091015" xfId="15132"/>
    <cellStyle name="7_041221_단가계약파일_041221_단가계약파일_(분리)BAT관리 SHEET 128 4월2주차+국판1차_10Q1 2차 가격안(시뮬레이션)_OH변경후_2" xfId="15133"/>
    <cellStyle name="7_041221_단가계약파일_041221_단가계약파일_(분리)BAT관리 SHEET 128 4월2주차+국판1차_Rate" xfId="15134"/>
    <cellStyle name="7_041221_단가계약파일_041221_단가계약파일_(분리)BAT관리 SHEET 128 4월2주차+국판1차_Telcel 손익" xfId="15135"/>
    <cellStyle name="7_041221_단가계약파일_041221_단가계약파일_(분리)BAT관리 SHEET 128 4월2주차+국판1차_TEM 2010 1Q 2nd offer preparation(손익시뮬)_091027" xfId="15136"/>
    <cellStyle name="7_041221_단가계약파일_041221_단가계약파일_(분리)BAT관리 SHEET 128 4월2주차+국판1차_TEM 2010 1Q offer preparation v1_090916" xfId="15137"/>
    <cellStyle name="7_041221_단가계약파일_041221_단가계약파일_(분리)BAT관리 SHEET 128 4월2주차+국판1차_TEM 2010 1Q offer preparation v1_090916_TEM 2010 1Q offer final v3_090929" xfId="15138"/>
    <cellStyle name="7_041221_단가계약파일_041221_단가계약파일_(분리)BAT관리 SHEET 128 4월2주차+국판1차_TEM 2010 1Q offer preparation v1_090916_TEM 2010 1Q offer final v3_091005" xfId="15139"/>
    <cellStyle name="7_041221_단가계약파일_041221_단가계약파일_(분리)BAT관리 SHEET 128 4월2주차+국판1차_TEM 2010 1Q offer preparation v1_090916_TEM 2010 1Q offer_091006" xfId="15140"/>
    <cellStyle name="7_041221_단가계약파일_041221_단가계약파일_(분리)BAT관리 SHEET 128 4월2주차+국판1차_TEM 2010 1Q offer preparation v1_090916_TEM 2010 1Q offer_091014" xfId="15141"/>
    <cellStyle name="7_041221_단가계약파일_041221_단가계약파일_(분리)BAT관리 SHEET 128 4월2주차+국판1차_TEM 2010 1Q offer preparation v1_090916_TEM 2010 1Q offer_091015" xfId="15142"/>
    <cellStyle name="7_041221_단가계약파일_041221_단가계약파일_(분리)BAT관리 SHEET 128 4월2주차+국판1차_TEM 2010 1Q offer preparation v3_090917" xfId="15143"/>
    <cellStyle name="7_041221_단가계약파일_041221_단가계약파일_(분리)BAT관리 SHEET 128 4월2주차+국판1차_TEM 2010 1Q offer preparation v3_090917_TEM 2010 1Q offer final v3_090929" xfId="15144"/>
    <cellStyle name="7_041221_단가계약파일_041221_단가계약파일_(분리)BAT관리 SHEET 128 4월2주차+국판1차_TEM 2010 1Q offer preparation v3_090917_TEM 2010 1Q offer final v3_091005" xfId="15145"/>
    <cellStyle name="7_041221_단가계약파일_041221_단가계약파일_(분리)BAT관리 SHEET 128 4월2주차+국판1차_TEM 2010 1Q offer preparation v3_090917_TEM 2010 1Q offer_091006" xfId="15146"/>
    <cellStyle name="7_041221_단가계약파일_041221_단가계약파일_(분리)BAT관리 SHEET 128 4월2주차+국판1차_TEM 2010 1Q offer preparation v3_090917_TEM 2010 1Q offer_091014" xfId="15147"/>
    <cellStyle name="7_041221_단가계약파일_041221_단가계약파일_(분리)BAT관리 SHEET 128 4월2주차+국판1차_TEM 2010 1Q offer preparation v3_090917_TEM 2010 1Q offer_091015" xfId="15148"/>
    <cellStyle name="7_041221_단가계약파일_041221_단가계약파일_(분리)BAT관리 SHEET 128 4월2주차+국판1차_W2100 현황보고" xfId="15149"/>
    <cellStyle name="7_041221_단가계약파일_041221_단가계약파일_(분리)BAT관리 SHEET 128 4월2주차+국판1차_W2100 현황보고_10Q1 2차 가격안(시뮬레이션)_OH변경후_2" xfId="15150"/>
    <cellStyle name="7_041221_단가계약파일_041221_단가계약파일_(분리)BAT관리 SHEET 128 4월2주차+국판1차_W2100 현황보고_Rate" xfId="15151"/>
    <cellStyle name="7_041221_단가계약파일_041221_단가계약파일_(분리)BAT관리 SHEET 128 4월2주차+국판1차_W2100 현황보고_Telcel 손익" xfId="15152"/>
    <cellStyle name="7_041221_단가계약파일_041221_단가계약파일_(분리)BAT관리 SHEET 128 4월2주차+국판1차_W2100 현황보고_TEM 2010 1Q 2nd offer preparation(손익시뮬)_091027" xfId="15153"/>
    <cellStyle name="7_041221_단가계약파일_041221_단가계약파일_(분리)BAT관리 SHEET 128 4월2주차+국판1차_W2100 현황보고_TEM 2010 1Q offer preparation v1_090916" xfId="15154"/>
    <cellStyle name="7_041221_단가계약파일_041221_단가계약파일_(분리)BAT관리 SHEET 128 4월2주차+국판1차_W2100 현황보고_TEM 2010 1Q offer preparation v1_090916_TEM 2010 1Q offer final v3_090929" xfId="15155"/>
    <cellStyle name="7_041221_단가계약파일_041221_단가계약파일_(분리)BAT관리 SHEET 128 4월2주차+국판1차_W2100 현황보고_TEM 2010 1Q offer preparation v1_090916_TEM 2010 1Q offer final v3_091005" xfId="15156"/>
    <cellStyle name="7_041221_단가계약파일_041221_단가계약파일_(분리)BAT관리 SHEET 128 4월2주차+국판1차_W2100 현황보고_TEM 2010 1Q offer preparation v1_090916_TEM 2010 1Q offer_091006" xfId="15157"/>
    <cellStyle name="7_041221_단가계약파일_041221_단가계약파일_(분리)BAT관리 SHEET 128 4월2주차+국판1차_W2100 현황보고_TEM 2010 1Q offer preparation v1_090916_TEM 2010 1Q offer_091014" xfId="15158"/>
    <cellStyle name="7_041221_단가계약파일_041221_단가계약파일_(분리)BAT관리 SHEET 128 4월2주차+국판1차_W2100 현황보고_TEM 2010 1Q offer preparation v1_090916_TEM 2010 1Q offer_091015" xfId="15159"/>
    <cellStyle name="7_041221_단가계약파일_041221_단가계약파일_(분리)BAT관리 SHEET 128 4월2주차+국판1차_W2100 현황보고_TEM 2010 1Q offer preparation v3_090917" xfId="15160"/>
    <cellStyle name="7_041221_단가계약파일_041221_단가계약파일_(분리)BAT관리 SHEET 128 4월2주차+국판1차_W2100 현황보고_TEM 2010 1Q offer preparation v3_090917_TEM 2010 1Q offer final v3_090929" xfId="15161"/>
    <cellStyle name="7_041221_단가계약파일_041221_단가계약파일_(분리)BAT관리 SHEET 128 4월2주차+국판1차_W2100 현황보고_TEM 2010 1Q offer preparation v3_090917_TEM 2010 1Q offer final v3_091005" xfId="15162"/>
    <cellStyle name="7_041221_단가계약파일_041221_단가계약파일_(분리)BAT관리 SHEET 128 4월2주차+국판1차_W2100 현황보고_TEM 2010 1Q offer preparation v3_090917_TEM 2010 1Q offer_091006" xfId="15163"/>
    <cellStyle name="7_041221_단가계약파일_041221_단가계약파일_(분리)BAT관리 SHEET 128 4월2주차+국판1차_W2100 현황보고_TEM 2010 1Q offer preparation v3_090917_TEM 2010 1Q offer_091014" xfId="15164"/>
    <cellStyle name="7_041221_단가계약파일_041221_단가계약파일_(분리)BAT관리 SHEET 128 4월2주차+국판1차_W2100 현황보고_TEM 2010 1Q offer preparation v3_090917_TEM 2010 1Q offer_091015" xfId="15165"/>
    <cellStyle name="7_041221_단가계약파일_041221_단가계약파일_(분리)BAT관리 SHEET 128 4월2주차+국판1차_W2100 현황보고_이랜텍" xfId="15166"/>
    <cellStyle name="7_041221_단가계약파일_041221_단가계약파일_(분리)BAT관리 SHEET 128 4월2주차+국판1차_W2100 현황보고_이랜텍_10Q1 2차 가격안(시뮬레이션)_OH변경후_2" xfId="15167"/>
    <cellStyle name="7_041221_단가계약파일_041221_단가계약파일_(분리)BAT관리 SHEET 128 4월2주차+국판1차_W2100 현황보고_이랜텍_Rate" xfId="15168"/>
    <cellStyle name="7_041221_단가계약파일_041221_단가계약파일_(분리)BAT관리 SHEET 128 4월2주차+국판1차_W2100 현황보고_이랜텍_Telcel 손익" xfId="15169"/>
    <cellStyle name="7_041221_단가계약파일_041221_단가계약파일_(분리)BAT관리 SHEET 128 4월2주차+국판1차_W2100 현황보고_이랜텍_TEM 2010 1Q 2nd offer preparation(손익시뮬)_091027" xfId="15170"/>
    <cellStyle name="7_041221_단가계약파일_041221_단가계약파일_(분리)BAT관리 SHEET 128 4월2주차+국판1차_W2100 현황보고_이랜텍_TEM 2010 1Q offer preparation v1_090916" xfId="15171"/>
    <cellStyle name="7_041221_단가계약파일_041221_단가계약파일_(분리)BAT관리 SHEET 128 4월2주차+국판1차_W2100 현황보고_이랜텍_TEM 2010 1Q offer preparation v1_090916_TEM 2010 1Q offer final v3_090929" xfId="15172"/>
    <cellStyle name="7_041221_단가계약파일_041221_단가계약파일_(분리)BAT관리 SHEET 128 4월2주차+국판1차_W2100 현황보고_이랜텍_TEM 2010 1Q offer preparation v1_090916_TEM 2010 1Q offer final v3_091005" xfId="15173"/>
    <cellStyle name="7_041221_단가계약파일_041221_단가계약파일_(분리)BAT관리 SHEET 128 4월2주차+국판1차_W2100 현황보고_이랜텍_TEM 2010 1Q offer preparation v1_090916_TEM 2010 1Q offer_091006" xfId="15174"/>
    <cellStyle name="7_041221_단가계약파일_041221_단가계약파일_(분리)BAT관리 SHEET 128 4월2주차+국판1차_W2100 현황보고_이랜텍_TEM 2010 1Q offer preparation v1_090916_TEM 2010 1Q offer_091014" xfId="15175"/>
    <cellStyle name="7_041221_단가계약파일_041221_단가계약파일_(분리)BAT관리 SHEET 128 4월2주차+국판1차_W2100 현황보고_이랜텍_TEM 2010 1Q offer preparation v1_090916_TEM 2010 1Q offer_091015" xfId="15176"/>
    <cellStyle name="7_041221_단가계약파일_041221_단가계약파일_(분리)BAT관리 SHEET 128 4월2주차+국판1차_W2100 현황보고_이랜텍_TEM 2010 1Q offer preparation v3_090917" xfId="15177"/>
    <cellStyle name="7_041221_단가계약파일_041221_단가계약파일_(분리)BAT관리 SHEET 128 4월2주차+국판1차_W2100 현황보고_이랜텍_TEM 2010 1Q offer preparation v3_090917_TEM 2010 1Q offer final v3_090929" xfId="15178"/>
    <cellStyle name="7_041221_단가계약파일_041221_단가계약파일_(분리)BAT관리 SHEET 128 4월2주차+국판1차_W2100 현황보고_이랜텍_TEM 2010 1Q offer preparation v3_090917_TEM 2010 1Q offer final v3_091005" xfId="15179"/>
    <cellStyle name="7_041221_단가계약파일_041221_단가계약파일_(분리)BAT관리 SHEET 128 4월2주차+국판1차_W2100 현황보고_이랜텍_TEM 2010 1Q offer preparation v3_090917_TEM 2010 1Q offer_091006" xfId="15180"/>
    <cellStyle name="7_041221_단가계약파일_041221_단가계약파일_(분리)BAT관리 SHEET 128 4월2주차+국판1차_W2100 현황보고_이랜텍_TEM 2010 1Q offer preparation v3_090917_TEM 2010 1Q offer_091014" xfId="15181"/>
    <cellStyle name="7_041221_단가계약파일_041221_단가계약파일_(분리)BAT관리 SHEET 128 4월2주차+국판1차_W2100 현황보고_이랜텍_TEM 2010 1Q offer preparation v3_090917_TEM 2010 1Q offer_091015" xfId="15182"/>
    <cellStyle name="7_041221_단가계약파일_041221_단가계약파일_(분리)BAT관리 SHEET 기타 2" xfId="15183"/>
    <cellStyle name="7_041221_단가계약파일_041221_단가계약파일_(분리)BAT관리 SHEET 기타 2_(분리)BAT관리 SHEET 158 7월1주차+국판1차" xfId="15184"/>
    <cellStyle name="7_041221_단가계약파일_041221_단가계약파일_(분리)BAT관리 SHEET 기타 2_(분리)BAT관리 SHEET 158 7월1주차+국판1차_10Q1 2차 가격안(시뮬레이션)_OH변경후_2" xfId="15185"/>
    <cellStyle name="7_041221_단가계약파일_041221_단가계약파일_(분리)BAT관리 SHEET 기타 2_(분리)BAT관리 SHEET 158 7월1주차+국판1차_Rate" xfId="15186"/>
    <cellStyle name="7_041221_단가계약파일_041221_단가계약파일_(분리)BAT관리 SHEET 기타 2_(분리)BAT관리 SHEET 158 7월1주차+국판1차_Telcel 손익" xfId="15187"/>
    <cellStyle name="7_041221_단가계약파일_041221_단가계약파일_(분리)BAT관리 SHEET 기타 2_(분리)BAT관리 SHEET 158 7월1주차+국판1차_TEM 2010 1Q 2nd offer preparation(손익시뮬)_091027" xfId="15188"/>
    <cellStyle name="7_041221_단가계약파일_041221_단가계약파일_(분리)BAT관리 SHEET 기타 2_(분리)BAT관리 SHEET 158 7월1주차+국판1차_TEM 2010 1Q offer preparation v1_090916" xfId="15189"/>
    <cellStyle name="7_041221_단가계약파일_041221_단가계약파일_(분리)BAT관리 SHEET 기타 2_(분리)BAT관리 SHEET 158 7월1주차+국판1차_TEM 2010 1Q offer preparation v1_090916_TEM 2010 1Q offer final v3_090929" xfId="15190"/>
    <cellStyle name="7_041221_단가계약파일_041221_단가계약파일_(분리)BAT관리 SHEET 기타 2_(분리)BAT관리 SHEET 158 7월1주차+국판1차_TEM 2010 1Q offer preparation v1_090916_TEM 2010 1Q offer final v3_091005" xfId="15191"/>
    <cellStyle name="7_041221_단가계약파일_041221_단가계약파일_(분리)BAT관리 SHEET 기타 2_(분리)BAT관리 SHEET 158 7월1주차+국판1차_TEM 2010 1Q offer preparation v1_090916_TEM 2010 1Q offer_091006" xfId="15192"/>
    <cellStyle name="7_041221_단가계약파일_041221_단가계약파일_(분리)BAT관리 SHEET 기타 2_(분리)BAT관리 SHEET 158 7월1주차+국판1차_TEM 2010 1Q offer preparation v1_090916_TEM 2010 1Q offer_091014" xfId="15193"/>
    <cellStyle name="7_041221_단가계약파일_041221_단가계약파일_(분리)BAT관리 SHEET 기타 2_(분리)BAT관리 SHEET 158 7월1주차+국판1차_TEM 2010 1Q offer preparation v1_090916_TEM 2010 1Q offer_091015" xfId="15194"/>
    <cellStyle name="7_041221_단가계약파일_041221_단가계약파일_(분리)BAT관리 SHEET 기타 2_(분리)BAT관리 SHEET 158 7월1주차+국판1차_TEM 2010 1Q offer preparation v3_090917" xfId="15195"/>
    <cellStyle name="7_041221_단가계약파일_041221_단가계약파일_(분리)BAT관리 SHEET 기타 2_(분리)BAT관리 SHEET 158 7월1주차+국판1차_TEM 2010 1Q offer preparation v3_090917_TEM 2010 1Q offer final v3_090929" xfId="15196"/>
    <cellStyle name="7_041221_단가계약파일_041221_단가계약파일_(분리)BAT관리 SHEET 기타 2_(분리)BAT관리 SHEET 158 7월1주차+국판1차_TEM 2010 1Q offer preparation v3_090917_TEM 2010 1Q offer final v3_091005" xfId="15197"/>
    <cellStyle name="7_041221_단가계약파일_041221_단가계약파일_(분리)BAT관리 SHEET 기타 2_(분리)BAT관리 SHEET 158 7월1주차+국판1차_TEM 2010 1Q offer preparation v3_090917_TEM 2010 1Q offer_091006" xfId="15198"/>
    <cellStyle name="7_041221_단가계약파일_041221_단가계약파일_(분리)BAT관리 SHEET 기타 2_(분리)BAT관리 SHEET 158 7월1주차+국판1차_TEM 2010 1Q offer preparation v3_090917_TEM 2010 1Q offer_091014" xfId="15199"/>
    <cellStyle name="7_041221_단가계약파일_041221_단가계약파일_(분리)BAT관리 SHEET 기타 2_(분리)BAT관리 SHEET 158 7월1주차+국판1차_TEM 2010 1Q offer preparation v3_090917_TEM 2010 1Q offer_091015" xfId="15200"/>
    <cellStyle name="7_041221_단가계약파일_041221_단가계약파일_(분리)BAT관리 SHEET 기타 2_(분리)BAT관리 SHEET 158 7월1주차+국판1차_이랜텍" xfId="15201"/>
    <cellStyle name="7_041221_단가계약파일_041221_단가계약파일_(분리)BAT관리 SHEET 기타 2_(분리)BAT관리 SHEET 158 7월1주차+국판1차_이랜텍_10Q1 2차 가격안(시뮬레이션)_OH변경후_2" xfId="15202"/>
    <cellStyle name="7_041221_단가계약파일_041221_단가계약파일_(분리)BAT관리 SHEET 기타 2_(분리)BAT관리 SHEET 158 7월1주차+국판1차_이랜텍_Rate" xfId="15203"/>
    <cellStyle name="7_041221_단가계약파일_041221_단가계약파일_(분리)BAT관리 SHEET 기타 2_(분리)BAT관리 SHEET 158 7월1주차+국판1차_이랜텍_Telcel 손익" xfId="15204"/>
    <cellStyle name="7_041221_단가계약파일_041221_단가계약파일_(분리)BAT관리 SHEET 기타 2_(분리)BAT관리 SHEET 158 7월1주차+국판1차_이랜텍_TEM 2010 1Q 2nd offer preparation(손익시뮬)_091027" xfId="15205"/>
    <cellStyle name="7_041221_단가계약파일_041221_단가계약파일_(분리)BAT관리 SHEET 기타 2_(분리)BAT관리 SHEET 158 7월1주차+국판1차_이랜텍_TEM 2010 1Q offer preparation v1_090916" xfId="15206"/>
    <cellStyle name="7_041221_단가계약파일_041221_단가계약파일_(분리)BAT관리 SHEET 기타 2_(분리)BAT관리 SHEET 158 7월1주차+국판1차_이랜텍_TEM 2010 1Q offer preparation v1_090916_TEM 2010 1Q offer final v3_090929" xfId="15207"/>
    <cellStyle name="7_041221_단가계약파일_041221_단가계약파일_(분리)BAT관리 SHEET 기타 2_(분리)BAT관리 SHEET 158 7월1주차+국판1차_이랜텍_TEM 2010 1Q offer preparation v1_090916_TEM 2010 1Q offer final v3_091005" xfId="15208"/>
    <cellStyle name="7_041221_단가계약파일_041221_단가계약파일_(분리)BAT관리 SHEET 기타 2_(분리)BAT관리 SHEET 158 7월1주차+국판1차_이랜텍_TEM 2010 1Q offer preparation v1_090916_TEM 2010 1Q offer_091006" xfId="15209"/>
    <cellStyle name="7_041221_단가계약파일_041221_단가계약파일_(분리)BAT관리 SHEET 기타 2_(분리)BAT관리 SHEET 158 7월1주차+국판1차_이랜텍_TEM 2010 1Q offer preparation v1_090916_TEM 2010 1Q offer_091014" xfId="15210"/>
    <cellStyle name="7_041221_단가계약파일_041221_단가계약파일_(분리)BAT관리 SHEET 기타 2_(분리)BAT관리 SHEET 158 7월1주차+국판1차_이랜텍_TEM 2010 1Q offer preparation v1_090916_TEM 2010 1Q offer_091015" xfId="15211"/>
    <cellStyle name="7_041221_단가계약파일_041221_단가계약파일_(분리)BAT관리 SHEET 기타 2_(분리)BAT관리 SHEET 158 7월1주차+국판1차_이랜텍_TEM 2010 1Q offer preparation v3_090917" xfId="15212"/>
    <cellStyle name="7_041221_단가계약파일_041221_단가계약파일_(분리)BAT관리 SHEET 기타 2_(분리)BAT관리 SHEET 158 7월1주차+국판1차_이랜텍_TEM 2010 1Q offer preparation v3_090917_TEM 2010 1Q offer final v3_090929" xfId="15213"/>
    <cellStyle name="7_041221_단가계약파일_041221_단가계약파일_(분리)BAT관리 SHEET 기타 2_(분리)BAT관리 SHEET 158 7월1주차+국판1차_이랜텍_TEM 2010 1Q offer preparation v3_090917_TEM 2010 1Q offer final v3_091005" xfId="15214"/>
    <cellStyle name="7_041221_단가계약파일_041221_단가계약파일_(분리)BAT관리 SHEET 기타 2_(분리)BAT관리 SHEET 158 7월1주차+국판1차_이랜텍_TEM 2010 1Q offer preparation v3_090917_TEM 2010 1Q offer_091006" xfId="15215"/>
    <cellStyle name="7_041221_단가계약파일_041221_단가계약파일_(분리)BAT관리 SHEET 기타 2_(분리)BAT관리 SHEET 158 7월1주차+국판1차_이랜텍_TEM 2010 1Q offer preparation v3_090917_TEM 2010 1Q offer_091014" xfId="15216"/>
    <cellStyle name="7_041221_단가계약파일_041221_단가계약파일_(분리)BAT관리 SHEET 기타 2_(분리)BAT관리 SHEET 158 7월1주차+국판1차_이랜텍_TEM 2010 1Q offer preparation v3_090917_TEM 2010 1Q offer_091015" xfId="15217"/>
    <cellStyle name="7_041221_단가계약파일_041221_단가계약파일_(분리)BAT관리 SHEET 기타 2_(분리)BAT관리 SHEET 159 7월1주차+국판1차" xfId="15218"/>
    <cellStyle name="7_041221_단가계약파일_041221_단가계약파일_(분리)BAT관리 SHEET 기타 2_(분리)BAT관리 SHEET 159 7월1주차+국판1차_10Q1 2차 가격안(시뮬레이션)_OH변경후_2" xfId="15219"/>
    <cellStyle name="7_041221_단가계약파일_041221_단가계약파일_(분리)BAT관리 SHEET 기타 2_(분리)BAT관리 SHEET 159 7월1주차+국판1차_Rate" xfId="15220"/>
    <cellStyle name="7_041221_단가계약파일_041221_단가계약파일_(분리)BAT관리 SHEET 기타 2_(분리)BAT관리 SHEET 159 7월1주차+국판1차_Telcel 손익" xfId="15221"/>
    <cellStyle name="7_041221_단가계약파일_041221_단가계약파일_(분리)BAT관리 SHEET 기타 2_(분리)BAT관리 SHEET 159 7월1주차+국판1차_TEM 2010 1Q 2nd offer preparation(손익시뮬)_091027" xfId="15222"/>
    <cellStyle name="7_041221_단가계약파일_041221_단가계약파일_(분리)BAT관리 SHEET 기타 2_(분리)BAT관리 SHEET 159 7월1주차+국판1차_TEM 2010 1Q offer preparation v1_090916" xfId="15223"/>
    <cellStyle name="7_041221_단가계약파일_041221_단가계약파일_(분리)BAT관리 SHEET 기타 2_(분리)BAT관리 SHEET 159 7월1주차+국판1차_TEM 2010 1Q offer preparation v1_090916_TEM 2010 1Q offer final v3_090929" xfId="15224"/>
    <cellStyle name="7_041221_단가계약파일_041221_단가계약파일_(분리)BAT관리 SHEET 기타 2_(분리)BAT관리 SHEET 159 7월1주차+국판1차_TEM 2010 1Q offer preparation v1_090916_TEM 2010 1Q offer final v3_091005" xfId="15225"/>
    <cellStyle name="7_041221_단가계약파일_041221_단가계약파일_(분리)BAT관리 SHEET 기타 2_(분리)BAT관리 SHEET 159 7월1주차+국판1차_TEM 2010 1Q offer preparation v1_090916_TEM 2010 1Q offer_091006" xfId="15226"/>
    <cellStyle name="7_041221_단가계약파일_041221_단가계약파일_(분리)BAT관리 SHEET 기타 2_(분리)BAT관리 SHEET 159 7월1주차+국판1차_TEM 2010 1Q offer preparation v1_090916_TEM 2010 1Q offer_091014" xfId="15227"/>
    <cellStyle name="7_041221_단가계약파일_041221_단가계약파일_(분리)BAT관리 SHEET 기타 2_(분리)BAT관리 SHEET 159 7월1주차+국판1차_TEM 2010 1Q offer preparation v1_090916_TEM 2010 1Q offer_091015" xfId="15228"/>
    <cellStyle name="7_041221_단가계약파일_041221_단가계약파일_(분리)BAT관리 SHEET 기타 2_(분리)BAT관리 SHEET 159 7월1주차+국판1차_TEM 2010 1Q offer preparation v3_090917" xfId="15229"/>
    <cellStyle name="7_041221_단가계약파일_041221_단가계약파일_(분리)BAT관리 SHEET 기타 2_(분리)BAT관리 SHEET 159 7월1주차+국판1차_TEM 2010 1Q offer preparation v3_090917_TEM 2010 1Q offer final v3_090929" xfId="15230"/>
    <cellStyle name="7_041221_단가계약파일_041221_단가계약파일_(분리)BAT관리 SHEET 기타 2_(분리)BAT관리 SHEET 159 7월1주차+국판1차_TEM 2010 1Q offer preparation v3_090917_TEM 2010 1Q offer final v3_091005" xfId="15231"/>
    <cellStyle name="7_041221_단가계약파일_041221_단가계약파일_(분리)BAT관리 SHEET 기타 2_(분리)BAT관리 SHEET 159 7월1주차+국판1차_TEM 2010 1Q offer preparation v3_090917_TEM 2010 1Q offer_091006" xfId="15232"/>
    <cellStyle name="7_041221_단가계약파일_041221_단가계약파일_(분리)BAT관리 SHEET 기타 2_(분리)BAT관리 SHEET 159 7월1주차+국판1차_TEM 2010 1Q offer preparation v3_090917_TEM 2010 1Q offer_091014" xfId="15233"/>
    <cellStyle name="7_041221_단가계약파일_041221_단가계약파일_(분리)BAT관리 SHEET 기타 2_(분리)BAT관리 SHEET 159 7월1주차+국판1차_TEM 2010 1Q offer preparation v3_090917_TEM 2010 1Q offer_091015" xfId="15234"/>
    <cellStyle name="7_041221_단가계약파일_041221_단가계약파일_(분리)BAT관리 SHEET 기타 2_(분리)BAT관리 SHEET 159 7월1주차+국판1차_이랜텍" xfId="15235"/>
    <cellStyle name="7_041221_단가계약파일_041221_단가계약파일_(분리)BAT관리 SHEET 기타 2_(분리)BAT관리 SHEET 159 7월1주차+국판1차_이랜텍_10Q1 2차 가격안(시뮬레이션)_OH변경후_2" xfId="15236"/>
    <cellStyle name="7_041221_단가계약파일_041221_단가계약파일_(분리)BAT관리 SHEET 기타 2_(분리)BAT관리 SHEET 159 7월1주차+국판1차_이랜텍_Rate" xfId="15237"/>
    <cellStyle name="7_041221_단가계약파일_041221_단가계약파일_(분리)BAT관리 SHEET 기타 2_(분리)BAT관리 SHEET 159 7월1주차+국판1차_이랜텍_Telcel 손익" xfId="15238"/>
    <cellStyle name="7_041221_단가계약파일_041221_단가계약파일_(분리)BAT관리 SHEET 기타 2_(분리)BAT관리 SHEET 159 7월1주차+국판1차_이랜텍_TEM 2010 1Q 2nd offer preparation(손익시뮬)_091027" xfId="15239"/>
    <cellStyle name="7_041221_단가계약파일_041221_단가계약파일_(분리)BAT관리 SHEET 기타 2_(분리)BAT관리 SHEET 159 7월1주차+국판1차_이랜텍_TEM 2010 1Q offer preparation v1_090916" xfId="15240"/>
    <cellStyle name="7_041221_단가계약파일_041221_단가계약파일_(분리)BAT관리 SHEET 기타 2_(분리)BAT관리 SHEET 159 7월1주차+국판1차_이랜텍_TEM 2010 1Q offer preparation v1_090916_TEM 2010 1Q offer final v3_090929" xfId="15241"/>
    <cellStyle name="7_041221_단가계약파일_041221_단가계약파일_(분리)BAT관리 SHEET 기타 2_(분리)BAT관리 SHEET 159 7월1주차+국판1차_이랜텍_TEM 2010 1Q offer preparation v1_090916_TEM 2010 1Q offer final v3_091005" xfId="15242"/>
    <cellStyle name="7_041221_단가계약파일_041221_단가계약파일_(분리)BAT관리 SHEET 기타 2_(분리)BAT관리 SHEET 159 7월1주차+국판1차_이랜텍_TEM 2010 1Q offer preparation v1_090916_TEM 2010 1Q offer_091006" xfId="15243"/>
    <cellStyle name="7_041221_단가계약파일_041221_단가계약파일_(분리)BAT관리 SHEET 기타 2_(분리)BAT관리 SHEET 159 7월1주차+국판1차_이랜텍_TEM 2010 1Q offer preparation v1_090916_TEM 2010 1Q offer_091014" xfId="15244"/>
    <cellStyle name="7_041221_단가계약파일_041221_단가계약파일_(분리)BAT관리 SHEET 기타 2_(분리)BAT관리 SHEET 159 7월1주차+국판1차_이랜텍_TEM 2010 1Q offer preparation v1_090916_TEM 2010 1Q offer_091015" xfId="15245"/>
    <cellStyle name="7_041221_단가계약파일_041221_단가계약파일_(분리)BAT관리 SHEET 기타 2_(분리)BAT관리 SHEET 159 7월1주차+국판1차_이랜텍_TEM 2010 1Q offer preparation v3_090917" xfId="15246"/>
    <cellStyle name="7_041221_단가계약파일_041221_단가계약파일_(분리)BAT관리 SHEET 기타 2_(분리)BAT관리 SHEET 159 7월1주차+국판1차_이랜텍_TEM 2010 1Q offer preparation v3_090917_TEM 2010 1Q offer final v3_090929" xfId="15247"/>
    <cellStyle name="7_041221_단가계약파일_041221_단가계약파일_(분리)BAT관리 SHEET 기타 2_(분리)BAT관리 SHEET 159 7월1주차+국판1차_이랜텍_TEM 2010 1Q offer preparation v3_090917_TEM 2010 1Q offer final v3_091005" xfId="15248"/>
    <cellStyle name="7_041221_단가계약파일_041221_단가계약파일_(분리)BAT관리 SHEET 기타 2_(분리)BAT관리 SHEET 159 7월1주차+국판1차_이랜텍_TEM 2010 1Q offer preparation v3_090917_TEM 2010 1Q offer_091006" xfId="15249"/>
    <cellStyle name="7_041221_단가계약파일_041221_단가계약파일_(분리)BAT관리 SHEET 기타 2_(분리)BAT관리 SHEET 159 7월1주차+국판1차_이랜텍_TEM 2010 1Q offer preparation v3_090917_TEM 2010 1Q offer_091014" xfId="15250"/>
    <cellStyle name="7_041221_단가계약파일_041221_단가계약파일_(분리)BAT관리 SHEET 기타 2_(분리)BAT관리 SHEET 159 7월1주차+국판1차_이랜텍_TEM 2010 1Q offer preparation v3_090917_TEM 2010 1Q offer_091015" xfId="15251"/>
    <cellStyle name="7_041221_단가계약파일_041221_단가계약파일_(분리)BAT관리 SHEET 기타 2_10Q1 2차 가격안(시뮬레이션)_OH변경후_2" xfId="15252"/>
    <cellStyle name="7_041221_단가계약파일_041221_단가계약파일_(분리)BAT관리 SHEET 기타 2_Rate" xfId="15253"/>
    <cellStyle name="7_041221_단가계약파일_041221_단가계약파일_(분리)BAT관리 SHEET 기타 2_Telcel 손익" xfId="15254"/>
    <cellStyle name="7_041221_단가계약파일_041221_단가계약파일_(분리)BAT관리 SHEET 기타 2_TEM 2010 1Q 2nd offer preparation(손익시뮬)_091027" xfId="15255"/>
    <cellStyle name="7_041221_단가계약파일_041221_단가계약파일_(분리)BAT관리 SHEET 기타 2_TEM 2010 1Q offer preparation v1_090916" xfId="15256"/>
    <cellStyle name="7_041221_단가계약파일_041221_단가계약파일_(분리)BAT관리 SHEET 기타 2_TEM 2010 1Q offer preparation v1_090916_TEM 2010 1Q offer final v3_090929" xfId="15257"/>
    <cellStyle name="7_041221_단가계약파일_041221_단가계약파일_(분리)BAT관리 SHEET 기타 2_TEM 2010 1Q offer preparation v1_090916_TEM 2010 1Q offer final v3_091005" xfId="15258"/>
    <cellStyle name="7_041221_단가계약파일_041221_단가계약파일_(분리)BAT관리 SHEET 기타 2_TEM 2010 1Q offer preparation v1_090916_TEM 2010 1Q offer_091006" xfId="15259"/>
    <cellStyle name="7_041221_단가계약파일_041221_단가계약파일_(분리)BAT관리 SHEET 기타 2_TEM 2010 1Q offer preparation v1_090916_TEM 2010 1Q offer_091014" xfId="15260"/>
    <cellStyle name="7_041221_단가계약파일_041221_단가계약파일_(분리)BAT관리 SHEET 기타 2_TEM 2010 1Q offer preparation v1_090916_TEM 2010 1Q offer_091015" xfId="15261"/>
    <cellStyle name="7_041221_단가계약파일_041221_단가계약파일_(분리)BAT관리 SHEET 기타 2_TEM 2010 1Q offer preparation v3_090917" xfId="15262"/>
    <cellStyle name="7_041221_단가계약파일_041221_단가계약파일_(분리)BAT관리 SHEET 기타 2_TEM 2010 1Q offer preparation v3_090917_TEM 2010 1Q offer final v3_090929" xfId="15263"/>
    <cellStyle name="7_041221_단가계약파일_041221_단가계약파일_(분리)BAT관리 SHEET 기타 2_TEM 2010 1Q offer preparation v3_090917_TEM 2010 1Q offer final v3_091005" xfId="15264"/>
    <cellStyle name="7_041221_단가계약파일_041221_단가계약파일_(분리)BAT관리 SHEET 기타 2_TEM 2010 1Q offer preparation v3_090917_TEM 2010 1Q offer_091006" xfId="15265"/>
    <cellStyle name="7_041221_단가계약파일_041221_단가계약파일_(분리)BAT관리 SHEET 기타 2_TEM 2010 1Q offer preparation v3_090917_TEM 2010 1Q offer_091014" xfId="15266"/>
    <cellStyle name="7_041221_단가계약파일_041221_단가계약파일_(분리)BAT관리 SHEET 기타 2_TEM 2010 1Q offer preparation v3_090917_TEM 2010 1Q offer_091015" xfId="15267"/>
    <cellStyle name="7_041221_단가계약파일_041221_단가계약파일_(분리)BAT관리 SHEET 기타 2_W2100 현황보고" xfId="15268"/>
    <cellStyle name="7_041221_단가계약파일_041221_단가계약파일_(분리)BAT관리 SHEET 기타 2_W2100 현황보고_10Q1 2차 가격안(시뮬레이션)_OH변경후_2" xfId="15269"/>
    <cellStyle name="7_041221_단가계약파일_041221_단가계약파일_(분리)BAT관리 SHEET 기타 2_W2100 현황보고_Rate" xfId="15270"/>
    <cellStyle name="7_041221_단가계약파일_041221_단가계약파일_(분리)BAT관리 SHEET 기타 2_W2100 현황보고_Telcel 손익" xfId="15271"/>
    <cellStyle name="7_041221_단가계약파일_041221_단가계약파일_(분리)BAT관리 SHEET 기타 2_W2100 현황보고_TEM 2010 1Q 2nd offer preparation(손익시뮬)_091027" xfId="15272"/>
    <cellStyle name="7_041221_단가계약파일_041221_단가계약파일_(분리)BAT관리 SHEET 기타 2_W2100 현황보고_TEM 2010 1Q offer preparation v1_090916" xfId="15273"/>
    <cellStyle name="7_041221_단가계약파일_041221_단가계약파일_(분리)BAT관리 SHEET 기타 2_W2100 현황보고_TEM 2010 1Q offer preparation v1_090916_TEM 2010 1Q offer final v3_090929" xfId="15274"/>
    <cellStyle name="7_041221_단가계약파일_041221_단가계약파일_(분리)BAT관리 SHEET 기타 2_W2100 현황보고_TEM 2010 1Q offer preparation v1_090916_TEM 2010 1Q offer final v3_091005" xfId="15275"/>
    <cellStyle name="7_041221_단가계약파일_041221_단가계약파일_(분리)BAT관리 SHEET 기타 2_W2100 현황보고_TEM 2010 1Q offer preparation v1_090916_TEM 2010 1Q offer_091006" xfId="15276"/>
    <cellStyle name="7_041221_단가계약파일_041221_단가계약파일_(분리)BAT관리 SHEET 기타 2_W2100 현황보고_TEM 2010 1Q offer preparation v1_090916_TEM 2010 1Q offer_091014" xfId="15277"/>
    <cellStyle name="7_041221_단가계약파일_041221_단가계약파일_(분리)BAT관리 SHEET 기타 2_W2100 현황보고_TEM 2010 1Q offer preparation v1_090916_TEM 2010 1Q offer_091015" xfId="15278"/>
    <cellStyle name="7_041221_단가계약파일_041221_단가계약파일_(분리)BAT관리 SHEET 기타 2_W2100 현황보고_TEM 2010 1Q offer preparation v3_090917" xfId="15279"/>
    <cellStyle name="7_041221_단가계약파일_041221_단가계약파일_(분리)BAT관리 SHEET 기타 2_W2100 현황보고_TEM 2010 1Q offer preparation v3_090917_TEM 2010 1Q offer final v3_090929" xfId="15280"/>
    <cellStyle name="7_041221_단가계약파일_041221_단가계약파일_(분리)BAT관리 SHEET 기타 2_W2100 현황보고_TEM 2010 1Q offer preparation v3_090917_TEM 2010 1Q offer final v3_091005" xfId="15281"/>
    <cellStyle name="7_041221_단가계약파일_041221_단가계약파일_(분리)BAT관리 SHEET 기타 2_W2100 현황보고_TEM 2010 1Q offer preparation v3_090917_TEM 2010 1Q offer_091006" xfId="15282"/>
    <cellStyle name="7_041221_단가계약파일_041221_단가계약파일_(분리)BAT관리 SHEET 기타 2_W2100 현황보고_TEM 2010 1Q offer preparation v3_090917_TEM 2010 1Q offer_091014" xfId="15283"/>
    <cellStyle name="7_041221_단가계약파일_041221_단가계약파일_(분리)BAT관리 SHEET 기타 2_W2100 현황보고_TEM 2010 1Q offer preparation v3_090917_TEM 2010 1Q offer_091015" xfId="15284"/>
    <cellStyle name="7_041221_단가계약파일_041221_단가계약파일_(분리)BAT관리 SHEET 기타 2_W2100 현황보고_이랜텍" xfId="15285"/>
    <cellStyle name="7_041221_단가계약파일_041221_단가계약파일_(분리)BAT관리 SHEET 기타 2_W2100 현황보고_이랜텍_10Q1 2차 가격안(시뮬레이션)_OH변경후_2" xfId="15286"/>
    <cellStyle name="7_041221_단가계약파일_041221_단가계약파일_(분리)BAT관리 SHEET 기타 2_W2100 현황보고_이랜텍_Rate" xfId="15287"/>
    <cellStyle name="7_041221_단가계약파일_041221_단가계약파일_(분리)BAT관리 SHEET 기타 2_W2100 현황보고_이랜텍_Telcel 손익" xfId="15288"/>
    <cellStyle name="7_041221_단가계약파일_041221_단가계약파일_(분리)BAT관리 SHEET 기타 2_W2100 현황보고_이랜텍_TEM 2010 1Q 2nd offer preparation(손익시뮬)_091027" xfId="15289"/>
    <cellStyle name="7_041221_단가계약파일_041221_단가계약파일_(분리)BAT관리 SHEET 기타 2_W2100 현황보고_이랜텍_TEM 2010 1Q offer preparation v1_090916" xfId="15290"/>
    <cellStyle name="7_041221_단가계약파일_041221_단가계약파일_(분리)BAT관리 SHEET 기타 2_W2100 현황보고_이랜텍_TEM 2010 1Q offer preparation v1_090916_TEM 2010 1Q offer final v3_090929" xfId="15291"/>
    <cellStyle name="7_041221_단가계약파일_041221_단가계약파일_(분리)BAT관리 SHEET 기타 2_W2100 현황보고_이랜텍_TEM 2010 1Q offer preparation v1_090916_TEM 2010 1Q offer final v3_091005" xfId="15292"/>
    <cellStyle name="7_041221_단가계약파일_041221_단가계약파일_(분리)BAT관리 SHEET 기타 2_W2100 현황보고_이랜텍_TEM 2010 1Q offer preparation v1_090916_TEM 2010 1Q offer_091006" xfId="15293"/>
    <cellStyle name="7_041221_단가계약파일_041221_단가계약파일_(분리)BAT관리 SHEET 기타 2_W2100 현황보고_이랜텍_TEM 2010 1Q offer preparation v1_090916_TEM 2010 1Q offer_091014" xfId="15294"/>
    <cellStyle name="7_041221_단가계약파일_041221_단가계약파일_(분리)BAT관리 SHEET 기타 2_W2100 현황보고_이랜텍_TEM 2010 1Q offer preparation v1_090916_TEM 2010 1Q offer_091015" xfId="15295"/>
    <cellStyle name="7_041221_단가계약파일_041221_단가계약파일_(분리)BAT관리 SHEET 기타 2_W2100 현황보고_이랜텍_TEM 2010 1Q offer preparation v3_090917" xfId="15296"/>
    <cellStyle name="7_041221_단가계약파일_041221_단가계약파일_(분리)BAT관리 SHEET 기타 2_W2100 현황보고_이랜텍_TEM 2010 1Q offer preparation v3_090917_TEM 2010 1Q offer final v3_090929" xfId="15297"/>
    <cellStyle name="7_041221_단가계약파일_041221_단가계약파일_(분리)BAT관리 SHEET 기타 2_W2100 현황보고_이랜텍_TEM 2010 1Q offer preparation v3_090917_TEM 2010 1Q offer final v3_091005" xfId="15298"/>
    <cellStyle name="7_041221_단가계약파일_041221_단가계약파일_(분리)BAT관리 SHEET 기타 2_W2100 현황보고_이랜텍_TEM 2010 1Q offer preparation v3_090917_TEM 2010 1Q offer_091006" xfId="15299"/>
    <cellStyle name="7_041221_단가계약파일_041221_단가계약파일_(분리)BAT관리 SHEET 기타 2_W2100 현황보고_이랜텍_TEM 2010 1Q offer preparation v3_090917_TEM 2010 1Q offer_091014" xfId="15300"/>
    <cellStyle name="7_041221_단가계약파일_041221_단가계약파일_(분리)BAT관리 SHEET 기타 2_W2100 현황보고_이랜텍_TEM 2010 1Q offer preparation v3_090917_TEM 2010 1Q offer_091015" xfId="15301"/>
    <cellStyle name="7_041221_단가계약파일_041221_단가계약파일_(분리)BAT관리 SHEET 기타 4" xfId="15302"/>
    <cellStyle name="7_041221_단가계약파일_041221_단가계약파일_(분리)BAT관리 SHEET 기타 4_(분리)BAT관리 SHEET 158 7월1주차+국판1차" xfId="15303"/>
    <cellStyle name="7_041221_단가계약파일_041221_단가계약파일_(분리)BAT관리 SHEET 기타 4_(분리)BAT관리 SHEET 158 7월1주차+국판1차_10Q1 2차 가격안(시뮬레이션)_OH변경후_2" xfId="15304"/>
    <cellStyle name="7_041221_단가계약파일_041221_단가계약파일_(분리)BAT관리 SHEET 기타 4_(분리)BAT관리 SHEET 158 7월1주차+국판1차_Rate" xfId="15305"/>
    <cellStyle name="7_041221_단가계약파일_041221_단가계약파일_(분리)BAT관리 SHEET 기타 4_(분리)BAT관리 SHEET 158 7월1주차+국판1차_Telcel 손익" xfId="15306"/>
    <cellStyle name="7_041221_단가계약파일_041221_단가계약파일_(분리)BAT관리 SHEET 기타 4_(분리)BAT관리 SHEET 158 7월1주차+국판1차_TEM 2010 1Q 2nd offer preparation(손익시뮬)_091027" xfId="15307"/>
    <cellStyle name="7_041221_단가계약파일_041221_단가계약파일_(분리)BAT관리 SHEET 기타 4_(분리)BAT관리 SHEET 158 7월1주차+국판1차_TEM 2010 1Q offer preparation v1_090916" xfId="15308"/>
    <cellStyle name="7_041221_단가계약파일_041221_단가계약파일_(분리)BAT관리 SHEET 기타 4_(분리)BAT관리 SHEET 158 7월1주차+국판1차_TEM 2010 1Q offer preparation v1_090916_TEM 2010 1Q offer final v3_090929" xfId="15309"/>
    <cellStyle name="7_041221_단가계약파일_041221_단가계약파일_(분리)BAT관리 SHEET 기타 4_(분리)BAT관리 SHEET 158 7월1주차+국판1차_TEM 2010 1Q offer preparation v1_090916_TEM 2010 1Q offer final v3_091005" xfId="15310"/>
    <cellStyle name="7_041221_단가계약파일_041221_단가계약파일_(분리)BAT관리 SHEET 기타 4_(분리)BAT관리 SHEET 158 7월1주차+국판1차_TEM 2010 1Q offer preparation v1_090916_TEM 2010 1Q offer_091006" xfId="15311"/>
    <cellStyle name="7_041221_단가계약파일_041221_단가계약파일_(분리)BAT관리 SHEET 기타 4_(분리)BAT관리 SHEET 158 7월1주차+국판1차_TEM 2010 1Q offer preparation v1_090916_TEM 2010 1Q offer_091014" xfId="15312"/>
    <cellStyle name="7_041221_단가계약파일_041221_단가계약파일_(분리)BAT관리 SHEET 기타 4_(분리)BAT관리 SHEET 158 7월1주차+국판1차_TEM 2010 1Q offer preparation v1_090916_TEM 2010 1Q offer_091015" xfId="15313"/>
    <cellStyle name="7_041221_단가계약파일_041221_단가계약파일_(분리)BAT관리 SHEET 기타 4_(분리)BAT관리 SHEET 158 7월1주차+국판1차_TEM 2010 1Q offer preparation v3_090917" xfId="15314"/>
    <cellStyle name="7_041221_단가계약파일_041221_단가계약파일_(분리)BAT관리 SHEET 기타 4_(분리)BAT관리 SHEET 158 7월1주차+국판1차_TEM 2010 1Q offer preparation v3_090917_TEM 2010 1Q offer final v3_090929" xfId="15315"/>
    <cellStyle name="7_041221_단가계약파일_041221_단가계약파일_(분리)BAT관리 SHEET 기타 4_(분리)BAT관리 SHEET 158 7월1주차+국판1차_TEM 2010 1Q offer preparation v3_090917_TEM 2010 1Q offer final v3_091005" xfId="15316"/>
    <cellStyle name="7_041221_단가계약파일_041221_단가계약파일_(분리)BAT관리 SHEET 기타 4_(분리)BAT관리 SHEET 158 7월1주차+국판1차_TEM 2010 1Q offer preparation v3_090917_TEM 2010 1Q offer_091006" xfId="15317"/>
    <cellStyle name="7_041221_단가계약파일_041221_단가계약파일_(분리)BAT관리 SHEET 기타 4_(분리)BAT관리 SHEET 158 7월1주차+국판1차_TEM 2010 1Q offer preparation v3_090917_TEM 2010 1Q offer_091014" xfId="15318"/>
    <cellStyle name="7_041221_단가계약파일_041221_단가계약파일_(분리)BAT관리 SHEET 기타 4_(분리)BAT관리 SHEET 158 7월1주차+국판1차_TEM 2010 1Q offer preparation v3_090917_TEM 2010 1Q offer_091015" xfId="15319"/>
    <cellStyle name="7_041221_단가계약파일_041221_단가계약파일_(분리)BAT관리 SHEET 기타 4_(분리)BAT관리 SHEET 158 7월1주차+국판1차_이랜텍" xfId="15320"/>
    <cellStyle name="7_041221_단가계약파일_041221_단가계약파일_(분리)BAT관리 SHEET 기타 4_(분리)BAT관리 SHEET 158 7월1주차+국판1차_이랜텍_10Q1 2차 가격안(시뮬레이션)_OH변경후_2" xfId="15321"/>
    <cellStyle name="7_041221_단가계약파일_041221_단가계약파일_(분리)BAT관리 SHEET 기타 4_(분리)BAT관리 SHEET 158 7월1주차+국판1차_이랜텍_Rate" xfId="15322"/>
    <cellStyle name="7_041221_단가계약파일_041221_단가계약파일_(분리)BAT관리 SHEET 기타 4_(분리)BAT관리 SHEET 158 7월1주차+국판1차_이랜텍_Telcel 손익" xfId="15323"/>
    <cellStyle name="7_041221_단가계약파일_041221_단가계약파일_(분리)BAT관리 SHEET 기타 4_(분리)BAT관리 SHEET 158 7월1주차+국판1차_이랜텍_TEM 2010 1Q 2nd offer preparation(손익시뮬)_091027" xfId="15324"/>
    <cellStyle name="7_041221_단가계약파일_041221_단가계약파일_(분리)BAT관리 SHEET 기타 4_(분리)BAT관리 SHEET 158 7월1주차+국판1차_이랜텍_TEM 2010 1Q offer preparation v1_090916" xfId="15325"/>
    <cellStyle name="7_041221_단가계약파일_041221_단가계약파일_(분리)BAT관리 SHEET 기타 4_(분리)BAT관리 SHEET 158 7월1주차+국판1차_이랜텍_TEM 2010 1Q offer preparation v1_090916_TEM 2010 1Q offer final v3_090929" xfId="15326"/>
    <cellStyle name="7_041221_단가계약파일_041221_단가계약파일_(분리)BAT관리 SHEET 기타 4_(분리)BAT관리 SHEET 158 7월1주차+국판1차_이랜텍_TEM 2010 1Q offer preparation v1_090916_TEM 2010 1Q offer final v3_091005" xfId="15327"/>
    <cellStyle name="7_041221_단가계약파일_041221_단가계약파일_(분리)BAT관리 SHEET 기타 4_(분리)BAT관리 SHEET 158 7월1주차+국판1차_이랜텍_TEM 2010 1Q offer preparation v1_090916_TEM 2010 1Q offer_091006" xfId="15328"/>
    <cellStyle name="7_041221_단가계약파일_041221_단가계약파일_(분리)BAT관리 SHEET 기타 4_(분리)BAT관리 SHEET 158 7월1주차+국판1차_이랜텍_TEM 2010 1Q offer preparation v1_090916_TEM 2010 1Q offer_091014" xfId="15329"/>
    <cellStyle name="7_041221_단가계약파일_041221_단가계약파일_(분리)BAT관리 SHEET 기타 4_(분리)BAT관리 SHEET 158 7월1주차+국판1차_이랜텍_TEM 2010 1Q offer preparation v1_090916_TEM 2010 1Q offer_091015" xfId="15330"/>
    <cellStyle name="7_041221_단가계약파일_041221_단가계약파일_(분리)BAT관리 SHEET 기타 4_(분리)BAT관리 SHEET 158 7월1주차+국판1차_이랜텍_TEM 2010 1Q offer preparation v3_090917" xfId="15331"/>
    <cellStyle name="7_041221_단가계약파일_041221_단가계약파일_(분리)BAT관리 SHEET 기타 4_(분리)BAT관리 SHEET 158 7월1주차+국판1차_이랜텍_TEM 2010 1Q offer preparation v3_090917_TEM 2010 1Q offer final v3_090929" xfId="15332"/>
    <cellStyle name="7_041221_단가계약파일_041221_단가계약파일_(분리)BAT관리 SHEET 기타 4_(분리)BAT관리 SHEET 158 7월1주차+국판1차_이랜텍_TEM 2010 1Q offer preparation v3_090917_TEM 2010 1Q offer final v3_091005" xfId="15333"/>
    <cellStyle name="7_041221_단가계약파일_041221_단가계약파일_(분리)BAT관리 SHEET 기타 4_(분리)BAT관리 SHEET 158 7월1주차+국판1차_이랜텍_TEM 2010 1Q offer preparation v3_090917_TEM 2010 1Q offer_091006" xfId="15334"/>
    <cellStyle name="7_041221_단가계약파일_041221_단가계약파일_(분리)BAT관리 SHEET 기타 4_(분리)BAT관리 SHEET 158 7월1주차+국판1차_이랜텍_TEM 2010 1Q offer preparation v3_090917_TEM 2010 1Q offer_091014" xfId="15335"/>
    <cellStyle name="7_041221_단가계약파일_041221_단가계약파일_(분리)BAT관리 SHEET 기타 4_(분리)BAT관리 SHEET 158 7월1주차+국판1차_이랜텍_TEM 2010 1Q offer preparation v3_090917_TEM 2010 1Q offer_091015" xfId="15336"/>
    <cellStyle name="7_041221_단가계약파일_041221_단가계약파일_(분리)BAT관리 SHEET 기타 4_(분리)BAT관리 SHEET 159 7월1주차+국판1차" xfId="15337"/>
    <cellStyle name="7_041221_단가계약파일_041221_단가계약파일_(분리)BAT관리 SHEET 기타 4_(분리)BAT관리 SHEET 159 7월1주차+국판1차_10Q1 2차 가격안(시뮬레이션)_OH변경후_2" xfId="15338"/>
    <cellStyle name="7_041221_단가계약파일_041221_단가계약파일_(분리)BAT관리 SHEET 기타 4_(분리)BAT관리 SHEET 159 7월1주차+국판1차_Rate" xfId="15339"/>
    <cellStyle name="7_041221_단가계약파일_041221_단가계약파일_(분리)BAT관리 SHEET 기타 4_(분리)BAT관리 SHEET 159 7월1주차+국판1차_Telcel 손익" xfId="15340"/>
    <cellStyle name="7_041221_단가계약파일_041221_단가계약파일_(분리)BAT관리 SHEET 기타 4_(분리)BAT관리 SHEET 159 7월1주차+국판1차_TEM 2010 1Q 2nd offer preparation(손익시뮬)_091027" xfId="15341"/>
    <cellStyle name="7_041221_단가계약파일_041221_단가계약파일_(분리)BAT관리 SHEET 기타 4_(분리)BAT관리 SHEET 159 7월1주차+국판1차_TEM 2010 1Q offer preparation v1_090916" xfId="15342"/>
    <cellStyle name="7_041221_단가계약파일_041221_단가계약파일_(분리)BAT관리 SHEET 기타 4_(분리)BAT관리 SHEET 159 7월1주차+국판1차_TEM 2010 1Q offer preparation v1_090916_TEM 2010 1Q offer final v3_090929" xfId="15343"/>
    <cellStyle name="7_041221_단가계약파일_041221_단가계약파일_(분리)BAT관리 SHEET 기타 4_(분리)BAT관리 SHEET 159 7월1주차+국판1차_TEM 2010 1Q offer preparation v1_090916_TEM 2010 1Q offer final v3_091005" xfId="15344"/>
    <cellStyle name="7_041221_단가계약파일_041221_단가계약파일_(분리)BAT관리 SHEET 기타 4_(분리)BAT관리 SHEET 159 7월1주차+국판1차_TEM 2010 1Q offer preparation v1_090916_TEM 2010 1Q offer_091006" xfId="15345"/>
    <cellStyle name="7_041221_단가계약파일_041221_단가계약파일_(분리)BAT관리 SHEET 기타 4_(분리)BAT관리 SHEET 159 7월1주차+국판1차_TEM 2010 1Q offer preparation v1_090916_TEM 2010 1Q offer_091014" xfId="15346"/>
    <cellStyle name="7_041221_단가계약파일_041221_단가계약파일_(분리)BAT관리 SHEET 기타 4_(분리)BAT관리 SHEET 159 7월1주차+국판1차_TEM 2010 1Q offer preparation v1_090916_TEM 2010 1Q offer_091015" xfId="15347"/>
    <cellStyle name="7_041221_단가계약파일_041221_단가계약파일_(분리)BAT관리 SHEET 기타 4_(분리)BAT관리 SHEET 159 7월1주차+국판1차_TEM 2010 1Q offer preparation v3_090917" xfId="15348"/>
    <cellStyle name="7_041221_단가계약파일_041221_단가계약파일_(분리)BAT관리 SHEET 기타 4_(분리)BAT관리 SHEET 159 7월1주차+국판1차_TEM 2010 1Q offer preparation v3_090917_TEM 2010 1Q offer final v3_090929" xfId="15349"/>
    <cellStyle name="7_041221_단가계약파일_041221_단가계약파일_(분리)BAT관리 SHEET 기타 4_(분리)BAT관리 SHEET 159 7월1주차+국판1차_TEM 2010 1Q offer preparation v3_090917_TEM 2010 1Q offer final v3_091005" xfId="15350"/>
    <cellStyle name="7_041221_단가계약파일_041221_단가계약파일_(분리)BAT관리 SHEET 기타 4_(분리)BAT관리 SHEET 159 7월1주차+국판1차_TEM 2010 1Q offer preparation v3_090917_TEM 2010 1Q offer_091006" xfId="15351"/>
    <cellStyle name="7_041221_단가계약파일_041221_단가계약파일_(분리)BAT관리 SHEET 기타 4_(분리)BAT관리 SHEET 159 7월1주차+국판1차_TEM 2010 1Q offer preparation v3_090917_TEM 2010 1Q offer_091014" xfId="15352"/>
    <cellStyle name="7_041221_단가계약파일_041221_단가계약파일_(분리)BAT관리 SHEET 기타 4_(분리)BAT관리 SHEET 159 7월1주차+국판1차_TEM 2010 1Q offer preparation v3_090917_TEM 2010 1Q offer_091015" xfId="15353"/>
    <cellStyle name="7_041221_단가계약파일_041221_단가계약파일_(분리)BAT관리 SHEET 기타 4_(분리)BAT관리 SHEET 159 7월1주차+국판1차_이랜텍" xfId="15354"/>
    <cellStyle name="7_041221_단가계약파일_041221_단가계약파일_(분리)BAT관리 SHEET 기타 4_(분리)BAT관리 SHEET 159 7월1주차+국판1차_이랜텍_10Q1 2차 가격안(시뮬레이션)_OH변경후_2" xfId="15355"/>
    <cellStyle name="7_041221_단가계약파일_041221_단가계약파일_(분리)BAT관리 SHEET 기타 4_(분리)BAT관리 SHEET 159 7월1주차+국판1차_이랜텍_Rate" xfId="15356"/>
    <cellStyle name="7_041221_단가계약파일_041221_단가계약파일_(분리)BAT관리 SHEET 기타 4_(분리)BAT관리 SHEET 159 7월1주차+국판1차_이랜텍_Telcel 손익" xfId="15357"/>
    <cellStyle name="7_041221_단가계약파일_041221_단가계약파일_(분리)BAT관리 SHEET 기타 4_(분리)BAT관리 SHEET 159 7월1주차+국판1차_이랜텍_TEM 2010 1Q 2nd offer preparation(손익시뮬)_091027" xfId="15358"/>
    <cellStyle name="7_041221_단가계약파일_041221_단가계약파일_(분리)BAT관리 SHEET 기타 4_(분리)BAT관리 SHEET 159 7월1주차+국판1차_이랜텍_TEM 2010 1Q offer preparation v1_090916" xfId="15359"/>
    <cellStyle name="7_041221_단가계약파일_041221_단가계약파일_(분리)BAT관리 SHEET 기타 4_(분리)BAT관리 SHEET 159 7월1주차+국판1차_이랜텍_TEM 2010 1Q offer preparation v1_090916_TEM 2010 1Q offer final v3_090929" xfId="15360"/>
    <cellStyle name="7_041221_단가계약파일_041221_단가계약파일_(분리)BAT관리 SHEET 기타 4_(분리)BAT관리 SHEET 159 7월1주차+국판1차_이랜텍_TEM 2010 1Q offer preparation v1_090916_TEM 2010 1Q offer final v3_091005" xfId="15361"/>
    <cellStyle name="7_041221_단가계약파일_041221_단가계약파일_(분리)BAT관리 SHEET 기타 4_(분리)BAT관리 SHEET 159 7월1주차+국판1차_이랜텍_TEM 2010 1Q offer preparation v1_090916_TEM 2010 1Q offer_091006" xfId="15362"/>
    <cellStyle name="7_041221_단가계약파일_041221_단가계약파일_(분리)BAT관리 SHEET 기타 4_(분리)BAT관리 SHEET 159 7월1주차+국판1차_이랜텍_TEM 2010 1Q offer preparation v1_090916_TEM 2010 1Q offer_091014" xfId="15363"/>
    <cellStyle name="7_041221_단가계약파일_041221_단가계약파일_(분리)BAT관리 SHEET 기타 4_(분리)BAT관리 SHEET 159 7월1주차+국판1차_이랜텍_TEM 2010 1Q offer preparation v1_090916_TEM 2010 1Q offer_091015" xfId="15364"/>
    <cellStyle name="7_041221_단가계약파일_041221_단가계약파일_(분리)BAT관리 SHEET 기타 4_(분리)BAT관리 SHEET 159 7월1주차+국판1차_이랜텍_TEM 2010 1Q offer preparation v3_090917" xfId="15365"/>
    <cellStyle name="7_041221_단가계약파일_041221_단가계약파일_(분리)BAT관리 SHEET 기타 4_(분리)BAT관리 SHEET 159 7월1주차+국판1차_이랜텍_TEM 2010 1Q offer preparation v3_090917_TEM 2010 1Q offer final v3_090929" xfId="15366"/>
    <cellStyle name="7_041221_단가계약파일_041221_단가계약파일_(분리)BAT관리 SHEET 기타 4_(분리)BAT관리 SHEET 159 7월1주차+국판1차_이랜텍_TEM 2010 1Q offer preparation v3_090917_TEM 2010 1Q offer final v3_091005" xfId="15367"/>
    <cellStyle name="7_041221_단가계약파일_041221_단가계약파일_(분리)BAT관리 SHEET 기타 4_(분리)BAT관리 SHEET 159 7월1주차+국판1차_이랜텍_TEM 2010 1Q offer preparation v3_090917_TEM 2010 1Q offer_091006" xfId="15368"/>
    <cellStyle name="7_041221_단가계약파일_041221_단가계약파일_(분리)BAT관리 SHEET 기타 4_(분리)BAT관리 SHEET 159 7월1주차+국판1차_이랜텍_TEM 2010 1Q offer preparation v3_090917_TEM 2010 1Q offer_091014" xfId="15369"/>
    <cellStyle name="7_041221_단가계약파일_041221_단가계약파일_(분리)BAT관리 SHEET 기타 4_(분리)BAT관리 SHEET 159 7월1주차+국판1차_이랜텍_TEM 2010 1Q offer preparation v3_090917_TEM 2010 1Q offer_091015" xfId="15370"/>
    <cellStyle name="7_041221_단가계약파일_041221_단가계약파일_(분리)BAT관리 SHEET 기타 4_10Q1 2차 가격안(시뮬레이션)_OH변경후_2" xfId="15371"/>
    <cellStyle name="7_041221_단가계약파일_041221_단가계약파일_(분리)BAT관리 SHEET 기타 4_Rate" xfId="15372"/>
    <cellStyle name="7_041221_단가계약파일_041221_단가계약파일_(분리)BAT관리 SHEET 기타 4_Telcel 손익" xfId="15373"/>
    <cellStyle name="7_041221_단가계약파일_041221_단가계약파일_(분리)BAT관리 SHEET 기타 4_TEM 2010 1Q 2nd offer preparation(손익시뮬)_091027" xfId="15374"/>
    <cellStyle name="7_041221_단가계약파일_041221_단가계약파일_(분리)BAT관리 SHEET 기타 4_TEM 2010 1Q offer preparation v1_090916" xfId="15375"/>
    <cellStyle name="7_041221_단가계약파일_041221_단가계약파일_(분리)BAT관리 SHEET 기타 4_TEM 2010 1Q offer preparation v1_090916_TEM 2010 1Q offer final v3_090929" xfId="15376"/>
    <cellStyle name="7_041221_단가계약파일_041221_단가계약파일_(분리)BAT관리 SHEET 기타 4_TEM 2010 1Q offer preparation v1_090916_TEM 2010 1Q offer final v3_091005" xfId="15377"/>
    <cellStyle name="7_041221_단가계약파일_041221_단가계약파일_(분리)BAT관리 SHEET 기타 4_TEM 2010 1Q offer preparation v1_090916_TEM 2010 1Q offer_091006" xfId="15378"/>
    <cellStyle name="7_041221_단가계약파일_041221_단가계약파일_(분리)BAT관리 SHEET 기타 4_TEM 2010 1Q offer preparation v1_090916_TEM 2010 1Q offer_091014" xfId="15379"/>
    <cellStyle name="7_041221_단가계약파일_041221_단가계약파일_(분리)BAT관리 SHEET 기타 4_TEM 2010 1Q offer preparation v1_090916_TEM 2010 1Q offer_091015" xfId="15380"/>
    <cellStyle name="7_041221_단가계약파일_041221_단가계약파일_(분리)BAT관리 SHEET 기타 4_TEM 2010 1Q offer preparation v3_090917" xfId="15381"/>
    <cellStyle name="7_041221_단가계약파일_041221_단가계약파일_(분리)BAT관리 SHEET 기타 4_TEM 2010 1Q offer preparation v3_090917_TEM 2010 1Q offer final v3_090929" xfId="15382"/>
    <cellStyle name="7_041221_단가계약파일_041221_단가계약파일_(분리)BAT관리 SHEET 기타 4_TEM 2010 1Q offer preparation v3_090917_TEM 2010 1Q offer final v3_091005" xfId="15383"/>
    <cellStyle name="7_041221_단가계약파일_041221_단가계약파일_(분리)BAT관리 SHEET 기타 4_TEM 2010 1Q offer preparation v3_090917_TEM 2010 1Q offer_091006" xfId="15384"/>
    <cellStyle name="7_041221_단가계약파일_041221_단가계약파일_(분리)BAT관리 SHEET 기타 4_TEM 2010 1Q offer preparation v3_090917_TEM 2010 1Q offer_091014" xfId="15385"/>
    <cellStyle name="7_041221_단가계약파일_041221_단가계약파일_(분리)BAT관리 SHEET 기타 4_TEM 2010 1Q offer preparation v3_090917_TEM 2010 1Q offer_091015" xfId="15386"/>
    <cellStyle name="7_041221_단가계약파일_041221_단가계약파일_(분리)BAT관리 SHEET 기타 4_W2100 현황보고" xfId="15387"/>
    <cellStyle name="7_041221_단가계약파일_041221_단가계약파일_(분리)BAT관리 SHEET 기타 4_W2100 현황보고_10Q1 2차 가격안(시뮬레이션)_OH변경후_2" xfId="15388"/>
    <cellStyle name="7_041221_단가계약파일_041221_단가계약파일_(분리)BAT관리 SHEET 기타 4_W2100 현황보고_Rate" xfId="15389"/>
    <cellStyle name="7_041221_단가계약파일_041221_단가계약파일_(분리)BAT관리 SHEET 기타 4_W2100 현황보고_Telcel 손익" xfId="15390"/>
    <cellStyle name="7_041221_단가계약파일_041221_단가계약파일_(분리)BAT관리 SHEET 기타 4_W2100 현황보고_TEM 2010 1Q 2nd offer preparation(손익시뮬)_091027" xfId="15391"/>
    <cellStyle name="7_041221_단가계약파일_041221_단가계약파일_(분리)BAT관리 SHEET 기타 4_W2100 현황보고_TEM 2010 1Q offer preparation v1_090916" xfId="15392"/>
    <cellStyle name="7_041221_단가계약파일_041221_단가계약파일_(분리)BAT관리 SHEET 기타 4_W2100 현황보고_TEM 2010 1Q offer preparation v1_090916_TEM 2010 1Q offer final v3_090929" xfId="15393"/>
    <cellStyle name="7_041221_단가계약파일_041221_단가계약파일_(분리)BAT관리 SHEET 기타 4_W2100 현황보고_TEM 2010 1Q offer preparation v1_090916_TEM 2010 1Q offer final v3_091005" xfId="15394"/>
    <cellStyle name="7_041221_단가계약파일_041221_단가계약파일_(분리)BAT관리 SHEET 기타 4_W2100 현황보고_TEM 2010 1Q offer preparation v1_090916_TEM 2010 1Q offer_091006" xfId="15395"/>
    <cellStyle name="7_041221_단가계약파일_041221_단가계약파일_(분리)BAT관리 SHEET 기타 4_W2100 현황보고_TEM 2010 1Q offer preparation v1_090916_TEM 2010 1Q offer_091014" xfId="15396"/>
    <cellStyle name="7_041221_단가계약파일_041221_단가계약파일_(분리)BAT관리 SHEET 기타 4_W2100 현황보고_TEM 2010 1Q offer preparation v1_090916_TEM 2010 1Q offer_091015" xfId="15397"/>
    <cellStyle name="7_041221_단가계약파일_041221_단가계약파일_(분리)BAT관리 SHEET 기타 4_W2100 현황보고_TEM 2010 1Q offer preparation v3_090917" xfId="15398"/>
    <cellStyle name="7_041221_단가계약파일_041221_단가계약파일_(분리)BAT관리 SHEET 기타 4_W2100 현황보고_TEM 2010 1Q offer preparation v3_090917_TEM 2010 1Q offer final v3_090929" xfId="15399"/>
    <cellStyle name="7_041221_단가계약파일_041221_단가계약파일_(분리)BAT관리 SHEET 기타 4_W2100 현황보고_TEM 2010 1Q offer preparation v3_090917_TEM 2010 1Q offer final v3_091005" xfId="15400"/>
    <cellStyle name="7_041221_단가계약파일_041221_단가계약파일_(분리)BAT관리 SHEET 기타 4_W2100 현황보고_TEM 2010 1Q offer preparation v3_090917_TEM 2010 1Q offer_091006" xfId="15401"/>
    <cellStyle name="7_041221_단가계약파일_041221_단가계약파일_(분리)BAT관리 SHEET 기타 4_W2100 현황보고_TEM 2010 1Q offer preparation v3_090917_TEM 2010 1Q offer_091014" xfId="15402"/>
    <cellStyle name="7_041221_단가계약파일_041221_단가계약파일_(분리)BAT관리 SHEET 기타 4_W2100 현황보고_TEM 2010 1Q offer preparation v3_090917_TEM 2010 1Q offer_091015" xfId="15403"/>
    <cellStyle name="7_041221_단가계약파일_041221_단가계약파일_(분리)BAT관리 SHEET 기타 4_W2100 현황보고_이랜텍" xfId="15404"/>
    <cellStyle name="7_041221_단가계약파일_041221_단가계약파일_(분리)BAT관리 SHEET 기타 4_W2100 현황보고_이랜텍_10Q1 2차 가격안(시뮬레이션)_OH변경후_2" xfId="15405"/>
    <cellStyle name="7_041221_단가계약파일_041221_단가계약파일_(분리)BAT관리 SHEET 기타 4_W2100 현황보고_이랜텍_Rate" xfId="15406"/>
    <cellStyle name="7_041221_단가계약파일_041221_단가계약파일_(분리)BAT관리 SHEET 기타 4_W2100 현황보고_이랜텍_Telcel 손익" xfId="15407"/>
    <cellStyle name="7_041221_단가계약파일_041221_단가계약파일_(분리)BAT관리 SHEET 기타 4_W2100 현황보고_이랜텍_TEM 2010 1Q 2nd offer preparation(손익시뮬)_091027" xfId="15408"/>
    <cellStyle name="7_041221_단가계약파일_041221_단가계약파일_(분리)BAT관리 SHEET 기타 4_W2100 현황보고_이랜텍_TEM 2010 1Q offer preparation v1_090916" xfId="15409"/>
    <cellStyle name="7_041221_단가계약파일_041221_단가계약파일_(분리)BAT관리 SHEET 기타 4_W2100 현황보고_이랜텍_TEM 2010 1Q offer preparation v1_090916_TEM 2010 1Q offer final v3_090929" xfId="15410"/>
    <cellStyle name="7_041221_단가계약파일_041221_단가계약파일_(분리)BAT관리 SHEET 기타 4_W2100 현황보고_이랜텍_TEM 2010 1Q offer preparation v1_090916_TEM 2010 1Q offer final v3_091005" xfId="15411"/>
    <cellStyle name="7_041221_단가계약파일_041221_단가계약파일_(분리)BAT관리 SHEET 기타 4_W2100 현황보고_이랜텍_TEM 2010 1Q offer preparation v1_090916_TEM 2010 1Q offer_091006" xfId="15412"/>
    <cellStyle name="7_041221_단가계약파일_041221_단가계약파일_(분리)BAT관리 SHEET 기타 4_W2100 현황보고_이랜텍_TEM 2010 1Q offer preparation v1_090916_TEM 2010 1Q offer_091014" xfId="15413"/>
    <cellStyle name="7_041221_단가계약파일_041221_단가계약파일_(분리)BAT관리 SHEET 기타 4_W2100 현황보고_이랜텍_TEM 2010 1Q offer preparation v1_090916_TEM 2010 1Q offer_091015" xfId="15414"/>
    <cellStyle name="7_041221_단가계약파일_041221_단가계약파일_(분리)BAT관리 SHEET 기타 4_W2100 현황보고_이랜텍_TEM 2010 1Q offer preparation v3_090917" xfId="15415"/>
    <cellStyle name="7_041221_단가계약파일_041221_단가계약파일_(분리)BAT관리 SHEET 기타 4_W2100 현황보고_이랜텍_TEM 2010 1Q offer preparation v3_090917_TEM 2010 1Q offer final v3_090929" xfId="15416"/>
    <cellStyle name="7_041221_단가계약파일_041221_단가계약파일_(분리)BAT관리 SHEET 기타 4_W2100 현황보고_이랜텍_TEM 2010 1Q offer preparation v3_090917_TEM 2010 1Q offer final v3_091005" xfId="15417"/>
    <cellStyle name="7_041221_단가계약파일_041221_단가계약파일_(분리)BAT관리 SHEET 기타 4_W2100 현황보고_이랜텍_TEM 2010 1Q offer preparation v3_090917_TEM 2010 1Q offer_091006" xfId="15418"/>
    <cellStyle name="7_041221_단가계약파일_041221_단가계약파일_(분리)BAT관리 SHEET 기타 4_W2100 현황보고_이랜텍_TEM 2010 1Q offer preparation v3_090917_TEM 2010 1Q offer_091014" xfId="15419"/>
    <cellStyle name="7_041221_단가계약파일_041221_단가계약파일_(분리)BAT관리 SHEET 기타 4_W2100 현황보고_이랜텍_TEM 2010 1Q offer preparation v3_090917_TEM 2010 1Q offer_091015" xfId="15420"/>
    <cellStyle name="7_041221_단가계약파일_041221_단가계약파일_10Q1 2차 가격안(시뮬레이션)_OH변경후_2" xfId="15421"/>
    <cellStyle name="7_041221_단가계약파일_041221_단가계약파일_Rate" xfId="15422"/>
    <cellStyle name="7_041221_단가계약파일_041221_단가계약파일_Telcel 손익" xfId="15423"/>
    <cellStyle name="7_041221_단가계약파일_041221_단가계약파일_TEM 2010 1Q 2nd offer preparation(손익시뮬)_091027" xfId="15424"/>
    <cellStyle name="7_041221_단가계약파일_041221_단가계약파일_TEM 2010 1Q offer preparation v1_090916" xfId="15425"/>
    <cellStyle name="7_041221_단가계약파일_041221_단가계약파일_TEM 2010 1Q offer preparation v1_090916_TEM 2010 1Q offer final v3_090929" xfId="15426"/>
    <cellStyle name="7_041221_단가계약파일_041221_단가계약파일_TEM 2010 1Q offer preparation v1_090916_TEM 2010 1Q offer final v3_091005" xfId="15427"/>
    <cellStyle name="7_041221_단가계약파일_041221_단가계약파일_TEM 2010 1Q offer preparation v1_090916_TEM 2010 1Q offer_091006" xfId="15428"/>
    <cellStyle name="7_041221_단가계약파일_041221_단가계약파일_TEM 2010 1Q offer preparation v1_090916_TEM 2010 1Q offer_091014" xfId="15429"/>
    <cellStyle name="7_041221_단가계약파일_041221_단가계약파일_TEM 2010 1Q offer preparation v1_090916_TEM 2010 1Q offer_091015" xfId="15430"/>
    <cellStyle name="7_041221_단가계약파일_041221_단가계약파일_TEM 2010 1Q offer preparation v3_090917" xfId="15431"/>
    <cellStyle name="7_041221_단가계약파일_041221_단가계약파일_TEM 2010 1Q offer preparation v3_090917_TEM 2010 1Q offer final v3_090929" xfId="15432"/>
    <cellStyle name="7_041221_단가계약파일_041221_단가계약파일_TEM 2010 1Q offer preparation v3_090917_TEM 2010 1Q offer final v3_091005" xfId="15433"/>
    <cellStyle name="7_041221_단가계약파일_041221_단가계약파일_TEM 2010 1Q offer preparation v3_090917_TEM 2010 1Q offer_091006" xfId="15434"/>
    <cellStyle name="7_041221_단가계약파일_041221_단가계약파일_TEM 2010 1Q offer preparation v3_090917_TEM 2010 1Q offer_091014" xfId="15435"/>
    <cellStyle name="7_041221_단가계약파일_041221_단가계약파일_TEM 2010 1Q offer preparation v3_090917_TEM 2010 1Q offer_091015" xfId="15436"/>
    <cellStyle name="7_041221_단가계약파일_041221_단가계약파일_이랜텍" xfId="15437"/>
    <cellStyle name="7_041221_단가계약파일_041221_단가계약파일_이랜텍_10Q1 2차 가격안(시뮬레이션)_OH변경후_2" xfId="15438"/>
    <cellStyle name="7_041221_단가계약파일_041221_단가계약파일_이랜텍_Rate" xfId="15439"/>
    <cellStyle name="7_041221_단가계약파일_041221_단가계약파일_이랜텍_Telcel 손익" xfId="15440"/>
    <cellStyle name="7_041221_단가계약파일_041221_단가계약파일_이랜텍_TEM 2010 1Q 2nd offer preparation(손익시뮬)_091027" xfId="15441"/>
    <cellStyle name="7_041221_단가계약파일_041221_단가계약파일_이랜텍_TEM 2010 1Q offer preparation v1_090916" xfId="15442"/>
    <cellStyle name="7_041221_단가계약파일_041221_단가계약파일_이랜텍_TEM 2010 1Q offer preparation v1_090916_TEM 2010 1Q offer final v3_090929" xfId="15443"/>
    <cellStyle name="7_041221_단가계약파일_041221_단가계약파일_이랜텍_TEM 2010 1Q offer preparation v1_090916_TEM 2010 1Q offer final v3_091005" xfId="15444"/>
    <cellStyle name="7_041221_단가계약파일_041221_단가계약파일_이랜텍_TEM 2010 1Q offer preparation v1_090916_TEM 2010 1Q offer_091006" xfId="15445"/>
    <cellStyle name="7_041221_단가계약파일_041221_단가계약파일_이랜텍_TEM 2010 1Q offer preparation v1_090916_TEM 2010 1Q offer_091014" xfId="15446"/>
    <cellStyle name="7_041221_단가계약파일_041221_단가계약파일_이랜텍_TEM 2010 1Q offer preparation v1_090916_TEM 2010 1Q offer_091015" xfId="15447"/>
    <cellStyle name="7_041221_단가계약파일_041221_단가계약파일_이랜텍_TEM 2010 1Q offer preparation v3_090917" xfId="15448"/>
    <cellStyle name="7_041221_단가계약파일_041221_단가계약파일_이랜텍_TEM 2010 1Q offer preparation v3_090917_TEM 2010 1Q offer final v3_090929" xfId="15449"/>
    <cellStyle name="7_041221_단가계약파일_041221_단가계약파일_이랜텍_TEM 2010 1Q offer preparation v3_090917_TEM 2010 1Q offer final v3_091005" xfId="15450"/>
    <cellStyle name="7_041221_단가계약파일_041221_단가계약파일_이랜텍_TEM 2010 1Q offer preparation v3_090917_TEM 2010 1Q offer_091006" xfId="15451"/>
    <cellStyle name="7_041221_단가계약파일_041221_단가계약파일_이랜텍_TEM 2010 1Q offer preparation v3_090917_TEM 2010 1Q offer_091014" xfId="15452"/>
    <cellStyle name="7_041221_단가계약파일_041221_단가계약파일_이랜텍_TEM 2010 1Q offer preparation v3_090917_TEM 2010 1Q offer_091015" xfId="15453"/>
    <cellStyle name="7_041221_단가계약파일_10Q1 2차 가격안(시뮬레이션)_OH변경후_2" xfId="15454"/>
    <cellStyle name="7_041221_단가계약파일_Rate" xfId="15455"/>
    <cellStyle name="7_041221_단가계약파일_Telcel 손익" xfId="15456"/>
    <cellStyle name="7_041221_단가계약파일_TEM 2010 1Q 2nd offer preparation(손익시뮬)_091027" xfId="15457"/>
    <cellStyle name="7_041221_단가계약파일_TEM 2010 1Q offer preparation v1_090916" xfId="15458"/>
    <cellStyle name="7_041221_단가계약파일_TEM 2010 1Q offer preparation v1_090916_TEM 2010 1Q offer final v3_090929" xfId="15459"/>
    <cellStyle name="7_041221_단가계약파일_TEM 2010 1Q offer preparation v1_090916_TEM 2010 1Q offer final v3_091005" xfId="15460"/>
    <cellStyle name="7_041221_단가계약파일_TEM 2010 1Q offer preparation v1_090916_TEM 2010 1Q offer_091006" xfId="15461"/>
    <cellStyle name="7_041221_단가계약파일_TEM 2010 1Q offer preparation v1_090916_TEM 2010 1Q offer_091014" xfId="15462"/>
    <cellStyle name="7_041221_단가계약파일_TEM 2010 1Q offer preparation v1_090916_TEM 2010 1Q offer_091015" xfId="15463"/>
    <cellStyle name="7_041221_단가계약파일_TEM 2010 1Q offer preparation v3_090917" xfId="15464"/>
    <cellStyle name="7_041221_단가계약파일_TEM 2010 1Q offer preparation v3_090917_TEM 2010 1Q offer final v3_090929" xfId="15465"/>
    <cellStyle name="7_041221_단가계약파일_TEM 2010 1Q offer preparation v3_090917_TEM 2010 1Q offer final v3_091005" xfId="15466"/>
    <cellStyle name="7_041221_단가계약파일_TEM 2010 1Q offer preparation v3_090917_TEM 2010 1Q offer_091006" xfId="15467"/>
    <cellStyle name="7_041221_단가계약파일_TEM 2010 1Q offer preparation v3_090917_TEM 2010 1Q offer_091014" xfId="15468"/>
    <cellStyle name="7_041221_단가계약파일_TEM 2010 1Q offer preparation v3_090917_TEM 2010 1Q offer_091015" xfId="15469"/>
    <cellStyle name="7_041221_단가계약파일_이랜텍" xfId="15470"/>
    <cellStyle name="7_041221_단가계약파일_이랜텍_10Q1 2차 가격안(시뮬레이션)_OH변경후_2" xfId="15471"/>
    <cellStyle name="7_041221_단가계약파일_이랜텍_Rate" xfId="15472"/>
    <cellStyle name="7_041221_단가계약파일_이랜텍_Telcel 손익" xfId="15473"/>
    <cellStyle name="7_041221_단가계약파일_이랜텍_TEM 2010 1Q 2nd offer preparation(손익시뮬)_091027" xfId="15474"/>
    <cellStyle name="7_041221_단가계약파일_이랜텍_TEM 2010 1Q offer preparation v1_090916" xfId="15475"/>
    <cellStyle name="7_041221_단가계약파일_이랜텍_TEM 2010 1Q offer preparation v1_090916_TEM 2010 1Q offer final v3_090929" xfId="15476"/>
    <cellStyle name="7_041221_단가계약파일_이랜텍_TEM 2010 1Q offer preparation v1_090916_TEM 2010 1Q offer final v3_091005" xfId="15477"/>
    <cellStyle name="7_041221_단가계약파일_이랜텍_TEM 2010 1Q offer preparation v1_090916_TEM 2010 1Q offer_091006" xfId="15478"/>
    <cellStyle name="7_041221_단가계약파일_이랜텍_TEM 2010 1Q offer preparation v1_090916_TEM 2010 1Q offer_091014" xfId="15479"/>
    <cellStyle name="7_041221_단가계약파일_이랜텍_TEM 2010 1Q offer preparation v1_090916_TEM 2010 1Q offer_091015" xfId="15480"/>
    <cellStyle name="7_041221_단가계약파일_이랜텍_TEM 2010 1Q offer preparation v3_090917" xfId="15481"/>
    <cellStyle name="7_041221_단가계약파일_이랜텍_TEM 2010 1Q offer preparation v3_090917_TEM 2010 1Q offer final v3_090929" xfId="15482"/>
    <cellStyle name="7_041221_단가계약파일_이랜텍_TEM 2010 1Q offer preparation v3_090917_TEM 2010 1Q offer final v3_091005" xfId="15483"/>
    <cellStyle name="7_041221_단가계약파일_이랜텍_TEM 2010 1Q offer preparation v3_090917_TEM 2010 1Q offer_091006" xfId="15484"/>
    <cellStyle name="7_041221_단가계약파일_이랜텍_TEM 2010 1Q offer preparation v3_090917_TEM 2010 1Q offer_091014" xfId="15485"/>
    <cellStyle name="7_041221_단가계약파일_이랜텍_TEM 2010 1Q offer preparation v3_090917_TEM 2010 1Q offer_091015" xfId="15486"/>
    <cellStyle name="7_04HTS재료비030902_63342" xfId="15487"/>
    <cellStyle name="7_04HTS재료비030902_63342_flash위기대응재료비_김철귀" xfId="15488"/>
    <cellStyle name="7_04HTS재료비030902_63342_flash위기대응재료비_김철귀_05-06-27 재료비 절감회의" xfId="15489"/>
    <cellStyle name="7_04HTS재료비030902_63342_flash위기대응재료비_김철귀_05-06-27 재료비 절감회의_가격 Simulation 061206" xfId="15490"/>
    <cellStyle name="7_04HTS재료비030902_63342_flash위기대응재료비_김철귀_flash 6월재료비 절감회의0628" xfId="15491"/>
    <cellStyle name="7_04HTS재료비030902_63342_flash위기대응재료비_김철귀_flash 6월재료비 절감회의0628_가격 Simulation 061206" xfId="15492"/>
    <cellStyle name="7_04HTS재료비030902_63342_flash위기대응재료비_김철귀_가격 Simulation 061206" xfId="15493"/>
    <cellStyle name="7_04HTS재료비030902_63342_mini재료비-041001" xfId="15494"/>
    <cellStyle name="7_04HTS재료비030902_63342_mini재료비-041001_flash위기대응재료비_김철귀" xfId="15495"/>
    <cellStyle name="7_04HTS재료비030902_63342_mini재료비-041001_flash위기대응재료비_김철귀_05-06-27 재료비 절감회의" xfId="15496"/>
    <cellStyle name="7_04HTS재료비030902_63342_mini재료비-041001_flash위기대응재료비_김철귀_05-06-27 재료비 절감회의_가격 Simulation 061206" xfId="15497"/>
    <cellStyle name="7_04HTS재료비030902_63342_mini재료비-041001_flash위기대응재료비_김철귀_flash 6월재료비 절감회의0628" xfId="15498"/>
    <cellStyle name="7_04HTS재료비030902_63342_mini재료비-041001_flash위기대응재료비_김철귀_flash 6월재료비 절감회의0628_가격 Simulation 061206" xfId="15499"/>
    <cellStyle name="7_04HTS재료비030902_63342_mini재료비-041001_flash위기대응재료비_김철귀_가격 Simulation 061206" xfId="15500"/>
    <cellStyle name="7_04HTS재료비030902_63342_mini재료비-041001_가격 Simulation 061206" xfId="15501"/>
    <cellStyle name="7_04HTS재료비030902_63342_mini재료비-041001_재료비(Vi)추진(Mini run)" xfId="15502"/>
    <cellStyle name="7_04HTS재료비030902_63342_mini재료비-041001_재료비(Vi)추진(Mini run)_flash위기대응재료비_김철귀" xfId="15503"/>
    <cellStyle name="7_04HTS재료비030902_63342_mini재료비-041001_재료비(Vi)추진(Mini run)_flash위기대응재료비_김철귀_05-06-27 재료비 절감회의" xfId="15504"/>
    <cellStyle name="7_04HTS재료비030902_63342_mini재료비-041001_재료비(Vi)추진(Mini run)_flash위기대응재료비_김철귀_05-06-27 재료비 절감회의_가격 Simulation 061206" xfId="15505"/>
    <cellStyle name="7_04HTS재료비030902_63342_mini재료비-041001_재료비(Vi)추진(Mini run)_flash위기대응재료비_김철귀_flash 6월재료비 절감회의0628" xfId="15506"/>
    <cellStyle name="7_04HTS재료비030902_63342_mini재료비-041001_재료비(Vi)추진(Mini run)_flash위기대응재료비_김철귀_flash 6월재료비 절감회의0628_가격 Simulation 061206" xfId="15507"/>
    <cellStyle name="7_04HTS재료비030902_63342_mini재료비-041001_재료비(Vi)추진(Mini run)_flash위기대응재료비_김철귀_가격 Simulation 061206" xfId="15508"/>
    <cellStyle name="7_04HTS재료비030902_63342_mini재료비-041001_재료비(Vi)추진(Mini run)_가격 Simulation 061206" xfId="15509"/>
    <cellStyle name="7_04HTS재료비030902_63342_가격 Simulation 061206" xfId="15510"/>
    <cellStyle name="7_04HTS재료비030902_63342_자재비절감(회의)-050110_63342" xfId="15511"/>
    <cellStyle name="7_04HTS재료비030902_63342_자재비절감(회의)-050110_63342_flash위기대응재료비_김철귀" xfId="15512"/>
    <cellStyle name="7_04HTS재료비030902_63342_자재비절감(회의)-050110_63342_flash위기대응재료비_김철귀_05-06-27 재료비 절감회의" xfId="15513"/>
    <cellStyle name="7_04HTS재료비030902_63342_자재비절감(회의)-050110_63342_flash위기대응재료비_김철귀_05-06-27 재료비 절감회의_가격 Simulation 061206" xfId="15514"/>
    <cellStyle name="7_04HTS재료비030902_63342_자재비절감(회의)-050110_63342_flash위기대응재료비_김철귀_flash 6월재료비 절감회의0628" xfId="15515"/>
    <cellStyle name="7_04HTS재료비030902_63342_자재비절감(회의)-050110_63342_flash위기대응재료비_김철귀_flash 6월재료비 절감회의0628_가격 Simulation 061206" xfId="15516"/>
    <cellStyle name="7_04HTS재료비030902_63342_자재비절감(회의)-050110_63342_flash위기대응재료비_김철귀_가격 Simulation 061206" xfId="15517"/>
    <cellStyle name="7_04HTS재료비030902_63342_자재비절감(회의)-050110_63342_가격 Simulation 061206" xfId="15518"/>
    <cellStyle name="7_04HTS재료비030902_63342_자재비절감(회의)-050110_63342_재료비(Vi)추진(Mini run)" xfId="15519"/>
    <cellStyle name="7_04HTS재료비030902_63342_자재비절감(회의)-050110_63342_재료비(Vi)추진(Mini run)_flash위기대응재료비_김철귀" xfId="15520"/>
    <cellStyle name="7_04HTS재료비030902_63342_자재비절감(회의)-050110_63342_재료비(Vi)추진(Mini run)_flash위기대응재료비_김철귀_05-06-27 재료비 절감회의" xfId="15521"/>
    <cellStyle name="7_04HTS재료비030902_63342_자재비절감(회의)-050110_63342_재료비(Vi)추진(Mini run)_flash위기대응재료비_김철귀_05-06-27 재료비 절감회의_가격 Simulation 061206" xfId="15522"/>
    <cellStyle name="7_04HTS재료비030902_63342_자재비절감(회의)-050110_63342_재료비(Vi)추진(Mini run)_flash위기대응재료비_김철귀_flash 6월재료비 절감회의0628" xfId="15523"/>
    <cellStyle name="7_04HTS재료비030902_63342_자재비절감(회의)-050110_63342_재료비(Vi)추진(Mini run)_flash위기대응재료비_김철귀_flash 6월재료비 절감회의0628_가격 Simulation 061206" xfId="15524"/>
    <cellStyle name="7_04HTS재료비030902_63342_자재비절감(회의)-050110_63342_재료비(Vi)추진(Mini run)_flash위기대응재료비_김철귀_가격 Simulation 061206" xfId="15525"/>
    <cellStyle name="7_04HTS재료비030902_63342_자재비절감(회의)-050110_63342_재료비(Vi)추진(Mini run)_가격 Simulation 061206" xfId="15526"/>
    <cellStyle name="7_04HTS재료비030902_63342_재료비(Vi)추진(Mini run)" xfId="15527"/>
    <cellStyle name="7_04HTS재료비030902_63342_재료비(Vi)추진(Mini run)_flash위기대응재료비_김철귀" xfId="15528"/>
    <cellStyle name="7_04HTS재료비030902_63342_재료비(Vi)추진(Mini run)_flash위기대응재료비_김철귀_05-06-27 재료비 절감회의" xfId="15529"/>
    <cellStyle name="7_04HTS재료비030902_63342_재료비(Vi)추진(Mini run)_flash위기대응재료비_김철귀_05-06-27 재료비 절감회의_가격 Simulation 061206" xfId="15530"/>
    <cellStyle name="7_04HTS재료비030902_63342_재료비(Vi)추진(Mini run)_flash위기대응재료비_김철귀_flash 6월재료비 절감회의0628" xfId="15531"/>
    <cellStyle name="7_04HTS재료비030902_63342_재료비(Vi)추진(Mini run)_flash위기대응재료비_김철귀_flash 6월재료비 절감회의0628_가격 Simulation 061206" xfId="15532"/>
    <cellStyle name="7_04HTS재료비030902_63342_재료비(Vi)추진(Mini run)_flash위기대응재료비_김철귀_가격 Simulation 061206" xfId="15533"/>
    <cellStyle name="7_04HTS재료비030902_63342_재료비(Vi)추진(Mini run)_가격 Simulation 061206" xfId="15534"/>
    <cellStyle name="7_06년과제(협력사+GBM)" xfId="15535"/>
    <cellStyle name="7_06년과제(협력사+GBM)_★ '07~'08年 GVE 과제 현황_080502" xfId="15536"/>
    <cellStyle name="7_06년과제(협력사+GBM)_★ '07年 GVE 과제 현황_080407" xfId="15537"/>
    <cellStyle name="7_06년과제_전체" xfId="15538"/>
    <cellStyle name="7_06년과제_전체_★ '07~'08年 GVE 과제 현황_080502" xfId="15539"/>
    <cellStyle name="7_06년과제_전체_★ '07年 GVE 과제 현황_080407" xfId="15540"/>
    <cellStyle name="7_'06年 협력사 GVE_Master File" xfId="15541"/>
    <cellStyle name="7_'06年 협력사 GVE_Master File_★ '07~'08年 GVE 과제 현황_080502" xfId="15542"/>
    <cellStyle name="7_'06年 협력사 GVE_Master File_★ '07年 GVE 과제 현황_080407" xfId="15543"/>
    <cellStyle name="7_'07年 추진과제 적용현황_080214(취합)" xfId="15544"/>
    <cellStyle name="7_'07年 추진과제 적용현황_080214(취합)_★ '07~'08年 GVE 과제 현황_080502" xfId="15545"/>
    <cellStyle name="7_'07年 추진과제 적용현황_080214(취합)_★ '07年 GVE 과제 현황_080407" xfId="15546"/>
    <cellStyle name="7_'07年 협력사 GVE 과제 LIST_20071029" xfId="15547"/>
    <cellStyle name="7_'07年 협력사 GVE 과제 LIST_20071029_★ '07~'08年 GVE 과제 현황_080502" xfId="15548"/>
    <cellStyle name="7_'07年 협력사 GVE 과제 LIST_20071029_★ '07年 GVE 과제 현황_080407" xfId="15549"/>
    <cellStyle name="7_'07年 협력사 GVE 과제 관리" xfId="15550"/>
    <cellStyle name="7_'07年 협력사 GVE 과제 관리_★ '07~'08年 GVE 과제 현황_080502" xfId="15551"/>
    <cellStyle name="7_'07年 협력사 GVE 과제 관리_★ '07年 GVE 과제 현황_080407" xfId="15552"/>
    <cellStyle name="7_'07年 협력사 GVE 과제 관리_20070712" xfId="15553"/>
    <cellStyle name="7_'07年 협력사 GVE 과제 관리_20070712_★ '07~'08年 GVE 과제 현황_080502" xfId="15554"/>
    <cellStyle name="7_'07年 협력사 GVE 과제 관리_20070712_★ '07年 GVE 과제 현황_080407" xfId="15555"/>
    <cellStyle name="7_'07年 협력사 GVE 과제 관리_20070723" xfId="15556"/>
    <cellStyle name="7_'07年 협력사 GVE 과제 관리_20070723_★ '07~'08年 GVE 과제 현황_080502" xfId="15557"/>
    <cellStyle name="7_'07年 협력사 GVE 과제 관리_20070723_★ '07年 GVE 과제 현황_080407" xfId="15558"/>
    <cellStyle name="7_'07年 협력사 GVE 과제 관리_20070821" xfId="15559"/>
    <cellStyle name="7_'07年 협력사 GVE 과제 관리_20070821_★ '07~'08年 GVE 과제 현황_080502" xfId="15560"/>
    <cellStyle name="7_'07年 협력사 GVE 과제 관리_20070821_★ '07年 GVE 과제 현황_080407" xfId="15561"/>
    <cellStyle name="7_'07年 협력사 GVE 과제 관리_20071017" xfId="15562"/>
    <cellStyle name="7_'07年 협력사 GVE 과제 관리_20071017_★ '07~'08年 GVE 과제 현황_080502" xfId="15563"/>
    <cellStyle name="7_'07年 협력사 GVE 과제 관리_20071017_★ '07年 GVE 과제 현황_080407" xfId="15564"/>
    <cellStyle name="7_'07年 협력사 GVE 과제 진행현황" xfId="15565"/>
    <cellStyle name="7_'07年 협력사 GVE 과제 진행현황_★ '07~'08年 GVE 과제 현황_080502" xfId="15566"/>
    <cellStyle name="7_'07年 협력사 GVE 과제 진행현황_★ '07年 GVE 과제 현황_080407" xfId="15567"/>
    <cellStyle name="7_080806 로열티 (RM 반영, 매크로비젼 삭제)" xfId="15568"/>
    <cellStyle name="7_081110 로열티_02" xfId="15569"/>
    <cellStyle name="7_10Q1 2차 가격안(시뮬레이션)_OH변경후_2" xfId="15570"/>
    <cellStyle name="7_CIS" xfId="15571"/>
    <cellStyle name="7_CIS(2)" xfId="15572"/>
    <cellStyle name="7_flash위기대응재료비_김철귀" xfId="15573"/>
    <cellStyle name="7_flash위기대응재료비_김철귀_05-06-27 재료비 절감회의" xfId="15574"/>
    <cellStyle name="7_flash위기대응재료비_김철귀_05-06-27 재료비 절감회의_가격 Simulation 061206" xfId="15575"/>
    <cellStyle name="7_flash위기대응재료비_김철귀_flash 6월재료비 절감회의0628" xfId="15576"/>
    <cellStyle name="7_flash위기대응재료비_김철귀_flash 6월재료비 절감회의0628_가격 Simulation 061206" xfId="15577"/>
    <cellStyle name="7_flash위기대응재료비_김철귀_가격 Simulation 061206" xfId="15578"/>
    <cellStyle name="7_GVE추진과제현황_Master(통합)" xfId="15579"/>
    <cellStyle name="7_GVE추진과제현황_Master(통합)_★ '07~'08年 GVE 과제 현황_080502" xfId="15580"/>
    <cellStyle name="7_GVE추진과제현황_Master(통합)_★ '07年 GVE 과제 현황_080407" xfId="15581"/>
    <cellStyle name="7_GVE추진과제현황_Master(통합)_41184" xfId="15582"/>
    <cellStyle name="7_GVE추진과제현황_Master(통합)_41184_★ '07~'08年 GVE 과제 현황_080502" xfId="15583"/>
    <cellStyle name="7_GVE추진과제현황_Master(통합)_41184_★ '07年 GVE 과제 현황_080407" xfId="15584"/>
    <cellStyle name="7_mini재료비-041001" xfId="15585"/>
    <cellStyle name="7_mini재료비-041001_flash위기대응재료비_김철귀" xfId="15586"/>
    <cellStyle name="7_mini재료비-041001_flash위기대응재료비_김철귀_05-06-27 재료비 절감회의" xfId="15587"/>
    <cellStyle name="7_mini재료비-041001_flash위기대응재료비_김철귀_05-06-27 재료비 절감회의_가격 Simulation 061206" xfId="15588"/>
    <cellStyle name="7_mini재료비-041001_flash위기대응재료비_김철귀_flash 6월재료비 절감회의0628" xfId="15589"/>
    <cellStyle name="7_mini재료비-041001_flash위기대응재료비_김철귀_flash 6월재료비 절감회의0628_가격 Simulation 061206" xfId="15590"/>
    <cellStyle name="7_mini재료비-041001_flash위기대응재료비_김철귀_가격 Simulation 061206" xfId="15591"/>
    <cellStyle name="7_mini재료비-041001_가격 Simulation 061206" xfId="15592"/>
    <cellStyle name="7_mini재료비-041001_재료비(Vi)추진(Mini run)" xfId="15593"/>
    <cellStyle name="7_mini재료비-041001_재료비(Vi)추진(Mini run)_flash위기대응재료비_김철귀" xfId="15594"/>
    <cellStyle name="7_mini재료비-041001_재료비(Vi)추진(Mini run)_flash위기대응재료비_김철귀_05-06-27 재료비 절감회의" xfId="15595"/>
    <cellStyle name="7_mini재료비-041001_재료비(Vi)추진(Mini run)_flash위기대응재료비_김철귀_05-06-27 재료비 절감회의_가격 Simulation 061206" xfId="15596"/>
    <cellStyle name="7_mini재료비-041001_재료비(Vi)추진(Mini run)_flash위기대응재료비_김철귀_flash 6월재료비 절감회의0628" xfId="15597"/>
    <cellStyle name="7_mini재료비-041001_재료비(Vi)추진(Mini run)_flash위기대응재료비_김철귀_flash 6월재료비 절감회의0628_가격 Simulation 061206" xfId="15598"/>
    <cellStyle name="7_mini재료비-041001_재료비(Vi)추진(Mini run)_flash위기대응재료비_김철귀_가격 Simulation 061206" xfId="15599"/>
    <cellStyle name="7_mini재료비-041001_재료비(Vi)추진(Mini run)_가격 Simulation 061206" xfId="15600"/>
    <cellStyle name="7_MP3 Price request(080612)" xfId="15601"/>
    <cellStyle name="7_Rate" xfId="15602"/>
    <cellStyle name="7_Telcel 손익" xfId="15603"/>
    <cellStyle name="7_TEM 2010 1Q 2nd offer preparation(손익시뮬)_091027" xfId="15604"/>
    <cellStyle name="7_TEM 2010 1Q offer preparation v1_090916" xfId="15605"/>
    <cellStyle name="7_TEM 2010 1Q offer preparation v1_090916_TEM 2010 1Q offer final v3_090929" xfId="15606"/>
    <cellStyle name="7_TEM 2010 1Q offer preparation v1_090916_TEM 2010 1Q offer final v3_091005" xfId="15607"/>
    <cellStyle name="7_TEM 2010 1Q offer preparation v1_090916_TEM 2010 1Q offer_091006" xfId="15608"/>
    <cellStyle name="7_TEM 2010 1Q offer preparation v1_090916_TEM 2010 1Q offer_091014" xfId="15609"/>
    <cellStyle name="7_TEM 2010 1Q offer preparation v1_090916_TEM 2010 1Q offer_091015" xfId="15610"/>
    <cellStyle name="7_TEM 2010 1Q offer preparation v3_090917" xfId="15611"/>
    <cellStyle name="7_TEM 2010 1Q offer preparation v3_090917_TEM 2010 1Q offer final v3_090929" xfId="15612"/>
    <cellStyle name="7_TEM 2010 1Q offer preparation v3_090917_TEM 2010 1Q offer final v3_091005" xfId="15613"/>
    <cellStyle name="7_TEM 2010 1Q offer preparation v3_090917_TEM 2010 1Q offer_091006" xfId="15614"/>
    <cellStyle name="7_TEM 2010 1Q offer preparation v3_090917_TEM 2010 1Q offer_091014" xfId="15615"/>
    <cellStyle name="7_TEM 2010 1Q offer preparation v3_090917_TEM 2010 1Q offer_091015" xfId="15616"/>
    <cellStyle name="7_YM-B30 예상재료비(05'~06')_기구포함" xfId="15617"/>
    <cellStyle name="7_YM-B30 예상재료비(05'~06')_기구포함_가격 Simulation 061206" xfId="15618"/>
    <cellStyle name="7_YM-P1재료비 (2005.8.23)" xfId="15619"/>
    <cellStyle name="7_YM-P1재료비 (2005.8.23)_가격 Simulation 061206" xfId="15620"/>
    <cellStyle name="7_YP-T7F" xfId="15621"/>
    <cellStyle name="7_YP-T7F_YM-B30 예상재료비(05'~06')_기구포함" xfId="15622"/>
    <cellStyle name="7_YP-T7F_YM-B30 예상재료비(05'~06')_기구포함_가격 Simulation 061206" xfId="15623"/>
    <cellStyle name="7_YP-T7F_YM-P1재료비 (2005.8.23)" xfId="15624"/>
    <cellStyle name="7_YP-T7F_YM-P1재료비 (2005.8.23)_가격 Simulation 061206" xfId="15625"/>
    <cellStyle name="7_YP-T7F_가격 Simulation 061206" xfId="15626"/>
    <cellStyle name="7_가격 Simulation 061206" xfId="15627"/>
    <cellStyle name="7_구주 직거래" xfId="15628"/>
    <cellStyle name="7_이랜텍" xfId="15629"/>
    <cellStyle name="7_이랜텍_10Q1 2차 가격안(시뮬레이션)_OH변경후_2" xfId="15630"/>
    <cellStyle name="7_이랜텍_Rate" xfId="15631"/>
    <cellStyle name="7_이랜텍_Telcel 손익" xfId="15632"/>
    <cellStyle name="7_이랜텍_TEM 2010 1Q 2nd offer preparation(손익시뮬)_091027" xfId="15633"/>
    <cellStyle name="7_이랜텍_TEM 2010 1Q offer preparation v1_090916" xfId="15634"/>
    <cellStyle name="7_이랜텍_TEM 2010 1Q offer preparation v1_090916_TEM 2010 1Q offer final v3_090929" xfId="15635"/>
    <cellStyle name="7_이랜텍_TEM 2010 1Q offer preparation v1_090916_TEM 2010 1Q offer final v3_091005" xfId="15636"/>
    <cellStyle name="7_이랜텍_TEM 2010 1Q offer preparation v1_090916_TEM 2010 1Q offer_091006" xfId="15637"/>
    <cellStyle name="7_이랜텍_TEM 2010 1Q offer preparation v1_090916_TEM 2010 1Q offer_091014" xfId="15638"/>
    <cellStyle name="7_이랜텍_TEM 2010 1Q offer preparation v1_090916_TEM 2010 1Q offer_091015" xfId="15639"/>
    <cellStyle name="7_이랜텍_TEM 2010 1Q offer preparation v3_090917" xfId="15640"/>
    <cellStyle name="7_이랜텍_TEM 2010 1Q offer preparation v3_090917_TEM 2010 1Q offer final v3_090929" xfId="15641"/>
    <cellStyle name="7_이랜텍_TEM 2010 1Q offer preparation v3_090917_TEM 2010 1Q offer final v3_091005" xfId="15642"/>
    <cellStyle name="7_이랜텍_TEM 2010 1Q offer preparation v3_090917_TEM 2010 1Q offer_091006" xfId="15643"/>
    <cellStyle name="7_이랜텍_TEM 2010 1Q offer preparation v3_090917_TEM 2010 1Q offer_091014" xfId="15644"/>
    <cellStyle name="7_이랜텍_TEM 2010 1Q offer preparation v3_090917_TEM 2010 1Q offer_091015" xfId="15645"/>
    <cellStyle name="7_자재비절감(회의)-050110_63342" xfId="15646"/>
    <cellStyle name="7_자재비절감(회의)-050110_63342_flash위기대응재료비_김철귀" xfId="15647"/>
    <cellStyle name="7_자재비절감(회의)-050110_63342_flash위기대응재료비_김철귀_05-06-27 재료비 절감회의" xfId="15648"/>
    <cellStyle name="7_자재비절감(회의)-050110_63342_flash위기대응재료비_김철귀_05-06-27 재료비 절감회의_가격 Simulation 061206" xfId="15649"/>
    <cellStyle name="7_자재비절감(회의)-050110_63342_flash위기대응재료비_김철귀_flash 6월재료비 절감회의0628" xfId="15650"/>
    <cellStyle name="7_자재비절감(회의)-050110_63342_flash위기대응재료비_김철귀_flash 6월재료비 절감회의0628_가격 Simulation 061206" xfId="15651"/>
    <cellStyle name="7_자재비절감(회의)-050110_63342_flash위기대응재료비_김철귀_가격 Simulation 061206" xfId="15652"/>
    <cellStyle name="7_자재비절감(회의)-050110_63342_가격 Simulation 061206" xfId="15653"/>
    <cellStyle name="7_자재비절감(회의)-050110_63342_재료비(Vi)추진(Mini run)" xfId="15654"/>
    <cellStyle name="7_자재비절감(회의)-050110_63342_재료비(Vi)추진(Mini run)_flash위기대응재료비_김철귀" xfId="15655"/>
    <cellStyle name="7_자재비절감(회의)-050110_63342_재료비(Vi)추진(Mini run)_flash위기대응재료비_김철귀_05-06-27 재료비 절감회의" xfId="15656"/>
    <cellStyle name="7_자재비절감(회의)-050110_63342_재료비(Vi)추진(Mini run)_flash위기대응재료비_김철귀_05-06-27 재료비 절감회의_가격 Simulation 061206" xfId="15657"/>
    <cellStyle name="7_자재비절감(회의)-050110_63342_재료비(Vi)추진(Mini run)_flash위기대응재료비_김철귀_flash 6월재료비 절감회의0628" xfId="15658"/>
    <cellStyle name="7_자재비절감(회의)-050110_63342_재료비(Vi)추진(Mini run)_flash위기대응재료비_김철귀_flash 6월재료비 절감회의0628_가격 Simulation 061206" xfId="15659"/>
    <cellStyle name="7_자재비절감(회의)-050110_63342_재료비(Vi)추진(Mini run)_flash위기대응재료비_김철귀_가격 Simulation 061206" xfId="15660"/>
    <cellStyle name="7_자재비절감(회의)-050110_63342_재료비(Vi)추진(Mini run)_가격 Simulation 061206" xfId="15661"/>
    <cellStyle name="7_재료비(Vi)추진(Mini run)" xfId="15662"/>
    <cellStyle name="7_재료비(Vi)추진(Mini run)_flash위기대응재료비_김철귀" xfId="15663"/>
    <cellStyle name="7_재료비(Vi)추진(Mini run)_flash위기대응재료비_김철귀_05-06-27 재료비 절감회의" xfId="15664"/>
    <cellStyle name="7_재료비(Vi)추진(Mini run)_flash위기대응재료비_김철귀_05-06-27 재료비 절감회의_가격 Simulation 061206" xfId="15665"/>
    <cellStyle name="7_재료비(Vi)추진(Mini run)_flash위기대응재료비_김철귀_flash 6월재료비 절감회의0628" xfId="15666"/>
    <cellStyle name="7_재료비(Vi)추진(Mini run)_flash위기대응재료비_김철귀_flash 6월재료비 절감회의0628_가격 Simulation 061206" xfId="15667"/>
    <cellStyle name="7_재료비(Vi)추진(Mini run)_flash위기대응재료비_김철귀_가격 Simulation 061206" xfId="15668"/>
    <cellStyle name="7_재료비(Vi)추진(Mini run)_가격 Simulation 061206" xfId="15669"/>
    <cellStyle name="7_재료비CM350_1216" xfId="15670"/>
    <cellStyle name="7_재료비CM350_1216_04HTS재료비030902_63342" xfId="15671"/>
    <cellStyle name="7_재료비CM350_1216_04HTS재료비030902_63342_flash위기대응재료비_김철귀" xfId="15672"/>
    <cellStyle name="7_재료비CM350_1216_04HTS재료비030902_63342_flash위기대응재료비_김철귀_05-06-27 재료비 절감회의" xfId="15673"/>
    <cellStyle name="7_재료비CM350_1216_04HTS재료비030902_63342_flash위기대응재료비_김철귀_05-06-27 재료비 절감회의_가격 Simulation 061206" xfId="15674"/>
    <cellStyle name="7_재료비CM350_1216_04HTS재료비030902_63342_flash위기대응재료비_김철귀_flash 6월재료비 절감회의0628" xfId="15675"/>
    <cellStyle name="7_재료비CM350_1216_04HTS재료비030902_63342_flash위기대응재료비_김철귀_flash 6월재료비 절감회의0628_가격 Simulation 061206" xfId="15676"/>
    <cellStyle name="7_재료비CM350_1216_04HTS재료비030902_63342_flash위기대응재료비_김철귀_가격 Simulation 061206" xfId="15677"/>
    <cellStyle name="7_재료비CM350_1216_04HTS재료비030902_63342_mini재료비-041001" xfId="15678"/>
    <cellStyle name="7_재료비CM350_1216_04HTS재료비030902_63342_mini재료비-041001_flash위기대응재료비_김철귀" xfId="15679"/>
    <cellStyle name="7_재료비CM350_1216_04HTS재료비030902_63342_mini재료비-041001_flash위기대응재료비_김철귀_05-06-27 재료비 절감회의" xfId="15680"/>
    <cellStyle name="7_재료비CM350_1216_04HTS재료비030902_63342_mini재료비-041001_flash위기대응재료비_김철귀_05-06-27 재료비 절감회의_가격 Simulation 061206" xfId="15681"/>
    <cellStyle name="7_재료비CM350_1216_04HTS재료비030902_63342_mini재료비-041001_flash위기대응재료비_김철귀_flash 6월재료비 절감회의0628" xfId="15682"/>
    <cellStyle name="7_재료비CM350_1216_04HTS재료비030902_63342_mini재료비-041001_flash위기대응재료비_김철귀_flash 6월재료비 절감회의0628_가격 Simulation 061206" xfId="15683"/>
    <cellStyle name="7_재료비CM350_1216_04HTS재료비030902_63342_mini재료비-041001_flash위기대응재료비_김철귀_가격 Simulation 061206" xfId="15684"/>
    <cellStyle name="7_재료비CM350_1216_04HTS재료비030902_63342_mini재료비-041001_가격 Simulation 061206" xfId="15685"/>
    <cellStyle name="7_재료비CM350_1216_04HTS재료비030902_63342_mini재료비-041001_재료비(Vi)추진(Mini run)" xfId="15686"/>
    <cellStyle name="7_재료비CM350_1216_04HTS재료비030902_63342_mini재료비-041001_재료비(Vi)추진(Mini run)_flash위기대응재료비_김철귀" xfId="15687"/>
    <cellStyle name="7_재료비CM350_1216_04HTS재료비030902_63342_mini재료비-041001_재료비(Vi)추진(Mini run)_flash위기대응재료비_김철귀_05-06-27 재료비 절감회의" xfId="15688"/>
    <cellStyle name="7_재료비CM350_1216_04HTS재료비030902_63342_mini재료비-041001_재료비(Vi)추진(Mini run)_flash위기대응재료비_김철귀_05-06-27 재료비 절감회의_가격 Simulation 061206" xfId="15689"/>
    <cellStyle name="7_재료비CM350_1216_04HTS재료비030902_63342_mini재료비-041001_재료비(Vi)추진(Mini run)_flash위기대응재료비_김철귀_flash 6월재료비 절감회의0628" xfId="15690"/>
    <cellStyle name="7_재료비CM350_1216_04HTS재료비030902_63342_mini재료비-041001_재료비(Vi)추진(Mini run)_flash위기대응재료비_김철귀_flash 6월재료비 절감회의0628_가격 Simulation 061206" xfId="15691"/>
    <cellStyle name="7_재료비CM350_1216_04HTS재료비030902_63342_mini재료비-041001_재료비(Vi)추진(Mini run)_flash위기대응재료비_김철귀_가격 Simulation 061206" xfId="15692"/>
    <cellStyle name="7_재료비CM350_1216_04HTS재료비030902_63342_mini재료비-041001_재료비(Vi)추진(Mini run)_가격 Simulation 061206" xfId="15693"/>
    <cellStyle name="7_재료비CM350_1216_04HTS재료비030902_63342_가격 Simulation 061206" xfId="15694"/>
    <cellStyle name="7_재료비CM350_1216_04HTS재료비030902_63342_자재비절감(회의)-050110_63342" xfId="15695"/>
    <cellStyle name="7_재료비CM350_1216_04HTS재료비030902_63342_자재비절감(회의)-050110_63342_flash위기대응재료비_김철귀" xfId="15696"/>
    <cellStyle name="7_재료비CM350_1216_04HTS재료비030902_63342_자재비절감(회의)-050110_63342_flash위기대응재료비_김철귀_05-06-27 재료비 절감회의" xfId="15697"/>
    <cellStyle name="7_재료비CM350_1216_04HTS재료비030902_63342_자재비절감(회의)-050110_63342_flash위기대응재료비_김철귀_05-06-27 재료비 절감회의_가격 Simulation 061206" xfId="15698"/>
    <cellStyle name="7_재료비CM350_1216_04HTS재료비030902_63342_자재비절감(회의)-050110_63342_flash위기대응재료비_김철귀_flash 6월재료비 절감회의0628" xfId="15699"/>
    <cellStyle name="7_재료비CM350_1216_04HTS재료비030902_63342_자재비절감(회의)-050110_63342_flash위기대응재료비_김철귀_flash 6월재료비 절감회의0628_가격 Simulation 061206" xfId="15700"/>
    <cellStyle name="7_재료비CM350_1216_04HTS재료비030902_63342_자재비절감(회의)-050110_63342_flash위기대응재료비_김철귀_가격 Simulation 061206" xfId="15701"/>
    <cellStyle name="7_재료비CM350_1216_04HTS재료비030902_63342_자재비절감(회의)-050110_63342_가격 Simulation 061206" xfId="15702"/>
    <cellStyle name="7_재료비CM350_1216_04HTS재료비030902_63342_자재비절감(회의)-050110_63342_재료비(Vi)추진(Mini run)" xfId="15703"/>
    <cellStyle name="7_재료비CM350_1216_04HTS재료비030902_63342_자재비절감(회의)-050110_63342_재료비(Vi)추진(Mini run)_flash위기대응재료비_김철귀" xfId="15704"/>
    <cellStyle name="7_재료비CM350_1216_04HTS재료비030902_63342_자재비절감(회의)-050110_63342_재료비(Vi)추진(Mini run)_flash위기대응재료비_김철귀_05-06-27 재료비 절감회의" xfId="15705"/>
    <cellStyle name="7_재료비CM350_1216_04HTS재료비030902_63342_자재비절감(회의)-050110_63342_재료비(Vi)추진(Mini run)_flash위기대응재료비_김철귀_05-06-27 재료비 절감회의_가격 Simulation 061206" xfId="15706"/>
    <cellStyle name="7_재료비CM350_1216_04HTS재료비030902_63342_자재비절감(회의)-050110_63342_재료비(Vi)추진(Mini run)_flash위기대응재료비_김철귀_flash 6월재료비 절감회의0628" xfId="15707"/>
    <cellStyle name="7_재료비CM350_1216_04HTS재료비030902_63342_자재비절감(회의)-050110_63342_재료비(Vi)추진(Mini run)_flash위기대응재료비_김철귀_flash 6월재료비 절감회의0628_가격 Simulation 061206" xfId="15708"/>
    <cellStyle name="7_재료비CM350_1216_04HTS재료비030902_63342_자재비절감(회의)-050110_63342_재료비(Vi)추진(Mini run)_flash위기대응재료비_김철귀_가격 Simulation 061206" xfId="15709"/>
    <cellStyle name="7_재료비CM350_1216_04HTS재료비030902_63342_자재비절감(회의)-050110_63342_재료비(Vi)추진(Mini run)_가격 Simulation 061206" xfId="15710"/>
    <cellStyle name="7_재료비CM350_1216_04HTS재료비030902_63342_재료비(Vi)추진(Mini run)" xfId="15711"/>
    <cellStyle name="7_재료비CM350_1216_04HTS재료비030902_63342_재료비(Vi)추진(Mini run)_flash위기대응재료비_김철귀" xfId="15712"/>
    <cellStyle name="7_재료비CM350_1216_04HTS재료비030902_63342_재료비(Vi)추진(Mini run)_flash위기대응재료비_김철귀_05-06-27 재료비 절감회의" xfId="15713"/>
    <cellStyle name="7_재료비CM350_1216_04HTS재료비030902_63342_재료비(Vi)추진(Mini run)_flash위기대응재료비_김철귀_05-06-27 재료비 절감회의_가격 Simulation 061206" xfId="15714"/>
    <cellStyle name="7_재료비CM350_1216_04HTS재료비030902_63342_재료비(Vi)추진(Mini run)_flash위기대응재료비_김철귀_flash 6월재료비 절감회의0628" xfId="15715"/>
    <cellStyle name="7_재료비CM350_1216_04HTS재료비030902_63342_재료비(Vi)추진(Mini run)_flash위기대응재료비_김철귀_flash 6월재료비 절감회의0628_가격 Simulation 061206" xfId="15716"/>
    <cellStyle name="7_재료비CM350_1216_04HTS재료비030902_63342_재료비(Vi)추진(Mini run)_flash위기대응재료비_김철귀_가격 Simulation 061206" xfId="15717"/>
    <cellStyle name="7_재료비CM350_1216_04HTS재료비030902_63342_재료비(Vi)추진(Mini run)_가격 Simulation 061206" xfId="15718"/>
    <cellStyle name="7_재료비CM350_1216_flash위기대응재료비_김철귀" xfId="15719"/>
    <cellStyle name="7_재료비CM350_1216_flash위기대응재료비_김철귀_05-06-27 재료비 절감회의" xfId="15720"/>
    <cellStyle name="7_재료비CM350_1216_flash위기대응재료비_김철귀_05-06-27 재료비 절감회의_가격 Simulation 061206" xfId="15721"/>
    <cellStyle name="7_재료비CM350_1216_flash위기대응재료비_김철귀_flash 6월재료비 절감회의0628" xfId="15722"/>
    <cellStyle name="7_재료비CM350_1216_flash위기대응재료비_김철귀_flash 6월재료비 절감회의0628_가격 Simulation 061206" xfId="15723"/>
    <cellStyle name="7_재료비CM350_1216_flash위기대응재료비_김철귀_가격 Simulation 061206" xfId="15724"/>
    <cellStyle name="7_재료비CM350_1216_mini재료비-041001" xfId="15725"/>
    <cellStyle name="7_재료비CM350_1216_mini재료비-041001_flash위기대응재료비_김철귀" xfId="15726"/>
    <cellStyle name="7_재료비CM350_1216_mini재료비-041001_flash위기대응재료비_김철귀_05-06-27 재료비 절감회의" xfId="15727"/>
    <cellStyle name="7_재료비CM350_1216_mini재료비-041001_flash위기대응재료비_김철귀_05-06-27 재료비 절감회의_가격 Simulation 061206" xfId="15728"/>
    <cellStyle name="7_재료비CM350_1216_mini재료비-041001_flash위기대응재료비_김철귀_flash 6월재료비 절감회의0628" xfId="15729"/>
    <cellStyle name="7_재료비CM350_1216_mini재료비-041001_flash위기대응재료비_김철귀_flash 6월재료비 절감회의0628_가격 Simulation 061206" xfId="15730"/>
    <cellStyle name="7_재료비CM350_1216_mini재료비-041001_flash위기대응재료비_김철귀_가격 Simulation 061206" xfId="15731"/>
    <cellStyle name="7_재료비CM350_1216_mini재료비-041001_가격 Simulation 061206" xfId="15732"/>
    <cellStyle name="7_재료비CM350_1216_mini재료비-041001_재료비(Vi)추진(Mini run)" xfId="15733"/>
    <cellStyle name="7_재료비CM350_1216_mini재료비-041001_재료비(Vi)추진(Mini run)_flash위기대응재료비_김철귀" xfId="15734"/>
    <cellStyle name="7_재료비CM350_1216_mini재료비-041001_재료비(Vi)추진(Mini run)_flash위기대응재료비_김철귀_05-06-27 재료비 절감회의" xfId="15735"/>
    <cellStyle name="7_재료비CM350_1216_mini재료비-041001_재료비(Vi)추진(Mini run)_flash위기대응재료비_김철귀_05-06-27 재료비 절감회의_가격 Simulation 061206" xfId="15736"/>
    <cellStyle name="7_재료비CM350_1216_mini재료비-041001_재료비(Vi)추진(Mini run)_flash위기대응재료비_김철귀_flash 6월재료비 절감회의0628" xfId="15737"/>
    <cellStyle name="7_재료비CM350_1216_mini재료비-041001_재료비(Vi)추진(Mini run)_flash위기대응재료비_김철귀_flash 6월재료비 절감회의0628_가격 Simulation 061206" xfId="15738"/>
    <cellStyle name="7_재료비CM350_1216_mini재료비-041001_재료비(Vi)추진(Mini run)_flash위기대응재료비_김철귀_가격 Simulation 061206" xfId="15739"/>
    <cellStyle name="7_재료비CM350_1216_mini재료비-041001_재료비(Vi)추진(Mini run)_가격 Simulation 061206" xfId="15740"/>
    <cellStyle name="7_재료비CM350_1216_YM-B30 예상재료비(05'~06')_기구포함" xfId="15741"/>
    <cellStyle name="7_재료비CM350_1216_YM-B30 예상재료비(05'~06')_기구포함_가격 Simulation 061206" xfId="15742"/>
    <cellStyle name="7_재료비CM350_1216_YM-P1재료비 (2005.8.23)" xfId="15743"/>
    <cellStyle name="7_재료비CM350_1216_YM-P1재료비 (2005.8.23)_가격 Simulation 061206" xfId="15744"/>
    <cellStyle name="7_재료비CM350_1216_YP-T7F" xfId="15745"/>
    <cellStyle name="7_재료비CM350_1216_YP-T7F_YM-B30 예상재료비(05'~06')_기구포함" xfId="15746"/>
    <cellStyle name="7_재료비CM350_1216_YP-T7F_YM-B30 예상재료비(05'~06')_기구포함_가격 Simulation 061206" xfId="15747"/>
    <cellStyle name="7_재료비CM350_1216_YP-T7F_YM-P1재료비 (2005.8.23)" xfId="15748"/>
    <cellStyle name="7_재료비CM350_1216_YP-T7F_YM-P1재료비 (2005.8.23)_가격 Simulation 061206" xfId="15749"/>
    <cellStyle name="7_재료비CM350_1216_YP-T7F_가격 Simulation 061206" xfId="15750"/>
    <cellStyle name="7_재료비CM350_1216_가격 Simulation 061206" xfId="15751"/>
    <cellStyle name="7_재료비CM350_1216_자재비절감(회의)-050110_63342" xfId="15752"/>
    <cellStyle name="7_재료비CM350_1216_자재비절감(회의)-050110_63342_flash위기대응재료비_김철귀" xfId="15753"/>
    <cellStyle name="7_재료비CM350_1216_자재비절감(회의)-050110_63342_flash위기대응재료비_김철귀_05-06-27 재료비 절감회의" xfId="15754"/>
    <cellStyle name="7_재료비CM350_1216_자재비절감(회의)-050110_63342_flash위기대응재료비_김철귀_05-06-27 재료비 절감회의_가격 Simulation 061206" xfId="15755"/>
    <cellStyle name="7_재료비CM350_1216_자재비절감(회의)-050110_63342_flash위기대응재료비_김철귀_flash 6월재료비 절감회의0628" xfId="15756"/>
    <cellStyle name="7_재료비CM350_1216_자재비절감(회의)-050110_63342_flash위기대응재료비_김철귀_flash 6월재료비 절감회의0628_가격 Simulation 061206" xfId="15757"/>
    <cellStyle name="7_재료비CM350_1216_자재비절감(회의)-050110_63342_flash위기대응재료비_김철귀_가격 Simulation 061206" xfId="15758"/>
    <cellStyle name="7_재료비CM350_1216_자재비절감(회의)-050110_63342_가격 Simulation 061206" xfId="15759"/>
    <cellStyle name="7_재료비CM350_1216_자재비절감(회의)-050110_63342_재료비(Vi)추진(Mini run)" xfId="15760"/>
    <cellStyle name="7_재료비CM350_1216_자재비절감(회의)-050110_63342_재료비(Vi)추진(Mini run)_flash위기대응재료비_김철귀" xfId="15761"/>
    <cellStyle name="7_재료비CM350_1216_자재비절감(회의)-050110_63342_재료비(Vi)추진(Mini run)_flash위기대응재료비_김철귀_05-06-27 재료비 절감회의" xfId="15762"/>
    <cellStyle name="7_재료비CM350_1216_자재비절감(회의)-050110_63342_재료비(Vi)추진(Mini run)_flash위기대응재료비_김철귀_05-06-27 재료비 절감회의_가격 Simulation 061206" xfId="15763"/>
    <cellStyle name="7_재료비CM350_1216_자재비절감(회의)-050110_63342_재료비(Vi)추진(Mini run)_flash위기대응재료비_김철귀_flash 6월재료비 절감회의0628" xfId="15764"/>
    <cellStyle name="7_재료비CM350_1216_자재비절감(회의)-050110_63342_재료비(Vi)추진(Mini run)_flash위기대응재료비_김철귀_flash 6월재료비 절감회의0628_가격 Simulation 061206" xfId="15765"/>
    <cellStyle name="7_재료비CM350_1216_자재비절감(회의)-050110_63342_재료비(Vi)추진(Mini run)_flash위기대응재료비_김철귀_가격 Simulation 061206" xfId="15766"/>
    <cellStyle name="7_재료비CM350_1216_자재비절감(회의)-050110_63342_재료비(Vi)추진(Mini run)_가격 Simulation 061206" xfId="15767"/>
    <cellStyle name="7_재료비CM350_1216_재료비(Vi)추진(Mini run)" xfId="15768"/>
    <cellStyle name="7_재료비CM350_1216_재료비(Vi)추진(Mini run)_flash위기대응재료비_김철귀" xfId="15769"/>
    <cellStyle name="7_재료비CM350_1216_재료비(Vi)추진(Mini run)_flash위기대응재료비_김철귀_05-06-27 재료비 절감회의" xfId="15770"/>
    <cellStyle name="7_재료비CM350_1216_재료비(Vi)추진(Mini run)_flash위기대응재료비_김철귀_05-06-27 재료비 절감회의_가격 Simulation 061206" xfId="15771"/>
    <cellStyle name="7_재료비CM350_1216_재료비(Vi)추진(Mini run)_flash위기대응재료비_김철귀_flash 6월재료비 절감회의0628" xfId="15772"/>
    <cellStyle name="7_재료비CM350_1216_재료비(Vi)추진(Mini run)_flash위기대응재료비_김철귀_flash 6월재료비 절감회의0628_가격 Simulation 061206" xfId="15773"/>
    <cellStyle name="7_재료비CM350_1216_재료비(Vi)추진(Mini run)_flash위기대응재료비_김철귀_가격 Simulation 061206" xfId="15774"/>
    <cellStyle name="7_재료비CM350_1216_재료비(Vi)추진(Mini run)_가격 Simulation 061206" xfId="15775"/>
    <cellStyle name="a_Divisão" xfId="15776"/>
    <cellStyle name="a_Divisão 2" xfId="15777"/>
    <cellStyle name="a_Divisão_SMD_Forecast 3+9 diretas 5 FINAL" xfId="15778"/>
    <cellStyle name="a_Divisão_SMD_Forecast 3+9 diretas 5 FINAL 2" xfId="15779"/>
    <cellStyle name="a_normal" xfId="15780"/>
    <cellStyle name="a_normal_BASE TUP R2" xfId="15781"/>
    <cellStyle name="a_normal_BASE TUP R2_out" xfId="15782"/>
    <cellStyle name="a_normal_BD Resumo diário Painel de Televendas Abril 2011" xfId="15783"/>
    <cellStyle name="a_normal_BD Resumo diário Painel de Televendas Abril 2011_D_Ret_Fixa_EMP" xfId="15784"/>
    <cellStyle name="a_normal_BD Resumo diário Painel de Televendas Abril 2011_D_Ret_Fixa_VAR" xfId="15785"/>
    <cellStyle name="a_normal_BD Resumo diário Painel de Televendas Janeiro 2011" xfId="15786"/>
    <cellStyle name="a_normal_BD Resumo diário Painel de Televendas Janeiro 2011_D_Ret_Fixa_EMP" xfId="15787"/>
    <cellStyle name="a_normal_BD Resumo diário Painel de Televendas Janeiro 2011_D_Ret_Fixa_VAR" xfId="15788"/>
    <cellStyle name="a_normal_BD Resumo diário Painel de Televendas Setembro 2010_BASE_UNICA" xfId="15789"/>
    <cellStyle name="a_normal_BD Resumo diário Painel de Televendas Setembro 2010_BASE_UNICA_D_Ret_Fixa_EMP" xfId="15790"/>
    <cellStyle name="a_normal_BD Resumo diário Painel de Televendas Setembro 2010_BASE_UNICA_D_Ret_Fixa_VAR" xfId="15791"/>
    <cellStyle name="a_normal_D_Ret_Fixa_EMP" xfId="15792"/>
    <cellStyle name="a_normal_D_Ret_Fixa_VAR" xfId="15793"/>
    <cellStyle name="a_normal_Painel de Retenção Junho 2011" xfId="15794"/>
    <cellStyle name="a_normal_Pasta1" xfId="15795"/>
    <cellStyle name="a_normal_Pasta1_D_Ret_Fixa_EMP" xfId="15796"/>
    <cellStyle name="a_normal_Pasta1_D_Ret_Fixa_VAR" xfId="15797"/>
    <cellStyle name="a_normal_Plan1" xfId="15798"/>
    <cellStyle name="a_normal_Plan1_D_Ret_Fixa_EMP" xfId="15799"/>
    <cellStyle name="a_normal_Plan1_D_Ret_Fixa_VAR" xfId="15800"/>
    <cellStyle name="a_normal_Plan2" xfId="15801"/>
    <cellStyle name="a_normal_Plan2_D_Ret_Fixa_EMP" xfId="15802"/>
    <cellStyle name="a_normal_Plan2_D_Ret_Fixa_VAR" xfId="15803"/>
    <cellStyle name="a_normal_Rel_NPP_04012010" xfId="15804"/>
    <cellStyle name="a_normal_Rel_NPP_06012010" xfId="15805"/>
    <cellStyle name="a_normal_Rel_NPP_28092009" xfId="15806"/>
    <cellStyle name="a_normal_Rel_NPP_31102009" xfId="15807"/>
    <cellStyle name="a_normal_Retenção" xfId="15808"/>
    <cellStyle name="a_normal_Retenção Painel" xfId="15809"/>
    <cellStyle name="a_normal_Retenção Painel_D_Ret_Fixa_EMP" xfId="15810"/>
    <cellStyle name="a_normal_Retenção Painel_D_Ret_Fixa_VAR" xfId="15811"/>
    <cellStyle name="a_normal_Retenção_D_Ret_Fixa_EMP" xfId="15812"/>
    <cellStyle name="a_normal_Retenção_D_Ret_Fixa_VAR" xfId="15813"/>
    <cellStyle name="a_normal_Televendas Painel" xfId="15814"/>
    <cellStyle name="a_normal_Televendas Painel_ant" xfId="15815"/>
    <cellStyle name="a_normal_Televendas Painel_ant_D_Ret_Fixa_EMP" xfId="15816"/>
    <cellStyle name="a_normal_Televendas Painel_ant_D_Ret_Fixa_VAR" xfId="15817"/>
    <cellStyle name="a_normal_Televendas Painel_D_Ret_Fixa_EMP" xfId="15818"/>
    <cellStyle name="a_normal_Televendas Painel_D_Ret_Fixa_VAR" xfId="15819"/>
    <cellStyle name="a_quebra_1" xfId="15820"/>
    <cellStyle name="a_quebra_2" xfId="15821"/>
    <cellStyle name="A3 297 x 420 mm" xfId="15822"/>
    <cellStyle name="AbertBalan" xfId="15823"/>
    <cellStyle name="Accent1" xfId="15824"/>
    <cellStyle name="Accent1 - 20%" xfId="15825"/>
    <cellStyle name="Accent1 - 40%" xfId="15826"/>
    <cellStyle name="Accent1 - 60%" xfId="15827"/>
    <cellStyle name="Accent1 10" xfId="15828"/>
    <cellStyle name="Accent1 11" xfId="15829"/>
    <cellStyle name="Accent1 12" xfId="15830"/>
    <cellStyle name="Accent1 13" xfId="15831"/>
    <cellStyle name="Accent1 14" xfId="15832"/>
    <cellStyle name="Accent1 15" xfId="15833"/>
    <cellStyle name="Accent1 16" xfId="15834"/>
    <cellStyle name="Accent1 17" xfId="15835"/>
    <cellStyle name="Accent1 18" xfId="15836"/>
    <cellStyle name="Accent1 19" xfId="15837"/>
    <cellStyle name="Accent1 2" xfId="15838"/>
    <cellStyle name="Accent1 20" xfId="15839"/>
    <cellStyle name="Accent1 21" xfId="15840"/>
    <cellStyle name="Accent1 22" xfId="15841"/>
    <cellStyle name="Accent1 23" xfId="15842"/>
    <cellStyle name="Accent1 24" xfId="15843"/>
    <cellStyle name="Accent1 25" xfId="15844"/>
    <cellStyle name="Accent1 26" xfId="15845"/>
    <cellStyle name="Accent1 27" xfId="15846"/>
    <cellStyle name="Accent1 28" xfId="15847"/>
    <cellStyle name="Accent1 29" xfId="15848"/>
    <cellStyle name="Accent1 3" xfId="15849"/>
    <cellStyle name="Accent1 30" xfId="15850"/>
    <cellStyle name="Accent1 31" xfId="15851"/>
    <cellStyle name="Accent1 32" xfId="15852"/>
    <cellStyle name="Accent1 33" xfId="15853"/>
    <cellStyle name="Accent1 34" xfId="15854"/>
    <cellStyle name="Accent1 35" xfId="15855"/>
    <cellStyle name="Accent1 36" xfId="15856"/>
    <cellStyle name="Accent1 37" xfId="15857"/>
    <cellStyle name="Accent1 38" xfId="15858"/>
    <cellStyle name="Accent1 39" xfId="15859"/>
    <cellStyle name="Accent1 4" xfId="15860"/>
    <cellStyle name="Accent1 40" xfId="15861"/>
    <cellStyle name="Accent1 41" xfId="15862"/>
    <cellStyle name="Accent1 42" xfId="15863"/>
    <cellStyle name="Accent1 43" xfId="15864"/>
    <cellStyle name="Accent1 44" xfId="15865"/>
    <cellStyle name="Accent1 45" xfId="15866"/>
    <cellStyle name="Accent1 46" xfId="15867"/>
    <cellStyle name="Accent1 47" xfId="15868"/>
    <cellStyle name="Accent1 48" xfId="15869"/>
    <cellStyle name="Accent1 49" xfId="15870"/>
    <cellStyle name="Accent1 5" xfId="15871"/>
    <cellStyle name="Accent1 50" xfId="15872"/>
    <cellStyle name="Accent1 51" xfId="15873"/>
    <cellStyle name="Accent1 52" xfId="15874"/>
    <cellStyle name="Accent1 53" xfId="15875"/>
    <cellStyle name="Accent1 54" xfId="15876"/>
    <cellStyle name="Accent1 55" xfId="15877"/>
    <cellStyle name="Accent1 56" xfId="15878"/>
    <cellStyle name="Accent1 57" xfId="15879"/>
    <cellStyle name="Accent1 58" xfId="15880"/>
    <cellStyle name="Accent1 59" xfId="15881"/>
    <cellStyle name="Accent1 6" xfId="15882"/>
    <cellStyle name="Accent1 7" xfId="15883"/>
    <cellStyle name="Accent1 8" xfId="15884"/>
    <cellStyle name="Accent1 9" xfId="15885"/>
    <cellStyle name="Accent1_BD RECARGA" xfId="15886"/>
    <cellStyle name="Accent2" xfId="15887"/>
    <cellStyle name="Accent2 - 20%" xfId="15888"/>
    <cellStyle name="Accent2 - 40%" xfId="15889"/>
    <cellStyle name="Accent2 - 60%" xfId="15890"/>
    <cellStyle name="Accent2 10" xfId="15891"/>
    <cellStyle name="Accent2 11" xfId="15892"/>
    <cellStyle name="Accent2 12" xfId="15893"/>
    <cellStyle name="Accent2 13" xfId="15894"/>
    <cellStyle name="Accent2 14" xfId="15895"/>
    <cellStyle name="Accent2 15" xfId="15896"/>
    <cellStyle name="Accent2 16" xfId="15897"/>
    <cellStyle name="Accent2 17" xfId="15898"/>
    <cellStyle name="Accent2 18" xfId="15899"/>
    <cellStyle name="Accent2 19" xfId="15900"/>
    <cellStyle name="Accent2 2" xfId="15901"/>
    <cellStyle name="Accent2 20" xfId="15902"/>
    <cellStyle name="Accent2 21" xfId="15903"/>
    <cellStyle name="Accent2 22" xfId="15904"/>
    <cellStyle name="Accent2 23" xfId="15905"/>
    <cellStyle name="Accent2 24" xfId="15906"/>
    <cellStyle name="Accent2 25" xfId="15907"/>
    <cellStyle name="Accent2 26" xfId="15908"/>
    <cellStyle name="Accent2 27" xfId="15909"/>
    <cellStyle name="Accent2 28" xfId="15910"/>
    <cellStyle name="Accent2 29" xfId="15911"/>
    <cellStyle name="Accent2 3" xfId="15912"/>
    <cellStyle name="Accent2 30" xfId="15913"/>
    <cellStyle name="Accent2 31" xfId="15914"/>
    <cellStyle name="Accent2 32" xfId="15915"/>
    <cellStyle name="Accent2 33" xfId="15916"/>
    <cellStyle name="Accent2 34" xfId="15917"/>
    <cellStyle name="Accent2 35" xfId="15918"/>
    <cellStyle name="Accent2 36" xfId="15919"/>
    <cellStyle name="Accent2 37" xfId="15920"/>
    <cellStyle name="Accent2 38" xfId="15921"/>
    <cellStyle name="Accent2 39" xfId="15922"/>
    <cellStyle name="Accent2 4" xfId="15923"/>
    <cellStyle name="Accent2 40" xfId="15924"/>
    <cellStyle name="Accent2 41" xfId="15925"/>
    <cellStyle name="Accent2 42" xfId="15926"/>
    <cellStyle name="Accent2 43" xfId="15927"/>
    <cellStyle name="Accent2 44" xfId="15928"/>
    <cellStyle name="Accent2 45" xfId="15929"/>
    <cellStyle name="Accent2 46" xfId="15930"/>
    <cellStyle name="Accent2 47" xfId="15931"/>
    <cellStyle name="Accent2 48" xfId="15932"/>
    <cellStyle name="Accent2 49" xfId="15933"/>
    <cellStyle name="Accent2 5" xfId="15934"/>
    <cellStyle name="Accent2 50" xfId="15935"/>
    <cellStyle name="Accent2 51" xfId="15936"/>
    <cellStyle name="Accent2 52" xfId="15937"/>
    <cellStyle name="Accent2 53" xfId="15938"/>
    <cellStyle name="Accent2 54" xfId="15939"/>
    <cellStyle name="Accent2 55" xfId="15940"/>
    <cellStyle name="Accent2 56" xfId="15941"/>
    <cellStyle name="Accent2 57" xfId="15942"/>
    <cellStyle name="Accent2 58" xfId="15943"/>
    <cellStyle name="Accent2 59" xfId="15944"/>
    <cellStyle name="Accent2 6" xfId="15945"/>
    <cellStyle name="Accent2 7" xfId="15946"/>
    <cellStyle name="Accent2 8" xfId="15947"/>
    <cellStyle name="Accent2 9" xfId="15948"/>
    <cellStyle name="Accent2_BD RECARGA" xfId="15949"/>
    <cellStyle name="Accent3" xfId="15950"/>
    <cellStyle name="Accent3 - 20%" xfId="15951"/>
    <cellStyle name="Accent3 - 40%" xfId="15952"/>
    <cellStyle name="Accent3 - 60%" xfId="15953"/>
    <cellStyle name="Accent3 10" xfId="15954"/>
    <cellStyle name="Accent3 11" xfId="15955"/>
    <cellStyle name="Accent3 12" xfId="15956"/>
    <cellStyle name="Accent3 13" xfId="15957"/>
    <cellStyle name="Accent3 14" xfId="15958"/>
    <cellStyle name="Accent3 15" xfId="15959"/>
    <cellStyle name="Accent3 16" xfId="15960"/>
    <cellStyle name="Accent3 17" xfId="15961"/>
    <cellStyle name="Accent3 18" xfId="15962"/>
    <cellStyle name="Accent3 19" xfId="15963"/>
    <cellStyle name="Accent3 2" xfId="15964"/>
    <cellStyle name="Accent3 20" xfId="15965"/>
    <cellStyle name="Accent3 21" xfId="15966"/>
    <cellStyle name="Accent3 22" xfId="15967"/>
    <cellStyle name="Accent3 23" xfId="15968"/>
    <cellStyle name="Accent3 24" xfId="15969"/>
    <cellStyle name="Accent3 25" xfId="15970"/>
    <cellStyle name="Accent3 26" xfId="15971"/>
    <cellStyle name="Accent3 27" xfId="15972"/>
    <cellStyle name="Accent3 28" xfId="15973"/>
    <cellStyle name="Accent3 29" xfId="15974"/>
    <cellStyle name="Accent3 3" xfId="15975"/>
    <cellStyle name="Accent3 30" xfId="15976"/>
    <cellStyle name="Accent3 31" xfId="15977"/>
    <cellStyle name="Accent3 32" xfId="15978"/>
    <cellStyle name="Accent3 33" xfId="15979"/>
    <cellStyle name="Accent3 34" xfId="15980"/>
    <cellStyle name="Accent3 35" xfId="15981"/>
    <cellStyle name="Accent3 36" xfId="15982"/>
    <cellStyle name="Accent3 37" xfId="15983"/>
    <cellStyle name="Accent3 38" xfId="15984"/>
    <cellStyle name="Accent3 39" xfId="15985"/>
    <cellStyle name="Accent3 4" xfId="15986"/>
    <cellStyle name="Accent3 40" xfId="15987"/>
    <cellStyle name="Accent3 41" xfId="15988"/>
    <cellStyle name="Accent3 42" xfId="15989"/>
    <cellStyle name="Accent3 43" xfId="15990"/>
    <cellStyle name="Accent3 44" xfId="15991"/>
    <cellStyle name="Accent3 45" xfId="15992"/>
    <cellStyle name="Accent3 46" xfId="15993"/>
    <cellStyle name="Accent3 47" xfId="15994"/>
    <cellStyle name="Accent3 48" xfId="15995"/>
    <cellStyle name="Accent3 49" xfId="15996"/>
    <cellStyle name="Accent3 5" xfId="15997"/>
    <cellStyle name="Accent3 50" xfId="15998"/>
    <cellStyle name="Accent3 51" xfId="15999"/>
    <cellStyle name="Accent3 52" xfId="16000"/>
    <cellStyle name="Accent3 53" xfId="16001"/>
    <cellStyle name="Accent3 54" xfId="16002"/>
    <cellStyle name="Accent3 55" xfId="16003"/>
    <cellStyle name="Accent3 56" xfId="16004"/>
    <cellStyle name="Accent3 57" xfId="16005"/>
    <cellStyle name="Accent3 58" xfId="16006"/>
    <cellStyle name="Accent3 59" xfId="16007"/>
    <cellStyle name="Accent3 6" xfId="16008"/>
    <cellStyle name="Accent3 7" xfId="16009"/>
    <cellStyle name="Accent3 8" xfId="16010"/>
    <cellStyle name="Accent3 9" xfId="16011"/>
    <cellStyle name="Accent3_BD RECARGA" xfId="16012"/>
    <cellStyle name="Accent4" xfId="16013"/>
    <cellStyle name="Accent4 - 20%" xfId="16014"/>
    <cellStyle name="Accent4 - 40%" xfId="16015"/>
    <cellStyle name="Accent4 - 60%" xfId="16016"/>
    <cellStyle name="Accent4 10" xfId="16017"/>
    <cellStyle name="Accent4 11" xfId="16018"/>
    <cellStyle name="Accent4 12" xfId="16019"/>
    <cellStyle name="Accent4 13" xfId="16020"/>
    <cellStyle name="Accent4 14" xfId="16021"/>
    <cellStyle name="Accent4 15" xfId="16022"/>
    <cellStyle name="Accent4 16" xfId="16023"/>
    <cellStyle name="Accent4 17" xfId="16024"/>
    <cellStyle name="Accent4 18" xfId="16025"/>
    <cellStyle name="Accent4 19" xfId="16026"/>
    <cellStyle name="Accent4 2" xfId="16027"/>
    <cellStyle name="Accent4 20" xfId="16028"/>
    <cellStyle name="Accent4 21" xfId="16029"/>
    <cellStyle name="Accent4 22" xfId="16030"/>
    <cellStyle name="Accent4 23" xfId="16031"/>
    <cellStyle name="Accent4 24" xfId="16032"/>
    <cellStyle name="Accent4 25" xfId="16033"/>
    <cellStyle name="Accent4 26" xfId="16034"/>
    <cellStyle name="Accent4 27" xfId="16035"/>
    <cellStyle name="Accent4 28" xfId="16036"/>
    <cellStyle name="Accent4 29" xfId="16037"/>
    <cellStyle name="Accent4 3" xfId="16038"/>
    <cellStyle name="Accent4 30" xfId="16039"/>
    <cellStyle name="Accent4 31" xfId="16040"/>
    <cellStyle name="Accent4 32" xfId="16041"/>
    <cellStyle name="Accent4 33" xfId="16042"/>
    <cellStyle name="Accent4 34" xfId="16043"/>
    <cellStyle name="Accent4 35" xfId="16044"/>
    <cellStyle name="Accent4 36" xfId="16045"/>
    <cellStyle name="Accent4 37" xfId="16046"/>
    <cellStyle name="Accent4 38" xfId="16047"/>
    <cellStyle name="Accent4 39" xfId="16048"/>
    <cellStyle name="Accent4 4" xfId="16049"/>
    <cellStyle name="Accent4 40" xfId="16050"/>
    <cellStyle name="Accent4 41" xfId="16051"/>
    <cellStyle name="Accent4 42" xfId="16052"/>
    <cellStyle name="Accent4 43" xfId="16053"/>
    <cellStyle name="Accent4 44" xfId="16054"/>
    <cellStyle name="Accent4 45" xfId="16055"/>
    <cellStyle name="Accent4 46" xfId="16056"/>
    <cellStyle name="Accent4 47" xfId="16057"/>
    <cellStyle name="Accent4 48" xfId="16058"/>
    <cellStyle name="Accent4 49" xfId="16059"/>
    <cellStyle name="Accent4 5" xfId="16060"/>
    <cellStyle name="Accent4 50" xfId="16061"/>
    <cellStyle name="Accent4 51" xfId="16062"/>
    <cellStyle name="Accent4 52" xfId="16063"/>
    <cellStyle name="Accent4 53" xfId="16064"/>
    <cellStyle name="Accent4 54" xfId="16065"/>
    <cellStyle name="Accent4 55" xfId="16066"/>
    <cellStyle name="Accent4 56" xfId="16067"/>
    <cellStyle name="Accent4 57" xfId="16068"/>
    <cellStyle name="Accent4 58" xfId="16069"/>
    <cellStyle name="Accent4 59" xfId="16070"/>
    <cellStyle name="Accent4 6" xfId="16071"/>
    <cellStyle name="Accent4 7" xfId="16072"/>
    <cellStyle name="Accent4 8" xfId="16073"/>
    <cellStyle name="Accent4 9" xfId="16074"/>
    <cellStyle name="Accent4_BD RECARGA" xfId="16075"/>
    <cellStyle name="Accent5" xfId="16076"/>
    <cellStyle name="Accent5 - 20%" xfId="16077"/>
    <cellStyle name="Accent5 - 40%" xfId="16078"/>
    <cellStyle name="Accent5 - 60%" xfId="16079"/>
    <cellStyle name="Accent5 10" xfId="16080"/>
    <cellStyle name="Accent5 11" xfId="16081"/>
    <cellStyle name="Accent5 12" xfId="16082"/>
    <cellStyle name="Accent5 13" xfId="16083"/>
    <cellStyle name="Accent5 14" xfId="16084"/>
    <cellStyle name="Accent5 15" xfId="16085"/>
    <cellStyle name="Accent5 16" xfId="16086"/>
    <cellStyle name="Accent5 17" xfId="16087"/>
    <cellStyle name="Accent5 18" xfId="16088"/>
    <cellStyle name="Accent5 19" xfId="16089"/>
    <cellStyle name="Accent5 2" xfId="16090"/>
    <cellStyle name="Accent5 20" xfId="16091"/>
    <cellStyle name="Accent5 21" xfId="16092"/>
    <cellStyle name="Accent5 22" xfId="16093"/>
    <cellStyle name="Accent5 23" xfId="16094"/>
    <cellStyle name="Accent5 24" xfId="16095"/>
    <cellStyle name="Accent5 25" xfId="16096"/>
    <cellStyle name="Accent5 26" xfId="16097"/>
    <cellStyle name="Accent5 27" xfId="16098"/>
    <cellStyle name="Accent5 28" xfId="16099"/>
    <cellStyle name="Accent5 29" xfId="16100"/>
    <cellStyle name="Accent5 3" xfId="16101"/>
    <cellStyle name="Accent5 30" xfId="16102"/>
    <cellStyle name="Accent5 31" xfId="16103"/>
    <cellStyle name="Accent5 32" xfId="16104"/>
    <cellStyle name="Accent5 33" xfId="16105"/>
    <cellStyle name="Accent5 34" xfId="16106"/>
    <cellStyle name="Accent5 35" xfId="16107"/>
    <cellStyle name="Accent5 36" xfId="16108"/>
    <cellStyle name="Accent5 37" xfId="16109"/>
    <cellStyle name="Accent5 38" xfId="16110"/>
    <cellStyle name="Accent5 39" xfId="16111"/>
    <cellStyle name="Accent5 4" xfId="16112"/>
    <cellStyle name="Accent5 40" xfId="16113"/>
    <cellStyle name="Accent5 41" xfId="16114"/>
    <cellStyle name="Accent5 42" xfId="16115"/>
    <cellStyle name="Accent5 43" xfId="16116"/>
    <cellStyle name="Accent5 44" xfId="16117"/>
    <cellStyle name="Accent5 45" xfId="16118"/>
    <cellStyle name="Accent5 46" xfId="16119"/>
    <cellStyle name="Accent5 47" xfId="16120"/>
    <cellStyle name="Accent5 48" xfId="16121"/>
    <cellStyle name="Accent5 49" xfId="16122"/>
    <cellStyle name="Accent5 5" xfId="16123"/>
    <cellStyle name="Accent5 50" xfId="16124"/>
    <cellStyle name="Accent5 51" xfId="16125"/>
    <cellStyle name="Accent5 52" xfId="16126"/>
    <cellStyle name="Accent5 53" xfId="16127"/>
    <cellStyle name="Accent5 54" xfId="16128"/>
    <cellStyle name="Accent5 55" xfId="16129"/>
    <cellStyle name="Accent5 56" xfId="16130"/>
    <cellStyle name="Accent5 57" xfId="16131"/>
    <cellStyle name="Accent5 58" xfId="16132"/>
    <cellStyle name="Accent5 59" xfId="16133"/>
    <cellStyle name="Accent5 6" xfId="16134"/>
    <cellStyle name="Accent5 7" xfId="16135"/>
    <cellStyle name="Accent5 8" xfId="16136"/>
    <cellStyle name="Accent5 9" xfId="16137"/>
    <cellStyle name="Accent5_BD RECARGA" xfId="16138"/>
    <cellStyle name="Accent6" xfId="16139"/>
    <cellStyle name="Accent6 - 20%" xfId="16140"/>
    <cellStyle name="Accent6 - 40%" xfId="16141"/>
    <cellStyle name="Accent6 - 60%" xfId="16142"/>
    <cellStyle name="Accent6 10" xfId="16143"/>
    <cellStyle name="Accent6 11" xfId="16144"/>
    <cellStyle name="Accent6 12" xfId="16145"/>
    <cellStyle name="Accent6 13" xfId="16146"/>
    <cellStyle name="Accent6 14" xfId="16147"/>
    <cellStyle name="Accent6 15" xfId="16148"/>
    <cellStyle name="Accent6 16" xfId="16149"/>
    <cellStyle name="Accent6 17" xfId="16150"/>
    <cellStyle name="Accent6 18" xfId="16151"/>
    <cellStyle name="Accent6 19" xfId="16152"/>
    <cellStyle name="Accent6 2" xfId="16153"/>
    <cellStyle name="Accent6 20" xfId="16154"/>
    <cellStyle name="Accent6 21" xfId="16155"/>
    <cellStyle name="Accent6 22" xfId="16156"/>
    <cellStyle name="Accent6 23" xfId="16157"/>
    <cellStyle name="Accent6 24" xfId="16158"/>
    <cellStyle name="Accent6 25" xfId="16159"/>
    <cellStyle name="Accent6 26" xfId="16160"/>
    <cellStyle name="Accent6 27" xfId="16161"/>
    <cellStyle name="Accent6 28" xfId="16162"/>
    <cellStyle name="Accent6 29" xfId="16163"/>
    <cellStyle name="Accent6 3" xfId="16164"/>
    <cellStyle name="Accent6 30" xfId="16165"/>
    <cellStyle name="Accent6 31" xfId="16166"/>
    <cellStyle name="Accent6 32" xfId="16167"/>
    <cellStyle name="Accent6 33" xfId="16168"/>
    <cellStyle name="Accent6 34" xfId="16169"/>
    <cellStyle name="Accent6 35" xfId="16170"/>
    <cellStyle name="Accent6 36" xfId="16171"/>
    <cellStyle name="Accent6 37" xfId="16172"/>
    <cellStyle name="Accent6 38" xfId="16173"/>
    <cellStyle name="Accent6 39" xfId="16174"/>
    <cellStyle name="Accent6 4" xfId="16175"/>
    <cellStyle name="Accent6 40" xfId="16176"/>
    <cellStyle name="Accent6 41" xfId="16177"/>
    <cellStyle name="Accent6 42" xfId="16178"/>
    <cellStyle name="Accent6 43" xfId="16179"/>
    <cellStyle name="Accent6 44" xfId="16180"/>
    <cellStyle name="Accent6 45" xfId="16181"/>
    <cellStyle name="Accent6 46" xfId="16182"/>
    <cellStyle name="Accent6 47" xfId="16183"/>
    <cellStyle name="Accent6 48" xfId="16184"/>
    <cellStyle name="Accent6 49" xfId="16185"/>
    <cellStyle name="Accent6 5" xfId="16186"/>
    <cellStyle name="Accent6 50" xfId="16187"/>
    <cellStyle name="Accent6 51" xfId="16188"/>
    <cellStyle name="Accent6 52" xfId="16189"/>
    <cellStyle name="Accent6 53" xfId="16190"/>
    <cellStyle name="Accent6 54" xfId="16191"/>
    <cellStyle name="Accent6 55" xfId="16192"/>
    <cellStyle name="Accent6 56" xfId="16193"/>
    <cellStyle name="Accent6 57" xfId="16194"/>
    <cellStyle name="Accent6 58" xfId="16195"/>
    <cellStyle name="Accent6 59" xfId="16196"/>
    <cellStyle name="Accent6 6" xfId="16197"/>
    <cellStyle name="Accent6 7" xfId="16198"/>
    <cellStyle name="Accent6 8" xfId="16199"/>
    <cellStyle name="Accent6 9" xfId="16200"/>
    <cellStyle name="Accent6_BD RECARGA" xfId="16201"/>
    <cellStyle name="Add" xfId="16202"/>
    <cellStyle name="Adjustable" xfId="11"/>
    <cellStyle name="Adjustable 2" xfId="16203"/>
    <cellStyle name="Admin" xfId="16204"/>
    <cellStyle name="AeE­ [0]_¸ðμ¨º° ¼OAI" xfId="16205"/>
    <cellStyle name="AeE­_¸ðμ¨º° ¼OAI" xfId="16206"/>
    <cellStyle name="AFE" xfId="16207"/>
    <cellStyle name="anobase" xfId="16208"/>
    <cellStyle name="anobase 2" xfId="16209"/>
    <cellStyle name="anos" xfId="16210"/>
    <cellStyle name="anos 2" xfId="16211"/>
    <cellStyle name="args.style" xfId="16212"/>
    <cellStyle name="Array" xfId="16213"/>
    <cellStyle name="Array 2" xfId="16214"/>
    <cellStyle name="Array 3" xfId="16215"/>
    <cellStyle name="Array Enter" xfId="16216"/>
    <cellStyle name="Array Enter 2" xfId="16217"/>
    <cellStyle name="Array Enter 3" xfId="16218"/>
    <cellStyle name="AÞ¸¶ [0]_¸ðμ¨º° ¼OAI" xfId="16219"/>
    <cellStyle name="ÄÞ¸¶ [0]_±âÅ¸" xfId="16220"/>
    <cellStyle name="AÞ¸¶_¸ðμ¨º° ¼OAI" xfId="16221"/>
    <cellStyle name="ÄÞ¸¶_±âÅ¸" xfId="16222"/>
    <cellStyle name="auf tausender" xfId="16223"/>
    <cellStyle name="b" xfId="16224"/>
    <cellStyle name="_x0001_b" xfId="16225"/>
    <cellStyle name="B&amp;W" xfId="16226"/>
    <cellStyle name="B&amp;Wbold" xfId="16227"/>
    <cellStyle name="Background" xfId="16228"/>
    <cellStyle name="Background 2" xfId="16229"/>
    <cellStyle name="Background 2 2" xfId="16230"/>
    <cellStyle name="Background 2 2 2" xfId="16231"/>
    <cellStyle name="Background 2 3" xfId="16232"/>
    <cellStyle name="Background 3" xfId="16233"/>
    <cellStyle name="Background 3 2" xfId="16234"/>
    <cellStyle name="Background 4" xfId="16235"/>
    <cellStyle name="Bad" xfId="16236"/>
    <cellStyle name="Bad 2" xfId="16237"/>
    <cellStyle name="Bad 3" xfId="16238"/>
    <cellStyle name="Bad 4" xfId="16239"/>
    <cellStyle name="Bad 5" xfId="16240"/>
    <cellStyle name="Bad 6" xfId="16241"/>
    <cellStyle name="Bad 7" xfId="16242"/>
    <cellStyle name="Bad 8" xfId="16243"/>
    <cellStyle name="Bad 9" xfId="16244"/>
    <cellStyle name="Bad_BD RECARGA" xfId="16245"/>
    <cellStyle name="Banner" xfId="16246"/>
    <cellStyle name="Best" xfId="16247"/>
    <cellStyle name="blank" xfId="16248"/>
    <cellStyle name="Bold/Border" xfId="16249"/>
    <cellStyle name="Bold/Border 2" xfId="16250"/>
    <cellStyle name="Bol-Data" xfId="16251"/>
    <cellStyle name="bolet" xfId="16252"/>
    <cellStyle name="Boletim" xfId="16253"/>
    <cellStyle name="Bom 10" xfId="16254"/>
    <cellStyle name="Bom 11" xfId="16255"/>
    <cellStyle name="Bom 12" xfId="16256"/>
    <cellStyle name="Bom 13" xfId="16257"/>
    <cellStyle name="Bom 14" xfId="16258"/>
    <cellStyle name="Bom 2" xfId="16259"/>
    <cellStyle name="Bom 2 2" xfId="16260"/>
    <cellStyle name="Bom 2 3" xfId="16261"/>
    <cellStyle name="Bom 2 4" xfId="16262"/>
    <cellStyle name="Bom 2 5" xfId="16263"/>
    <cellStyle name="Bom 3" xfId="16264"/>
    <cellStyle name="Bom 3 2" xfId="16265"/>
    <cellStyle name="Bom 4" xfId="16266"/>
    <cellStyle name="Bom 4 2" xfId="16267"/>
    <cellStyle name="Bom 5" xfId="16268"/>
    <cellStyle name="Bom 5 2" xfId="16269"/>
    <cellStyle name="Bom 6" xfId="16270"/>
    <cellStyle name="Bom 6 2" xfId="16271"/>
    <cellStyle name="Bom 7" xfId="16272"/>
    <cellStyle name="Bom 7 2" xfId="16273"/>
    <cellStyle name="Bom 8" xfId="16274"/>
    <cellStyle name="Bom 8 2" xfId="16275"/>
    <cellStyle name="Bom 9" xfId="16276"/>
    <cellStyle name="BorderAreas" xfId="16277"/>
    <cellStyle name="bordi" xfId="16278"/>
    <cellStyle name="Buena" xfId="16279"/>
    <cellStyle name="Bullet" xfId="16280"/>
    <cellStyle name="BvDAddIn_Currency" xfId="16281"/>
    <cellStyle name="C￥AØ_¸ðμ¨º° ¼OAI" xfId="16282"/>
    <cellStyle name="Ç¥ÁØ_¿ù°£¿ä¾àº¸°í" xfId="16283"/>
    <cellStyle name="Calc" xfId="16284"/>
    <cellStyle name="Calc %" xfId="16285"/>
    <cellStyle name="Calc alt" xfId="16286"/>
    <cellStyle name="calcolo qta x std" xfId="16287"/>
    <cellStyle name="Calculation" xfId="16288"/>
    <cellStyle name="Calculation 10" xfId="16289"/>
    <cellStyle name="Calculation 11" xfId="16290"/>
    <cellStyle name="Calculation 2" xfId="16291"/>
    <cellStyle name="Calculation 2 2" xfId="16292"/>
    <cellStyle name="Calculation 2 2 2" xfId="16293"/>
    <cellStyle name="Calculation 2 2 2 2" xfId="16294"/>
    <cellStyle name="Calculation 2 2 3" xfId="16295"/>
    <cellStyle name="Calculation 2 3" xfId="16296"/>
    <cellStyle name="Calculation 3" xfId="16297"/>
    <cellStyle name="Calculation 3 2" xfId="16298"/>
    <cellStyle name="Calculation 3 2 2" xfId="16299"/>
    <cellStyle name="Calculation 3 2 2 2" xfId="16300"/>
    <cellStyle name="Calculation 3 2 3" xfId="16301"/>
    <cellStyle name="Calculation 3 3" xfId="16302"/>
    <cellStyle name="Calculation 4" xfId="16303"/>
    <cellStyle name="Calculation 4 2" xfId="16304"/>
    <cellStyle name="Calculation 4 2 2" xfId="16305"/>
    <cellStyle name="Calculation 4 2 2 2" xfId="16306"/>
    <cellStyle name="Calculation 4 2 3" xfId="16307"/>
    <cellStyle name="Calculation 4 3" xfId="16308"/>
    <cellStyle name="Calculation 5" xfId="16309"/>
    <cellStyle name="Calculation 5 2" xfId="16310"/>
    <cellStyle name="Calculation 5 2 2" xfId="16311"/>
    <cellStyle name="Calculation 5 2 2 2" xfId="16312"/>
    <cellStyle name="Calculation 5 2 3" xfId="16313"/>
    <cellStyle name="Calculation 5 3" xfId="16314"/>
    <cellStyle name="Calculation 6" xfId="16315"/>
    <cellStyle name="Calculation 6 2" xfId="16316"/>
    <cellStyle name="Calculation 6 2 2" xfId="16317"/>
    <cellStyle name="Calculation 6 2 2 2" xfId="16318"/>
    <cellStyle name="Calculation 6 2 3" xfId="16319"/>
    <cellStyle name="Calculation 6 3" xfId="16320"/>
    <cellStyle name="Calculation 7" xfId="16321"/>
    <cellStyle name="Calculation 7 2" xfId="16322"/>
    <cellStyle name="Calculation 7 2 2" xfId="16323"/>
    <cellStyle name="Calculation 7 2 2 2" xfId="16324"/>
    <cellStyle name="Calculation 7 2 3" xfId="16325"/>
    <cellStyle name="Calculation 7 3" xfId="16326"/>
    <cellStyle name="Calculation 8" xfId="16327"/>
    <cellStyle name="Calculation 8 2" xfId="16328"/>
    <cellStyle name="Calculation 8 2 2" xfId="16329"/>
    <cellStyle name="Calculation 8 2 2 2" xfId="16330"/>
    <cellStyle name="Calculation 8 2 3" xfId="16331"/>
    <cellStyle name="Calculation 8 3" xfId="16332"/>
    <cellStyle name="Calculation 9" xfId="16333"/>
    <cellStyle name="Calculation 9 2" xfId="16334"/>
    <cellStyle name="Calculation 9 2 2" xfId="16335"/>
    <cellStyle name="Calculation 9 3" xfId="16336"/>
    <cellStyle name="Calculation_BD RECARGA" xfId="16337"/>
    <cellStyle name="Cálculo 10" xfId="16338"/>
    <cellStyle name="Cálculo 10 2" xfId="16339"/>
    <cellStyle name="Cálculo 10 2 2" xfId="16340"/>
    <cellStyle name="Cálculo 10 2 2 2" xfId="16341"/>
    <cellStyle name="Cálculo 10 2 3" xfId="16342"/>
    <cellStyle name="Cálculo 10 3" xfId="16343"/>
    <cellStyle name="Cálculo 11" xfId="16344"/>
    <cellStyle name="Cálculo 11 2" xfId="16345"/>
    <cellStyle name="Cálculo 11 2 2" xfId="16346"/>
    <cellStyle name="Cálculo 11 2 2 2" xfId="16347"/>
    <cellStyle name="Cálculo 11 2 3" xfId="16348"/>
    <cellStyle name="Cálculo 11 3" xfId="16349"/>
    <cellStyle name="Cálculo 12" xfId="16350"/>
    <cellStyle name="Cálculo 12 2" xfId="16351"/>
    <cellStyle name="Cálculo 12 2 2" xfId="16352"/>
    <cellStyle name="Cálculo 12 2 2 2" xfId="16353"/>
    <cellStyle name="Cálculo 12 2 3" xfId="16354"/>
    <cellStyle name="Cálculo 12 3" xfId="16355"/>
    <cellStyle name="Cálculo 13" xfId="16356"/>
    <cellStyle name="Cálculo 13 2" xfId="16357"/>
    <cellStyle name="Cálculo 13 2 2" xfId="16358"/>
    <cellStyle name="Cálculo 13 2 2 2" xfId="16359"/>
    <cellStyle name="Cálculo 13 2 3" xfId="16360"/>
    <cellStyle name="Cálculo 13 3" xfId="16361"/>
    <cellStyle name="Cálculo 14" xfId="16362"/>
    <cellStyle name="Cálculo 14 2" xfId="16363"/>
    <cellStyle name="Cálculo 14 2 2" xfId="16364"/>
    <cellStyle name="Cálculo 14 2 2 2" xfId="16365"/>
    <cellStyle name="Cálculo 14 2 3" xfId="16366"/>
    <cellStyle name="Cálculo 14 3" xfId="16367"/>
    <cellStyle name="Cálculo 2" xfId="16368"/>
    <cellStyle name="Cálculo 2 10" xfId="16369"/>
    <cellStyle name="Cálculo 2 10 2" xfId="16370"/>
    <cellStyle name="Cálculo 2 10 2 2" xfId="16371"/>
    <cellStyle name="Cálculo 2 10 3" xfId="16372"/>
    <cellStyle name="Cálculo 2 10 3 2" xfId="16373"/>
    <cellStyle name="Cálculo 2 10 4" xfId="16374"/>
    <cellStyle name="Cálculo 2 11" xfId="16375"/>
    <cellStyle name="Cálculo 2 11 2" xfId="16376"/>
    <cellStyle name="Cálculo 2 11 2 2" xfId="16377"/>
    <cellStyle name="Cálculo 2 11 3" xfId="16378"/>
    <cellStyle name="Cálculo 2 11 3 2" xfId="16379"/>
    <cellStyle name="Cálculo 2 11 4" xfId="16380"/>
    <cellStyle name="Cálculo 2 12" xfId="16381"/>
    <cellStyle name="Cálculo 2 12 2" xfId="16382"/>
    <cellStyle name="Cálculo 2 12 2 2" xfId="16383"/>
    <cellStyle name="Cálculo 2 12 3" xfId="16384"/>
    <cellStyle name="Cálculo 2 12 3 2" xfId="16385"/>
    <cellStyle name="Cálculo 2 12 4" xfId="16386"/>
    <cellStyle name="Cálculo 2 13" xfId="16387"/>
    <cellStyle name="Cálculo 2 13 2" xfId="16388"/>
    <cellStyle name="Cálculo 2 13 2 2" xfId="16389"/>
    <cellStyle name="Cálculo 2 13 3" xfId="16390"/>
    <cellStyle name="Cálculo 2 13 3 2" xfId="16391"/>
    <cellStyle name="Cálculo 2 13 4" xfId="16392"/>
    <cellStyle name="Cálculo 2 14" xfId="16393"/>
    <cellStyle name="Cálculo 2 14 2" xfId="16394"/>
    <cellStyle name="Cálculo 2 14 2 2" xfId="16395"/>
    <cellStyle name="Cálculo 2 14 3" xfId="16396"/>
    <cellStyle name="Cálculo 2 14 3 2" xfId="16397"/>
    <cellStyle name="Cálculo 2 14 4" xfId="16398"/>
    <cellStyle name="Cálculo 2 15" xfId="16399"/>
    <cellStyle name="Cálculo 2 15 2" xfId="16400"/>
    <cellStyle name="Cálculo 2 15 2 2" xfId="16401"/>
    <cellStyle name="Cálculo 2 15 3" xfId="16402"/>
    <cellStyle name="Cálculo 2 15 3 2" xfId="16403"/>
    <cellStyle name="Cálculo 2 15 4" xfId="16404"/>
    <cellStyle name="Cálculo 2 16" xfId="16405"/>
    <cellStyle name="Cálculo 2 16 2" xfId="16406"/>
    <cellStyle name="Cálculo 2 16 2 2" xfId="16407"/>
    <cellStyle name="Cálculo 2 16 3" xfId="16408"/>
    <cellStyle name="Cálculo 2 16 3 2" xfId="16409"/>
    <cellStyle name="Cálculo 2 16 4" xfId="16410"/>
    <cellStyle name="Cálculo 2 17" xfId="16411"/>
    <cellStyle name="Cálculo 2 17 2" xfId="16412"/>
    <cellStyle name="Cálculo 2 17 2 2" xfId="16413"/>
    <cellStyle name="Cálculo 2 17 3" xfId="16414"/>
    <cellStyle name="Cálculo 2 17 3 2" xfId="16415"/>
    <cellStyle name="Cálculo 2 17 4" xfId="16416"/>
    <cellStyle name="Cálculo 2 18" xfId="16417"/>
    <cellStyle name="Cálculo 2 18 2" xfId="16418"/>
    <cellStyle name="Cálculo 2 18 2 2" xfId="16419"/>
    <cellStyle name="Cálculo 2 18 3" xfId="16420"/>
    <cellStyle name="Cálculo 2 18 3 2" xfId="16421"/>
    <cellStyle name="Cálculo 2 18 4" xfId="16422"/>
    <cellStyle name="Cálculo 2 19" xfId="16423"/>
    <cellStyle name="Cálculo 2 19 2" xfId="16424"/>
    <cellStyle name="Cálculo 2 19 2 2" xfId="16425"/>
    <cellStyle name="Cálculo 2 19 3" xfId="16426"/>
    <cellStyle name="Cálculo 2 19 3 2" xfId="16427"/>
    <cellStyle name="Cálculo 2 19 4" xfId="16428"/>
    <cellStyle name="Cálculo 2 2" xfId="16429"/>
    <cellStyle name="Cálculo 2 2 10" xfId="16430"/>
    <cellStyle name="Cálculo 2 2 10 2" xfId="16431"/>
    <cellStyle name="Cálculo 2 2 10 2 2" xfId="16432"/>
    <cellStyle name="Cálculo 2 2 10 3" xfId="16433"/>
    <cellStyle name="Cálculo 2 2 10 3 2" xfId="16434"/>
    <cellStyle name="Cálculo 2 2 10 4" xfId="16435"/>
    <cellStyle name="Cálculo 2 2 11" xfId="16436"/>
    <cellStyle name="Cálculo 2 2 11 2" xfId="16437"/>
    <cellStyle name="Cálculo 2 2 11 2 2" xfId="16438"/>
    <cellStyle name="Cálculo 2 2 11 3" xfId="16439"/>
    <cellStyle name="Cálculo 2 2 11 3 2" xfId="16440"/>
    <cellStyle name="Cálculo 2 2 11 4" xfId="16441"/>
    <cellStyle name="Cálculo 2 2 12" xfId="16442"/>
    <cellStyle name="Cálculo 2 2 12 2" xfId="16443"/>
    <cellStyle name="Cálculo 2 2 12 2 2" xfId="16444"/>
    <cellStyle name="Cálculo 2 2 12 3" xfId="16445"/>
    <cellStyle name="Cálculo 2 2 12 3 2" xfId="16446"/>
    <cellStyle name="Cálculo 2 2 12 4" xfId="16447"/>
    <cellStyle name="Cálculo 2 2 13" xfId="16448"/>
    <cellStyle name="Cálculo 2 2 13 2" xfId="16449"/>
    <cellStyle name="Cálculo 2 2 13 2 2" xfId="16450"/>
    <cellStyle name="Cálculo 2 2 13 3" xfId="16451"/>
    <cellStyle name="Cálculo 2 2 13 3 2" xfId="16452"/>
    <cellStyle name="Cálculo 2 2 13 4" xfId="16453"/>
    <cellStyle name="Cálculo 2 2 14" xfId="16454"/>
    <cellStyle name="Cálculo 2 2 14 2" xfId="16455"/>
    <cellStyle name="Cálculo 2 2 14 2 2" xfId="16456"/>
    <cellStyle name="Cálculo 2 2 14 3" xfId="16457"/>
    <cellStyle name="Cálculo 2 2 14 3 2" xfId="16458"/>
    <cellStyle name="Cálculo 2 2 14 4" xfId="16459"/>
    <cellStyle name="Cálculo 2 2 15" xfId="16460"/>
    <cellStyle name="Cálculo 2 2 15 2" xfId="16461"/>
    <cellStyle name="Cálculo 2 2 15 2 2" xfId="16462"/>
    <cellStyle name="Cálculo 2 2 15 3" xfId="16463"/>
    <cellStyle name="Cálculo 2 2 15 3 2" xfId="16464"/>
    <cellStyle name="Cálculo 2 2 15 4" xfId="16465"/>
    <cellStyle name="Cálculo 2 2 16" xfId="16466"/>
    <cellStyle name="Cálculo 2 2 16 2" xfId="16467"/>
    <cellStyle name="Cálculo 2 2 16 2 2" xfId="16468"/>
    <cellStyle name="Cálculo 2 2 16 3" xfId="16469"/>
    <cellStyle name="Cálculo 2 2 16 3 2" xfId="16470"/>
    <cellStyle name="Cálculo 2 2 16 4" xfId="16471"/>
    <cellStyle name="Cálculo 2 2 17" xfId="16472"/>
    <cellStyle name="Cálculo 2 2 17 2" xfId="16473"/>
    <cellStyle name="Cálculo 2 2 17 2 2" xfId="16474"/>
    <cellStyle name="Cálculo 2 2 17 3" xfId="16475"/>
    <cellStyle name="Cálculo 2 2 17 3 2" xfId="16476"/>
    <cellStyle name="Cálculo 2 2 17 4" xfId="16477"/>
    <cellStyle name="Cálculo 2 2 18" xfId="16478"/>
    <cellStyle name="Cálculo 2 2 18 2" xfId="16479"/>
    <cellStyle name="Cálculo 2 2 18 2 2" xfId="16480"/>
    <cellStyle name="Cálculo 2 2 18 3" xfId="16481"/>
    <cellStyle name="Cálculo 2 2 18 3 2" xfId="16482"/>
    <cellStyle name="Cálculo 2 2 18 4" xfId="16483"/>
    <cellStyle name="Cálculo 2 2 19" xfId="16484"/>
    <cellStyle name="Cálculo 2 2 19 2" xfId="16485"/>
    <cellStyle name="Cálculo 2 2 19 2 2" xfId="16486"/>
    <cellStyle name="Cálculo 2 2 19 3" xfId="16487"/>
    <cellStyle name="Cálculo 2 2 19 3 2" xfId="16488"/>
    <cellStyle name="Cálculo 2 2 19 4" xfId="16489"/>
    <cellStyle name="Cálculo 2 2 2" xfId="16490"/>
    <cellStyle name="Cálculo 2 2 2 10" xfId="16491"/>
    <cellStyle name="Cálculo 2 2 2 10 2" xfId="16492"/>
    <cellStyle name="Cálculo 2 2 2 10 2 2" xfId="16493"/>
    <cellStyle name="Cálculo 2 2 2 10 3" xfId="16494"/>
    <cellStyle name="Cálculo 2 2 2 10 3 2" xfId="16495"/>
    <cellStyle name="Cálculo 2 2 2 10 4" xfId="16496"/>
    <cellStyle name="Cálculo 2 2 2 11" xfId="16497"/>
    <cellStyle name="Cálculo 2 2 2 11 2" xfId="16498"/>
    <cellStyle name="Cálculo 2 2 2 11 2 2" xfId="16499"/>
    <cellStyle name="Cálculo 2 2 2 11 3" xfId="16500"/>
    <cellStyle name="Cálculo 2 2 2 11 3 2" xfId="16501"/>
    <cellStyle name="Cálculo 2 2 2 11 4" xfId="16502"/>
    <cellStyle name="Cálculo 2 2 2 12" xfId="16503"/>
    <cellStyle name="Cálculo 2 2 2 12 2" xfId="16504"/>
    <cellStyle name="Cálculo 2 2 2 12 2 2" xfId="16505"/>
    <cellStyle name="Cálculo 2 2 2 12 3" xfId="16506"/>
    <cellStyle name="Cálculo 2 2 2 12 3 2" xfId="16507"/>
    <cellStyle name="Cálculo 2 2 2 12 4" xfId="16508"/>
    <cellStyle name="Cálculo 2 2 2 13" xfId="16509"/>
    <cellStyle name="Cálculo 2 2 2 13 2" xfId="16510"/>
    <cellStyle name="Cálculo 2 2 2 13 2 2" xfId="16511"/>
    <cellStyle name="Cálculo 2 2 2 13 3" xfId="16512"/>
    <cellStyle name="Cálculo 2 2 2 13 3 2" xfId="16513"/>
    <cellStyle name="Cálculo 2 2 2 13 4" xfId="16514"/>
    <cellStyle name="Cálculo 2 2 2 14" xfId="16515"/>
    <cellStyle name="Cálculo 2 2 2 14 2" xfId="16516"/>
    <cellStyle name="Cálculo 2 2 2 14 2 2" xfId="16517"/>
    <cellStyle name="Cálculo 2 2 2 14 3" xfId="16518"/>
    <cellStyle name="Cálculo 2 2 2 14 3 2" xfId="16519"/>
    <cellStyle name="Cálculo 2 2 2 14 4" xfId="16520"/>
    <cellStyle name="Cálculo 2 2 2 15" xfId="16521"/>
    <cellStyle name="Cálculo 2 2 2 15 2" xfId="16522"/>
    <cellStyle name="Cálculo 2 2 2 15 2 2" xfId="16523"/>
    <cellStyle name="Cálculo 2 2 2 15 3" xfId="16524"/>
    <cellStyle name="Cálculo 2 2 2 15 3 2" xfId="16525"/>
    <cellStyle name="Cálculo 2 2 2 15 4" xfId="16526"/>
    <cellStyle name="Cálculo 2 2 2 16" xfId="16527"/>
    <cellStyle name="Cálculo 2 2 2 16 2" xfId="16528"/>
    <cellStyle name="Cálculo 2 2 2 16 2 2" xfId="16529"/>
    <cellStyle name="Cálculo 2 2 2 16 3" xfId="16530"/>
    <cellStyle name="Cálculo 2 2 2 16 3 2" xfId="16531"/>
    <cellStyle name="Cálculo 2 2 2 16 4" xfId="16532"/>
    <cellStyle name="Cálculo 2 2 2 17" xfId="16533"/>
    <cellStyle name="Cálculo 2 2 2 17 2" xfId="16534"/>
    <cellStyle name="Cálculo 2 2 2 17 2 2" xfId="16535"/>
    <cellStyle name="Cálculo 2 2 2 17 3" xfId="16536"/>
    <cellStyle name="Cálculo 2 2 2 17 3 2" xfId="16537"/>
    <cellStyle name="Cálculo 2 2 2 17 4" xfId="16538"/>
    <cellStyle name="Cálculo 2 2 2 18" xfId="16539"/>
    <cellStyle name="Cálculo 2 2 2 18 2" xfId="16540"/>
    <cellStyle name="Cálculo 2 2 2 18 2 2" xfId="16541"/>
    <cellStyle name="Cálculo 2 2 2 18 3" xfId="16542"/>
    <cellStyle name="Cálculo 2 2 2 18 3 2" xfId="16543"/>
    <cellStyle name="Cálculo 2 2 2 18 4" xfId="16544"/>
    <cellStyle name="Cálculo 2 2 2 19" xfId="16545"/>
    <cellStyle name="Cálculo 2 2 2 19 2" xfId="16546"/>
    <cellStyle name="Cálculo 2 2 2 19 2 2" xfId="16547"/>
    <cellStyle name="Cálculo 2 2 2 19 3" xfId="16548"/>
    <cellStyle name="Cálculo 2 2 2 19 3 2" xfId="16549"/>
    <cellStyle name="Cálculo 2 2 2 19 4" xfId="16550"/>
    <cellStyle name="Cálculo 2 2 2 2" xfId="16551"/>
    <cellStyle name="Cálculo 2 2 2 2 2" xfId="16552"/>
    <cellStyle name="Cálculo 2 2 2 2 2 2" xfId="16553"/>
    <cellStyle name="Cálculo 2 2 2 2 3" xfId="16554"/>
    <cellStyle name="Cálculo 2 2 2 2 3 2" xfId="16555"/>
    <cellStyle name="Cálculo 2 2 2 2 4" xfId="16556"/>
    <cellStyle name="Cálculo 2 2 2 20" xfId="16557"/>
    <cellStyle name="Cálculo 2 2 2 20 2" xfId="16558"/>
    <cellStyle name="Cálculo 2 2 2 20 2 2" xfId="16559"/>
    <cellStyle name="Cálculo 2 2 2 20 3" xfId="16560"/>
    <cellStyle name="Cálculo 2 2 2 20 3 2" xfId="16561"/>
    <cellStyle name="Cálculo 2 2 2 20 4" xfId="16562"/>
    <cellStyle name="Cálculo 2 2 2 21" xfId="16563"/>
    <cellStyle name="Cálculo 2 2 2 21 2" xfId="16564"/>
    <cellStyle name="Cálculo 2 2 2 21 2 2" xfId="16565"/>
    <cellStyle name="Cálculo 2 2 2 21 3" xfId="16566"/>
    <cellStyle name="Cálculo 2 2 2 21 3 2" xfId="16567"/>
    <cellStyle name="Cálculo 2 2 2 21 4" xfId="16568"/>
    <cellStyle name="Cálculo 2 2 2 22" xfId="16569"/>
    <cellStyle name="Cálculo 2 2 2 22 2" xfId="16570"/>
    <cellStyle name="Cálculo 2 2 2 22 2 2" xfId="16571"/>
    <cellStyle name="Cálculo 2 2 2 22 3" xfId="16572"/>
    <cellStyle name="Cálculo 2 2 2 22 3 2" xfId="16573"/>
    <cellStyle name="Cálculo 2 2 2 22 4" xfId="16574"/>
    <cellStyle name="Cálculo 2 2 2 23" xfId="16575"/>
    <cellStyle name="Cálculo 2 2 2 23 2" xfId="16576"/>
    <cellStyle name="Cálculo 2 2 2 23 2 2" xfId="16577"/>
    <cellStyle name="Cálculo 2 2 2 23 3" xfId="16578"/>
    <cellStyle name="Cálculo 2 2 2 23 3 2" xfId="16579"/>
    <cellStyle name="Cálculo 2 2 2 23 4" xfId="16580"/>
    <cellStyle name="Cálculo 2 2 2 24" xfId="16581"/>
    <cellStyle name="Cálculo 2 2 2 24 2" xfId="16582"/>
    <cellStyle name="Cálculo 2 2 2 24 2 2" xfId="16583"/>
    <cellStyle name="Cálculo 2 2 2 24 3" xfId="16584"/>
    <cellStyle name="Cálculo 2 2 2 24 3 2" xfId="16585"/>
    <cellStyle name="Cálculo 2 2 2 24 4" xfId="16586"/>
    <cellStyle name="Cálculo 2 2 2 25" xfId="16587"/>
    <cellStyle name="Cálculo 2 2 2 25 2" xfId="16588"/>
    <cellStyle name="Cálculo 2 2 2 25 2 2" xfId="16589"/>
    <cellStyle name="Cálculo 2 2 2 25 3" xfId="16590"/>
    <cellStyle name="Cálculo 2 2 2 25 3 2" xfId="16591"/>
    <cellStyle name="Cálculo 2 2 2 25 4" xfId="16592"/>
    <cellStyle name="Cálculo 2 2 2 26" xfId="16593"/>
    <cellStyle name="Cálculo 2 2 2 26 2" xfId="16594"/>
    <cellStyle name="Cálculo 2 2 2 26 2 2" xfId="16595"/>
    <cellStyle name="Cálculo 2 2 2 26 3" xfId="16596"/>
    <cellStyle name="Cálculo 2 2 2 26 3 2" xfId="16597"/>
    <cellStyle name="Cálculo 2 2 2 26 4" xfId="16598"/>
    <cellStyle name="Cálculo 2 2 2 27" xfId="16599"/>
    <cellStyle name="Cálculo 2 2 2 27 2" xfId="16600"/>
    <cellStyle name="Cálculo 2 2 2 27 2 2" xfId="16601"/>
    <cellStyle name="Cálculo 2 2 2 27 3" xfId="16602"/>
    <cellStyle name="Cálculo 2 2 2 27 3 2" xfId="16603"/>
    <cellStyle name="Cálculo 2 2 2 27 4" xfId="16604"/>
    <cellStyle name="Cálculo 2 2 2 28" xfId="16605"/>
    <cellStyle name="Cálculo 2 2 2 28 2" xfId="16606"/>
    <cellStyle name="Cálculo 2 2 2 28 2 2" xfId="16607"/>
    <cellStyle name="Cálculo 2 2 2 28 3" xfId="16608"/>
    <cellStyle name="Cálculo 2 2 2 28 3 2" xfId="16609"/>
    <cellStyle name="Cálculo 2 2 2 28 4" xfId="16610"/>
    <cellStyle name="Cálculo 2 2 2 29" xfId="16611"/>
    <cellStyle name="Cálculo 2 2 2 29 2" xfId="16612"/>
    <cellStyle name="Cálculo 2 2 2 29 2 2" xfId="16613"/>
    <cellStyle name="Cálculo 2 2 2 29 3" xfId="16614"/>
    <cellStyle name="Cálculo 2 2 2 29 3 2" xfId="16615"/>
    <cellStyle name="Cálculo 2 2 2 29 4" xfId="16616"/>
    <cellStyle name="Cálculo 2 2 2 3" xfId="16617"/>
    <cellStyle name="Cálculo 2 2 2 3 2" xfId="16618"/>
    <cellStyle name="Cálculo 2 2 2 3 2 2" xfId="16619"/>
    <cellStyle name="Cálculo 2 2 2 3 3" xfId="16620"/>
    <cellStyle name="Cálculo 2 2 2 3 3 2" xfId="16621"/>
    <cellStyle name="Cálculo 2 2 2 3 4" xfId="16622"/>
    <cellStyle name="Cálculo 2 2 2 30" xfId="16623"/>
    <cellStyle name="Cálculo 2 2 2 30 2" xfId="16624"/>
    <cellStyle name="Cálculo 2 2 2 30 2 2" xfId="16625"/>
    <cellStyle name="Cálculo 2 2 2 30 3" xfId="16626"/>
    <cellStyle name="Cálculo 2 2 2 30 3 2" xfId="16627"/>
    <cellStyle name="Cálculo 2 2 2 30 4" xfId="16628"/>
    <cellStyle name="Cálculo 2 2 2 31" xfId="16629"/>
    <cellStyle name="Cálculo 2 2 2 31 2" xfId="16630"/>
    <cellStyle name="Cálculo 2 2 2 31 2 2" xfId="16631"/>
    <cellStyle name="Cálculo 2 2 2 31 3" xfId="16632"/>
    <cellStyle name="Cálculo 2 2 2 31 3 2" xfId="16633"/>
    <cellStyle name="Cálculo 2 2 2 31 4" xfId="16634"/>
    <cellStyle name="Cálculo 2 2 2 32" xfId="16635"/>
    <cellStyle name="Cálculo 2 2 2 32 2" xfId="16636"/>
    <cellStyle name="Cálculo 2 2 2 32 2 2" xfId="16637"/>
    <cellStyle name="Cálculo 2 2 2 32 3" xfId="16638"/>
    <cellStyle name="Cálculo 2 2 2 32 3 2" xfId="16639"/>
    <cellStyle name="Cálculo 2 2 2 32 4" xfId="16640"/>
    <cellStyle name="Cálculo 2 2 2 33" xfId="16641"/>
    <cellStyle name="Cálculo 2 2 2 33 2" xfId="16642"/>
    <cellStyle name="Cálculo 2 2 2 33 2 2" xfId="16643"/>
    <cellStyle name="Cálculo 2 2 2 33 3" xfId="16644"/>
    <cellStyle name="Cálculo 2 2 2 33 3 2" xfId="16645"/>
    <cellStyle name="Cálculo 2 2 2 33 4" xfId="16646"/>
    <cellStyle name="Cálculo 2 2 2 34" xfId="16647"/>
    <cellStyle name="Cálculo 2 2 2 34 2" xfId="16648"/>
    <cellStyle name="Cálculo 2 2 2 34 2 2" xfId="16649"/>
    <cellStyle name="Cálculo 2 2 2 34 3" xfId="16650"/>
    <cellStyle name="Cálculo 2 2 2 34 3 2" xfId="16651"/>
    <cellStyle name="Cálculo 2 2 2 34 4" xfId="16652"/>
    <cellStyle name="Cálculo 2 2 2 35" xfId="16653"/>
    <cellStyle name="Cálculo 2 2 2 35 2" xfId="16654"/>
    <cellStyle name="Cálculo 2 2 2 35 2 2" xfId="16655"/>
    <cellStyle name="Cálculo 2 2 2 35 3" xfId="16656"/>
    <cellStyle name="Cálculo 2 2 2 35 3 2" xfId="16657"/>
    <cellStyle name="Cálculo 2 2 2 35 4" xfId="16658"/>
    <cellStyle name="Cálculo 2 2 2 36" xfId="16659"/>
    <cellStyle name="Cálculo 2 2 2 36 2" xfId="16660"/>
    <cellStyle name="Cálculo 2 2 2 36 2 2" xfId="16661"/>
    <cellStyle name="Cálculo 2 2 2 36 3" xfId="16662"/>
    <cellStyle name="Cálculo 2 2 2 36 3 2" xfId="16663"/>
    <cellStyle name="Cálculo 2 2 2 36 4" xfId="16664"/>
    <cellStyle name="Cálculo 2 2 2 37" xfId="16665"/>
    <cellStyle name="Cálculo 2 2 2 37 2" xfId="16666"/>
    <cellStyle name="Cálculo 2 2 2 37 2 2" xfId="16667"/>
    <cellStyle name="Cálculo 2 2 2 37 3" xfId="16668"/>
    <cellStyle name="Cálculo 2 2 2 37 3 2" xfId="16669"/>
    <cellStyle name="Cálculo 2 2 2 37 4" xfId="16670"/>
    <cellStyle name="Cálculo 2 2 2 38" xfId="16671"/>
    <cellStyle name="Cálculo 2 2 2 38 2" xfId="16672"/>
    <cellStyle name="Cálculo 2 2 2 38 2 2" xfId="16673"/>
    <cellStyle name="Cálculo 2 2 2 38 3" xfId="16674"/>
    <cellStyle name="Cálculo 2 2 2 38 3 2" xfId="16675"/>
    <cellStyle name="Cálculo 2 2 2 38 4" xfId="16676"/>
    <cellStyle name="Cálculo 2 2 2 39" xfId="16677"/>
    <cellStyle name="Cálculo 2 2 2 39 2" xfId="16678"/>
    <cellStyle name="Cálculo 2 2 2 39 2 2" xfId="16679"/>
    <cellStyle name="Cálculo 2 2 2 39 3" xfId="16680"/>
    <cellStyle name="Cálculo 2 2 2 4" xfId="16681"/>
    <cellStyle name="Cálculo 2 2 2 4 2" xfId="16682"/>
    <cellStyle name="Cálculo 2 2 2 4 2 2" xfId="16683"/>
    <cellStyle name="Cálculo 2 2 2 4 3" xfId="16684"/>
    <cellStyle name="Cálculo 2 2 2 4 3 2" xfId="16685"/>
    <cellStyle name="Cálculo 2 2 2 4 4" xfId="16686"/>
    <cellStyle name="Cálculo 2 2 2 40" xfId="16687"/>
    <cellStyle name="Cálculo 2 2 2 40 2" xfId="16688"/>
    <cellStyle name="Cálculo 2 2 2 41" xfId="16689"/>
    <cellStyle name="Cálculo 2 2 2 41 2" xfId="16690"/>
    <cellStyle name="Cálculo 2 2 2 42" xfId="16691"/>
    <cellStyle name="Cálculo 2 2 2 42 2" xfId="16692"/>
    <cellStyle name="Cálculo 2 2 2 43" xfId="16693"/>
    <cellStyle name="Cálculo 2 2 2 5" xfId="16694"/>
    <cellStyle name="Cálculo 2 2 2 5 2" xfId="16695"/>
    <cellStyle name="Cálculo 2 2 2 5 2 2" xfId="16696"/>
    <cellStyle name="Cálculo 2 2 2 5 3" xfId="16697"/>
    <cellStyle name="Cálculo 2 2 2 5 3 2" xfId="16698"/>
    <cellStyle name="Cálculo 2 2 2 5 4" xfId="16699"/>
    <cellStyle name="Cálculo 2 2 2 6" xfId="16700"/>
    <cellStyle name="Cálculo 2 2 2 6 2" xfId="16701"/>
    <cellStyle name="Cálculo 2 2 2 6 2 2" xfId="16702"/>
    <cellStyle name="Cálculo 2 2 2 6 3" xfId="16703"/>
    <cellStyle name="Cálculo 2 2 2 6 3 2" xfId="16704"/>
    <cellStyle name="Cálculo 2 2 2 6 4" xfId="16705"/>
    <cellStyle name="Cálculo 2 2 2 7" xfId="16706"/>
    <cellStyle name="Cálculo 2 2 2 7 2" xfId="16707"/>
    <cellStyle name="Cálculo 2 2 2 7 2 2" xfId="16708"/>
    <cellStyle name="Cálculo 2 2 2 7 3" xfId="16709"/>
    <cellStyle name="Cálculo 2 2 2 7 3 2" xfId="16710"/>
    <cellStyle name="Cálculo 2 2 2 7 4" xfId="16711"/>
    <cellStyle name="Cálculo 2 2 2 8" xfId="16712"/>
    <cellStyle name="Cálculo 2 2 2 8 2" xfId="16713"/>
    <cellStyle name="Cálculo 2 2 2 8 2 2" xfId="16714"/>
    <cellStyle name="Cálculo 2 2 2 8 3" xfId="16715"/>
    <cellStyle name="Cálculo 2 2 2 8 3 2" xfId="16716"/>
    <cellStyle name="Cálculo 2 2 2 8 4" xfId="16717"/>
    <cellStyle name="Cálculo 2 2 2 9" xfId="16718"/>
    <cellStyle name="Cálculo 2 2 2 9 2" xfId="16719"/>
    <cellStyle name="Cálculo 2 2 2 9 2 2" xfId="16720"/>
    <cellStyle name="Cálculo 2 2 2 9 3" xfId="16721"/>
    <cellStyle name="Cálculo 2 2 2 9 3 2" xfId="16722"/>
    <cellStyle name="Cálculo 2 2 2 9 4" xfId="16723"/>
    <cellStyle name="Cálculo 2 2 20" xfId="16724"/>
    <cellStyle name="Cálculo 2 2 20 2" xfId="16725"/>
    <cellStyle name="Cálculo 2 2 20 2 2" xfId="16726"/>
    <cellStyle name="Cálculo 2 2 20 3" xfId="16727"/>
    <cellStyle name="Cálculo 2 2 20 3 2" xfId="16728"/>
    <cellStyle name="Cálculo 2 2 20 4" xfId="16729"/>
    <cellStyle name="Cálculo 2 2 21" xfId="16730"/>
    <cellStyle name="Cálculo 2 2 21 2" xfId="16731"/>
    <cellStyle name="Cálculo 2 2 21 2 2" xfId="16732"/>
    <cellStyle name="Cálculo 2 2 21 3" xfId="16733"/>
    <cellStyle name="Cálculo 2 2 21 3 2" xfId="16734"/>
    <cellStyle name="Cálculo 2 2 21 4" xfId="16735"/>
    <cellStyle name="Cálculo 2 2 22" xfId="16736"/>
    <cellStyle name="Cálculo 2 2 22 2" xfId="16737"/>
    <cellStyle name="Cálculo 2 2 22 2 2" xfId="16738"/>
    <cellStyle name="Cálculo 2 2 22 3" xfId="16739"/>
    <cellStyle name="Cálculo 2 2 22 3 2" xfId="16740"/>
    <cellStyle name="Cálculo 2 2 22 4" xfId="16741"/>
    <cellStyle name="Cálculo 2 2 23" xfId="16742"/>
    <cellStyle name="Cálculo 2 2 23 2" xfId="16743"/>
    <cellStyle name="Cálculo 2 2 23 2 2" xfId="16744"/>
    <cellStyle name="Cálculo 2 2 23 3" xfId="16745"/>
    <cellStyle name="Cálculo 2 2 23 3 2" xfId="16746"/>
    <cellStyle name="Cálculo 2 2 23 4" xfId="16747"/>
    <cellStyle name="Cálculo 2 2 24" xfId="16748"/>
    <cellStyle name="Cálculo 2 2 24 2" xfId="16749"/>
    <cellStyle name="Cálculo 2 2 24 2 2" xfId="16750"/>
    <cellStyle name="Cálculo 2 2 24 3" xfId="16751"/>
    <cellStyle name="Cálculo 2 2 24 3 2" xfId="16752"/>
    <cellStyle name="Cálculo 2 2 24 4" xfId="16753"/>
    <cellStyle name="Cálculo 2 2 25" xfId="16754"/>
    <cellStyle name="Cálculo 2 2 25 2" xfId="16755"/>
    <cellStyle name="Cálculo 2 2 25 2 2" xfId="16756"/>
    <cellStyle name="Cálculo 2 2 25 3" xfId="16757"/>
    <cellStyle name="Cálculo 2 2 25 3 2" xfId="16758"/>
    <cellStyle name="Cálculo 2 2 25 4" xfId="16759"/>
    <cellStyle name="Cálculo 2 2 26" xfId="16760"/>
    <cellStyle name="Cálculo 2 2 26 2" xfId="16761"/>
    <cellStyle name="Cálculo 2 2 26 2 2" xfId="16762"/>
    <cellStyle name="Cálculo 2 2 26 3" xfId="16763"/>
    <cellStyle name="Cálculo 2 2 26 3 2" xfId="16764"/>
    <cellStyle name="Cálculo 2 2 26 4" xfId="16765"/>
    <cellStyle name="Cálculo 2 2 27" xfId="16766"/>
    <cellStyle name="Cálculo 2 2 27 2" xfId="16767"/>
    <cellStyle name="Cálculo 2 2 27 2 2" xfId="16768"/>
    <cellStyle name="Cálculo 2 2 27 3" xfId="16769"/>
    <cellStyle name="Cálculo 2 2 27 3 2" xfId="16770"/>
    <cellStyle name="Cálculo 2 2 27 4" xfId="16771"/>
    <cellStyle name="Cálculo 2 2 28" xfId="16772"/>
    <cellStyle name="Cálculo 2 2 28 2" xfId="16773"/>
    <cellStyle name="Cálculo 2 2 28 2 2" xfId="16774"/>
    <cellStyle name="Cálculo 2 2 28 3" xfId="16775"/>
    <cellStyle name="Cálculo 2 2 28 3 2" xfId="16776"/>
    <cellStyle name="Cálculo 2 2 28 4" xfId="16777"/>
    <cellStyle name="Cálculo 2 2 29" xfId="16778"/>
    <cellStyle name="Cálculo 2 2 29 2" xfId="16779"/>
    <cellStyle name="Cálculo 2 2 29 2 2" xfId="16780"/>
    <cellStyle name="Cálculo 2 2 29 3" xfId="16781"/>
    <cellStyle name="Cálculo 2 2 29 3 2" xfId="16782"/>
    <cellStyle name="Cálculo 2 2 29 4" xfId="16783"/>
    <cellStyle name="Cálculo 2 2 3" xfId="16784"/>
    <cellStyle name="Cálculo 2 2 3 10" xfId="16785"/>
    <cellStyle name="Cálculo 2 2 3 10 2" xfId="16786"/>
    <cellStyle name="Cálculo 2 2 3 10 2 2" xfId="16787"/>
    <cellStyle name="Cálculo 2 2 3 10 3" xfId="16788"/>
    <cellStyle name="Cálculo 2 2 3 10 3 2" xfId="16789"/>
    <cellStyle name="Cálculo 2 2 3 10 4" xfId="16790"/>
    <cellStyle name="Cálculo 2 2 3 11" xfId="16791"/>
    <cellStyle name="Cálculo 2 2 3 11 2" xfId="16792"/>
    <cellStyle name="Cálculo 2 2 3 11 2 2" xfId="16793"/>
    <cellStyle name="Cálculo 2 2 3 11 3" xfId="16794"/>
    <cellStyle name="Cálculo 2 2 3 11 3 2" xfId="16795"/>
    <cellStyle name="Cálculo 2 2 3 11 4" xfId="16796"/>
    <cellStyle name="Cálculo 2 2 3 12" xfId="16797"/>
    <cellStyle name="Cálculo 2 2 3 12 2" xfId="16798"/>
    <cellStyle name="Cálculo 2 2 3 12 2 2" xfId="16799"/>
    <cellStyle name="Cálculo 2 2 3 12 3" xfId="16800"/>
    <cellStyle name="Cálculo 2 2 3 12 3 2" xfId="16801"/>
    <cellStyle name="Cálculo 2 2 3 12 4" xfId="16802"/>
    <cellStyle name="Cálculo 2 2 3 13" xfId="16803"/>
    <cellStyle name="Cálculo 2 2 3 13 2" xfId="16804"/>
    <cellStyle name="Cálculo 2 2 3 13 2 2" xfId="16805"/>
    <cellStyle name="Cálculo 2 2 3 13 3" xfId="16806"/>
    <cellStyle name="Cálculo 2 2 3 13 3 2" xfId="16807"/>
    <cellStyle name="Cálculo 2 2 3 13 4" xfId="16808"/>
    <cellStyle name="Cálculo 2 2 3 14" xfId="16809"/>
    <cellStyle name="Cálculo 2 2 3 14 2" xfId="16810"/>
    <cellStyle name="Cálculo 2 2 3 14 2 2" xfId="16811"/>
    <cellStyle name="Cálculo 2 2 3 14 3" xfId="16812"/>
    <cellStyle name="Cálculo 2 2 3 14 3 2" xfId="16813"/>
    <cellStyle name="Cálculo 2 2 3 14 4" xfId="16814"/>
    <cellStyle name="Cálculo 2 2 3 15" xfId="16815"/>
    <cellStyle name="Cálculo 2 2 3 15 2" xfId="16816"/>
    <cellStyle name="Cálculo 2 2 3 15 2 2" xfId="16817"/>
    <cellStyle name="Cálculo 2 2 3 15 3" xfId="16818"/>
    <cellStyle name="Cálculo 2 2 3 15 3 2" xfId="16819"/>
    <cellStyle name="Cálculo 2 2 3 15 4" xfId="16820"/>
    <cellStyle name="Cálculo 2 2 3 16" xfId="16821"/>
    <cellStyle name="Cálculo 2 2 3 16 2" xfId="16822"/>
    <cellStyle name="Cálculo 2 2 3 16 2 2" xfId="16823"/>
    <cellStyle name="Cálculo 2 2 3 16 3" xfId="16824"/>
    <cellStyle name="Cálculo 2 2 3 16 3 2" xfId="16825"/>
    <cellStyle name="Cálculo 2 2 3 16 4" xfId="16826"/>
    <cellStyle name="Cálculo 2 2 3 17" xfId="16827"/>
    <cellStyle name="Cálculo 2 2 3 17 2" xfId="16828"/>
    <cellStyle name="Cálculo 2 2 3 17 2 2" xfId="16829"/>
    <cellStyle name="Cálculo 2 2 3 17 3" xfId="16830"/>
    <cellStyle name="Cálculo 2 2 3 17 3 2" xfId="16831"/>
    <cellStyle name="Cálculo 2 2 3 17 4" xfId="16832"/>
    <cellStyle name="Cálculo 2 2 3 18" xfId="16833"/>
    <cellStyle name="Cálculo 2 2 3 18 2" xfId="16834"/>
    <cellStyle name="Cálculo 2 2 3 18 2 2" xfId="16835"/>
    <cellStyle name="Cálculo 2 2 3 18 3" xfId="16836"/>
    <cellStyle name="Cálculo 2 2 3 18 3 2" xfId="16837"/>
    <cellStyle name="Cálculo 2 2 3 18 4" xfId="16838"/>
    <cellStyle name="Cálculo 2 2 3 19" xfId="16839"/>
    <cellStyle name="Cálculo 2 2 3 19 2" xfId="16840"/>
    <cellStyle name="Cálculo 2 2 3 19 2 2" xfId="16841"/>
    <cellStyle name="Cálculo 2 2 3 19 3" xfId="16842"/>
    <cellStyle name="Cálculo 2 2 3 19 3 2" xfId="16843"/>
    <cellStyle name="Cálculo 2 2 3 19 4" xfId="16844"/>
    <cellStyle name="Cálculo 2 2 3 2" xfId="16845"/>
    <cellStyle name="Cálculo 2 2 3 2 2" xfId="16846"/>
    <cellStyle name="Cálculo 2 2 3 2 2 2" xfId="16847"/>
    <cellStyle name="Cálculo 2 2 3 2 3" xfId="16848"/>
    <cellStyle name="Cálculo 2 2 3 2 3 2" xfId="16849"/>
    <cellStyle name="Cálculo 2 2 3 2 4" xfId="16850"/>
    <cellStyle name="Cálculo 2 2 3 20" xfId="16851"/>
    <cellStyle name="Cálculo 2 2 3 20 2" xfId="16852"/>
    <cellStyle name="Cálculo 2 2 3 20 2 2" xfId="16853"/>
    <cellStyle name="Cálculo 2 2 3 20 3" xfId="16854"/>
    <cellStyle name="Cálculo 2 2 3 20 3 2" xfId="16855"/>
    <cellStyle name="Cálculo 2 2 3 20 4" xfId="16856"/>
    <cellStyle name="Cálculo 2 2 3 21" xfId="16857"/>
    <cellStyle name="Cálculo 2 2 3 21 2" xfId="16858"/>
    <cellStyle name="Cálculo 2 2 3 21 2 2" xfId="16859"/>
    <cellStyle name="Cálculo 2 2 3 21 3" xfId="16860"/>
    <cellStyle name="Cálculo 2 2 3 21 3 2" xfId="16861"/>
    <cellStyle name="Cálculo 2 2 3 21 4" xfId="16862"/>
    <cellStyle name="Cálculo 2 2 3 22" xfId="16863"/>
    <cellStyle name="Cálculo 2 2 3 22 2" xfId="16864"/>
    <cellStyle name="Cálculo 2 2 3 22 2 2" xfId="16865"/>
    <cellStyle name="Cálculo 2 2 3 22 3" xfId="16866"/>
    <cellStyle name="Cálculo 2 2 3 22 3 2" xfId="16867"/>
    <cellStyle name="Cálculo 2 2 3 22 4" xfId="16868"/>
    <cellStyle name="Cálculo 2 2 3 23" xfId="16869"/>
    <cellStyle name="Cálculo 2 2 3 23 2" xfId="16870"/>
    <cellStyle name="Cálculo 2 2 3 23 2 2" xfId="16871"/>
    <cellStyle name="Cálculo 2 2 3 23 3" xfId="16872"/>
    <cellStyle name="Cálculo 2 2 3 23 3 2" xfId="16873"/>
    <cellStyle name="Cálculo 2 2 3 23 4" xfId="16874"/>
    <cellStyle name="Cálculo 2 2 3 24" xfId="16875"/>
    <cellStyle name="Cálculo 2 2 3 24 2" xfId="16876"/>
    <cellStyle name="Cálculo 2 2 3 24 2 2" xfId="16877"/>
    <cellStyle name="Cálculo 2 2 3 24 3" xfId="16878"/>
    <cellStyle name="Cálculo 2 2 3 24 3 2" xfId="16879"/>
    <cellStyle name="Cálculo 2 2 3 24 4" xfId="16880"/>
    <cellStyle name="Cálculo 2 2 3 25" xfId="16881"/>
    <cellStyle name="Cálculo 2 2 3 25 2" xfId="16882"/>
    <cellStyle name="Cálculo 2 2 3 25 2 2" xfId="16883"/>
    <cellStyle name="Cálculo 2 2 3 25 3" xfId="16884"/>
    <cellStyle name="Cálculo 2 2 3 25 3 2" xfId="16885"/>
    <cellStyle name="Cálculo 2 2 3 25 4" xfId="16886"/>
    <cellStyle name="Cálculo 2 2 3 26" xfId="16887"/>
    <cellStyle name="Cálculo 2 2 3 26 2" xfId="16888"/>
    <cellStyle name="Cálculo 2 2 3 26 2 2" xfId="16889"/>
    <cellStyle name="Cálculo 2 2 3 26 3" xfId="16890"/>
    <cellStyle name="Cálculo 2 2 3 26 3 2" xfId="16891"/>
    <cellStyle name="Cálculo 2 2 3 26 4" xfId="16892"/>
    <cellStyle name="Cálculo 2 2 3 27" xfId="16893"/>
    <cellStyle name="Cálculo 2 2 3 27 2" xfId="16894"/>
    <cellStyle name="Cálculo 2 2 3 27 2 2" xfId="16895"/>
    <cellStyle name="Cálculo 2 2 3 27 3" xfId="16896"/>
    <cellStyle name="Cálculo 2 2 3 27 3 2" xfId="16897"/>
    <cellStyle name="Cálculo 2 2 3 27 4" xfId="16898"/>
    <cellStyle name="Cálculo 2 2 3 28" xfId="16899"/>
    <cellStyle name="Cálculo 2 2 3 28 2" xfId="16900"/>
    <cellStyle name="Cálculo 2 2 3 28 2 2" xfId="16901"/>
    <cellStyle name="Cálculo 2 2 3 28 3" xfId="16902"/>
    <cellStyle name="Cálculo 2 2 3 28 3 2" xfId="16903"/>
    <cellStyle name="Cálculo 2 2 3 28 4" xfId="16904"/>
    <cellStyle name="Cálculo 2 2 3 29" xfId="16905"/>
    <cellStyle name="Cálculo 2 2 3 29 2" xfId="16906"/>
    <cellStyle name="Cálculo 2 2 3 29 2 2" xfId="16907"/>
    <cellStyle name="Cálculo 2 2 3 29 3" xfId="16908"/>
    <cellStyle name="Cálculo 2 2 3 29 3 2" xfId="16909"/>
    <cellStyle name="Cálculo 2 2 3 29 4" xfId="16910"/>
    <cellStyle name="Cálculo 2 2 3 3" xfId="16911"/>
    <cellStyle name="Cálculo 2 2 3 3 2" xfId="16912"/>
    <cellStyle name="Cálculo 2 2 3 3 2 2" xfId="16913"/>
    <cellStyle name="Cálculo 2 2 3 3 3" xfId="16914"/>
    <cellStyle name="Cálculo 2 2 3 3 3 2" xfId="16915"/>
    <cellStyle name="Cálculo 2 2 3 3 4" xfId="16916"/>
    <cellStyle name="Cálculo 2 2 3 30" xfId="16917"/>
    <cellStyle name="Cálculo 2 2 3 30 2" xfId="16918"/>
    <cellStyle name="Cálculo 2 2 3 30 2 2" xfId="16919"/>
    <cellStyle name="Cálculo 2 2 3 30 3" xfId="16920"/>
    <cellStyle name="Cálculo 2 2 3 30 3 2" xfId="16921"/>
    <cellStyle name="Cálculo 2 2 3 30 4" xfId="16922"/>
    <cellStyle name="Cálculo 2 2 3 31" xfId="16923"/>
    <cellStyle name="Cálculo 2 2 3 31 2" xfId="16924"/>
    <cellStyle name="Cálculo 2 2 3 31 2 2" xfId="16925"/>
    <cellStyle name="Cálculo 2 2 3 31 3" xfId="16926"/>
    <cellStyle name="Cálculo 2 2 3 31 3 2" xfId="16927"/>
    <cellStyle name="Cálculo 2 2 3 31 4" xfId="16928"/>
    <cellStyle name="Cálculo 2 2 3 32" xfId="16929"/>
    <cellStyle name="Cálculo 2 2 3 32 2" xfId="16930"/>
    <cellStyle name="Cálculo 2 2 3 32 2 2" xfId="16931"/>
    <cellStyle name="Cálculo 2 2 3 32 3" xfId="16932"/>
    <cellStyle name="Cálculo 2 2 3 32 3 2" xfId="16933"/>
    <cellStyle name="Cálculo 2 2 3 32 4" xfId="16934"/>
    <cellStyle name="Cálculo 2 2 3 33" xfId="16935"/>
    <cellStyle name="Cálculo 2 2 3 33 2" xfId="16936"/>
    <cellStyle name="Cálculo 2 2 3 33 2 2" xfId="16937"/>
    <cellStyle name="Cálculo 2 2 3 33 3" xfId="16938"/>
    <cellStyle name="Cálculo 2 2 3 33 3 2" xfId="16939"/>
    <cellStyle name="Cálculo 2 2 3 33 4" xfId="16940"/>
    <cellStyle name="Cálculo 2 2 3 34" xfId="16941"/>
    <cellStyle name="Cálculo 2 2 3 34 2" xfId="16942"/>
    <cellStyle name="Cálculo 2 2 3 34 2 2" xfId="16943"/>
    <cellStyle name="Cálculo 2 2 3 34 3" xfId="16944"/>
    <cellStyle name="Cálculo 2 2 3 34 3 2" xfId="16945"/>
    <cellStyle name="Cálculo 2 2 3 34 4" xfId="16946"/>
    <cellStyle name="Cálculo 2 2 3 35" xfId="16947"/>
    <cellStyle name="Cálculo 2 2 3 35 2" xfId="16948"/>
    <cellStyle name="Cálculo 2 2 3 35 2 2" xfId="16949"/>
    <cellStyle name="Cálculo 2 2 3 35 3" xfId="16950"/>
    <cellStyle name="Cálculo 2 2 3 35 3 2" xfId="16951"/>
    <cellStyle name="Cálculo 2 2 3 35 4" xfId="16952"/>
    <cellStyle name="Cálculo 2 2 3 36" xfId="16953"/>
    <cellStyle name="Cálculo 2 2 3 36 2" xfId="16954"/>
    <cellStyle name="Cálculo 2 2 3 36 2 2" xfId="16955"/>
    <cellStyle name="Cálculo 2 2 3 36 3" xfId="16956"/>
    <cellStyle name="Cálculo 2 2 3 36 3 2" xfId="16957"/>
    <cellStyle name="Cálculo 2 2 3 36 4" xfId="16958"/>
    <cellStyle name="Cálculo 2 2 3 37" xfId="16959"/>
    <cellStyle name="Cálculo 2 2 3 37 2" xfId="16960"/>
    <cellStyle name="Cálculo 2 2 3 37 2 2" xfId="16961"/>
    <cellStyle name="Cálculo 2 2 3 37 3" xfId="16962"/>
    <cellStyle name="Cálculo 2 2 3 37 3 2" xfId="16963"/>
    <cellStyle name="Cálculo 2 2 3 37 4" xfId="16964"/>
    <cellStyle name="Cálculo 2 2 3 38" xfId="16965"/>
    <cellStyle name="Cálculo 2 2 3 38 2" xfId="16966"/>
    <cellStyle name="Cálculo 2 2 3 38 2 2" xfId="16967"/>
    <cellStyle name="Cálculo 2 2 3 38 3" xfId="16968"/>
    <cellStyle name="Cálculo 2 2 3 38 3 2" xfId="16969"/>
    <cellStyle name="Cálculo 2 2 3 38 4" xfId="16970"/>
    <cellStyle name="Cálculo 2 2 3 39" xfId="16971"/>
    <cellStyle name="Cálculo 2 2 3 39 2" xfId="16972"/>
    <cellStyle name="Cálculo 2 2 3 39 2 2" xfId="16973"/>
    <cellStyle name="Cálculo 2 2 3 39 3" xfId="16974"/>
    <cellStyle name="Cálculo 2 2 3 39 3 2" xfId="16975"/>
    <cellStyle name="Cálculo 2 2 3 39 4" xfId="16976"/>
    <cellStyle name="Cálculo 2 2 3 4" xfId="16977"/>
    <cellStyle name="Cálculo 2 2 3 4 2" xfId="16978"/>
    <cellStyle name="Cálculo 2 2 3 4 2 2" xfId="16979"/>
    <cellStyle name="Cálculo 2 2 3 4 3" xfId="16980"/>
    <cellStyle name="Cálculo 2 2 3 4 3 2" xfId="16981"/>
    <cellStyle name="Cálculo 2 2 3 4 4" xfId="16982"/>
    <cellStyle name="Cálculo 2 2 3 40" xfId="16983"/>
    <cellStyle name="Cálculo 2 2 3 40 2" xfId="16984"/>
    <cellStyle name="Cálculo 2 2 3 40 2 2" xfId="16985"/>
    <cellStyle name="Cálculo 2 2 3 40 3" xfId="16986"/>
    <cellStyle name="Cálculo 2 2 3 41" xfId="16987"/>
    <cellStyle name="Cálculo 2 2 3 41 2" xfId="16988"/>
    <cellStyle name="Cálculo 2 2 3 42" xfId="16989"/>
    <cellStyle name="Cálculo 2 2 3 42 2" xfId="16990"/>
    <cellStyle name="Cálculo 2 2 3 43" xfId="16991"/>
    <cellStyle name="Cálculo 2 2 3 5" xfId="16992"/>
    <cellStyle name="Cálculo 2 2 3 5 2" xfId="16993"/>
    <cellStyle name="Cálculo 2 2 3 5 2 2" xfId="16994"/>
    <cellStyle name="Cálculo 2 2 3 5 3" xfId="16995"/>
    <cellStyle name="Cálculo 2 2 3 5 3 2" xfId="16996"/>
    <cellStyle name="Cálculo 2 2 3 5 4" xfId="16997"/>
    <cellStyle name="Cálculo 2 2 3 6" xfId="16998"/>
    <cellStyle name="Cálculo 2 2 3 6 2" xfId="16999"/>
    <cellStyle name="Cálculo 2 2 3 6 2 2" xfId="17000"/>
    <cellStyle name="Cálculo 2 2 3 6 3" xfId="17001"/>
    <cellStyle name="Cálculo 2 2 3 6 3 2" xfId="17002"/>
    <cellStyle name="Cálculo 2 2 3 6 4" xfId="17003"/>
    <cellStyle name="Cálculo 2 2 3 7" xfId="17004"/>
    <cellStyle name="Cálculo 2 2 3 7 2" xfId="17005"/>
    <cellStyle name="Cálculo 2 2 3 7 2 2" xfId="17006"/>
    <cellStyle name="Cálculo 2 2 3 7 3" xfId="17007"/>
    <cellStyle name="Cálculo 2 2 3 7 3 2" xfId="17008"/>
    <cellStyle name="Cálculo 2 2 3 7 4" xfId="17009"/>
    <cellStyle name="Cálculo 2 2 3 8" xfId="17010"/>
    <cellStyle name="Cálculo 2 2 3 8 2" xfId="17011"/>
    <cellStyle name="Cálculo 2 2 3 8 2 2" xfId="17012"/>
    <cellStyle name="Cálculo 2 2 3 8 3" xfId="17013"/>
    <cellStyle name="Cálculo 2 2 3 8 3 2" xfId="17014"/>
    <cellStyle name="Cálculo 2 2 3 8 4" xfId="17015"/>
    <cellStyle name="Cálculo 2 2 3 9" xfId="17016"/>
    <cellStyle name="Cálculo 2 2 3 9 2" xfId="17017"/>
    <cellStyle name="Cálculo 2 2 3 9 2 2" xfId="17018"/>
    <cellStyle name="Cálculo 2 2 3 9 3" xfId="17019"/>
    <cellStyle name="Cálculo 2 2 3 9 3 2" xfId="17020"/>
    <cellStyle name="Cálculo 2 2 3 9 4" xfId="17021"/>
    <cellStyle name="Cálculo 2 2 30" xfId="17022"/>
    <cellStyle name="Cálculo 2 2 30 2" xfId="17023"/>
    <cellStyle name="Cálculo 2 2 30 2 2" xfId="17024"/>
    <cellStyle name="Cálculo 2 2 30 3" xfId="17025"/>
    <cellStyle name="Cálculo 2 2 30 3 2" xfId="17026"/>
    <cellStyle name="Cálculo 2 2 30 4" xfId="17027"/>
    <cellStyle name="Cálculo 2 2 31" xfId="17028"/>
    <cellStyle name="Cálculo 2 2 31 2" xfId="17029"/>
    <cellStyle name="Cálculo 2 2 31 2 2" xfId="17030"/>
    <cellStyle name="Cálculo 2 2 31 3" xfId="17031"/>
    <cellStyle name="Cálculo 2 2 31 3 2" xfId="17032"/>
    <cellStyle name="Cálculo 2 2 31 4" xfId="17033"/>
    <cellStyle name="Cálculo 2 2 32" xfId="17034"/>
    <cellStyle name="Cálculo 2 2 32 2" xfId="17035"/>
    <cellStyle name="Cálculo 2 2 32 2 2" xfId="17036"/>
    <cellStyle name="Cálculo 2 2 32 3" xfId="17037"/>
    <cellStyle name="Cálculo 2 2 32 3 2" xfId="17038"/>
    <cellStyle name="Cálculo 2 2 32 4" xfId="17039"/>
    <cellStyle name="Cálculo 2 2 33" xfId="17040"/>
    <cellStyle name="Cálculo 2 2 33 2" xfId="17041"/>
    <cellStyle name="Cálculo 2 2 33 2 2" xfId="17042"/>
    <cellStyle name="Cálculo 2 2 33 3" xfId="17043"/>
    <cellStyle name="Cálculo 2 2 33 3 2" xfId="17044"/>
    <cellStyle name="Cálculo 2 2 33 4" xfId="17045"/>
    <cellStyle name="Cálculo 2 2 34" xfId="17046"/>
    <cellStyle name="Cálculo 2 2 34 2" xfId="17047"/>
    <cellStyle name="Cálculo 2 2 34 2 2" xfId="17048"/>
    <cellStyle name="Cálculo 2 2 34 3" xfId="17049"/>
    <cellStyle name="Cálculo 2 2 35" xfId="17050"/>
    <cellStyle name="Cálculo 2 2 35 2" xfId="17051"/>
    <cellStyle name="Cálculo 2 2 36" xfId="17052"/>
    <cellStyle name="Cálculo 2 2 4" xfId="17053"/>
    <cellStyle name="Cálculo 2 2 4 10" xfId="17054"/>
    <cellStyle name="Cálculo 2 2 4 10 2" xfId="17055"/>
    <cellStyle name="Cálculo 2 2 4 10 2 2" xfId="17056"/>
    <cellStyle name="Cálculo 2 2 4 10 3" xfId="17057"/>
    <cellStyle name="Cálculo 2 2 4 10 3 2" xfId="17058"/>
    <cellStyle name="Cálculo 2 2 4 10 4" xfId="17059"/>
    <cellStyle name="Cálculo 2 2 4 11" xfId="17060"/>
    <cellStyle name="Cálculo 2 2 4 11 2" xfId="17061"/>
    <cellStyle name="Cálculo 2 2 4 11 2 2" xfId="17062"/>
    <cellStyle name="Cálculo 2 2 4 11 3" xfId="17063"/>
    <cellStyle name="Cálculo 2 2 4 11 3 2" xfId="17064"/>
    <cellStyle name="Cálculo 2 2 4 11 4" xfId="17065"/>
    <cellStyle name="Cálculo 2 2 4 12" xfId="17066"/>
    <cellStyle name="Cálculo 2 2 4 12 2" xfId="17067"/>
    <cellStyle name="Cálculo 2 2 4 12 2 2" xfId="17068"/>
    <cellStyle name="Cálculo 2 2 4 12 3" xfId="17069"/>
    <cellStyle name="Cálculo 2 2 4 12 3 2" xfId="17070"/>
    <cellStyle name="Cálculo 2 2 4 12 4" xfId="17071"/>
    <cellStyle name="Cálculo 2 2 4 13" xfId="17072"/>
    <cellStyle name="Cálculo 2 2 4 13 2" xfId="17073"/>
    <cellStyle name="Cálculo 2 2 4 13 2 2" xfId="17074"/>
    <cellStyle name="Cálculo 2 2 4 13 3" xfId="17075"/>
    <cellStyle name="Cálculo 2 2 4 13 3 2" xfId="17076"/>
    <cellStyle name="Cálculo 2 2 4 13 4" xfId="17077"/>
    <cellStyle name="Cálculo 2 2 4 14" xfId="17078"/>
    <cellStyle name="Cálculo 2 2 4 14 2" xfId="17079"/>
    <cellStyle name="Cálculo 2 2 4 14 2 2" xfId="17080"/>
    <cellStyle name="Cálculo 2 2 4 14 3" xfId="17081"/>
    <cellStyle name="Cálculo 2 2 4 14 3 2" xfId="17082"/>
    <cellStyle name="Cálculo 2 2 4 14 4" xfId="17083"/>
    <cellStyle name="Cálculo 2 2 4 15" xfId="17084"/>
    <cellStyle name="Cálculo 2 2 4 15 2" xfId="17085"/>
    <cellStyle name="Cálculo 2 2 4 15 2 2" xfId="17086"/>
    <cellStyle name="Cálculo 2 2 4 15 3" xfId="17087"/>
    <cellStyle name="Cálculo 2 2 4 15 3 2" xfId="17088"/>
    <cellStyle name="Cálculo 2 2 4 15 4" xfId="17089"/>
    <cellStyle name="Cálculo 2 2 4 16" xfId="17090"/>
    <cellStyle name="Cálculo 2 2 4 16 2" xfId="17091"/>
    <cellStyle name="Cálculo 2 2 4 16 2 2" xfId="17092"/>
    <cellStyle name="Cálculo 2 2 4 16 3" xfId="17093"/>
    <cellStyle name="Cálculo 2 2 4 16 3 2" xfId="17094"/>
    <cellStyle name="Cálculo 2 2 4 16 4" xfId="17095"/>
    <cellStyle name="Cálculo 2 2 4 17" xfId="17096"/>
    <cellStyle name="Cálculo 2 2 4 17 2" xfId="17097"/>
    <cellStyle name="Cálculo 2 2 4 17 2 2" xfId="17098"/>
    <cellStyle name="Cálculo 2 2 4 17 3" xfId="17099"/>
    <cellStyle name="Cálculo 2 2 4 17 3 2" xfId="17100"/>
    <cellStyle name="Cálculo 2 2 4 17 4" xfId="17101"/>
    <cellStyle name="Cálculo 2 2 4 18" xfId="17102"/>
    <cellStyle name="Cálculo 2 2 4 18 2" xfId="17103"/>
    <cellStyle name="Cálculo 2 2 4 18 2 2" xfId="17104"/>
    <cellStyle name="Cálculo 2 2 4 18 3" xfId="17105"/>
    <cellStyle name="Cálculo 2 2 4 18 3 2" xfId="17106"/>
    <cellStyle name="Cálculo 2 2 4 18 4" xfId="17107"/>
    <cellStyle name="Cálculo 2 2 4 19" xfId="17108"/>
    <cellStyle name="Cálculo 2 2 4 19 2" xfId="17109"/>
    <cellStyle name="Cálculo 2 2 4 19 2 2" xfId="17110"/>
    <cellStyle name="Cálculo 2 2 4 19 3" xfId="17111"/>
    <cellStyle name="Cálculo 2 2 4 19 3 2" xfId="17112"/>
    <cellStyle name="Cálculo 2 2 4 19 4" xfId="17113"/>
    <cellStyle name="Cálculo 2 2 4 2" xfId="17114"/>
    <cellStyle name="Cálculo 2 2 4 2 2" xfId="17115"/>
    <cellStyle name="Cálculo 2 2 4 2 2 2" xfId="17116"/>
    <cellStyle name="Cálculo 2 2 4 2 3" xfId="17117"/>
    <cellStyle name="Cálculo 2 2 4 2 3 2" xfId="17118"/>
    <cellStyle name="Cálculo 2 2 4 2 4" xfId="17119"/>
    <cellStyle name="Cálculo 2 2 4 20" xfId="17120"/>
    <cellStyle name="Cálculo 2 2 4 20 2" xfId="17121"/>
    <cellStyle name="Cálculo 2 2 4 20 2 2" xfId="17122"/>
    <cellStyle name="Cálculo 2 2 4 20 3" xfId="17123"/>
    <cellStyle name="Cálculo 2 2 4 20 3 2" xfId="17124"/>
    <cellStyle name="Cálculo 2 2 4 20 4" xfId="17125"/>
    <cellStyle name="Cálculo 2 2 4 21" xfId="17126"/>
    <cellStyle name="Cálculo 2 2 4 21 2" xfId="17127"/>
    <cellStyle name="Cálculo 2 2 4 21 2 2" xfId="17128"/>
    <cellStyle name="Cálculo 2 2 4 21 3" xfId="17129"/>
    <cellStyle name="Cálculo 2 2 4 21 3 2" xfId="17130"/>
    <cellStyle name="Cálculo 2 2 4 21 4" xfId="17131"/>
    <cellStyle name="Cálculo 2 2 4 22" xfId="17132"/>
    <cellStyle name="Cálculo 2 2 4 22 2" xfId="17133"/>
    <cellStyle name="Cálculo 2 2 4 22 2 2" xfId="17134"/>
    <cellStyle name="Cálculo 2 2 4 22 3" xfId="17135"/>
    <cellStyle name="Cálculo 2 2 4 22 3 2" xfId="17136"/>
    <cellStyle name="Cálculo 2 2 4 22 4" xfId="17137"/>
    <cellStyle name="Cálculo 2 2 4 23" xfId="17138"/>
    <cellStyle name="Cálculo 2 2 4 23 2" xfId="17139"/>
    <cellStyle name="Cálculo 2 2 4 23 2 2" xfId="17140"/>
    <cellStyle name="Cálculo 2 2 4 23 3" xfId="17141"/>
    <cellStyle name="Cálculo 2 2 4 23 3 2" xfId="17142"/>
    <cellStyle name="Cálculo 2 2 4 23 4" xfId="17143"/>
    <cellStyle name="Cálculo 2 2 4 24" xfId="17144"/>
    <cellStyle name="Cálculo 2 2 4 24 2" xfId="17145"/>
    <cellStyle name="Cálculo 2 2 4 24 2 2" xfId="17146"/>
    <cellStyle name="Cálculo 2 2 4 24 3" xfId="17147"/>
    <cellStyle name="Cálculo 2 2 4 24 3 2" xfId="17148"/>
    <cellStyle name="Cálculo 2 2 4 24 4" xfId="17149"/>
    <cellStyle name="Cálculo 2 2 4 25" xfId="17150"/>
    <cellStyle name="Cálculo 2 2 4 25 2" xfId="17151"/>
    <cellStyle name="Cálculo 2 2 4 25 2 2" xfId="17152"/>
    <cellStyle name="Cálculo 2 2 4 25 3" xfId="17153"/>
    <cellStyle name="Cálculo 2 2 4 25 3 2" xfId="17154"/>
    <cellStyle name="Cálculo 2 2 4 25 4" xfId="17155"/>
    <cellStyle name="Cálculo 2 2 4 26" xfId="17156"/>
    <cellStyle name="Cálculo 2 2 4 26 2" xfId="17157"/>
    <cellStyle name="Cálculo 2 2 4 26 2 2" xfId="17158"/>
    <cellStyle name="Cálculo 2 2 4 26 3" xfId="17159"/>
    <cellStyle name="Cálculo 2 2 4 26 3 2" xfId="17160"/>
    <cellStyle name="Cálculo 2 2 4 26 4" xfId="17161"/>
    <cellStyle name="Cálculo 2 2 4 27" xfId="17162"/>
    <cellStyle name="Cálculo 2 2 4 27 2" xfId="17163"/>
    <cellStyle name="Cálculo 2 2 4 27 2 2" xfId="17164"/>
    <cellStyle name="Cálculo 2 2 4 27 3" xfId="17165"/>
    <cellStyle name="Cálculo 2 2 4 27 3 2" xfId="17166"/>
    <cellStyle name="Cálculo 2 2 4 27 4" xfId="17167"/>
    <cellStyle name="Cálculo 2 2 4 28" xfId="17168"/>
    <cellStyle name="Cálculo 2 2 4 28 2" xfId="17169"/>
    <cellStyle name="Cálculo 2 2 4 28 2 2" xfId="17170"/>
    <cellStyle name="Cálculo 2 2 4 28 3" xfId="17171"/>
    <cellStyle name="Cálculo 2 2 4 28 3 2" xfId="17172"/>
    <cellStyle name="Cálculo 2 2 4 28 4" xfId="17173"/>
    <cellStyle name="Cálculo 2 2 4 29" xfId="17174"/>
    <cellStyle name="Cálculo 2 2 4 29 2" xfId="17175"/>
    <cellStyle name="Cálculo 2 2 4 29 2 2" xfId="17176"/>
    <cellStyle name="Cálculo 2 2 4 29 3" xfId="17177"/>
    <cellStyle name="Cálculo 2 2 4 29 3 2" xfId="17178"/>
    <cellStyle name="Cálculo 2 2 4 29 4" xfId="17179"/>
    <cellStyle name="Cálculo 2 2 4 3" xfId="17180"/>
    <cellStyle name="Cálculo 2 2 4 3 2" xfId="17181"/>
    <cellStyle name="Cálculo 2 2 4 3 2 2" xfId="17182"/>
    <cellStyle name="Cálculo 2 2 4 3 3" xfId="17183"/>
    <cellStyle name="Cálculo 2 2 4 3 3 2" xfId="17184"/>
    <cellStyle name="Cálculo 2 2 4 3 4" xfId="17185"/>
    <cellStyle name="Cálculo 2 2 4 30" xfId="17186"/>
    <cellStyle name="Cálculo 2 2 4 30 2" xfId="17187"/>
    <cellStyle name="Cálculo 2 2 4 30 2 2" xfId="17188"/>
    <cellStyle name="Cálculo 2 2 4 30 3" xfId="17189"/>
    <cellStyle name="Cálculo 2 2 4 30 3 2" xfId="17190"/>
    <cellStyle name="Cálculo 2 2 4 30 4" xfId="17191"/>
    <cellStyle name="Cálculo 2 2 4 31" xfId="17192"/>
    <cellStyle name="Cálculo 2 2 4 31 2" xfId="17193"/>
    <cellStyle name="Cálculo 2 2 4 31 2 2" xfId="17194"/>
    <cellStyle name="Cálculo 2 2 4 31 3" xfId="17195"/>
    <cellStyle name="Cálculo 2 2 4 31 3 2" xfId="17196"/>
    <cellStyle name="Cálculo 2 2 4 31 4" xfId="17197"/>
    <cellStyle name="Cálculo 2 2 4 32" xfId="17198"/>
    <cellStyle name="Cálculo 2 2 4 32 2" xfId="17199"/>
    <cellStyle name="Cálculo 2 2 4 32 2 2" xfId="17200"/>
    <cellStyle name="Cálculo 2 2 4 32 3" xfId="17201"/>
    <cellStyle name="Cálculo 2 2 4 32 3 2" xfId="17202"/>
    <cellStyle name="Cálculo 2 2 4 32 4" xfId="17203"/>
    <cellStyle name="Cálculo 2 2 4 33" xfId="17204"/>
    <cellStyle name="Cálculo 2 2 4 33 2" xfId="17205"/>
    <cellStyle name="Cálculo 2 2 4 33 2 2" xfId="17206"/>
    <cellStyle name="Cálculo 2 2 4 33 3" xfId="17207"/>
    <cellStyle name="Cálculo 2 2 4 33 3 2" xfId="17208"/>
    <cellStyle name="Cálculo 2 2 4 33 4" xfId="17209"/>
    <cellStyle name="Cálculo 2 2 4 34" xfId="17210"/>
    <cellStyle name="Cálculo 2 2 4 34 2" xfId="17211"/>
    <cellStyle name="Cálculo 2 2 4 34 2 2" xfId="17212"/>
    <cellStyle name="Cálculo 2 2 4 34 3" xfId="17213"/>
    <cellStyle name="Cálculo 2 2 4 34 3 2" xfId="17214"/>
    <cellStyle name="Cálculo 2 2 4 34 4" xfId="17215"/>
    <cellStyle name="Cálculo 2 2 4 35" xfId="17216"/>
    <cellStyle name="Cálculo 2 2 4 35 2" xfId="17217"/>
    <cellStyle name="Cálculo 2 2 4 35 2 2" xfId="17218"/>
    <cellStyle name="Cálculo 2 2 4 35 3" xfId="17219"/>
    <cellStyle name="Cálculo 2 2 4 35 3 2" xfId="17220"/>
    <cellStyle name="Cálculo 2 2 4 35 4" xfId="17221"/>
    <cellStyle name="Cálculo 2 2 4 36" xfId="17222"/>
    <cellStyle name="Cálculo 2 2 4 36 2" xfId="17223"/>
    <cellStyle name="Cálculo 2 2 4 36 2 2" xfId="17224"/>
    <cellStyle name="Cálculo 2 2 4 36 3" xfId="17225"/>
    <cellStyle name="Cálculo 2 2 4 36 3 2" xfId="17226"/>
    <cellStyle name="Cálculo 2 2 4 36 4" xfId="17227"/>
    <cellStyle name="Cálculo 2 2 4 37" xfId="17228"/>
    <cellStyle name="Cálculo 2 2 4 37 2" xfId="17229"/>
    <cellStyle name="Cálculo 2 2 4 37 2 2" xfId="17230"/>
    <cellStyle name="Cálculo 2 2 4 37 3" xfId="17231"/>
    <cellStyle name="Cálculo 2 2 4 37 3 2" xfId="17232"/>
    <cellStyle name="Cálculo 2 2 4 37 4" xfId="17233"/>
    <cellStyle name="Cálculo 2 2 4 38" xfId="17234"/>
    <cellStyle name="Cálculo 2 2 4 38 2" xfId="17235"/>
    <cellStyle name="Cálculo 2 2 4 38 2 2" xfId="17236"/>
    <cellStyle name="Cálculo 2 2 4 38 3" xfId="17237"/>
    <cellStyle name="Cálculo 2 2 4 38 3 2" xfId="17238"/>
    <cellStyle name="Cálculo 2 2 4 38 4" xfId="17239"/>
    <cellStyle name="Cálculo 2 2 4 39" xfId="17240"/>
    <cellStyle name="Cálculo 2 2 4 39 2" xfId="17241"/>
    <cellStyle name="Cálculo 2 2 4 39 2 2" xfId="17242"/>
    <cellStyle name="Cálculo 2 2 4 39 3" xfId="17243"/>
    <cellStyle name="Cálculo 2 2 4 39 3 2" xfId="17244"/>
    <cellStyle name="Cálculo 2 2 4 39 4" xfId="17245"/>
    <cellStyle name="Cálculo 2 2 4 4" xfId="17246"/>
    <cellStyle name="Cálculo 2 2 4 4 2" xfId="17247"/>
    <cellStyle name="Cálculo 2 2 4 4 2 2" xfId="17248"/>
    <cellStyle name="Cálculo 2 2 4 4 3" xfId="17249"/>
    <cellStyle name="Cálculo 2 2 4 4 3 2" xfId="17250"/>
    <cellStyle name="Cálculo 2 2 4 4 4" xfId="17251"/>
    <cellStyle name="Cálculo 2 2 4 40" xfId="17252"/>
    <cellStyle name="Cálculo 2 2 4 40 2" xfId="17253"/>
    <cellStyle name="Cálculo 2 2 4 40 2 2" xfId="17254"/>
    <cellStyle name="Cálculo 2 2 4 40 3" xfId="17255"/>
    <cellStyle name="Cálculo 2 2 4 41" xfId="17256"/>
    <cellStyle name="Cálculo 2 2 4 41 2" xfId="17257"/>
    <cellStyle name="Cálculo 2 2 4 42" xfId="17258"/>
    <cellStyle name="Cálculo 2 2 4 42 2" xfId="17259"/>
    <cellStyle name="Cálculo 2 2 4 43" xfId="17260"/>
    <cellStyle name="Cálculo 2 2 4 5" xfId="17261"/>
    <cellStyle name="Cálculo 2 2 4 5 2" xfId="17262"/>
    <cellStyle name="Cálculo 2 2 4 5 2 2" xfId="17263"/>
    <cellStyle name="Cálculo 2 2 4 5 3" xfId="17264"/>
    <cellStyle name="Cálculo 2 2 4 5 3 2" xfId="17265"/>
    <cellStyle name="Cálculo 2 2 4 5 4" xfId="17266"/>
    <cellStyle name="Cálculo 2 2 4 6" xfId="17267"/>
    <cellStyle name="Cálculo 2 2 4 6 2" xfId="17268"/>
    <cellStyle name="Cálculo 2 2 4 6 2 2" xfId="17269"/>
    <cellStyle name="Cálculo 2 2 4 6 3" xfId="17270"/>
    <cellStyle name="Cálculo 2 2 4 6 3 2" xfId="17271"/>
    <cellStyle name="Cálculo 2 2 4 6 4" xfId="17272"/>
    <cellStyle name="Cálculo 2 2 4 7" xfId="17273"/>
    <cellStyle name="Cálculo 2 2 4 7 2" xfId="17274"/>
    <cellStyle name="Cálculo 2 2 4 7 2 2" xfId="17275"/>
    <cellStyle name="Cálculo 2 2 4 7 3" xfId="17276"/>
    <cellStyle name="Cálculo 2 2 4 7 3 2" xfId="17277"/>
    <cellStyle name="Cálculo 2 2 4 7 4" xfId="17278"/>
    <cellStyle name="Cálculo 2 2 4 8" xfId="17279"/>
    <cellStyle name="Cálculo 2 2 4 8 2" xfId="17280"/>
    <cellStyle name="Cálculo 2 2 4 8 2 2" xfId="17281"/>
    <cellStyle name="Cálculo 2 2 4 8 3" xfId="17282"/>
    <cellStyle name="Cálculo 2 2 4 8 3 2" xfId="17283"/>
    <cellStyle name="Cálculo 2 2 4 8 4" xfId="17284"/>
    <cellStyle name="Cálculo 2 2 4 9" xfId="17285"/>
    <cellStyle name="Cálculo 2 2 4 9 2" xfId="17286"/>
    <cellStyle name="Cálculo 2 2 4 9 2 2" xfId="17287"/>
    <cellStyle name="Cálculo 2 2 4 9 3" xfId="17288"/>
    <cellStyle name="Cálculo 2 2 4 9 3 2" xfId="17289"/>
    <cellStyle name="Cálculo 2 2 4 9 4" xfId="17290"/>
    <cellStyle name="Cálculo 2 2 5" xfId="17291"/>
    <cellStyle name="Cálculo 2 2 5 10" xfId="17292"/>
    <cellStyle name="Cálculo 2 2 5 10 2" xfId="17293"/>
    <cellStyle name="Cálculo 2 2 5 10 2 2" xfId="17294"/>
    <cellStyle name="Cálculo 2 2 5 10 3" xfId="17295"/>
    <cellStyle name="Cálculo 2 2 5 10 3 2" xfId="17296"/>
    <cellStyle name="Cálculo 2 2 5 10 4" xfId="17297"/>
    <cellStyle name="Cálculo 2 2 5 11" xfId="17298"/>
    <cellStyle name="Cálculo 2 2 5 11 2" xfId="17299"/>
    <cellStyle name="Cálculo 2 2 5 11 2 2" xfId="17300"/>
    <cellStyle name="Cálculo 2 2 5 11 3" xfId="17301"/>
    <cellStyle name="Cálculo 2 2 5 11 3 2" xfId="17302"/>
    <cellStyle name="Cálculo 2 2 5 11 4" xfId="17303"/>
    <cellStyle name="Cálculo 2 2 5 12" xfId="17304"/>
    <cellStyle name="Cálculo 2 2 5 12 2" xfId="17305"/>
    <cellStyle name="Cálculo 2 2 5 12 2 2" xfId="17306"/>
    <cellStyle name="Cálculo 2 2 5 12 3" xfId="17307"/>
    <cellStyle name="Cálculo 2 2 5 12 3 2" xfId="17308"/>
    <cellStyle name="Cálculo 2 2 5 12 4" xfId="17309"/>
    <cellStyle name="Cálculo 2 2 5 13" xfId="17310"/>
    <cellStyle name="Cálculo 2 2 5 13 2" xfId="17311"/>
    <cellStyle name="Cálculo 2 2 5 13 2 2" xfId="17312"/>
    <cellStyle name="Cálculo 2 2 5 13 3" xfId="17313"/>
    <cellStyle name="Cálculo 2 2 5 13 3 2" xfId="17314"/>
    <cellStyle name="Cálculo 2 2 5 13 4" xfId="17315"/>
    <cellStyle name="Cálculo 2 2 5 14" xfId="17316"/>
    <cellStyle name="Cálculo 2 2 5 14 2" xfId="17317"/>
    <cellStyle name="Cálculo 2 2 5 14 2 2" xfId="17318"/>
    <cellStyle name="Cálculo 2 2 5 14 3" xfId="17319"/>
    <cellStyle name="Cálculo 2 2 5 14 3 2" xfId="17320"/>
    <cellStyle name="Cálculo 2 2 5 14 4" xfId="17321"/>
    <cellStyle name="Cálculo 2 2 5 15" xfId="17322"/>
    <cellStyle name="Cálculo 2 2 5 15 2" xfId="17323"/>
    <cellStyle name="Cálculo 2 2 5 15 2 2" xfId="17324"/>
    <cellStyle name="Cálculo 2 2 5 15 3" xfId="17325"/>
    <cellStyle name="Cálculo 2 2 5 15 3 2" xfId="17326"/>
    <cellStyle name="Cálculo 2 2 5 15 4" xfId="17327"/>
    <cellStyle name="Cálculo 2 2 5 16" xfId="17328"/>
    <cellStyle name="Cálculo 2 2 5 16 2" xfId="17329"/>
    <cellStyle name="Cálculo 2 2 5 16 2 2" xfId="17330"/>
    <cellStyle name="Cálculo 2 2 5 16 3" xfId="17331"/>
    <cellStyle name="Cálculo 2 2 5 16 3 2" xfId="17332"/>
    <cellStyle name="Cálculo 2 2 5 16 4" xfId="17333"/>
    <cellStyle name="Cálculo 2 2 5 17" xfId="17334"/>
    <cellStyle name="Cálculo 2 2 5 17 2" xfId="17335"/>
    <cellStyle name="Cálculo 2 2 5 17 2 2" xfId="17336"/>
    <cellStyle name="Cálculo 2 2 5 17 3" xfId="17337"/>
    <cellStyle name="Cálculo 2 2 5 17 3 2" xfId="17338"/>
    <cellStyle name="Cálculo 2 2 5 17 4" xfId="17339"/>
    <cellStyle name="Cálculo 2 2 5 18" xfId="17340"/>
    <cellStyle name="Cálculo 2 2 5 18 2" xfId="17341"/>
    <cellStyle name="Cálculo 2 2 5 18 2 2" xfId="17342"/>
    <cellStyle name="Cálculo 2 2 5 18 3" xfId="17343"/>
    <cellStyle name="Cálculo 2 2 5 18 3 2" xfId="17344"/>
    <cellStyle name="Cálculo 2 2 5 18 4" xfId="17345"/>
    <cellStyle name="Cálculo 2 2 5 19" xfId="17346"/>
    <cellStyle name="Cálculo 2 2 5 19 2" xfId="17347"/>
    <cellStyle name="Cálculo 2 2 5 19 2 2" xfId="17348"/>
    <cellStyle name="Cálculo 2 2 5 19 3" xfId="17349"/>
    <cellStyle name="Cálculo 2 2 5 19 3 2" xfId="17350"/>
    <cellStyle name="Cálculo 2 2 5 19 4" xfId="17351"/>
    <cellStyle name="Cálculo 2 2 5 2" xfId="17352"/>
    <cellStyle name="Cálculo 2 2 5 2 2" xfId="17353"/>
    <cellStyle name="Cálculo 2 2 5 2 2 2" xfId="17354"/>
    <cellStyle name="Cálculo 2 2 5 2 3" xfId="17355"/>
    <cellStyle name="Cálculo 2 2 5 2 3 2" xfId="17356"/>
    <cellStyle name="Cálculo 2 2 5 2 4" xfId="17357"/>
    <cellStyle name="Cálculo 2 2 5 20" xfId="17358"/>
    <cellStyle name="Cálculo 2 2 5 20 2" xfId="17359"/>
    <cellStyle name="Cálculo 2 2 5 20 2 2" xfId="17360"/>
    <cellStyle name="Cálculo 2 2 5 20 3" xfId="17361"/>
    <cellStyle name="Cálculo 2 2 5 20 3 2" xfId="17362"/>
    <cellStyle name="Cálculo 2 2 5 20 4" xfId="17363"/>
    <cellStyle name="Cálculo 2 2 5 21" xfId="17364"/>
    <cellStyle name="Cálculo 2 2 5 21 2" xfId="17365"/>
    <cellStyle name="Cálculo 2 2 5 21 2 2" xfId="17366"/>
    <cellStyle name="Cálculo 2 2 5 21 3" xfId="17367"/>
    <cellStyle name="Cálculo 2 2 5 21 3 2" xfId="17368"/>
    <cellStyle name="Cálculo 2 2 5 21 4" xfId="17369"/>
    <cellStyle name="Cálculo 2 2 5 22" xfId="17370"/>
    <cellStyle name="Cálculo 2 2 5 22 2" xfId="17371"/>
    <cellStyle name="Cálculo 2 2 5 22 2 2" xfId="17372"/>
    <cellStyle name="Cálculo 2 2 5 22 3" xfId="17373"/>
    <cellStyle name="Cálculo 2 2 5 22 3 2" xfId="17374"/>
    <cellStyle name="Cálculo 2 2 5 22 4" xfId="17375"/>
    <cellStyle name="Cálculo 2 2 5 23" xfId="17376"/>
    <cellStyle name="Cálculo 2 2 5 23 2" xfId="17377"/>
    <cellStyle name="Cálculo 2 2 5 23 2 2" xfId="17378"/>
    <cellStyle name="Cálculo 2 2 5 23 3" xfId="17379"/>
    <cellStyle name="Cálculo 2 2 5 23 3 2" xfId="17380"/>
    <cellStyle name="Cálculo 2 2 5 23 4" xfId="17381"/>
    <cellStyle name="Cálculo 2 2 5 24" xfId="17382"/>
    <cellStyle name="Cálculo 2 2 5 24 2" xfId="17383"/>
    <cellStyle name="Cálculo 2 2 5 24 2 2" xfId="17384"/>
    <cellStyle name="Cálculo 2 2 5 24 3" xfId="17385"/>
    <cellStyle name="Cálculo 2 2 5 24 3 2" xfId="17386"/>
    <cellStyle name="Cálculo 2 2 5 24 4" xfId="17387"/>
    <cellStyle name="Cálculo 2 2 5 25" xfId="17388"/>
    <cellStyle name="Cálculo 2 2 5 25 2" xfId="17389"/>
    <cellStyle name="Cálculo 2 2 5 25 2 2" xfId="17390"/>
    <cellStyle name="Cálculo 2 2 5 25 3" xfId="17391"/>
    <cellStyle name="Cálculo 2 2 5 25 3 2" xfId="17392"/>
    <cellStyle name="Cálculo 2 2 5 25 4" xfId="17393"/>
    <cellStyle name="Cálculo 2 2 5 26" xfId="17394"/>
    <cellStyle name="Cálculo 2 2 5 26 2" xfId="17395"/>
    <cellStyle name="Cálculo 2 2 5 26 2 2" xfId="17396"/>
    <cellStyle name="Cálculo 2 2 5 26 3" xfId="17397"/>
    <cellStyle name="Cálculo 2 2 5 26 3 2" xfId="17398"/>
    <cellStyle name="Cálculo 2 2 5 26 4" xfId="17399"/>
    <cellStyle name="Cálculo 2 2 5 27" xfId="17400"/>
    <cellStyle name="Cálculo 2 2 5 27 2" xfId="17401"/>
    <cellStyle name="Cálculo 2 2 5 27 2 2" xfId="17402"/>
    <cellStyle name="Cálculo 2 2 5 27 3" xfId="17403"/>
    <cellStyle name="Cálculo 2 2 5 27 3 2" xfId="17404"/>
    <cellStyle name="Cálculo 2 2 5 27 4" xfId="17405"/>
    <cellStyle name="Cálculo 2 2 5 28" xfId="17406"/>
    <cellStyle name="Cálculo 2 2 5 28 2" xfId="17407"/>
    <cellStyle name="Cálculo 2 2 5 28 2 2" xfId="17408"/>
    <cellStyle name="Cálculo 2 2 5 28 3" xfId="17409"/>
    <cellStyle name="Cálculo 2 2 5 28 3 2" xfId="17410"/>
    <cellStyle name="Cálculo 2 2 5 28 4" xfId="17411"/>
    <cellStyle name="Cálculo 2 2 5 29" xfId="17412"/>
    <cellStyle name="Cálculo 2 2 5 29 2" xfId="17413"/>
    <cellStyle name="Cálculo 2 2 5 29 2 2" xfId="17414"/>
    <cellStyle name="Cálculo 2 2 5 29 3" xfId="17415"/>
    <cellStyle name="Cálculo 2 2 5 29 3 2" xfId="17416"/>
    <cellStyle name="Cálculo 2 2 5 29 4" xfId="17417"/>
    <cellStyle name="Cálculo 2 2 5 3" xfId="17418"/>
    <cellStyle name="Cálculo 2 2 5 3 2" xfId="17419"/>
    <cellStyle name="Cálculo 2 2 5 3 2 2" xfId="17420"/>
    <cellStyle name="Cálculo 2 2 5 3 3" xfId="17421"/>
    <cellStyle name="Cálculo 2 2 5 3 3 2" xfId="17422"/>
    <cellStyle name="Cálculo 2 2 5 3 4" xfId="17423"/>
    <cellStyle name="Cálculo 2 2 5 30" xfId="17424"/>
    <cellStyle name="Cálculo 2 2 5 30 2" xfId="17425"/>
    <cellStyle name="Cálculo 2 2 5 30 2 2" xfId="17426"/>
    <cellStyle name="Cálculo 2 2 5 30 3" xfId="17427"/>
    <cellStyle name="Cálculo 2 2 5 30 3 2" xfId="17428"/>
    <cellStyle name="Cálculo 2 2 5 30 4" xfId="17429"/>
    <cellStyle name="Cálculo 2 2 5 31" xfId="17430"/>
    <cellStyle name="Cálculo 2 2 5 31 2" xfId="17431"/>
    <cellStyle name="Cálculo 2 2 5 31 2 2" xfId="17432"/>
    <cellStyle name="Cálculo 2 2 5 31 3" xfId="17433"/>
    <cellStyle name="Cálculo 2 2 5 31 3 2" xfId="17434"/>
    <cellStyle name="Cálculo 2 2 5 31 4" xfId="17435"/>
    <cellStyle name="Cálculo 2 2 5 32" xfId="17436"/>
    <cellStyle name="Cálculo 2 2 5 32 2" xfId="17437"/>
    <cellStyle name="Cálculo 2 2 5 32 2 2" xfId="17438"/>
    <cellStyle name="Cálculo 2 2 5 32 3" xfId="17439"/>
    <cellStyle name="Cálculo 2 2 5 32 3 2" xfId="17440"/>
    <cellStyle name="Cálculo 2 2 5 32 4" xfId="17441"/>
    <cellStyle name="Cálculo 2 2 5 33" xfId="17442"/>
    <cellStyle name="Cálculo 2 2 5 33 2" xfId="17443"/>
    <cellStyle name="Cálculo 2 2 5 33 2 2" xfId="17444"/>
    <cellStyle name="Cálculo 2 2 5 33 3" xfId="17445"/>
    <cellStyle name="Cálculo 2 2 5 33 3 2" xfId="17446"/>
    <cellStyle name="Cálculo 2 2 5 33 4" xfId="17447"/>
    <cellStyle name="Cálculo 2 2 5 34" xfId="17448"/>
    <cellStyle name="Cálculo 2 2 5 34 2" xfId="17449"/>
    <cellStyle name="Cálculo 2 2 5 34 2 2" xfId="17450"/>
    <cellStyle name="Cálculo 2 2 5 34 3" xfId="17451"/>
    <cellStyle name="Cálculo 2 2 5 34 3 2" xfId="17452"/>
    <cellStyle name="Cálculo 2 2 5 34 4" xfId="17453"/>
    <cellStyle name="Cálculo 2 2 5 35" xfId="17454"/>
    <cellStyle name="Cálculo 2 2 5 35 2" xfId="17455"/>
    <cellStyle name="Cálculo 2 2 5 35 2 2" xfId="17456"/>
    <cellStyle name="Cálculo 2 2 5 35 3" xfId="17457"/>
    <cellStyle name="Cálculo 2 2 5 35 3 2" xfId="17458"/>
    <cellStyle name="Cálculo 2 2 5 35 4" xfId="17459"/>
    <cellStyle name="Cálculo 2 2 5 36" xfId="17460"/>
    <cellStyle name="Cálculo 2 2 5 36 2" xfId="17461"/>
    <cellStyle name="Cálculo 2 2 5 36 2 2" xfId="17462"/>
    <cellStyle name="Cálculo 2 2 5 36 3" xfId="17463"/>
    <cellStyle name="Cálculo 2 2 5 36 3 2" xfId="17464"/>
    <cellStyle name="Cálculo 2 2 5 36 4" xfId="17465"/>
    <cellStyle name="Cálculo 2 2 5 37" xfId="17466"/>
    <cellStyle name="Cálculo 2 2 5 37 2" xfId="17467"/>
    <cellStyle name="Cálculo 2 2 5 37 2 2" xfId="17468"/>
    <cellStyle name="Cálculo 2 2 5 37 3" xfId="17469"/>
    <cellStyle name="Cálculo 2 2 5 37 3 2" xfId="17470"/>
    <cellStyle name="Cálculo 2 2 5 37 4" xfId="17471"/>
    <cellStyle name="Cálculo 2 2 5 38" xfId="17472"/>
    <cellStyle name="Cálculo 2 2 5 38 2" xfId="17473"/>
    <cellStyle name="Cálculo 2 2 5 38 2 2" xfId="17474"/>
    <cellStyle name="Cálculo 2 2 5 38 3" xfId="17475"/>
    <cellStyle name="Cálculo 2 2 5 38 3 2" xfId="17476"/>
    <cellStyle name="Cálculo 2 2 5 38 4" xfId="17477"/>
    <cellStyle name="Cálculo 2 2 5 39" xfId="17478"/>
    <cellStyle name="Cálculo 2 2 5 39 2" xfId="17479"/>
    <cellStyle name="Cálculo 2 2 5 39 2 2" xfId="17480"/>
    <cellStyle name="Cálculo 2 2 5 39 3" xfId="17481"/>
    <cellStyle name="Cálculo 2 2 5 4" xfId="17482"/>
    <cellStyle name="Cálculo 2 2 5 4 2" xfId="17483"/>
    <cellStyle name="Cálculo 2 2 5 4 2 2" xfId="17484"/>
    <cellStyle name="Cálculo 2 2 5 4 3" xfId="17485"/>
    <cellStyle name="Cálculo 2 2 5 4 3 2" xfId="17486"/>
    <cellStyle name="Cálculo 2 2 5 4 4" xfId="17487"/>
    <cellStyle name="Cálculo 2 2 5 40" xfId="17488"/>
    <cellStyle name="Cálculo 2 2 5 40 2" xfId="17489"/>
    <cellStyle name="Cálculo 2 2 5 41" xfId="17490"/>
    <cellStyle name="Cálculo 2 2 5 41 2" xfId="17491"/>
    <cellStyle name="Cálculo 2 2 5 42" xfId="17492"/>
    <cellStyle name="Cálculo 2 2 5 5" xfId="17493"/>
    <cellStyle name="Cálculo 2 2 5 5 2" xfId="17494"/>
    <cellStyle name="Cálculo 2 2 5 5 2 2" xfId="17495"/>
    <cellStyle name="Cálculo 2 2 5 5 3" xfId="17496"/>
    <cellStyle name="Cálculo 2 2 5 5 3 2" xfId="17497"/>
    <cellStyle name="Cálculo 2 2 5 5 4" xfId="17498"/>
    <cellStyle name="Cálculo 2 2 5 6" xfId="17499"/>
    <cellStyle name="Cálculo 2 2 5 6 2" xfId="17500"/>
    <cellStyle name="Cálculo 2 2 5 6 2 2" xfId="17501"/>
    <cellStyle name="Cálculo 2 2 5 6 3" xfId="17502"/>
    <cellStyle name="Cálculo 2 2 5 6 3 2" xfId="17503"/>
    <cellStyle name="Cálculo 2 2 5 6 4" xfId="17504"/>
    <cellStyle name="Cálculo 2 2 5 7" xfId="17505"/>
    <cellStyle name="Cálculo 2 2 5 7 2" xfId="17506"/>
    <cellStyle name="Cálculo 2 2 5 7 2 2" xfId="17507"/>
    <cellStyle name="Cálculo 2 2 5 7 3" xfId="17508"/>
    <cellStyle name="Cálculo 2 2 5 7 3 2" xfId="17509"/>
    <cellStyle name="Cálculo 2 2 5 7 4" xfId="17510"/>
    <cellStyle name="Cálculo 2 2 5 8" xfId="17511"/>
    <cellStyle name="Cálculo 2 2 5 8 2" xfId="17512"/>
    <cellStyle name="Cálculo 2 2 5 8 2 2" xfId="17513"/>
    <cellStyle name="Cálculo 2 2 5 8 3" xfId="17514"/>
    <cellStyle name="Cálculo 2 2 5 8 3 2" xfId="17515"/>
    <cellStyle name="Cálculo 2 2 5 8 4" xfId="17516"/>
    <cellStyle name="Cálculo 2 2 5 9" xfId="17517"/>
    <cellStyle name="Cálculo 2 2 5 9 2" xfId="17518"/>
    <cellStyle name="Cálculo 2 2 5 9 2 2" xfId="17519"/>
    <cellStyle name="Cálculo 2 2 5 9 3" xfId="17520"/>
    <cellStyle name="Cálculo 2 2 5 9 3 2" xfId="17521"/>
    <cellStyle name="Cálculo 2 2 5 9 4" xfId="17522"/>
    <cellStyle name="Cálculo 2 2 6" xfId="17523"/>
    <cellStyle name="Cálculo 2 2 6 10" xfId="17524"/>
    <cellStyle name="Cálculo 2 2 6 10 2" xfId="17525"/>
    <cellStyle name="Cálculo 2 2 6 10 2 2" xfId="17526"/>
    <cellStyle name="Cálculo 2 2 6 10 3" xfId="17527"/>
    <cellStyle name="Cálculo 2 2 6 10 3 2" xfId="17528"/>
    <cellStyle name="Cálculo 2 2 6 10 4" xfId="17529"/>
    <cellStyle name="Cálculo 2 2 6 11" xfId="17530"/>
    <cellStyle name="Cálculo 2 2 6 11 2" xfId="17531"/>
    <cellStyle name="Cálculo 2 2 6 11 2 2" xfId="17532"/>
    <cellStyle name="Cálculo 2 2 6 11 3" xfId="17533"/>
    <cellStyle name="Cálculo 2 2 6 11 3 2" xfId="17534"/>
    <cellStyle name="Cálculo 2 2 6 11 4" xfId="17535"/>
    <cellStyle name="Cálculo 2 2 6 12" xfId="17536"/>
    <cellStyle name="Cálculo 2 2 6 12 2" xfId="17537"/>
    <cellStyle name="Cálculo 2 2 6 12 2 2" xfId="17538"/>
    <cellStyle name="Cálculo 2 2 6 12 3" xfId="17539"/>
    <cellStyle name="Cálculo 2 2 6 12 3 2" xfId="17540"/>
    <cellStyle name="Cálculo 2 2 6 12 4" xfId="17541"/>
    <cellStyle name="Cálculo 2 2 6 13" xfId="17542"/>
    <cellStyle name="Cálculo 2 2 6 13 2" xfId="17543"/>
    <cellStyle name="Cálculo 2 2 6 13 2 2" xfId="17544"/>
    <cellStyle name="Cálculo 2 2 6 13 3" xfId="17545"/>
    <cellStyle name="Cálculo 2 2 6 13 3 2" xfId="17546"/>
    <cellStyle name="Cálculo 2 2 6 13 4" xfId="17547"/>
    <cellStyle name="Cálculo 2 2 6 14" xfId="17548"/>
    <cellStyle name="Cálculo 2 2 6 14 2" xfId="17549"/>
    <cellStyle name="Cálculo 2 2 6 14 2 2" xfId="17550"/>
    <cellStyle name="Cálculo 2 2 6 14 3" xfId="17551"/>
    <cellStyle name="Cálculo 2 2 6 14 3 2" xfId="17552"/>
    <cellStyle name="Cálculo 2 2 6 14 4" xfId="17553"/>
    <cellStyle name="Cálculo 2 2 6 15" xfId="17554"/>
    <cellStyle name="Cálculo 2 2 6 15 2" xfId="17555"/>
    <cellStyle name="Cálculo 2 2 6 15 2 2" xfId="17556"/>
    <cellStyle name="Cálculo 2 2 6 15 3" xfId="17557"/>
    <cellStyle name="Cálculo 2 2 6 15 3 2" xfId="17558"/>
    <cellStyle name="Cálculo 2 2 6 15 4" xfId="17559"/>
    <cellStyle name="Cálculo 2 2 6 16" xfId="17560"/>
    <cellStyle name="Cálculo 2 2 6 16 2" xfId="17561"/>
    <cellStyle name="Cálculo 2 2 6 16 2 2" xfId="17562"/>
    <cellStyle name="Cálculo 2 2 6 16 3" xfId="17563"/>
    <cellStyle name="Cálculo 2 2 6 16 3 2" xfId="17564"/>
    <cellStyle name="Cálculo 2 2 6 16 4" xfId="17565"/>
    <cellStyle name="Cálculo 2 2 6 17" xfId="17566"/>
    <cellStyle name="Cálculo 2 2 6 17 2" xfId="17567"/>
    <cellStyle name="Cálculo 2 2 6 17 2 2" xfId="17568"/>
    <cellStyle name="Cálculo 2 2 6 17 3" xfId="17569"/>
    <cellStyle name="Cálculo 2 2 6 17 3 2" xfId="17570"/>
    <cellStyle name="Cálculo 2 2 6 17 4" xfId="17571"/>
    <cellStyle name="Cálculo 2 2 6 18" xfId="17572"/>
    <cellStyle name="Cálculo 2 2 6 18 2" xfId="17573"/>
    <cellStyle name="Cálculo 2 2 6 18 2 2" xfId="17574"/>
    <cellStyle name="Cálculo 2 2 6 18 3" xfId="17575"/>
    <cellStyle name="Cálculo 2 2 6 18 3 2" xfId="17576"/>
    <cellStyle name="Cálculo 2 2 6 18 4" xfId="17577"/>
    <cellStyle name="Cálculo 2 2 6 19" xfId="17578"/>
    <cellStyle name="Cálculo 2 2 6 19 2" xfId="17579"/>
    <cellStyle name="Cálculo 2 2 6 19 2 2" xfId="17580"/>
    <cellStyle name="Cálculo 2 2 6 19 3" xfId="17581"/>
    <cellStyle name="Cálculo 2 2 6 19 3 2" xfId="17582"/>
    <cellStyle name="Cálculo 2 2 6 19 4" xfId="17583"/>
    <cellStyle name="Cálculo 2 2 6 2" xfId="17584"/>
    <cellStyle name="Cálculo 2 2 6 2 2" xfId="17585"/>
    <cellStyle name="Cálculo 2 2 6 2 2 2" xfId="17586"/>
    <cellStyle name="Cálculo 2 2 6 2 3" xfId="17587"/>
    <cellStyle name="Cálculo 2 2 6 2 3 2" xfId="17588"/>
    <cellStyle name="Cálculo 2 2 6 2 4" xfId="17589"/>
    <cellStyle name="Cálculo 2 2 6 20" xfId="17590"/>
    <cellStyle name="Cálculo 2 2 6 20 2" xfId="17591"/>
    <cellStyle name="Cálculo 2 2 6 20 2 2" xfId="17592"/>
    <cellStyle name="Cálculo 2 2 6 20 3" xfId="17593"/>
    <cellStyle name="Cálculo 2 2 6 20 3 2" xfId="17594"/>
    <cellStyle name="Cálculo 2 2 6 20 4" xfId="17595"/>
    <cellStyle name="Cálculo 2 2 6 21" xfId="17596"/>
    <cellStyle name="Cálculo 2 2 6 21 2" xfId="17597"/>
    <cellStyle name="Cálculo 2 2 6 21 2 2" xfId="17598"/>
    <cellStyle name="Cálculo 2 2 6 21 3" xfId="17599"/>
    <cellStyle name="Cálculo 2 2 6 21 3 2" xfId="17600"/>
    <cellStyle name="Cálculo 2 2 6 21 4" xfId="17601"/>
    <cellStyle name="Cálculo 2 2 6 22" xfId="17602"/>
    <cellStyle name="Cálculo 2 2 6 22 2" xfId="17603"/>
    <cellStyle name="Cálculo 2 2 6 22 2 2" xfId="17604"/>
    <cellStyle name="Cálculo 2 2 6 22 3" xfId="17605"/>
    <cellStyle name="Cálculo 2 2 6 22 3 2" xfId="17606"/>
    <cellStyle name="Cálculo 2 2 6 22 4" xfId="17607"/>
    <cellStyle name="Cálculo 2 2 6 23" xfId="17608"/>
    <cellStyle name="Cálculo 2 2 6 23 2" xfId="17609"/>
    <cellStyle name="Cálculo 2 2 6 23 2 2" xfId="17610"/>
    <cellStyle name="Cálculo 2 2 6 23 3" xfId="17611"/>
    <cellStyle name="Cálculo 2 2 6 23 3 2" xfId="17612"/>
    <cellStyle name="Cálculo 2 2 6 23 4" xfId="17613"/>
    <cellStyle name="Cálculo 2 2 6 24" xfId="17614"/>
    <cellStyle name="Cálculo 2 2 6 24 2" xfId="17615"/>
    <cellStyle name="Cálculo 2 2 6 24 2 2" xfId="17616"/>
    <cellStyle name="Cálculo 2 2 6 24 3" xfId="17617"/>
    <cellStyle name="Cálculo 2 2 6 24 3 2" xfId="17618"/>
    <cellStyle name="Cálculo 2 2 6 24 4" xfId="17619"/>
    <cellStyle name="Cálculo 2 2 6 25" xfId="17620"/>
    <cellStyle name="Cálculo 2 2 6 25 2" xfId="17621"/>
    <cellStyle name="Cálculo 2 2 6 25 2 2" xfId="17622"/>
    <cellStyle name="Cálculo 2 2 6 25 3" xfId="17623"/>
    <cellStyle name="Cálculo 2 2 6 25 3 2" xfId="17624"/>
    <cellStyle name="Cálculo 2 2 6 25 4" xfId="17625"/>
    <cellStyle name="Cálculo 2 2 6 26" xfId="17626"/>
    <cellStyle name="Cálculo 2 2 6 26 2" xfId="17627"/>
    <cellStyle name="Cálculo 2 2 6 26 2 2" xfId="17628"/>
    <cellStyle name="Cálculo 2 2 6 26 3" xfId="17629"/>
    <cellStyle name="Cálculo 2 2 6 26 3 2" xfId="17630"/>
    <cellStyle name="Cálculo 2 2 6 26 4" xfId="17631"/>
    <cellStyle name="Cálculo 2 2 6 27" xfId="17632"/>
    <cellStyle name="Cálculo 2 2 6 27 2" xfId="17633"/>
    <cellStyle name="Cálculo 2 2 6 27 2 2" xfId="17634"/>
    <cellStyle name="Cálculo 2 2 6 27 3" xfId="17635"/>
    <cellStyle name="Cálculo 2 2 6 27 3 2" xfId="17636"/>
    <cellStyle name="Cálculo 2 2 6 27 4" xfId="17637"/>
    <cellStyle name="Cálculo 2 2 6 28" xfId="17638"/>
    <cellStyle name="Cálculo 2 2 6 28 2" xfId="17639"/>
    <cellStyle name="Cálculo 2 2 6 28 2 2" xfId="17640"/>
    <cellStyle name="Cálculo 2 2 6 28 3" xfId="17641"/>
    <cellStyle name="Cálculo 2 2 6 28 3 2" xfId="17642"/>
    <cellStyle name="Cálculo 2 2 6 28 4" xfId="17643"/>
    <cellStyle name="Cálculo 2 2 6 29" xfId="17644"/>
    <cellStyle name="Cálculo 2 2 6 29 2" xfId="17645"/>
    <cellStyle name="Cálculo 2 2 6 29 2 2" xfId="17646"/>
    <cellStyle name="Cálculo 2 2 6 29 3" xfId="17647"/>
    <cellStyle name="Cálculo 2 2 6 29 3 2" xfId="17648"/>
    <cellStyle name="Cálculo 2 2 6 29 4" xfId="17649"/>
    <cellStyle name="Cálculo 2 2 6 3" xfId="17650"/>
    <cellStyle name="Cálculo 2 2 6 3 2" xfId="17651"/>
    <cellStyle name="Cálculo 2 2 6 3 2 2" xfId="17652"/>
    <cellStyle name="Cálculo 2 2 6 3 3" xfId="17653"/>
    <cellStyle name="Cálculo 2 2 6 3 3 2" xfId="17654"/>
    <cellStyle name="Cálculo 2 2 6 3 4" xfId="17655"/>
    <cellStyle name="Cálculo 2 2 6 30" xfId="17656"/>
    <cellStyle name="Cálculo 2 2 6 30 2" xfId="17657"/>
    <cellStyle name="Cálculo 2 2 6 30 2 2" xfId="17658"/>
    <cellStyle name="Cálculo 2 2 6 30 3" xfId="17659"/>
    <cellStyle name="Cálculo 2 2 6 30 3 2" xfId="17660"/>
    <cellStyle name="Cálculo 2 2 6 30 4" xfId="17661"/>
    <cellStyle name="Cálculo 2 2 6 31" xfId="17662"/>
    <cellStyle name="Cálculo 2 2 6 31 2" xfId="17663"/>
    <cellStyle name="Cálculo 2 2 6 31 2 2" xfId="17664"/>
    <cellStyle name="Cálculo 2 2 6 31 3" xfId="17665"/>
    <cellStyle name="Cálculo 2 2 6 31 3 2" xfId="17666"/>
    <cellStyle name="Cálculo 2 2 6 31 4" xfId="17667"/>
    <cellStyle name="Cálculo 2 2 6 32" xfId="17668"/>
    <cellStyle name="Cálculo 2 2 6 32 2" xfId="17669"/>
    <cellStyle name="Cálculo 2 2 6 32 2 2" xfId="17670"/>
    <cellStyle name="Cálculo 2 2 6 32 3" xfId="17671"/>
    <cellStyle name="Cálculo 2 2 6 32 3 2" xfId="17672"/>
    <cellStyle name="Cálculo 2 2 6 32 4" xfId="17673"/>
    <cellStyle name="Cálculo 2 2 6 33" xfId="17674"/>
    <cellStyle name="Cálculo 2 2 6 33 2" xfId="17675"/>
    <cellStyle name="Cálculo 2 2 6 33 2 2" xfId="17676"/>
    <cellStyle name="Cálculo 2 2 6 33 3" xfId="17677"/>
    <cellStyle name="Cálculo 2 2 6 33 3 2" xfId="17678"/>
    <cellStyle name="Cálculo 2 2 6 33 4" xfId="17679"/>
    <cellStyle name="Cálculo 2 2 6 34" xfId="17680"/>
    <cellStyle name="Cálculo 2 2 6 34 2" xfId="17681"/>
    <cellStyle name="Cálculo 2 2 6 34 2 2" xfId="17682"/>
    <cellStyle name="Cálculo 2 2 6 34 3" xfId="17683"/>
    <cellStyle name="Cálculo 2 2 6 34 3 2" xfId="17684"/>
    <cellStyle name="Cálculo 2 2 6 34 4" xfId="17685"/>
    <cellStyle name="Cálculo 2 2 6 35" xfId="17686"/>
    <cellStyle name="Cálculo 2 2 6 35 2" xfId="17687"/>
    <cellStyle name="Cálculo 2 2 6 35 2 2" xfId="17688"/>
    <cellStyle name="Cálculo 2 2 6 35 3" xfId="17689"/>
    <cellStyle name="Cálculo 2 2 6 35 3 2" xfId="17690"/>
    <cellStyle name="Cálculo 2 2 6 35 4" xfId="17691"/>
    <cellStyle name="Cálculo 2 2 6 36" xfId="17692"/>
    <cellStyle name="Cálculo 2 2 6 36 2" xfId="17693"/>
    <cellStyle name="Cálculo 2 2 6 36 2 2" xfId="17694"/>
    <cellStyle name="Cálculo 2 2 6 36 3" xfId="17695"/>
    <cellStyle name="Cálculo 2 2 6 36 3 2" xfId="17696"/>
    <cellStyle name="Cálculo 2 2 6 36 4" xfId="17697"/>
    <cellStyle name="Cálculo 2 2 6 37" xfId="17698"/>
    <cellStyle name="Cálculo 2 2 6 37 2" xfId="17699"/>
    <cellStyle name="Cálculo 2 2 6 37 2 2" xfId="17700"/>
    <cellStyle name="Cálculo 2 2 6 37 3" xfId="17701"/>
    <cellStyle name="Cálculo 2 2 6 37 3 2" xfId="17702"/>
    <cellStyle name="Cálculo 2 2 6 37 4" xfId="17703"/>
    <cellStyle name="Cálculo 2 2 6 38" xfId="17704"/>
    <cellStyle name="Cálculo 2 2 6 38 2" xfId="17705"/>
    <cellStyle name="Cálculo 2 2 6 38 2 2" xfId="17706"/>
    <cellStyle name="Cálculo 2 2 6 38 3" xfId="17707"/>
    <cellStyle name="Cálculo 2 2 6 38 3 2" xfId="17708"/>
    <cellStyle name="Cálculo 2 2 6 38 4" xfId="17709"/>
    <cellStyle name="Cálculo 2 2 6 39" xfId="17710"/>
    <cellStyle name="Cálculo 2 2 6 39 2" xfId="17711"/>
    <cellStyle name="Cálculo 2 2 6 39 2 2" xfId="17712"/>
    <cellStyle name="Cálculo 2 2 6 39 3" xfId="17713"/>
    <cellStyle name="Cálculo 2 2 6 39 3 2" xfId="17714"/>
    <cellStyle name="Cálculo 2 2 6 39 4" xfId="17715"/>
    <cellStyle name="Cálculo 2 2 6 4" xfId="17716"/>
    <cellStyle name="Cálculo 2 2 6 4 2" xfId="17717"/>
    <cellStyle name="Cálculo 2 2 6 4 2 2" xfId="17718"/>
    <cellStyle name="Cálculo 2 2 6 4 3" xfId="17719"/>
    <cellStyle name="Cálculo 2 2 6 4 3 2" xfId="17720"/>
    <cellStyle name="Cálculo 2 2 6 4 4" xfId="17721"/>
    <cellStyle name="Cálculo 2 2 6 40" xfId="17722"/>
    <cellStyle name="Cálculo 2 2 6 40 2" xfId="17723"/>
    <cellStyle name="Cálculo 2 2 6 40 2 2" xfId="17724"/>
    <cellStyle name="Cálculo 2 2 6 40 3" xfId="17725"/>
    <cellStyle name="Cálculo 2 2 6 40 3 2" xfId="17726"/>
    <cellStyle name="Cálculo 2 2 6 40 4" xfId="17727"/>
    <cellStyle name="Cálculo 2 2 6 41" xfId="17728"/>
    <cellStyle name="Cálculo 2 2 6 41 2" xfId="17729"/>
    <cellStyle name="Cálculo 2 2 6 41 2 2" xfId="17730"/>
    <cellStyle name="Cálculo 2 2 6 41 3" xfId="17731"/>
    <cellStyle name="Cálculo 2 2 6 41 3 2" xfId="17732"/>
    <cellStyle name="Cálculo 2 2 6 41 4" xfId="17733"/>
    <cellStyle name="Cálculo 2 2 6 42" xfId="17734"/>
    <cellStyle name="Cálculo 2 2 6 42 2" xfId="17735"/>
    <cellStyle name="Cálculo 2 2 6 42 2 2" xfId="17736"/>
    <cellStyle name="Cálculo 2 2 6 42 3" xfId="17737"/>
    <cellStyle name="Cálculo 2 2 6 43" xfId="17738"/>
    <cellStyle name="Cálculo 2 2 6 43 2" xfId="17739"/>
    <cellStyle name="Cálculo 2 2 6 44" xfId="17740"/>
    <cellStyle name="Cálculo 2 2 6 5" xfId="17741"/>
    <cellStyle name="Cálculo 2 2 6 5 2" xfId="17742"/>
    <cellStyle name="Cálculo 2 2 6 5 2 2" xfId="17743"/>
    <cellStyle name="Cálculo 2 2 6 5 3" xfId="17744"/>
    <cellStyle name="Cálculo 2 2 6 5 3 2" xfId="17745"/>
    <cellStyle name="Cálculo 2 2 6 5 4" xfId="17746"/>
    <cellStyle name="Cálculo 2 2 6 6" xfId="17747"/>
    <cellStyle name="Cálculo 2 2 6 6 2" xfId="17748"/>
    <cellStyle name="Cálculo 2 2 6 6 2 2" xfId="17749"/>
    <cellStyle name="Cálculo 2 2 6 6 3" xfId="17750"/>
    <cellStyle name="Cálculo 2 2 6 6 3 2" xfId="17751"/>
    <cellStyle name="Cálculo 2 2 6 6 4" xfId="17752"/>
    <cellStyle name="Cálculo 2 2 6 7" xfId="17753"/>
    <cellStyle name="Cálculo 2 2 6 7 2" xfId="17754"/>
    <cellStyle name="Cálculo 2 2 6 7 2 2" xfId="17755"/>
    <cellStyle name="Cálculo 2 2 6 7 3" xfId="17756"/>
    <cellStyle name="Cálculo 2 2 6 7 3 2" xfId="17757"/>
    <cellStyle name="Cálculo 2 2 6 7 4" xfId="17758"/>
    <cellStyle name="Cálculo 2 2 6 8" xfId="17759"/>
    <cellStyle name="Cálculo 2 2 6 8 2" xfId="17760"/>
    <cellStyle name="Cálculo 2 2 6 8 2 2" xfId="17761"/>
    <cellStyle name="Cálculo 2 2 6 8 3" xfId="17762"/>
    <cellStyle name="Cálculo 2 2 6 8 3 2" xfId="17763"/>
    <cellStyle name="Cálculo 2 2 6 8 4" xfId="17764"/>
    <cellStyle name="Cálculo 2 2 6 9" xfId="17765"/>
    <cellStyle name="Cálculo 2 2 6 9 2" xfId="17766"/>
    <cellStyle name="Cálculo 2 2 6 9 2 2" xfId="17767"/>
    <cellStyle name="Cálculo 2 2 6 9 3" xfId="17768"/>
    <cellStyle name="Cálculo 2 2 6 9 3 2" xfId="17769"/>
    <cellStyle name="Cálculo 2 2 6 9 4" xfId="17770"/>
    <cellStyle name="Cálculo 2 2 7" xfId="17771"/>
    <cellStyle name="Cálculo 2 2 7 2" xfId="17772"/>
    <cellStyle name="Cálculo 2 2 7 2 2" xfId="17773"/>
    <cellStyle name="Cálculo 2 2 7 3" xfId="17774"/>
    <cellStyle name="Cálculo 2 2 7 3 2" xfId="17775"/>
    <cellStyle name="Cálculo 2 2 7 4" xfId="17776"/>
    <cellStyle name="Cálculo 2 2 8" xfId="17777"/>
    <cellStyle name="Cálculo 2 2 8 2" xfId="17778"/>
    <cellStyle name="Cálculo 2 2 8 2 2" xfId="17779"/>
    <cellStyle name="Cálculo 2 2 8 3" xfId="17780"/>
    <cellStyle name="Cálculo 2 2 8 3 2" xfId="17781"/>
    <cellStyle name="Cálculo 2 2 8 4" xfId="17782"/>
    <cellStyle name="Cálculo 2 2 9" xfId="17783"/>
    <cellStyle name="Cálculo 2 2 9 2" xfId="17784"/>
    <cellStyle name="Cálculo 2 2 9 2 2" xfId="17785"/>
    <cellStyle name="Cálculo 2 2 9 3" xfId="17786"/>
    <cellStyle name="Cálculo 2 2 9 3 2" xfId="17787"/>
    <cellStyle name="Cálculo 2 2 9 4" xfId="17788"/>
    <cellStyle name="Cálculo 2 20" xfId="17789"/>
    <cellStyle name="Cálculo 2 20 2" xfId="17790"/>
    <cellStyle name="Cálculo 2 20 2 2" xfId="17791"/>
    <cellStyle name="Cálculo 2 20 3" xfId="17792"/>
    <cellStyle name="Cálculo 2 20 3 2" xfId="17793"/>
    <cellStyle name="Cálculo 2 20 4" xfId="17794"/>
    <cellStyle name="Cálculo 2 21" xfId="17795"/>
    <cellStyle name="Cálculo 2 21 2" xfId="17796"/>
    <cellStyle name="Cálculo 2 21 2 2" xfId="17797"/>
    <cellStyle name="Cálculo 2 21 3" xfId="17798"/>
    <cellStyle name="Cálculo 2 21 3 2" xfId="17799"/>
    <cellStyle name="Cálculo 2 21 4" xfId="17800"/>
    <cellStyle name="Cálculo 2 22" xfId="17801"/>
    <cellStyle name="Cálculo 2 22 2" xfId="17802"/>
    <cellStyle name="Cálculo 2 22 2 2" xfId="17803"/>
    <cellStyle name="Cálculo 2 22 3" xfId="17804"/>
    <cellStyle name="Cálculo 2 22 3 2" xfId="17805"/>
    <cellStyle name="Cálculo 2 22 4" xfId="17806"/>
    <cellStyle name="Cálculo 2 23" xfId="17807"/>
    <cellStyle name="Cálculo 2 23 2" xfId="17808"/>
    <cellStyle name="Cálculo 2 23 2 2" xfId="17809"/>
    <cellStyle name="Cálculo 2 23 3" xfId="17810"/>
    <cellStyle name="Cálculo 2 23 3 2" xfId="17811"/>
    <cellStyle name="Cálculo 2 23 4" xfId="17812"/>
    <cellStyle name="Cálculo 2 24" xfId="17813"/>
    <cellStyle name="Cálculo 2 24 2" xfId="17814"/>
    <cellStyle name="Cálculo 2 24 2 2" xfId="17815"/>
    <cellStyle name="Cálculo 2 24 3" xfId="17816"/>
    <cellStyle name="Cálculo 2 24 3 2" xfId="17817"/>
    <cellStyle name="Cálculo 2 24 4" xfId="17818"/>
    <cellStyle name="Cálculo 2 25" xfId="17819"/>
    <cellStyle name="Cálculo 2 25 2" xfId="17820"/>
    <cellStyle name="Cálculo 2 25 2 2" xfId="17821"/>
    <cellStyle name="Cálculo 2 25 3" xfId="17822"/>
    <cellStyle name="Cálculo 2 25 3 2" xfId="17823"/>
    <cellStyle name="Cálculo 2 25 4" xfId="17824"/>
    <cellStyle name="Cálculo 2 26" xfId="17825"/>
    <cellStyle name="Cálculo 2 26 2" xfId="17826"/>
    <cellStyle name="Cálculo 2 26 2 2" xfId="17827"/>
    <cellStyle name="Cálculo 2 26 3" xfId="17828"/>
    <cellStyle name="Cálculo 2 26 3 2" xfId="17829"/>
    <cellStyle name="Cálculo 2 26 4" xfId="17830"/>
    <cellStyle name="Cálculo 2 27" xfId="17831"/>
    <cellStyle name="Cálculo 2 27 2" xfId="17832"/>
    <cellStyle name="Cálculo 2 27 2 2" xfId="17833"/>
    <cellStyle name="Cálculo 2 27 3" xfId="17834"/>
    <cellStyle name="Cálculo 2 27 3 2" xfId="17835"/>
    <cellStyle name="Cálculo 2 27 4" xfId="17836"/>
    <cellStyle name="Cálculo 2 28" xfId="17837"/>
    <cellStyle name="Cálculo 2 28 2" xfId="17838"/>
    <cellStyle name="Cálculo 2 28 2 2" xfId="17839"/>
    <cellStyle name="Cálculo 2 28 3" xfId="17840"/>
    <cellStyle name="Cálculo 2 29" xfId="17841"/>
    <cellStyle name="Cálculo 2 29 2" xfId="17842"/>
    <cellStyle name="Cálculo 2 3" xfId="17843"/>
    <cellStyle name="Cálculo 2 3 10" xfId="17844"/>
    <cellStyle name="Cálculo 2 3 10 2" xfId="17845"/>
    <cellStyle name="Cálculo 2 3 10 2 2" xfId="17846"/>
    <cellStyle name="Cálculo 2 3 10 3" xfId="17847"/>
    <cellStyle name="Cálculo 2 3 10 3 2" xfId="17848"/>
    <cellStyle name="Cálculo 2 3 10 4" xfId="17849"/>
    <cellStyle name="Cálculo 2 3 11" xfId="17850"/>
    <cellStyle name="Cálculo 2 3 11 2" xfId="17851"/>
    <cellStyle name="Cálculo 2 3 11 2 2" xfId="17852"/>
    <cellStyle name="Cálculo 2 3 11 3" xfId="17853"/>
    <cellStyle name="Cálculo 2 3 11 3 2" xfId="17854"/>
    <cellStyle name="Cálculo 2 3 11 4" xfId="17855"/>
    <cellStyle name="Cálculo 2 3 12" xfId="17856"/>
    <cellStyle name="Cálculo 2 3 12 2" xfId="17857"/>
    <cellStyle name="Cálculo 2 3 12 2 2" xfId="17858"/>
    <cellStyle name="Cálculo 2 3 12 3" xfId="17859"/>
    <cellStyle name="Cálculo 2 3 12 3 2" xfId="17860"/>
    <cellStyle name="Cálculo 2 3 12 4" xfId="17861"/>
    <cellStyle name="Cálculo 2 3 13" xfId="17862"/>
    <cellStyle name="Cálculo 2 3 13 2" xfId="17863"/>
    <cellStyle name="Cálculo 2 3 13 2 2" xfId="17864"/>
    <cellStyle name="Cálculo 2 3 13 3" xfId="17865"/>
    <cellStyle name="Cálculo 2 3 13 3 2" xfId="17866"/>
    <cellStyle name="Cálculo 2 3 13 4" xfId="17867"/>
    <cellStyle name="Cálculo 2 3 14" xfId="17868"/>
    <cellStyle name="Cálculo 2 3 14 2" xfId="17869"/>
    <cellStyle name="Cálculo 2 3 14 2 2" xfId="17870"/>
    <cellStyle name="Cálculo 2 3 14 3" xfId="17871"/>
    <cellStyle name="Cálculo 2 3 14 3 2" xfId="17872"/>
    <cellStyle name="Cálculo 2 3 14 4" xfId="17873"/>
    <cellStyle name="Cálculo 2 3 15" xfId="17874"/>
    <cellStyle name="Cálculo 2 3 15 2" xfId="17875"/>
    <cellStyle name="Cálculo 2 3 15 2 2" xfId="17876"/>
    <cellStyle name="Cálculo 2 3 15 3" xfId="17877"/>
    <cellStyle name="Cálculo 2 3 15 3 2" xfId="17878"/>
    <cellStyle name="Cálculo 2 3 15 4" xfId="17879"/>
    <cellStyle name="Cálculo 2 3 16" xfId="17880"/>
    <cellStyle name="Cálculo 2 3 16 2" xfId="17881"/>
    <cellStyle name="Cálculo 2 3 16 2 2" xfId="17882"/>
    <cellStyle name="Cálculo 2 3 16 3" xfId="17883"/>
    <cellStyle name="Cálculo 2 3 16 3 2" xfId="17884"/>
    <cellStyle name="Cálculo 2 3 16 4" xfId="17885"/>
    <cellStyle name="Cálculo 2 3 17" xfId="17886"/>
    <cellStyle name="Cálculo 2 3 17 2" xfId="17887"/>
    <cellStyle name="Cálculo 2 3 17 2 2" xfId="17888"/>
    <cellStyle name="Cálculo 2 3 17 3" xfId="17889"/>
    <cellStyle name="Cálculo 2 3 17 3 2" xfId="17890"/>
    <cellStyle name="Cálculo 2 3 17 4" xfId="17891"/>
    <cellStyle name="Cálculo 2 3 18" xfId="17892"/>
    <cellStyle name="Cálculo 2 3 18 2" xfId="17893"/>
    <cellStyle name="Cálculo 2 3 18 2 2" xfId="17894"/>
    <cellStyle name="Cálculo 2 3 18 3" xfId="17895"/>
    <cellStyle name="Cálculo 2 3 18 3 2" xfId="17896"/>
    <cellStyle name="Cálculo 2 3 18 4" xfId="17897"/>
    <cellStyle name="Cálculo 2 3 19" xfId="17898"/>
    <cellStyle name="Cálculo 2 3 19 2" xfId="17899"/>
    <cellStyle name="Cálculo 2 3 19 2 2" xfId="17900"/>
    <cellStyle name="Cálculo 2 3 19 3" xfId="17901"/>
    <cellStyle name="Cálculo 2 3 19 3 2" xfId="17902"/>
    <cellStyle name="Cálculo 2 3 19 4" xfId="17903"/>
    <cellStyle name="Cálculo 2 3 2" xfId="17904"/>
    <cellStyle name="Cálculo 2 3 2 10" xfId="17905"/>
    <cellStyle name="Cálculo 2 3 2 10 2" xfId="17906"/>
    <cellStyle name="Cálculo 2 3 2 10 2 2" xfId="17907"/>
    <cellStyle name="Cálculo 2 3 2 10 3" xfId="17908"/>
    <cellStyle name="Cálculo 2 3 2 10 3 2" xfId="17909"/>
    <cellStyle name="Cálculo 2 3 2 10 4" xfId="17910"/>
    <cellStyle name="Cálculo 2 3 2 11" xfId="17911"/>
    <cellStyle name="Cálculo 2 3 2 11 2" xfId="17912"/>
    <cellStyle name="Cálculo 2 3 2 11 2 2" xfId="17913"/>
    <cellStyle name="Cálculo 2 3 2 11 3" xfId="17914"/>
    <cellStyle name="Cálculo 2 3 2 11 3 2" xfId="17915"/>
    <cellStyle name="Cálculo 2 3 2 11 4" xfId="17916"/>
    <cellStyle name="Cálculo 2 3 2 12" xfId="17917"/>
    <cellStyle name="Cálculo 2 3 2 12 2" xfId="17918"/>
    <cellStyle name="Cálculo 2 3 2 12 2 2" xfId="17919"/>
    <cellStyle name="Cálculo 2 3 2 12 3" xfId="17920"/>
    <cellStyle name="Cálculo 2 3 2 12 3 2" xfId="17921"/>
    <cellStyle name="Cálculo 2 3 2 12 4" xfId="17922"/>
    <cellStyle name="Cálculo 2 3 2 13" xfId="17923"/>
    <cellStyle name="Cálculo 2 3 2 13 2" xfId="17924"/>
    <cellStyle name="Cálculo 2 3 2 13 2 2" xfId="17925"/>
    <cellStyle name="Cálculo 2 3 2 13 3" xfId="17926"/>
    <cellStyle name="Cálculo 2 3 2 13 3 2" xfId="17927"/>
    <cellStyle name="Cálculo 2 3 2 13 4" xfId="17928"/>
    <cellStyle name="Cálculo 2 3 2 14" xfId="17929"/>
    <cellStyle name="Cálculo 2 3 2 14 2" xfId="17930"/>
    <cellStyle name="Cálculo 2 3 2 14 2 2" xfId="17931"/>
    <cellStyle name="Cálculo 2 3 2 14 3" xfId="17932"/>
    <cellStyle name="Cálculo 2 3 2 14 3 2" xfId="17933"/>
    <cellStyle name="Cálculo 2 3 2 14 4" xfId="17934"/>
    <cellStyle name="Cálculo 2 3 2 15" xfId="17935"/>
    <cellStyle name="Cálculo 2 3 2 15 2" xfId="17936"/>
    <cellStyle name="Cálculo 2 3 2 15 2 2" xfId="17937"/>
    <cellStyle name="Cálculo 2 3 2 15 3" xfId="17938"/>
    <cellStyle name="Cálculo 2 3 2 15 3 2" xfId="17939"/>
    <cellStyle name="Cálculo 2 3 2 15 4" xfId="17940"/>
    <cellStyle name="Cálculo 2 3 2 16" xfId="17941"/>
    <cellStyle name="Cálculo 2 3 2 16 2" xfId="17942"/>
    <cellStyle name="Cálculo 2 3 2 16 2 2" xfId="17943"/>
    <cellStyle name="Cálculo 2 3 2 16 3" xfId="17944"/>
    <cellStyle name="Cálculo 2 3 2 16 3 2" xfId="17945"/>
    <cellStyle name="Cálculo 2 3 2 16 4" xfId="17946"/>
    <cellStyle name="Cálculo 2 3 2 17" xfId="17947"/>
    <cellStyle name="Cálculo 2 3 2 17 2" xfId="17948"/>
    <cellStyle name="Cálculo 2 3 2 17 2 2" xfId="17949"/>
    <cellStyle name="Cálculo 2 3 2 17 3" xfId="17950"/>
    <cellStyle name="Cálculo 2 3 2 17 3 2" xfId="17951"/>
    <cellStyle name="Cálculo 2 3 2 17 4" xfId="17952"/>
    <cellStyle name="Cálculo 2 3 2 18" xfId="17953"/>
    <cellStyle name="Cálculo 2 3 2 18 2" xfId="17954"/>
    <cellStyle name="Cálculo 2 3 2 18 2 2" xfId="17955"/>
    <cellStyle name="Cálculo 2 3 2 18 3" xfId="17956"/>
    <cellStyle name="Cálculo 2 3 2 18 3 2" xfId="17957"/>
    <cellStyle name="Cálculo 2 3 2 18 4" xfId="17958"/>
    <cellStyle name="Cálculo 2 3 2 19" xfId="17959"/>
    <cellStyle name="Cálculo 2 3 2 19 2" xfId="17960"/>
    <cellStyle name="Cálculo 2 3 2 19 2 2" xfId="17961"/>
    <cellStyle name="Cálculo 2 3 2 19 3" xfId="17962"/>
    <cellStyle name="Cálculo 2 3 2 19 3 2" xfId="17963"/>
    <cellStyle name="Cálculo 2 3 2 19 4" xfId="17964"/>
    <cellStyle name="Cálculo 2 3 2 2" xfId="17965"/>
    <cellStyle name="Cálculo 2 3 2 2 2" xfId="17966"/>
    <cellStyle name="Cálculo 2 3 2 2 2 2" xfId="17967"/>
    <cellStyle name="Cálculo 2 3 2 2 3" xfId="17968"/>
    <cellStyle name="Cálculo 2 3 2 2 3 2" xfId="17969"/>
    <cellStyle name="Cálculo 2 3 2 2 4" xfId="17970"/>
    <cellStyle name="Cálculo 2 3 2 20" xfId="17971"/>
    <cellStyle name="Cálculo 2 3 2 20 2" xfId="17972"/>
    <cellStyle name="Cálculo 2 3 2 20 2 2" xfId="17973"/>
    <cellStyle name="Cálculo 2 3 2 20 3" xfId="17974"/>
    <cellStyle name="Cálculo 2 3 2 20 3 2" xfId="17975"/>
    <cellStyle name="Cálculo 2 3 2 20 4" xfId="17976"/>
    <cellStyle name="Cálculo 2 3 2 21" xfId="17977"/>
    <cellStyle name="Cálculo 2 3 2 21 2" xfId="17978"/>
    <cellStyle name="Cálculo 2 3 2 21 2 2" xfId="17979"/>
    <cellStyle name="Cálculo 2 3 2 21 3" xfId="17980"/>
    <cellStyle name="Cálculo 2 3 2 21 3 2" xfId="17981"/>
    <cellStyle name="Cálculo 2 3 2 21 4" xfId="17982"/>
    <cellStyle name="Cálculo 2 3 2 22" xfId="17983"/>
    <cellStyle name="Cálculo 2 3 2 22 2" xfId="17984"/>
    <cellStyle name="Cálculo 2 3 2 22 2 2" xfId="17985"/>
    <cellStyle name="Cálculo 2 3 2 22 3" xfId="17986"/>
    <cellStyle name="Cálculo 2 3 2 22 3 2" xfId="17987"/>
    <cellStyle name="Cálculo 2 3 2 22 4" xfId="17988"/>
    <cellStyle name="Cálculo 2 3 2 23" xfId="17989"/>
    <cellStyle name="Cálculo 2 3 2 23 2" xfId="17990"/>
    <cellStyle name="Cálculo 2 3 2 23 2 2" xfId="17991"/>
    <cellStyle name="Cálculo 2 3 2 23 3" xfId="17992"/>
    <cellStyle name="Cálculo 2 3 2 23 3 2" xfId="17993"/>
    <cellStyle name="Cálculo 2 3 2 23 4" xfId="17994"/>
    <cellStyle name="Cálculo 2 3 2 24" xfId="17995"/>
    <cellStyle name="Cálculo 2 3 2 24 2" xfId="17996"/>
    <cellStyle name="Cálculo 2 3 2 24 2 2" xfId="17997"/>
    <cellStyle name="Cálculo 2 3 2 24 3" xfId="17998"/>
    <cellStyle name="Cálculo 2 3 2 24 3 2" xfId="17999"/>
    <cellStyle name="Cálculo 2 3 2 24 4" xfId="18000"/>
    <cellStyle name="Cálculo 2 3 2 25" xfId="18001"/>
    <cellStyle name="Cálculo 2 3 2 25 2" xfId="18002"/>
    <cellStyle name="Cálculo 2 3 2 25 2 2" xfId="18003"/>
    <cellStyle name="Cálculo 2 3 2 25 3" xfId="18004"/>
    <cellStyle name="Cálculo 2 3 2 25 3 2" xfId="18005"/>
    <cellStyle name="Cálculo 2 3 2 25 4" xfId="18006"/>
    <cellStyle name="Cálculo 2 3 2 26" xfId="18007"/>
    <cellStyle name="Cálculo 2 3 2 26 2" xfId="18008"/>
    <cellStyle name="Cálculo 2 3 2 26 2 2" xfId="18009"/>
    <cellStyle name="Cálculo 2 3 2 26 3" xfId="18010"/>
    <cellStyle name="Cálculo 2 3 2 26 3 2" xfId="18011"/>
    <cellStyle name="Cálculo 2 3 2 26 4" xfId="18012"/>
    <cellStyle name="Cálculo 2 3 2 27" xfId="18013"/>
    <cellStyle name="Cálculo 2 3 2 27 2" xfId="18014"/>
    <cellStyle name="Cálculo 2 3 2 27 2 2" xfId="18015"/>
    <cellStyle name="Cálculo 2 3 2 27 3" xfId="18016"/>
    <cellStyle name="Cálculo 2 3 2 27 3 2" xfId="18017"/>
    <cellStyle name="Cálculo 2 3 2 27 4" xfId="18018"/>
    <cellStyle name="Cálculo 2 3 2 28" xfId="18019"/>
    <cellStyle name="Cálculo 2 3 2 28 2" xfId="18020"/>
    <cellStyle name="Cálculo 2 3 2 28 2 2" xfId="18021"/>
    <cellStyle name="Cálculo 2 3 2 28 3" xfId="18022"/>
    <cellStyle name="Cálculo 2 3 2 28 3 2" xfId="18023"/>
    <cellStyle name="Cálculo 2 3 2 28 4" xfId="18024"/>
    <cellStyle name="Cálculo 2 3 2 29" xfId="18025"/>
    <cellStyle name="Cálculo 2 3 2 29 2" xfId="18026"/>
    <cellStyle name="Cálculo 2 3 2 29 2 2" xfId="18027"/>
    <cellStyle name="Cálculo 2 3 2 29 3" xfId="18028"/>
    <cellStyle name="Cálculo 2 3 2 29 3 2" xfId="18029"/>
    <cellStyle name="Cálculo 2 3 2 29 4" xfId="18030"/>
    <cellStyle name="Cálculo 2 3 2 3" xfId="18031"/>
    <cellStyle name="Cálculo 2 3 2 3 2" xfId="18032"/>
    <cellStyle name="Cálculo 2 3 2 3 2 2" xfId="18033"/>
    <cellStyle name="Cálculo 2 3 2 3 3" xfId="18034"/>
    <cellStyle name="Cálculo 2 3 2 3 3 2" xfId="18035"/>
    <cellStyle name="Cálculo 2 3 2 3 4" xfId="18036"/>
    <cellStyle name="Cálculo 2 3 2 30" xfId="18037"/>
    <cellStyle name="Cálculo 2 3 2 30 2" xfId="18038"/>
    <cellStyle name="Cálculo 2 3 2 30 2 2" xfId="18039"/>
    <cellStyle name="Cálculo 2 3 2 30 3" xfId="18040"/>
    <cellStyle name="Cálculo 2 3 2 30 3 2" xfId="18041"/>
    <cellStyle name="Cálculo 2 3 2 30 4" xfId="18042"/>
    <cellStyle name="Cálculo 2 3 2 31" xfId="18043"/>
    <cellStyle name="Cálculo 2 3 2 31 2" xfId="18044"/>
    <cellStyle name="Cálculo 2 3 2 31 2 2" xfId="18045"/>
    <cellStyle name="Cálculo 2 3 2 31 3" xfId="18046"/>
    <cellStyle name="Cálculo 2 3 2 31 3 2" xfId="18047"/>
    <cellStyle name="Cálculo 2 3 2 31 4" xfId="18048"/>
    <cellStyle name="Cálculo 2 3 2 32" xfId="18049"/>
    <cellStyle name="Cálculo 2 3 2 32 2" xfId="18050"/>
    <cellStyle name="Cálculo 2 3 2 32 2 2" xfId="18051"/>
    <cellStyle name="Cálculo 2 3 2 32 3" xfId="18052"/>
    <cellStyle name="Cálculo 2 3 2 32 3 2" xfId="18053"/>
    <cellStyle name="Cálculo 2 3 2 32 4" xfId="18054"/>
    <cellStyle name="Cálculo 2 3 2 33" xfId="18055"/>
    <cellStyle name="Cálculo 2 3 2 33 2" xfId="18056"/>
    <cellStyle name="Cálculo 2 3 2 33 2 2" xfId="18057"/>
    <cellStyle name="Cálculo 2 3 2 33 3" xfId="18058"/>
    <cellStyle name="Cálculo 2 3 2 33 3 2" xfId="18059"/>
    <cellStyle name="Cálculo 2 3 2 33 4" xfId="18060"/>
    <cellStyle name="Cálculo 2 3 2 34" xfId="18061"/>
    <cellStyle name="Cálculo 2 3 2 34 2" xfId="18062"/>
    <cellStyle name="Cálculo 2 3 2 34 2 2" xfId="18063"/>
    <cellStyle name="Cálculo 2 3 2 34 3" xfId="18064"/>
    <cellStyle name="Cálculo 2 3 2 34 3 2" xfId="18065"/>
    <cellStyle name="Cálculo 2 3 2 34 4" xfId="18066"/>
    <cellStyle name="Cálculo 2 3 2 35" xfId="18067"/>
    <cellStyle name="Cálculo 2 3 2 35 2" xfId="18068"/>
    <cellStyle name="Cálculo 2 3 2 35 2 2" xfId="18069"/>
    <cellStyle name="Cálculo 2 3 2 35 3" xfId="18070"/>
    <cellStyle name="Cálculo 2 3 2 35 3 2" xfId="18071"/>
    <cellStyle name="Cálculo 2 3 2 35 4" xfId="18072"/>
    <cellStyle name="Cálculo 2 3 2 36" xfId="18073"/>
    <cellStyle name="Cálculo 2 3 2 36 2" xfId="18074"/>
    <cellStyle name="Cálculo 2 3 2 36 2 2" xfId="18075"/>
    <cellStyle name="Cálculo 2 3 2 36 3" xfId="18076"/>
    <cellStyle name="Cálculo 2 3 2 36 3 2" xfId="18077"/>
    <cellStyle name="Cálculo 2 3 2 36 4" xfId="18078"/>
    <cellStyle name="Cálculo 2 3 2 37" xfId="18079"/>
    <cellStyle name="Cálculo 2 3 2 37 2" xfId="18080"/>
    <cellStyle name="Cálculo 2 3 2 37 2 2" xfId="18081"/>
    <cellStyle name="Cálculo 2 3 2 37 3" xfId="18082"/>
    <cellStyle name="Cálculo 2 3 2 37 3 2" xfId="18083"/>
    <cellStyle name="Cálculo 2 3 2 37 4" xfId="18084"/>
    <cellStyle name="Cálculo 2 3 2 38" xfId="18085"/>
    <cellStyle name="Cálculo 2 3 2 38 2" xfId="18086"/>
    <cellStyle name="Cálculo 2 3 2 38 2 2" xfId="18087"/>
    <cellStyle name="Cálculo 2 3 2 38 3" xfId="18088"/>
    <cellStyle name="Cálculo 2 3 2 38 3 2" xfId="18089"/>
    <cellStyle name="Cálculo 2 3 2 38 4" xfId="18090"/>
    <cellStyle name="Cálculo 2 3 2 39" xfId="18091"/>
    <cellStyle name="Cálculo 2 3 2 39 2" xfId="18092"/>
    <cellStyle name="Cálculo 2 3 2 39 2 2" xfId="18093"/>
    <cellStyle name="Cálculo 2 3 2 39 3" xfId="18094"/>
    <cellStyle name="Cálculo 2 3 2 4" xfId="18095"/>
    <cellStyle name="Cálculo 2 3 2 4 2" xfId="18096"/>
    <cellStyle name="Cálculo 2 3 2 4 2 2" xfId="18097"/>
    <cellStyle name="Cálculo 2 3 2 4 3" xfId="18098"/>
    <cellStyle name="Cálculo 2 3 2 4 3 2" xfId="18099"/>
    <cellStyle name="Cálculo 2 3 2 4 4" xfId="18100"/>
    <cellStyle name="Cálculo 2 3 2 40" xfId="18101"/>
    <cellStyle name="Cálculo 2 3 2 40 2" xfId="18102"/>
    <cellStyle name="Cálculo 2 3 2 41" xfId="18103"/>
    <cellStyle name="Cálculo 2 3 2 41 2" xfId="18104"/>
    <cellStyle name="Cálculo 2 3 2 42" xfId="18105"/>
    <cellStyle name="Cálculo 2 3 2 42 2" xfId="18106"/>
    <cellStyle name="Cálculo 2 3 2 43" xfId="18107"/>
    <cellStyle name="Cálculo 2 3 2 5" xfId="18108"/>
    <cellStyle name="Cálculo 2 3 2 5 2" xfId="18109"/>
    <cellStyle name="Cálculo 2 3 2 5 2 2" xfId="18110"/>
    <cellStyle name="Cálculo 2 3 2 5 3" xfId="18111"/>
    <cellStyle name="Cálculo 2 3 2 5 3 2" xfId="18112"/>
    <cellStyle name="Cálculo 2 3 2 5 4" xfId="18113"/>
    <cellStyle name="Cálculo 2 3 2 6" xfId="18114"/>
    <cellStyle name="Cálculo 2 3 2 6 2" xfId="18115"/>
    <cellStyle name="Cálculo 2 3 2 6 2 2" xfId="18116"/>
    <cellStyle name="Cálculo 2 3 2 6 3" xfId="18117"/>
    <cellStyle name="Cálculo 2 3 2 6 3 2" xfId="18118"/>
    <cellStyle name="Cálculo 2 3 2 6 4" xfId="18119"/>
    <cellStyle name="Cálculo 2 3 2 7" xfId="18120"/>
    <cellStyle name="Cálculo 2 3 2 7 2" xfId="18121"/>
    <cellStyle name="Cálculo 2 3 2 7 2 2" xfId="18122"/>
    <cellStyle name="Cálculo 2 3 2 7 3" xfId="18123"/>
    <cellStyle name="Cálculo 2 3 2 7 3 2" xfId="18124"/>
    <cellStyle name="Cálculo 2 3 2 7 4" xfId="18125"/>
    <cellStyle name="Cálculo 2 3 2 8" xfId="18126"/>
    <cellStyle name="Cálculo 2 3 2 8 2" xfId="18127"/>
    <cellStyle name="Cálculo 2 3 2 8 2 2" xfId="18128"/>
    <cellStyle name="Cálculo 2 3 2 8 3" xfId="18129"/>
    <cellStyle name="Cálculo 2 3 2 8 3 2" xfId="18130"/>
    <cellStyle name="Cálculo 2 3 2 8 4" xfId="18131"/>
    <cellStyle name="Cálculo 2 3 2 9" xfId="18132"/>
    <cellStyle name="Cálculo 2 3 2 9 2" xfId="18133"/>
    <cellStyle name="Cálculo 2 3 2 9 2 2" xfId="18134"/>
    <cellStyle name="Cálculo 2 3 2 9 3" xfId="18135"/>
    <cellStyle name="Cálculo 2 3 2 9 3 2" xfId="18136"/>
    <cellStyle name="Cálculo 2 3 2 9 4" xfId="18137"/>
    <cellStyle name="Cálculo 2 3 20" xfId="18138"/>
    <cellStyle name="Cálculo 2 3 20 2" xfId="18139"/>
    <cellStyle name="Cálculo 2 3 20 2 2" xfId="18140"/>
    <cellStyle name="Cálculo 2 3 20 3" xfId="18141"/>
    <cellStyle name="Cálculo 2 3 20 3 2" xfId="18142"/>
    <cellStyle name="Cálculo 2 3 20 4" xfId="18143"/>
    <cellStyle name="Cálculo 2 3 21" xfId="18144"/>
    <cellStyle name="Cálculo 2 3 21 2" xfId="18145"/>
    <cellStyle name="Cálculo 2 3 21 2 2" xfId="18146"/>
    <cellStyle name="Cálculo 2 3 21 3" xfId="18147"/>
    <cellStyle name="Cálculo 2 3 21 3 2" xfId="18148"/>
    <cellStyle name="Cálculo 2 3 21 4" xfId="18149"/>
    <cellStyle name="Cálculo 2 3 22" xfId="18150"/>
    <cellStyle name="Cálculo 2 3 22 2" xfId="18151"/>
    <cellStyle name="Cálculo 2 3 22 2 2" xfId="18152"/>
    <cellStyle name="Cálculo 2 3 22 3" xfId="18153"/>
    <cellStyle name="Cálculo 2 3 22 3 2" xfId="18154"/>
    <cellStyle name="Cálculo 2 3 22 4" xfId="18155"/>
    <cellStyle name="Cálculo 2 3 23" xfId="18156"/>
    <cellStyle name="Cálculo 2 3 23 2" xfId="18157"/>
    <cellStyle name="Cálculo 2 3 23 2 2" xfId="18158"/>
    <cellStyle name="Cálculo 2 3 23 3" xfId="18159"/>
    <cellStyle name="Cálculo 2 3 23 3 2" xfId="18160"/>
    <cellStyle name="Cálculo 2 3 23 4" xfId="18161"/>
    <cellStyle name="Cálculo 2 3 24" xfId="18162"/>
    <cellStyle name="Cálculo 2 3 24 2" xfId="18163"/>
    <cellStyle name="Cálculo 2 3 24 2 2" xfId="18164"/>
    <cellStyle name="Cálculo 2 3 24 3" xfId="18165"/>
    <cellStyle name="Cálculo 2 3 24 3 2" xfId="18166"/>
    <cellStyle name="Cálculo 2 3 24 4" xfId="18167"/>
    <cellStyle name="Cálculo 2 3 25" xfId="18168"/>
    <cellStyle name="Cálculo 2 3 25 2" xfId="18169"/>
    <cellStyle name="Cálculo 2 3 25 2 2" xfId="18170"/>
    <cellStyle name="Cálculo 2 3 25 3" xfId="18171"/>
    <cellStyle name="Cálculo 2 3 25 3 2" xfId="18172"/>
    <cellStyle name="Cálculo 2 3 25 4" xfId="18173"/>
    <cellStyle name="Cálculo 2 3 26" xfId="18174"/>
    <cellStyle name="Cálculo 2 3 26 2" xfId="18175"/>
    <cellStyle name="Cálculo 2 3 26 2 2" xfId="18176"/>
    <cellStyle name="Cálculo 2 3 26 3" xfId="18177"/>
    <cellStyle name="Cálculo 2 3 26 3 2" xfId="18178"/>
    <cellStyle name="Cálculo 2 3 26 4" xfId="18179"/>
    <cellStyle name="Cálculo 2 3 27" xfId="18180"/>
    <cellStyle name="Cálculo 2 3 27 2" xfId="18181"/>
    <cellStyle name="Cálculo 2 3 27 2 2" xfId="18182"/>
    <cellStyle name="Cálculo 2 3 27 3" xfId="18183"/>
    <cellStyle name="Cálculo 2 3 27 3 2" xfId="18184"/>
    <cellStyle name="Cálculo 2 3 27 4" xfId="18185"/>
    <cellStyle name="Cálculo 2 3 28" xfId="18186"/>
    <cellStyle name="Cálculo 2 3 28 2" xfId="18187"/>
    <cellStyle name="Cálculo 2 3 28 2 2" xfId="18188"/>
    <cellStyle name="Cálculo 2 3 28 3" xfId="18189"/>
    <cellStyle name="Cálculo 2 3 28 3 2" xfId="18190"/>
    <cellStyle name="Cálculo 2 3 28 4" xfId="18191"/>
    <cellStyle name="Cálculo 2 3 29" xfId="18192"/>
    <cellStyle name="Cálculo 2 3 29 2" xfId="18193"/>
    <cellStyle name="Cálculo 2 3 29 2 2" xfId="18194"/>
    <cellStyle name="Cálculo 2 3 29 3" xfId="18195"/>
    <cellStyle name="Cálculo 2 3 29 3 2" xfId="18196"/>
    <cellStyle name="Cálculo 2 3 29 4" xfId="18197"/>
    <cellStyle name="Cálculo 2 3 3" xfId="18198"/>
    <cellStyle name="Cálculo 2 3 3 10" xfId="18199"/>
    <cellStyle name="Cálculo 2 3 3 10 2" xfId="18200"/>
    <cellStyle name="Cálculo 2 3 3 10 2 2" xfId="18201"/>
    <cellStyle name="Cálculo 2 3 3 10 3" xfId="18202"/>
    <cellStyle name="Cálculo 2 3 3 10 3 2" xfId="18203"/>
    <cellStyle name="Cálculo 2 3 3 10 4" xfId="18204"/>
    <cellStyle name="Cálculo 2 3 3 11" xfId="18205"/>
    <cellStyle name="Cálculo 2 3 3 11 2" xfId="18206"/>
    <cellStyle name="Cálculo 2 3 3 11 2 2" xfId="18207"/>
    <cellStyle name="Cálculo 2 3 3 11 3" xfId="18208"/>
    <cellStyle name="Cálculo 2 3 3 11 3 2" xfId="18209"/>
    <cellStyle name="Cálculo 2 3 3 11 4" xfId="18210"/>
    <cellStyle name="Cálculo 2 3 3 12" xfId="18211"/>
    <cellStyle name="Cálculo 2 3 3 12 2" xfId="18212"/>
    <cellStyle name="Cálculo 2 3 3 12 2 2" xfId="18213"/>
    <cellStyle name="Cálculo 2 3 3 12 3" xfId="18214"/>
    <cellStyle name="Cálculo 2 3 3 12 3 2" xfId="18215"/>
    <cellStyle name="Cálculo 2 3 3 12 4" xfId="18216"/>
    <cellStyle name="Cálculo 2 3 3 13" xfId="18217"/>
    <cellStyle name="Cálculo 2 3 3 13 2" xfId="18218"/>
    <cellStyle name="Cálculo 2 3 3 13 2 2" xfId="18219"/>
    <cellStyle name="Cálculo 2 3 3 13 3" xfId="18220"/>
    <cellStyle name="Cálculo 2 3 3 13 3 2" xfId="18221"/>
    <cellStyle name="Cálculo 2 3 3 13 4" xfId="18222"/>
    <cellStyle name="Cálculo 2 3 3 14" xfId="18223"/>
    <cellStyle name="Cálculo 2 3 3 14 2" xfId="18224"/>
    <cellStyle name="Cálculo 2 3 3 14 2 2" xfId="18225"/>
    <cellStyle name="Cálculo 2 3 3 14 3" xfId="18226"/>
    <cellStyle name="Cálculo 2 3 3 14 3 2" xfId="18227"/>
    <cellStyle name="Cálculo 2 3 3 14 4" xfId="18228"/>
    <cellStyle name="Cálculo 2 3 3 15" xfId="18229"/>
    <cellStyle name="Cálculo 2 3 3 15 2" xfId="18230"/>
    <cellStyle name="Cálculo 2 3 3 15 2 2" xfId="18231"/>
    <cellStyle name="Cálculo 2 3 3 15 3" xfId="18232"/>
    <cellStyle name="Cálculo 2 3 3 15 3 2" xfId="18233"/>
    <cellStyle name="Cálculo 2 3 3 15 4" xfId="18234"/>
    <cellStyle name="Cálculo 2 3 3 16" xfId="18235"/>
    <cellStyle name="Cálculo 2 3 3 16 2" xfId="18236"/>
    <cellStyle name="Cálculo 2 3 3 16 2 2" xfId="18237"/>
    <cellStyle name="Cálculo 2 3 3 16 3" xfId="18238"/>
    <cellStyle name="Cálculo 2 3 3 16 3 2" xfId="18239"/>
    <cellStyle name="Cálculo 2 3 3 16 4" xfId="18240"/>
    <cellStyle name="Cálculo 2 3 3 17" xfId="18241"/>
    <cellStyle name="Cálculo 2 3 3 17 2" xfId="18242"/>
    <cellStyle name="Cálculo 2 3 3 17 2 2" xfId="18243"/>
    <cellStyle name="Cálculo 2 3 3 17 3" xfId="18244"/>
    <cellStyle name="Cálculo 2 3 3 17 3 2" xfId="18245"/>
    <cellStyle name="Cálculo 2 3 3 17 4" xfId="18246"/>
    <cellStyle name="Cálculo 2 3 3 18" xfId="18247"/>
    <cellStyle name="Cálculo 2 3 3 18 2" xfId="18248"/>
    <cellStyle name="Cálculo 2 3 3 18 2 2" xfId="18249"/>
    <cellStyle name="Cálculo 2 3 3 18 3" xfId="18250"/>
    <cellStyle name="Cálculo 2 3 3 18 3 2" xfId="18251"/>
    <cellStyle name="Cálculo 2 3 3 18 4" xfId="18252"/>
    <cellStyle name="Cálculo 2 3 3 19" xfId="18253"/>
    <cellStyle name="Cálculo 2 3 3 19 2" xfId="18254"/>
    <cellStyle name="Cálculo 2 3 3 19 2 2" xfId="18255"/>
    <cellStyle name="Cálculo 2 3 3 19 3" xfId="18256"/>
    <cellStyle name="Cálculo 2 3 3 19 3 2" xfId="18257"/>
    <cellStyle name="Cálculo 2 3 3 19 4" xfId="18258"/>
    <cellStyle name="Cálculo 2 3 3 2" xfId="18259"/>
    <cellStyle name="Cálculo 2 3 3 2 2" xfId="18260"/>
    <cellStyle name="Cálculo 2 3 3 2 2 2" xfId="18261"/>
    <cellStyle name="Cálculo 2 3 3 2 3" xfId="18262"/>
    <cellStyle name="Cálculo 2 3 3 2 3 2" xfId="18263"/>
    <cellStyle name="Cálculo 2 3 3 2 4" xfId="18264"/>
    <cellStyle name="Cálculo 2 3 3 20" xfId="18265"/>
    <cellStyle name="Cálculo 2 3 3 20 2" xfId="18266"/>
    <cellStyle name="Cálculo 2 3 3 20 2 2" xfId="18267"/>
    <cellStyle name="Cálculo 2 3 3 20 3" xfId="18268"/>
    <cellStyle name="Cálculo 2 3 3 20 3 2" xfId="18269"/>
    <cellStyle name="Cálculo 2 3 3 20 4" xfId="18270"/>
    <cellStyle name="Cálculo 2 3 3 21" xfId="18271"/>
    <cellStyle name="Cálculo 2 3 3 21 2" xfId="18272"/>
    <cellStyle name="Cálculo 2 3 3 21 2 2" xfId="18273"/>
    <cellStyle name="Cálculo 2 3 3 21 3" xfId="18274"/>
    <cellStyle name="Cálculo 2 3 3 21 3 2" xfId="18275"/>
    <cellStyle name="Cálculo 2 3 3 21 4" xfId="18276"/>
    <cellStyle name="Cálculo 2 3 3 22" xfId="18277"/>
    <cellStyle name="Cálculo 2 3 3 22 2" xfId="18278"/>
    <cellStyle name="Cálculo 2 3 3 22 2 2" xfId="18279"/>
    <cellStyle name="Cálculo 2 3 3 22 3" xfId="18280"/>
    <cellStyle name="Cálculo 2 3 3 22 3 2" xfId="18281"/>
    <cellStyle name="Cálculo 2 3 3 22 4" xfId="18282"/>
    <cellStyle name="Cálculo 2 3 3 23" xfId="18283"/>
    <cellStyle name="Cálculo 2 3 3 23 2" xfId="18284"/>
    <cellStyle name="Cálculo 2 3 3 23 2 2" xfId="18285"/>
    <cellStyle name="Cálculo 2 3 3 23 3" xfId="18286"/>
    <cellStyle name="Cálculo 2 3 3 23 3 2" xfId="18287"/>
    <cellStyle name="Cálculo 2 3 3 23 4" xfId="18288"/>
    <cellStyle name="Cálculo 2 3 3 24" xfId="18289"/>
    <cellStyle name="Cálculo 2 3 3 24 2" xfId="18290"/>
    <cellStyle name="Cálculo 2 3 3 24 2 2" xfId="18291"/>
    <cellStyle name="Cálculo 2 3 3 24 3" xfId="18292"/>
    <cellStyle name="Cálculo 2 3 3 24 3 2" xfId="18293"/>
    <cellStyle name="Cálculo 2 3 3 24 4" xfId="18294"/>
    <cellStyle name="Cálculo 2 3 3 25" xfId="18295"/>
    <cellStyle name="Cálculo 2 3 3 25 2" xfId="18296"/>
    <cellStyle name="Cálculo 2 3 3 25 2 2" xfId="18297"/>
    <cellStyle name="Cálculo 2 3 3 25 3" xfId="18298"/>
    <cellStyle name="Cálculo 2 3 3 25 3 2" xfId="18299"/>
    <cellStyle name="Cálculo 2 3 3 25 4" xfId="18300"/>
    <cellStyle name="Cálculo 2 3 3 26" xfId="18301"/>
    <cellStyle name="Cálculo 2 3 3 26 2" xfId="18302"/>
    <cellStyle name="Cálculo 2 3 3 26 2 2" xfId="18303"/>
    <cellStyle name="Cálculo 2 3 3 26 3" xfId="18304"/>
    <cellStyle name="Cálculo 2 3 3 26 3 2" xfId="18305"/>
    <cellStyle name="Cálculo 2 3 3 26 4" xfId="18306"/>
    <cellStyle name="Cálculo 2 3 3 27" xfId="18307"/>
    <cellStyle name="Cálculo 2 3 3 27 2" xfId="18308"/>
    <cellStyle name="Cálculo 2 3 3 27 2 2" xfId="18309"/>
    <cellStyle name="Cálculo 2 3 3 27 3" xfId="18310"/>
    <cellStyle name="Cálculo 2 3 3 27 3 2" xfId="18311"/>
    <cellStyle name="Cálculo 2 3 3 27 4" xfId="18312"/>
    <cellStyle name="Cálculo 2 3 3 28" xfId="18313"/>
    <cellStyle name="Cálculo 2 3 3 28 2" xfId="18314"/>
    <cellStyle name="Cálculo 2 3 3 28 2 2" xfId="18315"/>
    <cellStyle name="Cálculo 2 3 3 28 3" xfId="18316"/>
    <cellStyle name="Cálculo 2 3 3 28 3 2" xfId="18317"/>
    <cellStyle name="Cálculo 2 3 3 28 4" xfId="18318"/>
    <cellStyle name="Cálculo 2 3 3 29" xfId="18319"/>
    <cellStyle name="Cálculo 2 3 3 29 2" xfId="18320"/>
    <cellStyle name="Cálculo 2 3 3 29 2 2" xfId="18321"/>
    <cellStyle name="Cálculo 2 3 3 29 3" xfId="18322"/>
    <cellStyle name="Cálculo 2 3 3 29 3 2" xfId="18323"/>
    <cellStyle name="Cálculo 2 3 3 29 4" xfId="18324"/>
    <cellStyle name="Cálculo 2 3 3 3" xfId="18325"/>
    <cellStyle name="Cálculo 2 3 3 3 2" xfId="18326"/>
    <cellStyle name="Cálculo 2 3 3 3 2 2" xfId="18327"/>
    <cellStyle name="Cálculo 2 3 3 3 3" xfId="18328"/>
    <cellStyle name="Cálculo 2 3 3 3 3 2" xfId="18329"/>
    <cellStyle name="Cálculo 2 3 3 3 4" xfId="18330"/>
    <cellStyle name="Cálculo 2 3 3 30" xfId="18331"/>
    <cellStyle name="Cálculo 2 3 3 30 2" xfId="18332"/>
    <cellStyle name="Cálculo 2 3 3 30 2 2" xfId="18333"/>
    <cellStyle name="Cálculo 2 3 3 30 3" xfId="18334"/>
    <cellStyle name="Cálculo 2 3 3 30 3 2" xfId="18335"/>
    <cellStyle name="Cálculo 2 3 3 30 4" xfId="18336"/>
    <cellStyle name="Cálculo 2 3 3 31" xfId="18337"/>
    <cellStyle name="Cálculo 2 3 3 31 2" xfId="18338"/>
    <cellStyle name="Cálculo 2 3 3 31 2 2" xfId="18339"/>
    <cellStyle name="Cálculo 2 3 3 31 3" xfId="18340"/>
    <cellStyle name="Cálculo 2 3 3 31 3 2" xfId="18341"/>
    <cellStyle name="Cálculo 2 3 3 31 4" xfId="18342"/>
    <cellStyle name="Cálculo 2 3 3 32" xfId="18343"/>
    <cellStyle name="Cálculo 2 3 3 32 2" xfId="18344"/>
    <cellStyle name="Cálculo 2 3 3 32 2 2" xfId="18345"/>
    <cellStyle name="Cálculo 2 3 3 32 3" xfId="18346"/>
    <cellStyle name="Cálculo 2 3 3 32 3 2" xfId="18347"/>
    <cellStyle name="Cálculo 2 3 3 32 4" xfId="18348"/>
    <cellStyle name="Cálculo 2 3 3 33" xfId="18349"/>
    <cellStyle name="Cálculo 2 3 3 33 2" xfId="18350"/>
    <cellStyle name="Cálculo 2 3 3 33 2 2" xfId="18351"/>
    <cellStyle name="Cálculo 2 3 3 33 3" xfId="18352"/>
    <cellStyle name="Cálculo 2 3 3 33 3 2" xfId="18353"/>
    <cellStyle name="Cálculo 2 3 3 33 4" xfId="18354"/>
    <cellStyle name="Cálculo 2 3 3 34" xfId="18355"/>
    <cellStyle name="Cálculo 2 3 3 34 2" xfId="18356"/>
    <cellStyle name="Cálculo 2 3 3 34 2 2" xfId="18357"/>
    <cellStyle name="Cálculo 2 3 3 34 3" xfId="18358"/>
    <cellStyle name="Cálculo 2 3 3 34 3 2" xfId="18359"/>
    <cellStyle name="Cálculo 2 3 3 34 4" xfId="18360"/>
    <cellStyle name="Cálculo 2 3 3 35" xfId="18361"/>
    <cellStyle name="Cálculo 2 3 3 35 2" xfId="18362"/>
    <cellStyle name="Cálculo 2 3 3 35 2 2" xfId="18363"/>
    <cellStyle name="Cálculo 2 3 3 35 3" xfId="18364"/>
    <cellStyle name="Cálculo 2 3 3 35 3 2" xfId="18365"/>
    <cellStyle name="Cálculo 2 3 3 35 4" xfId="18366"/>
    <cellStyle name="Cálculo 2 3 3 36" xfId="18367"/>
    <cellStyle name="Cálculo 2 3 3 36 2" xfId="18368"/>
    <cellStyle name="Cálculo 2 3 3 36 2 2" xfId="18369"/>
    <cellStyle name="Cálculo 2 3 3 36 3" xfId="18370"/>
    <cellStyle name="Cálculo 2 3 3 36 3 2" xfId="18371"/>
    <cellStyle name="Cálculo 2 3 3 36 4" xfId="18372"/>
    <cellStyle name="Cálculo 2 3 3 37" xfId="18373"/>
    <cellStyle name="Cálculo 2 3 3 37 2" xfId="18374"/>
    <cellStyle name="Cálculo 2 3 3 37 2 2" xfId="18375"/>
    <cellStyle name="Cálculo 2 3 3 37 3" xfId="18376"/>
    <cellStyle name="Cálculo 2 3 3 37 3 2" xfId="18377"/>
    <cellStyle name="Cálculo 2 3 3 37 4" xfId="18378"/>
    <cellStyle name="Cálculo 2 3 3 38" xfId="18379"/>
    <cellStyle name="Cálculo 2 3 3 38 2" xfId="18380"/>
    <cellStyle name="Cálculo 2 3 3 38 2 2" xfId="18381"/>
    <cellStyle name="Cálculo 2 3 3 38 3" xfId="18382"/>
    <cellStyle name="Cálculo 2 3 3 38 3 2" xfId="18383"/>
    <cellStyle name="Cálculo 2 3 3 38 4" xfId="18384"/>
    <cellStyle name="Cálculo 2 3 3 39" xfId="18385"/>
    <cellStyle name="Cálculo 2 3 3 39 2" xfId="18386"/>
    <cellStyle name="Cálculo 2 3 3 39 2 2" xfId="18387"/>
    <cellStyle name="Cálculo 2 3 3 39 3" xfId="18388"/>
    <cellStyle name="Cálculo 2 3 3 39 3 2" xfId="18389"/>
    <cellStyle name="Cálculo 2 3 3 39 4" xfId="18390"/>
    <cellStyle name="Cálculo 2 3 3 4" xfId="18391"/>
    <cellStyle name="Cálculo 2 3 3 4 2" xfId="18392"/>
    <cellStyle name="Cálculo 2 3 3 4 2 2" xfId="18393"/>
    <cellStyle name="Cálculo 2 3 3 4 3" xfId="18394"/>
    <cellStyle name="Cálculo 2 3 3 4 3 2" xfId="18395"/>
    <cellStyle name="Cálculo 2 3 3 4 4" xfId="18396"/>
    <cellStyle name="Cálculo 2 3 3 40" xfId="18397"/>
    <cellStyle name="Cálculo 2 3 3 40 2" xfId="18398"/>
    <cellStyle name="Cálculo 2 3 3 40 2 2" xfId="18399"/>
    <cellStyle name="Cálculo 2 3 3 40 3" xfId="18400"/>
    <cellStyle name="Cálculo 2 3 3 41" xfId="18401"/>
    <cellStyle name="Cálculo 2 3 3 41 2" xfId="18402"/>
    <cellStyle name="Cálculo 2 3 3 42" xfId="18403"/>
    <cellStyle name="Cálculo 2 3 3 42 2" xfId="18404"/>
    <cellStyle name="Cálculo 2 3 3 43" xfId="18405"/>
    <cellStyle name="Cálculo 2 3 3 5" xfId="18406"/>
    <cellStyle name="Cálculo 2 3 3 5 2" xfId="18407"/>
    <cellStyle name="Cálculo 2 3 3 5 2 2" xfId="18408"/>
    <cellStyle name="Cálculo 2 3 3 5 3" xfId="18409"/>
    <cellStyle name="Cálculo 2 3 3 5 3 2" xfId="18410"/>
    <cellStyle name="Cálculo 2 3 3 5 4" xfId="18411"/>
    <cellStyle name="Cálculo 2 3 3 6" xfId="18412"/>
    <cellStyle name="Cálculo 2 3 3 6 2" xfId="18413"/>
    <cellStyle name="Cálculo 2 3 3 6 2 2" xfId="18414"/>
    <cellStyle name="Cálculo 2 3 3 6 3" xfId="18415"/>
    <cellStyle name="Cálculo 2 3 3 6 3 2" xfId="18416"/>
    <cellStyle name="Cálculo 2 3 3 6 4" xfId="18417"/>
    <cellStyle name="Cálculo 2 3 3 7" xfId="18418"/>
    <cellStyle name="Cálculo 2 3 3 7 2" xfId="18419"/>
    <cellStyle name="Cálculo 2 3 3 7 2 2" xfId="18420"/>
    <cellStyle name="Cálculo 2 3 3 7 3" xfId="18421"/>
    <cellStyle name="Cálculo 2 3 3 7 3 2" xfId="18422"/>
    <cellStyle name="Cálculo 2 3 3 7 4" xfId="18423"/>
    <cellStyle name="Cálculo 2 3 3 8" xfId="18424"/>
    <cellStyle name="Cálculo 2 3 3 8 2" xfId="18425"/>
    <cellStyle name="Cálculo 2 3 3 8 2 2" xfId="18426"/>
    <cellStyle name="Cálculo 2 3 3 8 3" xfId="18427"/>
    <cellStyle name="Cálculo 2 3 3 8 3 2" xfId="18428"/>
    <cellStyle name="Cálculo 2 3 3 8 4" xfId="18429"/>
    <cellStyle name="Cálculo 2 3 3 9" xfId="18430"/>
    <cellStyle name="Cálculo 2 3 3 9 2" xfId="18431"/>
    <cellStyle name="Cálculo 2 3 3 9 2 2" xfId="18432"/>
    <cellStyle name="Cálculo 2 3 3 9 3" xfId="18433"/>
    <cellStyle name="Cálculo 2 3 3 9 3 2" xfId="18434"/>
    <cellStyle name="Cálculo 2 3 3 9 4" xfId="18435"/>
    <cellStyle name="Cálculo 2 3 30" xfId="18436"/>
    <cellStyle name="Cálculo 2 3 30 2" xfId="18437"/>
    <cellStyle name="Cálculo 2 3 30 2 2" xfId="18438"/>
    <cellStyle name="Cálculo 2 3 30 3" xfId="18439"/>
    <cellStyle name="Cálculo 2 3 30 3 2" xfId="18440"/>
    <cellStyle name="Cálculo 2 3 30 4" xfId="18441"/>
    <cellStyle name="Cálculo 2 3 31" xfId="18442"/>
    <cellStyle name="Cálculo 2 3 31 2" xfId="18443"/>
    <cellStyle name="Cálculo 2 3 31 2 2" xfId="18444"/>
    <cellStyle name="Cálculo 2 3 31 3" xfId="18445"/>
    <cellStyle name="Cálculo 2 3 31 3 2" xfId="18446"/>
    <cellStyle name="Cálculo 2 3 31 4" xfId="18447"/>
    <cellStyle name="Cálculo 2 3 32" xfId="18448"/>
    <cellStyle name="Cálculo 2 3 32 2" xfId="18449"/>
    <cellStyle name="Cálculo 2 3 32 2 2" xfId="18450"/>
    <cellStyle name="Cálculo 2 3 32 3" xfId="18451"/>
    <cellStyle name="Cálculo 2 3 32 3 2" xfId="18452"/>
    <cellStyle name="Cálculo 2 3 32 4" xfId="18453"/>
    <cellStyle name="Cálculo 2 3 33" xfId="18454"/>
    <cellStyle name="Cálculo 2 3 33 2" xfId="18455"/>
    <cellStyle name="Cálculo 2 3 33 2 2" xfId="18456"/>
    <cellStyle name="Cálculo 2 3 33 3" xfId="18457"/>
    <cellStyle name="Cálculo 2 3 34" xfId="18458"/>
    <cellStyle name="Cálculo 2 3 34 2" xfId="18459"/>
    <cellStyle name="Cálculo 2 3 35" xfId="18460"/>
    <cellStyle name="Cálculo 2 3 4" xfId="18461"/>
    <cellStyle name="Cálculo 2 3 4 10" xfId="18462"/>
    <cellStyle name="Cálculo 2 3 4 10 2" xfId="18463"/>
    <cellStyle name="Cálculo 2 3 4 10 2 2" xfId="18464"/>
    <cellStyle name="Cálculo 2 3 4 10 3" xfId="18465"/>
    <cellStyle name="Cálculo 2 3 4 10 3 2" xfId="18466"/>
    <cellStyle name="Cálculo 2 3 4 10 4" xfId="18467"/>
    <cellStyle name="Cálculo 2 3 4 11" xfId="18468"/>
    <cellStyle name="Cálculo 2 3 4 11 2" xfId="18469"/>
    <cellStyle name="Cálculo 2 3 4 11 2 2" xfId="18470"/>
    <cellStyle name="Cálculo 2 3 4 11 3" xfId="18471"/>
    <cellStyle name="Cálculo 2 3 4 11 3 2" xfId="18472"/>
    <cellStyle name="Cálculo 2 3 4 11 4" xfId="18473"/>
    <cellStyle name="Cálculo 2 3 4 12" xfId="18474"/>
    <cellStyle name="Cálculo 2 3 4 12 2" xfId="18475"/>
    <cellStyle name="Cálculo 2 3 4 12 2 2" xfId="18476"/>
    <cellStyle name="Cálculo 2 3 4 12 3" xfId="18477"/>
    <cellStyle name="Cálculo 2 3 4 12 3 2" xfId="18478"/>
    <cellStyle name="Cálculo 2 3 4 12 4" xfId="18479"/>
    <cellStyle name="Cálculo 2 3 4 13" xfId="18480"/>
    <cellStyle name="Cálculo 2 3 4 13 2" xfId="18481"/>
    <cellStyle name="Cálculo 2 3 4 13 2 2" xfId="18482"/>
    <cellStyle name="Cálculo 2 3 4 13 3" xfId="18483"/>
    <cellStyle name="Cálculo 2 3 4 13 3 2" xfId="18484"/>
    <cellStyle name="Cálculo 2 3 4 13 4" xfId="18485"/>
    <cellStyle name="Cálculo 2 3 4 14" xfId="18486"/>
    <cellStyle name="Cálculo 2 3 4 14 2" xfId="18487"/>
    <cellStyle name="Cálculo 2 3 4 14 2 2" xfId="18488"/>
    <cellStyle name="Cálculo 2 3 4 14 3" xfId="18489"/>
    <cellStyle name="Cálculo 2 3 4 14 3 2" xfId="18490"/>
    <cellStyle name="Cálculo 2 3 4 14 4" xfId="18491"/>
    <cellStyle name="Cálculo 2 3 4 15" xfId="18492"/>
    <cellStyle name="Cálculo 2 3 4 15 2" xfId="18493"/>
    <cellStyle name="Cálculo 2 3 4 15 2 2" xfId="18494"/>
    <cellStyle name="Cálculo 2 3 4 15 3" xfId="18495"/>
    <cellStyle name="Cálculo 2 3 4 15 3 2" xfId="18496"/>
    <cellStyle name="Cálculo 2 3 4 15 4" xfId="18497"/>
    <cellStyle name="Cálculo 2 3 4 16" xfId="18498"/>
    <cellStyle name="Cálculo 2 3 4 16 2" xfId="18499"/>
    <cellStyle name="Cálculo 2 3 4 16 2 2" xfId="18500"/>
    <cellStyle name="Cálculo 2 3 4 16 3" xfId="18501"/>
    <cellStyle name="Cálculo 2 3 4 16 3 2" xfId="18502"/>
    <cellStyle name="Cálculo 2 3 4 16 4" xfId="18503"/>
    <cellStyle name="Cálculo 2 3 4 17" xfId="18504"/>
    <cellStyle name="Cálculo 2 3 4 17 2" xfId="18505"/>
    <cellStyle name="Cálculo 2 3 4 17 2 2" xfId="18506"/>
    <cellStyle name="Cálculo 2 3 4 17 3" xfId="18507"/>
    <cellStyle name="Cálculo 2 3 4 17 3 2" xfId="18508"/>
    <cellStyle name="Cálculo 2 3 4 17 4" xfId="18509"/>
    <cellStyle name="Cálculo 2 3 4 18" xfId="18510"/>
    <cellStyle name="Cálculo 2 3 4 18 2" xfId="18511"/>
    <cellStyle name="Cálculo 2 3 4 18 2 2" xfId="18512"/>
    <cellStyle name="Cálculo 2 3 4 18 3" xfId="18513"/>
    <cellStyle name="Cálculo 2 3 4 18 3 2" xfId="18514"/>
    <cellStyle name="Cálculo 2 3 4 18 4" xfId="18515"/>
    <cellStyle name="Cálculo 2 3 4 19" xfId="18516"/>
    <cellStyle name="Cálculo 2 3 4 19 2" xfId="18517"/>
    <cellStyle name="Cálculo 2 3 4 19 2 2" xfId="18518"/>
    <cellStyle name="Cálculo 2 3 4 19 3" xfId="18519"/>
    <cellStyle name="Cálculo 2 3 4 19 3 2" xfId="18520"/>
    <cellStyle name="Cálculo 2 3 4 19 4" xfId="18521"/>
    <cellStyle name="Cálculo 2 3 4 2" xfId="18522"/>
    <cellStyle name="Cálculo 2 3 4 2 2" xfId="18523"/>
    <cellStyle name="Cálculo 2 3 4 2 2 2" xfId="18524"/>
    <cellStyle name="Cálculo 2 3 4 2 3" xfId="18525"/>
    <cellStyle name="Cálculo 2 3 4 2 3 2" xfId="18526"/>
    <cellStyle name="Cálculo 2 3 4 2 4" xfId="18527"/>
    <cellStyle name="Cálculo 2 3 4 20" xfId="18528"/>
    <cellStyle name="Cálculo 2 3 4 20 2" xfId="18529"/>
    <cellStyle name="Cálculo 2 3 4 20 2 2" xfId="18530"/>
    <cellStyle name="Cálculo 2 3 4 20 3" xfId="18531"/>
    <cellStyle name="Cálculo 2 3 4 20 3 2" xfId="18532"/>
    <cellStyle name="Cálculo 2 3 4 20 4" xfId="18533"/>
    <cellStyle name="Cálculo 2 3 4 21" xfId="18534"/>
    <cellStyle name="Cálculo 2 3 4 21 2" xfId="18535"/>
    <cellStyle name="Cálculo 2 3 4 21 2 2" xfId="18536"/>
    <cellStyle name="Cálculo 2 3 4 21 3" xfId="18537"/>
    <cellStyle name="Cálculo 2 3 4 21 3 2" xfId="18538"/>
    <cellStyle name="Cálculo 2 3 4 21 4" xfId="18539"/>
    <cellStyle name="Cálculo 2 3 4 22" xfId="18540"/>
    <cellStyle name="Cálculo 2 3 4 22 2" xfId="18541"/>
    <cellStyle name="Cálculo 2 3 4 22 2 2" xfId="18542"/>
    <cellStyle name="Cálculo 2 3 4 22 3" xfId="18543"/>
    <cellStyle name="Cálculo 2 3 4 22 3 2" xfId="18544"/>
    <cellStyle name="Cálculo 2 3 4 22 4" xfId="18545"/>
    <cellStyle name="Cálculo 2 3 4 23" xfId="18546"/>
    <cellStyle name="Cálculo 2 3 4 23 2" xfId="18547"/>
    <cellStyle name="Cálculo 2 3 4 23 2 2" xfId="18548"/>
    <cellStyle name="Cálculo 2 3 4 23 3" xfId="18549"/>
    <cellStyle name="Cálculo 2 3 4 23 3 2" xfId="18550"/>
    <cellStyle name="Cálculo 2 3 4 23 4" xfId="18551"/>
    <cellStyle name="Cálculo 2 3 4 24" xfId="18552"/>
    <cellStyle name="Cálculo 2 3 4 24 2" xfId="18553"/>
    <cellStyle name="Cálculo 2 3 4 24 2 2" xfId="18554"/>
    <cellStyle name="Cálculo 2 3 4 24 3" xfId="18555"/>
    <cellStyle name="Cálculo 2 3 4 24 3 2" xfId="18556"/>
    <cellStyle name="Cálculo 2 3 4 24 4" xfId="18557"/>
    <cellStyle name="Cálculo 2 3 4 25" xfId="18558"/>
    <cellStyle name="Cálculo 2 3 4 25 2" xfId="18559"/>
    <cellStyle name="Cálculo 2 3 4 25 2 2" xfId="18560"/>
    <cellStyle name="Cálculo 2 3 4 25 3" xfId="18561"/>
    <cellStyle name="Cálculo 2 3 4 25 3 2" xfId="18562"/>
    <cellStyle name="Cálculo 2 3 4 25 4" xfId="18563"/>
    <cellStyle name="Cálculo 2 3 4 26" xfId="18564"/>
    <cellStyle name="Cálculo 2 3 4 26 2" xfId="18565"/>
    <cellStyle name="Cálculo 2 3 4 26 2 2" xfId="18566"/>
    <cellStyle name="Cálculo 2 3 4 26 3" xfId="18567"/>
    <cellStyle name="Cálculo 2 3 4 26 3 2" xfId="18568"/>
    <cellStyle name="Cálculo 2 3 4 26 4" xfId="18569"/>
    <cellStyle name="Cálculo 2 3 4 27" xfId="18570"/>
    <cellStyle name="Cálculo 2 3 4 27 2" xfId="18571"/>
    <cellStyle name="Cálculo 2 3 4 27 2 2" xfId="18572"/>
    <cellStyle name="Cálculo 2 3 4 27 3" xfId="18573"/>
    <cellStyle name="Cálculo 2 3 4 27 3 2" xfId="18574"/>
    <cellStyle name="Cálculo 2 3 4 27 4" xfId="18575"/>
    <cellStyle name="Cálculo 2 3 4 28" xfId="18576"/>
    <cellStyle name="Cálculo 2 3 4 28 2" xfId="18577"/>
    <cellStyle name="Cálculo 2 3 4 28 2 2" xfId="18578"/>
    <cellStyle name="Cálculo 2 3 4 28 3" xfId="18579"/>
    <cellStyle name="Cálculo 2 3 4 28 3 2" xfId="18580"/>
    <cellStyle name="Cálculo 2 3 4 28 4" xfId="18581"/>
    <cellStyle name="Cálculo 2 3 4 29" xfId="18582"/>
    <cellStyle name="Cálculo 2 3 4 29 2" xfId="18583"/>
    <cellStyle name="Cálculo 2 3 4 29 2 2" xfId="18584"/>
    <cellStyle name="Cálculo 2 3 4 29 3" xfId="18585"/>
    <cellStyle name="Cálculo 2 3 4 29 3 2" xfId="18586"/>
    <cellStyle name="Cálculo 2 3 4 29 4" xfId="18587"/>
    <cellStyle name="Cálculo 2 3 4 3" xfId="18588"/>
    <cellStyle name="Cálculo 2 3 4 3 2" xfId="18589"/>
    <cellStyle name="Cálculo 2 3 4 3 2 2" xfId="18590"/>
    <cellStyle name="Cálculo 2 3 4 3 3" xfId="18591"/>
    <cellStyle name="Cálculo 2 3 4 3 3 2" xfId="18592"/>
    <cellStyle name="Cálculo 2 3 4 3 4" xfId="18593"/>
    <cellStyle name="Cálculo 2 3 4 30" xfId="18594"/>
    <cellStyle name="Cálculo 2 3 4 30 2" xfId="18595"/>
    <cellStyle name="Cálculo 2 3 4 30 2 2" xfId="18596"/>
    <cellStyle name="Cálculo 2 3 4 30 3" xfId="18597"/>
    <cellStyle name="Cálculo 2 3 4 30 3 2" xfId="18598"/>
    <cellStyle name="Cálculo 2 3 4 30 4" xfId="18599"/>
    <cellStyle name="Cálculo 2 3 4 31" xfId="18600"/>
    <cellStyle name="Cálculo 2 3 4 31 2" xfId="18601"/>
    <cellStyle name="Cálculo 2 3 4 31 2 2" xfId="18602"/>
    <cellStyle name="Cálculo 2 3 4 31 3" xfId="18603"/>
    <cellStyle name="Cálculo 2 3 4 31 3 2" xfId="18604"/>
    <cellStyle name="Cálculo 2 3 4 31 4" xfId="18605"/>
    <cellStyle name="Cálculo 2 3 4 32" xfId="18606"/>
    <cellStyle name="Cálculo 2 3 4 32 2" xfId="18607"/>
    <cellStyle name="Cálculo 2 3 4 32 2 2" xfId="18608"/>
    <cellStyle name="Cálculo 2 3 4 32 3" xfId="18609"/>
    <cellStyle name="Cálculo 2 3 4 32 3 2" xfId="18610"/>
    <cellStyle name="Cálculo 2 3 4 32 4" xfId="18611"/>
    <cellStyle name="Cálculo 2 3 4 33" xfId="18612"/>
    <cellStyle name="Cálculo 2 3 4 33 2" xfId="18613"/>
    <cellStyle name="Cálculo 2 3 4 33 2 2" xfId="18614"/>
    <cellStyle name="Cálculo 2 3 4 33 3" xfId="18615"/>
    <cellStyle name="Cálculo 2 3 4 33 3 2" xfId="18616"/>
    <cellStyle name="Cálculo 2 3 4 33 4" xfId="18617"/>
    <cellStyle name="Cálculo 2 3 4 34" xfId="18618"/>
    <cellStyle name="Cálculo 2 3 4 34 2" xfId="18619"/>
    <cellStyle name="Cálculo 2 3 4 34 2 2" xfId="18620"/>
    <cellStyle name="Cálculo 2 3 4 34 3" xfId="18621"/>
    <cellStyle name="Cálculo 2 3 4 34 3 2" xfId="18622"/>
    <cellStyle name="Cálculo 2 3 4 34 4" xfId="18623"/>
    <cellStyle name="Cálculo 2 3 4 35" xfId="18624"/>
    <cellStyle name="Cálculo 2 3 4 35 2" xfId="18625"/>
    <cellStyle name="Cálculo 2 3 4 35 2 2" xfId="18626"/>
    <cellStyle name="Cálculo 2 3 4 35 3" xfId="18627"/>
    <cellStyle name="Cálculo 2 3 4 35 3 2" xfId="18628"/>
    <cellStyle name="Cálculo 2 3 4 35 4" xfId="18629"/>
    <cellStyle name="Cálculo 2 3 4 36" xfId="18630"/>
    <cellStyle name="Cálculo 2 3 4 36 2" xfId="18631"/>
    <cellStyle name="Cálculo 2 3 4 36 2 2" xfId="18632"/>
    <cellStyle name="Cálculo 2 3 4 36 3" xfId="18633"/>
    <cellStyle name="Cálculo 2 3 4 36 3 2" xfId="18634"/>
    <cellStyle name="Cálculo 2 3 4 36 4" xfId="18635"/>
    <cellStyle name="Cálculo 2 3 4 37" xfId="18636"/>
    <cellStyle name="Cálculo 2 3 4 37 2" xfId="18637"/>
    <cellStyle name="Cálculo 2 3 4 37 2 2" xfId="18638"/>
    <cellStyle name="Cálculo 2 3 4 37 3" xfId="18639"/>
    <cellStyle name="Cálculo 2 3 4 37 3 2" xfId="18640"/>
    <cellStyle name="Cálculo 2 3 4 37 4" xfId="18641"/>
    <cellStyle name="Cálculo 2 3 4 38" xfId="18642"/>
    <cellStyle name="Cálculo 2 3 4 38 2" xfId="18643"/>
    <cellStyle name="Cálculo 2 3 4 38 2 2" xfId="18644"/>
    <cellStyle name="Cálculo 2 3 4 38 3" xfId="18645"/>
    <cellStyle name="Cálculo 2 3 4 38 3 2" xfId="18646"/>
    <cellStyle name="Cálculo 2 3 4 38 4" xfId="18647"/>
    <cellStyle name="Cálculo 2 3 4 39" xfId="18648"/>
    <cellStyle name="Cálculo 2 3 4 39 2" xfId="18649"/>
    <cellStyle name="Cálculo 2 3 4 39 2 2" xfId="18650"/>
    <cellStyle name="Cálculo 2 3 4 39 3" xfId="18651"/>
    <cellStyle name="Cálculo 2 3 4 39 3 2" xfId="18652"/>
    <cellStyle name="Cálculo 2 3 4 39 4" xfId="18653"/>
    <cellStyle name="Cálculo 2 3 4 4" xfId="18654"/>
    <cellStyle name="Cálculo 2 3 4 4 2" xfId="18655"/>
    <cellStyle name="Cálculo 2 3 4 4 2 2" xfId="18656"/>
    <cellStyle name="Cálculo 2 3 4 4 3" xfId="18657"/>
    <cellStyle name="Cálculo 2 3 4 4 3 2" xfId="18658"/>
    <cellStyle name="Cálculo 2 3 4 4 4" xfId="18659"/>
    <cellStyle name="Cálculo 2 3 4 40" xfId="18660"/>
    <cellStyle name="Cálculo 2 3 4 40 2" xfId="18661"/>
    <cellStyle name="Cálculo 2 3 4 40 2 2" xfId="18662"/>
    <cellStyle name="Cálculo 2 3 4 40 3" xfId="18663"/>
    <cellStyle name="Cálculo 2 3 4 41" xfId="18664"/>
    <cellStyle name="Cálculo 2 3 4 41 2" xfId="18665"/>
    <cellStyle name="Cálculo 2 3 4 42" xfId="18666"/>
    <cellStyle name="Cálculo 2 3 4 42 2" xfId="18667"/>
    <cellStyle name="Cálculo 2 3 4 43" xfId="18668"/>
    <cellStyle name="Cálculo 2 3 4 5" xfId="18669"/>
    <cellStyle name="Cálculo 2 3 4 5 2" xfId="18670"/>
    <cellStyle name="Cálculo 2 3 4 5 2 2" xfId="18671"/>
    <cellStyle name="Cálculo 2 3 4 5 3" xfId="18672"/>
    <cellStyle name="Cálculo 2 3 4 5 3 2" xfId="18673"/>
    <cellStyle name="Cálculo 2 3 4 5 4" xfId="18674"/>
    <cellStyle name="Cálculo 2 3 4 6" xfId="18675"/>
    <cellStyle name="Cálculo 2 3 4 6 2" xfId="18676"/>
    <cellStyle name="Cálculo 2 3 4 6 2 2" xfId="18677"/>
    <cellStyle name="Cálculo 2 3 4 6 3" xfId="18678"/>
    <cellStyle name="Cálculo 2 3 4 6 3 2" xfId="18679"/>
    <cellStyle name="Cálculo 2 3 4 6 4" xfId="18680"/>
    <cellStyle name="Cálculo 2 3 4 7" xfId="18681"/>
    <cellStyle name="Cálculo 2 3 4 7 2" xfId="18682"/>
    <cellStyle name="Cálculo 2 3 4 7 2 2" xfId="18683"/>
    <cellStyle name="Cálculo 2 3 4 7 3" xfId="18684"/>
    <cellStyle name="Cálculo 2 3 4 7 3 2" xfId="18685"/>
    <cellStyle name="Cálculo 2 3 4 7 4" xfId="18686"/>
    <cellStyle name="Cálculo 2 3 4 8" xfId="18687"/>
    <cellStyle name="Cálculo 2 3 4 8 2" xfId="18688"/>
    <cellStyle name="Cálculo 2 3 4 8 2 2" xfId="18689"/>
    <cellStyle name="Cálculo 2 3 4 8 3" xfId="18690"/>
    <cellStyle name="Cálculo 2 3 4 8 3 2" xfId="18691"/>
    <cellStyle name="Cálculo 2 3 4 8 4" xfId="18692"/>
    <cellStyle name="Cálculo 2 3 4 9" xfId="18693"/>
    <cellStyle name="Cálculo 2 3 4 9 2" xfId="18694"/>
    <cellStyle name="Cálculo 2 3 4 9 2 2" xfId="18695"/>
    <cellStyle name="Cálculo 2 3 4 9 3" xfId="18696"/>
    <cellStyle name="Cálculo 2 3 4 9 3 2" xfId="18697"/>
    <cellStyle name="Cálculo 2 3 4 9 4" xfId="18698"/>
    <cellStyle name="Cálculo 2 3 5" xfId="18699"/>
    <cellStyle name="Cálculo 2 3 5 10" xfId="18700"/>
    <cellStyle name="Cálculo 2 3 5 10 2" xfId="18701"/>
    <cellStyle name="Cálculo 2 3 5 10 2 2" xfId="18702"/>
    <cellStyle name="Cálculo 2 3 5 10 3" xfId="18703"/>
    <cellStyle name="Cálculo 2 3 5 10 3 2" xfId="18704"/>
    <cellStyle name="Cálculo 2 3 5 10 4" xfId="18705"/>
    <cellStyle name="Cálculo 2 3 5 11" xfId="18706"/>
    <cellStyle name="Cálculo 2 3 5 11 2" xfId="18707"/>
    <cellStyle name="Cálculo 2 3 5 11 2 2" xfId="18708"/>
    <cellStyle name="Cálculo 2 3 5 11 3" xfId="18709"/>
    <cellStyle name="Cálculo 2 3 5 11 3 2" xfId="18710"/>
    <cellStyle name="Cálculo 2 3 5 11 4" xfId="18711"/>
    <cellStyle name="Cálculo 2 3 5 12" xfId="18712"/>
    <cellStyle name="Cálculo 2 3 5 12 2" xfId="18713"/>
    <cellStyle name="Cálculo 2 3 5 12 2 2" xfId="18714"/>
    <cellStyle name="Cálculo 2 3 5 12 3" xfId="18715"/>
    <cellStyle name="Cálculo 2 3 5 12 3 2" xfId="18716"/>
    <cellStyle name="Cálculo 2 3 5 12 4" xfId="18717"/>
    <cellStyle name="Cálculo 2 3 5 13" xfId="18718"/>
    <cellStyle name="Cálculo 2 3 5 13 2" xfId="18719"/>
    <cellStyle name="Cálculo 2 3 5 13 2 2" xfId="18720"/>
    <cellStyle name="Cálculo 2 3 5 13 3" xfId="18721"/>
    <cellStyle name="Cálculo 2 3 5 13 3 2" xfId="18722"/>
    <cellStyle name="Cálculo 2 3 5 13 4" xfId="18723"/>
    <cellStyle name="Cálculo 2 3 5 14" xfId="18724"/>
    <cellStyle name="Cálculo 2 3 5 14 2" xfId="18725"/>
    <cellStyle name="Cálculo 2 3 5 14 2 2" xfId="18726"/>
    <cellStyle name="Cálculo 2 3 5 14 3" xfId="18727"/>
    <cellStyle name="Cálculo 2 3 5 14 3 2" xfId="18728"/>
    <cellStyle name="Cálculo 2 3 5 14 4" xfId="18729"/>
    <cellStyle name="Cálculo 2 3 5 15" xfId="18730"/>
    <cellStyle name="Cálculo 2 3 5 15 2" xfId="18731"/>
    <cellStyle name="Cálculo 2 3 5 15 2 2" xfId="18732"/>
    <cellStyle name="Cálculo 2 3 5 15 3" xfId="18733"/>
    <cellStyle name="Cálculo 2 3 5 15 3 2" xfId="18734"/>
    <cellStyle name="Cálculo 2 3 5 15 4" xfId="18735"/>
    <cellStyle name="Cálculo 2 3 5 16" xfId="18736"/>
    <cellStyle name="Cálculo 2 3 5 16 2" xfId="18737"/>
    <cellStyle name="Cálculo 2 3 5 16 2 2" xfId="18738"/>
    <cellStyle name="Cálculo 2 3 5 16 3" xfId="18739"/>
    <cellStyle name="Cálculo 2 3 5 16 3 2" xfId="18740"/>
    <cellStyle name="Cálculo 2 3 5 16 4" xfId="18741"/>
    <cellStyle name="Cálculo 2 3 5 17" xfId="18742"/>
    <cellStyle name="Cálculo 2 3 5 17 2" xfId="18743"/>
    <cellStyle name="Cálculo 2 3 5 17 2 2" xfId="18744"/>
    <cellStyle name="Cálculo 2 3 5 17 3" xfId="18745"/>
    <cellStyle name="Cálculo 2 3 5 17 3 2" xfId="18746"/>
    <cellStyle name="Cálculo 2 3 5 17 4" xfId="18747"/>
    <cellStyle name="Cálculo 2 3 5 18" xfId="18748"/>
    <cellStyle name="Cálculo 2 3 5 18 2" xfId="18749"/>
    <cellStyle name="Cálculo 2 3 5 18 2 2" xfId="18750"/>
    <cellStyle name="Cálculo 2 3 5 18 3" xfId="18751"/>
    <cellStyle name="Cálculo 2 3 5 18 3 2" xfId="18752"/>
    <cellStyle name="Cálculo 2 3 5 18 4" xfId="18753"/>
    <cellStyle name="Cálculo 2 3 5 19" xfId="18754"/>
    <cellStyle name="Cálculo 2 3 5 19 2" xfId="18755"/>
    <cellStyle name="Cálculo 2 3 5 19 2 2" xfId="18756"/>
    <cellStyle name="Cálculo 2 3 5 19 3" xfId="18757"/>
    <cellStyle name="Cálculo 2 3 5 19 3 2" xfId="18758"/>
    <cellStyle name="Cálculo 2 3 5 19 4" xfId="18759"/>
    <cellStyle name="Cálculo 2 3 5 2" xfId="18760"/>
    <cellStyle name="Cálculo 2 3 5 2 2" xfId="18761"/>
    <cellStyle name="Cálculo 2 3 5 2 2 2" xfId="18762"/>
    <cellStyle name="Cálculo 2 3 5 2 3" xfId="18763"/>
    <cellStyle name="Cálculo 2 3 5 2 3 2" xfId="18764"/>
    <cellStyle name="Cálculo 2 3 5 2 4" xfId="18765"/>
    <cellStyle name="Cálculo 2 3 5 20" xfId="18766"/>
    <cellStyle name="Cálculo 2 3 5 20 2" xfId="18767"/>
    <cellStyle name="Cálculo 2 3 5 20 2 2" xfId="18768"/>
    <cellStyle name="Cálculo 2 3 5 20 3" xfId="18769"/>
    <cellStyle name="Cálculo 2 3 5 20 3 2" xfId="18770"/>
    <cellStyle name="Cálculo 2 3 5 20 4" xfId="18771"/>
    <cellStyle name="Cálculo 2 3 5 21" xfId="18772"/>
    <cellStyle name="Cálculo 2 3 5 21 2" xfId="18773"/>
    <cellStyle name="Cálculo 2 3 5 21 2 2" xfId="18774"/>
    <cellStyle name="Cálculo 2 3 5 21 3" xfId="18775"/>
    <cellStyle name="Cálculo 2 3 5 21 3 2" xfId="18776"/>
    <cellStyle name="Cálculo 2 3 5 21 4" xfId="18777"/>
    <cellStyle name="Cálculo 2 3 5 22" xfId="18778"/>
    <cellStyle name="Cálculo 2 3 5 22 2" xfId="18779"/>
    <cellStyle name="Cálculo 2 3 5 22 2 2" xfId="18780"/>
    <cellStyle name="Cálculo 2 3 5 22 3" xfId="18781"/>
    <cellStyle name="Cálculo 2 3 5 22 3 2" xfId="18782"/>
    <cellStyle name="Cálculo 2 3 5 22 4" xfId="18783"/>
    <cellStyle name="Cálculo 2 3 5 23" xfId="18784"/>
    <cellStyle name="Cálculo 2 3 5 23 2" xfId="18785"/>
    <cellStyle name="Cálculo 2 3 5 23 2 2" xfId="18786"/>
    <cellStyle name="Cálculo 2 3 5 23 3" xfId="18787"/>
    <cellStyle name="Cálculo 2 3 5 23 3 2" xfId="18788"/>
    <cellStyle name="Cálculo 2 3 5 23 4" xfId="18789"/>
    <cellStyle name="Cálculo 2 3 5 24" xfId="18790"/>
    <cellStyle name="Cálculo 2 3 5 24 2" xfId="18791"/>
    <cellStyle name="Cálculo 2 3 5 24 2 2" xfId="18792"/>
    <cellStyle name="Cálculo 2 3 5 24 3" xfId="18793"/>
    <cellStyle name="Cálculo 2 3 5 24 3 2" xfId="18794"/>
    <cellStyle name="Cálculo 2 3 5 24 4" xfId="18795"/>
    <cellStyle name="Cálculo 2 3 5 25" xfId="18796"/>
    <cellStyle name="Cálculo 2 3 5 25 2" xfId="18797"/>
    <cellStyle name="Cálculo 2 3 5 25 2 2" xfId="18798"/>
    <cellStyle name="Cálculo 2 3 5 25 3" xfId="18799"/>
    <cellStyle name="Cálculo 2 3 5 25 3 2" xfId="18800"/>
    <cellStyle name="Cálculo 2 3 5 25 4" xfId="18801"/>
    <cellStyle name="Cálculo 2 3 5 26" xfId="18802"/>
    <cellStyle name="Cálculo 2 3 5 26 2" xfId="18803"/>
    <cellStyle name="Cálculo 2 3 5 26 2 2" xfId="18804"/>
    <cellStyle name="Cálculo 2 3 5 26 3" xfId="18805"/>
    <cellStyle name="Cálculo 2 3 5 26 3 2" xfId="18806"/>
    <cellStyle name="Cálculo 2 3 5 26 4" xfId="18807"/>
    <cellStyle name="Cálculo 2 3 5 27" xfId="18808"/>
    <cellStyle name="Cálculo 2 3 5 27 2" xfId="18809"/>
    <cellStyle name="Cálculo 2 3 5 27 2 2" xfId="18810"/>
    <cellStyle name="Cálculo 2 3 5 27 3" xfId="18811"/>
    <cellStyle name="Cálculo 2 3 5 27 3 2" xfId="18812"/>
    <cellStyle name="Cálculo 2 3 5 27 4" xfId="18813"/>
    <cellStyle name="Cálculo 2 3 5 28" xfId="18814"/>
    <cellStyle name="Cálculo 2 3 5 28 2" xfId="18815"/>
    <cellStyle name="Cálculo 2 3 5 28 2 2" xfId="18816"/>
    <cellStyle name="Cálculo 2 3 5 28 3" xfId="18817"/>
    <cellStyle name="Cálculo 2 3 5 28 3 2" xfId="18818"/>
    <cellStyle name="Cálculo 2 3 5 28 4" xfId="18819"/>
    <cellStyle name="Cálculo 2 3 5 29" xfId="18820"/>
    <cellStyle name="Cálculo 2 3 5 29 2" xfId="18821"/>
    <cellStyle name="Cálculo 2 3 5 29 2 2" xfId="18822"/>
    <cellStyle name="Cálculo 2 3 5 29 3" xfId="18823"/>
    <cellStyle name="Cálculo 2 3 5 29 3 2" xfId="18824"/>
    <cellStyle name="Cálculo 2 3 5 29 4" xfId="18825"/>
    <cellStyle name="Cálculo 2 3 5 3" xfId="18826"/>
    <cellStyle name="Cálculo 2 3 5 3 2" xfId="18827"/>
    <cellStyle name="Cálculo 2 3 5 3 2 2" xfId="18828"/>
    <cellStyle name="Cálculo 2 3 5 3 3" xfId="18829"/>
    <cellStyle name="Cálculo 2 3 5 3 3 2" xfId="18830"/>
    <cellStyle name="Cálculo 2 3 5 3 4" xfId="18831"/>
    <cellStyle name="Cálculo 2 3 5 30" xfId="18832"/>
    <cellStyle name="Cálculo 2 3 5 30 2" xfId="18833"/>
    <cellStyle name="Cálculo 2 3 5 30 2 2" xfId="18834"/>
    <cellStyle name="Cálculo 2 3 5 30 3" xfId="18835"/>
    <cellStyle name="Cálculo 2 3 5 30 3 2" xfId="18836"/>
    <cellStyle name="Cálculo 2 3 5 30 4" xfId="18837"/>
    <cellStyle name="Cálculo 2 3 5 31" xfId="18838"/>
    <cellStyle name="Cálculo 2 3 5 31 2" xfId="18839"/>
    <cellStyle name="Cálculo 2 3 5 31 2 2" xfId="18840"/>
    <cellStyle name="Cálculo 2 3 5 31 3" xfId="18841"/>
    <cellStyle name="Cálculo 2 3 5 31 3 2" xfId="18842"/>
    <cellStyle name="Cálculo 2 3 5 31 4" xfId="18843"/>
    <cellStyle name="Cálculo 2 3 5 32" xfId="18844"/>
    <cellStyle name="Cálculo 2 3 5 32 2" xfId="18845"/>
    <cellStyle name="Cálculo 2 3 5 32 2 2" xfId="18846"/>
    <cellStyle name="Cálculo 2 3 5 32 3" xfId="18847"/>
    <cellStyle name="Cálculo 2 3 5 32 3 2" xfId="18848"/>
    <cellStyle name="Cálculo 2 3 5 32 4" xfId="18849"/>
    <cellStyle name="Cálculo 2 3 5 33" xfId="18850"/>
    <cellStyle name="Cálculo 2 3 5 33 2" xfId="18851"/>
    <cellStyle name="Cálculo 2 3 5 33 2 2" xfId="18852"/>
    <cellStyle name="Cálculo 2 3 5 33 3" xfId="18853"/>
    <cellStyle name="Cálculo 2 3 5 33 3 2" xfId="18854"/>
    <cellStyle name="Cálculo 2 3 5 33 4" xfId="18855"/>
    <cellStyle name="Cálculo 2 3 5 34" xfId="18856"/>
    <cellStyle name="Cálculo 2 3 5 34 2" xfId="18857"/>
    <cellStyle name="Cálculo 2 3 5 34 2 2" xfId="18858"/>
    <cellStyle name="Cálculo 2 3 5 34 3" xfId="18859"/>
    <cellStyle name="Cálculo 2 3 5 34 3 2" xfId="18860"/>
    <cellStyle name="Cálculo 2 3 5 34 4" xfId="18861"/>
    <cellStyle name="Cálculo 2 3 5 35" xfId="18862"/>
    <cellStyle name="Cálculo 2 3 5 35 2" xfId="18863"/>
    <cellStyle name="Cálculo 2 3 5 35 2 2" xfId="18864"/>
    <cellStyle name="Cálculo 2 3 5 35 3" xfId="18865"/>
    <cellStyle name="Cálculo 2 3 5 35 3 2" xfId="18866"/>
    <cellStyle name="Cálculo 2 3 5 35 4" xfId="18867"/>
    <cellStyle name="Cálculo 2 3 5 36" xfId="18868"/>
    <cellStyle name="Cálculo 2 3 5 36 2" xfId="18869"/>
    <cellStyle name="Cálculo 2 3 5 36 2 2" xfId="18870"/>
    <cellStyle name="Cálculo 2 3 5 36 3" xfId="18871"/>
    <cellStyle name="Cálculo 2 3 5 36 3 2" xfId="18872"/>
    <cellStyle name="Cálculo 2 3 5 36 4" xfId="18873"/>
    <cellStyle name="Cálculo 2 3 5 37" xfId="18874"/>
    <cellStyle name="Cálculo 2 3 5 37 2" xfId="18875"/>
    <cellStyle name="Cálculo 2 3 5 37 2 2" xfId="18876"/>
    <cellStyle name="Cálculo 2 3 5 37 3" xfId="18877"/>
    <cellStyle name="Cálculo 2 3 5 37 3 2" xfId="18878"/>
    <cellStyle name="Cálculo 2 3 5 37 4" xfId="18879"/>
    <cellStyle name="Cálculo 2 3 5 38" xfId="18880"/>
    <cellStyle name="Cálculo 2 3 5 38 2" xfId="18881"/>
    <cellStyle name="Cálculo 2 3 5 38 2 2" xfId="18882"/>
    <cellStyle name="Cálculo 2 3 5 38 3" xfId="18883"/>
    <cellStyle name="Cálculo 2 3 5 38 3 2" xfId="18884"/>
    <cellStyle name="Cálculo 2 3 5 38 4" xfId="18885"/>
    <cellStyle name="Cálculo 2 3 5 39" xfId="18886"/>
    <cellStyle name="Cálculo 2 3 5 39 2" xfId="18887"/>
    <cellStyle name="Cálculo 2 3 5 39 2 2" xfId="18888"/>
    <cellStyle name="Cálculo 2 3 5 39 3" xfId="18889"/>
    <cellStyle name="Cálculo 2 3 5 4" xfId="18890"/>
    <cellStyle name="Cálculo 2 3 5 4 2" xfId="18891"/>
    <cellStyle name="Cálculo 2 3 5 4 2 2" xfId="18892"/>
    <cellStyle name="Cálculo 2 3 5 4 3" xfId="18893"/>
    <cellStyle name="Cálculo 2 3 5 4 3 2" xfId="18894"/>
    <cellStyle name="Cálculo 2 3 5 4 4" xfId="18895"/>
    <cellStyle name="Cálculo 2 3 5 40" xfId="18896"/>
    <cellStyle name="Cálculo 2 3 5 40 2" xfId="18897"/>
    <cellStyle name="Cálculo 2 3 5 41" xfId="18898"/>
    <cellStyle name="Cálculo 2 3 5 41 2" xfId="18899"/>
    <cellStyle name="Cálculo 2 3 5 42" xfId="18900"/>
    <cellStyle name="Cálculo 2 3 5 5" xfId="18901"/>
    <cellStyle name="Cálculo 2 3 5 5 2" xfId="18902"/>
    <cellStyle name="Cálculo 2 3 5 5 2 2" xfId="18903"/>
    <cellStyle name="Cálculo 2 3 5 5 3" xfId="18904"/>
    <cellStyle name="Cálculo 2 3 5 5 3 2" xfId="18905"/>
    <cellStyle name="Cálculo 2 3 5 5 4" xfId="18906"/>
    <cellStyle name="Cálculo 2 3 5 6" xfId="18907"/>
    <cellStyle name="Cálculo 2 3 5 6 2" xfId="18908"/>
    <cellStyle name="Cálculo 2 3 5 6 2 2" xfId="18909"/>
    <cellStyle name="Cálculo 2 3 5 6 3" xfId="18910"/>
    <cellStyle name="Cálculo 2 3 5 6 3 2" xfId="18911"/>
    <cellStyle name="Cálculo 2 3 5 6 4" xfId="18912"/>
    <cellStyle name="Cálculo 2 3 5 7" xfId="18913"/>
    <cellStyle name="Cálculo 2 3 5 7 2" xfId="18914"/>
    <cellStyle name="Cálculo 2 3 5 7 2 2" xfId="18915"/>
    <cellStyle name="Cálculo 2 3 5 7 3" xfId="18916"/>
    <cellStyle name="Cálculo 2 3 5 7 3 2" xfId="18917"/>
    <cellStyle name="Cálculo 2 3 5 7 4" xfId="18918"/>
    <cellStyle name="Cálculo 2 3 5 8" xfId="18919"/>
    <cellStyle name="Cálculo 2 3 5 8 2" xfId="18920"/>
    <cellStyle name="Cálculo 2 3 5 8 2 2" xfId="18921"/>
    <cellStyle name="Cálculo 2 3 5 8 3" xfId="18922"/>
    <cellStyle name="Cálculo 2 3 5 8 3 2" xfId="18923"/>
    <cellStyle name="Cálculo 2 3 5 8 4" xfId="18924"/>
    <cellStyle name="Cálculo 2 3 5 9" xfId="18925"/>
    <cellStyle name="Cálculo 2 3 5 9 2" xfId="18926"/>
    <cellStyle name="Cálculo 2 3 5 9 2 2" xfId="18927"/>
    <cellStyle name="Cálculo 2 3 5 9 3" xfId="18928"/>
    <cellStyle name="Cálculo 2 3 5 9 3 2" xfId="18929"/>
    <cellStyle name="Cálculo 2 3 5 9 4" xfId="18930"/>
    <cellStyle name="Cálculo 2 3 6" xfId="18931"/>
    <cellStyle name="Cálculo 2 3 6 10" xfId="18932"/>
    <cellStyle name="Cálculo 2 3 6 10 2" xfId="18933"/>
    <cellStyle name="Cálculo 2 3 6 10 2 2" xfId="18934"/>
    <cellStyle name="Cálculo 2 3 6 10 3" xfId="18935"/>
    <cellStyle name="Cálculo 2 3 6 10 3 2" xfId="18936"/>
    <cellStyle name="Cálculo 2 3 6 10 4" xfId="18937"/>
    <cellStyle name="Cálculo 2 3 6 11" xfId="18938"/>
    <cellStyle name="Cálculo 2 3 6 11 2" xfId="18939"/>
    <cellStyle name="Cálculo 2 3 6 11 2 2" xfId="18940"/>
    <cellStyle name="Cálculo 2 3 6 11 3" xfId="18941"/>
    <cellStyle name="Cálculo 2 3 6 11 3 2" xfId="18942"/>
    <cellStyle name="Cálculo 2 3 6 11 4" xfId="18943"/>
    <cellStyle name="Cálculo 2 3 6 12" xfId="18944"/>
    <cellStyle name="Cálculo 2 3 6 12 2" xfId="18945"/>
    <cellStyle name="Cálculo 2 3 6 12 2 2" xfId="18946"/>
    <cellStyle name="Cálculo 2 3 6 12 3" xfId="18947"/>
    <cellStyle name="Cálculo 2 3 6 12 3 2" xfId="18948"/>
    <cellStyle name="Cálculo 2 3 6 12 4" xfId="18949"/>
    <cellStyle name="Cálculo 2 3 6 13" xfId="18950"/>
    <cellStyle name="Cálculo 2 3 6 13 2" xfId="18951"/>
    <cellStyle name="Cálculo 2 3 6 13 2 2" xfId="18952"/>
    <cellStyle name="Cálculo 2 3 6 13 3" xfId="18953"/>
    <cellStyle name="Cálculo 2 3 6 13 3 2" xfId="18954"/>
    <cellStyle name="Cálculo 2 3 6 13 4" xfId="18955"/>
    <cellStyle name="Cálculo 2 3 6 14" xfId="18956"/>
    <cellStyle name="Cálculo 2 3 6 14 2" xfId="18957"/>
    <cellStyle name="Cálculo 2 3 6 14 2 2" xfId="18958"/>
    <cellStyle name="Cálculo 2 3 6 14 3" xfId="18959"/>
    <cellStyle name="Cálculo 2 3 6 14 3 2" xfId="18960"/>
    <cellStyle name="Cálculo 2 3 6 14 4" xfId="18961"/>
    <cellStyle name="Cálculo 2 3 6 15" xfId="18962"/>
    <cellStyle name="Cálculo 2 3 6 15 2" xfId="18963"/>
    <cellStyle name="Cálculo 2 3 6 15 2 2" xfId="18964"/>
    <cellStyle name="Cálculo 2 3 6 15 3" xfId="18965"/>
    <cellStyle name="Cálculo 2 3 6 15 3 2" xfId="18966"/>
    <cellStyle name="Cálculo 2 3 6 15 4" xfId="18967"/>
    <cellStyle name="Cálculo 2 3 6 16" xfId="18968"/>
    <cellStyle name="Cálculo 2 3 6 16 2" xfId="18969"/>
    <cellStyle name="Cálculo 2 3 6 16 2 2" xfId="18970"/>
    <cellStyle name="Cálculo 2 3 6 16 3" xfId="18971"/>
    <cellStyle name="Cálculo 2 3 6 16 3 2" xfId="18972"/>
    <cellStyle name="Cálculo 2 3 6 16 4" xfId="18973"/>
    <cellStyle name="Cálculo 2 3 6 17" xfId="18974"/>
    <cellStyle name="Cálculo 2 3 6 17 2" xfId="18975"/>
    <cellStyle name="Cálculo 2 3 6 17 2 2" xfId="18976"/>
    <cellStyle name="Cálculo 2 3 6 17 3" xfId="18977"/>
    <cellStyle name="Cálculo 2 3 6 17 3 2" xfId="18978"/>
    <cellStyle name="Cálculo 2 3 6 17 4" xfId="18979"/>
    <cellStyle name="Cálculo 2 3 6 18" xfId="18980"/>
    <cellStyle name="Cálculo 2 3 6 18 2" xfId="18981"/>
    <cellStyle name="Cálculo 2 3 6 18 2 2" xfId="18982"/>
    <cellStyle name="Cálculo 2 3 6 18 3" xfId="18983"/>
    <cellStyle name="Cálculo 2 3 6 18 3 2" xfId="18984"/>
    <cellStyle name="Cálculo 2 3 6 18 4" xfId="18985"/>
    <cellStyle name="Cálculo 2 3 6 19" xfId="18986"/>
    <cellStyle name="Cálculo 2 3 6 19 2" xfId="18987"/>
    <cellStyle name="Cálculo 2 3 6 19 2 2" xfId="18988"/>
    <cellStyle name="Cálculo 2 3 6 19 3" xfId="18989"/>
    <cellStyle name="Cálculo 2 3 6 19 3 2" xfId="18990"/>
    <cellStyle name="Cálculo 2 3 6 19 4" xfId="18991"/>
    <cellStyle name="Cálculo 2 3 6 2" xfId="18992"/>
    <cellStyle name="Cálculo 2 3 6 2 2" xfId="18993"/>
    <cellStyle name="Cálculo 2 3 6 2 2 2" xfId="18994"/>
    <cellStyle name="Cálculo 2 3 6 2 3" xfId="18995"/>
    <cellStyle name="Cálculo 2 3 6 2 3 2" xfId="18996"/>
    <cellStyle name="Cálculo 2 3 6 2 4" xfId="18997"/>
    <cellStyle name="Cálculo 2 3 6 20" xfId="18998"/>
    <cellStyle name="Cálculo 2 3 6 20 2" xfId="18999"/>
    <cellStyle name="Cálculo 2 3 6 20 2 2" xfId="19000"/>
    <cellStyle name="Cálculo 2 3 6 20 3" xfId="19001"/>
    <cellStyle name="Cálculo 2 3 6 20 3 2" xfId="19002"/>
    <cellStyle name="Cálculo 2 3 6 20 4" xfId="19003"/>
    <cellStyle name="Cálculo 2 3 6 21" xfId="19004"/>
    <cellStyle name="Cálculo 2 3 6 21 2" xfId="19005"/>
    <cellStyle name="Cálculo 2 3 6 21 2 2" xfId="19006"/>
    <cellStyle name="Cálculo 2 3 6 21 3" xfId="19007"/>
    <cellStyle name="Cálculo 2 3 6 21 3 2" xfId="19008"/>
    <cellStyle name="Cálculo 2 3 6 21 4" xfId="19009"/>
    <cellStyle name="Cálculo 2 3 6 22" xfId="19010"/>
    <cellStyle name="Cálculo 2 3 6 22 2" xfId="19011"/>
    <cellStyle name="Cálculo 2 3 6 22 2 2" xfId="19012"/>
    <cellStyle name="Cálculo 2 3 6 22 3" xfId="19013"/>
    <cellStyle name="Cálculo 2 3 6 22 3 2" xfId="19014"/>
    <cellStyle name="Cálculo 2 3 6 22 4" xfId="19015"/>
    <cellStyle name="Cálculo 2 3 6 23" xfId="19016"/>
    <cellStyle name="Cálculo 2 3 6 23 2" xfId="19017"/>
    <cellStyle name="Cálculo 2 3 6 23 2 2" xfId="19018"/>
    <cellStyle name="Cálculo 2 3 6 23 3" xfId="19019"/>
    <cellStyle name="Cálculo 2 3 6 23 3 2" xfId="19020"/>
    <cellStyle name="Cálculo 2 3 6 23 4" xfId="19021"/>
    <cellStyle name="Cálculo 2 3 6 24" xfId="19022"/>
    <cellStyle name="Cálculo 2 3 6 24 2" xfId="19023"/>
    <cellStyle name="Cálculo 2 3 6 24 2 2" xfId="19024"/>
    <cellStyle name="Cálculo 2 3 6 24 3" xfId="19025"/>
    <cellStyle name="Cálculo 2 3 6 24 3 2" xfId="19026"/>
    <cellStyle name="Cálculo 2 3 6 24 4" xfId="19027"/>
    <cellStyle name="Cálculo 2 3 6 25" xfId="19028"/>
    <cellStyle name="Cálculo 2 3 6 25 2" xfId="19029"/>
    <cellStyle name="Cálculo 2 3 6 25 2 2" xfId="19030"/>
    <cellStyle name="Cálculo 2 3 6 25 3" xfId="19031"/>
    <cellStyle name="Cálculo 2 3 6 25 3 2" xfId="19032"/>
    <cellStyle name="Cálculo 2 3 6 25 4" xfId="19033"/>
    <cellStyle name="Cálculo 2 3 6 26" xfId="19034"/>
    <cellStyle name="Cálculo 2 3 6 26 2" xfId="19035"/>
    <cellStyle name="Cálculo 2 3 6 26 2 2" xfId="19036"/>
    <cellStyle name="Cálculo 2 3 6 26 3" xfId="19037"/>
    <cellStyle name="Cálculo 2 3 6 26 3 2" xfId="19038"/>
    <cellStyle name="Cálculo 2 3 6 26 4" xfId="19039"/>
    <cellStyle name="Cálculo 2 3 6 27" xfId="19040"/>
    <cellStyle name="Cálculo 2 3 6 27 2" xfId="19041"/>
    <cellStyle name="Cálculo 2 3 6 27 2 2" xfId="19042"/>
    <cellStyle name="Cálculo 2 3 6 27 3" xfId="19043"/>
    <cellStyle name="Cálculo 2 3 6 27 3 2" xfId="19044"/>
    <cellStyle name="Cálculo 2 3 6 27 4" xfId="19045"/>
    <cellStyle name="Cálculo 2 3 6 28" xfId="19046"/>
    <cellStyle name="Cálculo 2 3 6 28 2" xfId="19047"/>
    <cellStyle name="Cálculo 2 3 6 28 2 2" xfId="19048"/>
    <cellStyle name="Cálculo 2 3 6 28 3" xfId="19049"/>
    <cellStyle name="Cálculo 2 3 6 28 3 2" xfId="19050"/>
    <cellStyle name="Cálculo 2 3 6 28 4" xfId="19051"/>
    <cellStyle name="Cálculo 2 3 6 29" xfId="19052"/>
    <cellStyle name="Cálculo 2 3 6 29 2" xfId="19053"/>
    <cellStyle name="Cálculo 2 3 6 29 2 2" xfId="19054"/>
    <cellStyle name="Cálculo 2 3 6 29 3" xfId="19055"/>
    <cellStyle name="Cálculo 2 3 6 29 3 2" xfId="19056"/>
    <cellStyle name="Cálculo 2 3 6 29 4" xfId="19057"/>
    <cellStyle name="Cálculo 2 3 6 3" xfId="19058"/>
    <cellStyle name="Cálculo 2 3 6 3 2" xfId="19059"/>
    <cellStyle name="Cálculo 2 3 6 3 2 2" xfId="19060"/>
    <cellStyle name="Cálculo 2 3 6 3 3" xfId="19061"/>
    <cellStyle name="Cálculo 2 3 6 3 3 2" xfId="19062"/>
    <cellStyle name="Cálculo 2 3 6 3 4" xfId="19063"/>
    <cellStyle name="Cálculo 2 3 6 30" xfId="19064"/>
    <cellStyle name="Cálculo 2 3 6 30 2" xfId="19065"/>
    <cellStyle name="Cálculo 2 3 6 30 2 2" xfId="19066"/>
    <cellStyle name="Cálculo 2 3 6 30 3" xfId="19067"/>
    <cellStyle name="Cálculo 2 3 6 30 3 2" xfId="19068"/>
    <cellStyle name="Cálculo 2 3 6 30 4" xfId="19069"/>
    <cellStyle name="Cálculo 2 3 6 31" xfId="19070"/>
    <cellStyle name="Cálculo 2 3 6 31 2" xfId="19071"/>
    <cellStyle name="Cálculo 2 3 6 31 2 2" xfId="19072"/>
    <cellStyle name="Cálculo 2 3 6 31 3" xfId="19073"/>
    <cellStyle name="Cálculo 2 3 6 31 3 2" xfId="19074"/>
    <cellStyle name="Cálculo 2 3 6 31 4" xfId="19075"/>
    <cellStyle name="Cálculo 2 3 6 32" xfId="19076"/>
    <cellStyle name="Cálculo 2 3 6 32 2" xfId="19077"/>
    <cellStyle name="Cálculo 2 3 6 32 2 2" xfId="19078"/>
    <cellStyle name="Cálculo 2 3 6 32 3" xfId="19079"/>
    <cellStyle name="Cálculo 2 3 6 32 3 2" xfId="19080"/>
    <cellStyle name="Cálculo 2 3 6 32 4" xfId="19081"/>
    <cellStyle name="Cálculo 2 3 6 33" xfId="19082"/>
    <cellStyle name="Cálculo 2 3 6 33 2" xfId="19083"/>
    <cellStyle name="Cálculo 2 3 6 33 2 2" xfId="19084"/>
    <cellStyle name="Cálculo 2 3 6 33 3" xfId="19085"/>
    <cellStyle name="Cálculo 2 3 6 33 3 2" xfId="19086"/>
    <cellStyle name="Cálculo 2 3 6 33 4" xfId="19087"/>
    <cellStyle name="Cálculo 2 3 6 34" xfId="19088"/>
    <cellStyle name="Cálculo 2 3 6 34 2" xfId="19089"/>
    <cellStyle name="Cálculo 2 3 6 34 2 2" xfId="19090"/>
    <cellStyle name="Cálculo 2 3 6 34 3" xfId="19091"/>
    <cellStyle name="Cálculo 2 3 6 34 3 2" xfId="19092"/>
    <cellStyle name="Cálculo 2 3 6 34 4" xfId="19093"/>
    <cellStyle name="Cálculo 2 3 6 35" xfId="19094"/>
    <cellStyle name="Cálculo 2 3 6 35 2" xfId="19095"/>
    <cellStyle name="Cálculo 2 3 6 35 2 2" xfId="19096"/>
    <cellStyle name="Cálculo 2 3 6 35 3" xfId="19097"/>
    <cellStyle name="Cálculo 2 3 6 35 3 2" xfId="19098"/>
    <cellStyle name="Cálculo 2 3 6 35 4" xfId="19099"/>
    <cellStyle name="Cálculo 2 3 6 36" xfId="19100"/>
    <cellStyle name="Cálculo 2 3 6 36 2" xfId="19101"/>
    <cellStyle name="Cálculo 2 3 6 36 2 2" xfId="19102"/>
    <cellStyle name="Cálculo 2 3 6 36 3" xfId="19103"/>
    <cellStyle name="Cálculo 2 3 6 36 3 2" xfId="19104"/>
    <cellStyle name="Cálculo 2 3 6 36 4" xfId="19105"/>
    <cellStyle name="Cálculo 2 3 6 37" xfId="19106"/>
    <cellStyle name="Cálculo 2 3 6 37 2" xfId="19107"/>
    <cellStyle name="Cálculo 2 3 6 37 2 2" xfId="19108"/>
    <cellStyle name="Cálculo 2 3 6 37 3" xfId="19109"/>
    <cellStyle name="Cálculo 2 3 6 37 3 2" xfId="19110"/>
    <cellStyle name="Cálculo 2 3 6 37 4" xfId="19111"/>
    <cellStyle name="Cálculo 2 3 6 38" xfId="19112"/>
    <cellStyle name="Cálculo 2 3 6 38 2" xfId="19113"/>
    <cellStyle name="Cálculo 2 3 6 38 2 2" xfId="19114"/>
    <cellStyle name="Cálculo 2 3 6 38 3" xfId="19115"/>
    <cellStyle name="Cálculo 2 3 6 38 3 2" xfId="19116"/>
    <cellStyle name="Cálculo 2 3 6 38 4" xfId="19117"/>
    <cellStyle name="Cálculo 2 3 6 39" xfId="19118"/>
    <cellStyle name="Cálculo 2 3 6 39 2" xfId="19119"/>
    <cellStyle name="Cálculo 2 3 6 39 2 2" xfId="19120"/>
    <cellStyle name="Cálculo 2 3 6 39 3" xfId="19121"/>
    <cellStyle name="Cálculo 2 3 6 39 3 2" xfId="19122"/>
    <cellStyle name="Cálculo 2 3 6 39 4" xfId="19123"/>
    <cellStyle name="Cálculo 2 3 6 4" xfId="19124"/>
    <cellStyle name="Cálculo 2 3 6 4 2" xfId="19125"/>
    <cellStyle name="Cálculo 2 3 6 4 2 2" xfId="19126"/>
    <cellStyle name="Cálculo 2 3 6 4 3" xfId="19127"/>
    <cellStyle name="Cálculo 2 3 6 4 3 2" xfId="19128"/>
    <cellStyle name="Cálculo 2 3 6 4 4" xfId="19129"/>
    <cellStyle name="Cálculo 2 3 6 40" xfId="19130"/>
    <cellStyle name="Cálculo 2 3 6 40 2" xfId="19131"/>
    <cellStyle name="Cálculo 2 3 6 40 2 2" xfId="19132"/>
    <cellStyle name="Cálculo 2 3 6 40 3" xfId="19133"/>
    <cellStyle name="Cálculo 2 3 6 40 3 2" xfId="19134"/>
    <cellStyle name="Cálculo 2 3 6 40 4" xfId="19135"/>
    <cellStyle name="Cálculo 2 3 6 41" xfId="19136"/>
    <cellStyle name="Cálculo 2 3 6 41 2" xfId="19137"/>
    <cellStyle name="Cálculo 2 3 6 41 2 2" xfId="19138"/>
    <cellStyle name="Cálculo 2 3 6 41 3" xfId="19139"/>
    <cellStyle name="Cálculo 2 3 6 41 3 2" xfId="19140"/>
    <cellStyle name="Cálculo 2 3 6 41 4" xfId="19141"/>
    <cellStyle name="Cálculo 2 3 6 42" xfId="19142"/>
    <cellStyle name="Cálculo 2 3 6 42 2" xfId="19143"/>
    <cellStyle name="Cálculo 2 3 6 42 2 2" xfId="19144"/>
    <cellStyle name="Cálculo 2 3 6 42 3" xfId="19145"/>
    <cellStyle name="Cálculo 2 3 6 43" xfId="19146"/>
    <cellStyle name="Cálculo 2 3 6 43 2" xfId="19147"/>
    <cellStyle name="Cálculo 2 3 6 44" xfId="19148"/>
    <cellStyle name="Cálculo 2 3 6 5" xfId="19149"/>
    <cellStyle name="Cálculo 2 3 6 5 2" xfId="19150"/>
    <cellStyle name="Cálculo 2 3 6 5 2 2" xfId="19151"/>
    <cellStyle name="Cálculo 2 3 6 5 3" xfId="19152"/>
    <cellStyle name="Cálculo 2 3 6 5 3 2" xfId="19153"/>
    <cellStyle name="Cálculo 2 3 6 5 4" xfId="19154"/>
    <cellStyle name="Cálculo 2 3 6 6" xfId="19155"/>
    <cellStyle name="Cálculo 2 3 6 6 2" xfId="19156"/>
    <cellStyle name="Cálculo 2 3 6 6 2 2" xfId="19157"/>
    <cellStyle name="Cálculo 2 3 6 6 3" xfId="19158"/>
    <cellStyle name="Cálculo 2 3 6 6 3 2" xfId="19159"/>
    <cellStyle name="Cálculo 2 3 6 6 4" xfId="19160"/>
    <cellStyle name="Cálculo 2 3 6 7" xfId="19161"/>
    <cellStyle name="Cálculo 2 3 6 7 2" xfId="19162"/>
    <cellStyle name="Cálculo 2 3 6 7 2 2" xfId="19163"/>
    <cellStyle name="Cálculo 2 3 6 7 3" xfId="19164"/>
    <cellStyle name="Cálculo 2 3 6 7 3 2" xfId="19165"/>
    <cellStyle name="Cálculo 2 3 6 7 4" xfId="19166"/>
    <cellStyle name="Cálculo 2 3 6 8" xfId="19167"/>
    <cellStyle name="Cálculo 2 3 6 8 2" xfId="19168"/>
    <cellStyle name="Cálculo 2 3 6 8 2 2" xfId="19169"/>
    <cellStyle name="Cálculo 2 3 6 8 3" xfId="19170"/>
    <cellStyle name="Cálculo 2 3 6 8 3 2" xfId="19171"/>
    <cellStyle name="Cálculo 2 3 6 8 4" xfId="19172"/>
    <cellStyle name="Cálculo 2 3 6 9" xfId="19173"/>
    <cellStyle name="Cálculo 2 3 6 9 2" xfId="19174"/>
    <cellStyle name="Cálculo 2 3 6 9 2 2" xfId="19175"/>
    <cellStyle name="Cálculo 2 3 6 9 3" xfId="19176"/>
    <cellStyle name="Cálculo 2 3 6 9 3 2" xfId="19177"/>
    <cellStyle name="Cálculo 2 3 6 9 4" xfId="19178"/>
    <cellStyle name="Cálculo 2 3 7" xfId="19179"/>
    <cellStyle name="Cálculo 2 3 7 2" xfId="19180"/>
    <cellStyle name="Cálculo 2 3 7 2 2" xfId="19181"/>
    <cellStyle name="Cálculo 2 3 7 3" xfId="19182"/>
    <cellStyle name="Cálculo 2 3 7 3 2" xfId="19183"/>
    <cellStyle name="Cálculo 2 3 7 4" xfId="19184"/>
    <cellStyle name="Cálculo 2 3 8" xfId="19185"/>
    <cellStyle name="Cálculo 2 3 8 2" xfId="19186"/>
    <cellStyle name="Cálculo 2 3 8 2 2" xfId="19187"/>
    <cellStyle name="Cálculo 2 3 8 3" xfId="19188"/>
    <cellStyle name="Cálculo 2 3 8 3 2" xfId="19189"/>
    <cellStyle name="Cálculo 2 3 8 4" xfId="19190"/>
    <cellStyle name="Cálculo 2 3 9" xfId="19191"/>
    <cellStyle name="Cálculo 2 3 9 2" xfId="19192"/>
    <cellStyle name="Cálculo 2 3 9 2 2" xfId="19193"/>
    <cellStyle name="Cálculo 2 3 9 3" xfId="19194"/>
    <cellStyle name="Cálculo 2 3 9 3 2" xfId="19195"/>
    <cellStyle name="Cálculo 2 3 9 4" xfId="19196"/>
    <cellStyle name="Cálculo 2 30" xfId="19197"/>
    <cellStyle name="Cálculo 2 4" xfId="19198"/>
    <cellStyle name="Cálculo 2 4 10" xfId="19199"/>
    <cellStyle name="Cálculo 2 4 10 2" xfId="19200"/>
    <cellStyle name="Cálculo 2 4 10 2 2" xfId="19201"/>
    <cellStyle name="Cálculo 2 4 10 3" xfId="19202"/>
    <cellStyle name="Cálculo 2 4 10 3 2" xfId="19203"/>
    <cellStyle name="Cálculo 2 4 10 4" xfId="19204"/>
    <cellStyle name="Cálculo 2 4 11" xfId="19205"/>
    <cellStyle name="Cálculo 2 4 11 2" xfId="19206"/>
    <cellStyle name="Cálculo 2 4 11 2 2" xfId="19207"/>
    <cellStyle name="Cálculo 2 4 11 3" xfId="19208"/>
    <cellStyle name="Cálculo 2 4 11 3 2" xfId="19209"/>
    <cellStyle name="Cálculo 2 4 11 4" xfId="19210"/>
    <cellStyle name="Cálculo 2 4 12" xfId="19211"/>
    <cellStyle name="Cálculo 2 4 12 2" xfId="19212"/>
    <cellStyle name="Cálculo 2 4 12 2 2" xfId="19213"/>
    <cellStyle name="Cálculo 2 4 12 3" xfId="19214"/>
    <cellStyle name="Cálculo 2 4 12 3 2" xfId="19215"/>
    <cellStyle name="Cálculo 2 4 12 4" xfId="19216"/>
    <cellStyle name="Cálculo 2 4 13" xfId="19217"/>
    <cellStyle name="Cálculo 2 4 13 2" xfId="19218"/>
    <cellStyle name="Cálculo 2 4 13 2 2" xfId="19219"/>
    <cellStyle name="Cálculo 2 4 13 3" xfId="19220"/>
    <cellStyle name="Cálculo 2 4 13 3 2" xfId="19221"/>
    <cellStyle name="Cálculo 2 4 13 4" xfId="19222"/>
    <cellStyle name="Cálculo 2 4 14" xfId="19223"/>
    <cellStyle name="Cálculo 2 4 14 2" xfId="19224"/>
    <cellStyle name="Cálculo 2 4 14 2 2" xfId="19225"/>
    <cellStyle name="Cálculo 2 4 14 3" xfId="19226"/>
    <cellStyle name="Cálculo 2 4 14 3 2" xfId="19227"/>
    <cellStyle name="Cálculo 2 4 14 4" xfId="19228"/>
    <cellStyle name="Cálculo 2 4 15" xfId="19229"/>
    <cellStyle name="Cálculo 2 4 15 2" xfId="19230"/>
    <cellStyle name="Cálculo 2 4 15 2 2" xfId="19231"/>
    <cellStyle name="Cálculo 2 4 15 3" xfId="19232"/>
    <cellStyle name="Cálculo 2 4 15 3 2" xfId="19233"/>
    <cellStyle name="Cálculo 2 4 15 4" xfId="19234"/>
    <cellStyle name="Cálculo 2 4 16" xfId="19235"/>
    <cellStyle name="Cálculo 2 4 16 2" xfId="19236"/>
    <cellStyle name="Cálculo 2 4 16 2 2" xfId="19237"/>
    <cellStyle name="Cálculo 2 4 16 3" xfId="19238"/>
    <cellStyle name="Cálculo 2 4 16 3 2" xfId="19239"/>
    <cellStyle name="Cálculo 2 4 16 4" xfId="19240"/>
    <cellStyle name="Cálculo 2 4 17" xfId="19241"/>
    <cellStyle name="Cálculo 2 4 17 2" xfId="19242"/>
    <cellStyle name="Cálculo 2 4 17 2 2" xfId="19243"/>
    <cellStyle name="Cálculo 2 4 17 3" xfId="19244"/>
    <cellStyle name="Cálculo 2 4 17 3 2" xfId="19245"/>
    <cellStyle name="Cálculo 2 4 17 4" xfId="19246"/>
    <cellStyle name="Cálculo 2 4 18" xfId="19247"/>
    <cellStyle name="Cálculo 2 4 18 2" xfId="19248"/>
    <cellStyle name="Cálculo 2 4 18 2 2" xfId="19249"/>
    <cellStyle name="Cálculo 2 4 18 3" xfId="19250"/>
    <cellStyle name="Cálculo 2 4 18 3 2" xfId="19251"/>
    <cellStyle name="Cálculo 2 4 18 4" xfId="19252"/>
    <cellStyle name="Cálculo 2 4 19" xfId="19253"/>
    <cellStyle name="Cálculo 2 4 19 2" xfId="19254"/>
    <cellStyle name="Cálculo 2 4 19 2 2" xfId="19255"/>
    <cellStyle name="Cálculo 2 4 19 3" xfId="19256"/>
    <cellStyle name="Cálculo 2 4 19 3 2" xfId="19257"/>
    <cellStyle name="Cálculo 2 4 19 4" xfId="19258"/>
    <cellStyle name="Cálculo 2 4 2" xfId="19259"/>
    <cellStyle name="Cálculo 2 4 2 10" xfId="19260"/>
    <cellStyle name="Cálculo 2 4 2 10 2" xfId="19261"/>
    <cellStyle name="Cálculo 2 4 2 10 2 2" xfId="19262"/>
    <cellStyle name="Cálculo 2 4 2 10 3" xfId="19263"/>
    <cellStyle name="Cálculo 2 4 2 10 3 2" xfId="19264"/>
    <cellStyle name="Cálculo 2 4 2 10 4" xfId="19265"/>
    <cellStyle name="Cálculo 2 4 2 11" xfId="19266"/>
    <cellStyle name="Cálculo 2 4 2 11 2" xfId="19267"/>
    <cellStyle name="Cálculo 2 4 2 11 2 2" xfId="19268"/>
    <cellStyle name="Cálculo 2 4 2 11 3" xfId="19269"/>
    <cellStyle name="Cálculo 2 4 2 11 3 2" xfId="19270"/>
    <cellStyle name="Cálculo 2 4 2 11 4" xfId="19271"/>
    <cellStyle name="Cálculo 2 4 2 12" xfId="19272"/>
    <cellStyle name="Cálculo 2 4 2 12 2" xfId="19273"/>
    <cellStyle name="Cálculo 2 4 2 12 2 2" xfId="19274"/>
    <cellStyle name="Cálculo 2 4 2 12 3" xfId="19275"/>
    <cellStyle name="Cálculo 2 4 2 12 3 2" xfId="19276"/>
    <cellStyle name="Cálculo 2 4 2 12 4" xfId="19277"/>
    <cellStyle name="Cálculo 2 4 2 13" xfId="19278"/>
    <cellStyle name="Cálculo 2 4 2 13 2" xfId="19279"/>
    <cellStyle name="Cálculo 2 4 2 13 2 2" xfId="19280"/>
    <cellStyle name="Cálculo 2 4 2 13 3" xfId="19281"/>
    <cellStyle name="Cálculo 2 4 2 13 3 2" xfId="19282"/>
    <cellStyle name="Cálculo 2 4 2 13 4" xfId="19283"/>
    <cellStyle name="Cálculo 2 4 2 14" xfId="19284"/>
    <cellStyle name="Cálculo 2 4 2 14 2" xfId="19285"/>
    <cellStyle name="Cálculo 2 4 2 14 2 2" xfId="19286"/>
    <cellStyle name="Cálculo 2 4 2 14 3" xfId="19287"/>
    <cellStyle name="Cálculo 2 4 2 14 3 2" xfId="19288"/>
    <cellStyle name="Cálculo 2 4 2 14 4" xfId="19289"/>
    <cellStyle name="Cálculo 2 4 2 15" xfId="19290"/>
    <cellStyle name="Cálculo 2 4 2 15 2" xfId="19291"/>
    <cellStyle name="Cálculo 2 4 2 15 2 2" xfId="19292"/>
    <cellStyle name="Cálculo 2 4 2 15 3" xfId="19293"/>
    <cellStyle name="Cálculo 2 4 2 15 3 2" xfId="19294"/>
    <cellStyle name="Cálculo 2 4 2 15 4" xfId="19295"/>
    <cellStyle name="Cálculo 2 4 2 16" xfId="19296"/>
    <cellStyle name="Cálculo 2 4 2 16 2" xfId="19297"/>
    <cellStyle name="Cálculo 2 4 2 16 2 2" xfId="19298"/>
    <cellStyle name="Cálculo 2 4 2 16 3" xfId="19299"/>
    <cellStyle name="Cálculo 2 4 2 16 3 2" xfId="19300"/>
    <cellStyle name="Cálculo 2 4 2 16 4" xfId="19301"/>
    <cellStyle name="Cálculo 2 4 2 17" xfId="19302"/>
    <cellStyle name="Cálculo 2 4 2 17 2" xfId="19303"/>
    <cellStyle name="Cálculo 2 4 2 17 2 2" xfId="19304"/>
    <cellStyle name="Cálculo 2 4 2 17 3" xfId="19305"/>
    <cellStyle name="Cálculo 2 4 2 17 3 2" xfId="19306"/>
    <cellStyle name="Cálculo 2 4 2 17 4" xfId="19307"/>
    <cellStyle name="Cálculo 2 4 2 18" xfId="19308"/>
    <cellStyle name="Cálculo 2 4 2 18 2" xfId="19309"/>
    <cellStyle name="Cálculo 2 4 2 18 2 2" xfId="19310"/>
    <cellStyle name="Cálculo 2 4 2 18 3" xfId="19311"/>
    <cellStyle name="Cálculo 2 4 2 18 3 2" xfId="19312"/>
    <cellStyle name="Cálculo 2 4 2 18 4" xfId="19313"/>
    <cellStyle name="Cálculo 2 4 2 19" xfId="19314"/>
    <cellStyle name="Cálculo 2 4 2 19 2" xfId="19315"/>
    <cellStyle name="Cálculo 2 4 2 19 2 2" xfId="19316"/>
    <cellStyle name="Cálculo 2 4 2 19 3" xfId="19317"/>
    <cellStyle name="Cálculo 2 4 2 19 3 2" xfId="19318"/>
    <cellStyle name="Cálculo 2 4 2 19 4" xfId="19319"/>
    <cellStyle name="Cálculo 2 4 2 2" xfId="19320"/>
    <cellStyle name="Cálculo 2 4 2 2 2" xfId="19321"/>
    <cellStyle name="Cálculo 2 4 2 2 2 2" xfId="19322"/>
    <cellStyle name="Cálculo 2 4 2 2 3" xfId="19323"/>
    <cellStyle name="Cálculo 2 4 2 2 3 2" xfId="19324"/>
    <cellStyle name="Cálculo 2 4 2 2 4" xfId="19325"/>
    <cellStyle name="Cálculo 2 4 2 20" xfId="19326"/>
    <cellStyle name="Cálculo 2 4 2 20 2" xfId="19327"/>
    <cellStyle name="Cálculo 2 4 2 20 2 2" xfId="19328"/>
    <cellStyle name="Cálculo 2 4 2 20 3" xfId="19329"/>
    <cellStyle name="Cálculo 2 4 2 20 3 2" xfId="19330"/>
    <cellStyle name="Cálculo 2 4 2 20 4" xfId="19331"/>
    <cellStyle name="Cálculo 2 4 2 21" xfId="19332"/>
    <cellStyle name="Cálculo 2 4 2 21 2" xfId="19333"/>
    <cellStyle name="Cálculo 2 4 2 21 2 2" xfId="19334"/>
    <cellStyle name="Cálculo 2 4 2 21 3" xfId="19335"/>
    <cellStyle name="Cálculo 2 4 2 21 3 2" xfId="19336"/>
    <cellStyle name="Cálculo 2 4 2 21 4" xfId="19337"/>
    <cellStyle name="Cálculo 2 4 2 22" xfId="19338"/>
    <cellStyle name="Cálculo 2 4 2 22 2" xfId="19339"/>
    <cellStyle name="Cálculo 2 4 2 22 2 2" xfId="19340"/>
    <cellStyle name="Cálculo 2 4 2 22 3" xfId="19341"/>
    <cellStyle name="Cálculo 2 4 2 22 3 2" xfId="19342"/>
    <cellStyle name="Cálculo 2 4 2 22 4" xfId="19343"/>
    <cellStyle name="Cálculo 2 4 2 23" xfId="19344"/>
    <cellStyle name="Cálculo 2 4 2 23 2" xfId="19345"/>
    <cellStyle name="Cálculo 2 4 2 23 2 2" xfId="19346"/>
    <cellStyle name="Cálculo 2 4 2 23 3" xfId="19347"/>
    <cellStyle name="Cálculo 2 4 2 23 3 2" xfId="19348"/>
    <cellStyle name="Cálculo 2 4 2 23 4" xfId="19349"/>
    <cellStyle name="Cálculo 2 4 2 24" xfId="19350"/>
    <cellStyle name="Cálculo 2 4 2 24 2" xfId="19351"/>
    <cellStyle name="Cálculo 2 4 2 24 2 2" xfId="19352"/>
    <cellStyle name="Cálculo 2 4 2 24 3" xfId="19353"/>
    <cellStyle name="Cálculo 2 4 2 24 3 2" xfId="19354"/>
    <cellStyle name="Cálculo 2 4 2 24 4" xfId="19355"/>
    <cellStyle name="Cálculo 2 4 2 25" xfId="19356"/>
    <cellStyle name="Cálculo 2 4 2 25 2" xfId="19357"/>
    <cellStyle name="Cálculo 2 4 2 25 2 2" xfId="19358"/>
    <cellStyle name="Cálculo 2 4 2 25 3" xfId="19359"/>
    <cellStyle name="Cálculo 2 4 2 25 3 2" xfId="19360"/>
    <cellStyle name="Cálculo 2 4 2 25 4" xfId="19361"/>
    <cellStyle name="Cálculo 2 4 2 26" xfId="19362"/>
    <cellStyle name="Cálculo 2 4 2 26 2" xfId="19363"/>
    <cellStyle name="Cálculo 2 4 2 26 2 2" xfId="19364"/>
    <cellStyle name="Cálculo 2 4 2 26 3" xfId="19365"/>
    <cellStyle name="Cálculo 2 4 2 26 3 2" xfId="19366"/>
    <cellStyle name="Cálculo 2 4 2 26 4" xfId="19367"/>
    <cellStyle name="Cálculo 2 4 2 27" xfId="19368"/>
    <cellStyle name="Cálculo 2 4 2 27 2" xfId="19369"/>
    <cellStyle name="Cálculo 2 4 2 27 2 2" xfId="19370"/>
    <cellStyle name="Cálculo 2 4 2 27 3" xfId="19371"/>
    <cellStyle name="Cálculo 2 4 2 27 3 2" xfId="19372"/>
    <cellStyle name="Cálculo 2 4 2 27 4" xfId="19373"/>
    <cellStyle name="Cálculo 2 4 2 28" xfId="19374"/>
    <cellStyle name="Cálculo 2 4 2 28 2" xfId="19375"/>
    <cellStyle name="Cálculo 2 4 2 28 2 2" xfId="19376"/>
    <cellStyle name="Cálculo 2 4 2 28 3" xfId="19377"/>
    <cellStyle name="Cálculo 2 4 2 28 3 2" xfId="19378"/>
    <cellStyle name="Cálculo 2 4 2 28 4" xfId="19379"/>
    <cellStyle name="Cálculo 2 4 2 29" xfId="19380"/>
    <cellStyle name="Cálculo 2 4 2 29 2" xfId="19381"/>
    <cellStyle name="Cálculo 2 4 2 29 2 2" xfId="19382"/>
    <cellStyle name="Cálculo 2 4 2 29 3" xfId="19383"/>
    <cellStyle name="Cálculo 2 4 2 29 3 2" xfId="19384"/>
    <cellStyle name="Cálculo 2 4 2 29 4" xfId="19385"/>
    <cellStyle name="Cálculo 2 4 2 3" xfId="19386"/>
    <cellStyle name="Cálculo 2 4 2 3 2" xfId="19387"/>
    <cellStyle name="Cálculo 2 4 2 3 2 2" xfId="19388"/>
    <cellStyle name="Cálculo 2 4 2 3 3" xfId="19389"/>
    <cellStyle name="Cálculo 2 4 2 3 3 2" xfId="19390"/>
    <cellStyle name="Cálculo 2 4 2 3 4" xfId="19391"/>
    <cellStyle name="Cálculo 2 4 2 30" xfId="19392"/>
    <cellStyle name="Cálculo 2 4 2 30 2" xfId="19393"/>
    <cellStyle name="Cálculo 2 4 2 30 2 2" xfId="19394"/>
    <cellStyle name="Cálculo 2 4 2 30 3" xfId="19395"/>
    <cellStyle name="Cálculo 2 4 2 30 3 2" xfId="19396"/>
    <cellStyle name="Cálculo 2 4 2 30 4" xfId="19397"/>
    <cellStyle name="Cálculo 2 4 2 31" xfId="19398"/>
    <cellStyle name="Cálculo 2 4 2 31 2" xfId="19399"/>
    <cellStyle name="Cálculo 2 4 2 31 2 2" xfId="19400"/>
    <cellStyle name="Cálculo 2 4 2 31 3" xfId="19401"/>
    <cellStyle name="Cálculo 2 4 2 31 3 2" xfId="19402"/>
    <cellStyle name="Cálculo 2 4 2 31 4" xfId="19403"/>
    <cellStyle name="Cálculo 2 4 2 32" xfId="19404"/>
    <cellStyle name="Cálculo 2 4 2 32 2" xfId="19405"/>
    <cellStyle name="Cálculo 2 4 2 32 2 2" xfId="19406"/>
    <cellStyle name="Cálculo 2 4 2 32 3" xfId="19407"/>
    <cellStyle name="Cálculo 2 4 2 32 3 2" xfId="19408"/>
    <cellStyle name="Cálculo 2 4 2 32 4" xfId="19409"/>
    <cellStyle name="Cálculo 2 4 2 33" xfId="19410"/>
    <cellStyle name="Cálculo 2 4 2 33 2" xfId="19411"/>
    <cellStyle name="Cálculo 2 4 2 33 2 2" xfId="19412"/>
    <cellStyle name="Cálculo 2 4 2 33 3" xfId="19413"/>
    <cellStyle name="Cálculo 2 4 2 33 3 2" xfId="19414"/>
    <cellStyle name="Cálculo 2 4 2 33 4" xfId="19415"/>
    <cellStyle name="Cálculo 2 4 2 34" xfId="19416"/>
    <cellStyle name="Cálculo 2 4 2 34 2" xfId="19417"/>
    <cellStyle name="Cálculo 2 4 2 34 2 2" xfId="19418"/>
    <cellStyle name="Cálculo 2 4 2 34 3" xfId="19419"/>
    <cellStyle name="Cálculo 2 4 2 34 3 2" xfId="19420"/>
    <cellStyle name="Cálculo 2 4 2 34 4" xfId="19421"/>
    <cellStyle name="Cálculo 2 4 2 35" xfId="19422"/>
    <cellStyle name="Cálculo 2 4 2 35 2" xfId="19423"/>
    <cellStyle name="Cálculo 2 4 2 35 2 2" xfId="19424"/>
    <cellStyle name="Cálculo 2 4 2 35 3" xfId="19425"/>
    <cellStyle name="Cálculo 2 4 2 35 3 2" xfId="19426"/>
    <cellStyle name="Cálculo 2 4 2 35 4" xfId="19427"/>
    <cellStyle name="Cálculo 2 4 2 36" xfId="19428"/>
    <cellStyle name="Cálculo 2 4 2 36 2" xfId="19429"/>
    <cellStyle name="Cálculo 2 4 2 36 2 2" xfId="19430"/>
    <cellStyle name="Cálculo 2 4 2 36 3" xfId="19431"/>
    <cellStyle name="Cálculo 2 4 2 36 3 2" xfId="19432"/>
    <cellStyle name="Cálculo 2 4 2 36 4" xfId="19433"/>
    <cellStyle name="Cálculo 2 4 2 37" xfId="19434"/>
    <cellStyle name="Cálculo 2 4 2 37 2" xfId="19435"/>
    <cellStyle name="Cálculo 2 4 2 37 2 2" xfId="19436"/>
    <cellStyle name="Cálculo 2 4 2 37 3" xfId="19437"/>
    <cellStyle name="Cálculo 2 4 2 37 3 2" xfId="19438"/>
    <cellStyle name="Cálculo 2 4 2 37 4" xfId="19439"/>
    <cellStyle name="Cálculo 2 4 2 38" xfId="19440"/>
    <cellStyle name="Cálculo 2 4 2 38 2" xfId="19441"/>
    <cellStyle name="Cálculo 2 4 2 38 2 2" xfId="19442"/>
    <cellStyle name="Cálculo 2 4 2 38 3" xfId="19443"/>
    <cellStyle name="Cálculo 2 4 2 38 3 2" xfId="19444"/>
    <cellStyle name="Cálculo 2 4 2 38 4" xfId="19445"/>
    <cellStyle name="Cálculo 2 4 2 39" xfId="19446"/>
    <cellStyle name="Cálculo 2 4 2 39 2" xfId="19447"/>
    <cellStyle name="Cálculo 2 4 2 39 2 2" xfId="19448"/>
    <cellStyle name="Cálculo 2 4 2 39 3" xfId="19449"/>
    <cellStyle name="Cálculo 2 4 2 4" xfId="19450"/>
    <cellStyle name="Cálculo 2 4 2 4 2" xfId="19451"/>
    <cellStyle name="Cálculo 2 4 2 4 2 2" xfId="19452"/>
    <cellStyle name="Cálculo 2 4 2 4 3" xfId="19453"/>
    <cellStyle name="Cálculo 2 4 2 4 3 2" xfId="19454"/>
    <cellStyle name="Cálculo 2 4 2 4 4" xfId="19455"/>
    <cellStyle name="Cálculo 2 4 2 40" xfId="19456"/>
    <cellStyle name="Cálculo 2 4 2 40 2" xfId="19457"/>
    <cellStyle name="Cálculo 2 4 2 41" xfId="19458"/>
    <cellStyle name="Cálculo 2 4 2 41 2" xfId="19459"/>
    <cellStyle name="Cálculo 2 4 2 42" xfId="19460"/>
    <cellStyle name="Cálculo 2 4 2 42 2" xfId="19461"/>
    <cellStyle name="Cálculo 2 4 2 43" xfId="19462"/>
    <cellStyle name="Cálculo 2 4 2 5" xfId="19463"/>
    <cellStyle name="Cálculo 2 4 2 5 2" xfId="19464"/>
    <cellStyle name="Cálculo 2 4 2 5 2 2" xfId="19465"/>
    <cellStyle name="Cálculo 2 4 2 5 3" xfId="19466"/>
    <cellStyle name="Cálculo 2 4 2 5 3 2" xfId="19467"/>
    <cellStyle name="Cálculo 2 4 2 5 4" xfId="19468"/>
    <cellStyle name="Cálculo 2 4 2 6" xfId="19469"/>
    <cellStyle name="Cálculo 2 4 2 6 2" xfId="19470"/>
    <cellStyle name="Cálculo 2 4 2 6 2 2" xfId="19471"/>
    <cellStyle name="Cálculo 2 4 2 6 3" xfId="19472"/>
    <cellStyle name="Cálculo 2 4 2 6 3 2" xfId="19473"/>
    <cellStyle name="Cálculo 2 4 2 6 4" xfId="19474"/>
    <cellStyle name="Cálculo 2 4 2 7" xfId="19475"/>
    <cellStyle name="Cálculo 2 4 2 7 2" xfId="19476"/>
    <cellStyle name="Cálculo 2 4 2 7 2 2" xfId="19477"/>
    <cellStyle name="Cálculo 2 4 2 7 3" xfId="19478"/>
    <cellStyle name="Cálculo 2 4 2 7 3 2" xfId="19479"/>
    <cellStyle name="Cálculo 2 4 2 7 4" xfId="19480"/>
    <cellStyle name="Cálculo 2 4 2 8" xfId="19481"/>
    <cellStyle name="Cálculo 2 4 2 8 2" xfId="19482"/>
    <cellStyle name="Cálculo 2 4 2 8 2 2" xfId="19483"/>
    <cellStyle name="Cálculo 2 4 2 8 3" xfId="19484"/>
    <cellStyle name="Cálculo 2 4 2 8 3 2" xfId="19485"/>
    <cellStyle name="Cálculo 2 4 2 8 4" xfId="19486"/>
    <cellStyle name="Cálculo 2 4 2 9" xfId="19487"/>
    <cellStyle name="Cálculo 2 4 2 9 2" xfId="19488"/>
    <cellStyle name="Cálculo 2 4 2 9 2 2" xfId="19489"/>
    <cellStyle name="Cálculo 2 4 2 9 3" xfId="19490"/>
    <cellStyle name="Cálculo 2 4 2 9 3 2" xfId="19491"/>
    <cellStyle name="Cálculo 2 4 2 9 4" xfId="19492"/>
    <cellStyle name="Cálculo 2 4 20" xfId="19493"/>
    <cellStyle name="Cálculo 2 4 20 2" xfId="19494"/>
    <cellStyle name="Cálculo 2 4 20 2 2" xfId="19495"/>
    <cellStyle name="Cálculo 2 4 20 3" xfId="19496"/>
    <cellStyle name="Cálculo 2 4 20 3 2" xfId="19497"/>
    <cellStyle name="Cálculo 2 4 20 4" xfId="19498"/>
    <cellStyle name="Cálculo 2 4 21" xfId="19499"/>
    <cellStyle name="Cálculo 2 4 21 2" xfId="19500"/>
    <cellStyle name="Cálculo 2 4 21 2 2" xfId="19501"/>
    <cellStyle name="Cálculo 2 4 21 3" xfId="19502"/>
    <cellStyle name="Cálculo 2 4 21 3 2" xfId="19503"/>
    <cellStyle name="Cálculo 2 4 21 4" xfId="19504"/>
    <cellStyle name="Cálculo 2 4 22" xfId="19505"/>
    <cellStyle name="Cálculo 2 4 22 2" xfId="19506"/>
    <cellStyle name="Cálculo 2 4 22 2 2" xfId="19507"/>
    <cellStyle name="Cálculo 2 4 22 3" xfId="19508"/>
    <cellStyle name="Cálculo 2 4 22 3 2" xfId="19509"/>
    <cellStyle name="Cálculo 2 4 22 4" xfId="19510"/>
    <cellStyle name="Cálculo 2 4 23" xfId="19511"/>
    <cellStyle name="Cálculo 2 4 23 2" xfId="19512"/>
    <cellStyle name="Cálculo 2 4 23 2 2" xfId="19513"/>
    <cellStyle name="Cálculo 2 4 23 3" xfId="19514"/>
    <cellStyle name="Cálculo 2 4 23 3 2" xfId="19515"/>
    <cellStyle name="Cálculo 2 4 23 4" xfId="19516"/>
    <cellStyle name="Cálculo 2 4 24" xfId="19517"/>
    <cellStyle name="Cálculo 2 4 24 2" xfId="19518"/>
    <cellStyle name="Cálculo 2 4 24 2 2" xfId="19519"/>
    <cellStyle name="Cálculo 2 4 24 3" xfId="19520"/>
    <cellStyle name="Cálculo 2 4 24 3 2" xfId="19521"/>
    <cellStyle name="Cálculo 2 4 24 4" xfId="19522"/>
    <cellStyle name="Cálculo 2 4 25" xfId="19523"/>
    <cellStyle name="Cálculo 2 4 25 2" xfId="19524"/>
    <cellStyle name="Cálculo 2 4 25 2 2" xfId="19525"/>
    <cellStyle name="Cálculo 2 4 25 3" xfId="19526"/>
    <cellStyle name="Cálculo 2 4 25 3 2" xfId="19527"/>
    <cellStyle name="Cálculo 2 4 25 4" xfId="19528"/>
    <cellStyle name="Cálculo 2 4 26" xfId="19529"/>
    <cellStyle name="Cálculo 2 4 26 2" xfId="19530"/>
    <cellStyle name="Cálculo 2 4 26 2 2" xfId="19531"/>
    <cellStyle name="Cálculo 2 4 26 3" xfId="19532"/>
    <cellStyle name="Cálculo 2 4 26 3 2" xfId="19533"/>
    <cellStyle name="Cálculo 2 4 26 4" xfId="19534"/>
    <cellStyle name="Cálculo 2 4 27" xfId="19535"/>
    <cellStyle name="Cálculo 2 4 27 2" xfId="19536"/>
    <cellStyle name="Cálculo 2 4 27 2 2" xfId="19537"/>
    <cellStyle name="Cálculo 2 4 27 3" xfId="19538"/>
    <cellStyle name="Cálculo 2 4 27 3 2" xfId="19539"/>
    <cellStyle name="Cálculo 2 4 27 4" xfId="19540"/>
    <cellStyle name="Cálculo 2 4 28" xfId="19541"/>
    <cellStyle name="Cálculo 2 4 28 2" xfId="19542"/>
    <cellStyle name="Cálculo 2 4 28 2 2" xfId="19543"/>
    <cellStyle name="Cálculo 2 4 28 3" xfId="19544"/>
    <cellStyle name="Cálculo 2 4 28 3 2" xfId="19545"/>
    <cellStyle name="Cálculo 2 4 28 4" xfId="19546"/>
    <cellStyle name="Cálculo 2 4 29" xfId="19547"/>
    <cellStyle name="Cálculo 2 4 29 2" xfId="19548"/>
    <cellStyle name="Cálculo 2 4 29 2 2" xfId="19549"/>
    <cellStyle name="Cálculo 2 4 29 3" xfId="19550"/>
    <cellStyle name="Cálculo 2 4 29 3 2" xfId="19551"/>
    <cellStyle name="Cálculo 2 4 29 4" xfId="19552"/>
    <cellStyle name="Cálculo 2 4 3" xfId="19553"/>
    <cellStyle name="Cálculo 2 4 3 10" xfId="19554"/>
    <cellStyle name="Cálculo 2 4 3 10 2" xfId="19555"/>
    <cellStyle name="Cálculo 2 4 3 10 2 2" xfId="19556"/>
    <cellStyle name="Cálculo 2 4 3 10 3" xfId="19557"/>
    <cellStyle name="Cálculo 2 4 3 10 3 2" xfId="19558"/>
    <cellStyle name="Cálculo 2 4 3 10 4" xfId="19559"/>
    <cellStyle name="Cálculo 2 4 3 11" xfId="19560"/>
    <cellStyle name="Cálculo 2 4 3 11 2" xfId="19561"/>
    <cellStyle name="Cálculo 2 4 3 11 2 2" xfId="19562"/>
    <cellStyle name="Cálculo 2 4 3 11 3" xfId="19563"/>
    <cellStyle name="Cálculo 2 4 3 11 3 2" xfId="19564"/>
    <cellStyle name="Cálculo 2 4 3 11 4" xfId="19565"/>
    <cellStyle name="Cálculo 2 4 3 12" xfId="19566"/>
    <cellStyle name="Cálculo 2 4 3 12 2" xfId="19567"/>
    <cellStyle name="Cálculo 2 4 3 12 2 2" xfId="19568"/>
    <cellStyle name="Cálculo 2 4 3 12 3" xfId="19569"/>
    <cellStyle name="Cálculo 2 4 3 12 3 2" xfId="19570"/>
    <cellStyle name="Cálculo 2 4 3 12 4" xfId="19571"/>
    <cellStyle name="Cálculo 2 4 3 13" xfId="19572"/>
    <cellStyle name="Cálculo 2 4 3 13 2" xfId="19573"/>
    <cellStyle name="Cálculo 2 4 3 13 2 2" xfId="19574"/>
    <cellStyle name="Cálculo 2 4 3 13 3" xfId="19575"/>
    <cellStyle name="Cálculo 2 4 3 13 3 2" xfId="19576"/>
    <cellStyle name="Cálculo 2 4 3 13 4" xfId="19577"/>
    <cellStyle name="Cálculo 2 4 3 14" xfId="19578"/>
    <cellStyle name="Cálculo 2 4 3 14 2" xfId="19579"/>
    <cellStyle name="Cálculo 2 4 3 14 2 2" xfId="19580"/>
    <cellStyle name="Cálculo 2 4 3 14 3" xfId="19581"/>
    <cellStyle name="Cálculo 2 4 3 14 3 2" xfId="19582"/>
    <cellStyle name="Cálculo 2 4 3 14 4" xfId="19583"/>
    <cellStyle name="Cálculo 2 4 3 15" xfId="19584"/>
    <cellStyle name="Cálculo 2 4 3 15 2" xfId="19585"/>
    <cellStyle name="Cálculo 2 4 3 15 2 2" xfId="19586"/>
    <cellStyle name="Cálculo 2 4 3 15 3" xfId="19587"/>
    <cellStyle name="Cálculo 2 4 3 15 3 2" xfId="19588"/>
    <cellStyle name="Cálculo 2 4 3 15 4" xfId="19589"/>
    <cellStyle name="Cálculo 2 4 3 16" xfId="19590"/>
    <cellStyle name="Cálculo 2 4 3 16 2" xfId="19591"/>
    <cellStyle name="Cálculo 2 4 3 16 2 2" xfId="19592"/>
    <cellStyle name="Cálculo 2 4 3 16 3" xfId="19593"/>
    <cellStyle name="Cálculo 2 4 3 16 3 2" xfId="19594"/>
    <cellStyle name="Cálculo 2 4 3 16 4" xfId="19595"/>
    <cellStyle name="Cálculo 2 4 3 17" xfId="19596"/>
    <cellStyle name="Cálculo 2 4 3 17 2" xfId="19597"/>
    <cellStyle name="Cálculo 2 4 3 17 2 2" xfId="19598"/>
    <cellStyle name="Cálculo 2 4 3 17 3" xfId="19599"/>
    <cellStyle name="Cálculo 2 4 3 17 3 2" xfId="19600"/>
    <cellStyle name="Cálculo 2 4 3 17 4" xfId="19601"/>
    <cellStyle name="Cálculo 2 4 3 18" xfId="19602"/>
    <cellStyle name="Cálculo 2 4 3 18 2" xfId="19603"/>
    <cellStyle name="Cálculo 2 4 3 18 2 2" xfId="19604"/>
    <cellStyle name="Cálculo 2 4 3 18 3" xfId="19605"/>
    <cellStyle name="Cálculo 2 4 3 18 3 2" xfId="19606"/>
    <cellStyle name="Cálculo 2 4 3 18 4" xfId="19607"/>
    <cellStyle name="Cálculo 2 4 3 19" xfId="19608"/>
    <cellStyle name="Cálculo 2 4 3 19 2" xfId="19609"/>
    <cellStyle name="Cálculo 2 4 3 19 2 2" xfId="19610"/>
    <cellStyle name="Cálculo 2 4 3 19 3" xfId="19611"/>
    <cellStyle name="Cálculo 2 4 3 19 3 2" xfId="19612"/>
    <cellStyle name="Cálculo 2 4 3 19 4" xfId="19613"/>
    <cellStyle name="Cálculo 2 4 3 2" xfId="19614"/>
    <cellStyle name="Cálculo 2 4 3 2 2" xfId="19615"/>
    <cellStyle name="Cálculo 2 4 3 2 2 2" xfId="19616"/>
    <cellStyle name="Cálculo 2 4 3 2 3" xfId="19617"/>
    <cellStyle name="Cálculo 2 4 3 2 3 2" xfId="19618"/>
    <cellStyle name="Cálculo 2 4 3 2 4" xfId="19619"/>
    <cellStyle name="Cálculo 2 4 3 20" xfId="19620"/>
    <cellStyle name="Cálculo 2 4 3 20 2" xfId="19621"/>
    <cellStyle name="Cálculo 2 4 3 20 2 2" xfId="19622"/>
    <cellStyle name="Cálculo 2 4 3 20 3" xfId="19623"/>
    <cellStyle name="Cálculo 2 4 3 20 3 2" xfId="19624"/>
    <cellStyle name="Cálculo 2 4 3 20 4" xfId="19625"/>
    <cellStyle name="Cálculo 2 4 3 21" xfId="19626"/>
    <cellStyle name="Cálculo 2 4 3 21 2" xfId="19627"/>
    <cellStyle name="Cálculo 2 4 3 21 2 2" xfId="19628"/>
    <cellStyle name="Cálculo 2 4 3 21 3" xfId="19629"/>
    <cellStyle name="Cálculo 2 4 3 21 3 2" xfId="19630"/>
    <cellStyle name="Cálculo 2 4 3 21 4" xfId="19631"/>
    <cellStyle name="Cálculo 2 4 3 22" xfId="19632"/>
    <cellStyle name="Cálculo 2 4 3 22 2" xfId="19633"/>
    <cellStyle name="Cálculo 2 4 3 22 2 2" xfId="19634"/>
    <cellStyle name="Cálculo 2 4 3 22 3" xfId="19635"/>
    <cellStyle name="Cálculo 2 4 3 22 3 2" xfId="19636"/>
    <cellStyle name="Cálculo 2 4 3 22 4" xfId="19637"/>
    <cellStyle name="Cálculo 2 4 3 23" xfId="19638"/>
    <cellStyle name="Cálculo 2 4 3 23 2" xfId="19639"/>
    <cellStyle name="Cálculo 2 4 3 23 2 2" xfId="19640"/>
    <cellStyle name="Cálculo 2 4 3 23 3" xfId="19641"/>
    <cellStyle name="Cálculo 2 4 3 23 3 2" xfId="19642"/>
    <cellStyle name="Cálculo 2 4 3 23 4" xfId="19643"/>
    <cellStyle name="Cálculo 2 4 3 24" xfId="19644"/>
    <cellStyle name="Cálculo 2 4 3 24 2" xfId="19645"/>
    <cellStyle name="Cálculo 2 4 3 24 2 2" xfId="19646"/>
    <cellStyle name="Cálculo 2 4 3 24 3" xfId="19647"/>
    <cellStyle name="Cálculo 2 4 3 24 3 2" xfId="19648"/>
    <cellStyle name="Cálculo 2 4 3 24 4" xfId="19649"/>
    <cellStyle name="Cálculo 2 4 3 25" xfId="19650"/>
    <cellStyle name="Cálculo 2 4 3 25 2" xfId="19651"/>
    <cellStyle name="Cálculo 2 4 3 25 2 2" xfId="19652"/>
    <cellStyle name="Cálculo 2 4 3 25 3" xfId="19653"/>
    <cellStyle name="Cálculo 2 4 3 25 3 2" xfId="19654"/>
    <cellStyle name="Cálculo 2 4 3 25 4" xfId="19655"/>
    <cellStyle name="Cálculo 2 4 3 26" xfId="19656"/>
    <cellStyle name="Cálculo 2 4 3 26 2" xfId="19657"/>
    <cellStyle name="Cálculo 2 4 3 26 2 2" xfId="19658"/>
    <cellStyle name="Cálculo 2 4 3 26 3" xfId="19659"/>
    <cellStyle name="Cálculo 2 4 3 26 3 2" xfId="19660"/>
    <cellStyle name="Cálculo 2 4 3 26 4" xfId="19661"/>
    <cellStyle name="Cálculo 2 4 3 27" xfId="19662"/>
    <cellStyle name="Cálculo 2 4 3 27 2" xfId="19663"/>
    <cellStyle name="Cálculo 2 4 3 27 2 2" xfId="19664"/>
    <cellStyle name="Cálculo 2 4 3 27 3" xfId="19665"/>
    <cellStyle name="Cálculo 2 4 3 27 3 2" xfId="19666"/>
    <cellStyle name="Cálculo 2 4 3 27 4" xfId="19667"/>
    <cellStyle name="Cálculo 2 4 3 28" xfId="19668"/>
    <cellStyle name="Cálculo 2 4 3 28 2" xfId="19669"/>
    <cellStyle name="Cálculo 2 4 3 28 2 2" xfId="19670"/>
    <cellStyle name="Cálculo 2 4 3 28 3" xfId="19671"/>
    <cellStyle name="Cálculo 2 4 3 28 3 2" xfId="19672"/>
    <cellStyle name="Cálculo 2 4 3 28 4" xfId="19673"/>
    <cellStyle name="Cálculo 2 4 3 29" xfId="19674"/>
    <cellStyle name="Cálculo 2 4 3 29 2" xfId="19675"/>
    <cellStyle name="Cálculo 2 4 3 29 2 2" xfId="19676"/>
    <cellStyle name="Cálculo 2 4 3 29 3" xfId="19677"/>
    <cellStyle name="Cálculo 2 4 3 29 3 2" xfId="19678"/>
    <cellStyle name="Cálculo 2 4 3 29 4" xfId="19679"/>
    <cellStyle name="Cálculo 2 4 3 3" xfId="19680"/>
    <cellStyle name="Cálculo 2 4 3 3 2" xfId="19681"/>
    <cellStyle name="Cálculo 2 4 3 3 2 2" xfId="19682"/>
    <cellStyle name="Cálculo 2 4 3 3 3" xfId="19683"/>
    <cellStyle name="Cálculo 2 4 3 3 3 2" xfId="19684"/>
    <cellStyle name="Cálculo 2 4 3 3 4" xfId="19685"/>
    <cellStyle name="Cálculo 2 4 3 30" xfId="19686"/>
    <cellStyle name="Cálculo 2 4 3 30 2" xfId="19687"/>
    <cellStyle name="Cálculo 2 4 3 30 2 2" xfId="19688"/>
    <cellStyle name="Cálculo 2 4 3 30 3" xfId="19689"/>
    <cellStyle name="Cálculo 2 4 3 30 3 2" xfId="19690"/>
    <cellStyle name="Cálculo 2 4 3 30 4" xfId="19691"/>
    <cellStyle name="Cálculo 2 4 3 31" xfId="19692"/>
    <cellStyle name="Cálculo 2 4 3 31 2" xfId="19693"/>
    <cellStyle name="Cálculo 2 4 3 31 2 2" xfId="19694"/>
    <cellStyle name="Cálculo 2 4 3 31 3" xfId="19695"/>
    <cellStyle name="Cálculo 2 4 3 31 3 2" xfId="19696"/>
    <cellStyle name="Cálculo 2 4 3 31 4" xfId="19697"/>
    <cellStyle name="Cálculo 2 4 3 32" xfId="19698"/>
    <cellStyle name="Cálculo 2 4 3 32 2" xfId="19699"/>
    <cellStyle name="Cálculo 2 4 3 32 2 2" xfId="19700"/>
    <cellStyle name="Cálculo 2 4 3 32 3" xfId="19701"/>
    <cellStyle name="Cálculo 2 4 3 32 3 2" xfId="19702"/>
    <cellStyle name="Cálculo 2 4 3 32 4" xfId="19703"/>
    <cellStyle name="Cálculo 2 4 3 33" xfId="19704"/>
    <cellStyle name="Cálculo 2 4 3 33 2" xfId="19705"/>
    <cellStyle name="Cálculo 2 4 3 33 2 2" xfId="19706"/>
    <cellStyle name="Cálculo 2 4 3 33 3" xfId="19707"/>
    <cellStyle name="Cálculo 2 4 3 33 3 2" xfId="19708"/>
    <cellStyle name="Cálculo 2 4 3 33 4" xfId="19709"/>
    <cellStyle name="Cálculo 2 4 3 34" xfId="19710"/>
    <cellStyle name="Cálculo 2 4 3 34 2" xfId="19711"/>
    <cellStyle name="Cálculo 2 4 3 34 2 2" xfId="19712"/>
    <cellStyle name="Cálculo 2 4 3 34 3" xfId="19713"/>
    <cellStyle name="Cálculo 2 4 3 34 3 2" xfId="19714"/>
    <cellStyle name="Cálculo 2 4 3 34 4" xfId="19715"/>
    <cellStyle name="Cálculo 2 4 3 35" xfId="19716"/>
    <cellStyle name="Cálculo 2 4 3 35 2" xfId="19717"/>
    <cellStyle name="Cálculo 2 4 3 35 2 2" xfId="19718"/>
    <cellStyle name="Cálculo 2 4 3 35 3" xfId="19719"/>
    <cellStyle name="Cálculo 2 4 3 35 3 2" xfId="19720"/>
    <cellStyle name="Cálculo 2 4 3 35 4" xfId="19721"/>
    <cellStyle name="Cálculo 2 4 3 36" xfId="19722"/>
    <cellStyle name="Cálculo 2 4 3 36 2" xfId="19723"/>
    <cellStyle name="Cálculo 2 4 3 36 2 2" xfId="19724"/>
    <cellStyle name="Cálculo 2 4 3 36 3" xfId="19725"/>
    <cellStyle name="Cálculo 2 4 3 36 3 2" xfId="19726"/>
    <cellStyle name="Cálculo 2 4 3 36 4" xfId="19727"/>
    <cellStyle name="Cálculo 2 4 3 37" xfId="19728"/>
    <cellStyle name="Cálculo 2 4 3 37 2" xfId="19729"/>
    <cellStyle name="Cálculo 2 4 3 37 2 2" xfId="19730"/>
    <cellStyle name="Cálculo 2 4 3 37 3" xfId="19731"/>
    <cellStyle name="Cálculo 2 4 3 37 3 2" xfId="19732"/>
    <cellStyle name="Cálculo 2 4 3 37 4" xfId="19733"/>
    <cellStyle name="Cálculo 2 4 3 38" xfId="19734"/>
    <cellStyle name="Cálculo 2 4 3 38 2" xfId="19735"/>
    <cellStyle name="Cálculo 2 4 3 38 2 2" xfId="19736"/>
    <cellStyle name="Cálculo 2 4 3 38 3" xfId="19737"/>
    <cellStyle name="Cálculo 2 4 3 38 3 2" xfId="19738"/>
    <cellStyle name="Cálculo 2 4 3 38 4" xfId="19739"/>
    <cellStyle name="Cálculo 2 4 3 39" xfId="19740"/>
    <cellStyle name="Cálculo 2 4 3 39 2" xfId="19741"/>
    <cellStyle name="Cálculo 2 4 3 39 2 2" xfId="19742"/>
    <cellStyle name="Cálculo 2 4 3 39 3" xfId="19743"/>
    <cellStyle name="Cálculo 2 4 3 39 3 2" xfId="19744"/>
    <cellStyle name="Cálculo 2 4 3 39 4" xfId="19745"/>
    <cellStyle name="Cálculo 2 4 3 4" xfId="19746"/>
    <cellStyle name="Cálculo 2 4 3 4 2" xfId="19747"/>
    <cellStyle name="Cálculo 2 4 3 4 2 2" xfId="19748"/>
    <cellStyle name="Cálculo 2 4 3 4 3" xfId="19749"/>
    <cellStyle name="Cálculo 2 4 3 4 3 2" xfId="19750"/>
    <cellStyle name="Cálculo 2 4 3 4 4" xfId="19751"/>
    <cellStyle name="Cálculo 2 4 3 40" xfId="19752"/>
    <cellStyle name="Cálculo 2 4 3 40 2" xfId="19753"/>
    <cellStyle name="Cálculo 2 4 3 40 2 2" xfId="19754"/>
    <cellStyle name="Cálculo 2 4 3 40 3" xfId="19755"/>
    <cellStyle name="Cálculo 2 4 3 41" xfId="19756"/>
    <cellStyle name="Cálculo 2 4 3 41 2" xfId="19757"/>
    <cellStyle name="Cálculo 2 4 3 42" xfId="19758"/>
    <cellStyle name="Cálculo 2 4 3 42 2" xfId="19759"/>
    <cellStyle name="Cálculo 2 4 3 43" xfId="19760"/>
    <cellStyle name="Cálculo 2 4 3 5" xfId="19761"/>
    <cellStyle name="Cálculo 2 4 3 5 2" xfId="19762"/>
    <cellStyle name="Cálculo 2 4 3 5 2 2" xfId="19763"/>
    <cellStyle name="Cálculo 2 4 3 5 3" xfId="19764"/>
    <cellStyle name="Cálculo 2 4 3 5 3 2" xfId="19765"/>
    <cellStyle name="Cálculo 2 4 3 5 4" xfId="19766"/>
    <cellStyle name="Cálculo 2 4 3 6" xfId="19767"/>
    <cellStyle name="Cálculo 2 4 3 6 2" xfId="19768"/>
    <cellStyle name="Cálculo 2 4 3 6 2 2" xfId="19769"/>
    <cellStyle name="Cálculo 2 4 3 6 3" xfId="19770"/>
    <cellStyle name="Cálculo 2 4 3 6 3 2" xfId="19771"/>
    <cellStyle name="Cálculo 2 4 3 6 4" xfId="19772"/>
    <cellStyle name="Cálculo 2 4 3 7" xfId="19773"/>
    <cellStyle name="Cálculo 2 4 3 7 2" xfId="19774"/>
    <cellStyle name="Cálculo 2 4 3 7 2 2" xfId="19775"/>
    <cellStyle name="Cálculo 2 4 3 7 3" xfId="19776"/>
    <cellStyle name="Cálculo 2 4 3 7 3 2" xfId="19777"/>
    <cellStyle name="Cálculo 2 4 3 7 4" xfId="19778"/>
    <cellStyle name="Cálculo 2 4 3 8" xfId="19779"/>
    <cellStyle name="Cálculo 2 4 3 8 2" xfId="19780"/>
    <cellStyle name="Cálculo 2 4 3 8 2 2" xfId="19781"/>
    <cellStyle name="Cálculo 2 4 3 8 3" xfId="19782"/>
    <cellStyle name="Cálculo 2 4 3 8 3 2" xfId="19783"/>
    <cellStyle name="Cálculo 2 4 3 8 4" xfId="19784"/>
    <cellStyle name="Cálculo 2 4 3 9" xfId="19785"/>
    <cellStyle name="Cálculo 2 4 3 9 2" xfId="19786"/>
    <cellStyle name="Cálculo 2 4 3 9 2 2" xfId="19787"/>
    <cellStyle name="Cálculo 2 4 3 9 3" xfId="19788"/>
    <cellStyle name="Cálculo 2 4 3 9 3 2" xfId="19789"/>
    <cellStyle name="Cálculo 2 4 3 9 4" xfId="19790"/>
    <cellStyle name="Cálculo 2 4 30" xfId="19791"/>
    <cellStyle name="Cálculo 2 4 30 2" xfId="19792"/>
    <cellStyle name="Cálculo 2 4 30 2 2" xfId="19793"/>
    <cellStyle name="Cálculo 2 4 30 3" xfId="19794"/>
    <cellStyle name="Cálculo 2 4 30 3 2" xfId="19795"/>
    <cellStyle name="Cálculo 2 4 30 4" xfId="19796"/>
    <cellStyle name="Cálculo 2 4 31" xfId="19797"/>
    <cellStyle name="Cálculo 2 4 31 2" xfId="19798"/>
    <cellStyle name="Cálculo 2 4 31 2 2" xfId="19799"/>
    <cellStyle name="Cálculo 2 4 31 3" xfId="19800"/>
    <cellStyle name="Cálculo 2 4 31 3 2" xfId="19801"/>
    <cellStyle name="Cálculo 2 4 31 4" xfId="19802"/>
    <cellStyle name="Cálculo 2 4 32" xfId="19803"/>
    <cellStyle name="Cálculo 2 4 32 2" xfId="19804"/>
    <cellStyle name="Cálculo 2 4 32 2 2" xfId="19805"/>
    <cellStyle name="Cálculo 2 4 32 3" xfId="19806"/>
    <cellStyle name="Cálculo 2 4 32 3 2" xfId="19807"/>
    <cellStyle name="Cálculo 2 4 32 4" xfId="19808"/>
    <cellStyle name="Cálculo 2 4 33" xfId="19809"/>
    <cellStyle name="Cálculo 2 4 33 2" xfId="19810"/>
    <cellStyle name="Cálculo 2 4 33 2 2" xfId="19811"/>
    <cellStyle name="Cálculo 2 4 33 3" xfId="19812"/>
    <cellStyle name="Cálculo 2 4 34" xfId="19813"/>
    <cellStyle name="Cálculo 2 4 34 2" xfId="19814"/>
    <cellStyle name="Cálculo 2 4 35" xfId="19815"/>
    <cellStyle name="Cálculo 2 4 4" xfId="19816"/>
    <cellStyle name="Cálculo 2 4 4 10" xfId="19817"/>
    <cellStyle name="Cálculo 2 4 4 10 2" xfId="19818"/>
    <cellStyle name="Cálculo 2 4 4 10 2 2" xfId="19819"/>
    <cellStyle name="Cálculo 2 4 4 10 3" xfId="19820"/>
    <cellStyle name="Cálculo 2 4 4 10 3 2" xfId="19821"/>
    <cellStyle name="Cálculo 2 4 4 10 4" xfId="19822"/>
    <cellStyle name="Cálculo 2 4 4 11" xfId="19823"/>
    <cellStyle name="Cálculo 2 4 4 11 2" xfId="19824"/>
    <cellStyle name="Cálculo 2 4 4 11 2 2" xfId="19825"/>
    <cellStyle name="Cálculo 2 4 4 11 3" xfId="19826"/>
    <cellStyle name="Cálculo 2 4 4 11 3 2" xfId="19827"/>
    <cellStyle name="Cálculo 2 4 4 11 4" xfId="19828"/>
    <cellStyle name="Cálculo 2 4 4 12" xfId="19829"/>
    <cellStyle name="Cálculo 2 4 4 12 2" xfId="19830"/>
    <cellStyle name="Cálculo 2 4 4 12 2 2" xfId="19831"/>
    <cellStyle name="Cálculo 2 4 4 12 3" xfId="19832"/>
    <cellStyle name="Cálculo 2 4 4 12 3 2" xfId="19833"/>
    <cellStyle name="Cálculo 2 4 4 12 4" xfId="19834"/>
    <cellStyle name="Cálculo 2 4 4 13" xfId="19835"/>
    <cellStyle name="Cálculo 2 4 4 13 2" xfId="19836"/>
    <cellStyle name="Cálculo 2 4 4 13 2 2" xfId="19837"/>
    <cellStyle name="Cálculo 2 4 4 13 3" xfId="19838"/>
    <cellStyle name="Cálculo 2 4 4 13 3 2" xfId="19839"/>
    <cellStyle name="Cálculo 2 4 4 13 4" xfId="19840"/>
    <cellStyle name="Cálculo 2 4 4 14" xfId="19841"/>
    <cellStyle name="Cálculo 2 4 4 14 2" xfId="19842"/>
    <cellStyle name="Cálculo 2 4 4 14 2 2" xfId="19843"/>
    <cellStyle name="Cálculo 2 4 4 14 3" xfId="19844"/>
    <cellStyle name="Cálculo 2 4 4 14 3 2" xfId="19845"/>
    <cellStyle name="Cálculo 2 4 4 14 4" xfId="19846"/>
    <cellStyle name="Cálculo 2 4 4 15" xfId="19847"/>
    <cellStyle name="Cálculo 2 4 4 15 2" xfId="19848"/>
    <cellStyle name="Cálculo 2 4 4 15 2 2" xfId="19849"/>
    <cellStyle name="Cálculo 2 4 4 15 3" xfId="19850"/>
    <cellStyle name="Cálculo 2 4 4 15 3 2" xfId="19851"/>
    <cellStyle name="Cálculo 2 4 4 15 4" xfId="19852"/>
    <cellStyle name="Cálculo 2 4 4 16" xfId="19853"/>
    <cellStyle name="Cálculo 2 4 4 16 2" xfId="19854"/>
    <cellStyle name="Cálculo 2 4 4 16 2 2" xfId="19855"/>
    <cellStyle name="Cálculo 2 4 4 16 3" xfId="19856"/>
    <cellStyle name="Cálculo 2 4 4 16 3 2" xfId="19857"/>
    <cellStyle name="Cálculo 2 4 4 16 4" xfId="19858"/>
    <cellStyle name="Cálculo 2 4 4 17" xfId="19859"/>
    <cellStyle name="Cálculo 2 4 4 17 2" xfId="19860"/>
    <cellStyle name="Cálculo 2 4 4 17 2 2" xfId="19861"/>
    <cellStyle name="Cálculo 2 4 4 17 3" xfId="19862"/>
    <cellStyle name="Cálculo 2 4 4 17 3 2" xfId="19863"/>
    <cellStyle name="Cálculo 2 4 4 17 4" xfId="19864"/>
    <cellStyle name="Cálculo 2 4 4 18" xfId="19865"/>
    <cellStyle name="Cálculo 2 4 4 18 2" xfId="19866"/>
    <cellStyle name="Cálculo 2 4 4 18 2 2" xfId="19867"/>
    <cellStyle name="Cálculo 2 4 4 18 3" xfId="19868"/>
    <cellStyle name="Cálculo 2 4 4 18 3 2" xfId="19869"/>
    <cellStyle name="Cálculo 2 4 4 18 4" xfId="19870"/>
    <cellStyle name="Cálculo 2 4 4 19" xfId="19871"/>
    <cellStyle name="Cálculo 2 4 4 19 2" xfId="19872"/>
    <cellStyle name="Cálculo 2 4 4 19 2 2" xfId="19873"/>
    <cellStyle name="Cálculo 2 4 4 19 3" xfId="19874"/>
    <cellStyle name="Cálculo 2 4 4 19 3 2" xfId="19875"/>
    <cellStyle name="Cálculo 2 4 4 19 4" xfId="19876"/>
    <cellStyle name="Cálculo 2 4 4 2" xfId="19877"/>
    <cellStyle name="Cálculo 2 4 4 2 2" xfId="19878"/>
    <cellStyle name="Cálculo 2 4 4 2 2 2" xfId="19879"/>
    <cellStyle name="Cálculo 2 4 4 2 3" xfId="19880"/>
    <cellStyle name="Cálculo 2 4 4 2 3 2" xfId="19881"/>
    <cellStyle name="Cálculo 2 4 4 2 4" xfId="19882"/>
    <cellStyle name="Cálculo 2 4 4 20" xfId="19883"/>
    <cellStyle name="Cálculo 2 4 4 20 2" xfId="19884"/>
    <cellStyle name="Cálculo 2 4 4 20 2 2" xfId="19885"/>
    <cellStyle name="Cálculo 2 4 4 20 3" xfId="19886"/>
    <cellStyle name="Cálculo 2 4 4 20 3 2" xfId="19887"/>
    <cellStyle name="Cálculo 2 4 4 20 4" xfId="19888"/>
    <cellStyle name="Cálculo 2 4 4 21" xfId="19889"/>
    <cellStyle name="Cálculo 2 4 4 21 2" xfId="19890"/>
    <cellStyle name="Cálculo 2 4 4 21 2 2" xfId="19891"/>
    <cellStyle name="Cálculo 2 4 4 21 3" xfId="19892"/>
    <cellStyle name="Cálculo 2 4 4 21 3 2" xfId="19893"/>
    <cellStyle name="Cálculo 2 4 4 21 4" xfId="19894"/>
    <cellStyle name="Cálculo 2 4 4 22" xfId="19895"/>
    <cellStyle name="Cálculo 2 4 4 22 2" xfId="19896"/>
    <cellStyle name="Cálculo 2 4 4 22 2 2" xfId="19897"/>
    <cellStyle name="Cálculo 2 4 4 22 3" xfId="19898"/>
    <cellStyle name="Cálculo 2 4 4 22 3 2" xfId="19899"/>
    <cellStyle name="Cálculo 2 4 4 22 4" xfId="19900"/>
    <cellStyle name="Cálculo 2 4 4 23" xfId="19901"/>
    <cellStyle name="Cálculo 2 4 4 23 2" xfId="19902"/>
    <cellStyle name="Cálculo 2 4 4 23 2 2" xfId="19903"/>
    <cellStyle name="Cálculo 2 4 4 23 3" xfId="19904"/>
    <cellStyle name="Cálculo 2 4 4 23 3 2" xfId="19905"/>
    <cellStyle name="Cálculo 2 4 4 23 4" xfId="19906"/>
    <cellStyle name="Cálculo 2 4 4 24" xfId="19907"/>
    <cellStyle name="Cálculo 2 4 4 24 2" xfId="19908"/>
    <cellStyle name="Cálculo 2 4 4 24 2 2" xfId="19909"/>
    <cellStyle name="Cálculo 2 4 4 24 3" xfId="19910"/>
    <cellStyle name="Cálculo 2 4 4 24 3 2" xfId="19911"/>
    <cellStyle name="Cálculo 2 4 4 24 4" xfId="19912"/>
    <cellStyle name="Cálculo 2 4 4 25" xfId="19913"/>
    <cellStyle name="Cálculo 2 4 4 25 2" xfId="19914"/>
    <cellStyle name="Cálculo 2 4 4 25 2 2" xfId="19915"/>
    <cellStyle name="Cálculo 2 4 4 25 3" xfId="19916"/>
    <cellStyle name="Cálculo 2 4 4 25 3 2" xfId="19917"/>
    <cellStyle name="Cálculo 2 4 4 25 4" xfId="19918"/>
    <cellStyle name="Cálculo 2 4 4 26" xfId="19919"/>
    <cellStyle name="Cálculo 2 4 4 26 2" xfId="19920"/>
    <cellStyle name="Cálculo 2 4 4 26 2 2" xfId="19921"/>
    <cellStyle name="Cálculo 2 4 4 26 3" xfId="19922"/>
    <cellStyle name="Cálculo 2 4 4 26 3 2" xfId="19923"/>
    <cellStyle name="Cálculo 2 4 4 26 4" xfId="19924"/>
    <cellStyle name="Cálculo 2 4 4 27" xfId="19925"/>
    <cellStyle name="Cálculo 2 4 4 27 2" xfId="19926"/>
    <cellStyle name="Cálculo 2 4 4 27 2 2" xfId="19927"/>
    <cellStyle name="Cálculo 2 4 4 27 3" xfId="19928"/>
    <cellStyle name="Cálculo 2 4 4 27 3 2" xfId="19929"/>
    <cellStyle name="Cálculo 2 4 4 27 4" xfId="19930"/>
    <cellStyle name="Cálculo 2 4 4 28" xfId="19931"/>
    <cellStyle name="Cálculo 2 4 4 28 2" xfId="19932"/>
    <cellStyle name="Cálculo 2 4 4 28 2 2" xfId="19933"/>
    <cellStyle name="Cálculo 2 4 4 28 3" xfId="19934"/>
    <cellStyle name="Cálculo 2 4 4 28 3 2" xfId="19935"/>
    <cellStyle name="Cálculo 2 4 4 28 4" xfId="19936"/>
    <cellStyle name="Cálculo 2 4 4 29" xfId="19937"/>
    <cellStyle name="Cálculo 2 4 4 29 2" xfId="19938"/>
    <cellStyle name="Cálculo 2 4 4 29 2 2" xfId="19939"/>
    <cellStyle name="Cálculo 2 4 4 29 3" xfId="19940"/>
    <cellStyle name="Cálculo 2 4 4 29 3 2" xfId="19941"/>
    <cellStyle name="Cálculo 2 4 4 29 4" xfId="19942"/>
    <cellStyle name="Cálculo 2 4 4 3" xfId="19943"/>
    <cellStyle name="Cálculo 2 4 4 3 2" xfId="19944"/>
    <cellStyle name="Cálculo 2 4 4 3 2 2" xfId="19945"/>
    <cellStyle name="Cálculo 2 4 4 3 3" xfId="19946"/>
    <cellStyle name="Cálculo 2 4 4 3 3 2" xfId="19947"/>
    <cellStyle name="Cálculo 2 4 4 3 4" xfId="19948"/>
    <cellStyle name="Cálculo 2 4 4 30" xfId="19949"/>
    <cellStyle name="Cálculo 2 4 4 30 2" xfId="19950"/>
    <cellStyle name="Cálculo 2 4 4 30 2 2" xfId="19951"/>
    <cellStyle name="Cálculo 2 4 4 30 3" xfId="19952"/>
    <cellStyle name="Cálculo 2 4 4 30 3 2" xfId="19953"/>
    <cellStyle name="Cálculo 2 4 4 30 4" xfId="19954"/>
    <cellStyle name="Cálculo 2 4 4 31" xfId="19955"/>
    <cellStyle name="Cálculo 2 4 4 31 2" xfId="19956"/>
    <cellStyle name="Cálculo 2 4 4 31 2 2" xfId="19957"/>
    <cellStyle name="Cálculo 2 4 4 31 3" xfId="19958"/>
    <cellStyle name="Cálculo 2 4 4 31 3 2" xfId="19959"/>
    <cellStyle name="Cálculo 2 4 4 31 4" xfId="19960"/>
    <cellStyle name="Cálculo 2 4 4 32" xfId="19961"/>
    <cellStyle name="Cálculo 2 4 4 32 2" xfId="19962"/>
    <cellStyle name="Cálculo 2 4 4 32 2 2" xfId="19963"/>
    <cellStyle name="Cálculo 2 4 4 32 3" xfId="19964"/>
    <cellStyle name="Cálculo 2 4 4 32 3 2" xfId="19965"/>
    <cellStyle name="Cálculo 2 4 4 32 4" xfId="19966"/>
    <cellStyle name="Cálculo 2 4 4 33" xfId="19967"/>
    <cellStyle name="Cálculo 2 4 4 33 2" xfId="19968"/>
    <cellStyle name="Cálculo 2 4 4 33 2 2" xfId="19969"/>
    <cellStyle name="Cálculo 2 4 4 33 3" xfId="19970"/>
    <cellStyle name="Cálculo 2 4 4 33 3 2" xfId="19971"/>
    <cellStyle name="Cálculo 2 4 4 33 4" xfId="19972"/>
    <cellStyle name="Cálculo 2 4 4 34" xfId="19973"/>
    <cellStyle name="Cálculo 2 4 4 34 2" xfId="19974"/>
    <cellStyle name="Cálculo 2 4 4 34 2 2" xfId="19975"/>
    <cellStyle name="Cálculo 2 4 4 34 3" xfId="19976"/>
    <cellStyle name="Cálculo 2 4 4 34 3 2" xfId="19977"/>
    <cellStyle name="Cálculo 2 4 4 34 4" xfId="19978"/>
    <cellStyle name="Cálculo 2 4 4 35" xfId="19979"/>
    <cellStyle name="Cálculo 2 4 4 35 2" xfId="19980"/>
    <cellStyle name="Cálculo 2 4 4 35 2 2" xfId="19981"/>
    <cellStyle name="Cálculo 2 4 4 35 3" xfId="19982"/>
    <cellStyle name="Cálculo 2 4 4 35 3 2" xfId="19983"/>
    <cellStyle name="Cálculo 2 4 4 35 4" xfId="19984"/>
    <cellStyle name="Cálculo 2 4 4 36" xfId="19985"/>
    <cellStyle name="Cálculo 2 4 4 36 2" xfId="19986"/>
    <cellStyle name="Cálculo 2 4 4 36 2 2" xfId="19987"/>
    <cellStyle name="Cálculo 2 4 4 36 3" xfId="19988"/>
    <cellStyle name="Cálculo 2 4 4 36 3 2" xfId="19989"/>
    <cellStyle name="Cálculo 2 4 4 36 4" xfId="19990"/>
    <cellStyle name="Cálculo 2 4 4 37" xfId="19991"/>
    <cellStyle name="Cálculo 2 4 4 37 2" xfId="19992"/>
    <cellStyle name="Cálculo 2 4 4 37 2 2" xfId="19993"/>
    <cellStyle name="Cálculo 2 4 4 37 3" xfId="19994"/>
    <cellStyle name="Cálculo 2 4 4 37 3 2" xfId="19995"/>
    <cellStyle name="Cálculo 2 4 4 37 4" xfId="19996"/>
    <cellStyle name="Cálculo 2 4 4 38" xfId="19997"/>
    <cellStyle name="Cálculo 2 4 4 38 2" xfId="19998"/>
    <cellStyle name="Cálculo 2 4 4 38 2 2" xfId="19999"/>
    <cellStyle name="Cálculo 2 4 4 38 3" xfId="20000"/>
    <cellStyle name="Cálculo 2 4 4 38 3 2" xfId="20001"/>
    <cellStyle name="Cálculo 2 4 4 38 4" xfId="20002"/>
    <cellStyle name="Cálculo 2 4 4 39" xfId="20003"/>
    <cellStyle name="Cálculo 2 4 4 39 2" xfId="20004"/>
    <cellStyle name="Cálculo 2 4 4 39 2 2" xfId="20005"/>
    <cellStyle name="Cálculo 2 4 4 39 3" xfId="20006"/>
    <cellStyle name="Cálculo 2 4 4 39 3 2" xfId="20007"/>
    <cellStyle name="Cálculo 2 4 4 39 4" xfId="20008"/>
    <cellStyle name="Cálculo 2 4 4 4" xfId="20009"/>
    <cellStyle name="Cálculo 2 4 4 4 2" xfId="20010"/>
    <cellStyle name="Cálculo 2 4 4 4 2 2" xfId="20011"/>
    <cellStyle name="Cálculo 2 4 4 4 3" xfId="20012"/>
    <cellStyle name="Cálculo 2 4 4 4 3 2" xfId="20013"/>
    <cellStyle name="Cálculo 2 4 4 4 4" xfId="20014"/>
    <cellStyle name="Cálculo 2 4 4 40" xfId="20015"/>
    <cellStyle name="Cálculo 2 4 4 40 2" xfId="20016"/>
    <cellStyle name="Cálculo 2 4 4 40 2 2" xfId="20017"/>
    <cellStyle name="Cálculo 2 4 4 40 3" xfId="20018"/>
    <cellStyle name="Cálculo 2 4 4 41" xfId="20019"/>
    <cellStyle name="Cálculo 2 4 4 41 2" xfId="20020"/>
    <cellStyle name="Cálculo 2 4 4 42" xfId="20021"/>
    <cellStyle name="Cálculo 2 4 4 42 2" xfId="20022"/>
    <cellStyle name="Cálculo 2 4 4 43" xfId="20023"/>
    <cellStyle name="Cálculo 2 4 4 5" xfId="20024"/>
    <cellStyle name="Cálculo 2 4 4 5 2" xfId="20025"/>
    <cellStyle name="Cálculo 2 4 4 5 2 2" xfId="20026"/>
    <cellStyle name="Cálculo 2 4 4 5 3" xfId="20027"/>
    <cellStyle name="Cálculo 2 4 4 5 3 2" xfId="20028"/>
    <cellStyle name="Cálculo 2 4 4 5 4" xfId="20029"/>
    <cellStyle name="Cálculo 2 4 4 6" xfId="20030"/>
    <cellStyle name="Cálculo 2 4 4 6 2" xfId="20031"/>
    <cellStyle name="Cálculo 2 4 4 6 2 2" xfId="20032"/>
    <cellStyle name="Cálculo 2 4 4 6 3" xfId="20033"/>
    <cellStyle name="Cálculo 2 4 4 6 3 2" xfId="20034"/>
    <cellStyle name="Cálculo 2 4 4 6 4" xfId="20035"/>
    <cellStyle name="Cálculo 2 4 4 7" xfId="20036"/>
    <cellStyle name="Cálculo 2 4 4 7 2" xfId="20037"/>
    <cellStyle name="Cálculo 2 4 4 7 2 2" xfId="20038"/>
    <cellStyle name="Cálculo 2 4 4 7 3" xfId="20039"/>
    <cellStyle name="Cálculo 2 4 4 7 3 2" xfId="20040"/>
    <cellStyle name="Cálculo 2 4 4 7 4" xfId="20041"/>
    <cellStyle name="Cálculo 2 4 4 8" xfId="20042"/>
    <cellStyle name="Cálculo 2 4 4 8 2" xfId="20043"/>
    <cellStyle name="Cálculo 2 4 4 8 2 2" xfId="20044"/>
    <cellStyle name="Cálculo 2 4 4 8 3" xfId="20045"/>
    <cellStyle name="Cálculo 2 4 4 8 3 2" xfId="20046"/>
    <cellStyle name="Cálculo 2 4 4 8 4" xfId="20047"/>
    <cellStyle name="Cálculo 2 4 4 9" xfId="20048"/>
    <cellStyle name="Cálculo 2 4 4 9 2" xfId="20049"/>
    <cellStyle name="Cálculo 2 4 4 9 2 2" xfId="20050"/>
    <cellStyle name="Cálculo 2 4 4 9 3" xfId="20051"/>
    <cellStyle name="Cálculo 2 4 4 9 3 2" xfId="20052"/>
    <cellStyle name="Cálculo 2 4 4 9 4" xfId="20053"/>
    <cellStyle name="Cálculo 2 4 5" xfId="20054"/>
    <cellStyle name="Cálculo 2 4 5 10" xfId="20055"/>
    <cellStyle name="Cálculo 2 4 5 10 2" xfId="20056"/>
    <cellStyle name="Cálculo 2 4 5 10 2 2" xfId="20057"/>
    <cellStyle name="Cálculo 2 4 5 10 3" xfId="20058"/>
    <cellStyle name="Cálculo 2 4 5 10 3 2" xfId="20059"/>
    <cellStyle name="Cálculo 2 4 5 10 4" xfId="20060"/>
    <cellStyle name="Cálculo 2 4 5 11" xfId="20061"/>
    <cellStyle name="Cálculo 2 4 5 11 2" xfId="20062"/>
    <cellStyle name="Cálculo 2 4 5 11 2 2" xfId="20063"/>
    <cellStyle name="Cálculo 2 4 5 11 3" xfId="20064"/>
    <cellStyle name="Cálculo 2 4 5 11 3 2" xfId="20065"/>
    <cellStyle name="Cálculo 2 4 5 11 4" xfId="20066"/>
    <cellStyle name="Cálculo 2 4 5 12" xfId="20067"/>
    <cellStyle name="Cálculo 2 4 5 12 2" xfId="20068"/>
    <cellStyle name="Cálculo 2 4 5 12 2 2" xfId="20069"/>
    <cellStyle name="Cálculo 2 4 5 12 3" xfId="20070"/>
    <cellStyle name="Cálculo 2 4 5 12 3 2" xfId="20071"/>
    <cellStyle name="Cálculo 2 4 5 12 4" xfId="20072"/>
    <cellStyle name="Cálculo 2 4 5 13" xfId="20073"/>
    <cellStyle name="Cálculo 2 4 5 13 2" xfId="20074"/>
    <cellStyle name="Cálculo 2 4 5 13 2 2" xfId="20075"/>
    <cellStyle name="Cálculo 2 4 5 13 3" xfId="20076"/>
    <cellStyle name="Cálculo 2 4 5 13 3 2" xfId="20077"/>
    <cellStyle name="Cálculo 2 4 5 13 4" xfId="20078"/>
    <cellStyle name="Cálculo 2 4 5 14" xfId="20079"/>
    <cellStyle name="Cálculo 2 4 5 14 2" xfId="20080"/>
    <cellStyle name="Cálculo 2 4 5 14 2 2" xfId="20081"/>
    <cellStyle name="Cálculo 2 4 5 14 3" xfId="20082"/>
    <cellStyle name="Cálculo 2 4 5 14 3 2" xfId="20083"/>
    <cellStyle name="Cálculo 2 4 5 14 4" xfId="20084"/>
    <cellStyle name="Cálculo 2 4 5 15" xfId="20085"/>
    <cellStyle name="Cálculo 2 4 5 15 2" xfId="20086"/>
    <cellStyle name="Cálculo 2 4 5 15 2 2" xfId="20087"/>
    <cellStyle name="Cálculo 2 4 5 15 3" xfId="20088"/>
    <cellStyle name="Cálculo 2 4 5 15 3 2" xfId="20089"/>
    <cellStyle name="Cálculo 2 4 5 15 4" xfId="20090"/>
    <cellStyle name="Cálculo 2 4 5 16" xfId="20091"/>
    <cellStyle name="Cálculo 2 4 5 16 2" xfId="20092"/>
    <cellStyle name="Cálculo 2 4 5 16 2 2" xfId="20093"/>
    <cellStyle name="Cálculo 2 4 5 16 3" xfId="20094"/>
    <cellStyle name="Cálculo 2 4 5 16 3 2" xfId="20095"/>
    <cellStyle name="Cálculo 2 4 5 16 4" xfId="20096"/>
    <cellStyle name="Cálculo 2 4 5 17" xfId="20097"/>
    <cellStyle name="Cálculo 2 4 5 17 2" xfId="20098"/>
    <cellStyle name="Cálculo 2 4 5 17 2 2" xfId="20099"/>
    <cellStyle name="Cálculo 2 4 5 17 3" xfId="20100"/>
    <cellStyle name="Cálculo 2 4 5 17 3 2" xfId="20101"/>
    <cellStyle name="Cálculo 2 4 5 17 4" xfId="20102"/>
    <cellStyle name="Cálculo 2 4 5 18" xfId="20103"/>
    <cellStyle name="Cálculo 2 4 5 18 2" xfId="20104"/>
    <cellStyle name="Cálculo 2 4 5 18 2 2" xfId="20105"/>
    <cellStyle name="Cálculo 2 4 5 18 3" xfId="20106"/>
    <cellStyle name="Cálculo 2 4 5 18 3 2" xfId="20107"/>
    <cellStyle name="Cálculo 2 4 5 18 4" xfId="20108"/>
    <cellStyle name="Cálculo 2 4 5 19" xfId="20109"/>
    <cellStyle name="Cálculo 2 4 5 19 2" xfId="20110"/>
    <cellStyle name="Cálculo 2 4 5 19 2 2" xfId="20111"/>
    <cellStyle name="Cálculo 2 4 5 19 3" xfId="20112"/>
    <cellStyle name="Cálculo 2 4 5 19 3 2" xfId="20113"/>
    <cellStyle name="Cálculo 2 4 5 19 4" xfId="20114"/>
    <cellStyle name="Cálculo 2 4 5 2" xfId="20115"/>
    <cellStyle name="Cálculo 2 4 5 2 2" xfId="20116"/>
    <cellStyle name="Cálculo 2 4 5 2 2 2" xfId="20117"/>
    <cellStyle name="Cálculo 2 4 5 2 3" xfId="20118"/>
    <cellStyle name="Cálculo 2 4 5 2 3 2" xfId="20119"/>
    <cellStyle name="Cálculo 2 4 5 2 4" xfId="20120"/>
    <cellStyle name="Cálculo 2 4 5 20" xfId="20121"/>
    <cellStyle name="Cálculo 2 4 5 20 2" xfId="20122"/>
    <cellStyle name="Cálculo 2 4 5 20 2 2" xfId="20123"/>
    <cellStyle name="Cálculo 2 4 5 20 3" xfId="20124"/>
    <cellStyle name="Cálculo 2 4 5 20 3 2" xfId="20125"/>
    <cellStyle name="Cálculo 2 4 5 20 4" xfId="20126"/>
    <cellStyle name="Cálculo 2 4 5 21" xfId="20127"/>
    <cellStyle name="Cálculo 2 4 5 21 2" xfId="20128"/>
    <cellStyle name="Cálculo 2 4 5 21 2 2" xfId="20129"/>
    <cellStyle name="Cálculo 2 4 5 21 3" xfId="20130"/>
    <cellStyle name="Cálculo 2 4 5 21 3 2" xfId="20131"/>
    <cellStyle name="Cálculo 2 4 5 21 4" xfId="20132"/>
    <cellStyle name="Cálculo 2 4 5 22" xfId="20133"/>
    <cellStyle name="Cálculo 2 4 5 22 2" xfId="20134"/>
    <cellStyle name="Cálculo 2 4 5 22 2 2" xfId="20135"/>
    <cellStyle name="Cálculo 2 4 5 22 3" xfId="20136"/>
    <cellStyle name="Cálculo 2 4 5 22 3 2" xfId="20137"/>
    <cellStyle name="Cálculo 2 4 5 22 4" xfId="20138"/>
    <cellStyle name="Cálculo 2 4 5 23" xfId="20139"/>
    <cellStyle name="Cálculo 2 4 5 23 2" xfId="20140"/>
    <cellStyle name="Cálculo 2 4 5 23 2 2" xfId="20141"/>
    <cellStyle name="Cálculo 2 4 5 23 3" xfId="20142"/>
    <cellStyle name="Cálculo 2 4 5 23 3 2" xfId="20143"/>
    <cellStyle name="Cálculo 2 4 5 23 4" xfId="20144"/>
    <cellStyle name="Cálculo 2 4 5 24" xfId="20145"/>
    <cellStyle name="Cálculo 2 4 5 24 2" xfId="20146"/>
    <cellStyle name="Cálculo 2 4 5 24 2 2" xfId="20147"/>
    <cellStyle name="Cálculo 2 4 5 24 3" xfId="20148"/>
    <cellStyle name="Cálculo 2 4 5 24 3 2" xfId="20149"/>
    <cellStyle name="Cálculo 2 4 5 24 4" xfId="20150"/>
    <cellStyle name="Cálculo 2 4 5 25" xfId="20151"/>
    <cellStyle name="Cálculo 2 4 5 25 2" xfId="20152"/>
    <cellStyle name="Cálculo 2 4 5 25 2 2" xfId="20153"/>
    <cellStyle name="Cálculo 2 4 5 25 3" xfId="20154"/>
    <cellStyle name="Cálculo 2 4 5 25 3 2" xfId="20155"/>
    <cellStyle name="Cálculo 2 4 5 25 4" xfId="20156"/>
    <cellStyle name="Cálculo 2 4 5 26" xfId="20157"/>
    <cellStyle name="Cálculo 2 4 5 26 2" xfId="20158"/>
    <cellStyle name="Cálculo 2 4 5 26 2 2" xfId="20159"/>
    <cellStyle name="Cálculo 2 4 5 26 3" xfId="20160"/>
    <cellStyle name="Cálculo 2 4 5 26 3 2" xfId="20161"/>
    <cellStyle name="Cálculo 2 4 5 26 4" xfId="20162"/>
    <cellStyle name="Cálculo 2 4 5 27" xfId="20163"/>
    <cellStyle name="Cálculo 2 4 5 27 2" xfId="20164"/>
    <cellStyle name="Cálculo 2 4 5 27 2 2" xfId="20165"/>
    <cellStyle name="Cálculo 2 4 5 27 3" xfId="20166"/>
    <cellStyle name="Cálculo 2 4 5 27 3 2" xfId="20167"/>
    <cellStyle name="Cálculo 2 4 5 27 4" xfId="20168"/>
    <cellStyle name="Cálculo 2 4 5 28" xfId="20169"/>
    <cellStyle name="Cálculo 2 4 5 28 2" xfId="20170"/>
    <cellStyle name="Cálculo 2 4 5 28 2 2" xfId="20171"/>
    <cellStyle name="Cálculo 2 4 5 28 3" xfId="20172"/>
    <cellStyle name="Cálculo 2 4 5 28 3 2" xfId="20173"/>
    <cellStyle name="Cálculo 2 4 5 28 4" xfId="20174"/>
    <cellStyle name="Cálculo 2 4 5 29" xfId="20175"/>
    <cellStyle name="Cálculo 2 4 5 29 2" xfId="20176"/>
    <cellStyle name="Cálculo 2 4 5 29 2 2" xfId="20177"/>
    <cellStyle name="Cálculo 2 4 5 29 3" xfId="20178"/>
    <cellStyle name="Cálculo 2 4 5 29 3 2" xfId="20179"/>
    <cellStyle name="Cálculo 2 4 5 29 4" xfId="20180"/>
    <cellStyle name="Cálculo 2 4 5 3" xfId="20181"/>
    <cellStyle name="Cálculo 2 4 5 3 2" xfId="20182"/>
    <cellStyle name="Cálculo 2 4 5 3 2 2" xfId="20183"/>
    <cellStyle name="Cálculo 2 4 5 3 3" xfId="20184"/>
    <cellStyle name="Cálculo 2 4 5 3 3 2" xfId="20185"/>
    <cellStyle name="Cálculo 2 4 5 3 4" xfId="20186"/>
    <cellStyle name="Cálculo 2 4 5 30" xfId="20187"/>
    <cellStyle name="Cálculo 2 4 5 30 2" xfId="20188"/>
    <cellStyle name="Cálculo 2 4 5 30 2 2" xfId="20189"/>
    <cellStyle name="Cálculo 2 4 5 30 3" xfId="20190"/>
    <cellStyle name="Cálculo 2 4 5 30 3 2" xfId="20191"/>
    <cellStyle name="Cálculo 2 4 5 30 4" xfId="20192"/>
    <cellStyle name="Cálculo 2 4 5 31" xfId="20193"/>
    <cellStyle name="Cálculo 2 4 5 31 2" xfId="20194"/>
    <cellStyle name="Cálculo 2 4 5 31 2 2" xfId="20195"/>
    <cellStyle name="Cálculo 2 4 5 31 3" xfId="20196"/>
    <cellStyle name="Cálculo 2 4 5 31 3 2" xfId="20197"/>
    <cellStyle name="Cálculo 2 4 5 31 4" xfId="20198"/>
    <cellStyle name="Cálculo 2 4 5 32" xfId="20199"/>
    <cellStyle name="Cálculo 2 4 5 32 2" xfId="20200"/>
    <cellStyle name="Cálculo 2 4 5 32 2 2" xfId="20201"/>
    <cellStyle name="Cálculo 2 4 5 32 3" xfId="20202"/>
    <cellStyle name="Cálculo 2 4 5 32 3 2" xfId="20203"/>
    <cellStyle name="Cálculo 2 4 5 32 4" xfId="20204"/>
    <cellStyle name="Cálculo 2 4 5 33" xfId="20205"/>
    <cellStyle name="Cálculo 2 4 5 33 2" xfId="20206"/>
    <cellStyle name="Cálculo 2 4 5 33 2 2" xfId="20207"/>
    <cellStyle name="Cálculo 2 4 5 33 3" xfId="20208"/>
    <cellStyle name="Cálculo 2 4 5 33 3 2" xfId="20209"/>
    <cellStyle name="Cálculo 2 4 5 33 4" xfId="20210"/>
    <cellStyle name="Cálculo 2 4 5 34" xfId="20211"/>
    <cellStyle name="Cálculo 2 4 5 34 2" xfId="20212"/>
    <cellStyle name="Cálculo 2 4 5 34 2 2" xfId="20213"/>
    <cellStyle name="Cálculo 2 4 5 34 3" xfId="20214"/>
    <cellStyle name="Cálculo 2 4 5 34 3 2" xfId="20215"/>
    <cellStyle name="Cálculo 2 4 5 34 4" xfId="20216"/>
    <cellStyle name="Cálculo 2 4 5 35" xfId="20217"/>
    <cellStyle name="Cálculo 2 4 5 35 2" xfId="20218"/>
    <cellStyle name="Cálculo 2 4 5 35 2 2" xfId="20219"/>
    <cellStyle name="Cálculo 2 4 5 35 3" xfId="20220"/>
    <cellStyle name="Cálculo 2 4 5 35 3 2" xfId="20221"/>
    <cellStyle name="Cálculo 2 4 5 35 4" xfId="20222"/>
    <cellStyle name="Cálculo 2 4 5 36" xfId="20223"/>
    <cellStyle name="Cálculo 2 4 5 36 2" xfId="20224"/>
    <cellStyle name="Cálculo 2 4 5 36 2 2" xfId="20225"/>
    <cellStyle name="Cálculo 2 4 5 36 3" xfId="20226"/>
    <cellStyle name="Cálculo 2 4 5 36 3 2" xfId="20227"/>
    <cellStyle name="Cálculo 2 4 5 36 4" xfId="20228"/>
    <cellStyle name="Cálculo 2 4 5 37" xfId="20229"/>
    <cellStyle name="Cálculo 2 4 5 37 2" xfId="20230"/>
    <cellStyle name="Cálculo 2 4 5 37 2 2" xfId="20231"/>
    <cellStyle name="Cálculo 2 4 5 37 3" xfId="20232"/>
    <cellStyle name="Cálculo 2 4 5 37 3 2" xfId="20233"/>
    <cellStyle name="Cálculo 2 4 5 37 4" xfId="20234"/>
    <cellStyle name="Cálculo 2 4 5 38" xfId="20235"/>
    <cellStyle name="Cálculo 2 4 5 38 2" xfId="20236"/>
    <cellStyle name="Cálculo 2 4 5 38 2 2" xfId="20237"/>
    <cellStyle name="Cálculo 2 4 5 38 3" xfId="20238"/>
    <cellStyle name="Cálculo 2 4 5 38 3 2" xfId="20239"/>
    <cellStyle name="Cálculo 2 4 5 38 4" xfId="20240"/>
    <cellStyle name="Cálculo 2 4 5 39" xfId="20241"/>
    <cellStyle name="Cálculo 2 4 5 39 2" xfId="20242"/>
    <cellStyle name="Cálculo 2 4 5 39 2 2" xfId="20243"/>
    <cellStyle name="Cálculo 2 4 5 39 3" xfId="20244"/>
    <cellStyle name="Cálculo 2 4 5 4" xfId="20245"/>
    <cellStyle name="Cálculo 2 4 5 4 2" xfId="20246"/>
    <cellStyle name="Cálculo 2 4 5 4 2 2" xfId="20247"/>
    <cellStyle name="Cálculo 2 4 5 4 3" xfId="20248"/>
    <cellStyle name="Cálculo 2 4 5 4 3 2" xfId="20249"/>
    <cellStyle name="Cálculo 2 4 5 4 4" xfId="20250"/>
    <cellStyle name="Cálculo 2 4 5 40" xfId="20251"/>
    <cellStyle name="Cálculo 2 4 5 40 2" xfId="20252"/>
    <cellStyle name="Cálculo 2 4 5 41" xfId="20253"/>
    <cellStyle name="Cálculo 2 4 5 41 2" xfId="20254"/>
    <cellStyle name="Cálculo 2 4 5 42" xfId="20255"/>
    <cellStyle name="Cálculo 2 4 5 5" xfId="20256"/>
    <cellStyle name="Cálculo 2 4 5 5 2" xfId="20257"/>
    <cellStyle name="Cálculo 2 4 5 5 2 2" xfId="20258"/>
    <cellStyle name="Cálculo 2 4 5 5 3" xfId="20259"/>
    <cellStyle name="Cálculo 2 4 5 5 3 2" xfId="20260"/>
    <cellStyle name="Cálculo 2 4 5 5 4" xfId="20261"/>
    <cellStyle name="Cálculo 2 4 5 6" xfId="20262"/>
    <cellStyle name="Cálculo 2 4 5 6 2" xfId="20263"/>
    <cellStyle name="Cálculo 2 4 5 6 2 2" xfId="20264"/>
    <cellStyle name="Cálculo 2 4 5 6 3" xfId="20265"/>
    <cellStyle name="Cálculo 2 4 5 6 3 2" xfId="20266"/>
    <cellStyle name="Cálculo 2 4 5 6 4" xfId="20267"/>
    <cellStyle name="Cálculo 2 4 5 7" xfId="20268"/>
    <cellStyle name="Cálculo 2 4 5 7 2" xfId="20269"/>
    <cellStyle name="Cálculo 2 4 5 7 2 2" xfId="20270"/>
    <cellStyle name="Cálculo 2 4 5 7 3" xfId="20271"/>
    <cellStyle name="Cálculo 2 4 5 7 3 2" xfId="20272"/>
    <cellStyle name="Cálculo 2 4 5 7 4" xfId="20273"/>
    <cellStyle name="Cálculo 2 4 5 8" xfId="20274"/>
    <cellStyle name="Cálculo 2 4 5 8 2" xfId="20275"/>
    <cellStyle name="Cálculo 2 4 5 8 2 2" xfId="20276"/>
    <cellStyle name="Cálculo 2 4 5 8 3" xfId="20277"/>
    <cellStyle name="Cálculo 2 4 5 8 3 2" xfId="20278"/>
    <cellStyle name="Cálculo 2 4 5 8 4" xfId="20279"/>
    <cellStyle name="Cálculo 2 4 5 9" xfId="20280"/>
    <cellStyle name="Cálculo 2 4 5 9 2" xfId="20281"/>
    <cellStyle name="Cálculo 2 4 5 9 2 2" xfId="20282"/>
    <cellStyle name="Cálculo 2 4 5 9 3" xfId="20283"/>
    <cellStyle name="Cálculo 2 4 5 9 3 2" xfId="20284"/>
    <cellStyle name="Cálculo 2 4 5 9 4" xfId="20285"/>
    <cellStyle name="Cálculo 2 4 6" xfId="20286"/>
    <cellStyle name="Cálculo 2 4 6 10" xfId="20287"/>
    <cellStyle name="Cálculo 2 4 6 10 2" xfId="20288"/>
    <cellStyle name="Cálculo 2 4 6 10 2 2" xfId="20289"/>
    <cellStyle name="Cálculo 2 4 6 10 3" xfId="20290"/>
    <cellStyle name="Cálculo 2 4 6 10 3 2" xfId="20291"/>
    <cellStyle name="Cálculo 2 4 6 10 4" xfId="20292"/>
    <cellStyle name="Cálculo 2 4 6 11" xfId="20293"/>
    <cellStyle name="Cálculo 2 4 6 11 2" xfId="20294"/>
    <cellStyle name="Cálculo 2 4 6 11 2 2" xfId="20295"/>
    <cellStyle name="Cálculo 2 4 6 11 3" xfId="20296"/>
    <cellStyle name="Cálculo 2 4 6 11 3 2" xfId="20297"/>
    <cellStyle name="Cálculo 2 4 6 11 4" xfId="20298"/>
    <cellStyle name="Cálculo 2 4 6 12" xfId="20299"/>
    <cellStyle name="Cálculo 2 4 6 12 2" xfId="20300"/>
    <cellStyle name="Cálculo 2 4 6 12 2 2" xfId="20301"/>
    <cellStyle name="Cálculo 2 4 6 12 3" xfId="20302"/>
    <cellStyle name="Cálculo 2 4 6 12 3 2" xfId="20303"/>
    <cellStyle name="Cálculo 2 4 6 12 4" xfId="20304"/>
    <cellStyle name="Cálculo 2 4 6 13" xfId="20305"/>
    <cellStyle name="Cálculo 2 4 6 13 2" xfId="20306"/>
    <cellStyle name="Cálculo 2 4 6 13 2 2" xfId="20307"/>
    <cellStyle name="Cálculo 2 4 6 13 3" xfId="20308"/>
    <cellStyle name="Cálculo 2 4 6 13 3 2" xfId="20309"/>
    <cellStyle name="Cálculo 2 4 6 13 4" xfId="20310"/>
    <cellStyle name="Cálculo 2 4 6 14" xfId="20311"/>
    <cellStyle name="Cálculo 2 4 6 14 2" xfId="20312"/>
    <cellStyle name="Cálculo 2 4 6 14 2 2" xfId="20313"/>
    <cellStyle name="Cálculo 2 4 6 14 3" xfId="20314"/>
    <cellStyle name="Cálculo 2 4 6 14 3 2" xfId="20315"/>
    <cellStyle name="Cálculo 2 4 6 14 4" xfId="20316"/>
    <cellStyle name="Cálculo 2 4 6 15" xfId="20317"/>
    <cellStyle name="Cálculo 2 4 6 15 2" xfId="20318"/>
    <cellStyle name="Cálculo 2 4 6 15 2 2" xfId="20319"/>
    <cellStyle name="Cálculo 2 4 6 15 3" xfId="20320"/>
    <cellStyle name="Cálculo 2 4 6 15 3 2" xfId="20321"/>
    <cellStyle name="Cálculo 2 4 6 15 4" xfId="20322"/>
    <cellStyle name="Cálculo 2 4 6 16" xfId="20323"/>
    <cellStyle name="Cálculo 2 4 6 16 2" xfId="20324"/>
    <cellStyle name="Cálculo 2 4 6 16 2 2" xfId="20325"/>
    <cellStyle name="Cálculo 2 4 6 16 3" xfId="20326"/>
    <cellStyle name="Cálculo 2 4 6 16 3 2" xfId="20327"/>
    <cellStyle name="Cálculo 2 4 6 16 4" xfId="20328"/>
    <cellStyle name="Cálculo 2 4 6 17" xfId="20329"/>
    <cellStyle name="Cálculo 2 4 6 17 2" xfId="20330"/>
    <cellStyle name="Cálculo 2 4 6 17 2 2" xfId="20331"/>
    <cellStyle name="Cálculo 2 4 6 17 3" xfId="20332"/>
    <cellStyle name="Cálculo 2 4 6 17 3 2" xfId="20333"/>
    <cellStyle name="Cálculo 2 4 6 17 4" xfId="20334"/>
    <cellStyle name="Cálculo 2 4 6 18" xfId="20335"/>
    <cellStyle name="Cálculo 2 4 6 18 2" xfId="20336"/>
    <cellStyle name="Cálculo 2 4 6 18 2 2" xfId="20337"/>
    <cellStyle name="Cálculo 2 4 6 18 3" xfId="20338"/>
    <cellStyle name="Cálculo 2 4 6 18 3 2" xfId="20339"/>
    <cellStyle name="Cálculo 2 4 6 18 4" xfId="20340"/>
    <cellStyle name="Cálculo 2 4 6 19" xfId="20341"/>
    <cellStyle name="Cálculo 2 4 6 19 2" xfId="20342"/>
    <cellStyle name="Cálculo 2 4 6 19 2 2" xfId="20343"/>
    <cellStyle name="Cálculo 2 4 6 19 3" xfId="20344"/>
    <cellStyle name="Cálculo 2 4 6 19 3 2" xfId="20345"/>
    <cellStyle name="Cálculo 2 4 6 19 4" xfId="20346"/>
    <cellStyle name="Cálculo 2 4 6 2" xfId="20347"/>
    <cellStyle name="Cálculo 2 4 6 2 2" xfId="20348"/>
    <cellStyle name="Cálculo 2 4 6 2 2 2" xfId="20349"/>
    <cellStyle name="Cálculo 2 4 6 2 3" xfId="20350"/>
    <cellStyle name="Cálculo 2 4 6 2 3 2" xfId="20351"/>
    <cellStyle name="Cálculo 2 4 6 2 4" xfId="20352"/>
    <cellStyle name="Cálculo 2 4 6 20" xfId="20353"/>
    <cellStyle name="Cálculo 2 4 6 20 2" xfId="20354"/>
    <cellStyle name="Cálculo 2 4 6 20 2 2" xfId="20355"/>
    <cellStyle name="Cálculo 2 4 6 20 3" xfId="20356"/>
    <cellStyle name="Cálculo 2 4 6 20 3 2" xfId="20357"/>
    <cellStyle name="Cálculo 2 4 6 20 4" xfId="20358"/>
    <cellStyle name="Cálculo 2 4 6 21" xfId="20359"/>
    <cellStyle name="Cálculo 2 4 6 21 2" xfId="20360"/>
    <cellStyle name="Cálculo 2 4 6 21 2 2" xfId="20361"/>
    <cellStyle name="Cálculo 2 4 6 21 3" xfId="20362"/>
    <cellStyle name="Cálculo 2 4 6 21 3 2" xfId="20363"/>
    <cellStyle name="Cálculo 2 4 6 21 4" xfId="20364"/>
    <cellStyle name="Cálculo 2 4 6 22" xfId="20365"/>
    <cellStyle name="Cálculo 2 4 6 22 2" xfId="20366"/>
    <cellStyle name="Cálculo 2 4 6 22 2 2" xfId="20367"/>
    <cellStyle name="Cálculo 2 4 6 22 3" xfId="20368"/>
    <cellStyle name="Cálculo 2 4 6 22 3 2" xfId="20369"/>
    <cellStyle name="Cálculo 2 4 6 22 4" xfId="20370"/>
    <cellStyle name="Cálculo 2 4 6 23" xfId="20371"/>
    <cellStyle name="Cálculo 2 4 6 23 2" xfId="20372"/>
    <cellStyle name="Cálculo 2 4 6 23 2 2" xfId="20373"/>
    <cellStyle name="Cálculo 2 4 6 23 3" xfId="20374"/>
    <cellStyle name="Cálculo 2 4 6 23 3 2" xfId="20375"/>
    <cellStyle name="Cálculo 2 4 6 23 4" xfId="20376"/>
    <cellStyle name="Cálculo 2 4 6 24" xfId="20377"/>
    <cellStyle name="Cálculo 2 4 6 24 2" xfId="20378"/>
    <cellStyle name="Cálculo 2 4 6 24 2 2" xfId="20379"/>
    <cellStyle name="Cálculo 2 4 6 24 3" xfId="20380"/>
    <cellStyle name="Cálculo 2 4 6 24 3 2" xfId="20381"/>
    <cellStyle name="Cálculo 2 4 6 24 4" xfId="20382"/>
    <cellStyle name="Cálculo 2 4 6 25" xfId="20383"/>
    <cellStyle name="Cálculo 2 4 6 25 2" xfId="20384"/>
    <cellStyle name="Cálculo 2 4 6 25 2 2" xfId="20385"/>
    <cellStyle name="Cálculo 2 4 6 25 3" xfId="20386"/>
    <cellStyle name="Cálculo 2 4 6 25 3 2" xfId="20387"/>
    <cellStyle name="Cálculo 2 4 6 25 4" xfId="20388"/>
    <cellStyle name="Cálculo 2 4 6 26" xfId="20389"/>
    <cellStyle name="Cálculo 2 4 6 26 2" xfId="20390"/>
    <cellStyle name="Cálculo 2 4 6 26 2 2" xfId="20391"/>
    <cellStyle name="Cálculo 2 4 6 26 3" xfId="20392"/>
    <cellStyle name="Cálculo 2 4 6 26 3 2" xfId="20393"/>
    <cellStyle name="Cálculo 2 4 6 26 4" xfId="20394"/>
    <cellStyle name="Cálculo 2 4 6 27" xfId="20395"/>
    <cellStyle name="Cálculo 2 4 6 27 2" xfId="20396"/>
    <cellStyle name="Cálculo 2 4 6 27 2 2" xfId="20397"/>
    <cellStyle name="Cálculo 2 4 6 27 3" xfId="20398"/>
    <cellStyle name="Cálculo 2 4 6 27 3 2" xfId="20399"/>
    <cellStyle name="Cálculo 2 4 6 27 4" xfId="20400"/>
    <cellStyle name="Cálculo 2 4 6 28" xfId="20401"/>
    <cellStyle name="Cálculo 2 4 6 28 2" xfId="20402"/>
    <cellStyle name="Cálculo 2 4 6 28 2 2" xfId="20403"/>
    <cellStyle name="Cálculo 2 4 6 28 3" xfId="20404"/>
    <cellStyle name="Cálculo 2 4 6 28 3 2" xfId="20405"/>
    <cellStyle name="Cálculo 2 4 6 28 4" xfId="20406"/>
    <cellStyle name="Cálculo 2 4 6 29" xfId="20407"/>
    <cellStyle name="Cálculo 2 4 6 29 2" xfId="20408"/>
    <cellStyle name="Cálculo 2 4 6 29 2 2" xfId="20409"/>
    <cellStyle name="Cálculo 2 4 6 29 3" xfId="20410"/>
    <cellStyle name="Cálculo 2 4 6 29 3 2" xfId="20411"/>
    <cellStyle name="Cálculo 2 4 6 29 4" xfId="20412"/>
    <cellStyle name="Cálculo 2 4 6 3" xfId="20413"/>
    <cellStyle name="Cálculo 2 4 6 3 2" xfId="20414"/>
    <cellStyle name="Cálculo 2 4 6 3 2 2" xfId="20415"/>
    <cellStyle name="Cálculo 2 4 6 3 3" xfId="20416"/>
    <cellStyle name="Cálculo 2 4 6 3 3 2" xfId="20417"/>
    <cellStyle name="Cálculo 2 4 6 3 4" xfId="20418"/>
    <cellStyle name="Cálculo 2 4 6 30" xfId="20419"/>
    <cellStyle name="Cálculo 2 4 6 30 2" xfId="20420"/>
    <cellStyle name="Cálculo 2 4 6 30 2 2" xfId="20421"/>
    <cellStyle name="Cálculo 2 4 6 30 3" xfId="20422"/>
    <cellStyle name="Cálculo 2 4 6 30 3 2" xfId="20423"/>
    <cellStyle name="Cálculo 2 4 6 30 4" xfId="20424"/>
    <cellStyle name="Cálculo 2 4 6 31" xfId="20425"/>
    <cellStyle name="Cálculo 2 4 6 31 2" xfId="20426"/>
    <cellStyle name="Cálculo 2 4 6 31 2 2" xfId="20427"/>
    <cellStyle name="Cálculo 2 4 6 31 3" xfId="20428"/>
    <cellStyle name="Cálculo 2 4 6 31 3 2" xfId="20429"/>
    <cellStyle name="Cálculo 2 4 6 31 4" xfId="20430"/>
    <cellStyle name="Cálculo 2 4 6 32" xfId="20431"/>
    <cellStyle name="Cálculo 2 4 6 32 2" xfId="20432"/>
    <cellStyle name="Cálculo 2 4 6 32 2 2" xfId="20433"/>
    <cellStyle name="Cálculo 2 4 6 32 3" xfId="20434"/>
    <cellStyle name="Cálculo 2 4 6 32 3 2" xfId="20435"/>
    <cellStyle name="Cálculo 2 4 6 32 4" xfId="20436"/>
    <cellStyle name="Cálculo 2 4 6 33" xfId="20437"/>
    <cellStyle name="Cálculo 2 4 6 33 2" xfId="20438"/>
    <cellStyle name="Cálculo 2 4 6 33 2 2" xfId="20439"/>
    <cellStyle name="Cálculo 2 4 6 33 3" xfId="20440"/>
    <cellStyle name="Cálculo 2 4 6 33 3 2" xfId="20441"/>
    <cellStyle name="Cálculo 2 4 6 33 4" xfId="20442"/>
    <cellStyle name="Cálculo 2 4 6 34" xfId="20443"/>
    <cellStyle name="Cálculo 2 4 6 34 2" xfId="20444"/>
    <cellStyle name="Cálculo 2 4 6 34 2 2" xfId="20445"/>
    <cellStyle name="Cálculo 2 4 6 34 3" xfId="20446"/>
    <cellStyle name="Cálculo 2 4 6 34 3 2" xfId="20447"/>
    <cellStyle name="Cálculo 2 4 6 34 4" xfId="20448"/>
    <cellStyle name="Cálculo 2 4 6 35" xfId="20449"/>
    <cellStyle name="Cálculo 2 4 6 35 2" xfId="20450"/>
    <cellStyle name="Cálculo 2 4 6 35 2 2" xfId="20451"/>
    <cellStyle name="Cálculo 2 4 6 35 3" xfId="20452"/>
    <cellStyle name="Cálculo 2 4 6 35 3 2" xfId="20453"/>
    <cellStyle name="Cálculo 2 4 6 35 4" xfId="20454"/>
    <cellStyle name="Cálculo 2 4 6 36" xfId="20455"/>
    <cellStyle name="Cálculo 2 4 6 36 2" xfId="20456"/>
    <cellStyle name="Cálculo 2 4 6 36 2 2" xfId="20457"/>
    <cellStyle name="Cálculo 2 4 6 36 3" xfId="20458"/>
    <cellStyle name="Cálculo 2 4 6 36 3 2" xfId="20459"/>
    <cellStyle name="Cálculo 2 4 6 36 4" xfId="20460"/>
    <cellStyle name="Cálculo 2 4 6 37" xfId="20461"/>
    <cellStyle name="Cálculo 2 4 6 37 2" xfId="20462"/>
    <cellStyle name="Cálculo 2 4 6 37 2 2" xfId="20463"/>
    <cellStyle name="Cálculo 2 4 6 37 3" xfId="20464"/>
    <cellStyle name="Cálculo 2 4 6 37 3 2" xfId="20465"/>
    <cellStyle name="Cálculo 2 4 6 37 4" xfId="20466"/>
    <cellStyle name="Cálculo 2 4 6 38" xfId="20467"/>
    <cellStyle name="Cálculo 2 4 6 38 2" xfId="20468"/>
    <cellStyle name="Cálculo 2 4 6 38 2 2" xfId="20469"/>
    <cellStyle name="Cálculo 2 4 6 38 3" xfId="20470"/>
    <cellStyle name="Cálculo 2 4 6 38 3 2" xfId="20471"/>
    <cellStyle name="Cálculo 2 4 6 38 4" xfId="20472"/>
    <cellStyle name="Cálculo 2 4 6 39" xfId="20473"/>
    <cellStyle name="Cálculo 2 4 6 39 2" xfId="20474"/>
    <cellStyle name="Cálculo 2 4 6 39 2 2" xfId="20475"/>
    <cellStyle name="Cálculo 2 4 6 39 3" xfId="20476"/>
    <cellStyle name="Cálculo 2 4 6 39 3 2" xfId="20477"/>
    <cellStyle name="Cálculo 2 4 6 39 4" xfId="20478"/>
    <cellStyle name="Cálculo 2 4 6 4" xfId="20479"/>
    <cellStyle name="Cálculo 2 4 6 4 2" xfId="20480"/>
    <cellStyle name="Cálculo 2 4 6 4 2 2" xfId="20481"/>
    <cellStyle name="Cálculo 2 4 6 4 3" xfId="20482"/>
    <cellStyle name="Cálculo 2 4 6 4 3 2" xfId="20483"/>
    <cellStyle name="Cálculo 2 4 6 4 4" xfId="20484"/>
    <cellStyle name="Cálculo 2 4 6 40" xfId="20485"/>
    <cellStyle name="Cálculo 2 4 6 40 2" xfId="20486"/>
    <cellStyle name="Cálculo 2 4 6 40 2 2" xfId="20487"/>
    <cellStyle name="Cálculo 2 4 6 40 3" xfId="20488"/>
    <cellStyle name="Cálculo 2 4 6 40 3 2" xfId="20489"/>
    <cellStyle name="Cálculo 2 4 6 40 4" xfId="20490"/>
    <cellStyle name="Cálculo 2 4 6 41" xfId="20491"/>
    <cellStyle name="Cálculo 2 4 6 41 2" xfId="20492"/>
    <cellStyle name="Cálculo 2 4 6 41 2 2" xfId="20493"/>
    <cellStyle name="Cálculo 2 4 6 41 3" xfId="20494"/>
    <cellStyle name="Cálculo 2 4 6 41 3 2" xfId="20495"/>
    <cellStyle name="Cálculo 2 4 6 41 4" xfId="20496"/>
    <cellStyle name="Cálculo 2 4 6 42" xfId="20497"/>
    <cellStyle name="Cálculo 2 4 6 42 2" xfId="20498"/>
    <cellStyle name="Cálculo 2 4 6 42 2 2" xfId="20499"/>
    <cellStyle name="Cálculo 2 4 6 42 3" xfId="20500"/>
    <cellStyle name="Cálculo 2 4 6 43" xfId="20501"/>
    <cellStyle name="Cálculo 2 4 6 43 2" xfId="20502"/>
    <cellStyle name="Cálculo 2 4 6 44" xfId="20503"/>
    <cellStyle name="Cálculo 2 4 6 5" xfId="20504"/>
    <cellStyle name="Cálculo 2 4 6 5 2" xfId="20505"/>
    <cellStyle name="Cálculo 2 4 6 5 2 2" xfId="20506"/>
    <cellStyle name="Cálculo 2 4 6 5 3" xfId="20507"/>
    <cellStyle name="Cálculo 2 4 6 5 3 2" xfId="20508"/>
    <cellStyle name="Cálculo 2 4 6 5 4" xfId="20509"/>
    <cellStyle name="Cálculo 2 4 6 6" xfId="20510"/>
    <cellStyle name="Cálculo 2 4 6 6 2" xfId="20511"/>
    <cellStyle name="Cálculo 2 4 6 6 2 2" xfId="20512"/>
    <cellStyle name="Cálculo 2 4 6 6 3" xfId="20513"/>
    <cellStyle name="Cálculo 2 4 6 6 3 2" xfId="20514"/>
    <cellStyle name="Cálculo 2 4 6 6 4" xfId="20515"/>
    <cellStyle name="Cálculo 2 4 6 7" xfId="20516"/>
    <cellStyle name="Cálculo 2 4 6 7 2" xfId="20517"/>
    <cellStyle name="Cálculo 2 4 6 7 2 2" xfId="20518"/>
    <cellStyle name="Cálculo 2 4 6 7 3" xfId="20519"/>
    <cellStyle name="Cálculo 2 4 6 7 3 2" xfId="20520"/>
    <cellStyle name="Cálculo 2 4 6 7 4" xfId="20521"/>
    <cellStyle name="Cálculo 2 4 6 8" xfId="20522"/>
    <cellStyle name="Cálculo 2 4 6 8 2" xfId="20523"/>
    <cellStyle name="Cálculo 2 4 6 8 2 2" xfId="20524"/>
    <cellStyle name="Cálculo 2 4 6 8 3" xfId="20525"/>
    <cellStyle name="Cálculo 2 4 6 8 3 2" xfId="20526"/>
    <cellStyle name="Cálculo 2 4 6 8 4" xfId="20527"/>
    <cellStyle name="Cálculo 2 4 6 9" xfId="20528"/>
    <cellStyle name="Cálculo 2 4 6 9 2" xfId="20529"/>
    <cellStyle name="Cálculo 2 4 6 9 2 2" xfId="20530"/>
    <cellStyle name="Cálculo 2 4 6 9 3" xfId="20531"/>
    <cellStyle name="Cálculo 2 4 6 9 3 2" xfId="20532"/>
    <cellStyle name="Cálculo 2 4 6 9 4" xfId="20533"/>
    <cellStyle name="Cálculo 2 4 7" xfId="20534"/>
    <cellStyle name="Cálculo 2 4 7 2" xfId="20535"/>
    <cellStyle name="Cálculo 2 4 7 2 2" xfId="20536"/>
    <cellStyle name="Cálculo 2 4 7 3" xfId="20537"/>
    <cellStyle name="Cálculo 2 4 7 3 2" xfId="20538"/>
    <cellStyle name="Cálculo 2 4 7 4" xfId="20539"/>
    <cellStyle name="Cálculo 2 4 8" xfId="20540"/>
    <cellStyle name="Cálculo 2 4 8 2" xfId="20541"/>
    <cellStyle name="Cálculo 2 4 8 2 2" xfId="20542"/>
    <cellStyle name="Cálculo 2 4 8 3" xfId="20543"/>
    <cellStyle name="Cálculo 2 4 8 3 2" xfId="20544"/>
    <cellStyle name="Cálculo 2 4 8 4" xfId="20545"/>
    <cellStyle name="Cálculo 2 4 9" xfId="20546"/>
    <cellStyle name="Cálculo 2 4 9 2" xfId="20547"/>
    <cellStyle name="Cálculo 2 4 9 2 2" xfId="20548"/>
    <cellStyle name="Cálculo 2 4 9 3" xfId="20549"/>
    <cellStyle name="Cálculo 2 4 9 3 2" xfId="20550"/>
    <cellStyle name="Cálculo 2 4 9 4" xfId="20551"/>
    <cellStyle name="Cálculo 2 5" xfId="20552"/>
    <cellStyle name="Cálculo 2 5 10" xfId="20553"/>
    <cellStyle name="Cálculo 2 5 10 2" xfId="20554"/>
    <cellStyle name="Cálculo 2 5 10 2 2" xfId="20555"/>
    <cellStyle name="Cálculo 2 5 10 3" xfId="20556"/>
    <cellStyle name="Cálculo 2 5 10 3 2" xfId="20557"/>
    <cellStyle name="Cálculo 2 5 10 4" xfId="20558"/>
    <cellStyle name="Cálculo 2 5 11" xfId="20559"/>
    <cellStyle name="Cálculo 2 5 11 2" xfId="20560"/>
    <cellStyle name="Cálculo 2 5 11 2 2" xfId="20561"/>
    <cellStyle name="Cálculo 2 5 11 3" xfId="20562"/>
    <cellStyle name="Cálculo 2 5 11 3 2" xfId="20563"/>
    <cellStyle name="Cálculo 2 5 11 4" xfId="20564"/>
    <cellStyle name="Cálculo 2 5 12" xfId="20565"/>
    <cellStyle name="Cálculo 2 5 12 2" xfId="20566"/>
    <cellStyle name="Cálculo 2 5 12 2 2" xfId="20567"/>
    <cellStyle name="Cálculo 2 5 12 3" xfId="20568"/>
    <cellStyle name="Cálculo 2 5 12 3 2" xfId="20569"/>
    <cellStyle name="Cálculo 2 5 12 4" xfId="20570"/>
    <cellStyle name="Cálculo 2 5 13" xfId="20571"/>
    <cellStyle name="Cálculo 2 5 13 2" xfId="20572"/>
    <cellStyle name="Cálculo 2 5 13 2 2" xfId="20573"/>
    <cellStyle name="Cálculo 2 5 13 3" xfId="20574"/>
    <cellStyle name="Cálculo 2 5 13 3 2" xfId="20575"/>
    <cellStyle name="Cálculo 2 5 13 4" xfId="20576"/>
    <cellStyle name="Cálculo 2 5 14" xfId="20577"/>
    <cellStyle name="Cálculo 2 5 14 2" xfId="20578"/>
    <cellStyle name="Cálculo 2 5 14 2 2" xfId="20579"/>
    <cellStyle name="Cálculo 2 5 14 3" xfId="20580"/>
    <cellStyle name="Cálculo 2 5 14 3 2" xfId="20581"/>
    <cellStyle name="Cálculo 2 5 14 4" xfId="20582"/>
    <cellStyle name="Cálculo 2 5 15" xfId="20583"/>
    <cellStyle name="Cálculo 2 5 15 2" xfId="20584"/>
    <cellStyle name="Cálculo 2 5 15 2 2" xfId="20585"/>
    <cellStyle name="Cálculo 2 5 15 3" xfId="20586"/>
    <cellStyle name="Cálculo 2 5 15 3 2" xfId="20587"/>
    <cellStyle name="Cálculo 2 5 15 4" xfId="20588"/>
    <cellStyle name="Cálculo 2 5 16" xfId="20589"/>
    <cellStyle name="Cálculo 2 5 16 2" xfId="20590"/>
    <cellStyle name="Cálculo 2 5 16 2 2" xfId="20591"/>
    <cellStyle name="Cálculo 2 5 16 3" xfId="20592"/>
    <cellStyle name="Cálculo 2 5 16 3 2" xfId="20593"/>
    <cellStyle name="Cálculo 2 5 16 4" xfId="20594"/>
    <cellStyle name="Cálculo 2 5 17" xfId="20595"/>
    <cellStyle name="Cálculo 2 5 17 2" xfId="20596"/>
    <cellStyle name="Cálculo 2 5 17 2 2" xfId="20597"/>
    <cellStyle name="Cálculo 2 5 17 3" xfId="20598"/>
    <cellStyle name="Cálculo 2 5 17 3 2" xfId="20599"/>
    <cellStyle name="Cálculo 2 5 17 4" xfId="20600"/>
    <cellStyle name="Cálculo 2 5 18" xfId="20601"/>
    <cellStyle name="Cálculo 2 5 18 2" xfId="20602"/>
    <cellStyle name="Cálculo 2 5 18 2 2" xfId="20603"/>
    <cellStyle name="Cálculo 2 5 18 3" xfId="20604"/>
    <cellStyle name="Cálculo 2 5 18 3 2" xfId="20605"/>
    <cellStyle name="Cálculo 2 5 18 4" xfId="20606"/>
    <cellStyle name="Cálculo 2 5 19" xfId="20607"/>
    <cellStyle name="Cálculo 2 5 19 2" xfId="20608"/>
    <cellStyle name="Cálculo 2 5 19 2 2" xfId="20609"/>
    <cellStyle name="Cálculo 2 5 19 3" xfId="20610"/>
    <cellStyle name="Cálculo 2 5 19 3 2" xfId="20611"/>
    <cellStyle name="Cálculo 2 5 19 4" xfId="20612"/>
    <cellStyle name="Cálculo 2 5 2" xfId="20613"/>
    <cellStyle name="Cálculo 2 5 2 10" xfId="20614"/>
    <cellStyle name="Cálculo 2 5 2 10 2" xfId="20615"/>
    <cellStyle name="Cálculo 2 5 2 10 2 2" xfId="20616"/>
    <cellStyle name="Cálculo 2 5 2 10 3" xfId="20617"/>
    <cellStyle name="Cálculo 2 5 2 10 3 2" xfId="20618"/>
    <cellStyle name="Cálculo 2 5 2 10 4" xfId="20619"/>
    <cellStyle name="Cálculo 2 5 2 11" xfId="20620"/>
    <cellStyle name="Cálculo 2 5 2 11 2" xfId="20621"/>
    <cellStyle name="Cálculo 2 5 2 11 2 2" xfId="20622"/>
    <cellStyle name="Cálculo 2 5 2 11 3" xfId="20623"/>
    <cellStyle name="Cálculo 2 5 2 11 3 2" xfId="20624"/>
    <cellStyle name="Cálculo 2 5 2 11 4" xfId="20625"/>
    <cellStyle name="Cálculo 2 5 2 12" xfId="20626"/>
    <cellStyle name="Cálculo 2 5 2 12 2" xfId="20627"/>
    <cellStyle name="Cálculo 2 5 2 12 2 2" xfId="20628"/>
    <cellStyle name="Cálculo 2 5 2 12 3" xfId="20629"/>
    <cellStyle name="Cálculo 2 5 2 12 3 2" xfId="20630"/>
    <cellStyle name="Cálculo 2 5 2 12 4" xfId="20631"/>
    <cellStyle name="Cálculo 2 5 2 13" xfId="20632"/>
    <cellStyle name="Cálculo 2 5 2 13 2" xfId="20633"/>
    <cellStyle name="Cálculo 2 5 2 13 2 2" xfId="20634"/>
    <cellStyle name="Cálculo 2 5 2 13 3" xfId="20635"/>
    <cellStyle name="Cálculo 2 5 2 13 3 2" xfId="20636"/>
    <cellStyle name="Cálculo 2 5 2 13 4" xfId="20637"/>
    <cellStyle name="Cálculo 2 5 2 14" xfId="20638"/>
    <cellStyle name="Cálculo 2 5 2 14 2" xfId="20639"/>
    <cellStyle name="Cálculo 2 5 2 14 2 2" xfId="20640"/>
    <cellStyle name="Cálculo 2 5 2 14 3" xfId="20641"/>
    <cellStyle name="Cálculo 2 5 2 14 3 2" xfId="20642"/>
    <cellStyle name="Cálculo 2 5 2 14 4" xfId="20643"/>
    <cellStyle name="Cálculo 2 5 2 15" xfId="20644"/>
    <cellStyle name="Cálculo 2 5 2 15 2" xfId="20645"/>
    <cellStyle name="Cálculo 2 5 2 15 2 2" xfId="20646"/>
    <cellStyle name="Cálculo 2 5 2 15 3" xfId="20647"/>
    <cellStyle name="Cálculo 2 5 2 15 3 2" xfId="20648"/>
    <cellStyle name="Cálculo 2 5 2 15 4" xfId="20649"/>
    <cellStyle name="Cálculo 2 5 2 16" xfId="20650"/>
    <cellStyle name="Cálculo 2 5 2 16 2" xfId="20651"/>
    <cellStyle name="Cálculo 2 5 2 16 2 2" xfId="20652"/>
    <cellStyle name="Cálculo 2 5 2 16 3" xfId="20653"/>
    <cellStyle name="Cálculo 2 5 2 16 3 2" xfId="20654"/>
    <cellStyle name="Cálculo 2 5 2 16 4" xfId="20655"/>
    <cellStyle name="Cálculo 2 5 2 17" xfId="20656"/>
    <cellStyle name="Cálculo 2 5 2 17 2" xfId="20657"/>
    <cellStyle name="Cálculo 2 5 2 17 2 2" xfId="20658"/>
    <cellStyle name="Cálculo 2 5 2 17 3" xfId="20659"/>
    <cellStyle name="Cálculo 2 5 2 17 3 2" xfId="20660"/>
    <cellStyle name="Cálculo 2 5 2 17 4" xfId="20661"/>
    <cellStyle name="Cálculo 2 5 2 18" xfId="20662"/>
    <cellStyle name="Cálculo 2 5 2 18 2" xfId="20663"/>
    <cellStyle name="Cálculo 2 5 2 18 2 2" xfId="20664"/>
    <cellStyle name="Cálculo 2 5 2 18 3" xfId="20665"/>
    <cellStyle name="Cálculo 2 5 2 18 3 2" xfId="20666"/>
    <cellStyle name="Cálculo 2 5 2 18 4" xfId="20667"/>
    <cellStyle name="Cálculo 2 5 2 19" xfId="20668"/>
    <cellStyle name="Cálculo 2 5 2 19 2" xfId="20669"/>
    <cellStyle name="Cálculo 2 5 2 19 2 2" xfId="20670"/>
    <cellStyle name="Cálculo 2 5 2 19 3" xfId="20671"/>
    <cellStyle name="Cálculo 2 5 2 19 3 2" xfId="20672"/>
    <cellStyle name="Cálculo 2 5 2 19 4" xfId="20673"/>
    <cellStyle name="Cálculo 2 5 2 2" xfId="20674"/>
    <cellStyle name="Cálculo 2 5 2 2 2" xfId="20675"/>
    <cellStyle name="Cálculo 2 5 2 2 2 2" xfId="20676"/>
    <cellStyle name="Cálculo 2 5 2 2 3" xfId="20677"/>
    <cellStyle name="Cálculo 2 5 2 2 3 2" xfId="20678"/>
    <cellStyle name="Cálculo 2 5 2 2 4" xfId="20679"/>
    <cellStyle name="Cálculo 2 5 2 20" xfId="20680"/>
    <cellStyle name="Cálculo 2 5 2 20 2" xfId="20681"/>
    <cellStyle name="Cálculo 2 5 2 20 2 2" xfId="20682"/>
    <cellStyle name="Cálculo 2 5 2 20 3" xfId="20683"/>
    <cellStyle name="Cálculo 2 5 2 20 3 2" xfId="20684"/>
    <cellStyle name="Cálculo 2 5 2 20 4" xfId="20685"/>
    <cellStyle name="Cálculo 2 5 2 21" xfId="20686"/>
    <cellStyle name="Cálculo 2 5 2 21 2" xfId="20687"/>
    <cellStyle name="Cálculo 2 5 2 21 2 2" xfId="20688"/>
    <cellStyle name="Cálculo 2 5 2 21 3" xfId="20689"/>
    <cellStyle name="Cálculo 2 5 2 21 3 2" xfId="20690"/>
    <cellStyle name="Cálculo 2 5 2 21 4" xfId="20691"/>
    <cellStyle name="Cálculo 2 5 2 22" xfId="20692"/>
    <cellStyle name="Cálculo 2 5 2 22 2" xfId="20693"/>
    <cellStyle name="Cálculo 2 5 2 22 2 2" xfId="20694"/>
    <cellStyle name="Cálculo 2 5 2 22 3" xfId="20695"/>
    <cellStyle name="Cálculo 2 5 2 22 3 2" xfId="20696"/>
    <cellStyle name="Cálculo 2 5 2 22 4" xfId="20697"/>
    <cellStyle name="Cálculo 2 5 2 23" xfId="20698"/>
    <cellStyle name="Cálculo 2 5 2 23 2" xfId="20699"/>
    <cellStyle name="Cálculo 2 5 2 23 2 2" xfId="20700"/>
    <cellStyle name="Cálculo 2 5 2 23 3" xfId="20701"/>
    <cellStyle name="Cálculo 2 5 2 23 3 2" xfId="20702"/>
    <cellStyle name="Cálculo 2 5 2 23 4" xfId="20703"/>
    <cellStyle name="Cálculo 2 5 2 24" xfId="20704"/>
    <cellStyle name="Cálculo 2 5 2 24 2" xfId="20705"/>
    <cellStyle name="Cálculo 2 5 2 24 2 2" xfId="20706"/>
    <cellStyle name="Cálculo 2 5 2 24 3" xfId="20707"/>
    <cellStyle name="Cálculo 2 5 2 24 3 2" xfId="20708"/>
    <cellStyle name="Cálculo 2 5 2 24 4" xfId="20709"/>
    <cellStyle name="Cálculo 2 5 2 25" xfId="20710"/>
    <cellStyle name="Cálculo 2 5 2 25 2" xfId="20711"/>
    <cellStyle name="Cálculo 2 5 2 25 2 2" xfId="20712"/>
    <cellStyle name="Cálculo 2 5 2 25 3" xfId="20713"/>
    <cellStyle name="Cálculo 2 5 2 25 3 2" xfId="20714"/>
    <cellStyle name="Cálculo 2 5 2 25 4" xfId="20715"/>
    <cellStyle name="Cálculo 2 5 2 26" xfId="20716"/>
    <cellStyle name="Cálculo 2 5 2 26 2" xfId="20717"/>
    <cellStyle name="Cálculo 2 5 2 26 2 2" xfId="20718"/>
    <cellStyle name="Cálculo 2 5 2 26 3" xfId="20719"/>
    <cellStyle name="Cálculo 2 5 2 26 3 2" xfId="20720"/>
    <cellStyle name="Cálculo 2 5 2 26 4" xfId="20721"/>
    <cellStyle name="Cálculo 2 5 2 27" xfId="20722"/>
    <cellStyle name="Cálculo 2 5 2 27 2" xfId="20723"/>
    <cellStyle name="Cálculo 2 5 2 27 2 2" xfId="20724"/>
    <cellStyle name="Cálculo 2 5 2 27 3" xfId="20725"/>
    <cellStyle name="Cálculo 2 5 2 27 3 2" xfId="20726"/>
    <cellStyle name="Cálculo 2 5 2 27 4" xfId="20727"/>
    <cellStyle name="Cálculo 2 5 2 28" xfId="20728"/>
    <cellStyle name="Cálculo 2 5 2 28 2" xfId="20729"/>
    <cellStyle name="Cálculo 2 5 2 28 2 2" xfId="20730"/>
    <cellStyle name="Cálculo 2 5 2 28 3" xfId="20731"/>
    <cellStyle name="Cálculo 2 5 2 28 3 2" xfId="20732"/>
    <cellStyle name="Cálculo 2 5 2 28 4" xfId="20733"/>
    <cellStyle name="Cálculo 2 5 2 29" xfId="20734"/>
    <cellStyle name="Cálculo 2 5 2 29 2" xfId="20735"/>
    <cellStyle name="Cálculo 2 5 2 29 2 2" xfId="20736"/>
    <cellStyle name="Cálculo 2 5 2 29 3" xfId="20737"/>
    <cellStyle name="Cálculo 2 5 2 29 3 2" xfId="20738"/>
    <cellStyle name="Cálculo 2 5 2 29 4" xfId="20739"/>
    <cellStyle name="Cálculo 2 5 2 3" xfId="20740"/>
    <cellStyle name="Cálculo 2 5 2 3 2" xfId="20741"/>
    <cellStyle name="Cálculo 2 5 2 3 2 2" xfId="20742"/>
    <cellStyle name="Cálculo 2 5 2 3 3" xfId="20743"/>
    <cellStyle name="Cálculo 2 5 2 3 3 2" xfId="20744"/>
    <cellStyle name="Cálculo 2 5 2 3 4" xfId="20745"/>
    <cellStyle name="Cálculo 2 5 2 30" xfId="20746"/>
    <cellStyle name="Cálculo 2 5 2 30 2" xfId="20747"/>
    <cellStyle name="Cálculo 2 5 2 30 2 2" xfId="20748"/>
    <cellStyle name="Cálculo 2 5 2 30 3" xfId="20749"/>
    <cellStyle name="Cálculo 2 5 2 30 3 2" xfId="20750"/>
    <cellStyle name="Cálculo 2 5 2 30 4" xfId="20751"/>
    <cellStyle name="Cálculo 2 5 2 31" xfId="20752"/>
    <cellStyle name="Cálculo 2 5 2 31 2" xfId="20753"/>
    <cellStyle name="Cálculo 2 5 2 31 2 2" xfId="20754"/>
    <cellStyle name="Cálculo 2 5 2 31 3" xfId="20755"/>
    <cellStyle name="Cálculo 2 5 2 31 3 2" xfId="20756"/>
    <cellStyle name="Cálculo 2 5 2 31 4" xfId="20757"/>
    <cellStyle name="Cálculo 2 5 2 32" xfId="20758"/>
    <cellStyle name="Cálculo 2 5 2 32 2" xfId="20759"/>
    <cellStyle name="Cálculo 2 5 2 32 2 2" xfId="20760"/>
    <cellStyle name="Cálculo 2 5 2 32 3" xfId="20761"/>
    <cellStyle name="Cálculo 2 5 2 32 3 2" xfId="20762"/>
    <cellStyle name="Cálculo 2 5 2 32 4" xfId="20763"/>
    <cellStyle name="Cálculo 2 5 2 33" xfId="20764"/>
    <cellStyle name="Cálculo 2 5 2 33 2" xfId="20765"/>
    <cellStyle name="Cálculo 2 5 2 33 2 2" xfId="20766"/>
    <cellStyle name="Cálculo 2 5 2 33 3" xfId="20767"/>
    <cellStyle name="Cálculo 2 5 2 33 3 2" xfId="20768"/>
    <cellStyle name="Cálculo 2 5 2 33 4" xfId="20769"/>
    <cellStyle name="Cálculo 2 5 2 34" xfId="20770"/>
    <cellStyle name="Cálculo 2 5 2 34 2" xfId="20771"/>
    <cellStyle name="Cálculo 2 5 2 34 2 2" xfId="20772"/>
    <cellStyle name="Cálculo 2 5 2 34 3" xfId="20773"/>
    <cellStyle name="Cálculo 2 5 2 34 3 2" xfId="20774"/>
    <cellStyle name="Cálculo 2 5 2 34 4" xfId="20775"/>
    <cellStyle name="Cálculo 2 5 2 35" xfId="20776"/>
    <cellStyle name="Cálculo 2 5 2 35 2" xfId="20777"/>
    <cellStyle name="Cálculo 2 5 2 35 2 2" xfId="20778"/>
    <cellStyle name="Cálculo 2 5 2 35 3" xfId="20779"/>
    <cellStyle name="Cálculo 2 5 2 35 3 2" xfId="20780"/>
    <cellStyle name="Cálculo 2 5 2 35 4" xfId="20781"/>
    <cellStyle name="Cálculo 2 5 2 36" xfId="20782"/>
    <cellStyle name="Cálculo 2 5 2 36 2" xfId="20783"/>
    <cellStyle name="Cálculo 2 5 2 36 2 2" xfId="20784"/>
    <cellStyle name="Cálculo 2 5 2 36 3" xfId="20785"/>
    <cellStyle name="Cálculo 2 5 2 36 3 2" xfId="20786"/>
    <cellStyle name="Cálculo 2 5 2 36 4" xfId="20787"/>
    <cellStyle name="Cálculo 2 5 2 37" xfId="20788"/>
    <cellStyle name="Cálculo 2 5 2 37 2" xfId="20789"/>
    <cellStyle name="Cálculo 2 5 2 37 2 2" xfId="20790"/>
    <cellStyle name="Cálculo 2 5 2 37 3" xfId="20791"/>
    <cellStyle name="Cálculo 2 5 2 37 3 2" xfId="20792"/>
    <cellStyle name="Cálculo 2 5 2 37 4" xfId="20793"/>
    <cellStyle name="Cálculo 2 5 2 38" xfId="20794"/>
    <cellStyle name="Cálculo 2 5 2 38 2" xfId="20795"/>
    <cellStyle name="Cálculo 2 5 2 38 2 2" xfId="20796"/>
    <cellStyle name="Cálculo 2 5 2 38 3" xfId="20797"/>
    <cellStyle name="Cálculo 2 5 2 38 3 2" xfId="20798"/>
    <cellStyle name="Cálculo 2 5 2 38 4" xfId="20799"/>
    <cellStyle name="Cálculo 2 5 2 39" xfId="20800"/>
    <cellStyle name="Cálculo 2 5 2 39 2" xfId="20801"/>
    <cellStyle name="Cálculo 2 5 2 39 2 2" xfId="20802"/>
    <cellStyle name="Cálculo 2 5 2 39 3" xfId="20803"/>
    <cellStyle name="Cálculo 2 5 2 4" xfId="20804"/>
    <cellStyle name="Cálculo 2 5 2 4 2" xfId="20805"/>
    <cellStyle name="Cálculo 2 5 2 4 2 2" xfId="20806"/>
    <cellStyle name="Cálculo 2 5 2 4 3" xfId="20807"/>
    <cellStyle name="Cálculo 2 5 2 4 3 2" xfId="20808"/>
    <cellStyle name="Cálculo 2 5 2 4 4" xfId="20809"/>
    <cellStyle name="Cálculo 2 5 2 40" xfId="20810"/>
    <cellStyle name="Cálculo 2 5 2 40 2" xfId="20811"/>
    <cellStyle name="Cálculo 2 5 2 41" xfId="20812"/>
    <cellStyle name="Cálculo 2 5 2 41 2" xfId="20813"/>
    <cellStyle name="Cálculo 2 5 2 42" xfId="20814"/>
    <cellStyle name="Cálculo 2 5 2 42 2" xfId="20815"/>
    <cellStyle name="Cálculo 2 5 2 43" xfId="20816"/>
    <cellStyle name="Cálculo 2 5 2 5" xfId="20817"/>
    <cellStyle name="Cálculo 2 5 2 5 2" xfId="20818"/>
    <cellStyle name="Cálculo 2 5 2 5 2 2" xfId="20819"/>
    <cellStyle name="Cálculo 2 5 2 5 3" xfId="20820"/>
    <cellStyle name="Cálculo 2 5 2 5 3 2" xfId="20821"/>
    <cellStyle name="Cálculo 2 5 2 5 4" xfId="20822"/>
    <cellStyle name="Cálculo 2 5 2 6" xfId="20823"/>
    <cellStyle name="Cálculo 2 5 2 6 2" xfId="20824"/>
    <cellStyle name="Cálculo 2 5 2 6 2 2" xfId="20825"/>
    <cellStyle name="Cálculo 2 5 2 6 3" xfId="20826"/>
    <cellStyle name="Cálculo 2 5 2 6 3 2" xfId="20827"/>
    <cellStyle name="Cálculo 2 5 2 6 4" xfId="20828"/>
    <cellStyle name="Cálculo 2 5 2 7" xfId="20829"/>
    <cellStyle name="Cálculo 2 5 2 7 2" xfId="20830"/>
    <cellStyle name="Cálculo 2 5 2 7 2 2" xfId="20831"/>
    <cellStyle name="Cálculo 2 5 2 7 3" xfId="20832"/>
    <cellStyle name="Cálculo 2 5 2 7 3 2" xfId="20833"/>
    <cellStyle name="Cálculo 2 5 2 7 4" xfId="20834"/>
    <cellStyle name="Cálculo 2 5 2 8" xfId="20835"/>
    <cellStyle name="Cálculo 2 5 2 8 2" xfId="20836"/>
    <cellStyle name="Cálculo 2 5 2 8 2 2" xfId="20837"/>
    <cellStyle name="Cálculo 2 5 2 8 3" xfId="20838"/>
    <cellStyle name="Cálculo 2 5 2 8 3 2" xfId="20839"/>
    <cellStyle name="Cálculo 2 5 2 8 4" xfId="20840"/>
    <cellStyle name="Cálculo 2 5 2 9" xfId="20841"/>
    <cellStyle name="Cálculo 2 5 2 9 2" xfId="20842"/>
    <cellStyle name="Cálculo 2 5 2 9 2 2" xfId="20843"/>
    <cellStyle name="Cálculo 2 5 2 9 3" xfId="20844"/>
    <cellStyle name="Cálculo 2 5 2 9 3 2" xfId="20845"/>
    <cellStyle name="Cálculo 2 5 2 9 4" xfId="20846"/>
    <cellStyle name="Cálculo 2 5 20" xfId="20847"/>
    <cellStyle name="Cálculo 2 5 20 2" xfId="20848"/>
    <cellStyle name="Cálculo 2 5 20 2 2" xfId="20849"/>
    <cellStyle name="Cálculo 2 5 20 3" xfId="20850"/>
    <cellStyle name="Cálculo 2 5 20 3 2" xfId="20851"/>
    <cellStyle name="Cálculo 2 5 20 4" xfId="20852"/>
    <cellStyle name="Cálculo 2 5 21" xfId="20853"/>
    <cellStyle name="Cálculo 2 5 21 2" xfId="20854"/>
    <cellStyle name="Cálculo 2 5 21 2 2" xfId="20855"/>
    <cellStyle name="Cálculo 2 5 21 3" xfId="20856"/>
    <cellStyle name="Cálculo 2 5 21 3 2" xfId="20857"/>
    <cellStyle name="Cálculo 2 5 21 4" xfId="20858"/>
    <cellStyle name="Cálculo 2 5 22" xfId="20859"/>
    <cellStyle name="Cálculo 2 5 22 2" xfId="20860"/>
    <cellStyle name="Cálculo 2 5 22 2 2" xfId="20861"/>
    <cellStyle name="Cálculo 2 5 22 3" xfId="20862"/>
    <cellStyle name="Cálculo 2 5 22 3 2" xfId="20863"/>
    <cellStyle name="Cálculo 2 5 22 4" xfId="20864"/>
    <cellStyle name="Cálculo 2 5 23" xfId="20865"/>
    <cellStyle name="Cálculo 2 5 23 2" xfId="20866"/>
    <cellStyle name="Cálculo 2 5 23 2 2" xfId="20867"/>
    <cellStyle name="Cálculo 2 5 23 3" xfId="20868"/>
    <cellStyle name="Cálculo 2 5 23 3 2" xfId="20869"/>
    <cellStyle name="Cálculo 2 5 23 4" xfId="20870"/>
    <cellStyle name="Cálculo 2 5 24" xfId="20871"/>
    <cellStyle name="Cálculo 2 5 24 2" xfId="20872"/>
    <cellStyle name="Cálculo 2 5 24 2 2" xfId="20873"/>
    <cellStyle name="Cálculo 2 5 24 3" xfId="20874"/>
    <cellStyle name="Cálculo 2 5 24 3 2" xfId="20875"/>
    <cellStyle name="Cálculo 2 5 24 4" xfId="20876"/>
    <cellStyle name="Cálculo 2 5 25" xfId="20877"/>
    <cellStyle name="Cálculo 2 5 25 2" xfId="20878"/>
    <cellStyle name="Cálculo 2 5 25 2 2" xfId="20879"/>
    <cellStyle name="Cálculo 2 5 25 3" xfId="20880"/>
    <cellStyle name="Cálculo 2 5 25 3 2" xfId="20881"/>
    <cellStyle name="Cálculo 2 5 25 4" xfId="20882"/>
    <cellStyle name="Cálculo 2 5 26" xfId="20883"/>
    <cellStyle name="Cálculo 2 5 26 2" xfId="20884"/>
    <cellStyle name="Cálculo 2 5 26 2 2" xfId="20885"/>
    <cellStyle name="Cálculo 2 5 26 3" xfId="20886"/>
    <cellStyle name="Cálculo 2 5 26 3 2" xfId="20887"/>
    <cellStyle name="Cálculo 2 5 26 4" xfId="20888"/>
    <cellStyle name="Cálculo 2 5 27" xfId="20889"/>
    <cellStyle name="Cálculo 2 5 27 2" xfId="20890"/>
    <cellStyle name="Cálculo 2 5 27 2 2" xfId="20891"/>
    <cellStyle name="Cálculo 2 5 27 3" xfId="20892"/>
    <cellStyle name="Cálculo 2 5 27 3 2" xfId="20893"/>
    <cellStyle name="Cálculo 2 5 27 4" xfId="20894"/>
    <cellStyle name="Cálculo 2 5 28" xfId="20895"/>
    <cellStyle name="Cálculo 2 5 28 2" xfId="20896"/>
    <cellStyle name="Cálculo 2 5 28 2 2" xfId="20897"/>
    <cellStyle name="Cálculo 2 5 28 3" xfId="20898"/>
    <cellStyle name="Cálculo 2 5 28 3 2" xfId="20899"/>
    <cellStyle name="Cálculo 2 5 28 4" xfId="20900"/>
    <cellStyle name="Cálculo 2 5 29" xfId="20901"/>
    <cellStyle name="Cálculo 2 5 29 2" xfId="20902"/>
    <cellStyle name="Cálculo 2 5 29 2 2" xfId="20903"/>
    <cellStyle name="Cálculo 2 5 29 3" xfId="20904"/>
    <cellStyle name="Cálculo 2 5 29 3 2" xfId="20905"/>
    <cellStyle name="Cálculo 2 5 29 4" xfId="20906"/>
    <cellStyle name="Cálculo 2 5 3" xfId="20907"/>
    <cellStyle name="Cálculo 2 5 3 10" xfId="20908"/>
    <cellStyle name="Cálculo 2 5 3 10 2" xfId="20909"/>
    <cellStyle name="Cálculo 2 5 3 10 2 2" xfId="20910"/>
    <cellStyle name="Cálculo 2 5 3 10 3" xfId="20911"/>
    <cellStyle name="Cálculo 2 5 3 10 3 2" xfId="20912"/>
    <cellStyle name="Cálculo 2 5 3 10 4" xfId="20913"/>
    <cellStyle name="Cálculo 2 5 3 11" xfId="20914"/>
    <cellStyle name="Cálculo 2 5 3 11 2" xfId="20915"/>
    <cellStyle name="Cálculo 2 5 3 11 2 2" xfId="20916"/>
    <cellStyle name="Cálculo 2 5 3 11 3" xfId="20917"/>
    <cellStyle name="Cálculo 2 5 3 11 3 2" xfId="20918"/>
    <cellStyle name="Cálculo 2 5 3 11 4" xfId="20919"/>
    <cellStyle name="Cálculo 2 5 3 12" xfId="20920"/>
    <cellStyle name="Cálculo 2 5 3 12 2" xfId="20921"/>
    <cellStyle name="Cálculo 2 5 3 12 2 2" xfId="20922"/>
    <cellStyle name="Cálculo 2 5 3 12 3" xfId="20923"/>
    <cellStyle name="Cálculo 2 5 3 12 3 2" xfId="20924"/>
    <cellStyle name="Cálculo 2 5 3 12 4" xfId="20925"/>
    <cellStyle name="Cálculo 2 5 3 13" xfId="20926"/>
    <cellStyle name="Cálculo 2 5 3 13 2" xfId="20927"/>
    <cellStyle name="Cálculo 2 5 3 13 2 2" xfId="20928"/>
    <cellStyle name="Cálculo 2 5 3 13 3" xfId="20929"/>
    <cellStyle name="Cálculo 2 5 3 13 3 2" xfId="20930"/>
    <cellStyle name="Cálculo 2 5 3 13 4" xfId="20931"/>
    <cellStyle name="Cálculo 2 5 3 14" xfId="20932"/>
    <cellStyle name="Cálculo 2 5 3 14 2" xfId="20933"/>
    <cellStyle name="Cálculo 2 5 3 14 2 2" xfId="20934"/>
    <cellStyle name="Cálculo 2 5 3 14 3" xfId="20935"/>
    <cellStyle name="Cálculo 2 5 3 14 3 2" xfId="20936"/>
    <cellStyle name="Cálculo 2 5 3 14 4" xfId="20937"/>
    <cellStyle name="Cálculo 2 5 3 15" xfId="20938"/>
    <cellStyle name="Cálculo 2 5 3 15 2" xfId="20939"/>
    <cellStyle name="Cálculo 2 5 3 15 2 2" xfId="20940"/>
    <cellStyle name="Cálculo 2 5 3 15 3" xfId="20941"/>
    <cellStyle name="Cálculo 2 5 3 15 3 2" xfId="20942"/>
    <cellStyle name="Cálculo 2 5 3 15 4" xfId="20943"/>
    <cellStyle name="Cálculo 2 5 3 16" xfId="20944"/>
    <cellStyle name="Cálculo 2 5 3 16 2" xfId="20945"/>
    <cellStyle name="Cálculo 2 5 3 16 2 2" xfId="20946"/>
    <cellStyle name="Cálculo 2 5 3 16 3" xfId="20947"/>
    <cellStyle name="Cálculo 2 5 3 16 3 2" xfId="20948"/>
    <cellStyle name="Cálculo 2 5 3 16 4" xfId="20949"/>
    <cellStyle name="Cálculo 2 5 3 17" xfId="20950"/>
    <cellStyle name="Cálculo 2 5 3 17 2" xfId="20951"/>
    <cellStyle name="Cálculo 2 5 3 17 2 2" xfId="20952"/>
    <cellStyle name="Cálculo 2 5 3 17 3" xfId="20953"/>
    <cellStyle name="Cálculo 2 5 3 17 3 2" xfId="20954"/>
    <cellStyle name="Cálculo 2 5 3 17 4" xfId="20955"/>
    <cellStyle name="Cálculo 2 5 3 18" xfId="20956"/>
    <cellStyle name="Cálculo 2 5 3 18 2" xfId="20957"/>
    <cellStyle name="Cálculo 2 5 3 18 2 2" xfId="20958"/>
    <cellStyle name="Cálculo 2 5 3 18 3" xfId="20959"/>
    <cellStyle name="Cálculo 2 5 3 18 3 2" xfId="20960"/>
    <cellStyle name="Cálculo 2 5 3 18 4" xfId="20961"/>
    <cellStyle name="Cálculo 2 5 3 19" xfId="20962"/>
    <cellStyle name="Cálculo 2 5 3 19 2" xfId="20963"/>
    <cellStyle name="Cálculo 2 5 3 19 2 2" xfId="20964"/>
    <cellStyle name="Cálculo 2 5 3 19 3" xfId="20965"/>
    <cellStyle name="Cálculo 2 5 3 19 3 2" xfId="20966"/>
    <cellStyle name="Cálculo 2 5 3 19 4" xfId="20967"/>
    <cellStyle name="Cálculo 2 5 3 2" xfId="20968"/>
    <cellStyle name="Cálculo 2 5 3 2 2" xfId="20969"/>
    <cellStyle name="Cálculo 2 5 3 2 2 2" xfId="20970"/>
    <cellStyle name="Cálculo 2 5 3 2 3" xfId="20971"/>
    <cellStyle name="Cálculo 2 5 3 2 3 2" xfId="20972"/>
    <cellStyle name="Cálculo 2 5 3 2 4" xfId="20973"/>
    <cellStyle name="Cálculo 2 5 3 20" xfId="20974"/>
    <cellStyle name="Cálculo 2 5 3 20 2" xfId="20975"/>
    <cellStyle name="Cálculo 2 5 3 20 2 2" xfId="20976"/>
    <cellStyle name="Cálculo 2 5 3 20 3" xfId="20977"/>
    <cellStyle name="Cálculo 2 5 3 20 3 2" xfId="20978"/>
    <cellStyle name="Cálculo 2 5 3 20 4" xfId="20979"/>
    <cellStyle name="Cálculo 2 5 3 21" xfId="20980"/>
    <cellStyle name="Cálculo 2 5 3 21 2" xfId="20981"/>
    <cellStyle name="Cálculo 2 5 3 21 2 2" xfId="20982"/>
    <cellStyle name="Cálculo 2 5 3 21 3" xfId="20983"/>
    <cellStyle name="Cálculo 2 5 3 21 3 2" xfId="20984"/>
    <cellStyle name="Cálculo 2 5 3 21 4" xfId="20985"/>
    <cellStyle name="Cálculo 2 5 3 22" xfId="20986"/>
    <cellStyle name="Cálculo 2 5 3 22 2" xfId="20987"/>
    <cellStyle name="Cálculo 2 5 3 22 2 2" xfId="20988"/>
    <cellStyle name="Cálculo 2 5 3 22 3" xfId="20989"/>
    <cellStyle name="Cálculo 2 5 3 22 3 2" xfId="20990"/>
    <cellStyle name="Cálculo 2 5 3 22 4" xfId="20991"/>
    <cellStyle name="Cálculo 2 5 3 23" xfId="20992"/>
    <cellStyle name="Cálculo 2 5 3 23 2" xfId="20993"/>
    <cellStyle name="Cálculo 2 5 3 23 2 2" xfId="20994"/>
    <cellStyle name="Cálculo 2 5 3 23 3" xfId="20995"/>
    <cellStyle name="Cálculo 2 5 3 23 3 2" xfId="20996"/>
    <cellStyle name="Cálculo 2 5 3 23 4" xfId="20997"/>
    <cellStyle name="Cálculo 2 5 3 24" xfId="20998"/>
    <cellStyle name="Cálculo 2 5 3 24 2" xfId="20999"/>
    <cellStyle name="Cálculo 2 5 3 24 2 2" xfId="21000"/>
    <cellStyle name="Cálculo 2 5 3 24 3" xfId="21001"/>
    <cellStyle name="Cálculo 2 5 3 24 3 2" xfId="21002"/>
    <cellStyle name="Cálculo 2 5 3 24 4" xfId="21003"/>
    <cellStyle name="Cálculo 2 5 3 25" xfId="21004"/>
    <cellStyle name="Cálculo 2 5 3 25 2" xfId="21005"/>
    <cellStyle name="Cálculo 2 5 3 25 2 2" xfId="21006"/>
    <cellStyle name="Cálculo 2 5 3 25 3" xfId="21007"/>
    <cellStyle name="Cálculo 2 5 3 25 3 2" xfId="21008"/>
    <cellStyle name="Cálculo 2 5 3 25 4" xfId="21009"/>
    <cellStyle name="Cálculo 2 5 3 26" xfId="21010"/>
    <cellStyle name="Cálculo 2 5 3 26 2" xfId="21011"/>
    <cellStyle name="Cálculo 2 5 3 26 2 2" xfId="21012"/>
    <cellStyle name="Cálculo 2 5 3 26 3" xfId="21013"/>
    <cellStyle name="Cálculo 2 5 3 26 3 2" xfId="21014"/>
    <cellStyle name="Cálculo 2 5 3 26 4" xfId="21015"/>
    <cellStyle name="Cálculo 2 5 3 27" xfId="21016"/>
    <cellStyle name="Cálculo 2 5 3 27 2" xfId="21017"/>
    <cellStyle name="Cálculo 2 5 3 27 2 2" xfId="21018"/>
    <cellStyle name="Cálculo 2 5 3 27 3" xfId="21019"/>
    <cellStyle name="Cálculo 2 5 3 27 3 2" xfId="21020"/>
    <cellStyle name="Cálculo 2 5 3 27 4" xfId="21021"/>
    <cellStyle name="Cálculo 2 5 3 28" xfId="21022"/>
    <cellStyle name="Cálculo 2 5 3 28 2" xfId="21023"/>
    <cellStyle name="Cálculo 2 5 3 28 2 2" xfId="21024"/>
    <cellStyle name="Cálculo 2 5 3 28 3" xfId="21025"/>
    <cellStyle name="Cálculo 2 5 3 28 3 2" xfId="21026"/>
    <cellStyle name="Cálculo 2 5 3 28 4" xfId="21027"/>
    <cellStyle name="Cálculo 2 5 3 29" xfId="21028"/>
    <cellStyle name="Cálculo 2 5 3 29 2" xfId="21029"/>
    <cellStyle name="Cálculo 2 5 3 29 2 2" xfId="21030"/>
    <cellStyle name="Cálculo 2 5 3 29 3" xfId="21031"/>
    <cellStyle name="Cálculo 2 5 3 29 3 2" xfId="21032"/>
    <cellStyle name="Cálculo 2 5 3 29 4" xfId="21033"/>
    <cellStyle name="Cálculo 2 5 3 3" xfId="21034"/>
    <cellStyle name="Cálculo 2 5 3 3 2" xfId="21035"/>
    <cellStyle name="Cálculo 2 5 3 3 2 2" xfId="21036"/>
    <cellStyle name="Cálculo 2 5 3 3 3" xfId="21037"/>
    <cellStyle name="Cálculo 2 5 3 3 3 2" xfId="21038"/>
    <cellStyle name="Cálculo 2 5 3 3 4" xfId="21039"/>
    <cellStyle name="Cálculo 2 5 3 30" xfId="21040"/>
    <cellStyle name="Cálculo 2 5 3 30 2" xfId="21041"/>
    <cellStyle name="Cálculo 2 5 3 30 2 2" xfId="21042"/>
    <cellStyle name="Cálculo 2 5 3 30 3" xfId="21043"/>
    <cellStyle name="Cálculo 2 5 3 30 3 2" xfId="21044"/>
    <cellStyle name="Cálculo 2 5 3 30 4" xfId="21045"/>
    <cellStyle name="Cálculo 2 5 3 31" xfId="21046"/>
    <cellStyle name="Cálculo 2 5 3 31 2" xfId="21047"/>
    <cellStyle name="Cálculo 2 5 3 31 2 2" xfId="21048"/>
    <cellStyle name="Cálculo 2 5 3 31 3" xfId="21049"/>
    <cellStyle name="Cálculo 2 5 3 31 3 2" xfId="21050"/>
    <cellStyle name="Cálculo 2 5 3 31 4" xfId="21051"/>
    <cellStyle name="Cálculo 2 5 3 32" xfId="21052"/>
    <cellStyle name="Cálculo 2 5 3 32 2" xfId="21053"/>
    <cellStyle name="Cálculo 2 5 3 32 2 2" xfId="21054"/>
    <cellStyle name="Cálculo 2 5 3 32 3" xfId="21055"/>
    <cellStyle name="Cálculo 2 5 3 32 3 2" xfId="21056"/>
    <cellStyle name="Cálculo 2 5 3 32 4" xfId="21057"/>
    <cellStyle name="Cálculo 2 5 3 33" xfId="21058"/>
    <cellStyle name="Cálculo 2 5 3 33 2" xfId="21059"/>
    <cellStyle name="Cálculo 2 5 3 33 2 2" xfId="21060"/>
    <cellStyle name="Cálculo 2 5 3 33 3" xfId="21061"/>
    <cellStyle name="Cálculo 2 5 3 33 3 2" xfId="21062"/>
    <cellStyle name="Cálculo 2 5 3 33 4" xfId="21063"/>
    <cellStyle name="Cálculo 2 5 3 34" xfId="21064"/>
    <cellStyle name="Cálculo 2 5 3 34 2" xfId="21065"/>
    <cellStyle name="Cálculo 2 5 3 34 2 2" xfId="21066"/>
    <cellStyle name="Cálculo 2 5 3 34 3" xfId="21067"/>
    <cellStyle name="Cálculo 2 5 3 34 3 2" xfId="21068"/>
    <cellStyle name="Cálculo 2 5 3 34 4" xfId="21069"/>
    <cellStyle name="Cálculo 2 5 3 35" xfId="21070"/>
    <cellStyle name="Cálculo 2 5 3 35 2" xfId="21071"/>
    <cellStyle name="Cálculo 2 5 3 35 2 2" xfId="21072"/>
    <cellStyle name="Cálculo 2 5 3 35 3" xfId="21073"/>
    <cellStyle name="Cálculo 2 5 3 35 3 2" xfId="21074"/>
    <cellStyle name="Cálculo 2 5 3 35 4" xfId="21075"/>
    <cellStyle name="Cálculo 2 5 3 36" xfId="21076"/>
    <cellStyle name="Cálculo 2 5 3 36 2" xfId="21077"/>
    <cellStyle name="Cálculo 2 5 3 36 2 2" xfId="21078"/>
    <cellStyle name="Cálculo 2 5 3 36 3" xfId="21079"/>
    <cellStyle name="Cálculo 2 5 3 36 3 2" xfId="21080"/>
    <cellStyle name="Cálculo 2 5 3 36 4" xfId="21081"/>
    <cellStyle name="Cálculo 2 5 3 37" xfId="21082"/>
    <cellStyle name="Cálculo 2 5 3 37 2" xfId="21083"/>
    <cellStyle name="Cálculo 2 5 3 37 2 2" xfId="21084"/>
    <cellStyle name="Cálculo 2 5 3 37 3" xfId="21085"/>
    <cellStyle name="Cálculo 2 5 3 37 3 2" xfId="21086"/>
    <cellStyle name="Cálculo 2 5 3 37 4" xfId="21087"/>
    <cellStyle name="Cálculo 2 5 3 38" xfId="21088"/>
    <cellStyle name="Cálculo 2 5 3 38 2" xfId="21089"/>
    <cellStyle name="Cálculo 2 5 3 38 2 2" xfId="21090"/>
    <cellStyle name="Cálculo 2 5 3 38 3" xfId="21091"/>
    <cellStyle name="Cálculo 2 5 3 38 3 2" xfId="21092"/>
    <cellStyle name="Cálculo 2 5 3 38 4" xfId="21093"/>
    <cellStyle name="Cálculo 2 5 3 39" xfId="21094"/>
    <cellStyle name="Cálculo 2 5 3 39 2" xfId="21095"/>
    <cellStyle name="Cálculo 2 5 3 39 2 2" xfId="21096"/>
    <cellStyle name="Cálculo 2 5 3 39 3" xfId="21097"/>
    <cellStyle name="Cálculo 2 5 3 39 3 2" xfId="21098"/>
    <cellStyle name="Cálculo 2 5 3 39 4" xfId="21099"/>
    <cellStyle name="Cálculo 2 5 3 4" xfId="21100"/>
    <cellStyle name="Cálculo 2 5 3 4 2" xfId="21101"/>
    <cellStyle name="Cálculo 2 5 3 4 2 2" xfId="21102"/>
    <cellStyle name="Cálculo 2 5 3 4 3" xfId="21103"/>
    <cellStyle name="Cálculo 2 5 3 4 3 2" xfId="21104"/>
    <cellStyle name="Cálculo 2 5 3 4 4" xfId="21105"/>
    <cellStyle name="Cálculo 2 5 3 40" xfId="21106"/>
    <cellStyle name="Cálculo 2 5 3 40 2" xfId="21107"/>
    <cellStyle name="Cálculo 2 5 3 40 2 2" xfId="21108"/>
    <cellStyle name="Cálculo 2 5 3 40 3" xfId="21109"/>
    <cellStyle name="Cálculo 2 5 3 41" xfId="21110"/>
    <cellStyle name="Cálculo 2 5 3 41 2" xfId="21111"/>
    <cellStyle name="Cálculo 2 5 3 42" xfId="21112"/>
    <cellStyle name="Cálculo 2 5 3 42 2" xfId="21113"/>
    <cellStyle name="Cálculo 2 5 3 43" xfId="21114"/>
    <cellStyle name="Cálculo 2 5 3 5" xfId="21115"/>
    <cellStyle name="Cálculo 2 5 3 5 2" xfId="21116"/>
    <cellStyle name="Cálculo 2 5 3 5 2 2" xfId="21117"/>
    <cellStyle name="Cálculo 2 5 3 5 3" xfId="21118"/>
    <cellStyle name="Cálculo 2 5 3 5 3 2" xfId="21119"/>
    <cellStyle name="Cálculo 2 5 3 5 4" xfId="21120"/>
    <cellStyle name="Cálculo 2 5 3 6" xfId="21121"/>
    <cellStyle name="Cálculo 2 5 3 6 2" xfId="21122"/>
    <cellStyle name="Cálculo 2 5 3 6 2 2" xfId="21123"/>
    <cellStyle name="Cálculo 2 5 3 6 3" xfId="21124"/>
    <cellStyle name="Cálculo 2 5 3 6 3 2" xfId="21125"/>
    <cellStyle name="Cálculo 2 5 3 6 4" xfId="21126"/>
    <cellStyle name="Cálculo 2 5 3 7" xfId="21127"/>
    <cellStyle name="Cálculo 2 5 3 7 2" xfId="21128"/>
    <cellStyle name="Cálculo 2 5 3 7 2 2" xfId="21129"/>
    <cellStyle name="Cálculo 2 5 3 7 3" xfId="21130"/>
    <cellStyle name="Cálculo 2 5 3 7 3 2" xfId="21131"/>
    <cellStyle name="Cálculo 2 5 3 7 4" xfId="21132"/>
    <cellStyle name="Cálculo 2 5 3 8" xfId="21133"/>
    <cellStyle name="Cálculo 2 5 3 8 2" xfId="21134"/>
    <cellStyle name="Cálculo 2 5 3 8 2 2" xfId="21135"/>
    <cellStyle name="Cálculo 2 5 3 8 3" xfId="21136"/>
    <cellStyle name="Cálculo 2 5 3 8 3 2" xfId="21137"/>
    <cellStyle name="Cálculo 2 5 3 8 4" xfId="21138"/>
    <cellStyle name="Cálculo 2 5 3 9" xfId="21139"/>
    <cellStyle name="Cálculo 2 5 3 9 2" xfId="21140"/>
    <cellStyle name="Cálculo 2 5 3 9 2 2" xfId="21141"/>
    <cellStyle name="Cálculo 2 5 3 9 3" xfId="21142"/>
    <cellStyle name="Cálculo 2 5 3 9 3 2" xfId="21143"/>
    <cellStyle name="Cálculo 2 5 3 9 4" xfId="21144"/>
    <cellStyle name="Cálculo 2 5 30" xfId="21145"/>
    <cellStyle name="Cálculo 2 5 30 2" xfId="21146"/>
    <cellStyle name="Cálculo 2 5 30 2 2" xfId="21147"/>
    <cellStyle name="Cálculo 2 5 30 3" xfId="21148"/>
    <cellStyle name="Cálculo 2 5 30 3 2" xfId="21149"/>
    <cellStyle name="Cálculo 2 5 30 4" xfId="21150"/>
    <cellStyle name="Cálculo 2 5 31" xfId="21151"/>
    <cellStyle name="Cálculo 2 5 31 2" xfId="21152"/>
    <cellStyle name="Cálculo 2 5 31 2 2" xfId="21153"/>
    <cellStyle name="Cálculo 2 5 31 3" xfId="21154"/>
    <cellStyle name="Cálculo 2 5 31 3 2" xfId="21155"/>
    <cellStyle name="Cálculo 2 5 31 4" xfId="21156"/>
    <cellStyle name="Cálculo 2 5 32" xfId="21157"/>
    <cellStyle name="Cálculo 2 5 32 2" xfId="21158"/>
    <cellStyle name="Cálculo 2 5 32 2 2" xfId="21159"/>
    <cellStyle name="Cálculo 2 5 32 3" xfId="21160"/>
    <cellStyle name="Cálculo 2 5 32 3 2" xfId="21161"/>
    <cellStyle name="Cálculo 2 5 32 4" xfId="21162"/>
    <cellStyle name="Cálculo 2 5 33" xfId="21163"/>
    <cellStyle name="Cálculo 2 5 33 2" xfId="21164"/>
    <cellStyle name="Cálculo 2 5 33 2 2" xfId="21165"/>
    <cellStyle name="Cálculo 2 5 33 3" xfId="21166"/>
    <cellStyle name="Cálculo 2 5 33 3 2" xfId="21167"/>
    <cellStyle name="Cálculo 2 5 33 4" xfId="21168"/>
    <cellStyle name="Cálculo 2 5 34" xfId="21169"/>
    <cellStyle name="Cálculo 2 5 34 2" xfId="21170"/>
    <cellStyle name="Cálculo 2 5 34 2 2" xfId="21171"/>
    <cellStyle name="Cálculo 2 5 34 3" xfId="21172"/>
    <cellStyle name="Cálculo 2 5 34 3 2" xfId="21173"/>
    <cellStyle name="Cálculo 2 5 34 4" xfId="21174"/>
    <cellStyle name="Cálculo 2 5 35" xfId="21175"/>
    <cellStyle name="Cálculo 2 5 35 2" xfId="21176"/>
    <cellStyle name="Cálculo 2 5 35 2 2" xfId="21177"/>
    <cellStyle name="Cálculo 2 5 35 3" xfId="21178"/>
    <cellStyle name="Cálculo 2 5 35 3 2" xfId="21179"/>
    <cellStyle name="Cálculo 2 5 35 4" xfId="21180"/>
    <cellStyle name="Cálculo 2 5 36" xfId="21181"/>
    <cellStyle name="Cálculo 2 5 36 2" xfId="21182"/>
    <cellStyle name="Cálculo 2 5 36 2 2" xfId="21183"/>
    <cellStyle name="Cálculo 2 5 36 3" xfId="21184"/>
    <cellStyle name="Cálculo 2 5 36 3 2" xfId="21185"/>
    <cellStyle name="Cálculo 2 5 36 4" xfId="21186"/>
    <cellStyle name="Cálculo 2 5 37" xfId="21187"/>
    <cellStyle name="Cálculo 2 5 37 2" xfId="21188"/>
    <cellStyle name="Cálculo 2 5 37 2 2" xfId="21189"/>
    <cellStyle name="Cálculo 2 5 37 3" xfId="21190"/>
    <cellStyle name="Cálculo 2 5 37 3 2" xfId="21191"/>
    <cellStyle name="Cálculo 2 5 37 4" xfId="21192"/>
    <cellStyle name="Cálculo 2 5 38" xfId="21193"/>
    <cellStyle name="Cálculo 2 5 38 2" xfId="21194"/>
    <cellStyle name="Cálculo 2 5 38 2 2" xfId="21195"/>
    <cellStyle name="Cálculo 2 5 38 3" xfId="21196"/>
    <cellStyle name="Cálculo 2 5 39" xfId="21197"/>
    <cellStyle name="Cálculo 2 5 39 2" xfId="21198"/>
    <cellStyle name="Cálculo 2 5 4" xfId="21199"/>
    <cellStyle name="Cálculo 2 5 4 10" xfId="21200"/>
    <cellStyle name="Cálculo 2 5 4 10 2" xfId="21201"/>
    <cellStyle name="Cálculo 2 5 4 10 2 2" xfId="21202"/>
    <cellStyle name="Cálculo 2 5 4 10 3" xfId="21203"/>
    <cellStyle name="Cálculo 2 5 4 10 3 2" xfId="21204"/>
    <cellStyle name="Cálculo 2 5 4 10 4" xfId="21205"/>
    <cellStyle name="Cálculo 2 5 4 11" xfId="21206"/>
    <cellStyle name="Cálculo 2 5 4 11 2" xfId="21207"/>
    <cellStyle name="Cálculo 2 5 4 11 2 2" xfId="21208"/>
    <cellStyle name="Cálculo 2 5 4 11 3" xfId="21209"/>
    <cellStyle name="Cálculo 2 5 4 11 3 2" xfId="21210"/>
    <cellStyle name="Cálculo 2 5 4 11 4" xfId="21211"/>
    <cellStyle name="Cálculo 2 5 4 12" xfId="21212"/>
    <cellStyle name="Cálculo 2 5 4 12 2" xfId="21213"/>
    <cellStyle name="Cálculo 2 5 4 12 2 2" xfId="21214"/>
    <cellStyle name="Cálculo 2 5 4 12 3" xfId="21215"/>
    <cellStyle name="Cálculo 2 5 4 12 3 2" xfId="21216"/>
    <cellStyle name="Cálculo 2 5 4 12 4" xfId="21217"/>
    <cellStyle name="Cálculo 2 5 4 13" xfId="21218"/>
    <cellStyle name="Cálculo 2 5 4 13 2" xfId="21219"/>
    <cellStyle name="Cálculo 2 5 4 13 2 2" xfId="21220"/>
    <cellStyle name="Cálculo 2 5 4 13 3" xfId="21221"/>
    <cellStyle name="Cálculo 2 5 4 13 3 2" xfId="21222"/>
    <cellStyle name="Cálculo 2 5 4 13 4" xfId="21223"/>
    <cellStyle name="Cálculo 2 5 4 14" xfId="21224"/>
    <cellStyle name="Cálculo 2 5 4 14 2" xfId="21225"/>
    <cellStyle name="Cálculo 2 5 4 14 2 2" xfId="21226"/>
    <cellStyle name="Cálculo 2 5 4 14 3" xfId="21227"/>
    <cellStyle name="Cálculo 2 5 4 14 3 2" xfId="21228"/>
    <cellStyle name="Cálculo 2 5 4 14 4" xfId="21229"/>
    <cellStyle name="Cálculo 2 5 4 15" xfId="21230"/>
    <cellStyle name="Cálculo 2 5 4 15 2" xfId="21231"/>
    <cellStyle name="Cálculo 2 5 4 15 2 2" xfId="21232"/>
    <cellStyle name="Cálculo 2 5 4 15 3" xfId="21233"/>
    <cellStyle name="Cálculo 2 5 4 15 3 2" xfId="21234"/>
    <cellStyle name="Cálculo 2 5 4 15 4" xfId="21235"/>
    <cellStyle name="Cálculo 2 5 4 16" xfId="21236"/>
    <cellStyle name="Cálculo 2 5 4 16 2" xfId="21237"/>
    <cellStyle name="Cálculo 2 5 4 16 2 2" xfId="21238"/>
    <cellStyle name="Cálculo 2 5 4 16 3" xfId="21239"/>
    <cellStyle name="Cálculo 2 5 4 16 3 2" xfId="21240"/>
    <cellStyle name="Cálculo 2 5 4 16 4" xfId="21241"/>
    <cellStyle name="Cálculo 2 5 4 17" xfId="21242"/>
    <cellStyle name="Cálculo 2 5 4 17 2" xfId="21243"/>
    <cellStyle name="Cálculo 2 5 4 17 2 2" xfId="21244"/>
    <cellStyle name="Cálculo 2 5 4 17 3" xfId="21245"/>
    <cellStyle name="Cálculo 2 5 4 17 3 2" xfId="21246"/>
    <cellStyle name="Cálculo 2 5 4 17 4" xfId="21247"/>
    <cellStyle name="Cálculo 2 5 4 18" xfId="21248"/>
    <cellStyle name="Cálculo 2 5 4 18 2" xfId="21249"/>
    <cellStyle name="Cálculo 2 5 4 18 2 2" xfId="21250"/>
    <cellStyle name="Cálculo 2 5 4 18 3" xfId="21251"/>
    <cellStyle name="Cálculo 2 5 4 18 3 2" xfId="21252"/>
    <cellStyle name="Cálculo 2 5 4 18 4" xfId="21253"/>
    <cellStyle name="Cálculo 2 5 4 19" xfId="21254"/>
    <cellStyle name="Cálculo 2 5 4 19 2" xfId="21255"/>
    <cellStyle name="Cálculo 2 5 4 19 2 2" xfId="21256"/>
    <cellStyle name="Cálculo 2 5 4 19 3" xfId="21257"/>
    <cellStyle name="Cálculo 2 5 4 19 3 2" xfId="21258"/>
    <cellStyle name="Cálculo 2 5 4 19 4" xfId="21259"/>
    <cellStyle name="Cálculo 2 5 4 2" xfId="21260"/>
    <cellStyle name="Cálculo 2 5 4 2 2" xfId="21261"/>
    <cellStyle name="Cálculo 2 5 4 2 2 2" xfId="21262"/>
    <cellStyle name="Cálculo 2 5 4 2 3" xfId="21263"/>
    <cellStyle name="Cálculo 2 5 4 2 3 2" xfId="21264"/>
    <cellStyle name="Cálculo 2 5 4 2 4" xfId="21265"/>
    <cellStyle name="Cálculo 2 5 4 20" xfId="21266"/>
    <cellStyle name="Cálculo 2 5 4 20 2" xfId="21267"/>
    <cellStyle name="Cálculo 2 5 4 20 2 2" xfId="21268"/>
    <cellStyle name="Cálculo 2 5 4 20 3" xfId="21269"/>
    <cellStyle name="Cálculo 2 5 4 20 3 2" xfId="21270"/>
    <cellStyle name="Cálculo 2 5 4 20 4" xfId="21271"/>
    <cellStyle name="Cálculo 2 5 4 21" xfId="21272"/>
    <cellStyle name="Cálculo 2 5 4 21 2" xfId="21273"/>
    <cellStyle name="Cálculo 2 5 4 21 2 2" xfId="21274"/>
    <cellStyle name="Cálculo 2 5 4 21 3" xfId="21275"/>
    <cellStyle name="Cálculo 2 5 4 21 3 2" xfId="21276"/>
    <cellStyle name="Cálculo 2 5 4 21 4" xfId="21277"/>
    <cellStyle name="Cálculo 2 5 4 22" xfId="21278"/>
    <cellStyle name="Cálculo 2 5 4 22 2" xfId="21279"/>
    <cellStyle name="Cálculo 2 5 4 22 2 2" xfId="21280"/>
    <cellStyle name="Cálculo 2 5 4 22 3" xfId="21281"/>
    <cellStyle name="Cálculo 2 5 4 22 3 2" xfId="21282"/>
    <cellStyle name="Cálculo 2 5 4 22 4" xfId="21283"/>
    <cellStyle name="Cálculo 2 5 4 23" xfId="21284"/>
    <cellStyle name="Cálculo 2 5 4 23 2" xfId="21285"/>
    <cellStyle name="Cálculo 2 5 4 23 2 2" xfId="21286"/>
    <cellStyle name="Cálculo 2 5 4 23 3" xfId="21287"/>
    <cellStyle name="Cálculo 2 5 4 23 3 2" xfId="21288"/>
    <cellStyle name="Cálculo 2 5 4 23 4" xfId="21289"/>
    <cellStyle name="Cálculo 2 5 4 24" xfId="21290"/>
    <cellStyle name="Cálculo 2 5 4 24 2" xfId="21291"/>
    <cellStyle name="Cálculo 2 5 4 24 2 2" xfId="21292"/>
    <cellStyle name="Cálculo 2 5 4 24 3" xfId="21293"/>
    <cellStyle name="Cálculo 2 5 4 24 3 2" xfId="21294"/>
    <cellStyle name="Cálculo 2 5 4 24 4" xfId="21295"/>
    <cellStyle name="Cálculo 2 5 4 25" xfId="21296"/>
    <cellStyle name="Cálculo 2 5 4 25 2" xfId="21297"/>
    <cellStyle name="Cálculo 2 5 4 25 2 2" xfId="21298"/>
    <cellStyle name="Cálculo 2 5 4 25 3" xfId="21299"/>
    <cellStyle name="Cálculo 2 5 4 25 3 2" xfId="21300"/>
    <cellStyle name="Cálculo 2 5 4 25 4" xfId="21301"/>
    <cellStyle name="Cálculo 2 5 4 26" xfId="21302"/>
    <cellStyle name="Cálculo 2 5 4 26 2" xfId="21303"/>
    <cellStyle name="Cálculo 2 5 4 26 2 2" xfId="21304"/>
    <cellStyle name="Cálculo 2 5 4 26 3" xfId="21305"/>
    <cellStyle name="Cálculo 2 5 4 26 3 2" xfId="21306"/>
    <cellStyle name="Cálculo 2 5 4 26 4" xfId="21307"/>
    <cellStyle name="Cálculo 2 5 4 27" xfId="21308"/>
    <cellStyle name="Cálculo 2 5 4 27 2" xfId="21309"/>
    <cellStyle name="Cálculo 2 5 4 27 2 2" xfId="21310"/>
    <cellStyle name="Cálculo 2 5 4 27 3" xfId="21311"/>
    <cellStyle name="Cálculo 2 5 4 27 3 2" xfId="21312"/>
    <cellStyle name="Cálculo 2 5 4 27 4" xfId="21313"/>
    <cellStyle name="Cálculo 2 5 4 28" xfId="21314"/>
    <cellStyle name="Cálculo 2 5 4 28 2" xfId="21315"/>
    <cellStyle name="Cálculo 2 5 4 28 2 2" xfId="21316"/>
    <cellStyle name="Cálculo 2 5 4 28 3" xfId="21317"/>
    <cellStyle name="Cálculo 2 5 4 28 3 2" xfId="21318"/>
    <cellStyle name="Cálculo 2 5 4 28 4" xfId="21319"/>
    <cellStyle name="Cálculo 2 5 4 29" xfId="21320"/>
    <cellStyle name="Cálculo 2 5 4 29 2" xfId="21321"/>
    <cellStyle name="Cálculo 2 5 4 29 2 2" xfId="21322"/>
    <cellStyle name="Cálculo 2 5 4 29 3" xfId="21323"/>
    <cellStyle name="Cálculo 2 5 4 29 3 2" xfId="21324"/>
    <cellStyle name="Cálculo 2 5 4 29 4" xfId="21325"/>
    <cellStyle name="Cálculo 2 5 4 3" xfId="21326"/>
    <cellStyle name="Cálculo 2 5 4 3 2" xfId="21327"/>
    <cellStyle name="Cálculo 2 5 4 3 2 2" xfId="21328"/>
    <cellStyle name="Cálculo 2 5 4 3 3" xfId="21329"/>
    <cellStyle name="Cálculo 2 5 4 3 3 2" xfId="21330"/>
    <cellStyle name="Cálculo 2 5 4 3 4" xfId="21331"/>
    <cellStyle name="Cálculo 2 5 4 30" xfId="21332"/>
    <cellStyle name="Cálculo 2 5 4 30 2" xfId="21333"/>
    <cellStyle name="Cálculo 2 5 4 30 2 2" xfId="21334"/>
    <cellStyle name="Cálculo 2 5 4 30 3" xfId="21335"/>
    <cellStyle name="Cálculo 2 5 4 30 3 2" xfId="21336"/>
    <cellStyle name="Cálculo 2 5 4 30 4" xfId="21337"/>
    <cellStyle name="Cálculo 2 5 4 31" xfId="21338"/>
    <cellStyle name="Cálculo 2 5 4 31 2" xfId="21339"/>
    <cellStyle name="Cálculo 2 5 4 31 2 2" xfId="21340"/>
    <cellStyle name="Cálculo 2 5 4 31 3" xfId="21341"/>
    <cellStyle name="Cálculo 2 5 4 31 3 2" xfId="21342"/>
    <cellStyle name="Cálculo 2 5 4 31 4" xfId="21343"/>
    <cellStyle name="Cálculo 2 5 4 32" xfId="21344"/>
    <cellStyle name="Cálculo 2 5 4 32 2" xfId="21345"/>
    <cellStyle name="Cálculo 2 5 4 32 2 2" xfId="21346"/>
    <cellStyle name="Cálculo 2 5 4 32 3" xfId="21347"/>
    <cellStyle name="Cálculo 2 5 4 32 3 2" xfId="21348"/>
    <cellStyle name="Cálculo 2 5 4 32 4" xfId="21349"/>
    <cellStyle name="Cálculo 2 5 4 33" xfId="21350"/>
    <cellStyle name="Cálculo 2 5 4 33 2" xfId="21351"/>
    <cellStyle name="Cálculo 2 5 4 33 2 2" xfId="21352"/>
    <cellStyle name="Cálculo 2 5 4 33 3" xfId="21353"/>
    <cellStyle name="Cálculo 2 5 4 33 3 2" xfId="21354"/>
    <cellStyle name="Cálculo 2 5 4 33 4" xfId="21355"/>
    <cellStyle name="Cálculo 2 5 4 34" xfId="21356"/>
    <cellStyle name="Cálculo 2 5 4 34 2" xfId="21357"/>
    <cellStyle name="Cálculo 2 5 4 34 2 2" xfId="21358"/>
    <cellStyle name="Cálculo 2 5 4 34 3" xfId="21359"/>
    <cellStyle name="Cálculo 2 5 4 34 3 2" xfId="21360"/>
    <cellStyle name="Cálculo 2 5 4 34 4" xfId="21361"/>
    <cellStyle name="Cálculo 2 5 4 35" xfId="21362"/>
    <cellStyle name="Cálculo 2 5 4 35 2" xfId="21363"/>
    <cellStyle name="Cálculo 2 5 4 35 2 2" xfId="21364"/>
    <cellStyle name="Cálculo 2 5 4 35 3" xfId="21365"/>
    <cellStyle name="Cálculo 2 5 4 35 3 2" xfId="21366"/>
    <cellStyle name="Cálculo 2 5 4 35 4" xfId="21367"/>
    <cellStyle name="Cálculo 2 5 4 36" xfId="21368"/>
    <cellStyle name="Cálculo 2 5 4 36 2" xfId="21369"/>
    <cellStyle name="Cálculo 2 5 4 36 2 2" xfId="21370"/>
    <cellStyle name="Cálculo 2 5 4 36 3" xfId="21371"/>
    <cellStyle name="Cálculo 2 5 4 36 3 2" xfId="21372"/>
    <cellStyle name="Cálculo 2 5 4 36 4" xfId="21373"/>
    <cellStyle name="Cálculo 2 5 4 37" xfId="21374"/>
    <cellStyle name="Cálculo 2 5 4 37 2" xfId="21375"/>
    <cellStyle name="Cálculo 2 5 4 37 2 2" xfId="21376"/>
    <cellStyle name="Cálculo 2 5 4 37 3" xfId="21377"/>
    <cellStyle name="Cálculo 2 5 4 37 3 2" xfId="21378"/>
    <cellStyle name="Cálculo 2 5 4 37 4" xfId="21379"/>
    <cellStyle name="Cálculo 2 5 4 38" xfId="21380"/>
    <cellStyle name="Cálculo 2 5 4 38 2" xfId="21381"/>
    <cellStyle name="Cálculo 2 5 4 38 2 2" xfId="21382"/>
    <cellStyle name="Cálculo 2 5 4 38 3" xfId="21383"/>
    <cellStyle name="Cálculo 2 5 4 38 3 2" xfId="21384"/>
    <cellStyle name="Cálculo 2 5 4 38 4" xfId="21385"/>
    <cellStyle name="Cálculo 2 5 4 39" xfId="21386"/>
    <cellStyle name="Cálculo 2 5 4 39 2" xfId="21387"/>
    <cellStyle name="Cálculo 2 5 4 39 2 2" xfId="21388"/>
    <cellStyle name="Cálculo 2 5 4 39 3" xfId="21389"/>
    <cellStyle name="Cálculo 2 5 4 39 3 2" xfId="21390"/>
    <cellStyle name="Cálculo 2 5 4 39 4" xfId="21391"/>
    <cellStyle name="Cálculo 2 5 4 4" xfId="21392"/>
    <cellStyle name="Cálculo 2 5 4 4 2" xfId="21393"/>
    <cellStyle name="Cálculo 2 5 4 4 2 2" xfId="21394"/>
    <cellStyle name="Cálculo 2 5 4 4 3" xfId="21395"/>
    <cellStyle name="Cálculo 2 5 4 4 3 2" xfId="21396"/>
    <cellStyle name="Cálculo 2 5 4 4 4" xfId="21397"/>
    <cellStyle name="Cálculo 2 5 4 40" xfId="21398"/>
    <cellStyle name="Cálculo 2 5 4 40 2" xfId="21399"/>
    <cellStyle name="Cálculo 2 5 4 40 2 2" xfId="21400"/>
    <cellStyle name="Cálculo 2 5 4 40 3" xfId="21401"/>
    <cellStyle name="Cálculo 2 5 4 41" xfId="21402"/>
    <cellStyle name="Cálculo 2 5 4 41 2" xfId="21403"/>
    <cellStyle name="Cálculo 2 5 4 42" xfId="21404"/>
    <cellStyle name="Cálculo 2 5 4 42 2" xfId="21405"/>
    <cellStyle name="Cálculo 2 5 4 43" xfId="21406"/>
    <cellStyle name="Cálculo 2 5 4 5" xfId="21407"/>
    <cellStyle name="Cálculo 2 5 4 5 2" xfId="21408"/>
    <cellStyle name="Cálculo 2 5 4 5 2 2" xfId="21409"/>
    <cellStyle name="Cálculo 2 5 4 5 3" xfId="21410"/>
    <cellStyle name="Cálculo 2 5 4 5 3 2" xfId="21411"/>
    <cellStyle name="Cálculo 2 5 4 5 4" xfId="21412"/>
    <cellStyle name="Cálculo 2 5 4 6" xfId="21413"/>
    <cellStyle name="Cálculo 2 5 4 6 2" xfId="21414"/>
    <cellStyle name="Cálculo 2 5 4 6 2 2" xfId="21415"/>
    <cellStyle name="Cálculo 2 5 4 6 3" xfId="21416"/>
    <cellStyle name="Cálculo 2 5 4 6 3 2" xfId="21417"/>
    <cellStyle name="Cálculo 2 5 4 6 4" xfId="21418"/>
    <cellStyle name="Cálculo 2 5 4 7" xfId="21419"/>
    <cellStyle name="Cálculo 2 5 4 7 2" xfId="21420"/>
    <cellStyle name="Cálculo 2 5 4 7 2 2" xfId="21421"/>
    <cellStyle name="Cálculo 2 5 4 7 3" xfId="21422"/>
    <cellStyle name="Cálculo 2 5 4 7 3 2" xfId="21423"/>
    <cellStyle name="Cálculo 2 5 4 7 4" xfId="21424"/>
    <cellStyle name="Cálculo 2 5 4 8" xfId="21425"/>
    <cellStyle name="Cálculo 2 5 4 8 2" xfId="21426"/>
    <cellStyle name="Cálculo 2 5 4 8 2 2" xfId="21427"/>
    <cellStyle name="Cálculo 2 5 4 8 3" xfId="21428"/>
    <cellStyle name="Cálculo 2 5 4 8 3 2" xfId="21429"/>
    <cellStyle name="Cálculo 2 5 4 8 4" xfId="21430"/>
    <cellStyle name="Cálculo 2 5 4 9" xfId="21431"/>
    <cellStyle name="Cálculo 2 5 4 9 2" xfId="21432"/>
    <cellStyle name="Cálculo 2 5 4 9 2 2" xfId="21433"/>
    <cellStyle name="Cálculo 2 5 4 9 3" xfId="21434"/>
    <cellStyle name="Cálculo 2 5 4 9 3 2" xfId="21435"/>
    <cellStyle name="Cálculo 2 5 4 9 4" xfId="21436"/>
    <cellStyle name="Cálculo 2 5 40" xfId="21437"/>
    <cellStyle name="Cálculo 2 5 40 2" xfId="21438"/>
    <cellStyle name="Cálculo 2 5 41" xfId="21439"/>
    <cellStyle name="Cálculo 2 5 5" xfId="21440"/>
    <cellStyle name="Cálculo 2 5 5 10" xfId="21441"/>
    <cellStyle name="Cálculo 2 5 5 10 2" xfId="21442"/>
    <cellStyle name="Cálculo 2 5 5 10 2 2" xfId="21443"/>
    <cellStyle name="Cálculo 2 5 5 10 3" xfId="21444"/>
    <cellStyle name="Cálculo 2 5 5 10 3 2" xfId="21445"/>
    <cellStyle name="Cálculo 2 5 5 10 4" xfId="21446"/>
    <cellStyle name="Cálculo 2 5 5 11" xfId="21447"/>
    <cellStyle name="Cálculo 2 5 5 11 2" xfId="21448"/>
    <cellStyle name="Cálculo 2 5 5 11 2 2" xfId="21449"/>
    <cellStyle name="Cálculo 2 5 5 11 3" xfId="21450"/>
    <cellStyle name="Cálculo 2 5 5 11 3 2" xfId="21451"/>
    <cellStyle name="Cálculo 2 5 5 11 4" xfId="21452"/>
    <cellStyle name="Cálculo 2 5 5 12" xfId="21453"/>
    <cellStyle name="Cálculo 2 5 5 12 2" xfId="21454"/>
    <cellStyle name="Cálculo 2 5 5 12 2 2" xfId="21455"/>
    <cellStyle name="Cálculo 2 5 5 12 3" xfId="21456"/>
    <cellStyle name="Cálculo 2 5 5 12 3 2" xfId="21457"/>
    <cellStyle name="Cálculo 2 5 5 12 4" xfId="21458"/>
    <cellStyle name="Cálculo 2 5 5 13" xfId="21459"/>
    <cellStyle name="Cálculo 2 5 5 13 2" xfId="21460"/>
    <cellStyle name="Cálculo 2 5 5 13 2 2" xfId="21461"/>
    <cellStyle name="Cálculo 2 5 5 13 3" xfId="21462"/>
    <cellStyle name="Cálculo 2 5 5 13 3 2" xfId="21463"/>
    <cellStyle name="Cálculo 2 5 5 13 4" xfId="21464"/>
    <cellStyle name="Cálculo 2 5 5 14" xfId="21465"/>
    <cellStyle name="Cálculo 2 5 5 14 2" xfId="21466"/>
    <cellStyle name="Cálculo 2 5 5 14 2 2" xfId="21467"/>
    <cellStyle name="Cálculo 2 5 5 14 3" xfId="21468"/>
    <cellStyle name="Cálculo 2 5 5 14 3 2" xfId="21469"/>
    <cellStyle name="Cálculo 2 5 5 14 4" xfId="21470"/>
    <cellStyle name="Cálculo 2 5 5 15" xfId="21471"/>
    <cellStyle name="Cálculo 2 5 5 15 2" xfId="21472"/>
    <cellStyle name="Cálculo 2 5 5 15 2 2" xfId="21473"/>
    <cellStyle name="Cálculo 2 5 5 15 3" xfId="21474"/>
    <cellStyle name="Cálculo 2 5 5 15 3 2" xfId="21475"/>
    <cellStyle name="Cálculo 2 5 5 15 4" xfId="21476"/>
    <cellStyle name="Cálculo 2 5 5 16" xfId="21477"/>
    <cellStyle name="Cálculo 2 5 5 16 2" xfId="21478"/>
    <cellStyle name="Cálculo 2 5 5 16 2 2" xfId="21479"/>
    <cellStyle name="Cálculo 2 5 5 16 3" xfId="21480"/>
    <cellStyle name="Cálculo 2 5 5 16 3 2" xfId="21481"/>
    <cellStyle name="Cálculo 2 5 5 16 4" xfId="21482"/>
    <cellStyle name="Cálculo 2 5 5 17" xfId="21483"/>
    <cellStyle name="Cálculo 2 5 5 17 2" xfId="21484"/>
    <cellStyle name="Cálculo 2 5 5 17 2 2" xfId="21485"/>
    <cellStyle name="Cálculo 2 5 5 17 3" xfId="21486"/>
    <cellStyle name="Cálculo 2 5 5 17 3 2" xfId="21487"/>
    <cellStyle name="Cálculo 2 5 5 17 4" xfId="21488"/>
    <cellStyle name="Cálculo 2 5 5 18" xfId="21489"/>
    <cellStyle name="Cálculo 2 5 5 18 2" xfId="21490"/>
    <cellStyle name="Cálculo 2 5 5 18 2 2" xfId="21491"/>
    <cellStyle name="Cálculo 2 5 5 18 3" xfId="21492"/>
    <cellStyle name="Cálculo 2 5 5 18 3 2" xfId="21493"/>
    <cellStyle name="Cálculo 2 5 5 18 4" xfId="21494"/>
    <cellStyle name="Cálculo 2 5 5 19" xfId="21495"/>
    <cellStyle name="Cálculo 2 5 5 19 2" xfId="21496"/>
    <cellStyle name="Cálculo 2 5 5 19 2 2" xfId="21497"/>
    <cellStyle name="Cálculo 2 5 5 19 3" xfId="21498"/>
    <cellStyle name="Cálculo 2 5 5 19 3 2" xfId="21499"/>
    <cellStyle name="Cálculo 2 5 5 19 4" xfId="21500"/>
    <cellStyle name="Cálculo 2 5 5 2" xfId="21501"/>
    <cellStyle name="Cálculo 2 5 5 2 2" xfId="21502"/>
    <cellStyle name="Cálculo 2 5 5 2 2 2" xfId="21503"/>
    <cellStyle name="Cálculo 2 5 5 2 3" xfId="21504"/>
    <cellStyle name="Cálculo 2 5 5 2 3 2" xfId="21505"/>
    <cellStyle name="Cálculo 2 5 5 2 4" xfId="21506"/>
    <cellStyle name="Cálculo 2 5 5 20" xfId="21507"/>
    <cellStyle name="Cálculo 2 5 5 20 2" xfId="21508"/>
    <cellStyle name="Cálculo 2 5 5 20 2 2" xfId="21509"/>
    <cellStyle name="Cálculo 2 5 5 20 3" xfId="21510"/>
    <cellStyle name="Cálculo 2 5 5 20 3 2" xfId="21511"/>
    <cellStyle name="Cálculo 2 5 5 20 4" xfId="21512"/>
    <cellStyle name="Cálculo 2 5 5 21" xfId="21513"/>
    <cellStyle name="Cálculo 2 5 5 21 2" xfId="21514"/>
    <cellStyle name="Cálculo 2 5 5 21 2 2" xfId="21515"/>
    <cellStyle name="Cálculo 2 5 5 21 3" xfId="21516"/>
    <cellStyle name="Cálculo 2 5 5 21 3 2" xfId="21517"/>
    <cellStyle name="Cálculo 2 5 5 21 4" xfId="21518"/>
    <cellStyle name="Cálculo 2 5 5 22" xfId="21519"/>
    <cellStyle name="Cálculo 2 5 5 22 2" xfId="21520"/>
    <cellStyle name="Cálculo 2 5 5 22 2 2" xfId="21521"/>
    <cellStyle name="Cálculo 2 5 5 22 3" xfId="21522"/>
    <cellStyle name="Cálculo 2 5 5 22 3 2" xfId="21523"/>
    <cellStyle name="Cálculo 2 5 5 22 4" xfId="21524"/>
    <cellStyle name="Cálculo 2 5 5 23" xfId="21525"/>
    <cellStyle name="Cálculo 2 5 5 23 2" xfId="21526"/>
    <cellStyle name="Cálculo 2 5 5 23 2 2" xfId="21527"/>
    <cellStyle name="Cálculo 2 5 5 23 3" xfId="21528"/>
    <cellStyle name="Cálculo 2 5 5 23 3 2" xfId="21529"/>
    <cellStyle name="Cálculo 2 5 5 23 4" xfId="21530"/>
    <cellStyle name="Cálculo 2 5 5 24" xfId="21531"/>
    <cellStyle name="Cálculo 2 5 5 24 2" xfId="21532"/>
    <cellStyle name="Cálculo 2 5 5 24 2 2" xfId="21533"/>
    <cellStyle name="Cálculo 2 5 5 24 3" xfId="21534"/>
    <cellStyle name="Cálculo 2 5 5 24 3 2" xfId="21535"/>
    <cellStyle name="Cálculo 2 5 5 24 4" xfId="21536"/>
    <cellStyle name="Cálculo 2 5 5 25" xfId="21537"/>
    <cellStyle name="Cálculo 2 5 5 25 2" xfId="21538"/>
    <cellStyle name="Cálculo 2 5 5 25 2 2" xfId="21539"/>
    <cellStyle name="Cálculo 2 5 5 25 3" xfId="21540"/>
    <cellStyle name="Cálculo 2 5 5 25 3 2" xfId="21541"/>
    <cellStyle name="Cálculo 2 5 5 25 4" xfId="21542"/>
    <cellStyle name="Cálculo 2 5 5 26" xfId="21543"/>
    <cellStyle name="Cálculo 2 5 5 26 2" xfId="21544"/>
    <cellStyle name="Cálculo 2 5 5 26 2 2" xfId="21545"/>
    <cellStyle name="Cálculo 2 5 5 26 3" xfId="21546"/>
    <cellStyle name="Cálculo 2 5 5 26 3 2" xfId="21547"/>
    <cellStyle name="Cálculo 2 5 5 26 4" xfId="21548"/>
    <cellStyle name="Cálculo 2 5 5 27" xfId="21549"/>
    <cellStyle name="Cálculo 2 5 5 27 2" xfId="21550"/>
    <cellStyle name="Cálculo 2 5 5 27 2 2" xfId="21551"/>
    <cellStyle name="Cálculo 2 5 5 27 3" xfId="21552"/>
    <cellStyle name="Cálculo 2 5 5 27 3 2" xfId="21553"/>
    <cellStyle name="Cálculo 2 5 5 27 4" xfId="21554"/>
    <cellStyle name="Cálculo 2 5 5 28" xfId="21555"/>
    <cellStyle name="Cálculo 2 5 5 28 2" xfId="21556"/>
    <cellStyle name="Cálculo 2 5 5 28 2 2" xfId="21557"/>
    <cellStyle name="Cálculo 2 5 5 28 3" xfId="21558"/>
    <cellStyle name="Cálculo 2 5 5 28 3 2" xfId="21559"/>
    <cellStyle name="Cálculo 2 5 5 28 4" xfId="21560"/>
    <cellStyle name="Cálculo 2 5 5 29" xfId="21561"/>
    <cellStyle name="Cálculo 2 5 5 29 2" xfId="21562"/>
    <cellStyle name="Cálculo 2 5 5 29 2 2" xfId="21563"/>
    <cellStyle name="Cálculo 2 5 5 29 3" xfId="21564"/>
    <cellStyle name="Cálculo 2 5 5 29 3 2" xfId="21565"/>
    <cellStyle name="Cálculo 2 5 5 29 4" xfId="21566"/>
    <cellStyle name="Cálculo 2 5 5 3" xfId="21567"/>
    <cellStyle name="Cálculo 2 5 5 3 2" xfId="21568"/>
    <cellStyle name="Cálculo 2 5 5 3 2 2" xfId="21569"/>
    <cellStyle name="Cálculo 2 5 5 3 3" xfId="21570"/>
    <cellStyle name="Cálculo 2 5 5 3 3 2" xfId="21571"/>
    <cellStyle name="Cálculo 2 5 5 3 4" xfId="21572"/>
    <cellStyle name="Cálculo 2 5 5 30" xfId="21573"/>
    <cellStyle name="Cálculo 2 5 5 30 2" xfId="21574"/>
    <cellStyle name="Cálculo 2 5 5 30 2 2" xfId="21575"/>
    <cellStyle name="Cálculo 2 5 5 30 3" xfId="21576"/>
    <cellStyle name="Cálculo 2 5 5 30 3 2" xfId="21577"/>
    <cellStyle name="Cálculo 2 5 5 30 4" xfId="21578"/>
    <cellStyle name="Cálculo 2 5 5 31" xfId="21579"/>
    <cellStyle name="Cálculo 2 5 5 31 2" xfId="21580"/>
    <cellStyle name="Cálculo 2 5 5 31 2 2" xfId="21581"/>
    <cellStyle name="Cálculo 2 5 5 31 3" xfId="21582"/>
    <cellStyle name="Cálculo 2 5 5 31 3 2" xfId="21583"/>
    <cellStyle name="Cálculo 2 5 5 31 4" xfId="21584"/>
    <cellStyle name="Cálculo 2 5 5 32" xfId="21585"/>
    <cellStyle name="Cálculo 2 5 5 32 2" xfId="21586"/>
    <cellStyle name="Cálculo 2 5 5 32 2 2" xfId="21587"/>
    <cellStyle name="Cálculo 2 5 5 32 3" xfId="21588"/>
    <cellStyle name="Cálculo 2 5 5 32 3 2" xfId="21589"/>
    <cellStyle name="Cálculo 2 5 5 32 4" xfId="21590"/>
    <cellStyle name="Cálculo 2 5 5 33" xfId="21591"/>
    <cellStyle name="Cálculo 2 5 5 33 2" xfId="21592"/>
    <cellStyle name="Cálculo 2 5 5 33 2 2" xfId="21593"/>
    <cellStyle name="Cálculo 2 5 5 33 3" xfId="21594"/>
    <cellStyle name="Cálculo 2 5 5 33 3 2" xfId="21595"/>
    <cellStyle name="Cálculo 2 5 5 33 4" xfId="21596"/>
    <cellStyle name="Cálculo 2 5 5 34" xfId="21597"/>
    <cellStyle name="Cálculo 2 5 5 34 2" xfId="21598"/>
    <cellStyle name="Cálculo 2 5 5 34 2 2" xfId="21599"/>
    <cellStyle name="Cálculo 2 5 5 34 3" xfId="21600"/>
    <cellStyle name="Cálculo 2 5 5 34 3 2" xfId="21601"/>
    <cellStyle name="Cálculo 2 5 5 34 4" xfId="21602"/>
    <cellStyle name="Cálculo 2 5 5 35" xfId="21603"/>
    <cellStyle name="Cálculo 2 5 5 35 2" xfId="21604"/>
    <cellStyle name="Cálculo 2 5 5 35 2 2" xfId="21605"/>
    <cellStyle name="Cálculo 2 5 5 35 3" xfId="21606"/>
    <cellStyle name="Cálculo 2 5 5 35 3 2" xfId="21607"/>
    <cellStyle name="Cálculo 2 5 5 35 4" xfId="21608"/>
    <cellStyle name="Cálculo 2 5 5 36" xfId="21609"/>
    <cellStyle name="Cálculo 2 5 5 36 2" xfId="21610"/>
    <cellStyle name="Cálculo 2 5 5 36 2 2" xfId="21611"/>
    <cellStyle name="Cálculo 2 5 5 36 3" xfId="21612"/>
    <cellStyle name="Cálculo 2 5 5 36 3 2" xfId="21613"/>
    <cellStyle name="Cálculo 2 5 5 36 4" xfId="21614"/>
    <cellStyle name="Cálculo 2 5 5 37" xfId="21615"/>
    <cellStyle name="Cálculo 2 5 5 37 2" xfId="21616"/>
    <cellStyle name="Cálculo 2 5 5 37 2 2" xfId="21617"/>
    <cellStyle name="Cálculo 2 5 5 37 3" xfId="21618"/>
    <cellStyle name="Cálculo 2 5 5 37 3 2" xfId="21619"/>
    <cellStyle name="Cálculo 2 5 5 37 4" xfId="21620"/>
    <cellStyle name="Cálculo 2 5 5 38" xfId="21621"/>
    <cellStyle name="Cálculo 2 5 5 38 2" xfId="21622"/>
    <cellStyle name="Cálculo 2 5 5 38 2 2" xfId="21623"/>
    <cellStyle name="Cálculo 2 5 5 38 3" xfId="21624"/>
    <cellStyle name="Cálculo 2 5 5 38 3 2" xfId="21625"/>
    <cellStyle name="Cálculo 2 5 5 38 4" xfId="21626"/>
    <cellStyle name="Cálculo 2 5 5 39" xfId="21627"/>
    <cellStyle name="Cálculo 2 5 5 39 2" xfId="21628"/>
    <cellStyle name="Cálculo 2 5 5 39 2 2" xfId="21629"/>
    <cellStyle name="Cálculo 2 5 5 39 3" xfId="21630"/>
    <cellStyle name="Cálculo 2 5 5 39 3 2" xfId="21631"/>
    <cellStyle name="Cálculo 2 5 5 39 4" xfId="21632"/>
    <cellStyle name="Cálculo 2 5 5 4" xfId="21633"/>
    <cellStyle name="Cálculo 2 5 5 4 2" xfId="21634"/>
    <cellStyle name="Cálculo 2 5 5 4 2 2" xfId="21635"/>
    <cellStyle name="Cálculo 2 5 5 4 3" xfId="21636"/>
    <cellStyle name="Cálculo 2 5 5 4 3 2" xfId="21637"/>
    <cellStyle name="Cálculo 2 5 5 4 4" xfId="21638"/>
    <cellStyle name="Cálculo 2 5 5 40" xfId="21639"/>
    <cellStyle name="Cálculo 2 5 5 40 2" xfId="21640"/>
    <cellStyle name="Cálculo 2 5 5 40 2 2" xfId="21641"/>
    <cellStyle name="Cálculo 2 5 5 40 3" xfId="21642"/>
    <cellStyle name="Cálculo 2 5 5 40 3 2" xfId="21643"/>
    <cellStyle name="Cálculo 2 5 5 40 4" xfId="21644"/>
    <cellStyle name="Cálculo 2 5 5 41" xfId="21645"/>
    <cellStyle name="Cálculo 2 5 5 41 2" xfId="21646"/>
    <cellStyle name="Cálculo 2 5 5 41 2 2" xfId="21647"/>
    <cellStyle name="Cálculo 2 5 5 41 3" xfId="21648"/>
    <cellStyle name="Cálculo 2 5 5 41 3 2" xfId="21649"/>
    <cellStyle name="Cálculo 2 5 5 41 4" xfId="21650"/>
    <cellStyle name="Cálculo 2 5 5 42" xfId="21651"/>
    <cellStyle name="Cálculo 2 5 5 42 2" xfId="21652"/>
    <cellStyle name="Cálculo 2 5 5 42 2 2" xfId="21653"/>
    <cellStyle name="Cálculo 2 5 5 42 3" xfId="21654"/>
    <cellStyle name="Cálculo 2 5 5 43" xfId="21655"/>
    <cellStyle name="Cálculo 2 5 5 43 2" xfId="21656"/>
    <cellStyle name="Cálculo 2 5 5 44" xfId="21657"/>
    <cellStyle name="Cálculo 2 5 5 5" xfId="21658"/>
    <cellStyle name="Cálculo 2 5 5 5 2" xfId="21659"/>
    <cellStyle name="Cálculo 2 5 5 5 2 2" xfId="21660"/>
    <cellStyle name="Cálculo 2 5 5 5 3" xfId="21661"/>
    <cellStyle name="Cálculo 2 5 5 5 3 2" xfId="21662"/>
    <cellStyle name="Cálculo 2 5 5 5 4" xfId="21663"/>
    <cellStyle name="Cálculo 2 5 5 6" xfId="21664"/>
    <cellStyle name="Cálculo 2 5 5 6 2" xfId="21665"/>
    <cellStyle name="Cálculo 2 5 5 6 2 2" xfId="21666"/>
    <cellStyle name="Cálculo 2 5 5 6 3" xfId="21667"/>
    <cellStyle name="Cálculo 2 5 5 6 3 2" xfId="21668"/>
    <cellStyle name="Cálculo 2 5 5 6 4" xfId="21669"/>
    <cellStyle name="Cálculo 2 5 5 7" xfId="21670"/>
    <cellStyle name="Cálculo 2 5 5 7 2" xfId="21671"/>
    <cellStyle name="Cálculo 2 5 5 7 2 2" xfId="21672"/>
    <cellStyle name="Cálculo 2 5 5 7 3" xfId="21673"/>
    <cellStyle name="Cálculo 2 5 5 7 3 2" xfId="21674"/>
    <cellStyle name="Cálculo 2 5 5 7 4" xfId="21675"/>
    <cellStyle name="Cálculo 2 5 5 8" xfId="21676"/>
    <cellStyle name="Cálculo 2 5 5 8 2" xfId="21677"/>
    <cellStyle name="Cálculo 2 5 5 8 2 2" xfId="21678"/>
    <cellStyle name="Cálculo 2 5 5 8 3" xfId="21679"/>
    <cellStyle name="Cálculo 2 5 5 8 3 2" xfId="21680"/>
    <cellStyle name="Cálculo 2 5 5 8 4" xfId="21681"/>
    <cellStyle name="Cálculo 2 5 5 9" xfId="21682"/>
    <cellStyle name="Cálculo 2 5 5 9 2" xfId="21683"/>
    <cellStyle name="Cálculo 2 5 5 9 2 2" xfId="21684"/>
    <cellStyle name="Cálculo 2 5 5 9 3" xfId="21685"/>
    <cellStyle name="Cálculo 2 5 5 9 3 2" xfId="21686"/>
    <cellStyle name="Cálculo 2 5 5 9 4" xfId="21687"/>
    <cellStyle name="Cálculo 2 5 6" xfId="21688"/>
    <cellStyle name="Cálculo 2 5 6 2" xfId="21689"/>
    <cellStyle name="Cálculo 2 5 6 2 2" xfId="21690"/>
    <cellStyle name="Cálculo 2 5 6 3" xfId="21691"/>
    <cellStyle name="Cálculo 2 5 6 3 2" xfId="21692"/>
    <cellStyle name="Cálculo 2 5 6 4" xfId="21693"/>
    <cellStyle name="Cálculo 2 5 7" xfId="21694"/>
    <cellStyle name="Cálculo 2 5 7 2" xfId="21695"/>
    <cellStyle name="Cálculo 2 5 7 2 2" xfId="21696"/>
    <cellStyle name="Cálculo 2 5 7 3" xfId="21697"/>
    <cellStyle name="Cálculo 2 5 7 3 2" xfId="21698"/>
    <cellStyle name="Cálculo 2 5 7 4" xfId="21699"/>
    <cellStyle name="Cálculo 2 5 8" xfId="21700"/>
    <cellStyle name="Cálculo 2 5 8 2" xfId="21701"/>
    <cellStyle name="Cálculo 2 5 8 2 2" xfId="21702"/>
    <cellStyle name="Cálculo 2 5 8 3" xfId="21703"/>
    <cellStyle name="Cálculo 2 5 8 3 2" xfId="21704"/>
    <cellStyle name="Cálculo 2 5 8 4" xfId="21705"/>
    <cellStyle name="Cálculo 2 5 9" xfId="21706"/>
    <cellStyle name="Cálculo 2 5 9 2" xfId="21707"/>
    <cellStyle name="Cálculo 2 5 9 2 2" xfId="21708"/>
    <cellStyle name="Cálculo 2 5 9 3" xfId="21709"/>
    <cellStyle name="Cálculo 2 5 9 3 2" xfId="21710"/>
    <cellStyle name="Cálculo 2 5 9 4" xfId="21711"/>
    <cellStyle name="Cálculo 2 6" xfId="21712"/>
    <cellStyle name="Cálculo 2 6 10" xfId="21713"/>
    <cellStyle name="Cálculo 2 6 10 2" xfId="21714"/>
    <cellStyle name="Cálculo 2 6 10 2 2" xfId="21715"/>
    <cellStyle name="Cálculo 2 6 10 3" xfId="21716"/>
    <cellStyle name="Cálculo 2 6 10 3 2" xfId="21717"/>
    <cellStyle name="Cálculo 2 6 10 4" xfId="21718"/>
    <cellStyle name="Cálculo 2 6 11" xfId="21719"/>
    <cellStyle name="Cálculo 2 6 11 2" xfId="21720"/>
    <cellStyle name="Cálculo 2 6 11 2 2" xfId="21721"/>
    <cellStyle name="Cálculo 2 6 11 3" xfId="21722"/>
    <cellStyle name="Cálculo 2 6 11 3 2" xfId="21723"/>
    <cellStyle name="Cálculo 2 6 11 4" xfId="21724"/>
    <cellStyle name="Cálculo 2 6 12" xfId="21725"/>
    <cellStyle name="Cálculo 2 6 12 2" xfId="21726"/>
    <cellStyle name="Cálculo 2 6 12 2 2" xfId="21727"/>
    <cellStyle name="Cálculo 2 6 12 3" xfId="21728"/>
    <cellStyle name="Cálculo 2 6 12 3 2" xfId="21729"/>
    <cellStyle name="Cálculo 2 6 12 4" xfId="21730"/>
    <cellStyle name="Cálculo 2 6 13" xfId="21731"/>
    <cellStyle name="Cálculo 2 6 13 2" xfId="21732"/>
    <cellStyle name="Cálculo 2 6 13 2 2" xfId="21733"/>
    <cellStyle name="Cálculo 2 6 13 3" xfId="21734"/>
    <cellStyle name="Cálculo 2 6 13 3 2" xfId="21735"/>
    <cellStyle name="Cálculo 2 6 13 4" xfId="21736"/>
    <cellStyle name="Cálculo 2 6 14" xfId="21737"/>
    <cellStyle name="Cálculo 2 6 14 2" xfId="21738"/>
    <cellStyle name="Cálculo 2 6 14 2 2" xfId="21739"/>
    <cellStyle name="Cálculo 2 6 14 3" xfId="21740"/>
    <cellStyle name="Cálculo 2 6 14 3 2" xfId="21741"/>
    <cellStyle name="Cálculo 2 6 14 4" xfId="21742"/>
    <cellStyle name="Cálculo 2 6 15" xfId="21743"/>
    <cellStyle name="Cálculo 2 6 15 2" xfId="21744"/>
    <cellStyle name="Cálculo 2 6 15 2 2" xfId="21745"/>
    <cellStyle name="Cálculo 2 6 15 3" xfId="21746"/>
    <cellStyle name="Cálculo 2 6 15 3 2" xfId="21747"/>
    <cellStyle name="Cálculo 2 6 15 4" xfId="21748"/>
    <cellStyle name="Cálculo 2 6 16" xfId="21749"/>
    <cellStyle name="Cálculo 2 6 16 2" xfId="21750"/>
    <cellStyle name="Cálculo 2 6 16 2 2" xfId="21751"/>
    <cellStyle name="Cálculo 2 6 16 3" xfId="21752"/>
    <cellStyle name="Cálculo 2 6 16 3 2" xfId="21753"/>
    <cellStyle name="Cálculo 2 6 16 4" xfId="21754"/>
    <cellStyle name="Cálculo 2 6 17" xfId="21755"/>
    <cellStyle name="Cálculo 2 6 17 2" xfId="21756"/>
    <cellStyle name="Cálculo 2 6 17 2 2" xfId="21757"/>
    <cellStyle name="Cálculo 2 6 17 3" xfId="21758"/>
    <cellStyle name="Cálculo 2 6 17 3 2" xfId="21759"/>
    <cellStyle name="Cálculo 2 6 17 4" xfId="21760"/>
    <cellStyle name="Cálculo 2 6 18" xfId="21761"/>
    <cellStyle name="Cálculo 2 6 18 2" xfId="21762"/>
    <cellStyle name="Cálculo 2 6 18 2 2" xfId="21763"/>
    <cellStyle name="Cálculo 2 6 18 3" xfId="21764"/>
    <cellStyle name="Cálculo 2 6 18 3 2" xfId="21765"/>
    <cellStyle name="Cálculo 2 6 18 4" xfId="21766"/>
    <cellStyle name="Cálculo 2 6 19" xfId="21767"/>
    <cellStyle name="Cálculo 2 6 19 2" xfId="21768"/>
    <cellStyle name="Cálculo 2 6 19 2 2" xfId="21769"/>
    <cellStyle name="Cálculo 2 6 19 3" xfId="21770"/>
    <cellStyle name="Cálculo 2 6 19 3 2" xfId="21771"/>
    <cellStyle name="Cálculo 2 6 19 4" xfId="21772"/>
    <cellStyle name="Cálculo 2 6 2" xfId="21773"/>
    <cellStyle name="Cálculo 2 6 2 2" xfId="21774"/>
    <cellStyle name="Cálculo 2 6 2 2 2" xfId="21775"/>
    <cellStyle name="Cálculo 2 6 2 3" xfId="21776"/>
    <cellStyle name="Cálculo 2 6 2 3 2" xfId="21777"/>
    <cellStyle name="Cálculo 2 6 2 4" xfId="21778"/>
    <cellStyle name="Cálculo 2 6 20" xfId="21779"/>
    <cellStyle name="Cálculo 2 6 20 2" xfId="21780"/>
    <cellStyle name="Cálculo 2 6 20 2 2" xfId="21781"/>
    <cellStyle name="Cálculo 2 6 20 3" xfId="21782"/>
    <cellStyle name="Cálculo 2 6 20 3 2" xfId="21783"/>
    <cellStyle name="Cálculo 2 6 20 4" xfId="21784"/>
    <cellStyle name="Cálculo 2 6 21" xfId="21785"/>
    <cellStyle name="Cálculo 2 6 21 2" xfId="21786"/>
    <cellStyle name="Cálculo 2 6 21 2 2" xfId="21787"/>
    <cellStyle name="Cálculo 2 6 21 3" xfId="21788"/>
    <cellStyle name="Cálculo 2 6 21 3 2" xfId="21789"/>
    <cellStyle name="Cálculo 2 6 21 4" xfId="21790"/>
    <cellStyle name="Cálculo 2 6 22" xfId="21791"/>
    <cellStyle name="Cálculo 2 6 22 2" xfId="21792"/>
    <cellStyle name="Cálculo 2 6 22 2 2" xfId="21793"/>
    <cellStyle name="Cálculo 2 6 22 3" xfId="21794"/>
    <cellStyle name="Cálculo 2 6 22 3 2" xfId="21795"/>
    <cellStyle name="Cálculo 2 6 22 4" xfId="21796"/>
    <cellStyle name="Cálculo 2 6 23" xfId="21797"/>
    <cellStyle name="Cálculo 2 6 23 2" xfId="21798"/>
    <cellStyle name="Cálculo 2 6 23 2 2" xfId="21799"/>
    <cellStyle name="Cálculo 2 6 23 3" xfId="21800"/>
    <cellStyle name="Cálculo 2 6 23 3 2" xfId="21801"/>
    <cellStyle name="Cálculo 2 6 23 4" xfId="21802"/>
    <cellStyle name="Cálculo 2 6 24" xfId="21803"/>
    <cellStyle name="Cálculo 2 6 24 2" xfId="21804"/>
    <cellStyle name="Cálculo 2 6 24 2 2" xfId="21805"/>
    <cellStyle name="Cálculo 2 6 24 3" xfId="21806"/>
    <cellStyle name="Cálculo 2 6 24 3 2" xfId="21807"/>
    <cellStyle name="Cálculo 2 6 24 4" xfId="21808"/>
    <cellStyle name="Cálculo 2 6 25" xfId="21809"/>
    <cellStyle name="Cálculo 2 6 25 2" xfId="21810"/>
    <cellStyle name="Cálculo 2 6 25 2 2" xfId="21811"/>
    <cellStyle name="Cálculo 2 6 25 3" xfId="21812"/>
    <cellStyle name="Cálculo 2 6 25 3 2" xfId="21813"/>
    <cellStyle name="Cálculo 2 6 25 4" xfId="21814"/>
    <cellStyle name="Cálculo 2 6 26" xfId="21815"/>
    <cellStyle name="Cálculo 2 6 26 2" xfId="21816"/>
    <cellStyle name="Cálculo 2 6 26 2 2" xfId="21817"/>
    <cellStyle name="Cálculo 2 6 26 3" xfId="21818"/>
    <cellStyle name="Cálculo 2 6 26 3 2" xfId="21819"/>
    <cellStyle name="Cálculo 2 6 26 4" xfId="21820"/>
    <cellStyle name="Cálculo 2 6 27" xfId="21821"/>
    <cellStyle name="Cálculo 2 6 27 2" xfId="21822"/>
    <cellStyle name="Cálculo 2 6 27 2 2" xfId="21823"/>
    <cellStyle name="Cálculo 2 6 27 3" xfId="21824"/>
    <cellStyle name="Cálculo 2 6 27 3 2" xfId="21825"/>
    <cellStyle name="Cálculo 2 6 27 4" xfId="21826"/>
    <cellStyle name="Cálculo 2 6 28" xfId="21827"/>
    <cellStyle name="Cálculo 2 6 28 2" xfId="21828"/>
    <cellStyle name="Cálculo 2 6 28 2 2" xfId="21829"/>
    <cellStyle name="Cálculo 2 6 28 3" xfId="21830"/>
    <cellStyle name="Cálculo 2 6 28 3 2" xfId="21831"/>
    <cellStyle name="Cálculo 2 6 28 4" xfId="21832"/>
    <cellStyle name="Cálculo 2 6 29" xfId="21833"/>
    <cellStyle name="Cálculo 2 6 29 2" xfId="21834"/>
    <cellStyle name="Cálculo 2 6 29 2 2" xfId="21835"/>
    <cellStyle name="Cálculo 2 6 29 3" xfId="21836"/>
    <cellStyle name="Cálculo 2 6 29 3 2" xfId="21837"/>
    <cellStyle name="Cálculo 2 6 29 4" xfId="21838"/>
    <cellStyle name="Cálculo 2 6 3" xfId="21839"/>
    <cellStyle name="Cálculo 2 6 3 2" xfId="21840"/>
    <cellStyle name="Cálculo 2 6 3 2 2" xfId="21841"/>
    <cellStyle name="Cálculo 2 6 3 3" xfId="21842"/>
    <cellStyle name="Cálculo 2 6 3 3 2" xfId="21843"/>
    <cellStyle name="Cálculo 2 6 3 4" xfId="21844"/>
    <cellStyle name="Cálculo 2 6 30" xfId="21845"/>
    <cellStyle name="Cálculo 2 6 30 2" xfId="21846"/>
    <cellStyle name="Cálculo 2 6 30 2 2" xfId="21847"/>
    <cellStyle name="Cálculo 2 6 30 3" xfId="21848"/>
    <cellStyle name="Cálculo 2 6 30 3 2" xfId="21849"/>
    <cellStyle name="Cálculo 2 6 30 4" xfId="21850"/>
    <cellStyle name="Cálculo 2 6 31" xfId="21851"/>
    <cellStyle name="Cálculo 2 6 31 2" xfId="21852"/>
    <cellStyle name="Cálculo 2 6 31 2 2" xfId="21853"/>
    <cellStyle name="Cálculo 2 6 31 3" xfId="21854"/>
    <cellStyle name="Cálculo 2 6 31 3 2" xfId="21855"/>
    <cellStyle name="Cálculo 2 6 31 4" xfId="21856"/>
    <cellStyle name="Cálculo 2 6 32" xfId="21857"/>
    <cellStyle name="Cálculo 2 6 32 2" xfId="21858"/>
    <cellStyle name="Cálculo 2 6 32 2 2" xfId="21859"/>
    <cellStyle name="Cálculo 2 6 32 3" xfId="21860"/>
    <cellStyle name="Cálculo 2 6 32 3 2" xfId="21861"/>
    <cellStyle name="Cálculo 2 6 32 4" xfId="21862"/>
    <cellStyle name="Cálculo 2 6 33" xfId="21863"/>
    <cellStyle name="Cálculo 2 6 33 2" xfId="21864"/>
    <cellStyle name="Cálculo 2 6 33 2 2" xfId="21865"/>
    <cellStyle name="Cálculo 2 6 33 3" xfId="21866"/>
    <cellStyle name="Cálculo 2 6 33 3 2" xfId="21867"/>
    <cellStyle name="Cálculo 2 6 33 4" xfId="21868"/>
    <cellStyle name="Cálculo 2 6 34" xfId="21869"/>
    <cellStyle name="Cálculo 2 6 34 2" xfId="21870"/>
    <cellStyle name="Cálculo 2 6 34 2 2" xfId="21871"/>
    <cellStyle name="Cálculo 2 6 34 3" xfId="21872"/>
    <cellStyle name="Cálculo 2 6 34 3 2" xfId="21873"/>
    <cellStyle name="Cálculo 2 6 34 4" xfId="21874"/>
    <cellStyle name="Cálculo 2 6 35" xfId="21875"/>
    <cellStyle name="Cálculo 2 6 35 2" xfId="21876"/>
    <cellStyle name="Cálculo 2 6 35 2 2" xfId="21877"/>
    <cellStyle name="Cálculo 2 6 35 3" xfId="21878"/>
    <cellStyle name="Cálculo 2 6 35 3 2" xfId="21879"/>
    <cellStyle name="Cálculo 2 6 35 4" xfId="21880"/>
    <cellStyle name="Cálculo 2 6 36" xfId="21881"/>
    <cellStyle name="Cálculo 2 6 36 2" xfId="21882"/>
    <cellStyle name="Cálculo 2 6 36 2 2" xfId="21883"/>
    <cellStyle name="Cálculo 2 6 36 3" xfId="21884"/>
    <cellStyle name="Cálculo 2 6 36 3 2" xfId="21885"/>
    <cellStyle name="Cálculo 2 6 36 4" xfId="21886"/>
    <cellStyle name="Cálculo 2 6 37" xfId="21887"/>
    <cellStyle name="Cálculo 2 6 37 2" xfId="21888"/>
    <cellStyle name="Cálculo 2 6 37 2 2" xfId="21889"/>
    <cellStyle name="Cálculo 2 6 37 3" xfId="21890"/>
    <cellStyle name="Cálculo 2 6 37 3 2" xfId="21891"/>
    <cellStyle name="Cálculo 2 6 37 4" xfId="21892"/>
    <cellStyle name="Cálculo 2 6 38" xfId="21893"/>
    <cellStyle name="Cálculo 2 6 38 2" xfId="21894"/>
    <cellStyle name="Cálculo 2 6 38 2 2" xfId="21895"/>
    <cellStyle name="Cálculo 2 6 38 3" xfId="21896"/>
    <cellStyle name="Cálculo 2 6 38 3 2" xfId="21897"/>
    <cellStyle name="Cálculo 2 6 38 4" xfId="21898"/>
    <cellStyle name="Cálculo 2 6 39" xfId="21899"/>
    <cellStyle name="Cálculo 2 6 39 2" xfId="21900"/>
    <cellStyle name="Cálculo 2 6 39 2 2" xfId="21901"/>
    <cellStyle name="Cálculo 2 6 39 3" xfId="21902"/>
    <cellStyle name="Cálculo 2 6 4" xfId="21903"/>
    <cellStyle name="Cálculo 2 6 4 2" xfId="21904"/>
    <cellStyle name="Cálculo 2 6 4 2 2" xfId="21905"/>
    <cellStyle name="Cálculo 2 6 4 3" xfId="21906"/>
    <cellStyle name="Cálculo 2 6 4 3 2" xfId="21907"/>
    <cellStyle name="Cálculo 2 6 4 4" xfId="21908"/>
    <cellStyle name="Cálculo 2 6 40" xfId="21909"/>
    <cellStyle name="Cálculo 2 6 40 2" xfId="21910"/>
    <cellStyle name="Cálculo 2 6 41" xfId="21911"/>
    <cellStyle name="Cálculo 2 6 41 2" xfId="21912"/>
    <cellStyle name="Cálculo 2 6 42" xfId="21913"/>
    <cellStyle name="Cálculo 2 6 42 2" xfId="21914"/>
    <cellStyle name="Cálculo 2 6 43" xfId="21915"/>
    <cellStyle name="Cálculo 2 6 5" xfId="21916"/>
    <cellStyle name="Cálculo 2 6 5 2" xfId="21917"/>
    <cellStyle name="Cálculo 2 6 5 2 2" xfId="21918"/>
    <cellStyle name="Cálculo 2 6 5 3" xfId="21919"/>
    <cellStyle name="Cálculo 2 6 5 3 2" xfId="21920"/>
    <cellStyle name="Cálculo 2 6 5 4" xfId="21921"/>
    <cellStyle name="Cálculo 2 6 6" xfId="21922"/>
    <cellStyle name="Cálculo 2 6 6 2" xfId="21923"/>
    <cellStyle name="Cálculo 2 6 6 2 2" xfId="21924"/>
    <cellStyle name="Cálculo 2 6 6 3" xfId="21925"/>
    <cellStyle name="Cálculo 2 6 6 3 2" xfId="21926"/>
    <cellStyle name="Cálculo 2 6 6 4" xfId="21927"/>
    <cellStyle name="Cálculo 2 6 7" xfId="21928"/>
    <cellStyle name="Cálculo 2 6 7 2" xfId="21929"/>
    <cellStyle name="Cálculo 2 6 7 2 2" xfId="21930"/>
    <cellStyle name="Cálculo 2 6 7 3" xfId="21931"/>
    <cellStyle name="Cálculo 2 6 7 3 2" xfId="21932"/>
    <cellStyle name="Cálculo 2 6 7 4" xfId="21933"/>
    <cellStyle name="Cálculo 2 6 8" xfId="21934"/>
    <cellStyle name="Cálculo 2 6 8 2" xfId="21935"/>
    <cellStyle name="Cálculo 2 6 8 2 2" xfId="21936"/>
    <cellStyle name="Cálculo 2 6 8 3" xfId="21937"/>
    <cellStyle name="Cálculo 2 6 8 3 2" xfId="21938"/>
    <cellStyle name="Cálculo 2 6 8 4" xfId="21939"/>
    <cellStyle name="Cálculo 2 6 9" xfId="21940"/>
    <cellStyle name="Cálculo 2 6 9 2" xfId="21941"/>
    <cellStyle name="Cálculo 2 6 9 2 2" xfId="21942"/>
    <cellStyle name="Cálculo 2 6 9 3" xfId="21943"/>
    <cellStyle name="Cálculo 2 6 9 3 2" xfId="21944"/>
    <cellStyle name="Cálculo 2 6 9 4" xfId="21945"/>
    <cellStyle name="Cálculo 2 7" xfId="21946"/>
    <cellStyle name="Cálculo 2 7 10" xfId="21947"/>
    <cellStyle name="Cálculo 2 7 10 2" xfId="21948"/>
    <cellStyle name="Cálculo 2 7 10 2 2" xfId="21949"/>
    <cellStyle name="Cálculo 2 7 10 3" xfId="21950"/>
    <cellStyle name="Cálculo 2 7 10 3 2" xfId="21951"/>
    <cellStyle name="Cálculo 2 7 10 4" xfId="21952"/>
    <cellStyle name="Cálculo 2 7 11" xfId="21953"/>
    <cellStyle name="Cálculo 2 7 11 2" xfId="21954"/>
    <cellStyle name="Cálculo 2 7 11 2 2" xfId="21955"/>
    <cellStyle name="Cálculo 2 7 11 3" xfId="21956"/>
    <cellStyle name="Cálculo 2 7 11 3 2" xfId="21957"/>
    <cellStyle name="Cálculo 2 7 11 4" xfId="21958"/>
    <cellStyle name="Cálculo 2 7 12" xfId="21959"/>
    <cellStyle name="Cálculo 2 7 12 2" xfId="21960"/>
    <cellStyle name="Cálculo 2 7 12 2 2" xfId="21961"/>
    <cellStyle name="Cálculo 2 7 12 3" xfId="21962"/>
    <cellStyle name="Cálculo 2 7 12 3 2" xfId="21963"/>
    <cellStyle name="Cálculo 2 7 12 4" xfId="21964"/>
    <cellStyle name="Cálculo 2 7 13" xfId="21965"/>
    <cellStyle name="Cálculo 2 7 13 2" xfId="21966"/>
    <cellStyle name="Cálculo 2 7 13 2 2" xfId="21967"/>
    <cellStyle name="Cálculo 2 7 13 3" xfId="21968"/>
    <cellStyle name="Cálculo 2 7 13 3 2" xfId="21969"/>
    <cellStyle name="Cálculo 2 7 13 4" xfId="21970"/>
    <cellStyle name="Cálculo 2 7 14" xfId="21971"/>
    <cellStyle name="Cálculo 2 7 14 2" xfId="21972"/>
    <cellStyle name="Cálculo 2 7 14 2 2" xfId="21973"/>
    <cellStyle name="Cálculo 2 7 14 3" xfId="21974"/>
    <cellStyle name="Cálculo 2 7 14 3 2" xfId="21975"/>
    <cellStyle name="Cálculo 2 7 14 4" xfId="21976"/>
    <cellStyle name="Cálculo 2 7 15" xfId="21977"/>
    <cellStyle name="Cálculo 2 7 15 2" xfId="21978"/>
    <cellStyle name="Cálculo 2 7 15 2 2" xfId="21979"/>
    <cellStyle name="Cálculo 2 7 15 3" xfId="21980"/>
    <cellStyle name="Cálculo 2 7 15 3 2" xfId="21981"/>
    <cellStyle name="Cálculo 2 7 15 4" xfId="21982"/>
    <cellStyle name="Cálculo 2 7 16" xfId="21983"/>
    <cellStyle name="Cálculo 2 7 16 2" xfId="21984"/>
    <cellStyle name="Cálculo 2 7 16 2 2" xfId="21985"/>
    <cellStyle name="Cálculo 2 7 16 3" xfId="21986"/>
    <cellStyle name="Cálculo 2 7 16 3 2" xfId="21987"/>
    <cellStyle name="Cálculo 2 7 16 4" xfId="21988"/>
    <cellStyle name="Cálculo 2 7 17" xfId="21989"/>
    <cellStyle name="Cálculo 2 7 17 2" xfId="21990"/>
    <cellStyle name="Cálculo 2 7 17 2 2" xfId="21991"/>
    <cellStyle name="Cálculo 2 7 17 3" xfId="21992"/>
    <cellStyle name="Cálculo 2 7 17 3 2" xfId="21993"/>
    <cellStyle name="Cálculo 2 7 17 4" xfId="21994"/>
    <cellStyle name="Cálculo 2 7 18" xfId="21995"/>
    <cellStyle name="Cálculo 2 7 18 2" xfId="21996"/>
    <cellStyle name="Cálculo 2 7 18 2 2" xfId="21997"/>
    <cellStyle name="Cálculo 2 7 18 3" xfId="21998"/>
    <cellStyle name="Cálculo 2 7 18 3 2" xfId="21999"/>
    <cellStyle name="Cálculo 2 7 18 4" xfId="22000"/>
    <cellStyle name="Cálculo 2 7 19" xfId="22001"/>
    <cellStyle name="Cálculo 2 7 19 2" xfId="22002"/>
    <cellStyle name="Cálculo 2 7 19 2 2" xfId="22003"/>
    <cellStyle name="Cálculo 2 7 19 3" xfId="22004"/>
    <cellStyle name="Cálculo 2 7 19 3 2" xfId="22005"/>
    <cellStyle name="Cálculo 2 7 19 4" xfId="22006"/>
    <cellStyle name="Cálculo 2 7 2" xfId="22007"/>
    <cellStyle name="Cálculo 2 7 2 2" xfId="22008"/>
    <cellStyle name="Cálculo 2 7 2 2 2" xfId="22009"/>
    <cellStyle name="Cálculo 2 7 2 3" xfId="22010"/>
    <cellStyle name="Cálculo 2 7 2 3 2" xfId="22011"/>
    <cellStyle name="Cálculo 2 7 2 4" xfId="22012"/>
    <cellStyle name="Cálculo 2 7 20" xfId="22013"/>
    <cellStyle name="Cálculo 2 7 20 2" xfId="22014"/>
    <cellStyle name="Cálculo 2 7 20 2 2" xfId="22015"/>
    <cellStyle name="Cálculo 2 7 20 3" xfId="22016"/>
    <cellStyle name="Cálculo 2 7 20 3 2" xfId="22017"/>
    <cellStyle name="Cálculo 2 7 20 4" xfId="22018"/>
    <cellStyle name="Cálculo 2 7 21" xfId="22019"/>
    <cellStyle name="Cálculo 2 7 21 2" xfId="22020"/>
    <cellStyle name="Cálculo 2 7 21 2 2" xfId="22021"/>
    <cellStyle name="Cálculo 2 7 21 3" xfId="22022"/>
    <cellStyle name="Cálculo 2 7 21 3 2" xfId="22023"/>
    <cellStyle name="Cálculo 2 7 21 4" xfId="22024"/>
    <cellStyle name="Cálculo 2 7 22" xfId="22025"/>
    <cellStyle name="Cálculo 2 7 22 2" xfId="22026"/>
    <cellStyle name="Cálculo 2 7 22 2 2" xfId="22027"/>
    <cellStyle name="Cálculo 2 7 22 3" xfId="22028"/>
    <cellStyle name="Cálculo 2 7 22 3 2" xfId="22029"/>
    <cellStyle name="Cálculo 2 7 22 4" xfId="22030"/>
    <cellStyle name="Cálculo 2 7 23" xfId="22031"/>
    <cellStyle name="Cálculo 2 7 23 2" xfId="22032"/>
    <cellStyle name="Cálculo 2 7 23 2 2" xfId="22033"/>
    <cellStyle name="Cálculo 2 7 23 3" xfId="22034"/>
    <cellStyle name="Cálculo 2 7 23 3 2" xfId="22035"/>
    <cellStyle name="Cálculo 2 7 23 4" xfId="22036"/>
    <cellStyle name="Cálculo 2 7 24" xfId="22037"/>
    <cellStyle name="Cálculo 2 7 24 2" xfId="22038"/>
    <cellStyle name="Cálculo 2 7 24 2 2" xfId="22039"/>
    <cellStyle name="Cálculo 2 7 24 3" xfId="22040"/>
    <cellStyle name="Cálculo 2 7 24 3 2" xfId="22041"/>
    <cellStyle name="Cálculo 2 7 24 4" xfId="22042"/>
    <cellStyle name="Cálculo 2 7 25" xfId="22043"/>
    <cellStyle name="Cálculo 2 7 25 2" xfId="22044"/>
    <cellStyle name="Cálculo 2 7 25 2 2" xfId="22045"/>
    <cellStyle name="Cálculo 2 7 25 3" xfId="22046"/>
    <cellStyle name="Cálculo 2 7 25 3 2" xfId="22047"/>
    <cellStyle name="Cálculo 2 7 25 4" xfId="22048"/>
    <cellStyle name="Cálculo 2 7 26" xfId="22049"/>
    <cellStyle name="Cálculo 2 7 26 2" xfId="22050"/>
    <cellStyle name="Cálculo 2 7 26 2 2" xfId="22051"/>
    <cellStyle name="Cálculo 2 7 26 3" xfId="22052"/>
    <cellStyle name="Cálculo 2 7 26 3 2" xfId="22053"/>
    <cellStyle name="Cálculo 2 7 26 4" xfId="22054"/>
    <cellStyle name="Cálculo 2 7 27" xfId="22055"/>
    <cellStyle name="Cálculo 2 7 27 2" xfId="22056"/>
    <cellStyle name="Cálculo 2 7 27 2 2" xfId="22057"/>
    <cellStyle name="Cálculo 2 7 27 3" xfId="22058"/>
    <cellStyle name="Cálculo 2 7 27 3 2" xfId="22059"/>
    <cellStyle name="Cálculo 2 7 27 4" xfId="22060"/>
    <cellStyle name="Cálculo 2 7 28" xfId="22061"/>
    <cellStyle name="Cálculo 2 7 28 2" xfId="22062"/>
    <cellStyle name="Cálculo 2 7 28 2 2" xfId="22063"/>
    <cellStyle name="Cálculo 2 7 28 3" xfId="22064"/>
    <cellStyle name="Cálculo 2 7 28 3 2" xfId="22065"/>
    <cellStyle name="Cálculo 2 7 28 4" xfId="22066"/>
    <cellStyle name="Cálculo 2 7 29" xfId="22067"/>
    <cellStyle name="Cálculo 2 7 29 2" xfId="22068"/>
    <cellStyle name="Cálculo 2 7 29 2 2" xfId="22069"/>
    <cellStyle name="Cálculo 2 7 29 3" xfId="22070"/>
    <cellStyle name="Cálculo 2 7 29 3 2" xfId="22071"/>
    <cellStyle name="Cálculo 2 7 29 4" xfId="22072"/>
    <cellStyle name="Cálculo 2 7 3" xfId="22073"/>
    <cellStyle name="Cálculo 2 7 3 2" xfId="22074"/>
    <cellStyle name="Cálculo 2 7 3 2 2" xfId="22075"/>
    <cellStyle name="Cálculo 2 7 3 3" xfId="22076"/>
    <cellStyle name="Cálculo 2 7 3 3 2" xfId="22077"/>
    <cellStyle name="Cálculo 2 7 3 4" xfId="22078"/>
    <cellStyle name="Cálculo 2 7 30" xfId="22079"/>
    <cellStyle name="Cálculo 2 7 30 2" xfId="22080"/>
    <cellStyle name="Cálculo 2 7 30 2 2" xfId="22081"/>
    <cellStyle name="Cálculo 2 7 30 3" xfId="22082"/>
    <cellStyle name="Cálculo 2 7 30 3 2" xfId="22083"/>
    <cellStyle name="Cálculo 2 7 30 4" xfId="22084"/>
    <cellStyle name="Cálculo 2 7 31" xfId="22085"/>
    <cellStyle name="Cálculo 2 7 31 2" xfId="22086"/>
    <cellStyle name="Cálculo 2 7 31 2 2" xfId="22087"/>
    <cellStyle name="Cálculo 2 7 31 3" xfId="22088"/>
    <cellStyle name="Cálculo 2 7 31 3 2" xfId="22089"/>
    <cellStyle name="Cálculo 2 7 31 4" xfId="22090"/>
    <cellStyle name="Cálculo 2 7 32" xfId="22091"/>
    <cellStyle name="Cálculo 2 7 32 2" xfId="22092"/>
    <cellStyle name="Cálculo 2 7 32 2 2" xfId="22093"/>
    <cellStyle name="Cálculo 2 7 32 3" xfId="22094"/>
    <cellStyle name="Cálculo 2 7 32 3 2" xfId="22095"/>
    <cellStyle name="Cálculo 2 7 32 4" xfId="22096"/>
    <cellStyle name="Cálculo 2 7 33" xfId="22097"/>
    <cellStyle name="Cálculo 2 7 33 2" xfId="22098"/>
    <cellStyle name="Cálculo 2 7 33 2 2" xfId="22099"/>
    <cellStyle name="Cálculo 2 7 33 3" xfId="22100"/>
    <cellStyle name="Cálculo 2 7 33 3 2" xfId="22101"/>
    <cellStyle name="Cálculo 2 7 33 4" xfId="22102"/>
    <cellStyle name="Cálculo 2 7 34" xfId="22103"/>
    <cellStyle name="Cálculo 2 7 34 2" xfId="22104"/>
    <cellStyle name="Cálculo 2 7 34 2 2" xfId="22105"/>
    <cellStyle name="Cálculo 2 7 34 3" xfId="22106"/>
    <cellStyle name="Cálculo 2 7 34 3 2" xfId="22107"/>
    <cellStyle name="Cálculo 2 7 34 4" xfId="22108"/>
    <cellStyle name="Cálculo 2 7 35" xfId="22109"/>
    <cellStyle name="Cálculo 2 7 35 2" xfId="22110"/>
    <cellStyle name="Cálculo 2 7 35 2 2" xfId="22111"/>
    <cellStyle name="Cálculo 2 7 35 3" xfId="22112"/>
    <cellStyle name="Cálculo 2 7 35 3 2" xfId="22113"/>
    <cellStyle name="Cálculo 2 7 35 4" xfId="22114"/>
    <cellStyle name="Cálculo 2 7 36" xfId="22115"/>
    <cellStyle name="Cálculo 2 7 36 2" xfId="22116"/>
    <cellStyle name="Cálculo 2 7 36 2 2" xfId="22117"/>
    <cellStyle name="Cálculo 2 7 36 3" xfId="22118"/>
    <cellStyle name="Cálculo 2 7 36 3 2" xfId="22119"/>
    <cellStyle name="Cálculo 2 7 36 4" xfId="22120"/>
    <cellStyle name="Cálculo 2 7 37" xfId="22121"/>
    <cellStyle name="Cálculo 2 7 37 2" xfId="22122"/>
    <cellStyle name="Cálculo 2 7 37 2 2" xfId="22123"/>
    <cellStyle name="Cálculo 2 7 37 3" xfId="22124"/>
    <cellStyle name="Cálculo 2 7 37 3 2" xfId="22125"/>
    <cellStyle name="Cálculo 2 7 37 4" xfId="22126"/>
    <cellStyle name="Cálculo 2 7 38" xfId="22127"/>
    <cellStyle name="Cálculo 2 7 38 2" xfId="22128"/>
    <cellStyle name="Cálculo 2 7 38 2 2" xfId="22129"/>
    <cellStyle name="Cálculo 2 7 38 3" xfId="22130"/>
    <cellStyle name="Cálculo 2 7 38 3 2" xfId="22131"/>
    <cellStyle name="Cálculo 2 7 38 4" xfId="22132"/>
    <cellStyle name="Cálculo 2 7 39" xfId="22133"/>
    <cellStyle name="Cálculo 2 7 39 2" xfId="22134"/>
    <cellStyle name="Cálculo 2 7 39 2 2" xfId="22135"/>
    <cellStyle name="Cálculo 2 7 39 3" xfId="22136"/>
    <cellStyle name="Cálculo 2 7 39 3 2" xfId="22137"/>
    <cellStyle name="Cálculo 2 7 39 4" xfId="22138"/>
    <cellStyle name="Cálculo 2 7 4" xfId="22139"/>
    <cellStyle name="Cálculo 2 7 4 2" xfId="22140"/>
    <cellStyle name="Cálculo 2 7 4 2 2" xfId="22141"/>
    <cellStyle name="Cálculo 2 7 4 3" xfId="22142"/>
    <cellStyle name="Cálculo 2 7 4 3 2" xfId="22143"/>
    <cellStyle name="Cálculo 2 7 4 4" xfId="22144"/>
    <cellStyle name="Cálculo 2 7 40" xfId="22145"/>
    <cellStyle name="Cálculo 2 7 40 2" xfId="22146"/>
    <cellStyle name="Cálculo 2 7 40 2 2" xfId="22147"/>
    <cellStyle name="Cálculo 2 7 40 3" xfId="22148"/>
    <cellStyle name="Cálculo 2 7 41" xfId="22149"/>
    <cellStyle name="Cálculo 2 7 41 2" xfId="22150"/>
    <cellStyle name="Cálculo 2 7 42" xfId="22151"/>
    <cellStyle name="Cálculo 2 7 42 2" xfId="22152"/>
    <cellStyle name="Cálculo 2 7 43" xfId="22153"/>
    <cellStyle name="Cálculo 2 7 5" xfId="22154"/>
    <cellStyle name="Cálculo 2 7 5 2" xfId="22155"/>
    <cellStyle name="Cálculo 2 7 5 2 2" xfId="22156"/>
    <cellStyle name="Cálculo 2 7 5 3" xfId="22157"/>
    <cellStyle name="Cálculo 2 7 5 3 2" xfId="22158"/>
    <cellStyle name="Cálculo 2 7 5 4" xfId="22159"/>
    <cellStyle name="Cálculo 2 7 6" xfId="22160"/>
    <cellStyle name="Cálculo 2 7 6 2" xfId="22161"/>
    <cellStyle name="Cálculo 2 7 6 2 2" xfId="22162"/>
    <cellStyle name="Cálculo 2 7 6 3" xfId="22163"/>
    <cellStyle name="Cálculo 2 7 6 3 2" xfId="22164"/>
    <cellStyle name="Cálculo 2 7 6 4" xfId="22165"/>
    <cellStyle name="Cálculo 2 7 7" xfId="22166"/>
    <cellStyle name="Cálculo 2 7 7 2" xfId="22167"/>
    <cellStyle name="Cálculo 2 7 7 2 2" xfId="22168"/>
    <cellStyle name="Cálculo 2 7 7 3" xfId="22169"/>
    <cellStyle name="Cálculo 2 7 7 3 2" xfId="22170"/>
    <cellStyle name="Cálculo 2 7 7 4" xfId="22171"/>
    <cellStyle name="Cálculo 2 7 8" xfId="22172"/>
    <cellStyle name="Cálculo 2 7 8 2" xfId="22173"/>
    <cellStyle name="Cálculo 2 7 8 2 2" xfId="22174"/>
    <cellStyle name="Cálculo 2 7 8 3" xfId="22175"/>
    <cellStyle name="Cálculo 2 7 8 3 2" xfId="22176"/>
    <cellStyle name="Cálculo 2 7 8 4" xfId="22177"/>
    <cellStyle name="Cálculo 2 7 9" xfId="22178"/>
    <cellStyle name="Cálculo 2 7 9 2" xfId="22179"/>
    <cellStyle name="Cálculo 2 7 9 2 2" xfId="22180"/>
    <cellStyle name="Cálculo 2 7 9 3" xfId="22181"/>
    <cellStyle name="Cálculo 2 7 9 3 2" xfId="22182"/>
    <cellStyle name="Cálculo 2 7 9 4" xfId="22183"/>
    <cellStyle name="Cálculo 2 8" xfId="22184"/>
    <cellStyle name="Cálculo 2 8 10" xfId="22185"/>
    <cellStyle name="Cálculo 2 8 10 2" xfId="22186"/>
    <cellStyle name="Cálculo 2 8 10 2 2" xfId="22187"/>
    <cellStyle name="Cálculo 2 8 10 3" xfId="22188"/>
    <cellStyle name="Cálculo 2 8 10 3 2" xfId="22189"/>
    <cellStyle name="Cálculo 2 8 10 4" xfId="22190"/>
    <cellStyle name="Cálculo 2 8 11" xfId="22191"/>
    <cellStyle name="Cálculo 2 8 11 2" xfId="22192"/>
    <cellStyle name="Cálculo 2 8 11 2 2" xfId="22193"/>
    <cellStyle name="Cálculo 2 8 11 3" xfId="22194"/>
    <cellStyle name="Cálculo 2 8 11 3 2" xfId="22195"/>
    <cellStyle name="Cálculo 2 8 11 4" xfId="22196"/>
    <cellStyle name="Cálculo 2 8 12" xfId="22197"/>
    <cellStyle name="Cálculo 2 8 12 2" xfId="22198"/>
    <cellStyle name="Cálculo 2 8 12 2 2" xfId="22199"/>
    <cellStyle name="Cálculo 2 8 12 3" xfId="22200"/>
    <cellStyle name="Cálculo 2 8 12 3 2" xfId="22201"/>
    <cellStyle name="Cálculo 2 8 12 4" xfId="22202"/>
    <cellStyle name="Cálculo 2 8 13" xfId="22203"/>
    <cellStyle name="Cálculo 2 8 13 2" xfId="22204"/>
    <cellStyle name="Cálculo 2 8 13 2 2" xfId="22205"/>
    <cellStyle name="Cálculo 2 8 13 3" xfId="22206"/>
    <cellStyle name="Cálculo 2 8 13 3 2" xfId="22207"/>
    <cellStyle name="Cálculo 2 8 13 4" xfId="22208"/>
    <cellStyle name="Cálculo 2 8 14" xfId="22209"/>
    <cellStyle name="Cálculo 2 8 14 2" xfId="22210"/>
    <cellStyle name="Cálculo 2 8 14 2 2" xfId="22211"/>
    <cellStyle name="Cálculo 2 8 14 3" xfId="22212"/>
    <cellStyle name="Cálculo 2 8 14 3 2" xfId="22213"/>
    <cellStyle name="Cálculo 2 8 14 4" xfId="22214"/>
    <cellStyle name="Cálculo 2 8 15" xfId="22215"/>
    <cellStyle name="Cálculo 2 8 15 2" xfId="22216"/>
    <cellStyle name="Cálculo 2 8 15 2 2" xfId="22217"/>
    <cellStyle name="Cálculo 2 8 15 3" xfId="22218"/>
    <cellStyle name="Cálculo 2 8 15 3 2" xfId="22219"/>
    <cellStyle name="Cálculo 2 8 15 4" xfId="22220"/>
    <cellStyle name="Cálculo 2 8 16" xfId="22221"/>
    <cellStyle name="Cálculo 2 8 16 2" xfId="22222"/>
    <cellStyle name="Cálculo 2 8 16 2 2" xfId="22223"/>
    <cellStyle name="Cálculo 2 8 16 3" xfId="22224"/>
    <cellStyle name="Cálculo 2 8 16 3 2" xfId="22225"/>
    <cellStyle name="Cálculo 2 8 16 4" xfId="22226"/>
    <cellStyle name="Cálculo 2 8 17" xfId="22227"/>
    <cellStyle name="Cálculo 2 8 17 2" xfId="22228"/>
    <cellStyle name="Cálculo 2 8 17 2 2" xfId="22229"/>
    <cellStyle name="Cálculo 2 8 17 3" xfId="22230"/>
    <cellStyle name="Cálculo 2 8 17 3 2" xfId="22231"/>
    <cellStyle name="Cálculo 2 8 17 4" xfId="22232"/>
    <cellStyle name="Cálculo 2 8 18" xfId="22233"/>
    <cellStyle name="Cálculo 2 8 18 2" xfId="22234"/>
    <cellStyle name="Cálculo 2 8 18 2 2" xfId="22235"/>
    <cellStyle name="Cálculo 2 8 18 3" xfId="22236"/>
    <cellStyle name="Cálculo 2 8 18 3 2" xfId="22237"/>
    <cellStyle name="Cálculo 2 8 18 4" xfId="22238"/>
    <cellStyle name="Cálculo 2 8 19" xfId="22239"/>
    <cellStyle name="Cálculo 2 8 19 2" xfId="22240"/>
    <cellStyle name="Cálculo 2 8 19 2 2" xfId="22241"/>
    <cellStyle name="Cálculo 2 8 19 3" xfId="22242"/>
    <cellStyle name="Cálculo 2 8 19 3 2" xfId="22243"/>
    <cellStyle name="Cálculo 2 8 19 4" xfId="22244"/>
    <cellStyle name="Cálculo 2 8 2" xfId="22245"/>
    <cellStyle name="Cálculo 2 8 2 2" xfId="22246"/>
    <cellStyle name="Cálculo 2 8 2 2 2" xfId="22247"/>
    <cellStyle name="Cálculo 2 8 2 3" xfId="22248"/>
    <cellStyle name="Cálculo 2 8 2 3 2" xfId="22249"/>
    <cellStyle name="Cálculo 2 8 2 4" xfId="22250"/>
    <cellStyle name="Cálculo 2 8 20" xfId="22251"/>
    <cellStyle name="Cálculo 2 8 20 2" xfId="22252"/>
    <cellStyle name="Cálculo 2 8 20 2 2" xfId="22253"/>
    <cellStyle name="Cálculo 2 8 20 3" xfId="22254"/>
    <cellStyle name="Cálculo 2 8 20 3 2" xfId="22255"/>
    <cellStyle name="Cálculo 2 8 20 4" xfId="22256"/>
    <cellStyle name="Cálculo 2 8 21" xfId="22257"/>
    <cellStyle name="Cálculo 2 8 21 2" xfId="22258"/>
    <cellStyle name="Cálculo 2 8 21 2 2" xfId="22259"/>
    <cellStyle name="Cálculo 2 8 21 3" xfId="22260"/>
    <cellStyle name="Cálculo 2 8 21 3 2" xfId="22261"/>
    <cellStyle name="Cálculo 2 8 21 4" xfId="22262"/>
    <cellStyle name="Cálculo 2 8 22" xfId="22263"/>
    <cellStyle name="Cálculo 2 8 22 2" xfId="22264"/>
    <cellStyle name="Cálculo 2 8 22 2 2" xfId="22265"/>
    <cellStyle name="Cálculo 2 8 22 3" xfId="22266"/>
    <cellStyle name="Cálculo 2 8 22 3 2" xfId="22267"/>
    <cellStyle name="Cálculo 2 8 22 4" xfId="22268"/>
    <cellStyle name="Cálculo 2 8 23" xfId="22269"/>
    <cellStyle name="Cálculo 2 8 23 2" xfId="22270"/>
    <cellStyle name="Cálculo 2 8 23 2 2" xfId="22271"/>
    <cellStyle name="Cálculo 2 8 23 3" xfId="22272"/>
    <cellStyle name="Cálculo 2 8 23 3 2" xfId="22273"/>
    <cellStyle name="Cálculo 2 8 23 4" xfId="22274"/>
    <cellStyle name="Cálculo 2 8 24" xfId="22275"/>
    <cellStyle name="Cálculo 2 8 24 2" xfId="22276"/>
    <cellStyle name="Cálculo 2 8 24 2 2" xfId="22277"/>
    <cellStyle name="Cálculo 2 8 24 3" xfId="22278"/>
    <cellStyle name="Cálculo 2 8 24 3 2" xfId="22279"/>
    <cellStyle name="Cálculo 2 8 24 4" xfId="22280"/>
    <cellStyle name="Cálculo 2 8 25" xfId="22281"/>
    <cellStyle name="Cálculo 2 8 25 2" xfId="22282"/>
    <cellStyle name="Cálculo 2 8 25 2 2" xfId="22283"/>
    <cellStyle name="Cálculo 2 8 25 3" xfId="22284"/>
    <cellStyle name="Cálculo 2 8 25 3 2" xfId="22285"/>
    <cellStyle name="Cálculo 2 8 25 4" xfId="22286"/>
    <cellStyle name="Cálculo 2 8 26" xfId="22287"/>
    <cellStyle name="Cálculo 2 8 26 2" xfId="22288"/>
    <cellStyle name="Cálculo 2 8 26 2 2" xfId="22289"/>
    <cellStyle name="Cálculo 2 8 26 3" xfId="22290"/>
    <cellStyle name="Cálculo 2 8 26 3 2" xfId="22291"/>
    <cellStyle name="Cálculo 2 8 26 4" xfId="22292"/>
    <cellStyle name="Cálculo 2 8 27" xfId="22293"/>
    <cellStyle name="Cálculo 2 8 27 2" xfId="22294"/>
    <cellStyle name="Cálculo 2 8 27 2 2" xfId="22295"/>
    <cellStyle name="Cálculo 2 8 27 3" xfId="22296"/>
    <cellStyle name="Cálculo 2 8 27 3 2" xfId="22297"/>
    <cellStyle name="Cálculo 2 8 27 4" xfId="22298"/>
    <cellStyle name="Cálculo 2 8 28" xfId="22299"/>
    <cellStyle name="Cálculo 2 8 28 2" xfId="22300"/>
    <cellStyle name="Cálculo 2 8 28 2 2" xfId="22301"/>
    <cellStyle name="Cálculo 2 8 28 3" xfId="22302"/>
    <cellStyle name="Cálculo 2 8 28 3 2" xfId="22303"/>
    <cellStyle name="Cálculo 2 8 28 4" xfId="22304"/>
    <cellStyle name="Cálculo 2 8 29" xfId="22305"/>
    <cellStyle name="Cálculo 2 8 29 2" xfId="22306"/>
    <cellStyle name="Cálculo 2 8 29 2 2" xfId="22307"/>
    <cellStyle name="Cálculo 2 8 29 3" xfId="22308"/>
    <cellStyle name="Cálculo 2 8 29 3 2" xfId="22309"/>
    <cellStyle name="Cálculo 2 8 29 4" xfId="22310"/>
    <cellStyle name="Cálculo 2 8 3" xfId="22311"/>
    <cellStyle name="Cálculo 2 8 3 2" xfId="22312"/>
    <cellStyle name="Cálculo 2 8 3 2 2" xfId="22313"/>
    <cellStyle name="Cálculo 2 8 3 3" xfId="22314"/>
    <cellStyle name="Cálculo 2 8 3 3 2" xfId="22315"/>
    <cellStyle name="Cálculo 2 8 3 4" xfId="22316"/>
    <cellStyle name="Cálculo 2 8 30" xfId="22317"/>
    <cellStyle name="Cálculo 2 8 30 2" xfId="22318"/>
    <cellStyle name="Cálculo 2 8 30 2 2" xfId="22319"/>
    <cellStyle name="Cálculo 2 8 30 3" xfId="22320"/>
    <cellStyle name="Cálculo 2 8 30 3 2" xfId="22321"/>
    <cellStyle name="Cálculo 2 8 30 4" xfId="22322"/>
    <cellStyle name="Cálculo 2 8 31" xfId="22323"/>
    <cellStyle name="Cálculo 2 8 31 2" xfId="22324"/>
    <cellStyle name="Cálculo 2 8 31 2 2" xfId="22325"/>
    <cellStyle name="Cálculo 2 8 31 3" xfId="22326"/>
    <cellStyle name="Cálculo 2 8 31 3 2" xfId="22327"/>
    <cellStyle name="Cálculo 2 8 31 4" xfId="22328"/>
    <cellStyle name="Cálculo 2 8 32" xfId="22329"/>
    <cellStyle name="Cálculo 2 8 32 2" xfId="22330"/>
    <cellStyle name="Cálculo 2 8 32 2 2" xfId="22331"/>
    <cellStyle name="Cálculo 2 8 32 3" xfId="22332"/>
    <cellStyle name="Cálculo 2 8 32 3 2" xfId="22333"/>
    <cellStyle name="Cálculo 2 8 32 4" xfId="22334"/>
    <cellStyle name="Cálculo 2 8 33" xfId="22335"/>
    <cellStyle name="Cálculo 2 8 33 2" xfId="22336"/>
    <cellStyle name="Cálculo 2 8 33 2 2" xfId="22337"/>
    <cellStyle name="Cálculo 2 8 33 3" xfId="22338"/>
    <cellStyle name="Cálculo 2 8 33 3 2" xfId="22339"/>
    <cellStyle name="Cálculo 2 8 33 4" xfId="22340"/>
    <cellStyle name="Cálculo 2 8 34" xfId="22341"/>
    <cellStyle name="Cálculo 2 8 34 2" xfId="22342"/>
    <cellStyle name="Cálculo 2 8 34 2 2" xfId="22343"/>
    <cellStyle name="Cálculo 2 8 34 3" xfId="22344"/>
    <cellStyle name="Cálculo 2 8 34 3 2" xfId="22345"/>
    <cellStyle name="Cálculo 2 8 34 4" xfId="22346"/>
    <cellStyle name="Cálculo 2 8 35" xfId="22347"/>
    <cellStyle name="Cálculo 2 8 35 2" xfId="22348"/>
    <cellStyle name="Cálculo 2 8 35 2 2" xfId="22349"/>
    <cellStyle name="Cálculo 2 8 35 3" xfId="22350"/>
    <cellStyle name="Cálculo 2 8 35 3 2" xfId="22351"/>
    <cellStyle name="Cálculo 2 8 35 4" xfId="22352"/>
    <cellStyle name="Cálculo 2 8 36" xfId="22353"/>
    <cellStyle name="Cálculo 2 8 36 2" xfId="22354"/>
    <cellStyle name="Cálculo 2 8 36 2 2" xfId="22355"/>
    <cellStyle name="Cálculo 2 8 36 3" xfId="22356"/>
    <cellStyle name="Cálculo 2 8 36 3 2" xfId="22357"/>
    <cellStyle name="Cálculo 2 8 36 4" xfId="22358"/>
    <cellStyle name="Cálculo 2 8 37" xfId="22359"/>
    <cellStyle name="Cálculo 2 8 37 2" xfId="22360"/>
    <cellStyle name="Cálculo 2 8 37 2 2" xfId="22361"/>
    <cellStyle name="Cálculo 2 8 37 3" xfId="22362"/>
    <cellStyle name="Cálculo 2 8 37 3 2" xfId="22363"/>
    <cellStyle name="Cálculo 2 8 37 4" xfId="22364"/>
    <cellStyle name="Cálculo 2 8 38" xfId="22365"/>
    <cellStyle name="Cálculo 2 8 38 2" xfId="22366"/>
    <cellStyle name="Cálculo 2 8 38 2 2" xfId="22367"/>
    <cellStyle name="Cálculo 2 8 38 3" xfId="22368"/>
    <cellStyle name="Cálculo 2 8 38 3 2" xfId="22369"/>
    <cellStyle name="Cálculo 2 8 38 4" xfId="22370"/>
    <cellStyle name="Cálculo 2 8 39" xfId="22371"/>
    <cellStyle name="Cálculo 2 8 39 2" xfId="22372"/>
    <cellStyle name="Cálculo 2 8 39 2 2" xfId="22373"/>
    <cellStyle name="Cálculo 2 8 39 3" xfId="22374"/>
    <cellStyle name="Cálculo 2 8 39 3 2" xfId="22375"/>
    <cellStyle name="Cálculo 2 8 39 4" xfId="22376"/>
    <cellStyle name="Cálculo 2 8 4" xfId="22377"/>
    <cellStyle name="Cálculo 2 8 4 2" xfId="22378"/>
    <cellStyle name="Cálculo 2 8 4 2 2" xfId="22379"/>
    <cellStyle name="Cálculo 2 8 4 3" xfId="22380"/>
    <cellStyle name="Cálculo 2 8 4 3 2" xfId="22381"/>
    <cellStyle name="Cálculo 2 8 4 4" xfId="22382"/>
    <cellStyle name="Cálculo 2 8 40" xfId="22383"/>
    <cellStyle name="Cálculo 2 8 40 2" xfId="22384"/>
    <cellStyle name="Cálculo 2 8 40 2 2" xfId="22385"/>
    <cellStyle name="Cálculo 2 8 40 3" xfId="22386"/>
    <cellStyle name="Cálculo 2 8 40 3 2" xfId="22387"/>
    <cellStyle name="Cálculo 2 8 40 4" xfId="22388"/>
    <cellStyle name="Cálculo 2 8 41" xfId="22389"/>
    <cellStyle name="Cálculo 2 8 41 2" xfId="22390"/>
    <cellStyle name="Cálculo 2 8 41 2 2" xfId="22391"/>
    <cellStyle name="Cálculo 2 8 41 3" xfId="22392"/>
    <cellStyle name="Cálculo 2 8 41 3 2" xfId="22393"/>
    <cellStyle name="Cálculo 2 8 41 4" xfId="22394"/>
    <cellStyle name="Cálculo 2 8 42" xfId="22395"/>
    <cellStyle name="Cálculo 2 8 42 2" xfId="22396"/>
    <cellStyle name="Cálculo 2 8 42 2 2" xfId="22397"/>
    <cellStyle name="Cálculo 2 8 42 3" xfId="22398"/>
    <cellStyle name="Cálculo 2 8 43" xfId="22399"/>
    <cellStyle name="Cálculo 2 8 43 2" xfId="22400"/>
    <cellStyle name="Cálculo 2 8 44" xfId="22401"/>
    <cellStyle name="Cálculo 2 8 5" xfId="22402"/>
    <cellStyle name="Cálculo 2 8 5 2" xfId="22403"/>
    <cellStyle name="Cálculo 2 8 5 2 2" xfId="22404"/>
    <cellStyle name="Cálculo 2 8 5 3" xfId="22405"/>
    <cellStyle name="Cálculo 2 8 5 3 2" xfId="22406"/>
    <cellStyle name="Cálculo 2 8 5 4" xfId="22407"/>
    <cellStyle name="Cálculo 2 8 6" xfId="22408"/>
    <cellStyle name="Cálculo 2 8 6 2" xfId="22409"/>
    <cellStyle name="Cálculo 2 8 6 2 2" xfId="22410"/>
    <cellStyle name="Cálculo 2 8 6 3" xfId="22411"/>
    <cellStyle name="Cálculo 2 8 6 3 2" xfId="22412"/>
    <cellStyle name="Cálculo 2 8 6 4" xfId="22413"/>
    <cellStyle name="Cálculo 2 8 7" xfId="22414"/>
    <cellStyle name="Cálculo 2 8 7 2" xfId="22415"/>
    <cellStyle name="Cálculo 2 8 7 2 2" xfId="22416"/>
    <cellStyle name="Cálculo 2 8 7 3" xfId="22417"/>
    <cellStyle name="Cálculo 2 8 7 3 2" xfId="22418"/>
    <cellStyle name="Cálculo 2 8 7 4" xfId="22419"/>
    <cellStyle name="Cálculo 2 8 8" xfId="22420"/>
    <cellStyle name="Cálculo 2 8 8 2" xfId="22421"/>
    <cellStyle name="Cálculo 2 8 8 2 2" xfId="22422"/>
    <cellStyle name="Cálculo 2 8 8 3" xfId="22423"/>
    <cellStyle name="Cálculo 2 8 8 3 2" xfId="22424"/>
    <cellStyle name="Cálculo 2 8 8 4" xfId="22425"/>
    <cellStyle name="Cálculo 2 8 9" xfId="22426"/>
    <cellStyle name="Cálculo 2 8 9 2" xfId="22427"/>
    <cellStyle name="Cálculo 2 8 9 2 2" xfId="22428"/>
    <cellStyle name="Cálculo 2 8 9 3" xfId="22429"/>
    <cellStyle name="Cálculo 2 8 9 3 2" xfId="22430"/>
    <cellStyle name="Cálculo 2 8 9 4" xfId="22431"/>
    <cellStyle name="Cálculo 2 9" xfId="22432"/>
    <cellStyle name="Cálculo 2 9 2" xfId="22433"/>
    <cellStyle name="Cálculo 2 9 2 2" xfId="22434"/>
    <cellStyle name="Cálculo 2 9 3" xfId="22435"/>
    <cellStyle name="Cálculo 2 9 3 2" xfId="22436"/>
    <cellStyle name="Cálculo 2 9 4" xfId="22437"/>
    <cellStyle name="Cálculo 3" xfId="22438"/>
    <cellStyle name="Cálculo 3 2" xfId="22439"/>
    <cellStyle name="Cálculo 3 2 2" xfId="22440"/>
    <cellStyle name="Cálculo 3 2 2 2" xfId="22441"/>
    <cellStyle name="Cálculo 3 2 2 2 2" xfId="22442"/>
    <cellStyle name="Cálculo 3 2 2 3" xfId="22443"/>
    <cellStyle name="Cálculo 3 2 3" xfId="22444"/>
    <cellStyle name="Cálculo 3 3" xfId="22445"/>
    <cellStyle name="Cálculo 3 3 2" xfId="22446"/>
    <cellStyle name="Cálculo 3 3 2 2" xfId="22447"/>
    <cellStyle name="Cálculo 3 3 3" xfId="22448"/>
    <cellStyle name="Cálculo 3 4" xfId="22449"/>
    <cellStyle name="Cálculo 4" xfId="22450"/>
    <cellStyle name="Cálculo 4 2" xfId="22451"/>
    <cellStyle name="Cálculo 4 2 2" xfId="22452"/>
    <cellStyle name="Cálculo 4 2 2 2" xfId="22453"/>
    <cellStyle name="Cálculo 4 2 2 2 2" xfId="22454"/>
    <cellStyle name="Cálculo 4 2 2 3" xfId="22455"/>
    <cellStyle name="Cálculo 4 2 3" xfId="22456"/>
    <cellStyle name="Cálculo 4 3" xfId="22457"/>
    <cellStyle name="Cálculo 4 3 2" xfId="22458"/>
    <cellStyle name="Cálculo 4 3 2 2" xfId="22459"/>
    <cellStyle name="Cálculo 4 3 3" xfId="22460"/>
    <cellStyle name="Cálculo 4 4" xfId="22461"/>
    <cellStyle name="Cálculo 5" xfId="22462"/>
    <cellStyle name="Cálculo 5 2" xfId="22463"/>
    <cellStyle name="Cálculo 5 2 2" xfId="22464"/>
    <cellStyle name="Cálculo 5 2 2 2" xfId="22465"/>
    <cellStyle name="Cálculo 5 2 2 2 2" xfId="22466"/>
    <cellStyle name="Cálculo 5 2 2 3" xfId="22467"/>
    <cellStyle name="Cálculo 5 2 3" xfId="22468"/>
    <cellStyle name="Cálculo 5 3" xfId="22469"/>
    <cellStyle name="Cálculo 5 3 2" xfId="22470"/>
    <cellStyle name="Cálculo 5 3 2 2" xfId="22471"/>
    <cellStyle name="Cálculo 5 3 3" xfId="22472"/>
    <cellStyle name="Cálculo 5 4" xfId="22473"/>
    <cellStyle name="Cálculo 6" xfId="22474"/>
    <cellStyle name="Cálculo 6 2" xfId="22475"/>
    <cellStyle name="Cálculo 6 2 2" xfId="22476"/>
    <cellStyle name="Cálculo 6 2 2 2" xfId="22477"/>
    <cellStyle name="Cálculo 6 2 2 2 2" xfId="22478"/>
    <cellStyle name="Cálculo 6 2 2 3" xfId="22479"/>
    <cellStyle name="Cálculo 6 2 3" xfId="22480"/>
    <cellStyle name="Cálculo 6 3" xfId="22481"/>
    <cellStyle name="Cálculo 6 3 2" xfId="22482"/>
    <cellStyle name="Cálculo 6 3 2 2" xfId="22483"/>
    <cellStyle name="Cálculo 6 3 3" xfId="22484"/>
    <cellStyle name="Cálculo 6 4" xfId="22485"/>
    <cellStyle name="Cálculo 7" xfId="22486"/>
    <cellStyle name="Cálculo 7 2" xfId="22487"/>
    <cellStyle name="Cálculo 7 2 2" xfId="22488"/>
    <cellStyle name="Cálculo 7 2 2 2" xfId="22489"/>
    <cellStyle name="Cálculo 7 2 2 2 2" xfId="22490"/>
    <cellStyle name="Cálculo 7 2 2 3" xfId="22491"/>
    <cellStyle name="Cálculo 7 2 3" xfId="22492"/>
    <cellStyle name="Cálculo 7 3" xfId="22493"/>
    <cellStyle name="Cálculo 7 3 2" xfId="22494"/>
    <cellStyle name="Cálculo 7 3 2 2" xfId="22495"/>
    <cellStyle name="Cálculo 7 3 3" xfId="22496"/>
    <cellStyle name="Cálculo 7 4" xfId="22497"/>
    <cellStyle name="Cálculo 7_BD RECARGA" xfId="22498"/>
    <cellStyle name="Cálculo 8" xfId="22499"/>
    <cellStyle name="Cálculo 8 2" xfId="22500"/>
    <cellStyle name="Cálculo 8 2 2" xfId="22501"/>
    <cellStyle name="Cálculo 8 2 2 2" xfId="22502"/>
    <cellStyle name="Cálculo 8 2 2 2 2" xfId="22503"/>
    <cellStyle name="Cálculo 8 2 2 3" xfId="22504"/>
    <cellStyle name="Cálculo 8 2 3" xfId="22505"/>
    <cellStyle name="Cálculo 8 3" xfId="22506"/>
    <cellStyle name="Cálculo 8 3 2" xfId="22507"/>
    <cellStyle name="Cálculo 8 3 2 2" xfId="22508"/>
    <cellStyle name="Cálculo 8 3 3" xfId="22509"/>
    <cellStyle name="Cálculo 8 4" xfId="22510"/>
    <cellStyle name="Cálculo 8_BD RECARGA" xfId="22511"/>
    <cellStyle name="Cálculo 9" xfId="22512"/>
    <cellStyle name="Cálculo 9 2" xfId="22513"/>
    <cellStyle name="Cálculo 9 2 2" xfId="22514"/>
    <cellStyle name="Cálculo 9 2 2 2" xfId="22515"/>
    <cellStyle name="Cálculo 9 2 3" xfId="22516"/>
    <cellStyle name="Cálculo 9 3" xfId="22517"/>
    <cellStyle name="Cancel" xfId="22518"/>
    <cellStyle name="category" xfId="12"/>
    <cellStyle name="category 2" xfId="22519"/>
    <cellStyle name="Celda de comprobación" xfId="22520"/>
    <cellStyle name="Celda vinculada" xfId="22521"/>
    <cellStyle name="Célula de Verificação 10" xfId="22522"/>
    <cellStyle name="Célula de Verificação 11" xfId="22523"/>
    <cellStyle name="Célula de Verificação 12" xfId="22524"/>
    <cellStyle name="Célula de Verificação 13" xfId="22525"/>
    <cellStyle name="Célula de Verificação 14" xfId="22526"/>
    <cellStyle name="Célula de Verificação 2" xfId="22527"/>
    <cellStyle name="Célula de Verificação 2 2" xfId="22528"/>
    <cellStyle name="Célula de Verificação 2 3" xfId="22529"/>
    <cellStyle name="Célula de Verificação 3" xfId="22530"/>
    <cellStyle name="Célula de Verificação 3 2" xfId="22531"/>
    <cellStyle name="Célula de Verificação 4" xfId="22532"/>
    <cellStyle name="Célula de Verificação 4 2" xfId="22533"/>
    <cellStyle name="Célula de Verificação 5" xfId="22534"/>
    <cellStyle name="Célula de Verificação 5 2" xfId="22535"/>
    <cellStyle name="Célula de Verificação 6" xfId="22536"/>
    <cellStyle name="Célula de Verificação 6 2" xfId="22537"/>
    <cellStyle name="Célula de Verificação 7" xfId="22538"/>
    <cellStyle name="Célula de Verificação 7 2" xfId="22539"/>
    <cellStyle name="Célula de Verificação 8" xfId="22540"/>
    <cellStyle name="Célula de Verificação 8 2" xfId="22541"/>
    <cellStyle name="Célula de Verificação 9" xfId="22542"/>
    <cellStyle name="Célula Vinculada 10" xfId="22543"/>
    <cellStyle name="Célula Vinculada 11" xfId="22544"/>
    <cellStyle name="Célula Vinculada 12" xfId="22545"/>
    <cellStyle name="Célula Vinculada 13" xfId="22546"/>
    <cellStyle name="Célula Vinculada 14" xfId="22547"/>
    <cellStyle name="Célula Vinculada 2" xfId="22548"/>
    <cellStyle name="Célula Vinculada 2 2" xfId="22549"/>
    <cellStyle name="Célula Vinculada 3" xfId="22550"/>
    <cellStyle name="Célula Vinculada 3 2" xfId="22551"/>
    <cellStyle name="Célula Vinculada 4" xfId="22552"/>
    <cellStyle name="Célula Vinculada 4 2" xfId="22553"/>
    <cellStyle name="Célula Vinculada 5" xfId="22554"/>
    <cellStyle name="Célula Vinculada 5 2" xfId="22555"/>
    <cellStyle name="Célula Vinculada 6" xfId="22556"/>
    <cellStyle name="Célula Vinculada 6 2" xfId="22557"/>
    <cellStyle name="Célula Vinculada 7" xfId="22558"/>
    <cellStyle name="Célula Vinculada 7 2" xfId="22559"/>
    <cellStyle name="Célula Vinculada 8" xfId="22560"/>
    <cellStyle name="Célula Vinculada 8 2" xfId="22561"/>
    <cellStyle name="Célula Vinculada 9" xfId="22562"/>
    <cellStyle name="Cents" xfId="22563"/>
    <cellStyle name="Cents (0.0)" xfId="22564"/>
    <cellStyle name="Check Cell" xfId="22565"/>
    <cellStyle name="Check Cell 2" xfId="22566"/>
    <cellStyle name="Check Cell 3" xfId="22567"/>
    <cellStyle name="Check Cell 4" xfId="22568"/>
    <cellStyle name="Check Cell 5" xfId="22569"/>
    <cellStyle name="Check Cell 6" xfId="22570"/>
    <cellStyle name="Check Cell 7" xfId="22571"/>
    <cellStyle name="Check Cell 8" xfId="22572"/>
    <cellStyle name="Check Cell 9" xfId="22573"/>
    <cellStyle name="Check Cell_BD RECARGA" xfId="22574"/>
    <cellStyle name="CIAIÆU¸μAⓒ" xfId="22575"/>
    <cellStyle name="ColHead" xfId="22576"/>
    <cellStyle name="collegato altro file" xfId="22577"/>
    <cellStyle name="Collegato altro foglio" xfId="22578"/>
    <cellStyle name="Column Headers" xfId="22579"/>
    <cellStyle name="ColumnHeading" xfId="22580"/>
    <cellStyle name="Comma  - Style1" xfId="22581"/>
    <cellStyle name="Comma  - Style2" xfId="22582"/>
    <cellStyle name="Comma  - Style3" xfId="22583"/>
    <cellStyle name="Comma  - Style4" xfId="22584"/>
    <cellStyle name="Comma  - Style5" xfId="22585"/>
    <cellStyle name="Comma  - Style6" xfId="22586"/>
    <cellStyle name="Comma  - Style7" xfId="22587"/>
    <cellStyle name="Comma  - Style8" xfId="22588"/>
    <cellStyle name="Comma [0]_ SG&amp;A Bridge " xfId="22589"/>
    <cellStyle name="Comma [2]" xfId="22590"/>
    <cellStyle name="Comma 0" xfId="22591"/>
    <cellStyle name="Comma 2" xfId="389"/>
    <cellStyle name="Comma 2 2" xfId="22592"/>
    <cellStyle name="Comma 2 3" xfId="22593"/>
    <cellStyle name="Comma 3" xfId="22594"/>
    <cellStyle name="comma zerodec" xfId="22595"/>
    <cellStyle name="Comma_ SG&amp;A Bridge " xfId="22596"/>
    <cellStyle name="Comma0" xfId="22597"/>
    <cellStyle name="Comma0 - Modelo1" xfId="13"/>
    <cellStyle name="Comma0 - Modelo1 2" xfId="22598"/>
    <cellStyle name="Comma0 - Modelo1 3" xfId="22599"/>
    <cellStyle name="Comma0 - Modelo1 4" xfId="22600"/>
    <cellStyle name="Comma0 - Modelo1 5" xfId="22601"/>
    <cellStyle name="Comma0 - Modelo1 6" xfId="22602"/>
    <cellStyle name="Comma0 - Modelo1 7" xfId="22603"/>
    <cellStyle name="Comma0 - Modelo1_BD RECARGA" xfId="22604"/>
    <cellStyle name="Comma0 - Style1" xfId="14"/>
    <cellStyle name="Comma0 - Style1 2" xfId="22605"/>
    <cellStyle name="Comma0 - Style1 3" xfId="22606"/>
    <cellStyle name="Comma0 - Style1 4" xfId="22607"/>
    <cellStyle name="Comma0 - Style1 5" xfId="22608"/>
    <cellStyle name="Comma0 - Style1 6" xfId="22609"/>
    <cellStyle name="Comma0 - Style1 7" xfId="22610"/>
    <cellStyle name="Comma0 - Style1_BD RECARGA" xfId="22611"/>
    <cellStyle name="Comma-1" xfId="22612"/>
    <cellStyle name="Comma1 - Modelo2" xfId="15"/>
    <cellStyle name="Comma1 - Modelo2 2" xfId="22613"/>
    <cellStyle name="Comma1 - Modelo2 3" xfId="22614"/>
    <cellStyle name="Comma1 - Modelo2 4" xfId="22615"/>
    <cellStyle name="Comma1 - Modelo2 5" xfId="22616"/>
    <cellStyle name="Comma1 - Modelo2 6" xfId="22617"/>
    <cellStyle name="Comma1 - Modelo2 7" xfId="22618"/>
    <cellStyle name="Comma1 - Modelo2_BD RECARGA" xfId="22619"/>
    <cellStyle name="Comma1 - Style2" xfId="16"/>
    <cellStyle name="Comma1 - Style2 2" xfId="22620"/>
    <cellStyle name="Comma1 - Style2 3" xfId="22621"/>
    <cellStyle name="Comma1 - Style2 4" xfId="22622"/>
    <cellStyle name="Comma1 - Style2 5" xfId="22623"/>
    <cellStyle name="Comma1 - Style2 6" xfId="22624"/>
    <cellStyle name="Comma1 - Style2 7" xfId="22625"/>
    <cellStyle name="Comma1 - Style2_BD RECARGA" xfId="22626"/>
    <cellStyle name="Comment" xfId="22627"/>
    <cellStyle name="Comment 2" xfId="22628"/>
    <cellStyle name="Comment 3" xfId="22629"/>
    <cellStyle name="COMUN" xfId="22630"/>
    <cellStyle name="Control" xfId="22631"/>
    <cellStyle name="ControlFormular" xfId="22632"/>
    <cellStyle name="Currency" xfId="22633"/>
    <cellStyle name="Currency (B)" xfId="17"/>
    <cellStyle name="Currency (B) 10" xfId="18"/>
    <cellStyle name="Currency (B) 11" xfId="19"/>
    <cellStyle name="Currency (B) 12" xfId="20"/>
    <cellStyle name="Currency (B) 13" xfId="21"/>
    <cellStyle name="Currency (B) 14" xfId="22"/>
    <cellStyle name="Currency (B) 15" xfId="23"/>
    <cellStyle name="Currency (B) 16" xfId="24"/>
    <cellStyle name="Currency (B) 17" xfId="25"/>
    <cellStyle name="Currency (B) 18" xfId="26"/>
    <cellStyle name="Currency (B) 19" xfId="27"/>
    <cellStyle name="Currency (B) 2" xfId="28"/>
    <cellStyle name="Currency (B) 20" xfId="29"/>
    <cellStyle name="Currency (B) 21" xfId="30"/>
    <cellStyle name="Currency (B) 22" xfId="31"/>
    <cellStyle name="Currency (B) 23" xfId="32"/>
    <cellStyle name="Currency (B) 24" xfId="33"/>
    <cellStyle name="Currency (B) 25" xfId="34"/>
    <cellStyle name="Currency (B) 26" xfId="35"/>
    <cellStyle name="Currency (B) 27" xfId="36"/>
    <cellStyle name="Currency (B) 28" xfId="37"/>
    <cellStyle name="Currency (B) 3" xfId="38"/>
    <cellStyle name="Currency (B) 4" xfId="39"/>
    <cellStyle name="Currency (B) 5" xfId="40"/>
    <cellStyle name="Currency (B) 6" xfId="41"/>
    <cellStyle name="Currency (B) 7" xfId="42"/>
    <cellStyle name="Currency (B) 8" xfId="43"/>
    <cellStyle name="Currency (B) 9" xfId="44"/>
    <cellStyle name="Currency [0]_ SG&amp;A Bridge " xfId="22634"/>
    <cellStyle name="Currency [0]Ölãroux_2_12~3SO2" xfId="45"/>
    <cellStyle name="Currency [2]" xfId="22635"/>
    <cellStyle name="Currency 0" xfId="22636"/>
    <cellStyle name="Currency 2" xfId="371"/>
    <cellStyle name="Currency 2 2" xfId="22637"/>
    <cellStyle name="Currency 3" xfId="22638"/>
    <cellStyle name="Currency_ SG&amp;A Bridge " xfId="22639"/>
    <cellStyle name="Currency0" xfId="22640"/>
    <cellStyle name="Currency1" xfId="22641"/>
    <cellStyle name="CustomStyle1" xfId="22642"/>
    <cellStyle name="CustomStyle10" xfId="22643"/>
    <cellStyle name="CustomStyle15" xfId="22644"/>
    <cellStyle name="Dash" xfId="22645"/>
    <cellStyle name="Data" xfId="46"/>
    <cellStyle name="Data 2" xfId="22646"/>
    <cellStyle name="Data 2 2" xfId="22647"/>
    <cellStyle name="Data 3" xfId="22648"/>
    <cellStyle name="Date" xfId="22649"/>
    <cellStyle name="Date Aligned" xfId="22650"/>
    <cellStyle name="Del" xfId="22651"/>
    <cellStyle name="Delta percentuale" xfId="22652"/>
    <cellStyle name="Description" xfId="47"/>
    <cellStyle name="Description 10" xfId="48"/>
    <cellStyle name="Description 11" xfId="49"/>
    <cellStyle name="Description 12" xfId="50"/>
    <cellStyle name="Description 13" xfId="51"/>
    <cellStyle name="Description 14" xfId="52"/>
    <cellStyle name="Description 15" xfId="53"/>
    <cellStyle name="Description 16" xfId="54"/>
    <cellStyle name="Description 17" xfId="55"/>
    <cellStyle name="Description 18" xfId="56"/>
    <cellStyle name="Description 19" xfId="57"/>
    <cellStyle name="Description 2" xfId="58"/>
    <cellStyle name="Description 20" xfId="59"/>
    <cellStyle name="Description 21" xfId="60"/>
    <cellStyle name="Description 22" xfId="61"/>
    <cellStyle name="Description 23" xfId="62"/>
    <cellStyle name="Description 24" xfId="63"/>
    <cellStyle name="Description 25" xfId="64"/>
    <cellStyle name="Description 26" xfId="65"/>
    <cellStyle name="Description 27" xfId="66"/>
    <cellStyle name="Description 28" xfId="67"/>
    <cellStyle name="Description 3" xfId="68"/>
    <cellStyle name="Description 4" xfId="69"/>
    <cellStyle name="Description 5" xfId="70"/>
    <cellStyle name="Description 6" xfId="71"/>
    <cellStyle name="Description 7" xfId="72"/>
    <cellStyle name="Description 8" xfId="73"/>
    <cellStyle name="Description 9" xfId="74"/>
    <cellStyle name="Dia" xfId="75"/>
    <cellStyle name="Dia 2" xfId="22653"/>
    <cellStyle name="Dia 3" xfId="22654"/>
    <cellStyle name="Dia 4" xfId="22655"/>
    <cellStyle name="Dia 5" xfId="22656"/>
    <cellStyle name="Dia 6" xfId="22657"/>
    <cellStyle name="Dia 7" xfId="22658"/>
    <cellStyle name="Dia_BD RECARGA" xfId="22659"/>
    <cellStyle name="Diseño" xfId="22660"/>
    <cellStyle name="divisao" xfId="22661"/>
    <cellStyle name="divisao 2" xfId="22662"/>
    <cellStyle name="DOH" xfId="76"/>
    <cellStyle name="Dollar (zero dec)" xfId="22663"/>
    <cellStyle name="Dotted Line" xfId="22664"/>
    <cellStyle name="Emphasis 1" xfId="22665"/>
    <cellStyle name="Emphasis 2" xfId="22666"/>
    <cellStyle name="Emphasis 3" xfId="22667"/>
    <cellStyle name="Encabez1" xfId="77"/>
    <cellStyle name="Encabez1 2" xfId="22668"/>
    <cellStyle name="Encabez1 3" xfId="22669"/>
    <cellStyle name="Encabez1 4" xfId="22670"/>
    <cellStyle name="Encabez1 5" xfId="22671"/>
    <cellStyle name="Encabez1 6" xfId="22672"/>
    <cellStyle name="Encabez1 7" xfId="22673"/>
    <cellStyle name="Encabez1_BD RECARGA" xfId="22674"/>
    <cellStyle name="Encabez2" xfId="78"/>
    <cellStyle name="Encabez2 2" xfId="22675"/>
    <cellStyle name="Encabez2 3" xfId="22676"/>
    <cellStyle name="Encabez2 4" xfId="22677"/>
    <cellStyle name="Encabez2 5" xfId="22678"/>
    <cellStyle name="Encabez2 6" xfId="22679"/>
    <cellStyle name="Encabez2 7" xfId="22680"/>
    <cellStyle name="Encabez2_BD RECARGA" xfId="22681"/>
    <cellStyle name="Encabezado 4" xfId="22682"/>
    <cellStyle name="Ênfase1 10" xfId="22683"/>
    <cellStyle name="Ênfase1 11" xfId="22684"/>
    <cellStyle name="Ênfase1 12" xfId="22685"/>
    <cellStyle name="Ênfase1 13" xfId="22686"/>
    <cellStyle name="Ênfase1 14" xfId="22687"/>
    <cellStyle name="Ênfase1 2" xfId="22688"/>
    <cellStyle name="Ênfase1 2 2" xfId="22689"/>
    <cellStyle name="Ênfase1 2 3" xfId="22690"/>
    <cellStyle name="Ênfase1 2 4" xfId="22691"/>
    <cellStyle name="Ênfase1 2 5" xfId="22692"/>
    <cellStyle name="Ênfase1 3" xfId="22693"/>
    <cellStyle name="Ênfase1 3 2" xfId="22694"/>
    <cellStyle name="Ênfase1 4" xfId="22695"/>
    <cellStyle name="Ênfase1 4 2" xfId="22696"/>
    <cellStyle name="Ênfase1 5" xfId="22697"/>
    <cellStyle name="Ênfase1 5 2" xfId="22698"/>
    <cellStyle name="Ênfase1 6" xfId="22699"/>
    <cellStyle name="Ênfase1 6 2" xfId="22700"/>
    <cellStyle name="Ênfase1 7" xfId="22701"/>
    <cellStyle name="Ênfase1 7 2" xfId="22702"/>
    <cellStyle name="Ênfase1 8" xfId="22703"/>
    <cellStyle name="Ênfase1 8 2" xfId="22704"/>
    <cellStyle name="Ênfase1 9" xfId="22705"/>
    <cellStyle name="Ênfase2 10" xfId="22706"/>
    <cellStyle name="Ênfase2 11" xfId="22707"/>
    <cellStyle name="Ênfase2 12" xfId="22708"/>
    <cellStyle name="Ênfase2 13" xfId="22709"/>
    <cellStyle name="Ênfase2 14" xfId="22710"/>
    <cellStyle name="Ênfase2 2" xfId="22711"/>
    <cellStyle name="Ênfase2 2 2" xfId="22712"/>
    <cellStyle name="Ênfase2 3" xfId="22713"/>
    <cellStyle name="Ênfase2 3 2" xfId="22714"/>
    <cellStyle name="Ênfase2 4" xfId="22715"/>
    <cellStyle name="Ênfase2 4 2" xfId="22716"/>
    <cellStyle name="Ênfase2 5" xfId="22717"/>
    <cellStyle name="Ênfase2 5 2" xfId="22718"/>
    <cellStyle name="Ênfase2 6" xfId="22719"/>
    <cellStyle name="Ênfase2 6 2" xfId="22720"/>
    <cellStyle name="Ênfase2 7" xfId="22721"/>
    <cellStyle name="Ênfase2 7 2" xfId="22722"/>
    <cellStyle name="Ênfase2 8" xfId="22723"/>
    <cellStyle name="Ênfase2 8 2" xfId="22724"/>
    <cellStyle name="Ênfase2 9" xfId="22725"/>
    <cellStyle name="Ênfase3 10" xfId="22726"/>
    <cellStyle name="Ênfase3 11" xfId="22727"/>
    <cellStyle name="Ênfase3 12" xfId="22728"/>
    <cellStyle name="Ênfase3 13" xfId="22729"/>
    <cellStyle name="Ênfase3 14" xfId="22730"/>
    <cellStyle name="Ênfase3 2" xfId="22731"/>
    <cellStyle name="Ênfase3 2 2" xfId="22732"/>
    <cellStyle name="Ênfase3 3" xfId="22733"/>
    <cellStyle name="Ênfase3 3 2" xfId="22734"/>
    <cellStyle name="Ênfase3 4" xfId="22735"/>
    <cellStyle name="Ênfase3 4 2" xfId="22736"/>
    <cellStyle name="Ênfase3 5" xfId="22737"/>
    <cellStyle name="Ênfase3 5 2" xfId="22738"/>
    <cellStyle name="Ênfase3 6" xfId="22739"/>
    <cellStyle name="Ênfase3 6 2" xfId="22740"/>
    <cellStyle name="Ênfase3 7" xfId="22741"/>
    <cellStyle name="Ênfase3 7 2" xfId="22742"/>
    <cellStyle name="Ênfase3 8" xfId="22743"/>
    <cellStyle name="Ênfase3 8 2" xfId="22744"/>
    <cellStyle name="Ênfase3 9" xfId="22745"/>
    <cellStyle name="Ênfase4 10" xfId="22746"/>
    <cellStyle name="Ênfase4 11" xfId="22747"/>
    <cellStyle name="Ênfase4 12" xfId="22748"/>
    <cellStyle name="Ênfase4 13" xfId="22749"/>
    <cellStyle name="Ênfase4 14" xfId="22750"/>
    <cellStyle name="Ênfase4 2" xfId="22751"/>
    <cellStyle name="Ênfase4 2 2" xfId="22752"/>
    <cellStyle name="Ênfase4 2 3" xfId="22753"/>
    <cellStyle name="Ênfase4 3" xfId="22754"/>
    <cellStyle name="Ênfase4 3 2" xfId="22755"/>
    <cellStyle name="Ênfase4 4" xfId="22756"/>
    <cellStyle name="Ênfase4 4 2" xfId="22757"/>
    <cellStyle name="Ênfase4 5" xfId="22758"/>
    <cellStyle name="Ênfase4 5 2" xfId="22759"/>
    <cellStyle name="Ênfase4 6" xfId="22760"/>
    <cellStyle name="Ênfase4 6 2" xfId="22761"/>
    <cellStyle name="Ênfase4 7" xfId="22762"/>
    <cellStyle name="Ênfase4 7 2" xfId="22763"/>
    <cellStyle name="Ênfase4 8" xfId="22764"/>
    <cellStyle name="Ênfase4 8 2" xfId="22765"/>
    <cellStyle name="Ênfase4 9" xfId="22766"/>
    <cellStyle name="Ênfase5 10" xfId="22767"/>
    <cellStyle name="Ênfase5 11" xfId="22768"/>
    <cellStyle name="Ênfase5 12" xfId="22769"/>
    <cellStyle name="Ênfase5 13" xfId="22770"/>
    <cellStyle name="Ênfase5 14" xfId="22771"/>
    <cellStyle name="Ênfase5 2" xfId="22772"/>
    <cellStyle name="Ênfase5 2 2" xfId="22773"/>
    <cellStyle name="Ênfase5 2 3" xfId="22774"/>
    <cellStyle name="Ênfase5 3" xfId="22775"/>
    <cellStyle name="Ênfase5 3 2" xfId="22776"/>
    <cellStyle name="Ênfase5 4" xfId="22777"/>
    <cellStyle name="Ênfase5 4 2" xfId="22778"/>
    <cellStyle name="Ênfase5 5" xfId="22779"/>
    <cellStyle name="Ênfase5 5 2" xfId="22780"/>
    <cellStyle name="Ênfase5 6" xfId="22781"/>
    <cellStyle name="Ênfase5 6 2" xfId="22782"/>
    <cellStyle name="Ênfase5 7" xfId="22783"/>
    <cellStyle name="Ênfase5 7 2" xfId="22784"/>
    <cellStyle name="Ênfase5 8" xfId="22785"/>
    <cellStyle name="Ênfase5 8 2" xfId="22786"/>
    <cellStyle name="Ênfase5 9" xfId="22787"/>
    <cellStyle name="Ênfase6 10" xfId="22788"/>
    <cellStyle name="Ênfase6 11" xfId="22789"/>
    <cellStyle name="Ênfase6 12" xfId="22790"/>
    <cellStyle name="Ênfase6 13" xfId="22791"/>
    <cellStyle name="Ênfase6 14" xfId="22792"/>
    <cellStyle name="Ênfase6 2" xfId="22793"/>
    <cellStyle name="Ênfase6 2 2" xfId="22794"/>
    <cellStyle name="Ênfase6 2 3" xfId="22795"/>
    <cellStyle name="Ênfase6 3" xfId="22796"/>
    <cellStyle name="Ênfase6 3 2" xfId="22797"/>
    <cellStyle name="Ênfase6 4" xfId="22798"/>
    <cellStyle name="Ênfase6 4 2" xfId="22799"/>
    <cellStyle name="Ênfase6 5" xfId="22800"/>
    <cellStyle name="Ênfase6 5 2" xfId="22801"/>
    <cellStyle name="Ênfase6 6" xfId="22802"/>
    <cellStyle name="Ênfase6 6 2" xfId="22803"/>
    <cellStyle name="Ênfase6 7" xfId="22804"/>
    <cellStyle name="Ênfase6 7 2" xfId="22805"/>
    <cellStyle name="Ênfase6 8" xfId="22806"/>
    <cellStyle name="Ênfase6 8 2" xfId="22807"/>
    <cellStyle name="Ênfase6 9" xfId="22808"/>
    <cellStyle name="Énfasis1" xfId="22809"/>
    <cellStyle name="Énfasis2" xfId="22810"/>
    <cellStyle name="Énfasis3" xfId="22811"/>
    <cellStyle name="Énfasis4" xfId="22812"/>
    <cellStyle name="Énfasis5" xfId="22813"/>
    <cellStyle name="Énfasis6" xfId="22814"/>
    <cellStyle name="Entrada 10" xfId="22815"/>
    <cellStyle name="Entrada 10 2" xfId="22816"/>
    <cellStyle name="Entrada 10 2 2" xfId="22817"/>
    <cellStyle name="Entrada 10 2 2 2" xfId="22818"/>
    <cellStyle name="Entrada 10 2 3" xfId="22819"/>
    <cellStyle name="Entrada 10 3" xfId="22820"/>
    <cellStyle name="Entrada 11" xfId="22821"/>
    <cellStyle name="Entrada 11 2" xfId="22822"/>
    <cellStyle name="Entrada 11 2 2" xfId="22823"/>
    <cellStyle name="Entrada 11 2 2 2" xfId="22824"/>
    <cellStyle name="Entrada 11 2 3" xfId="22825"/>
    <cellStyle name="Entrada 11 3" xfId="22826"/>
    <cellStyle name="Entrada 12" xfId="22827"/>
    <cellStyle name="Entrada 12 2" xfId="22828"/>
    <cellStyle name="Entrada 12 2 2" xfId="22829"/>
    <cellStyle name="Entrada 12 2 2 2" xfId="22830"/>
    <cellStyle name="Entrada 12 2 3" xfId="22831"/>
    <cellStyle name="Entrada 12 3" xfId="22832"/>
    <cellStyle name="Entrada 13" xfId="22833"/>
    <cellStyle name="Entrada 13 2" xfId="22834"/>
    <cellStyle name="Entrada 13 2 2" xfId="22835"/>
    <cellStyle name="Entrada 13 2 2 2" xfId="22836"/>
    <cellStyle name="Entrada 13 2 3" xfId="22837"/>
    <cellStyle name="Entrada 13 3" xfId="22838"/>
    <cellStyle name="Entrada 14" xfId="22839"/>
    <cellStyle name="Entrada 14 2" xfId="22840"/>
    <cellStyle name="Entrada 14 2 2" xfId="22841"/>
    <cellStyle name="Entrada 14 2 2 2" xfId="22842"/>
    <cellStyle name="Entrada 14 2 3" xfId="22843"/>
    <cellStyle name="Entrada 14 3" xfId="22844"/>
    <cellStyle name="Entrada 2" xfId="22845"/>
    <cellStyle name="Entrada 2 10" xfId="22846"/>
    <cellStyle name="Entrada 2 10 2" xfId="22847"/>
    <cellStyle name="Entrada 2 10 2 2" xfId="22848"/>
    <cellStyle name="Entrada 2 10 3" xfId="22849"/>
    <cellStyle name="Entrada 2 10 3 2" xfId="22850"/>
    <cellStyle name="Entrada 2 10 4" xfId="22851"/>
    <cellStyle name="Entrada 2 11" xfId="22852"/>
    <cellStyle name="Entrada 2 11 2" xfId="22853"/>
    <cellStyle name="Entrada 2 11 2 2" xfId="22854"/>
    <cellStyle name="Entrada 2 11 3" xfId="22855"/>
    <cellStyle name="Entrada 2 11 3 2" xfId="22856"/>
    <cellStyle name="Entrada 2 11 4" xfId="22857"/>
    <cellStyle name="Entrada 2 12" xfId="22858"/>
    <cellStyle name="Entrada 2 12 2" xfId="22859"/>
    <cellStyle name="Entrada 2 12 2 2" xfId="22860"/>
    <cellStyle name="Entrada 2 12 3" xfId="22861"/>
    <cellStyle name="Entrada 2 12 3 2" xfId="22862"/>
    <cellStyle name="Entrada 2 12 4" xfId="22863"/>
    <cellStyle name="Entrada 2 13" xfId="22864"/>
    <cellStyle name="Entrada 2 13 2" xfId="22865"/>
    <cellStyle name="Entrada 2 13 2 2" xfId="22866"/>
    <cellStyle name="Entrada 2 13 3" xfId="22867"/>
    <cellStyle name="Entrada 2 13 3 2" xfId="22868"/>
    <cellStyle name="Entrada 2 13 4" xfId="22869"/>
    <cellStyle name="Entrada 2 14" xfId="22870"/>
    <cellStyle name="Entrada 2 14 2" xfId="22871"/>
    <cellStyle name="Entrada 2 14 2 2" xfId="22872"/>
    <cellStyle name="Entrada 2 14 3" xfId="22873"/>
    <cellStyle name="Entrada 2 14 3 2" xfId="22874"/>
    <cellStyle name="Entrada 2 14 4" xfId="22875"/>
    <cellStyle name="Entrada 2 15" xfId="22876"/>
    <cellStyle name="Entrada 2 15 2" xfId="22877"/>
    <cellStyle name="Entrada 2 15 2 2" xfId="22878"/>
    <cellStyle name="Entrada 2 15 3" xfId="22879"/>
    <cellStyle name="Entrada 2 15 3 2" xfId="22880"/>
    <cellStyle name="Entrada 2 15 4" xfId="22881"/>
    <cellStyle name="Entrada 2 16" xfId="22882"/>
    <cellStyle name="Entrada 2 16 2" xfId="22883"/>
    <cellStyle name="Entrada 2 16 2 2" xfId="22884"/>
    <cellStyle name="Entrada 2 16 3" xfId="22885"/>
    <cellStyle name="Entrada 2 16 3 2" xfId="22886"/>
    <cellStyle name="Entrada 2 16 4" xfId="22887"/>
    <cellStyle name="Entrada 2 17" xfId="22888"/>
    <cellStyle name="Entrada 2 17 2" xfId="22889"/>
    <cellStyle name="Entrada 2 17 2 2" xfId="22890"/>
    <cellStyle name="Entrada 2 17 3" xfId="22891"/>
    <cellStyle name="Entrada 2 17 3 2" xfId="22892"/>
    <cellStyle name="Entrada 2 17 4" xfId="22893"/>
    <cellStyle name="Entrada 2 18" xfId="22894"/>
    <cellStyle name="Entrada 2 18 2" xfId="22895"/>
    <cellStyle name="Entrada 2 18 2 2" xfId="22896"/>
    <cellStyle name="Entrada 2 18 3" xfId="22897"/>
    <cellStyle name="Entrada 2 18 3 2" xfId="22898"/>
    <cellStyle name="Entrada 2 18 4" xfId="22899"/>
    <cellStyle name="Entrada 2 19" xfId="22900"/>
    <cellStyle name="Entrada 2 19 2" xfId="22901"/>
    <cellStyle name="Entrada 2 19 2 2" xfId="22902"/>
    <cellStyle name="Entrada 2 19 3" xfId="22903"/>
    <cellStyle name="Entrada 2 19 3 2" xfId="22904"/>
    <cellStyle name="Entrada 2 19 4" xfId="22905"/>
    <cellStyle name="Entrada 2 2" xfId="22906"/>
    <cellStyle name="Entrada 2 2 10" xfId="22907"/>
    <cellStyle name="Entrada 2 2 10 2" xfId="22908"/>
    <cellStyle name="Entrada 2 2 10 2 2" xfId="22909"/>
    <cellStyle name="Entrada 2 2 10 3" xfId="22910"/>
    <cellStyle name="Entrada 2 2 10 3 2" xfId="22911"/>
    <cellStyle name="Entrada 2 2 10 4" xfId="22912"/>
    <cellStyle name="Entrada 2 2 11" xfId="22913"/>
    <cellStyle name="Entrada 2 2 11 2" xfId="22914"/>
    <cellStyle name="Entrada 2 2 11 2 2" xfId="22915"/>
    <cellStyle name="Entrada 2 2 11 3" xfId="22916"/>
    <cellStyle name="Entrada 2 2 11 3 2" xfId="22917"/>
    <cellStyle name="Entrada 2 2 11 4" xfId="22918"/>
    <cellStyle name="Entrada 2 2 12" xfId="22919"/>
    <cellStyle name="Entrada 2 2 12 2" xfId="22920"/>
    <cellStyle name="Entrada 2 2 12 2 2" xfId="22921"/>
    <cellStyle name="Entrada 2 2 12 3" xfId="22922"/>
    <cellStyle name="Entrada 2 2 12 3 2" xfId="22923"/>
    <cellStyle name="Entrada 2 2 12 4" xfId="22924"/>
    <cellStyle name="Entrada 2 2 13" xfId="22925"/>
    <cellStyle name="Entrada 2 2 13 2" xfId="22926"/>
    <cellStyle name="Entrada 2 2 13 2 2" xfId="22927"/>
    <cellStyle name="Entrada 2 2 13 3" xfId="22928"/>
    <cellStyle name="Entrada 2 2 13 3 2" xfId="22929"/>
    <cellStyle name="Entrada 2 2 13 4" xfId="22930"/>
    <cellStyle name="Entrada 2 2 14" xfId="22931"/>
    <cellStyle name="Entrada 2 2 14 2" xfId="22932"/>
    <cellStyle name="Entrada 2 2 14 2 2" xfId="22933"/>
    <cellStyle name="Entrada 2 2 14 3" xfId="22934"/>
    <cellStyle name="Entrada 2 2 14 3 2" xfId="22935"/>
    <cellStyle name="Entrada 2 2 14 4" xfId="22936"/>
    <cellStyle name="Entrada 2 2 15" xfId="22937"/>
    <cellStyle name="Entrada 2 2 15 2" xfId="22938"/>
    <cellStyle name="Entrada 2 2 15 2 2" xfId="22939"/>
    <cellStyle name="Entrada 2 2 15 3" xfId="22940"/>
    <cellStyle name="Entrada 2 2 15 3 2" xfId="22941"/>
    <cellStyle name="Entrada 2 2 15 4" xfId="22942"/>
    <cellStyle name="Entrada 2 2 16" xfId="22943"/>
    <cellStyle name="Entrada 2 2 16 2" xfId="22944"/>
    <cellStyle name="Entrada 2 2 16 2 2" xfId="22945"/>
    <cellStyle name="Entrada 2 2 16 3" xfId="22946"/>
    <cellStyle name="Entrada 2 2 16 3 2" xfId="22947"/>
    <cellStyle name="Entrada 2 2 16 4" xfId="22948"/>
    <cellStyle name="Entrada 2 2 17" xfId="22949"/>
    <cellStyle name="Entrada 2 2 17 2" xfId="22950"/>
    <cellStyle name="Entrada 2 2 17 2 2" xfId="22951"/>
    <cellStyle name="Entrada 2 2 17 3" xfId="22952"/>
    <cellStyle name="Entrada 2 2 17 3 2" xfId="22953"/>
    <cellStyle name="Entrada 2 2 17 4" xfId="22954"/>
    <cellStyle name="Entrada 2 2 18" xfId="22955"/>
    <cellStyle name="Entrada 2 2 18 2" xfId="22956"/>
    <cellStyle name="Entrada 2 2 18 2 2" xfId="22957"/>
    <cellStyle name="Entrada 2 2 18 3" xfId="22958"/>
    <cellStyle name="Entrada 2 2 18 3 2" xfId="22959"/>
    <cellStyle name="Entrada 2 2 18 4" xfId="22960"/>
    <cellStyle name="Entrada 2 2 19" xfId="22961"/>
    <cellStyle name="Entrada 2 2 19 2" xfId="22962"/>
    <cellStyle name="Entrada 2 2 19 2 2" xfId="22963"/>
    <cellStyle name="Entrada 2 2 19 3" xfId="22964"/>
    <cellStyle name="Entrada 2 2 19 3 2" xfId="22965"/>
    <cellStyle name="Entrada 2 2 19 4" xfId="22966"/>
    <cellStyle name="Entrada 2 2 2" xfId="22967"/>
    <cellStyle name="Entrada 2 2 2 10" xfId="22968"/>
    <cellStyle name="Entrada 2 2 2 10 2" xfId="22969"/>
    <cellStyle name="Entrada 2 2 2 10 2 2" xfId="22970"/>
    <cellStyle name="Entrada 2 2 2 10 3" xfId="22971"/>
    <cellStyle name="Entrada 2 2 2 10 3 2" xfId="22972"/>
    <cellStyle name="Entrada 2 2 2 10 4" xfId="22973"/>
    <cellStyle name="Entrada 2 2 2 11" xfId="22974"/>
    <cellStyle name="Entrada 2 2 2 11 2" xfId="22975"/>
    <cellStyle name="Entrada 2 2 2 11 2 2" xfId="22976"/>
    <cellStyle name="Entrada 2 2 2 11 3" xfId="22977"/>
    <cellStyle name="Entrada 2 2 2 11 3 2" xfId="22978"/>
    <cellStyle name="Entrada 2 2 2 11 4" xfId="22979"/>
    <cellStyle name="Entrada 2 2 2 12" xfId="22980"/>
    <cellStyle name="Entrada 2 2 2 12 2" xfId="22981"/>
    <cellStyle name="Entrada 2 2 2 12 2 2" xfId="22982"/>
    <cellStyle name="Entrada 2 2 2 12 3" xfId="22983"/>
    <cellStyle name="Entrada 2 2 2 12 3 2" xfId="22984"/>
    <cellStyle name="Entrada 2 2 2 12 4" xfId="22985"/>
    <cellStyle name="Entrada 2 2 2 13" xfId="22986"/>
    <cellStyle name="Entrada 2 2 2 13 2" xfId="22987"/>
    <cellStyle name="Entrada 2 2 2 13 2 2" xfId="22988"/>
    <cellStyle name="Entrada 2 2 2 13 3" xfId="22989"/>
    <cellStyle name="Entrada 2 2 2 13 3 2" xfId="22990"/>
    <cellStyle name="Entrada 2 2 2 13 4" xfId="22991"/>
    <cellStyle name="Entrada 2 2 2 14" xfId="22992"/>
    <cellStyle name="Entrada 2 2 2 14 2" xfId="22993"/>
    <cellStyle name="Entrada 2 2 2 14 2 2" xfId="22994"/>
    <cellStyle name="Entrada 2 2 2 14 3" xfId="22995"/>
    <cellStyle name="Entrada 2 2 2 14 3 2" xfId="22996"/>
    <cellStyle name="Entrada 2 2 2 14 4" xfId="22997"/>
    <cellStyle name="Entrada 2 2 2 15" xfId="22998"/>
    <cellStyle name="Entrada 2 2 2 15 2" xfId="22999"/>
    <cellStyle name="Entrada 2 2 2 15 2 2" xfId="23000"/>
    <cellStyle name="Entrada 2 2 2 15 3" xfId="23001"/>
    <cellStyle name="Entrada 2 2 2 15 3 2" xfId="23002"/>
    <cellStyle name="Entrada 2 2 2 15 4" xfId="23003"/>
    <cellStyle name="Entrada 2 2 2 16" xfId="23004"/>
    <cellStyle name="Entrada 2 2 2 16 2" xfId="23005"/>
    <cellStyle name="Entrada 2 2 2 16 2 2" xfId="23006"/>
    <cellStyle name="Entrada 2 2 2 16 3" xfId="23007"/>
    <cellStyle name="Entrada 2 2 2 16 3 2" xfId="23008"/>
    <cellStyle name="Entrada 2 2 2 16 4" xfId="23009"/>
    <cellStyle name="Entrada 2 2 2 17" xfId="23010"/>
    <cellStyle name="Entrada 2 2 2 17 2" xfId="23011"/>
    <cellStyle name="Entrada 2 2 2 17 2 2" xfId="23012"/>
    <cellStyle name="Entrada 2 2 2 17 3" xfId="23013"/>
    <cellStyle name="Entrada 2 2 2 17 3 2" xfId="23014"/>
    <cellStyle name="Entrada 2 2 2 17 4" xfId="23015"/>
    <cellStyle name="Entrada 2 2 2 18" xfId="23016"/>
    <cellStyle name="Entrada 2 2 2 18 2" xfId="23017"/>
    <cellStyle name="Entrada 2 2 2 18 2 2" xfId="23018"/>
    <cellStyle name="Entrada 2 2 2 18 3" xfId="23019"/>
    <cellStyle name="Entrada 2 2 2 18 3 2" xfId="23020"/>
    <cellStyle name="Entrada 2 2 2 18 4" xfId="23021"/>
    <cellStyle name="Entrada 2 2 2 19" xfId="23022"/>
    <cellStyle name="Entrada 2 2 2 19 2" xfId="23023"/>
    <cellStyle name="Entrada 2 2 2 19 2 2" xfId="23024"/>
    <cellStyle name="Entrada 2 2 2 19 3" xfId="23025"/>
    <cellStyle name="Entrada 2 2 2 19 3 2" xfId="23026"/>
    <cellStyle name="Entrada 2 2 2 19 4" xfId="23027"/>
    <cellStyle name="Entrada 2 2 2 2" xfId="23028"/>
    <cellStyle name="Entrada 2 2 2 2 2" xfId="23029"/>
    <cellStyle name="Entrada 2 2 2 2 2 2" xfId="23030"/>
    <cellStyle name="Entrada 2 2 2 2 3" xfId="23031"/>
    <cellStyle name="Entrada 2 2 2 2 3 2" xfId="23032"/>
    <cellStyle name="Entrada 2 2 2 2 4" xfId="23033"/>
    <cellStyle name="Entrada 2 2 2 20" xfId="23034"/>
    <cellStyle name="Entrada 2 2 2 20 2" xfId="23035"/>
    <cellStyle name="Entrada 2 2 2 20 2 2" xfId="23036"/>
    <cellStyle name="Entrada 2 2 2 20 3" xfId="23037"/>
    <cellStyle name="Entrada 2 2 2 20 3 2" xfId="23038"/>
    <cellStyle name="Entrada 2 2 2 20 4" xfId="23039"/>
    <cellStyle name="Entrada 2 2 2 21" xfId="23040"/>
    <cellStyle name="Entrada 2 2 2 21 2" xfId="23041"/>
    <cellStyle name="Entrada 2 2 2 21 2 2" xfId="23042"/>
    <cellStyle name="Entrada 2 2 2 21 3" xfId="23043"/>
    <cellStyle name="Entrada 2 2 2 21 3 2" xfId="23044"/>
    <cellStyle name="Entrada 2 2 2 21 4" xfId="23045"/>
    <cellStyle name="Entrada 2 2 2 22" xfId="23046"/>
    <cellStyle name="Entrada 2 2 2 22 2" xfId="23047"/>
    <cellStyle name="Entrada 2 2 2 22 2 2" xfId="23048"/>
    <cellStyle name="Entrada 2 2 2 22 3" xfId="23049"/>
    <cellStyle name="Entrada 2 2 2 22 3 2" xfId="23050"/>
    <cellStyle name="Entrada 2 2 2 22 4" xfId="23051"/>
    <cellStyle name="Entrada 2 2 2 23" xfId="23052"/>
    <cellStyle name="Entrada 2 2 2 23 2" xfId="23053"/>
    <cellStyle name="Entrada 2 2 2 23 2 2" xfId="23054"/>
    <cellStyle name="Entrada 2 2 2 23 3" xfId="23055"/>
    <cellStyle name="Entrada 2 2 2 23 3 2" xfId="23056"/>
    <cellStyle name="Entrada 2 2 2 23 4" xfId="23057"/>
    <cellStyle name="Entrada 2 2 2 24" xfId="23058"/>
    <cellStyle name="Entrada 2 2 2 24 2" xfId="23059"/>
    <cellStyle name="Entrada 2 2 2 24 2 2" xfId="23060"/>
    <cellStyle name="Entrada 2 2 2 24 3" xfId="23061"/>
    <cellStyle name="Entrada 2 2 2 24 3 2" xfId="23062"/>
    <cellStyle name="Entrada 2 2 2 24 4" xfId="23063"/>
    <cellStyle name="Entrada 2 2 2 25" xfId="23064"/>
    <cellStyle name="Entrada 2 2 2 25 2" xfId="23065"/>
    <cellStyle name="Entrada 2 2 2 25 2 2" xfId="23066"/>
    <cellStyle name="Entrada 2 2 2 25 3" xfId="23067"/>
    <cellStyle name="Entrada 2 2 2 25 3 2" xfId="23068"/>
    <cellStyle name="Entrada 2 2 2 25 4" xfId="23069"/>
    <cellStyle name="Entrada 2 2 2 26" xfId="23070"/>
    <cellStyle name="Entrada 2 2 2 26 2" xfId="23071"/>
    <cellStyle name="Entrada 2 2 2 26 2 2" xfId="23072"/>
    <cellStyle name="Entrada 2 2 2 26 3" xfId="23073"/>
    <cellStyle name="Entrada 2 2 2 26 3 2" xfId="23074"/>
    <cellStyle name="Entrada 2 2 2 26 4" xfId="23075"/>
    <cellStyle name="Entrada 2 2 2 27" xfId="23076"/>
    <cellStyle name="Entrada 2 2 2 27 2" xfId="23077"/>
    <cellStyle name="Entrada 2 2 2 27 2 2" xfId="23078"/>
    <cellStyle name="Entrada 2 2 2 27 3" xfId="23079"/>
    <cellStyle name="Entrada 2 2 2 27 3 2" xfId="23080"/>
    <cellStyle name="Entrada 2 2 2 27 4" xfId="23081"/>
    <cellStyle name="Entrada 2 2 2 28" xfId="23082"/>
    <cellStyle name="Entrada 2 2 2 28 2" xfId="23083"/>
    <cellStyle name="Entrada 2 2 2 28 2 2" xfId="23084"/>
    <cellStyle name="Entrada 2 2 2 28 3" xfId="23085"/>
    <cellStyle name="Entrada 2 2 2 28 3 2" xfId="23086"/>
    <cellStyle name="Entrada 2 2 2 28 4" xfId="23087"/>
    <cellStyle name="Entrada 2 2 2 29" xfId="23088"/>
    <cellStyle name="Entrada 2 2 2 29 2" xfId="23089"/>
    <cellStyle name="Entrada 2 2 2 29 2 2" xfId="23090"/>
    <cellStyle name="Entrada 2 2 2 29 3" xfId="23091"/>
    <cellStyle name="Entrada 2 2 2 29 3 2" xfId="23092"/>
    <cellStyle name="Entrada 2 2 2 29 4" xfId="23093"/>
    <cellStyle name="Entrada 2 2 2 3" xfId="23094"/>
    <cellStyle name="Entrada 2 2 2 3 2" xfId="23095"/>
    <cellStyle name="Entrada 2 2 2 3 2 2" xfId="23096"/>
    <cellStyle name="Entrada 2 2 2 3 3" xfId="23097"/>
    <cellStyle name="Entrada 2 2 2 3 3 2" xfId="23098"/>
    <cellStyle name="Entrada 2 2 2 3 4" xfId="23099"/>
    <cellStyle name="Entrada 2 2 2 30" xfId="23100"/>
    <cellStyle name="Entrada 2 2 2 30 2" xfId="23101"/>
    <cellStyle name="Entrada 2 2 2 30 2 2" xfId="23102"/>
    <cellStyle name="Entrada 2 2 2 30 3" xfId="23103"/>
    <cellStyle name="Entrada 2 2 2 30 3 2" xfId="23104"/>
    <cellStyle name="Entrada 2 2 2 30 4" xfId="23105"/>
    <cellStyle name="Entrada 2 2 2 31" xfId="23106"/>
    <cellStyle name="Entrada 2 2 2 31 2" xfId="23107"/>
    <cellStyle name="Entrada 2 2 2 31 2 2" xfId="23108"/>
    <cellStyle name="Entrada 2 2 2 31 3" xfId="23109"/>
    <cellStyle name="Entrada 2 2 2 31 3 2" xfId="23110"/>
    <cellStyle name="Entrada 2 2 2 31 4" xfId="23111"/>
    <cellStyle name="Entrada 2 2 2 32" xfId="23112"/>
    <cellStyle name="Entrada 2 2 2 32 2" xfId="23113"/>
    <cellStyle name="Entrada 2 2 2 32 2 2" xfId="23114"/>
    <cellStyle name="Entrada 2 2 2 32 3" xfId="23115"/>
    <cellStyle name="Entrada 2 2 2 32 3 2" xfId="23116"/>
    <cellStyle name="Entrada 2 2 2 32 4" xfId="23117"/>
    <cellStyle name="Entrada 2 2 2 33" xfId="23118"/>
    <cellStyle name="Entrada 2 2 2 33 2" xfId="23119"/>
    <cellStyle name="Entrada 2 2 2 33 2 2" xfId="23120"/>
    <cellStyle name="Entrada 2 2 2 33 3" xfId="23121"/>
    <cellStyle name="Entrada 2 2 2 33 3 2" xfId="23122"/>
    <cellStyle name="Entrada 2 2 2 33 4" xfId="23123"/>
    <cellStyle name="Entrada 2 2 2 34" xfId="23124"/>
    <cellStyle name="Entrada 2 2 2 34 2" xfId="23125"/>
    <cellStyle name="Entrada 2 2 2 34 2 2" xfId="23126"/>
    <cellStyle name="Entrada 2 2 2 34 3" xfId="23127"/>
    <cellStyle name="Entrada 2 2 2 34 3 2" xfId="23128"/>
    <cellStyle name="Entrada 2 2 2 34 4" xfId="23129"/>
    <cellStyle name="Entrada 2 2 2 35" xfId="23130"/>
    <cellStyle name="Entrada 2 2 2 35 2" xfId="23131"/>
    <cellStyle name="Entrada 2 2 2 35 2 2" xfId="23132"/>
    <cellStyle name="Entrada 2 2 2 35 3" xfId="23133"/>
    <cellStyle name="Entrada 2 2 2 35 3 2" xfId="23134"/>
    <cellStyle name="Entrada 2 2 2 35 4" xfId="23135"/>
    <cellStyle name="Entrada 2 2 2 36" xfId="23136"/>
    <cellStyle name="Entrada 2 2 2 36 2" xfId="23137"/>
    <cellStyle name="Entrada 2 2 2 36 2 2" xfId="23138"/>
    <cellStyle name="Entrada 2 2 2 36 3" xfId="23139"/>
    <cellStyle name="Entrada 2 2 2 36 3 2" xfId="23140"/>
    <cellStyle name="Entrada 2 2 2 36 4" xfId="23141"/>
    <cellStyle name="Entrada 2 2 2 37" xfId="23142"/>
    <cellStyle name="Entrada 2 2 2 37 2" xfId="23143"/>
    <cellStyle name="Entrada 2 2 2 37 2 2" xfId="23144"/>
    <cellStyle name="Entrada 2 2 2 37 3" xfId="23145"/>
    <cellStyle name="Entrada 2 2 2 37 3 2" xfId="23146"/>
    <cellStyle name="Entrada 2 2 2 37 4" xfId="23147"/>
    <cellStyle name="Entrada 2 2 2 38" xfId="23148"/>
    <cellStyle name="Entrada 2 2 2 38 2" xfId="23149"/>
    <cellStyle name="Entrada 2 2 2 38 2 2" xfId="23150"/>
    <cellStyle name="Entrada 2 2 2 38 3" xfId="23151"/>
    <cellStyle name="Entrada 2 2 2 38 3 2" xfId="23152"/>
    <cellStyle name="Entrada 2 2 2 38 4" xfId="23153"/>
    <cellStyle name="Entrada 2 2 2 39" xfId="23154"/>
    <cellStyle name="Entrada 2 2 2 39 2" xfId="23155"/>
    <cellStyle name="Entrada 2 2 2 39 2 2" xfId="23156"/>
    <cellStyle name="Entrada 2 2 2 39 3" xfId="23157"/>
    <cellStyle name="Entrada 2 2 2 4" xfId="23158"/>
    <cellStyle name="Entrada 2 2 2 4 2" xfId="23159"/>
    <cellStyle name="Entrada 2 2 2 4 2 2" xfId="23160"/>
    <cellStyle name="Entrada 2 2 2 4 3" xfId="23161"/>
    <cellStyle name="Entrada 2 2 2 4 3 2" xfId="23162"/>
    <cellStyle name="Entrada 2 2 2 4 4" xfId="23163"/>
    <cellStyle name="Entrada 2 2 2 40" xfId="23164"/>
    <cellStyle name="Entrada 2 2 2 40 2" xfId="23165"/>
    <cellStyle name="Entrada 2 2 2 41" xfId="23166"/>
    <cellStyle name="Entrada 2 2 2 41 2" xfId="23167"/>
    <cellStyle name="Entrada 2 2 2 42" xfId="23168"/>
    <cellStyle name="Entrada 2 2 2 42 2" xfId="23169"/>
    <cellStyle name="Entrada 2 2 2 43" xfId="23170"/>
    <cellStyle name="Entrada 2 2 2 5" xfId="23171"/>
    <cellStyle name="Entrada 2 2 2 5 2" xfId="23172"/>
    <cellStyle name="Entrada 2 2 2 5 2 2" xfId="23173"/>
    <cellStyle name="Entrada 2 2 2 5 3" xfId="23174"/>
    <cellStyle name="Entrada 2 2 2 5 3 2" xfId="23175"/>
    <cellStyle name="Entrada 2 2 2 5 4" xfId="23176"/>
    <cellStyle name="Entrada 2 2 2 6" xfId="23177"/>
    <cellStyle name="Entrada 2 2 2 6 2" xfId="23178"/>
    <cellStyle name="Entrada 2 2 2 6 2 2" xfId="23179"/>
    <cellStyle name="Entrada 2 2 2 6 3" xfId="23180"/>
    <cellStyle name="Entrada 2 2 2 6 3 2" xfId="23181"/>
    <cellStyle name="Entrada 2 2 2 6 4" xfId="23182"/>
    <cellStyle name="Entrada 2 2 2 7" xfId="23183"/>
    <cellStyle name="Entrada 2 2 2 7 2" xfId="23184"/>
    <cellStyle name="Entrada 2 2 2 7 2 2" xfId="23185"/>
    <cellStyle name="Entrada 2 2 2 7 3" xfId="23186"/>
    <cellStyle name="Entrada 2 2 2 7 3 2" xfId="23187"/>
    <cellStyle name="Entrada 2 2 2 7 4" xfId="23188"/>
    <cellStyle name="Entrada 2 2 2 8" xfId="23189"/>
    <cellStyle name="Entrada 2 2 2 8 2" xfId="23190"/>
    <cellStyle name="Entrada 2 2 2 8 2 2" xfId="23191"/>
    <cellStyle name="Entrada 2 2 2 8 3" xfId="23192"/>
    <cellStyle name="Entrada 2 2 2 8 3 2" xfId="23193"/>
    <cellStyle name="Entrada 2 2 2 8 4" xfId="23194"/>
    <cellStyle name="Entrada 2 2 2 9" xfId="23195"/>
    <cellStyle name="Entrada 2 2 2 9 2" xfId="23196"/>
    <cellStyle name="Entrada 2 2 2 9 2 2" xfId="23197"/>
    <cellStyle name="Entrada 2 2 2 9 3" xfId="23198"/>
    <cellStyle name="Entrada 2 2 2 9 3 2" xfId="23199"/>
    <cellStyle name="Entrada 2 2 2 9 4" xfId="23200"/>
    <cellStyle name="Entrada 2 2 20" xfId="23201"/>
    <cellStyle name="Entrada 2 2 20 2" xfId="23202"/>
    <cellStyle name="Entrada 2 2 20 2 2" xfId="23203"/>
    <cellStyle name="Entrada 2 2 20 3" xfId="23204"/>
    <cellStyle name="Entrada 2 2 20 3 2" xfId="23205"/>
    <cellStyle name="Entrada 2 2 20 4" xfId="23206"/>
    <cellStyle name="Entrada 2 2 21" xfId="23207"/>
    <cellStyle name="Entrada 2 2 21 2" xfId="23208"/>
    <cellStyle name="Entrada 2 2 21 2 2" xfId="23209"/>
    <cellStyle name="Entrada 2 2 21 3" xfId="23210"/>
    <cellStyle name="Entrada 2 2 21 3 2" xfId="23211"/>
    <cellStyle name="Entrada 2 2 21 4" xfId="23212"/>
    <cellStyle name="Entrada 2 2 22" xfId="23213"/>
    <cellStyle name="Entrada 2 2 22 2" xfId="23214"/>
    <cellStyle name="Entrada 2 2 22 2 2" xfId="23215"/>
    <cellStyle name="Entrada 2 2 22 3" xfId="23216"/>
    <cellStyle name="Entrada 2 2 22 3 2" xfId="23217"/>
    <cellStyle name="Entrada 2 2 22 4" xfId="23218"/>
    <cellStyle name="Entrada 2 2 23" xfId="23219"/>
    <cellStyle name="Entrada 2 2 23 2" xfId="23220"/>
    <cellStyle name="Entrada 2 2 23 2 2" xfId="23221"/>
    <cellStyle name="Entrada 2 2 23 3" xfId="23222"/>
    <cellStyle name="Entrada 2 2 23 3 2" xfId="23223"/>
    <cellStyle name="Entrada 2 2 23 4" xfId="23224"/>
    <cellStyle name="Entrada 2 2 24" xfId="23225"/>
    <cellStyle name="Entrada 2 2 24 2" xfId="23226"/>
    <cellStyle name="Entrada 2 2 24 2 2" xfId="23227"/>
    <cellStyle name="Entrada 2 2 24 3" xfId="23228"/>
    <cellStyle name="Entrada 2 2 24 3 2" xfId="23229"/>
    <cellStyle name="Entrada 2 2 24 4" xfId="23230"/>
    <cellStyle name="Entrada 2 2 25" xfId="23231"/>
    <cellStyle name="Entrada 2 2 25 2" xfId="23232"/>
    <cellStyle name="Entrada 2 2 25 2 2" xfId="23233"/>
    <cellStyle name="Entrada 2 2 25 3" xfId="23234"/>
    <cellStyle name="Entrada 2 2 25 3 2" xfId="23235"/>
    <cellStyle name="Entrada 2 2 25 4" xfId="23236"/>
    <cellStyle name="Entrada 2 2 26" xfId="23237"/>
    <cellStyle name="Entrada 2 2 26 2" xfId="23238"/>
    <cellStyle name="Entrada 2 2 26 2 2" xfId="23239"/>
    <cellStyle name="Entrada 2 2 26 3" xfId="23240"/>
    <cellStyle name="Entrada 2 2 26 3 2" xfId="23241"/>
    <cellStyle name="Entrada 2 2 26 4" xfId="23242"/>
    <cellStyle name="Entrada 2 2 27" xfId="23243"/>
    <cellStyle name="Entrada 2 2 27 2" xfId="23244"/>
    <cellStyle name="Entrada 2 2 27 2 2" xfId="23245"/>
    <cellStyle name="Entrada 2 2 27 3" xfId="23246"/>
    <cellStyle name="Entrada 2 2 27 3 2" xfId="23247"/>
    <cellStyle name="Entrada 2 2 27 4" xfId="23248"/>
    <cellStyle name="Entrada 2 2 28" xfId="23249"/>
    <cellStyle name="Entrada 2 2 28 2" xfId="23250"/>
    <cellStyle name="Entrada 2 2 28 2 2" xfId="23251"/>
    <cellStyle name="Entrada 2 2 28 3" xfId="23252"/>
    <cellStyle name="Entrada 2 2 28 3 2" xfId="23253"/>
    <cellStyle name="Entrada 2 2 28 4" xfId="23254"/>
    <cellStyle name="Entrada 2 2 29" xfId="23255"/>
    <cellStyle name="Entrada 2 2 29 2" xfId="23256"/>
    <cellStyle name="Entrada 2 2 29 2 2" xfId="23257"/>
    <cellStyle name="Entrada 2 2 29 3" xfId="23258"/>
    <cellStyle name="Entrada 2 2 29 3 2" xfId="23259"/>
    <cellStyle name="Entrada 2 2 29 4" xfId="23260"/>
    <cellStyle name="Entrada 2 2 3" xfId="23261"/>
    <cellStyle name="Entrada 2 2 3 10" xfId="23262"/>
    <cellStyle name="Entrada 2 2 3 10 2" xfId="23263"/>
    <cellStyle name="Entrada 2 2 3 10 2 2" xfId="23264"/>
    <cellStyle name="Entrada 2 2 3 10 3" xfId="23265"/>
    <cellStyle name="Entrada 2 2 3 10 3 2" xfId="23266"/>
    <cellStyle name="Entrada 2 2 3 10 4" xfId="23267"/>
    <cellStyle name="Entrada 2 2 3 11" xfId="23268"/>
    <cellStyle name="Entrada 2 2 3 11 2" xfId="23269"/>
    <cellStyle name="Entrada 2 2 3 11 2 2" xfId="23270"/>
    <cellStyle name="Entrada 2 2 3 11 3" xfId="23271"/>
    <cellStyle name="Entrada 2 2 3 11 3 2" xfId="23272"/>
    <cellStyle name="Entrada 2 2 3 11 4" xfId="23273"/>
    <cellStyle name="Entrada 2 2 3 12" xfId="23274"/>
    <cellStyle name="Entrada 2 2 3 12 2" xfId="23275"/>
    <cellStyle name="Entrada 2 2 3 12 2 2" xfId="23276"/>
    <cellStyle name="Entrada 2 2 3 12 3" xfId="23277"/>
    <cellStyle name="Entrada 2 2 3 12 3 2" xfId="23278"/>
    <cellStyle name="Entrada 2 2 3 12 4" xfId="23279"/>
    <cellStyle name="Entrada 2 2 3 13" xfId="23280"/>
    <cellStyle name="Entrada 2 2 3 13 2" xfId="23281"/>
    <cellStyle name="Entrada 2 2 3 13 2 2" xfId="23282"/>
    <cellStyle name="Entrada 2 2 3 13 3" xfId="23283"/>
    <cellStyle name="Entrada 2 2 3 13 3 2" xfId="23284"/>
    <cellStyle name="Entrada 2 2 3 13 4" xfId="23285"/>
    <cellStyle name="Entrada 2 2 3 14" xfId="23286"/>
    <cellStyle name="Entrada 2 2 3 14 2" xfId="23287"/>
    <cellStyle name="Entrada 2 2 3 14 2 2" xfId="23288"/>
    <cellStyle name="Entrada 2 2 3 14 3" xfId="23289"/>
    <cellStyle name="Entrada 2 2 3 14 3 2" xfId="23290"/>
    <cellStyle name="Entrada 2 2 3 14 4" xfId="23291"/>
    <cellStyle name="Entrada 2 2 3 15" xfId="23292"/>
    <cellStyle name="Entrada 2 2 3 15 2" xfId="23293"/>
    <cellStyle name="Entrada 2 2 3 15 2 2" xfId="23294"/>
    <cellStyle name="Entrada 2 2 3 15 3" xfId="23295"/>
    <cellStyle name="Entrada 2 2 3 15 3 2" xfId="23296"/>
    <cellStyle name="Entrada 2 2 3 15 4" xfId="23297"/>
    <cellStyle name="Entrada 2 2 3 16" xfId="23298"/>
    <cellStyle name="Entrada 2 2 3 16 2" xfId="23299"/>
    <cellStyle name="Entrada 2 2 3 16 2 2" xfId="23300"/>
    <cellStyle name="Entrada 2 2 3 16 3" xfId="23301"/>
    <cellStyle name="Entrada 2 2 3 16 3 2" xfId="23302"/>
    <cellStyle name="Entrada 2 2 3 16 4" xfId="23303"/>
    <cellStyle name="Entrada 2 2 3 17" xfId="23304"/>
    <cellStyle name="Entrada 2 2 3 17 2" xfId="23305"/>
    <cellStyle name="Entrada 2 2 3 17 2 2" xfId="23306"/>
    <cellStyle name="Entrada 2 2 3 17 3" xfId="23307"/>
    <cellStyle name="Entrada 2 2 3 17 3 2" xfId="23308"/>
    <cellStyle name="Entrada 2 2 3 17 4" xfId="23309"/>
    <cellStyle name="Entrada 2 2 3 18" xfId="23310"/>
    <cellStyle name="Entrada 2 2 3 18 2" xfId="23311"/>
    <cellStyle name="Entrada 2 2 3 18 2 2" xfId="23312"/>
    <cellStyle name="Entrada 2 2 3 18 3" xfId="23313"/>
    <cellStyle name="Entrada 2 2 3 18 3 2" xfId="23314"/>
    <cellStyle name="Entrada 2 2 3 18 4" xfId="23315"/>
    <cellStyle name="Entrada 2 2 3 19" xfId="23316"/>
    <cellStyle name="Entrada 2 2 3 19 2" xfId="23317"/>
    <cellStyle name="Entrada 2 2 3 19 2 2" xfId="23318"/>
    <cellStyle name="Entrada 2 2 3 19 3" xfId="23319"/>
    <cellStyle name="Entrada 2 2 3 19 3 2" xfId="23320"/>
    <cellStyle name="Entrada 2 2 3 19 4" xfId="23321"/>
    <cellStyle name="Entrada 2 2 3 2" xfId="23322"/>
    <cellStyle name="Entrada 2 2 3 2 2" xfId="23323"/>
    <cellStyle name="Entrada 2 2 3 2 2 2" xfId="23324"/>
    <cellStyle name="Entrada 2 2 3 2 3" xfId="23325"/>
    <cellStyle name="Entrada 2 2 3 2 3 2" xfId="23326"/>
    <cellStyle name="Entrada 2 2 3 2 4" xfId="23327"/>
    <cellStyle name="Entrada 2 2 3 20" xfId="23328"/>
    <cellStyle name="Entrada 2 2 3 20 2" xfId="23329"/>
    <cellStyle name="Entrada 2 2 3 20 2 2" xfId="23330"/>
    <cellStyle name="Entrada 2 2 3 20 3" xfId="23331"/>
    <cellStyle name="Entrada 2 2 3 20 3 2" xfId="23332"/>
    <cellStyle name="Entrada 2 2 3 20 4" xfId="23333"/>
    <cellStyle name="Entrada 2 2 3 21" xfId="23334"/>
    <cellStyle name="Entrada 2 2 3 21 2" xfId="23335"/>
    <cellStyle name="Entrada 2 2 3 21 2 2" xfId="23336"/>
    <cellStyle name="Entrada 2 2 3 21 3" xfId="23337"/>
    <cellStyle name="Entrada 2 2 3 21 3 2" xfId="23338"/>
    <cellStyle name="Entrada 2 2 3 21 4" xfId="23339"/>
    <cellStyle name="Entrada 2 2 3 22" xfId="23340"/>
    <cellStyle name="Entrada 2 2 3 22 2" xfId="23341"/>
    <cellStyle name="Entrada 2 2 3 22 2 2" xfId="23342"/>
    <cellStyle name="Entrada 2 2 3 22 3" xfId="23343"/>
    <cellStyle name="Entrada 2 2 3 22 3 2" xfId="23344"/>
    <cellStyle name="Entrada 2 2 3 22 4" xfId="23345"/>
    <cellStyle name="Entrada 2 2 3 23" xfId="23346"/>
    <cellStyle name="Entrada 2 2 3 23 2" xfId="23347"/>
    <cellStyle name="Entrada 2 2 3 23 2 2" xfId="23348"/>
    <cellStyle name="Entrada 2 2 3 23 3" xfId="23349"/>
    <cellStyle name="Entrada 2 2 3 23 3 2" xfId="23350"/>
    <cellStyle name="Entrada 2 2 3 23 4" xfId="23351"/>
    <cellStyle name="Entrada 2 2 3 24" xfId="23352"/>
    <cellStyle name="Entrada 2 2 3 24 2" xfId="23353"/>
    <cellStyle name="Entrada 2 2 3 24 2 2" xfId="23354"/>
    <cellStyle name="Entrada 2 2 3 24 3" xfId="23355"/>
    <cellStyle name="Entrada 2 2 3 24 3 2" xfId="23356"/>
    <cellStyle name="Entrada 2 2 3 24 4" xfId="23357"/>
    <cellStyle name="Entrada 2 2 3 25" xfId="23358"/>
    <cellStyle name="Entrada 2 2 3 25 2" xfId="23359"/>
    <cellStyle name="Entrada 2 2 3 25 2 2" xfId="23360"/>
    <cellStyle name="Entrada 2 2 3 25 3" xfId="23361"/>
    <cellStyle name="Entrada 2 2 3 25 3 2" xfId="23362"/>
    <cellStyle name="Entrada 2 2 3 25 4" xfId="23363"/>
    <cellStyle name="Entrada 2 2 3 26" xfId="23364"/>
    <cellStyle name="Entrada 2 2 3 26 2" xfId="23365"/>
    <cellStyle name="Entrada 2 2 3 26 2 2" xfId="23366"/>
    <cellStyle name="Entrada 2 2 3 26 3" xfId="23367"/>
    <cellStyle name="Entrada 2 2 3 26 3 2" xfId="23368"/>
    <cellStyle name="Entrada 2 2 3 26 4" xfId="23369"/>
    <cellStyle name="Entrada 2 2 3 27" xfId="23370"/>
    <cellStyle name="Entrada 2 2 3 27 2" xfId="23371"/>
    <cellStyle name="Entrada 2 2 3 27 2 2" xfId="23372"/>
    <cellStyle name="Entrada 2 2 3 27 3" xfId="23373"/>
    <cellStyle name="Entrada 2 2 3 27 3 2" xfId="23374"/>
    <cellStyle name="Entrada 2 2 3 27 4" xfId="23375"/>
    <cellStyle name="Entrada 2 2 3 28" xfId="23376"/>
    <cellStyle name="Entrada 2 2 3 28 2" xfId="23377"/>
    <cellStyle name="Entrada 2 2 3 28 2 2" xfId="23378"/>
    <cellStyle name="Entrada 2 2 3 28 3" xfId="23379"/>
    <cellStyle name="Entrada 2 2 3 28 3 2" xfId="23380"/>
    <cellStyle name="Entrada 2 2 3 28 4" xfId="23381"/>
    <cellStyle name="Entrada 2 2 3 29" xfId="23382"/>
    <cellStyle name="Entrada 2 2 3 29 2" xfId="23383"/>
    <cellStyle name="Entrada 2 2 3 29 2 2" xfId="23384"/>
    <cellStyle name="Entrada 2 2 3 29 3" xfId="23385"/>
    <cellStyle name="Entrada 2 2 3 29 3 2" xfId="23386"/>
    <cellStyle name="Entrada 2 2 3 29 4" xfId="23387"/>
    <cellStyle name="Entrada 2 2 3 3" xfId="23388"/>
    <cellStyle name="Entrada 2 2 3 3 2" xfId="23389"/>
    <cellStyle name="Entrada 2 2 3 3 2 2" xfId="23390"/>
    <cellStyle name="Entrada 2 2 3 3 3" xfId="23391"/>
    <cellStyle name="Entrada 2 2 3 3 3 2" xfId="23392"/>
    <cellStyle name="Entrada 2 2 3 3 4" xfId="23393"/>
    <cellStyle name="Entrada 2 2 3 30" xfId="23394"/>
    <cellStyle name="Entrada 2 2 3 30 2" xfId="23395"/>
    <cellStyle name="Entrada 2 2 3 30 2 2" xfId="23396"/>
    <cellStyle name="Entrada 2 2 3 30 3" xfId="23397"/>
    <cellStyle name="Entrada 2 2 3 30 3 2" xfId="23398"/>
    <cellStyle name="Entrada 2 2 3 30 4" xfId="23399"/>
    <cellStyle name="Entrada 2 2 3 31" xfId="23400"/>
    <cellStyle name="Entrada 2 2 3 31 2" xfId="23401"/>
    <cellStyle name="Entrada 2 2 3 31 2 2" xfId="23402"/>
    <cellStyle name="Entrada 2 2 3 31 3" xfId="23403"/>
    <cellStyle name="Entrada 2 2 3 31 3 2" xfId="23404"/>
    <cellStyle name="Entrada 2 2 3 31 4" xfId="23405"/>
    <cellStyle name="Entrada 2 2 3 32" xfId="23406"/>
    <cellStyle name="Entrada 2 2 3 32 2" xfId="23407"/>
    <cellStyle name="Entrada 2 2 3 32 2 2" xfId="23408"/>
    <cellStyle name="Entrada 2 2 3 32 3" xfId="23409"/>
    <cellStyle name="Entrada 2 2 3 32 3 2" xfId="23410"/>
    <cellStyle name="Entrada 2 2 3 32 4" xfId="23411"/>
    <cellStyle name="Entrada 2 2 3 33" xfId="23412"/>
    <cellStyle name="Entrada 2 2 3 33 2" xfId="23413"/>
    <cellStyle name="Entrada 2 2 3 33 2 2" xfId="23414"/>
    <cellStyle name="Entrada 2 2 3 33 3" xfId="23415"/>
    <cellStyle name="Entrada 2 2 3 33 3 2" xfId="23416"/>
    <cellStyle name="Entrada 2 2 3 33 4" xfId="23417"/>
    <cellStyle name="Entrada 2 2 3 34" xfId="23418"/>
    <cellStyle name="Entrada 2 2 3 34 2" xfId="23419"/>
    <cellStyle name="Entrada 2 2 3 34 2 2" xfId="23420"/>
    <cellStyle name="Entrada 2 2 3 34 3" xfId="23421"/>
    <cellStyle name="Entrada 2 2 3 34 3 2" xfId="23422"/>
    <cellStyle name="Entrada 2 2 3 34 4" xfId="23423"/>
    <cellStyle name="Entrada 2 2 3 35" xfId="23424"/>
    <cellStyle name="Entrada 2 2 3 35 2" xfId="23425"/>
    <cellStyle name="Entrada 2 2 3 35 2 2" xfId="23426"/>
    <cellStyle name="Entrada 2 2 3 35 3" xfId="23427"/>
    <cellStyle name="Entrada 2 2 3 35 3 2" xfId="23428"/>
    <cellStyle name="Entrada 2 2 3 35 4" xfId="23429"/>
    <cellStyle name="Entrada 2 2 3 36" xfId="23430"/>
    <cellStyle name="Entrada 2 2 3 36 2" xfId="23431"/>
    <cellStyle name="Entrada 2 2 3 36 2 2" xfId="23432"/>
    <cellStyle name="Entrada 2 2 3 36 3" xfId="23433"/>
    <cellStyle name="Entrada 2 2 3 36 3 2" xfId="23434"/>
    <cellStyle name="Entrada 2 2 3 36 4" xfId="23435"/>
    <cellStyle name="Entrada 2 2 3 37" xfId="23436"/>
    <cellStyle name="Entrada 2 2 3 37 2" xfId="23437"/>
    <cellStyle name="Entrada 2 2 3 37 2 2" xfId="23438"/>
    <cellStyle name="Entrada 2 2 3 37 3" xfId="23439"/>
    <cellStyle name="Entrada 2 2 3 37 3 2" xfId="23440"/>
    <cellStyle name="Entrada 2 2 3 37 4" xfId="23441"/>
    <cellStyle name="Entrada 2 2 3 38" xfId="23442"/>
    <cellStyle name="Entrada 2 2 3 38 2" xfId="23443"/>
    <cellStyle name="Entrada 2 2 3 38 2 2" xfId="23444"/>
    <cellStyle name="Entrada 2 2 3 38 3" xfId="23445"/>
    <cellStyle name="Entrada 2 2 3 38 3 2" xfId="23446"/>
    <cellStyle name="Entrada 2 2 3 38 4" xfId="23447"/>
    <cellStyle name="Entrada 2 2 3 39" xfId="23448"/>
    <cellStyle name="Entrada 2 2 3 39 2" xfId="23449"/>
    <cellStyle name="Entrada 2 2 3 39 2 2" xfId="23450"/>
    <cellStyle name="Entrada 2 2 3 39 3" xfId="23451"/>
    <cellStyle name="Entrada 2 2 3 39 3 2" xfId="23452"/>
    <cellStyle name="Entrada 2 2 3 39 4" xfId="23453"/>
    <cellStyle name="Entrada 2 2 3 4" xfId="23454"/>
    <cellStyle name="Entrada 2 2 3 4 2" xfId="23455"/>
    <cellStyle name="Entrada 2 2 3 4 2 2" xfId="23456"/>
    <cellStyle name="Entrada 2 2 3 4 3" xfId="23457"/>
    <cellStyle name="Entrada 2 2 3 4 3 2" xfId="23458"/>
    <cellStyle name="Entrada 2 2 3 4 4" xfId="23459"/>
    <cellStyle name="Entrada 2 2 3 40" xfId="23460"/>
    <cellStyle name="Entrada 2 2 3 40 2" xfId="23461"/>
    <cellStyle name="Entrada 2 2 3 40 2 2" xfId="23462"/>
    <cellStyle name="Entrada 2 2 3 40 3" xfId="23463"/>
    <cellStyle name="Entrada 2 2 3 41" xfId="23464"/>
    <cellStyle name="Entrada 2 2 3 41 2" xfId="23465"/>
    <cellStyle name="Entrada 2 2 3 42" xfId="23466"/>
    <cellStyle name="Entrada 2 2 3 42 2" xfId="23467"/>
    <cellStyle name="Entrada 2 2 3 43" xfId="23468"/>
    <cellStyle name="Entrada 2 2 3 5" xfId="23469"/>
    <cellStyle name="Entrada 2 2 3 5 2" xfId="23470"/>
    <cellStyle name="Entrada 2 2 3 5 2 2" xfId="23471"/>
    <cellStyle name="Entrada 2 2 3 5 3" xfId="23472"/>
    <cellStyle name="Entrada 2 2 3 5 3 2" xfId="23473"/>
    <cellStyle name="Entrada 2 2 3 5 4" xfId="23474"/>
    <cellStyle name="Entrada 2 2 3 6" xfId="23475"/>
    <cellStyle name="Entrada 2 2 3 6 2" xfId="23476"/>
    <cellStyle name="Entrada 2 2 3 6 2 2" xfId="23477"/>
    <cellStyle name="Entrada 2 2 3 6 3" xfId="23478"/>
    <cellStyle name="Entrada 2 2 3 6 3 2" xfId="23479"/>
    <cellStyle name="Entrada 2 2 3 6 4" xfId="23480"/>
    <cellStyle name="Entrada 2 2 3 7" xfId="23481"/>
    <cellStyle name="Entrada 2 2 3 7 2" xfId="23482"/>
    <cellStyle name="Entrada 2 2 3 7 2 2" xfId="23483"/>
    <cellStyle name="Entrada 2 2 3 7 3" xfId="23484"/>
    <cellStyle name="Entrada 2 2 3 7 3 2" xfId="23485"/>
    <cellStyle name="Entrada 2 2 3 7 4" xfId="23486"/>
    <cellStyle name="Entrada 2 2 3 8" xfId="23487"/>
    <cellStyle name="Entrada 2 2 3 8 2" xfId="23488"/>
    <cellStyle name="Entrada 2 2 3 8 2 2" xfId="23489"/>
    <cellStyle name="Entrada 2 2 3 8 3" xfId="23490"/>
    <cellStyle name="Entrada 2 2 3 8 3 2" xfId="23491"/>
    <cellStyle name="Entrada 2 2 3 8 4" xfId="23492"/>
    <cellStyle name="Entrada 2 2 3 9" xfId="23493"/>
    <cellStyle name="Entrada 2 2 3 9 2" xfId="23494"/>
    <cellStyle name="Entrada 2 2 3 9 2 2" xfId="23495"/>
    <cellStyle name="Entrada 2 2 3 9 3" xfId="23496"/>
    <cellStyle name="Entrada 2 2 3 9 3 2" xfId="23497"/>
    <cellStyle name="Entrada 2 2 3 9 4" xfId="23498"/>
    <cellStyle name="Entrada 2 2 30" xfId="23499"/>
    <cellStyle name="Entrada 2 2 30 2" xfId="23500"/>
    <cellStyle name="Entrada 2 2 30 2 2" xfId="23501"/>
    <cellStyle name="Entrada 2 2 30 3" xfId="23502"/>
    <cellStyle name="Entrada 2 2 30 3 2" xfId="23503"/>
    <cellStyle name="Entrada 2 2 30 4" xfId="23504"/>
    <cellStyle name="Entrada 2 2 31" xfId="23505"/>
    <cellStyle name="Entrada 2 2 31 2" xfId="23506"/>
    <cellStyle name="Entrada 2 2 31 2 2" xfId="23507"/>
    <cellStyle name="Entrada 2 2 31 3" xfId="23508"/>
    <cellStyle name="Entrada 2 2 31 3 2" xfId="23509"/>
    <cellStyle name="Entrada 2 2 31 4" xfId="23510"/>
    <cellStyle name="Entrada 2 2 32" xfId="23511"/>
    <cellStyle name="Entrada 2 2 32 2" xfId="23512"/>
    <cellStyle name="Entrada 2 2 32 2 2" xfId="23513"/>
    <cellStyle name="Entrada 2 2 32 3" xfId="23514"/>
    <cellStyle name="Entrada 2 2 32 3 2" xfId="23515"/>
    <cellStyle name="Entrada 2 2 32 4" xfId="23516"/>
    <cellStyle name="Entrada 2 2 33" xfId="23517"/>
    <cellStyle name="Entrada 2 2 33 2" xfId="23518"/>
    <cellStyle name="Entrada 2 2 33 2 2" xfId="23519"/>
    <cellStyle name="Entrada 2 2 33 3" xfId="23520"/>
    <cellStyle name="Entrada 2 2 33 3 2" xfId="23521"/>
    <cellStyle name="Entrada 2 2 33 4" xfId="23522"/>
    <cellStyle name="Entrada 2 2 34" xfId="23523"/>
    <cellStyle name="Entrada 2 2 34 2" xfId="23524"/>
    <cellStyle name="Entrada 2 2 34 2 2" xfId="23525"/>
    <cellStyle name="Entrada 2 2 34 3" xfId="23526"/>
    <cellStyle name="Entrada 2 2 35" xfId="23527"/>
    <cellStyle name="Entrada 2 2 35 2" xfId="23528"/>
    <cellStyle name="Entrada 2 2 36" xfId="23529"/>
    <cellStyle name="Entrada 2 2 4" xfId="23530"/>
    <cellStyle name="Entrada 2 2 4 10" xfId="23531"/>
    <cellStyle name="Entrada 2 2 4 10 2" xfId="23532"/>
    <cellStyle name="Entrada 2 2 4 10 2 2" xfId="23533"/>
    <cellStyle name="Entrada 2 2 4 10 3" xfId="23534"/>
    <cellStyle name="Entrada 2 2 4 10 3 2" xfId="23535"/>
    <cellStyle name="Entrada 2 2 4 10 4" xfId="23536"/>
    <cellStyle name="Entrada 2 2 4 11" xfId="23537"/>
    <cellStyle name="Entrada 2 2 4 11 2" xfId="23538"/>
    <cellStyle name="Entrada 2 2 4 11 2 2" xfId="23539"/>
    <cellStyle name="Entrada 2 2 4 11 3" xfId="23540"/>
    <cellStyle name="Entrada 2 2 4 11 3 2" xfId="23541"/>
    <cellStyle name="Entrada 2 2 4 11 4" xfId="23542"/>
    <cellStyle name="Entrada 2 2 4 12" xfId="23543"/>
    <cellStyle name="Entrada 2 2 4 12 2" xfId="23544"/>
    <cellStyle name="Entrada 2 2 4 12 2 2" xfId="23545"/>
    <cellStyle name="Entrada 2 2 4 12 3" xfId="23546"/>
    <cellStyle name="Entrada 2 2 4 12 3 2" xfId="23547"/>
    <cellStyle name="Entrada 2 2 4 12 4" xfId="23548"/>
    <cellStyle name="Entrada 2 2 4 13" xfId="23549"/>
    <cellStyle name="Entrada 2 2 4 13 2" xfId="23550"/>
    <cellStyle name="Entrada 2 2 4 13 2 2" xfId="23551"/>
    <cellStyle name="Entrada 2 2 4 13 3" xfId="23552"/>
    <cellStyle name="Entrada 2 2 4 13 3 2" xfId="23553"/>
    <cellStyle name="Entrada 2 2 4 13 4" xfId="23554"/>
    <cellStyle name="Entrada 2 2 4 14" xfId="23555"/>
    <cellStyle name="Entrada 2 2 4 14 2" xfId="23556"/>
    <cellStyle name="Entrada 2 2 4 14 2 2" xfId="23557"/>
    <cellStyle name="Entrada 2 2 4 14 3" xfId="23558"/>
    <cellStyle name="Entrada 2 2 4 14 3 2" xfId="23559"/>
    <cellStyle name="Entrada 2 2 4 14 4" xfId="23560"/>
    <cellStyle name="Entrada 2 2 4 15" xfId="23561"/>
    <cellStyle name="Entrada 2 2 4 15 2" xfId="23562"/>
    <cellStyle name="Entrada 2 2 4 15 2 2" xfId="23563"/>
    <cellStyle name="Entrada 2 2 4 15 3" xfId="23564"/>
    <cellStyle name="Entrada 2 2 4 15 3 2" xfId="23565"/>
    <cellStyle name="Entrada 2 2 4 15 4" xfId="23566"/>
    <cellStyle name="Entrada 2 2 4 16" xfId="23567"/>
    <cellStyle name="Entrada 2 2 4 16 2" xfId="23568"/>
    <cellStyle name="Entrada 2 2 4 16 2 2" xfId="23569"/>
    <cellStyle name="Entrada 2 2 4 16 3" xfId="23570"/>
    <cellStyle name="Entrada 2 2 4 16 3 2" xfId="23571"/>
    <cellStyle name="Entrada 2 2 4 16 4" xfId="23572"/>
    <cellStyle name="Entrada 2 2 4 17" xfId="23573"/>
    <cellStyle name="Entrada 2 2 4 17 2" xfId="23574"/>
    <cellStyle name="Entrada 2 2 4 17 2 2" xfId="23575"/>
    <cellStyle name="Entrada 2 2 4 17 3" xfId="23576"/>
    <cellStyle name="Entrada 2 2 4 17 3 2" xfId="23577"/>
    <cellStyle name="Entrada 2 2 4 17 4" xfId="23578"/>
    <cellStyle name="Entrada 2 2 4 18" xfId="23579"/>
    <cellStyle name="Entrada 2 2 4 18 2" xfId="23580"/>
    <cellStyle name="Entrada 2 2 4 18 2 2" xfId="23581"/>
    <cellStyle name="Entrada 2 2 4 18 3" xfId="23582"/>
    <cellStyle name="Entrada 2 2 4 18 3 2" xfId="23583"/>
    <cellStyle name="Entrada 2 2 4 18 4" xfId="23584"/>
    <cellStyle name="Entrada 2 2 4 19" xfId="23585"/>
    <cellStyle name="Entrada 2 2 4 19 2" xfId="23586"/>
    <cellStyle name="Entrada 2 2 4 19 2 2" xfId="23587"/>
    <cellStyle name="Entrada 2 2 4 19 3" xfId="23588"/>
    <cellStyle name="Entrada 2 2 4 19 3 2" xfId="23589"/>
    <cellStyle name="Entrada 2 2 4 19 4" xfId="23590"/>
    <cellStyle name="Entrada 2 2 4 2" xfId="23591"/>
    <cellStyle name="Entrada 2 2 4 2 2" xfId="23592"/>
    <cellStyle name="Entrada 2 2 4 2 2 2" xfId="23593"/>
    <cellStyle name="Entrada 2 2 4 2 3" xfId="23594"/>
    <cellStyle name="Entrada 2 2 4 2 3 2" xfId="23595"/>
    <cellStyle name="Entrada 2 2 4 2 4" xfId="23596"/>
    <cellStyle name="Entrada 2 2 4 20" xfId="23597"/>
    <cellStyle name="Entrada 2 2 4 20 2" xfId="23598"/>
    <cellStyle name="Entrada 2 2 4 20 2 2" xfId="23599"/>
    <cellStyle name="Entrada 2 2 4 20 3" xfId="23600"/>
    <cellStyle name="Entrada 2 2 4 20 3 2" xfId="23601"/>
    <cellStyle name="Entrada 2 2 4 20 4" xfId="23602"/>
    <cellStyle name="Entrada 2 2 4 21" xfId="23603"/>
    <cellStyle name="Entrada 2 2 4 21 2" xfId="23604"/>
    <cellStyle name="Entrada 2 2 4 21 2 2" xfId="23605"/>
    <cellStyle name="Entrada 2 2 4 21 3" xfId="23606"/>
    <cellStyle name="Entrada 2 2 4 21 3 2" xfId="23607"/>
    <cellStyle name="Entrada 2 2 4 21 4" xfId="23608"/>
    <cellStyle name="Entrada 2 2 4 22" xfId="23609"/>
    <cellStyle name="Entrada 2 2 4 22 2" xfId="23610"/>
    <cellStyle name="Entrada 2 2 4 22 2 2" xfId="23611"/>
    <cellStyle name="Entrada 2 2 4 22 3" xfId="23612"/>
    <cellStyle name="Entrada 2 2 4 22 3 2" xfId="23613"/>
    <cellStyle name="Entrada 2 2 4 22 4" xfId="23614"/>
    <cellStyle name="Entrada 2 2 4 23" xfId="23615"/>
    <cellStyle name="Entrada 2 2 4 23 2" xfId="23616"/>
    <cellStyle name="Entrada 2 2 4 23 2 2" xfId="23617"/>
    <cellStyle name="Entrada 2 2 4 23 3" xfId="23618"/>
    <cellStyle name="Entrada 2 2 4 23 3 2" xfId="23619"/>
    <cellStyle name="Entrada 2 2 4 23 4" xfId="23620"/>
    <cellStyle name="Entrada 2 2 4 24" xfId="23621"/>
    <cellStyle name="Entrada 2 2 4 24 2" xfId="23622"/>
    <cellStyle name="Entrada 2 2 4 24 2 2" xfId="23623"/>
    <cellStyle name="Entrada 2 2 4 24 3" xfId="23624"/>
    <cellStyle name="Entrada 2 2 4 24 3 2" xfId="23625"/>
    <cellStyle name="Entrada 2 2 4 24 4" xfId="23626"/>
    <cellStyle name="Entrada 2 2 4 25" xfId="23627"/>
    <cellStyle name="Entrada 2 2 4 25 2" xfId="23628"/>
    <cellStyle name="Entrada 2 2 4 25 2 2" xfId="23629"/>
    <cellStyle name="Entrada 2 2 4 25 3" xfId="23630"/>
    <cellStyle name="Entrada 2 2 4 25 3 2" xfId="23631"/>
    <cellStyle name="Entrada 2 2 4 25 4" xfId="23632"/>
    <cellStyle name="Entrada 2 2 4 26" xfId="23633"/>
    <cellStyle name="Entrada 2 2 4 26 2" xfId="23634"/>
    <cellStyle name="Entrada 2 2 4 26 2 2" xfId="23635"/>
    <cellStyle name="Entrada 2 2 4 26 3" xfId="23636"/>
    <cellStyle name="Entrada 2 2 4 26 3 2" xfId="23637"/>
    <cellStyle name="Entrada 2 2 4 26 4" xfId="23638"/>
    <cellStyle name="Entrada 2 2 4 27" xfId="23639"/>
    <cellStyle name="Entrada 2 2 4 27 2" xfId="23640"/>
    <cellStyle name="Entrada 2 2 4 27 2 2" xfId="23641"/>
    <cellStyle name="Entrada 2 2 4 27 3" xfId="23642"/>
    <cellStyle name="Entrada 2 2 4 27 3 2" xfId="23643"/>
    <cellStyle name="Entrada 2 2 4 27 4" xfId="23644"/>
    <cellStyle name="Entrada 2 2 4 28" xfId="23645"/>
    <cellStyle name="Entrada 2 2 4 28 2" xfId="23646"/>
    <cellStyle name="Entrada 2 2 4 28 2 2" xfId="23647"/>
    <cellStyle name="Entrada 2 2 4 28 3" xfId="23648"/>
    <cellStyle name="Entrada 2 2 4 28 3 2" xfId="23649"/>
    <cellStyle name="Entrada 2 2 4 28 4" xfId="23650"/>
    <cellStyle name="Entrada 2 2 4 29" xfId="23651"/>
    <cellStyle name="Entrada 2 2 4 29 2" xfId="23652"/>
    <cellStyle name="Entrada 2 2 4 29 2 2" xfId="23653"/>
    <cellStyle name="Entrada 2 2 4 29 3" xfId="23654"/>
    <cellStyle name="Entrada 2 2 4 29 3 2" xfId="23655"/>
    <cellStyle name="Entrada 2 2 4 29 4" xfId="23656"/>
    <cellStyle name="Entrada 2 2 4 3" xfId="23657"/>
    <cellStyle name="Entrada 2 2 4 3 2" xfId="23658"/>
    <cellStyle name="Entrada 2 2 4 3 2 2" xfId="23659"/>
    <cellStyle name="Entrada 2 2 4 3 3" xfId="23660"/>
    <cellStyle name="Entrada 2 2 4 3 3 2" xfId="23661"/>
    <cellStyle name="Entrada 2 2 4 3 4" xfId="23662"/>
    <cellStyle name="Entrada 2 2 4 30" xfId="23663"/>
    <cellStyle name="Entrada 2 2 4 30 2" xfId="23664"/>
    <cellStyle name="Entrada 2 2 4 30 2 2" xfId="23665"/>
    <cellStyle name="Entrada 2 2 4 30 3" xfId="23666"/>
    <cellStyle name="Entrada 2 2 4 30 3 2" xfId="23667"/>
    <cellStyle name="Entrada 2 2 4 30 4" xfId="23668"/>
    <cellStyle name="Entrada 2 2 4 31" xfId="23669"/>
    <cellStyle name="Entrada 2 2 4 31 2" xfId="23670"/>
    <cellStyle name="Entrada 2 2 4 31 2 2" xfId="23671"/>
    <cellStyle name="Entrada 2 2 4 31 3" xfId="23672"/>
    <cellStyle name="Entrada 2 2 4 31 3 2" xfId="23673"/>
    <cellStyle name="Entrada 2 2 4 31 4" xfId="23674"/>
    <cellStyle name="Entrada 2 2 4 32" xfId="23675"/>
    <cellStyle name="Entrada 2 2 4 32 2" xfId="23676"/>
    <cellStyle name="Entrada 2 2 4 32 2 2" xfId="23677"/>
    <cellStyle name="Entrada 2 2 4 32 3" xfId="23678"/>
    <cellStyle name="Entrada 2 2 4 32 3 2" xfId="23679"/>
    <cellStyle name="Entrada 2 2 4 32 4" xfId="23680"/>
    <cellStyle name="Entrada 2 2 4 33" xfId="23681"/>
    <cellStyle name="Entrada 2 2 4 33 2" xfId="23682"/>
    <cellStyle name="Entrada 2 2 4 33 2 2" xfId="23683"/>
    <cellStyle name="Entrada 2 2 4 33 3" xfId="23684"/>
    <cellStyle name="Entrada 2 2 4 33 3 2" xfId="23685"/>
    <cellStyle name="Entrada 2 2 4 33 4" xfId="23686"/>
    <cellStyle name="Entrada 2 2 4 34" xfId="23687"/>
    <cellStyle name="Entrada 2 2 4 34 2" xfId="23688"/>
    <cellStyle name="Entrada 2 2 4 34 2 2" xfId="23689"/>
    <cellStyle name="Entrada 2 2 4 34 3" xfId="23690"/>
    <cellStyle name="Entrada 2 2 4 34 3 2" xfId="23691"/>
    <cellStyle name="Entrada 2 2 4 34 4" xfId="23692"/>
    <cellStyle name="Entrada 2 2 4 35" xfId="23693"/>
    <cellStyle name="Entrada 2 2 4 35 2" xfId="23694"/>
    <cellStyle name="Entrada 2 2 4 35 2 2" xfId="23695"/>
    <cellStyle name="Entrada 2 2 4 35 3" xfId="23696"/>
    <cellStyle name="Entrada 2 2 4 35 3 2" xfId="23697"/>
    <cellStyle name="Entrada 2 2 4 35 4" xfId="23698"/>
    <cellStyle name="Entrada 2 2 4 36" xfId="23699"/>
    <cellStyle name="Entrada 2 2 4 36 2" xfId="23700"/>
    <cellStyle name="Entrada 2 2 4 36 2 2" xfId="23701"/>
    <cellStyle name="Entrada 2 2 4 36 3" xfId="23702"/>
    <cellStyle name="Entrada 2 2 4 36 3 2" xfId="23703"/>
    <cellStyle name="Entrada 2 2 4 36 4" xfId="23704"/>
    <cellStyle name="Entrada 2 2 4 37" xfId="23705"/>
    <cellStyle name="Entrada 2 2 4 37 2" xfId="23706"/>
    <cellStyle name="Entrada 2 2 4 37 2 2" xfId="23707"/>
    <cellStyle name="Entrada 2 2 4 37 3" xfId="23708"/>
    <cellStyle name="Entrada 2 2 4 37 3 2" xfId="23709"/>
    <cellStyle name="Entrada 2 2 4 37 4" xfId="23710"/>
    <cellStyle name="Entrada 2 2 4 38" xfId="23711"/>
    <cellStyle name="Entrada 2 2 4 38 2" xfId="23712"/>
    <cellStyle name="Entrada 2 2 4 38 2 2" xfId="23713"/>
    <cellStyle name="Entrada 2 2 4 38 3" xfId="23714"/>
    <cellStyle name="Entrada 2 2 4 38 3 2" xfId="23715"/>
    <cellStyle name="Entrada 2 2 4 38 4" xfId="23716"/>
    <cellStyle name="Entrada 2 2 4 39" xfId="23717"/>
    <cellStyle name="Entrada 2 2 4 39 2" xfId="23718"/>
    <cellStyle name="Entrada 2 2 4 39 2 2" xfId="23719"/>
    <cellStyle name="Entrada 2 2 4 39 3" xfId="23720"/>
    <cellStyle name="Entrada 2 2 4 39 3 2" xfId="23721"/>
    <cellStyle name="Entrada 2 2 4 39 4" xfId="23722"/>
    <cellStyle name="Entrada 2 2 4 4" xfId="23723"/>
    <cellStyle name="Entrada 2 2 4 4 2" xfId="23724"/>
    <cellStyle name="Entrada 2 2 4 4 2 2" xfId="23725"/>
    <cellStyle name="Entrada 2 2 4 4 3" xfId="23726"/>
    <cellStyle name="Entrada 2 2 4 4 3 2" xfId="23727"/>
    <cellStyle name="Entrada 2 2 4 4 4" xfId="23728"/>
    <cellStyle name="Entrada 2 2 4 40" xfId="23729"/>
    <cellStyle name="Entrada 2 2 4 40 2" xfId="23730"/>
    <cellStyle name="Entrada 2 2 4 40 2 2" xfId="23731"/>
    <cellStyle name="Entrada 2 2 4 40 3" xfId="23732"/>
    <cellStyle name="Entrada 2 2 4 41" xfId="23733"/>
    <cellStyle name="Entrada 2 2 4 41 2" xfId="23734"/>
    <cellStyle name="Entrada 2 2 4 42" xfId="23735"/>
    <cellStyle name="Entrada 2 2 4 42 2" xfId="23736"/>
    <cellStyle name="Entrada 2 2 4 43" xfId="23737"/>
    <cellStyle name="Entrada 2 2 4 5" xfId="23738"/>
    <cellStyle name="Entrada 2 2 4 5 2" xfId="23739"/>
    <cellStyle name="Entrada 2 2 4 5 2 2" xfId="23740"/>
    <cellStyle name="Entrada 2 2 4 5 3" xfId="23741"/>
    <cellStyle name="Entrada 2 2 4 5 3 2" xfId="23742"/>
    <cellStyle name="Entrada 2 2 4 5 4" xfId="23743"/>
    <cellStyle name="Entrada 2 2 4 6" xfId="23744"/>
    <cellStyle name="Entrada 2 2 4 6 2" xfId="23745"/>
    <cellStyle name="Entrada 2 2 4 6 2 2" xfId="23746"/>
    <cellStyle name="Entrada 2 2 4 6 3" xfId="23747"/>
    <cellStyle name="Entrada 2 2 4 6 3 2" xfId="23748"/>
    <cellStyle name="Entrada 2 2 4 6 4" xfId="23749"/>
    <cellStyle name="Entrada 2 2 4 7" xfId="23750"/>
    <cellStyle name="Entrada 2 2 4 7 2" xfId="23751"/>
    <cellStyle name="Entrada 2 2 4 7 2 2" xfId="23752"/>
    <cellStyle name="Entrada 2 2 4 7 3" xfId="23753"/>
    <cellStyle name="Entrada 2 2 4 7 3 2" xfId="23754"/>
    <cellStyle name="Entrada 2 2 4 7 4" xfId="23755"/>
    <cellStyle name="Entrada 2 2 4 8" xfId="23756"/>
    <cellStyle name="Entrada 2 2 4 8 2" xfId="23757"/>
    <cellStyle name="Entrada 2 2 4 8 2 2" xfId="23758"/>
    <cellStyle name="Entrada 2 2 4 8 3" xfId="23759"/>
    <cellStyle name="Entrada 2 2 4 8 3 2" xfId="23760"/>
    <cellStyle name="Entrada 2 2 4 8 4" xfId="23761"/>
    <cellStyle name="Entrada 2 2 4 9" xfId="23762"/>
    <cellStyle name="Entrada 2 2 4 9 2" xfId="23763"/>
    <cellStyle name="Entrada 2 2 4 9 2 2" xfId="23764"/>
    <cellStyle name="Entrada 2 2 4 9 3" xfId="23765"/>
    <cellStyle name="Entrada 2 2 4 9 3 2" xfId="23766"/>
    <cellStyle name="Entrada 2 2 4 9 4" xfId="23767"/>
    <cellStyle name="Entrada 2 2 5" xfId="23768"/>
    <cellStyle name="Entrada 2 2 5 10" xfId="23769"/>
    <cellStyle name="Entrada 2 2 5 10 2" xfId="23770"/>
    <cellStyle name="Entrada 2 2 5 10 2 2" xfId="23771"/>
    <cellStyle name="Entrada 2 2 5 10 3" xfId="23772"/>
    <cellStyle name="Entrada 2 2 5 10 3 2" xfId="23773"/>
    <cellStyle name="Entrada 2 2 5 10 4" xfId="23774"/>
    <cellStyle name="Entrada 2 2 5 11" xfId="23775"/>
    <cellStyle name="Entrada 2 2 5 11 2" xfId="23776"/>
    <cellStyle name="Entrada 2 2 5 11 2 2" xfId="23777"/>
    <cellStyle name="Entrada 2 2 5 11 3" xfId="23778"/>
    <cellStyle name="Entrada 2 2 5 11 3 2" xfId="23779"/>
    <cellStyle name="Entrada 2 2 5 11 4" xfId="23780"/>
    <cellStyle name="Entrada 2 2 5 12" xfId="23781"/>
    <cellStyle name="Entrada 2 2 5 12 2" xfId="23782"/>
    <cellStyle name="Entrada 2 2 5 12 2 2" xfId="23783"/>
    <cellStyle name="Entrada 2 2 5 12 3" xfId="23784"/>
    <cellStyle name="Entrada 2 2 5 12 3 2" xfId="23785"/>
    <cellStyle name="Entrada 2 2 5 12 4" xfId="23786"/>
    <cellStyle name="Entrada 2 2 5 13" xfId="23787"/>
    <cellStyle name="Entrada 2 2 5 13 2" xfId="23788"/>
    <cellStyle name="Entrada 2 2 5 13 2 2" xfId="23789"/>
    <cellStyle name="Entrada 2 2 5 13 3" xfId="23790"/>
    <cellStyle name="Entrada 2 2 5 13 3 2" xfId="23791"/>
    <cellStyle name="Entrada 2 2 5 13 4" xfId="23792"/>
    <cellStyle name="Entrada 2 2 5 14" xfId="23793"/>
    <cellStyle name="Entrada 2 2 5 14 2" xfId="23794"/>
    <cellStyle name="Entrada 2 2 5 14 2 2" xfId="23795"/>
    <cellStyle name="Entrada 2 2 5 14 3" xfId="23796"/>
    <cellStyle name="Entrada 2 2 5 14 3 2" xfId="23797"/>
    <cellStyle name="Entrada 2 2 5 14 4" xfId="23798"/>
    <cellStyle name="Entrada 2 2 5 15" xfId="23799"/>
    <cellStyle name="Entrada 2 2 5 15 2" xfId="23800"/>
    <cellStyle name="Entrada 2 2 5 15 2 2" xfId="23801"/>
    <cellStyle name="Entrada 2 2 5 15 3" xfId="23802"/>
    <cellStyle name="Entrada 2 2 5 15 3 2" xfId="23803"/>
    <cellStyle name="Entrada 2 2 5 15 4" xfId="23804"/>
    <cellStyle name="Entrada 2 2 5 16" xfId="23805"/>
    <cellStyle name="Entrada 2 2 5 16 2" xfId="23806"/>
    <cellStyle name="Entrada 2 2 5 16 2 2" xfId="23807"/>
    <cellStyle name="Entrada 2 2 5 16 3" xfId="23808"/>
    <cellStyle name="Entrada 2 2 5 16 3 2" xfId="23809"/>
    <cellStyle name="Entrada 2 2 5 16 4" xfId="23810"/>
    <cellStyle name="Entrada 2 2 5 17" xfId="23811"/>
    <cellStyle name="Entrada 2 2 5 17 2" xfId="23812"/>
    <cellStyle name="Entrada 2 2 5 17 2 2" xfId="23813"/>
    <cellStyle name="Entrada 2 2 5 17 3" xfId="23814"/>
    <cellStyle name="Entrada 2 2 5 17 3 2" xfId="23815"/>
    <cellStyle name="Entrada 2 2 5 17 4" xfId="23816"/>
    <cellStyle name="Entrada 2 2 5 18" xfId="23817"/>
    <cellStyle name="Entrada 2 2 5 18 2" xfId="23818"/>
    <cellStyle name="Entrada 2 2 5 18 2 2" xfId="23819"/>
    <cellStyle name="Entrada 2 2 5 18 3" xfId="23820"/>
    <cellStyle name="Entrada 2 2 5 18 3 2" xfId="23821"/>
    <cellStyle name="Entrada 2 2 5 18 4" xfId="23822"/>
    <cellStyle name="Entrada 2 2 5 19" xfId="23823"/>
    <cellStyle name="Entrada 2 2 5 19 2" xfId="23824"/>
    <cellStyle name="Entrada 2 2 5 19 2 2" xfId="23825"/>
    <cellStyle name="Entrada 2 2 5 19 3" xfId="23826"/>
    <cellStyle name="Entrada 2 2 5 19 3 2" xfId="23827"/>
    <cellStyle name="Entrada 2 2 5 19 4" xfId="23828"/>
    <cellStyle name="Entrada 2 2 5 2" xfId="23829"/>
    <cellStyle name="Entrada 2 2 5 2 2" xfId="23830"/>
    <cellStyle name="Entrada 2 2 5 2 2 2" xfId="23831"/>
    <cellStyle name="Entrada 2 2 5 2 3" xfId="23832"/>
    <cellStyle name="Entrada 2 2 5 2 3 2" xfId="23833"/>
    <cellStyle name="Entrada 2 2 5 2 4" xfId="23834"/>
    <cellStyle name="Entrada 2 2 5 20" xfId="23835"/>
    <cellStyle name="Entrada 2 2 5 20 2" xfId="23836"/>
    <cellStyle name="Entrada 2 2 5 20 2 2" xfId="23837"/>
    <cellStyle name="Entrada 2 2 5 20 3" xfId="23838"/>
    <cellStyle name="Entrada 2 2 5 20 3 2" xfId="23839"/>
    <cellStyle name="Entrada 2 2 5 20 4" xfId="23840"/>
    <cellStyle name="Entrada 2 2 5 21" xfId="23841"/>
    <cellStyle name="Entrada 2 2 5 21 2" xfId="23842"/>
    <cellStyle name="Entrada 2 2 5 21 2 2" xfId="23843"/>
    <cellStyle name="Entrada 2 2 5 21 3" xfId="23844"/>
    <cellStyle name="Entrada 2 2 5 21 3 2" xfId="23845"/>
    <cellStyle name="Entrada 2 2 5 21 4" xfId="23846"/>
    <cellStyle name="Entrada 2 2 5 22" xfId="23847"/>
    <cellStyle name="Entrada 2 2 5 22 2" xfId="23848"/>
    <cellStyle name="Entrada 2 2 5 22 2 2" xfId="23849"/>
    <cellStyle name="Entrada 2 2 5 22 3" xfId="23850"/>
    <cellStyle name="Entrada 2 2 5 22 3 2" xfId="23851"/>
    <cellStyle name="Entrada 2 2 5 22 4" xfId="23852"/>
    <cellStyle name="Entrada 2 2 5 23" xfId="23853"/>
    <cellStyle name="Entrada 2 2 5 23 2" xfId="23854"/>
    <cellStyle name="Entrada 2 2 5 23 2 2" xfId="23855"/>
    <cellStyle name="Entrada 2 2 5 23 3" xfId="23856"/>
    <cellStyle name="Entrada 2 2 5 23 3 2" xfId="23857"/>
    <cellStyle name="Entrada 2 2 5 23 4" xfId="23858"/>
    <cellStyle name="Entrada 2 2 5 24" xfId="23859"/>
    <cellStyle name="Entrada 2 2 5 24 2" xfId="23860"/>
    <cellStyle name="Entrada 2 2 5 24 2 2" xfId="23861"/>
    <cellStyle name="Entrada 2 2 5 24 3" xfId="23862"/>
    <cellStyle name="Entrada 2 2 5 24 3 2" xfId="23863"/>
    <cellStyle name="Entrada 2 2 5 24 4" xfId="23864"/>
    <cellStyle name="Entrada 2 2 5 25" xfId="23865"/>
    <cellStyle name="Entrada 2 2 5 25 2" xfId="23866"/>
    <cellStyle name="Entrada 2 2 5 25 2 2" xfId="23867"/>
    <cellStyle name="Entrada 2 2 5 25 3" xfId="23868"/>
    <cellStyle name="Entrada 2 2 5 25 3 2" xfId="23869"/>
    <cellStyle name="Entrada 2 2 5 25 4" xfId="23870"/>
    <cellStyle name="Entrada 2 2 5 26" xfId="23871"/>
    <cellStyle name="Entrada 2 2 5 26 2" xfId="23872"/>
    <cellStyle name="Entrada 2 2 5 26 2 2" xfId="23873"/>
    <cellStyle name="Entrada 2 2 5 26 3" xfId="23874"/>
    <cellStyle name="Entrada 2 2 5 26 3 2" xfId="23875"/>
    <cellStyle name="Entrada 2 2 5 26 4" xfId="23876"/>
    <cellStyle name="Entrada 2 2 5 27" xfId="23877"/>
    <cellStyle name="Entrada 2 2 5 27 2" xfId="23878"/>
    <cellStyle name="Entrada 2 2 5 27 2 2" xfId="23879"/>
    <cellStyle name="Entrada 2 2 5 27 3" xfId="23880"/>
    <cellStyle name="Entrada 2 2 5 27 3 2" xfId="23881"/>
    <cellStyle name="Entrada 2 2 5 27 4" xfId="23882"/>
    <cellStyle name="Entrada 2 2 5 28" xfId="23883"/>
    <cellStyle name="Entrada 2 2 5 28 2" xfId="23884"/>
    <cellStyle name="Entrada 2 2 5 28 2 2" xfId="23885"/>
    <cellStyle name="Entrada 2 2 5 28 3" xfId="23886"/>
    <cellStyle name="Entrada 2 2 5 28 3 2" xfId="23887"/>
    <cellStyle name="Entrada 2 2 5 28 4" xfId="23888"/>
    <cellStyle name="Entrada 2 2 5 29" xfId="23889"/>
    <cellStyle name="Entrada 2 2 5 29 2" xfId="23890"/>
    <cellStyle name="Entrada 2 2 5 29 2 2" xfId="23891"/>
    <cellStyle name="Entrada 2 2 5 29 3" xfId="23892"/>
    <cellStyle name="Entrada 2 2 5 29 3 2" xfId="23893"/>
    <cellStyle name="Entrada 2 2 5 29 4" xfId="23894"/>
    <cellStyle name="Entrada 2 2 5 3" xfId="23895"/>
    <cellStyle name="Entrada 2 2 5 3 2" xfId="23896"/>
    <cellStyle name="Entrada 2 2 5 3 2 2" xfId="23897"/>
    <cellStyle name="Entrada 2 2 5 3 3" xfId="23898"/>
    <cellStyle name="Entrada 2 2 5 3 3 2" xfId="23899"/>
    <cellStyle name="Entrada 2 2 5 3 4" xfId="23900"/>
    <cellStyle name="Entrada 2 2 5 30" xfId="23901"/>
    <cellStyle name="Entrada 2 2 5 30 2" xfId="23902"/>
    <cellStyle name="Entrada 2 2 5 30 2 2" xfId="23903"/>
    <cellStyle name="Entrada 2 2 5 30 3" xfId="23904"/>
    <cellStyle name="Entrada 2 2 5 30 3 2" xfId="23905"/>
    <cellStyle name="Entrada 2 2 5 30 4" xfId="23906"/>
    <cellStyle name="Entrada 2 2 5 31" xfId="23907"/>
    <cellStyle name="Entrada 2 2 5 31 2" xfId="23908"/>
    <cellStyle name="Entrada 2 2 5 31 2 2" xfId="23909"/>
    <cellStyle name="Entrada 2 2 5 31 3" xfId="23910"/>
    <cellStyle name="Entrada 2 2 5 31 3 2" xfId="23911"/>
    <cellStyle name="Entrada 2 2 5 31 4" xfId="23912"/>
    <cellStyle name="Entrada 2 2 5 32" xfId="23913"/>
    <cellStyle name="Entrada 2 2 5 32 2" xfId="23914"/>
    <cellStyle name="Entrada 2 2 5 32 2 2" xfId="23915"/>
    <cellStyle name="Entrada 2 2 5 32 3" xfId="23916"/>
    <cellStyle name="Entrada 2 2 5 32 3 2" xfId="23917"/>
    <cellStyle name="Entrada 2 2 5 32 4" xfId="23918"/>
    <cellStyle name="Entrada 2 2 5 33" xfId="23919"/>
    <cellStyle name="Entrada 2 2 5 33 2" xfId="23920"/>
    <cellStyle name="Entrada 2 2 5 33 2 2" xfId="23921"/>
    <cellStyle name="Entrada 2 2 5 33 3" xfId="23922"/>
    <cellStyle name="Entrada 2 2 5 33 3 2" xfId="23923"/>
    <cellStyle name="Entrada 2 2 5 33 4" xfId="23924"/>
    <cellStyle name="Entrada 2 2 5 34" xfId="23925"/>
    <cellStyle name="Entrada 2 2 5 34 2" xfId="23926"/>
    <cellStyle name="Entrada 2 2 5 34 2 2" xfId="23927"/>
    <cellStyle name="Entrada 2 2 5 34 3" xfId="23928"/>
    <cellStyle name="Entrada 2 2 5 34 3 2" xfId="23929"/>
    <cellStyle name="Entrada 2 2 5 34 4" xfId="23930"/>
    <cellStyle name="Entrada 2 2 5 35" xfId="23931"/>
    <cellStyle name="Entrada 2 2 5 35 2" xfId="23932"/>
    <cellStyle name="Entrada 2 2 5 35 2 2" xfId="23933"/>
    <cellStyle name="Entrada 2 2 5 35 3" xfId="23934"/>
    <cellStyle name="Entrada 2 2 5 35 3 2" xfId="23935"/>
    <cellStyle name="Entrada 2 2 5 35 4" xfId="23936"/>
    <cellStyle name="Entrada 2 2 5 36" xfId="23937"/>
    <cellStyle name="Entrada 2 2 5 36 2" xfId="23938"/>
    <cellStyle name="Entrada 2 2 5 36 2 2" xfId="23939"/>
    <cellStyle name="Entrada 2 2 5 36 3" xfId="23940"/>
    <cellStyle name="Entrada 2 2 5 36 3 2" xfId="23941"/>
    <cellStyle name="Entrada 2 2 5 36 4" xfId="23942"/>
    <cellStyle name="Entrada 2 2 5 37" xfId="23943"/>
    <cellStyle name="Entrada 2 2 5 37 2" xfId="23944"/>
    <cellStyle name="Entrada 2 2 5 37 2 2" xfId="23945"/>
    <cellStyle name="Entrada 2 2 5 37 3" xfId="23946"/>
    <cellStyle name="Entrada 2 2 5 37 3 2" xfId="23947"/>
    <cellStyle name="Entrada 2 2 5 37 4" xfId="23948"/>
    <cellStyle name="Entrada 2 2 5 38" xfId="23949"/>
    <cellStyle name="Entrada 2 2 5 38 2" xfId="23950"/>
    <cellStyle name="Entrada 2 2 5 38 2 2" xfId="23951"/>
    <cellStyle name="Entrada 2 2 5 38 3" xfId="23952"/>
    <cellStyle name="Entrada 2 2 5 38 3 2" xfId="23953"/>
    <cellStyle name="Entrada 2 2 5 38 4" xfId="23954"/>
    <cellStyle name="Entrada 2 2 5 39" xfId="23955"/>
    <cellStyle name="Entrada 2 2 5 39 2" xfId="23956"/>
    <cellStyle name="Entrada 2 2 5 39 2 2" xfId="23957"/>
    <cellStyle name="Entrada 2 2 5 39 3" xfId="23958"/>
    <cellStyle name="Entrada 2 2 5 4" xfId="23959"/>
    <cellStyle name="Entrada 2 2 5 4 2" xfId="23960"/>
    <cellStyle name="Entrada 2 2 5 4 2 2" xfId="23961"/>
    <cellStyle name="Entrada 2 2 5 4 3" xfId="23962"/>
    <cellStyle name="Entrada 2 2 5 4 3 2" xfId="23963"/>
    <cellStyle name="Entrada 2 2 5 4 4" xfId="23964"/>
    <cellStyle name="Entrada 2 2 5 40" xfId="23965"/>
    <cellStyle name="Entrada 2 2 5 40 2" xfId="23966"/>
    <cellStyle name="Entrada 2 2 5 41" xfId="23967"/>
    <cellStyle name="Entrada 2 2 5 41 2" xfId="23968"/>
    <cellStyle name="Entrada 2 2 5 42" xfId="23969"/>
    <cellStyle name="Entrada 2 2 5 5" xfId="23970"/>
    <cellStyle name="Entrada 2 2 5 5 2" xfId="23971"/>
    <cellStyle name="Entrada 2 2 5 5 2 2" xfId="23972"/>
    <cellStyle name="Entrada 2 2 5 5 3" xfId="23973"/>
    <cellStyle name="Entrada 2 2 5 5 3 2" xfId="23974"/>
    <cellStyle name="Entrada 2 2 5 5 4" xfId="23975"/>
    <cellStyle name="Entrada 2 2 5 6" xfId="23976"/>
    <cellStyle name="Entrada 2 2 5 6 2" xfId="23977"/>
    <cellStyle name="Entrada 2 2 5 6 2 2" xfId="23978"/>
    <cellStyle name="Entrada 2 2 5 6 3" xfId="23979"/>
    <cellStyle name="Entrada 2 2 5 6 3 2" xfId="23980"/>
    <cellStyle name="Entrada 2 2 5 6 4" xfId="23981"/>
    <cellStyle name="Entrada 2 2 5 7" xfId="23982"/>
    <cellStyle name="Entrada 2 2 5 7 2" xfId="23983"/>
    <cellStyle name="Entrada 2 2 5 7 2 2" xfId="23984"/>
    <cellStyle name="Entrada 2 2 5 7 3" xfId="23985"/>
    <cellStyle name="Entrada 2 2 5 7 3 2" xfId="23986"/>
    <cellStyle name="Entrada 2 2 5 7 4" xfId="23987"/>
    <cellStyle name="Entrada 2 2 5 8" xfId="23988"/>
    <cellStyle name="Entrada 2 2 5 8 2" xfId="23989"/>
    <cellStyle name="Entrada 2 2 5 8 2 2" xfId="23990"/>
    <cellStyle name="Entrada 2 2 5 8 3" xfId="23991"/>
    <cellStyle name="Entrada 2 2 5 8 3 2" xfId="23992"/>
    <cellStyle name="Entrada 2 2 5 8 4" xfId="23993"/>
    <cellStyle name="Entrada 2 2 5 9" xfId="23994"/>
    <cellStyle name="Entrada 2 2 5 9 2" xfId="23995"/>
    <cellStyle name="Entrada 2 2 5 9 2 2" xfId="23996"/>
    <cellStyle name="Entrada 2 2 5 9 3" xfId="23997"/>
    <cellStyle name="Entrada 2 2 5 9 3 2" xfId="23998"/>
    <cellStyle name="Entrada 2 2 5 9 4" xfId="23999"/>
    <cellStyle name="Entrada 2 2 6" xfId="24000"/>
    <cellStyle name="Entrada 2 2 6 10" xfId="24001"/>
    <cellStyle name="Entrada 2 2 6 10 2" xfId="24002"/>
    <cellStyle name="Entrada 2 2 6 10 2 2" xfId="24003"/>
    <cellStyle name="Entrada 2 2 6 10 3" xfId="24004"/>
    <cellStyle name="Entrada 2 2 6 10 3 2" xfId="24005"/>
    <cellStyle name="Entrada 2 2 6 10 4" xfId="24006"/>
    <cellStyle name="Entrada 2 2 6 11" xfId="24007"/>
    <cellStyle name="Entrada 2 2 6 11 2" xfId="24008"/>
    <cellStyle name="Entrada 2 2 6 11 2 2" xfId="24009"/>
    <cellStyle name="Entrada 2 2 6 11 3" xfId="24010"/>
    <cellStyle name="Entrada 2 2 6 11 3 2" xfId="24011"/>
    <cellStyle name="Entrada 2 2 6 11 4" xfId="24012"/>
    <cellStyle name="Entrada 2 2 6 12" xfId="24013"/>
    <cellStyle name="Entrada 2 2 6 12 2" xfId="24014"/>
    <cellStyle name="Entrada 2 2 6 12 2 2" xfId="24015"/>
    <cellStyle name="Entrada 2 2 6 12 3" xfId="24016"/>
    <cellStyle name="Entrada 2 2 6 12 3 2" xfId="24017"/>
    <cellStyle name="Entrada 2 2 6 12 4" xfId="24018"/>
    <cellStyle name="Entrada 2 2 6 13" xfId="24019"/>
    <cellStyle name="Entrada 2 2 6 13 2" xfId="24020"/>
    <cellStyle name="Entrada 2 2 6 13 2 2" xfId="24021"/>
    <cellStyle name="Entrada 2 2 6 13 3" xfId="24022"/>
    <cellStyle name="Entrada 2 2 6 13 3 2" xfId="24023"/>
    <cellStyle name="Entrada 2 2 6 13 4" xfId="24024"/>
    <cellStyle name="Entrada 2 2 6 14" xfId="24025"/>
    <cellStyle name="Entrada 2 2 6 14 2" xfId="24026"/>
    <cellStyle name="Entrada 2 2 6 14 2 2" xfId="24027"/>
    <cellStyle name="Entrada 2 2 6 14 3" xfId="24028"/>
    <cellStyle name="Entrada 2 2 6 14 3 2" xfId="24029"/>
    <cellStyle name="Entrada 2 2 6 14 4" xfId="24030"/>
    <cellStyle name="Entrada 2 2 6 15" xfId="24031"/>
    <cellStyle name="Entrada 2 2 6 15 2" xfId="24032"/>
    <cellStyle name="Entrada 2 2 6 15 2 2" xfId="24033"/>
    <cellStyle name="Entrada 2 2 6 15 3" xfId="24034"/>
    <cellStyle name="Entrada 2 2 6 15 3 2" xfId="24035"/>
    <cellStyle name="Entrada 2 2 6 15 4" xfId="24036"/>
    <cellStyle name="Entrada 2 2 6 16" xfId="24037"/>
    <cellStyle name="Entrada 2 2 6 16 2" xfId="24038"/>
    <cellStyle name="Entrada 2 2 6 16 2 2" xfId="24039"/>
    <cellStyle name="Entrada 2 2 6 16 3" xfId="24040"/>
    <cellStyle name="Entrada 2 2 6 16 3 2" xfId="24041"/>
    <cellStyle name="Entrada 2 2 6 16 4" xfId="24042"/>
    <cellStyle name="Entrada 2 2 6 17" xfId="24043"/>
    <cellStyle name="Entrada 2 2 6 17 2" xfId="24044"/>
    <cellStyle name="Entrada 2 2 6 17 2 2" xfId="24045"/>
    <cellStyle name="Entrada 2 2 6 17 3" xfId="24046"/>
    <cellStyle name="Entrada 2 2 6 17 3 2" xfId="24047"/>
    <cellStyle name="Entrada 2 2 6 17 4" xfId="24048"/>
    <cellStyle name="Entrada 2 2 6 18" xfId="24049"/>
    <cellStyle name="Entrada 2 2 6 18 2" xfId="24050"/>
    <cellStyle name="Entrada 2 2 6 18 2 2" xfId="24051"/>
    <cellStyle name="Entrada 2 2 6 18 3" xfId="24052"/>
    <cellStyle name="Entrada 2 2 6 18 3 2" xfId="24053"/>
    <cellStyle name="Entrada 2 2 6 18 4" xfId="24054"/>
    <cellStyle name="Entrada 2 2 6 19" xfId="24055"/>
    <cellStyle name="Entrada 2 2 6 19 2" xfId="24056"/>
    <cellStyle name="Entrada 2 2 6 19 2 2" xfId="24057"/>
    <cellStyle name="Entrada 2 2 6 19 3" xfId="24058"/>
    <cellStyle name="Entrada 2 2 6 19 3 2" xfId="24059"/>
    <cellStyle name="Entrada 2 2 6 19 4" xfId="24060"/>
    <cellStyle name="Entrada 2 2 6 2" xfId="24061"/>
    <cellStyle name="Entrada 2 2 6 2 2" xfId="24062"/>
    <cellStyle name="Entrada 2 2 6 2 2 2" xfId="24063"/>
    <cellStyle name="Entrada 2 2 6 2 3" xfId="24064"/>
    <cellStyle name="Entrada 2 2 6 2 3 2" xfId="24065"/>
    <cellStyle name="Entrada 2 2 6 2 4" xfId="24066"/>
    <cellStyle name="Entrada 2 2 6 20" xfId="24067"/>
    <cellStyle name="Entrada 2 2 6 20 2" xfId="24068"/>
    <cellStyle name="Entrada 2 2 6 20 2 2" xfId="24069"/>
    <cellStyle name="Entrada 2 2 6 20 3" xfId="24070"/>
    <cellStyle name="Entrada 2 2 6 20 3 2" xfId="24071"/>
    <cellStyle name="Entrada 2 2 6 20 4" xfId="24072"/>
    <cellStyle name="Entrada 2 2 6 21" xfId="24073"/>
    <cellStyle name="Entrada 2 2 6 21 2" xfId="24074"/>
    <cellStyle name="Entrada 2 2 6 21 2 2" xfId="24075"/>
    <cellStyle name="Entrada 2 2 6 21 3" xfId="24076"/>
    <cellStyle name="Entrada 2 2 6 21 3 2" xfId="24077"/>
    <cellStyle name="Entrada 2 2 6 21 4" xfId="24078"/>
    <cellStyle name="Entrada 2 2 6 22" xfId="24079"/>
    <cellStyle name="Entrada 2 2 6 22 2" xfId="24080"/>
    <cellStyle name="Entrada 2 2 6 22 2 2" xfId="24081"/>
    <cellStyle name="Entrada 2 2 6 22 3" xfId="24082"/>
    <cellStyle name="Entrada 2 2 6 22 3 2" xfId="24083"/>
    <cellStyle name="Entrada 2 2 6 22 4" xfId="24084"/>
    <cellStyle name="Entrada 2 2 6 23" xfId="24085"/>
    <cellStyle name="Entrada 2 2 6 23 2" xfId="24086"/>
    <cellStyle name="Entrada 2 2 6 23 2 2" xfId="24087"/>
    <cellStyle name="Entrada 2 2 6 23 3" xfId="24088"/>
    <cellStyle name="Entrada 2 2 6 23 3 2" xfId="24089"/>
    <cellStyle name="Entrada 2 2 6 23 4" xfId="24090"/>
    <cellStyle name="Entrada 2 2 6 24" xfId="24091"/>
    <cellStyle name="Entrada 2 2 6 24 2" xfId="24092"/>
    <cellStyle name="Entrada 2 2 6 24 2 2" xfId="24093"/>
    <cellStyle name="Entrada 2 2 6 24 3" xfId="24094"/>
    <cellStyle name="Entrada 2 2 6 24 3 2" xfId="24095"/>
    <cellStyle name="Entrada 2 2 6 24 4" xfId="24096"/>
    <cellStyle name="Entrada 2 2 6 25" xfId="24097"/>
    <cellStyle name="Entrada 2 2 6 25 2" xfId="24098"/>
    <cellStyle name="Entrada 2 2 6 25 2 2" xfId="24099"/>
    <cellStyle name="Entrada 2 2 6 25 3" xfId="24100"/>
    <cellStyle name="Entrada 2 2 6 25 3 2" xfId="24101"/>
    <cellStyle name="Entrada 2 2 6 25 4" xfId="24102"/>
    <cellStyle name="Entrada 2 2 6 26" xfId="24103"/>
    <cellStyle name="Entrada 2 2 6 26 2" xfId="24104"/>
    <cellStyle name="Entrada 2 2 6 26 2 2" xfId="24105"/>
    <cellStyle name="Entrada 2 2 6 26 3" xfId="24106"/>
    <cellStyle name="Entrada 2 2 6 26 3 2" xfId="24107"/>
    <cellStyle name="Entrada 2 2 6 26 4" xfId="24108"/>
    <cellStyle name="Entrada 2 2 6 27" xfId="24109"/>
    <cellStyle name="Entrada 2 2 6 27 2" xfId="24110"/>
    <cellStyle name="Entrada 2 2 6 27 2 2" xfId="24111"/>
    <cellStyle name="Entrada 2 2 6 27 3" xfId="24112"/>
    <cellStyle name="Entrada 2 2 6 27 3 2" xfId="24113"/>
    <cellStyle name="Entrada 2 2 6 27 4" xfId="24114"/>
    <cellStyle name="Entrada 2 2 6 28" xfId="24115"/>
    <cellStyle name="Entrada 2 2 6 28 2" xfId="24116"/>
    <cellStyle name="Entrada 2 2 6 28 2 2" xfId="24117"/>
    <cellStyle name="Entrada 2 2 6 28 3" xfId="24118"/>
    <cellStyle name="Entrada 2 2 6 28 3 2" xfId="24119"/>
    <cellStyle name="Entrada 2 2 6 28 4" xfId="24120"/>
    <cellStyle name="Entrada 2 2 6 29" xfId="24121"/>
    <cellStyle name="Entrada 2 2 6 29 2" xfId="24122"/>
    <cellStyle name="Entrada 2 2 6 29 2 2" xfId="24123"/>
    <cellStyle name="Entrada 2 2 6 29 3" xfId="24124"/>
    <cellStyle name="Entrada 2 2 6 29 3 2" xfId="24125"/>
    <cellStyle name="Entrada 2 2 6 29 4" xfId="24126"/>
    <cellStyle name="Entrada 2 2 6 3" xfId="24127"/>
    <cellStyle name="Entrada 2 2 6 3 2" xfId="24128"/>
    <cellStyle name="Entrada 2 2 6 3 2 2" xfId="24129"/>
    <cellStyle name="Entrada 2 2 6 3 3" xfId="24130"/>
    <cellStyle name="Entrada 2 2 6 3 3 2" xfId="24131"/>
    <cellStyle name="Entrada 2 2 6 3 4" xfId="24132"/>
    <cellStyle name="Entrada 2 2 6 30" xfId="24133"/>
    <cellStyle name="Entrada 2 2 6 30 2" xfId="24134"/>
    <cellStyle name="Entrada 2 2 6 30 2 2" xfId="24135"/>
    <cellStyle name="Entrada 2 2 6 30 3" xfId="24136"/>
    <cellStyle name="Entrada 2 2 6 30 3 2" xfId="24137"/>
    <cellStyle name="Entrada 2 2 6 30 4" xfId="24138"/>
    <cellStyle name="Entrada 2 2 6 31" xfId="24139"/>
    <cellStyle name="Entrada 2 2 6 31 2" xfId="24140"/>
    <cellStyle name="Entrada 2 2 6 31 2 2" xfId="24141"/>
    <cellStyle name="Entrada 2 2 6 31 3" xfId="24142"/>
    <cellStyle name="Entrada 2 2 6 31 3 2" xfId="24143"/>
    <cellStyle name="Entrada 2 2 6 31 4" xfId="24144"/>
    <cellStyle name="Entrada 2 2 6 32" xfId="24145"/>
    <cellStyle name="Entrada 2 2 6 32 2" xfId="24146"/>
    <cellStyle name="Entrada 2 2 6 32 2 2" xfId="24147"/>
    <cellStyle name="Entrada 2 2 6 32 3" xfId="24148"/>
    <cellStyle name="Entrada 2 2 6 32 3 2" xfId="24149"/>
    <cellStyle name="Entrada 2 2 6 32 4" xfId="24150"/>
    <cellStyle name="Entrada 2 2 6 33" xfId="24151"/>
    <cellStyle name="Entrada 2 2 6 33 2" xfId="24152"/>
    <cellStyle name="Entrada 2 2 6 33 2 2" xfId="24153"/>
    <cellStyle name="Entrada 2 2 6 33 3" xfId="24154"/>
    <cellStyle name="Entrada 2 2 6 33 3 2" xfId="24155"/>
    <cellStyle name="Entrada 2 2 6 33 4" xfId="24156"/>
    <cellStyle name="Entrada 2 2 6 34" xfId="24157"/>
    <cellStyle name="Entrada 2 2 6 34 2" xfId="24158"/>
    <cellStyle name="Entrada 2 2 6 34 2 2" xfId="24159"/>
    <cellStyle name="Entrada 2 2 6 34 3" xfId="24160"/>
    <cellStyle name="Entrada 2 2 6 34 3 2" xfId="24161"/>
    <cellStyle name="Entrada 2 2 6 34 4" xfId="24162"/>
    <cellStyle name="Entrada 2 2 6 35" xfId="24163"/>
    <cellStyle name="Entrada 2 2 6 35 2" xfId="24164"/>
    <cellStyle name="Entrada 2 2 6 35 2 2" xfId="24165"/>
    <cellStyle name="Entrada 2 2 6 35 3" xfId="24166"/>
    <cellStyle name="Entrada 2 2 6 35 3 2" xfId="24167"/>
    <cellStyle name="Entrada 2 2 6 35 4" xfId="24168"/>
    <cellStyle name="Entrada 2 2 6 36" xfId="24169"/>
    <cellStyle name="Entrada 2 2 6 36 2" xfId="24170"/>
    <cellStyle name="Entrada 2 2 6 36 2 2" xfId="24171"/>
    <cellStyle name="Entrada 2 2 6 36 3" xfId="24172"/>
    <cellStyle name="Entrada 2 2 6 36 3 2" xfId="24173"/>
    <cellStyle name="Entrada 2 2 6 36 4" xfId="24174"/>
    <cellStyle name="Entrada 2 2 6 37" xfId="24175"/>
    <cellStyle name="Entrada 2 2 6 37 2" xfId="24176"/>
    <cellStyle name="Entrada 2 2 6 37 2 2" xfId="24177"/>
    <cellStyle name="Entrada 2 2 6 37 3" xfId="24178"/>
    <cellStyle name="Entrada 2 2 6 37 3 2" xfId="24179"/>
    <cellStyle name="Entrada 2 2 6 37 4" xfId="24180"/>
    <cellStyle name="Entrada 2 2 6 38" xfId="24181"/>
    <cellStyle name="Entrada 2 2 6 38 2" xfId="24182"/>
    <cellStyle name="Entrada 2 2 6 38 2 2" xfId="24183"/>
    <cellStyle name="Entrada 2 2 6 38 3" xfId="24184"/>
    <cellStyle name="Entrada 2 2 6 38 3 2" xfId="24185"/>
    <cellStyle name="Entrada 2 2 6 38 4" xfId="24186"/>
    <cellStyle name="Entrada 2 2 6 39" xfId="24187"/>
    <cellStyle name="Entrada 2 2 6 39 2" xfId="24188"/>
    <cellStyle name="Entrada 2 2 6 39 2 2" xfId="24189"/>
    <cellStyle name="Entrada 2 2 6 39 3" xfId="24190"/>
    <cellStyle name="Entrada 2 2 6 39 3 2" xfId="24191"/>
    <cellStyle name="Entrada 2 2 6 39 4" xfId="24192"/>
    <cellStyle name="Entrada 2 2 6 4" xfId="24193"/>
    <cellStyle name="Entrada 2 2 6 4 2" xfId="24194"/>
    <cellStyle name="Entrada 2 2 6 4 2 2" xfId="24195"/>
    <cellStyle name="Entrada 2 2 6 4 3" xfId="24196"/>
    <cellStyle name="Entrada 2 2 6 4 3 2" xfId="24197"/>
    <cellStyle name="Entrada 2 2 6 4 4" xfId="24198"/>
    <cellStyle name="Entrada 2 2 6 40" xfId="24199"/>
    <cellStyle name="Entrada 2 2 6 40 2" xfId="24200"/>
    <cellStyle name="Entrada 2 2 6 40 2 2" xfId="24201"/>
    <cellStyle name="Entrada 2 2 6 40 3" xfId="24202"/>
    <cellStyle name="Entrada 2 2 6 40 3 2" xfId="24203"/>
    <cellStyle name="Entrada 2 2 6 40 4" xfId="24204"/>
    <cellStyle name="Entrada 2 2 6 41" xfId="24205"/>
    <cellStyle name="Entrada 2 2 6 41 2" xfId="24206"/>
    <cellStyle name="Entrada 2 2 6 41 2 2" xfId="24207"/>
    <cellStyle name="Entrada 2 2 6 41 3" xfId="24208"/>
    <cellStyle name="Entrada 2 2 6 41 3 2" xfId="24209"/>
    <cellStyle name="Entrada 2 2 6 41 4" xfId="24210"/>
    <cellStyle name="Entrada 2 2 6 42" xfId="24211"/>
    <cellStyle name="Entrada 2 2 6 42 2" xfId="24212"/>
    <cellStyle name="Entrada 2 2 6 42 2 2" xfId="24213"/>
    <cellStyle name="Entrada 2 2 6 42 3" xfId="24214"/>
    <cellStyle name="Entrada 2 2 6 43" xfId="24215"/>
    <cellStyle name="Entrada 2 2 6 43 2" xfId="24216"/>
    <cellStyle name="Entrada 2 2 6 44" xfId="24217"/>
    <cellStyle name="Entrada 2 2 6 5" xfId="24218"/>
    <cellStyle name="Entrada 2 2 6 5 2" xfId="24219"/>
    <cellStyle name="Entrada 2 2 6 5 2 2" xfId="24220"/>
    <cellStyle name="Entrada 2 2 6 5 3" xfId="24221"/>
    <cellStyle name="Entrada 2 2 6 5 3 2" xfId="24222"/>
    <cellStyle name="Entrada 2 2 6 5 4" xfId="24223"/>
    <cellStyle name="Entrada 2 2 6 6" xfId="24224"/>
    <cellStyle name="Entrada 2 2 6 6 2" xfId="24225"/>
    <cellStyle name="Entrada 2 2 6 6 2 2" xfId="24226"/>
    <cellStyle name="Entrada 2 2 6 6 3" xfId="24227"/>
    <cellStyle name="Entrada 2 2 6 6 3 2" xfId="24228"/>
    <cellStyle name="Entrada 2 2 6 6 4" xfId="24229"/>
    <cellStyle name="Entrada 2 2 6 7" xfId="24230"/>
    <cellStyle name="Entrada 2 2 6 7 2" xfId="24231"/>
    <cellStyle name="Entrada 2 2 6 7 2 2" xfId="24232"/>
    <cellStyle name="Entrada 2 2 6 7 3" xfId="24233"/>
    <cellStyle name="Entrada 2 2 6 7 3 2" xfId="24234"/>
    <cellStyle name="Entrada 2 2 6 7 4" xfId="24235"/>
    <cellStyle name="Entrada 2 2 6 8" xfId="24236"/>
    <cellStyle name="Entrada 2 2 6 8 2" xfId="24237"/>
    <cellStyle name="Entrada 2 2 6 8 2 2" xfId="24238"/>
    <cellStyle name="Entrada 2 2 6 8 3" xfId="24239"/>
    <cellStyle name="Entrada 2 2 6 8 3 2" xfId="24240"/>
    <cellStyle name="Entrada 2 2 6 8 4" xfId="24241"/>
    <cellStyle name="Entrada 2 2 6 9" xfId="24242"/>
    <cellStyle name="Entrada 2 2 6 9 2" xfId="24243"/>
    <cellStyle name="Entrada 2 2 6 9 2 2" xfId="24244"/>
    <cellStyle name="Entrada 2 2 6 9 3" xfId="24245"/>
    <cellStyle name="Entrada 2 2 6 9 3 2" xfId="24246"/>
    <cellStyle name="Entrada 2 2 6 9 4" xfId="24247"/>
    <cellStyle name="Entrada 2 2 7" xfId="24248"/>
    <cellStyle name="Entrada 2 2 7 2" xfId="24249"/>
    <cellStyle name="Entrada 2 2 7 2 2" xfId="24250"/>
    <cellStyle name="Entrada 2 2 7 3" xfId="24251"/>
    <cellStyle name="Entrada 2 2 7 3 2" xfId="24252"/>
    <cellStyle name="Entrada 2 2 7 4" xfId="24253"/>
    <cellStyle name="Entrada 2 2 8" xfId="24254"/>
    <cellStyle name="Entrada 2 2 8 2" xfId="24255"/>
    <cellStyle name="Entrada 2 2 8 2 2" xfId="24256"/>
    <cellStyle name="Entrada 2 2 8 3" xfId="24257"/>
    <cellStyle name="Entrada 2 2 8 3 2" xfId="24258"/>
    <cellStyle name="Entrada 2 2 8 4" xfId="24259"/>
    <cellStyle name="Entrada 2 2 9" xfId="24260"/>
    <cellStyle name="Entrada 2 2 9 2" xfId="24261"/>
    <cellStyle name="Entrada 2 2 9 2 2" xfId="24262"/>
    <cellStyle name="Entrada 2 2 9 3" xfId="24263"/>
    <cellStyle name="Entrada 2 2 9 3 2" xfId="24264"/>
    <cellStyle name="Entrada 2 2 9 4" xfId="24265"/>
    <cellStyle name="Entrada 2 20" xfId="24266"/>
    <cellStyle name="Entrada 2 20 2" xfId="24267"/>
    <cellStyle name="Entrada 2 20 2 2" xfId="24268"/>
    <cellStyle name="Entrada 2 20 3" xfId="24269"/>
    <cellStyle name="Entrada 2 20 3 2" xfId="24270"/>
    <cellStyle name="Entrada 2 20 4" xfId="24271"/>
    <cellStyle name="Entrada 2 21" xfId="24272"/>
    <cellStyle name="Entrada 2 21 2" xfId="24273"/>
    <cellStyle name="Entrada 2 21 2 2" xfId="24274"/>
    <cellStyle name="Entrada 2 21 3" xfId="24275"/>
    <cellStyle name="Entrada 2 21 3 2" xfId="24276"/>
    <cellStyle name="Entrada 2 21 4" xfId="24277"/>
    <cellStyle name="Entrada 2 22" xfId="24278"/>
    <cellStyle name="Entrada 2 22 2" xfId="24279"/>
    <cellStyle name="Entrada 2 22 2 2" xfId="24280"/>
    <cellStyle name="Entrada 2 22 3" xfId="24281"/>
    <cellStyle name="Entrada 2 22 3 2" xfId="24282"/>
    <cellStyle name="Entrada 2 22 4" xfId="24283"/>
    <cellStyle name="Entrada 2 23" xfId="24284"/>
    <cellStyle name="Entrada 2 23 2" xfId="24285"/>
    <cellStyle name="Entrada 2 23 2 2" xfId="24286"/>
    <cellStyle name="Entrada 2 23 3" xfId="24287"/>
    <cellStyle name="Entrada 2 23 3 2" xfId="24288"/>
    <cellStyle name="Entrada 2 23 4" xfId="24289"/>
    <cellStyle name="Entrada 2 24" xfId="24290"/>
    <cellStyle name="Entrada 2 24 2" xfId="24291"/>
    <cellStyle name="Entrada 2 24 2 2" xfId="24292"/>
    <cellStyle name="Entrada 2 24 3" xfId="24293"/>
    <cellStyle name="Entrada 2 24 3 2" xfId="24294"/>
    <cellStyle name="Entrada 2 24 4" xfId="24295"/>
    <cellStyle name="Entrada 2 25" xfId="24296"/>
    <cellStyle name="Entrada 2 25 2" xfId="24297"/>
    <cellStyle name="Entrada 2 25 2 2" xfId="24298"/>
    <cellStyle name="Entrada 2 25 3" xfId="24299"/>
    <cellStyle name="Entrada 2 25 3 2" xfId="24300"/>
    <cellStyle name="Entrada 2 25 4" xfId="24301"/>
    <cellStyle name="Entrada 2 26" xfId="24302"/>
    <cellStyle name="Entrada 2 26 2" xfId="24303"/>
    <cellStyle name="Entrada 2 26 2 2" xfId="24304"/>
    <cellStyle name="Entrada 2 26 3" xfId="24305"/>
    <cellStyle name="Entrada 2 26 3 2" xfId="24306"/>
    <cellStyle name="Entrada 2 26 4" xfId="24307"/>
    <cellStyle name="Entrada 2 27" xfId="24308"/>
    <cellStyle name="Entrada 2 27 2" xfId="24309"/>
    <cellStyle name="Entrada 2 27 2 2" xfId="24310"/>
    <cellStyle name="Entrada 2 27 3" xfId="24311"/>
    <cellStyle name="Entrada 2 27 3 2" xfId="24312"/>
    <cellStyle name="Entrada 2 27 4" xfId="24313"/>
    <cellStyle name="Entrada 2 28" xfId="24314"/>
    <cellStyle name="Entrada 2 28 2" xfId="24315"/>
    <cellStyle name="Entrada 2 28 2 2" xfId="24316"/>
    <cellStyle name="Entrada 2 28 3" xfId="24317"/>
    <cellStyle name="Entrada 2 29" xfId="24318"/>
    <cellStyle name="Entrada 2 29 2" xfId="24319"/>
    <cellStyle name="Entrada 2 3" xfId="24320"/>
    <cellStyle name="Entrada 2 3 10" xfId="24321"/>
    <cellStyle name="Entrada 2 3 10 2" xfId="24322"/>
    <cellStyle name="Entrada 2 3 10 2 2" xfId="24323"/>
    <cellStyle name="Entrada 2 3 10 3" xfId="24324"/>
    <cellStyle name="Entrada 2 3 10 3 2" xfId="24325"/>
    <cellStyle name="Entrada 2 3 10 4" xfId="24326"/>
    <cellStyle name="Entrada 2 3 11" xfId="24327"/>
    <cellStyle name="Entrada 2 3 11 2" xfId="24328"/>
    <cellStyle name="Entrada 2 3 11 2 2" xfId="24329"/>
    <cellStyle name="Entrada 2 3 11 3" xfId="24330"/>
    <cellStyle name="Entrada 2 3 11 3 2" xfId="24331"/>
    <cellStyle name="Entrada 2 3 11 4" xfId="24332"/>
    <cellStyle name="Entrada 2 3 12" xfId="24333"/>
    <cellStyle name="Entrada 2 3 12 2" xfId="24334"/>
    <cellStyle name="Entrada 2 3 12 2 2" xfId="24335"/>
    <cellStyle name="Entrada 2 3 12 3" xfId="24336"/>
    <cellStyle name="Entrada 2 3 12 3 2" xfId="24337"/>
    <cellStyle name="Entrada 2 3 12 4" xfId="24338"/>
    <cellStyle name="Entrada 2 3 13" xfId="24339"/>
    <cellStyle name="Entrada 2 3 13 2" xfId="24340"/>
    <cellStyle name="Entrada 2 3 13 2 2" xfId="24341"/>
    <cellStyle name="Entrada 2 3 13 3" xfId="24342"/>
    <cellStyle name="Entrada 2 3 13 3 2" xfId="24343"/>
    <cellStyle name="Entrada 2 3 13 4" xfId="24344"/>
    <cellStyle name="Entrada 2 3 14" xfId="24345"/>
    <cellStyle name="Entrada 2 3 14 2" xfId="24346"/>
    <cellStyle name="Entrada 2 3 14 2 2" xfId="24347"/>
    <cellStyle name="Entrada 2 3 14 3" xfId="24348"/>
    <cellStyle name="Entrada 2 3 14 3 2" xfId="24349"/>
    <cellStyle name="Entrada 2 3 14 4" xfId="24350"/>
    <cellStyle name="Entrada 2 3 15" xfId="24351"/>
    <cellStyle name="Entrada 2 3 15 2" xfId="24352"/>
    <cellStyle name="Entrada 2 3 15 2 2" xfId="24353"/>
    <cellStyle name="Entrada 2 3 15 3" xfId="24354"/>
    <cellStyle name="Entrada 2 3 15 3 2" xfId="24355"/>
    <cellStyle name="Entrada 2 3 15 4" xfId="24356"/>
    <cellStyle name="Entrada 2 3 16" xfId="24357"/>
    <cellStyle name="Entrada 2 3 16 2" xfId="24358"/>
    <cellStyle name="Entrada 2 3 16 2 2" xfId="24359"/>
    <cellStyle name="Entrada 2 3 16 3" xfId="24360"/>
    <cellStyle name="Entrada 2 3 16 3 2" xfId="24361"/>
    <cellStyle name="Entrada 2 3 16 4" xfId="24362"/>
    <cellStyle name="Entrada 2 3 17" xfId="24363"/>
    <cellStyle name="Entrada 2 3 17 2" xfId="24364"/>
    <cellStyle name="Entrada 2 3 17 2 2" xfId="24365"/>
    <cellStyle name="Entrada 2 3 17 3" xfId="24366"/>
    <cellStyle name="Entrada 2 3 17 3 2" xfId="24367"/>
    <cellStyle name="Entrada 2 3 17 4" xfId="24368"/>
    <cellStyle name="Entrada 2 3 18" xfId="24369"/>
    <cellStyle name="Entrada 2 3 18 2" xfId="24370"/>
    <cellStyle name="Entrada 2 3 18 2 2" xfId="24371"/>
    <cellStyle name="Entrada 2 3 18 3" xfId="24372"/>
    <cellStyle name="Entrada 2 3 18 3 2" xfId="24373"/>
    <cellStyle name="Entrada 2 3 18 4" xfId="24374"/>
    <cellStyle name="Entrada 2 3 19" xfId="24375"/>
    <cellStyle name="Entrada 2 3 19 2" xfId="24376"/>
    <cellStyle name="Entrada 2 3 19 2 2" xfId="24377"/>
    <cellStyle name="Entrada 2 3 19 3" xfId="24378"/>
    <cellStyle name="Entrada 2 3 19 3 2" xfId="24379"/>
    <cellStyle name="Entrada 2 3 19 4" xfId="24380"/>
    <cellStyle name="Entrada 2 3 2" xfId="24381"/>
    <cellStyle name="Entrada 2 3 2 10" xfId="24382"/>
    <cellStyle name="Entrada 2 3 2 10 2" xfId="24383"/>
    <cellStyle name="Entrada 2 3 2 10 2 2" xfId="24384"/>
    <cellStyle name="Entrada 2 3 2 10 3" xfId="24385"/>
    <cellStyle name="Entrada 2 3 2 10 3 2" xfId="24386"/>
    <cellStyle name="Entrada 2 3 2 10 4" xfId="24387"/>
    <cellStyle name="Entrada 2 3 2 11" xfId="24388"/>
    <cellStyle name="Entrada 2 3 2 11 2" xfId="24389"/>
    <cellStyle name="Entrada 2 3 2 11 2 2" xfId="24390"/>
    <cellStyle name="Entrada 2 3 2 11 3" xfId="24391"/>
    <cellStyle name="Entrada 2 3 2 11 3 2" xfId="24392"/>
    <cellStyle name="Entrada 2 3 2 11 4" xfId="24393"/>
    <cellStyle name="Entrada 2 3 2 12" xfId="24394"/>
    <cellStyle name="Entrada 2 3 2 12 2" xfId="24395"/>
    <cellStyle name="Entrada 2 3 2 12 2 2" xfId="24396"/>
    <cellStyle name="Entrada 2 3 2 12 3" xfId="24397"/>
    <cellStyle name="Entrada 2 3 2 12 3 2" xfId="24398"/>
    <cellStyle name="Entrada 2 3 2 12 4" xfId="24399"/>
    <cellStyle name="Entrada 2 3 2 13" xfId="24400"/>
    <cellStyle name="Entrada 2 3 2 13 2" xfId="24401"/>
    <cellStyle name="Entrada 2 3 2 13 2 2" xfId="24402"/>
    <cellStyle name="Entrada 2 3 2 13 3" xfId="24403"/>
    <cellStyle name="Entrada 2 3 2 13 3 2" xfId="24404"/>
    <cellStyle name="Entrada 2 3 2 13 4" xfId="24405"/>
    <cellStyle name="Entrada 2 3 2 14" xfId="24406"/>
    <cellStyle name="Entrada 2 3 2 14 2" xfId="24407"/>
    <cellStyle name="Entrada 2 3 2 14 2 2" xfId="24408"/>
    <cellStyle name="Entrada 2 3 2 14 3" xfId="24409"/>
    <cellStyle name="Entrada 2 3 2 14 3 2" xfId="24410"/>
    <cellStyle name="Entrada 2 3 2 14 4" xfId="24411"/>
    <cellStyle name="Entrada 2 3 2 15" xfId="24412"/>
    <cellStyle name="Entrada 2 3 2 15 2" xfId="24413"/>
    <cellStyle name="Entrada 2 3 2 15 2 2" xfId="24414"/>
    <cellStyle name="Entrada 2 3 2 15 3" xfId="24415"/>
    <cellStyle name="Entrada 2 3 2 15 3 2" xfId="24416"/>
    <cellStyle name="Entrada 2 3 2 15 4" xfId="24417"/>
    <cellStyle name="Entrada 2 3 2 16" xfId="24418"/>
    <cellStyle name="Entrada 2 3 2 16 2" xfId="24419"/>
    <cellStyle name="Entrada 2 3 2 16 2 2" xfId="24420"/>
    <cellStyle name="Entrada 2 3 2 16 3" xfId="24421"/>
    <cellStyle name="Entrada 2 3 2 16 3 2" xfId="24422"/>
    <cellStyle name="Entrada 2 3 2 16 4" xfId="24423"/>
    <cellStyle name="Entrada 2 3 2 17" xfId="24424"/>
    <cellStyle name="Entrada 2 3 2 17 2" xfId="24425"/>
    <cellStyle name="Entrada 2 3 2 17 2 2" xfId="24426"/>
    <cellStyle name="Entrada 2 3 2 17 3" xfId="24427"/>
    <cellStyle name="Entrada 2 3 2 17 3 2" xfId="24428"/>
    <cellStyle name="Entrada 2 3 2 17 4" xfId="24429"/>
    <cellStyle name="Entrada 2 3 2 18" xfId="24430"/>
    <cellStyle name="Entrada 2 3 2 18 2" xfId="24431"/>
    <cellStyle name="Entrada 2 3 2 18 2 2" xfId="24432"/>
    <cellStyle name="Entrada 2 3 2 18 3" xfId="24433"/>
    <cellStyle name="Entrada 2 3 2 18 3 2" xfId="24434"/>
    <cellStyle name="Entrada 2 3 2 18 4" xfId="24435"/>
    <cellStyle name="Entrada 2 3 2 19" xfId="24436"/>
    <cellStyle name="Entrada 2 3 2 19 2" xfId="24437"/>
    <cellStyle name="Entrada 2 3 2 19 2 2" xfId="24438"/>
    <cellStyle name="Entrada 2 3 2 19 3" xfId="24439"/>
    <cellStyle name="Entrada 2 3 2 19 3 2" xfId="24440"/>
    <cellStyle name="Entrada 2 3 2 19 4" xfId="24441"/>
    <cellStyle name="Entrada 2 3 2 2" xfId="24442"/>
    <cellStyle name="Entrada 2 3 2 2 2" xfId="24443"/>
    <cellStyle name="Entrada 2 3 2 2 2 2" xfId="24444"/>
    <cellStyle name="Entrada 2 3 2 2 3" xfId="24445"/>
    <cellStyle name="Entrada 2 3 2 2 3 2" xfId="24446"/>
    <cellStyle name="Entrada 2 3 2 2 4" xfId="24447"/>
    <cellStyle name="Entrada 2 3 2 20" xfId="24448"/>
    <cellStyle name="Entrada 2 3 2 20 2" xfId="24449"/>
    <cellStyle name="Entrada 2 3 2 20 2 2" xfId="24450"/>
    <cellStyle name="Entrada 2 3 2 20 3" xfId="24451"/>
    <cellStyle name="Entrada 2 3 2 20 3 2" xfId="24452"/>
    <cellStyle name="Entrada 2 3 2 20 4" xfId="24453"/>
    <cellStyle name="Entrada 2 3 2 21" xfId="24454"/>
    <cellStyle name="Entrada 2 3 2 21 2" xfId="24455"/>
    <cellStyle name="Entrada 2 3 2 21 2 2" xfId="24456"/>
    <cellStyle name="Entrada 2 3 2 21 3" xfId="24457"/>
    <cellStyle name="Entrada 2 3 2 21 3 2" xfId="24458"/>
    <cellStyle name="Entrada 2 3 2 21 4" xfId="24459"/>
    <cellStyle name="Entrada 2 3 2 22" xfId="24460"/>
    <cellStyle name="Entrada 2 3 2 22 2" xfId="24461"/>
    <cellStyle name="Entrada 2 3 2 22 2 2" xfId="24462"/>
    <cellStyle name="Entrada 2 3 2 22 3" xfId="24463"/>
    <cellStyle name="Entrada 2 3 2 22 3 2" xfId="24464"/>
    <cellStyle name="Entrada 2 3 2 22 4" xfId="24465"/>
    <cellStyle name="Entrada 2 3 2 23" xfId="24466"/>
    <cellStyle name="Entrada 2 3 2 23 2" xfId="24467"/>
    <cellStyle name="Entrada 2 3 2 23 2 2" xfId="24468"/>
    <cellStyle name="Entrada 2 3 2 23 3" xfId="24469"/>
    <cellStyle name="Entrada 2 3 2 23 3 2" xfId="24470"/>
    <cellStyle name="Entrada 2 3 2 23 4" xfId="24471"/>
    <cellStyle name="Entrada 2 3 2 24" xfId="24472"/>
    <cellStyle name="Entrada 2 3 2 24 2" xfId="24473"/>
    <cellStyle name="Entrada 2 3 2 24 2 2" xfId="24474"/>
    <cellStyle name="Entrada 2 3 2 24 3" xfId="24475"/>
    <cellStyle name="Entrada 2 3 2 24 3 2" xfId="24476"/>
    <cellStyle name="Entrada 2 3 2 24 4" xfId="24477"/>
    <cellStyle name="Entrada 2 3 2 25" xfId="24478"/>
    <cellStyle name="Entrada 2 3 2 25 2" xfId="24479"/>
    <cellStyle name="Entrada 2 3 2 25 2 2" xfId="24480"/>
    <cellStyle name="Entrada 2 3 2 25 3" xfId="24481"/>
    <cellStyle name="Entrada 2 3 2 25 3 2" xfId="24482"/>
    <cellStyle name="Entrada 2 3 2 25 4" xfId="24483"/>
    <cellStyle name="Entrada 2 3 2 26" xfId="24484"/>
    <cellStyle name="Entrada 2 3 2 26 2" xfId="24485"/>
    <cellStyle name="Entrada 2 3 2 26 2 2" xfId="24486"/>
    <cellStyle name="Entrada 2 3 2 26 3" xfId="24487"/>
    <cellStyle name="Entrada 2 3 2 26 3 2" xfId="24488"/>
    <cellStyle name="Entrada 2 3 2 26 4" xfId="24489"/>
    <cellStyle name="Entrada 2 3 2 27" xfId="24490"/>
    <cellStyle name="Entrada 2 3 2 27 2" xfId="24491"/>
    <cellStyle name="Entrada 2 3 2 27 2 2" xfId="24492"/>
    <cellStyle name="Entrada 2 3 2 27 3" xfId="24493"/>
    <cellStyle name="Entrada 2 3 2 27 3 2" xfId="24494"/>
    <cellStyle name="Entrada 2 3 2 27 4" xfId="24495"/>
    <cellStyle name="Entrada 2 3 2 28" xfId="24496"/>
    <cellStyle name="Entrada 2 3 2 28 2" xfId="24497"/>
    <cellStyle name="Entrada 2 3 2 28 2 2" xfId="24498"/>
    <cellStyle name="Entrada 2 3 2 28 3" xfId="24499"/>
    <cellStyle name="Entrada 2 3 2 28 3 2" xfId="24500"/>
    <cellStyle name="Entrada 2 3 2 28 4" xfId="24501"/>
    <cellStyle name="Entrada 2 3 2 29" xfId="24502"/>
    <cellStyle name="Entrada 2 3 2 29 2" xfId="24503"/>
    <cellStyle name="Entrada 2 3 2 29 2 2" xfId="24504"/>
    <cellStyle name="Entrada 2 3 2 29 3" xfId="24505"/>
    <cellStyle name="Entrada 2 3 2 29 3 2" xfId="24506"/>
    <cellStyle name="Entrada 2 3 2 29 4" xfId="24507"/>
    <cellStyle name="Entrada 2 3 2 3" xfId="24508"/>
    <cellStyle name="Entrada 2 3 2 3 2" xfId="24509"/>
    <cellStyle name="Entrada 2 3 2 3 2 2" xfId="24510"/>
    <cellStyle name="Entrada 2 3 2 3 3" xfId="24511"/>
    <cellStyle name="Entrada 2 3 2 3 3 2" xfId="24512"/>
    <cellStyle name="Entrada 2 3 2 3 4" xfId="24513"/>
    <cellStyle name="Entrada 2 3 2 30" xfId="24514"/>
    <cellStyle name="Entrada 2 3 2 30 2" xfId="24515"/>
    <cellStyle name="Entrada 2 3 2 30 2 2" xfId="24516"/>
    <cellStyle name="Entrada 2 3 2 30 3" xfId="24517"/>
    <cellStyle name="Entrada 2 3 2 30 3 2" xfId="24518"/>
    <cellStyle name="Entrada 2 3 2 30 4" xfId="24519"/>
    <cellStyle name="Entrada 2 3 2 31" xfId="24520"/>
    <cellStyle name="Entrada 2 3 2 31 2" xfId="24521"/>
    <cellStyle name="Entrada 2 3 2 31 2 2" xfId="24522"/>
    <cellStyle name="Entrada 2 3 2 31 3" xfId="24523"/>
    <cellStyle name="Entrada 2 3 2 31 3 2" xfId="24524"/>
    <cellStyle name="Entrada 2 3 2 31 4" xfId="24525"/>
    <cellStyle name="Entrada 2 3 2 32" xfId="24526"/>
    <cellStyle name="Entrada 2 3 2 32 2" xfId="24527"/>
    <cellStyle name="Entrada 2 3 2 32 2 2" xfId="24528"/>
    <cellStyle name="Entrada 2 3 2 32 3" xfId="24529"/>
    <cellStyle name="Entrada 2 3 2 32 3 2" xfId="24530"/>
    <cellStyle name="Entrada 2 3 2 32 4" xfId="24531"/>
    <cellStyle name="Entrada 2 3 2 33" xfId="24532"/>
    <cellStyle name="Entrada 2 3 2 33 2" xfId="24533"/>
    <cellStyle name="Entrada 2 3 2 33 2 2" xfId="24534"/>
    <cellStyle name="Entrada 2 3 2 33 3" xfId="24535"/>
    <cellStyle name="Entrada 2 3 2 33 3 2" xfId="24536"/>
    <cellStyle name="Entrada 2 3 2 33 4" xfId="24537"/>
    <cellStyle name="Entrada 2 3 2 34" xfId="24538"/>
    <cellStyle name="Entrada 2 3 2 34 2" xfId="24539"/>
    <cellStyle name="Entrada 2 3 2 34 2 2" xfId="24540"/>
    <cellStyle name="Entrada 2 3 2 34 3" xfId="24541"/>
    <cellStyle name="Entrada 2 3 2 34 3 2" xfId="24542"/>
    <cellStyle name="Entrada 2 3 2 34 4" xfId="24543"/>
    <cellStyle name="Entrada 2 3 2 35" xfId="24544"/>
    <cellStyle name="Entrada 2 3 2 35 2" xfId="24545"/>
    <cellStyle name="Entrada 2 3 2 35 2 2" xfId="24546"/>
    <cellStyle name="Entrada 2 3 2 35 3" xfId="24547"/>
    <cellStyle name="Entrada 2 3 2 35 3 2" xfId="24548"/>
    <cellStyle name="Entrada 2 3 2 35 4" xfId="24549"/>
    <cellStyle name="Entrada 2 3 2 36" xfId="24550"/>
    <cellStyle name="Entrada 2 3 2 36 2" xfId="24551"/>
    <cellStyle name="Entrada 2 3 2 36 2 2" xfId="24552"/>
    <cellStyle name="Entrada 2 3 2 36 3" xfId="24553"/>
    <cellStyle name="Entrada 2 3 2 36 3 2" xfId="24554"/>
    <cellStyle name="Entrada 2 3 2 36 4" xfId="24555"/>
    <cellStyle name="Entrada 2 3 2 37" xfId="24556"/>
    <cellStyle name="Entrada 2 3 2 37 2" xfId="24557"/>
    <cellStyle name="Entrada 2 3 2 37 2 2" xfId="24558"/>
    <cellStyle name="Entrada 2 3 2 37 3" xfId="24559"/>
    <cellStyle name="Entrada 2 3 2 37 3 2" xfId="24560"/>
    <cellStyle name="Entrada 2 3 2 37 4" xfId="24561"/>
    <cellStyle name="Entrada 2 3 2 38" xfId="24562"/>
    <cellStyle name="Entrada 2 3 2 38 2" xfId="24563"/>
    <cellStyle name="Entrada 2 3 2 38 2 2" xfId="24564"/>
    <cellStyle name="Entrada 2 3 2 38 3" xfId="24565"/>
    <cellStyle name="Entrada 2 3 2 38 3 2" xfId="24566"/>
    <cellStyle name="Entrada 2 3 2 38 4" xfId="24567"/>
    <cellStyle name="Entrada 2 3 2 39" xfId="24568"/>
    <cellStyle name="Entrada 2 3 2 39 2" xfId="24569"/>
    <cellStyle name="Entrada 2 3 2 39 2 2" xfId="24570"/>
    <cellStyle name="Entrada 2 3 2 39 3" xfId="24571"/>
    <cellStyle name="Entrada 2 3 2 4" xfId="24572"/>
    <cellStyle name="Entrada 2 3 2 4 2" xfId="24573"/>
    <cellStyle name="Entrada 2 3 2 4 2 2" xfId="24574"/>
    <cellStyle name="Entrada 2 3 2 4 3" xfId="24575"/>
    <cellStyle name="Entrada 2 3 2 4 3 2" xfId="24576"/>
    <cellStyle name="Entrada 2 3 2 4 4" xfId="24577"/>
    <cellStyle name="Entrada 2 3 2 40" xfId="24578"/>
    <cellStyle name="Entrada 2 3 2 40 2" xfId="24579"/>
    <cellStyle name="Entrada 2 3 2 41" xfId="24580"/>
    <cellStyle name="Entrada 2 3 2 41 2" xfId="24581"/>
    <cellStyle name="Entrada 2 3 2 42" xfId="24582"/>
    <cellStyle name="Entrada 2 3 2 42 2" xfId="24583"/>
    <cellStyle name="Entrada 2 3 2 43" xfId="24584"/>
    <cellStyle name="Entrada 2 3 2 5" xfId="24585"/>
    <cellStyle name="Entrada 2 3 2 5 2" xfId="24586"/>
    <cellStyle name="Entrada 2 3 2 5 2 2" xfId="24587"/>
    <cellStyle name="Entrada 2 3 2 5 3" xfId="24588"/>
    <cellStyle name="Entrada 2 3 2 5 3 2" xfId="24589"/>
    <cellStyle name="Entrada 2 3 2 5 4" xfId="24590"/>
    <cellStyle name="Entrada 2 3 2 6" xfId="24591"/>
    <cellStyle name="Entrada 2 3 2 6 2" xfId="24592"/>
    <cellStyle name="Entrada 2 3 2 6 2 2" xfId="24593"/>
    <cellStyle name="Entrada 2 3 2 6 3" xfId="24594"/>
    <cellStyle name="Entrada 2 3 2 6 3 2" xfId="24595"/>
    <cellStyle name="Entrada 2 3 2 6 4" xfId="24596"/>
    <cellStyle name="Entrada 2 3 2 7" xfId="24597"/>
    <cellStyle name="Entrada 2 3 2 7 2" xfId="24598"/>
    <cellStyle name="Entrada 2 3 2 7 2 2" xfId="24599"/>
    <cellStyle name="Entrada 2 3 2 7 3" xfId="24600"/>
    <cellStyle name="Entrada 2 3 2 7 3 2" xfId="24601"/>
    <cellStyle name="Entrada 2 3 2 7 4" xfId="24602"/>
    <cellStyle name="Entrada 2 3 2 8" xfId="24603"/>
    <cellStyle name="Entrada 2 3 2 8 2" xfId="24604"/>
    <cellStyle name="Entrada 2 3 2 8 2 2" xfId="24605"/>
    <cellStyle name="Entrada 2 3 2 8 3" xfId="24606"/>
    <cellStyle name="Entrada 2 3 2 8 3 2" xfId="24607"/>
    <cellStyle name="Entrada 2 3 2 8 4" xfId="24608"/>
    <cellStyle name="Entrada 2 3 2 9" xfId="24609"/>
    <cellStyle name="Entrada 2 3 2 9 2" xfId="24610"/>
    <cellStyle name="Entrada 2 3 2 9 2 2" xfId="24611"/>
    <cellStyle name="Entrada 2 3 2 9 3" xfId="24612"/>
    <cellStyle name="Entrada 2 3 2 9 3 2" xfId="24613"/>
    <cellStyle name="Entrada 2 3 2 9 4" xfId="24614"/>
    <cellStyle name="Entrada 2 3 20" xfId="24615"/>
    <cellStyle name="Entrada 2 3 20 2" xfId="24616"/>
    <cellStyle name="Entrada 2 3 20 2 2" xfId="24617"/>
    <cellStyle name="Entrada 2 3 20 3" xfId="24618"/>
    <cellStyle name="Entrada 2 3 20 3 2" xfId="24619"/>
    <cellStyle name="Entrada 2 3 20 4" xfId="24620"/>
    <cellStyle name="Entrada 2 3 21" xfId="24621"/>
    <cellStyle name="Entrada 2 3 21 2" xfId="24622"/>
    <cellStyle name="Entrada 2 3 21 2 2" xfId="24623"/>
    <cellStyle name="Entrada 2 3 21 3" xfId="24624"/>
    <cellStyle name="Entrada 2 3 21 3 2" xfId="24625"/>
    <cellStyle name="Entrada 2 3 21 4" xfId="24626"/>
    <cellStyle name="Entrada 2 3 22" xfId="24627"/>
    <cellStyle name="Entrada 2 3 22 2" xfId="24628"/>
    <cellStyle name="Entrada 2 3 22 2 2" xfId="24629"/>
    <cellStyle name="Entrada 2 3 22 3" xfId="24630"/>
    <cellStyle name="Entrada 2 3 22 3 2" xfId="24631"/>
    <cellStyle name="Entrada 2 3 22 4" xfId="24632"/>
    <cellStyle name="Entrada 2 3 23" xfId="24633"/>
    <cellStyle name="Entrada 2 3 23 2" xfId="24634"/>
    <cellStyle name="Entrada 2 3 23 2 2" xfId="24635"/>
    <cellStyle name="Entrada 2 3 23 3" xfId="24636"/>
    <cellStyle name="Entrada 2 3 23 3 2" xfId="24637"/>
    <cellStyle name="Entrada 2 3 23 4" xfId="24638"/>
    <cellStyle name="Entrada 2 3 24" xfId="24639"/>
    <cellStyle name="Entrada 2 3 24 2" xfId="24640"/>
    <cellStyle name="Entrada 2 3 24 2 2" xfId="24641"/>
    <cellStyle name="Entrada 2 3 24 3" xfId="24642"/>
    <cellStyle name="Entrada 2 3 24 3 2" xfId="24643"/>
    <cellStyle name="Entrada 2 3 24 4" xfId="24644"/>
    <cellStyle name="Entrada 2 3 25" xfId="24645"/>
    <cellStyle name="Entrada 2 3 25 2" xfId="24646"/>
    <cellStyle name="Entrada 2 3 25 2 2" xfId="24647"/>
    <cellStyle name="Entrada 2 3 25 3" xfId="24648"/>
    <cellStyle name="Entrada 2 3 25 3 2" xfId="24649"/>
    <cellStyle name="Entrada 2 3 25 4" xfId="24650"/>
    <cellStyle name="Entrada 2 3 26" xfId="24651"/>
    <cellStyle name="Entrada 2 3 26 2" xfId="24652"/>
    <cellStyle name="Entrada 2 3 26 2 2" xfId="24653"/>
    <cellStyle name="Entrada 2 3 26 3" xfId="24654"/>
    <cellStyle name="Entrada 2 3 26 3 2" xfId="24655"/>
    <cellStyle name="Entrada 2 3 26 4" xfId="24656"/>
    <cellStyle name="Entrada 2 3 27" xfId="24657"/>
    <cellStyle name="Entrada 2 3 27 2" xfId="24658"/>
    <cellStyle name="Entrada 2 3 27 2 2" xfId="24659"/>
    <cellStyle name="Entrada 2 3 27 3" xfId="24660"/>
    <cellStyle name="Entrada 2 3 27 3 2" xfId="24661"/>
    <cellStyle name="Entrada 2 3 27 4" xfId="24662"/>
    <cellStyle name="Entrada 2 3 28" xfId="24663"/>
    <cellStyle name="Entrada 2 3 28 2" xfId="24664"/>
    <cellStyle name="Entrada 2 3 28 2 2" xfId="24665"/>
    <cellStyle name="Entrada 2 3 28 3" xfId="24666"/>
    <cellStyle name="Entrada 2 3 28 3 2" xfId="24667"/>
    <cellStyle name="Entrada 2 3 28 4" xfId="24668"/>
    <cellStyle name="Entrada 2 3 29" xfId="24669"/>
    <cellStyle name="Entrada 2 3 29 2" xfId="24670"/>
    <cellStyle name="Entrada 2 3 29 2 2" xfId="24671"/>
    <cellStyle name="Entrada 2 3 29 3" xfId="24672"/>
    <cellStyle name="Entrada 2 3 29 3 2" xfId="24673"/>
    <cellStyle name="Entrada 2 3 29 4" xfId="24674"/>
    <cellStyle name="Entrada 2 3 3" xfId="24675"/>
    <cellStyle name="Entrada 2 3 3 10" xfId="24676"/>
    <cellStyle name="Entrada 2 3 3 10 2" xfId="24677"/>
    <cellStyle name="Entrada 2 3 3 10 2 2" xfId="24678"/>
    <cellStyle name="Entrada 2 3 3 10 3" xfId="24679"/>
    <cellStyle name="Entrada 2 3 3 10 3 2" xfId="24680"/>
    <cellStyle name="Entrada 2 3 3 10 4" xfId="24681"/>
    <cellStyle name="Entrada 2 3 3 11" xfId="24682"/>
    <cellStyle name="Entrada 2 3 3 11 2" xfId="24683"/>
    <cellStyle name="Entrada 2 3 3 11 2 2" xfId="24684"/>
    <cellStyle name="Entrada 2 3 3 11 3" xfId="24685"/>
    <cellStyle name="Entrada 2 3 3 11 3 2" xfId="24686"/>
    <cellStyle name="Entrada 2 3 3 11 4" xfId="24687"/>
    <cellStyle name="Entrada 2 3 3 12" xfId="24688"/>
    <cellStyle name="Entrada 2 3 3 12 2" xfId="24689"/>
    <cellStyle name="Entrada 2 3 3 12 2 2" xfId="24690"/>
    <cellStyle name="Entrada 2 3 3 12 3" xfId="24691"/>
    <cellStyle name="Entrada 2 3 3 12 3 2" xfId="24692"/>
    <cellStyle name="Entrada 2 3 3 12 4" xfId="24693"/>
    <cellStyle name="Entrada 2 3 3 13" xfId="24694"/>
    <cellStyle name="Entrada 2 3 3 13 2" xfId="24695"/>
    <cellStyle name="Entrada 2 3 3 13 2 2" xfId="24696"/>
    <cellStyle name="Entrada 2 3 3 13 3" xfId="24697"/>
    <cellStyle name="Entrada 2 3 3 13 3 2" xfId="24698"/>
    <cellStyle name="Entrada 2 3 3 13 4" xfId="24699"/>
    <cellStyle name="Entrada 2 3 3 14" xfId="24700"/>
    <cellStyle name="Entrada 2 3 3 14 2" xfId="24701"/>
    <cellStyle name="Entrada 2 3 3 14 2 2" xfId="24702"/>
    <cellStyle name="Entrada 2 3 3 14 3" xfId="24703"/>
    <cellStyle name="Entrada 2 3 3 14 3 2" xfId="24704"/>
    <cellStyle name="Entrada 2 3 3 14 4" xfId="24705"/>
    <cellStyle name="Entrada 2 3 3 15" xfId="24706"/>
    <cellStyle name="Entrada 2 3 3 15 2" xfId="24707"/>
    <cellStyle name="Entrada 2 3 3 15 2 2" xfId="24708"/>
    <cellStyle name="Entrada 2 3 3 15 3" xfId="24709"/>
    <cellStyle name="Entrada 2 3 3 15 3 2" xfId="24710"/>
    <cellStyle name="Entrada 2 3 3 15 4" xfId="24711"/>
    <cellStyle name="Entrada 2 3 3 16" xfId="24712"/>
    <cellStyle name="Entrada 2 3 3 16 2" xfId="24713"/>
    <cellStyle name="Entrada 2 3 3 16 2 2" xfId="24714"/>
    <cellStyle name="Entrada 2 3 3 16 3" xfId="24715"/>
    <cellStyle name="Entrada 2 3 3 16 3 2" xfId="24716"/>
    <cellStyle name="Entrada 2 3 3 16 4" xfId="24717"/>
    <cellStyle name="Entrada 2 3 3 17" xfId="24718"/>
    <cellStyle name="Entrada 2 3 3 17 2" xfId="24719"/>
    <cellStyle name="Entrada 2 3 3 17 2 2" xfId="24720"/>
    <cellStyle name="Entrada 2 3 3 17 3" xfId="24721"/>
    <cellStyle name="Entrada 2 3 3 17 3 2" xfId="24722"/>
    <cellStyle name="Entrada 2 3 3 17 4" xfId="24723"/>
    <cellStyle name="Entrada 2 3 3 18" xfId="24724"/>
    <cellStyle name="Entrada 2 3 3 18 2" xfId="24725"/>
    <cellStyle name="Entrada 2 3 3 18 2 2" xfId="24726"/>
    <cellStyle name="Entrada 2 3 3 18 3" xfId="24727"/>
    <cellStyle name="Entrada 2 3 3 18 3 2" xfId="24728"/>
    <cellStyle name="Entrada 2 3 3 18 4" xfId="24729"/>
    <cellStyle name="Entrada 2 3 3 19" xfId="24730"/>
    <cellStyle name="Entrada 2 3 3 19 2" xfId="24731"/>
    <cellStyle name="Entrada 2 3 3 19 2 2" xfId="24732"/>
    <cellStyle name="Entrada 2 3 3 19 3" xfId="24733"/>
    <cellStyle name="Entrada 2 3 3 19 3 2" xfId="24734"/>
    <cellStyle name="Entrada 2 3 3 19 4" xfId="24735"/>
    <cellStyle name="Entrada 2 3 3 2" xfId="24736"/>
    <cellStyle name="Entrada 2 3 3 2 2" xfId="24737"/>
    <cellStyle name="Entrada 2 3 3 2 2 2" xfId="24738"/>
    <cellStyle name="Entrada 2 3 3 2 3" xfId="24739"/>
    <cellStyle name="Entrada 2 3 3 2 3 2" xfId="24740"/>
    <cellStyle name="Entrada 2 3 3 2 4" xfId="24741"/>
    <cellStyle name="Entrada 2 3 3 20" xfId="24742"/>
    <cellStyle name="Entrada 2 3 3 20 2" xfId="24743"/>
    <cellStyle name="Entrada 2 3 3 20 2 2" xfId="24744"/>
    <cellStyle name="Entrada 2 3 3 20 3" xfId="24745"/>
    <cellStyle name="Entrada 2 3 3 20 3 2" xfId="24746"/>
    <cellStyle name="Entrada 2 3 3 20 4" xfId="24747"/>
    <cellStyle name="Entrada 2 3 3 21" xfId="24748"/>
    <cellStyle name="Entrada 2 3 3 21 2" xfId="24749"/>
    <cellStyle name="Entrada 2 3 3 21 2 2" xfId="24750"/>
    <cellStyle name="Entrada 2 3 3 21 3" xfId="24751"/>
    <cellStyle name="Entrada 2 3 3 21 3 2" xfId="24752"/>
    <cellStyle name="Entrada 2 3 3 21 4" xfId="24753"/>
    <cellStyle name="Entrada 2 3 3 22" xfId="24754"/>
    <cellStyle name="Entrada 2 3 3 22 2" xfId="24755"/>
    <cellStyle name="Entrada 2 3 3 22 2 2" xfId="24756"/>
    <cellStyle name="Entrada 2 3 3 22 3" xfId="24757"/>
    <cellStyle name="Entrada 2 3 3 22 3 2" xfId="24758"/>
    <cellStyle name="Entrada 2 3 3 22 4" xfId="24759"/>
    <cellStyle name="Entrada 2 3 3 23" xfId="24760"/>
    <cellStyle name="Entrada 2 3 3 23 2" xfId="24761"/>
    <cellStyle name="Entrada 2 3 3 23 2 2" xfId="24762"/>
    <cellStyle name="Entrada 2 3 3 23 3" xfId="24763"/>
    <cellStyle name="Entrada 2 3 3 23 3 2" xfId="24764"/>
    <cellStyle name="Entrada 2 3 3 23 4" xfId="24765"/>
    <cellStyle name="Entrada 2 3 3 24" xfId="24766"/>
    <cellStyle name="Entrada 2 3 3 24 2" xfId="24767"/>
    <cellStyle name="Entrada 2 3 3 24 2 2" xfId="24768"/>
    <cellStyle name="Entrada 2 3 3 24 3" xfId="24769"/>
    <cellStyle name="Entrada 2 3 3 24 3 2" xfId="24770"/>
    <cellStyle name="Entrada 2 3 3 24 4" xfId="24771"/>
    <cellStyle name="Entrada 2 3 3 25" xfId="24772"/>
    <cellStyle name="Entrada 2 3 3 25 2" xfId="24773"/>
    <cellStyle name="Entrada 2 3 3 25 2 2" xfId="24774"/>
    <cellStyle name="Entrada 2 3 3 25 3" xfId="24775"/>
    <cellStyle name="Entrada 2 3 3 25 3 2" xfId="24776"/>
    <cellStyle name="Entrada 2 3 3 25 4" xfId="24777"/>
    <cellStyle name="Entrada 2 3 3 26" xfId="24778"/>
    <cellStyle name="Entrada 2 3 3 26 2" xfId="24779"/>
    <cellStyle name="Entrada 2 3 3 26 2 2" xfId="24780"/>
    <cellStyle name="Entrada 2 3 3 26 3" xfId="24781"/>
    <cellStyle name="Entrada 2 3 3 26 3 2" xfId="24782"/>
    <cellStyle name="Entrada 2 3 3 26 4" xfId="24783"/>
    <cellStyle name="Entrada 2 3 3 27" xfId="24784"/>
    <cellStyle name="Entrada 2 3 3 27 2" xfId="24785"/>
    <cellStyle name="Entrada 2 3 3 27 2 2" xfId="24786"/>
    <cellStyle name="Entrada 2 3 3 27 3" xfId="24787"/>
    <cellStyle name="Entrada 2 3 3 27 3 2" xfId="24788"/>
    <cellStyle name="Entrada 2 3 3 27 4" xfId="24789"/>
    <cellStyle name="Entrada 2 3 3 28" xfId="24790"/>
    <cellStyle name="Entrada 2 3 3 28 2" xfId="24791"/>
    <cellStyle name="Entrada 2 3 3 28 2 2" xfId="24792"/>
    <cellStyle name="Entrada 2 3 3 28 3" xfId="24793"/>
    <cellStyle name="Entrada 2 3 3 28 3 2" xfId="24794"/>
    <cellStyle name="Entrada 2 3 3 28 4" xfId="24795"/>
    <cellStyle name="Entrada 2 3 3 29" xfId="24796"/>
    <cellStyle name="Entrada 2 3 3 29 2" xfId="24797"/>
    <cellStyle name="Entrada 2 3 3 29 2 2" xfId="24798"/>
    <cellStyle name="Entrada 2 3 3 29 3" xfId="24799"/>
    <cellStyle name="Entrada 2 3 3 29 3 2" xfId="24800"/>
    <cellStyle name="Entrada 2 3 3 29 4" xfId="24801"/>
    <cellStyle name="Entrada 2 3 3 3" xfId="24802"/>
    <cellStyle name="Entrada 2 3 3 3 2" xfId="24803"/>
    <cellStyle name="Entrada 2 3 3 3 2 2" xfId="24804"/>
    <cellStyle name="Entrada 2 3 3 3 3" xfId="24805"/>
    <cellStyle name="Entrada 2 3 3 3 3 2" xfId="24806"/>
    <cellStyle name="Entrada 2 3 3 3 4" xfId="24807"/>
    <cellStyle name="Entrada 2 3 3 30" xfId="24808"/>
    <cellStyle name="Entrada 2 3 3 30 2" xfId="24809"/>
    <cellStyle name="Entrada 2 3 3 30 2 2" xfId="24810"/>
    <cellStyle name="Entrada 2 3 3 30 3" xfId="24811"/>
    <cellStyle name="Entrada 2 3 3 30 3 2" xfId="24812"/>
    <cellStyle name="Entrada 2 3 3 30 4" xfId="24813"/>
    <cellStyle name="Entrada 2 3 3 31" xfId="24814"/>
    <cellStyle name="Entrada 2 3 3 31 2" xfId="24815"/>
    <cellStyle name="Entrada 2 3 3 31 2 2" xfId="24816"/>
    <cellStyle name="Entrada 2 3 3 31 3" xfId="24817"/>
    <cellStyle name="Entrada 2 3 3 31 3 2" xfId="24818"/>
    <cellStyle name="Entrada 2 3 3 31 4" xfId="24819"/>
    <cellStyle name="Entrada 2 3 3 32" xfId="24820"/>
    <cellStyle name="Entrada 2 3 3 32 2" xfId="24821"/>
    <cellStyle name="Entrada 2 3 3 32 2 2" xfId="24822"/>
    <cellStyle name="Entrada 2 3 3 32 3" xfId="24823"/>
    <cellStyle name="Entrada 2 3 3 32 3 2" xfId="24824"/>
    <cellStyle name="Entrada 2 3 3 32 4" xfId="24825"/>
    <cellStyle name="Entrada 2 3 3 33" xfId="24826"/>
    <cellStyle name="Entrada 2 3 3 33 2" xfId="24827"/>
    <cellStyle name="Entrada 2 3 3 33 2 2" xfId="24828"/>
    <cellStyle name="Entrada 2 3 3 33 3" xfId="24829"/>
    <cellStyle name="Entrada 2 3 3 33 3 2" xfId="24830"/>
    <cellStyle name="Entrada 2 3 3 33 4" xfId="24831"/>
    <cellStyle name="Entrada 2 3 3 34" xfId="24832"/>
    <cellStyle name="Entrada 2 3 3 34 2" xfId="24833"/>
    <cellStyle name="Entrada 2 3 3 34 2 2" xfId="24834"/>
    <cellStyle name="Entrada 2 3 3 34 3" xfId="24835"/>
    <cellStyle name="Entrada 2 3 3 34 3 2" xfId="24836"/>
    <cellStyle name="Entrada 2 3 3 34 4" xfId="24837"/>
    <cellStyle name="Entrada 2 3 3 35" xfId="24838"/>
    <cellStyle name="Entrada 2 3 3 35 2" xfId="24839"/>
    <cellStyle name="Entrada 2 3 3 35 2 2" xfId="24840"/>
    <cellStyle name="Entrada 2 3 3 35 3" xfId="24841"/>
    <cellStyle name="Entrada 2 3 3 35 3 2" xfId="24842"/>
    <cellStyle name="Entrada 2 3 3 35 4" xfId="24843"/>
    <cellStyle name="Entrada 2 3 3 36" xfId="24844"/>
    <cellStyle name="Entrada 2 3 3 36 2" xfId="24845"/>
    <cellStyle name="Entrada 2 3 3 36 2 2" xfId="24846"/>
    <cellStyle name="Entrada 2 3 3 36 3" xfId="24847"/>
    <cellStyle name="Entrada 2 3 3 36 3 2" xfId="24848"/>
    <cellStyle name="Entrada 2 3 3 36 4" xfId="24849"/>
    <cellStyle name="Entrada 2 3 3 37" xfId="24850"/>
    <cellStyle name="Entrada 2 3 3 37 2" xfId="24851"/>
    <cellStyle name="Entrada 2 3 3 37 2 2" xfId="24852"/>
    <cellStyle name="Entrada 2 3 3 37 3" xfId="24853"/>
    <cellStyle name="Entrada 2 3 3 37 3 2" xfId="24854"/>
    <cellStyle name="Entrada 2 3 3 37 4" xfId="24855"/>
    <cellStyle name="Entrada 2 3 3 38" xfId="24856"/>
    <cellStyle name="Entrada 2 3 3 38 2" xfId="24857"/>
    <cellStyle name="Entrada 2 3 3 38 2 2" xfId="24858"/>
    <cellStyle name="Entrada 2 3 3 38 3" xfId="24859"/>
    <cellStyle name="Entrada 2 3 3 38 3 2" xfId="24860"/>
    <cellStyle name="Entrada 2 3 3 38 4" xfId="24861"/>
    <cellStyle name="Entrada 2 3 3 39" xfId="24862"/>
    <cellStyle name="Entrada 2 3 3 39 2" xfId="24863"/>
    <cellStyle name="Entrada 2 3 3 39 2 2" xfId="24864"/>
    <cellStyle name="Entrada 2 3 3 39 3" xfId="24865"/>
    <cellStyle name="Entrada 2 3 3 39 3 2" xfId="24866"/>
    <cellStyle name="Entrada 2 3 3 39 4" xfId="24867"/>
    <cellStyle name="Entrada 2 3 3 4" xfId="24868"/>
    <cellStyle name="Entrada 2 3 3 4 2" xfId="24869"/>
    <cellStyle name="Entrada 2 3 3 4 2 2" xfId="24870"/>
    <cellStyle name="Entrada 2 3 3 4 3" xfId="24871"/>
    <cellStyle name="Entrada 2 3 3 4 3 2" xfId="24872"/>
    <cellStyle name="Entrada 2 3 3 4 4" xfId="24873"/>
    <cellStyle name="Entrada 2 3 3 40" xfId="24874"/>
    <cellStyle name="Entrada 2 3 3 40 2" xfId="24875"/>
    <cellStyle name="Entrada 2 3 3 40 2 2" xfId="24876"/>
    <cellStyle name="Entrada 2 3 3 40 3" xfId="24877"/>
    <cellStyle name="Entrada 2 3 3 41" xfId="24878"/>
    <cellStyle name="Entrada 2 3 3 41 2" xfId="24879"/>
    <cellStyle name="Entrada 2 3 3 42" xfId="24880"/>
    <cellStyle name="Entrada 2 3 3 42 2" xfId="24881"/>
    <cellStyle name="Entrada 2 3 3 43" xfId="24882"/>
    <cellStyle name="Entrada 2 3 3 5" xfId="24883"/>
    <cellStyle name="Entrada 2 3 3 5 2" xfId="24884"/>
    <cellStyle name="Entrada 2 3 3 5 2 2" xfId="24885"/>
    <cellStyle name="Entrada 2 3 3 5 3" xfId="24886"/>
    <cellStyle name="Entrada 2 3 3 5 3 2" xfId="24887"/>
    <cellStyle name="Entrada 2 3 3 5 4" xfId="24888"/>
    <cellStyle name="Entrada 2 3 3 6" xfId="24889"/>
    <cellStyle name="Entrada 2 3 3 6 2" xfId="24890"/>
    <cellStyle name="Entrada 2 3 3 6 2 2" xfId="24891"/>
    <cellStyle name="Entrada 2 3 3 6 3" xfId="24892"/>
    <cellStyle name="Entrada 2 3 3 6 3 2" xfId="24893"/>
    <cellStyle name="Entrada 2 3 3 6 4" xfId="24894"/>
    <cellStyle name="Entrada 2 3 3 7" xfId="24895"/>
    <cellStyle name="Entrada 2 3 3 7 2" xfId="24896"/>
    <cellStyle name="Entrada 2 3 3 7 2 2" xfId="24897"/>
    <cellStyle name="Entrada 2 3 3 7 3" xfId="24898"/>
    <cellStyle name="Entrada 2 3 3 7 3 2" xfId="24899"/>
    <cellStyle name="Entrada 2 3 3 7 4" xfId="24900"/>
    <cellStyle name="Entrada 2 3 3 8" xfId="24901"/>
    <cellStyle name="Entrada 2 3 3 8 2" xfId="24902"/>
    <cellStyle name="Entrada 2 3 3 8 2 2" xfId="24903"/>
    <cellStyle name="Entrada 2 3 3 8 3" xfId="24904"/>
    <cellStyle name="Entrada 2 3 3 8 3 2" xfId="24905"/>
    <cellStyle name="Entrada 2 3 3 8 4" xfId="24906"/>
    <cellStyle name="Entrada 2 3 3 9" xfId="24907"/>
    <cellStyle name="Entrada 2 3 3 9 2" xfId="24908"/>
    <cellStyle name="Entrada 2 3 3 9 2 2" xfId="24909"/>
    <cellStyle name="Entrada 2 3 3 9 3" xfId="24910"/>
    <cellStyle name="Entrada 2 3 3 9 3 2" xfId="24911"/>
    <cellStyle name="Entrada 2 3 3 9 4" xfId="24912"/>
    <cellStyle name="Entrada 2 3 30" xfId="24913"/>
    <cellStyle name="Entrada 2 3 30 2" xfId="24914"/>
    <cellStyle name="Entrada 2 3 30 2 2" xfId="24915"/>
    <cellStyle name="Entrada 2 3 30 3" xfId="24916"/>
    <cellStyle name="Entrada 2 3 30 3 2" xfId="24917"/>
    <cellStyle name="Entrada 2 3 30 4" xfId="24918"/>
    <cellStyle name="Entrada 2 3 31" xfId="24919"/>
    <cellStyle name="Entrada 2 3 31 2" xfId="24920"/>
    <cellStyle name="Entrada 2 3 31 2 2" xfId="24921"/>
    <cellStyle name="Entrada 2 3 31 3" xfId="24922"/>
    <cellStyle name="Entrada 2 3 31 3 2" xfId="24923"/>
    <cellStyle name="Entrada 2 3 31 4" xfId="24924"/>
    <cellStyle name="Entrada 2 3 32" xfId="24925"/>
    <cellStyle name="Entrada 2 3 32 2" xfId="24926"/>
    <cellStyle name="Entrada 2 3 32 2 2" xfId="24927"/>
    <cellStyle name="Entrada 2 3 32 3" xfId="24928"/>
    <cellStyle name="Entrada 2 3 32 3 2" xfId="24929"/>
    <cellStyle name="Entrada 2 3 32 4" xfId="24930"/>
    <cellStyle name="Entrada 2 3 33" xfId="24931"/>
    <cellStyle name="Entrada 2 3 33 2" xfId="24932"/>
    <cellStyle name="Entrada 2 3 33 2 2" xfId="24933"/>
    <cellStyle name="Entrada 2 3 33 3" xfId="24934"/>
    <cellStyle name="Entrada 2 3 34" xfId="24935"/>
    <cellStyle name="Entrada 2 3 34 2" xfId="24936"/>
    <cellStyle name="Entrada 2 3 35" xfId="24937"/>
    <cellStyle name="Entrada 2 3 4" xfId="24938"/>
    <cellStyle name="Entrada 2 3 4 10" xfId="24939"/>
    <cellStyle name="Entrada 2 3 4 10 2" xfId="24940"/>
    <cellStyle name="Entrada 2 3 4 10 2 2" xfId="24941"/>
    <cellStyle name="Entrada 2 3 4 10 3" xfId="24942"/>
    <cellStyle name="Entrada 2 3 4 10 3 2" xfId="24943"/>
    <cellStyle name="Entrada 2 3 4 10 4" xfId="24944"/>
    <cellStyle name="Entrada 2 3 4 11" xfId="24945"/>
    <cellStyle name="Entrada 2 3 4 11 2" xfId="24946"/>
    <cellStyle name="Entrada 2 3 4 11 2 2" xfId="24947"/>
    <cellStyle name="Entrada 2 3 4 11 3" xfId="24948"/>
    <cellStyle name="Entrada 2 3 4 11 3 2" xfId="24949"/>
    <cellStyle name="Entrada 2 3 4 11 4" xfId="24950"/>
    <cellStyle name="Entrada 2 3 4 12" xfId="24951"/>
    <cellStyle name="Entrada 2 3 4 12 2" xfId="24952"/>
    <cellStyle name="Entrada 2 3 4 12 2 2" xfId="24953"/>
    <cellStyle name="Entrada 2 3 4 12 3" xfId="24954"/>
    <cellStyle name="Entrada 2 3 4 12 3 2" xfId="24955"/>
    <cellStyle name="Entrada 2 3 4 12 4" xfId="24956"/>
    <cellStyle name="Entrada 2 3 4 13" xfId="24957"/>
    <cellStyle name="Entrada 2 3 4 13 2" xfId="24958"/>
    <cellStyle name="Entrada 2 3 4 13 2 2" xfId="24959"/>
    <cellStyle name="Entrada 2 3 4 13 3" xfId="24960"/>
    <cellStyle name="Entrada 2 3 4 13 3 2" xfId="24961"/>
    <cellStyle name="Entrada 2 3 4 13 4" xfId="24962"/>
    <cellStyle name="Entrada 2 3 4 14" xfId="24963"/>
    <cellStyle name="Entrada 2 3 4 14 2" xfId="24964"/>
    <cellStyle name="Entrada 2 3 4 14 2 2" xfId="24965"/>
    <cellStyle name="Entrada 2 3 4 14 3" xfId="24966"/>
    <cellStyle name="Entrada 2 3 4 14 3 2" xfId="24967"/>
    <cellStyle name="Entrada 2 3 4 14 4" xfId="24968"/>
    <cellStyle name="Entrada 2 3 4 15" xfId="24969"/>
    <cellStyle name="Entrada 2 3 4 15 2" xfId="24970"/>
    <cellStyle name="Entrada 2 3 4 15 2 2" xfId="24971"/>
    <cellStyle name="Entrada 2 3 4 15 3" xfId="24972"/>
    <cellStyle name="Entrada 2 3 4 15 3 2" xfId="24973"/>
    <cellStyle name="Entrada 2 3 4 15 4" xfId="24974"/>
    <cellStyle name="Entrada 2 3 4 16" xfId="24975"/>
    <cellStyle name="Entrada 2 3 4 16 2" xfId="24976"/>
    <cellStyle name="Entrada 2 3 4 16 2 2" xfId="24977"/>
    <cellStyle name="Entrada 2 3 4 16 3" xfId="24978"/>
    <cellStyle name="Entrada 2 3 4 16 3 2" xfId="24979"/>
    <cellStyle name="Entrada 2 3 4 16 4" xfId="24980"/>
    <cellStyle name="Entrada 2 3 4 17" xfId="24981"/>
    <cellStyle name="Entrada 2 3 4 17 2" xfId="24982"/>
    <cellStyle name="Entrada 2 3 4 17 2 2" xfId="24983"/>
    <cellStyle name="Entrada 2 3 4 17 3" xfId="24984"/>
    <cellStyle name="Entrada 2 3 4 17 3 2" xfId="24985"/>
    <cellStyle name="Entrada 2 3 4 17 4" xfId="24986"/>
    <cellStyle name="Entrada 2 3 4 18" xfId="24987"/>
    <cellStyle name="Entrada 2 3 4 18 2" xfId="24988"/>
    <cellStyle name="Entrada 2 3 4 18 2 2" xfId="24989"/>
    <cellStyle name="Entrada 2 3 4 18 3" xfId="24990"/>
    <cellStyle name="Entrada 2 3 4 18 3 2" xfId="24991"/>
    <cellStyle name="Entrada 2 3 4 18 4" xfId="24992"/>
    <cellStyle name="Entrada 2 3 4 19" xfId="24993"/>
    <cellStyle name="Entrada 2 3 4 19 2" xfId="24994"/>
    <cellStyle name="Entrada 2 3 4 19 2 2" xfId="24995"/>
    <cellStyle name="Entrada 2 3 4 19 3" xfId="24996"/>
    <cellStyle name="Entrada 2 3 4 19 3 2" xfId="24997"/>
    <cellStyle name="Entrada 2 3 4 19 4" xfId="24998"/>
    <cellStyle name="Entrada 2 3 4 2" xfId="24999"/>
    <cellStyle name="Entrada 2 3 4 2 2" xfId="25000"/>
    <cellStyle name="Entrada 2 3 4 2 2 2" xfId="25001"/>
    <cellStyle name="Entrada 2 3 4 2 3" xfId="25002"/>
    <cellStyle name="Entrada 2 3 4 2 3 2" xfId="25003"/>
    <cellStyle name="Entrada 2 3 4 2 4" xfId="25004"/>
    <cellStyle name="Entrada 2 3 4 20" xfId="25005"/>
    <cellStyle name="Entrada 2 3 4 20 2" xfId="25006"/>
    <cellStyle name="Entrada 2 3 4 20 2 2" xfId="25007"/>
    <cellStyle name="Entrada 2 3 4 20 3" xfId="25008"/>
    <cellStyle name="Entrada 2 3 4 20 3 2" xfId="25009"/>
    <cellStyle name="Entrada 2 3 4 20 4" xfId="25010"/>
    <cellStyle name="Entrada 2 3 4 21" xfId="25011"/>
    <cellStyle name="Entrada 2 3 4 21 2" xfId="25012"/>
    <cellStyle name="Entrada 2 3 4 21 2 2" xfId="25013"/>
    <cellStyle name="Entrada 2 3 4 21 3" xfId="25014"/>
    <cellStyle name="Entrada 2 3 4 21 3 2" xfId="25015"/>
    <cellStyle name="Entrada 2 3 4 21 4" xfId="25016"/>
    <cellStyle name="Entrada 2 3 4 22" xfId="25017"/>
    <cellStyle name="Entrada 2 3 4 22 2" xfId="25018"/>
    <cellStyle name="Entrada 2 3 4 22 2 2" xfId="25019"/>
    <cellStyle name="Entrada 2 3 4 22 3" xfId="25020"/>
    <cellStyle name="Entrada 2 3 4 22 3 2" xfId="25021"/>
    <cellStyle name="Entrada 2 3 4 22 4" xfId="25022"/>
    <cellStyle name="Entrada 2 3 4 23" xfId="25023"/>
    <cellStyle name="Entrada 2 3 4 23 2" xfId="25024"/>
    <cellStyle name="Entrada 2 3 4 23 2 2" xfId="25025"/>
    <cellStyle name="Entrada 2 3 4 23 3" xfId="25026"/>
    <cellStyle name="Entrada 2 3 4 23 3 2" xfId="25027"/>
    <cellStyle name="Entrada 2 3 4 23 4" xfId="25028"/>
    <cellStyle name="Entrada 2 3 4 24" xfId="25029"/>
    <cellStyle name="Entrada 2 3 4 24 2" xfId="25030"/>
    <cellStyle name="Entrada 2 3 4 24 2 2" xfId="25031"/>
    <cellStyle name="Entrada 2 3 4 24 3" xfId="25032"/>
    <cellStyle name="Entrada 2 3 4 24 3 2" xfId="25033"/>
    <cellStyle name="Entrada 2 3 4 24 4" xfId="25034"/>
    <cellStyle name="Entrada 2 3 4 25" xfId="25035"/>
    <cellStyle name="Entrada 2 3 4 25 2" xfId="25036"/>
    <cellStyle name="Entrada 2 3 4 25 2 2" xfId="25037"/>
    <cellStyle name="Entrada 2 3 4 25 3" xfId="25038"/>
    <cellStyle name="Entrada 2 3 4 25 3 2" xfId="25039"/>
    <cellStyle name="Entrada 2 3 4 25 4" xfId="25040"/>
    <cellStyle name="Entrada 2 3 4 26" xfId="25041"/>
    <cellStyle name="Entrada 2 3 4 26 2" xfId="25042"/>
    <cellStyle name="Entrada 2 3 4 26 2 2" xfId="25043"/>
    <cellStyle name="Entrada 2 3 4 26 3" xfId="25044"/>
    <cellStyle name="Entrada 2 3 4 26 3 2" xfId="25045"/>
    <cellStyle name="Entrada 2 3 4 26 4" xfId="25046"/>
    <cellStyle name="Entrada 2 3 4 27" xfId="25047"/>
    <cellStyle name="Entrada 2 3 4 27 2" xfId="25048"/>
    <cellStyle name="Entrada 2 3 4 27 2 2" xfId="25049"/>
    <cellStyle name="Entrada 2 3 4 27 3" xfId="25050"/>
    <cellStyle name="Entrada 2 3 4 27 3 2" xfId="25051"/>
    <cellStyle name="Entrada 2 3 4 27 4" xfId="25052"/>
    <cellStyle name="Entrada 2 3 4 28" xfId="25053"/>
    <cellStyle name="Entrada 2 3 4 28 2" xfId="25054"/>
    <cellStyle name="Entrada 2 3 4 28 2 2" xfId="25055"/>
    <cellStyle name="Entrada 2 3 4 28 3" xfId="25056"/>
    <cellStyle name="Entrada 2 3 4 28 3 2" xfId="25057"/>
    <cellStyle name="Entrada 2 3 4 28 4" xfId="25058"/>
    <cellStyle name="Entrada 2 3 4 29" xfId="25059"/>
    <cellStyle name="Entrada 2 3 4 29 2" xfId="25060"/>
    <cellStyle name="Entrada 2 3 4 29 2 2" xfId="25061"/>
    <cellStyle name="Entrada 2 3 4 29 3" xfId="25062"/>
    <cellStyle name="Entrada 2 3 4 29 3 2" xfId="25063"/>
    <cellStyle name="Entrada 2 3 4 29 4" xfId="25064"/>
    <cellStyle name="Entrada 2 3 4 3" xfId="25065"/>
    <cellStyle name="Entrada 2 3 4 3 2" xfId="25066"/>
    <cellStyle name="Entrada 2 3 4 3 2 2" xfId="25067"/>
    <cellStyle name="Entrada 2 3 4 3 3" xfId="25068"/>
    <cellStyle name="Entrada 2 3 4 3 3 2" xfId="25069"/>
    <cellStyle name="Entrada 2 3 4 3 4" xfId="25070"/>
    <cellStyle name="Entrada 2 3 4 30" xfId="25071"/>
    <cellStyle name="Entrada 2 3 4 30 2" xfId="25072"/>
    <cellStyle name="Entrada 2 3 4 30 2 2" xfId="25073"/>
    <cellStyle name="Entrada 2 3 4 30 3" xfId="25074"/>
    <cellStyle name="Entrada 2 3 4 30 3 2" xfId="25075"/>
    <cellStyle name="Entrada 2 3 4 30 4" xfId="25076"/>
    <cellStyle name="Entrada 2 3 4 31" xfId="25077"/>
    <cellStyle name="Entrada 2 3 4 31 2" xfId="25078"/>
    <cellStyle name="Entrada 2 3 4 31 2 2" xfId="25079"/>
    <cellStyle name="Entrada 2 3 4 31 3" xfId="25080"/>
    <cellStyle name="Entrada 2 3 4 31 3 2" xfId="25081"/>
    <cellStyle name="Entrada 2 3 4 31 4" xfId="25082"/>
    <cellStyle name="Entrada 2 3 4 32" xfId="25083"/>
    <cellStyle name="Entrada 2 3 4 32 2" xfId="25084"/>
    <cellStyle name="Entrada 2 3 4 32 2 2" xfId="25085"/>
    <cellStyle name="Entrada 2 3 4 32 3" xfId="25086"/>
    <cellStyle name="Entrada 2 3 4 32 3 2" xfId="25087"/>
    <cellStyle name="Entrada 2 3 4 32 4" xfId="25088"/>
    <cellStyle name="Entrada 2 3 4 33" xfId="25089"/>
    <cellStyle name="Entrada 2 3 4 33 2" xfId="25090"/>
    <cellStyle name="Entrada 2 3 4 33 2 2" xfId="25091"/>
    <cellStyle name="Entrada 2 3 4 33 3" xfId="25092"/>
    <cellStyle name="Entrada 2 3 4 33 3 2" xfId="25093"/>
    <cellStyle name="Entrada 2 3 4 33 4" xfId="25094"/>
    <cellStyle name="Entrada 2 3 4 34" xfId="25095"/>
    <cellStyle name="Entrada 2 3 4 34 2" xfId="25096"/>
    <cellStyle name="Entrada 2 3 4 34 2 2" xfId="25097"/>
    <cellStyle name="Entrada 2 3 4 34 3" xfId="25098"/>
    <cellStyle name="Entrada 2 3 4 34 3 2" xfId="25099"/>
    <cellStyle name="Entrada 2 3 4 34 4" xfId="25100"/>
    <cellStyle name="Entrada 2 3 4 35" xfId="25101"/>
    <cellStyle name="Entrada 2 3 4 35 2" xfId="25102"/>
    <cellStyle name="Entrada 2 3 4 35 2 2" xfId="25103"/>
    <cellStyle name="Entrada 2 3 4 35 3" xfId="25104"/>
    <cellStyle name="Entrada 2 3 4 35 3 2" xfId="25105"/>
    <cellStyle name="Entrada 2 3 4 35 4" xfId="25106"/>
    <cellStyle name="Entrada 2 3 4 36" xfId="25107"/>
    <cellStyle name="Entrada 2 3 4 36 2" xfId="25108"/>
    <cellStyle name="Entrada 2 3 4 36 2 2" xfId="25109"/>
    <cellStyle name="Entrada 2 3 4 36 3" xfId="25110"/>
    <cellStyle name="Entrada 2 3 4 36 3 2" xfId="25111"/>
    <cellStyle name="Entrada 2 3 4 36 4" xfId="25112"/>
    <cellStyle name="Entrada 2 3 4 37" xfId="25113"/>
    <cellStyle name="Entrada 2 3 4 37 2" xfId="25114"/>
    <cellStyle name="Entrada 2 3 4 37 2 2" xfId="25115"/>
    <cellStyle name="Entrada 2 3 4 37 3" xfId="25116"/>
    <cellStyle name="Entrada 2 3 4 37 3 2" xfId="25117"/>
    <cellStyle name="Entrada 2 3 4 37 4" xfId="25118"/>
    <cellStyle name="Entrada 2 3 4 38" xfId="25119"/>
    <cellStyle name="Entrada 2 3 4 38 2" xfId="25120"/>
    <cellStyle name="Entrada 2 3 4 38 2 2" xfId="25121"/>
    <cellStyle name="Entrada 2 3 4 38 3" xfId="25122"/>
    <cellStyle name="Entrada 2 3 4 38 3 2" xfId="25123"/>
    <cellStyle name="Entrada 2 3 4 38 4" xfId="25124"/>
    <cellStyle name="Entrada 2 3 4 39" xfId="25125"/>
    <cellStyle name="Entrada 2 3 4 39 2" xfId="25126"/>
    <cellStyle name="Entrada 2 3 4 39 2 2" xfId="25127"/>
    <cellStyle name="Entrada 2 3 4 39 3" xfId="25128"/>
    <cellStyle name="Entrada 2 3 4 39 3 2" xfId="25129"/>
    <cellStyle name="Entrada 2 3 4 39 4" xfId="25130"/>
    <cellStyle name="Entrada 2 3 4 4" xfId="25131"/>
    <cellStyle name="Entrada 2 3 4 4 2" xfId="25132"/>
    <cellStyle name="Entrada 2 3 4 4 2 2" xfId="25133"/>
    <cellStyle name="Entrada 2 3 4 4 3" xfId="25134"/>
    <cellStyle name="Entrada 2 3 4 4 3 2" xfId="25135"/>
    <cellStyle name="Entrada 2 3 4 4 4" xfId="25136"/>
    <cellStyle name="Entrada 2 3 4 40" xfId="25137"/>
    <cellStyle name="Entrada 2 3 4 40 2" xfId="25138"/>
    <cellStyle name="Entrada 2 3 4 40 2 2" xfId="25139"/>
    <cellStyle name="Entrada 2 3 4 40 3" xfId="25140"/>
    <cellStyle name="Entrada 2 3 4 41" xfId="25141"/>
    <cellStyle name="Entrada 2 3 4 41 2" xfId="25142"/>
    <cellStyle name="Entrada 2 3 4 42" xfId="25143"/>
    <cellStyle name="Entrada 2 3 4 42 2" xfId="25144"/>
    <cellStyle name="Entrada 2 3 4 43" xfId="25145"/>
    <cellStyle name="Entrada 2 3 4 5" xfId="25146"/>
    <cellStyle name="Entrada 2 3 4 5 2" xfId="25147"/>
    <cellStyle name="Entrada 2 3 4 5 2 2" xfId="25148"/>
    <cellStyle name="Entrada 2 3 4 5 3" xfId="25149"/>
    <cellStyle name="Entrada 2 3 4 5 3 2" xfId="25150"/>
    <cellStyle name="Entrada 2 3 4 5 4" xfId="25151"/>
    <cellStyle name="Entrada 2 3 4 6" xfId="25152"/>
    <cellStyle name="Entrada 2 3 4 6 2" xfId="25153"/>
    <cellStyle name="Entrada 2 3 4 6 2 2" xfId="25154"/>
    <cellStyle name="Entrada 2 3 4 6 3" xfId="25155"/>
    <cellStyle name="Entrada 2 3 4 6 3 2" xfId="25156"/>
    <cellStyle name="Entrada 2 3 4 6 4" xfId="25157"/>
    <cellStyle name="Entrada 2 3 4 7" xfId="25158"/>
    <cellStyle name="Entrada 2 3 4 7 2" xfId="25159"/>
    <cellStyle name="Entrada 2 3 4 7 2 2" xfId="25160"/>
    <cellStyle name="Entrada 2 3 4 7 3" xfId="25161"/>
    <cellStyle name="Entrada 2 3 4 7 3 2" xfId="25162"/>
    <cellStyle name="Entrada 2 3 4 7 4" xfId="25163"/>
    <cellStyle name="Entrada 2 3 4 8" xfId="25164"/>
    <cellStyle name="Entrada 2 3 4 8 2" xfId="25165"/>
    <cellStyle name="Entrada 2 3 4 8 2 2" xfId="25166"/>
    <cellStyle name="Entrada 2 3 4 8 3" xfId="25167"/>
    <cellStyle name="Entrada 2 3 4 8 3 2" xfId="25168"/>
    <cellStyle name="Entrada 2 3 4 8 4" xfId="25169"/>
    <cellStyle name="Entrada 2 3 4 9" xfId="25170"/>
    <cellStyle name="Entrada 2 3 4 9 2" xfId="25171"/>
    <cellStyle name="Entrada 2 3 4 9 2 2" xfId="25172"/>
    <cellStyle name="Entrada 2 3 4 9 3" xfId="25173"/>
    <cellStyle name="Entrada 2 3 4 9 3 2" xfId="25174"/>
    <cellStyle name="Entrada 2 3 4 9 4" xfId="25175"/>
    <cellStyle name="Entrada 2 3 5" xfId="25176"/>
    <cellStyle name="Entrada 2 3 5 10" xfId="25177"/>
    <cellStyle name="Entrada 2 3 5 10 2" xfId="25178"/>
    <cellStyle name="Entrada 2 3 5 10 2 2" xfId="25179"/>
    <cellStyle name="Entrada 2 3 5 10 3" xfId="25180"/>
    <cellStyle name="Entrada 2 3 5 10 3 2" xfId="25181"/>
    <cellStyle name="Entrada 2 3 5 10 4" xfId="25182"/>
    <cellStyle name="Entrada 2 3 5 11" xfId="25183"/>
    <cellStyle name="Entrada 2 3 5 11 2" xfId="25184"/>
    <cellStyle name="Entrada 2 3 5 11 2 2" xfId="25185"/>
    <cellStyle name="Entrada 2 3 5 11 3" xfId="25186"/>
    <cellStyle name="Entrada 2 3 5 11 3 2" xfId="25187"/>
    <cellStyle name="Entrada 2 3 5 11 4" xfId="25188"/>
    <cellStyle name="Entrada 2 3 5 12" xfId="25189"/>
    <cellStyle name="Entrada 2 3 5 12 2" xfId="25190"/>
    <cellStyle name="Entrada 2 3 5 12 2 2" xfId="25191"/>
    <cellStyle name="Entrada 2 3 5 12 3" xfId="25192"/>
    <cellStyle name="Entrada 2 3 5 12 3 2" xfId="25193"/>
    <cellStyle name="Entrada 2 3 5 12 4" xfId="25194"/>
    <cellStyle name="Entrada 2 3 5 13" xfId="25195"/>
    <cellStyle name="Entrada 2 3 5 13 2" xfId="25196"/>
    <cellStyle name="Entrada 2 3 5 13 2 2" xfId="25197"/>
    <cellStyle name="Entrada 2 3 5 13 3" xfId="25198"/>
    <cellStyle name="Entrada 2 3 5 13 3 2" xfId="25199"/>
    <cellStyle name="Entrada 2 3 5 13 4" xfId="25200"/>
    <cellStyle name="Entrada 2 3 5 14" xfId="25201"/>
    <cellStyle name="Entrada 2 3 5 14 2" xfId="25202"/>
    <cellStyle name="Entrada 2 3 5 14 2 2" xfId="25203"/>
    <cellStyle name="Entrada 2 3 5 14 3" xfId="25204"/>
    <cellStyle name="Entrada 2 3 5 14 3 2" xfId="25205"/>
    <cellStyle name="Entrada 2 3 5 14 4" xfId="25206"/>
    <cellStyle name="Entrada 2 3 5 15" xfId="25207"/>
    <cellStyle name="Entrada 2 3 5 15 2" xfId="25208"/>
    <cellStyle name="Entrada 2 3 5 15 2 2" xfId="25209"/>
    <cellStyle name="Entrada 2 3 5 15 3" xfId="25210"/>
    <cellStyle name="Entrada 2 3 5 15 3 2" xfId="25211"/>
    <cellStyle name="Entrada 2 3 5 15 4" xfId="25212"/>
    <cellStyle name="Entrada 2 3 5 16" xfId="25213"/>
    <cellStyle name="Entrada 2 3 5 16 2" xfId="25214"/>
    <cellStyle name="Entrada 2 3 5 16 2 2" xfId="25215"/>
    <cellStyle name="Entrada 2 3 5 16 3" xfId="25216"/>
    <cellStyle name="Entrada 2 3 5 16 3 2" xfId="25217"/>
    <cellStyle name="Entrada 2 3 5 16 4" xfId="25218"/>
    <cellStyle name="Entrada 2 3 5 17" xfId="25219"/>
    <cellStyle name="Entrada 2 3 5 17 2" xfId="25220"/>
    <cellStyle name="Entrada 2 3 5 17 2 2" xfId="25221"/>
    <cellStyle name="Entrada 2 3 5 17 3" xfId="25222"/>
    <cellStyle name="Entrada 2 3 5 17 3 2" xfId="25223"/>
    <cellStyle name="Entrada 2 3 5 17 4" xfId="25224"/>
    <cellStyle name="Entrada 2 3 5 18" xfId="25225"/>
    <cellStyle name="Entrada 2 3 5 18 2" xfId="25226"/>
    <cellStyle name="Entrada 2 3 5 18 2 2" xfId="25227"/>
    <cellStyle name="Entrada 2 3 5 18 3" xfId="25228"/>
    <cellStyle name="Entrada 2 3 5 18 3 2" xfId="25229"/>
    <cellStyle name="Entrada 2 3 5 18 4" xfId="25230"/>
    <cellStyle name="Entrada 2 3 5 19" xfId="25231"/>
    <cellStyle name="Entrada 2 3 5 19 2" xfId="25232"/>
    <cellStyle name="Entrada 2 3 5 19 2 2" xfId="25233"/>
    <cellStyle name="Entrada 2 3 5 19 3" xfId="25234"/>
    <cellStyle name="Entrada 2 3 5 19 3 2" xfId="25235"/>
    <cellStyle name="Entrada 2 3 5 19 4" xfId="25236"/>
    <cellStyle name="Entrada 2 3 5 2" xfId="25237"/>
    <cellStyle name="Entrada 2 3 5 2 2" xfId="25238"/>
    <cellStyle name="Entrada 2 3 5 2 2 2" xfId="25239"/>
    <cellStyle name="Entrada 2 3 5 2 3" xfId="25240"/>
    <cellStyle name="Entrada 2 3 5 2 3 2" xfId="25241"/>
    <cellStyle name="Entrada 2 3 5 2 4" xfId="25242"/>
    <cellStyle name="Entrada 2 3 5 20" xfId="25243"/>
    <cellStyle name="Entrada 2 3 5 20 2" xfId="25244"/>
    <cellStyle name="Entrada 2 3 5 20 2 2" xfId="25245"/>
    <cellStyle name="Entrada 2 3 5 20 3" xfId="25246"/>
    <cellStyle name="Entrada 2 3 5 20 3 2" xfId="25247"/>
    <cellStyle name="Entrada 2 3 5 20 4" xfId="25248"/>
    <cellStyle name="Entrada 2 3 5 21" xfId="25249"/>
    <cellStyle name="Entrada 2 3 5 21 2" xfId="25250"/>
    <cellStyle name="Entrada 2 3 5 21 2 2" xfId="25251"/>
    <cellStyle name="Entrada 2 3 5 21 3" xfId="25252"/>
    <cellStyle name="Entrada 2 3 5 21 3 2" xfId="25253"/>
    <cellStyle name="Entrada 2 3 5 21 4" xfId="25254"/>
    <cellStyle name="Entrada 2 3 5 22" xfId="25255"/>
    <cellStyle name="Entrada 2 3 5 22 2" xfId="25256"/>
    <cellStyle name="Entrada 2 3 5 22 2 2" xfId="25257"/>
    <cellStyle name="Entrada 2 3 5 22 3" xfId="25258"/>
    <cellStyle name="Entrada 2 3 5 22 3 2" xfId="25259"/>
    <cellStyle name="Entrada 2 3 5 22 4" xfId="25260"/>
    <cellStyle name="Entrada 2 3 5 23" xfId="25261"/>
    <cellStyle name="Entrada 2 3 5 23 2" xfId="25262"/>
    <cellStyle name="Entrada 2 3 5 23 2 2" xfId="25263"/>
    <cellStyle name="Entrada 2 3 5 23 3" xfId="25264"/>
    <cellStyle name="Entrada 2 3 5 23 3 2" xfId="25265"/>
    <cellStyle name="Entrada 2 3 5 23 4" xfId="25266"/>
    <cellStyle name="Entrada 2 3 5 24" xfId="25267"/>
    <cellStyle name="Entrada 2 3 5 24 2" xfId="25268"/>
    <cellStyle name="Entrada 2 3 5 24 2 2" xfId="25269"/>
    <cellStyle name="Entrada 2 3 5 24 3" xfId="25270"/>
    <cellStyle name="Entrada 2 3 5 24 3 2" xfId="25271"/>
    <cellStyle name="Entrada 2 3 5 24 4" xfId="25272"/>
    <cellStyle name="Entrada 2 3 5 25" xfId="25273"/>
    <cellStyle name="Entrada 2 3 5 25 2" xfId="25274"/>
    <cellStyle name="Entrada 2 3 5 25 2 2" xfId="25275"/>
    <cellStyle name="Entrada 2 3 5 25 3" xfId="25276"/>
    <cellStyle name="Entrada 2 3 5 25 3 2" xfId="25277"/>
    <cellStyle name="Entrada 2 3 5 25 4" xfId="25278"/>
    <cellStyle name="Entrada 2 3 5 26" xfId="25279"/>
    <cellStyle name="Entrada 2 3 5 26 2" xfId="25280"/>
    <cellStyle name="Entrada 2 3 5 26 2 2" xfId="25281"/>
    <cellStyle name="Entrada 2 3 5 26 3" xfId="25282"/>
    <cellStyle name="Entrada 2 3 5 26 3 2" xfId="25283"/>
    <cellStyle name="Entrada 2 3 5 26 4" xfId="25284"/>
    <cellStyle name="Entrada 2 3 5 27" xfId="25285"/>
    <cellStyle name="Entrada 2 3 5 27 2" xfId="25286"/>
    <cellStyle name="Entrada 2 3 5 27 2 2" xfId="25287"/>
    <cellStyle name="Entrada 2 3 5 27 3" xfId="25288"/>
    <cellStyle name="Entrada 2 3 5 27 3 2" xfId="25289"/>
    <cellStyle name="Entrada 2 3 5 27 4" xfId="25290"/>
    <cellStyle name="Entrada 2 3 5 28" xfId="25291"/>
    <cellStyle name="Entrada 2 3 5 28 2" xfId="25292"/>
    <cellStyle name="Entrada 2 3 5 28 2 2" xfId="25293"/>
    <cellStyle name="Entrada 2 3 5 28 3" xfId="25294"/>
    <cellStyle name="Entrada 2 3 5 28 3 2" xfId="25295"/>
    <cellStyle name="Entrada 2 3 5 28 4" xfId="25296"/>
    <cellStyle name="Entrada 2 3 5 29" xfId="25297"/>
    <cellStyle name="Entrada 2 3 5 29 2" xfId="25298"/>
    <cellStyle name="Entrada 2 3 5 29 2 2" xfId="25299"/>
    <cellStyle name="Entrada 2 3 5 29 3" xfId="25300"/>
    <cellStyle name="Entrada 2 3 5 29 3 2" xfId="25301"/>
    <cellStyle name="Entrada 2 3 5 29 4" xfId="25302"/>
    <cellStyle name="Entrada 2 3 5 3" xfId="25303"/>
    <cellStyle name="Entrada 2 3 5 3 2" xfId="25304"/>
    <cellStyle name="Entrada 2 3 5 3 2 2" xfId="25305"/>
    <cellStyle name="Entrada 2 3 5 3 3" xfId="25306"/>
    <cellStyle name="Entrada 2 3 5 3 3 2" xfId="25307"/>
    <cellStyle name="Entrada 2 3 5 3 4" xfId="25308"/>
    <cellStyle name="Entrada 2 3 5 30" xfId="25309"/>
    <cellStyle name="Entrada 2 3 5 30 2" xfId="25310"/>
    <cellStyle name="Entrada 2 3 5 30 2 2" xfId="25311"/>
    <cellStyle name="Entrada 2 3 5 30 3" xfId="25312"/>
    <cellStyle name="Entrada 2 3 5 30 3 2" xfId="25313"/>
    <cellStyle name="Entrada 2 3 5 30 4" xfId="25314"/>
    <cellStyle name="Entrada 2 3 5 31" xfId="25315"/>
    <cellStyle name="Entrada 2 3 5 31 2" xfId="25316"/>
    <cellStyle name="Entrada 2 3 5 31 2 2" xfId="25317"/>
    <cellStyle name="Entrada 2 3 5 31 3" xfId="25318"/>
    <cellStyle name="Entrada 2 3 5 31 3 2" xfId="25319"/>
    <cellStyle name="Entrada 2 3 5 31 4" xfId="25320"/>
    <cellStyle name="Entrada 2 3 5 32" xfId="25321"/>
    <cellStyle name="Entrada 2 3 5 32 2" xfId="25322"/>
    <cellStyle name="Entrada 2 3 5 32 2 2" xfId="25323"/>
    <cellStyle name="Entrada 2 3 5 32 3" xfId="25324"/>
    <cellStyle name="Entrada 2 3 5 32 3 2" xfId="25325"/>
    <cellStyle name="Entrada 2 3 5 32 4" xfId="25326"/>
    <cellStyle name="Entrada 2 3 5 33" xfId="25327"/>
    <cellStyle name="Entrada 2 3 5 33 2" xfId="25328"/>
    <cellStyle name="Entrada 2 3 5 33 2 2" xfId="25329"/>
    <cellStyle name="Entrada 2 3 5 33 3" xfId="25330"/>
    <cellStyle name="Entrada 2 3 5 33 3 2" xfId="25331"/>
    <cellStyle name="Entrada 2 3 5 33 4" xfId="25332"/>
    <cellStyle name="Entrada 2 3 5 34" xfId="25333"/>
    <cellStyle name="Entrada 2 3 5 34 2" xfId="25334"/>
    <cellStyle name="Entrada 2 3 5 34 2 2" xfId="25335"/>
    <cellStyle name="Entrada 2 3 5 34 3" xfId="25336"/>
    <cellStyle name="Entrada 2 3 5 34 3 2" xfId="25337"/>
    <cellStyle name="Entrada 2 3 5 34 4" xfId="25338"/>
    <cellStyle name="Entrada 2 3 5 35" xfId="25339"/>
    <cellStyle name="Entrada 2 3 5 35 2" xfId="25340"/>
    <cellStyle name="Entrada 2 3 5 35 2 2" xfId="25341"/>
    <cellStyle name="Entrada 2 3 5 35 3" xfId="25342"/>
    <cellStyle name="Entrada 2 3 5 35 3 2" xfId="25343"/>
    <cellStyle name="Entrada 2 3 5 35 4" xfId="25344"/>
    <cellStyle name="Entrada 2 3 5 36" xfId="25345"/>
    <cellStyle name="Entrada 2 3 5 36 2" xfId="25346"/>
    <cellStyle name="Entrada 2 3 5 36 2 2" xfId="25347"/>
    <cellStyle name="Entrada 2 3 5 36 3" xfId="25348"/>
    <cellStyle name="Entrada 2 3 5 36 3 2" xfId="25349"/>
    <cellStyle name="Entrada 2 3 5 36 4" xfId="25350"/>
    <cellStyle name="Entrada 2 3 5 37" xfId="25351"/>
    <cellStyle name="Entrada 2 3 5 37 2" xfId="25352"/>
    <cellStyle name="Entrada 2 3 5 37 2 2" xfId="25353"/>
    <cellStyle name="Entrada 2 3 5 37 3" xfId="25354"/>
    <cellStyle name="Entrada 2 3 5 37 3 2" xfId="25355"/>
    <cellStyle name="Entrada 2 3 5 37 4" xfId="25356"/>
    <cellStyle name="Entrada 2 3 5 38" xfId="25357"/>
    <cellStyle name="Entrada 2 3 5 38 2" xfId="25358"/>
    <cellStyle name="Entrada 2 3 5 38 2 2" xfId="25359"/>
    <cellStyle name="Entrada 2 3 5 38 3" xfId="25360"/>
    <cellStyle name="Entrada 2 3 5 38 3 2" xfId="25361"/>
    <cellStyle name="Entrada 2 3 5 38 4" xfId="25362"/>
    <cellStyle name="Entrada 2 3 5 39" xfId="25363"/>
    <cellStyle name="Entrada 2 3 5 39 2" xfId="25364"/>
    <cellStyle name="Entrada 2 3 5 39 2 2" xfId="25365"/>
    <cellStyle name="Entrada 2 3 5 39 3" xfId="25366"/>
    <cellStyle name="Entrada 2 3 5 4" xfId="25367"/>
    <cellStyle name="Entrada 2 3 5 4 2" xfId="25368"/>
    <cellStyle name="Entrada 2 3 5 4 2 2" xfId="25369"/>
    <cellStyle name="Entrada 2 3 5 4 3" xfId="25370"/>
    <cellStyle name="Entrada 2 3 5 4 3 2" xfId="25371"/>
    <cellStyle name="Entrada 2 3 5 4 4" xfId="25372"/>
    <cellStyle name="Entrada 2 3 5 40" xfId="25373"/>
    <cellStyle name="Entrada 2 3 5 40 2" xfId="25374"/>
    <cellStyle name="Entrada 2 3 5 41" xfId="25375"/>
    <cellStyle name="Entrada 2 3 5 41 2" xfId="25376"/>
    <cellStyle name="Entrada 2 3 5 42" xfId="25377"/>
    <cellStyle name="Entrada 2 3 5 5" xfId="25378"/>
    <cellStyle name="Entrada 2 3 5 5 2" xfId="25379"/>
    <cellStyle name="Entrada 2 3 5 5 2 2" xfId="25380"/>
    <cellStyle name="Entrada 2 3 5 5 3" xfId="25381"/>
    <cellStyle name="Entrada 2 3 5 5 3 2" xfId="25382"/>
    <cellStyle name="Entrada 2 3 5 5 4" xfId="25383"/>
    <cellStyle name="Entrada 2 3 5 6" xfId="25384"/>
    <cellStyle name="Entrada 2 3 5 6 2" xfId="25385"/>
    <cellStyle name="Entrada 2 3 5 6 2 2" xfId="25386"/>
    <cellStyle name="Entrada 2 3 5 6 3" xfId="25387"/>
    <cellStyle name="Entrada 2 3 5 6 3 2" xfId="25388"/>
    <cellStyle name="Entrada 2 3 5 6 4" xfId="25389"/>
    <cellStyle name="Entrada 2 3 5 7" xfId="25390"/>
    <cellStyle name="Entrada 2 3 5 7 2" xfId="25391"/>
    <cellStyle name="Entrada 2 3 5 7 2 2" xfId="25392"/>
    <cellStyle name="Entrada 2 3 5 7 3" xfId="25393"/>
    <cellStyle name="Entrada 2 3 5 7 3 2" xfId="25394"/>
    <cellStyle name="Entrada 2 3 5 7 4" xfId="25395"/>
    <cellStyle name="Entrada 2 3 5 8" xfId="25396"/>
    <cellStyle name="Entrada 2 3 5 8 2" xfId="25397"/>
    <cellStyle name="Entrada 2 3 5 8 2 2" xfId="25398"/>
    <cellStyle name="Entrada 2 3 5 8 3" xfId="25399"/>
    <cellStyle name="Entrada 2 3 5 8 3 2" xfId="25400"/>
    <cellStyle name="Entrada 2 3 5 8 4" xfId="25401"/>
    <cellStyle name="Entrada 2 3 5 9" xfId="25402"/>
    <cellStyle name="Entrada 2 3 5 9 2" xfId="25403"/>
    <cellStyle name="Entrada 2 3 5 9 2 2" xfId="25404"/>
    <cellStyle name="Entrada 2 3 5 9 3" xfId="25405"/>
    <cellStyle name="Entrada 2 3 5 9 3 2" xfId="25406"/>
    <cellStyle name="Entrada 2 3 5 9 4" xfId="25407"/>
    <cellStyle name="Entrada 2 3 6" xfId="25408"/>
    <cellStyle name="Entrada 2 3 6 10" xfId="25409"/>
    <cellStyle name="Entrada 2 3 6 10 2" xfId="25410"/>
    <cellStyle name="Entrada 2 3 6 10 2 2" xfId="25411"/>
    <cellStyle name="Entrada 2 3 6 10 3" xfId="25412"/>
    <cellStyle name="Entrada 2 3 6 10 3 2" xfId="25413"/>
    <cellStyle name="Entrada 2 3 6 10 4" xfId="25414"/>
    <cellStyle name="Entrada 2 3 6 11" xfId="25415"/>
    <cellStyle name="Entrada 2 3 6 11 2" xfId="25416"/>
    <cellStyle name="Entrada 2 3 6 11 2 2" xfId="25417"/>
    <cellStyle name="Entrada 2 3 6 11 3" xfId="25418"/>
    <cellStyle name="Entrada 2 3 6 11 3 2" xfId="25419"/>
    <cellStyle name="Entrada 2 3 6 11 4" xfId="25420"/>
    <cellStyle name="Entrada 2 3 6 12" xfId="25421"/>
    <cellStyle name="Entrada 2 3 6 12 2" xfId="25422"/>
    <cellStyle name="Entrada 2 3 6 12 2 2" xfId="25423"/>
    <cellStyle name="Entrada 2 3 6 12 3" xfId="25424"/>
    <cellStyle name="Entrada 2 3 6 12 3 2" xfId="25425"/>
    <cellStyle name="Entrada 2 3 6 12 4" xfId="25426"/>
    <cellStyle name="Entrada 2 3 6 13" xfId="25427"/>
    <cellStyle name="Entrada 2 3 6 13 2" xfId="25428"/>
    <cellStyle name="Entrada 2 3 6 13 2 2" xfId="25429"/>
    <cellStyle name="Entrada 2 3 6 13 3" xfId="25430"/>
    <cellStyle name="Entrada 2 3 6 13 3 2" xfId="25431"/>
    <cellStyle name="Entrada 2 3 6 13 4" xfId="25432"/>
    <cellStyle name="Entrada 2 3 6 14" xfId="25433"/>
    <cellStyle name="Entrada 2 3 6 14 2" xfId="25434"/>
    <cellStyle name="Entrada 2 3 6 14 2 2" xfId="25435"/>
    <cellStyle name="Entrada 2 3 6 14 3" xfId="25436"/>
    <cellStyle name="Entrada 2 3 6 14 3 2" xfId="25437"/>
    <cellStyle name="Entrada 2 3 6 14 4" xfId="25438"/>
    <cellStyle name="Entrada 2 3 6 15" xfId="25439"/>
    <cellStyle name="Entrada 2 3 6 15 2" xfId="25440"/>
    <cellStyle name="Entrada 2 3 6 15 2 2" xfId="25441"/>
    <cellStyle name="Entrada 2 3 6 15 3" xfId="25442"/>
    <cellStyle name="Entrada 2 3 6 15 3 2" xfId="25443"/>
    <cellStyle name="Entrada 2 3 6 15 4" xfId="25444"/>
    <cellStyle name="Entrada 2 3 6 16" xfId="25445"/>
    <cellStyle name="Entrada 2 3 6 16 2" xfId="25446"/>
    <cellStyle name="Entrada 2 3 6 16 2 2" xfId="25447"/>
    <cellStyle name="Entrada 2 3 6 16 3" xfId="25448"/>
    <cellStyle name="Entrada 2 3 6 16 3 2" xfId="25449"/>
    <cellStyle name="Entrada 2 3 6 16 4" xfId="25450"/>
    <cellStyle name="Entrada 2 3 6 17" xfId="25451"/>
    <cellStyle name="Entrada 2 3 6 17 2" xfId="25452"/>
    <cellStyle name="Entrada 2 3 6 17 2 2" xfId="25453"/>
    <cellStyle name="Entrada 2 3 6 17 3" xfId="25454"/>
    <cellStyle name="Entrada 2 3 6 17 3 2" xfId="25455"/>
    <cellStyle name="Entrada 2 3 6 17 4" xfId="25456"/>
    <cellStyle name="Entrada 2 3 6 18" xfId="25457"/>
    <cellStyle name="Entrada 2 3 6 18 2" xfId="25458"/>
    <cellStyle name="Entrada 2 3 6 18 2 2" xfId="25459"/>
    <cellStyle name="Entrada 2 3 6 18 3" xfId="25460"/>
    <cellStyle name="Entrada 2 3 6 18 3 2" xfId="25461"/>
    <cellStyle name="Entrada 2 3 6 18 4" xfId="25462"/>
    <cellStyle name="Entrada 2 3 6 19" xfId="25463"/>
    <cellStyle name="Entrada 2 3 6 19 2" xfId="25464"/>
    <cellStyle name="Entrada 2 3 6 19 2 2" xfId="25465"/>
    <cellStyle name="Entrada 2 3 6 19 3" xfId="25466"/>
    <cellStyle name="Entrada 2 3 6 19 3 2" xfId="25467"/>
    <cellStyle name="Entrada 2 3 6 19 4" xfId="25468"/>
    <cellStyle name="Entrada 2 3 6 2" xfId="25469"/>
    <cellStyle name="Entrada 2 3 6 2 2" xfId="25470"/>
    <cellStyle name="Entrada 2 3 6 2 2 2" xfId="25471"/>
    <cellStyle name="Entrada 2 3 6 2 3" xfId="25472"/>
    <cellStyle name="Entrada 2 3 6 2 3 2" xfId="25473"/>
    <cellStyle name="Entrada 2 3 6 2 4" xfId="25474"/>
    <cellStyle name="Entrada 2 3 6 20" xfId="25475"/>
    <cellStyle name="Entrada 2 3 6 20 2" xfId="25476"/>
    <cellStyle name="Entrada 2 3 6 20 2 2" xfId="25477"/>
    <cellStyle name="Entrada 2 3 6 20 3" xfId="25478"/>
    <cellStyle name="Entrada 2 3 6 20 3 2" xfId="25479"/>
    <cellStyle name="Entrada 2 3 6 20 4" xfId="25480"/>
    <cellStyle name="Entrada 2 3 6 21" xfId="25481"/>
    <cellStyle name="Entrada 2 3 6 21 2" xfId="25482"/>
    <cellStyle name="Entrada 2 3 6 21 2 2" xfId="25483"/>
    <cellStyle name="Entrada 2 3 6 21 3" xfId="25484"/>
    <cellStyle name="Entrada 2 3 6 21 3 2" xfId="25485"/>
    <cellStyle name="Entrada 2 3 6 21 4" xfId="25486"/>
    <cellStyle name="Entrada 2 3 6 22" xfId="25487"/>
    <cellStyle name="Entrada 2 3 6 22 2" xfId="25488"/>
    <cellStyle name="Entrada 2 3 6 22 2 2" xfId="25489"/>
    <cellStyle name="Entrada 2 3 6 22 3" xfId="25490"/>
    <cellStyle name="Entrada 2 3 6 22 3 2" xfId="25491"/>
    <cellStyle name="Entrada 2 3 6 22 4" xfId="25492"/>
    <cellStyle name="Entrada 2 3 6 23" xfId="25493"/>
    <cellStyle name="Entrada 2 3 6 23 2" xfId="25494"/>
    <cellStyle name="Entrada 2 3 6 23 2 2" xfId="25495"/>
    <cellStyle name="Entrada 2 3 6 23 3" xfId="25496"/>
    <cellStyle name="Entrada 2 3 6 23 3 2" xfId="25497"/>
    <cellStyle name="Entrada 2 3 6 23 4" xfId="25498"/>
    <cellStyle name="Entrada 2 3 6 24" xfId="25499"/>
    <cellStyle name="Entrada 2 3 6 24 2" xfId="25500"/>
    <cellStyle name="Entrada 2 3 6 24 2 2" xfId="25501"/>
    <cellStyle name="Entrada 2 3 6 24 3" xfId="25502"/>
    <cellStyle name="Entrada 2 3 6 24 3 2" xfId="25503"/>
    <cellStyle name="Entrada 2 3 6 24 4" xfId="25504"/>
    <cellStyle name="Entrada 2 3 6 25" xfId="25505"/>
    <cellStyle name="Entrada 2 3 6 25 2" xfId="25506"/>
    <cellStyle name="Entrada 2 3 6 25 2 2" xfId="25507"/>
    <cellStyle name="Entrada 2 3 6 25 3" xfId="25508"/>
    <cellStyle name="Entrada 2 3 6 25 3 2" xfId="25509"/>
    <cellStyle name="Entrada 2 3 6 25 4" xfId="25510"/>
    <cellStyle name="Entrada 2 3 6 26" xfId="25511"/>
    <cellStyle name="Entrada 2 3 6 26 2" xfId="25512"/>
    <cellStyle name="Entrada 2 3 6 26 2 2" xfId="25513"/>
    <cellStyle name="Entrada 2 3 6 26 3" xfId="25514"/>
    <cellStyle name="Entrada 2 3 6 26 3 2" xfId="25515"/>
    <cellStyle name="Entrada 2 3 6 26 4" xfId="25516"/>
    <cellStyle name="Entrada 2 3 6 27" xfId="25517"/>
    <cellStyle name="Entrada 2 3 6 27 2" xfId="25518"/>
    <cellStyle name="Entrada 2 3 6 27 2 2" xfId="25519"/>
    <cellStyle name="Entrada 2 3 6 27 3" xfId="25520"/>
    <cellStyle name="Entrada 2 3 6 27 3 2" xfId="25521"/>
    <cellStyle name="Entrada 2 3 6 27 4" xfId="25522"/>
    <cellStyle name="Entrada 2 3 6 28" xfId="25523"/>
    <cellStyle name="Entrada 2 3 6 28 2" xfId="25524"/>
    <cellStyle name="Entrada 2 3 6 28 2 2" xfId="25525"/>
    <cellStyle name="Entrada 2 3 6 28 3" xfId="25526"/>
    <cellStyle name="Entrada 2 3 6 28 3 2" xfId="25527"/>
    <cellStyle name="Entrada 2 3 6 28 4" xfId="25528"/>
    <cellStyle name="Entrada 2 3 6 29" xfId="25529"/>
    <cellStyle name="Entrada 2 3 6 29 2" xfId="25530"/>
    <cellStyle name="Entrada 2 3 6 29 2 2" xfId="25531"/>
    <cellStyle name="Entrada 2 3 6 29 3" xfId="25532"/>
    <cellStyle name="Entrada 2 3 6 29 3 2" xfId="25533"/>
    <cellStyle name="Entrada 2 3 6 29 4" xfId="25534"/>
    <cellStyle name="Entrada 2 3 6 3" xfId="25535"/>
    <cellStyle name="Entrada 2 3 6 3 2" xfId="25536"/>
    <cellStyle name="Entrada 2 3 6 3 2 2" xfId="25537"/>
    <cellStyle name="Entrada 2 3 6 3 3" xfId="25538"/>
    <cellStyle name="Entrada 2 3 6 3 3 2" xfId="25539"/>
    <cellStyle name="Entrada 2 3 6 3 4" xfId="25540"/>
    <cellStyle name="Entrada 2 3 6 30" xfId="25541"/>
    <cellStyle name="Entrada 2 3 6 30 2" xfId="25542"/>
    <cellStyle name="Entrada 2 3 6 30 2 2" xfId="25543"/>
    <cellStyle name="Entrada 2 3 6 30 3" xfId="25544"/>
    <cellStyle name="Entrada 2 3 6 30 3 2" xfId="25545"/>
    <cellStyle name="Entrada 2 3 6 30 4" xfId="25546"/>
    <cellStyle name="Entrada 2 3 6 31" xfId="25547"/>
    <cellStyle name="Entrada 2 3 6 31 2" xfId="25548"/>
    <cellStyle name="Entrada 2 3 6 31 2 2" xfId="25549"/>
    <cellStyle name="Entrada 2 3 6 31 3" xfId="25550"/>
    <cellStyle name="Entrada 2 3 6 31 3 2" xfId="25551"/>
    <cellStyle name="Entrada 2 3 6 31 4" xfId="25552"/>
    <cellStyle name="Entrada 2 3 6 32" xfId="25553"/>
    <cellStyle name="Entrada 2 3 6 32 2" xfId="25554"/>
    <cellStyle name="Entrada 2 3 6 32 2 2" xfId="25555"/>
    <cellStyle name="Entrada 2 3 6 32 3" xfId="25556"/>
    <cellStyle name="Entrada 2 3 6 32 3 2" xfId="25557"/>
    <cellStyle name="Entrada 2 3 6 32 4" xfId="25558"/>
    <cellStyle name="Entrada 2 3 6 33" xfId="25559"/>
    <cellStyle name="Entrada 2 3 6 33 2" xfId="25560"/>
    <cellStyle name="Entrada 2 3 6 33 2 2" xfId="25561"/>
    <cellStyle name="Entrada 2 3 6 33 3" xfId="25562"/>
    <cellStyle name="Entrada 2 3 6 33 3 2" xfId="25563"/>
    <cellStyle name="Entrada 2 3 6 33 4" xfId="25564"/>
    <cellStyle name="Entrada 2 3 6 34" xfId="25565"/>
    <cellStyle name="Entrada 2 3 6 34 2" xfId="25566"/>
    <cellStyle name="Entrada 2 3 6 34 2 2" xfId="25567"/>
    <cellStyle name="Entrada 2 3 6 34 3" xfId="25568"/>
    <cellStyle name="Entrada 2 3 6 34 3 2" xfId="25569"/>
    <cellStyle name="Entrada 2 3 6 34 4" xfId="25570"/>
    <cellStyle name="Entrada 2 3 6 35" xfId="25571"/>
    <cellStyle name="Entrada 2 3 6 35 2" xfId="25572"/>
    <cellStyle name="Entrada 2 3 6 35 2 2" xfId="25573"/>
    <cellStyle name="Entrada 2 3 6 35 3" xfId="25574"/>
    <cellStyle name="Entrada 2 3 6 35 3 2" xfId="25575"/>
    <cellStyle name="Entrada 2 3 6 35 4" xfId="25576"/>
    <cellStyle name="Entrada 2 3 6 36" xfId="25577"/>
    <cellStyle name="Entrada 2 3 6 36 2" xfId="25578"/>
    <cellStyle name="Entrada 2 3 6 36 2 2" xfId="25579"/>
    <cellStyle name="Entrada 2 3 6 36 3" xfId="25580"/>
    <cellStyle name="Entrada 2 3 6 36 3 2" xfId="25581"/>
    <cellStyle name="Entrada 2 3 6 36 4" xfId="25582"/>
    <cellStyle name="Entrada 2 3 6 37" xfId="25583"/>
    <cellStyle name="Entrada 2 3 6 37 2" xfId="25584"/>
    <cellStyle name="Entrada 2 3 6 37 2 2" xfId="25585"/>
    <cellStyle name="Entrada 2 3 6 37 3" xfId="25586"/>
    <cellStyle name="Entrada 2 3 6 37 3 2" xfId="25587"/>
    <cellStyle name="Entrada 2 3 6 37 4" xfId="25588"/>
    <cellStyle name="Entrada 2 3 6 38" xfId="25589"/>
    <cellStyle name="Entrada 2 3 6 38 2" xfId="25590"/>
    <cellStyle name="Entrada 2 3 6 38 2 2" xfId="25591"/>
    <cellStyle name="Entrada 2 3 6 38 3" xfId="25592"/>
    <cellStyle name="Entrada 2 3 6 38 3 2" xfId="25593"/>
    <cellStyle name="Entrada 2 3 6 38 4" xfId="25594"/>
    <cellStyle name="Entrada 2 3 6 39" xfId="25595"/>
    <cellStyle name="Entrada 2 3 6 39 2" xfId="25596"/>
    <cellStyle name="Entrada 2 3 6 39 2 2" xfId="25597"/>
    <cellStyle name="Entrada 2 3 6 39 3" xfId="25598"/>
    <cellStyle name="Entrada 2 3 6 39 3 2" xfId="25599"/>
    <cellStyle name="Entrada 2 3 6 39 4" xfId="25600"/>
    <cellStyle name="Entrada 2 3 6 4" xfId="25601"/>
    <cellStyle name="Entrada 2 3 6 4 2" xfId="25602"/>
    <cellStyle name="Entrada 2 3 6 4 2 2" xfId="25603"/>
    <cellStyle name="Entrada 2 3 6 4 3" xfId="25604"/>
    <cellStyle name="Entrada 2 3 6 4 3 2" xfId="25605"/>
    <cellStyle name="Entrada 2 3 6 4 4" xfId="25606"/>
    <cellStyle name="Entrada 2 3 6 40" xfId="25607"/>
    <cellStyle name="Entrada 2 3 6 40 2" xfId="25608"/>
    <cellStyle name="Entrada 2 3 6 40 2 2" xfId="25609"/>
    <cellStyle name="Entrada 2 3 6 40 3" xfId="25610"/>
    <cellStyle name="Entrada 2 3 6 40 3 2" xfId="25611"/>
    <cellStyle name="Entrada 2 3 6 40 4" xfId="25612"/>
    <cellStyle name="Entrada 2 3 6 41" xfId="25613"/>
    <cellStyle name="Entrada 2 3 6 41 2" xfId="25614"/>
    <cellStyle name="Entrada 2 3 6 41 2 2" xfId="25615"/>
    <cellStyle name="Entrada 2 3 6 41 3" xfId="25616"/>
    <cellStyle name="Entrada 2 3 6 41 3 2" xfId="25617"/>
    <cellStyle name="Entrada 2 3 6 41 4" xfId="25618"/>
    <cellStyle name="Entrada 2 3 6 42" xfId="25619"/>
    <cellStyle name="Entrada 2 3 6 42 2" xfId="25620"/>
    <cellStyle name="Entrada 2 3 6 42 2 2" xfId="25621"/>
    <cellStyle name="Entrada 2 3 6 42 3" xfId="25622"/>
    <cellStyle name="Entrada 2 3 6 43" xfId="25623"/>
    <cellStyle name="Entrada 2 3 6 43 2" xfId="25624"/>
    <cellStyle name="Entrada 2 3 6 44" xfId="25625"/>
    <cellStyle name="Entrada 2 3 6 5" xfId="25626"/>
    <cellStyle name="Entrada 2 3 6 5 2" xfId="25627"/>
    <cellStyle name="Entrada 2 3 6 5 2 2" xfId="25628"/>
    <cellStyle name="Entrada 2 3 6 5 3" xfId="25629"/>
    <cellStyle name="Entrada 2 3 6 5 3 2" xfId="25630"/>
    <cellStyle name="Entrada 2 3 6 5 4" xfId="25631"/>
    <cellStyle name="Entrada 2 3 6 6" xfId="25632"/>
    <cellStyle name="Entrada 2 3 6 6 2" xfId="25633"/>
    <cellStyle name="Entrada 2 3 6 6 2 2" xfId="25634"/>
    <cellStyle name="Entrada 2 3 6 6 3" xfId="25635"/>
    <cellStyle name="Entrada 2 3 6 6 3 2" xfId="25636"/>
    <cellStyle name="Entrada 2 3 6 6 4" xfId="25637"/>
    <cellStyle name="Entrada 2 3 6 7" xfId="25638"/>
    <cellStyle name="Entrada 2 3 6 7 2" xfId="25639"/>
    <cellStyle name="Entrada 2 3 6 7 2 2" xfId="25640"/>
    <cellStyle name="Entrada 2 3 6 7 3" xfId="25641"/>
    <cellStyle name="Entrada 2 3 6 7 3 2" xfId="25642"/>
    <cellStyle name="Entrada 2 3 6 7 4" xfId="25643"/>
    <cellStyle name="Entrada 2 3 6 8" xfId="25644"/>
    <cellStyle name="Entrada 2 3 6 8 2" xfId="25645"/>
    <cellStyle name="Entrada 2 3 6 8 2 2" xfId="25646"/>
    <cellStyle name="Entrada 2 3 6 8 3" xfId="25647"/>
    <cellStyle name="Entrada 2 3 6 8 3 2" xfId="25648"/>
    <cellStyle name="Entrada 2 3 6 8 4" xfId="25649"/>
    <cellStyle name="Entrada 2 3 6 9" xfId="25650"/>
    <cellStyle name="Entrada 2 3 6 9 2" xfId="25651"/>
    <cellStyle name="Entrada 2 3 6 9 2 2" xfId="25652"/>
    <cellStyle name="Entrada 2 3 6 9 3" xfId="25653"/>
    <cellStyle name="Entrada 2 3 6 9 3 2" xfId="25654"/>
    <cellStyle name="Entrada 2 3 6 9 4" xfId="25655"/>
    <cellStyle name="Entrada 2 3 7" xfId="25656"/>
    <cellStyle name="Entrada 2 3 7 2" xfId="25657"/>
    <cellStyle name="Entrada 2 3 7 2 2" xfId="25658"/>
    <cellStyle name="Entrada 2 3 7 3" xfId="25659"/>
    <cellStyle name="Entrada 2 3 7 3 2" xfId="25660"/>
    <cellStyle name="Entrada 2 3 7 4" xfId="25661"/>
    <cellStyle name="Entrada 2 3 8" xfId="25662"/>
    <cellStyle name="Entrada 2 3 8 2" xfId="25663"/>
    <cellStyle name="Entrada 2 3 8 2 2" xfId="25664"/>
    <cellStyle name="Entrada 2 3 8 3" xfId="25665"/>
    <cellStyle name="Entrada 2 3 8 3 2" xfId="25666"/>
    <cellStyle name="Entrada 2 3 8 4" xfId="25667"/>
    <cellStyle name="Entrada 2 3 9" xfId="25668"/>
    <cellStyle name="Entrada 2 3 9 2" xfId="25669"/>
    <cellStyle name="Entrada 2 3 9 2 2" xfId="25670"/>
    <cellStyle name="Entrada 2 3 9 3" xfId="25671"/>
    <cellStyle name="Entrada 2 3 9 3 2" xfId="25672"/>
    <cellStyle name="Entrada 2 3 9 4" xfId="25673"/>
    <cellStyle name="Entrada 2 30" xfId="25674"/>
    <cellStyle name="Entrada 2 4" xfId="25675"/>
    <cellStyle name="Entrada 2 4 10" xfId="25676"/>
    <cellStyle name="Entrada 2 4 10 2" xfId="25677"/>
    <cellStyle name="Entrada 2 4 10 2 2" xfId="25678"/>
    <cellStyle name="Entrada 2 4 10 3" xfId="25679"/>
    <cellStyle name="Entrada 2 4 10 3 2" xfId="25680"/>
    <cellStyle name="Entrada 2 4 10 4" xfId="25681"/>
    <cellStyle name="Entrada 2 4 11" xfId="25682"/>
    <cellStyle name="Entrada 2 4 11 2" xfId="25683"/>
    <cellStyle name="Entrada 2 4 11 2 2" xfId="25684"/>
    <cellStyle name="Entrada 2 4 11 3" xfId="25685"/>
    <cellStyle name="Entrada 2 4 11 3 2" xfId="25686"/>
    <cellStyle name="Entrada 2 4 11 4" xfId="25687"/>
    <cellStyle name="Entrada 2 4 12" xfId="25688"/>
    <cellStyle name="Entrada 2 4 12 2" xfId="25689"/>
    <cellStyle name="Entrada 2 4 12 2 2" xfId="25690"/>
    <cellStyle name="Entrada 2 4 12 3" xfId="25691"/>
    <cellStyle name="Entrada 2 4 12 3 2" xfId="25692"/>
    <cellStyle name="Entrada 2 4 12 4" xfId="25693"/>
    <cellStyle name="Entrada 2 4 13" xfId="25694"/>
    <cellStyle name="Entrada 2 4 13 2" xfId="25695"/>
    <cellStyle name="Entrada 2 4 13 2 2" xfId="25696"/>
    <cellStyle name="Entrada 2 4 13 3" xfId="25697"/>
    <cellStyle name="Entrada 2 4 13 3 2" xfId="25698"/>
    <cellStyle name="Entrada 2 4 13 4" xfId="25699"/>
    <cellStyle name="Entrada 2 4 14" xfId="25700"/>
    <cellStyle name="Entrada 2 4 14 2" xfId="25701"/>
    <cellStyle name="Entrada 2 4 14 2 2" xfId="25702"/>
    <cellStyle name="Entrada 2 4 14 3" xfId="25703"/>
    <cellStyle name="Entrada 2 4 14 3 2" xfId="25704"/>
    <cellStyle name="Entrada 2 4 14 4" xfId="25705"/>
    <cellStyle name="Entrada 2 4 15" xfId="25706"/>
    <cellStyle name="Entrada 2 4 15 2" xfId="25707"/>
    <cellStyle name="Entrada 2 4 15 2 2" xfId="25708"/>
    <cellStyle name="Entrada 2 4 15 3" xfId="25709"/>
    <cellStyle name="Entrada 2 4 15 3 2" xfId="25710"/>
    <cellStyle name="Entrada 2 4 15 4" xfId="25711"/>
    <cellStyle name="Entrada 2 4 16" xfId="25712"/>
    <cellStyle name="Entrada 2 4 16 2" xfId="25713"/>
    <cellStyle name="Entrada 2 4 16 2 2" xfId="25714"/>
    <cellStyle name="Entrada 2 4 16 3" xfId="25715"/>
    <cellStyle name="Entrada 2 4 16 3 2" xfId="25716"/>
    <cellStyle name="Entrada 2 4 16 4" xfId="25717"/>
    <cellStyle name="Entrada 2 4 17" xfId="25718"/>
    <cellStyle name="Entrada 2 4 17 2" xfId="25719"/>
    <cellStyle name="Entrada 2 4 17 2 2" xfId="25720"/>
    <cellStyle name="Entrada 2 4 17 3" xfId="25721"/>
    <cellStyle name="Entrada 2 4 17 3 2" xfId="25722"/>
    <cellStyle name="Entrada 2 4 17 4" xfId="25723"/>
    <cellStyle name="Entrada 2 4 18" xfId="25724"/>
    <cellStyle name="Entrada 2 4 18 2" xfId="25725"/>
    <cellStyle name="Entrada 2 4 18 2 2" xfId="25726"/>
    <cellStyle name="Entrada 2 4 18 3" xfId="25727"/>
    <cellStyle name="Entrada 2 4 18 3 2" xfId="25728"/>
    <cellStyle name="Entrada 2 4 18 4" xfId="25729"/>
    <cellStyle name="Entrada 2 4 19" xfId="25730"/>
    <cellStyle name="Entrada 2 4 19 2" xfId="25731"/>
    <cellStyle name="Entrada 2 4 19 2 2" xfId="25732"/>
    <cellStyle name="Entrada 2 4 19 3" xfId="25733"/>
    <cellStyle name="Entrada 2 4 19 3 2" xfId="25734"/>
    <cellStyle name="Entrada 2 4 19 4" xfId="25735"/>
    <cellStyle name="Entrada 2 4 2" xfId="25736"/>
    <cellStyle name="Entrada 2 4 2 10" xfId="25737"/>
    <cellStyle name="Entrada 2 4 2 10 2" xfId="25738"/>
    <cellStyle name="Entrada 2 4 2 10 2 2" xfId="25739"/>
    <cellStyle name="Entrada 2 4 2 10 3" xfId="25740"/>
    <cellStyle name="Entrada 2 4 2 10 3 2" xfId="25741"/>
    <cellStyle name="Entrada 2 4 2 10 4" xfId="25742"/>
    <cellStyle name="Entrada 2 4 2 11" xfId="25743"/>
    <cellStyle name="Entrada 2 4 2 11 2" xfId="25744"/>
    <cellStyle name="Entrada 2 4 2 11 2 2" xfId="25745"/>
    <cellStyle name="Entrada 2 4 2 11 3" xfId="25746"/>
    <cellStyle name="Entrada 2 4 2 11 3 2" xfId="25747"/>
    <cellStyle name="Entrada 2 4 2 11 4" xfId="25748"/>
    <cellStyle name="Entrada 2 4 2 12" xfId="25749"/>
    <cellStyle name="Entrada 2 4 2 12 2" xfId="25750"/>
    <cellStyle name="Entrada 2 4 2 12 2 2" xfId="25751"/>
    <cellStyle name="Entrada 2 4 2 12 3" xfId="25752"/>
    <cellStyle name="Entrada 2 4 2 12 3 2" xfId="25753"/>
    <cellStyle name="Entrada 2 4 2 12 4" xfId="25754"/>
    <cellStyle name="Entrada 2 4 2 13" xfId="25755"/>
    <cellStyle name="Entrada 2 4 2 13 2" xfId="25756"/>
    <cellStyle name="Entrada 2 4 2 13 2 2" xfId="25757"/>
    <cellStyle name="Entrada 2 4 2 13 3" xfId="25758"/>
    <cellStyle name="Entrada 2 4 2 13 3 2" xfId="25759"/>
    <cellStyle name="Entrada 2 4 2 13 4" xfId="25760"/>
    <cellStyle name="Entrada 2 4 2 14" xfId="25761"/>
    <cellStyle name="Entrada 2 4 2 14 2" xfId="25762"/>
    <cellStyle name="Entrada 2 4 2 14 2 2" xfId="25763"/>
    <cellStyle name="Entrada 2 4 2 14 3" xfId="25764"/>
    <cellStyle name="Entrada 2 4 2 14 3 2" xfId="25765"/>
    <cellStyle name="Entrada 2 4 2 14 4" xfId="25766"/>
    <cellStyle name="Entrada 2 4 2 15" xfId="25767"/>
    <cellStyle name="Entrada 2 4 2 15 2" xfId="25768"/>
    <cellStyle name="Entrada 2 4 2 15 2 2" xfId="25769"/>
    <cellStyle name="Entrada 2 4 2 15 3" xfId="25770"/>
    <cellStyle name="Entrada 2 4 2 15 3 2" xfId="25771"/>
    <cellStyle name="Entrada 2 4 2 15 4" xfId="25772"/>
    <cellStyle name="Entrada 2 4 2 16" xfId="25773"/>
    <cellStyle name="Entrada 2 4 2 16 2" xfId="25774"/>
    <cellStyle name="Entrada 2 4 2 16 2 2" xfId="25775"/>
    <cellStyle name="Entrada 2 4 2 16 3" xfId="25776"/>
    <cellStyle name="Entrada 2 4 2 16 3 2" xfId="25777"/>
    <cellStyle name="Entrada 2 4 2 16 4" xfId="25778"/>
    <cellStyle name="Entrada 2 4 2 17" xfId="25779"/>
    <cellStyle name="Entrada 2 4 2 17 2" xfId="25780"/>
    <cellStyle name="Entrada 2 4 2 17 2 2" xfId="25781"/>
    <cellStyle name="Entrada 2 4 2 17 3" xfId="25782"/>
    <cellStyle name="Entrada 2 4 2 17 3 2" xfId="25783"/>
    <cellStyle name="Entrada 2 4 2 17 4" xfId="25784"/>
    <cellStyle name="Entrada 2 4 2 18" xfId="25785"/>
    <cellStyle name="Entrada 2 4 2 18 2" xfId="25786"/>
    <cellStyle name="Entrada 2 4 2 18 2 2" xfId="25787"/>
    <cellStyle name="Entrada 2 4 2 18 3" xfId="25788"/>
    <cellStyle name="Entrada 2 4 2 18 3 2" xfId="25789"/>
    <cellStyle name="Entrada 2 4 2 18 4" xfId="25790"/>
    <cellStyle name="Entrada 2 4 2 19" xfId="25791"/>
    <cellStyle name="Entrada 2 4 2 19 2" xfId="25792"/>
    <cellStyle name="Entrada 2 4 2 19 2 2" xfId="25793"/>
    <cellStyle name="Entrada 2 4 2 19 3" xfId="25794"/>
    <cellStyle name="Entrada 2 4 2 19 3 2" xfId="25795"/>
    <cellStyle name="Entrada 2 4 2 19 4" xfId="25796"/>
    <cellStyle name="Entrada 2 4 2 2" xfId="25797"/>
    <cellStyle name="Entrada 2 4 2 2 2" xfId="25798"/>
    <cellStyle name="Entrada 2 4 2 2 2 2" xfId="25799"/>
    <cellStyle name="Entrada 2 4 2 2 3" xfId="25800"/>
    <cellStyle name="Entrada 2 4 2 2 3 2" xfId="25801"/>
    <cellStyle name="Entrada 2 4 2 2 4" xfId="25802"/>
    <cellStyle name="Entrada 2 4 2 20" xfId="25803"/>
    <cellStyle name="Entrada 2 4 2 20 2" xfId="25804"/>
    <cellStyle name="Entrada 2 4 2 20 2 2" xfId="25805"/>
    <cellStyle name="Entrada 2 4 2 20 3" xfId="25806"/>
    <cellStyle name="Entrada 2 4 2 20 3 2" xfId="25807"/>
    <cellStyle name="Entrada 2 4 2 20 4" xfId="25808"/>
    <cellStyle name="Entrada 2 4 2 21" xfId="25809"/>
    <cellStyle name="Entrada 2 4 2 21 2" xfId="25810"/>
    <cellStyle name="Entrada 2 4 2 21 2 2" xfId="25811"/>
    <cellStyle name="Entrada 2 4 2 21 3" xfId="25812"/>
    <cellStyle name="Entrada 2 4 2 21 3 2" xfId="25813"/>
    <cellStyle name="Entrada 2 4 2 21 4" xfId="25814"/>
    <cellStyle name="Entrada 2 4 2 22" xfId="25815"/>
    <cellStyle name="Entrada 2 4 2 22 2" xfId="25816"/>
    <cellStyle name="Entrada 2 4 2 22 2 2" xfId="25817"/>
    <cellStyle name="Entrada 2 4 2 22 3" xfId="25818"/>
    <cellStyle name="Entrada 2 4 2 22 3 2" xfId="25819"/>
    <cellStyle name="Entrada 2 4 2 22 4" xfId="25820"/>
    <cellStyle name="Entrada 2 4 2 23" xfId="25821"/>
    <cellStyle name="Entrada 2 4 2 23 2" xfId="25822"/>
    <cellStyle name="Entrada 2 4 2 23 2 2" xfId="25823"/>
    <cellStyle name="Entrada 2 4 2 23 3" xfId="25824"/>
    <cellStyle name="Entrada 2 4 2 23 3 2" xfId="25825"/>
    <cellStyle name="Entrada 2 4 2 23 4" xfId="25826"/>
    <cellStyle name="Entrada 2 4 2 24" xfId="25827"/>
    <cellStyle name="Entrada 2 4 2 24 2" xfId="25828"/>
    <cellStyle name="Entrada 2 4 2 24 2 2" xfId="25829"/>
    <cellStyle name="Entrada 2 4 2 24 3" xfId="25830"/>
    <cellStyle name="Entrada 2 4 2 24 3 2" xfId="25831"/>
    <cellStyle name="Entrada 2 4 2 24 4" xfId="25832"/>
    <cellStyle name="Entrada 2 4 2 25" xfId="25833"/>
    <cellStyle name="Entrada 2 4 2 25 2" xfId="25834"/>
    <cellStyle name="Entrada 2 4 2 25 2 2" xfId="25835"/>
    <cellStyle name="Entrada 2 4 2 25 3" xfId="25836"/>
    <cellStyle name="Entrada 2 4 2 25 3 2" xfId="25837"/>
    <cellStyle name="Entrada 2 4 2 25 4" xfId="25838"/>
    <cellStyle name="Entrada 2 4 2 26" xfId="25839"/>
    <cellStyle name="Entrada 2 4 2 26 2" xfId="25840"/>
    <cellStyle name="Entrada 2 4 2 26 2 2" xfId="25841"/>
    <cellStyle name="Entrada 2 4 2 26 3" xfId="25842"/>
    <cellStyle name="Entrada 2 4 2 26 3 2" xfId="25843"/>
    <cellStyle name="Entrada 2 4 2 26 4" xfId="25844"/>
    <cellStyle name="Entrada 2 4 2 27" xfId="25845"/>
    <cellStyle name="Entrada 2 4 2 27 2" xfId="25846"/>
    <cellStyle name="Entrada 2 4 2 27 2 2" xfId="25847"/>
    <cellStyle name="Entrada 2 4 2 27 3" xfId="25848"/>
    <cellStyle name="Entrada 2 4 2 27 3 2" xfId="25849"/>
    <cellStyle name="Entrada 2 4 2 27 4" xfId="25850"/>
    <cellStyle name="Entrada 2 4 2 28" xfId="25851"/>
    <cellStyle name="Entrada 2 4 2 28 2" xfId="25852"/>
    <cellStyle name="Entrada 2 4 2 28 2 2" xfId="25853"/>
    <cellStyle name="Entrada 2 4 2 28 3" xfId="25854"/>
    <cellStyle name="Entrada 2 4 2 28 3 2" xfId="25855"/>
    <cellStyle name="Entrada 2 4 2 28 4" xfId="25856"/>
    <cellStyle name="Entrada 2 4 2 29" xfId="25857"/>
    <cellStyle name="Entrada 2 4 2 29 2" xfId="25858"/>
    <cellStyle name="Entrada 2 4 2 29 2 2" xfId="25859"/>
    <cellStyle name="Entrada 2 4 2 29 3" xfId="25860"/>
    <cellStyle name="Entrada 2 4 2 29 3 2" xfId="25861"/>
    <cellStyle name="Entrada 2 4 2 29 4" xfId="25862"/>
    <cellStyle name="Entrada 2 4 2 3" xfId="25863"/>
    <cellStyle name="Entrada 2 4 2 3 2" xfId="25864"/>
    <cellStyle name="Entrada 2 4 2 3 2 2" xfId="25865"/>
    <cellStyle name="Entrada 2 4 2 3 3" xfId="25866"/>
    <cellStyle name="Entrada 2 4 2 3 3 2" xfId="25867"/>
    <cellStyle name="Entrada 2 4 2 3 4" xfId="25868"/>
    <cellStyle name="Entrada 2 4 2 30" xfId="25869"/>
    <cellStyle name="Entrada 2 4 2 30 2" xfId="25870"/>
    <cellStyle name="Entrada 2 4 2 30 2 2" xfId="25871"/>
    <cellStyle name="Entrada 2 4 2 30 3" xfId="25872"/>
    <cellStyle name="Entrada 2 4 2 30 3 2" xfId="25873"/>
    <cellStyle name="Entrada 2 4 2 30 4" xfId="25874"/>
    <cellStyle name="Entrada 2 4 2 31" xfId="25875"/>
    <cellStyle name="Entrada 2 4 2 31 2" xfId="25876"/>
    <cellStyle name="Entrada 2 4 2 31 2 2" xfId="25877"/>
    <cellStyle name="Entrada 2 4 2 31 3" xfId="25878"/>
    <cellStyle name="Entrada 2 4 2 31 3 2" xfId="25879"/>
    <cellStyle name="Entrada 2 4 2 31 4" xfId="25880"/>
    <cellStyle name="Entrada 2 4 2 32" xfId="25881"/>
    <cellStyle name="Entrada 2 4 2 32 2" xfId="25882"/>
    <cellStyle name="Entrada 2 4 2 32 2 2" xfId="25883"/>
    <cellStyle name="Entrada 2 4 2 32 3" xfId="25884"/>
    <cellStyle name="Entrada 2 4 2 32 3 2" xfId="25885"/>
    <cellStyle name="Entrada 2 4 2 32 4" xfId="25886"/>
    <cellStyle name="Entrada 2 4 2 33" xfId="25887"/>
    <cellStyle name="Entrada 2 4 2 33 2" xfId="25888"/>
    <cellStyle name="Entrada 2 4 2 33 2 2" xfId="25889"/>
    <cellStyle name="Entrada 2 4 2 33 3" xfId="25890"/>
    <cellStyle name="Entrada 2 4 2 33 3 2" xfId="25891"/>
    <cellStyle name="Entrada 2 4 2 33 4" xfId="25892"/>
    <cellStyle name="Entrada 2 4 2 34" xfId="25893"/>
    <cellStyle name="Entrada 2 4 2 34 2" xfId="25894"/>
    <cellStyle name="Entrada 2 4 2 34 2 2" xfId="25895"/>
    <cellStyle name="Entrada 2 4 2 34 3" xfId="25896"/>
    <cellStyle name="Entrada 2 4 2 34 3 2" xfId="25897"/>
    <cellStyle name="Entrada 2 4 2 34 4" xfId="25898"/>
    <cellStyle name="Entrada 2 4 2 35" xfId="25899"/>
    <cellStyle name="Entrada 2 4 2 35 2" xfId="25900"/>
    <cellStyle name="Entrada 2 4 2 35 2 2" xfId="25901"/>
    <cellStyle name="Entrada 2 4 2 35 3" xfId="25902"/>
    <cellStyle name="Entrada 2 4 2 35 3 2" xfId="25903"/>
    <cellStyle name="Entrada 2 4 2 35 4" xfId="25904"/>
    <cellStyle name="Entrada 2 4 2 36" xfId="25905"/>
    <cellStyle name="Entrada 2 4 2 36 2" xfId="25906"/>
    <cellStyle name="Entrada 2 4 2 36 2 2" xfId="25907"/>
    <cellStyle name="Entrada 2 4 2 36 3" xfId="25908"/>
    <cellStyle name="Entrada 2 4 2 36 3 2" xfId="25909"/>
    <cellStyle name="Entrada 2 4 2 36 4" xfId="25910"/>
    <cellStyle name="Entrada 2 4 2 37" xfId="25911"/>
    <cellStyle name="Entrada 2 4 2 37 2" xfId="25912"/>
    <cellStyle name="Entrada 2 4 2 37 2 2" xfId="25913"/>
    <cellStyle name="Entrada 2 4 2 37 3" xfId="25914"/>
    <cellStyle name="Entrada 2 4 2 37 3 2" xfId="25915"/>
    <cellStyle name="Entrada 2 4 2 37 4" xfId="25916"/>
    <cellStyle name="Entrada 2 4 2 38" xfId="25917"/>
    <cellStyle name="Entrada 2 4 2 38 2" xfId="25918"/>
    <cellStyle name="Entrada 2 4 2 38 2 2" xfId="25919"/>
    <cellStyle name="Entrada 2 4 2 38 3" xfId="25920"/>
    <cellStyle name="Entrada 2 4 2 38 3 2" xfId="25921"/>
    <cellStyle name="Entrada 2 4 2 38 4" xfId="25922"/>
    <cellStyle name="Entrada 2 4 2 39" xfId="25923"/>
    <cellStyle name="Entrada 2 4 2 39 2" xfId="25924"/>
    <cellStyle name="Entrada 2 4 2 39 2 2" xfId="25925"/>
    <cellStyle name="Entrada 2 4 2 39 3" xfId="25926"/>
    <cellStyle name="Entrada 2 4 2 4" xfId="25927"/>
    <cellStyle name="Entrada 2 4 2 4 2" xfId="25928"/>
    <cellStyle name="Entrada 2 4 2 4 2 2" xfId="25929"/>
    <cellStyle name="Entrada 2 4 2 4 3" xfId="25930"/>
    <cellStyle name="Entrada 2 4 2 4 3 2" xfId="25931"/>
    <cellStyle name="Entrada 2 4 2 4 4" xfId="25932"/>
    <cellStyle name="Entrada 2 4 2 40" xfId="25933"/>
    <cellStyle name="Entrada 2 4 2 40 2" xfId="25934"/>
    <cellStyle name="Entrada 2 4 2 41" xfId="25935"/>
    <cellStyle name="Entrada 2 4 2 41 2" xfId="25936"/>
    <cellStyle name="Entrada 2 4 2 42" xfId="25937"/>
    <cellStyle name="Entrada 2 4 2 42 2" xfId="25938"/>
    <cellStyle name="Entrada 2 4 2 43" xfId="25939"/>
    <cellStyle name="Entrada 2 4 2 5" xfId="25940"/>
    <cellStyle name="Entrada 2 4 2 5 2" xfId="25941"/>
    <cellStyle name="Entrada 2 4 2 5 2 2" xfId="25942"/>
    <cellStyle name="Entrada 2 4 2 5 3" xfId="25943"/>
    <cellStyle name="Entrada 2 4 2 5 3 2" xfId="25944"/>
    <cellStyle name="Entrada 2 4 2 5 4" xfId="25945"/>
    <cellStyle name="Entrada 2 4 2 6" xfId="25946"/>
    <cellStyle name="Entrada 2 4 2 6 2" xfId="25947"/>
    <cellStyle name="Entrada 2 4 2 6 2 2" xfId="25948"/>
    <cellStyle name="Entrada 2 4 2 6 3" xfId="25949"/>
    <cellStyle name="Entrada 2 4 2 6 3 2" xfId="25950"/>
    <cellStyle name="Entrada 2 4 2 6 4" xfId="25951"/>
    <cellStyle name="Entrada 2 4 2 7" xfId="25952"/>
    <cellStyle name="Entrada 2 4 2 7 2" xfId="25953"/>
    <cellStyle name="Entrada 2 4 2 7 2 2" xfId="25954"/>
    <cellStyle name="Entrada 2 4 2 7 3" xfId="25955"/>
    <cellStyle name="Entrada 2 4 2 7 3 2" xfId="25956"/>
    <cellStyle name="Entrada 2 4 2 7 4" xfId="25957"/>
    <cellStyle name="Entrada 2 4 2 8" xfId="25958"/>
    <cellStyle name="Entrada 2 4 2 8 2" xfId="25959"/>
    <cellStyle name="Entrada 2 4 2 8 2 2" xfId="25960"/>
    <cellStyle name="Entrada 2 4 2 8 3" xfId="25961"/>
    <cellStyle name="Entrada 2 4 2 8 3 2" xfId="25962"/>
    <cellStyle name="Entrada 2 4 2 8 4" xfId="25963"/>
    <cellStyle name="Entrada 2 4 2 9" xfId="25964"/>
    <cellStyle name="Entrada 2 4 2 9 2" xfId="25965"/>
    <cellStyle name="Entrada 2 4 2 9 2 2" xfId="25966"/>
    <cellStyle name="Entrada 2 4 2 9 3" xfId="25967"/>
    <cellStyle name="Entrada 2 4 2 9 3 2" xfId="25968"/>
    <cellStyle name="Entrada 2 4 2 9 4" xfId="25969"/>
    <cellStyle name="Entrada 2 4 20" xfId="25970"/>
    <cellStyle name="Entrada 2 4 20 2" xfId="25971"/>
    <cellStyle name="Entrada 2 4 20 2 2" xfId="25972"/>
    <cellStyle name="Entrada 2 4 20 3" xfId="25973"/>
    <cellStyle name="Entrada 2 4 20 3 2" xfId="25974"/>
    <cellStyle name="Entrada 2 4 20 4" xfId="25975"/>
    <cellStyle name="Entrada 2 4 21" xfId="25976"/>
    <cellStyle name="Entrada 2 4 21 2" xfId="25977"/>
    <cellStyle name="Entrada 2 4 21 2 2" xfId="25978"/>
    <cellStyle name="Entrada 2 4 21 3" xfId="25979"/>
    <cellStyle name="Entrada 2 4 21 3 2" xfId="25980"/>
    <cellStyle name="Entrada 2 4 21 4" xfId="25981"/>
    <cellStyle name="Entrada 2 4 22" xfId="25982"/>
    <cellStyle name="Entrada 2 4 22 2" xfId="25983"/>
    <cellStyle name="Entrada 2 4 22 2 2" xfId="25984"/>
    <cellStyle name="Entrada 2 4 22 3" xfId="25985"/>
    <cellStyle name="Entrada 2 4 22 3 2" xfId="25986"/>
    <cellStyle name="Entrada 2 4 22 4" xfId="25987"/>
    <cellStyle name="Entrada 2 4 23" xfId="25988"/>
    <cellStyle name="Entrada 2 4 23 2" xfId="25989"/>
    <cellStyle name="Entrada 2 4 23 2 2" xfId="25990"/>
    <cellStyle name="Entrada 2 4 23 3" xfId="25991"/>
    <cellStyle name="Entrada 2 4 23 3 2" xfId="25992"/>
    <cellStyle name="Entrada 2 4 23 4" xfId="25993"/>
    <cellStyle name="Entrada 2 4 24" xfId="25994"/>
    <cellStyle name="Entrada 2 4 24 2" xfId="25995"/>
    <cellStyle name="Entrada 2 4 24 2 2" xfId="25996"/>
    <cellStyle name="Entrada 2 4 24 3" xfId="25997"/>
    <cellStyle name="Entrada 2 4 24 3 2" xfId="25998"/>
    <cellStyle name="Entrada 2 4 24 4" xfId="25999"/>
    <cellStyle name="Entrada 2 4 25" xfId="26000"/>
    <cellStyle name="Entrada 2 4 25 2" xfId="26001"/>
    <cellStyle name="Entrada 2 4 25 2 2" xfId="26002"/>
    <cellStyle name="Entrada 2 4 25 3" xfId="26003"/>
    <cellStyle name="Entrada 2 4 25 3 2" xfId="26004"/>
    <cellStyle name="Entrada 2 4 25 4" xfId="26005"/>
    <cellStyle name="Entrada 2 4 26" xfId="26006"/>
    <cellStyle name="Entrada 2 4 26 2" xfId="26007"/>
    <cellStyle name="Entrada 2 4 26 2 2" xfId="26008"/>
    <cellStyle name="Entrada 2 4 26 3" xfId="26009"/>
    <cellStyle name="Entrada 2 4 26 3 2" xfId="26010"/>
    <cellStyle name="Entrada 2 4 26 4" xfId="26011"/>
    <cellStyle name="Entrada 2 4 27" xfId="26012"/>
    <cellStyle name="Entrada 2 4 27 2" xfId="26013"/>
    <cellStyle name="Entrada 2 4 27 2 2" xfId="26014"/>
    <cellStyle name="Entrada 2 4 27 3" xfId="26015"/>
    <cellStyle name="Entrada 2 4 27 3 2" xfId="26016"/>
    <cellStyle name="Entrada 2 4 27 4" xfId="26017"/>
    <cellStyle name="Entrada 2 4 28" xfId="26018"/>
    <cellStyle name="Entrada 2 4 28 2" xfId="26019"/>
    <cellStyle name="Entrada 2 4 28 2 2" xfId="26020"/>
    <cellStyle name="Entrada 2 4 28 3" xfId="26021"/>
    <cellStyle name="Entrada 2 4 28 3 2" xfId="26022"/>
    <cellStyle name="Entrada 2 4 28 4" xfId="26023"/>
    <cellStyle name="Entrada 2 4 29" xfId="26024"/>
    <cellStyle name="Entrada 2 4 29 2" xfId="26025"/>
    <cellStyle name="Entrada 2 4 29 2 2" xfId="26026"/>
    <cellStyle name="Entrada 2 4 29 3" xfId="26027"/>
    <cellStyle name="Entrada 2 4 29 3 2" xfId="26028"/>
    <cellStyle name="Entrada 2 4 29 4" xfId="26029"/>
    <cellStyle name="Entrada 2 4 3" xfId="26030"/>
    <cellStyle name="Entrada 2 4 3 10" xfId="26031"/>
    <cellStyle name="Entrada 2 4 3 10 2" xfId="26032"/>
    <cellStyle name="Entrada 2 4 3 10 2 2" xfId="26033"/>
    <cellStyle name="Entrada 2 4 3 10 3" xfId="26034"/>
    <cellStyle name="Entrada 2 4 3 10 3 2" xfId="26035"/>
    <cellStyle name="Entrada 2 4 3 10 4" xfId="26036"/>
    <cellStyle name="Entrada 2 4 3 11" xfId="26037"/>
    <cellStyle name="Entrada 2 4 3 11 2" xfId="26038"/>
    <cellStyle name="Entrada 2 4 3 11 2 2" xfId="26039"/>
    <cellStyle name="Entrada 2 4 3 11 3" xfId="26040"/>
    <cellStyle name="Entrada 2 4 3 11 3 2" xfId="26041"/>
    <cellStyle name="Entrada 2 4 3 11 4" xfId="26042"/>
    <cellStyle name="Entrada 2 4 3 12" xfId="26043"/>
    <cellStyle name="Entrada 2 4 3 12 2" xfId="26044"/>
    <cellStyle name="Entrada 2 4 3 12 2 2" xfId="26045"/>
    <cellStyle name="Entrada 2 4 3 12 3" xfId="26046"/>
    <cellStyle name="Entrada 2 4 3 12 3 2" xfId="26047"/>
    <cellStyle name="Entrada 2 4 3 12 4" xfId="26048"/>
    <cellStyle name="Entrada 2 4 3 13" xfId="26049"/>
    <cellStyle name="Entrada 2 4 3 13 2" xfId="26050"/>
    <cellStyle name="Entrada 2 4 3 13 2 2" xfId="26051"/>
    <cellStyle name="Entrada 2 4 3 13 3" xfId="26052"/>
    <cellStyle name="Entrada 2 4 3 13 3 2" xfId="26053"/>
    <cellStyle name="Entrada 2 4 3 13 4" xfId="26054"/>
    <cellStyle name="Entrada 2 4 3 14" xfId="26055"/>
    <cellStyle name="Entrada 2 4 3 14 2" xfId="26056"/>
    <cellStyle name="Entrada 2 4 3 14 2 2" xfId="26057"/>
    <cellStyle name="Entrada 2 4 3 14 3" xfId="26058"/>
    <cellStyle name="Entrada 2 4 3 14 3 2" xfId="26059"/>
    <cellStyle name="Entrada 2 4 3 14 4" xfId="26060"/>
    <cellStyle name="Entrada 2 4 3 15" xfId="26061"/>
    <cellStyle name="Entrada 2 4 3 15 2" xfId="26062"/>
    <cellStyle name="Entrada 2 4 3 15 2 2" xfId="26063"/>
    <cellStyle name="Entrada 2 4 3 15 3" xfId="26064"/>
    <cellStyle name="Entrada 2 4 3 15 3 2" xfId="26065"/>
    <cellStyle name="Entrada 2 4 3 15 4" xfId="26066"/>
    <cellStyle name="Entrada 2 4 3 16" xfId="26067"/>
    <cellStyle name="Entrada 2 4 3 16 2" xfId="26068"/>
    <cellStyle name="Entrada 2 4 3 16 2 2" xfId="26069"/>
    <cellStyle name="Entrada 2 4 3 16 3" xfId="26070"/>
    <cellStyle name="Entrada 2 4 3 16 3 2" xfId="26071"/>
    <cellStyle name="Entrada 2 4 3 16 4" xfId="26072"/>
    <cellStyle name="Entrada 2 4 3 17" xfId="26073"/>
    <cellStyle name="Entrada 2 4 3 17 2" xfId="26074"/>
    <cellStyle name="Entrada 2 4 3 17 2 2" xfId="26075"/>
    <cellStyle name="Entrada 2 4 3 17 3" xfId="26076"/>
    <cellStyle name="Entrada 2 4 3 17 3 2" xfId="26077"/>
    <cellStyle name="Entrada 2 4 3 17 4" xfId="26078"/>
    <cellStyle name="Entrada 2 4 3 18" xfId="26079"/>
    <cellStyle name="Entrada 2 4 3 18 2" xfId="26080"/>
    <cellStyle name="Entrada 2 4 3 18 2 2" xfId="26081"/>
    <cellStyle name="Entrada 2 4 3 18 3" xfId="26082"/>
    <cellStyle name="Entrada 2 4 3 18 3 2" xfId="26083"/>
    <cellStyle name="Entrada 2 4 3 18 4" xfId="26084"/>
    <cellStyle name="Entrada 2 4 3 19" xfId="26085"/>
    <cellStyle name="Entrada 2 4 3 19 2" xfId="26086"/>
    <cellStyle name="Entrada 2 4 3 19 2 2" xfId="26087"/>
    <cellStyle name="Entrada 2 4 3 19 3" xfId="26088"/>
    <cellStyle name="Entrada 2 4 3 19 3 2" xfId="26089"/>
    <cellStyle name="Entrada 2 4 3 19 4" xfId="26090"/>
    <cellStyle name="Entrada 2 4 3 2" xfId="26091"/>
    <cellStyle name="Entrada 2 4 3 2 2" xfId="26092"/>
    <cellStyle name="Entrada 2 4 3 2 2 2" xfId="26093"/>
    <cellStyle name="Entrada 2 4 3 2 3" xfId="26094"/>
    <cellStyle name="Entrada 2 4 3 2 3 2" xfId="26095"/>
    <cellStyle name="Entrada 2 4 3 2 4" xfId="26096"/>
    <cellStyle name="Entrada 2 4 3 20" xfId="26097"/>
    <cellStyle name="Entrada 2 4 3 20 2" xfId="26098"/>
    <cellStyle name="Entrada 2 4 3 20 2 2" xfId="26099"/>
    <cellStyle name="Entrada 2 4 3 20 3" xfId="26100"/>
    <cellStyle name="Entrada 2 4 3 20 3 2" xfId="26101"/>
    <cellStyle name="Entrada 2 4 3 20 4" xfId="26102"/>
    <cellStyle name="Entrada 2 4 3 21" xfId="26103"/>
    <cellStyle name="Entrada 2 4 3 21 2" xfId="26104"/>
    <cellStyle name="Entrada 2 4 3 21 2 2" xfId="26105"/>
    <cellStyle name="Entrada 2 4 3 21 3" xfId="26106"/>
    <cellStyle name="Entrada 2 4 3 21 3 2" xfId="26107"/>
    <cellStyle name="Entrada 2 4 3 21 4" xfId="26108"/>
    <cellStyle name="Entrada 2 4 3 22" xfId="26109"/>
    <cellStyle name="Entrada 2 4 3 22 2" xfId="26110"/>
    <cellStyle name="Entrada 2 4 3 22 2 2" xfId="26111"/>
    <cellStyle name="Entrada 2 4 3 22 3" xfId="26112"/>
    <cellStyle name="Entrada 2 4 3 22 3 2" xfId="26113"/>
    <cellStyle name="Entrada 2 4 3 22 4" xfId="26114"/>
    <cellStyle name="Entrada 2 4 3 23" xfId="26115"/>
    <cellStyle name="Entrada 2 4 3 23 2" xfId="26116"/>
    <cellStyle name="Entrada 2 4 3 23 2 2" xfId="26117"/>
    <cellStyle name="Entrada 2 4 3 23 3" xfId="26118"/>
    <cellStyle name="Entrada 2 4 3 23 3 2" xfId="26119"/>
    <cellStyle name="Entrada 2 4 3 23 4" xfId="26120"/>
    <cellStyle name="Entrada 2 4 3 24" xfId="26121"/>
    <cellStyle name="Entrada 2 4 3 24 2" xfId="26122"/>
    <cellStyle name="Entrada 2 4 3 24 2 2" xfId="26123"/>
    <cellStyle name="Entrada 2 4 3 24 3" xfId="26124"/>
    <cellStyle name="Entrada 2 4 3 24 3 2" xfId="26125"/>
    <cellStyle name="Entrada 2 4 3 24 4" xfId="26126"/>
    <cellStyle name="Entrada 2 4 3 25" xfId="26127"/>
    <cellStyle name="Entrada 2 4 3 25 2" xfId="26128"/>
    <cellStyle name="Entrada 2 4 3 25 2 2" xfId="26129"/>
    <cellStyle name="Entrada 2 4 3 25 3" xfId="26130"/>
    <cellStyle name="Entrada 2 4 3 25 3 2" xfId="26131"/>
    <cellStyle name="Entrada 2 4 3 25 4" xfId="26132"/>
    <cellStyle name="Entrada 2 4 3 26" xfId="26133"/>
    <cellStyle name="Entrada 2 4 3 26 2" xfId="26134"/>
    <cellStyle name="Entrada 2 4 3 26 2 2" xfId="26135"/>
    <cellStyle name="Entrada 2 4 3 26 3" xfId="26136"/>
    <cellStyle name="Entrada 2 4 3 26 3 2" xfId="26137"/>
    <cellStyle name="Entrada 2 4 3 26 4" xfId="26138"/>
    <cellStyle name="Entrada 2 4 3 27" xfId="26139"/>
    <cellStyle name="Entrada 2 4 3 27 2" xfId="26140"/>
    <cellStyle name="Entrada 2 4 3 27 2 2" xfId="26141"/>
    <cellStyle name="Entrada 2 4 3 27 3" xfId="26142"/>
    <cellStyle name="Entrada 2 4 3 27 3 2" xfId="26143"/>
    <cellStyle name="Entrada 2 4 3 27 4" xfId="26144"/>
    <cellStyle name="Entrada 2 4 3 28" xfId="26145"/>
    <cellStyle name="Entrada 2 4 3 28 2" xfId="26146"/>
    <cellStyle name="Entrada 2 4 3 28 2 2" xfId="26147"/>
    <cellStyle name="Entrada 2 4 3 28 3" xfId="26148"/>
    <cellStyle name="Entrada 2 4 3 28 3 2" xfId="26149"/>
    <cellStyle name="Entrada 2 4 3 28 4" xfId="26150"/>
    <cellStyle name="Entrada 2 4 3 29" xfId="26151"/>
    <cellStyle name="Entrada 2 4 3 29 2" xfId="26152"/>
    <cellStyle name="Entrada 2 4 3 29 2 2" xfId="26153"/>
    <cellStyle name="Entrada 2 4 3 29 3" xfId="26154"/>
    <cellStyle name="Entrada 2 4 3 29 3 2" xfId="26155"/>
    <cellStyle name="Entrada 2 4 3 29 4" xfId="26156"/>
    <cellStyle name="Entrada 2 4 3 3" xfId="26157"/>
    <cellStyle name="Entrada 2 4 3 3 2" xfId="26158"/>
    <cellStyle name="Entrada 2 4 3 3 2 2" xfId="26159"/>
    <cellStyle name="Entrada 2 4 3 3 3" xfId="26160"/>
    <cellStyle name="Entrada 2 4 3 3 3 2" xfId="26161"/>
    <cellStyle name="Entrada 2 4 3 3 4" xfId="26162"/>
    <cellStyle name="Entrada 2 4 3 30" xfId="26163"/>
    <cellStyle name="Entrada 2 4 3 30 2" xfId="26164"/>
    <cellStyle name="Entrada 2 4 3 30 2 2" xfId="26165"/>
    <cellStyle name="Entrada 2 4 3 30 3" xfId="26166"/>
    <cellStyle name="Entrada 2 4 3 30 3 2" xfId="26167"/>
    <cellStyle name="Entrada 2 4 3 30 4" xfId="26168"/>
    <cellStyle name="Entrada 2 4 3 31" xfId="26169"/>
    <cellStyle name="Entrada 2 4 3 31 2" xfId="26170"/>
    <cellStyle name="Entrada 2 4 3 31 2 2" xfId="26171"/>
    <cellStyle name="Entrada 2 4 3 31 3" xfId="26172"/>
    <cellStyle name="Entrada 2 4 3 31 3 2" xfId="26173"/>
    <cellStyle name="Entrada 2 4 3 31 4" xfId="26174"/>
    <cellStyle name="Entrada 2 4 3 32" xfId="26175"/>
    <cellStyle name="Entrada 2 4 3 32 2" xfId="26176"/>
    <cellStyle name="Entrada 2 4 3 32 2 2" xfId="26177"/>
    <cellStyle name="Entrada 2 4 3 32 3" xfId="26178"/>
    <cellStyle name="Entrada 2 4 3 32 3 2" xfId="26179"/>
    <cellStyle name="Entrada 2 4 3 32 4" xfId="26180"/>
    <cellStyle name="Entrada 2 4 3 33" xfId="26181"/>
    <cellStyle name="Entrada 2 4 3 33 2" xfId="26182"/>
    <cellStyle name="Entrada 2 4 3 33 2 2" xfId="26183"/>
    <cellStyle name="Entrada 2 4 3 33 3" xfId="26184"/>
    <cellStyle name="Entrada 2 4 3 33 3 2" xfId="26185"/>
    <cellStyle name="Entrada 2 4 3 33 4" xfId="26186"/>
    <cellStyle name="Entrada 2 4 3 34" xfId="26187"/>
    <cellStyle name="Entrada 2 4 3 34 2" xfId="26188"/>
    <cellStyle name="Entrada 2 4 3 34 2 2" xfId="26189"/>
    <cellStyle name="Entrada 2 4 3 34 3" xfId="26190"/>
    <cellStyle name="Entrada 2 4 3 34 3 2" xfId="26191"/>
    <cellStyle name="Entrada 2 4 3 34 4" xfId="26192"/>
    <cellStyle name="Entrada 2 4 3 35" xfId="26193"/>
    <cellStyle name="Entrada 2 4 3 35 2" xfId="26194"/>
    <cellStyle name="Entrada 2 4 3 35 2 2" xfId="26195"/>
    <cellStyle name="Entrada 2 4 3 35 3" xfId="26196"/>
    <cellStyle name="Entrada 2 4 3 35 3 2" xfId="26197"/>
    <cellStyle name="Entrada 2 4 3 35 4" xfId="26198"/>
    <cellStyle name="Entrada 2 4 3 36" xfId="26199"/>
    <cellStyle name="Entrada 2 4 3 36 2" xfId="26200"/>
    <cellStyle name="Entrada 2 4 3 36 2 2" xfId="26201"/>
    <cellStyle name="Entrada 2 4 3 36 3" xfId="26202"/>
    <cellStyle name="Entrada 2 4 3 36 3 2" xfId="26203"/>
    <cellStyle name="Entrada 2 4 3 36 4" xfId="26204"/>
    <cellStyle name="Entrada 2 4 3 37" xfId="26205"/>
    <cellStyle name="Entrada 2 4 3 37 2" xfId="26206"/>
    <cellStyle name="Entrada 2 4 3 37 2 2" xfId="26207"/>
    <cellStyle name="Entrada 2 4 3 37 3" xfId="26208"/>
    <cellStyle name="Entrada 2 4 3 37 3 2" xfId="26209"/>
    <cellStyle name="Entrada 2 4 3 37 4" xfId="26210"/>
    <cellStyle name="Entrada 2 4 3 38" xfId="26211"/>
    <cellStyle name="Entrada 2 4 3 38 2" xfId="26212"/>
    <cellStyle name="Entrada 2 4 3 38 2 2" xfId="26213"/>
    <cellStyle name="Entrada 2 4 3 38 3" xfId="26214"/>
    <cellStyle name="Entrada 2 4 3 38 3 2" xfId="26215"/>
    <cellStyle name="Entrada 2 4 3 38 4" xfId="26216"/>
    <cellStyle name="Entrada 2 4 3 39" xfId="26217"/>
    <cellStyle name="Entrada 2 4 3 39 2" xfId="26218"/>
    <cellStyle name="Entrada 2 4 3 39 2 2" xfId="26219"/>
    <cellStyle name="Entrada 2 4 3 39 3" xfId="26220"/>
    <cellStyle name="Entrada 2 4 3 39 3 2" xfId="26221"/>
    <cellStyle name="Entrada 2 4 3 39 4" xfId="26222"/>
    <cellStyle name="Entrada 2 4 3 4" xfId="26223"/>
    <cellStyle name="Entrada 2 4 3 4 2" xfId="26224"/>
    <cellStyle name="Entrada 2 4 3 4 2 2" xfId="26225"/>
    <cellStyle name="Entrada 2 4 3 4 3" xfId="26226"/>
    <cellStyle name="Entrada 2 4 3 4 3 2" xfId="26227"/>
    <cellStyle name="Entrada 2 4 3 4 4" xfId="26228"/>
    <cellStyle name="Entrada 2 4 3 40" xfId="26229"/>
    <cellStyle name="Entrada 2 4 3 40 2" xfId="26230"/>
    <cellStyle name="Entrada 2 4 3 40 2 2" xfId="26231"/>
    <cellStyle name="Entrada 2 4 3 40 3" xfId="26232"/>
    <cellStyle name="Entrada 2 4 3 41" xfId="26233"/>
    <cellStyle name="Entrada 2 4 3 41 2" xfId="26234"/>
    <cellStyle name="Entrada 2 4 3 42" xfId="26235"/>
    <cellStyle name="Entrada 2 4 3 42 2" xfId="26236"/>
    <cellStyle name="Entrada 2 4 3 43" xfId="26237"/>
    <cellStyle name="Entrada 2 4 3 5" xfId="26238"/>
    <cellStyle name="Entrada 2 4 3 5 2" xfId="26239"/>
    <cellStyle name="Entrada 2 4 3 5 2 2" xfId="26240"/>
    <cellStyle name="Entrada 2 4 3 5 3" xfId="26241"/>
    <cellStyle name="Entrada 2 4 3 5 3 2" xfId="26242"/>
    <cellStyle name="Entrada 2 4 3 5 4" xfId="26243"/>
    <cellStyle name="Entrada 2 4 3 6" xfId="26244"/>
    <cellStyle name="Entrada 2 4 3 6 2" xfId="26245"/>
    <cellStyle name="Entrada 2 4 3 6 2 2" xfId="26246"/>
    <cellStyle name="Entrada 2 4 3 6 3" xfId="26247"/>
    <cellStyle name="Entrada 2 4 3 6 3 2" xfId="26248"/>
    <cellStyle name="Entrada 2 4 3 6 4" xfId="26249"/>
    <cellStyle name="Entrada 2 4 3 7" xfId="26250"/>
    <cellStyle name="Entrada 2 4 3 7 2" xfId="26251"/>
    <cellStyle name="Entrada 2 4 3 7 2 2" xfId="26252"/>
    <cellStyle name="Entrada 2 4 3 7 3" xfId="26253"/>
    <cellStyle name="Entrada 2 4 3 7 3 2" xfId="26254"/>
    <cellStyle name="Entrada 2 4 3 7 4" xfId="26255"/>
    <cellStyle name="Entrada 2 4 3 8" xfId="26256"/>
    <cellStyle name="Entrada 2 4 3 8 2" xfId="26257"/>
    <cellStyle name="Entrada 2 4 3 8 2 2" xfId="26258"/>
    <cellStyle name="Entrada 2 4 3 8 3" xfId="26259"/>
    <cellStyle name="Entrada 2 4 3 8 3 2" xfId="26260"/>
    <cellStyle name="Entrada 2 4 3 8 4" xfId="26261"/>
    <cellStyle name="Entrada 2 4 3 9" xfId="26262"/>
    <cellStyle name="Entrada 2 4 3 9 2" xfId="26263"/>
    <cellStyle name="Entrada 2 4 3 9 2 2" xfId="26264"/>
    <cellStyle name="Entrada 2 4 3 9 3" xfId="26265"/>
    <cellStyle name="Entrada 2 4 3 9 3 2" xfId="26266"/>
    <cellStyle name="Entrada 2 4 3 9 4" xfId="26267"/>
    <cellStyle name="Entrada 2 4 30" xfId="26268"/>
    <cellStyle name="Entrada 2 4 30 2" xfId="26269"/>
    <cellStyle name="Entrada 2 4 30 2 2" xfId="26270"/>
    <cellStyle name="Entrada 2 4 30 3" xfId="26271"/>
    <cellStyle name="Entrada 2 4 30 3 2" xfId="26272"/>
    <cellStyle name="Entrada 2 4 30 4" xfId="26273"/>
    <cellStyle name="Entrada 2 4 31" xfId="26274"/>
    <cellStyle name="Entrada 2 4 31 2" xfId="26275"/>
    <cellStyle name="Entrada 2 4 31 2 2" xfId="26276"/>
    <cellStyle name="Entrada 2 4 31 3" xfId="26277"/>
    <cellStyle name="Entrada 2 4 31 3 2" xfId="26278"/>
    <cellStyle name="Entrada 2 4 31 4" xfId="26279"/>
    <cellStyle name="Entrada 2 4 32" xfId="26280"/>
    <cellStyle name="Entrada 2 4 32 2" xfId="26281"/>
    <cellStyle name="Entrada 2 4 32 2 2" xfId="26282"/>
    <cellStyle name="Entrada 2 4 32 3" xfId="26283"/>
    <cellStyle name="Entrada 2 4 32 3 2" xfId="26284"/>
    <cellStyle name="Entrada 2 4 32 4" xfId="26285"/>
    <cellStyle name="Entrada 2 4 33" xfId="26286"/>
    <cellStyle name="Entrada 2 4 33 2" xfId="26287"/>
    <cellStyle name="Entrada 2 4 33 2 2" xfId="26288"/>
    <cellStyle name="Entrada 2 4 33 3" xfId="26289"/>
    <cellStyle name="Entrada 2 4 34" xfId="26290"/>
    <cellStyle name="Entrada 2 4 34 2" xfId="26291"/>
    <cellStyle name="Entrada 2 4 35" xfId="26292"/>
    <cellStyle name="Entrada 2 4 4" xfId="26293"/>
    <cellStyle name="Entrada 2 4 4 10" xfId="26294"/>
    <cellStyle name="Entrada 2 4 4 10 2" xfId="26295"/>
    <cellStyle name="Entrada 2 4 4 10 2 2" xfId="26296"/>
    <cellStyle name="Entrada 2 4 4 10 3" xfId="26297"/>
    <cellStyle name="Entrada 2 4 4 10 3 2" xfId="26298"/>
    <cellStyle name="Entrada 2 4 4 10 4" xfId="26299"/>
    <cellStyle name="Entrada 2 4 4 11" xfId="26300"/>
    <cellStyle name="Entrada 2 4 4 11 2" xfId="26301"/>
    <cellStyle name="Entrada 2 4 4 11 2 2" xfId="26302"/>
    <cellStyle name="Entrada 2 4 4 11 3" xfId="26303"/>
    <cellStyle name="Entrada 2 4 4 11 3 2" xfId="26304"/>
    <cellStyle name="Entrada 2 4 4 11 4" xfId="26305"/>
    <cellStyle name="Entrada 2 4 4 12" xfId="26306"/>
    <cellStyle name="Entrada 2 4 4 12 2" xfId="26307"/>
    <cellStyle name="Entrada 2 4 4 12 2 2" xfId="26308"/>
    <cellStyle name="Entrada 2 4 4 12 3" xfId="26309"/>
    <cellStyle name="Entrada 2 4 4 12 3 2" xfId="26310"/>
    <cellStyle name="Entrada 2 4 4 12 4" xfId="26311"/>
    <cellStyle name="Entrada 2 4 4 13" xfId="26312"/>
    <cellStyle name="Entrada 2 4 4 13 2" xfId="26313"/>
    <cellStyle name="Entrada 2 4 4 13 2 2" xfId="26314"/>
    <cellStyle name="Entrada 2 4 4 13 3" xfId="26315"/>
    <cellStyle name="Entrada 2 4 4 13 3 2" xfId="26316"/>
    <cellStyle name="Entrada 2 4 4 13 4" xfId="26317"/>
    <cellStyle name="Entrada 2 4 4 14" xfId="26318"/>
    <cellStyle name="Entrada 2 4 4 14 2" xfId="26319"/>
    <cellStyle name="Entrada 2 4 4 14 2 2" xfId="26320"/>
    <cellStyle name="Entrada 2 4 4 14 3" xfId="26321"/>
    <cellStyle name="Entrada 2 4 4 14 3 2" xfId="26322"/>
    <cellStyle name="Entrada 2 4 4 14 4" xfId="26323"/>
    <cellStyle name="Entrada 2 4 4 15" xfId="26324"/>
    <cellStyle name="Entrada 2 4 4 15 2" xfId="26325"/>
    <cellStyle name="Entrada 2 4 4 15 2 2" xfId="26326"/>
    <cellStyle name="Entrada 2 4 4 15 3" xfId="26327"/>
    <cellStyle name="Entrada 2 4 4 15 3 2" xfId="26328"/>
    <cellStyle name="Entrada 2 4 4 15 4" xfId="26329"/>
    <cellStyle name="Entrada 2 4 4 16" xfId="26330"/>
    <cellStyle name="Entrada 2 4 4 16 2" xfId="26331"/>
    <cellStyle name="Entrada 2 4 4 16 2 2" xfId="26332"/>
    <cellStyle name="Entrada 2 4 4 16 3" xfId="26333"/>
    <cellStyle name="Entrada 2 4 4 16 3 2" xfId="26334"/>
    <cellStyle name="Entrada 2 4 4 16 4" xfId="26335"/>
    <cellStyle name="Entrada 2 4 4 17" xfId="26336"/>
    <cellStyle name="Entrada 2 4 4 17 2" xfId="26337"/>
    <cellStyle name="Entrada 2 4 4 17 2 2" xfId="26338"/>
    <cellStyle name="Entrada 2 4 4 17 3" xfId="26339"/>
    <cellStyle name="Entrada 2 4 4 17 3 2" xfId="26340"/>
    <cellStyle name="Entrada 2 4 4 17 4" xfId="26341"/>
    <cellStyle name="Entrada 2 4 4 18" xfId="26342"/>
    <cellStyle name="Entrada 2 4 4 18 2" xfId="26343"/>
    <cellStyle name="Entrada 2 4 4 18 2 2" xfId="26344"/>
    <cellStyle name="Entrada 2 4 4 18 3" xfId="26345"/>
    <cellStyle name="Entrada 2 4 4 18 3 2" xfId="26346"/>
    <cellStyle name="Entrada 2 4 4 18 4" xfId="26347"/>
    <cellStyle name="Entrada 2 4 4 19" xfId="26348"/>
    <cellStyle name="Entrada 2 4 4 19 2" xfId="26349"/>
    <cellStyle name="Entrada 2 4 4 19 2 2" xfId="26350"/>
    <cellStyle name="Entrada 2 4 4 19 3" xfId="26351"/>
    <cellStyle name="Entrada 2 4 4 19 3 2" xfId="26352"/>
    <cellStyle name="Entrada 2 4 4 19 4" xfId="26353"/>
    <cellStyle name="Entrada 2 4 4 2" xfId="26354"/>
    <cellStyle name="Entrada 2 4 4 2 2" xfId="26355"/>
    <cellStyle name="Entrada 2 4 4 2 2 2" xfId="26356"/>
    <cellStyle name="Entrada 2 4 4 2 3" xfId="26357"/>
    <cellStyle name="Entrada 2 4 4 2 3 2" xfId="26358"/>
    <cellStyle name="Entrada 2 4 4 2 4" xfId="26359"/>
    <cellStyle name="Entrada 2 4 4 20" xfId="26360"/>
    <cellStyle name="Entrada 2 4 4 20 2" xfId="26361"/>
    <cellStyle name="Entrada 2 4 4 20 2 2" xfId="26362"/>
    <cellStyle name="Entrada 2 4 4 20 3" xfId="26363"/>
    <cellStyle name="Entrada 2 4 4 20 3 2" xfId="26364"/>
    <cellStyle name="Entrada 2 4 4 20 4" xfId="26365"/>
    <cellStyle name="Entrada 2 4 4 21" xfId="26366"/>
    <cellStyle name="Entrada 2 4 4 21 2" xfId="26367"/>
    <cellStyle name="Entrada 2 4 4 21 2 2" xfId="26368"/>
    <cellStyle name="Entrada 2 4 4 21 3" xfId="26369"/>
    <cellStyle name="Entrada 2 4 4 21 3 2" xfId="26370"/>
    <cellStyle name="Entrada 2 4 4 21 4" xfId="26371"/>
    <cellStyle name="Entrada 2 4 4 22" xfId="26372"/>
    <cellStyle name="Entrada 2 4 4 22 2" xfId="26373"/>
    <cellStyle name="Entrada 2 4 4 22 2 2" xfId="26374"/>
    <cellStyle name="Entrada 2 4 4 22 3" xfId="26375"/>
    <cellStyle name="Entrada 2 4 4 22 3 2" xfId="26376"/>
    <cellStyle name="Entrada 2 4 4 22 4" xfId="26377"/>
    <cellStyle name="Entrada 2 4 4 23" xfId="26378"/>
    <cellStyle name="Entrada 2 4 4 23 2" xfId="26379"/>
    <cellStyle name="Entrada 2 4 4 23 2 2" xfId="26380"/>
    <cellStyle name="Entrada 2 4 4 23 3" xfId="26381"/>
    <cellStyle name="Entrada 2 4 4 23 3 2" xfId="26382"/>
    <cellStyle name="Entrada 2 4 4 23 4" xfId="26383"/>
    <cellStyle name="Entrada 2 4 4 24" xfId="26384"/>
    <cellStyle name="Entrada 2 4 4 24 2" xfId="26385"/>
    <cellStyle name="Entrada 2 4 4 24 2 2" xfId="26386"/>
    <cellStyle name="Entrada 2 4 4 24 3" xfId="26387"/>
    <cellStyle name="Entrada 2 4 4 24 3 2" xfId="26388"/>
    <cellStyle name="Entrada 2 4 4 24 4" xfId="26389"/>
    <cellStyle name="Entrada 2 4 4 25" xfId="26390"/>
    <cellStyle name="Entrada 2 4 4 25 2" xfId="26391"/>
    <cellStyle name="Entrada 2 4 4 25 2 2" xfId="26392"/>
    <cellStyle name="Entrada 2 4 4 25 3" xfId="26393"/>
    <cellStyle name="Entrada 2 4 4 25 3 2" xfId="26394"/>
    <cellStyle name="Entrada 2 4 4 25 4" xfId="26395"/>
    <cellStyle name="Entrada 2 4 4 26" xfId="26396"/>
    <cellStyle name="Entrada 2 4 4 26 2" xfId="26397"/>
    <cellStyle name="Entrada 2 4 4 26 2 2" xfId="26398"/>
    <cellStyle name="Entrada 2 4 4 26 3" xfId="26399"/>
    <cellStyle name="Entrada 2 4 4 26 3 2" xfId="26400"/>
    <cellStyle name="Entrada 2 4 4 26 4" xfId="26401"/>
    <cellStyle name="Entrada 2 4 4 27" xfId="26402"/>
    <cellStyle name="Entrada 2 4 4 27 2" xfId="26403"/>
    <cellStyle name="Entrada 2 4 4 27 2 2" xfId="26404"/>
    <cellStyle name="Entrada 2 4 4 27 3" xfId="26405"/>
    <cellStyle name="Entrada 2 4 4 27 3 2" xfId="26406"/>
    <cellStyle name="Entrada 2 4 4 27 4" xfId="26407"/>
    <cellStyle name="Entrada 2 4 4 28" xfId="26408"/>
    <cellStyle name="Entrada 2 4 4 28 2" xfId="26409"/>
    <cellStyle name="Entrada 2 4 4 28 2 2" xfId="26410"/>
    <cellStyle name="Entrada 2 4 4 28 3" xfId="26411"/>
    <cellStyle name="Entrada 2 4 4 28 3 2" xfId="26412"/>
    <cellStyle name="Entrada 2 4 4 28 4" xfId="26413"/>
    <cellStyle name="Entrada 2 4 4 29" xfId="26414"/>
    <cellStyle name="Entrada 2 4 4 29 2" xfId="26415"/>
    <cellStyle name="Entrada 2 4 4 29 2 2" xfId="26416"/>
    <cellStyle name="Entrada 2 4 4 29 3" xfId="26417"/>
    <cellStyle name="Entrada 2 4 4 29 3 2" xfId="26418"/>
    <cellStyle name="Entrada 2 4 4 29 4" xfId="26419"/>
    <cellStyle name="Entrada 2 4 4 3" xfId="26420"/>
    <cellStyle name="Entrada 2 4 4 3 2" xfId="26421"/>
    <cellStyle name="Entrada 2 4 4 3 2 2" xfId="26422"/>
    <cellStyle name="Entrada 2 4 4 3 3" xfId="26423"/>
    <cellStyle name="Entrada 2 4 4 3 3 2" xfId="26424"/>
    <cellStyle name="Entrada 2 4 4 3 4" xfId="26425"/>
    <cellStyle name="Entrada 2 4 4 30" xfId="26426"/>
    <cellStyle name="Entrada 2 4 4 30 2" xfId="26427"/>
    <cellStyle name="Entrada 2 4 4 30 2 2" xfId="26428"/>
    <cellStyle name="Entrada 2 4 4 30 3" xfId="26429"/>
    <cellStyle name="Entrada 2 4 4 30 3 2" xfId="26430"/>
    <cellStyle name="Entrada 2 4 4 30 4" xfId="26431"/>
    <cellStyle name="Entrada 2 4 4 31" xfId="26432"/>
    <cellStyle name="Entrada 2 4 4 31 2" xfId="26433"/>
    <cellStyle name="Entrada 2 4 4 31 2 2" xfId="26434"/>
    <cellStyle name="Entrada 2 4 4 31 3" xfId="26435"/>
    <cellStyle name="Entrada 2 4 4 31 3 2" xfId="26436"/>
    <cellStyle name="Entrada 2 4 4 31 4" xfId="26437"/>
    <cellStyle name="Entrada 2 4 4 32" xfId="26438"/>
    <cellStyle name="Entrada 2 4 4 32 2" xfId="26439"/>
    <cellStyle name="Entrada 2 4 4 32 2 2" xfId="26440"/>
    <cellStyle name="Entrada 2 4 4 32 3" xfId="26441"/>
    <cellStyle name="Entrada 2 4 4 32 3 2" xfId="26442"/>
    <cellStyle name="Entrada 2 4 4 32 4" xfId="26443"/>
    <cellStyle name="Entrada 2 4 4 33" xfId="26444"/>
    <cellStyle name="Entrada 2 4 4 33 2" xfId="26445"/>
    <cellStyle name="Entrada 2 4 4 33 2 2" xfId="26446"/>
    <cellStyle name="Entrada 2 4 4 33 3" xfId="26447"/>
    <cellStyle name="Entrada 2 4 4 33 3 2" xfId="26448"/>
    <cellStyle name="Entrada 2 4 4 33 4" xfId="26449"/>
    <cellStyle name="Entrada 2 4 4 34" xfId="26450"/>
    <cellStyle name="Entrada 2 4 4 34 2" xfId="26451"/>
    <cellStyle name="Entrada 2 4 4 34 2 2" xfId="26452"/>
    <cellStyle name="Entrada 2 4 4 34 3" xfId="26453"/>
    <cellStyle name="Entrada 2 4 4 34 3 2" xfId="26454"/>
    <cellStyle name="Entrada 2 4 4 34 4" xfId="26455"/>
    <cellStyle name="Entrada 2 4 4 35" xfId="26456"/>
    <cellStyle name="Entrada 2 4 4 35 2" xfId="26457"/>
    <cellStyle name="Entrada 2 4 4 35 2 2" xfId="26458"/>
    <cellStyle name="Entrada 2 4 4 35 3" xfId="26459"/>
    <cellStyle name="Entrada 2 4 4 35 3 2" xfId="26460"/>
    <cellStyle name="Entrada 2 4 4 35 4" xfId="26461"/>
    <cellStyle name="Entrada 2 4 4 36" xfId="26462"/>
    <cellStyle name="Entrada 2 4 4 36 2" xfId="26463"/>
    <cellStyle name="Entrada 2 4 4 36 2 2" xfId="26464"/>
    <cellStyle name="Entrada 2 4 4 36 3" xfId="26465"/>
    <cellStyle name="Entrada 2 4 4 36 3 2" xfId="26466"/>
    <cellStyle name="Entrada 2 4 4 36 4" xfId="26467"/>
    <cellStyle name="Entrada 2 4 4 37" xfId="26468"/>
    <cellStyle name="Entrada 2 4 4 37 2" xfId="26469"/>
    <cellStyle name="Entrada 2 4 4 37 2 2" xfId="26470"/>
    <cellStyle name="Entrada 2 4 4 37 3" xfId="26471"/>
    <cellStyle name="Entrada 2 4 4 37 3 2" xfId="26472"/>
    <cellStyle name="Entrada 2 4 4 37 4" xfId="26473"/>
    <cellStyle name="Entrada 2 4 4 38" xfId="26474"/>
    <cellStyle name="Entrada 2 4 4 38 2" xfId="26475"/>
    <cellStyle name="Entrada 2 4 4 38 2 2" xfId="26476"/>
    <cellStyle name="Entrada 2 4 4 38 3" xfId="26477"/>
    <cellStyle name="Entrada 2 4 4 38 3 2" xfId="26478"/>
    <cellStyle name="Entrada 2 4 4 38 4" xfId="26479"/>
    <cellStyle name="Entrada 2 4 4 39" xfId="26480"/>
    <cellStyle name="Entrada 2 4 4 39 2" xfId="26481"/>
    <cellStyle name="Entrada 2 4 4 39 2 2" xfId="26482"/>
    <cellStyle name="Entrada 2 4 4 39 3" xfId="26483"/>
    <cellStyle name="Entrada 2 4 4 39 3 2" xfId="26484"/>
    <cellStyle name="Entrada 2 4 4 39 4" xfId="26485"/>
    <cellStyle name="Entrada 2 4 4 4" xfId="26486"/>
    <cellStyle name="Entrada 2 4 4 4 2" xfId="26487"/>
    <cellStyle name="Entrada 2 4 4 4 2 2" xfId="26488"/>
    <cellStyle name="Entrada 2 4 4 4 3" xfId="26489"/>
    <cellStyle name="Entrada 2 4 4 4 3 2" xfId="26490"/>
    <cellStyle name="Entrada 2 4 4 4 4" xfId="26491"/>
    <cellStyle name="Entrada 2 4 4 40" xfId="26492"/>
    <cellStyle name="Entrada 2 4 4 40 2" xfId="26493"/>
    <cellStyle name="Entrada 2 4 4 40 2 2" xfId="26494"/>
    <cellStyle name="Entrada 2 4 4 40 3" xfId="26495"/>
    <cellStyle name="Entrada 2 4 4 41" xfId="26496"/>
    <cellStyle name="Entrada 2 4 4 41 2" xfId="26497"/>
    <cellStyle name="Entrada 2 4 4 42" xfId="26498"/>
    <cellStyle name="Entrada 2 4 4 42 2" xfId="26499"/>
    <cellStyle name="Entrada 2 4 4 43" xfId="26500"/>
    <cellStyle name="Entrada 2 4 4 5" xfId="26501"/>
    <cellStyle name="Entrada 2 4 4 5 2" xfId="26502"/>
    <cellStyle name="Entrada 2 4 4 5 2 2" xfId="26503"/>
    <cellStyle name="Entrada 2 4 4 5 3" xfId="26504"/>
    <cellStyle name="Entrada 2 4 4 5 3 2" xfId="26505"/>
    <cellStyle name="Entrada 2 4 4 5 4" xfId="26506"/>
    <cellStyle name="Entrada 2 4 4 6" xfId="26507"/>
    <cellStyle name="Entrada 2 4 4 6 2" xfId="26508"/>
    <cellStyle name="Entrada 2 4 4 6 2 2" xfId="26509"/>
    <cellStyle name="Entrada 2 4 4 6 3" xfId="26510"/>
    <cellStyle name="Entrada 2 4 4 6 3 2" xfId="26511"/>
    <cellStyle name="Entrada 2 4 4 6 4" xfId="26512"/>
    <cellStyle name="Entrada 2 4 4 7" xfId="26513"/>
    <cellStyle name="Entrada 2 4 4 7 2" xfId="26514"/>
    <cellStyle name="Entrada 2 4 4 7 2 2" xfId="26515"/>
    <cellStyle name="Entrada 2 4 4 7 3" xfId="26516"/>
    <cellStyle name="Entrada 2 4 4 7 3 2" xfId="26517"/>
    <cellStyle name="Entrada 2 4 4 7 4" xfId="26518"/>
    <cellStyle name="Entrada 2 4 4 8" xfId="26519"/>
    <cellStyle name="Entrada 2 4 4 8 2" xfId="26520"/>
    <cellStyle name="Entrada 2 4 4 8 2 2" xfId="26521"/>
    <cellStyle name="Entrada 2 4 4 8 3" xfId="26522"/>
    <cellStyle name="Entrada 2 4 4 8 3 2" xfId="26523"/>
    <cellStyle name="Entrada 2 4 4 8 4" xfId="26524"/>
    <cellStyle name="Entrada 2 4 4 9" xfId="26525"/>
    <cellStyle name="Entrada 2 4 4 9 2" xfId="26526"/>
    <cellStyle name="Entrada 2 4 4 9 2 2" xfId="26527"/>
    <cellStyle name="Entrada 2 4 4 9 3" xfId="26528"/>
    <cellStyle name="Entrada 2 4 4 9 3 2" xfId="26529"/>
    <cellStyle name="Entrada 2 4 4 9 4" xfId="26530"/>
    <cellStyle name="Entrada 2 4 5" xfId="26531"/>
    <cellStyle name="Entrada 2 4 5 10" xfId="26532"/>
    <cellStyle name="Entrada 2 4 5 10 2" xfId="26533"/>
    <cellStyle name="Entrada 2 4 5 10 2 2" xfId="26534"/>
    <cellStyle name="Entrada 2 4 5 10 3" xfId="26535"/>
    <cellStyle name="Entrada 2 4 5 10 3 2" xfId="26536"/>
    <cellStyle name="Entrada 2 4 5 10 4" xfId="26537"/>
    <cellStyle name="Entrada 2 4 5 11" xfId="26538"/>
    <cellStyle name="Entrada 2 4 5 11 2" xfId="26539"/>
    <cellStyle name="Entrada 2 4 5 11 2 2" xfId="26540"/>
    <cellStyle name="Entrada 2 4 5 11 3" xfId="26541"/>
    <cellStyle name="Entrada 2 4 5 11 3 2" xfId="26542"/>
    <cellStyle name="Entrada 2 4 5 11 4" xfId="26543"/>
    <cellStyle name="Entrada 2 4 5 12" xfId="26544"/>
    <cellStyle name="Entrada 2 4 5 12 2" xfId="26545"/>
    <cellStyle name="Entrada 2 4 5 12 2 2" xfId="26546"/>
    <cellStyle name="Entrada 2 4 5 12 3" xfId="26547"/>
    <cellStyle name="Entrada 2 4 5 12 3 2" xfId="26548"/>
    <cellStyle name="Entrada 2 4 5 12 4" xfId="26549"/>
    <cellStyle name="Entrada 2 4 5 13" xfId="26550"/>
    <cellStyle name="Entrada 2 4 5 13 2" xfId="26551"/>
    <cellStyle name="Entrada 2 4 5 13 2 2" xfId="26552"/>
    <cellStyle name="Entrada 2 4 5 13 3" xfId="26553"/>
    <cellStyle name="Entrada 2 4 5 13 3 2" xfId="26554"/>
    <cellStyle name="Entrada 2 4 5 13 4" xfId="26555"/>
    <cellStyle name="Entrada 2 4 5 14" xfId="26556"/>
    <cellStyle name="Entrada 2 4 5 14 2" xfId="26557"/>
    <cellStyle name="Entrada 2 4 5 14 2 2" xfId="26558"/>
    <cellStyle name="Entrada 2 4 5 14 3" xfId="26559"/>
    <cellStyle name="Entrada 2 4 5 14 3 2" xfId="26560"/>
    <cellStyle name="Entrada 2 4 5 14 4" xfId="26561"/>
    <cellStyle name="Entrada 2 4 5 15" xfId="26562"/>
    <cellStyle name="Entrada 2 4 5 15 2" xfId="26563"/>
    <cellStyle name="Entrada 2 4 5 15 2 2" xfId="26564"/>
    <cellStyle name="Entrada 2 4 5 15 3" xfId="26565"/>
    <cellStyle name="Entrada 2 4 5 15 3 2" xfId="26566"/>
    <cellStyle name="Entrada 2 4 5 15 4" xfId="26567"/>
    <cellStyle name="Entrada 2 4 5 16" xfId="26568"/>
    <cellStyle name="Entrada 2 4 5 16 2" xfId="26569"/>
    <cellStyle name="Entrada 2 4 5 16 2 2" xfId="26570"/>
    <cellStyle name="Entrada 2 4 5 16 3" xfId="26571"/>
    <cellStyle name="Entrada 2 4 5 16 3 2" xfId="26572"/>
    <cellStyle name="Entrada 2 4 5 16 4" xfId="26573"/>
    <cellStyle name="Entrada 2 4 5 17" xfId="26574"/>
    <cellStyle name="Entrada 2 4 5 17 2" xfId="26575"/>
    <cellStyle name="Entrada 2 4 5 17 2 2" xfId="26576"/>
    <cellStyle name="Entrada 2 4 5 17 3" xfId="26577"/>
    <cellStyle name="Entrada 2 4 5 17 3 2" xfId="26578"/>
    <cellStyle name="Entrada 2 4 5 17 4" xfId="26579"/>
    <cellStyle name="Entrada 2 4 5 18" xfId="26580"/>
    <cellStyle name="Entrada 2 4 5 18 2" xfId="26581"/>
    <cellStyle name="Entrada 2 4 5 18 2 2" xfId="26582"/>
    <cellStyle name="Entrada 2 4 5 18 3" xfId="26583"/>
    <cellStyle name="Entrada 2 4 5 18 3 2" xfId="26584"/>
    <cellStyle name="Entrada 2 4 5 18 4" xfId="26585"/>
    <cellStyle name="Entrada 2 4 5 19" xfId="26586"/>
    <cellStyle name="Entrada 2 4 5 19 2" xfId="26587"/>
    <cellStyle name="Entrada 2 4 5 19 2 2" xfId="26588"/>
    <cellStyle name="Entrada 2 4 5 19 3" xfId="26589"/>
    <cellStyle name="Entrada 2 4 5 19 3 2" xfId="26590"/>
    <cellStyle name="Entrada 2 4 5 19 4" xfId="26591"/>
    <cellStyle name="Entrada 2 4 5 2" xfId="26592"/>
    <cellStyle name="Entrada 2 4 5 2 2" xfId="26593"/>
    <cellStyle name="Entrada 2 4 5 2 2 2" xfId="26594"/>
    <cellStyle name="Entrada 2 4 5 2 3" xfId="26595"/>
    <cellStyle name="Entrada 2 4 5 2 3 2" xfId="26596"/>
    <cellStyle name="Entrada 2 4 5 2 4" xfId="26597"/>
    <cellStyle name="Entrada 2 4 5 20" xfId="26598"/>
    <cellStyle name="Entrada 2 4 5 20 2" xfId="26599"/>
    <cellStyle name="Entrada 2 4 5 20 2 2" xfId="26600"/>
    <cellStyle name="Entrada 2 4 5 20 3" xfId="26601"/>
    <cellStyle name="Entrada 2 4 5 20 3 2" xfId="26602"/>
    <cellStyle name="Entrada 2 4 5 20 4" xfId="26603"/>
    <cellStyle name="Entrada 2 4 5 21" xfId="26604"/>
    <cellStyle name="Entrada 2 4 5 21 2" xfId="26605"/>
    <cellStyle name="Entrada 2 4 5 21 2 2" xfId="26606"/>
    <cellStyle name="Entrada 2 4 5 21 3" xfId="26607"/>
    <cellStyle name="Entrada 2 4 5 21 3 2" xfId="26608"/>
    <cellStyle name="Entrada 2 4 5 21 4" xfId="26609"/>
    <cellStyle name="Entrada 2 4 5 22" xfId="26610"/>
    <cellStyle name="Entrada 2 4 5 22 2" xfId="26611"/>
    <cellStyle name="Entrada 2 4 5 22 2 2" xfId="26612"/>
    <cellStyle name="Entrada 2 4 5 22 3" xfId="26613"/>
    <cellStyle name="Entrada 2 4 5 22 3 2" xfId="26614"/>
    <cellStyle name="Entrada 2 4 5 22 4" xfId="26615"/>
    <cellStyle name="Entrada 2 4 5 23" xfId="26616"/>
    <cellStyle name="Entrada 2 4 5 23 2" xfId="26617"/>
    <cellStyle name="Entrada 2 4 5 23 2 2" xfId="26618"/>
    <cellStyle name="Entrada 2 4 5 23 3" xfId="26619"/>
    <cellStyle name="Entrada 2 4 5 23 3 2" xfId="26620"/>
    <cellStyle name="Entrada 2 4 5 23 4" xfId="26621"/>
    <cellStyle name="Entrada 2 4 5 24" xfId="26622"/>
    <cellStyle name="Entrada 2 4 5 24 2" xfId="26623"/>
    <cellStyle name="Entrada 2 4 5 24 2 2" xfId="26624"/>
    <cellStyle name="Entrada 2 4 5 24 3" xfId="26625"/>
    <cellStyle name="Entrada 2 4 5 24 3 2" xfId="26626"/>
    <cellStyle name="Entrada 2 4 5 24 4" xfId="26627"/>
    <cellStyle name="Entrada 2 4 5 25" xfId="26628"/>
    <cellStyle name="Entrada 2 4 5 25 2" xfId="26629"/>
    <cellStyle name="Entrada 2 4 5 25 2 2" xfId="26630"/>
    <cellStyle name="Entrada 2 4 5 25 3" xfId="26631"/>
    <cellStyle name="Entrada 2 4 5 25 3 2" xfId="26632"/>
    <cellStyle name="Entrada 2 4 5 25 4" xfId="26633"/>
    <cellStyle name="Entrada 2 4 5 26" xfId="26634"/>
    <cellStyle name="Entrada 2 4 5 26 2" xfId="26635"/>
    <cellStyle name="Entrada 2 4 5 26 2 2" xfId="26636"/>
    <cellStyle name="Entrada 2 4 5 26 3" xfId="26637"/>
    <cellStyle name="Entrada 2 4 5 26 3 2" xfId="26638"/>
    <cellStyle name="Entrada 2 4 5 26 4" xfId="26639"/>
    <cellStyle name="Entrada 2 4 5 27" xfId="26640"/>
    <cellStyle name="Entrada 2 4 5 27 2" xfId="26641"/>
    <cellStyle name="Entrada 2 4 5 27 2 2" xfId="26642"/>
    <cellStyle name="Entrada 2 4 5 27 3" xfId="26643"/>
    <cellStyle name="Entrada 2 4 5 27 3 2" xfId="26644"/>
    <cellStyle name="Entrada 2 4 5 27 4" xfId="26645"/>
    <cellStyle name="Entrada 2 4 5 28" xfId="26646"/>
    <cellStyle name="Entrada 2 4 5 28 2" xfId="26647"/>
    <cellStyle name="Entrada 2 4 5 28 2 2" xfId="26648"/>
    <cellStyle name="Entrada 2 4 5 28 3" xfId="26649"/>
    <cellStyle name="Entrada 2 4 5 28 3 2" xfId="26650"/>
    <cellStyle name="Entrada 2 4 5 28 4" xfId="26651"/>
    <cellStyle name="Entrada 2 4 5 29" xfId="26652"/>
    <cellStyle name="Entrada 2 4 5 29 2" xfId="26653"/>
    <cellStyle name="Entrada 2 4 5 29 2 2" xfId="26654"/>
    <cellStyle name="Entrada 2 4 5 29 3" xfId="26655"/>
    <cellStyle name="Entrada 2 4 5 29 3 2" xfId="26656"/>
    <cellStyle name="Entrada 2 4 5 29 4" xfId="26657"/>
    <cellStyle name="Entrada 2 4 5 3" xfId="26658"/>
    <cellStyle name="Entrada 2 4 5 3 2" xfId="26659"/>
    <cellStyle name="Entrada 2 4 5 3 2 2" xfId="26660"/>
    <cellStyle name="Entrada 2 4 5 3 3" xfId="26661"/>
    <cellStyle name="Entrada 2 4 5 3 3 2" xfId="26662"/>
    <cellStyle name="Entrada 2 4 5 3 4" xfId="26663"/>
    <cellStyle name="Entrada 2 4 5 30" xfId="26664"/>
    <cellStyle name="Entrada 2 4 5 30 2" xfId="26665"/>
    <cellStyle name="Entrada 2 4 5 30 2 2" xfId="26666"/>
    <cellStyle name="Entrada 2 4 5 30 3" xfId="26667"/>
    <cellStyle name="Entrada 2 4 5 30 3 2" xfId="26668"/>
    <cellStyle name="Entrada 2 4 5 30 4" xfId="26669"/>
    <cellStyle name="Entrada 2 4 5 31" xfId="26670"/>
    <cellStyle name="Entrada 2 4 5 31 2" xfId="26671"/>
    <cellStyle name="Entrada 2 4 5 31 2 2" xfId="26672"/>
    <cellStyle name="Entrada 2 4 5 31 3" xfId="26673"/>
    <cellStyle name="Entrada 2 4 5 31 3 2" xfId="26674"/>
    <cellStyle name="Entrada 2 4 5 31 4" xfId="26675"/>
    <cellStyle name="Entrada 2 4 5 32" xfId="26676"/>
    <cellStyle name="Entrada 2 4 5 32 2" xfId="26677"/>
    <cellStyle name="Entrada 2 4 5 32 2 2" xfId="26678"/>
    <cellStyle name="Entrada 2 4 5 32 3" xfId="26679"/>
    <cellStyle name="Entrada 2 4 5 32 3 2" xfId="26680"/>
    <cellStyle name="Entrada 2 4 5 32 4" xfId="26681"/>
    <cellStyle name="Entrada 2 4 5 33" xfId="26682"/>
    <cellStyle name="Entrada 2 4 5 33 2" xfId="26683"/>
    <cellStyle name="Entrada 2 4 5 33 2 2" xfId="26684"/>
    <cellStyle name="Entrada 2 4 5 33 3" xfId="26685"/>
    <cellStyle name="Entrada 2 4 5 33 3 2" xfId="26686"/>
    <cellStyle name="Entrada 2 4 5 33 4" xfId="26687"/>
    <cellStyle name="Entrada 2 4 5 34" xfId="26688"/>
    <cellStyle name="Entrada 2 4 5 34 2" xfId="26689"/>
    <cellStyle name="Entrada 2 4 5 34 2 2" xfId="26690"/>
    <cellStyle name="Entrada 2 4 5 34 3" xfId="26691"/>
    <cellStyle name="Entrada 2 4 5 34 3 2" xfId="26692"/>
    <cellStyle name="Entrada 2 4 5 34 4" xfId="26693"/>
    <cellStyle name="Entrada 2 4 5 35" xfId="26694"/>
    <cellStyle name="Entrada 2 4 5 35 2" xfId="26695"/>
    <cellStyle name="Entrada 2 4 5 35 2 2" xfId="26696"/>
    <cellStyle name="Entrada 2 4 5 35 3" xfId="26697"/>
    <cellStyle name="Entrada 2 4 5 35 3 2" xfId="26698"/>
    <cellStyle name="Entrada 2 4 5 35 4" xfId="26699"/>
    <cellStyle name="Entrada 2 4 5 36" xfId="26700"/>
    <cellStyle name="Entrada 2 4 5 36 2" xfId="26701"/>
    <cellStyle name="Entrada 2 4 5 36 2 2" xfId="26702"/>
    <cellStyle name="Entrada 2 4 5 36 3" xfId="26703"/>
    <cellStyle name="Entrada 2 4 5 36 3 2" xfId="26704"/>
    <cellStyle name="Entrada 2 4 5 36 4" xfId="26705"/>
    <cellStyle name="Entrada 2 4 5 37" xfId="26706"/>
    <cellStyle name="Entrada 2 4 5 37 2" xfId="26707"/>
    <cellStyle name="Entrada 2 4 5 37 2 2" xfId="26708"/>
    <cellStyle name="Entrada 2 4 5 37 3" xfId="26709"/>
    <cellStyle name="Entrada 2 4 5 37 3 2" xfId="26710"/>
    <cellStyle name="Entrada 2 4 5 37 4" xfId="26711"/>
    <cellStyle name="Entrada 2 4 5 38" xfId="26712"/>
    <cellStyle name="Entrada 2 4 5 38 2" xfId="26713"/>
    <cellStyle name="Entrada 2 4 5 38 2 2" xfId="26714"/>
    <cellStyle name="Entrada 2 4 5 38 3" xfId="26715"/>
    <cellStyle name="Entrada 2 4 5 38 3 2" xfId="26716"/>
    <cellStyle name="Entrada 2 4 5 38 4" xfId="26717"/>
    <cellStyle name="Entrada 2 4 5 39" xfId="26718"/>
    <cellStyle name="Entrada 2 4 5 39 2" xfId="26719"/>
    <cellStyle name="Entrada 2 4 5 39 2 2" xfId="26720"/>
    <cellStyle name="Entrada 2 4 5 39 3" xfId="26721"/>
    <cellStyle name="Entrada 2 4 5 4" xfId="26722"/>
    <cellStyle name="Entrada 2 4 5 4 2" xfId="26723"/>
    <cellStyle name="Entrada 2 4 5 4 2 2" xfId="26724"/>
    <cellStyle name="Entrada 2 4 5 4 3" xfId="26725"/>
    <cellStyle name="Entrada 2 4 5 4 3 2" xfId="26726"/>
    <cellStyle name="Entrada 2 4 5 4 4" xfId="26727"/>
    <cellStyle name="Entrada 2 4 5 40" xfId="26728"/>
    <cellStyle name="Entrada 2 4 5 40 2" xfId="26729"/>
    <cellStyle name="Entrada 2 4 5 41" xfId="26730"/>
    <cellStyle name="Entrada 2 4 5 41 2" xfId="26731"/>
    <cellStyle name="Entrada 2 4 5 42" xfId="26732"/>
    <cellStyle name="Entrada 2 4 5 5" xfId="26733"/>
    <cellStyle name="Entrada 2 4 5 5 2" xfId="26734"/>
    <cellStyle name="Entrada 2 4 5 5 2 2" xfId="26735"/>
    <cellStyle name="Entrada 2 4 5 5 3" xfId="26736"/>
    <cellStyle name="Entrada 2 4 5 5 3 2" xfId="26737"/>
    <cellStyle name="Entrada 2 4 5 5 4" xfId="26738"/>
    <cellStyle name="Entrada 2 4 5 6" xfId="26739"/>
    <cellStyle name="Entrada 2 4 5 6 2" xfId="26740"/>
    <cellStyle name="Entrada 2 4 5 6 2 2" xfId="26741"/>
    <cellStyle name="Entrada 2 4 5 6 3" xfId="26742"/>
    <cellStyle name="Entrada 2 4 5 6 3 2" xfId="26743"/>
    <cellStyle name="Entrada 2 4 5 6 4" xfId="26744"/>
    <cellStyle name="Entrada 2 4 5 7" xfId="26745"/>
    <cellStyle name="Entrada 2 4 5 7 2" xfId="26746"/>
    <cellStyle name="Entrada 2 4 5 7 2 2" xfId="26747"/>
    <cellStyle name="Entrada 2 4 5 7 3" xfId="26748"/>
    <cellStyle name="Entrada 2 4 5 7 3 2" xfId="26749"/>
    <cellStyle name="Entrada 2 4 5 7 4" xfId="26750"/>
    <cellStyle name="Entrada 2 4 5 8" xfId="26751"/>
    <cellStyle name="Entrada 2 4 5 8 2" xfId="26752"/>
    <cellStyle name="Entrada 2 4 5 8 2 2" xfId="26753"/>
    <cellStyle name="Entrada 2 4 5 8 3" xfId="26754"/>
    <cellStyle name="Entrada 2 4 5 8 3 2" xfId="26755"/>
    <cellStyle name="Entrada 2 4 5 8 4" xfId="26756"/>
    <cellStyle name="Entrada 2 4 5 9" xfId="26757"/>
    <cellStyle name="Entrada 2 4 5 9 2" xfId="26758"/>
    <cellStyle name="Entrada 2 4 5 9 2 2" xfId="26759"/>
    <cellStyle name="Entrada 2 4 5 9 3" xfId="26760"/>
    <cellStyle name="Entrada 2 4 5 9 3 2" xfId="26761"/>
    <cellStyle name="Entrada 2 4 5 9 4" xfId="26762"/>
    <cellStyle name="Entrada 2 4 6" xfId="26763"/>
    <cellStyle name="Entrada 2 4 6 10" xfId="26764"/>
    <cellStyle name="Entrada 2 4 6 10 2" xfId="26765"/>
    <cellStyle name="Entrada 2 4 6 10 2 2" xfId="26766"/>
    <cellStyle name="Entrada 2 4 6 10 3" xfId="26767"/>
    <cellStyle name="Entrada 2 4 6 10 3 2" xfId="26768"/>
    <cellStyle name="Entrada 2 4 6 10 4" xfId="26769"/>
    <cellStyle name="Entrada 2 4 6 11" xfId="26770"/>
    <cellStyle name="Entrada 2 4 6 11 2" xfId="26771"/>
    <cellStyle name="Entrada 2 4 6 11 2 2" xfId="26772"/>
    <cellStyle name="Entrada 2 4 6 11 3" xfId="26773"/>
    <cellStyle name="Entrada 2 4 6 11 3 2" xfId="26774"/>
    <cellStyle name="Entrada 2 4 6 11 4" xfId="26775"/>
    <cellStyle name="Entrada 2 4 6 12" xfId="26776"/>
    <cellStyle name="Entrada 2 4 6 12 2" xfId="26777"/>
    <cellStyle name="Entrada 2 4 6 12 2 2" xfId="26778"/>
    <cellStyle name="Entrada 2 4 6 12 3" xfId="26779"/>
    <cellStyle name="Entrada 2 4 6 12 3 2" xfId="26780"/>
    <cellStyle name="Entrada 2 4 6 12 4" xfId="26781"/>
    <cellStyle name="Entrada 2 4 6 13" xfId="26782"/>
    <cellStyle name="Entrada 2 4 6 13 2" xfId="26783"/>
    <cellStyle name="Entrada 2 4 6 13 2 2" xfId="26784"/>
    <cellStyle name="Entrada 2 4 6 13 3" xfId="26785"/>
    <cellStyle name="Entrada 2 4 6 13 3 2" xfId="26786"/>
    <cellStyle name="Entrada 2 4 6 13 4" xfId="26787"/>
    <cellStyle name="Entrada 2 4 6 14" xfId="26788"/>
    <cellStyle name="Entrada 2 4 6 14 2" xfId="26789"/>
    <cellStyle name="Entrada 2 4 6 14 2 2" xfId="26790"/>
    <cellStyle name="Entrada 2 4 6 14 3" xfId="26791"/>
    <cellStyle name="Entrada 2 4 6 14 3 2" xfId="26792"/>
    <cellStyle name="Entrada 2 4 6 14 4" xfId="26793"/>
    <cellStyle name="Entrada 2 4 6 15" xfId="26794"/>
    <cellStyle name="Entrada 2 4 6 15 2" xfId="26795"/>
    <cellStyle name="Entrada 2 4 6 15 2 2" xfId="26796"/>
    <cellStyle name="Entrada 2 4 6 15 3" xfId="26797"/>
    <cellStyle name="Entrada 2 4 6 15 3 2" xfId="26798"/>
    <cellStyle name="Entrada 2 4 6 15 4" xfId="26799"/>
    <cellStyle name="Entrada 2 4 6 16" xfId="26800"/>
    <cellStyle name="Entrada 2 4 6 16 2" xfId="26801"/>
    <cellStyle name="Entrada 2 4 6 16 2 2" xfId="26802"/>
    <cellStyle name="Entrada 2 4 6 16 3" xfId="26803"/>
    <cellStyle name="Entrada 2 4 6 16 3 2" xfId="26804"/>
    <cellStyle name="Entrada 2 4 6 16 4" xfId="26805"/>
    <cellStyle name="Entrada 2 4 6 17" xfId="26806"/>
    <cellStyle name="Entrada 2 4 6 17 2" xfId="26807"/>
    <cellStyle name="Entrada 2 4 6 17 2 2" xfId="26808"/>
    <cellStyle name="Entrada 2 4 6 17 3" xfId="26809"/>
    <cellStyle name="Entrada 2 4 6 17 3 2" xfId="26810"/>
    <cellStyle name="Entrada 2 4 6 17 4" xfId="26811"/>
    <cellStyle name="Entrada 2 4 6 18" xfId="26812"/>
    <cellStyle name="Entrada 2 4 6 18 2" xfId="26813"/>
    <cellStyle name="Entrada 2 4 6 18 2 2" xfId="26814"/>
    <cellStyle name="Entrada 2 4 6 18 3" xfId="26815"/>
    <cellStyle name="Entrada 2 4 6 18 3 2" xfId="26816"/>
    <cellStyle name="Entrada 2 4 6 18 4" xfId="26817"/>
    <cellStyle name="Entrada 2 4 6 19" xfId="26818"/>
    <cellStyle name="Entrada 2 4 6 19 2" xfId="26819"/>
    <cellStyle name="Entrada 2 4 6 19 2 2" xfId="26820"/>
    <cellStyle name="Entrada 2 4 6 19 3" xfId="26821"/>
    <cellStyle name="Entrada 2 4 6 19 3 2" xfId="26822"/>
    <cellStyle name="Entrada 2 4 6 19 4" xfId="26823"/>
    <cellStyle name="Entrada 2 4 6 2" xfId="26824"/>
    <cellStyle name="Entrada 2 4 6 2 2" xfId="26825"/>
    <cellStyle name="Entrada 2 4 6 2 2 2" xfId="26826"/>
    <cellStyle name="Entrada 2 4 6 2 3" xfId="26827"/>
    <cellStyle name="Entrada 2 4 6 2 3 2" xfId="26828"/>
    <cellStyle name="Entrada 2 4 6 2 4" xfId="26829"/>
    <cellStyle name="Entrada 2 4 6 20" xfId="26830"/>
    <cellStyle name="Entrada 2 4 6 20 2" xfId="26831"/>
    <cellStyle name="Entrada 2 4 6 20 2 2" xfId="26832"/>
    <cellStyle name="Entrada 2 4 6 20 3" xfId="26833"/>
    <cellStyle name="Entrada 2 4 6 20 3 2" xfId="26834"/>
    <cellStyle name="Entrada 2 4 6 20 4" xfId="26835"/>
    <cellStyle name="Entrada 2 4 6 21" xfId="26836"/>
    <cellStyle name="Entrada 2 4 6 21 2" xfId="26837"/>
    <cellStyle name="Entrada 2 4 6 21 2 2" xfId="26838"/>
    <cellStyle name="Entrada 2 4 6 21 3" xfId="26839"/>
    <cellStyle name="Entrada 2 4 6 21 3 2" xfId="26840"/>
    <cellStyle name="Entrada 2 4 6 21 4" xfId="26841"/>
    <cellStyle name="Entrada 2 4 6 22" xfId="26842"/>
    <cellStyle name="Entrada 2 4 6 22 2" xfId="26843"/>
    <cellStyle name="Entrada 2 4 6 22 2 2" xfId="26844"/>
    <cellStyle name="Entrada 2 4 6 22 3" xfId="26845"/>
    <cellStyle name="Entrada 2 4 6 22 3 2" xfId="26846"/>
    <cellStyle name="Entrada 2 4 6 22 4" xfId="26847"/>
    <cellStyle name="Entrada 2 4 6 23" xfId="26848"/>
    <cellStyle name="Entrada 2 4 6 23 2" xfId="26849"/>
    <cellStyle name="Entrada 2 4 6 23 2 2" xfId="26850"/>
    <cellStyle name="Entrada 2 4 6 23 3" xfId="26851"/>
    <cellStyle name="Entrada 2 4 6 23 3 2" xfId="26852"/>
    <cellStyle name="Entrada 2 4 6 23 4" xfId="26853"/>
    <cellStyle name="Entrada 2 4 6 24" xfId="26854"/>
    <cellStyle name="Entrada 2 4 6 24 2" xfId="26855"/>
    <cellStyle name="Entrada 2 4 6 24 2 2" xfId="26856"/>
    <cellStyle name="Entrada 2 4 6 24 3" xfId="26857"/>
    <cellStyle name="Entrada 2 4 6 24 3 2" xfId="26858"/>
    <cellStyle name="Entrada 2 4 6 24 4" xfId="26859"/>
    <cellStyle name="Entrada 2 4 6 25" xfId="26860"/>
    <cellStyle name="Entrada 2 4 6 25 2" xfId="26861"/>
    <cellStyle name="Entrada 2 4 6 25 2 2" xfId="26862"/>
    <cellStyle name="Entrada 2 4 6 25 3" xfId="26863"/>
    <cellStyle name="Entrada 2 4 6 25 3 2" xfId="26864"/>
    <cellStyle name="Entrada 2 4 6 25 4" xfId="26865"/>
    <cellStyle name="Entrada 2 4 6 26" xfId="26866"/>
    <cellStyle name="Entrada 2 4 6 26 2" xfId="26867"/>
    <cellStyle name="Entrada 2 4 6 26 2 2" xfId="26868"/>
    <cellStyle name="Entrada 2 4 6 26 3" xfId="26869"/>
    <cellStyle name="Entrada 2 4 6 26 3 2" xfId="26870"/>
    <cellStyle name="Entrada 2 4 6 26 4" xfId="26871"/>
    <cellStyle name="Entrada 2 4 6 27" xfId="26872"/>
    <cellStyle name="Entrada 2 4 6 27 2" xfId="26873"/>
    <cellStyle name="Entrada 2 4 6 27 2 2" xfId="26874"/>
    <cellStyle name="Entrada 2 4 6 27 3" xfId="26875"/>
    <cellStyle name="Entrada 2 4 6 27 3 2" xfId="26876"/>
    <cellStyle name="Entrada 2 4 6 27 4" xfId="26877"/>
    <cellStyle name="Entrada 2 4 6 28" xfId="26878"/>
    <cellStyle name="Entrada 2 4 6 28 2" xfId="26879"/>
    <cellStyle name="Entrada 2 4 6 28 2 2" xfId="26880"/>
    <cellStyle name="Entrada 2 4 6 28 3" xfId="26881"/>
    <cellStyle name="Entrada 2 4 6 28 3 2" xfId="26882"/>
    <cellStyle name="Entrada 2 4 6 28 4" xfId="26883"/>
    <cellStyle name="Entrada 2 4 6 29" xfId="26884"/>
    <cellStyle name="Entrada 2 4 6 29 2" xfId="26885"/>
    <cellStyle name="Entrada 2 4 6 29 2 2" xfId="26886"/>
    <cellStyle name="Entrada 2 4 6 29 3" xfId="26887"/>
    <cellStyle name="Entrada 2 4 6 29 3 2" xfId="26888"/>
    <cellStyle name="Entrada 2 4 6 29 4" xfId="26889"/>
    <cellStyle name="Entrada 2 4 6 3" xfId="26890"/>
    <cellStyle name="Entrada 2 4 6 3 2" xfId="26891"/>
    <cellStyle name="Entrada 2 4 6 3 2 2" xfId="26892"/>
    <cellStyle name="Entrada 2 4 6 3 3" xfId="26893"/>
    <cellStyle name="Entrada 2 4 6 3 3 2" xfId="26894"/>
    <cellStyle name="Entrada 2 4 6 3 4" xfId="26895"/>
    <cellStyle name="Entrada 2 4 6 30" xfId="26896"/>
    <cellStyle name="Entrada 2 4 6 30 2" xfId="26897"/>
    <cellStyle name="Entrada 2 4 6 30 2 2" xfId="26898"/>
    <cellStyle name="Entrada 2 4 6 30 3" xfId="26899"/>
    <cellStyle name="Entrada 2 4 6 30 3 2" xfId="26900"/>
    <cellStyle name="Entrada 2 4 6 30 4" xfId="26901"/>
    <cellStyle name="Entrada 2 4 6 31" xfId="26902"/>
    <cellStyle name="Entrada 2 4 6 31 2" xfId="26903"/>
    <cellStyle name="Entrada 2 4 6 31 2 2" xfId="26904"/>
    <cellStyle name="Entrada 2 4 6 31 3" xfId="26905"/>
    <cellStyle name="Entrada 2 4 6 31 3 2" xfId="26906"/>
    <cellStyle name="Entrada 2 4 6 31 4" xfId="26907"/>
    <cellStyle name="Entrada 2 4 6 32" xfId="26908"/>
    <cellStyle name="Entrada 2 4 6 32 2" xfId="26909"/>
    <cellStyle name="Entrada 2 4 6 32 2 2" xfId="26910"/>
    <cellStyle name="Entrada 2 4 6 32 3" xfId="26911"/>
    <cellStyle name="Entrada 2 4 6 32 3 2" xfId="26912"/>
    <cellStyle name="Entrada 2 4 6 32 4" xfId="26913"/>
    <cellStyle name="Entrada 2 4 6 33" xfId="26914"/>
    <cellStyle name="Entrada 2 4 6 33 2" xfId="26915"/>
    <cellStyle name="Entrada 2 4 6 33 2 2" xfId="26916"/>
    <cellStyle name="Entrada 2 4 6 33 3" xfId="26917"/>
    <cellStyle name="Entrada 2 4 6 33 3 2" xfId="26918"/>
    <cellStyle name="Entrada 2 4 6 33 4" xfId="26919"/>
    <cellStyle name="Entrada 2 4 6 34" xfId="26920"/>
    <cellStyle name="Entrada 2 4 6 34 2" xfId="26921"/>
    <cellStyle name="Entrada 2 4 6 34 2 2" xfId="26922"/>
    <cellStyle name="Entrada 2 4 6 34 3" xfId="26923"/>
    <cellStyle name="Entrada 2 4 6 34 3 2" xfId="26924"/>
    <cellStyle name="Entrada 2 4 6 34 4" xfId="26925"/>
    <cellStyle name="Entrada 2 4 6 35" xfId="26926"/>
    <cellStyle name="Entrada 2 4 6 35 2" xfId="26927"/>
    <cellStyle name="Entrada 2 4 6 35 2 2" xfId="26928"/>
    <cellStyle name="Entrada 2 4 6 35 3" xfId="26929"/>
    <cellStyle name="Entrada 2 4 6 35 3 2" xfId="26930"/>
    <cellStyle name="Entrada 2 4 6 35 4" xfId="26931"/>
    <cellStyle name="Entrada 2 4 6 36" xfId="26932"/>
    <cellStyle name="Entrada 2 4 6 36 2" xfId="26933"/>
    <cellStyle name="Entrada 2 4 6 36 2 2" xfId="26934"/>
    <cellStyle name="Entrada 2 4 6 36 3" xfId="26935"/>
    <cellStyle name="Entrada 2 4 6 36 3 2" xfId="26936"/>
    <cellStyle name="Entrada 2 4 6 36 4" xfId="26937"/>
    <cellStyle name="Entrada 2 4 6 37" xfId="26938"/>
    <cellStyle name="Entrada 2 4 6 37 2" xfId="26939"/>
    <cellStyle name="Entrada 2 4 6 37 2 2" xfId="26940"/>
    <cellStyle name="Entrada 2 4 6 37 3" xfId="26941"/>
    <cellStyle name="Entrada 2 4 6 37 3 2" xfId="26942"/>
    <cellStyle name="Entrada 2 4 6 37 4" xfId="26943"/>
    <cellStyle name="Entrada 2 4 6 38" xfId="26944"/>
    <cellStyle name="Entrada 2 4 6 38 2" xfId="26945"/>
    <cellStyle name="Entrada 2 4 6 38 2 2" xfId="26946"/>
    <cellStyle name="Entrada 2 4 6 38 3" xfId="26947"/>
    <cellStyle name="Entrada 2 4 6 38 3 2" xfId="26948"/>
    <cellStyle name="Entrada 2 4 6 38 4" xfId="26949"/>
    <cellStyle name="Entrada 2 4 6 39" xfId="26950"/>
    <cellStyle name="Entrada 2 4 6 39 2" xfId="26951"/>
    <cellStyle name="Entrada 2 4 6 39 2 2" xfId="26952"/>
    <cellStyle name="Entrada 2 4 6 39 3" xfId="26953"/>
    <cellStyle name="Entrada 2 4 6 39 3 2" xfId="26954"/>
    <cellStyle name="Entrada 2 4 6 39 4" xfId="26955"/>
    <cellStyle name="Entrada 2 4 6 4" xfId="26956"/>
    <cellStyle name="Entrada 2 4 6 4 2" xfId="26957"/>
    <cellStyle name="Entrada 2 4 6 4 2 2" xfId="26958"/>
    <cellStyle name="Entrada 2 4 6 4 3" xfId="26959"/>
    <cellStyle name="Entrada 2 4 6 4 3 2" xfId="26960"/>
    <cellStyle name="Entrada 2 4 6 4 4" xfId="26961"/>
    <cellStyle name="Entrada 2 4 6 40" xfId="26962"/>
    <cellStyle name="Entrada 2 4 6 40 2" xfId="26963"/>
    <cellStyle name="Entrada 2 4 6 40 2 2" xfId="26964"/>
    <cellStyle name="Entrada 2 4 6 40 3" xfId="26965"/>
    <cellStyle name="Entrada 2 4 6 40 3 2" xfId="26966"/>
    <cellStyle name="Entrada 2 4 6 40 4" xfId="26967"/>
    <cellStyle name="Entrada 2 4 6 41" xfId="26968"/>
    <cellStyle name="Entrada 2 4 6 41 2" xfId="26969"/>
    <cellStyle name="Entrada 2 4 6 41 2 2" xfId="26970"/>
    <cellStyle name="Entrada 2 4 6 41 3" xfId="26971"/>
    <cellStyle name="Entrada 2 4 6 41 3 2" xfId="26972"/>
    <cellStyle name="Entrada 2 4 6 41 4" xfId="26973"/>
    <cellStyle name="Entrada 2 4 6 42" xfId="26974"/>
    <cellStyle name="Entrada 2 4 6 42 2" xfId="26975"/>
    <cellStyle name="Entrada 2 4 6 42 2 2" xfId="26976"/>
    <cellStyle name="Entrada 2 4 6 42 3" xfId="26977"/>
    <cellStyle name="Entrada 2 4 6 43" xfId="26978"/>
    <cellStyle name="Entrada 2 4 6 43 2" xfId="26979"/>
    <cellStyle name="Entrada 2 4 6 44" xfId="26980"/>
    <cellStyle name="Entrada 2 4 6 5" xfId="26981"/>
    <cellStyle name="Entrada 2 4 6 5 2" xfId="26982"/>
    <cellStyle name="Entrada 2 4 6 5 2 2" xfId="26983"/>
    <cellStyle name="Entrada 2 4 6 5 3" xfId="26984"/>
    <cellStyle name="Entrada 2 4 6 5 3 2" xfId="26985"/>
    <cellStyle name="Entrada 2 4 6 5 4" xfId="26986"/>
    <cellStyle name="Entrada 2 4 6 6" xfId="26987"/>
    <cellStyle name="Entrada 2 4 6 6 2" xfId="26988"/>
    <cellStyle name="Entrada 2 4 6 6 2 2" xfId="26989"/>
    <cellStyle name="Entrada 2 4 6 6 3" xfId="26990"/>
    <cellStyle name="Entrada 2 4 6 6 3 2" xfId="26991"/>
    <cellStyle name="Entrada 2 4 6 6 4" xfId="26992"/>
    <cellStyle name="Entrada 2 4 6 7" xfId="26993"/>
    <cellStyle name="Entrada 2 4 6 7 2" xfId="26994"/>
    <cellStyle name="Entrada 2 4 6 7 2 2" xfId="26995"/>
    <cellStyle name="Entrada 2 4 6 7 3" xfId="26996"/>
    <cellStyle name="Entrada 2 4 6 7 3 2" xfId="26997"/>
    <cellStyle name="Entrada 2 4 6 7 4" xfId="26998"/>
    <cellStyle name="Entrada 2 4 6 8" xfId="26999"/>
    <cellStyle name="Entrada 2 4 6 8 2" xfId="27000"/>
    <cellStyle name="Entrada 2 4 6 8 2 2" xfId="27001"/>
    <cellStyle name="Entrada 2 4 6 8 3" xfId="27002"/>
    <cellStyle name="Entrada 2 4 6 8 3 2" xfId="27003"/>
    <cellStyle name="Entrada 2 4 6 8 4" xfId="27004"/>
    <cellStyle name="Entrada 2 4 6 9" xfId="27005"/>
    <cellStyle name="Entrada 2 4 6 9 2" xfId="27006"/>
    <cellStyle name="Entrada 2 4 6 9 2 2" xfId="27007"/>
    <cellStyle name="Entrada 2 4 6 9 3" xfId="27008"/>
    <cellStyle name="Entrada 2 4 6 9 3 2" xfId="27009"/>
    <cellStyle name="Entrada 2 4 6 9 4" xfId="27010"/>
    <cellStyle name="Entrada 2 4 7" xfId="27011"/>
    <cellStyle name="Entrada 2 4 7 2" xfId="27012"/>
    <cellStyle name="Entrada 2 4 7 2 2" xfId="27013"/>
    <cellStyle name="Entrada 2 4 7 3" xfId="27014"/>
    <cellStyle name="Entrada 2 4 7 3 2" xfId="27015"/>
    <cellStyle name="Entrada 2 4 7 4" xfId="27016"/>
    <cellStyle name="Entrada 2 4 8" xfId="27017"/>
    <cellStyle name="Entrada 2 4 8 2" xfId="27018"/>
    <cellStyle name="Entrada 2 4 8 2 2" xfId="27019"/>
    <cellStyle name="Entrada 2 4 8 3" xfId="27020"/>
    <cellStyle name="Entrada 2 4 8 3 2" xfId="27021"/>
    <cellStyle name="Entrada 2 4 8 4" xfId="27022"/>
    <cellStyle name="Entrada 2 4 9" xfId="27023"/>
    <cellStyle name="Entrada 2 4 9 2" xfId="27024"/>
    <cellStyle name="Entrada 2 4 9 2 2" xfId="27025"/>
    <cellStyle name="Entrada 2 4 9 3" xfId="27026"/>
    <cellStyle name="Entrada 2 4 9 3 2" xfId="27027"/>
    <cellStyle name="Entrada 2 4 9 4" xfId="27028"/>
    <cellStyle name="Entrada 2 5" xfId="27029"/>
    <cellStyle name="Entrada 2 5 10" xfId="27030"/>
    <cellStyle name="Entrada 2 5 10 2" xfId="27031"/>
    <cellStyle name="Entrada 2 5 10 2 2" xfId="27032"/>
    <cellStyle name="Entrada 2 5 10 3" xfId="27033"/>
    <cellStyle name="Entrada 2 5 10 3 2" xfId="27034"/>
    <cellStyle name="Entrada 2 5 10 4" xfId="27035"/>
    <cellStyle name="Entrada 2 5 11" xfId="27036"/>
    <cellStyle name="Entrada 2 5 11 2" xfId="27037"/>
    <cellStyle name="Entrada 2 5 11 2 2" xfId="27038"/>
    <cellStyle name="Entrada 2 5 11 3" xfId="27039"/>
    <cellStyle name="Entrada 2 5 11 3 2" xfId="27040"/>
    <cellStyle name="Entrada 2 5 11 4" xfId="27041"/>
    <cellStyle name="Entrada 2 5 12" xfId="27042"/>
    <cellStyle name="Entrada 2 5 12 2" xfId="27043"/>
    <cellStyle name="Entrada 2 5 12 2 2" xfId="27044"/>
    <cellStyle name="Entrada 2 5 12 3" xfId="27045"/>
    <cellStyle name="Entrada 2 5 12 3 2" xfId="27046"/>
    <cellStyle name="Entrada 2 5 12 4" xfId="27047"/>
    <cellStyle name="Entrada 2 5 13" xfId="27048"/>
    <cellStyle name="Entrada 2 5 13 2" xfId="27049"/>
    <cellStyle name="Entrada 2 5 13 2 2" xfId="27050"/>
    <cellStyle name="Entrada 2 5 13 3" xfId="27051"/>
    <cellStyle name="Entrada 2 5 13 3 2" xfId="27052"/>
    <cellStyle name="Entrada 2 5 13 4" xfId="27053"/>
    <cellStyle name="Entrada 2 5 14" xfId="27054"/>
    <cellStyle name="Entrada 2 5 14 2" xfId="27055"/>
    <cellStyle name="Entrada 2 5 14 2 2" xfId="27056"/>
    <cellStyle name="Entrada 2 5 14 3" xfId="27057"/>
    <cellStyle name="Entrada 2 5 14 3 2" xfId="27058"/>
    <cellStyle name="Entrada 2 5 14 4" xfId="27059"/>
    <cellStyle name="Entrada 2 5 15" xfId="27060"/>
    <cellStyle name="Entrada 2 5 15 2" xfId="27061"/>
    <cellStyle name="Entrada 2 5 15 2 2" xfId="27062"/>
    <cellStyle name="Entrada 2 5 15 3" xfId="27063"/>
    <cellStyle name="Entrada 2 5 15 3 2" xfId="27064"/>
    <cellStyle name="Entrada 2 5 15 4" xfId="27065"/>
    <cellStyle name="Entrada 2 5 16" xfId="27066"/>
    <cellStyle name="Entrada 2 5 16 2" xfId="27067"/>
    <cellStyle name="Entrada 2 5 16 2 2" xfId="27068"/>
    <cellStyle name="Entrada 2 5 16 3" xfId="27069"/>
    <cellStyle name="Entrada 2 5 16 3 2" xfId="27070"/>
    <cellStyle name="Entrada 2 5 16 4" xfId="27071"/>
    <cellStyle name="Entrada 2 5 17" xfId="27072"/>
    <cellStyle name="Entrada 2 5 17 2" xfId="27073"/>
    <cellStyle name="Entrada 2 5 17 2 2" xfId="27074"/>
    <cellStyle name="Entrada 2 5 17 3" xfId="27075"/>
    <cellStyle name="Entrada 2 5 17 3 2" xfId="27076"/>
    <cellStyle name="Entrada 2 5 17 4" xfId="27077"/>
    <cellStyle name="Entrada 2 5 18" xfId="27078"/>
    <cellStyle name="Entrada 2 5 18 2" xfId="27079"/>
    <cellStyle name="Entrada 2 5 18 2 2" xfId="27080"/>
    <cellStyle name="Entrada 2 5 18 3" xfId="27081"/>
    <cellStyle name="Entrada 2 5 18 3 2" xfId="27082"/>
    <cellStyle name="Entrada 2 5 18 4" xfId="27083"/>
    <cellStyle name="Entrada 2 5 19" xfId="27084"/>
    <cellStyle name="Entrada 2 5 19 2" xfId="27085"/>
    <cellStyle name="Entrada 2 5 19 2 2" xfId="27086"/>
    <cellStyle name="Entrada 2 5 19 3" xfId="27087"/>
    <cellStyle name="Entrada 2 5 19 3 2" xfId="27088"/>
    <cellStyle name="Entrada 2 5 19 4" xfId="27089"/>
    <cellStyle name="Entrada 2 5 2" xfId="27090"/>
    <cellStyle name="Entrada 2 5 2 10" xfId="27091"/>
    <cellStyle name="Entrada 2 5 2 10 2" xfId="27092"/>
    <cellStyle name="Entrada 2 5 2 10 2 2" xfId="27093"/>
    <cellStyle name="Entrada 2 5 2 10 3" xfId="27094"/>
    <cellStyle name="Entrada 2 5 2 10 3 2" xfId="27095"/>
    <cellStyle name="Entrada 2 5 2 10 4" xfId="27096"/>
    <cellStyle name="Entrada 2 5 2 11" xfId="27097"/>
    <cellStyle name="Entrada 2 5 2 11 2" xfId="27098"/>
    <cellStyle name="Entrada 2 5 2 11 2 2" xfId="27099"/>
    <cellStyle name="Entrada 2 5 2 11 3" xfId="27100"/>
    <cellStyle name="Entrada 2 5 2 11 3 2" xfId="27101"/>
    <cellStyle name="Entrada 2 5 2 11 4" xfId="27102"/>
    <cellStyle name="Entrada 2 5 2 12" xfId="27103"/>
    <cellStyle name="Entrada 2 5 2 12 2" xfId="27104"/>
    <cellStyle name="Entrada 2 5 2 12 2 2" xfId="27105"/>
    <cellStyle name="Entrada 2 5 2 12 3" xfId="27106"/>
    <cellStyle name="Entrada 2 5 2 12 3 2" xfId="27107"/>
    <cellStyle name="Entrada 2 5 2 12 4" xfId="27108"/>
    <cellStyle name="Entrada 2 5 2 13" xfId="27109"/>
    <cellStyle name="Entrada 2 5 2 13 2" xfId="27110"/>
    <cellStyle name="Entrada 2 5 2 13 2 2" xfId="27111"/>
    <cellStyle name="Entrada 2 5 2 13 3" xfId="27112"/>
    <cellStyle name="Entrada 2 5 2 13 3 2" xfId="27113"/>
    <cellStyle name="Entrada 2 5 2 13 4" xfId="27114"/>
    <cellStyle name="Entrada 2 5 2 14" xfId="27115"/>
    <cellStyle name="Entrada 2 5 2 14 2" xfId="27116"/>
    <cellStyle name="Entrada 2 5 2 14 2 2" xfId="27117"/>
    <cellStyle name="Entrada 2 5 2 14 3" xfId="27118"/>
    <cellStyle name="Entrada 2 5 2 14 3 2" xfId="27119"/>
    <cellStyle name="Entrada 2 5 2 14 4" xfId="27120"/>
    <cellStyle name="Entrada 2 5 2 15" xfId="27121"/>
    <cellStyle name="Entrada 2 5 2 15 2" xfId="27122"/>
    <cellStyle name="Entrada 2 5 2 15 2 2" xfId="27123"/>
    <cellStyle name="Entrada 2 5 2 15 3" xfId="27124"/>
    <cellStyle name="Entrada 2 5 2 15 3 2" xfId="27125"/>
    <cellStyle name="Entrada 2 5 2 15 4" xfId="27126"/>
    <cellStyle name="Entrada 2 5 2 16" xfId="27127"/>
    <cellStyle name="Entrada 2 5 2 16 2" xfId="27128"/>
    <cellStyle name="Entrada 2 5 2 16 2 2" xfId="27129"/>
    <cellStyle name="Entrada 2 5 2 16 3" xfId="27130"/>
    <cellStyle name="Entrada 2 5 2 16 3 2" xfId="27131"/>
    <cellStyle name="Entrada 2 5 2 16 4" xfId="27132"/>
    <cellStyle name="Entrada 2 5 2 17" xfId="27133"/>
    <cellStyle name="Entrada 2 5 2 17 2" xfId="27134"/>
    <cellStyle name="Entrada 2 5 2 17 2 2" xfId="27135"/>
    <cellStyle name="Entrada 2 5 2 17 3" xfId="27136"/>
    <cellStyle name="Entrada 2 5 2 17 3 2" xfId="27137"/>
    <cellStyle name="Entrada 2 5 2 17 4" xfId="27138"/>
    <cellStyle name="Entrada 2 5 2 18" xfId="27139"/>
    <cellStyle name="Entrada 2 5 2 18 2" xfId="27140"/>
    <cellStyle name="Entrada 2 5 2 18 2 2" xfId="27141"/>
    <cellStyle name="Entrada 2 5 2 18 3" xfId="27142"/>
    <cellStyle name="Entrada 2 5 2 18 3 2" xfId="27143"/>
    <cellStyle name="Entrada 2 5 2 18 4" xfId="27144"/>
    <cellStyle name="Entrada 2 5 2 19" xfId="27145"/>
    <cellStyle name="Entrada 2 5 2 19 2" xfId="27146"/>
    <cellStyle name="Entrada 2 5 2 19 2 2" xfId="27147"/>
    <cellStyle name="Entrada 2 5 2 19 3" xfId="27148"/>
    <cellStyle name="Entrada 2 5 2 19 3 2" xfId="27149"/>
    <cellStyle name="Entrada 2 5 2 19 4" xfId="27150"/>
    <cellStyle name="Entrada 2 5 2 2" xfId="27151"/>
    <cellStyle name="Entrada 2 5 2 2 2" xfId="27152"/>
    <cellStyle name="Entrada 2 5 2 2 2 2" xfId="27153"/>
    <cellStyle name="Entrada 2 5 2 2 3" xfId="27154"/>
    <cellStyle name="Entrada 2 5 2 2 3 2" xfId="27155"/>
    <cellStyle name="Entrada 2 5 2 2 4" xfId="27156"/>
    <cellStyle name="Entrada 2 5 2 20" xfId="27157"/>
    <cellStyle name="Entrada 2 5 2 20 2" xfId="27158"/>
    <cellStyle name="Entrada 2 5 2 20 2 2" xfId="27159"/>
    <cellStyle name="Entrada 2 5 2 20 3" xfId="27160"/>
    <cellStyle name="Entrada 2 5 2 20 3 2" xfId="27161"/>
    <cellStyle name="Entrada 2 5 2 20 4" xfId="27162"/>
    <cellStyle name="Entrada 2 5 2 21" xfId="27163"/>
    <cellStyle name="Entrada 2 5 2 21 2" xfId="27164"/>
    <cellStyle name="Entrada 2 5 2 21 2 2" xfId="27165"/>
    <cellStyle name="Entrada 2 5 2 21 3" xfId="27166"/>
    <cellStyle name="Entrada 2 5 2 21 3 2" xfId="27167"/>
    <cellStyle name="Entrada 2 5 2 21 4" xfId="27168"/>
    <cellStyle name="Entrada 2 5 2 22" xfId="27169"/>
    <cellStyle name="Entrada 2 5 2 22 2" xfId="27170"/>
    <cellStyle name="Entrada 2 5 2 22 2 2" xfId="27171"/>
    <cellStyle name="Entrada 2 5 2 22 3" xfId="27172"/>
    <cellStyle name="Entrada 2 5 2 22 3 2" xfId="27173"/>
    <cellStyle name="Entrada 2 5 2 22 4" xfId="27174"/>
    <cellStyle name="Entrada 2 5 2 23" xfId="27175"/>
    <cellStyle name="Entrada 2 5 2 23 2" xfId="27176"/>
    <cellStyle name="Entrada 2 5 2 23 2 2" xfId="27177"/>
    <cellStyle name="Entrada 2 5 2 23 3" xfId="27178"/>
    <cellStyle name="Entrada 2 5 2 23 3 2" xfId="27179"/>
    <cellStyle name="Entrada 2 5 2 23 4" xfId="27180"/>
    <cellStyle name="Entrada 2 5 2 24" xfId="27181"/>
    <cellStyle name="Entrada 2 5 2 24 2" xfId="27182"/>
    <cellStyle name="Entrada 2 5 2 24 2 2" xfId="27183"/>
    <cellStyle name="Entrada 2 5 2 24 3" xfId="27184"/>
    <cellStyle name="Entrada 2 5 2 24 3 2" xfId="27185"/>
    <cellStyle name="Entrada 2 5 2 24 4" xfId="27186"/>
    <cellStyle name="Entrada 2 5 2 25" xfId="27187"/>
    <cellStyle name="Entrada 2 5 2 25 2" xfId="27188"/>
    <cellStyle name="Entrada 2 5 2 25 2 2" xfId="27189"/>
    <cellStyle name="Entrada 2 5 2 25 3" xfId="27190"/>
    <cellStyle name="Entrada 2 5 2 25 3 2" xfId="27191"/>
    <cellStyle name="Entrada 2 5 2 25 4" xfId="27192"/>
    <cellStyle name="Entrada 2 5 2 26" xfId="27193"/>
    <cellStyle name="Entrada 2 5 2 26 2" xfId="27194"/>
    <cellStyle name="Entrada 2 5 2 26 2 2" xfId="27195"/>
    <cellStyle name="Entrada 2 5 2 26 3" xfId="27196"/>
    <cellStyle name="Entrada 2 5 2 26 3 2" xfId="27197"/>
    <cellStyle name="Entrada 2 5 2 26 4" xfId="27198"/>
    <cellStyle name="Entrada 2 5 2 27" xfId="27199"/>
    <cellStyle name="Entrada 2 5 2 27 2" xfId="27200"/>
    <cellStyle name="Entrada 2 5 2 27 2 2" xfId="27201"/>
    <cellStyle name="Entrada 2 5 2 27 3" xfId="27202"/>
    <cellStyle name="Entrada 2 5 2 27 3 2" xfId="27203"/>
    <cellStyle name="Entrada 2 5 2 27 4" xfId="27204"/>
    <cellStyle name="Entrada 2 5 2 28" xfId="27205"/>
    <cellStyle name="Entrada 2 5 2 28 2" xfId="27206"/>
    <cellStyle name="Entrada 2 5 2 28 2 2" xfId="27207"/>
    <cellStyle name="Entrada 2 5 2 28 3" xfId="27208"/>
    <cellStyle name="Entrada 2 5 2 28 3 2" xfId="27209"/>
    <cellStyle name="Entrada 2 5 2 28 4" xfId="27210"/>
    <cellStyle name="Entrada 2 5 2 29" xfId="27211"/>
    <cellStyle name="Entrada 2 5 2 29 2" xfId="27212"/>
    <cellStyle name="Entrada 2 5 2 29 2 2" xfId="27213"/>
    <cellStyle name="Entrada 2 5 2 29 3" xfId="27214"/>
    <cellStyle name="Entrada 2 5 2 29 3 2" xfId="27215"/>
    <cellStyle name="Entrada 2 5 2 29 4" xfId="27216"/>
    <cellStyle name="Entrada 2 5 2 3" xfId="27217"/>
    <cellStyle name="Entrada 2 5 2 3 2" xfId="27218"/>
    <cellStyle name="Entrada 2 5 2 3 2 2" xfId="27219"/>
    <cellStyle name="Entrada 2 5 2 3 3" xfId="27220"/>
    <cellStyle name="Entrada 2 5 2 3 3 2" xfId="27221"/>
    <cellStyle name="Entrada 2 5 2 3 4" xfId="27222"/>
    <cellStyle name="Entrada 2 5 2 30" xfId="27223"/>
    <cellStyle name="Entrada 2 5 2 30 2" xfId="27224"/>
    <cellStyle name="Entrada 2 5 2 30 2 2" xfId="27225"/>
    <cellStyle name="Entrada 2 5 2 30 3" xfId="27226"/>
    <cellStyle name="Entrada 2 5 2 30 3 2" xfId="27227"/>
    <cellStyle name="Entrada 2 5 2 30 4" xfId="27228"/>
    <cellStyle name="Entrada 2 5 2 31" xfId="27229"/>
    <cellStyle name="Entrada 2 5 2 31 2" xfId="27230"/>
    <cellStyle name="Entrada 2 5 2 31 2 2" xfId="27231"/>
    <cellStyle name="Entrada 2 5 2 31 3" xfId="27232"/>
    <cellStyle name="Entrada 2 5 2 31 3 2" xfId="27233"/>
    <cellStyle name="Entrada 2 5 2 31 4" xfId="27234"/>
    <cellStyle name="Entrada 2 5 2 32" xfId="27235"/>
    <cellStyle name="Entrada 2 5 2 32 2" xfId="27236"/>
    <cellStyle name="Entrada 2 5 2 32 2 2" xfId="27237"/>
    <cellStyle name="Entrada 2 5 2 32 3" xfId="27238"/>
    <cellStyle name="Entrada 2 5 2 32 3 2" xfId="27239"/>
    <cellStyle name="Entrada 2 5 2 32 4" xfId="27240"/>
    <cellStyle name="Entrada 2 5 2 33" xfId="27241"/>
    <cellStyle name="Entrada 2 5 2 33 2" xfId="27242"/>
    <cellStyle name="Entrada 2 5 2 33 2 2" xfId="27243"/>
    <cellStyle name="Entrada 2 5 2 33 3" xfId="27244"/>
    <cellStyle name="Entrada 2 5 2 33 3 2" xfId="27245"/>
    <cellStyle name="Entrada 2 5 2 33 4" xfId="27246"/>
    <cellStyle name="Entrada 2 5 2 34" xfId="27247"/>
    <cellStyle name="Entrada 2 5 2 34 2" xfId="27248"/>
    <cellStyle name="Entrada 2 5 2 34 2 2" xfId="27249"/>
    <cellStyle name="Entrada 2 5 2 34 3" xfId="27250"/>
    <cellStyle name="Entrada 2 5 2 34 3 2" xfId="27251"/>
    <cellStyle name="Entrada 2 5 2 34 4" xfId="27252"/>
    <cellStyle name="Entrada 2 5 2 35" xfId="27253"/>
    <cellStyle name="Entrada 2 5 2 35 2" xfId="27254"/>
    <cellStyle name="Entrada 2 5 2 35 2 2" xfId="27255"/>
    <cellStyle name="Entrada 2 5 2 35 3" xfId="27256"/>
    <cellStyle name="Entrada 2 5 2 35 3 2" xfId="27257"/>
    <cellStyle name="Entrada 2 5 2 35 4" xfId="27258"/>
    <cellStyle name="Entrada 2 5 2 36" xfId="27259"/>
    <cellStyle name="Entrada 2 5 2 36 2" xfId="27260"/>
    <cellStyle name="Entrada 2 5 2 36 2 2" xfId="27261"/>
    <cellStyle name="Entrada 2 5 2 36 3" xfId="27262"/>
    <cellStyle name="Entrada 2 5 2 36 3 2" xfId="27263"/>
    <cellStyle name="Entrada 2 5 2 36 4" xfId="27264"/>
    <cellStyle name="Entrada 2 5 2 37" xfId="27265"/>
    <cellStyle name="Entrada 2 5 2 37 2" xfId="27266"/>
    <cellStyle name="Entrada 2 5 2 37 2 2" xfId="27267"/>
    <cellStyle name="Entrada 2 5 2 37 3" xfId="27268"/>
    <cellStyle name="Entrada 2 5 2 37 3 2" xfId="27269"/>
    <cellStyle name="Entrada 2 5 2 37 4" xfId="27270"/>
    <cellStyle name="Entrada 2 5 2 38" xfId="27271"/>
    <cellStyle name="Entrada 2 5 2 38 2" xfId="27272"/>
    <cellStyle name="Entrada 2 5 2 38 2 2" xfId="27273"/>
    <cellStyle name="Entrada 2 5 2 38 3" xfId="27274"/>
    <cellStyle name="Entrada 2 5 2 38 3 2" xfId="27275"/>
    <cellStyle name="Entrada 2 5 2 38 4" xfId="27276"/>
    <cellStyle name="Entrada 2 5 2 39" xfId="27277"/>
    <cellStyle name="Entrada 2 5 2 39 2" xfId="27278"/>
    <cellStyle name="Entrada 2 5 2 39 2 2" xfId="27279"/>
    <cellStyle name="Entrada 2 5 2 39 3" xfId="27280"/>
    <cellStyle name="Entrada 2 5 2 4" xfId="27281"/>
    <cellStyle name="Entrada 2 5 2 4 2" xfId="27282"/>
    <cellStyle name="Entrada 2 5 2 4 2 2" xfId="27283"/>
    <cellStyle name="Entrada 2 5 2 4 3" xfId="27284"/>
    <cellStyle name="Entrada 2 5 2 4 3 2" xfId="27285"/>
    <cellStyle name="Entrada 2 5 2 4 4" xfId="27286"/>
    <cellStyle name="Entrada 2 5 2 40" xfId="27287"/>
    <cellStyle name="Entrada 2 5 2 40 2" xfId="27288"/>
    <cellStyle name="Entrada 2 5 2 41" xfId="27289"/>
    <cellStyle name="Entrada 2 5 2 41 2" xfId="27290"/>
    <cellStyle name="Entrada 2 5 2 42" xfId="27291"/>
    <cellStyle name="Entrada 2 5 2 42 2" xfId="27292"/>
    <cellStyle name="Entrada 2 5 2 43" xfId="27293"/>
    <cellStyle name="Entrada 2 5 2 5" xfId="27294"/>
    <cellStyle name="Entrada 2 5 2 5 2" xfId="27295"/>
    <cellStyle name="Entrada 2 5 2 5 2 2" xfId="27296"/>
    <cellStyle name="Entrada 2 5 2 5 3" xfId="27297"/>
    <cellStyle name="Entrada 2 5 2 5 3 2" xfId="27298"/>
    <cellStyle name="Entrada 2 5 2 5 4" xfId="27299"/>
    <cellStyle name="Entrada 2 5 2 6" xfId="27300"/>
    <cellStyle name="Entrada 2 5 2 6 2" xfId="27301"/>
    <cellStyle name="Entrada 2 5 2 6 2 2" xfId="27302"/>
    <cellStyle name="Entrada 2 5 2 6 3" xfId="27303"/>
    <cellStyle name="Entrada 2 5 2 6 3 2" xfId="27304"/>
    <cellStyle name="Entrada 2 5 2 6 4" xfId="27305"/>
    <cellStyle name="Entrada 2 5 2 7" xfId="27306"/>
    <cellStyle name="Entrada 2 5 2 7 2" xfId="27307"/>
    <cellStyle name="Entrada 2 5 2 7 2 2" xfId="27308"/>
    <cellStyle name="Entrada 2 5 2 7 3" xfId="27309"/>
    <cellStyle name="Entrada 2 5 2 7 3 2" xfId="27310"/>
    <cellStyle name="Entrada 2 5 2 7 4" xfId="27311"/>
    <cellStyle name="Entrada 2 5 2 8" xfId="27312"/>
    <cellStyle name="Entrada 2 5 2 8 2" xfId="27313"/>
    <cellStyle name="Entrada 2 5 2 8 2 2" xfId="27314"/>
    <cellStyle name="Entrada 2 5 2 8 3" xfId="27315"/>
    <cellStyle name="Entrada 2 5 2 8 3 2" xfId="27316"/>
    <cellStyle name="Entrada 2 5 2 8 4" xfId="27317"/>
    <cellStyle name="Entrada 2 5 2 9" xfId="27318"/>
    <cellStyle name="Entrada 2 5 2 9 2" xfId="27319"/>
    <cellStyle name="Entrada 2 5 2 9 2 2" xfId="27320"/>
    <cellStyle name="Entrada 2 5 2 9 3" xfId="27321"/>
    <cellStyle name="Entrada 2 5 2 9 3 2" xfId="27322"/>
    <cellStyle name="Entrada 2 5 2 9 4" xfId="27323"/>
    <cellStyle name="Entrada 2 5 20" xfId="27324"/>
    <cellStyle name="Entrada 2 5 20 2" xfId="27325"/>
    <cellStyle name="Entrada 2 5 20 2 2" xfId="27326"/>
    <cellStyle name="Entrada 2 5 20 3" xfId="27327"/>
    <cellStyle name="Entrada 2 5 20 3 2" xfId="27328"/>
    <cellStyle name="Entrada 2 5 20 4" xfId="27329"/>
    <cellStyle name="Entrada 2 5 21" xfId="27330"/>
    <cellStyle name="Entrada 2 5 21 2" xfId="27331"/>
    <cellStyle name="Entrada 2 5 21 2 2" xfId="27332"/>
    <cellStyle name="Entrada 2 5 21 3" xfId="27333"/>
    <cellStyle name="Entrada 2 5 21 3 2" xfId="27334"/>
    <cellStyle name="Entrada 2 5 21 4" xfId="27335"/>
    <cellStyle name="Entrada 2 5 22" xfId="27336"/>
    <cellStyle name="Entrada 2 5 22 2" xfId="27337"/>
    <cellStyle name="Entrada 2 5 22 2 2" xfId="27338"/>
    <cellStyle name="Entrada 2 5 22 3" xfId="27339"/>
    <cellStyle name="Entrada 2 5 22 3 2" xfId="27340"/>
    <cellStyle name="Entrada 2 5 22 4" xfId="27341"/>
    <cellStyle name="Entrada 2 5 23" xfId="27342"/>
    <cellStyle name="Entrada 2 5 23 2" xfId="27343"/>
    <cellStyle name="Entrada 2 5 23 2 2" xfId="27344"/>
    <cellStyle name="Entrada 2 5 23 3" xfId="27345"/>
    <cellStyle name="Entrada 2 5 23 3 2" xfId="27346"/>
    <cellStyle name="Entrada 2 5 23 4" xfId="27347"/>
    <cellStyle name="Entrada 2 5 24" xfId="27348"/>
    <cellStyle name="Entrada 2 5 24 2" xfId="27349"/>
    <cellStyle name="Entrada 2 5 24 2 2" xfId="27350"/>
    <cellStyle name="Entrada 2 5 24 3" xfId="27351"/>
    <cellStyle name="Entrada 2 5 24 3 2" xfId="27352"/>
    <cellStyle name="Entrada 2 5 24 4" xfId="27353"/>
    <cellStyle name="Entrada 2 5 25" xfId="27354"/>
    <cellStyle name="Entrada 2 5 25 2" xfId="27355"/>
    <cellStyle name="Entrada 2 5 25 2 2" xfId="27356"/>
    <cellStyle name="Entrada 2 5 25 3" xfId="27357"/>
    <cellStyle name="Entrada 2 5 25 3 2" xfId="27358"/>
    <cellStyle name="Entrada 2 5 25 4" xfId="27359"/>
    <cellStyle name="Entrada 2 5 26" xfId="27360"/>
    <cellStyle name="Entrada 2 5 26 2" xfId="27361"/>
    <cellStyle name="Entrada 2 5 26 2 2" xfId="27362"/>
    <cellStyle name="Entrada 2 5 26 3" xfId="27363"/>
    <cellStyle name="Entrada 2 5 26 3 2" xfId="27364"/>
    <cellStyle name="Entrada 2 5 26 4" xfId="27365"/>
    <cellStyle name="Entrada 2 5 27" xfId="27366"/>
    <cellStyle name="Entrada 2 5 27 2" xfId="27367"/>
    <cellStyle name="Entrada 2 5 27 2 2" xfId="27368"/>
    <cellStyle name="Entrada 2 5 27 3" xfId="27369"/>
    <cellStyle name="Entrada 2 5 27 3 2" xfId="27370"/>
    <cellStyle name="Entrada 2 5 27 4" xfId="27371"/>
    <cellStyle name="Entrada 2 5 28" xfId="27372"/>
    <cellStyle name="Entrada 2 5 28 2" xfId="27373"/>
    <cellStyle name="Entrada 2 5 28 2 2" xfId="27374"/>
    <cellStyle name="Entrada 2 5 28 3" xfId="27375"/>
    <cellStyle name="Entrada 2 5 28 3 2" xfId="27376"/>
    <cellStyle name="Entrada 2 5 28 4" xfId="27377"/>
    <cellStyle name="Entrada 2 5 29" xfId="27378"/>
    <cellStyle name="Entrada 2 5 29 2" xfId="27379"/>
    <cellStyle name="Entrada 2 5 29 2 2" xfId="27380"/>
    <cellStyle name="Entrada 2 5 29 3" xfId="27381"/>
    <cellStyle name="Entrada 2 5 29 3 2" xfId="27382"/>
    <cellStyle name="Entrada 2 5 29 4" xfId="27383"/>
    <cellStyle name="Entrada 2 5 3" xfId="27384"/>
    <cellStyle name="Entrada 2 5 3 10" xfId="27385"/>
    <cellStyle name="Entrada 2 5 3 10 2" xfId="27386"/>
    <cellStyle name="Entrada 2 5 3 10 2 2" xfId="27387"/>
    <cellStyle name="Entrada 2 5 3 10 3" xfId="27388"/>
    <cellStyle name="Entrada 2 5 3 10 3 2" xfId="27389"/>
    <cellStyle name="Entrada 2 5 3 10 4" xfId="27390"/>
    <cellStyle name="Entrada 2 5 3 11" xfId="27391"/>
    <cellStyle name="Entrada 2 5 3 11 2" xfId="27392"/>
    <cellStyle name="Entrada 2 5 3 11 2 2" xfId="27393"/>
    <cellStyle name="Entrada 2 5 3 11 3" xfId="27394"/>
    <cellStyle name="Entrada 2 5 3 11 3 2" xfId="27395"/>
    <cellStyle name="Entrada 2 5 3 11 4" xfId="27396"/>
    <cellStyle name="Entrada 2 5 3 12" xfId="27397"/>
    <cellStyle name="Entrada 2 5 3 12 2" xfId="27398"/>
    <cellStyle name="Entrada 2 5 3 12 2 2" xfId="27399"/>
    <cellStyle name="Entrada 2 5 3 12 3" xfId="27400"/>
    <cellStyle name="Entrada 2 5 3 12 3 2" xfId="27401"/>
    <cellStyle name="Entrada 2 5 3 12 4" xfId="27402"/>
    <cellStyle name="Entrada 2 5 3 13" xfId="27403"/>
    <cellStyle name="Entrada 2 5 3 13 2" xfId="27404"/>
    <cellStyle name="Entrada 2 5 3 13 2 2" xfId="27405"/>
    <cellStyle name="Entrada 2 5 3 13 3" xfId="27406"/>
    <cellStyle name="Entrada 2 5 3 13 3 2" xfId="27407"/>
    <cellStyle name="Entrada 2 5 3 13 4" xfId="27408"/>
    <cellStyle name="Entrada 2 5 3 14" xfId="27409"/>
    <cellStyle name="Entrada 2 5 3 14 2" xfId="27410"/>
    <cellStyle name="Entrada 2 5 3 14 2 2" xfId="27411"/>
    <cellStyle name="Entrada 2 5 3 14 3" xfId="27412"/>
    <cellStyle name="Entrada 2 5 3 14 3 2" xfId="27413"/>
    <cellStyle name="Entrada 2 5 3 14 4" xfId="27414"/>
    <cellStyle name="Entrada 2 5 3 15" xfId="27415"/>
    <cellStyle name="Entrada 2 5 3 15 2" xfId="27416"/>
    <cellStyle name="Entrada 2 5 3 15 2 2" xfId="27417"/>
    <cellStyle name="Entrada 2 5 3 15 3" xfId="27418"/>
    <cellStyle name="Entrada 2 5 3 15 3 2" xfId="27419"/>
    <cellStyle name="Entrada 2 5 3 15 4" xfId="27420"/>
    <cellStyle name="Entrada 2 5 3 16" xfId="27421"/>
    <cellStyle name="Entrada 2 5 3 16 2" xfId="27422"/>
    <cellStyle name="Entrada 2 5 3 16 2 2" xfId="27423"/>
    <cellStyle name="Entrada 2 5 3 16 3" xfId="27424"/>
    <cellStyle name="Entrada 2 5 3 16 3 2" xfId="27425"/>
    <cellStyle name="Entrada 2 5 3 16 4" xfId="27426"/>
    <cellStyle name="Entrada 2 5 3 17" xfId="27427"/>
    <cellStyle name="Entrada 2 5 3 17 2" xfId="27428"/>
    <cellStyle name="Entrada 2 5 3 17 2 2" xfId="27429"/>
    <cellStyle name="Entrada 2 5 3 17 3" xfId="27430"/>
    <cellStyle name="Entrada 2 5 3 17 3 2" xfId="27431"/>
    <cellStyle name="Entrada 2 5 3 17 4" xfId="27432"/>
    <cellStyle name="Entrada 2 5 3 18" xfId="27433"/>
    <cellStyle name="Entrada 2 5 3 18 2" xfId="27434"/>
    <cellStyle name="Entrada 2 5 3 18 2 2" xfId="27435"/>
    <cellStyle name="Entrada 2 5 3 18 3" xfId="27436"/>
    <cellStyle name="Entrada 2 5 3 18 3 2" xfId="27437"/>
    <cellStyle name="Entrada 2 5 3 18 4" xfId="27438"/>
    <cellStyle name="Entrada 2 5 3 19" xfId="27439"/>
    <cellStyle name="Entrada 2 5 3 19 2" xfId="27440"/>
    <cellStyle name="Entrada 2 5 3 19 2 2" xfId="27441"/>
    <cellStyle name="Entrada 2 5 3 19 3" xfId="27442"/>
    <cellStyle name="Entrada 2 5 3 19 3 2" xfId="27443"/>
    <cellStyle name="Entrada 2 5 3 19 4" xfId="27444"/>
    <cellStyle name="Entrada 2 5 3 2" xfId="27445"/>
    <cellStyle name="Entrada 2 5 3 2 2" xfId="27446"/>
    <cellStyle name="Entrada 2 5 3 2 2 2" xfId="27447"/>
    <cellStyle name="Entrada 2 5 3 2 3" xfId="27448"/>
    <cellStyle name="Entrada 2 5 3 2 3 2" xfId="27449"/>
    <cellStyle name="Entrada 2 5 3 2 4" xfId="27450"/>
    <cellStyle name="Entrada 2 5 3 20" xfId="27451"/>
    <cellStyle name="Entrada 2 5 3 20 2" xfId="27452"/>
    <cellStyle name="Entrada 2 5 3 20 2 2" xfId="27453"/>
    <cellStyle name="Entrada 2 5 3 20 3" xfId="27454"/>
    <cellStyle name="Entrada 2 5 3 20 3 2" xfId="27455"/>
    <cellStyle name="Entrada 2 5 3 20 4" xfId="27456"/>
    <cellStyle name="Entrada 2 5 3 21" xfId="27457"/>
    <cellStyle name="Entrada 2 5 3 21 2" xfId="27458"/>
    <cellStyle name="Entrada 2 5 3 21 2 2" xfId="27459"/>
    <cellStyle name="Entrada 2 5 3 21 3" xfId="27460"/>
    <cellStyle name="Entrada 2 5 3 21 3 2" xfId="27461"/>
    <cellStyle name="Entrada 2 5 3 21 4" xfId="27462"/>
    <cellStyle name="Entrada 2 5 3 22" xfId="27463"/>
    <cellStyle name="Entrada 2 5 3 22 2" xfId="27464"/>
    <cellStyle name="Entrada 2 5 3 22 2 2" xfId="27465"/>
    <cellStyle name="Entrada 2 5 3 22 3" xfId="27466"/>
    <cellStyle name="Entrada 2 5 3 22 3 2" xfId="27467"/>
    <cellStyle name="Entrada 2 5 3 22 4" xfId="27468"/>
    <cellStyle name="Entrada 2 5 3 23" xfId="27469"/>
    <cellStyle name="Entrada 2 5 3 23 2" xfId="27470"/>
    <cellStyle name="Entrada 2 5 3 23 2 2" xfId="27471"/>
    <cellStyle name="Entrada 2 5 3 23 3" xfId="27472"/>
    <cellStyle name="Entrada 2 5 3 23 3 2" xfId="27473"/>
    <cellStyle name="Entrada 2 5 3 23 4" xfId="27474"/>
    <cellStyle name="Entrada 2 5 3 24" xfId="27475"/>
    <cellStyle name="Entrada 2 5 3 24 2" xfId="27476"/>
    <cellStyle name="Entrada 2 5 3 24 2 2" xfId="27477"/>
    <cellStyle name="Entrada 2 5 3 24 3" xfId="27478"/>
    <cellStyle name="Entrada 2 5 3 24 3 2" xfId="27479"/>
    <cellStyle name="Entrada 2 5 3 24 4" xfId="27480"/>
    <cellStyle name="Entrada 2 5 3 25" xfId="27481"/>
    <cellStyle name="Entrada 2 5 3 25 2" xfId="27482"/>
    <cellStyle name="Entrada 2 5 3 25 2 2" xfId="27483"/>
    <cellStyle name="Entrada 2 5 3 25 3" xfId="27484"/>
    <cellStyle name="Entrada 2 5 3 25 3 2" xfId="27485"/>
    <cellStyle name="Entrada 2 5 3 25 4" xfId="27486"/>
    <cellStyle name="Entrada 2 5 3 26" xfId="27487"/>
    <cellStyle name="Entrada 2 5 3 26 2" xfId="27488"/>
    <cellStyle name="Entrada 2 5 3 26 2 2" xfId="27489"/>
    <cellStyle name="Entrada 2 5 3 26 3" xfId="27490"/>
    <cellStyle name="Entrada 2 5 3 26 3 2" xfId="27491"/>
    <cellStyle name="Entrada 2 5 3 26 4" xfId="27492"/>
    <cellStyle name="Entrada 2 5 3 27" xfId="27493"/>
    <cellStyle name="Entrada 2 5 3 27 2" xfId="27494"/>
    <cellStyle name="Entrada 2 5 3 27 2 2" xfId="27495"/>
    <cellStyle name="Entrada 2 5 3 27 3" xfId="27496"/>
    <cellStyle name="Entrada 2 5 3 27 3 2" xfId="27497"/>
    <cellStyle name="Entrada 2 5 3 27 4" xfId="27498"/>
    <cellStyle name="Entrada 2 5 3 28" xfId="27499"/>
    <cellStyle name="Entrada 2 5 3 28 2" xfId="27500"/>
    <cellStyle name="Entrada 2 5 3 28 2 2" xfId="27501"/>
    <cellStyle name="Entrada 2 5 3 28 3" xfId="27502"/>
    <cellStyle name="Entrada 2 5 3 28 3 2" xfId="27503"/>
    <cellStyle name="Entrada 2 5 3 28 4" xfId="27504"/>
    <cellStyle name="Entrada 2 5 3 29" xfId="27505"/>
    <cellStyle name="Entrada 2 5 3 29 2" xfId="27506"/>
    <cellStyle name="Entrada 2 5 3 29 2 2" xfId="27507"/>
    <cellStyle name="Entrada 2 5 3 29 3" xfId="27508"/>
    <cellStyle name="Entrada 2 5 3 29 3 2" xfId="27509"/>
    <cellStyle name="Entrada 2 5 3 29 4" xfId="27510"/>
    <cellStyle name="Entrada 2 5 3 3" xfId="27511"/>
    <cellStyle name="Entrada 2 5 3 3 2" xfId="27512"/>
    <cellStyle name="Entrada 2 5 3 3 2 2" xfId="27513"/>
    <cellStyle name="Entrada 2 5 3 3 3" xfId="27514"/>
    <cellStyle name="Entrada 2 5 3 3 3 2" xfId="27515"/>
    <cellStyle name="Entrada 2 5 3 3 4" xfId="27516"/>
    <cellStyle name="Entrada 2 5 3 30" xfId="27517"/>
    <cellStyle name="Entrada 2 5 3 30 2" xfId="27518"/>
    <cellStyle name="Entrada 2 5 3 30 2 2" xfId="27519"/>
    <cellStyle name="Entrada 2 5 3 30 3" xfId="27520"/>
    <cellStyle name="Entrada 2 5 3 30 3 2" xfId="27521"/>
    <cellStyle name="Entrada 2 5 3 30 4" xfId="27522"/>
    <cellStyle name="Entrada 2 5 3 31" xfId="27523"/>
    <cellStyle name="Entrada 2 5 3 31 2" xfId="27524"/>
    <cellStyle name="Entrada 2 5 3 31 2 2" xfId="27525"/>
    <cellStyle name="Entrada 2 5 3 31 3" xfId="27526"/>
    <cellStyle name="Entrada 2 5 3 31 3 2" xfId="27527"/>
    <cellStyle name="Entrada 2 5 3 31 4" xfId="27528"/>
    <cellStyle name="Entrada 2 5 3 32" xfId="27529"/>
    <cellStyle name="Entrada 2 5 3 32 2" xfId="27530"/>
    <cellStyle name="Entrada 2 5 3 32 2 2" xfId="27531"/>
    <cellStyle name="Entrada 2 5 3 32 3" xfId="27532"/>
    <cellStyle name="Entrada 2 5 3 32 3 2" xfId="27533"/>
    <cellStyle name="Entrada 2 5 3 32 4" xfId="27534"/>
    <cellStyle name="Entrada 2 5 3 33" xfId="27535"/>
    <cellStyle name="Entrada 2 5 3 33 2" xfId="27536"/>
    <cellStyle name="Entrada 2 5 3 33 2 2" xfId="27537"/>
    <cellStyle name="Entrada 2 5 3 33 3" xfId="27538"/>
    <cellStyle name="Entrada 2 5 3 33 3 2" xfId="27539"/>
    <cellStyle name="Entrada 2 5 3 33 4" xfId="27540"/>
    <cellStyle name="Entrada 2 5 3 34" xfId="27541"/>
    <cellStyle name="Entrada 2 5 3 34 2" xfId="27542"/>
    <cellStyle name="Entrada 2 5 3 34 2 2" xfId="27543"/>
    <cellStyle name="Entrada 2 5 3 34 3" xfId="27544"/>
    <cellStyle name="Entrada 2 5 3 34 3 2" xfId="27545"/>
    <cellStyle name="Entrada 2 5 3 34 4" xfId="27546"/>
    <cellStyle name="Entrada 2 5 3 35" xfId="27547"/>
    <cellStyle name="Entrada 2 5 3 35 2" xfId="27548"/>
    <cellStyle name="Entrada 2 5 3 35 2 2" xfId="27549"/>
    <cellStyle name="Entrada 2 5 3 35 3" xfId="27550"/>
    <cellStyle name="Entrada 2 5 3 35 3 2" xfId="27551"/>
    <cellStyle name="Entrada 2 5 3 35 4" xfId="27552"/>
    <cellStyle name="Entrada 2 5 3 36" xfId="27553"/>
    <cellStyle name="Entrada 2 5 3 36 2" xfId="27554"/>
    <cellStyle name="Entrada 2 5 3 36 2 2" xfId="27555"/>
    <cellStyle name="Entrada 2 5 3 36 3" xfId="27556"/>
    <cellStyle name="Entrada 2 5 3 36 3 2" xfId="27557"/>
    <cellStyle name="Entrada 2 5 3 36 4" xfId="27558"/>
    <cellStyle name="Entrada 2 5 3 37" xfId="27559"/>
    <cellStyle name="Entrada 2 5 3 37 2" xfId="27560"/>
    <cellStyle name="Entrada 2 5 3 37 2 2" xfId="27561"/>
    <cellStyle name="Entrada 2 5 3 37 3" xfId="27562"/>
    <cellStyle name="Entrada 2 5 3 37 3 2" xfId="27563"/>
    <cellStyle name="Entrada 2 5 3 37 4" xfId="27564"/>
    <cellStyle name="Entrada 2 5 3 38" xfId="27565"/>
    <cellStyle name="Entrada 2 5 3 38 2" xfId="27566"/>
    <cellStyle name="Entrada 2 5 3 38 2 2" xfId="27567"/>
    <cellStyle name="Entrada 2 5 3 38 3" xfId="27568"/>
    <cellStyle name="Entrada 2 5 3 38 3 2" xfId="27569"/>
    <cellStyle name="Entrada 2 5 3 38 4" xfId="27570"/>
    <cellStyle name="Entrada 2 5 3 39" xfId="27571"/>
    <cellStyle name="Entrada 2 5 3 39 2" xfId="27572"/>
    <cellStyle name="Entrada 2 5 3 39 2 2" xfId="27573"/>
    <cellStyle name="Entrada 2 5 3 39 3" xfId="27574"/>
    <cellStyle name="Entrada 2 5 3 39 3 2" xfId="27575"/>
    <cellStyle name="Entrada 2 5 3 39 4" xfId="27576"/>
    <cellStyle name="Entrada 2 5 3 4" xfId="27577"/>
    <cellStyle name="Entrada 2 5 3 4 2" xfId="27578"/>
    <cellStyle name="Entrada 2 5 3 4 2 2" xfId="27579"/>
    <cellStyle name="Entrada 2 5 3 4 3" xfId="27580"/>
    <cellStyle name="Entrada 2 5 3 4 3 2" xfId="27581"/>
    <cellStyle name="Entrada 2 5 3 4 4" xfId="27582"/>
    <cellStyle name="Entrada 2 5 3 40" xfId="27583"/>
    <cellStyle name="Entrada 2 5 3 40 2" xfId="27584"/>
    <cellStyle name="Entrada 2 5 3 40 2 2" xfId="27585"/>
    <cellStyle name="Entrada 2 5 3 40 3" xfId="27586"/>
    <cellStyle name="Entrada 2 5 3 41" xfId="27587"/>
    <cellStyle name="Entrada 2 5 3 41 2" xfId="27588"/>
    <cellStyle name="Entrada 2 5 3 42" xfId="27589"/>
    <cellStyle name="Entrada 2 5 3 42 2" xfId="27590"/>
    <cellStyle name="Entrada 2 5 3 43" xfId="27591"/>
    <cellStyle name="Entrada 2 5 3 5" xfId="27592"/>
    <cellStyle name="Entrada 2 5 3 5 2" xfId="27593"/>
    <cellStyle name="Entrada 2 5 3 5 2 2" xfId="27594"/>
    <cellStyle name="Entrada 2 5 3 5 3" xfId="27595"/>
    <cellStyle name="Entrada 2 5 3 5 3 2" xfId="27596"/>
    <cellStyle name="Entrada 2 5 3 5 4" xfId="27597"/>
    <cellStyle name="Entrada 2 5 3 6" xfId="27598"/>
    <cellStyle name="Entrada 2 5 3 6 2" xfId="27599"/>
    <cellStyle name="Entrada 2 5 3 6 2 2" xfId="27600"/>
    <cellStyle name="Entrada 2 5 3 6 3" xfId="27601"/>
    <cellStyle name="Entrada 2 5 3 6 3 2" xfId="27602"/>
    <cellStyle name="Entrada 2 5 3 6 4" xfId="27603"/>
    <cellStyle name="Entrada 2 5 3 7" xfId="27604"/>
    <cellStyle name="Entrada 2 5 3 7 2" xfId="27605"/>
    <cellStyle name="Entrada 2 5 3 7 2 2" xfId="27606"/>
    <cellStyle name="Entrada 2 5 3 7 3" xfId="27607"/>
    <cellStyle name="Entrada 2 5 3 7 3 2" xfId="27608"/>
    <cellStyle name="Entrada 2 5 3 7 4" xfId="27609"/>
    <cellStyle name="Entrada 2 5 3 8" xfId="27610"/>
    <cellStyle name="Entrada 2 5 3 8 2" xfId="27611"/>
    <cellStyle name="Entrada 2 5 3 8 2 2" xfId="27612"/>
    <cellStyle name="Entrada 2 5 3 8 3" xfId="27613"/>
    <cellStyle name="Entrada 2 5 3 8 3 2" xfId="27614"/>
    <cellStyle name="Entrada 2 5 3 8 4" xfId="27615"/>
    <cellStyle name="Entrada 2 5 3 9" xfId="27616"/>
    <cellStyle name="Entrada 2 5 3 9 2" xfId="27617"/>
    <cellStyle name="Entrada 2 5 3 9 2 2" xfId="27618"/>
    <cellStyle name="Entrada 2 5 3 9 3" xfId="27619"/>
    <cellStyle name="Entrada 2 5 3 9 3 2" xfId="27620"/>
    <cellStyle name="Entrada 2 5 3 9 4" xfId="27621"/>
    <cellStyle name="Entrada 2 5 30" xfId="27622"/>
    <cellStyle name="Entrada 2 5 30 2" xfId="27623"/>
    <cellStyle name="Entrada 2 5 30 2 2" xfId="27624"/>
    <cellStyle name="Entrada 2 5 30 3" xfId="27625"/>
    <cellStyle name="Entrada 2 5 30 3 2" xfId="27626"/>
    <cellStyle name="Entrada 2 5 30 4" xfId="27627"/>
    <cellStyle name="Entrada 2 5 31" xfId="27628"/>
    <cellStyle name="Entrada 2 5 31 2" xfId="27629"/>
    <cellStyle name="Entrada 2 5 31 2 2" xfId="27630"/>
    <cellStyle name="Entrada 2 5 31 3" xfId="27631"/>
    <cellStyle name="Entrada 2 5 31 3 2" xfId="27632"/>
    <cellStyle name="Entrada 2 5 31 4" xfId="27633"/>
    <cellStyle name="Entrada 2 5 32" xfId="27634"/>
    <cellStyle name="Entrada 2 5 32 2" xfId="27635"/>
    <cellStyle name="Entrada 2 5 32 2 2" xfId="27636"/>
    <cellStyle name="Entrada 2 5 32 3" xfId="27637"/>
    <cellStyle name="Entrada 2 5 32 3 2" xfId="27638"/>
    <cellStyle name="Entrada 2 5 32 4" xfId="27639"/>
    <cellStyle name="Entrada 2 5 33" xfId="27640"/>
    <cellStyle name="Entrada 2 5 33 2" xfId="27641"/>
    <cellStyle name="Entrada 2 5 33 2 2" xfId="27642"/>
    <cellStyle name="Entrada 2 5 33 3" xfId="27643"/>
    <cellStyle name="Entrada 2 5 33 3 2" xfId="27644"/>
    <cellStyle name="Entrada 2 5 33 4" xfId="27645"/>
    <cellStyle name="Entrada 2 5 34" xfId="27646"/>
    <cellStyle name="Entrada 2 5 34 2" xfId="27647"/>
    <cellStyle name="Entrada 2 5 34 2 2" xfId="27648"/>
    <cellStyle name="Entrada 2 5 34 3" xfId="27649"/>
    <cellStyle name="Entrada 2 5 34 3 2" xfId="27650"/>
    <cellStyle name="Entrada 2 5 34 4" xfId="27651"/>
    <cellStyle name="Entrada 2 5 35" xfId="27652"/>
    <cellStyle name="Entrada 2 5 35 2" xfId="27653"/>
    <cellStyle name="Entrada 2 5 35 2 2" xfId="27654"/>
    <cellStyle name="Entrada 2 5 35 3" xfId="27655"/>
    <cellStyle name="Entrada 2 5 35 3 2" xfId="27656"/>
    <cellStyle name="Entrada 2 5 35 4" xfId="27657"/>
    <cellStyle name="Entrada 2 5 36" xfId="27658"/>
    <cellStyle name="Entrada 2 5 36 2" xfId="27659"/>
    <cellStyle name="Entrada 2 5 36 2 2" xfId="27660"/>
    <cellStyle name="Entrada 2 5 36 3" xfId="27661"/>
    <cellStyle name="Entrada 2 5 36 3 2" xfId="27662"/>
    <cellStyle name="Entrada 2 5 36 4" xfId="27663"/>
    <cellStyle name="Entrada 2 5 37" xfId="27664"/>
    <cellStyle name="Entrada 2 5 37 2" xfId="27665"/>
    <cellStyle name="Entrada 2 5 37 2 2" xfId="27666"/>
    <cellStyle name="Entrada 2 5 37 3" xfId="27667"/>
    <cellStyle name="Entrada 2 5 37 3 2" xfId="27668"/>
    <cellStyle name="Entrada 2 5 37 4" xfId="27669"/>
    <cellStyle name="Entrada 2 5 38" xfId="27670"/>
    <cellStyle name="Entrada 2 5 38 2" xfId="27671"/>
    <cellStyle name="Entrada 2 5 38 2 2" xfId="27672"/>
    <cellStyle name="Entrada 2 5 38 3" xfId="27673"/>
    <cellStyle name="Entrada 2 5 39" xfId="27674"/>
    <cellStyle name="Entrada 2 5 39 2" xfId="27675"/>
    <cellStyle name="Entrada 2 5 4" xfId="27676"/>
    <cellStyle name="Entrada 2 5 4 10" xfId="27677"/>
    <cellStyle name="Entrada 2 5 4 10 2" xfId="27678"/>
    <cellStyle name="Entrada 2 5 4 10 2 2" xfId="27679"/>
    <cellStyle name="Entrada 2 5 4 10 3" xfId="27680"/>
    <cellStyle name="Entrada 2 5 4 10 3 2" xfId="27681"/>
    <cellStyle name="Entrada 2 5 4 10 4" xfId="27682"/>
    <cellStyle name="Entrada 2 5 4 11" xfId="27683"/>
    <cellStyle name="Entrada 2 5 4 11 2" xfId="27684"/>
    <cellStyle name="Entrada 2 5 4 11 2 2" xfId="27685"/>
    <cellStyle name="Entrada 2 5 4 11 3" xfId="27686"/>
    <cellStyle name="Entrada 2 5 4 11 3 2" xfId="27687"/>
    <cellStyle name="Entrada 2 5 4 11 4" xfId="27688"/>
    <cellStyle name="Entrada 2 5 4 12" xfId="27689"/>
    <cellStyle name="Entrada 2 5 4 12 2" xfId="27690"/>
    <cellStyle name="Entrada 2 5 4 12 2 2" xfId="27691"/>
    <cellStyle name="Entrada 2 5 4 12 3" xfId="27692"/>
    <cellStyle name="Entrada 2 5 4 12 3 2" xfId="27693"/>
    <cellStyle name="Entrada 2 5 4 12 4" xfId="27694"/>
    <cellStyle name="Entrada 2 5 4 13" xfId="27695"/>
    <cellStyle name="Entrada 2 5 4 13 2" xfId="27696"/>
    <cellStyle name="Entrada 2 5 4 13 2 2" xfId="27697"/>
    <cellStyle name="Entrada 2 5 4 13 3" xfId="27698"/>
    <cellStyle name="Entrada 2 5 4 13 3 2" xfId="27699"/>
    <cellStyle name="Entrada 2 5 4 13 4" xfId="27700"/>
    <cellStyle name="Entrada 2 5 4 14" xfId="27701"/>
    <cellStyle name="Entrada 2 5 4 14 2" xfId="27702"/>
    <cellStyle name="Entrada 2 5 4 14 2 2" xfId="27703"/>
    <cellStyle name="Entrada 2 5 4 14 3" xfId="27704"/>
    <cellStyle name="Entrada 2 5 4 14 3 2" xfId="27705"/>
    <cellStyle name="Entrada 2 5 4 14 4" xfId="27706"/>
    <cellStyle name="Entrada 2 5 4 15" xfId="27707"/>
    <cellStyle name="Entrada 2 5 4 15 2" xfId="27708"/>
    <cellStyle name="Entrada 2 5 4 15 2 2" xfId="27709"/>
    <cellStyle name="Entrada 2 5 4 15 3" xfId="27710"/>
    <cellStyle name="Entrada 2 5 4 15 3 2" xfId="27711"/>
    <cellStyle name="Entrada 2 5 4 15 4" xfId="27712"/>
    <cellStyle name="Entrada 2 5 4 16" xfId="27713"/>
    <cellStyle name="Entrada 2 5 4 16 2" xfId="27714"/>
    <cellStyle name="Entrada 2 5 4 16 2 2" xfId="27715"/>
    <cellStyle name="Entrada 2 5 4 16 3" xfId="27716"/>
    <cellStyle name="Entrada 2 5 4 16 3 2" xfId="27717"/>
    <cellStyle name="Entrada 2 5 4 16 4" xfId="27718"/>
    <cellStyle name="Entrada 2 5 4 17" xfId="27719"/>
    <cellStyle name="Entrada 2 5 4 17 2" xfId="27720"/>
    <cellStyle name="Entrada 2 5 4 17 2 2" xfId="27721"/>
    <cellStyle name="Entrada 2 5 4 17 3" xfId="27722"/>
    <cellStyle name="Entrada 2 5 4 17 3 2" xfId="27723"/>
    <cellStyle name="Entrada 2 5 4 17 4" xfId="27724"/>
    <cellStyle name="Entrada 2 5 4 18" xfId="27725"/>
    <cellStyle name="Entrada 2 5 4 18 2" xfId="27726"/>
    <cellStyle name="Entrada 2 5 4 18 2 2" xfId="27727"/>
    <cellStyle name="Entrada 2 5 4 18 3" xfId="27728"/>
    <cellStyle name="Entrada 2 5 4 18 3 2" xfId="27729"/>
    <cellStyle name="Entrada 2 5 4 18 4" xfId="27730"/>
    <cellStyle name="Entrada 2 5 4 19" xfId="27731"/>
    <cellStyle name="Entrada 2 5 4 19 2" xfId="27732"/>
    <cellStyle name="Entrada 2 5 4 19 2 2" xfId="27733"/>
    <cellStyle name="Entrada 2 5 4 19 3" xfId="27734"/>
    <cellStyle name="Entrada 2 5 4 19 3 2" xfId="27735"/>
    <cellStyle name="Entrada 2 5 4 19 4" xfId="27736"/>
    <cellStyle name="Entrada 2 5 4 2" xfId="27737"/>
    <cellStyle name="Entrada 2 5 4 2 2" xfId="27738"/>
    <cellStyle name="Entrada 2 5 4 2 2 2" xfId="27739"/>
    <cellStyle name="Entrada 2 5 4 2 3" xfId="27740"/>
    <cellStyle name="Entrada 2 5 4 2 3 2" xfId="27741"/>
    <cellStyle name="Entrada 2 5 4 2 4" xfId="27742"/>
    <cellStyle name="Entrada 2 5 4 20" xfId="27743"/>
    <cellStyle name="Entrada 2 5 4 20 2" xfId="27744"/>
    <cellStyle name="Entrada 2 5 4 20 2 2" xfId="27745"/>
    <cellStyle name="Entrada 2 5 4 20 3" xfId="27746"/>
    <cellStyle name="Entrada 2 5 4 20 3 2" xfId="27747"/>
    <cellStyle name="Entrada 2 5 4 20 4" xfId="27748"/>
    <cellStyle name="Entrada 2 5 4 21" xfId="27749"/>
    <cellStyle name="Entrada 2 5 4 21 2" xfId="27750"/>
    <cellStyle name="Entrada 2 5 4 21 2 2" xfId="27751"/>
    <cellStyle name="Entrada 2 5 4 21 3" xfId="27752"/>
    <cellStyle name="Entrada 2 5 4 21 3 2" xfId="27753"/>
    <cellStyle name="Entrada 2 5 4 21 4" xfId="27754"/>
    <cellStyle name="Entrada 2 5 4 22" xfId="27755"/>
    <cellStyle name="Entrada 2 5 4 22 2" xfId="27756"/>
    <cellStyle name="Entrada 2 5 4 22 2 2" xfId="27757"/>
    <cellStyle name="Entrada 2 5 4 22 3" xfId="27758"/>
    <cellStyle name="Entrada 2 5 4 22 3 2" xfId="27759"/>
    <cellStyle name="Entrada 2 5 4 22 4" xfId="27760"/>
    <cellStyle name="Entrada 2 5 4 23" xfId="27761"/>
    <cellStyle name="Entrada 2 5 4 23 2" xfId="27762"/>
    <cellStyle name="Entrada 2 5 4 23 2 2" xfId="27763"/>
    <cellStyle name="Entrada 2 5 4 23 3" xfId="27764"/>
    <cellStyle name="Entrada 2 5 4 23 3 2" xfId="27765"/>
    <cellStyle name="Entrada 2 5 4 23 4" xfId="27766"/>
    <cellStyle name="Entrada 2 5 4 24" xfId="27767"/>
    <cellStyle name="Entrada 2 5 4 24 2" xfId="27768"/>
    <cellStyle name="Entrada 2 5 4 24 2 2" xfId="27769"/>
    <cellStyle name="Entrada 2 5 4 24 3" xfId="27770"/>
    <cellStyle name="Entrada 2 5 4 24 3 2" xfId="27771"/>
    <cellStyle name="Entrada 2 5 4 24 4" xfId="27772"/>
    <cellStyle name="Entrada 2 5 4 25" xfId="27773"/>
    <cellStyle name="Entrada 2 5 4 25 2" xfId="27774"/>
    <cellStyle name="Entrada 2 5 4 25 2 2" xfId="27775"/>
    <cellStyle name="Entrada 2 5 4 25 3" xfId="27776"/>
    <cellStyle name="Entrada 2 5 4 25 3 2" xfId="27777"/>
    <cellStyle name="Entrada 2 5 4 25 4" xfId="27778"/>
    <cellStyle name="Entrada 2 5 4 26" xfId="27779"/>
    <cellStyle name="Entrada 2 5 4 26 2" xfId="27780"/>
    <cellStyle name="Entrada 2 5 4 26 2 2" xfId="27781"/>
    <cellStyle name="Entrada 2 5 4 26 3" xfId="27782"/>
    <cellStyle name="Entrada 2 5 4 26 3 2" xfId="27783"/>
    <cellStyle name="Entrada 2 5 4 26 4" xfId="27784"/>
    <cellStyle name="Entrada 2 5 4 27" xfId="27785"/>
    <cellStyle name="Entrada 2 5 4 27 2" xfId="27786"/>
    <cellStyle name="Entrada 2 5 4 27 2 2" xfId="27787"/>
    <cellStyle name="Entrada 2 5 4 27 3" xfId="27788"/>
    <cellStyle name="Entrada 2 5 4 27 3 2" xfId="27789"/>
    <cellStyle name="Entrada 2 5 4 27 4" xfId="27790"/>
    <cellStyle name="Entrada 2 5 4 28" xfId="27791"/>
    <cellStyle name="Entrada 2 5 4 28 2" xfId="27792"/>
    <cellStyle name="Entrada 2 5 4 28 2 2" xfId="27793"/>
    <cellStyle name="Entrada 2 5 4 28 3" xfId="27794"/>
    <cellStyle name="Entrada 2 5 4 28 3 2" xfId="27795"/>
    <cellStyle name="Entrada 2 5 4 28 4" xfId="27796"/>
    <cellStyle name="Entrada 2 5 4 29" xfId="27797"/>
    <cellStyle name="Entrada 2 5 4 29 2" xfId="27798"/>
    <cellStyle name="Entrada 2 5 4 29 2 2" xfId="27799"/>
    <cellStyle name="Entrada 2 5 4 29 3" xfId="27800"/>
    <cellStyle name="Entrada 2 5 4 29 3 2" xfId="27801"/>
    <cellStyle name="Entrada 2 5 4 29 4" xfId="27802"/>
    <cellStyle name="Entrada 2 5 4 3" xfId="27803"/>
    <cellStyle name="Entrada 2 5 4 3 2" xfId="27804"/>
    <cellStyle name="Entrada 2 5 4 3 2 2" xfId="27805"/>
    <cellStyle name="Entrada 2 5 4 3 3" xfId="27806"/>
    <cellStyle name="Entrada 2 5 4 3 3 2" xfId="27807"/>
    <cellStyle name="Entrada 2 5 4 3 4" xfId="27808"/>
    <cellStyle name="Entrada 2 5 4 30" xfId="27809"/>
    <cellStyle name="Entrada 2 5 4 30 2" xfId="27810"/>
    <cellStyle name="Entrada 2 5 4 30 2 2" xfId="27811"/>
    <cellStyle name="Entrada 2 5 4 30 3" xfId="27812"/>
    <cellStyle name="Entrada 2 5 4 30 3 2" xfId="27813"/>
    <cellStyle name="Entrada 2 5 4 30 4" xfId="27814"/>
    <cellStyle name="Entrada 2 5 4 31" xfId="27815"/>
    <cellStyle name="Entrada 2 5 4 31 2" xfId="27816"/>
    <cellStyle name="Entrada 2 5 4 31 2 2" xfId="27817"/>
    <cellStyle name="Entrada 2 5 4 31 3" xfId="27818"/>
    <cellStyle name="Entrada 2 5 4 31 3 2" xfId="27819"/>
    <cellStyle name="Entrada 2 5 4 31 4" xfId="27820"/>
    <cellStyle name="Entrada 2 5 4 32" xfId="27821"/>
    <cellStyle name="Entrada 2 5 4 32 2" xfId="27822"/>
    <cellStyle name="Entrada 2 5 4 32 2 2" xfId="27823"/>
    <cellStyle name="Entrada 2 5 4 32 3" xfId="27824"/>
    <cellStyle name="Entrada 2 5 4 32 3 2" xfId="27825"/>
    <cellStyle name="Entrada 2 5 4 32 4" xfId="27826"/>
    <cellStyle name="Entrada 2 5 4 33" xfId="27827"/>
    <cellStyle name="Entrada 2 5 4 33 2" xfId="27828"/>
    <cellStyle name="Entrada 2 5 4 33 2 2" xfId="27829"/>
    <cellStyle name="Entrada 2 5 4 33 3" xfId="27830"/>
    <cellStyle name="Entrada 2 5 4 33 3 2" xfId="27831"/>
    <cellStyle name="Entrada 2 5 4 33 4" xfId="27832"/>
    <cellStyle name="Entrada 2 5 4 34" xfId="27833"/>
    <cellStyle name="Entrada 2 5 4 34 2" xfId="27834"/>
    <cellStyle name="Entrada 2 5 4 34 2 2" xfId="27835"/>
    <cellStyle name="Entrada 2 5 4 34 3" xfId="27836"/>
    <cellStyle name="Entrada 2 5 4 34 3 2" xfId="27837"/>
    <cellStyle name="Entrada 2 5 4 34 4" xfId="27838"/>
    <cellStyle name="Entrada 2 5 4 35" xfId="27839"/>
    <cellStyle name="Entrada 2 5 4 35 2" xfId="27840"/>
    <cellStyle name="Entrada 2 5 4 35 2 2" xfId="27841"/>
    <cellStyle name="Entrada 2 5 4 35 3" xfId="27842"/>
    <cellStyle name="Entrada 2 5 4 35 3 2" xfId="27843"/>
    <cellStyle name="Entrada 2 5 4 35 4" xfId="27844"/>
    <cellStyle name="Entrada 2 5 4 36" xfId="27845"/>
    <cellStyle name="Entrada 2 5 4 36 2" xfId="27846"/>
    <cellStyle name="Entrada 2 5 4 36 2 2" xfId="27847"/>
    <cellStyle name="Entrada 2 5 4 36 3" xfId="27848"/>
    <cellStyle name="Entrada 2 5 4 36 3 2" xfId="27849"/>
    <cellStyle name="Entrada 2 5 4 36 4" xfId="27850"/>
    <cellStyle name="Entrada 2 5 4 37" xfId="27851"/>
    <cellStyle name="Entrada 2 5 4 37 2" xfId="27852"/>
    <cellStyle name="Entrada 2 5 4 37 2 2" xfId="27853"/>
    <cellStyle name="Entrada 2 5 4 37 3" xfId="27854"/>
    <cellStyle name="Entrada 2 5 4 37 3 2" xfId="27855"/>
    <cellStyle name="Entrada 2 5 4 37 4" xfId="27856"/>
    <cellStyle name="Entrada 2 5 4 38" xfId="27857"/>
    <cellStyle name="Entrada 2 5 4 38 2" xfId="27858"/>
    <cellStyle name="Entrada 2 5 4 38 2 2" xfId="27859"/>
    <cellStyle name="Entrada 2 5 4 38 3" xfId="27860"/>
    <cellStyle name="Entrada 2 5 4 38 3 2" xfId="27861"/>
    <cellStyle name="Entrada 2 5 4 38 4" xfId="27862"/>
    <cellStyle name="Entrada 2 5 4 39" xfId="27863"/>
    <cellStyle name="Entrada 2 5 4 39 2" xfId="27864"/>
    <cellStyle name="Entrada 2 5 4 39 2 2" xfId="27865"/>
    <cellStyle name="Entrada 2 5 4 39 3" xfId="27866"/>
    <cellStyle name="Entrada 2 5 4 39 3 2" xfId="27867"/>
    <cellStyle name="Entrada 2 5 4 39 4" xfId="27868"/>
    <cellStyle name="Entrada 2 5 4 4" xfId="27869"/>
    <cellStyle name="Entrada 2 5 4 4 2" xfId="27870"/>
    <cellStyle name="Entrada 2 5 4 4 2 2" xfId="27871"/>
    <cellStyle name="Entrada 2 5 4 4 3" xfId="27872"/>
    <cellStyle name="Entrada 2 5 4 4 3 2" xfId="27873"/>
    <cellStyle name="Entrada 2 5 4 4 4" xfId="27874"/>
    <cellStyle name="Entrada 2 5 4 40" xfId="27875"/>
    <cellStyle name="Entrada 2 5 4 40 2" xfId="27876"/>
    <cellStyle name="Entrada 2 5 4 40 2 2" xfId="27877"/>
    <cellStyle name="Entrada 2 5 4 40 3" xfId="27878"/>
    <cellStyle name="Entrada 2 5 4 41" xfId="27879"/>
    <cellStyle name="Entrada 2 5 4 41 2" xfId="27880"/>
    <cellStyle name="Entrada 2 5 4 42" xfId="27881"/>
    <cellStyle name="Entrada 2 5 4 42 2" xfId="27882"/>
    <cellStyle name="Entrada 2 5 4 43" xfId="27883"/>
    <cellStyle name="Entrada 2 5 4 5" xfId="27884"/>
    <cellStyle name="Entrada 2 5 4 5 2" xfId="27885"/>
    <cellStyle name="Entrada 2 5 4 5 2 2" xfId="27886"/>
    <cellStyle name="Entrada 2 5 4 5 3" xfId="27887"/>
    <cellStyle name="Entrada 2 5 4 5 3 2" xfId="27888"/>
    <cellStyle name="Entrada 2 5 4 5 4" xfId="27889"/>
    <cellStyle name="Entrada 2 5 4 6" xfId="27890"/>
    <cellStyle name="Entrada 2 5 4 6 2" xfId="27891"/>
    <cellStyle name="Entrada 2 5 4 6 2 2" xfId="27892"/>
    <cellStyle name="Entrada 2 5 4 6 3" xfId="27893"/>
    <cellStyle name="Entrada 2 5 4 6 3 2" xfId="27894"/>
    <cellStyle name="Entrada 2 5 4 6 4" xfId="27895"/>
    <cellStyle name="Entrada 2 5 4 7" xfId="27896"/>
    <cellStyle name="Entrada 2 5 4 7 2" xfId="27897"/>
    <cellStyle name="Entrada 2 5 4 7 2 2" xfId="27898"/>
    <cellStyle name="Entrada 2 5 4 7 3" xfId="27899"/>
    <cellStyle name="Entrada 2 5 4 7 3 2" xfId="27900"/>
    <cellStyle name="Entrada 2 5 4 7 4" xfId="27901"/>
    <cellStyle name="Entrada 2 5 4 8" xfId="27902"/>
    <cellStyle name="Entrada 2 5 4 8 2" xfId="27903"/>
    <cellStyle name="Entrada 2 5 4 8 2 2" xfId="27904"/>
    <cellStyle name="Entrada 2 5 4 8 3" xfId="27905"/>
    <cellStyle name="Entrada 2 5 4 8 3 2" xfId="27906"/>
    <cellStyle name="Entrada 2 5 4 8 4" xfId="27907"/>
    <cellStyle name="Entrada 2 5 4 9" xfId="27908"/>
    <cellStyle name="Entrada 2 5 4 9 2" xfId="27909"/>
    <cellStyle name="Entrada 2 5 4 9 2 2" xfId="27910"/>
    <cellStyle name="Entrada 2 5 4 9 3" xfId="27911"/>
    <cellStyle name="Entrada 2 5 4 9 3 2" xfId="27912"/>
    <cellStyle name="Entrada 2 5 4 9 4" xfId="27913"/>
    <cellStyle name="Entrada 2 5 40" xfId="27914"/>
    <cellStyle name="Entrada 2 5 40 2" xfId="27915"/>
    <cellStyle name="Entrada 2 5 41" xfId="27916"/>
    <cellStyle name="Entrada 2 5 5" xfId="27917"/>
    <cellStyle name="Entrada 2 5 5 10" xfId="27918"/>
    <cellStyle name="Entrada 2 5 5 10 2" xfId="27919"/>
    <cellStyle name="Entrada 2 5 5 10 2 2" xfId="27920"/>
    <cellStyle name="Entrada 2 5 5 10 3" xfId="27921"/>
    <cellStyle name="Entrada 2 5 5 10 3 2" xfId="27922"/>
    <cellStyle name="Entrada 2 5 5 10 4" xfId="27923"/>
    <cellStyle name="Entrada 2 5 5 11" xfId="27924"/>
    <cellStyle name="Entrada 2 5 5 11 2" xfId="27925"/>
    <cellStyle name="Entrada 2 5 5 11 2 2" xfId="27926"/>
    <cellStyle name="Entrada 2 5 5 11 3" xfId="27927"/>
    <cellStyle name="Entrada 2 5 5 11 3 2" xfId="27928"/>
    <cellStyle name="Entrada 2 5 5 11 4" xfId="27929"/>
    <cellStyle name="Entrada 2 5 5 12" xfId="27930"/>
    <cellStyle name="Entrada 2 5 5 12 2" xfId="27931"/>
    <cellStyle name="Entrada 2 5 5 12 2 2" xfId="27932"/>
    <cellStyle name="Entrada 2 5 5 12 3" xfId="27933"/>
    <cellStyle name="Entrada 2 5 5 12 3 2" xfId="27934"/>
    <cellStyle name="Entrada 2 5 5 12 4" xfId="27935"/>
    <cellStyle name="Entrada 2 5 5 13" xfId="27936"/>
    <cellStyle name="Entrada 2 5 5 13 2" xfId="27937"/>
    <cellStyle name="Entrada 2 5 5 13 2 2" xfId="27938"/>
    <cellStyle name="Entrada 2 5 5 13 3" xfId="27939"/>
    <cellStyle name="Entrada 2 5 5 13 3 2" xfId="27940"/>
    <cellStyle name="Entrada 2 5 5 13 4" xfId="27941"/>
    <cellStyle name="Entrada 2 5 5 14" xfId="27942"/>
    <cellStyle name="Entrada 2 5 5 14 2" xfId="27943"/>
    <cellStyle name="Entrada 2 5 5 14 2 2" xfId="27944"/>
    <cellStyle name="Entrada 2 5 5 14 3" xfId="27945"/>
    <cellStyle name="Entrada 2 5 5 14 3 2" xfId="27946"/>
    <cellStyle name="Entrada 2 5 5 14 4" xfId="27947"/>
    <cellStyle name="Entrada 2 5 5 15" xfId="27948"/>
    <cellStyle name="Entrada 2 5 5 15 2" xfId="27949"/>
    <cellStyle name="Entrada 2 5 5 15 2 2" xfId="27950"/>
    <cellStyle name="Entrada 2 5 5 15 3" xfId="27951"/>
    <cellStyle name="Entrada 2 5 5 15 3 2" xfId="27952"/>
    <cellStyle name="Entrada 2 5 5 15 4" xfId="27953"/>
    <cellStyle name="Entrada 2 5 5 16" xfId="27954"/>
    <cellStyle name="Entrada 2 5 5 16 2" xfId="27955"/>
    <cellStyle name="Entrada 2 5 5 16 2 2" xfId="27956"/>
    <cellStyle name="Entrada 2 5 5 16 3" xfId="27957"/>
    <cellStyle name="Entrada 2 5 5 16 3 2" xfId="27958"/>
    <cellStyle name="Entrada 2 5 5 16 4" xfId="27959"/>
    <cellStyle name="Entrada 2 5 5 17" xfId="27960"/>
    <cellStyle name="Entrada 2 5 5 17 2" xfId="27961"/>
    <cellStyle name="Entrada 2 5 5 17 2 2" xfId="27962"/>
    <cellStyle name="Entrada 2 5 5 17 3" xfId="27963"/>
    <cellStyle name="Entrada 2 5 5 17 3 2" xfId="27964"/>
    <cellStyle name="Entrada 2 5 5 17 4" xfId="27965"/>
    <cellStyle name="Entrada 2 5 5 18" xfId="27966"/>
    <cellStyle name="Entrada 2 5 5 18 2" xfId="27967"/>
    <cellStyle name="Entrada 2 5 5 18 2 2" xfId="27968"/>
    <cellStyle name="Entrada 2 5 5 18 3" xfId="27969"/>
    <cellStyle name="Entrada 2 5 5 18 3 2" xfId="27970"/>
    <cellStyle name="Entrada 2 5 5 18 4" xfId="27971"/>
    <cellStyle name="Entrada 2 5 5 19" xfId="27972"/>
    <cellStyle name="Entrada 2 5 5 19 2" xfId="27973"/>
    <cellStyle name="Entrada 2 5 5 19 2 2" xfId="27974"/>
    <cellStyle name="Entrada 2 5 5 19 3" xfId="27975"/>
    <cellStyle name="Entrada 2 5 5 19 3 2" xfId="27976"/>
    <cellStyle name="Entrada 2 5 5 19 4" xfId="27977"/>
    <cellStyle name="Entrada 2 5 5 2" xfId="27978"/>
    <cellStyle name="Entrada 2 5 5 2 2" xfId="27979"/>
    <cellStyle name="Entrada 2 5 5 2 2 2" xfId="27980"/>
    <cellStyle name="Entrada 2 5 5 2 3" xfId="27981"/>
    <cellStyle name="Entrada 2 5 5 2 3 2" xfId="27982"/>
    <cellStyle name="Entrada 2 5 5 2 4" xfId="27983"/>
    <cellStyle name="Entrada 2 5 5 20" xfId="27984"/>
    <cellStyle name="Entrada 2 5 5 20 2" xfId="27985"/>
    <cellStyle name="Entrada 2 5 5 20 2 2" xfId="27986"/>
    <cellStyle name="Entrada 2 5 5 20 3" xfId="27987"/>
    <cellStyle name="Entrada 2 5 5 20 3 2" xfId="27988"/>
    <cellStyle name="Entrada 2 5 5 20 4" xfId="27989"/>
    <cellStyle name="Entrada 2 5 5 21" xfId="27990"/>
    <cellStyle name="Entrada 2 5 5 21 2" xfId="27991"/>
    <cellStyle name="Entrada 2 5 5 21 2 2" xfId="27992"/>
    <cellStyle name="Entrada 2 5 5 21 3" xfId="27993"/>
    <cellStyle name="Entrada 2 5 5 21 3 2" xfId="27994"/>
    <cellStyle name="Entrada 2 5 5 21 4" xfId="27995"/>
    <cellStyle name="Entrada 2 5 5 22" xfId="27996"/>
    <cellStyle name="Entrada 2 5 5 22 2" xfId="27997"/>
    <cellStyle name="Entrada 2 5 5 22 2 2" xfId="27998"/>
    <cellStyle name="Entrada 2 5 5 22 3" xfId="27999"/>
    <cellStyle name="Entrada 2 5 5 22 3 2" xfId="28000"/>
    <cellStyle name="Entrada 2 5 5 22 4" xfId="28001"/>
    <cellStyle name="Entrada 2 5 5 23" xfId="28002"/>
    <cellStyle name="Entrada 2 5 5 23 2" xfId="28003"/>
    <cellStyle name="Entrada 2 5 5 23 2 2" xfId="28004"/>
    <cellStyle name="Entrada 2 5 5 23 3" xfId="28005"/>
    <cellStyle name="Entrada 2 5 5 23 3 2" xfId="28006"/>
    <cellStyle name="Entrada 2 5 5 23 4" xfId="28007"/>
    <cellStyle name="Entrada 2 5 5 24" xfId="28008"/>
    <cellStyle name="Entrada 2 5 5 24 2" xfId="28009"/>
    <cellStyle name="Entrada 2 5 5 24 2 2" xfId="28010"/>
    <cellStyle name="Entrada 2 5 5 24 3" xfId="28011"/>
    <cellStyle name="Entrada 2 5 5 24 3 2" xfId="28012"/>
    <cellStyle name="Entrada 2 5 5 24 4" xfId="28013"/>
    <cellStyle name="Entrada 2 5 5 25" xfId="28014"/>
    <cellStyle name="Entrada 2 5 5 25 2" xfId="28015"/>
    <cellStyle name="Entrada 2 5 5 25 2 2" xfId="28016"/>
    <cellStyle name="Entrada 2 5 5 25 3" xfId="28017"/>
    <cellStyle name="Entrada 2 5 5 25 3 2" xfId="28018"/>
    <cellStyle name="Entrada 2 5 5 25 4" xfId="28019"/>
    <cellStyle name="Entrada 2 5 5 26" xfId="28020"/>
    <cellStyle name="Entrada 2 5 5 26 2" xfId="28021"/>
    <cellStyle name="Entrada 2 5 5 26 2 2" xfId="28022"/>
    <cellStyle name="Entrada 2 5 5 26 3" xfId="28023"/>
    <cellStyle name="Entrada 2 5 5 26 3 2" xfId="28024"/>
    <cellStyle name="Entrada 2 5 5 26 4" xfId="28025"/>
    <cellStyle name="Entrada 2 5 5 27" xfId="28026"/>
    <cellStyle name="Entrada 2 5 5 27 2" xfId="28027"/>
    <cellStyle name="Entrada 2 5 5 27 2 2" xfId="28028"/>
    <cellStyle name="Entrada 2 5 5 27 3" xfId="28029"/>
    <cellStyle name="Entrada 2 5 5 27 3 2" xfId="28030"/>
    <cellStyle name="Entrada 2 5 5 27 4" xfId="28031"/>
    <cellStyle name="Entrada 2 5 5 28" xfId="28032"/>
    <cellStyle name="Entrada 2 5 5 28 2" xfId="28033"/>
    <cellStyle name="Entrada 2 5 5 28 2 2" xfId="28034"/>
    <cellStyle name="Entrada 2 5 5 28 3" xfId="28035"/>
    <cellStyle name="Entrada 2 5 5 28 3 2" xfId="28036"/>
    <cellStyle name="Entrada 2 5 5 28 4" xfId="28037"/>
    <cellStyle name="Entrada 2 5 5 29" xfId="28038"/>
    <cellStyle name="Entrada 2 5 5 29 2" xfId="28039"/>
    <cellStyle name="Entrada 2 5 5 29 2 2" xfId="28040"/>
    <cellStyle name="Entrada 2 5 5 29 3" xfId="28041"/>
    <cellStyle name="Entrada 2 5 5 29 3 2" xfId="28042"/>
    <cellStyle name="Entrada 2 5 5 29 4" xfId="28043"/>
    <cellStyle name="Entrada 2 5 5 3" xfId="28044"/>
    <cellStyle name="Entrada 2 5 5 3 2" xfId="28045"/>
    <cellStyle name="Entrada 2 5 5 3 2 2" xfId="28046"/>
    <cellStyle name="Entrada 2 5 5 3 3" xfId="28047"/>
    <cellStyle name="Entrada 2 5 5 3 3 2" xfId="28048"/>
    <cellStyle name="Entrada 2 5 5 3 4" xfId="28049"/>
    <cellStyle name="Entrada 2 5 5 30" xfId="28050"/>
    <cellStyle name="Entrada 2 5 5 30 2" xfId="28051"/>
    <cellStyle name="Entrada 2 5 5 30 2 2" xfId="28052"/>
    <cellStyle name="Entrada 2 5 5 30 3" xfId="28053"/>
    <cellStyle name="Entrada 2 5 5 30 3 2" xfId="28054"/>
    <cellStyle name="Entrada 2 5 5 30 4" xfId="28055"/>
    <cellStyle name="Entrada 2 5 5 31" xfId="28056"/>
    <cellStyle name="Entrada 2 5 5 31 2" xfId="28057"/>
    <cellStyle name="Entrada 2 5 5 31 2 2" xfId="28058"/>
    <cellStyle name="Entrada 2 5 5 31 3" xfId="28059"/>
    <cellStyle name="Entrada 2 5 5 31 3 2" xfId="28060"/>
    <cellStyle name="Entrada 2 5 5 31 4" xfId="28061"/>
    <cellStyle name="Entrada 2 5 5 32" xfId="28062"/>
    <cellStyle name="Entrada 2 5 5 32 2" xfId="28063"/>
    <cellStyle name="Entrada 2 5 5 32 2 2" xfId="28064"/>
    <cellStyle name="Entrada 2 5 5 32 3" xfId="28065"/>
    <cellStyle name="Entrada 2 5 5 32 3 2" xfId="28066"/>
    <cellStyle name="Entrada 2 5 5 32 4" xfId="28067"/>
    <cellStyle name="Entrada 2 5 5 33" xfId="28068"/>
    <cellStyle name="Entrada 2 5 5 33 2" xfId="28069"/>
    <cellStyle name="Entrada 2 5 5 33 2 2" xfId="28070"/>
    <cellStyle name="Entrada 2 5 5 33 3" xfId="28071"/>
    <cellStyle name="Entrada 2 5 5 33 3 2" xfId="28072"/>
    <cellStyle name="Entrada 2 5 5 33 4" xfId="28073"/>
    <cellStyle name="Entrada 2 5 5 34" xfId="28074"/>
    <cellStyle name="Entrada 2 5 5 34 2" xfId="28075"/>
    <cellStyle name="Entrada 2 5 5 34 2 2" xfId="28076"/>
    <cellStyle name="Entrada 2 5 5 34 3" xfId="28077"/>
    <cellStyle name="Entrada 2 5 5 34 3 2" xfId="28078"/>
    <cellStyle name="Entrada 2 5 5 34 4" xfId="28079"/>
    <cellStyle name="Entrada 2 5 5 35" xfId="28080"/>
    <cellStyle name="Entrada 2 5 5 35 2" xfId="28081"/>
    <cellStyle name="Entrada 2 5 5 35 2 2" xfId="28082"/>
    <cellStyle name="Entrada 2 5 5 35 3" xfId="28083"/>
    <cellStyle name="Entrada 2 5 5 35 3 2" xfId="28084"/>
    <cellStyle name="Entrada 2 5 5 35 4" xfId="28085"/>
    <cellStyle name="Entrada 2 5 5 36" xfId="28086"/>
    <cellStyle name="Entrada 2 5 5 36 2" xfId="28087"/>
    <cellStyle name="Entrada 2 5 5 36 2 2" xfId="28088"/>
    <cellStyle name="Entrada 2 5 5 36 3" xfId="28089"/>
    <cellStyle name="Entrada 2 5 5 36 3 2" xfId="28090"/>
    <cellStyle name="Entrada 2 5 5 36 4" xfId="28091"/>
    <cellStyle name="Entrada 2 5 5 37" xfId="28092"/>
    <cellStyle name="Entrada 2 5 5 37 2" xfId="28093"/>
    <cellStyle name="Entrada 2 5 5 37 2 2" xfId="28094"/>
    <cellStyle name="Entrada 2 5 5 37 3" xfId="28095"/>
    <cellStyle name="Entrada 2 5 5 37 3 2" xfId="28096"/>
    <cellStyle name="Entrada 2 5 5 37 4" xfId="28097"/>
    <cellStyle name="Entrada 2 5 5 38" xfId="28098"/>
    <cellStyle name="Entrada 2 5 5 38 2" xfId="28099"/>
    <cellStyle name="Entrada 2 5 5 38 2 2" xfId="28100"/>
    <cellStyle name="Entrada 2 5 5 38 3" xfId="28101"/>
    <cellStyle name="Entrada 2 5 5 38 3 2" xfId="28102"/>
    <cellStyle name="Entrada 2 5 5 38 4" xfId="28103"/>
    <cellStyle name="Entrada 2 5 5 39" xfId="28104"/>
    <cellStyle name="Entrada 2 5 5 39 2" xfId="28105"/>
    <cellStyle name="Entrada 2 5 5 39 2 2" xfId="28106"/>
    <cellStyle name="Entrada 2 5 5 39 3" xfId="28107"/>
    <cellStyle name="Entrada 2 5 5 39 3 2" xfId="28108"/>
    <cellStyle name="Entrada 2 5 5 39 4" xfId="28109"/>
    <cellStyle name="Entrada 2 5 5 4" xfId="28110"/>
    <cellStyle name="Entrada 2 5 5 4 2" xfId="28111"/>
    <cellStyle name="Entrada 2 5 5 4 2 2" xfId="28112"/>
    <cellStyle name="Entrada 2 5 5 4 3" xfId="28113"/>
    <cellStyle name="Entrada 2 5 5 4 3 2" xfId="28114"/>
    <cellStyle name="Entrada 2 5 5 4 4" xfId="28115"/>
    <cellStyle name="Entrada 2 5 5 40" xfId="28116"/>
    <cellStyle name="Entrada 2 5 5 40 2" xfId="28117"/>
    <cellStyle name="Entrada 2 5 5 40 2 2" xfId="28118"/>
    <cellStyle name="Entrada 2 5 5 40 3" xfId="28119"/>
    <cellStyle name="Entrada 2 5 5 40 3 2" xfId="28120"/>
    <cellStyle name="Entrada 2 5 5 40 4" xfId="28121"/>
    <cellStyle name="Entrada 2 5 5 41" xfId="28122"/>
    <cellStyle name="Entrada 2 5 5 41 2" xfId="28123"/>
    <cellStyle name="Entrada 2 5 5 41 2 2" xfId="28124"/>
    <cellStyle name="Entrada 2 5 5 41 3" xfId="28125"/>
    <cellStyle name="Entrada 2 5 5 41 3 2" xfId="28126"/>
    <cellStyle name="Entrada 2 5 5 41 4" xfId="28127"/>
    <cellStyle name="Entrada 2 5 5 42" xfId="28128"/>
    <cellStyle name="Entrada 2 5 5 42 2" xfId="28129"/>
    <cellStyle name="Entrada 2 5 5 42 2 2" xfId="28130"/>
    <cellStyle name="Entrada 2 5 5 42 3" xfId="28131"/>
    <cellStyle name="Entrada 2 5 5 43" xfId="28132"/>
    <cellStyle name="Entrada 2 5 5 43 2" xfId="28133"/>
    <cellStyle name="Entrada 2 5 5 44" xfId="28134"/>
    <cellStyle name="Entrada 2 5 5 5" xfId="28135"/>
    <cellStyle name="Entrada 2 5 5 5 2" xfId="28136"/>
    <cellStyle name="Entrada 2 5 5 5 2 2" xfId="28137"/>
    <cellStyle name="Entrada 2 5 5 5 3" xfId="28138"/>
    <cellStyle name="Entrada 2 5 5 5 3 2" xfId="28139"/>
    <cellStyle name="Entrada 2 5 5 5 4" xfId="28140"/>
    <cellStyle name="Entrada 2 5 5 6" xfId="28141"/>
    <cellStyle name="Entrada 2 5 5 6 2" xfId="28142"/>
    <cellStyle name="Entrada 2 5 5 6 2 2" xfId="28143"/>
    <cellStyle name="Entrada 2 5 5 6 3" xfId="28144"/>
    <cellStyle name="Entrada 2 5 5 6 3 2" xfId="28145"/>
    <cellStyle name="Entrada 2 5 5 6 4" xfId="28146"/>
    <cellStyle name="Entrada 2 5 5 7" xfId="28147"/>
    <cellStyle name="Entrada 2 5 5 7 2" xfId="28148"/>
    <cellStyle name="Entrada 2 5 5 7 2 2" xfId="28149"/>
    <cellStyle name="Entrada 2 5 5 7 3" xfId="28150"/>
    <cellStyle name="Entrada 2 5 5 7 3 2" xfId="28151"/>
    <cellStyle name="Entrada 2 5 5 7 4" xfId="28152"/>
    <cellStyle name="Entrada 2 5 5 8" xfId="28153"/>
    <cellStyle name="Entrada 2 5 5 8 2" xfId="28154"/>
    <cellStyle name="Entrada 2 5 5 8 2 2" xfId="28155"/>
    <cellStyle name="Entrada 2 5 5 8 3" xfId="28156"/>
    <cellStyle name="Entrada 2 5 5 8 3 2" xfId="28157"/>
    <cellStyle name="Entrada 2 5 5 8 4" xfId="28158"/>
    <cellStyle name="Entrada 2 5 5 9" xfId="28159"/>
    <cellStyle name="Entrada 2 5 5 9 2" xfId="28160"/>
    <cellStyle name="Entrada 2 5 5 9 2 2" xfId="28161"/>
    <cellStyle name="Entrada 2 5 5 9 3" xfId="28162"/>
    <cellStyle name="Entrada 2 5 5 9 3 2" xfId="28163"/>
    <cellStyle name="Entrada 2 5 5 9 4" xfId="28164"/>
    <cellStyle name="Entrada 2 5 6" xfId="28165"/>
    <cellStyle name="Entrada 2 5 6 2" xfId="28166"/>
    <cellStyle name="Entrada 2 5 6 2 2" xfId="28167"/>
    <cellStyle name="Entrada 2 5 6 3" xfId="28168"/>
    <cellStyle name="Entrada 2 5 6 3 2" xfId="28169"/>
    <cellStyle name="Entrada 2 5 6 4" xfId="28170"/>
    <cellStyle name="Entrada 2 5 7" xfId="28171"/>
    <cellStyle name="Entrada 2 5 7 2" xfId="28172"/>
    <cellStyle name="Entrada 2 5 7 2 2" xfId="28173"/>
    <cellStyle name="Entrada 2 5 7 3" xfId="28174"/>
    <cellStyle name="Entrada 2 5 7 3 2" xfId="28175"/>
    <cellStyle name="Entrada 2 5 7 4" xfId="28176"/>
    <cellStyle name="Entrada 2 5 8" xfId="28177"/>
    <cellStyle name="Entrada 2 5 8 2" xfId="28178"/>
    <cellStyle name="Entrada 2 5 8 2 2" xfId="28179"/>
    <cellStyle name="Entrada 2 5 8 3" xfId="28180"/>
    <cellStyle name="Entrada 2 5 8 3 2" xfId="28181"/>
    <cellStyle name="Entrada 2 5 8 4" xfId="28182"/>
    <cellStyle name="Entrada 2 5 9" xfId="28183"/>
    <cellStyle name="Entrada 2 5 9 2" xfId="28184"/>
    <cellStyle name="Entrada 2 5 9 2 2" xfId="28185"/>
    <cellStyle name="Entrada 2 5 9 3" xfId="28186"/>
    <cellStyle name="Entrada 2 5 9 3 2" xfId="28187"/>
    <cellStyle name="Entrada 2 5 9 4" xfId="28188"/>
    <cellStyle name="Entrada 2 6" xfId="28189"/>
    <cellStyle name="Entrada 2 6 10" xfId="28190"/>
    <cellStyle name="Entrada 2 6 10 2" xfId="28191"/>
    <cellStyle name="Entrada 2 6 10 2 2" xfId="28192"/>
    <cellStyle name="Entrada 2 6 10 3" xfId="28193"/>
    <cellStyle name="Entrada 2 6 10 3 2" xfId="28194"/>
    <cellStyle name="Entrada 2 6 10 4" xfId="28195"/>
    <cellStyle name="Entrada 2 6 11" xfId="28196"/>
    <cellStyle name="Entrada 2 6 11 2" xfId="28197"/>
    <cellStyle name="Entrada 2 6 11 2 2" xfId="28198"/>
    <cellStyle name="Entrada 2 6 11 3" xfId="28199"/>
    <cellStyle name="Entrada 2 6 11 3 2" xfId="28200"/>
    <cellStyle name="Entrada 2 6 11 4" xfId="28201"/>
    <cellStyle name="Entrada 2 6 12" xfId="28202"/>
    <cellStyle name="Entrada 2 6 12 2" xfId="28203"/>
    <cellStyle name="Entrada 2 6 12 2 2" xfId="28204"/>
    <cellStyle name="Entrada 2 6 12 3" xfId="28205"/>
    <cellStyle name="Entrada 2 6 12 3 2" xfId="28206"/>
    <cellStyle name="Entrada 2 6 12 4" xfId="28207"/>
    <cellStyle name="Entrada 2 6 13" xfId="28208"/>
    <cellStyle name="Entrada 2 6 13 2" xfId="28209"/>
    <cellStyle name="Entrada 2 6 13 2 2" xfId="28210"/>
    <cellStyle name="Entrada 2 6 13 3" xfId="28211"/>
    <cellStyle name="Entrada 2 6 13 3 2" xfId="28212"/>
    <cellStyle name="Entrada 2 6 13 4" xfId="28213"/>
    <cellStyle name="Entrada 2 6 14" xfId="28214"/>
    <cellStyle name="Entrada 2 6 14 2" xfId="28215"/>
    <cellStyle name="Entrada 2 6 14 2 2" xfId="28216"/>
    <cellStyle name="Entrada 2 6 14 3" xfId="28217"/>
    <cellStyle name="Entrada 2 6 14 3 2" xfId="28218"/>
    <cellStyle name="Entrada 2 6 14 4" xfId="28219"/>
    <cellStyle name="Entrada 2 6 15" xfId="28220"/>
    <cellStyle name="Entrada 2 6 15 2" xfId="28221"/>
    <cellStyle name="Entrada 2 6 15 2 2" xfId="28222"/>
    <cellStyle name="Entrada 2 6 15 3" xfId="28223"/>
    <cellStyle name="Entrada 2 6 15 3 2" xfId="28224"/>
    <cellStyle name="Entrada 2 6 15 4" xfId="28225"/>
    <cellStyle name="Entrada 2 6 16" xfId="28226"/>
    <cellStyle name="Entrada 2 6 16 2" xfId="28227"/>
    <cellStyle name="Entrada 2 6 16 2 2" xfId="28228"/>
    <cellStyle name="Entrada 2 6 16 3" xfId="28229"/>
    <cellStyle name="Entrada 2 6 16 3 2" xfId="28230"/>
    <cellStyle name="Entrada 2 6 16 4" xfId="28231"/>
    <cellStyle name="Entrada 2 6 17" xfId="28232"/>
    <cellStyle name="Entrada 2 6 17 2" xfId="28233"/>
    <cellStyle name="Entrada 2 6 17 2 2" xfId="28234"/>
    <cellStyle name="Entrada 2 6 17 3" xfId="28235"/>
    <cellStyle name="Entrada 2 6 17 3 2" xfId="28236"/>
    <cellStyle name="Entrada 2 6 17 4" xfId="28237"/>
    <cellStyle name="Entrada 2 6 18" xfId="28238"/>
    <cellStyle name="Entrada 2 6 18 2" xfId="28239"/>
    <cellStyle name="Entrada 2 6 18 2 2" xfId="28240"/>
    <cellStyle name="Entrada 2 6 18 3" xfId="28241"/>
    <cellStyle name="Entrada 2 6 18 3 2" xfId="28242"/>
    <cellStyle name="Entrada 2 6 18 4" xfId="28243"/>
    <cellStyle name="Entrada 2 6 19" xfId="28244"/>
    <cellStyle name="Entrada 2 6 19 2" xfId="28245"/>
    <cellStyle name="Entrada 2 6 19 2 2" xfId="28246"/>
    <cellStyle name="Entrada 2 6 19 3" xfId="28247"/>
    <cellStyle name="Entrada 2 6 19 3 2" xfId="28248"/>
    <cellStyle name="Entrada 2 6 19 4" xfId="28249"/>
    <cellStyle name="Entrada 2 6 2" xfId="28250"/>
    <cellStyle name="Entrada 2 6 2 2" xfId="28251"/>
    <cellStyle name="Entrada 2 6 2 2 2" xfId="28252"/>
    <cellStyle name="Entrada 2 6 2 3" xfId="28253"/>
    <cellStyle name="Entrada 2 6 2 3 2" xfId="28254"/>
    <cellStyle name="Entrada 2 6 2 4" xfId="28255"/>
    <cellStyle name="Entrada 2 6 20" xfId="28256"/>
    <cellStyle name="Entrada 2 6 20 2" xfId="28257"/>
    <cellStyle name="Entrada 2 6 20 2 2" xfId="28258"/>
    <cellStyle name="Entrada 2 6 20 3" xfId="28259"/>
    <cellStyle name="Entrada 2 6 20 3 2" xfId="28260"/>
    <cellStyle name="Entrada 2 6 20 4" xfId="28261"/>
    <cellStyle name="Entrada 2 6 21" xfId="28262"/>
    <cellStyle name="Entrada 2 6 21 2" xfId="28263"/>
    <cellStyle name="Entrada 2 6 21 2 2" xfId="28264"/>
    <cellStyle name="Entrada 2 6 21 3" xfId="28265"/>
    <cellStyle name="Entrada 2 6 21 3 2" xfId="28266"/>
    <cellStyle name="Entrada 2 6 21 4" xfId="28267"/>
    <cellStyle name="Entrada 2 6 22" xfId="28268"/>
    <cellStyle name="Entrada 2 6 22 2" xfId="28269"/>
    <cellStyle name="Entrada 2 6 22 2 2" xfId="28270"/>
    <cellStyle name="Entrada 2 6 22 3" xfId="28271"/>
    <cellStyle name="Entrada 2 6 22 3 2" xfId="28272"/>
    <cellStyle name="Entrada 2 6 22 4" xfId="28273"/>
    <cellStyle name="Entrada 2 6 23" xfId="28274"/>
    <cellStyle name="Entrada 2 6 23 2" xfId="28275"/>
    <cellStyle name="Entrada 2 6 23 2 2" xfId="28276"/>
    <cellStyle name="Entrada 2 6 23 3" xfId="28277"/>
    <cellStyle name="Entrada 2 6 23 3 2" xfId="28278"/>
    <cellStyle name="Entrada 2 6 23 4" xfId="28279"/>
    <cellStyle name="Entrada 2 6 24" xfId="28280"/>
    <cellStyle name="Entrada 2 6 24 2" xfId="28281"/>
    <cellStyle name="Entrada 2 6 24 2 2" xfId="28282"/>
    <cellStyle name="Entrada 2 6 24 3" xfId="28283"/>
    <cellStyle name="Entrada 2 6 24 3 2" xfId="28284"/>
    <cellStyle name="Entrada 2 6 24 4" xfId="28285"/>
    <cellStyle name="Entrada 2 6 25" xfId="28286"/>
    <cellStyle name="Entrada 2 6 25 2" xfId="28287"/>
    <cellStyle name="Entrada 2 6 25 2 2" xfId="28288"/>
    <cellStyle name="Entrada 2 6 25 3" xfId="28289"/>
    <cellStyle name="Entrada 2 6 25 3 2" xfId="28290"/>
    <cellStyle name="Entrada 2 6 25 4" xfId="28291"/>
    <cellStyle name="Entrada 2 6 26" xfId="28292"/>
    <cellStyle name="Entrada 2 6 26 2" xfId="28293"/>
    <cellStyle name="Entrada 2 6 26 2 2" xfId="28294"/>
    <cellStyle name="Entrada 2 6 26 3" xfId="28295"/>
    <cellStyle name="Entrada 2 6 26 3 2" xfId="28296"/>
    <cellStyle name="Entrada 2 6 26 4" xfId="28297"/>
    <cellStyle name="Entrada 2 6 27" xfId="28298"/>
    <cellStyle name="Entrada 2 6 27 2" xfId="28299"/>
    <cellStyle name="Entrada 2 6 27 2 2" xfId="28300"/>
    <cellStyle name="Entrada 2 6 27 3" xfId="28301"/>
    <cellStyle name="Entrada 2 6 27 3 2" xfId="28302"/>
    <cellStyle name="Entrada 2 6 27 4" xfId="28303"/>
    <cellStyle name="Entrada 2 6 28" xfId="28304"/>
    <cellStyle name="Entrada 2 6 28 2" xfId="28305"/>
    <cellStyle name="Entrada 2 6 28 2 2" xfId="28306"/>
    <cellStyle name="Entrada 2 6 28 3" xfId="28307"/>
    <cellStyle name="Entrada 2 6 28 3 2" xfId="28308"/>
    <cellStyle name="Entrada 2 6 28 4" xfId="28309"/>
    <cellStyle name="Entrada 2 6 29" xfId="28310"/>
    <cellStyle name="Entrada 2 6 29 2" xfId="28311"/>
    <cellStyle name="Entrada 2 6 29 2 2" xfId="28312"/>
    <cellStyle name="Entrada 2 6 29 3" xfId="28313"/>
    <cellStyle name="Entrada 2 6 29 3 2" xfId="28314"/>
    <cellStyle name="Entrada 2 6 29 4" xfId="28315"/>
    <cellStyle name="Entrada 2 6 3" xfId="28316"/>
    <cellStyle name="Entrada 2 6 3 2" xfId="28317"/>
    <cellStyle name="Entrada 2 6 3 2 2" xfId="28318"/>
    <cellStyle name="Entrada 2 6 3 3" xfId="28319"/>
    <cellStyle name="Entrada 2 6 3 3 2" xfId="28320"/>
    <cellStyle name="Entrada 2 6 3 4" xfId="28321"/>
    <cellStyle name="Entrada 2 6 30" xfId="28322"/>
    <cellStyle name="Entrada 2 6 30 2" xfId="28323"/>
    <cellStyle name="Entrada 2 6 30 2 2" xfId="28324"/>
    <cellStyle name="Entrada 2 6 30 3" xfId="28325"/>
    <cellStyle name="Entrada 2 6 30 3 2" xfId="28326"/>
    <cellStyle name="Entrada 2 6 30 4" xfId="28327"/>
    <cellStyle name="Entrada 2 6 31" xfId="28328"/>
    <cellStyle name="Entrada 2 6 31 2" xfId="28329"/>
    <cellStyle name="Entrada 2 6 31 2 2" xfId="28330"/>
    <cellStyle name="Entrada 2 6 31 3" xfId="28331"/>
    <cellStyle name="Entrada 2 6 31 3 2" xfId="28332"/>
    <cellStyle name="Entrada 2 6 31 4" xfId="28333"/>
    <cellStyle name="Entrada 2 6 32" xfId="28334"/>
    <cellStyle name="Entrada 2 6 32 2" xfId="28335"/>
    <cellStyle name="Entrada 2 6 32 2 2" xfId="28336"/>
    <cellStyle name="Entrada 2 6 32 3" xfId="28337"/>
    <cellStyle name="Entrada 2 6 32 3 2" xfId="28338"/>
    <cellStyle name="Entrada 2 6 32 4" xfId="28339"/>
    <cellStyle name="Entrada 2 6 33" xfId="28340"/>
    <cellStyle name="Entrada 2 6 33 2" xfId="28341"/>
    <cellStyle name="Entrada 2 6 33 2 2" xfId="28342"/>
    <cellStyle name="Entrada 2 6 33 3" xfId="28343"/>
    <cellStyle name="Entrada 2 6 33 3 2" xfId="28344"/>
    <cellStyle name="Entrada 2 6 33 4" xfId="28345"/>
    <cellStyle name="Entrada 2 6 34" xfId="28346"/>
    <cellStyle name="Entrada 2 6 34 2" xfId="28347"/>
    <cellStyle name="Entrada 2 6 34 2 2" xfId="28348"/>
    <cellStyle name="Entrada 2 6 34 3" xfId="28349"/>
    <cellStyle name="Entrada 2 6 34 3 2" xfId="28350"/>
    <cellStyle name="Entrada 2 6 34 4" xfId="28351"/>
    <cellStyle name="Entrada 2 6 35" xfId="28352"/>
    <cellStyle name="Entrada 2 6 35 2" xfId="28353"/>
    <cellStyle name="Entrada 2 6 35 2 2" xfId="28354"/>
    <cellStyle name="Entrada 2 6 35 3" xfId="28355"/>
    <cellStyle name="Entrada 2 6 35 3 2" xfId="28356"/>
    <cellStyle name="Entrada 2 6 35 4" xfId="28357"/>
    <cellStyle name="Entrada 2 6 36" xfId="28358"/>
    <cellStyle name="Entrada 2 6 36 2" xfId="28359"/>
    <cellStyle name="Entrada 2 6 36 2 2" xfId="28360"/>
    <cellStyle name="Entrada 2 6 36 3" xfId="28361"/>
    <cellStyle name="Entrada 2 6 36 3 2" xfId="28362"/>
    <cellStyle name="Entrada 2 6 36 4" xfId="28363"/>
    <cellStyle name="Entrada 2 6 37" xfId="28364"/>
    <cellStyle name="Entrada 2 6 37 2" xfId="28365"/>
    <cellStyle name="Entrada 2 6 37 2 2" xfId="28366"/>
    <cellStyle name="Entrada 2 6 37 3" xfId="28367"/>
    <cellStyle name="Entrada 2 6 37 3 2" xfId="28368"/>
    <cellStyle name="Entrada 2 6 37 4" xfId="28369"/>
    <cellStyle name="Entrada 2 6 38" xfId="28370"/>
    <cellStyle name="Entrada 2 6 38 2" xfId="28371"/>
    <cellStyle name="Entrada 2 6 38 2 2" xfId="28372"/>
    <cellStyle name="Entrada 2 6 38 3" xfId="28373"/>
    <cellStyle name="Entrada 2 6 38 3 2" xfId="28374"/>
    <cellStyle name="Entrada 2 6 38 4" xfId="28375"/>
    <cellStyle name="Entrada 2 6 39" xfId="28376"/>
    <cellStyle name="Entrada 2 6 39 2" xfId="28377"/>
    <cellStyle name="Entrada 2 6 39 2 2" xfId="28378"/>
    <cellStyle name="Entrada 2 6 39 3" xfId="28379"/>
    <cellStyle name="Entrada 2 6 4" xfId="28380"/>
    <cellStyle name="Entrada 2 6 4 2" xfId="28381"/>
    <cellStyle name="Entrada 2 6 4 2 2" xfId="28382"/>
    <cellStyle name="Entrada 2 6 4 3" xfId="28383"/>
    <cellStyle name="Entrada 2 6 4 3 2" xfId="28384"/>
    <cellStyle name="Entrada 2 6 4 4" xfId="28385"/>
    <cellStyle name="Entrada 2 6 40" xfId="28386"/>
    <cellStyle name="Entrada 2 6 40 2" xfId="28387"/>
    <cellStyle name="Entrada 2 6 41" xfId="28388"/>
    <cellStyle name="Entrada 2 6 41 2" xfId="28389"/>
    <cellStyle name="Entrada 2 6 42" xfId="28390"/>
    <cellStyle name="Entrada 2 6 42 2" xfId="28391"/>
    <cellStyle name="Entrada 2 6 43" xfId="28392"/>
    <cellStyle name="Entrada 2 6 5" xfId="28393"/>
    <cellStyle name="Entrada 2 6 5 2" xfId="28394"/>
    <cellStyle name="Entrada 2 6 5 2 2" xfId="28395"/>
    <cellStyle name="Entrada 2 6 5 3" xfId="28396"/>
    <cellStyle name="Entrada 2 6 5 3 2" xfId="28397"/>
    <cellStyle name="Entrada 2 6 5 4" xfId="28398"/>
    <cellStyle name="Entrada 2 6 6" xfId="28399"/>
    <cellStyle name="Entrada 2 6 6 2" xfId="28400"/>
    <cellStyle name="Entrada 2 6 6 2 2" xfId="28401"/>
    <cellStyle name="Entrada 2 6 6 3" xfId="28402"/>
    <cellStyle name="Entrada 2 6 6 3 2" xfId="28403"/>
    <cellStyle name="Entrada 2 6 6 4" xfId="28404"/>
    <cellStyle name="Entrada 2 6 7" xfId="28405"/>
    <cellStyle name="Entrada 2 6 7 2" xfId="28406"/>
    <cellStyle name="Entrada 2 6 7 2 2" xfId="28407"/>
    <cellStyle name="Entrada 2 6 7 3" xfId="28408"/>
    <cellStyle name="Entrada 2 6 7 3 2" xfId="28409"/>
    <cellStyle name="Entrada 2 6 7 4" xfId="28410"/>
    <cellStyle name="Entrada 2 6 8" xfId="28411"/>
    <cellStyle name="Entrada 2 6 8 2" xfId="28412"/>
    <cellStyle name="Entrada 2 6 8 2 2" xfId="28413"/>
    <cellStyle name="Entrada 2 6 8 3" xfId="28414"/>
    <cellStyle name="Entrada 2 6 8 3 2" xfId="28415"/>
    <cellStyle name="Entrada 2 6 8 4" xfId="28416"/>
    <cellStyle name="Entrada 2 6 9" xfId="28417"/>
    <cellStyle name="Entrada 2 6 9 2" xfId="28418"/>
    <cellStyle name="Entrada 2 6 9 2 2" xfId="28419"/>
    <cellStyle name="Entrada 2 6 9 3" xfId="28420"/>
    <cellStyle name="Entrada 2 6 9 3 2" xfId="28421"/>
    <cellStyle name="Entrada 2 6 9 4" xfId="28422"/>
    <cellStyle name="Entrada 2 7" xfId="28423"/>
    <cellStyle name="Entrada 2 7 10" xfId="28424"/>
    <cellStyle name="Entrada 2 7 10 2" xfId="28425"/>
    <cellStyle name="Entrada 2 7 10 2 2" xfId="28426"/>
    <cellStyle name="Entrada 2 7 10 3" xfId="28427"/>
    <cellStyle name="Entrada 2 7 10 3 2" xfId="28428"/>
    <cellStyle name="Entrada 2 7 10 4" xfId="28429"/>
    <cellStyle name="Entrada 2 7 11" xfId="28430"/>
    <cellStyle name="Entrada 2 7 11 2" xfId="28431"/>
    <cellStyle name="Entrada 2 7 11 2 2" xfId="28432"/>
    <cellStyle name="Entrada 2 7 11 3" xfId="28433"/>
    <cellStyle name="Entrada 2 7 11 3 2" xfId="28434"/>
    <cellStyle name="Entrada 2 7 11 4" xfId="28435"/>
    <cellStyle name="Entrada 2 7 12" xfId="28436"/>
    <cellStyle name="Entrada 2 7 12 2" xfId="28437"/>
    <cellStyle name="Entrada 2 7 12 2 2" xfId="28438"/>
    <cellStyle name="Entrada 2 7 12 3" xfId="28439"/>
    <cellStyle name="Entrada 2 7 12 3 2" xfId="28440"/>
    <cellStyle name="Entrada 2 7 12 4" xfId="28441"/>
    <cellStyle name="Entrada 2 7 13" xfId="28442"/>
    <cellStyle name="Entrada 2 7 13 2" xfId="28443"/>
    <cellStyle name="Entrada 2 7 13 2 2" xfId="28444"/>
    <cellStyle name="Entrada 2 7 13 3" xfId="28445"/>
    <cellStyle name="Entrada 2 7 13 3 2" xfId="28446"/>
    <cellStyle name="Entrada 2 7 13 4" xfId="28447"/>
    <cellStyle name="Entrada 2 7 14" xfId="28448"/>
    <cellStyle name="Entrada 2 7 14 2" xfId="28449"/>
    <cellStyle name="Entrada 2 7 14 2 2" xfId="28450"/>
    <cellStyle name="Entrada 2 7 14 3" xfId="28451"/>
    <cellStyle name="Entrada 2 7 14 3 2" xfId="28452"/>
    <cellStyle name="Entrada 2 7 14 4" xfId="28453"/>
    <cellStyle name="Entrada 2 7 15" xfId="28454"/>
    <cellStyle name="Entrada 2 7 15 2" xfId="28455"/>
    <cellStyle name="Entrada 2 7 15 2 2" xfId="28456"/>
    <cellStyle name="Entrada 2 7 15 3" xfId="28457"/>
    <cellStyle name="Entrada 2 7 15 3 2" xfId="28458"/>
    <cellStyle name="Entrada 2 7 15 4" xfId="28459"/>
    <cellStyle name="Entrada 2 7 16" xfId="28460"/>
    <cellStyle name="Entrada 2 7 16 2" xfId="28461"/>
    <cellStyle name="Entrada 2 7 16 2 2" xfId="28462"/>
    <cellStyle name="Entrada 2 7 16 3" xfId="28463"/>
    <cellStyle name="Entrada 2 7 16 3 2" xfId="28464"/>
    <cellStyle name="Entrada 2 7 16 4" xfId="28465"/>
    <cellStyle name="Entrada 2 7 17" xfId="28466"/>
    <cellStyle name="Entrada 2 7 17 2" xfId="28467"/>
    <cellStyle name="Entrada 2 7 17 2 2" xfId="28468"/>
    <cellStyle name="Entrada 2 7 17 3" xfId="28469"/>
    <cellStyle name="Entrada 2 7 17 3 2" xfId="28470"/>
    <cellStyle name="Entrada 2 7 17 4" xfId="28471"/>
    <cellStyle name="Entrada 2 7 18" xfId="28472"/>
    <cellStyle name="Entrada 2 7 18 2" xfId="28473"/>
    <cellStyle name="Entrada 2 7 18 2 2" xfId="28474"/>
    <cellStyle name="Entrada 2 7 18 3" xfId="28475"/>
    <cellStyle name="Entrada 2 7 18 3 2" xfId="28476"/>
    <cellStyle name="Entrada 2 7 18 4" xfId="28477"/>
    <cellStyle name="Entrada 2 7 19" xfId="28478"/>
    <cellStyle name="Entrada 2 7 19 2" xfId="28479"/>
    <cellStyle name="Entrada 2 7 19 2 2" xfId="28480"/>
    <cellStyle name="Entrada 2 7 19 3" xfId="28481"/>
    <cellStyle name="Entrada 2 7 19 3 2" xfId="28482"/>
    <cellStyle name="Entrada 2 7 19 4" xfId="28483"/>
    <cellStyle name="Entrada 2 7 2" xfId="28484"/>
    <cellStyle name="Entrada 2 7 2 2" xfId="28485"/>
    <cellStyle name="Entrada 2 7 2 2 2" xfId="28486"/>
    <cellStyle name="Entrada 2 7 2 3" xfId="28487"/>
    <cellStyle name="Entrada 2 7 2 3 2" xfId="28488"/>
    <cellStyle name="Entrada 2 7 2 4" xfId="28489"/>
    <cellStyle name="Entrada 2 7 20" xfId="28490"/>
    <cellStyle name="Entrada 2 7 20 2" xfId="28491"/>
    <cellStyle name="Entrada 2 7 20 2 2" xfId="28492"/>
    <cellStyle name="Entrada 2 7 20 3" xfId="28493"/>
    <cellStyle name="Entrada 2 7 20 3 2" xfId="28494"/>
    <cellStyle name="Entrada 2 7 20 4" xfId="28495"/>
    <cellStyle name="Entrada 2 7 21" xfId="28496"/>
    <cellStyle name="Entrada 2 7 21 2" xfId="28497"/>
    <cellStyle name="Entrada 2 7 21 2 2" xfId="28498"/>
    <cellStyle name="Entrada 2 7 21 3" xfId="28499"/>
    <cellStyle name="Entrada 2 7 21 3 2" xfId="28500"/>
    <cellStyle name="Entrada 2 7 21 4" xfId="28501"/>
    <cellStyle name="Entrada 2 7 22" xfId="28502"/>
    <cellStyle name="Entrada 2 7 22 2" xfId="28503"/>
    <cellStyle name="Entrada 2 7 22 2 2" xfId="28504"/>
    <cellStyle name="Entrada 2 7 22 3" xfId="28505"/>
    <cellStyle name="Entrada 2 7 22 3 2" xfId="28506"/>
    <cellStyle name="Entrada 2 7 22 4" xfId="28507"/>
    <cellStyle name="Entrada 2 7 23" xfId="28508"/>
    <cellStyle name="Entrada 2 7 23 2" xfId="28509"/>
    <cellStyle name="Entrada 2 7 23 2 2" xfId="28510"/>
    <cellStyle name="Entrada 2 7 23 3" xfId="28511"/>
    <cellStyle name="Entrada 2 7 23 3 2" xfId="28512"/>
    <cellStyle name="Entrada 2 7 23 4" xfId="28513"/>
    <cellStyle name="Entrada 2 7 24" xfId="28514"/>
    <cellStyle name="Entrada 2 7 24 2" xfId="28515"/>
    <cellStyle name="Entrada 2 7 24 2 2" xfId="28516"/>
    <cellStyle name="Entrada 2 7 24 3" xfId="28517"/>
    <cellStyle name="Entrada 2 7 24 3 2" xfId="28518"/>
    <cellStyle name="Entrada 2 7 24 4" xfId="28519"/>
    <cellStyle name="Entrada 2 7 25" xfId="28520"/>
    <cellStyle name="Entrada 2 7 25 2" xfId="28521"/>
    <cellStyle name="Entrada 2 7 25 2 2" xfId="28522"/>
    <cellStyle name="Entrada 2 7 25 3" xfId="28523"/>
    <cellStyle name="Entrada 2 7 25 3 2" xfId="28524"/>
    <cellStyle name="Entrada 2 7 25 4" xfId="28525"/>
    <cellStyle name="Entrada 2 7 26" xfId="28526"/>
    <cellStyle name="Entrada 2 7 26 2" xfId="28527"/>
    <cellStyle name="Entrada 2 7 26 2 2" xfId="28528"/>
    <cellStyle name="Entrada 2 7 26 3" xfId="28529"/>
    <cellStyle name="Entrada 2 7 26 3 2" xfId="28530"/>
    <cellStyle name="Entrada 2 7 26 4" xfId="28531"/>
    <cellStyle name="Entrada 2 7 27" xfId="28532"/>
    <cellStyle name="Entrada 2 7 27 2" xfId="28533"/>
    <cellStyle name="Entrada 2 7 27 2 2" xfId="28534"/>
    <cellStyle name="Entrada 2 7 27 3" xfId="28535"/>
    <cellStyle name="Entrada 2 7 27 3 2" xfId="28536"/>
    <cellStyle name="Entrada 2 7 27 4" xfId="28537"/>
    <cellStyle name="Entrada 2 7 28" xfId="28538"/>
    <cellStyle name="Entrada 2 7 28 2" xfId="28539"/>
    <cellStyle name="Entrada 2 7 28 2 2" xfId="28540"/>
    <cellStyle name="Entrada 2 7 28 3" xfId="28541"/>
    <cellStyle name="Entrada 2 7 28 3 2" xfId="28542"/>
    <cellStyle name="Entrada 2 7 28 4" xfId="28543"/>
    <cellStyle name="Entrada 2 7 29" xfId="28544"/>
    <cellStyle name="Entrada 2 7 29 2" xfId="28545"/>
    <cellStyle name="Entrada 2 7 29 2 2" xfId="28546"/>
    <cellStyle name="Entrada 2 7 29 3" xfId="28547"/>
    <cellStyle name="Entrada 2 7 29 3 2" xfId="28548"/>
    <cellStyle name="Entrada 2 7 29 4" xfId="28549"/>
    <cellStyle name="Entrada 2 7 3" xfId="28550"/>
    <cellStyle name="Entrada 2 7 3 2" xfId="28551"/>
    <cellStyle name="Entrada 2 7 3 2 2" xfId="28552"/>
    <cellStyle name="Entrada 2 7 3 3" xfId="28553"/>
    <cellStyle name="Entrada 2 7 3 3 2" xfId="28554"/>
    <cellStyle name="Entrada 2 7 3 4" xfId="28555"/>
    <cellStyle name="Entrada 2 7 30" xfId="28556"/>
    <cellStyle name="Entrada 2 7 30 2" xfId="28557"/>
    <cellStyle name="Entrada 2 7 30 2 2" xfId="28558"/>
    <cellStyle name="Entrada 2 7 30 3" xfId="28559"/>
    <cellStyle name="Entrada 2 7 30 3 2" xfId="28560"/>
    <cellStyle name="Entrada 2 7 30 4" xfId="28561"/>
    <cellStyle name="Entrada 2 7 31" xfId="28562"/>
    <cellStyle name="Entrada 2 7 31 2" xfId="28563"/>
    <cellStyle name="Entrada 2 7 31 2 2" xfId="28564"/>
    <cellStyle name="Entrada 2 7 31 3" xfId="28565"/>
    <cellStyle name="Entrada 2 7 31 3 2" xfId="28566"/>
    <cellStyle name="Entrada 2 7 31 4" xfId="28567"/>
    <cellStyle name="Entrada 2 7 32" xfId="28568"/>
    <cellStyle name="Entrada 2 7 32 2" xfId="28569"/>
    <cellStyle name="Entrada 2 7 32 2 2" xfId="28570"/>
    <cellStyle name="Entrada 2 7 32 3" xfId="28571"/>
    <cellStyle name="Entrada 2 7 32 3 2" xfId="28572"/>
    <cellStyle name="Entrada 2 7 32 4" xfId="28573"/>
    <cellStyle name="Entrada 2 7 33" xfId="28574"/>
    <cellStyle name="Entrada 2 7 33 2" xfId="28575"/>
    <cellStyle name="Entrada 2 7 33 2 2" xfId="28576"/>
    <cellStyle name="Entrada 2 7 33 3" xfId="28577"/>
    <cellStyle name="Entrada 2 7 33 3 2" xfId="28578"/>
    <cellStyle name="Entrada 2 7 33 4" xfId="28579"/>
    <cellStyle name="Entrada 2 7 34" xfId="28580"/>
    <cellStyle name="Entrada 2 7 34 2" xfId="28581"/>
    <cellStyle name="Entrada 2 7 34 2 2" xfId="28582"/>
    <cellStyle name="Entrada 2 7 34 3" xfId="28583"/>
    <cellStyle name="Entrada 2 7 34 3 2" xfId="28584"/>
    <cellStyle name="Entrada 2 7 34 4" xfId="28585"/>
    <cellStyle name="Entrada 2 7 35" xfId="28586"/>
    <cellStyle name="Entrada 2 7 35 2" xfId="28587"/>
    <cellStyle name="Entrada 2 7 35 2 2" xfId="28588"/>
    <cellStyle name="Entrada 2 7 35 3" xfId="28589"/>
    <cellStyle name="Entrada 2 7 35 3 2" xfId="28590"/>
    <cellStyle name="Entrada 2 7 35 4" xfId="28591"/>
    <cellStyle name="Entrada 2 7 36" xfId="28592"/>
    <cellStyle name="Entrada 2 7 36 2" xfId="28593"/>
    <cellStyle name="Entrada 2 7 36 2 2" xfId="28594"/>
    <cellStyle name="Entrada 2 7 36 3" xfId="28595"/>
    <cellStyle name="Entrada 2 7 36 3 2" xfId="28596"/>
    <cellStyle name="Entrada 2 7 36 4" xfId="28597"/>
    <cellStyle name="Entrada 2 7 37" xfId="28598"/>
    <cellStyle name="Entrada 2 7 37 2" xfId="28599"/>
    <cellStyle name="Entrada 2 7 37 2 2" xfId="28600"/>
    <cellStyle name="Entrada 2 7 37 3" xfId="28601"/>
    <cellStyle name="Entrada 2 7 37 3 2" xfId="28602"/>
    <cellStyle name="Entrada 2 7 37 4" xfId="28603"/>
    <cellStyle name="Entrada 2 7 38" xfId="28604"/>
    <cellStyle name="Entrada 2 7 38 2" xfId="28605"/>
    <cellStyle name="Entrada 2 7 38 2 2" xfId="28606"/>
    <cellStyle name="Entrada 2 7 38 3" xfId="28607"/>
    <cellStyle name="Entrada 2 7 38 3 2" xfId="28608"/>
    <cellStyle name="Entrada 2 7 38 4" xfId="28609"/>
    <cellStyle name="Entrada 2 7 39" xfId="28610"/>
    <cellStyle name="Entrada 2 7 39 2" xfId="28611"/>
    <cellStyle name="Entrada 2 7 39 2 2" xfId="28612"/>
    <cellStyle name="Entrada 2 7 39 3" xfId="28613"/>
    <cellStyle name="Entrada 2 7 39 3 2" xfId="28614"/>
    <cellStyle name="Entrada 2 7 39 4" xfId="28615"/>
    <cellStyle name="Entrada 2 7 4" xfId="28616"/>
    <cellStyle name="Entrada 2 7 4 2" xfId="28617"/>
    <cellStyle name="Entrada 2 7 4 2 2" xfId="28618"/>
    <cellStyle name="Entrada 2 7 4 3" xfId="28619"/>
    <cellStyle name="Entrada 2 7 4 3 2" xfId="28620"/>
    <cellStyle name="Entrada 2 7 4 4" xfId="28621"/>
    <cellStyle name="Entrada 2 7 40" xfId="28622"/>
    <cellStyle name="Entrada 2 7 40 2" xfId="28623"/>
    <cellStyle name="Entrada 2 7 40 2 2" xfId="28624"/>
    <cellStyle name="Entrada 2 7 40 3" xfId="28625"/>
    <cellStyle name="Entrada 2 7 41" xfId="28626"/>
    <cellStyle name="Entrada 2 7 41 2" xfId="28627"/>
    <cellStyle name="Entrada 2 7 42" xfId="28628"/>
    <cellStyle name="Entrada 2 7 42 2" xfId="28629"/>
    <cellStyle name="Entrada 2 7 43" xfId="28630"/>
    <cellStyle name="Entrada 2 7 5" xfId="28631"/>
    <cellStyle name="Entrada 2 7 5 2" xfId="28632"/>
    <cellStyle name="Entrada 2 7 5 2 2" xfId="28633"/>
    <cellStyle name="Entrada 2 7 5 3" xfId="28634"/>
    <cellStyle name="Entrada 2 7 5 3 2" xfId="28635"/>
    <cellStyle name="Entrada 2 7 5 4" xfId="28636"/>
    <cellStyle name="Entrada 2 7 6" xfId="28637"/>
    <cellStyle name="Entrada 2 7 6 2" xfId="28638"/>
    <cellStyle name="Entrada 2 7 6 2 2" xfId="28639"/>
    <cellStyle name="Entrada 2 7 6 3" xfId="28640"/>
    <cellStyle name="Entrada 2 7 6 3 2" xfId="28641"/>
    <cellStyle name="Entrada 2 7 6 4" xfId="28642"/>
    <cellStyle name="Entrada 2 7 7" xfId="28643"/>
    <cellStyle name="Entrada 2 7 7 2" xfId="28644"/>
    <cellStyle name="Entrada 2 7 7 2 2" xfId="28645"/>
    <cellStyle name="Entrada 2 7 7 3" xfId="28646"/>
    <cellStyle name="Entrada 2 7 7 3 2" xfId="28647"/>
    <cellStyle name="Entrada 2 7 7 4" xfId="28648"/>
    <cellStyle name="Entrada 2 7 8" xfId="28649"/>
    <cellStyle name="Entrada 2 7 8 2" xfId="28650"/>
    <cellStyle name="Entrada 2 7 8 2 2" xfId="28651"/>
    <cellStyle name="Entrada 2 7 8 3" xfId="28652"/>
    <cellStyle name="Entrada 2 7 8 3 2" xfId="28653"/>
    <cellStyle name="Entrada 2 7 8 4" xfId="28654"/>
    <cellStyle name="Entrada 2 7 9" xfId="28655"/>
    <cellStyle name="Entrada 2 7 9 2" xfId="28656"/>
    <cellStyle name="Entrada 2 7 9 2 2" xfId="28657"/>
    <cellStyle name="Entrada 2 7 9 3" xfId="28658"/>
    <cellStyle name="Entrada 2 7 9 3 2" xfId="28659"/>
    <cellStyle name="Entrada 2 7 9 4" xfId="28660"/>
    <cellStyle name="Entrada 2 8" xfId="28661"/>
    <cellStyle name="Entrada 2 8 10" xfId="28662"/>
    <cellStyle name="Entrada 2 8 10 2" xfId="28663"/>
    <cellStyle name="Entrada 2 8 10 2 2" xfId="28664"/>
    <cellStyle name="Entrada 2 8 10 3" xfId="28665"/>
    <cellStyle name="Entrada 2 8 10 3 2" xfId="28666"/>
    <cellStyle name="Entrada 2 8 10 4" xfId="28667"/>
    <cellStyle name="Entrada 2 8 11" xfId="28668"/>
    <cellStyle name="Entrada 2 8 11 2" xfId="28669"/>
    <cellStyle name="Entrada 2 8 11 2 2" xfId="28670"/>
    <cellStyle name="Entrada 2 8 11 3" xfId="28671"/>
    <cellStyle name="Entrada 2 8 11 3 2" xfId="28672"/>
    <cellStyle name="Entrada 2 8 11 4" xfId="28673"/>
    <cellStyle name="Entrada 2 8 12" xfId="28674"/>
    <cellStyle name="Entrada 2 8 12 2" xfId="28675"/>
    <cellStyle name="Entrada 2 8 12 2 2" xfId="28676"/>
    <cellStyle name="Entrada 2 8 12 3" xfId="28677"/>
    <cellStyle name="Entrada 2 8 12 3 2" xfId="28678"/>
    <cellStyle name="Entrada 2 8 12 4" xfId="28679"/>
    <cellStyle name="Entrada 2 8 13" xfId="28680"/>
    <cellStyle name="Entrada 2 8 13 2" xfId="28681"/>
    <cellStyle name="Entrada 2 8 13 2 2" xfId="28682"/>
    <cellStyle name="Entrada 2 8 13 3" xfId="28683"/>
    <cellStyle name="Entrada 2 8 13 3 2" xfId="28684"/>
    <cellStyle name="Entrada 2 8 13 4" xfId="28685"/>
    <cellStyle name="Entrada 2 8 14" xfId="28686"/>
    <cellStyle name="Entrada 2 8 14 2" xfId="28687"/>
    <cellStyle name="Entrada 2 8 14 2 2" xfId="28688"/>
    <cellStyle name="Entrada 2 8 14 3" xfId="28689"/>
    <cellStyle name="Entrada 2 8 14 3 2" xfId="28690"/>
    <cellStyle name="Entrada 2 8 14 4" xfId="28691"/>
    <cellStyle name="Entrada 2 8 15" xfId="28692"/>
    <cellStyle name="Entrada 2 8 15 2" xfId="28693"/>
    <cellStyle name="Entrada 2 8 15 2 2" xfId="28694"/>
    <cellStyle name="Entrada 2 8 15 3" xfId="28695"/>
    <cellStyle name="Entrada 2 8 15 3 2" xfId="28696"/>
    <cellStyle name="Entrada 2 8 15 4" xfId="28697"/>
    <cellStyle name="Entrada 2 8 16" xfId="28698"/>
    <cellStyle name="Entrada 2 8 16 2" xfId="28699"/>
    <cellStyle name="Entrada 2 8 16 2 2" xfId="28700"/>
    <cellStyle name="Entrada 2 8 16 3" xfId="28701"/>
    <cellStyle name="Entrada 2 8 16 3 2" xfId="28702"/>
    <cellStyle name="Entrada 2 8 16 4" xfId="28703"/>
    <cellStyle name="Entrada 2 8 17" xfId="28704"/>
    <cellStyle name="Entrada 2 8 17 2" xfId="28705"/>
    <cellStyle name="Entrada 2 8 17 2 2" xfId="28706"/>
    <cellStyle name="Entrada 2 8 17 3" xfId="28707"/>
    <cellStyle name="Entrada 2 8 17 3 2" xfId="28708"/>
    <cellStyle name="Entrada 2 8 17 4" xfId="28709"/>
    <cellStyle name="Entrada 2 8 18" xfId="28710"/>
    <cellStyle name="Entrada 2 8 18 2" xfId="28711"/>
    <cellStyle name="Entrada 2 8 18 2 2" xfId="28712"/>
    <cellStyle name="Entrada 2 8 18 3" xfId="28713"/>
    <cellStyle name="Entrada 2 8 18 3 2" xfId="28714"/>
    <cellStyle name="Entrada 2 8 18 4" xfId="28715"/>
    <cellStyle name="Entrada 2 8 19" xfId="28716"/>
    <cellStyle name="Entrada 2 8 19 2" xfId="28717"/>
    <cellStyle name="Entrada 2 8 19 2 2" xfId="28718"/>
    <cellStyle name="Entrada 2 8 19 3" xfId="28719"/>
    <cellStyle name="Entrada 2 8 19 3 2" xfId="28720"/>
    <cellStyle name="Entrada 2 8 19 4" xfId="28721"/>
    <cellStyle name="Entrada 2 8 2" xfId="28722"/>
    <cellStyle name="Entrada 2 8 2 2" xfId="28723"/>
    <cellStyle name="Entrada 2 8 2 2 2" xfId="28724"/>
    <cellStyle name="Entrada 2 8 2 3" xfId="28725"/>
    <cellStyle name="Entrada 2 8 2 3 2" xfId="28726"/>
    <cellStyle name="Entrada 2 8 2 4" xfId="28727"/>
    <cellStyle name="Entrada 2 8 20" xfId="28728"/>
    <cellStyle name="Entrada 2 8 20 2" xfId="28729"/>
    <cellStyle name="Entrada 2 8 20 2 2" xfId="28730"/>
    <cellStyle name="Entrada 2 8 20 3" xfId="28731"/>
    <cellStyle name="Entrada 2 8 20 3 2" xfId="28732"/>
    <cellStyle name="Entrada 2 8 20 4" xfId="28733"/>
    <cellStyle name="Entrada 2 8 21" xfId="28734"/>
    <cellStyle name="Entrada 2 8 21 2" xfId="28735"/>
    <cellStyle name="Entrada 2 8 21 2 2" xfId="28736"/>
    <cellStyle name="Entrada 2 8 21 3" xfId="28737"/>
    <cellStyle name="Entrada 2 8 21 3 2" xfId="28738"/>
    <cellStyle name="Entrada 2 8 21 4" xfId="28739"/>
    <cellStyle name="Entrada 2 8 22" xfId="28740"/>
    <cellStyle name="Entrada 2 8 22 2" xfId="28741"/>
    <cellStyle name="Entrada 2 8 22 2 2" xfId="28742"/>
    <cellStyle name="Entrada 2 8 22 3" xfId="28743"/>
    <cellStyle name="Entrada 2 8 22 3 2" xfId="28744"/>
    <cellStyle name="Entrada 2 8 22 4" xfId="28745"/>
    <cellStyle name="Entrada 2 8 23" xfId="28746"/>
    <cellStyle name="Entrada 2 8 23 2" xfId="28747"/>
    <cellStyle name="Entrada 2 8 23 2 2" xfId="28748"/>
    <cellStyle name="Entrada 2 8 23 3" xfId="28749"/>
    <cellStyle name="Entrada 2 8 23 3 2" xfId="28750"/>
    <cellStyle name="Entrada 2 8 23 4" xfId="28751"/>
    <cellStyle name="Entrada 2 8 24" xfId="28752"/>
    <cellStyle name="Entrada 2 8 24 2" xfId="28753"/>
    <cellStyle name="Entrada 2 8 24 2 2" xfId="28754"/>
    <cellStyle name="Entrada 2 8 24 3" xfId="28755"/>
    <cellStyle name="Entrada 2 8 24 3 2" xfId="28756"/>
    <cellStyle name="Entrada 2 8 24 4" xfId="28757"/>
    <cellStyle name="Entrada 2 8 25" xfId="28758"/>
    <cellStyle name="Entrada 2 8 25 2" xfId="28759"/>
    <cellStyle name="Entrada 2 8 25 2 2" xfId="28760"/>
    <cellStyle name="Entrada 2 8 25 3" xfId="28761"/>
    <cellStyle name="Entrada 2 8 25 3 2" xfId="28762"/>
    <cellStyle name="Entrada 2 8 25 4" xfId="28763"/>
    <cellStyle name="Entrada 2 8 26" xfId="28764"/>
    <cellStyle name="Entrada 2 8 26 2" xfId="28765"/>
    <cellStyle name="Entrada 2 8 26 2 2" xfId="28766"/>
    <cellStyle name="Entrada 2 8 26 3" xfId="28767"/>
    <cellStyle name="Entrada 2 8 26 3 2" xfId="28768"/>
    <cellStyle name="Entrada 2 8 26 4" xfId="28769"/>
    <cellStyle name="Entrada 2 8 27" xfId="28770"/>
    <cellStyle name="Entrada 2 8 27 2" xfId="28771"/>
    <cellStyle name="Entrada 2 8 27 2 2" xfId="28772"/>
    <cellStyle name="Entrada 2 8 27 3" xfId="28773"/>
    <cellStyle name="Entrada 2 8 27 3 2" xfId="28774"/>
    <cellStyle name="Entrada 2 8 27 4" xfId="28775"/>
    <cellStyle name="Entrada 2 8 28" xfId="28776"/>
    <cellStyle name="Entrada 2 8 28 2" xfId="28777"/>
    <cellStyle name="Entrada 2 8 28 2 2" xfId="28778"/>
    <cellStyle name="Entrada 2 8 28 3" xfId="28779"/>
    <cellStyle name="Entrada 2 8 28 3 2" xfId="28780"/>
    <cellStyle name="Entrada 2 8 28 4" xfId="28781"/>
    <cellStyle name="Entrada 2 8 29" xfId="28782"/>
    <cellStyle name="Entrada 2 8 29 2" xfId="28783"/>
    <cellStyle name="Entrada 2 8 29 2 2" xfId="28784"/>
    <cellStyle name="Entrada 2 8 29 3" xfId="28785"/>
    <cellStyle name="Entrada 2 8 29 3 2" xfId="28786"/>
    <cellStyle name="Entrada 2 8 29 4" xfId="28787"/>
    <cellStyle name="Entrada 2 8 3" xfId="28788"/>
    <cellStyle name="Entrada 2 8 3 2" xfId="28789"/>
    <cellStyle name="Entrada 2 8 3 2 2" xfId="28790"/>
    <cellStyle name="Entrada 2 8 3 3" xfId="28791"/>
    <cellStyle name="Entrada 2 8 3 3 2" xfId="28792"/>
    <cellStyle name="Entrada 2 8 3 4" xfId="28793"/>
    <cellStyle name="Entrada 2 8 30" xfId="28794"/>
    <cellStyle name="Entrada 2 8 30 2" xfId="28795"/>
    <cellStyle name="Entrada 2 8 30 2 2" xfId="28796"/>
    <cellStyle name="Entrada 2 8 30 3" xfId="28797"/>
    <cellStyle name="Entrada 2 8 30 3 2" xfId="28798"/>
    <cellStyle name="Entrada 2 8 30 4" xfId="28799"/>
    <cellStyle name="Entrada 2 8 31" xfId="28800"/>
    <cellStyle name="Entrada 2 8 31 2" xfId="28801"/>
    <cellStyle name="Entrada 2 8 31 2 2" xfId="28802"/>
    <cellStyle name="Entrada 2 8 31 3" xfId="28803"/>
    <cellStyle name="Entrada 2 8 31 3 2" xfId="28804"/>
    <cellStyle name="Entrada 2 8 31 4" xfId="28805"/>
    <cellStyle name="Entrada 2 8 32" xfId="28806"/>
    <cellStyle name="Entrada 2 8 32 2" xfId="28807"/>
    <cellStyle name="Entrada 2 8 32 2 2" xfId="28808"/>
    <cellStyle name="Entrada 2 8 32 3" xfId="28809"/>
    <cellStyle name="Entrada 2 8 32 3 2" xfId="28810"/>
    <cellStyle name="Entrada 2 8 32 4" xfId="28811"/>
    <cellStyle name="Entrada 2 8 33" xfId="28812"/>
    <cellStyle name="Entrada 2 8 33 2" xfId="28813"/>
    <cellStyle name="Entrada 2 8 33 2 2" xfId="28814"/>
    <cellStyle name="Entrada 2 8 33 3" xfId="28815"/>
    <cellStyle name="Entrada 2 8 33 3 2" xfId="28816"/>
    <cellStyle name="Entrada 2 8 33 4" xfId="28817"/>
    <cellStyle name="Entrada 2 8 34" xfId="28818"/>
    <cellStyle name="Entrada 2 8 34 2" xfId="28819"/>
    <cellStyle name="Entrada 2 8 34 2 2" xfId="28820"/>
    <cellStyle name="Entrada 2 8 34 3" xfId="28821"/>
    <cellStyle name="Entrada 2 8 34 3 2" xfId="28822"/>
    <cellStyle name="Entrada 2 8 34 4" xfId="28823"/>
    <cellStyle name="Entrada 2 8 35" xfId="28824"/>
    <cellStyle name="Entrada 2 8 35 2" xfId="28825"/>
    <cellStyle name="Entrada 2 8 35 2 2" xfId="28826"/>
    <cellStyle name="Entrada 2 8 35 3" xfId="28827"/>
    <cellStyle name="Entrada 2 8 35 3 2" xfId="28828"/>
    <cellStyle name="Entrada 2 8 35 4" xfId="28829"/>
    <cellStyle name="Entrada 2 8 36" xfId="28830"/>
    <cellStyle name="Entrada 2 8 36 2" xfId="28831"/>
    <cellStyle name="Entrada 2 8 36 2 2" xfId="28832"/>
    <cellStyle name="Entrada 2 8 36 3" xfId="28833"/>
    <cellStyle name="Entrada 2 8 36 3 2" xfId="28834"/>
    <cellStyle name="Entrada 2 8 36 4" xfId="28835"/>
    <cellStyle name="Entrada 2 8 37" xfId="28836"/>
    <cellStyle name="Entrada 2 8 37 2" xfId="28837"/>
    <cellStyle name="Entrada 2 8 37 2 2" xfId="28838"/>
    <cellStyle name="Entrada 2 8 37 3" xfId="28839"/>
    <cellStyle name="Entrada 2 8 37 3 2" xfId="28840"/>
    <cellStyle name="Entrada 2 8 37 4" xfId="28841"/>
    <cellStyle name="Entrada 2 8 38" xfId="28842"/>
    <cellStyle name="Entrada 2 8 38 2" xfId="28843"/>
    <cellStyle name="Entrada 2 8 38 2 2" xfId="28844"/>
    <cellStyle name="Entrada 2 8 38 3" xfId="28845"/>
    <cellStyle name="Entrada 2 8 38 3 2" xfId="28846"/>
    <cellStyle name="Entrada 2 8 38 4" xfId="28847"/>
    <cellStyle name="Entrada 2 8 39" xfId="28848"/>
    <cellStyle name="Entrada 2 8 39 2" xfId="28849"/>
    <cellStyle name="Entrada 2 8 39 2 2" xfId="28850"/>
    <cellStyle name="Entrada 2 8 39 3" xfId="28851"/>
    <cellStyle name="Entrada 2 8 39 3 2" xfId="28852"/>
    <cellStyle name="Entrada 2 8 39 4" xfId="28853"/>
    <cellStyle name="Entrada 2 8 4" xfId="28854"/>
    <cellStyle name="Entrada 2 8 4 2" xfId="28855"/>
    <cellStyle name="Entrada 2 8 4 2 2" xfId="28856"/>
    <cellStyle name="Entrada 2 8 4 3" xfId="28857"/>
    <cellStyle name="Entrada 2 8 4 3 2" xfId="28858"/>
    <cellStyle name="Entrada 2 8 4 4" xfId="28859"/>
    <cellStyle name="Entrada 2 8 40" xfId="28860"/>
    <cellStyle name="Entrada 2 8 40 2" xfId="28861"/>
    <cellStyle name="Entrada 2 8 40 2 2" xfId="28862"/>
    <cellStyle name="Entrada 2 8 40 3" xfId="28863"/>
    <cellStyle name="Entrada 2 8 40 3 2" xfId="28864"/>
    <cellStyle name="Entrada 2 8 40 4" xfId="28865"/>
    <cellStyle name="Entrada 2 8 41" xfId="28866"/>
    <cellStyle name="Entrada 2 8 41 2" xfId="28867"/>
    <cellStyle name="Entrada 2 8 41 2 2" xfId="28868"/>
    <cellStyle name="Entrada 2 8 41 3" xfId="28869"/>
    <cellStyle name="Entrada 2 8 41 3 2" xfId="28870"/>
    <cellStyle name="Entrada 2 8 41 4" xfId="28871"/>
    <cellStyle name="Entrada 2 8 42" xfId="28872"/>
    <cellStyle name="Entrada 2 8 42 2" xfId="28873"/>
    <cellStyle name="Entrada 2 8 42 2 2" xfId="28874"/>
    <cellStyle name="Entrada 2 8 42 3" xfId="28875"/>
    <cellStyle name="Entrada 2 8 43" xfId="28876"/>
    <cellStyle name="Entrada 2 8 43 2" xfId="28877"/>
    <cellStyle name="Entrada 2 8 44" xfId="28878"/>
    <cellStyle name="Entrada 2 8 5" xfId="28879"/>
    <cellStyle name="Entrada 2 8 5 2" xfId="28880"/>
    <cellStyle name="Entrada 2 8 5 2 2" xfId="28881"/>
    <cellStyle name="Entrada 2 8 5 3" xfId="28882"/>
    <cellStyle name="Entrada 2 8 5 3 2" xfId="28883"/>
    <cellStyle name="Entrada 2 8 5 4" xfId="28884"/>
    <cellStyle name="Entrada 2 8 6" xfId="28885"/>
    <cellStyle name="Entrada 2 8 6 2" xfId="28886"/>
    <cellStyle name="Entrada 2 8 6 2 2" xfId="28887"/>
    <cellStyle name="Entrada 2 8 6 3" xfId="28888"/>
    <cellStyle name="Entrada 2 8 6 3 2" xfId="28889"/>
    <cellStyle name="Entrada 2 8 6 4" xfId="28890"/>
    <cellStyle name="Entrada 2 8 7" xfId="28891"/>
    <cellStyle name="Entrada 2 8 7 2" xfId="28892"/>
    <cellStyle name="Entrada 2 8 7 2 2" xfId="28893"/>
    <cellStyle name="Entrada 2 8 7 3" xfId="28894"/>
    <cellStyle name="Entrada 2 8 7 3 2" xfId="28895"/>
    <cellStyle name="Entrada 2 8 7 4" xfId="28896"/>
    <cellStyle name="Entrada 2 8 8" xfId="28897"/>
    <cellStyle name="Entrada 2 8 8 2" xfId="28898"/>
    <cellStyle name="Entrada 2 8 8 2 2" xfId="28899"/>
    <cellStyle name="Entrada 2 8 8 3" xfId="28900"/>
    <cellStyle name="Entrada 2 8 8 3 2" xfId="28901"/>
    <cellStyle name="Entrada 2 8 8 4" xfId="28902"/>
    <cellStyle name="Entrada 2 8 9" xfId="28903"/>
    <cellStyle name="Entrada 2 8 9 2" xfId="28904"/>
    <cellStyle name="Entrada 2 8 9 2 2" xfId="28905"/>
    <cellStyle name="Entrada 2 8 9 3" xfId="28906"/>
    <cellStyle name="Entrada 2 8 9 3 2" xfId="28907"/>
    <cellStyle name="Entrada 2 8 9 4" xfId="28908"/>
    <cellStyle name="Entrada 2 9" xfId="28909"/>
    <cellStyle name="Entrada 2 9 2" xfId="28910"/>
    <cellStyle name="Entrada 2 9 2 2" xfId="28911"/>
    <cellStyle name="Entrada 2 9 3" xfId="28912"/>
    <cellStyle name="Entrada 2 9 3 2" xfId="28913"/>
    <cellStyle name="Entrada 2 9 4" xfId="28914"/>
    <cellStyle name="Entrada 3" xfId="28915"/>
    <cellStyle name="Entrada 3 2" xfId="28916"/>
    <cellStyle name="Entrada 3 2 2" xfId="28917"/>
    <cellStyle name="Entrada 3 2 2 2" xfId="28918"/>
    <cellStyle name="Entrada 3 2 2 2 2" xfId="28919"/>
    <cellStyle name="Entrada 3 2 2 3" xfId="28920"/>
    <cellStyle name="Entrada 3 2 3" xfId="28921"/>
    <cellStyle name="Entrada 3 3" xfId="28922"/>
    <cellStyle name="Entrada 3 3 2" xfId="28923"/>
    <cellStyle name="Entrada 3 3 2 2" xfId="28924"/>
    <cellStyle name="Entrada 3 3 3" xfId="28925"/>
    <cellStyle name="Entrada 3 4" xfId="28926"/>
    <cellStyle name="Entrada 4" xfId="28927"/>
    <cellStyle name="Entrada 4 2" xfId="28928"/>
    <cellStyle name="Entrada 4 2 2" xfId="28929"/>
    <cellStyle name="Entrada 4 2 2 2" xfId="28930"/>
    <cellStyle name="Entrada 4 2 2 2 2" xfId="28931"/>
    <cellStyle name="Entrada 4 2 2 3" xfId="28932"/>
    <cellStyle name="Entrada 4 2 3" xfId="28933"/>
    <cellStyle name="Entrada 4 3" xfId="28934"/>
    <cellStyle name="Entrada 4 3 2" xfId="28935"/>
    <cellStyle name="Entrada 4 3 2 2" xfId="28936"/>
    <cellStyle name="Entrada 4 3 3" xfId="28937"/>
    <cellStyle name="Entrada 4 4" xfId="28938"/>
    <cellStyle name="Entrada 5" xfId="28939"/>
    <cellStyle name="Entrada 5 2" xfId="28940"/>
    <cellStyle name="Entrada 5 2 2" xfId="28941"/>
    <cellStyle name="Entrada 5 2 2 2" xfId="28942"/>
    <cellStyle name="Entrada 5 2 2 2 2" xfId="28943"/>
    <cellStyle name="Entrada 5 2 2 3" xfId="28944"/>
    <cellStyle name="Entrada 5 2 3" xfId="28945"/>
    <cellStyle name="Entrada 5 3" xfId="28946"/>
    <cellStyle name="Entrada 5 3 2" xfId="28947"/>
    <cellStyle name="Entrada 5 3 2 2" xfId="28948"/>
    <cellStyle name="Entrada 5 3 3" xfId="28949"/>
    <cellStyle name="Entrada 5 4" xfId="28950"/>
    <cellStyle name="Entrada 6" xfId="28951"/>
    <cellStyle name="Entrada 6 2" xfId="28952"/>
    <cellStyle name="Entrada 6 2 2" xfId="28953"/>
    <cellStyle name="Entrada 6 2 2 2" xfId="28954"/>
    <cellStyle name="Entrada 6 2 2 2 2" xfId="28955"/>
    <cellStyle name="Entrada 6 2 2 3" xfId="28956"/>
    <cellStyle name="Entrada 6 2 3" xfId="28957"/>
    <cellStyle name="Entrada 6 3" xfId="28958"/>
    <cellStyle name="Entrada 6 3 2" xfId="28959"/>
    <cellStyle name="Entrada 6 3 2 2" xfId="28960"/>
    <cellStyle name="Entrada 6 3 3" xfId="28961"/>
    <cellStyle name="Entrada 6 4" xfId="28962"/>
    <cellStyle name="Entrada 7" xfId="28963"/>
    <cellStyle name="Entrada 7 2" xfId="28964"/>
    <cellStyle name="Entrada 7 2 2" xfId="28965"/>
    <cellStyle name="Entrada 7 2 2 2" xfId="28966"/>
    <cellStyle name="Entrada 7 2 2 2 2" xfId="28967"/>
    <cellStyle name="Entrada 7 2 2 3" xfId="28968"/>
    <cellStyle name="Entrada 7 2 3" xfId="28969"/>
    <cellStyle name="Entrada 7 3" xfId="28970"/>
    <cellStyle name="Entrada 7 3 2" xfId="28971"/>
    <cellStyle name="Entrada 7 3 2 2" xfId="28972"/>
    <cellStyle name="Entrada 7 3 3" xfId="28973"/>
    <cellStyle name="Entrada 7 4" xfId="28974"/>
    <cellStyle name="Entrada 7_BD RECARGA" xfId="28975"/>
    <cellStyle name="Entrada 8" xfId="28976"/>
    <cellStyle name="Entrada 8 2" xfId="28977"/>
    <cellStyle name="Entrada 8 2 2" xfId="28978"/>
    <cellStyle name="Entrada 8 2 2 2" xfId="28979"/>
    <cellStyle name="Entrada 8 2 2 2 2" xfId="28980"/>
    <cellStyle name="Entrada 8 2 2 3" xfId="28981"/>
    <cellStyle name="Entrada 8 2 3" xfId="28982"/>
    <cellStyle name="Entrada 8 3" xfId="28983"/>
    <cellStyle name="Entrada 8 3 2" xfId="28984"/>
    <cellStyle name="Entrada 8 3 2 2" xfId="28985"/>
    <cellStyle name="Entrada 8 3 3" xfId="28986"/>
    <cellStyle name="Entrada 8 4" xfId="28987"/>
    <cellStyle name="Entrada 8_BD RECARGA" xfId="28988"/>
    <cellStyle name="Entrada 9" xfId="28989"/>
    <cellStyle name="Entrada 9 2" xfId="28990"/>
    <cellStyle name="Entrada 9 2 2" xfId="28991"/>
    <cellStyle name="Entrada 9 2 2 2" xfId="28992"/>
    <cellStyle name="Entrada 9 2 3" xfId="28993"/>
    <cellStyle name="Entrada 9 3" xfId="28994"/>
    <cellStyle name="Estilo 1" xfId="79"/>
    <cellStyle name="Estilo 1 10" xfId="28995"/>
    <cellStyle name="Estilo 1 11" xfId="28996"/>
    <cellStyle name="Estilo 1 12" xfId="28997"/>
    <cellStyle name="Estilo 1 13" xfId="28998"/>
    <cellStyle name="Estilo 1 14" xfId="28999"/>
    <cellStyle name="Estilo 1 15" xfId="29000"/>
    <cellStyle name="Estilo 1 16" xfId="29001"/>
    <cellStyle name="Estilo 1 17" xfId="29002"/>
    <cellStyle name="Estilo 1 18" xfId="29003"/>
    <cellStyle name="Estilo 1 19" xfId="29004"/>
    <cellStyle name="Estilo 1 2" xfId="29005"/>
    <cellStyle name="Estilo 1 20" xfId="29006"/>
    <cellStyle name="Estilo 1 21" xfId="29007"/>
    <cellStyle name="Estilo 1 22" xfId="29008"/>
    <cellStyle name="Estilo 1 23" xfId="29009"/>
    <cellStyle name="Estilo 1 24" xfId="29010"/>
    <cellStyle name="Estilo 1 25" xfId="29011"/>
    <cellStyle name="Estilo 1 26" xfId="29012"/>
    <cellStyle name="Estilo 1 27" xfId="29013"/>
    <cellStyle name="Estilo 1 28" xfId="29014"/>
    <cellStyle name="Estilo 1 29" xfId="29015"/>
    <cellStyle name="Estilo 1 3" xfId="29016"/>
    <cellStyle name="Estilo 1 30" xfId="29017"/>
    <cellStyle name="Estilo 1 31" xfId="29018"/>
    <cellStyle name="Estilo 1 32" xfId="29019"/>
    <cellStyle name="Estilo 1 4" xfId="29020"/>
    <cellStyle name="Estilo 1 5" xfId="29021"/>
    <cellStyle name="Estilo 1 6" xfId="29022"/>
    <cellStyle name="Estilo 1 7" xfId="29023"/>
    <cellStyle name="Estilo 1 8" xfId="29024"/>
    <cellStyle name="Estilo 1 9" xfId="29025"/>
    <cellStyle name="Estilo 1_★ 2010 MBO Target_v3" xfId="29026"/>
    <cellStyle name="Estilo 2" xfId="80"/>
    <cellStyle name="Estilo 2 2" xfId="29027"/>
    <cellStyle name="Estilo 2 3" xfId="29028"/>
    <cellStyle name="Estilo 2 4" xfId="29029"/>
    <cellStyle name="Estilo 2 5" xfId="29030"/>
    <cellStyle name="Estilo 2 6" xfId="29031"/>
    <cellStyle name="Estilo 2 7" xfId="29032"/>
    <cellStyle name="Estilo 2_BD RECARGA" xfId="29033"/>
    <cellStyle name="Estilo 3" xfId="29034"/>
    <cellStyle name="Estilo 4" xfId="29035"/>
    <cellStyle name="Euro" xfId="81"/>
    <cellStyle name="Euro 10" xfId="29036"/>
    <cellStyle name="Euro 11" xfId="29037"/>
    <cellStyle name="Euro 2" xfId="29038"/>
    <cellStyle name="Euro 3" xfId="29039"/>
    <cellStyle name="Euro 4" xfId="29040"/>
    <cellStyle name="Euro 4 2" xfId="29041"/>
    <cellStyle name="Euro 5" xfId="29042"/>
    <cellStyle name="Euro 6" xfId="29043"/>
    <cellStyle name="Euro 7" xfId="29044"/>
    <cellStyle name="Euro 8" xfId="29045"/>
    <cellStyle name="Euro 9" xfId="29046"/>
    <cellStyle name="Euro_BD RECARGA" xfId="29047"/>
    <cellStyle name="Excel_BuiltIn_Comma 1" xfId="29048"/>
    <cellStyle name="Explanatory Text" xfId="29049"/>
    <cellStyle name="Explanatory Text 2" xfId="29050"/>
    <cellStyle name="Explanatory Text 3" xfId="29051"/>
    <cellStyle name="Explanatory Text 4" xfId="29052"/>
    <cellStyle name="Explanatory Text 5" xfId="29053"/>
    <cellStyle name="Explanatory Text 6" xfId="29054"/>
    <cellStyle name="Explanatory Text 7" xfId="29055"/>
    <cellStyle name="Explanatory Text 8" xfId="29056"/>
    <cellStyle name="F2" xfId="82"/>
    <cellStyle name="F2 2" xfId="29057"/>
    <cellStyle name="F2 3" xfId="29058"/>
    <cellStyle name="F2 4" xfId="29059"/>
    <cellStyle name="F2 5" xfId="29060"/>
    <cellStyle name="F2 6" xfId="29061"/>
    <cellStyle name="F2 7" xfId="29062"/>
    <cellStyle name="F2_BD RECARGA" xfId="29063"/>
    <cellStyle name="F3" xfId="83"/>
    <cellStyle name="F3 2" xfId="29064"/>
    <cellStyle name="F3 3" xfId="29065"/>
    <cellStyle name="F3 4" xfId="29066"/>
    <cellStyle name="F3 5" xfId="29067"/>
    <cellStyle name="F3 6" xfId="29068"/>
    <cellStyle name="F3 7" xfId="29069"/>
    <cellStyle name="F3_BD RECARGA" xfId="29070"/>
    <cellStyle name="F4" xfId="84"/>
    <cellStyle name="F4 2" xfId="29071"/>
    <cellStyle name="F4 3" xfId="29072"/>
    <cellStyle name="F4 4" xfId="29073"/>
    <cellStyle name="F4 5" xfId="29074"/>
    <cellStyle name="F4 6" xfId="29075"/>
    <cellStyle name="F4 7" xfId="29076"/>
    <cellStyle name="F4_BD RECARGA" xfId="29077"/>
    <cellStyle name="F5" xfId="85"/>
    <cellStyle name="F5 2" xfId="29078"/>
    <cellStyle name="F5 3" xfId="29079"/>
    <cellStyle name="F5 4" xfId="29080"/>
    <cellStyle name="F5 5" xfId="29081"/>
    <cellStyle name="F5 6" xfId="29082"/>
    <cellStyle name="F5 7" xfId="29083"/>
    <cellStyle name="F5_BD RECARGA" xfId="29084"/>
    <cellStyle name="F6" xfId="86"/>
    <cellStyle name="F6 2" xfId="29085"/>
    <cellStyle name="F6 3" xfId="29086"/>
    <cellStyle name="F6 4" xfId="29087"/>
    <cellStyle name="F6 5" xfId="29088"/>
    <cellStyle name="F6 6" xfId="29089"/>
    <cellStyle name="F6 7" xfId="29090"/>
    <cellStyle name="F6_BD RECARGA" xfId="29091"/>
    <cellStyle name="F7" xfId="87"/>
    <cellStyle name="F7 2" xfId="29092"/>
    <cellStyle name="F7 3" xfId="29093"/>
    <cellStyle name="F7 4" xfId="29094"/>
    <cellStyle name="F7 5" xfId="29095"/>
    <cellStyle name="F7 6" xfId="29096"/>
    <cellStyle name="F7 7" xfId="29097"/>
    <cellStyle name="F7_BD RECARGA" xfId="29098"/>
    <cellStyle name="F8" xfId="88"/>
    <cellStyle name="F8 2" xfId="29099"/>
    <cellStyle name="F8 3" xfId="29100"/>
    <cellStyle name="F8 4" xfId="29101"/>
    <cellStyle name="F8 5" xfId="29102"/>
    <cellStyle name="F8 6" xfId="29103"/>
    <cellStyle name="F8 7" xfId="29104"/>
    <cellStyle name="F8_BD RECARGA" xfId="29105"/>
    <cellStyle name="Fijo" xfId="89"/>
    <cellStyle name="Fijo 2" xfId="29106"/>
    <cellStyle name="Fijo 3" xfId="29107"/>
    <cellStyle name="Fijo 4" xfId="29108"/>
    <cellStyle name="Fijo 5" xfId="29109"/>
    <cellStyle name="Fijo 6" xfId="29110"/>
    <cellStyle name="Fijo 7" xfId="29111"/>
    <cellStyle name="Fijo_BD RECARGA" xfId="29112"/>
    <cellStyle name="Finan?ní0" xfId="29113"/>
    <cellStyle name="Financiero" xfId="90"/>
    <cellStyle name="Financiero 2" xfId="29114"/>
    <cellStyle name="Financiero 3" xfId="29115"/>
    <cellStyle name="Financiero 4" xfId="29116"/>
    <cellStyle name="Financiero 5" xfId="29117"/>
    <cellStyle name="Financiero 6" xfId="29118"/>
    <cellStyle name="Financiero 7" xfId="29119"/>
    <cellStyle name="Financiero_BD RECARGA" xfId="29120"/>
    <cellStyle name="Finanční0" xfId="29121"/>
    <cellStyle name="Fixed" xfId="29122"/>
    <cellStyle name="Fixo" xfId="29123"/>
    <cellStyle name="Followed Hyperlink_PERSONAL" xfId="29124"/>
    <cellStyle name="Footnote" xfId="29125"/>
    <cellStyle name="Forecast" xfId="29126"/>
    <cellStyle name="Forecast %" xfId="29127"/>
    <cellStyle name="Formula" xfId="29128"/>
    <cellStyle name="Good" xfId="29129"/>
    <cellStyle name="Good 2" xfId="29130"/>
    <cellStyle name="Good 3" xfId="29131"/>
    <cellStyle name="Good 4" xfId="29132"/>
    <cellStyle name="Good 5" xfId="29133"/>
    <cellStyle name="Good 6" xfId="29134"/>
    <cellStyle name="Good 7" xfId="29135"/>
    <cellStyle name="Good 8" xfId="29136"/>
    <cellStyle name="Good 9" xfId="29137"/>
    <cellStyle name="Good_BD RECARGA" xfId="29138"/>
    <cellStyle name="Grey" xfId="91"/>
    <cellStyle name="Grupo" xfId="29139"/>
    <cellStyle name="Hard Percent" xfId="29140"/>
    <cellStyle name="HEADER" xfId="92"/>
    <cellStyle name="Header 2" xfId="29141"/>
    <cellStyle name="Header 3" xfId="29142"/>
    <cellStyle name="Header 4" xfId="29143"/>
    <cellStyle name="Header 5" xfId="29144"/>
    <cellStyle name="Header 6" xfId="29145"/>
    <cellStyle name="Header 7" xfId="29146"/>
    <cellStyle name="Header_BD RECARGA" xfId="29147"/>
    <cellStyle name="Header1" xfId="93"/>
    <cellStyle name="Header1 2" xfId="29148"/>
    <cellStyle name="Header2" xfId="94"/>
    <cellStyle name="Header2 2" xfId="95"/>
    <cellStyle name="Header2 2 2" xfId="29149"/>
    <cellStyle name="Header2 2 2 2" xfId="29150"/>
    <cellStyle name="Header2 2 2 3" xfId="29151"/>
    <cellStyle name="Header2 2 3" xfId="29152"/>
    <cellStyle name="Header2 2 4" xfId="29153"/>
    <cellStyle name="Header2 2 5" xfId="29154"/>
    <cellStyle name="Header2 3" xfId="29155"/>
    <cellStyle name="Header2 3 2" xfId="29156"/>
    <cellStyle name="Header2 3 2 2" xfId="29157"/>
    <cellStyle name="Header2 3 2 3" xfId="29158"/>
    <cellStyle name="Header2 3 3" xfId="29159"/>
    <cellStyle name="Header2 3 4" xfId="29160"/>
    <cellStyle name="Header2 4" xfId="29161"/>
    <cellStyle name="Header2 4 2" xfId="29162"/>
    <cellStyle name="Header2 4 3" xfId="29163"/>
    <cellStyle name="Header2 5" xfId="29164"/>
    <cellStyle name="Header2 6" xfId="29165"/>
    <cellStyle name="Header2 7" xfId="29166"/>
    <cellStyle name="Headers" xfId="29167"/>
    <cellStyle name="Heading" xfId="29168"/>
    <cellStyle name="Heading 1" xfId="29169"/>
    <cellStyle name="Heading 1 2" xfId="29170"/>
    <cellStyle name="Heading 1 3" xfId="29171"/>
    <cellStyle name="Heading 1 4" xfId="29172"/>
    <cellStyle name="Heading 2" xfId="29173"/>
    <cellStyle name="Heading 2 2" xfId="29174"/>
    <cellStyle name="Heading 2 3" xfId="29175"/>
    <cellStyle name="Heading 2 4" xfId="29176"/>
    <cellStyle name="Heading 3" xfId="29177"/>
    <cellStyle name="Heading 3 2" xfId="29178"/>
    <cellStyle name="Heading 3 3" xfId="29179"/>
    <cellStyle name="Heading 3 4" xfId="29180"/>
    <cellStyle name="Heading 4" xfId="29181"/>
    <cellStyle name="Heading 4 2" xfId="29182"/>
    <cellStyle name="Heading 4 3" xfId="29183"/>
    <cellStyle name="Heading 4 4" xfId="29184"/>
    <cellStyle name="Heading1" xfId="29185"/>
    <cellStyle name="Heading2" xfId="29186"/>
    <cellStyle name="Heading2 2" xfId="29187"/>
    <cellStyle name="Heading2 2 2" xfId="29188"/>
    <cellStyle name="Heading2 3" xfId="29189"/>
    <cellStyle name="Hidden" xfId="29190"/>
    <cellStyle name="Hidden 2" xfId="29191"/>
    <cellStyle name="Hidden 3" xfId="29192"/>
    <cellStyle name="Hidden 4" xfId="29193"/>
    <cellStyle name="Hidden 5" xfId="29194"/>
    <cellStyle name="Hidden 6" xfId="29195"/>
    <cellStyle name="Hidden 7" xfId="29196"/>
    <cellStyle name="Hiperlink 2" xfId="29197"/>
    <cellStyle name="Hipervínculo" xfId="29198"/>
    <cellStyle name="Hipervínculo visitado" xfId="29199"/>
    <cellStyle name="Hipervínculo_PANTECH" xfId="29200"/>
    <cellStyle name="Hyperlink 2" xfId="29201"/>
    <cellStyle name="Hyperlink 2 2" xfId="29202"/>
    <cellStyle name="Hyperlink 3" xfId="29203"/>
    <cellStyle name="Import" xfId="29204"/>
    <cellStyle name="Incorrecto" xfId="29205"/>
    <cellStyle name="Incorreto 10" xfId="29206"/>
    <cellStyle name="Incorreto 11" xfId="29207"/>
    <cellStyle name="Incorreto 12" xfId="29208"/>
    <cellStyle name="Incorreto 13" xfId="29209"/>
    <cellStyle name="Incorreto 14" xfId="29210"/>
    <cellStyle name="Incorreto 2" xfId="29211"/>
    <cellStyle name="Incorreto 2 2" xfId="29212"/>
    <cellStyle name="Incorreto 2 3" xfId="29213"/>
    <cellStyle name="Incorreto 3" xfId="29214"/>
    <cellStyle name="Incorreto 3 2" xfId="29215"/>
    <cellStyle name="Incorreto 4" xfId="29216"/>
    <cellStyle name="Incorreto 4 2" xfId="29217"/>
    <cellStyle name="Incorreto 5" xfId="29218"/>
    <cellStyle name="Incorreto 5 2" xfId="29219"/>
    <cellStyle name="Incorreto 6" xfId="29220"/>
    <cellStyle name="Incorreto 6 2" xfId="29221"/>
    <cellStyle name="Incorreto 7" xfId="29222"/>
    <cellStyle name="Incorreto 7 2" xfId="29223"/>
    <cellStyle name="Incorreto 8" xfId="29224"/>
    <cellStyle name="Incorreto 8 2" xfId="29225"/>
    <cellStyle name="Incorreto 9" xfId="29226"/>
    <cellStyle name="Indefinido" xfId="96"/>
    <cellStyle name="Indefinido 2" xfId="29227"/>
    <cellStyle name="indice" xfId="29228"/>
    <cellStyle name="InLink" xfId="29229"/>
    <cellStyle name="Input" xfId="29230"/>
    <cellStyle name="Input %" xfId="29231"/>
    <cellStyle name="Input [yellow]" xfId="97"/>
    <cellStyle name="Input [yellow] 10" xfId="98"/>
    <cellStyle name="Input [yellow] 11" xfId="99"/>
    <cellStyle name="Input [yellow] 12" xfId="100"/>
    <cellStyle name="Input [yellow] 13" xfId="101"/>
    <cellStyle name="Input [yellow] 14" xfId="102"/>
    <cellStyle name="Input [yellow] 15" xfId="103"/>
    <cellStyle name="Input [yellow] 16" xfId="104"/>
    <cellStyle name="Input [yellow] 17" xfId="105"/>
    <cellStyle name="Input [yellow] 18" xfId="106"/>
    <cellStyle name="Input [yellow] 19" xfId="107"/>
    <cellStyle name="Input [yellow] 2" xfId="108"/>
    <cellStyle name="Input [yellow] 2 2" xfId="29232"/>
    <cellStyle name="Input [yellow] 2 2 2" xfId="29233"/>
    <cellStyle name="Input [yellow] 2 3" xfId="29234"/>
    <cellStyle name="Input [yellow] 2 3 2" xfId="29235"/>
    <cellStyle name="Input [yellow] 2 4" xfId="29236"/>
    <cellStyle name="Input [yellow] 20" xfId="109"/>
    <cellStyle name="Input [yellow] 21" xfId="110"/>
    <cellStyle name="Input [yellow] 22" xfId="111"/>
    <cellStyle name="Input [yellow] 23" xfId="112"/>
    <cellStyle name="Input [yellow] 24" xfId="113"/>
    <cellStyle name="Input [yellow] 25" xfId="114"/>
    <cellStyle name="Input [yellow] 26" xfId="115"/>
    <cellStyle name="Input [yellow] 27" xfId="116"/>
    <cellStyle name="Input [yellow] 28" xfId="117"/>
    <cellStyle name="Input [yellow] 3" xfId="118"/>
    <cellStyle name="Input [yellow] 3 2" xfId="29237"/>
    <cellStyle name="Input [yellow] 3 2 2" xfId="29238"/>
    <cellStyle name="Input [yellow] 3 3" xfId="29239"/>
    <cellStyle name="Input [yellow] 4" xfId="119"/>
    <cellStyle name="Input [yellow] 4 2" xfId="29240"/>
    <cellStyle name="Input [yellow] 5" xfId="120"/>
    <cellStyle name="Input [yellow] 6" xfId="121"/>
    <cellStyle name="Input [yellow] 7" xfId="122"/>
    <cellStyle name="Input [yellow] 8" xfId="123"/>
    <cellStyle name="Input [yellow] 9" xfId="124"/>
    <cellStyle name="Input 0" xfId="29241"/>
    <cellStyle name="Input 10" xfId="29242"/>
    <cellStyle name="Input 11" xfId="29243"/>
    <cellStyle name="Input 12" xfId="29244"/>
    <cellStyle name="Input 13" xfId="29245"/>
    <cellStyle name="Input 14" xfId="29246"/>
    <cellStyle name="Input 15" xfId="29247"/>
    <cellStyle name="Input 16" xfId="29248"/>
    <cellStyle name="Input 17" xfId="29249"/>
    <cellStyle name="Input 18" xfId="29250"/>
    <cellStyle name="Input 19" xfId="29251"/>
    <cellStyle name="Input 2" xfId="29252"/>
    <cellStyle name="Input 2 2" xfId="29253"/>
    <cellStyle name="Input 2 2 2" xfId="29254"/>
    <cellStyle name="Input 2 2 2 2" xfId="29255"/>
    <cellStyle name="Input 2 2 3" xfId="29256"/>
    <cellStyle name="Input 2 3" xfId="29257"/>
    <cellStyle name="Input 20" xfId="29258"/>
    <cellStyle name="Input 21" xfId="29259"/>
    <cellStyle name="Input 22" xfId="29260"/>
    <cellStyle name="Input 23" xfId="29261"/>
    <cellStyle name="Input 24" xfId="29262"/>
    <cellStyle name="Input 25" xfId="29263"/>
    <cellStyle name="Input 26" xfId="29264"/>
    <cellStyle name="Input 27" xfId="29265"/>
    <cellStyle name="Input 28" xfId="29266"/>
    <cellStyle name="Input 29" xfId="29267"/>
    <cellStyle name="Input 3" xfId="29268"/>
    <cellStyle name="Input 3 2" xfId="29269"/>
    <cellStyle name="Input 3 2 2" xfId="29270"/>
    <cellStyle name="Input 3 2 2 2" xfId="29271"/>
    <cellStyle name="Input 3 2 3" xfId="29272"/>
    <cellStyle name="Input 3 3" xfId="29273"/>
    <cellStyle name="Input 30" xfId="29274"/>
    <cellStyle name="Input 31" xfId="29275"/>
    <cellStyle name="Input 32" xfId="29276"/>
    <cellStyle name="Input 33" xfId="29277"/>
    <cellStyle name="Input 34" xfId="29278"/>
    <cellStyle name="Input 35" xfId="29279"/>
    <cellStyle name="Input 36" xfId="29280"/>
    <cellStyle name="Input 37" xfId="29281"/>
    <cellStyle name="Input 38" xfId="29282"/>
    <cellStyle name="Input 39" xfId="29283"/>
    <cellStyle name="Input 4" xfId="29284"/>
    <cellStyle name="Input 4 2" xfId="29285"/>
    <cellStyle name="Input 4 2 2" xfId="29286"/>
    <cellStyle name="Input 4 2 2 2" xfId="29287"/>
    <cellStyle name="Input 4 2 3" xfId="29288"/>
    <cellStyle name="Input 4 3" xfId="29289"/>
    <cellStyle name="Input 40" xfId="29290"/>
    <cellStyle name="Input 41" xfId="29291"/>
    <cellStyle name="Input 42" xfId="29292"/>
    <cellStyle name="Input 43" xfId="29293"/>
    <cellStyle name="Input 44" xfId="29294"/>
    <cellStyle name="Input 45" xfId="29295"/>
    <cellStyle name="Input 46" xfId="29296"/>
    <cellStyle name="Input 47" xfId="29297"/>
    <cellStyle name="Input 48" xfId="29298"/>
    <cellStyle name="Input 49" xfId="29299"/>
    <cellStyle name="Input 5" xfId="29300"/>
    <cellStyle name="Input 5 2" xfId="29301"/>
    <cellStyle name="Input 5 2 2" xfId="29302"/>
    <cellStyle name="Input 5 2 2 2" xfId="29303"/>
    <cellStyle name="Input 5 2 3" xfId="29304"/>
    <cellStyle name="Input 5 3" xfId="29305"/>
    <cellStyle name="Input 50" xfId="29306"/>
    <cellStyle name="Input 51" xfId="29307"/>
    <cellStyle name="Input 52" xfId="29308"/>
    <cellStyle name="Input 53" xfId="29309"/>
    <cellStyle name="Input 54" xfId="29310"/>
    <cellStyle name="Input 55" xfId="29311"/>
    <cellStyle name="Input 56" xfId="29312"/>
    <cellStyle name="Input 57" xfId="29313"/>
    <cellStyle name="Input 58" xfId="29314"/>
    <cellStyle name="Input 6" xfId="29315"/>
    <cellStyle name="Input 6 2" xfId="29316"/>
    <cellStyle name="Input 6 2 2" xfId="29317"/>
    <cellStyle name="Input 6 2 2 2" xfId="29318"/>
    <cellStyle name="Input 6 2 3" xfId="29319"/>
    <cellStyle name="Input 6 3" xfId="29320"/>
    <cellStyle name="Input 7" xfId="29321"/>
    <cellStyle name="Input 7 2" xfId="29322"/>
    <cellStyle name="Input 7 2 2" xfId="29323"/>
    <cellStyle name="Input 7 2 2 2" xfId="29324"/>
    <cellStyle name="Input 7 2 3" xfId="29325"/>
    <cellStyle name="Input 7 3" xfId="29326"/>
    <cellStyle name="Input 8" xfId="29327"/>
    <cellStyle name="Input 8 2" xfId="29328"/>
    <cellStyle name="Input 8 2 2" xfId="29329"/>
    <cellStyle name="Input 8 2 2 2" xfId="29330"/>
    <cellStyle name="Input 8 2 3" xfId="29331"/>
    <cellStyle name="Input 8 3" xfId="29332"/>
    <cellStyle name="Input 9" xfId="29333"/>
    <cellStyle name="Input blu" xfId="29334"/>
    <cellStyle name="Input Cells" xfId="29335"/>
    <cellStyle name="Input colorato" xfId="29336"/>
    <cellStyle name="Input colorato 10" xfId="29337"/>
    <cellStyle name="Input colorato_Cartel1" xfId="29338"/>
    <cellStyle name="Input_2분기판가" xfId="29339"/>
    <cellStyle name="InputCell" xfId="29340"/>
    <cellStyle name="InputCell 2" xfId="29341"/>
    <cellStyle name="InputCell 2 2" xfId="29342"/>
    <cellStyle name="InputCell 2 2 2" xfId="29343"/>
    <cellStyle name="InputCell 2 3" xfId="29344"/>
    <cellStyle name="InputCell 2 3 2" xfId="29345"/>
    <cellStyle name="InputCell 2 4" xfId="29346"/>
    <cellStyle name="InputCell 3" xfId="29347"/>
    <cellStyle name="InputCell 3 2" xfId="29348"/>
    <cellStyle name="InputCell 3 2 2" xfId="29349"/>
    <cellStyle name="InputCell 3 3" xfId="29350"/>
    <cellStyle name="InputCell 4" xfId="29351"/>
    <cellStyle name="InputCell 4 2" xfId="29352"/>
    <cellStyle name="InputCell 5" xfId="29353"/>
    <cellStyle name="Inputs" xfId="125"/>
    <cellStyle name="inserimento manuale" xfId="29354"/>
    <cellStyle name="Italic" xfId="29355"/>
    <cellStyle name="Jun" xfId="29356"/>
    <cellStyle name="KPMG Heading 1" xfId="29357"/>
    <cellStyle name="KPMG Heading 2" xfId="29358"/>
    <cellStyle name="KPMG Heading 3" xfId="29359"/>
    <cellStyle name="KPMG Heading 4" xfId="29360"/>
    <cellStyle name="KPMG Normal" xfId="29361"/>
    <cellStyle name="KPMG Normal Text" xfId="29362"/>
    <cellStyle name="la22" xfId="29363"/>
    <cellStyle name="la22 2" xfId="29364"/>
    <cellStyle name="la22 2 2" xfId="29365"/>
    <cellStyle name="la22 2 2 2" xfId="29366"/>
    <cellStyle name="la22 2 3" xfId="29367"/>
    <cellStyle name="la22 2 3 2" xfId="29368"/>
    <cellStyle name="la22 2 4" xfId="29369"/>
    <cellStyle name="la22 3" xfId="29370"/>
    <cellStyle name="la22 3 2" xfId="29371"/>
    <cellStyle name="la22 3 2 2" xfId="29372"/>
    <cellStyle name="la22 3 3" xfId="29373"/>
    <cellStyle name="la22 4" xfId="29374"/>
    <cellStyle name="la22 4 2" xfId="29375"/>
    <cellStyle name="la22 5" xfId="29376"/>
    <cellStyle name="Label" xfId="29377"/>
    <cellStyle name="Label 2" xfId="29378"/>
    <cellStyle name="Label 2 2" xfId="29379"/>
    <cellStyle name="Label 2 2 2" xfId="29380"/>
    <cellStyle name="Label 2 2 2 2" xfId="29381"/>
    <cellStyle name="Label 2 2 3" xfId="29382"/>
    <cellStyle name="Label 2 2 3 2" xfId="29383"/>
    <cellStyle name="Label 2 2 4" xfId="29384"/>
    <cellStyle name="Label 2 3" xfId="29385"/>
    <cellStyle name="Label 2 3 2" xfId="29386"/>
    <cellStyle name="Label 2 3 2 2" xfId="29387"/>
    <cellStyle name="Label 2 3 3" xfId="29388"/>
    <cellStyle name="Label 2 4" xfId="29389"/>
    <cellStyle name="Label 2 4 2" xfId="29390"/>
    <cellStyle name="Label 2 5" xfId="29391"/>
    <cellStyle name="Label 3" xfId="29392"/>
    <cellStyle name="Label 3 2" xfId="29393"/>
    <cellStyle name="Label 3 2 2" xfId="29394"/>
    <cellStyle name="Label 3 2 2 2" xfId="29395"/>
    <cellStyle name="Label 3 2 3" xfId="29396"/>
    <cellStyle name="Label 3 2 3 2" xfId="29397"/>
    <cellStyle name="Label 3 2 4" xfId="29398"/>
    <cellStyle name="Label 3 3" xfId="29399"/>
    <cellStyle name="Label 3 3 2" xfId="29400"/>
    <cellStyle name="Label 3 3 2 2" xfId="29401"/>
    <cellStyle name="Label 3 3 3" xfId="29402"/>
    <cellStyle name="Label 3 4" xfId="29403"/>
    <cellStyle name="Label 3 4 2" xfId="29404"/>
    <cellStyle name="Label 3 5" xfId="29405"/>
    <cellStyle name="Label 4" xfId="29406"/>
    <cellStyle name="Label 4 2" xfId="29407"/>
    <cellStyle name="Label 4 2 2" xfId="29408"/>
    <cellStyle name="Label 4 2 2 2" xfId="29409"/>
    <cellStyle name="Label 4 2 3" xfId="29410"/>
    <cellStyle name="Label 4 2 3 2" xfId="29411"/>
    <cellStyle name="Label 4 2 4" xfId="29412"/>
    <cellStyle name="Label 4 3" xfId="29413"/>
    <cellStyle name="Label 4 3 2" xfId="29414"/>
    <cellStyle name="Label 4 3 2 2" xfId="29415"/>
    <cellStyle name="Label 4 3 3" xfId="29416"/>
    <cellStyle name="Label 4 4" xfId="29417"/>
    <cellStyle name="Label 4 4 2" xfId="29418"/>
    <cellStyle name="Label 4 5" xfId="29419"/>
    <cellStyle name="Label 5" xfId="29420"/>
    <cellStyle name="Label 5 2" xfId="29421"/>
    <cellStyle name="Label 5 2 2" xfId="29422"/>
    <cellStyle name="Label 5 2 2 2" xfId="29423"/>
    <cellStyle name="Label 5 2 3" xfId="29424"/>
    <cellStyle name="Label 5 2 3 2" xfId="29425"/>
    <cellStyle name="Label 5 2 4" xfId="29426"/>
    <cellStyle name="Label 5 3" xfId="29427"/>
    <cellStyle name="Label 5 3 2" xfId="29428"/>
    <cellStyle name="Label 5 3 2 2" xfId="29429"/>
    <cellStyle name="Label 5 3 3" xfId="29430"/>
    <cellStyle name="Label 5 4" xfId="29431"/>
    <cellStyle name="Label 5 4 2" xfId="29432"/>
    <cellStyle name="Label 5 5" xfId="29433"/>
    <cellStyle name="Label 6" xfId="29434"/>
    <cellStyle name="Label 6 2" xfId="29435"/>
    <cellStyle name="Label 6 2 2" xfId="29436"/>
    <cellStyle name="Label 6 2 2 2" xfId="29437"/>
    <cellStyle name="Label 6 2 3" xfId="29438"/>
    <cellStyle name="Label 6 2 3 2" xfId="29439"/>
    <cellStyle name="Label 6 2 4" xfId="29440"/>
    <cellStyle name="Label 6 3" xfId="29441"/>
    <cellStyle name="Label 6 3 2" xfId="29442"/>
    <cellStyle name="Label 6 3 2 2" xfId="29443"/>
    <cellStyle name="Label 6 3 3" xfId="29444"/>
    <cellStyle name="Label 6 4" xfId="29445"/>
    <cellStyle name="Label 6 4 2" xfId="29446"/>
    <cellStyle name="Label 6 5" xfId="29447"/>
    <cellStyle name="Linked Cell" xfId="29448"/>
    <cellStyle name="Linked Cell 2" xfId="29449"/>
    <cellStyle name="Linked Cell 3" xfId="29450"/>
    <cellStyle name="Linked Cell 4" xfId="29451"/>
    <cellStyle name="Linked Cell 5" xfId="29452"/>
    <cellStyle name="Linked Cell 6" xfId="29453"/>
    <cellStyle name="Linked Cell 7" xfId="29454"/>
    <cellStyle name="Linked Cell 8" xfId="29455"/>
    <cellStyle name="Linked Cell 9" xfId="29456"/>
    <cellStyle name="Linked Cell_BD RECARGA" xfId="29457"/>
    <cellStyle name="Linked Cells" xfId="29458"/>
    <cellStyle name="Lock" xfId="29459"/>
    <cellStyle name="Lock partiel" xfId="29460"/>
    <cellStyle name="Locked" xfId="29461"/>
    <cellStyle name="MacroCode" xfId="29462"/>
    <cellStyle name="MacroCode 2" xfId="29463"/>
    <cellStyle name="MacroCode 3" xfId="29464"/>
    <cellStyle name="Migliaia (0)_(00OUT) CE-TOT-BUDGET_03 post BU" xfId="29465"/>
    <cellStyle name="Migliaia [0]_02 Databook Agosto03-10" xfId="29466"/>
    <cellStyle name="Migliaia_DE_FIN_ACT_Wboff_CORTO1" xfId="29467"/>
    <cellStyle name="Mike" xfId="29468"/>
    <cellStyle name="Miliardi" xfId="29469"/>
    <cellStyle name="Millares [0]_10 AVERIAS MASIVAS + ANT" xfId="126"/>
    <cellStyle name="Millares_10 AVERIAS MASIVAS + ANT" xfId="127"/>
    <cellStyle name="Model" xfId="128"/>
    <cellStyle name="Model 2" xfId="29470"/>
    <cellStyle name="Moeda" xfId="2" builtinId="4"/>
    <cellStyle name="Moeda 10" xfId="29471"/>
    <cellStyle name="Moeda 11" xfId="29472"/>
    <cellStyle name="Moeda 11 2" xfId="29473"/>
    <cellStyle name="Moeda 12" xfId="29474"/>
    <cellStyle name="Moeda 12 2" xfId="29475"/>
    <cellStyle name="Moeda 13" xfId="29476"/>
    <cellStyle name="Moeda 14" xfId="29477"/>
    <cellStyle name="Moeda 15" xfId="29478"/>
    <cellStyle name="Moeda 16" xfId="29479"/>
    <cellStyle name="Moeda 17" xfId="29480"/>
    <cellStyle name="Moeda 18" xfId="29481"/>
    <cellStyle name="Moeda 19" xfId="29482"/>
    <cellStyle name="Moeda 2" xfId="129"/>
    <cellStyle name="Moeda 2 10" xfId="29483"/>
    <cellStyle name="Moeda 2 11" xfId="29484"/>
    <cellStyle name="Moeda 2 12" xfId="29485"/>
    <cellStyle name="Moeda 2 13" xfId="29486"/>
    <cellStyle name="Moeda 2 14" xfId="29487"/>
    <cellStyle name="Moeda 2 15" xfId="29488"/>
    <cellStyle name="Moeda 2 16" xfId="29489"/>
    <cellStyle name="Moeda 2 2" xfId="372"/>
    <cellStyle name="Moeda 2 3" xfId="373"/>
    <cellStyle name="Moeda 2 3 2" xfId="29490"/>
    <cellStyle name="Moeda 2 4" xfId="374"/>
    <cellStyle name="Moeda 2 5" xfId="29491"/>
    <cellStyle name="Moeda 2 6" xfId="29492"/>
    <cellStyle name="Moeda 2 7" xfId="29493"/>
    <cellStyle name="Moeda 2 8" xfId="29494"/>
    <cellStyle name="Moeda 2 9" xfId="29495"/>
    <cellStyle name="Moeda 20" xfId="29496"/>
    <cellStyle name="Moeda 3" xfId="375"/>
    <cellStyle name="Moeda 3 2" xfId="376"/>
    <cellStyle name="Moeda 4" xfId="377"/>
    <cellStyle name="Moeda 5" xfId="378"/>
    <cellStyle name="Moeda 6" xfId="379"/>
    <cellStyle name="Moeda 6 2" xfId="29497"/>
    <cellStyle name="Moeda 6 3" xfId="29498"/>
    <cellStyle name="Moeda 7" xfId="29499"/>
    <cellStyle name="Moeda 7 2" xfId="29500"/>
    <cellStyle name="Moeda 8" xfId="29501"/>
    <cellStyle name="Moeda 8 2" xfId="29502"/>
    <cellStyle name="Moeda 9" xfId="29503"/>
    <cellStyle name="Moeda 9 2" xfId="29504"/>
    <cellStyle name="Moneda [0]_10 AVERIAS MASIVAS + ANT" xfId="130"/>
    <cellStyle name="Moneda_10 AVERIAS MASIVAS + ANT" xfId="131"/>
    <cellStyle name="Monetario" xfId="132"/>
    <cellStyle name="Monetario 2" xfId="29505"/>
    <cellStyle name="Monetario 3" xfId="29506"/>
    <cellStyle name="Monetario 4" xfId="29507"/>
    <cellStyle name="Monetario 5" xfId="29508"/>
    <cellStyle name="Monetario 6" xfId="29509"/>
    <cellStyle name="Monetario 7" xfId="29510"/>
    <cellStyle name="Monetario_BD RECARGA" xfId="29511"/>
    <cellStyle name="movimentação" xfId="29512"/>
    <cellStyle name="MS_English" xfId="29513"/>
    <cellStyle name="Multiple" xfId="29514"/>
    <cellStyle name="Name" xfId="133"/>
    <cellStyle name="Name 2" xfId="29515"/>
    <cellStyle name="neg0.0" xfId="29516"/>
    <cellStyle name="Neutra 10" xfId="29517"/>
    <cellStyle name="Neutra 11" xfId="29518"/>
    <cellStyle name="Neutra 12" xfId="29519"/>
    <cellStyle name="Neutra 13" xfId="29520"/>
    <cellStyle name="Neutra 14" xfId="29521"/>
    <cellStyle name="Neutra 2" xfId="29522"/>
    <cellStyle name="Neutra 2 2" xfId="29523"/>
    <cellStyle name="Neutra 3" xfId="29524"/>
    <cellStyle name="Neutra 3 2" xfId="29525"/>
    <cellStyle name="Neutra 4" xfId="29526"/>
    <cellStyle name="Neutra 4 2" xfId="29527"/>
    <cellStyle name="Neutra 5" xfId="29528"/>
    <cellStyle name="Neutra 5 2" xfId="29529"/>
    <cellStyle name="Neutra 6" xfId="29530"/>
    <cellStyle name="Neutra 6 2" xfId="29531"/>
    <cellStyle name="Neutra 7" xfId="29532"/>
    <cellStyle name="Neutra 7 2" xfId="29533"/>
    <cellStyle name="Neutra 8" xfId="29534"/>
    <cellStyle name="Neutra 8 2" xfId="29535"/>
    <cellStyle name="Neutra 9" xfId="29536"/>
    <cellStyle name="Neutral" xfId="29537"/>
    <cellStyle name="Neutral 2" xfId="29538"/>
    <cellStyle name="Neutral 3" xfId="29539"/>
    <cellStyle name="Neutral 4" xfId="29540"/>
    <cellStyle name="Neutral 5" xfId="29541"/>
    <cellStyle name="Neutral 6" xfId="29542"/>
    <cellStyle name="Neutral 7" xfId="29543"/>
    <cellStyle name="Neutral 8" xfId="29544"/>
    <cellStyle name="Neutral 9" xfId="29545"/>
    <cellStyle name="Neutral_BD RECARGA" xfId="29546"/>
    <cellStyle name="NewAcct" xfId="134"/>
    <cellStyle name="NewAcct 2" xfId="29547"/>
    <cellStyle name="no dec" xfId="135"/>
    <cellStyle name="no dec 2" xfId="29548"/>
    <cellStyle name="no dec 3" xfId="29549"/>
    <cellStyle name="no dec 4" xfId="29550"/>
    <cellStyle name="no dec 5" xfId="29551"/>
    <cellStyle name="no dec 6" xfId="29552"/>
    <cellStyle name="no dec 7" xfId="29553"/>
    <cellStyle name="no dec_BD RECARGA" xfId="29554"/>
    <cellStyle name="No-Action" xfId="29555"/>
    <cellStyle name="No-Action 2" xfId="29556"/>
    <cellStyle name="No-Action 2 2" xfId="29557"/>
    <cellStyle name="No-Action 3" xfId="29558"/>
    <cellStyle name="NoEntry" xfId="29559"/>
    <cellStyle name="NoEntry 2" xfId="29560"/>
    <cellStyle name="NoEntry 2 2" xfId="29561"/>
    <cellStyle name="NoEntry 2 2 2" xfId="29562"/>
    <cellStyle name="NoEntry 2 3" xfId="29563"/>
    <cellStyle name="NoEntry 2 3 2" xfId="29564"/>
    <cellStyle name="NoEntry 2 4" xfId="29565"/>
    <cellStyle name="NoEntry 3" xfId="29566"/>
    <cellStyle name="NoEntry 3 2" xfId="29567"/>
    <cellStyle name="NoEntry 3 2 2" xfId="29568"/>
    <cellStyle name="NoEntry 3 3" xfId="29569"/>
    <cellStyle name="NoEntry 4" xfId="29570"/>
    <cellStyle name="NoEntry 4 2" xfId="29571"/>
    <cellStyle name="NoEntry 5" xfId="29572"/>
    <cellStyle name="Non_definito" xfId="29573"/>
    <cellStyle name="Normal" xfId="0" builtinId="0"/>
    <cellStyle name="Normal - Style1" xfId="136"/>
    <cellStyle name="Normal - Style1 2" xfId="29574"/>
    <cellStyle name="Normal - Style1 3" xfId="29575"/>
    <cellStyle name="Normal - Style1 4" xfId="29576"/>
    <cellStyle name="Normal - Style1 5" xfId="29577"/>
    <cellStyle name="Normal - Style1 6" xfId="29578"/>
    <cellStyle name="Normal - Style1 7" xfId="29579"/>
    <cellStyle name="Normal - Style2" xfId="29580"/>
    <cellStyle name="Normal - Style3" xfId="29581"/>
    <cellStyle name="Normal - Style4" xfId="29582"/>
    <cellStyle name="Normal - Style5" xfId="29583"/>
    <cellStyle name="Normal - Style6" xfId="29584"/>
    <cellStyle name="Normal - Style7" xfId="29585"/>
    <cellStyle name="Normal - Style8" xfId="29586"/>
    <cellStyle name="Normal (B)" xfId="137"/>
    <cellStyle name="Normal (G)" xfId="138"/>
    <cellStyle name="Normal (no,)" xfId="29587"/>
    <cellStyle name="Normal 1" xfId="29588"/>
    <cellStyle name="Normal 10" xfId="29589"/>
    <cellStyle name="Normal 10 2" xfId="29590"/>
    <cellStyle name="Normal 10 2 2" xfId="29591"/>
    <cellStyle name="Normal 10 3" xfId="29592"/>
    <cellStyle name="Normal 10 3 2" xfId="29593"/>
    <cellStyle name="Normal 10 4" xfId="29594"/>
    <cellStyle name="Normal 10_Base_PJ_e _PF" xfId="29595"/>
    <cellStyle name="Normal 100" xfId="29596"/>
    <cellStyle name="Normal 100 2" xfId="29597"/>
    <cellStyle name="Normal 100 2 2" xfId="29598"/>
    <cellStyle name="Normal 100 3" xfId="29599"/>
    <cellStyle name="Normal 100 3 2" xfId="29600"/>
    <cellStyle name="Normal 100 4" xfId="29601"/>
    <cellStyle name="Normal 101" xfId="29602"/>
    <cellStyle name="Normal 101 2" xfId="29603"/>
    <cellStyle name="Normal 101 2 2" xfId="29604"/>
    <cellStyle name="Normal 101 3" xfId="29605"/>
    <cellStyle name="Normal 101 3 2" xfId="29606"/>
    <cellStyle name="Normal 101 4" xfId="29607"/>
    <cellStyle name="Normal 102" xfId="29608"/>
    <cellStyle name="Normal 102 2" xfId="29609"/>
    <cellStyle name="Normal 102 2 2" xfId="29610"/>
    <cellStyle name="Normal 102 3" xfId="29611"/>
    <cellStyle name="Normal 102 3 2" xfId="29612"/>
    <cellStyle name="Normal 102 4" xfId="29613"/>
    <cellStyle name="Normal 103" xfId="29614"/>
    <cellStyle name="Normal 104" xfId="29615"/>
    <cellStyle name="Normal 105" xfId="29616"/>
    <cellStyle name="Normal 105 2" xfId="29617"/>
    <cellStyle name="Normal 105 2 2" xfId="29618"/>
    <cellStyle name="Normal 105 3" xfId="29619"/>
    <cellStyle name="Normal 105 3 2" xfId="29620"/>
    <cellStyle name="Normal 105 4" xfId="29621"/>
    <cellStyle name="Normal 106" xfId="29622"/>
    <cellStyle name="Normal 106 2" xfId="29623"/>
    <cellStyle name="Normal 106 2 2" xfId="29624"/>
    <cellStyle name="Normal 106 3" xfId="29625"/>
    <cellStyle name="Normal 106 3 2" xfId="29626"/>
    <cellStyle name="Normal 106 4" xfId="29627"/>
    <cellStyle name="Normal 107" xfId="29628"/>
    <cellStyle name="Normal 108" xfId="29629"/>
    <cellStyle name="Normal 109" xfId="29630"/>
    <cellStyle name="Normal 11" xfId="139"/>
    <cellStyle name="Normal 11 2" xfId="29631"/>
    <cellStyle name="Normal 11 2 2" xfId="29632"/>
    <cellStyle name="Normal 11 2 3" xfId="29633"/>
    <cellStyle name="Normal 11 2_Price_forum_dez10 (Duos + Touch) (2)" xfId="29634"/>
    <cellStyle name="Normal 11 3" xfId="29635"/>
    <cellStyle name="Normal 11 4" xfId="29636"/>
    <cellStyle name="Normal 11_Base_PJ_e _PF" xfId="29637"/>
    <cellStyle name="Normal 110" xfId="29638"/>
    <cellStyle name="Normal 111" xfId="29639"/>
    <cellStyle name="Normal 112" xfId="29640"/>
    <cellStyle name="Normal 113" xfId="29641"/>
    <cellStyle name="Normal 114" xfId="29642"/>
    <cellStyle name="Normal 115" xfId="29643"/>
    <cellStyle name="Normal 116" xfId="29644"/>
    <cellStyle name="Normal 116 2" xfId="29645"/>
    <cellStyle name="Normal 116 2 2" xfId="29646"/>
    <cellStyle name="Normal 116 3" xfId="29647"/>
    <cellStyle name="Normal 116 3 2" xfId="29648"/>
    <cellStyle name="Normal 116 4" xfId="29649"/>
    <cellStyle name="Normal 117" xfId="29650"/>
    <cellStyle name="Normal 118" xfId="29651"/>
    <cellStyle name="Normal 119" xfId="29652"/>
    <cellStyle name="Normal 12" xfId="29653"/>
    <cellStyle name="Normal 12 2" xfId="29654"/>
    <cellStyle name="Normal 12 3" xfId="29655"/>
    <cellStyle name="Normal 12_Base_PJ_e _PF" xfId="29656"/>
    <cellStyle name="Normal 120" xfId="29657"/>
    <cellStyle name="Normal 121" xfId="29658"/>
    <cellStyle name="Normal 122" xfId="29659"/>
    <cellStyle name="Normal 123" xfId="29660"/>
    <cellStyle name="Normal 124" xfId="29661"/>
    <cellStyle name="Normal 125" xfId="29662"/>
    <cellStyle name="Normal 126" xfId="29663"/>
    <cellStyle name="Normal 127" xfId="29664"/>
    <cellStyle name="Normal 128" xfId="29665"/>
    <cellStyle name="Normal 129" xfId="29666"/>
    <cellStyle name="Normal 13" xfId="29667"/>
    <cellStyle name="Normal 13 2" xfId="29668"/>
    <cellStyle name="Normal 13 3" xfId="29669"/>
    <cellStyle name="Normal 13_BASE TUP R2" xfId="29670"/>
    <cellStyle name="Normal 130" xfId="29671"/>
    <cellStyle name="Normal 131" xfId="29672"/>
    <cellStyle name="Normal 132" xfId="29673"/>
    <cellStyle name="Normal 133" xfId="29674"/>
    <cellStyle name="Normal 134" xfId="29675"/>
    <cellStyle name="Normal 135" xfId="29676"/>
    <cellStyle name="Normal 136" xfId="29677"/>
    <cellStyle name="Normal 137" xfId="29678"/>
    <cellStyle name="Normal 138" xfId="29679"/>
    <cellStyle name="Normal 139" xfId="29680"/>
    <cellStyle name="Normal 14" xfId="29681"/>
    <cellStyle name="Normal 14 2" xfId="29682"/>
    <cellStyle name="Normal 14 3" xfId="29683"/>
    <cellStyle name="Normal 14_BASE TUP R2" xfId="29684"/>
    <cellStyle name="Normal 140" xfId="29685"/>
    <cellStyle name="Normal 141" xfId="29686"/>
    <cellStyle name="Normal 142" xfId="29687"/>
    <cellStyle name="Normal 143" xfId="29688"/>
    <cellStyle name="Normal 144" xfId="29689"/>
    <cellStyle name="Normal 145" xfId="29690"/>
    <cellStyle name="Normal 146" xfId="29691"/>
    <cellStyle name="Normal 147" xfId="29692"/>
    <cellStyle name="Normal 148" xfId="29693"/>
    <cellStyle name="Normal 149" xfId="29694"/>
    <cellStyle name="Normal 15" xfId="29695"/>
    <cellStyle name="Normal 15 2" xfId="29696"/>
    <cellStyle name="Normal 15_BASE TUP R2" xfId="29697"/>
    <cellStyle name="Normal 150" xfId="29698"/>
    <cellStyle name="Normal 151" xfId="29699"/>
    <cellStyle name="Normal 152" xfId="29700"/>
    <cellStyle name="Normal 153" xfId="29701"/>
    <cellStyle name="Normal 154" xfId="29702"/>
    <cellStyle name="Normal 155" xfId="29703"/>
    <cellStyle name="Normal 156" xfId="29704"/>
    <cellStyle name="Normal 157" xfId="29705"/>
    <cellStyle name="Normal 158" xfId="29706"/>
    <cellStyle name="Normal 159" xfId="29707"/>
    <cellStyle name="Normal 159 2" xfId="29708"/>
    <cellStyle name="Normal 159 2 2" xfId="29709"/>
    <cellStyle name="Normal 16" xfId="29710"/>
    <cellStyle name="Normal 16 2" xfId="29711"/>
    <cellStyle name="Normal 160" xfId="29712"/>
    <cellStyle name="Normal 160 2" xfId="29713"/>
    <cellStyle name="Normal 160 2 2" xfId="29714"/>
    <cellStyle name="Normal 161" xfId="29715"/>
    <cellStyle name="Normal 161 2" xfId="29716"/>
    <cellStyle name="Normal 161 2 2" xfId="29717"/>
    <cellStyle name="Normal 162" xfId="29718"/>
    <cellStyle name="Normal 162 2" xfId="29719"/>
    <cellStyle name="Normal 162 2 2" xfId="29720"/>
    <cellStyle name="Normal 163" xfId="29721"/>
    <cellStyle name="Normal 164" xfId="29722"/>
    <cellStyle name="Normal 165" xfId="29723"/>
    <cellStyle name="Normal 166" xfId="29724"/>
    <cellStyle name="Normal 167" xfId="29725"/>
    <cellStyle name="Normal 167 2" xfId="29726"/>
    <cellStyle name="Normal 167 2 2" xfId="29727"/>
    <cellStyle name="Normal 168" xfId="29728"/>
    <cellStyle name="Normal 169" xfId="29729"/>
    <cellStyle name="Normal 17" xfId="29730"/>
    <cellStyle name="Normal 170" xfId="29731"/>
    <cellStyle name="Normal 170 2" xfId="29732"/>
    <cellStyle name="Normal 170 2 2" xfId="29733"/>
    <cellStyle name="Normal 170 3" xfId="29734"/>
    <cellStyle name="Normal 171" xfId="29735"/>
    <cellStyle name="Normal 171 2" xfId="29736"/>
    <cellStyle name="Normal 171 2 2" xfId="29737"/>
    <cellStyle name="Normal 171 3" xfId="29738"/>
    <cellStyle name="Normal 172" xfId="29739"/>
    <cellStyle name="Normal 172 2" xfId="29740"/>
    <cellStyle name="Normal 172 3" xfId="29741"/>
    <cellStyle name="Normal 173" xfId="29742"/>
    <cellStyle name="Normal 173 2" xfId="29743"/>
    <cellStyle name="Normal 173 3" xfId="29744"/>
    <cellStyle name="Normal 174" xfId="29745"/>
    <cellStyle name="Normal 175" xfId="29746"/>
    <cellStyle name="Normal 176" xfId="29747"/>
    <cellStyle name="Normal 176 2" xfId="29748"/>
    <cellStyle name="Normal 176 2 2" xfId="29749"/>
    <cellStyle name="Normal 177" xfId="29750"/>
    <cellStyle name="Normal 177 2" xfId="29751"/>
    <cellStyle name="Normal 177 2 2" xfId="29752"/>
    <cellStyle name="Normal 178" xfId="29753"/>
    <cellStyle name="Normal 179" xfId="29754"/>
    <cellStyle name="Normal 18" xfId="29755"/>
    <cellStyle name="Normal 18 2" xfId="29756"/>
    <cellStyle name="Normal 180" xfId="29757"/>
    <cellStyle name="Normal 181" xfId="29758"/>
    <cellStyle name="Normal 182" xfId="29759"/>
    <cellStyle name="Normal 183" xfId="29760"/>
    <cellStyle name="Normal 184" xfId="29761"/>
    <cellStyle name="Normal 184 2" xfId="29762"/>
    <cellStyle name="Normal 184 2 2" xfId="29763"/>
    <cellStyle name="Normal 184 3" xfId="29764"/>
    <cellStyle name="Normal 185" xfId="29765"/>
    <cellStyle name="Normal 185 2" xfId="29766"/>
    <cellStyle name="Normal 185 2 2" xfId="29767"/>
    <cellStyle name="Normal 185 3" xfId="29768"/>
    <cellStyle name="Normal 186" xfId="29769"/>
    <cellStyle name="Normal 187" xfId="29770"/>
    <cellStyle name="Normal 188" xfId="29771"/>
    <cellStyle name="Normal 188 2" xfId="29772"/>
    <cellStyle name="Normal 189" xfId="29773"/>
    <cellStyle name="Normal 19" xfId="29774"/>
    <cellStyle name="Normal 19 2" xfId="29775"/>
    <cellStyle name="Normal 190" xfId="29776"/>
    <cellStyle name="Normal 190 2" xfId="29777"/>
    <cellStyle name="Normal 191" xfId="29778"/>
    <cellStyle name="Normal 192" xfId="29779"/>
    <cellStyle name="Normal 193" xfId="29780"/>
    <cellStyle name="Normal 193 2" xfId="29781"/>
    <cellStyle name="Normal 194" xfId="29782"/>
    <cellStyle name="Normal 195" xfId="29783"/>
    <cellStyle name="Normal 196" xfId="29784"/>
    <cellStyle name="Normal 197" xfId="29785"/>
    <cellStyle name="Normal 198" xfId="29786"/>
    <cellStyle name="Normal 199" xfId="29787"/>
    <cellStyle name="Normal 199 2" xfId="29788"/>
    <cellStyle name="Normal 2" xfId="140"/>
    <cellStyle name="Normal 2 10" xfId="29789"/>
    <cellStyle name="Normal 2 10 2" xfId="29790"/>
    <cellStyle name="Normal 2 11" xfId="29791"/>
    <cellStyle name="Normal 2 12" xfId="29792"/>
    <cellStyle name="Normal 2 13" xfId="29793"/>
    <cellStyle name="Normal 2 14" xfId="29794"/>
    <cellStyle name="Normal 2 15" xfId="29795"/>
    <cellStyle name="Normal 2 16" xfId="29796"/>
    <cellStyle name="Normal 2 17" xfId="29797"/>
    <cellStyle name="Normal 2 18" xfId="29798"/>
    <cellStyle name="Normal 2 19" xfId="29799"/>
    <cellStyle name="Normal 2 19 2" xfId="29800"/>
    <cellStyle name="Normal 2 2" xfId="141"/>
    <cellStyle name="Normal 2 2 2" xfId="380"/>
    <cellStyle name="Normal 2 2 2 2" xfId="29801"/>
    <cellStyle name="Normal 2 2 2 2 2" xfId="29802"/>
    <cellStyle name="Normal 2 2 2 2 2 2" xfId="29803"/>
    <cellStyle name="Normal 2 2 2 2 2 2 2" xfId="29804"/>
    <cellStyle name="Normal 2 2 2 2 2 2 2 2" xfId="29805"/>
    <cellStyle name="Normal 2 2 2 2 2 2 2 2 2" xfId="29806"/>
    <cellStyle name="Normal 2 2 2 2 2 2 3" xfId="29807"/>
    <cellStyle name="Normal 2 2 2 2 2 3" xfId="29808"/>
    <cellStyle name="Normal 2 2 2 2 3" xfId="29809"/>
    <cellStyle name="Normal 2 2 2 2 4" xfId="29810"/>
    <cellStyle name="Normal 2 2 2 2 5" xfId="29811"/>
    <cellStyle name="Normal 2 2 2 2_Base" xfId="29812"/>
    <cellStyle name="Normal 2 2 2 3" xfId="29813"/>
    <cellStyle name="Normal 2 2 2 4" xfId="29814"/>
    <cellStyle name="Normal 2 2 2 5" xfId="29815"/>
    <cellStyle name="Normal 2 2 3" xfId="29816"/>
    <cellStyle name="Normal 2 2 3 2" xfId="29817"/>
    <cellStyle name="Normal 2 2 4" xfId="29818"/>
    <cellStyle name="Normal 2 2 5" xfId="29819"/>
    <cellStyle name="Normal 2 2 6" xfId="29820"/>
    <cellStyle name="Normal 2 2 7" xfId="29821"/>
    <cellStyle name="Normal 2 2 7 2" xfId="29822"/>
    <cellStyle name="Normal 2 2 8" xfId="29823"/>
    <cellStyle name="Normal 2 2 9" xfId="29824"/>
    <cellStyle name="Normal 2 2_Base" xfId="29825"/>
    <cellStyle name="Normal 2 20" xfId="29826"/>
    <cellStyle name="Normal 2 21" xfId="29827"/>
    <cellStyle name="Normal 2 22" xfId="29828"/>
    <cellStyle name="Normal 2 23" xfId="29829"/>
    <cellStyle name="Normal 2 24" xfId="29830"/>
    <cellStyle name="Normal 2 25" xfId="29831"/>
    <cellStyle name="Normal 2 26" xfId="29832"/>
    <cellStyle name="Normal 2 27" xfId="29833"/>
    <cellStyle name="Normal 2 28" xfId="29834"/>
    <cellStyle name="Normal 2 29" xfId="29835"/>
    <cellStyle name="Normal 2 3" xfId="381"/>
    <cellStyle name="Normal 2 3 2" xfId="29836"/>
    <cellStyle name="Normal 2 3 2 2" xfId="29837"/>
    <cellStyle name="Normal 2 3 3" xfId="29838"/>
    <cellStyle name="Normal 2 3 4" xfId="29839"/>
    <cellStyle name="Normal 2 3 5" xfId="29840"/>
    <cellStyle name="Normal 2 3_Base" xfId="29841"/>
    <cellStyle name="Normal 2 30" xfId="29842"/>
    <cellStyle name="Normal 2 31" xfId="29843"/>
    <cellStyle name="Normal 2 32" xfId="29844"/>
    <cellStyle name="Normal 2 33" xfId="29845"/>
    <cellStyle name="Normal 2 34" xfId="29846"/>
    <cellStyle name="Normal 2 35" xfId="29847"/>
    <cellStyle name="Normal 2 4" xfId="29848"/>
    <cellStyle name="Normal 2 4 2" xfId="29849"/>
    <cellStyle name="Normal 2 4 3" xfId="29850"/>
    <cellStyle name="Normal 2 4 4" xfId="29851"/>
    <cellStyle name="Normal 2 4_Base" xfId="29852"/>
    <cellStyle name="Normal 2 5" xfId="29853"/>
    <cellStyle name="Normal 2 5 2" xfId="29854"/>
    <cellStyle name="Normal 2 5_Base" xfId="29855"/>
    <cellStyle name="Normal 2 6" xfId="29856"/>
    <cellStyle name="Normal 2 6 2" xfId="29857"/>
    <cellStyle name="Normal 2 6_Base" xfId="29858"/>
    <cellStyle name="Normal 2 7" xfId="29859"/>
    <cellStyle name="Normal 2 8" xfId="29860"/>
    <cellStyle name="Normal 2 9" xfId="29861"/>
    <cellStyle name="Normal 2_★ 2010 MBO Target_v3" xfId="29862"/>
    <cellStyle name="Normal 20" xfId="29863"/>
    <cellStyle name="Normal 20 2" xfId="29864"/>
    <cellStyle name="Normal 20 2 2" xfId="29865"/>
    <cellStyle name="Normal 20 2 2 2" xfId="29866"/>
    <cellStyle name="Normal 20 2 2_Price_forum_dez10 (Duos + Touch) (2)" xfId="29867"/>
    <cellStyle name="Normal 20 2_Price_forum_dez10 (Duos + Touch) (2)" xfId="29868"/>
    <cellStyle name="Normal 20_Price_forum_dez10 (Duos + Touch) (2)" xfId="29869"/>
    <cellStyle name="Normal 200" xfId="29870"/>
    <cellStyle name="Normal 200 2" xfId="29871"/>
    <cellStyle name="Normal 201" xfId="29872"/>
    <cellStyle name="Normal 202" xfId="29873"/>
    <cellStyle name="Normal 203" xfId="29874"/>
    <cellStyle name="Normal 204" xfId="29875"/>
    <cellStyle name="Normal 205" xfId="29876"/>
    <cellStyle name="Normal 206" xfId="29877"/>
    <cellStyle name="Normal 207" xfId="29878"/>
    <cellStyle name="Normal 207 2" xfId="29879"/>
    <cellStyle name="Normal 208" xfId="29880"/>
    <cellStyle name="Normal 208 2" xfId="29881"/>
    <cellStyle name="Normal 209" xfId="29882"/>
    <cellStyle name="Normal 209 2" xfId="29883"/>
    <cellStyle name="Normal 21" xfId="29884"/>
    <cellStyle name="Normal 210" xfId="29885"/>
    <cellStyle name="Normal 210 2" xfId="29886"/>
    <cellStyle name="Normal 211" xfId="29887"/>
    <cellStyle name="Normal 212" xfId="29888"/>
    <cellStyle name="Normal 213" xfId="29889"/>
    <cellStyle name="Normal 214" xfId="29890"/>
    <cellStyle name="Normal 215" xfId="29891"/>
    <cellStyle name="Normal 216" xfId="29892"/>
    <cellStyle name="Normal 217" xfId="29893"/>
    <cellStyle name="Normal 218" xfId="29894"/>
    <cellStyle name="Normal 219" xfId="29895"/>
    <cellStyle name="Normal 22" xfId="29896"/>
    <cellStyle name="Normal 22 2" xfId="29897"/>
    <cellStyle name="Normal 220" xfId="29898"/>
    <cellStyle name="Normal 221" xfId="29899"/>
    <cellStyle name="Normal 222" xfId="29900"/>
    <cellStyle name="Normal 223" xfId="29901"/>
    <cellStyle name="Normal 224" xfId="29902"/>
    <cellStyle name="Normal 225" xfId="29903"/>
    <cellStyle name="Normal 226" xfId="29904"/>
    <cellStyle name="Normal 227" xfId="29905"/>
    <cellStyle name="Normal 228" xfId="29906"/>
    <cellStyle name="Normal 229" xfId="29907"/>
    <cellStyle name="Normal 23" xfId="29908"/>
    <cellStyle name="Normal 230" xfId="29909"/>
    <cellStyle name="Normal 231" xfId="29910"/>
    <cellStyle name="Normal 232" xfId="29911"/>
    <cellStyle name="Normal 233" xfId="29912"/>
    <cellStyle name="Normal 234" xfId="29913"/>
    <cellStyle name="Normal 235" xfId="29914"/>
    <cellStyle name="Normal 236" xfId="29915"/>
    <cellStyle name="Normal 237" xfId="29916"/>
    <cellStyle name="Normal 238" xfId="29917"/>
    <cellStyle name="Normal 239" xfId="29918"/>
    <cellStyle name="Normal 24" xfId="29919"/>
    <cellStyle name="Normal 24 2" xfId="29920"/>
    <cellStyle name="Normal 24_Base_PJ_e _PF" xfId="29921"/>
    <cellStyle name="Normal 240" xfId="29922"/>
    <cellStyle name="Normal 241" xfId="29923"/>
    <cellStyle name="Normal 242" xfId="29924"/>
    <cellStyle name="Normal 243" xfId="29925"/>
    <cellStyle name="Normal 244" xfId="29926"/>
    <cellStyle name="Normal 245" xfId="29927"/>
    <cellStyle name="Normal 246" xfId="29928"/>
    <cellStyle name="Normal 247" xfId="29929"/>
    <cellStyle name="Normal 248" xfId="29930"/>
    <cellStyle name="Normal 249" xfId="29931"/>
    <cellStyle name="Normal 25" xfId="29932"/>
    <cellStyle name="Normal 25 2" xfId="29933"/>
    <cellStyle name="Normal 250" xfId="29934"/>
    <cellStyle name="Normal 251" xfId="29935"/>
    <cellStyle name="Normal 252" xfId="29936"/>
    <cellStyle name="Normal 253" xfId="29937"/>
    <cellStyle name="Normal 254" xfId="29938"/>
    <cellStyle name="Normal 26" xfId="29939"/>
    <cellStyle name="Normal 26 2" xfId="29940"/>
    <cellStyle name="Normal 26 2 2" xfId="29941"/>
    <cellStyle name="Normal 26 3" xfId="29942"/>
    <cellStyle name="Normal 26 3 2" xfId="29943"/>
    <cellStyle name="Normal 26 4" xfId="29944"/>
    <cellStyle name="Normal 26 4 2" xfId="29945"/>
    <cellStyle name="Normal 26 5" xfId="29946"/>
    <cellStyle name="Normal 26 5 2" xfId="29947"/>
    <cellStyle name="Normal 26 6" xfId="29948"/>
    <cellStyle name="Normal 26 7" xfId="29949"/>
    <cellStyle name="Normal 27" xfId="29950"/>
    <cellStyle name="Normal 27 2" xfId="29951"/>
    <cellStyle name="Normal 27 3" xfId="29952"/>
    <cellStyle name="Normal 27 4" xfId="29953"/>
    <cellStyle name="Normal 27 5" xfId="29954"/>
    <cellStyle name="Normal 27 6" xfId="29955"/>
    <cellStyle name="Normal 27 7" xfId="29956"/>
    <cellStyle name="Normal 28" xfId="29957"/>
    <cellStyle name="Normal 28 2" xfId="29958"/>
    <cellStyle name="Normal 28 3" xfId="29959"/>
    <cellStyle name="Normal 28 4" xfId="29960"/>
    <cellStyle name="Normal 28 5" xfId="29961"/>
    <cellStyle name="Normal 28 6" xfId="29962"/>
    <cellStyle name="Normal 28 7" xfId="29963"/>
    <cellStyle name="Normal 29" xfId="29964"/>
    <cellStyle name="Normal 29 2" xfId="29965"/>
    <cellStyle name="Normal 3" xfId="142"/>
    <cellStyle name="Normal 3 10" xfId="29966"/>
    <cellStyle name="Normal 3 11" xfId="29967"/>
    <cellStyle name="Normal 3 12" xfId="29968"/>
    <cellStyle name="Normal 3 13" xfId="29969"/>
    <cellStyle name="Normal 3 14" xfId="29970"/>
    <cellStyle name="Normal 3 15" xfId="29971"/>
    <cellStyle name="Normal 3 16" xfId="29972"/>
    <cellStyle name="Normal 3 17" xfId="29973"/>
    <cellStyle name="Normal 3 18" xfId="29974"/>
    <cellStyle name="Normal 3 19" xfId="29975"/>
    <cellStyle name="Normal 3 2" xfId="382"/>
    <cellStyle name="Normal 3 2 10" xfId="29976"/>
    <cellStyle name="Normal 3 2 11" xfId="29977"/>
    <cellStyle name="Normal 3 2 12" xfId="29978"/>
    <cellStyle name="Normal 3 2 13" xfId="29979"/>
    <cellStyle name="Normal 3 2 14" xfId="29980"/>
    <cellStyle name="Normal 3 2 15" xfId="29981"/>
    <cellStyle name="Normal 3 2 2" xfId="390"/>
    <cellStyle name="Normal 3 2 3" xfId="29982"/>
    <cellStyle name="Normal 3 2 4" xfId="29983"/>
    <cellStyle name="Normal 3 2 5" xfId="29984"/>
    <cellStyle name="Normal 3 2 6" xfId="29985"/>
    <cellStyle name="Normal 3 2 7" xfId="29986"/>
    <cellStyle name="Normal 3 2 8" xfId="29987"/>
    <cellStyle name="Normal 3 2 9" xfId="29988"/>
    <cellStyle name="Normal 3 2_★ 2010 MBO Target_v3" xfId="29989"/>
    <cellStyle name="Normal 3 20" xfId="29990"/>
    <cellStyle name="Normal 3 21" xfId="29991"/>
    <cellStyle name="Normal 3 22" xfId="29992"/>
    <cellStyle name="Normal 3 23" xfId="29993"/>
    <cellStyle name="Normal 3 24" xfId="29994"/>
    <cellStyle name="Normal 3 25" xfId="29995"/>
    <cellStyle name="Normal 3 26" xfId="29996"/>
    <cellStyle name="Normal 3 27" xfId="29997"/>
    <cellStyle name="Normal 3 28" xfId="29998"/>
    <cellStyle name="Normal 3 29" xfId="29999"/>
    <cellStyle name="Normal 3 3" xfId="30000"/>
    <cellStyle name="Normal 3 3 2" xfId="30001"/>
    <cellStyle name="Normal 3 3 2 2" xfId="30002"/>
    <cellStyle name="Normal 3 3 3" xfId="30003"/>
    <cellStyle name="Normal 3 3 4" xfId="30004"/>
    <cellStyle name="Normal 3 3 5" xfId="30005"/>
    <cellStyle name="Normal 3 30" xfId="30006"/>
    <cellStyle name="Normal 3 31" xfId="30007"/>
    <cellStyle name="Normal 3 32" xfId="30008"/>
    <cellStyle name="Normal 3 4" xfId="30009"/>
    <cellStyle name="Normal 3 4 2" xfId="30010"/>
    <cellStyle name="Normal 3 4 3" xfId="30011"/>
    <cellStyle name="Normal 3 5" xfId="30012"/>
    <cellStyle name="Normal 3 5 2" xfId="30013"/>
    <cellStyle name="Normal 3 6" xfId="30014"/>
    <cellStyle name="Normal 3 6 2" xfId="30015"/>
    <cellStyle name="Normal 3 7" xfId="30016"/>
    <cellStyle name="Normal 3 8" xfId="30017"/>
    <cellStyle name="Normal 3 8 2" xfId="30018"/>
    <cellStyle name="Normal 3 9" xfId="30019"/>
    <cellStyle name="Normal 3_Base" xfId="30020"/>
    <cellStyle name="Normal 30" xfId="30021"/>
    <cellStyle name="Normal 30 2" xfId="30022"/>
    <cellStyle name="Normal 30 2 2" xfId="30023"/>
    <cellStyle name="Normal 30 3" xfId="30024"/>
    <cellStyle name="Normal 30 3 2" xfId="30025"/>
    <cellStyle name="Normal 30 4" xfId="30026"/>
    <cellStyle name="Normal 30 4 2" xfId="30027"/>
    <cellStyle name="Normal 30 5" xfId="30028"/>
    <cellStyle name="Normal 30 5 2" xfId="30029"/>
    <cellStyle name="Normal 30 6" xfId="30030"/>
    <cellStyle name="Normal 31" xfId="30031"/>
    <cellStyle name="Normal 31 2" xfId="30032"/>
    <cellStyle name="Normal 31 2 2" xfId="30033"/>
    <cellStyle name="Normal 31 3" xfId="30034"/>
    <cellStyle name="Normal 31 3 2" xfId="30035"/>
    <cellStyle name="Normal 31 4" xfId="30036"/>
    <cellStyle name="Normal 31 4 2" xfId="30037"/>
    <cellStyle name="Normal 31 5" xfId="30038"/>
    <cellStyle name="Normal 31 5 2" xfId="30039"/>
    <cellStyle name="Normal 31 6" xfId="30040"/>
    <cellStyle name="Normal 32" xfId="30041"/>
    <cellStyle name="Normal 32 2" xfId="30042"/>
    <cellStyle name="Normal 33" xfId="30043"/>
    <cellStyle name="Normal 33 2" xfId="30044"/>
    <cellStyle name="Normal 33 2 2" xfId="30045"/>
    <cellStyle name="Normal 33 3" xfId="30046"/>
    <cellStyle name="Normal 33 3 2" xfId="30047"/>
    <cellStyle name="Normal 33 4" xfId="30048"/>
    <cellStyle name="Normal 33 4 2" xfId="30049"/>
    <cellStyle name="Normal 33 5" xfId="30050"/>
    <cellStyle name="Normal 33 5 2" xfId="30051"/>
    <cellStyle name="Normal 33 6" xfId="30052"/>
    <cellStyle name="Normal 34" xfId="30053"/>
    <cellStyle name="Normal 34 2" xfId="30054"/>
    <cellStyle name="Normal 35" xfId="30055"/>
    <cellStyle name="Normal 35 2" xfId="30056"/>
    <cellStyle name="Normal 36" xfId="30057"/>
    <cellStyle name="Normal 36 2" xfId="30058"/>
    <cellStyle name="Normal 37" xfId="30059"/>
    <cellStyle name="Normal 37 2" xfId="30060"/>
    <cellStyle name="Normal 38" xfId="30061"/>
    <cellStyle name="Normal 38 2" xfId="30062"/>
    <cellStyle name="Normal 39" xfId="30063"/>
    <cellStyle name="Normal 39 2" xfId="30064"/>
    <cellStyle name="Normal 4" xfId="143"/>
    <cellStyle name="Normal 4 2" xfId="30065"/>
    <cellStyle name="Normal 4 2 2" xfId="30066"/>
    <cellStyle name="Normal 4 3" xfId="30067"/>
    <cellStyle name="Normal 4 4" xfId="30068"/>
    <cellStyle name="Normal 4 5" xfId="30069"/>
    <cellStyle name="Normal 4 5 2" xfId="30070"/>
    <cellStyle name="Normal 4 6" xfId="30071"/>
    <cellStyle name="Normal 4 7" xfId="30072"/>
    <cellStyle name="Normal 4 8" xfId="30073"/>
    <cellStyle name="Normal 4 9" xfId="30074"/>
    <cellStyle name="Normal 4_★ 2010 MBO Target_v3" xfId="30075"/>
    <cellStyle name="Normal 40" xfId="30076"/>
    <cellStyle name="Normal 40 2" xfId="30077"/>
    <cellStyle name="Normal 41" xfId="30078"/>
    <cellStyle name="Normal 41 2" xfId="30079"/>
    <cellStyle name="Normal 42" xfId="30080"/>
    <cellStyle name="Normal 42 2" xfId="30081"/>
    <cellStyle name="Normal 43" xfId="30082"/>
    <cellStyle name="Normal 43 2" xfId="30083"/>
    <cellStyle name="Normal 44" xfId="30084"/>
    <cellStyle name="Normal 44 2" xfId="30085"/>
    <cellStyle name="Normal 45" xfId="30086"/>
    <cellStyle name="Normal 45 2" xfId="30087"/>
    <cellStyle name="Normal 46" xfId="30088"/>
    <cellStyle name="Normal 47" xfId="30089"/>
    <cellStyle name="Normal 48" xfId="30090"/>
    <cellStyle name="Normal 48 2" xfId="30091"/>
    <cellStyle name="Normal 48 2 2" xfId="30092"/>
    <cellStyle name="Normal 48 3" xfId="30093"/>
    <cellStyle name="Normal 48 3 2" xfId="30094"/>
    <cellStyle name="Normal 48 4" xfId="30095"/>
    <cellStyle name="Normal 48 4 2" xfId="30096"/>
    <cellStyle name="Normal 48 5" xfId="30097"/>
    <cellStyle name="Normal 48 5 2" xfId="30098"/>
    <cellStyle name="Normal 48 6" xfId="30099"/>
    <cellStyle name="Normal 49" xfId="30100"/>
    <cellStyle name="Normal 49 2" xfId="30101"/>
    <cellStyle name="Normal 49 2 2" xfId="30102"/>
    <cellStyle name="Normal 49 3" xfId="30103"/>
    <cellStyle name="Normal 49 3 2" xfId="30104"/>
    <cellStyle name="Normal 49 4" xfId="30105"/>
    <cellStyle name="Normal 49 4 2" xfId="30106"/>
    <cellStyle name="Normal 49 5" xfId="30107"/>
    <cellStyle name="Normal 49 5 2" xfId="30108"/>
    <cellStyle name="Normal 49 6" xfId="30109"/>
    <cellStyle name="Normal 5" xfId="144"/>
    <cellStyle name="Normal 5 2" xfId="383"/>
    <cellStyle name="Normal 5 2 2" xfId="384"/>
    <cellStyle name="Normal 5 2 3" xfId="30110"/>
    <cellStyle name="Normal 5 3" xfId="385"/>
    <cellStyle name="Normal 5 3 2" xfId="30111"/>
    <cellStyle name="Normal 5 4" xfId="386"/>
    <cellStyle name="Normal 5 4 2" xfId="30112"/>
    <cellStyle name="Normal 5 5" xfId="30113"/>
    <cellStyle name="Normal 5 5 2" xfId="30114"/>
    <cellStyle name="Normal 5 6" xfId="30115"/>
    <cellStyle name="Normal 5 7" xfId="30116"/>
    <cellStyle name="Normal 5 8" xfId="30117"/>
    <cellStyle name="Normal 5_★ 2010 MBO Target_v3" xfId="30118"/>
    <cellStyle name="Normal 50" xfId="30119"/>
    <cellStyle name="Normal 51" xfId="30120"/>
    <cellStyle name="Normal 52" xfId="30121"/>
    <cellStyle name="Normal 53" xfId="30122"/>
    <cellStyle name="Normal 54" xfId="30123"/>
    <cellStyle name="Normal 55" xfId="30124"/>
    <cellStyle name="Normal 56" xfId="30125"/>
    <cellStyle name="Normal 57" xfId="30126"/>
    <cellStyle name="Normal 57 2" xfId="30127"/>
    <cellStyle name="Normal 57 2 2" xfId="30128"/>
    <cellStyle name="Normal 57 3" xfId="30129"/>
    <cellStyle name="Normal 57 3 2" xfId="30130"/>
    <cellStyle name="Normal 57 4" xfId="30131"/>
    <cellStyle name="Normal 57 4 2" xfId="30132"/>
    <cellStyle name="Normal 57 5" xfId="30133"/>
    <cellStyle name="Normal 57 5 2" xfId="30134"/>
    <cellStyle name="Normal 57 6" xfId="30135"/>
    <cellStyle name="Normal 58" xfId="30136"/>
    <cellStyle name="Normal 58 2" xfId="30137"/>
    <cellStyle name="Normal 58 2 2" xfId="30138"/>
    <cellStyle name="Normal 58 3" xfId="30139"/>
    <cellStyle name="Normal 58 3 2" xfId="30140"/>
    <cellStyle name="Normal 58 4" xfId="30141"/>
    <cellStyle name="Normal 58 4 2" xfId="30142"/>
    <cellStyle name="Normal 58 5" xfId="30143"/>
    <cellStyle name="Normal 58 5 2" xfId="30144"/>
    <cellStyle name="Normal 58 6" xfId="30145"/>
    <cellStyle name="Normal 59" xfId="30146"/>
    <cellStyle name="Normal 6" xfId="145"/>
    <cellStyle name="Normal 6 2" xfId="30147"/>
    <cellStyle name="Normal 6 2 2" xfId="30148"/>
    <cellStyle name="Normal 6 2 2 2" xfId="30149"/>
    <cellStyle name="Normal 6 2 3" xfId="30150"/>
    <cellStyle name="Normal 6 3" xfId="30151"/>
    <cellStyle name="Normal 6 4" xfId="30152"/>
    <cellStyle name="Normal 6 5" xfId="30153"/>
    <cellStyle name="Normal 6 6" xfId="30154"/>
    <cellStyle name="Normal 6 6 2" xfId="30155"/>
    <cellStyle name="Normal 6 7" xfId="30156"/>
    <cellStyle name="Normal 6 8" xfId="30157"/>
    <cellStyle name="Normal 60" xfId="30158"/>
    <cellStyle name="Normal 61" xfId="30159"/>
    <cellStyle name="Normal 62" xfId="30160"/>
    <cellStyle name="Normal 62 2" xfId="30161"/>
    <cellStyle name="Normal 62 2 2" xfId="30162"/>
    <cellStyle name="Normal 62 3" xfId="30163"/>
    <cellStyle name="Normal 62 3 2" xfId="30164"/>
    <cellStyle name="Normal 62 4" xfId="30165"/>
    <cellStyle name="Normal 62 4 2" xfId="30166"/>
    <cellStyle name="Normal 62 5" xfId="30167"/>
    <cellStyle name="Normal 62 5 2" xfId="30168"/>
    <cellStyle name="Normal 62 6" xfId="30169"/>
    <cellStyle name="Normal 63" xfId="146"/>
    <cellStyle name="Normal 63 2" xfId="30170"/>
    <cellStyle name="Normal 64" xfId="30171"/>
    <cellStyle name="Normal 64 2" xfId="30172"/>
    <cellStyle name="Normal 64 2 2" xfId="30173"/>
    <cellStyle name="Normal 64 3" xfId="30174"/>
    <cellStyle name="Normal 64 3 2" xfId="30175"/>
    <cellStyle name="Normal 65" xfId="30176"/>
    <cellStyle name="Normal 65 2" xfId="30177"/>
    <cellStyle name="Normal 65 2 2" xfId="30178"/>
    <cellStyle name="Normal 65 3" xfId="30179"/>
    <cellStyle name="Normal 65 3 2" xfId="30180"/>
    <cellStyle name="Normal 66" xfId="30181"/>
    <cellStyle name="Normal 66 2" xfId="30182"/>
    <cellStyle name="Normal 66 2 2" xfId="30183"/>
    <cellStyle name="Normal 66 3" xfId="30184"/>
    <cellStyle name="Normal 66 3 2" xfId="30185"/>
    <cellStyle name="Normal 67" xfId="30186"/>
    <cellStyle name="Normal 67 2" xfId="30187"/>
    <cellStyle name="Normal 67 2 2" xfId="30188"/>
    <cellStyle name="Normal 67 3" xfId="30189"/>
    <cellStyle name="Normal 67 3 2" xfId="30190"/>
    <cellStyle name="Normal 68" xfId="30191"/>
    <cellStyle name="Normal 69" xfId="30192"/>
    <cellStyle name="Normal 7" xfId="387"/>
    <cellStyle name="Normal 7 10" xfId="30193"/>
    <cellStyle name="Normal 7 11" xfId="30194"/>
    <cellStyle name="Normal 7 12" xfId="30195"/>
    <cellStyle name="Normal 7 2" xfId="30196"/>
    <cellStyle name="Normal 7 2 2" xfId="30197"/>
    <cellStyle name="Normal 7 2 2 2" xfId="30198"/>
    <cellStyle name="Normal 7 2 3" xfId="30199"/>
    <cellStyle name="Normal 7 3" xfId="30200"/>
    <cellStyle name="Normal 7 3 2" xfId="30201"/>
    <cellStyle name="Normal 7 3 3" xfId="30202"/>
    <cellStyle name="Normal 7 3 4" xfId="30203"/>
    <cellStyle name="Normal 7 3_Oi_Fixo_11062010_final2" xfId="30204"/>
    <cellStyle name="Normal 7 4" xfId="30205"/>
    <cellStyle name="Normal 7 4 2" xfId="30206"/>
    <cellStyle name="Normal 7 4 3" xfId="30207"/>
    <cellStyle name="Normal 7 4 4" xfId="30208"/>
    <cellStyle name="Normal 7 4_Oi_Fixo_11062010_final2" xfId="30209"/>
    <cellStyle name="Normal 7 5" xfId="30210"/>
    <cellStyle name="Normal 7 6" xfId="30211"/>
    <cellStyle name="Normal 7 6 2" xfId="30212"/>
    <cellStyle name="Normal 7 7" xfId="30213"/>
    <cellStyle name="Normal 7 8" xfId="30214"/>
    <cellStyle name="Normal 7 9" xfId="30215"/>
    <cellStyle name="Normal 7_Evolução mensal_r1" xfId="30216"/>
    <cellStyle name="Normal 70" xfId="30217"/>
    <cellStyle name="Normal 71" xfId="30218"/>
    <cellStyle name="Normal 72" xfId="30219"/>
    <cellStyle name="Normal 73" xfId="30220"/>
    <cellStyle name="Normal 74" xfId="30221"/>
    <cellStyle name="Normal 75" xfId="30222"/>
    <cellStyle name="Normal 76" xfId="30223"/>
    <cellStyle name="Normal 77" xfId="30224"/>
    <cellStyle name="Normal 78" xfId="30225"/>
    <cellStyle name="Normal 79" xfId="30226"/>
    <cellStyle name="Normal 8" xfId="388"/>
    <cellStyle name="Normal 8 10" xfId="30227"/>
    <cellStyle name="Normal 8 10 2" xfId="30228"/>
    <cellStyle name="Normal 8 11" xfId="30229"/>
    <cellStyle name="Normal 8 12" xfId="30230"/>
    <cellStyle name="Normal 8 2" xfId="30231"/>
    <cellStyle name="Normal 8 2 2" xfId="30232"/>
    <cellStyle name="Normal 8 2 3" xfId="30233"/>
    <cellStyle name="Normal 8 3" xfId="30234"/>
    <cellStyle name="Normal 8 4" xfId="30235"/>
    <cellStyle name="Normal 8 5" xfId="30236"/>
    <cellStyle name="Normal 8 6" xfId="30237"/>
    <cellStyle name="Normal 8 7" xfId="30238"/>
    <cellStyle name="Normal 8 8" xfId="30239"/>
    <cellStyle name="Normal 8 9" xfId="30240"/>
    <cellStyle name="Normal 8_Base" xfId="30241"/>
    <cellStyle name="Normal 80" xfId="30242"/>
    <cellStyle name="Normal 81" xfId="30243"/>
    <cellStyle name="Normal 82" xfId="30244"/>
    <cellStyle name="Normal 83" xfId="30245"/>
    <cellStyle name="Normal 84" xfId="30246"/>
    <cellStyle name="Normal 85" xfId="30247"/>
    <cellStyle name="Normal 86" xfId="30248"/>
    <cellStyle name="Normal 87" xfId="30249"/>
    <cellStyle name="Normal 88" xfId="30250"/>
    <cellStyle name="Normal 89" xfId="30251"/>
    <cellStyle name="Normal 89 2" xfId="30252"/>
    <cellStyle name="Normal 89 2 2" xfId="30253"/>
    <cellStyle name="Normal 89 3" xfId="30254"/>
    <cellStyle name="Normal 89 3 2" xfId="30255"/>
    <cellStyle name="Normal 89 4" xfId="30256"/>
    <cellStyle name="Normal 9" xfId="30257"/>
    <cellStyle name="Normal 9 2" xfId="30258"/>
    <cellStyle name="Normal 9 2 2" xfId="30259"/>
    <cellStyle name="Normal 9 2 2 2" xfId="30260"/>
    <cellStyle name="Normal 9 2 3" xfId="30261"/>
    <cellStyle name="Normal 9 2 4" xfId="30262"/>
    <cellStyle name="Normal 9 3" xfId="30263"/>
    <cellStyle name="Normal 9 3 2" xfId="30264"/>
    <cellStyle name="Normal 9 4" xfId="30265"/>
    <cellStyle name="Normal 9 5" xfId="30266"/>
    <cellStyle name="Normal 9 5 2" xfId="30267"/>
    <cellStyle name="Normal 9 6" xfId="30268"/>
    <cellStyle name="Normal 90" xfId="30269"/>
    <cellStyle name="Normal 91" xfId="30270"/>
    <cellStyle name="Normal 91 2" xfId="30271"/>
    <cellStyle name="Normal 91 2 2" xfId="30272"/>
    <cellStyle name="Normal 91 3" xfId="30273"/>
    <cellStyle name="Normal 91 3 2" xfId="30274"/>
    <cellStyle name="Normal 91 4" xfId="30275"/>
    <cellStyle name="Normal 92" xfId="30276"/>
    <cellStyle name="Normal 93" xfId="30277"/>
    <cellStyle name="Normal 94" xfId="30278"/>
    <cellStyle name="Normal 95" xfId="30279"/>
    <cellStyle name="Normal 96" xfId="30280"/>
    <cellStyle name="Normal 97" xfId="30281"/>
    <cellStyle name="Normal 98" xfId="30282"/>
    <cellStyle name="Normal 99" xfId="30283"/>
    <cellStyle name="Normal1" xfId="30284"/>
    <cellStyle name="Normal1 2" xfId="30285"/>
    <cellStyle name="Normal1 2 2" xfId="30286"/>
    <cellStyle name="Normal1 2 2 2" xfId="30287"/>
    <cellStyle name="Normal1 2 3" xfId="30288"/>
    <cellStyle name="Normal1 2 3 2" xfId="30289"/>
    <cellStyle name="Normal1 2 4" xfId="30290"/>
    <cellStyle name="Normal1 3" xfId="30291"/>
    <cellStyle name="Normal1 3 2" xfId="30292"/>
    <cellStyle name="Normal1 3 2 2" xfId="30293"/>
    <cellStyle name="Normal1 3 3" xfId="30294"/>
    <cellStyle name="Normal1 4" xfId="30295"/>
    <cellStyle name="Normal1 4 2" xfId="30296"/>
    <cellStyle name="Normal1 5" xfId="30297"/>
    <cellStyle name="Normale escl. bordo" xfId="30298"/>
    <cellStyle name="Normale lib." xfId="30299"/>
    <cellStyle name="Normale_02 Gruppo TI Maggio" xfId="30300"/>
    <cellStyle name="Normalny_56.Podstawowe dane o woj.(1)" xfId="30301"/>
    <cellStyle name="Not Implemented" xfId="30302"/>
    <cellStyle name="Not Implemented 2" xfId="30303"/>
    <cellStyle name="Not Implemented 2 2" xfId="30304"/>
    <cellStyle name="Not Implemented 2 2 2" xfId="30305"/>
    <cellStyle name="Not Implemented 2 3" xfId="30306"/>
    <cellStyle name="Not Implemented 2 3 2" xfId="30307"/>
    <cellStyle name="Not Implemented 2 4" xfId="30308"/>
    <cellStyle name="Not Implemented 3" xfId="30309"/>
    <cellStyle name="Not Implemented 3 2" xfId="30310"/>
    <cellStyle name="Not Implemented 3 2 2" xfId="30311"/>
    <cellStyle name="Not Implemented 3 3" xfId="30312"/>
    <cellStyle name="Not Implemented 4" xfId="30313"/>
    <cellStyle name="Not Implemented 4 2" xfId="30314"/>
    <cellStyle name="Not Implemented 5" xfId="30315"/>
    <cellStyle name="Nota 10" xfId="30316"/>
    <cellStyle name="Nota 10 2" xfId="30317"/>
    <cellStyle name="Nota 10 2 2" xfId="30318"/>
    <cellStyle name="Nota 10 2 2 2" xfId="30319"/>
    <cellStyle name="Nota 10 2 2 3" xfId="30320"/>
    <cellStyle name="Nota 10 2 3" xfId="30321"/>
    <cellStyle name="Nota 10 2 4" xfId="30322"/>
    <cellStyle name="Nota 10 3" xfId="30323"/>
    <cellStyle name="Nota 10 3 2" xfId="30324"/>
    <cellStyle name="Nota 10 3 2 2" xfId="30325"/>
    <cellStyle name="Nota 10 3 2 3" xfId="30326"/>
    <cellStyle name="Nota 10 3 3" xfId="30327"/>
    <cellStyle name="Nota 10 3 4" xfId="30328"/>
    <cellStyle name="Nota 10 4" xfId="30329"/>
    <cellStyle name="Nota 10 4 2" xfId="30330"/>
    <cellStyle name="Nota 10 4 3" xfId="30331"/>
    <cellStyle name="Nota 10 5" xfId="30332"/>
    <cellStyle name="Nota 10 6" xfId="30333"/>
    <cellStyle name="Nota 11" xfId="30334"/>
    <cellStyle name="Nota 11 2" xfId="30335"/>
    <cellStyle name="Nota 11 2 2" xfId="30336"/>
    <cellStyle name="Nota 11 2 2 2" xfId="30337"/>
    <cellStyle name="Nota 11 2 2 3" xfId="30338"/>
    <cellStyle name="Nota 11 2 3" xfId="30339"/>
    <cellStyle name="Nota 11 2 4" xfId="30340"/>
    <cellStyle name="Nota 11 3" xfId="30341"/>
    <cellStyle name="Nota 11 3 2" xfId="30342"/>
    <cellStyle name="Nota 11 3 2 2" xfId="30343"/>
    <cellStyle name="Nota 11 3 2 3" xfId="30344"/>
    <cellStyle name="Nota 11 3 3" xfId="30345"/>
    <cellStyle name="Nota 11 3 4" xfId="30346"/>
    <cellStyle name="Nota 11 4" xfId="30347"/>
    <cellStyle name="Nota 11 4 2" xfId="30348"/>
    <cellStyle name="Nota 11 4 3" xfId="30349"/>
    <cellStyle name="Nota 11 5" xfId="30350"/>
    <cellStyle name="Nota 11 6" xfId="30351"/>
    <cellStyle name="Nota 12" xfId="30352"/>
    <cellStyle name="Nota 12 2" xfId="30353"/>
    <cellStyle name="Nota 12 2 2" xfId="30354"/>
    <cellStyle name="Nota 12 2 2 2" xfId="30355"/>
    <cellStyle name="Nota 12 2 2 3" xfId="30356"/>
    <cellStyle name="Nota 12 2 3" xfId="30357"/>
    <cellStyle name="Nota 12 2 4" xfId="30358"/>
    <cellStyle name="Nota 12 3" xfId="30359"/>
    <cellStyle name="Nota 12 3 2" xfId="30360"/>
    <cellStyle name="Nota 12 3 2 2" xfId="30361"/>
    <cellStyle name="Nota 12 3 2 3" xfId="30362"/>
    <cellStyle name="Nota 12 3 3" xfId="30363"/>
    <cellStyle name="Nota 12 3 4" xfId="30364"/>
    <cellStyle name="Nota 12 4" xfId="30365"/>
    <cellStyle name="Nota 12 4 2" xfId="30366"/>
    <cellStyle name="Nota 12 4 3" xfId="30367"/>
    <cellStyle name="Nota 12 5" xfId="30368"/>
    <cellStyle name="Nota 12 6" xfId="30369"/>
    <cellStyle name="Nota 13" xfId="30370"/>
    <cellStyle name="Nota 13 2" xfId="30371"/>
    <cellStyle name="Nota 13 2 2" xfId="30372"/>
    <cellStyle name="Nota 13 2 2 2" xfId="30373"/>
    <cellStyle name="Nota 13 2 2 3" xfId="30374"/>
    <cellStyle name="Nota 13 2 3" xfId="30375"/>
    <cellStyle name="Nota 13 2 4" xfId="30376"/>
    <cellStyle name="Nota 13 3" xfId="30377"/>
    <cellStyle name="Nota 13 3 2" xfId="30378"/>
    <cellStyle name="Nota 13 3 2 2" xfId="30379"/>
    <cellStyle name="Nota 13 3 2 3" xfId="30380"/>
    <cellStyle name="Nota 13 3 3" xfId="30381"/>
    <cellStyle name="Nota 13 3 4" xfId="30382"/>
    <cellStyle name="Nota 13 4" xfId="30383"/>
    <cellStyle name="Nota 13 4 2" xfId="30384"/>
    <cellStyle name="Nota 13 4 3" xfId="30385"/>
    <cellStyle name="Nota 13 5" xfId="30386"/>
    <cellStyle name="Nota 13 6" xfId="30387"/>
    <cellStyle name="Nota 14" xfId="30388"/>
    <cellStyle name="Nota 14 2" xfId="30389"/>
    <cellStyle name="Nota 14 2 2" xfId="30390"/>
    <cellStyle name="Nota 14 2 2 2" xfId="30391"/>
    <cellStyle name="Nota 14 2 2 3" xfId="30392"/>
    <cellStyle name="Nota 14 2 3" xfId="30393"/>
    <cellStyle name="Nota 14 2 4" xfId="30394"/>
    <cellStyle name="Nota 14 3" xfId="30395"/>
    <cellStyle name="Nota 14 3 2" xfId="30396"/>
    <cellStyle name="Nota 14 3 2 2" xfId="30397"/>
    <cellStyle name="Nota 14 3 2 3" xfId="30398"/>
    <cellStyle name="Nota 14 3 3" xfId="30399"/>
    <cellStyle name="Nota 14 3 4" xfId="30400"/>
    <cellStyle name="Nota 14 4" xfId="30401"/>
    <cellStyle name="Nota 14 4 2" xfId="30402"/>
    <cellStyle name="Nota 14 4 3" xfId="30403"/>
    <cellStyle name="Nota 14 5" xfId="30404"/>
    <cellStyle name="Nota 14 6" xfId="30405"/>
    <cellStyle name="Nota 2" xfId="30406"/>
    <cellStyle name="Nota 2 10" xfId="30407"/>
    <cellStyle name="Nota 2 10 2" xfId="30408"/>
    <cellStyle name="Nota 2 10 2 2" xfId="30409"/>
    <cellStyle name="Nota 2 10 2 3" xfId="30410"/>
    <cellStyle name="Nota 2 10 3" xfId="30411"/>
    <cellStyle name="Nota 2 10 3 2" xfId="30412"/>
    <cellStyle name="Nota 2 10 3 3" xfId="30413"/>
    <cellStyle name="Nota 2 10 4" xfId="30414"/>
    <cellStyle name="Nota 2 10 5" xfId="30415"/>
    <cellStyle name="Nota 2 11" xfId="30416"/>
    <cellStyle name="Nota 2 11 2" xfId="30417"/>
    <cellStyle name="Nota 2 11 2 2" xfId="30418"/>
    <cellStyle name="Nota 2 11 2 3" xfId="30419"/>
    <cellStyle name="Nota 2 11 3" xfId="30420"/>
    <cellStyle name="Nota 2 11 3 2" xfId="30421"/>
    <cellStyle name="Nota 2 11 3 3" xfId="30422"/>
    <cellStyle name="Nota 2 11 4" xfId="30423"/>
    <cellStyle name="Nota 2 11 5" xfId="30424"/>
    <cellStyle name="Nota 2 12" xfId="30425"/>
    <cellStyle name="Nota 2 12 2" xfId="30426"/>
    <cellStyle name="Nota 2 12 2 2" xfId="30427"/>
    <cellStyle name="Nota 2 12 2 3" xfId="30428"/>
    <cellStyle name="Nota 2 12 3" xfId="30429"/>
    <cellStyle name="Nota 2 12 3 2" xfId="30430"/>
    <cellStyle name="Nota 2 12 3 3" xfId="30431"/>
    <cellStyle name="Nota 2 12 4" xfId="30432"/>
    <cellStyle name="Nota 2 12 5" xfId="30433"/>
    <cellStyle name="Nota 2 13" xfId="30434"/>
    <cellStyle name="Nota 2 13 2" xfId="30435"/>
    <cellStyle name="Nota 2 13 2 2" xfId="30436"/>
    <cellStyle name="Nota 2 13 2 3" xfId="30437"/>
    <cellStyle name="Nota 2 13 3" xfId="30438"/>
    <cellStyle name="Nota 2 13 3 2" xfId="30439"/>
    <cellStyle name="Nota 2 13 3 3" xfId="30440"/>
    <cellStyle name="Nota 2 13 4" xfId="30441"/>
    <cellStyle name="Nota 2 13 5" xfId="30442"/>
    <cellStyle name="Nota 2 14" xfId="30443"/>
    <cellStyle name="Nota 2 14 2" xfId="30444"/>
    <cellStyle name="Nota 2 14 2 2" xfId="30445"/>
    <cellStyle name="Nota 2 14 2 3" xfId="30446"/>
    <cellStyle name="Nota 2 14 3" xfId="30447"/>
    <cellStyle name="Nota 2 14 3 2" xfId="30448"/>
    <cellStyle name="Nota 2 14 3 3" xfId="30449"/>
    <cellStyle name="Nota 2 14 4" xfId="30450"/>
    <cellStyle name="Nota 2 14 5" xfId="30451"/>
    <cellStyle name="Nota 2 15" xfId="30452"/>
    <cellStyle name="Nota 2 15 2" xfId="30453"/>
    <cellStyle name="Nota 2 15 2 2" xfId="30454"/>
    <cellStyle name="Nota 2 15 2 3" xfId="30455"/>
    <cellStyle name="Nota 2 15 3" xfId="30456"/>
    <cellStyle name="Nota 2 15 3 2" xfId="30457"/>
    <cellStyle name="Nota 2 15 3 3" xfId="30458"/>
    <cellStyle name="Nota 2 15 4" xfId="30459"/>
    <cellStyle name="Nota 2 15 5" xfId="30460"/>
    <cellStyle name="Nota 2 16" xfId="30461"/>
    <cellStyle name="Nota 2 16 2" xfId="30462"/>
    <cellStyle name="Nota 2 16 2 2" xfId="30463"/>
    <cellStyle name="Nota 2 16 2 3" xfId="30464"/>
    <cellStyle name="Nota 2 16 3" xfId="30465"/>
    <cellStyle name="Nota 2 16 3 2" xfId="30466"/>
    <cellStyle name="Nota 2 16 3 3" xfId="30467"/>
    <cellStyle name="Nota 2 16 4" xfId="30468"/>
    <cellStyle name="Nota 2 16 5" xfId="30469"/>
    <cellStyle name="Nota 2 17" xfId="30470"/>
    <cellStyle name="Nota 2 17 2" xfId="30471"/>
    <cellStyle name="Nota 2 17 2 2" xfId="30472"/>
    <cellStyle name="Nota 2 17 2 3" xfId="30473"/>
    <cellStyle name="Nota 2 17 3" xfId="30474"/>
    <cellStyle name="Nota 2 17 3 2" xfId="30475"/>
    <cellStyle name="Nota 2 17 3 3" xfId="30476"/>
    <cellStyle name="Nota 2 17 4" xfId="30477"/>
    <cellStyle name="Nota 2 17 5" xfId="30478"/>
    <cellStyle name="Nota 2 18" xfId="30479"/>
    <cellStyle name="Nota 2 18 2" xfId="30480"/>
    <cellStyle name="Nota 2 18 2 2" xfId="30481"/>
    <cellStyle name="Nota 2 18 2 3" xfId="30482"/>
    <cellStyle name="Nota 2 18 3" xfId="30483"/>
    <cellStyle name="Nota 2 18 3 2" xfId="30484"/>
    <cellStyle name="Nota 2 18 3 3" xfId="30485"/>
    <cellStyle name="Nota 2 18 4" xfId="30486"/>
    <cellStyle name="Nota 2 18 5" xfId="30487"/>
    <cellStyle name="Nota 2 19" xfId="30488"/>
    <cellStyle name="Nota 2 19 2" xfId="30489"/>
    <cellStyle name="Nota 2 19 2 2" xfId="30490"/>
    <cellStyle name="Nota 2 19 2 3" xfId="30491"/>
    <cellStyle name="Nota 2 19 3" xfId="30492"/>
    <cellStyle name="Nota 2 19 3 2" xfId="30493"/>
    <cellStyle name="Nota 2 19 3 3" xfId="30494"/>
    <cellStyle name="Nota 2 19 4" xfId="30495"/>
    <cellStyle name="Nota 2 19 5" xfId="30496"/>
    <cellStyle name="Nota 2 2" xfId="30497"/>
    <cellStyle name="Nota 2 2 10" xfId="30498"/>
    <cellStyle name="Nota 2 2 10 2" xfId="30499"/>
    <cellStyle name="Nota 2 2 10 2 2" xfId="30500"/>
    <cellStyle name="Nota 2 2 10 2 3" xfId="30501"/>
    <cellStyle name="Nota 2 2 10 3" xfId="30502"/>
    <cellStyle name="Nota 2 2 10 3 2" xfId="30503"/>
    <cellStyle name="Nota 2 2 10 3 3" xfId="30504"/>
    <cellStyle name="Nota 2 2 10 4" xfId="30505"/>
    <cellStyle name="Nota 2 2 10 5" xfId="30506"/>
    <cellStyle name="Nota 2 2 11" xfId="30507"/>
    <cellStyle name="Nota 2 2 11 2" xfId="30508"/>
    <cellStyle name="Nota 2 2 11 2 2" xfId="30509"/>
    <cellStyle name="Nota 2 2 11 2 3" xfId="30510"/>
    <cellStyle name="Nota 2 2 11 3" xfId="30511"/>
    <cellStyle name="Nota 2 2 11 3 2" xfId="30512"/>
    <cellStyle name="Nota 2 2 11 3 3" xfId="30513"/>
    <cellStyle name="Nota 2 2 11 4" xfId="30514"/>
    <cellStyle name="Nota 2 2 11 5" xfId="30515"/>
    <cellStyle name="Nota 2 2 12" xfId="30516"/>
    <cellStyle name="Nota 2 2 12 2" xfId="30517"/>
    <cellStyle name="Nota 2 2 12 2 2" xfId="30518"/>
    <cellStyle name="Nota 2 2 12 2 3" xfId="30519"/>
    <cellStyle name="Nota 2 2 12 3" xfId="30520"/>
    <cellStyle name="Nota 2 2 12 3 2" xfId="30521"/>
    <cellStyle name="Nota 2 2 12 3 3" xfId="30522"/>
    <cellStyle name="Nota 2 2 12 4" xfId="30523"/>
    <cellStyle name="Nota 2 2 12 5" xfId="30524"/>
    <cellStyle name="Nota 2 2 13" xfId="30525"/>
    <cellStyle name="Nota 2 2 13 2" xfId="30526"/>
    <cellStyle name="Nota 2 2 13 2 2" xfId="30527"/>
    <cellStyle name="Nota 2 2 13 2 3" xfId="30528"/>
    <cellStyle name="Nota 2 2 13 3" xfId="30529"/>
    <cellStyle name="Nota 2 2 13 3 2" xfId="30530"/>
    <cellStyle name="Nota 2 2 13 3 3" xfId="30531"/>
    <cellStyle name="Nota 2 2 13 4" xfId="30532"/>
    <cellStyle name="Nota 2 2 13 5" xfId="30533"/>
    <cellStyle name="Nota 2 2 14" xfId="30534"/>
    <cellStyle name="Nota 2 2 14 2" xfId="30535"/>
    <cellStyle name="Nota 2 2 14 2 2" xfId="30536"/>
    <cellStyle name="Nota 2 2 14 2 3" xfId="30537"/>
    <cellStyle name="Nota 2 2 14 3" xfId="30538"/>
    <cellStyle name="Nota 2 2 14 3 2" xfId="30539"/>
    <cellStyle name="Nota 2 2 14 3 3" xfId="30540"/>
    <cellStyle name="Nota 2 2 14 4" xfId="30541"/>
    <cellStyle name="Nota 2 2 14 5" xfId="30542"/>
    <cellStyle name="Nota 2 2 15" xfId="30543"/>
    <cellStyle name="Nota 2 2 15 2" xfId="30544"/>
    <cellStyle name="Nota 2 2 15 2 2" xfId="30545"/>
    <cellStyle name="Nota 2 2 15 2 3" xfId="30546"/>
    <cellStyle name="Nota 2 2 15 3" xfId="30547"/>
    <cellStyle name="Nota 2 2 15 3 2" xfId="30548"/>
    <cellStyle name="Nota 2 2 15 3 3" xfId="30549"/>
    <cellStyle name="Nota 2 2 15 4" xfId="30550"/>
    <cellStyle name="Nota 2 2 15 5" xfId="30551"/>
    <cellStyle name="Nota 2 2 16" xfId="30552"/>
    <cellStyle name="Nota 2 2 16 2" xfId="30553"/>
    <cellStyle name="Nota 2 2 16 2 2" xfId="30554"/>
    <cellStyle name="Nota 2 2 16 2 3" xfId="30555"/>
    <cellStyle name="Nota 2 2 16 3" xfId="30556"/>
    <cellStyle name="Nota 2 2 16 3 2" xfId="30557"/>
    <cellStyle name="Nota 2 2 16 3 3" xfId="30558"/>
    <cellStyle name="Nota 2 2 16 4" xfId="30559"/>
    <cellStyle name="Nota 2 2 16 5" xfId="30560"/>
    <cellStyle name="Nota 2 2 17" xfId="30561"/>
    <cellStyle name="Nota 2 2 17 2" xfId="30562"/>
    <cellStyle name="Nota 2 2 17 2 2" xfId="30563"/>
    <cellStyle name="Nota 2 2 17 2 3" xfId="30564"/>
    <cellStyle name="Nota 2 2 17 3" xfId="30565"/>
    <cellStyle name="Nota 2 2 17 3 2" xfId="30566"/>
    <cellStyle name="Nota 2 2 17 3 3" xfId="30567"/>
    <cellStyle name="Nota 2 2 17 4" xfId="30568"/>
    <cellStyle name="Nota 2 2 17 5" xfId="30569"/>
    <cellStyle name="Nota 2 2 18" xfId="30570"/>
    <cellStyle name="Nota 2 2 18 2" xfId="30571"/>
    <cellStyle name="Nota 2 2 18 2 2" xfId="30572"/>
    <cellStyle name="Nota 2 2 18 2 3" xfId="30573"/>
    <cellStyle name="Nota 2 2 18 3" xfId="30574"/>
    <cellStyle name="Nota 2 2 18 3 2" xfId="30575"/>
    <cellStyle name="Nota 2 2 18 3 3" xfId="30576"/>
    <cellStyle name="Nota 2 2 18 4" xfId="30577"/>
    <cellStyle name="Nota 2 2 18 5" xfId="30578"/>
    <cellStyle name="Nota 2 2 19" xfId="30579"/>
    <cellStyle name="Nota 2 2 19 2" xfId="30580"/>
    <cellStyle name="Nota 2 2 19 2 2" xfId="30581"/>
    <cellStyle name="Nota 2 2 19 2 3" xfId="30582"/>
    <cellStyle name="Nota 2 2 19 3" xfId="30583"/>
    <cellStyle name="Nota 2 2 19 3 2" xfId="30584"/>
    <cellStyle name="Nota 2 2 19 3 3" xfId="30585"/>
    <cellStyle name="Nota 2 2 19 4" xfId="30586"/>
    <cellStyle name="Nota 2 2 19 5" xfId="30587"/>
    <cellStyle name="Nota 2 2 2" xfId="30588"/>
    <cellStyle name="Nota 2 2 2 10" xfId="30589"/>
    <cellStyle name="Nota 2 2 2 10 2" xfId="30590"/>
    <cellStyle name="Nota 2 2 2 10 2 2" xfId="30591"/>
    <cellStyle name="Nota 2 2 2 10 2 3" xfId="30592"/>
    <cellStyle name="Nota 2 2 2 10 3" xfId="30593"/>
    <cellStyle name="Nota 2 2 2 10 3 2" xfId="30594"/>
    <cellStyle name="Nota 2 2 2 10 3 3" xfId="30595"/>
    <cellStyle name="Nota 2 2 2 10 4" xfId="30596"/>
    <cellStyle name="Nota 2 2 2 10 5" xfId="30597"/>
    <cellStyle name="Nota 2 2 2 11" xfId="30598"/>
    <cellStyle name="Nota 2 2 2 11 2" xfId="30599"/>
    <cellStyle name="Nota 2 2 2 11 2 2" xfId="30600"/>
    <cellStyle name="Nota 2 2 2 11 2 3" xfId="30601"/>
    <cellStyle name="Nota 2 2 2 11 3" xfId="30602"/>
    <cellStyle name="Nota 2 2 2 11 3 2" xfId="30603"/>
    <cellStyle name="Nota 2 2 2 11 3 3" xfId="30604"/>
    <cellStyle name="Nota 2 2 2 11 4" xfId="30605"/>
    <cellStyle name="Nota 2 2 2 11 5" xfId="30606"/>
    <cellStyle name="Nota 2 2 2 12" xfId="30607"/>
    <cellStyle name="Nota 2 2 2 12 2" xfId="30608"/>
    <cellStyle name="Nota 2 2 2 12 2 2" xfId="30609"/>
    <cellStyle name="Nota 2 2 2 12 2 3" xfId="30610"/>
    <cellStyle name="Nota 2 2 2 12 3" xfId="30611"/>
    <cellStyle name="Nota 2 2 2 12 3 2" xfId="30612"/>
    <cellStyle name="Nota 2 2 2 12 3 3" xfId="30613"/>
    <cellStyle name="Nota 2 2 2 12 4" xfId="30614"/>
    <cellStyle name="Nota 2 2 2 12 5" xfId="30615"/>
    <cellStyle name="Nota 2 2 2 13" xfId="30616"/>
    <cellStyle name="Nota 2 2 2 13 2" xfId="30617"/>
    <cellStyle name="Nota 2 2 2 13 2 2" xfId="30618"/>
    <cellStyle name="Nota 2 2 2 13 2 3" xfId="30619"/>
    <cellStyle name="Nota 2 2 2 13 3" xfId="30620"/>
    <cellStyle name="Nota 2 2 2 13 3 2" xfId="30621"/>
    <cellStyle name="Nota 2 2 2 13 3 3" xfId="30622"/>
    <cellStyle name="Nota 2 2 2 13 4" xfId="30623"/>
    <cellStyle name="Nota 2 2 2 13 5" xfId="30624"/>
    <cellStyle name="Nota 2 2 2 14" xfId="30625"/>
    <cellStyle name="Nota 2 2 2 14 2" xfId="30626"/>
    <cellStyle name="Nota 2 2 2 14 2 2" xfId="30627"/>
    <cellStyle name="Nota 2 2 2 14 2 3" xfId="30628"/>
    <cellStyle name="Nota 2 2 2 14 3" xfId="30629"/>
    <cellStyle name="Nota 2 2 2 14 3 2" xfId="30630"/>
    <cellStyle name="Nota 2 2 2 14 3 3" xfId="30631"/>
    <cellStyle name="Nota 2 2 2 14 4" xfId="30632"/>
    <cellStyle name="Nota 2 2 2 14 5" xfId="30633"/>
    <cellStyle name="Nota 2 2 2 15" xfId="30634"/>
    <cellStyle name="Nota 2 2 2 15 2" xfId="30635"/>
    <cellStyle name="Nota 2 2 2 15 2 2" xfId="30636"/>
    <cellStyle name="Nota 2 2 2 15 2 3" xfId="30637"/>
    <cellStyle name="Nota 2 2 2 15 3" xfId="30638"/>
    <cellStyle name="Nota 2 2 2 15 3 2" xfId="30639"/>
    <cellStyle name="Nota 2 2 2 15 3 3" xfId="30640"/>
    <cellStyle name="Nota 2 2 2 15 4" xfId="30641"/>
    <cellStyle name="Nota 2 2 2 15 5" xfId="30642"/>
    <cellStyle name="Nota 2 2 2 16" xfId="30643"/>
    <cellStyle name="Nota 2 2 2 16 2" xfId="30644"/>
    <cellStyle name="Nota 2 2 2 16 2 2" xfId="30645"/>
    <cellStyle name="Nota 2 2 2 16 2 3" xfId="30646"/>
    <cellStyle name="Nota 2 2 2 16 3" xfId="30647"/>
    <cellStyle name="Nota 2 2 2 16 3 2" xfId="30648"/>
    <cellStyle name="Nota 2 2 2 16 3 3" xfId="30649"/>
    <cellStyle name="Nota 2 2 2 16 4" xfId="30650"/>
    <cellStyle name="Nota 2 2 2 16 5" xfId="30651"/>
    <cellStyle name="Nota 2 2 2 17" xfId="30652"/>
    <cellStyle name="Nota 2 2 2 17 2" xfId="30653"/>
    <cellStyle name="Nota 2 2 2 17 2 2" xfId="30654"/>
    <cellStyle name="Nota 2 2 2 17 2 3" xfId="30655"/>
    <cellStyle name="Nota 2 2 2 17 3" xfId="30656"/>
    <cellStyle name="Nota 2 2 2 17 3 2" xfId="30657"/>
    <cellStyle name="Nota 2 2 2 17 3 3" xfId="30658"/>
    <cellStyle name="Nota 2 2 2 17 4" xfId="30659"/>
    <cellStyle name="Nota 2 2 2 17 5" xfId="30660"/>
    <cellStyle name="Nota 2 2 2 18" xfId="30661"/>
    <cellStyle name="Nota 2 2 2 18 2" xfId="30662"/>
    <cellStyle name="Nota 2 2 2 18 2 2" xfId="30663"/>
    <cellStyle name="Nota 2 2 2 18 2 3" xfId="30664"/>
    <cellStyle name="Nota 2 2 2 18 3" xfId="30665"/>
    <cellStyle name="Nota 2 2 2 18 3 2" xfId="30666"/>
    <cellStyle name="Nota 2 2 2 18 3 3" xfId="30667"/>
    <cellStyle name="Nota 2 2 2 18 4" xfId="30668"/>
    <cellStyle name="Nota 2 2 2 18 5" xfId="30669"/>
    <cellStyle name="Nota 2 2 2 19" xfId="30670"/>
    <cellStyle name="Nota 2 2 2 19 2" xfId="30671"/>
    <cellStyle name="Nota 2 2 2 19 2 2" xfId="30672"/>
    <cellStyle name="Nota 2 2 2 19 2 3" xfId="30673"/>
    <cellStyle name="Nota 2 2 2 19 3" xfId="30674"/>
    <cellStyle name="Nota 2 2 2 19 3 2" xfId="30675"/>
    <cellStyle name="Nota 2 2 2 19 3 3" xfId="30676"/>
    <cellStyle name="Nota 2 2 2 19 4" xfId="30677"/>
    <cellStyle name="Nota 2 2 2 19 5" xfId="30678"/>
    <cellStyle name="Nota 2 2 2 2" xfId="30679"/>
    <cellStyle name="Nota 2 2 2 2 2" xfId="30680"/>
    <cellStyle name="Nota 2 2 2 2 2 2" xfId="30681"/>
    <cellStyle name="Nota 2 2 2 2 2 3" xfId="30682"/>
    <cellStyle name="Nota 2 2 2 2 3" xfId="30683"/>
    <cellStyle name="Nota 2 2 2 2 3 2" xfId="30684"/>
    <cellStyle name="Nota 2 2 2 2 3 3" xfId="30685"/>
    <cellStyle name="Nota 2 2 2 2 4" xfId="30686"/>
    <cellStyle name="Nota 2 2 2 2 5" xfId="30687"/>
    <cellStyle name="Nota 2 2 2 20" xfId="30688"/>
    <cellStyle name="Nota 2 2 2 20 2" xfId="30689"/>
    <cellStyle name="Nota 2 2 2 20 2 2" xfId="30690"/>
    <cellStyle name="Nota 2 2 2 20 2 3" xfId="30691"/>
    <cellStyle name="Nota 2 2 2 20 3" xfId="30692"/>
    <cellStyle name="Nota 2 2 2 20 3 2" xfId="30693"/>
    <cellStyle name="Nota 2 2 2 20 3 3" xfId="30694"/>
    <cellStyle name="Nota 2 2 2 20 4" xfId="30695"/>
    <cellStyle name="Nota 2 2 2 20 5" xfId="30696"/>
    <cellStyle name="Nota 2 2 2 21" xfId="30697"/>
    <cellStyle name="Nota 2 2 2 21 2" xfId="30698"/>
    <cellStyle name="Nota 2 2 2 21 2 2" xfId="30699"/>
    <cellStyle name="Nota 2 2 2 21 2 3" xfId="30700"/>
    <cellStyle name="Nota 2 2 2 21 3" xfId="30701"/>
    <cellStyle name="Nota 2 2 2 21 3 2" xfId="30702"/>
    <cellStyle name="Nota 2 2 2 21 3 3" xfId="30703"/>
    <cellStyle name="Nota 2 2 2 21 4" xfId="30704"/>
    <cellStyle name="Nota 2 2 2 21 5" xfId="30705"/>
    <cellStyle name="Nota 2 2 2 22" xfId="30706"/>
    <cellStyle name="Nota 2 2 2 22 2" xfId="30707"/>
    <cellStyle name="Nota 2 2 2 22 2 2" xfId="30708"/>
    <cellStyle name="Nota 2 2 2 22 2 3" xfId="30709"/>
    <cellStyle name="Nota 2 2 2 22 3" xfId="30710"/>
    <cellStyle name="Nota 2 2 2 22 3 2" xfId="30711"/>
    <cellStyle name="Nota 2 2 2 22 3 3" xfId="30712"/>
    <cellStyle name="Nota 2 2 2 22 4" xfId="30713"/>
    <cellStyle name="Nota 2 2 2 22 5" xfId="30714"/>
    <cellStyle name="Nota 2 2 2 23" xfId="30715"/>
    <cellStyle name="Nota 2 2 2 23 2" xfId="30716"/>
    <cellStyle name="Nota 2 2 2 23 2 2" xfId="30717"/>
    <cellStyle name="Nota 2 2 2 23 2 3" xfId="30718"/>
    <cellStyle name="Nota 2 2 2 23 3" xfId="30719"/>
    <cellStyle name="Nota 2 2 2 23 3 2" xfId="30720"/>
    <cellStyle name="Nota 2 2 2 23 3 3" xfId="30721"/>
    <cellStyle name="Nota 2 2 2 23 4" xfId="30722"/>
    <cellStyle name="Nota 2 2 2 23 5" xfId="30723"/>
    <cellStyle name="Nota 2 2 2 24" xfId="30724"/>
    <cellStyle name="Nota 2 2 2 24 2" xfId="30725"/>
    <cellStyle name="Nota 2 2 2 24 2 2" xfId="30726"/>
    <cellStyle name="Nota 2 2 2 24 2 3" xfId="30727"/>
    <cellStyle name="Nota 2 2 2 24 3" xfId="30728"/>
    <cellStyle name="Nota 2 2 2 24 3 2" xfId="30729"/>
    <cellStyle name="Nota 2 2 2 24 3 3" xfId="30730"/>
    <cellStyle name="Nota 2 2 2 24 4" xfId="30731"/>
    <cellStyle name="Nota 2 2 2 24 5" xfId="30732"/>
    <cellStyle name="Nota 2 2 2 25" xfId="30733"/>
    <cellStyle name="Nota 2 2 2 25 2" xfId="30734"/>
    <cellStyle name="Nota 2 2 2 25 2 2" xfId="30735"/>
    <cellStyle name="Nota 2 2 2 25 2 3" xfId="30736"/>
    <cellStyle name="Nota 2 2 2 25 3" xfId="30737"/>
    <cellStyle name="Nota 2 2 2 25 3 2" xfId="30738"/>
    <cellStyle name="Nota 2 2 2 25 3 3" xfId="30739"/>
    <cellStyle name="Nota 2 2 2 25 4" xfId="30740"/>
    <cellStyle name="Nota 2 2 2 25 5" xfId="30741"/>
    <cellStyle name="Nota 2 2 2 26" xfId="30742"/>
    <cellStyle name="Nota 2 2 2 26 2" xfId="30743"/>
    <cellStyle name="Nota 2 2 2 26 2 2" xfId="30744"/>
    <cellStyle name="Nota 2 2 2 26 2 3" xfId="30745"/>
    <cellStyle name="Nota 2 2 2 26 3" xfId="30746"/>
    <cellStyle name="Nota 2 2 2 26 3 2" xfId="30747"/>
    <cellStyle name="Nota 2 2 2 26 3 3" xfId="30748"/>
    <cellStyle name="Nota 2 2 2 26 4" xfId="30749"/>
    <cellStyle name="Nota 2 2 2 26 5" xfId="30750"/>
    <cellStyle name="Nota 2 2 2 27" xfId="30751"/>
    <cellStyle name="Nota 2 2 2 27 2" xfId="30752"/>
    <cellStyle name="Nota 2 2 2 27 2 2" xfId="30753"/>
    <cellStyle name="Nota 2 2 2 27 2 3" xfId="30754"/>
    <cellStyle name="Nota 2 2 2 27 3" xfId="30755"/>
    <cellStyle name="Nota 2 2 2 27 3 2" xfId="30756"/>
    <cellStyle name="Nota 2 2 2 27 3 3" xfId="30757"/>
    <cellStyle name="Nota 2 2 2 27 4" xfId="30758"/>
    <cellStyle name="Nota 2 2 2 27 5" xfId="30759"/>
    <cellStyle name="Nota 2 2 2 28" xfId="30760"/>
    <cellStyle name="Nota 2 2 2 28 2" xfId="30761"/>
    <cellStyle name="Nota 2 2 2 28 2 2" xfId="30762"/>
    <cellStyle name="Nota 2 2 2 28 2 3" xfId="30763"/>
    <cellStyle name="Nota 2 2 2 28 3" xfId="30764"/>
    <cellStyle name="Nota 2 2 2 28 3 2" xfId="30765"/>
    <cellStyle name="Nota 2 2 2 28 3 3" xfId="30766"/>
    <cellStyle name="Nota 2 2 2 28 4" xfId="30767"/>
    <cellStyle name="Nota 2 2 2 28 5" xfId="30768"/>
    <cellStyle name="Nota 2 2 2 29" xfId="30769"/>
    <cellStyle name="Nota 2 2 2 29 2" xfId="30770"/>
    <cellStyle name="Nota 2 2 2 29 2 2" xfId="30771"/>
    <cellStyle name="Nota 2 2 2 29 2 3" xfId="30772"/>
    <cellStyle name="Nota 2 2 2 29 3" xfId="30773"/>
    <cellStyle name="Nota 2 2 2 29 3 2" xfId="30774"/>
    <cellStyle name="Nota 2 2 2 29 3 3" xfId="30775"/>
    <cellStyle name="Nota 2 2 2 29 4" xfId="30776"/>
    <cellStyle name="Nota 2 2 2 29 5" xfId="30777"/>
    <cellStyle name="Nota 2 2 2 3" xfId="30778"/>
    <cellStyle name="Nota 2 2 2 3 2" xfId="30779"/>
    <cellStyle name="Nota 2 2 2 3 2 2" xfId="30780"/>
    <cellStyle name="Nota 2 2 2 3 2 3" xfId="30781"/>
    <cellStyle name="Nota 2 2 2 3 3" xfId="30782"/>
    <cellStyle name="Nota 2 2 2 3 3 2" xfId="30783"/>
    <cellStyle name="Nota 2 2 2 3 3 3" xfId="30784"/>
    <cellStyle name="Nota 2 2 2 3 4" xfId="30785"/>
    <cellStyle name="Nota 2 2 2 3 5" xfId="30786"/>
    <cellStyle name="Nota 2 2 2 30" xfId="30787"/>
    <cellStyle name="Nota 2 2 2 30 2" xfId="30788"/>
    <cellStyle name="Nota 2 2 2 30 2 2" xfId="30789"/>
    <cellStyle name="Nota 2 2 2 30 2 3" xfId="30790"/>
    <cellStyle name="Nota 2 2 2 30 3" xfId="30791"/>
    <cellStyle name="Nota 2 2 2 30 3 2" xfId="30792"/>
    <cellStyle name="Nota 2 2 2 30 3 3" xfId="30793"/>
    <cellStyle name="Nota 2 2 2 30 4" xfId="30794"/>
    <cellStyle name="Nota 2 2 2 30 5" xfId="30795"/>
    <cellStyle name="Nota 2 2 2 31" xfId="30796"/>
    <cellStyle name="Nota 2 2 2 31 2" xfId="30797"/>
    <cellStyle name="Nota 2 2 2 31 2 2" xfId="30798"/>
    <cellStyle name="Nota 2 2 2 31 2 3" xfId="30799"/>
    <cellStyle name="Nota 2 2 2 31 3" xfId="30800"/>
    <cellStyle name="Nota 2 2 2 31 3 2" xfId="30801"/>
    <cellStyle name="Nota 2 2 2 31 3 3" xfId="30802"/>
    <cellStyle name="Nota 2 2 2 31 4" xfId="30803"/>
    <cellStyle name="Nota 2 2 2 31 5" xfId="30804"/>
    <cellStyle name="Nota 2 2 2 32" xfId="30805"/>
    <cellStyle name="Nota 2 2 2 32 2" xfId="30806"/>
    <cellStyle name="Nota 2 2 2 32 2 2" xfId="30807"/>
    <cellStyle name="Nota 2 2 2 32 2 3" xfId="30808"/>
    <cellStyle name="Nota 2 2 2 32 3" xfId="30809"/>
    <cellStyle name="Nota 2 2 2 32 3 2" xfId="30810"/>
    <cellStyle name="Nota 2 2 2 32 3 3" xfId="30811"/>
    <cellStyle name="Nota 2 2 2 32 4" xfId="30812"/>
    <cellStyle name="Nota 2 2 2 32 5" xfId="30813"/>
    <cellStyle name="Nota 2 2 2 33" xfId="30814"/>
    <cellStyle name="Nota 2 2 2 33 2" xfId="30815"/>
    <cellStyle name="Nota 2 2 2 33 2 2" xfId="30816"/>
    <cellStyle name="Nota 2 2 2 33 2 3" xfId="30817"/>
    <cellStyle name="Nota 2 2 2 33 3" xfId="30818"/>
    <cellStyle name="Nota 2 2 2 33 3 2" xfId="30819"/>
    <cellStyle name="Nota 2 2 2 33 3 3" xfId="30820"/>
    <cellStyle name="Nota 2 2 2 33 4" xfId="30821"/>
    <cellStyle name="Nota 2 2 2 33 5" xfId="30822"/>
    <cellStyle name="Nota 2 2 2 34" xfId="30823"/>
    <cellStyle name="Nota 2 2 2 34 2" xfId="30824"/>
    <cellStyle name="Nota 2 2 2 34 2 2" xfId="30825"/>
    <cellStyle name="Nota 2 2 2 34 2 3" xfId="30826"/>
    <cellStyle name="Nota 2 2 2 34 3" xfId="30827"/>
    <cellStyle name="Nota 2 2 2 34 3 2" xfId="30828"/>
    <cellStyle name="Nota 2 2 2 34 3 3" xfId="30829"/>
    <cellStyle name="Nota 2 2 2 34 4" xfId="30830"/>
    <cellStyle name="Nota 2 2 2 34 5" xfId="30831"/>
    <cellStyle name="Nota 2 2 2 35" xfId="30832"/>
    <cellStyle name="Nota 2 2 2 35 2" xfId="30833"/>
    <cellStyle name="Nota 2 2 2 35 2 2" xfId="30834"/>
    <cellStyle name="Nota 2 2 2 35 2 3" xfId="30835"/>
    <cellStyle name="Nota 2 2 2 35 3" xfId="30836"/>
    <cellStyle name="Nota 2 2 2 35 3 2" xfId="30837"/>
    <cellStyle name="Nota 2 2 2 35 3 3" xfId="30838"/>
    <cellStyle name="Nota 2 2 2 35 4" xfId="30839"/>
    <cellStyle name="Nota 2 2 2 35 5" xfId="30840"/>
    <cellStyle name="Nota 2 2 2 36" xfId="30841"/>
    <cellStyle name="Nota 2 2 2 36 2" xfId="30842"/>
    <cellStyle name="Nota 2 2 2 36 2 2" xfId="30843"/>
    <cellStyle name="Nota 2 2 2 36 2 3" xfId="30844"/>
    <cellStyle name="Nota 2 2 2 36 3" xfId="30845"/>
    <cellStyle name="Nota 2 2 2 36 3 2" xfId="30846"/>
    <cellStyle name="Nota 2 2 2 36 3 3" xfId="30847"/>
    <cellStyle name="Nota 2 2 2 36 4" xfId="30848"/>
    <cellStyle name="Nota 2 2 2 36 5" xfId="30849"/>
    <cellStyle name="Nota 2 2 2 37" xfId="30850"/>
    <cellStyle name="Nota 2 2 2 37 2" xfId="30851"/>
    <cellStyle name="Nota 2 2 2 37 2 2" xfId="30852"/>
    <cellStyle name="Nota 2 2 2 37 2 3" xfId="30853"/>
    <cellStyle name="Nota 2 2 2 37 3" xfId="30854"/>
    <cellStyle name="Nota 2 2 2 37 3 2" xfId="30855"/>
    <cellStyle name="Nota 2 2 2 37 3 3" xfId="30856"/>
    <cellStyle name="Nota 2 2 2 37 4" xfId="30857"/>
    <cellStyle name="Nota 2 2 2 37 5" xfId="30858"/>
    <cellStyle name="Nota 2 2 2 38" xfId="30859"/>
    <cellStyle name="Nota 2 2 2 38 2" xfId="30860"/>
    <cellStyle name="Nota 2 2 2 38 2 2" xfId="30861"/>
    <cellStyle name="Nota 2 2 2 38 2 3" xfId="30862"/>
    <cellStyle name="Nota 2 2 2 38 3" xfId="30863"/>
    <cellStyle name="Nota 2 2 2 38 3 2" xfId="30864"/>
    <cellStyle name="Nota 2 2 2 38 3 3" xfId="30865"/>
    <cellStyle name="Nota 2 2 2 38 4" xfId="30866"/>
    <cellStyle name="Nota 2 2 2 38 5" xfId="30867"/>
    <cellStyle name="Nota 2 2 2 39" xfId="30868"/>
    <cellStyle name="Nota 2 2 2 39 2" xfId="30869"/>
    <cellStyle name="Nota 2 2 2 39 2 2" xfId="30870"/>
    <cellStyle name="Nota 2 2 2 39 2 3" xfId="30871"/>
    <cellStyle name="Nota 2 2 2 39 3" xfId="30872"/>
    <cellStyle name="Nota 2 2 2 39 3 2" xfId="30873"/>
    <cellStyle name="Nota 2 2 2 39 3 3" xfId="30874"/>
    <cellStyle name="Nota 2 2 2 39 4" xfId="30875"/>
    <cellStyle name="Nota 2 2 2 39 5" xfId="30876"/>
    <cellStyle name="Nota 2 2 2 4" xfId="30877"/>
    <cellStyle name="Nota 2 2 2 4 2" xfId="30878"/>
    <cellStyle name="Nota 2 2 2 4 2 2" xfId="30879"/>
    <cellStyle name="Nota 2 2 2 4 2 3" xfId="30880"/>
    <cellStyle name="Nota 2 2 2 4 3" xfId="30881"/>
    <cellStyle name="Nota 2 2 2 4 3 2" xfId="30882"/>
    <cellStyle name="Nota 2 2 2 4 3 3" xfId="30883"/>
    <cellStyle name="Nota 2 2 2 4 4" xfId="30884"/>
    <cellStyle name="Nota 2 2 2 4 5" xfId="30885"/>
    <cellStyle name="Nota 2 2 2 40" xfId="30886"/>
    <cellStyle name="Nota 2 2 2 40 2" xfId="30887"/>
    <cellStyle name="Nota 2 2 2 40 2 2" xfId="30888"/>
    <cellStyle name="Nota 2 2 2 40 2 3" xfId="30889"/>
    <cellStyle name="Nota 2 2 2 40 3" xfId="30890"/>
    <cellStyle name="Nota 2 2 2 40 3 2" xfId="30891"/>
    <cellStyle name="Nota 2 2 2 40 3 3" xfId="30892"/>
    <cellStyle name="Nota 2 2 2 40 4" xfId="30893"/>
    <cellStyle name="Nota 2 2 2 40 5" xfId="30894"/>
    <cellStyle name="Nota 2 2 2 41" xfId="30895"/>
    <cellStyle name="Nota 2 2 2 41 2" xfId="30896"/>
    <cellStyle name="Nota 2 2 2 41 2 2" xfId="30897"/>
    <cellStyle name="Nota 2 2 2 41 2 3" xfId="30898"/>
    <cellStyle name="Nota 2 2 2 41 3" xfId="30899"/>
    <cellStyle name="Nota 2 2 2 41 4" xfId="30900"/>
    <cellStyle name="Nota 2 2 2 42" xfId="30901"/>
    <cellStyle name="Nota 2 2 2 42 2" xfId="30902"/>
    <cellStyle name="Nota 2 2 2 42 3" xfId="30903"/>
    <cellStyle name="Nota 2 2 2 43" xfId="30904"/>
    <cellStyle name="Nota 2 2 2 43 2" xfId="30905"/>
    <cellStyle name="Nota 2 2 2 43 3" xfId="30906"/>
    <cellStyle name="Nota 2 2 2 44" xfId="30907"/>
    <cellStyle name="Nota 2 2 2 44 2" xfId="30908"/>
    <cellStyle name="Nota 2 2 2 44 3" xfId="30909"/>
    <cellStyle name="Nota 2 2 2 45" xfId="30910"/>
    <cellStyle name="Nota 2 2 2 46" xfId="30911"/>
    <cellStyle name="Nota 2 2 2 5" xfId="30912"/>
    <cellStyle name="Nota 2 2 2 5 2" xfId="30913"/>
    <cellStyle name="Nota 2 2 2 5 2 2" xfId="30914"/>
    <cellStyle name="Nota 2 2 2 5 2 3" xfId="30915"/>
    <cellStyle name="Nota 2 2 2 5 3" xfId="30916"/>
    <cellStyle name="Nota 2 2 2 5 3 2" xfId="30917"/>
    <cellStyle name="Nota 2 2 2 5 3 3" xfId="30918"/>
    <cellStyle name="Nota 2 2 2 5 4" xfId="30919"/>
    <cellStyle name="Nota 2 2 2 5 5" xfId="30920"/>
    <cellStyle name="Nota 2 2 2 6" xfId="30921"/>
    <cellStyle name="Nota 2 2 2 6 2" xfId="30922"/>
    <cellStyle name="Nota 2 2 2 6 2 2" xfId="30923"/>
    <cellStyle name="Nota 2 2 2 6 2 3" xfId="30924"/>
    <cellStyle name="Nota 2 2 2 6 3" xfId="30925"/>
    <cellStyle name="Nota 2 2 2 6 3 2" xfId="30926"/>
    <cellStyle name="Nota 2 2 2 6 3 3" xfId="30927"/>
    <cellStyle name="Nota 2 2 2 6 4" xfId="30928"/>
    <cellStyle name="Nota 2 2 2 6 5" xfId="30929"/>
    <cellStyle name="Nota 2 2 2 7" xfId="30930"/>
    <cellStyle name="Nota 2 2 2 7 2" xfId="30931"/>
    <cellStyle name="Nota 2 2 2 7 2 2" xfId="30932"/>
    <cellStyle name="Nota 2 2 2 7 2 3" xfId="30933"/>
    <cellStyle name="Nota 2 2 2 7 3" xfId="30934"/>
    <cellStyle name="Nota 2 2 2 7 3 2" xfId="30935"/>
    <cellStyle name="Nota 2 2 2 7 3 3" xfId="30936"/>
    <cellStyle name="Nota 2 2 2 7 4" xfId="30937"/>
    <cellStyle name="Nota 2 2 2 7 5" xfId="30938"/>
    <cellStyle name="Nota 2 2 2 8" xfId="30939"/>
    <cellStyle name="Nota 2 2 2 8 2" xfId="30940"/>
    <cellStyle name="Nota 2 2 2 8 2 2" xfId="30941"/>
    <cellStyle name="Nota 2 2 2 8 2 3" xfId="30942"/>
    <cellStyle name="Nota 2 2 2 8 3" xfId="30943"/>
    <cellStyle name="Nota 2 2 2 8 3 2" xfId="30944"/>
    <cellStyle name="Nota 2 2 2 8 3 3" xfId="30945"/>
    <cellStyle name="Nota 2 2 2 8 4" xfId="30946"/>
    <cellStyle name="Nota 2 2 2 8 5" xfId="30947"/>
    <cellStyle name="Nota 2 2 2 9" xfId="30948"/>
    <cellStyle name="Nota 2 2 2 9 2" xfId="30949"/>
    <cellStyle name="Nota 2 2 2 9 2 2" xfId="30950"/>
    <cellStyle name="Nota 2 2 2 9 2 3" xfId="30951"/>
    <cellStyle name="Nota 2 2 2 9 3" xfId="30952"/>
    <cellStyle name="Nota 2 2 2 9 3 2" xfId="30953"/>
    <cellStyle name="Nota 2 2 2 9 3 3" xfId="30954"/>
    <cellStyle name="Nota 2 2 2 9 4" xfId="30955"/>
    <cellStyle name="Nota 2 2 2 9 5" xfId="30956"/>
    <cellStyle name="Nota 2 2 20" xfId="30957"/>
    <cellStyle name="Nota 2 2 20 2" xfId="30958"/>
    <cellStyle name="Nota 2 2 20 2 2" xfId="30959"/>
    <cellStyle name="Nota 2 2 20 2 3" xfId="30960"/>
    <cellStyle name="Nota 2 2 20 3" xfId="30961"/>
    <cellStyle name="Nota 2 2 20 3 2" xfId="30962"/>
    <cellStyle name="Nota 2 2 20 3 3" xfId="30963"/>
    <cellStyle name="Nota 2 2 20 4" xfId="30964"/>
    <cellStyle name="Nota 2 2 20 5" xfId="30965"/>
    <cellStyle name="Nota 2 2 21" xfId="30966"/>
    <cellStyle name="Nota 2 2 21 2" xfId="30967"/>
    <cellStyle name="Nota 2 2 21 2 2" xfId="30968"/>
    <cellStyle name="Nota 2 2 21 2 3" xfId="30969"/>
    <cellStyle name="Nota 2 2 21 3" xfId="30970"/>
    <cellStyle name="Nota 2 2 21 3 2" xfId="30971"/>
    <cellStyle name="Nota 2 2 21 3 3" xfId="30972"/>
    <cellStyle name="Nota 2 2 21 4" xfId="30973"/>
    <cellStyle name="Nota 2 2 21 5" xfId="30974"/>
    <cellStyle name="Nota 2 2 22" xfId="30975"/>
    <cellStyle name="Nota 2 2 22 2" xfId="30976"/>
    <cellStyle name="Nota 2 2 22 2 2" xfId="30977"/>
    <cellStyle name="Nota 2 2 22 2 3" xfId="30978"/>
    <cellStyle name="Nota 2 2 22 3" xfId="30979"/>
    <cellStyle name="Nota 2 2 22 3 2" xfId="30980"/>
    <cellStyle name="Nota 2 2 22 3 3" xfId="30981"/>
    <cellStyle name="Nota 2 2 22 4" xfId="30982"/>
    <cellStyle name="Nota 2 2 22 5" xfId="30983"/>
    <cellStyle name="Nota 2 2 23" xfId="30984"/>
    <cellStyle name="Nota 2 2 23 2" xfId="30985"/>
    <cellStyle name="Nota 2 2 23 2 2" xfId="30986"/>
    <cellStyle name="Nota 2 2 23 2 3" xfId="30987"/>
    <cellStyle name="Nota 2 2 23 3" xfId="30988"/>
    <cellStyle name="Nota 2 2 23 3 2" xfId="30989"/>
    <cellStyle name="Nota 2 2 23 3 3" xfId="30990"/>
    <cellStyle name="Nota 2 2 23 4" xfId="30991"/>
    <cellStyle name="Nota 2 2 23 5" xfId="30992"/>
    <cellStyle name="Nota 2 2 24" xfId="30993"/>
    <cellStyle name="Nota 2 2 24 2" xfId="30994"/>
    <cellStyle name="Nota 2 2 24 2 2" xfId="30995"/>
    <cellStyle name="Nota 2 2 24 2 3" xfId="30996"/>
    <cellStyle name="Nota 2 2 24 3" xfId="30997"/>
    <cellStyle name="Nota 2 2 24 3 2" xfId="30998"/>
    <cellStyle name="Nota 2 2 24 3 3" xfId="30999"/>
    <cellStyle name="Nota 2 2 24 4" xfId="31000"/>
    <cellStyle name="Nota 2 2 24 5" xfId="31001"/>
    <cellStyle name="Nota 2 2 25" xfId="31002"/>
    <cellStyle name="Nota 2 2 25 2" xfId="31003"/>
    <cellStyle name="Nota 2 2 25 2 2" xfId="31004"/>
    <cellStyle name="Nota 2 2 25 2 3" xfId="31005"/>
    <cellStyle name="Nota 2 2 25 3" xfId="31006"/>
    <cellStyle name="Nota 2 2 25 3 2" xfId="31007"/>
    <cellStyle name="Nota 2 2 25 3 3" xfId="31008"/>
    <cellStyle name="Nota 2 2 25 4" xfId="31009"/>
    <cellStyle name="Nota 2 2 25 5" xfId="31010"/>
    <cellStyle name="Nota 2 2 26" xfId="31011"/>
    <cellStyle name="Nota 2 2 26 2" xfId="31012"/>
    <cellStyle name="Nota 2 2 26 2 2" xfId="31013"/>
    <cellStyle name="Nota 2 2 26 2 3" xfId="31014"/>
    <cellStyle name="Nota 2 2 26 3" xfId="31015"/>
    <cellStyle name="Nota 2 2 26 3 2" xfId="31016"/>
    <cellStyle name="Nota 2 2 26 3 3" xfId="31017"/>
    <cellStyle name="Nota 2 2 26 4" xfId="31018"/>
    <cellStyle name="Nota 2 2 26 5" xfId="31019"/>
    <cellStyle name="Nota 2 2 27" xfId="31020"/>
    <cellStyle name="Nota 2 2 27 2" xfId="31021"/>
    <cellStyle name="Nota 2 2 27 2 2" xfId="31022"/>
    <cellStyle name="Nota 2 2 27 2 3" xfId="31023"/>
    <cellStyle name="Nota 2 2 27 3" xfId="31024"/>
    <cellStyle name="Nota 2 2 27 3 2" xfId="31025"/>
    <cellStyle name="Nota 2 2 27 3 3" xfId="31026"/>
    <cellStyle name="Nota 2 2 27 4" xfId="31027"/>
    <cellStyle name="Nota 2 2 27 5" xfId="31028"/>
    <cellStyle name="Nota 2 2 28" xfId="31029"/>
    <cellStyle name="Nota 2 2 28 2" xfId="31030"/>
    <cellStyle name="Nota 2 2 28 2 2" xfId="31031"/>
    <cellStyle name="Nota 2 2 28 2 3" xfId="31032"/>
    <cellStyle name="Nota 2 2 28 3" xfId="31033"/>
    <cellStyle name="Nota 2 2 28 3 2" xfId="31034"/>
    <cellStyle name="Nota 2 2 28 3 3" xfId="31035"/>
    <cellStyle name="Nota 2 2 28 4" xfId="31036"/>
    <cellStyle name="Nota 2 2 28 5" xfId="31037"/>
    <cellStyle name="Nota 2 2 29" xfId="31038"/>
    <cellStyle name="Nota 2 2 29 2" xfId="31039"/>
    <cellStyle name="Nota 2 2 29 2 2" xfId="31040"/>
    <cellStyle name="Nota 2 2 29 2 3" xfId="31041"/>
    <cellStyle name="Nota 2 2 29 3" xfId="31042"/>
    <cellStyle name="Nota 2 2 29 3 2" xfId="31043"/>
    <cellStyle name="Nota 2 2 29 3 3" xfId="31044"/>
    <cellStyle name="Nota 2 2 29 4" xfId="31045"/>
    <cellStyle name="Nota 2 2 29 5" xfId="31046"/>
    <cellStyle name="Nota 2 2 3" xfId="31047"/>
    <cellStyle name="Nota 2 2 3 10" xfId="31048"/>
    <cellStyle name="Nota 2 2 3 10 2" xfId="31049"/>
    <cellStyle name="Nota 2 2 3 10 2 2" xfId="31050"/>
    <cellStyle name="Nota 2 2 3 10 2 3" xfId="31051"/>
    <cellStyle name="Nota 2 2 3 10 3" xfId="31052"/>
    <cellStyle name="Nota 2 2 3 10 3 2" xfId="31053"/>
    <cellStyle name="Nota 2 2 3 10 3 3" xfId="31054"/>
    <cellStyle name="Nota 2 2 3 10 4" xfId="31055"/>
    <cellStyle name="Nota 2 2 3 10 5" xfId="31056"/>
    <cellStyle name="Nota 2 2 3 11" xfId="31057"/>
    <cellStyle name="Nota 2 2 3 11 2" xfId="31058"/>
    <cellStyle name="Nota 2 2 3 11 2 2" xfId="31059"/>
    <cellStyle name="Nota 2 2 3 11 2 3" xfId="31060"/>
    <cellStyle name="Nota 2 2 3 11 3" xfId="31061"/>
    <cellStyle name="Nota 2 2 3 11 3 2" xfId="31062"/>
    <cellStyle name="Nota 2 2 3 11 3 3" xfId="31063"/>
    <cellStyle name="Nota 2 2 3 11 4" xfId="31064"/>
    <cellStyle name="Nota 2 2 3 11 5" xfId="31065"/>
    <cellStyle name="Nota 2 2 3 12" xfId="31066"/>
    <cellStyle name="Nota 2 2 3 12 2" xfId="31067"/>
    <cellStyle name="Nota 2 2 3 12 2 2" xfId="31068"/>
    <cellStyle name="Nota 2 2 3 12 2 3" xfId="31069"/>
    <cellStyle name="Nota 2 2 3 12 3" xfId="31070"/>
    <cellStyle name="Nota 2 2 3 12 3 2" xfId="31071"/>
    <cellStyle name="Nota 2 2 3 12 3 3" xfId="31072"/>
    <cellStyle name="Nota 2 2 3 12 4" xfId="31073"/>
    <cellStyle name="Nota 2 2 3 12 5" xfId="31074"/>
    <cellStyle name="Nota 2 2 3 13" xfId="31075"/>
    <cellStyle name="Nota 2 2 3 13 2" xfId="31076"/>
    <cellStyle name="Nota 2 2 3 13 2 2" xfId="31077"/>
    <cellStyle name="Nota 2 2 3 13 2 3" xfId="31078"/>
    <cellStyle name="Nota 2 2 3 13 3" xfId="31079"/>
    <cellStyle name="Nota 2 2 3 13 3 2" xfId="31080"/>
    <cellStyle name="Nota 2 2 3 13 3 3" xfId="31081"/>
    <cellStyle name="Nota 2 2 3 13 4" xfId="31082"/>
    <cellStyle name="Nota 2 2 3 13 5" xfId="31083"/>
    <cellStyle name="Nota 2 2 3 14" xfId="31084"/>
    <cellStyle name="Nota 2 2 3 14 2" xfId="31085"/>
    <cellStyle name="Nota 2 2 3 14 2 2" xfId="31086"/>
    <cellStyle name="Nota 2 2 3 14 2 3" xfId="31087"/>
    <cellStyle name="Nota 2 2 3 14 3" xfId="31088"/>
    <cellStyle name="Nota 2 2 3 14 3 2" xfId="31089"/>
    <cellStyle name="Nota 2 2 3 14 3 3" xfId="31090"/>
    <cellStyle name="Nota 2 2 3 14 4" xfId="31091"/>
    <cellStyle name="Nota 2 2 3 14 5" xfId="31092"/>
    <cellStyle name="Nota 2 2 3 15" xfId="31093"/>
    <cellStyle name="Nota 2 2 3 15 2" xfId="31094"/>
    <cellStyle name="Nota 2 2 3 15 2 2" xfId="31095"/>
    <cellStyle name="Nota 2 2 3 15 2 3" xfId="31096"/>
    <cellStyle name="Nota 2 2 3 15 3" xfId="31097"/>
    <cellStyle name="Nota 2 2 3 15 3 2" xfId="31098"/>
    <cellStyle name="Nota 2 2 3 15 3 3" xfId="31099"/>
    <cellStyle name="Nota 2 2 3 15 4" xfId="31100"/>
    <cellStyle name="Nota 2 2 3 15 5" xfId="31101"/>
    <cellStyle name="Nota 2 2 3 16" xfId="31102"/>
    <cellStyle name="Nota 2 2 3 16 2" xfId="31103"/>
    <cellStyle name="Nota 2 2 3 16 2 2" xfId="31104"/>
    <cellStyle name="Nota 2 2 3 16 2 3" xfId="31105"/>
    <cellStyle name="Nota 2 2 3 16 3" xfId="31106"/>
    <cellStyle name="Nota 2 2 3 16 3 2" xfId="31107"/>
    <cellStyle name="Nota 2 2 3 16 3 3" xfId="31108"/>
    <cellStyle name="Nota 2 2 3 16 4" xfId="31109"/>
    <cellStyle name="Nota 2 2 3 16 5" xfId="31110"/>
    <cellStyle name="Nota 2 2 3 17" xfId="31111"/>
    <cellStyle name="Nota 2 2 3 17 2" xfId="31112"/>
    <cellStyle name="Nota 2 2 3 17 2 2" xfId="31113"/>
    <cellStyle name="Nota 2 2 3 17 2 3" xfId="31114"/>
    <cellStyle name="Nota 2 2 3 17 3" xfId="31115"/>
    <cellStyle name="Nota 2 2 3 17 3 2" xfId="31116"/>
    <cellStyle name="Nota 2 2 3 17 3 3" xfId="31117"/>
    <cellStyle name="Nota 2 2 3 17 4" xfId="31118"/>
    <cellStyle name="Nota 2 2 3 17 5" xfId="31119"/>
    <cellStyle name="Nota 2 2 3 18" xfId="31120"/>
    <cellStyle name="Nota 2 2 3 18 2" xfId="31121"/>
    <cellStyle name="Nota 2 2 3 18 2 2" xfId="31122"/>
    <cellStyle name="Nota 2 2 3 18 2 3" xfId="31123"/>
    <cellStyle name="Nota 2 2 3 18 3" xfId="31124"/>
    <cellStyle name="Nota 2 2 3 18 3 2" xfId="31125"/>
    <cellStyle name="Nota 2 2 3 18 3 3" xfId="31126"/>
    <cellStyle name="Nota 2 2 3 18 4" xfId="31127"/>
    <cellStyle name="Nota 2 2 3 18 5" xfId="31128"/>
    <cellStyle name="Nota 2 2 3 19" xfId="31129"/>
    <cellStyle name="Nota 2 2 3 19 2" xfId="31130"/>
    <cellStyle name="Nota 2 2 3 19 2 2" xfId="31131"/>
    <cellStyle name="Nota 2 2 3 19 2 3" xfId="31132"/>
    <cellStyle name="Nota 2 2 3 19 3" xfId="31133"/>
    <cellStyle name="Nota 2 2 3 19 3 2" xfId="31134"/>
    <cellStyle name="Nota 2 2 3 19 3 3" xfId="31135"/>
    <cellStyle name="Nota 2 2 3 19 4" xfId="31136"/>
    <cellStyle name="Nota 2 2 3 19 5" xfId="31137"/>
    <cellStyle name="Nota 2 2 3 2" xfId="31138"/>
    <cellStyle name="Nota 2 2 3 2 2" xfId="31139"/>
    <cellStyle name="Nota 2 2 3 2 2 2" xfId="31140"/>
    <cellStyle name="Nota 2 2 3 2 2 3" xfId="31141"/>
    <cellStyle name="Nota 2 2 3 2 3" xfId="31142"/>
    <cellStyle name="Nota 2 2 3 2 3 2" xfId="31143"/>
    <cellStyle name="Nota 2 2 3 2 3 3" xfId="31144"/>
    <cellStyle name="Nota 2 2 3 2 4" xfId="31145"/>
    <cellStyle name="Nota 2 2 3 2 5" xfId="31146"/>
    <cellStyle name="Nota 2 2 3 20" xfId="31147"/>
    <cellStyle name="Nota 2 2 3 20 2" xfId="31148"/>
    <cellStyle name="Nota 2 2 3 20 2 2" xfId="31149"/>
    <cellStyle name="Nota 2 2 3 20 2 3" xfId="31150"/>
    <cellStyle name="Nota 2 2 3 20 3" xfId="31151"/>
    <cellStyle name="Nota 2 2 3 20 3 2" xfId="31152"/>
    <cellStyle name="Nota 2 2 3 20 3 3" xfId="31153"/>
    <cellStyle name="Nota 2 2 3 20 4" xfId="31154"/>
    <cellStyle name="Nota 2 2 3 20 5" xfId="31155"/>
    <cellStyle name="Nota 2 2 3 21" xfId="31156"/>
    <cellStyle name="Nota 2 2 3 21 2" xfId="31157"/>
    <cellStyle name="Nota 2 2 3 21 2 2" xfId="31158"/>
    <cellStyle name="Nota 2 2 3 21 2 3" xfId="31159"/>
    <cellStyle name="Nota 2 2 3 21 3" xfId="31160"/>
    <cellStyle name="Nota 2 2 3 21 3 2" xfId="31161"/>
    <cellStyle name="Nota 2 2 3 21 3 3" xfId="31162"/>
    <cellStyle name="Nota 2 2 3 21 4" xfId="31163"/>
    <cellStyle name="Nota 2 2 3 21 5" xfId="31164"/>
    <cellStyle name="Nota 2 2 3 22" xfId="31165"/>
    <cellStyle name="Nota 2 2 3 22 2" xfId="31166"/>
    <cellStyle name="Nota 2 2 3 22 2 2" xfId="31167"/>
    <cellStyle name="Nota 2 2 3 22 2 3" xfId="31168"/>
    <cellStyle name="Nota 2 2 3 22 3" xfId="31169"/>
    <cellStyle name="Nota 2 2 3 22 3 2" xfId="31170"/>
    <cellStyle name="Nota 2 2 3 22 3 3" xfId="31171"/>
    <cellStyle name="Nota 2 2 3 22 4" xfId="31172"/>
    <cellStyle name="Nota 2 2 3 22 5" xfId="31173"/>
    <cellStyle name="Nota 2 2 3 23" xfId="31174"/>
    <cellStyle name="Nota 2 2 3 23 2" xfId="31175"/>
    <cellStyle name="Nota 2 2 3 23 2 2" xfId="31176"/>
    <cellStyle name="Nota 2 2 3 23 2 3" xfId="31177"/>
    <cellStyle name="Nota 2 2 3 23 3" xfId="31178"/>
    <cellStyle name="Nota 2 2 3 23 3 2" xfId="31179"/>
    <cellStyle name="Nota 2 2 3 23 3 3" xfId="31180"/>
    <cellStyle name="Nota 2 2 3 23 4" xfId="31181"/>
    <cellStyle name="Nota 2 2 3 23 5" xfId="31182"/>
    <cellStyle name="Nota 2 2 3 24" xfId="31183"/>
    <cellStyle name="Nota 2 2 3 24 2" xfId="31184"/>
    <cellStyle name="Nota 2 2 3 24 2 2" xfId="31185"/>
    <cellStyle name="Nota 2 2 3 24 2 3" xfId="31186"/>
    <cellStyle name="Nota 2 2 3 24 3" xfId="31187"/>
    <cellStyle name="Nota 2 2 3 24 3 2" xfId="31188"/>
    <cellStyle name="Nota 2 2 3 24 3 3" xfId="31189"/>
    <cellStyle name="Nota 2 2 3 24 4" xfId="31190"/>
    <cellStyle name="Nota 2 2 3 24 5" xfId="31191"/>
    <cellStyle name="Nota 2 2 3 25" xfId="31192"/>
    <cellStyle name="Nota 2 2 3 25 2" xfId="31193"/>
    <cellStyle name="Nota 2 2 3 25 2 2" xfId="31194"/>
    <cellStyle name="Nota 2 2 3 25 2 3" xfId="31195"/>
    <cellStyle name="Nota 2 2 3 25 3" xfId="31196"/>
    <cellStyle name="Nota 2 2 3 25 3 2" xfId="31197"/>
    <cellStyle name="Nota 2 2 3 25 3 3" xfId="31198"/>
    <cellStyle name="Nota 2 2 3 25 4" xfId="31199"/>
    <cellStyle name="Nota 2 2 3 25 5" xfId="31200"/>
    <cellStyle name="Nota 2 2 3 26" xfId="31201"/>
    <cellStyle name="Nota 2 2 3 26 2" xfId="31202"/>
    <cellStyle name="Nota 2 2 3 26 2 2" xfId="31203"/>
    <cellStyle name="Nota 2 2 3 26 2 3" xfId="31204"/>
    <cellStyle name="Nota 2 2 3 26 3" xfId="31205"/>
    <cellStyle name="Nota 2 2 3 26 3 2" xfId="31206"/>
    <cellStyle name="Nota 2 2 3 26 3 3" xfId="31207"/>
    <cellStyle name="Nota 2 2 3 26 4" xfId="31208"/>
    <cellStyle name="Nota 2 2 3 26 5" xfId="31209"/>
    <cellStyle name="Nota 2 2 3 27" xfId="31210"/>
    <cellStyle name="Nota 2 2 3 27 2" xfId="31211"/>
    <cellStyle name="Nota 2 2 3 27 2 2" xfId="31212"/>
    <cellStyle name="Nota 2 2 3 27 2 3" xfId="31213"/>
    <cellStyle name="Nota 2 2 3 27 3" xfId="31214"/>
    <cellStyle name="Nota 2 2 3 27 3 2" xfId="31215"/>
    <cellStyle name="Nota 2 2 3 27 3 3" xfId="31216"/>
    <cellStyle name="Nota 2 2 3 27 4" xfId="31217"/>
    <cellStyle name="Nota 2 2 3 27 5" xfId="31218"/>
    <cellStyle name="Nota 2 2 3 28" xfId="31219"/>
    <cellStyle name="Nota 2 2 3 28 2" xfId="31220"/>
    <cellStyle name="Nota 2 2 3 28 2 2" xfId="31221"/>
    <cellStyle name="Nota 2 2 3 28 2 3" xfId="31222"/>
    <cellStyle name="Nota 2 2 3 28 3" xfId="31223"/>
    <cellStyle name="Nota 2 2 3 28 3 2" xfId="31224"/>
    <cellStyle name="Nota 2 2 3 28 3 3" xfId="31225"/>
    <cellStyle name="Nota 2 2 3 28 4" xfId="31226"/>
    <cellStyle name="Nota 2 2 3 28 5" xfId="31227"/>
    <cellStyle name="Nota 2 2 3 29" xfId="31228"/>
    <cellStyle name="Nota 2 2 3 29 2" xfId="31229"/>
    <cellStyle name="Nota 2 2 3 29 2 2" xfId="31230"/>
    <cellStyle name="Nota 2 2 3 29 2 3" xfId="31231"/>
    <cellStyle name="Nota 2 2 3 29 3" xfId="31232"/>
    <cellStyle name="Nota 2 2 3 29 3 2" xfId="31233"/>
    <cellStyle name="Nota 2 2 3 29 3 3" xfId="31234"/>
    <cellStyle name="Nota 2 2 3 29 4" xfId="31235"/>
    <cellStyle name="Nota 2 2 3 29 5" xfId="31236"/>
    <cellStyle name="Nota 2 2 3 3" xfId="31237"/>
    <cellStyle name="Nota 2 2 3 3 2" xfId="31238"/>
    <cellStyle name="Nota 2 2 3 3 2 2" xfId="31239"/>
    <cellStyle name="Nota 2 2 3 3 2 3" xfId="31240"/>
    <cellStyle name="Nota 2 2 3 3 3" xfId="31241"/>
    <cellStyle name="Nota 2 2 3 3 3 2" xfId="31242"/>
    <cellStyle name="Nota 2 2 3 3 3 3" xfId="31243"/>
    <cellStyle name="Nota 2 2 3 3 4" xfId="31244"/>
    <cellStyle name="Nota 2 2 3 3 5" xfId="31245"/>
    <cellStyle name="Nota 2 2 3 30" xfId="31246"/>
    <cellStyle name="Nota 2 2 3 30 2" xfId="31247"/>
    <cellStyle name="Nota 2 2 3 30 2 2" xfId="31248"/>
    <cellStyle name="Nota 2 2 3 30 2 3" xfId="31249"/>
    <cellStyle name="Nota 2 2 3 30 3" xfId="31250"/>
    <cellStyle name="Nota 2 2 3 30 3 2" xfId="31251"/>
    <cellStyle name="Nota 2 2 3 30 3 3" xfId="31252"/>
    <cellStyle name="Nota 2 2 3 30 4" xfId="31253"/>
    <cellStyle name="Nota 2 2 3 30 5" xfId="31254"/>
    <cellStyle name="Nota 2 2 3 31" xfId="31255"/>
    <cellStyle name="Nota 2 2 3 31 2" xfId="31256"/>
    <cellStyle name="Nota 2 2 3 31 2 2" xfId="31257"/>
    <cellStyle name="Nota 2 2 3 31 2 3" xfId="31258"/>
    <cellStyle name="Nota 2 2 3 31 3" xfId="31259"/>
    <cellStyle name="Nota 2 2 3 31 3 2" xfId="31260"/>
    <cellStyle name="Nota 2 2 3 31 3 3" xfId="31261"/>
    <cellStyle name="Nota 2 2 3 31 4" xfId="31262"/>
    <cellStyle name="Nota 2 2 3 31 5" xfId="31263"/>
    <cellStyle name="Nota 2 2 3 32" xfId="31264"/>
    <cellStyle name="Nota 2 2 3 32 2" xfId="31265"/>
    <cellStyle name="Nota 2 2 3 32 2 2" xfId="31266"/>
    <cellStyle name="Nota 2 2 3 32 2 3" xfId="31267"/>
    <cellStyle name="Nota 2 2 3 32 3" xfId="31268"/>
    <cellStyle name="Nota 2 2 3 32 3 2" xfId="31269"/>
    <cellStyle name="Nota 2 2 3 32 3 3" xfId="31270"/>
    <cellStyle name="Nota 2 2 3 32 4" xfId="31271"/>
    <cellStyle name="Nota 2 2 3 32 5" xfId="31272"/>
    <cellStyle name="Nota 2 2 3 33" xfId="31273"/>
    <cellStyle name="Nota 2 2 3 33 2" xfId="31274"/>
    <cellStyle name="Nota 2 2 3 33 2 2" xfId="31275"/>
    <cellStyle name="Nota 2 2 3 33 2 3" xfId="31276"/>
    <cellStyle name="Nota 2 2 3 33 3" xfId="31277"/>
    <cellStyle name="Nota 2 2 3 33 3 2" xfId="31278"/>
    <cellStyle name="Nota 2 2 3 33 3 3" xfId="31279"/>
    <cellStyle name="Nota 2 2 3 33 4" xfId="31280"/>
    <cellStyle name="Nota 2 2 3 33 5" xfId="31281"/>
    <cellStyle name="Nota 2 2 3 34" xfId="31282"/>
    <cellStyle name="Nota 2 2 3 34 2" xfId="31283"/>
    <cellStyle name="Nota 2 2 3 34 2 2" xfId="31284"/>
    <cellStyle name="Nota 2 2 3 34 2 3" xfId="31285"/>
    <cellStyle name="Nota 2 2 3 34 3" xfId="31286"/>
    <cellStyle name="Nota 2 2 3 34 3 2" xfId="31287"/>
    <cellStyle name="Nota 2 2 3 34 3 3" xfId="31288"/>
    <cellStyle name="Nota 2 2 3 34 4" xfId="31289"/>
    <cellStyle name="Nota 2 2 3 34 5" xfId="31290"/>
    <cellStyle name="Nota 2 2 3 35" xfId="31291"/>
    <cellStyle name="Nota 2 2 3 35 2" xfId="31292"/>
    <cellStyle name="Nota 2 2 3 35 2 2" xfId="31293"/>
    <cellStyle name="Nota 2 2 3 35 2 3" xfId="31294"/>
    <cellStyle name="Nota 2 2 3 35 3" xfId="31295"/>
    <cellStyle name="Nota 2 2 3 35 3 2" xfId="31296"/>
    <cellStyle name="Nota 2 2 3 35 3 3" xfId="31297"/>
    <cellStyle name="Nota 2 2 3 35 4" xfId="31298"/>
    <cellStyle name="Nota 2 2 3 35 5" xfId="31299"/>
    <cellStyle name="Nota 2 2 3 36" xfId="31300"/>
    <cellStyle name="Nota 2 2 3 36 2" xfId="31301"/>
    <cellStyle name="Nota 2 2 3 36 2 2" xfId="31302"/>
    <cellStyle name="Nota 2 2 3 36 2 3" xfId="31303"/>
    <cellStyle name="Nota 2 2 3 36 3" xfId="31304"/>
    <cellStyle name="Nota 2 2 3 36 3 2" xfId="31305"/>
    <cellStyle name="Nota 2 2 3 36 3 3" xfId="31306"/>
    <cellStyle name="Nota 2 2 3 36 4" xfId="31307"/>
    <cellStyle name="Nota 2 2 3 36 5" xfId="31308"/>
    <cellStyle name="Nota 2 2 3 37" xfId="31309"/>
    <cellStyle name="Nota 2 2 3 37 2" xfId="31310"/>
    <cellStyle name="Nota 2 2 3 37 2 2" xfId="31311"/>
    <cellStyle name="Nota 2 2 3 37 2 3" xfId="31312"/>
    <cellStyle name="Nota 2 2 3 37 3" xfId="31313"/>
    <cellStyle name="Nota 2 2 3 37 3 2" xfId="31314"/>
    <cellStyle name="Nota 2 2 3 37 3 3" xfId="31315"/>
    <cellStyle name="Nota 2 2 3 37 4" xfId="31316"/>
    <cellStyle name="Nota 2 2 3 37 5" xfId="31317"/>
    <cellStyle name="Nota 2 2 3 38" xfId="31318"/>
    <cellStyle name="Nota 2 2 3 38 2" xfId="31319"/>
    <cellStyle name="Nota 2 2 3 38 2 2" xfId="31320"/>
    <cellStyle name="Nota 2 2 3 38 2 3" xfId="31321"/>
    <cellStyle name="Nota 2 2 3 38 3" xfId="31322"/>
    <cellStyle name="Nota 2 2 3 38 3 2" xfId="31323"/>
    <cellStyle name="Nota 2 2 3 38 3 3" xfId="31324"/>
    <cellStyle name="Nota 2 2 3 38 4" xfId="31325"/>
    <cellStyle name="Nota 2 2 3 38 5" xfId="31326"/>
    <cellStyle name="Nota 2 2 3 39" xfId="31327"/>
    <cellStyle name="Nota 2 2 3 39 2" xfId="31328"/>
    <cellStyle name="Nota 2 2 3 39 2 2" xfId="31329"/>
    <cellStyle name="Nota 2 2 3 39 2 3" xfId="31330"/>
    <cellStyle name="Nota 2 2 3 39 3" xfId="31331"/>
    <cellStyle name="Nota 2 2 3 39 3 2" xfId="31332"/>
    <cellStyle name="Nota 2 2 3 39 3 3" xfId="31333"/>
    <cellStyle name="Nota 2 2 3 39 4" xfId="31334"/>
    <cellStyle name="Nota 2 2 3 39 5" xfId="31335"/>
    <cellStyle name="Nota 2 2 3 4" xfId="31336"/>
    <cellStyle name="Nota 2 2 3 4 2" xfId="31337"/>
    <cellStyle name="Nota 2 2 3 4 2 2" xfId="31338"/>
    <cellStyle name="Nota 2 2 3 4 2 3" xfId="31339"/>
    <cellStyle name="Nota 2 2 3 4 3" xfId="31340"/>
    <cellStyle name="Nota 2 2 3 4 3 2" xfId="31341"/>
    <cellStyle name="Nota 2 2 3 4 3 3" xfId="31342"/>
    <cellStyle name="Nota 2 2 3 4 4" xfId="31343"/>
    <cellStyle name="Nota 2 2 3 4 5" xfId="31344"/>
    <cellStyle name="Nota 2 2 3 40" xfId="31345"/>
    <cellStyle name="Nota 2 2 3 40 2" xfId="31346"/>
    <cellStyle name="Nota 2 2 3 40 2 2" xfId="31347"/>
    <cellStyle name="Nota 2 2 3 40 2 3" xfId="31348"/>
    <cellStyle name="Nota 2 2 3 40 3" xfId="31349"/>
    <cellStyle name="Nota 2 2 3 40 3 2" xfId="31350"/>
    <cellStyle name="Nota 2 2 3 40 3 3" xfId="31351"/>
    <cellStyle name="Nota 2 2 3 40 4" xfId="31352"/>
    <cellStyle name="Nota 2 2 3 40 5" xfId="31353"/>
    <cellStyle name="Nota 2 2 3 41" xfId="31354"/>
    <cellStyle name="Nota 2 2 3 41 2" xfId="31355"/>
    <cellStyle name="Nota 2 2 3 41 2 2" xfId="31356"/>
    <cellStyle name="Nota 2 2 3 41 2 3" xfId="31357"/>
    <cellStyle name="Nota 2 2 3 41 3" xfId="31358"/>
    <cellStyle name="Nota 2 2 3 41 3 2" xfId="31359"/>
    <cellStyle name="Nota 2 2 3 41 3 3" xfId="31360"/>
    <cellStyle name="Nota 2 2 3 41 4" xfId="31361"/>
    <cellStyle name="Nota 2 2 3 41 5" xfId="31362"/>
    <cellStyle name="Nota 2 2 3 42" xfId="31363"/>
    <cellStyle name="Nota 2 2 3 42 2" xfId="31364"/>
    <cellStyle name="Nota 2 2 3 42 2 2" xfId="31365"/>
    <cellStyle name="Nota 2 2 3 42 2 3" xfId="31366"/>
    <cellStyle name="Nota 2 2 3 42 3" xfId="31367"/>
    <cellStyle name="Nota 2 2 3 42 4" xfId="31368"/>
    <cellStyle name="Nota 2 2 3 43" xfId="31369"/>
    <cellStyle name="Nota 2 2 3 43 2" xfId="31370"/>
    <cellStyle name="Nota 2 2 3 43 3" xfId="31371"/>
    <cellStyle name="Nota 2 2 3 44" xfId="31372"/>
    <cellStyle name="Nota 2 2 3 44 2" xfId="31373"/>
    <cellStyle name="Nota 2 2 3 44 3" xfId="31374"/>
    <cellStyle name="Nota 2 2 3 45" xfId="31375"/>
    <cellStyle name="Nota 2 2 3 45 2" xfId="31376"/>
    <cellStyle name="Nota 2 2 3 45 3" xfId="31377"/>
    <cellStyle name="Nota 2 2 3 46" xfId="31378"/>
    <cellStyle name="Nota 2 2 3 47" xfId="31379"/>
    <cellStyle name="Nota 2 2 3 5" xfId="31380"/>
    <cellStyle name="Nota 2 2 3 5 2" xfId="31381"/>
    <cellStyle name="Nota 2 2 3 5 2 2" xfId="31382"/>
    <cellStyle name="Nota 2 2 3 5 2 3" xfId="31383"/>
    <cellStyle name="Nota 2 2 3 5 3" xfId="31384"/>
    <cellStyle name="Nota 2 2 3 5 3 2" xfId="31385"/>
    <cellStyle name="Nota 2 2 3 5 3 3" xfId="31386"/>
    <cellStyle name="Nota 2 2 3 5 4" xfId="31387"/>
    <cellStyle name="Nota 2 2 3 5 5" xfId="31388"/>
    <cellStyle name="Nota 2 2 3 6" xfId="31389"/>
    <cellStyle name="Nota 2 2 3 6 2" xfId="31390"/>
    <cellStyle name="Nota 2 2 3 6 2 2" xfId="31391"/>
    <cellStyle name="Nota 2 2 3 6 2 3" xfId="31392"/>
    <cellStyle name="Nota 2 2 3 6 3" xfId="31393"/>
    <cellStyle name="Nota 2 2 3 6 3 2" xfId="31394"/>
    <cellStyle name="Nota 2 2 3 6 3 3" xfId="31395"/>
    <cellStyle name="Nota 2 2 3 6 4" xfId="31396"/>
    <cellStyle name="Nota 2 2 3 6 5" xfId="31397"/>
    <cellStyle name="Nota 2 2 3 7" xfId="31398"/>
    <cellStyle name="Nota 2 2 3 7 2" xfId="31399"/>
    <cellStyle name="Nota 2 2 3 7 2 2" xfId="31400"/>
    <cellStyle name="Nota 2 2 3 7 2 3" xfId="31401"/>
    <cellStyle name="Nota 2 2 3 7 3" xfId="31402"/>
    <cellStyle name="Nota 2 2 3 7 3 2" xfId="31403"/>
    <cellStyle name="Nota 2 2 3 7 3 3" xfId="31404"/>
    <cellStyle name="Nota 2 2 3 7 4" xfId="31405"/>
    <cellStyle name="Nota 2 2 3 7 5" xfId="31406"/>
    <cellStyle name="Nota 2 2 3 8" xfId="31407"/>
    <cellStyle name="Nota 2 2 3 8 2" xfId="31408"/>
    <cellStyle name="Nota 2 2 3 8 2 2" xfId="31409"/>
    <cellStyle name="Nota 2 2 3 8 2 3" xfId="31410"/>
    <cellStyle name="Nota 2 2 3 8 3" xfId="31411"/>
    <cellStyle name="Nota 2 2 3 8 3 2" xfId="31412"/>
    <cellStyle name="Nota 2 2 3 8 3 3" xfId="31413"/>
    <cellStyle name="Nota 2 2 3 8 4" xfId="31414"/>
    <cellStyle name="Nota 2 2 3 8 5" xfId="31415"/>
    <cellStyle name="Nota 2 2 3 9" xfId="31416"/>
    <cellStyle name="Nota 2 2 3 9 2" xfId="31417"/>
    <cellStyle name="Nota 2 2 3 9 2 2" xfId="31418"/>
    <cellStyle name="Nota 2 2 3 9 2 3" xfId="31419"/>
    <cellStyle name="Nota 2 2 3 9 3" xfId="31420"/>
    <cellStyle name="Nota 2 2 3 9 3 2" xfId="31421"/>
    <cellStyle name="Nota 2 2 3 9 3 3" xfId="31422"/>
    <cellStyle name="Nota 2 2 3 9 4" xfId="31423"/>
    <cellStyle name="Nota 2 2 3 9 5" xfId="31424"/>
    <cellStyle name="Nota 2 2 30" xfId="31425"/>
    <cellStyle name="Nota 2 2 30 2" xfId="31426"/>
    <cellStyle name="Nota 2 2 30 2 2" xfId="31427"/>
    <cellStyle name="Nota 2 2 30 2 3" xfId="31428"/>
    <cellStyle name="Nota 2 2 30 3" xfId="31429"/>
    <cellStyle name="Nota 2 2 30 3 2" xfId="31430"/>
    <cellStyle name="Nota 2 2 30 3 3" xfId="31431"/>
    <cellStyle name="Nota 2 2 30 4" xfId="31432"/>
    <cellStyle name="Nota 2 2 30 5" xfId="31433"/>
    <cellStyle name="Nota 2 2 31" xfId="31434"/>
    <cellStyle name="Nota 2 2 31 2" xfId="31435"/>
    <cellStyle name="Nota 2 2 31 2 2" xfId="31436"/>
    <cellStyle name="Nota 2 2 31 2 3" xfId="31437"/>
    <cellStyle name="Nota 2 2 31 3" xfId="31438"/>
    <cellStyle name="Nota 2 2 31 3 2" xfId="31439"/>
    <cellStyle name="Nota 2 2 31 3 3" xfId="31440"/>
    <cellStyle name="Nota 2 2 31 4" xfId="31441"/>
    <cellStyle name="Nota 2 2 31 5" xfId="31442"/>
    <cellStyle name="Nota 2 2 32" xfId="31443"/>
    <cellStyle name="Nota 2 2 32 2" xfId="31444"/>
    <cellStyle name="Nota 2 2 32 2 2" xfId="31445"/>
    <cellStyle name="Nota 2 2 32 2 3" xfId="31446"/>
    <cellStyle name="Nota 2 2 32 3" xfId="31447"/>
    <cellStyle name="Nota 2 2 32 3 2" xfId="31448"/>
    <cellStyle name="Nota 2 2 32 3 3" xfId="31449"/>
    <cellStyle name="Nota 2 2 32 4" xfId="31450"/>
    <cellStyle name="Nota 2 2 32 5" xfId="31451"/>
    <cellStyle name="Nota 2 2 33" xfId="31452"/>
    <cellStyle name="Nota 2 2 33 2" xfId="31453"/>
    <cellStyle name="Nota 2 2 33 2 2" xfId="31454"/>
    <cellStyle name="Nota 2 2 33 2 3" xfId="31455"/>
    <cellStyle name="Nota 2 2 33 3" xfId="31456"/>
    <cellStyle name="Nota 2 2 33 3 2" xfId="31457"/>
    <cellStyle name="Nota 2 2 33 3 3" xfId="31458"/>
    <cellStyle name="Nota 2 2 33 4" xfId="31459"/>
    <cellStyle name="Nota 2 2 33 5" xfId="31460"/>
    <cellStyle name="Nota 2 2 34" xfId="31461"/>
    <cellStyle name="Nota 2 2 34 2" xfId="31462"/>
    <cellStyle name="Nota 2 2 34 2 2" xfId="31463"/>
    <cellStyle name="Nota 2 2 34 2 3" xfId="31464"/>
    <cellStyle name="Nota 2 2 34 3" xfId="31465"/>
    <cellStyle name="Nota 2 2 34 4" xfId="31466"/>
    <cellStyle name="Nota 2 2 35" xfId="31467"/>
    <cellStyle name="Nota 2 2 35 2" xfId="31468"/>
    <cellStyle name="Nota 2 2 35 3" xfId="31469"/>
    <cellStyle name="Nota 2 2 36" xfId="31470"/>
    <cellStyle name="Nota 2 2 36 2" xfId="31471"/>
    <cellStyle name="Nota 2 2 36 3" xfId="31472"/>
    <cellStyle name="Nota 2 2 37" xfId="31473"/>
    <cellStyle name="Nota 2 2 38" xfId="31474"/>
    <cellStyle name="Nota 2 2 4" xfId="31475"/>
    <cellStyle name="Nota 2 2 4 10" xfId="31476"/>
    <cellStyle name="Nota 2 2 4 10 2" xfId="31477"/>
    <cellStyle name="Nota 2 2 4 10 2 2" xfId="31478"/>
    <cellStyle name="Nota 2 2 4 10 2 3" xfId="31479"/>
    <cellStyle name="Nota 2 2 4 10 3" xfId="31480"/>
    <cellStyle name="Nota 2 2 4 10 3 2" xfId="31481"/>
    <cellStyle name="Nota 2 2 4 10 3 3" xfId="31482"/>
    <cellStyle name="Nota 2 2 4 10 4" xfId="31483"/>
    <cellStyle name="Nota 2 2 4 10 5" xfId="31484"/>
    <cellStyle name="Nota 2 2 4 11" xfId="31485"/>
    <cellStyle name="Nota 2 2 4 11 2" xfId="31486"/>
    <cellStyle name="Nota 2 2 4 11 2 2" xfId="31487"/>
    <cellStyle name="Nota 2 2 4 11 2 3" xfId="31488"/>
    <cellStyle name="Nota 2 2 4 11 3" xfId="31489"/>
    <cellStyle name="Nota 2 2 4 11 3 2" xfId="31490"/>
    <cellStyle name="Nota 2 2 4 11 3 3" xfId="31491"/>
    <cellStyle name="Nota 2 2 4 11 4" xfId="31492"/>
    <cellStyle name="Nota 2 2 4 11 5" xfId="31493"/>
    <cellStyle name="Nota 2 2 4 12" xfId="31494"/>
    <cellStyle name="Nota 2 2 4 12 2" xfId="31495"/>
    <cellStyle name="Nota 2 2 4 12 2 2" xfId="31496"/>
    <cellStyle name="Nota 2 2 4 12 2 3" xfId="31497"/>
    <cellStyle name="Nota 2 2 4 12 3" xfId="31498"/>
    <cellStyle name="Nota 2 2 4 12 3 2" xfId="31499"/>
    <cellStyle name="Nota 2 2 4 12 3 3" xfId="31500"/>
    <cellStyle name="Nota 2 2 4 12 4" xfId="31501"/>
    <cellStyle name="Nota 2 2 4 12 5" xfId="31502"/>
    <cellStyle name="Nota 2 2 4 13" xfId="31503"/>
    <cellStyle name="Nota 2 2 4 13 2" xfId="31504"/>
    <cellStyle name="Nota 2 2 4 13 2 2" xfId="31505"/>
    <cellStyle name="Nota 2 2 4 13 2 3" xfId="31506"/>
    <cellStyle name="Nota 2 2 4 13 3" xfId="31507"/>
    <cellStyle name="Nota 2 2 4 13 3 2" xfId="31508"/>
    <cellStyle name="Nota 2 2 4 13 3 3" xfId="31509"/>
    <cellStyle name="Nota 2 2 4 13 4" xfId="31510"/>
    <cellStyle name="Nota 2 2 4 13 5" xfId="31511"/>
    <cellStyle name="Nota 2 2 4 14" xfId="31512"/>
    <cellStyle name="Nota 2 2 4 14 2" xfId="31513"/>
    <cellStyle name="Nota 2 2 4 14 2 2" xfId="31514"/>
    <cellStyle name="Nota 2 2 4 14 2 3" xfId="31515"/>
    <cellStyle name="Nota 2 2 4 14 3" xfId="31516"/>
    <cellStyle name="Nota 2 2 4 14 3 2" xfId="31517"/>
    <cellStyle name="Nota 2 2 4 14 3 3" xfId="31518"/>
    <cellStyle name="Nota 2 2 4 14 4" xfId="31519"/>
    <cellStyle name="Nota 2 2 4 14 5" xfId="31520"/>
    <cellStyle name="Nota 2 2 4 15" xfId="31521"/>
    <cellStyle name="Nota 2 2 4 15 2" xfId="31522"/>
    <cellStyle name="Nota 2 2 4 15 2 2" xfId="31523"/>
    <cellStyle name="Nota 2 2 4 15 2 3" xfId="31524"/>
    <cellStyle name="Nota 2 2 4 15 3" xfId="31525"/>
    <cellStyle name="Nota 2 2 4 15 3 2" xfId="31526"/>
    <cellStyle name="Nota 2 2 4 15 3 3" xfId="31527"/>
    <cellStyle name="Nota 2 2 4 15 4" xfId="31528"/>
    <cellStyle name="Nota 2 2 4 15 5" xfId="31529"/>
    <cellStyle name="Nota 2 2 4 16" xfId="31530"/>
    <cellStyle name="Nota 2 2 4 16 2" xfId="31531"/>
    <cellStyle name="Nota 2 2 4 16 2 2" xfId="31532"/>
    <cellStyle name="Nota 2 2 4 16 2 3" xfId="31533"/>
    <cellStyle name="Nota 2 2 4 16 3" xfId="31534"/>
    <cellStyle name="Nota 2 2 4 16 3 2" xfId="31535"/>
    <cellStyle name="Nota 2 2 4 16 3 3" xfId="31536"/>
    <cellStyle name="Nota 2 2 4 16 4" xfId="31537"/>
    <cellStyle name="Nota 2 2 4 16 5" xfId="31538"/>
    <cellStyle name="Nota 2 2 4 17" xfId="31539"/>
    <cellStyle name="Nota 2 2 4 17 2" xfId="31540"/>
    <cellStyle name="Nota 2 2 4 17 2 2" xfId="31541"/>
    <cellStyle name="Nota 2 2 4 17 2 3" xfId="31542"/>
    <cellStyle name="Nota 2 2 4 17 3" xfId="31543"/>
    <cellStyle name="Nota 2 2 4 17 3 2" xfId="31544"/>
    <cellStyle name="Nota 2 2 4 17 3 3" xfId="31545"/>
    <cellStyle name="Nota 2 2 4 17 4" xfId="31546"/>
    <cellStyle name="Nota 2 2 4 17 5" xfId="31547"/>
    <cellStyle name="Nota 2 2 4 18" xfId="31548"/>
    <cellStyle name="Nota 2 2 4 18 2" xfId="31549"/>
    <cellStyle name="Nota 2 2 4 18 2 2" xfId="31550"/>
    <cellStyle name="Nota 2 2 4 18 2 3" xfId="31551"/>
    <cellStyle name="Nota 2 2 4 18 3" xfId="31552"/>
    <cellStyle name="Nota 2 2 4 18 3 2" xfId="31553"/>
    <cellStyle name="Nota 2 2 4 18 3 3" xfId="31554"/>
    <cellStyle name="Nota 2 2 4 18 4" xfId="31555"/>
    <cellStyle name="Nota 2 2 4 18 5" xfId="31556"/>
    <cellStyle name="Nota 2 2 4 19" xfId="31557"/>
    <cellStyle name="Nota 2 2 4 19 2" xfId="31558"/>
    <cellStyle name="Nota 2 2 4 19 2 2" xfId="31559"/>
    <cellStyle name="Nota 2 2 4 19 2 3" xfId="31560"/>
    <cellStyle name="Nota 2 2 4 19 3" xfId="31561"/>
    <cellStyle name="Nota 2 2 4 19 3 2" xfId="31562"/>
    <cellStyle name="Nota 2 2 4 19 3 3" xfId="31563"/>
    <cellStyle name="Nota 2 2 4 19 4" xfId="31564"/>
    <cellStyle name="Nota 2 2 4 19 5" xfId="31565"/>
    <cellStyle name="Nota 2 2 4 2" xfId="31566"/>
    <cellStyle name="Nota 2 2 4 2 2" xfId="31567"/>
    <cellStyle name="Nota 2 2 4 2 2 2" xfId="31568"/>
    <cellStyle name="Nota 2 2 4 2 2 3" xfId="31569"/>
    <cellStyle name="Nota 2 2 4 2 3" xfId="31570"/>
    <cellStyle name="Nota 2 2 4 2 3 2" xfId="31571"/>
    <cellStyle name="Nota 2 2 4 2 3 3" xfId="31572"/>
    <cellStyle name="Nota 2 2 4 2 4" xfId="31573"/>
    <cellStyle name="Nota 2 2 4 2 5" xfId="31574"/>
    <cellStyle name="Nota 2 2 4 20" xfId="31575"/>
    <cellStyle name="Nota 2 2 4 20 2" xfId="31576"/>
    <cellStyle name="Nota 2 2 4 20 2 2" xfId="31577"/>
    <cellStyle name="Nota 2 2 4 20 2 3" xfId="31578"/>
    <cellStyle name="Nota 2 2 4 20 3" xfId="31579"/>
    <cellStyle name="Nota 2 2 4 20 3 2" xfId="31580"/>
    <cellStyle name="Nota 2 2 4 20 3 3" xfId="31581"/>
    <cellStyle name="Nota 2 2 4 20 4" xfId="31582"/>
    <cellStyle name="Nota 2 2 4 20 5" xfId="31583"/>
    <cellStyle name="Nota 2 2 4 21" xfId="31584"/>
    <cellStyle name="Nota 2 2 4 21 2" xfId="31585"/>
    <cellStyle name="Nota 2 2 4 21 2 2" xfId="31586"/>
    <cellStyle name="Nota 2 2 4 21 2 3" xfId="31587"/>
    <cellStyle name="Nota 2 2 4 21 3" xfId="31588"/>
    <cellStyle name="Nota 2 2 4 21 3 2" xfId="31589"/>
    <cellStyle name="Nota 2 2 4 21 3 3" xfId="31590"/>
    <cellStyle name="Nota 2 2 4 21 4" xfId="31591"/>
    <cellStyle name="Nota 2 2 4 21 5" xfId="31592"/>
    <cellStyle name="Nota 2 2 4 22" xfId="31593"/>
    <cellStyle name="Nota 2 2 4 22 2" xfId="31594"/>
    <cellStyle name="Nota 2 2 4 22 2 2" xfId="31595"/>
    <cellStyle name="Nota 2 2 4 22 2 3" xfId="31596"/>
    <cellStyle name="Nota 2 2 4 22 3" xfId="31597"/>
    <cellStyle name="Nota 2 2 4 22 3 2" xfId="31598"/>
    <cellStyle name="Nota 2 2 4 22 3 3" xfId="31599"/>
    <cellStyle name="Nota 2 2 4 22 4" xfId="31600"/>
    <cellStyle name="Nota 2 2 4 22 5" xfId="31601"/>
    <cellStyle name="Nota 2 2 4 23" xfId="31602"/>
    <cellStyle name="Nota 2 2 4 23 2" xfId="31603"/>
    <cellStyle name="Nota 2 2 4 23 2 2" xfId="31604"/>
    <cellStyle name="Nota 2 2 4 23 2 3" xfId="31605"/>
    <cellStyle name="Nota 2 2 4 23 3" xfId="31606"/>
    <cellStyle name="Nota 2 2 4 23 3 2" xfId="31607"/>
    <cellStyle name="Nota 2 2 4 23 3 3" xfId="31608"/>
    <cellStyle name="Nota 2 2 4 23 4" xfId="31609"/>
    <cellStyle name="Nota 2 2 4 23 5" xfId="31610"/>
    <cellStyle name="Nota 2 2 4 24" xfId="31611"/>
    <cellStyle name="Nota 2 2 4 24 2" xfId="31612"/>
    <cellStyle name="Nota 2 2 4 24 2 2" xfId="31613"/>
    <cellStyle name="Nota 2 2 4 24 2 3" xfId="31614"/>
    <cellStyle name="Nota 2 2 4 24 3" xfId="31615"/>
    <cellStyle name="Nota 2 2 4 24 3 2" xfId="31616"/>
    <cellStyle name="Nota 2 2 4 24 3 3" xfId="31617"/>
    <cellStyle name="Nota 2 2 4 24 4" xfId="31618"/>
    <cellStyle name="Nota 2 2 4 24 5" xfId="31619"/>
    <cellStyle name="Nota 2 2 4 25" xfId="31620"/>
    <cellStyle name="Nota 2 2 4 25 2" xfId="31621"/>
    <cellStyle name="Nota 2 2 4 25 2 2" xfId="31622"/>
    <cellStyle name="Nota 2 2 4 25 2 3" xfId="31623"/>
    <cellStyle name="Nota 2 2 4 25 3" xfId="31624"/>
    <cellStyle name="Nota 2 2 4 25 3 2" xfId="31625"/>
    <cellStyle name="Nota 2 2 4 25 3 3" xfId="31626"/>
    <cellStyle name="Nota 2 2 4 25 4" xfId="31627"/>
    <cellStyle name="Nota 2 2 4 25 5" xfId="31628"/>
    <cellStyle name="Nota 2 2 4 26" xfId="31629"/>
    <cellStyle name="Nota 2 2 4 26 2" xfId="31630"/>
    <cellStyle name="Nota 2 2 4 26 2 2" xfId="31631"/>
    <cellStyle name="Nota 2 2 4 26 2 3" xfId="31632"/>
    <cellStyle name="Nota 2 2 4 26 3" xfId="31633"/>
    <cellStyle name="Nota 2 2 4 26 3 2" xfId="31634"/>
    <cellStyle name="Nota 2 2 4 26 3 3" xfId="31635"/>
    <cellStyle name="Nota 2 2 4 26 4" xfId="31636"/>
    <cellStyle name="Nota 2 2 4 26 5" xfId="31637"/>
    <cellStyle name="Nota 2 2 4 27" xfId="31638"/>
    <cellStyle name="Nota 2 2 4 27 2" xfId="31639"/>
    <cellStyle name="Nota 2 2 4 27 2 2" xfId="31640"/>
    <cellStyle name="Nota 2 2 4 27 2 3" xfId="31641"/>
    <cellStyle name="Nota 2 2 4 27 3" xfId="31642"/>
    <cellStyle name="Nota 2 2 4 27 3 2" xfId="31643"/>
    <cellStyle name="Nota 2 2 4 27 3 3" xfId="31644"/>
    <cellStyle name="Nota 2 2 4 27 4" xfId="31645"/>
    <cellStyle name="Nota 2 2 4 27 5" xfId="31646"/>
    <cellStyle name="Nota 2 2 4 28" xfId="31647"/>
    <cellStyle name="Nota 2 2 4 28 2" xfId="31648"/>
    <cellStyle name="Nota 2 2 4 28 2 2" xfId="31649"/>
    <cellStyle name="Nota 2 2 4 28 2 3" xfId="31650"/>
    <cellStyle name="Nota 2 2 4 28 3" xfId="31651"/>
    <cellStyle name="Nota 2 2 4 28 3 2" xfId="31652"/>
    <cellStyle name="Nota 2 2 4 28 3 3" xfId="31653"/>
    <cellStyle name="Nota 2 2 4 28 4" xfId="31654"/>
    <cellStyle name="Nota 2 2 4 28 5" xfId="31655"/>
    <cellStyle name="Nota 2 2 4 29" xfId="31656"/>
    <cellStyle name="Nota 2 2 4 29 2" xfId="31657"/>
    <cellStyle name="Nota 2 2 4 29 2 2" xfId="31658"/>
    <cellStyle name="Nota 2 2 4 29 2 3" xfId="31659"/>
    <cellStyle name="Nota 2 2 4 29 3" xfId="31660"/>
    <cellStyle name="Nota 2 2 4 29 3 2" xfId="31661"/>
    <cellStyle name="Nota 2 2 4 29 3 3" xfId="31662"/>
    <cellStyle name="Nota 2 2 4 29 4" xfId="31663"/>
    <cellStyle name="Nota 2 2 4 29 5" xfId="31664"/>
    <cellStyle name="Nota 2 2 4 3" xfId="31665"/>
    <cellStyle name="Nota 2 2 4 3 2" xfId="31666"/>
    <cellStyle name="Nota 2 2 4 3 2 2" xfId="31667"/>
    <cellStyle name="Nota 2 2 4 3 2 3" xfId="31668"/>
    <cellStyle name="Nota 2 2 4 3 3" xfId="31669"/>
    <cellStyle name="Nota 2 2 4 3 3 2" xfId="31670"/>
    <cellStyle name="Nota 2 2 4 3 3 3" xfId="31671"/>
    <cellStyle name="Nota 2 2 4 3 4" xfId="31672"/>
    <cellStyle name="Nota 2 2 4 3 5" xfId="31673"/>
    <cellStyle name="Nota 2 2 4 30" xfId="31674"/>
    <cellStyle name="Nota 2 2 4 30 2" xfId="31675"/>
    <cellStyle name="Nota 2 2 4 30 2 2" xfId="31676"/>
    <cellStyle name="Nota 2 2 4 30 2 3" xfId="31677"/>
    <cellStyle name="Nota 2 2 4 30 3" xfId="31678"/>
    <cellStyle name="Nota 2 2 4 30 3 2" xfId="31679"/>
    <cellStyle name="Nota 2 2 4 30 3 3" xfId="31680"/>
    <cellStyle name="Nota 2 2 4 30 4" xfId="31681"/>
    <cellStyle name="Nota 2 2 4 30 5" xfId="31682"/>
    <cellStyle name="Nota 2 2 4 31" xfId="31683"/>
    <cellStyle name="Nota 2 2 4 31 2" xfId="31684"/>
    <cellStyle name="Nota 2 2 4 31 2 2" xfId="31685"/>
    <cellStyle name="Nota 2 2 4 31 2 3" xfId="31686"/>
    <cellStyle name="Nota 2 2 4 31 3" xfId="31687"/>
    <cellStyle name="Nota 2 2 4 31 3 2" xfId="31688"/>
    <cellStyle name="Nota 2 2 4 31 3 3" xfId="31689"/>
    <cellStyle name="Nota 2 2 4 31 4" xfId="31690"/>
    <cellStyle name="Nota 2 2 4 31 5" xfId="31691"/>
    <cellStyle name="Nota 2 2 4 32" xfId="31692"/>
    <cellStyle name="Nota 2 2 4 32 2" xfId="31693"/>
    <cellStyle name="Nota 2 2 4 32 2 2" xfId="31694"/>
    <cellStyle name="Nota 2 2 4 32 2 3" xfId="31695"/>
    <cellStyle name="Nota 2 2 4 32 3" xfId="31696"/>
    <cellStyle name="Nota 2 2 4 32 3 2" xfId="31697"/>
    <cellStyle name="Nota 2 2 4 32 3 3" xfId="31698"/>
    <cellStyle name="Nota 2 2 4 32 4" xfId="31699"/>
    <cellStyle name="Nota 2 2 4 32 5" xfId="31700"/>
    <cellStyle name="Nota 2 2 4 33" xfId="31701"/>
    <cellStyle name="Nota 2 2 4 33 2" xfId="31702"/>
    <cellStyle name="Nota 2 2 4 33 2 2" xfId="31703"/>
    <cellStyle name="Nota 2 2 4 33 2 3" xfId="31704"/>
    <cellStyle name="Nota 2 2 4 33 3" xfId="31705"/>
    <cellStyle name="Nota 2 2 4 33 3 2" xfId="31706"/>
    <cellStyle name="Nota 2 2 4 33 3 3" xfId="31707"/>
    <cellStyle name="Nota 2 2 4 33 4" xfId="31708"/>
    <cellStyle name="Nota 2 2 4 33 5" xfId="31709"/>
    <cellStyle name="Nota 2 2 4 34" xfId="31710"/>
    <cellStyle name="Nota 2 2 4 34 2" xfId="31711"/>
    <cellStyle name="Nota 2 2 4 34 2 2" xfId="31712"/>
    <cellStyle name="Nota 2 2 4 34 2 3" xfId="31713"/>
    <cellStyle name="Nota 2 2 4 34 3" xfId="31714"/>
    <cellStyle name="Nota 2 2 4 34 3 2" xfId="31715"/>
    <cellStyle name="Nota 2 2 4 34 3 3" xfId="31716"/>
    <cellStyle name="Nota 2 2 4 34 4" xfId="31717"/>
    <cellStyle name="Nota 2 2 4 34 5" xfId="31718"/>
    <cellStyle name="Nota 2 2 4 35" xfId="31719"/>
    <cellStyle name="Nota 2 2 4 35 2" xfId="31720"/>
    <cellStyle name="Nota 2 2 4 35 2 2" xfId="31721"/>
    <cellStyle name="Nota 2 2 4 35 2 3" xfId="31722"/>
    <cellStyle name="Nota 2 2 4 35 3" xfId="31723"/>
    <cellStyle name="Nota 2 2 4 35 3 2" xfId="31724"/>
    <cellStyle name="Nota 2 2 4 35 3 3" xfId="31725"/>
    <cellStyle name="Nota 2 2 4 35 4" xfId="31726"/>
    <cellStyle name="Nota 2 2 4 35 5" xfId="31727"/>
    <cellStyle name="Nota 2 2 4 36" xfId="31728"/>
    <cellStyle name="Nota 2 2 4 36 2" xfId="31729"/>
    <cellStyle name="Nota 2 2 4 36 2 2" xfId="31730"/>
    <cellStyle name="Nota 2 2 4 36 2 3" xfId="31731"/>
    <cellStyle name="Nota 2 2 4 36 3" xfId="31732"/>
    <cellStyle name="Nota 2 2 4 36 3 2" xfId="31733"/>
    <cellStyle name="Nota 2 2 4 36 3 3" xfId="31734"/>
    <cellStyle name="Nota 2 2 4 36 4" xfId="31735"/>
    <cellStyle name="Nota 2 2 4 36 5" xfId="31736"/>
    <cellStyle name="Nota 2 2 4 37" xfId="31737"/>
    <cellStyle name="Nota 2 2 4 37 2" xfId="31738"/>
    <cellStyle name="Nota 2 2 4 37 2 2" xfId="31739"/>
    <cellStyle name="Nota 2 2 4 37 2 3" xfId="31740"/>
    <cellStyle name="Nota 2 2 4 37 3" xfId="31741"/>
    <cellStyle name="Nota 2 2 4 37 3 2" xfId="31742"/>
    <cellStyle name="Nota 2 2 4 37 3 3" xfId="31743"/>
    <cellStyle name="Nota 2 2 4 37 4" xfId="31744"/>
    <cellStyle name="Nota 2 2 4 37 5" xfId="31745"/>
    <cellStyle name="Nota 2 2 4 38" xfId="31746"/>
    <cellStyle name="Nota 2 2 4 38 2" xfId="31747"/>
    <cellStyle name="Nota 2 2 4 38 2 2" xfId="31748"/>
    <cellStyle name="Nota 2 2 4 38 2 3" xfId="31749"/>
    <cellStyle name="Nota 2 2 4 38 3" xfId="31750"/>
    <cellStyle name="Nota 2 2 4 38 3 2" xfId="31751"/>
    <cellStyle name="Nota 2 2 4 38 3 3" xfId="31752"/>
    <cellStyle name="Nota 2 2 4 38 4" xfId="31753"/>
    <cellStyle name="Nota 2 2 4 38 5" xfId="31754"/>
    <cellStyle name="Nota 2 2 4 39" xfId="31755"/>
    <cellStyle name="Nota 2 2 4 39 2" xfId="31756"/>
    <cellStyle name="Nota 2 2 4 39 2 2" xfId="31757"/>
    <cellStyle name="Nota 2 2 4 39 2 3" xfId="31758"/>
    <cellStyle name="Nota 2 2 4 39 3" xfId="31759"/>
    <cellStyle name="Nota 2 2 4 39 3 2" xfId="31760"/>
    <cellStyle name="Nota 2 2 4 39 3 3" xfId="31761"/>
    <cellStyle name="Nota 2 2 4 39 4" xfId="31762"/>
    <cellStyle name="Nota 2 2 4 39 5" xfId="31763"/>
    <cellStyle name="Nota 2 2 4 4" xfId="31764"/>
    <cellStyle name="Nota 2 2 4 4 2" xfId="31765"/>
    <cellStyle name="Nota 2 2 4 4 2 2" xfId="31766"/>
    <cellStyle name="Nota 2 2 4 4 2 3" xfId="31767"/>
    <cellStyle name="Nota 2 2 4 4 3" xfId="31768"/>
    <cellStyle name="Nota 2 2 4 4 3 2" xfId="31769"/>
    <cellStyle name="Nota 2 2 4 4 3 3" xfId="31770"/>
    <cellStyle name="Nota 2 2 4 4 4" xfId="31771"/>
    <cellStyle name="Nota 2 2 4 4 5" xfId="31772"/>
    <cellStyle name="Nota 2 2 4 40" xfId="31773"/>
    <cellStyle name="Nota 2 2 4 40 2" xfId="31774"/>
    <cellStyle name="Nota 2 2 4 40 2 2" xfId="31775"/>
    <cellStyle name="Nota 2 2 4 40 2 3" xfId="31776"/>
    <cellStyle name="Nota 2 2 4 40 3" xfId="31777"/>
    <cellStyle name="Nota 2 2 4 40 3 2" xfId="31778"/>
    <cellStyle name="Nota 2 2 4 40 3 3" xfId="31779"/>
    <cellStyle name="Nota 2 2 4 40 4" xfId="31780"/>
    <cellStyle name="Nota 2 2 4 40 5" xfId="31781"/>
    <cellStyle name="Nota 2 2 4 41" xfId="31782"/>
    <cellStyle name="Nota 2 2 4 41 2" xfId="31783"/>
    <cellStyle name="Nota 2 2 4 41 2 2" xfId="31784"/>
    <cellStyle name="Nota 2 2 4 41 2 3" xfId="31785"/>
    <cellStyle name="Nota 2 2 4 41 3" xfId="31786"/>
    <cellStyle name="Nota 2 2 4 41 3 2" xfId="31787"/>
    <cellStyle name="Nota 2 2 4 41 3 3" xfId="31788"/>
    <cellStyle name="Nota 2 2 4 41 4" xfId="31789"/>
    <cellStyle name="Nota 2 2 4 41 5" xfId="31790"/>
    <cellStyle name="Nota 2 2 4 42" xfId="31791"/>
    <cellStyle name="Nota 2 2 4 42 2" xfId="31792"/>
    <cellStyle name="Nota 2 2 4 42 2 2" xfId="31793"/>
    <cellStyle name="Nota 2 2 4 42 2 3" xfId="31794"/>
    <cellStyle name="Nota 2 2 4 42 3" xfId="31795"/>
    <cellStyle name="Nota 2 2 4 42 4" xfId="31796"/>
    <cellStyle name="Nota 2 2 4 43" xfId="31797"/>
    <cellStyle name="Nota 2 2 4 43 2" xfId="31798"/>
    <cellStyle name="Nota 2 2 4 43 3" xfId="31799"/>
    <cellStyle name="Nota 2 2 4 44" xfId="31800"/>
    <cellStyle name="Nota 2 2 4 44 2" xfId="31801"/>
    <cellStyle name="Nota 2 2 4 44 3" xfId="31802"/>
    <cellStyle name="Nota 2 2 4 45" xfId="31803"/>
    <cellStyle name="Nota 2 2 4 46" xfId="31804"/>
    <cellStyle name="Nota 2 2 4 5" xfId="31805"/>
    <cellStyle name="Nota 2 2 4 5 2" xfId="31806"/>
    <cellStyle name="Nota 2 2 4 5 2 2" xfId="31807"/>
    <cellStyle name="Nota 2 2 4 5 2 3" xfId="31808"/>
    <cellStyle name="Nota 2 2 4 5 3" xfId="31809"/>
    <cellStyle name="Nota 2 2 4 5 3 2" xfId="31810"/>
    <cellStyle name="Nota 2 2 4 5 3 3" xfId="31811"/>
    <cellStyle name="Nota 2 2 4 5 4" xfId="31812"/>
    <cellStyle name="Nota 2 2 4 5 5" xfId="31813"/>
    <cellStyle name="Nota 2 2 4 6" xfId="31814"/>
    <cellStyle name="Nota 2 2 4 6 2" xfId="31815"/>
    <cellStyle name="Nota 2 2 4 6 2 2" xfId="31816"/>
    <cellStyle name="Nota 2 2 4 6 2 3" xfId="31817"/>
    <cellStyle name="Nota 2 2 4 6 3" xfId="31818"/>
    <cellStyle name="Nota 2 2 4 6 3 2" xfId="31819"/>
    <cellStyle name="Nota 2 2 4 6 3 3" xfId="31820"/>
    <cellStyle name="Nota 2 2 4 6 4" xfId="31821"/>
    <cellStyle name="Nota 2 2 4 6 5" xfId="31822"/>
    <cellStyle name="Nota 2 2 4 7" xfId="31823"/>
    <cellStyle name="Nota 2 2 4 7 2" xfId="31824"/>
    <cellStyle name="Nota 2 2 4 7 2 2" xfId="31825"/>
    <cellStyle name="Nota 2 2 4 7 2 3" xfId="31826"/>
    <cellStyle name="Nota 2 2 4 7 3" xfId="31827"/>
    <cellStyle name="Nota 2 2 4 7 3 2" xfId="31828"/>
    <cellStyle name="Nota 2 2 4 7 3 3" xfId="31829"/>
    <cellStyle name="Nota 2 2 4 7 4" xfId="31830"/>
    <cellStyle name="Nota 2 2 4 7 5" xfId="31831"/>
    <cellStyle name="Nota 2 2 4 8" xfId="31832"/>
    <cellStyle name="Nota 2 2 4 8 2" xfId="31833"/>
    <cellStyle name="Nota 2 2 4 8 2 2" xfId="31834"/>
    <cellStyle name="Nota 2 2 4 8 2 3" xfId="31835"/>
    <cellStyle name="Nota 2 2 4 8 3" xfId="31836"/>
    <cellStyle name="Nota 2 2 4 8 3 2" xfId="31837"/>
    <cellStyle name="Nota 2 2 4 8 3 3" xfId="31838"/>
    <cellStyle name="Nota 2 2 4 8 4" xfId="31839"/>
    <cellStyle name="Nota 2 2 4 8 5" xfId="31840"/>
    <cellStyle name="Nota 2 2 4 9" xfId="31841"/>
    <cellStyle name="Nota 2 2 4 9 2" xfId="31842"/>
    <cellStyle name="Nota 2 2 4 9 2 2" xfId="31843"/>
    <cellStyle name="Nota 2 2 4 9 2 3" xfId="31844"/>
    <cellStyle name="Nota 2 2 4 9 3" xfId="31845"/>
    <cellStyle name="Nota 2 2 4 9 3 2" xfId="31846"/>
    <cellStyle name="Nota 2 2 4 9 3 3" xfId="31847"/>
    <cellStyle name="Nota 2 2 4 9 4" xfId="31848"/>
    <cellStyle name="Nota 2 2 4 9 5" xfId="31849"/>
    <cellStyle name="Nota 2 2 5" xfId="31850"/>
    <cellStyle name="Nota 2 2 5 10" xfId="31851"/>
    <cellStyle name="Nota 2 2 5 10 2" xfId="31852"/>
    <cellStyle name="Nota 2 2 5 10 2 2" xfId="31853"/>
    <cellStyle name="Nota 2 2 5 10 2 3" xfId="31854"/>
    <cellStyle name="Nota 2 2 5 10 3" xfId="31855"/>
    <cellStyle name="Nota 2 2 5 10 3 2" xfId="31856"/>
    <cellStyle name="Nota 2 2 5 10 3 3" xfId="31857"/>
    <cellStyle name="Nota 2 2 5 10 4" xfId="31858"/>
    <cellStyle name="Nota 2 2 5 10 5" xfId="31859"/>
    <cellStyle name="Nota 2 2 5 11" xfId="31860"/>
    <cellStyle name="Nota 2 2 5 11 2" xfId="31861"/>
    <cellStyle name="Nota 2 2 5 11 2 2" xfId="31862"/>
    <cellStyle name="Nota 2 2 5 11 2 3" xfId="31863"/>
    <cellStyle name="Nota 2 2 5 11 3" xfId="31864"/>
    <cellStyle name="Nota 2 2 5 11 3 2" xfId="31865"/>
    <cellStyle name="Nota 2 2 5 11 3 3" xfId="31866"/>
    <cellStyle name="Nota 2 2 5 11 4" xfId="31867"/>
    <cellStyle name="Nota 2 2 5 11 5" xfId="31868"/>
    <cellStyle name="Nota 2 2 5 12" xfId="31869"/>
    <cellStyle name="Nota 2 2 5 12 2" xfId="31870"/>
    <cellStyle name="Nota 2 2 5 12 2 2" xfId="31871"/>
    <cellStyle name="Nota 2 2 5 12 2 3" xfId="31872"/>
    <cellStyle name="Nota 2 2 5 12 3" xfId="31873"/>
    <cellStyle name="Nota 2 2 5 12 3 2" xfId="31874"/>
    <cellStyle name="Nota 2 2 5 12 3 3" xfId="31875"/>
    <cellStyle name="Nota 2 2 5 12 4" xfId="31876"/>
    <cellStyle name="Nota 2 2 5 12 5" xfId="31877"/>
    <cellStyle name="Nota 2 2 5 13" xfId="31878"/>
    <cellStyle name="Nota 2 2 5 13 2" xfId="31879"/>
    <cellStyle name="Nota 2 2 5 13 2 2" xfId="31880"/>
    <cellStyle name="Nota 2 2 5 13 2 3" xfId="31881"/>
    <cellStyle name="Nota 2 2 5 13 3" xfId="31882"/>
    <cellStyle name="Nota 2 2 5 13 3 2" xfId="31883"/>
    <cellStyle name="Nota 2 2 5 13 3 3" xfId="31884"/>
    <cellStyle name="Nota 2 2 5 13 4" xfId="31885"/>
    <cellStyle name="Nota 2 2 5 13 5" xfId="31886"/>
    <cellStyle name="Nota 2 2 5 14" xfId="31887"/>
    <cellStyle name="Nota 2 2 5 14 2" xfId="31888"/>
    <cellStyle name="Nota 2 2 5 14 2 2" xfId="31889"/>
    <cellStyle name="Nota 2 2 5 14 2 3" xfId="31890"/>
    <cellStyle name="Nota 2 2 5 14 3" xfId="31891"/>
    <cellStyle name="Nota 2 2 5 14 3 2" xfId="31892"/>
    <cellStyle name="Nota 2 2 5 14 3 3" xfId="31893"/>
    <cellStyle name="Nota 2 2 5 14 4" xfId="31894"/>
    <cellStyle name="Nota 2 2 5 14 5" xfId="31895"/>
    <cellStyle name="Nota 2 2 5 15" xfId="31896"/>
    <cellStyle name="Nota 2 2 5 15 2" xfId="31897"/>
    <cellStyle name="Nota 2 2 5 15 2 2" xfId="31898"/>
    <cellStyle name="Nota 2 2 5 15 2 3" xfId="31899"/>
    <cellStyle name="Nota 2 2 5 15 3" xfId="31900"/>
    <cellStyle name="Nota 2 2 5 15 3 2" xfId="31901"/>
    <cellStyle name="Nota 2 2 5 15 3 3" xfId="31902"/>
    <cellStyle name="Nota 2 2 5 15 4" xfId="31903"/>
    <cellStyle name="Nota 2 2 5 15 5" xfId="31904"/>
    <cellStyle name="Nota 2 2 5 16" xfId="31905"/>
    <cellStyle name="Nota 2 2 5 16 2" xfId="31906"/>
    <cellStyle name="Nota 2 2 5 16 2 2" xfId="31907"/>
    <cellStyle name="Nota 2 2 5 16 2 3" xfId="31908"/>
    <cellStyle name="Nota 2 2 5 16 3" xfId="31909"/>
    <cellStyle name="Nota 2 2 5 16 3 2" xfId="31910"/>
    <cellStyle name="Nota 2 2 5 16 3 3" xfId="31911"/>
    <cellStyle name="Nota 2 2 5 16 4" xfId="31912"/>
    <cellStyle name="Nota 2 2 5 16 5" xfId="31913"/>
    <cellStyle name="Nota 2 2 5 17" xfId="31914"/>
    <cellStyle name="Nota 2 2 5 17 2" xfId="31915"/>
    <cellStyle name="Nota 2 2 5 17 2 2" xfId="31916"/>
    <cellStyle name="Nota 2 2 5 17 2 3" xfId="31917"/>
    <cellStyle name="Nota 2 2 5 17 3" xfId="31918"/>
    <cellStyle name="Nota 2 2 5 17 3 2" xfId="31919"/>
    <cellStyle name="Nota 2 2 5 17 3 3" xfId="31920"/>
    <cellStyle name="Nota 2 2 5 17 4" xfId="31921"/>
    <cellStyle name="Nota 2 2 5 17 5" xfId="31922"/>
    <cellStyle name="Nota 2 2 5 18" xfId="31923"/>
    <cellStyle name="Nota 2 2 5 18 2" xfId="31924"/>
    <cellStyle name="Nota 2 2 5 18 2 2" xfId="31925"/>
    <cellStyle name="Nota 2 2 5 18 2 3" xfId="31926"/>
    <cellStyle name="Nota 2 2 5 18 3" xfId="31927"/>
    <cellStyle name="Nota 2 2 5 18 3 2" xfId="31928"/>
    <cellStyle name="Nota 2 2 5 18 3 3" xfId="31929"/>
    <cellStyle name="Nota 2 2 5 18 4" xfId="31930"/>
    <cellStyle name="Nota 2 2 5 18 5" xfId="31931"/>
    <cellStyle name="Nota 2 2 5 19" xfId="31932"/>
    <cellStyle name="Nota 2 2 5 19 2" xfId="31933"/>
    <cellStyle name="Nota 2 2 5 19 2 2" xfId="31934"/>
    <cellStyle name="Nota 2 2 5 19 2 3" xfId="31935"/>
    <cellStyle name="Nota 2 2 5 19 3" xfId="31936"/>
    <cellStyle name="Nota 2 2 5 19 3 2" xfId="31937"/>
    <cellStyle name="Nota 2 2 5 19 3 3" xfId="31938"/>
    <cellStyle name="Nota 2 2 5 19 4" xfId="31939"/>
    <cellStyle name="Nota 2 2 5 19 5" xfId="31940"/>
    <cellStyle name="Nota 2 2 5 2" xfId="31941"/>
    <cellStyle name="Nota 2 2 5 2 2" xfId="31942"/>
    <cellStyle name="Nota 2 2 5 2 2 2" xfId="31943"/>
    <cellStyle name="Nota 2 2 5 2 2 3" xfId="31944"/>
    <cellStyle name="Nota 2 2 5 2 3" xfId="31945"/>
    <cellStyle name="Nota 2 2 5 2 3 2" xfId="31946"/>
    <cellStyle name="Nota 2 2 5 2 3 3" xfId="31947"/>
    <cellStyle name="Nota 2 2 5 2 4" xfId="31948"/>
    <cellStyle name="Nota 2 2 5 2 5" xfId="31949"/>
    <cellStyle name="Nota 2 2 5 20" xfId="31950"/>
    <cellStyle name="Nota 2 2 5 20 2" xfId="31951"/>
    <cellStyle name="Nota 2 2 5 20 2 2" xfId="31952"/>
    <cellStyle name="Nota 2 2 5 20 2 3" xfId="31953"/>
    <cellStyle name="Nota 2 2 5 20 3" xfId="31954"/>
    <cellStyle name="Nota 2 2 5 20 3 2" xfId="31955"/>
    <cellStyle name="Nota 2 2 5 20 3 3" xfId="31956"/>
    <cellStyle name="Nota 2 2 5 20 4" xfId="31957"/>
    <cellStyle name="Nota 2 2 5 20 5" xfId="31958"/>
    <cellStyle name="Nota 2 2 5 21" xfId="31959"/>
    <cellStyle name="Nota 2 2 5 21 2" xfId="31960"/>
    <cellStyle name="Nota 2 2 5 21 2 2" xfId="31961"/>
    <cellStyle name="Nota 2 2 5 21 2 3" xfId="31962"/>
    <cellStyle name="Nota 2 2 5 21 3" xfId="31963"/>
    <cellStyle name="Nota 2 2 5 21 3 2" xfId="31964"/>
    <cellStyle name="Nota 2 2 5 21 3 3" xfId="31965"/>
    <cellStyle name="Nota 2 2 5 21 4" xfId="31966"/>
    <cellStyle name="Nota 2 2 5 21 5" xfId="31967"/>
    <cellStyle name="Nota 2 2 5 22" xfId="31968"/>
    <cellStyle name="Nota 2 2 5 22 2" xfId="31969"/>
    <cellStyle name="Nota 2 2 5 22 2 2" xfId="31970"/>
    <cellStyle name="Nota 2 2 5 22 2 3" xfId="31971"/>
    <cellStyle name="Nota 2 2 5 22 3" xfId="31972"/>
    <cellStyle name="Nota 2 2 5 22 3 2" xfId="31973"/>
    <cellStyle name="Nota 2 2 5 22 3 3" xfId="31974"/>
    <cellStyle name="Nota 2 2 5 22 4" xfId="31975"/>
    <cellStyle name="Nota 2 2 5 22 5" xfId="31976"/>
    <cellStyle name="Nota 2 2 5 23" xfId="31977"/>
    <cellStyle name="Nota 2 2 5 23 2" xfId="31978"/>
    <cellStyle name="Nota 2 2 5 23 2 2" xfId="31979"/>
    <cellStyle name="Nota 2 2 5 23 2 3" xfId="31980"/>
    <cellStyle name="Nota 2 2 5 23 3" xfId="31981"/>
    <cellStyle name="Nota 2 2 5 23 3 2" xfId="31982"/>
    <cellStyle name="Nota 2 2 5 23 3 3" xfId="31983"/>
    <cellStyle name="Nota 2 2 5 23 4" xfId="31984"/>
    <cellStyle name="Nota 2 2 5 23 5" xfId="31985"/>
    <cellStyle name="Nota 2 2 5 24" xfId="31986"/>
    <cellStyle name="Nota 2 2 5 24 2" xfId="31987"/>
    <cellStyle name="Nota 2 2 5 24 2 2" xfId="31988"/>
    <cellStyle name="Nota 2 2 5 24 2 3" xfId="31989"/>
    <cellStyle name="Nota 2 2 5 24 3" xfId="31990"/>
    <cellStyle name="Nota 2 2 5 24 3 2" xfId="31991"/>
    <cellStyle name="Nota 2 2 5 24 3 3" xfId="31992"/>
    <cellStyle name="Nota 2 2 5 24 4" xfId="31993"/>
    <cellStyle name="Nota 2 2 5 24 5" xfId="31994"/>
    <cellStyle name="Nota 2 2 5 25" xfId="31995"/>
    <cellStyle name="Nota 2 2 5 25 2" xfId="31996"/>
    <cellStyle name="Nota 2 2 5 25 2 2" xfId="31997"/>
    <cellStyle name="Nota 2 2 5 25 2 3" xfId="31998"/>
    <cellStyle name="Nota 2 2 5 25 3" xfId="31999"/>
    <cellStyle name="Nota 2 2 5 25 3 2" xfId="32000"/>
    <cellStyle name="Nota 2 2 5 25 3 3" xfId="32001"/>
    <cellStyle name="Nota 2 2 5 25 4" xfId="32002"/>
    <cellStyle name="Nota 2 2 5 25 5" xfId="32003"/>
    <cellStyle name="Nota 2 2 5 26" xfId="32004"/>
    <cellStyle name="Nota 2 2 5 26 2" xfId="32005"/>
    <cellStyle name="Nota 2 2 5 26 2 2" xfId="32006"/>
    <cellStyle name="Nota 2 2 5 26 2 3" xfId="32007"/>
    <cellStyle name="Nota 2 2 5 26 3" xfId="32008"/>
    <cellStyle name="Nota 2 2 5 26 3 2" xfId="32009"/>
    <cellStyle name="Nota 2 2 5 26 3 3" xfId="32010"/>
    <cellStyle name="Nota 2 2 5 26 4" xfId="32011"/>
    <cellStyle name="Nota 2 2 5 26 5" xfId="32012"/>
    <cellStyle name="Nota 2 2 5 27" xfId="32013"/>
    <cellStyle name="Nota 2 2 5 27 2" xfId="32014"/>
    <cellStyle name="Nota 2 2 5 27 2 2" xfId="32015"/>
    <cellStyle name="Nota 2 2 5 27 2 3" xfId="32016"/>
    <cellStyle name="Nota 2 2 5 27 3" xfId="32017"/>
    <cellStyle name="Nota 2 2 5 27 3 2" xfId="32018"/>
    <cellStyle name="Nota 2 2 5 27 3 3" xfId="32019"/>
    <cellStyle name="Nota 2 2 5 27 4" xfId="32020"/>
    <cellStyle name="Nota 2 2 5 27 5" xfId="32021"/>
    <cellStyle name="Nota 2 2 5 28" xfId="32022"/>
    <cellStyle name="Nota 2 2 5 28 2" xfId="32023"/>
    <cellStyle name="Nota 2 2 5 28 2 2" xfId="32024"/>
    <cellStyle name="Nota 2 2 5 28 2 3" xfId="32025"/>
    <cellStyle name="Nota 2 2 5 28 3" xfId="32026"/>
    <cellStyle name="Nota 2 2 5 28 3 2" xfId="32027"/>
    <cellStyle name="Nota 2 2 5 28 3 3" xfId="32028"/>
    <cellStyle name="Nota 2 2 5 28 4" xfId="32029"/>
    <cellStyle name="Nota 2 2 5 28 5" xfId="32030"/>
    <cellStyle name="Nota 2 2 5 29" xfId="32031"/>
    <cellStyle name="Nota 2 2 5 29 2" xfId="32032"/>
    <cellStyle name="Nota 2 2 5 29 2 2" xfId="32033"/>
    <cellStyle name="Nota 2 2 5 29 2 3" xfId="32034"/>
    <cellStyle name="Nota 2 2 5 29 3" xfId="32035"/>
    <cellStyle name="Nota 2 2 5 29 3 2" xfId="32036"/>
    <cellStyle name="Nota 2 2 5 29 3 3" xfId="32037"/>
    <cellStyle name="Nota 2 2 5 29 4" xfId="32038"/>
    <cellStyle name="Nota 2 2 5 29 5" xfId="32039"/>
    <cellStyle name="Nota 2 2 5 3" xfId="32040"/>
    <cellStyle name="Nota 2 2 5 3 2" xfId="32041"/>
    <cellStyle name="Nota 2 2 5 3 2 2" xfId="32042"/>
    <cellStyle name="Nota 2 2 5 3 2 3" xfId="32043"/>
    <cellStyle name="Nota 2 2 5 3 3" xfId="32044"/>
    <cellStyle name="Nota 2 2 5 3 3 2" xfId="32045"/>
    <cellStyle name="Nota 2 2 5 3 3 3" xfId="32046"/>
    <cellStyle name="Nota 2 2 5 3 4" xfId="32047"/>
    <cellStyle name="Nota 2 2 5 3 5" xfId="32048"/>
    <cellStyle name="Nota 2 2 5 30" xfId="32049"/>
    <cellStyle name="Nota 2 2 5 30 2" xfId="32050"/>
    <cellStyle name="Nota 2 2 5 30 2 2" xfId="32051"/>
    <cellStyle name="Nota 2 2 5 30 2 3" xfId="32052"/>
    <cellStyle name="Nota 2 2 5 30 3" xfId="32053"/>
    <cellStyle name="Nota 2 2 5 30 3 2" xfId="32054"/>
    <cellStyle name="Nota 2 2 5 30 3 3" xfId="32055"/>
    <cellStyle name="Nota 2 2 5 30 4" xfId="32056"/>
    <cellStyle name="Nota 2 2 5 30 5" xfId="32057"/>
    <cellStyle name="Nota 2 2 5 31" xfId="32058"/>
    <cellStyle name="Nota 2 2 5 31 2" xfId="32059"/>
    <cellStyle name="Nota 2 2 5 31 2 2" xfId="32060"/>
    <cellStyle name="Nota 2 2 5 31 2 3" xfId="32061"/>
    <cellStyle name="Nota 2 2 5 31 3" xfId="32062"/>
    <cellStyle name="Nota 2 2 5 31 3 2" xfId="32063"/>
    <cellStyle name="Nota 2 2 5 31 3 3" xfId="32064"/>
    <cellStyle name="Nota 2 2 5 31 4" xfId="32065"/>
    <cellStyle name="Nota 2 2 5 31 5" xfId="32066"/>
    <cellStyle name="Nota 2 2 5 32" xfId="32067"/>
    <cellStyle name="Nota 2 2 5 32 2" xfId="32068"/>
    <cellStyle name="Nota 2 2 5 32 2 2" xfId="32069"/>
    <cellStyle name="Nota 2 2 5 32 2 3" xfId="32070"/>
    <cellStyle name="Nota 2 2 5 32 3" xfId="32071"/>
    <cellStyle name="Nota 2 2 5 32 3 2" xfId="32072"/>
    <cellStyle name="Nota 2 2 5 32 3 3" xfId="32073"/>
    <cellStyle name="Nota 2 2 5 32 4" xfId="32074"/>
    <cellStyle name="Nota 2 2 5 32 5" xfId="32075"/>
    <cellStyle name="Nota 2 2 5 33" xfId="32076"/>
    <cellStyle name="Nota 2 2 5 33 2" xfId="32077"/>
    <cellStyle name="Nota 2 2 5 33 2 2" xfId="32078"/>
    <cellStyle name="Nota 2 2 5 33 2 3" xfId="32079"/>
    <cellStyle name="Nota 2 2 5 33 3" xfId="32080"/>
    <cellStyle name="Nota 2 2 5 33 3 2" xfId="32081"/>
    <cellStyle name="Nota 2 2 5 33 3 3" xfId="32082"/>
    <cellStyle name="Nota 2 2 5 33 4" xfId="32083"/>
    <cellStyle name="Nota 2 2 5 33 5" xfId="32084"/>
    <cellStyle name="Nota 2 2 5 34" xfId="32085"/>
    <cellStyle name="Nota 2 2 5 34 2" xfId="32086"/>
    <cellStyle name="Nota 2 2 5 34 2 2" xfId="32087"/>
    <cellStyle name="Nota 2 2 5 34 2 3" xfId="32088"/>
    <cellStyle name="Nota 2 2 5 34 3" xfId="32089"/>
    <cellStyle name="Nota 2 2 5 34 3 2" xfId="32090"/>
    <cellStyle name="Nota 2 2 5 34 3 3" xfId="32091"/>
    <cellStyle name="Nota 2 2 5 34 4" xfId="32092"/>
    <cellStyle name="Nota 2 2 5 34 5" xfId="32093"/>
    <cellStyle name="Nota 2 2 5 35" xfId="32094"/>
    <cellStyle name="Nota 2 2 5 35 2" xfId="32095"/>
    <cellStyle name="Nota 2 2 5 35 2 2" xfId="32096"/>
    <cellStyle name="Nota 2 2 5 35 2 3" xfId="32097"/>
    <cellStyle name="Nota 2 2 5 35 3" xfId="32098"/>
    <cellStyle name="Nota 2 2 5 35 3 2" xfId="32099"/>
    <cellStyle name="Nota 2 2 5 35 3 3" xfId="32100"/>
    <cellStyle name="Nota 2 2 5 35 4" xfId="32101"/>
    <cellStyle name="Nota 2 2 5 35 5" xfId="32102"/>
    <cellStyle name="Nota 2 2 5 36" xfId="32103"/>
    <cellStyle name="Nota 2 2 5 36 2" xfId="32104"/>
    <cellStyle name="Nota 2 2 5 36 2 2" xfId="32105"/>
    <cellStyle name="Nota 2 2 5 36 2 3" xfId="32106"/>
    <cellStyle name="Nota 2 2 5 36 3" xfId="32107"/>
    <cellStyle name="Nota 2 2 5 36 3 2" xfId="32108"/>
    <cellStyle name="Nota 2 2 5 36 3 3" xfId="32109"/>
    <cellStyle name="Nota 2 2 5 36 4" xfId="32110"/>
    <cellStyle name="Nota 2 2 5 36 5" xfId="32111"/>
    <cellStyle name="Nota 2 2 5 37" xfId="32112"/>
    <cellStyle name="Nota 2 2 5 37 2" xfId="32113"/>
    <cellStyle name="Nota 2 2 5 37 2 2" xfId="32114"/>
    <cellStyle name="Nota 2 2 5 37 2 3" xfId="32115"/>
    <cellStyle name="Nota 2 2 5 37 3" xfId="32116"/>
    <cellStyle name="Nota 2 2 5 37 3 2" xfId="32117"/>
    <cellStyle name="Nota 2 2 5 37 3 3" xfId="32118"/>
    <cellStyle name="Nota 2 2 5 37 4" xfId="32119"/>
    <cellStyle name="Nota 2 2 5 37 5" xfId="32120"/>
    <cellStyle name="Nota 2 2 5 38" xfId="32121"/>
    <cellStyle name="Nota 2 2 5 38 2" xfId="32122"/>
    <cellStyle name="Nota 2 2 5 38 2 2" xfId="32123"/>
    <cellStyle name="Nota 2 2 5 38 2 3" xfId="32124"/>
    <cellStyle name="Nota 2 2 5 38 3" xfId="32125"/>
    <cellStyle name="Nota 2 2 5 38 3 2" xfId="32126"/>
    <cellStyle name="Nota 2 2 5 38 3 3" xfId="32127"/>
    <cellStyle name="Nota 2 2 5 38 4" xfId="32128"/>
    <cellStyle name="Nota 2 2 5 38 5" xfId="32129"/>
    <cellStyle name="Nota 2 2 5 39" xfId="32130"/>
    <cellStyle name="Nota 2 2 5 39 2" xfId="32131"/>
    <cellStyle name="Nota 2 2 5 39 2 2" xfId="32132"/>
    <cellStyle name="Nota 2 2 5 39 2 3" xfId="32133"/>
    <cellStyle name="Nota 2 2 5 39 3" xfId="32134"/>
    <cellStyle name="Nota 2 2 5 39 3 2" xfId="32135"/>
    <cellStyle name="Nota 2 2 5 39 3 3" xfId="32136"/>
    <cellStyle name="Nota 2 2 5 39 4" xfId="32137"/>
    <cellStyle name="Nota 2 2 5 39 5" xfId="32138"/>
    <cellStyle name="Nota 2 2 5 4" xfId="32139"/>
    <cellStyle name="Nota 2 2 5 4 2" xfId="32140"/>
    <cellStyle name="Nota 2 2 5 4 2 2" xfId="32141"/>
    <cellStyle name="Nota 2 2 5 4 2 3" xfId="32142"/>
    <cellStyle name="Nota 2 2 5 4 3" xfId="32143"/>
    <cellStyle name="Nota 2 2 5 4 3 2" xfId="32144"/>
    <cellStyle name="Nota 2 2 5 4 3 3" xfId="32145"/>
    <cellStyle name="Nota 2 2 5 4 4" xfId="32146"/>
    <cellStyle name="Nota 2 2 5 4 5" xfId="32147"/>
    <cellStyle name="Nota 2 2 5 40" xfId="32148"/>
    <cellStyle name="Nota 2 2 5 40 2" xfId="32149"/>
    <cellStyle name="Nota 2 2 5 40 2 2" xfId="32150"/>
    <cellStyle name="Nota 2 2 5 40 2 3" xfId="32151"/>
    <cellStyle name="Nota 2 2 5 40 3" xfId="32152"/>
    <cellStyle name="Nota 2 2 5 40 3 2" xfId="32153"/>
    <cellStyle name="Nota 2 2 5 40 3 3" xfId="32154"/>
    <cellStyle name="Nota 2 2 5 40 4" xfId="32155"/>
    <cellStyle name="Nota 2 2 5 40 5" xfId="32156"/>
    <cellStyle name="Nota 2 2 5 41" xfId="32157"/>
    <cellStyle name="Nota 2 2 5 41 2" xfId="32158"/>
    <cellStyle name="Nota 2 2 5 41 2 2" xfId="32159"/>
    <cellStyle name="Nota 2 2 5 41 2 3" xfId="32160"/>
    <cellStyle name="Nota 2 2 5 41 3" xfId="32161"/>
    <cellStyle name="Nota 2 2 5 41 4" xfId="32162"/>
    <cellStyle name="Nota 2 2 5 42" xfId="32163"/>
    <cellStyle name="Nota 2 2 5 42 2" xfId="32164"/>
    <cellStyle name="Nota 2 2 5 42 3" xfId="32165"/>
    <cellStyle name="Nota 2 2 5 43" xfId="32166"/>
    <cellStyle name="Nota 2 2 5 43 2" xfId="32167"/>
    <cellStyle name="Nota 2 2 5 43 3" xfId="32168"/>
    <cellStyle name="Nota 2 2 5 44" xfId="32169"/>
    <cellStyle name="Nota 2 2 5 45" xfId="32170"/>
    <cellStyle name="Nota 2 2 5 5" xfId="32171"/>
    <cellStyle name="Nota 2 2 5 5 2" xfId="32172"/>
    <cellStyle name="Nota 2 2 5 5 2 2" xfId="32173"/>
    <cellStyle name="Nota 2 2 5 5 2 3" xfId="32174"/>
    <cellStyle name="Nota 2 2 5 5 3" xfId="32175"/>
    <cellStyle name="Nota 2 2 5 5 3 2" xfId="32176"/>
    <cellStyle name="Nota 2 2 5 5 3 3" xfId="32177"/>
    <cellStyle name="Nota 2 2 5 5 4" xfId="32178"/>
    <cellStyle name="Nota 2 2 5 5 5" xfId="32179"/>
    <cellStyle name="Nota 2 2 5 6" xfId="32180"/>
    <cellStyle name="Nota 2 2 5 6 2" xfId="32181"/>
    <cellStyle name="Nota 2 2 5 6 2 2" xfId="32182"/>
    <cellStyle name="Nota 2 2 5 6 2 3" xfId="32183"/>
    <cellStyle name="Nota 2 2 5 6 3" xfId="32184"/>
    <cellStyle name="Nota 2 2 5 6 3 2" xfId="32185"/>
    <cellStyle name="Nota 2 2 5 6 3 3" xfId="32186"/>
    <cellStyle name="Nota 2 2 5 6 4" xfId="32187"/>
    <cellStyle name="Nota 2 2 5 6 5" xfId="32188"/>
    <cellStyle name="Nota 2 2 5 7" xfId="32189"/>
    <cellStyle name="Nota 2 2 5 7 2" xfId="32190"/>
    <cellStyle name="Nota 2 2 5 7 2 2" xfId="32191"/>
    <cellStyle name="Nota 2 2 5 7 2 3" xfId="32192"/>
    <cellStyle name="Nota 2 2 5 7 3" xfId="32193"/>
    <cellStyle name="Nota 2 2 5 7 3 2" xfId="32194"/>
    <cellStyle name="Nota 2 2 5 7 3 3" xfId="32195"/>
    <cellStyle name="Nota 2 2 5 7 4" xfId="32196"/>
    <cellStyle name="Nota 2 2 5 7 5" xfId="32197"/>
    <cellStyle name="Nota 2 2 5 8" xfId="32198"/>
    <cellStyle name="Nota 2 2 5 8 2" xfId="32199"/>
    <cellStyle name="Nota 2 2 5 8 2 2" xfId="32200"/>
    <cellStyle name="Nota 2 2 5 8 2 3" xfId="32201"/>
    <cellStyle name="Nota 2 2 5 8 3" xfId="32202"/>
    <cellStyle name="Nota 2 2 5 8 3 2" xfId="32203"/>
    <cellStyle name="Nota 2 2 5 8 3 3" xfId="32204"/>
    <cellStyle name="Nota 2 2 5 8 4" xfId="32205"/>
    <cellStyle name="Nota 2 2 5 8 5" xfId="32206"/>
    <cellStyle name="Nota 2 2 5 9" xfId="32207"/>
    <cellStyle name="Nota 2 2 5 9 2" xfId="32208"/>
    <cellStyle name="Nota 2 2 5 9 2 2" xfId="32209"/>
    <cellStyle name="Nota 2 2 5 9 2 3" xfId="32210"/>
    <cellStyle name="Nota 2 2 5 9 3" xfId="32211"/>
    <cellStyle name="Nota 2 2 5 9 3 2" xfId="32212"/>
    <cellStyle name="Nota 2 2 5 9 3 3" xfId="32213"/>
    <cellStyle name="Nota 2 2 5 9 4" xfId="32214"/>
    <cellStyle name="Nota 2 2 5 9 5" xfId="32215"/>
    <cellStyle name="Nota 2 2 6" xfId="32216"/>
    <cellStyle name="Nota 2 2 6 10" xfId="32217"/>
    <cellStyle name="Nota 2 2 6 10 2" xfId="32218"/>
    <cellStyle name="Nota 2 2 6 10 2 2" xfId="32219"/>
    <cellStyle name="Nota 2 2 6 10 2 3" xfId="32220"/>
    <cellStyle name="Nota 2 2 6 10 3" xfId="32221"/>
    <cellStyle name="Nota 2 2 6 10 3 2" xfId="32222"/>
    <cellStyle name="Nota 2 2 6 10 3 3" xfId="32223"/>
    <cellStyle name="Nota 2 2 6 10 4" xfId="32224"/>
    <cellStyle name="Nota 2 2 6 10 5" xfId="32225"/>
    <cellStyle name="Nota 2 2 6 11" xfId="32226"/>
    <cellStyle name="Nota 2 2 6 11 2" xfId="32227"/>
    <cellStyle name="Nota 2 2 6 11 2 2" xfId="32228"/>
    <cellStyle name="Nota 2 2 6 11 2 3" xfId="32229"/>
    <cellStyle name="Nota 2 2 6 11 3" xfId="32230"/>
    <cellStyle name="Nota 2 2 6 11 3 2" xfId="32231"/>
    <cellStyle name="Nota 2 2 6 11 3 3" xfId="32232"/>
    <cellStyle name="Nota 2 2 6 11 4" xfId="32233"/>
    <cellStyle name="Nota 2 2 6 11 5" xfId="32234"/>
    <cellStyle name="Nota 2 2 6 12" xfId="32235"/>
    <cellStyle name="Nota 2 2 6 12 2" xfId="32236"/>
    <cellStyle name="Nota 2 2 6 12 2 2" xfId="32237"/>
    <cellStyle name="Nota 2 2 6 12 2 3" xfId="32238"/>
    <cellStyle name="Nota 2 2 6 12 3" xfId="32239"/>
    <cellStyle name="Nota 2 2 6 12 3 2" xfId="32240"/>
    <cellStyle name="Nota 2 2 6 12 3 3" xfId="32241"/>
    <cellStyle name="Nota 2 2 6 12 4" xfId="32242"/>
    <cellStyle name="Nota 2 2 6 12 5" xfId="32243"/>
    <cellStyle name="Nota 2 2 6 13" xfId="32244"/>
    <cellStyle name="Nota 2 2 6 13 2" xfId="32245"/>
    <cellStyle name="Nota 2 2 6 13 2 2" xfId="32246"/>
    <cellStyle name="Nota 2 2 6 13 2 3" xfId="32247"/>
    <cellStyle name="Nota 2 2 6 13 3" xfId="32248"/>
    <cellStyle name="Nota 2 2 6 13 3 2" xfId="32249"/>
    <cellStyle name="Nota 2 2 6 13 3 3" xfId="32250"/>
    <cellStyle name="Nota 2 2 6 13 4" xfId="32251"/>
    <cellStyle name="Nota 2 2 6 13 5" xfId="32252"/>
    <cellStyle name="Nota 2 2 6 14" xfId="32253"/>
    <cellStyle name="Nota 2 2 6 14 2" xfId="32254"/>
    <cellStyle name="Nota 2 2 6 14 2 2" xfId="32255"/>
    <cellStyle name="Nota 2 2 6 14 2 3" xfId="32256"/>
    <cellStyle name="Nota 2 2 6 14 3" xfId="32257"/>
    <cellStyle name="Nota 2 2 6 14 3 2" xfId="32258"/>
    <cellStyle name="Nota 2 2 6 14 3 3" xfId="32259"/>
    <cellStyle name="Nota 2 2 6 14 4" xfId="32260"/>
    <cellStyle name="Nota 2 2 6 14 5" xfId="32261"/>
    <cellStyle name="Nota 2 2 6 15" xfId="32262"/>
    <cellStyle name="Nota 2 2 6 15 2" xfId="32263"/>
    <cellStyle name="Nota 2 2 6 15 2 2" xfId="32264"/>
    <cellStyle name="Nota 2 2 6 15 2 3" xfId="32265"/>
    <cellStyle name="Nota 2 2 6 15 3" xfId="32266"/>
    <cellStyle name="Nota 2 2 6 15 3 2" xfId="32267"/>
    <cellStyle name="Nota 2 2 6 15 3 3" xfId="32268"/>
    <cellStyle name="Nota 2 2 6 15 4" xfId="32269"/>
    <cellStyle name="Nota 2 2 6 15 5" xfId="32270"/>
    <cellStyle name="Nota 2 2 6 16" xfId="32271"/>
    <cellStyle name="Nota 2 2 6 16 2" xfId="32272"/>
    <cellStyle name="Nota 2 2 6 16 2 2" xfId="32273"/>
    <cellStyle name="Nota 2 2 6 16 2 3" xfId="32274"/>
    <cellStyle name="Nota 2 2 6 16 3" xfId="32275"/>
    <cellStyle name="Nota 2 2 6 16 3 2" xfId="32276"/>
    <cellStyle name="Nota 2 2 6 16 3 3" xfId="32277"/>
    <cellStyle name="Nota 2 2 6 16 4" xfId="32278"/>
    <cellStyle name="Nota 2 2 6 16 5" xfId="32279"/>
    <cellStyle name="Nota 2 2 6 17" xfId="32280"/>
    <cellStyle name="Nota 2 2 6 17 2" xfId="32281"/>
    <cellStyle name="Nota 2 2 6 17 2 2" xfId="32282"/>
    <cellStyle name="Nota 2 2 6 17 2 3" xfId="32283"/>
    <cellStyle name="Nota 2 2 6 17 3" xfId="32284"/>
    <cellStyle name="Nota 2 2 6 17 3 2" xfId="32285"/>
    <cellStyle name="Nota 2 2 6 17 3 3" xfId="32286"/>
    <cellStyle name="Nota 2 2 6 17 4" xfId="32287"/>
    <cellStyle name="Nota 2 2 6 17 5" xfId="32288"/>
    <cellStyle name="Nota 2 2 6 18" xfId="32289"/>
    <cellStyle name="Nota 2 2 6 18 2" xfId="32290"/>
    <cellStyle name="Nota 2 2 6 18 2 2" xfId="32291"/>
    <cellStyle name="Nota 2 2 6 18 2 3" xfId="32292"/>
    <cellStyle name="Nota 2 2 6 18 3" xfId="32293"/>
    <cellStyle name="Nota 2 2 6 18 3 2" xfId="32294"/>
    <cellStyle name="Nota 2 2 6 18 3 3" xfId="32295"/>
    <cellStyle name="Nota 2 2 6 18 4" xfId="32296"/>
    <cellStyle name="Nota 2 2 6 18 5" xfId="32297"/>
    <cellStyle name="Nota 2 2 6 19" xfId="32298"/>
    <cellStyle name="Nota 2 2 6 19 2" xfId="32299"/>
    <cellStyle name="Nota 2 2 6 19 2 2" xfId="32300"/>
    <cellStyle name="Nota 2 2 6 19 2 3" xfId="32301"/>
    <cellStyle name="Nota 2 2 6 19 3" xfId="32302"/>
    <cellStyle name="Nota 2 2 6 19 3 2" xfId="32303"/>
    <cellStyle name="Nota 2 2 6 19 3 3" xfId="32304"/>
    <cellStyle name="Nota 2 2 6 19 4" xfId="32305"/>
    <cellStyle name="Nota 2 2 6 19 5" xfId="32306"/>
    <cellStyle name="Nota 2 2 6 2" xfId="32307"/>
    <cellStyle name="Nota 2 2 6 2 2" xfId="32308"/>
    <cellStyle name="Nota 2 2 6 2 2 2" xfId="32309"/>
    <cellStyle name="Nota 2 2 6 2 2 3" xfId="32310"/>
    <cellStyle name="Nota 2 2 6 2 3" xfId="32311"/>
    <cellStyle name="Nota 2 2 6 2 3 2" xfId="32312"/>
    <cellStyle name="Nota 2 2 6 2 3 3" xfId="32313"/>
    <cellStyle name="Nota 2 2 6 2 4" xfId="32314"/>
    <cellStyle name="Nota 2 2 6 2 5" xfId="32315"/>
    <cellStyle name="Nota 2 2 6 20" xfId="32316"/>
    <cellStyle name="Nota 2 2 6 20 2" xfId="32317"/>
    <cellStyle name="Nota 2 2 6 20 2 2" xfId="32318"/>
    <cellStyle name="Nota 2 2 6 20 2 3" xfId="32319"/>
    <cellStyle name="Nota 2 2 6 20 3" xfId="32320"/>
    <cellStyle name="Nota 2 2 6 20 3 2" xfId="32321"/>
    <cellStyle name="Nota 2 2 6 20 3 3" xfId="32322"/>
    <cellStyle name="Nota 2 2 6 20 4" xfId="32323"/>
    <cellStyle name="Nota 2 2 6 20 5" xfId="32324"/>
    <cellStyle name="Nota 2 2 6 21" xfId="32325"/>
    <cellStyle name="Nota 2 2 6 21 2" xfId="32326"/>
    <cellStyle name="Nota 2 2 6 21 2 2" xfId="32327"/>
    <cellStyle name="Nota 2 2 6 21 2 3" xfId="32328"/>
    <cellStyle name="Nota 2 2 6 21 3" xfId="32329"/>
    <cellStyle name="Nota 2 2 6 21 3 2" xfId="32330"/>
    <cellStyle name="Nota 2 2 6 21 3 3" xfId="32331"/>
    <cellStyle name="Nota 2 2 6 21 4" xfId="32332"/>
    <cellStyle name="Nota 2 2 6 21 5" xfId="32333"/>
    <cellStyle name="Nota 2 2 6 22" xfId="32334"/>
    <cellStyle name="Nota 2 2 6 22 2" xfId="32335"/>
    <cellStyle name="Nota 2 2 6 22 2 2" xfId="32336"/>
    <cellStyle name="Nota 2 2 6 22 2 3" xfId="32337"/>
    <cellStyle name="Nota 2 2 6 22 3" xfId="32338"/>
    <cellStyle name="Nota 2 2 6 22 3 2" xfId="32339"/>
    <cellStyle name="Nota 2 2 6 22 3 3" xfId="32340"/>
    <cellStyle name="Nota 2 2 6 22 4" xfId="32341"/>
    <cellStyle name="Nota 2 2 6 22 5" xfId="32342"/>
    <cellStyle name="Nota 2 2 6 23" xfId="32343"/>
    <cellStyle name="Nota 2 2 6 23 2" xfId="32344"/>
    <cellStyle name="Nota 2 2 6 23 2 2" xfId="32345"/>
    <cellStyle name="Nota 2 2 6 23 2 3" xfId="32346"/>
    <cellStyle name="Nota 2 2 6 23 3" xfId="32347"/>
    <cellStyle name="Nota 2 2 6 23 3 2" xfId="32348"/>
    <cellStyle name="Nota 2 2 6 23 3 3" xfId="32349"/>
    <cellStyle name="Nota 2 2 6 23 4" xfId="32350"/>
    <cellStyle name="Nota 2 2 6 23 5" xfId="32351"/>
    <cellStyle name="Nota 2 2 6 24" xfId="32352"/>
    <cellStyle name="Nota 2 2 6 24 2" xfId="32353"/>
    <cellStyle name="Nota 2 2 6 24 2 2" xfId="32354"/>
    <cellStyle name="Nota 2 2 6 24 2 3" xfId="32355"/>
    <cellStyle name="Nota 2 2 6 24 3" xfId="32356"/>
    <cellStyle name="Nota 2 2 6 24 3 2" xfId="32357"/>
    <cellStyle name="Nota 2 2 6 24 3 3" xfId="32358"/>
    <cellStyle name="Nota 2 2 6 24 4" xfId="32359"/>
    <cellStyle name="Nota 2 2 6 24 5" xfId="32360"/>
    <cellStyle name="Nota 2 2 6 25" xfId="32361"/>
    <cellStyle name="Nota 2 2 6 25 2" xfId="32362"/>
    <cellStyle name="Nota 2 2 6 25 2 2" xfId="32363"/>
    <cellStyle name="Nota 2 2 6 25 2 3" xfId="32364"/>
    <cellStyle name="Nota 2 2 6 25 3" xfId="32365"/>
    <cellStyle name="Nota 2 2 6 25 3 2" xfId="32366"/>
    <cellStyle name="Nota 2 2 6 25 3 3" xfId="32367"/>
    <cellStyle name="Nota 2 2 6 25 4" xfId="32368"/>
    <cellStyle name="Nota 2 2 6 25 5" xfId="32369"/>
    <cellStyle name="Nota 2 2 6 26" xfId="32370"/>
    <cellStyle name="Nota 2 2 6 26 2" xfId="32371"/>
    <cellStyle name="Nota 2 2 6 26 2 2" xfId="32372"/>
    <cellStyle name="Nota 2 2 6 26 2 3" xfId="32373"/>
    <cellStyle name="Nota 2 2 6 26 3" xfId="32374"/>
    <cellStyle name="Nota 2 2 6 26 3 2" xfId="32375"/>
    <cellStyle name="Nota 2 2 6 26 3 3" xfId="32376"/>
    <cellStyle name="Nota 2 2 6 26 4" xfId="32377"/>
    <cellStyle name="Nota 2 2 6 26 5" xfId="32378"/>
    <cellStyle name="Nota 2 2 6 27" xfId="32379"/>
    <cellStyle name="Nota 2 2 6 27 2" xfId="32380"/>
    <cellStyle name="Nota 2 2 6 27 2 2" xfId="32381"/>
    <cellStyle name="Nota 2 2 6 27 2 3" xfId="32382"/>
    <cellStyle name="Nota 2 2 6 27 3" xfId="32383"/>
    <cellStyle name="Nota 2 2 6 27 3 2" xfId="32384"/>
    <cellStyle name="Nota 2 2 6 27 3 3" xfId="32385"/>
    <cellStyle name="Nota 2 2 6 27 4" xfId="32386"/>
    <cellStyle name="Nota 2 2 6 27 5" xfId="32387"/>
    <cellStyle name="Nota 2 2 6 28" xfId="32388"/>
    <cellStyle name="Nota 2 2 6 28 2" xfId="32389"/>
    <cellStyle name="Nota 2 2 6 28 2 2" xfId="32390"/>
    <cellStyle name="Nota 2 2 6 28 2 3" xfId="32391"/>
    <cellStyle name="Nota 2 2 6 28 3" xfId="32392"/>
    <cellStyle name="Nota 2 2 6 28 3 2" xfId="32393"/>
    <cellStyle name="Nota 2 2 6 28 3 3" xfId="32394"/>
    <cellStyle name="Nota 2 2 6 28 4" xfId="32395"/>
    <cellStyle name="Nota 2 2 6 28 5" xfId="32396"/>
    <cellStyle name="Nota 2 2 6 29" xfId="32397"/>
    <cellStyle name="Nota 2 2 6 29 2" xfId="32398"/>
    <cellStyle name="Nota 2 2 6 29 2 2" xfId="32399"/>
    <cellStyle name="Nota 2 2 6 29 2 3" xfId="32400"/>
    <cellStyle name="Nota 2 2 6 29 3" xfId="32401"/>
    <cellStyle name="Nota 2 2 6 29 3 2" xfId="32402"/>
    <cellStyle name="Nota 2 2 6 29 3 3" xfId="32403"/>
    <cellStyle name="Nota 2 2 6 29 4" xfId="32404"/>
    <cellStyle name="Nota 2 2 6 29 5" xfId="32405"/>
    <cellStyle name="Nota 2 2 6 3" xfId="32406"/>
    <cellStyle name="Nota 2 2 6 3 2" xfId="32407"/>
    <cellStyle name="Nota 2 2 6 3 2 2" xfId="32408"/>
    <cellStyle name="Nota 2 2 6 3 2 3" xfId="32409"/>
    <cellStyle name="Nota 2 2 6 3 3" xfId="32410"/>
    <cellStyle name="Nota 2 2 6 3 3 2" xfId="32411"/>
    <cellStyle name="Nota 2 2 6 3 3 3" xfId="32412"/>
    <cellStyle name="Nota 2 2 6 3 4" xfId="32413"/>
    <cellStyle name="Nota 2 2 6 3 5" xfId="32414"/>
    <cellStyle name="Nota 2 2 6 30" xfId="32415"/>
    <cellStyle name="Nota 2 2 6 30 2" xfId="32416"/>
    <cellStyle name="Nota 2 2 6 30 2 2" xfId="32417"/>
    <cellStyle name="Nota 2 2 6 30 2 3" xfId="32418"/>
    <cellStyle name="Nota 2 2 6 30 3" xfId="32419"/>
    <cellStyle name="Nota 2 2 6 30 3 2" xfId="32420"/>
    <cellStyle name="Nota 2 2 6 30 3 3" xfId="32421"/>
    <cellStyle name="Nota 2 2 6 30 4" xfId="32422"/>
    <cellStyle name="Nota 2 2 6 30 5" xfId="32423"/>
    <cellStyle name="Nota 2 2 6 31" xfId="32424"/>
    <cellStyle name="Nota 2 2 6 31 2" xfId="32425"/>
    <cellStyle name="Nota 2 2 6 31 2 2" xfId="32426"/>
    <cellStyle name="Nota 2 2 6 31 2 3" xfId="32427"/>
    <cellStyle name="Nota 2 2 6 31 3" xfId="32428"/>
    <cellStyle name="Nota 2 2 6 31 3 2" xfId="32429"/>
    <cellStyle name="Nota 2 2 6 31 3 3" xfId="32430"/>
    <cellStyle name="Nota 2 2 6 31 4" xfId="32431"/>
    <cellStyle name="Nota 2 2 6 31 5" xfId="32432"/>
    <cellStyle name="Nota 2 2 6 32" xfId="32433"/>
    <cellStyle name="Nota 2 2 6 32 2" xfId="32434"/>
    <cellStyle name="Nota 2 2 6 32 2 2" xfId="32435"/>
    <cellStyle name="Nota 2 2 6 32 2 3" xfId="32436"/>
    <cellStyle name="Nota 2 2 6 32 3" xfId="32437"/>
    <cellStyle name="Nota 2 2 6 32 3 2" xfId="32438"/>
    <cellStyle name="Nota 2 2 6 32 3 3" xfId="32439"/>
    <cellStyle name="Nota 2 2 6 32 4" xfId="32440"/>
    <cellStyle name="Nota 2 2 6 32 5" xfId="32441"/>
    <cellStyle name="Nota 2 2 6 33" xfId="32442"/>
    <cellStyle name="Nota 2 2 6 33 2" xfId="32443"/>
    <cellStyle name="Nota 2 2 6 33 2 2" xfId="32444"/>
    <cellStyle name="Nota 2 2 6 33 2 3" xfId="32445"/>
    <cellStyle name="Nota 2 2 6 33 3" xfId="32446"/>
    <cellStyle name="Nota 2 2 6 33 3 2" xfId="32447"/>
    <cellStyle name="Nota 2 2 6 33 3 3" xfId="32448"/>
    <cellStyle name="Nota 2 2 6 33 4" xfId="32449"/>
    <cellStyle name="Nota 2 2 6 33 5" xfId="32450"/>
    <cellStyle name="Nota 2 2 6 34" xfId="32451"/>
    <cellStyle name="Nota 2 2 6 34 2" xfId="32452"/>
    <cellStyle name="Nota 2 2 6 34 2 2" xfId="32453"/>
    <cellStyle name="Nota 2 2 6 34 2 3" xfId="32454"/>
    <cellStyle name="Nota 2 2 6 34 3" xfId="32455"/>
    <cellStyle name="Nota 2 2 6 34 3 2" xfId="32456"/>
    <cellStyle name="Nota 2 2 6 34 3 3" xfId="32457"/>
    <cellStyle name="Nota 2 2 6 34 4" xfId="32458"/>
    <cellStyle name="Nota 2 2 6 34 5" xfId="32459"/>
    <cellStyle name="Nota 2 2 6 35" xfId="32460"/>
    <cellStyle name="Nota 2 2 6 35 2" xfId="32461"/>
    <cellStyle name="Nota 2 2 6 35 2 2" xfId="32462"/>
    <cellStyle name="Nota 2 2 6 35 2 3" xfId="32463"/>
    <cellStyle name="Nota 2 2 6 35 3" xfId="32464"/>
    <cellStyle name="Nota 2 2 6 35 3 2" xfId="32465"/>
    <cellStyle name="Nota 2 2 6 35 3 3" xfId="32466"/>
    <cellStyle name="Nota 2 2 6 35 4" xfId="32467"/>
    <cellStyle name="Nota 2 2 6 35 5" xfId="32468"/>
    <cellStyle name="Nota 2 2 6 36" xfId="32469"/>
    <cellStyle name="Nota 2 2 6 36 2" xfId="32470"/>
    <cellStyle name="Nota 2 2 6 36 2 2" xfId="32471"/>
    <cellStyle name="Nota 2 2 6 36 2 3" xfId="32472"/>
    <cellStyle name="Nota 2 2 6 36 3" xfId="32473"/>
    <cellStyle name="Nota 2 2 6 36 3 2" xfId="32474"/>
    <cellStyle name="Nota 2 2 6 36 3 3" xfId="32475"/>
    <cellStyle name="Nota 2 2 6 36 4" xfId="32476"/>
    <cellStyle name="Nota 2 2 6 36 5" xfId="32477"/>
    <cellStyle name="Nota 2 2 6 37" xfId="32478"/>
    <cellStyle name="Nota 2 2 6 37 2" xfId="32479"/>
    <cellStyle name="Nota 2 2 6 37 2 2" xfId="32480"/>
    <cellStyle name="Nota 2 2 6 37 2 3" xfId="32481"/>
    <cellStyle name="Nota 2 2 6 37 3" xfId="32482"/>
    <cellStyle name="Nota 2 2 6 37 3 2" xfId="32483"/>
    <cellStyle name="Nota 2 2 6 37 3 3" xfId="32484"/>
    <cellStyle name="Nota 2 2 6 37 4" xfId="32485"/>
    <cellStyle name="Nota 2 2 6 37 5" xfId="32486"/>
    <cellStyle name="Nota 2 2 6 38" xfId="32487"/>
    <cellStyle name="Nota 2 2 6 38 2" xfId="32488"/>
    <cellStyle name="Nota 2 2 6 38 2 2" xfId="32489"/>
    <cellStyle name="Nota 2 2 6 38 2 3" xfId="32490"/>
    <cellStyle name="Nota 2 2 6 38 3" xfId="32491"/>
    <cellStyle name="Nota 2 2 6 38 3 2" xfId="32492"/>
    <cellStyle name="Nota 2 2 6 38 3 3" xfId="32493"/>
    <cellStyle name="Nota 2 2 6 38 4" xfId="32494"/>
    <cellStyle name="Nota 2 2 6 38 5" xfId="32495"/>
    <cellStyle name="Nota 2 2 6 39" xfId="32496"/>
    <cellStyle name="Nota 2 2 6 39 2" xfId="32497"/>
    <cellStyle name="Nota 2 2 6 39 2 2" xfId="32498"/>
    <cellStyle name="Nota 2 2 6 39 2 3" xfId="32499"/>
    <cellStyle name="Nota 2 2 6 39 3" xfId="32500"/>
    <cellStyle name="Nota 2 2 6 39 3 2" xfId="32501"/>
    <cellStyle name="Nota 2 2 6 39 3 3" xfId="32502"/>
    <cellStyle name="Nota 2 2 6 39 4" xfId="32503"/>
    <cellStyle name="Nota 2 2 6 39 5" xfId="32504"/>
    <cellStyle name="Nota 2 2 6 4" xfId="32505"/>
    <cellStyle name="Nota 2 2 6 4 2" xfId="32506"/>
    <cellStyle name="Nota 2 2 6 4 2 2" xfId="32507"/>
    <cellStyle name="Nota 2 2 6 4 2 3" xfId="32508"/>
    <cellStyle name="Nota 2 2 6 4 3" xfId="32509"/>
    <cellStyle name="Nota 2 2 6 4 3 2" xfId="32510"/>
    <cellStyle name="Nota 2 2 6 4 3 3" xfId="32511"/>
    <cellStyle name="Nota 2 2 6 4 4" xfId="32512"/>
    <cellStyle name="Nota 2 2 6 4 5" xfId="32513"/>
    <cellStyle name="Nota 2 2 6 40" xfId="32514"/>
    <cellStyle name="Nota 2 2 6 40 2" xfId="32515"/>
    <cellStyle name="Nota 2 2 6 40 2 2" xfId="32516"/>
    <cellStyle name="Nota 2 2 6 40 2 3" xfId="32517"/>
    <cellStyle name="Nota 2 2 6 40 3" xfId="32518"/>
    <cellStyle name="Nota 2 2 6 40 4" xfId="32519"/>
    <cellStyle name="Nota 2 2 6 41" xfId="32520"/>
    <cellStyle name="Nota 2 2 6 41 2" xfId="32521"/>
    <cellStyle name="Nota 2 2 6 41 3" xfId="32522"/>
    <cellStyle name="Nota 2 2 6 42" xfId="32523"/>
    <cellStyle name="Nota 2 2 6 43" xfId="32524"/>
    <cellStyle name="Nota 2 2 6 5" xfId="32525"/>
    <cellStyle name="Nota 2 2 6 5 2" xfId="32526"/>
    <cellStyle name="Nota 2 2 6 5 2 2" xfId="32527"/>
    <cellStyle name="Nota 2 2 6 5 2 3" xfId="32528"/>
    <cellStyle name="Nota 2 2 6 5 3" xfId="32529"/>
    <cellStyle name="Nota 2 2 6 5 3 2" xfId="32530"/>
    <cellStyle name="Nota 2 2 6 5 3 3" xfId="32531"/>
    <cellStyle name="Nota 2 2 6 5 4" xfId="32532"/>
    <cellStyle name="Nota 2 2 6 5 5" xfId="32533"/>
    <cellStyle name="Nota 2 2 6 6" xfId="32534"/>
    <cellStyle name="Nota 2 2 6 6 2" xfId="32535"/>
    <cellStyle name="Nota 2 2 6 6 2 2" xfId="32536"/>
    <cellStyle name="Nota 2 2 6 6 2 3" xfId="32537"/>
    <cellStyle name="Nota 2 2 6 6 3" xfId="32538"/>
    <cellStyle name="Nota 2 2 6 6 3 2" xfId="32539"/>
    <cellStyle name="Nota 2 2 6 6 3 3" xfId="32540"/>
    <cellStyle name="Nota 2 2 6 6 4" xfId="32541"/>
    <cellStyle name="Nota 2 2 6 6 5" xfId="32542"/>
    <cellStyle name="Nota 2 2 6 7" xfId="32543"/>
    <cellStyle name="Nota 2 2 6 7 2" xfId="32544"/>
    <cellStyle name="Nota 2 2 6 7 2 2" xfId="32545"/>
    <cellStyle name="Nota 2 2 6 7 2 3" xfId="32546"/>
    <cellStyle name="Nota 2 2 6 7 3" xfId="32547"/>
    <cellStyle name="Nota 2 2 6 7 3 2" xfId="32548"/>
    <cellStyle name="Nota 2 2 6 7 3 3" xfId="32549"/>
    <cellStyle name="Nota 2 2 6 7 4" xfId="32550"/>
    <cellStyle name="Nota 2 2 6 7 5" xfId="32551"/>
    <cellStyle name="Nota 2 2 6 8" xfId="32552"/>
    <cellStyle name="Nota 2 2 6 8 2" xfId="32553"/>
    <cellStyle name="Nota 2 2 6 8 2 2" xfId="32554"/>
    <cellStyle name="Nota 2 2 6 8 2 3" xfId="32555"/>
    <cellStyle name="Nota 2 2 6 8 3" xfId="32556"/>
    <cellStyle name="Nota 2 2 6 8 3 2" xfId="32557"/>
    <cellStyle name="Nota 2 2 6 8 3 3" xfId="32558"/>
    <cellStyle name="Nota 2 2 6 8 4" xfId="32559"/>
    <cellStyle name="Nota 2 2 6 8 5" xfId="32560"/>
    <cellStyle name="Nota 2 2 6 9" xfId="32561"/>
    <cellStyle name="Nota 2 2 6 9 2" xfId="32562"/>
    <cellStyle name="Nota 2 2 6 9 2 2" xfId="32563"/>
    <cellStyle name="Nota 2 2 6 9 2 3" xfId="32564"/>
    <cellStyle name="Nota 2 2 6 9 3" xfId="32565"/>
    <cellStyle name="Nota 2 2 6 9 3 2" xfId="32566"/>
    <cellStyle name="Nota 2 2 6 9 3 3" xfId="32567"/>
    <cellStyle name="Nota 2 2 6 9 4" xfId="32568"/>
    <cellStyle name="Nota 2 2 6 9 5" xfId="32569"/>
    <cellStyle name="Nota 2 2 7" xfId="32570"/>
    <cellStyle name="Nota 2 2 7 2" xfId="32571"/>
    <cellStyle name="Nota 2 2 7 2 2" xfId="32572"/>
    <cellStyle name="Nota 2 2 7 2 3" xfId="32573"/>
    <cellStyle name="Nota 2 2 7 3" xfId="32574"/>
    <cellStyle name="Nota 2 2 7 3 2" xfId="32575"/>
    <cellStyle name="Nota 2 2 7 3 3" xfId="32576"/>
    <cellStyle name="Nota 2 2 7 4" xfId="32577"/>
    <cellStyle name="Nota 2 2 7 5" xfId="32578"/>
    <cellStyle name="Nota 2 2 8" xfId="32579"/>
    <cellStyle name="Nota 2 2 8 2" xfId="32580"/>
    <cellStyle name="Nota 2 2 8 2 2" xfId="32581"/>
    <cellStyle name="Nota 2 2 8 2 3" xfId="32582"/>
    <cellStyle name="Nota 2 2 8 3" xfId="32583"/>
    <cellStyle name="Nota 2 2 8 3 2" xfId="32584"/>
    <cellStyle name="Nota 2 2 8 3 3" xfId="32585"/>
    <cellStyle name="Nota 2 2 8 4" xfId="32586"/>
    <cellStyle name="Nota 2 2 8 5" xfId="32587"/>
    <cellStyle name="Nota 2 2 9" xfId="32588"/>
    <cellStyle name="Nota 2 2 9 2" xfId="32589"/>
    <cellStyle name="Nota 2 2 9 2 2" xfId="32590"/>
    <cellStyle name="Nota 2 2 9 2 3" xfId="32591"/>
    <cellStyle name="Nota 2 2 9 3" xfId="32592"/>
    <cellStyle name="Nota 2 2 9 3 2" xfId="32593"/>
    <cellStyle name="Nota 2 2 9 3 3" xfId="32594"/>
    <cellStyle name="Nota 2 2 9 4" xfId="32595"/>
    <cellStyle name="Nota 2 2 9 5" xfId="32596"/>
    <cellStyle name="Nota 2 20" xfId="32597"/>
    <cellStyle name="Nota 2 20 2" xfId="32598"/>
    <cellStyle name="Nota 2 20 2 2" xfId="32599"/>
    <cellStyle name="Nota 2 20 2 3" xfId="32600"/>
    <cellStyle name="Nota 2 20 3" xfId="32601"/>
    <cellStyle name="Nota 2 20 3 2" xfId="32602"/>
    <cellStyle name="Nota 2 20 3 3" xfId="32603"/>
    <cellStyle name="Nota 2 20 4" xfId="32604"/>
    <cellStyle name="Nota 2 20 5" xfId="32605"/>
    <cellStyle name="Nota 2 21" xfId="32606"/>
    <cellStyle name="Nota 2 21 2" xfId="32607"/>
    <cellStyle name="Nota 2 21 2 2" xfId="32608"/>
    <cellStyle name="Nota 2 21 2 3" xfId="32609"/>
    <cellStyle name="Nota 2 21 3" xfId="32610"/>
    <cellStyle name="Nota 2 21 3 2" xfId="32611"/>
    <cellStyle name="Nota 2 21 3 3" xfId="32612"/>
    <cellStyle name="Nota 2 21 4" xfId="32613"/>
    <cellStyle name="Nota 2 21 5" xfId="32614"/>
    <cellStyle name="Nota 2 22" xfId="32615"/>
    <cellStyle name="Nota 2 22 2" xfId="32616"/>
    <cellStyle name="Nota 2 22 2 2" xfId="32617"/>
    <cellStyle name="Nota 2 22 2 3" xfId="32618"/>
    <cellStyle name="Nota 2 22 3" xfId="32619"/>
    <cellStyle name="Nota 2 22 3 2" xfId="32620"/>
    <cellStyle name="Nota 2 22 3 3" xfId="32621"/>
    <cellStyle name="Nota 2 22 4" xfId="32622"/>
    <cellStyle name="Nota 2 22 5" xfId="32623"/>
    <cellStyle name="Nota 2 23" xfId="32624"/>
    <cellStyle name="Nota 2 23 2" xfId="32625"/>
    <cellStyle name="Nota 2 23 2 2" xfId="32626"/>
    <cellStyle name="Nota 2 23 2 3" xfId="32627"/>
    <cellStyle name="Nota 2 23 3" xfId="32628"/>
    <cellStyle name="Nota 2 23 3 2" xfId="32629"/>
    <cellStyle name="Nota 2 23 3 3" xfId="32630"/>
    <cellStyle name="Nota 2 23 4" xfId="32631"/>
    <cellStyle name="Nota 2 23 5" xfId="32632"/>
    <cellStyle name="Nota 2 24" xfId="32633"/>
    <cellStyle name="Nota 2 24 2" xfId="32634"/>
    <cellStyle name="Nota 2 24 2 2" xfId="32635"/>
    <cellStyle name="Nota 2 24 2 3" xfId="32636"/>
    <cellStyle name="Nota 2 24 3" xfId="32637"/>
    <cellStyle name="Nota 2 24 3 2" xfId="32638"/>
    <cellStyle name="Nota 2 24 3 3" xfId="32639"/>
    <cellStyle name="Nota 2 24 4" xfId="32640"/>
    <cellStyle name="Nota 2 24 5" xfId="32641"/>
    <cellStyle name="Nota 2 25" xfId="32642"/>
    <cellStyle name="Nota 2 25 2" xfId="32643"/>
    <cellStyle name="Nota 2 25 2 2" xfId="32644"/>
    <cellStyle name="Nota 2 25 2 3" xfId="32645"/>
    <cellStyle name="Nota 2 25 3" xfId="32646"/>
    <cellStyle name="Nota 2 25 3 2" xfId="32647"/>
    <cellStyle name="Nota 2 25 3 3" xfId="32648"/>
    <cellStyle name="Nota 2 25 4" xfId="32649"/>
    <cellStyle name="Nota 2 25 5" xfId="32650"/>
    <cellStyle name="Nota 2 26" xfId="32651"/>
    <cellStyle name="Nota 2 26 2" xfId="32652"/>
    <cellStyle name="Nota 2 26 2 2" xfId="32653"/>
    <cellStyle name="Nota 2 26 2 3" xfId="32654"/>
    <cellStyle name="Nota 2 26 3" xfId="32655"/>
    <cellStyle name="Nota 2 26 3 2" xfId="32656"/>
    <cellStyle name="Nota 2 26 3 3" xfId="32657"/>
    <cellStyle name="Nota 2 26 4" xfId="32658"/>
    <cellStyle name="Nota 2 26 5" xfId="32659"/>
    <cellStyle name="Nota 2 27" xfId="32660"/>
    <cellStyle name="Nota 2 27 2" xfId="32661"/>
    <cellStyle name="Nota 2 27 2 2" xfId="32662"/>
    <cellStyle name="Nota 2 27 2 3" xfId="32663"/>
    <cellStyle name="Nota 2 27 3" xfId="32664"/>
    <cellStyle name="Nota 2 27 3 2" xfId="32665"/>
    <cellStyle name="Nota 2 27 3 3" xfId="32666"/>
    <cellStyle name="Nota 2 27 4" xfId="32667"/>
    <cellStyle name="Nota 2 27 5" xfId="32668"/>
    <cellStyle name="Nota 2 28" xfId="32669"/>
    <cellStyle name="Nota 2 28 2" xfId="32670"/>
    <cellStyle name="Nota 2 28 2 2" xfId="32671"/>
    <cellStyle name="Nota 2 28 2 3" xfId="32672"/>
    <cellStyle name="Nota 2 28 3" xfId="32673"/>
    <cellStyle name="Nota 2 28 4" xfId="32674"/>
    <cellStyle name="Nota 2 29" xfId="32675"/>
    <cellStyle name="Nota 2 29 2" xfId="32676"/>
    <cellStyle name="Nota 2 29 3" xfId="32677"/>
    <cellStyle name="Nota 2 3" xfId="32678"/>
    <cellStyle name="Nota 2 3 10" xfId="32679"/>
    <cellStyle name="Nota 2 3 10 2" xfId="32680"/>
    <cellStyle name="Nota 2 3 10 2 2" xfId="32681"/>
    <cellStyle name="Nota 2 3 10 2 3" xfId="32682"/>
    <cellStyle name="Nota 2 3 10 3" xfId="32683"/>
    <cellStyle name="Nota 2 3 10 3 2" xfId="32684"/>
    <cellStyle name="Nota 2 3 10 3 3" xfId="32685"/>
    <cellStyle name="Nota 2 3 10 4" xfId="32686"/>
    <cellStyle name="Nota 2 3 10 5" xfId="32687"/>
    <cellStyle name="Nota 2 3 11" xfId="32688"/>
    <cellStyle name="Nota 2 3 11 2" xfId="32689"/>
    <cellStyle name="Nota 2 3 11 2 2" xfId="32690"/>
    <cellStyle name="Nota 2 3 11 2 3" xfId="32691"/>
    <cellStyle name="Nota 2 3 11 3" xfId="32692"/>
    <cellStyle name="Nota 2 3 11 3 2" xfId="32693"/>
    <cellStyle name="Nota 2 3 11 3 3" xfId="32694"/>
    <cellStyle name="Nota 2 3 11 4" xfId="32695"/>
    <cellStyle name="Nota 2 3 11 5" xfId="32696"/>
    <cellStyle name="Nota 2 3 12" xfId="32697"/>
    <cellStyle name="Nota 2 3 12 2" xfId="32698"/>
    <cellStyle name="Nota 2 3 12 2 2" xfId="32699"/>
    <cellStyle name="Nota 2 3 12 2 3" xfId="32700"/>
    <cellStyle name="Nota 2 3 12 3" xfId="32701"/>
    <cellStyle name="Nota 2 3 12 3 2" xfId="32702"/>
    <cellStyle name="Nota 2 3 12 3 3" xfId="32703"/>
    <cellStyle name="Nota 2 3 12 4" xfId="32704"/>
    <cellStyle name="Nota 2 3 12 5" xfId="32705"/>
    <cellStyle name="Nota 2 3 13" xfId="32706"/>
    <cellStyle name="Nota 2 3 13 2" xfId="32707"/>
    <cellStyle name="Nota 2 3 13 2 2" xfId="32708"/>
    <cellStyle name="Nota 2 3 13 2 3" xfId="32709"/>
    <cellStyle name="Nota 2 3 13 3" xfId="32710"/>
    <cellStyle name="Nota 2 3 13 3 2" xfId="32711"/>
    <cellStyle name="Nota 2 3 13 3 3" xfId="32712"/>
    <cellStyle name="Nota 2 3 13 4" xfId="32713"/>
    <cellStyle name="Nota 2 3 13 5" xfId="32714"/>
    <cellStyle name="Nota 2 3 14" xfId="32715"/>
    <cellStyle name="Nota 2 3 14 2" xfId="32716"/>
    <cellStyle name="Nota 2 3 14 2 2" xfId="32717"/>
    <cellStyle name="Nota 2 3 14 2 3" xfId="32718"/>
    <cellStyle name="Nota 2 3 14 3" xfId="32719"/>
    <cellStyle name="Nota 2 3 14 3 2" xfId="32720"/>
    <cellStyle name="Nota 2 3 14 3 3" xfId="32721"/>
    <cellStyle name="Nota 2 3 14 4" xfId="32722"/>
    <cellStyle name="Nota 2 3 14 5" xfId="32723"/>
    <cellStyle name="Nota 2 3 15" xfId="32724"/>
    <cellStyle name="Nota 2 3 15 2" xfId="32725"/>
    <cellStyle name="Nota 2 3 15 2 2" xfId="32726"/>
    <cellStyle name="Nota 2 3 15 2 3" xfId="32727"/>
    <cellStyle name="Nota 2 3 15 3" xfId="32728"/>
    <cellStyle name="Nota 2 3 15 3 2" xfId="32729"/>
    <cellStyle name="Nota 2 3 15 3 3" xfId="32730"/>
    <cellStyle name="Nota 2 3 15 4" xfId="32731"/>
    <cellStyle name="Nota 2 3 15 5" xfId="32732"/>
    <cellStyle name="Nota 2 3 16" xfId="32733"/>
    <cellStyle name="Nota 2 3 16 2" xfId="32734"/>
    <cellStyle name="Nota 2 3 16 2 2" xfId="32735"/>
    <cellStyle name="Nota 2 3 16 2 3" xfId="32736"/>
    <cellStyle name="Nota 2 3 16 3" xfId="32737"/>
    <cellStyle name="Nota 2 3 16 3 2" xfId="32738"/>
    <cellStyle name="Nota 2 3 16 3 3" xfId="32739"/>
    <cellStyle name="Nota 2 3 16 4" xfId="32740"/>
    <cellStyle name="Nota 2 3 16 5" xfId="32741"/>
    <cellStyle name="Nota 2 3 17" xfId="32742"/>
    <cellStyle name="Nota 2 3 17 2" xfId="32743"/>
    <cellStyle name="Nota 2 3 17 2 2" xfId="32744"/>
    <cellStyle name="Nota 2 3 17 2 3" xfId="32745"/>
    <cellStyle name="Nota 2 3 17 3" xfId="32746"/>
    <cellStyle name="Nota 2 3 17 3 2" xfId="32747"/>
    <cellStyle name="Nota 2 3 17 3 3" xfId="32748"/>
    <cellStyle name="Nota 2 3 17 4" xfId="32749"/>
    <cellStyle name="Nota 2 3 17 5" xfId="32750"/>
    <cellStyle name="Nota 2 3 18" xfId="32751"/>
    <cellStyle name="Nota 2 3 18 2" xfId="32752"/>
    <cellStyle name="Nota 2 3 18 2 2" xfId="32753"/>
    <cellStyle name="Nota 2 3 18 2 3" xfId="32754"/>
    <cellStyle name="Nota 2 3 18 3" xfId="32755"/>
    <cellStyle name="Nota 2 3 18 3 2" xfId="32756"/>
    <cellStyle name="Nota 2 3 18 3 3" xfId="32757"/>
    <cellStyle name="Nota 2 3 18 4" xfId="32758"/>
    <cellStyle name="Nota 2 3 18 5" xfId="32759"/>
    <cellStyle name="Nota 2 3 19" xfId="32760"/>
    <cellStyle name="Nota 2 3 19 2" xfId="32761"/>
    <cellStyle name="Nota 2 3 19 2 2" xfId="32762"/>
    <cellStyle name="Nota 2 3 19 2 3" xfId="32763"/>
    <cellStyle name="Nota 2 3 19 3" xfId="32764"/>
    <cellStyle name="Nota 2 3 19 3 2" xfId="32765"/>
    <cellStyle name="Nota 2 3 19 3 3" xfId="32766"/>
    <cellStyle name="Nota 2 3 19 4" xfId="32767"/>
    <cellStyle name="Nota 2 3 19 5" xfId="32768"/>
    <cellStyle name="Nota 2 3 2" xfId="32769"/>
    <cellStyle name="Nota 2 3 2 10" xfId="32770"/>
    <cellStyle name="Nota 2 3 2 10 2" xfId="32771"/>
    <cellStyle name="Nota 2 3 2 10 2 2" xfId="32772"/>
    <cellStyle name="Nota 2 3 2 10 2 3" xfId="32773"/>
    <cellStyle name="Nota 2 3 2 10 3" xfId="32774"/>
    <cellStyle name="Nota 2 3 2 10 3 2" xfId="32775"/>
    <cellStyle name="Nota 2 3 2 10 3 3" xfId="32776"/>
    <cellStyle name="Nota 2 3 2 10 4" xfId="32777"/>
    <cellStyle name="Nota 2 3 2 10 5" xfId="32778"/>
    <cellStyle name="Nota 2 3 2 11" xfId="32779"/>
    <cellStyle name="Nota 2 3 2 11 2" xfId="32780"/>
    <cellStyle name="Nota 2 3 2 11 2 2" xfId="32781"/>
    <cellStyle name="Nota 2 3 2 11 2 3" xfId="32782"/>
    <cellStyle name="Nota 2 3 2 11 3" xfId="32783"/>
    <cellStyle name="Nota 2 3 2 11 3 2" xfId="32784"/>
    <cellStyle name="Nota 2 3 2 11 3 3" xfId="32785"/>
    <cellStyle name="Nota 2 3 2 11 4" xfId="32786"/>
    <cellStyle name="Nota 2 3 2 11 5" xfId="32787"/>
    <cellStyle name="Nota 2 3 2 12" xfId="32788"/>
    <cellStyle name="Nota 2 3 2 12 2" xfId="32789"/>
    <cellStyle name="Nota 2 3 2 12 2 2" xfId="32790"/>
    <cellStyle name="Nota 2 3 2 12 2 3" xfId="32791"/>
    <cellStyle name="Nota 2 3 2 12 3" xfId="32792"/>
    <cellStyle name="Nota 2 3 2 12 3 2" xfId="32793"/>
    <cellStyle name="Nota 2 3 2 12 3 3" xfId="32794"/>
    <cellStyle name="Nota 2 3 2 12 4" xfId="32795"/>
    <cellStyle name="Nota 2 3 2 12 5" xfId="32796"/>
    <cellStyle name="Nota 2 3 2 13" xfId="32797"/>
    <cellStyle name="Nota 2 3 2 13 2" xfId="32798"/>
    <cellStyle name="Nota 2 3 2 13 2 2" xfId="32799"/>
    <cellStyle name="Nota 2 3 2 13 2 3" xfId="32800"/>
    <cellStyle name="Nota 2 3 2 13 3" xfId="32801"/>
    <cellStyle name="Nota 2 3 2 13 3 2" xfId="32802"/>
    <cellStyle name="Nota 2 3 2 13 3 3" xfId="32803"/>
    <cellStyle name="Nota 2 3 2 13 4" xfId="32804"/>
    <cellStyle name="Nota 2 3 2 13 5" xfId="32805"/>
    <cellStyle name="Nota 2 3 2 14" xfId="32806"/>
    <cellStyle name="Nota 2 3 2 14 2" xfId="32807"/>
    <cellStyle name="Nota 2 3 2 14 2 2" xfId="32808"/>
    <cellStyle name="Nota 2 3 2 14 2 3" xfId="32809"/>
    <cellStyle name="Nota 2 3 2 14 3" xfId="32810"/>
    <cellStyle name="Nota 2 3 2 14 3 2" xfId="32811"/>
    <cellStyle name="Nota 2 3 2 14 3 3" xfId="32812"/>
    <cellStyle name="Nota 2 3 2 14 4" xfId="32813"/>
    <cellStyle name="Nota 2 3 2 14 5" xfId="32814"/>
    <cellStyle name="Nota 2 3 2 15" xfId="32815"/>
    <cellStyle name="Nota 2 3 2 15 2" xfId="32816"/>
    <cellStyle name="Nota 2 3 2 15 2 2" xfId="32817"/>
    <cellStyle name="Nota 2 3 2 15 2 3" xfId="32818"/>
    <cellStyle name="Nota 2 3 2 15 3" xfId="32819"/>
    <cellStyle name="Nota 2 3 2 15 3 2" xfId="32820"/>
    <cellStyle name="Nota 2 3 2 15 3 3" xfId="32821"/>
    <cellStyle name="Nota 2 3 2 15 4" xfId="32822"/>
    <cellStyle name="Nota 2 3 2 15 5" xfId="32823"/>
    <cellStyle name="Nota 2 3 2 16" xfId="32824"/>
    <cellStyle name="Nota 2 3 2 16 2" xfId="32825"/>
    <cellStyle name="Nota 2 3 2 16 2 2" xfId="32826"/>
    <cellStyle name="Nota 2 3 2 16 2 3" xfId="32827"/>
    <cellStyle name="Nota 2 3 2 16 3" xfId="32828"/>
    <cellStyle name="Nota 2 3 2 16 3 2" xfId="32829"/>
    <cellStyle name="Nota 2 3 2 16 3 3" xfId="32830"/>
    <cellStyle name="Nota 2 3 2 16 4" xfId="32831"/>
    <cellStyle name="Nota 2 3 2 16 5" xfId="32832"/>
    <cellStyle name="Nota 2 3 2 17" xfId="32833"/>
    <cellStyle name="Nota 2 3 2 17 2" xfId="32834"/>
    <cellStyle name="Nota 2 3 2 17 2 2" xfId="32835"/>
    <cellStyle name="Nota 2 3 2 17 2 3" xfId="32836"/>
    <cellStyle name="Nota 2 3 2 17 3" xfId="32837"/>
    <cellStyle name="Nota 2 3 2 17 3 2" xfId="32838"/>
    <cellStyle name="Nota 2 3 2 17 3 3" xfId="32839"/>
    <cellStyle name="Nota 2 3 2 17 4" xfId="32840"/>
    <cellStyle name="Nota 2 3 2 17 5" xfId="32841"/>
    <cellStyle name="Nota 2 3 2 18" xfId="32842"/>
    <cellStyle name="Nota 2 3 2 18 2" xfId="32843"/>
    <cellStyle name="Nota 2 3 2 18 2 2" xfId="32844"/>
    <cellStyle name="Nota 2 3 2 18 2 3" xfId="32845"/>
    <cellStyle name="Nota 2 3 2 18 3" xfId="32846"/>
    <cellStyle name="Nota 2 3 2 18 3 2" xfId="32847"/>
    <cellStyle name="Nota 2 3 2 18 3 3" xfId="32848"/>
    <cellStyle name="Nota 2 3 2 18 4" xfId="32849"/>
    <cellStyle name="Nota 2 3 2 18 5" xfId="32850"/>
    <cellStyle name="Nota 2 3 2 19" xfId="32851"/>
    <cellStyle name="Nota 2 3 2 19 2" xfId="32852"/>
    <cellStyle name="Nota 2 3 2 19 2 2" xfId="32853"/>
    <cellStyle name="Nota 2 3 2 19 2 3" xfId="32854"/>
    <cellStyle name="Nota 2 3 2 19 3" xfId="32855"/>
    <cellStyle name="Nota 2 3 2 19 3 2" xfId="32856"/>
    <cellStyle name="Nota 2 3 2 19 3 3" xfId="32857"/>
    <cellStyle name="Nota 2 3 2 19 4" xfId="32858"/>
    <cellStyle name="Nota 2 3 2 19 5" xfId="32859"/>
    <cellStyle name="Nota 2 3 2 2" xfId="32860"/>
    <cellStyle name="Nota 2 3 2 2 2" xfId="32861"/>
    <cellStyle name="Nota 2 3 2 2 2 2" xfId="32862"/>
    <cellStyle name="Nota 2 3 2 2 2 3" xfId="32863"/>
    <cellStyle name="Nota 2 3 2 2 3" xfId="32864"/>
    <cellStyle name="Nota 2 3 2 2 3 2" xfId="32865"/>
    <cellStyle name="Nota 2 3 2 2 3 3" xfId="32866"/>
    <cellStyle name="Nota 2 3 2 2 4" xfId="32867"/>
    <cellStyle name="Nota 2 3 2 2 5" xfId="32868"/>
    <cellStyle name="Nota 2 3 2 20" xfId="32869"/>
    <cellStyle name="Nota 2 3 2 20 2" xfId="32870"/>
    <cellStyle name="Nota 2 3 2 20 2 2" xfId="32871"/>
    <cellStyle name="Nota 2 3 2 20 2 3" xfId="32872"/>
    <cellStyle name="Nota 2 3 2 20 3" xfId="32873"/>
    <cellStyle name="Nota 2 3 2 20 3 2" xfId="32874"/>
    <cellStyle name="Nota 2 3 2 20 3 3" xfId="32875"/>
    <cellStyle name="Nota 2 3 2 20 4" xfId="32876"/>
    <cellStyle name="Nota 2 3 2 20 5" xfId="32877"/>
    <cellStyle name="Nota 2 3 2 21" xfId="32878"/>
    <cellStyle name="Nota 2 3 2 21 2" xfId="32879"/>
    <cellStyle name="Nota 2 3 2 21 2 2" xfId="32880"/>
    <cellStyle name="Nota 2 3 2 21 2 3" xfId="32881"/>
    <cellStyle name="Nota 2 3 2 21 3" xfId="32882"/>
    <cellStyle name="Nota 2 3 2 21 3 2" xfId="32883"/>
    <cellStyle name="Nota 2 3 2 21 3 3" xfId="32884"/>
    <cellStyle name="Nota 2 3 2 21 4" xfId="32885"/>
    <cellStyle name="Nota 2 3 2 21 5" xfId="32886"/>
    <cellStyle name="Nota 2 3 2 22" xfId="32887"/>
    <cellStyle name="Nota 2 3 2 22 2" xfId="32888"/>
    <cellStyle name="Nota 2 3 2 22 2 2" xfId="32889"/>
    <cellStyle name="Nota 2 3 2 22 2 3" xfId="32890"/>
    <cellStyle name="Nota 2 3 2 22 3" xfId="32891"/>
    <cellStyle name="Nota 2 3 2 22 3 2" xfId="32892"/>
    <cellStyle name="Nota 2 3 2 22 3 3" xfId="32893"/>
    <cellStyle name="Nota 2 3 2 22 4" xfId="32894"/>
    <cellStyle name="Nota 2 3 2 22 5" xfId="32895"/>
    <cellStyle name="Nota 2 3 2 23" xfId="32896"/>
    <cellStyle name="Nota 2 3 2 23 2" xfId="32897"/>
    <cellStyle name="Nota 2 3 2 23 2 2" xfId="32898"/>
    <cellStyle name="Nota 2 3 2 23 2 3" xfId="32899"/>
    <cellStyle name="Nota 2 3 2 23 3" xfId="32900"/>
    <cellStyle name="Nota 2 3 2 23 3 2" xfId="32901"/>
    <cellStyle name="Nota 2 3 2 23 3 3" xfId="32902"/>
    <cellStyle name="Nota 2 3 2 23 4" xfId="32903"/>
    <cellStyle name="Nota 2 3 2 23 5" xfId="32904"/>
    <cellStyle name="Nota 2 3 2 24" xfId="32905"/>
    <cellStyle name="Nota 2 3 2 24 2" xfId="32906"/>
    <cellStyle name="Nota 2 3 2 24 2 2" xfId="32907"/>
    <cellStyle name="Nota 2 3 2 24 2 3" xfId="32908"/>
    <cellStyle name="Nota 2 3 2 24 3" xfId="32909"/>
    <cellStyle name="Nota 2 3 2 24 3 2" xfId="32910"/>
    <cellStyle name="Nota 2 3 2 24 3 3" xfId="32911"/>
    <cellStyle name="Nota 2 3 2 24 4" xfId="32912"/>
    <cellStyle name="Nota 2 3 2 24 5" xfId="32913"/>
    <cellStyle name="Nota 2 3 2 25" xfId="32914"/>
    <cellStyle name="Nota 2 3 2 25 2" xfId="32915"/>
    <cellStyle name="Nota 2 3 2 25 2 2" xfId="32916"/>
    <cellStyle name="Nota 2 3 2 25 2 3" xfId="32917"/>
    <cellStyle name="Nota 2 3 2 25 3" xfId="32918"/>
    <cellStyle name="Nota 2 3 2 25 3 2" xfId="32919"/>
    <cellStyle name="Nota 2 3 2 25 3 3" xfId="32920"/>
    <cellStyle name="Nota 2 3 2 25 4" xfId="32921"/>
    <cellStyle name="Nota 2 3 2 25 5" xfId="32922"/>
    <cellStyle name="Nota 2 3 2 26" xfId="32923"/>
    <cellStyle name="Nota 2 3 2 26 2" xfId="32924"/>
    <cellStyle name="Nota 2 3 2 26 2 2" xfId="32925"/>
    <cellStyle name="Nota 2 3 2 26 2 3" xfId="32926"/>
    <cellStyle name="Nota 2 3 2 26 3" xfId="32927"/>
    <cellStyle name="Nota 2 3 2 26 3 2" xfId="32928"/>
    <cellStyle name="Nota 2 3 2 26 3 3" xfId="32929"/>
    <cellStyle name="Nota 2 3 2 26 4" xfId="32930"/>
    <cellStyle name="Nota 2 3 2 26 5" xfId="32931"/>
    <cellStyle name="Nota 2 3 2 27" xfId="32932"/>
    <cellStyle name="Nota 2 3 2 27 2" xfId="32933"/>
    <cellStyle name="Nota 2 3 2 27 2 2" xfId="32934"/>
    <cellStyle name="Nota 2 3 2 27 2 3" xfId="32935"/>
    <cellStyle name="Nota 2 3 2 27 3" xfId="32936"/>
    <cellStyle name="Nota 2 3 2 27 3 2" xfId="32937"/>
    <cellStyle name="Nota 2 3 2 27 3 3" xfId="32938"/>
    <cellStyle name="Nota 2 3 2 27 4" xfId="32939"/>
    <cellStyle name="Nota 2 3 2 27 5" xfId="32940"/>
    <cellStyle name="Nota 2 3 2 28" xfId="32941"/>
    <cellStyle name="Nota 2 3 2 28 2" xfId="32942"/>
    <cellStyle name="Nota 2 3 2 28 2 2" xfId="32943"/>
    <cellStyle name="Nota 2 3 2 28 2 3" xfId="32944"/>
    <cellStyle name="Nota 2 3 2 28 3" xfId="32945"/>
    <cellStyle name="Nota 2 3 2 28 3 2" xfId="32946"/>
    <cellStyle name="Nota 2 3 2 28 3 3" xfId="32947"/>
    <cellStyle name="Nota 2 3 2 28 4" xfId="32948"/>
    <cellStyle name="Nota 2 3 2 28 5" xfId="32949"/>
    <cellStyle name="Nota 2 3 2 29" xfId="32950"/>
    <cellStyle name="Nota 2 3 2 29 2" xfId="32951"/>
    <cellStyle name="Nota 2 3 2 29 2 2" xfId="32952"/>
    <cellStyle name="Nota 2 3 2 29 2 3" xfId="32953"/>
    <cellStyle name="Nota 2 3 2 29 3" xfId="32954"/>
    <cellStyle name="Nota 2 3 2 29 3 2" xfId="32955"/>
    <cellStyle name="Nota 2 3 2 29 3 3" xfId="32956"/>
    <cellStyle name="Nota 2 3 2 29 4" xfId="32957"/>
    <cellStyle name="Nota 2 3 2 29 5" xfId="32958"/>
    <cellStyle name="Nota 2 3 2 3" xfId="32959"/>
    <cellStyle name="Nota 2 3 2 3 2" xfId="32960"/>
    <cellStyle name="Nota 2 3 2 3 2 2" xfId="32961"/>
    <cellStyle name="Nota 2 3 2 3 2 3" xfId="32962"/>
    <cellStyle name="Nota 2 3 2 3 3" xfId="32963"/>
    <cellStyle name="Nota 2 3 2 3 3 2" xfId="32964"/>
    <cellStyle name="Nota 2 3 2 3 3 3" xfId="32965"/>
    <cellStyle name="Nota 2 3 2 3 4" xfId="32966"/>
    <cellStyle name="Nota 2 3 2 3 5" xfId="32967"/>
    <cellStyle name="Nota 2 3 2 30" xfId="32968"/>
    <cellStyle name="Nota 2 3 2 30 2" xfId="32969"/>
    <cellStyle name="Nota 2 3 2 30 2 2" xfId="32970"/>
    <cellStyle name="Nota 2 3 2 30 2 3" xfId="32971"/>
    <cellStyle name="Nota 2 3 2 30 3" xfId="32972"/>
    <cellStyle name="Nota 2 3 2 30 3 2" xfId="32973"/>
    <cellStyle name="Nota 2 3 2 30 3 3" xfId="32974"/>
    <cellStyle name="Nota 2 3 2 30 4" xfId="32975"/>
    <cellStyle name="Nota 2 3 2 30 5" xfId="32976"/>
    <cellStyle name="Nota 2 3 2 31" xfId="32977"/>
    <cellStyle name="Nota 2 3 2 31 2" xfId="32978"/>
    <cellStyle name="Nota 2 3 2 31 2 2" xfId="32979"/>
    <cellStyle name="Nota 2 3 2 31 2 3" xfId="32980"/>
    <cellStyle name="Nota 2 3 2 31 3" xfId="32981"/>
    <cellStyle name="Nota 2 3 2 31 3 2" xfId="32982"/>
    <cellStyle name="Nota 2 3 2 31 3 3" xfId="32983"/>
    <cellStyle name="Nota 2 3 2 31 4" xfId="32984"/>
    <cellStyle name="Nota 2 3 2 31 5" xfId="32985"/>
    <cellStyle name="Nota 2 3 2 32" xfId="32986"/>
    <cellStyle name="Nota 2 3 2 32 2" xfId="32987"/>
    <cellStyle name="Nota 2 3 2 32 2 2" xfId="32988"/>
    <cellStyle name="Nota 2 3 2 32 2 3" xfId="32989"/>
    <cellStyle name="Nota 2 3 2 32 3" xfId="32990"/>
    <cellStyle name="Nota 2 3 2 32 3 2" xfId="32991"/>
    <cellStyle name="Nota 2 3 2 32 3 3" xfId="32992"/>
    <cellStyle name="Nota 2 3 2 32 4" xfId="32993"/>
    <cellStyle name="Nota 2 3 2 32 5" xfId="32994"/>
    <cellStyle name="Nota 2 3 2 33" xfId="32995"/>
    <cellStyle name="Nota 2 3 2 33 2" xfId="32996"/>
    <cellStyle name="Nota 2 3 2 33 2 2" xfId="32997"/>
    <cellStyle name="Nota 2 3 2 33 2 3" xfId="32998"/>
    <cellStyle name="Nota 2 3 2 33 3" xfId="32999"/>
    <cellStyle name="Nota 2 3 2 33 3 2" xfId="33000"/>
    <cellStyle name="Nota 2 3 2 33 3 3" xfId="33001"/>
    <cellStyle name="Nota 2 3 2 33 4" xfId="33002"/>
    <cellStyle name="Nota 2 3 2 33 5" xfId="33003"/>
    <cellStyle name="Nota 2 3 2 34" xfId="33004"/>
    <cellStyle name="Nota 2 3 2 34 2" xfId="33005"/>
    <cellStyle name="Nota 2 3 2 34 2 2" xfId="33006"/>
    <cellStyle name="Nota 2 3 2 34 2 3" xfId="33007"/>
    <cellStyle name="Nota 2 3 2 34 3" xfId="33008"/>
    <cellStyle name="Nota 2 3 2 34 3 2" xfId="33009"/>
    <cellStyle name="Nota 2 3 2 34 3 3" xfId="33010"/>
    <cellStyle name="Nota 2 3 2 34 4" xfId="33011"/>
    <cellStyle name="Nota 2 3 2 34 5" xfId="33012"/>
    <cellStyle name="Nota 2 3 2 35" xfId="33013"/>
    <cellStyle name="Nota 2 3 2 35 2" xfId="33014"/>
    <cellStyle name="Nota 2 3 2 35 2 2" xfId="33015"/>
    <cellStyle name="Nota 2 3 2 35 2 3" xfId="33016"/>
    <cellStyle name="Nota 2 3 2 35 3" xfId="33017"/>
    <cellStyle name="Nota 2 3 2 35 3 2" xfId="33018"/>
    <cellStyle name="Nota 2 3 2 35 3 3" xfId="33019"/>
    <cellStyle name="Nota 2 3 2 35 4" xfId="33020"/>
    <cellStyle name="Nota 2 3 2 35 5" xfId="33021"/>
    <cellStyle name="Nota 2 3 2 36" xfId="33022"/>
    <cellStyle name="Nota 2 3 2 36 2" xfId="33023"/>
    <cellStyle name="Nota 2 3 2 36 2 2" xfId="33024"/>
    <cellStyle name="Nota 2 3 2 36 2 3" xfId="33025"/>
    <cellStyle name="Nota 2 3 2 36 3" xfId="33026"/>
    <cellStyle name="Nota 2 3 2 36 3 2" xfId="33027"/>
    <cellStyle name="Nota 2 3 2 36 3 3" xfId="33028"/>
    <cellStyle name="Nota 2 3 2 36 4" xfId="33029"/>
    <cellStyle name="Nota 2 3 2 36 5" xfId="33030"/>
    <cellStyle name="Nota 2 3 2 37" xfId="33031"/>
    <cellStyle name="Nota 2 3 2 37 2" xfId="33032"/>
    <cellStyle name="Nota 2 3 2 37 2 2" xfId="33033"/>
    <cellStyle name="Nota 2 3 2 37 2 3" xfId="33034"/>
    <cellStyle name="Nota 2 3 2 37 3" xfId="33035"/>
    <cellStyle name="Nota 2 3 2 37 3 2" xfId="33036"/>
    <cellStyle name="Nota 2 3 2 37 3 3" xfId="33037"/>
    <cellStyle name="Nota 2 3 2 37 4" xfId="33038"/>
    <cellStyle name="Nota 2 3 2 37 5" xfId="33039"/>
    <cellStyle name="Nota 2 3 2 38" xfId="33040"/>
    <cellStyle name="Nota 2 3 2 38 2" xfId="33041"/>
    <cellStyle name="Nota 2 3 2 38 2 2" xfId="33042"/>
    <cellStyle name="Nota 2 3 2 38 2 3" xfId="33043"/>
    <cellStyle name="Nota 2 3 2 38 3" xfId="33044"/>
    <cellStyle name="Nota 2 3 2 38 3 2" xfId="33045"/>
    <cellStyle name="Nota 2 3 2 38 3 3" xfId="33046"/>
    <cellStyle name="Nota 2 3 2 38 4" xfId="33047"/>
    <cellStyle name="Nota 2 3 2 38 5" xfId="33048"/>
    <cellStyle name="Nota 2 3 2 39" xfId="33049"/>
    <cellStyle name="Nota 2 3 2 39 2" xfId="33050"/>
    <cellStyle name="Nota 2 3 2 39 2 2" xfId="33051"/>
    <cellStyle name="Nota 2 3 2 39 2 3" xfId="33052"/>
    <cellStyle name="Nota 2 3 2 39 3" xfId="33053"/>
    <cellStyle name="Nota 2 3 2 39 3 2" xfId="33054"/>
    <cellStyle name="Nota 2 3 2 39 3 3" xfId="33055"/>
    <cellStyle name="Nota 2 3 2 39 4" xfId="33056"/>
    <cellStyle name="Nota 2 3 2 39 5" xfId="33057"/>
    <cellStyle name="Nota 2 3 2 4" xfId="33058"/>
    <cellStyle name="Nota 2 3 2 4 2" xfId="33059"/>
    <cellStyle name="Nota 2 3 2 4 2 2" xfId="33060"/>
    <cellStyle name="Nota 2 3 2 4 2 3" xfId="33061"/>
    <cellStyle name="Nota 2 3 2 4 3" xfId="33062"/>
    <cellStyle name="Nota 2 3 2 4 3 2" xfId="33063"/>
    <cellStyle name="Nota 2 3 2 4 3 3" xfId="33064"/>
    <cellStyle name="Nota 2 3 2 4 4" xfId="33065"/>
    <cellStyle name="Nota 2 3 2 4 5" xfId="33066"/>
    <cellStyle name="Nota 2 3 2 40" xfId="33067"/>
    <cellStyle name="Nota 2 3 2 40 2" xfId="33068"/>
    <cellStyle name="Nota 2 3 2 40 2 2" xfId="33069"/>
    <cellStyle name="Nota 2 3 2 40 2 3" xfId="33070"/>
    <cellStyle name="Nota 2 3 2 40 3" xfId="33071"/>
    <cellStyle name="Nota 2 3 2 40 3 2" xfId="33072"/>
    <cellStyle name="Nota 2 3 2 40 3 3" xfId="33073"/>
    <cellStyle name="Nota 2 3 2 40 4" xfId="33074"/>
    <cellStyle name="Nota 2 3 2 40 5" xfId="33075"/>
    <cellStyle name="Nota 2 3 2 41" xfId="33076"/>
    <cellStyle name="Nota 2 3 2 41 2" xfId="33077"/>
    <cellStyle name="Nota 2 3 2 41 2 2" xfId="33078"/>
    <cellStyle name="Nota 2 3 2 41 2 3" xfId="33079"/>
    <cellStyle name="Nota 2 3 2 41 3" xfId="33080"/>
    <cellStyle name="Nota 2 3 2 41 4" xfId="33081"/>
    <cellStyle name="Nota 2 3 2 42" xfId="33082"/>
    <cellStyle name="Nota 2 3 2 42 2" xfId="33083"/>
    <cellStyle name="Nota 2 3 2 42 3" xfId="33084"/>
    <cellStyle name="Nota 2 3 2 43" xfId="33085"/>
    <cellStyle name="Nota 2 3 2 43 2" xfId="33086"/>
    <cellStyle name="Nota 2 3 2 43 3" xfId="33087"/>
    <cellStyle name="Nota 2 3 2 44" xfId="33088"/>
    <cellStyle name="Nota 2 3 2 44 2" xfId="33089"/>
    <cellStyle name="Nota 2 3 2 44 3" xfId="33090"/>
    <cellStyle name="Nota 2 3 2 45" xfId="33091"/>
    <cellStyle name="Nota 2 3 2 46" xfId="33092"/>
    <cellStyle name="Nota 2 3 2 5" xfId="33093"/>
    <cellStyle name="Nota 2 3 2 5 2" xfId="33094"/>
    <cellStyle name="Nota 2 3 2 5 2 2" xfId="33095"/>
    <cellStyle name="Nota 2 3 2 5 2 3" xfId="33096"/>
    <cellStyle name="Nota 2 3 2 5 3" xfId="33097"/>
    <cellStyle name="Nota 2 3 2 5 3 2" xfId="33098"/>
    <cellStyle name="Nota 2 3 2 5 3 3" xfId="33099"/>
    <cellStyle name="Nota 2 3 2 5 4" xfId="33100"/>
    <cellStyle name="Nota 2 3 2 5 5" xfId="33101"/>
    <cellStyle name="Nota 2 3 2 6" xfId="33102"/>
    <cellStyle name="Nota 2 3 2 6 2" xfId="33103"/>
    <cellStyle name="Nota 2 3 2 6 2 2" xfId="33104"/>
    <cellStyle name="Nota 2 3 2 6 2 3" xfId="33105"/>
    <cellStyle name="Nota 2 3 2 6 3" xfId="33106"/>
    <cellStyle name="Nota 2 3 2 6 3 2" xfId="33107"/>
    <cellStyle name="Nota 2 3 2 6 3 3" xfId="33108"/>
    <cellStyle name="Nota 2 3 2 6 4" xfId="33109"/>
    <cellStyle name="Nota 2 3 2 6 5" xfId="33110"/>
    <cellStyle name="Nota 2 3 2 7" xfId="33111"/>
    <cellStyle name="Nota 2 3 2 7 2" xfId="33112"/>
    <cellStyle name="Nota 2 3 2 7 2 2" xfId="33113"/>
    <cellStyle name="Nota 2 3 2 7 2 3" xfId="33114"/>
    <cellStyle name="Nota 2 3 2 7 3" xfId="33115"/>
    <cellStyle name="Nota 2 3 2 7 3 2" xfId="33116"/>
    <cellStyle name="Nota 2 3 2 7 3 3" xfId="33117"/>
    <cellStyle name="Nota 2 3 2 7 4" xfId="33118"/>
    <cellStyle name="Nota 2 3 2 7 5" xfId="33119"/>
    <cellStyle name="Nota 2 3 2 8" xfId="33120"/>
    <cellStyle name="Nota 2 3 2 8 2" xfId="33121"/>
    <cellStyle name="Nota 2 3 2 8 2 2" xfId="33122"/>
    <cellStyle name="Nota 2 3 2 8 2 3" xfId="33123"/>
    <cellStyle name="Nota 2 3 2 8 3" xfId="33124"/>
    <cellStyle name="Nota 2 3 2 8 3 2" xfId="33125"/>
    <cellStyle name="Nota 2 3 2 8 3 3" xfId="33126"/>
    <cellStyle name="Nota 2 3 2 8 4" xfId="33127"/>
    <cellStyle name="Nota 2 3 2 8 5" xfId="33128"/>
    <cellStyle name="Nota 2 3 2 9" xfId="33129"/>
    <cellStyle name="Nota 2 3 2 9 2" xfId="33130"/>
    <cellStyle name="Nota 2 3 2 9 2 2" xfId="33131"/>
    <cellStyle name="Nota 2 3 2 9 2 3" xfId="33132"/>
    <cellStyle name="Nota 2 3 2 9 3" xfId="33133"/>
    <cellStyle name="Nota 2 3 2 9 3 2" xfId="33134"/>
    <cellStyle name="Nota 2 3 2 9 3 3" xfId="33135"/>
    <cellStyle name="Nota 2 3 2 9 4" xfId="33136"/>
    <cellStyle name="Nota 2 3 2 9 5" xfId="33137"/>
    <cellStyle name="Nota 2 3 20" xfId="33138"/>
    <cellStyle name="Nota 2 3 20 2" xfId="33139"/>
    <cellStyle name="Nota 2 3 20 2 2" xfId="33140"/>
    <cellStyle name="Nota 2 3 20 2 3" xfId="33141"/>
    <cellStyle name="Nota 2 3 20 3" xfId="33142"/>
    <cellStyle name="Nota 2 3 20 3 2" xfId="33143"/>
    <cellStyle name="Nota 2 3 20 3 3" xfId="33144"/>
    <cellStyle name="Nota 2 3 20 4" xfId="33145"/>
    <cellStyle name="Nota 2 3 20 5" xfId="33146"/>
    <cellStyle name="Nota 2 3 21" xfId="33147"/>
    <cellStyle name="Nota 2 3 21 2" xfId="33148"/>
    <cellStyle name="Nota 2 3 21 2 2" xfId="33149"/>
    <cellStyle name="Nota 2 3 21 2 3" xfId="33150"/>
    <cellStyle name="Nota 2 3 21 3" xfId="33151"/>
    <cellStyle name="Nota 2 3 21 3 2" xfId="33152"/>
    <cellStyle name="Nota 2 3 21 3 3" xfId="33153"/>
    <cellStyle name="Nota 2 3 21 4" xfId="33154"/>
    <cellStyle name="Nota 2 3 21 5" xfId="33155"/>
    <cellStyle name="Nota 2 3 22" xfId="33156"/>
    <cellStyle name="Nota 2 3 22 2" xfId="33157"/>
    <cellStyle name="Nota 2 3 22 2 2" xfId="33158"/>
    <cellStyle name="Nota 2 3 22 2 3" xfId="33159"/>
    <cellStyle name="Nota 2 3 22 3" xfId="33160"/>
    <cellStyle name="Nota 2 3 22 3 2" xfId="33161"/>
    <cellStyle name="Nota 2 3 22 3 3" xfId="33162"/>
    <cellStyle name="Nota 2 3 22 4" xfId="33163"/>
    <cellStyle name="Nota 2 3 22 5" xfId="33164"/>
    <cellStyle name="Nota 2 3 23" xfId="33165"/>
    <cellStyle name="Nota 2 3 23 2" xfId="33166"/>
    <cellStyle name="Nota 2 3 23 2 2" xfId="33167"/>
    <cellStyle name="Nota 2 3 23 2 3" xfId="33168"/>
    <cellStyle name="Nota 2 3 23 3" xfId="33169"/>
    <cellStyle name="Nota 2 3 23 3 2" xfId="33170"/>
    <cellStyle name="Nota 2 3 23 3 3" xfId="33171"/>
    <cellStyle name="Nota 2 3 23 4" xfId="33172"/>
    <cellStyle name="Nota 2 3 23 5" xfId="33173"/>
    <cellStyle name="Nota 2 3 24" xfId="33174"/>
    <cellStyle name="Nota 2 3 24 2" xfId="33175"/>
    <cellStyle name="Nota 2 3 24 2 2" xfId="33176"/>
    <cellStyle name="Nota 2 3 24 2 3" xfId="33177"/>
    <cellStyle name="Nota 2 3 24 3" xfId="33178"/>
    <cellStyle name="Nota 2 3 24 3 2" xfId="33179"/>
    <cellStyle name="Nota 2 3 24 3 3" xfId="33180"/>
    <cellStyle name="Nota 2 3 24 4" xfId="33181"/>
    <cellStyle name="Nota 2 3 24 5" xfId="33182"/>
    <cellStyle name="Nota 2 3 25" xfId="33183"/>
    <cellStyle name="Nota 2 3 25 2" xfId="33184"/>
    <cellStyle name="Nota 2 3 25 2 2" xfId="33185"/>
    <cellStyle name="Nota 2 3 25 2 3" xfId="33186"/>
    <cellStyle name="Nota 2 3 25 3" xfId="33187"/>
    <cellStyle name="Nota 2 3 25 3 2" xfId="33188"/>
    <cellStyle name="Nota 2 3 25 3 3" xfId="33189"/>
    <cellStyle name="Nota 2 3 25 4" xfId="33190"/>
    <cellStyle name="Nota 2 3 25 5" xfId="33191"/>
    <cellStyle name="Nota 2 3 26" xfId="33192"/>
    <cellStyle name="Nota 2 3 26 2" xfId="33193"/>
    <cellStyle name="Nota 2 3 26 2 2" xfId="33194"/>
    <cellStyle name="Nota 2 3 26 2 3" xfId="33195"/>
    <cellStyle name="Nota 2 3 26 3" xfId="33196"/>
    <cellStyle name="Nota 2 3 26 3 2" xfId="33197"/>
    <cellStyle name="Nota 2 3 26 3 3" xfId="33198"/>
    <cellStyle name="Nota 2 3 26 4" xfId="33199"/>
    <cellStyle name="Nota 2 3 26 5" xfId="33200"/>
    <cellStyle name="Nota 2 3 27" xfId="33201"/>
    <cellStyle name="Nota 2 3 27 2" xfId="33202"/>
    <cellStyle name="Nota 2 3 27 2 2" xfId="33203"/>
    <cellStyle name="Nota 2 3 27 2 3" xfId="33204"/>
    <cellStyle name="Nota 2 3 27 3" xfId="33205"/>
    <cellStyle name="Nota 2 3 27 3 2" xfId="33206"/>
    <cellStyle name="Nota 2 3 27 3 3" xfId="33207"/>
    <cellStyle name="Nota 2 3 27 4" xfId="33208"/>
    <cellStyle name="Nota 2 3 27 5" xfId="33209"/>
    <cellStyle name="Nota 2 3 28" xfId="33210"/>
    <cellStyle name="Nota 2 3 28 2" xfId="33211"/>
    <cellStyle name="Nota 2 3 28 2 2" xfId="33212"/>
    <cellStyle name="Nota 2 3 28 2 3" xfId="33213"/>
    <cellStyle name="Nota 2 3 28 3" xfId="33214"/>
    <cellStyle name="Nota 2 3 28 3 2" xfId="33215"/>
    <cellStyle name="Nota 2 3 28 3 3" xfId="33216"/>
    <cellStyle name="Nota 2 3 28 4" xfId="33217"/>
    <cellStyle name="Nota 2 3 28 5" xfId="33218"/>
    <cellStyle name="Nota 2 3 29" xfId="33219"/>
    <cellStyle name="Nota 2 3 29 2" xfId="33220"/>
    <cellStyle name="Nota 2 3 29 2 2" xfId="33221"/>
    <cellStyle name="Nota 2 3 29 2 3" xfId="33222"/>
    <cellStyle name="Nota 2 3 29 3" xfId="33223"/>
    <cellStyle name="Nota 2 3 29 3 2" xfId="33224"/>
    <cellStyle name="Nota 2 3 29 3 3" xfId="33225"/>
    <cellStyle name="Nota 2 3 29 4" xfId="33226"/>
    <cellStyle name="Nota 2 3 29 5" xfId="33227"/>
    <cellStyle name="Nota 2 3 3" xfId="33228"/>
    <cellStyle name="Nota 2 3 3 10" xfId="33229"/>
    <cellStyle name="Nota 2 3 3 10 2" xfId="33230"/>
    <cellStyle name="Nota 2 3 3 10 2 2" xfId="33231"/>
    <cellStyle name="Nota 2 3 3 10 2 3" xfId="33232"/>
    <cellStyle name="Nota 2 3 3 10 3" xfId="33233"/>
    <cellStyle name="Nota 2 3 3 10 3 2" xfId="33234"/>
    <cellStyle name="Nota 2 3 3 10 3 3" xfId="33235"/>
    <cellStyle name="Nota 2 3 3 10 4" xfId="33236"/>
    <cellStyle name="Nota 2 3 3 10 5" xfId="33237"/>
    <cellStyle name="Nota 2 3 3 11" xfId="33238"/>
    <cellStyle name="Nota 2 3 3 11 2" xfId="33239"/>
    <cellStyle name="Nota 2 3 3 11 2 2" xfId="33240"/>
    <cellStyle name="Nota 2 3 3 11 2 3" xfId="33241"/>
    <cellStyle name="Nota 2 3 3 11 3" xfId="33242"/>
    <cellStyle name="Nota 2 3 3 11 3 2" xfId="33243"/>
    <cellStyle name="Nota 2 3 3 11 3 3" xfId="33244"/>
    <cellStyle name="Nota 2 3 3 11 4" xfId="33245"/>
    <cellStyle name="Nota 2 3 3 11 5" xfId="33246"/>
    <cellStyle name="Nota 2 3 3 12" xfId="33247"/>
    <cellStyle name="Nota 2 3 3 12 2" xfId="33248"/>
    <cellStyle name="Nota 2 3 3 12 2 2" xfId="33249"/>
    <cellStyle name="Nota 2 3 3 12 2 3" xfId="33250"/>
    <cellStyle name="Nota 2 3 3 12 3" xfId="33251"/>
    <cellStyle name="Nota 2 3 3 12 3 2" xfId="33252"/>
    <cellStyle name="Nota 2 3 3 12 3 3" xfId="33253"/>
    <cellStyle name="Nota 2 3 3 12 4" xfId="33254"/>
    <cellStyle name="Nota 2 3 3 12 5" xfId="33255"/>
    <cellStyle name="Nota 2 3 3 13" xfId="33256"/>
    <cellStyle name="Nota 2 3 3 13 2" xfId="33257"/>
    <cellStyle name="Nota 2 3 3 13 2 2" xfId="33258"/>
    <cellStyle name="Nota 2 3 3 13 2 3" xfId="33259"/>
    <cellStyle name="Nota 2 3 3 13 3" xfId="33260"/>
    <cellStyle name="Nota 2 3 3 13 3 2" xfId="33261"/>
    <cellStyle name="Nota 2 3 3 13 3 3" xfId="33262"/>
    <cellStyle name="Nota 2 3 3 13 4" xfId="33263"/>
    <cellStyle name="Nota 2 3 3 13 5" xfId="33264"/>
    <cellStyle name="Nota 2 3 3 14" xfId="33265"/>
    <cellStyle name="Nota 2 3 3 14 2" xfId="33266"/>
    <cellStyle name="Nota 2 3 3 14 2 2" xfId="33267"/>
    <cellStyle name="Nota 2 3 3 14 2 3" xfId="33268"/>
    <cellStyle name="Nota 2 3 3 14 3" xfId="33269"/>
    <cellStyle name="Nota 2 3 3 14 3 2" xfId="33270"/>
    <cellStyle name="Nota 2 3 3 14 3 3" xfId="33271"/>
    <cellStyle name="Nota 2 3 3 14 4" xfId="33272"/>
    <cellStyle name="Nota 2 3 3 14 5" xfId="33273"/>
    <cellStyle name="Nota 2 3 3 15" xfId="33274"/>
    <cellStyle name="Nota 2 3 3 15 2" xfId="33275"/>
    <cellStyle name="Nota 2 3 3 15 2 2" xfId="33276"/>
    <cellStyle name="Nota 2 3 3 15 2 3" xfId="33277"/>
    <cellStyle name="Nota 2 3 3 15 3" xfId="33278"/>
    <cellStyle name="Nota 2 3 3 15 3 2" xfId="33279"/>
    <cellStyle name="Nota 2 3 3 15 3 3" xfId="33280"/>
    <cellStyle name="Nota 2 3 3 15 4" xfId="33281"/>
    <cellStyle name="Nota 2 3 3 15 5" xfId="33282"/>
    <cellStyle name="Nota 2 3 3 16" xfId="33283"/>
    <cellStyle name="Nota 2 3 3 16 2" xfId="33284"/>
    <cellStyle name="Nota 2 3 3 16 2 2" xfId="33285"/>
    <cellStyle name="Nota 2 3 3 16 2 3" xfId="33286"/>
    <cellStyle name="Nota 2 3 3 16 3" xfId="33287"/>
    <cellStyle name="Nota 2 3 3 16 3 2" xfId="33288"/>
    <cellStyle name="Nota 2 3 3 16 3 3" xfId="33289"/>
    <cellStyle name="Nota 2 3 3 16 4" xfId="33290"/>
    <cellStyle name="Nota 2 3 3 16 5" xfId="33291"/>
    <cellStyle name="Nota 2 3 3 17" xfId="33292"/>
    <cellStyle name="Nota 2 3 3 17 2" xfId="33293"/>
    <cellStyle name="Nota 2 3 3 17 2 2" xfId="33294"/>
    <cellStyle name="Nota 2 3 3 17 2 3" xfId="33295"/>
    <cellStyle name="Nota 2 3 3 17 3" xfId="33296"/>
    <cellStyle name="Nota 2 3 3 17 3 2" xfId="33297"/>
    <cellStyle name="Nota 2 3 3 17 3 3" xfId="33298"/>
    <cellStyle name="Nota 2 3 3 17 4" xfId="33299"/>
    <cellStyle name="Nota 2 3 3 17 5" xfId="33300"/>
    <cellStyle name="Nota 2 3 3 18" xfId="33301"/>
    <cellStyle name="Nota 2 3 3 18 2" xfId="33302"/>
    <cellStyle name="Nota 2 3 3 18 2 2" xfId="33303"/>
    <cellStyle name="Nota 2 3 3 18 2 3" xfId="33304"/>
    <cellStyle name="Nota 2 3 3 18 3" xfId="33305"/>
    <cellStyle name="Nota 2 3 3 18 3 2" xfId="33306"/>
    <cellStyle name="Nota 2 3 3 18 3 3" xfId="33307"/>
    <cellStyle name="Nota 2 3 3 18 4" xfId="33308"/>
    <cellStyle name="Nota 2 3 3 18 5" xfId="33309"/>
    <cellStyle name="Nota 2 3 3 19" xfId="33310"/>
    <cellStyle name="Nota 2 3 3 19 2" xfId="33311"/>
    <cellStyle name="Nota 2 3 3 19 2 2" xfId="33312"/>
    <cellStyle name="Nota 2 3 3 19 2 3" xfId="33313"/>
    <cellStyle name="Nota 2 3 3 19 3" xfId="33314"/>
    <cellStyle name="Nota 2 3 3 19 3 2" xfId="33315"/>
    <cellStyle name="Nota 2 3 3 19 3 3" xfId="33316"/>
    <cellStyle name="Nota 2 3 3 19 4" xfId="33317"/>
    <cellStyle name="Nota 2 3 3 19 5" xfId="33318"/>
    <cellStyle name="Nota 2 3 3 2" xfId="33319"/>
    <cellStyle name="Nota 2 3 3 2 2" xfId="33320"/>
    <cellStyle name="Nota 2 3 3 2 2 2" xfId="33321"/>
    <cellStyle name="Nota 2 3 3 2 2 3" xfId="33322"/>
    <cellStyle name="Nota 2 3 3 2 3" xfId="33323"/>
    <cellStyle name="Nota 2 3 3 2 3 2" xfId="33324"/>
    <cellStyle name="Nota 2 3 3 2 3 3" xfId="33325"/>
    <cellStyle name="Nota 2 3 3 2 4" xfId="33326"/>
    <cellStyle name="Nota 2 3 3 2 5" xfId="33327"/>
    <cellStyle name="Nota 2 3 3 20" xfId="33328"/>
    <cellStyle name="Nota 2 3 3 20 2" xfId="33329"/>
    <cellStyle name="Nota 2 3 3 20 2 2" xfId="33330"/>
    <cellStyle name="Nota 2 3 3 20 2 3" xfId="33331"/>
    <cellStyle name="Nota 2 3 3 20 3" xfId="33332"/>
    <cellStyle name="Nota 2 3 3 20 3 2" xfId="33333"/>
    <cellStyle name="Nota 2 3 3 20 3 3" xfId="33334"/>
    <cellStyle name="Nota 2 3 3 20 4" xfId="33335"/>
    <cellStyle name="Nota 2 3 3 20 5" xfId="33336"/>
    <cellStyle name="Nota 2 3 3 21" xfId="33337"/>
    <cellStyle name="Nota 2 3 3 21 2" xfId="33338"/>
    <cellStyle name="Nota 2 3 3 21 2 2" xfId="33339"/>
    <cellStyle name="Nota 2 3 3 21 2 3" xfId="33340"/>
    <cellStyle name="Nota 2 3 3 21 3" xfId="33341"/>
    <cellStyle name="Nota 2 3 3 21 3 2" xfId="33342"/>
    <cellStyle name="Nota 2 3 3 21 3 3" xfId="33343"/>
    <cellStyle name="Nota 2 3 3 21 4" xfId="33344"/>
    <cellStyle name="Nota 2 3 3 21 5" xfId="33345"/>
    <cellStyle name="Nota 2 3 3 22" xfId="33346"/>
    <cellStyle name="Nota 2 3 3 22 2" xfId="33347"/>
    <cellStyle name="Nota 2 3 3 22 2 2" xfId="33348"/>
    <cellStyle name="Nota 2 3 3 22 2 3" xfId="33349"/>
    <cellStyle name="Nota 2 3 3 22 3" xfId="33350"/>
    <cellStyle name="Nota 2 3 3 22 3 2" xfId="33351"/>
    <cellStyle name="Nota 2 3 3 22 3 3" xfId="33352"/>
    <cellStyle name="Nota 2 3 3 22 4" xfId="33353"/>
    <cellStyle name="Nota 2 3 3 22 5" xfId="33354"/>
    <cellStyle name="Nota 2 3 3 23" xfId="33355"/>
    <cellStyle name="Nota 2 3 3 23 2" xfId="33356"/>
    <cellStyle name="Nota 2 3 3 23 2 2" xfId="33357"/>
    <cellStyle name="Nota 2 3 3 23 2 3" xfId="33358"/>
    <cellStyle name="Nota 2 3 3 23 3" xfId="33359"/>
    <cellStyle name="Nota 2 3 3 23 3 2" xfId="33360"/>
    <cellStyle name="Nota 2 3 3 23 3 3" xfId="33361"/>
    <cellStyle name="Nota 2 3 3 23 4" xfId="33362"/>
    <cellStyle name="Nota 2 3 3 23 5" xfId="33363"/>
    <cellStyle name="Nota 2 3 3 24" xfId="33364"/>
    <cellStyle name="Nota 2 3 3 24 2" xfId="33365"/>
    <cellStyle name="Nota 2 3 3 24 2 2" xfId="33366"/>
    <cellStyle name="Nota 2 3 3 24 2 3" xfId="33367"/>
    <cellStyle name="Nota 2 3 3 24 3" xfId="33368"/>
    <cellStyle name="Nota 2 3 3 24 3 2" xfId="33369"/>
    <cellStyle name="Nota 2 3 3 24 3 3" xfId="33370"/>
    <cellStyle name="Nota 2 3 3 24 4" xfId="33371"/>
    <cellStyle name="Nota 2 3 3 24 5" xfId="33372"/>
    <cellStyle name="Nota 2 3 3 25" xfId="33373"/>
    <cellStyle name="Nota 2 3 3 25 2" xfId="33374"/>
    <cellStyle name="Nota 2 3 3 25 2 2" xfId="33375"/>
    <cellStyle name="Nota 2 3 3 25 2 3" xfId="33376"/>
    <cellStyle name="Nota 2 3 3 25 3" xfId="33377"/>
    <cellStyle name="Nota 2 3 3 25 3 2" xfId="33378"/>
    <cellStyle name="Nota 2 3 3 25 3 3" xfId="33379"/>
    <cellStyle name="Nota 2 3 3 25 4" xfId="33380"/>
    <cellStyle name="Nota 2 3 3 25 5" xfId="33381"/>
    <cellStyle name="Nota 2 3 3 26" xfId="33382"/>
    <cellStyle name="Nota 2 3 3 26 2" xfId="33383"/>
    <cellStyle name="Nota 2 3 3 26 2 2" xfId="33384"/>
    <cellStyle name="Nota 2 3 3 26 2 3" xfId="33385"/>
    <cellStyle name="Nota 2 3 3 26 3" xfId="33386"/>
    <cellStyle name="Nota 2 3 3 26 3 2" xfId="33387"/>
    <cellStyle name="Nota 2 3 3 26 3 3" xfId="33388"/>
    <cellStyle name="Nota 2 3 3 26 4" xfId="33389"/>
    <cellStyle name="Nota 2 3 3 26 5" xfId="33390"/>
    <cellStyle name="Nota 2 3 3 27" xfId="33391"/>
    <cellStyle name="Nota 2 3 3 27 2" xfId="33392"/>
    <cellStyle name="Nota 2 3 3 27 2 2" xfId="33393"/>
    <cellStyle name="Nota 2 3 3 27 2 3" xfId="33394"/>
    <cellStyle name="Nota 2 3 3 27 3" xfId="33395"/>
    <cellStyle name="Nota 2 3 3 27 3 2" xfId="33396"/>
    <cellStyle name="Nota 2 3 3 27 3 3" xfId="33397"/>
    <cellStyle name="Nota 2 3 3 27 4" xfId="33398"/>
    <cellStyle name="Nota 2 3 3 27 5" xfId="33399"/>
    <cellStyle name="Nota 2 3 3 28" xfId="33400"/>
    <cellStyle name="Nota 2 3 3 28 2" xfId="33401"/>
    <cellStyle name="Nota 2 3 3 28 2 2" xfId="33402"/>
    <cellStyle name="Nota 2 3 3 28 2 3" xfId="33403"/>
    <cellStyle name="Nota 2 3 3 28 3" xfId="33404"/>
    <cellStyle name="Nota 2 3 3 28 3 2" xfId="33405"/>
    <cellStyle name="Nota 2 3 3 28 3 3" xfId="33406"/>
    <cellStyle name="Nota 2 3 3 28 4" xfId="33407"/>
    <cellStyle name="Nota 2 3 3 28 5" xfId="33408"/>
    <cellStyle name="Nota 2 3 3 29" xfId="33409"/>
    <cellStyle name="Nota 2 3 3 29 2" xfId="33410"/>
    <cellStyle name="Nota 2 3 3 29 2 2" xfId="33411"/>
    <cellStyle name="Nota 2 3 3 29 2 3" xfId="33412"/>
    <cellStyle name="Nota 2 3 3 29 3" xfId="33413"/>
    <cellStyle name="Nota 2 3 3 29 3 2" xfId="33414"/>
    <cellStyle name="Nota 2 3 3 29 3 3" xfId="33415"/>
    <cellStyle name="Nota 2 3 3 29 4" xfId="33416"/>
    <cellStyle name="Nota 2 3 3 29 5" xfId="33417"/>
    <cellStyle name="Nota 2 3 3 3" xfId="33418"/>
    <cellStyle name="Nota 2 3 3 3 2" xfId="33419"/>
    <cellStyle name="Nota 2 3 3 3 2 2" xfId="33420"/>
    <cellStyle name="Nota 2 3 3 3 2 3" xfId="33421"/>
    <cellStyle name="Nota 2 3 3 3 3" xfId="33422"/>
    <cellStyle name="Nota 2 3 3 3 3 2" xfId="33423"/>
    <cellStyle name="Nota 2 3 3 3 3 3" xfId="33424"/>
    <cellStyle name="Nota 2 3 3 3 4" xfId="33425"/>
    <cellStyle name="Nota 2 3 3 3 5" xfId="33426"/>
    <cellStyle name="Nota 2 3 3 30" xfId="33427"/>
    <cellStyle name="Nota 2 3 3 30 2" xfId="33428"/>
    <cellStyle name="Nota 2 3 3 30 2 2" xfId="33429"/>
    <cellStyle name="Nota 2 3 3 30 2 3" xfId="33430"/>
    <cellStyle name="Nota 2 3 3 30 3" xfId="33431"/>
    <cellStyle name="Nota 2 3 3 30 3 2" xfId="33432"/>
    <cellStyle name="Nota 2 3 3 30 3 3" xfId="33433"/>
    <cellStyle name="Nota 2 3 3 30 4" xfId="33434"/>
    <cellStyle name="Nota 2 3 3 30 5" xfId="33435"/>
    <cellStyle name="Nota 2 3 3 31" xfId="33436"/>
    <cellStyle name="Nota 2 3 3 31 2" xfId="33437"/>
    <cellStyle name="Nota 2 3 3 31 2 2" xfId="33438"/>
    <cellStyle name="Nota 2 3 3 31 2 3" xfId="33439"/>
    <cellStyle name="Nota 2 3 3 31 3" xfId="33440"/>
    <cellStyle name="Nota 2 3 3 31 3 2" xfId="33441"/>
    <cellStyle name="Nota 2 3 3 31 3 3" xfId="33442"/>
    <cellStyle name="Nota 2 3 3 31 4" xfId="33443"/>
    <cellStyle name="Nota 2 3 3 31 5" xfId="33444"/>
    <cellStyle name="Nota 2 3 3 32" xfId="33445"/>
    <cellStyle name="Nota 2 3 3 32 2" xfId="33446"/>
    <cellStyle name="Nota 2 3 3 32 2 2" xfId="33447"/>
    <cellStyle name="Nota 2 3 3 32 2 3" xfId="33448"/>
    <cellStyle name="Nota 2 3 3 32 3" xfId="33449"/>
    <cellStyle name="Nota 2 3 3 32 3 2" xfId="33450"/>
    <cellStyle name="Nota 2 3 3 32 3 3" xfId="33451"/>
    <cellStyle name="Nota 2 3 3 32 4" xfId="33452"/>
    <cellStyle name="Nota 2 3 3 32 5" xfId="33453"/>
    <cellStyle name="Nota 2 3 3 33" xfId="33454"/>
    <cellStyle name="Nota 2 3 3 33 2" xfId="33455"/>
    <cellStyle name="Nota 2 3 3 33 2 2" xfId="33456"/>
    <cellStyle name="Nota 2 3 3 33 2 3" xfId="33457"/>
    <cellStyle name="Nota 2 3 3 33 3" xfId="33458"/>
    <cellStyle name="Nota 2 3 3 33 3 2" xfId="33459"/>
    <cellStyle name="Nota 2 3 3 33 3 3" xfId="33460"/>
    <cellStyle name="Nota 2 3 3 33 4" xfId="33461"/>
    <cellStyle name="Nota 2 3 3 33 5" xfId="33462"/>
    <cellStyle name="Nota 2 3 3 34" xfId="33463"/>
    <cellStyle name="Nota 2 3 3 34 2" xfId="33464"/>
    <cellStyle name="Nota 2 3 3 34 2 2" xfId="33465"/>
    <cellStyle name="Nota 2 3 3 34 2 3" xfId="33466"/>
    <cellStyle name="Nota 2 3 3 34 3" xfId="33467"/>
    <cellStyle name="Nota 2 3 3 34 3 2" xfId="33468"/>
    <cellStyle name="Nota 2 3 3 34 3 3" xfId="33469"/>
    <cellStyle name="Nota 2 3 3 34 4" xfId="33470"/>
    <cellStyle name="Nota 2 3 3 34 5" xfId="33471"/>
    <cellStyle name="Nota 2 3 3 35" xfId="33472"/>
    <cellStyle name="Nota 2 3 3 35 2" xfId="33473"/>
    <cellStyle name="Nota 2 3 3 35 2 2" xfId="33474"/>
    <cellStyle name="Nota 2 3 3 35 2 3" xfId="33475"/>
    <cellStyle name="Nota 2 3 3 35 3" xfId="33476"/>
    <cellStyle name="Nota 2 3 3 35 3 2" xfId="33477"/>
    <cellStyle name="Nota 2 3 3 35 3 3" xfId="33478"/>
    <cellStyle name="Nota 2 3 3 35 4" xfId="33479"/>
    <cellStyle name="Nota 2 3 3 35 5" xfId="33480"/>
    <cellStyle name="Nota 2 3 3 36" xfId="33481"/>
    <cellStyle name="Nota 2 3 3 36 2" xfId="33482"/>
    <cellStyle name="Nota 2 3 3 36 2 2" xfId="33483"/>
    <cellStyle name="Nota 2 3 3 36 2 3" xfId="33484"/>
    <cellStyle name="Nota 2 3 3 36 3" xfId="33485"/>
    <cellStyle name="Nota 2 3 3 36 3 2" xfId="33486"/>
    <cellStyle name="Nota 2 3 3 36 3 3" xfId="33487"/>
    <cellStyle name="Nota 2 3 3 36 4" xfId="33488"/>
    <cellStyle name="Nota 2 3 3 36 5" xfId="33489"/>
    <cellStyle name="Nota 2 3 3 37" xfId="33490"/>
    <cellStyle name="Nota 2 3 3 37 2" xfId="33491"/>
    <cellStyle name="Nota 2 3 3 37 2 2" xfId="33492"/>
    <cellStyle name="Nota 2 3 3 37 2 3" xfId="33493"/>
    <cellStyle name="Nota 2 3 3 37 3" xfId="33494"/>
    <cellStyle name="Nota 2 3 3 37 3 2" xfId="33495"/>
    <cellStyle name="Nota 2 3 3 37 3 3" xfId="33496"/>
    <cellStyle name="Nota 2 3 3 37 4" xfId="33497"/>
    <cellStyle name="Nota 2 3 3 37 5" xfId="33498"/>
    <cellStyle name="Nota 2 3 3 38" xfId="33499"/>
    <cellStyle name="Nota 2 3 3 38 2" xfId="33500"/>
    <cellStyle name="Nota 2 3 3 38 2 2" xfId="33501"/>
    <cellStyle name="Nota 2 3 3 38 2 3" xfId="33502"/>
    <cellStyle name="Nota 2 3 3 38 3" xfId="33503"/>
    <cellStyle name="Nota 2 3 3 38 3 2" xfId="33504"/>
    <cellStyle name="Nota 2 3 3 38 3 3" xfId="33505"/>
    <cellStyle name="Nota 2 3 3 38 4" xfId="33506"/>
    <cellStyle name="Nota 2 3 3 38 5" xfId="33507"/>
    <cellStyle name="Nota 2 3 3 39" xfId="33508"/>
    <cellStyle name="Nota 2 3 3 39 2" xfId="33509"/>
    <cellStyle name="Nota 2 3 3 39 2 2" xfId="33510"/>
    <cellStyle name="Nota 2 3 3 39 2 3" xfId="33511"/>
    <cellStyle name="Nota 2 3 3 39 3" xfId="33512"/>
    <cellStyle name="Nota 2 3 3 39 3 2" xfId="33513"/>
    <cellStyle name="Nota 2 3 3 39 3 3" xfId="33514"/>
    <cellStyle name="Nota 2 3 3 39 4" xfId="33515"/>
    <cellStyle name="Nota 2 3 3 39 5" xfId="33516"/>
    <cellStyle name="Nota 2 3 3 4" xfId="33517"/>
    <cellStyle name="Nota 2 3 3 4 2" xfId="33518"/>
    <cellStyle name="Nota 2 3 3 4 2 2" xfId="33519"/>
    <cellStyle name="Nota 2 3 3 4 2 3" xfId="33520"/>
    <cellStyle name="Nota 2 3 3 4 3" xfId="33521"/>
    <cellStyle name="Nota 2 3 3 4 3 2" xfId="33522"/>
    <cellStyle name="Nota 2 3 3 4 3 3" xfId="33523"/>
    <cellStyle name="Nota 2 3 3 4 4" xfId="33524"/>
    <cellStyle name="Nota 2 3 3 4 5" xfId="33525"/>
    <cellStyle name="Nota 2 3 3 40" xfId="33526"/>
    <cellStyle name="Nota 2 3 3 40 2" xfId="33527"/>
    <cellStyle name="Nota 2 3 3 40 2 2" xfId="33528"/>
    <cellStyle name="Nota 2 3 3 40 2 3" xfId="33529"/>
    <cellStyle name="Nota 2 3 3 40 3" xfId="33530"/>
    <cellStyle name="Nota 2 3 3 40 3 2" xfId="33531"/>
    <cellStyle name="Nota 2 3 3 40 3 3" xfId="33532"/>
    <cellStyle name="Nota 2 3 3 40 4" xfId="33533"/>
    <cellStyle name="Nota 2 3 3 40 5" xfId="33534"/>
    <cellStyle name="Nota 2 3 3 41" xfId="33535"/>
    <cellStyle name="Nota 2 3 3 41 2" xfId="33536"/>
    <cellStyle name="Nota 2 3 3 41 2 2" xfId="33537"/>
    <cellStyle name="Nota 2 3 3 41 2 3" xfId="33538"/>
    <cellStyle name="Nota 2 3 3 41 3" xfId="33539"/>
    <cellStyle name="Nota 2 3 3 41 3 2" xfId="33540"/>
    <cellStyle name="Nota 2 3 3 41 3 3" xfId="33541"/>
    <cellStyle name="Nota 2 3 3 41 4" xfId="33542"/>
    <cellStyle name="Nota 2 3 3 41 5" xfId="33543"/>
    <cellStyle name="Nota 2 3 3 42" xfId="33544"/>
    <cellStyle name="Nota 2 3 3 42 2" xfId="33545"/>
    <cellStyle name="Nota 2 3 3 42 2 2" xfId="33546"/>
    <cellStyle name="Nota 2 3 3 42 2 3" xfId="33547"/>
    <cellStyle name="Nota 2 3 3 42 3" xfId="33548"/>
    <cellStyle name="Nota 2 3 3 42 4" xfId="33549"/>
    <cellStyle name="Nota 2 3 3 43" xfId="33550"/>
    <cellStyle name="Nota 2 3 3 43 2" xfId="33551"/>
    <cellStyle name="Nota 2 3 3 43 3" xfId="33552"/>
    <cellStyle name="Nota 2 3 3 44" xfId="33553"/>
    <cellStyle name="Nota 2 3 3 44 2" xfId="33554"/>
    <cellStyle name="Nota 2 3 3 44 3" xfId="33555"/>
    <cellStyle name="Nota 2 3 3 45" xfId="33556"/>
    <cellStyle name="Nota 2 3 3 45 2" xfId="33557"/>
    <cellStyle name="Nota 2 3 3 45 3" xfId="33558"/>
    <cellStyle name="Nota 2 3 3 46" xfId="33559"/>
    <cellStyle name="Nota 2 3 3 47" xfId="33560"/>
    <cellStyle name="Nota 2 3 3 5" xfId="33561"/>
    <cellStyle name="Nota 2 3 3 5 2" xfId="33562"/>
    <cellStyle name="Nota 2 3 3 5 2 2" xfId="33563"/>
    <cellStyle name="Nota 2 3 3 5 2 3" xfId="33564"/>
    <cellStyle name="Nota 2 3 3 5 3" xfId="33565"/>
    <cellStyle name="Nota 2 3 3 5 3 2" xfId="33566"/>
    <cellStyle name="Nota 2 3 3 5 3 3" xfId="33567"/>
    <cellStyle name="Nota 2 3 3 5 4" xfId="33568"/>
    <cellStyle name="Nota 2 3 3 5 5" xfId="33569"/>
    <cellStyle name="Nota 2 3 3 6" xfId="33570"/>
    <cellStyle name="Nota 2 3 3 6 2" xfId="33571"/>
    <cellStyle name="Nota 2 3 3 6 2 2" xfId="33572"/>
    <cellStyle name="Nota 2 3 3 6 2 3" xfId="33573"/>
    <cellStyle name="Nota 2 3 3 6 3" xfId="33574"/>
    <cellStyle name="Nota 2 3 3 6 3 2" xfId="33575"/>
    <cellStyle name="Nota 2 3 3 6 3 3" xfId="33576"/>
    <cellStyle name="Nota 2 3 3 6 4" xfId="33577"/>
    <cellStyle name="Nota 2 3 3 6 5" xfId="33578"/>
    <cellStyle name="Nota 2 3 3 7" xfId="33579"/>
    <cellStyle name="Nota 2 3 3 7 2" xfId="33580"/>
    <cellStyle name="Nota 2 3 3 7 2 2" xfId="33581"/>
    <cellStyle name="Nota 2 3 3 7 2 3" xfId="33582"/>
    <cellStyle name="Nota 2 3 3 7 3" xfId="33583"/>
    <cellStyle name="Nota 2 3 3 7 3 2" xfId="33584"/>
    <cellStyle name="Nota 2 3 3 7 3 3" xfId="33585"/>
    <cellStyle name="Nota 2 3 3 7 4" xfId="33586"/>
    <cellStyle name="Nota 2 3 3 7 5" xfId="33587"/>
    <cellStyle name="Nota 2 3 3 8" xfId="33588"/>
    <cellStyle name="Nota 2 3 3 8 2" xfId="33589"/>
    <cellStyle name="Nota 2 3 3 8 2 2" xfId="33590"/>
    <cellStyle name="Nota 2 3 3 8 2 3" xfId="33591"/>
    <cellStyle name="Nota 2 3 3 8 3" xfId="33592"/>
    <cellStyle name="Nota 2 3 3 8 3 2" xfId="33593"/>
    <cellStyle name="Nota 2 3 3 8 3 3" xfId="33594"/>
    <cellStyle name="Nota 2 3 3 8 4" xfId="33595"/>
    <cellStyle name="Nota 2 3 3 8 5" xfId="33596"/>
    <cellStyle name="Nota 2 3 3 9" xfId="33597"/>
    <cellStyle name="Nota 2 3 3 9 2" xfId="33598"/>
    <cellStyle name="Nota 2 3 3 9 2 2" xfId="33599"/>
    <cellStyle name="Nota 2 3 3 9 2 3" xfId="33600"/>
    <cellStyle name="Nota 2 3 3 9 3" xfId="33601"/>
    <cellStyle name="Nota 2 3 3 9 3 2" xfId="33602"/>
    <cellStyle name="Nota 2 3 3 9 3 3" xfId="33603"/>
    <cellStyle name="Nota 2 3 3 9 4" xfId="33604"/>
    <cellStyle name="Nota 2 3 3 9 5" xfId="33605"/>
    <cellStyle name="Nota 2 3 30" xfId="33606"/>
    <cellStyle name="Nota 2 3 30 2" xfId="33607"/>
    <cellStyle name="Nota 2 3 30 2 2" xfId="33608"/>
    <cellStyle name="Nota 2 3 30 2 3" xfId="33609"/>
    <cellStyle name="Nota 2 3 30 3" xfId="33610"/>
    <cellStyle name="Nota 2 3 30 3 2" xfId="33611"/>
    <cellStyle name="Nota 2 3 30 3 3" xfId="33612"/>
    <cellStyle name="Nota 2 3 30 4" xfId="33613"/>
    <cellStyle name="Nota 2 3 30 5" xfId="33614"/>
    <cellStyle name="Nota 2 3 31" xfId="33615"/>
    <cellStyle name="Nota 2 3 31 2" xfId="33616"/>
    <cellStyle name="Nota 2 3 31 2 2" xfId="33617"/>
    <cellStyle name="Nota 2 3 31 2 3" xfId="33618"/>
    <cellStyle name="Nota 2 3 31 3" xfId="33619"/>
    <cellStyle name="Nota 2 3 31 3 2" xfId="33620"/>
    <cellStyle name="Nota 2 3 31 3 3" xfId="33621"/>
    <cellStyle name="Nota 2 3 31 4" xfId="33622"/>
    <cellStyle name="Nota 2 3 31 5" xfId="33623"/>
    <cellStyle name="Nota 2 3 32" xfId="33624"/>
    <cellStyle name="Nota 2 3 32 2" xfId="33625"/>
    <cellStyle name="Nota 2 3 32 2 2" xfId="33626"/>
    <cellStyle name="Nota 2 3 32 2 3" xfId="33627"/>
    <cellStyle name="Nota 2 3 32 3" xfId="33628"/>
    <cellStyle name="Nota 2 3 32 3 2" xfId="33629"/>
    <cellStyle name="Nota 2 3 32 3 3" xfId="33630"/>
    <cellStyle name="Nota 2 3 32 4" xfId="33631"/>
    <cellStyle name="Nota 2 3 32 5" xfId="33632"/>
    <cellStyle name="Nota 2 3 33" xfId="33633"/>
    <cellStyle name="Nota 2 3 33 2" xfId="33634"/>
    <cellStyle name="Nota 2 3 33 2 2" xfId="33635"/>
    <cellStyle name="Nota 2 3 33 2 3" xfId="33636"/>
    <cellStyle name="Nota 2 3 33 3" xfId="33637"/>
    <cellStyle name="Nota 2 3 33 4" xfId="33638"/>
    <cellStyle name="Nota 2 3 34" xfId="33639"/>
    <cellStyle name="Nota 2 3 34 2" xfId="33640"/>
    <cellStyle name="Nota 2 3 34 3" xfId="33641"/>
    <cellStyle name="Nota 2 3 35" xfId="33642"/>
    <cellStyle name="Nota 2 3 35 2" xfId="33643"/>
    <cellStyle name="Nota 2 3 35 3" xfId="33644"/>
    <cellStyle name="Nota 2 3 36" xfId="33645"/>
    <cellStyle name="Nota 2 3 37" xfId="33646"/>
    <cellStyle name="Nota 2 3 4" xfId="33647"/>
    <cellStyle name="Nota 2 3 4 10" xfId="33648"/>
    <cellStyle name="Nota 2 3 4 10 2" xfId="33649"/>
    <cellStyle name="Nota 2 3 4 10 2 2" xfId="33650"/>
    <cellStyle name="Nota 2 3 4 10 2 3" xfId="33651"/>
    <cellStyle name="Nota 2 3 4 10 3" xfId="33652"/>
    <cellStyle name="Nota 2 3 4 10 3 2" xfId="33653"/>
    <cellStyle name="Nota 2 3 4 10 3 3" xfId="33654"/>
    <cellStyle name="Nota 2 3 4 10 4" xfId="33655"/>
    <cellStyle name="Nota 2 3 4 10 5" xfId="33656"/>
    <cellStyle name="Nota 2 3 4 11" xfId="33657"/>
    <cellStyle name="Nota 2 3 4 11 2" xfId="33658"/>
    <cellStyle name="Nota 2 3 4 11 2 2" xfId="33659"/>
    <cellStyle name="Nota 2 3 4 11 2 3" xfId="33660"/>
    <cellStyle name="Nota 2 3 4 11 3" xfId="33661"/>
    <cellStyle name="Nota 2 3 4 11 3 2" xfId="33662"/>
    <cellStyle name="Nota 2 3 4 11 3 3" xfId="33663"/>
    <cellStyle name="Nota 2 3 4 11 4" xfId="33664"/>
    <cellStyle name="Nota 2 3 4 11 5" xfId="33665"/>
    <cellStyle name="Nota 2 3 4 12" xfId="33666"/>
    <cellStyle name="Nota 2 3 4 12 2" xfId="33667"/>
    <cellStyle name="Nota 2 3 4 12 2 2" xfId="33668"/>
    <cellStyle name="Nota 2 3 4 12 2 3" xfId="33669"/>
    <cellStyle name="Nota 2 3 4 12 3" xfId="33670"/>
    <cellStyle name="Nota 2 3 4 12 3 2" xfId="33671"/>
    <cellStyle name="Nota 2 3 4 12 3 3" xfId="33672"/>
    <cellStyle name="Nota 2 3 4 12 4" xfId="33673"/>
    <cellStyle name="Nota 2 3 4 12 5" xfId="33674"/>
    <cellStyle name="Nota 2 3 4 13" xfId="33675"/>
    <cellStyle name="Nota 2 3 4 13 2" xfId="33676"/>
    <cellStyle name="Nota 2 3 4 13 2 2" xfId="33677"/>
    <cellStyle name="Nota 2 3 4 13 2 3" xfId="33678"/>
    <cellStyle name="Nota 2 3 4 13 3" xfId="33679"/>
    <cellStyle name="Nota 2 3 4 13 3 2" xfId="33680"/>
    <cellStyle name="Nota 2 3 4 13 3 3" xfId="33681"/>
    <cellStyle name="Nota 2 3 4 13 4" xfId="33682"/>
    <cellStyle name="Nota 2 3 4 13 5" xfId="33683"/>
    <cellStyle name="Nota 2 3 4 14" xfId="33684"/>
    <cellStyle name="Nota 2 3 4 14 2" xfId="33685"/>
    <cellStyle name="Nota 2 3 4 14 2 2" xfId="33686"/>
    <cellStyle name="Nota 2 3 4 14 2 3" xfId="33687"/>
    <cellStyle name="Nota 2 3 4 14 3" xfId="33688"/>
    <cellStyle name="Nota 2 3 4 14 3 2" xfId="33689"/>
    <cellStyle name="Nota 2 3 4 14 3 3" xfId="33690"/>
    <cellStyle name="Nota 2 3 4 14 4" xfId="33691"/>
    <cellStyle name="Nota 2 3 4 14 5" xfId="33692"/>
    <cellStyle name="Nota 2 3 4 15" xfId="33693"/>
    <cellStyle name="Nota 2 3 4 15 2" xfId="33694"/>
    <cellStyle name="Nota 2 3 4 15 2 2" xfId="33695"/>
    <cellStyle name="Nota 2 3 4 15 2 3" xfId="33696"/>
    <cellStyle name="Nota 2 3 4 15 3" xfId="33697"/>
    <cellStyle name="Nota 2 3 4 15 3 2" xfId="33698"/>
    <cellStyle name="Nota 2 3 4 15 3 3" xfId="33699"/>
    <cellStyle name="Nota 2 3 4 15 4" xfId="33700"/>
    <cellStyle name="Nota 2 3 4 15 5" xfId="33701"/>
    <cellStyle name="Nota 2 3 4 16" xfId="33702"/>
    <cellStyle name="Nota 2 3 4 16 2" xfId="33703"/>
    <cellStyle name="Nota 2 3 4 16 2 2" xfId="33704"/>
    <cellStyle name="Nota 2 3 4 16 2 3" xfId="33705"/>
    <cellStyle name="Nota 2 3 4 16 3" xfId="33706"/>
    <cellStyle name="Nota 2 3 4 16 3 2" xfId="33707"/>
    <cellStyle name="Nota 2 3 4 16 3 3" xfId="33708"/>
    <cellStyle name="Nota 2 3 4 16 4" xfId="33709"/>
    <cellStyle name="Nota 2 3 4 16 5" xfId="33710"/>
    <cellStyle name="Nota 2 3 4 17" xfId="33711"/>
    <cellStyle name="Nota 2 3 4 17 2" xfId="33712"/>
    <cellStyle name="Nota 2 3 4 17 2 2" xfId="33713"/>
    <cellStyle name="Nota 2 3 4 17 2 3" xfId="33714"/>
    <cellStyle name="Nota 2 3 4 17 3" xfId="33715"/>
    <cellStyle name="Nota 2 3 4 17 3 2" xfId="33716"/>
    <cellStyle name="Nota 2 3 4 17 3 3" xfId="33717"/>
    <cellStyle name="Nota 2 3 4 17 4" xfId="33718"/>
    <cellStyle name="Nota 2 3 4 17 5" xfId="33719"/>
    <cellStyle name="Nota 2 3 4 18" xfId="33720"/>
    <cellStyle name="Nota 2 3 4 18 2" xfId="33721"/>
    <cellStyle name="Nota 2 3 4 18 2 2" xfId="33722"/>
    <cellStyle name="Nota 2 3 4 18 2 3" xfId="33723"/>
    <cellStyle name="Nota 2 3 4 18 3" xfId="33724"/>
    <cellStyle name="Nota 2 3 4 18 3 2" xfId="33725"/>
    <cellStyle name="Nota 2 3 4 18 3 3" xfId="33726"/>
    <cellStyle name="Nota 2 3 4 18 4" xfId="33727"/>
    <cellStyle name="Nota 2 3 4 18 5" xfId="33728"/>
    <cellStyle name="Nota 2 3 4 19" xfId="33729"/>
    <cellStyle name="Nota 2 3 4 19 2" xfId="33730"/>
    <cellStyle name="Nota 2 3 4 19 2 2" xfId="33731"/>
    <cellStyle name="Nota 2 3 4 19 2 3" xfId="33732"/>
    <cellStyle name="Nota 2 3 4 19 3" xfId="33733"/>
    <cellStyle name="Nota 2 3 4 19 3 2" xfId="33734"/>
    <cellStyle name="Nota 2 3 4 19 3 3" xfId="33735"/>
    <cellStyle name="Nota 2 3 4 19 4" xfId="33736"/>
    <cellStyle name="Nota 2 3 4 19 5" xfId="33737"/>
    <cellStyle name="Nota 2 3 4 2" xfId="33738"/>
    <cellStyle name="Nota 2 3 4 2 2" xfId="33739"/>
    <cellStyle name="Nota 2 3 4 2 2 2" xfId="33740"/>
    <cellStyle name="Nota 2 3 4 2 2 3" xfId="33741"/>
    <cellStyle name="Nota 2 3 4 2 3" xfId="33742"/>
    <cellStyle name="Nota 2 3 4 2 3 2" xfId="33743"/>
    <cellStyle name="Nota 2 3 4 2 3 3" xfId="33744"/>
    <cellStyle name="Nota 2 3 4 2 4" xfId="33745"/>
    <cellStyle name="Nota 2 3 4 2 5" xfId="33746"/>
    <cellStyle name="Nota 2 3 4 20" xfId="33747"/>
    <cellStyle name="Nota 2 3 4 20 2" xfId="33748"/>
    <cellStyle name="Nota 2 3 4 20 2 2" xfId="33749"/>
    <cellStyle name="Nota 2 3 4 20 2 3" xfId="33750"/>
    <cellStyle name="Nota 2 3 4 20 3" xfId="33751"/>
    <cellStyle name="Nota 2 3 4 20 3 2" xfId="33752"/>
    <cellStyle name="Nota 2 3 4 20 3 3" xfId="33753"/>
    <cellStyle name="Nota 2 3 4 20 4" xfId="33754"/>
    <cellStyle name="Nota 2 3 4 20 5" xfId="33755"/>
    <cellStyle name="Nota 2 3 4 21" xfId="33756"/>
    <cellStyle name="Nota 2 3 4 21 2" xfId="33757"/>
    <cellStyle name="Nota 2 3 4 21 2 2" xfId="33758"/>
    <cellStyle name="Nota 2 3 4 21 2 3" xfId="33759"/>
    <cellStyle name="Nota 2 3 4 21 3" xfId="33760"/>
    <cellStyle name="Nota 2 3 4 21 3 2" xfId="33761"/>
    <cellStyle name="Nota 2 3 4 21 3 3" xfId="33762"/>
    <cellStyle name="Nota 2 3 4 21 4" xfId="33763"/>
    <cellStyle name="Nota 2 3 4 21 5" xfId="33764"/>
    <cellStyle name="Nota 2 3 4 22" xfId="33765"/>
    <cellStyle name="Nota 2 3 4 22 2" xfId="33766"/>
    <cellStyle name="Nota 2 3 4 22 2 2" xfId="33767"/>
    <cellStyle name="Nota 2 3 4 22 2 3" xfId="33768"/>
    <cellStyle name="Nota 2 3 4 22 3" xfId="33769"/>
    <cellStyle name="Nota 2 3 4 22 3 2" xfId="33770"/>
    <cellStyle name="Nota 2 3 4 22 3 3" xfId="33771"/>
    <cellStyle name="Nota 2 3 4 22 4" xfId="33772"/>
    <cellStyle name="Nota 2 3 4 22 5" xfId="33773"/>
    <cellStyle name="Nota 2 3 4 23" xfId="33774"/>
    <cellStyle name="Nota 2 3 4 23 2" xfId="33775"/>
    <cellStyle name="Nota 2 3 4 23 2 2" xfId="33776"/>
    <cellStyle name="Nota 2 3 4 23 2 3" xfId="33777"/>
    <cellStyle name="Nota 2 3 4 23 3" xfId="33778"/>
    <cellStyle name="Nota 2 3 4 23 3 2" xfId="33779"/>
    <cellStyle name="Nota 2 3 4 23 3 3" xfId="33780"/>
    <cellStyle name="Nota 2 3 4 23 4" xfId="33781"/>
    <cellStyle name="Nota 2 3 4 23 5" xfId="33782"/>
    <cellStyle name="Nota 2 3 4 24" xfId="33783"/>
    <cellStyle name="Nota 2 3 4 24 2" xfId="33784"/>
    <cellStyle name="Nota 2 3 4 24 2 2" xfId="33785"/>
    <cellStyle name="Nota 2 3 4 24 2 3" xfId="33786"/>
    <cellStyle name="Nota 2 3 4 24 3" xfId="33787"/>
    <cellStyle name="Nota 2 3 4 24 3 2" xfId="33788"/>
    <cellStyle name="Nota 2 3 4 24 3 3" xfId="33789"/>
    <cellStyle name="Nota 2 3 4 24 4" xfId="33790"/>
    <cellStyle name="Nota 2 3 4 24 5" xfId="33791"/>
    <cellStyle name="Nota 2 3 4 25" xfId="33792"/>
    <cellStyle name="Nota 2 3 4 25 2" xfId="33793"/>
    <cellStyle name="Nota 2 3 4 25 2 2" xfId="33794"/>
    <cellStyle name="Nota 2 3 4 25 2 3" xfId="33795"/>
    <cellStyle name="Nota 2 3 4 25 3" xfId="33796"/>
    <cellStyle name="Nota 2 3 4 25 3 2" xfId="33797"/>
    <cellStyle name="Nota 2 3 4 25 3 3" xfId="33798"/>
    <cellStyle name="Nota 2 3 4 25 4" xfId="33799"/>
    <cellStyle name="Nota 2 3 4 25 5" xfId="33800"/>
    <cellStyle name="Nota 2 3 4 26" xfId="33801"/>
    <cellStyle name="Nota 2 3 4 26 2" xfId="33802"/>
    <cellStyle name="Nota 2 3 4 26 2 2" xfId="33803"/>
    <cellStyle name="Nota 2 3 4 26 2 3" xfId="33804"/>
    <cellStyle name="Nota 2 3 4 26 3" xfId="33805"/>
    <cellStyle name="Nota 2 3 4 26 3 2" xfId="33806"/>
    <cellStyle name="Nota 2 3 4 26 3 3" xfId="33807"/>
    <cellStyle name="Nota 2 3 4 26 4" xfId="33808"/>
    <cellStyle name="Nota 2 3 4 26 5" xfId="33809"/>
    <cellStyle name="Nota 2 3 4 27" xfId="33810"/>
    <cellStyle name="Nota 2 3 4 27 2" xfId="33811"/>
    <cellStyle name="Nota 2 3 4 27 2 2" xfId="33812"/>
    <cellStyle name="Nota 2 3 4 27 2 3" xfId="33813"/>
    <cellStyle name="Nota 2 3 4 27 3" xfId="33814"/>
    <cellStyle name="Nota 2 3 4 27 3 2" xfId="33815"/>
    <cellStyle name="Nota 2 3 4 27 3 3" xfId="33816"/>
    <cellStyle name="Nota 2 3 4 27 4" xfId="33817"/>
    <cellStyle name="Nota 2 3 4 27 5" xfId="33818"/>
    <cellStyle name="Nota 2 3 4 28" xfId="33819"/>
    <cellStyle name="Nota 2 3 4 28 2" xfId="33820"/>
    <cellStyle name="Nota 2 3 4 28 2 2" xfId="33821"/>
    <cellStyle name="Nota 2 3 4 28 2 3" xfId="33822"/>
    <cellStyle name="Nota 2 3 4 28 3" xfId="33823"/>
    <cellStyle name="Nota 2 3 4 28 3 2" xfId="33824"/>
    <cellStyle name="Nota 2 3 4 28 3 3" xfId="33825"/>
    <cellStyle name="Nota 2 3 4 28 4" xfId="33826"/>
    <cellStyle name="Nota 2 3 4 28 5" xfId="33827"/>
    <cellStyle name="Nota 2 3 4 29" xfId="33828"/>
    <cellStyle name="Nota 2 3 4 29 2" xfId="33829"/>
    <cellStyle name="Nota 2 3 4 29 2 2" xfId="33830"/>
    <cellStyle name="Nota 2 3 4 29 2 3" xfId="33831"/>
    <cellStyle name="Nota 2 3 4 29 3" xfId="33832"/>
    <cellStyle name="Nota 2 3 4 29 3 2" xfId="33833"/>
    <cellStyle name="Nota 2 3 4 29 3 3" xfId="33834"/>
    <cellStyle name="Nota 2 3 4 29 4" xfId="33835"/>
    <cellStyle name="Nota 2 3 4 29 5" xfId="33836"/>
    <cellStyle name="Nota 2 3 4 3" xfId="33837"/>
    <cellStyle name="Nota 2 3 4 3 2" xfId="33838"/>
    <cellStyle name="Nota 2 3 4 3 2 2" xfId="33839"/>
    <cellStyle name="Nota 2 3 4 3 2 3" xfId="33840"/>
    <cellStyle name="Nota 2 3 4 3 3" xfId="33841"/>
    <cellStyle name="Nota 2 3 4 3 3 2" xfId="33842"/>
    <cellStyle name="Nota 2 3 4 3 3 3" xfId="33843"/>
    <cellStyle name="Nota 2 3 4 3 4" xfId="33844"/>
    <cellStyle name="Nota 2 3 4 3 5" xfId="33845"/>
    <cellStyle name="Nota 2 3 4 30" xfId="33846"/>
    <cellStyle name="Nota 2 3 4 30 2" xfId="33847"/>
    <cellStyle name="Nota 2 3 4 30 2 2" xfId="33848"/>
    <cellStyle name="Nota 2 3 4 30 2 3" xfId="33849"/>
    <cellStyle name="Nota 2 3 4 30 3" xfId="33850"/>
    <cellStyle name="Nota 2 3 4 30 3 2" xfId="33851"/>
    <cellStyle name="Nota 2 3 4 30 3 3" xfId="33852"/>
    <cellStyle name="Nota 2 3 4 30 4" xfId="33853"/>
    <cellStyle name="Nota 2 3 4 30 5" xfId="33854"/>
    <cellStyle name="Nota 2 3 4 31" xfId="33855"/>
    <cellStyle name="Nota 2 3 4 31 2" xfId="33856"/>
    <cellStyle name="Nota 2 3 4 31 2 2" xfId="33857"/>
    <cellStyle name="Nota 2 3 4 31 2 3" xfId="33858"/>
    <cellStyle name="Nota 2 3 4 31 3" xfId="33859"/>
    <cellStyle name="Nota 2 3 4 31 3 2" xfId="33860"/>
    <cellStyle name="Nota 2 3 4 31 3 3" xfId="33861"/>
    <cellStyle name="Nota 2 3 4 31 4" xfId="33862"/>
    <cellStyle name="Nota 2 3 4 31 5" xfId="33863"/>
    <cellStyle name="Nota 2 3 4 32" xfId="33864"/>
    <cellStyle name="Nota 2 3 4 32 2" xfId="33865"/>
    <cellStyle name="Nota 2 3 4 32 2 2" xfId="33866"/>
    <cellStyle name="Nota 2 3 4 32 2 3" xfId="33867"/>
    <cellStyle name="Nota 2 3 4 32 3" xfId="33868"/>
    <cellStyle name="Nota 2 3 4 32 3 2" xfId="33869"/>
    <cellStyle name="Nota 2 3 4 32 3 3" xfId="33870"/>
    <cellStyle name="Nota 2 3 4 32 4" xfId="33871"/>
    <cellStyle name="Nota 2 3 4 32 5" xfId="33872"/>
    <cellStyle name="Nota 2 3 4 33" xfId="33873"/>
    <cellStyle name="Nota 2 3 4 33 2" xfId="33874"/>
    <cellStyle name="Nota 2 3 4 33 2 2" xfId="33875"/>
    <cellStyle name="Nota 2 3 4 33 2 3" xfId="33876"/>
    <cellStyle name="Nota 2 3 4 33 3" xfId="33877"/>
    <cellStyle name="Nota 2 3 4 33 3 2" xfId="33878"/>
    <cellStyle name="Nota 2 3 4 33 3 3" xfId="33879"/>
    <cellStyle name="Nota 2 3 4 33 4" xfId="33880"/>
    <cellStyle name="Nota 2 3 4 33 5" xfId="33881"/>
    <cellStyle name="Nota 2 3 4 34" xfId="33882"/>
    <cellStyle name="Nota 2 3 4 34 2" xfId="33883"/>
    <cellStyle name="Nota 2 3 4 34 2 2" xfId="33884"/>
    <cellStyle name="Nota 2 3 4 34 2 3" xfId="33885"/>
    <cellStyle name="Nota 2 3 4 34 3" xfId="33886"/>
    <cellStyle name="Nota 2 3 4 34 3 2" xfId="33887"/>
    <cellStyle name="Nota 2 3 4 34 3 3" xfId="33888"/>
    <cellStyle name="Nota 2 3 4 34 4" xfId="33889"/>
    <cellStyle name="Nota 2 3 4 34 5" xfId="33890"/>
    <cellStyle name="Nota 2 3 4 35" xfId="33891"/>
    <cellStyle name="Nota 2 3 4 35 2" xfId="33892"/>
    <cellStyle name="Nota 2 3 4 35 2 2" xfId="33893"/>
    <cellStyle name="Nota 2 3 4 35 2 3" xfId="33894"/>
    <cellStyle name="Nota 2 3 4 35 3" xfId="33895"/>
    <cellStyle name="Nota 2 3 4 35 3 2" xfId="33896"/>
    <cellStyle name="Nota 2 3 4 35 3 3" xfId="33897"/>
    <cellStyle name="Nota 2 3 4 35 4" xfId="33898"/>
    <cellStyle name="Nota 2 3 4 35 5" xfId="33899"/>
    <cellStyle name="Nota 2 3 4 36" xfId="33900"/>
    <cellStyle name="Nota 2 3 4 36 2" xfId="33901"/>
    <cellStyle name="Nota 2 3 4 36 2 2" xfId="33902"/>
    <cellStyle name="Nota 2 3 4 36 2 3" xfId="33903"/>
    <cellStyle name="Nota 2 3 4 36 3" xfId="33904"/>
    <cellStyle name="Nota 2 3 4 36 3 2" xfId="33905"/>
    <cellStyle name="Nota 2 3 4 36 3 3" xfId="33906"/>
    <cellStyle name="Nota 2 3 4 36 4" xfId="33907"/>
    <cellStyle name="Nota 2 3 4 36 5" xfId="33908"/>
    <cellStyle name="Nota 2 3 4 37" xfId="33909"/>
    <cellStyle name="Nota 2 3 4 37 2" xfId="33910"/>
    <cellStyle name="Nota 2 3 4 37 2 2" xfId="33911"/>
    <cellStyle name="Nota 2 3 4 37 2 3" xfId="33912"/>
    <cellStyle name="Nota 2 3 4 37 3" xfId="33913"/>
    <cellStyle name="Nota 2 3 4 37 3 2" xfId="33914"/>
    <cellStyle name="Nota 2 3 4 37 3 3" xfId="33915"/>
    <cellStyle name="Nota 2 3 4 37 4" xfId="33916"/>
    <cellStyle name="Nota 2 3 4 37 5" xfId="33917"/>
    <cellStyle name="Nota 2 3 4 38" xfId="33918"/>
    <cellStyle name="Nota 2 3 4 38 2" xfId="33919"/>
    <cellStyle name="Nota 2 3 4 38 2 2" xfId="33920"/>
    <cellStyle name="Nota 2 3 4 38 2 3" xfId="33921"/>
    <cellStyle name="Nota 2 3 4 38 3" xfId="33922"/>
    <cellStyle name="Nota 2 3 4 38 3 2" xfId="33923"/>
    <cellStyle name="Nota 2 3 4 38 3 3" xfId="33924"/>
    <cellStyle name="Nota 2 3 4 38 4" xfId="33925"/>
    <cellStyle name="Nota 2 3 4 38 5" xfId="33926"/>
    <cellStyle name="Nota 2 3 4 39" xfId="33927"/>
    <cellStyle name="Nota 2 3 4 39 2" xfId="33928"/>
    <cellStyle name="Nota 2 3 4 39 2 2" xfId="33929"/>
    <cellStyle name="Nota 2 3 4 39 2 3" xfId="33930"/>
    <cellStyle name="Nota 2 3 4 39 3" xfId="33931"/>
    <cellStyle name="Nota 2 3 4 39 3 2" xfId="33932"/>
    <cellStyle name="Nota 2 3 4 39 3 3" xfId="33933"/>
    <cellStyle name="Nota 2 3 4 39 4" xfId="33934"/>
    <cellStyle name="Nota 2 3 4 39 5" xfId="33935"/>
    <cellStyle name="Nota 2 3 4 4" xfId="33936"/>
    <cellStyle name="Nota 2 3 4 4 2" xfId="33937"/>
    <cellStyle name="Nota 2 3 4 4 2 2" xfId="33938"/>
    <cellStyle name="Nota 2 3 4 4 2 3" xfId="33939"/>
    <cellStyle name="Nota 2 3 4 4 3" xfId="33940"/>
    <cellStyle name="Nota 2 3 4 4 3 2" xfId="33941"/>
    <cellStyle name="Nota 2 3 4 4 3 3" xfId="33942"/>
    <cellStyle name="Nota 2 3 4 4 4" xfId="33943"/>
    <cellStyle name="Nota 2 3 4 4 5" xfId="33944"/>
    <cellStyle name="Nota 2 3 4 40" xfId="33945"/>
    <cellStyle name="Nota 2 3 4 40 2" xfId="33946"/>
    <cellStyle name="Nota 2 3 4 40 2 2" xfId="33947"/>
    <cellStyle name="Nota 2 3 4 40 2 3" xfId="33948"/>
    <cellStyle name="Nota 2 3 4 40 3" xfId="33949"/>
    <cellStyle name="Nota 2 3 4 40 3 2" xfId="33950"/>
    <cellStyle name="Nota 2 3 4 40 3 3" xfId="33951"/>
    <cellStyle name="Nota 2 3 4 40 4" xfId="33952"/>
    <cellStyle name="Nota 2 3 4 40 5" xfId="33953"/>
    <cellStyle name="Nota 2 3 4 41" xfId="33954"/>
    <cellStyle name="Nota 2 3 4 41 2" xfId="33955"/>
    <cellStyle name="Nota 2 3 4 41 2 2" xfId="33956"/>
    <cellStyle name="Nota 2 3 4 41 2 3" xfId="33957"/>
    <cellStyle name="Nota 2 3 4 41 3" xfId="33958"/>
    <cellStyle name="Nota 2 3 4 41 3 2" xfId="33959"/>
    <cellStyle name="Nota 2 3 4 41 3 3" xfId="33960"/>
    <cellStyle name="Nota 2 3 4 41 4" xfId="33961"/>
    <cellStyle name="Nota 2 3 4 41 5" xfId="33962"/>
    <cellStyle name="Nota 2 3 4 42" xfId="33963"/>
    <cellStyle name="Nota 2 3 4 42 2" xfId="33964"/>
    <cellStyle name="Nota 2 3 4 42 2 2" xfId="33965"/>
    <cellStyle name="Nota 2 3 4 42 2 3" xfId="33966"/>
    <cellStyle name="Nota 2 3 4 42 3" xfId="33967"/>
    <cellStyle name="Nota 2 3 4 42 4" xfId="33968"/>
    <cellStyle name="Nota 2 3 4 43" xfId="33969"/>
    <cellStyle name="Nota 2 3 4 43 2" xfId="33970"/>
    <cellStyle name="Nota 2 3 4 43 3" xfId="33971"/>
    <cellStyle name="Nota 2 3 4 44" xfId="33972"/>
    <cellStyle name="Nota 2 3 4 44 2" xfId="33973"/>
    <cellStyle name="Nota 2 3 4 44 3" xfId="33974"/>
    <cellStyle name="Nota 2 3 4 45" xfId="33975"/>
    <cellStyle name="Nota 2 3 4 46" xfId="33976"/>
    <cellStyle name="Nota 2 3 4 5" xfId="33977"/>
    <cellStyle name="Nota 2 3 4 5 2" xfId="33978"/>
    <cellStyle name="Nota 2 3 4 5 2 2" xfId="33979"/>
    <cellStyle name="Nota 2 3 4 5 2 3" xfId="33980"/>
    <cellStyle name="Nota 2 3 4 5 3" xfId="33981"/>
    <cellStyle name="Nota 2 3 4 5 3 2" xfId="33982"/>
    <cellStyle name="Nota 2 3 4 5 3 3" xfId="33983"/>
    <cellStyle name="Nota 2 3 4 5 4" xfId="33984"/>
    <cellStyle name="Nota 2 3 4 5 5" xfId="33985"/>
    <cellStyle name="Nota 2 3 4 6" xfId="33986"/>
    <cellStyle name="Nota 2 3 4 6 2" xfId="33987"/>
    <cellStyle name="Nota 2 3 4 6 2 2" xfId="33988"/>
    <cellStyle name="Nota 2 3 4 6 2 3" xfId="33989"/>
    <cellStyle name="Nota 2 3 4 6 3" xfId="33990"/>
    <cellStyle name="Nota 2 3 4 6 3 2" xfId="33991"/>
    <cellStyle name="Nota 2 3 4 6 3 3" xfId="33992"/>
    <cellStyle name="Nota 2 3 4 6 4" xfId="33993"/>
    <cellStyle name="Nota 2 3 4 6 5" xfId="33994"/>
    <cellStyle name="Nota 2 3 4 7" xfId="33995"/>
    <cellStyle name="Nota 2 3 4 7 2" xfId="33996"/>
    <cellStyle name="Nota 2 3 4 7 2 2" xfId="33997"/>
    <cellStyle name="Nota 2 3 4 7 2 3" xfId="33998"/>
    <cellStyle name="Nota 2 3 4 7 3" xfId="33999"/>
    <cellStyle name="Nota 2 3 4 7 3 2" xfId="34000"/>
    <cellStyle name="Nota 2 3 4 7 3 3" xfId="34001"/>
    <cellStyle name="Nota 2 3 4 7 4" xfId="34002"/>
    <cellStyle name="Nota 2 3 4 7 5" xfId="34003"/>
    <cellStyle name="Nota 2 3 4 8" xfId="34004"/>
    <cellStyle name="Nota 2 3 4 8 2" xfId="34005"/>
    <cellStyle name="Nota 2 3 4 8 2 2" xfId="34006"/>
    <cellStyle name="Nota 2 3 4 8 2 3" xfId="34007"/>
    <cellStyle name="Nota 2 3 4 8 3" xfId="34008"/>
    <cellStyle name="Nota 2 3 4 8 3 2" xfId="34009"/>
    <cellStyle name="Nota 2 3 4 8 3 3" xfId="34010"/>
    <cellStyle name="Nota 2 3 4 8 4" xfId="34011"/>
    <cellStyle name="Nota 2 3 4 8 5" xfId="34012"/>
    <cellStyle name="Nota 2 3 4 9" xfId="34013"/>
    <cellStyle name="Nota 2 3 4 9 2" xfId="34014"/>
    <cellStyle name="Nota 2 3 4 9 2 2" xfId="34015"/>
    <cellStyle name="Nota 2 3 4 9 2 3" xfId="34016"/>
    <cellStyle name="Nota 2 3 4 9 3" xfId="34017"/>
    <cellStyle name="Nota 2 3 4 9 3 2" xfId="34018"/>
    <cellStyle name="Nota 2 3 4 9 3 3" xfId="34019"/>
    <cellStyle name="Nota 2 3 4 9 4" xfId="34020"/>
    <cellStyle name="Nota 2 3 4 9 5" xfId="34021"/>
    <cellStyle name="Nota 2 3 5" xfId="34022"/>
    <cellStyle name="Nota 2 3 5 10" xfId="34023"/>
    <cellStyle name="Nota 2 3 5 10 2" xfId="34024"/>
    <cellStyle name="Nota 2 3 5 10 2 2" xfId="34025"/>
    <cellStyle name="Nota 2 3 5 10 2 3" xfId="34026"/>
    <cellStyle name="Nota 2 3 5 10 3" xfId="34027"/>
    <cellStyle name="Nota 2 3 5 10 3 2" xfId="34028"/>
    <cellStyle name="Nota 2 3 5 10 3 3" xfId="34029"/>
    <cellStyle name="Nota 2 3 5 10 4" xfId="34030"/>
    <cellStyle name="Nota 2 3 5 10 5" xfId="34031"/>
    <cellStyle name="Nota 2 3 5 11" xfId="34032"/>
    <cellStyle name="Nota 2 3 5 11 2" xfId="34033"/>
    <cellStyle name="Nota 2 3 5 11 2 2" xfId="34034"/>
    <cellStyle name="Nota 2 3 5 11 2 3" xfId="34035"/>
    <cellStyle name="Nota 2 3 5 11 3" xfId="34036"/>
    <cellStyle name="Nota 2 3 5 11 3 2" xfId="34037"/>
    <cellStyle name="Nota 2 3 5 11 3 3" xfId="34038"/>
    <cellStyle name="Nota 2 3 5 11 4" xfId="34039"/>
    <cellStyle name="Nota 2 3 5 11 5" xfId="34040"/>
    <cellStyle name="Nota 2 3 5 12" xfId="34041"/>
    <cellStyle name="Nota 2 3 5 12 2" xfId="34042"/>
    <cellStyle name="Nota 2 3 5 12 2 2" xfId="34043"/>
    <cellStyle name="Nota 2 3 5 12 2 3" xfId="34044"/>
    <cellStyle name="Nota 2 3 5 12 3" xfId="34045"/>
    <cellStyle name="Nota 2 3 5 12 3 2" xfId="34046"/>
    <cellStyle name="Nota 2 3 5 12 3 3" xfId="34047"/>
    <cellStyle name="Nota 2 3 5 12 4" xfId="34048"/>
    <cellStyle name="Nota 2 3 5 12 5" xfId="34049"/>
    <cellStyle name="Nota 2 3 5 13" xfId="34050"/>
    <cellStyle name="Nota 2 3 5 13 2" xfId="34051"/>
    <cellStyle name="Nota 2 3 5 13 2 2" xfId="34052"/>
    <cellStyle name="Nota 2 3 5 13 2 3" xfId="34053"/>
    <cellStyle name="Nota 2 3 5 13 3" xfId="34054"/>
    <cellStyle name="Nota 2 3 5 13 3 2" xfId="34055"/>
    <cellStyle name="Nota 2 3 5 13 3 3" xfId="34056"/>
    <cellStyle name="Nota 2 3 5 13 4" xfId="34057"/>
    <cellStyle name="Nota 2 3 5 13 5" xfId="34058"/>
    <cellStyle name="Nota 2 3 5 14" xfId="34059"/>
    <cellStyle name="Nota 2 3 5 14 2" xfId="34060"/>
    <cellStyle name="Nota 2 3 5 14 2 2" xfId="34061"/>
    <cellStyle name="Nota 2 3 5 14 2 3" xfId="34062"/>
    <cellStyle name="Nota 2 3 5 14 3" xfId="34063"/>
    <cellStyle name="Nota 2 3 5 14 3 2" xfId="34064"/>
    <cellStyle name="Nota 2 3 5 14 3 3" xfId="34065"/>
    <cellStyle name="Nota 2 3 5 14 4" xfId="34066"/>
    <cellStyle name="Nota 2 3 5 14 5" xfId="34067"/>
    <cellStyle name="Nota 2 3 5 15" xfId="34068"/>
    <cellStyle name="Nota 2 3 5 15 2" xfId="34069"/>
    <cellStyle name="Nota 2 3 5 15 2 2" xfId="34070"/>
    <cellStyle name="Nota 2 3 5 15 2 3" xfId="34071"/>
    <cellStyle name="Nota 2 3 5 15 3" xfId="34072"/>
    <cellStyle name="Nota 2 3 5 15 3 2" xfId="34073"/>
    <cellStyle name="Nota 2 3 5 15 3 3" xfId="34074"/>
    <cellStyle name="Nota 2 3 5 15 4" xfId="34075"/>
    <cellStyle name="Nota 2 3 5 15 5" xfId="34076"/>
    <cellStyle name="Nota 2 3 5 16" xfId="34077"/>
    <cellStyle name="Nota 2 3 5 16 2" xfId="34078"/>
    <cellStyle name="Nota 2 3 5 16 2 2" xfId="34079"/>
    <cellStyle name="Nota 2 3 5 16 2 3" xfId="34080"/>
    <cellStyle name="Nota 2 3 5 16 3" xfId="34081"/>
    <cellStyle name="Nota 2 3 5 16 3 2" xfId="34082"/>
    <cellStyle name="Nota 2 3 5 16 3 3" xfId="34083"/>
    <cellStyle name="Nota 2 3 5 16 4" xfId="34084"/>
    <cellStyle name="Nota 2 3 5 16 5" xfId="34085"/>
    <cellStyle name="Nota 2 3 5 17" xfId="34086"/>
    <cellStyle name="Nota 2 3 5 17 2" xfId="34087"/>
    <cellStyle name="Nota 2 3 5 17 2 2" xfId="34088"/>
    <cellStyle name="Nota 2 3 5 17 2 3" xfId="34089"/>
    <cellStyle name="Nota 2 3 5 17 3" xfId="34090"/>
    <cellStyle name="Nota 2 3 5 17 3 2" xfId="34091"/>
    <cellStyle name="Nota 2 3 5 17 3 3" xfId="34092"/>
    <cellStyle name="Nota 2 3 5 17 4" xfId="34093"/>
    <cellStyle name="Nota 2 3 5 17 5" xfId="34094"/>
    <cellStyle name="Nota 2 3 5 18" xfId="34095"/>
    <cellStyle name="Nota 2 3 5 18 2" xfId="34096"/>
    <cellStyle name="Nota 2 3 5 18 2 2" xfId="34097"/>
    <cellStyle name="Nota 2 3 5 18 2 3" xfId="34098"/>
    <cellStyle name="Nota 2 3 5 18 3" xfId="34099"/>
    <cellStyle name="Nota 2 3 5 18 3 2" xfId="34100"/>
    <cellStyle name="Nota 2 3 5 18 3 3" xfId="34101"/>
    <cellStyle name="Nota 2 3 5 18 4" xfId="34102"/>
    <cellStyle name="Nota 2 3 5 18 5" xfId="34103"/>
    <cellStyle name="Nota 2 3 5 19" xfId="34104"/>
    <cellStyle name="Nota 2 3 5 19 2" xfId="34105"/>
    <cellStyle name="Nota 2 3 5 19 2 2" xfId="34106"/>
    <cellStyle name="Nota 2 3 5 19 2 3" xfId="34107"/>
    <cellStyle name="Nota 2 3 5 19 3" xfId="34108"/>
    <cellStyle name="Nota 2 3 5 19 3 2" xfId="34109"/>
    <cellStyle name="Nota 2 3 5 19 3 3" xfId="34110"/>
    <cellStyle name="Nota 2 3 5 19 4" xfId="34111"/>
    <cellStyle name="Nota 2 3 5 19 5" xfId="34112"/>
    <cellStyle name="Nota 2 3 5 2" xfId="34113"/>
    <cellStyle name="Nota 2 3 5 2 2" xfId="34114"/>
    <cellStyle name="Nota 2 3 5 2 2 2" xfId="34115"/>
    <cellStyle name="Nota 2 3 5 2 2 3" xfId="34116"/>
    <cellStyle name="Nota 2 3 5 2 3" xfId="34117"/>
    <cellStyle name="Nota 2 3 5 2 3 2" xfId="34118"/>
    <cellStyle name="Nota 2 3 5 2 3 3" xfId="34119"/>
    <cellStyle name="Nota 2 3 5 2 4" xfId="34120"/>
    <cellStyle name="Nota 2 3 5 2 5" xfId="34121"/>
    <cellStyle name="Nota 2 3 5 20" xfId="34122"/>
    <cellStyle name="Nota 2 3 5 20 2" xfId="34123"/>
    <cellStyle name="Nota 2 3 5 20 2 2" xfId="34124"/>
    <cellStyle name="Nota 2 3 5 20 2 3" xfId="34125"/>
    <cellStyle name="Nota 2 3 5 20 3" xfId="34126"/>
    <cellStyle name="Nota 2 3 5 20 3 2" xfId="34127"/>
    <cellStyle name="Nota 2 3 5 20 3 3" xfId="34128"/>
    <cellStyle name="Nota 2 3 5 20 4" xfId="34129"/>
    <cellStyle name="Nota 2 3 5 20 5" xfId="34130"/>
    <cellStyle name="Nota 2 3 5 21" xfId="34131"/>
    <cellStyle name="Nota 2 3 5 21 2" xfId="34132"/>
    <cellStyle name="Nota 2 3 5 21 2 2" xfId="34133"/>
    <cellStyle name="Nota 2 3 5 21 2 3" xfId="34134"/>
    <cellStyle name="Nota 2 3 5 21 3" xfId="34135"/>
    <cellStyle name="Nota 2 3 5 21 3 2" xfId="34136"/>
    <cellStyle name="Nota 2 3 5 21 3 3" xfId="34137"/>
    <cellStyle name="Nota 2 3 5 21 4" xfId="34138"/>
    <cellStyle name="Nota 2 3 5 21 5" xfId="34139"/>
    <cellStyle name="Nota 2 3 5 22" xfId="34140"/>
    <cellStyle name="Nota 2 3 5 22 2" xfId="34141"/>
    <cellStyle name="Nota 2 3 5 22 2 2" xfId="34142"/>
    <cellStyle name="Nota 2 3 5 22 2 3" xfId="34143"/>
    <cellStyle name="Nota 2 3 5 22 3" xfId="34144"/>
    <cellStyle name="Nota 2 3 5 22 3 2" xfId="34145"/>
    <cellStyle name="Nota 2 3 5 22 3 3" xfId="34146"/>
    <cellStyle name="Nota 2 3 5 22 4" xfId="34147"/>
    <cellStyle name="Nota 2 3 5 22 5" xfId="34148"/>
    <cellStyle name="Nota 2 3 5 23" xfId="34149"/>
    <cellStyle name="Nota 2 3 5 23 2" xfId="34150"/>
    <cellStyle name="Nota 2 3 5 23 2 2" xfId="34151"/>
    <cellStyle name="Nota 2 3 5 23 2 3" xfId="34152"/>
    <cellStyle name="Nota 2 3 5 23 3" xfId="34153"/>
    <cellStyle name="Nota 2 3 5 23 3 2" xfId="34154"/>
    <cellStyle name="Nota 2 3 5 23 3 3" xfId="34155"/>
    <cellStyle name="Nota 2 3 5 23 4" xfId="34156"/>
    <cellStyle name="Nota 2 3 5 23 5" xfId="34157"/>
    <cellStyle name="Nota 2 3 5 24" xfId="34158"/>
    <cellStyle name="Nota 2 3 5 24 2" xfId="34159"/>
    <cellStyle name="Nota 2 3 5 24 2 2" xfId="34160"/>
    <cellStyle name="Nota 2 3 5 24 2 3" xfId="34161"/>
    <cellStyle name="Nota 2 3 5 24 3" xfId="34162"/>
    <cellStyle name="Nota 2 3 5 24 3 2" xfId="34163"/>
    <cellStyle name="Nota 2 3 5 24 3 3" xfId="34164"/>
    <cellStyle name="Nota 2 3 5 24 4" xfId="34165"/>
    <cellStyle name="Nota 2 3 5 24 5" xfId="34166"/>
    <cellStyle name="Nota 2 3 5 25" xfId="34167"/>
    <cellStyle name="Nota 2 3 5 25 2" xfId="34168"/>
    <cellStyle name="Nota 2 3 5 25 2 2" xfId="34169"/>
    <cellStyle name="Nota 2 3 5 25 2 3" xfId="34170"/>
    <cellStyle name="Nota 2 3 5 25 3" xfId="34171"/>
    <cellStyle name="Nota 2 3 5 25 3 2" xfId="34172"/>
    <cellStyle name="Nota 2 3 5 25 3 3" xfId="34173"/>
    <cellStyle name="Nota 2 3 5 25 4" xfId="34174"/>
    <cellStyle name="Nota 2 3 5 25 5" xfId="34175"/>
    <cellStyle name="Nota 2 3 5 26" xfId="34176"/>
    <cellStyle name="Nota 2 3 5 26 2" xfId="34177"/>
    <cellStyle name="Nota 2 3 5 26 2 2" xfId="34178"/>
    <cellStyle name="Nota 2 3 5 26 2 3" xfId="34179"/>
    <cellStyle name="Nota 2 3 5 26 3" xfId="34180"/>
    <cellStyle name="Nota 2 3 5 26 3 2" xfId="34181"/>
    <cellStyle name="Nota 2 3 5 26 3 3" xfId="34182"/>
    <cellStyle name="Nota 2 3 5 26 4" xfId="34183"/>
    <cellStyle name="Nota 2 3 5 26 5" xfId="34184"/>
    <cellStyle name="Nota 2 3 5 27" xfId="34185"/>
    <cellStyle name="Nota 2 3 5 27 2" xfId="34186"/>
    <cellStyle name="Nota 2 3 5 27 2 2" xfId="34187"/>
    <cellStyle name="Nota 2 3 5 27 2 3" xfId="34188"/>
    <cellStyle name="Nota 2 3 5 27 3" xfId="34189"/>
    <cellStyle name="Nota 2 3 5 27 3 2" xfId="34190"/>
    <cellStyle name="Nota 2 3 5 27 3 3" xfId="34191"/>
    <cellStyle name="Nota 2 3 5 27 4" xfId="34192"/>
    <cellStyle name="Nota 2 3 5 27 5" xfId="34193"/>
    <cellStyle name="Nota 2 3 5 28" xfId="34194"/>
    <cellStyle name="Nota 2 3 5 28 2" xfId="34195"/>
    <cellStyle name="Nota 2 3 5 28 2 2" xfId="34196"/>
    <cellStyle name="Nota 2 3 5 28 2 3" xfId="34197"/>
    <cellStyle name="Nota 2 3 5 28 3" xfId="34198"/>
    <cellStyle name="Nota 2 3 5 28 3 2" xfId="34199"/>
    <cellStyle name="Nota 2 3 5 28 3 3" xfId="34200"/>
    <cellStyle name="Nota 2 3 5 28 4" xfId="34201"/>
    <cellStyle name="Nota 2 3 5 28 5" xfId="34202"/>
    <cellStyle name="Nota 2 3 5 29" xfId="34203"/>
    <cellStyle name="Nota 2 3 5 29 2" xfId="34204"/>
    <cellStyle name="Nota 2 3 5 29 2 2" xfId="34205"/>
    <cellStyle name="Nota 2 3 5 29 2 3" xfId="34206"/>
    <cellStyle name="Nota 2 3 5 29 3" xfId="34207"/>
    <cellStyle name="Nota 2 3 5 29 3 2" xfId="34208"/>
    <cellStyle name="Nota 2 3 5 29 3 3" xfId="34209"/>
    <cellStyle name="Nota 2 3 5 29 4" xfId="34210"/>
    <cellStyle name="Nota 2 3 5 29 5" xfId="34211"/>
    <cellStyle name="Nota 2 3 5 3" xfId="34212"/>
    <cellStyle name="Nota 2 3 5 3 2" xfId="34213"/>
    <cellStyle name="Nota 2 3 5 3 2 2" xfId="34214"/>
    <cellStyle name="Nota 2 3 5 3 2 3" xfId="34215"/>
    <cellStyle name="Nota 2 3 5 3 3" xfId="34216"/>
    <cellStyle name="Nota 2 3 5 3 3 2" xfId="34217"/>
    <cellStyle name="Nota 2 3 5 3 3 3" xfId="34218"/>
    <cellStyle name="Nota 2 3 5 3 4" xfId="34219"/>
    <cellStyle name="Nota 2 3 5 3 5" xfId="34220"/>
    <cellStyle name="Nota 2 3 5 30" xfId="34221"/>
    <cellStyle name="Nota 2 3 5 30 2" xfId="34222"/>
    <cellStyle name="Nota 2 3 5 30 2 2" xfId="34223"/>
    <cellStyle name="Nota 2 3 5 30 2 3" xfId="34224"/>
    <cellStyle name="Nota 2 3 5 30 3" xfId="34225"/>
    <cellStyle name="Nota 2 3 5 30 3 2" xfId="34226"/>
    <cellStyle name="Nota 2 3 5 30 3 3" xfId="34227"/>
    <cellStyle name="Nota 2 3 5 30 4" xfId="34228"/>
    <cellStyle name="Nota 2 3 5 30 5" xfId="34229"/>
    <cellStyle name="Nota 2 3 5 31" xfId="34230"/>
    <cellStyle name="Nota 2 3 5 31 2" xfId="34231"/>
    <cellStyle name="Nota 2 3 5 31 2 2" xfId="34232"/>
    <cellStyle name="Nota 2 3 5 31 2 3" xfId="34233"/>
    <cellStyle name="Nota 2 3 5 31 3" xfId="34234"/>
    <cellStyle name="Nota 2 3 5 31 3 2" xfId="34235"/>
    <cellStyle name="Nota 2 3 5 31 3 3" xfId="34236"/>
    <cellStyle name="Nota 2 3 5 31 4" xfId="34237"/>
    <cellStyle name="Nota 2 3 5 31 5" xfId="34238"/>
    <cellStyle name="Nota 2 3 5 32" xfId="34239"/>
    <cellStyle name="Nota 2 3 5 32 2" xfId="34240"/>
    <cellStyle name="Nota 2 3 5 32 2 2" xfId="34241"/>
    <cellStyle name="Nota 2 3 5 32 2 3" xfId="34242"/>
    <cellStyle name="Nota 2 3 5 32 3" xfId="34243"/>
    <cellStyle name="Nota 2 3 5 32 3 2" xfId="34244"/>
    <cellStyle name="Nota 2 3 5 32 3 3" xfId="34245"/>
    <cellStyle name="Nota 2 3 5 32 4" xfId="34246"/>
    <cellStyle name="Nota 2 3 5 32 5" xfId="34247"/>
    <cellStyle name="Nota 2 3 5 33" xfId="34248"/>
    <cellStyle name="Nota 2 3 5 33 2" xfId="34249"/>
    <cellStyle name="Nota 2 3 5 33 2 2" xfId="34250"/>
    <cellStyle name="Nota 2 3 5 33 2 3" xfId="34251"/>
    <cellStyle name="Nota 2 3 5 33 3" xfId="34252"/>
    <cellStyle name="Nota 2 3 5 33 3 2" xfId="34253"/>
    <cellStyle name="Nota 2 3 5 33 3 3" xfId="34254"/>
    <cellStyle name="Nota 2 3 5 33 4" xfId="34255"/>
    <cellStyle name="Nota 2 3 5 33 5" xfId="34256"/>
    <cellStyle name="Nota 2 3 5 34" xfId="34257"/>
    <cellStyle name="Nota 2 3 5 34 2" xfId="34258"/>
    <cellStyle name="Nota 2 3 5 34 2 2" xfId="34259"/>
    <cellStyle name="Nota 2 3 5 34 2 3" xfId="34260"/>
    <cellStyle name="Nota 2 3 5 34 3" xfId="34261"/>
    <cellStyle name="Nota 2 3 5 34 3 2" xfId="34262"/>
    <cellStyle name="Nota 2 3 5 34 3 3" xfId="34263"/>
    <cellStyle name="Nota 2 3 5 34 4" xfId="34264"/>
    <cellStyle name="Nota 2 3 5 34 5" xfId="34265"/>
    <cellStyle name="Nota 2 3 5 35" xfId="34266"/>
    <cellStyle name="Nota 2 3 5 35 2" xfId="34267"/>
    <cellStyle name="Nota 2 3 5 35 2 2" xfId="34268"/>
    <cellStyle name="Nota 2 3 5 35 2 3" xfId="34269"/>
    <cellStyle name="Nota 2 3 5 35 3" xfId="34270"/>
    <cellStyle name="Nota 2 3 5 35 3 2" xfId="34271"/>
    <cellStyle name="Nota 2 3 5 35 3 3" xfId="34272"/>
    <cellStyle name="Nota 2 3 5 35 4" xfId="34273"/>
    <cellStyle name="Nota 2 3 5 35 5" xfId="34274"/>
    <cellStyle name="Nota 2 3 5 36" xfId="34275"/>
    <cellStyle name="Nota 2 3 5 36 2" xfId="34276"/>
    <cellStyle name="Nota 2 3 5 36 2 2" xfId="34277"/>
    <cellStyle name="Nota 2 3 5 36 2 3" xfId="34278"/>
    <cellStyle name="Nota 2 3 5 36 3" xfId="34279"/>
    <cellStyle name="Nota 2 3 5 36 3 2" xfId="34280"/>
    <cellStyle name="Nota 2 3 5 36 3 3" xfId="34281"/>
    <cellStyle name="Nota 2 3 5 36 4" xfId="34282"/>
    <cellStyle name="Nota 2 3 5 36 5" xfId="34283"/>
    <cellStyle name="Nota 2 3 5 37" xfId="34284"/>
    <cellStyle name="Nota 2 3 5 37 2" xfId="34285"/>
    <cellStyle name="Nota 2 3 5 37 2 2" xfId="34286"/>
    <cellStyle name="Nota 2 3 5 37 2 3" xfId="34287"/>
    <cellStyle name="Nota 2 3 5 37 3" xfId="34288"/>
    <cellStyle name="Nota 2 3 5 37 3 2" xfId="34289"/>
    <cellStyle name="Nota 2 3 5 37 3 3" xfId="34290"/>
    <cellStyle name="Nota 2 3 5 37 4" xfId="34291"/>
    <cellStyle name="Nota 2 3 5 37 5" xfId="34292"/>
    <cellStyle name="Nota 2 3 5 38" xfId="34293"/>
    <cellStyle name="Nota 2 3 5 38 2" xfId="34294"/>
    <cellStyle name="Nota 2 3 5 38 2 2" xfId="34295"/>
    <cellStyle name="Nota 2 3 5 38 2 3" xfId="34296"/>
    <cellStyle name="Nota 2 3 5 38 3" xfId="34297"/>
    <cellStyle name="Nota 2 3 5 38 3 2" xfId="34298"/>
    <cellStyle name="Nota 2 3 5 38 3 3" xfId="34299"/>
    <cellStyle name="Nota 2 3 5 38 4" xfId="34300"/>
    <cellStyle name="Nota 2 3 5 38 5" xfId="34301"/>
    <cellStyle name="Nota 2 3 5 39" xfId="34302"/>
    <cellStyle name="Nota 2 3 5 39 2" xfId="34303"/>
    <cellStyle name="Nota 2 3 5 39 2 2" xfId="34304"/>
    <cellStyle name="Nota 2 3 5 39 2 3" xfId="34305"/>
    <cellStyle name="Nota 2 3 5 39 3" xfId="34306"/>
    <cellStyle name="Nota 2 3 5 39 3 2" xfId="34307"/>
    <cellStyle name="Nota 2 3 5 39 3 3" xfId="34308"/>
    <cellStyle name="Nota 2 3 5 39 4" xfId="34309"/>
    <cellStyle name="Nota 2 3 5 39 5" xfId="34310"/>
    <cellStyle name="Nota 2 3 5 4" xfId="34311"/>
    <cellStyle name="Nota 2 3 5 4 2" xfId="34312"/>
    <cellStyle name="Nota 2 3 5 4 2 2" xfId="34313"/>
    <cellStyle name="Nota 2 3 5 4 2 3" xfId="34314"/>
    <cellStyle name="Nota 2 3 5 4 3" xfId="34315"/>
    <cellStyle name="Nota 2 3 5 4 3 2" xfId="34316"/>
    <cellStyle name="Nota 2 3 5 4 3 3" xfId="34317"/>
    <cellStyle name="Nota 2 3 5 4 4" xfId="34318"/>
    <cellStyle name="Nota 2 3 5 4 5" xfId="34319"/>
    <cellStyle name="Nota 2 3 5 40" xfId="34320"/>
    <cellStyle name="Nota 2 3 5 40 2" xfId="34321"/>
    <cellStyle name="Nota 2 3 5 40 2 2" xfId="34322"/>
    <cellStyle name="Nota 2 3 5 40 2 3" xfId="34323"/>
    <cellStyle name="Nota 2 3 5 40 3" xfId="34324"/>
    <cellStyle name="Nota 2 3 5 40 3 2" xfId="34325"/>
    <cellStyle name="Nota 2 3 5 40 3 3" xfId="34326"/>
    <cellStyle name="Nota 2 3 5 40 4" xfId="34327"/>
    <cellStyle name="Nota 2 3 5 40 5" xfId="34328"/>
    <cellStyle name="Nota 2 3 5 41" xfId="34329"/>
    <cellStyle name="Nota 2 3 5 41 2" xfId="34330"/>
    <cellStyle name="Nota 2 3 5 41 2 2" xfId="34331"/>
    <cellStyle name="Nota 2 3 5 41 2 3" xfId="34332"/>
    <cellStyle name="Nota 2 3 5 41 3" xfId="34333"/>
    <cellStyle name="Nota 2 3 5 41 4" xfId="34334"/>
    <cellStyle name="Nota 2 3 5 42" xfId="34335"/>
    <cellStyle name="Nota 2 3 5 42 2" xfId="34336"/>
    <cellStyle name="Nota 2 3 5 42 3" xfId="34337"/>
    <cellStyle name="Nota 2 3 5 43" xfId="34338"/>
    <cellStyle name="Nota 2 3 5 43 2" xfId="34339"/>
    <cellStyle name="Nota 2 3 5 43 3" xfId="34340"/>
    <cellStyle name="Nota 2 3 5 44" xfId="34341"/>
    <cellStyle name="Nota 2 3 5 45" xfId="34342"/>
    <cellStyle name="Nota 2 3 5 5" xfId="34343"/>
    <cellStyle name="Nota 2 3 5 5 2" xfId="34344"/>
    <cellStyle name="Nota 2 3 5 5 2 2" xfId="34345"/>
    <cellStyle name="Nota 2 3 5 5 2 3" xfId="34346"/>
    <cellStyle name="Nota 2 3 5 5 3" xfId="34347"/>
    <cellStyle name="Nota 2 3 5 5 3 2" xfId="34348"/>
    <cellStyle name="Nota 2 3 5 5 3 3" xfId="34349"/>
    <cellStyle name="Nota 2 3 5 5 4" xfId="34350"/>
    <cellStyle name="Nota 2 3 5 5 5" xfId="34351"/>
    <cellStyle name="Nota 2 3 5 6" xfId="34352"/>
    <cellStyle name="Nota 2 3 5 6 2" xfId="34353"/>
    <cellStyle name="Nota 2 3 5 6 2 2" xfId="34354"/>
    <cellStyle name="Nota 2 3 5 6 2 3" xfId="34355"/>
    <cellStyle name="Nota 2 3 5 6 3" xfId="34356"/>
    <cellStyle name="Nota 2 3 5 6 3 2" xfId="34357"/>
    <cellStyle name="Nota 2 3 5 6 3 3" xfId="34358"/>
    <cellStyle name="Nota 2 3 5 6 4" xfId="34359"/>
    <cellStyle name="Nota 2 3 5 6 5" xfId="34360"/>
    <cellStyle name="Nota 2 3 5 7" xfId="34361"/>
    <cellStyle name="Nota 2 3 5 7 2" xfId="34362"/>
    <cellStyle name="Nota 2 3 5 7 2 2" xfId="34363"/>
    <cellStyle name="Nota 2 3 5 7 2 3" xfId="34364"/>
    <cellStyle name="Nota 2 3 5 7 3" xfId="34365"/>
    <cellStyle name="Nota 2 3 5 7 3 2" xfId="34366"/>
    <cellStyle name="Nota 2 3 5 7 3 3" xfId="34367"/>
    <cellStyle name="Nota 2 3 5 7 4" xfId="34368"/>
    <cellStyle name="Nota 2 3 5 7 5" xfId="34369"/>
    <cellStyle name="Nota 2 3 5 8" xfId="34370"/>
    <cellStyle name="Nota 2 3 5 8 2" xfId="34371"/>
    <cellStyle name="Nota 2 3 5 8 2 2" xfId="34372"/>
    <cellStyle name="Nota 2 3 5 8 2 3" xfId="34373"/>
    <cellStyle name="Nota 2 3 5 8 3" xfId="34374"/>
    <cellStyle name="Nota 2 3 5 8 3 2" xfId="34375"/>
    <cellStyle name="Nota 2 3 5 8 3 3" xfId="34376"/>
    <cellStyle name="Nota 2 3 5 8 4" xfId="34377"/>
    <cellStyle name="Nota 2 3 5 8 5" xfId="34378"/>
    <cellStyle name="Nota 2 3 5 9" xfId="34379"/>
    <cellStyle name="Nota 2 3 5 9 2" xfId="34380"/>
    <cellStyle name="Nota 2 3 5 9 2 2" xfId="34381"/>
    <cellStyle name="Nota 2 3 5 9 2 3" xfId="34382"/>
    <cellStyle name="Nota 2 3 5 9 3" xfId="34383"/>
    <cellStyle name="Nota 2 3 5 9 3 2" xfId="34384"/>
    <cellStyle name="Nota 2 3 5 9 3 3" xfId="34385"/>
    <cellStyle name="Nota 2 3 5 9 4" xfId="34386"/>
    <cellStyle name="Nota 2 3 5 9 5" xfId="34387"/>
    <cellStyle name="Nota 2 3 6" xfId="34388"/>
    <cellStyle name="Nota 2 3 6 10" xfId="34389"/>
    <cellStyle name="Nota 2 3 6 10 2" xfId="34390"/>
    <cellStyle name="Nota 2 3 6 10 2 2" xfId="34391"/>
    <cellStyle name="Nota 2 3 6 10 2 3" xfId="34392"/>
    <cellStyle name="Nota 2 3 6 10 3" xfId="34393"/>
    <cellStyle name="Nota 2 3 6 10 3 2" xfId="34394"/>
    <cellStyle name="Nota 2 3 6 10 3 3" xfId="34395"/>
    <cellStyle name="Nota 2 3 6 10 4" xfId="34396"/>
    <cellStyle name="Nota 2 3 6 10 5" xfId="34397"/>
    <cellStyle name="Nota 2 3 6 11" xfId="34398"/>
    <cellStyle name="Nota 2 3 6 11 2" xfId="34399"/>
    <cellStyle name="Nota 2 3 6 11 2 2" xfId="34400"/>
    <cellStyle name="Nota 2 3 6 11 2 3" xfId="34401"/>
    <cellStyle name="Nota 2 3 6 11 3" xfId="34402"/>
    <cellStyle name="Nota 2 3 6 11 3 2" xfId="34403"/>
    <cellStyle name="Nota 2 3 6 11 3 3" xfId="34404"/>
    <cellStyle name="Nota 2 3 6 11 4" xfId="34405"/>
    <cellStyle name="Nota 2 3 6 11 5" xfId="34406"/>
    <cellStyle name="Nota 2 3 6 12" xfId="34407"/>
    <cellStyle name="Nota 2 3 6 12 2" xfId="34408"/>
    <cellStyle name="Nota 2 3 6 12 2 2" xfId="34409"/>
    <cellStyle name="Nota 2 3 6 12 2 3" xfId="34410"/>
    <cellStyle name="Nota 2 3 6 12 3" xfId="34411"/>
    <cellStyle name="Nota 2 3 6 12 3 2" xfId="34412"/>
    <cellStyle name="Nota 2 3 6 12 3 3" xfId="34413"/>
    <cellStyle name="Nota 2 3 6 12 4" xfId="34414"/>
    <cellStyle name="Nota 2 3 6 12 5" xfId="34415"/>
    <cellStyle name="Nota 2 3 6 13" xfId="34416"/>
    <cellStyle name="Nota 2 3 6 13 2" xfId="34417"/>
    <cellStyle name="Nota 2 3 6 13 2 2" xfId="34418"/>
    <cellStyle name="Nota 2 3 6 13 2 3" xfId="34419"/>
    <cellStyle name="Nota 2 3 6 13 3" xfId="34420"/>
    <cellStyle name="Nota 2 3 6 13 3 2" xfId="34421"/>
    <cellStyle name="Nota 2 3 6 13 3 3" xfId="34422"/>
    <cellStyle name="Nota 2 3 6 13 4" xfId="34423"/>
    <cellStyle name="Nota 2 3 6 13 5" xfId="34424"/>
    <cellStyle name="Nota 2 3 6 14" xfId="34425"/>
    <cellStyle name="Nota 2 3 6 14 2" xfId="34426"/>
    <cellStyle name="Nota 2 3 6 14 2 2" xfId="34427"/>
    <cellStyle name="Nota 2 3 6 14 2 3" xfId="34428"/>
    <cellStyle name="Nota 2 3 6 14 3" xfId="34429"/>
    <cellStyle name="Nota 2 3 6 14 3 2" xfId="34430"/>
    <cellStyle name="Nota 2 3 6 14 3 3" xfId="34431"/>
    <cellStyle name="Nota 2 3 6 14 4" xfId="34432"/>
    <cellStyle name="Nota 2 3 6 14 5" xfId="34433"/>
    <cellStyle name="Nota 2 3 6 15" xfId="34434"/>
    <cellStyle name="Nota 2 3 6 15 2" xfId="34435"/>
    <cellStyle name="Nota 2 3 6 15 2 2" xfId="34436"/>
    <cellStyle name="Nota 2 3 6 15 2 3" xfId="34437"/>
    <cellStyle name="Nota 2 3 6 15 3" xfId="34438"/>
    <cellStyle name="Nota 2 3 6 15 3 2" xfId="34439"/>
    <cellStyle name="Nota 2 3 6 15 3 3" xfId="34440"/>
    <cellStyle name="Nota 2 3 6 15 4" xfId="34441"/>
    <cellStyle name="Nota 2 3 6 15 5" xfId="34442"/>
    <cellStyle name="Nota 2 3 6 16" xfId="34443"/>
    <cellStyle name="Nota 2 3 6 16 2" xfId="34444"/>
    <cellStyle name="Nota 2 3 6 16 2 2" xfId="34445"/>
    <cellStyle name="Nota 2 3 6 16 2 3" xfId="34446"/>
    <cellStyle name="Nota 2 3 6 16 3" xfId="34447"/>
    <cellStyle name="Nota 2 3 6 16 3 2" xfId="34448"/>
    <cellStyle name="Nota 2 3 6 16 3 3" xfId="34449"/>
    <cellStyle name="Nota 2 3 6 16 4" xfId="34450"/>
    <cellStyle name="Nota 2 3 6 16 5" xfId="34451"/>
    <cellStyle name="Nota 2 3 6 17" xfId="34452"/>
    <cellStyle name="Nota 2 3 6 17 2" xfId="34453"/>
    <cellStyle name="Nota 2 3 6 17 2 2" xfId="34454"/>
    <cellStyle name="Nota 2 3 6 17 2 3" xfId="34455"/>
    <cellStyle name="Nota 2 3 6 17 3" xfId="34456"/>
    <cellStyle name="Nota 2 3 6 17 3 2" xfId="34457"/>
    <cellStyle name="Nota 2 3 6 17 3 3" xfId="34458"/>
    <cellStyle name="Nota 2 3 6 17 4" xfId="34459"/>
    <cellStyle name="Nota 2 3 6 17 5" xfId="34460"/>
    <cellStyle name="Nota 2 3 6 18" xfId="34461"/>
    <cellStyle name="Nota 2 3 6 18 2" xfId="34462"/>
    <cellStyle name="Nota 2 3 6 18 2 2" xfId="34463"/>
    <cellStyle name="Nota 2 3 6 18 2 3" xfId="34464"/>
    <cellStyle name="Nota 2 3 6 18 3" xfId="34465"/>
    <cellStyle name="Nota 2 3 6 18 3 2" xfId="34466"/>
    <cellStyle name="Nota 2 3 6 18 3 3" xfId="34467"/>
    <cellStyle name="Nota 2 3 6 18 4" xfId="34468"/>
    <cellStyle name="Nota 2 3 6 18 5" xfId="34469"/>
    <cellStyle name="Nota 2 3 6 19" xfId="34470"/>
    <cellStyle name="Nota 2 3 6 19 2" xfId="34471"/>
    <cellStyle name="Nota 2 3 6 19 2 2" xfId="34472"/>
    <cellStyle name="Nota 2 3 6 19 2 3" xfId="34473"/>
    <cellStyle name="Nota 2 3 6 19 3" xfId="34474"/>
    <cellStyle name="Nota 2 3 6 19 3 2" xfId="34475"/>
    <cellStyle name="Nota 2 3 6 19 3 3" xfId="34476"/>
    <cellStyle name="Nota 2 3 6 19 4" xfId="34477"/>
    <cellStyle name="Nota 2 3 6 19 5" xfId="34478"/>
    <cellStyle name="Nota 2 3 6 2" xfId="34479"/>
    <cellStyle name="Nota 2 3 6 2 2" xfId="34480"/>
    <cellStyle name="Nota 2 3 6 2 2 2" xfId="34481"/>
    <cellStyle name="Nota 2 3 6 2 2 3" xfId="34482"/>
    <cellStyle name="Nota 2 3 6 2 3" xfId="34483"/>
    <cellStyle name="Nota 2 3 6 2 3 2" xfId="34484"/>
    <cellStyle name="Nota 2 3 6 2 3 3" xfId="34485"/>
    <cellStyle name="Nota 2 3 6 2 4" xfId="34486"/>
    <cellStyle name="Nota 2 3 6 2 5" xfId="34487"/>
    <cellStyle name="Nota 2 3 6 20" xfId="34488"/>
    <cellStyle name="Nota 2 3 6 20 2" xfId="34489"/>
    <cellStyle name="Nota 2 3 6 20 2 2" xfId="34490"/>
    <cellStyle name="Nota 2 3 6 20 2 3" xfId="34491"/>
    <cellStyle name="Nota 2 3 6 20 3" xfId="34492"/>
    <cellStyle name="Nota 2 3 6 20 3 2" xfId="34493"/>
    <cellStyle name="Nota 2 3 6 20 3 3" xfId="34494"/>
    <cellStyle name="Nota 2 3 6 20 4" xfId="34495"/>
    <cellStyle name="Nota 2 3 6 20 5" xfId="34496"/>
    <cellStyle name="Nota 2 3 6 21" xfId="34497"/>
    <cellStyle name="Nota 2 3 6 21 2" xfId="34498"/>
    <cellStyle name="Nota 2 3 6 21 2 2" xfId="34499"/>
    <cellStyle name="Nota 2 3 6 21 2 3" xfId="34500"/>
    <cellStyle name="Nota 2 3 6 21 3" xfId="34501"/>
    <cellStyle name="Nota 2 3 6 21 3 2" xfId="34502"/>
    <cellStyle name="Nota 2 3 6 21 3 3" xfId="34503"/>
    <cellStyle name="Nota 2 3 6 21 4" xfId="34504"/>
    <cellStyle name="Nota 2 3 6 21 5" xfId="34505"/>
    <cellStyle name="Nota 2 3 6 22" xfId="34506"/>
    <cellStyle name="Nota 2 3 6 22 2" xfId="34507"/>
    <cellStyle name="Nota 2 3 6 22 2 2" xfId="34508"/>
    <cellStyle name="Nota 2 3 6 22 2 3" xfId="34509"/>
    <cellStyle name="Nota 2 3 6 22 3" xfId="34510"/>
    <cellStyle name="Nota 2 3 6 22 3 2" xfId="34511"/>
    <cellStyle name="Nota 2 3 6 22 3 3" xfId="34512"/>
    <cellStyle name="Nota 2 3 6 22 4" xfId="34513"/>
    <cellStyle name="Nota 2 3 6 22 5" xfId="34514"/>
    <cellStyle name="Nota 2 3 6 23" xfId="34515"/>
    <cellStyle name="Nota 2 3 6 23 2" xfId="34516"/>
    <cellStyle name="Nota 2 3 6 23 2 2" xfId="34517"/>
    <cellStyle name="Nota 2 3 6 23 2 3" xfId="34518"/>
    <cellStyle name="Nota 2 3 6 23 3" xfId="34519"/>
    <cellStyle name="Nota 2 3 6 23 3 2" xfId="34520"/>
    <cellStyle name="Nota 2 3 6 23 3 3" xfId="34521"/>
    <cellStyle name="Nota 2 3 6 23 4" xfId="34522"/>
    <cellStyle name="Nota 2 3 6 23 5" xfId="34523"/>
    <cellStyle name="Nota 2 3 6 24" xfId="34524"/>
    <cellStyle name="Nota 2 3 6 24 2" xfId="34525"/>
    <cellStyle name="Nota 2 3 6 24 2 2" xfId="34526"/>
    <cellStyle name="Nota 2 3 6 24 2 3" xfId="34527"/>
    <cellStyle name="Nota 2 3 6 24 3" xfId="34528"/>
    <cellStyle name="Nota 2 3 6 24 3 2" xfId="34529"/>
    <cellStyle name="Nota 2 3 6 24 3 3" xfId="34530"/>
    <cellStyle name="Nota 2 3 6 24 4" xfId="34531"/>
    <cellStyle name="Nota 2 3 6 24 5" xfId="34532"/>
    <cellStyle name="Nota 2 3 6 25" xfId="34533"/>
    <cellStyle name="Nota 2 3 6 25 2" xfId="34534"/>
    <cellStyle name="Nota 2 3 6 25 2 2" xfId="34535"/>
    <cellStyle name="Nota 2 3 6 25 2 3" xfId="34536"/>
    <cellStyle name="Nota 2 3 6 25 3" xfId="34537"/>
    <cellStyle name="Nota 2 3 6 25 3 2" xfId="34538"/>
    <cellStyle name="Nota 2 3 6 25 3 3" xfId="34539"/>
    <cellStyle name="Nota 2 3 6 25 4" xfId="34540"/>
    <cellStyle name="Nota 2 3 6 25 5" xfId="34541"/>
    <cellStyle name="Nota 2 3 6 26" xfId="34542"/>
    <cellStyle name="Nota 2 3 6 26 2" xfId="34543"/>
    <cellStyle name="Nota 2 3 6 26 2 2" xfId="34544"/>
    <cellStyle name="Nota 2 3 6 26 2 3" xfId="34545"/>
    <cellStyle name="Nota 2 3 6 26 3" xfId="34546"/>
    <cellStyle name="Nota 2 3 6 26 3 2" xfId="34547"/>
    <cellStyle name="Nota 2 3 6 26 3 3" xfId="34548"/>
    <cellStyle name="Nota 2 3 6 26 4" xfId="34549"/>
    <cellStyle name="Nota 2 3 6 26 5" xfId="34550"/>
    <cellStyle name="Nota 2 3 6 27" xfId="34551"/>
    <cellStyle name="Nota 2 3 6 27 2" xfId="34552"/>
    <cellStyle name="Nota 2 3 6 27 2 2" xfId="34553"/>
    <cellStyle name="Nota 2 3 6 27 2 3" xfId="34554"/>
    <cellStyle name="Nota 2 3 6 27 3" xfId="34555"/>
    <cellStyle name="Nota 2 3 6 27 3 2" xfId="34556"/>
    <cellStyle name="Nota 2 3 6 27 3 3" xfId="34557"/>
    <cellStyle name="Nota 2 3 6 27 4" xfId="34558"/>
    <cellStyle name="Nota 2 3 6 27 5" xfId="34559"/>
    <cellStyle name="Nota 2 3 6 28" xfId="34560"/>
    <cellStyle name="Nota 2 3 6 28 2" xfId="34561"/>
    <cellStyle name="Nota 2 3 6 28 2 2" xfId="34562"/>
    <cellStyle name="Nota 2 3 6 28 2 3" xfId="34563"/>
    <cellStyle name="Nota 2 3 6 28 3" xfId="34564"/>
    <cellStyle name="Nota 2 3 6 28 3 2" xfId="34565"/>
    <cellStyle name="Nota 2 3 6 28 3 3" xfId="34566"/>
    <cellStyle name="Nota 2 3 6 28 4" xfId="34567"/>
    <cellStyle name="Nota 2 3 6 28 5" xfId="34568"/>
    <cellStyle name="Nota 2 3 6 29" xfId="34569"/>
    <cellStyle name="Nota 2 3 6 29 2" xfId="34570"/>
    <cellStyle name="Nota 2 3 6 29 2 2" xfId="34571"/>
    <cellStyle name="Nota 2 3 6 29 2 3" xfId="34572"/>
    <cellStyle name="Nota 2 3 6 29 3" xfId="34573"/>
    <cellStyle name="Nota 2 3 6 29 3 2" xfId="34574"/>
    <cellStyle name="Nota 2 3 6 29 3 3" xfId="34575"/>
    <cellStyle name="Nota 2 3 6 29 4" xfId="34576"/>
    <cellStyle name="Nota 2 3 6 29 5" xfId="34577"/>
    <cellStyle name="Nota 2 3 6 3" xfId="34578"/>
    <cellStyle name="Nota 2 3 6 3 2" xfId="34579"/>
    <cellStyle name="Nota 2 3 6 3 2 2" xfId="34580"/>
    <cellStyle name="Nota 2 3 6 3 2 3" xfId="34581"/>
    <cellStyle name="Nota 2 3 6 3 3" xfId="34582"/>
    <cellStyle name="Nota 2 3 6 3 3 2" xfId="34583"/>
    <cellStyle name="Nota 2 3 6 3 3 3" xfId="34584"/>
    <cellStyle name="Nota 2 3 6 3 4" xfId="34585"/>
    <cellStyle name="Nota 2 3 6 3 5" xfId="34586"/>
    <cellStyle name="Nota 2 3 6 30" xfId="34587"/>
    <cellStyle name="Nota 2 3 6 30 2" xfId="34588"/>
    <cellStyle name="Nota 2 3 6 30 2 2" xfId="34589"/>
    <cellStyle name="Nota 2 3 6 30 2 3" xfId="34590"/>
    <cellStyle name="Nota 2 3 6 30 3" xfId="34591"/>
    <cellStyle name="Nota 2 3 6 30 3 2" xfId="34592"/>
    <cellStyle name="Nota 2 3 6 30 3 3" xfId="34593"/>
    <cellStyle name="Nota 2 3 6 30 4" xfId="34594"/>
    <cellStyle name="Nota 2 3 6 30 5" xfId="34595"/>
    <cellStyle name="Nota 2 3 6 31" xfId="34596"/>
    <cellStyle name="Nota 2 3 6 31 2" xfId="34597"/>
    <cellStyle name="Nota 2 3 6 31 2 2" xfId="34598"/>
    <cellStyle name="Nota 2 3 6 31 2 3" xfId="34599"/>
    <cellStyle name="Nota 2 3 6 31 3" xfId="34600"/>
    <cellStyle name="Nota 2 3 6 31 3 2" xfId="34601"/>
    <cellStyle name="Nota 2 3 6 31 3 3" xfId="34602"/>
    <cellStyle name="Nota 2 3 6 31 4" xfId="34603"/>
    <cellStyle name="Nota 2 3 6 31 5" xfId="34604"/>
    <cellStyle name="Nota 2 3 6 32" xfId="34605"/>
    <cellStyle name="Nota 2 3 6 32 2" xfId="34606"/>
    <cellStyle name="Nota 2 3 6 32 2 2" xfId="34607"/>
    <cellStyle name="Nota 2 3 6 32 2 3" xfId="34608"/>
    <cellStyle name="Nota 2 3 6 32 3" xfId="34609"/>
    <cellStyle name="Nota 2 3 6 32 3 2" xfId="34610"/>
    <cellStyle name="Nota 2 3 6 32 3 3" xfId="34611"/>
    <cellStyle name="Nota 2 3 6 32 4" xfId="34612"/>
    <cellStyle name="Nota 2 3 6 32 5" xfId="34613"/>
    <cellStyle name="Nota 2 3 6 33" xfId="34614"/>
    <cellStyle name="Nota 2 3 6 33 2" xfId="34615"/>
    <cellStyle name="Nota 2 3 6 33 2 2" xfId="34616"/>
    <cellStyle name="Nota 2 3 6 33 2 3" xfId="34617"/>
    <cellStyle name="Nota 2 3 6 33 3" xfId="34618"/>
    <cellStyle name="Nota 2 3 6 33 3 2" xfId="34619"/>
    <cellStyle name="Nota 2 3 6 33 3 3" xfId="34620"/>
    <cellStyle name="Nota 2 3 6 33 4" xfId="34621"/>
    <cellStyle name="Nota 2 3 6 33 5" xfId="34622"/>
    <cellStyle name="Nota 2 3 6 34" xfId="34623"/>
    <cellStyle name="Nota 2 3 6 34 2" xfId="34624"/>
    <cellStyle name="Nota 2 3 6 34 2 2" xfId="34625"/>
    <cellStyle name="Nota 2 3 6 34 2 3" xfId="34626"/>
    <cellStyle name="Nota 2 3 6 34 3" xfId="34627"/>
    <cellStyle name="Nota 2 3 6 34 3 2" xfId="34628"/>
    <cellStyle name="Nota 2 3 6 34 3 3" xfId="34629"/>
    <cellStyle name="Nota 2 3 6 34 4" xfId="34630"/>
    <cellStyle name="Nota 2 3 6 34 5" xfId="34631"/>
    <cellStyle name="Nota 2 3 6 35" xfId="34632"/>
    <cellStyle name="Nota 2 3 6 35 2" xfId="34633"/>
    <cellStyle name="Nota 2 3 6 35 2 2" xfId="34634"/>
    <cellStyle name="Nota 2 3 6 35 2 3" xfId="34635"/>
    <cellStyle name="Nota 2 3 6 35 3" xfId="34636"/>
    <cellStyle name="Nota 2 3 6 35 3 2" xfId="34637"/>
    <cellStyle name="Nota 2 3 6 35 3 3" xfId="34638"/>
    <cellStyle name="Nota 2 3 6 35 4" xfId="34639"/>
    <cellStyle name="Nota 2 3 6 35 5" xfId="34640"/>
    <cellStyle name="Nota 2 3 6 36" xfId="34641"/>
    <cellStyle name="Nota 2 3 6 36 2" xfId="34642"/>
    <cellStyle name="Nota 2 3 6 36 2 2" xfId="34643"/>
    <cellStyle name="Nota 2 3 6 36 2 3" xfId="34644"/>
    <cellStyle name="Nota 2 3 6 36 3" xfId="34645"/>
    <cellStyle name="Nota 2 3 6 36 3 2" xfId="34646"/>
    <cellStyle name="Nota 2 3 6 36 3 3" xfId="34647"/>
    <cellStyle name="Nota 2 3 6 36 4" xfId="34648"/>
    <cellStyle name="Nota 2 3 6 36 5" xfId="34649"/>
    <cellStyle name="Nota 2 3 6 37" xfId="34650"/>
    <cellStyle name="Nota 2 3 6 37 2" xfId="34651"/>
    <cellStyle name="Nota 2 3 6 37 2 2" xfId="34652"/>
    <cellStyle name="Nota 2 3 6 37 2 3" xfId="34653"/>
    <cellStyle name="Nota 2 3 6 37 3" xfId="34654"/>
    <cellStyle name="Nota 2 3 6 37 3 2" xfId="34655"/>
    <cellStyle name="Nota 2 3 6 37 3 3" xfId="34656"/>
    <cellStyle name="Nota 2 3 6 37 4" xfId="34657"/>
    <cellStyle name="Nota 2 3 6 37 5" xfId="34658"/>
    <cellStyle name="Nota 2 3 6 38" xfId="34659"/>
    <cellStyle name="Nota 2 3 6 38 2" xfId="34660"/>
    <cellStyle name="Nota 2 3 6 38 2 2" xfId="34661"/>
    <cellStyle name="Nota 2 3 6 38 2 3" xfId="34662"/>
    <cellStyle name="Nota 2 3 6 38 3" xfId="34663"/>
    <cellStyle name="Nota 2 3 6 38 3 2" xfId="34664"/>
    <cellStyle name="Nota 2 3 6 38 3 3" xfId="34665"/>
    <cellStyle name="Nota 2 3 6 38 4" xfId="34666"/>
    <cellStyle name="Nota 2 3 6 38 5" xfId="34667"/>
    <cellStyle name="Nota 2 3 6 39" xfId="34668"/>
    <cellStyle name="Nota 2 3 6 39 2" xfId="34669"/>
    <cellStyle name="Nota 2 3 6 39 2 2" xfId="34670"/>
    <cellStyle name="Nota 2 3 6 39 2 3" xfId="34671"/>
    <cellStyle name="Nota 2 3 6 39 3" xfId="34672"/>
    <cellStyle name="Nota 2 3 6 39 3 2" xfId="34673"/>
    <cellStyle name="Nota 2 3 6 39 3 3" xfId="34674"/>
    <cellStyle name="Nota 2 3 6 39 4" xfId="34675"/>
    <cellStyle name="Nota 2 3 6 39 5" xfId="34676"/>
    <cellStyle name="Nota 2 3 6 4" xfId="34677"/>
    <cellStyle name="Nota 2 3 6 4 2" xfId="34678"/>
    <cellStyle name="Nota 2 3 6 4 2 2" xfId="34679"/>
    <cellStyle name="Nota 2 3 6 4 2 3" xfId="34680"/>
    <cellStyle name="Nota 2 3 6 4 3" xfId="34681"/>
    <cellStyle name="Nota 2 3 6 4 3 2" xfId="34682"/>
    <cellStyle name="Nota 2 3 6 4 3 3" xfId="34683"/>
    <cellStyle name="Nota 2 3 6 4 4" xfId="34684"/>
    <cellStyle name="Nota 2 3 6 4 5" xfId="34685"/>
    <cellStyle name="Nota 2 3 6 40" xfId="34686"/>
    <cellStyle name="Nota 2 3 6 40 2" xfId="34687"/>
    <cellStyle name="Nota 2 3 6 40 2 2" xfId="34688"/>
    <cellStyle name="Nota 2 3 6 40 2 3" xfId="34689"/>
    <cellStyle name="Nota 2 3 6 40 3" xfId="34690"/>
    <cellStyle name="Nota 2 3 6 40 4" xfId="34691"/>
    <cellStyle name="Nota 2 3 6 41" xfId="34692"/>
    <cellStyle name="Nota 2 3 6 41 2" xfId="34693"/>
    <cellStyle name="Nota 2 3 6 41 3" xfId="34694"/>
    <cellStyle name="Nota 2 3 6 42" xfId="34695"/>
    <cellStyle name="Nota 2 3 6 43" xfId="34696"/>
    <cellStyle name="Nota 2 3 6 5" xfId="34697"/>
    <cellStyle name="Nota 2 3 6 5 2" xfId="34698"/>
    <cellStyle name="Nota 2 3 6 5 2 2" xfId="34699"/>
    <cellStyle name="Nota 2 3 6 5 2 3" xfId="34700"/>
    <cellStyle name="Nota 2 3 6 5 3" xfId="34701"/>
    <cellStyle name="Nota 2 3 6 5 3 2" xfId="34702"/>
    <cellStyle name="Nota 2 3 6 5 3 3" xfId="34703"/>
    <cellStyle name="Nota 2 3 6 5 4" xfId="34704"/>
    <cellStyle name="Nota 2 3 6 5 5" xfId="34705"/>
    <cellStyle name="Nota 2 3 6 6" xfId="34706"/>
    <cellStyle name="Nota 2 3 6 6 2" xfId="34707"/>
    <cellStyle name="Nota 2 3 6 6 2 2" xfId="34708"/>
    <cellStyle name="Nota 2 3 6 6 2 3" xfId="34709"/>
    <cellStyle name="Nota 2 3 6 6 3" xfId="34710"/>
    <cellStyle name="Nota 2 3 6 6 3 2" xfId="34711"/>
    <cellStyle name="Nota 2 3 6 6 3 3" xfId="34712"/>
    <cellStyle name="Nota 2 3 6 6 4" xfId="34713"/>
    <cellStyle name="Nota 2 3 6 6 5" xfId="34714"/>
    <cellStyle name="Nota 2 3 6 7" xfId="34715"/>
    <cellStyle name="Nota 2 3 6 7 2" xfId="34716"/>
    <cellStyle name="Nota 2 3 6 7 2 2" xfId="34717"/>
    <cellStyle name="Nota 2 3 6 7 2 3" xfId="34718"/>
    <cellStyle name="Nota 2 3 6 7 3" xfId="34719"/>
    <cellStyle name="Nota 2 3 6 7 3 2" xfId="34720"/>
    <cellStyle name="Nota 2 3 6 7 3 3" xfId="34721"/>
    <cellStyle name="Nota 2 3 6 7 4" xfId="34722"/>
    <cellStyle name="Nota 2 3 6 7 5" xfId="34723"/>
    <cellStyle name="Nota 2 3 6 8" xfId="34724"/>
    <cellStyle name="Nota 2 3 6 8 2" xfId="34725"/>
    <cellStyle name="Nota 2 3 6 8 2 2" xfId="34726"/>
    <cellStyle name="Nota 2 3 6 8 2 3" xfId="34727"/>
    <cellStyle name="Nota 2 3 6 8 3" xfId="34728"/>
    <cellStyle name="Nota 2 3 6 8 3 2" xfId="34729"/>
    <cellStyle name="Nota 2 3 6 8 3 3" xfId="34730"/>
    <cellStyle name="Nota 2 3 6 8 4" xfId="34731"/>
    <cellStyle name="Nota 2 3 6 8 5" xfId="34732"/>
    <cellStyle name="Nota 2 3 6 9" xfId="34733"/>
    <cellStyle name="Nota 2 3 6 9 2" xfId="34734"/>
    <cellStyle name="Nota 2 3 6 9 2 2" xfId="34735"/>
    <cellStyle name="Nota 2 3 6 9 2 3" xfId="34736"/>
    <cellStyle name="Nota 2 3 6 9 3" xfId="34737"/>
    <cellStyle name="Nota 2 3 6 9 3 2" xfId="34738"/>
    <cellStyle name="Nota 2 3 6 9 3 3" xfId="34739"/>
    <cellStyle name="Nota 2 3 6 9 4" xfId="34740"/>
    <cellStyle name="Nota 2 3 6 9 5" xfId="34741"/>
    <cellStyle name="Nota 2 3 7" xfId="34742"/>
    <cellStyle name="Nota 2 3 7 2" xfId="34743"/>
    <cellStyle name="Nota 2 3 7 2 2" xfId="34744"/>
    <cellStyle name="Nota 2 3 7 2 3" xfId="34745"/>
    <cellStyle name="Nota 2 3 7 3" xfId="34746"/>
    <cellStyle name="Nota 2 3 7 3 2" xfId="34747"/>
    <cellStyle name="Nota 2 3 7 3 3" xfId="34748"/>
    <cellStyle name="Nota 2 3 7 4" xfId="34749"/>
    <cellStyle name="Nota 2 3 7 5" xfId="34750"/>
    <cellStyle name="Nota 2 3 8" xfId="34751"/>
    <cellStyle name="Nota 2 3 8 2" xfId="34752"/>
    <cellStyle name="Nota 2 3 8 2 2" xfId="34753"/>
    <cellStyle name="Nota 2 3 8 2 3" xfId="34754"/>
    <cellStyle name="Nota 2 3 8 3" xfId="34755"/>
    <cellStyle name="Nota 2 3 8 3 2" xfId="34756"/>
    <cellStyle name="Nota 2 3 8 3 3" xfId="34757"/>
    <cellStyle name="Nota 2 3 8 4" xfId="34758"/>
    <cellStyle name="Nota 2 3 8 5" xfId="34759"/>
    <cellStyle name="Nota 2 3 9" xfId="34760"/>
    <cellStyle name="Nota 2 3 9 2" xfId="34761"/>
    <cellStyle name="Nota 2 3 9 2 2" xfId="34762"/>
    <cellStyle name="Nota 2 3 9 2 3" xfId="34763"/>
    <cellStyle name="Nota 2 3 9 3" xfId="34764"/>
    <cellStyle name="Nota 2 3 9 3 2" xfId="34765"/>
    <cellStyle name="Nota 2 3 9 3 3" xfId="34766"/>
    <cellStyle name="Nota 2 3 9 4" xfId="34767"/>
    <cellStyle name="Nota 2 3 9 5" xfId="34768"/>
    <cellStyle name="Nota 2 30" xfId="34769"/>
    <cellStyle name="Nota 2 30 2" xfId="34770"/>
    <cellStyle name="Nota 2 30 3" xfId="34771"/>
    <cellStyle name="Nota 2 31" xfId="34772"/>
    <cellStyle name="Nota 2 32" xfId="34773"/>
    <cellStyle name="Nota 2 4" xfId="34774"/>
    <cellStyle name="Nota 2 4 10" xfId="34775"/>
    <cellStyle name="Nota 2 4 10 2" xfId="34776"/>
    <cellStyle name="Nota 2 4 10 2 2" xfId="34777"/>
    <cellStyle name="Nota 2 4 10 2 3" xfId="34778"/>
    <cellStyle name="Nota 2 4 10 3" xfId="34779"/>
    <cellStyle name="Nota 2 4 10 3 2" xfId="34780"/>
    <cellStyle name="Nota 2 4 10 3 3" xfId="34781"/>
    <cellStyle name="Nota 2 4 10 4" xfId="34782"/>
    <cellStyle name="Nota 2 4 10 5" xfId="34783"/>
    <cellStyle name="Nota 2 4 11" xfId="34784"/>
    <cellStyle name="Nota 2 4 11 2" xfId="34785"/>
    <cellStyle name="Nota 2 4 11 2 2" xfId="34786"/>
    <cellStyle name="Nota 2 4 11 2 3" xfId="34787"/>
    <cellStyle name="Nota 2 4 11 3" xfId="34788"/>
    <cellStyle name="Nota 2 4 11 3 2" xfId="34789"/>
    <cellStyle name="Nota 2 4 11 3 3" xfId="34790"/>
    <cellStyle name="Nota 2 4 11 4" xfId="34791"/>
    <cellStyle name="Nota 2 4 11 5" xfId="34792"/>
    <cellStyle name="Nota 2 4 12" xfId="34793"/>
    <cellStyle name="Nota 2 4 12 2" xfId="34794"/>
    <cellStyle name="Nota 2 4 12 2 2" xfId="34795"/>
    <cellStyle name="Nota 2 4 12 2 3" xfId="34796"/>
    <cellStyle name="Nota 2 4 12 3" xfId="34797"/>
    <cellStyle name="Nota 2 4 12 3 2" xfId="34798"/>
    <cellStyle name="Nota 2 4 12 3 3" xfId="34799"/>
    <cellStyle name="Nota 2 4 12 4" xfId="34800"/>
    <cellStyle name="Nota 2 4 12 5" xfId="34801"/>
    <cellStyle name="Nota 2 4 13" xfId="34802"/>
    <cellStyle name="Nota 2 4 13 2" xfId="34803"/>
    <cellStyle name="Nota 2 4 13 2 2" xfId="34804"/>
    <cellStyle name="Nota 2 4 13 2 3" xfId="34805"/>
    <cellStyle name="Nota 2 4 13 3" xfId="34806"/>
    <cellStyle name="Nota 2 4 13 3 2" xfId="34807"/>
    <cellStyle name="Nota 2 4 13 3 3" xfId="34808"/>
    <cellStyle name="Nota 2 4 13 4" xfId="34809"/>
    <cellStyle name="Nota 2 4 13 5" xfId="34810"/>
    <cellStyle name="Nota 2 4 14" xfId="34811"/>
    <cellStyle name="Nota 2 4 14 2" xfId="34812"/>
    <cellStyle name="Nota 2 4 14 2 2" xfId="34813"/>
    <cellStyle name="Nota 2 4 14 2 3" xfId="34814"/>
    <cellStyle name="Nota 2 4 14 3" xfId="34815"/>
    <cellStyle name="Nota 2 4 14 3 2" xfId="34816"/>
    <cellStyle name="Nota 2 4 14 3 3" xfId="34817"/>
    <cellStyle name="Nota 2 4 14 4" xfId="34818"/>
    <cellStyle name="Nota 2 4 14 5" xfId="34819"/>
    <cellStyle name="Nota 2 4 15" xfId="34820"/>
    <cellStyle name="Nota 2 4 15 2" xfId="34821"/>
    <cellStyle name="Nota 2 4 15 2 2" xfId="34822"/>
    <cellStyle name="Nota 2 4 15 2 3" xfId="34823"/>
    <cellStyle name="Nota 2 4 15 3" xfId="34824"/>
    <cellStyle name="Nota 2 4 15 3 2" xfId="34825"/>
    <cellStyle name="Nota 2 4 15 3 3" xfId="34826"/>
    <cellStyle name="Nota 2 4 15 4" xfId="34827"/>
    <cellStyle name="Nota 2 4 15 5" xfId="34828"/>
    <cellStyle name="Nota 2 4 16" xfId="34829"/>
    <cellStyle name="Nota 2 4 16 2" xfId="34830"/>
    <cellStyle name="Nota 2 4 16 2 2" xfId="34831"/>
    <cellStyle name="Nota 2 4 16 2 3" xfId="34832"/>
    <cellStyle name="Nota 2 4 16 3" xfId="34833"/>
    <cellStyle name="Nota 2 4 16 3 2" xfId="34834"/>
    <cellStyle name="Nota 2 4 16 3 3" xfId="34835"/>
    <cellStyle name="Nota 2 4 16 4" xfId="34836"/>
    <cellStyle name="Nota 2 4 16 5" xfId="34837"/>
    <cellStyle name="Nota 2 4 17" xfId="34838"/>
    <cellStyle name="Nota 2 4 17 2" xfId="34839"/>
    <cellStyle name="Nota 2 4 17 2 2" xfId="34840"/>
    <cellStyle name="Nota 2 4 17 2 3" xfId="34841"/>
    <cellStyle name="Nota 2 4 17 3" xfId="34842"/>
    <cellStyle name="Nota 2 4 17 3 2" xfId="34843"/>
    <cellStyle name="Nota 2 4 17 3 3" xfId="34844"/>
    <cellStyle name="Nota 2 4 17 4" xfId="34845"/>
    <cellStyle name="Nota 2 4 17 5" xfId="34846"/>
    <cellStyle name="Nota 2 4 18" xfId="34847"/>
    <cellStyle name="Nota 2 4 18 2" xfId="34848"/>
    <cellStyle name="Nota 2 4 18 2 2" xfId="34849"/>
    <cellStyle name="Nota 2 4 18 2 3" xfId="34850"/>
    <cellStyle name="Nota 2 4 18 3" xfId="34851"/>
    <cellStyle name="Nota 2 4 18 3 2" xfId="34852"/>
    <cellStyle name="Nota 2 4 18 3 3" xfId="34853"/>
    <cellStyle name="Nota 2 4 18 4" xfId="34854"/>
    <cellStyle name="Nota 2 4 18 5" xfId="34855"/>
    <cellStyle name="Nota 2 4 19" xfId="34856"/>
    <cellStyle name="Nota 2 4 19 2" xfId="34857"/>
    <cellStyle name="Nota 2 4 19 2 2" xfId="34858"/>
    <cellStyle name="Nota 2 4 19 2 3" xfId="34859"/>
    <cellStyle name="Nota 2 4 19 3" xfId="34860"/>
    <cellStyle name="Nota 2 4 19 3 2" xfId="34861"/>
    <cellStyle name="Nota 2 4 19 3 3" xfId="34862"/>
    <cellStyle name="Nota 2 4 19 4" xfId="34863"/>
    <cellStyle name="Nota 2 4 19 5" xfId="34864"/>
    <cellStyle name="Nota 2 4 2" xfId="34865"/>
    <cellStyle name="Nota 2 4 2 10" xfId="34866"/>
    <cellStyle name="Nota 2 4 2 10 2" xfId="34867"/>
    <cellStyle name="Nota 2 4 2 10 2 2" xfId="34868"/>
    <cellStyle name="Nota 2 4 2 10 2 3" xfId="34869"/>
    <cellStyle name="Nota 2 4 2 10 3" xfId="34870"/>
    <cellStyle name="Nota 2 4 2 10 3 2" xfId="34871"/>
    <cellStyle name="Nota 2 4 2 10 3 3" xfId="34872"/>
    <cellStyle name="Nota 2 4 2 10 4" xfId="34873"/>
    <cellStyle name="Nota 2 4 2 10 5" xfId="34874"/>
    <cellStyle name="Nota 2 4 2 11" xfId="34875"/>
    <cellStyle name="Nota 2 4 2 11 2" xfId="34876"/>
    <cellStyle name="Nota 2 4 2 11 2 2" xfId="34877"/>
    <cellStyle name="Nota 2 4 2 11 2 3" xfId="34878"/>
    <cellStyle name="Nota 2 4 2 11 3" xfId="34879"/>
    <cellStyle name="Nota 2 4 2 11 3 2" xfId="34880"/>
    <cellStyle name="Nota 2 4 2 11 3 3" xfId="34881"/>
    <cellStyle name="Nota 2 4 2 11 4" xfId="34882"/>
    <cellStyle name="Nota 2 4 2 11 5" xfId="34883"/>
    <cellStyle name="Nota 2 4 2 12" xfId="34884"/>
    <cellStyle name="Nota 2 4 2 12 2" xfId="34885"/>
    <cellStyle name="Nota 2 4 2 12 2 2" xfId="34886"/>
    <cellStyle name="Nota 2 4 2 12 2 3" xfId="34887"/>
    <cellStyle name="Nota 2 4 2 12 3" xfId="34888"/>
    <cellStyle name="Nota 2 4 2 12 3 2" xfId="34889"/>
    <cellStyle name="Nota 2 4 2 12 3 3" xfId="34890"/>
    <cellStyle name="Nota 2 4 2 12 4" xfId="34891"/>
    <cellStyle name="Nota 2 4 2 12 5" xfId="34892"/>
    <cellStyle name="Nota 2 4 2 13" xfId="34893"/>
    <cellStyle name="Nota 2 4 2 13 2" xfId="34894"/>
    <cellStyle name="Nota 2 4 2 13 2 2" xfId="34895"/>
    <cellStyle name="Nota 2 4 2 13 2 3" xfId="34896"/>
    <cellStyle name="Nota 2 4 2 13 3" xfId="34897"/>
    <cellStyle name="Nota 2 4 2 13 3 2" xfId="34898"/>
    <cellStyle name="Nota 2 4 2 13 3 3" xfId="34899"/>
    <cellStyle name="Nota 2 4 2 13 4" xfId="34900"/>
    <cellStyle name="Nota 2 4 2 13 5" xfId="34901"/>
    <cellStyle name="Nota 2 4 2 14" xfId="34902"/>
    <cellStyle name="Nota 2 4 2 14 2" xfId="34903"/>
    <cellStyle name="Nota 2 4 2 14 2 2" xfId="34904"/>
    <cellStyle name="Nota 2 4 2 14 2 3" xfId="34905"/>
    <cellStyle name="Nota 2 4 2 14 3" xfId="34906"/>
    <cellStyle name="Nota 2 4 2 14 3 2" xfId="34907"/>
    <cellStyle name="Nota 2 4 2 14 3 3" xfId="34908"/>
    <cellStyle name="Nota 2 4 2 14 4" xfId="34909"/>
    <cellStyle name="Nota 2 4 2 14 5" xfId="34910"/>
    <cellStyle name="Nota 2 4 2 15" xfId="34911"/>
    <cellStyle name="Nota 2 4 2 15 2" xfId="34912"/>
    <cellStyle name="Nota 2 4 2 15 2 2" xfId="34913"/>
    <cellStyle name="Nota 2 4 2 15 2 3" xfId="34914"/>
    <cellStyle name="Nota 2 4 2 15 3" xfId="34915"/>
    <cellStyle name="Nota 2 4 2 15 3 2" xfId="34916"/>
    <cellStyle name="Nota 2 4 2 15 3 3" xfId="34917"/>
    <cellStyle name="Nota 2 4 2 15 4" xfId="34918"/>
    <cellStyle name="Nota 2 4 2 15 5" xfId="34919"/>
    <cellStyle name="Nota 2 4 2 16" xfId="34920"/>
    <cellStyle name="Nota 2 4 2 16 2" xfId="34921"/>
    <cellStyle name="Nota 2 4 2 16 2 2" xfId="34922"/>
    <cellStyle name="Nota 2 4 2 16 2 3" xfId="34923"/>
    <cellStyle name="Nota 2 4 2 16 3" xfId="34924"/>
    <cellStyle name="Nota 2 4 2 16 3 2" xfId="34925"/>
    <cellStyle name="Nota 2 4 2 16 3 3" xfId="34926"/>
    <cellStyle name="Nota 2 4 2 16 4" xfId="34927"/>
    <cellStyle name="Nota 2 4 2 16 5" xfId="34928"/>
    <cellStyle name="Nota 2 4 2 17" xfId="34929"/>
    <cellStyle name="Nota 2 4 2 17 2" xfId="34930"/>
    <cellStyle name="Nota 2 4 2 17 2 2" xfId="34931"/>
    <cellStyle name="Nota 2 4 2 17 2 3" xfId="34932"/>
    <cellStyle name="Nota 2 4 2 17 3" xfId="34933"/>
    <cellStyle name="Nota 2 4 2 17 3 2" xfId="34934"/>
    <cellStyle name="Nota 2 4 2 17 3 3" xfId="34935"/>
    <cellStyle name="Nota 2 4 2 17 4" xfId="34936"/>
    <cellStyle name="Nota 2 4 2 17 5" xfId="34937"/>
    <cellStyle name="Nota 2 4 2 18" xfId="34938"/>
    <cellStyle name="Nota 2 4 2 18 2" xfId="34939"/>
    <cellStyle name="Nota 2 4 2 18 2 2" xfId="34940"/>
    <cellStyle name="Nota 2 4 2 18 2 3" xfId="34941"/>
    <cellStyle name="Nota 2 4 2 18 3" xfId="34942"/>
    <cellStyle name="Nota 2 4 2 18 3 2" xfId="34943"/>
    <cellStyle name="Nota 2 4 2 18 3 3" xfId="34944"/>
    <cellStyle name="Nota 2 4 2 18 4" xfId="34945"/>
    <cellStyle name="Nota 2 4 2 18 5" xfId="34946"/>
    <cellStyle name="Nota 2 4 2 19" xfId="34947"/>
    <cellStyle name="Nota 2 4 2 19 2" xfId="34948"/>
    <cellStyle name="Nota 2 4 2 19 2 2" xfId="34949"/>
    <cellStyle name="Nota 2 4 2 19 2 3" xfId="34950"/>
    <cellStyle name="Nota 2 4 2 19 3" xfId="34951"/>
    <cellStyle name="Nota 2 4 2 19 3 2" xfId="34952"/>
    <cellStyle name="Nota 2 4 2 19 3 3" xfId="34953"/>
    <cellStyle name="Nota 2 4 2 19 4" xfId="34954"/>
    <cellStyle name="Nota 2 4 2 19 5" xfId="34955"/>
    <cellStyle name="Nota 2 4 2 2" xfId="34956"/>
    <cellStyle name="Nota 2 4 2 2 2" xfId="34957"/>
    <cellStyle name="Nota 2 4 2 2 2 2" xfId="34958"/>
    <cellStyle name="Nota 2 4 2 2 2 3" xfId="34959"/>
    <cellStyle name="Nota 2 4 2 2 3" xfId="34960"/>
    <cellStyle name="Nota 2 4 2 2 3 2" xfId="34961"/>
    <cellStyle name="Nota 2 4 2 2 3 3" xfId="34962"/>
    <cellStyle name="Nota 2 4 2 2 4" xfId="34963"/>
    <cellStyle name="Nota 2 4 2 2 5" xfId="34964"/>
    <cellStyle name="Nota 2 4 2 20" xfId="34965"/>
    <cellStyle name="Nota 2 4 2 20 2" xfId="34966"/>
    <cellStyle name="Nota 2 4 2 20 2 2" xfId="34967"/>
    <cellStyle name="Nota 2 4 2 20 2 3" xfId="34968"/>
    <cellStyle name="Nota 2 4 2 20 3" xfId="34969"/>
    <cellStyle name="Nota 2 4 2 20 3 2" xfId="34970"/>
    <cellStyle name="Nota 2 4 2 20 3 3" xfId="34971"/>
    <cellStyle name="Nota 2 4 2 20 4" xfId="34972"/>
    <cellStyle name="Nota 2 4 2 20 5" xfId="34973"/>
    <cellStyle name="Nota 2 4 2 21" xfId="34974"/>
    <cellStyle name="Nota 2 4 2 21 2" xfId="34975"/>
    <cellStyle name="Nota 2 4 2 21 2 2" xfId="34976"/>
    <cellStyle name="Nota 2 4 2 21 2 3" xfId="34977"/>
    <cellStyle name="Nota 2 4 2 21 3" xfId="34978"/>
    <cellStyle name="Nota 2 4 2 21 3 2" xfId="34979"/>
    <cellStyle name="Nota 2 4 2 21 3 3" xfId="34980"/>
    <cellStyle name="Nota 2 4 2 21 4" xfId="34981"/>
    <cellStyle name="Nota 2 4 2 21 5" xfId="34982"/>
    <cellStyle name="Nota 2 4 2 22" xfId="34983"/>
    <cellStyle name="Nota 2 4 2 22 2" xfId="34984"/>
    <cellStyle name="Nota 2 4 2 22 2 2" xfId="34985"/>
    <cellStyle name="Nota 2 4 2 22 2 3" xfId="34986"/>
    <cellStyle name="Nota 2 4 2 22 3" xfId="34987"/>
    <cellStyle name="Nota 2 4 2 22 3 2" xfId="34988"/>
    <cellStyle name="Nota 2 4 2 22 3 3" xfId="34989"/>
    <cellStyle name="Nota 2 4 2 22 4" xfId="34990"/>
    <cellStyle name="Nota 2 4 2 22 5" xfId="34991"/>
    <cellStyle name="Nota 2 4 2 23" xfId="34992"/>
    <cellStyle name="Nota 2 4 2 23 2" xfId="34993"/>
    <cellStyle name="Nota 2 4 2 23 2 2" xfId="34994"/>
    <cellStyle name="Nota 2 4 2 23 2 3" xfId="34995"/>
    <cellStyle name="Nota 2 4 2 23 3" xfId="34996"/>
    <cellStyle name="Nota 2 4 2 23 3 2" xfId="34997"/>
    <cellStyle name="Nota 2 4 2 23 3 3" xfId="34998"/>
    <cellStyle name="Nota 2 4 2 23 4" xfId="34999"/>
    <cellStyle name="Nota 2 4 2 23 5" xfId="35000"/>
    <cellStyle name="Nota 2 4 2 24" xfId="35001"/>
    <cellStyle name="Nota 2 4 2 24 2" xfId="35002"/>
    <cellStyle name="Nota 2 4 2 24 2 2" xfId="35003"/>
    <cellStyle name="Nota 2 4 2 24 2 3" xfId="35004"/>
    <cellStyle name="Nota 2 4 2 24 3" xfId="35005"/>
    <cellStyle name="Nota 2 4 2 24 3 2" xfId="35006"/>
    <cellStyle name="Nota 2 4 2 24 3 3" xfId="35007"/>
    <cellStyle name="Nota 2 4 2 24 4" xfId="35008"/>
    <cellStyle name="Nota 2 4 2 24 5" xfId="35009"/>
    <cellStyle name="Nota 2 4 2 25" xfId="35010"/>
    <cellStyle name="Nota 2 4 2 25 2" xfId="35011"/>
    <cellStyle name="Nota 2 4 2 25 2 2" xfId="35012"/>
    <cellStyle name="Nota 2 4 2 25 2 3" xfId="35013"/>
    <cellStyle name="Nota 2 4 2 25 3" xfId="35014"/>
    <cellStyle name="Nota 2 4 2 25 3 2" xfId="35015"/>
    <cellStyle name="Nota 2 4 2 25 3 3" xfId="35016"/>
    <cellStyle name="Nota 2 4 2 25 4" xfId="35017"/>
    <cellStyle name="Nota 2 4 2 25 5" xfId="35018"/>
    <cellStyle name="Nota 2 4 2 26" xfId="35019"/>
    <cellStyle name="Nota 2 4 2 26 2" xfId="35020"/>
    <cellStyle name="Nota 2 4 2 26 2 2" xfId="35021"/>
    <cellStyle name="Nota 2 4 2 26 2 3" xfId="35022"/>
    <cellStyle name="Nota 2 4 2 26 3" xfId="35023"/>
    <cellStyle name="Nota 2 4 2 26 3 2" xfId="35024"/>
    <cellStyle name="Nota 2 4 2 26 3 3" xfId="35025"/>
    <cellStyle name="Nota 2 4 2 26 4" xfId="35026"/>
    <cellStyle name="Nota 2 4 2 26 5" xfId="35027"/>
    <cellStyle name="Nota 2 4 2 27" xfId="35028"/>
    <cellStyle name="Nota 2 4 2 27 2" xfId="35029"/>
    <cellStyle name="Nota 2 4 2 27 2 2" xfId="35030"/>
    <cellStyle name="Nota 2 4 2 27 2 3" xfId="35031"/>
    <cellStyle name="Nota 2 4 2 27 3" xfId="35032"/>
    <cellStyle name="Nota 2 4 2 27 3 2" xfId="35033"/>
    <cellStyle name="Nota 2 4 2 27 3 3" xfId="35034"/>
    <cellStyle name="Nota 2 4 2 27 4" xfId="35035"/>
    <cellStyle name="Nota 2 4 2 27 5" xfId="35036"/>
    <cellStyle name="Nota 2 4 2 28" xfId="35037"/>
    <cellStyle name="Nota 2 4 2 28 2" xfId="35038"/>
    <cellStyle name="Nota 2 4 2 28 2 2" xfId="35039"/>
    <cellStyle name="Nota 2 4 2 28 2 3" xfId="35040"/>
    <cellStyle name="Nota 2 4 2 28 3" xfId="35041"/>
    <cellStyle name="Nota 2 4 2 28 3 2" xfId="35042"/>
    <cellStyle name="Nota 2 4 2 28 3 3" xfId="35043"/>
    <cellStyle name="Nota 2 4 2 28 4" xfId="35044"/>
    <cellStyle name="Nota 2 4 2 28 5" xfId="35045"/>
    <cellStyle name="Nota 2 4 2 29" xfId="35046"/>
    <cellStyle name="Nota 2 4 2 29 2" xfId="35047"/>
    <cellStyle name="Nota 2 4 2 29 2 2" xfId="35048"/>
    <cellStyle name="Nota 2 4 2 29 2 3" xfId="35049"/>
    <cellStyle name="Nota 2 4 2 29 3" xfId="35050"/>
    <cellStyle name="Nota 2 4 2 29 3 2" xfId="35051"/>
    <cellStyle name="Nota 2 4 2 29 3 3" xfId="35052"/>
    <cellStyle name="Nota 2 4 2 29 4" xfId="35053"/>
    <cellStyle name="Nota 2 4 2 29 5" xfId="35054"/>
    <cellStyle name="Nota 2 4 2 3" xfId="35055"/>
    <cellStyle name="Nota 2 4 2 3 2" xfId="35056"/>
    <cellStyle name="Nota 2 4 2 3 2 2" xfId="35057"/>
    <cellStyle name="Nota 2 4 2 3 2 3" xfId="35058"/>
    <cellStyle name="Nota 2 4 2 3 3" xfId="35059"/>
    <cellStyle name="Nota 2 4 2 3 3 2" xfId="35060"/>
    <cellStyle name="Nota 2 4 2 3 3 3" xfId="35061"/>
    <cellStyle name="Nota 2 4 2 3 4" xfId="35062"/>
    <cellStyle name="Nota 2 4 2 3 5" xfId="35063"/>
    <cellStyle name="Nota 2 4 2 30" xfId="35064"/>
    <cellStyle name="Nota 2 4 2 30 2" xfId="35065"/>
    <cellStyle name="Nota 2 4 2 30 2 2" xfId="35066"/>
    <cellStyle name="Nota 2 4 2 30 2 3" xfId="35067"/>
    <cellStyle name="Nota 2 4 2 30 3" xfId="35068"/>
    <cellStyle name="Nota 2 4 2 30 3 2" xfId="35069"/>
    <cellStyle name="Nota 2 4 2 30 3 3" xfId="35070"/>
    <cellStyle name="Nota 2 4 2 30 4" xfId="35071"/>
    <cellStyle name="Nota 2 4 2 30 5" xfId="35072"/>
    <cellStyle name="Nota 2 4 2 31" xfId="35073"/>
    <cellStyle name="Nota 2 4 2 31 2" xfId="35074"/>
    <cellStyle name="Nota 2 4 2 31 2 2" xfId="35075"/>
    <cellStyle name="Nota 2 4 2 31 2 3" xfId="35076"/>
    <cellStyle name="Nota 2 4 2 31 3" xfId="35077"/>
    <cellStyle name="Nota 2 4 2 31 3 2" xfId="35078"/>
    <cellStyle name="Nota 2 4 2 31 3 3" xfId="35079"/>
    <cellStyle name="Nota 2 4 2 31 4" xfId="35080"/>
    <cellStyle name="Nota 2 4 2 31 5" xfId="35081"/>
    <cellStyle name="Nota 2 4 2 32" xfId="35082"/>
    <cellStyle name="Nota 2 4 2 32 2" xfId="35083"/>
    <cellStyle name="Nota 2 4 2 32 2 2" xfId="35084"/>
    <cellStyle name="Nota 2 4 2 32 2 3" xfId="35085"/>
    <cellStyle name="Nota 2 4 2 32 3" xfId="35086"/>
    <cellStyle name="Nota 2 4 2 32 3 2" xfId="35087"/>
    <cellStyle name="Nota 2 4 2 32 3 3" xfId="35088"/>
    <cellStyle name="Nota 2 4 2 32 4" xfId="35089"/>
    <cellStyle name="Nota 2 4 2 32 5" xfId="35090"/>
    <cellStyle name="Nota 2 4 2 33" xfId="35091"/>
    <cellStyle name="Nota 2 4 2 33 2" xfId="35092"/>
    <cellStyle name="Nota 2 4 2 33 2 2" xfId="35093"/>
    <cellStyle name="Nota 2 4 2 33 2 3" xfId="35094"/>
    <cellStyle name="Nota 2 4 2 33 3" xfId="35095"/>
    <cellStyle name="Nota 2 4 2 33 3 2" xfId="35096"/>
    <cellStyle name="Nota 2 4 2 33 3 3" xfId="35097"/>
    <cellStyle name="Nota 2 4 2 33 4" xfId="35098"/>
    <cellStyle name="Nota 2 4 2 33 5" xfId="35099"/>
    <cellStyle name="Nota 2 4 2 34" xfId="35100"/>
    <cellStyle name="Nota 2 4 2 34 2" xfId="35101"/>
    <cellStyle name="Nota 2 4 2 34 2 2" xfId="35102"/>
    <cellStyle name="Nota 2 4 2 34 2 3" xfId="35103"/>
    <cellStyle name="Nota 2 4 2 34 3" xfId="35104"/>
    <cellStyle name="Nota 2 4 2 34 3 2" xfId="35105"/>
    <cellStyle name="Nota 2 4 2 34 3 3" xfId="35106"/>
    <cellStyle name="Nota 2 4 2 34 4" xfId="35107"/>
    <cellStyle name="Nota 2 4 2 34 5" xfId="35108"/>
    <cellStyle name="Nota 2 4 2 35" xfId="35109"/>
    <cellStyle name="Nota 2 4 2 35 2" xfId="35110"/>
    <cellStyle name="Nota 2 4 2 35 2 2" xfId="35111"/>
    <cellStyle name="Nota 2 4 2 35 2 3" xfId="35112"/>
    <cellStyle name="Nota 2 4 2 35 3" xfId="35113"/>
    <cellStyle name="Nota 2 4 2 35 3 2" xfId="35114"/>
    <cellStyle name="Nota 2 4 2 35 3 3" xfId="35115"/>
    <cellStyle name="Nota 2 4 2 35 4" xfId="35116"/>
    <cellStyle name="Nota 2 4 2 35 5" xfId="35117"/>
    <cellStyle name="Nota 2 4 2 36" xfId="35118"/>
    <cellStyle name="Nota 2 4 2 36 2" xfId="35119"/>
    <cellStyle name="Nota 2 4 2 36 2 2" xfId="35120"/>
    <cellStyle name="Nota 2 4 2 36 2 3" xfId="35121"/>
    <cellStyle name="Nota 2 4 2 36 3" xfId="35122"/>
    <cellStyle name="Nota 2 4 2 36 3 2" xfId="35123"/>
    <cellStyle name="Nota 2 4 2 36 3 3" xfId="35124"/>
    <cellStyle name="Nota 2 4 2 36 4" xfId="35125"/>
    <cellStyle name="Nota 2 4 2 36 5" xfId="35126"/>
    <cellStyle name="Nota 2 4 2 37" xfId="35127"/>
    <cellStyle name="Nota 2 4 2 37 2" xfId="35128"/>
    <cellStyle name="Nota 2 4 2 37 2 2" xfId="35129"/>
    <cellStyle name="Nota 2 4 2 37 2 3" xfId="35130"/>
    <cellStyle name="Nota 2 4 2 37 3" xfId="35131"/>
    <cellStyle name="Nota 2 4 2 37 3 2" xfId="35132"/>
    <cellStyle name="Nota 2 4 2 37 3 3" xfId="35133"/>
    <cellStyle name="Nota 2 4 2 37 4" xfId="35134"/>
    <cellStyle name="Nota 2 4 2 37 5" xfId="35135"/>
    <cellStyle name="Nota 2 4 2 38" xfId="35136"/>
    <cellStyle name="Nota 2 4 2 38 2" xfId="35137"/>
    <cellStyle name="Nota 2 4 2 38 2 2" xfId="35138"/>
    <cellStyle name="Nota 2 4 2 38 2 3" xfId="35139"/>
    <cellStyle name="Nota 2 4 2 38 3" xfId="35140"/>
    <cellStyle name="Nota 2 4 2 38 3 2" xfId="35141"/>
    <cellStyle name="Nota 2 4 2 38 3 3" xfId="35142"/>
    <cellStyle name="Nota 2 4 2 38 4" xfId="35143"/>
    <cellStyle name="Nota 2 4 2 38 5" xfId="35144"/>
    <cellStyle name="Nota 2 4 2 39" xfId="35145"/>
    <cellStyle name="Nota 2 4 2 39 2" xfId="35146"/>
    <cellStyle name="Nota 2 4 2 39 2 2" xfId="35147"/>
    <cellStyle name="Nota 2 4 2 39 2 3" xfId="35148"/>
    <cellStyle name="Nota 2 4 2 39 3" xfId="35149"/>
    <cellStyle name="Nota 2 4 2 39 3 2" xfId="35150"/>
    <cellStyle name="Nota 2 4 2 39 3 3" xfId="35151"/>
    <cellStyle name="Nota 2 4 2 39 4" xfId="35152"/>
    <cellStyle name="Nota 2 4 2 39 5" xfId="35153"/>
    <cellStyle name="Nota 2 4 2 4" xfId="35154"/>
    <cellStyle name="Nota 2 4 2 4 2" xfId="35155"/>
    <cellStyle name="Nota 2 4 2 4 2 2" xfId="35156"/>
    <cellStyle name="Nota 2 4 2 4 2 3" xfId="35157"/>
    <cellStyle name="Nota 2 4 2 4 3" xfId="35158"/>
    <cellStyle name="Nota 2 4 2 4 3 2" xfId="35159"/>
    <cellStyle name="Nota 2 4 2 4 3 3" xfId="35160"/>
    <cellStyle name="Nota 2 4 2 4 4" xfId="35161"/>
    <cellStyle name="Nota 2 4 2 4 5" xfId="35162"/>
    <cellStyle name="Nota 2 4 2 40" xfId="35163"/>
    <cellStyle name="Nota 2 4 2 40 2" xfId="35164"/>
    <cellStyle name="Nota 2 4 2 40 2 2" xfId="35165"/>
    <cellStyle name="Nota 2 4 2 40 2 3" xfId="35166"/>
    <cellStyle name="Nota 2 4 2 40 3" xfId="35167"/>
    <cellStyle name="Nota 2 4 2 40 3 2" xfId="35168"/>
    <cellStyle name="Nota 2 4 2 40 3 3" xfId="35169"/>
    <cellStyle name="Nota 2 4 2 40 4" xfId="35170"/>
    <cellStyle name="Nota 2 4 2 40 5" xfId="35171"/>
    <cellStyle name="Nota 2 4 2 41" xfId="35172"/>
    <cellStyle name="Nota 2 4 2 41 2" xfId="35173"/>
    <cellStyle name="Nota 2 4 2 41 2 2" xfId="35174"/>
    <cellStyle name="Nota 2 4 2 41 2 3" xfId="35175"/>
    <cellStyle name="Nota 2 4 2 41 3" xfId="35176"/>
    <cellStyle name="Nota 2 4 2 41 4" xfId="35177"/>
    <cellStyle name="Nota 2 4 2 42" xfId="35178"/>
    <cellStyle name="Nota 2 4 2 42 2" xfId="35179"/>
    <cellStyle name="Nota 2 4 2 42 3" xfId="35180"/>
    <cellStyle name="Nota 2 4 2 43" xfId="35181"/>
    <cellStyle name="Nota 2 4 2 43 2" xfId="35182"/>
    <cellStyle name="Nota 2 4 2 43 3" xfId="35183"/>
    <cellStyle name="Nota 2 4 2 44" xfId="35184"/>
    <cellStyle name="Nota 2 4 2 44 2" xfId="35185"/>
    <cellStyle name="Nota 2 4 2 44 3" xfId="35186"/>
    <cellStyle name="Nota 2 4 2 45" xfId="35187"/>
    <cellStyle name="Nota 2 4 2 46" xfId="35188"/>
    <cellStyle name="Nota 2 4 2 5" xfId="35189"/>
    <cellStyle name="Nota 2 4 2 5 2" xfId="35190"/>
    <cellStyle name="Nota 2 4 2 5 2 2" xfId="35191"/>
    <cellStyle name="Nota 2 4 2 5 2 3" xfId="35192"/>
    <cellStyle name="Nota 2 4 2 5 3" xfId="35193"/>
    <cellStyle name="Nota 2 4 2 5 3 2" xfId="35194"/>
    <cellStyle name="Nota 2 4 2 5 3 3" xfId="35195"/>
    <cellStyle name="Nota 2 4 2 5 4" xfId="35196"/>
    <cellStyle name="Nota 2 4 2 5 5" xfId="35197"/>
    <cellStyle name="Nota 2 4 2 6" xfId="35198"/>
    <cellStyle name="Nota 2 4 2 6 2" xfId="35199"/>
    <cellStyle name="Nota 2 4 2 6 2 2" xfId="35200"/>
    <cellStyle name="Nota 2 4 2 6 2 3" xfId="35201"/>
    <cellStyle name="Nota 2 4 2 6 3" xfId="35202"/>
    <cellStyle name="Nota 2 4 2 6 3 2" xfId="35203"/>
    <cellStyle name="Nota 2 4 2 6 3 3" xfId="35204"/>
    <cellStyle name="Nota 2 4 2 6 4" xfId="35205"/>
    <cellStyle name="Nota 2 4 2 6 5" xfId="35206"/>
    <cellStyle name="Nota 2 4 2 7" xfId="35207"/>
    <cellStyle name="Nota 2 4 2 7 2" xfId="35208"/>
    <cellStyle name="Nota 2 4 2 7 2 2" xfId="35209"/>
    <cellStyle name="Nota 2 4 2 7 2 3" xfId="35210"/>
    <cellStyle name="Nota 2 4 2 7 3" xfId="35211"/>
    <cellStyle name="Nota 2 4 2 7 3 2" xfId="35212"/>
    <cellStyle name="Nota 2 4 2 7 3 3" xfId="35213"/>
    <cellStyle name="Nota 2 4 2 7 4" xfId="35214"/>
    <cellStyle name="Nota 2 4 2 7 5" xfId="35215"/>
    <cellStyle name="Nota 2 4 2 8" xfId="35216"/>
    <cellStyle name="Nota 2 4 2 8 2" xfId="35217"/>
    <cellStyle name="Nota 2 4 2 8 2 2" xfId="35218"/>
    <cellStyle name="Nota 2 4 2 8 2 3" xfId="35219"/>
    <cellStyle name="Nota 2 4 2 8 3" xfId="35220"/>
    <cellStyle name="Nota 2 4 2 8 3 2" xfId="35221"/>
    <cellStyle name="Nota 2 4 2 8 3 3" xfId="35222"/>
    <cellStyle name="Nota 2 4 2 8 4" xfId="35223"/>
    <cellStyle name="Nota 2 4 2 8 5" xfId="35224"/>
    <cellStyle name="Nota 2 4 2 9" xfId="35225"/>
    <cellStyle name="Nota 2 4 2 9 2" xfId="35226"/>
    <cellStyle name="Nota 2 4 2 9 2 2" xfId="35227"/>
    <cellStyle name="Nota 2 4 2 9 2 3" xfId="35228"/>
    <cellStyle name="Nota 2 4 2 9 3" xfId="35229"/>
    <cellStyle name="Nota 2 4 2 9 3 2" xfId="35230"/>
    <cellStyle name="Nota 2 4 2 9 3 3" xfId="35231"/>
    <cellStyle name="Nota 2 4 2 9 4" xfId="35232"/>
    <cellStyle name="Nota 2 4 2 9 5" xfId="35233"/>
    <cellStyle name="Nota 2 4 20" xfId="35234"/>
    <cellStyle name="Nota 2 4 20 2" xfId="35235"/>
    <cellStyle name="Nota 2 4 20 2 2" xfId="35236"/>
    <cellStyle name="Nota 2 4 20 2 3" xfId="35237"/>
    <cellStyle name="Nota 2 4 20 3" xfId="35238"/>
    <cellStyle name="Nota 2 4 20 3 2" xfId="35239"/>
    <cellStyle name="Nota 2 4 20 3 3" xfId="35240"/>
    <cellStyle name="Nota 2 4 20 4" xfId="35241"/>
    <cellStyle name="Nota 2 4 20 5" xfId="35242"/>
    <cellStyle name="Nota 2 4 21" xfId="35243"/>
    <cellStyle name="Nota 2 4 21 2" xfId="35244"/>
    <cellStyle name="Nota 2 4 21 2 2" xfId="35245"/>
    <cellStyle name="Nota 2 4 21 2 3" xfId="35246"/>
    <cellStyle name="Nota 2 4 21 3" xfId="35247"/>
    <cellStyle name="Nota 2 4 21 3 2" xfId="35248"/>
    <cellStyle name="Nota 2 4 21 3 3" xfId="35249"/>
    <cellStyle name="Nota 2 4 21 4" xfId="35250"/>
    <cellStyle name="Nota 2 4 21 5" xfId="35251"/>
    <cellStyle name="Nota 2 4 22" xfId="35252"/>
    <cellStyle name="Nota 2 4 22 2" xfId="35253"/>
    <cellStyle name="Nota 2 4 22 2 2" xfId="35254"/>
    <cellStyle name="Nota 2 4 22 2 3" xfId="35255"/>
    <cellStyle name="Nota 2 4 22 3" xfId="35256"/>
    <cellStyle name="Nota 2 4 22 3 2" xfId="35257"/>
    <cellStyle name="Nota 2 4 22 3 3" xfId="35258"/>
    <cellStyle name="Nota 2 4 22 4" xfId="35259"/>
    <cellStyle name="Nota 2 4 22 5" xfId="35260"/>
    <cellStyle name="Nota 2 4 23" xfId="35261"/>
    <cellStyle name="Nota 2 4 23 2" xfId="35262"/>
    <cellStyle name="Nota 2 4 23 2 2" xfId="35263"/>
    <cellStyle name="Nota 2 4 23 2 3" xfId="35264"/>
    <cellStyle name="Nota 2 4 23 3" xfId="35265"/>
    <cellStyle name="Nota 2 4 23 3 2" xfId="35266"/>
    <cellStyle name="Nota 2 4 23 3 3" xfId="35267"/>
    <cellStyle name="Nota 2 4 23 4" xfId="35268"/>
    <cellStyle name="Nota 2 4 23 5" xfId="35269"/>
    <cellStyle name="Nota 2 4 24" xfId="35270"/>
    <cellStyle name="Nota 2 4 24 2" xfId="35271"/>
    <cellStyle name="Nota 2 4 24 2 2" xfId="35272"/>
    <cellStyle name="Nota 2 4 24 2 3" xfId="35273"/>
    <cellStyle name="Nota 2 4 24 3" xfId="35274"/>
    <cellStyle name="Nota 2 4 24 3 2" xfId="35275"/>
    <cellStyle name="Nota 2 4 24 3 3" xfId="35276"/>
    <cellStyle name="Nota 2 4 24 4" xfId="35277"/>
    <cellStyle name="Nota 2 4 24 5" xfId="35278"/>
    <cellStyle name="Nota 2 4 25" xfId="35279"/>
    <cellStyle name="Nota 2 4 25 2" xfId="35280"/>
    <cellStyle name="Nota 2 4 25 2 2" xfId="35281"/>
    <cellStyle name="Nota 2 4 25 2 3" xfId="35282"/>
    <cellStyle name="Nota 2 4 25 3" xfId="35283"/>
    <cellStyle name="Nota 2 4 25 3 2" xfId="35284"/>
    <cellStyle name="Nota 2 4 25 3 3" xfId="35285"/>
    <cellStyle name="Nota 2 4 25 4" xfId="35286"/>
    <cellStyle name="Nota 2 4 25 5" xfId="35287"/>
    <cellStyle name="Nota 2 4 26" xfId="35288"/>
    <cellStyle name="Nota 2 4 26 2" xfId="35289"/>
    <cellStyle name="Nota 2 4 26 2 2" xfId="35290"/>
    <cellStyle name="Nota 2 4 26 2 3" xfId="35291"/>
    <cellStyle name="Nota 2 4 26 3" xfId="35292"/>
    <cellStyle name="Nota 2 4 26 3 2" xfId="35293"/>
    <cellStyle name="Nota 2 4 26 3 3" xfId="35294"/>
    <cellStyle name="Nota 2 4 26 4" xfId="35295"/>
    <cellStyle name="Nota 2 4 26 5" xfId="35296"/>
    <cellStyle name="Nota 2 4 27" xfId="35297"/>
    <cellStyle name="Nota 2 4 27 2" xfId="35298"/>
    <cellStyle name="Nota 2 4 27 2 2" xfId="35299"/>
    <cellStyle name="Nota 2 4 27 2 3" xfId="35300"/>
    <cellStyle name="Nota 2 4 27 3" xfId="35301"/>
    <cellStyle name="Nota 2 4 27 3 2" xfId="35302"/>
    <cellStyle name="Nota 2 4 27 3 3" xfId="35303"/>
    <cellStyle name="Nota 2 4 27 4" xfId="35304"/>
    <cellStyle name="Nota 2 4 27 5" xfId="35305"/>
    <cellStyle name="Nota 2 4 28" xfId="35306"/>
    <cellStyle name="Nota 2 4 28 2" xfId="35307"/>
    <cellStyle name="Nota 2 4 28 2 2" xfId="35308"/>
    <cellStyle name="Nota 2 4 28 2 3" xfId="35309"/>
    <cellStyle name="Nota 2 4 28 3" xfId="35310"/>
    <cellStyle name="Nota 2 4 28 3 2" xfId="35311"/>
    <cellStyle name="Nota 2 4 28 3 3" xfId="35312"/>
    <cellStyle name="Nota 2 4 28 4" xfId="35313"/>
    <cellStyle name="Nota 2 4 28 5" xfId="35314"/>
    <cellStyle name="Nota 2 4 29" xfId="35315"/>
    <cellStyle name="Nota 2 4 29 2" xfId="35316"/>
    <cellStyle name="Nota 2 4 29 2 2" xfId="35317"/>
    <cellStyle name="Nota 2 4 29 2 3" xfId="35318"/>
    <cellStyle name="Nota 2 4 29 3" xfId="35319"/>
    <cellStyle name="Nota 2 4 29 3 2" xfId="35320"/>
    <cellStyle name="Nota 2 4 29 3 3" xfId="35321"/>
    <cellStyle name="Nota 2 4 29 4" xfId="35322"/>
    <cellStyle name="Nota 2 4 29 5" xfId="35323"/>
    <cellStyle name="Nota 2 4 3" xfId="35324"/>
    <cellStyle name="Nota 2 4 3 10" xfId="35325"/>
    <cellStyle name="Nota 2 4 3 10 2" xfId="35326"/>
    <cellStyle name="Nota 2 4 3 10 2 2" xfId="35327"/>
    <cellStyle name="Nota 2 4 3 10 2 3" xfId="35328"/>
    <cellStyle name="Nota 2 4 3 10 3" xfId="35329"/>
    <cellStyle name="Nota 2 4 3 10 3 2" xfId="35330"/>
    <cellStyle name="Nota 2 4 3 10 3 3" xfId="35331"/>
    <cellStyle name="Nota 2 4 3 10 4" xfId="35332"/>
    <cellStyle name="Nota 2 4 3 10 5" xfId="35333"/>
    <cellStyle name="Nota 2 4 3 11" xfId="35334"/>
    <cellStyle name="Nota 2 4 3 11 2" xfId="35335"/>
    <cellStyle name="Nota 2 4 3 11 2 2" xfId="35336"/>
    <cellStyle name="Nota 2 4 3 11 2 3" xfId="35337"/>
    <cellStyle name="Nota 2 4 3 11 3" xfId="35338"/>
    <cellStyle name="Nota 2 4 3 11 3 2" xfId="35339"/>
    <cellStyle name="Nota 2 4 3 11 3 3" xfId="35340"/>
    <cellStyle name="Nota 2 4 3 11 4" xfId="35341"/>
    <cellStyle name="Nota 2 4 3 11 5" xfId="35342"/>
    <cellStyle name="Nota 2 4 3 12" xfId="35343"/>
    <cellStyle name="Nota 2 4 3 12 2" xfId="35344"/>
    <cellStyle name="Nota 2 4 3 12 2 2" xfId="35345"/>
    <cellStyle name="Nota 2 4 3 12 2 3" xfId="35346"/>
    <cellStyle name="Nota 2 4 3 12 3" xfId="35347"/>
    <cellStyle name="Nota 2 4 3 12 3 2" xfId="35348"/>
    <cellStyle name="Nota 2 4 3 12 3 3" xfId="35349"/>
    <cellStyle name="Nota 2 4 3 12 4" xfId="35350"/>
    <cellStyle name="Nota 2 4 3 12 5" xfId="35351"/>
    <cellStyle name="Nota 2 4 3 13" xfId="35352"/>
    <cellStyle name="Nota 2 4 3 13 2" xfId="35353"/>
    <cellStyle name="Nota 2 4 3 13 2 2" xfId="35354"/>
    <cellStyle name="Nota 2 4 3 13 2 3" xfId="35355"/>
    <cellStyle name="Nota 2 4 3 13 3" xfId="35356"/>
    <cellStyle name="Nota 2 4 3 13 3 2" xfId="35357"/>
    <cellStyle name="Nota 2 4 3 13 3 3" xfId="35358"/>
    <cellStyle name="Nota 2 4 3 13 4" xfId="35359"/>
    <cellStyle name="Nota 2 4 3 13 5" xfId="35360"/>
    <cellStyle name="Nota 2 4 3 14" xfId="35361"/>
    <cellStyle name="Nota 2 4 3 14 2" xfId="35362"/>
    <cellStyle name="Nota 2 4 3 14 2 2" xfId="35363"/>
    <cellStyle name="Nota 2 4 3 14 2 3" xfId="35364"/>
    <cellStyle name="Nota 2 4 3 14 3" xfId="35365"/>
    <cellStyle name="Nota 2 4 3 14 3 2" xfId="35366"/>
    <cellStyle name="Nota 2 4 3 14 3 3" xfId="35367"/>
    <cellStyle name="Nota 2 4 3 14 4" xfId="35368"/>
    <cellStyle name="Nota 2 4 3 14 5" xfId="35369"/>
    <cellStyle name="Nota 2 4 3 15" xfId="35370"/>
    <cellStyle name="Nota 2 4 3 15 2" xfId="35371"/>
    <cellStyle name="Nota 2 4 3 15 2 2" xfId="35372"/>
    <cellStyle name="Nota 2 4 3 15 2 3" xfId="35373"/>
    <cellStyle name="Nota 2 4 3 15 3" xfId="35374"/>
    <cellStyle name="Nota 2 4 3 15 3 2" xfId="35375"/>
    <cellStyle name="Nota 2 4 3 15 3 3" xfId="35376"/>
    <cellStyle name="Nota 2 4 3 15 4" xfId="35377"/>
    <cellStyle name="Nota 2 4 3 15 5" xfId="35378"/>
    <cellStyle name="Nota 2 4 3 16" xfId="35379"/>
    <cellStyle name="Nota 2 4 3 16 2" xfId="35380"/>
    <cellStyle name="Nota 2 4 3 16 2 2" xfId="35381"/>
    <cellStyle name="Nota 2 4 3 16 2 3" xfId="35382"/>
    <cellStyle name="Nota 2 4 3 16 3" xfId="35383"/>
    <cellStyle name="Nota 2 4 3 16 3 2" xfId="35384"/>
    <cellStyle name="Nota 2 4 3 16 3 3" xfId="35385"/>
    <cellStyle name="Nota 2 4 3 16 4" xfId="35386"/>
    <cellStyle name="Nota 2 4 3 16 5" xfId="35387"/>
    <cellStyle name="Nota 2 4 3 17" xfId="35388"/>
    <cellStyle name="Nota 2 4 3 17 2" xfId="35389"/>
    <cellStyle name="Nota 2 4 3 17 2 2" xfId="35390"/>
    <cellStyle name="Nota 2 4 3 17 2 3" xfId="35391"/>
    <cellStyle name="Nota 2 4 3 17 3" xfId="35392"/>
    <cellStyle name="Nota 2 4 3 17 3 2" xfId="35393"/>
    <cellStyle name="Nota 2 4 3 17 3 3" xfId="35394"/>
    <cellStyle name="Nota 2 4 3 17 4" xfId="35395"/>
    <cellStyle name="Nota 2 4 3 17 5" xfId="35396"/>
    <cellStyle name="Nota 2 4 3 18" xfId="35397"/>
    <cellStyle name="Nota 2 4 3 18 2" xfId="35398"/>
    <cellStyle name="Nota 2 4 3 18 2 2" xfId="35399"/>
    <cellStyle name="Nota 2 4 3 18 2 3" xfId="35400"/>
    <cellStyle name="Nota 2 4 3 18 3" xfId="35401"/>
    <cellStyle name="Nota 2 4 3 18 3 2" xfId="35402"/>
    <cellStyle name="Nota 2 4 3 18 3 3" xfId="35403"/>
    <cellStyle name="Nota 2 4 3 18 4" xfId="35404"/>
    <cellStyle name="Nota 2 4 3 18 5" xfId="35405"/>
    <cellStyle name="Nota 2 4 3 19" xfId="35406"/>
    <cellStyle name="Nota 2 4 3 19 2" xfId="35407"/>
    <cellStyle name="Nota 2 4 3 19 2 2" xfId="35408"/>
    <cellStyle name="Nota 2 4 3 19 2 3" xfId="35409"/>
    <cellStyle name="Nota 2 4 3 19 3" xfId="35410"/>
    <cellStyle name="Nota 2 4 3 19 3 2" xfId="35411"/>
    <cellStyle name="Nota 2 4 3 19 3 3" xfId="35412"/>
    <cellStyle name="Nota 2 4 3 19 4" xfId="35413"/>
    <cellStyle name="Nota 2 4 3 19 5" xfId="35414"/>
    <cellStyle name="Nota 2 4 3 2" xfId="35415"/>
    <cellStyle name="Nota 2 4 3 2 2" xfId="35416"/>
    <cellStyle name="Nota 2 4 3 2 2 2" xfId="35417"/>
    <cellStyle name="Nota 2 4 3 2 2 3" xfId="35418"/>
    <cellStyle name="Nota 2 4 3 2 3" xfId="35419"/>
    <cellStyle name="Nota 2 4 3 2 3 2" xfId="35420"/>
    <cellStyle name="Nota 2 4 3 2 3 3" xfId="35421"/>
    <cellStyle name="Nota 2 4 3 2 4" xfId="35422"/>
    <cellStyle name="Nota 2 4 3 2 5" xfId="35423"/>
    <cellStyle name="Nota 2 4 3 20" xfId="35424"/>
    <cellStyle name="Nota 2 4 3 20 2" xfId="35425"/>
    <cellStyle name="Nota 2 4 3 20 2 2" xfId="35426"/>
    <cellStyle name="Nota 2 4 3 20 2 3" xfId="35427"/>
    <cellStyle name="Nota 2 4 3 20 3" xfId="35428"/>
    <cellStyle name="Nota 2 4 3 20 3 2" xfId="35429"/>
    <cellStyle name="Nota 2 4 3 20 3 3" xfId="35430"/>
    <cellStyle name="Nota 2 4 3 20 4" xfId="35431"/>
    <cellStyle name="Nota 2 4 3 20 5" xfId="35432"/>
    <cellStyle name="Nota 2 4 3 21" xfId="35433"/>
    <cellStyle name="Nota 2 4 3 21 2" xfId="35434"/>
    <cellStyle name="Nota 2 4 3 21 2 2" xfId="35435"/>
    <cellStyle name="Nota 2 4 3 21 2 3" xfId="35436"/>
    <cellStyle name="Nota 2 4 3 21 3" xfId="35437"/>
    <cellStyle name="Nota 2 4 3 21 3 2" xfId="35438"/>
    <cellStyle name="Nota 2 4 3 21 3 3" xfId="35439"/>
    <cellStyle name="Nota 2 4 3 21 4" xfId="35440"/>
    <cellStyle name="Nota 2 4 3 21 5" xfId="35441"/>
    <cellStyle name="Nota 2 4 3 22" xfId="35442"/>
    <cellStyle name="Nota 2 4 3 22 2" xfId="35443"/>
    <cellStyle name="Nota 2 4 3 22 2 2" xfId="35444"/>
    <cellStyle name="Nota 2 4 3 22 2 3" xfId="35445"/>
    <cellStyle name="Nota 2 4 3 22 3" xfId="35446"/>
    <cellStyle name="Nota 2 4 3 22 3 2" xfId="35447"/>
    <cellStyle name="Nota 2 4 3 22 3 3" xfId="35448"/>
    <cellStyle name="Nota 2 4 3 22 4" xfId="35449"/>
    <cellStyle name="Nota 2 4 3 22 5" xfId="35450"/>
    <cellStyle name="Nota 2 4 3 23" xfId="35451"/>
    <cellStyle name="Nota 2 4 3 23 2" xfId="35452"/>
    <cellStyle name="Nota 2 4 3 23 2 2" xfId="35453"/>
    <cellStyle name="Nota 2 4 3 23 2 3" xfId="35454"/>
    <cellStyle name="Nota 2 4 3 23 3" xfId="35455"/>
    <cellStyle name="Nota 2 4 3 23 3 2" xfId="35456"/>
    <cellStyle name="Nota 2 4 3 23 3 3" xfId="35457"/>
    <cellStyle name="Nota 2 4 3 23 4" xfId="35458"/>
    <cellStyle name="Nota 2 4 3 23 5" xfId="35459"/>
    <cellStyle name="Nota 2 4 3 24" xfId="35460"/>
    <cellStyle name="Nota 2 4 3 24 2" xfId="35461"/>
    <cellStyle name="Nota 2 4 3 24 2 2" xfId="35462"/>
    <cellStyle name="Nota 2 4 3 24 2 3" xfId="35463"/>
    <cellStyle name="Nota 2 4 3 24 3" xfId="35464"/>
    <cellStyle name="Nota 2 4 3 24 3 2" xfId="35465"/>
    <cellStyle name="Nota 2 4 3 24 3 3" xfId="35466"/>
    <cellStyle name="Nota 2 4 3 24 4" xfId="35467"/>
    <cellStyle name="Nota 2 4 3 24 5" xfId="35468"/>
    <cellStyle name="Nota 2 4 3 25" xfId="35469"/>
    <cellStyle name="Nota 2 4 3 25 2" xfId="35470"/>
    <cellStyle name="Nota 2 4 3 25 2 2" xfId="35471"/>
    <cellStyle name="Nota 2 4 3 25 2 3" xfId="35472"/>
    <cellStyle name="Nota 2 4 3 25 3" xfId="35473"/>
    <cellStyle name="Nota 2 4 3 25 3 2" xfId="35474"/>
    <cellStyle name="Nota 2 4 3 25 3 3" xfId="35475"/>
    <cellStyle name="Nota 2 4 3 25 4" xfId="35476"/>
    <cellStyle name="Nota 2 4 3 25 5" xfId="35477"/>
    <cellStyle name="Nota 2 4 3 26" xfId="35478"/>
    <cellStyle name="Nota 2 4 3 26 2" xfId="35479"/>
    <cellStyle name="Nota 2 4 3 26 2 2" xfId="35480"/>
    <cellStyle name="Nota 2 4 3 26 2 3" xfId="35481"/>
    <cellStyle name="Nota 2 4 3 26 3" xfId="35482"/>
    <cellStyle name="Nota 2 4 3 26 3 2" xfId="35483"/>
    <cellStyle name="Nota 2 4 3 26 3 3" xfId="35484"/>
    <cellStyle name="Nota 2 4 3 26 4" xfId="35485"/>
    <cellStyle name="Nota 2 4 3 26 5" xfId="35486"/>
    <cellStyle name="Nota 2 4 3 27" xfId="35487"/>
    <cellStyle name="Nota 2 4 3 27 2" xfId="35488"/>
    <cellStyle name="Nota 2 4 3 27 2 2" xfId="35489"/>
    <cellStyle name="Nota 2 4 3 27 2 3" xfId="35490"/>
    <cellStyle name="Nota 2 4 3 27 3" xfId="35491"/>
    <cellStyle name="Nota 2 4 3 27 3 2" xfId="35492"/>
    <cellStyle name="Nota 2 4 3 27 3 3" xfId="35493"/>
    <cellStyle name="Nota 2 4 3 27 4" xfId="35494"/>
    <cellStyle name="Nota 2 4 3 27 5" xfId="35495"/>
    <cellStyle name="Nota 2 4 3 28" xfId="35496"/>
    <cellStyle name="Nota 2 4 3 28 2" xfId="35497"/>
    <cellStyle name="Nota 2 4 3 28 2 2" xfId="35498"/>
    <cellStyle name="Nota 2 4 3 28 2 3" xfId="35499"/>
    <cellStyle name="Nota 2 4 3 28 3" xfId="35500"/>
    <cellStyle name="Nota 2 4 3 28 3 2" xfId="35501"/>
    <cellStyle name="Nota 2 4 3 28 3 3" xfId="35502"/>
    <cellStyle name="Nota 2 4 3 28 4" xfId="35503"/>
    <cellStyle name="Nota 2 4 3 28 5" xfId="35504"/>
    <cellStyle name="Nota 2 4 3 29" xfId="35505"/>
    <cellStyle name="Nota 2 4 3 29 2" xfId="35506"/>
    <cellStyle name="Nota 2 4 3 29 2 2" xfId="35507"/>
    <cellStyle name="Nota 2 4 3 29 2 3" xfId="35508"/>
    <cellStyle name="Nota 2 4 3 29 3" xfId="35509"/>
    <cellStyle name="Nota 2 4 3 29 3 2" xfId="35510"/>
    <cellStyle name="Nota 2 4 3 29 3 3" xfId="35511"/>
    <cellStyle name="Nota 2 4 3 29 4" xfId="35512"/>
    <cellStyle name="Nota 2 4 3 29 5" xfId="35513"/>
    <cellStyle name="Nota 2 4 3 3" xfId="35514"/>
    <cellStyle name="Nota 2 4 3 3 2" xfId="35515"/>
    <cellStyle name="Nota 2 4 3 3 2 2" xfId="35516"/>
    <cellStyle name="Nota 2 4 3 3 2 3" xfId="35517"/>
    <cellStyle name="Nota 2 4 3 3 3" xfId="35518"/>
    <cellStyle name="Nota 2 4 3 3 3 2" xfId="35519"/>
    <cellStyle name="Nota 2 4 3 3 3 3" xfId="35520"/>
    <cellStyle name="Nota 2 4 3 3 4" xfId="35521"/>
    <cellStyle name="Nota 2 4 3 3 5" xfId="35522"/>
    <cellStyle name="Nota 2 4 3 30" xfId="35523"/>
    <cellStyle name="Nota 2 4 3 30 2" xfId="35524"/>
    <cellStyle name="Nota 2 4 3 30 2 2" xfId="35525"/>
    <cellStyle name="Nota 2 4 3 30 2 3" xfId="35526"/>
    <cellStyle name="Nota 2 4 3 30 3" xfId="35527"/>
    <cellStyle name="Nota 2 4 3 30 3 2" xfId="35528"/>
    <cellStyle name="Nota 2 4 3 30 3 3" xfId="35529"/>
    <cellStyle name="Nota 2 4 3 30 4" xfId="35530"/>
    <cellStyle name="Nota 2 4 3 30 5" xfId="35531"/>
    <cellStyle name="Nota 2 4 3 31" xfId="35532"/>
    <cellStyle name="Nota 2 4 3 31 2" xfId="35533"/>
    <cellStyle name="Nota 2 4 3 31 2 2" xfId="35534"/>
    <cellStyle name="Nota 2 4 3 31 2 3" xfId="35535"/>
    <cellStyle name="Nota 2 4 3 31 3" xfId="35536"/>
    <cellStyle name="Nota 2 4 3 31 3 2" xfId="35537"/>
    <cellStyle name="Nota 2 4 3 31 3 3" xfId="35538"/>
    <cellStyle name="Nota 2 4 3 31 4" xfId="35539"/>
    <cellStyle name="Nota 2 4 3 31 5" xfId="35540"/>
    <cellStyle name="Nota 2 4 3 32" xfId="35541"/>
    <cellStyle name="Nota 2 4 3 32 2" xfId="35542"/>
    <cellStyle name="Nota 2 4 3 32 2 2" xfId="35543"/>
    <cellStyle name="Nota 2 4 3 32 2 3" xfId="35544"/>
    <cellStyle name="Nota 2 4 3 32 3" xfId="35545"/>
    <cellStyle name="Nota 2 4 3 32 3 2" xfId="35546"/>
    <cellStyle name="Nota 2 4 3 32 3 3" xfId="35547"/>
    <cellStyle name="Nota 2 4 3 32 4" xfId="35548"/>
    <cellStyle name="Nota 2 4 3 32 5" xfId="35549"/>
    <cellStyle name="Nota 2 4 3 33" xfId="35550"/>
    <cellStyle name="Nota 2 4 3 33 2" xfId="35551"/>
    <cellStyle name="Nota 2 4 3 33 2 2" xfId="35552"/>
    <cellStyle name="Nota 2 4 3 33 2 3" xfId="35553"/>
    <cellStyle name="Nota 2 4 3 33 3" xfId="35554"/>
    <cellStyle name="Nota 2 4 3 33 3 2" xfId="35555"/>
    <cellStyle name="Nota 2 4 3 33 3 3" xfId="35556"/>
    <cellStyle name="Nota 2 4 3 33 4" xfId="35557"/>
    <cellStyle name="Nota 2 4 3 33 5" xfId="35558"/>
    <cellStyle name="Nota 2 4 3 34" xfId="35559"/>
    <cellStyle name="Nota 2 4 3 34 2" xfId="35560"/>
    <cellStyle name="Nota 2 4 3 34 2 2" xfId="35561"/>
    <cellStyle name="Nota 2 4 3 34 2 3" xfId="35562"/>
    <cellStyle name="Nota 2 4 3 34 3" xfId="35563"/>
    <cellStyle name="Nota 2 4 3 34 3 2" xfId="35564"/>
    <cellStyle name="Nota 2 4 3 34 3 3" xfId="35565"/>
    <cellStyle name="Nota 2 4 3 34 4" xfId="35566"/>
    <cellStyle name="Nota 2 4 3 34 5" xfId="35567"/>
    <cellStyle name="Nota 2 4 3 35" xfId="35568"/>
    <cellStyle name="Nota 2 4 3 35 2" xfId="35569"/>
    <cellStyle name="Nota 2 4 3 35 2 2" xfId="35570"/>
    <cellStyle name="Nota 2 4 3 35 2 3" xfId="35571"/>
    <cellStyle name="Nota 2 4 3 35 3" xfId="35572"/>
    <cellStyle name="Nota 2 4 3 35 3 2" xfId="35573"/>
    <cellStyle name="Nota 2 4 3 35 3 3" xfId="35574"/>
    <cellStyle name="Nota 2 4 3 35 4" xfId="35575"/>
    <cellStyle name="Nota 2 4 3 35 5" xfId="35576"/>
    <cellStyle name="Nota 2 4 3 36" xfId="35577"/>
    <cellStyle name="Nota 2 4 3 36 2" xfId="35578"/>
    <cellStyle name="Nota 2 4 3 36 2 2" xfId="35579"/>
    <cellStyle name="Nota 2 4 3 36 2 3" xfId="35580"/>
    <cellStyle name="Nota 2 4 3 36 3" xfId="35581"/>
    <cellStyle name="Nota 2 4 3 36 3 2" xfId="35582"/>
    <cellStyle name="Nota 2 4 3 36 3 3" xfId="35583"/>
    <cellStyle name="Nota 2 4 3 36 4" xfId="35584"/>
    <cellStyle name="Nota 2 4 3 36 5" xfId="35585"/>
    <cellStyle name="Nota 2 4 3 37" xfId="35586"/>
    <cellStyle name="Nota 2 4 3 37 2" xfId="35587"/>
    <cellStyle name="Nota 2 4 3 37 2 2" xfId="35588"/>
    <cellStyle name="Nota 2 4 3 37 2 3" xfId="35589"/>
    <cellStyle name="Nota 2 4 3 37 3" xfId="35590"/>
    <cellStyle name="Nota 2 4 3 37 3 2" xfId="35591"/>
    <cellStyle name="Nota 2 4 3 37 3 3" xfId="35592"/>
    <cellStyle name="Nota 2 4 3 37 4" xfId="35593"/>
    <cellStyle name="Nota 2 4 3 37 5" xfId="35594"/>
    <cellStyle name="Nota 2 4 3 38" xfId="35595"/>
    <cellStyle name="Nota 2 4 3 38 2" xfId="35596"/>
    <cellStyle name="Nota 2 4 3 38 2 2" xfId="35597"/>
    <cellStyle name="Nota 2 4 3 38 2 3" xfId="35598"/>
    <cellStyle name="Nota 2 4 3 38 3" xfId="35599"/>
    <cellStyle name="Nota 2 4 3 38 3 2" xfId="35600"/>
    <cellStyle name="Nota 2 4 3 38 3 3" xfId="35601"/>
    <cellStyle name="Nota 2 4 3 38 4" xfId="35602"/>
    <cellStyle name="Nota 2 4 3 38 5" xfId="35603"/>
    <cellStyle name="Nota 2 4 3 39" xfId="35604"/>
    <cellStyle name="Nota 2 4 3 39 2" xfId="35605"/>
    <cellStyle name="Nota 2 4 3 39 2 2" xfId="35606"/>
    <cellStyle name="Nota 2 4 3 39 2 3" xfId="35607"/>
    <cellStyle name="Nota 2 4 3 39 3" xfId="35608"/>
    <cellStyle name="Nota 2 4 3 39 3 2" xfId="35609"/>
    <cellStyle name="Nota 2 4 3 39 3 3" xfId="35610"/>
    <cellStyle name="Nota 2 4 3 39 4" xfId="35611"/>
    <cellStyle name="Nota 2 4 3 39 5" xfId="35612"/>
    <cellStyle name="Nota 2 4 3 4" xfId="35613"/>
    <cellStyle name="Nota 2 4 3 4 2" xfId="35614"/>
    <cellStyle name="Nota 2 4 3 4 2 2" xfId="35615"/>
    <cellStyle name="Nota 2 4 3 4 2 3" xfId="35616"/>
    <cellStyle name="Nota 2 4 3 4 3" xfId="35617"/>
    <cellStyle name="Nota 2 4 3 4 3 2" xfId="35618"/>
    <cellStyle name="Nota 2 4 3 4 3 3" xfId="35619"/>
    <cellStyle name="Nota 2 4 3 4 4" xfId="35620"/>
    <cellStyle name="Nota 2 4 3 4 5" xfId="35621"/>
    <cellStyle name="Nota 2 4 3 40" xfId="35622"/>
    <cellStyle name="Nota 2 4 3 40 2" xfId="35623"/>
    <cellStyle name="Nota 2 4 3 40 2 2" xfId="35624"/>
    <cellStyle name="Nota 2 4 3 40 2 3" xfId="35625"/>
    <cellStyle name="Nota 2 4 3 40 3" xfId="35626"/>
    <cellStyle name="Nota 2 4 3 40 3 2" xfId="35627"/>
    <cellStyle name="Nota 2 4 3 40 3 3" xfId="35628"/>
    <cellStyle name="Nota 2 4 3 40 4" xfId="35629"/>
    <cellStyle name="Nota 2 4 3 40 5" xfId="35630"/>
    <cellStyle name="Nota 2 4 3 41" xfId="35631"/>
    <cellStyle name="Nota 2 4 3 41 2" xfId="35632"/>
    <cellStyle name="Nota 2 4 3 41 2 2" xfId="35633"/>
    <cellStyle name="Nota 2 4 3 41 2 3" xfId="35634"/>
    <cellStyle name="Nota 2 4 3 41 3" xfId="35635"/>
    <cellStyle name="Nota 2 4 3 41 3 2" xfId="35636"/>
    <cellStyle name="Nota 2 4 3 41 3 3" xfId="35637"/>
    <cellStyle name="Nota 2 4 3 41 4" xfId="35638"/>
    <cellStyle name="Nota 2 4 3 41 5" xfId="35639"/>
    <cellStyle name="Nota 2 4 3 42" xfId="35640"/>
    <cellStyle name="Nota 2 4 3 42 2" xfId="35641"/>
    <cellStyle name="Nota 2 4 3 42 2 2" xfId="35642"/>
    <cellStyle name="Nota 2 4 3 42 2 3" xfId="35643"/>
    <cellStyle name="Nota 2 4 3 42 3" xfId="35644"/>
    <cellStyle name="Nota 2 4 3 42 4" xfId="35645"/>
    <cellStyle name="Nota 2 4 3 43" xfId="35646"/>
    <cellStyle name="Nota 2 4 3 43 2" xfId="35647"/>
    <cellStyle name="Nota 2 4 3 43 3" xfId="35648"/>
    <cellStyle name="Nota 2 4 3 44" xfId="35649"/>
    <cellStyle name="Nota 2 4 3 44 2" xfId="35650"/>
    <cellStyle name="Nota 2 4 3 44 3" xfId="35651"/>
    <cellStyle name="Nota 2 4 3 45" xfId="35652"/>
    <cellStyle name="Nota 2 4 3 45 2" xfId="35653"/>
    <cellStyle name="Nota 2 4 3 45 3" xfId="35654"/>
    <cellStyle name="Nota 2 4 3 46" xfId="35655"/>
    <cellStyle name="Nota 2 4 3 47" xfId="35656"/>
    <cellStyle name="Nota 2 4 3 5" xfId="35657"/>
    <cellStyle name="Nota 2 4 3 5 2" xfId="35658"/>
    <cellStyle name="Nota 2 4 3 5 2 2" xfId="35659"/>
    <cellStyle name="Nota 2 4 3 5 2 3" xfId="35660"/>
    <cellStyle name="Nota 2 4 3 5 3" xfId="35661"/>
    <cellStyle name="Nota 2 4 3 5 3 2" xfId="35662"/>
    <cellStyle name="Nota 2 4 3 5 3 3" xfId="35663"/>
    <cellStyle name="Nota 2 4 3 5 4" xfId="35664"/>
    <cellStyle name="Nota 2 4 3 5 5" xfId="35665"/>
    <cellStyle name="Nota 2 4 3 6" xfId="35666"/>
    <cellStyle name="Nota 2 4 3 6 2" xfId="35667"/>
    <cellStyle name="Nota 2 4 3 6 2 2" xfId="35668"/>
    <cellStyle name="Nota 2 4 3 6 2 3" xfId="35669"/>
    <cellStyle name="Nota 2 4 3 6 3" xfId="35670"/>
    <cellStyle name="Nota 2 4 3 6 3 2" xfId="35671"/>
    <cellStyle name="Nota 2 4 3 6 3 3" xfId="35672"/>
    <cellStyle name="Nota 2 4 3 6 4" xfId="35673"/>
    <cellStyle name="Nota 2 4 3 6 5" xfId="35674"/>
    <cellStyle name="Nota 2 4 3 7" xfId="35675"/>
    <cellStyle name="Nota 2 4 3 7 2" xfId="35676"/>
    <cellStyle name="Nota 2 4 3 7 2 2" xfId="35677"/>
    <cellStyle name="Nota 2 4 3 7 2 3" xfId="35678"/>
    <cellStyle name="Nota 2 4 3 7 3" xfId="35679"/>
    <cellStyle name="Nota 2 4 3 7 3 2" xfId="35680"/>
    <cellStyle name="Nota 2 4 3 7 3 3" xfId="35681"/>
    <cellStyle name="Nota 2 4 3 7 4" xfId="35682"/>
    <cellStyle name="Nota 2 4 3 7 5" xfId="35683"/>
    <cellStyle name="Nota 2 4 3 8" xfId="35684"/>
    <cellStyle name="Nota 2 4 3 8 2" xfId="35685"/>
    <cellStyle name="Nota 2 4 3 8 2 2" xfId="35686"/>
    <cellStyle name="Nota 2 4 3 8 2 3" xfId="35687"/>
    <cellStyle name="Nota 2 4 3 8 3" xfId="35688"/>
    <cellStyle name="Nota 2 4 3 8 3 2" xfId="35689"/>
    <cellStyle name="Nota 2 4 3 8 3 3" xfId="35690"/>
    <cellStyle name="Nota 2 4 3 8 4" xfId="35691"/>
    <cellStyle name="Nota 2 4 3 8 5" xfId="35692"/>
    <cellStyle name="Nota 2 4 3 9" xfId="35693"/>
    <cellStyle name="Nota 2 4 3 9 2" xfId="35694"/>
    <cellStyle name="Nota 2 4 3 9 2 2" xfId="35695"/>
    <cellStyle name="Nota 2 4 3 9 2 3" xfId="35696"/>
    <cellStyle name="Nota 2 4 3 9 3" xfId="35697"/>
    <cellStyle name="Nota 2 4 3 9 3 2" xfId="35698"/>
    <cellStyle name="Nota 2 4 3 9 3 3" xfId="35699"/>
    <cellStyle name="Nota 2 4 3 9 4" xfId="35700"/>
    <cellStyle name="Nota 2 4 3 9 5" xfId="35701"/>
    <cellStyle name="Nota 2 4 30" xfId="35702"/>
    <cellStyle name="Nota 2 4 30 2" xfId="35703"/>
    <cellStyle name="Nota 2 4 30 2 2" xfId="35704"/>
    <cellStyle name="Nota 2 4 30 2 3" xfId="35705"/>
    <cellStyle name="Nota 2 4 30 3" xfId="35706"/>
    <cellStyle name="Nota 2 4 30 3 2" xfId="35707"/>
    <cellStyle name="Nota 2 4 30 3 3" xfId="35708"/>
    <cellStyle name="Nota 2 4 30 4" xfId="35709"/>
    <cellStyle name="Nota 2 4 30 5" xfId="35710"/>
    <cellStyle name="Nota 2 4 31" xfId="35711"/>
    <cellStyle name="Nota 2 4 31 2" xfId="35712"/>
    <cellStyle name="Nota 2 4 31 2 2" xfId="35713"/>
    <cellStyle name="Nota 2 4 31 2 3" xfId="35714"/>
    <cellStyle name="Nota 2 4 31 3" xfId="35715"/>
    <cellStyle name="Nota 2 4 31 3 2" xfId="35716"/>
    <cellStyle name="Nota 2 4 31 3 3" xfId="35717"/>
    <cellStyle name="Nota 2 4 31 4" xfId="35718"/>
    <cellStyle name="Nota 2 4 31 5" xfId="35719"/>
    <cellStyle name="Nota 2 4 32" xfId="35720"/>
    <cellStyle name="Nota 2 4 32 2" xfId="35721"/>
    <cellStyle name="Nota 2 4 32 2 2" xfId="35722"/>
    <cellStyle name="Nota 2 4 32 2 3" xfId="35723"/>
    <cellStyle name="Nota 2 4 32 3" xfId="35724"/>
    <cellStyle name="Nota 2 4 32 3 2" xfId="35725"/>
    <cellStyle name="Nota 2 4 32 3 3" xfId="35726"/>
    <cellStyle name="Nota 2 4 32 4" xfId="35727"/>
    <cellStyle name="Nota 2 4 32 5" xfId="35728"/>
    <cellStyle name="Nota 2 4 33" xfId="35729"/>
    <cellStyle name="Nota 2 4 33 2" xfId="35730"/>
    <cellStyle name="Nota 2 4 33 2 2" xfId="35731"/>
    <cellStyle name="Nota 2 4 33 2 3" xfId="35732"/>
    <cellStyle name="Nota 2 4 33 3" xfId="35733"/>
    <cellStyle name="Nota 2 4 33 4" xfId="35734"/>
    <cellStyle name="Nota 2 4 34" xfId="35735"/>
    <cellStyle name="Nota 2 4 34 2" xfId="35736"/>
    <cellStyle name="Nota 2 4 34 3" xfId="35737"/>
    <cellStyle name="Nota 2 4 35" xfId="35738"/>
    <cellStyle name="Nota 2 4 35 2" xfId="35739"/>
    <cellStyle name="Nota 2 4 35 3" xfId="35740"/>
    <cellStyle name="Nota 2 4 36" xfId="35741"/>
    <cellStyle name="Nota 2 4 37" xfId="35742"/>
    <cellStyle name="Nota 2 4 4" xfId="35743"/>
    <cellStyle name="Nota 2 4 4 10" xfId="35744"/>
    <cellStyle name="Nota 2 4 4 10 2" xfId="35745"/>
    <cellStyle name="Nota 2 4 4 10 2 2" xfId="35746"/>
    <cellStyle name="Nota 2 4 4 10 2 3" xfId="35747"/>
    <cellStyle name="Nota 2 4 4 10 3" xfId="35748"/>
    <cellStyle name="Nota 2 4 4 10 3 2" xfId="35749"/>
    <cellStyle name="Nota 2 4 4 10 3 3" xfId="35750"/>
    <cellStyle name="Nota 2 4 4 10 4" xfId="35751"/>
    <cellStyle name="Nota 2 4 4 10 5" xfId="35752"/>
    <cellStyle name="Nota 2 4 4 11" xfId="35753"/>
    <cellStyle name="Nota 2 4 4 11 2" xfId="35754"/>
    <cellStyle name="Nota 2 4 4 11 2 2" xfId="35755"/>
    <cellStyle name="Nota 2 4 4 11 2 3" xfId="35756"/>
    <cellStyle name="Nota 2 4 4 11 3" xfId="35757"/>
    <cellStyle name="Nota 2 4 4 11 3 2" xfId="35758"/>
    <cellStyle name="Nota 2 4 4 11 3 3" xfId="35759"/>
    <cellStyle name="Nota 2 4 4 11 4" xfId="35760"/>
    <cellStyle name="Nota 2 4 4 11 5" xfId="35761"/>
    <cellStyle name="Nota 2 4 4 12" xfId="35762"/>
    <cellStyle name="Nota 2 4 4 12 2" xfId="35763"/>
    <cellStyle name="Nota 2 4 4 12 2 2" xfId="35764"/>
    <cellStyle name="Nota 2 4 4 12 2 3" xfId="35765"/>
    <cellStyle name="Nota 2 4 4 12 3" xfId="35766"/>
    <cellStyle name="Nota 2 4 4 12 3 2" xfId="35767"/>
    <cellStyle name="Nota 2 4 4 12 3 3" xfId="35768"/>
    <cellStyle name="Nota 2 4 4 12 4" xfId="35769"/>
    <cellStyle name="Nota 2 4 4 12 5" xfId="35770"/>
    <cellStyle name="Nota 2 4 4 13" xfId="35771"/>
    <cellStyle name="Nota 2 4 4 13 2" xfId="35772"/>
    <cellStyle name="Nota 2 4 4 13 2 2" xfId="35773"/>
    <cellStyle name="Nota 2 4 4 13 2 3" xfId="35774"/>
    <cellStyle name="Nota 2 4 4 13 3" xfId="35775"/>
    <cellStyle name="Nota 2 4 4 13 3 2" xfId="35776"/>
    <cellStyle name="Nota 2 4 4 13 3 3" xfId="35777"/>
    <cellStyle name="Nota 2 4 4 13 4" xfId="35778"/>
    <cellStyle name="Nota 2 4 4 13 5" xfId="35779"/>
    <cellStyle name="Nota 2 4 4 14" xfId="35780"/>
    <cellStyle name="Nota 2 4 4 14 2" xfId="35781"/>
    <cellStyle name="Nota 2 4 4 14 2 2" xfId="35782"/>
    <cellStyle name="Nota 2 4 4 14 2 3" xfId="35783"/>
    <cellStyle name="Nota 2 4 4 14 3" xfId="35784"/>
    <cellStyle name="Nota 2 4 4 14 3 2" xfId="35785"/>
    <cellStyle name="Nota 2 4 4 14 3 3" xfId="35786"/>
    <cellStyle name="Nota 2 4 4 14 4" xfId="35787"/>
    <cellStyle name="Nota 2 4 4 14 5" xfId="35788"/>
    <cellStyle name="Nota 2 4 4 15" xfId="35789"/>
    <cellStyle name="Nota 2 4 4 15 2" xfId="35790"/>
    <cellStyle name="Nota 2 4 4 15 2 2" xfId="35791"/>
    <cellStyle name="Nota 2 4 4 15 2 3" xfId="35792"/>
    <cellStyle name="Nota 2 4 4 15 3" xfId="35793"/>
    <cellStyle name="Nota 2 4 4 15 3 2" xfId="35794"/>
    <cellStyle name="Nota 2 4 4 15 3 3" xfId="35795"/>
    <cellStyle name="Nota 2 4 4 15 4" xfId="35796"/>
    <cellStyle name="Nota 2 4 4 15 5" xfId="35797"/>
    <cellStyle name="Nota 2 4 4 16" xfId="35798"/>
    <cellStyle name="Nota 2 4 4 16 2" xfId="35799"/>
    <cellStyle name="Nota 2 4 4 16 2 2" xfId="35800"/>
    <cellStyle name="Nota 2 4 4 16 2 3" xfId="35801"/>
    <cellStyle name="Nota 2 4 4 16 3" xfId="35802"/>
    <cellStyle name="Nota 2 4 4 16 3 2" xfId="35803"/>
    <cellStyle name="Nota 2 4 4 16 3 3" xfId="35804"/>
    <cellStyle name="Nota 2 4 4 16 4" xfId="35805"/>
    <cellStyle name="Nota 2 4 4 16 5" xfId="35806"/>
    <cellStyle name="Nota 2 4 4 17" xfId="35807"/>
    <cellStyle name="Nota 2 4 4 17 2" xfId="35808"/>
    <cellStyle name="Nota 2 4 4 17 2 2" xfId="35809"/>
    <cellStyle name="Nota 2 4 4 17 2 3" xfId="35810"/>
    <cellStyle name="Nota 2 4 4 17 3" xfId="35811"/>
    <cellStyle name="Nota 2 4 4 17 3 2" xfId="35812"/>
    <cellStyle name="Nota 2 4 4 17 3 3" xfId="35813"/>
    <cellStyle name="Nota 2 4 4 17 4" xfId="35814"/>
    <cellStyle name="Nota 2 4 4 17 5" xfId="35815"/>
    <cellStyle name="Nota 2 4 4 18" xfId="35816"/>
    <cellStyle name="Nota 2 4 4 18 2" xfId="35817"/>
    <cellStyle name="Nota 2 4 4 18 2 2" xfId="35818"/>
    <cellStyle name="Nota 2 4 4 18 2 3" xfId="35819"/>
    <cellStyle name="Nota 2 4 4 18 3" xfId="35820"/>
    <cellStyle name="Nota 2 4 4 18 3 2" xfId="35821"/>
    <cellStyle name="Nota 2 4 4 18 3 3" xfId="35822"/>
    <cellStyle name="Nota 2 4 4 18 4" xfId="35823"/>
    <cellStyle name="Nota 2 4 4 18 5" xfId="35824"/>
    <cellStyle name="Nota 2 4 4 19" xfId="35825"/>
    <cellStyle name="Nota 2 4 4 19 2" xfId="35826"/>
    <cellStyle name="Nota 2 4 4 19 2 2" xfId="35827"/>
    <cellStyle name="Nota 2 4 4 19 2 3" xfId="35828"/>
    <cellStyle name="Nota 2 4 4 19 3" xfId="35829"/>
    <cellStyle name="Nota 2 4 4 19 3 2" xfId="35830"/>
    <cellStyle name="Nota 2 4 4 19 3 3" xfId="35831"/>
    <cellStyle name="Nota 2 4 4 19 4" xfId="35832"/>
    <cellStyle name="Nota 2 4 4 19 5" xfId="35833"/>
    <cellStyle name="Nota 2 4 4 2" xfId="35834"/>
    <cellStyle name="Nota 2 4 4 2 2" xfId="35835"/>
    <cellStyle name="Nota 2 4 4 2 2 2" xfId="35836"/>
    <cellStyle name="Nota 2 4 4 2 2 3" xfId="35837"/>
    <cellStyle name="Nota 2 4 4 2 3" xfId="35838"/>
    <cellStyle name="Nota 2 4 4 2 3 2" xfId="35839"/>
    <cellStyle name="Nota 2 4 4 2 3 3" xfId="35840"/>
    <cellStyle name="Nota 2 4 4 2 4" xfId="35841"/>
    <cellStyle name="Nota 2 4 4 2 5" xfId="35842"/>
    <cellStyle name="Nota 2 4 4 20" xfId="35843"/>
    <cellStyle name="Nota 2 4 4 20 2" xfId="35844"/>
    <cellStyle name="Nota 2 4 4 20 2 2" xfId="35845"/>
    <cellStyle name="Nota 2 4 4 20 2 3" xfId="35846"/>
    <cellStyle name="Nota 2 4 4 20 3" xfId="35847"/>
    <cellStyle name="Nota 2 4 4 20 3 2" xfId="35848"/>
    <cellStyle name="Nota 2 4 4 20 3 3" xfId="35849"/>
    <cellStyle name="Nota 2 4 4 20 4" xfId="35850"/>
    <cellStyle name="Nota 2 4 4 20 5" xfId="35851"/>
    <cellStyle name="Nota 2 4 4 21" xfId="35852"/>
    <cellStyle name="Nota 2 4 4 21 2" xfId="35853"/>
    <cellStyle name="Nota 2 4 4 21 2 2" xfId="35854"/>
    <cellStyle name="Nota 2 4 4 21 2 3" xfId="35855"/>
    <cellStyle name="Nota 2 4 4 21 3" xfId="35856"/>
    <cellStyle name="Nota 2 4 4 21 3 2" xfId="35857"/>
    <cellStyle name="Nota 2 4 4 21 3 3" xfId="35858"/>
    <cellStyle name="Nota 2 4 4 21 4" xfId="35859"/>
    <cellStyle name="Nota 2 4 4 21 5" xfId="35860"/>
    <cellStyle name="Nota 2 4 4 22" xfId="35861"/>
    <cellStyle name="Nota 2 4 4 22 2" xfId="35862"/>
    <cellStyle name="Nota 2 4 4 22 2 2" xfId="35863"/>
    <cellStyle name="Nota 2 4 4 22 2 3" xfId="35864"/>
    <cellStyle name="Nota 2 4 4 22 3" xfId="35865"/>
    <cellStyle name="Nota 2 4 4 22 3 2" xfId="35866"/>
    <cellStyle name="Nota 2 4 4 22 3 3" xfId="35867"/>
    <cellStyle name="Nota 2 4 4 22 4" xfId="35868"/>
    <cellStyle name="Nota 2 4 4 22 5" xfId="35869"/>
    <cellStyle name="Nota 2 4 4 23" xfId="35870"/>
    <cellStyle name="Nota 2 4 4 23 2" xfId="35871"/>
    <cellStyle name="Nota 2 4 4 23 2 2" xfId="35872"/>
    <cellStyle name="Nota 2 4 4 23 2 3" xfId="35873"/>
    <cellStyle name="Nota 2 4 4 23 3" xfId="35874"/>
    <cellStyle name="Nota 2 4 4 23 3 2" xfId="35875"/>
    <cellStyle name="Nota 2 4 4 23 3 3" xfId="35876"/>
    <cellStyle name="Nota 2 4 4 23 4" xfId="35877"/>
    <cellStyle name="Nota 2 4 4 23 5" xfId="35878"/>
    <cellStyle name="Nota 2 4 4 24" xfId="35879"/>
    <cellStyle name="Nota 2 4 4 24 2" xfId="35880"/>
    <cellStyle name="Nota 2 4 4 24 2 2" xfId="35881"/>
    <cellStyle name="Nota 2 4 4 24 2 3" xfId="35882"/>
    <cellStyle name="Nota 2 4 4 24 3" xfId="35883"/>
    <cellStyle name="Nota 2 4 4 24 3 2" xfId="35884"/>
    <cellStyle name="Nota 2 4 4 24 3 3" xfId="35885"/>
    <cellStyle name="Nota 2 4 4 24 4" xfId="35886"/>
    <cellStyle name="Nota 2 4 4 24 5" xfId="35887"/>
    <cellStyle name="Nota 2 4 4 25" xfId="35888"/>
    <cellStyle name="Nota 2 4 4 25 2" xfId="35889"/>
    <cellStyle name="Nota 2 4 4 25 2 2" xfId="35890"/>
    <cellStyle name="Nota 2 4 4 25 2 3" xfId="35891"/>
    <cellStyle name="Nota 2 4 4 25 3" xfId="35892"/>
    <cellStyle name="Nota 2 4 4 25 3 2" xfId="35893"/>
    <cellStyle name="Nota 2 4 4 25 3 3" xfId="35894"/>
    <cellStyle name="Nota 2 4 4 25 4" xfId="35895"/>
    <cellStyle name="Nota 2 4 4 25 5" xfId="35896"/>
    <cellStyle name="Nota 2 4 4 26" xfId="35897"/>
    <cellStyle name="Nota 2 4 4 26 2" xfId="35898"/>
    <cellStyle name="Nota 2 4 4 26 2 2" xfId="35899"/>
    <cellStyle name="Nota 2 4 4 26 2 3" xfId="35900"/>
    <cellStyle name="Nota 2 4 4 26 3" xfId="35901"/>
    <cellStyle name="Nota 2 4 4 26 3 2" xfId="35902"/>
    <cellStyle name="Nota 2 4 4 26 3 3" xfId="35903"/>
    <cellStyle name="Nota 2 4 4 26 4" xfId="35904"/>
    <cellStyle name="Nota 2 4 4 26 5" xfId="35905"/>
    <cellStyle name="Nota 2 4 4 27" xfId="35906"/>
    <cellStyle name="Nota 2 4 4 27 2" xfId="35907"/>
    <cellStyle name="Nota 2 4 4 27 2 2" xfId="35908"/>
    <cellStyle name="Nota 2 4 4 27 2 3" xfId="35909"/>
    <cellStyle name="Nota 2 4 4 27 3" xfId="35910"/>
    <cellStyle name="Nota 2 4 4 27 3 2" xfId="35911"/>
    <cellStyle name="Nota 2 4 4 27 3 3" xfId="35912"/>
    <cellStyle name="Nota 2 4 4 27 4" xfId="35913"/>
    <cellStyle name="Nota 2 4 4 27 5" xfId="35914"/>
    <cellStyle name="Nota 2 4 4 28" xfId="35915"/>
    <cellStyle name="Nota 2 4 4 28 2" xfId="35916"/>
    <cellStyle name="Nota 2 4 4 28 2 2" xfId="35917"/>
    <cellStyle name="Nota 2 4 4 28 2 3" xfId="35918"/>
    <cellStyle name="Nota 2 4 4 28 3" xfId="35919"/>
    <cellStyle name="Nota 2 4 4 28 3 2" xfId="35920"/>
    <cellStyle name="Nota 2 4 4 28 3 3" xfId="35921"/>
    <cellStyle name="Nota 2 4 4 28 4" xfId="35922"/>
    <cellStyle name="Nota 2 4 4 28 5" xfId="35923"/>
    <cellStyle name="Nota 2 4 4 29" xfId="35924"/>
    <cellStyle name="Nota 2 4 4 29 2" xfId="35925"/>
    <cellStyle name="Nota 2 4 4 29 2 2" xfId="35926"/>
    <cellStyle name="Nota 2 4 4 29 2 3" xfId="35927"/>
    <cellStyle name="Nota 2 4 4 29 3" xfId="35928"/>
    <cellStyle name="Nota 2 4 4 29 3 2" xfId="35929"/>
    <cellStyle name="Nota 2 4 4 29 3 3" xfId="35930"/>
    <cellStyle name="Nota 2 4 4 29 4" xfId="35931"/>
    <cellStyle name="Nota 2 4 4 29 5" xfId="35932"/>
    <cellStyle name="Nota 2 4 4 3" xfId="35933"/>
    <cellStyle name="Nota 2 4 4 3 2" xfId="35934"/>
    <cellStyle name="Nota 2 4 4 3 2 2" xfId="35935"/>
    <cellStyle name="Nota 2 4 4 3 2 3" xfId="35936"/>
    <cellStyle name="Nota 2 4 4 3 3" xfId="35937"/>
    <cellStyle name="Nota 2 4 4 3 3 2" xfId="35938"/>
    <cellStyle name="Nota 2 4 4 3 3 3" xfId="35939"/>
    <cellStyle name="Nota 2 4 4 3 4" xfId="35940"/>
    <cellStyle name="Nota 2 4 4 3 5" xfId="35941"/>
    <cellStyle name="Nota 2 4 4 30" xfId="35942"/>
    <cellStyle name="Nota 2 4 4 30 2" xfId="35943"/>
    <cellStyle name="Nota 2 4 4 30 2 2" xfId="35944"/>
    <cellStyle name="Nota 2 4 4 30 2 3" xfId="35945"/>
    <cellStyle name="Nota 2 4 4 30 3" xfId="35946"/>
    <cellStyle name="Nota 2 4 4 30 3 2" xfId="35947"/>
    <cellStyle name="Nota 2 4 4 30 3 3" xfId="35948"/>
    <cellStyle name="Nota 2 4 4 30 4" xfId="35949"/>
    <cellStyle name="Nota 2 4 4 30 5" xfId="35950"/>
    <cellStyle name="Nota 2 4 4 31" xfId="35951"/>
    <cellStyle name="Nota 2 4 4 31 2" xfId="35952"/>
    <cellStyle name="Nota 2 4 4 31 2 2" xfId="35953"/>
    <cellStyle name="Nota 2 4 4 31 2 3" xfId="35954"/>
    <cellStyle name="Nota 2 4 4 31 3" xfId="35955"/>
    <cellStyle name="Nota 2 4 4 31 3 2" xfId="35956"/>
    <cellStyle name="Nota 2 4 4 31 3 3" xfId="35957"/>
    <cellStyle name="Nota 2 4 4 31 4" xfId="35958"/>
    <cellStyle name="Nota 2 4 4 31 5" xfId="35959"/>
    <cellStyle name="Nota 2 4 4 32" xfId="35960"/>
    <cellStyle name="Nota 2 4 4 32 2" xfId="35961"/>
    <cellStyle name="Nota 2 4 4 32 2 2" xfId="35962"/>
    <cellStyle name="Nota 2 4 4 32 2 3" xfId="35963"/>
    <cellStyle name="Nota 2 4 4 32 3" xfId="35964"/>
    <cellStyle name="Nota 2 4 4 32 3 2" xfId="35965"/>
    <cellStyle name="Nota 2 4 4 32 3 3" xfId="35966"/>
    <cellStyle name="Nota 2 4 4 32 4" xfId="35967"/>
    <cellStyle name="Nota 2 4 4 32 5" xfId="35968"/>
    <cellStyle name="Nota 2 4 4 33" xfId="35969"/>
    <cellStyle name="Nota 2 4 4 33 2" xfId="35970"/>
    <cellStyle name="Nota 2 4 4 33 2 2" xfId="35971"/>
    <cellStyle name="Nota 2 4 4 33 2 3" xfId="35972"/>
    <cellStyle name="Nota 2 4 4 33 3" xfId="35973"/>
    <cellStyle name="Nota 2 4 4 33 3 2" xfId="35974"/>
    <cellStyle name="Nota 2 4 4 33 3 3" xfId="35975"/>
    <cellStyle name="Nota 2 4 4 33 4" xfId="35976"/>
    <cellStyle name="Nota 2 4 4 33 5" xfId="35977"/>
    <cellStyle name="Nota 2 4 4 34" xfId="35978"/>
    <cellStyle name="Nota 2 4 4 34 2" xfId="35979"/>
    <cellStyle name="Nota 2 4 4 34 2 2" xfId="35980"/>
    <cellStyle name="Nota 2 4 4 34 2 3" xfId="35981"/>
    <cellStyle name="Nota 2 4 4 34 3" xfId="35982"/>
    <cellStyle name="Nota 2 4 4 34 3 2" xfId="35983"/>
    <cellStyle name="Nota 2 4 4 34 3 3" xfId="35984"/>
    <cellStyle name="Nota 2 4 4 34 4" xfId="35985"/>
    <cellStyle name="Nota 2 4 4 34 5" xfId="35986"/>
    <cellStyle name="Nota 2 4 4 35" xfId="35987"/>
    <cellStyle name="Nota 2 4 4 35 2" xfId="35988"/>
    <cellStyle name="Nota 2 4 4 35 2 2" xfId="35989"/>
    <cellStyle name="Nota 2 4 4 35 2 3" xfId="35990"/>
    <cellStyle name="Nota 2 4 4 35 3" xfId="35991"/>
    <cellStyle name="Nota 2 4 4 35 3 2" xfId="35992"/>
    <cellStyle name="Nota 2 4 4 35 3 3" xfId="35993"/>
    <cellStyle name="Nota 2 4 4 35 4" xfId="35994"/>
    <cellStyle name="Nota 2 4 4 35 5" xfId="35995"/>
    <cellStyle name="Nota 2 4 4 36" xfId="35996"/>
    <cellStyle name="Nota 2 4 4 36 2" xfId="35997"/>
    <cellStyle name="Nota 2 4 4 36 2 2" xfId="35998"/>
    <cellStyle name="Nota 2 4 4 36 2 3" xfId="35999"/>
    <cellStyle name="Nota 2 4 4 36 3" xfId="36000"/>
    <cellStyle name="Nota 2 4 4 36 3 2" xfId="36001"/>
    <cellStyle name="Nota 2 4 4 36 3 3" xfId="36002"/>
    <cellStyle name="Nota 2 4 4 36 4" xfId="36003"/>
    <cellStyle name="Nota 2 4 4 36 5" xfId="36004"/>
    <cellStyle name="Nota 2 4 4 37" xfId="36005"/>
    <cellStyle name="Nota 2 4 4 37 2" xfId="36006"/>
    <cellStyle name="Nota 2 4 4 37 2 2" xfId="36007"/>
    <cellStyle name="Nota 2 4 4 37 2 3" xfId="36008"/>
    <cellStyle name="Nota 2 4 4 37 3" xfId="36009"/>
    <cellStyle name="Nota 2 4 4 37 3 2" xfId="36010"/>
    <cellStyle name="Nota 2 4 4 37 3 3" xfId="36011"/>
    <cellStyle name="Nota 2 4 4 37 4" xfId="36012"/>
    <cellStyle name="Nota 2 4 4 37 5" xfId="36013"/>
    <cellStyle name="Nota 2 4 4 38" xfId="36014"/>
    <cellStyle name="Nota 2 4 4 38 2" xfId="36015"/>
    <cellStyle name="Nota 2 4 4 38 2 2" xfId="36016"/>
    <cellStyle name="Nota 2 4 4 38 2 3" xfId="36017"/>
    <cellStyle name="Nota 2 4 4 38 3" xfId="36018"/>
    <cellStyle name="Nota 2 4 4 38 3 2" xfId="36019"/>
    <cellStyle name="Nota 2 4 4 38 3 3" xfId="36020"/>
    <cellStyle name="Nota 2 4 4 38 4" xfId="36021"/>
    <cellStyle name="Nota 2 4 4 38 5" xfId="36022"/>
    <cellStyle name="Nota 2 4 4 39" xfId="36023"/>
    <cellStyle name="Nota 2 4 4 39 2" xfId="36024"/>
    <cellStyle name="Nota 2 4 4 39 2 2" xfId="36025"/>
    <cellStyle name="Nota 2 4 4 39 2 3" xfId="36026"/>
    <cellStyle name="Nota 2 4 4 39 3" xfId="36027"/>
    <cellStyle name="Nota 2 4 4 39 3 2" xfId="36028"/>
    <cellStyle name="Nota 2 4 4 39 3 3" xfId="36029"/>
    <cellStyle name="Nota 2 4 4 39 4" xfId="36030"/>
    <cellStyle name="Nota 2 4 4 39 5" xfId="36031"/>
    <cellStyle name="Nota 2 4 4 4" xfId="36032"/>
    <cellStyle name="Nota 2 4 4 4 2" xfId="36033"/>
    <cellStyle name="Nota 2 4 4 4 2 2" xfId="36034"/>
    <cellStyle name="Nota 2 4 4 4 2 3" xfId="36035"/>
    <cellStyle name="Nota 2 4 4 4 3" xfId="36036"/>
    <cellStyle name="Nota 2 4 4 4 3 2" xfId="36037"/>
    <cellStyle name="Nota 2 4 4 4 3 3" xfId="36038"/>
    <cellStyle name="Nota 2 4 4 4 4" xfId="36039"/>
    <cellStyle name="Nota 2 4 4 4 5" xfId="36040"/>
    <cellStyle name="Nota 2 4 4 40" xfId="36041"/>
    <cellStyle name="Nota 2 4 4 40 2" xfId="36042"/>
    <cellStyle name="Nota 2 4 4 40 2 2" xfId="36043"/>
    <cellStyle name="Nota 2 4 4 40 2 3" xfId="36044"/>
    <cellStyle name="Nota 2 4 4 40 3" xfId="36045"/>
    <cellStyle name="Nota 2 4 4 40 3 2" xfId="36046"/>
    <cellStyle name="Nota 2 4 4 40 3 3" xfId="36047"/>
    <cellStyle name="Nota 2 4 4 40 4" xfId="36048"/>
    <cellStyle name="Nota 2 4 4 40 5" xfId="36049"/>
    <cellStyle name="Nota 2 4 4 41" xfId="36050"/>
    <cellStyle name="Nota 2 4 4 41 2" xfId="36051"/>
    <cellStyle name="Nota 2 4 4 41 2 2" xfId="36052"/>
    <cellStyle name="Nota 2 4 4 41 2 3" xfId="36053"/>
    <cellStyle name="Nota 2 4 4 41 3" xfId="36054"/>
    <cellStyle name="Nota 2 4 4 41 3 2" xfId="36055"/>
    <cellStyle name="Nota 2 4 4 41 3 3" xfId="36056"/>
    <cellStyle name="Nota 2 4 4 41 4" xfId="36057"/>
    <cellStyle name="Nota 2 4 4 41 5" xfId="36058"/>
    <cellStyle name="Nota 2 4 4 42" xfId="36059"/>
    <cellStyle name="Nota 2 4 4 42 2" xfId="36060"/>
    <cellStyle name="Nota 2 4 4 42 2 2" xfId="36061"/>
    <cellStyle name="Nota 2 4 4 42 2 3" xfId="36062"/>
    <cellStyle name="Nota 2 4 4 42 3" xfId="36063"/>
    <cellStyle name="Nota 2 4 4 42 4" xfId="36064"/>
    <cellStyle name="Nota 2 4 4 43" xfId="36065"/>
    <cellStyle name="Nota 2 4 4 43 2" xfId="36066"/>
    <cellStyle name="Nota 2 4 4 43 3" xfId="36067"/>
    <cellStyle name="Nota 2 4 4 44" xfId="36068"/>
    <cellStyle name="Nota 2 4 4 44 2" xfId="36069"/>
    <cellStyle name="Nota 2 4 4 44 3" xfId="36070"/>
    <cellStyle name="Nota 2 4 4 45" xfId="36071"/>
    <cellStyle name="Nota 2 4 4 46" xfId="36072"/>
    <cellStyle name="Nota 2 4 4 5" xfId="36073"/>
    <cellStyle name="Nota 2 4 4 5 2" xfId="36074"/>
    <cellStyle name="Nota 2 4 4 5 2 2" xfId="36075"/>
    <cellStyle name="Nota 2 4 4 5 2 3" xfId="36076"/>
    <cellStyle name="Nota 2 4 4 5 3" xfId="36077"/>
    <cellStyle name="Nota 2 4 4 5 3 2" xfId="36078"/>
    <cellStyle name="Nota 2 4 4 5 3 3" xfId="36079"/>
    <cellStyle name="Nota 2 4 4 5 4" xfId="36080"/>
    <cellStyle name="Nota 2 4 4 5 5" xfId="36081"/>
    <cellStyle name="Nota 2 4 4 6" xfId="36082"/>
    <cellStyle name="Nota 2 4 4 6 2" xfId="36083"/>
    <cellStyle name="Nota 2 4 4 6 2 2" xfId="36084"/>
    <cellStyle name="Nota 2 4 4 6 2 3" xfId="36085"/>
    <cellStyle name="Nota 2 4 4 6 3" xfId="36086"/>
    <cellStyle name="Nota 2 4 4 6 3 2" xfId="36087"/>
    <cellStyle name="Nota 2 4 4 6 3 3" xfId="36088"/>
    <cellStyle name="Nota 2 4 4 6 4" xfId="36089"/>
    <cellStyle name="Nota 2 4 4 6 5" xfId="36090"/>
    <cellStyle name="Nota 2 4 4 7" xfId="36091"/>
    <cellStyle name="Nota 2 4 4 7 2" xfId="36092"/>
    <cellStyle name="Nota 2 4 4 7 2 2" xfId="36093"/>
    <cellStyle name="Nota 2 4 4 7 2 3" xfId="36094"/>
    <cellStyle name="Nota 2 4 4 7 3" xfId="36095"/>
    <cellStyle name="Nota 2 4 4 7 3 2" xfId="36096"/>
    <cellStyle name="Nota 2 4 4 7 3 3" xfId="36097"/>
    <cellStyle name="Nota 2 4 4 7 4" xfId="36098"/>
    <cellStyle name="Nota 2 4 4 7 5" xfId="36099"/>
    <cellStyle name="Nota 2 4 4 8" xfId="36100"/>
    <cellStyle name="Nota 2 4 4 8 2" xfId="36101"/>
    <cellStyle name="Nota 2 4 4 8 2 2" xfId="36102"/>
    <cellStyle name="Nota 2 4 4 8 2 3" xfId="36103"/>
    <cellStyle name="Nota 2 4 4 8 3" xfId="36104"/>
    <cellStyle name="Nota 2 4 4 8 3 2" xfId="36105"/>
    <cellStyle name="Nota 2 4 4 8 3 3" xfId="36106"/>
    <cellStyle name="Nota 2 4 4 8 4" xfId="36107"/>
    <cellStyle name="Nota 2 4 4 8 5" xfId="36108"/>
    <cellStyle name="Nota 2 4 4 9" xfId="36109"/>
    <cellStyle name="Nota 2 4 4 9 2" xfId="36110"/>
    <cellStyle name="Nota 2 4 4 9 2 2" xfId="36111"/>
    <cellStyle name="Nota 2 4 4 9 2 3" xfId="36112"/>
    <cellStyle name="Nota 2 4 4 9 3" xfId="36113"/>
    <cellStyle name="Nota 2 4 4 9 3 2" xfId="36114"/>
    <cellStyle name="Nota 2 4 4 9 3 3" xfId="36115"/>
    <cellStyle name="Nota 2 4 4 9 4" xfId="36116"/>
    <cellStyle name="Nota 2 4 4 9 5" xfId="36117"/>
    <cellStyle name="Nota 2 4 5" xfId="36118"/>
    <cellStyle name="Nota 2 4 5 10" xfId="36119"/>
    <cellStyle name="Nota 2 4 5 10 2" xfId="36120"/>
    <cellStyle name="Nota 2 4 5 10 2 2" xfId="36121"/>
    <cellStyle name="Nota 2 4 5 10 2 3" xfId="36122"/>
    <cellStyle name="Nota 2 4 5 10 3" xfId="36123"/>
    <cellStyle name="Nota 2 4 5 10 3 2" xfId="36124"/>
    <cellStyle name="Nota 2 4 5 10 3 3" xfId="36125"/>
    <cellStyle name="Nota 2 4 5 10 4" xfId="36126"/>
    <cellStyle name="Nota 2 4 5 10 5" xfId="36127"/>
    <cellStyle name="Nota 2 4 5 11" xfId="36128"/>
    <cellStyle name="Nota 2 4 5 11 2" xfId="36129"/>
    <cellStyle name="Nota 2 4 5 11 2 2" xfId="36130"/>
    <cellStyle name="Nota 2 4 5 11 2 3" xfId="36131"/>
    <cellStyle name="Nota 2 4 5 11 3" xfId="36132"/>
    <cellStyle name="Nota 2 4 5 11 3 2" xfId="36133"/>
    <cellStyle name="Nota 2 4 5 11 3 3" xfId="36134"/>
    <cellStyle name="Nota 2 4 5 11 4" xfId="36135"/>
    <cellStyle name="Nota 2 4 5 11 5" xfId="36136"/>
    <cellStyle name="Nota 2 4 5 12" xfId="36137"/>
    <cellStyle name="Nota 2 4 5 12 2" xfId="36138"/>
    <cellStyle name="Nota 2 4 5 12 2 2" xfId="36139"/>
    <cellStyle name="Nota 2 4 5 12 2 3" xfId="36140"/>
    <cellStyle name="Nota 2 4 5 12 3" xfId="36141"/>
    <cellStyle name="Nota 2 4 5 12 3 2" xfId="36142"/>
    <cellStyle name="Nota 2 4 5 12 3 3" xfId="36143"/>
    <cellStyle name="Nota 2 4 5 12 4" xfId="36144"/>
    <cellStyle name="Nota 2 4 5 12 5" xfId="36145"/>
    <cellStyle name="Nota 2 4 5 13" xfId="36146"/>
    <cellStyle name="Nota 2 4 5 13 2" xfId="36147"/>
    <cellStyle name="Nota 2 4 5 13 2 2" xfId="36148"/>
    <cellStyle name="Nota 2 4 5 13 2 3" xfId="36149"/>
    <cellStyle name="Nota 2 4 5 13 3" xfId="36150"/>
    <cellStyle name="Nota 2 4 5 13 3 2" xfId="36151"/>
    <cellStyle name="Nota 2 4 5 13 3 3" xfId="36152"/>
    <cellStyle name="Nota 2 4 5 13 4" xfId="36153"/>
    <cellStyle name="Nota 2 4 5 13 5" xfId="36154"/>
    <cellStyle name="Nota 2 4 5 14" xfId="36155"/>
    <cellStyle name="Nota 2 4 5 14 2" xfId="36156"/>
    <cellStyle name="Nota 2 4 5 14 2 2" xfId="36157"/>
    <cellStyle name="Nota 2 4 5 14 2 3" xfId="36158"/>
    <cellStyle name="Nota 2 4 5 14 3" xfId="36159"/>
    <cellStyle name="Nota 2 4 5 14 3 2" xfId="36160"/>
    <cellStyle name="Nota 2 4 5 14 3 3" xfId="36161"/>
    <cellStyle name="Nota 2 4 5 14 4" xfId="36162"/>
    <cellStyle name="Nota 2 4 5 14 5" xfId="36163"/>
    <cellStyle name="Nota 2 4 5 15" xfId="36164"/>
    <cellStyle name="Nota 2 4 5 15 2" xfId="36165"/>
    <cellStyle name="Nota 2 4 5 15 2 2" xfId="36166"/>
    <cellStyle name="Nota 2 4 5 15 2 3" xfId="36167"/>
    <cellStyle name="Nota 2 4 5 15 3" xfId="36168"/>
    <cellStyle name="Nota 2 4 5 15 3 2" xfId="36169"/>
    <cellStyle name="Nota 2 4 5 15 3 3" xfId="36170"/>
    <cellStyle name="Nota 2 4 5 15 4" xfId="36171"/>
    <cellStyle name="Nota 2 4 5 15 5" xfId="36172"/>
    <cellStyle name="Nota 2 4 5 16" xfId="36173"/>
    <cellStyle name="Nota 2 4 5 16 2" xfId="36174"/>
    <cellStyle name="Nota 2 4 5 16 2 2" xfId="36175"/>
    <cellStyle name="Nota 2 4 5 16 2 3" xfId="36176"/>
    <cellStyle name="Nota 2 4 5 16 3" xfId="36177"/>
    <cellStyle name="Nota 2 4 5 16 3 2" xfId="36178"/>
    <cellStyle name="Nota 2 4 5 16 3 3" xfId="36179"/>
    <cellStyle name="Nota 2 4 5 16 4" xfId="36180"/>
    <cellStyle name="Nota 2 4 5 16 5" xfId="36181"/>
    <cellStyle name="Nota 2 4 5 17" xfId="36182"/>
    <cellStyle name="Nota 2 4 5 17 2" xfId="36183"/>
    <cellStyle name="Nota 2 4 5 17 2 2" xfId="36184"/>
    <cellStyle name="Nota 2 4 5 17 2 3" xfId="36185"/>
    <cellStyle name="Nota 2 4 5 17 3" xfId="36186"/>
    <cellStyle name="Nota 2 4 5 17 3 2" xfId="36187"/>
    <cellStyle name="Nota 2 4 5 17 3 3" xfId="36188"/>
    <cellStyle name="Nota 2 4 5 17 4" xfId="36189"/>
    <cellStyle name="Nota 2 4 5 17 5" xfId="36190"/>
    <cellStyle name="Nota 2 4 5 18" xfId="36191"/>
    <cellStyle name="Nota 2 4 5 18 2" xfId="36192"/>
    <cellStyle name="Nota 2 4 5 18 2 2" xfId="36193"/>
    <cellStyle name="Nota 2 4 5 18 2 3" xfId="36194"/>
    <cellStyle name="Nota 2 4 5 18 3" xfId="36195"/>
    <cellStyle name="Nota 2 4 5 18 3 2" xfId="36196"/>
    <cellStyle name="Nota 2 4 5 18 3 3" xfId="36197"/>
    <cellStyle name="Nota 2 4 5 18 4" xfId="36198"/>
    <cellStyle name="Nota 2 4 5 18 5" xfId="36199"/>
    <cellStyle name="Nota 2 4 5 19" xfId="36200"/>
    <cellStyle name="Nota 2 4 5 19 2" xfId="36201"/>
    <cellStyle name="Nota 2 4 5 19 2 2" xfId="36202"/>
    <cellStyle name="Nota 2 4 5 19 2 3" xfId="36203"/>
    <cellStyle name="Nota 2 4 5 19 3" xfId="36204"/>
    <cellStyle name="Nota 2 4 5 19 3 2" xfId="36205"/>
    <cellStyle name="Nota 2 4 5 19 3 3" xfId="36206"/>
    <cellStyle name="Nota 2 4 5 19 4" xfId="36207"/>
    <cellStyle name="Nota 2 4 5 19 5" xfId="36208"/>
    <cellStyle name="Nota 2 4 5 2" xfId="36209"/>
    <cellStyle name="Nota 2 4 5 2 2" xfId="36210"/>
    <cellStyle name="Nota 2 4 5 2 2 2" xfId="36211"/>
    <cellStyle name="Nota 2 4 5 2 2 3" xfId="36212"/>
    <cellStyle name="Nota 2 4 5 2 3" xfId="36213"/>
    <cellStyle name="Nota 2 4 5 2 3 2" xfId="36214"/>
    <cellStyle name="Nota 2 4 5 2 3 3" xfId="36215"/>
    <cellStyle name="Nota 2 4 5 2 4" xfId="36216"/>
    <cellStyle name="Nota 2 4 5 2 5" xfId="36217"/>
    <cellStyle name="Nota 2 4 5 20" xfId="36218"/>
    <cellStyle name="Nota 2 4 5 20 2" xfId="36219"/>
    <cellStyle name="Nota 2 4 5 20 2 2" xfId="36220"/>
    <cellStyle name="Nota 2 4 5 20 2 3" xfId="36221"/>
    <cellStyle name="Nota 2 4 5 20 3" xfId="36222"/>
    <cellStyle name="Nota 2 4 5 20 3 2" xfId="36223"/>
    <cellStyle name="Nota 2 4 5 20 3 3" xfId="36224"/>
    <cellStyle name="Nota 2 4 5 20 4" xfId="36225"/>
    <cellStyle name="Nota 2 4 5 20 5" xfId="36226"/>
    <cellStyle name="Nota 2 4 5 21" xfId="36227"/>
    <cellStyle name="Nota 2 4 5 21 2" xfId="36228"/>
    <cellStyle name="Nota 2 4 5 21 2 2" xfId="36229"/>
    <cellStyle name="Nota 2 4 5 21 2 3" xfId="36230"/>
    <cellStyle name="Nota 2 4 5 21 3" xfId="36231"/>
    <cellStyle name="Nota 2 4 5 21 3 2" xfId="36232"/>
    <cellStyle name="Nota 2 4 5 21 3 3" xfId="36233"/>
    <cellStyle name="Nota 2 4 5 21 4" xfId="36234"/>
    <cellStyle name="Nota 2 4 5 21 5" xfId="36235"/>
    <cellStyle name="Nota 2 4 5 22" xfId="36236"/>
    <cellStyle name="Nota 2 4 5 22 2" xfId="36237"/>
    <cellStyle name="Nota 2 4 5 22 2 2" xfId="36238"/>
    <cellStyle name="Nota 2 4 5 22 2 3" xfId="36239"/>
    <cellStyle name="Nota 2 4 5 22 3" xfId="36240"/>
    <cellStyle name="Nota 2 4 5 22 3 2" xfId="36241"/>
    <cellStyle name="Nota 2 4 5 22 3 3" xfId="36242"/>
    <cellStyle name="Nota 2 4 5 22 4" xfId="36243"/>
    <cellStyle name="Nota 2 4 5 22 5" xfId="36244"/>
    <cellStyle name="Nota 2 4 5 23" xfId="36245"/>
    <cellStyle name="Nota 2 4 5 23 2" xfId="36246"/>
    <cellStyle name="Nota 2 4 5 23 2 2" xfId="36247"/>
    <cellStyle name="Nota 2 4 5 23 2 3" xfId="36248"/>
    <cellStyle name="Nota 2 4 5 23 3" xfId="36249"/>
    <cellStyle name="Nota 2 4 5 23 3 2" xfId="36250"/>
    <cellStyle name="Nota 2 4 5 23 3 3" xfId="36251"/>
    <cellStyle name="Nota 2 4 5 23 4" xfId="36252"/>
    <cellStyle name="Nota 2 4 5 23 5" xfId="36253"/>
    <cellStyle name="Nota 2 4 5 24" xfId="36254"/>
    <cellStyle name="Nota 2 4 5 24 2" xfId="36255"/>
    <cellStyle name="Nota 2 4 5 24 2 2" xfId="36256"/>
    <cellStyle name="Nota 2 4 5 24 2 3" xfId="36257"/>
    <cellStyle name="Nota 2 4 5 24 3" xfId="36258"/>
    <cellStyle name="Nota 2 4 5 24 3 2" xfId="36259"/>
    <cellStyle name="Nota 2 4 5 24 3 3" xfId="36260"/>
    <cellStyle name="Nota 2 4 5 24 4" xfId="36261"/>
    <cellStyle name="Nota 2 4 5 24 5" xfId="36262"/>
    <cellStyle name="Nota 2 4 5 25" xfId="36263"/>
    <cellStyle name="Nota 2 4 5 25 2" xfId="36264"/>
    <cellStyle name="Nota 2 4 5 25 2 2" xfId="36265"/>
    <cellStyle name="Nota 2 4 5 25 2 3" xfId="36266"/>
    <cellStyle name="Nota 2 4 5 25 3" xfId="36267"/>
    <cellStyle name="Nota 2 4 5 25 3 2" xfId="36268"/>
    <cellStyle name="Nota 2 4 5 25 3 3" xfId="36269"/>
    <cellStyle name="Nota 2 4 5 25 4" xfId="36270"/>
    <cellStyle name="Nota 2 4 5 25 5" xfId="36271"/>
    <cellStyle name="Nota 2 4 5 26" xfId="36272"/>
    <cellStyle name="Nota 2 4 5 26 2" xfId="36273"/>
    <cellStyle name="Nota 2 4 5 26 2 2" xfId="36274"/>
    <cellStyle name="Nota 2 4 5 26 2 3" xfId="36275"/>
    <cellStyle name="Nota 2 4 5 26 3" xfId="36276"/>
    <cellStyle name="Nota 2 4 5 26 3 2" xfId="36277"/>
    <cellStyle name="Nota 2 4 5 26 3 3" xfId="36278"/>
    <cellStyle name="Nota 2 4 5 26 4" xfId="36279"/>
    <cellStyle name="Nota 2 4 5 26 5" xfId="36280"/>
    <cellStyle name="Nota 2 4 5 27" xfId="36281"/>
    <cellStyle name="Nota 2 4 5 27 2" xfId="36282"/>
    <cellStyle name="Nota 2 4 5 27 2 2" xfId="36283"/>
    <cellStyle name="Nota 2 4 5 27 2 3" xfId="36284"/>
    <cellStyle name="Nota 2 4 5 27 3" xfId="36285"/>
    <cellStyle name="Nota 2 4 5 27 3 2" xfId="36286"/>
    <cellStyle name="Nota 2 4 5 27 3 3" xfId="36287"/>
    <cellStyle name="Nota 2 4 5 27 4" xfId="36288"/>
    <cellStyle name="Nota 2 4 5 27 5" xfId="36289"/>
    <cellStyle name="Nota 2 4 5 28" xfId="36290"/>
    <cellStyle name="Nota 2 4 5 28 2" xfId="36291"/>
    <cellStyle name="Nota 2 4 5 28 2 2" xfId="36292"/>
    <cellStyle name="Nota 2 4 5 28 2 3" xfId="36293"/>
    <cellStyle name="Nota 2 4 5 28 3" xfId="36294"/>
    <cellStyle name="Nota 2 4 5 28 3 2" xfId="36295"/>
    <cellStyle name="Nota 2 4 5 28 3 3" xfId="36296"/>
    <cellStyle name="Nota 2 4 5 28 4" xfId="36297"/>
    <cellStyle name="Nota 2 4 5 28 5" xfId="36298"/>
    <cellStyle name="Nota 2 4 5 29" xfId="36299"/>
    <cellStyle name="Nota 2 4 5 29 2" xfId="36300"/>
    <cellStyle name="Nota 2 4 5 29 2 2" xfId="36301"/>
    <cellStyle name="Nota 2 4 5 29 2 3" xfId="36302"/>
    <cellStyle name="Nota 2 4 5 29 3" xfId="36303"/>
    <cellStyle name="Nota 2 4 5 29 3 2" xfId="36304"/>
    <cellStyle name="Nota 2 4 5 29 3 3" xfId="36305"/>
    <cellStyle name="Nota 2 4 5 29 4" xfId="36306"/>
    <cellStyle name="Nota 2 4 5 29 5" xfId="36307"/>
    <cellStyle name="Nota 2 4 5 3" xfId="36308"/>
    <cellStyle name="Nota 2 4 5 3 2" xfId="36309"/>
    <cellStyle name="Nota 2 4 5 3 2 2" xfId="36310"/>
    <cellStyle name="Nota 2 4 5 3 2 3" xfId="36311"/>
    <cellStyle name="Nota 2 4 5 3 3" xfId="36312"/>
    <cellStyle name="Nota 2 4 5 3 3 2" xfId="36313"/>
    <cellStyle name="Nota 2 4 5 3 3 3" xfId="36314"/>
    <cellStyle name="Nota 2 4 5 3 4" xfId="36315"/>
    <cellStyle name="Nota 2 4 5 3 5" xfId="36316"/>
    <cellStyle name="Nota 2 4 5 30" xfId="36317"/>
    <cellStyle name="Nota 2 4 5 30 2" xfId="36318"/>
    <cellStyle name="Nota 2 4 5 30 2 2" xfId="36319"/>
    <cellStyle name="Nota 2 4 5 30 2 3" xfId="36320"/>
    <cellStyle name="Nota 2 4 5 30 3" xfId="36321"/>
    <cellStyle name="Nota 2 4 5 30 3 2" xfId="36322"/>
    <cellStyle name="Nota 2 4 5 30 3 3" xfId="36323"/>
    <cellStyle name="Nota 2 4 5 30 4" xfId="36324"/>
    <cellStyle name="Nota 2 4 5 30 5" xfId="36325"/>
    <cellStyle name="Nota 2 4 5 31" xfId="36326"/>
    <cellStyle name="Nota 2 4 5 31 2" xfId="36327"/>
    <cellStyle name="Nota 2 4 5 31 2 2" xfId="36328"/>
    <cellStyle name="Nota 2 4 5 31 2 3" xfId="36329"/>
    <cellStyle name="Nota 2 4 5 31 3" xfId="36330"/>
    <cellStyle name="Nota 2 4 5 31 3 2" xfId="36331"/>
    <cellStyle name="Nota 2 4 5 31 3 3" xfId="36332"/>
    <cellStyle name="Nota 2 4 5 31 4" xfId="36333"/>
    <cellStyle name="Nota 2 4 5 31 5" xfId="36334"/>
    <cellStyle name="Nota 2 4 5 32" xfId="36335"/>
    <cellStyle name="Nota 2 4 5 32 2" xfId="36336"/>
    <cellStyle name="Nota 2 4 5 32 2 2" xfId="36337"/>
    <cellStyle name="Nota 2 4 5 32 2 3" xfId="36338"/>
    <cellStyle name="Nota 2 4 5 32 3" xfId="36339"/>
    <cellStyle name="Nota 2 4 5 32 3 2" xfId="36340"/>
    <cellStyle name="Nota 2 4 5 32 3 3" xfId="36341"/>
    <cellStyle name="Nota 2 4 5 32 4" xfId="36342"/>
    <cellStyle name="Nota 2 4 5 32 5" xfId="36343"/>
    <cellStyle name="Nota 2 4 5 33" xfId="36344"/>
    <cellStyle name="Nota 2 4 5 33 2" xfId="36345"/>
    <cellStyle name="Nota 2 4 5 33 2 2" xfId="36346"/>
    <cellStyle name="Nota 2 4 5 33 2 3" xfId="36347"/>
    <cellStyle name="Nota 2 4 5 33 3" xfId="36348"/>
    <cellStyle name="Nota 2 4 5 33 3 2" xfId="36349"/>
    <cellStyle name="Nota 2 4 5 33 3 3" xfId="36350"/>
    <cellStyle name="Nota 2 4 5 33 4" xfId="36351"/>
    <cellStyle name="Nota 2 4 5 33 5" xfId="36352"/>
    <cellStyle name="Nota 2 4 5 34" xfId="36353"/>
    <cellStyle name="Nota 2 4 5 34 2" xfId="36354"/>
    <cellStyle name="Nota 2 4 5 34 2 2" xfId="36355"/>
    <cellStyle name="Nota 2 4 5 34 2 3" xfId="36356"/>
    <cellStyle name="Nota 2 4 5 34 3" xfId="36357"/>
    <cellStyle name="Nota 2 4 5 34 3 2" xfId="36358"/>
    <cellStyle name="Nota 2 4 5 34 3 3" xfId="36359"/>
    <cellStyle name="Nota 2 4 5 34 4" xfId="36360"/>
    <cellStyle name="Nota 2 4 5 34 5" xfId="36361"/>
    <cellStyle name="Nota 2 4 5 35" xfId="36362"/>
    <cellStyle name="Nota 2 4 5 35 2" xfId="36363"/>
    <cellStyle name="Nota 2 4 5 35 2 2" xfId="36364"/>
    <cellStyle name="Nota 2 4 5 35 2 3" xfId="36365"/>
    <cellStyle name="Nota 2 4 5 35 3" xfId="36366"/>
    <cellStyle name="Nota 2 4 5 35 3 2" xfId="36367"/>
    <cellStyle name="Nota 2 4 5 35 3 3" xfId="36368"/>
    <cellStyle name="Nota 2 4 5 35 4" xfId="36369"/>
    <cellStyle name="Nota 2 4 5 35 5" xfId="36370"/>
    <cellStyle name="Nota 2 4 5 36" xfId="36371"/>
    <cellStyle name="Nota 2 4 5 36 2" xfId="36372"/>
    <cellStyle name="Nota 2 4 5 36 2 2" xfId="36373"/>
    <cellStyle name="Nota 2 4 5 36 2 3" xfId="36374"/>
    <cellStyle name="Nota 2 4 5 36 3" xfId="36375"/>
    <cellStyle name="Nota 2 4 5 36 3 2" xfId="36376"/>
    <cellStyle name="Nota 2 4 5 36 3 3" xfId="36377"/>
    <cellStyle name="Nota 2 4 5 36 4" xfId="36378"/>
    <cellStyle name="Nota 2 4 5 36 5" xfId="36379"/>
    <cellStyle name="Nota 2 4 5 37" xfId="36380"/>
    <cellStyle name="Nota 2 4 5 37 2" xfId="36381"/>
    <cellStyle name="Nota 2 4 5 37 2 2" xfId="36382"/>
    <cellStyle name="Nota 2 4 5 37 2 3" xfId="36383"/>
    <cellStyle name="Nota 2 4 5 37 3" xfId="36384"/>
    <cellStyle name="Nota 2 4 5 37 3 2" xfId="36385"/>
    <cellStyle name="Nota 2 4 5 37 3 3" xfId="36386"/>
    <cellStyle name="Nota 2 4 5 37 4" xfId="36387"/>
    <cellStyle name="Nota 2 4 5 37 5" xfId="36388"/>
    <cellStyle name="Nota 2 4 5 38" xfId="36389"/>
    <cellStyle name="Nota 2 4 5 38 2" xfId="36390"/>
    <cellStyle name="Nota 2 4 5 38 2 2" xfId="36391"/>
    <cellStyle name="Nota 2 4 5 38 2 3" xfId="36392"/>
    <cellStyle name="Nota 2 4 5 38 3" xfId="36393"/>
    <cellStyle name="Nota 2 4 5 38 3 2" xfId="36394"/>
    <cellStyle name="Nota 2 4 5 38 3 3" xfId="36395"/>
    <cellStyle name="Nota 2 4 5 38 4" xfId="36396"/>
    <cellStyle name="Nota 2 4 5 38 5" xfId="36397"/>
    <cellStyle name="Nota 2 4 5 39" xfId="36398"/>
    <cellStyle name="Nota 2 4 5 39 2" xfId="36399"/>
    <cellStyle name="Nota 2 4 5 39 2 2" xfId="36400"/>
    <cellStyle name="Nota 2 4 5 39 2 3" xfId="36401"/>
    <cellStyle name="Nota 2 4 5 39 3" xfId="36402"/>
    <cellStyle name="Nota 2 4 5 39 3 2" xfId="36403"/>
    <cellStyle name="Nota 2 4 5 39 3 3" xfId="36404"/>
    <cellStyle name="Nota 2 4 5 39 4" xfId="36405"/>
    <cellStyle name="Nota 2 4 5 39 5" xfId="36406"/>
    <cellStyle name="Nota 2 4 5 4" xfId="36407"/>
    <cellStyle name="Nota 2 4 5 4 2" xfId="36408"/>
    <cellStyle name="Nota 2 4 5 4 2 2" xfId="36409"/>
    <cellStyle name="Nota 2 4 5 4 2 3" xfId="36410"/>
    <cellStyle name="Nota 2 4 5 4 3" xfId="36411"/>
    <cellStyle name="Nota 2 4 5 4 3 2" xfId="36412"/>
    <cellStyle name="Nota 2 4 5 4 3 3" xfId="36413"/>
    <cellStyle name="Nota 2 4 5 4 4" xfId="36414"/>
    <cellStyle name="Nota 2 4 5 4 5" xfId="36415"/>
    <cellStyle name="Nota 2 4 5 40" xfId="36416"/>
    <cellStyle name="Nota 2 4 5 40 2" xfId="36417"/>
    <cellStyle name="Nota 2 4 5 40 2 2" xfId="36418"/>
    <cellStyle name="Nota 2 4 5 40 2 3" xfId="36419"/>
    <cellStyle name="Nota 2 4 5 40 3" xfId="36420"/>
    <cellStyle name="Nota 2 4 5 40 3 2" xfId="36421"/>
    <cellStyle name="Nota 2 4 5 40 3 3" xfId="36422"/>
    <cellStyle name="Nota 2 4 5 40 4" xfId="36423"/>
    <cellStyle name="Nota 2 4 5 40 5" xfId="36424"/>
    <cellStyle name="Nota 2 4 5 41" xfId="36425"/>
    <cellStyle name="Nota 2 4 5 41 2" xfId="36426"/>
    <cellStyle name="Nota 2 4 5 41 2 2" xfId="36427"/>
    <cellStyle name="Nota 2 4 5 41 2 3" xfId="36428"/>
    <cellStyle name="Nota 2 4 5 41 3" xfId="36429"/>
    <cellStyle name="Nota 2 4 5 41 4" xfId="36430"/>
    <cellStyle name="Nota 2 4 5 42" xfId="36431"/>
    <cellStyle name="Nota 2 4 5 42 2" xfId="36432"/>
    <cellStyle name="Nota 2 4 5 42 3" xfId="36433"/>
    <cellStyle name="Nota 2 4 5 43" xfId="36434"/>
    <cellStyle name="Nota 2 4 5 43 2" xfId="36435"/>
    <cellStyle name="Nota 2 4 5 43 3" xfId="36436"/>
    <cellStyle name="Nota 2 4 5 44" xfId="36437"/>
    <cellStyle name="Nota 2 4 5 45" xfId="36438"/>
    <cellStyle name="Nota 2 4 5 5" xfId="36439"/>
    <cellStyle name="Nota 2 4 5 5 2" xfId="36440"/>
    <cellStyle name="Nota 2 4 5 5 2 2" xfId="36441"/>
    <cellStyle name="Nota 2 4 5 5 2 3" xfId="36442"/>
    <cellStyle name="Nota 2 4 5 5 3" xfId="36443"/>
    <cellStyle name="Nota 2 4 5 5 3 2" xfId="36444"/>
    <cellStyle name="Nota 2 4 5 5 3 3" xfId="36445"/>
    <cellStyle name="Nota 2 4 5 5 4" xfId="36446"/>
    <cellStyle name="Nota 2 4 5 5 5" xfId="36447"/>
    <cellStyle name="Nota 2 4 5 6" xfId="36448"/>
    <cellStyle name="Nota 2 4 5 6 2" xfId="36449"/>
    <cellStyle name="Nota 2 4 5 6 2 2" xfId="36450"/>
    <cellStyle name="Nota 2 4 5 6 2 3" xfId="36451"/>
    <cellStyle name="Nota 2 4 5 6 3" xfId="36452"/>
    <cellStyle name="Nota 2 4 5 6 3 2" xfId="36453"/>
    <cellStyle name="Nota 2 4 5 6 3 3" xfId="36454"/>
    <cellStyle name="Nota 2 4 5 6 4" xfId="36455"/>
    <cellStyle name="Nota 2 4 5 6 5" xfId="36456"/>
    <cellStyle name="Nota 2 4 5 7" xfId="36457"/>
    <cellStyle name="Nota 2 4 5 7 2" xfId="36458"/>
    <cellStyle name="Nota 2 4 5 7 2 2" xfId="36459"/>
    <cellStyle name="Nota 2 4 5 7 2 3" xfId="36460"/>
    <cellStyle name="Nota 2 4 5 7 3" xfId="36461"/>
    <cellStyle name="Nota 2 4 5 7 3 2" xfId="36462"/>
    <cellStyle name="Nota 2 4 5 7 3 3" xfId="36463"/>
    <cellStyle name="Nota 2 4 5 7 4" xfId="36464"/>
    <cellStyle name="Nota 2 4 5 7 5" xfId="36465"/>
    <cellStyle name="Nota 2 4 5 8" xfId="36466"/>
    <cellStyle name="Nota 2 4 5 8 2" xfId="36467"/>
    <cellStyle name="Nota 2 4 5 8 2 2" xfId="36468"/>
    <cellStyle name="Nota 2 4 5 8 2 3" xfId="36469"/>
    <cellStyle name="Nota 2 4 5 8 3" xfId="36470"/>
    <cellStyle name="Nota 2 4 5 8 3 2" xfId="36471"/>
    <cellStyle name="Nota 2 4 5 8 3 3" xfId="36472"/>
    <cellStyle name="Nota 2 4 5 8 4" xfId="36473"/>
    <cellStyle name="Nota 2 4 5 8 5" xfId="36474"/>
    <cellStyle name="Nota 2 4 5 9" xfId="36475"/>
    <cellStyle name="Nota 2 4 5 9 2" xfId="36476"/>
    <cellStyle name="Nota 2 4 5 9 2 2" xfId="36477"/>
    <cellStyle name="Nota 2 4 5 9 2 3" xfId="36478"/>
    <cellStyle name="Nota 2 4 5 9 3" xfId="36479"/>
    <cellStyle name="Nota 2 4 5 9 3 2" xfId="36480"/>
    <cellStyle name="Nota 2 4 5 9 3 3" xfId="36481"/>
    <cellStyle name="Nota 2 4 5 9 4" xfId="36482"/>
    <cellStyle name="Nota 2 4 5 9 5" xfId="36483"/>
    <cellStyle name="Nota 2 4 6" xfId="36484"/>
    <cellStyle name="Nota 2 4 6 10" xfId="36485"/>
    <cellStyle name="Nota 2 4 6 10 2" xfId="36486"/>
    <cellStyle name="Nota 2 4 6 10 2 2" xfId="36487"/>
    <cellStyle name="Nota 2 4 6 10 2 3" xfId="36488"/>
    <cellStyle name="Nota 2 4 6 10 3" xfId="36489"/>
    <cellStyle name="Nota 2 4 6 10 3 2" xfId="36490"/>
    <cellStyle name="Nota 2 4 6 10 3 3" xfId="36491"/>
    <cellStyle name="Nota 2 4 6 10 4" xfId="36492"/>
    <cellStyle name="Nota 2 4 6 10 5" xfId="36493"/>
    <cellStyle name="Nota 2 4 6 11" xfId="36494"/>
    <cellStyle name="Nota 2 4 6 11 2" xfId="36495"/>
    <cellStyle name="Nota 2 4 6 11 2 2" xfId="36496"/>
    <cellStyle name="Nota 2 4 6 11 2 3" xfId="36497"/>
    <cellStyle name="Nota 2 4 6 11 3" xfId="36498"/>
    <cellStyle name="Nota 2 4 6 11 3 2" xfId="36499"/>
    <cellStyle name="Nota 2 4 6 11 3 3" xfId="36500"/>
    <cellStyle name="Nota 2 4 6 11 4" xfId="36501"/>
    <cellStyle name="Nota 2 4 6 11 5" xfId="36502"/>
    <cellStyle name="Nota 2 4 6 12" xfId="36503"/>
    <cellStyle name="Nota 2 4 6 12 2" xfId="36504"/>
    <cellStyle name="Nota 2 4 6 12 2 2" xfId="36505"/>
    <cellStyle name="Nota 2 4 6 12 2 3" xfId="36506"/>
    <cellStyle name="Nota 2 4 6 12 3" xfId="36507"/>
    <cellStyle name="Nota 2 4 6 12 3 2" xfId="36508"/>
    <cellStyle name="Nota 2 4 6 12 3 3" xfId="36509"/>
    <cellStyle name="Nota 2 4 6 12 4" xfId="36510"/>
    <cellStyle name="Nota 2 4 6 12 5" xfId="36511"/>
    <cellStyle name="Nota 2 4 6 13" xfId="36512"/>
    <cellStyle name="Nota 2 4 6 13 2" xfId="36513"/>
    <cellStyle name="Nota 2 4 6 13 2 2" xfId="36514"/>
    <cellStyle name="Nota 2 4 6 13 2 3" xfId="36515"/>
    <cellStyle name="Nota 2 4 6 13 3" xfId="36516"/>
    <cellStyle name="Nota 2 4 6 13 3 2" xfId="36517"/>
    <cellStyle name="Nota 2 4 6 13 3 3" xfId="36518"/>
    <cellStyle name="Nota 2 4 6 13 4" xfId="36519"/>
    <cellStyle name="Nota 2 4 6 13 5" xfId="36520"/>
    <cellStyle name="Nota 2 4 6 14" xfId="36521"/>
    <cellStyle name="Nota 2 4 6 14 2" xfId="36522"/>
    <cellStyle name="Nota 2 4 6 14 2 2" xfId="36523"/>
    <cellStyle name="Nota 2 4 6 14 2 3" xfId="36524"/>
    <cellStyle name="Nota 2 4 6 14 3" xfId="36525"/>
    <cellStyle name="Nota 2 4 6 14 3 2" xfId="36526"/>
    <cellStyle name="Nota 2 4 6 14 3 3" xfId="36527"/>
    <cellStyle name="Nota 2 4 6 14 4" xfId="36528"/>
    <cellStyle name="Nota 2 4 6 14 5" xfId="36529"/>
    <cellStyle name="Nota 2 4 6 15" xfId="36530"/>
    <cellStyle name="Nota 2 4 6 15 2" xfId="36531"/>
    <cellStyle name="Nota 2 4 6 15 2 2" xfId="36532"/>
    <cellStyle name="Nota 2 4 6 15 2 3" xfId="36533"/>
    <cellStyle name="Nota 2 4 6 15 3" xfId="36534"/>
    <cellStyle name="Nota 2 4 6 15 3 2" xfId="36535"/>
    <cellStyle name="Nota 2 4 6 15 3 3" xfId="36536"/>
    <cellStyle name="Nota 2 4 6 15 4" xfId="36537"/>
    <cellStyle name="Nota 2 4 6 15 5" xfId="36538"/>
    <cellStyle name="Nota 2 4 6 16" xfId="36539"/>
    <cellStyle name="Nota 2 4 6 16 2" xfId="36540"/>
    <cellStyle name="Nota 2 4 6 16 2 2" xfId="36541"/>
    <cellStyle name="Nota 2 4 6 16 2 3" xfId="36542"/>
    <cellStyle name="Nota 2 4 6 16 3" xfId="36543"/>
    <cellStyle name="Nota 2 4 6 16 3 2" xfId="36544"/>
    <cellStyle name="Nota 2 4 6 16 3 3" xfId="36545"/>
    <cellStyle name="Nota 2 4 6 16 4" xfId="36546"/>
    <cellStyle name="Nota 2 4 6 16 5" xfId="36547"/>
    <cellStyle name="Nota 2 4 6 17" xfId="36548"/>
    <cellStyle name="Nota 2 4 6 17 2" xfId="36549"/>
    <cellStyle name="Nota 2 4 6 17 2 2" xfId="36550"/>
    <cellStyle name="Nota 2 4 6 17 2 3" xfId="36551"/>
    <cellStyle name="Nota 2 4 6 17 3" xfId="36552"/>
    <cellStyle name="Nota 2 4 6 17 3 2" xfId="36553"/>
    <cellStyle name="Nota 2 4 6 17 3 3" xfId="36554"/>
    <cellStyle name="Nota 2 4 6 17 4" xfId="36555"/>
    <cellStyle name="Nota 2 4 6 17 5" xfId="36556"/>
    <cellStyle name="Nota 2 4 6 18" xfId="36557"/>
    <cellStyle name="Nota 2 4 6 18 2" xfId="36558"/>
    <cellStyle name="Nota 2 4 6 18 2 2" xfId="36559"/>
    <cellStyle name="Nota 2 4 6 18 2 3" xfId="36560"/>
    <cellStyle name="Nota 2 4 6 18 3" xfId="36561"/>
    <cellStyle name="Nota 2 4 6 18 3 2" xfId="36562"/>
    <cellStyle name="Nota 2 4 6 18 3 3" xfId="36563"/>
    <cellStyle name="Nota 2 4 6 18 4" xfId="36564"/>
    <cellStyle name="Nota 2 4 6 18 5" xfId="36565"/>
    <cellStyle name="Nota 2 4 6 19" xfId="36566"/>
    <cellStyle name="Nota 2 4 6 19 2" xfId="36567"/>
    <cellStyle name="Nota 2 4 6 19 2 2" xfId="36568"/>
    <cellStyle name="Nota 2 4 6 19 2 3" xfId="36569"/>
    <cellStyle name="Nota 2 4 6 19 3" xfId="36570"/>
    <cellStyle name="Nota 2 4 6 19 3 2" xfId="36571"/>
    <cellStyle name="Nota 2 4 6 19 3 3" xfId="36572"/>
    <cellStyle name="Nota 2 4 6 19 4" xfId="36573"/>
    <cellStyle name="Nota 2 4 6 19 5" xfId="36574"/>
    <cellStyle name="Nota 2 4 6 2" xfId="36575"/>
    <cellStyle name="Nota 2 4 6 2 2" xfId="36576"/>
    <cellStyle name="Nota 2 4 6 2 2 2" xfId="36577"/>
    <cellStyle name="Nota 2 4 6 2 2 3" xfId="36578"/>
    <cellStyle name="Nota 2 4 6 2 3" xfId="36579"/>
    <cellStyle name="Nota 2 4 6 2 3 2" xfId="36580"/>
    <cellStyle name="Nota 2 4 6 2 3 3" xfId="36581"/>
    <cellStyle name="Nota 2 4 6 2 4" xfId="36582"/>
    <cellStyle name="Nota 2 4 6 2 5" xfId="36583"/>
    <cellStyle name="Nota 2 4 6 20" xfId="36584"/>
    <cellStyle name="Nota 2 4 6 20 2" xfId="36585"/>
    <cellStyle name="Nota 2 4 6 20 2 2" xfId="36586"/>
    <cellStyle name="Nota 2 4 6 20 2 3" xfId="36587"/>
    <cellStyle name="Nota 2 4 6 20 3" xfId="36588"/>
    <cellStyle name="Nota 2 4 6 20 3 2" xfId="36589"/>
    <cellStyle name="Nota 2 4 6 20 3 3" xfId="36590"/>
    <cellStyle name="Nota 2 4 6 20 4" xfId="36591"/>
    <cellStyle name="Nota 2 4 6 20 5" xfId="36592"/>
    <cellStyle name="Nota 2 4 6 21" xfId="36593"/>
    <cellStyle name="Nota 2 4 6 21 2" xfId="36594"/>
    <cellStyle name="Nota 2 4 6 21 2 2" xfId="36595"/>
    <cellStyle name="Nota 2 4 6 21 2 3" xfId="36596"/>
    <cellStyle name="Nota 2 4 6 21 3" xfId="36597"/>
    <cellStyle name="Nota 2 4 6 21 3 2" xfId="36598"/>
    <cellStyle name="Nota 2 4 6 21 3 3" xfId="36599"/>
    <cellStyle name="Nota 2 4 6 21 4" xfId="36600"/>
    <cellStyle name="Nota 2 4 6 21 5" xfId="36601"/>
    <cellStyle name="Nota 2 4 6 22" xfId="36602"/>
    <cellStyle name="Nota 2 4 6 22 2" xfId="36603"/>
    <cellStyle name="Nota 2 4 6 22 2 2" xfId="36604"/>
    <cellStyle name="Nota 2 4 6 22 2 3" xfId="36605"/>
    <cellStyle name="Nota 2 4 6 22 3" xfId="36606"/>
    <cellStyle name="Nota 2 4 6 22 3 2" xfId="36607"/>
    <cellStyle name="Nota 2 4 6 22 3 3" xfId="36608"/>
    <cellStyle name="Nota 2 4 6 22 4" xfId="36609"/>
    <cellStyle name="Nota 2 4 6 22 5" xfId="36610"/>
    <cellStyle name="Nota 2 4 6 23" xfId="36611"/>
    <cellStyle name="Nota 2 4 6 23 2" xfId="36612"/>
    <cellStyle name="Nota 2 4 6 23 2 2" xfId="36613"/>
    <cellStyle name="Nota 2 4 6 23 2 3" xfId="36614"/>
    <cellStyle name="Nota 2 4 6 23 3" xfId="36615"/>
    <cellStyle name="Nota 2 4 6 23 3 2" xfId="36616"/>
    <cellStyle name="Nota 2 4 6 23 3 3" xfId="36617"/>
    <cellStyle name="Nota 2 4 6 23 4" xfId="36618"/>
    <cellStyle name="Nota 2 4 6 23 5" xfId="36619"/>
    <cellStyle name="Nota 2 4 6 24" xfId="36620"/>
    <cellStyle name="Nota 2 4 6 24 2" xfId="36621"/>
    <cellStyle name="Nota 2 4 6 24 2 2" xfId="36622"/>
    <cellStyle name="Nota 2 4 6 24 2 3" xfId="36623"/>
    <cellStyle name="Nota 2 4 6 24 3" xfId="36624"/>
    <cellStyle name="Nota 2 4 6 24 3 2" xfId="36625"/>
    <cellStyle name="Nota 2 4 6 24 3 3" xfId="36626"/>
    <cellStyle name="Nota 2 4 6 24 4" xfId="36627"/>
    <cellStyle name="Nota 2 4 6 24 5" xfId="36628"/>
    <cellStyle name="Nota 2 4 6 25" xfId="36629"/>
    <cellStyle name="Nota 2 4 6 25 2" xfId="36630"/>
    <cellStyle name="Nota 2 4 6 25 2 2" xfId="36631"/>
    <cellStyle name="Nota 2 4 6 25 2 3" xfId="36632"/>
    <cellStyle name="Nota 2 4 6 25 3" xfId="36633"/>
    <cellStyle name="Nota 2 4 6 25 3 2" xfId="36634"/>
    <cellStyle name="Nota 2 4 6 25 3 3" xfId="36635"/>
    <cellStyle name="Nota 2 4 6 25 4" xfId="36636"/>
    <cellStyle name="Nota 2 4 6 25 5" xfId="36637"/>
    <cellStyle name="Nota 2 4 6 26" xfId="36638"/>
    <cellStyle name="Nota 2 4 6 26 2" xfId="36639"/>
    <cellStyle name="Nota 2 4 6 26 2 2" xfId="36640"/>
    <cellStyle name="Nota 2 4 6 26 2 3" xfId="36641"/>
    <cellStyle name="Nota 2 4 6 26 3" xfId="36642"/>
    <cellStyle name="Nota 2 4 6 26 3 2" xfId="36643"/>
    <cellStyle name="Nota 2 4 6 26 3 3" xfId="36644"/>
    <cellStyle name="Nota 2 4 6 26 4" xfId="36645"/>
    <cellStyle name="Nota 2 4 6 26 5" xfId="36646"/>
    <cellStyle name="Nota 2 4 6 27" xfId="36647"/>
    <cellStyle name="Nota 2 4 6 27 2" xfId="36648"/>
    <cellStyle name="Nota 2 4 6 27 2 2" xfId="36649"/>
    <cellStyle name="Nota 2 4 6 27 2 3" xfId="36650"/>
    <cellStyle name="Nota 2 4 6 27 3" xfId="36651"/>
    <cellStyle name="Nota 2 4 6 27 3 2" xfId="36652"/>
    <cellStyle name="Nota 2 4 6 27 3 3" xfId="36653"/>
    <cellStyle name="Nota 2 4 6 27 4" xfId="36654"/>
    <cellStyle name="Nota 2 4 6 27 5" xfId="36655"/>
    <cellStyle name="Nota 2 4 6 28" xfId="36656"/>
    <cellStyle name="Nota 2 4 6 28 2" xfId="36657"/>
    <cellStyle name="Nota 2 4 6 28 2 2" xfId="36658"/>
    <cellStyle name="Nota 2 4 6 28 2 3" xfId="36659"/>
    <cellStyle name="Nota 2 4 6 28 3" xfId="36660"/>
    <cellStyle name="Nota 2 4 6 28 3 2" xfId="36661"/>
    <cellStyle name="Nota 2 4 6 28 3 3" xfId="36662"/>
    <cellStyle name="Nota 2 4 6 28 4" xfId="36663"/>
    <cellStyle name="Nota 2 4 6 28 5" xfId="36664"/>
    <cellStyle name="Nota 2 4 6 29" xfId="36665"/>
    <cellStyle name="Nota 2 4 6 29 2" xfId="36666"/>
    <cellStyle name="Nota 2 4 6 29 2 2" xfId="36667"/>
    <cellStyle name="Nota 2 4 6 29 2 3" xfId="36668"/>
    <cellStyle name="Nota 2 4 6 29 3" xfId="36669"/>
    <cellStyle name="Nota 2 4 6 29 3 2" xfId="36670"/>
    <cellStyle name="Nota 2 4 6 29 3 3" xfId="36671"/>
    <cellStyle name="Nota 2 4 6 29 4" xfId="36672"/>
    <cellStyle name="Nota 2 4 6 29 5" xfId="36673"/>
    <cellStyle name="Nota 2 4 6 3" xfId="36674"/>
    <cellStyle name="Nota 2 4 6 3 2" xfId="36675"/>
    <cellStyle name="Nota 2 4 6 3 2 2" xfId="36676"/>
    <cellStyle name="Nota 2 4 6 3 2 3" xfId="36677"/>
    <cellStyle name="Nota 2 4 6 3 3" xfId="36678"/>
    <cellStyle name="Nota 2 4 6 3 3 2" xfId="36679"/>
    <cellStyle name="Nota 2 4 6 3 3 3" xfId="36680"/>
    <cellStyle name="Nota 2 4 6 3 4" xfId="36681"/>
    <cellStyle name="Nota 2 4 6 3 5" xfId="36682"/>
    <cellStyle name="Nota 2 4 6 30" xfId="36683"/>
    <cellStyle name="Nota 2 4 6 30 2" xfId="36684"/>
    <cellStyle name="Nota 2 4 6 30 2 2" xfId="36685"/>
    <cellStyle name="Nota 2 4 6 30 2 3" xfId="36686"/>
    <cellStyle name="Nota 2 4 6 30 3" xfId="36687"/>
    <cellStyle name="Nota 2 4 6 30 3 2" xfId="36688"/>
    <cellStyle name="Nota 2 4 6 30 3 3" xfId="36689"/>
    <cellStyle name="Nota 2 4 6 30 4" xfId="36690"/>
    <cellStyle name="Nota 2 4 6 30 5" xfId="36691"/>
    <cellStyle name="Nota 2 4 6 31" xfId="36692"/>
    <cellStyle name="Nota 2 4 6 31 2" xfId="36693"/>
    <cellStyle name="Nota 2 4 6 31 2 2" xfId="36694"/>
    <cellStyle name="Nota 2 4 6 31 2 3" xfId="36695"/>
    <cellStyle name="Nota 2 4 6 31 3" xfId="36696"/>
    <cellStyle name="Nota 2 4 6 31 3 2" xfId="36697"/>
    <cellStyle name="Nota 2 4 6 31 3 3" xfId="36698"/>
    <cellStyle name="Nota 2 4 6 31 4" xfId="36699"/>
    <cellStyle name="Nota 2 4 6 31 5" xfId="36700"/>
    <cellStyle name="Nota 2 4 6 32" xfId="36701"/>
    <cellStyle name="Nota 2 4 6 32 2" xfId="36702"/>
    <cellStyle name="Nota 2 4 6 32 2 2" xfId="36703"/>
    <cellStyle name="Nota 2 4 6 32 2 3" xfId="36704"/>
    <cellStyle name="Nota 2 4 6 32 3" xfId="36705"/>
    <cellStyle name="Nota 2 4 6 32 3 2" xfId="36706"/>
    <cellStyle name="Nota 2 4 6 32 3 3" xfId="36707"/>
    <cellStyle name="Nota 2 4 6 32 4" xfId="36708"/>
    <cellStyle name="Nota 2 4 6 32 5" xfId="36709"/>
    <cellStyle name="Nota 2 4 6 33" xfId="36710"/>
    <cellStyle name="Nota 2 4 6 33 2" xfId="36711"/>
    <cellStyle name="Nota 2 4 6 33 2 2" xfId="36712"/>
    <cellStyle name="Nota 2 4 6 33 2 3" xfId="36713"/>
    <cellStyle name="Nota 2 4 6 33 3" xfId="36714"/>
    <cellStyle name="Nota 2 4 6 33 3 2" xfId="36715"/>
    <cellStyle name="Nota 2 4 6 33 3 3" xfId="36716"/>
    <cellStyle name="Nota 2 4 6 33 4" xfId="36717"/>
    <cellStyle name="Nota 2 4 6 33 5" xfId="36718"/>
    <cellStyle name="Nota 2 4 6 34" xfId="36719"/>
    <cellStyle name="Nota 2 4 6 34 2" xfId="36720"/>
    <cellStyle name="Nota 2 4 6 34 2 2" xfId="36721"/>
    <cellStyle name="Nota 2 4 6 34 2 3" xfId="36722"/>
    <cellStyle name="Nota 2 4 6 34 3" xfId="36723"/>
    <cellStyle name="Nota 2 4 6 34 3 2" xfId="36724"/>
    <cellStyle name="Nota 2 4 6 34 3 3" xfId="36725"/>
    <cellStyle name="Nota 2 4 6 34 4" xfId="36726"/>
    <cellStyle name="Nota 2 4 6 34 5" xfId="36727"/>
    <cellStyle name="Nota 2 4 6 35" xfId="36728"/>
    <cellStyle name="Nota 2 4 6 35 2" xfId="36729"/>
    <cellStyle name="Nota 2 4 6 35 2 2" xfId="36730"/>
    <cellStyle name="Nota 2 4 6 35 2 3" xfId="36731"/>
    <cellStyle name="Nota 2 4 6 35 3" xfId="36732"/>
    <cellStyle name="Nota 2 4 6 35 3 2" xfId="36733"/>
    <cellStyle name="Nota 2 4 6 35 3 3" xfId="36734"/>
    <cellStyle name="Nota 2 4 6 35 4" xfId="36735"/>
    <cellStyle name="Nota 2 4 6 35 5" xfId="36736"/>
    <cellStyle name="Nota 2 4 6 36" xfId="36737"/>
    <cellStyle name="Nota 2 4 6 36 2" xfId="36738"/>
    <cellStyle name="Nota 2 4 6 36 2 2" xfId="36739"/>
    <cellStyle name="Nota 2 4 6 36 2 3" xfId="36740"/>
    <cellStyle name="Nota 2 4 6 36 3" xfId="36741"/>
    <cellStyle name="Nota 2 4 6 36 3 2" xfId="36742"/>
    <cellStyle name="Nota 2 4 6 36 3 3" xfId="36743"/>
    <cellStyle name="Nota 2 4 6 36 4" xfId="36744"/>
    <cellStyle name="Nota 2 4 6 36 5" xfId="36745"/>
    <cellStyle name="Nota 2 4 6 37" xfId="36746"/>
    <cellStyle name="Nota 2 4 6 37 2" xfId="36747"/>
    <cellStyle name="Nota 2 4 6 37 2 2" xfId="36748"/>
    <cellStyle name="Nota 2 4 6 37 2 3" xfId="36749"/>
    <cellStyle name="Nota 2 4 6 37 3" xfId="36750"/>
    <cellStyle name="Nota 2 4 6 37 3 2" xfId="36751"/>
    <cellStyle name="Nota 2 4 6 37 3 3" xfId="36752"/>
    <cellStyle name="Nota 2 4 6 37 4" xfId="36753"/>
    <cellStyle name="Nota 2 4 6 37 5" xfId="36754"/>
    <cellStyle name="Nota 2 4 6 38" xfId="36755"/>
    <cellStyle name="Nota 2 4 6 38 2" xfId="36756"/>
    <cellStyle name="Nota 2 4 6 38 2 2" xfId="36757"/>
    <cellStyle name="Nota 2 4 6 38 2 3" xfId="36758"/>
    <cellStyle name="Nota 2 4 6 38 3" xfId="36759"/>
    <cellStyle name="Nota 2 4 6 38 3 2" xfId="36760"/>
    <cellStyle name="Nota 2 4 6 38 3 3" xfId="36761"/>
    <cellStyle name="Nota 2 4 6 38 4" xfId="36762"/>
    <cellStyle name="Nota 2 4 6 38 5" xfId="36763"/>
    <cellStyle name="Nota 2 4 6 39" xfId="36764"/>
    <cellStyle name="Nota 2 4 6 39 2" xfId="36765"/>
    <cellStyle name="Nota 2 4 6 39 2 2" xfId="36766"/>
    <cellStyle name="Nota 2 4 6 39 2 3" xfId="36767"/>
    <cellStyle name="Nota 2 4 6 39 3" xfId="36768"/>
    <cellStyle name="Nota 2 4 6 39 3 2" xfId="36769"/>
    <cellStyle name="Nota 2 4 6 39 3 3" xfId="36770"/>
    <cellStyle name="Nota 2 4 6 39 4" xfId="36771"/>
    <cellStyle name="Nota 2 4 6 39 5" xfId="36772"/>
    <cellStyle name="Nota 2 4 6 4" xfId="36773"/>
    <cellStyle name="Nota 2 4 6 4 2" xfId="36774"/>
    <cellStyle name="Nota 2 4 6 4 2 2" xfId="36775"/>
    <cellStyle name="Nota 2 4 6 4 2 3" xfId="36776"/>
    <cellStyle name="Nota 2 4 6 4 3" xfId="36777"/>
    <cellStyle name="Nota 2 4 6 4 3 2" xfId="36778"/>
    <cellStyle name="Nota 2 4 6 4 3 3" xfId="36779"/>
    <cellStyle name="Nota 2 4 6 4 4" xfId="36780"/>
    <cellStyle name="Nota 2 4 6 4 5" xfId="36781"/>
    <cellStyle name="Nota 2 4 6 40" xfId="36782"/>
    <cellStyle name="Nota 2 4 6 40 2" xfId="36783"/>
    <cellStyle name="Nota 2 4 6 40 2 2" xfId="36784"/>
    <cellStyle name="Nota 2 4 6 40 2 3" xfId="36785"/>
    <cellStyle name="Nota 2 4 6 40 3" xfId="36786"/>
    <cellStyle name="Nota 2 4 6 40 4" xfId="36787"/>
    <cellStyle name="Nota 2 4 6 41" xfId="36788"/>
    <cellStyle name="Nota 2 4 6 41 2" xfId="36789"/>
    <cellStyle name="Nota 2 4 6 41 3" xfId="36790"/>
    <cellStyle name="Nota 2 4 6 42" xfId="36791"/>
    <cellStyle name="Nota 2 4 6 43" xfId="36792"/>
    <cellStyle name="Nota 2 4 6 5" xfId="36793"/>
    <cellStyle name="Nota 2 4 6 5 2" xfId="36794"/>
    <cellStyle name="Nota 2 4 6 5 2 2" xfId="36795"/>
    <cellStyle name="Nota 2 4 6 5 2 3" xfId="36796"/>
    <cellStyle name="Nota 2 4 6 5 3" xfId="36797"/>
    <cellStyle name="Nota 2 4 6 5 3 2" xfId="36798"/>
    <cellStyle name="Nota 2 4 6 5 3 3" xfId="36799"/>
    <cellStyle name="Nota 2 4 6 5 4" xfId="36800"/>
    <cellStyle name="Nota 2 4 6 5 5" xfId="36801"/>
    <cellStyle name="Nota 2 4 6 6" xfId="36802"/>
    <cellStyle name="Nota 2 4 6 6 2" xfId="36803"/>
    <cellStyle name="Nota 2 4 6 6 2 2" xfId="36804"/>
    <cellStyle name="Nota 2 4 6 6 2 3" xfId="36805"/>
    <cellStyle name="Nota 2 4 6 6 3" xfId="36806"/>
    <cellStyle name="Nota 2 4 6 6 3 2" xfId="36807"/>
    <cellStyle name="Nota 2 4 6 6 3 3" xfId="36808"/>
    <cellStyle name="Nota 2 4 6 6 4" xfId="36809"/>
    <cellStyle name="Nota 2 4 6 6 5" xfId="36810"/>
    <cellStyle name="Nota 2 4 6 7" xfId="36811"/>
    <cellStyle name="Nota 2 4 6 7 2" xfId="36812"/>
    <cellStyle name="Nota 2 4 6 7 2 2" xfId="36813"/>
    <cellStyle name="Nota 2 4 6 7 2 3" xfId="36814"/>
    <cellStyle name="Nota 2 4 6 7 3" xfId="36815"/>
    <cellStyle name="Nota 2 4 6 7 3 2" xfId="36816"/>
    <cellStyle name="Nota 2 4 6 7 3 3" xfId="36817"/>
    <cellStyle name="Nota 2 4 6 7 4" xfId="36818"/>
    <cellStyle name="Nota 2 4 6 7 5" xfId="36819"/>
    <cellStyle name="Nota 2 4 6 8" xfId="36820"/>
    <cellStyle name="Nota 2 4 6 8 2" xfId="36821"/>
    <cellStyle name="Nota 2 4 6 8 2 2" xfId="36822"/>
    <cellStyle name="Nota 2 4 6 8 2 3" xfId="36823"/>
    <cellStyle name="Nota 2 4 6 8 3" xfId="36824"/>
    <cellStyle name="Nota 2 4 6 8 3 2" xfId="36825"/>
    <cellStyle name="Nota 2 4 6 8 3 3" xfId="36826"/>
    <cellStyle name="Nota 2 4 6 8 4" xfId="36827"/>
    <cellStyle name="Nota 2 4 6 8 5" xfId="36828"/>
    <cellStyle name="Nota 2 4 6 9" xfId="36829"/>
    <cellStyle name="Nota 2 4 6 9 2" xfId="36830"/>
    <cellStyle name="Nota 2 4 6 9 2 2" xfId="36831"/>
    <cellStyle name="Nota 2 4 6 9 2 3" xfId="36832"/>
    <cellStyle name="Nota 2 4 6 9 3" xfId="36833"/>
    <cellStyle name="Nota 2 4 6 9 3 2" xfId="36834"/>
    <cellStyle name="Nota 2 4 6 9 3 3" xfId="36835"/>
    <cellStyle name="Nota 2 4 6 9 4" xfId="36836"/>
    <cellStyle name="Nota 2 4 6 9 5" xfId="36837"/>
    <cellStyle name="Nota 2 4 7" xfId="36838"/>
    <cellStyle name="Nota 2 4 7 2" xfId="36839"/>
    <cellStyle name="Nota 2 4 7 2 2" xfId="36840"/>
    <cellStyle name="Nota 2 4 7 2 3" xfId="36841"/>
    <cellStyle name="Nota 2 4 7 3" xfId="36842"/>
    <cellStyle name="Nota 2 4 7 3 2" xfId="36843"/>
    <cellStyle name="Nota 2 4 7 3 3" xfId="36844"/>
    <cellStyle name="Nota 2 4 7 4" xfId="36845"/>
    <cellStyle name="Nota 2 4 7 5" xfId="36846"/>
    <cellStyle name="Nota 2 4 8" xfId="36847"/>
    <cellStyle name="Nota 2 4 8 2" xfId="36848"/>
    <cellStyle name="Nota 2 4 8 2 2" xfId="36849"/>
    <cellStyle name="Nota 2 4 8 2 3" xfId="36850"/>
    <cellStyle name="Nota 2 4 8 3" xfId="36851"/>
    <cellStyle name="Nota 2 4 8 3 2" xfId="36852"/>
    <cellStyle name="Nota 2 4 8 3 3" xfId="36853"/>
    <cellStyle name="Nota 2 4 8 4" xfId="36854"/>
    <cellStyle name="Nota 2 4 8 5" xfId="36855"/>
    <cellStyle name="Nota 2 4 9" xfId="36856"/>
    <cellStyle name="Nota 2 4 9 2" xfId="36857"/>
    <cellStyle name="Nota 2 4 9 2 2" xfId="36858"/>
    <cellStyle name="Nota 2 4 9 2 3" xfId="36859"/>
    <cellStyle name="Nota 2 4 9 3" xfId="36860"/>
    <cellStyle name="Nota 2 4 9 3 2" xfId="36861"/>
    <cellStyle name="Nota 2 4 9 3 3" xfId="36862"/>
    <cellStyle name="Nota 2 4 9 4" xfId="36863"/>
    <cellStyle name="Nota 2 4 9 5" xfId="36864"/>
    <cellStyle name="Nota 2 5" xfId="36865"/>
    <cellStyle name="Nota 2 5 10" xfId="36866"/>
    <cellStyle name="Nota 2 5 10 2" xfId="36867"/>
    <cellStyle name="Nota 2 5 10 2 2" xfId="36868"/>
    <cellStyle name="Nota 2 5 10 2 3" xfId="36869"/>
    <cellStyle name="Nota 2 5 10 3" xfId="36870"/>
    <cellStyle name="Nota 2 5 10 3 2" xfId="36871"/>
    <cellStyle name="Nota 2 5 10 3 3" xfId="36872"/>
    <cellStyle name="Nota 2 5 10 4" xfId="36873"/>
    <cellStyle name="Nota 2 5 10 5" xfId="36874"/>
    <cellStyle name="Nota 2 5 11" xfId="36875"/>
    <cellStyle name="Nota 2 5 11 2" xfId="36876"/>
    <cellStyle name="Nota 2 5 11 2 2" xfId="36877"/>
    <cellStyle name="Nota 2 5 11 2 3" xfId="36878"/>
    <cellStyle name="Nota 2 5 11 3" xfId="36879"/>
    <cellStyle name="Nota 2 5 11 3 2" xfId="36880"/>
    <cellStyle name="Nota 2 5 11 3 3" xfId="36881"/>
    <cellStyle name="Nota 2 5 11 4" xfId="36882"/>
    <cellStyle name="Nota 2 5 11 5" xfId="36883"/>
    <cellStyle name="Nota 2 5 12" xfId="36884"/>
    <cellStyle name="Nota 2 5 12 2" xfId="36885"/>
    <cellStyle name="Nota 2 5 12 2 2" xfId="36886"/>
    <cellStyle name="Nota 2 5 12 2 3" xfId="36887"/>
    <cellStyle name="Nota 2 5 12 3" xfId="36888"/>
    <cellStyle name="Nota 2 5 12 3 2" xfId="36889"/>
    <cellStyle name="Nota 2 5 12 3 3" xfId="36890"/>
    <cellStyle name="Nota 2 5 12 4" xfId="36891"/>
    <cellStyle name="Nota 2 5 12 5" xfId="36892"/>
    <cellStyle name="Nota 2 5 13" xfId="36893"/>
    <cellStyle name="Nota 2 5 13 2" xfId="36894"/>
    <cellStyle name="Nota 2 5 13 2 2" xfId="36895"/>
    <cellStyle name="Nota 2 5 13 2 3" xfId="36896"/>
    <cellStyle name="Nota 2 5 13 3" xfId="36897"/>
    <cellStyle name="Nota 2 5 13 3 2" xfId="36898"/>
    <cellStyle name="Nota 2 5 13 3 3" xfId="36899"/>
    <cellStyle name="Nota 2 5 13 4" xfId="36900"/>
    <cellStyle name="Nota 2 5 13 5" xfId="36901"/>
    <cellStyle name="Nota 2 5 14" xfId="36902"/>
    <cellStyle name="Nota 2 5 14 2" xfId="36903"/>
    <cellStyle name="Nota 2 5 14 2 2" xfId="36904"/>
    <cellStyle name="Nota 2 5 14 2 3" xfId="36905"/>
    <cellStyle name="Nota 2 5 14 3" xfId="36906"/>
    <cellStyle name="Nota 2 5 14 3 2" xfId="36907"/>
    <cellStyle name="Nota 2 5 14 3 3" xfId="36908"/>
    <cellStyle name="Nota 2 5 14 4" xfId="36909"/>
    <cellStyle name="Nota 2 5 14 5" xfId="36910"/>
    <cellStyle name="Nota 2 5 15" xfId="36911"/>
    <cellStyle name="Nota 2 5 15 2" xfId="36912"/>
    <cellStyle name="Nota 2 5 15 2 2" xfId="36913"/>
    <cellStyle name="Nota 2 5 15 2 3" xfId="36914"/>
    <cellStyle name="Nota 2 5 15 3" xfId="36915"/>
    <cellStyle name="Nota 2 5 15 3 2" xfId="36916"/>
    <cellStyle name="Nota 2 5 15 3 3" xfId="36917"/>
    <cellStyle name="Nota 2 5 15 4" xfId="36918"/>
    <cellStyle name="Nota 2 5 15 5" xfId="36919"/>
    <cellStyle name="Nota 2 5 16" xfId="36920"/>
    <cellStyle name="Nota 2 5 16 2" xfId="36921"/>
    <cellStyle name="Nota 2 5 16 2 2" xfId="36922"/>
    <cellStyle name="Nota 2 5 16 2 3" xfId="36923"/>
    <cellStyle name="Nota 2 5 16 3" xfId="36924"/>
    <cellStyle name="Nota 2 5 16 3 2" xfId="36925"/>
    <cellStyle name="Nota 2 5 16 3 3" xfId="36926"/>
    <cellStyle name="Nota 2 5 16 4" xfId="36927"/>
    <cellStyle name="Nota 2 5 16 5" xfId="36928"/>
    <cellStyle name="Nota 2 5 17" xfId="36929"/>
    <cellStyle name="Nota 2 5 17 2" xfId="36930"/>
    <cellStyle name="Nota 2 5 17 2 2" xfId="36931"/>
    <cellStyle name="Nota 2 5 17 2 3" xfId="36932"/>
    <cellStyle name="Nota 2 5 17 3" xfId="36933"/>
    <cellStyle name="Nota 2 5 17 3 2" xfId="36934"/>
    <cellStyle name="Nota 2 5 17 3 3" xfId="36935"/>
    <cellStyle name="Nota 2 5 17 4" xfId="36936"/>
    <cellStyle name="Nota 2 5 17 5" xfId="36937"/>
    <cellStyle name="Nota 2 5 18" xfId="36938"/>
    <cellStyle name="Nota 2 5 18 2" xfId="36939"/>
    <cellStyle name="Nota 2 5 18 2 2" xfId="36940"/>
    <cellStyle name="Nota 2 5 18 2 3" xfId="36941"/>
    <cellStyle name="Nota 2 5 18 3" xfId="36942"/>
    <cellStyle name="Nota 2 5 18 3 2" xfId="36943"/>
    <cellStyle name="Nota 2 5 18 3 3" xfId="36944"/>
    <cellStyle name="Nota 2 5 18 4" xfId="36945"/>
    <cellStyle name="Nota 2 5 18 5" xfId="36946"/>
    <cellStyle name="Nota 2 5 19" xfId="36947"/>
    <cellStyle name="Nota 2 5 19 2" xfId="36948"/>
    <cellStyle name="Nota 2 5 19 2 2" xfId="36949"/>
    <cellStyle name="Nota 2 5 19 2 3" xfId="36950"/>
    <cellStyle name="Nota 2 5 19 3" xfId="36951"/>
    <cellStyle name="Nota 2 5 19 3 2" xfId="36952"/>
    <cellStyle name="Nota 2 5 19 3 3" xfId="36953"/>
    <cellStyle name="Nota 2 5 19 4" xfId="36954"/>
    <cellStyle name="Nota 2 5 19 5" xfId="36955"/>
    <cellStyle name="Nota 2 5 2" xfId="36956"/>
    <cellStyle name="Nota 2 5 2 10" xfId="36957"/>
    <cellStyle name="Nota 2 5 2 10 2" xfId="36958"/>
    <cellStyle name="Nota 2 5 2 10 2 2" xfId="36959"/>
    <cellStyle name="Nota 2 5 2 10 2 3" xfId="36960"/>
    <cellStyle name="Nota 2 5 2 10 3" xfId="36961"/>
    <cellStyle name="Nota 2 5 2 10 3 2" xfId="36962"/>
    <cellStyle name="Nota 2 5 2 10 3 3" xfId="36963"/>
    <cellStyle name="Nota 2 5 2 10 4" xfId="36964"/>
    <cellStyle name="Nota 2 5 2 10 5" xfId="36965"/>
    <cellStyle name="Nota 2 5 2 11" xfId="36966"/>
    <cellStyle name="Nota 2 5 2 11 2" xfId="36967"/>
    <cellStyle name="Nota 2 5 2 11 2 2" xfId="36968"/>
    <cellStyle name="Nota 2 5 2 11 2 3" xfId="36969"/>
    <cellStyle name="Nota 2 5 2 11 3" xfId="36970"/>
    <cellStyle name="Nota 2 5 2 11 3 2" xfId="36971"/>
    <cellStyle name="Nota 2 5 2 11 3 3" xfId="36972"/>
    <cellStyle name="Nota 2 5 2 11 4" xfId="36973"/>
    <cellStyle name="Nota 2 5 2 11 5" xfId="36974"/>
    <cellStyle name="Nota 2 5 2 12" xfId="36975"/>
    <cellStyle name="Nota 2 5 2 12 2" xfId="36976"/>
    <cellStyle name="Nota 2 5 2 12 2 2" xfId="36977"/>
    <cellStyle name="Nota 2 5 2 12 2 3" xfId="36978"/>
    <cellStyle name="Nota 2 5 2 12 3" xfId="36979"/>
    <cellStyle name="Nota 2 5 2 12 3 2" xfId="36980"/>
    <cellStyle name="Nota 2 5 2 12 3 3" xfId="36981"/>
    <cellStyle name="Nota 2 5 2 12 4" xfId="36982"/>
    <cellStyle name="Nota 2 5 2 12 5" xfId="36983"/>
    <cellStyle name="Nota 2 5 2 13" xfId="36984"/>
    <cellStyle name="Nota 2 5 2 13 2" xfId="36985"/>
    <cellStyle name="Nota 2 5 2 13 2 2" xfId="36986"/>
    <cellStyle name="Nota 2 5 2 13 2 3" xfId="36987"/>
    <cellStyle name="Nota 2 5 2 13 3" xfId="36988"/>
    <cellStyle name="Nota 2 5 2 13 3 2" xfId="36989"/>
    <cellStyle name="Nota 2 5 2 13 3 3" xfId="36990"/>
    <cellStyle name="Nota 2 5 2 13 4" xfId="36991"/>
    <cellStyle name="Nota 2 5 2 13 5" xfId="36992"/>
    <cellStyle name="Nota 2 5 2 14" xfId="36993"/>
    <cellStyle name="Nota 2 5 2 14 2" xfId="36994"/>
    <cellStyle name="Nota 2 5 2 14 2 2" xfId="36995"/>
    <cellStyle name="Nota 2 5 2 14 2 3" xfId="36996"/>
    <cellStyle name="Nota 2 5 2 14 3" xfId="36997"/>
    <cellStyle name="Nota 2 5 2 14 3 2" xfId="36998"/>
    <cellStyle name="Nota 2 5 2 14 3 3" xfId="36999"/>
    <cellStyle name="Nota 2 5 2 14 4" xfId="37000"/>
    <cellStyle name="Nota 2 5 2 14 5" xfId="37001"/>
    <cellStyle name="Nota 2 5 2 15" xfId="37002"/>
    <cellStyle name="Nota 2 5 2 15 2" xfId="37003"/>
    <cellStyle name="Nota 2 5 2 15 2 2" xfId="37004"/>
    <cellStyle name="Nota 2 5 2 15 2 3" xfId="37005"/>
    <cellStyle name="Nota 2 5 2 15 3" xfId="37006"/>
    <cellStyle name="Nota 2 5 2 15 3 2" xfId="37007"/>
    <cellStyle name="Nota 2 5 2 15 3 3" xfId="37008"/>
    <cellStyle name="Nota 2 5 2 15 4" xfId="37009"/>
    <cellStyle name="Nota 2 5 2 15 5" xfId="37010"/>
    <cellStyle name="Nota 2 5 2 16" xfId="37011"/>
    <cellStyle name="Nota 2 5 2 16 2" xfId="37012"/>
    <cellStyle name="Nota 2 5 2 16 2 2" xfId="37013"/>
    <cellStyle name="Nota 2 5 2 16 2 3" xfId="37014"/>
    <cellStyle name="Nota 2 5 2 16 3" xfId="37015"/>
    <cellStyle name="Nota 2 5 2 16 3 2" xfId="37016"/>
    <cellStyle name="Nota 2 5 2 16 3 3" xfId="37017"/>
    <cellStyle name="Nota 2 5 2 16 4" xfId="37018"/>
    <cellStyle name="Nota 2 5 2 16 5" xfId="37019"/>
    <cellStyle name="Nota 2 5 2 17" xfId="37020"/>
    <cellStyle name="Nota 2 5 2 17 2" xfId="37021"/>
    <cellStyle name="Nota 2 5 2 17 2 2" xfId="37022"/>
    <cellStyle name="Nota 2 5 2 17 2 3" xfId="37023"/>
    <cellStyle name="Nota 2 5 2 17 3" xfId="37024"/>
    <cellStyle name="Nota 2 5 2 17 3 2" xfId="37025"/>
    <cellStyle name="Nota 2 5 2 17 3 3" xfId="37026"/>
    <cellStyle name="Nota 2 5 2 17 4" xfId="37027"/>
    <cellStyle name="Nota 2 5 2 17 5" xfId="37028"/>
    <cellStyle name="Nota 2 5 2 18" xfId="37029"/>
    <cellStyle name="Nota 2 5 2 18 2" xfId="37030"/>
    <cellStyle name="Nota 2 5 2 18 2 2" xfId="37031"/>
    <cellStyle name="Nota 2 5 2 18 2 3" xfId="37032"/>
    <cellStyle name="Nota 2 5 2 18 3" xfId="37033"/>
    <cellStyle name="Nota 2 5 2 18 3 2" xfId="37034"/>
    <cellStyle name="Nota 2 5 2 18 3 3" xfId="37035"/>
    <cellStyle name="Nota 2 5 2 18 4" xfId="37036"/>
    <cellStyle name="Nota 2 5 2 18 5" xfId="37037"/>
    <cellStyle name="Nota 2 5 2 19" xfId="37038"/>
    <cellStyle name="Nota 2 5 2 19 2" xfId="37039"/>
    <cellStyle name="Nota 2 5 2 19 2 2" xfId="37040"/>
    <cellStyle name="Nota 2 5 2 19 2 3" xfId="37041"/>
    <cellStyle name="Nota 2 5 2 19 3" xfId="37042"/>
    <cellStyle name="Nota 2 5 2 19 3 2" xfId="37043"/>
    <cellStyle name="Nota 2 5 2 19 3 3" xfId="37044"/>
    <cellStyle name="Nota 2 5 2 19 4" xfId="37045"/>
    <cellStyle name="Nota 2 5 2 19 5" xfId="37046"/>
    <cellStyle name="Nota 2 5 2 2" xfId="37047"/>
    <cellStyle name="Nota 2 5 2 2 2" xfId="37048"/>
    <cellStyle name="Nota 2 5 2 2 2 2" xfId="37049"/>
    <cellStyle name="Nota 2 5 2 2 2 3" xfId="37050"/>
    <cellStyle name="Nota 2 5 2 2 3" xfId="37051"/>
    <cellStyle name="Nota 2 5 2 2 3 2" xfId="37052"/>
    <cellStyle name="Nota 2 5 2 2 3 3" xfId="37053"/>
    <cellStyle name="Nota 2 5 2 2 4" xfId="37054"/>
    <cellStyle name="Nota 2 5 2 2 5" xfId="37055"/>
    <cellStyle name="Nota 2 5 2 20" xfId="37056"/>
    <cellStyle name="Nota 2 5 2 20 2" xfId="37057"/>
    <cellStyle name="Nota 2 5 2 20 2 2" xfId="37058"/>
    <cellStyle name="Nota 2 5 2 20 2 3" xfId="37059"/>
    <cellStyle name="Nota 2 5 2 20 3" xfId="37060"/>
    <cellStyle name="Nota 2 5 2 20 3 2" xfId="37061"/>
    <cellStyle name="Nota 2 5 2 20 3 3" xfId="37062"/>
    <cellStyle name="Nota 2 5 2 20 4" xfId="37063"/>
    <cellStyle name="Nota 2 5 2 20 5" xfId="37064"/>
    <cellStyle name="Nota 2 5 2 21" xfId="37065"/>
    <cellStyle name="Nota 2 5 2 21 2" xfId="37066"/>
    <cellStyle name="Nota 2 5 2 21 2 2" xfId="37067"/>
    <cellStyle name="Nota 2 5 2 21 2 3" xfId="37068"/>
    <cellStyle name="Nota 2 5 2 21 3" xfId="37069"/>
    <cellStyle name="Nota 2 5 2 21 3 2" xfId="37070"/>
    <cellStyle name="Nota 2 5 2 21 3 3" xfId="37071"/>
    <cellStyle name="Nota 2 5 2 21 4" xfId="37072"/>
    <cellStyle name="Nota 2 5 2 21 5" xfId="37073"/>
    <cellStyle name="Nota 2 5 2 22" xfId="37074"/>
    <cellStyle name="Nota 2 5 2 22 2" xfId="37075"/>
    <cellStyle name="Nota 2 5 2 22 2 2" xfId="37076"/>
    <cellStyle name="Nota 2 5 2 22 2 3" xfId="37077"/>
    <cellStyle name="Nota 2 5 2 22 3" xfId="37078"/>
    <cellStyle name="Nota 2 5 2 22 3 2" xfId="37079"/>
    <cellStyle name="Nota 2 5 2 22 3 3" xfId="37080"/>
    <cellStyle name="Nota 2 5 2 22 4" xfId="37081"/>
    <cellStyle name="Nota 2 5 2 22 5" xfId="37082"/>
    <cellStyle name="Nota 2 5 2 23" xfId="37083"/>
    <cellStyle name="Nota 2 5 2 23 2" xfId="37084"/>
    <cellStyle name="Nota 2 5 2 23 2 2" xfId="37085"/>
    <cellStyle name="Nota 2 5 2 23 2 3" xfId="37086"/>
    <cellStyle name="Nota 2 5 2 23 3" xfId="37087"/>
    <cellStyle name="Nota 2 5 2 23 3 2" xfId="37088"/>
    <cellStyle name="Nota 2 5 2 23 3 3" xfId="37089"/>
    <cellStyle name="Nota 2 5 2 23 4" xfId="37090"/>
    <cellStyle name="Nota 2 5 2 23 5" xfId="37091"/>
    <cellStyle name="Nota 2 5 2 24" xfId="37092"/>
    <cellStyle name="Nota 2 5 2 24 2" xfId="37093"/>
    <cellStyle name="Nota 2 5 2 24 2 2" xfId="37094"/>
    <cellStyle name="Nota 2 5 2 24 2 3" xfId="37095"/>
    <cellStyle name="Nota 2 5 2 24 3" xfId="37096"/>
    <cellStyle name="Nota 2 5 2 24 3 2" xfId="37097"/>
    <cellStyle name="Nota 2 5 2 24 3 3" xfId="37098"/>
    <cellStyle name="Nota 2 5 2 24 4" xfId="37099"/>
    <cellStyle name="Nota 2 5 2 24 5" xfId="37100"/>
    <cellStyle name="Nota 2 5 2 25" xfId="37101"/>
    <cellStyle name="Nota 2 5 2 25 2" xfId="37102"/>
    <cellStyle name="Nota 2 5 2 25 2 2" xfId="37103"/>
    <cellStyle name="Nota 2 5 2 25 2 3" xfId="37104"/>
    <cellStyle name="Nota 2 5 2 25 3" xfId="37105"/>
    <cellStyle name="Nota 2 5 2 25 3 2" xfId="37106"/>
    <cellStyle name="Nota 2 5 2 25 3 3" xfId="37107"/>
    <cellStyle name="Nota 2 5 2 25 4" xfId="37108"/>
    <cellStyle name="Nota 2 5 2 25 5" xfId="37109"/>
    <cellStyle name="Nota 2 5 2 26" xfId="37110"/>
    <cellStyle name="Nota 2 5 2 26 2" xfId="37111"/>
    <cellStyle name="Nota 2 5 2 26 2 2" xfId="37112"/>
    <cellStyle name="Nota 2 5 2 26 2 3" xfId="37113"/>
    <cellStyle name="Nota 2 5 2 26 3" xfId="37114"/>
    <cellStyle name="Nota 2 5 2 26 3 2" xfId="37115"/>
    <cellStyle name="Nota 2 5 2 26 3 3" xfId="37116"/>
    <cellStyle name="Nota 2 5 2 26 4" xfId="37117"/>
    <cellStyle name="Nota 2 5 2 26 5" xfId="37118"/>
    <cellStyle name="Nota 2 5 2 27" xfId="37119"/>
    <cellStyle name="Nota 2 5 2 27 2" xfId="37120"/>
    <cellStyle name="Nota 2 5 2 27 2 2" xfId="37121"/>
    <cellStyle name="Nota 2 5 2 27 2 3" xfId="37122"/>
    <cellStyle name="Nota 2 5 2 27 3" xfId="37123"/>
    <cellStyle name="Nota 2 5 2 27 3 2" xfId="37124"/>
    <cellStyle name="Nota 2 5 2 27 3 3" xfId="37125"/>
    <cellStyle name="Nota 2 5 2 27 4" xfId="37126"/>
    <cellStyle name="Nota 2 5 2 27 5" xfId="37127"/>
    <cellStyle name="Nota 2 5 2 28" xfId="37128"/>
    <cellStyle name="Nota 2 5 2 28 2" xfId="37129"/>
    <cellStyle name="Nota 2 5 2 28 2 2" xfId="37130"/>
    <cellStyle name="Nota 2 5 2 28 2 3" xfId="37131"/>
    <cellStyle name="Nota 2 5 2 28 3" xfId="37132"/>
    <cellStyle name="Nota 2 5 2 28 3 2" xfId="37133"/>
    <cellStyle name="Nota 2 5 2 28 3 3" xfId="37134"/>
    <cellStyle name="Nota 2 5 2 28 4" xfId="37135"/>
    <cellStyle name="Nota 2 5 2 28 5" xfId="37136"/>
    <cellStyle name="Nota 2 5 2 29" xfId="37137"/>
    <cellStyle name="Nota 2 5 2 29 2" xfId="37138"/>
    <cellStyle name="Nota 2 5 2 29 2 2" xfId="37139"/>
    <cellStyle name="Nota 2 5 2 29 2 3" xfId="37140"/>
    <cellStyle name="Nota 2 5 2 29 3" xfId="37141"/>
    <cellStyle name="Nota 2 5 2 29 3 2" xfId="37142"/>
    <cellStyle name="Nota 2 5 2 29 3 3" xfId="37143"/>
    <cellStyle name="Nota 2 5 2 29 4" xfId="37144"/>
    <cellStyle name="Nota 2 5 2 29 5" xfId="37145"/>
    <cellStyle name="Nota 2 5 2 3" xfId="37146"/>
    <cellStyle name="Nota 2 5 2 3 2" xfId="37147"/>
    <cellStyle name="Nota 2 5 2 3 2 2" xfId="37148"/>
    <cellStyle name="Nota 2 5 2 3 2 3" xfId="37149"/>
    <cellStyle name="Nota 2 5 2 3 3" xfId="37150"/>
    <cellStyle name="Nota 2 5 2 3 3 2" xfId="37151"/>
    <cellStyle name="Nota 2 5 2 3 3 3" xfId="37152"/>
    <cellStyle name="Nota 2 5 2 3 4" xfId="37153"/>
    <cellStyle name="Nota 2 5 2 3 5" xfId="37154"/>
    <cellStyle name="Nota 2 5 2 30" xfId="37155"/>
    <cellStyle name="Nota 2 5 2 30 2" xfId="37156"/>
    <cellStyle name="Nota 2 5 2 30 2 2" xfId="37157"/>
    <cellStyle name="Nota 2 5 2 30 2 3" xfId="37158"/>
    <cellStyle name="Nota 2 5 2 30 3" xfId="37159"/>
    <cellStyle name="Nota 2 5 2 30 3 2" xfId="37160"/>
    <cellStyle name="Nota 2 5 2 30 3 3" xfId="37161"/>
    <cellStyle name="Nota 2 5 2 30 4" xfId="37162"/>
    <cellStyle name="Nota 2 5 2 30 5" xfId="37163"/>
    <cellStyle name="Nota 2 5 2 31" xfId="37164"/>
    <cellStyle name="Nota 2 5 2 31 2" xfId="37165"/>
    <cellStyle name="Nota 2 5 2 31 2 2" xfId="37166"/>
    <cellStyle name="Nota 2 5 2 31 2 3" xfId="37167"/>
    <cellStyle name="Nota 2 5 2 31 3" xfId="37168"/>
    <cellStyle name="Nota 2 5 2 31 3 2" xfId="37169"/>
    <cellStyle name="Nota 2 5 2 31 3 3" xfId="37170"/>
    <cellStyle name="Nota 2 5 2 31 4" xfId="37171"/>
    <cellStyle name="Nota 2 5 2 31 5" xfId="37172"/>
    <cellStyle name="Nota 2 5 2 32" xfId="37173"/>
    <cellStyle name="Nota 2 5 2 32 2" xfId="37174"/>
    <cellStyle name="Nota 2 5 2 32 2 2" xfId="37175"/>
    <cellStyle name="Nota 2 5 2 32 2 3" xfId="37176"/>
    <cellStyle name="Nota 2 5 2 32 3" xfId="37177"/>
    <cellStyle name="Nota 2 5 2 32 3 2" xfId="37178"/>
    <cellStyle name="Nota 2 5 2 32 3 3" xfId="37179"/>
    <cellStyle name="Nota 2 5 2 32 4" xfId="37180"/>
    <cellStyle name="Nota 2 5 2 32 5" xfId="37181"/>
    <cellStyle name="Nota 2 5 2 33" xfId="37182"/>
    <cellStyle name="Nota 2 5 2 33 2" xfId="37183"/>
    <cellStyle name="Nota 2 5 2 33 2 2" xfId="37184"/>
    <cellStyle name="Nota 2 5 2 33 2 3" xfId="37185"/>
    <cellStyle name="Nota 2 5 2 33 3" xfId="37186"/>
    <cellStyle name="Nota 2 5 2 33 3 2" xfId="37187"/>
    <cellStyle name="Nota 2 5 2 33 3 3" xfId="37188"/>
    <cellStyle name="Nota 2 5 2 33 4" xfId="37189"/>
    <cellStyle name="Nota 2 5 2 33 5" xfId="37190"/>
    <cellStyle name="Nota 2 5 2 34" xfId="37191"/>
    <cellStyle name="Nota 2 5 2 34 2" xfId="37192"/>
    <cellStyle name="Nota 2 5 2 34 2 2" xfId="37193"/>
    <cellStyle name="Nota 2 5 2 34 2 3" xfId="37194"/>
    <cellStyle name="Nota 2 5 2 34 3" xfId="37195"/>
    <cellStyle name="Nota 2 5 2 34 3 2" xfId="37196"/>
    <cellStyle name="Nota 2 5 2 34 3 3" xfId="37197"/>
    <cellStyle name="Nota 2 5 2 34 4" xfId="37198"/>
    <cellStyle name="Nota 2 5 2 34 5" xfId="37199"/>
    <cellStyle name="Nota 2 5 2 35" xfId="37200"/>
    <cellStyle name="Nota 2 5 2 35 2" xfId="37201"/>
    <cellStyle name="Nota 2 5 2 35 2 2" xfId="37202"/>
    <cellStyle name="Nota 2 5 2 35 2 3" xfId="37203"/>
    <cellStyle name="Nota 2 5 2 35 3" xfId="37204"/>
    <cellStyle name="Nota 2 5 2 35 3 2" xfId="37205"/>
    <cellStyle name="Nota 2 5 2 35 3 3" xfId="37206"/>
    <cellStyle name="Nota 2 5 2 35 4" xfId="37207"/>
    <cellStyle name="Nota 2 5 2 35 5" xfId="37208"/>
    <cellStyle name="Nota 2 5 2 36" xfId="37209"/>
    <cellStyle name="Nota 2 5 2 36 2" xfId="37210"/>
    <cellStyle name="Nota 2 5 2 36 2 2" xfId="37211"/>
    <cellStyle name="Nota 2 5 2 36 2 3" xfId="37212"/>
    <cellStyle name="Nota 2 5 2 36 3" xfId="37213"/>
    <cellStyle name="Nota 2 5 2 36 3 2" xfId="37214"/>
    <cellStyle name="Nota 2 5 2 36 3 3" xfId="37215"/>
    <cellStyle name="Nota 2 5 2 36 4" xfId="37216"/>
    <cellStyle name="Nota 2 5 2 36 5" xfId="37217"/>
    <cellStyle name="Nota 2 5 2 37" xfId="37218"/>
    <cellStyle name="Nota 2 5 2 37 2" xfId="37219"/>
    <cellStyle name="Nota 2 5 2 37 2 2" xfId="37220"/>
    <cellStyle name="Nota 2 5 2 37 2 3" xfId="37221"/>
    <cellStyle name="Nota 2 5 2 37 3" xfId="37222"/>
    <cellStyle name="Nota 2 5 2 37 3 2" xfId="37223"/>
    <cellStyle name="Nota 2 5 2 37 3 3" xfId="37224"/>
    <cellStyle name="Nota 2 5 2 37 4" xfId="37225"/>
    <cellStyle name="Nota 2 5 2 37 5" xfId="37226"/>
    <cellStyle name="Nota 2 5 2 38" xfId="37227"/>
    <cellStyle name="Nota 2 5 2 38 2" xfId="37228"/>
    <cellStyle name="Nota 2 5 2 38 2 2" xfId="37229"/>
    <cellStyle name="Nota 2 5 2 38 2 3" xfId="37230"/>
    <cellStyle name="Nota 2 5 2 38 3" xfId="37231"/>
    <cellStyle name="Nota 2 5 2 38 3 2" xfId="37232"/>
    <cellStyle name="Nota 2 5 2 38 3 3" xfId="37233"/>
    <cellStyle name="Nota 2 5 2 38 4" xfId="37234"/>
    <cellStyle name="Nota 2 5 2 38 5" xfId="37235"/>
    <cellStyle name="Nota 2 5 2 39" xfId="37236"/>
    <cellStyle name="Nota 2 5 2 39 2" xfId="37237"/>
    <cellStyle name="Nota 2 5 2 39 2 2" xfId="37238"/>
    <cellStyle name="Nota 2 5 2 39 2 3" xfId="37239"/>
    <cellStyle name="Nota 2 5 2 39 3" xfId="37240"/>
    <cellStyle name="Nota 2 5 2 39 3 2" xfId="37241"/>
    <cellStyle name="Nota 2 5 2 39 3 3" xfId="37242"/>
    <cellStyle name="Nota 2 5 2 39 4" xfId="37243"/>
    <cellStyle name="Nota 2 5 2 39 5" xfId="37244"/>
    <cellStyle name="Nota 2 5 2 4" xfId="37245"/>
    <cellStyle name="Nota 2 5 2 4 2" xfId="37246"/>
    <cellStyle name="Nota 2 5 2 4 2 2" xfId="37247"/>
    <cellStyle name="Nota 2 5 2 4 2 3" xfId="37248"/>
    <cellStyle name="Nota 2 5 2 4 3" xfId="37249"/>
    <cellStyle name="Nota 2 5 2 4 3 2" xfId="37250"/>
    <cellStyle name="Nota 2 5 2 4 3 3" xfId="37251"/>
    <cellStyle name="Nota 2 5 2 4 4" xfId="37252"/>
    <cellStyle name="Nota 2 5 2 4 5" xfId="37253"/>
    <cellStyle name="Nota 2 5 2 40" xfId="37254"/>
    <cellStyle name="Nota 2 5 2 40 2" xfId="37255"/>
    <cellStyle name="Nota 2 5 2 40 2 2" xfId="37256"/>
    <cellStyle name="Nota 2 5 2 40 2 3" xfId="37257"/>
    <cellStyle name="Nota 2 5 2 40 3" xfId="37258"/>
    <cellStyle name="Nota 2 5 2 40 3 2" xfId="37259"/>
    <cellStyle name="Nota 2 5 2 40 3 3" xfId="37260"/>
    <cellStyle name="Nota 2 5 2 40 4" xfId="37261"/>
    <cellStyle name="Nota 2 5 2 40 5" xfId="37262"/>
    <cellStyle name="Nota 2 5 2 41" xfId="37263"/>
    <cellStyle name="Nota 2 5 2 41 2" xfId="37264"/>
    <cellStyle name="Nota 2 5 2 41 2 2" xfId="37265"/>
    <cellStyle name="Nota 2 5 2 41 2 3" xfId="37266"/>
    <cellStyle name="Nota 2 5 2 41 3" xfId="37267"/>
    <cellStyle name="Nota 2 5 2 41 4" xfId="37268"/>
    <cellStyle name="Nota 2 5 2 42" xfId="37269"/>
    <cellStyle name="Nota 2 5 2 42 2" xfId="37270"/>
    <cellStyle name="Nota 2 5 2 42 3" xfId="37271"/>
    <cellStyle name="Nota 2 5 2 43" xfId="37272"/>
    <cellStyle name="Nota 2 5 2 43 2" xfId="37273"/>
    <cellStyle name="Nota 2 5 2 43 3" xfId="37274"/>
    <cellStyle name="Nota 2 5 2 44" xfId="37275"/>
    <cellStyle name="Nota 2 5 2 44 2" xfId="37276"/>
    <cellStyle name="Nota 2 5 2 44 3" xfId="37277"/>
    <cellStyle name="Nota 2 5 2 45" xfId="37278"/>
    <cellStyle name="Nota 2 5 2 46" xfId="37279"/>
    <cellStyle name="Nota 2 5 2 5" xfId="37280"/>
    <cellStyle name="Nota 2 5 2 5 2" xfId="37281"/>
    <cellStyle name="Nota 2 5 2 5 2 2" xfId="37282"/>
    <cellStyle name="Nota 2 5 2 5 2 3" xfId="37283"/>
    <cellStyle name="Nota 2 5 2 5 3" xfId="37284"/>
    <cellStyle name="Nota 2 5 2 5 3 2" xfId="37285"/>
    <cellStyle name="Nota 2 5 2 5 3 3" xfId="37286"/>
    <cellStyle name="Nota 2 5 2 5 4" xfId="37287"/>
    <cellStyle name="Nota 2 5 2 5 5" xfId="37288"/>
    <cellStyle name="Nota 2 5 2 6" xfId="37289"/>
    <cellStyle name="Nota 2 5 2 6 2" xfId="37290"/>
    <cellStyle name="Nota 2 5 2 6 2 2" xfId="37291"/>
    <cellStyle name="Nota 2 5 2 6 2 3" xfId="37292"/>
    <cellStyle name="Nota 2 5 2 6 3" xfId="37293"/>
    <cellStyle name="Nota 2 5 2 6 3 2" xfId="37294"/>
    <cellStyle name="Nota 2 5 2 6 3 3" xfId="37295"/>
    <cellStyle name="Nota 2 5 2 6 4" xfId="37296"/>
    <cellStyle name="Nota 2 5 2 6 5" xfId="37297"/>
    <cellStyle name="Nota 2 5 2 7" xfId="37298"/>
    <cellStyle name="Nota 2 5 2 7 2" xfId="37299"/>
    <cellStyle name="Nota 2 5 2 7 2 2" xfId="37300"/>
    <cellStyle name="Nota 2 5 2 7 2 3" xfId="37301"/>
    <cellStyle name="Nota 2 5 2 7 3" xfId="37302"/>
    <cellStyle name="Nota 2 5 2 7 3 2" xfId="37303"/>
    <cellStyle name="Nota 2 5 2 7 3 3" xfId="37304"/>
    <cellStyle name="Nota 2 5 2 7 4" xfId="37305"/>
    <cellStyle name="Nota 2 5 2 7 5" xfId="37306"/>
    <cellStyle name="Nota 2 5 2 8" xfId="37307"/>
    <cellStyle name="Nota 2 5 2 8 2" xfId="37308"/>
    <cellStyle name="Nota 2 5 2 8 2 2" xfId="37309"/>
    <cellStyle name="Nota 2 5 2 8 2 3" xfId="37310"/>
    <cellStyle name="Nota 2 5 2 8 3" xfId="37311"/>
    <cellStyle name="Nota 2 5 2 8 3 2" xfId="37312"/>
    <cellStyle name="Nota 2 5 2 8 3 3" xfId="37313"/>
    <cellStyle name="Nota 2 5 2 8 4" xfId="37314"/>
    <cellStyle name="Nota 2 5 2 8 5" xfId="37315"/>
    <cellStyle name="Nota 2 5 2 9" xfId="37316"/>
    <cellStyle name="Nota 2 5 2 9 2" xfId="37317"/>
    <cellStyle name="Nota 2 5 2 9 2 2" xfId="37318"/>
    <cellStyle name="Nota 2 5 2 9 2 3" xfId="37319"/>
    <cellStyle name="Nota 2 5 2 9 3" xfId="37320"/>
    <cellStyle name="Nota 2 5 2 9 3 2" xfId="37321"/>
    <cellStyle name="Nota 2 5 2 9 3 3" xfId="37322"/>
    <cellStyle name="Nota 2 5 2 9 4" xfId="37323"/>
    <cellStyle name="Nota 2 5 2 9 5" xfId="37324"/>
    <cellStyle name="Nota 2 5 20" xfId="37325"/>
    <cellStyle name="Nota 2 5 20 2" xfId="37326"/>
    <cellStyle name="Nota 2 5 20 2 2" xfId="37327"/>
    <cellStyle name="Nota 2 5 20 2 3" xfId="37328"/>
    <cellStyle name="Nota 2 5 20 3" xfId="37329"/>
    <cellStyle name="Nota 2 5 20 3 2" xfId="37330"/>
    <cellStyle name="Nota 2 5 20 3 3" xfId="37331"/>
    <cellStyle name="Nota 2 5 20 4" xfId="37332"/>
    <cellStyle name="Nota 2 5 20 5" xfId="37333"/>
    <cellStyle name="Nota 2 5 21" xfId="37334"/>
    <cellStyle name="Nota 2 5 21 2" xfId="37335"/>
    <cellStyle name="Nota 2 5 21 2 2" xfId="37336"/>
    <cellStyle name="Nota 2 5 21 2 3" xfId="37337"/>
    <cellStyle name="Nota 2 5 21 3" xfId="37338"/>
    <cellStyle name="Nota 2 5 21 3 2" xfId="37339"/>
    <cellStyle name="Nota 2 5 21 3 3" xfId="37340"/>
    <cellStyle name="Nota 2 5 21 4" xfId="37341"/>
    <cellStyle name="Nota 2 5 21 5" xfId="37342"/>
    <cellStyle name="Nota 2 5 22" xfId="37343"/>
    <cellStyle name="Nota 2 5 22 2" xfId="37344"/>
    <cellStyle name="Nota 2 5 22 2 2" xfId="37345"/>
    <cellStyle name="Nota 2 5 22 2 3" xfId="37346"/>
    <cellStyle name="Nota 2 5 22 3" xfId="37347"/>
    <cellStyle name="Nota 2 5 22 3 2" xfId="37348"/>
    <cellStyle name="Nota 2 5 22 3 3" xfId="37349"/>
    <cellStyle name="Nota 2 5 22 4" xfId="37350"/>
    <cellStyle name="Nota 2 5 22 5" xfId="37351"/>
    <cellStyle name="Nota 2 5 23" xfId="37352"/>
    <cellStyle name="Nota 2 5 23 2" xfId="37353"/>
    <cellStyle name="Nota 2 5 23 2 2" xfId="37354"/>
    <cellStyle name="Nota 2 5 23 2 3" xfId="37355"/>
    <cellStyle name="Nota 2 5 23 3" xfId="37356"/>
    <cellStyle name="Nota 2 5 23 3 2" xfId="37357"/>
    <cellStyle name="Nota 2 5 23 3 3" xfId="37358"/>
    <cellStyle name="Nota 2 5 23 4" xfId="37359"/>
    <cellStyle name="Nota 2 5 23 5" xfId="37360"/>
    <cellStyle name="Nota 2 5 24" xfId="37361"/>
    <cellStyle name="Nota 2 5 24 2" xfId="37362"/>
    <cellStyle name="Nota 2 5 24 2 2" xfId="37363"/>
    <cellStyle name="Nota 2 5 24 2 3" xfId="37364"/>
    <cellStyle name="Nota 2 5 24 3" xfId="37365"/>
    <cellStyle name="Nota 2 5 24 3 2" xfId="37366"/>
    <cellStyle name="Nota 2 5 24 3 3" xfId="37367"/>
    <cellStyle name="Nota 2 5 24 4" xfId="37368"/>
    <cellStyle name="Nota 2 5 24 5" xfId="37369"/>
    <cellStyle name="Nota 2 5 25" xfId="37370"/>
    <cellStyle name="Nota 2 5 25 2" xfId="37371"/>
    <cellStyle name="Nota 2 5 25 2 2" xfId="37372"/>
    <cellStyle name="Nota 2 5 25 2 3" xfId="37373"/>
    <cellStyle name="Nota 2 5 25 3" xfId="37374"/>
    <cellStyle name="Nota 2 5 25 3 2" xfId="37375"/>
    <cellStyle name="Nota 2 5 25 3 3" xfId="37376"/>
    <cellStyle name="Nota 2 5 25 4" xfId="37377"/>
    <cellStyle name="Nota 2 5 25 5" xfId="37378"/>
    <cellStyle name="Nota 2 5 26" xfId="37379"/>
    <cellStyle name="Nota 2 5 26 2" xfId="37380"/>
    <cellStyle name="Nota 2 5 26 2 2" xfId="37381"/>
    <cellStyle name="Nota 2 5 26 2 3" xfId="37382"/>
    <cellStyle name="Nota 2 5 26 3" xfId="37383"/>
    <cellStyle name="Nota 2 5 26 3 2" xfId="37384"/>
    <cellStyle name="Nota 2 5 26 3 3" xfId="37385"/>
    <cellStyle name="Nota 2 5 26 4" xfId="37386"/>
    <cellStyle name="Nota 2 5 26 5" xfId="37387"/>
    <cellStyle name="Nota 2 5 27" xfId="37388"/>
    <cellStyle name="Nota 2 5 27 2" xfId="37389"/>
    <cellStyle name="Nota 2 5 27 2 2" xfId="37390"/>
    <cellStyle name="Nota 2 5 27 2 3" xfId="37391"/>
    <cellStyle name="Nota 2 5 27 3" xfId="37392"/>
    <cellStyle name="Nota 2 5 27 3 2" xfId="37393"/>
    <cellStyle name="Nota 2 5 27 3 3" xfId="37394"/>
    <cellStyle name="Nota 2 5 27 4" xfId="37395"/>
    <cellStyle name="Nota 2 5 27 5" xfId="37396"/>
    <cellStyle name="Nota 2 5 28" xfId="37397"/>
    <cellStyle name="Nota 2 5 28 2" xfId="37398"/>
    <cellStyle name="Nota 2 5 28 2 2" xfId="37399"/>
    <cellStyle name="Nota 2 5 28 2 3" xfId="37400"/>
    <cellStyle name="Nota 2 5 28 3" xfId="37401"/>
    <cellStyle name="Nota 2 5 28 3 2" xfId="37402"/>
    <cellStyle name="Nota 2 5 28 3 3" xfId="37403"/>
    <cellStyle name="Nota 2 5 28 4" xfId="37404"/>
    <cellStyle name="Nota 2 5 28 5" xfId="37405"/>
    <cellStyle name="Nota 2 5 29" xfId="37406"/>
    <cellStyle name="Nota 2 5 29 2" xfId="37407"/>
    <cellStyle name="Nota 2 5 29 2 2" xfId="37408"/>
    <cellStyle name="Nota 2 5 29 2 3" xfId="37409"/>
    <cellStyle name="Nota 2 5 29 3" xfId="37410"/>
    <cellStyle name="Nota 2 5 29 3 2" xfId="37411"/>
    <cellStyle name="Nota 2 5 29 3 3" xfId="37412"/>
    <cellStyle name="Nota 2 5 29 4" xfId="37413"/>
    <cellStyle name="Nota 2 5 29 5" xfId="37414"/>
    <cellStyle name="Nota 2 5 3" xfId="37415"/>
    <cellStyle name="Nota 2 5 3 10" xfId="37416"/>
    <cellStyle name="Nota 2 5 3 10 2" xfId="37417"/>
    <cellStyle name="Nota 2 5 3 10 2 2" xfId="37418"/>
    <cellStyle name="Nota 2 5 3 10 2 3" xfId="37419"/>
    <cellStyle name="Nota 2 5 3 10 3" xfId="37420"/>
    <cellStyle name="Nota 2 5 3 10 3 2" xfId="37421"/>
    <cellStyle name="Nota 2 5 3 10 3 3" xfId="37422"/>
    <cellStyle name="Nota 2 5 3 10 4" xfId="37423"/>
    <cellStyle name="Nota 2 5 3 10 5" xfId="37424"/>
    <cellStyle name="Nota 2 5 3 11" xfId="37425"/>
    <cellStyle name="Nota 2 5 3 11 2" xfId="37426"/>
    <cellStyle name="Nota 2 5 3 11 2 2" xfId="37427"/>
    <cellStyle name="Nota 2 5 3 11 2 3" xfId="37428"/>
    <cellStyle name="Nota 2 5 3 11 3" xfId="37429"/>
    <cellStyle name="Nota 2 5 3 11 3 2" xfId="37430"/>
    <cellStyle name="Nota 2 5 3 11 3 3" xfId="37431"/>
    <cellStyle name="Nota 2 5 3 11 4" xfId="37432"/>
    <cellStyle name="Nota 2 5 3 11 5" xfId="37433"/>
    <cellStyle name="Nota 2 5 3 12" xfId="37434"/>
    <cellStyle name="Nota 2 5 3 12 2" xfId="37435"/>
    <cellStyle name="Nota 2 5 3 12 2 2" xfId="37436"/>
    <cellStyle name="Nota 2 5 3 12 2 3" xfId="37437"/>
    <cellStyle name="Nota 2 5 3 12 3" xfId="37438"/>
    <cellStyle name="Nota 2 5 3 12 3 2" xfId="37439"/>
    <cellStyle name="Nota 2 5 3 12 3 3" xfId="37440"/>
    <cellStyle name="Nota 2 5 3 12 4" xfId="37441"/>
    <cellStyle name="Nota 2 5 3 12 5" xfId="37442"/>
    <cellStyle name="Nota 2 5 3 13" xfId="37443"/>
    <cellStyle name="Nota 2 5 3 13 2" xfId="37444"/>
    <cellStyle name="Nota 2 5 3 13 2 2" xfId="37445"/>
    <cellStyle name="Nota 2 5 3 13 2 3" xfId="37446"/>
    <cellStyle name="Nota 2 5 3 13 3" xfId="37447"/>
    <cellStyle name="Nota 2 5 3 13 3 2" xfId="37448"/>
    <cellStyle name="Nota 2 5 3 13 3 3" xfId="37449"/>
    <cellStyle name="Nota 2 5 3 13 4" xfId="37450"/>
    <cellStyle name="Nota 2 5 3 13 5" xfId="37451"/>
    <cellStyle name="Nota 2 5 3 14" xfId="37452"/>
    <cellStyle name="Nota 2 5 3 14 2" xfId="37453"/>
    <cellStyle name="Nota 2 5 3 14 2 2" xfId="37454"/>
    <cellStyle name="Nota 2 5 3 14 2 3" xfId="37455"/>
    <cellStyle name="Nota 2 5 3 14 3" xfId="37456"/>
    <cellStyle name="Nota 2 5 3 14 3 2" xfId="37457"/>
    <cellStyle name="Nota 2 5 3 14 3 3" xfId="37458"/>
    <cellStyle name="Nota 2 5 3 14 4" xfId="37459"/>
    <cellStyle name="Nota 2 5 3 14 5" xfId="37460"/>
    <cellStyle name="Nota 2 5 3 15" xfId="37461"/>
    <cellStyle name="Nota 2 5 3 15 2" xfId="37462"/>
    <cellStyle name="Nota 2 5 3 15 2 2" xfId="37463"/>
    <cellStyle name="Nota 2 5 3 15 2 3" xfId="37464"/>
    <cellStyle name="Nota 2 5 3 15 3" xfId="37465"/>
    <cellStyle name="Nota 2 5 3 15 3 2" xfId="37466"/>
    <cellStyle name="Nota 2 5 3 15 3 3" xfId="37467"/>
    <cellStyle name="Nota 2 5 3 15 4" xfId="37468"/>
    <cellStyle name="Nota 2 5 3 15 5" xfId="37469"/>
    <cellStyle name="Nota 2 5 3 16" xfId="37470"/>
    <cellStyle name="Nota 2 5 3 16 2" xfId="37471"/>
    <cellStyle name="Nota 2 5 3 16 2 2" xfId="37472"/>
    <cellStyle name="Nota 2 5 3 16 2 3" xfId="37473"/>
    <cellStyle name="Nota 2 5 3 16 3" xfId="37474"/>
    <cellStyle name="Nota 2 5 3 16 3 2" xfId="37475"/>
    <cellStyle name="Nota 2 5 3 16 3 3" xfId="37476"/>
    <cellStyle name="Nota 2 5 3 16 4" xfId="37477"/>
    <cellStyle name="Nota 2 5 3 16 5" xfId="37478"/>
    <cellStyle name="Nota 2 5 3 17" xfId="37479"/>
    <cellStyle name="Nota 2 5 3 17 2" xfId="37480"/>
    <cellStyle name="Nota 2 5 3 17 2 2" xfId="37481"/>
    <cellStyle name="Nota 2 5 3 17 2 3" xfId="37482"/>
    <cellStyle name="Nota 2 5 3 17 3" xfId="37483"/>
    <cellStyle name="Nota 2 5 3 17 3 2" xfId="37484"/>
    <cellStyle name="Nota 2 5 3 17 3 3" xfId="37485"/>
    <cellStyle name="Nota 2 5 3 17 4" xfId="37486"/>
    <cellStyle name="Nota 2 5 3 17 5" xfId="37487"/>
    <cellStyle name="Nota 2 5 3 18" xfId="37488"/>
    <cellStyle name="Nota 2 5 3 18 2" xfId="37489"/>
    <cellStyle name="Nota 2 5 3 18 2 2" xfId="37490"/>
    <cellStyle name="Nota 2 5 3 18 2 3" xfId="37491"/>
    <cellStyle name="Nota 2 5 3 18 3" xfId="37492"/>
    <cellStyle name="Nota 2 5 3 18 3 2" xfId="37493"/>
    <cellStyle name="Nota 2 5 3 18 3 3" xfId="37494"/>
    <cellStyle name="Nota 2 5 3 18 4" xfId="37495"/>
    <cellStyle name="Nota 2 5 3 18 5" xfId="37496"/>
    <cellStyle name="Nota 2 5 3 19" xfId="37497"/>
    <cellStyle name="Nota 2 5 3 19 2" xfId="37498"/>
    <cellStyle name="Nota 2 5 3 19 2 2" xfId="37499"/>
    <cellStyle name="Nota 2 5 3 19 2 3" xfId="37500"/>
    <cellStyle name="Nota 2 5 3 19 3" xfId="37501"/>
    <cellStyle name="Nota 2 5 3 19 3 2" xfId="37502"/>
    <cellStyle name="Nota 2 5 3 19 3 3" xfId="37503"/>
    <cellStyle name="Nota 2 5 3 19 4" xfId="37504"/>
    <cellStyle name="Nota 2 5 3 19 5" xfId="37505"/>
    <cellStyle name="Nota 2 5 3 2" xfId="37506"/>
    <cellStyle name="Nota 2 5 3 2 2" xfId="37507"/>
    <cellStyle name="Nota 2 5 3 2 2 2" xfId="37508"/>
    <cellStyle name="Nota 2 5 3 2 2 3" xfId="37509"/>
    <cellStyle name="Nota 2 5 3 2 3" xfId="37510"/>
    <cellStyle name="Nota 2 5 3 2 3 2" xfId="37511"/>
    <cellStyle name="Nota 2 5 3 2 3 3" xfId="37512"/>
    <cellStyle name="Nota 2 5 3 2 4" xfId="37513"/>
    <cellStyle name="Nota 2 5 3 2 5" xfId="37514"/>
    <cellStyle name="Nota 2 5 3 20" xfId="37515"/>
    <cellStyle name="Nota 2 5 3 20 2" xfId="37516"/>
    <cellStyle name="Nota 2 5 3 20 2 2" xfId="37517"/>
    <cellStyle name="Nota 2 5 3 20 2 3" xfId="37518"/>
    <cellStyle name="Nota 2 5 3 20 3" xfId="37519"/>
    <cellStyle name="Nota 2 5 3 20 3 2" xfId="37520"/>
    <cellStyle name="Nota 2 5 3 20 3 3" xfId="37521"/>
    <cellStyle name="Nota 2 5 3 20 4" xfId="37522"/>
    <cellStyle name="Nota 2 5 3 20 5" xfId="37523"/>
    <cellStyle name="Nota 2 5 3 21" xfId="37524"/>
    <cellStyle name="Nota 2 5 3 21 2" xfId="37525"/>
    <cellStyle name="Nota 2 5 3 21 2 2" xfId="37526"/>
    <cellStyle name="Nota 2 5 3 21 2 3" xfId="37527"/>
    <cellStyle name="Nota 2 5 3 21 3" xfId="37528"/>
    <cellStyle name="Nota 2 5 3 21 3 2" xfId="37529"/>
    <cellStyle name="Nota 2 5 3 21 3 3" xfId="37530"/>
    <cellStyle name="Nota 2 5 3 21 4" xfId="37531"/>
    <cellStyle name="Nota 2 5 3 21 5" xfId="37532"/>
    <cellStyle name="Nota 2 5 3 22" xfId="37533"/>
    <cellStyle name="Nota 2 5 3 22 2" xfId="37534"/>
    <cellStyle name="Nota 2 5 3 22 2 2" xfId="37535"/>
    <cellStyle name="Nota 2 5 3 22 2 3" xfId="37536"/>
    <cellStyle name="Nota 2 5 3 22 3" xfId="37537"/>
    <cellStyle name="Nota 2 5 3 22 3 2" xfId="37538"/>
    <cellStyle name="Nota 2 5 3 22 3 3" xfId="37539"/>
    <cellStyle name="Nota 2 5 3 22 4" xfId="37540"/>
    <cellStyle name="Nota 2 5 3 22 5" xfId="37541"/>
    <cellStyle name="Nota 2 5 3 23" xfId="37542"/>
    <cellStyle name="Nota 2 5 3 23 2" xfId="37543"/>
    <cellStyle name="Nota 2 5 3 23 2 2" xfId="37544"/>
    <cellStyle name="Nota 2 5 3 23 2 3" xfId="37545"/>
    <cellStyle name="Nota 2 5 3 23 3" xfId="37546"/>
    <cellStyle name="Nota 2 5 3 23 3 2" xfId="37547"/>
    <cellStyle name="Nota 2 5 3 23 3 3" xfId="37548"/>
    <cellStyle name="Nota 2 5 3 23 4" xfId="37549"/>
    <cellStyle name="Nota 2 5 3 23 5" xfId="37550"/>
    <cellStyle name="Nota 2 5 3 24" xfId="37551"/>
    <cellStyle name="Nota 2 5 3 24 2" xfId="37552"/>
    <cellStyle name="Nota 2 5 3 24 2 2" xfId="37553"/>
    <cellStyle name="Nota 2 5 3 24 2 3" xfId="37554"/>
    <cellStyle name="Nota 2 5 3 24 3" xfId="37555"/>
    <cellStyle name="Nota 2 5 3 24 3 2" xfId="37556"/>
    <cellStyle name="Nota 2 5 3 24 3 3" xfId="37557"/>
    <cellStyle name="Nota 2 5 3 24 4" xfId="37558"/>
    <cellStyle name="Nota 2 5 3 24 5" xfId="37559"/>
    <cellStyle name="Nota 2 5 3 25" xfId="37560"/>
    <cellStyle name="Nota 2 5 3 25 2" xfId="37561"/>
    <cellStyle name="Nota 2 5 3 25 2 2" xfId="37562"/>
    <cellStyle name="Nota 2 5 3 25 2 3" xfId="37563"/>
    <cellStyle name="Nota 2 5 3 25 3" xfId="37564"/>
    <cellStyle name="Nota 2 5 3 25 3 2" xfId="37565"/>
    <cellStyle name="Nota 2 5 3 25 3 3" xfId="37566"/>
    <cellStyle name="Nota 2 5 3 25 4" xfId="37567"/>
    <cellStyle name="Nota 2 5 3 25 5" xfId="37568"/>
    <cellStyle name="Nota 2 5 3 26" xfId="37569"/>
    <cellStyle name="Nota 2 5 3 26 2" xfId="37570"/>
    <cellStyle name="Nota 2 5 3 26 2 2" xfId="37571"/>
    <cellStyle name="Nota 2 5 3 26 2 3" xfId="37572"/>
    <cellStyle name="Nota 2 5 3 26 3" xfId="37573"/>
    <cellStyle name="Nota 2 5 3 26 3 2" xfId="37574"/>
    <cellStyle name="Nota 2 5 3 26 3 3" xfId="37575"/>
    <cellStyle name="Nota 2 5 3 26 4" xfId="37576"/>
    <cellStyle name="Nota 2 5 3 26 5" xfId="37577"/>
    <cellStyle name="Nota 2 5 3 27" xfId="37578"/>
    <cellStyle name="Nota 2 5 3 27 2" xfId="37579"/>
    <cellStyle name="Nota 2 5 3 27 2 2" xfId="37580"/>
    <cellStyle name="Nota 2 5 3 27 2 3" xfId="37581"/>
    <cellStyle name="Nota 2 5 3 27 3" xfId="37582"/>
    <cellStyle name="Nota 2 5 3 27 3 2" xfId="37583"/>
    <cellStyle name="Nota 2 5 3 27 3 3" xfId="37584"/>
    <cellStyle name="Nota 2 5 3 27 4" xfId="37585"/>
    <cellStyle name="Nota 2 5 3 27 5" xfId="37586"/>
    <cellStyle name="Nota 2 5 3 28" xfId="37587"/>
    <cellStyle name="Nota 2 5 3 28 2" xfId="37588"/>
    <cellStyle name="Nota 2 5 3 28 2 2" xfId="37589"/>
    <cellStyle name="Nota 2 5 3 28 2 3" xfId="37590"/>
    <cellStyle name="Nota 2 5 3 28 3" xfId="37591"/>
    <cellStyle name="Nota 2 5 3 28 3 2" xfId="37592"/>
    <cellStyle name="Nota 2 5 3 28 3 3" xfId="37593"/>
    <cellStyle name="Nota 2 5 3 28 4" xfId="37594"/>
    <cellStyle name="Nota 2 5 3 28 5" xfId="37595"/>
    <cellStyle name="Nota 2 5 3 29" xfId="37596"/>
    <cellStyle name="Nota 2 5 3 29 2" xfId="37597"/>
    <cellStyle name="Nota 2 5 3 29 2 2" xfId="37598"/>
    <cellStyle name="Nota 2 5 3 29 2 3" xfId="37599"/>
    <cellStyle name="Nota 2 5 3 29 3" xfId="37600"/>
    <cellStyle name="Nota 2 5 3 29 3 2" xfId="37601"/>
    <cellStyle name="Nota 2 5 3 29 3 3" xfId="37602"/>
    <cellStyle name="Nota 2 5 3 29 4" xfId="37603"/>
    <cellStyle name="Nota 2 5 3 29 5" xfId="37604"/>
    <cellStyle name="Nota 2 5 3 3" xfId="37605"/>
    <cellStyle name="Nota 2 5 3 3 2" xfId="37606"/>
    <cellStyle name="Nota 2 5 3 3 2 2" xfId="37607"/>
    <cellStyle name="Nota 2 5 3 3 2 3" xfId="37608"/>
    <cellStyle name="Nota 2 5 3 3 3" xfId="37609"/>
    <cellStyle name="Nota 2 5 3 3 3 2" xfId="37610"/>
    <cellStyle name="Nota 2 5 3 3 3 3" xfId="37611"/>
    <cellStyle name="Nota 2 5 3 3 4" xfId="37612"/>
    <cellStyle name="Nota 2 5 3 3 5" xfId="37613"/>
    <cellStyle name="Nota 2 5 3 30" xfId="37614"/>
    <cellStyle name="Nota 2 5 3 30 2" xfId="37615"/>
    <cellStyle name="Nota 2 5 3 30 2 2" xfId="37616"/>
    <cellStyle name="Nota 2 5 3 30 2 3" xfId="37617"/>
    <cellStyle name="Nota 2 5 3 30 3" xfId="37618"/>
    <cellStyle name="Nota 2 5 3 30 3 2" xfId="37619"/>
    <cellStyle name="Nota 2 5 3 30 3 3" xfId="37620"/>
    <cellStyle name="Nota 2 5 3 30 4" xfId="37621"/>
    <cellStyle name="Nota 2 5 3 30 5" xfId="37622"/>
    <cellStyle name="Nota 2 5 3 31" xfId="37623"/>
    <cellStyle name="Nota 2 5 3 31 2" xfId="37624"/>
    <cellStyle name="Nota 2 5 3 31 2 2" xfId="37625"/>
    <cellStyle name="Nota 2 5 3 31 2 3" xfId="37626"/>
    <cellStyle name="Nota 2 5 3 31 3" xfId="37627"/>
    <cellStyle name="Nota 2 5 3 31 3 2" xfId="37628"/>
    <cellStyle name="Nota 2 5 3 31 3 3" xfId="37629"/>
    <cellStyle name="Nota 2 5 3 31 4" xfId="37630"/>
    <cellStyle name="Nota 2 5 3 31 5" xfId="37631"/>
    <cellStyle name="Nota 2 5 3 32" xfId="37632"/>
    <cellStyle name="Nota 2 5 3 32 2" xfId="37633"/>
    <cellStyle name="Nota 2 5 3 32 2 2" xfId="37634"/>
    <cellStyle name="Nota 2 5 3 32 2 3" xfId="37635"/>
    <cellStyle name="Nota 2 5 3 32 3" xfId="37636"/>
    <cellStyle name="Nota 2 5 3 32 3 2" xfId="37637"/>
    <cellStyle name="Nota 2 5 3 32 3 3" xfId="37638"/>
    <cellStyle name="Nota 2 5 3 32 4" xfId="37639"/>
    <cellStyle name="Nota 2 5 3 32 5" xfId="37640"/>
    <cellStyle name="Nota 2 5 3 33" xfId="37641"/>
    <cellStyle name="Nota 2 5 3 33 2" xfId="37642"/>
    <cellStyle name="Nota 2 5 3 33 2 2" xfId="37643"/>
    <cellStyle name="Nota 2 5 3 33 2 3" xfId="37644"/>
    <cellStyle name="Nota 2 5 3 33 3" xfId="37645"/>
    <cellStyle name="Nota 2 5 3 33 3 2" xfId="37646"/>
    <cellStyle name="Nota 2 5 3 33 3 3" xfId="37647"/>
    <cellStyle name="Nota 2 5 3 33 4" xfId="37648"/>
    <cellStyle name="Nota 2 5 3 33 5" xfId="37649"/>
    <cellStyle name="Nota 2 5 3 34" xfId="37650"/>
    <cellStyle name="Nota 2 5 3 34 2" xfId="37651"/>
    <cellStyle name="Nota 2 5 3 34 2 2" xfId="37652"/>
    <cellStyle name="Nota 2 5 3 34 2 3" xfId="37653"/>
    <cellStyle name="Nota 2 5 3 34 3" xfId="37654"/>
    <cellStyle name="Nota 2 5 3 34 3 2" xfId="37655"/>
    <cellStyle name="Nota 2 5 3 34 3 3" xfId="37656"/>
    <cellStyle name="Nota 2 5 3 34 4" xfId="37657"/>
    <cellStyle name="Nota 2 5 3 34 5" xfId="37658"/>
    <cellStyle name="Nota 2 5 3 35" xfId="37659"/>
    <cellStyle name="Nota 2 5 3 35 2" xfId="37660"/>
    <cellStyle name="Nota 2 5 3 35 2 2" xfId="37661"/>
    <cellStyle name="Nota 2 5 3 35 2 3" xfId="37662"/>
    <cellStyle name="Nota 2 5 3 35 3" xfId="37663"/>
    <cellStyle name="Nota 2 5 3 35 3 2" xfId="37664"/>
    <cellStyle name="Nota 2 5 3 35 3 3" xfId="37665"/>
    <cellStyle name="Nota 2 5 3 35 4" xfId="37666"/>
    <cellStyle name="Nota 2 5 3 35 5" xfId="37667"/>
    <cellStyle name="Nota 2 5 3 36" xfId="37668"/>
    <cellStyle name="Nota 2 5 3 36 2" xfId="37669"/>
    <cellStyle name="Nota 2 5 3 36 2 2" xfId="37670"/>
    <cellStyle name="Nota 2 5 3 36 2 3" xfId="37671"/>
    <cellStyle name="Nota 2 5 3 36 3" xfId="37672"/>
    <cellStyle name="Nota 2 5 3 36 3 2" xfId="37673"/>
    <cellStyle name="Nota 2 5 3 36 3 3" xfId="37674"/>
    <cellStyle name="Nota 2 5 3 36 4" xfId="37675"/>
    <cellStyle name="Nota 2 5 3 36 5" xfId="37676"/>
    <cellStyle name="Nota 2 5 3 37" xfId="37677"/>
    <cellStyle name="Nota 2 5 3 37 2" xfId="37678"/>
    <cellStyle name="Nota 2 5 3 37 2 2" xfId="37679"/>
    <cellStyle name="Nota 2 5 3 37 2 3" xfId="37680"/>
    <cellStyle name="Nota 2 5 3 37 3" xfId="37681"/>
    <cellStyle name="Nota 2 5 3 37 3 2" xfId="37682"/>
    <cellStyle name="Nota 2 5 3 37 3 3" xfId="37683"/>
    <cellStyle name="Nota 2 5 3 37 4" xfId="37684"/>
    <cellStyle name="Nota 2 5 3 37 5" xfId="37685"/>
    <cellStyle name="Nota 2 5 3 38" xfId="37686"/>
    <cellStyle name="Nota 2 5 3 38 2" xfId="37687"/>
    <cellStyle name="Nota 2 5 3 38 2 2" xfId="37688"/>
    <cellStyle name="Nota 2 5 3 38 2 3" xfId="37689"/>
    <cellStyle name="Nota 2 5 3 38 3" xfId="37690"/>
    <cellStyle name="Nota 2 5 3 38 3 2" xfId="37691"/>
    <cellStyle name="Nota 2 5 3 38 3 3" xfId="37692"/>
    <cellStyle name="Nota 2 5 3 38 4" xfId="37693"/>
    <cellStyle name="Nota 2 5 3 38 5" xfId="37694"/>
    <cellStyle name="Nota 2 5 3 39" xfId="37695"/>
    <cellStyle name="Nota 2 5 3 39 2" xfId="37696"/>
    <cellStyle name="Nota 2 5 3 39 2 2" xfId="37697"/>
    <cellStyle name="Nota 2 5 3 39 2 3" xfId="37698"/>
    <cellStyle name="Nota 2 5 3 39 3" xfId="37699"/>
    <cellStyle name="Nota 2 5 3 39 3 2" xfId="37700"/>
    <cellStyle name="Nota 2 5 3 39 3 3" xfId="37701"/>
    <cellStyle name="Nota 2 5 3 39 4" xfId="37702"/>
    <cellStyle name="Nota 2 5 3 39 5" xfId="37703"/>
    <cellStyle name="Nota 2 5 3 4" xfId="37704"/>
    <cellStyle name="Nota 2 5 3 4 2" xfId="37705"/>
    <cellStyle name="Nota 2 5 3 4 2 2" xfId="37706"/>
    <cellStyle name="Nota 2 5 3 4 2 3" xfId="37707"/>
    <cellStyle name="Nota 2 5 3 4 3" xfId="37708"/>
    <cellStyle name="Nota 2 5 3 4 3 2" xfId="37709"/>
    <cellStyle name="Nota 2 5 3 4 3 3" xfId="37710"/>
    <cellStyle name="Nota 2 5 3 4 4" xfId="37711"/>
    <cellStyle name="Nota 2 5 3 4 5" xfId="37712"/>
    <cellStyle name="Nota 2 5 3 40" xfId="37713"/>
    <cellStyle name="Nota 2 5 3 40 2" xfId="37714"/>
    <cellStyle name="Nota 2 5 3 40 2 2" xfId="37715"/>
    <cellStyle name="Nota 2 5 3 40 2 3" xfId="37716"/>
    <cellStyle name="Nota 2 5 3 40 3" xfId="37717"/>
    <cellStyle name="Nota 2 5 3 40 3 2" xfId="37718"/>
    <cellStyle name="Nota 2 5 3 40 3 3" xfId="37719"/>
    <cellStyle name="Nota 2 5 3 40 4" xfId="37720"/>
    <cellStyle name="Nota 2 5 3 40 5" xfId="37721"/>
    <cellStyle name="Nota 2 5 3 41" xfId="37722"/>
    <cellStyle name="Nota 2 5 3 41 2" xfId="37723"/>
    <cellStyle name="Nota 2 5 3 41 2 2" xfId="37724"/>
    <cellStyle name="Nota 2 5 3 41 2 3" xfId="37725"/>
    <cellStyle name="Nota 2 5 3 41 3" xfId="37726"/>
    <cellStyle name="Nota 2 5 3 41 3 2" xfId="37727"/>
    <cellStyle name="Nota 2 5 3 41 3 3" xfId="37728"/>
    <cellStyle name="Nota 2 5 3 41 4" xfId="37729"/>
    <cellStyle name="Nota 2 5 3 41 5" xfId="37730"/>
    <cellStyle name="Nota 2 5 3 42" xfId="37731"/>
    <cellStyle name="Nota 2 5 3 42 2" xfId="37732"/>
    <cellStyle name="Nota 2 5 3 42 2 2" xfId="37733"/>
    <cellStyle name="Nota 2 5 3 42 2 3" xfId="37734"/>
    <cellStyle name="Nota 2 5 3 42 3" xfId="37735"/>
    <cellStyle name="Nota 2 5 3 42 4" xfId="37736"/>
    <cellStyle name="Nota 2 5 3 43" xfId="37737"/>
    <cellStyle name="Nota 2 5 3 43 2" xfId="37738"/>
    <cellStyle name="Nota 2 5 3 43 3" xfId="37739"/>
    <cellStyle name="Nota 2 5 3 44" xfId="37740"/>
    <cellStyle name="Nota 2 5 3 44 2" xfId="37741"/>
    <cellStyle name="Nota 2 5 3 44 3" xfId="37742"/>
    <cellStyle name="Nota 2 5 3 45" xfId="37743"/>
    <cellStyle name="Nota 2 5 3 45 2" xfId="37744"/>
    <cellStyle name="Nota 2 5 3 45 3" xfId="37745"/>
    <cellStyle name="Nota 2 5 3 46" xfId="37746"/>
    <cellStyle name="Nota 2 5 3 47" xfId="37747"/>
    <cellStyle name="Nota 2 5 3 5" xfId="37748"/>
    <cellStyle name="Nota 2 5 3 5 2" xfId="37749"/>
    <cellStyle name="Nota 2 5 3 5 2 2" xfId="37750"/>
    <cellStyle name="Nota 2 5 3 5 2 3" xfId="37751"/>
    <cellStyle name="Nota 2 5 3 5 3" xfId="37752"/>
    <cellStyle name="Nota 2 5 3 5 3 2" xfId="37753"/>
    <cellStyle name="Nota 2 5 3 5 3 3" xfId="37754"/>
    <cellStyle name="Nota 2 5 3 5 4" xfId="37755"/>
    <cellStyle name="Nota 2 5 3 5 5" xfId="37756"/>
    <cellStyle name="Nota 2 5 3 6" xfId="37757"/>
    <cellStyle name="Nota 2 5 3 6 2" xfId="37758"/>
    <cellStyle name="Nota 2 5 3 6 2 2" xfId="37759"/>
    <cellStyle name="Nota 2 5 3 6 2 3" xfId="37760"/>
    <cellStyle name="Nota 2 5 3 6 3" xfId="37761"/>
    <cellStyle name="Nota 2 5 3 6 3 2" xfId="37762"/>
    <cellStyle name="Nota 2 5 3 6 3 3" xfId="37763"/>
    <cellStyle name="Nota 2 5 3 6 4" xfId="37764"/>
    <cellStyle name="Nota 2 5 3 6 5" xfId="37765"/>
    <cellStyle name="Nota 2 5 3 7" xfId="37766"/>
    <cellStyle name="Nota 2 5 3 7 2" xfId="37767"/>
    <cellStyle name="Nota 2 5 3 7 2 2" xfId="37768"/>
    <cellStyle name="Nota 2 5 3 7 2 3" xfId="37769"/>
    <cellStyle name="Nota 2 5 3 7 3" xfId="37770"/>
    <cellStyle name="Nota 2 5 3 7 3 2" xfId="37771"/>
    <cellStyle name="Nota 2 5 3 7 3 3" xfId="37772"/>
    <cellStyle name="Nota 2 5 3 7 4" xfId="37773"/>
    <cellStyle name="Nota 2 5 3 7 5" xfId="37774"/>
    <cellStyle name="Nota 2 5 3 8" xfId="37775"/>
    <cellStyle name="Nota 2 5 3 8 2" xfId="37776"/>
    <cellStyle name="Nota 2 5 3 8 2 2" xfId="37777"/>
    <cellStyle name="Nota 2 5 3 8 2 3" xfId="37778"/>
    <cellStyle name="Nota 2 5 3 8 3" xfId="37779"/>
    <cellStyle name="Nota 2 5 3 8 3 2" xfId="37780"/>
    <cellStyle name="Nota 2 5 3 8 3 3" xfId="37781"/>
    <cellStyle name="Nota 2 5 3 8 4" xfId="37782"/>
    <cellStyle name="Nota 2 5 3 8 5" xfId="37783"/>
    <cellStyle name="Nota 2 5 3 9" xfId="37784"/>
    <cellStyle name="Nota 2 5 3 9 2" xfId="37785"/>
    <cellStyle name="Nota 2 5 3 9 2 2" xfId="37786"/>
    <cellStyle name="Nota 2 5 3 9 2 3" xfId="37787"/>
    <cellStyle name="Nota 2 5 3 9 3" xfId="37788"/>
    <cellStyle name="Nota 2 5 3 9 3 2" xfId="37789"/>
    <cellStyle name="Nota 2 5 3 9 3 3" xfId="37790"/>
    <cellStyle name="Nota 2 5 3 9 4" xfId="37791"/>
    <cellStyle name="Nota 2 5 3 9 5" xfId="37792"/>
    <cellStyle name="Nota 2 5 30" xfId="37793"/>
    <cellStyle name="Nota 2 5 30 2" xfId="37794"/>
    <cellStyle name="Nota 2 5 30 2 2" xfId="37795"/>
    <cellStyle name="Nota 2 5 30 2 3" xfId="37796"/>
    <cellStyle name="Nota 2 5 30 3" xfId="37797"/>
    <cellStyle name="Nota 2 5 30 3 2" xfId="37798"/>
    <cellStyle name="Nota 2 5 30 3 3" xfId="37799"/>
    <cellStyle name="Nota 2 5 30 4" xfId="37800"/>
    <cellStyle name="Nota 2 5 30 5" xfId="37801"/>
    <cellStyle name="Nota 2 5 31" xfId="37802"/>
    <cellStyle name="Nota 2 5 31 2" xfId="37803"/>
    <cellStyle name="Nota 2 5 31 2 2" xfId="37804"/>
    <cellStyle name="Nota 2 5 31 2 3" xfId="37805"/>
    <cellStyle name="Nota 2 5 31 3" xfId="37806"/>
    <cellStyle name="Nota 2 5 31 3 2" xfId="37807"/>
    <cellStyle name="Nota 2 5 31 3 3" xfId="37808"/>
    <cellStyle name="Nota 2 5 31 4" xfId="37809"/>
    <cellStyle name="Nota 2 5 31 5" xfId="37810"/>
    <cellStyle name="Nota 2 5 32" xfId="37811"/>
    <cellStyle name="Nota 2 5 32 2" xfId="37812"/>
    <cellStyle name="Nota 2 5 32 2 2" xfId="37813"/>
    <cellStyle name="Nota 2 5 32 2 3" xfId="37814"/>
    <cellStyle name="Nota 2 5 32 3" xfId="37815"/>
    <cellStyle name="Nota 2 5 32 3 2" xfId="37816"/>
    <cellStyle name="Nota 2 5 32 3 3" xfId="37817"/>
    <cellStyle name="Nota 2 5 32 4" xfId="37818"/>
    <cellStyle name="Nota 2 5 32 5" xfId="37819"/>
    <cellStyle name="Nota 2 5 33" xfId="37820"/>
    <cellStyle name="Nota 2 5 33 2" xfId="37821"/>
    <cellStyle name="Nota 2 5 33 2 2" xfId="37822"/>
    <cellStyle name="Nota 2 5 33 2 3" xfId="37823"/>
    <cellStyle name="Nota 2 5 33 3" xfId="37824"/>
    <cellStyle name="Nota 2 5 33 3 2" xfId="37825"/>
    <cellStyle name="Nota 2 5 33 3 3" xfId="37826"/>
    <cellStyle name="Nota 2 5 33 4" xfId="37827"/>
    <cellStyle name="Nota 2 5 33 5" xfId="37828"/>
    <cellStyle name="Nota 2 5 34" xfId="37829"/>
    <cellStyle name="Nota 2 5 34 2" xfId="37830"/>
    <cellStyle name="Nota 2 5 34 2 2" xfId="37831"/>
    <cellStyle name="Nota 2 5 34 2 3" xfId="37832"/>
    <cellStyle name="Nota 2 5 34 3" xfId="37833"/>
    <cellStyle name="Nota 2 5 34 3 2" xfId="37834"/>
    <cellStyle name="Nota 2 5 34 3 3" xfId="37835"/>
    <cellStyle name="Nota 2 5 34 4" xfId="37836"/>
    <cellStyle name="Nota 2 5 34 5" xfId="37837"/>
    <cellStyle name="Nota 2 5 35" xfId="37838"/>
    <cellStyle name="Nota 2 5 35 2" xfId="37839"/>
    <cellStyle name="Nota 2 5 35 2 2" xfId="37840"/>
    <cellStyle name="Nota 2 5 35 2 3" xfId="37841"/>
    <cellStyle name="Nota 2 5 35 3" xfId="37842"/>
    <cellStyle name="Nota 2 5 35 3 2" xfId="37843"/>
    <cellStyle name="Nota 2 5 35 3 3" xfId="37844"/>
    <cellStyle name="Nota 2 5 35 4" xfId="37845"/>
    <cellStyle name="Nota 2 5 35 5" xfId="37846"/>
    <cellStyle name="Nota 2 5 36" xfId="37847"/>
    <cellStyle name="Nota 2 5 36 2" xfId="37848"/>
    <cellStyle name="Nota 2 5 36 2 2" xfId="37849"/>
    <cellStyle name="Nota 2 5 36 2 3" xfId="37850"/>
    <cellStyle name="Nota 2 5 36 3" xfId="37851"/>
    <cellStyle name="Nota 2 5 36 3 2" xfId="37852"/>
    <cellStyle name="Nota 2 5 36 3 3" xfId="37853"/>
    <cellStyle name="Nota 2 5 36 4" xfId="37854"/>
    <cellStyle name="Nota 2 5 36 5" xfId="37855"/>
    <cellStyle name="Nota 2 5 37" xfId="37856"/>
    <cellStyle name="Nota 2 5 37 2" xfId="37857"/>
    <cellStyle name="Nota 2 5 37 2 2" xfId="37858"/>
    <cellStyle name="Nota 2 5 37 2 3" xfId="37859"/>
    <cellStyle name="Nota 2 5 37 3" xfId="37860"/>
    <cellStyle name="Nota 2 5 37 3 2" xfId="37861"/>
    <cellStyle name="Nota 2 5 37 3 3" xfId="37862"/>
    <cellStyle name="Nota 2 5 37 4" xfId="37863"/>
    <cellStyle name="Nota 2 5 37 5" xfId="37864"/>
    <cellStyle name="Nota 2 5 38" xfId="37865"/>
    <cellStyle name="Nota 2 5 38 2" xfId="37866"/>
    <cellStyle name="Nota 2 5 38 2 2" xfId="37867"/>
    <cellStyle name="Nota 2 5 38 2 3" xfId="37868"/>
    <cellStyle name="Nota 2 5 38 3" xfId="37869"/>
    <cellStyle name="Nota 2 5 38 4" xfId="37870"/>
    <cellStyle name="Nota 2 5 39" xfId="37871"/>
    <cellStyle name="Nota 2 5 39 2" xfId="37872"/>
    <cellStyle name="Nota 2 5 39 3" xfId="37873"/>
    <cellStyle name="Nota 2 5 4" xfId="37874"/>
    <cellStyle name="Nota 2 5 4 10" xfId="37875"/>
    <cellStyle name="Nota 2 5 4 10 2" xfId="37876"/>
    <cellStyle name="Nota 2 5 4 10 2 2" xfId="37877"/>
    <cellStyle name="Nota 2 5 4 10 2 3" xfId="37878"/>
    <cellStyle name="Nota 2 5 4 10 3" xfId="37879"/>
    <cellStyle name="Nota 2 5 4 10 3 2" xfId="37880"/>
    <cellStyle name="Nota 2 5 4 10 3 3" xfId="37881"/>
    <cellStyle name="Nota 2 5 4 10 4" xfId="37882"/>
    <cellStyle name="Nota 2 5 4 10 5" xfId="37883"/>
    <cellStyle name="Nota 2 5 4 11" xfId="37884"/>
    <cellStyle name="Nota 2 5 4 11 2" xfId="37885"/>
    <cellStyle name="Nota 2 5 4 11 2 2" xfId="37886"/>
    <cellStyle name="Nota 2 5 4 11 2 3" xfId="37887"/>
    <cellStyle name="Nota 2 5 4 11 3" xfId="37888"/>
    <cellStyle name="Nota 2 5 4 11 3 2" xfId="37889"/>
    <cellStyle name="Nota 2 5 4 11 3 3" xfId="37890"/>
    <cellStyle name="Nota 2 5 4 11 4" xfId="37891"/>
    <cellStyle name="Nota 2 5 4 11 5" xfId="37892"/>
    <cellStyle name="Nota 2 5 4 12" xfId="37893"/>
    <cellStyle name="Nota 2 5 4 12 2" xfId="37894"/>
    <cellStyle name="Nota 2 5 4 12 2 2" xfId="37895"/>
    <cellStyle name="Nota 2 5 4 12 2 3" xfId="37896"/>
    <cellStyle name="Nota 2 5 4 12 3" xfId="37897"/>
    <cellStyle name="Nota 2 5 4 12 3 2" xfId="37898"/>
    <cellStyle name="Nota 2 5 4 12 3 3" xfId="37899"/>
    <cellStyle name="Nota 2 5 4 12 4" xfId="37900"/>
    <cellStyle name="Nota 2 5 4 12 5" xfId="37901"/>
    <cellStyle name="Nota 2 5 4 13" xfId="37902"/>
    <cellStyle name="Nota 2 5 4 13 2" xfId="37903"/>
    <cellStyle name="Nota 2 5 4 13 2 2" xfId="37904"/>
    <cellStyle name="Nota 2 5 4 13 2 3" xfId="37905"/>
    <cellStyle name="Nota 2 5 4 13 3" xfId="37906"/>
    <cellStyle name="Nota 2 5 4 13 3 2" xfId="37907"/>
    <cellStyle name="Nota 2 5 4 13 3 3" xfId="37908"/>
    <cellStyle name="Nota 2 5 4 13 4" xfId="37909"/>
    <cellStyle name="Nota 2 5 4 13 5" xfId="37910"/>
    <cellStyle name="Nota 2 5 4 14" xfId="37911"/>
    <cellStyle name="Nota 2 5 4 14 2" xfId="37912"/>
    <cellStyle name="Nota 2 5 4 14 2 2" xfId="37913"/>
    <cellStyle name="Nota 2 5 4 14 2 3" xfId="37914"/>
    <cellStyle name="Nota 2 5 4 14 3" xfId="37915"/>
    <cellStyle name="Nota 2 5 4 14 3 2" xfId="37916"/>
    <cellStyle name="Nota 2 5 4 14 3 3" xfId="37917"/>
    <cellStyle name="Nota 2 5 4 14 4" xfId="37918"/>
    <cellStyle name="Nota 2 5 4 14 5" xfId="37919"/>
    <cellStyle name="Nota 2 5 4 15" xfId="37920"/>
    <cellStyle name="Nota 2 5 4 15 2" xfId="37921"/>
    <cellStyle name="Nota 2 5 4 15 2 2" xfId="37922"/>
    <cellStyle name="Nota 2 5 4 15 2 3" xfId="37923"/>
    <cellStyle name="Nota 2 5 4 15 3" xfId="37924"/>
    <cellStyle name="Nota 2 5 4 15 3 2" xfId="37925"/>
    <cellStyle name="Nota 2 5 4 15 3 3" xfId="37926"/>
    <cellStyle name="Nota 2 5 4 15 4" xfId="37927"/>
    <cellStyle name="Nota 2 5 4 15 5" xfId="37928"/>
    <cellStyle name="Nota 2 5 4 16" xfId="37929"/>
    <cellStyle name="Nota 2 5 4 16 2" xfId="37930"/>
    <cellStyle name="Nota 2 5 4 16 2 2" xfId="37931"/>
    <cellStyle name="Nota 2 5 4 16 2 3" xfId="37932"/>
    <cellStyle name="Nota 2 5 4 16 3" xfId="37933"/>
    <cellStyle name="Nota 2 5 4 16 3 2" xfId="37934"/>
    <cellStyle name="Nota 2 5 4 16 3 3" xfId="37935"/>
    <cellStyle name="Nota 2 5 4 16 4" xfId="37936"/>
    <cellStyle name="Nota 2 5 4 16 5" xfId="37937"/>
    <cellStyle name="Nota 2 5 4 17" xfId="37938"/>
    <cellStyle name="Nota 2 5 4 17 2" xfId="37939"/>
    <cellStyle name="Nota 2 5 4 17 2 2" xfId="37940"/>
    <cellStyle name="Nota 2 5 4 17 2 3" xfId="37941"/>
    <cellStyle name="Nota 2 5 4 17 3" xfId="37942"/>
    <cellStyle name="Nota 2 5 4 17 3 2" xfId="37943"/>
    <cellStyle name="Nota 2 5 4 17 3 3" xfId="37944"/>
    <cellStyle name="Nota 2 5 4 17 4" xfId="37945"/>
    <cellStyle name="Nota 2 5 4 17 5" xfId="37946"/>
    <cellStyle name="Nota 2 5 4 18" xfId="37947"/>
    <cellStyle name="Nota 2 5 4 18 2" xfId="37948"/>
    <cellStyle name="Nota 2 5 4 18 2 2" xfId="37949"/>
    <cellStyle name="Nota 2 5 4 18 2 3" xfId="37950"/>
    <cellStyle name="Nota 2 5 4 18 3" xfId="37951"/>
    <cellStyle name="Nota 2 5 4 18 3 2" xfId="37952"/>
    <cellStyle name="Nota 2 5 4 18 3 3" xfId="37953"/>
    <cellStyle name="Nota 2 5 4 18 4" xfId="37954"/>
    <cellStyle name="Nota 2 5 4 18 5" xfId="37955"/>
    <cellStyle name="Nota 2 5 4 19" xfId="37956"/>
    <cellStyle name="Nota 2 5 4 19 2" xfId="37957"/>
    <cellStyle name="Nota 2 5 4 19 2 2" xfId="37958"/>
    <cellStyle name="Nota 2 5 4 19 2 3" xfId="37959"/>
    <cellStyle name="Nota 2 5 4 19 3" xfId="37960"/>
    <cellStyle name="Nota 2 5 4 19 3 2" xfId="37961"/>
    <cellStyle name="Nota 2 5 4 19 3 3" xfId="37962"/>
    <cellStyle name="Nota 2 5 4 19 4" xfId="37963"/>
    <cellStyle name="Nota 2 5 4 19 5" xfId="37964"/>
    <cellStyle name="Nota 2 5 4 2" xfId="37965"/>
    <cellStyle name="Nota 2 5 4 2 2" xfId="37966"/>
    <cellStyle name="Nota 2 5 4 2 2 2" xfId="37967"/>
    <cellStyle name="Nota 2 5 4 2 2 3" xfId="37968"/>
    <cellStyle name="Nota 2 5 4 2 3" xfId="37969"/>
    <cellStyle name="Nota 2 5 4 2 3 2" xfId="37970"/>
    <cellStyle name="Nota 2 5 4 2 3 3" xfId="37971"/>
    <cellStyle name="Nota 2 5 4 2 4" xfId="37972"/>
    <cellStyle name="Nota 2 5 4 2 5" xfId="37973"/>
    <cellStyle name="Nota 2 5 4 20" xfId="37974"/>
    <cellStyle name="Nota 2 5 4 20 2" xfId="37975"/>
    <cellStyle name="Nota 2 5 4 20 2 2" xfId="37976"/>
    <cellStyle name="Nota 2 5 4 20 2 3" xfId="37977"/>
    <cellStyle name="Nota 2 5 4 20 3" xfId="37978"/>
    <cellStyle name="Nota 2 5 4 20 3 2" xfId="37979"/>
    <cellStyle name="Nota 2 5 4 20 3 3" xfId="37980"/>
    <cellStyle name="Nota 2 5 4 20 4" xfId="37981"/>
    <cellStyle name="Nota 2 5 4 20 5" xfId="37982"/>
    <cellStyle name="Nota 2 5 4 21" xfId="37983"/>
    <cellStyle name="Nota 2 5 4 21 2" xfId="37984"/>
    <cellStyle name="Nota 2 5 4 21 2 2" xfId="37985"/>
    <cellStyle name="Nota 2 5 4 21 2 3" xfId="37986"/>
    <cellStyle name="Nota 2 5 4 21 3" xfId="37987"/>
    <cellStyle name="Nota 2 5 4 21 3 2" xfId="37988"/>
    <cellStyle name="Nota 2 5 4 21 3 3" xfId="37989"/>
    <cellStyle name="Nota 2 5 4 21 4" xfId="37990"/>
    <cellStyle name="Nota 2 5 4 21 5" xfId="37991"/>
    <cellStyle name="Nota 2 5 4 22" xfId="37992"/>
    <cellStyle name="Nota 2 5 4 22 2" xfId="37993"/>
    <cellStyle name="Nota 2 5 4 22 2 2" xfId="37994"/>
    <cellStyle name="Nota 2 5 4 22 2 3" xfId="37995"/>
    <cellStyle name="Nota 2 5 4 22 3" xfId="37996"/>
    <cellStyle name="Nota 2 5 4 22 3 2" xfId="37997"/>
    <cellStyle name="Nota 2 5 4 22 3 3" xfId="37998"/>
    <cellStyle name="Nota 2 5 4 22 4" xfId="37999"/>
    <cellStyle name="Nota 2 5 4 22 5" xfId="38000"/>
    <cellStyle name="Nota 2 5 4 23" xfId="38001"/>
    <cellStyle name="Nota 2 5 4 23 2" xfId="38002"/>
    <cellStyle name="Nota 2 5 4 23 2 2" xfId="38003"/>
    <cellStyle name="Nota 2 5 4 23 2 3" xfId="38004"/>
    <cellStyle name="Nota 2 5 4 23 3" xfId="38005"/>
    <cellStyle name="Nota 2 5 4 23 3 2" xfId="38006"/>
    <cellStyle name="Nota 2 5 4 23 3 3" xfId="38007"/>
    <cellStyle name="Nota 2 5 4 23 4" xfId="38008"/>
    <cellStyle name="Nota 2 5 4 23 5" xfId="38009"/>
    <cellStyle name="Nota 2 5 4 24" xfId="38010"/>
    <cellStyle name="Nota 2 5 4 24 2" xfId="38011"/>
    <cellStyle name="Nota 2 5 4 24 2 2" xfId="38012"/>
    <cellStyle name="Nota 2 5 4 24 2 3" xfId="38013"/>
    <cellStyle name="Nota 2 5 4 24 3" xfId="38014"/>
    <cellStyle name="Nota 2 5 4 24 3 2" xfId="38015"/>
    <cellStyle name="Nota 2 5 4 24 3 3" xfId="38016"/>
    <cellStyle name="Nota 2 5 4 24 4" xfId="38017"/>
    <cellStyle name="Nota 2 5 4 24 5" xfId="38018"/>
    <cellStyle name="Nota 2 5 4 25" xfId="38019"/>
    <cellStyle name="Nota 2 5 4 25 2" xfId="38020"/>
    <cellStyle name="Nota 2 5 4 25 2 2" xfId="38021"/>
    <cellStyle name="Nota 2 5 4 25 2 3" xfId="38022"/>
    <cellStyle name="Nota 2 5 4 25 3" xfId="38023"/>
    <cellStyle name="Nota 2 5 4 25 3 2" xfId="38024"/>
    <cellStyle name="Nota 2 5 4 25 3 3" xfId="38025"/>
    <cellStyle name="Nota 2 5 4 25 4" xfId="38026"/>
    <cellStyle name="Nota 2 5 4 25 5" xfId="38027"/>
    <cellStyle name="Nota 2 5 4 26" xfId="38028"/>
    <cellStyle name="Nota 2 5 4 26 2" xfId="38029"/>
    <cellStyle name="Nota 2 5 4 26 2 2" xfId="38030"/>
    <cellStyle name="Nota 2 5 4 26 2 3" xfId="38031"/>
    <cellStyle name="Nota 2 5 4 26 3" xfId="38032"/>
    <cellStyle name="Nota 2 5 4 26 3 2" xfId="38033"/>
    <cellStyle name="Nota 2 5 4 26 3 3" xfId="38034"/>
    <cellStyle name="Nota 2 5 4 26 4" xfId="38035"/>
    <cellStyle name="Nota 2 5 4 26 5" xfId="38036"/>
    <cellStyle name="Nota 2 5 4 27" xfId="38037"/>
    <cellStyle name="Nota 2 5 4 27 2" xfId="38038"/>
    <cellStyle name="Nota 2 5 4 27 2 2" xfId="38039"/>
    <cellStyle name="Nota 2 5 4 27 2 3" xfId="38040"/>
    <cellStyle name="Nota 2 5 4 27 3" xfId="38041"/>
    <cellStyle name="Nota 2 5 4 27 3 2" xfId="38042"/>
    <cellStyle name="Nota 2 5 4 27 3 3" xfId="38043"/>
    <cellStyle name="Nota 2 5 4 27 4" xfId="38044"/>
    <cellStyle name="Nota 2 5 4 27 5" xfId="38045"/>
    <cellStyle name="Nota 2 5 4 28" xfId="38046"/>
    <cellStyle name="Nota 2 5 4 28 2" xfId="38047"/>
    <cellStyle name="Nota 2 5 4 28 2 2" xfId="38048"/>
    <cellStyle name="Nota 2 5 4 28 2 3" xfId="38049"/>
    <cellStyle name="Nota 2 5 4 28 3" xfId="38050"/>
    <cellStyle name="Nota 2 5 4 28 3 2" xfId="38051"/>
    <cellStyle name="Nota 2 5 4 28 3 3" xfId="38052"/>
    <cellStyle name="Nota 2 5 4 28 4" xfId="38053"/>
    <cellStyle name="Nota 2 5 4 28 5" xfId="38054"/>
    <cellStyle name="Nota 2 5 4 29" xfId="38055"/>
    <cellStyle name="Nota 2 5 4 29 2" xfId="38056"/>
    <cellStyle name="Nota 2 5 4 29 2 2" xfId="38057"/>
    <cellStyle name="Nota 2 5 4 29 2 3" xfId="38058"/>
    <cellStyle name="Nota 2 5 4 29 3" xfId="38059"/>
    <cellStyle name="Nota 2 5 4 29 3 2" xfId="38060"/>
    <cellStyle name="Nota 2 5 4 29 3 3" xfId="38061"/>
    <cellStyle name="Nota 2 5 4 29 4" xfId="38062"/>
    <cellStyle name="Nota 2 5 4 29 5" xfId="38063"/>
    <cellStyle name="Nota 2 5 4 3" xfId="38064"/>
    <cellStyle name="Nota 2 5 4 3 2" xfId="38065"/>
    <cellStyle name="Nota 2 5 4 3 2 2" xfId="38066"/>
    <cellStyle name="Nota 2 5 4 3 2 3" xfId="38067"/>
    <cellStyle name="Nota 2 5 4 3 3" xfId="38068"/>
    <cellStyle name="Nota 2 5 4 3 3 2" xfId="38069"/>
    <cellStyle name="Nota 2 5 4 3 3 3" xfId="38070"/>
    <cellStyle name="Nota 2 5 4 3 4" xfId="38071"/>
    <cellStyle name="Nota 2 5 4 3 5" xfId="38072"/>
    <cellStyle name="Nota 2 5 4 30" xfId="38073"/>
    <cellStyle name="Nota 2 5 4 30 2" xfId="38074"/>
    <cellStyle name="Nota 2 5 4 30 2 2" xfId="38075"/>
    <cellStyle name="Nota 2 5 4 30 2 3" xfId="38076"/>
    <cellStyle name="Nota 2 5 4 30 3" xfId="38077"/>
    <cellStyle name="Nota 2 5 4 30 3 2" xfId="38078"/>
    <cellStyle name="Nota 2 5 4 30 3 3" xfId="38079"/>
    <cellStyle name="Nota 2 5 4 30 4" xfId="38080"/>
    <cellStyle name="Nota 2 5 4 30 5" xfId="38081"/>
    <cellStyle name="Nota 2 5 4 31" xfId="38082"/>
    <cellStyle name="Nota 2 5 4 31 2" xfId="38083"/>
    <cellStyle name="Nota 2 5 4 31 2 2" xfId="38084"/>
    <cellStyle name="Nota 2 5 4 31 2 3" xfId="38085"/>
    <cellStyle name="Nota 2 5 4 31 3" xfId="38086"/>
    <cellStyle name="Nota 2 5 4 31 3 2" xfId="38087"/>
    <cellStyle name="Nota 2 5 4 31 3 3" xfId="38088"/>
    <cellStyle name="Nota 2 5 4 31 4" xfId="38089"/>
    <cellStyle name="Nota 2 5 4 31 5" xfId="38090"/>
    <cellStyle name="Nota 2 5 4 32" xfId="38091"/>
    <cellStyle name="Nota 2 5 4 32 2" xfId="38092"/>
    <cellStyle name="Nota 2 5 4 32 2 2" xfId="38093"/>
    <cellStyle name="Nota 2 5 4 32 2 3" xfId="38094"/>
    <cellStyle name="Nota 2 5 4 32 3" xfId="38095"/>
    <cellStyle name="Nota 2 5 4 32 3 2" xfId="38096"/>
    <cellStyle name="Nota 2 5 4 32 3 3" xfId="38097"/>
    <cellStyle name="Nota 2 5 4 32 4" xfId="38098"/>
    <cellStyle name="Nota 2 5 4 32 5" xfId="38099"/>
    <cellStyle name="Nota 2 5 4 33" xfId="38100"/>
    <cellStyle name="Nota 2 5 4 33 2" xfId="38101"/>
    <cellStyle name="Nota 2 5 4 33 2 2" xfId="38102"/>
    <cellStyle name="Nota 2 5 4 33 2 3" xfId="38103"/>
    <cellStyle name="Nota 2 5 4 33 3" xfId="38104"/>
    <cellStyle name="Nota 2 5 4 33 3 2" xfId="38105"/>
    <cellStyle name="Nota 2 5 4 33 3 3" xfId="38106"/>
    <cellStyle name="Nota 2 5 4 33 4" xfId="38107"/>
    <cellStyle name="Nota 2 5 4 33 5" xfId="38108"/>
    <cellStyle name="Nota 2 5 4 34" xfId="38109"/>
    <cellStyle name="Nota 2 5 4 34 2" xfId="38110"/>
    <cellStyle name="Nota 2 5 4 34 2 2" xfId="38111"/>
    <cellStyle name="Nota 2 5 4 34 2 3" xfId="38112"/>
    <cellStyle name="Nota 2 5 4 34 3" xfId="38113"/>
    <cellStyle name="Nota 2 5 4 34 3 2" xfId="38114"/>
    <cellStyle name="Nota 2 5 4 34 3 3" xfId="38115"/>
    <cellStyle name="Nota 2 5 4 34 4" xfId="38116"/>
    <cellStyle name="Nota 2 5 4 34 5" xfId="38117"/>
    <cellStyle name="Nota 2 5 4 35" xfId="38118"/>
    <cellStyle name="Nota 2 5 4 35 2" xfId="38119"/>
    <cellStyle name="Nota 2 5 4 35 2 2" xfId="38120"/>
    <cellStyle name="Nota 2 5 4 35 2 3" xfId="38121"/>
    <cellStyle name="Nota 2 5 4 35 3" xfId="38122"/>
    <cellStyle name="Nota 2 5 4 35 3 2" xfId="38123"/>
    <cellStyle name="Nota 2 5 4 35 3 3" xfId="38124"/>
    <cellStyle name="Nota 2 5 4 35 4" xfId="38125"/>
    <cellStyle name="Nota 2 5 4 35 5" xfId="38126"/>
    <cellStyle name="Nota 2 5 4 36" xfId="38127"/>
    <cellStyle name="Nota 2 5 4 36 2" xfId="38128"/>
    <cellStyle name="Nota 2 5 4 36 2 2" xfId="38129"/>
    <cellStyle name="Nota 2 5 4 36 2 3" xfId="38130"/>
    <cellStyle name="Nota 2 5 4 36 3" xfId="38131"/>
    <cellStyle name="Nota 2 5 4 36 3 2" xfId="38132"/>
    <cellStyle name="Nota 2 5 4 36 3 3" xfId="38133"/>
    <cellStyle name="Nota 2 5 4 36 4" xfId="38134"/>
    <cellStyle name="Nota 2 5 4 36 5" xfId="38135"/>
    <cellStyle name="Nota 2 5 4 37" xfId="38136"/>
    <cellStyle name="Nota 2 5 4 37 2" xfId="38137"/>
    <cellStyle name="Nota 2 5 4 37 2 2" xfId="38138"/>
    <cellStyle name="Nota 2 5 4 37 2 3" xfId="38139"/>
    <cellStyle name="Nota 2 5 4 37 3" xfId="38140"/>
    <cellStyle name="Nota 2 5 4 37 3 2" xfId="38141"/>
    <cellStyle name="Nota 2 5 4 37 3 3" xfId="38142"/>
    <cellStyle name="Nota 2 5 4 37 4" xfId="38143"/>
    <cellStyle name="Nota 2 5 4 37 5" xfId="38144"/>
    <cellStyle name="Nota 2 5 4 38" xfId="38145"/>
    <cellStyle name="Nota 2 5 4 38 2" xfId="38146"/>
    <cellStyle name="Nota 2 5 4 38 2 2" xfId="38147"/>
    <cellStyle name="Nota 2 5 4 38 2 3" xfId="38148"/>
    <cellStyle name="Nota 2 5 4 38 3" xfId="38149"/>
    <cellStyle name="Nota 2 5 4 38 3 2" xfId="38150"/>
    <cellStyle name="Nota 2 5 4 38 3 3" xfId="38151"/>
    <cellStyle name="Nota 2 5 4 38 4" xfId="38152"/>
    <cellStyle name="Nota 2 5 4 38 5" xfId="38153"/>
    <cellStyle name="Nota 2 5 4 39" xfId="38154"/>
    <cellStyle name="Nota 2 5 4 39 2" xfId="38155"/>
    <cellStyle name="Nota 2 5 4 39 2 2" xfId="38156"/>
    <cellStyle name="Nota 2 5 4 39 2 3" xfId="38157"/>
    <cellStyle name="Nota 2 5 4 39 3" xfId="38158"/>
    <cellStyle name="Nota 2 5 4 39 3 2" xfId="38159"/>
    <cellStyle name="Nota 2 5 4 39 3 3" xfId="38160"/>
    <cellStyle name="Nota 2 5 4 39 4" xfId="38161"/>
    <cellStyle name="Nota 2 5 4 39 5" xfId="38162"/>
    <cellStyle name="Nota 2 5 4 4" xfId="38163"/>
    <cellStyle name="Nota 2 5 4 4 2" xfId="38164"/>
    <cellStyle name="Nota 2 5 4 4 2 2" xfId="38165"/>
    <cellStyle name="Nota 2 5 4 4 2 3" xfId="38166"/>
    <cellStyle name="Nota 2 5 4 4 3" xfId="38167"/>
    <cellStyle name="Nota 2 5 4 4 3 2" xfId="38168"/>
    <cellStyle name="Nota 2 5 4 4 3 3" xfId="38169"/>
    <cellStyle name="Nota 2 5 4 4 4" xfId="38170"/>
    <cellStyle name="Nota 2 5 4 4 5" xfId="38171"/>
    <cellStyle name="Nota 2 5 4 40" xfId="38172"/>
    <cellStyle name="Nota 2 5 4 40 2" xfId="38173"/>
    <cellStyle name="Nota 2 5 4 40 2 2" xfId="38174"/>
    <cellStyle name="Nota 2 5 4 40 2 3" xfId="38175"/>
    <cellStyle name="Nota 2 5 4 40 3" xfId="38176"/>
    <cellStyle name="Nota 2 5 4 40 3 2" xfId="38177"/>
    <cellStyle name="Nota 2 5 4 40 3 3" xfId="38178"/>
    <cellStyle name="Nota 2 5 4 40 4" xfId="38179"/>
    <cellStyle name="Nota 2 5 4 40 5" xfId="38180"/>
    <cellStyle name="Nota 2 5 4 41" xfId="38181"/>
    <cellStyle name="Nota 2 5 4 41 2" xfId="38182"/>
    <cellStyle name="Nota 2 5 4 41 2 2" xfId="38183"/>
    <cellStyle name="Nota 2 5 4 41 2 3" xfId="38184"/>
    <cellStyle name="Nota 2 5 4 41 3" xfId="38185"/>
    <cellStyle name="Nota 2 5 4 41 3 2" xfId="38186"/>
    <cellStyle name="Nota 2 5 4 41 3 3" xfId="38187"/>
    <cellStyle name="Nota 2 5 4 41 4" xfId="38188"/>
    <cellStyle name="Nota 2 5 4 41 5" xfId="38189"/>
    <cellStyle name="Nota 2 5 4 42" xfId="38190"/>
    <cellStyle name="Nota 2 5 4 42 2" xfId="38191"/>
    <cellStyle name="Nota 2 5 4 42 2 2" xfId="38192"/>
    <cellStyle name="Nota 2 5 4 42 2 3" xfId="38193"/>
    <cellStyle name="Nota 2 5 4 42 3" xfId="38194"/>
    <cellStyle name="Nota 2 5 4 42 4" xfId="38195"/>
    <cellStyle name="Nota 2 5 4 43" xfId="38196"/>
    <cellStyle name="Nota 2 5 4 43 2" xfId="38197"/>
    <cellStyle name="Nota 2 5 4 43 3" xfId="38198"/>
    <cellStyle name="Nota 2 5 4 44" xfId="38199"/>
    <cellStyle name="Nota 2 5 4 44 2" xfId="38200"/>
    <cellStyle name="Nota 2 5 4 44 3" xfId="38201"/>
    <cellStyle name="Nota 2 5 4 45" xfId="38202"/>
    <cellStyle name="Nota 2 5 4 46" xfId="38203"/>
    <cellStyle name="Nota 2 5 4 5" xfId="38204"/>
    <cellStyle name="Nota 2 5 4 5 2" xfId="38205"/>
    <cellStyle name="Nota 2 5 4 5 2 2" xfId="38206"/>
    <cellStyle name="Nota 2 5 4 5 2 3" xfId="38207"/>
    <cellStyle name="Nota 2 5 4 5 3" xfId="38208"/>
    <cellStyle name="Nota 2 5 4 5 3 2" xfId="38209"/>
    <cellStyle name="Nota 2 5 4 5 3 3" xfId="38210"/>
    <cellStyle name="Nota 2 5 4 5 4" xfId="38211"/>
    <cellStyle name="Nota 2 5 4 5 5" xfId="38212"/>
    <cellStyle name="Nota 2 5 4 6" xfId="38213"/>
    <cellStyle name="Nota 2 5 4 6 2" xfId="38214"/>
    <cellStyle name="Nota 2 5 4 6 2 2" xfId="38215"/>
    <cellStyle name="Nota 2 5 4 6 2 3" xfId="38216"/>
    <cellStyle name="Nota 2 5 4 6 3" xfId="38217"/>
    <cellStyle name="Nota 2 5 4 6 3 2" xfId="38218"/>
    <cellStyle name="Nota 2 5 4 6 3 3" xfId="38219"/>
    <cellStyle name="Nota 2 5 4 6 4" xfId="38220"/>
    <cellStyle name="Nota 2 5 4 6 5" xfId="38221"/>
    <cellStyle name="Nota 2 5 4 7" xfId="38222"/>
    <cellStyle name="Nota 2 5 4 7 2" xfId="38223"/>
    <cellStyle name="Nota 2 5 4 7 2 2" xfId="38224"/>
    <cellStyle name="Nota 2 5 4 7 2 3" xfId="38225"/>
    <cellStyle name="Nota 2 5 4 7 3" xfId="38226"/>
    <cellStyle name="Nota 2 5 4 7 3 2" xfId="38227"/>
    <cellStyle name="Nota 2 5 4 7 3 3" xfId="38228"/>
    <cellStyle name="Nota 2 5 4 7 4" xfId="38229"/>
    <cellStyle name="Nota 2 5 4 7 5" xfId="38230"/>
    <cellStyle name="Nota 2 5 4 8" xfId="38231"/>
    <cellStyle name="Nota 2 5 4 8 2" xfId="38232"/>
    <cellStyle name="Nota 2 5 4 8 2 2" xfId="38233"/>
    <cellStyle name="Nota 2 5 4 8 2 3" xfId="38234"/>
    <cellStyle name="Nota 2 5 4 8 3" xfId="38235"/>
    <cellStyle name="Nota 2 5 4 8 3 2" xfId="38236"/>
    <cellStyle name="Nota 2 5 4 8 3 3" xfId="38237"/>
    <cellStyle name="Nota 2 5 4 8 4" xfId="38238"/>
    <cellStyle name="Nota 2 5 4 8 5" xfId="38239"/>
    <cellStyle name="Nota 2 5 4 9" xfId="38240"/>
    <cellStyle name="Nota 2 5 4 9 2" xfId="38241"/>
    <cellStyle name="Nota 2 5 4 9 2 2" xfId="38242"/>
    <cellStyle name="Nota 2 5 4 9 2 3" xfId="38243"/>
    <cellStyle name="Nota 2 5 4 9 3" xfId="38244"/>
    <cellStyle name="Nota 2 5 4 9 3 2" xfId="38245"/>
    <cellStyle name="Nota 2 5 4 9 3 3" xfId="38246"/>
    <cellStyle name="Nota 2 5 4 9 4" xfId="38247"/>
    <cellStyle name="Nota 2 5 4 9 5" xfId="38248"/>
    <cellStyle name="Nota 2 5 40" xfId="38249"/>
    <cellStyle name="Nota 2 5 40 2" xfId="38250"/>
    <cellStyle name="Nota 2 5 40 3" xfId="38251"/>
    <cellStyle name="Nota 2 5 41" xfId="38252"/>
    <cellStyle name="Nota 2 5 41 2" xfId="38253"/>
    <cellStyle name="Nota 2 5 41 3" xfId="38254"/>
    <cellStyle name="Nota 2 5 42" xfId="38255"/>
    <cellStyle name="Nota 2 5 43" xfId="38256"/>
    <cellStyle name="Nota 2 5 5" xfId="38257"/>
    <cellStyle name="Nota 2 5 5 10" xfId="38258"/>
    <cellStyle name="Nota 2 5 5 10 2" xfId="38259"/>
    <cellStyle name="Nota 2 5 5 10 2 2" xfId="38260"/>
    <cellStyle name="Nota 2 5 5 10 2 3" xfId="38261"/>
    <cellStyle name="Nota 2 5 5 10 3" xfId="38262"/>
    <cellStyle name="Nota 2 5 5 10 3 2" xfId="38263"/>
    <cellStyle name="Nota 2 5 5 10 3 3" xfId="38264"/>
    <cellStyle name="Nota 2 5 5 10 4" xfId="38265"/>
    <cellStyle name="Nota 2 5 5 10 5" xfId="38266"/>
    <cellStyle name="Nota 2 5 5 11" xfId="38267"/>
    <cellStyle name="Nota 2 5 5 11 2" xfId="38268"/>
    <cellStyle name="Nota 2 5 5 11 2 2" xfId="38269"/>
    <cellStyle name="Nota 2 5 5 11 2 3" xfId="38270"/>
    <cellStyle name="Nota 2 5 5 11 3" xfId="38271"/>
    <cellStyle name="Nota 2 5 5 11 3 2" xfId="38272"/>
    <cellStyle name="Nota 2 5 5 11 3 3" xfId="38273"/>
    <cellStyle name="Nota 2 5 5 11 4" xfId="38274"/>
    <cellStyle name="Nota 2 5 5 11 5" xfId="38275"/>
    <cellStyle name="Nota 2 5 5 12" xfId="38276"/>
    <cellStyle name="Nota 2 5 5 12 2" xfId="38277"/>
    <cellStyle name="Nota 2 5 5 12 2 2" xfId="38278"/>
    <cellStyle name="Nota 2 5 5 12 2 3" xfId="38279"/>
    <cellStyle name="Nota 2 5 5 12 3" xfId="38280"/>
    <cellStyle name="Nota 2 5 5 12 3 2" xfId="38281"/>
    <cellStyle name="Nota 2 5 5 12 3 3" xfId="38282"/>
    <cellStyle name="Nota 2 5 5 12 4" xfId="38283"/>
    <cellStyle name="Nota 2 5 5 12 5" xfId="38284"/>
    <cellStyle name="Nota 2 5 5 13" xfId="38285"/>
    <cellStyle name="Nota 2 5 5 13 2" xfId="38286"/>
    <cellStyle name="Nota 2 5 5 13 2 2" xfId="38287"/>
    <cellStyle name="Nota 2 5 5 13 2 3" xfId="38288"/>
    <cellStyle name="Nota 2 5 5 13 3" xfId="38289"/>
    <cellStyle name="Nota 2 5 5 13 3 2" xfId="38290"/>
    <cellStyle name="Nota 2 5 5 13 3 3" xfId="38291"/>
    <cellStyle name="Nota 2 5 5 13 4" xfId="38292"/>
    <cellStyle name="Nota 2 5 5 13 5" xfId="38293"/>
    <cellStyle name="Nota 2 5 5 14" xfId="38294"/>
    <cellStyle name="Nota 2 5 5 14 2" xfId="38295"/>
    <cellStyle name="Nota 2 5 5 14 2 2" xfId="38296"/>
    <cellStyle name="Nota 2 5 5 14 2 3" xfId="38297"/>
    <cellStyle name="Nota 2 5 5 14 3" xfId="38298"/>
    <cellStyle name="Nota 2 5 5 14 3 2" xfId="38299"/>
    <cellStyle name="Nota 2 5 5 14 3 3" xfId="38300"/>
    <cellStyle name="Nota 2 5 5 14 4" xfId="38301"/>
    <cellStyle name="Nota 2 5 5 14 5" xfId="38302"/>
    <cellStyle name="Nota 2 5 5 15" xfId="38303"/>
    <cellStyle name="Nota 2 5 5 15 2" xfId="38304"/>
    <cellStyle name="Nota 2 5 5 15 2 2" xfId="38305"/>
    <cellStyle name="Nota 2 5 5 15 2 3" xfId="38306"/>
    <cellStyle name="Nota 2 5 5 15 3" xfId="38307"/>
    <cellStyle name="Nota 2 5 5 15 3 2" xfId="38308"/>
    <cellStyle name="Nota 2 5 5 15 3 3" xfId="38309"/>
    <cellStyle name="Nota 2 5 5 15 4" xfId="38310"/>
    <cellStyle name="Nota 2 5 5 15 5" xfId="38311"/>
    <cellStyle name="Nota 2 5 5 16" xfId="38312"/>
    <cellStyle name="Nota 2 5 5 16 2" xfId="38313"/>
    <cellStyle name="Nota 2 5 5 16 2 2" xfId="38314"/>
    <cellStyle name="Nota 2 5 5 16 2 3" xfId="38315"/>
    <cellStyle name="Nota 2 5 5 16 3" xfId="38316"/>
    <cellStyle name="Nota 2 5 5 16 3 2" xfId="38317"/>
    <cellStyle name="Nota 2 5 5 16 3 3" xfId="38318"/>
    <cellStyle name="Nota 2 5 5 16 4" xfId="38319"/>
    <cellStyle name="Nota 2 5 5 16 5" xfId="38320"/>
    <cellStyle name="Nota 2 5 5 17" xfId="38321"/>
    <cellStyle name="Nota 2 5 5 17 2" xfId="38322"/>
    <cellStyle name="Nota 2 5 5 17 2 2" xfId="38323"/>
    <cellStyle name="Nota 2 5 5 17 2 3" xfId="38324"/>
    <cellStyle name="Nota 2 5 5 17 3" xfId="38325"/>
    <cellStyle name="Nota 2 5 5 17 3 2" xfId="38326"/>
    <cellStyle name="Nota 2 5 5 17 3 3" xfId="38327"/>
    <cellStyle name="Nota 2 5 5 17 4" xfId="38328"/>
    <cellStyle name="Nota 2 5 5 17 5" xfId="38329"/>
    <cellStyle name="Nota 2 5 5 18" xfId="38330"/>
    <cellStyle name="Nota 2 5 5 18 2" xfId="38331"/>
    <cellStyle name="Nota 2 5 5 18 2 2" xfId="38332"/>
    <cellStyle name="Nota 2 5 5 18 2 3" xfId="38333"/>
    <cellStyle name="Nota 2 5 5 18 3" xfId="38334"/>
    <cellStyle name="Nota 2 5 5 18 3 2" xfId="38335"/>
    <cellStyle name="Nota 2 5 5 18 3 3" xfId="38336"/>
    <cellStyle name="Nota 2 5 5 18 4" xfId="38337"/>
    <cellStyle name="Nota 2 5 5 18 5" xfId="38338"/>
    <cellStyle name="Nota 2 5 5 19" xfId="38339"/>
    <cellStyle name="Nota 2 5 5 19 2" xfId="38340"/>
    <cellStyle name="Nota 2 5 5 19 2 2" xfId="38341"/>
    <cellStyle name="Nota 2 5 5 19 2 3" xfId="38342"/>
    <cellStyle name="Nota 2 5 5 19 3" xfId="38343"/>
    <cellStyle name="Nota 2 5 5 19 3 2" xfId="38344"/>
    <cellStyle name="Nota 2 5 5 19 3 3" xfId="38345"/>
    <cellStyle name="Nota 2 5 5 19 4" xfId="38346"/>
    <cellStyle name="Nota 2 5 5 19 5" xfId="38347"/>
    <cellStyle name="Nota 2 5 5 2" xfId="38348"/>
    <cellStyle name="Nota 2 5 5 2 2" xfId="38349"/>
    <cellStyle name="Nota 2 5 5 2 2 2" xfId="38350"/>
    <cellStyle name="Nota 2 5 5 2 2 3" xfId="38351"/>
    <cellStyle name="Nota 2 5 5 2 3" xfId="38352"/>
    <cellStyle name="Nota 2 5 5 2 3 2" xfId="38353"/>
    <cellStyle name="Nota 2 5 5 2 3 3" xfId="38354"/>
    <cellStyle name="Nota 2 5 5 2 4" xfId="38355"/>
    <cellStyle name="Nota 2 5 5 2 5" xfId="38356"/>
    <cellStyle name="Nota 2 5 5 20" xfId="38357"/>
    <cellStyle name="Nota 2 5 5 20 2" xfId="38358"/>
    <cellStyle name="Nota 2 5 5 20 2 2" xfId="38359"/>
    <cellStyle name="Nota 2 5 5 20 2 3" xfId="38360"/>
    <cellStyle name="Nota 2 5 5 20 3" xfId="38361"/>
    <cellStyle name="Nota 2 5 5 20 3 2" xfId="38362"/>
    <cellStyle name="Nota 2 5 5 20 3 3" xfId="38363"/>
    <cellStyle name="Nota 2 5 5 20 4" xfId="38364"/>
    <cellStyle name="Nota 2 5 5 20 5" xfId="38365"/>
    <cellStyle name="Nota 2 5 5 21" xfId="38366"/>
    <cellStyle name="Nota 2 5 5 21 2" xfId="38367"/>
    <cellStyle name="Nota 2 5 5 21 2 2" xfId="38368"/>
    <cellStyle name="Nota 2 5 5 21 2 3" xfId="38369"/>
    <cellStyle name="Nota 2 5 5 21 3" xfId="38370"/>
    <cellStyle name="Nota 2 5 5 21 3 2" xfId="38371"/>
    <cellStyle name="Nota 2 5 5 21 3 3" xfId="38372"/>
    <cellStyle name="Nota 2 5 5 21 4" xfId="38373"/>
    <cellStyle name="Nota 2 5 5 21 5" xfId="38374"/>
    <cellStyle name="Nota 2 5 5 22" xfId="38375"/>
    <cellStyle name="Nota 2 5 5 22 2" xfId="38376"/>
    <cellStyle name="Nota 2 5 5 22 2 2" xfId="38377"/>
    <cellStyle name="Nota 2 5 5 22 2 3" xfId="38378"/>
    <cellStyle name="Nota 2 5 5 22 3" xfId="38379"/>
    <cellStyle name="Nota 2 5 5 22 3 2" xfId="38380"/>
    <cellStyle name="Nota 2 5 5 22 3 3" xfId="38381"/>
    <cellStyle name="Nota 2 5 5 22 4" xfId="38382"/>
    <cellStyle name="Nota 2 5 5 22 5" xfId="38383"/>
    <cellStyle name="Nota 2 5 5 23" xfId="38384"/>
    <cellStyle name="Nota 2 5 5 23 2" xfId="38385"/>
    <cellStyle name="Nota 2 5 5 23 2 2" xfId="38386"/>
    <cellStyle name="Nota 2 5 5 23 2 3" xfId="38387"/>
    <cellStyle name="Nota 2 5 5 23 3" xfId="38388"/>
    <cellStyle name="Nota 2 5 5 23 3 2" xfId="38389"/>
    <cellStyle name="Nota 2 5 5 23 3 3" xfId="38390"/>
    <cellStyle name="Nota 2 5 5 23 4" xfId="38391"/>
    <cellStyle name="Nota 2 5 5 23 5" xfId="38392"/>
    <cellStyle name="Nota 2 5 5 24" xfId="38393"/>
    <cellStyle name="Nota 2 5 5 24 2" xfId="38394"/>
    <cellStyle name="Nota 2 5 5 24 2 2" xfId="38395"/>
    <cellStyle name="Nota 2 5 5 24 2 3" xfId="38396"/>
    <cellStyle name="Nota 2 5 5 24 3" xfId="38397"/>
    <cellStyle name="Nota 2 5 5 24 3 2" xfId="38398"/>
    <cellStyle name="Nota 2 5 5 24 3 3" xfId="38399"/>
    <cellStyle name="Nota 2 5 5 24 4" xfId="38400"/>
    <cellStyle name="Nota 2 5 5 24 5" xfId="38401"/>
    <cellStyle name="Nota 2 5 5 25" xfId="38402"/>
    <cellStyle name="Nota 2 5 5 25 2" xfId="38403"/>
    <cellStyle name="Nota 2 5 5 25 2 2" xfId="38404"/>
    <cellStyle name="Nota 2 5 5 25 2 3" xfId="38405"/>
    <cellStyle name="Nota 2 5 5 25 3" xfId="38406"/>
    <cellStyle name="Nota 2 5 5 25 3 2" xfId="38407"/>
    <cellStyle name="Nota 2 5 5 25 3 3" xfId="38408"/>
    <cellStyle name="Nota 2 5 5 25 4" xfId="38409"/>
    <cellStyle name="Nota 2 5 5 25 5" xfId="38410"/>
    <cellStyle name="Nota 2 5 5 26" xfId="38411"/>
    <cellStyle name="Nota 2 5 5 26 2" xfId="38412"/>
    <cellStyle name="Nota 2 5 5 26 2 2" xfId="38413"/>
    <cellStyle name="Nota 2 5 5 26 2 3" xfId="38414"/>
    <cellStyle name="Nota 2 5 5 26 3" xfId="38415"/>
    <cellStyle name="Nota 2 5 5 26 3 2" xfId="38416"/>
    <cellStyle name="Nota 2 5 5 26 3 3" xfId="38417"/>
    <cellStyle name="Nota 2 5 5 26 4" xfId="38418"/>
    <cellStyle name="Nota 2 5 5 26 5" xfId="38419"/>
    <cellStyle name="Nota 2 5 5 27" xfId="38420"/>
    <cellStyle name="Nota 2 5 5 27 2" xfId="38421"/>
    <cellStyle name="Nota 2 5 5 27 2 2" xfId="38422"/>
    <cellStyle name="Nota 2 5 5 27 2 3" xfId="38423"/>
    <cellStyle name="Nota 2 5 5 27 3" xfId="38424"/>
    <cellStyle name="Nota 2 5 5 27 3 2" xfId="38425"/>
    <cellStyle name="Nota 2 5 5 27 3 3" xfId="38426"/>
    <cellStyle name="Nota 2 5 5 27 4" xfId="38427"/>
    <cellStyle name="Nota 2 5 5 27 5" xfId="38428"/>
    <cellStyle name="Nota 2 5 5 28" xfId="38429"/>
    <cellStyle name="Nota 2 5 5 28 2" xfId="38430"/>
    <cellStyle name="Nota 2 5 5 28 2 2" xfId="38431"/>
    <cellStyle name="Nota 2 5 5 28 2 3" xfId="38432"/>
    <cellStyle name="Nota 2 5 5 28 3" xfId="38433"/>
    <cellStyle name="Nota 2 5 5 28 3 2" xfId="38434"/>
    <cellStyle name="Nota 2 5 5 28 3 3" xfId="38435"/>
    <cellStyle name="Nota 2 5 5 28 4" xfId="38436"/>
    <cellStyle name="Nota 2 5 5 28 5" xfId="38437"/>
    <cellStyle name="Nota 2 5 5 29" xfId="38438"/>
    <cellStyle name="Nota 2 5 5 29 2" xfId="38439"/>
    <cellStyle name="Nota 2 5 5 29 2 2" xfId="38440"/>
    <cellStyle name="Nota 2 5 5 29 2 3" xfId="38441"/>
    <cellStyle name="Nota 2 5 5 29 3" xfId="38442"/>
    <cellStyle name="Nota 2 5 5 29 3 2" xfId="38443"/>
    <cellStyle name="Nota 2 5 5 29 3 3" xfId="38444"/>
    <cellStyle name="Nota 2 5 5 29 4" xfId="38445"/>
    <cellStyle name="Nota 2 5 5 29 5" xfId="38446"/>
    <cellStyle name="Nota 2 5 5 3" xfId="38447"/>
    <cellStyle name="Nota 2 5 5 3 2" xfId="38448"/>
    <cellStyle name="Nota 2 5 5 3 2 2" xfId="38449"/>
    <cellStyle name="Nota 2 5 5 3 2 3" xfId="38450"/>
    <cellStyle name="Nota 2 5 5 3 3" xfId="38451"/>
    <cellStyle name="Nota 2 5 5 3 3 2" xfId="38452"/>
    <cellStyle name="Nota 2 5 5 3 3 3" xfId="38453"/>
    <cellStyle name="Nota 2 5 5 3 4" xfId="38454"/>
    <cellStyle name="Nota 2 5 5 3 5" xfId="38455"/>
    <cellStyle name="Nota 2 5 5 30" xfId="38456"/>
    <cellStyle name="Nota 2 5 5 30 2" xfId="38457"/>
    <cellStyle name="Nota 2 5 5 30 2 2" xfId="38458"/>
    <cellStyle name="Nota 2 5 5 30 2 3" xfId="38459"/>
    <cellStyle name="Nota 2 5 5 30 3" xfId="38460"/>
    <cellStyle name="Nota 2 5 5 30 3 2" xfId="38461"/>
    <cellStyle name="Nota 2 5 5 30 3 3" xfId="38462"/>
    <cellStyle name="Nota 2 5 5 30 4" xfId="38463"/>
    <cellStyle name="Nota 2 5 5 30 5" xfId="38464"/>
    <cellStyle name="Nota 2 5 5 31" xfId="38465"/>
    <cellStyle name="Nota 2 5 5 31 2" xfId="38466"/>
    <cellStyle name="Nota 2 5 5 31 2 2" xfId="38467"/>
    <cellStyle name="Nota 2 5 5 31 2 3" xfId="38468"/>
    <cellStyle name="Nota 2 5 5 31 3" xfId="38469"/>
    <cellStyle name="Nota 2 5 5 31 3 2" xfId="38470"/>
    <cellStyle name="Nota 2 5 5 31 3 3" xfId="38471"/>
    <cellStyle name="Nota 2 5 5 31 4" xfId="38472"/>
    <cellStyle name="Nota 2 5 5 31 5" xfId="38473"/>
    <cellStyle name="Nota 2 5 5 32" xfId="38474"/>
    <cellStyle name="Nota 2 5 5 32 2" xfId="38475"/>
    <cellStyle name="Nota 2 5 5 32 2 2" xfId="38476"/>
    <cellStyle name="Nota 2 5 5 32 2 3" xfId="38477"/>
    <cellStyle name="Nota 2 5 5 32 3" xfId="38478"/>
    <cellStyle name="Nota 2 5 5 32 3 2" xfId="38479"/>
    <cellStyle name="Nota 2 5 5 32 3 3" xfId="38480"/>
    <cellStyle name="Nota 2 5 5 32 4" xfId="38481"/>
    <cellStyle name="Nota 2 5 5 32 5" xfId="38482"/>
    <cellStyle name="Nota 2 5 5 33" xfId="38483"/>
    <cellStyle name="Nota 2 5 5 33 2" xfId="38484"/>
    <cellStyle name="Nota 2 5 5 33 2 2" xfId="38485"/>
    <cellStyle name="Nota 2 5 5 33 2 3" xfId="38486"/>
    <cellStyle name="Nota 2 5 5 33 3" xfId="38487"/>
    <cellStyle name="Nota 2 5 5 33 3 2" xfId="38488"/>
    <cellStyle name="Nota 2 5 5 33 3 3" xfId="38489"/>
    <cellStyle name="Nota 2 5 5 33 4" xfId="38490"/>
    <cellStyle name="Nota 2 5 5 33 5" xfId="38491"/>
    <cellStyle name="Nota 2 5 5 34" xfId="38492"/>
    <cellStyle name="Nota 2 5 5 34 2" xfId="38493"/>
    <cellStyle name="Nota 2 5 5 34 2 2" xfId="38494"/>
    <cellStyle name="Nota 2 5 5 34 2 3" xfId="38495"/>
    <cellStyle name="Nota 2 5 5 34 3" xfId="38496"/>
    <cellStyle name="Nota 2 5 5 34 3 2" xfId="38497"/>
    <cellStyle name="Nota 2 5 5 34 3 3" xfId="38498"/>
    <cellStyle name="Nota 2 5 5 34 4" xfId="38499"/>
    <cellStyle name="Nota 2 5 5 34 5" xfId="38500"/>
    <cellStyle name="Nota 2 5 5 35" xfId="38501"/>
    <cellStyle name="Nota 2 5 5 35 2" xfId="38502"/>
    <cellStyle name="Nota 2 5 5 35 2 2" xfId="38503"/>
    <cellStyle name="Nota 2 5 5 35 2 3" xfId="38504"/>
    <cellStyle name="Nota 2 5 5 35 3" xfId="38505"/>
    <cellStyle name="Nota 2 5 5 35 3 2" xfId="38506"/>
    <cellStyle name="Nota 2 5 5 35 3 3" xfId="38507"/>
    <cellStyle name="Nota 2 5 5 35 4" xfId="38508"/>
    <cellStyle name="Nota 2 5 5 35 5" xfId="38509"/>
    <cellStyle name="Nota 2 5 5 36" xfId="38510"/>
    <cellStyle name="Nota 2 5 5 36 2" xfId="38511"/>
    <cellStyle name="Nota 2 5 5 36 2 2" xfId="38512"/>
    <cellStyle name="Nota 2 5 5 36 2 3" xfId="38513"/>
    <cellStyle name="Nota 2 5 5 36 3" xfId="38514"/>
    <cellStyle name="Nota 2 5 5 36 3 2" xfId="38515"/>
    <cellStyle name="Nota 2 5 5 36 3 3" xfId="38516"/>
    <cellStyle name="Nota 2 5 5 36 4" xfId="38517"/>
    <cellStyle name="Nota 2 5 5 36 5" xfId="38518"/>
    <cellStyle name="Nota 2 5 5 37" xfId="38519"/>
    <cellStyle name="Nota 2 5 5 37 2" xfId="38520"/>
    <cellStyle name="Nota 2 5 5 37 2 2" xfId="38521"/>
    <cellStyle name="Nota 2 5 5 37 2 3" xfId="38522"/>
    <cellStyle name="Nota 2 5 5 37 3" xfId="38523"/>
    <cellStyle name="Nota 2 5 5 37 3 2" xfId="38524"/>
    <cellStyle name="Nota 2 5 5 37 3 3" xfId="38525"/>
    <cellStyle name="Nota 2 5 5 37 4" xfId="38526"/>
    <cellStyle name="Nota 2 5 5 37 5" xfId="38527"/>
    <cellStyle name="Nota 2 5 5 38" xfId="38528"/>
    <cellStyle name="Nota 2 5 5 38 2" xfId="38529"/>
    <cellStyle name="Nota 2 5 5 38 2 2" xfId="38530"/>
    <cellStyle name="Nota 2 5 5 38 2 3" xfId="38531"/>
    <cellStyle name="Nota 2 5 5 38 3" xfId="38532"/>
    <cellStyle name="Nota 2 5 5 38 3 2" xfId="38533"/>
    <cellStyle name="Nota 2 5 5 38 3 3" xfId="38534"/>
    <cellStyle name="Nota 2 5 5 38 4" xfId="38535"/>
    <cellStyle name="Nota 2 5 5 38 5" xfId="38536"/>
    <cellStyle name="Nota 2 5 5 39" xfId="38537"/>
    <cellStyle name="Nota 2 5 5 39 2" xfId="38538"/>
    <cellStyle name="Nota 2 5 5 39 2 2" xfId="38539"/>
    <cellStyle name="Nota 2 5 5 39 2 3" xfId="38540"/>
    <cellStyle name="Nota 2 5 5 39 3" xfId="38541"/>
    <cellStyle name="Nota 2 5 5 39 3 2" xfId="38542"/>
    <cellStyle name="Nota 2 5 5 39 3 3" xfId="38543"/>
    <cellStyle name="Nota 2 5 5 39 4" xfId="38544"/>
    <cellStyle name="Nota 2 5 5 39 5" xfId="38545"/>
    <cellStyle name="Nota 2 5 5 4" xfId="38546"/>
    <cellStyle name="Nota 2 5 5 4 2" xfId="38547"/>
    <cellStyle name="Nota 2 5 5 4 2 2" xfId="38548"/>
    <cellStyle name="Nota 2 5 5 4 2 3" xfId="38549"/>
    <cellStyle name="Nota 2 5 5 4 3" xfId="38550"/>
    <cellStyle name="Nota 2 5 5 4 3 2" xfId="38551"/>
    <cellStyle name="Nota 2 5 5 4 3 3" xfId="38552"/>
    <cellStyle name="Nota 2 5 5 4 4" xfId="38553"/>
    <cellStyle name="Nota 2 5 5 4 5" xfId="38554"/>
    <cellStyle name="Nota 2 5 5 40" xfId="38555"/>
    <cellStyle name="Nota 2 5 5 40 2" xfId="38556"/>
    <cellStyle name="Nota 2 5 5 40 2 2" xfId="38557"/>
    <cellStyle name="Nota 2 5 5 40 2 3" xfId="38558"/>
    <cellStyle name="Nota 2 5 5 40 3" xfId="38559"/>
    <cellStyle name="Nota 2 5 5 40 4" xfId="38560"/>
    <cellStyle name="Nota 2 5 5 41" xfId="38561"/>
    <cellStyle name="Nota 2 5 5 41 2" xfId="38562"/>
    <cellStyle name="Nota 2 5 5 41 3" xfId="38563"/>
    <cellStyle name="Nota 2 5 5 42" xfId="38564"/>
    <cellStyle name="Nota 2 5 5 43" xfId="38565"/>
    <cellStyle name="Nota 2 5 5 5" xfId="38566"/>
    <cellStyle name="Nota 2 5 5 5 2" xfId="38567"/>
    <cellStyle name="Nota 2 5 5 5 2 2" xfId="38568"/>
    <cellStyle name="Nota 2 5 5 5 2 3" xfId="38569"/>
    <cellStyle name="Nota 2 5 5 5 3" xfId="38570"/>
    <cellStyle name="Nota 2 5 5 5 3 2" xfId="38571"/>
    <cellStyle name="Nota 2 5 5 5 3 3" xfId="38572"/>
    <cellStyle name="Nota 2 5 5 5 4" xfId="38573"/>
    <cellStyle name="Nota 2 5 5 5 5" xfId="38574"/>
    <cellStyle name="Nota 2 5 5 6" xfId="38575"/>
    <cellStyle name="Nota 2 5 5 6 2" xfId="38576"/>
    <cellStyle name="Nota 2 5 5 6 2 2" xfId="38577"/>
    <cellStyle name="Nota 2 5 5 6 2 3" xfId="38578"/>
    <cellStyle name="Nota 2 5 5 6 3" xfId="38579"/>
    <cellStyle name="Nota 2 5 5 6 3 2" xfId="38580"/>
    <cellStyle name="Nota 2 5 5 6 3 3" xfId="38581"/>
    <cellStyle name="Nota 2 5 5 6 4" xfId="38582"/>
    <cellStyle name="Nota 2 5 5 6 5" xfId="38583"/>
    <cellStyle name="Nota 2 5 5 7" xfId="38584"/>
    <cellStyle name="Nota 2 5 5 7 2" xfId="38585"/>
    <cellStyle name="Nota 2 5 5 7 2 2" xfId="38586"/>
    <cellStyle name="Nota 2 5 5 7 2 3" xfId="38587"/>
    <cellStyle name="Nota 2 5 5 7 3" xfId="38588"/>
    <cellStyle name="Nota 2 5 5 7 3 2" xfId="38589"/>
    <cellStyle name="Nota 2 5 5 7 3 3" xfId="38590"/>
    <cellStyle name="Nota 2 5 5 7 4" xfId="38591"/>
    <cellStyle name="Nota 2 5 5 7 5" xfId="38592"/>
    <cellStyle name="Nota 2 5 5 8" xfId="38593"/>
    <cellStyle name="Nota 2 5 5 8 2" xfId="38594"/>
    <cellStyle name="Nota 2 5 5 8 2 2" xfId="38595"/>
    <cellStyle name="Nota 2 5 5 8 2 3" xfId="38596"/>
    <cellStyle name="Nota 2 5 5 8 3" xfId="38597"/>
    <cellStyle name="Nota 2 5 5 8 3 2" xfId="38598"/>
    <cellStyle name="Nota 2 5 5 8 3 3" xfId="38599"/>
    <cellStyle name="Nota 2 5 5 8 4" xfId="38600"/>
    <cellStyle name="Nota 2 5 5 8 5" xfId="38601"/>
    <cellStyle name="Nota 2 5 5 9" xfId="38602"/>
    <cellStyle name="Nota 2 5 5 9 2" xfId="38603"/>
    <cellStyle name="Nota 2 5 5 9 2 2" xfId="38604"/>
    <cellStyle name="Nota 2 5 5 9 2 3" xfId="38605"/>
    <cellStyle name="Nota 2 5 5 9 3" xfId="38606"/>
    <cellStyle name="Nota 2 5 5 9 3 2" xfId="38607"/>
    <cellStyle name="Nota 2 5 5 9 3 3" xfId="38608"/>
    <cellStyle name="Nota 2 5 5 9 4" xfId="38609"/>
    <cellStyle name="Nota 2 5 5 9 5" xfId="38610"/>
    <cellStyle name="Nota 2 5 6" xfId="38611"/>
    <cellStyle name="Nota 2 5 6 2" xfId="38612"/>
    <cellStyle name="Nota 2 5 6 2 2" xfId="38613"/>
    <cellStyle name="Nota 2 5 6 2 3" xfId="38614"/>
    <cellStyle name="Nota 2 5 6 3" xfId="38615"/>
    <cellStyle name="Nota 2 5 6 3 2" xfId="38616"/>
    <cellStyle name="Nota 2 5 6 3 3" xfId="38617"/>
    <cellStyle name="Nota 2 5 6 4" xfId="38618"/>
    <cellStyle name="Nota 2 5 6 5" xfId="38619"/>
    <cellStyle name="Nota 2 5 7" xfId="38620"/>
    <cellStyle name="Nota 2 5 7 2" xfId="38621"/>
    <cellStyle name="Nota 2 5 7 2 2" xfId="38622"/>
    <cellStyle name="Nota 2 5 7 2 3" xfId="38623"/>
    <cellStyle name="Nota 2 5 7 3" xfId="38624"/>
    <cellStyle name="Nota 2 5 7 3 2" xfId="38625"/>
    <cellStyle name="Nota 2 5 7 3 3" xfId="38626"/>
    <cellStyle name="Nota 2 5 7 4" xfId="38627"/>
    <cellStyle name="Nota 2 5 7 5" xfId="38628"/>
    <cellStyle name="Nota 2 5 8" xfId="38629"/>
    <cellStyle name="Nota 2 5 8 2" xfId="38630"/>
    <cellStyle name="Nota 2 5 8 2 2" xfId="38631"/>
    <cellStyle name="Nota 2 5 8 2 3" xfId="38632"/>
    <cellStyle name="Nota 2 5 8 3" xfId="38633"/>
    <cellStyle name="Nota 2 5 8 3 2" xfId="38634"/>
    <cellStyle name="Nota 2 5 8 3 3" xfId="38635"/>
    <cellStyle name="Nota 2 5 8 4" xfId="38636"/>
    <cellStyle name="Nota 2 5 8 5" xfId="38637"/>
    <cellStyle name="Nota 2 5 9" xfId="38638"/>
    <cellStyle name="Nota 2 5 9 2" xfId="38639"/>
    <cellStyle name="Nota 2 5 9 2 2" xfId="38640"/>
    <cellStyle name="Nota 2 5 9 2 3" xfId="38641"/>
    <cellStyle name="Nota 2 5 9 3" xfId="38642"/>
    <cellStyle name="Nota 2 5 9 3 2" xfId="38643"/>
    <cellStyle name="Nota 2 5 9 3 3" xfId="38644"/>
    <cellStyle name="Nota 2 5 9 4" xfId="38645"/>
    <cellStyle name="Nota 2 5 9 5" xfId="38646"/>
    <cellStyle name="Nota 2 6" xfId="38647"/>
    <cellStyle name="Nota 2 6 10" xfId="38648"/>
    <cellStyle name="Nota 2 6 10 2" xfId="38649"/>
    <cellStyle name="Nota 2 6 10 2 2" xfId="38650"/>
    <cellStyle name="Nota 2 6 10 2 3" xfId="38651"/>
    <cellStyle name="Nota 2 6 10 3" xfId="38652"/>
    <cellStyle name="Nota 2 6 10 3 2" xfId="38653"/>
    <cellStyle name="Nota 2 6 10 3 3" xfId="38654"/>
    <cellStyle name="Nota 2 6 10 4" xfId="38655"/>
    <cellStyle name="Nota 2 6 10 5" xfId="38656"/>
    <cellStyle name="Nota 2 6 11" xfId="38657"/>
    <cellStyle name="Nota 2 6 11 2" xfId="38658"/>
    <cellStyle name="Nota 2 6 11 2 2" xfId="38659"/>
    <cellStyle name="Nota 2 6 11 2 3" xfId="38660"/>
    <cellStyle name="Nota 2 6 11 3" xfId="38661"/>
    <cellStyle name="Nota 2 6 11 3 2" xfId="38662"/>
    <cellStyle name="Nota 2 6 11 3 3" xfId="38663"/>
    <cellStyle name="Nota 2 6 11 4" xfId="38664"/>
    <cellStyle name="Nota 2 6 11 5" xfId="38665"/>
    <cellStyle name="Nota 2 6 12" xfId="38666"/>
    <cellStyle name="Nota 2 6 12 2" xfId="38667"/>
    <cellStyle name="Nota 2 6 12 2 2" xfId="38668"/>
    <cellStyle name="Nota 2 6 12 2 3" xfId="38669"/>
    <cellStyle name="Nota 2 6 12 3" xfId="38670"/>
    <cellStyle name="Nota 2 6 12 3 2" xfId="38671"/>
    <cellStyle name="Nota 2 6 12 3 3" xfId="38672"/>
    <cellStyle name="Nota 2 6 12 4" xfId="38673"/>
    <cellStyle name="Nota 2 6 12 5" xfId="38674"/>
    <cellStyle name="Nota 2 6 13" xfId="38675"/>
    <cellStyle name="Nota 2 6 13 2" xfId="38676"/>
    <cellStyle name="Nota 2 6 13 2 2" xfId="38677"/>
    <cellStyle name="Nota 2 6 13 2 3" xfId="38678"/>
    <cellStyle name="Nota 2 6 13 3" xfId="38679"/>
    <cellStyle name="Nota 2 6 13 3 2" xfId="38680"/>
    <cellStyle name="Nota 2 6 13 3 3" xfId="38681"/>
    <cellStyle name="Nota 2 6 13 4" xfId="38682"/>
    <cellStyle name="Nota 2 6 13 5" xfId="38683"/>
    <cellStyle name="Nota 2 6 14" xfId="38684"/>
    <cellStyle name="Nota 2 6 14 2" xfId="38685"/>
    <cellStyle name="Nota 2 6 14 2 2" xfId="38686"/>
    <cellStyle name="Nota 2 6 14 2 3" xfId="38687"/>
    <cellStyle name="Nota 2 6 14 3" xfId="38688"/>
    <cellStyle name="Nota 2 6 14 3 2" xfId="38689"/>
    <cellStyle name="Nota 2 6 14 3 3" xfId="38690"/>
    <cellStyle name="Nota 2 6 14 4" xfId="38691"/>
    <cellStyle name="Nota 2 6 14 5" xfId="38692"/>
    <cellStyle name="Nota 2 6 15" xfId="38693"/>
    <cellStyle name="Nota 2 6 15 2" xfId="38694"/>
    <cellStyle name="Nota 2 6 15 2 2" xfId="38695"/>
    <cellStyle name="Nota 2 6 15 2 3" xfId="38696"/>
    <cellStyle name="Nota 2 6 15 3" xfId="38697"/>
    <cellStyle name="Nota 2 6 15 3 2" xfId="38698"/>
    <cellStyle name="Nota 2 6 15 3 3" xfId="38699"/>
    <cellStyle name="Nota 2 6 15 4" xfId="38700"/>
    <cellStyle name="Nota 2 6 15 5" xfId="38701"/>
    <cellStyle name="Nota 2 6 16" xfId="38702"/>
    <cellStyle name="Nota 2 6 16 2" xfId="38703"/>
    <cellStyle name="Nota 2 6 16 2 2" xfId="38704"/>
    <cellStyle name="Nota 2 6 16 2 3" xfId="38705"/>
    <cellStyle name="Nota 2 6 16 3" xfId="38706"/>
    <cellStyle name="Nota 2 6 16 3 2" xfId="38707"/>
    <cellStyle name="Nota 2 6 16 3 3" xfId="38708"/>
    <cellStyle name="Nota 2 6 16 4" xfId="38709"/>
    <cellStyle name="Nota 2 6 16 5" xfId="38710"/>
    <cellStyle name="Nota 2 6 17" xfId="38711"/>
    <cellStyle name="Nota 2 6 17 2" xfId="38712"/>
    <cellStyle name="Nota 2 6 17 2 2" xfId="38713"/>
    <cellStyle name="Nota 2 6 17 2 3" xfId="38714"/>
    <cellStyle name="Nota 2 6 17 3" xfId="38715"/>
    <cellStyle name="Nota 2 6 17 3 2" xfId="38716"/>
    <cellStyle name="Nota 2 6 17 3 3" xfId="38717"/>
    <cellStyle name="Nota 2 6 17 4" xfId="38718"/>
    <cellStyle name="Nota 2 6 17 5" xfId="38719"/>
    <cellStyle name="Nota 2 6 18" xfId="38720"/>
    <cellStyle name="Nota 2 6 18 2" xfId="38721"/>
    <cellStyle name="Nota 2 6 18 2 2" xfId="38722"/>
    <cellStyle name="Nota 2 6 18 2 3" xfId="38723"/>
    <cellStyle name="Nota 2 6 18 3" xfId="38724"/>
    <cellStyle name="Nota 2 6 18 3 2" xfId="38725"/>
    <cellStyle name="Nota 2 6 18 3 3" xfId="38726"/>
    <cellStyle name="Nota 2 6 18 4" xfId="38727"/>
    <cellStyle name="Nota 2 6 18 5" xfId="38728"/>
    <cellStyle name="Nota 2 6 19" xfId="38729"/>
    <cellStyle name="Nota 2 6 19 2" xfId="38730"/>
    <cellStyle name="Nota 2 6 19 2 2" xfId="38731"/>
    <cellStyle name="Nota 2 6 19 2 3" xfId="38732"/>
    <cellStyle name="Nota 2 6 19 3" xfId="38733"/>
    <cellStyle name="Nota 2 6 19 3 2" xfId="38734"/>
    <cellStyle name="Nota 2 6 19 3 3" xfId="38735"/>
    <cellStyle name="Nota 2 6 19 4" xfId="38736"/>
    <cellStyle name="Nota 2 6 19 5" xfId="38737"/>
    <cellStyle name="Nota 2 6 2" xfId="38738"/>
    <cellStyle name="Nota 2 6 2 2" xfId="38739"/>
    <cellStyle name="Nota 2 6 2 2 2" xfId="38740"/>
    <cellStyle name="Nota 2 6 2 2 3" xfId="38741"/>
    <cellStyle name="Nota 2 6 2 3" xfId="38742"/>
    <cellStyle name="Nota 2 6 2 3 2" xfId="38743"/>
    <cellStyle name="Nota 2 6 2 3 3" xfId="38744"/>
    <cellStyle name="Nota 2 6 2 4" xfId="38745"/>
    <cellStyle name="Nota 2 6 2 5" xfId="38746"/>
    <cellStyle name="Nota 2 6 20" xfId="38747"/>
    <cellStyle name="Nota 2 6 20 2" xfId="38748"/>
    <cellStyle name="Nota 2 6 20 2 2" xfId="38749"/>
    <cellStyle name="Nota 2 6 20 2 3" xfId="38750"/>
    <cellStyle name="Nota 2 6 20 3" xfId="38751"/>
    <cellStyle name="Nota 2 6 20 3 2" xfId="38752"/>
    <cellStyle name="Nota 2 6 20 3 3" xfId="38753"/>
    <cellStyle name="Nota 2 6 20 4" xfId="38754"/>
    <cellStyle name="Nota 2 6 20 5" xfId="38755"/>
    <cellStyle name="Nota 2 6 21" xfId="38756"/>
    <cellStyle name="Nota 2 6 21 2" xfId="38757"/>
    <cellStyle name="Nota 2 6 21 2 2" xfId="38758"/>
    <cellStyle name="Nota 2 6 21 2 3" xfId="38759"/>
    <cellStyle name="Nota 2 6 21 3" xfId="38760"/>
    <cellStyle name="Nota 2 6 21 3 2" xfId="38761"/>
    <cellStyle name="Nota 2 6 21 3 3" xfId="38762"/>
    <cellStyle name="Nota 2 6 21 4" xfId="38763"/>
    <cellStyle name="Nota 2 6 21 5" xfId="38764"/>
    <cellStyle name="Nota 2 6 22" xfId="38765"/>
    <cellStyle name="Nota 2 6 22 2" xfId="38766"/>
    <cellStyle name="Nota 2 6 22 2 2" xfId="38767"/>
    <cellStyle name="Nota 2 6 22 2 3" xfId="38768"/>
    <cellStyle name="Nota 2 6 22 3" xfId="38769"/>
    <cellStyle name="Nota 2 6 22 3 2" xfId="38770"/>
    <cellStyle name="Nota 2 6 22 3 3" xfId="38771"/>
    <cellStyle name="Nota 2 6 22 4" xfId="38772"/>
    <cellStyle name="Nota 2 6 22 5" xfId="38773"/>
    <cellStyle name="Nota 2 6 23" xfId="38774"/>
    <cellStyle name="Nota 2 6 23 2" xfId="38775"/>
    <cellStyle name="Nota 2 6 23 2 2" xfId="38776"/>
    <cellStyle name="Nota 2 6 23 2 3" xfId="38777"/>
    <cellStyle name="Nota 2 6 23 3" xfId="38778"/>
    <cellStyle name="Nota 2 6 23 3 2" xfId="38779"/>
    <cellStyle name="Nota 2 6 23 3 3" xfId="38780"/>
    <cellStyle name="Nota 2 6 23 4" xfId="38781"/>
    <cellStyle name="Nota 2 6 23 5" xfId="38782"/>
    <cellStyle name="Nota 2 6 24" xfId="38783"/>
    <cellStyle name="Nota 2 6 24 2" xfId="38784"/>
    <cellStyle name="Nota 2 6 24 2 2" xfId="38785"/>
    <cellStyle name="Nota 2 6 24 2 3" xfId="38786"/>
    <cellStyle name="Nota 2 6 24 3" xfId="38787"/>
    <cellStyle name="Nota 2 6 24 3 2" xfId="38788"/>
    <cellStyle name="Nota 2 6 24 3 3" xfId="38789"/>
    <cellStyle name="Nota 2 6 24 4" xfId="38790"/>
    <cellStyle name="Nota 2 6 24 5" xfId="38791"/>
    <cellStyle name="Nota 2 6 25" xfId="38792"/>
    <cellStyle name="Nota 2 6 25 2" xfId="38793"/>
    <cellStyle name="Nota 2 6 25 2 2" xfId="38794"/>
    <cellStyle name="Nota 2 6 25 2 3" xfId="38795"/>
    <cellStyle name="Nota 2 6 25 3" xfId="38796"/>
    <cellStyle name="Nota 2 6 25 3 2" xfId="38797"/>
    <cellStyle name="Nota 2 6 25 3 3" xfId="38798"/>
    <cellStyle name="Nota 2 6 25 4" xfId="38799"/>
    <cellStyle name="Nota 2 6 25 5" xfId="38800"/>
    <cellStyle name="Nota 2 6 26" xfId="38801"/>
    <cellStyle name="Nota 2 6 26 2" xfId="38802"/>
    <cellStyle name="Nota 2 6 26 2 2" xfId="38803"/>
    <cellStyle name="Nota 2 6 26 2 3" xfId="38804"/>
    <cellStyle name="Nota 2 6 26 3" xfId="38805"/>
    <cellStyle name="Nota 2 6 26 3 2" xfId="38806"/>
    <cellStyle name="Nota 2 6 26 3 3" xfId="38807"/>
    <cellStyle name="Nota 2 6 26 4" xfId="38808"/>
    <cellStyle name="Nota 2 6 26 5" xfId="38809"/>
    <cellStyle name="Nota 2 6 27" xfId="38810"/>
    <cellStyle name="Nota 2 6 27 2" xfId="38811"/>
    <cellStyle name="Nota 2 6 27 2 2" xfId="38812"/>
    <cellStyle name="Nota 2 6 27 2 3" xfId="38813"/>
    <cellStyle name="Nota 2 6 27 3" xfId="38814"/>
    <cellStyle name="Nota 2 6 27 3 2" xfId="38815"/>
    <cellStyle name="Nota 2 6 27 3 3" xfId="38816"/>
    <cellStyle name="Nota 2 6 27 4" xfId="38817"/>
    <cellStyle name="Nota 2 6 27 5" xfId="38818"/>
    <cellStyle name="Nota 2 6 28" xfId="38819"/>
    <cellStyle name="Nota 2 6 28 2" xfId="38820"/>
    <cellStyle name="Nota 2 6 28 2 2" xfId="38821"/>
    <cellStyle name="Nota 2 6 28 2 3" xfId="38822"/>
    <cellStyle name="Nota 2 6 28 3" xfId="38823"/>
    <cellStyle name="Nota 2 6 28 3 2" xfId="38824"/>
    <cellStyle name="Nota 2 6 28 3 3" xfId="38825"/>
    <cellStyle name="Nota 2 6 28 4" xfId="38826"/>
    <cellStyle name="Nota 2 6 28 5" xfId="38827"/>
    <cellStyle name="Nota 2 6 29" xfId="38828"/>
    <cellStyle name="Nota 2 6 29 2" xfId="38829"/>
    <cellStyle name="Nota 2 6 29 2 2" xfId="38830"/>
    <cellStyle name="Nota 2 6 29 2 3" xfId="38831"/>
    <cellStyle name="Nota 2 6 29 3" xfId="38832"/>
    <cellStyle name="Nota 2 6 29 3 2" xfId="38833"/>
    <cellStyle name="Nota 2 6 29 3 3" xfId="38834"/>
    <cellStyle name="Nota 2 6 29 4" xfId="38835"/>
    <cellStyle name="Nota 2 6 29 5" xfId="38836"/>
    <cellStyle name="Nota 2 6 3" xfId="38837"/>
    <cellStyle name="Nota 2 6 3 2" xfId="38838"/>
    <cellStyle name="Nota 2 6 3 2 2" xfId="38839"/>
    <cellStyle name="Nota 2 6 3 2 3" xfId="38840"/>
    <cellStyle name="Nota 2 6 3 3" xfId="38841"/>
    <cellStyle name="Nota 2 6 3 3 2" xfId="38842"/>
    <cellStyle name="Nota 2 6 3 3 3" xfId="38843"/>
    <cellStyle name="Nota 2 6 3 4" xfId="38844"/>
    <cellStyle name="Nota 2 6 3 5" xfId="38845"/>
    <cellStyle name="Nota 2 6 30" xfId="38846"/>
    <cellStyle name="Nota 2 6 30 2" xfId="38847"/>
    <cellStyle name="Nota 2 6 30 2 2" xfId="38848"/>
    <cellStyle name="Nota 2 6 30 2 3" xfId="38849"/>
    <cellStyle name="Nota 2 6 30 3" xfId="38850"/>
    <cellStyle name="Nota 2 6 30 3 2" xfId="38851"/>
    <cellStyle name="Nota 2 6 30 3 3" xfId="38852"/>
    <cellStyle name="Nota 2 6 30 4" xfId="38853"/>
    <cellStyle name="Nota 2 6 30 5" xfId="38854"/>
    <cellStyle name="Nota 2 6 31" xfId="38855"/>
    <cellStyle name="Nota 2 6 31 2" xfId="38856"/>
    <cellStyle name="Nota 2 6 31 2 2" xfId="38857"/>
    <cellStyle name="Nota 2 6 31 2 3" xfId="38858"/>
    <cellStyle name="Nota 2 6 31 3" xfId="38859"/>
    <cellStyle name="Nota 2 6 31 3 2" xfId="38860"/>
    <cellStyle name="Nota 2 6 31 3 3" xfId="38861"/>
    <cellStyle name="Nota 2 6 31 4" xfId="38862"/>
    <cellStyle name="Nota 2 6 31 5" xfId="38863"/>
    <cellStyle name="Nota 2 6 32" xfId="38864"/>
    <cellStyle name="Nota 2 6 32 2" xfId="38865"/>
    <cellStyle name="Nota 2 6 32 2 2" xfId="38866"/>
    <cellStyle name="Nota 2 6 32 2 3" xfId="38867"/>
    <cellStyle name="Nota 2 6 32 3" xfId="38868"/>
    <cellStyle name="Nota 2 6 32 3 2" xfId="38869"/>
    <cellStyle name="Nota 2 6 32 3 3" xfId="38870"/>
    <cellStyle name="Nota 2 6 32 4" xfId="38871"/>
    <cellStyle name="Nota 2 6 32 5" xfId="38872"/>
    <cellStyle name="Nota 2 6 33" xfId="38873"/>
    <cellStyle name="Nota 2 6 33 2" xfId="38874"/>
    <cellStyle name="Nota 2 6 33 2 2" xfId="38875"/>
    <cellStyle name="Nota 2 6 33 2 3" xfId="38876"/>
    <cellStyle name="Nota 2 6 33 3" xfId="38877"/>
    <cellStyle name="Nota 2 6 33 3 2" xfId="38878"/>
    <cellStyle name="Nota 2 6 33 3 3" xfId="38879"/>
    <cellStyle name="Nota 2 6 33 4" xfId="38880"/>
    <cellStyle name="Nota 2 6 33 5" xfId="38881"/>
    <cellStyle name="Nota 2 6 34" xfId="38882"/>
    <cellStyle name="Nota 2 6 34 2" xfId="38883"/>
    <cellStyle name="Nota 2 6 34 2 2" xfId="38884"/>
    <cellStyle name="Nota 2 6 34 2 3" xfId="38885"/>
    <cellStyle name="Nota 2 6 34 3" xfId="38886"/>
    <cellStyle name="Nota 2 6 34 3 2" xfId="38887"/>
    <cellStyle name="Nota 2 6 34 3 3" xfId="38888"/>
    <cellStyle name="Nota 2 6 34 4" xfId="38889"/>
    <cellStyle name="Nota 2 6 34 5" xfId="38890"/>
    <cellStyle name="Nota 2 6 35" xfId="38891"/>
    <cellStyle name="Nota 2 6 35 2" xfId="38892"/>
    <cellStyle name="Nota 2 6 35 2 2" xfId="38893"/>
    <cellStyle name="Nota 2 6 35 2 3" xfId="38894"/>
    <cellStyle name="Nota 2 6 35 3" xfId="38895"/>
    <cellStyle name="Nota 2 6 35 3 2" xfId="38896"/>
    <cellStyle name="Nota 2 6 35 3 3" xfId="38897"/>
    <cellStyle name="Nota 2 6 35 4" xfId="38898"/>
    <cellStyle name="Nota 2 6 35 5" xfId="38899"/>
    <cellStyle name="Nota 2 6 36" xfId="38900"/>
    <cellStyle name="Nota 2 6 36 2" xfId="38901"/>
    <cellStyle name="Nota 2 6 36 2 2" xfId="38902"/>
    <cellStyle name="Nota 2 6 36 2 3" xfId="38903"/>
    <cellStyle name="Nota 2 6 36 3" xfId="38904"/>
    <cellStyle name="Nota 2 6 36 3 2" xfId="38905"/>
    <cellStyle name="Nota 2 6 36 3 3" xfId="38906"/>
    <cellStyle name="Nota 2 6 36 4" xfId="38907"/>
    <cellStyle name="Nota 2 6 36 5" xfId="38908"/>
    <cellStyle name="Nota 2 6 37" xfId="38909"/>
    <cellStyle name="Nota 2 6 37 2" xfId="38910"/>
    <cellStyle name="Nota 2 6 37 2 2" xfId="38911"/>
    <cellStyle name="Nota 2 6 37 2 3" xfId="38912"/>
    <cellStyle name="Nota 2 6 37 3" xfId="38913"/>
    <cellStyle name="Nota 2 6 37 3 2" xfId="38914"/>
    <cellStyle name="Nota 2 6 37 3 3" xfId="38915"/>
    <cellStyle name="Nota 2 6 37 4" xfId="38916"/>
    <cellStyle name="Nota 2 6 37 5" xfId="38917"/>
    <cellStyle name="Nota 2 6 38" xfId="38918"/>
    <cellStyle name="Nota 2 6 38 2" xfId="38919"/>
    <cellStyle name="Nota 2 6 38 2 2" xfId="38920"/>
    <cellStyle name="Nota 2 6 38 2 3" xfId="38921"/>
    <cellStyle name="Nota 2 6 38 3" xfId="38922"/>
    <cellStyle name="Nota 2 6 38 3 2" xfId="38923"/>
    <cellStyle name="Nota 2 6 38 3 3" xfId="38924"/>
    <cellStyle name="Nota 2 6 38 4" xfId="38925"/>
    <cellStyle name="Nota 2 6 38 5" xfId="38926"/>
    <cellStyle name="Nota 2 6 39" xfId="38927"/>
    <cellStyle name="Nota 2 6 39 2" xfId="38928"/>
    <cellStyle name="Nota 2 6 39 2 2" xfId="38929"/>
    <cellStyle name="Nota 2 6 39 2 3" xfId="38930"/>
    <cellStyle name="Nota 2 6 39 3" xfId="38931"/>
    <cellStyle name="Nota 2 6 39 3 2" xfId="38932"/>
    <cellStyle name="Nota 2 6 39 3 3" xfId="38933"/>
    <cellStyle name="Nota 2 6 39 4" xfId="38934"/>
    <cellStyle name="Nota 2 6 39 5" xfId="38935"/>
    <cellStyle name="Nota 2 6 4" xfId="38936"/>
    <cellStyle name="Nota 2 6 4 2" xfId="38937"/>
    <cellStyle name="Nota 2 6 4 2 2" xfId="38938"/>
    <cellStyle name="Nota 2 6 4 2 3" xfId="38939"/>
    <cellStyle name="Nota 2 6 4 3" xfId="38940"/>
    <cellStyle name="Nota 2 6 4 3 2" xfId="38941"/>
    <cellStyle name="Nota 2 6 4 3 3" xfId="38942"/>
    <cellStyle name="Nota 2 6 4 4" xfId="38943"/>
    <cellStyle name="Nota 2 6 4 5" xfId="38944"/>
    <cellStyle name="Nota 2 6 40" xfId="38945"/>
    <cellStyle name="Nota 2 6 40 2" xfId="38946"/>
    <cellStyle name="Nota 2 6 40 2 2" xfId="38947"/>
    <cellStyle name="Nota 2 6 40 2 3" xfId="38948"/>
    <cellStyle name="Nota 2 6 40 3" xfId="38949"/>
    <cellStyle name="Nota 2 6 40 3 2" xfId="38950"/>
    <cellStyle name="Nota 2 6 40 3 3" xfId="38951"/>
    <cellStyle name="Nota 2 6 40 4" xfId="38952"/>
    <cellStyle name="Nota 2 6 40 5" xfId="38953"/>
    <cellStyle name="Nota 2 6 41" xfId="38954"/>
    <cellStyle name="Nota 2 6 41 2" xfId="38955"/>
    <cellStyle name="Nota 2 6 41 2 2" xfId="38956"/>
    <cellStyle name="Nota 2 6 41 2 3" xfId="38957"/>
    <cellStyle name="Nota 2 6 41 3" xfId="38958"/>
    <cellStyle name="Nota 2 6 41 4" xfId="38959"/>
    <cellStyle name="Nota 2 6 42" xfId="38960"/>
    <cellStyle name="Nota 2 6 42 2" xfId="38961"/>
    <cellStyle name="Nota 2 6 42 3" xfId="38962"/>
    <cellStyle name="Nota 2 6 43" xfId="38963"/>
    <cellStyle name="Nota 2 6 43 2" xfId="38964"/>
    <cellStyle name="Nota 2 6 43 3" xfId="38965"/>
    <cellStyle name="Nota 2 6 44" xfId="38966"/>
    <cellStyle name="Nota 2 6 44 2" xfId="38967"/>
    <cellStyle name="Nota 2 6 44 3" xfId="38968"/>
    <cellStyle name="Nota 2 6 45" xfId="38969"/>
    <cellStyle name="Nota 2 6 46" xfId="38970"/>
    <cellStyle name="Nota 2 6 5" xfId="38971"/>
    <cellStyle name="Nota 2 6 5 2" xfId="38972"/>
    <cellStyle name="Nota 2 6 5 2 2" xfId="38973"/>
    <cellStyle name="Nota 2 6 5 2 3" xfId="38974"/>
    <cellStyle name="Nota 2 6 5 3" xfId="38975"/>
    <cellStyle name="Nota 2 6 5 3 2" xfId="38976"/>
    <cellStyle name="Nota 2 6 5 3 3" xfId="38977"/>
    <cellStyle name="Nota 2 6 5 4" xfId="38978"/>
    <cellStyle name="Nota 2 6 5 5" xfId="38979"/>
    <cellStyle name="Nota 2 6 6" xfId="38980"/>
    <cellStyle name="Nota 2 6 6 2" xfId="38981"/>
    <cellStyle name="Nota 2 6 6 2 2" xfId="38982"/>
    <cellStyle name="Nota 2 6 6 2 3" xfId="38983"/>
    <cellStyle name="Nota 2 6 6 3" xfId="38984"/>
    <cellStyle name="Nota 2 6 6 3 2" xfId="38985"/>
    <cellStyle name="Nota 2 6 6 3 3" xfId="38986"/>
    <cellStyle name="Nota 2 6 6 4" xfId="38987"/>
    <cellStyle name="Nota 2 6 6 5" xfId="38988"/>
    <cellStyle name="Nota 2 6 7" xfId="38989"/>
    <cellStyle name="Nota 2 6 7 2" xfId="38990"/>
    <cellStyle name="Nota 2 6 7 2 2" xfId="38991"/>
    <cellStyle name="Nota 2 6 7 2 3" xfId="38992"/>
    <cellStyle name="Nota 2 6 7 3" xfId="38993"/>
    <cellStyle name="Nota 2 6 7 3 2" xfId="38994"/>
    <cellStyle name="Nota 2 6 7 3 3" xfId="38995"/>
    <cellStyle name="Nota 2 6 7 4" xfId="38996"/>
    <cellStyle name="Nota 2 6 7 5" xfId="38997"/>
    <cellStyle name="Nota 2 6 8" xfId="38998"/>
    <cellStyle name="Nota 2 6 8 2" xfId="38999"/>
    <cellStyle name="Nota 2 6 8 2 2" xfId="39000"/>
    <cellStyle name="Nota 2 6 8 2 3" xfId="39001"/>
    <cellStyle name="Nota 2 6 8 3" xfId="39002"/>
    <cellStyle name="Nota 2 6 8 3 2" xfId="39003"/>
    <cellStyle name="Nota 2 6 8 3 3" xfId="39004"/>
    <cellStyle name="Nota 2 6 8 4" xfId="39005"/>
    <cellStyle name="Nota 2 6 8 5" xfId="39006"/>
    <cellStyle name="Nota 2 6 9" xfId="39007"/>
    <cellStyle name="Nota 2 6 9 2" xfId="39008"/>
    <cellStyle name="Nota 2 6 9 2 2" xfId="39009"/>
    <cellStyle name="Nota 2 6 9 2 3" xfId="39010"/>
    <cellStyle name="Nota 2 6 9 3" xfId="39011"/>
    <cellStyle name="Nota 2 6 9 3 2" xfId="39012"/>
    <cellStyle name="Nota 2 6 9 3 3" xfId="39013"/>
    <cellStyle name="Nota 2 6 9 4" xfId="39014"/>
    <cellStyle name="Nota 2 6 9 5" xfId="39015"/>
    <cellStyle name="Nota 2 7" xfId="39016"/>
    <cellStyle name="Nota 2 7 10" xfId="39017"/>
    <cellStyle name="Nota 2 7 10 2" xfId="39018"/>
    <cellStyle name="Nota 2 7 10 2 2" xfId="39019"/>
    <cellStyle name="Nota 2 7 10 2 3" xfId="39020"/>
    <cellStyle name="Nota 2 7 10 3" xfId="39021"/>
    <cellStyle name="Nota 2 7 10 3 2" xfId="39022"/>
    <cellStyle name="Nota 2 7 10 3 3" xfId="39023"/>
    <cellStyle name="Nota 2 7 10 4" xfId="39024"/>
    <cellStyle name="Nota 2 7 10 5" xfId="39025"/>
    <cellStyle name="Nota 2 7 11" xfId="39026"/>
    <cellStyle name="Nota 2 7 11 2" xfId="39027"/>
    <cellStyle name="Nota 2 7 11 2 2" xfId="39028"/>
    <cellStyle name="Nota 2 7 11 2 3" xfId="39029"/>
    <cellStyle name="Nota 2 7 11 3" xfId="39030"/>
    <cellStyle name="Nota 2 7 11 3 2" xfId="39031"/>
    <cellStyle name="Nota 2 7 11 3 3" xfId="39032"/>
    <cellStyle name="Nota 2 7 11 4" xfId="39033"/>
    <cellStyle name="Nota 2 7 11 5" xfId="39034"/>
    <cellStyle name="Nota 2 7 12" xfId="39035"/>
    <cellStyle name="Nota 2 7 12 2" xfId="39036"/>
    <cellStyle name="Nota 2 7 12 2 2" xfId="39037"/>
    <cellStyle name="Nota 2 7 12 2 3" xfId="39038"/>
    <cellStyle name="Nota 2 7 12 3" xfId="39039"/>
    <cellStyle name="Nota 2 7 12 3 2" xfId="39040"/>
    <cellStyle name="Nota 2 7 12 3 3" xfId="39041"/>
    <cellStyle name="Nota 2 7 12 4" xfId="39042"/>
    <cellStyle name="Nota 2 7 12 5" xfId="39043"/>
    <cellStyle name="Nota 2 7 13" xfId="39044"/>
    <cellStyle name="Nota 2 7 13 2" xfId="39045"/>
    <cellStyle name="Nota 2 7 13 2 2" xfId="39046"/>
    <cellStyle name="Nota 2 7 13 2 3" xfId="39047"/>
    <cellStyle name="Nota 2 7 13 3" xfId="39048"/>
    <cellStyle name="Nota 2 7 13 3 2" xfId="39049"/>
    <cellStyle name="Nota 2 7 13 3 3" xfId="39050"/>
    <cellStyle name="Nota 2 7 13 4" xfId="39051"/>
    <cellStyle name="Nota 2 7 13 5" xfId="39052"/>
    <cellStyle name="Nota 2 7 14" xfId="39053"/>
    <cellStyle name="Nota 2 7 14 2" xfId="39054"/>
    <cellStyle name="Nota 2 7 14 2 2" xfId="39055"/>
    <cellStyle name="Nota 2 7 14 2 3" xfId="39056"/>
    <cellStyle name="Nota 2 7 14 3" xfId="39057"/>
    <cellStyle name="Nota 2 7 14 3 2" xfId="39058"/>
    <cellStyle name="Nota 2 7 14 3 3" xfId="39059"/>
    <cellStyle name="Nota 2 7 14 4" xfId="39060"/>
    <cellStyle name="Nota 2 7 14 5" xfId="39061"/>
    <cellStyle name="Nota 2 7 15" xfId="39062"/>
    <cellStyle name="Nota 2 7 15 2" xfId="39063"/>
    <cellStyle name="Nota 2 7 15 2 2" xfId="39064"/>
    <cellStyle name="Nota 2 7 15 2 3" xfId="39065"/>
    <cellStyle name="Nota 2 7 15 3" xfId="39066"/>
    <cellStyle name="Nota 2 7 15 3 2" xfId="39067"/>
    <cellStyle name="Nota 2 7 15 3 3" xfId="39068"/>
    <cellStyle name="Nota 2 7 15 4" xfId="39069"/>
    <cellStyle name="Nota 2 7 15 5" xfId="39070"/>
    <cellStyle name="Nota 2 7 16" xfId="39071"/>
    <cellStyle name="Nota 2 7 16 2" xfId="39072"/>
    <cellStyle name="Nota 2 7 16 2 2" xfId="39073"/>
    <cellStyle name="Nota 2 7 16 2 3" xfId="39074"/>
    <cellStyle name="Nota 2 7 16 3" xfId="39075"/>
    <cellStyle name="Nota 2 7 16 3 2" xfId="39076"/>
    <cellStyle name="Nota 2 7 16 3 3" xfId="39077"/>
    <cellStyle name="Nota 2 7 16 4" xfId="39078"/>
    <cellStyle name="Nota 2 7 16 5" xfId="39079"/>
    <cellStyle name="Nota 2 7 17" xfId="39080"/>
    <cellStyle name="Nota 2 7 17 2" xfId="39081"/>
    <cellStyle name="Nota 2 7 17 2 2" xfId="39082"/>
    <cellStyle name="Nota 2 7 17 2 3" xfId="39083"/>
    <cellStyle name="Nota 2 7 17 3" xfId="39084"/>
    <cellStyle name="Nota 2 7 17 3 2" xfId="39085"/>
    <cellStyle name="Nota 2 7 17 3 3" xfId="39086"/>
    <cellStyle name="Nota 2 7 17 4" xfId="39087"/>
    <cellStyle name="Nota 2 7 17 5" xfId="39088"/>
    <cellStyle name="Nota 2 7 18" xfId="39089"/>
    <cellStyle name="Nota 2 7 18 2" xfId="39090"/>
    <cellStyle name="Nota 2 7 18 2 2" xfId="39091"/>
    <cellStyle name="Nota 2 7 18 2 3" xfId="39092"/>
    <cellStyle name="Nota 2 7 18 3" xfId="39093"/>
    <cellStyle name="Nota 2 7 18 3 2" xfId="39094"/>
    <cellStyle name="Nota 2 7 18 3 3" xfId="39095"/>
    <cellStyle name="Nota 2 7 18 4" xfId="39096"/>
    <cellStyle name="Nota 2 7 18 5" xfId="39097"/>
    <cellStyle name="Nota 2 7 19" xfId="39098"/>
    <cellStyle name="Nota 2 7 19 2" xfId="39099"/>
    <cellStyle name="Nota 2 7 19 2 2" xfId="39100"/>
    <cellStyle name="Nota 2 7 19 2 3" xfId="39101"/>
    <cellStyle name="Nota 2 7 19 3" xfId="39102"/>
    <cellStyle name="Nota 2 7 19 3 2" xfId="39103"/>
    <cellStyle name="Nota 2 7 19 3 3" xfId="39104"/>
    <cellStyle name="Nota 2 7 19 4" xfId="39105"/>
    <cellStyle name="Nota 2 7 19 5" xfId="39106"/>
    <cellStyle name="Nota 2 7 2" xfId="39107"/>
    <cellStyle name="Nota 2 7 2 2" xfId="39108"/>
    <cellStyle name="Nota 2 7 2 2 2" xfId="39109"/>
    <cellStyle name="Nota 2 7 2 2 3" xfId="39110"/>
    <cellStyle name="Nota 2 7 2 3" xfId="39111"/>
    <cellStyle name="Nota 2 7 2 3 2" xfId="39112"/>
    <cellStyle name="Nota 2 7 2 3 3" xfId="39113"/>
    <cellStyle name="Nota 2 7 2 4" xfId="39114"/>
    <cellStyle name="Nota 2 7 2 5" xfId="39115"/>
    <cellStyle name="Nota 2 7 20" xfId="39116"/>
    <cellStyle name="Nota 2 7 20 2" xfId="39117"/>
    <cellStyle name="Nota 2 7 20 2 2" xfId="39118"/>
    <cellStyle name="Nota 2 7 20 2 3" xfId="39119"/>
    <cellStyle name="Nota 2 7 20 3" xfId="39120"/>
    <cellStyle name="Nota 2 7 20 3 2" xfId="39121"/>
    <cellStyle name="Nota 2 7 20 3 3" xfId="39122"/>
    <cellStyle name="Nota 2 7 20 4" xfId="39123"/>
    <cellStyle name="Nota 2 7 20 5" xfId="39124"/>
    <cellStyle name="Nota 2 7 21" xfId="39125"/>
    <cellStyle name="Nota 2 7 21 2" xfId="39126"/>
    <cellStyle name="Nota 2 7 21 2 2" xfId="39127"/>
    <cellStyle name="Nota 2 7 21 2 3" xfId="39128"/>
    <cellStyle name="Nota 2 7 21 3" xfId="39129"/>
    <cellStyle name="Nota 2 7 21 3 2" xfId="39130"/>
    <cellStyle name="Nota 2 7 21 3 3" xfId="39131"/>
    <cellStyle name="Nota 2 7 21 4" xfId="39132"/>
    <cellStyle name="Nota 2 7 21 5" xfId="39133"/>
    <cellStyle name="Nota 2 7 22" xfId="39134"/>
    <cellStyle name="Nota 2 7 22 2" xfId="39135"/>
    <cellStyle name="Nota 2 7 22 2 2" xfId="39136"/>
    <cellStyle name="Nota 2 7 22 2 3" xfId="39137"/>
    <cellStyle name="Nota 2 7 22 3" xfId="39138"/>
    <cellStyle name="Nota 2 7 22 3 2" xfId="39139"/>
    <cellStyle name="Nota 2 7 22 3 3" xfId="39140"/>
    <cellStyle name="Nota 2 7 22 4" xfId="39141"/>
    <cellStyle name="Nota 2 7 22 5" xfId="39142"/>
    <cellStyle name="Nota 2 7 23" xfId="39143"/>
    <cellStyle name="Nota 2 7 23 2" xfId="39144"/>
    <cellStyle name="Nota 2 7 23 2 2" xfId="39145"/>
    <cellStyle name="Nota 2 7 23 2 3" xfId="39146"/>
    <cellStyle name="Nota 2 7 23 3" xfId="39147"/>
    <cellStyle name="Nota 2 7 23 3 2" xfId="39148"/>
    <cellStyle name="Nota 2 7 23 3 3" xfId="39149"/>
    <cellStyle name="Nota 2 7 23 4" xfId="39150"/>
    <cellStyle name="Nota 2 7 23 5" xfId="39151"/>
    <cellStyle name="Nota 2 7 24" xfId="39152"/>
    <cellStyle name="Nota 2 7 24 2" xfId="39153"/>
    <cellStyle name="Nota 2 7 24 2 2" xfId="39154"/>
    <cellStyle name="Nota 2 7 24 2 3" xfId="39155"/>
    <cellStyle name="Nota 2 7 24 3" xfId="39156"/>
    <cellStyle name="Nota 2 7 24 3 2" xfId="39157"/>
    <cellStyle name="Nota 2 7 24 3 3" xfId="39158"/>
    <cellStyle name="Nota 2 7 24 4" xfId="39159"/>
    <cellStyle name="Nota 2 7 24 5" xfId="39160"/>
    <cellStyle name="Nota 2 7 25" xfId="39161"/>
    <cellStyle name="Nota 2 7 25 2" xfId="39162"/>
    <cellStyle name="Nota 2 7 25 2 2" xfId="39163"/>
    <cellStyle name="Nota 2 7 25 2 3" xfId="39164"/>
    <cellStyle name="Nota 2 7 25 3" xfId="39165"/>
    <cellStyle name="Nota 2 7 25 3 2" xfId="39166"/>
    <cellStyle name="Nota 2 7 25 3 3" xfId="39167"/>
    <cellStyle name="Nota 2 7 25 4" xfId="39168"/>
    <cellStyle name="Nota 2 7 25 5" xfId="39169"/>
    <cellStyle name="Nota 2 7 26" xfId="39170"/>
    <cellStyle name="Nota 2 7 26 2" xfId="39171"/>
    <cellStyle name="Nota 2 7 26 2 2" xfId="39172"/>
    <cellStyle name="Nota 2 7 26 2 3" xfId="39173"/>
    <cellStyle name="Nota 2 7 26 3" xfId="39174"/>
    <cellStyle name="Nota 2 7 26 3 2" xfId="39175"/>
    <cellStyle name="Nota 2 7 26 3 3" xfId="39176"/>
    <cellStyle name="Nota 2 7 26 4" xfId="39177"/>
    <cellStyle name="Nota 2 7 26 5" xfId="39178"/>
    <cellStyle name="Nota 2 7 27" xfId="39179"/>
    <cellStyle name="Nota 2 7 27 2" xfId="39180"/>
    <cellStyle name="Nota 2 7 27 2 2" xfId="39181"/>
    <cellStyle name="Nota 2 7 27 2 3" xfId="39182"/>
    <cellStyle name="Nota 2 7 27 3" xfId="39183"/>
    <cellStyle name="Nota 2 7 27 3 2" xfId="39184"/>
    <cellStyle name="Nota 2 7 27 3 3" xfId="39185"/>
    <cellStyle name="Nota 2 7 27 4" xfId="39186"/>
    <cellStyle name="Nota 2 7 27 5" xfId="39187"/>
    <cellStyle name="Nota 2 7 28" xfId="39188"/>
    <cellStyle name="Nota 2 7 28 2" xfId="39189"/>
    <cellStyle name="Nota 2 7 28 2 2" xfId="39190"/>
    <cellStyle name="Nota 2 7 28 2 3" xfId="39191"/>
    <cellStyle name="Nota 2 7 28 3" xfId="39192"/>
    <cellStyle name="Nota 2 7 28 3 2" xfId="39193"/>
    <cellStyle name="Nota 2 7 28 3 3" xfId="39194"/>
    <cellStyle name="Nota 2 7 28 4" xfId="39195"/>
    <cellStyle name="Nota 2 7 28 5" xfId="39196"/>
    <cellStyle name="Nota 2 7 29" xfId="39197"/>
    <cellStyle name="Nota 2 7 29 2" xfId="39198"/>
    <cellStyle name="Nota 2 7 29 2 2" xfId="39199"/>
    <cellStyle name="Nota 2 7 29 2 3" xfId="39200"/>
    <cellStyle name="Nota 2 7 29 3" xfId="39201"/>
    <cellStyle name="Nota 2 7 29 3 2" xfId="39202"/>
    <cellStyle name="Nota 2 7 29 3 3" xfId="39203"/>
    <cellStyle name="Nota 2 7 29 4" xfId="39204"/>
    <cellStyle name="Nota 2 7 29 5" xfId="39205"/>
    <cellStyle name="Nota 2 7 3" xfId="39206"/>
    <cellStyle name="Nota 2 7 3 2" xfId="39207"/>
    <cellStyle name="Nota 2 7 3 2 2" xfId="39208"/>
    <cellStyle name="Nota 2 7 3 2 3" xfId="39209"/>
    <cellStyle name="Nota 2 7 3 3" xfId="39210"/>
    <cellStyle name="Nota 2 7 3 3 2" xfId="39211"/>
    <cellStyle name="Nota 2 7 3 3 3" xfId="39212"/>
    <cellStyle name="Nota 2 7 3 4" xfId="39213"/>
    <cellStyle name="Nota 2 7 3 5" xfId="39214"/>
    <cellStyle name="Nota 2 7 30" xfId="39215"/>
    <cellStyle name="Nota 2 7 30 2" xfId="39216"/>
    <cellStyle name="Nota 2 7 30 2 2" xfId="39217"/>
    <cellStyle name="Nota 2 7 30 2 3" xfId="39218"/>
    <cellStyle name="Nota 2 7 30 3" xfId="39219"/>
    <cellStyle name="Nota 2 7 30 3 2" xfId="39220"/>
    <cellStyle name="Nota 2 7 30 3 3" xfId="39221"/>
    <cellStyle name="Nota 2 7 30 4" xfId="39222"/>
    <cellStyle name="Nota 2 7 30 5" xfId="39223"/>
    <cellStyle name="Nota 2 7 31" xfId="39224"/>
    <cellStyle name="Nota 2 7 31 2" xfId="39225"/>
    <cellStyle name="Nota 2 7 31 2 2" xfId="39226"/>
    <cellStyle name="Nota 2 7 31 2 3" xfId="39227"/>
    <cellStyle name="Nota 2 7 31 3" xfId="39228"/>
    <cellStyle name="Nota 2 7 31 3 2" xfId="39229"/>
    <cellStyle name="Nota 2 7 31 3 3" xfId="39230"/>
    <cellStyle name="Nota 2 7 31 4" xfId="39231"/>
    <cellStyle name="Nota 2 7 31 5" xfId="39232"/>
    <cellStyle name="Nota 2 7 32" xfId="39233"/>
    <cellStyle name="Nota 2 7 32 2" xfId="39234"/>
    <cellStyle name="Nota 2 7 32 2 2" xfId="39235"/>
    <cellStyle name="Nota 2 7 32 2 3" xfId="39236"/>
    <cellStyle name="Nota 2 7 32 3" xfId="39237"/>
    <cellStyle name="Nota 2 7 32 3 2" xfId="39238"/>
    <cellStyle name="Nota 2 7 32 3 3" xfId="39239"/>
    <cellStyle name="Nota 2 7 32 4" xfId="39240"/>
    <cellStyle name="Nota 2 7 32 5" xfId="39241"/>
    <cellStyle name="Nota 2 7 33" xfId="39242"/>
    <cellStyle name="Nota 2 7 33 2" xfId="39243"/>
    <cellStyle name="Nota 2 7 33 2 2" xfId="39244"/>
    <cellStyle name="Nota 2 7 33 2 3" xfId="39245"/>
    <cellStyle name="Nota 2 7 33 3" xfId="39246"/>
    <cellStyle name="Nota 2 7 33 3 2" xfId="39247"/>
    <cellStyle name="Nota 2 7 33 3 3" xfId="39248"/>
    <cellStyle name="Nota 2 7 33 4" xfId="39249"/>
    <cellStyle name="Nota 2 7 33 5" xfId="39250"/>
    <cellStyle name="Nota 2 7 34" xfId="39251"/>
    <cellStyle name="Nota 2 7 34 2" xfId="39252"/>
    <cellStyle name="Nota 2 7 34 2 2" xfId="39253"/>
    <cellStyle name="Nota 2 7 34 2 3" xfId="39254"/>
    <cellStyle name="Nota 2 7 34 3" xfId="39255"/>
    <cellStyle name="Nota 2 7 34 3 2" xfId="39256"/>
    <cellStyle name="Nota 2 7 34 3 3" xfId="39257"/>
    <cellStyle name="Nota 2 7 34 4" xfId="39258"/>
    <cellStyle name="Nota 2 7 34 5" xfId="39259"/>
    <cellStyle name="Nota 2 7 35" xfId="39260"/>
    <cellStyle name="Nota 2 7 35 2" xfId="39261"/>
    <cellStyle name="Nota 2 7 35 2 2" xfId="39262"/>
    <cellStyle name="Nota 2 7 35 2 3" xfId="39263"/>
    <cellStyle name="Nota 2 7 35 3" xfId="39264"/>
    <cellStyle name="Nota 2 7 35 3 2" xfId="39265"/>
    <cellStyle name="Nota 2 7 35 3 3" xfId="39266"/>
    <cellStyle name="Nota 2 7 35 4" xfId="39267"/>
    <cellStyle name="Nota 2 7 35 5" xfId="39268"/>
    <cellStyle name="Nota 2 7 36" xfId="39269"/>
    <cellStyle name="Nota 2 7 36 2" xfId="39270"/>
    <cellStyle name="Nota 2 7 36 2 2" xfId="39271"/>
    <cellStyle name="Nota 2 7 36 2 3" xfId="39272"/>
    <cellStyle name="Nota 2 7 36 3" xfId="39273"/>
    <cellStyle name="Nota 2 7 36 3 2" xfId="39274"/>
    <cellStyle name="Nota 2 7 36 3 3" xfId="39275"/>
    <cellStyle name="Nota 2 7 36 4" xfId="39276"/>
    <cellStyle name="Nota 2 7 36 5" xfId="39277"/>
    <cellStyle name="Nota 2 7 37" xfId="39278"/>
    <cellStyle name="Nota 2 7 37 2" xfId="39279"/>
    <cellStyle name="Nota 2 7 37 2 2" xfId="39280"/>
    <cellStyle name="Nota 2 7 37 2 3" xfId="39281"/>
    <cellStyle name="Nota 2 7 37 3" xfId="39282"/>
    <cellStyle name="Nota 2 7 37 3 2" xfId="39283"/>
    <cellStyle name="Nota 2 7 37 3 3" xfId="39284"/>
    <cellStyle name="Nota 2 7 37 4" xfId="39285"/>
    <cellStyle name="Nota 2 7 37 5" xfId="39286"/>
    <cellStyle name="Nota 2 7 38" xfId="39287"/>
    <cellStyle name="Nota 2 7 38 2" xfId="39288"/>
    <cellStyle name="Nota 2 7 38 2 2" xfId="39289"/>
    <cellStyle name="Nota 2 7 38 2 3" xfId="39290"/>
    <cellStyle name="Nota 2 7 38 3" xfId="39291"/>
    <cellStyle name="Nota 2 7 38 3 2" xfId="39292"/>
    <cellStyle name="Nota 2 7 38 3 3" xfId="39293"/>
    <cellStyle name="Nota 2 7 38 4" xfId="39294"/>
    <cellStyle name="Nota 2 7 38 5" xfId="39295"/>
    <cellStyle name="Nota 2 7 39" xfId="39296"/>
    <cellStyle name="Nota 2 7 39 2" xfId="39297"/>
    <cellStyle name="Nota 2 7 39 2 2" xfId="39298"/>
    <cellStyle name="Nota 2 7 39 2 3" xfId="39299"/>
    <cellStyle name="Nota 2 7 39 3" xfId="39300"/>
    <cellStyle name="Nota 2 7 39 3 2" xfId="39301"/>
    <cellStyle name="Nota 2 7 39 3 3" xfId="39302"/>
    <cellStyle name="Nota 2 7 39 4" xfId="39303"/>
    <cellStyle name="Nota 2 7 39 5" xfId="39304"/>
    <cellStyle name="Nota 2 7 4" xfId="39305"/>
    <cellStyle name="Nota 2 7 4 2" xfId="39306"/>
    <cellStyle name="Nota 2 7 4 2 2" xfId="39307"/>
    <cellStyle name="Nota 2 7 4 2 3" xfId="39308"/>
    <cellStyle name="Nota 2 7 4 3" xfId="39309"/>
    <cellStyle name="Nota 2 7 4 3 2" xfId="39310"/>
    <cellStyle name="Nota 2 7 4 3 3" xfId="39311"/>
    <cellStyle name="Nota 2 7 4 4" xfId="39312"/>
    <cellStyle name="Nota 2 7 4 5" xfId="39313"/>
    <cellStyle name="Nota 2 7 40" xfId="39314"/>
    <cellStyle name="Nota 2 7 40 2" xfId="39315"/>
    <cellStyle name="Nota 2 7 40 2 2" xfId="39316"/>
    <cellStyle name="Nota 2 7 40 2 3" xfId="39317"/>
    <cellStyle name="Nota 2 7 40 3" xfId="39318"/>
    <cellStyle name="Nota 2 7 40 3 2" xfId="39319"/>
    <cellStyle name="Nota 2 7 40 3 3" xfId="39320"/>
    <cellStyle name="Nota 2 7 40 4" xfId="39321"/>
    <cellStyle name="Nota 2 7 40 5" xfId="39322"/>
    <cellStyle name="Nota 2 7 41" xfId="39323"/>
    <cellStyle name="Nota 2 7 41 2" xfId="39324"/>
    <cellStyle name="Nota 2 7 41 2 2" xfId="39325"/>
    <cellStyle name="Nota 2 7 41 2 3" xfId="39326"/>
    <cellStyle name="Nota 2 7 41 3" xfId="39327"/>
    <cellStyle name="Nota 2 7 41 3 2" xfId="39328"/>
    <cellStyle name="Nota 2 7 41 3 3" xfId="39329"/>
    <cellStyle name="Nota 2 7 41 4" xfId="39330"/>
    <cellStyle name="Nota 2 7 41 5" xfId="39331"/>
    <cellStyle name="Nota 2 7 42" xfId="39332"/>
    <cellStyle name="Nota 2 7 42 2" xfId="39333"/>
    <cellStyle name="Nota 2 7 42 2 2" xfId="39334"/>
    <cellStyle name="Nota 2 7 42 2 3" xfId="39335"/>
    <cellStyle name="Nota 2 7 42 3" xfId="39336"/>
    <cellStyle name="Nota 2 7 42 4" xfId="39337"/>
    <cellStyle name="Nota 2 7 43" xfId="39338"/>
    <cellStyle name="Nota 2 7 43 2" xfId="39339"/>
    <cellStyle name="Nota 2 7 43 3" xfId="39340"/>
    <cellStyle name="Nota 2 7 44" xfId="39341"/>
    <cellStyle name="Nota 2 7 44 2" xfId="39342"/>
    <cellStyle name="Nota 2 7 44 3" xfId="39343"/>
    <cellStyle name="Nota 2 7 45" xfId="39344"/>
    <cellStyle name="Nota 2 7 45 2" xfId="39345"/>
    <cellStyle name="Nota 2 7 45 3" xfId="39346"/>
    <cellStyle name="Nota 2 7 46" xfId="39347"/>
    <cellStyle name="Nota 2 7 47" xfId="39348"/>
    <cellStyle name="Nota 2 7 5" xfId="39349"/>
    <cellStyle name="Nota 2 7 5 2" xfId="39350"/>
    <cellStyle name="Nota 2 7 5 2 2" xfId="39351"/>
    <cellStyle name="Nota 2 7 5 2 3" xfId="39352"/>
    <cellStyle name="Nota 2 7 5 3" xfId="39353"/>
    <cellStyle name="Nota 2 7 5 3 2" xfId="39354"/>
    <cellStyle name="Nota 2 7 5 3 3" xfId="39355"/>
    <cellStyle name="Nota 2 7 5 4" xfId="39356"/>
    <cellStyle name="Nota 2 7 5 5" xfId="39357"/>
    <cellStyle name="Nota 2 7 6" xfId="39358"/>
    <cellStyle name="Nota 2 7 6 2" xfId="39359"/>
    <cellStyle name="Nota 2 7 6 2 2" xfId="39360"/>
    <cellStyle name="Nota 2 7 6 2 3" xfId="39361"/>
    <cellStyle name="Nota 2 7 6 3" xfId="39362"/>
    <cellStyle name="Nota 2 7 6 3 2" xfId="39363"/>
    <cellStyle name="Nota 2 7 6 3 3" xfId="39364"/>
    <cellStyle name="Nota 2 7 6 4" xfId="39365"/>
    <cellStyle name="Nota 2 7 6 5" xfId="39366"/>
    <cellStyle name="Nota 2 7 7" xfId="39367"/>
    <cellStyle name="Nota 2 7 7 2" xfId="39368"/>
    <cellStyle name="Nota 2 7 7 2 2" xfId="39369"/>
    <cellStyle name="Nota 2 7 7 2 3" xfId="39370"/>
    <cellStyle name="Nota 2 7 7 3" xfId="39371"/>
    <cellStyle name="Nota 2 7 7 3 2" xfId="39372"/>
    <cellStyle name="Nota 2 7 7 3 3" xfId="39373"/>
    <cellStyle name="Nota 2 7 7 4" xfId="39374"/>
    <cellStyle name="Nota 2 7 7 5" xfId="39375"/>
    <cellStyle name="Nota 2 7 8" xfId="39376"/>
    <cellStyle name="Nota 2 7 8 2" xfId="39377"/>
    <cellStyle name="Nota 2 7 8 2 2" xfId="39378"/>
    <cellStyle name="Nota 2 7 8 2 3" xfId="39379"/>
    <cellStyle name="Nota 2 7 8 3" xfId="39380"/>
    <cellStyle name="Nota 2 7 8 3 2" xfId="39381"/>
    <cellStyle name="Nota 2 7 8 3 3" xfId="39382"/>
    <cellStyle name="Nota 2 7 8 4" xfId="39383"/>
    <cellStyle name="Nota 2 7 8 5" xfId="39384"/>
    <cellStyle name="Nota 2 7 9" xfId="39385"/>
    <cellStyle name="Nota 2 7 9 2" xfId="39386"/>
    <cellStyle name="Nota 2 7 9 2 2" xfId="39387"/>
    <cellStyle name="Nota 2 7 9 2 3" xfId="39388"/>
    <cellStyle name="Nota 2 7 9 3" xfId="39389"/>
    <cellStyle name="Nota 2 7 9 3 2" xfId="39390"/>
    <cellStyle name="Nota 2 7 9 3 3" xfId="39391"/>
    <cellStyle name="Nota 2 7 9 4" xfId="39392"/>
    <cellStyle name="Nota 2 7 9 5" xfId="39393"/>
    <cellStyle name="Nota 2 8" xfId="39394"/>
    <cellStyle name="Nota 2 8 10" xfId="39395"/>
    <cellStyle name="Nota 2 8 10 2" xfId="39396"/>
    <cellStyle name="Nota 2 8 10 2 2" xfId="39397"/>
    <cellStyle name="Nota 2 8 10 2 3" xfId="39398"/>
    <cellStyle name="Nota 2 8 10 3" xfId="39399"/>
    <cellStyle name="Nota 2 8 10 3 2" xfId="39400"/>
    <cellStyle name="Nota 2 8 10 3 3" xfId="39401"/>
    <cellStyle name="Nota 2 8 10 4" xfId="39402"/>
    <cellStyle name="Nota 2 8 10 5" xfId="39403"/>
    <cellStyle name="Nota 2 8 11" xfId="39404"/>
    <cellStyle name="Nota 2 8 11 2" xfId="39405"/>
    <cellStyle name="Nota 2 8 11 2 2" xfId="39406"/>
    <cellStyle name="Nota 2 8 11 2 3" xfId="39407"/>
    <cellStyle name="Nota 2 8 11 3" xfId="39408"/>
    <cellStyle name="Nota 2 8 11 3 2" xfId="39409"/>
    <cellStyle name="Nota 2 8 11 3 3" xfId="39410"/>
    <cellStyle name="Nota 2 8 11 4" xfId="39411"/>
    <cellStyle name="Nota 2 8 11 5" xfId="39412"/>
    <cellStyle name="Nota 2 8 12" xfId="39413"/>
    <cellStyle name="Nota 2 8 12 2" xfId="39414"/>
    <cellStyle name="Nota 2 8 12 2 2" xfId="39415"/>
    <cellStyle name="Nota 2 8 12 2 3" xfId="39416"/>
    <cellStyle name="Nota 2 8 12 3" xfId="39417"/>
    <cellStyle name="Nota 2 8 12 3 2" xfId="39418"/>
    <cellStyle name="Nota 2 8 12 3 3" xfId="39419"/>
    <cellStyle name="Nota 2 8 12 4" xfId="39420"/>
    <cellStyle name="Nota 2 8 12 5" xfId="39421"/>
    <cellStyle name="Nota 2 8 13" xfId="39422"/>
    <cellStyle name="Nota 2 8 13 2" xfId="39423"/>
    <cellStyle name="Nota 2 8 13 2 2" xfId="39424"/>
    <cellStyle name="Nota 2 8 13 2 3" xfId="39425"/>
    <cellStyle name="Nota 2 8 13 3" xfId="39426"/>
    <cellStyle name="Nota 2 8 13 3 2" xfId="39427"/>
    <cellStyle name="Nota 2 8 13 3 3" xfId="39428"/>
    <cellStyle name="Nota 2 8 13 4" xfId="39429"/>
    <cellStyle name="Nota 2 8 13 5" xfId="39430"/>
    <cellStyle name="Nota 2 8 14" xfId="39431"/>
    <cellStyle name="Nota 2 8 14 2" xfId="39432"/>
    <cellStyle name="Nota 2 8 14 2 2" xfId="39433"/>
    <cellStyle name="Nota 2 8 14 2 3" xfId="39434"/>
    <cellStyle name="Nota 2 8 14 3" xfId="39435"/>
    <cellStyle name="Nota 2 8 14 3 2" xfId="39436"/>
    <cellStyle name="Nota 2 8 14 3 3" xfId="39437"/>
    <cellStyle name="Nota 2 8 14 4" xfId="39438"/>
    <cellStyle name="Nota 2 8 14 5" xfId="39439"/>
    <cellStyle name="Nota 2 8 15" xfId="39440"/>
    <cellStyle name="Nota 2 8 15 2" xfId="39441"/>
    <cellStyle name="Nota 2 8 15 2 2" xfId="39442"/>
    <cellStyle name="Nota 2 8 15 2 3" xfId="39443"/>
    <cellStyle name="Nota 2 8 15 3" xfId="39444"/>
    <cellStyle name="Nota 2 8 15 3 2" xfId="39445"/>
    <cellStyle name="Nota 2 8 15 3 3" xfId="39446"/>
    <cellStyle name="Nota 2 8 15 4" xfId="39447"/>
    <cellStyle name="Nota 2 8 15 5" xfId="39448"/>
    <cellStyle name="Nota 2 8 16" xfId="39449"/>
    <cellStyle name="Nota 2 8 16 2" xfId="39450"/>
    <cellStyle name="Nota 2 8 16 2 2" xfId="39451"/>
    <cellStyle name="Nota 2 8 16 2 3" xfId="39452"/>
    <cellStyle name="Nota 2 8 16 3" xfId="39453"/>
    <cellStyle name="Nota 2 8 16 3 2" xfId="39454"/>
    <cellStyle name="Nota 2 8 16 3 3" xfId="39455"/>
    <cellStyle name="Nota 2 8 16 4" xfId="39456"/>
    <cellStyle name="Nota 2 8 16 5" xfId="39457"/>
    <cellStyle name="Nota 2 8 17" xfId="39458"/>
    <cellStyle name="Nota 2 8 17 2" xfId="39459"/>
    <cellStyle name="Nota 2 8 17 2 2" xfId="39460"/>
    <cellStyle name="Nota 2 8 17 2 3" xfId="39461"/>
    <cellStyle name="Nota 2 8 17 3" xfId="39462"/>
    <cellStyle name="Nota 2 8 17 3 2" xfId="39463"/>
    <cellStyle name="Nota 2 8 17 3 3" xfId="39464"/>
    <cellStyle name="Nota 2 8 17 4" xfId="39465"/>
    <cellStyle name="Nota 2 8 17 5" xfId="39466"/>
    <cellStyle name="Nota 2 8 18" xfId="39467"/>
    <cellStyle name="Nota 2 8 18 2" xfId="39468"/>
    <cellStyle name="Nota 2 8 18 2 2" xfId="39469"/>
    <cellStyle name="Nota 2 8 18 2 3" xfId="39470"/>
    <cellStyle name="Nota 2 8 18 3" xfId="39471"/>
    <cellStyle name="Nota 2 8 18 3 2" xfId="39472"/>
    <cellStyle name="Nota 2 8 18 3 3" xfId="39473"/>
    <cellStyle name="Nota 2 8 18 4" xfId="39474"/>
    <cellStyle name="Nota 2 8 18 5" xfId="39475"/>
    <cellStyle name="Nota 2 8 19" xfId="39476"/>
    <cellStyle name="Nota 2 8 19 2" xfId="39477"/>
    <cellStyle name="Nota 2 8 19 2 2" xfId="39478"/>
    <cellStyle name="Nota 2 8 19 2 3" xfId="39479"/>
    <cellStyle name="Nota 2 8 19 3" xfId="39480"/>
    <cellStyle name="Nota 2 8 19 3 2" xfId="39481"/>
    <cellStyle name="Nota 2 8 19 3 3" xfId="39482"/>
    <cellStyle name="Nota 2 8 19 4" xfId="39483"/>
    <cellStyle name="Nota 2 8 19 5" xfId="39484"/>
    <cellStyle name="Nota 2 8 2" xfId="39485"/>
    <cellStyle name="Nota 2 8 2 2" xfId="39486"/>
    <cellStyle name="Nota 2 8 2 2 2" xfId="39487"/>
    <cellStyle name="Nota 2 8 2 2 3" xfId="39488"/>
    <cellStyle name="Nota 2 8 2 3" xfId="39489"/>
    <cellStyle name="Nota 2 8 2 3 2" xfId="39490"/>
    <cellStyle name="Nota 2 8 2 3 3" xfId="39491"/>
    <cellStyle name="Nota 2 8 2 4" xfId="39492"/>
    <cellStyle name="Nota 2 8 2 5" xfId="39493"/>
    <cellStyle name="Nota 2 8 20" xfId="39494"/>
    <cellStyle name="Nota 2 8 20 2" xfId="39495"/>
    <cellStyle name="Nota 2 8 20 2 2" xfId="39496"/>
    <cellStyle name="Nota 2 8 20 2 3" xfId="39497"/>
    <cellStyle name="Nota 2 8 20 3" xfId="39498"/>
    <cellStyle name="Nota 2 8 20 3 2" xfId="39499"/>
    <cellStyle name="Nota 2 8 20 3 3" xfId="39500"/>
    <cellStyle name="Nota 2 8 20 4" xfId="39501"/>
    <cellStyle name="Nota 2 8 20 5" xfId="39502"/>
    <cellStyle name="Nota 2 8 21" xfId="39503"/>
    <cellStyle name="Nota 2 8 21 2" xfId="39504"/>
    <cellStyle name="Nota 2 8 21 2 2" xfId="39505"/>
    <cellStyle name="Nota 2 8 21 2 3" xfId="39506"/>
    <cellStyle name="Nota 2 8 21 3" xfId="39507"/>
    <cellStyle name="Nota 2 8 21 3 2" xfId="39508"/>
    <cellStyle name="Nota 2 8 21 3 3" xfId="39509"/>
    <cellStyle name="Nota 2 8 21 4" xfId="39510"/>
    <cellStyle name="Nota 2 8 21 5" xfId="39511"/>
    <cellStyle name="Nota 2 8 22" xfId="39512"/>
    <cellStyle name="Nota 2 8 22 2" xfId="39513"/>
    <cellStyle name="Nota 2 8 22 2 2" xfId="39514"/>
    <cellStyle name="Nota 2 8 22 2 3" xfId="39515"/>
    <cellStyle name="Nota 2 8 22 3" xfId="39516"/>
    <cellStyle name="Nota 2 8 22 3 2" xfId="39517"/>
    <cellStyle name="Nota 2 8 22 3 3" xfId="39518"/>
    <cellStyle name="Nota 2 8 22 4" xfId="39519"/>
    <cellStyle name="Nota 2 8 22 5" xfId="39520"/>
    <cellStyle name="Nota 2 8 23" xfId="39521"/>
    <cellStyle name="Nota 2 8 23 2" xfId="39522"/>
    <cellStyle name="Nota 2 8 23 2 2" xfId="39523"/>
    <cellStyle name="Nota 2 8 23 2 3" xfId="39524"/>
    <cellStyle name="Nota 2 8 23 3" xfId="39525"/>
    <cellStyle name="Nota 2 8 23 3 2" xfId="39526"/>
    <cellStyle name="Nota 2 8 23 3 3" xfId="39527"/>
    <cellStyle name="Nota 2 8 23 4" xfId="39528"/>
    <cellStyle name="Nota 2 8 23 5" xfId="39529"/>
    <cellStyle name="Nota 2 8 24" xfId="39530"/>
    <cellStyle name="Nota 2 8 24 2" xfId="39531"/>
    <cellStyle name="Nota 2 8 24 2 2" xfId="39532"/>
    <cellStyle name="Nota 2 8 24 2 3" xfId="39533"/>
    <cellStyle name="Nota 2 8 24 3" xfId="39534"/>
    <cellStyle name="Nota 2 8 24 3 2" xfId="39535"/>
    <cellStyle name="Nota 2 8 24 3 3" xfId="39536"/>
    <cellStyle name="Nota 2 8 24 4" xfId="39537"/>
    <cellStyle name="Nota 2 8 24 5" xfId="39538"/>
    <cellStyle name="Nota 2 8 25" xfId="39539"/>
    <cellStyle name="Nota 2 8 25 2" xfId="39540"/>
    <cellStyle name="Nota 2 8 25 2 2" xfId="39541"/>
    <cellStyle name="Nota 2 8 25 2 3" xfId="39542"/>
    <cellStyle name="Nota 2 8 25 3" xfId="39543"/>
    <cellStyle name="Nota 2 8 25 3 2" xfId="39544"/>
    <cellStyle name="Nota 2 8 25 3 3" xfId="39545"/>
    <cellStyle name="Nota 2 8 25 4" xfId="39546"/>
    <cellStyle name="Nota 2 8 25 5" xfId="39547"/>
    <cellStyle name="Nota 2 8 26" xfId="39548"/>
    <cellStyle name="Nota 2 8 26 2" xfId="39549"/>
    <cellStyle name="Nota 2 8 26 2 2" xfId="39550"/>
    <cellStyle name="Nota 2 8 26 2 3" xfId="39551"/>
    <cellStyle name="Nota 2 8 26 3" xfId="39552"/>
    <cellStyle name="Nota 2 8 26 3 2" xfId="39553"/>
    <cellStyle name="Nota 2 8 26 3 3" xfId="39554"/>
    <cellStyle name="Nota 2 8 26 4" xfId="39555"/>
    <cellStyle name="Nota 2 8 26 5" xfId="39556"/>
    <cellStyle name="Nota 2 8 27" xfId="39557"/>
    <cellStyle name="Nota 2 8 27 2" xfId="39558"/>
    <cellStyle name="Nota 2 8 27 2 2" xfId="39559"/>
    <cellStyle name="Nota 2 8 27 2 3" xfId="39560"/>
    <cellStyle name="Nota 2 8 27 3" xfId="39561"/>
    <cellStyle name="Nota 2 8 27 3 2" xfId="39562"/>
    <cellStyle name="Nota 2 8 27 3 3" xfId="39563"/>
    <cellStyle name="Nota 2 8 27 4" xfId="39564"/>
    <cellStyle name="Nota 2 8 27 5" xfId="39565"/>
    <cellStyle name="Nota 2 8 28" xfId="39566"/>
    <cellStyle name="Nota 2 8 28 2" xfId="39567"/>
    <cellStyle name="Nota 2 8 28 2 2" xfId="39568"/>
    <cellStyle name="Nota 2 8 28 2 3" xfId="39569"/>
    <cellStyle name="Nota 2 8 28 3" xfId="39570"/>
    <cellStyle name="Nota 2 8 28 3 2" xfId="39571"/>
    <cellStyle name="Nota 2 8 28 3 3" xfId="39572"/>
    <cellStyle name="Nota 2 8 28 4" xfId="39573"/>
    <cellStyle name="Nota 2 8 28 5" xfId="39574"/>
    <cellStyle name="Nota 2 8 29" xfId="39575"/>
    <cellStyle name="Nota 2 8 29 2" xfId="39576"/>
    <cellStyle name="Nota 2 8 29 2 2" xfId="39577"/>
    <cellStyle name="Nota 2 8 29 2 3" xfId="39578"/>
    <cellStyle name="Nota 2 8 29 3" xfId="39579"/>
    <cellStyle name="Nota 2 8 29 3 2" xfId="39580"/>
    <cellStyle name="Nota 2 8 29 3 3" xfId="39581"/>
    <cellStyle name="Nota 2 8 29 4" xfId="39582"/>
    <cellStyle name="Nota 2 8 29 5" xfId="39583"/>
    <cellStyle name="Nota 2 8 3" xfId="39584"/>
    <cellStyle name="Nota 2 8 3 2" xfId="39585"/>
    <cellStyle name="Nota 2 8 3 2 2" xfId="39586"/>
    <cellStyle name="Nota 2 8 3 2 3" xfId="39587"/>
    <cellStyle name="Nota 2 8 3 3" xfId="39588"/>
    <cellStyle name="Nota 2 8 3 3 2" xfId="39589"/>
    <cellStyle name="Nota 2 8 3 3 3" xfId="39590"/>
    <cellStyle name="Nota 2 8 3 4" xfId="39591"/>
    <cellStyle name="Nota 2 8 3 5" xfId="39592"/>
    <cellStyle name="Nota 2 8 30" xfId="39593"/>
    <cellStyle name="Nota 2 8 30 2" xfId="39594"/>
    <cellStyle name="Nota 2 8 30 2 2" xfId="39595"/>
    <cellStyle name="Nota 2 8 30 2 3" xfId="39596"/>
    <cellStyle name="Nota 2 8 30 3" xfId="39597"/>
    <cellStyle name="Nota 2 8 30 3 2" xfId="39598"/>
    <cellStyle name="Nota 2 8 30 3 3" xfId="39599"/>
    <cellStyle name="Nota 2 8 30 4" xfId="39600"/>
    <cellStyle name="Nota 2 8 30 5" xfId="39601"/>
    <cellStyle name="Nota 2 8 31" xfId="39602"/>
    <cellStyle name="Nota 2 8 31 2" xfId="39603"/>
    <cellStyle name="Nota 2 8 31 2 2" xfId="39604"/>
    <cellStyle name="Nota 2 8 31 2 3" xfId="39605"/>
    <cellStyle name="Nota 2 8 31 3" xfId="39606"/>
    <cellStyle name="Nota 2 8 31 3 2" xfId="39607"/>
    <cellStyle name="Nota 2 8 31 3 3" xfId="39608"/>
    <cellStyle name="Nota 2 8 31 4" xfId="39609"/>
    <cellStyle name="Nota 2 8 31 5" xfId="39610"/>
    <cellStyle name="Nota 2 8 32" xfId="39611"/>
    <cellStyle name="Nota 2 8 32 2" xfId="39612"/>
    <cellStyle name="Nota 2 8 32 2 2" xfId="39613"/>
    <cellStyle name="Nota 2 8 32 2 3" xfId="39614"/>
    <cellStyle name="Nota 2 8 32 3" xfId="39615"/>
    <cellStyle name="Nota 2 8 32 3 2" xfId="39616"/>
    <cellStyle name="Nota 2 8 32 3 3" xfId="39617"/>
    <cellStyle name="Nota 2 8 32 4" xfId="39618"/>
    <cellStyle name="Nota 2 8 32 5" xfId="39619"/>
    <cellStyle name="Nota 2 8 33" xfId="39620"/>
    <cellStyle name="Nota 2 8 33 2" xfId="39621"/>
    <cellStyle name="Nota 2 8 33 2 2" xfId="39622"/>
    <cellStyle name="Nota 2 8 33 2 3" xfId="39623"/>
    <cellStyle name="Nota 2 8 33 3" xfId="39624"/>
    <cellStyle name="Nota 2 8 33 3 2" xfId="39625"/>
    <cellStyle name="Nota 2 8 33 3 3" xfId="39626"/>
    <cellStyle name="Nota 2 8 33 4" xfId="39627"/>
    <cellStyle name="Nota 2 8 33 5" xfId="39628"/>
    <cellStyle name="Nota 2 8 34" xfId="39629"/>
    <cellStyle name="Nota 2 8 34 2" xfId="39630"/>
    <cellStyle name="Nota 2 8 34 2 2" xfId="39631"/>
    <cellStyle name="Nota 2 8 34 2 3" xfId="39632"/>
    <cellStyle name="Nota 2 8 34 3" xfId="39633"/>
    <cellStyle name="Nota 2 8 34 3 2" xfId="39634"/>
    <cellStyle name="Nota 2 8 34 3 3" xfId="39635"/>
    <cellStyle name="Nota 2 8 34 4" xfId="39636"/>
    <cellStyle name="Nota 2 8 34 5" xfId="39637"/>
    <cellStyle name="Nota 2 8 35" xfId="39638"/>
    <cellStyle name="Nota 2 8 35 2" xfId="39639"/>
    <cellStyle name="Nota 2 8 35 2 2" xfId="39640"/>
    <cellStyle name="Nota 2 8 35 2 3" xfId="39641"/>
    <cellStyle name="Nota 2 8 35 3" xfId="39642"/>
    <cellStyle name="Nota 2 8 35 3 2" xfId="39643"/>
    <cellStyle name="Nota 2 8 35 3 3" xfId="39644"/>
    <cellStyle name="Nota 2 8 35 4" xfId="39645"/>
    <cellStyle name="Nota 2 8 35 5" xfId="39646"/>
    <cellStyle name="Nota 2 8 36" xfId="39647"/>
    <cellStyle name="Nota 2 8 36 2" xfId="39648"/>
    <cellStyle name="Nota 2 8 36 2 2" xfId="39649"/>
    <cellStyle name="Nota 2 8 36 2 3" xfId="39650"/>
    <cellStyle name="Nota 2 8 36 3" xfId="39651"/>
    <cellStyle name="Nota 2 8 36 3 2" xfId="39652"/>
    <cellStyle name="Nota 2 8 36 3 3" xfId="39653"/>
    <cellStyle name="Nota 2 8 36 4" xfId="39654"/>
    <cellStyle name="Nota 2 8 36 5" xfId="39655"/>
    <cellStyle name="Nota 2 8 37" xfId="39656"/>
    <cellStyle name="Nota 2 8 37 2" xfId="39657"/>
    <cellStyle name="Nota 2 8 37 2 2" xfId="39658"/>
    <cellStyle name="Nota 2 8 37 2 3" xfId="39659"/>
    <cellStyle name="Nota 2 8 37 3" xfId="39660"/>
    <cellStyle name="Nota 2 8 37 3 2" xfId="39661"/>
    <cellStyle name="Nota 2 8 37 3 3" xfId="39662"/>
    <cellStyle name="Nota 2 8 37 4" xfId="39663"/>
    <cellStyle name="Nota 2 8 37 5" xfId="39664"/>
    <cellStyle name="Nota 2 8 38" xfId="39665"/>
    <cellStyle name="Nota 2 8 38 2" xfId="39666"/>
    <cellStyle name="Nota 2 8 38 2 2" xfId="39667"/>
    <cellStyle name="Nota 2 8 38 2 3" xfId="39668"/>
    <cellStyle name="Nota 2 8 38 3" xfId="39669"/>
    <cellStyle name="Nota 2 8 38 3 2" xfId="39670"/>
    <cellStyle name="Nota 2 8 38 3 3" xfId="39671"/>
    <cellStyle name="Nota 2 8 38 4" xfId="39672"/>
    <cellStyle name="Nota 2 8 38 5" xfId="39673"/>
    <cellStyle name="Nota 2 8 39" xfId="39674"/>
    <cellStyle name="Nota 2 8 39 2" xfId="39675"/>
    <cellStyle name="Nota 2 8 39 2 2" xfId="39676"/>
    <cellStyle name="Nota 2 8 39 2 3" xfId="39677"/>
    <cellStyle name="Nota 2 8 39 3" xfId="39678"/>
    <cellStyle name="Nota 2 8 39 3 2" xfId="39679"/>
    <cellStyle name="Nota 2 8 39 3 3" xfId="39680"/>
    <cellStyle name="Nota 2 8 39 4" xfId="39681"/>
    <cellStyle name="Nota 2 8 39 5" xfId="39682"/>
    <cellStyle name="Nota 2 8 4" xfId="39683"/>
    <cellStyle name="Nota 2 8 4 2" xfId="39684"/>
    <cellStyle name="Nota 2 8 4 2 2" xfId="39685"/>
    <cellStyle name="Nota 2 8 4 2 3" xfId="39686"/>
    <cellStyle name="Nota 2 8 4 3" xfId="39687"/>
    <cellStyle name="Nota 2 8 4 3 2" xfId="39688"/>
    <cellStyle name="Nota 2 8 4 3 3" xfId="39689"/>
    <cellStyle name="Nota 2 8 4 4" xfId="39690"/>
    <cellStyle name="Nota 2 8 4 5" xfId="39691"/>
    <cellStyle name="Nota 2 8 40" xfId="39692"/>
    <cellStyle name="Nota 2 8 40 2" xfId="39693"/>
    <cellStyle name="Nota 2 8 40 2 2" xfId="39694"/>
    <cellStyle name="Nota 2 8 40 2 3" xfId="39695"/>
    <cellStyle name="Nota 2 8 40 3" xfId="39696"/>
    <cellStyle name="Nota 2 8 40 4" xfId="39697"/>
    <cellStyle name="Nota 2 8 41" xfId="39698"/>
    <cellStyle name="Nota 2 8 41 2" xfId="39699"/>
    <cellStyle name="Nota 2 8 41 3" xfId="39700"/>
    <cellStyle name="Nota 2 8 42" xfId="39701"/>
    <cellStyle name="Nota 2 8 43" xfId="39702"/>
    <cellStyle name="Nota 2 8 5" xfId="39703"/>
    <cellStyle name="Nota 2 8 5 2" xfId="39704"/>
    <cellStyle name="Nota 2 8 5 2 2" xfId="39705"/>
    <cellStyle name="Nota 2 8 5 2 3" xfId="39706"/>
    <cellStyle name="Nota 2 8 5 3" xfId="39707"/>
    <cellStyle name="Nota 2 8 5 3 2" xfId="39708"/>
    <cellStyle name="Nota 2 8 5 3 3" xfId="39709"/>
    <cellStyle name="Nota 2 8 5 4" xfId="39710"/>
    <cellStyle name="Nota 2 8 5 5" xfId="39711"/>
    <cellStyle name="Nota 2 8 6" xfId="39712"/>
    <cellStyle name="Nota 2 8 6 2" xfId="39713"/>
    <cellStyle name="Nota 2 8 6 2 2" xfId="39714"/>
    <cellStyle name="Nota 2 8 6 2 3" xfId="39715"/>
    <cellStyle name="Nota 2 8 6 3" xfId="39716"/>
    <cellStyle name="Nota 2 8 6 3 2" xfId="39717"/>
    <cellStyle name="Nota 2 8 6 3 3" xfId="39718"/>
    <cellStyle name="Nota 2 8 6 4" xfId="39719"/>
    <cellStyle name="Nota 2 8 6 5" xfId="39720"/>
    <cellStyle name="Nota 2 8 7" xfId="39721"/>
    <cellStyle name="Nota 2 8 7 2" xfId="39722"/>
    <cellStyle name="Nota 2 8 7 2 2" xfId="39723"/>
    <cellStyle name="Nota 2 8 7 2 3" xfId="39724"/>
    <cellStyle name="Nota 2 8 7 3" xfId="39725"/>
    <cellStyle name="Nota 2 8 7 3 2" xfId="39726"/>
    <cellStyle name="Nota 2 8 7 3 3" xfId="39727"/>
    <cellStyle name="Nota 2 8 7 4" xfId="39728"/>
    <cellStyle name="Nota 2 8 7 5" xfId="39729"/>
    <cellStyle name="Nota 2 8 8" xfId="39730"/>
    <cellStyle name="Nota 2 8 8 2" xfId="39731"/>
    <cellStyle name="Nota 2 8 8 2 2" xfId="39732"/>
    <cellStyle name="Nota 2 8 8 2 3" xfId="39733"/>
    <cellStyle name="Nota 2 8 8 3" xfId="39734"/>
    <cellStyle name="Nota 2 8 8 3 2" xfId="39735"/>
    <cellStyle name="Nota 2 8 8 3 3" xfId="39736"/>
    <cellStyle name="Nota 2 8 8 4" xfId="39737"/>
    <cellStyle name="Nota 2 8 8 5" xfId="39738"/>
    <cellStyle name="Nota 2 8 9" xfId="39739"/>
    <cellStyle name="Nota 2 8 9 2" xfId="39740"/>
    <cellStyle name="Nota 2 8 9 2 2" xfId="39741"/>
    <cellStyle name="Nota 2 8 9 2 3" xfId="39742"/>
    <cellStyle name="Nota 2 8 9 3" xfId="39743"/>
    <cellStyle name="Nota 2 8 9 3 2" xfId="39744"/>
    <cellStyle name="Nota 2 8 9 3 3" xfId="39745"/>
    <cellStyle name="Nota 2 8 9 4" xfId="39746"/>
    <cellStyle name="Nota 2 8 9 5" xfId="39747"/>
    <cellStyle name="Nota 2 9" xfId="39748"/>
    <cellStyle name="Nota 2 9 2" xfId="39749"/>
    <cellStyle name="Nota 2 9 2 2" xfId="39750"/>
    <cellStyle name="Nota 2 9 2 3" xfId="39751"/>
    <cellStyle name="Nota 2 9 3" xfId="39752"/>
    <cellStyle name="Nota 2 9 3 2" xfId="39753"/>
    <cellStyle name="Nota 2 9 3 3" xfId="39754"/>
    <cellStyle name="Nota 2 9 4" xfId="39755"/>
    <cellStyle name="Nota 2 9 5" xfId="39756"/>
    <cellStyle name="Nota 3" xfId="39757"/>
    <cellStyle name="Nota 3 2" xfId="39758"/>
    <cellStyle name="Nota 3 2 2" xfId="39759"/>
    <cellStyle name="Nota 3 2 2 2" xfId="39760"/>
    <cellStyle name="Nota 3 2 2 2 2" xfId="39761"/>
    <cellStyle name="Nota 3 2 2 2 3" xfId="39762"/>
    <cellStyle name="Nota 3 2 2 3" xfId="39763"/>
    <cellStyle name="Nota 3 2 2 4" xfId="39764"/>
    <cellStyle name="Nota 3 2 3" xfId="39765"/>
    <cellStyle name="Nota 3 2 3 2" xfId="39766"/>
    <cellStyle name="Nota 3 2 3 2 2" xfId="39767"/>
    <cellStyle name="Nota 3 2 3 2 3" xfId="39768"/>
    <cellStyle name="Nota 3 2 3 3" xfId="39769"/>
    <cellStyle name="Nota 3 2 3 4" xfId="39770"/>
    <cellStyle name="Nota 3 2 4" xfId="39771"/>
    <cellStyle name="Nota 3 2 4 2" xfId="39772"/>
    <cellStyle name="Nota 3 2 4 3" xfId="39773"/>
    <cellStyle name="Nota 3 2 5" xfId="39774"/>
    <cellStyle name="Nota 3 2 6" xfId="39775"/>
    <cellStyle name="Nota 3 3" xfId="39776"/>
    <cellStyle name="Nota 3 3 2" xfId="39777"/>
    <cellStyle name="Nota 3 3 2 2" xfId="39778"/>
    <cellStyle name="Nota 3 3 2 3" xfId="39779"/>
    <cellStyle name="Nota 3 3 3" xfId="39780"/>
    <cellStyle name="Nota 3 3 4" xfId="39781"/>
    <cellStyle name="Nota 3 4" xfId="39782"/>
    <cellStyle name="Nota 3 4 2" xfId="39783"/>
    <cellStyle name="Nota 3 4 2 2" xfId="39784"/>
    <cellStyle name="Nota 3 4 2 3" xfId="39785"/>
    <cellStyle name="Nota 3 4 3" xfId="39786"/>
    <cellStyle name="Nota 3 4 4" xfId="39787"/>
    <cellStyle name="Nota 3 5" xfId="39788"/>
    <cellStyle name="Nota 3 5 2" xfId="39789"/>
    <cellStyle name="Nota 3 5 3" xfId="39790"/>
    <cellStyle name="Nota 3 6" xfId="39791"/>
    <cellStyle name="Nota 3 7" xfId="39792"/>
    <cellStyle name="Nota 4" xfId="39793"/>
    <cellStyle name="Nota 4 2" xfId="39794"/>
    <cellStyle name="Nota 4 2 2" xfId="39795"/>
    <cellStyle name="Nota 4 2 2 2" xfId="39796"/>
    <cellStyle name="Nota 4 2 2 2 2" xfId="39797"/>
    <cellStyle name="Nota 4 2 2 2 3" xfId="39798"/>
    <cellStyle name="Nota 4 2 2 3" xfId="39799"/>
    <cellStyle name="Nota 4 2 2 4" xfId="39800"/>
    <cellStyle name="Nota 4 2 3" xfId="39801"/>
    <cellStyle name="Nota 4 2 3 2" xfId="39802"/>
    <cellStyle name="Nota 4 2 3 2 2" xfId="39803"/>
    <cellStyle name="Nota 4 2 3 2 3" xfId="39804"/>
    <cellStyle name="Nota 4 2 3 3" xfId="39805"/>
    <cellStyle name="Nota 4 2 3 4" xfId="39806"/>
    <cellStyle name="Nota 4 2 4" xfId="39807"/>
    <cellStyle name="Nota 4 2 4 2" xfId="39808"/>
    <cellStyle name="Nota 4 2 4 3" xfId="39809"/>
    <cellStyle name="Nota 4 2 5" xfId="39810"/>
    <cellStyle name="Nota 4 2 6" xfId="39811"/>
    <cellStyle name="Nota 4 3" xfId="39812"/>
    <cellStyle name="Nota 4 3 2" xfId="39813"/>
    <cellStyle name="Nota 4 3 2 2" xfId="39814"/>
    <cellStyle name="Nota 4 3 2 3" xfId="39815"/>
    <cellStyle name="Nota 4 3 3" xfId="39816"/>
    <cellStyle name="Nota 4 3 4" xfId="39817"/>
    <cellStyle name="Nota 4 4" xfId="39818"/>
    <cellStyle name="Nota 4 4 2" xfId="39819"/>
    <cellStyle name="Nota 4 4 2 2" xfId="39820"/>
    <cellStyle name="Nota 4 4 2 3" xfId="39821"/>
    <cellStyle name="Nota 4 4 3" xfId="39822"/>
    <cellStyle name="Nota 4 4 4" xfId="39823"/>
    <cellStyle name="Nota 4 5" xfId="39824"/>
    <cellStyle name="Nota 4 5 2" xfId="39825"/>
    <cellStyle name="Nota 4 5 3" xfId="39826"/>
    <cellStyle name="Nota 4 6" xfId="39827"/>
    <cellStyle name="Nota 4 7" xfId="39828"/>
    <cellStyle name="Nota 5" xfId="39829"/>
    <cellStyle name="Nota 5 2" xfId="39830"/>
    <cellStyle name="Nota 5 2 2" xfId="39831"/>
    <cellStyle name="Nota 5 2 2 2" xfId="39832"/>
    <cellStyle name="Nota 5 2 2 2 2" xfId="39833"/>
    <cellStyle name="Nota 5 2 2 2 3" xfId="39834"/>
    <cellStyle name="Nota 5 2 2 3" xfId="39835"/>
    <cellStyle name="Nota 5 2 2 4" xfId="39836"/>
    <cellStyle name="Nota 5 2 3" xfId="39837"/>
    <cellStyle name="Nota 5 2 3 2" xfId="39838"/>
    <cellStyle name="Nota 5 2 3 2 2" xfId="39839"/>
    <cellStyle name="Nota 5 2 3 2 3" xfId="39840"/>
    <cellStyle name="Nota 5 2 3 3" xfId="39841"/>
    <cellStyle name="Nota 5 2 3 4" xfId="39842"/>
    <cellStyle name="Nota 5 2 4" xfId="39843"/>
    <cellStyle name="Nota 5 2 4 2" xfId="39844"/>
    <cellStyle name="Nota 5 2 4 3" xfId="39845"/>
    <cellStyle name="Nota 5 2 5" xfId="39846"/>
    <cellStyle name="Nota 5 2 6" xfId="39847"/>
    <cellStyle name="Nota 5 3" xfId="39848"/>
    <cellStyle name="Nota 5 3 2" xfId="39849"/>
    <cellStyle name="Nota 5 3 2 2" xfId="39850"/>
    <cellStyle name="Nota 5 3 2 3" xfId="39851"/>
    <cellStyle name="Nota 5 3 3" xfId="39852"/>
    <cellStyle name="Nota 5 3 4" xfId="39853"/>
    <cellStyle name="Nota 5 4" xfId="39854"/>
    <cellStyle name="Nota 5 4 2" xfId="39855"/>
    <cellStyle name="Nota 5 4 2 2" xfId="39856"/>
    <cellStyle name="Nota 5 4 2 3" xfId="39857"/>
    <cellStyle name="Nota 5 4 3" xfId="39858"/>
    <cellStyle name="Nota 5 4 4" xfId="39859"/>
    <cellStyle name="Nota 5 5" xfId="39860"/>
    <cellStyle name="Nota 5 5 2" xfId="39861"/>
    <cellStyle name="Nota 5 5 3" xfId="39862"/>
    <cellStyle name="Nota 5 6" xfId="39863"/>
    <cellStyle name="Nota 5 7" xfId="39864"/>
    <cellStyle name="Nota 6" xfId="39865"/>
    <cellStyle name="Nota 6 2" xfId="39866"/>
    <cellStyle name="Nota 6 2 2" xfId="39867"/>
    <cellStyle name="Nota 6 2 2 2" xfId="39868"/>
    <cellStyle name="Nota 6 2 2 2 2" xfId="39869"/>
    <cellStyle name="Nota 6 2 2 2 3" xfId="39870"/>
    <cellStyle name="Nota 6 2 2 3" xfId="39871"/>
    <cellStyle name="Nota 6 2 2 4" xfId="39872"/>
    <cellStyle name="Nota 6 2 3" xfId="39873"/>
    <cellStyle name="Nota 6 2 3 2" xfId="39874"/>
    <cellStyle name="Nota 6 2 3 2 2" xfId="39875"/>
    <cellStyle name="Nota 6 2 3 2 3" xfId="39876"/>
    <cellStyle name="Nota 6 2 3 3" xfId="39877"/>
    <cellStyle name="Nota 6 2 3 4" xfId="39878"/>
    <cellStyle name="Nota 6 2 4" xfId="39879"/>
    <cellStyle name="Nota 6 2 4 2" xfId="39880"/>
    <cellStyle name="Nota 6 2 4 3" xfId="39881"/>
    <cellStyle name="Nota 6 2 5" xfId="39882"/>
    <cellStyle name="Nota 6 2 6" xfId="39883"/>
    <cellStyle name="Nota 6 3" xfId="39884"/>
    <cellStyle name="Nota 6 3 2" xfId="39885"/>
    <cellStyle name="Nota 6 3 2 2" xfId="39886"/>
    <cellStyle name="Nota 6 3 2 3" xfId="39887"/>
    <cellStyle name="Nota 6 3 3" xfId="39888"/>
    <cellStyle name="Nota 6 3 4" xfId="39889"/>
    <cellStyle name="Nota 6 4" xfId="39890"/>
    <cellStyle name="Nota 6 4 2" xfId="39891"/>
    <cellStyle name="Nota 6 4 2 2" xfId="39892"/>
    <cellStyle name="Nota 6 4 2 3" xfId="39893"/>
    <cellStyle name="Nota 6 4 3" xfId="39894"/>
    <cellStyle name="Nota 6 4 4" xfId="39895"/>
    <cellStyle name="Nota 6 5" xfId="39896"/>
    <cellStyle name="Nota 6 5 2" xfId="39897"/>
    <cellStyle name="Nota 6 5 3" xfId="39898"/>
    <cellStyle name="Nota 6 6" xfId="39899"/>
    <cellStyle name="Nota 6 7" xfId="39900"/>
    <cellStyle name="Nota 7" xfId="39901"/>
    <cellStyle name="Nota 7 2" xfId="39902"/>
    <cellStyle name="Nota 7 2 2" xfId="39903"/>
    <cellStyle name="Nota 7 2 2 2" xfId="39904"/>
    <cellStyle name="Nota 7 2 2 2 2" xfId="39905"/>
    <cellStyle name="Nota 7 2 2 2 3" xfId="39906"/>
    <cellStyle name="Nota 7 2 2 3" xfId="39907"/>
    <cellStyle name="Nota 7 2 2 4" xfId="39908"/>
    <cellStyle name="Nota 7 2 3" xfId="39909"/>
    <cellStyle name="Nota 7 2 3 2" xfId="39910"/>
    <cellStyle name="Nota 7 2 3 2 2" xfId="39911"/>
    <cellStyle name="Nota 7 2 3 2 3" xfId="39912"/>
    <cellStyle name="Nota 7 2 3 3" xfId="39913"/>
    <cellStyle name="Nota 7 2 3 4" xfId="39914"/>
    <cellStyle name="Nota 7 2 4" xfId="39915"/>
    <cellStyle name="Nota 7 2 4 2" xfId="39916"/>
    <cellStyle name="Nota 7 2 4 3" xfId="39917"/>
    <cellStyle name="Nota 7 2 5" xfId="39918"/>
    <cellStyle name="Nota 7 2 6" xfId="39919"/>
    <cellStyle name="Nota 7 3" xfId="39920"/>
    <cellStyle name="Nota 7 3 2" xfId="39921"/>
    <cellStyle name="Nota 7 3 2 2" xfId="39922"/>
    <cellStyle name="Nota 7 3 2 3" xfId="39923"/>
    <cellStyle name="Nota 7 3 3" xfId="39924"/>
    <cellStyle name="Nota 7 3 4" xfId="39925"/>
    <cellStyle name="Nota 7 4" xfId="39926"/>
    <cellStyle name="Nota 7 4 2" xfId="39927"/>
    <cellStyle name="Nota 7 4 2 2" xfId="39928"/>
    <cellStyle name="Nota 7 4 2 3" xfId="39929"/>
    <cellStyle name="Nota 7 4 3" xfId="39930"/>
    <cellStyle name="Nota 7 4 4" xfId="39931"/>
    <cellStyle name="Nota 7 5" xfId="39932"/>
    <cellStyle name="Nota 7 5 2" xfId="39933"/>
    <cellStyle name="Nota 7 5 3" xfId="39934"/>
    <cellStyle name="Nota 7 6" xfId="39935"/>
    <cellStyle name="Nota 7 7" xfId="39936"/>
    <cellStyle name="Nota 8" xfId="39937"/>
    <cellStyle name="Nota 8 2" xfId="39938"/>
    <cellStyle name="Nota 8 2 2" xfId="39939"/>
    <cellStyle name="Nota 8 2 2 2" xfId="39940"/>
    <cellStyle name="Nota 8 2 2 2 2" xfId="39941"/>
    <cellStyle name="Nota 8 2 2 2 3" xfId="39942"/>
    <cellStyle name="Nota 8 2 2 3" xfId="39943"/>
    <cellStyle name="Nota 8 2 2 4" xfId="39944"/>
    <cellStyle name="Nota 8 2 3" xfId="39945"/>
    <cellStyle name="Nota 8 2 3 2" xfId="39946"/>
    <cellStyle name="Nota 8 2 3 2 2" xfId="39947"/>
    <cellStyle name="Nota 8 2 3 2 3" xfId="39948"/>
    <cellStyle name="Nota 8 2 3 3" xfId="39949"/>
    <cellStyle name="Nota 8 2 3 4" xfId="39950"/>
    <cellStyle name="Nota 8 2 4" xfId="39951"/>
    <cellStyle name="Nota 8 2 4 2" xfId="39952"/>
    <cellStyle name="Nota 8 2 4 3" xfId="39953"/>
    <cellStyle name="Nota 8 2 5" xfId="39954"/>
    <cellStyle name="Nota 8 2 6" xfId="39955"/>
    <cellStyle name="Nota 8 3" xfId="39956"/>
    <cellStyle name="Nota 8 3 2" xfId="39957"/>
    <cellStyle name="Nota 8 3 2 2" xfId="39958"/>
    <cellStyle name="Nota 8 3 2 3" xfId="39959"/>
    <cellStyle name="Nota 8 3 3" xfId="39960"/>
    <cellStyle name="Nota 8 3 4" xfId="39961"/>
    <cellStyle name="Nota 8 4" xfId="39962"/>
    <cellStyle name="Nota 8 4 2" xfId="39963"/>
    <cellStyle name="Nota 8 4 2 2" xfId="39964"/>
    <cellStyle name="Nota 8 4 2 3" xfId="39965"/>
    <cellStyle name="Nota 8 4 3" xfId="39966"/>
    <cellStyle name="Nota 8 4 4" xfId="39967"/>
    <cellStyle name="Nota 8 5" xfId="39968"/>
    <cellStyle name="Nota 8 5 2" xfId="39969"/>
    <cellStyle name="Nota 8 5 3" xfId="39970"/>
    <cellStyle name="Nota 8 6" xfId="39971"/>
    <cellStyle name="Nota 8 7" xfId="39972"/>
    <cellStyle name="Nota 9" xfId="39973"/>
    <cellStyle name="Nota 9 2" xfId="39974"/>
    <cellStyle name="Nota 9 2 2" xfId="39975"/>
    <cellStyle name="Nota 9 2 2 2" xfId="39976"/>
    <cellStyle name="Nota 9 2 2 3" xfId="39977"/>
    <cellStyle name="Nota 9 2 3" xfId="39978"/>
    <cellStyle name="Nota 9 2 4" xfId="39979"/>
    <cellStyle name="Nota 9 3" xfId="39980"/>
    <cellStyle name="Nota 9 3 2" xfId="39981"/>
    <cellStyle name="Nota 9 3 2 2" xfId="39982"/>
    <cellStyle name="Nota 9 3 2 3" xfId="39983"/>
    <cellStyle name="Nota 9 3 3" xfId="39984"/>
    <cellStyle name="Nota 9 3 4" xfId="39985"/>
    <cellStyle name="Nota 9 4" xfId="39986"/>
    <cellStyle name="Nota 9 4 2" xfId="39987"/>
    <cellStyle name="Nota 9 4 3" xfId="39988"/>
    <cellStyle name="Nota 9 5" xfId="39989"/>
    <cellStyle name="Nota 9 6" xfId="39990"/>
    <cellStyle name="Notas" xfId="39991"/>
    <cellStyle name="Note" xfId="39992"/>
    <cellStyle name="Note 2" xfId="39993"/>
    <cellStyle name="Note 2 2" xfId="39994"/>
    <cellStyle name="Note 2 2 2" xfId="39995"/>
    <cellStyle name="Note 2 2 3" xfId="39996"/>
    <cellStyle name="Note 2 3" xfId="39997"/>
    <cellStyle name="Note 2 4" xfId="39998"/>
    <cellStyle name="Note 3" xfId="39999"/>
    <cellStyle name="Note 3 2" xfId="40000"/>
    <cellStyle name="Note 3 2 2" xfId="40001"/>
    <cellStyle name="Note 3 2 3" xfId="40002"/>
    <cellStyle name="Note 3 3" xfId="40003"/>
    <cellStyle name="Note 3 4" xfId="40004"/>
    <cellStyle name="Note 4" xfId="40005"/>
    <cellStyle name="Note 4 2" xfId="40006"/>
    <cellStyle name="Note 4 3" xfId="40007"/>
    <cellStyle name="Note 5" xfId="40008"/>
    <cellStyle name="Note 6" xfId="40009"/>
    <cellStyle name="Note 7" xfId="40010"/>
    <cellStyle name="Number" xfId="40011"/>
    <cellStyle name="Obsolete" xfId="147"/>
    <cellStyle name="Obsolete 2" xfId="40012"/>
    <cellStyle name="Œ…‹æØ‚è [0.00]_laroux" xfId="40013"/>
    <cellStyle name="Œ…‹æØ‚è_laroux" xfId="40014"/>
    <cellStyle name="Output" xfId="40015"/>
    <cellStyle name="Output 2" xfId="40016"/>
    <cellStyle name="Output 2 2" xfId="40017"/>
    <cellStyle name="Output 2 2 2" xfId="40018"/>
    <cellStyle name="Output 2 2 2 2" xfId="40019"/>
    <cellStyle name="Output 2 2 2 3" xfId="40020"/>
    <cellStyle name="Output 2 2 3" xfId="40021"/>
    <cellStyle name="Output 2 2 4" xfId="40022"/>
    <cellStyle name="Output 2 3" xfId="40023"/>
    <cellStyle name="Output 2 3 2" xfId="40024"/>
    <cellStyle name="Output 2 3 2 2" xfId="40025"/>
    <cellStyle name="Output 2 3 2 3" xfId="40026"/>
    <cellStyle name="Output 2 3 3" xfId="40027"/>
    <cellStyle name="Output 2 3 4" xfId="40028"/>
    <cellStyle name="Output 2 4" xfId="40029"/>
    <cellStyle name="Output 2 4 2" xfId="40030"/>
    <cellStyle name="Output 2 4 3" xfId="40031"/>
    <cellStyle name="Output 2 5" xfId="40032"/>
    <cellStyle name="Output 2 6" xfId="40033"/>
    <cellStyle name="Output 3" xfId="40034"/>
    <cellStyle name="Output 3 2" xfId="40035"/>
    <cellStyle name="Output 3 2 2" xfId="40036"/>
    <cellStyle name="Output 3 2 2 2" xfId="40037"/>
    <cellStyle name="Output 3 2 2 3" xfId="40038"/>
    <cellStyle name="Output 3 2 3" xfId="40039"/>
    <cellStyle name="Output 3 2 4" xfId="40040"/>
    <cellStyle name="Output 3 3" xfId="40041"/>
    <cellStyle name="Output 3 3 2" xfId="40042"/>
    <cellStyle name="Output 3 3 2 2" xfId="40043"/>
    <cellStyle name="Output 3 3 2 3" xfId="40044"/>
    <cellStyle name="Output 3 3 3" xfId="40045"/>
    <cellStyle name="Output 3 3 4" xfId="40046"/>
    <cellStyle name="Output 3 4" xfId="40047"/>
    <cellStyle name="Output 3 4 2" xfId="40048"/>
    <cellStyle name="Output 3 4 3" xfId="40049"/>
    <cellStyle name="Output 3 5" xfId="40050"/>
    <cellStyle name="Output 3 6" xfId="40051"/>
    <cellStyle name="Output 4" xfId="40052"/>
    <cellStyle name="Output 4 2" xfId="40053"/>
    <cellStyle name="Output 4 2 2" xfId="40054"/>
    <cellStyle name="Output 4 2 2 2" xfId="40055"/>
    <cellStyle name="Output 4 2 2 3" xfId="40056"/>
    <cellStyle name="Output 4 2 3" xfId="40057"/>
    <cellStyle name="Output 4 2 4" xfId="40058"/>
    <cellStyle name="Output 4 3" xfId="40059"/>
    <cellStyle name="Output 4 3 2" xfId="40060"/>
    <cellStyle name="Output 4 3 2 2" xfId="40061"/>
    <cellStyle name="Output 4 3 2 3" xfId="40062"/>
    <cellStyle name="Output 4 3 3" xfId="40063"/>
    <cellStyle name="Output 4 3 4" xfId="40064"/>
    <cellStyle name="Output 4 4" xfId="40065"/>
    <cellStyle name="Output 4 4 2" xfId="40066"/>
    <cellStyle name="Output 4 4 3" xfId="40067"/>
    <cellStyle name="Output 4 5" xfId="40068"/>
    <cellStyle name="Output 4 6" xfId="40069"/>
    <cellStyle name="Output 5" xfId="40070"/>
    <cellStyle name="Output 5 2" xfId="40071"/>
    <cellStyle name="Output 5 2 2" xfId="40072"/>
    <cellStyle name="Output 5 2 2 2" xfId="40073"/>
    <cellStyle name="Output 5 2 2 3" xfId="40074"/>
    <cellStyle name="Output 5 2 3" xfId="40075"/>
    <cellStyle name="Output 5 2 4" xfId="40076"/>
    <cellStyle name="Output 5 3" xfId="40077"/>
    <cellStyle name="Output 5 3 2" xfId="40078"/>
    <cellStyle name="Output 5 3 2 2" xfId="40079"/>
    <cellStyle name="Output 5 3 2 3" xfId="40080"/>
    <cellStyle name="Output 5 3 3" xfId="40081"/>
    <cellStyle name="Output 5 3 4" xfId="40082"/>
    <cellStyle name="Output 5 4" xfId="40083"/>
    <cellStyle name="Output 5 4 2" xfId="40084"/>
    <cellStyle name="Output 5 4 3" xfId="40085"/>
    <cellStyle name="Output 5 5" xfId="40086"/>
    <cellStyle name="Output 5 6" xfId="40087"/>
    <cellStyle name="Output 6" xfId="40088"/>
    <cellStyle name="Output 6 2" xfId="40089"/>
    <cellStyle name="Output 6 2 2" xfId="40090"/>
    <cellStyle name="Output 6 2 2 2" xfId="40091"/>
    <cellStyle name="Output 6 2 2 3" xfId="40092"/>
    <cellStyle name="Output 6 2 3" xfId="40093"/>
    <cellStyle name="Output 6 2 4" xfId="40094"/>
    <cellStyle name="Output 6 3" xfId="40095"/>
    <cellStyle name="Output 6 3 2" xfId="40096"/>
    <cellStyle name="Output 6 3 2 2" xfId="40097"/>
    <cellStyle name="Output 6 3 2 3" xfId="40098"/>
    <cellStyle name="Output 6 3 3" xfId="40099"/>
    <cellStyle name="Output 6 3 4" xfId="40100"/>
    <cellStyle name="Output 6 4" xfId="40101"/>
    <cellStyle name="Output 6 4 2" xfId="40102"/>
    <cellStyle name="Output 6 4 3" xfId="40103"/>
    <cellStyle name="Output 6 5" xfId="40104"/>
    <cellStyle name="Output 6 6" xfId="40105"/>
    <cellStyle name="Output 7" xfId="40106"/>
    <cellStyle name="Output 7 2" xfId="40107"/>
    <cellStyle name="Output 7 2 2" xfId="40108"/>
    <cellStyle name="Output 7 2 2 2" xfId="40109"/>
    <cellStyle name="Output 7 2 2 3" xfId="40110"/>
    <cellStyle name="Output 7 2 3" xfId="40111"/>
    <cellStyle name="Output 7 2 4" xfId="40112"/>
    <cellStyle name="Output 7 3" xfId="40113"/>
    <cellStyle name="Output 7 3 2" xfId="40114"/>
    <cellStyle name="Output 7 3 2 2" xfId="40115"/>
    <cellStyle name="Output 7 3 2 3" xfId="40116"/>
    <cellStyle name="Output 7 3 3" xfId="40117"/>
    <cellStyle name="Output 7 3 4" xfId="40118"/>
    <cellStyle name="Output 7 4" xfId="40119"/>
    <cellStyle name="Output 7 4 2" xfId="40120"/>
    <cellStyle name="Output 7 4 3" xfId="40121"/>
    <cellStyle name="Output 7 5" xfId="40122"/>
    <cellStyle name="Output 7 6" xfId="40123"/>
    <cellStyle name="Output 8" xfId="40124"/>
    <cellStyle name="Output 8 2" xfId="40125"/>
    <cellStyle name="Output 8 2 2" xfId="40126"/>
    <cellStyle name="Output 8 2 2 2" xfId="40127"/>
    <cellStyle name="Output 8 2 2 3" xfId="40128"/>
    <cellStyle name="Output 8 2 3" xfId="40129"/>
    <cellStyle name="Output 8 2 4" xfId="40130"/>
    <cellStyle name="Output 8 3" xfId="40131"/>
    <cellStyle name="Output 8 3 2" xfId="40132"/>
    <cellStyle name="Output 8 3 2 2" xfId="40133"/>
    <cellStyle name="Output 8 3 2 3" xfId="40134"/>
    <cellStyle name="Output 8 3 3" xfId="40135"/>
    <cellStyle name="Output 8 3 4" xfId="40136"/>
    <cellStyle name="Output 8 4" xfId="40137"/>
    <cellStyle name="Output 8 4 2" xfId="40138"/>
    <cellStyle name="Output 8 4 3" xfId="40139"/>
    <cellStyle name="Output 8 5" xfId="40140"/>
    <cellStyle name="Output 8 6" xfId="40141"/>
    <cellStyle name="Output 9" xfId="40142"/>
    <cellStyle name="Output colorato" xfId="40143"/>
    <cellStyle name="Output_BD RECARGA" xfId="40144"/>
    <cellStyle name="OutputPlain" xfId="40145"/>
    <cellStyle name="Page Number" xfId="40146"/>
    <cellStyle name="Pagina" xfId="40147"/>
    <cellStyle name="Parentesi" xfId="40148"/>
    <cellStyle name="per.style" xfId="40149"/>
    <cellStyle name="Percent (0)" xfId="40150"/>
    <cellStyle name="Percent (0.0)" xfId="40151"/>
    <cellStyle name="Percent (0.0) 2" xfId="40152"/>
    <cellStyle name="Percent (0.0) 3" xfId="40153"/>
    <cellStyle name="Percent (0.0) 4" xfId="40154"/>
    <cellStyle name="Percent (0.0) 5" xfId="40155"/>
    <cellStyle name="Percent (0.0) 6" xfId="40156"/>
    <cellStyle name="Percent (0.0)_BD RECARGA" xfId="40157"/>
    <cellStyle name="Percent (0.00)" xfId="40158"/>
    <cellStyle name="Percent (M)" xfId="148"/>
    <cellStyle name="Percent (M) 2" xfId="40159"/>
    <cellStyle name="Percent [2]" xfId="149"/>
    <cellStyle name="Percent [2] 2" xfId="40160"/>
    <cellStyle name="Percent [2] 2 2" xfId="40161"/>
    <cellStyle name="Percent [2] 3" xfId="40162"/>
    <cellStyle name="Percent 2" xfId="40163"/>
    <cellStyle name="Percent 2 2" xfId="40164"/>
    <cellStyle name="Percent 3" xfId="40165"/>
    <cellStyle name="Percent 4" xfId="40166"/>
    <cellStyle name="Percent_PERSONAL" xfId="40167"/>
    <cellStyle name="Percentual" xfId="40168"/>
    <cellStyle name="PlainDollar" xfId="150"/>
    <cellStyle name="Ponto" xfId="40169"/>
    <cellStyle name="Porcentagem" xfId="3" builtinId="5"/>
    <cellStyle name="Porcentagem 10" xfId="40170"/>
    <cellStyle name="Porcentagem 10 2" xfId="40171"/>
    <cellStyle name="Porcentagem 11" xfId="40172"/>
    <cellStyle name="Porcentagem 11 2" xfId="40173"/>
    <cellStyle name="Porcentagem 11 3" xfId="40174"/>
    <cellStyle name="Porcentagem 12" xfId="40175"/>
    <cellStyle name="Porcentagem 13" xfId="40176"/>
    <cellStyle name="Porcentagem 14" xfId="40177"/>
    <cellStyle name="Porcentagem 15" xfId="40178"/>
    <cellStyle name="Porcentagem 16" xfId="40179"/>
    <cellStyle name="Porcentagem 17" xfId="40180"/>
    <cellStyle name="Porcentagem 18" xfId="40181"/>
    <cellStyle name="Porcentagem 18 2" xfId="40182"/>
    <cellStyle name="Porcentagem 19" xfId="40183"/>
    <cellStyle name="Porcentagem 2" xfId="151"/>
    <cellStyle name="Porcentagem 2 10" xfId="40184"/>
    <cellStyle name="Porcentagem 2 11" xfId="40185"/>
    <cellStyle name="Porcentagem 2 12" xfId="40186"/>
    <cellStyle name="Porcentagem 2 13" xfId="40187"/>
    <cellStyle name="Porcentagem 2 14" xfId="40188"/>
    <cellStyle name="Porcentagem 2 15" xfId="40189"/>
    <cellStyle name="Porcentagem 2 16" xfId="40190"/>
    <cellStyle name="Porcentagem 2 17" xfId="40191"/>
    <cellStyle name="Porcentagem 2 18" xfId="40192"/>
    <cellStyle name="Porcentagem 2 19" xfId="40193"/>
    <cellStyle name="Porcentagem 2 2" xfId="152"/>
    <cellStyle name="Porcentagem 2 2 10" xfId="40194"/>
    <cellStyle name="Porcentagem 2 2 11" xfId="40195"/>
    <cellStyle name="Porcentagem 2 2 12" xfId="40196"/>
    <cellStyle name="Porcentagem 2 2 13" xfId="40197"/>
    <cellStyle name="Porcentagem 2 2 14" xfId="40198"/>
    <cellStyle name="Porcentagem 2 2 15" xfId="40199"/>
    <cellStyle name="Porcentagem 2 2 16" xfId="40200"/>
    <cellStyle name="Porcentagem 2 2 17" xfId="40201"/>
    <cellStyle name="Porcentagem 2 2 18" xfId="40202"/>
    <cellStyle name="Porcentagem 2 2 19" xfId="40203"/>
    <cellStyle name="Porcentagem 2 2 2" xfId="40204"/>
    <cellStyle name="Porcentagem 2 2 2 2" xfId="40205"/>
    <cellStyle name="Porcentagem 2 2 3" xfId="40206"/>
    <cellStyle name="Porcentagem 2 2 4" xfId="40207"/>
    <cellStyle name="Porcentagem 2 2 5" xfId="40208"/>
    <cellStyle name="Porcentagem 2 2 6" xfId="40209"/>
    <cellStyle name="Porcentagem 2 2 7" xfId="40210"/>
    <cellStyle name="Porcentagem 2 2 8" xfId="40211"/>
    <cellStyle name="Porcentagem 2 2 9" xfId="40212"/>
    <cellStyle name="Porcentagem 2 20" xfId="40213"/>
    <cellStyle name="Porcentagem 2 21" xfId="40214"/>
    <cellStyle name="Porcentagem 2 22" xfId="40215"/>
    <cellStyle name="Porcentagem 2 3" xfId="391"/>
    <cellStyle name="Porcentagem 2 3 2" xfId="40216"/>
    <cellStyle name="Porcentagem 2 3 3" xfId="40217"/>
    <cellStyle name="Porcentagem 2 4" xfId="40218"/>
    <cellStyle name="Porcentagem 2 4 2" xfId="40219"/>
    <cellStyle name="Porcentagem 2 5" xfId="40220"/>
    <cellStyle name="Porcentagem 2 5 2" xfId="40221"/>
    <cellStyle name="Porcentagem 2 6" xfId="40222"/>
    <cellStyle name="Porcentagem 2 7" xfId="40223"/>
    <cellStyle name="Porcentagem 2 8" xfId="40224"/>
    <cellStyle name="Porcentagem 2 9" xfId="40225"/>
    <cellStyle name="Porcentagem 20" xfId="40226"/>
    <cellStyle name="Porcentagem 20 2" xfId="40227"/>
    <cellStyle name="Porcentagem 21" xfId="40228"/>
    <cellStyle name="Porcentagem 21 2" xfId="40229"/>
    <cellStyle name="Porcentagem 21 2 2" xfId="40230"/>
    <cellStyle name="Porcentagem 21 2 3" xfId="40231"/>
    <cellStyle name="Porcentagem 21 3" xfId="40232"/>
    <cellStyle name="Porcentagem 21 3 2" xfId="40233"/>
    <cellStyle name="Porcentagem 21 3 3" xfId="40234"/>
    <cellStyle name="Porcentagem 21 4" xfId="40235"/>
    <cellStyle name="Porcentagem 21 5" xfId="40236"/>
    <cellStyle name="Porcentagem 21 5 2" xfId="40237"/>
    <cellStyle name="Porcentagem 21 6" xfId="40238"/>
    <cellStyle name="Porcentagem 21 7" xfId="40239"/>
    <cellStyle name="Porcentagem 22" xfId="40240"/>
    <cellStyle name="Porcentagem 23" xfId="40241"/>
    <cellStyle name="Porcentagem 24" xfId="40242"/>
    <cellStyle name="Porcentagem 3" xfId="153"/>
    <cellStyle name="Porcentagem 3 10" xfId="40243"/>
    <cellStyle name="Porcentagem 3 11" xfId="40244"/>
    <cellStyle name="Porcentagem 3 12" xfId="40245"/>
    <cellStyle name="Porcentagem 3 13" xfId="40246"/>
    <cellStyle name="Porcentagem 3 14" xfId="40247"/>
    <cellStyle name="Porcentagem 3 15" xfId="40248"/>
    <cellStyle name="Porcentagem 3 16" xfId="40249"/>
    <cellStyle name="Porcentagem 3 17" xfId="40250"/>
    <cellStyle name="Porcentagem 3 18" xfId="40251"/>
    <cellStyle name="Porcentagem 3 19" xfId="40252"/>
    <cellStyle name="Porcentagem 3 2" xfId="40253"/>
    <cellStyle name="Porcentagem 3 2 2" xfId="40254"/>
    <cellStyle name="Porcentagem 3 20" xfId="40255"/>
    <cellStyle name="Porcentagem 3 21" xfId="40256"/>
    <cellStyle name="Porcentagem 3 22" xfId="40257"/>
    <cellStyle name="Porcentagem 3 23" xfId="40258"/>
    <cellStyle name="Porcentagem 3 3" xfId="40259"/>
    <cellStyle name="Porcentagem 3 4" xfId="40260"/>
    <cellStyle name="Porcentagem 3 5" xfId="40261"/>
    <cellStyle name="Porcentagem 3 6" xfId="40262"/>
    <cellStyle name="Porcentagem 3 7" xfId="40263"/>
    <cellStyle name="Porcentagem 3 8" xfId="40264"/>
    <cellStyle name="Porcentagem 3 8 2" xfId="40265"/>
    <cellStyle name="Porcentagem 3 9" xfId="40266"/>
    <cellStyle name="Porcentagem 4" xfId="40267"/>
    <cellStyle name="Porcentagem 4 2" xfId="40268"/>
    <cellStyle name="Porcentagem 4 3" xfId="40269"/>
    <cellStyle name="Porcentagem 4 4" xfId="40270"/>
    <cellStyle name="Porcentagem 5" xfId="40271"/>
    <cellStyle name="Porcentagem 5 2" xfId="40272"/>
    <cellStyle name="Porcentagem 5 2 2" xfId="40273"/>
    <cellStyle name="Porcentagem 5 2 2 2" xfId="40274"/>
    <cellStyle name="Porcentagem 5 2 2 3" xfId="40275"/>
    <cellStyle name="Porcentagem 5 2 3" xfId="40276"/>
    <cellStyle name="Porcentagem 5 2 3 2" xfId="40277"/>
    <cellStyle name="Porcentagem 5 2 4" xfId="40278"/>
    <cellStyle name="Porcentagem 5 3" xfId="40279"/>
    <cellStyle name="Porcentagem 5 3 2" xfId="40280"/>
    <cellStyle name="Porcentagem 5 3 2 2" xfId="40281"/>
    <cellStyle name="Porcentagem 5 3 3" xfId="40282"/>
    <cellStyle name="Porcentagem 5 3 4" xfId="40283"/>
    <cellStyle name="Porcentagem 5 4" xfId="40284"/>
    <cellStyle name="Porcentagem 5 4 2" xfId="40285"/>
    <cellStyle name="Porcentagem 5 5" xfId="40286"/>
    <cellStyle name="Porcentagem 5 5 2" xfId="40287"/>
    <cellStyle name="Porcentagem 5 5 3" xfId="40288"/>
    <cellStyle name="Porcentagem 5 6" xfId="40289"/>
    <cellStyle name="Porcentagem 5 7" xfId="40290"/>
    <cellStyle name="Porcentagem 5 8" xfId="40291"/>
    <cellStyle name="Porcentagem 6" xfId="40292"/>
    <cellStyle name="Porcentagem 6 2" xfId="40293"/>
    <cellStyle name="Porcentagem 6 3" xfId="40294"/>
    <cellStyle name="Porcentagem 6 4" xfId="40295"/>
    <cellStyle name="Porcentagem 7" xfId="40296"/>
    <cellStyle name="Porcentagem 7 2" xfId="40297"/>
    <cellStyle name="Porcentagem 7 2 2" xfId="40298"/>
    <cellStyle name="Porcentagem 7 3" xfId="40299"/>
    <cellStyle name="Porcentagem 8" xfId="40300"/>
    <cellStyle name="Porcentagem 8 10" xfId="40301"/>
    <cellStyle name="Porcentagem 8 11" xfId="40302"/>
    <cellStyle name="Porcentagem 8 12" xfId="40303"/>
    <cellStyle name="Porcentagem 8 13" xfId="40304"/>
    <cellStyle name="Porcentagem 8 14" xfId="40305"/>
    <cellStyle name="Porcentagem 8 15" xfId="40306"/>
    <cellStyle name="Porcentagem 8 16" xfId="40307"/>
    <cellStyle name="Porcentagem 8 17" xfId="40308"/>
    <cellStyle name="Porcentagem 8 18" xfId="40309"/>
    <cellStyle name="Porcentagem 8 19" xfId="40310"/>
    <cellStyle name="Porcentagem 8 2" xfId="40311"/>
    <cellStyle name="Porcentagem 8 2 10" xfId="40312"/>
    <cellStyle name="Porcentagem 8 2 11" xfId="40313"/>
    <cellStyle name="Porcentagem 8 2 12" xfId="40314"/>
    <cellStyle name="Porcentagem 8 2 13" xfId="40315"/>
    <cellStyle name="Porcentagem 8 2 14" xfId="40316"/>
    <cellStyle name="Porcentagem 8 2 15" xfId="40317"/>
    <cellStyle name="Porcentagem 8 2 16" xfId="40318"/>
    <cellStyle name="Porcentagem 8 2 17" xfId="40319"/>
    <cellStyle name="Porcentagem 8 2 18" xfId="40320"/>
    <cellStyle name="Porcentagem 8 2 19" xfId="40321"/>
    <cellStyle name="Porcentagem 8 2 2" xfId="40322"/>
    <cellStyle name="Porcentagem 8 2 20" xfId="40323"/>
    <cellStyle name="Porcentagem 8 2 21" xfId="40324"/>
    <cellStyle name="Porcentagem 8 2 22" xfId="40325"/>
    <cellStyle name="Porcentagem 8 2 23" xfId="40326"/>
    <cellStyle name="Porcentagem 8 2 24" xfId="40327"/>
    <cellStyle name="Porcentagem 8 2 25" xfId="40328"/>
    <cellStyle name="Porcentagem 8 2 26" xfId="40329"/>
    <cellStyle name="Porcentagem 8 2 27" xfId="40330"/>
    <cellStyle name="Porcentagem 8 2 28" xfId="40331"/>
    <cellStyle name="Porcentagem 8 2 29" xfId="40332"/>
    <cellStyle name="Porcentagem 8 2 3" xfId="40333"/>
    <cellStyle name="Porcentagem 8 2 30" xfId="40334"/>
    <cellStyle name="Porcentagem 8 2 31" xfId="40335"/>
    <cellStyle name="Porcentagem 8 2 32" xfId="40336"/>
    <cellStyle name="Porcentagem 8 2 33" xfId="40337"/>
    <cellStyle name="Porcentagem 8 2 34" xfId="40338"/>
    <cellStyle name="Porcentagem 8 2 35" xfId="40339"/>
    <cellStyle name="Porcentagem 8 2 4" xfId="40340"/>
    <cellStyle name="Porcentagem 8 2 5" xfId="40341"/>
    <cellStyle name="Porcentagem 8 2 6" xfId="40342"/>
    <cellStyle name="Porcentagem 8 2 7" xfId="40343"/>
    <cellStyle name="Porcentagem 8 2 8" xfId="40344"/>
    <cellStyle name="Porcentagem 8 2 9" xfId="40345"/>
    <cellStyle name="Porcentagem 8 20" xfId="40346"/>
    <cellStyle name="Porcentagem 8 21" xfId="40347"/>
    <cellStyle name="Porcentagem 8 22" xfId="40348"/>
    <cellStyle name="Porcentagem 8 23" xfId="40349"/>
    <cellStyle name="Porcentagem 8 24" xfId="40350"/>
    <cellStyle name="Porcentagem 8 25" xfId="40351"/>
    <cellStyle name="Porcentagem 8 26" xfId="40352"/>
    <cellStyle name="Porcentagem 8 27" xfId="40353"/>
    <cellStyle name="Porcentagem 8 28" xfId="40354"/>
    <cellStyle name="Porcentagem 8 29" xfId="40355"/>
    <cellStyle name="Porcentagem 8 3" xfId="40356"/>
    <cellStyle name="Porcentagem 8 3 10" xfId="40357"/>
    <cellStyle name="Porcentagem 8 3 11" xfId="40358"/>
    <cellStyle name="Porcentagem 8 3 12" xfId="40359"/>
    <cellStyle name="Porcentagem 8 3 13" xfId="40360"/>
    <cellStyle name="Porcentagem 8 3 14" xfId="40361"/>
    <cellStyle name="Porcentagem 8 3 15" xfId="40362"/>
    <cellStyle name="Porcentagem 8 3 16" xfId="40363"/>
    <cellStyle name="Porcentagem 8 3 17" xfId="40364"/>
    <cellStyle name="Porcentagem 8 3 18" xfId="40365"/>
    <cellStyle name="Porcentagem 8 3 19" xfId="40366"/>
    <cellStyle name="Porcentagem 8 3 2" xfId="40367"/>
    <cellStyle name="Porcentagem 8 3 20" xfId="40368"/>
    <cellStyle name="Porcentagem 8 3 21" xfId="40369"/>
    <cellStyle name="Porcentagem 8 3 22" xfId="40370"/>
    <cellStyle name="Porcentagem 8 3 23" xfId="40371"/>
    <cellStyle name="Porcentagem 8 3 24" xfId="40372"/>
    <cellStyle name="Porcentagem 8 3 25" xfId="40373"/>
    <cellStyle name="Porcentagem 8 3 26" xfId="40374"/>
    <cellStyle name="Porcentagem 8 3 27" xfId="40375"/>
    <cellStyle name="Porcentagem 8 3 28" xfId="40376"/>
    <cellStyle name="Porcentagem 8 3 29" xfId="40377"/>
    <cellStyle name="Porcentagem 8 3 3" xfId="40378"/>
    <cellStyle name="Porcentagem 8 3 30" xfId="40379"/>
    <cellStyle name="Porcentagem 8 3 31" xfId="40380"/>
    <cellStyle name="Porcentagem 8 3 32" xfId="40381"/>
    <cellStyle name="Porcentagem 8 3 33" xfId="40382"/>
    <cellStyle name="Porcentagem 8 3 34" xfId="40383"/>
    <cellStyle name="Porcentagem 8 3 35" xfId="40384"/>
    <cellStyle name="Porcentagem 8 3 4" xfId="40385"/>
    <cellStyle name="Porcentagem 8 3 5" xfId="40386"/>
    <cellStyle name="Porcentagem 8 3 6" xfId="40387"/>
    <cellStyle name="Porcentagem 8 3 7" xfId="40388"/>
    <cellStyle name="Porcentagem 8 3 8" xfId="40389"/>
    <cellStyle name="Porcentagem 8 3 9" xfId="40390"/>
    <cellStyle name="Porcentagem 8 30" xfId="40391"/>
    <cellStyle name="Porcentagem 8 31" xfId="40392"/>
    <cellStyle name="Porcentagem 8 32" xfId="40393"/>
    <cellStyle name="Porcentagem 8 33" xfId="40394"/>
    <cellStyle name="Porcentagem 8 34" xfId="40395"/>
    <cellStyle name="Porcentagem 8 35" xfId="40396"/>
    <cellStyle name="Porcentagem 8 36" xfId="40397"/>
    <cellStyle name="Porcentagem 8 37" xfId="40398"/>
    <cellStyle name="Porcentagem 8 38" xfId="40399"/>
    <cellStyle name="Porcentagem 8 39" xfId="40400"/>
    <cellStyle name="Porcentagem 8 4" xfId="40401"/>
    <cellStyle name="Porcentagem 8 4 10" xfId="40402"/>
    <cellStyle name="Porcentagem 8 4 11" xfId="40403"/>
    <cellStyle name="Porcentagem 8 4 12" xfId="40404"/>
    <cellStyle name="Porcentagem 8 4 13" xfId="40405"/>
    <cellStyle name="Porcentagem 8 4 14" xfId="40406"/>
    <cellStyle name="Porcentagem 8 4 15" xfId="40407"/>
    <cellStyle name="Porcentagem 8 4 16" xfId="40408"/>
    <cellStyle name="Porcentagem 8 4 17" xfId="40409"/>
    <cellStyle name="Porcentagem 8 4 18" xfId="40410"/>
    <cellStyle name="Porcentagem 8 4 19" xfId="40411"/>
    <cellStyle name="Porcentagem 8 4 2" xfId="40412"/>
    <cellStyle name="Porcentagem 8 4 20" xfId="40413"/>
    <cellStyle name="Porcentagem 8 4 21" xfId="40414"/>
    <cellStyle name="Porcentagem 8 4 22" xfId="40415"/>
    <cellStyle name="Porcentagem 8 4 23" xfId="40416"/>
    <cellStyle name="Porcentagem 8 4 24" xfId="40417"/>
    <cellStyle name="Porcentagem 8 4 25" xfId="40418"/>
    <cellStyle name="Porcentagem 8 4 26" xfId="40419"/>
    <cellStyle name="Porcentagem 8 4 27" xfId="40420"/>
    <cellStyle name="Porcentagem 8 4 28" xfId="40421"/>
    <cellStyle name="Porcentagem 8 4 29" xfId="40422"/>
    <cellStyle name="Porcentagem 8 4 3" xfId="40423"/>
    <cellStyle name="Porcentagem 8 4 30" xfId="40424"/>
    <cellStyle name="Porcentagem 8 4 31" xfId="40425"/>
    <cellStyle name="Porcentagem 8 4 32" xfId="40426"/>
    <cellStyle name="Porcentagem 8 4 33" xfId="40427"/>
    <cellStyle name="Porcentagem 8 4 34" xfId="40428"/>
    <cellStyle name="Porcentagem 8 4 35" xfId="40429"/>
    <cellStyle name="Porcentagem 8 4 4" xfId="40430"/>
    <cellStyle name="Porcentagem 8 4 5" xfId="40431"/>
    <cellStyle name="Porcentagem 8 4 6" xfId="40432"/>
    <cellStyle name="Porcentagem 8 4 7" xfId="40433"/>
    <cellStyle name="Porcentagem 8 4 8" xfId="40434"/>
    <cellStyle name="Porcentagem 8 4 9" xfId="40435"/>
    <cellStyle name="Porcentagem 8 40" xfId="40436"/>
    <cellStyle name="Porcentagem 8 41" xfId="40437"/>
    <cellStyle name="Porcentagem 8 5" xfId="40438"/>
    <cellStyle name="Porcentagem 8 5 10" xfId="40439"/>
    <cellStyle name="Porcentagem 8 5 11" xfId="40440"/>
    <cellStyle name="Porcentagem 8 5 12" xfId="40441"/>
    <cellStyle name="Porcentagem 8 5 13" xfId="40442"/>
    <cellStyle name="Porcentagem 8 5 14" xfId="40443"/>
    <cellStyle name="Porcentagem 8 5 15" xfId="40444"/>
    <cellStyle name="Porcentagem 8 5 16" xfId="40445"/>
    <cellStyle name="Porcentagem 8 5 17" xfId="40446"/>
    <cellStyle name="Porcentagem 8 5 18" xfId="40447"/>
    <cellStyle name="Porcentagem 8 5 19" xfId="40448"/>
    <cellStyle name="Porcentagem 8 5 2" xfId="40449"/>
    <cellStyle name="Porcentagem 8 5 20" xfId="40450"/>
    <cellStyle name="Porcentagem 8 5 21" xfId="40451"/>
    <cellStyle name="Porcentagem 8 5 22" xfId="40452"/>
    <cellStyle name="Porcentagem 8 5 23" xfId="40453"/>
    <cellStyle name="Porcentagem 8 5 24" xfId="40454"/>
    <cellStyle name="Porcentagem 8 5 25" xfId="40455"/>
    <cellStyle name="Porcentagem 8 5 26" xfId="40456"/>
    <cellStyle name="Porcentagem 8 5 27" xfId="40457"/>
    <cellStyle name="Porcentagem 8 5 28" xfId="40458"/>
    <cellStyle name="Porcentagem 8 5 29" xfId="40459"/>
    <cellStyle name="Porcentagem 8 5 3" xfId="40460"/>
    <cellStyle name="Porcentagem 8 5 30" xfId="40461"/>
    <cellStyle name="Porcentagem 8 5 31" xfId="40462"/>
    <cellStyle name="Porcentagem 8 5 32" xfId="40463"/>
    <cellStyle name="Porcentagem 8 5 33" xfId="40464"/>
    <cellStyle name="Porcentagem 8 5 34" xfId="40465"/>
    <cellStyle name="Porcentagem 8 5 35" xfId="40466"/>
    <cellStyle name="Porcentagem 8 5 4" xfId="40467"/>
    <cellStyle name="Porcentagem 8 5 5" xfId="40468"/>
    <cellStyle name="Porcentagem 8 5 6" xfId="40469"/>
    <cellStyle name="Porcentagem 8 5 7" xfId="40470"/>
    <cellStyle name="Porcentagem 8 5 8" xfId="40471"/>
    <cellStyle name="Porcentagem 8 5 9" xfId="40472"/>
    <cellStyle name="Porcentagem 8 6" xfId="40473"/>
    <cellStyle name="Porcentagem 8 6 10" xfId="40474"/>
    <cellStyle name="Porcentagem 8 6 11" xfId="40475"/>
    <cellStyle name="Porcentagem 8 6 12" xfId="40476"/>
    <cellStyle name="Porcentagem 8 6 13" xfId="40477"/>
    <cellStyle name="Porcentagem 8 6 14" xfId="40478"/>
    <cellStyle name="Porcentagem 8 6 15" xfId="40479"/>
    <cellStyle name="Porcentagem 8 6 16" xfId="40480"/>
    <cellStyle name="Porcentagem 8 6 17" xfId="40481"/>
    <cellStyle name="Porcentagem 8 6 18" xfId="40482"/>
    <cellStyle name="Porcentagem 8 6 19" xfId="40483"/>
    <cellStyle name="Porcentagem 8 6 2" xfId="40484"/>
    <cellStyle name="Porcentagem 8 6 20" xfId="40485"/>
    <cellStyle name="Porcentagem 8 6 21" xfId="40486"/>
    <cellStyle name="Porcentagem 8 6 22" xfId="40487"/>
    <cellStyle name="Porcentagem 8 6 23" xfId="40488"/>
    <cellStyle name="Porcentagem 8 6 24" xfId="40489"/>
    <cellStyle name="Porcentagem 8 6 25" xfId="40490"/>
    <cellStyle name="Porcentagem 8 6 26" xfId="40491"/>
    <cellStyle name="Porcentagem 8 6 27" xfId="40492"/>
    <cellStyle name="Porcentagem 8 6 28" xfId="40493"/>
    <cellStyle name="Porcentagem 8 6 29" xfId="40494"/>
    <cellStyle name="Porcentagem 8 6 3" xfId="40495"/>
    <cellStyle name="Porcentagem 8 6 30" xfId="40496"/>
    <cellStyle name="Porcentagem 8 6 31" xfId="40497"/>
    <cellStyle name="Porcentagem 8 6 32" xfId="40498"/>
    <cellStyle name="Porcentagem 8 6 33" xfId="40499"/>
    <cellStyle name="Porcentagem 8 6 34" xfId="40500"/>
    <cellStyle name="Porcentagem 8 6 35" xfId="40501"/>
    <cellStyle name="Porcentagem 8 6 4" xfId="40502"/>
    <cellStyle name="Porcentagem 8 6 5" xfId="40503"/>
    <cellStyle name="Porcentagem 8 6 6" xfId="40504"/>
    <cellStyle name="Porcentagem 8 6 7" xfId="40505"/>
    <cellStyle name="Porcentagem 8 6 8" xfId="40506"/>
    <cellStyle name="Porcentagem 8 6 9" xfId="40507"/>
    <cellStyle name="Porcentagem 8 7" xfId="40508"/>
    <cellStyle name="Porcentagem 8 8" xfId="40509"/>
    <cellStyle name="Porcentagem 8 9" xfId="40510"/>
    <cellStyle name="Porcentagem 9" xfId="40511"/>
    <cellStyle name="Porcentagem 9 10" xfId="40512"/>
    <cellStyle name="Porcentagem 9 11" xfId="40513"/>
    <cellStyle name="Porcentagem 9 12" xfId="40514"/>
    <cellStyle name="Porcentagem 9 13" xfId="40515"/>
    <cellStyle name="Porcentagem 9 14" xfId="40516"/>
    <cellStyle name="Porcentagem 9 15" xfId="40517"/>
    <cellStyle name="Porcentagem 9 16" xfId="40518"/>
    <cellStyle name="Porcentagem 9 17" xfId="40519"/>
    <cellStyle name="Porcentagem 9 18" xfId="40520"/>
    <cellStyle name="Porcentagem 9 19" xfId="40521"/>
    <cellStyle name="Porcentagem 9 2" xfId="40522"/>
    <cellStyle name="Porcentagem 9 20" xfId="40523"/>
    <cellStyle name="Porcentagem 9 21" xfId="40524"/>
    <cellStyle name="Porcentagem 9 22" xfId="40525"/>
    <cellStyle name="Porcentagem 9 23" xfId="40526"/>
    <cellStyle name="Porcentagem 9 24" xfId="40527"/>
    <cellStyle name="Porcentagem 9 25" xfId="40528"/>
    <cellStyle name="Porcentagem 9 26" xfId="40529"/>
    <cellStyle name="Porcentagem 9 27" xfId="40530"/>
    <cellStyle name="Porcentagem 9 28" xfId="40531"/>
    <cellStyle name="Porcentagem 9 29" xfId="40532"/>
    <cellStyle name="Porcentagem 9 3" xfId="40533"/>
    <cellStyle name="Porcentagem 9 30" xfId="40534"/>
    <cellStyle name="Porcentagem 9 31" xfId="40535"/>
    <cellStyle name="Porcentagem 9 32" xfId="40536"/>
    <cellStyle name="Porcentagem 9 33" xfId="40537"/>
    <cellStyle name="Porcentagem 9 34" xfId="40538"/>
    <cellStyle name="Porcentagem 9 35" xfId="40539"/>
    <cellStyle name="Porcentagem 9 4" xfId="40540"/>
    <cellStyle name="Porcentagem 9 5" xfId="40541"/>
    <cellStyle name="Porcentagem 9 6" xfId="40542"/>
    <cellStyle name="Porcentagem 9 7" xfId="40543"/>
    <cellStyle name="Porcentagem 9 8" xfId="40544"/>
    <cellStyle name="Porcentagem 9 9" xfId="40545"/>
    <cellStyle name="Porcentagem%" xfId="40546"/>
    <cellStyle name="Porcentagem% 2" xfId="40547"/>
    <cellStyle name="Porcentagem% 2 2" xfId="40548"/>
    <cellStyle name="Porcentagem% 3" xfId="40549"/>
    <cellStyle name="Porcentaje" xfId="154"/>
    <cellStyle name="Porcentaje 2" xfId="40550"/>
    <cellStyle name="Porcentaje 3" xfId="40551"/>
    <cellStyle name="Porcentaje 4" xfId="40552"/>
    <cellStyle name="Porcentaje 5" xfId="40553"/>
    <cellStyle name="Porcentaje 6" xfId="40554"/>
    <cellStyle name="Porcentaje 7" xfId="40555"/>
    <cellStyle name="Porcentaje_BD RECARGA" xfId="40556"/>
    <cellStyle name="Porcentual_Modelo_19-06" xfId="40557"/>
    <cellStyle name="Pricing" xfId="155"/>
    <cellStyle name="Pricing 10" xfId="156"/>
    <cellStyle name="Pricing 11" xfId="157"/>
    <cellStyle name="Pricing 12" xfId="158"/>
    <cellStyle name="Pricing 13" xfId="159"/>
    <cellStyle name="Pricing 14" xfId="160"/>
    <cellStyle name="Pricing 15" xfId="161"/>
    <cellStyle name="Pricing 16" xfId="162"/>
    <cellStyle name="Pricing 17" xfId="163"/>
    <cellStyle name="Pricing 18" xfId="164"/>
    <cellStyle name="Pricing 19" xfId="165"/>
    <cellStyle name="Pricing 2" xfId="166"/>
    <cellStyle name="Pricing 20" xfId="167"/>
    <cellStyle name="Pricing 21" xfId="168"/>
    <cellStyle name="Pricing 22" xfId="169"/>
    <cellStyle name="Pricing 23" xfId="170"/>
    <cellStyle name="Pricing 24" xfId="171"/>
    <cellStyle name="Pricing 25" xfId="172"/>
    <cellStyle name="Pricing 26" xfId="173"/>
    <cellStyle name="Pricing 27" xfId="174"/>
    <cellStyle name="Pricing 28" xfId="175"/>
    <cellStyle name="Pricing 29" xfId="40558"/>
    <cellStyle name="Pricing 3" xfId="176"/>
    <cellStyle name="Pricing 4" xfId="177"/>
    <cellStyle name="Pricing 5" xfId="178"/>
    <cellStyle name="Pricing 6" xfId="179"/>
    <cellStyle name="Pricing 7" xfId="180"/>
    <cellStyle name="Pricing 8" xfId="181"/>
    <cellStyle name="Pricing 9" xfId="182"/>
    <cellStyle name="PSChar" xfId="183"/>
    <cellStyle name="PSChar 2" xfId="40559"/>
    <cellStyle name="PSDate" xfId="184"/>
    <cellStyle name="PSDec" xfId="185"/>
    <cellStyle name="PSHeading" xfId="186"/>
    <cellStyle name="PSHeading 2" xfId="40560"/>
    <cellStyle name="PSInt" xfId="187"/>
    <cellStyle name="PSSpacer" xfId="188"/>
    <cellStyle name="PSSpacer 2" xfId="40561"/>
    <cellStyle name="ŗ" xfId="40562"/>
    <cellStyle name="Red Text" xfId="40563"/>
    <cellStyle name="Red Text 2" xfId="40564"/>
    <cellStyle name="Red Text 3" xfId="40565"/>
    <cellStyle name="Ref Numbers" xfId="40566"/>
    <cellStyle name="RM" xfId="189"/>
    <cellStyle name="RM 2" xfId="40567"/>
    <cellStyle name="RM 3" xfId="40568"/>
    <cellStyle name="RM 4" xfId="40569"/>
    <cellStyle name="RM 5" xfId="40570"/>
    <cellStyle name="RM 6" xfId="40571"/>
    <cellStyle name="RM 7" xfId="40572"/>
    <cellStyle name="RM_BD RECARGA" xfId="40573"/>
    <cellStyle name="rodape" xfId="40574"/>
    <cellStyle name="rodape 2" xfId="40575"/>
    <cellStyle name="rodape 2 2" xfId="40576"/>
    <cellStyle name="rodape 2 3" xfId="40577"/>
    <cellStyle name="rodape 3" xfId="40578"/>
    <cellStyle name="rodape 4" xfId="40579"/>
    <cellStyle name="RowLabels" xfId="40580"/>
    <cellStyle name="Saída 10" xfId="40581"/>
    <cellStyle name="Saída 10 2" xfId="40582"/>
    <cellStyle name="Saída 10 2 2" xfId="40583"/>
    <cellStyle name="Saída 10 2 2 2" xfId="40584"/>
    <cellStyle name="Saída 10 2 2 3" xfId="40585"/>
    <cellStyle name="Saída 10 2 3" xfId="40586"/>
    <cellStyle name="Saída 10 2 4" xfId="40587"/>
    <cellStyle name="Saída 10 3" xfId="40588"/>
    <cellStyle name="Saída 10 3 2" xfId="40589"/>
    <cellStyle name="Saída 10 3 2 2" xfId="40590"/>
    <cellStyle name="Saída 10 3 2 3" xfId="40591"/>
    <cellStyle name="Saída 10 3 3" xfId="40592"/>
    <cellStyle name="Saída 10 3 4" xfId="40593"/>
    <cellStyle name="Saída 10 4" xfId="40594"/>
    <cellStyle name="Saída 10 4 2" xfId="40595"/>
    <cellStyle name="Saída 10 4 3" xfId="40596"/>
    <cellStyle name="Saída 10 5" xfId="40597"/>
    <cellStyle name="Saída 10 6" xfId="40598"/>
    <cellStyle name="Saída 11" xfId="40599"/>
    <cellStyle name="Saída 11 2" xfId="40600"/>
    <cellStyle name="Saída 11 2 2" xfId="40601"/>
    <cellStyle name="Saída 11 2 2 2" xfId="40602"/>
    <cellStyle name="Saída 11 2 2 3" xfId="40603"/>
    <cellStyle name="Saída 11 2 3" xfId="40604"/>
    <cellStyle name="Saída 11 2 4" xfId="40605"/>
    <cellStyle name="Saída 11 3" xfId="40606"/>
    <cellStyle name="Saída 11 3 2" xfId="40607"/>
    <cellStyle name="Saída 11 3 2 2" xfId="40608"/>
    <cellStyle name="Saída 11 3 2 3" xfId="40609"/>
    <cellStyle name="Saída 11 3 3" xfId="40610"/>
    <cellStyle name="Saída 11 3 4" xfId="40611"/>
    <cellStyle name="Saída 11 4" xfId="40612"/>
    <cellStyle name="Saída 11 4 2" xfId="40613"/>
    <cellStyle name="Saída 11 4 3" xfId="40614"/>
    <cellStyle name="Saída 11 5" xfId="40615"/>
    <cellStyle name="Saída 11 6" xfId="40616"/>
    <cellStyle name="Saída 12" xfId="40617"/>
    <cellStyle name="Saída 12 2" xfId="40618"/>
    <cellStyle name="Saída 12 2 2" xfId="40619"/>
    <cellStyle name="Saída 12 2 2 2" xfId="40620"/>
    <cellStyle name="Saída 12 2 2 3" xfId="40621"/>
    <cellStyle name="Saída 12 2 3" xfId="40622"/>
    <cellStyle name="Saída 12 2 4" xfId="40623"/>
    <cellStyle name="Saída 12 3" xfId="40624"/>
    <cellStyle name="Saída 12 3 2" xfId="40625"/>
    <cellStyle name="Saída 12 3 2 2" xfId="40626"/>
    <cellStyle name="Saída 12 3 2 3" xfId="40627"/>
    <cellStyle name="Saída 12 3 3" xfId="40628"/>
    <cellStyle name="Saída 12 3 4" xfId="40629"/>
    <cellStyle name="Saída 12 4" xfId="40630"/>
    <cellStyle name="Saída 12 4 2" xfId="40631"/>
    <cellStyle name="Saída 12 4 3" xfId="40632"/>
    <cellStyle name="Saída 12 5" xfId="40633"/>
    <cellStyle name="Saída 12 6" xfId="40634"/>
    <cellStyle name="Saída 13" xfId="40635"/>
    <cellStyle name="Saída 13 2" xfId="40636"/>
    <cellStyle name="Saída 13 2 2" xfId="40637"/>
    <cellStyle name="Saída 13 2 2 2" xfId="40638"/>
    <cellStyle name="Saída 13 2 2 3" xfId="40639"/>
    <cellStyle name="Saída 13 2 3" xfId="40640"/>
    <cellStyle name="Saída 13 2 4" xfId="40641"/>
    <cellStyle name="Saída 13 3" xfId="40642"/>
    <cellStyle name="Saída 13 3 2" xfId="40643"/>
    <cellStyle name="Saída 13 3 2 2" xfId="40644"/>
    <cellStyle name="Saída 13 3 2 3" xfId="40645"/>
    <cellStyle name="Saída 13 3 3" xfId="40646"/>
    <cellStyle name="Saída 13 3 4" xfId="40647"/>
    <cellStyle name="Saída 13 4" xfId="40648"/>
    <cellStyle name="Saída 13 4 2" xfId="40649"/>
    <cellStyle name="Saída 13 4 3" xfId="40650"/>
    <cellStyle name="Saída 13 5" xfId="40651"/>
    <cellStyle name="Saída 13 6" xfId="40652"/>
    <cellStyle name="Saída 14" xfId="40653"/>
    <cellStyle name="Saída 14 2" xfId="40654"/>
    <cellStyle name="Saída 14 2 2" xfId="40655"/>
    <cellStyle name="Saída 14 2 2 2" xfId="40656"/>
    <cellStyle name="Saída 14 2 2 3" xfId="40657"/>
    <cellStyle name="Saída 14 2 3" xfId="40658"/>
    <cellStyle name="Saída 14 2 4" xfId="40659"/>
    <cellStyle name="Saída 14 3" xfId="40660"/>
    <cellStyle name="Saída 14 3 2" xfId="40661"/>
    <cellStyle name="Saída 14 3 2 2" xfId="40662"/>
    <cellStyle name="Saída 14 3 2 3" xfId="40663"/>
    <cellStyle name="Saída 14 3 3" xfId="40664"/>
    <cellStyle name="Saída 14 3 4" xfId="40665"/>
    <cellStyle name="Saída 14 4" xfId="40666"/>
    <cellStyle name="Saída 14 4 2" xfId="40667"/>
    <cellStyle name="Saída 14 4 3" xfId="40668"/>
    <cellStyle name="Saída 14 5" xfId="40669"/>
    <cellStyle name="Saída 14 6" xfId="40670"/>
    <cellStyle name="Saída 2" xfId="40671"/>
    <cellStyle name="Saída 2 10" xfId="40672"/>
    <cellStyle name="Saída 2 10 2" xfId="40673"/>
    <cellStyle name="Saída 2 10 2 2" xfId="40674"/>
    <cellStyle name="Saída 2 10 2 3" xfId="40675"/>
    <cellStyle name="Saída 2 10 3" xfId="40676"/>
    <cellStyle name="Saída 2 10 4" xfId="40677"/>
    <cellStyle name="Saída 2 11" xfId="40678"/>
    <cellStyle name="Saída 2 11 2" xfId="40679"/>
    <cellStyle name="Saída 2 11 2 2" xfId="40680"/>
    <cellStyle name="Saída 2 11 2 3" xfId="40681"/>
    <cellStyle name="Saída 2 11 3" xfId="40682"/>
    <cellStyle name="Saída 2 11 4" xfId="40683"/>
    <cellStyle name="Saída 2 12" xfId="40684"/>
    <cellStyle name="Saída 2 12 2" xfId="40685"/>
    <cellStyle name="Saída 2 12 2 2" xfId="40686"/>
    <cellStyle name="Saída 2 12 2 3" xfId="40687"/>
    <cellStyle name="Saída 2 12 3" xfId="40688"/>
    <cellStyle name="Saída 2 12 4" xfId="40689"/>
    <cellStyle name="Saída 2 13" xfId="40690"/>
    <cellStyle name="Saída 2 13 2" xfId="40691"/>
    <cellStyle name="Saída 2 13 2 2" xfId="40692"/>
    <cellStyle name="Saída 2 13 2 3" xfId="40693"/>
    <cellStyle name="Saída 2 13 3" xfId="40694"/>
    <cellStyle name="Saída 2 13 4" xfId="40695"/>
    <cellStyle name="Saída 2 14" xfId="40696"/>
    <cellStyle name="Saída 2 14 2" xfId="40697"/>
    <cellStyle name="Saída 2 14 2 2" xfId="40698"/>
    <cellStyle name="Saída 2 14 2 3" xfId="40699"/>
    <cellStyle name="Saída 2 14 3" xfId="40700"/>
    <cellStyle name="Saída 2 14 4" xfId="40701"/>
    <cellStyle name="Saída 2 15" xfId="40702"/>
    <cellStyle name="Saída 2 15 2" xfId="40703"/>
    <cellStyle name="Saída 2 15 2 2" xfId="40704"/>
    <cellStyle name="Saída 2 15 2 3" xfId="40705"/>
    <cellStyle name="Saída 2 15 3" xfId="40706"/>
    <cellStyle name="Saída 2 15 4" xfId="40707"/>
    <cellStyle name="Saída 2 16" xfId="40708"/>
    <cellStyle name="Saída 2 16 2" xfId="40709"/>
    <cellStyle name="Saída 2 16 2 2" xfId="40710"/>
    <cellStyle name="Saída 2 16 2 3" xfId="40711"/>
    <cellStyle name="Saída 2 16 3" xfId="40712"/>
    <cellStyle name="Saída 2 16 4" xfId="40713"/>
    <cellStyle name="Saída 2 17" xfId="40714"/>
    <cellStyle name="Saída 2 17 2" xfId="40715"/>
    <cellStyle name="Saída 2 17 2 2" xfId="40716"/>
    <cellStyle name="Saída 2 17 2 3" xfId="40717"/>
    <cellStyle name="Saída 2 17 3" xfId="40718"/>
    <cellStyle name="Saída 2 17 4" xfId="40719"/>
    <cellStyle name="Saída 2 18" xfId="40720"/>
    <cellStyle name="Saída 2 18 2" xfId="40721"/>
    <cellStyle name="Saída 2 18 2 2" xfId="40722"/>
    <cellStyle name="Saída 2 18 2 3" xfId="40723"/>
    <cellStyle name="Saída 2 18 3" xfId="40724"/>
    <cellStyle name="Saída 2 18 4" xfId="40725"/>
    <cellStyle name="Saída 2 19" xfId="40726"/>
    <cellStyle name="Saída 2 19 2" xfId="40727"/>
    <cellStyle name="Saída 2 19 2 2" xfId="40728"/>
    <cellStyle name="Saída 2 19 2 3" xfId="40729"/>
    <cellStyle name="Saída 2 19 3" xfId="40730"/>
    <cellStyle name="Saída 2 19 4" xfId="40731"/>
    <cellStyle name="Saída 2 2" xfId="40732"/>
    <cellStyle name="Saída 2 2 10" xfId="40733"/>
    <cellStyle name="Saída 2 2 10 2" xfId="40734"/>
    <cellStyle name="Saída 2 2 10 2 2" xfId="40735"/>
    <cellStyle name="Saída 2 2 10 2 3" xfId="40736"/>
    <cellStyle name="Saída 2 2 10 3" xfId="40737"/>
    <cellStyle name="Saída 2 2 10 4" xfId="40738"/>
    <cellStyle name="Saída 2 2 11" xfId="40739"/>
    <cellStyle name="Saída 2 2 11 2" xfId="40740"/>
    <cellStyle name="Saída 2 2 11 2 2" xfId="40741"/>
    <cellStyle name="Saída 2 2 11 2 3" xfId="40742"/>
    <cellStyle name="Saída 2 2 11 3" xfId="40743"/>
    <cellStyle name="Saída 2 2 11 4" xfId="40744"/>
    <cellStyle name="Saída 2 2 12" xfId="40745"/>
    <cellStyle name="Saída 2 2 12 2" xfId="40746"/>
    <cellStyle name="Saída 2 2 12 2 2" xfId="40747"/>
    <cellStyle name="Saída 2 2 12 2 3" xfId="40748"/>
    <cellStyle name="Saída 2 2 12 3" xfId="40749"/>
    <cellStyle name="Saída 2 2 12 4" xfId="40750"/>
    <cellStyle name="Saída 2 2 13" xfId="40751"/>
    <cellStyle name="Saída 2 2 13 2" xfId="40752"/>
    <cellStyle name="Saída 2 2 13 2 2" xfId="40753"/>
    <cellStyle name="Saída 2 2 13 2 3" xfId="40754"/>
    <cellStyle name="Saída 2 2 13 3" xfId="40755"/>
    <cellStyle name="Saída 2 2 13 4" xfId="40756"/>
    <cellStyle name="Saída 2 2 14" xfId="40757"/>
    <cellStyle name="Saída 2 2 14 2" xfId="40758"/>
    <cellStyle name="Saída 2 2 14 2 2" xfId="40759"/>
    <cellStyle name="Saída 2 2 14 2 3" xfId="40760"/>
    <cellStyle name="Saída 2 2 14 3" xfId="40761"/>
    <cellStyle name="Saída 2 2 14 4" xfId="40762"/>
    <cellStyle name="Saída 2 2 15" xfId="40763"/>
    <cellStyle name="Saída 2 2 15 2" xfId="40764"/>
    <cellStyle name="Saída 2 2 15 2 2" xfId="40765"/>
    <cellStyle name="Saída 2 2 15 2 3" xfId="40766"/>
    <cellStyle name="Saída 2 2 15 3" xfId="40767"/>
    <cellStyle name="Saída 2 2 15 4" xfId="40768"/>
    <cellStyle name="Saída 2 2 16" xfId="40769"/>
    <cellStyle name="Saída 2 2 16 2" xfId="40770"/>
    <cellStyle name="Saída 2 2 16 2 2" xfId="40771"/>
    <cellStyle name="Saída 2 2 16 2 3" xfId="40772"/>
    <cellStyle name="Saída 2 2 16 3" xfId="40773"/>
    <cellStyle name="Saída 2 2 16 4" xfId="40774"/>
    <cellStyle name="Saída 2 2 17" xfId="40775"/>
    <cellStyle name="Saída 2 2 17 2" xfId="40776"/>
    <cellStyle name="Saída 2 2 17 2 2" xfId="40777"/>
    <cellStyle name="Saída 2 2 17 2 3" xfId="40778"/>
    <cellStyle name="Saída 2 2 17 3" xfId="40779"/>
    <cellStyle name="Saída 2 2 17 4" xfId="40780"/>
    <cellStyle name="Saída 2 2 18" xfId="40781"/>
    <cellStyle name="Saída 2 2 18 2" xfId="40782"/>
    <cellStyle name="Saída 2 2 18 2 2" xfId="40783"/>
    <cellStyle name="Saída 2 2 18 2 3" xfId="40784"/>
    <cellStyle name="Saída 2 2 18 3" xfId="40785"/>
    <cellStyle name="Saída 2 2 18 4" xfId="40786"/>
    <cellStyle name="Saída 2 2 19" xfId="40787"/>
    <cellStyle name="Saída 2 2 19 2" xfId="40788"/>
    <cellStyle name="Saída 2 2 19 2 2" xfId="40789"/>
    <cellStyle name="Saída 2 2 19 2 3" xfId="40790"/>
    <cellStyle name="Saída 2 2 19 3" xfId="40791"/>
    <cellStyle name="Saída 2 2 19 4" xfId="40792"/>
    <cellStyle name="Saída 2 2 2" xfId="40793"/>
    <cellStyle name="Saída 2 2 2 10" xfId="40794"/>
    <cellStyle name="Saída 2 2 2 10 2" xfId="40795"/>
    <cellStyle name="Saída 2 2 2 10 2 2" xfId="40796"/>
    <cellStyle name="Saída 2 2 2 10 2 3" xfId="40797"/>
    <cellStyle name="Saída 2 2 2 10 3" xfId="40798"/>
    <cellStyle name="Saída 2 2 2 10 4" xfId="40799"/>
    <cellStyle name="Saída 2 2 2 11" xfId="40800"/>
    <cellStyle name="Saída 2 2 2 11 2" xfId="40801"/>
    <cellStyle name="Saída 2 2 2 11 2 2" xfId="40802"/>
    <cellStyle name="Saída 2 2 2 11 2 3" xfId="40803"/>
    <cellStyle name="Saída 2 2 2 11 3" xfId="40804"/>
    <cellStyle name="Saída 2 2 2 11 4" xfId="40805"/>
    <cellStyle name="Saída 2 2 2 12" xfId="40806"/>
    <cellStyle name="Saída 2 2 2 12 2" xfId="40807"/>
    <cellStyle name="Saída 2 2 2 12 2 2" xfId="40808"/>
    <cellStyle name="Saída 2 2 2 12 2 3" xfId="40809"/>
    <cellStyle name="Saída 2 2 2 12 3" xfId="40810"/>
    <cellStyle name="Saída 2 2 2 12 4" xfId="40811"/>
    <cellStyle name="Saída 2 2 2 13" xfId="40812"/>
    <cellStyle name="Saída 2 2 2 13 2" xfId="40813"/>
    <cellStyle name="Saída 2 2 2 13 2 2" xfId="40814"/>
    <cellStyle name="Saída 2 2 2 13 2 3" xfId="40815"/>
    <cellStyle name="Saída 2 2 2 13 3" xfId="40816"/>
    <cellStyle name="Saída 2 2 2 13 4" xfId="40817"/>
    <cellStyle name="Saída 2 2 2 14" xfId="40818"/>
    <cellStyle name="Saída 2 2 2 14 2" xfId="40819"/>
    <cellStyle name="Saída 2 2 2 14 2 2" xfId="40820"/>
    <cellStyle name="Saída 2 2 2 14 2 3" xfId="40821"/>
    <cellStyle name="Saída 2 2 2 14 3" xfId="40822"/>
    <cellStyle name="Saída 2 2 2 14 4" xfId="40823"/>
    <cellStyle name="Saída 2 2 2 15" xfId="40824"/>
    <cellStyle name="Saída 2 2 2 15 2" xfId="40825"/>
    <cellStyle name="Saída 2 2 2 15 2 2" xfId="40826"/>
    <cellStyle name="Saída 2 2 2 15 2 3" xfId="40827"/>
    <cellStyle name="Saída 2 2 2 15 3" xfId="40828"/>
    <cellStyle name="Saída 2 2 2 15 4" xfId="40829"/>
    <cellStyle name="Saída 2 2 2 16" xfId="40830"/>
    <cellStyle name="Saída 2 2 2 16 2" xfId="40831"/>
    <cellStyle name="Saída 2 2 2 16 2 2" xfId="40832"/>
    <cellStyle name="Saída 2 2 2 16 2 3" xfId="40833"/>
    <cellStyle name="Saída 2 2 2 16 3" xfId="40834"/>
    <cellStyle name="Saída 2 2 2 16 4" xfId="40835"/>
    <cellStyle name="Saída 2 2 2 17" xfId="40836"/>
    <cellStyle name="Saída 2 2 2 17 2" xfId="40837"/>
    <cellStyle name="Saída 2 2 2 17 2 2" xfId="40838"/>
    <cellStyle name="Saída 2 2 2 17 2 3" xfId="40839"/>
    <cellStyle name="Saída 2 2 2 17 3" xfId="40840"/>
    <cellStyle name="Saída 2 2 2 17 4" xfId="40841"/>
    <cellStyle name="Saída 2 2 2 18" xfId="40842"/>
    <cellStyle name="Saída 2 2 2 18 2" xfId="40843"/>
    <cellStyle name="Saída 2 2 2 18 2 2" xfId="40844"/>
    <cellStyle name="Saída 2 2 2 18 2 3" xfId="40845"/>
    <cellStyle name="Saída 2 2 2 18 3" xfId="40846"/>
    <cellStyle name="Saída 2 2 2 18 4" xfId="40847"/>
    <cellStyle name="Saída 2 2 2 19" xfId="40848"/>
    <cellStyle name="Saída 2 2 2 19 2" xfId="40849"/>
    <cellStyle name="Saída 2 2 2 19 2 2" xfId="40850"/>
    <cellStyle name="Saída 2 2 2 19 2 3" xfId="40851"/>
    <cellStyle name="Saída 2 2 2 19 3" xfId="40852"/>
    <cellStyle name="Saída 2 2 2 19 4" xfId="40853"/>
    <cellStyle name="Saída 2 2 2 2" xfId="40854"/>
    <cellStyle name="Saída 2 2 2 2 2" xfId="40855"/>
    <cellStyle name="Saída 2 2 2 2 2 2" xfId="40856"/>
    <cellStyle name="Saída 2 2 2 2 2 3" xfId="40857"/>
    <cellStyle name="Saída 2 2 2 2 3" xfId="40858"/>
    <cellStyle name="Saída 2 2 2 2 4" xfId="40859"/>
    <cellStyle name="Saída 2 2 2 20" xfId="40860"/>
    <cellStyle name="Saída 2 2 2 20 2" xfId="40861"/>
    <cellStyle name="Saída 2 2 2 20 2 2" xfId="40862"/>
    <cellStyle name="Saída 2 2 2 20 2 3" xfId="40863"/>
    <cellStyle name="Saída 2 2 2 20 3" xfId="40864"/>
    <cellStyle name="Saída 2 2 2 20 4" xfId="40865"/>
    <cellStyle name="Saída 2 2 2 21" xfId="40866"/>
    <cellStyle name="Saída 2 2 2 21 2" xfId="40867"/>
    <cellStyle name="Saída 2 2 2 21 2 2" xfId="40868"/>
    <cellStyle name="Saída 2 2 2 21 2 3" xfId="40869"/>
    <cellStyle name="Saída 2 2 2 21 3" xfId="40870"/>
    <cellStyle name="Saída 2 2 2 21 4" xfId="40871"/>
    <cellStyle name="Saída 2 2 2 22" xfId="40872"/>
    <cellStyle name="Saída 2 2 2 22 2" xfId="40873"/>
    <cellStyle name="Saída 2 2 2 22 2 2" xfId="40874"/>
    <cellStyle name="Saída 2 2 2 22 2 3" xfId="40875"/>
    <cellStyle name="Saída 2 2 2 22 3" xfId="40876"/>
    <cellStyle name="Saída 2 2 2 22 4" xfId="40877"/>
    <cellStyle name="Saída 2 2 2 23" xfId="40878"/>
    <cellStyle name="Saída 2 2 2 23 2" xfId="40879"/>
    <cellStyle name="Saída 2 2 2 23 2 2" xfId="40880"/>
    <cellStyle name="Saída 2 2 2 23 2 3" xfId="40881"/>
    <cellStyle name="Saída 2 2 2 23 3" xfId="40882"/>
    <cellStyle name="Saída 2 2 2 23 4" xfId="40883"/>
    <cellStyle name="Saída 2 2 2 24" xfId="40884"/>
    <cellStyle name="Saída 2 2 2 24 2" xfId="40885"/>
    <cellStyle name="Saída 2 2 2 24 2 2" xfId="40886"/>
    <cellStyle name="Saída 2 2 2 24 2 3" xfId="40887"/>
    <cellStyle name="Saída 2 2 2 24 3" xfId="40888"/>
    <cellStyle name="Saída 2 2 2 24 4" xfId="40889"/>
    <cellStyle name="Saída 2 2 2 25" xfId="40890"/>
    <cellStyle name="Saída 2 2 2 25 2" xfId="40891"/>
    <cellStyle name="Saída 2 2 2 25 2 2" xfId="40892"/>
    <cellStyle name="Saída 2 2 2 25 2 3" xfId="40893"/>
    <cellStyle name="Saída 2 2 2 25 3" xfId="40894"/>
    <cellStyle name="Saída 2 2 2 25 4" xfId="40895"/>
    <cellStyle name="Saída 2 2 2 26" xfId="40896"/>
    <cellStyle name="Saída 2 2 2 26 2" xfId="40897"/>
    <cellStyle name="Saída 2 2 2 26 2 2" xfId="40898"/>
    <cellStyle name="Saída 2 2 2 26 2 3" xfId="40899"/>
    <cellStyle name="Saída 2 2 2 26 3" xfId="40900"/>
    <cellStyle name="Saída 2 2 2 26 4" xfId="40901"/>
    <cellStyle name="Saída 2 2 2 27" xfId="40902"/>
    <cellStyle name="Saída 2 2 2 27 2" xfId="40903"/>
    <cellStyle name="Saída 2 2 2 27 2 2" xfId="40904"/>
    <cellStyle name="Saída 2 2 2 27 2 3" xfId="40905"/>
    <cellStyle name="Saída 2 2 2 27 3" xfId="40906"/>
    <cellStyle name="Saída 2 2 2 27 4" xfId="40907"/>
    <cellStyle name="Saída 2 2 2 28" xfId="40908"/>
    <cellStyle name="Saída 2 2 2 28 2" xfId="40909"/>
    <cellStyle name="Saída 2 2 2 28 2 2" xfId="40910"/>
    <cellStyle name="Saída 2 2 2 28 2 3" xfId="40911"/>
    <cellStyle name="Saída 2 2 2 28 3" xfId="40912"/>
    <cellStyle name="Saída 2 2 2 28 4" xfId="40913"/>
    <cellStyle name="Saída 2 2 2 29" xfId="40914"/>
    <cellStyle name="Saída 2 2 2 29 2" xfId="40915"/>
    <cellStyle name="Saída 2 2 2 29 2 2" xfId="40916"/>
    <cellStyle name="Saída 2 2 2 29 2 3" xfId="40917"/>
    <cellStyle name="Saída 2 2 2 29 3" xfId="40918"/>
    <cellStyle name="Saída 2 2 2 29 4" xfId="40919"/>
    <cellStyle name="Saída 2 2 2 3" xfId="40920"/>
    <cellStyle name="Saída 2 2 2 3 2" xfId="40921"/>
    <cellStyle name="Saída 2 2 2 3 2 2" xfId="40922"/>
    <cellStyle name="Saída 2 2 2 3 2 3" xfId="40923"/>
    <cellStyle name="Saída 2 2 2 3 3" xfId="40924"/>
    <cellStyle name="Saída 2 2 2 3 4" xfId="40925"/>
    <cellStyle name="Saída 2 2 2 30" xfId="40926"/>
    <cellStyle name="Saída 2 2 2 30 2" xfId="40927"/>
    <cellStyle name="Saída 2 2 2 30 2 2" xfId="40928"/>
    <cellStyle name="Saída 2 2 2 30 2 3" xfId="40929"/>
    <cellStyle name="Saída 2 2 2 30 3" xfId="40930"/>
    <cellStyle name="Saída 2 2 2 30 4" xfId="40931"/>
    <cellStyle name="Saída 2 2 2 31" xfId="40932"/>
    <cellStyle name="Saída 2 2 2 31 2" xfId="40933"/>
    <cellStyle name="Saída 2 2 2 31 2 2" xfId="40934"/>
    <cellStyle name="Saída 2 2 2 31 2 3" xfId="40935"/>
    <cellStyle name="Saída 2 2 2 31 3" xfId="40936"/>
    <cellStyle name="Saída 2 2 2 31 4" xfId="40937"/>
    <cellStyle name="Saída 2 2 2 32" xfId="40938"/>
    <cellStyle name="Saída 2 2 2 32 2" xfId="40939"/>
    <cellStyle name="Saída 2 2 2 32 2 2" xfId="40940"/>
    <cellStyle name="Saída 2 2 2 32 2 3" xfId="40941"/>
    <cellStyle name="Saída 2 2 2 32 3" xfId="40942"/>
    <cellStyle name="Saída 2 2 2 32 4" xfId="40943"/>
    <cellStyle name="Saída 2 2 2 33" xfId="40944"/>
    <cellStyle name="Saída 2 2 2 33 2" xfId="40945"/>
    <cellStyle name="Saída 2 2 2 33 2 2" xfId="40946"/>
    <cellStyle name="Saída 2 2 2 33 2 3" xfId="40947"/>
    <cellStyle name="Saída 2 2 2 33 3" xfId="40948"/>
    <cellStyle name="Saída 2 2 2 33 4" xfId="40949"/>
    <cellStyle name="Saída 2 2 2 34" xfId="40950"/>
    <cellStyle name="Saída 2 2 2 34 2" xfId="40951"/>
    <cellStyle name="Saída 2 2 2 34 2 2" xfId="40952"/>
    <cellStyle name="Saída 2 2 2 34 2 3" xfId="40953"/>
    <cellStyle name="Saída 2 2 2 34 3" xfId="40954"/>
    <cellStyle name="Saída 2 2 2 34 4" xfId="40955"/>
    <cellStyle name="Saída 2 2 2 35" xfId="40956"/>
    <cellStyle name="Saída 2 2 2 35 2" xfId="40957"/>
    <cellStyle name="Saída 2 2 2 35 2 2" xfId="40958"/>
    <cellStyle name="Saída 2 2 2 35 2 3" xfId="40959"/>
    <cellStyle name="Saída 2 2 2 35 3" xfId="40960"/>
    <cellStyle name="Saída 2 2 2 35 4" xfId="40961"/>
    <cellStyle name="Saída 2 2 2 36" xfId="40962"/>
    <cellStyle name="Saída 2 2 2 36 2" xfId="40963"/>
    <cellStyle name="Saída 2 2 2 36 2 2" xfId="40964"/>
    <cellStyle name="Saída 2 2 2 36 2 3" xfId="40965"/>
    <cellStyle name="Saída 2 2 2 36 3" xfId="40966"/>
    <cellStyle name="Saída 2 2 2 36 4" xfId="40967"/>
    <cellStyle name="Saída 2 2 2 37" xfId="40968"/>
    <cellStyle name="Saída 2 2 2 37 2" xfId="40969"/>
    <cellStyle name="Saída 2 2 2 37 3" xfId="40970"/>
    <cellStyle name="Saída 2 2 2 38" xfId="40971"/>
    <cellStyle name="Saída 2 2 2 38 2" xfId="40972"/>
    <cellStyle name="Saída 2 2 2 38 3" xfId="40973"/>
    <cellStyle name="Saída 2 2 2 39" xfId="40974"/>
    <cellStyle name="Saída 2 2 2 39 2" xfId="40975"/>
    <cellStyle name="Saída 2 2 2 39 3" xfId="40976"/>
    <cellStyle name="Saída 2 2 2 4" xfId="40977"/>
    <cellStyle name="Saída 2 2 2 4 2" xfId="40978"/>
    <cellStyle name="Saída 2 2 2 4 2 2" xfId="40979"/>
    <cellStyle name="Saída 2 2 2 4 2 3" xfId="40980"/>
    <cellStyle name="Saída 2 2 2 4 3" xfId="40981"/>
    <cellStyle name="Saída 2 2 2 4 4" xfId="40982"/>
    <cellStyle name="Saída 2 2 2 40" xfId="40983"/>
    <cellStyle name="Saída 2 2 2 40 2" xfId="40984"/>
    <cellStyle name="Saída 2 2 2 40 3" xfId="40985"/>
    <cellStyle name="Saída 2 2 2 41" xfId="40986"/>
    <cellStyle name="Saída 2 2 2 42" xfId="40987"/>
    <cellStyle name="Saída 2 2 2 5" xfId="40988"/>
    <cellStyle name="Saída 2 2 2 5 2" xfId="40989"/>
    <cellStyle name="Saída 2 2 2 5 2 2" xfId="40990"/>
    <cellStyle name="Saída 2 2 2 5 2 3" xfId="40991"/>
    <cellStyle name="Saída 2 2 2 5 3" xfId="40992"/>
    <cellStyle name="Saída 2 2 2 5 4" xfId="40993"/>
    <cellStyle name="Saída 2 2 2 6" xfId="40994"/>
    <cellStyle name="Saída 2 2 2 6 2" xfId="40995"/>
    <cellStyle name="Saída 2 2 2 6 2 2" xfId="40996"/>
    <cellStyle name="Saída 2 2 2 6 2 3" xfId="40997"/>
    <cellStyle name="Saída 2 2 2 6 3" xfId="40998"/>
    <cellStyle name="Saída 2 2 2 6 4" xfId="40999"/>
    <cellStyle name="Saída 2 2 2 7" xfId="41000"/>
    <cellStyle name="Saída 2 2 2 7 2" xfId="41001"/>
    <cellStyle name="Saída 2 2 2 7 2 2" xfId="41002"/>
    <cellStyle name="Saída 2 2 2 7 2 3" xfId="41003"/>
    <cellStyle name="Saída 2 2 2 7 3" xfId="41004"/>
    <cellStyle name="Saída 2 2 2 7 4" xfId="41005"/>
    <cellStyle name="Saída 2 2 2 8" xfId="41006"/>
    <cellStyle name="Saída 2 2 2 8 2" xfId="41007"/>
    <cellStyle name="Saída 2 2 2 8 2 2" xfId="41008"/>
    <cellStyle name="Saída 2 2 2 8 2 3" xfId="41009"/>
    <cellStyle name="Saída 2 2 2 8 3" xfId="41010"/>
    <cellStyle name="Saída 2 2 2 8 4" xfId="41011"/>
    <cellStyle name="Saída 2 2 2 9" xfId="41012"/>
    <cellStyle name="Saída 2 2 2 9 2" xfId="41013"/>
    <cellStyle name="Saída 2 2 2 9 2 2" xfId="41014"/>
    <cellStyle name="Saída 2 2 2 9 2 3" xfId="41015"/>
    <cellStyle name="Saída 2 2 2 9 3" xfId="41016"/>
    <cellStyle name="Saída 2 2 2 9 4" xfId="41017"/>
    <cellStyle name="Saída 2 2 20" xfId="41018"/>
    <cellStyle name="Saída 2 2 20 2" xfId="41019"/>
    <cellStyle name="Saída 2 2 20 2 2" xfId="41020"/>
    <cellStyle name="Saída 2 2 20 2 3" xfId="41021"/>
    <cellStyle name="Saída 2 2 20 3" xfId="41022"/>
    <cellStyle name="Saída 2 2 20 4" xfId="41023"/>
    <cellStyle name="Saída 2 2 21" xfId="41024"/>
    <cellStyle name="Saída 2 2 21 2" xfId="41025"/>
    <cellStyle name="Saída 2 2 21 2 2" xfId="41026"/>
    <cellStyle name="Saída 2 2 21 2 3" xfId="41027"/>
    <cellStyle name="Saída 2 2 21 3" xfId="41028"/>
    <cellStyle name="Saída 2 2 21 4" xfId="41029"/>
    <cellStyle name="Saída 2 2 22" xfId="41030"/>
    <cellStyle name="Saída 2 2 22 2" xfId="41031"/>
    <cellStyle name="Saída 2 2 22 2 2" xfId="41032"/>
    <cellStyle name="Saída 2 2 22 2 3" xfId="41033"/>
    <cellStyle name="Saída 2 2 22 3" xfId="41034"/>
    <cellStyle name="Saída 2 2 22 4" xfId="41035"/>
    <cellStyle name="Saída 2 2 23" xfId="41036"/>
    <cellStyle name="Saída 2 2 23 2" xfId="41037"/>
    <cellStyle name="Saída 2 2 23 2 2" xfId="41038"/>
    <cellStyle name="Saída 2 2 23 2 3" xfId="41039"/>
    <cellStyle name="Saída 2 2 23 3" xfId="41040"/>
    <cellStyle name="Saída 2 2 23 4" xfId="41041"/>
    <cellStyle name="Saída 2 2 24" xfId="41042"/>
    <cellStyle name="Saída 2 2 24 2" xfId="41043"/>
    <cellStyle name="Saída 2 2 24 2 2" xfId="41044"/>
    <cellStyle name="Saída 2 2 24 2 3" xfId="41045"/>
    <cellStyle name="Saída 2 2 24 3" xfId="41046"/>
    <cellStyle name="Saída 2 2 24 4" xfId="41047"/>
    <cellStyle name="Saída 2 2 25" xfId="41048"/>
    <cellStyle name="Saída 2 2 25 2" xfId="41049"/>
    <cellStyle name="Saída 2 2 25 2 2" xfId="41050"/>
    <cellStyle name="Saída 2 2 25 2 3" xfId="41051"/>
    <cellStyle name="Saída 2 2 25 3" xfId="41052"/>
    <cellStyle name="Saída 2 2 25 4" xfId="41053"/>
    <cellStyle name="Saída 2 2 26" xfId="41054"/>
    <cellStyle name="Saída 2 2 26 2" xfId="41055"/>
    <cellStyle name="Saída 2 2 26 2 2" xfId="41056"/>
    <cellStyle name="Saída 2 2 26 2 3" xfId="41057"/>
    <cellStyle name="Saída 2 2 26 3" xfId="41058"/>
    <cellStyle name="Saída 2 2 26 4" xfId="41059"/>
    <cellStyle name="Saída 2 2 27" xfId="41060"/>
    <cellStyle name="Saída 2 2 27 2" xfId="41061"/>
    <cellStyle name="Saída 2 2 27 2 2" xfId="41062"/>
    <cellStyle name="Saída 2 2 27 2 3" xfId="41063"/>
    <cellStyle name="Saída 2 2 27 3" xfId="41064"/>
    <cellStyle name="Saída 2 2 27 4" xfId="41065"/>
    <cellStyle name="Saída 2 2 28" xfId="41066"/>
    <cellStyle name="Saída 2 2 28 2" xfId="41067"/>
    <cellStyle name="Saída 2 2 28 2 2" xfId="41068"/>
    <cellStyle name="Saída 2 2 28 2 3" xfId="41069"/>
    <cellStyle name="Saída 2 2 28 3" xfId="41070"/>
    <cellStyle name="Saída 2 2 28 4" xfId="41071"/>
    <cellStyle name="Saída 2 2 29" xfId="41072"/>
    <cellStyle name="Saída 2 2 29 2" xfId="41073"/>
    <cellStyle name="Saída 2 2 29 2 2" xfId="41074"/>
    <cellStyle name="Saída 2 2 29 2 3" xfId="41075"/>
    <cellStyle name="Saída 2 2 29 3" xfId="41076"/>
    <cellStyle name="Saída 2 2 29 4" xfId="41077"/>
    <cellStyle name="Saída 2 2 3" xfId="41078"/>
    <cellStyle name="Saída 2 2 3 10" xfId="41079"/>
    <cellStyle name="Saída 2 2 3 10 2" xfId="41080"/>
    <cellStyle name="Saída 2 2 3 10 2 2" xfId="41081"/>
    <cellStyle name="Saída 2 2 3 10 2 3" xfId="41082"/>
    <cellStyle name="Saída 2 2 3 10 3" xfId="41083"/>
    <cellStyle name="Saída 2 2 3 10 4" xfId="41084"/>
    <cellStyle name="Saída 2 2 3 11" xfId="41085"/>
    <cellStyle name="Saída 2 2 3 11 2" xfId="41086"/>
    <cellStyle name="Saída 2 2 3 11 2 2" xfId="41087"/>
    <cellStyle name="Saída 2 2 3 11 2 3" xfId="41088"/>
    <cellStyle name="Saída 2 2 3 11 3" xfId="41089"/>
    <cellStyle name="Saída 2 2 3 11 4" xfId="41090"/>
    <cellStyle name="Saída 2 2 3 12" xfId="41091"/>
    <cellStyle name="Saída 2 2 3 12 2" xfId="41092"/>
    <cellStyle name="Saída 2 2 3 12 2 2" xfId="41093"/>
    <cellStyle name="Saída 2 2 3 12 2 3" xfId="41094"/>
    <cellStyle name="Saída 2 2 3 12 3" xfId="41095"/>
    <cellStyle name="Saída 2 2 3 12 4" xfId="41096"/>
    <cellStyle name="Saída 2 2 3 13" xfId="41097"/>
    <cellStyle name="Saída 2 2 3 13 2" xfId="41098"/>
    <cellStyle name="Saída 2 2 3 13 2 2" xfId="41099"/>
    <cellStyle name="Saída 2 2 3 13 2 3" xfId="41100"/>
    <cellStyle name="Saída 2 2 3 13 3" xfId="41101"/>
    <cellStyle name="Saída 2 2 3 13 4" xfId="41102"/>
    <cellStyle name="Saída 2 2 3 14" xfId="41103"/>
    <cellStyle name="Saída 2 2 3 14 2" xfId="41104"/>
    <cellStyle name="Saída 2 2 3 14 2 2" xfId="41105"/>
    <cellStyle name="Saída 2 2 3 14 2 3" xfId="41106"/>
    <cellStyle name="Saída 2 2 3 14 3" xfId="41107"/>
    <cellStyle name="Saída 2 2 3 14 4" xfId="41108"/>
    <cellStyle name="Saída 2 2 3 15" xfId="41109"/>
    <cellStyle name="Saída 2 2 3 15 2" xfId="41110"/>
    <cellStyle name="Saída 2 2 3 15 2 2" xfId="41111"/>
    <cellStyle name="Saída 2 2 3 15 2 3" xfId="41112"/>
    <cellStyle name="Saída 2 2 3 15 3" xfId="41113"/>
    <cellStyle name="Saída 2 2 3 15 4" xfId="41114"/>
    <cellStyle name="Saída 2 2 3 16" xfId="41115"/>
    <cellStyle name="Saída 2 2 3 16 2" xfId="41116"/>
    <cellStyle name="Saída 2 2 3 16 2 2" xfId="41117"/>
    <cellStyle name="Saída 2 2 3 16 2 3" xfId="41118"/>
    <cellStyle name="Saída 2 2 3 16 3" xfId="41119"/>
    <cellStyle name="Saída 2 2 3 16 4" xfId="41120"/>
    <cellStyle name="Saída 2 2 3 17" xfId="41121"/>
    <cellStyle name="Saída 2 2 3 17 2" xfId="41122"/>
    <cellStyle name="Saída 2 2 3 17 2 2" xfId="41123"/>
    <cellStyle name="Saída 2 2 3 17 2 3" xfId="41124"/>
    <cellStyle name="Saída 2 2 3 17 3" xfId="41125"/>
    <cellStyle name="Saída 2 2 3 17 4" xfId="41126"/>
    <cellStyle name="Saída 2 2 3 18" xfId="41127"/>
    <cellStyle name="Saída 2 2 3 18 2" xfId="41128"/>
    <cellStyle name="Saída 2 2 3 18 2 2" xfId="41129"/>
    <cellStyle name="Saída 2 2 3 18 2 3" xfId="41130"/>
    <cellStyle name="Saída 2 2 3 18 3" xfId="41131"/>
    <cellStyle name="Saída 2 2 3 18 4" xfId="41132"/>
    <cellStyle name="Saída 2 2 3 19" xfId="41133"/>
    <cellStyle name="Saída 2 2 3 19 2" xfId="41134"/>
    <cellStyle name="Saída 2 2 3 19 2 2" xfId="41135"/>
    <cellStyle name="Saída 2 2 3 19 2 3" xfId="41136"/>
    <cellStyle name="Saída 2 2 3 19 3" xfId="41137"/>
    <cellStyle name="Saída 2 2 3 19 4" xfId="41138"/>
    <cellStyle name="Saída 2 2 3 2" xfId="41139"/>
    <cellStyle name="Saída 2 2 3 2 2" xfId="41140"/>
    <cellStyle name="Saída 2 2 3 2 2 2" xfId="41141"/>
    <cellStyle name="Saída 2 2 3 2 2 3" xfId="41142"/>
    <cellStyle name="Saída 2 2 3 2 3" xfId="41143"/>
    <cellStyle name="Saída 2 2 3 2 4" xfId="41144"/>
    <cellStyle name="Saída 2 2 3 20" xfId="41145"/>
    <cellStyle name="Saída 2 2 3 20 2" xfId="41146"/>
    <cellStyle name="Saída 2 2 3 20 2 2" xfId="41147"/>
    <cellStyle name="Saída 2 2 3 20 2 3" xfId="41148"/>
    <cellStyle name="Saída 2 2 3 20 3" xfId="41149"/>
    <cellStyle name="Saída 2 2 3 20 4" xfId="41150"/>
    <cellStyle name="Saída 2 2 3 21" xfId="41151"/>
    <cellStyle name="Saída 2 2 3 21 2" xfId="41152"/>
    <cellStyle name="Saída 2 2 3 21 2 2" xfId="41153"/>
    <cellStyle name="Saída 2 2 3 21 2 3" xfId="41154"/>
    <cellStyle name="Saída 2 2 3 21 3" xfId="41155"/>
    <cellStyle name="Saída 2 2 3 21 4" xfId="41156"/>
    <cellStyle name="Saída 2 2 3 22" xfId="41157"/>
    <cellStyle name="Saída 2 2 3 22 2" xfId="41158"/>
    <cellStyle name="Saída 2 2 3 22 2 2" xfId="41159"/>
    <cellStyle name="Saída 2 2 3 22 2 3" xfId="41160"/>
    <cellStyle name="Saída 2 2 3 22 3" xfId="41161"/>
    <cellStyle name="Saída 2 2 3 22 4" xfId="41162"/>
    <cellStyle name="Saída 2 2 3 23" xfId="41163"/>
    <cellStyle name="Saída 2 2 3 23 2" xfId="41164"/>
    <cellStyle name="Saída 2 2 3 23 2 2" xfId="41165"/>
    <cellStyle name="Saída 2 2 3 23 2 3" xfId="41166"/>
    <cellStyle name="Saída 2 2 3 23 3" xfId="41167"/>
    <cellStyle name="Saída 2 2 3 23 4" xfId="41168"/>
    <cellStyle name="Saída 2 2 3 24" xfId="41169"/>
    <cellStyle name="Saída 2 2 3 24 2" xfId="41170"/>
    <cellStyle name="Saída 2 2 3 24 2 2" xfId="41171"/>
    <cellStyle name="Saída 2 2 3 24 2 3" xfId="41172"/>
    <cellStyle name="Saída 2 2 3 24 3" xfId="41173"/>
    <cellStyle name="Saída 2 2 3 24 4" xfId="41174"/>
    <cellStyle name="Saída 2 2 3 25" xfId="41175"/>
    <cellStyle name="Saída 2 2 3 25 2" xfId="41176"/>
    <cellStyle name="Saída 2 2 3 25 2 2" xfId="41177"/>
    <cellStyle name="Saída 2 2 3 25 2 3" xfId="41178"/>
    <cellStyle name="Saída 2 2 3 25 3" xfId="41179"/>
    <cellStyle name="Saída 2 2 3 25 4" xfId="41180"/>
    <cellStyle name="Saída 2 2 3 26" xfId="41181"/>
    <cellStyle name="Saída 2 2 3 26 2" xfId="41182"/>
    <cellStyle name="Saída 2 2 3 26 2 2" xfId="41183"/>
    <cellStyle name="Saída 2 2 3 26 2 3" xfId="41184"/>
    <cellStyle name="Saída 2 2 3 26 3" xfId="41185"/>
    <cellStyle name="Saída 2 2 3 26 4" xfId="41186"/>
    <cellStyle name="Saída 2 2 3 27" xfId="41187"/>
    <cellStyle name="Saída 2 2 3 27 2" xfId="41188"/>
    <cellStyle name="Saída 2 2 3 27 2 2" xfId="41189"/>
    <cellStyle name="Saída 2 2 3 27 2 3" xfId="41190"/>
    <cellStyle name="Saída 2 2 3 27 3" xfId="41191"/>
    <cellStyle name="Saída 2 2 3 27 4" xfId="41192"/>
    <cellStyle name="Saída 2 2 3 28" xfId="41193"/>
    <cellStyle name="Saída 2 2 3 28 2" xfId="41194"/>
    <cellStyle name="Saída 2 2 3 28 2 2" xfId="41195"/>
    <cellStyle name="Saída 2 2 3 28 2 3" xfId="41196"/>
    <cellStyle name="Saída 2 2 3 28 3" xfId="41197"/>
    <cellStyle name="Saída 2 2 3 28 4" xfId="41198"/>
    <cellStyle name="Saída 2 2 3 29" xfId="41199"/>
    <cellStyle name="Saída 2 2 3 29 2" xfId="41200"/>
    <cellStyle name="Saída 2 2 3 29 2 2" xfId="41201"/>
    <cellStyle name="Saída 2 2 3 29 2 3" xfId="41202"/>
    <cellStyle name="Saída 2 2 3 29 3" xfId="41203"/>
    <cellStyle name="Saída 2 2 3 29 4" xfId="41204"/>
    <cellStyle name="Saída 2 2 3 3" xfId="41205"/>
    <cellStyle name="Saída 2 2 3 3 2" xfId="41206"/>
    <cellStyle name="Saída 2 2 3 3 2 2" xfId="41207"/>
    <cellStyle name="Saída 2 2 3 3 2 3" xfId="41208"/>
    <cellStyle name="Saída 2 2 3 3 3" xfId="41209"/>
    <cellStyle name="Saída 2 2 3 3 4" xfId="41210"/>
    <cellStyle name="Saída 2 2 3 30" xfId="41211"/>
    <cellStyle name="Saída 2 2 3 30 2" xfId="41212"/>
    <cellStyle name="Saída 2 2 3 30 2 2" xfId="41213"/>
    <cellStyle name="Saída 2 2 3 30 2 3" xfId="41214"/>
    <cellStyle name="Saída 2 2 3 30 3" xfId="41215"/>
    <cellStyle name="Saída 2 2 3 30 4" xfId="41216"/>
    <cellStyle name="Saída 2 2 3 31" xfId="41217"/>
    <cellStyle name="Saída 2 2 3 31 2" xfId="41218"/>
    <cellStyle name="Saída 2 2 3 31 2 2" xfId="41219"/>
    <cellStyle name="Saída 2 2 3 31 2 3" xfId="41220"/>
    <cellStyle name="Saída 2 2 3 31 3" xfId="41221"/>
    <cellStyle name="Saída 2 2 3 31 4" xfId="41222"/>
    <cellStyle name="Saída 2 2 3 32" xfId="41223"/>
    <cellStyle name="Saída 2 2 3 32 2" xfId="41224"/>
    <cellStyle name="Saída 2 2 3 32 2 2" xfId="41225"/>
    <cellStyle name="Saída 2 2 3 32 2 3" xfId="41226"/>
    <cellStyle name="Saída 2 2 3 32 3" xfId="41227"/>
    <cellStyle name="Saída 2 2 3 32 4" xfId="41228"/>
    <cellStyle name="Saída 2 2 3 33" xfId="41229"/>
    <cellStyle name="Saída 2 2 3 33 2" xfId="41230"/>
    <cellStyle name="Saída 2 2 3 33 2 2" xfId="41231"/>
    <cellStyle name="Saída 2 2 3 33 2 3" xfId="41232"/>
    <cellStyle name="Saída 2 2 3 33 3" xfId="41233"/>
    <cellStyle name="Saída 2 2 3 33 4" xfId="41234"/>
    <cellStyle name="Saída 2 2 3 34" xfId="41235"/>
    <cellStyle name="Saída 2 2 3 34 2" xfId="41236"/>
    <cellStyle name="Saída 2 2 3 34 2 2" xfId="41237"/>
    <cellStyle name="Saída 2 2 3 34 2 3" xfId="41238"/>
    <cellStyle name="Saída 2 2 3 34 3" xfId="41239"/>
    <cellStyle name="Saída 2 2 3 34 4" xfId="41240"/>
    <cellStyle name="Saída 2 2 3 35" xfId="41241"/>
    <cellStyle name="Saída 2 2 3 35 2" xfId="41242"/>
    <cellStyle name="Saída 2 2 3 35 2 2" xfId="41243"/>
    <cellStyle name="Saída 2 2 3 35 2 3" xfId="41244"/>
    <cellStyle name="Saída 2 2 3 35 3" xfId="41245"/>
    <cellStyle name="Saída 2 2 3 35 4" xfId="41246"/>
    <cellStyle name="Saída 2 2 3 36" xfId="41247"/>
    <cellStyle name="Saída 2 2 3 36 2" xfId="41248"/>
    <cellStyle name="Saída 2 2 3 36 2 2" xfId="41249"/>
    <cellStyle name="Saída 2 2 3 36 2 3" xfId="41250"/>
    <cellStyle name="Saída 2 2 3 36 3" xfId="41251"/>
    <cellStyle name="Saída 2 2 3 36 4" xfId="41252"/>
    <cellStyle name="Saída 2 2 3 37" xfId="41253"/>
    <cellStyle name="Saída 2 2 3 37 2" xfId="41254"/>
    <cellStyle name="Saída 2 2 3 37 2 2" xfId="41255"/>
    <cellStyle name="Saída 2 2 3 37 2 3" xfId="41256"/>
    <cellStyle name="Saída 2 2 3 37 3" xfId="41257"/>
    <cellStyle name="Saída 2 2 3 37 4" xfId="41258"/>
    <cellStyle name="Saída 2 2 3 38" xfId="41259"/>
    <cellStyle name="Saída 2 2 3 38 2" xfId="41260"/>
    <cellStyle name="Saída 2 2 3 38 3" xfId="41261"/>
    <cellStyle name="Saída 2 2 3 39" xfId="41262"/>
    <cellStyle name="Saída 2 2 3 39 2" xfId="41263"/>
    <cellStyle name="Saída 2 2 3 39 3" xfId="41264"/>
    <cellStyle name="Saída 2 2 3 4" xfId="41265"/>
    <cellStyle name="Saída 2 2 3 4 2" xfId="41266"/>
    <cellStyle name="Saída 2 2 3 4 2 2" xfId="41267"/>
    <cellStyle name="Saída 2 2 3 4 2 3" xfId="41268"/>
    <cellStyle name="Saída 2 2 3 4 3" xfId="41269"/>
    <cellStyle name="Saída 2 2 3 4 4" xfId="41270"/>
    <cellStyle name="Saída 2 2 3 40" xfId="41271"/>
    <cellStyle name="Saída 2 2 3 40 2" xfId="41272"/>
    <cellStyle name="Saída 2 2 3 40 3" xfId="41273"/>
    <cellStyle name="Saída 2 2 3 41" xfId="41274"/>
    <cellStyle name="Saída 2 2 3 41 2" xfId="41275"/>
    <cellStyle name="Saída 2 2 3 41 3" xfId="41276"/>
    <cellStyle name="Saída 2 2 3 42" xfId="41277"/>
    <cellStyle name="Saída 2 2 3 43" xfId="41278"/>
    <cellStyle name="Saída 2 2 3 5" xfId="41279"/>
    <cellStyle name="Saída 2 2 3 5 2" xfId="41280"/>
    <cellStyle name="Saída 2 2 3 5 2 2" xfId="41281"/>
    <cellStyle name="Saída 2 2 3 5 2 3" xfId="41282"/>
    <cellStyle name="Saída 2 2 3 5 3" xfId="41283"/>
    <cellStyle name="Saída 2 2 3 5 4" xfId="41284"/>
    <cellStyle name="Saída 2 2 3 6" xfId="41285"/>
    <cellStyle name="Saída 2 2 3 6 2" xfId="41286"/>
    <cellStyle name="Saída 2 2 3 6 2 2" xfId="41287"/>
    <cellStyle name="Saída 2 2 3 6 2 3" xfId="41288"/>
    <cellStyle name="Saída 2 2 3 6 3" xfId="41289"/>
    <cellStyle name="Saída 2 2 3 6 4" xfId="41290"/>
    <cellStyle name="Saída 2 2 3 7" xfId="41291"/>
    <cellStyle name="Saída 2 2 3 7 2" xfId="41292"/>
    <cellStyle name="Saída 2 2 3 7 2 2" xfId="41293"/>
    <cellStyle name="Saída 2 2 3 7 2 3" xfId="41294"/>
    <cellStyle name="Saída 2 2 3 7 3" xfId="41295"/>
    <cellStyle name="Saída 2 2 3 7 4" xfId="41296"/>
    <cellStyle name="Saída 2 2 3 8" xfId="41297"/>
    <cellStyle name="Saída 2 2 3 8 2" xfId="41298"/>
    <cellStyle name="Saída 2 2 3 8 2 2" xfId="41299"/>
    <cellStyle name="Saída 2 2 3 8 2 3" xfId="41300"/>
    <cellStyle name="Saída 2 2 3 8 3" xfId="41301"/>
    <cellStyle name="Saída 2 2 3 8 4" xfId="41302"/>
    <cellStyle name="Saída 2 2 3 9" xfId="41303"/>
    <cellStyle name="Saída 2 2 3 9 2" xfId="41304"/>
    <cellStyle name="Saída 2 2 3 9 2 2" xfId="41305"/>
    <cellStyle name="Saída 2 2 3 9 2 3" xfId="41306"/>
    <cellStyle name="Saída 2 2 3 9 3" xfId="41307"/>
    <cellStyle name="Saída 2 2 3 9 4" xfId="41308"/>
    <cellStyle name="Saída 2 2 30" xfId="41309"/>
    <cellStyle name="Saída 2 2 30 2" xfId="41310"/>
    <cellStyle name="Saída 2 2 30 2 2" xfId="41311"/>
    <cellStyle name="Saída 2 2 30 2 3" xfId="41312"/>
    <cellStyle name="Saída 2 2 30 3" xfId="41313"/>
    <cellStyle name="Saída 2 2 30 4" xfId="41314"/>
    <cellStyle name="Saída 2 2 31" xfId="41315"/>
    <cellStyle name="Saída 2 2 31 2" xfId="41316"/>
    <cellStyle name="Saída 2 2 31 2 2" xfId="41317"/>
    <cellStyle name="Saída 2 2 31 2 3" xfId="41318"/>
    <cellStyle name="Saída 2 2 31 3" xfId="41319"/>
    <cellStyle name="Saída 2 2 31 4" xfId="41320"/>
    <cellStyle name="Saída 2 2 32" xfId="41321"/>
    <cellStyle name="Saída 2 2 32 2" xfId="41322"/>
    <cellStyle name="Saída 2 2 32 2 2" xfId="41323"/>
    <cellStyle name="Saída 2 2 32 2 3" xfId="41324"/>
    <cellStyle name="Saída 2 2 32 3" xfId="41325"/>
    <cellStyle name="Saída 2 2 32 4" xfId="41326"/>
    <cellStyle name="Saída 2 2 33" xfId="41327"/>
    <cellStyle name="Saída 2 2 33 2" xfId="41328"/>
    <cellStyle name="Saída 2 2 33 3" xfId="41329"/>
    <cellStyle name="Saída 2 2 34" xfId="41330"/>
    <cellStyle name="Saída 2 2 34 2" xfId="41331"/>
    <cellStyle name="Saída 2 2 34 3" xfId="41332"/>
    <cellStyle name="Saída 2 2 35" xfId="41333"/>
    <cellStyle name="Saída 2 2 35 2" xfId="41334"/>
    <cellStyle name="Saída 2 2 35 3" xfId="41335"/>
    <cellStyle name="Saída 2 2 36" xfId="41336"/>
    <cellStyle name="Saída 2 2 36 2" xfId="41337"/>
    <cellStyle name="Saída 2 2 36 3" xfId="41338"/>
    <cellStyle name="Saída 2 2 37" xfId="41339"/>
    <cellStyle name="Saída 2 2 38" xfId="41340"/>
    <cellStyle name="Saída 2 2 4" xfId="41341"/>
    <cellStyle name="Saída 2 2 4 10" xfId="41342"/>
    <cellStyle name="Saída 2 2 4 10 2" xfId="41343"/>
    <cellStyle name="Saída 2 2 4 10 2 2" xfId="41344"/>
    <cellStyle name="Saída 2 2 4 10 2 3" xfId="41345"/>
    <cellStyle name="Saída 2 2 4 10 3" xfId="41346"/>
    <cellStyle name="Saída 2 2 4 10 4" xfId="41347"/>
    <cellStyle name="Saída 2 2 4 11" xfId="41348"/>
    <cellStyle name="Saída 2 2 4 11 2" xfId="41349"/>
    <cellStyle name="Saída 2 2 4 11 2 2" xfId="41350"/>
    <cellStyle name="Saída 2 2 4 11 2 3" xfId="41351"/>
    <cellStyle name="Saída 2 2 4 11 3" xfId="41352"/>
    <cellStyle name="Saída 2 2 4 11 4" xfId="41353"/>
    <cellStyle name="Saída 2 2 4 12" xfId="41354"/>
    <cellStyle name="Saída 2 2 4 12 2" xfId="41355"/>
    <cellStyle name="Saída 2 2 4 12 2 2" xfId="41356"/>
    <cellStyle name="Saída 2 2 4 12 2 3" xfId="41357"/>
    <cellStyle name="Saída 2 2 4 12 3" xfId="41358"/>
    <cellStyle name="Saída 2 2 4 12 4" xfId="41359"/>
    <cellStyle name="Saída 2 2 4 13" xfId="41360"/>
    <cellStyle name="Saída 2 2 4 13 2" xfId="41361"/>
    <cellStyle name="Saída 2 2 4 13 2 2" xfId="41362"/>
    <cellStyle name="Saída 2 2 4 13 2 3" xfId="41363"/>
    <cellStyle name="Saída 2 2 4 13 3" xfId="41364"/>
    <cellStyle name="Saída 2 2 4 13 4" xfId="41365"/>
    <cellStyle name="Saída 2 2 4 14" xfId="41366"/>
    <cellStyle name="Saída 2 2 4 14 2" xfId="41367"/>
    <cellStyle name="Saída 2 2 4 14 2 2" xfId="41368"/>
    <cellStyle name="Saída 2 2 4 14 2 3" xfId="41369"/>
    <cellStyle name="Saída 2 2 4 14 3" xfId="41370"/>
    <cellStyle name="Saída 2 2 4 14 4" xfId="41371"/>
    <cellStyle name="Saída 2 2 4 15" xfId="41372"/>
    <cellStyle name="Saída 2 2 4 15 2" xfId="41373"/>
    <cellStyle name="Saída 2 2 4 15 2 2" xfId="41374"/>
    <cellStyle name="Saída 2 2 4 15 2 3" xfId="41375"/>
    <cellStyle name="Saída 2 2 4 15 3" xfId="41376"/>
    <cellStyle name="Saída 2 2 4 15 4" xfId="41377"/>
    <cellStyle name="Saída 2 2 4 16" xfId="41378"/>
    <cellStyle name="Saída 2 2 4 16 2" xfId="41379"/>
    <cellStyle name="Saída 2 2 4 16 2 2" xfId="41380"/>
    <cellStyle name="Saída 2 2 4 16 2 3" xfId="41381"/>
    <cellStyle name="Saída 2 2 4 16 3" xfId="41382"/>
    <cellStyle name="Saída 2 2 4 16 4" xfId="41383"/>
    <cellStyle name="Saída 2 2 4 17" xfId="41384"/>
    <cellStyle name="Saída 2 2 4 17 2" xfId="41385"/>
    <cellStyle name="Saída 2 2 4 17 2 2" xfId="41386"/>
    <cellStyle name="Saída 2 2 4 17 2 3" xfId="41387"/>
    <cellStyle name="Saída 2 2 4 17 3" xfId="41388"/>
    <cellStyle name="Saída 2 2 4 17 4" xfId="41389"/>
    <cellStyle name="Saída 2 2 4 18" xfId="41390"/>
    <cellStyle name="Saída 2 2 4 18 2" xfId="41391"/>
    <cellStyle name="Saída 2 2 4 18 2 2" xfId="41392"/>
    <cellStyle name="Saída 2 2 4 18 2 3" xfId="41393"/>
    <cellStyle name="Saída 2 2 4 18 3" xfId="41394"/>
    <cellStyle name="Saída 2 2 4 18 4" xfId="41395"/>
    <cellStyle name="Saída 2 2 4 19" xfId="41396"/>
    <cellStyle name="Saída 2 2 4 19 2" xfId="41397"/>
    <cellStyle name="Saída 2 2 4 19 2 2" xfId="41398"/>
    <cellStyle name="Saída 2 2 4 19 2 3" xfId="41399"/>
    <cellStyle name="Saída 2 2 4 19 3" xfId="41400"/>
    <cellStyle name="Saída 2 2 4 19 4" xfId="41401"/>
    <cellStyle name="Saída 2 2 4 2" xfId="41402"/>
    <cellStyle name="Saída 2 2 4 2 2" xfId="41403"/>
    <cellStyle name="Saída 2 2 4 2 2 2" xfId="41404"/>
    <cellStyle name="Saída 2 2 4 2 2 3" xfId="41405"/>
    <cellStyle name="Saída 2 2 4 2 3" xfId="41406"/>
    <cellStyle name="Saída 2 2 4 2 4" xfId="41407"/>
    <cellStyle name="Saída 2 2 4 20" xfId="41408"/>
    <cellStyle name="Saída 2 2 4 20 2" xfId="41409"/>
    <cellStyle name="Saída 2 2 4 20 2 2" xfId="41410"/>
    <cellStyle name="Saída 2 2 4 20 2 3" xfId="41411"/>
    <cellStyle name="Saída 2 2 4 20 3" xfId="41412"/>
    <cellStyle name="Saída 2 2 4 20 4" xfId="41413"/>
    <cellStyle name="Saída 2 2 4 21" xfId="41414"/>
    <cellStyle name="Saída 2 2 4 21 2" xfId="41415"/>
    <cellStyle name="Saída 2 2 4 21 2 2" xfId="41416"/>
    <cellStyle name="Saída 2 2 4 21 2 3" xfId="41417"/>
    <cellStyle name="Saída 2 2 4 21 3" xfId="41418"/>
    <cellStyle name="Saída 2 2 4 21 4" xfId="41419"/>
    <cellStyle name="Saída 2 2 4 22" xfId="41420"/>
    <cellStyle name="Saída 2 2 4 22 2" xfId="41421"/>
    <cellStyle name="Saída 2 2 4 22 2 2" xfId="41422"/>
    <cellStyle name="Saída 2 2 4 22 2 3" xfId="41423"/>
    <cellStyle name="Saída 2 2 4 22 3" xfId="41424"/>
    <cellStyle name="Saída 2 2 4 22 4" xfId="41425"/>
    <cellStyle name="Saída 2 2 4 23" xfId="41426"/>
    <cellStyle name="Saída 2 2 4 23 2" xfId="41427"/>
    <cellStyle name="Saída 2 2 4 23 2 2" xfId="41428"/>
    <cellStyle name="Saída 2 2 4 23 2 3" xfId="41429"/>
    <cellStyle name="Saída 2 2 4 23 3" xfId="41430"/>
    <cellStyle name="Saída 2 2 4 23 4" xfId="41431"/>
    <cellStyle name="Saída 2 2 4 24" xfId="41432"/>
    <cellStyle name="Saída 2 2 4 24 2" xfId="41433"/>
    <cellStyle name="Saída 2 2 4 24 2 2" xfId="41434"/>
    <cellStyle name="Saída 2 2 4 24 2 3" xfId="41435"/>
    <cellStyle name="Saída 2 2 4 24 3" xfId="41436"/>
    <cellStyle name="Saída 2 2 4 24 4" xfId="41437"/>
    <cellStyle name="Saída 2 2 4 25" xfId="41438"/>
    <cellStyle name="Saída 2 2 4 25 2" xfId="41439"/>
    <cellStyle name="Saída 2 2 4 25 2 2" xfId="41440"/>
    <cellStyle name="Saída 2 2 4 25 2 3" xfId="41441"/>
    <cellStyle name="Saída 2 2 4 25 3" xfId="41442"/>
    <cellStyle name="Saída 2 2 4 25 4" xfId="41443"/>
    <cellStyle name="Saída 2 2 4 26" xfId="41444"/>
    <cellStyle name="Saída 2 2 4 26 2" xfId="41445"/>
    <cellStyle name="Saída 2 2 4 26 2 2" xfId="41446"/>
    <cellStyle name="Saída 2 2 4 26 2 3" xfId="41447"/>
    <cellStyle name="Saída 2 2 4 26 3" xfId="41448"/>
    <cellStyle name="Saída 2 2 4 26 4" xfId="41449"/>
    <cellStyle name="Saída 2 2 4 27" xfId="41450"/>
    <cellStyle name="Saída 2 2 4 27 2" xfId="41451"/>
    <cellStyle name="Saída 2 2 4 27 2 2" xfId="41452"/>
    <cellStyle name="Saída 2 2 4 27 2 3" xfId="41453"/>
    <cellStyle name="Saída 2 2 4 27 3" xfId="41454"/>
    <cellStyle name="Saída 2 2 4 27 4" xfId="41455"/>
    <cellStyle name="Saída 2 2 4 28" xfId="41456"/>
    <cellStyle name="Saída 2 2 4 28 2" xfId="41457"/>
    <cellStyle name="Saída 2 2 4 28 2 2" xfId="41458"/>
    <cellStyle name="Saída 2 2 4 28 2 3" xfId="41459"/>
    <cellStyle name="Saída 2 2 4 28 3" xfId="41460"/>
    <cellStyle name="Saída 2 2 4 28 4" xfId="41461"/>
    <cellStyle name="Saída 2 2 4 29" xfId="41462"/>
    <cellStyle name="Saída 2 2 4 29 2" xfId="41463"/>
    <cellStyle name="Saída 2 2 4 29 2 2" xfId="41464"/>
    <cellStyle name="Saída 2 2 4 29 2 3" xfId="41465"/>
    <cellStyle name="Saída 2 2 4 29 3" xfId="41466"/>
    <cellStyle name="Saída 2 2 4 29 4" xfId="41467"/>
    <cellStyle name="Saída 2 2 4 3" xfId="41468"/>
    <cellStyle name="Saída 2 2 4 3 2" xfId="41469"/>
    <cellStyle name="Saída 2 2 4 3 2 2" xfId="41470"/>
    <cellStyle name="Saída 2 2 4 3 2 3" xfId="41471"/>
    <cellStyle name="Saída 2 2 4 3 3" xfId="41472"/>
    <cellStyle name="Saída 2 2 4 3 4" xfId="41473"/>
    <cellStyle name="Saída 2 2 4 30" xfId="41474"/>
    <cellStyle name="Saída 2 2 4 30 2" xfId="41475"/>
    <cellStyle name="Saída 2 2 4 30 2 2" xfId="41476"/>
    <cellStyle name="Saída 2 2 4 30 2 3" xfId="41477"/>
    <cellStyle name="Saída 2 2 4 30 3" xfId="41478"/>
    <cellStyle name="Saída 2 2 4 30 4" xfId="41479"/>
    <cellStyle name="Saída 2 2 4 31" xfId="41480"/>
    <cellStyle name="Saída 2 2 4 31 2" xfId="41481"/>
    <cellStyle name="Saída 2 2 4 31 2 2" xfId="41482"/>
    <cellStyle name="Saída 2 2 4 31 2 3" xfId="41483"/>
    <cellStyle name="Saída 2 2 4 31 3" xfId="41484"/>
    <cellStyle name="Saída 2 2 4 31 4" xfId="41485"/>
    <cellStyle name="Saída 2 2 4 32" xfId="41486"/>
    <cellStyle name="Saída 2 2 4 32 2" xfId="41487"/>
    <cellStyle name="Saída 2 2 4 32 2 2" xfId="41488"/>
    <cellStyle name="Saída 2 2 4 32 2 3" xfId="41489"/>
    <cellStyle name="Saída 2 2 4 32 3" xfId="41490"/>
    <cellStyle name="Saída 2 2 4 32 4" xfId="41491"/>
    <cellStyle name="Saída 2 2 4 33" xfId="41492"/>
    <cellStyle name="Saída 2 2 4 33 2" xfId="41493"/>
    <cellStyle name="Saída 2 2 4 33 2 2" xfId="41494"/>
    <cellStyle name="Saída 2 2 4 33 2 3" xfId="41495"/>
    <cellStyle name="Saída 2 2 4 33 3" xfId="41496"/>
    <cellStyle name="Saída 2 2 4 33 4" xfId="41497"/>
    <cellStyle name="Saída 2 2 4 34" xfId="41498"/>
    <cellStyle name="Saída 2 2 4 34 2" xfId="41499"/>
    <cellStyle name="Saída 2 2 4 34 2 2" xfId="41500"/>
    <cellStyle name="Saída 2 2 4 34 2 3" xfId="41501"/>
    <cellStyle name="Saída 2 2 4 34 3" xfId="41502"/>
    <cellStyle name="Saída 2 2 4 34 4" xfId="41503"/>
    <cellStyle name="Saída 2 2 4 35" xfId="41504"/>
    <cellStyle name="Saída 2 2 4 35 2" xfId="41505"/>
    <cellStyle name="Saída 2 2 4 35 2 2" xfId="41506"/>
    <cellStyle name="Saída 2 2 4 35 2 3" xfId="41507"/>
    <cellStyle name="Saída 2 2 4 35 3" xfId="41508"/>
    <cellStyle name="Saída 2 2 4 35 4" xfId="41509"/>
    <cellStyle name="Saída 2 2 4 36" xfId="41510"/>
    <cellStyle name="Saída 2 2 4 36 2" xfId="41511"/>
    <cellStyle name="Saída 2 2 4 36 2 2" xfId="41512"/>
    <cellStyle name="Saída 2 2 4 36 2 3" xfId="41513"/>
    <cellStyle name="Saída 2 2 4 36 3" xfId="41514"/>
    <cellStyle name="Saída 2 2 4 36 4" xfId="41515"/>
    <cellStyle name="Saída 2 2 4 37" xfId="41516"/>
    <cellStyle name="Saída 2 2 4 37 2" xfId="41517"/>
    <cellStyle name="Saída 2 2 4 37 2 2" xfId="41518"/>
    <cellStyle name="Saída 2 2 4 37 2 3" xfId="41519"/>
    <cellStyle name="Saída 2 2 4 37 3" xfId="41520"/>
    <cellStyle name="Saída 2 2 4 37 4" xfId="41521"/>
    <cellStyle name="Saída 2 2 4 38" xfId="41522"/>
    <cellStyle name="Saída 2 2 4 38 2" xfId="41523"/>
    <cellStyle name="Saída 2 2 4 38 3" xfId="41524"/>
    <cellStyle name="Saída 2 2 4 39" xfId="41525"/>
    <cellStyle name="Saída 2 2 4 39 2" xfId="41526"/>
    <cellStyle name="Saída 2 2 4 39 3" xfId="41527"/>
    <cellStyle name="Saída 2 2 4 4" xfId="41528"/>
    <cellStyle name="Saída 2 2 4 4 2" xfId="41529"/>
    <cellStyle name="Saída 2 2 4 4 2 2" xfId="41530"/>
    <cellStyle name="Saída 2 2 4 4 2 3" xfId="41531"/>
    <cellStyle name="Saída 2 2 4 4 3" xfId="41532"/>
    <cellStyle name="Saída 2 2 4 4 4" xfId="41533"/>
    <cellStyle name="Saída 2 2 4 40" xfId="41534"/>
    <cellStyle name="Saída 2 2 4 40 2" xfId="41535"/>
    <cellStyle name="Saída 2 2 4 40 3" xfId="41536"/>
    <cellStyle name="Saída 2 2 4 41" xfId="41537"/>
    <cellStyle name="Saída 2 2 4 42" xfId="41538"/>
    <cellStyle name="Saída 2 2 4 5" xfId="41539"/>
    <cellStyle name="Saída 2 2 4 5 2" xfId="41540"/>
    <cellStyle name="Saída 2 2 4 5 2 2" xfId="41541"/>
    <cellStyle name="Saída 2 2 4 5 2 3" xfId="41542"/>
    <cellStyle name="Saída 2 2 4 5 3" xfId="41543"/>
    <cellStyle name="Saída 2 2 4 5 4" xfId="41544"/>
    <cellStyle name="Saída 2 2 4 6" xfId="41545"/>
    <cellStyle name="Saída 2 2 4 6 2" xfId="41546"/>
    <cellStyle name="Saída 2 2 4 6 2 2" xfId="41547"/>
    <cellStyle name="Saída 2 2 4 6 2 3" xfId="41548"/>
    <cellStyle name="Saída 2 2 4 6 3" xfId="41549"/>
    <cellStyle name="Saída 2 2 4 6 4" xfId="41550"/>
    <cellStyle name="Saída 2 2 4 7" xfId="41551"/>
    <cellStyle name="Saída 2 2 4 7 2" xfId="41552"/>
    <cellStyle name="Saída 2 2 4 7 2 2" xfId="41553"/>
    <cellStyle name="Saída 2 2 4 7 2 3" xfId="41554"/>
    <cellStyle name="Saída 2 2 4 7 3" xfId="41555"/>
    <cellStyle name="Saída 2 2 4 7 4" xfId="41556"/>
    <cellStyle name="Saída 2 2 4 8" xfId="41557"/>
    <cellStyle name="Saída 2 2 4 8 2" xfId="41558"/>
    <cellStyle name="Saída 2 2 4 8 2 2" xfId="41559"/>
    <cellStyle name="Saída 2 2 4 8 2 3" xfId="41560"/>
    <cellStyle name="Saída 2 2 4 8 3" xfId="41561"/>
    <cellStyle name="Saída 2 2 4 8 4" xfId="41562"/>
    <cellStyle name="Saída 2 2 4 9" xfId="41563"/>
    <cellStyle name="Saída 2 2 4 9 2" xfId="41564"/>
    <cellStyle name="Saída 2 2 4 9 2 2" xfId="41565"/>
    <cellStyle name="Saída 2 2 4 9 2 3" xfId="41566"/>
    <cellStyle name="Saída 2 2 4 9 3" xfId="41567"/>
    <cellStyle name="Saída 2 2 4 9 4" xfId="41568"/>
    <cellStyle name="Saída 2 2 5" xfId="41569"/>
    <cellStyle name="Saída 2 2 5 10" xfId="41570"/>
    <cellStyle name="Saída 2 2 5 10 2" xfId="41571"/>
    <cellStyle name="Saída 2 2 5 10 2 2" xfId="41572"/>
    <cellStyle name="Saída 2 2 5 10 2 3" xfId="41573"/>
    <cellStyle name="Saída 2 2 5 10 3" xfId="41574"/>
    <cellStyle name="Saída 2 2 5 10 4" xfId="41575"/>
    <cellStyle name="Saída 2 2 5 11" xfId="41576"/>
    <cellStyle name="Saída 2 2 5 11 2" xfId="41577"/>
    <cellStyle name="Saída 2 2 5 11 2 2" xfId="41578"/>
    <cellStyle name="Saída 2 2 5 11 2 3" xfId="41579"/>
    <cellStyle name="Saída 2 2 5 11 3" xfId="41580"/>
    <cellStyle name="Saída 2 2 5 11 4" xfId="41581"/>
    <cellStyle name="Saída 2 2 5 12" xfId="41582"/>
    <cellStyle name="Saída 2 2 5 12 2" xfId="41583"/>
    <cellStyle name="Saída 2 2 5 12 2 2" xfId="41584"/>
    <cellStyle name="Saída 2 2 5 12 2 3" xfId="41585"/>
    <cellStyle name="Saída 2 2 5 12 3" xfId="41586"/>
    <cellStyle name="Saída 2 2 5 12 4" xfId="41587"/>
    <cellStyle name="Saída 2 2 5 13" xfId="41588"/>
    <cellStyle name="Saída 2 2 5 13 2" xfId="41589"/>
    <cellStyle name="Saída 2 2 5 13 2 2" xfId="41590"/>
    <cellStyle name="Saída 2 2 5 13 2 3" xfId="41591"/>
    <cellStyle name="Saída 2 2 5 13 3" xfId="41592"/>
    <cellStyle name="Saída 2 2 5 13 4" xfId="41593"/>
    <cellStyle name="Saída 2 2 5 14" xfId="41594"/>
    <cellStyle name="Saída 2 2 5 14 2" xfId="41595"/>
    <cellStyle name="Saída 2 2 5 14 2 2" xfId="41596"/>
    <cellStyle name="Saída 2 2 5 14 2 3" xfId="41597"/>
    <cellStyle name="Saída 2 2 5 14 3" xfId="41598"/>
    <cellStyle name="Saída 2 2 5 14 4" xfId="41599"/>
    <cellStyle name="Saída 2 2 5 15" xfId="41600"/>
    <cellStyle name="Saída 2 2 5 15 2" xfId="41601"/>
    <cellStyle name="Saída 2 2 5 15 2 2" xfId="41602"/>
    <cellStyle name="Saída 2 2 5 15 2 3" xfId="41603"/>
    <cellStyle name="Saída 2 2 5 15 3" xfId="41604"/>
    <cellStyle name="Saída 2 2 5 15 4" xfId="41605"/>
    <cellStyle name="Saída 2 2 5 16" xfId="41606"/>
    <cellStyle name="Saída 2 2 5 16 2" xfId="41607"/>
    <cellStyle name="Saída 2 2 5 16 2 2" xfId="41608"/>
    <cellStyle name="Saída 2 2 5 16 2 3" xfId="41609"/>
    <cellStyle name="Saída 2 2 5 16 3" xfId="41610"/>
    <cellStyle name="Saída 2 2 5 16 4" xfId="41611"/>
    <cellStyle name="Saída 2 2 5 17" xfId="41612"/>
    <cellStyle name="Saída 2 2 5 17 2" xfId="41613"/>
    <cellStyle name="Saída 2 2 5 17 2 2" xfId="41614"/>
    <cellStyle name="Saída 2 2 5 17 2 3" xfId="41615"/>
    <cellStyle name="Saída 2 2 5 17 3" xfId="41616"/>
    <cellStyle name="Saída 2 2 5 17 4" xfId="41617"/>
    <cellStyle name="Saída 2 2 5 18" xfId="41618"/>
    <cellStyle name="Saída 2 2 5 18 2" xfId="41619"/>
    <cellStyle name="Saída 2 2 5 18 2 2" xfId="41620"/>
    <cellStyle name="Saída 2 2 5 18 2 3" xfId="41621"/>
    <cellStyle name="Saída 2 2 5 18 3" xfId="41622"/>
    <cellStyle name="Saída 2 2 5 18 4" xfId="41623"/>
    <cellStyle name="Saída 2 2 5 19" xfId="41624"/>
    <cellStyle name="Saída 2 2 5 19 2" xfId="41625"/>
    <cellStyle name="Saída 2 2 5 19 2 2" xfId="41626"/>
    <cellStyle name="Saída 2 2 5 19 2 3" xfId="41627"/>
    <cellStyle name="Saída 2 2 5 19 3" xfId="41628"/>
    <cellStyle name="Saída 2 2 5 19 4" xfId="41629"/>
    <cellStyle name="Saída 2 2 5 2" xfId="41630"/>
    <cellStyle name="Saída 2 2 5 2 2" xfId="41631"/>
    <cellStyle name="Saída 2 2 5 2 2 2" xfId="41632"/>
    <cellStyle name="Saída 2 2 5 2 2 3" xfId="41633"/>
    <cellStyle name="Saída 2 2 5 2 3" xfId="41634"/>
    <cellStyle name="Saída 2 2 5 2 4" xfId="41635"/>
    <cellStyle name="Saída 2 2 5 20" xfId="41636"/>
    <cellStyle name="Saída 2 2 5 20 2" xfId="41637"/>
    <cellStyle name="Saída 2 2 5 20 2 2" xfId="41638"/>
    <cellStyle name="Saída 2 2 5 20 2 3" xfId="41639"/>
    <cellStyle name="Saída 2 2 5 20 3" xfId="41640"/>
    <cellStyle name="Saída 2 2 5 20 4" xfId="41641"/>
    <cellStyle name="Saída 2 2 5 21" xfId="41642"/>
    <cellStyle name="Saída 2 2 5 21 2" xfId="41643"/>
    <cellStyle name="Saída 2 2 5 21 2 2" xfId="41644"/>
    <cellStyle name="Saída 2 2 5 21 2 3" xfId="41645"/>
    <cellStyle name="Saída 2 2 5 21 3" xfId="41646"/>
    <cellStyle name="Saída 2 2 5 21 4" xfId="41647"/>
    <cellStyle name="Saída 2 2 5 22" xfId="41648"/>
    <cellStyle name="Saída 2 2 5 22 2" xfId="41649"/>
    <cellStyle name="Saída 2 2 5 22 2 2" xfId="41650"/>
    <cellStyle name="Saída 2 2 5 22 2 3" xfId="41651"/>
    <cellStyle name="Saída 2 2 5 22 3" xfId="41652"/>
    <cellStyle name="Saída 2 2 5 22 4" xfId="41653"/>
    <cellStyle name="Saída 2 2 5 23" xfId="41654"/>
    <cellStyle name="Saída 2 2 5 23 2" xfId="41655"/>
    <cellStyle name="Saída 2 2 5 23 2 2" xfId="41656"/>
    <cellStyle name="Saída 2 2 5 23 2 3" xfId="41657"/>
    <cellStyle name="Saída 2 2 5 23 3" xfId="41658"/>
    <cellStyle name="Saída 2 2 5 23 4" xfId="41659"/>
    <cellStyle name="Saída 2 2 5 24" xfId="41660"/>
    <cellStyle name="Saída 2 2 5 24 2" xfId="41661"/>
    <cellStyle name="Saída 2 2 5 24 2 2" xfId="41662"/>
    <cellStyle name="Saída 2 2 5 24 2 3" xfId="41663"/>
    <cellStyle name="Saída 2 2 5 24 3" xfId="41664"/>
    <cellStyle name="Saída 2 2 5 24 4" xfId="41665"/>
    <cellStyle name="Saída 2 2 5 25" xfId="41666"/>
    <cellStyle name="Saída 2 2 5 25 2" xfId="41667"/>
    <cellStyle name="Saída 2 2 5 25 2 2" xfId="41668"/>
    <cellStyle name="Saída 2 2 5 25 2 3" xfId="41669"/>
    <cellStyle name="Saída 2 2 5 25 3" xfId="41670"/>
    <cellStyle name="Saída 2 2 5 25 4" xfId="41671"/>
    <cellStyle name="Saída 2 2 5 26" xfId="41672"/>
    <cellStyle name="Saída 2 2 5 26 2" xfId="41673"/>
    <cellStyle name="Saída 2 2 5 26 2 2" xfId="41674"/>
    <cellStyle name="Saída 2 2 5 26 2 3" xfId="41675"/>
    <cellStyle name="Saída 2 2 5 26 3" xfId="41676"/>
    <cellStyle name="Saída 2 2 5 26 4" xfId="41677"/>
    <cellStyle name="Saída 2 2 5 27" xfId="41678"/>
    <cellStyle name="Saída 2 2 5 27 2" xfId="41679"/>
    <cellStyle name="Saída 2 2 5 27 2 2" xfId="41680"/>
    <cellStyle name="Saída 2 2 5 27 2 3" xfId="41681"/>
    <cellStyle name="Saída 2 2 5 27 3" xfId="41682"/>
    <cellStyle name="Saída 2 2 5 27 4" xfId="41683"/>
    <cellStyle name="Saída 2 2 5 28" xfId="41684"/>
    <cellStyle name="Saída 2 2 5 28 2" xfId="41685"/>
    <cellStyle name="Saída 2 2 5 28 2 2" xfId="41686"/>
    <cellStyle name="Saída 2 2 5 28 2 3" xfId="41687"/>
    <cellStyle name="Saída 2 2 5 28 3" xfId="41688"/>
    <cellStyle name="Saída 2 2 5 28 4" xfId="41689"/>
    <cellStyle name="Saída 2 2 5 29" xfId="41690"/>
    <cellStyle name="Saída 2 2 5 29 2" xfId="41691"/>
    <cellStyle name="Saída 2 2 5 29 2 2" xfId="41692"/>
    <cellStyle name="Saída 2 2 5 29 2 3" xfId="41693"/>
    <cellStyle name="Saída 2 2 5 29 3" xfId="41694"/>
    <cellStyle name="Saída 2 2 5 29 4" xfId="41695"/>
    <cellStyle name="Saída 2 2 5 3" xfId="41696"/>
    <cellStyle name="Saída 2 2 5 3 2" xfId="41697"/>
    <cellStyle name="Saída 2 2 5 3 2 2" xfId="41698"/>
    <cellStyle name="Saída 2 2 5 3 2 3" xfId="41699"/>
    <cellStyle name="Saída 2 2 5 3 3" xfId="41700"/>
    <cellStyle name="Saída 2 2 5 3 4" xfId="41701"/>
    <cellStyle name="Saída 2 2 5 30" xfId="41702"/>
    <cellStyle name="Saída 2 2 5 30 2" xfId="41703"/>
    <cellStyle name="Saída 2 2 5 30 2 2" xfId="41704"/>
    <cellStyle name="Saída 2 2 5 30 2 3" xfId="41705"/>
    <cellStyle name="Saída 2 2 5 30 3" xfId="41706"/>
    <cellStyle name="Saída 2 2 5 30 4" xfId="41707"/>
    <cellStyle name="Saída 2 2 5 31" xfId="41708"/>
    <cellStyle name="Saída 2 2 5 31 2" xfId="41709"/>
    <cellStyle name="Saída 2 2 5 31 2 2" xfId="41710"/>
    <cellStyle name="Saída 2 2 5 31 2 3" xfId="41711"/>
    <cellStyle name="Saída 2 2 5 31 3" xfId="41712"/>
    <cellStyle name="Saída 2 2 5 31 4" xfId="41713"/>
    <cellStyle name="Saída 2 2 5 32" xfId="41714"/>
    <cellStyle name="Saída 2 2 5 32 2" xfId="41715"/>
    <cellStyle name="Saída 2 2 5 32 2 2" xfId="41716"/>
    <cellStyle name="Saída 2 2 5 32 2 3" xfId="41717"/>
    <cellStyle name="Saída 2 2 5 32 3" xfId="41718"/>
    <cellStyle name="Saída 2 2 5 32 4" xfId="41719"/>
    <cellStyle name="Saída 2 2 5 33" xfId="41720"/>
    <cellStyle name="Saída 2 2 5 33 2" xfId="41721"/>
    <cellStyle name="Saída 2 2 5 33 2 2" xfId="41722"/>
    <cellStyle name="Saída 2 2 5 33 2 3" xfId="41723"/>
    <cellStyle name="Saída 2 2 5 33 3" xfId="41724"/>
    <cellStyle name="Saída 2 2 5 33 4" xfId="41725"/>
    <cellStyle name="Saída 2 2 5 34" xfId="41726"/>
    <cellStyle name="Saída 2 2 5 34 2" xfId="41727"/>
    <cellStyle name="Saída 2 2 5 34 2 2" xfId="41728"/>
    <cellStyle name="Saída 2 2 5 34 2 3" xfId="41729"/>
    <cellStyle name="Saída 2 2 5 34 3" xfId="41730"/>
    <cellStyle name="Saída 2 2 5 34 4" xfId="41731"/>
    <cellStyle name="Saída 2 2 5 35" xfId="41732"/>
    <cellStyle name="Saída 2 2 5 35 2" xfId="41733"/>
    <cellStyle name="Saída 2 2 5 35 2 2" xfId="41734"/>
    <cellStyle name="Saída 2 2 5 35 2 3" xfId="41735"/>
    <cellStyle name="Saída 2 2 5 35 3" xfId="41736"/>
    <cellStyle name="Saída 2 2 5 35 4" xfId="41737"/>
    <cellStyle name="Saída 2 2 5 36" xfId="41738"/>
    <cellStyle name="Saída 2 2 5 36 2" xfId="41739"/>
    <cellStyle name="Saída 2 2 5 36 2 2" xfId="41740"/>
    <cellStyle name="Saída 2 2 5 36 2 3" xfId="41741"/>
    <cellStyle name="Saída 2 2 5 36 3" xfId="41742"/>
    <cellStyle name="Saída 2 2 5 36 4" xfId="41743"/>
    <cellStyle name="Saída 2 2 5 37" xfId="41744"/>
    <cellStyle name="Saída 2 2 5 37 2" xfId="41745"/>
    <cellStyle name="Saída 2 2 5 37 2 2" xfId="41746"/>
    <cellStyle name="Saída 2 2 5 37 2 3" xfId="41747"/>
    <cellStyle name="Saída 2 2 5 37 3" xfId="41748"/>
    <cellStyle name="Saída 2 2 5 37 4" xfId="41749"/>
    <cellStyle name="Saída 2 2 5 38" xfId="41750"/>
    <cellStyle name="Saída 2 2 5 38 2" xfId="41751"/>
    <cellStyle name="Saída 2 2 5 38 2 2" xfId="41752"/>
    <cellStyle name="Saída 2 2 5 38 2 3" xfId="41753"/>
    <cellStyle name="Saída 2 2 5 38 3" xfId="41754"/>
    <cellStyle name="Saída 2 2 5 38 4" xfId="41755"/>
    <cellStyle name="Saída 2 2 5 39" xfId="41756"/>
    <cellStyle name="Saída 2 2 5 39 2" xfId="41757"/>
    <cellStyle name="Saída 2 2 5 39 3" xfId="41758"/>
    <cellStyle name="Saída 2 2 5 4" xfId="41759"/>
    <cellStyle name="Saída 2 2 5 4 2" xfId="41760"/>
    <cellStyle name="Saída 2 2 5 4 2 2" xfId="41761"/>
    <cellStyle name="Saída 2 2 5 4 2 3" xfId="41762"/>
    <cellStyle name="Saída 2 2 5 4 3" xfId="41763"/>
    <cellStyle name="Saída 2 2 5 4 4" xfId="41764"/>
    <cellStyle name="Saída 2 2 5 40" xfId="41765"/>
    <cellStyle name="Saída 2 2 5 40 2" xfId="41766"/>
    <cellStyle name="Saída 2 2 5 40 3" xfId="41767"/>
    <cellStyle name="Saída 2 2 5 41" xfId="41768"/>
    <cellStyle name="Saída 2 2 5 41 2" xfId="41769"/>
    <cellStyle name="Saída 2 2 5 41 3" xfId="41770"/>
    <cellStyle name="Saída 2 2 5 42" xfId="41771"/>
    <cellStyle name="Saída 2 2 5 43" xfId="41772"/>
    <cellStyle name="Saída 2 2 5 5" xfId="41773"/>
    <cellStyle name="Saída 2 2 5 5 2" xfId="41774"/>
    <cellStyle name="Saída 2 2 5 5 2 2" xfId="41775"/>
    <cellStyle name="Saída 2 2 5 5 2 3" xfId="41776"/>
    <cellStyle name="Saída 2 2 5 5 3" xfId="41777"/>
    <cellStyle name="Saída 2 2 5 5 4" xfId="41778"/>
    <cellStyle name="Saída 2 2 5 6" xfId="41779"/>
    <cellStyle name="Saída 2 2 5 6 2" xfId="41780"/>
    <cellStyle name="Saída 2 2 5 6 2 2" xfId="41781"/>
    <cellStyle name="Saída 2 2 5 6 2 3" xfId="41782"/>
    <cellStyle name="Saída 2 2 5 6 3" xfId="41783"/>
    <cellStyle name="Saída 2 2 5 6 4" xfId="41784"/>
    <cellStyle name="Saída 2 2 5 7" xfId="41785"/>
    <cellStyle name="Saída 2 2 5 7 2" xfId="41786"/>
    <cellStyle name="Saída 2 2 5 7 2 2" xfId="41787"/>
    <cellStyle name="Saída 2 2 5 7 2 3" xfId="41788"/>
    <cellStyle name="Saída 2 2 5 7 3" xfId="41789"/>
    <cellStyle name="Saída 2 2 5 7 4" xfId="41790"/>
    <cellStyle name="Saída 2 2 5 8" xfId="41791"/>
    <cellStyle name="Saída 2 2 5 8 2" xfId="41792"/>
    <cellStyle name="Saída 2 2 5 8 2 2" xfId="41793"/>
    <cellStyle name="Saída 2 2 5 8 2 3" xfId="41794"/>
    <cellStyle name="Saída 2 2 5 8 3" xfId="41795"/>
    <cellStyle name="Saída 2 2 5 8 4" xfId="41796"/>
    <cellStyle name="Saída 2 2 5 9" xfId="41797"/>
    <cellStyle name="Saída 2 2 5 9 2" xfId="41798"/>
    <cellStyle name="Saída 2 2 5 9 2 2" xfId="41799"/>
    <cellStyle name="Saída 2 2 5 9 2 3" xfId="41800"/>
    <cellStyle name="Saída 2 2 5 9 3" xfId="41801"/>
    <cellStyle name="Saída 2 2 5 9 4" xfId="41802"/>
    <cellStyle name="Saída 2 2 6" xfId="41803"/>
    <cellStyle name="Saída 2 2 6 10" xfId="41804"/>
    <cellStyle name="Saída 2 2 6 10 2" xfId="41805"/>
    <cellStyle name="Saída 2 2 6 10 2 2" xfId="41806"/>
    <cellStyle name="Saída 2 2 6 10 2 3" xfId="41807"/>
    <cellStyle name="Saída 2 2 6 10 3" xfId="41808"/>
    <cellStyle name="Saída 2 2 6 10 4" xfId="41809"/>
    <cellStyle name="Saída 2 2 6 11" xfId="41810"/>
    <cellStyle name="Saída 2 2 6 11 2" xfId="41811"/>
    <cellStyle name="Saída 2 2 6 11 2 2" xfId="41812"/>
    <cellStyle name="Saída 2 2 6 11 2 3" xfId="41813"/>
    <cellStyle name="Saída 2 2 6 11 3" xfId="41814"/>
    <cellStyle name="Saída 2 2 6 11 4" xfId="41815"/>
    <cellStyle name="Saída 2 2 6 12" xfId="41816"/>
    <cellStyle name="Saída 2 2 6 12 2" xfId="41817"/>
    <cellStyle name="Saída 2 2 6 12 2 2" xfId="41818"/>
    <cellStyle name="Saída 2 2 6 12 2 3" xfId="41819"/>
    <cellStyle name="Saída 2 2 6 12 3" xfId="41820"/>
    <cellStyle name="Saída 2 2 6 12 4" xfId="41821"/>
    <cellStyle name="Saída 2 2 6 13" xfId="41822"/>
    <cellStyle name="Saída 2 2 6 13 2" xfId="41823"/>
    <cellStyle name="Saída 2 2 6 13 2 2" xfId="41824"/>
    <cellStyle name="Saída 2 2 6 13 2 3" xfId="41825"/>
    <cellStyle name="Saída 2 2 6 13 3" xfId="41826"/>
    <cellStyle name="Saída 2 2 6 13 4" xfId="41827"/>
    <cellStyle name="Saída 2 2 6 14" xfId="41828"/>
    <cellStyle name="Saída 2 2 6 14 2" xfId="41829"/>
    <cellStyle name="Saída 2 2 6 14 2 2" xfId="41830"/>
    <cellStyle name="Saída 2 2 6 14 2 3" xfId="41831"/>
    <cellStyle name="Saída 2 2 6 14 3" xfId="41832"/>
    <cellStyle name="Saída 2 2 6 14 4" xfId="41833"/>
    <cellStyle name="Saída 2 2 6 15" xfId="41834"/>
    <cellStyle name="Saída 2 2 6 15 2" xfId="41835"/>
    <cellStyle name="Saída 2 2 6 15 2 2" xfId="41836"/>
    <cellStyle name="Saída 2 2 6 15 2 3" xfId="41837"/>
    <cellStyle name="Saída 2 2 6 15 3" xfId="41838"/>
    <cellStyle name="Saída 2 2 6 15 4" xfId="41839"/>
    <cellStyle name="Saída 2 2 6 16" xfId="41840"/>
    <cellStyle name="Saída 2 2 6 16 2" xfId="41841"/>
    <cellStyle name="Saída 2 2 6 16 2 2" xfId="41842"/>
    <cellStyle name="Saída 2 2 6 16 2 3" xfId="41843"/>
    <cellStyle name="Saída 2 2 6 16 3" xfId="41844"/>
    <cellStyle name="Saída 2 2 6 16 4" xfId="41845"/>
    <cellStyle name="Saída 2 2 6 17" xfId="41846"/>
    <cellStyle name="Saída 2 2 6 17 2" xfId="41847"/>
    <cellStyle name="Saída 2 2 6 17 2 2" xfId="41848"/>
    <cellStyle name="Saída 2 2 6 17 2 3" xfId="41849"/>
    <cellStyle name="Saída 2 2 6 17 3" xfId="41850"/>
    <cellStyle name="Saída 2 2 6 17 4" xfId="41851"/>
    <cellStyle name="Saída 2 2 6 18" xfId="41852"/>
    <cellStyle name="Saída 2 2 6 18 2" xfId="41853"/>
    <cellStyle name="Saída 2 2 6 18 2 2" xfId="41854"/>
    <cellStyle name="Saída 2 2 6 18 2 3" xfId="41855"/>
    <cellStyle name="Saída 2 2 6 18 3" xfId="41856"/>
    <cellStyle name="Saída 2 2 6 18 4" xfId="41857"/>
    <cellStyle name="Saída 2 2 6 19" xfId="41858"/>
    <cellStyle name="Saída 2 2 6 19 2" xfId="41859"/>
    <cellStyle name="Saída 2 2 6 19 2 2" xfId="41860"/>
    <cellStyle name="Saída 2 2 6 19 2 3" xfId="41861"/>
    <cellStyle name="Saída 2 2 6 19 3" xfId="41862"/>
    <cellStyle name="Saída 2 2 6 19 4" xfId="41863"/>
    <cellStyle name="Saída 2 2 6 2" xfId="41864"/>
    <cellStyle name="Saída 2 2 6 2 2" xfId="41865"/>
    <cellStyle name="Saída 2 2 6 2 2 2" xfId="41866"/>
    <cellStyle name="Saída 2 2 6 2 2 3" xfId="41867"/>
    <cellStyle name="Saída 2 2 6 2 3" xfId="41868"/>
    <cellStyle name="Saída 2 2 6 2 4" xfId="41869"/>
    <cellStyle name="Saída 2 2 6 20" xfId="41870"/>
    <cellStyle name="Saída 2 2 6 20 2" xfId="41871"/>
    <cellStyle name="Saída 2 2 6 20 2 2" xfId="41872"/>
    <cellStyle name="Saída 2 2 6 20 2 3" xfId="41873"/>
    <cellStyle name="Saída 2 2 6 20 3" xfId="41874"/>
    <cellStyle name="Saída 2 2 6 20 4" xfId="41875"/>
    <cellStyle name="Saída 2 2 6 21" xfId="41876"/>
    <cellStyle name="Saída 2 2 6 21 2" xfId="41877"/>
    <cellStyle name="Saída 2 2 6 21 2 2" xfId="41878"/>
    <cellStyle name="Saída 2 2 6 21 2 3" xfId="41879"/>
    <cellStyle name="Saída 2 2 6 21 3" xfId="41880"/>
    <cellStyle name="Saída 2 2 6 21 4" xfId="41881"/>
    <cellStyle name="Saída 2 2 6 22" xfId="41882"/>
    <cellStyle name="Saída 2 2 6 22 2" xfId="41883"/>
    <cellStyle name="Saída 2 2 6 22 2 2" xfId="41884"/>
    <cellStyle name="Saída 2 2 6 22 2 3" xfId="41885"/>
    <cellStyle name="Saída 2 2 6 22 3" xfId="41886"/>
    <cellStyle name="Saída 2 2 6 22 4" xfId="41887"/>
    <cellStyle name="Saída 2 2 6 23" xfId="41888"/>
    <cellStyle name="Saída 2 2 6 23 2" xfId="41889"/>
    <cellStyle name="Saída 2 2 6 23 2 2" xfId="41890"/>
    <cellStyle name="Saída 2 2 6 23 2 3" xfId="41891"/>
    <cellStyle name="Saída 2 2 6 23 3" xfId="41892"/>
    <cellStyle name="Saída 2 2 6 23 4" xfId="41893"/>
    <cellStyle name="Saída 2 2 6 24" xfId="41894"/>
    <cellStyle name="Saída 2 2 6 24 2" xfId="41895"/>
    <cellStyle name="Saída 2 2 6 24 2 2" xfId="41896"/>
    <cellStyle name="Saída 2 2 6 24 2 3" xfId="41897"/>
    <cellStyle name="Saída 2 2 6 24 3" xfId="41898"/>
    <cellStyle name="Saída 2 2 6 24 4" xfId="41899"/>
    <cellStyle name="Saída 2 2 6 25" xfId="41900"/>
    <cellStyle name="Saída 2 2 6 25 2" xfId="41901"/>
    <cellStyle name="Saída 2 2 6 25 2 2" xfId="41902"/>
    <cellStyle name="Saída 2 2 6 25 2 3" xfId="41903"/>
    <cellStyle name="Saída 2 2 6 25 3" xfId="41904"/>
    <cellStyle name="Saída 2 2 6 25 4" xfId="41905"/>
    <cellStyle name="Saída 2 2 6 26" xfId="41906"/>
    <cellStyle name="Saída 2 2 6 26 2" xfId="41907"/>
    <cellStyle name="Saída 2 2 6 26 2 2" xfId="41908"/>
    <cellStyle name="Saída 2 2 6 26 2 3" xfId="41909"/>
    <cellStyle name="Saída 2 2 6 26 3" xfId="41910"/>
    <cellStyle name="Saída 2 2 6 26 4" xfId="41911"/>
    <cellStyle name="Saída 2 2 6 27" xfId="41912"/>
    <cellStyle name="Saída 2 2 6 27 2" xfId="41913"/>
    <cellStyle name="Saída 2 2 6 27 2 2" xfId="41914"/>
    <cellStyle name="Saída 2 2 6 27 2 3" xfId="41915"/>
    <cellStyle name="Saída 2 2 6 27 3" xfId="41916"/>
    <cellStyle name="Saída 2 2 6 27 4" xfId="41917"/>
    <cellStyle name="Saída 2 2 6 28" xfId="41918"/>
    <cellStyle name="Saída 2 2 6 28 2" xfId="41919"/>
    <cellStyle name="Saída 2 2 6 28 2 2" xfId="41920"/>
    <cellStyle name="Saída 2 2 6 28 2 3" xfId="41921"/>
    <cellStyle name="Saída 2 2 6 28 3" xfId="41922"/>
    <cellStyle name="Saída 2 2 6 28 4" xfId="41923"/>
    <cellStyle name="Saída 2 2 6 29" xfId="41924"/>
    <cellStyle name="Saída 2 2 6 29 2" xfId="41925"/>
    <cellStyle name="Saída 2 2 6 29 2 2" xfId="41926"/>
    <cellStyle name="Saída 2 2 6 29 2 3" xfId="41927"/>
    <cellStyle name="Saída 2 2 6 29 3" xfId="41928"/>
    <cellStyle name="Saída 2 2 6 29 4" xfId="41929"/>
    <cellStyle name="Saída 2 2 6 3" xfId="41930"/>
    <cellStyle name="Saída 2 2 6 3 2" xfId="41931"/>
    <cellStyle name="Saída 2 2 6 3 2 2" xfId="41932"/>
    <cellStyle name="Saída 2 2 6 3 2 3" xfId="41933"/>
    <cellStyle name="Saída 2 2 6 3 3" xfId="41934"/>
    <cellStyle name="Saída 2 2 6 3 4" xfId="41935"/>
    <cellStyle name="Saída 2 2 6 30" xfId="41936"/>
    <cellStyle name="Saída 2 2 6 30 2" xfId="41937"/>
    <cellStyle name="Saída 2 2 6 30 2 2" xfId="41938"/>
    <cellStyle name="Saída 2 2 6 30 2 3" xfId="41939"/>
    <cellStyle name="Saída 2 2 6 30 3" xfId="41940"/>
    <cellStyle name="Saída 2 2 6 30 4" xfId="41941"/>
    <cellStyle name="Saída 2 2 6 31" xfId="41942"/>
    <cellStyle name="Saída 2 2 6 31 2" xfId="41943"/>
    <cellStyle name="Saída 2 2 6 31 2 2" xfId="41944"/>
    <cellStyle name="Saída 2 2 6 31 2 3" xfId="41945"/>
    <cellStyle name="Saída 2 2 6 31 3" xfId="41946"/>
    <cellStyle name="Saída 2 2 6 31 4" xfId="41947"/>
    <cellStyle name="Saída 2 2 6 32" xfId="41948"/>
    <cellStyle name="Saída 2 2 6 32 2" xfId="41949"/>
    <cellStyle name="Saída 2 2 6 32 2 2" xfId="41950"/>
    <cellStyle name="Saída 2 2 6 32 2 3" xfId="41951"/>
    <cellStyle name="Saída 2 2 6 32 3" xfId="41952"/>
    <cellStyle name="Saída 2 2 6 32 4" xfId="41953"/>
    <cellStyle name="Saída 2 2 6 33" xfId="41954"/>
    <cellStyle name="Saída 2 2 6 33 2" xfId="41955"/>
    <cellStyle name="Saída 2 2 6 33 2 2" xfId="41956"/>
    <cellStyle name="Saída 2 2 6 33 2 3" xfId="41957"/>
    <cellStyle name="Saída 2 2 6 33 3" xfId="41958"/>
    <cellStyle name="Saída 2 2 6 33 4" xfId="41959"/>
    <cellStyle name="Saída 2 2 6 34" xfId="41960"/>
    <cellStyle name="Saída 2 2 6 34 2" xfId="41961"/>
    <cellStyle name="Saída 2 2 6 34 2 2" xfId="41962"/>
    <cellStyle name="Saída 2 2 6 34 2 3" xfId="41963"/>
    <cellStyle name="Saída 2 2 6 34 3" xfId="41964"/>
    <cellStyle name="Saída 2 2 6 34 4" xfId="41965"/>
    <cellStyle name="Saída 2 2 6 35" xfId="41966"/>
    <cellStyle name="Saída 2 2 6 35 2" xfId="41967"/>
    <cellStyle name="Saída 2 2 6 35 2 2" xfId="41968"/>
    <cellStyle name="Saída 2 2 6 35 2 3" xfId="41969"/>
    <cellStyle name="Saída 2 2 6 35 3" xfId="41970"/>
    <cellStyle name="Saída 2 2 6 35 4" xfId="41971"/>
    <cellStyle name="Saída 2 2 6 36" xfId="41972"/>
    <cellStyle name="Saída 2 2 6 36 2" xfId="41973"/>
    <cellStyle name="Saída 2 2 6 36 2 2" xfId="41974"/>
    <cellStyle name="Saída 2 2 6 36 2 3" xfId="41975"/>
    <cellStyle name="Saída 2 2 6 36 3" xfId="41976"/>
    <cellStyle name="Saída 2 2 6 36 4" xfId="41977"/>
    <cellStyle name="Saída 2 2 6 37" xfId="41978"/>
    <cellStyle name="Saída 2 2 6 37 2" xfId="41979"/>
    <cellStyle name="Saída 2 2 6 37 2 2" xfId="41980"/>
    <cellStyle name="Saída 2 2 6 37 2 3" xfId="41981"/>
    <cellStyle name="Saída 2 2 6 37 3" xfId="41982"/>
    <cellStyle name="Saída 2 2 6 37 4" xfId="41983"/>
    <cellStyle name="Saída 2 2 6 38" xfId="41984"/>
    <cellStyle name="Saída 2 2 6 38 2" xfId="41985"/>
    <cellStyle name="Saída 2 2 6 38 2 2" xfId="41986"/>
    <cellStyle name="Saída 2 2 6 38 2 3" xfId="41987"/>
    <cellStyle name="Saída 2 2 6 38 3" xfId="41988"/>
    <cellStyle name="Saída 2 2 6 38 4" xfId="41989"/>
    <cellStyle name="Saída 2 2 6 39" xfId="41990"/>
    <cellStyle name="Saída 2 2 6 39 2" xfId="41991"/>
    <cellStyle name="Saída 2 2 6 39 2 2" xfId="41992"/>
    <cellStyle name="Saída 2 2 6 39 2 3" xfId="41993"/>
    <cellStyle name="Saída 2 2 6 39 3" xfId="41994"/>
    <cellStyle name="Saída 2 2 6 39 4" xfId="41995"/>
    <cellStyle name="Saída 2 2 6 4" xfId="41996"/>
    <cellStyle name="Saída 2 2 6 4 2" xfId="41997"/>
    <cellStyle name="Saída 2 2 6 4 2 2" xfId="41998"/>
    <cellStyle name="Saída 2 2 6 4 2 3" xfId="41999"/>
    <cellStyle name="Saída 2 2 6 4 3" xfId="42000"/>
    <cellStyle name="Saída 2 2 6 4 4" xfId="42001"/>
    <cellStyle name="Saída 2 2 6 40" xfId="42002"/>
    <cellStyle name="Saída 2 2 6 40 2" xfId="42003"/>
    <cellStyle name="Saída 2 2 6 40 2 2" xfId="42004"/>
    <cellStyle name="Saída 2 2 6 40 2 3" xfId="42005"/>
    <cellStyle name="Saída 2 2 6 40 3" xfId="42006"/>
    <cellStyle name="Saída 2 2 6 40 4" xfId="42007"/>
    <cellStyle name="Saída 2 2 6 41" xfId="42008"/>
    <cellStyle name="Saída 2 2 6 41 2" xfId="42009"/>
    <cellStyle name="Saída 2 2 6 41 2 2" xfId="42010"/>
    <cellStyle name="Saída 2 2 6 41 2 3" xfId="42011"/>
    <cellStyle name="Saída 2 2 6 41 3" xfId="42012"/>
    <cellStyle name="Saída 2 2 6 41 4" xfId="42013"/>
    <cellStyle name="Saída 2 2 6 42" xfId="42014"/>
    <cellStyle name="Saída 2 2 6 42 2" xfId="42015"/>
    <cellStyle name="Saída 2 2 6 42 3" xfId="42016"/>
    <cellStyle name="Saída 2 2 6 43" xfId="42017"/>
    <cellStyle name="Saída 2 2 6 43 2" xfId="42018"/>
    <cellStyle name="Saída 2 2 6 43 3" xfId="42019"/>
    <cellStyle name="Saída 2 2 6 44" xfId="42020"/>
    <cellStyle name="Saída 2 2 6 45" xfId="42021"/>
    <cellStyle name="Saída 2 2 6 5" xfId="42022"/>
    <cellStyle name="Saída 2 2 6 5 2" xfId="42023"/>
    <cellStyle name="Saída 2 2 6 5 2 2" xfId="42024"/>
    <cellStyle name="Saída 2 2 6 5 2 3" xfId="42025"/>
    <cellStyle name="Saída 2 2 6 5 3" xfId="42026"/>
    <cellStyle name="Saída 2 2 6 5 4" xfId="42027"/>
    <cellStyle name="Saída 2 2 6 6" xfId="42028"/>
    <cellStyle name="Saída 2 2 6 6 2" xfId="42029"/>
    <cellStyle name="Saída 2 2 6 6 2 2" xfId="42030"/>
    <cellStyle name="Saída 2 2 6 6 2 3" xfId="42031"/>
    <cellStyle name="Saída 2 2 6 6 3" xfId="42032"/>
    <cellStyle name="Saída 2 2 6 6 4" xfId="42033"/>
    <cellStyle name="Saída 2 2 6 7" xfId="42034"/>
    <cellStyle name="Saída 2 2 6 7 2" xfId="42035"/>
    <cellStyle name="Saída 2 2 6 7 2 2" xfId="42036"/>
    <cellStyle name="Saída 2 2 6 7 2 3" xfId="42037"/>
    <cellStyle name="Saída 2 2 6 7 3" xfId="42038"/>
    <cellStyle name="Saída 2 2 6 7 4" xfId="42039"/>
    <cellStyle name="Saída 2 2 6 8" xfId="42040"/>
    <cellStyle name="Saída 2 2 6 8 2" xfId="42041"/>
    <cellStyle name="Saída 2 2 6 8 2 2" xfId="42042"/>
    <cellStyle name="Saída 2 2 6 8 2 3" xfId="42043"/>
    <cellStyle name="Saída 2 2 6 8 3" xfId="42044"/>
    <cellStyle name="Saída 2 2 6 8 4" xfId="42045"/>
    <cellStyle name="Saída 2 2 6 9" xfId="42046"/>
    <cellStyle name="Saída 2 2 6 9 2" xfId="42047"/>
    <cellStyle name="Saída 2 2 6 9 2 2" xfId="42048"/>
    <cellStyle name="Saída 2 2 6 9 2 3" xfId="42049"/>
    <cellStyle name="Saída 2 2 6 9 3" xfId="42050"/>
    <cellStyle name="Saída 2 2 6 9 4" xfId="42051"/>
    <cellStyle name="Saída 2 2 7" xfId="42052"/>
    <cellStyle name="Saída 2 2 7 2" xfId="42053"/>
    <cellStyle name="Saída 2 2 7 2 2" xfId="42054"/>
    <cellStyle name="Saída 2 2 7 2 3" xfId="42055"/>
    <cellStyle name="Saída 2 2 7 3" xfId="42056"/>
    <cellStyle name="Saída 2 2 7 4" xfId="42057"/>
    <cellStyle name="Saída 2 2 8" xfId="42058"/>
    <cellStyle name="Saída 2 2 8 2" xfId="42059"/>
    <cellStyle name="Saída 2 2 8 2 2" xfId="42060"/>
    <cellStyle name="Saída 2 2 8 2 3" xfId="42061"/>
    <cellStyle name="Saída 2 2 8 3" xfId="42062"/>
    <cellStyle name="Saída 2 2 8 4" xfId="42063"/>
    <cellStyle name="Saída 2 2 9" xfId="42064"/>
    <cellStyle name="Saída 2 2 9 2" xfId="42065"/>
    <cellStyle name="Saída 2 2 9 2 2" xfId="42066"/>
    <cellStyle name="Saída 2 2 9 2 3" xfId="42067"/>
    <cellStyle name="Saída 2 2 9 3" xfId="42068"/>
    <cellStyle name="Saída 2 2 9 4" xfId="42069"/>
    <cellStyle name="Saída 2 20" xfId="42070"/>
    <cellStyle name="Saída 2 20 2" xfId="42071"/>
    <cellStyle name="Saída 2 20 2 2" xfId="42072"/>
    <cellStyle name="Saída 2 20 2 3" xfId="42073"/>
    <cellStyle name="Saída 2 20 3" xfId="42074"/>
    <cellStyle name="Saída 2 20 4" xfId="42075"/>
    <cellStyle name="Saída 2 21" xfId="42076"/>
    <cellStyle name="Saída 2 21 2" xfId="42077"/>
    <cellStyle name="Saída 2 21 2 2" xfId="42078"/>
    <cellStyle name="Saída 2 21 2 3" xfId="42079"/>
    <cellStyle name="Saída 2 21 3" xfId="42080"/>
    <cellStyle name="Saída 2 21 4" xfId="42081"/>
    <cellStyle name="Saída 2 22" xfId="42082"/>
    <cellStyle name="Saída 2 22 2" xfId="42083"/>
    <cellStyle name="Saída 2 22 2 2" xfId="42084"/>
    <cellStyle name="Saída 2 22 2 3" xfId="42085"/>
    <cellStyle name="Saída 2 22 3" xfId="42086"/>
    <cellStyle name="Saída 2 22 4" xfId="42087"/>
    <cellStyle name="Saída 2 23" xfId="42088"/>
    <cellStyle name="Saída 2 23 2" xfId="42089"/>
    <cellStyle name="Saída 2 23 2 2" xfId="42090"/>
    <cellStyle name="Saída 2 23 2 3" xfId="42091"/>
    <cellStyle name="Saída 2 23 3" xfId="42092"/>
    <cellStyle name="Saída 2 23 4" xfId="42093"/>
    <cellStyle name="Saída 2 24" xfId="42094"/>
    <cellStyle name="Saída 2 24 2" xfId="42095"/>
    <cellStyle name="Saída 2 24 2 2" xfId="42096"/>
    <cellStyle name="Saída 2 24 2 3" xfId="42097"/>
    <cellStyle name="Saída 2 24 3" xfId="42098"/>
    <cellStyle name="Saída 2 24 4" xfId="42099"/>
    <cellStyle name="Saída 2 25" xfId="42100"/>
    <cellStyle name="Saída 2 25 2" xfId="42101"/>
    <cellStyle name="Saída 2 25 2 2" xfId="42102"/>
    <cellStyle name="Saída 2 25 2 3" xfId="42103"/>
    <cellStyle name="Saída 2 25 3" xfId="42104"/>
    <cellStyle name="Saída 2 25 4" xfId="42105"/>
    <cellStyle name="Saída 2 26" xfId="42106"/>
    <cellStyle name="Saída 2 26 2" xfId="42107"/>
    <cellStyle name="Saída 2 26 2 2" xfId="42108"/>
    <cellStyle name="Saída 2 26 2 3" xfId="42109"/>
    <cellStyle name="Saída 2 26 3" xfId="42110"/>
    <cellStyle name="Saída 2 26 4" xfId="42111"/>
    <cellStyle name="Saída 2 27" xfId="42112"/>
    <cellStyle name="Saída 2 27 2" xfId="42113"/>
    <cellStyle name="Saída 2 27 2 2" xfId="42114"/>
    <cellStyle name="Saída 2 27 2 3" xfId="42115"/>
    <cellStyle name="Saída 2 27 3" xfId="42116"/>
    <cellStyle name="Saída 2 27 4" xfId="42117"/>
    <cellStyle name="Saída 2 28" xfId="42118"/>
    <cellStyle name="Saída 2 28 2" xfId="42119"/>
    <cellStyle name="Saída 2 28 2 2" xfId="42120"/>
    <cellStyle name="Saída 2 28 2 3" xfId="42121"/>
    <cellStyle name="Saída 2 28 3" xfId="42122"/>
    <cellStyle name="Saída 2 28 4" xfId="42123"/>
    <cellStyle name="Saída 2 29" xfId="42124"/>
    <cellStyle name="Saída 2 29 2" xfId="42125"/>
    <cellStyle name="Saída 2 29 2 2" xfId="42126"/>
    <cellStyle name="Saída 2 29 2 3" xfId="42127"/>
    <cellStyle name="Saída 2 29 3" xfId="42128"/>
    <cellStyle name="Saída 2 29 4" xfId="42129"/>
    <cellStyle name="Saída 2 3" xfId="42130"/>
    <cellStyle name="Saída 2 3 10" xfId="42131"/>
    <cellStyle name="Saída 2 3 10 2" xfId="42132"/>
    <cellStyle name="Saída 2 3 10 2 2" xfId="42133"/>
    <cellStyle name="Saída 2 3 10 2 3" xfId="42134"/>
    <cellStyle name="Saída 2 3 10 3" xfId="42135"/>
    <cellStyle name="Saída 2 3 10 4" xfId="42136"/>
    <cellStyle name="Saída 2 3 11" xfId="42137"/>
    <cellStyle name="Saída 2 3 11 2" xfId="42138"/>
    <cellStyle name="Saída 2 3 11 2 2" xfId="42139"/>
    <cellStyle name="Saída 2 3 11 2 3" xfId="42140"/>
    <cellStyle name="Saída 2 3 11 3" xfId="42141"/>
    <cellStyle name="Saída 2 3 11 4" xfId="42142"/>
    <cellStyle name="Saída 2 3 12" xfId="42143"/>
    <cellStyle name="Saída 2 3 12 2" xfId="42144"/>
    <cellStyle name="Saída 2 3 12 2 2" xfId="42145"/>
    <cellStyle name="Saída 2 3 12 2 3" xfId="42146"/>
    <cellStyle name="Saída 2 3 12 3" xfId="42147"/>
    <cellStyle name="Saída 2 3 12 4" xfId="42148"/>
    <cellStyle name="Saída 2 3 13" xfId="42149"/>
    <cellStyle name="Saída 2 3 13 2" xfId="42150"/>
    <cellStyle name="Saída 2 3 13 2 2" xfId="42151"/>
    <cellStyle name="Saída 2 3 13 2 3" xfId="42152"/>
    <cellStyle name="Saída 2 3 13 3" xfId="42153"/>
    <cellStyle name="Saída 2 3 13 4" xfId="42154"/>
    <cellStyle name="Saída 2 3 14" xfId="42155"/>
    <cellStyle name="Saída 2 3 14 2" xfId="42156"/>
    <cellStyle name="Saída 2 3 14 2 2" xfId="42157"/>
    <cellStyle name="Saída 2 3 14 2 3" xfId="42158"/>
    <cellStyle name="Saída 2 3 14 3" xfId="42159"/>
    <cellStyle name="Saída 2 3 14 4" xfId="42160"/>
    <cellStyle name="Saída 2 3 15" xfId="42161"/>
    <cellStyle name="Saída 2 3 15 2" xfId="42162"/>
    <cellStyle name="Saída 2 3 15 2 2" xfId="42163"/>
    <cellStyle name="Saída 2 3 15 2 3" xfId="42164"/>
    <cellStyle name="Saída 2 3 15 3" xfId="42165"/>
    <cellStyle name="Saída 2 3 15 4" xfId="42166"/>
    <cellStyle name="Saída 2 3 16" xfId="42167"/>
    <cellStyle name="Saída 2 3 16 2" xfId="42168"/>
    <cellStyle name="Saída 2 3 16 2 2" xfId="42169"/>
    <cellStyle name="Saída 2 3 16 2 3" xfId="42170"/>
    <cellStyle name="Saída 2 3 16 3" xfId="42171"/>
    <cellStyle name="Saída 2 3 16 4" xfId="42172"/>
    <cellStyle name="Saída 2 3 17" xfId="42173"/>
    <cellStyle name="Saída 2 3 17 2" xfId="42174"/>
    <cellStyle name="Saída 2 3 17 2 2" xfId="42175"/>
    <cellStyle name="Saída 2 3 17 2 3" xfId="42176"/>
    <cellStyle name="Saída 2 3 17 3" xfId="42177"/>
    <cellStyle name="Saída 2 3 17 4" xfId="42178"/>
    <cellStyle name="Saída 2 3 18" xfId="42179"/>
    <cellStyle name="Saída 2 3 18 2" xfId="42180"/>
    <cellStyle name="Saída 2 3 18 2 2" xfId="42181"/>
    <cellStyle name="Saída 2 3 18 2 3" xfId="42182"/>
    <cellStyle name="Saída 2 3 18 3" xfId="42183"/>
    <cellStyle name="Saída 2 3 18 4" xfId="42184"/>
    <cellStyle name="Saída 2 3 19" xfId="42185"/>
    <cellStyle name="Saída 2 3 19 2" xfId="42186"/>
    <cellStyle name="Saída 2 3 19 2 2" xfId="42187"/>
    <cellStyle name="Saída 2 3 19 2 3" xfId="42188"/>
    <cellStyle name="Saída 2 3 19 3" xfId="42189"/>
    <cellStyle name="Saída 2 3 19 4" xfId="42190"/>
    <cellStyle name="Saída 2 3 2" xfId="42191"/>
    <cellStyle name="Saída 2 3 2 10" xfId="42192"/>
    <cellStyle name="Saída 2 3 2 10 2" xfId="42193"/>
    <cellStyle name="Saída 2 3 2 10 2 2" xfId="42194"/>
    <cellStyle name="Saída 2 3 2 10 2 3" xfId="42195"/>
    <cellStyle name="Saída 2 3 2 10 3" xfId="42196"/>
    <cellStyle name="Saída 2 3 2 10 4" xfId="42197"/>
    <cellStyle name="Saída 2 3 2 11" xfId="42198"/>
    <cellStyle name="Saída 2 3 2 11 2" xfId="42199"/>
    <cellStyle name="Saída 2 3 2 11 2 2" xfId="42200"/>
    <cellStyle name="Saída 2 3 2 11 2 3" xfId="42201"/>
    <cellStyle name="Saída 2 3 2 11 3" xfId="42202"/>
    <cellStyle name="Saída 2 3 2 11 4" xfId="42203"/>
    <cellStyle name="Saída 2 3 2 12" xfId="42204"/>
    <cellStyle name="Saída 2 3 2 12 2" xfId="42205"/>
    <cellStyle name="Saída 2 3 2 12 2 2" xfId="42206"/>
    <cellStyle name="Saída 2 3 2 12 2 3" xfId="42207"/>
    <cellStyle name="Saída 2 3 2 12 3" xfId="42208"/>
    <cellStyle name="Saída 2 3 2 12 4" xfId="42209"/>
    <cellStyle name="Saída 2 3 2 13" xfId="42210"/>
    <cellStyle name="Saída 2 3 2 13 2" xfId="42211"/>
    <cellStyle name="Saída 2 3 2 13 2 2" xfId="42212"/>
    <cellStyle name="Saída 2 3 2 13 2 3" xfId="42213"/>
    <cellStyle name="Saída 2 3 2 13 3" xfId="42214"/>
    <cellStyle name="Saída 2 3 2 13 4" xfId="42215"/>
    <cellStyle name="Saída 2 3 2 14" xfId="42216"/>
    <cellStyle name="Saída 2 3 2 14 2" xfId="42217"/>
    <cellStyle name="Saída 2 3 2 14 2 2" xfId="42218"/>
    <cellStyle name="Saída 2 3 2 14 2 3" xfId="42219"/>
    <cellStyle name="Saída 2 3 2 14 3" xfId="42220"/>
    <cellStyle name="Saída 2 3 2 14 4" xfId="42221"/>
    <cellStyle name="Saída 2 3 2 15" xfId="42222"/>
    <cellStyle name="Saída 2 3 2 15 2" xfId="42223"/>
    <cellStyle name="Saída 2 3 2 15 2 2" xfId="42224"/>
    <cellStyle name="Saída 2 3 2 15 2 3" xfId="42225"/>
    <cellStyle name="Saída 2 3 2 15 3" xfId="42226"/>
    <cellStyle name="Saída 2 3 2 15 4" xfId="42227"/>
    <cellStyle name="Saída 2 3 2 16" xfId="42228"/>
    <cellStyle name="Saída 2 3 2 16 2" xfId="42229"/>
    <cellStyle name="Saída 2 3 2 16 2 2" xfId="42230"/>
    <cellStyle name="Saída 2 3 2 16 2 3" xfId="42231"/>
    <cellStyle name="Saída 2 3 2 16 3" xfId="42232"/>
    <cellStyle name="Saída 2 3 2 16 4" xfId="42233"/>
    <cellStyle name="Saída 2 3 2 17" xfId="42234"/>
    <cellStyle name="Saída 2 3 2 17 2" xfId="42235"/>
    <cellStyle name="Saída 2 3 2 17 2 2" xfId="42236"/>
    <cellStyle name="Saída 2 3 2 17 2 3" xfId="42237"/>
    <cellStyle name="Saída 2 3 2 17 3" xfId="42238"/>
    <cellStyle name="Saída 2 3 2 17 4" xfId="42239"/>
    <cellStyle name="Saída 2 3 2 18" xfId="42240"/>
    <cellStyle name="Saída 2 3 2 18 2" xfId="42241"/>
    <cellStyle name="Saída 2 3 2 18 2 2" xfId="42242"/>
    <cellStyle name="Saída 2 3 2 18 2 3" xfId="42243"/>
    <cellStyle name="Saída 2 3 2 18 3" xfId="42244"/>
    <cellStyle name="Saída 2 3 2 18 4" xfId="42245"/>
    <cellStyle name="Saída 2 3 2 19" xfId="42246"/>
    <cellStyle name="Saída 2 3 2 19 2" xfId="42247"/>
    <cellStyle name="Saída 2 3 2 19 2 2" xfId="42248"/>
    <cellStyle name="Saída 2 3 2 19 2 3" xfId="42249"/>
    <cellStyle name="Saída 2 3 2 19 3" xfId="42250"/>
    <cellStyle name="Saída 2 3 2 19 4" xfId="42251"/>
    <cellStyle name="Saída 2 3 2 2" xfId="42252"/>
    <cellStyle name="Saída 2 3 2 2 2" xfId="42253"/>
    <cellStyle name="Saída 2 3 2 2 2 2" xfId="42254"/>
    <cellStyle name="Saída 2 3 2 2 2 3" xfId="42255"/>
    <cellStyle name="Saída 2 3 2 2 3" xfId="42256"/>
    <cellStyle name="Saída 2 3 2 2 4" xfId="42257"/>
    <cellStyle name="Saída 2 3 2 20" xfId="42258"/>
    <cellStyle name="Saída 2 3 2 20 2" xfId="42259"/>
    <cellStyle name="Saída 2 3 2 20 2 2" xfId="42260"/>
    <cellStyle name="Saída 2 3 2 20 2 3" xfId="42261"/>
    <cellStyle name="Saída 2 3 2 20 3" xfId="42262"/>
    <cellStyle name="Saída 2 3 2 20 4" xfId="42263"/>
    <cellStyle name="Saída 2 3 2 21" xfId="42264"/>
    <cellStyle name="Saída 2 3 2 21 2" xfId="42265"/>
    <cellStyle name="Saída 2 3 2 21 2 2" xfId="42266"/>
    <cellStyle name="Saída 2 3 2 21 2 3" xfId="42267"/>
    <cellStyle name="Saída 2 3 2 21 3" xfId="42268"/>
    <cellStyle name="Saída 2 3 2 21 4" xfId="42269"/>
    <cellStyle name="Saída 2 3 2 22" xfId="42270"/>
    <cellStyle name="Saída 2 3 2 22 2" xfId="42271"/>
    <cellStyle name="Saída 2 3 2 22 2 2" xfId="42272"/>
    <cellStyle name="Saída 2 3 2 22 2 3" xfId="42273"/>
    <cellStyle name="Saída 2 3 2 22 3" xfId="42274"/>
    <cellStyle name="Saída 2 3 2 22 4" xfId="42275"/>
    <cellStyle name="Saída 2 3 2 23" xfId="42276"/>
    <cellStyle name="Saída 2 3 2 23 2" xfId="42277"/>
    <cellStyle name="Saída 2 3 2 23 2 2" xfId="42278"/>
    <cellStyle name="Saída 2 3 2 23 2 3" xfId="42279"/>
    <cellStyle name="Saída 2 3 2 23 3" xfId="42280"/>
    <cellStyle name="Saída 2 3 2 23 4" xfId="42281"/>
    <cellStyle name="Saída 2 3 2 24" xfId="42282"/>
    <cellStyle name="Saída 2 3 2 24 2" xfId="42283"/>
    <cellStyle name="Saída 2 3 2 24 2 2" xfId="42284"/>
    <cellStyle name="Saída 2 3 2 24 2 3" xfId="42285"/>
    <cellStyle name="Saída 2 3 2 24 3" xfId="42286"/>
    <cellStyle name="Saída 2 3 2 24 4" xfId="42287"/>
    <cellStyle name="Saída 2 3 2 25" xfId="42288"/>
    <cellStyle name="Saída 2 3 2 25 2" xfId="42289"/>
    <cellStyle name="Saída 2 3 2 25 2 2" xfId="42290"/>
    <cellStyle name="Saída 2 3 2 25 2 3" xfId="42291"/>
    <cellStyle name="Saída 2 3 2 25 3" xfId="42292"/>
    <cellStyle name="Saída 2 3 2 25 4" xfId="42293"/>
    <cellStyle name="Saída 2 3 2 26" xfId="42294"/>
    <cellStyle name="Saída 2 3 2 26 2" xfId="42295"/>
    <cellStyle name="Saída 2 3 2 26 2 2" xfId="42296"/>
    <cellStyle name="Saída 2 3 2 26 2 3" xfId="42297"/>
    <cellStyle name="Saída 2 3 2 26 3" xfId="42298"/>
    <cellStyle name="Saída 2 3 2 26 4" xfId="42299"/>
    <cellStyle name="Saída 2 3 2 27" xfId="42300"/>
    <cellStyle name="Saída 2 3 2 27 2" xfId="42301"/>
    <cellStyle name="Saída 2 3 2 27 2 2" xfId="42302"/>
    <cellStyle name="Saída 2 3 2 27 2 3" xfId="42303"/>
    <cellStyle name="Saída 2 3 2 27 3" xfId="42304"/>
    <cellStyle name="Saída 2 3 2 27 4" xfId="42305"/>
    <cellStyle name="Saída 2 3 2 28" xfId="42306"/>
    <cellStyle name="Saída 2 3 2 28 2" xfId="42307"/>
    <cellStyle name="Saída 2 3 2 28 2 2" xfId="42308"/>
    <cellStyle name="Saída 2 3 2 28 2 3" xfId="42309"/>
    <cellStyle name="Saída 2 3 2 28 3" xfId="42310"/>
    <cellStyle name="Saída 2 3 2 28 4" xfId="42311"/>
    <cellStyle name="Saída 2 3 2 29" xfId="42312"/>
    <cellStyle name="Saída 2 3 2 29 2" xfId="42313"/>
    <cellStyle name="Saída 2 3 2 29 2 2" xfId="42314"/>
    <cellStyle name="Saída 2 3 2 29 2 3" xfId="42315"/>
    <cellStyle name="Saída 2 3 2 29 3" xfId="42316"/>
    <cellStyle name="Saída 2 3 2 29 4" xfId="42317"/>
    <cellStyle name="Saída 2 3 2 3" xfId="42318"/>
    <cellStyle name="Saída 2 3 2 3 2" xfId="42319"/>
    <cellStyle name="Saída 2 3 2 3 2 2" xfId="42320"/>
    <cellStyle name="Saída 2 3 2 3 2 3" xfId="42321"/>
    <cellStyle name="Saída 2 3 2 3 3" xfId="42322"/>
    <cellStyle name="Saída 2 3 2 3 4" xfId="42323"/>
    <cellStyle name="Saída 2 3 2 30" xfId="42324"/>
    <cellStyle name="Saída 2 3 2 30 2" xfId="42325"/>
    <cellStyle name="Saída 2 3 2 30 2 2" xfId="42326"/>
    <cellStyle name="Saída 2 3 2 30 2 3" xfId="42327"/>
    <cellStyle name="Saída 2 3 2 30 3" xfId="42328"/>
    <cellStyle name="Saída 2 3 2 30 4" xfId="42329"/>
    <cellStyle name="Saída 2 3 2 31" xfId="42330"/>
    <cellStyle name="Saída 2 3 2 31 2" xfId="42331"/>
    <cellStyle name="Saída 2 3 2 31 2 2" xfId="42332"/>
    <cellStyle name="Saída 2 3 2 31 2 3" xfId="42333"/>
    <cellStyle name="Saída 2 3 2 31 3" xfId="42334"/>
    <cellStyle name="Saída 2 3 2 31 4" xfId="42335"/>
    <cellStyle name="Saída 2 3 2 32" xfId="42336"/>
    <cellStyle name="Saída 2 3 2 32 2" xfId="42337"/>
    <cellStyle name="Saída 2 3 2 32 2 2" xfId="42338"/>
    <cellStyle name="Saída 2 3 2 32 2 3" xfId="42339"/>
    <cellStyle name="Saída 2 3 2 32 3" xfId="42340"/>
    <cellStyle name="Saída 2 3 2 32 4" xfId="42341"/>
    <cellStyle name="Saída 2 3 2 33" xfId="42342"/>
    <cellStyle name="Saída 2 3 2 33 2" xfId="42343"/>
    <cellStyle name="Saída 2 3 2 33 2 2" xfId="42344"/>
    <cellStyle name="Saída 2 3 2 33 2 3" xfId="42345"/>
    <cellStyle name="Saída 2 3 2 33 3" xfId="42346"/>
    <cellStyle name="Saída 2 3 2 33 4" xfId="42347"/>
    <cellStyle name="Saída 2 3 2 34" xfId="42348"/>
    <cellStyle name="Saída 2 3 2 34 2" xfId="42349"/>
    <cellStyle name="Saída 2 3 2 34 2 2" xfId="42350"/>
    <cellStyle name="Saída 2 3 2 34 2 3" xfId="42351"/>
    <cellStyle name="Saída 2 3 2 34 3" xfId="42352"/>
    <cellStyle name="Saída 2 3 2 34 4" xfId="42353"/>
    <cellStyle name="Saída 2 3 2 35" xfId="42354"/>
    <cellStyle name="Saída 2 3 2 35 2" xfId="42355"/>
    <cellStyle name="Saída 2 3 2 35 2 2" xfId="42356"/>
    <cellStyle name="Saída 2 3 2 35 2 3" xfId="42357"/>
    <cellStyle name="Saída 2 3 2 35 3" xfId="42358"/>
    <cellStyle name="Saída 2 3 2 35 4" xfId="42359"/>
    <cellStyle name="Saída 2 3 2 36" xfId="42360"/>
    <cellStyle name="Saída 2 3 2 36 2" xfId="42361"/>
    <cellStyle name="Saída 2 3 2 36 2 2" xfId="42362"/>
    <cellStyle name="Saída 2 3 2 36 2 3" xfId="42363"/>
    <cellStyle name="Saída 2 3 2 36 3" xfId="42364"/>
    <cellStyle name="Saída 2 3 2 36 4" xfId="42365"/>
    <cellStyle name="Saída 2 3 2 37" xfId="42366"/>
    <cellStyle name="Saída 2 3 2 37 2" xfId="42367"/>
    <cellStyle name="Saída 2 3 2 37 3" xfId="42368"/>
    <cellStyle name="Saída 2 3 2 38" xfId="42369"/>
    <cellStyle name="Saída 2 3 2 38 2" xfId="42370"/>
    <cellStyle name="Saída 2 3 2 38 3" xfId="42371"/>
    <cellStyle name="Saída 2 3 2 39" xfId="42372"/>
    <cellStyle name="Saída 2 3 2 39 2" xfId="42373"/>
    <cellStyle name="Saída 2 3 2 39 3" xfId="42374"/>
    <cellStyle name="Saída 2 3 2 4" xfId="42375"/>
    <cellStyle name="Saída 2 3 2 4 2" xfId="42376"/>
    <cellStyle name="Saída 2 3 2 4 2 2" xfId="42377"/>
    <cellStyle name="Saída 2 3 2 4 2 3" xfId="42378"/>
    <cellStyle name="Saída 2 3 2 4 3" xfId="42379"/>
    <cellStyle name="Saída 2 3 2 4 4" xfId="42380"/>
    <cellStyle name="Saída 2 3 2 40" xfId="42381"/>
    <cellStyle name="Saída 2 3 2 40 2" xfId="42382"/>
    <cellStyle name="Saída 2 3 2 40 3" xfId="42383"/>
    <cellStyle name="Saída 2 3 2 41" xfId="42384"/>
    <cellStyle name="Saída 2 3 2 42" xfId="42385"/>
    <cellStyle name="Saída 2 3 2 5" xfId="42386"/>
    <cellStyle name="Saída 2 3 2 5 2" xfId="42387"/>
    <cellStyle name="Saída 2 3 2 5 2 2" xfId="42388"/>
    <cellStyle name="Saída 2 3 2 5 2 3" xfId="42389"/>
    <cellStyle name="Saída 2 3 2 5 3" xfId="42390"/>
    <cellStyle name="Saída 2 3 2 5 4" xfId="42391"/>
    <cellStyle name="Saída 2 3 2 6" xfId="42392"/>
    <cellStyle name="Saída 2 3 2 6 2" xfId="42393"/>
    <cellStyle name="Saída 2 3 2 6 2 2" xfId="42394"/>
    <cellStyle name="Saída 2 3 2 6 2 3" xfId="42395"/>
    <cellStyle name="Saída 2 3 2 6 3" xfId="42396"/>
    <cellStyle name="Saída 2 3 2 6 4" xfId="42397"/>
    <cellStyle name="Saída 2 3 2 7" xfId="42398"/>
    <cellStyle name="Saída 2 3 2 7 2" xfId="42399"/>
    <cellStyle name="Saída 2 3 2 7 2 2" xfId="42400"/>
    <cellStyle name="Saída 2 3 2 7 2 3" xfId="42401"/>
    <cellStyle name="Saída 2 3 2 7 3" xfId="42402"/>
    <cellStyle name="Saída 2 3 2 7 4" xfId="42403"/>
    <cellStyle name="Saída 2 3 2 8" xfId="42404"/>
    <cellStyle name="Saída 2 3 2 8 2" xfId="42405"/>
    <cellStyle name="Saída 2 3 2 8 2 2" xfId="42406"/>
    <cellStyle name="Saída 2 3 2 8 2 3" xfId="42407"/>
    <cellStyle name="Saída 2 3 2 8 3" xfId="42408"/>
    <cellStyle name="Saída 2 3 2 8 4" xfId="42409"/>
    <cellStyle name="Saída 2 3 2 9" xfId="42410"/>
    <cellStyle name="Saída 2 3 2 9 2" xfId="42411"/>
    <cellStyle name="Saída 2 3 2 9 2 2" xfId="42412"/>
    <cellStyle name="Saída 2 3 2 9 2 3" xfId="42413"/>
    <cellStyle name="Saída 2 3 2 9 3" xfId="42414"/>
    <cellStyle name="Saída 2 3 2 9 4" xfId="42415"/>
    <cellStyle name="Saída 2 3 20" xfId="42416"/>
    <cellStyle name="Saída 2 3 20 2" xfId="42417"/>
    <cellStyle name="Saída 2 3 20 2 2" xfId="42418"/>
    <cellStyle name="Saída 2 3 20 2 3" xfId="42419"/>
    <cellStyle name="Saída 2 3 20 3" xfId="42420"/>
    <cellStyle name="Saída 2 3 20 4" xfId="42421"/>
    <cellStyle name="Saída 2 3 21" xfId="42422"/>
    <cellStyle name="Saída 2 3 21 2" xfId="42423"/>
    <cellStyle name="Saída 2 3 21 2 2" xfId="42424"/>
    <cellStyle name="Saída 2 3 21 2 3" xfId="42425"/>
    <cellStyle name="Saída 2 3 21 3" xfId="42426"/>
    <cellStyle name="Saída 2 3 21 4" xfId="42427"/>
    <cellStyle name="Saída 2 3 22" xfId="42428"/>
    <cellStyle name="Saída 2 3 22 2" xfId="42429"/>
    <cellStyle name="Saída 2 3 22 2 2" xfId="42430"/>
    <cellStyle name="Saída 2 3 22 2 3" xfId="42431"/>
    <cellStyle name="Saída 2 3 22 3" xfId="42432"/>
    <cellStyle name="Saída 2 3 22 4" xfId="42433"/>
    <cellStyle name="Saída 2 3 23" xfId="42434"/>
    <cellStyle name="Saída 2 3 23 2" xfId="42435"/>
    <cellStyle name="Saída 2 3 23 2 2" xfId="42436"/>
    <cellStyle name="Saída 2 3 23 2 3" xfId="42437"/>
    <cellStyle name="Saída 2 3 23 3" xfId="42438"/>
    <cellStyle name="Saída 2 3 23 4" xfId="42439"/>
    <cellStyle name="Saída 2 3 24" xfId="42440"/>
    <cellStyle name="Saída 2 3 24 2" xfId="42441"/>
    <cellStyle name="Saída 2 3 24 2 2" xfId="42442"/>
    <cellStyle name="Saída 2 3 24 2 3" xfId="42443"/>
    <cellStyle name="Saída 2 3 24 3" xfId="42444"/>
    <cellStyle name="Saída 2 3 24 4" xfId="42445"/>
    <cellStyle name="Saída 2 3 25" xfId="42446"/>
    <cellStyle name="Saída 2 3 25 2" xfId="42447"/>
    <cellStyle name="Saída 2 3 25 2 2" xfId="42448"/>
    <cellStyle name="Saída 2 3 25 2 3" xfId="42449"/>
    <cellStyle name="Saída 2 3 25 3" xfId="42450"/>
    <cellStyle name="Saída 2 3 25 4" xfId="42451"/>
    <cellStyle name="Saída 2 3 26" xfId="42452"/>
    <cellStyle name="Saída 2 3 26 2" xfId="42453"/>
    <cellStyle name="Saída 2 3 26 2 2" xfId="42454"/>
    <cellStyle name="Saída 2 3 26 2 3" xfId="42455"/>
    <cellStyle name="Saída 2 3 26 3" xfId="42456"/>
    <cellStyle name="Saída 2 3 26 4" xfId="42457"/>
    <cellStyle name="Saída 2 3 27" xfId="42458"/>
    <cellStyle name="Saída 2 3 27 2" xfId="42459"/>
    <cellStyle name="Saída 2 3 27 2 2" xfId="42460"/>
    <cellStyle name="Saída 2 3 27 2 3" xfId="42461"/>
    <cellStyle name="Saída 2 3 27 3" xfId="42462"/>
    <cellStyle name="Saída 2 3 27 4" xfId="42463"/>
    <cellStyle name="Saída 2 3 28" xfId="42464"/>
    <cellStyle name="Saída 2 3 28 2" xfId="42465"/>
    <cellStyle name="Saída 2 3 28 2 2" xfId="42466"/>
    <cellStyle name="Saída 2 3 28 2 3" xfId="42467"/>
    <cellStyle name="Saída 2 3 28 3" xfId="42468"/>
    <cellStyle name="Saída 2 3 28 4" xfId="42469"/>
    <cellStyle name="Saída 2 3 29" xfId="42470"/>
    <cellStyle name="Saída 2 3 29 2" xfId="42471"/>
    <cellStyle name="Saída 2 3 29 2 2" xfId="42472"/>
    <cellStyle name="Saída 2 3 29 2 3" xfId="42473"/>
    <cellStyle name="Saída 2 3 29 3" xfId="42474"/>
    <cellStyle name="Saída 2 3 29 4" xfId="42475"/>
    <cellStyle name="Saída 2 3 3" xfId="42476"/>
    <cellStyle name="Saída 2 3 3 10" xfId="42477"/>
    <cellStyle name="Saída 2 3 3 10 2" xfId="42478"/>
    <cellStyle name="Saída 2 3 3 10 2 2" xfId="42479"/>
    <cellStyle name="Saída 2 3 3 10 2 3" xfId="42480"/>
    <cellStyle name="Saída 2 3 3 10 3" xfId="42481"/>
    <cellStyle name="Saída 2 3 3 10 4" xfId="42482"/>
    <cellStyle name="Saída 2 3 3 11" xfId="42483"/>
    <cellStyle name="Saída 2 3 3 11 2" xfId="42484"/>
    <cellStyle name="Saída 2 3 3 11 2 2" xfId="42485"/>
    <cellStyle name="Saída 2 3 3 11 2 3" xfId="42486"/>
    <cellStyle name="Saída 2 3 3 11 3" xfId="42487"/>
    <cellStyle name="Saída 2 3 3 11 4" xfId="42488"/>
    <cellStyle name="Saída 2 3 3 12" xfId="42489"/>
    <cellStyle name="Saída 2 3 3 12 2" xfId="42490"/>
    <cellStyle name="Saída 2 3 3 12 2 2" xfId="42491"/>
    <cellStyle name="Saída 2 3 3 12 2 3" xfId="42492"/>
    <cellStyle name="Saída 2 3 3 12 3" xfId="42493"/>
    <cellStyle name="Saída 2 3 3 12 4" xfId="42494"/>
    <cellStyle name="Saída 2 3 3 13" xfId="42495"/>
    <cellStyle name="Saída 2 3 3 13 2" xfId="42496"/>
    <cellStyle name="Saída 2 3 3 13 2 2" xfId="42497"/>
    <cellStyle name="Saída 2 3 3 13 2 3" xfId="42498"/>
    <cellStyle name="Saída 2 3 3 13 3" xfId="42499"/>
    <cellStyle name="Saída 2 3 3 13 4" xfId="42500"/>
    <cellStyle name="Saída 2 3 3 14" xfId="42501"/>
    <cellStyle name="Saída 2 3 3 14 2" xfId="42502"/>
    <cellStyle name="Saída 2 3 3 14 2 2" xfId="42503"/>
    <cellStyle name="Saída 2 3 3 14 2 3" xfId="42504"/>
    <cellStyle name="Saída 2 3 3 14 3" xfId="42505"/>
    <cellStyle name="Saída 2 3 3 14 4" xfId="42506"/>
    <cellStyle name="Saída 2 3 3 15" xfId="42507"/>
    <cellStyle name="Saída 2 3 3 15 2" xfId="42508"/>
    <cellStyle name="Saída 2 3 3 15 2 2" xfId="42509"/>
    <cellStyle name="Saída 2 3 3 15 2 3" xfId="42510"/>
    <cellStyle name="Saída 2 3 3 15 3" xfId="42511"/>
    <cellStyle name="Saída 2 3 3 15 4" xfId="42512"/>
    <cellStyle name="Saída 2 3 3 16" xfId="42513"/>
    <cellStyle name="Saída 2 3 3 16 2" xfId="42514"/>
    <cellStyle name="Saída 2 3 3 16 2 2" xfId="42515"/>
    <cellStyle name="Saída 2 3 3 16 2 3" xfId="42516"/>
    <cellStyle name="Saída 2 3 3 16 3" xfId="42517"/>
    <cellStyle name="Saída 2 3 3 16 4" xfId="42518"/>
    <cellStyle name="Saída 2 3 3 17" xfId="42519"/>
    <cellStyle name="Saída 2 3 3 17 2" xfId="42520"/>
    <cellStyle name="Saída 2 3 3 17 2 2" xfId="42521"/>
    <cellStyle name="Saída 2 3 3 17 2 3" xfId="42522"/>
    <cellStyle name="Saída 2 3 3 17 3" xfId="42523"/>
    <cellStyle name="Saída 2 3 3 17 4" xfId="42524"/>
    <cellStyle name="Saída 2 3 3 18" xfId="42525"/>
    <cellStyle name="Saída 2 3 3 18 2" xfId="42526"/>
    <cellStyle name="Saída 2 3 3 18 2 2" xfId="42527"/>
    <cellStyle name="Saída 2 3 3 18 2 3" xfId="42528"/>
    <cellStyle name="Saída 2 3 3 18 3" xfId="42529"/>
    <cellStyle name="Saída 2 3 3 18 4" xfId="42530"/>
    <cellStyle name="Saída 2 3 3 19" xfId="42531"/>
    <cellStyle name="Saída 2 3 3 19 2" xfId="42532"/>
    <cellStyle name="Saída 2 3 3 19 2 2" xfId="42533"/>
    <cellStyle name="Saída 2 3 3 19 2 3" xfId="42534"/>
    <cellStyle name="Saída 2 3 3 19 3" xfId="42535"/>
    <cellStyle name="Saída 2 3 3 19 4" xfId="42536"/>
    <cellStyle name="Saída 2 3 3 2" xfId="42537"/>
    <cellStyle name="Saída 2 3 3 2 2" xfId="42538"/>
    <cellStyle name="Saída 2 3 3 2 2 2" xfId="42539"/>
    <cellStyle name="Saída 2 3 3 2 2 3" xfId="42540"/>
    <cellStyle name="Saída 2 3 3 2 3" xfId="42541"/>
    <cellStyle name="Saída 2 3 3 2 4" xfId="42542"/>
    <cellStyle name="Saída 2 3 3 20" xfId="42543"/>
    <cellStyle name="Saída 2 3 3 20 2" xfId="42544"/>
    <cellStyle name="Saída 2 3 3 20 2 2" xfId="42545"/>
    <cellStyle name="Saída 2 3 3 20 2 3" xfId="42546"/>
    <cellStyle name="Saída 2 3 3 20 3" xfId="42547"/>
    <cellStyle name="Saída 2 3 3 20 4" xfId="42548"/>
    <cellStyle name="Saída 2 3 3 21" xfId="42549"/>
    <cellStyle name="Saída 2 3 3 21 2" xfId="42550"/>
    <cellStyle name="Saída 2 3 3 21 2 2" xfId="42551"/>
    <cellStyle name="Saída 2 3 3 21 2 3" xfId="42552"/>
    <cellStyle name="Saída 2 3 3 21 3" xfId="42553"/>
    <cellStyle name="Saída 2 3 3 21 4" xfId="42554"/>
    <cellStyle name="Saída 2 3 3 22" xfId="42555"/>
    <cellStyle name="Saída 2 3 3 22 2" xfId="42556"/>
    <cellStyle name="Saída 2 3 3 22 2 2" xfId="42557"/>
    <cellStyle name="Saída 2 3 3 22 2 3" xfId="42558"/>
    <cellStyle name="Saída 2 3 3 22 3" xfId="42559"/>
    <cellStyle name="Saída 2 3 3 22 4" xfId="42560"/>
    <cellStyle name="Saída 2 3 3 23" xfId="42561"/>
    <cellStyle name="Saída 2 3 3 23 2" xfId="42562"/>
    <cellStyle name="Saída 2 3 3 23 2 2" xfId="42563"/>
    <cellStyle name="Saída 2 3 3 23 2 3" xfId="42564"/>
    <cellStyle name="Saída 2 3 3 23 3" xfId="42565"/>
    <cellStyle name="Saída 2 3 3 23 4" xfId="42566"/>
    <cellStyle name="Saída 2 3 3 24" xfId="42567"/>
    <cellStyle name="Saída 2 3 3 24 2" xfId="42568"/>
    <cellStyle name="Saída 2 3 3 24 2 2" xfId="42569"/>
    <cellStyle name="Saída 2 3 3 24 2 3" xfId="42570"/>
    <cellStyle name="Saída 2 3 3 24 3" xfId="42571"/>
    <cellStyle name="Saída 2 3 3 24 4" xfId="42572"/>
    <cellStyle name="Saída 2 3 3 25" xfId="42573"/>
    <cellStyle name="Saída 2 3 3 25 2" xfId="42574"/>
    <cellStyle name="Saída 2 3 3 25 2 2" xfId="42575"/>
    <cellStyle name="Saída 2 3 3 25 2 3" xfId="42576"/>
    <cellStyle name="Saída 2 3 3 25 3" xfId="42577"/>
    <cellStyle name="Saída 2 3 3 25 4" xfId="42578"/>
    <cellStyle name="Saída 2 3 3 26" xfId="42579"/>
    <cellStyle name="Saída 2 3 3 26 2" xfId="42580"/>
    <cellStyle name="Saída 2 3 3 26 2 2" xfId="42581"/>
    <cellStyle name="Saída 2 3 3 26 2 3" xfId="42582"/>
    <cellStyle name="Saída 2 3 3 26 3" xfId="42583"/>
    <cellStyle name="Saída 2 3 3 26 4" xfId="42584"/>
    <cellStyle name="Saída 2 3 3 27" xfId="42585"/>
    <cellStyle name="Saída 2 3 3 27 2" xfId="42586"/>
    <cellStyle name="Saída 2 3 3 27 2 2" xfId="42587"/>
    <cellStyle name="Saída 2 3 3 27 2 3" xfId="42588"/>
    <cellStyle name="Saída 2 3 3 27 3" xfId="42589"/>
    <cellStyle name="Saída 2 3 3 27 4" xfId="42590"/>
    <cellStyle name="Saída 2 3 3 28" xfId="42591"/>
    <cellStyle name="Saída 2 3 3 28 2" xfId="42592"/>
    <cellStyle name="Saída 2 3 3 28 2 2" xfId="42593"/>
    <cellStyle name="Saída 2 3 3 28 2 3" xfId="42594"/>
    <cellStyle name="Saída 2 3 3 28 3" xfId="42595"/>
    <cellStyle name="Saída 2 3 3 28 4" xfId="42596"/>
    <cellStyle name="Saída 2 3 3 29" xfId="42597"/>
    <cellStyle name="Saída 2 3 3 29 2" xfId="42598"/>
    <cellStyle name="Saída 2 3 3 29 2 2" xfId="42599"/>
    <cellStyle name="Saída 2 3 3 29 2 3" xfId="42600"/>
    <cellStyle name="Saída 2 3 3 29 3" xfId="42601"/>
    <cellStyle name="Saída 2 3 3 29 4" xfId="42602"/>
    <cellStyle name="Saída 2 3 3 3" xfId="42603"/>
    <cellStyle name="Saída 2 3 3 3 2" xfId="42604"/>
    <cellStyle name="Saída 2 3 3 3 2 2" xfId="42605"/>
    <cellStyle name="Saída 2 3 3 3 2 3" xfId="42606"/>
    <cellStyle name="Saída 2 3 3 3 3" xfId="42607"/>
    <cellStyle name="Saída 2 3 3 3 4" xfId="42608"/>
    <cellStyle name="Saída 2 3 3 30" xfId="42609"/>
    <cellStyle name="Saída 2 3 3 30 2" xfId="42610"/>
    <cellStyle name="Saída 2 3 3 30 2 2" xfId="42611"/>
    <cellStyle name="Saída 2 3 3 30 2 3" xfId="42612"/>
    <cellStyle name="Saída 2 3 3 30 3" xfId="42613"/>
    <cellStyle name="Saída 2 3 3 30 4" xfId="42614"/>
    <cellStyle name="Saída 2 3 3 31" xfId="42615"/>
    <cellStyle name="Saída 2 3 3 31 2" xfId="42616"/>
    <cellStyle name="Saída 2 3 3 31 2 2" xfId="42617"/>
    <cellStyle name="Saída 2 3 3 31 2 3" xfId="42618"/>
    <cellStyle name="Saída 2 3 3 31 3" xfId="42619"/>
    <cellStyle name="Saída 2 3 3 31 4" xfId="42620"/>
    <cellStyle name="Saída 2 3 3 32" xfId="42621"/>
    <cellStyle name="Saída 2 3 3 32 2" xfId="42622"/>
    <cellStyle name="Saída 2 3 3 32 2 2" xfId="42623"/>
    <cellStyle name="Saída 2 3 3 32 2 3" xfId="42624"/>
    <cellStyle name="Saída 2 3 3 32 3" xfId="42625"/>
    <cellStyle name="Saída 2 3 3 32 4" xfId="42626"/>
    <cellStyle name="Saída 2 3 3 33" xfId="42627"/>
    <cellStyle name="Saída 2 3 3 33 2" xfId="42628"/>
    <cellStyle name="Saída 2 3 3 33 2 2" xfId="42629"/>
    <cellStyle name="Saída 2 3 3 33 2 3" xfId="42630"/>
    <cellStyle name="Saída 2 3 3 33 3" xfId="42631"/>
    <cellStyle name="Saída 2 3 3 33 4" xfId="42632"/>
    <cellStyle name="Saída 2 3 3 34" xfId="42633"/>
    <cellStyle name="Saída 2 3 3 34 2" xfId="42634"/>
    <cellStyle name="Saída 2 3 3 34 2 2" xfId="42635"/>
    <cellStyle name="Saída 2 3 3 34 2 3" xfId="42636"/>
    <cellStyle name="Saída 2 3 3 34 3" xfId="42637"/>
    <cellStyle name="Saída 2 3 3 34 4" xfId="42638"/>
    <cellStyle name="Saída 2 3 3 35" xfId="42639"/>
    <cellStyle name="Saída 2 3 3 35 2" xfId="42640"/>
    <cellStyle name="Saída 2 3 3 35 2 2" xfId="42641"/>
    <cellStyle name="Saída 2 3 3 35 2 3" xfId="42642"/>
    <cellStyle name="Saída 2 3 3 35 3" xfId="42643"/>
    <cellStyle name="Saída 2 3 3 35 4" xfId="42644"/>
    <cellStyle name="Saída 2 3 3 36" xfId="42645"/>
    <cellStyle name="Saída 2 3 3 36 2" xfId="42646"/>
    <cellStyle name="Saída 2 3 3 36 2 2" xfId="42647"/>
    <cellStyle name="Saída 2 3 3 36 2 3" xfId="42648"/>
    <cellStyle name="Saída 2 3 3 36 3" xfId="42649"/>
    <cellStyle name="Saída 2 3 3 36 4" xfId="42650"/>
    <cellStyle name="Saída 2 3 3 37" xfId="42651"/>
    <cellStyle name="Saída 2 3 3 37 2" xfId="42652"/>
    <cellStyle name="Saída 2 3 3 37 2 2" xfId="42653"/>
    <cellStyle name="Saída 2 3 3 37 2 3" xfId="42654"/>
    <cellStyle name="Saída 2 3 3 37 3" xfId="42655"/>
    <cellStyle name="Saída 2 3 3 37 4" xfId="42656"/>
    <cellStyle name="Saída 2 3 3 38" xfId="42657"/>
    <cellStyle name="Saída 2 3 3 38 2" xfId="42658"/>
    <cellStyle name="Saída 2 3 3 38 3" xfId="42659"/>
    <cellStyle name="Saída 2 3 3 39" xfId="42660"/>
    <cellStyle name="Saída 2 3 3 39 2" xfId="42661"/>
    <cellStyle name="Saída 2 3 3 39 3" xfId="42662"/>
    <cellStyle name="Saída 2 3 3 4" xfId="42663"/>
    <cellStyle name="Saída 2 3 3 4 2" xfId="42664"/>
    <cellStyle name="Saída 2 3 3 4 2 2" xfId="42665"/>
    <cellStyle name="Saída 2 3 3 4 2 3" xfId="42666"/>
    <cellStyle name="Saída 2 3 3 4 3" xfId="42667"/>
    <cellStyle name="Saída 2 3 3 4 4" xfId="42668"/>
    <cellStyle name="Saída 2 3 3 40" xfId="42669"/>
    <cellStyle name="Saída 2 3 3 40 2" xfId="42670"/>
    <cellStyle name="Saída 2 3 3 40 3" xfId="42671"/>
    <cellStyle name="Saída 2 3 3 41" xfId="42672"/>
    <cellStyle name="Saída 2 3 3 41 2" xfId="42673"/>
    <cellStyle name="Saída 2 3 3 41 3" xfId="42674"/>
    <cellStyle name="Saída 2 3 3 42" xfId="42675"/>
    <cellStyle name="Saída 2 3 3 43" xfId="42676"/>
    <cellStyle name="Saída 2 3 3 5" xfId="42677"/>
    <cellStyle name="Saída 2 3 3 5 2" xfId="42678"/>
    <cellStyle name="Saída 2 3 3 5 2 2" xfId="42679"/>
    <cellStyle name="Saída 2 3 3 5 2 3" xfId="42680"/>
    <cellStyle name="Saída 2 3 3 5 3" xfId="42681"/>
    <cellStyle name="Saída 2 3 3 5 4" xfId="42682"/>
    <cellStyle name="Saída 2 3 3 6" xfId="42683"/>
    <cellStyle name="Saída 2 3 3 6 2" xfId="42684"/>
    <cellStyle name="Saída 2 3 3 6 2 2" xfId="42685"/>
    <cellStyle name="Saída 2 3 3 6 2 3" xfId="42686"/>
    <cellStyle name="Saída 2 3 3 6 3" xfId="42687"/>
    <cellStyle name="Saída 2 3 3 6 4" xfId="42688"/>
    <cellStyle name="Saída 2 3 3 7" xfId="42689"/>
    <cellStyle name="Saída 2 3 3 7 2" xfId="42690"/>
    <cellStyle name="Saída 2 3 3 7 2 2" xfId="42691"/>
    <cellStyle name="Saída 2 3 3 7 2 3" xfId="42692"/>
    <cellStyle name="Saída 2 3 3 7 3" xfId="42693"/>
    <cellStyle name="Saída 2 3 3 7 4" xfId="42694"/>
    <cellStyle name="Saída 2 3 3 8" xfId="42695"/>
    <cellStyle name="Saída 2 3 3 8 2" xfId="42696"/>
    <cellStyle name="Saída 2 3 3 8 2 2" xfId="42697"/>
    <cellStyle name="Saída 2 3 3 8 2 3" xfId="42698"/>
    <cellStyle name="Saída 2 3 3 8 3" xfId="42699"/>
    <cellStyle name="Saída 2 3 3 8 4" xfId="42700"/>
    <cellStyle name="Saída 2 3 3 9" xfId="42701"/>
    <cellStyle name="Saída 2 3 3 9 2" xfId="42702"/>
    <cellStyle name="Saída 2 3 3 9 2 2" xfId="42703"/>
    <cellStyle name="Saída 2 3 3 9 2 3" xfId="42704"/>
    <cellStyle name="Saída 2 3 3 9 3" xfId="42705"/>
    <cellStyle name="Saída 2 3 3 9 4" xfId="42706"/>
    <cellStyle name="Saída 2 3 30" xfId="42707"/>
    <cellStyle name="Saída 2 3 30 2" xfId="42708"/>
    <cellStyle name="Saída 2 3 30 2 2" xfId="42709"/>
    <cellStyle name="Saída 2 3 30 2 3" xfId="42710"/>
    <cellStyle name="Saída 2 3 30 3" xfId="42711"/>
    <cellStyle name="Saída 2 3 30 4" xfId="42712"/>
    <cellStyle name="Saída 2 3 31" xfId="42713"/>
    <cellStyle name="Saída 2 3 31 2" xfId="42714"/>
    <cellStyle name="Saída 2 3 31 2 2" xfId="42715"/>
    <cellStyle name="Saída 2 3 31 2 3" xfId="42716"/>
    <cellStyle name="Saída 2 3 31 3" xfId="42717"/>
    <cellStyle name="Saída 2 3 31 4" xfId="42718"/>
    <cellStyle name="Saída 2 3 32" xfId="42719"/>
    <cellStyle name="Saída 2 3 32 2" xfId="42720"/>
    <cellStyle name="Saída 2 3 32 3" xfId="42721"/>
    <cellStyle name="Saída 2 3 33" xfId="42722"/>
    <cellStyle name="Saída 2 3 33 2" xfId="42723"/>
    <cellStyle name="Saída 2 3 33 3" xfId="42724"/>
    <cellStyle name="Saída 2 3 34" xfId="42725"/>
    <cellStyle name="Saída 2 3 34 2" xfId="42726"/>
    <cellStyle name="Saída 2 3 34 3" xfId="42727"/>
    <cellStyle name="Saída 2 3 35" xfId="42728"/>
    <cellStyle name="Saída 2 3 35 2" xfId="42729"/>
    <cellStyle name="Saída 2 3 35 3" xfId="42730"/>
    <cellStyle name="Saída 2 3 36" xfId="42731"/>
    <cellStyle name="Saída 2 3 37" xfId="42732"/>
    <cellStyle name="Saída 2 3 4" xfId="42733"/>
    <cellStyle name="Saída 2 3 4 10" xfId="42734"/>
    <cellStyle name="Saída 2 3 4 10 2" xfId="42735"/>
    <cellStyle name="Saída 2 3 4 10 2 2" xfId="42736"/>
    <cellStyle name="Saída 2 3 4 10 2 3" xfId="42737"/>
    <cellStyle name="Saída 2 3 4 10 3" xfId="42738"/>
    <cellStyle name="Saída 2 3 4 10 4" xfId="42739"/>
    <cellStyle name="Saída 2 3 4 11" xfId="42740"/>
    <cellStyle name="Saída 2 3 4 11 2" xfId="42741"/>
    <cellStyle name="Saída 2 3 4 11 2 2" xfId="42742"/>
    <cellStyle name="Saída 2 3 4 11 2 3" xfId="42743"/>
    <cellStyle name="Saída 2 3 4 11 3" xfId="42744"/>
    <cellStyle name="Saída 2 3 4 11 4" xfId="42745"/>
    <cellStyle name="Saída 2 3 4 12" xfId="42746"/>
    <cellStyle name="Saída 2 3 4 12 2" xfId="42747"/>
    <cellStyle name="Saída 2 3 4 12 2 2" xfId="42748"/>
    <cellStyle name="Saída 2 3 4 12 2 3" xfId="42749"/>
    <cellStyle name="Saída 2 3 4 12 3" xfId="42750"/>
    <cellStyle name="Saída 2 3 4 12 4" xfId="42751"/>
    <cellStyle name="Saída 2 3 4 13" xfId="42752"/>
    <cellStyle name="Saída 2 3 4 13 2" xfId="42753"/>
    <cellStyle name="Saída 2 3 4 13 2 2" xfId="42754"/>
    <cellStyle name="Saída 2 3 4 13 2 3" xfId="42755"/>
    <cellStyle name="Saída 2 3 4 13 3" xfId="42756"/>
    <cellStyle name="Saída 2 3 4 13 4" xfId="42757"/>
    <cellStyle name="Saída 2 3 4 14" xfId="42758"/>
    <cellStyle name="Saída 2 3 4 14 2" xfId="42759"/>
    <cellStyle name="Saída 2 3 4 14 2 2" xfId="42760"/>
    <cellStyle name="Saída 2 3 4 14 2 3" xfId="42761"/>
    <cellStyle name="Saída 2 3 4 14 3" xfId="42762"/>
    <cellStyle name="Saída 2 3 4 14 4" xfId="42763"/>
    <cellStyle name="Saída 2 3 4 15" xfId="42764"/>
    <cellStyle name="Saída 2 3 4 15 2" xfId="42765"/>
    <cellStyle name="Saída 2 3 4 15 2 2" xfId="42766"/>
    <cellStyle name="Saída 2 3 4 15 2 3" xfId="42767"/>
    <cellStyle name="Saída 2 3 4 15 3" xfId="42768"/>
    <cellStyle name="Saída 2 3 4 15 4" xfId="42769"/>
    <cellStyle name="Saída 2 3 4 16" xfId="42770"/>
    <cellStyle name="Saída 2 3 4 16 2" xfId="42771"/>
    <cellStyle name="Saída 2 3 4 16 2 2" xfId="42772"/>
    <cellStyle name="Saída 2 3 4 16 2 3" xfId="42773"/>
    <cellStyle name="Saída 2 3 4 16 3" xfId="42774"/>
    <cellStyle name="Saída 2 3 4 16 4" xfId="42775"/>
    <cellStyle name="Saída 2 3 4 17" xfId="42776"/>
    <cellStyle name="Saída 2 3 4 17 2" xfId="42777"/>
    <cellStyle name="Saída 2 3 4 17 2 2" xfId="42778"/>
    <cellStyle name="Saída 2 3 4 17 2 3" xfId="42779"/>
    <cellStyle name="Saída 2 3 4 17 3" xfId="42780"/>
    <cellStyle name="Saída 2 3 4 17 4" xfId="42781"/>
    <cellStyle name="Saída 2 3 4 18" xfId="42782"/>
    <cellStyle name="Saída 2 3 4 18 2" xfId="42783"/>
    <cellStyle name="Saída 2 3 4 18 2 2" xfId="42784"/>
    <cellStyle name="Saída 2 3 4 18 2 3" xfId="42785"/>
    <cellStyle name="Saída 2 3 4 18 3" xfId="42786"/>
    <cellStyle name="Saída 2 3 4 18 4" xfId="42787"/>
    <cellStyle name="Saída 2 3 4 19" xfId="42788"/>
    <cellStyle name="Saída 2 3 4 19 2" xfId="42789"/>
    <cellStyle name="Saída 2 3 4 19 2 2" xfId="42790"/>
    <cellStyle name="Saída 2 3 4 19 2 3" xfId="42791"/>
    <cellStyle name="Saída 2 3 4 19 3" xfId="42792"/>
    <cellStyle name="Saída 2 3 4 19 4" xfId="42793"/>
    <cellStyle name="Saída 2 3 4 2" xfId="42794"/>
    <cellStyle name="Saída 2 3 4 2 2" xfId="42795"/>
    <cellStyle name="Saída 2 3 4 2 2 2" xfId="42796"/>
    <cellStyle name="Saída 2 3 4 2 2 3" xfId="42797"/>
    <cellStyle name="Saída 2 3 4 2 3" xfId="42798"/>
    <cellStyle name="Saída 2 3 4 2 4" xfId="42799"/>
    <cellStyle name="Saída 2 3 4 20" xfId="42800"/>
    <cellStyle name="Saída 2 3 4 20 2" xfId="42801"/>
    <cellStyle name="Saída 2 3 4 20 2 2" xfId="42802"/>
    <cellStyle name="Saída 2 3 4 20 2 3" xfId="42803"/>
    <cellStyle name="Saída 2 3 4 20 3" xfId="42804"/>
    <cellStyle name="Saída 2 3 4 20 4" xfId="42805"/>
    <cellStyle name="Saída 2 3 4 21" xfId="42806"/>
    <cellStyle name="Saída 2 3 4 21 2" xfId="42807"/>
    <cellStyle name="Saída 2 3 4 21 2 2" xfId="42808"/>
    <cellStyle name="Saída 2 3 4 21 2 3" xfId="42809"/>
    <cellStyle name="Saída 2 3 4 21 3" xfId="42810"/>
    <cellStyle name="Saída 2 3 4 21 4" xfId="42811"/>
    <cellStyle name="Saída 2 3 4 22" xfId="42812"/>
    <cellStyle name="Saída 2 3 4 22 2" xfId="42813"/>
    <cellStyle name="Saída 2 3 4 22 2 2" xfId="42814"/>
    <cellStyle name="Saída 2 3 4 22 2 3" xfId="42815"/>
    <cellStyle name="Saída 2 3 4 22 3" xfId="42816"/>
    <cellStyle name="Saída 2 3 4 22 4" xfId="42817"/>
    <cellStyle name="Saída 2 3 4 23" xfId="42818"/>
    <cellStyle name="Saída 2 3 4 23 2" xfId="42819"/>
    <cellStyle name="Saída 2 3 4 23 2 2" xfId="42820"/>
    <cellStyle name="Saída 2 3 4 23 2 3" xfId="42821"/>
    <cellStyle name="Saída 2 3 4 23 3" xfId="42822"/>
    <cellStyle name="Saída 2 3 4 23 4" xfId="42823"/>
    <cellStyle name="Saída 2 3 4 24" xfId="42824"/>
    <cellStyle name="Saída 2 3 4 24 2" xfId="42825"/>
    <cellStyle name="Saída 2 3 4 24 2 2" xfId="42826"/>
    <cellStyle name="Saída 2 3 4 24 2 3" xfId="42827"/>
    <cellStyle name="Saída 2 3 4 24 3" xfId="42828"/>
    <cellStyle name="Saída 2 3 4 24 4" xfId="42829"/>
    <cellStyle name="Saída 2 3 4 25" xfId="42830"/>
    <cellStyle name="Saída 2 3 4 25 2" xfId="42831"/>
    <cellStyle name="Saída 2 3 4 25 2 2" xfId="42832"/>
    <cellStyle name="Saída 2 3 4 25 2 3" xfId="42833"/>
    <cellStyle name="Saída 2 3 4 25 3" xfId="42834"/>
    <cellStyle name="Saída 2 3 4 25 4" xfId="42835"/>
    <cellStyle name="Saída 2 3 4 26" xfId="42836"/>
    <cellStyle name="Saída 2 3 4 26 2" xfId="42837"/>
    <cellStyle name="Saída 2 3 4 26 2 2" xfId="42838"/>
    <cellStyle name="Saída 2 3 4 26 2 3" xfId="42839"/>
    <cellStyle name="Saída 2 3 4 26 3" xfId="42840"/>
    <cellStyle name="Saída 2 3 4 26 4" xfId="42841"/>
    <cellStyle name="Saída 2 3 4 27" xfId="42842"/>
    <cellStyle name="Saída 2 3 4 27 2" xfId="42843"/>
    <cellStyle name="Saída 2 3 4 27 2 2" xfId="42844"/>
    <cellStyle name="Saída 2 3 4 27 2 3" xfId="42845"/>
    <cellStyle name="Saída 2 3 4 27 3" xfId="42846"/>
    <cellStyle name="Saída 2 3 4 27 4" xfId="42847"/>
    <cellStyle name="Saída 2 3 4 28" xfId="42848"/>
    <cellStyle name="Saída 2 3 4 28 2" xfId="42849"/>
    <cellStyle name="Saída 2 3 4 28 2 2" xfId="42850"/>
    <cellStyle name="Saída 2 3 4 28 2 3" xfId="42851"/>
    <cellStyle name="Saída 2 3 4 28 3" xfId="42852"/>
    <cellStyle name="Saída 2 3 4 28 4" xfId="42853"/>
    <cellStyle name="Saída 2 3 4 29" xfId="42854"/>
    <cellStyle name="Saída 2 3 4 29 2" xfId="42855"/>
    <cellStyle name="Saída 2 3 4 29 2 2" xfId="42856"/>
    <cellStyle name="Saída 2 3 4 29 2 3" xfId="42857"/>
    <cellStyle name="Saída 2 3 4 29 3" xfId="42858"/>
    <cellStyle name="Saída 2 3 4 29 4" xfId="42859"/>
    <cellStyle name="Saída 2 3 4 3" xfId="42860"/>
    <cellStyle name="Saída 2 3 4 3 2" xfId="42861"/>
    <cellStyle name="Saída 2 3 4 3 2 2" xfId="42862"/>
    <cellStyle name="Saída 2 3 4 3 2 3" xfId="42863"/>
    <cellStyle name="Saída 2 3 4 3 3" xfId="42864"/>
    <cellStyle name="Saída 2 3 4 3 4" xfId="42865"/>
    <cellStyle name="Saída 2 3 4 30" xfId="42866"/>
    <cellStyle name="Saída 2 3 4 30 2" xfId="42867"/>
    <cellStyle name="Saída 2 3 4 30 2 2" xfId="42868"/>
    <cellStyle name="Saída 2 3 4 30 2 3" xfId="42869"/>
    <cellStyle name="Saída 2 3 4 30 3" xfId="42870"/>
    <cellStyle name="Saída 2 3 4 30 4" xfId="42871"/>
    <cellStyle name="Saída 2 3 4 31" xfId="42872"/>
    <cellStyle name="Saída 2 3 4 31 2" xfId="42873"/>
    <cellStyle name="Saída 2 3 4 31 2 2" xfId="42874"/>
    <cellStyle name="Saída 2 3 4 31 2 3" xfId="42875"/>
    <cellStyle name="Saída 2 3 4 31 3" xfId="42876"/>
    <cellStyle name="Saída 2 3 4 31 4" xfId="42877"/>
    <cellStyle name="Saída 2 3 4 32" xfId="42878"/>
    <cellStyle name="Saída 2 3 4 32 2" xfId="42879"/>
    <cellStyle name="Saída 2 3 4 32 2 2" xfId="42880"/>
    <cellStyle name="Saída 2 3 4 32 2 3" xfId="42881"/>
    <cellStyle name="Saída 2 3 4 32 3" xfId="42882"/>
    <cellStyle name="Saída 2 3 4 32 4" xfId="42883"/>
    <cellStyle name="Saída 2 3 4 33" xfId="42884"/>
    <cellStyle name="Saída 2 3 4 33 2" xfId="42885"/>
    <cellStyle name="Saída 2 3 4 33 2 2" xfId="42886"/>
    <cellStyle name="Saída 2 3 4 33 2 3" xfId="42887"/>
    <cellStyle name="Saída 2 3 4 33 3" xfId="42888"/>
    <cellStyle name="Saída 2 3 4 33 4" xfId="42889"/>
    <cellStyle name="Saída 2 3 4 34" xfId="42890"/>
    <cellStyle name="Saída 2 3 4 34 2" xfId="42891"/>
    <cellStyle name="Saída 2 3 4 34 2 2" xfId="42892"/>
    <cellStyle name="Saída 2 3 4 34 2 3" xfId="42893"/>
    <cellStyle name="Saída 2 3 4 34 3" xfId="42894"/>
    <cellStyle name="Saída 2 3 4 34 4" xfId="42895"/>
    <cellStyle name="Saída 2 3 4 35" xfId="42896"/>
    <cellStyle name="Saída 2 3 4 35 2" xfId="42897"/>
    <cellStyle name="Saída 2 3 4 35 2 2" xfId="42898"/>
    <cellStyle name="Saída 2 3 4 35 2 3" xfId="42899"/>
    <cellStyle name="Saída 2 3 4 35 3" xfId="42900"/>
    <cellStyle name="Saída 2 3 4 35 4" xfId="42901"/>
    <cellStyle name="Saída 2 3 4 36" xfId="42902"/>
    <cellStyle name="Saída 2 3 4 36 2" xfId="42903"/>
    <cellStyle name="Saída 2 3 4 36 2 2" xfId="42904"/>
    <cellStyle name="Saída 2 3 4 36 2 3" xfId="42905"/>
    <cellStyle name="Saída 2 3 4 36 3" xfId="42906"/>
    <cellStyle name="Saída 2 3 4 36 4" xfId="42907"/>
    <cellStyle name="Saída 2 3 4 37" xfId="42908"/>
    <cellStyle name="Saída 2 3 4 37 2" xfId="42909"/>
    <cellStyle name="Saída 2 3 4 37 2 2" xfId="42910"/>
    <cellStyle name="Saída 2 3 4 37 2 3" xfId="42911"/>
    <cellStyle name="Saída 2 3 4 37 3" xfId="42912"/>
    <cellStyle name="Saída 2 3 4 37 4" xfId="42913"/>
    <cellStyle name="Saída 2 3 4 38" xfId="42914"/>
    <cellStyle name="Saída 2 3 4 38 2" xfId="42915"/>
    <cellStyle name="Saída 2 3 4 38 3" xfId="42916"/>
    <cellStyle name="Saída 2 3 4 39" xfId="42917"/>
    <cellStyle name="Saída 2 3 4 39 2" xfId="42918"/>
    <cellStyle name="Saída 2 3 4 39 3" xfId="42919"/>
    <cellStyle name="Saída 2 3 4 4" xfId="42920"/>
    <cellStyle name="Saída 2 3 4 4 2" xfId="42921"/>
    <cellStyle name="Saída 2 3 4 4 2 2" xfId="42922"/>
    <cellStyle name="Saída 2 3 4 4 2 3" xfId="42923"/>
    <cellStyle name="Saída 2 3 4 4 3" xfId="42924"/>
    <cellStyle name="Saída 2 3 4 4 4" xfId="42925"/>
    <cellStyle name="Saída 2 3 4 40" xfId="42926"/>
    <cellStyle name="Saída 2 3 4 40 2" xfId="42927"/>
    <cellStyle name="Saída 2 3 4 40 3" xfId="42928"/>
    <cellStyle name="Saída 2 3 4 41" xfId="42929"/>
    <cellStyle name="Saída 2 3 4 42" xfId="42930"/>
    <cellStyle name="Saída 2 3 4 5" xfId="42931"/>
    <cellStyle name="Saída 2 3 4 5 2" xfId="42932"/>
    <cellStyle name="Saída 2 3 4 5 2 2" xfId="42933"/>
    <cellStyle name="Saída 2 3 4 5 2 3" xfId="42934"/>
    <cellStyle name="Saída 2 3 4 5 3" xfId="42935"/>
    <cellStyle name="Saída 2 3 4 5 4" xfId="42936"/>
    <cellStyle name="Saída 2 3 4 6" xfId="42937"/>
    <cellStyle name="Saída 2 3 4 6 2" xfId="42938"/>
    <cellStyle name="Saída 2 3 4 6 2 2" xfId="42939"/>
    <cellStyle name="Saída 2 3 4 6 2 3" xfId="42940"/>
    <cellStyle name="Saída 2 3 4 6 3" xfId="42941"/>
    <cellStyle name="Saída 2 3 4 6 4" xfId="42942"/>
    <cellStyle name="Saída 2 3 4 7" xfId="42943"/>
    <cellStyle name="Saída 2 3 4 7 2" xfId="42944"/>
    <cellStyle name="Saída 2 3 4 7 2 2" xfId="42945"/>
    <cellStyle name="Saída 2 3 4 7 2 3" xfId="42946"/>
    <cellStyle name="Saída 2 3 4 7 3" xfId="42947"/>
    <cellStyle name="Saída 2 3 4 7 4" xfId="42948"/>
    <cellStyle name="Saída 2 3 4 8" xfId="42949"/>
    <cellStyle name="Saída 2 3 4 8 2" xfId="42950"/>
    <cellStyle name="Saída 2 3 4 8 2 2" xfId="42951"/>
    <cellStyle name="Saída 2 3 4 8 2 3" xfId="42952"/>
    <cellStyle name="Saída 2 3 4 8 3" xfId="42953"/>
    <cellStyle name="Saída 2 3 4 8 4" xfId="42954"/>
    <cellStyle name="Saída 2 3 4 9" xfId="42955"/>
    <cellStyle name="Saída 2 3 4 9 2" xfId="42956"/>
    <cellStyle name="Saída 2 3 4 9 2 2" xfId="42957"/>
    <cellStyle name="Saída 2 3 4 9 2 3" xfId="42958"/>
    <cellStyle name="Saída 2 3 4 9 3" xfId="42959"/>
    <cellStyle name="Saída 2 3 4 9 4" xfId="42960"/>
    <cellStyle name="Saída 2 3 5" xfId="42961"/>
    <cellStyle name="Saída 2 3 5 10" xfId="42962"/>
    <cellStyle name="Saída 2 3 5 10 2" xfId="42963"/>
    <cellStyle name="Saída 2 3 5 10 2 2" xfId="42964"/>
    <cellStyle name="Saída 2 3 5 10 2 3" xfId="42965"/>
    <cellStyle name="Saída 2 3 5 10 3" xfId="42966"/>
    <cellStyle name="Saída 2 3 5 10 4" xfId="42967"/>
    <cellStyle name="Saída 2 3 5 11" xfId="42968"/>
    <cellStyle name="Saída 2 3 5 11 2" xfId="42969"/>
    <cellStyle name="Saída 2 3 5 11 2 2" xfId="42970"/>
    <cellStyle name="Saída 2 3 5 11 2 3" xfId="42971"/>
    <cellStyle name="Saída 2 3 5 11 3" xfId="42972"/>
    <cellStyle name="Saída 2 3 5 11 4" xfId="42973"/>
    <cellStyle name="Saída 2 3 5 12" xfId="42974"/>
    <cellStyle name="Saída 2 3 5 12 2" xfId="42975"/>
    <cellStyle name="Saída 2 3 5 12 2 2" xfId="42976"/>
    <cellStyle name="Saída 2 3 5 12 2 3" xfId="42977"/>
    <cellStyle name="Saída 2 3 5 12 3" xfId="42978"/>
    <cellStyle name="Saída 2 3 5 12 4" xfId="42979"/>
    <cellStyle name="Saída 2 3 5 13" xfId="42980"/>
    <cellStyle name="Saída 2 3 5 13 2" xfId="42981"/>
    <cellStyle name="Saída 2 3 5 13 2 2" xfId="42982"/>
    <cellStyle name="Saída 2 3 5 13 2 3" xfId="42983"/>
    <cellStyle name="Saída 2 3 5 13 3" xfId="42984"/>
    <cellStyle name="Saída 2 3 5 13 4" xfId="42985"/>
    <cellStyle name="Saída 2 3 5 14" xfId="42986"/>
    <cellStyle name="Saída 2 3 5 14 2" xfId="42987"/>
    <cellStyle name="Saída 2 3 5 14 2 2" xfId="42988"/>
    <cellStyle name="Saída 2 3 5 14 2 3" xfId="42989"/>
    <cellStyle name="Saída 2 3 5 14 3" xfId="42990"/>
    <cellStyle name="Saída 2 3 5 14 4" xfId="42991"/>
    <cellStyle name="Saída 2 3 5 15" xfId="42992"/>
    <cellStyle name="Saída 2 3 5 15 2" xfId="42993"/>
    <cellStyle name="Saída 2 3 5 15 2 2" xfId="42994"/>
    <cellStyle name="Saída 2 3 5 15 2 3" xfId="42995"/>
    <cellStyle name="Saída 2 3 5 15 3" xfId="42996"/>
    <cellStyle name="Saída 2 3 5 15 4" xfId="42997"/>
    <cellStyle name="Saída 2 3 5 16" xfId="42998"/>
    <cellStyle name="Saída 2 3 5 16 2" xfId="42999"/>
    <cellStyle name="Saída 2 3 5 16 2 2" xfId="43000"/>
    <cellStyle name="Saída 2 3 5 16 2 3" xfId="43001"/>
    <cellStyle name="Saída 2 3 5 16 3" xfId="43002"/>
    <cellStyle name="Saída 2 3 5 16 4" xfId="43003"/>
    <cellStyle name="Saída 2 3 5 17" xfId="43004"/>
    <cellStyle name="Saída 2 3 5 17 2" xfId="43005"/>
    <cellStyle name="Saída 2 3 5 17 2 2" xfId="43006"/>
    <cellStyle name="Saída 2 3 5 17 2 3" xfId="43007"/>
    <cellStyle name="Saída 2 3 5 17 3" xfId="43008"/>
    <cellStyle name="Saída 2 3 5 17 4" xfId="43009"/>
    <cellStyle name="Saída 2 3 5 18" xfId="43010"/>
    <cellStyle name="Saída 2 3 5 18 2" xfId="43011"/>
    <cellStyle name="Saída 2 3 5 18 2 2" xfId="43012"/>
    <cellStyle name="Saída 2 3 5 18 2 3" xfId="43013"/>
    <cellStyle name="Saída 2 3 5 18 3" xfId="43014"/>
    <cellStyle name="Saída 2 3 5 18 4" xfId="43015"/>
    <cellStyle name="Saída 2 3 5 19" xfId="43016"/>
    <cellStyle name="Saída 2 3 5 19 2" xfId="43017"/>
    <cellStyle name="Saída 2 3 5 19 2 2" xfId="43018"/>
    <cellStyle name="Saída 2 3 5 19 2 3" xfId="43019"/>
    <cellStyle name="Saída 2 3 5 19 3" xfId="43020"/>
    <cellStyle name="Saída 2 3 5 19 4" xfId="43021"/>
    <cellStyle name="Saída 2 3 5 2" xfId="43022"/>
    <cellStyle name="Saída 2 3 5 2 2" xfId="43023"/>
    <cellStyle name="Saída 2 3 5 2 2 2" xfId="43024"/>
    <cellStyle name="Saída 2 3 5 2 2 3" xfId="43025"/>
    <cellStyle name="Saída 2 3 5 2 3" xfId="43026"/>
    <cellStyle name="Saída 2 3 5 2 4" xfId="43027"/>
    <cellStyle name="Saída 2 3 5 20" xfId="43028"/>
    <cellStyle name="Saída 2 3 5 20 2" xfId="43029"/>
    <cellStyle name="Saída 2 3 5 20 2 2" xfId="43030"/>
    <cellStyle name="Saída 2 3 5 20 2 3" xfId="43031"/>
    <cellStyle name="Saída 2 3 5 20 3" xfId="43032"/>
    <cellStyle name="Saída 2 3 5 20 4" xfId="43033"/>
    <cellStyle name="Saída 2 3 5 21" xfId="43034"/>
    <cellStyle name="Saída 2 3 5 21 2" xfId="43035"/>
    <cellStyle name="Saída 2 3 5 21 2 2" xfId="43036"/>
    <cellStyle name="Saída 2 3 5 21 2 3" xfId="43037"/>
    <cellStyle name="Saída 2 3 5 21 3" xfId="43038"/>
    <cellStyle name="Saída 2 3 5 21 4" xfId="43039"/>
    <cellStyle name="Saída 2 3 5 22" xfId="43040"/>
    <cellStyle name="Saída 2 3 5 22 2" xfId="43041"/>
    <cellStyle name="Saída 2 3 5 22 2 2" xfId="43042"/>
    <cellStyle name="Saída 2 3 5 22 2 3" xfId="43043"/>
    <cellStyle name="Saída 2 3 5 22 3" xfId="43044"/>
    <cellStyle name="Saída 2 3 5 22 4" xfId="43045"/>
    <cellStyle name="Saída 2 3 5 23" xfId="43046"/>
    <cellStyle name="Saída 2 3 5 23 2" xfId="43047"/>
    <cellStyle name="Saída 2 3 5 23 2 2" xfId="43048"/>
    <cellStyle name="Saída 2 3 5 23 2 3" xfId="43049"/>
    <cellStyle name="Saída 2 3 5 23 3" xfId="43050"/>
    <cellStyle name="Saída 2 3 5 23 4" xfId="43051"/>
    <cellStyle name="Saída 2 3 5 24" xfId="43052"/>
    <cellStyle name="Saída 2 3 5 24 2" xfId="43053"/>
    <cellStyle name="Saída 2 3 5 24 2 2" xfId="43054"/>
    <cellStyle name="Saída 2 3 5 24 2 3" xfId="43055"/>
    <cellStyle name="Saída 2 3 5 24 3" xfId="43056"/>
    <cellStyle name="Saída 2 3 5 24 4" xfId="43057"/>
    <cellStyle name="Saída 2 3 5 25" xfId="43058"/>
    <cellStyle name="Saída 2 3 5 25 2" xfId="43059"/>
    <cellStyle name="Saída 2 3 5 25 2 2" xfId="43060"/>
    <cellStyle name="Saída 2 3 5 25 2 3" xfId="43061"/>
    <cellStyle name="Saída 2 3 5 25 3" xfId="43062"/>
    <cellStyle name="Saída 2 3 5 25 4" xfId="43063"/>
    <cellStyle name="Saída 2 3 5 26" xfId="43064"/>
    <cellStyle name="Saída 2 3 5 26 2" xfId="43065"/>
    <cellStyle name="Saída 2 3 5 26 2 2" xfId="43066"/>
    <cellStyle name="Saída 2 3 5 26 2 3" xfId="43067"/>
    <cellStyle name="Saída 2 3 5 26 3" xfId="43068"/>
    <cellStyle name="Saída 2 3 5 26 4" xfId="43069"/>
    <cellStyle name="Saída 2 3 5 27" xfId="43070"/>
    <cellStyle name="Saída 2 3 5 27 2" xfId="43071"/>
    <cellStyle name="Saída 2 3 5 27 2 2" xfId="43072"/>
    <cellStyle name="Saída 2 3 5 27 2 3" xfId="43073"/>
    <cellStyle name="Saída 2 3 5 27 3" xfId="43074"/>
    <cellStyle name="Saída 2 3 5 27 4" xfId="43075"/>
    <cellStyle name="Saída 2 3 5 28" xfId="43076"/>
    <cellStyle name="Saída 2 3 5 28 2" xfId="43077"/>
    <cellStyle name="Saída 2 3 5 28 2 2" xfId="43078"/>
    <cellStyle name="Saída 2 3 5 28 2 3" xfId="43079"/>
    <cellStyle name="Saída 2 3 5 28 3" xfId="43080"/>
    <cellStyle name="Saída 2 3 5 28 4" xfId="43081"/>
    <cellStyle name="Saída 2 3 5 29" xfId="43082"/>
    <cellStyle name="Saída 2 3 5 29 2" xfId="43083"/>
    <cellStyle name="Saída 2 3 5 29 2 2" xfId="43084"/>
    <cellStyle name="Saída 2 3 5 29 2 3" xfId="43085"/>
    <cellStyle name="Saída 2 3 5 29 3" xfId="43086"/>
    <cellStyle name="Saída 2 3 5 29 4" xfId="43087"/>
    <cellStyle name="Saída 2 3 5 3" xfId="43088"/>
    <cellStyle name="Saída 2 3 5 3 2" xfId="43089"/>
    <cellStyle name="Saída 2 3 5 3 2 2" xfId="43090"/>
    <cellStyle name="Saída 2 3 5 3 2 3" xfId="43091"/>
    <cellStyle name="Saída 2 3 5 3 3" xfId="43092"/>
    <cellStyle name="Saída 2 3 5 3 4" xfId="43093"/>
    <cellStyle name="Saída 2 3 5 30" xfId="43094"/>
    <cellStyle name="Saída 2 3 5 30 2" xfId="43095"/>
    <cellStyle name="Saída 2 3 5 30 2 2" xfId="43096"/>
    <cellStyle name="Saída 2 3 5 30 2 3" xfId="43097"/>
    <cellStyle name="Saída 2 3 5 30 3" xfId="43098"/>
    <cellStyle name="Saída 2 3 5 30 4" xfId="43099"/>
    <cellStyle name="Saída 2 3 5 31" xfId="43100"/>
    <cellStyle name="Saída 2 3 5 31 2" xfId="43101"/>
    <cellStyle name="Saída 2 3 5 31 2 2" xfId="43102"/>
    <cellStyle name="Saída 2 3 5 31 2 3" xfId="43103"/>
    <cellStyle name="Saída 2 3 5 31 3" xfId="43104"/>
    <cellStyle name="Saída 2 3 5 31 4" xfId="43105"/>
    <cellStyle name="Saída 2 3 5 32" xfId="43106"/>
    <cellStyle name="Saída 2 3 5 32 2" xfId="43107"/>
    <cellStyle name="Saída 2 3 5 32 2 2" xfId="43108"/>
    <cellStyle name="Saída 2 3 5 32 2 3" xfId="43109"/>
    <cellStyle name="Saída 2 3 5 32 3" xfId="43110"/>
    <cellStyle name="Saída 2 3 5 32 4" xfId="43111"/>
    <cellStyle name="Saída 2 3 5 33" xfId="43112"/>
    <cellStyle name="Saída 2 3 5 33 2" xfId="43113"/>
    <cellStyle name="Saída 2 3 5 33 2 2" xfId="43114"/>
    <cellStyle name="Saída 2 3 5 33 2 3" xfId="43115"/>
    <cellStyle name="Saída 2 3 5 33 3" xfId="43116"/>
    <cellStyle name="Saída 2 3 5 33 4" xfId="43117"/>
    <cellStyle name="Saída 2 3 5 34" xfId="43118"/>
    <cellStyle name="Saída 2 3 5 34 2" xfId="43119"/>
    <cellStyle name="Saída 2 3 5 34 2 2" xfId="43120"/>
    <cellStyle name="Saída 2 3 5 34 2 3" xfId="43121"/>
    <cellStyle name="Saída 2 3 5 34 3" xfId="43122"/>
    <cellStyle name="Saída 2 3 5 34 4" xfId="43123"/>
    <cellStyle name="Saída 2 3 5 35" xfId="43124"/>
    <cellStyle name="Saída 2 3 5 35 2" xfId="43125"/>
    <cellStyle name="Saída 2 3 5 35 2 2" xfId="43126"/>
    <cellStyle name="Saída 2 3 5 35 2 3" xfId="43127"/>
    <cellStyle name="Saída 2 3 5 35 3" xfId="43128"/>
    <cellStyle name="Saída 2 3 5 35 4" xfId="43129"/>
    <cellStyle name="Saída 2 3 5 36" xfId="43130"/>
    <cellStyle name="Saída 2 3 5 36 2" xfId="43131"/>
    <cellStyle name="Saída 2 3 5 36 2 2" xfId="43132"/>
    <cellStyle name="Saída 2 3 5 36 2 3" xfId="43133"/>
    <cellStyle name="Saída 2 3 5 36 3" xfId="43134"/>
    <cellStyle name="Saída 2 3 5 36 4" xfId="43135"/>
    <cellStyle name="Saída 2 3 5 37" xfId="43136"/>
    <cellStyle name="Saída 2 3 5 37 2" xfId="43137"/>
    <cellStyle name="Saída 2 3 5 37 2 2" xfId="43138"/>
    <cellStyle name="Saída 2 3 5 37 2 3" xfId="43139"/>
    <cellStyle name="Saída 2 3 5 37 3" xfId="43140"/>
    <cellStyle name="Saída 2 3 5 37 4" xfId="43141"/>
    <cellStyle name="Saída 2 3 5 38" xfId="43142"/>
    <cellStyle name="Saída 2 3 5 38 2" xfId="43143"/>
    <cellStyle name="Saída 2 3 5 38 2 2" xfId="43144"/>
    <cellStyle name="Saída 2 3 5 38 2 3" xfId="43145"/>
    <cellStyle name="Saída 2 3 5 38 3" xfId="43146"/>
    <cellStyle name="Saída 2 3 5 38 4" xfId="43147"/>
    <cellStyle name="Saída 2 3 5 39" xfId="43148"/>
    <cellStyle name="Saída 2 3 5 39 2" xfId="43149"/>
    <cellStyle name="Saída 2 3 5 39 3" xfId="43150"/>
    <cellStyle name="Saída 2 3 5 4" xfId="43151"/>
    <cellStyle name="Saída 2 3 5 4 2" xfId="43152"/>
    <cellStyle name="Saída 2 3 5 4 2 2" xfId="43153"/>
    <cellStyle name="Saída 2 3 5 4 2 3" xfId="43154"/>
    <cellStyle name="Saída 2 3 5 4 3" xfId="43155"/>
    <cellStyle name="Saída 2 3 5 4 4" xfId="43156"/>
    <cellStyle name="Saída 2 3 5 40" xfId="43157"/>
    <cellStyle name="Saída 2 3 5 40 2" xfId="43158"/>
    <cellStyle name="Saída 2 3 5 40 3" xfId="43159"/>
    <cellStyle name="Saída 2 3 5 41" xfId="43160"/>
    <cellStyle name="Saída 2 3 5 41 2" xfId="43161"/>
    <cellStyle name="Saída 2 3 5 41 3" xfId="43162"/>
    <cellStyle name="Saída 2 3 5 42" xfId="43163"/>
    <cellStyle name="Saída 2 3 5 43" xfId="43164"/>
    <cellStyle name="Saída 2 3 5 5" xfId="43165"/>
    <cellStyle name="Saída 2 3 5 5 2" xfId="43166"/>
    <cellStyle name="Saída 2 3 5 5 2 2" xfId="43167"/>
    <cellStyle name="Saída 2 3 5 5 2 3" xfId="43168"/>
    <cellStyle name="Saída 2 3 5 5 3" xfId="43169"/>
    <cellStyle name="Saída 2 3 5 5 4" xfId="43170"/>
    <cellStyle name="Saída 2 3 5 6" xfId="43171"/>
    <cellStyle name="Saída 2 3 5 6 2" xfId="43172"/>
    <cellStyle name="Saída 2 3 5 6 2 2" xfId="43173"/>
    <cellStyle name="Saída 2 3 5 6 2 3" xfId="43174"/>
    <cellStyle name="Saída 2 3 5 6 3" xfId="43175"/>
    <cellStyle name="Saída 2 3 5 6 4" xfId="43176"/>
    <cellStyle name="Saída 2 3 5 7" xfId="43177"/>
    <cellStyle name="Saída 2 3 5 7 2" xfId="43178"/>
    <cellStyle name="Saída 2 3 5 7 2 2" xfId="43179"/>
    <cellStyle name="Saída 2 3 5 7 2 3" xfId="43180"/>
    <cellStyle name="Saída 2 3 5 7 3" xfId="43181"/>
    <cellStyle name="Saída 2 3 5 7 4" xfId="43182"/>
    <cellStyle name="Saída 2 3 5 8" xfId="43183"/>
    <cellStyle name="Saída 2 3 5 8 2" xfId="43184"/>
    <cellStyle name="Saída 2 3 5 8 2 2" xfId="43185"/>
    <cellStyle name="Saída 2 3 5 8 2 3" xfId="43186"/>
    <cellStyle name="Saída 2 3 5 8 3" xfId="43187"/>
    <cellStyle name="Saída 2 3 5 8 4" xfId="43188"/>
    <cellStyle name="Saída 2 3 5 9" xfId="43189"/>
    <cellStyle name="Saída 2 3 5 9 2" xfId="43190"/>
    <cellStyle name="Saída 2 3 5 9 2 2" xfId="43191"/>
    <cellStyle name="Saída 2 3 5 9 2 3" xfId="43192"/>
    <cellStyle name="Saída 2 3 5 9 3" xfId="43193"/>
    <cellStyle name="Saída 2 3 5 9 4" xfId="43194"/>
    <cellStyle name="Saída 2 3 6" xfId="43195"/>
    <cellStyle name="Saída 2 3 6 10" xfId="43196"/>
    <cellStyle name="Saída 2 3 6 10 2" xfId="43197"/>
    <cellStyle name="Saída 2 3 6 10 2 2" xfId="43198"/>
    <cellStyle name="Saída 2 3 6 10 2 3" xfId="43199"/>
    <cellStyle name="Saída 2 3 6 10 3" xfId="43200"/>
    <cellStyle name="Saída 2 3 6 10 4" xfId="43201"/>
    <cellStyle name="Saída 2 3 6 11" xfId="43202"/>
    <cellStyle name="Saída 2 3 6 11 2" xfId="43203"/>
    <cellStyle name="Saída 2 3 6 11 2 2" xfId="43204"/>
    <cellStyle name="Saída 2 3 6 11 2 3" xfId="43205"/>
    <cellStyle name="Saída 2 3 6 11 3" xfId="43206"/>
    <cellStyle name="Saída 2 3 6 11 4" xfId="43207"/>
    <cellStyle name="Saída 2 3 6 12" xfId="43208"/>
    <cellStyle name="Saída 2 3 6 12 2" xfId="43209"/>
    <cellStyle name="Saída 2 3 6 12 2 2" xfId="43210"/>
    <cellStyle name="Saída 2 3 6 12 2 3" xfId="43211"/>
    <cellStyle name="Saída 2 3 6 12 3" xfId="43212"/>
    <cellStyle name="Saída 2 3 6 12 4" xfId="43213"/>
    <cellStyle name="Saída 2 3 6 13" xfId="43214"/>
    <cellStyle name="Saída 2 3 6 13 2" xfId="43215"/>
    <cellStyle name="Saída 2 3 6 13 2 2" xfId="43216"/>
    <cellStyle name="Saída 2 3 6 13 2 3" xfId="43217"/>
    <cellStyle name="Saída 2 3 6 13 3" xfId="43218"/>
    <cellStyle name="Saída 2 3 6 13 4" xfId="43219"/>
    <cellStyle name="Saída 2 3 6 14" xfId="43220"/>
    <cellStyle name="Saída 2 3 6 14 2" xfId="43221"/>
    <cellStyle name="Saída 2 3 6 14 2 2" xfId="43222"/>
    <cellStyle name="Saída 2 3 6 14 2 3" xfId="43223"/>
    <cellStyle name="Saída 2 3 6 14 3" xfId="43224"/>
    <cellStyle name="Saída 2 3 6 14 4" xfId="43225"/>
    <cellStyle name="Saída 2 3 6 15" xfId="43226"/>
    <cellStyle name="Saída 2 3 6 15 2" xfId="43227"/>
    <cellStyle name="Saída 2 3 6 15 2 2" xfId="43228"/>
    <cellStyle name="Saída 2 3 6 15 2 3" xfId="43229"/>
    <cellStyle name="Saída 2 3 6 15 3" xfId="43230"/>
    <cellStyle name="Saída 2 3 6 15 4" xfId="43231"/>
    <cellStyle name="Saída 2 3 6 16" xfId="43232"/>
    <cellStyle name="Saída 2 3 6 16 2" xfId="43233"/>
    <cellStyle name="Saída 2 3 6 16 2 2" xfId="43234"/>
    <cellStyle name="Saída 2 3 6 16 2 3" xfId="43235"/>
    <cellStyle name="Saída 2 3 6 16 3" xfId="43236"/>
    <cellStyle name="Saída 2 3 6 16 4" xfId="43237"/>
    <cellStyle name="Saída 2 3 6 17" xfId="43238"/>
    <cellStyle name="Saída 2 3 6 17 2" xfId="43239"/>
    <cellStyle name="Saída 2 3 6 17 2 2" xfId="43240"/>
    <cellStyle name="Saída 2 3 6 17 2 3" xfId="43241"/>
    <cellStyle name="Saída 2 3 6 17 3" xfId="43242"/>
    <cellStyle name="Saída 2 3 6 17 4" xfId="43243"/>
    <cellStyle name="Saída 2 3 6 18" xfId="43244"/>
    <cellStyle name="Saída 2 3 6 18 2" xfId="43245"/>
    <cellStyle name="Saída 2 3 6 18 2 2" xfId="43246"/>
    <cellStyle name="Saída 2 3 6 18 2 3" xfId="43247"/>
    <cellStyle name="Saída 2 3 6 18 3" xfId="43248"/>
    <cellStyle name="Saída 2 3 6 18 4" xfId="43249"/>
    <cellStyle name="Saída 2 3 6 19" xfId="43250"/>
    <cellStyle name="Saída 2 3 6 19 2" xfId="43251"/>
    <cellStyle name="Saída 2 3 6 19 2 2" xfId="43252"/>
    <cellStyle name="Saída 2 3 6 19 2 3" xfId="43253"/>
    <cellStyle name="Saída 2 3 6 19 3" xfId="43254"/>
    <cellStyle name="Saída 2 3 6 19 4" xfId="43255"/>
    <cellStyle name="Saída 2 3 6 2" xfId="43256"/>
    <cellStyle name="Saída 2 3 6 2 2" xfId="43257"/>
    <cellStyle name="Saída 2 3 6 2 2 2" xfId="43258"/>
    <cellStyle name="Saída 2 3 6 2 2 3" xfId="43259"/>
    <cellStyle name="Saída 2 3 6 2 3" xfId="43260"/>
    <cellStyle name="Saída 2 3 6 2 4" xfId="43261"/>
    <cellStyle name="Saída 2 3 6 20" xfId="43262"/>
    <cellStyle name="Saída 2 3 6 20 2" xfId="43263"/>
    <cellStyle name="Saída 2 3 6 20 2 2" xfId="43264"/>
    <cellStyle name="Saída 2 3 6 20 2 3" xfId="43265"/>
    <cellStyle name="Saída 2 3 6 20 3" xfId="43266"/>
    <cellStyle name="Saída 2 3 6 20 4" xfId="43267"/>
    <cellStyle name="Saída 2 3 6 21" xfId="43268"/>
    <cellStyle name="Saída 2 3 6 21 2" xfId="43269"/>
    <cellStyle name="Saída 2 3 6 21 2 2" xfId="43270"/>
    <cellStyle name="Saída 2 3 6 21 2 3" xfId="43271"/>
    <cellStyle name="Saída 2 3 6 21 3" xfId="43272"/>
    <cellStyle name="Saída 2 3 6 21 4" xfId="43273"/>
    <cellStyle name="Saída 2 3 6 22" xfId="43274"/>
    <cellStyle name="Saída 2 3 6 22 2" xfId="43275"/>
    <cellStyle name="Saída 2 3 6 22 2 2" xfId="43276"/>
    <cellStyle name="Saída 2 3 6 22 2 3" xfId="43277"/>
    <cellStyle name="Saída 2 3 6 22 3" xfId="43278"/>
    <cellStyle name="Saída 2 3 6 22 4" xfId="43279"/>
    <cellStyle name="Saída 2 3 6 23" xfId="43280"/>
    <cellStyle name="Saída 2 3 6 23 2" xfId="43281"/>
    <cellStyle name="Saída 2 3 6 23 2 2" xfId="43282"/>
    <cellStyle name="Saída 2 3 6 23 2 3" xfId="43283"/>
    <cellStyle name="Saída 2 3 6 23 3" xfId="43284"/>
    <cellStyle name="Saída 2 3 6 23 4" xfId="43285"/>
    <cellStyle name="Saída 2 3 6 24" xfId="43286"/>
    <cellStyle name="Saída 2 3 6 24 2" xfId="43287"/>
    <cellStyle name="Saída 2 3 6 24 2 2" xfId="43288"/>
    <cellStyle name="Saída 2 3 6 24 2 3" xfId="43289"/>
    <cellStyle name="Saída 2 3 6 24 3" xfId="43290"/>
    <cellStyle name="Saída 2 3 6 24 4" xfId="43291"/>
    <cellStyle name="Saída 2 3 6 25" xfId="43292"/>
    <cellStyle name="Saída 2 3 6 25 2" xfId="43293"/>
    <cellStyle name="Saída 2 3 6 25 2 2" xfId="43294"/>
    <cellStyle name="Saída 2 3 6 25 2 3" xfId="43295"/>
    <cellStyle name="Saída 2 3 6 25 3" xfId="43296"/>
    <cellStyle name="Saída 2 3 6 25 4" xfId="43297"/>
    <cellStyle name="Saída 2 3 6 26" xfId="43298"/>
    <cellStyle name="Saída 2 3 6 26 2" xfId="43299"/>
    <cellStyle name="Saída 2 3 6 26 2 2" xfId="43300"/>
    <cellStyle name="Saída 2 3 6 26 2 3" xfId="43301"/>
    <cellStyle name="Saída 2 3 6 26 3" xfId="43302"/>
    <cellStyle name="Saída 2 3 6 26 4" xfId="43303"/>
    <cellStyle name="Saída 2 3 6 27" xfId="43304"/>
    <cellStyle name="Saída 2 3 6 27 2" xfId="43305"/>
    <cellStyle name="Saída 2 3 6 27 2 2" xfId="43306"/>
    <cellStyle name="Saída 2 3 6 27 2 3" xfId="43307"/>
    <cellStyle name="Saída 2 3 6 27 3" xfId="43308"/>
    <cellStyle name="Saída 2 3 6 27 4" xfId="43309"/>
    <cellStyle name="Saída 2 3 6 28" xfId="43310"/>
    <cellStyle name="Saída 2 3 6 28 2" xfId="43311"/>
    <cellStyle name="Saída 2 3 6 28 2 2" xfId="43312"/>
    <cellStyle name="Saída 2 3 6 28 2 3" xfId="43313"/>
    <cellStyle name="Saída 2 3 6 28 3" xfId="43314"/>
    <cellStyle name="Saída 2 3 6 28 4" xfId="43315"/>
    <cellStyle name="Saída 2 3 6 29" xfId="43316"/>
    <cellStyle name="Saída 2 3 6 29 2" xfId="43317"/>
    <cellStyle name="Saída 2 3 6 29 2 2" xfId="43318"/>
    <cellStyle name="Saída 2 3 6 29 2 3" xfId="43319"/>
    <cellStyle name="Saída 2 3 6 29 3" xfId="43320"/>
    <cellStyle name="Saída 2 3 6 29 4" xfId="43321"/>
    <cellStyle name="Saída 2 3 6 3" xfId="43322"/>
    <cellStyle name="Saída 2 3 6 3 2" xfId="43323"/>
    <cellStyle name="Saída 2 3 6 3 2 2" xfId="43324"/>
    <cellStyle name="Saída 2 3 6 3 2 3" xfId="43325"/>
    <cellStyle name="Saída 2 3 6 3 3" xfId="43326"/>
    <cellStyle name="Saída 2 3 6 3 4" xfId="43327"/>
    <cellStyle name="Saída 2 3 6 30" xfId="43328"/>
    <cellStyle name="Saída 2 3 6 30 2" xfId="43329"/>
    <cellStyle name="Saída 2 3 6 30 2 2" xfId="43330"/>
    <cellStyle name="Saída 2 3 6 30 2 3" xfId="43331"/>
    <cellStyle name="Saída 2 3 6 30 3" xfId="43332"/>
    <cellStyle name="Saída 2 3 6 30 4" xfId="43333"/>
    <cellStyle name="Saída 2 3 6 31" xfId="43334"/>
    <cellStyle name="Saída 2 3 6 31 2" xfId="43335"/>
    <cellStyle name="Saída 2 3 6 31 2 2" xfId="43336"/>
    <cellStyle name="Saída 2 3 6 31 2 3" xfId="43337"/>
    <cellStyle name="Saída 2 3 6 31 3" xfId="43338"/>
    <cellStyle name="Saída 2 3 6 31 4" xfId="43339"/>
    <cellStyle name="Saída 2 3 6 32" xfId="43340"/>
    <cellStyle name="Saída 2 3 6 32 2" xfId="43341"/>
    <cellStyle name="Saída 2 3 6 32 2 2" xfId="43342"/>
    <cellStyle name="Saída 2 3 6 32 2 3" xfId="43343"/>
    <cellStyle name="Saída 2 3 6 32 3" xfId="43344"/>
    <cellStyle name="Saída 2 3 6 32 4" xfId="43345"/>
    <cellStyle name="Saída 2 3 6 33" xfId="43346"/>
    <cellStyle name="Saída 2 3 6 33 2" xfId="43347"/>
    <cellStyle name="Saída 2 3 6 33 2 2" xfId="43348"/>
    <cellStyle name="Saída 2 3 6 33 2 3" xfId="43349"/>
    <cellStyle name="Saída 2 3 6 33 3" xfId="43350"/>
    <cellStyle name="Saída 2 3 6 33 4" xfId="43351"/>
    <cellStyle name="Saída 2 3 6 34" xfId="43352"/>
    <cellStyle name="Saída 2 3 6 34 2" xfId="43353"/>
    <cellStyle name="Saída 2 3 6 34 2 2" xfId="43354"/>
    <cellStyle name="Saída 2 3 6 34 2 3" xfId="43355"/>
    <cellStyle name="Saída 2 3 6 34 3" xfId="43356"/>
    <cellStyle name="Saída 2 3 6 34 4" xfId="43357"/>
    <cellStyle name="Saída 2 3 6 35" xfId="43358"/>
    <cellStyle name="Saída 2 3 6 35 2" xfId="43359"/>
    <cellStyle name="Saída 2 3 6 35 2 2" xfId="43360"/>
    <cellStyle name="Saída 2 3 6 35 2 3" xfId="43361"/>
    <cellStyle name="Saída 2 3 6 35 3" xfId="43362"/>
    <cellStyle name="Saída 2 3 6 35 4" xfId="43363"/>
    <cellStyle name="Saída 2 3 6 36" xfId="43364"/>
    <cellStyle name="Saída 2 3 6 36 2" xfId="43365"/>
    <cellStyle name="Saída 2 3 6 36 2 2" xfId="43366"/>
    <cellStyle name="Saída 2 3 6 36 2 3" xfId="43367"/>
    <cellStyle name="Saída 2 3 6 36 3" xfId="43368"/>
    <cellStyle name="Saída 2 3 6 36 4" xfId="43369"/>
    <cellStyle name="Saída 2 3 6 37" xfId="43370"/>
    <cellStyle name="Saída 2 3 6 37 2" xfId="43371"/>
    <cellStyle name="Saída 2 3 6 37 2 2" xfId="43372"/>
    <cellStyle name="Saída 2 3 6 37 2 3" xfId="43373"/>
    <cellStyle name="Saída 2 3 6 37 3" xfId="43374"/>
    <cellStyle name="Saída 2 3 6 37 4" xfId="43375"/>
    <cellStyle name="Saída 2 3 6 38" xfId="43376"/>
    <cellStyle name="Saída 2 3 6 38 2" xfId="43377"/>
    <cellStyle name="Saída 2 3 6 38 2 2" xfId="43378"/>
    <cellStyle name="Saída 2 3 6 38 2 3" xfId="43379"/>
    <cellStyle name="Saída 2 3 6 38 3" xfId="43380"/>
    <cellStyle name="Saída 2 3 6 38 4" xfId="43381"/>
    <cellStyle name="Saída 2 3 6 39" xfId="43382"/>
    <cellStyle name="Saída 2 3 6 39 2" xfId="43383"/>
    <cellStyle name="Saída 2 3 6 39 2 2" xfId="43384"/>
    <cellStyle name="Saída 2 3 6 39 2 3" xfId="43385"/>
    <cellStyle name="Saída 2 3 6 39 3" xfId="43386"/>
    <cellStyle name="Saída 2 3 6 39 4" xfId="43387"/>
    <cellStyle name="Saída 2 3 6 4" xfId="43388"/>
    <cellStyle name="Saída 2 3 6 4 2" xfId="43389"/>
    <cellStyle name="Saída 2 3 6 4 2 2" xfId="43390"/>
    <cellStyle name="Saída 2 3 6 4 2 3" xfId="43391"/>
    <cellStyle name="Saída 2 3 6 4 3" xfId="43392"/>
    <cellStyle name="Saída 2 3 6 4 4" xfId="43393"/>
    <cellStyle name="Saída 2 3 6 40" xfId="43394"/>
    <cellStyle name="Saída 2 3 6 40 2" xfId="43395"/>
    <cellStyle name="Saída 2 3 6 40 2 2" xfId="43396"/>
    <cellStyle name="Saída 2 3 6 40 2 3" xfId="43397"/>
    <cellStyle name="Saída 2 3 6 40 3" xfId="43398"/>
    <cellStyle name="Saída 2 3 6 40 4" xfId="43399"/>
    <cellStyle name="Saída 2 3 6 41" xfId="43400"/>
    <cellStyle name="Saída 2 3 6 41 2" xfId="43401"/>
    <cellStyle name="Saída 2 3 6 41 2 2" xfId="43402"/>
    <cellStyle name="Saída 2 3 6 41 2 3" xfId="43403"/>
    <cellStyle name="Saída 2 3 6 41 3" xfId="43404"/>
    <cellStyle name="Saída 2 3 6 41 4" xfId="43405"/>
    <cellStyle name="Saída 2 3 6 42" xfId="43406"/>
    <cellStyle name="Saída 2 3 6 42 2" xfId="43407"/>
    <cellStyle name="Saída 2 3 6 42 3" xfId="43408"/>
    <cellStyle name="Saída 2 3 6 43" xfId="43409"/>
    <cellStyle name="Saída 2 3 6 43 2" xfId="43410"/>
    <cellStyle name="Saída 2 3 6 43 3" xfId="43411"/>
    <cellStyle name="Saída 2 3 6 44" xfId="43412"/>
    <cellStyle name="Saída 2 3 6 45" xfId="43413"/>
    <cellStyle name="Saída 2 3 6 5" xfId="43414"/>
    <cellStyle name="Saída 2 3 6 5 2" xfId="43415"/>
    <cellStyle name="Saída 2 3 6 5 2 2" xfId="43416"/>
    <cellStyle name="Saída 2 3 6 5 2 3" xfId="43417"/>
    <cellStyle name="Saída 2 3 6 5 3" xfId="43418"/>
    <cellStyle name="Saída 2 3 6 5 4" xfId="43419"/>
    <cellStyle name="Saída 2 3 6 6" xfId="43420"/>
    <cellStyle name="Saída 2 3 6 6 2" xfId="43421"/>
    <cellStyle name="Saída 2 3 6 6 2 2" xfId="43422"/>
    <cellStyle name="Saída 2 3 6 6 2 3" xfId="43423"/>
    <cellStyle name="Saída 2 3 6 6 3" xfId="43424"/>
    <cellStyle name="Saída 2 3 6 6 4" xfId="43425"/>
    <cellStyle name="Saída 2 3 6 7" xfId="43426"/>
    <cellStyle name="Saída 2 3 6 7 2" xfId="43427"/>
    <cellStyle name="Saída 2 3 6 7 2 2" xfId="43428"/>
    <cellStyle name="Saída 2 3 6 7 2 3" xfId="43429"/>
    <cellStyle name="Saída 2 3 6 7 3" xfId="43430"/>
    <cellStyle name="Saída 2 3 6 7 4" xfId="43431"/>
    <cellStyle name="Saída 2 3 6 8" xfId="43432"/>
    <cellStyle name="Saída 2 3 6 8 2" xfId="43433"/>
    <cellStyle name="Saída 2 3 6 8 2 2" xfId="43434"/>
    <cellStyle name="Saída 2 3 6 8 2 3" xfId="43435"/>
    <cellStyle name="Saída 2 3 6 8 3" xfId="43436"/>
    <cellStyle name="Saída 2 3 6 8 4" xfId="43437"/>
    <cellStyle name="Saída 2 3 6 9" xfId="43438"/>
    <cellStyle name="Saída 2 3 6 9 2" xfId="43439"/>
    <cellStyle name="Saída 2 3 6 9 2 2" xfId="43440"/>
    <cellStyle name="Saída 2 3 6 9 2 3" xfId="43441"/>
    <cellStyle name="Saída 2 3 6 9 3" xfId="43442"/>
    <cellStyle name="Saída 2 3 6 9 4" xfId="43443"/>
    <cellStyle name="Saída 2 3 7" xfId="43444"/>
    <cellStyle name="Saída 2 3 7 2" xfId="43445"/>
    <cellStyle name="Saída 2 3 7 2 2" xfId="43446"/>
    <cellStyle name="Saída 2 3 7 2 3" xfId="43447"/>
    <cellStyle name="Saída 2 3 7 3" xfId="43448"/>
    <cellStyle name="Saída 2 3 7 4" xfId="43449"/>
    <cellStyle name="Saída 2 3 8" xfId="43450"/>
    <cellStyle name="Saída 2 3 8 2" xfId="43451"/>
    <cellStyle name="Saída 2 3 8 2 2" xfId="43452"/>
    <cellStyle name="Saída 2 3 8 2 3" xfId="43453"/>
    <cellStyle name="Saída 2 3 8 3" xfId="43454"/>
    <cellStyle name="Saída 2 3 8 4" xfId="43455"/>
    <cellStyle name="Saída 2 3 9" xfId="43456"/>
    <cellStyle name="Saída 2 3 9 2" xfId="43457"/>
    <cellStyle name="Saída 2 3 9 2 2" xfId="43458"/>
    <cellStyle name="Saída 2 3 9 2 3" xfId="43459"/>
    <cellStyle name="Saída 2 3 9 3" xfId="43460"/>
    <cellStyle name="Saída 2 3 9 4" xfId="43461"/>
    <cellStyle name="Saída 2 30" xfId="43462"/>
    <cellStyle name="Saída 2 30 2" xfId="43463"/>
    <cellStyle name="Saída 2 30 3" xfId="43464"/>
    <cellStyle name="Saída 2 31" xfId="43465"/>
    <cellStyle name="Saída 2 31 2" xfId="43466"/>
    <cellStyle name="Saída 2 31 3" xfId="43467"/>
    <cellStyle name="Saída 2 32" xfId="43468"/>
    <cellStyle name="Saída 2 32 2" xfId="43469"/>
    <cellStyle name="Saída 2 32 3" xfId="43470"/>
    <cellStyle name="Saída 2 33" xfId="43471"/>
    <cellStyle name="Saída 2 33 2" xfId="43472"/>
    <cellStyle name="Saída 2 33 3" xfId="43473"/>
    <cellStyle name="Saída 2 34" xfId="43474"/>
    <cellStyle name="Saída 2 35" xfId="43475"/>
    <cellStyle name="Saída 2 4" xfId="43476"/>
    <cellStyle name="Saída 2 4 10" xfId="43477"/>
    <cellStyle name="Saída 2 4 10 2" xfId="43478"/>
    <cellStyle name="Saída 2 4 10 2 2" xfId="43479"/>
    <cellStyle name="Saída 2 4 10 2 3" xfId="43480"/>
    <cellStyle name="Saída 2 4 10 3" xfId="43481"/>
    <cellStyle name="Saída 2 4 10 4" xfId="43482"/>
    <cellStyle name="Saída 2 4 11" xfId="43483"/>
    <cellStyle name="Saída 2 4 11 2" xfId="43484"/>
    <cellStyle name="Saída 2 4 11 2 2" xfId="43485"/>
    <cellStyle name="Saída 2 4 11 2 3" xfId="43486"/>
    <cellStyle name="Saída 2 4 11 3" xfId="43487"/>
    <cellStyle name="Saída 2 4 11 4" xfId="43488"/>
    <cellStyle name="Saída 2 4 12" xfId="43489"/>
    <cellStyle name="Saída 2 4 12 2" xfId="43490"/>
    <cellStyle name="Saída 2 4 12 2 2" xfId="43491"/>
    <cellStyle name="Saída 2 4 12 2 3" xfId="43492"/>
    <cellStyle name="Saída 2 4 12 3" xfId="43493"/>
    <cellStyle name="Saída 2 4 12 4" xfId="43494"/>
    <cellStyle name="Saída 2 4 13" xfId="43495"/>
    <cellStyle name="Saída 2 4 13 2" xfId="43496"/>
    <cellStyle name="Saída 2 4 13 2 2" xfId="43497"/>
    <cellStyle name="Saída 2 4 13 2 3" xfId="43498"/>
    <cellStyle name="Saída 2 4 13 3" xfId="43499"/>
    <cellStyle name="Saída 2 4 13 4" xfId="43500"/>
    <cellStyle name="Saída 2 4 14" xfId="43501"/>
    <cellStyle name="Saída 2 4 14 2" xfId="43502"/>
    <cellStyle name="Saída 2 4 14 2 2" xfId="43503"/>
    <cellStyle name="Saída 2 4 14 2 3" xfId="43504"/>
    <cellStyle name="Saída 2 4 14 3" xfId="43505"/>
    <cellStyle name="Saída 2 4 14 4" xfId="43506"/>
    <cellStyle name="Saída 2 4 15" xfId="43507"/>
    <cellStyle name="Saída 2 4 15 2" xfId="43508"/>
    <cellStyle name="Saída 2 4 15 2 2" xfId="43509"/>
    <cellStyle name="Saída 2 4 15 2 3" xfId="43510"/>
    <cellStyle name="Saída 2 4 15 3" xfId="43511"/>
    <cellStyle name="Saída 2 4 15 4" xfId="43512"/>
    <cellStyle name="Saída 2 4 16" xfId="43513"/>
    <cellStyle name="Saída 2 4 16 2" xfId="43514"/>
    <cellStyle name="Saída 2 4 16 2 2" xfId="43515"/>
    <cellStyle name="Saída 2 4 16 2 3" xfId="43516"/>
    <cellStyle name="Saída 2 4 16 3" xfId="43517"/>
    <cellStyle name="Saída 2 4 16 4" xfId="43518"/>
    <cellStyle name="Saída 2 4 17" xfId="43519"/>
    <cellStyle name="Saída 2 4 17 2" xfId="43520"/>
    <cellStyle name="Saída 2 4 17 2 2" xfId="43521"/>
    <cellStyle name="Saída 2 4 17 2 3" xfId="43522"/>
    <cellStyle name="Saída 2 4 17 3" xfId="43523"/>
    <cellStyle name="Saída 2 4 17 4" xfId="43524"/>
    <cellStyle name="Saída 2 4 18" xfId="43525"/>
    <cellStyle name="Saída 2 4 18 2" xfId="43526"/>
    <cellStyle name="Saída 2 4 18 2 2" xfId="43527"/>
    <cellStyle name="Saída 2 4 18 2 3" xfId="43528"/>
    <cellStyle name="Saída 2 4 18 3" xfId="43529"/>
    <cellStyle name="Saída 2 4 18 4" xfId="43530"/>
    <cellStyle name="Saída 2 4 19" xfId="43531"/>
    <cellStyle name="Saída 2 4 19 2" xfId="43532"/>
    <cellStyle name="Saída 2 4 19 2 2" xfId="43533"/>
    <cellStyle name="Saída 2 4 19 2 3" xfId="43534"/>
    <cellStyle name="Saída 2 4 19 3" xfId="43535"/>
    <cellStyle name="Saída 2 4 19 4" xfId="43536"/>
    <cellStyle name="Saída 2 4 2" xfId="43537"/>
    <cellStyle name="Saída 2 4 2 10" xfId="43538"/>
    <cellStyle name="Saída 2 4 2 10 2" xfId="43539"/>
    <cellStyle name="Saída 2 4 2 10 2 2" xfId="43540"/>
    <cellStyle name="Saída 2 4 2 10 2 3" xfId="43541"/>
    <cellStyle name="Saída 2 4 2 10 3" xfId="43542"/>
    <cellStyle name="Saída 2 4 2 10 4" xfId="43543"/>
    <cellStyle name="Saída 2 4 2 11" xfId="43544"/>
    <cellStyle name="Saída 2 4 2 11 2" xfId="43545"/>
    <cellStyle name="Saída 2 4 2 11 2 2" xfId="43546"/>
    <cellStyle name="Saída 2 4 2 11 2 3" xfId="43547"/>
    <cellStyle name="Saída 2 4 2 11 3" xfId="43548"/>
    <cellStyle name="Saída 2 4 2 11 4" xfId="43549"/>
    <cellStyle name="Saída 2 4 2 12" xfId="43550"/>
    <cellStyle name="Saída 2 4 2 12 2" xfId="43551"/>
    <cellStyle name="Saída 2 4 2 12 2 2" xfId="43552"/>
    <cellStyle name="Saída 2 4 2 12 2 3" xfId="43553"/>
    <cellStyle name="Saída 2 4 2 12 3" xfId="43554"/>
    <cellStyle name="Saída 2 4 2 12 4" xfId="43555"/>
    <cellStyle name="Saída 2 4 2 13" xfId="43556"/>
    <cellStyle name="Saída 2 4 2 13 2" xfId="43557"/>
    <cellStyle name="Saída 2 4 2 13 2 2" xfId="43558"/>
    <cellStyle name="Saída 2 4 2 13 2 3" xfId="43559"/>
    <cellStyle name="Saída 2 4 2 13 3" xfId="43560"/>
    <cellStyle name="Saída 2 4 2 13 4" xfId="43561"/>
    <cellStyle name="Saída 2 4 2 14" xfId="43562"/>
    <cellStyle name="Saída 2 4 2 14 2" xfId="43563"/>
    <cellStyle name="Saída 2 4 2 14 2 2" xfId="43564"/>
    <cellStyle name="Saída 2 4 2 14 2 3" xfId="43565"/>
    <cellStyle name="Saída 2 4 2 14 3" xfId="43566"/>
    <cellStyle name="Saída 2 4 2 14 4" xfId="43567"/>
    <cellStyle name="Saída 2 4 2 15" xfId="43568"/>
    <cellStyle name="Saída 2 4 2 15 2" xfId="43569"/>
    <cellStyle name="Saída 2 4 2 15 2 2" xfId="43570"/>
    <cellStyle name="Saída 2 4 2 15 2 3" xfId="43571"/>
    <cellStyle name="Saída 2 4 2 15 3" xfId="43572"/>
    <cellStyle name="Saída 2 4 2 15 4" xfId="43573"/>
    <cellStyle name="Saída 2 4 2 16" xfId="43574"/>
    <cellStyle name="Saída 2 4 2 16 2" xfId="43575"/>
    <cellStyle name="Saída 2 4 2 16 2 2" xfId="43576"/>
    <cellStyle name="Saída 2 4 2 16 2 3" xfId="43577"/>
    <cellStyle name="Saída 2 4 2 16 3" xfId="43578"/>
    <cellStyle name="Saída 2 4 2 16 4" xfId="43579"/>
    <cellStyle name="Saída 2 4 2 17" xfId="43580"/>
    <cellStyle name="Saída 2 4 2 17 2" xfId="43581"/>
    <cellStyle name="Saída 2 4 2 17 2 2" xfId="43582"/>
    <cellStyle name="Saída 2 4 2 17 2 3" xfId="43583"/>
    <cellStyle name="Saída 2 4 2 17 3" xfId="43584"/>
    <cellStyle name="Saída 2 4 2 17 4" xfId="43585"/>
    <cellStyle name="Saída 2 4 2 18" xfId="43586"/>
    <cellStyle name="Saída 2 4 2 18 2" xfId="43587"/>
    <cellStyle name="Saída 2 4 2 18 2 2" xfId="43588"/>
    <cellStyle name="Saída 2 4 2 18 2 3" xfId="43589"/>
    <cellStyle name="Saída 2 4 2 18 3" xfId="43590"/>
    <cellStyle name="Saída 2 4 2 18 4" xfId="43591"/>
    <cellStyle name="Saída 2 4 2 19" xfId="43592"/>
    <cellStyle name="Saída 2 4 2 19 2" xfId="43593"/>
    <cellStyle name="Saída 2 4 2 19 2 2" xfId="43594"/>
    <cellStyle name="Saída 2 4 2 19 2 3" xfId="43595"/>
    <cellStyle name="Saída 2 4 2 19 3" xfId="43596"/>
    <cellStyle name="Saída 2 4 2 19 4" xfId="43597"/>
    <cellStyle name="Saída 2 4 2 2" xfId="43598"/>
    <cellStyle name="Saída 2 4 2 2 2" xfId="43599"/>
    <cellStyle name="Saída 2 4 2 2 2 2" xfId="43600"/>
    <cellStyle name="Saída 2 4 2 2 2 3" xfId="43601"/>
    <cellStyle name="Saída 2 4 2 2 3" xfId="43602"/>
    <cellStyle name="Saída 2 4 2 2 4" xfId="43603"/>
    <cellStyle name="Saída 2 4 2 20" xfId="43604"/>
    <cellStyle name="Saída 2 4 2 20 2" xfId="43605"/>
    <cellStyle name="Saída 2 4 2 20 2 2" xfId="43606"/>
    <cellStyle name="Saída 2 4 2 20 2 3" xfId="43607"/>
    <cellStyle name="Saída 2 4 2 20 3" xfId="43608"/>
    <cellStyle name="Saída 2 4 2 20 4" xfId="43609"/>
    <cellStyle name="Saída 2 4 2 21" xfId="43610"/>
    <cellStyle name="Saída 2 4 2 21 2" xfId="43611"/>
    <cellStyle name="Saída 2 4 2 21 2 2" xfId="43612"/>
    <cellStyle name="Saída 2 4 2 21 2 3" xfId="43613"/>
    <cellStyle name="Saída 2 4 2 21 3" xfId="43614"/>
    <cellStyle name="Saída 2 4 2 21 4" xfId="43615"/>
    <cellStyle name="Saída 2 4 2 22" xfId="43616"/>
    <cellStyle name="Saída 2 4 2 22 2" xfId="43617"/>
    <cellStyle name="Saída 2 4 2 22 2 2" xfId="43618"/>
    <cellStyle name="Saída 2 4 2 22 2 3" xfId="43619"/>
    <cellStyle name="Saída 2 4 2 22 3" xfId="43620"/>
    <cellStyle name="Saída 2 4 2 22 4" xfId="43621"/>
    <cellStyle name="Saída 2 4 2 23" xfId="43622"/>
    <cellStyle name="Saída 2 4 2 23 2" xfId="43623"/>
    <cellStyle name="Saída 2 4 2 23 2 2" xfId="43624"/>
    <cellStyle name="Saída 2 4 2 23 2 3" xfId="43625"/>
    <cellStyle name="Saída 2 4 2 23 3" xfId="43626"/>
    <cellStyle name="Saída 2 4 2 23 4" xfId="43627"/>
    <cellStyle name="Saída 2 4 2 24" xfId="43628"/>
    <cellStyle name="Saída 2 4 2 24 2" xfId="43629"/>
    <cellStyle name="Saída 2 4 2 24 2 2" xfId="43630"/>
    <cellStyle name="Saída 2 4 2 24 2 3" xfId="43631"/>
    <cellStyle name="Saída 2 4 2 24 3" xfId="43632"/>
    <cellStyle name="Saída 2 4 2 24 4" xfId="43633"/>
    <cellStyle name="Saída 2 4 2 25" xfId="43634"/>
    <cellStyle name="Saída 2 4 2 25 2" xfId="43635"/>
    <cellStyle name="Saída 2 4 2 25 2 2" xfId="43636"/>
    <cellStyle name="Saída 2 4 2 25 2 3" xfId="43637"/>
    <cellStyle name="Saída 2 4 2 25 3" xfId="43638"/>
    <cellStyle name="Saída 2 4 2 25 4" xfId="43639"/>
    <cellStyle name="Saída 2 4 2 26" xfId="43640"/>
    <cellStyle name="Saída 2 4 2 26 2" xfId="43641"/>
    <cellStyle name="Saída 2 4 2 26 2 2" xfId="43642"/>
    <cellStyle name="Saída 2 4 2 26 2 3" xfId="43643"/>
    <cellStyle name="Saída 2 4 2 26 3" xfId="43644"/>
    <cellStyle name="Saída 2 4 2 26 4" xfId="43645"/>
    <cellStyle name="Saída 2 4 2 27" xfId="43646"/>
    <cellStyle name="Saída 2 4 2 27 2" xfId="43647"/>
    <cellStyle name="Saída 2 4 2 27 2 2" xfId="43648"/>
    <cellStyle name="Saída 2 4 2 27 2 3" xfId="43649"/>
    <cellStyle name="Saída 2 4 2 27 3" xfId="43650"/>
    <cellStyle name="Saída 2 4 2 27 4" xfId="43651"/>
    <cellStyle name="Saída 2 4 2 28" xfId="43652"/>
    <cellStyle name="Saída 2 4 2 28 2" xfId="43653"/>
    <cellStyle name="Saída 2 4 2 28 2 2" xfId="43654"/>
    <cellStyle name="Saída 2 4 2 28 2 3" xfId="43655"/>
    <cellStyle name="Saída 2 4 2 28 3" xfId="43656"/>
    <cellStyle name="Saída 2 4 2 28 4" xfId="43657"/>
    <cellStyle name="Saída 2 4 2 29" xfId="43658"/>
    <cellStyle name="Saída 2 4 2 29 2" xfId="43659"/>
    <cellStyle name="Saída 2 4 2 29 2 2" xfId="43660"/>
    <cellStyle name="Saída 2 4 2 29 2 3" xfId="43661"/>
    <cellStyle name="Saída 2 4 2 29 3" xfId="43662"/>
    <cellStyle name="Saída 2 4 2 29 4" xfId="43663"/>
    <cellStyle name="Saída 2 4 2 3" xfId="43664"/>
    <cellStyle name="Saída 2 4 2 3 2" xfId="43665"/>
    <cellStyle name="Saída 2 4 2 3 2 2" xfId="43666"/>
    <cellStyle name="Saída 2 4 2 3 2 3" xfId="43667"/>
    <cellStyle name="Saída 2 4 2 3 3" xfId="43668"/>
    <cellStyle name="Saída 2 4 2 3 4" xfId="43669"/>
    <cellStyle name="Saída 2 4 2 30" xfId="43670"/>
    <cellStyle name="Saída 2 4 2 30 2" xfId="43671"/>
    <cellStyle name="Saída 2 4 2 30 2 2" xfId="43672"/>
    <cellStyle name="Saída 2 4 2 30 2 3" xfId="43673"/>
    <cellStyle name="Saída 2 4 2 30 3" xfId="43674"/>
    <cellStyle name="Saída 2 4 2 30 4" xfId="43675"/>
    <cellStyle name="Saída 2 4 2 31" xfId="43676"/>
    <cellStyle name="Saída 2 4 2 31 2" xfId="43677"/>
    <cellStyle name="Saída 2 4 2 31 2 2" xfId="43678"/>
    <cellStyle name="Saída 2 4 2 31 2 3" xfId="43679"/>
    <cellStyle name="Saída 2 4 2 31 3" xfId="43680"/>
    <cellStyle name="Saída 2 4 2 31 4" xfId="43681"/>
    <cellStyle name="Saída 2 4 2 32" xfId="43682"/>
    <cellStyle name="Saída 2 4 2 32 2" xfId="43683"/>
    <cellStyle name="Saída 2 4 2 32 2 2" xfId="43684"/>
    <cellStyle name="Saída 2 4 2 32 2 3" xfId="43685"/>
    <cellStyle name="Saída 2 4 2 32 3" xfId="43686"/>
    <cellStyle name="Saída 2 4 2 32 4" xfId="43687"/>
    <cellStyle name="Saída 2 4 2 33" xfId="43688"/>
    <cellStyle name="Saída 2 4 2 33 2" xfId="43689"/>
    <cellStyle name="Saída 2 4 2 33 2 2" xfId="43690"/>
    <cellStyle name="Saída 2 4 2 33 2 3" xfId="43691"/>
    <cellStyle name="Saída 2 4 2 33 3" xfId="43692"/>
    <cellStyle name="Saída 2 4 2 33 4" xfId="43693"/>
    <cellStyle name="Saída 2 4 2 34" xfId="43694"/>
    <cellStyle name="Saída 2 4 2 34 2" xfId="43695"/>
    <cellStyle name="Saída 2 4 2 34 2 2" xfId="43696"/>
    <cellStyle name="Saída 2 4 2 34 2 3" xfId="43697"/>
    <cellStyle name="Saída 2 4 2 34 3" xfId="43698"/>
    <cellStyle name="Saída 2 4 2 34 4" xfId="43699"/>
    <cellStyle name="Saída 2 4 2 35" xfId="43700"/>
    <cellStyle name="Saída 2 4 2 35 2" xfId="43701"/>
    <cellStyle name="Saída 2 4 2 35 2 2" xfId="43702"/>
    <cellStyle name="Saída 2 4 2 35 2 3" xfId="43703"/>
    <cellStyle name="Saída 2 4 2 35 3" xfId="43704"/>
    <cellStyle name="Saída 2 4 2 35 4" xfId="43705"/>
    <cellStyle name="Saída 2 4 2 36" xfId="43706"/>
    <cellStyle name="Saída 2 4 2 36 2" xfId="43707"/>
    <cellStyle name="Saída 2 4 2 36 2 2" xfId="43708"/>
    <cellStyle name="Saída 2 4 2 36 2 3" xfId="43709"/>
    <cellStyle name="Saída 2 4 2 36 3" xfId="43710"/>
    <cellStyle name="Saída 2 4 2 36 4" xfId="43711"/>
    <cellStyle name="Saída 2 4 2 37" xfId="43712"/>
    <cellStyle name="Saída 2 4 2 37 2" xfId="43713"/>
    <cellStyle name="Saída 2 4 2 37 3" xfId="43714"/>
    <cellStyle name="Saída 2 4 2 38" xfId="43715"/>
    <cellStyle name="Saída 2 4 2 38 2" xfId="43716"/>
    <cellStyle name="Saída 2 4 2 38 3" xfId="43717"/>
    <cellStyle name="Saída 2 4 2 39" xfId="43718"/>
    <cellStyle name="Saída 2 4 2 39 2" xfId="43719"/>
    <cellStyle name="Saída 2 4 2 39 3" xfId="43720"/>
    <cellStyle name="Saída 2 4 2 4" xfId="43721"/>
    <cellStyle name="Saída 2 4 2 4 2" xfId="43722"/>
    <cellStyle name="Saída 2 4 2 4 2 2" xfId="43723"/>
    <cellStyle name="Saída 2 4 2 4 2 3" xfId="43724"/>
    <cellStyle name="Saída 2 4 2 4 3" xfId="43725"/>
    <cellStyle name="Saída 2 4 2 4 4" xfId="43726"/>
    <cellStyle name="Saída 2 4 2 40" xfId="43727"/>
    <cellStyle name="Saída 2 4 2 40 2" xfId="43728"/>
    <cellStyle name="Saída 2 4 2 40 3" xfId="43729"/>
    <cellStyle name="Saída 2 4 2 41" xfId="43730"/>
    <cellStyle name="Saída 2 4 2 42" xfId="43731"/>
    <cellStyle name="Saída 2 4 2 5" xfId="43732"/>
    <cellStyle name="Saída 2 4 2 5 2" xfId="43733"/>
    <cellStyle name="Saída 2 4 2 5 2 2" xfId="43734"/>
    <cellStyle name="Saída 2 4 2 5 2 3" xfId="43735"/>
    <cellStyle name="Saída 2 4 2 5 3" xfId="43736"/>
    <cellStyle name="Saída 2 4 2 5 4" xfId="43737"/>
    <cellStyle name="Saída 2 4 2 6" xfId="43738"/>
    <cellStyle name="Saída 2 4 2 6 2" xfId="43739"/>
    <cellStyle name="Saída 2 4 2 6 2 2" xfId="43740"/>
    <cellStyle name="Saída 2 4 2 6 2 3" xfId="43741"/>
    <cellStyle name="Saída 2 4 2 6 3" xfId="43742"/>
    <cellStyle name="Saída 2 4 2 6 4" xfId="43743"/>
    <cellStyle name="Saída 2 4 2 7" xfId="43744"/>
    <cellStyle name="Saída 2 4 2 7 2" xfId="43745"/>
    <cellStyle name="Saída 2 4 2 7 2 2" xfId="43746"/>
    <cellStyle name="Saída 2 4 2 7 2 3" xfId="43747"/>
    <cellStyle name="Saída 2 4 2 7 3" xfId="43748"/>
    <cellStyle name="Saída 2 4 2 7 4" xfId="43749"/>
    <cellStyle name="Saída 2 4 2 8" xfId="43750"/>
    <cellStyle name="Saída 2 4 2 8 2" xfId="43751"/>
    <cellStyle name="Saída 2 4 2 8 2 2" xfId="43752"/>
    <cellStyle name="Saída 2 4 2 8 2 3" xfId="43753"/>
    <cellStyle name="Saída 2 4 2 8 3" xfId="43754"/>
    <cellStyle name="Saída 2 4 2 8 4" xfId="43755"/>
    <cellStyle name="Saída 2 4 2 9" xfId="43756"/>
    <cellStyle name="Saída 2 4 2 9 2" xfId="43757"/>
    <cellStyle name="Saída 2 4 2 9 2 2" xfId="43758"/>
    <cellStyle name="Saída 2 4 2 9 2 3" xfId="43759"/>
    <cellStyle name="Saída 2 4 2 9 3" xfId="43760"/>
    <cellStyle name="Saída 2 4 2 9 4" xfId="43761"/>
    <cellStyle name="Saída 2 4 20" xfId="43762"/>
    <cellStyle name="Saída 2 4 20 2" xfId="43763"/>
    <cellStyle name="Saída 2 4 20 2 2" xfId="43764"/>
    <cellStyle name="Saída 2 4 20 2 3" xfId="43765"/>
    <cellStyle name="Saída 2 4 20 3" xfId="43766"/>
    <cellStyle name="Saída 2 4 20 4" xfId="43767"/>
    <cellStyle name="Saída 2 4 21" xfId="43768"/>
    <cellStyle name="Saída 2 4 21 2" xfId="43769"/>
    <cellStyle name="Saída 2 4 21 2 2" xfId="43770"/>
    <cellStyle name="Saída 2 4 21 2 3" xfId="43771"/>
    <cellStyle name="Saída 2 4 21 3" xfId="43772"/>
    <cellStyle name="Saída 2 4 21 4" xfId="43773"/>
    <cellStyle name="Saída 2 4 22" xfId="43774"/>
    <cellStyle name="Saída 2 4 22 2" xfId="43775"/>
    <cellStyle name="Saída 2 4 22 2 2" xfId="43776"/>
    <cellStyle name="Saída 2 4 22 2 3" xfId="43777"/>
    <cellStyle name="Saída 2 4 22 3" xfId="43778"/>
    <cellStyle name="Saída 2 4 22 4" xfId="43779"/>
    <cellStyle name="Saída 2 4 23" xfId="43780"/>
    <cellStyle name="Saída 2 4 23 2" xfId="43781"/>
    <cellStyle name="Saída 2 4 23 2 2" xfId="43782"/>
    <cellStyle name="Saída 2 4 23 2 3" xfId="43783"/>
    <cellStyle name="Saída 2 4 23 3" xfId="43784"/>
    <cellStyle name="Saída 2 4 23 4" xfId="43785"/>
    <cellStyle name="Saída 2 4 24" xfId="43786"/>
    <cellStyle name="Saída 2 4 24 2" xfId="43787"/>
    <cellStyle name="Saída 2 4 24 2 2" xfId="43788"/>
    <cellStyle name="Saída 2 4 24 2 3" xfId="43789"/>
    <cellStyle name="Saída 2 4 24 3" xfId="43790"/>
    <cellStyle name="Saída 2 4 24 4" xfId="43791"/>
    <cellStyle name="Saída 2 4 25" xfId="43792"/>
    <cellStyle name="Saída 2 4 25 2" xfId="43793"/>
    <cellStyle name="Saída 2 4 25 2 2" xfId="43794"/>
    <cellStyle name="Saída 2 4 25 2 3" xfId="43795"/>
    <cellStyle name="Saída 2 4 25 3" xfId="43796"/>
    <cellStyle name="Saída 2 4 25 4" xfId="43797"/>
    <cellStyle name="Saída 2 4 26" xfId="43798"/>
    <cellStyle name="Saída 2 4 26 2" xfId="43799"/>
    <cellStyle name="Saída 2 4 26 2 2" xfId="43800"/>
    <cellStyle name="Saída 2 4 26 2 3" xfId="43801"/>
    <cellStyle name="Saída 2 4 26 3" xfId="43802"/>
    <cellStyle name="Saída 2 4 26 4" xfId="43803"/>
    <cellStyle name="Saída 2 4 27" xfId="43804"/>
    <cellStyle name="Saída 2 4 27 2" xfId="43805"/>
    <cellStyle name="Saída 2 4 27 2 2" xfId="43806"/>
    <cellStyle name="Saída 2 4 27 2 3" xfId="43807"/>
    <cellStyle name="Saída 2 4 27 3" xfId="43808"/>
    <cellStyle name="Saída 2 4 27 4" xfId="43809"/>
    <cellStyle name="Saída 2 4 28" xfId="43810"/>
    <cellStyle name="Saída 2 4 28 2" xfId="43811"/>
    <cellStyle name="Saída 2 4 28 2 2" xfId="43812"/>
    <cellStyle name="Saída 2 4 28 2 3" xfId="43813"/>
    <cellStyle name="Saída 2 4 28 3" xfId="43814"/>
    <cellStyle name="Saída 2 4 28 4" xfId="43815"/>
    <cellStyle name="Saída 2 4 29" xfId="43816"/>
    <cellStyle name="Saída 2 4 29 2" xfId="43817"/>
    <cellStyle name="Saída 2 4 29 2 2" xfId="43818"/>
    <cellStyle name="Saída 2 4 29 2 3" xfId="43819"/>
    <cellStyle name="Saída 2 4 29 3" xfId="43820"/>
    <cellStyle name="Saída 2 4 29 4" xfId="43821"/>
    <cellStyle name="Saída 2 4 3" xfId="43822"/>
    <cellStyle name="Saída 2 4 3 10" xfId="43823"/>
    <cellStyle name="Saída 2 4 3 10 2" xfId="43824"/>
    <cellStyle name="Saída 2 4 3 10 2 2" xfId="43825"/>
    <cellStyle name="Saída 2 4 3 10 2 3" xfId="43826"/>
    <cellStyle name="Saída 2 4 3 10 3" xfId="43827"/>
    <cellStyle name="Saída 2 4 3 10 4" xfId="43828"/>
    <cellStyle name="Saída 2 4 3 11" xfId="43829"/>
    <cellStyle name="Saída 2 4 3 11 2" xfId="43830"/>
    <cellStyle name="Saída 2 4 3 11 2 2" xfId="43831"/>
    <cellStyle name="Saída 2 4 3 11 2 3" xfId="43832"/>
    <cellStyle name="Saída 2 4 3 11 3" xfId="43833"/>
    <cellStyle name="Saída 2 4 3 11 4" xfId="43834"/>
    <cellStyle name="Saída 2 4 3 12" xfId="43835"/>
    <cellStyle name="Saída 2 4 3 12 2" xfId="43836"/>
    <cellStyle name="Saída 2 4 3 12 2 2" xfId="43837"/>
    <cellStyle name="Saída 2 4 3 12 2 3" xfId="43838"/>
    <cellStyle name="Saída 2 4 3 12 3" xfId="43839"/>
    <cellStyle name="Saída 2 4 3 12 4" xfId="43840"/>
    <cellStyle name="Saída 2 4 3 13" xfId="43841"/>
    <cellStyle name="Saída 2 4 3 13 2" xfId="43842"/>
    <cellStyle name="Saída 2 4 3 13 2 2" xfId="43843"/>
    <cellStyle name="Saída 2 4 3 13 2 3" xfId="43844"/>
    <cellStyle name="Saída 2 4 3 13 3" xfId="43845"/>
    <cellStyle name="Saída 2 4 3 13 4" xfId="43846"/>
    <cellStyle name="Saída 2 4 3 14" xfId="43847"/>
    <cellStyle name="Saída 2 4 3 14 2" xfId="43848"/>
    <cellStyle name="Saída 2 4 3 14 2 2" xfId="43849"/>
    <cellStyle name="Saída 2 4 3 14 2 3" xfId="43850"/>
    <cellStyle name="Saída 2 4 3 14 3" xfId="43851"/>
    <cellStyle name="Saída 2 4 3 14 4" xfId="43852"/>
    <cellStyle name="Saída 2 4 3 15" xfId="43853"/>
    <cellStyle name="Saída 2 4 3 15 2" xfId="43854"/>
    <cellStyle name="Saída 2 4 3 15 2 2" xfId="43855"/>
    <cellStyle name="Saída 2 4 3 15 2 3" xfId="43856"/>
    <cellStyle name="Saída 2 4 3 15 3" xfId="43857"/>
    <cellStyle name="Saída 2 4 3 15 4" xfId="43858"/>
    <cellStyle name="Saída 2 4 3 16" xfId="43859"/>
    <cellStyle name="Saída 2 4 3 16 2" xfId="43860"/>
    <cellStyle name="Saída 2 4 3 16 2 2" xfId="43861"/>
    <cellStyle name="Saída 2 4 3 16 2 3" xfId="43862"/>
    <cellStyle name="Saída 2 4 3 16 3" xfId="43863"/>
    <cellStyle name="Saída 2 4 3 16 4" xfId="43864"/>
    <cellStyle name="Saída 2 4 3 17" xfId="43865"/>
    <cellStyle name="Saída 2 4 3 17 2" xfId="43866"/>
    <cellStyle name="Saída 2 4 3 17 2 2" xfId="43867"/>
    <cellStyle name="Saída 2 4 3 17 2 3" xfId="43868"/>
    <cellStyle name="Saída 2 4 3 17 3" xfId="43869"/>
    <cellStyle name="Saída 2 4 3 17 4" xfId="43870"/>
    <cellStyle name="Saída 2 4 3 18" xfId="43871"/>
    <cellStyle name="Saída 2 4 3 18 2" xfId="43872"/>
    <cellStyle name="Saída 2 4 3 18 2 2" xfId="43873"/>
    <cellStyle name="Saída 2 4 3 18 2 3" xfId="43874"/>
    <cellStyle name="Saída 2 4 3 18 3" xfId="43875"/>
    <cellStyle name="Saída 2 4 3 18 4" xfId="43876"/>
    <cellStyle name="Saída 2 4 3 19" xfId="43877"/>
    <cellStyle name="Saída 2 4 3 19 2" xfId="43878"/>
    <cellStyle name="Saída 2 4 3 19 2 2" xfId="43879"/>
    <cellStyle name="Saída 2 4 3 19 2 3" xfId="43880"/>
    <cellStyle name="Saída 2 4 3 19 3" xfId="43881"/>
    <cellStyle name="Saída 2 4 3 19 4" xfId="43882"/>
    <cellStyle name="Saída 2 4 3 2" xfId="43883"/>
    <cellStyle name="Saída 2 4 3 2 2" xfId="43884"/>
    <cellStyle name="Saída 2 4 3 2 2 2" xfId="43885"/>
    <cellStyle name="Saída 2 4 3 2 2 3" xfId="43886"/>
    <cellStyle name="Saída 2 4 3 2 3" xfId="43887"/>
    <cellStyle name="Saída 2 4 3 2 4" xfId="43888"/>
    <cellStyle name="Saída 2 4 3 20" xfId="43889"/>
    <cellStyle name="Saída 2 4 3 20 2" xfId="43890"/>
    <cellStyle name="Saída 2 4 3 20 2 2" xfId="43891"/>
    <cellStyle name="Saída 2 4 3 20 2 3" xfId="43892"/>
    <cellStyle name="Saída 2 4 3 20 3" xfId="43893"/>
    <cellStyle name="Saída 2 4 3 20 4" xfId="43894"/>
    <cellStyle name="Saída 2 4 3 21" xfId="43895"/>
    <cellStyle name="Saída 2 4 3 21 2" xfId="43896"/>
    <cellStyle name="Saída 2 4 3 21 2 2" xfId="43897"/>
    <cellStyle name="Saída 2 4 3 21 2 3" xfId="43898"/>
    <cellStyle name="Saída 2 4 3 21 3" xfId="43899"/>
    <cellStyle name="Saída 2 4 3 21 4" xfId="43900"/>
    <cellStyle name="Saída 2 4 3 22" xfId="43901"/>
    <cellStyle name="Saída 2 4 3 22 2" xfId="43902"/>
    <cellStyle name="Saída 2 4 3 22 2 2" xfId="43903"/>
    <cellStyle name="Saída 2 4 3 22 2 3" xfId="43904"/>
    <cellStyle name="Saída 2 4 3 22 3" xfId="43905"/>
    <cellStyle name="Saída 2 4 3 22 4" xfId="43906"/>
    <cellStyle name="Saída 2 4 3 23" xfId="43907"/>
    <cellStyle name="Saída 2 4 3 23 2" xfId="43908"/>
    <cellStyle name="Saída 2 4 3 23 2 2" xfId="43909"/>
    <cellStyle name="Saída 2 4 3 23 2 3" xfId="43910"/>
    <cellStyle name="Saída 2 4 3 23 3" xfId="43911"/>
    <cellStyle name="Saída 2 4 3 23 4" xfId="43912"/>
    <cellStyle name="Saída 2 4 3 24" xfId="43913"/>
    <cellStyle name="Saída 2 4 3 24 2" xfId="43914"/>
    <cellStyle name="Saída 2 4 3 24 2 2" xfId="43915"/>
    <cellStyle name="Saída 2 4 3 24 2 3" xfId="43916"/>
    <cellStyle name="Saída 2 4 3 24 3" xfId="43917"/>
    <cellStyle name="Saída 2 4 3 24 4" xfId="43918"/>
    <cellStyle name="Saída 2 4 3 25" xfId="43919"/>
    <cellStyle name="Saída 2 4 3 25 2" xfId="43920"/>
    <cellStyle name="Saída 2 4 3 25 2 2" xfId="43921"/>
    <cellStyle name="Saída 2 4 3 25 2 3" xfId="43922"/>
    <cellStyle name="Saída 2 4 3 25 3" xfId="43923"/>
    <cellStyle name="Saída 2 4 3 25 4" xfId="43924"/>
    <cellStyle name="Saída 2 4 3 26" xfId="43925"/>
    <cellStyle name="Saída 2 4 3 26 2" xfId="43926"/>
    <cellStyle name="Saída 2 4 3 26 2 2" xfId="43927"/>
    <cellStyle name="Saída 2 4 3 26 2 3" xfId="43928"/>
    <cellStyle name="Saída 2 4 3 26 3" xfId="43929"/>
    <cellStyle name="Saída 2 4 3 26 4" xfId="43930"/>
    <cellStyle name="Saída 2 4 3 27" xfId="43931"/>
    <cellStyle name="Saída 2 4 3 27 2" xfId="43932"/>
    <cellStyle name="Saída 2 4 3 27 2 2" xfId="43933"/>
    <cellStyle name="Saída 2 4 3 27 2 3" xfId="43934"/>
    <cellStyle name="Saída 2 4 3 27 3" xfId="43935"/>
    <cellStyle name="Saída 2 4 3 27 4" xfId="43936"/>
    <cellStyle name="Saída 2 4 3 28" xfId="43937"/>
    <cellStyle name="Saída 2 4 3 28 2" xfId="43938"/>
    <cellStyle name="Saída 2 4 3 28 2 2" xfId="43939"/>
    <cellStyle name="Saída 2 4 3 28 2 3" xfId="43940"/>
    <cellStyle name="Saída 2 4 3 28 3" xfId="43941"/>
    <cellStyle name="Saída 2 4 3 28 4" xfId="43942"/>
    <cellStyle name="Saída 2 4 3 29" xfId="43943"/>
    <cellStyle name="Saída 2 4 3 29 2" xfId="43944"/>
    <cellStyle name="Saída 2 4 3 29 2 2" xfId="43945"/>
    <cellStyle name="Saída 2 4 3 29 2 3" xfId="43946"/>
    <cellStyle name="Saída 2 4 3 29 3" xfId="43947"/>
    <cellStyle name="Saída 2 4 3 29 4" xfId="43948"/>
    <cellStyle name="Saída 2 4 3 3" xfId="43949"/>
    <cellStyle name="Saída 2 4 3 3 2" xfId="43950"/>
    <cellStyle name="Saída 2 4 3 3 2 2" xfId="43951"/>
    <cellStyle name="Saída 2 4 3 3 2 3" xfId="43952"/>
    <cellStyle name="Saída 2 4 3 3 3" xfId="43953"/>
    <cellStyle name="Saída 2 4 3 3 4" xfId="43954"/>
    <cellStyle name="Saída 2 4 3 30" xfId="43955"/>
    <cellStyle name="Saída 2 4 3 30 2" xfId="43956"/>
    <cellStyle name="Saída 2 4 3 30 2 2" xfId="43957"/>
    <cellStyle name="Saída 2 4 3 30 2 3" xfId="43958"/>
    <cellStyle name="Saída 2 4 3 30 3" xfId="43959"/>
    <cellStyle name="Saída 2 4 3 30 4" xfId="43960"/>
    <cellStyle name="Saída 2 4 3 31" xfId="43961"/>
    <cellStyle name="Saída 2 4 3 31 2" xfId="43962"/>
    <cellStyle name="Saída 2 4 3 31 2 2" xfId="43963"/>
    <cellStyle name="Saída 2 4 3 31 2 3" xfId="43964"/>
    <cellStyle name="Saída 2 4 3 31 3" xfId="43965"/>
    <cellStyle name="Saída 2 4 3 31 4" xfId="43966"/>
    <cellStyle name="Saída 2 4 3 32" xfId="43967"/>
    <cellStyle name="Saída 2 4 3 32 2" xfId="43968"/>
    <cellStyle name="Saída 2 4 3 32 2 2" xfId="43969"/>
    <cellStyle name="Saída 2 4 3 32 2 3" xfId="43970"/>
    <cellStyle name="Saída 2 4 3 32 3" xfId="43971"/>
    <cellStyle name="Saída 2 4 3 32 4" xfId="43972"/>
    <cellStyle name="Saída 2 4 3 33" xfId="43973"/>
    <cellStyle name="Saída 2 4 3 33 2" xfId="43974"/>
    <cellStyle name="Saída 2 4 3 33 2 2" xfId="43975"/>
    <cellStyle name="Saída 2 4 3 33 2 3" xfId="43976"/>
    <cellStyle name="Saída 2 4 3 33 3" xfId="43977"/>
    <cellStyle name="Saída 2 4 3 33 4" xfId="43978"/>
    <cellStyle name="Saída 2 4 3 34" xfId="43979"/>
    <cellStyle name="Saída 2 4 3 34 2" xfId="43980"/>
    <cellStyle name="Saída 2 4 3 34 2 2" xfId="43981"/>
    <cellStyle name="Saída 2 4 3 34 2 3" xfId="43982"/>
    <cellStyle name="Saída 2 4 3 34 3" xfId="43983"/>
    <cellStyle name="Saída 2 4 3 34 4" xfId="43984"/>
    <cellStyle name="Saída 2 4 3 35" xfId="43985"/>
    <cellStyle name="Saída 2 4 3 35 2" xfId="43986"/>
    <cellStyle name="Saída 2 4 3 35 2 2" xfId="43987"/>
    <cellStyle name="Saída 2 4 3 35 2 3" xfId="43988"/>
    <cellStyle name="Saída 2 4 3 35 3" xfId="43989"/>
    <cellStyle name="Saída 2 4 3 35 4" xfId="43990"/>
    <cellStyle name="Saída 2 4 3 36" xfId="43991"/>
    <cellStyle name="Saída 2 4 3 36 2" xfId="43992"/>
    <cellStyle name="Saída 2 4 3 36 2 2" xfId="43993"/>
    <cellStyle name="Saída 2 4 3 36 2 3" xfId="43994"/>
    <cellStyle name="Saída 2 4 3 36 3" xfId="43995"/>
    <cellStyle name="Saída 2 4 3 36 4" xfId="43996"/>
    <cellStyle name="Saída 2 4 3 37" xfId="43997"/>
    <cellStyle name="Saída 2 4 3 37 2" xfId="43998"/>
    <cellStyle name="Saída 2 4 3 37 2 2" xfId="43999"/>
    <cellStyle name="Saída 2 4 3 37 2 3" xfId="44000"/>
    <cellStyle name="Saída 2 4 3 37 3" xfId="44001"/>
    <cellStyle name="Saída 2 4 3 37 4" xfId="44002"/>
    <cellStyle name="Saída 2 4 3 38" xfId="44003"/>
    <cellStyle name="Saída 2 4 3 38 2" xfId="44004"/>
    <cellStyle name="Saída 2 4 3 38 3" xfId="44005"/>
    <cellStyle name="Saída 2 4 3 39" xfId="44006"/>
    <cellStyle name="Saída 2 4 3 39 2" xfId="44007"/>
    <cellStyle name="Saída 2 4 3 39 3" xfId="44008"/>
    <cellStyle name="Saída 2 4 3 4" xfId="44009"/>
    <cellStyle name="Saída 2 4 3 4 2" xfId="44010"/>
    <cellStyle name="Saída 2 4 3 4 2 2" xfId="44011"/>
    <cellStyle name="Saída 2 4 3 4 2 3" xfId="44012"/>
    <cellStyle name="Saída 2 4 3 4 3" xfId="44013"/>
    <cellStyle name="Saída 2 4 3 4 4" xfId="44014"/>
    <cellStyle name="Saída 2 4 3 40" xfId="44015"/>
    <cellStyle name="Saída 2 4 3 40 2" xfId="44016"/>
    <cellStyle name="Saída 2 4 3 40 3" xfId="44017"/>
    <cellStyle name="Saída 2 4 3 41" xfId="44018"/>
    <cellStyle name="Saída 2 4 3 41 2" xfId="44019"/>
    <cellStyle name="Saída 2 4 3 41 3" xfId="44020"/>
    <cellStyle name="Saída 2 4 3 42" xfId="44021"/>
    <cellStyle name="Saída 2 4 3 43" xfId="44022"/>
    <cellStyle name="Saída 2 4 3 5" xfId="44023"/>
    <cellStyle name="Saída 2 4 3 5 2" xfId="44024"/>
    <cellStyle name="Saída 2 4 3 5 2 2" xfId="44025"/>
    <cellStyle name="Saída 2 4 3 5 2 3" xfId="44026"/>
    <cellStyle name="Saída 2 4 3 5 3" xfId="44027"/>
    <cellStyle name="Saída 2 4 3 5 4" xfId="44028"/>
    <cellStyle name="Saída 2 4 3 6" xfId="44029"/>
    <cellStyle name="Saída 2 4 3 6 2" xfId="44030"/>
    <cellStyle name="Saída 2 4 3 6 2 2" xfId="44031"/>
    <cellStyle name="Saída 2 4 3 6 2 3" xfId="44032"/>
    <cellStyle name="Saída 2 4 3 6 3" xfId="44033"/>
    <cellStyle name="Saída 2 4 3 6 4" xfId="44034"/>
    <cellStyle name="Saída 2 4 3 7" xfId="44035"/>
    <cellStyle name="Saída 2 4 3 7 2" xfId="44036"/>
    <cellStyle name="Saída 2 4 3 7 2 2" xfId="44037"/>
    <cellStyle name="Saída 2 4 3 7 2 3" xfId="44038"/>
    <cellStyle name="Saída 2 4 3 7 3" xfId="44039"/>
    <cellStyle name="Saída 2 4 3 7 4" xfId="44040"/>
    <cellStyle name="Saída 2 4 3 8" xfId="44041"/>
    <cellStyle name="Saída 2 4 3 8 2" xfId="44042"/>
    <cellStyle name="Saída 2 4 3 8 2 2" xfId="44043"/>
    <cellStyle name="Saída 2 4 3 8 2 3" xfId="44044"/>
    <cellStyle name="Saída 2 4 3 8 3" xfId="44045"/>
    <cellStyle name="Saída 2 4 3 8 4" xfId="44046"/>
    <cellStyle name="Saída 2 4 3 9" xfId="44047"/>
    <cellStyle name="Saída 2 4 3 9 2" xfId="44048"/>
    <cellStyle name="Saída 2 4 3 9 2 2" xfId="44049"/>
    <cellStyle name="Saída 2 4 3 9 2 3" xfId="44050"/>
    <cellStyle name="Saída 2 4 3 9 3" xfId="44051"/>
    <cellStyle name="Saída 2 4 3 9 4" xfId="44052"/>
    <cellStyle name="Saída 2 4 30" xfId="44053"/>
    <cellStyle name="Saída 2 4 30 2" xfId="44054"/>
    <cellStyle name="Saída 2 4 30 2 2" xfId="44055"/>
    <cellStyle name="Saída 2 4 30 2 3" xfId="44056"/>
    <cellStyle name="Saída 2 4 30 3" xfId="44057"/>
    <cellStyle name="Saída 2 4 30 4" xfId="44058"/>
    <cellStyle name="Saída 2 4 31" xfId="44059"/>
    <cellStyle name="Saída 2 4 31 2" xfId="44060"/>
    <cellStyle name="Saída 2 4 31 2 2" xfId="44061"/>
    <cellStyle name="Saída 2 4 31 2 3" xfId="44062"/>
    <cellStyle name="Saída 2 4 31 3" xfId="44063"/>
    <cellStyle name="Saída 2 4 31 4" xfId="44064"/>
    <cellStyle name="Saída 2 4 32" xfId="44065"/>
    <cellStyle name="Saída 2 4 32 2" xfId="44066"/>
    <cellStyle name="Saída 2 4 32 3" xfId="44067"/>
    <cellStyle name="Saída 2 4 33" xfId="44068"/>
    <cellStyle name="Saída 2 4 33 2" xfId="44069"/>
    <cellStyle name="Saída 2 4 33 3" xfId="44070"/>
    <cellStyle name="Saída 2 4 34" xfId="44071"/>
    <cellStyle name="Saída 2 4 34 2" xfId="44072"/>
    <cellStyle name="Saída 2 4 34 3" xfId="44073"/>
    <cellStyle name="Saída 2 4 35" xfId="44074"/>
    <cellStyle name="Saída 2 4 35 2" xfId="44075"/>
    <cellStyle name="Saída 2 4 35 3" xfId="44076"/>
    <cellStyle name="Saída 2 4 36" xfId="44077"/>
    <cellStyle name="Saída 2 4 37" xfId="44078"/>
    <cellStyle name="Saída 2 4 4" xfId="44079"/>
    <cellStyle name="Saída 2 4 4 10" xfId="44080"/>
    <cellStyle name="Saída 2 4 4 10 2" xfId="44081"/>
    <cellStyle name="Saída 2 4 4 10 2 2" xfId="44082"/>
    <cellStyle name="Saída 2 4 4 10 2 3" xfId="44083"/>
    <cellStyle name="Saída 2 4 4 10 3" xfId="44084"/>
    <cellStyle name="Saída 2 4 4 10 4" xfId="44085"/>
    <cellStyle name="Saída 2 4 4 11" xfId="44086"/>
    <cellStyle name="Saída 2 4 4 11 2" xfId="44087"/>
    <cellStyle name="Saída 2 4 4 11 2 2" xfId="44088"/>
    <cellStyle name="Saída 2 4 4 11 2 3" xfId="44089"/>
    <cellStyle name="Saída 2 4 4 11 3" xfId="44090"/>
    <cellStyle name="Saída 2 4 4 11 4" xfId="44091"/>
    <cellStyle name="Saída 2 4 4 12" xfId="44092"/>
    <cellStyle name="Saída 2 4 4 12 2" xfId="44093"/>
    <cellStyle name="Saída 2 4 4 12 2 2" xfId="44094"/>
    <cellStyle name="Saída 2 4 4 12 2 3" xfId="44095"/>
    <cellStyle name="Saída 2 4 4 12 3" xfId="44096"/>
    <cellStyle name="Saída 2 4 4 12 4" xfId="44097"/>
    <cellStyle name="Saída 2 4 4 13" xfId="44098"/>
    <cellStyle name="Saída 2 4 4 13 2" xfId="44099"/>
    <cellStyle name="Saída 2 4 4 13 2 2" xfId="44100"/>
    <cellStyle name="Saída 2 4 4 13 2 3" xfId="44101"/>
    <cellStyle name="Saída 2 4 4 13 3" xfId="44102"/>
    <cellStyle name="Saída 2 4 4 13 4" xfId="44103"/>
    <cellStyle name="Saída 2 4 4 14" xfId="44104"/>
    <cellStyle name="Saída 2 4 4 14 2" xfId="44105"/>
    <cellStyle name="Saída 2 4 4 14 2 2" xfId="44106"/>
    <cellStyle name="Saída 2 4 4 14 2 3" xfId="44107"/>
    <cellStyle name="Saída 2 4 4 14 3" xfId="44108"/>
    <cellStyle name="Saída 2 4 4 14 4" xfId="44109"/>
    <cellStyle name="Saída 2 4 4 15" xfId="44110"/>
    <cellStyle name="Saída 2 4 4 15 2" xfId="44111"/>
    <cellStyle name="Saída 2 4 4 15 2 2" xfId="44112"/>
    <cellStyle name="Saída 2 4 4 15 2 3" xfId="44113"/>
    <cellStyle name="Saída 2 4 4 15 3" xfId="44114"/>
    <cellStyle name="Saída 2 4 4 15 4" xfId="44115"/>
    <cellStyle name="Saída 2 4 4 16" xfId="44116"/>
    <cellStyle name="Saída 2 4 4 16 2" xfId="44117"/>
    <cellStyle name="Saída 2 4 4 16 2 2" xfId="44118"/>
    <cellStyle name="Saída 2 4 4 16 2 3" xfId="44119"/>
    <cellStyle name="Saída 2 4 4 16 3" xfId="44120"/>
    <cellStyle name="Saída 2 4 4 16 4" xfId="44121"/>
    <cellStyle name="Saída 2 4 4 17" xfId="44122"/>
    <cellStyle name="Saída 2 4 4 17 2" xfId="44123"/>
    <cellStyle name="Saída 2 4 4 17 2 2" xfId="44124"/>
    <cellStyle name="Saída 2 4 4 17 2 3" xfId="44125"/>
    <cellStyle name="Saída 2 4 4 17 3" xfId="44126"/>
    <cellStyle name="Saída 2 4 4 17 4" xfId="44127"/>
    <cellStyle name="Saída 2 4 4 18" xfId="44128"/>
    <cellStyle name="Saída 2 4 4 18 2" xfId="44129"/>
    <cellStyle name="Saída 2 4 4 18 2 2" xfId="44130"/>
    <cellStyle name="Saída 2 4 4 18 2 3" xfId="44131"/>
    <cellStyle name="Saída 2 4 4 18 3" xfId="44132"/>
    <cellStyle name="Saída 2 4 4 18 4" xfId="44133"/>
    <cellStyle name="Saída 2 4 4 19" xfId="44134"/>
    <cellStyle name="Saída 2 4 4 19 2" xfId="44135"/>
    <cellStyle name="Saída 2 4 4 19 2 2" xfId="44136"/>
    <cellStyle name="Saída 2 4 4 19 2 3" xfId="44137"/>
    <cellStyle name="Saída 2 4 4 19 3" xfId="44138"/>
    <cellStyle name="Saída 2 4 4 19 4" xfId="44139"/>
    <cellStyle name="Saída 2 4 4 2" xfId="44140"/>
    <cellStyle name="Saída 2 4 4 2 2" xfId="44141"/>
    <cellStyle name="Saída 2 4 4 2 2 2" xfId="44142"/>
    <cellStyle name="Saída 2 4 4 2 2 3" xfId="44143"/>
    <cellStyle name="Saída 2 4 4 2 3" xfId="44144"/>
    <cellStyle name="Saída 2 4 4 2 4" xfId="44145"/>
    <cellStyle name="Saída 2 4 4 20" xfId="44146"/>
    <cellStyle name="Saída 2 4 4 20 2" xfId="44147"/>
    <cellStyle name="Saída 2 4 4 20 2 2" xfId="44148"/>
    <cellStyle name="Saída 2 4 4 20 2 3" xfId="44149"/>
    <cellStyle name="Saída 2 4 4 20 3" xfId="44150"/>
    <cellStyle name="Saída 2 4 4 20 4" xfId="44151"/>
    <cellStyle name="Saída 2 4 4 21" xfId="44152"/>
    <cellStyle name="Saída 2 4 4 21 2" xfId="44153"/>
    <cellStyle name="Saída 2 4 4 21 2 2" xfId="44154"/>
    <cellStyle name="Saída 2 4 4 21 2 3" xfId="44155"/>
    <cellStyle name="Saída 2 4 4 21 3" xfId="44156"/>
    <cellStyle name="Saída 2 4 4 21 4" xfId="44157"/>
    <cellStyle name="Saída 2 4 4 22" xfId="44158"/>
    <cellStyle name="Saída 2 4 4 22 2" xfId="44159"/>
    <cellStyle name="Saída 2 4 4 22 2 2" xfId="44160"/>
    <cellStyle name="Saída 2 4 4 22 2 3" xfId="44161"/>
    <cellStyle name="Saída 2 4 4 22 3" xfId="44162"/>
    <cellStyle name="Saída 2 4 4 22 4" xfId="44163"/>
    <cellStyle name="Saída 2 4 4 23" xfId="44164"/>
    <cellStyle name="Saída 2 4 4 23 2" xfId="44165"/>
    <cellStyle name="Saída 2 4 4 23 2 2" xfId="44166"/>
    <cellStyle name="Saída 2 4 4 23 2 3" xfId="44167"/>
    <cellStyle name="Saída 2 4 4 23 3" xfId="44168"/>
    <cellStyle name="Saída 2 4 4 23 4" xfId="44169"/>
    <cellStyle name="Saída 2 4 4 24" xfId="44170"/>
    <cellStyle name="Saída 2 4 4 24 2" xfId="44171"/>
    <cellStyle name="Saída 2 4 4 24 2 2" xfId="44172"/>
    <cellStyle name="Saída 2 4 4 24 2 3" xfId="44173"/>
    <cellStyle name="Saída 2 4 4 24 3" xfId="44174"/>
    <cellStyle name="Saída 2 4 4 24 4" xfId="44175"/>
    <cellStyle name="Saída 2 4 4 25" xfId="44176"/>
    <cellStyle name="Saída 2 4 4 25 2" xfId="44177"/>
    <cellStyle name="Saída 2 4 4 25 2 2" xfId="44178"/>
    <cellStyle name="Saída 2 4 4 25 2 3" xfId="44179"/>
    <cellStyle name="Saída 2 4 4 25 3" xfId="44180"/>
    <cellStyle name="Saída 2 4 4 25 4" xfId="44181"/>
    <cellStyle name="Saída 2 4 4 26" xfId="44182"/>
    <cellStyle name="Saída 2 4 4 26 2" xfId="44183"/>
    <cellStyle name="Saída 2 4 4 26 2 2" xfId="44184"/>
    <cellStyle name="Saída 2 4 4 26 2 3" xfId="44185"/>
    <cellStyle name="Saída 2 4 4 26 3" xfId="44186"/>
    <cellStyle name="Saída 2 4 4 26 4" xfId="44187"/>
    <cellStyle name="Saída 2 4 4 27" xfId="44188"/>
    <cellStyle name="Saída 2 4 4 27 2" xfId="44189"/>
    <cellStyle name="Saída 2 4 4 27 2 2" xfId="44190"/>
    <cellStyle name="Saída 2 4 4 27 2 3" xfId="44191"/>
    <cellStyle name="Saída 2 4 4 27 3" xfId="44192"/>
    <cellStyle name="Saída 2 4 4 27 4" xfId="44193"/>
    <cellStyle name="Saída 2 4 4 28" xfId="44194"/>
    <cellStyle name="Saída 2 4 4 28 2" xfId="44195"/>
    <cellStyle name="Saída 2 4 4 28 2 2" xfId="44196"/>
    <cellStyle name="Saída 2 4 4 28 2 3" xfId="44197"/>
    <cellStyle name="Saída 2 4 4 28 3" xfId="44198"/>
    <cellStyle name="Saída 2 4 4 28 4" xfId="44199"/>
    <cellStyle name="Saída 2 4 4 29" xfId="44200"/>
    <cellStyle name="Saída 2 4 4 29 2" xfId="44201"/>
    <cellStyle name="Saída 2 4 4 29 2 2" xfId="44202"/>
    <cellStyle name="Saída 2 4 4 29 2 3" xfId="44203"/>
    <cellStyle name="Saída 2 4 4 29 3" xfId="44204"/>
    <cellStyle name="Saída 2 4 4 29 4" xfId="44205"/>
    <cellStyle name="Saída 2 4 4 3" xfId="44206"/>
    <cellStyle name="Saída 2 4 4 3 2" xfId="44207"/>
    <cellStyle name="Saída 2 4 4 3 2 2" xfId="44208"/>
    <cellStyle name="Saída 2 4 4 3 2 3" xfId="44209"/>
    <cellStyle name="Saída 2 4 4 3 3" xfId="44210"/>
    <cellStyle name="Saída 2 4 4 3 4" xfId="44211"/>
    <cellStyle name="Saída 2 4 4 30" xfId="44212"/>
    <cellStyle name="Saída 2 4 4 30 2" xfId="44213"/>
    <cellStyle name="Saída 2 4 4 30 2 2" xfId="44214"/>
    <cellStyle name="Saída 2 4 4 30 2 3" xfId="44215"/>
    <cellStyle name="Saída 2 4 4 30 3" xfId="44216"/>
    <cellStyle name="Saída 2 4 4 30 4" xfId="44217"/>
    <cellStyle name="Saída 2 4 4 31" xfId="44218"/>
    <cellStyle name="Saída 2 4 4 31 2" xfId="44219"/>
    <cellStyle name="Saída 2 4 4 31 2 2" xfId="44220"/>
    <cellStyle name="Saída 2 4 4 31 2 3" xfId="44221"/>
    <cellStyle name="Saída 2 4 4 31 3" xfId="44222"/>
    <cellStyle name="Saída 2 4 4 31 4" xfId="44223"/>
    <cellStyle name="Saída 2 4 4 32" xfId="44224"/>
    <cellStyle name="Saída 2 4 4 32 2" xfId="44225"/>
    <cellStyle name="Saída 2 4 4 32 2 2" xfId="44226"/>
    <cellStyle name="Saída 2 4 4 32 2 3" xfId="44227"/>
    <cellStyle name="Saída 2 4 4 32 3" xfId="44228"/>
    <cellStyle name="Saída 2 4 4 32 4" xfId="44229"/>
    <cellStyle name="Saída 2 4 4 33" xfId="44230"/>
    <cellStyle name="Saída 2 4 4 33 2" xfId="44231"/>
    <cellStyle name="Saída 2 4 4 33 2 2" xfId="44232"/>
    <cellStyle name="Saída 2 4 4 33 2 3" xfId="44233"/>
    <cellStyle name="Saída 2 4 4 33 3" xfId="44234"/>
    <cellStyle name="Saída 2 4 4 33 4" xfId="44235"/>
    <cellStyle name="Saída 2 4 4 34" xfId="44236"/>
    <cellStyle name="Saída 2 4 4 34 2" xfId="44237"/>
    <cellStyle name="Saída 2 4 4 34 2 2" xfId="44238"/>
    <cellStyle name="Saída 2 4 4 34 2 3" xfId="44239"/>
    <cellStyle name="Saída 2 4 4 34 3" xfId="44240"/>
    <cellStyle name="Saída 2 4 4 34 4" xfId="44241"/>
    <cellStyle name="Saída 2 4 4 35" xfId="44242"/>
    <cellStyle name="Saída 2 4 4 35 2" xfId="44243"/>
    <cellStyle name="Saída 2 4 4 35 2 2" xfId="44244"/>
    <cellStyle name="Saída 2 4 4 35 2 3" xfId="44245"/>
    <cellStyle name="Saída 2 4 4 35 3" xfId="44246"/>
    <cellStyle name="Saída 2 4 4 35 4" xfId="44247"/>
    <cellStyle name="Saída 2 4 4 36" xfId="44248"/>
    <cellStyle name="Saída 2 4 4 36 2" xfId="44249"/>
    <cellStyle name="Saída 2 4 4 36 2 2" xfId="44250"/>
    <cellStyle name="Saída 2 4 4 36 2 3" xfId="44251"/>
    <cellStyle name="Saída 2 4 4 36 3" xfId="44252"/>
    <cellStyle name="Saída 2 4 4 36 4" xfId="44253"/>
    <cellStyle name="Saída 2 4 4 37" xfId="44254"/>
    <cellStyle name="Saída 2 4 4 37 2" xfId="44255"/>
    <cellStyle name="Saída 2 4 4 37 2 2" xfId="44256"/>
    <cellStyle name="Saída 2 4 4 37 2 3" xfId="44257"/>
    <cellStyle name="Saída 2 4 4 37 3" xfId="44258"/>
    <cellStyle name="Saída 2 4 4 37 4" xfId="44259"/>
    <cellStyle name="Saída 2 4 4 38" xfId="44260"/>
    <cellStyle name="Saída 2 4 4 38 2" xfId="44261"/>
    <cellStyle name="Saída 2 4 4 38 3" xfId="44262"/>
    <cellStyle name="Saída 2 4 4 39" xfId="44263"/>
    <cellStyle name="Saída 2 4 4 39 2" xfId="44264"/>
    <cellStyle name="Saída 2 4 4 39 3" xfId="44265"/>
    <cellStyle name="Saída 2 4 4 4" xfId="44266"/>
    <cellStyle name="Saída 2 4 4 4 2" xfId="44267"/>
    <cellStyle name="Saída 2 4 4 4 2 2" xfId="44268"/>
    <cellStyle name="Saída 2 4 4 4 2 3" xfId="44269"/>
    <cellStyle name="Saída 2 4 4 4 3" xfId="44270"/>
    <cellStyle name="Saída 2 4 4 4 4" xfId="44271"/>
    <cellStyle name="Saída 2 4 4 40" xfId="44272"/>
    <cellStyle name="Saída 2 4 4 40 2" xfId="44273"/>
    <cellStyle name="Saída 2 4 4 40 3" xfId="44274"/>
    <cellStyle name="Saída 2 4 4 41" xfId="44275"/>
    <cellStyle name="Saída 2 4 4 42" xfId="44276"/>
    <cellStyle name="Saída 2 4 4 5" xfId="44277"/>
    <cellStyle name="Saída 2 4 4 5 2" xfId="44278"/>
    <cellStyle name="Saída 2 4 4 5 2 2" xfId="44279"/>
    <cellStyle name="Saída 2 4 4 5 2 3" xfId="44280"/>
    <cellStyle name="Saída 2 4 4 5 3" xfId="44281"/>
    <cellStyle name="Saída 2 4 4 5 4" xfId="44282"/>
    <cellStyle name="Saída 2 4 4 6" xfId="44283"/>
    <cellStyle name="Saída 2 4 4 6 2" xfId="44284"/>
    <cellStyle name="Saída 2 4 4 6 2 2" xfId="44285"/>
    <cellStyle name="Saída 2 4 4 6 2 3" xfId="44286"/>
    <cellStyle name="Saída 2 4 4 6 3" xfId="44287"/>
    <cellStyle name="Saída 2 4 4 6 4" xfId="44288"/>
    <cellStyle name="Saída 2 4 4 7" xfId="44289"/>
    <cellStyle name="Saída 2 4 4 7 2" xfId="44290"/>
    <cellStyle name="Saída 2 4 4 7 2 2" xfId="44291"/>
    <cellStyle name="Saída 2 4 4 7 2 3" xfId="44292"/>
    <cellStyle name="Saída 2 4 4 7 3" xfId="44293"/>
    <cellStyle name="Saída 2 4 4 7 4" xfId="44294"/>
    <cellStyle name="Saída 2 4 4 8" xfId="44295"/>
    <cellStyle name="Saída 2 4 4 8 2" xfId="44296"/>
    <cellStyle name="Saída 2 4 4 8 2 2" xfId="44297"/>
    <cellStyle name="Saída 2 4 4 8 2 3" xfId="44298"/>
    <cellStyle name="Saída 2 4 4 8 3" xfId="44299"/>
    <cellStyle name="Saída 2 4 4 8 4" xfId="44300"/>
    <cellStyle name="Saída 2 4 4 9" xfId="44301"/>
    <cellStyle name="Saída 2 4 4 9 2" xfId="44302"/>
    <cellStyle name="Saída 2 4 4 9 2 2" xfId="44303"/>
    <cellStyle name="Saída 2 4 4 9 2 3" xfId="44304"/>
    <cellStyle name="Saída 2 4 4 9 3" xfId="44305"/>
    <cellStyle name="Saída 2 4 4 9 4" xfId="44306"/>
    <cellStyle name="Saída 2 4 5" xfId="44307"/>
    <cellStyle name="Saída 2 4 5 10" xfId="44308"/>
    <cellStyle name="Saída 2 4 5 10 2" xfId="44309"/>
    <cellStyle name="Saída 2 4 5 10 2 2" xfId="44310"/>
    <cellStyle name="Saída 2 4 5 10 2 3" xfId="44311"/>
    <cellStyle name="Saída 2 4 5 10 3" xfId="44312"/>
    <cellStyle name="Saída 2 4 5 10 4" xfId="44313"/>
    <cellStyle name="Saída 2 4 5 11" xfId="44314"/>
    <cellStyle name="Saída 2 4 5 11 2" xfId="44315"/>
    <cellStyle name="Saída 2 4 5 11 2 2" xfId="44316"/>
    <cellStyle name="Saída 2 4 5 11 2 3" xfId="44317"/>
    <cellStyle name="Saída 2 4 5 11 3" xfId="44318"/>
    <cellStyle name="Saída 2 4 5 11 4" xfId="44319"/>
    <cellStyle name="Saída 2 4 5 12" xfId="44320"/>
    <cellStyle name="Saída 2 4 5 12 2" xfId="44321"/>
    <cellStyle name="Saída 2 4 5 12 2 2" xfId="44322"/>
    <cellStyle name="Saída 2 4 5 12 2 3" xfId="44323"/>
    <cellStyle name="Saída 2 4 5 12 3" xfId="44324"/>
    <cellStyle name="Saída 2 4 5 12 4" xfId="44325"/>
    <cellStyle name="Saída 2 4 5 13" xfId="44326"/>
    <cellStyle name="Saída 2 4 5 13 2" xfId="44327"/>
    <cellStyle name="Saída 2 4 5 13 2 2" xfId="44328"/>
    <cellStyle name="Saída 2 4 5 13 2 3" xfId="44329"/>
    <cellStyle name="Saída 2 4 5 13 3" xfId="44330"/>
    <cellStyle name="Saída 2 4 5 13 4" xfId="44331"/>
    <cellStyle name="Saída 2 4 5 14" xfId="44332"/>
    <cellStyle name="Saída 2 4 5 14 2" xfId="44333"/>
    <cellStyle name="Saída 2 4 5 14 2 2" xfId="44334"/>
    <cellStyle name="Saída 2 4 5 14 2 3" xfId="44335"/>
    <cellStyle name="Saída 2 4 5 14 3" xfId="44336"/>
    <cellStyle name="Saída 2 4 5 14 4" xfId="44337"/>
    <cellStyle name="Saída 2 4 5 15" xfId="44338"/>
    <cellStyle name="Saída 2 4 5 15 2" xfId="44339"/>
    <cellStyle name="Saída 2 4 5 15 2 2" xfId="44340"/>
    <cellStyle name="Saída 2 4 5 15 2 3" xfId="44341"/>
    <cellStyle name="Saída 2 4 5 15 3" xfId="44342"/>
    <cellStyle name="Saída 2 4 5 15 4" xfId="44343"/>
    <cellStyle name="Saída 2 4 5 16" xfId="44344"/>
    <cellStyle name="Saída 2 4 5 16 2" xfId="44345"/>
    <cellStyle name="Saída 2 4 5 16 2 2" xfId="44346"/>
    <cellStyle name="Saída 2 4 5 16 2 3" xfId="44347"/>
    <cellStyle name="Saída 2 4 5 16 3" xfId="44348"/>
    <cellStyle name="Saída 2 4 5 16 4" xfId="44349"/>
    <cellStyle name="Saída 2 4 5 17" xfId="44350"/>
    <cellStyle name="Saída 2 4 5 17 2" xfId="44351"/>
    <cellStyle name="Saída 2 4 5 17 2 2" xfId="44352"/>
    <cellStyle name="Saída 2 4 5 17 2 3" xfId="44353"/>
    <cellStyle name="Saída 2 4 5 17 3" xfId="44354"/>
    <cellStyle name="Saída 2 4 5 17 4" xfId="44355"/>
    <cellStyle name="Saída 2 4 5 18" xfId="44356"/>
    <cellStyle name="Saída 2 4 5 18 2" xfId="44357"/>
    <cellStyle name="Saída 2 4 5 18 2 2" xfId="44358"/>
    <cellStyle name="Saída 2 4 5 18 2 3" xfId="44359"/>
    <cellStyle name="Saída 2 4 5 18 3" xfId="44360"/>
    <cellStyle name="Saída 2 4 5 18 4" xfId="44361"/>
    <cellStyle name="Saída 2 4 5 19" xfId="44362"/>
    <cellStyle name="Saída 2 4 5 19 2" xfId="44363"/>
    <cellStyle name="Saída 2 4 5 19 2 2" xfId="44364"/>
    <cellStyle name="Saída 2 4 5 19 2 3" xfId="44365"/>
    <cellStyle name="Saída 2 4 5 19 3" xfId="44366"/>
    <cellStyle name="Saída 2 4 5 19 4" xfId="44367"/>
    <cellStyle name="Saída 2 4 5 2" xfId="44368"/>
    <cellStyle name="Saída 2 4 5 2 2" xfId="44369"/>
    <cellStyle name="Saída 2 4 5 2 2 2" xfId="44370"/>
    <cellStyle name="Saída 2 4 5 2 2 3" xfId="44371"/>
    <cellStyle name="Saída 2 4 5 2 3" xfId="44372"/>
    <cellStyle name="Saída 2 4 5 2 4" xfId="44373"/>
    <cellStyle name="Saída 2 4 5 20" xfId="44374"/>
    <cellStyle name="Saída 2 4 5 20 2" xfId="44375"/>
    <cellStyle name="Saída 2 4 5 20 2 2" xfId="44376"/>
    <cellStyle name="Saída 2 4 5 20 2 3" xfId="44377"/>
    <cellStyle name="Saída 2 4 5 20 3" xfId="44378"/>
    <cellStyle name="Saída 2 4 5 20 4" xfId="44379"/>
    <cellStyle name="Saída 2 4 5 21" xfId="44380"/>
    <cellStyle name="Saída 2 4 5 21 2" xfId="44381"/>
    <cellStyle name="Saída 2 4 5 21 2 2" xfId="44382"/>
    <cellStyle name="Saída 2 4 5 21 2 3" xfId="44383"/>
    <cellStyle name="Saída 2 4 5 21 3" xfId="44384"/>
    <cellStyle name="Saída 2 4 5 21 4" xfId="44385"/>
    <cellStyle name="Saída 2 4 5 22" xfId="44386"/>
    <cellStyle name="Saída 2 4 5 22 2" xfId="44387"/>
    <cellStyle name="Saída 2 4 5 22 2 2" xfId="44388"/>
    <cellStyle name="Saída 2 4 5 22 2 3" xfId="44389"/>
    <cellStyle name="Saída 2 4 5 22 3" xfId="44390"/>
    <cellStyle name="Saída 2 4 5 22 4" xfId="44391"/>
    <cellStyle name="Saída 2 4 5 23" xfId="44392"/>
    <cellStyle name="Saída 2 4 5 23 2" xfId="44393"/>
    <cellStyle name="Saída 2 4 5 23 2 2" xfId="44394"/>
    <cellStyle name="Saída 2 4 5 23 2 3" xfId="44395"/>
    <cellStyle name="Saída 2 4 5 23 3" xfId="44396"/>
    <cellStyle name="Saída 2 4 5 23 4" xfId="44397"/>
    <cellStyle name="Saída 2 4 5 24" xfId="44398"/>
    <cellStyle name="Saída 2 4 5 24 2" xfId="44399"/>
    <cellStyle name="Saída 2 4 5 24 2 2" xfId="44400"/>
    <cellStyle name="Saída 2 4 5 24 2 3" xfId="44401"/>
    <cellStyle name="Saída 2 4 5 24 3" xfId="44402"/>
    <cellStyle name="Saída 2 4 5 24 4" xfId="44403"/>
    <cellStyle name="Saída 2 4 5 25" xfId="44404"/>
    <cellStyle name="Saída 2 4 5 25 2" xfId="44405"/>
    <cellStyle name="Saída 2 4 5 25 2 2" xfId="44406"/>
    <cellStyle name="Saída 2 4 5 25 2 3" xfId="44407"/>
    <cellStyle name="Saída 2 4 5 25 3" xfId="44408"/>
    <cellStyle name="Saída 2 4 5 25 4" xfId="44409"/>
    <cellStyle name="Saída 2 4 5 26" xfId="44410"/>
    <cellStyle name="Saída 2 4 5 26 2" xfId="44411"/>
    <cellStyle name="Saída 2 4 5 26 2 2" xfId="44412"/>
    <cellStyle name="Saída 2 4 5 26 2 3" xfId="44413"/>
    <cellStyle name="Saída 2 4 5 26 3" xfId="44414"/>
    <cellStyle name="Saída 2 4 5 26 4" xfId="44415"/>
    <cellStyle name="Saída 2 4 5 27" xfId="44416"/>
    <cellStyle name="Saída 2 4 5 27 2" xfId="44417"/>
    <cellStyle name="Saída 2 4 5 27 2 2" xfId="44418"/>
    <cellStyle name="Saída 2 4 5 27 2 3" xfId="44419"/>
    <cellStyle name="Saída 2 4 5 27 3" xfId="44420"/>
    <cellStyle name="Saída 2 4 5 27 4" xfId="44421"/>
    <cellStyle name="Saída 2 4 5 28" xfId="44422"/>
    <cellStyle name="Saída 2 4 5 28 2" xfId="44423"/>
    <cellStyle name="Saída 2 4 5 28 2 2" xfId="44424"/>
    <cellStyle name="Saída 2 4 5 28 2 3" xfId="44425"/>
    <cellStyle name="Saída 2 4 5 28 3" xfId="44426"/>
    <cellStyle name="Saída 2 4 5 28 4" xfId="44427"/>
    <cellStyle name="Saída 2 4 5 29" xfId="44428"/>
    <cellStyle name="Saída 2 4 5 29 2" xfId="44429"/>
    <cellStyle name="Saída 2 4 5 29 2 2" xfId="44430"/>
    <cellStyle name="Saída 2 4 5 29 2 3" xfId="44431"/>
    <cellStyle name="Saída 2 4 5 29 3" xfId="44432"/>
    <cellStyle name="Saída 2 4 5 29 4" xfId="44433"/>
    <cellStyle name="Saída 2 4 5 3" xfId="44434"/>
    <cellStyle name="Saída 2 4 5 3 2" xfId="44435"/>
    <cellStyle name="Saída 2 4 5 3 2 2" xfId="44436"/>
    <cellStyle name="Saída 2 4 5 3 2 3" xfId="44437"/>
    <cellStyle name="Saída 2 4 5 3 3" xfId="44438"/>
    <cellStyle name="Saída 2 4 5 3 4" xfId="44439"/>
    <cellStyle name="Saída 2 4 5 30" xfId="44440"/>
    <cellStyle name="Saída 2 4 5 30 2" xfId="44441"/>
    <cellStyle name="Saída 2 4 5 30 2 2" xfId="44442"/>
    <cellStyle name="Saída 2 4 5 30 2 3" xfId="44443"/>
    <cellStyle name="Saída 2 4 5 30 3" xfId="44444"/>
    <cellStyle name="Saída 2 4 5 30 4" xfId="44445"/>
    <cellStyle name="Saída 2 4 5 31" xfId="44446"/>
    <cellStyle name="Saída 2 4 5 31 2" xfId="44447"/>
    <cellStyle name="Saída 2 4 5 31 2 2" xfId="44448"/>
    <cellStyle name="Saída 2 4 5 31 2 3" xfId="44449"/>
    <cellStyle name="Saída 2 4 5 31 3" xfId="44450"/>
    <cellStyle name="Saída 2 4 5 31 4" xfId="44451"/>
    <cellStyle name="Saída 2 4 5 32" xfId="44452"/>
    <cellStyle name="Saída 2 4 5 32 2" xfId="44453"/>
    <cellStyle name="Saída 2 4 5 32 2 2" xfId="44454"/>
    <cellStyle name="Saída 2 4 5 32 2 3" xfId="44455"/>
    <cellStyle name="Saída 2 4 5 32 3" xfId="44456"/>
    <cellStyle name="Saída 2 4 5 32 4" xfId="44457"/>
    <cellStyle name="Saída 2 4 5 33" xfId="44458"/>
    <cellStyle name="Saída 2 4 5 33 2" xfId="44459"/>
    <cellStyle name="Saída 2 4 5 33 2 2" xfId="44460"/>
    <cellStyle name="Saída 2 4 5 33 2 3" xfId="44461"/>
    <cellStyle name="Saída 2 4 5 33 3" xfId="44462"/>
    <cellStyle name="Saída 2 4 5 33 4" xfId="44463"/>
    <cellStyle name="Saída 2 4 5 34" xfId="44464"/>
    <cellStyle name="Saída 2 4 5 34 2" xfId="44465"/>
    <cellStyle name="Saída 2 4 5 34 2 2" xfId="44466"/>
    <cellStyle name="Saída 2 4 5 34 2 3" xfId="44467"/>
    <cellStyle name="Saída 2 4 5 34 3" xfId="44468"/>
    <cellStyle name="Saída 2 4 5 34 4" xfId="44469"/>
    <cellStyle name="Saída 2 4 5 35" xfId="44470"/>
    <cellStyle name="Saída 2 4 5 35 2" xfId="44471"/>
    <cellStyle name="Saída 2 4 5 35 2 2" xfId="44472"/>
    <cellStyle name="Saída 2 4 5 35 2 3" xfId="44473"/>
    <cellStyle name="Saída 2 4 5 35 3" xfId="44474"/>
    <cellStyle name="Saída 2 4 5 35 4" xfId="44475"/>
    <cellStyle name="Saída 2 4 5 36" xfId="44476"/>
    <cellStyle name="Saída 2 4 5 36 2" xfId="44477"/>
    <cellStyle name="Saída 2 4 5 36 2 2" xfId="44478"/>
    <cellStyle name="Saída 2 4 5 36 2 3" xfId="44479"/>
    <cellStyle name="Saída 2 4 5 36 3" xfId="44480"/>
    <cellStyle name="Saída 2 4 5 36 4" xfId="44481"/>
    <cellStyle name="Saída 2 4 5 37" xfId="44482"/>
    <cellStyle name="Saída 2 4 5 37 2" xfId="44483"/>
    <cellStyle name="Saída 2 4 5 37 2 2" xfId="44484"/>
    <cellStyle name="Saída 2 4 5 37 2 3" xfId="44485"/>
    <cellStyle name="Saída 2 4 5 37 3" xfId="44486"/>
    <cellStyle name="Saída 2 4 5 37 4" xfId="44487"/>
    <cellStyle name="Saída 2 4 5 38" xfId="44488"/>
    <cellStyle name="Saída 2 4 5 38 2" xfId="44489"/>
    <cellStyle name="Saída 2 4 5 38 2 2" xfId="44490"/>
    <cellStyle name="Saída 2 4 5 38 2 3" xfId="44491"/>
    <cellStyle name="Saída 2 4 5 38 3" xfId="44492"/>
    <cellStyle name="Saída 2 4 5 38 4" xfId="44493"/>
    <cellStyle name="Saída 2 4 5 39" xfId="44494"/>
    <cellStyle name="Saída 2 4 5 39 2" xfId="44495"/>
    <cellStyle name="Saída 2 4 5 39 3" xfId="44496"/>
    <cellStyle name="Saída 2 4 5 4" xfId="44497"/>
    <cellStyle name="Saída 2 4 5 4 2" xfId="44498"/>
    <cellStyle name="Saída 2 4 5 4 2 2" xfId="44499"/>
    <cellStyle name="Saída 2 4 5 4 2 3" xfId="44500"/>
    <cellStyle name="Saída 2 4 5 4 3" xfId="44501"/>
    <cellStyle name="Saída 2 4 5 4 4" xfId="44502"/>
    <cellStyle name="Saída 2 4 5 40" xfId="44503"/>
    <cellStyle name="Saída 2 4 5 40 2" xfId="44504"/>
    <cellStyle name="Saída 2 4 5 40 3" xfId="44505"/>
    <cellStyle name="Saída 2 4 5 41" xfId="44506"/>
    <cellStyle name="Saída 2 4 5 41 2" xfId="44507"/>
    <cellStyle name="Saída 2 4 5 41 3" xfId="44508"/>
    <cellStyle name="Saída 2 4 5 42" xfId="44509"/>
    <cellStyle name="Saída 2 4 5 43" xfId="44510"/>
    <cellStyle name="Saída 2 4 5 5" xfId="44511"/>
    <cellStyle name="Saída 2 4 5 5 2" xfId="44512"/>
    <cellStyle name="Saída 2 4 5 5 2 2" xfId="44513"/>
    <cellStyle name="Saída 2 4 5 5 2 3" xfId="44514"/>
    <cellStyle name="Saída 2 4 5 5 3" xfId="44515"/>
    <cellStyle name="Saída 2 4 5 5 4" xfId="44516"/>
    <cellStyle name="Saída 2 4 5 6" xfId="44517"/>
    <cellStyle name="Saída 2 4 5 6 2" xfId="44518"/>
    <cellStyle name="Saída 2 4 5 6 2 2" xfId="44519"/>
    <cellStyle name="Saída 2 4 5 6 2 3" xfId="44520"/>
    <cellStyle name="Saída 2 4 5 6 3" xfId="44521"/>
    <cellStyle name="Saída 2 4 5 6 4" xfId="44522"/>
    <cellStyle name="Saída 2 4 5 7" xfId="44523"/>
    <cellStyle name="Saída 2 4 5 7 2" xfId="44524"/>
    <cellStyle name="Saída 2 4 5 7 2 2" xfId="44525"/>
    <cellStyle name="Saída 2 4 5 7 2 3" xfId="44526"/>
    <cellStyle name="Saída 2 4 5 7 3" xfId="44527"/>
    <cellStyle name="Saída 2 4 5 7 4" xfId="44528"/>
    <cellStyle name="Saída 2 4 5 8" xfId="44529"/>
    <cellStyle name="Saída 2 4 5 8 2" xfId="44530"/>
    <cellStyle name="Saída 2 4 5 8 2 2" xfId="44531"/>
    <cellStyle name="Saída 2 4 5 8 2 3" xfId="44532"/>
    <cellStyle name="Saída 2 4 5 8 3" xfId="44533"/>
    <cellStyle name="Saída 2 4 5 8 4" xfId="44534"/>
    <cellStyle name="Saída 2 4 5 9" xfId="44535"/>
    <cellStyle name="Saída 2 4 5 9 2" xfId="44536"/>
    <cellStyle name="Saída 2 4 5 9 2 2" xfId="44537"/>
    <cellStyle name="Saída 2 4 5 9 2 3" xfId="44538"/>
    <cellStyle name="Saída 2 4 5 9 3" xfId="44539"/>
    <cellStyle name="Saída 2 4 5 9 4" xfId="44540"/>
    <cellStyle name="Saída 2 4 6" xfId="44541"/>
    <cellStyle name="Saída 2 4 6 10" xfId="44542"/>
    <cellStyle name="Saída 2 4 6 10 2" xfId="44543"/>
    <cellStyle name="Saída 2 4 6 10 2 2" xfId="44544"/>
    <cellStyle name="Saída 2 4 6 10 2 3" xfId="44545"/>
    <cellStyle name="Saída 2 4 6 10 3" xfId="44546"/>
    <cellStyle name="Saída 2 4 6 10 4" xfId="44547"/>
    <cellStyle name="Saída 2 4 6 11" xfId="44548"/>
    <cellStyle name="Saída 2 4 6 11 2" xfId="44549"/>
    <cellStyle name="Saída 2 4 6 11 2 2" xfId="44550"/>
    <cellStyle name="Saída 2 4 6 11 2 3" xfId="44551"/>
    <cellStyle name="Saída 2 4 6 11 3" xfId="44552"/>
    <cellStyle name="Saída 2 4 6 11 4" xfId="44553"/>
    <cellStyle name="Saída 2 4 6 12" xfId="44554"/>
    <cellStyle name="Saída 2 4 6 12 2" xfId="44555"/>
    <cellStyle name="Saída 2 4 6 12 2 2" xfId="44556"/>
    <cellStyle name="Saída 2 4 6 12 2 3" xfId="44557"/>
    <cellStyle name="Saída 2 4 6 12 3" xfId="44558"/>
    <cellStyle name="Saída 2 4 6 12 4" xfId="44559"/>
    <cellStyle name="Saída 2 4 6 13" xfId="44560"/>
    <cellStyle name="Saída 2 4 6 13 2" xfId="44561"/>
    <cellStyle name="Saída 2 4 6 13 2 2" xfId="44562"/>
    <cellStyle name="Saída 2 4 6 13 2 3" xfId="44563"/>
    <cellStyle name="Saída 2 4 6 13 3" xfId="44564"/>
    <cellStyle name="Saída 2 4 6 13 4" xfId="44565"/>
    <cellStyle name="Saída 2 4 6 14" xfId="44566"/>
    <cellStyle name="Saída 2 4 6 14 2" xfId="44567"/>
    <cellStyle name="Saída 2 4 6 14 2 2" xfId="44568"/>
    <cellStyle name="Saída 2 4 6 14 2 3" xfId="44569"/>
    <cellStyle name="Saída 2 4 6 14 3" xfId="44570"/>
    <cellStyle name="Saída 2 4 6 14 4" xfId="44571"/>
    <cellStyle name="Saída 2 4 6 15" xfId="44572"/>
    <cellStyle name="Saída 2 4 6 15 2" xfId="44573"/>
    <cellStyle name="Saída 2 4 6 15 2 2" xfId="44574"/>
    <cellStyle name="Saída 2 4 6 15 2 3" xfId="44575"/>
    <cellStyle name="Saída 2 4 6 15 3" xfId="44576"/>
    <cellStyle name="Saída 2 4 6 15 4" xfId="44577"/>
    <cellStyle name="Saída 2 4 6 16" xfId="44578"/>
    <cellStyle name="Saída 2 4 6 16 2" xfId="44579"/>
    <cellStyle name="Saída 2 4 6 16 2 2" xfId="44580"/>
    <cellStyle name="Saída 2 4 6 16 2 3" xfId="44581"/>
    <cellStyle name="Saída 2 4 6 16 3" xfId="44582"/>
    <cellStyle name="Saída 2 4 6 16 4" xfId="44583"/>
    <cellStyle name="Saída 2 4 6 17" xfId="44584"/>
    <cellStyle name="Saída 2 4 6 17 2" xfId="44585"/>
    <cellStyle name="Saída 2 4 6 17 2 2" xfId="44586"/>
    <cellStyle name="Saída 2 4 6 17 2 3" xfId="44587"/>
    <cellStyle name="Saída 2 4 6 17 3" xfId="44588"/>
    <cellStyle name="Saída 2 4 6 17 4" xfId="44589"/>
    <cellStyle name="Saída 2 4 6 18" xfId="44590"/>
    <cellStyle name="Saída 2 4 6 18 2" xfId="44591"/>
    <cellStyle name="Saída 2 4 6 18 2 2" xfId="44592"/>
    <cellStyle name="Saída 2 4 6 18 2 3" xfId="44593"/>
    <cellStyle name="Saída 2 4 6 18 3" xfId="44594"/>
    <cellStyle name="Saída 2 4 6 18 4" xfId="44595"/>
    <cellStyle name="Saída 2 4 6 19" xfId="44596"/>
    <cellStyle name="Saída 2 4 6 19 2" xfId="44597"/>
    <cellStyle name="Saída 2 4 6 19 2 2" xfId="44598"/>
    <cellStyle name="Saída 2 4 6 19 2 3" xfId="44599"/>
    <cellStyle name="Saída 2 4 6 19 3" xfId="44600"/>
    <cellStyle name="Saída 2 4 6 19 4" xfId="44601"/>
    <cellStyle name="Saída 2 4 6 2" xfId="44602"/>
    <cellStyle name="Saída 2 4 6 2 2" xfId="44603"/>
    <cellStyle name="Saída 2 4 6 2 2 2" xfId="44604"/>
    <cellStyle name="Saída 2 4 6 2 2 3" xfId="44605"/>
    <cellStyle name="Saída 2 4 6 2 3" xfId="44606"/>
    <cellStyle name="Saída 2 4 6 2 4" xfId="44607"/>
    <cellStyle name="Saída 2 4 6 20" xfId="44608"/>
    <cellStyle name="Saída 2 4 6 20 2" xfId="44609"/>
    <cellStyle name="Saída 2 4 6 20 2 2" xfId="44610"/>
    <cellStyle name="Saída 2 4 6 20 2 3" xfId="44611"/>
    <cellStyle name="Saída 2 4 6 20 3" xfId="44612"/>
    <cellStyle name="Saída 2 4 6 20 4" xfId="44613"/>
    <cellStyle name="Saída 2 4 6 21" xfId="44614"/>
    <cellStyle name="Saída 2 4 6 21 2" xfId="44615"/>
    <cellStyle name="Saída 2 4 6 21 2 2" xfId="44616"/>
    <cellStyle name="Saída 2 4 6 21 2 3" xfId="44617"/>
    <cellStyle name="Saída 2 4 6 21 3" xfId="44618"/>
    <cellStyle name="Saída 2 4 6 21 4" xfId="44619"/>
    <cellStyle name="Saída 2 4 6 22" xfId="44620"/>
    <cellStyle name="Saída 2 4 6 22 2" xfId="44621"/>
    <cellStyle name="Saída 2 4 6 22 2 2" xfId="44622"/>
    <cellStyle name="Saída 2 4 6 22 2 3" xfId="44623"/>
    <cellStyle name="Saída 2 4 6 22 3" xfId="44624"/>
    <cellStyle name="Saída 2 4 6 22 4" xfId="44625"/>
    <cellStyle name="Saída 2 4 6 23" xfId="44626"/>
    <cellStyle name="Saída 2 4 6 23 2" xfId="44627"/>
    <cellStyle name="Saída 2 4 6 23 2 2" xfId="44628"/>
    <cellStyle name="Saída 2 4 6 23 2 3" xfId="44629"/>
    <cellStyle name="Saída 2 4 6 23 3" xfId="44630"/>
    <cellStyle name="Saída 2 4 6 23 4" xfId="44631"/>
    <cellStyle name="Saída 2 4 6 24" xfId="44632"/>
    <cellStyle name="Saída 2 4 6 24 2" xfId="44633"/>
    <cellStyle name="Saída 2 4 6 24 2 2" xfId="44634"/>
    <cellStyle name="Saída 2 4 6 24 2 3" xfId="44635"/>
    <cellStyle name="Saída 2 4 6 24 3" xfId="44636"/>
    <cellStyle name="Saída 2 4 6 24 4" xfId="44637"/>
    <cellStyle name="Saída 2 4 6 25" xfId="44638"/>
    <cellStyle name="Saída 2 4 6 25 2" xfId="44639"/>
    <cellStyle name="Saída 2 4 6 25 2 2" xfId="44640"/>
    <cellStyle name="Saída 2 4 6 25 2 3" xfId="44641"/>
    <cellStyle name="Saída 2 4 6 25 3" xfId="44642"/>
    <cellStyle name="Saída 2 4 6 25 4" xfId="44643"/>
    <cellStyle name="Saída 2 4 6 26" xfId="44644"/>
    <cellStyle name="Saída 2 4 6 26 2" xfId="44645"/>
    <cellStyle name="Saída 2 4 6 26 2 2" xfId="44646"/>
    <cellStyle name="Saída 2 4 6 26 2 3" xfId="44647"/>
    <cellStyle name="Saída 2 4 6 26 3" xfId="44648"/>
    <cellStyle name="Saída 2 4 6 26 4" xfId="44649"/>
    <cellStyle name="Saída 2 4 6 27" xfId="44650"/>
    <cellStyle name="Saída 2 4 6 27 2" xfId="44651"/>
    <cellStyle name="Saída 2 4 6 27 2 2" xfId="44652"/>
    <cellStyle name="Saída 2 4 6 27 2 3" xfId="44653"/>
    <cellStyle name="Saída 2 4 6 27 3" xfId="44654"/>
    <cellStyle name="Saída 2 4 6 27 4" xfId="44655"/>
    <cellStyle name="Saída 2 4 6 28" xfId="44656"/>
    <cellStyle name="Saída 2 4 6 28 2" xfId="44657"/>
    <cellStyle name="Saída 2 4 6 28 2 2" xfId="44658"/>
    <cellStyle name="Saída 2 4 6 28 2 3" xfId="44659"/>
    <cellStyle name="Saída 2 4 6 28 3" xfId="44660"/>
    <cellStyle name="Saída 2 4 6 28 4" xfId="44661"/>
    <cellStyle name="Saída 2 4 6 29" xfId="44662"/>
    <cellStyle name="Saída 2 4 6 29 2" xfId="44663"/>
    <cellStyle name="Saída 2 4 6 29 2 2" xfId="44664"/>
    <cellStyle name="Saída 2 4 6 29 2 3" xfId="44665"/>
    <cellStyle name="Saída 2 4 6 29 3" xfId="44666"/>
    <cellStyle name="Saída 2 4 6 29 4" xfId="44667"/>
    <cellStyle name="Saída 2 4 6 3" xfId="44668"/>
    <cellStyle name="Saída 2 4 6 3 2" xfId="44669"/>
    <cellStyle name="Saída 2 4 6 3 2 2" xfId="44670"/>
    <cellStyle name="Saída 2 4 6 3 2 3" xfId="44671"/>
    <cellStyle name="Saída 2 4 6 3 3" xfId="44672"/>
    <cellStyle name="Saída 2 4 6 3 4" xfId="44673"/>
    <cellStyle name="Saída 2 4 6 30" xfId="44674"/>
    <cellStyle name="Saída 2 4 6 30 2" xfId="44675"/>
    <cellStyle name="Saída 2 4 6 30 2 2" xfId="44676"/>
    <cellStyle name="Saída 2 4 6 30 2 3" xfId="44677"/>
    <cellStyle name="Saída 2 4 6 30 3" xfId="44678"/>
    <cellStyle name="Saída 2 4 6 30 4" xfId="44679"/>
    <cellStyle name="Saída 2 4 6 31" xfId="44680"/>
    <cellStyle name="Saída 2 4 6 31 2" xfId="44681"/>
    <cellStyle name="Saída 2 4 6 31 2 2" xfId="44682"/>
    <cellStyle name="Saída 2 4 6 31 2 3" xfId="44683"/>
    <cellStyle name="Saída 2 4 6 31 3" xfId="44684"/>
    <cellStyle name="Saída 2 4 6 31 4" xfId="44685"/>
    <cellStyle name="Saída 2 4 6 32" xfId="44686"/>
    <cellStyle name="Saída 2 4 6 32 2" xfId="44687"/>
    <cellStyle name="Saída 2 4 6 32 2 2" xfId="44688"/>
    <cellStyle name="Saída 2 4 6 32 2 3" xfId="44689"/>
    <cellStyle name="Saída 2 4 6 32 3" xfId="44690"/>
    <cellStyle name="Saída 2 4 6 32 4" xfId="44691"/>
    <cellStyle name="Saída 2 4 6 33" xfId="44692"/>
    <cellStyle name="Saída 2 4 6 33 2" xfId="44693"/>
    <cellStyle name="Saída 2 4 6 33 2 2" xfId="44694"/>
    <cellStyle name="Saída 2 4 6 33 2 3" xfId="44695"/>
    <cellStyle name="Saída 2 4 6 33 3" xfId="44696"/>
    <cellStyle name="Saída 2 4 6 33 4" xfId="44697"/>
    <cellStyle name="Saída 2 4 6 34" xfId="44698"/>
    <cellStyle name="Saída 2 4 6 34 2" xfId="44699"/>
    <cellStyle name="Saída 2 4 6 34 2 2" xfId="44700"/>
    <cellStyle name="Saída 2 4 6 34 2 3" xfId="44701"/>
    <cellStyle name="Saída 2 4 6 34 3" xfId="44702"/>
    <cellStyle name="Saída 2 4 6 34 4" xfId="44703"/>
    <cellStyle name="Saída 2 4 6 35" xfId="44704"/>
    <cellStyle name="Saída 2 4 6 35 2" xfId="44705"/>
    <cellStyle name="Saída 2 4 6 35 2 2" xfId="44706"/>
    <cellStyle name="Saída 2 4 6 35 2 3" xfId="44707"/>
    <cellStyle name="Saída 2 4 6 35 3" xfId="44708"/>
    <cellStyle name="Saída 2 4 6 35 4" xfId="44709"/>
    <cellStyle name="Saída 2 4 6 36" xfId="44710"/>
    <cellStyle name="Saída 2 4 6 36 2" xfId="44711"/>
    <cellStyle name="Saída 2 4 6 36 2 2" xfId="44712"/>
    <cellStyle name="Saída 2 4 6 36 2 3" xfId="44713"/>
    <cellStyle name="Saída 2 4 6 36 3" xfId="44714"/>
    <cellStyle name="Saída 2 4 6 36 4" xfId="44715"/>
    <cellStyle name="Saída 2 4 6 37" xfId="44716"/>
    <cellStyle name="Saída 2 4 6 37 2" xfId="44717"/>
    <cellStyle name="Saída 2 4 6 37 2 2" xfId="44718"/>
    <cellStyle name="Saída 2 4 6 37 2 3" xfId="44719"/>
    <cellStyle name="Saída 2 4 6 37 3" xfId="44720"/>
    <cellStyle name="Saída 2 4 6 37 4" xfId="44721"/>
    <cellStyle name="Saída 2 4 6 38" xfId="44722"/>
    <cellStyle name="Saída 2 4 6 38 2" xfId="44723"/>
    <cellStyle name="Saída 2 4 6 38 2 2" xfId="44724"/>
    <cellStyle name="Saída 2 4 6 38 2 3" xfId="44725"/>
    <cellStyle name="Saída 2 4 6 38 3" xfId="44726"/>
    <cellStyle name="Saída 2 4 6 38 4" xfId="44727"/>
    <cellStyle name="Saída 2 4 6 39" xfId="44728"/>
    <cellStyle name="Saída 2 4 6 39 2" xfId="44729"/>
    <cellStyle name="Saída 2 4 6 39 2 2" xfId="44730"/>
    <cellStyle name="Saída 2 4 6 39 2 3" xfId="44731"/>
    <cellStyle name="Saída 2 4 6 39 3" xfId="44732"/>
    <cellStyle name="Saída 2 4 6 39 4" xfId="44733"/>
    <cellStyle name="Saída 2 4 6 4" xfId="44734"/>
    <cellStyle name="Saída 2 4 6 4 2" xfId="44735"/>
    <cellStyle name="Saída 2 4 6 4 2 2" xfId="44736"/>
    <cellStyle name="Saída 2 4 6 4 2 3" xfId="44737"/>
    <cellStyle name="Saída 2 4 6 4 3" xfId="44738"/>
    <cellStyle name="Saída 2 4 6 4 4" xfId="44739"/>
    <cellStyle name="Saída 2 4 6 40" xfId="44740"/>
    <cellStyle name="Saída 2 4 6 40 2" xfId="44741"/>
    <cellStyle name="Saída 2 4 6 40 2 2" xfId="44742"/>
    <cellStyle name="Saída 2 4 6 40 2 3" xfId="44743"/>
    <cellStyle name="Saída 2 4 6 40 3" xfId="44744"/>
    <cellStyle name="Saída 2 4 6 40 4" xfId="44745"/>
    <cellStyle name="Saída 2 4 6 41" xfId="44746"/>
    <cellStyle name="Saída 2 4 6 41 2" xfId="44747"/>
    <cellStyle name="Saída 2 4 6 41 2 2" xfId="44748"/>
    <cellStyle name="Saída 2 4 6 41 2 3" xfId="44749"/>
    <cellStyle name="Saída 2 4 6 41 3" xfId="44750"/>
    <cellStyle name="Saída 2 4 6 41 4" xfId="44751"/>
    <cellStyle name="Saída 2 4 6 42" xfId="44752"/>
    <cellStyle name="Saída 2 4 6 42 2" xfId="44753"/>
    <cellStyle name="Saída 2 4 6 42 3" xfId="44754"/>
    <cellStyle name="Saída 2 4 6 43" xfId="44755"/>
    <cellStyle name="Saída 2 4 6 43 2" xfId="44756"/>
    <cellStyle name="Saída 2 4 6 43 3" xfId="44757"/>
    <cellStyle name="Saída 2 4 6 44" xfId="44758"/>
    <cellStyle name="Saída 2 4 6 45" xfId="44759"/>
    <cellStyle name="Saída 2 4 6 5" xfId="44760"/>
    <cellStyle name="Saída 2 4 6 5 2" xfId="44761"/>
    <cellStyle name="Saída 2 4 6 5 2 2" xfId="44762"/>
    <cellStyle name="Saída 2 4 6 5 2 3" xfId="44763"/>
    <cellStyle name="Saída 2 4 6 5 3" xfId="44764"/>
    <cellStyle name="Saída 2 4 6 5 4" xfId="44765"/>
    <cellStyle name="Saída 2 4 6 6" xfId="44766"/>
    <cellStyle name="Saída 2 4 6 6 2" xfId="44767"/>
    <cellStyle name="Saída 2 4 6 6 2 2" xfId="44768"/>
    <cellStyle name="Saída 2 4 6 6 2 3" xfId="44769"/>
    <cellStyle name="Saída 2 4 6 6 3" xfId="44770"/>
    <cellStyle name="Saída 2 4 6 6 4" xfId="44771"/>
    <cellStyle name="Saída 2 4 6 7" xfId="44772"/>
    <cellStyle name="Saída 2 4 6 7 2" xfId="44773"/>
    <cellStyle name="Saída 2 4 6 7 2 2" xfId="44774"/>
    <cellStyle name="Saída 2 4 6 7 2 3" xfId="44775"/>
    <cellStyle name="Saída 2 4 6 7 3" xfId="44776"/>
    <cellStyle name="Saída 2 4 6 7 4" xfId="44777"/>
    <cellStyle name="Saída 2 4 6 8" xfId="44778"/>
    <cellStyle name="Saída 2 4 6 8 2" xfId="44779"/>
    <cellStyle name="Saída 2 4 6 8 2 2" xfId="44780"/>
    <cellStyle name="Saída 2 4 6 8 2 3" xfId="44781"/>
    <cellStyle name="Saída 2 4 6 8 3" xfId="44782"/>
    <cellStyle name="Saída 2 4 6 8 4" xfId="44783"/>
    <cellStyle name="Saída 2 4 6 9" xfId="44784"/>
    <cellStyle name="Saída 2 4 6 9 2" xfId="44785"/>
    <cellStyle name="Saída 2 4 6 9 2 2" xfId="44786"/>
    <cellStyle name="Saída 2 4 6 9 2 3" xfId="44787"/>
    <cellStyle name="Saída 2 4 6 9 3" xfId="44788"/>
    <cellStyle name="Saída 2 4 6 9 4" xfId="44789"/>
    <cellStyle name="Saída 2 4 7" xfId="44790"/>
    <cellStyle name="Saída 2 4 7 2" xfId="44791"/>
    <cellStyle name="Saída 2 4 7 2 2" xfId="44792"/>
    <cellStyle name="Saída 2 4 7 2 3" xfId="44793"/>
    <cellStyle name="Saída 2 4 7 3" xfId="44794"/>
    <cellStyle name="Saída 2 4 7 4" xfId="44795"/>
    <cellStyle name="Saída 2 4 8" xfId="44796"/>
    <cellStyle name="Saída 2 4 8 2" xfId="44797"/>
    <cellStyle name="Saída 2 4 8 2 2" xfId="44798"/>
    <cellStyle name="Saída 2 4 8 2 3" xfId="44799"/>
    <cellStyle name="Saída 2 4 8 3" xfId="44800"/>
    <cellStyle name="Saída 2 4 8 4" xfId="44801"/>
    <cellStyle name="Saída 2 4 9" xfId="44802"/>
    <cellStyle name="Saída 2 4 9 2" xfId="44803"/>
    <cellStyle name="Saída 2 4 9 2 2" xfId="44804"/>
    <cellStyle name="Saída 2 4 9 2 3" xfId="44805"/>
    <cellStyle name="Saída 2 4 9 3" xfId="44806"/>
    <cellStyle name="Saída 2 4 9 4" xfId="44807"/>
    <cellStyle name="Saída 2 5" xfId="44808"/>
    <cellStyle name="Saída 2 5 10" xfId="44809"/>
    <cellStyle name="Saída 2 5 10 2" xfId="44810"/>
    <cellStyle name="Saída 2 5 10 2 2" xfId="44811"/>
    <cellStyle name="Saída 2 5 10 2 3" xfId="44812"/>
    <cellStyle name="Saída 2 5 10 3" xfId="44813"/>
    <cellStyle name="Saída 2 5 10 4" xfId="44814"/>
    <cellStyle name="Saída 2 5 11" xfId="44815"/>
    <cellStyle name="Saída 2 5 11 2" xfId="44816"/>
    <cellStyle name="Saída 2 5 11 2 2" xfId="44817"/>
    <cellStyle name="Saída 2 5 11 2 3" xfId="44818"/>
    <cellStyle name="Saída 2 5 11 3" xfId="44819"/>
    <cellStyle name="Saída 2 5 11 4" xfId="44820"/>
    <cellStyle name="Saída 2 5 12" xfId="44821"/>
    <cellStyle name="Saída 2 5 12 2" xfId="44822"/>
    <cellStyle name="Saída 2 5 12 2 2" xfId="44823"/>
    <cellStyle name="Saída 2 5 12 2 3" xfId="44824"/>
    <cellStyle name="Saída 2 5 12 3" xfId="44825"/>
    <cellStyle name="Saída 2 5 12 4" xfId="44826"/>
    <cellStyle name="Saída 2 5 13" xfId="44827"/>
    <cellStyle name="Saída 2 5 13 2" xfId="44828"/>
    <cellStyle name="Saída 2 5 13 2 2" xfId="44829"/>
    <cellStyle name="Saída 2 5 13 2 3" xfId="44830"/>
    <cellStyle name="Saída 2 5 13 3" xfId="44831"/>
    <cellStyle name="Saída 2 5 13 4" xfId="44832"/>
    <cellStyle name="Saída 2 5 14" xfId="44833"/>
    <cellStyle name="Saída 2 5 14 2" xfId="44834"/>
    <cellStyle name="Saída 2 5 14 2 2" xfId="44835"/>
    <cellStyle name="Saída 2 5 14 2 3" xfId="44836"/>
    <cellStyle name="Saída 2 5 14 3" xfId="44837"/>
    <cellStyle name="Saída 2 5 14 4" xfId="44838"/>
    <cellStyle name="Saída 2 5 15" xfId="44839"/>
    <cellStyle name="Saída 2 5 15 2" xfId="44840"/>
    <cellStyle name="Saída 2 5 15 2 2" xfId="44841"/>
    <cellStyle name="Saída 2 5 15 2 3" xfId="44842"/>
    <cellStyle name="Saída 2 5 15 3" xfId="44843"/>
    <cellStyle name="Saída 2 5 15 4" xfId="44844"/>
    <cellStyle name="Saída 2 5 16" xfId="44845"/>
    <cellStyle name="Saída 2 5 16 2" xfId="44846"/>
    <cellStyle name="Saída 2 5 16 2 2" xfId="44847"/>
    <cellStyle name="Saída 2 5 16 2 3" xfId="44848"/>
    <cellStyle name="Saída 2 5 16 3" xfId="44849"/>
    <cellStyle name="Saída 2 5 16 4" xfId="44850"/>
    <cellStyle name="Saída 2 5 17" xfId="44851"/>
    <cellStyle name="Saída 2 5 17 2" xfId="44852"/>
    <cellStyle name="Saída 2 5 17 2 2" xfId="44853"/>
    <cellStyle name="Saída 2 5 17 2 3" xfId="44854"/>
    <cellStyle name="Saída 2 5 17 3" xfId="44855"/>
    <cellStyle name="Saída 2 5 17 4" xfId="44856"/>
    <cellStyle name="Saída 2 5 18" xfId="44857"/>
    <cellStyle name="Saída 2 5 18 2" xfId="44858"/>
    <cellStyle name="Saída 2 5 18 2 2" xfId="44859"/>
    <cellStyle name="Saída 2 5 18 2 3" xfId="44860"/>
    <cellStyle name="Saída 2 5 18 3" xfId="44861"/>
    <cellStyle name="Saída 2 5 18 4" xfId="44862"/>
    <cellStyle name="Saída 2 5 19" xfId="44863"/>
    <cellStyle name="Saída 2 5 19 2" xfId="44864"/>
    <cellStyle name="Saída 2 5 19 2 2" xfId="44865"/>
    <cellStyle name="Saída 2 5 19 2 3" xfId="44866"/>
    <cellStyle name="Saída 2 5 19 3" xfId="44867"/>
    <cellStyle name="Saída 2 5 19 4" xfId="44868"/>
    <cellStyle name="Saída 2 5 2" xfId="44869"/>
    <cellStyle name="Saída 2 5 2 10" xfId="44870"/>
    <cellStyle name="Saída 2 5 2 10 2" xfId="44871"/>
    <cellStyle name="Saída 2 5 2 10 2 2" xfId="44872"/>
    <cellStyle name="Saída 2 5 2 10 2 3" xfId="44873"/>
    <cellStyle name="Saída 2 5 2 10 3" xfId="44874"/>
    <cellStyle name="Saída 2 5 2 10 4" xfId="44875"/>
    <cellStyle name="Saída 2 5 2 11" xfId="44876"/>
    <cellStyle name="Saída 2 5 2 11 2" xfId="44877"/>
    <cellStyle name="Saída 2 5 2 11 2 2" xfId="44878"/>
    <cellStyle name="Saída 2 5 2 11 2 3" xfId="44879"/>
    <cellStyle name="Saída 2 5 2 11 3" xfId="44880"/>
    <cellStyle name="Saída 2 5 2 11 4" xfId="44881"/>
    <cellStyle name="Saída 2 5 2 12" xfId="44882"/>
    <cellStyle name="Saída 2 5 2 12 2" xfId="44883"/>
    <cellStyle name="Saída 2 5 2 12 2 2" xfId="44884"/>
    <cellStyle name="Saída 2 5 2 12 2 3" xfId="44885"/>
    <cellStyle name="Saída 2 5 2 12 3" xfId="44886"/>
    <cellStyle name="Saída 2 5 2 12 4" xfId="44887"/>
    <cellStyle name="Saída 2 5 2 13" xfId="44888"/>
    <cellStyle name="Saída 2 5 2 13 2" xfId="44889"/>
    <cellStyle name="Saída 2 5 2 13 2 2" xfId="44890"/>
    <cellStyle name="Saída 2 5 2 13 2 3" xfId="44891"/>
    <cellStyle name="Saída 2 5 2 13 3" xfId="44892"/>
    <cellStyle name="Saída 2 5 2 13 4" xfId="44893"/>
    <cellStyle name="Saída 2 5 2 14" xfId="44894"/>
    <cellStyle name="Saída 2 5 2 14 2" xfId="44895"/>
    <cellStyle name="Saída 2 5 2 14 2 2" xfId="44896"/>
    <cellStyle name="Saída 2 5 2 14 2 3" xfId="44897"/>
    <cellStyle name="Saída 2 5 2 14 3" xfId="44898"/>
    <cellStyle name="Saída 2 5 2 14 4" xfId="44899"/>
    <cellStyle name="Saída 2 5 2 15" xfId="44900"/>
    <cellStyle name="Saída 2 5 2 15 2" xfId="44901"/>
    <cellStyle name="Saída 2 5 2 15 2 2" xfId="44902"/>
    <cellStyle name="Saída 2 5 2 15 2 3" xfId="44903"/>
    <cellStyle name="Saída 2 5 2 15 3" xfId="44904"/>
    <cellStyle name="Saída 2 5 2 15 4" xfId="44905"/>
    <cellStyle name="Saída 2 5 2 16" xfId="44906"/>
    <cellStyle name="Saída 2 5 2 16 2" xfId="44907"/>
    <cellStyle name="Saída 2 5 2 16 2 2" xfId="44908"/>
    <cellStyle name="Saída 2 5 2 16 2 3" xfId="44909"/>
    <cellStyle name="Saída 2 5 2 16 3" xfId="44910"/>
    <cellStyle name="Saída 2 5 2 16 4" xfId="44911"/>
    <cellStyle name="Saída 2 5 2 17" xfId="44912"/>
    <cellStyle name="Saída 2 5 2 17 2" xfId="44913"/>
    <cellStyle name="Saída 2 5 2 17 2 2" xfId="44914"/>
    <cellStyle name="Saída 2 5 2 17 2 3" xfId="44915"/>
    <cellStyle name="Saída 2 5 2 17 3" xfId="44916"/>
    <cellStyle name="Saída 2 5 2 17 4" xfId="44917"/>
    <cellStyle name="Saída 2 5 2 18" xfId="44918"/>
    <cellStyle name="Saída 2 5 2 18 2" xfId="44919"/>
    <cellStyle name="Saída 2 5 2 18 2 2" xfId="44920"/>
    <cellStyle name="Saída 2 5 2 18 2 3" xfId="44921"/>
    <cellStyle name="Saída 2 5 2 18 3" xfId="44922"/>
    <cellStyle name="Saída 2 5 2 18 4" xfId="44923"/>
    <cellStyle name="Saída 2 5 2 19" xfId="44924"/>
    <cellStyle name="Saída 2 5 2 19 2" xfId="44925"/>
    <cellStyle name="Saída 2 5 2 19 2 2" xfId="44926"/>
    <cellStyle name="Saída 2 5 2 19 2 3" xfId="44927"/>
    <cellStyle name="Saída 2 5 2 19 3" xfId="44928"/>
    <cellStyle name="Saída 2 5 2 19 4" xfId="44929"/>
    <cellStyle name="Saída 2 5 2 2" xfId="44930"/>
    <cellStyle name="Saída 2 5 2 2 2" xfId="44931"/>
    <cellStyle name="Saída 2 5 2 2 2 2" xfId="44932"/>
    <cellStyle name="Saída 2 5 2 2 2 3" xfId="44933"/>
    <cellStyle name="Saída 2 5 2 2 3" xfId="44934"/>
    <cellStyle name="Saída 2 5 2 2 4" xfId="44935"/>
    <cellStyle name="Saída 2 5 2 20" xfId="44936"/>
    <cellStyle name="Saída 2 5 2 20 2" xfId="44937"/>
    <cellStyle name="Saída 2 5 2 20 2 2" xfId="44938"/>
    <cellStyle name="Saída 2 5 2 20 2 3" xfId="44939"/>
    <cellStyle name="Saída 2 5 2 20 3" xfId="44940"/>
    <cellStyle name="Saída 2 5 2 20 4" xfId="44941"/>
    <cellStyle name="Saída 2 5 2 21" xfId="44942"/>
    <cellStyle name="Saída 2 5 2 21 2" xfId="44943"/>
    <cellStyle name="Saída 2 5 2 21 2 2" xfId="44944"/>
    <cellStyle name="Saída 2 5 2 21 2 3" xfId="44945"/>
    <cellStyle name="Saída 2 5 2 21 3" xfId="44946"/>
    <cellStyle name="Saída 2 5 2 21 4" xfId="44947"/>
    <cellStyle name="Saída 2 5 2 22" xfId="44948"/>
    <cellStyle name="Saída 2 5 2 22 2" xfId="44949"/>
    <cellStyle name="Saída 2 5 2 22 2 2" xfId="44950"/>
    <cellStyle name="Saída 2 5 2 22 2 3" xfId="44951"/>
    <cellStyle name="Saída 2 5 2 22 3" xfId="44952"/>
    <cellStyle name="Saída 2 5 2 22 4" xfId="44953"/>
    <cellStyle name="Saída 2 5 2 23" xfId="44954"/>
    <cellStyle name="Saída 2 5 2 23 2" xfId="44955"/>
    <cellStyle name="Saída 2 5 2 23 2 2" xfId="44956"/>
    <cellStyle name="Saída 2 5 2 23 2 3" xfId="44957"/>
    <cellStyle name="Saída 2 5 2 23 3" xfId="44958"/>
    <cellStyle name="Saída 2 5 2 23 4" xfId="44959"/>
    <cellStyle name="Saída 2 5 2 24" xfId="44960"/>
    <cellStyle name="Saída 2 5 2 24 2" xfId="44961"/>
    <cellStyle name="Saída 2 5 2 24 2 2" xfId="44962"/>
    <cellStyle name="Saída 2 5 2 24 2 3" xfId="44963"/>
    <cellStyle name="Saída 2 5 2 24 3" xfId="44964"/>
    <cellStyle name="Saída 2 5 2 24 4" xfId="44965"/>
    <cellStyle name="Saída 2 5 2 25" xfId="44966"/>
    <cellStyle name="Saída 2 5 2 25 2" xfId="44967"/>
    <cellStyle name="Saída 2 5 2 25 2 2" xfId="44968"/>
    <cellStyle name="Saída 2 5 2 25 2 3" xfId="44969"/>
    <cellStyle name="Saída 2 5 2 25 3" xfId="44970"/>
    <cellStyle name="Saída 2 5 2 25 4" xfId="44971"/>
    <cellStyle name="Saída 2 5 2 26" xfId="44972"/>
    <cellStyle name="Saída 2 5 2 26 2" xfId="44973"/>
    <cellStyle name="Saída 2 5 2 26 2 2" xfId="44974"/>
    <cellStyle name="Saída 2 5 2 26 2 3" xfId="44975"/>
    <cellStyle name="Saída 2 5 2 26 3" xfId="44976"/>
    <cellStyle name="Saída 2 5 2 26 4" xfId="44977"/>
    <cellStyle name="Saída 2 5 2 27" xfId="44978"/>
    <cellStyle name="Saída 2 5 2 27 2" xfId="44979"/>
    <cellStyle name="Saída 2 5 2 27 2 2" xfId="44980"/>
    <cellStyle name="Saída 2 5 2 27 2 3" xfId="44981"/>
    <cellStyle name="Saída 2 5 2 27 3" xfId="44982"/>
    <cellStyle name="Saída 2 5 2 27 4" xfId="44983"/>
    <cellStyle name="Saída 2 5 2 28" xfId="44984"/>
    <cellStyle name="Saída 2 5 2 28 2" xfId="44985"/>
    <cellStyle name="Saída 2 5 2 28 2 2" xfId="44986"/>
    <cellStyle name="Saída 2 5 2 28 2 3" xfId="44987"/>
    <cellStyle name="Saída 2 5 2 28 3" xfId="44988"/>
    <cellStyle name="Saída 2 5 2 28 4" xfId="44989"/>
    <cellStyle name="Saída 2 5 2 29" xfId="44990"/>
    <cellStyle name="Saída 2 5 2 29 2" xfId="44991"/>
    <cellStyle name="Saída 2 5 2 29 2 2" xfId="44992"/>
    <cellStyle name="Saída 2 5 2 29 2 3" xfId="44993"/>
    <cellStyle name="Saída 2 5 2 29 3" xfId="44994"/>
    <cellStyle name="Saída 2 5 2 29 4" xfId="44995"/>
    <cellStyle name="Saída 2 5 2 3" xfId="44996"/>
    <cellStyle name="Saída 2 5 2 3 2" xfId="44997"/>
    <cellStyle name="Saída 2 5 2 3 2 2" xfId="44998"/>
    <cellStyle name="Saída 2 5 2 3 2 3" xfId="44999"/>
    <cellStyle name="Saída 2 5 2 3 3" xfId="45000"/>
    <cellStyle name="Saída 2 5 2 3 4" xfId="45001"/>
    <cellStyle name="Saída 2 5 2 30" xfId="45002"/>
    <cellStyle name="Saída 2 5 2 30 2" xfId="45003"/>
    <cellStyle name="Saída 2 5 2 30 2 2" xfId="45004"/>
    <cellStyle name="Saída 2 5 2 30 2 3" xfId="45005"/>
    <cellStyle name="Saída 2 5 2 30 3" xfId="45006"/>
    <cellStyle name="Saída 2 5 2 30 4" xfId="45007"/>
    <cellStyle name="Saída 2 5 2 31" xfId="45008"/>
    <cellStyle name="Saída 2 5 2 31 2" xfId="45009"/>
    <cellStyle name="Saída 2 5 2 31 2 2" xfId="45010"/>
    <cellStyle name="Saída 2 5 2 31 2 3" xfId="45011"/>
    <cellStyle name="Saída 2 5 2 31 3" xfId="45012"/>
    <cellStyle name="Saída 2 5 2 31 4" xfId="45013"/>
    <cellStyle name="Saída 2 5 2 32" xfId="45014"/>
    <cellStyle name="Saída 2 5 2 32 2" xfId="45015"/>
    <cellStyle name="Saída 2 5 2 32 2 2" xfId="45016"/>
    <cellStyle name="Saída 2 5 2 32 2 3" xfId="45017"/>
    <cellStyle name="Saída 2 5 2 32 3" xfId="45018"/>
    <cellStyle name="Saída 2 5 2 32 4" xfId="45019"/>
    <cellStyle name="Saída 2 5 2 33" xfId="45020"/>
    <cellStyle name="Saída 2 5 2 33 2" xfId="45021"/>
    <cellStyle name="Saída 2 5 2 33 2 2" xfId="45022"/>
    <cellStyle name="Saída 2 5 2 33 2 3" xfId="45023"/>
    <cellStyle name="Saída 2 5 2 33 3" xfId="45024"/>
    <cellStyle name="Saída 2 5 2 33 4" xfId="45025"/>
    <cellStyle name="Saída 2 5 2 34" xfId="45026"/>
    <cellStyle name="Saída 2 5 2 34 2" xfId="45027"/>
    <cellStyle name="Saída 2 5 2 34 2 2" xfId="45028"/>
    <cellStyle name="Saída 2 5 2 34 2 3" xfId="45029"/>
    <cellStyle name="Saída 2 5 2 34 3" xfId="45030"/>
    <cellStyle name="Saída 2 5 2 34 4" xfId="45031"/>
    <cellStyle name="Saída 2 5 2 35" xfId="45032"/>
    <cellStyle name="Saída 2 5 2 35 2" xfId="45033"/>
    <cellStyle name="Saída 2 5 2 35 2 2" xfId="45034"/>
    <cellStyle name="Saída 2 5 2 35 2 3" xfId="45035"/>
    <cellStyle name="Saída 2 5 2 35 3" xfId="45036"/>
    <cellStyle name="Saída 2 5 2 35 4" xfId="45037"/>
    <cellStyle name="Saída 2 5 2 36" xfId="45038"/>
    <cellStyle name="Saída 2 5 2 36 2" xfId="45039"/>
    <cellStyle name="Saída 2 5 2 36 2 2" xfId="45040"/>
    <cellStyle name="Saída 2 5 2 36 2 3" xfId="45041"/>
    <cellStyle name="Saída 2 5 2 36 3" xfId="45042"/>
    <cellStyle name="Saída 2 5 2 36 4" xfId="45043"/>
    <cellStyle name="Saída 2 5 2 37" xfId="45044"/>
    <cellStyle name="Saída 2 5 2 37 2" xfId="45045"/>
    <cellStyle name="Saída 2 5 2 37 3" xfId="45046"/>
    <cellStyle name="Saída 2 5 2 38" xfId="45047"/>
    <cellStyle name="Saída 2 5 2 38 2" xfId="45048"/>
    <cellStyle name="Saída 2 5 2 38 3" xfId="45049"/>
    <cellStyle name="Saída 2 5 2 39" xfId="45050"/>
    <cellStyle name="Saída 2 5 2 39 2" xfId="45051"/>
    <cellStyle name="Saída 2 5 2 39 3" xfId="45052"/>
    <cellStyle name="Saída 2 5 2 4" xfId="45053"/>
    <cellStyle name="Saída 2 5 2 4 2" xfId="45054"/>
    <cellStyle name="Saída 2 5 2 4 2 2" xfId="45055"/>
    <cellStyle name="Saída 2 5 2 4 2 3" xfId="45056"/>
    <cellStyle name="Saída 2 5 2 4 3" xfId="45057"/>
    <cellStyle name="Saída 2 5 2 4 4" xfId="45058"/>
    <cellStyle name="Saída 2 5 2 40" xfId="45059"/>
    <cellStyle name="Saída 2 5 2 40 2" xfId="45060"/>
    <cellStyle name="Saída 2 5 2 40 3" xfId="45061"/>
    <cellStyle name="Saída 2 5 2 41" xfId="45062"/>
    <cellStyle name="Saída 2 5 2 42" xfId="45063"/>
    <cellStyle name="Saída 2 5 2 5" xfId="45064"/>
    <cellStyle name="Saída 2 5 2 5 2" xfId="45065"/>
    <cellStyle name="Saída 2 5 2 5 2 2" xfId="45066"/>
    <cellStyle name="Saída 2 5 2 5 2 3" xfId="45067"/>
    <cellStyle name="Saída 2 5 2 5 3" xfId="45068"/>
    <cellStyle name="Saída 2 5 2 5 4" xfId="45069"/>
    <cellStyle name="Saída 2 5 2 6" xfId="45070"/>
    <cellStyle name="Saída 2 5 2 6 2" xfId="45071"/>
    <cellStyle name="Saída 2 5 2 6 2 2" xfId="45072"/>
    <cellStyle name="Saída 2 5 2 6 2 3" xfId="45073"/>
    <cellStyle name="Saída 2 5 2 6 3" xfId="45074"/>
    <cellStyle name="Saída 2 5 2 6 4" xfId="45075"/>
    <cellStyle name="Saída 2 5 2 7" xfId="45076"/>
    <cellStyle name="Saída 2 5 2 7 2" xfId="45077"/>
    <cellStyle name="Saída 2 5 2 7 2 2" xfId="45078"/>
    <cellStyle name="Saída 2 5 2 7 2 3" xfId="45079"/>
    <cellStyle name="Saída 2 5 2 7 3" xfId="45080"/>
    <cellStyle name="Saída 2 5 2 7 4" xfId="45081"/>
    <cellStyle name="Saída 2 5 2 8" xfId="45082"/>
    <cellStyle name="Saída 2 5 2 8 2" xfId="45083"/>
    <cellStyle name="Saída 2 5 2 8 2 2" xfId="45084"/>
    <cellStyle name="Saída 2 5 2 8 2 3" xfId="45085"/>
    <cellStyle name="Saída 2 5 2 8 3" xfId="45086"/>
    <cellStyle name="Saída 2 5 2 8 4" xfId="45087"/>
    <cellStyle name="Saída 2 5 2 9" xfId="45088"/>
    <cellStyle name="Saída 2 5 2 9 2" xfId="45089"/>
    <cellStyle name="Saída 2 5 2 9 2 2" xfId="45090"/>
    <cellStyle name="Saída 2 5 2 9 2 3" xfId="45091"/>
    <cellStyle name="Saída 2 5 2 9 3" xfId="45092"/>
    <cellStyle name="Saída 2 5 2 9 4" xfId="45093"/>
    <cellStyle name="Saída 2 5 20" xfId="45094"/>
    <cellStyle name="Saída 2 5 20 2" xfId="45095"/>
    <cellStyle name="Saída 2 5 20 2 2" xfId="45096"/>
    <cellStyle name="Saída 2 5 20 2 3" xfId="45097"/>
    <cellStyle name="Saída 2 5 20 3" xfId="45098"/>
    <cellStyle name="Saída 2 5 20 4" xfId="45099"/>
    <cellStyle name="Saída 2 5 21" xfId="45100"/>
    <cellStyle name="Saída 2 5 21 2" xfId="45101"/>
    <cellStyle name="Saída 2 5 21 2 2" xfId="45102"/>
    <cellStyle name="Saída 2 5 21 2 3" xfId="45103"/>
    <cellStyle name="Saída 2 5 21 3" xfId="45104"/>
    <cellStyle name="Saída 2 5 21 4" xfId="45105"/>
    <cellStyle name="Saída 2 5 22" xfId="45106"/>
    <cellStyle name="Saída 2 5 22 2" xfId="45107"/>
    <cellStyle name="Saída 2 5 22 2 2" xfId="45108"/>
    <cellStyle name="Saída 2 5 22 2 3" xfId="45109"/>
    <cellStyle name="Saída 2 5 22 3" xfId="45110"/>
    <cellStyle name="Saída 2 5 22 4" xfId="45111"/>
    <cellStyle name="Saída 2 5 23" xfId="45112"/>
    <cellStyle name="Saída 2 5 23 2" xfId="45113"/>
    <cellStyle name="Saída 2 5 23 2 2" xfId="45114"/>
    <cellStyle name="Saída 2 5 23 2 3" xfId="45115"/>
    <cellStyle name="Saída 2 5 23 3" xfId="45116"/>
    <cellStyle name="Saída 2 5 23 4" xfId="45117"/>
    <cellStyle name="Saída 2 5 24" xfId="45118"/>
    <cellStyle name="Saída 2 5 24 2" xfId="45119"/>
    <cellStyle name="Saída 2 5 24 2 2" xfId="45120"/>
    <cellStyle name="Saída 2 5 24 2 3" xfId="45121"/>
    <cellStyle name="Saída 2 5 24 3" xfId="45122"/>
    <cellStyle name="Saída 2 5 24 4" xfId="45123"/>
    <cellStyle name="Saída 2 5 25" xfId="45124"/>
    <cellStyle name="Saída 2 5 25 2" xfId="45125"/>
    <cellStyle name="Saída 2 5 25 2 2" xfId="45126"/>
    <cellStyle name="Saída 2 5 25 2 3" xfId="45127"/>
    <cellStyle name="Saída 2 5 25 3" xfId="45128"/>
    <cellStyle name="Saída 2 5 25 4" xfId="45129"/>
    <cellStyle name="Saída 2 5 26" xfId="45130"/>
    <cellStyle name="Saída 2 5 26 2" xfId="45131"/>
    <cellStyle name="Saída 2 5 26 2 2" xfId="45132"/>
    <cellStyle name="Saída 2 5 26 2 3" xfId="45133"/>
    <cellStyle name="Saída 2 5 26 3" xfId="45134"/>
    <cellStyle name="Saída 2 5 26 4" xfId="45135"/>
    <cellStyle name="Saída 2 5 27" xfId="45136"/>
    <cellStyle name="Saída 2 5 27 2" xfId="45137"/>
    <cellStyle name="Saída 2 5 27 2 2" xfId="45138"/>
    <cellStyle name="Saída 2 5 27 2 3" xfId="45139"/>
    <cellStyle name="Saída 2 5 27 3" xfId="45140"/>
    <cellStyle name="Saída 2 5 27 4" xfId="45141"/>
    <cellStyle name="Saída 2 5 28" xfId="45142"/>
    <cellStyle name="Saída 2 5 28 2" xfId="45143"/>
    <cellStyle name="Saída 2 5 28 2 2" xfId="45144"/>
    <cellStyle name="Saída 2 5 28 2 3" xfId="45145"/>
    <cellStyle name="Saída 2 5 28 3" xfId="45146"/>
    <cellStyle name="Saída 2 5 28 4" xfId="45147"/>
    <cellStyle name="Saída 2 5 29" xfId="45148"/>
    <cellStyle name="Saída 2 5 29 2" xfId="45149"/>
    <cellStyle name="Saída 2 5 29 2 2" xfId="45150"/>
    <cellStyle name="Saída 2 5 29 2 3" xfId="45151"/>
    <cellStyle name="Saída 2 5 29 3" xfId="45152"/>
    <cellStyle name="Saída 2 5 29 4" xfId="45153"/>
    <cellStyle name="Saída 2 5 3" xfId="45154"/>
    <cellStyle name="Saída 2 5 3 10" xfId="45155"/>
    <cellStyle name="Saída 2 5 3 10 2" xfId="45156"/>
    <cellStyle name="Saída 2 5 3 10 2 2" xfId="45157"/>
    <cellStyle name="Saída 2 5 3 10 2 3" xfId="45158"/>
    <cellStyle name="Saída 2 5 3 10 3" xfId="45159"/>
    <cellStyle name="Saída 2 5 3 10 4" xfId="45160"/>
    <cellStyle name="Saída 2 5 3 11" xfId="45161"/>
    <cellStyle name="Saída 2 5 3 11 2" xfId="45162"/>
    <cellStyle name="Saída 2 5 3 11 2 2" xfId="45163"/>
    <cellStyle name="Saída 2 5 3 11 2 3" xfId="45164"/>
    <cellStyle name="Saída 2 5 3 11 3" xfId="45165"/>
    <cellStyle name="Saída 2 5 3 11 4" xfId="45166"/>
    <cellStyle name="Saída 2 5 3 12" xfId="45167"/>
    <cellStyle name="Saída 2 5 3 12 2" xfId="45168"/>
    <cellStyle name="Saída 2 5 3 12 2 2" xfId="45169"/>
    <cellStyle name="Saída 2 5 3 12 2 3" xfId="45170"/>
    <cellStyle name="Saída 2 5 3 12 3" xfId="45171"/>
    <cellStyle name="Saída 2 5 3 12 4" xfId="45172"/>
    <cellStyle name="Saída 2 5 3 13" xfId="45173"/>
    <cellStyle name="Saída 2 5 3 13 2" xfId="45174"/>
    <cellStyle name="Saída 2 5 3 13 2 2" xfId="45175"/>
    <cellStyle name="Saída 2 5 3 13 2 3" xfId="45176"/>
    <cellStyle name="Saída 2 5 3 13 3" xfId="45177"/>
    <cellStyle name="Saída 2 5 3 13 4" xfId="45178"/>
    <cellStyle name="Saída 2 5 3 14" xfId="45179"/>
    <cellStyle name="Saída 2 5 3 14 2" xfId="45180"/>
    <cellStyle name="Saída 2 5 3 14 2 2" xfId="45181"/>
    <cellStyle name="Saída 2 5 3 14 2 3" xfId="45182"/>
    <cellStyle name="Saída 2 5 3 14 3" xfId="45183"/>
    <cellStyle name="Saída 2 5 3 14 4" xfId="45184"/>
    <cellStyle name="Saída 2 5 3 15" xfId="45185"/>
    <cellStyle name="Saída 2 5 3 15 2" xfId="45186"/>
    <cellStyle name="Saída 2 5 3 15 2 2" xfId="45187"/>
    <cellStyle name="Saída 2 5 3 15 2 3" xfId="45188"/>
    <cellStyle name="Saída 2 5 3 15 3" xfId="45189"/>
    <cellStyle name="Saída 2 5 3 15 4" xfId="45190"/>
    <cellStyle name="Saída 2 5 3 16" xfId="45191"/>
    <cellStyle name="Saída 2 5 3 16 2" xfId="45192"/>
    <cellStyle name="Saída 2 5 3 16 2 2" xfId="45193"/>
    <cellStyle name="Saída 2 5 3 16 2 3" xfId="45194"/>
    <cellStyle name="Saída 2 5 3 16 3" xfId="45195"/>
    <cellStyle name="Saída 2 5 3 16 4" xfId="45196"/>
    <cellStyle name="Saída 2 5 3 17" xfId="45197"/>
    <cellStyle name="Saída 2 5 3 17 2" xfId="45198"/>
    <cellStyle name="Saída 2 5 3 17 2 2" xfId="45199"/>
    <cellStyle name="Saída 2 5 3 17 2 3" xfId="45200"/>
    <cellStyle name="Saída 2 5 3 17 3" xfId="45201"/>
    <cellStyle name="Saída 2 5 3 17 4" xfId="45202"/>
    <cellStyle name="Saída 2 5 3 18" xfId="45203"/>
    <cellStyle name="Saída 2 5 3 18 2" xfId="45204"/>
    <cellStyle name="Saída 2 5 3 18 2 2" xfId="45205"/>
    <cellStyle name="Saída 2 5 3 18 2 3" xfId="45206"/>
    <cellStyle name="Saída 2 5 3 18 3" xfId="45207"/>
    <cellStyle name="Saída 2 5 3 18 4" xfId="45208"/>
    <cellStyle name="Saída 2 5 3 19" xfId="45209"/>
    <cellStyle name="Saída 2 5 3 19 2" xfId="45210"/>
    <cellStyle name="Saída 2 5 3 19 2 2" xfId="45211"/>
    <cellStyle name="Saída 2 5 3 19 2 3" xfId="45212"/>
    <cellStyle name="Saída 2 5 3 19 3" xfId="45213"/>
    <cellStyle name="Saída 2 5 3 19 4" xfId="45214"/>
    <cellStyle name="Saída 2 5 3 2" xfId="45215"/>
    <cellStyle name="Saída 2 5 3 2 2" xfId="45216"/>
    <cellStyle name="Saída 2 5 3 2 2 2" xfId="45217"/>
    <cellStyle name="Saída 2 5 3 2 2 3" xfId="45218"/>
    <cellStyle name="Saída 2 5 3 2 3" xfId="45219"/>
    <cellStyle name="Saída 2 5 3 2 4" xfId="45220"/>
    <cellStyle name="Saída 2 5 3 20" xfId="45221"/>
    <cellStyle name="Saída 2 5 3 20 2" xfId="45222"/>
    <cellStyle name="Saída 2 5 3 20 2 2" xfId="45223"/>
    <cellStyle name="Saída 2 5 3 20 2 3" xfId="45224"/>
    <cellStyle name="Saída 2 5 3 20 3" xfId="45225"/>
    <cellStyle name="Saída 2 5 3 20 4" xfId="45226"/>
    <cellStyle name="Saída 2 5 3 21" xfId="45227"/>
    <cellStyle name="Saída 2 5 3 21 2" xfId="45228"/>
    <cellStyle name="Saída 2 5 3 21 2 2" xfId="45229"/>
    <cellStyle name="Saída 2 5 3 21 2 3" xfId="45230"/>
    <cellStyle name="Saída 2 5 3 21 3" xfId="45231"/>
    <cellStyle name="Saída 2 5 3 21 4" xfId="45232"/>
    <cellStyle name="Saída 2 5 3 22" xfId="45233"/>
    <cellStyle name="Saída 2 5 3 22 2" xfId="45234"/>
    <cellStyle name="Saída 2 5 3 22 2 2" xfId="45235"/>
    <cellStyle name="Saída 2 5 3 22 2 3" xfId="45236"/>
    <cellStyle name="Saída 2 5 3 22 3" xfId="45237"/>
    <cellStyle name="Saída 2 5 3 22 4" xfId="45238"/>
    <cellStyle name="Saída 2 5 3 23" xfId="45239"/>
    <cellStyle name="Saída 2 5 3 23 2" xfId="45240"/>
    <cellStyle name="Saída 2 5 3 23 2 2" xfId="45241"/>
    <cellStyle name="Saída 2 5 3 23 2 3" xfId="45242"/>
    <cellStyle name="Saída 2 5 3 23 3" xfId="45243"/>
    <cellStyle name="Saída 2 5 3 23 4" xfId="45244"/>
    <cellStyle name="Saída 2 5 3 24" xfId="45245"/>
    <cellStyle name="Saída 2 5 3 24 2" xfId="45246"/>
    <cellStyle name="Saída 2 5 3 24 2 2" xfId="45247"/>
    <cellStyle name="Saída 2 5 3 24 2 3" xfId="45248"/>
    <cellStyle name="Saída 2 5 3 24 3" xfId="45249"/>
    <cellStyle name="Saída 2 5 3 24 4" xfId="45250"/>
    <cellStyle name="Saída 2 5 3 25" xfId="45251"/>
    <cellStyle name="Saída 2 5 3 25 2" xfId="45252"/>
    <cellStyle name="Saída 2 5 3 25 2 2" xfId="45253"/>
    <cellStyle name="Saída 2 5 3 25 2 3" xfId="45254"/>
    <cellStyle name="Saída 2 5 3 25 3" xfId="45255"/>
    <cellStyle name="Saída 2 5 3 25 4" xfId="45256"/>
    <cellStyle name="Saída 2 5 3 26" xfId="45257"/>
    <cellStyle name="Saída 2 5 3 26 2" xfId="45258"/>
    <cellStyle name="Saída 2 5 3 26 2 2" xfId="45259"/>
    <cellStyle name="Saída 2 5 3 26 2 3" xfId="45260"/>
    <cellStyle name="Saída 2 5 3 26 3" xfId="45261"/>
    <cellStyle name="Saída 2 5 3 26 4" xfId="45262"/>
    <cellStyle name="Saída 2 5 3 27" xfId="45263"/>
    <cellStyle name="Saída 2 5 3 27 2" xfId="45264"/>
    <cellStyle name="Saída 2 5 3 27 2 2" xfId="45265"/>
    <cellStyle name="Saída 2 5 3 27 2 3" xfId="45266"/>
    <cellStyle name="Saída 2 5 3 27 3" xfId="45267"/>
    <cellStyle name="Saída 2 5 3 27 4" xfId="45268"/>
    <cellStyle name="Saída 2 5 3 28" xfId="45269"/>
    <cellStyle name="Saída 2 5 3 28 2" xfId="45270"/>
    <cellStyle name="Saída 2 5 3 28 2 2" xfId="45271"/>
    <cellStyle name="Saída 2 5 3 28 2 3" xfId="45272"/>
    <cellStyle name="Saída 2 5 3 28 3" xfId="45273"/>
    <cellStyle name="Saída 2 5 3 28 4" xfId="45274"/>
    <cellStyle name="Saída 2 5 3 29" xfId="45275"/>
    <cellStyle name="Saída 2 5 3 29 2" xfId="45276"/>
    <cellStyle name="Saída 2 5 3 29 2 2" xfId="45277"/>
    <cellStyle name="Saída 2 5 3 29 2 3" xfId="45278"/>
    <cellStyle name="Saída 2 5 3 29 3" xfId="45279"/>
    <cellStyle name="Saída 2 5 3 29 4" xfId="45280"/>
    <cellStyle name="Saída 2 5 3 3" xfId="45281"/>
    <cellStyle name="Saída 2 5 3 3 2" xfId="45282"/>
    <cellStyle name="Saída 2 5 3 3 2 2" xfId="45283"/>
    <cellStyle name="Saída 2 5 3 3 2 3" xfId="45284"/>
    <cellStyle name="Saída 2 5 3 3 3" xfId="45285"/>
    <cellStyle name="Saída 2 5 3 3 4" xfId="45286"/>
    <cellStyle name="Saída 2 5 3 30" xfId="45287"/>
    <cellStyle name="Saída 2 5 3 30 2" xfId="45288"/>
    <cellStyle name="Saída 2 5 3 30 2 2" xfId="45289"/>
    <cellStyle name="Saída 2 5 3 30 2 3" xfId="45290"/>
    <cellStyle name="Saída 2 5 3 30 3" xfId="45291"/>
    <cellStyle name="Saída 2 5 3 30 4" xfId="45292"/>
    <cellStyle name="Saída 2 5 3 31" xfId="45293"/>
    <cellStyle name="Saída 2 5 3 31 2" xfId="45294"/>
    <cellStyle name="Saída 2 5 3 31 2 2" xfId="45295"/>
    <cellStyle name="Saída 2 5 3 31 2 3" xfId="45296"/>
    <cellStyle name="Saída 2 5 3 31 3" xfId="45297"/>
    <cellStyle name="Saída 2 5 3 31 4" xfId="45298"/>
    <cellStyle name="Saída 2 5 3 32" xfId="45299"/>
    <cellStyle name="Saída 2 5 3 32 2" xfId="45300"/>
    <cellStyle name="Saída 2 5 3 32 2 2" xfId="45301"/>
    <cellStyle name="Saída 2 5 3 32 2 3" xfId="45302"/>
    <cellStyle name="Saída 2 5 3 32 3" xfId="45303"/>
    <cellStyle name="Saída 2 5 3 32 4" xfId="45304"/>
    <cellStyle name="Saída 2 5 3 33" xfId="45305"/>
    <cellStyle name="Saída 2 5 3 33 2" xfId="45306"/>
    <cellStyle name="Saída 2 5 3 33 2 2" xfId="45307"/>
    <cellStyle name="Saída 2 5 3 33 2 3" xfId="45308"/>
    <cellStyle name="Saída 2 5 3 33 3" xfId="45309"/>
    <cellStyle name="Saída 2 5 3 33 4" xfId="45310"/>
    <cellStyle name="Saída 2 5 3 34" xfId="45311"/>
    <cellStyle name="Saída 2 5 3 34 2" xfId="45312"/>
    <cellStyle name="Saída 2 5 3 34 2 2" xfId="45313"/>
    <cellStyle name="Saída 2 5 3 34 2 3" xfId="45314"/>
    <cellStyle name="Saída 2 5 3 34 3" xfId="45315"/>
    <cellStyle name="Saída 2 5 3 34 4" xfId="45316"/>
    <cellStyle name="Saída 2 5 3 35" xfId="45317"/>
    <cellStyle name="Saída 2 5 3 35 2" xfId="45318"/>
    <cellStyle name="Saída 2 5 3 35 2 2" xfId="45319"/>
    <cellStyle name="Saída 2 5 3 35 2 3" xfId="45320"/>
    <cellStyle name="Saída 2 5 3 35 3" xfId="45321"/>
    <cellStyle name="Saída 2 5 3 35 4" xfId="45322"/>
    <cellStyle name="Saída 2 5 3 36" xfId="45323"/>
    <cellStyle name="Saída 2 5 3 36 2" xfId="45324"/>
    <cellStyle name="Saída 2 5 3 36 2 2" xfId="45325"/>
    <cellStyle name="Saída 2 5 3 36 2 3" xfId="45326"/>
    <cellStyle name="Saída 2 5 3 36 3" xfId="45327"/>
    <cellStyle name="Saída 2 5 3 36 4" xfId="45328"/>
    <cellStyle name="Saída 2 5 3 37" xfId="45329"/>
    <cellStyle name="Saída 2 5 3 37 2" xfId="45330"/>
    <cellStyle name="Saída 2 5 3 37 2 2" xfId="45331"/>
    <cellStyle name="Saída 2 5 3 37 2 3" xfId="45332"/>
    <cellStyle name="Saída 2 5 3 37 3" xfId="45333"/>
    <cellStyle name="Saída 2 5 3 37 4" xfId="45334"/>
    <cellStyle name="Saída 2 5 3 38" xfId="45335"/>
    <cellStyle name="Saída 2 5 3 38 2" xfId="45336"/>
    <cellStyle name="Saída 2 5 3 38 3" xfId="45337"/>
    <cellStyle name="Saída 2 5 3 39" xfId="45338"/>
    <cellStyle name="Saída 2 5 3 39 2" xfId="45339"/>
    <cellStyle name="Saída 2 5 3 39 3" xfId="45340"/>
    <cellStyle name="Saída 2 5 3 4" xfId="45341"/>
    <cellStyle name="Saída 2 5 3 4 2" xfId="45342"/>
    <cellStyle name="Saída 2 5 3 4 2 2" xfId="45343"/>
    <cellStyle name="Saída 2 5 3 4 2 3" xfId="45344"/>
    <cellStyle name="Saída 2 5 3 4 3" xfId="45345"/>
    <cellStyle name="Saída 2 5 3 4 4" xfId="45346"/>
    <cellStyle name="Saída 2 5 3 40" xfId="45347"/>
    <cellStyle name="Saída 2 5 3 40 2" xfId="45348"/>
    <cellStyle name="Saída 2 5 3 40 3" xfId="45349"/>
    <cellStyle name="Saída 2 5 3 41" xfId="45350"/>
    <cellStyle name="Saída 2 5 3 41 2" xfId="45351"/>
    <cellStyle name="Saída 2 5 3 41 3" xfId="45352"/>
    <cellStyle name="Saída 2 5 3 42" xfId="45353"/>
    <cellStyle name="Saída 2 5 3 43" xfId="45354"/>
    <cellStyle name="Saída 2 5 3 5" xfId="45355"/>
    <cellStyle name="Saída 2 5 3 5 2" xfId="45356"/>
    <cellStyle name="Saída 2 5 3 5 2 2" xfId="45357"/>
    <cellStyle name="Saída 2 5 3 5 2 3" xfId="45358"/>
    <cellStyle name="Saída 2 5 3 5 3" xfId="45359"/>
    <cellStyle name="Saída 2 5 3 5 4" xfId="45360"/>
    <cellStyle name="Saída 2 5 3 6" xfId="45361"/>
    <cellStyle name="Saída 2 5 3 6 2" xfId="45362"/>
    <cellStyle name="Saída 2 5 3 6 2 2" xfId="45363"/>
    <cellStyle name="Saída 2 5 3 6 2 3" xfId="45364"/>
    <cellStyle name="Saída 2 5 3 6 3" xfId="45365"/>
    <cellStyle name="Saída 2 5 3 6 4" xfId="45366"/>
    <cellStyle name="Saída 2 5 3 7" xfId="45367"/>
    <cellStyle name="Saída 2 5 3 7 2" xfId="45368"/>
    <cellStyle name="Saída 2 5 3 7 2 2" xfId="45369"/>
    <cellStyle name="Saída 2 5 3 7 2 3" xfId="45370"/>
    <cellStyle name="Saída 2 5 3 7 3" xfId="45371"/>
    <cellStyle name="Saída 2 5 3 7 4" xfId="45372"/>
    <cellStyle name="Saída 2 5 3 8" xfId="45373"/>
    <cellStyle name="Saída 2 5 3 8 2" xfId="45374"/>
    <cellStyle name="Saída 2 5 3 8 2 2" xfId="45375"/>
    <cellStyle name="Saída 2 5 3 8 2 3" xfId="45376"/>
    <cellStyle name="Saída 2 5 3 8 3" xfId="45377"/>
    <cellStyle name="Saída 2 5 3 8 4" xfId="45378"/>
    <cellStyle name="Saída 2 5 3 9" xfId="45379"/>
    <cellStyle name="Saída 2 5 3 9 2" xfId="45380"/>
    <cellStyle name="Saída 2 5 3 9 2 2" xfId="45381"/>
    <cellStyle name="Saída 2 5 3 9 2 3" xfId="45382"/>
    <cellStyle name="Saída 2 5 3 9 3" xfId="45383"/>
    <cellStyle name="Saída 2 5 3 9 4" xfId="45384"/>
    <cellStyle name="Saída 2 5 30" xfId="45385"/>
    <cellStyle name="Saída 2 5 30 2" xfId="45386"/>
    <cellStyle name="Saída 2 5 30 2 2" xfId="45387"/>
    <cellStyle name="Saída 2 5 30 2 3" xfId="45388"/>
    <cellStyle name="Saída 2 5 30 3" xfId="45389"/>
    <cellStyle name="Saída 2 5 30 4" xfId="45390"/>
    <cellStyle name="Saída 2 5 31" xfId="45391"/>
    <cellStyle name="Saída 2 5 31 2" xfId="45392"/>
    <cellStyle name="Saída 2 5 31 2 2" xfId="45393"/>
    <cellStyle name="Saída 2 5 31 2 3" xfId="45394"/>
    <cellStyle name="Saída 2 5 31 3" xfId="45395"/>
    <cellStyle name="Saída 2 5 31 4" xfId="45396"/>
    <cellStyle name="Saída 2 5 32" xfId="45397"/>
    <cellStyle name="Saída 2 5 32 2" xfId="45398"/>
    <cellStyle name="Saída 2 5 32 2 2" xfId="45399"/>
    <cellStyle name="Saída 2 5 32 2 3" xfId="45400"/>
    <cellStyle name="Saída 2 5 32 3" xfId="45401"/>
    <cellStyle name="Saída 2 5 32 4" xfId="45402"/>
    <cellStyle name="Saída 2 5 33" xfId="45403"/>
    <cellStyle name="Saída 2 5 33 2" xfId="45404"/>
    <cellStyle name="Saída 2 5 33 2 2" xfId="45405"/>
    <cellStyle name="Saída 2 5 33 2 3" xfId="45406"/>
    <cellStyle name="Saída 2 5 33 3" xfId="45407"/>
    <cellStyle name="Saída 2 5 33 4" xfId="45408"/>
    <cellStyle name="Saída 2 5 34" xfId="45409"/>
    <cellStyle name="Saída 2 5 34 2" xfId="45410"/>
    <cellStyle name="Saída 2 5 34 2 2" xfId="45411"/>
    <cellStyle name="Saída 2 5 34 2 3" xfId="45412"/>
    <cellStyle name="Saída 2 5 34 3" xfId="45413"/>
    <cellStyle name="Saída 2 5 34 4" xfId="45414"/>
    <cellStyle name="Saída 2 5 35" xfId="45415"/>
    <cellStyle name="Saída 2 5 35 2" xfId="45416"/>
    <cellStyle name="Saída 2 5 35 2 2" xfId="45417"/>
    <cellStyle name="Saída 2 5 35 2 3" xfId="45418"/>
    <cellStyle name="Saída 2 5 35 3" xfId="45419"/>
    <cellStyle name="Saída 2 5 35 4" xfId="45420"/>
    <cellStyle name="Saída 2 5 36" xfId="45421"/>
    <cellStyle name="Saída 2 5 36 2" xfId="45422"/>
    <cellStyle name="Saída 2 5 36 2 2" xfId="45423"/>
    <cellStyle name="Saída 2 5 36 2 3" xfId="45424"/>
    <cellStyle name="Saída 2 5 36 3" xfId="45425"/>
    <cellStyle name="Saída 2 5 36 4" xfId="45426"/>
    <cellStyle name="Saída 2 5 37" xfId="45427"/>
    <cellStyle name="Saída 2 5 37 2" xfId="45428"/>
    <cellStyle name="Saída 2 5 37 3" xfId="45429"/>
    <cellStyle name="Saída 2 5 38" xfId="45430"/>
    <cellStyle name="Saída 2 5 38 2" xfId="45431"/>
    <cellStyle name="Saída 2 5 38 3" xfId="45432"/>
    <cellStyle name="Saída 2 5 39" xfId="45433"/>
    <cellStyle name="Saída 2 5 39 2" xfId="45434"/>
    <cellStyle name="Saída 2 5 39 3" xfId="45435"/>
    <cellStyle name="Saída 2 5 4" xfId="45436"/>
    <cellStyle name="Saída 2 5 4 10" xfId="45437"/>
    <cellStyle name="Saída 2 5 4 10 2" xfId="45438"/>
    <cellStyle name="Saída 2 5 4 10 2 2" xfId="45439"/>
    <cellStyle name="Saída 2 5 4 10 2 3" xfId="45440"/>
    <cellStyle name="Saída 2 5 4 10 3" xfId="45441"/>
    <cellStyle name="Saída 2 5 4 10 4" xfId="45442"/>
    <cellStyle name="Saída 2 5 4 11" xfId="45443"/>
    <cellStyle name="Saída 2 5 4 11 2" xfId="45444"/>
    <cellStyle name="Saída 2 5 4 11 2 2" xfId="45445"/>
    <cellStyle name="Saída 2 5 4 11 2 3" xfId="45446"/>
    <cellStyle name="Saída 2 5 4 11 3" xfId="45447"/>
    <cellStyle name="Saída 2 5 4 11 4" xfId="45448"/>
    <cellStyle name="Saída 2 5 4 12" xfId="45449"/>
    <cellStyle name="Saída 2 5 4 12 2" xfId="45450"/>
    <cellStyle name="Saída 2 5 4 12 2 2" xfId="45451"/>
    <cellStyle name="Saída 2 5 4 12 2 3" xfId="45452"/>
    <cellStyle name="Saída 2 5 4 12 3" xfId="45453"/>
    <cellStyle name="Saída 2 5 4 12 4" xfId="45454"/>
    <cellStyle name="Saída 2 5 4 13" xfId="45455"/>
    <cellStyle name="Saída 2 5 4 13 2" xfId="45456"/>
    <cellStyle name="Saída 2 5 4 13 2 2" xfId="45457"/>
    <cellStyle name="Saída 2 5 4 13 2 3" xfId="45458"/>
    <cellStyle name="Saída 2 5 4 13 3" xfId="45459"/>
    <cellStyle name="Saída 2 5 4 13 4" xfId="45460"/>
    <cellStyle name="Saída 2 5 4 14" xfId="45461"/>
    <cellStyle name="Saída 2 5 4 14 2" xfId="45462"/>
    <cellStyle name="Saída 2 5 4 14 2 2" xfId="45463"/>
    <cellStyle name="Saída 2 5 4 14 2 3" xfId="45464"/>
    <cellStyle name="Saída 2 5 4 14 3" xfId="45465"/>
    <cellStyle name="Saída 2 5 4 14 4" xfId="45466"/>
    <cellStyle name="Saída 2 5 4 15" xfId="45467"/>
    <cellStyle name="Saída 2 5 4 15 2" xfId="45468"/>
    <cellStyle name="Saída 2 5 4 15 2 2" xfId="45469"/>
    <cellStyle name="Saída 2 5 4 15 2 3" xfId="45470"/>
    <cellStyle name="Saída 2 5 4 15 3" xfId="45471"/>
    <cellStyle name="Saída 2 5 4 15 4" xfId="45472"/>
    <cellStyle name="Saída 2 5 4 16" xfId="45473"/>
    <cellStyle name="Saída 2 5 4 16 2" xfId="45474"/>
    <cellStyle name="Saída 2 5 4 16 2 2" xfId="45475"/>
    <cellStyle name="Saída 2 5 4 16 2 3" xfId="45476"/>
    <cellStyle name="Saída 2 5 4 16 3" xfId="45477"/>
    <cellStyle name="Saída 2 5 4 16 4" xfId="45478"/>
    <cellStyle name="Saída 2 5 4 17" xfId="45479"/>
    <cellStyle name="Saída 2 5 4 17 2" xfId="45480"/>
    <cellStyle name="Saída 2 5 4 17 2 2" xfId="45481"/>
    <cellStyle name="Saída 2 5 4 17 2 3" xfId="45482"/>
    <cellStyle name="Saída 2 5 4 17 3" xfId="45483"/>
    <cellStyle name="Saída 2 5 4 17 4" xfId="45484"/>
    <cellStyle name="Saída 2 5 4 18" xfId="45485"/>
    <cellStyle name="Saída 2 5 4 18 2" xfId="45486"/>
    <cellStyle name="Saída 2 5 4 18 2 2" xfId="45487"/>
    <cellStyle name="Saída 2 5 4 18 2 3" xfId="45488"/>
    <cellStyle name="Saída 2 5 4 18 3" xfId="45489"/>
    <cellStyle name="Saída 2 5 4 18 4" xfId="45490"/>
    <cellStyle name="Saída 2 5 4 19" xfId="45491"/>
    <cellStyle name="Saída 2 5 4 19 2" xfId="45492"/>
    <cellStyle name="Saída 2 5 4 19 2 2" xfId="45493"/>
    <cellStyle name="Saída 2 5 4 19 2 3" xfId="45494"/>
    <cellStyle name="Saída 2 5 4 19 3" xfId="45495"/>
    <cellStyle name="Saída 2 5 4 19 4" xfId="45496"/>
    <cellStyle name="Saída 2 5 4 2" xfId="45497"/>
    <cellStyle name="Saída 2 5 4 2 2" xfId="45498"/>
    <cellStyle name="Saída 2 5 4 2 2 2" xfId="45499"/>
    <cellStyle name="Saída 2 5 4 2 2 3" xfId="45500"/>
    <cellStyle name="Saída 2 5 4 2 3" xfId="45501"/>
    <cellStyle name="Saída 2 5 4 2 4" xfId="45502"/>
    <cellStyle name="Saída 2 5 4 20" xfId="45503"/>
    <cellStyle name="Saída 2 5 4 20 2" xfId="45504"/>
    <cellStyle name="Saída 2 5 4 20 2 2" xfId="45505"/>
    <cellStyle name="Saída 2 5 4 20 2 3" xfId="45506"/>
    <cellStyle name="Saída 2 5 4 20 3" xfId="45507"/>
    <cellStyle name="Saída 2 5 4 20 4" xfId="45508"/>
    <cellStyle name="Saída 2 5 4 21" xfId="45509"/>
    <cellStyle name="Saída 2 5 4 21 2" xfId="45510"/>
    <cellStyle name="Saída 2 5 4 21 2 2" xfId="45511"/>
    <cellStyle name="Saída 2 5 4 21 2 3" xfId="45512"/>
    <cellStyle name="Saída 2 5 4 21 3" xfId="45513"/>
    <cellStyle name="Saída 2 5 4 21 4" xfId="45514"/>
    <cellStyle name="Saída 2 5 4 22" xfId="45515"/>
    <cellStyle name="Saída 2 5 4 22 2" xfId="45516"/>
    <cellStyle name="Saída 2 5 4 22 2 2" xfId="45517"/>
    <cellStyle name="Saída 2 5 4 22 2 3" xfId="45518"/>
    <cellStyle name="Saída 2 5 4 22 3" xfId="45519"/>
    <cellStyle name="Saída 2 5 4 22 4" xfId="45520"/>
    <cellStyle name="Saída 2 5 4 23" xfId="45521"/>
    <cellStyle name="Saída 2 5 4 23 2" xfId="45522"/>
    <cellStyle name="Saída 2 5 4 23 2 2" xfId="45523"/>
    <cellStyle name="Saída 2 5 4 23 2 3" xfId="45524"/>
    <cellStyle name="Saída 2 5 4 23 3" xfId="45525"/>
    <cellStyle name="Saída 2 5 4 23 4" xfId="45526"/>
    <cellStyle name="Saída 2 5 4 24" xfId="45527"/>
    <cellStyle name="Saída 2 5 4 24 2" xfId="45528"/>
    <cellStyle name="Saída 2 5 4 24 2 2" xfId="45529"/>
    <cellStyle name="Saída 2 5 4 24 2 3" xfId="45530"/>
    <cellStyle name="Saída 2 5 4 24 3" xfId="45531"/>
    <cellStyle name="Saída 2 5 4 24 4" xfId="45532"/>
    <cellStyle name="Saída 2 5 4 25" xfId="45533"/>
    <cellStyle name="Saída 2 5 4 25 2" xfId="45534"/>
    <cellStyle name="Saída 2 5 4 25 2 2" xfId="45535"/>
    <cellStyle name="Saída 2 5 4 25 2 3" xfId="45536"/>
    <cellStyle name="Saída 2 5 4 25 3" xfId="45537"/>
    <cellStyle name="Saída 2 5 4 25 4" xfId="45538"/>
    <cellStyle name="Saída 2 5 4 26" xfId="45539"/>
    <cellStyle name="Saída 2 5 4 26 2" xfId="45540"/>
    <cellStyle name="Saída 2 5 4 26 2 2" xfId="45541"/>
    <cellStyle name="Saída 2 5 4 26 2 3" xfId="45542"/>
    <cellStyle name="Saída 2 5 4 26 3" xfId="45543"/>
    <cellStyle name="Saída 2 5 4 26 4" xfId="45544"/>
    <cellStyle name="Saída 2 5 4 27" xfId="45545"/>
    <cellStyle name="Saída 2 5 4 27 2" xfId="45546"/>
    <cellStyle name="Saída 2 5 4 27 2 2" xfId="45547"/>
    <cellStyle name="Saída 2 5 4 27 2 3" xfId="45548"/>
    <cellStyle name="Saída 2 5 4 27 3" xfId="45549"/>
    <cellStyle name="Saída 2 5 4 27 4" xfId="45550"/>
    <cellStyle name="Saída 2 5 4 28" xfId="45551"/>
    <cellStyle name="Saída 2 5 4 28 2" xfId="45552"/>
    <cellStyle name="Saída 2 5 4 28 2 2" xfId="45553"/>
    <cellStyle name="Saída 2 5 4 28 2 3" xfId="45554"/>
    <cellStyle name="Saída 2 5 4 28 3" xfId="45555"/>
    <cellStyle name="Saída 2 5 4 28 4" xfId="45556"/>
    <cellStyle name="Saída 2 5 4 29" xfId="45557"/>
    <cellStyle name="Saída 2 5 4 29 2" xfId="45558"/>
    <cellStyle name="Saída 2 5 4 29 2 2" xfId="45559"/>
    <cellStyle name="Saída 2 5 4 29 2 3" xfId="45560"/>
    <cellStyle name="Saída 2 5 4 29 3" xfId="45561"/>
    <cellStyle name="Saída 2 5 4 29 4" xfId="45562"/>
    <cellStyle name="Saída 2 5 4 3" xfId="45563"/>
    <cellStyle name="Saída 2 5 4 3 2" xfId="45564"/>
    <cellStyle name="Saída 2 5 4 3 2 2" xfId="45565"/>
    <cellStyle name="Saída 2 5 4 3 2 3" xfId="45566"/>
    <cellStyle name="Saída 2 5 4 3 3" xfId="45567"/>
    <cellStyle name="Saída 2 5 4 3 4" xfId="45568"/>
    <cellStyle name="Saída 2 5 4 30" xfId="45569"/>
    <cellStyle name="Saída 2 5 4 30 2" xfId="45570"/>
    <cellStyle name="Saída 2 5 4 30 2 2" xfId="45571"/>
    <cellStyle name="Saída 2 5 4 30 2 3" xfId="45572"/>
    <cellStyle name="Saída 2 5 4 30 3" xfId="45573"/>
    <cellStyle name="Saída 2 5 4 30 4" xfId="45574"/>
    <cellStyle name="Saída 2 5 4 31" xfId="45575"/>
    <cellStyle name="Saída 2 5 4 31 2" xfId="45576"/>
    <cellStyle name="Saída 2 5 4 31 2 2" xfId="45577"/>
    <cellStyle name="Saída 2 5 4 31 2 3" xfId="45578"/>
    <cellStyle name="Saída 2 5 4 31 3" xfId="45579"/>
    <cellStyle name="Saída 2 5 4 31 4" xfId="45580"/>
    <cellStyle name="Saída 2 5 4 32" xfId="45581"/>
    <cellStyle name="Saída 2 5 4 32 2" xfId="45582"/>
    <cellStyle name="Saída 2 5 4 32 2 2" xfId="45583"/>
    <cellStyle name="Saída 2 5 4 32 2 3" xfId="45584"/>
    <cellStyle name="Saída 2 5 4 32 3" xfId="45585"/>
    <cellStyle name="Saída 2 5 4 32 4" xfId="45586"/>
    <cellStyle name="Saída 2 5 4 33" xfId="45587"/>
    <cellStyle name="Saída 2 5 4 33 2" xfId="45588"/>
    <cellStyle name="Saída 2 5 4 33 2 2" xfId="45589"/>
    <cellStyle name="Saída 2 5 4 33 2 3" xfId="45590"/>
    <cellStyle name="Saída 2 5 4 33 3" xfId="45591"/>
    <cellStyle name="Saída 2 5 4 33 4" xfId="45592"/>
    <cellStyle name="Saída 2 5 4 34" xfId="45593"/>
    <cellStyle name="Saída 2 5 4 34 2" xfId="45594"/>
    <cellStyle name="Saída 2 5 4 34 2 2" xfId="45595"/>
    <cellStyle name="Saída 2 5 4 34 2 3" xfId="45596"/>
    <cellStyle name="Saída 2 5 4 34 3" xfId="45597"/>
    <cellStyle name="Saída 2 5 4 34 4" xfId="45598"/>
    <cellStyle name="Saída 2 5 4 35" xfId="45599"/>
    <cellStyle name="Saída 2 5 4 35 2" xfId="45600"/>
    <cellStyle name="Saída 2 5 4 35 2 2" xfId="45601"/>
    <cellStyle name="Saída 2 5 4 35 2 3" xfId="45602"/>
    <cellStyle name="Saída 2 5 4 35 3" xfId="45603"/>
    <cellStyle name="Saída 2 5 4 35 4" xfId="45604"/>
    <cellStyle name="Saída 2 5 4 36" xfId="45605"/>
    <cellStyle name="Saída 2 5 4 36 2" xfId="45606"/>
    <cellStyle name="Saída 2 5 4 36 2 2" xfId="45607"/>
    <cellStyle name="Saída 2 5 4 36 2 3" xfId="45608"/>
    <cellStyle name="Saída 2 5 4 36 3" xfId="45609"/>
    <cellStyle name="Saída 2 5 4 36 4" xfId="45610"/>
    <cellStyle name="Saída 2 5 4 37" xfId="45611"/>
    <cellStyle name="Saída 2 5 4 37 2" xfId="45612"/>
    <cellStyle name="Saída 2 5 4 37 2 2" xfId="45613"/>
    <cellStyle name="Saída 2 5 4 37 2 3" xfId="45614"/>
    <cellStyle name="Saída 2 5 4 37 3" xfId="45615"/>
    <cellStyle name="Saída 2 5 4 37 4" xfId="45616"/>
    <cellStyle name="Saída 2 5 4 38" xfId="45617"/>
    <cellStyle name="Saída 2 5 4 38 2" xfId="45618"/>
    <cellStyle name="Saída 2 5 4 38 3" xfId="45619"/>
    <cellStyle name="Saída 2 5 4 39" xfId="45620"/>
    <cellStyle name="Saída 2 5 4 39 2" xfId="45621"/>
    <cellStyle name="Saída 2 5 4 39 3" xfId="45622"/>
    <cellStyle name="Saída 2 5 4 4" xfId="45623"/>
    <cellStyle name="Saída 2 5 4 4 2" xfId="45624"/>
    <cellStyle name="Saída 2 5 4 4 2 2" xfId="45625"/>
    <cellStyle name="Saída 2 5 4 4 2 3" xfId="45626"/>
    <cellStyle name="Saída 2 5 4 4 3" xfId="45627"/>
    <cellStyle name="Saída 2 5 4 4 4" xfId="45628"/>
    <cellStyle name="Saída 2 5 4 40" xfId="45629"/>
    <cellStyle name="Saída 2 5 4 40 2" xfId="45630"/>
    <cellStyle name="Saída 2 5 4 40 3" xfId="45631"/>
    <cellStyle name="Saída 2 5 4 41" xfId="45632"/>
    <cellStyle name="Saída 2 5 4 42" xfId="45633"/>
    <cellStyle name="Saída 2 5 4 5" xfId="45634"/>
    <cellStyle name="Saída 2 5 4 5 2" xfId="45635"/>
    <cellStyle name="Saída 2 5 4 5 2 2" xfId="45636"/>
    <cellStyle name="Saída 2 5 4 5 2 3" xfId="45637"/>
    <cellStyle name="Saída 2 5 4 5 3" xfId="45638"/>
    <cellStyle name="Saída 2 5 4 5 4" xfId="45639"/>
    <cellStyle name="Saída 2 5 4 6" xfId="45640"/>
    <cellStyle name="Saída 2 5 4 6 2" xfId="45641"/>
    <cellStyle name="Saída 2 5 4 6 2 2" xfId="45642"/>
    <cellStyle name="Saída 2 5 4 6 2 3" xfId="45643"/>
    <cellStyle name="Saída 2 5 4 6 3" xfId="45644"/>
    <cellStyle name="Saída 2 5 4 6 4" xfId="45645"/>
    <cellStyle name="Saída 2 5 4 7" xfId="45646"/>
    <cellStyle name="Saída 2 5 4 7 2" xfId="45647"/>
    <cellStyle name="Saída 2 5 4 7 2 2" xfId="45648"/>
    <cellStyle name="Saída 2 5 4 7 2 3" xfId="45649"/>
    <cellStyle name="Saída 2 5 4 7 3" xfId="45650"/>
    <cellStyle name="Saída 2 5 4 7 4" xfId="45651"/>
    <cellStyle name="Saída 2 5 4 8" xfId="45652"/>
    <cellStyle name="Saída 2 5 4 8 2" xfId="45653"/>
    <cellStyle name="Saída 2 5 4 8 2 2" xfId="45654"/>
    <cellStyle name="Saída 2 5 4 8 2 3" xfId="45655"/>
    <cellStyle name="Saída 2 5 4 8 3" xfId="45656"/>
    <cellStyle name="Saída 2 5 4 8 4" xfId="45657"/>
    <cellStyle name="Saída 2 5 4 9" xfId="45658"/>
    <cellStyle name="Saída 2 5 4 9 2" xfId="45659"/>
    <cellStyle name="Saída 2 5 4 9 2 2" xfId="45660"/>
    <cellStyle name="Saída 2 5 4 9 2 3" xfId="45661"/>
    <cellStyle name="Saída 2 5 4 9 3" xfId="45662"/>
    <cellStyle name="Saída 2 5 4 9 4" xfId="45663"/>
    <cellStyle name="Saída 2 5 40" xfId="45664"/>
    <cellStyle name="Saída 2 5 40 2" xfId="45665"/>
    <cellStyle name="Saída 2 5 40 3" xfId="45666"/>
    <cellStyle name="Saída 2 5 41" xfId="45667"/>
    <cellStyle name="Saída 2 5 41 2" xfId="45668"/>
    <cellStyle name="Saída 2 5 41 3" xfId="45669"/>
    <cellStyle name="Saída 2 5 42" xfId="45670"/>
    <cellStyle name="Saída 2 5 43" xfId="45671"/>
    <cellStyle name="Saída 2 5 5" xfId="45672"/>
    <cellStyle name="Saída 2 5 5 10" xfId="45673"/>
    <cellStyle name="Saída 2 5 5 10 2" xfId="45674"/>
    <cellStyle name="Saída 2 5 5 10 2 2" xfId="45675"/>
    <cellStyle name="Saída 2 5 5 10 2 3" xfId="45676"/>
    <cellStyle name="Saída 2 5 5 10 3" xfId="45677"/>
    <cellStyle name="Saída 2 5 5 10 4" xfId="45678"/>
    <cellStyle name="Saída 2 5 5 11" xfId="45679"/>
    <cellStyle name="Saída 2 5 5 11 2" xfId="45680"/>
    <cellStyle name="Saída 2 5 5 11 2 2" xfId="45681"/>
    <cellStyle name="Saída 2 5 5 11 2 3" xfId="45682"/>
    <cellStyle name="Saída 2 5 5 11 3" xfId="45683"/>
    <cellStyle name="Saída 2 5 5 11 4" xfId="45684"/>
    <cellStyle name="Saída 2 5 5 12" xfId="45685"/>
    <cellStyle name="Saída 2 5 5 12 2" xfId="45686"/>
    <cellStyle name="Saída 2 5 5 12 2 2" xfId="45687"/>
    <cellStyle name="Saída 2 5 5 12 2 3" xfId="45688"/>
    <cellStyle name="Saída 2 5 5 12 3" xfId="45689"/>
    <cellStyle name="Saída 2 5 5 12 4" xfId="45690"/>
    <cellStyle name="Saída 2 5 5 13" xfId="45691"/>
    <cellStyle name="Saída 2 5 5 13 2" xfId="45692"/>
    <cellStyle name="Saída 2 5 5 13 2 2" xfId="45693"/>
    <cellStyle name="Saída 2 5 5 13 2 3" xfId="45694"/>
    <cellStyle name="Saída 2 5 5 13 3" xfId="45695"/>
    <cellStyle name="Saída 2 5 5 13 4" xfId="45696"/>
    <cellStyle name="Saída 2 5 5 14" xfId="45697"/>
    <cellStyle name="Saída 2 5 5 14 2" xfId="45698"/>
    <cellStyle name="Saída 2 5 5 14 2 2" xfId="45699"/>
    <cellStyle name="Saída 2 5 5 14 2 3" xfId="45700"/>
    <cellStyle name="Saída 2 5 5 14 3" xfId="45701"/>
    <cellStyle name="Saída 2 5 5 14 4" xfId="45702"/>
    <cellStyle name="Saída 2 5 5 15" xfId="45703"/>
    <cellStyle name="Saída 2 5 5 15 2" xfId="45704"/>
    <cellStyle name="Saída 2 5 5 15 2 2" xfId="45705"/>
    <cellStyle name="Saída 2 5 5 15 2 3" xfId="45706"/>
    <cellStyle name="Saída 2 5 5 15 3" xfId="45707"/>
    <cellStyle name="Saída 2 5 5 15 4" xfId="45708"/>
    <cellStyle name="Saída 2 5 5 16" xfId="45709"/>
    <cellStyle name="Saída 2 5 5 16 2" xfId="45710"/>
    <cellStyle name="Saída 2 5 5 16 2 2" xfId="45711"/>
    <cellStyle name="Saída 2 5 5 16 2 3" xfId="45712"/>
    <cellStyle name="Saída 2 5 5 16 3" xfId="45713"/>
    <cellStyle name="Saída 2 5 5 16 4" xfId="45714"/>
    <cellStyle name="Saída 2 5 5 17" xfId="45715"/>
    <cellStyle name="Saída 2 5 5 17 2" xfId="45716"/>
    <cellStyle name="Saída 2 5 5 17 2 2" xfId="45717"/>
    <cellStyle name="Saída 2 5 5 17 2 3" xfId="45718"/>
    <cellStyle name="Saída 2 5 5 17 3" xfId="45719"/>
    <cellStyle name="Saída 2 5 5 17 4" xfId="45720"/>
    <cellStyle name="Saída 2 5 5 18" xfId="45721"/>
    <cellStyle name="Saída 2 5 5 18 2" xfId="45722"/>
    <cellStyle name="Saída 2 5 5 18 2 2" xfId="45723"/>
    <cellStyle name="Saída 2 5 5 18 2 3" xfId="45724"/>
    <cellStyle name="Saída 2 5 5 18 3" xfId="45725"/>
    <cellStyle name="Saída 2 5 5 18 4" xfId="45726"/>
    <cellStyle name="Saída 2 5 5 19" xfId="45727"/>
    <cellStyle name="Saída 2 5 5 19 2" xfId="45728"/>
    <cellStyle name="Saída 2 5 5 19 2 2" xfId="45729"/>
    <cellStyle name="Saída 2 5 5 19 2 3" xfId="45730"/>
    <cellStyle name="Saída 2 5 5 19 3" xfId="45731"/>
    <cellStyle name="Saída 2 5 5 19 4" xfId="45732"/>
    <cellStyle name="Saída 2 5 5 2" xfId="45733"/>
    <cellStyle name="Saída 2 5 5 2 2" xfId="45734"/>
    <cellStyle name="Saída 2 5 5 2 2 2" xfId="45735"/>
    <cellStyle name="Saída 2 5 5 2 2 3" xfId="45736"/>
    <cellStyle name="Saída 2 5 5 2 3" xfId="45737"/>
    <cellStyle name="Saída 2 5 5 2 4" xfId="45738"/>
    <cellStyle name="Saída 2 5 5 20" xfId="45739"/>
    <cellStyle name="Saída 2 5 5 20 2" xfId="45740"/>
    <cellStyle name="Saída 2 5 5 20 2 2" xfId="45741"/>
    <cellStyle name="Saída 2 5 5 20 2 3" xfId="45742"/>
    <cellStyle name="Saída 2 5 5 20 3" xfId="45743"/>
    <cellStyle name="Saída 2 5 5 20 4" xfId="45744"/>
    <cellStyle name="Saída 2 5 5 21" xfId="45745"/>
    <cellStyle name="Saída 2 5 5 21 2" xfId="45746"/>
    <cellStyle name="Saída 2 5 5 21 2 2" xfId="45747"/>
    <cellStyle name="Saída 2 5 5 21 2 3" xfId="45748"/>
    <cellStyle name="Saída 2 5 5 21 3" xfId="45749"/>
    <cellStyle name="Saída 2 5 5 21 4" xfId="45750"/>
    <cellStyle name="Saída 2 5 5 22" xfId="45751"/>
    <cellStyle name="Saída 2 5 5 22 2" xfId="45752"/>
    <cellStyle name="Saída 2 5 5 22 2 2" xfId="45753"/>
    <cellStyle name="Saída 2 5 5 22 2 3" xfId="45754"/>
    <cellStyle name="Saída 2 5 5 22 3" xfId="45755"/>
    <cellStyle name="Saída 2 5 5 22 4" xfId="45756"/>
    <cellStyle name="Saída 2 5 5 23" xfId="45757"/>
    <cellStyle name="Saída 2 5 5 23 2" xfId="45758"/>
    <cellStyle name="Saída 2 5 5 23 2 2" xfId="45759"/>
    <cellStyle name="Saída 2 5 5 23 2 3" xfId="45760"/>
    <cellStyle name="Saída 2 5 5 23 3" xfId="45761"/>
    <cellStyle name="Saída 2 5 5 23 4" xfId="45762"/>
    <cellStyle name="Saída 2 5 5 24" xfId="45763"/>
    <cellStyle name="Saída 2 5 5 24 2" xfId="45764"/>
    <cellStyle name="Saída 2 5 5 24 2 2" xfId="45765"/>
    <cellStyle name="Saída 2 5 5 24 2 3" xfId="45766"/>
    <cellStyle name="Saída 2 5 5 24 3" xfId="45767"/>
    <cellStyle name="Saída 2 5 5 24 4" xfId="45768"/>
    <cellStyle name="Saída 2 5 5 25" xfId="45769"/>
    <cellStyle name="Saída 2 5 5 25 2" xfId="45770"/>
    <cellStyle name="Saída 2 5 5 25 2 2" xfId="45771"/>
    <cellStyle name="Saída 2 5 5 25 2 3" xfId="45772"/>
    <cellStyle name="Saída 2 5 5 25 3" xfId="45773"/>
    <cellStyle name="Saída 2 5 5 25 4" xfId="45774"/>
    <cellStyle name="Saída 2 5 5 26" xfId="45775"/>
    <cellStyle name="Saída 2 5 5 26 2" xfId="45776"/>
    <cellStyle name="Saída 2 5 5 26 2 2" xfId="45777"/>
    <cellStyle name="Saída 2 5 5 26 2 3" xfId="45778"/>
    <cellStyle name="Saída 2 5 5 26 3" xfId="45779"/>
    <cellStyle name="Saída 2 5 5 26 4" xfId="45780"/>
    <cellStyle name="Saída 2 5 5 27" xfId="45781"/>
    <cellStyle name="Saída 2 5 5 27 2" xfId="45782"/>
    <cellStyle name="Saída 2 5 5 27 2 2" xfId="45783"/>
    <cellStyle name="Saída 2 5 5 27 2 3" xfId="45784"/>
    <cellStyle name="Saída 2 5 5 27 3" xfId="45785"/>
    <cellStyle name="Saída 2 5 5 27 4" xfId="45786"/>
    <cellStyle name="Saída 2 5 5 28" xfId="45787"/>
    <cellStyle name="Saída 2 5 5 28 2" xfId="45788"/>
    <cellStyle name="Saída 2 5 5 28 2 2" xfId="45789"/>
    <cellStyle name="Saída 2 5 5 28 2 3" xfId="45790"/>
    <cellStyle name="Saída 2 5 5 28 3" xfId="45791"/>
    <cellStyle name="Saída 2 5 5 28 4" xfId="45792"/>
    <cellStyle name="Saída 2 5 5 29" xfId="45793"/>
    <cellStyle name="Saída 2 5 5 29 2" xfId="45794"/>
    <cellStyle name="Saída 2 5 5 29 2 2" xfId="45795"/>
    <cellStyle name="Saída 2 5 5 29 2 3" xfId="45796"/>
    <cellStyle name="Saída 2 5 5 29 3" xfId="45797"/>
    <cellStyle name="Saída 2 5 5 29 4" xfId="45798"/>
    <cellStyle name="Saída 2 5 5 3" xfId="45799"/>
    <cellStyle name="Saída 2 5 5 3 2" xfId="45800"/>
    <cellStyle name="Saída 2 5 5 3 2 2" xfId="45801"/>
    <cellStyle name="Saída 2 5 5 3 2 3" xfId="45802"/>
    <cellStyle name="Saída 2 5 5 3 3" xfId="45803"/>
    <cellStyle name="Saída 2 5 5 3 4" xfId="45804"/>
    <cellStyle name="Saída 2 5 5 30" xfId="45805"/>
    <cellStyle name="Saída 2 5 5 30 2" xfId="45806"/>
    <cellStyle name="Saída 2 5 5 30 2 2" xfId="45807"/>
    <cellStyle name="Saída 2 5 5 30 2 3" xfId="45808"/>
    <cellStyle name="Saída 2 5 5 30 3" xfId="45809"/>
    <cellStyle name="Saída 2 5 5 30 4" xfId="45810"/>
    <cellStyle name="Saída 2 5 5 31" xfId="45811"/>
    <cellStyle name="Saída 2 5 5 31 2" xfId="45812"/>
    <cellStyle name="Saída 2 5 5 31 2 2" xfId="45813"/>
    <cellStyle name="Saída 2 5 5 31 2 3" xfId="45814"/>
    <cellStyle name="Saída 2 5 5 31 3" xfId="45815"/>
    <cellStyle name="Saída 2 5 5 31 4" xfId="45816"/>
    <cellStyle name="Saída 2 5 5 32" xfId="45817"/>
    <cellStyle name="Saída 2 5 5 32 2" xfId="45818"/>
    <cellStyle name="Saída 2 5 5 32 2 2" xfId="45819"/>
    <cellStyle name="Saída 2 5 5 32 2 3" xfId="45820"/>
    <cellStyle name="Saída 2 5 5 32 3" xfId="45821"/>
    <cellStyle name="Saída 2 5 5 32 4" xfId="45822"/>
    <cellStyle name="Saída 2 5 5 33" xfId="45823"/>
    <cellStyle name="Saída 2 5 5 33 2" xfId="45824"/>
    <cellStyle name="Saída 2 5 5 33 2 2" xfId="45825"/>
    <cellStyle name="Saída 2 5 5 33 2 3" xfId="45826"/>
    <cellStyle name="Saída 2 5 5 33 3" xfId="45827"/>
    <cellStyle name="Saída 2 5 5 33 4" xfId="45828"/>
    <cellStyle name="Saída 2 5 5 34" xfId="45829"/>
    <cellStyle name="Saída 2 5 5 34 2" xfId="45830"/>
    <cellStyle name="Saída 2 5 5 34 2 2" xfId="45831"/>
    <cellStyle name="Saída 2 5 5 34 2 3" xfId="45832"/>
    <cellStyle name="Saída 2 5 5 34 3" xfId="45833"/>
    <cellStyle name="Saída 2 5 5 34 4" xfId="45834"/>
    <cellStyle name="Saída 2 5 5 35" xfId="45835"/>
    <cellStyle name="Saída 2 5 5 35 2" xfId="45836"/>
    <cellStyle name="Saída 2 5 5 35 2 2" xfId="45837"/>
    <cellStyle name="Saída 2 5 5 35 2 3" xfId="45838"/>
    <cellStyle name="Saída 2 5 5 35 3" xfId="45839"/>
    <cellStyle name="Saída 2 5 5 35 4" xfId="45840"/>
    <cellStyle name="Saída 2 5 5 36" xfId="45841"/>
    <cellStyle name="Saída 2 5 5 36 2" xfId="45842"/>
    <cellStyle name="Saída 2 5 5 36 2 2" xfId="45843"/>
    <cellStyle name="Saída 2 5 5 36 2 3" xfId="45844"/>
    <cellStyle name="Saída 2 5 5 36 3" xfId="45845"/>
    <cellStyle name="Saída 2 5 5 36 4" xfId="45846"/>
    <cellStyle name="Saída 2 5 5 37" xfId="45847"/>
    <cellStyle name="Saída 2 5 5 37 2" xfId="45848"/>
    <cellStyle name="Saída 2 5 5 37 2 2" xfId="45849"/>
    <cellStyle name="Saída 2 5 5 37 2 3" xfId="45850"/>
    <cellStyle name="Saída 2 5 5 37 3" xfId="45851"/>
    <cellStyle name="Saída 2 5 5 37 4" xfId="45852"/>
    <cellStyle name="Saída 2 5 5 38" xfId="45853"/>
    <cellStyle name="Saída 2 5 5 38 2" xfId="45854"/>
    <cellStyle name="Saída 2 5 5 38 2 2" xfId="45855"/>
    <cellStyle name="Saída 2 5 5 38 2 3" xfId="45856"/>
    <cellStyle name="Saída 2 5 5 38 3" xfId="45857"/>
    <cellStyle name="Saída 2 5 5 38 4" xfId="45858"/>
    <cellStyle name="Saída 2 5 5 39" xfId="45859"/>
    <cellStyle name="Saída 2 5 5 39 2" xfId="45860"/>
    <cellStyle name="Saída 2 5 5 39 2 2" xfId="45861"/>
    <cellStyle name="Saída 2 5 5 39 2 3" xfId="45862"/>
    <cellStyle name="Saída 2 5 5 39 3" xfId="45863"/>
    <cellStyle name="Saída 2 5 5 39 4" xfId="45864"/>
    <cellStyle name="Saída 2 5 5 4" xfId="45865"/>
    <cellStyle name="Saída 2 5 5 4 2" xfId="45866"/>
    <cellStyle name="Saída 2 5 5 4 2 2" xfId="45867"/>
    <cellStyle name="Saída 2 5 5 4 2 3" xfId="45868"/>
    <cellStyle name="Saída 2 5 5 4 3" xfId="45869"/>
    <cellStyle name="Saída 2 5 5 4 4" xfId="45870"/>
    <cellStyle name="Saída 2 5 5 40" xfId="45871"/>
    <cellStyle name="Saída 2 5 5 40 2" xfId="45872"/>
    <cellStyle name="Saída 2 5 5 40 2 2" xfId="45873"/>
    <cellStyle name="Saída 2 5 5 40 2 3" xfId="45874"/>
    <cellStyle name="Saída 2 5 5 40 3" xfId="45875"/>
    <cellStyle name="Saída 2 5 5 40 4" xfId="45876"/>
    <cellStyle name="Saída 2 5 5 41" xfId="45877"/>
    <cellStyle name="Saída 2 5 5 41 2" xfId="45878"/>
    <cellStyle name="Saída 2 5 5 41 2 2" xfId="45879"/>
    <cellStyle name="Saída 2 5 5 41 2 3" xfId="45880"/>
    <cellStyle name="Saída 2 5 5 41 3" xfId="45881"/>
    <cellStyle name="Saída 2 5 5 41 4" xfId="45882"/>
    <cellStyle name="Saída 2 5 5 42" xfId="45883"/>
    <cellStyle name="Saída 2 5 5 42 2" xfId="45884"/>
    <cellStyle name="Saída 2 5 5 42 3" xfId="45885"/>
    <cellStyle name="Saída 2 5 5 43" xfId="45886"/>
    <cellStyle name="Saída 2 5 5 43 2" xfId="45887"/>
    <cellStyle name="Saída 2 5 5 43 3" xfId="45888"/>
    <cellStyle name="Saída 2 5 5 44" xfId="45889"/>
    <cellStyle name="Saída 2 5 5 45" xfId="45890"/>
    <cellStyle name="Saída 2 5 5 5" xfId="45891"/>
    <cellStyle name="Saída 2 5 5 5 2" xfId="45892"/>
    <cellStyle name="Saída 2 5 5 5 2 2" xfId="45893"/>
    <cellStyle name="Saída 2 5 5 5 2 3" xfId="45894"/>
    <cellStyle name="Saída 2 5 5 5 3" xfId="45895"/>
    <cellStyle name="Saída 2 5 5 5 4" xfId="45896"/>
    <cellStyle name="Saída 2 5 5 6" xfId="45897"/>
    <cellStyle name="Saída 2 5 5 6 2" xfId="45898"/>
    <cellStyle name="Saída 2 5 5 6 2 2" xfId="45899"/>
    <cellStyle name="Saída 2 5 5 6 2 3" xfId="45900"/>
    <cellStyle name="Saída 2 5 5 6 3" xfId="45901"/>
    <cellStyle name="Saída 2 5 5 6 4" xfId="45902"/>
    <cellStyle name="Saída 2 5 5 7" xfId="45903"/>
    <cellStyle name="Saída 2 5 5 7 2" xfId="45904"/>
    <cellStyle name="Saída 2 5 5 7 2 2" xfId="45905"/>
    <cellStyle name="Saída 2 5 5 7 2 3" xfId="45906"/>
    <cellStyle name="Saída 2 5 5 7 3" xfId="45907"/>
    <cellStyle name="Saída 2 5 5 7 4" xfId="45908"/>
    <cellStyle name="Saída 2 5 5 8" xfId="45909"/>
    <cellStyle name="Saída 2 5 5 8 2" xfId="45910"/>
    <cellStyle name="Saída 2 5 5 8 2 2" xfId="45911"/>
    <cellStyle name="Saída 2 5 5 8 2 3" xfId="45912"/>
    <cellStyle name="Saída 2 5 5 8 3" xfId="45913"/>
    <cellStyle name="Saída 2 5 5 8 4" xfId="45914"/>
    <cellStyle name="Saída 2 5 5 9" xfId="45915"/>
    <cellStyle name="Saída 2 5 5 9 2" xfId="45916"/>
    <cellStyle name="Saída 2 5 5 9 2 2" xfId="45917"/>
    <cellStyle name="Saída 2 5 5 9 2 3" xfId="45918"/>
    <cellStyle name="Saída 2 5 5 9 3" xfId="45919"/>
    <cellStyle name="Saída 2 5 5 9 4" xfId="45920"/>
    <cellStyle name="Saída 2 5 6" xfId="45921"/>
    <cellStyle name="Saída 2 5 6 2" xfId="45922"/>
    <cellStyle name="Saída 2 5 6 2 2" xfId="45923"/>
    <cellStyle name="Saída 2 5 6 2 3" xfId="45924"/>
    <cellStyle name="Saída 2 5 6 3" xfId="45925"/>
    <cellStyle name="Saída 2 5 6 4" xfId="45926"/>
    <cellStyle name="Saída 2 5 7" xfId="45927"/>
    <cellStyle name="Saída 2 5 7 2" xfId="45928"/>
    <cellStyle name="Saída 2 5 7 2 2" xfId="45929"/>
    <cellStyle name="Saída 2 5 7 2 3" xfId="45930"/>
    <cellStyle name="Saída 2 5 7 3" xfId="45931"/>
    <cellStyle name="Saída 2 5 7 4" xfId="45932"/>
    <cellStyle name="Saída 2 5 8" xfId="45933"/>
    <cellStyle name="Saída 2 5 8 2" xfId="45934"/>
    <cellStyle name="Saída 2 5 8 2 2" xfId="45935"/>
    <cellStyle name="Saída 2 5 8 2 3" xfId="45936"/>
    <cellStyle name="Saída 2 5 8 3" xfId="45937"/>
    <cellStyle name="Saída 2 5 8 4" xfId="45938"/>
    <cellStyle name="Saída 2 5 9" xfId="45939"/>
    <cellStyle name="Saída 2 5 9 2" xfId="45940"/>
    <cellStyle name="Saída 2 5 9 2 2" xfId="45941"/>
    <cellStyle name="Saída 2 5 9 2 3" xfId="45942"/>
    <cellStyle name="Saída 2 5 9 3" xfId="45943"/>
    <cellStyle name="Saída 2 5 9 4" xfId="45944"/>
    <cellStyle name="Saída 2 6" xfId="45945"/>
    <cellStyle name="Saída 2 6 10" xfId="45946"/>
    <cellStyle name="Saída 2 6 10 2" xfId="45947"/>
    <cellStyle name="Saída 2 6 10 2 2" xfId="45948"/>
    <cellStyle name="Saída 2 6 10 2 3" xfId="45949"/>
    <cellStyle name="Saída 2 6 10 3" xfId="45950"/>
    <cellStyle name="Saída 2 6 10 4" xfId="45951"/>
    <cellStyle name="Saída 2 6 11" xfId="45952"/>
    <cellStyle name="Saída 2 6 11 2" xfId="45953"/>
    <cellStyle name="Saída 2 6 11 2 2" xfId="45954"/>
    <cellStyle name="Saída 2 6 11 2 3" xfId="45955"/>
    <cellStyle name="Saída 2 6 11 3" xfId="45956"/>
    <cellStyle name="Saída 2 6 11 4" xfId="45957"/>
    <cellStyle name="Saída 2 6 12" xfId="45958"/>
    <cellStyle name="Saída 2 6 12 2" xfId="45959"/>
    <cellStyle name="Saída 2 6 12 2 2" xfId="45960"/>
    <cellStyle name="Saída 2 6 12 2 3" xfId="45961"/>
    <cellStyle name="Saída 2 6 12 3" xfId="45962"/>
    <cellStyle name="Saída 2 6 12 4" xfId="45963"/>
    <cellStyle name="Saída 2 6 13" xfId="45964"/>
    <cellStyle name="Saída 2 6 13 2" xfId="45965"/>
    <cellStyle name="Saída 2 6 13 2 2" xfId="45966"/>
    <cellStyle name="Saída 2 6 13 2 3" xfId="45967"/>
    <cellStyle name="Saída 2 6 13 3" xfId="45968"/>
    <cellStyle name="Saída 2 6 13 4" xfId="45969"/>
    <cellStyle name="Saída 2 6 14" xfId="45970"/>
    <cellStyle name="Saída 2 6 14 2" xfId="45971"/>
    <cellStyle name="Saída 2 6 14 2 2" xfId="45972"/>
    <cellStyle name="Saída 2 6 14 2 3" xfId="45973"/>
    <cellStyle name="Saída 2 6 14 3" xfId="45974"/>
    <cellStyle name="Saída 2 6 14 4" xfId="45975"/>
    <cellStyle name="Saída 2 6 15" xfId="45976"/>
    <cellStyle name="Saída 2 6 15 2" xfId="45977"/>
    <cellStyle name="Saída 2 6 15 2 2" xfId="45978"/>
    <cellStyle name="Saída 2 6 15 2 3" xfId="45979"/>
    <cellStyle name="Saída 2 6 15 3" xfId="45980"/>
    <cellStyle name="Saída 2 6 15 4" xfId="45981"/>
    <cellStyle name="Saída 2 6 16" xfId="45982"/>
    <cellStyle name="Saída 2 6 16 2" xfId="45983"/>
    <cellStyle name="Saída 2 6 16 2 2" xfId="45984"/>
    <cellStyle name="Saída 2 6 16 2 3" xfId="45985"/>
    <cellStyle name="Saída 2 6 16 3" xfId="45986"/>
    <cellStyle name="Saída 2 6 16 4" xfId="45987"/>
    <cellStyle name="Saída 2 6 17" xfId="45988"/>
    <cellStyle name="Saída 2 6 17 2" xfId="45989"/>
    <cellStyle name="Saída 2 6 17 2 2" xfId="45990"/>
    <cellStyle name="Saída 2 6 17 2 3" xfId="45991"/>
    <cellStyle name="Saída 2 6 17 3" xfId="45992"/>
    <cellStyle name="Saída 2 6 17 4" xfId="45993"/>
    <cellStyle name="Saída 2 6 18" xfId="45994"/>
    <cellStyle name="Saída 2 6 18 2" xfId="45995"/>
    <cellStyle name="Saída 2 6 18 2 2" xfId="45996"/>
    <cellStyle name="Saída 2 6 18 2 3" xfId="45997"/>
    <cellStyle name="Saída 2 6 18 3" xfId="45998"/>
    <cellStyle name="Saída 2 6 18 4" xfId="45999"/>
    <cellStyle name="Saída 2 6 19" xfId="46000"/>
    <cellStyle name="Saída 2 6 19 2" xfId="46001"/>
    <cellStyle name="Saída 2 6 19 2 2" xfId="46002"/>
    <cellStyle name="Saída 2 6 19 2 3" xfId="46003"/>
    <cellStyle name="Saída 2 6 19 3" xfId="46004"/>
    <cellStyle name="Saída 2 6 19 4" xfId="46005"/>
    <cellStyle name="Saída 2 6 2" xfId="46006"/>
    <cellStyle name="Saída 2 6 2 2" xfId="46007"/>
    <cellStyle name="Saída 2 6 2 2 2" xfId="46008"/>
    <cellStyle name="Saída 2 6 2 2 3" xfId="46009"/>
    <cellStyle name="Saída 2 6 2 3" xfId="46010"/>
    <cellStyle name="Saída 2 6 2 4" xfId="46011"/>
    <cellStyle name="Saída 2 6 20" xfId="46012"/>
    <cellStyle name="Saída 2 6 20 2" xfId="46013"/>
    <cellStyle name="Saída 2 6 20 2 2" xfId="46014"/>
    <cellStyle name="Saída 2 6 20 2 3" xfId="46015"/>
    <cellStyle name="Saída 2 6 20 3" xfId="46016"/>
    <cellStyle name="Saída 2 6 20 4" xfId="46017"/>
    <cellStyle name="Saída 2 6 21" xfId="46018"/>
    <cellStyle name="Saída 2 6 21 2" xfId="46019"/>
    <cellStyle name="Saída 2 6 21 2 2" xfId="46020"/>
    <cellStyle name="Saída 2 6 21 2 3" xfId="46021"/>
    <cellStyle name="Saída 2 6 21 3" xfId="46022"/>
    <cellStyle name="Saída 2 6 21 4" xfId="46023"/>
    <cellStyle name="Saída 2 6 22" xfId="46024"/>
    <cellStyle name="Saída 2 6 22 2" xfId="46025"/>
    <cellStyle name="Saída 2 6 22 2 2" xfId="46026"/>
    <cellStyle name="Saída 2 6 22 2 3" xfId="46027"/>
    <cellStyle name="Saída 2 6 22 3" xfId="46028"/>
    <cellStyle name="Saída 2 6 22 4" xfId="46029"/>
    <cellStyle name="Saída 2 6 23" xfId="46030"/>
    <cellStyle name="Saída 2 6 23 2" xfId="46031"/>
    <cellStyle name="Saída 2 6 23 2 2" xfId="46032"/>
    <cellStyle name="Saída 2 6 23 2 3" xfId="46033"/>
    <cellStyle name="Saída 2 6 23 3" xfId="46034"/>
    <cellStyle name="Saída 2 6 23 4" xfId="46035"/>
    <cellStyle name="Saída 2 6 24" xfId="46036"/>
    <cellStyle name="Saída 2 6 24 2" xfId="46037"/>
    <cellStyle name="Saída 2 6 24 2 2" xfId="46038"/>
    <cellStyle name="Saída 2 6 24 2 3" xfId="46039"/>
    <cellStyle name="Saída 2 6 24 3" xfId="46040"/>
    <cellStyle name="Saída 2 6 24 4" xfId="46041"/>
    <cellStyle name="Saída 2 6 25" xfId="46042"/>
    <cellStyle name="Saída 2 6 25 2" xfId="46043"/>
    <cellStyle name="Saída 2 6 25 2 2" xfId="46044"/>
    <cellStyle name="Saída 2 6 25 2 3" xfId="46045"/>
    <cellStyle name="Saída 2 6 25 3" xfId="46046"/>
    <cellStyle name="Saída 2 6 25 4" xfId="46047"/>
    <cellStyle name="Saída 2 6 26" xfId="46048"/>
    <cellStyle name="Saída 2 6 26 2" xfId="46049"/>
    <cellStyle name="Saída 2 6 26 2 2" xfId="46050"/>
    <cellStyle name="Saída 2 6 26 2 3" xfId="46051"/>
    <cellStyle name="Saída 2 6 26 3" xfId="46052"/>
    <cellStyle name="Saída 2 6 26 4" xfId="46053"/>
    <cellStyle name="Saída 2 6 27" xfId="46054"/>
    <cellStyle name="Saída 2 6 27 2" xfId="46055"/>
    <cellStyle name="Saída 2 6 27 2 2" xfId="46056"/>
    <cellStyle name="Saída 2 6 27 2 3" xfId="46057"/>
    <cellStyle name="Saída 2 6 27 3" xfId="46058"/>
    <cellStyle name="Saída 2 6 27 4" xfId="46059"/>
    <cellStyle name="Saída 2 6 28" xfId="46060"/>
    <cellStyle name="Saída 2 6 28 2" xfId="46061"/>
    <cellStyle name="Saída 2 6 28 2 2" xfId="46062"/>
    <cellStyle name="Saída 2 6 28 2 3" xfId="46063"/>
    <cellStyle name="Saída 2 6 28 3" xfId="46064"/>
    <cellStyle name="Saída 2 6 28 4" xfId="46065"/>
    <cellStyle name="Saída 2 6 29" xfId="46066"/>
    <cellStyle name="Saída 2 6 29 2" xfId="46067"/>
    <cellStyle name="Saída 2 6 29 2 2" xfId="46068"/>
    <cellStyle name="Saída 2 6 29 2 3" xfId="46069"/>
    <cellStyle name="Saída 2 6 29 3" xfId="46070"/>
    <cellStyle name="Saída 2 6 29 4" xfId="46071"/>
    <cellStyle name="Saída 2 6 3" xfId="46072"/>
    <cellStyle name="Saída 2 6 3 2" xfId="46073"/>
    <cellStyle name="Saída 2 6 3 2 2" xfId="46074"/>
    <cellStyle name="Saída 2 6 3 2 3" xfId="46075"/>
    <cellStyle name="Saída 2 6 3 3" xfId="46076"/>
    <cellStyle name="Saída 2 6 3 4" xfId="46077"/>
    <cellStyle name="Saída 2 6 30" xfId="46078"/>
    <cellStyle name="Saída 2 6 30 2" xfId="46079"/>
    <cellStyle name="Saída 2 6 30 2 2" xfId="46080"/>
    <cellStyle name="Saída 2 6 30 2 3" xfId="46081"/>
    <cellStyle name="Saída 2 6 30 3" xfId="46082"/>
    <cellStyle name="Saída 2 6 30 4" xfId="46083"/>
    <cellStyle name="Saída 2 6 31" xfId="46084"/>
    <cellStyle name="Saída 2 6 31 2" xfId="46085"/>
    <cellStyle name="Saída 2 6 31 2 2" xfId="46086"/>
    <cellStyle name="Saída 2 6 31 2 3" xfId="46087"/>
    <cellStyle name="Saída 2 6 31 3" xfId="46088"/>
    <cellStyle name="Saída 2 6 31 4" xfId="46089"/>
    <cellStyle name="Saída 2 6 32" xfId="46090"/>
    <cellStyle name="Saída 2 6 32 2" xfId="46091"/>
    <cellStyle name="Saída 2 6 32 2 2" xfId="46092"/>
    <cellStyle name="Saída 2 6 32 2 3" xfId="46093"/>
    <cellStyle name="Saída 2 6 32 3" xfId="46094"/>
    <cellStyle name="Saída 2 6 32 4" xfId="46095"/>
    <cellStyle name="Saída 2 6 33" xfId="46096"/>
    <cellStyle name="Saída 2 6 33 2" xfId="46097"/>
    <cellStyle name="Saída 2 6 33 2 2" xfId="46098"/>
    <cellStyle name="Saída 2 6 33 2 3" xfId="46099"/>
    <cellStyle name="Saída 2 6 33 3" xfId="46100"/>
    <cellStyle name="Saída 2 6 33 4" xfId="46101"/>
    <cellStyle name="Saída 2 6 34" xfId="46102"/>
    <cellStyle name="Saída 2 6 34 2" xfId="46103"/>
    <cellStyle name="Saída 2 6 34 2 2" xfId="46104"/>
    <cellStyle name="Saída 2 6 34 2 3" xfId="46105"/>
    <cellStyle name="Saída 2 6 34 3" xfId="46106"/>
    <cellStyle name="Saída 2 6 34 4" xfId="46107"/>
    <cellStyle name="Saída 2 6 35" xfId="46108"/>
    <cellStyle name="Saída 2 6 35 2" xfId="46109"/>
    <cellStyle name="Saída 2 6 35 2 2" xfId="46110"/>
    <cellStyle name="Saída 2 6 35 2 3" xfId="46111"/>
    <cellStyle name="Saída 2 6 35 3" xfId="46112"/>
    <cellStyle name="Saída 2 6 35 4" xfId="46113"/>
    <cellStyle name="Saída 2 6 36" xfId="46114"/>
    <cellStyle name="Saída 2 6 36 2" xfId="46115"/>
    <cellStyle name="Saída 2 6 36 2 2" xfId="46116"/>
    <cellStyle name="Saída 2 6 36 2 3" xfId="46117"/>
    <cellStyle name="Saída 2 6 36 3" xfId="46118"/>
    <cellStyle name="Saída 2 6 36 4" xfId="46119"/>
    <cellStyle name="Saída 2 6 37" xfId="46120"/>
    <cellStyle name="Saída 2 6 37 2" xfId="46121"/>
    <cellStyle name="Saída 2 6 37 3" xfId="46122"/>
    <cellStyle name="Saída 2 6 38" xfId="46123"/>
    <cellStyle name="Saída 2 6 38 2" xfId="46124"/>
    <cellStyle name="Saída 2 6 38 3" xfId="46125"/>
    <cellStyle name="Saída 2 6 39" xfId="46126"/>
    <cellStyle name="Saída 2 6 39 2" xfId="46127"/>
    <cellStyle name="Saída 2 6 39 3" xfId="46128"/>
    <cellStyle name="Saída 2 6 4" xfId="46129"/>
    <cellStyle name="Saída 2 6 4 2" xfId="46130"/>
    <cellStyle name="Saída 2 6 4 2 2" xfId="46131"/>
    <cellStyle name="Saída 2 6 4 2 3" xfId="46132"/>
    <cellStyle name="Saída 2 6 4 3" xfId="46133"/>
    <cellStyle name="Saída 2 6 4 4" xfId="46134"/>
    <cellStyle name="Saída 2 6 40" xfId="46135"/>
    <cellStyle name="Saída 2 6 40 2" xfId="46136"/>
    <cellStyle name="Saída 2 6 40 3" xfId="46137"/>
    <cellStyle name="Saída 2 6 41" xfId="46138"/>
    <cellStyle name="Saída 2 6 42" xfId="46139"/>
    <cellStyle name="Saída 2 6 5" xfId="46140"/>
    <cellStyle name="Saída 2 6 5 2" xfId="46141"/>
    <cellStyle name="Saída 2 6 5 2 2" xfId="46142"/>
    <cellStyle name="Saída 2 6 5 2 3" xfId="46143"/>
    <cellStyle name="Saída 2 6 5 3" xfId="46144"/>
    <cellStyle name="Saída 2 6 5 4" xfId="46145"/>
    <cellStyle name="Saída 2 6 6" xfId="46146"/>
    <cellStyle name="Saída 2 6 6 2" xfId="46147"/>
    <cellStyle name="Saída 2 6 6 2 2" xfId="46148"/>
    <cellStyle name="Saída 2 6 6 2 3" xfId="46149"/>
    <cellStyle name="Saída 2 6 6 3" xfId="46150"/>
    <cellStyle name="Saída 2 6 6 4" xfId="46151"/>
    <cellStyle name="Saída 2 6 7" xfId="46152"/>
    <cellStyle name="Saída 2 6 7 2" xfId="46153"/>
    <cellStyle name="Saída 2 6 7 2 2" xfId="46154"/>
    <cellStyle name="Saída 2 6 7 2 3" xfId="46155"/>
    <cellStyle name="Saída 2 6 7 3" xfId="46156"/>
    <cellStyle name="Saída 2 6 7 4" xfId="46157"/>
    <cellStyle name="Saída 2 6 8" xfId="46158"/>
    <cellStyle name="Saída 2 6 8 2" xfId="46159"/>
    <cellStyle name="Saída 2 6 8 2 2" xfId="46160"/>
    <cellStyle name="Saída 2 6 8 2 3" xfId="46161"/>
    <cellStyle name="Saída 2 6 8 3" xfId="46162"/>
    <cellStyle name="Saída 2 6 8 4" xfId="46163"/>
    <cellStyle name="Saída 2 6 9" xfId="46164"/>
    <cellStyle name="Saída 2 6 9 2" xfId="46165"/>
    <cellStyle name="Saída 2 6 9 2 2" xfId="46166"/>
    <cellStyle name="Saída 2 6 9 2 3" xfId="46167"/>
    <cellStyle name="Saída 2 6 9 3" xfId="46168"/>
    <cellStyle name="Saída 2 6 9 4" xfId="46169"/>
    <cellStyle name="Saída 2 7" xfId="46170"/>
    <cellStyle name="Saída 2 7 10" xfId="46171"/>
    <cellStyle name="Saída 2 7 10 2" xfId="46172"/>
    <cellStyle name="Saída 2 7 10 2 2" xfId="46173"/>
    <cellStyle name="Saída 2 7 10 2 3" xfId="46174"/>
    <cellStyle name="Saída 2 7 10 3" xfId="46175"/>
    <cellStyle name="Saída 2 7 10 4" xfId="46176"/>
    <cellStyle name="Saída 2 7 11" xfId="46177"/>
    <cellStyle name="Saída 2 7 11 2" xfId="46178"/>
    <cellStyle name="Saída 2 7 11 2 2" xfId="46179"/>
    <cellStyle name="Saída 2 7 11 2 3" xfId="46180"/>
    <cellStyle name="Saída 2 7 11 3" xfId="46181"/>
    <cellStyle name="Saída 2 7 11 4" xfId="46182"/>
    <cellStyle name="Saída 2 7 12" xfId="46183"/>
    <cellStyle name="Saída 2 7 12 2" xfId="46184"/>
    <cellStyle name="Saída 2 7 12 2 2" xfId="46185"/>
    <cellStyle name="Saída 2 7 12 2 3" xfId="46186"/>
    <cellStyle name="Saída 2 7 12 3" xfId="46187"/>
    <cellStyle name="Saída 2 7 12 4" xfId="46188"/>
    <cellStyle name="Saída 2 7 13" xfId="46189"/>
    <cellStyle name="Saída 2 7 13 2" xfId="46190"/>
    <cellStyle name="Saída 2 7 13 2 2" xfId="46191"/>
    <cellStyle name="Saída 2 7 13 2 3" xfId="46192"/>
    <cellStyle name="Saída 2 7 13 3" xfId="46193"/>
    <cellStyle name="Saída 2 7 13 4" xfId="46194"/>
    <cellStyle name="Saída 2 7 14" xfId="46195"/>
    <cellStyle name="Saída 2 7 14 2" xfId="46196"/>
    <cellStyle name="Saída 2 7 14 2 2" xfId="46197"/>
    <cellStyle name="Saída 2 7 14 2 3" xfId="46198"/>
    <cellStyle name="Saída 2 7 14 3" xfId="46199"/>
    <cellStyle name="Saída 2 7 14 4" xfId="46200"/>
    <cellStyle name="Saída 2 7 15" xfId="46201"/>
    <cellStyle name="Saída 2 7 15 2" xfId="46202"/>
    <cellStyle name="Saída 2 7 15 2 2" xfId="46203"/>
    <cellStyle name="Saída 2 7 15 2 3" xfId="46204"/>
    <cellStyle name="Saída 2 7 15 3" xfId="46205"/>
    <cellStyle name="Saída 2 7 15 4" xfId="46206"/>
    <cellStyle name="Saída 2 7 16" xfId="46207"/>
    <cellStyle name="Saída 2 7 16 2" xfId="46208"/>
    <cellStyle name="Saída 2 7 16 2 2" xfId="46209"/>
    <cellStyle name="Saída 2 7 16 2 3" xfId="46210"/>
    <cellStyle name="Saída 2 7 16 3" xfId="46211"/>
    <cellStyle name="Saída 2 7 16 4" xfId="46212"/>
    <cellStyle name="Saída 2 7 17" xfId="46213"/>
    <cellStyle name="Saída 2 7 17 2" xfId="46214"/>
    <cellStyle name="Saída 2 7 17 2 2" xfId="46215"/>
    <cellStyle name="Saída 2 7 17 2 3" xfId="46216"/>
    <cellStyle name="Saída 2 7 17 3" xfId="46217"/>
    <cellStyle name="Saída 2 7 17 4" xfId="46218"/>
    <cellStyle name="Saída 2 7 18" xfId="46219"/>
    <cellStyle name="Saída 2 7 18 2" xfId="46220"/>
    <cellStyle name="Saída 2 7 18 2 2" xfId="46221"/>
    <cellStyle name="Saída 2 7 18 2 3" xfId="46222"/>
    <cellStyle name="Saída 2 7 18 3" xfId="46223"/>
    <cellStyle name="Saída 2 7 18 4" xfId="46224"/>
    <cellStyle name="Saída 2 7 19" xfId="46225"/>
    <cellStyle name="Saída 2 7 19 2" xfId="46226"/>
    <cellStyle name="Saída 2 7 19 2 2" xfId="46227"/>
    <cellStyle name="Saída 2 7 19 2 3" xfId="46228"/>
    <cellStyle name="Saída 2 7 19 3" xfId="46229"/>
    <cellStyle name="Saída 2 7 19 4" xfId="46230"/>
    <cellStyle name="Saída 2 7 2" xfId="46231"/>
    <cellStyle name="Saída 2 7 2 2" xfId="46232"/>
    <cellStyle name="Saída 2 7 2 2 2" xfId="46233"/>
    <cellStyle name="Saída 2 7 2 2 3" xfId="46234"/>
    <cellStyle name="Saída 2 7 2 3" xfId="46235"/>
    <cellStyle name="Saída 2 7 2 4" xfId="46236"/>
    <cellStyle name="Saída 2 7 20" xfId="46237"/>
    <cellStyle name="Saída 2 7 20 2" xfId="46238"/>
    <cellStyle name="Saída 2 7 20 2 2" xfId="46239"/>
    <cellStyle name="Saída 2 7 20 2 3" xfId="46240"/>
    <cellStyle name="Saída 2 7 20 3" xfId="46241"/>
    <cellStyle name="Saída 2 7 20 4" xfId="46242"/>
    <cellStyle name="Saída 2 7 21" xfId="46243"/>
    <cellStyle name="Saída 2 7 21 2" xfId="46244"/>
    <cellStyle name="Saída 2 7 21 2 2" xfId="46245"/>
    <cellStyle name="Saída 2 7 21 2 3" xfId="46246"/>
    <cellStyle name="Saída 2 7 21 3" xfId="46247"/>
    <cellStyle name="Saída 2 7 21 4" xfId="46248"/>
    <cellStyle name="Saída 2 7 22" xfId="46249"/>
    <cellStyle name="Saída 2 7 22 2" xfId="46250"/>
    <cellStyle name="Saída 2 7 22 2 2" xfId="46251"/>
    <cellStyle name="Saída 2 7 22 2 3" xfId="46252"/>
    <cellStyle name="Saída 2 7 22 3" xfId="46253"/>
    <cellStyle name="Saída 2 7 22 4" xfId="46254"/>
    <cellStyle name="Saída 2 7 23" xfId="46255"/>
    <cellStyle name="Saída 2 7 23 2" xfId="46256"/>
    <cellStyle name="Saída 2 7 23 2 2" xfId="46257"/>
    <cellStyle name="Saída 2 7 23 2 3" xfId="46258"/>
    <cellStyle name="Saída 2 7 23 3" xfId="46259"/>
    <cellStyle name="Saída 2 7 23 4" xfId="46260"/>
    <cellStyle name="Saída 2 7 24" xfId="46261"/>
    <cellStyle name="Saída 2 7 24 2" xfId="46262"/>
    <cellStyle name="Saída 2 7 24 2 2" xfId="46263"/>
    <cellStyle name="Saída 2 7 24 2 3" xfId="46264"/>
    <cellStyle name="Saída 2 7 24 3" xfId="46265"/>
    <cellStyle name="Saída 2 7 24 4" xfId="46266"/>
    <cellStyle name="Saída 2 7 25" xfId="46267"/>
    <cellStyle name="Saída 2 7 25 2" xfId="46268"/>
    <cellStyle name="Saída 2 7 25 2 2" xfId="46269"/>
    <cellStyle name="Saída 2 7 25 2 3" xfId="46270"/>
    <cellStyle name="Saída 2 7 25 3" xfId="46271"/>
    <cellStyle name="Saída 2 7 25 4" xfId="46272"/>
    <cellStyle name="Saída 2 7 26" xfId="46273"/>
    <cellStyle name="Saída 2 7 26 2" xfId="46274"/>
    <cellStyle name="Saída 2 7 26 2 2" xfId="46275"/>
    <cellStyle name="Saída 2 7 26 2 3" xfId="46276"/>
    <cellStyle name="Saída 2 7 26 3" xfId="46277"/>
    <cellStyle name="Saída 2 7 26 4" xfId="46278"/>
    <cellStyle name="Saída 2 7 27" xfId="46279"/>
    <cellStyle name="Saída 2 7 27 2" xfId="46280"/>
    <cellStyle name="Saída 2 7 27 2 2" xfId="46281"/>
    <cellStyle name="Saída 2 7 27 2 3" xfId="46282"/>
    <cellStyle name="Saída 2 7 27 3" xfId="46283"/>
    <cellStyle name="Saída 2 7 27 4" xfId="46284"/>
    <cellStyle name="Saída 2 7 28" xfId="46285"/>
    <cellStyle name="Saída 2 7 28 2" xfId="46286"/>
    <cellStyle name="Saída 2 7 28 2 2" xfId="46287"/>
    <cellStyle name="Saída 2 7 28 2 3" xfId="46288"/>
    <cellStyle name="Saída 2 7 28 3" xfId="46289"/>
    <cellStyle name="Saída 2 7 28 4" xfId="46290"/>
    <cellStyle name="Saída 2 7 29" xfId="46291"/>
    <cellStyle name="Saída 2 7 29 2" xfId="46292"/>
    <cellStyle name="Saída 2 7 29 2 2" xfId="46293"/>
    <cellStyle name="Saída 2 7 29 2 3" xfId="46294"/>
    <cellStyle name="Saída 2 7 29 3" xfId="46295"/>
    <cellStyle name="Saída 2 7 29 4" xfId="46296"/>
    <cellStyle name="Saída 2 7 3" xfId="46297"/>
    <cellStyle name="Saída 2 7 3 2" xfId="46298"/>
    <cellStyle name="Saída 2 7 3 2 2" xfId="46299"/>
    <cellStyle name="Saída 2 7 3 2 3" xfId="46300"/>
    <cellStyle name="Saída 2 7 3 3" xfId="46301"/>
    <cellStyle name="Saída 2 7 3 4" xfId="46302"/>
    <cellStyle name="Saída 2 7 30" xfId="46303"/>
    <cellStyle name="Saída 2 7 30 2" xfId="46304"/>
    <cellStyle name="Saída 2 7 30 2 2" xfId="46305"/>
    <cellStyle name="Saída 2 7 30 2 3" xfId="46306"/>
    <cellStyle name="Saída 2 7 30 3" xfId="46307"/>
    <cellStyle name="Saída 2 7 30 4" xfId="46308"/>
    <cellStyle name="Saída 2 7 31" xfId="46309"/>
    <cellStyle name="Saída 2 7 31 2" xfId="46310"/>
    <cellStyle name="Saída 2 7 31 2 2" xfId="46311"/>
    <cellStyle name="Saída 2 7 31 2 3" xfId="46312"/>
    <cellStyle name="Saída 2 7 31 3" xfId="46313"/>
    <cellStyle name="Saída 2 7 31 4" xfId="46314"/>
    <cellStyle name="Saída 2 7 32" xfId="46315"/>
    <cellStyle name="Saída 2 7 32 2" xfId="46316"/>
    <cellStyle name="Saída 2 7 32 2 2" xfId="46317"/>
    <cellStyle name="Saída 2 7 32 2 3" xfId="46318"/>
    <cellStyle name="Saída 2 7 32 3" xfId="46319"/>
    <cellStyle name="Saída 2 7 32 4" xfId="46320"/>
    <cellStyle name="Saída 2 7 33" xfId="46321"/>
    <cellStyle name="Saída 2 7 33 2" xfId="46322"/>
    <cellStyle name="Saída 2 7 33 2 2" xfId="46323"/>
    <cellStyle name="Saída 2 7 33 2 3" xfId="46324"/>
    <cellStyle name="Saída 2 7 33 3" xfId="46325"/>
    <cellStyle name="Saída 2 7 33 4" xfId="46326"/>
    <cellStyle name="Saída 2 7 34" xfId="46327"/>
    <cellStyle name="Saída 2 7 34 2" xfId="46328"/>
    <cellStyle name="Saída 2 7 34 2 2" xfId="46329"/>
    <cellStyle name="Saída 2 7 34 2 3" xfId="46330"/>
    <cellStyle name="Saída 2 7 34 3" xfId="46331"/>
    <cellStyle name="Saída 2 7 34 4" xfId="46332"/>
    <cellStyle name="Saída 2 7 35" xfId="46333"/>
    <cellStyle name="Saída 2 7 35 2" xfId="46334"/>
    <cellStyle name="Saída 2 7 35 2 2" xfId="46335"/>
    <cellStyle name="Saída 2 7 35 2 3" xfId="46336"/>
    <cellStyle name="Saída 2 7 35 3" xfId="46337"/>
    <cellStyle name="Saída 2 7 35 4" xfId="46338"/>
    <cellStyle name="Saída 2 7 36" xfId="46339"/>
    <cellStyle name="Saída 2 7 36 2" xfId="46340"/>
    <cellStyle name="Saída 2 7 36 2 2" xfId="46341"/>
    <cellStyle name="Saída 2 7 36 2 3" xfId="46342"/>
    <cellStyle name="Saída 2 7 36 3" xfId="46343"/>
    <cellStyle name="Saída 2 7 36 4" xfId="46344"/>
    <cellStyle name="Saída 2 7 37" xfId="46345"/>
    <cellStyle name="Saída 2 7 37 2" xfId="46346"/>
    <cellStyle name="Saída 2 7 37 2 2" xfId="46347"/>
    <cellStyle name="Saída 2 7 37 2 3" xfId="46348"/>
    <cellStyle name="Saída 2 7 37 3" xfId="46349"/>
    <cellStyle name="Saída 2 7 37 4" xfId="46350"/>
    <cellStyle name="Saída 2 7 38" xfId="46351"/>
    <cellStyle name="Saída 2 7 38 2" xfId="46352"/>
    <cellStyle name="Saída 2 7 38 3" xfId="46353"/>
    <cellStyle name="Saída 2 7 39" xfId="46354"/>
    <cellStyle name="Saída 2 7 39 2" xfId="46355"/>
    <cellStyle name="Saída 2 7 39 3" xfId="46356"/>
    <cellStyle name="Saída 2 7 4" xfId="46357"/>
    <cellStyle name="Saída 2 7 4 2" xfId="46358"/>
    <cellStyle name="Saída 2 7 4 2 2" xfId="46359"/>
    <cellStyle name="Saída 2 7 4 2 3" xfId="46360"/>
    <cellStyle name="Saída 2 7 4 3" xfId="46361"/>
    <cellStyle name="Saída 2 7 4 4" xfId="46362"/>
    <cellStyle name="Saída 2 7 40" xfId="46363"/>
    <cellStyle name="Saída 2 7 40 2" xfId="46364"/>
    <cellStyle name="Saída 2 7 40 3" xfId="46365"/>
    <cellStyle name="Saída 2 7 41" xfId="46366"/>
    <cellStyle name="Saída 2 7 41 2" xfId="46367"/>
    <cellStyle name="Saída 2 7 41 3" xfId="46368"/>
    <cellStyle name="Saída 2 7 42" xfId="46369"/>
    <cellStyle name="Saída 2 7 43" xfId="46370"/>
    <cellStyle name="Saída 2 7 5" xfId="46371"/>
    <cellStyle name="Saída 2 7 5 2" xfId="46372"/>
    <cellStyle name="Saída 2 7 5 2 2" xfId="46373"/>
    <cellStyle name="Saída 2 7 5 2 3" xfId="46374"/>
    <cellStyle name="Saída 2 7 5 3" xfId="46375"/>
    <cellStyle name="Saída 2 7 5 4" xfId="46376"/>
    <cellStyle name="Saída 2 7 6" xfId="46377"/>
    <cellStyle name="Saída 2 7 6 2" xfId="46378"/>
    <cellStyle name="Saída 2 7 6 2 2" xfId="46379"/>
    <cellStyle name="Saída 2 7 6 2 3" xfId="46380"/>
    <cellStyle name="Saída 2 7 6 3" xfId="46381"/>
    <cellStyle name="Saída 2 7 6 4" xfId="46382"/>
    <cellStyle name="Saída 2 7 7" xfId="46383"/>
    <cellStyle name="Saída 2 7 7 2" xfId="46384"/>
    <cellStyle name="Saída 2 7 7 2 2" xfId="46385"/>
    <cellStyle name="Saída 2 7 7 2 3" xfId="46386"/>
    <cellStyle name="Saída 2 7 7 3" xfId="46387"/>
    <cellStyle name="Saída 2 7 7 4" xfId="46388"/>
    <cellStyle name="Saída 2 7 8" xfId="46389"/>
    <cellStyle name="Saída 2 7 8 2" xfId="46390"/>
    <cellStyle name="Saída 2 7 8 2 2" xfId="46391"/>
    <cellStyle name="Saída 2 7 8 2 3" xfId="46392"/>
    <cellStyle name="Saída 2 7 8 3" xfId="46393"/>
    <cellStyle name="Saída 2 7 8 4" xfId="46394"/>
    <cellStyle name="Saída 2 7 9" xfId="46395"/>
    <cellStyle name="Saída 2 7 9 2" xfId="46396"/>
    <cellStyle name="Saída 2 7 9 2 2" xfId="46397"/>
    <cellStyle name="Saída 2 7 9 2 3" xfId="46398"/>
    <cellStyle name="Saída 2 7 9 3" xfId="46399"/>
    <cellStyle name="Saída 2 7 9 4" xfId="46400"/>
    <cellStyle name="Saída 2 8" xfId="46401"/>
    <cellStyle name="Saída 2 8 10" xfId="46402"/>
    <cellStyle name="Saída 2 8 10 2" xfId="46403"/>
    <cellStyle name="Saída 2 8 10 2 2" xfId="46404"/>
    <cellStyle name="Saída 2 8 10 2 3" xfId="46405"/>
    <cellStyle name="Saída 2 8 10 3" xfId="46406"/>
    <cellStyle name="Saída 2 8 10 4" xfId="46407"/>
    <cellStyle name="Saída 2 8 11" xfId="46408"/>
    <cellStyle name="Saída 2 8 11 2" xfId="46409"/>
    <cellStyle name="Saída 2 8 11 2 2" xfId="46410"/>
    <cellStyle name="Saída 2 8 11 2 3" xfId="46411"/>
    <cellStyle name="Saída 2 8 11 3" xfId="46412"/>
    <cellStyle name="Saída 2 8 11 4" xfId="46413"/>
    <cellStyle name="Saída 2 8 12" xfId="46414"/>
    <cellStyle name="Saída 2 8 12 2" xfId="46415"/>
    <cellStyle name="Saída 2 8 12 2 2" xfId="46416"/>
    <cellStyle name="Saída 2 8 12 2 3" xfId="46417"/>
    <cellStyle name="Saída 2 8 12 3" xfId="46418"/>
    <cellStyle name="Saída 2 8 12 4" xfId="46419"/>
    <cellStyle name="Saída 2 8 13" xfId="46420"/>
    <cellStyle name="Saída 2 8 13 2" xfId="46421"/>
    <cellStyle name="Saída 2 8 13 2 2" xfId="46422"/>
    <cellStyle name="Saída 2 8 13 2 3" xfId="46423"/>
    <cellStyle name="Saída 2 8 13 3" xfId="46424"/>
    <cellStyle name="Saída 2 8 13 4" xfId="46425"/>
    <cellStyle name="Saída 2 8 14" xfId="46426"/>
    <cellStyle name="Saída 2 8 14 2" xfId="46427"/>
    <cellStyle name="Saída 2 8 14 2 2" xfId="46428"/>
    <cellStyle name="Saída 2 8 14 2 3" xfId="46429"/>
    <cellStyle name="Saída 2 8 14 3" xfId="46430"/>
    <cellStyle name="Saída 2 8 14 4" xfId="46431"/>
    <cellStyle name="Saída 2 8 15" xfId="46432"/>
    <cellStyle name="Saída 2 8 15 2" xfId="46433"/>
    <cellStyle name="Saída 2 8 15 2 2" xfId="46434"/>
    <cellStyle name="Saída 2 8 15 2 3" xfId="46435"/>
    <cellStyle name="Saída 2 8 15 3" xfId="46436"/>
    <cellStyle name="Saída 2 8 15 4" xfId="46437"/>
    <cellStyle name="Saída 2 8 16" xfId="46438"/>
    <cellStyle name="Saída 2 8 16 2" xfId="46439"/>
    <cellStyle name="Saída 2 8 16 2 2" xfId="46440"/>
    <cellStyle name="Saída 2 8 16 2 3" xfId="46441"/>
    <cellStyle name="Saída 2 8 16 3" xfId="46442"/>
    <cellStyle name="Saída 2 8 16 4" xfId="46443"/>
    <cellStyle name="Saída 2 8 17" xfId="46444"/>
    <cellStyle name="Saída 2 8 17 2" xfId="46445"/>
    <cellStyle name="Saída 2 8 17 2 2" xfId="46446"/>
    <cellStyle name="Saída 2 8 17 2 3" xfId="46447"/>
    <cellStyle name="Saída 2 8 17 3" xfId="46448"/>
    <cellStyle name="Saída 2 8 17 4" xfId="46449"/>
    <cellStyle name="Saída 2 8 18" xfId="46450"/>
    <cellStyle name="Saída 2 8 18 2" xfId="46451"/>
    <cellStyle name="Saída 2 8 18 2 2" xfId="46452"/>
    <cellStyle name="Saída 2 8 18 2 3" xfId="46453"/>
    <cellStyle name="Saída 2 8 18 3" xfId="46454"/>
    <cellStyle name="Saída 2 8 18 4" xfId="46455"/>
    <cellStyle name="Saída 2 8 19" xfId="46456"/>
    <cellStyle name="Saída 2 8 19 2" xfId="46457"/>
    <cellStyle name="Saída 2 8 19 2 2" xfId="46458"/>
    <cellStyle name="Saída 2 8 19 2 3" xfId="46459"/>
    <cellStyle name="Saída 2 8 19 3" xfId="46460"/>
    <cellStyle name="Saída 2 8 19 4" xfId="46461"/>
    <cellStyle name="Saída 2 8 2" xfId="46462"/>
    <cellStyle name="Saída 2 8 2 2" xfId="46463"/>
    <cellStyle name="Saída 2 8 2 2 2" xfId="46464"/>
    <cellStyle name="Saída 2 8 2 2 3" xfId="46465"/>
    <cellStyle name="Saída 2 8 2 3" xfId="46466"/>
    <cellStyle name="Saída 2 8 2 4" xfId="46467"/>
    <cellStyle name="Saída 2 8 20" xfId="46468"/>
    <cellStyle name="Saída 2 8 20 2" xfId="46469"/>
    <cellStyle name="Saída 2 8 20 2 2" xfId="46470"/>
    <cellStyle name="Saída 2 8 20 2 3" xfId="46471"/>
    <cellStyle name="Saída 2 8 20 3" xfId="46472"/>
    <cellStyle name="Saída 2 8 20 4" xfId="46473"/>
    <cellStyle name="Saída 2 8 21" xfId="46474"/>
    <cellStyle name="Saída 2 8 21 2" xfId="46475"/>
    <cellStyle name="Saída 2 8 21 2 2" xfId="46476"/>
    <cellStyle name="Saída 2 8 21 2 3" xfId="46477"/>
    <cellStyle name="Saída 2 8 21 3" xfId="46478"/>
    <cellStyle name="Saída 2 8 21 4" xfId="46479"/>
    <cellStyle name="Saída 2 8 22" xfId="46480"/>
    <cellStyle name="Saída 2 8 22 2" xfId="46481"/>
    <cellStyle name="Saída 2 8 22 2 2" xfId="46482"/>
    <cellStyle name="Saída 2 8 22 2 3" xfId="46483"/>
    <cellStyle name="Saída 2 8 22 3" xfId="46484"/>
    <cellStyle name="Saída 2 8 22 4" xfId="46485"/>
    <cellStyle name="Saída 2 8 23" xfId="46486"/>
    <cellStyle name="Saída 2 8 23 2" xfId="46487"/>
    <cellStyle name="Saída 2 8 23 2 2" xfId="46488"/>
    <cellStyle name="Saída 2 8 23 2 3" xfId="46489"/>
    <cellStyle name="Saída 2 8 23 3" xfId="46490"/>
    <cellStyle name="Saída 2 8 23 4" xfId="46491"/>
    <cellStyle name="Saída 2 8 24" xfId="46492"/>
    <cellStyle name="Saída 2 8 24 2" xfId="46493"/>
    <cellStyle name="Saída 2 8 24 2 2" xfId="46494"/>
    <cellStyle name="Saída 2 8 24 2 3" xfId="46495"/>
    <cellStyle name="Saída 2 8 24 3" xfId="46496"/>
    <cellStyle name="Saída 2 8 24 4" xfId="46497"/>
    <cellStyle name="Saída 2 8 25" xfId="46498"/>
    <cellStyle name="Saída 2 8 25 2" xfId="46499"/>
    <cellStyle name="Saída 2 8 25 2 2" xfId="46500"/>
    <cellStyle name="Saída 2 8 25 2 3" xfId="46501"/>
    <cellStyle name="Saída 2 8 25 3" xfId="46502"/>
    <cellStyle name="Saída 2 8 25 4" xfId="46503"/>
    <cellStyle name="Saída 2 8 26" xfId="46504"/>
    <cellStyle name="Saída 2 8 26 2" xfId="46505"/>
    <cellStyle name="Saída 2 8 26 2 2" xfId="46506"/>
    <cellStyle name="Saída 2 8 26 2 3" xfId="46507"/>
    <cellStyle name="Saída 2 8 26 3" xfId="46508"/>
    <cellStyle name="Saída 2 8 26 4" xfId="46509"/>
    <cellStyle name="Saída 2 8 27" xfId="46510"/>
    <cellStyle name="Saída 2 8 27 2" xfId="46511"/>
    <cellStyle name="Saída 2 8 27 2 2" xfId="46512"/>
    <cellStyle name="Saída 2 8 27 2 3" xfId="46513"/>
    <cellStyle name="Saída 2 8 27 3" xfId="46514"/>
    <cellStyle name="Saída 2 8 27 4" xfId="46515"/>
    <cellStyle name="Saída 2 8 28" xfId="46516"/>
    <cellStyle name="Saída 2 8 28 2" xfId="46517"/>
    <cellStyle name="Saída 2 8 28 2 2" xfId="46518"/>
    <cellStyle name="Saída 2 8 28 2 3" xfId="46519"/>
    <cellStyle name="Saída 2 8 28 3" xfId="46520"/>
    <cellStyle name="Saída 2 8 28 4" xfId="46521"/>
    <cellStyle name="Saída 2 8 29" xfId="46522"/>
    <cellStyle name="Saída 2 8 29 2" xfId="46523"/>
    <cellStyle name="Saída 2 8 29 2 2" xfId="46524"/>
    <cellStyle name="Saída 2 8 29 2 3" xfId="46525"/>
    <cellStyle name="Saída 2 8 29 3" xfId="46526"/>
    <cellStyle name="Saída 2 8 29 4" xfId="46527"/>
    <cellStyle name="Saída 2 8 3" xfId="46528"/>
    <cellStyle name="Saída 2 8 3 2" xfId="46529"/>
    <cellStyle name="Saída 2 8 3 2 2" xfId="46530"/>
    <cellStyle name="Saída 2 8 3 2 3" xfId="46531"/>
    <cellStyle name="Saída 2 8 3 3" xfId="46532"/>
    <cellStyle name="Saída 2 8 3 4" xfId="46533"/>
    <cellStyle name="Saída 2 8 30" xfId="46534"/>
    <cellStyle name="Saída 2 8 30 2" xfId="46535"/>
    <cellStyle name="Saída 2 8 30 2 2" xfId="46536"/>
    <cellStyle name="Saída 2 8 30 2 3" xfId="46537"/>
    <cellStyle name="Saída 2 8 30 3" xfId="46538"/>
    <cellStyle name="Saída 2 8 30 4" xfId="46539"/>
    <cellStyle name="Saída 2 8 31" xfId="46540"/>
    <cellStyle name="Saída 2 8 31 2" xfId="46541"/>
    <cellStyle name="Saída 2 8 31 2 2" xfId="46542"/>
    <cellStyle name="Saída 2 8 31 2 3" xfId="46543"/>
    <cellStyle name="Saída 2 8 31 3" xfId="46544"/>
    <cellStyle name="Saída 2 8 31 4" xfId="46545"/>
    <cellStyle name="Saída 2 8 32" xfId="46546"/>
    <cellStyle name="Saída 2 8 32 2" xfId="46547"/>
    <cellStyle name="Saída 2 8 32 2 2" xfId="46548"/>
    <cellStyle name="Saída 2 8 32 2 3" xfId="46549"/>
    <cellStyle name="Saída 2 8 32 3" xfId="46550"/>
    <cellStyle name="Saída 2 8 32 4" xfId="46551"/>
    <cellStyle name="Saída 2 8 33" xfId="46552"/>
    <cellStyle name="Saída 2 8 33 2" xfId="46553"/>
    <cellStyle name="Saída 2 8 33 2 2" xfId="46554"/>
    <cellStyle name="Saída 2 8 33 2 3" xfId="46555"/>
    <cellStyle name="Saída 2 8 33 3" xfId="46556"/>
    <cellStyle name="Saída 2 8 33 4" xfId="46557"/>
    <cellStyle name="Saída 2 8 34" xfId="46558"/>
    <cellStyle name="Saída 2 8 34 2" xfId="46559"/>
    <cellStyle name="Saída 2 8 34 2 2" xfId="46560"/>
    <cellStyle name="Saída 2 8 34 2 3" xfId="46561"/>
    <cellStyle name="Saída 2 8 34 3" xfId="46562"/>
    <cellStyle name="Saída 2 8 34 4" xfId="46563"/>
    <cellStyle name="Saída 2 8 35" xfId="46564"/>
    <cellStyle name="Saída 2 8 35 2" xfId="46565"/>
    <cellStyle name="Saída 2 8 35 2 2" xfId="46566"/>
    <cellStyle name="Saída 2 8 35 2 3" xfId="46567"/>
    <cellStyle name="Saída 2 8 35 3" xfId="46568"/>
    <cellStyle name="Saída 2 8 35 4" xfId="46569"/>
    <cellStyle name="Saída 2 8 36" xfId="46570"/>
    <cellStyle name="Saída 2 8 36 2" xfId="46571"/>
    <cellStyle name="Saída 2 8 36 2 2" xfId="46572"/>
    <cellStyle name="Saída 2 8 36 2 3" xfId="46573"/>
    <cellStyle name="Saída 2 8 36 3" xfId="46574"/>
    <cellStyle name="Saída 2 8 36 4" xfId="46575"/>
    <cellStyle name="Saída 2 8 37" xfId="46576"/>
    <cellStyle name="Saída 2 8 37 2" xfId="46577"/>
    <cellStyle name="Saída 2 8 37 2 2" xfId="46578"/>
    <cellStyle name="Saída 2 8 37 2 3" xfId="46579"/>
    <cellStyle name="Saída 2 8 37 3" xfId="46580"/>
    <cellStyle name="Saída 2 8 37 4" xfId="46581"/>
    <cellStyle name="Saída 2 8 38" xfId="46582"/>
    <cellStyle name="Saída 2 8 38 2" xfId="46583"/>
    <cellStyle name="Saída 2 8 38 3" xfId="46584"/>
    <cellStyle name="Saída 2 8 39" xfId="46585"/>
    <cellStyle name="Saída 2 8 39 2" xfId="46586"/>
    <cellStyle name="Saída 2 8 39 3" xfId="46587"/>
    <cellStyle name="Saída 2 8 4" xfId="46588"/>
    <cellStyle name="Saída 2 8 4 2" xfId="46589"/>
    <cellStyle name="Saída 2 8 4 2 2" xfId="46590"/>
    <cellStyle name="Saída 2 8 4 2 3" xfId="46591"/>
    <cellStyle name="Saída 2 8 4 3" xfId="46592"/>
    <cellStyle name="Saída 2 8 4 4" xfId="46593"/>
    <cellStyle name="Saída 2 8 40" xfId="46594"/>
    <cellStyle name="Saída 2 8 40 2" xfId="46595"/>
    <cellStyle name="Saída 2 8 40 3" xfId="46596"/>
    <cellStyle name="Saída 2 8 41" xfId="46597"/>
    <cellStyle name="Saída 2 8 42" xfId="46598"/>
    <cellStyle name="Saída 2 8 5" xfId="46599"/>
    <cellStyle name="Saída 2 8 5 2" xfId="46600"/>
    <cellStyle name="Saída 2 8 5 2 2" xfId="46601"/>
    <cellStyle name="Saída 2 8 5 2 3" xfId="46602"/>
    <cellStyle name="Saída 2 8 5 3" xfId="46603"/>
    <cellStyle name="Saída 2 8 5 4" xfId="46604"/>
    <cellStyle name="Saída 2 8 6" xfId="46605"/>
    <cellStyle name="Saída 2 8 6 2" xfId="46606"/>
    <cellStyle name="Saída 2 8 6 2 2" xfId="46607"/>
    <cellStyle name="Saída 2 8 6 2 3" xfId="46608"/>
    <cellStyle name="Saída 2 8 6 3" xfId="46609"/>
    <cellStyle name="Saída 2 8 6 4" xfId="46610"/>
    <cellStyle name="Saída 2 8 7" xfId="46611"/>
    <cellStyle name="Saída 2 8 7 2" xfId="46612"/>
    <cellStyle name="Saída 2 8 7 2 2" xfId="46613"/>
    <cellStyle name="Saída 2 8 7 2 3" xfId="46614"/>
    <cellStyle name="Saída 2 8 7 3" xfId="46615"/>
    <cellStyle name="Saída 2 8 7 4" xfId="46616"/>
    <cellStyle name="Saída 2 8 8" xfId="46617"/>
    <cellStyle name="Saída 2 8 8 2" xfId="46618"/>
    <cellStyle name="Saída 2 8 8 2 2" xfId="46619"/>
    <cellStyle name="Saída 2 8 8 2 3" xfId="46620"/>
    <cellStyle name="Saída 2 8 8 3" xfId="46621"/>
    <cellStyle name="Saída 2 8 8 4" xfId="46622"/>
    <cellStyle name="Saída 2 8 9" xfId="46623"/>
    <cellStyle name="Saída 2 8 9 2" xfId="46624"/>
    <cellStyle name="Saída 2 8 9 2 2" xfId="46625"/>
    <cellStyle name="Saída 2 8 9 2 3" xfId="46626"/>
    <cellStyle name="Saída 2 8 9 3" xfId="46627"/>
    <cellStyle name="Saída 2 8 9 4" xfId="46628"/>
    <cellStyle name="Saída 2 9" xfId="46629"/>
    <cellStyle name="Saída 2 9 10" xfId="46630"/>
    <cellStyle name="Saída 2 9 10 2" xfId="46631"/>
    <cellStyle name="Saída 2 9 10 2 2" xfId="46632"/>
    <cellStyle name="Saída 2 9 10 2 3" xfId="46633"/>
    <cellStyle name="Saída 2 9 10 3" xfId="46634"/>
    <cellStyle name="Saída 2 9 10 4" xfId="46635"/>
    <cellStyle name="Saída 2 9 11" xfId="46636"/>
    <cellStyle name="Saída 2 9 11 2" xfId="46637"/>
    <cellStyle name="Saída 2 9 11 2 2" xfId="46638"/>
    <cellStyle name="Saída 2 9 11 2 3" xfId="46639"/>
    <cellStyle name="Saída 2 9 11 3" xfId="46640"/>
    <cellStyle name="Saída 2 9 11 4" xfId="46641"/>
    <cellStyle name="Saída 2 9 12" xfId="46642"/>
    <cellStyle name="Saída 2 9 12 2" xfId="46643"/>
    <cellStyle name="Saída 2 9 12 2 2" xfId="46644"/>
    <cellStyle name="Saída 2 9 12 2 3" xfId="46645"/>
    <cellStyle name="Saída 2 9 12 3" xfId="46646"/>
    <cellStyle name="Saída 2 9 12 4" xfId="46647"/>
    <cellStyle name="Saída 2 9 13" xfId="46648"/>
    <cellStyle name="Saída 2 9 13 2" xfId="46649"/>
    <cellStyle name="Saída 2 9 13 2 2" xfId="46650"/>
    <cellStyle name="Saída 2 9 13 2 3" xfId="46651"/>
    <cellStyle name="Saída 2 9 13 3" xfId="46652"/>
    <cellStyle name="Saída 2 9 13 4" xfId="46653"/>
    <cellStyle name="Saída 2 9 14" xfId="46654"/>
    <cellStyle name="Saída 2 9 14 2" xfId="46655"/>
    <cellStyle name="Saída 2 9 14 2 2" xfId="46656"/>
    <cellStyle name="Saída 2 9 14 2 3" xfId="46657"/>
    <cellStyle name="Saída 2 9 14 3" xfId="46658"/>
    <cellStyle name="Saída 2 9 14 4" xfId="46659"/>
    <cellStyle name="Saída 2 9 15" xfId="46660"/>
    <cellStyle name="Saída 2 9 15 2" xfId="46661"/>
    <cellStyle name="Saída 2 9 15 2 2" xfId="46662"/>
    <cellStyle name="Saída 2 9 15 2 3" xfId="46663"/>
    <cellStyle name="Saída 2 9 15 3" xfId="46664"/>
    <cellStyle name="Saída 2 9 15 4" xfId="46665"/>
    <cellStyle name="Saída 2 9 16" xfId="46666"/>
    <cellStyle name="Saída 2 9 16 2" xfId="46667"/>
    <cellStyle name="Saída 2 9 16 2 2" xfId="46668"/>
    <cellStyle name="Saída 2 9 16 2 3" xfId="46669"/>
    <cellStyle name="Saída 2 9 16 3" xfId="46670"/>
    <cellStyle name="Saída 2 9 16 4" xfId="46671"/>
    <cellStyle name="Saída 2 9 17" xfId="46672"/>
    <cellStyle name="Saída 2 9 17 2" xfId="46673"/>
    <cellStyle name="Saída 2 9 17 2 2" xfId="46674"/>
    <cellStyle name="Saída 2 9 17 2 3" xfId="46675"/>
    <cellStyle name="Saída 2 9 17 3" xfId="46676"/>
    <cellStyle name="Saída 2 9 17 4" xfId="46677"/>
    <cellStyle name="Saída 2 9 18" xfId="46678"/>
    <cellStyle name="Saída 2 9 18 2" xfId="46679"/>
    <cellStyle name="Saída 2 9 18 2 2" xfId="46680"/>
    <cellStyle name="Saída 2 9 18 2 3" xfId="46681"/>
    <cellStyle name="Saída 2 9 18 3" xfId="46682"/>
    <cellStyle name="Saída 2 9 18 4" xfId="46683"/>
    <cellStyle name="Saída 2 9 19" xfId="46684"/>
    <cellStyle name="Saída 2 9 19 2" xfId="46685"/>
    <cellStyle name="Saída 2 9 19 2 2" xfId="46686"/>
    <cellStyle name="Saída 2 9 19 2 3" xfId="46687"/>
    <cellStyle name="Saída 2 9 19 3" xfId="46688"/>
    <cellStyle name="Saída 2 9 19 4" xfId="46689"/>
    <cellStyle name="Saída 2 9 2" xfId="46690"/>
    <cellStyle name="Saída 2 9 2 2" xfId="46691"/>
    <cellStyle name="Saída 2 9 2 2 2" xfId="46692"/>
    <cellStyle name="Saída 2 9 2 2 3" xfId="46693"/>
    <cellStyle name="Saída 2 9 2 3" xfId="46694"/>
    <cellStyle name="Saída 2 9 2 4" xfId="46695"/>
    <cellStyle name="Saída 2 9 20" xfId="46696"/>
    <cellStyle name="Saída 2 9 20 2" xfId="46697"/>
    <cellStyle name="Saída 2 9 20 2 2" xfId="46698"/>
    <cellStyle name="Saída 2 9 20 2 3" xfId="46699"/>
    <cellStyle name="Saída 2 9 20 3" xfId="46700"/>
    <cellStyle name="Saída 2 9 20 4" xfId="46701"/>
    <cellStyle name="Saída 2 9 21" xfId="46702"/>
    <cellStyle name="Saída 2 9 21 2" xfId="46703"/>
    <cellStyle name="Saída 2 9 21 2 2" xfId="46704"/>
    <cellStyle name="Saída 2 9 21 2 3" xfId="46705"/>
    <cellStyle name="Saída 2 9 21 3" xfId="46706"/>
    <cellStyle name="Saída 2 9 21 4" xfId="46707"/>
    <cellStyle name="Saída 2 9 22" xfId="46708"/>
    <cellStyle name="Saída 2 9 22 2" xfId="46709"/>
    <cellStyle name="Saída 2 9 22 2 2" xfId="46710"/>
    <cellStyle name="Saída 2 9 22 2 3" xfId="46711"/>
    <cellStyle name="Saída 2 9 22 3" xfId="46712"/>
    <cellStyle name="Saída 2 9 22 4" xfId="46713"/>
    <cellStyle name="Saída 2 9 23" xfId="46714"/>
    <cellStyle name="Saída 2 9 23 2" xfId="46715"/>
    <cellStyle name="Saída 2 9 23 2 2" xfId="46716"/>
    <cellStyle name="Saída 2 9 23 2 3" xfId="46717"/>
    <cellStyle name="Saída 2 9 23 3" xfId="46718"/>
    <cellStyle name="Saída 2 9 23 4" xfId="46719"/>
    <cellStyle name="Saída 2 9 24" xfId="46720"/>
    <cellStyle name="Saída 2 9 24 2" xfId="46721"/>
    <cellStyle name="Saída 2 9 24 2 2" xfId="46722"/>
    <cellStyle name="Saída 2 9 24 2 3" xfId="46723"/>
    <cellStyle name="Saída 2 9 24 3" xfId="46724"/>
    <cellStyle name="Saída 2 9 24 4" xfId="46725"/>
    <cellStyle name="Saída 2 9 25" xfId="46726"/>
    <cellStyle name="Saída 2 9 25 2" xfId="46727"/>
    <cellStyle name="Saída 2 9 25 2 2" xfId="46728"/>
    <cellStyle name="Saída 2 9 25 2 3" xfId="46729"/>
    <cellStyle name="Saída 2 9 25 3" xfId="46730"/>
    <cellStyle name="Saída 2 9 25 4" xfId="46731"/>
    <cellStyle name="Saída 2 9 26" xfId="46732"/>
    <cellStyle name="Saída 2 9 26 2" xfId="46733"/>
    <cellStyle name="Saída 2 9 26 2 2" xfId="46734"/>
    <cellStyle name="Saída 2 9 26 2 3" xfId="46735"/>
    <cellStyle name="Saída 2 9 26 3" xfId="46736"/>
    <cellStyle name="Saída 2 9 26 4" xfId="46737"/>
    <cellStyle name="Saída 2 9 27" xfId="46738"/>
    <cellStyle name="Saída 2 9 27 2" xfId="46739"/>
    <cellStyle name="Saída 2 9 27 2 2" xfId="46740"/>
    <cellStyle name="Saída 2 9 27 2 3" xfId="46741"/>
    <cellStyle name="Saída 2 9 27 3" xfId="46742"/>
    <cellStyle name="Saída 2 9 27 4" xfId="46743"/>
    <cellStyle name="Saída 2 9 28" xfId="46744"/>
    <cellStyle name="Saída 2 9 28 2" xfId="46745"/>
    <cellStyle name="Saída 2 9 28 2 2" xfId="46746"/>
    <cellStyle name="Saída 2 9 28 2 3" xfId="46747"/>
    <cellStyle name="Saída 2 9 28 3" xfId="46748"/>
    <cellStyle name="Saída 2 9 28 4" xfId="46749"/>
    <cellStyle name="Saída 2 9 29" xfId="46750"/>
    <cellStyle name="Saída 2 9 29 2" xfId="46751"/>
    <cellStyle name="Saída 2 9 29 2 2" xfId="46752"/>
    <cellStyle name="Saída 2 9 29 2 3" xfId="46753"/>
    <cellStyle name="Saída 2 9 29 3" xfId="46754"/>
    <cellStyle name="Saída 2 9 29 4" xfId="46755"/>
    <cellStyle name="Saída 2 9 3" xfId="46756"/>
    <cellStyle name="Saída 2 9 3 2" xfId="46757"/>
    <cellStyle name="Saída 2 9 3 2 2" xfId="46758"/>
    <cellStyle name="Saída 2 9 3 2 3" xfId="46759"/>
    <cellStyle name="Saída 2 9 3 3" xfId="46760"/>
    <cellStyle name="Saída 2 9 3 4" xfId="46761"/>
    <cellStyle name="Saída 2 9 30" xfId="46762"/>
    <cellStyle name="Saída 2 9 30 2" xfId="46763"/>
    <cellStyle name="Saída 2 9 30 2 2" xfId="46764"/>
    <cellStyle name="Saída 2 9 30 2 3" xfId="46765"/>
    <cellStyle name="Saída 2 9 30 3" xfId="46766"/>
    <cellStyle name="Saída 2 9 30 4" xfId="46767"/>
    <cellStyle name="Saída 2 9 31" xfId="46768"/>
    <cellStyle name="Saída 2 9 31 2" xfId="46769"/>
    <cellStyle name="Saída 2 9 31 2 2" xfId="46770"/>
    <cellStyle name="Saída 2 9 31 2 3" xfId="46771"/>
    <cellStyle name="Saída 2 9 31 3" xfId="46772"/>
    <cellStyle name="Saída 2 9 31 4" xfId="46773"/>
    <cellStyle name="Saída 2 9 32" xfId="46774"/>
    <cellStyle name="Saída 2 9 32 2" xfId="46775"/>
    <cellStyle name="Saída 2 9 32 2 2" xfId="46776"/>
    <cellStyle name="Saída 2 9 32 2 3" xfId="46777"/>
    <cellStyle name="Saída 2 9 32 3" xfId="46778"/>
    <cellStyle name="Saída 2 9 32 4" xfId="46779"/>
    <cellStyle name="Saída 2 9 33" xfId="46780"/>
    <cellStyle name="Saída 2 9 33 2" xfId="46781"/>
    <cellStyle name="Saída 2 9 33 2 2" xfId="46782"/>
    <cellStyle name="Saída 2 9 33 2 3" xfId="46783"/>
    <cellStyle name="Saída 2 9 33 3" xfId="46784"/>
    <cellStyle name="Saída 2 9 33 4" xfId="46785"/>
    <cellStyle name="Saída 2 9 34" xfId="46786"/>
    <cellStyle name="Saída 2 9 34 2" xfId="46787"/>
    <cellStyle name="Saída 2 9 34 2 2" xfId="46788"/>
    <cellStyle name="Saída 2 9 34 2 3" xfId="46789"/>
    <cellStyle name="Saída 2 9 34 3" xfId="46790"/>
    <cellStyle name="Saída 2 9 34 4" xfId="46791"/>
    <cellStyle name="Saída 2 9 35" xfId="46792"/>
    <cellStyle name="Saída 2 9 35 2" xfId="46793"/>
    <cellStyle name="Saída 2 9 35 2 2" xfId="46794"/>
    <cellStyle name="Saída 2 9 35 2 3" xfId="46795"/>
    <cellStyle name="Saída 2 9 35 3" xfId="46796"/>
    <cellStyle name="Saída 2 9 35 4" xfId="46797"/>
    <cellStyle name="Saída 2 9 36" xfId="46798"/>
    <cellStyle name="Saída 2 9 36 2" xfId="46799"/>
    <cellStyle name="Saída 2 9 36 2 2" xfId="46800"/>
    <cellStyle name="Saída 2 9 36 2 3" xfId="46801"/>
    <cellStyle name="Saída 2 9 36 3" xfId="46802"/>
    <cellStyle name="Saída 2 9 36 4" xfId="46803"/>
    <cellStyle name="Saída 2 9 37" xfId="46804"/>
    <cellStyle name="Saída 2 9 37 2" xfId="46805"/>
    <cellStyle name="Saída 2 9 37 2 2" xfId="46806"/>
    <cellStyle name="Saída 2 9 37 2 3" xfId="46807"/>
    <cellStyle name="Saída 2 9 37 3" xfId="46808"/>
    <cellStyle name="Saída 2 9 37 4" xfId="46809"/>
    <cellStyle name="Saída 2 9 38" xfId="46810"/>
    <cellStyle name="Saída 2 9 38 2" xfId="46811"/>
    <cellStyle name="Saída 2 9 38 2 2" xfId="46812"/>
    <cellStyle name="Saída 2 9 38 2 3" xfId="46813"/>
    <cellStyle name="Saída 2 9 38 3" xfId="46814"/>
    <cellStyle name="Saída 2 9 38 4" xfId="46815"/>
    <cellStyle name="Saída 2 9 39" xfId="46816"/>
    <cellStyle name="Saída 2 9 39 2" xfId="46817"/>
    <cellStyle name="Saída 2 9 39 2 2" xfId="46818"/>
    <cellStyle name="Saída 2 9 39 2 3" xfId="46819"/>
    <cellStyle name="Saída 2 9 39 3" xfId="46820"/>
    <cellStyle name="Saída 2 9 39 4" xfId="46821"/>
    <cellStyle name="Saída 2 9 4" xfId="46822"/>
    <cellStyle name="Saída 2 9 4 2" xfId="46823"/>
    <cellStyle name="Saída 2 9 4 2 2" xfId="46824"/>
    <cellStyle name="Saída 2 9 4 2 3" xfId="46825"/>
    <cellStyle name="Saída 2 9 4 3" xfId="46826"/>
    <cellStyle name="Saída 2 9 4 4" xfId="46827"/>
    <cellStyle name="Saída 2 9 40" xfId="46828"/>
    <cellStyle name="Saída 2 9 40 2" xfId="46829"/>
    <cellStyle name="Saída 2 9 40 2 2" xfId="46830"/>
    <cellStyle name="Saída 2 9 40 2 3" xfId="46831"/>
    <cellStyle name="Saída 2 9 40 3" xfId="46832"/>
    <cellStyle name="Saída 2 9 40 4" xfId="46833"/>
    <cellStyle name="Saída 2 9 41" xfId="46834"/>
    <cellStyle name="Saída 2 9 41 2" xfId="46835"/>
    <cellStyle name="Saída 2 9 41 2 2" xfId="46836"/>
    <cellStyle name="Saída 2 9 41 2 3" xfId="46837"/>
    <cellStyle name="Saída 2 9 41 3" xfId="46838"/>
    <cellStyle name="Saída 2 9 41 4" xfId="46839"/>
    <cellStyle name="Saída 2 9 42" xfId="46840"/>
    <cellStyle name="Saída 2 9 42 2" xfId="46841"/>
    <cellStyle name="Saída 2 9 42 3" xfId="46842"/>
    <cellStyle name="Saída 2 9 43" xfId="46843"/>
    <cellStyle name="Saída 2 9 43 2" xfId="46844"/>
    <cellStyle name="Saída 2 9 43 3" xfId="46845"/>
    <cellStyle name="Saída 2 9 44" xfId="46846"/>
    <cellStyle name="Saída 2 9 45" xfId="46847"/>
    <cellStyle name="Saída 2 9 5" xfId="46848"/>
    <cellStyle name="Saída 2 9 5 2" xfId="46849"/>
    <cellStyle name="Saída 2 9 5 2 2" xfId="46850"/>
    <cellStyle name="Saída 2 9 5 2 3" xfId="46851"/>
    <cellStyle name="Saída 2 9 5 3" xfId="46852"/>
    <cellStyle name="Saída 2 9 5 4" xfId="46853"/>
    <cellStyle name="Saída 2 9 6" xfId="46854"/>
    <cellStyle name="Saída 2 9 6 2" xfId="46855"/>
    <cellStyle name="Saída 2 9 6 2 2" xfId="46856"/>
    <cellStyle name="Saída 2 9 6 2 3" xfId="46857"/>
    <cellStyle name="Saída 2 9 6 3" xfId="46858"/>
    <cellStyle name="Saída 2 9 6 4" xfId="46859"/>
    <cellStyle name="Saída 2 9 7" xfId="46860"/>
    <cellStyle name="Saída 2 9 7 2" xfId="46861"/>
    <cellStyle name="Saída 2 9 7 2 2" xfId="46862"/>
    <cellStyle name="Saída 2 9 7 2 3" xfId="46863"/>
    <cellStyle name="Saída 2 9 7 3" xfId="46864"/>
    <cellStyle name="Saída 2 9 7 4" xfId="46865"/>
    <cellStyle name="Saída 2 9 8" xfId="46866"/>
    <cellStyle name="Saída 2 9 8 2" xfId="46867"/>
    <cellStyle name="Saída 2 9 8 2 2" xfId="46868"/>
    <cellStyle name="Saída 2 9 8 2 3" xfId="46869"/>
    <cellStyle name="Saída 2 9 8 3" xfId="46870"/>
    <cellStyle name="Saída 2 9 8 4" xfId="46871"/>
    <cellStyle name="Saída 2 9 9" xfId="46872"/>
    <cellStyle name="Saída 2 9 9 2" xfId="46873"/>
    <cellStyle name="Saída 2 9 9 2 2" xfId="46874"/>
    <cellStyle name="Saída 2 9 9 2 3" xfId="46875"/>
    <cellStyle name="Saída 2 9 9 3" xfId="46876"/>
    <cellStyle name="Saída 2 9 9 4" xfId="46877"/>
    <cellStyle name="Saída 3" xfId="46878"/>
    <cellStyle name="Saída 3 2" xfId="46879"/>
    <cellStyle name="Saída 3 2 2" xfId="46880"/>
    <cellStyle name="Saída 3 2 2 2" xfId="46881"/>
    <cellStyle name="Saída 3 2 2 2 2" xfId="46882"/>
    <cellStyle name="Saída 3 2 2 2 3" xfId="46883"/>
    <cellStyle name="Saída 3 2 2 3" xfId="46884"/>
    <cellStyle name="Saída 3 2 2 4" xfId="46885"/>
    <cellStyle name="Saída 3 2 3" xfId="46886"/>
    <cellStyle name="Saída 3 2 3 2" xfId="46887"/>
    <cellStyle name="Saída 3 2 3 2 2" xfId="46888"/>
    <cellStyle name="Saída 3 2 3 2 3" xfId="46889"/>
    <cellStyle name="Saída 3 2 3 3" xfId="46890"/>
    <cellStyle name="Saída 3 2 3 4" xfId="46891"/>
    <cellStyle name="Saída 3 2 4" xfId="46892"/>
    <cellStyle name="Saída 3 2 4 2" xfId="46893"/>
    <cellStyle name="Saída 3 2 4 3" xfId="46894"/>
    <cellStyle name="Saída 3 2 5" xfId="46895"/>
    <cellStyle name="Saída 3 2 6" xfId="46896"/>
    <cellStyle name="Saída 3 3" xfId="46897"/>
    <cellStyle name="Saída 3 3 2" xfId="46898"/>
    <cellStyle name="Saída 3 3 2 2" xfId="46899"/>
    <cellStyle name="Saída 3 3 2 3" xfId="46900"/>
    <cellStyle name="Saída 3 3 3" xfId="46901"/>
    <cellStyle name="Saída 3 3 4" xfId="46902"/>
    <cellStyle name="Saída 3 4" xfId="46903"/>
    <cellStyle name="Saída 3 4 2" xfId="46904"/>
    <cellStyle name="Saída 3 4 2 2" xfId="46905"/>
    <cellStyle name="Saída 3 4 2 3" xfId="46906"/>
    <cellStyle name="Saída 3 4 3" xfId="46907"/>
    <cellStyle name="Saída 3 4 4" xfId="46908"/>
    <cellStyle name="Saída 3 5" xfId="46909"/>
    <cellStyle name="Saída 3 5 2" xfId="46910"/>
    <cellStyle name="Saída 3 5 3" xfId="46911"/>
    <cellStyle name="Saída 3 6" xfId="46912"/>
    <cellStyle name="Saída 3 7" xfId="46913"/>
    <cellStyle name="Saída 4" xfId="46914"/>
    <cellStyle name="Saída 4 2" xfId="46915"/>
    <cellStyle name="Saída 4 2 2" xfId="46916"/>
    <cellStyle name="Saída 4 2 2 2" xfId="46917"/>
    <cellStyle name="Saída 4 2 2 2 2" xfId="46918"/>
    <cellStyle name="Saída 4 2 2 2 3" xfId="46919"/>
    <cellStyle name="Saída 4 2 2 3" xfId="46920"/>
    <cellStyle name="Saída 4 2 2 4" xfId="46921"/>
    <cellStyle name="Saída 4 2 3" xfId="46922"/>
    <cellStyle name="Saída 4 2 3 2" xfId="46923"/>
    <cellStyle name="Saída 4 2 3 2 2" xfId="46924"/>
    <cellStyle name="Saída 4 2 3 2 3" xfId="46925"/>
    <cellStyle name="Saída 4 2 3 3" xfId="46926"/>
    <cellStyle name="Saída 4 2 3 4" xfId="46927"/>
    <cellStyle name="Saída 4 2 4" xfId="46928"/>
    <cellStyle name="Saída 4 2 4 2" xfId="46929"/>
    <cellStyle name="Saída 4 2 4 3" xfId="46930"/>
    <cellStyle name="Saída 4 2 5" xfId="46931"/>
    <cellStyle name="Saída 4 2 6" xfId="46932"/>
    <cellStyle name="Saída 4 3" xfId="46933"/>
    <cellStyle name="Saída 4 3 2" xfId="46934"/>
    <cellStyle name="Saída 4 3 2 2" xfId="46935"/>
    <cellStyle name="Saída 4 3 2 3" xfId="46936"/>
    <cellStyle name="Saída 4 3 3" xfId="46937"/>
    <cellStyle name="Saída 4 3 4" xfId="46938"/>
    <cellStyle name="Saída 4 4" xfId="46939"/>
    <cellStyle name="Saída 4 4 2" xfId="46940"/>
    <cellStyle name="Saída 4 4 2 2" xfId="46941"/>
    <cellStyle name="Saída 4 4 2 3" xfId="46942"/>
    <cellStyle name="Saída 4 4 3" xfId="46943"/>
    <cellStyle name="Saída 4 4 4" xfId="46944"/>
    <cellStyle name="Saída 4 5" xfId="46945"/>
    <cellStyle name="Saída 4 5 2" xfId="46946"/>
    <cellStyle name="Saída 4 5 3" xfId="46947"/>
    <cellStyle name="Saída 4 6" xfId="46948"/>
    <cellStyle name="Saída 4 7" xfId="46949"/>
    <cellStyle name="Saída 5" xfId="46950"/>
    <cellStyle name="Saída 5 2" xfId="46951"/>
    <cellStyle name="Saída 5 2 2" xfId="46952"/>
    <cellStyle name="Saída 5 2 2 2" xfId="46953"/>
    <cellStyle name="Saída 5 2 2 2 2" xfId="46954"/>
    <cellStyle name="Saída 5 2 2 2 3" xfId="46955"/>
    <cellStyle name="Saída 5 2 2 3" xfId="46956"/>
    <cellStyle name="Saída 5 2 2 4" xfId="46957"/>
    <cellStyle name="Saída 5 2 3" xfId="46958"/>
    <cellStyle name="Saída 5 2 3 2" xfId="46959"/>
    <cellStyle name="Saída 5 2 3 2 2" xfId="46960"/>
    <cellStyle name="Saída 5 2 3 2 3" xfId="46961"/>
    <cellStyle name="Saída 5 2 3 3" xfId="46962"/>
    <cellStyle name="Saída 5 2 3 4" xfId="46963"/>
    <cellStyle name="Saída 5 2 4" xfId="46964"/>
    <cellStyle name="Saída 5 2 4 2" xfId="46965"/>
    <cellStyle name="Saída 5 2 4 3" xfId="46966"/>
    <cellStyle name="Saída 5 2 5" xfId="46967"/>
    <cellStyle name="Saída 5 2 6" xfId="46968"/>
    <cellStyle name="Saída 5 3" xfId="46969"/>
    <cellStyle name="Saída 5 3 2" xfId="46970"/>
    <cellStyle name="Saída 5 3 2 2" xfId="46971"/>
    <cellStyle name="Saída 5 3 2 3" xfId="46972"/>
    <cellStyle name="Saída 5 3 3" xfId="46973"/>
    <cellStyle name="Saída 5 3 4" xfId="46974"/>
    <cellStyle name="Saída 5 4" xfId="46975"/>
    <cellStyle name="Saída 5 4 2" xfId="46976"/>
    <cellStyle name="Saída 5 4 2 2" xfId="46977"/>
    <cellStyle name="Saída 5 4 2 3" xfId="46978"/>
    <cellStyle name="Saída 5 4 3" xfId="46979"/>
    <cellStyle name="Saída 5 4 4" xfId="46980"/>
    <cellStyle name="Saída 5 5" xfId="46981"/>
    <cellStyle name="Saída 5 5 2" xfId="46982"/>
    <cellStyle name="Saída 5 5 3" xfId="46983"/>
    <cellStyle name="Saída 5 6" xfId="46984"/>
    <cellStyle name="Saída 5 7" xfId="46985"/>
    <cellStyle name="Saída 6" xfId="46986"/>
    <cellStyle name="Saída 6 2" xfId="46987"/>
    <cellStyle name="Saída 6 2 2" xfId="46988"/>
    <cellStyle name="Saída 6 2 2 2" xfId="46989"/>
    <cellStyle name="Saída 6 2 2 2 2" xfId="46990"/>
    <cellStyle name="Saída 6 2 2 2 3" xfId="46991"/>
    <cellStyle name="Saída 6 2 2 3" xfId="46992"/>
    <cellStyle name="Saída 6 2 2 4" xfId="46993"/>
    <cellStyle name="Saída 6 2 3" xfId="46994"/>
    <cellStyle name="Saída 6 2 3 2" xfId="46995"/>
    <cellStyle name="Saída 6 2 3 2 2" xfId="46996"/>
    <cellStyle name="Saída 6 2 3 2 3" xfId="46997"/>
    <cellStyle name="Saída 6 2 3 3" xfId="46998"/>
    <cellStyle name="Saída 6 2 3 4" xfId="46999"/>
    <cellStyle name="Saída 6 2 4" xfId="47000"/>
    <cellStyle name="Saída 6 2 4 2" xfId="47001"/>
    <cellStyle name="Saída 6 2 4 3" xfId="47002"/>
    <cellStyle name="Saída 6 2 5" xfId="47003"/>
    <cellStyle name="Saída 6 2 6" xfId="47004"/>
    <cellStyle name="Saída 6 3" xfId="47005"/>
    <cellStyle name="Saída 6 3 2" xfId="47006"/>
    <cellStyle name="Saída 6 3 2 2" xfId="47007"/>
    <cellStyle name="Saída 6 3 2 3" xfId="47008"/>
    <cellStyle name="Saída 6 3 3" xfId="47009"/>
    <cellStyle name="Saída 6 3 4" xfId="47010"/>
    <cellStyle name="Saída 6 4" xfId="47011"/>
    <cellStyle name="Saída 6 4 2" xfId="47012"/>
    <cellStyle name="Saída 6 4 2 2" xfId="47013"/>
    <cellStyle name="Saída 6 4 2 3" xfId="47014"/>
    <cellStyle name="Saída 6 4 3" xfId="47015"/>
    <cellStyle name="Saída 6 4 4" xfId="47016"/>
    <cellStyle name="Saída 6 5" xfId="47017"/>
    <cellStyle name="Saída 6 5 2" xfId="47018"/>
    <cellStyle name="Saída 6 5 3" xfId="47019"/>
    <cellStyle name="Saída 6 6" xfId="47020"/>
    <cellStyle name="Saída 6 7" xfId="47021"/>
    <cellStyle name="Saída 7" xfId="47022"/>
    <cellStyle name="Saída 7 2" xfId="47023"/>
    <cellStyle name="Saída 7 2 2" xfId="47024"/>
    <cellStyle name="Saída 7 2 2 2" xfId="47025"/>
    <cellStyle name="Saída 7 2 2 2 2" xfId="47026"/>
    <cellStyle name="Saída 7 2 2 2 3" xfId="47027"/>
    <cellStyle name="Saída 7 2 2 3" xfId="47028"/>
    <cellStyle name="Saída 7 2 2 4" xfId="47029"/>
    <cellStyle name="Saída 7 2 3" xfId="47030"/>
    <cellStyle name="Saída 7 2 3 2" xfId="47031"/>
    <cellStyle name="Saída 7 2 3 2 2" xfId="47032"/>
    <cellStyle name="Saída 7 2 3 2 3" xfId="47033"/>
    <cellStyle name="Saída 7 2 3 3" xfId="47034"/>
    <cellStyle name="Saída 7 2 3 4" xfId="47035"/>
    <cellStyle name="Saída 7 2 4" xfId="47036"/>
    <cellStyle name="Saída 7 2 4 2" xfId="47037"/>
    <cellStyle name="Saída 7 2 4 3" xfId="47038"/>
    <cellStyle name="Saída 7 2 5" xfId="47039"/>
    <cellStyle name="Saída 7 2 6" xfId="47040"/>
    <cellStyle name="Saída 7 3" xfId="47041"/>
    <cellStyle name="Saída 7 3 2" xfId="47042"/>
    <cellStyle name="Saída 7 3 2 2" xfId="47043"/>
    <cellStyle name="Saída 7 3 2 3" xfId="47044"/>
    <cellStyle name="Saída 7 3 3" xfId="47045"/>
    <cellStyle name="Saída 7 3 4" xfId="47046"/>
    <cellStyle name="Saída 7 4" xfId="47047"/>
    <cellStyle name="Saída 7 4 2" xfId="47048"/>
    <cellStyle name="Saída 7 4 2 2" xfId="47049"/>
    <cellStyle name="Saída 7 4 2 3" xfId="47050"/>
    <cellStyle name="Saída 7 4 3" xfId="47051"/>
    <cellStyle name="Saída 7 4 4" xfId="47052"/>
    <cellStyle name="Saída 7 5" xfId="47053"/>
    <cellStyle name="Saída 7 5 2" xfId="47054"/>
    <cellStyle name="Saída 7 5 3" xfId="47055"/>
    <cellStyle name="Saída 7 6" xfId="47056"/>
    <cellStyle name="Saída 7 7" xfId="47057"/>
    <cellStyle name="Saída 8" xfId="47058"/>
    <cellStyle name="Saída 8 2" xfId="47059"/>
    <cellStyle name="Saída 8 2 2" xfId="47060"/>
    <cellStyle name="Saída 8 2 2 2" xfId="47061"/>
    <cellStyle name="Saída 8 2 2 2 2" xfId="47062"/>
    <cellStyle name="Saída 8 2 2 2 3" xfId="47063"/>
    <cellStyle name="Saída 8 2 2 3" xfId="47064"/>
    <cellStyle name="Saída 8 2 2 4" xfId="47065"/>
    <cellStyle name="Saída 8 2 3" xfId="47066"/>
    <cellStyle name="Saída 8 2 3 2" xfId="47067"/>
    <cellStyle name="Saída 8 2 3 2 2" xfId="47068"/>
    <cellStyle name="Saída 8 2 3 2 3" xfId="47069"/>
    <cellStyle name="Saída 8 2 3 3" xfId="47070"/>
    <cellStyle name="Saída 8 2 3 4" xfId="47071"/>
    <cellStyle name="Saída 8 2 4" xfId="47072"/>
    <cellStyle name="Saída 8 2 4 2" xfId="47073"/>
    <cellStyle name="Saída 8 2 4 3" xfId="47074"/>
    <cellStyle name="Saída 8 2 5" xfId="47075"/>
    <cellStyle name="Saída 8 2 6" xfId="47076"/>
    <cellStyle name="Saída 8 3" xfId="47077"/>
    <cellStyle name="Saída 8 3 2" xfId="47078"/>
    <cellStyle name="Saída 8 3 2 2" xfId="47079"/>
    <cellStyle name="Saída 8 3 2 3" xfId="47080"/>
    <cellStyle name="Saída 8 3 3" xfId="47081"/>
    <cellStyle name="Saída 8 3 4" xfId="47082"/>
    <cellStyle name="Saída 8 4" xfId="47083"/>
    <cellStyle name="Saída 8 4 2" xfId="47084"/>
    <cellStyle name="Saída 8 4 2 2" xfId="47085"/>
    <cellStyle name="Saída 8 4 2 3" xfId="47086"/>
    <cellStyle name="Saída 8 4 3" xfId="47087"/>
    <cellStyle name="Saída 8 4 4" xfId="47088"/>
    <cellStyle name="Saída 8 5" xfId="47089"/>
    <cellStyle name="Saída 8 5 2" xfId="47090"/>
    <cellStyle name="Saída 8 5 3" xfId="47091"/>
    <cellStyle name="Saída 8 6" xfId="47092"/>
    <cellStyle name="Saída 8 7" xfId="47093"/>
    <cellStyle name="Saída 9" xfId="47094"/>
    <cellStyle name="Saída 9 2" xfId="47095"/>
    <cellStyle name="Saída 9 2 2" xfId="47096"/>
    <cellStyle name="Saída 9 2 2 2" xfId="47097"/>
    <cellStyle name="Saída 9 2 2 3" xfId="47098"/>
    <cellStyle name="Saída 9 2 3" xfId="47099"/>
    <cellStyle name="Saída 9 2 4" xfId="47100"/>
    <cellStyle name="Saída 9 3" xfId="47101"/>
    <cellStyle name="Saída 9 3 2" xfId="47102"/>
    <cellStyle name="Saída 9 3 2 2" xfId="47103"/>
    <cellStyle name="Saída 9 3 2 3" xfId="47104"/>
    <cellStyle name="Saída 9 3 3" xfId="47105"/>
    <cellStyle name="Saída 9 3 4" xfId="47106"/>
    <cellStyle name="Saída 9 4" xfId="47107"/>
    <cellStyle name="Saída 9 4 2" xfId="47108"/>
    <cellStyle name="Saída 9 4 3" xfId="47109"/>
    <cellStyle name="Saída 9 5" xfId="47110"/>
    <cellStyle name="Saída 9 6" xfId="47111"/>
    <cellStyle name="Salida" xfId="47112"/>
    <cellStyle name="SAPBEXaggData" xfId="47113"/>
    <cellStyle name="SAPBEXaggData 2" xfId="47114"/>
    <cellStyle name="SAPBEXaggData 2 2" xfId="47115"/>
    <cellStyle name="SAPBEXaggData 2 2 2" xfId="47116"/>
    <cellStyle name="SAPBEXaggData 2 2 3" xfId="47117"/>
    <cellStyle name="SAPBEXaggData 2 3" xfId="47118"/>
    <cellStyle name="SAPBEXaggData 2 4" xfId="47119"/>
    <cellStyle name="SAPBEXaggData 3" xfId="47120"/>
    <cellStyle name="SAPBEXaggData 3 2" xfId="47121"/>
    <cellStyle name="SAPBEXaggData 3 2 2" xfId="47122"/>
    <cellStyle name="SAPBEXaggData 3 2 3" xfId="47123"/>
    <cellStyle name="SAPBEXaggData 3 3" xfId="47124"/>
    <cellStyle name="SAPBEXaggData 3 4" xfId="47125"/>
    <cellStyle name="SAPBEXaggData 4" xfId="47126"/>
    <cellStyle name="SAPBEXaggData 4 2" xfId="47127"/>
    <cellStyle name="SAPBEXaggData 4 3" xfId="47128"/>
    <cellStyle name="SAPBEXaggData 5" xfId="47129"/>
    <cellStyle name="SAPBEXaggData 6" xfId="47130"/>
    <cellStyle name="SAPBEXaggDataEmph" xfId="47131"/>
    <cellStyle name="SAPBEXaggDataEmph 2" xfId="47132"/>
    <cellStyle name="SAPBEXaggDataEmph 2 2" xfId="47133"/>
    <cellStyle name="SAPBEXaggDataEmph 2 2 2" xfId="47134"/>
    <cellStyle name="SAPBEXaggDataEmph 2 2 3" xfId="47135"/>
    <cellStyle name="SAPBEXaggDataEmph 2 3" xfId="47136"/>
    <cellStyle name="SAPBEXaggDataEmph 2 4" xfId="47137"/>
    <cellStyle name="SAPBEXaggDataEmph 3" xfId="47138"/>
    <cellStyle name="SAPBEXaggDataEmph 3 2" xfId="47139"/>
    <cellStyle name="SAPBEXaggDataEmph 3 2 2" xfId="47140"/>
    <cellStyle name="SAPBEXaggDataEmph 3 2 3" xfId="47141"/>
    <cellStyle name="SAPBEXaggDataEmph 3 3" xfId="47142"/>
    <cellStyle name="SAPBEXaggDataEmph 3 4" xfId="47143"/>
    <cellStyle name="SAPBEXaggDataEmph 4" xfId="47144"/>
    <cellStyle name="SAPBEXaggDataEmph 4 2" xfId="47145"/>
    <cellStyle name="SAPBEXaggDataEmph 4 3" xfId="47146"/>
    <cellStyle name="SAPBEXaggDataEmph 5" xfId="47147"/>
    <cellStyle name="SAPBEXaggDataEmph 6" xfId="47148"/>
    <cellStyle name="SAPBEXaggItem" xfId="47149"/>
    <cellStyle name="SAPBEXaggItem 2" xfId="47150"/>
    <cellStyle name="SAPBEXaggItem 2 2" xfId="47151"/>
    <cellStyle name="SAPBEXaggItem 2 2 2" xfId="47152"/>
    <cellStyle name="SAPBEXaggItem 2 2 3" xfId="47153"/>
    <cellStyle name="SAPBEXaggItem 2 3" xfId="47154"/>
    <cellStyle name="SAPBEXaggItem 2 4" xfId="47155"/>
    <cellStyle name="SAPBEXaggItem 3" xfId="47156"/>
    <cellStyle name="SAPBEXaggItem 3 2" xfId="47157"/>
    <cellStyle name="SAPBEXaggItem 3 2 2" xfId="47158"/>
    <cellStyle name="SAPBEXaggItem 3 2 3" xfId="47159"/>
    <cellStyle name="SAPBEXaggItem 3 3" xfId="47160"/>
    <cellStyle name="SAPBEXaggItem 3 4" xfId="47161"/>
    <cellStyle name="SAPBEXaggItem 4" xfId="47162"/>
    <cellStyle name="SAPBEXaggItem 4 2" xfId="47163"/>
    <cellStyle name="SAPBEXaggItem 4 3" xfId="47164"/>
    <cellStyle name="SAPBEXaggItem 5" xfId="47165"/>
    <cellStyle name="SAPBEXaggItem 6" xfId="47166"/>
    <cellStyle name="SAPBEXaggItemX" xfId="47167"/>
    <cellStyle name="SAPBEXaggItemX 2" xfId="47168"/>
    <cellStyle name="SAPBEXaggItemX 2 2" xfId="47169"/>
    <cellStyle name="SAPBEXaggItemX 2 2 2" xfId="47170"/>
    <cellStyle name="SAPBEXaggItemX 2 2 3" xfId="47171"/>
    <cellStyle name="SAPBEXaggItemX 2 3" xfId="47172"/>
    <cellStyle name="SAPBEXaggItemX 2 4" xfId="47173"/>
    <cellStyle name="SAPBEXaggItemX 3" xfId="47174"/>
    <cellStyle name="SAPBEXaggItemX 3 2" xfId="47175"/>
    <cellStyle name="SAPBEXaggItemX 3 2 2" xfId="47176"/>
    <cellStyle name="SAPBEXaggItemX 3 2 3" xfId="47177"/>
    <cellStyle name="SAPBEXaggItemX 3 3" xfId="47178"/>
    <cellStyle name="SAPBEXaggItemX 3 4" xfId="47179"/>
    <cellStyle name="SAPBEXaggItemX 4" xfId="47180"/>
    <cellStyle name="SAPBEXaggItemX 4 2" xfId="47181"/>
    <cellStyle name="SAPBEXaggItemX 4 3" xfId="47182"/>
    <cellStyle name="SAPBEXaggItemX 5" xfId="47183"/>
    <cellStyle name="SAPBEXaggItemX 6" xfId="47184"/>
    <cellStyle name="SAPBEXchaText" xfId="47185"/>
    <cellStyle name="SAPBEXchaText 2" xfId="47186"/>
    <cellStyle name="SAPBEXchaText 2 2" xfId="47187"/>
    <cellStyle name="SAPBEXchaText 2 2 2" xfId="47188"/>
    <cellStyle name="SAPBEXchaText 2 2 3" xfId="47189"/>
    <cellStyle name="SAPBEXchaText 2 3" xfId="47190"/>
    <cellStyle name="SAPBEXchaText 2 4" xfId="47191"/>
    <cellStyle name="SAPBEXchaText 3" xfId="47192"/>
    <cellStyle name="SAPBEXchaText 3 2" xfId="47193"/>
    <cellStyle name="SAPBEXchaText 3 2 2" xfId="47194"/>
    <cellStyle name="SAPBEXchaText 3 2 3" xfId="47195"/>
    <cellStyle name="SAPBEXchaText 3 3" xfId="47196"/>
    <cellStyle name="SAPBEXchaText 3 4" xfId="47197"/>
    <cellStyle name="SAPBEXchaText 4" xfId="47198"/>
    <cellStyle name="SAPBEXchaText 4 2" xfId="47199"/>
    <cellStyle name="SAPBEXchaText 4 3" xfId="47200"/>
    <cellStyle name="SAPBEXchaText 5" xfId="47201"/>
    <cellStyle name="SAPBEXchaText 6" xfId="47202"/>
    <cellStyle name="SAPBEXexcBad7" xfId="47203"/>
    <cellStyle name="SAPBEXexcBad7 2" xfId="47204"/>
    <cellStyle name="SAPBEXexcBad7 2 2" xfId="47205"/>
    <cellStyle name="SAPBEXexcBad7 2 2 2" xfId="47206"/>
    <cellStyle name="SAPBEXexcBad7 2 2 3" xfId="47207"/>
    <cellStyle name="SAPBEXexcBad7 2 3" xfId="47208"/>
    <cellStyle name="SAPBEXexcBad7 2 4" xfId="47209"/>
    <cellStyle name="SAPBEXexcBad7 3" xfId="47210"/>
    <cellStyle name="SAPBEXexcBad7 3 2" xfId="47211"/>
    <cellStyle name="SAPBEXexcBad7 3 2 2" xfId="47212"/>
    <cellStyle name="SAPBEXexcBad7 3 2 3" xfId="47213"/>
    <cellStyle name="SAPBEXexcBad7 3 3" xfId="47214"/>
    <cellStyle name="SAPBEXexcBad7 3 4" xfId="47215"/>
    <cellStyle name="SAPBEXexcBad7 4" xfId="47216"/>
    <cellStyle name="SAPBEXexcBad7 4 2" xfId="47217"/>
    <cellStyle name="SAPBEXexcBad7 4 3" xfId="47218"/>
    <cellStyle name="SAPBEXexcBad7 5" xfId="47219"/>
    <cellStyle name="SAPBEXexcBad7 6" xfId="47220"/>
    <cellStyle name="SAPBEXexcBad8" xfId="47221"/>
    <cellStyle name="SAPBEXexcBad8 2" xfId="47222"/>
    <cellStyle name="SAPBEXexcBad8 2 2" xfId="47223"/>
    <cellStyle name="SAPBEXexcBad8 2 2 2" xfId="47224"/>
    <cellStyle name="SAPBEXexcBad8 2 2 3" xfId="47225"/>
    <cellStyle name="SAPBEXexcBad8 2 3" xfId="47226"/>
    <cellStyle name="SAPBEXexcBad8 2 4" xfId="47227"/>
    <cellStyle name="SAPBEXexcBad8 3" xfId="47228"/>
    <cellStyle name="SAPBEXexcBad8 3 2" xfId="47229"/>
    <cellStyle name="SAPBEXexcBad8 3 2 2" xfId="47230"/>
    <cellStyle name="SAPBEXexcBad8 3 2 3" xfId="47231"/>
    <cellStyle name="SAPBEXexcBad8 3 3" xfId="47232"/>
    <cellStyle name="SAPBEXexcBad8 3 4" xfId="47233"/>
    <cellStyle name="SAPBEXexcBad8 4" xfId="47234"/>
    <cellStyle name="SAPBEXexcBad8 4 2" xfId="47235"/>
    <cellStyle name="SAPBEXexcBad8 4 3" xfId="47236"/>
    <cellStyle name="SAPBEXexcBad8 5" xfId="47237"/>
    <cellStyle name="SAPBEXexcBad8 6" xfId="47238"/>
    <cellStyle name="SAPBEXexcBad9" xfId="47239"/>
    <cellStyle name="SAPBEXexcBad9 2" xfId="47240"/>
    <cellStyle name="SAPBEXexcBad9 2 2" xfId="47241"/>
    <cellStyle name="SAPBEXexcBad9 2 2 2" xfId="47242"/>
    <cellStyle name="SAPBEXexcBad9 2 2 3" xfId="47243"/>
    <cellStyle name="SAPBEXexcBad9 2 3" xfId="47244"/>
    <cellStyle name="SAPBEXexcBad9 2 4" xfId="47245"/>
    <cellStyle name="SAPBEXexcBad9 3" xfId="47246"/>
    <cellStyle name="SAPBEXexcBad9 3 2" xfId="47247"/>
    <cellStyle name="SAPBEXexcBad9 3 2 2" xfId="47248"/>
    <cellStyle name="SAPBEXexcBad9 3 2 3" xfId="47249"/>
    <cellStyle name="SAPBEXexcBad9 3 3" xfId="47250"/>
    <cellStyle name="SAPBEXexcBad9 3 4" xfId="47251"/>
    <cellStyle name="SAPBEXexcBad9 4" xfId="47252"/>
    <cellStyle name="SAPBEXexcBad9 4 2" xfId="47253"/>
    <cellStyle name="SAPBEXexcBad9 4 3" xfId="47254"/>
    <cellStyle name="SAPBEXexcBad9 5" xfId="47255"/>
    <cellStyle name="SAPBEXexcBad9 6" xfId="47256"/>
    <cellStyle name="SAPBEXexcCritical4" xfId="47257"/>
    <cellStyle name="SAPBEXexcCritical4 2" xfId="47258"/>
    <cellStyle name="SAPBEXexcCritical4 2 2" xfId="47259"/>
    <cellStyle name="SAPBEXexcCritical4 2 2 2" xfId="47260"/>
    <cellStyle name="SAPBEXexcCritical4 2 2 3" xfId="47261"/>
    <cellStyle name="SAPBEXexcCritical4 2 3" xfId="47262"/>
    <cellStyle name="SAPBEXexcCritical4 2 4" xfId="47263"/>
    <cellStyle name="SAPBEXexcCritical4 3" xfId="47264"/>
    <cellStyle name="SAPBEXexcCritical4 3 2" xfId="47265"/>
    <cellStyle name="SAPBEXexcCritical4 3 2 2" xfId="47266"/>
    <cellStyle name="SAPBEXexcCritical4 3 2 3" xfId="47267"/>
    <cellStyle name="SAPBEXexcCritical4 3 3" xfId="47268"/>
    <cellStyle name="SAPBEXexcCritical4 3 4" xfId="47269"/>
    <cellStyle name="SAPBEXexcCritical4 4" xfId="47270"/>
    <cellStyle name="SAPBEXexcCritical4 4 2" xfId="47271"/>
    <cellStyle name="SAPBEXexcCritical4 4 3" xfId="47272"/>
    <cellStyle name="SAPBEXexcCritical4 5" xfId="47273"/>
    <cellStyle name="SAPBEXexcCritical4 6" xfId="47274"/>
    <cellStyle name="SAPBEXexcCritical5" xfId="47275"/>
    <cellStyle name="SAPBEXexcCritical5 2" xfId="47276"/>
    <cellStyle name="SAPBEXexcCritical5 2 2" xfId="47277"/>
    <cellStyle name="SAPBEXexcCritical5 2 2 2" xfId="47278"/>
    <cellStyle name="SAPBEXexcCritical5 2 2 3" xfId="47279"/>
    <cellStyle name="SAPBEXexcCritical5 2 3" xfId="47280"/>
    <cellStyle name="SAPBEXexcCritical5 2 4" xfId="47281"/>
    <cellStyle name="SAPBEXexcCritical5 3" xfId="47282"/>
    <cellStyle name="SAPBEXexcCritical5 3 2" xfId="47283"/>
    <cellStyle name="SAPBEXexcCritical5 3 2 2" xfId="47284"/>
    <cellStyle name="SAPBEXexcCritical5 3 2 3" xfId="47285"/>
    <cellStyle name="SAPBEXexcCritical5 3 3" xfId="47286"/>
    <cellStyle name="SAPBEXexcCritical5 3 4" xfId="47287"/>
    <cellStyle name="SAPBEXexcCritical5 4" xfId="47288"/>
    <cellStyle name="SAPBEXexcCritical5 4 2" xfId="47289"/>
    <cellStyle name="SAPBEXexcCritical5 4 3" xfId="47290"/>
    <cellStyle name="SAPBEXexcCritical5 5" xfId="47291"/>
    <cellStyle name="SAPBEXexcCritical5 6" xfId="47292"/>
    <cellStyle name="SAPBEXexcCritical6" xfId="47293"/>
    <cellStyle name="SAPBEXexcCritical6 2" xfId="47294"/>
    <cellStyle name="SAPBEXexcCritical6 2 2" xfId="47295"/>
    <cellStyle name="SAPBEXexcCritical6 2 2 2" xfId="47296"/>
    <cellStyle name="SAPBEXexcCritical6 2 2 3" xfId="47297"/>
    <cellStyle name="SAPBEXexcCritical6 2 3" xfId="47298"/>
    <cellStyle name="SAPBEXexcCritical6 2 4" xfId="47299"/>
    <cellStyle name="SAPBEXexcCritical6 3" xfId="47300"/>
    <cellStyle name="SAPBEXexcCritical6 3 2" xfId="47301"/>
    <cellStyle name="SAPBEXexcCritical6 3 2 2" xfId="47302"/>
    <cellStyle name="SAPBEXexcCritical6 3 2 3" xfId="47303"/>
    <cellStyle name="SAPBEXexcCritical6 3 3" xfId="47304"/>
    <cellStyle name="SAPBEXexcCritical6 3 4" xfId="47305"/>
    <cellStyle name="SAPBEXexcCritical6 4" xfId="47306"/>
    <cellStyle name="SAPBEXexcCritical6 4 2" xfId="47307"/>
    <cellStyle name="SAPBEXexcCritical6 4 3" xfId="47308"/>
    <cellStyle name="SAPBEXexcCritical6 5" xfId="47309"/>
    <cellStyle name="SAPBEXexcCritical6 6" xfId="47310"/>
    <cellStyle name="SAPBEXexcGood1" xfId="47311"/>
    <cellStyle name="SAPBEXexcGood1 2" xfId="47312"/>
    <cellStyle name="SAPBEXexcGood1 2 2" xfId="47313"/>
    <cellStyle name="SAPBEXexcGood1 2 2 2" xfId="47314"/>
    <cellStyle name="SAPBEXexcGood1 2 2 3" xfId="47315"/>
    <cellStyle name="SAPBEXexcGood1 2 3" xfId="47316"/>
    <cellStyle name="SAPBEXexcGood1 2 4" xfId="47317"/>
    <cellStyle name="SAPBEXexcGood1 3" xfId="47318"/>
    <cellStyle name="SAPBEXexcGood1 3 2" xfId="47319"/>
    <cellStyle name="SAPBEXexcGood1 3 2 2" xfId="47320"/>
    <cellStyle name="SAPBEXexcGood1 3 2 3" xfId="47321"/>
    <cellStyle name="SAPBEXexcGood1 3 3" xfId="47322"/>
    <cellStyle name="SAPBEXexcGood1 3 4" xfId="47323"/>
    <cellStyle name="SAPBEXexcGood1 4" xfId="47324"/>
    <cellStyle name="SAPBEXexcGood1 4 2" xfId="47325"/>
    <cellStyle name="SAPBEXexcGood1 4 3" xfId="47326"/>
    <cellStyle name="SAPBEXexcGood1 5" xfId="47327"/>
    <cellStyle name="SAPBEXexcGood1 6" xfId="47328"/>
    <cellStyle name="SAPBEXexcGood2" xfId="47329"/>
    <cellStyle name="SAPBEXexcGood2 2" xfId="47330"/>
    <cellStyle name="SAPBEXexcGood2 2 2" xfId="47331"/>
    <cellStyle name="SAPBEXexcGood2 2 2 2" xfId="47332"/>
    <cellStyle name="SAPBEXexcGood2 2 2 3" xfId="47333"/>
    <cellStyle name="SAPBEXexcGood2 2 3" xfId="47334"/>
    <cellStyle name="SAPBEXexcGood2 2 4" xfId="47335"/>
    <cellStyle name="SAPBEXexcGood2 3" xfId="47336"/>
    <cellStyle name="SAPBEXexcGood2 3 2" xfId="47337"/>
    <cellStyle name="SAPBEXexcGood2 3 2 2" xfId="47338"/>
    <cellStyle name="SAPBEXexcGood2 3 2 3" xfId="47339"/>
    <cellStyle name="SAPBEXexcGood2 3 3" xfId="47340"/>
    <cellStyle name="SAPBEXexcGood2 3 4" xfId="47341"/>
    <cellStyle name="SAPBEXexcGood2 4" xfId="47342"/>
    <cellStyle name="SAPBEXexcGood2 4 2" xfId="47343"/>
    <cellStyle name="SAPBEXexcGood2 4 3" xfId="47344"/>
    <cellStyle name="SAPBEXexcGood2 5" xfId="47345"/>
    <cellStyle name="SAPBEXexcGood2 6" xfId="47346"/>
    <cellStyle name="SAPBEXexcGood3" xfId="47347"/>
    <cellStyle name="SAPBEXexcGood3 2" xfId="47348"/>
    <cellStyle name="SAPBEXexcGood3 2 2" xfId="47349"/>
    <cellStyle name="SAPBEXexcGood3 2 2 2" xfId="47350"/>
    <cellStyle name="SAPBEXexcGood3 2 2 3" xfId="47351"/>
    <cellStyle name="SAPBEXexcGood3 2 3" xfId="47352"/>
    <cellStyle name="SAPBEXexcGood3 2 4" xfId="47353"/>
    <cellStyle name="SAPBEXexcGood3 3" xfId="47354"/>
    <cellStyle name="SAPBEXexcGood3 3 2" xfId="47355"/>
    <cellStyle name="SAPBEXexcGood3 3 2 2" xfId="47356"/>
    <cellStyle name="SAPBEXexcGood3 3 2 3" xfId="47357"/>
    <cellStyle name="SAPBEXexcGood3 3 3" xfId="47358"/>
    <cellStyle name="SAPBEXexcGood3 3 4" xfId="47359"/>
    <cellStyle name="SAPBEXexcGood3 4" xfId="47360"/>
    <cellStyle name="SAPBEXexcGood3 4 2" xfId="47361"/>
    <cellStyle name="SAPBEXexcGood3 4 3" xfId="47362"/>
    <cellStyle name="SAPBEXexcGood3 5" xfId="47363"/>
    <cellStyle name="SAPBEXexcGood3 6" xfId="47364"/>
    <cellStyle name="SAPBEXfilterDrill" xfId="47365"/>
    <cellStyle name="SAPBEXfilterDrill 10" xfId="47366"/>
    <cellStyle name="SAPBEXfilterDrill 11" xfId="47367"/>
    <cellStyle name="SAPBEXfilterDrill 12" xfId="47368"/>
    <cellStyle name="SAPBEXfilterDrill 13" xfId="47369"/>
    <cellStyle name="SAPBEXfilterDrill 14" xfId="47370"/>
    <cellStyle name="SAPBEXfilterDrill 15" xfId="47371"/>
    <cellStyle name="SAPBEXfilterDrill 16" xfId="47372"/>
    <cellStyle name="SAPBEXfilterDrill 17" xfId="47373"/>
    <cellStyle name="SAPBEXfilterDrill 18" xfId="47374"/>
    <cellStyle name="SAPBEXfilterDrill 2" xfId="47375"/>
    <cellStyle name="SAPBEXfilterDrill 2 2" xfId="47376"/>
    <cellStyle name="SAPBEXfilterDrill 2 2 2" xfId="47377"/>
    <cellStyle name="SAPBEXfilterDrill 2 2 3" xfId="47378"/>
    <cellStyle name="SAPBEXfilterDrill 2 3" xfId="47379"/>
    <cellStyle name="SAPBEXfilterDrill 2 4" xfId="47380"/>
    <cellStyle name="SAPBEXfilterDrill 3" xfId="47381"/>
    <cellStyle name="SAPBEXfilterDrill 3 2" xfId="47382"/>
    <cellStyle name="SAPBEXfilterDrill 3 2 2" xfId="47383"/>
    <cellStyle name="SAPBEXfilterDrill 3 2 3" xfId="47384"/>
    <cellStyle name="SAPBEXfilterDrill 3 3" xfId="47385"/>
    <cellStyle name="SAPBEXfilterDrill 3 4" xfId="47386"/>
    <cellStyle name="SAPBEXfilterDrill 4" xfId="47387"/>
    <cellStyle name="SAPBEXfilterDrill 4 2" xfId="47388"/>
    <cellStyle name="SAPBEXfilterDrill 4 3" xfId="47389"/>
    <cellStyle name="SAPBEXfilterDrill 5" xfId="47390"/>
    <cellStyle name="SAPBEXfilterDrill 6" xfId="47391"/>
    <cellStyle name="SAPBEXfilterDrill 7" xfId="47392"/>
    <cellStyle name="SAPBEXfilterDrill 8" xfId="47393"/>
    <cellStyle name="SAPBEXfilterDrill 9" xfId="47394"/>
    <cellStyle name="SAPBEXfilterItem" xfId="47395"/>
    <cellStyle name="SAPBEXfilterItem 2" xfId="47396"/>
    <cellStyle name="SAPBEXfilterItem 3" xfId="47397"/>
    <cellStyle name="SAPBEXfilterText" xfId="47398"/>
    <cellStyle name="SAPBEXformats" xfId="47399"/>
    <cellStyle name="SAPBEXformats 2" xfId="47400"/>
    <cellStyle name="SAPBEXformats 2 2" xfId="47401"/>
    <cellStyle name="SAPBEXformats 2 2 2" xfId="47402"/>
    <cellStyle name="SAPBEXformats 2 2 3" xfId="47403"/>
    <cellStyle name="SAPBEXformats 2 3" xfId="47404"/>
    <cellStyle name="SAPBEXformats 2 4" xfId="47405"/>
    <cellStyle name="SAPBEXformats 3" xfId="47406"/>
    <cellStyle name="SAPBEXformats 3 2" xfId="47407"/>
    <cellStyle name="SAPBEXformats 3 2 2" xfId="47408"/>
    <cellStyle name="SAPBEXformats 3 2 3" xfId="47409"/>
    <cellStyle name="SAPBEXformats 3 3" xfId="47410"/>
    <cellStyle name="SAPBEXformats 3 4" xfId="47411"/>
    <cellStyle name="SAPBEXformats 4" xfId="47412"/>
    <cellStyle name="SAPBEXformats 4 2" xfId="47413"/>
    <cellStyle name="SAPBEXformats 4 3" xfId="47414"/>
    <cellStyle name="SAPBEXformats 5" xfId="47415"/>
    <cellStyle name="SAPBEXformats 6" xfId="47416"/>
    <cellStyle name="SAPBEXheaderItem" xfId="47417"/>
    <cellStyle name="SAPBEXheaderItem 2" xfId="47418"/>
    <cellStyle name="SAPBEXheaderItem 2 2" xfId="47419"/>
    <cellStyle name="SAPBEXheaderItem 2 2 2" xfId="47420"/>
    <cellStyle name="SAPBEXheaderItem 2 2 3" xfId="47421"/>
    <cellStyle name="SAPBEXheaderItem 2 3" xfId="47422"/>
    <cellStyle name="SAPBEXheaderItem 2 4" xfId="47423"/>
    <cellStyle name="SAPBEXheaderItem 3" xfId="47424"/>
    <cellStyle name="SAPBEXheaderItem 3 2" xfId="47425"/>
    <cellStyle name="SAPBEXheaderItem 3 2 2" xfId="47426"/>
    <cellStyle name="SAPBEXheaderItem 3 2 3" xfId="47427"/>
    <cellStyle name="SAPBEXheaderItem 3 3" xfId="47428"/>
    <cellStyle name="SAPBEXheaderItem 3 4" xfId="47429"/>
    <cellStyle name="SAPBEXheaderItem 4" xfId="47430"/>
    <cellStyle name="SAPBEXheaderItem 4 2" xfId="47431"/>
    <cellStyle name="SAPBEXheaderItem 4 3" xfId="47432"/>
    <cellStyle name="SAPBEXheaderItem 5" xfId="47433"/>
    <cellStyle name="SAPBEXheaderItem 6" xfId="47434"/>
    <cellStyle name="SAPBEXheaderText" xfId="47435"/>
    <cellStyle name="SAPBEXheaderText 2" xfId="47436"/>
    <cellStyle name="SAPBEXheaderText 2 2" xfId="47437"/>
    <cellStyle name="SAPBEXheaderText 2 2 2" xfId="47438"/>
    <cellStyle name="SAPBEXheaderText 2 2 3" xfId="47439"/>
    <cellStyle name="SAPBEXheaderText 2 3" xfId="47440"/>
    <cellStyle name="SAPBEXheaderText 2 4" xfId="47441"/>
    <cellStyle name="SAPBEXheaderText 3" xfId="47442"/>
    <cellStyle name="SAPBEXheaderText 3 2" xfId="47443"/>
    <cellStyle name="SAPBEXheaderText 3 2 2" xfId="47444"/>
    <cellStyle name="SAPBEXheaderText 3 2 3" xfId="47445"/>
    <cellStyle name="SAPBEXheaderText 3 3" xfId="47446"/>
    <cellStyle name="SAPBEXheaderText 3 4" xfId="47447"/>
    <cellStyle name="SAPBEXheaderText 4" xfId="47448"/>
    <cellStyle name="SAPBEXheaderText 4 2" xfId="47449"/>
    <cellStyle name="SAPBEXheaderText 4 3" xfId="47450"/>
    <cellStyle name="SAPBEXheaderText 5" xfId="47451"/>
    <cellStyle name="SAPBEXheaderText 6" xfId="47452"/>
    <cellStyle name="SAPBEXHLevel0" xfId="47453"/>
    <cellStyle name="SAPBEXHLevel0 2" xfId="47454"/>
    <cellStyle name="SAPBEXHLevel0 2 2" xfId="47455"/>
    <cellStyle name="SAPBEXHLevel0 2 2 2" xfId="47456"/>
    <cellStyle name="SAPBEXHLevel0 2 2 3" xfId="47457"/>
    <cellStyle name="SAPBEXHLevel0 2 3" xfId="47458"/>
    <cellStyle name="SAPBEXHLevel0 2 4" xfId="47459"/>
    <cellStyle name="SAPBEXHLevel0 3" xfId="47460"/>
    <cellStyle name="SAPBEXHLevel0 3 2" xfId="47461"/>
    <cellStyle name="SAPBEXHLevel0 3 2 2" xfId="47462"/>
    <cellStyle name="SAPBEXHLevel0 3 2 3" xfId="47463"/>
    <cellStyle name="SAPBEXHLevel0 3 3" xfId="47464"/>
    <cellStyle name="SAPBEXHLevel0 3 4" xfId="47465"/>
    <cellStyle name="SAPBEXHLevel0 4" xfId="47466"/>
    <cellStyle name="SAPBEXHLevel0 4 2" xfId="47467"/>
    <cellStyle name="SAPBEXHLevel0 4 3" xfId="47468"/>
    <cellStyle name="SAPBEXHLevel0 5" xfId="47469"/>
    <cellStyle name="SAPBEXHLevel0 6" xfId="47470"/>
    <cellStyle name="SAPBEXHLevel0X" xfId="47471"/>
    <cellStyle name="SAPBEXHLevel0X 2" xfId="47472"/>
    <cellStyle name="SAPBEXHLevel0X 2 2" xfId="47473"/>
    <cellStyle name="SAPBEXHLevel0X 2 2 2" xfId="47474"/>
    <cellStyle name="SAPBEXHLevel0X 2 2 3" xfId="47475"/>
    <cellStyle name="SAPBEXHLevel0X 2 3" xfId="47476"/>
    <cellStyle name="SAPBEXHLevel0X 2 4" xfId="47477"/>
    <cellStyle name="SAPBEXHLevel0X 3" xfId="47478"/>
    <cellStyle name="SAPBEXHLevel0X 3 2" xfId="47479"/>
    <cellStyle name="SAPBEXHLevel0X 3 2 2" xfId="47480"/>
    <cellStyle name="SAPBEXHLevel0X 3 2 3" xfId="47481"/>
    <cellStyle name="SAPBEXHLevel0X 3 3" xfId="47482"/>
    <cellStyle name="SAPBEXHLevel0X 3 4" xfId="47483"/>
    <cellStyle name="SAPBEXHLevel0X 4" xfId="47484"/>
    <cellStyle name="SAPBEXHLevel0X 4 2" xfId="47485"/>
    <cellStyle name="SAPBEXHLevel0X 4 3" xfId="47486"/>
    <cellStyle name="SAPBEXHLevel0X 5" xfId="47487"/>
    <cellStyle name="SAPBEXHLevel0X 6" xfId="47488"/>
    <cellStyle name="SAPBEXHLevel1" xfId="47489"/>
    <cellStyle name="SAPBEXHLevel1 2" xfId="47490"/>
    <cellStyle name="SAPBEXHLevel1 2 2" xfId="47491"/>
    <cellStyle name="SAPBEXHLevel1 2 2 2" xfId="47492"/>
    <cellStyle name="SAPBEXHLevel1 2 2 3" xfId="47493"/>
    <cellStyle name="SAPBEXHLevel1 2 3" xfId="47494"/>
    <cellStyle name="SAPBEXHLevel1 2 4" xfId="47495"/>
    <cellStyle name="SAPBEXHLevel1 3" xfId="47496"/>
    <cellStyle name="SAPBEXHLevel1 3 2" xfId="47497"/>
    <cellStyle name="SAPBEXHLevel1 3 2 2" xfId="47498"/>
    <cellStyle name="SAPBEXHLevel1 3 2 3" xfId="47499"/>
    <cellStyle name="SAPBEXHLevel1 3 3" xfId="47500"/>
    <cellStyle name="SAPBEXHLevel1 3 4" xfId="47501"/>
    <cellStyle name="SAPBEXHLevel1 4" xfId="47502"/>
    <cellStyle name="SAPBEXHLevel1 4 2" xfId="47503"/>
    <cellStyle name="SAPBEXHLevel1 4 3" xfId="47504"/>
    <cellStyle name="SAPBEXHLevel1 5" xfId="47505"/>
    <cellStyle name="SAPBEXHLevel1 6" xfId="47506"/>
    <cellStyle name="SAPBEXHLevel1X" xfId="47507"/>
    <cellStyle name="SAPBEXHLevel1X 2" xfId="47508"/>
    <cellStyle name="SAPBEXHLevel1X 2 2" xfId="47509"/>
    <cellStyle name="SAPBEXHLevel1X 2 2 2" xfId="47510"/>
    <cellStyle name="SAPBEXHLevel1X 2 2 3" xfId="47511"/>
    <cellStyle name="SAPBEXHLevel1X 2 3" xfId="47512"/>
    <cellStyle name="SAPBEXHLevel1X 2 4" xfId="47513"/>
    <cellStyle name="SAPBEXHLevel1X 3" xfId="47514"/>
    <cellStyle name="SAPBEXHLevel1X 3 2" xfId="47515"/>
    <cellStyle name="SAPBEXHLevel1X 3 2 2" xfId="47516"/>
    <cellStyle name="SAPBEXHLevel1X 3 2 3" xfId="47517"/>
    <cellStyle name="SAPBEXHLevel1X 3 3" xfId="47518"/>
    <cellStyle name="SAPBEXHLevel1X 3 4" xfId="47519"/>
    <cellStyle name="SAPBEXHLevel1X 4" xfId="47520"/>
    <cellStyle name="SAPBEXHLevel1X 4 2" xfId="47521"/>
    <cellStyle name="SAPBEXHLevel1X 4 3" xfId="47522"/>
    <cellStyle name="SAPBEXHLevel1X 5" xfId="47523"/>
    <cellStyle name="SAPBEXHLevel1X 6" xfId="47524"/>
    <cellStyle name="SAPBEXHLevel2" xfId="47525"/>
    <cellStyle name="SAPBEXHLevel2 2" xfId="47526"/>
    <cellStyle name="SAPBEXHLevel2 2 2" xfId="47527"/>
    <cellStyle name="SAPBEXHLevel2 2 2 2" xfId="47528"/>
    <cellStyle name="SAPBEXHLevel2 2 2 3" xfId="47529"/>
    <cellStyle name="SAPBEXHLevel2 2 3" xfId="47530"/>
    <cellStyle name="SAPBEXHLevel2 2 4" xfId="47531"/>
    <cellStyle name="SAPBEXHLevel2 3" xfId="47532"/>
    <cellStyle name="SAPBEXHLevel2 3 2" xfId="47533"/>
    <cellStyle name="SAPBEXHLevel2 3 2 2" xfId="47534"/>
    <cellStyle name="SAPBEXHLevel2 3 2 3" xfId="47535"/>
    <cellStyle name="SAPBEXHLevel2 3 3" xfId="47536"/>
    <cellStyle name="SAPBEXHLevel2 3 4" xfId="47537"/>
    <cellStyle name="SAPBEXHLevel2 4" xfId="47538"/>
    <cellStyle name="SAPBEXHLevel2 4 2" xfId="47539"/>
    <cellStyle name="SAPBEXHLevel2 4 3" xfId="47540"/>
    <cellStyle name="SAPBEXHLevel2 5" xfId="47541"/>
    <cellStyle name="SAPBEXHLevel2 6" xfId="47542"/>
    <cellStyle name="SAPBEXHLevel2X" xfId="47543"/>
    <cellStyle name="SAPBEXHLevel2X 2" xfId="47544"/>
    <cellStyle name="SAPBEXHLevel2X 2 2" xfId="47545"/>
    <cellStyle name="SAPBEXHLevel2X 2 2 2" xfId="47546"/>
    <cellStyle name="SAPBEXHLevel2X 2 2 3" xfId="47547"/>
    <cellStyle name="SAPBEXHLevel2X 2 3" xfId="47548"/>
    <cellStyle name="SAPBEXHLevel2X 2 4" xfId="47549"/>
    <cellStyle name="SAPBEXHLevel2X 3" xfId="47550"/>
    <cellStyle name="SAPBEXHLevel2X 3 2" xfId="47551"/>
    <cellStyle name="SAPBEXHLevel2X 3 2 2" xfId="47552"/>
    <cellStyle name="SAPBEXHLevel2X 3 2 3" xfId="47553"/>
    <cellStyle name="SAPBEXHLevel2X 3 3" xfId="47554"/>
    <cellStyle name="SAPBEXHLevel2X 3 4" xfId="47555"/>
    <cellStyle name="SAPBEXHLevel2X 4" xfId="47556"/>
    <cellStyle name="SAPBEXHLevel2X 4 2" xfId="47557"/>
    <cellStyle name="SAPBEXHLevel2X 4 3" xfId="47558"/>
    <cellStyle name="SAPBEXHLevel2X 5" xfId="47559"/>
    <cellStyle name="SAPBEXHLevel2X 6" xfId="47560"/>
    <cellStyle name="SAPBEXHLevel3" xfId="47561"/>
    <cellStyle name="SAPBEXHLevel3 2" xfId="47562"/>
    <cellStyle name="SAPBEXHLevel3 2 2" xfId="47563"/>
    <cellStyle name="SAPBEXHLevel3 2 2 2" xfId="47564"/>
    <cellStyle name="SAPBEXHLevel3 2 2 3" xfId="47565"/>
    <cellStyle name="SAPBEXHLevel3 2 3" xfId="47566"/>
    <cellStyle name="SAPBEXHLevel3 2 4" xfId="47567"/>
    <cellStyle name="SAPBEXHLevel3 3" xfId="47568"/>
    <cellStyle name="SAPBEXHLevel3 3 2" xfId="47569"/>
    <cellStyle name="SAPBEXHLevel3 3 2 2" xfId="47570"/>
    <cellStyle name="SAPBEXHLevel3 3 2 3" xfId="47571"/>
    <cellStyle name="SAPBEXHLevel3 3 3" xfId="47572"/>
    <cellStyle name="SAPBEXHLevel3 3 4" xfId="47573"/>
    <cellStyle name="SAPBEXHLevel3 4" xfId="47574"/>
    <cellStyle name="SAPBEXHLevel3 4 2" xfId="47575"/>
    <cellStyle name="SAPBEXHLevel3 4 3" xfId="47576"/>
    <cellStyle name="SAPBEXHLevel3 5" xfId="47577"/>
    <cellStyle name="SAPBEXHLevel3 6" xfId="47578"/>
    <cellStyle name="SAPBEXHLevel3X" xfId="47579"/>
    <cellStyle name="SAPBEXHLevel3X 2" xfId="47580"/>
    <cellStyle name="SAPBEXHLevel3X 2 2" xfId="47581"/>
    <cellStyle name="SAPBEXHLevel3X 2 2 2" xfId="47582"/>
    <cellStyle name="SAPBEXHLevel3X 2 2 3" xfId="47583"/>
    <cellStyle name="SAPBEXHLevel3X 2 3" xfId="47584"/>
    <cellStyle name="SAPBEXHLevel3X 2 4" xfId="47585"/>
    <cellStyle name="SAPBEXHLevel3X 3" xfId="47586"/>
    <cellStyle name="SAPBEXHLevel3X 3 2" xfId="47587"/>
    <cellStyle name="SAPBEXHLevel3X 3 2 2" xfId="47588"/>
    <cellStyle name="SAPBEXHLevel3X 3 2 3" xfId="47589"/>
    <cellStyle name="SAPBEXHLevel3X 3 3" xfId="47590"/>
    <cellStyle name="SAPBEXHLevel3X 3 4" xfId="47591"/>
    <cellStyle name="SAPBEXHLevel3X 4" xfId="47592"/>
    <cellStyle name="SAPBEXHLevel3X 4 2" xfId="47593"/>
    <cellStyle name="SAPBEXHLevel3X 4 3" xfId="47594"/>
    <cellStyle name="SAPBEXHLevel3X 5" xfId="47595"/>
    <cellStyle name="SAPBEXHLevel3X 6" xfId="47596"/>
    <cellStyle name="SAPBEXinputData" xfId="47597"/>
    <cellStyle name="SAPBEXresData" xfId="47598"/>
    <cellStyle name="SAPBEXresData 2" xfId="47599"/>
    <cellStyle name="SAPBEXresData 2 2" xfId="47600"/>
    <cellStyle name="SAPBEXresData 2 2 2" xfId="47601"/>
    <cellStyle name="SAPBEXresData 2 2 3" xfId="47602"/>
    <cellStyle name="SAPBEXresData 2 3" xfId="47603"/>
    <cellStyle name="SAPBEXresData 2 4" xfId="47604"/>
    <cellStyle name="SAPBEXresData 3" xfId="47605"/>
    <cellStyle name="SAPBEXresData 3 2" xfId="47606"/>
    <cellStyle name="SAPBEXresData 3 2 2" xfId="47607"/>
    <cellStyle name="SAPBEXresData 3 2 3" xfId="47608"/>
    <cellStyle name="SAPBEXresData 3 3" xfId="47609"/>
    <cellStyle name="SAPBEXresData 3 4" xfId="47610"/>
    <cellStyle name="SAPBEXresData 4" xfId="47611"/>
    <cellStyle name="SAPBEXresData 4 2" xfId="47612"/>
    <cellStyle name="SAPBEXresData 4 3" xfId="47613"/>
    <cellStyle name="SAPBEXresData 5" xfId="47614"/>
    <cellStyle name="SAPBEXresData 6" xfId="47615"/>
    <cellStyle name="SAPBEXresDataEmph" xfId="47616"/>
    <cellStyle name="SAPBEXresDataEmph 2" xfId="47617"/>
    <cellStyle name="SAPBEXresDataEmph 2 2" xfId="47618"/>
    <cellStyle name="SAPBEXresDataEmph 2 2 2" xfId="47619"/>
    <cellStyle name="SAPBEXresDataEmph 2 2 3" xfId="47620"/>
    <cellStyle name="SAPBEXresDataEmph 2 3" xfId="47621"/>
    <cellStyle name="SAPBEXresDataEmph 2 4" xfId="47622"/>
    <cellStyle name="SAPBEXresDataEmph 3" xfId="47623"/>
    <cellStyle name="SAPBEXresDataEmph 3 2" xfId="47624"/>
    <cellStyle name="SAPBEXresDataEmph 3 2 2" xfId="47625"/>
    <cellStyle name="SAPBEXresDataEmph 3 2 3" xfId="47626"/>
    <cellStyle name="SAPBEXresDataEmph 3 3" xfId="47627"/>
    <cellStyle name="SAPBEXresDataEmph 3 4" xfId="47628"/>
    <cellStyle name="SAPBEXresDataEmph 4" xfId="47629"/>
    <cellStyle name="SAPBEXresDataEmph 4 2" xfId="47630"/>
    <cellStyle name="SAPBEXresDataEmph 4 3" xfId="47631"/>
    <cellStyle name="SAPBEXresDataEmph 5" xfId="47632"/>
    <cellStyle name="SAPBEXresDataEmph 6" xfId="47633"/>
    <cellStyle name="SAPBEXresItem" xfId="47634"/>
    <cellStyle name="SAPBEXresItem 2" xfId="47635"/>
    <cellStyle name="SAPBEXresItem 2 2" xfId="47636"/>
    <cellStyle name="SAPBEXresItem 2 2 2" xfId="47637"/>
    <cellStyle name="SAPBEXresItem 2 2 3" xfId="47638"/>
    <cellStyle name="SAPBEXresItem 2 3" xfId="47639"/>
    <cellStyle name="SAPBEXresItem 2 4" xfId="47640"/>
    <cellStyle name="SAPBEXresItem 3" xfId="47641"/>
    <cellStyle name="SAPBEXresItem 3 2" xfId="47642"/>
    <cellStyle name="SAPBEXresItem 3 2 2" xfId="47643"/>
    <cellStyle name="SAPBEXresItem 3 2 3" xfId="47644"/>
    <cellStyle name="SAPBEXresItem 3 3" xfId="47645"/>
    <cellStyle name="SAPBEXresItem 3 4" xfId="47646"/>
    <cellStyle name="SAPBEXresItem 4" xfId="47647"/>
    <cellStyle name="SAPBEXresItem 4 2" xfId="47648"/>
    <cellStyle name="SAPBEXresItem 4 3" xfId="47649"/>
    <cellStyle name="SAPBEXresItem 5" xfId="47650"/>
    <cellStyle name="SAPBEXresItem 6" xfId="47651"/>
    <cellStyle name="SAPBEXresItemX" xfId="47652"/>
    <cellStyle name="SAPBEXresItemX 2" xfId="47653"/>
    <cellStyle name="SAPBEXresItemX 2 2" xfId="47654"/>
    <cellStyle name="SAPBEXresItemX 2 2 2" xfId="47655"/>
    <cellStyle name="SAPBEXresItemX 2 2 3" xfId="47656"/>
    <cellStyle name="SAPBEXresItemX 2 3" xfId="47657"/>
    <cellStyle name="SAPBEXresItemX 2 4" xfId="47658"/>
    <cellStyle name="SAPBEXresItemX 3" xfId="47659"/>
    <cellStyle name="SAPBEXresItemX 3 2" xfId="47660"/>
    <cellStyle name="SAPBEXresItemX 3 2 2" xfId="47661"/>
    <cellStyle name="SAPBEXresItemX 3 2 3" xfId="47662"/>
    <cellStyle name="SAPBEXresItemX 3 3" xfId="47663"/>
    <cellStyle name="SAPBEXresItemX 3 4" xfId="47664"/>
    <cellStyle name="SAPBEXresItemX 4" xfId="47665"/>
    <cellStyle name="SAPBEXresItemX 4 2" xfId="47666"/>
    <cellStyle name="SAPBEXresItemX 4 3" xfId="47667"/>
    <cellStyle name="SAPBEXresItemX 5" xfId="47668"/>
    <cellStyle name="SAPBEXresItemX 6" xfId="47669"/>
    <cellStyle name="SAPBEXstdData" xfId="47670"/>
    <cellStyle name="SAPBEXstdData 2" xfId="47671"/>
    <cellStyle name="SAPBEXstdData 2 2" xfId="47672"/>
    <cellStyle name="SAPBEXstdData 2 2 2" xfId="47673"/>
    <cellStyle name="SAPBEXstdData 2 2 3" xfId="47674"/>
    <cellStyle name="SAPBEXstdData 2 3" xfId="47675"/>
    <cellStyle name="SAPBEXstdData 2 4" xfId="47676"/>
    <cellStyle name="SAPBEXstdData 3" xfId="47677"/>
    <cellStyle name="SAPBEXstdData 3 2" xfId="47678"/>
    <cellStyle name="SAPBEXstdData 3 2 2" xfId="47679"/>
    <cellStyle name="SAPBEXstdData 3 2 3" xfId="47680"/>
    <cellStyle name="SAPBEXstdData 3 3" xfId="47681"/>
    <cellStyle name="SAPBEXstdData 3 4" xfId="47682"/>
    <cellStyle name="SAPBEXstdData 4" xfId="47683"/>
    <cellStyle name="SAPBEXstdData 4 2" xfId="47684"/>
    <cellStyle name="SAPBEXstdData 4 3" xfId="47685"/>
    <cellStyle name="SAPBEXstdData 5" xfId="47686"/>
    <cellStyle name="SAPBEXstdData 6" xfId="47687"/>
    <cellStyle name="SAPBEXstdDataEmph" xfId="47688"/>
    <cellStyle name="SAPBEXstdDataEmph 2" xfId="47689"/>
    <cellStyle name="SAPBEXstdDataEmph 2 2" xfId="47690"/>
    <cellStyle name="SAPBEXstdDataEmph 2 2 2" xfId="47691"/>
    <cellStyle name="SAPBEXstdDataEmph 2 2 3" xfId="47692"/>
    <cellStyle name="SAPBEXstdDataEmph 2 3" xfId="47693"/>
    <cellStyle name="SAPBEXstdDataEmph 2 4" xfId="47694"/>
    <cellStyle name="SAPBEXstdDataEmph 3" xfId="47695"/>
    <cellStyle name="SAPBEXstdDataEmph 3 2" xfId="47696"/>
    <cellStyle name="SAPBEXstdDataEmph 3 2 2" xfId="47697"/>
    <cellStyle name="SAPBEXstdDataEmph 3 2 3" xfId="47698"/>
    <cellStyle name="SAPBEXstdDataEmph 3 3" xfId="47699"/>
    <cellStyle name="SAPBEXstdDataEmph 3 4" xfId="47700"/>
    <cellStyle name="SAPBEXstdDataEmph 4" xfId="47701"/>
    <cellStyle name="SAPBEXstdDataEmph 4 2" xfId="47702"/>
    <cellStyle name="SAPBEXstdDataEmph 4 3" xfId="47703"/>
    <cellStyle name="SAPBEXstdDataEmph 5" xfId="47704"/>
    <cellStyle name="SAPBEXstdDataEmph 6" xfId="47705"/>
    <cellStyle name="SAPBEXstdItem" xfId="47706"/>
    <cellStyle name="SAPBEXstdItem 2" xfId="47707"/>
    <cellStyle name="SAPBEXstdItem 2 2" xfId="47708"/>
    <cellStyle name="SAPBEXstdItem 2 2 2" xfId="47709"/>
    <cellStyle name="SAPBEXstdItem 2 2 3" xfId="47710"/>
    <cellStyle name="SAPBEXstdItem 2 3" xfId="47711"/>
    <cellStyle name="SAPBEXstdItem 2 4" xfId="47712"/>
    <cellStyle name="SAPBEXstdItem 3" xfId="47713"/>
    <cellStyle name="SAPBEXstdItem 3 2" xfId="47714"/>
    <cellStyle name="SAPBEXstdItem 3 2 2" xfId="47715"/>
    <cellStyle name="SAPBEXstdItem 3 2 3" xfId="47716"/>
    <cellStyle name="SAPBEXstdItem 3 3" xfId="47717"/>
    <cellStyle name="SAPBEXstdItem 3 4" xfId="47718"/>
    <cellStyle name="SAPBEXstdItem 4" xfId="47719"/>
    <cellStyle name="SAPBEXstdItem 4 2" xfId="47720"/>
    <cellStyle name="SAPBEXstdItem 4 3" xfId="47721"/>
    <cellStyle name="SAPBEXstdItem 5" xfId="47722"/>
    <cellStyle name="SAPBEXstdItem 6" xfId="47723"/>
    <cellStyle name="SAPBEXstdItemX" xfId="47724"/>
    <cellStyle name="SAPBEXstdItemX 2" xfId="47725"/>
    <cellStyle name="SAPBEXstdItemX 2 2" xfId="47726"/>
    <cellStyle name="SAPBEXstdItemX 2 2 2" xfId="47727"/>
    <cellStyle name="SAPBEXstdItemX 2 2 3" xfId="47728"/>
    <cellStyle name="SAPBEXstdItemX 2 3" xfId="47729"/>
    <cellStyle name="SAPBEXstdItemX 2 4" xfId="47730"/>
    <cellStyle name="SAPBEXstdItemX 3" xfId="47731"/>
    <cellStyle name="SAPBEXstdItemX 3 2" xfId="47732"/>
    <cellStyle name="SAPBEXstdItemX 3 2 2" xfId="47733"/>
    <cellStyle name="SAPBEXstdItemX 3 2 3" xfId="47734"/>
    <cellStyle name="SAPBEXstdItemX 3 3" xfId="47735"/>
    <cellStyle name="SAPBEXstdItemX 3 4" xfId="47736"/>
    <cellStyle name="SAPBEXstdItemX 4" xfId="47737"/>
    <cellStyle name="SAPBEXstdItemX 4 2" xfId="47738"/>
    <cellStyle name="SAPBEXstdItemX 4 3" xfId="47739"/>
    <cellStyle name="SAPBEXstdItemX 5" xfId="47740"/>
    <cellStyle name="SAPBEXstdItemX 6" xfId="47741"/>
    <cellStyle name="SAPBEXtitle" xfId="47742"/>
    <cellStyle name="SAPBEXundefined" xfId="47743"/>
    <cellStyle name="SAPBEXundefined 2" xfId="47744"/>
    <cellStyle name="SAPBEXundefined 2 2" xfId="47745"/>
    <cellStyle name="SAPBEXundefined 2 2 2" xfId="47746"/>
    <cellStyle name="SAPBEXundefined 2 2 3" xfId="47747"/>
    <cellStyle name="SAPBEXundefined 2 3" xfId="47748"/>
    <cellStyle name="SAPBEXundefined 2 4" xfId="47749"/>
    <cellStyle name="SAPBEXundefined 3" xfId="47750"/>
    <cellStyle name="SAPBEXundefined 3 2" xfId="47751"/>
    <cellStyle name="SAPBEXundefined 3 2 2" xfId="47752"/>
    <cellStyle name="SAPBEXundefined 3 2 3" xfId="47753"/>
    <cellStyle name="SAPBEXundefined 3 3" xfId="47754"/>
    <cellStyle name="SAPBEXundefined 3 4" xfId="47755"/>
    <cellStyle name="SAPBEXundefined 4" xfId="47756"/>
    <cellStyle name="SAPBEXundefined 4 2" xfId="47757"/>
    <cellStyle name="SAPBEXundefined 4 3" xfId="47758"/>
    <cellStyle name="SAPBEXundefined 5" xfId="47759"/>
    <cellStyle name="SAPBEXundefined 6" xfId="47760"/>
    <cellStyle name="Section name" xfId="47761"/>
    <cellStyle name="SEM-BPS-data" xfId="190"/>
    <cellStyle name="SEM-BPS-data 2" xfId="47762"/>
    <cellStyle name="SEM-BPS-head" xfId="47763"/>
    <cellStyle name="SEM-BPS-headdata" xfId="47764"/>
    <cellStyle name="SEM-BPS-headdata 2" xfId="47765"/>
    <cellStyle name="SEM-BPS-headdata 3" xfId="47766"/>
    <cellStyle name="SEM-BPS-headkey" xfId="47767"/>
    <cellStyle name="SEM-BPS-input-on" xfId="191"/>
    <cellStyle name="SEM-BPS-input-on 2" xfId="47768"/>
    <cellStyle name="SEM-BPS-input-on 3" xfId="47769"/>
    <cellStyle name="SEM-BPS-input-on 4" xfId="47770"/>
    <cellStyle name="SEM-BPS-key" xfId="192"/>
    <cellStyle name="SEM-BPS-key 2" xfId="47771"/>
    <cellStyle name="SEM-BPS-sub1" xfId="47772"/>
    <cellStyle name="SEM-BPS-sub2" xfId="47773"/>
    <cellStyle name="SEM-BPS-total" xfId="47774"/>
    <cellStyle name="Sep. milhar [0]" xfId="47775"/>
    <cellStyle name="Separador de m" xfId="47776"/>
    <cellStyle name="Separador de m 2" xfId="47777"/>
    <cellStyle name="Separador de m 2 2" xfId="47778"/>
    <cellStyle name="Separador de m 3" xfId="47779"/>
    <cellStyle name="Separador de milhares [0] 2" xfId="47780"/>
    <cellStyle name="Separador de milhares [0] 3" xfId="47781"/>
    <cellStyle name="Separador de milhares [0] 4" xfId="47782"/>
    <cellStyle name="Separador de milhares [0] 5" xfId="47783"/>
    <cellStyle name="Separador de milhares [0] 6" xfId="47784"/>
    <cellStyle name="Separador de milhares 10" xfId="47785"/>
    <cellStyle name="Separador de milhares 10 2" xfId="47786"/>
    <cellStyle name="Separador de milhares 10 2 2" xfId="47787"/>
    <cellStyle name="Separador de milhares 11" xfId="47788"/>
    <cellStyle name="Separador de milhares 11 2" xfId="47789"/>
    <cellStyle name="Separador de milhares 12" xfId="47790"/>
    <cellStyle name="Separador de milhares 13" xfId="47791"/>
    <cellStyle name="Separador de milhares 14" xfId="47792"/>
    <cellStyle name="Separador de milhares 15" xfId="47793"/>
    <cellStyle name="Separador de milhares 16" xfId="47794"/>
    <cellStyle name="Separador de milhares 17" xfId="47795"/>
    <cellStyle name="Separador de milhares 18" xfId="47796"/>
    <cellStyle name="Separador de milhares 18 2" xfId="47797"/>
    <cellStyle name="Separador de milhares 19" xfId="47798"/>
    <cellStyle name="Separador de milhares 2" xfId="193"/>
    <cellStyle name="Separador de milhares 2 10" xfId="47799"/>
    <cellStyle name="Separador de milhares 2 11" xfId="47800"/>
    <cellStyle name="Separador de milhares 2 12" xfId="47801"/>
    <cellStyle name="Separador de milhares 2 13" xfId="47802"/>
    <cellStyle name="Separador de milhares 2 14" xfId="47803"/>
    <cellStyle name="Separador de milhares 2 15" xfId="47804"/>
    <cellStyle name="Separador de milhares 2 16" xfId="47805"/>
    <cellStyle name="Separador de milhares 2 17" xfId="47806"/>
    <cellStyle name="Separador de milhares 2 18" xfId="47807"/>
    <cellStyle name="Separador de milhares 2 19" xfId="47808"/>
    <cellStyle name="Separador de milhares 2 2" xfId="47809"/>
    <cellStyle name="Separador de milhares 2 2 2" xfId="47810"/>
    <cellStyle name="Separador de milhares 2 2 2 2" xfId="47811"/>
    <cellStyle name="Separador de milhares 2 2 3" xfId="47812"/>
    <cellStyle name="Separador de milhares 2 2 4" xfId="47813"/>
    <cellStyle name="Separador de milhares 2 2 5" xfId="47814"/>
    <cellStyle name="Separador de milhares 2 2 6" xfId="47815"/>
    <cellStyle name="Separador de milhares 2 20" xfId="47816"/>
    <cellStyle name="Separador de milhares 2 21" xfId="47817"/>
    <cellStyle name="Separador de milhares 2 22" xfId="47818"/>
    <cellStyle name="Separador de milhares 2 23" xfId="47819"/>
    <cellStyle name="Separador de milhares 2 24" xfId="47820"/>
    <cellStyle name="Separador de milhares 2 25" xfId="47821"/>
    <cellStyle name="Separador de milhares 2 26" xfId="47822"/>
    <cellStyle name="Separador de milhares 2 27" xfId="47823"/>
    <cellStyle name="Separador de milhares 2 28" xfId="47824"/>
    <cellStyle name="Separador de milhares 2 29" xfId="47825"/>
    <cellStyle name="Separador de milhares 2 3" xfId="47826"/>
    <cellStyle name="Separador de milhares 2 3 2" xfId="47827"/>
    <cellStyle name="Separador de milhares 2 30" xfId="47828"/>
    <cellStyle name="Separador de milhares 2 31" xfId="47829"/>
    <cellStyle name="Separador de milhares 2 32" xfId="47830"/>
    <cellStyle name="Separador de milhares 2 4" xfId="47831"/>
    <cellStyle name="Separador de milhares 2 5" xfId="47832"/>
    <cellStyle name="Separador de milhares 2 6" xfId="47833"/>
    <cellStyle name="Separador de milhares 2 7" xfId="47834"/>
    <cellStyle name="Separador de milhares 2 8" xfId="47835"/>
    <cellStyle name="Separador de milhares 2 9" xfId="47836"/>
    <cellStyle name="Separador de milhares 20" xfId="47837"/>
    <cellStyle name="Separador de milhares 20 2" xfId="47838"/>
    <cellStyle name="Separador de milhares 21" xfId="47839"/>
    <cellStyle name="Separador de milhares 21 2" xfId="47840"/>
    <cellStyle name="Separador de milhares 21 2 2" xfId="47841"/>
    <cellStyle name="Separador de milhares 21 2 3" xfId="47842"/>
    <cellStyle name="Separador de milhares 21 3" xfId="47843"/>
    <cellStyle name="Separador de milhares 21 3 2" xfId="47844"/>
    <cellStyle name="Separador de milhares 21 3 3" xfId="47845"/>
    <cellStyle name="Separador de milhares 21 4" xfId="47846"/>
    <cellStyle name="Separador de milhares 21 5" xfId="47847"/>
    <cellStyle name="Separador de milhares 21 5 2" xfId="47848"/>
    <cellStyle name="Separador de milhares 21 6" xfId="47849"/>
    <cellStyle name="Separador de milhares 21 7" xfId="47850"/>
    <cellStyle name="Separador de milhares 22" xfId="47851"/>
    <cellStyle name="Separador de milhares 22 2" xfId="47852"/>
    <cellStyle name="Separador de milhares 23" xfId="47853"/>
    <cellStyle name="Separador de milhares 3" xfId="194"/>
    <cellStyle name="Separador de milhares 3 10" xfId="47854"/>
    <cellStyle name="Separador de milhares 3 11" xfId="47855"/>
    <cellStyle name="Separador de milhares 3 12" xfId="47856"/>
    <cellStyle name="Separador de milhares 3 13" xfId="47857"/>
    <cellStyle name="Separador de milhares 3 14" xfId="47858"/>
    <cellStyle name="Separador de milhares 3 15" xfId="47859"/>
    <cellStyle name="Separador de milhares 3 16" xfId="47860"/>
    <cellStyle name="Separador de milhares 3 17" xfId="47861"/>
    <cellStyle name="Separador de milhares 3 18" xfId="47862"/>
    <cellStyle name="Separador de milhares 3 19" xfId="47863"/>
    <cellStyle name="Separador de milhares 3 2" xfId="47864"/>
    <cellStyle name="Separador de milhares 3 20" xfId="47865"/>
    <cellStyle name="Separador de milhares 3 21" xfId="47866"/>
    <cellStyle name="Separador de milhares 3 22" xfId="47867"/>
    <cellStyle name="Separador de milhares 3 23" xfId="47868"/>
    <cellStyle name="Separador de milhares 3 3" xfId="47869"/>
    <cellStyle name="Separador de milhares 3 4" xfId="47870"/>
    <cellStyle name="Separador de milhares 3 5" xfId="47871"/>
    <cellStyle name="Separador de milhares 3 6" xfId="47872"/>
    <cellStyle name="Separador de milhares 3 7" xfId="47873"/>
    <cellStyle name="Separador de milhares 3 8" xfId="47874"/>
    <cellStyle name="Separador de milhares 3 9" xfId="47875"/>
    <cellStyle name="Separador de milhares 4" xfId="195"/>
    <cellStyle name="Separador de milhares 4 2" xfId="47876"/>
    <cellStyle name="Separador de milhares 4 3" xfId="47877"/>
    <cellStyle name="Separador de milhares 5" xfId="4"/>
    <cellStyle name="Separador de milhares 5 2" xfId="47878"/>
    <cellStyle name="Separador de milhares 5 2 2" xfId="47879"/>
    <cellStyle name="Separador de milhares 5 3" xfId="47880"/>
    <cellStyle name="Separador de milhares 5 3 2" xfId="47881"/>
    <cellStyle name="Separador de milhares 5 3 3" xfId="47882"/>
    <cellStyle name="Separador de milhares 5 4" xfId="47883"/>
    <cellStyle name="Separador de milhares 5 4 2" xfId="47884"/>
    <cellStyle name="Separador de milhares 5 4 3" xfId="47885"/>
    <cellStyle name="Separador de milhares 5 5" xfId="47886"/>
    <cellStyle name="Separador de milhares 5 6" xfId="47887"/>
    <cellStyle name="Separador de milhares 5 6 2" xfId="47888"/>
    <cellStyle name="Separador de milhares 5 7" xfId="47889"/>
    <cellStyle name="Separador de milhares 5 8" xfId="47890"/>
    <cellStyle name="Separador de milhares 5 9" xfId="47891"/>
    <cellStyle name="Separador de milhares 6" xfId="47892"/>
    <cellStyle name="Separador de milhares 6 2" xfId="47893"/>
    <cellStyle name="Separador de milhares 6 3" xfId="47894"/>
    <cellStyle name="Separador de milhares 6 4" xfId="47895"/>
    <cellStyle name="Separador de milhares 7" xfId="47896"/>
    <cellStyle name="Separador de milhares 7 2" xfId="47897"/>
    <cellStyle name="Separador de milhares 7 3" xfId="47898"/>
    <cellStyle name="Separador de milhares 8" xfId="47899"/>
    <cellStyle name="Separador de milhares 8 2" xfId="47900"/>
    <cellStyle name="Separador de milhares 8 2 2" xfId="47901"/>
    <cellStyle name="Separador de milhares 9" xfId="47902"/>
    <cellStyle name="Separador de milhares 9 2" xfId="47903"/>
    <cellStyle name="Sheet Header" xfId="47904"/>
    <cellStyle name="Sheet Title" xfId="47905"/>
    <cellStyle name="slide" xfId="47906"/>
    <cellStyle name="Source Line" xfId="47907"/>
    <cellStyle name="Spreadsheet title" xfId="47908"/>
    <cellStyle name="SSComma0" xfId="196"/>
    <cellStyle name="SSComma0 10" xfId="197"/>
    <cellStyle name="SSComma0 10 2" xfId="47909"/>
    <cellStyle name="SSComma0 11" xfId="198"/>
    <cellStyle name="SSComma0 11 2" xfId="47910"/>
    <cellStyle name="SSComma0 12" xfId="199"/>
    <cellStyle name="SSComma0 12 2" xfId="47911"/>
    <cellStyle name="SSComma0 13" xfId="200"/>
    <cellStyle name="SSComma0 13 2" xfId="47912"/>
    <cellStyle name="SSComma0 14" xfId="201"/>
    <cellStyle name="SSComma0 14 2" xfId="47913"/>
    <cellStyle name="SSComma0 15" xfId="202"/>
    <cellStyle name="SSComma0 15 2" xfId="47914"/>
    <cellStyle name="SSComma0 16" xfId="203"/>
    <cellStyle name="SSComma0 16 2" xfId="47915"/>
    <cellStyle name="SSComma0 17" xfId="204"/>
    <cellStyle name="SSComma0 17 2" xfId="47916"/>
    <cellStyle name="SSComma0 18" xfId="205"/>
    <cellStyle name="SSComma0 18 2" xfId="47917"/>
    <cellStyle name="SSComma0 19" xfId="206"/>
    <cellStyle name="SSComma0 19 2" xfId="47918"/>
    <cellStyle name="SSComma0 2" xfId="207"/>
    <cellStyle name="SSComma0 2 2" xfId="47919"/>
    <cellStyle name="SSComma0 20" xfId="208"/>
    <cellStyle name="SSComma0 20 2" xfId="47920"/>
    <cellStyle name="SSComma0 21" xfId="209"/>
    <cellStyle name="SSComma0 21 2" xfId="47921"/>
    <cellStyle name="SSComma0 22" xfId="210"/>
    <cellStyle name="SSComma0 22 2" xfId="47922"/>
    <cellStyle name="SSComma0 23" xfId="211"/>
    <cellStyle name="SSComma0 23 2" xfId="47923"/>
    <cellStyle name="SSComma0 24" xfId="212"/>
    <cellStyle name="SSComma0 24 2" xfId="47924"/>
    <cellStyle name="SSComma0 25" xfId="213"/>
    <cellStyle name="SSComma0 25 2" xfId="47925"/>
    <cellStyle name="SSComma0 26" xfId="214"/>
    <cellStyle name="SSComma0 26 2" xfId="47926"/>
    <cellStyle name="SSComma0 27" xfId="215"/>
    <cellStyle name="SSComma0 27 2" xfId="47927"/>
    <cellStyle name="SSComma0 28" xfId="216"/>
    <cellStyle name="SSComma0 28 2" xfId="47928"/>
    <cellStyle name="SSComma0 3" xfId="217"/>
    <cellStyle name="SSComma0 3 2" xfId="47929"/>
    <cellStyle name="SSComma0 4" xfId="218"/>
    <cellStyle name="SSComma0 4 2" xfId="47930"/>
    <cellStyle name="SSComma0 5" xfId="219"/>
    <cellStyle name="SSComma0 5 2" xfId="47931"/>
    <cellStyle name="SSComma0 6" xfId="220"/>
    <cellStyle name="SSComma0 6 2" xfId="47932"/>
    <cellStyle name="SSComma0 7" xfId="221"/>
    <cellStyle name="SSComma0 7 2" xfId="47933"/>
    <cellStyle name="SSComma0 8" xfId="222"/>
    <cellStyle name="SSComma0 8 2" xfId="47934"/>
    <cellStyle name="SSComma0 9" xfId="223"/>
    <cellStyle name="SSComma0 9 2" xfId="47935"/>
    <cellStyle name="SSComma2" xfId="224"/>
    <cellStyle name="SSComma2 10" xfId="225"/>
    <cellStyle name="SSComma2 10 2" xfId="47936"/>
    <cellStyle name="SSComma2 11" xfId="226"/>
    <cellStyle name="SSComma2 11 2" xfId="47937"/>
    <cellStyle name="SSComma2 12" xfId="227"/>
    <cellStyle name="SSComma2 12 2" xfId="47938"/>
    <cellStyle name="SSComma2 13" xfId="228"/>
    <cellStyle name="SSComma2 13 2" xfId="47939"/>
    <cellStyle name="SSComma2 14" xfId="229"/>
    <cellStyle name="SSComma2 14 2" xfId="47940"/>
    <cellStyle name="SSComma2 15" xfId="230"/>
    <cellStyle name="SSComma2 15 2" xfId="47941"/>
    <cellStyle name="SSComma2 16" xfId="231"/>
    <cellStyle name="SSComma2 16 2" xfId="47942"/>
    <cellStyle name="SSComma2 17" xfId="232"/>
    <cellStyle name="SSComma2 17 2" xfId="47943"/>
    <cellStyle name="SSComma2 18" xfId="233"/>
    <cellStyle name="SSComma2 18 2" xfId="47944"/>
    <cellStyle name="SSComma2 19" xfId="234"/>
    <cellStyle name="SSComma2 19 2" xfId="47945"/>
    <cellStyle name="SSComma2 2" xfId="235"/>
    <cellStyle name="SSComma2 2 2" xfId="47946"/>
    <cellStyle name="SSComma2 20" xfId="236"/>
    <cellStyle name="SSComma2 20 2" xfId="47947"/>
    <cellStyle name="SSComma2 21" xfId="237"/>
    <cellStyle name="SSComma2 21 2" xfId="47948"/>
    <cellStyle name="SSComma2 22" xfId="238"/>
    <cellStyle name="SSComma2 22 2" xfId="47949"/>
    <cellStyle name="SSComma2 23" xfId="239"/>
    <cellStyle name="SSComma2 23 2" xfId="47950"/>
    <cellStyle name="SSComma2 24" xfId="240"/>
    <cellStyle name="SSComma2 24 2" xfId="47951"/>
    <cellStyle name="SSComma2 25" xfId="241"/>
    <cellStyle name="SSComma2 25 2" xfId="47952"/>
    <cellStyle name="SSComma2 26" xfId="242"/>
    <cellStyle name="SSComma2 26 2" xfId="47953"/>
    <cellStyle name="SSComma2 27" xfId="243"/>
    <cellStyle name="SSComma2 27 2" xfId="47954"/>
    <cellStyle name="SSComma2 28" xfId="244"/>
    <cellStyle name="SSComma2 28 2" xfId="47955"/>
    <cellStyle name="SSComma2 3" xfId="245"/>
    <cellStyle name="SSComma2 3 2" xfId="47956"/>
    <cellStyle name="SSComma2 4" xfId="246"/>
    <cellStyle name="SSComma2 4 2" xfId="47957"/>
    <cellStyle name="SSComma2 5" xfId="247"/>
    <cellStyle name="SSComma2 5 2" xfId="47958"/>
    <cellStyle name="SSComma2 6" xfId="248"/>
    <cellStyle name="SSComma2 6 2" xfId="47959"/>
    <cellStyle name="SSComma2 7" xfId="249"/>
    <cellStyle name="SSComma2 7 2" xfId="47960"/>
    <cellStyle name="SSComma2 8" xfId="250"/>
    <cellStyle name="SSComma2 8 2" xfId="47961"/>
    <cellStyle name="SSComma2 9" xfId="251"/>
    <cellStyle name="SSComma2 9 2" xfId="47962"/>
    <cellStyle name="SSDecs3" xfId="252"/>
    <cellStyle name="SSDecs3 10" xfId="253"/>
    <cellStyle name="SSDecs3 10 2" xfId="47963"/>
    <cellStyle name="SSDecs3 11" xfId="254"/>
    <cellStyle name="SSDecs3 11 2" xfId="47964"/>
    <cellStyle name="SSDecs3 12" xfId="255"/>
    <cellStyle name="SSDecs3 12 2" xfId="47965"/>
    <cellStyle name="SSDecs3 13" xfId="256"/>
    <cellStyle name="SSDecs3 13 2" xfId="47966"/>
    <cellStyle name="SSDecs3 14" xfId="257"/>
    <cellStyle name="SSDecs3 14 2" xfId="47967"/>
    <cellStyle name="SSDecs3 15" xfId="258"/>
    <cellStyle name="SSDecs3 15 2" xfId="47968"/>
    <cellStyle name="SSDecs3 16" xfId="259"/>
    <cellStyle name="SSDecs3 16 2" xfId="47969"/>
    <cellStyle name="SSDecs3 17" xfId="260"/>
    <cellStyle name="SSDecs3 17 2" xfId="47970"/>
    <cellStyle name="SSDecs3 18" xfId="261"/>
    <cellStyle name="SSDecs3 18 2" xfId="47971"/>
    <cellStyle name="SSDecs3 19" xfId="262"/>
    <cellStyle name="SSDecs3 19 2" xfId="47972"/>
    <cellStyle name="SSDecs3 2" xfId="263"/>
    <cellStyle name="SSDecs3 2 2" xfId="47973"/>
    <cellStyle name="SSDecs3 20" xfId="264"/>
    <cellStyle name="SSDecs3 20 2" xfId="47974"/>
    <cellStyle name="SSDecs3 21" xfId="265"/>
    <cellStyle name="SSDecs3 21 2" xfId="47975"/>
    <cellStyle name="SSDecs3 22" xfId="266"/>
    <cellStyle name="SSDecs3 22 2" xfId="47976"/>
    <cellStyle name="SSDecs3 23" xfId="267"/>
    <cellStyle name="SSDecs3 23 2" xfId="47977"/>
    <cellStyle name="SSDecs3 24" xfId="268"/>
    <cellStyle name="SSDecs3 24 2" xfId="47978"/>
    <cellStyle name="SSDecs3 25" xfId="269"/>
    <cellStyle name="SSDecs3 25 2" xfId="47979"/>
    <cellStyle name="SSDecs3 26" xfId="270"/>
    <cellStyle name="SSDecs3 26 2" xfId="47980"/>
    <cellStyle name="SSDecs3 27" xfId="271"/>
    <cellStyle name="SSDecs3 27 2" xfId="47981"/>
    <cellStyle name="SSDecs3 28" xfId="272"/>
    <cellStyle name="SSDecs3 28 2" xfId="47982"/>
    <cellStyle name="SSDecs3 3" xfId="273"/>
    <cellStyle name="SSDecs3 3 2" xfId="47983"/>
    <cellStyle name="SSDecs3 4" xfId="274"/>
    <cellStyle name="SSDecs3 4 2" xfId="47984"/>
    <cellStyle name="SSDecs3 5" xfId="275"/>
    <cellStyle name="SSDecs3 5 2" xfId="47985"/>
    <cellStyle name="SSDecs3 6" xfId="276"/>
    <cellStyle name="SSDecs3 6 2" xfId="47986"/>
    <cellStyle name="SSDecs3 7" xfId="277"/>
    <cellStyle name="SSDecs3 7 2" xfId="47987"/>
    <cellStyle name="SSDecs3 8" xfId="278"/>
    <cellStyle name="SSDecs3 8 2" xfId="47988"/>
    <cellStyle name="SSDecs3 9" xfId="279"/>
    <cellStyle name="SSDecs3 9 2" xfId="47989"/>
    <cellStyle name="SSDflt" xfId="280"/>
    <cellStyle name="SSDfltPct" xfId="281"/>
    <cellStyle name="SSDfltPct 10" xfId="282"/>
    <cellStyle name="SSDfltPct 10 2" xfId="47990"/>
    <cellStyle name="SSDfltPct 11" xfId="283"/>
    <cellStyle name="SSDfltPct 11 2" xfId="47991"/>
    <cellStyle name="SSDfltPct 12" xfId="284"/>
    <cellStyle name="SSDfltPct 12 2" xfId="47992"/>
    <cellStyle name="SSDfltPct 13" xfId="285"/>
    <cellStyle name="SSDfltPct 13 2" xfId="47993"/>
    <cellStyle name="SSDfltPct 14" xfId="286"/>
    <cellStyle name="SSDfltPct 14 2" xfId="47994"/>
    <cellStyle name="SSDfltPct 15" xfId="287"/>
    <cellStyle name="SSDfltPct 15 2" xfId="47995"/>
    <cellStyle name="SSDfltPct 16" xfId="288"/>
    <cellStyle name="SSDfltPct 16 2" xfId="47996"/>
    <cellStyle name="SSDfltPct 17" xfId="289"/>
    <cellStyle name="SSDfltPct 17 2" xfId="47997"/>
    <cellStyle name="SSDfltPct 18" xfId="290"/>
    <cellStyle name="SSDfltPct 18 2" xfId="47998"/>
    <cellStyle name="SSDfltPct 19" xfId="291"/>
    <cellStyle name="SSDfltPct 19 2" xfId="47999"/>
    <cellStyle name="SSDfltPct 2" xfId="292"/>
    <cellStyle name="SSDfltPct 2 2" xfId="48000"/>
    <cellStyle name="SSDfltPct 20" xfId="293"/>
    <cellStyle name="SSDfltPct 20 2" xfId="48001"/>
    <cellStyle name="SSDfltPct 21" xfId="294"/>
    <cellStyle name="SSDfltPct 21 2" xfId="48002"/>
    <cellStyle name="SSDfltPct 22" xfId="295"/>
    <cellStyle name="SSDfltPct 22 2" xfId="48003"/>
    <cellStyle name="SSDfltPct 23" xfId="296"/>
    <cellStyle name="SSDfltPct 23 2" xfId="48004"/>
    <cellStyle name="SSDfltPct 24" xfId="297"/>
    <cellStyle name="SSDfltPct 24 2" xfId="48005"/>
    <cellStyle name="SSDfltPct 25" xfId="298"/>
    <cellStyle name="SSDfltPct 25 2" xfId="48006"/>
    <cellStyle name="SSDfltPct 26" xfId="299"/>
    <cellStyle name="SSDfltPct 26 2" xfId="48007"/>
    <cellStyle name="SSDfltPct 27" xfId="300"/>
    <cellStyle name="SSDfltPct 27 2" xfId="48008"/>
    <cellStyle name="SSDfltPct 28" xfId="301"/>
    <cellStyle name="SSDfltPct 28 2" xfId="48009"/>
    <cellStyle name="SSDfltPct 3" xfId="302"/>
    <cellStyle name="SSDfltPct 3 2" xfId="48010"/>
    <cellStyle name="SSDfltPct 4" xfId="303"/>
    <cellStyle name="SSDfltPct 4 2" xfId="48011"/>
    <cellStyle name="SSDfltPct 5" xfId="304"/>
    <cellStyle name="SSDfltPct 5 2" xfId="48012"/>
    <cellStyle name="SSDfltPct 6" xfId="305"/>
    <cellStyle name="SSDfltPct 6 2" xfId="48013"/>
    <cellStyle name="SSDfltPct 7" xfId="306"/>
    <cellStyle name="SSDfltPct 7 2" xfId="48014"/>
    <cellStyle name="SSDfltPct 8" xfId="307"/>
    <cellStyle name="SSDfltPct 8 2" xfId="48015"/>
    <cellStyle name="SSDfltPct 9" xfId="308"/>
    <cellStyle name="SSDfltPct 9 2" xfId="48016"/>
    <cellStyle name="SSDfltPct0" xfId="309"/>
    <cellStyle name="SSDfltPct0 10" xfId="310"/>
    <cellStyle name="SSDfltPct0 10 2" xfId="48017"/>
    <cellStyle name="SSDfltPct0 11" xfId="311"/>
    <cellStyle name="SSDfltPct0 11 2" xfId="48018"/>
    <cellStyle name="SSDfltPct0 12" xfId="312"/>
    <cellStyle name="SSDfltPct0 12 2" xfId="48019"/>
    <cellStyle name="SSDfltPct0 13" xfId="313"/>
    <cellStyle name="SSDfltPct0 13 2" xfId="48020"/>
    <cellStyle name="SSDfltPct0 14" xfId="314"/>
    <cellStyle name="SSDfltPct0 14 2" xfId="48021"/>
    <cellStyle name="SSDfltPct0 15" xfId="315"/>
    <cellStyle name="SSDfltPct0 15 2" xfId="48022"/>
    <cellStyle name="SSDfltPct0 16" xfId="316"/>
    <cellStyle name="SSDfltPct0 16 2" xfId="48023"/>
    <cellStyle name="SSDfltPct0 17" xfId="317"/>
    <cellStyle name="SSDfltPct0 17 2" xfId="48024"/>
    <cellStyle name="SSDfltPct0 18" xfId="318"/>
    <cellStyle name="SSDfltPct0 18 2" xfId="48025"/>
    <cellStyle name="SSDfltPct0 19" xfId="319"/>
    <cellStyle name="SSDfltPct0 19 2" xfId="48026"/>
    <cellStyle name="SSDfltPct0 2" xfId="320"/>
    <cellStyle name="SSDfltPct0 2 2" xfId="48027"/>
    <cellStyle name="SSDfltPct0 20" xfId="321"/>
    <cellStyle name="SSDfltPct0 20 2" xfId="48028"/>
    <cellStyle name="SSDfltPct0 21" xfId="322"/>
    <cellStyle name="SSDfltPct0 21 2" xfId="48029"/>
    <cellStyle name="SSDfltPct0 22" xfId="323"/>
    <cellStyle name="SSDfltPct0 22 2" xfId="48030"/>
    <cellStyle name="SSDfltPct0 23" xfId="324"/>
    <cellStyle name="SSDfltPct0 23 2" xfId="48031"/>
    <cellStyle name="SSDfltPct0 24" xfId="325"/>
    <cellStyle name="SSDfltPct0 24 2" xfId="48032"/>
    <cellStyle name="SSDfltPct0 25" xfId="326"/>
    <cellStyle name="SSDfltPct0 25 2" xfId="48033"/>
    <cellStyle name="SSDfltPct0 26" xfId="327"/>
    <cellStyle name="SSDfltPct0 26 2" xfId="48034"/>
    <cellStyle name="SSDfltPct0 27" xfId="328"/>
    <cellStyle name="SSDfltPct0 27 2" xfId="48035"/>
    <cellStyle name="SSDfltPct0 28" xfId="329"/>
    <cellStyle name="SSDfltPct0 28 2" xfId="48036"/>
    <cellStyle name="SSDfltPct0 3" xfId="330"/>
    <cellStyle name="SSDfltPct0 3 2" xfId="48037"/>
    <cellStyle name="SSDfltPct0 4" xfId="331"/>
    <cellStyle name="SSDfltPct0 4 2" xfId="48038"/>
    <cellStyle name="SSDfltPct0 5" xfId="332"/>
    <cellStyle name="SSDfltPct0 5 2" xfId="48039"/>
    <cellStyle name="SSDfltPct0 6" xfId="333"/>
    <cellStyle name="SSDfltPct0 6 2" xfId="48040"/>
    <cellStyle name="SSDfltPct0 7" xfId="334"/>
    <cellStyle name="SSDfltPct0 7 2" xfId="48041"/>
    <cellStyle name="SSDfltPct0 8" xfId="335"/>
    <cellStyle name="SSDfltPct0 8 2" xfId="48042"/>
    <cellStyle name="SSDfltPct0 9" xfId="336"/>
    <cellStyle name="SSDfltPct0 9 2" xfId="48043"/>
    <cellStyle name="SSFixed2" xfId="337"/>
    <cellStyle name="SSFixed2 10" xfId="338"/>
    <cellStyle name="SSFixed2 10 2" xfId="48044"/>
    <cellStyle name="SSFixed2 11" xfId="339"/>
    <cellStyle name="SSFixed2 11 2" xfId="48045"/>
    <cellStyle name="SSFixed2 12" xfId="340"/>
    <cellStyle name="SSFixed2 12 2" xfId="48046"/>
    <cellStyle name="SSFixed2 13" xfId="341"/>
    <cellStyle name="SSFixed2 13 2" xfId="48047"/>
    <cellStyle name="SSFixed2 14" xfId="342"/>
    <cellStyle name="SSFixed2 14 2" xfId="48048"/>
    <cellStyle name="SSFixed2 15" xfId="343"/>
    <cellStyle name="SSFixed2 15 2" xfId="48049"/>
    <cellStyle name="SSFixed2 16" xfId="344"/>
    <cellStyle name="SSFixed2 16 2" xfId="48050"/>
    <cellStyle name="SSFixed2 17" xfId="345"/>
    <cellStyle name="SSFixed2 17 2" xfId="48051"/>
    <cellStyle name="SSFixed2 18" xfId="346"/>
    <cellStyle name="SSFixed2 18 2" xfId="48052"/>
    <cellStyle name="SSFixed2 19" xfId="347"/>
    <cellStyle name="SSFixed2 19 2" xfId="48053"/>
    <cellStyle name="SSFixed2 2" xfId="348"/>
    <cellStyle name="SSFixed2 2 2" xfId="48054"/>
    <cellStyle name="SSFixed2 20" xfId="349"/>
    <cellStyle name="SSFixed2 20 2" xfId="48055"/>
    <cellStyle name="SSFixed2 21" xfId="350"/>
    <cellStyle name="SSFixed2 21 2" xfId="48056"/>
    <cellStyle name="SSFixed2 22" xfId="351"/>
    <cellStyle name="SSFixed2 22 2" xfId="48057"/>
    <cellStyle name="SSFixed2 23" xfId="352"/>
    <cellStyle name="SSFixed2 23 2" xfId="48058"/>
    <cellStyle name="SSFixed2 24" xfId="353"/>
    <cellStyle name="SSFixed2 24 2" xfId="48059"/>
    <cellStyle name="SSFixed2 25" xfId="354"/>
    <cellStyle name="SSFixed2 25 2" xfId="48060"/>
    <cellStyle name="SSFixed2 26" xfId="355"/>
    <cellStyle name="SSFixed2 26 2" xfId="48061"/>
    <cellStyle name="SSFixed2 27" xfId="356"/>
    <cellStyle name="SSFixed2 27 2" xfId="48062"/>
    <cellStyle name="SSFixed2 28" xfId="357"/>
    <cellStyle name="SSFixed2 28 2" xfId="48063"/>
    <cellStyle name="SSFixed2 3" xfId="358"/>
    <cellStyle name="SSFixed2 3 2" xfId="48064"/>
    <cellStyle name="SSFixed2 4" xfId="359"/>
    <cellStyle name="SSFixed2 4 2" xfId="48065"/>
    <cellStyle name="SSFixed2 5" xfId="360"/>
    <cellStyle name="SSFixed2 5 2" xfId="48066"/>
    <cellStyle name="SSFixed2 6" xfId="361"/>
    <cellStyle name="SSFixed2 6 2" xfId="48067"/>
    <cellStyle name="SSFixed2 7" xfId="362"/>
    <cellStyle name="SSFixed2 7 2" xfId="48068"/>
    <cellStyle name="SSFixed2 8" xfId="363"/>
    <cellStyle name="SSFixed2 8 2" xfId="48069"/>
    <cellStyle name="SSFixed2 9" xfId="364"/>
    <cellStyle name="SSFixed2 9 2" xfId="48070"/>
    <cellStyle name="ssubtitulo" xfId="48071"/>
    <cellStyle name="Standard_Mappe1" xfId="48072"/>
    <cellStyle name="Style 1" xfId="48073"/>
    <cellStyle name="subhead" xfId="365"/>
    <cellStyle name="subhead 2" xfId="48074"/>
    <cellStyle name="SubRoutine" xfId="48075"/>
    <cellStyle name="SubRoutine 2" xfId="48076"/>
    <cellStyle name="SubRoutine 3" xfId="48077"/>
    <cellStyle name="subtitulo" xfId="48078"/>
    <cellStyle name="Sub-Título" xfId="48079"/>
    <cellStyle name="Sub-Título 2" xfId="48080"/>
    <cellStyle name="Sub-Título 2 2" xfId="48081"/>
    <cellStyle name="Sub-Título 3" xfId="48082"/>
    <cellStyle name="subtitulo_Análise Recarga R2_Set a Nov" xfId="48083"/>
    <cellStyle name="Sub-Título_Metas Recarga e TUP_ATUALIZAÇÃO NPP" xfId="48084"/>
    <cellStyle name="subtitulo_Rel_NPP_28092009" xfId="48085"/>
    <cellStyle name="Sub-Título_VENDAS VAREJO apenas recarga_2010" xfId="48086"/>
    <cellStyle name="Table Head" xfId="48087"/>
    <cellStyle name="Table Head Aligned" xfId="48088"/>
    <cellStyle name="Table Head Blue" xfId="48089"/>
    <cellStyle name="Table Head Green" xfId="48090"/>
    <cellStyle name="Table Heading" xfId="48091"/>
    <cellStyle name="Table Title" xfId="48092"/>
    <cellStyle name="Table Units" xfId="48093"/>
    <cellStyle name="TableHead" xfId="48094"/>
    <cellStyle name="TableHead 2" xfId="48095"/>
    <cellStyle name="TableHead 2 2" xfId="48096"/>
    <cellStyle name="TableHead 2 2 2" xfId="48097"/>
    <cellStyle name="TableHead 2 3" xfId="48098"/>
    <cellStyle name="TableHead 2 3 2" xfId="48099"/>
    <cellStyle name="TableHead 2 4" xfId="48100"/>
    <cellStyle name="TableHead 3" xfId="48101"/>
    <cellStyle name="TableHead 3 2" xfId="48102"/>
    <cellStyle name="TableHead 3 2 2" xfId="48103"/>
    <cellStyle name="TableHead 3 3" xfId="48104"/>
    <cellStyle name="TableHead 4" xfId="48105"/>
    <cellStyle name="TableHead 4 2" xfId="48106"/>
    <cellStyle name="TableHead 5" xfId="48107"/>
    <cellStyle name="taples Plaza" xfId="48108"/>
    <cellStyle name="TDB - (sub)totale" xfId="48109"/>
    <cellStyle name="TDB - Dati Calcolo foglio" xfId="48110"/>
    <cellStyle name="TDB - Dati Manuale da aggiornare" xfId="48111"/>
    <cellStyle name="TDB - Dati Manuale storico" xfId="48112"/>
    <cellStyle name="TDB - Dati Manuale storico OK" xfId="48113"/>
    <cellStyle name="TDB - Dati Manuale storico_Metriche 21_11_2002 zonavalori e grafici" xfId="48114"/>
    <cellStyle name="TDB - Dati Rif. altro foglio" xfId="48115"/>
    <cellStyle name="TDB - Dati Rif. file estreno" xfId="48116"/>
    <cellStyle name="TDB - Delta-Peso" xfId="48117"/>
    <cellStyle name="TDB - Scegli" xfId="48118"/>
    <cellStyle name="TDB di cui" xfId="48119"/>
    <cellStyle name="TDB di cui %" xfId="48120"/>
    <cellStyle name="TDB Livello 0" xfId="48121"/>
    <cellStyle name="TDB Livello 0 a" xfId="48122"/>
    <cellStyle name="TDB Livello 0 di cui" xfId="48123"/>
    <cellStyle name="TDB Livello 1" xfId="48124"/>
    <cellStyle name="TDB Livello 1 %" xfId="48125"/>
    <cellStyle name="TDB Livello 1 a" xfId="48126"/>
    <cellStyle name="TDB Livello 1 di cui" xfId="48127"/>
    <cellStyle name="TDB Livello 1 di cui a" xfId="48128"/>
    <cellStyle name="TDB Livello 1_a" xfId="48129"/>
    <cellStyle name="TDB Livello 2" xfId="48130"/>
    <cellStyle name="TDB Livello 2 %" xfId="48131"/>
    <cellStyle name="TDB Livello 2 a" xfId="48132"/>
    <cellStyle name="TDB Livello 2 di cui" xfId="48133"/>
    <cellStyle name="TDB Livello 2 di cui a" xfId="48134"/>
    <cellStyle name="TDB Livello 2 di cui_Metriche 21_11_2002 zonavalori e grafici" xfId="48135"/>
    <cellStyle name="TDB Livello 2_Cartel2" xfId="48136"/>
    <cellStyle name="TDB Livello 3" xfId="48137"/>
    <cellStyle name="TDB Livello 3 %" xfId="48138"/>
    <cellStyle name="TDB Livello 3 a" xfId="48139"/>
    <cellStyle name="TDB Livello 3 di cui" xfId="48140"/>
    <cellStyle name="TDB Livello 3 di cui a" xfId="48141"/>
    <cellStyle name="TDB Livello 3_a" xfId="48142"/>
    <cellStyle name="TDB Livello 4" xfId="48143"/>
    <cellStyle name="TDB Livello N 0" xfId="48144"/>
    <cellStyle name="TDB Livello N 0 a" xfId="48145"/>
    <cellStyle name="TDB Livello N 0 di cui" xfId="48146"/>
    <cellStyle name="TDB Livello N 1" xfId="48147"/>
    <cellStyle name="TDB Livello N 1 a" xfId="48148"/>
    <cellStyle name="TDB Livello N 1 di cui" xfId="48149"/>
    <cellStyle name="TDB Livello N 1 di cui a" xfId="48150"/>
    <cellStyle name="TDB Livello N 1_a" xfId="48151"/>
    <cellStyle name="TDB Livello N 2" xfId="48152"/>
    <cellStyle name="TDB Livello N 2 a" xfId="48153"/>
    <cellStyle name="TDB Livello N 2 di cui" xfId="48154"/>
    <cellStyle name="TDB Livello N 2 di cui a" xfId="48155"/>
    <cellStyle name="TDB Livello N 3" xfId="48156"/>
    <cellStyle name="TDB Livello N 3 a" xfId="48157"/>
    <cellStyle name="TDB Livello N 3 di cui" xfId="48158"/>
    <cellStyle name="TDB Livello N 3 di cui a" xfId="48159"/>
    <cellStyle name="TDB Livello N 4" xfId="48160"/>
    <cellStyle name="TDB N Liv 1" xfId="48161"/>
    <cellStyle name="TDB N Liv 1 di cui" xfId="48162"/>
    <cellStyle name="TDB N Liv 1a" xfId="48163"/>
    <cellStyle name="TDB N Liv 1a di cui" xfId="48164"/>
    <cellStyle name="TDB Note" xfId="48165"/>
    <cellStyle name="TDB Numero" xfId="48166"/>
    <cellStyle name="TDB P Liv 1" xfId="48167"/>
    <cellStyle name="TDB P Liv 1 di cui" xfId="48168"/>
    <cellStyle name="TDB P Liv 1a" xfId="48169"/>
    <cellStyle name="TDB P Liv 1a d icui" xfId="48170"/>
    <cellStyle name="TDB Titolo dato" xfId="48171"/>
    <cellStyle name="TDB Titolo delta Cons" xfId="48172"/>
    <cellStyle name="TDB Titolo mese" xfId="48173"/>
    <cellStyle name="TDB Titolo sub tavola" xfId="48174"/>
    <cellStyle name="TDB Titolo tavola" xfId="48175"/>
    <cellStyle name="TDB Titolo Unità di misura" xfId="48176"/>
    <cellStyle name="TDB TPP" xfId="48177"/>
    <cellStyle name="TDB Z Spaziatore" xfId="48178"/>
    <cellStyle name="TDB-MesePeso" xfId="48179"/>
    <cellStyle name="Text" xfId="366"/>
    <cellStyle name="Texto de advertencia" xfId="48180"/>
    <cellStyle name="Texto de Aviso 10" xfId="48181"/>
    <cellStyle name="Texto de Aviso 11" xfId="48182"/>
    <cellStyle name="Texto de Aviso 12" xfId="48183"/>
    <cellStyle name="Texto de Aviso 13" xfId="48184"/>
    <cellStyle name="Texto de Aviso 14" xfId="48185"/>
    <cellStyle name="Texto de Aviso 2" xfId="48186"/>
    <cellStyle name="Texto de Aviso 2 2" xfId="48187"/>
    <cellStyle name="Texto de Aviso 3" xfId="48188"/>
    <cellStyle name="Texto de Aviso 3 2" xfId="48189"/>
    <cellStyle name="Texto de Aviso 4" xfId="48190"/>
    <cellStyle name="Texto de Aviso 4 2" xfId="48191"/>
    <cellStyle name="Texto de Aviso 5" xfId="48192"/>
    <cellStyle name="Texto de Aviso 5 2" xfId="48193"/>
    <cellStyle name="Texto de Aviso 6" xfId="48194"/>
    <cellStyle name="Texto de Aviso 6 2" xfId="48195"/>
    <cellStyle name="Texto de Aviso 7" xfId="48196"/>
    <cellStyle name="Texto de Aviso 7 2" xfId="48197"/>
    <cellStyle name="Texto de Aviso 8" xfId="48198"/>
    <cellStyle name="Texto de Aviso 8 2" xfId="48199"/>
    <cellStyle name="Texto de Aviso 9" xfId="48200"/>
    <cellStyle name="Texto Explicativo 10" xfId="48201"/>
    <cellStyle name="Texto Explicativo 11" xfId="48202"/>
    <cellStyle name="Texto Explicativo 12" xfId="48203"/>
    <cellStyle name="Texto Explicativo 13" xfId="48204"/>
    <cellStyle name="Texto Explicativo 14" xfId="48205"/>
    <cellStyle name="Texto Explicativo 2" xfId="48206"/>
    <cellStyle name="Texto Explicativo 2 2" xfId="48207"/>
    <cellStyle name="Texto Explicativo 3" xfId="48208"/>
    <cellStyle name="Texto Explicativo 3 2" xfId="48209"/>
    <cellStyle name="Texto Explicativo 4" xfId="48210"/>
    <cellStyle name="Texto Explicativo 4 2" xfId="48211"/>
    <cellStyle name="Texto Explicativo 5" xfId="48212"/>
    <cellStyle name="Texto Explicativo 5 2" xfId="48213"/>
    <cellStyle name="Texto Explicativo 6" xfId="48214"/>
    <cellStyle name="Texto Explicativo 6 2" xfId="48215"/>
    <cellStyle name="Texto Explicativo 7" xfId="48216"/>
    <cellStyle name="Texto Explicativo 7 2" xfId="48217"/>
    <cellStyle name="Texto Explicativo 8" xfId="48218"/>
    <cellStyle name="Texto Explicativo 8 2" xfId="48219"/>
    <cellStyle name="Texto Explicativo 9" xfId="48220"/>
    <cellStyle name="Title" xfId="48221"/>
    <cellStyle name="Title 10" xfId="48222"/>
    <cellStyle name="Title 11" xfId="48223"/>
    <cellStyle name="Title 2" xfId="48224"/>
    <cellStyle name="Title 3" xfId="48225"/>
    <cellStyle name="Title 4" xfId="48226"/>
    <cellStyle name="Title 5" xfId="48227"/>
    <cellStyle name="Title 6" xfId="48228"/>
    <cellStyle name="Title 7" xfId="48229"/>
    <cellStyle name="Title 7 2" xfId="48230"/>
    <cellStyle name="Title 7 2 2" xfId="48231"/>
    <cellStyle name="Title 7 3" xfId="48232"/>
    <cellStyle name="Title 8" xfId="48233"/>
    <cellStyle name="Title 8 2" xfId="48234"/>
    <cellStyle name="Title 8 2 2" xfId="48235"/>
    <cellStyle name="Title 8 3" xfId="48236"/>
    <cellStyle name="Title 9" xfId="48237"/>
    <cellStyle name="Title 9 2" xfId="48238"/>
    <cellStyle name="Title Line" xfId="48239"/>
    <cellStyle name="Title_BD RECARGA" xfId="48240"/>
    <cellStyle name="tito1" xfId="48241"/>
    <cellStyle name="titulo" xfId="48242"/>
    <cellStyle name="Título 1 10" xfId="48243"/>
    <cellStyle name="Título 1 11" xfId="48244"/>
    <cellStyle name="Título 1 12" xfId="48245"/>
    <cellStyle name="Título 1 13" xfId="48246"/>
    <cellStyle name="Título 1 14" xfId="48247"/>
    <cellStyle name="Título 1 2" xfId="48248"/>
    <cellStyle name="Título 1 2 2" xfId="48249"/>
    <cellStyle name="Título 1 2 3" xfId="48250"/>
    <cellStyle name="Título 1 2 4" xfId="48251"/>
    <cellStyle name="Título 1 2 5" xfId="48252"/>
    <cellStyle name="Título 1 3" xfId="48253"/>
    <cellStyle name="Título 1 3 2" xfId="48254"/>
    <cellStyle name="Título 1 4" xfId="48255"/>
    <cellStyle name="Título 1 4 2" xfId="48256"/>
    <cellStyle name="Título 1 5" xfId="48257"/>
    <cellStyle name="Título 1 5 2" xfId="48258"/>
    <cellStyle name="Título 1 6" xfId="48259"/>
    <cellStyle name="Título 1 6 2" xfId="48260"/>
    <cellStyle name="Título 1 7" xfId="48261"/>
    <cellStyle name="Título 1 7 2" xfId="48262"/>
    <cellStyle name="Título 1 8" xfId="48263"/>
    <cellStyle name="Título 1 8 2" xfId="48264"/>
    <cellStyle name="Título 1 9" xfId="48265"/>
    <cellStyle name="Título 10" xfId="48266"/>
    <cellStyle name="Título 10 2" xfId="48267"/>
    <cellStyle name="Título 11" xfId="48268"/>
    <cellStyle name="Título 11 2" xfId="48269"/>
    <cellStyle name="Título 12" xfId="48270"/>
    <cellStyle name="Título 13" xfId="48271"/>
    <cellStyle name="Título 14" xfId="48272"/>
    <cellStyle name="Título 15" xfId="48273"/>
    <cellStyle name="Título 16" xfId="48274"/>
    <cellStyle name="Título 17" xfId="48275"/>
    <cellStyle name="Título 2 10" xfId="48276"/>
    <cellStyle name="Título 2 11" xfId="48277"/>
    <cellStyle name="Título 2 12" xfId="48278"/>
    <cellStyle name="Título 2 13" xfId="48279"/>
    <cellStyle name="Título 2 14" xfId="48280"/>
    <cellStyle name="Título 2 2" xfId="48281"/>
    <cellStyle name="Título 2 2 2" xfId="48282"/>
    <cellStyle name="Título 2 2 3" xfId="48283"/>
    <cellStyle name="Título 2 2 4" xfId="48284"/>
    <cellStyle name="Título 2 2 5" xfId="48285"/>
    <cellStyle name="Título 2 3" xfId="48286"/>
    <cellStyle name="Título 2 3 2" xfId="48287"/>
    <cellStyle name="Título 2 4" xfId="48288"/>
    <cellStyle name="Título 2 4 2" xfId="48289"/>
    <cellStyle name="Título 2 5" xfId="48290"/>
    <cellStyle name="Título 2 5 2" xfId="48291"/>
    <cellStyle name="Título 2 6" xfId="48292"/>
    <cellStyle name="Título 2 6 2" xfId="48293"/>
    <cellStyle name="Título 2 7" xfId="48294"/>
    <cellStyle name="Título 2 7 2" xfId="48295"/>
    <cellStyle name="Título 2 7_BD RECARGA" xfId="48296"/>
    <cellStyle name="Título 2 8" xfId="48297"/>
    <cellStyle name="Título 2 8 2" xfId="48298"/>
    <cellStyle name="Título 2 8_BD RECARGA" xfId="48299"/>
    <cellStyle name="Título 2 9" xfId="48300"/>
    <cellStyle name="Título 3 10" xfId="48301"/>
    <cellStyle name="Título 3 11" xfId="48302"/>
    <cellStyle name="Título 3 12" xfId="48303"/>
    <cellStyle name="Título 3 13" xfId="48304"/>
    <cellStyle name="Título 3 14" xfId="48305"/>
    <cellStyle name="Título 3 2" xfId="48306"/>
    <cellStyle name="Título 3 2 2" xfId="48307"/>
    <cellStyle name="Título 3 2 2 2" xfId="48308"/>
    <cellStyle name="Título 3 2 3" xfId="48309"/>
    <cellStyle name="Título 3 2 3 2" xfId="48310"/>
    <cellStyle name="Título 3 2 4" xfId="48311"/>
    <cellStyle name="Título 3 2 4 2" xfId="48312"/>
    <cellStyle name="Título 3 2 5" xfId="48313"/>
    <cellStyle name="Título 3 3" xfId="48314"/>
    <cellStyle name="Título 3 3 2" xfId="48315"/>
    <cellStyle name="Título 3 4" xfId="48316"/>
    <cellStyle name="Título 3 4 2" xfId="48317"/>
    <cellStyle name="Título 3 5" xfId="48318"/>
    <cellStyle name="Título 3 5 2" xfId="48319"/>
    <cellStyle name="Título 3 6" xfId="48320"/>
    <cellStyle name="Título 3 6 2" xfId="48321"/>
    <cellStyle name="Título 3 7" xfId="48322"/>
    <cellStyle name="Título 3 7 2" xfId="48323"/>
    <cellStyle name="Título 3 8" xfId="48324"/>
    <cellStyle name="Título 3 8 2" xfId="48325"/>
    <cellStyle name="Título 3 9" xfId="48326"/>
    <cellStyle name="Título 4 10" xfId="48327"/>
    <cellStyle name="Título 4 11" xfId="48328"/>
    <cellStyle name="Título 4 12" xfId="48329"/>
    <cellStyle name="Título 4 13" xfId="48330"/>
    <cellStyle name="Título 4 14" xfId="48331"/>
    <cellStyle name="Título 4 2" xfId="48332"/>
    <cellStyle name="Título 4 2 2" xfId="48333"/>
    <cellStyle name="Título 4 2 3" xfId="48334"/>
    <cellStyle name="Título 4 3" xfId="48335"/>
    <cellStyle name="Título 4 3 2" xfId="48336"/>
    <cellStyle name="Título 4 4" xfId="48337"/>
    <cellStyle name="Título 4 4 2" xfId="48338"/>
    <cellStyle name="Título 4 5" xfId="48339"/>
    <cellStyle name="Título 4 5 2" xfId="48340"/>
    <cellStyle name="Título 4 6" xfId="48341"/>
    <cellStyle name="Título 4 6 2" xfId="48342"/>
    <cellStyle name="Título 4 7" xfId="48343"/>
    <cellStyle name="Título 4 7 2" xfId="48344"/>
    <cellStyle name="Título 4 8" xfId="48345"/>
    <cellStyle name="Título 4 8 2" xfId="48346"/>
    <cellStyle name="Título 4 9" xfId="48347"/>
    <cellStyle name="Título 5" xfId="48348"/>
    <cellStyle name="Título 5 2" xfId="48349"/>
    <cellStyle name="Título 5 3" xfId="48350"/>
    <cellStyle name="Título 6" xfId="48351"/>
    <cellStyle name="Título 6 2" xfId="48352"/>
    <cellStyle name="Título 7" xfId="48353"/>
    <cellStyle name="Título 7 2" xfId="48354"/>
    <cellStyle name="Título 8" xfId="48355"/>
    <cellStyle name="Título 8 2" xfId="48356"/>
    <cellStyle name="Título 9" xfId="48357"/>
    <cellStyle name="Título 9 2" xfId="48358"/>
    <cellStyle name="titulo_Pess" xfId="48359"/>
    <cellStyle name="Titulo1" xfId="48360"/>
    <cellStyle name="Titulo2" xfId="48361"/>
    <cellStyle name="titulomov" xfId="48362"/>
    <cellStyle name="titulomov 2" xfId="48363"/>
    <cellStyle name="Todos" xfId="48364"/>
    <cellStyle name="Top Row" xfId="48365"/>
    <cellStyle name="Top Row 2" xfId="48366"/>
    <cellStyle name="Top Row 2 2" xfId="48367"/>
    <cellStyle name="Top Row 2 2 2" xfId="48368"/>
    <cellStyle name="Top Row 2 2 3" xfId="48369"/>
    <cellStyle name="Top Row 2 3" xfId="48370"/>
    <cellStyle name="Top Row 2 4" xfId="48371"/>
    <cellStyle name="Top Row 3" xfId="48372"/>
    <cellStyle name="Top Row 3 2" xfId="48373"/>
    <cellStyle name="Top Row 3 2 2" xfId="48374"/>
    <cellStyle name="Top Row 3 2 3" xfId="48375"/>
    <cellStyle name="Top Row 3 3" xfId="48376"/>
    <cellStyle name="Top Row 3 4" xfId="48377"/>
    <cellStyle name="Top Row 4" xfId="48378"/>
    <cellStyle name="Top Row 4 2" xfId="48379"/>
    <cellStyle name="Top Row 4 3" xfId="48380"/>
    <cellStyle name="Top Row 5" xfId="48381"/>
    <cellStyle name="Top Row 6" xfId="48382"/>
    <cellStyle name="TopGrey" xfId="48383"/>
    <cellStyle name="TopGrey 2" xfId="48384"/>
    <cellStyle name="TopGrey 3" xfId="48385"/>
    <cellStyle name="Total 10" xfId="48386"/>
    <cellStyle name="Total 10 2" xfId="48387"/>
    <cellStyle name="Total 10 2 2" xfId="48388"/>
    <cellStyle name="Total 10 2 2 2" xfId="48389"/>
    <cellStyle name="Total 10 2 2 3" xfId="48390"/>
    <cellStyle name="Total 10 2 3" xfId="48391"/>
    <cellStyle name="Total 10 2 4" xfId="48392"/>
    <cellStyle name="Total 10 3" xfId="48393"/>
    <cellStyle name="Total 10 3 2" xfId="48394"/>
    <cellStyle name="Total 10 3 2 2" xfId="48395"/>
    <cellStyle name="Total 10 3 2 3" xfId="48396"/>
    <cellStyle name="Total 10 3 3" xfId="48397"/>
    <cellStyle name="Total 10 3 4" xfId="48398"/>
    <cellStyle name="Total 10 4" xfId="48399"/>
    <cellStyle name="Total 10 4 2" xfId="48400"/>
    <cellStyle name="Total 10 4 3" xfId="48401"/>
    <cellStyle name="Total 10 5" xfId="48402"/>
    <cellStyle name="Total 10 6" xfId="48403"/>
    <cellStyle name="Total 11" xfId="48404"/>
    <cellStyle name="Total 11 2" xfId="48405"/>
    <cellStyle name="Total 11 2 2" xfId="48406"/>
    <cellStyle name="Total 11 2 2 2" xfId="48407"/>
    <cellStyle name="Total 11 2 2 3" xfId="48408"/>
    <cellStyle name="Total 11 2 3" xfId="48409"/>
    <cellStyle name="Total 11 2 4" xfId="48410"/>
    <cellStyle name="Total 11 3" xfId="48411"/>
    <cellStyle name="Total 11 3 2" xfId="48412"/>
    <cellStyle name="Total 11 3 2 2" xfId="48413"/>
    <cellStyle name="Total 11 3 2 3" xfId="48414"/>
    <cellStyle name="Total 11 3 3" xfId="48415"/>
    <cellStyle name="Total 11 3 4" xfId="48416"/>
    <cellStyle name="Total 11 4" xfId="48417"/>
    <cellStyle name="Total 11 4 2" xfId="48418"/>
    <cellStyle name="Total 11 4 3" xfId="48419"/>
    <cellStyle name="Total 11 5" xfId="48420"/>
    <cellStyle name="Total 11 6" xfId="48421"/>
    <cellStyle name="Total 12" xfId="48422"/>
    <cellStyle name="Total 12 2" xfId="48423"/>
    <cellStyle name="Total 12 2 2" xfId="48424"/>
    <cellStyle name="Total 12 2 2 2" xfId="48425"/>
    <cellStyle name="Total 12 2 2 3" xfId="48426"/>
    <cellStyle name="Total 12 2 3" xfId="48427"/>
    <cellStyle name="Total 12 2 4" xfId="48428"/>
    <cellStyle name="Total 12 3" xfId="48429"/>
    <cellStyle name="Total 12 3 2" xfId="48430"/>
    <cellStyle name="Total 12 3 2 2" xfId="48431"/>
    <cellStyle name="Total 12 3 2 3" xfId="48432"/>
    <cellStyle name="Total 12 3 3" xfId="48433"/>
    <cellStyle name="Total 12 3 4" xfId="48434"/>
    <cellStyle name="Total 12 4" xfId="48435"/>
    <cellStyle name="Total 12 4 2" xfId="48436"/>
    <cellStyle name="Total 12 4 3" xfId="48437"/>
    <cellStyle name="Total 12 5" xfId="48438"/>
    <cellStyle name="Total 12 6" xfId="48439"/>
    <cellStyle name="Total 13" xfId="48440"/>
    <cellStyle name="Total 13 2" xfId="48441"/>
    <cellStyle name="Total 13 2 2" xfId="48442"/>
    <cellStyle name="Total 13 2 2 2" xfId="48443"/>
    <cellStyle name="Total 13 2 2 3" xfId="48444"/>
    <cellStyle name="Total 13 2 3" xfId="48445"/>
    <cellStyle name="Total 13 2 4" xfId="48446"/>
    <cellStyle name="Total 13 3" xfId="48447"/>
    <cellStyle name="Total 13 3 2" xfId="48448"/>
    <cellStyle name="Total 13 3 2 2" xfId="48449"/>
    <cellStyle name="Total 13 3 2 3" xfId="48450"/>
    <cellStyle name="Total 13 3 3" xfId="48451"/>
    <cellStyle name="Total 13 3 4" xfId="48452"/>
    <cellStyle name="Total 13 4" xfId="48453"/>
    <cellStyle name="Total 13 4 2" xfId="48454"/>
    <cellStyle name="Total 13 4 3" xfId="48455"/>
    <cellStyle name="Total 13 5" xfId="48456"/>
    <cellStyle name="Total 13 6" xfId="48457"/>
    <cellStyle name="Total 14" xfId="48458"/>
    <cellStyle name="Total 14 2" xfId="48459"/>
    <cellStyle name="Total 14 2 2" xfId="48460"/>
    <cellStyle name="Total 14 2 2 2" xfId="48461"/>
    <cellStyle name="Total 14 2 2 3" xfId="48462"/>
    <cellStyle name="Total 14 2 3" xfId="48463"/>
    <cellStyle name="Total 14 2 4" xfId="48464"/>
    <cellStyle name="Total 14 3" xfId="48465"/>
    <cellStyle name="Total 14 3 2" xfId="48466"/>
    <cellStyle name="Total 14 3 2 2" xfId="48467"/>
    <cellStyle name="Total 14 3 2 3" xfId="48468"/>
    <cellStyle name="Total 14 3 3" xfId="48469"/>
    <cellStyle name="Total 14 3 4" xfId="48470"/>
    <cellStyle name="Total 14 4" xfId="48471"/>
    <cellStyle name="Total 14 4 2" xfId="48472"/>
    <cellStyle name="Total 14 4 3" xfId="48473"/>
    <cellStyle name="Total 14 5" xfId="48474"/>
    <cellStyle name="Total 14 6" xfId="48475"/>
    <cellStyle name="Total 2" xfId="367"/>
    <cellStyle name="Total 2 10" xfId="48476"/>
    <cellStyle name="Total 2 10 2" xfId="48477"/>
    <cellStyle name="Total 2 10 2 2" xfId="48478"/>
    <cellStyle name="Total 2 10 2 3" xfId="48479"/>
    <cellStyle name="Total 2 10 3" xfId="48480"/>
    <cellStyle name="Total 2 10 3 2" xfId="48481"/>
    <cellStyle name="Total 2 10 3 3" xfId="48482"/>
    <cellStyle name="Total 2 10 4" xfId="48483"/>
    <cellStyle name="Total 2 10 5" xfId="48484"/>
    <cellStyle name="Total 2 11" xfId="48485"/>
    <cellStyle name="Total 2 11 2" xfId="48486"/>
    <cellStyle name="Total 2 11 2 2" xfId="48487"/>
    <cellStyle name="Total 2 11 2 3" xfId="48488"/>
    <cellStyle name="Total 2 11 3" xfId="48489"/>
    <cellStyle name="Total 2 11 3 2" xfId="48490"/>
    <cellStyle name="Total 2 11 3 3" xfId="48491"/>
    <cellStyle name="Total 2 11 4" xfId="48492"/>
    <cellStyle name="Total 2 11 5" xfId="48493"/>
    <cellStyle name="Total 2 12" xfId="48494"/>
    <cellStyle name="Total 2 12 2" xfId="48495"/>
    <cellStyle name="Total 2 12 2 2" xfId="48496"/>
    <cellStyle name="Total 2 12 2 3" xfId="48497"/>
    <cellStyle name="Total 2 12 3" xfId="48498"/>
    <cellStyle name="Total 2 12 3 2" xfId="48499"/>
    <cellStyle name="Total 2 12 3 3" xfId="48500"/>
    <cellStyle name="Total 2 12 4" xfId="48501"/>
    <cellStyle name="Total 2 12 5" xfId="48502"/>
    <cellStyle name="Total 2 13" xfId="48503"/>
    <cellStyle name="Total 2 13 2" xfId="48504"/>
    <cellStyle name="Total 2 13 2 2" xfId="48505"/>
    <cellStyle name="Total 2 13 2 3" xfId="48506"/>
    <cellStyle name="Total 2 13 3" xfId="48507"/>
    <cellStyle name="Total 2 13 3 2" xfId="48508"/>
    <cellStyle name="Total 2 13 3 3" xfId="48509"/>
    <cellStyle name="Total 2 13 4" xfId="48510"/>
    <cellStyle name="Total 2 13 5" xfId="48511"/>
    <cellStyle name="Total 2 14" xfId="48512"/>
    <cellStyle name="Total 2 14 2" xfId="48513"/>
    <cellStyle name="Total 2 14 2 2" xfId="48514"/>
    <cellStyle name="Total 2 14 2 3" xfId="48515"/>
    <cellStyle name="Total 2 14 3" xfId="48516"/>
    <cellStyle name="Total 2 14 3 2" xfId="48517"/>
    <cellStyle name="Total 2 14 3 3" xfId="48518"/>
    <cellStyle name="Total 2 14 4" xfId="48519"/>
    <cellStyle name="Total 2 14 5" xfId="48520"/>
    <cellStyle name="Total 2 15" xfId="48521"/>
    <cellStyle name="Total 2 15 2" xfId="48522"/>
    <cellStyle name="Total 2 15 2 2" xfId="48523"/>
    <cellStyle name="Total 2 15 2 3" xfId="48524"/>
    <cellStyle name="Total 2 15 3" xfId="48525"/>
    <cellStyle name="Total 2 15 3 2" xfId="48526"/>
    <cellStyle name="Total 2 15 3 3" xfId="48527"/>
    <cellStyle name="Total 2 15 4" xfId="48528"/>
    <cellStyle name="Total 2 15 5" xfId="48529"/>
    <cellStyle name="Total 2 16" xfId="48530"/>
    <cellStyle name="Total 2 16 2" xfId="48531"/>
    <cellStyle name="Total 2 16 2 2" xfId="48532"/>
    <cellStyle name="Total 2 16 2 3" xfId="48533"/>
    <cellStyle name="Total 2 16 3" xfId="48534"/>
    <cellStyle name="Total 2 16 3 2" xfId="48535"/>
    <cellStyle name="Total 2 16 3 3" xfId="48536"/>
    <cellStyle name="Total 2 16 4" xfId="48537"/>
    <cellStyle name="Total 2 16 5" xfId="48538"/>
    <cellStyle name="Total 2 17" xfId="48539"/>
    <cellStyle name="Total 2 17 2" xfId="48540"/>
    <cellStyle name="Total 2 17 2 2" xfId="48541"/>
    <cellStyle name="Total 2 17 2 3" xfId="48542"/>
    <cellStyle name="Total 2 17 3" xfId="48543"/>
    <cellStyle name="Total 2 17 3 2" xfId="48544"/>
    <cellStyle name="Total 2 17 3 3" xfId="48545"/>
    <cellStyle name="Total 2 17 4" xfId="48546"/>
    <cellStyle name="Total 2 17 5" xfId="48547"/>
    <cellStyle name="Total 2 18" xfId="48548"/>
    <cellStyle name="Total 2 18 2" xfId="48549"/>
    <cellStyle name="Total 2 18 2 2" xfId="48550"/>
    <cellStyle name="Total 2 18 2 3" xfId="48551"/>
    <cellStyle name="Total 2 18 3" xfId="48552"/>
    <cellStyle name="Total 2 18 3 2" xfId="48553"/>
    <cellStyle name="Total 2 18 3 3" xfId="48554"/>
    <cellStyle name="Total 2 18 4" xfId="48555"/>
    <cellStyle name="Total 2 18 5" xfId="48556"/>
    <cellStyle name="Total 2 19" xfId="48557"/>
    <cellStyle name="Total 2 19 2" xfId="48558"/>
    <cellStyle name="Total 2 19 2 2" xfId="48559"/>
    <cellStyle name="Total 2 19 2 3" xfId="48560"/>
    <cellStyle name="Total 2 19 3" xfId="48561"/>
    <cellStyle name="Total 2 19 3 2" xfId="48562"/>
    <cellStyle name="Total 2 19 3 3" xfId="48563"/>
    <cellStyle name="Total 2 19 4" xfId="48564"/>
    <cellStyle name="Total 2 19 5" xfId="48565"/>
    <cellStyle name="Total 2 2" xfId="48566"/>
    <cellStyle name="Total 2 2 10" xfId="48567"/>
    <cellStyle name="Total 2 2 10 2" xfId="48568"/>
    <cellStyle name="Total 2 2 10 2 2" xfId="48569"/>
    <cellStyle name="Total 2 2 10 2 3" xfId="48570"/>
    <cellStyle name="Total 2 2 10 3" xfId="48571"/>
    <cellStyle name="Total 2 2 10 3 2" xfId="48572"/>
    <cellStyle name="Total 2 2 10 3 3" xfId="48573"/>
    <cellStyle name="Total 2 2 10 4" xfId="48574"/>
    <cellStyle name="Total 2 2 10 5" xfId="48575"/>
    <cellStyle name="Total 2 2 11" xfId="48576"/>
    <cellStyle name="Total 2 2 11 2" xfId="48577"/>
    <cellStyle name="Total 2 2 11 2 2" xfId="48578"/>
    <cellStyle name="Total 2 2 11 2 3" xfId="48579"/>
    <cellStyle name="Total 2 2 11 3" xfId="48580"/>
    <cellStyle name="Total 2 2 11 3 2" xfId="48581"/>
    <cellStyle name="Total 2 2 11 3 3" xfId="48582"/>
    <cellStyle name="Total 2 2 11 4" xfId="48583"/>
    <cellStyle name="Total 2 2 11 5" xfId="48584"/>
    <cellStyle name="Total 2 2 12" xfId="48585"/>
    <cellStyle name="Total 2 2 12 2" xfId="48586"/>
    <cellStyle name="Total 2 2 12 2 2" xfId="48587"/>
    <cellStyle name="Total 2 2 12 2 3" xfId="48588"/>
    <cellStyle name="Total 2 2 12 3" xfId="48589"/>
    <cellStyle name="Total 2 2 12 3 2" xfId="48590"/>
    <cellStyle name="Total 2 2 12 3 3" xfId="48591"/>
    <cellStyle name="Total 2 2 12 4" xfId="48592"/>
    <cellStyle name="Total 2 2 12 5" xfId="48593"/>
    <cellStyle name="Total 2 2 13" xfId="48594"/>
    <cellStyle name="Total 2 2 13 2" xfId="48595"/>
    <cellStyle name="Total 2 2 13 2 2" xfId="48596"/>
    <cellStyle name="Total 2 2 13 2 3" xfId="48597"/>
    <cellStyle name="Total 2 2 13 3" xfId="48598"/>
    <cellStyle name="Total 2 2 13 3 2" xfId="48599"/>
    <cellStyle name="Total 2 2 13 3 3" xfId="48600"/>
    <cellStyle name="Total 2 2 13 4" xfId="48601"/>
    <cellStyle name="Total 2 2 13 5" xfId="48602"/>
    <cellStyle name="Total 2 2 14" xfId="48603"/>
    <cellStyle name="Total 2 2 14 2" xfId="48604"/>
    <cellStyle name="Total 2 2 14 2 2" xfId="48605"/>
    <cellStyle name="Total 2 2 14 2 3" xfId="48606"/>
    <cellStyle name="Total 2 2 14 3" xfId="48607"/>
    <cellStyle name="Total 2 2 14 3 2" xfId="48608"/>
    <cellStyle name="Total 2 2 14 3 3" xfId="48609"/>
    <cellStyle name="Total 2 2 14 4" xfId="48610"/>
    <cellStyle name="Total 2 2 14 5" xfId="48611"/>
    <cellStyle name="Total 2 2 15" xfId="48612"/>
    <cellStyle name="Total 2 2 15 2" xfId="48613"/>
    <cellStyle name="Total 2 2 15 2 2" xfId="48614"/>
    <cellStyle name="Total 2 2 15 2 3" xfId="48615"/>
    <cellStyle name="Total 2 2 15 3" xfId="48616"/>
    <cellStyle name="Total 2 2 15 3 2" xfId="48617"/>
    <cellStyle name="Total 2 2 15 3 3" xfId="48618"/>
    <cellStyle name="Total 2 2 15 4" xfId="48619"/>
    <cellStyle name="Total 2 2 15 5" xfId="48620"/>
    <cellStyle name="Total 2 2 16" xfId="48621"/>
    <cellStyle name="Total 2 2 16 2" xfId="48622"/>
    <cellStyle name="Total 2 2 16 2 2" xfId="48623"/>
    <cellStyle name="Total 2 2 16 2 3" xfId="48624"/>
    <cellStyle name="Total 2 2 16 3" xfId="48625"/>
    <cellStyle name="Total 2 2 16 3 2" xfId="48626"/>
    <cellStyle name="Total 2 2 16 3 3" xfId="48627"/>
    <cellStyle name="Total 2 2 16 4" xfId="48628"/>
    <cellStyle name="Total 2 2 16 5" xfId="48629"/>
    <cellStyle name="Total 2 2 17" xfId="48630"/>
    <cellStyle name="Total 2 2 17 2" xfId="48631"/>
    <cellStyle name="Total 2 2 17 2 2" xfId="48632"/>
    <cellStyle name="Total 2 2 17 2 3" xfId="48633"/>
    <cellStyle name="Total 2 2 17 3" xfId="48634"/>
    <cellStyle name="Total 2 2 17 3 2" xfId="48635"/>
    <cellStyle name="Total 2 2 17 3 3" xfId="48636"/>
    <cellStyle name="Total 2 2 17 4" xfId="48637"/>
    <cellStyle name="Total 2 2 17 5" xfId="48638"/>
    <cellStyle name="Total 2 2 18" xfId="48639"/>
    <cellStyle name="Total 2 2 18 2" xfId="48640"/>
    <cellStyle name="Total 2 2 18 2 2" xfId="48641"/>
    <cellStyle name="Total 2 2 18 2 3" xfId="48642"/>
    <cellStyle name="Total 2 2 18 3" xfId="48643"/>
    <cellStyle name="Total 2 2 18 3 2" xfId="48644"/>
    <cellStyle name="Total 2 2 18 3 3" xfId="48645"/>
    <cellStyle name="Total 2 2 18 4" xfId="48646"/>
    <cellStyle name="Total 2 2 18 5" xfId="48647"/>
    <cellStyle name="Total 2 2 19" xfId="48648"/>
    <cellStyle name="Total 2 2 19 2" xfId="48649"/>
    <cellStyle name="Total 2 2 19 2 2" xfId="48650"/>
    <cellStyle name="Total 2 2 19 2 3" xfId="48651"/>
    <cellStyle name="Total 2 2 19 3" xfId="48652"/>
    <cellStyle name="Total 2 2 19 3 2" xfId="48653"/>
    <cellStyle name="Total 2 2 19 3 3" xfId="48654"/>
    <cellStyle name="Total 2 2 19 4" xfId="48655"/>
    <cellStyle name="Total 2 2 19 5" xfId="48656"/>
    <cellStyle name="Total 2 2 2" xfId="48657"/>
    <cellStyle name="Total 2 2 2 10" xfId="48658"/>
    <cellStyle name="Total 2 2 2 10 2" xfId="48659"/>
    <cellStyle name="Total 2 2 2 10 2 2" xfId="48660"/>
    <cellStyle name="Total 2 2 2 10 2 3" xfId="48661"/>
    <cellStyle name="Total 2 2 2 10 3" xfId="48662"/>
    <cellStyle name="Total 2 2 2 10 3 2" xfId="48663"/>
    <cellStyle name="Total 2 2 2 10 3 3" xfId="48664"/>
    <cellStyle name="Total 2 2 2 10 4" xfId="48665"/>
    <cellStyle name="Total 2 2 2 10 5" xfId="48666"/>
    <cellStyle name="Total 2 2 2 11" xfId="48667"/>
    <cellStyle name="Total 2 2 2 11 2" xfId="48668"/>
    <cellStyle name="Total 2 2 2 11 2 2" xfId="48669"/>
    <cellStyle name="Total 2 2 2 11 2 3" xfId="48670"/>
    <cellStyle name="Total 2 2 2 11 3" xfId="48671"/>
    <cellStyle name="Total 2 2 2 11 3 2" xfId="48672"/>
    <cellStyle name="Total 2 2 2 11 3 3" xfId="48673"/>
    <cellStyle name="Total 2 2 2 11 4" xfId="48674"/>
    <cellStyle name="Total 2 2 2 11 5" xfId="48675"/>
    <cellStyle name="Total 2 2 2 12" xfId="48676"/>
    <cellStyle name="Total 2 2 2 12 2" xfId="48677"/>
    <cellStyle name="Total 2 2 2 12 2 2" xfId="48678"/>
    <cellStyle name="Total 2 2 2 12 2 3" xfId="48679"/>
    <cellStyle name="Total 2 2 2 12 3" xfId="48680"/>
    <cellStyle name="Total 2 2 2 12 3 2" xfId="48681"/>
    <cellStyle name="Total 2 2 2 12 3 3" xfId="48682"/>
    <cellStyle name="Total 2 2 2 12 4" xfId="48683"/>
    <cellStyle name="Total 2 2 2 12 5" xfId="48684"/>
    <cellStyle name="Total 2 2 2 13" xfId="48685"/>
    <cellStyle name="Total 2 2 2 13 2" xfId="48686"/>
    <cellStyle name="Total 2 2 2 13 2 2" xfId="48687"/>
    <cellStyle name="Total 2 2 2 13 2 3" xfId="48688"/>
    <cellStyle name="Total 2 2 2 13 3" xfId="48689"/>
    <cellStyle name="Total 2 2 2 13 3 2" xfId="48690"/>
    <cellStyle name="Total 2 2 2 13 3 3" xfId="48691"/>
    <cellStyle name="Total 2 2 2 13 4" xfId="48692"/>
    <cellStyle name="Total 2 2 2 13 5" xfId="48693"/>
    <cellStyle name="Total 2 2 2 14" xfId="48694"/>
    <cellStyle name="Total 2 2 2 14 2" xfId="48695"/>
    <cellStyle name="Total 2 2 2 14 2 2" xfId="48696"/>
    <cellStyle name="Total 2 2 2 14 2 3" xfId="48697"/>
    <cellStyle name="Total 2 2 2 14 3" xfId="48698"/>
    <cellStyle name="Total 2 2 2 14 3 2" xfId="48699"/>
    <cellStyle name="Total 2 2 2 14 3 3" xfId="48700"/>
    <cellStyle name="Total 2 2 2 14 4" xfId="48701"/>
    <cellStyle name="Total 2 2 2 14 5" xfId="48702"/>
    <cellStyle name="Total 2 2 2 15" xfId="48703"/>
    <cellStyle name="Total 2 2 2 15 2" xfId="48704"/>
    <cellStyle name="Total 2 2 2 15 2 2" xfId="48705"/>
    <cellStyle name="Total 2 2 2 15 2 3" xfId="48706"/>
    <cellStyle name="Total 2 2 2 15 3" xfId="48707"/>
    <cellStyle name="Total 2 2 2 15 3 2" xfId="48708"/>
    <cellStyle name="Total 2 2 2 15 3 3" xfId="48709"/>
    <cellStyle name="Total 2 2 2 15 4" xfId="48710"/>
    <cellStyle name="Total 2 2 2 15 5" xfId="48711"/>
    <cellStyle name="Total 2 2 2 16" xfId="48712"/>
    <cellStyle name="Total 2 2 2 16 2" xfId="48713"/>
    <cellStyle name="Total 2 2 2 16 2 2" xfId="48714"/>
    <cellStyle name="Total 2 2 2 16 2 3" xfId="48715"/>
    <cellStyle name="Total 2 2 2 16 3" xfId="48716"/>
    <cellStyle name="Total 2 2 2 16 3 2" xfId="48717"/>
    <cellStyle name="Total 2 2 2 16 3 3" xfId="48718"/>
    <cellStyle name="Total 2 2 2 16 4" xfId="48719"/>
    <cellStyle name="Total 2 2 2 16 5" xfId="48720"/>
    <cellStyle name="Total 2 2 2 17" xfId="48721"/>
    <cellStyle name="Total 2 2 2 17 2" xfId="48722"/>
    <cellStyle name="Total 2 2 2 17 2 2" xfId="48723"/>
    <cellStyle name="Total 2 2 2 17 2 3" xfId="48724"/>
    <cellStyle name="Total 2 2 2 17 3" xfId="48725"/>
    <cellStyle name="Total 2 2 2 17 3 2" xfId="48726"/>
    <cellStyle name="Total 2 2 2 17 3 3" xfId="48727"/>
    <cellStyle name="Total 2 2 2 17 4" xfId="48728"/>
    <cellStyle name="Total 2 2 2 17 5" xfId="48729"/>
    <cellStyle name="Total 2 2 2 18" xfId="48730"/>
    <cellStyle name="Total 2 2 2 18 2" xfId="48731"/>
    <cellStyle name="Total 2 2 2 18 2 2" xfId="48732"/>
    <cellStyle name="Total 2 2 2 18 2 3" xfId="48733"/>
    <cellStyle name="Total 2 2 2 18 3" xfId="48734"/>
    <cellStyle name="Total 2 2 2 18 3 2" xfId="48735"/>
    <cellStyle name="Total 2 2 2 18 3 3" xfId="48736"/>
    <cellStyle name="Total 2 2 2 18 4" xfId="48737"/>
    <cellStyle name="Total 2 2 2 18 5" xfId="48738"/>
    <cellStyle name="Total 2 2 2 19" xfId="48739"/>
    <cellStyle name="Total 2 2 2 19 2" xfId="48740"/>
    <cellStyle name="Total 2 2 2 19 2 2" xfId="48741"/>
    <cellStyle name="Total 2 2 2 19 2 3" xfId="48742"/>
    <cellStyle name="Total 2 2 2 19 3" xfId="48743"/>
    <cellStyle name="Total 2 2 2 19 3 2" xfId="48744"/>
    <cellStyle name="Total 2 2 2 19 3 3" xfId="48745"/>
    <cellStyle name="Total 2 2 2 19 4" xfId="48746"/>
    <cellStyle name="Total 2 2 2 19 5" xfId="48747"/>
    <cellStyle name="Total 2 2 2 2" xfId="48748"/>
    <cellStyle name="Total 2 2 2 2 2" xfId="48749"/>
    <cellStyle name="Total 2 2 2 2 2 2" xfId="48750"/>
    <cellStyle name="Total 2 2 2 2 2 3" xfId="48751"/>
    <cellStyle name="Total 2 2 2 2 3" xfId="48752"/>
    <cellStyle name="Total 2 2 2 2 3 2" xfId="48753"/>
    <cellStyle name="Total 2 2 2 2 3 3" xfId="48754"/>
    <cellStyle name="Total 2 2 2 2 4" xfId="48755"/>
    <cellStyle name="Total 2 2 2 2 5" xfId="48756"/>
    <cellStyle name="Total 2 2 2 20" xfId="48757"/>
    <cellStyle name="Total 2 2 2 20 2" xfId="48758"/>
    <cellStyle name="Total 2 2 2 20 2 2" xfId="48759"/>
    <cellStyle name="Total 2 2 2 20 2 3" xfId="48760"/>
    <cellStyle name="Total 2 2 2 20 3" xfId="48761"/>
    <cellStyle name="Total 2 2 2 20 3 2" xfId="48762"/>
    <cellStyle name="Total 2 2 2 20 3 3" xfId="48763"/>
    <cellStyle name="Total 2 2 2 20 4" xfId="48764"/>
    <cellStyle name="Total 2 2 2 20 5" xfId="48765"/>
    <cellStyle name="Total 2 2 2 21" xfId="48766"/>
    <cellStyle name="Total 2 2 2 21 2" xfId="48767"/>
    <cellStyle name="Total 2 2 2 21 2 2" xfId="48768"/>
    <cellStyle name="Total 2 2 2 21 2 3" xfId="48769"/>
    <cellStyle name="Total 2 2 2 21 3" xfId="48770"/>
    <cellStyle name="Total 2 2 2 21 3 2" xfId="48771"/>
    <cellStyle name="Total 2 2 2 21 3 3" xfId="48772"/>
    <cellStyle name="Total 2 2 2 21 4" xfId="48773"/>
    <cellStyle name="Total 2 2 2 21 5" xfId="48774"/>
    <cellStyle name="Total 2 2 2 22" xfId="48775"/>
    <cellStyle name="Total 2 2 2 22 2" xfId="48776"/>
    <cellStyle name="Total 2 2 2 22 2 2" xfId="48777"/>
    <cellStyle name="Total 2 2 2 22 2 3" xfId="48778"/>
    <cellStyle name="Total 2 2 2 22 3" xfId="48779"/>
    <cellStyle name="Total 2 2 2 22 3 2" xfId="48780"/>
    <cellStyle name="Total 2 2 2 22 3 3" xfId="48781"/>
    <cellStyle name="Total 2 2 2 22 4" xfId="48782"/>
    <cellStyle name="Total 2 2 2 22 5" xfId="48783"/>
    <cellStyle name="Total 2 2 2 23" xfId="48784"/>
    <cellStyle name="Total 2 2 2 23 2" xfId="48785"/>
    <cellStyle name="Total 2 2 2 23 2 2" xfId="48786"/>
    <cellStyle name="Total 2 2 2 23 2 3" xfId="48787"/>
    <cellStyle name="Total 2 2 2 23 3" xfId="48788"/>
    <cellStyle name="Total 2 2 2 23 3 2" xfId="48789"/>
    <cellStyle name="Total 2 2 2 23 3 3" xfId="48790"/>
    <cellStyle name="Total 2 2 2 23 4" xfId="48791"/>
    <cellStyle name="Total 2 2 2 23 5" xfId="48792"/>
    <cellStyle name="Total 2 2 2 24" xfId="48793"/>
    <cellStyle name="Total 2 2 2 24 2" xfId="48794"/>
    <cellStyle name="Total 2 2 2 24 2 2" xfId="48795"/>
    <cellStyle name="Total 2 2 2 24 2 3" xfId="48796"/>
    <cellStyle name="Total 2 2 2 24 3" xfId="48797"/>
    <cellStyle name="Total 2 2 2 24 3 2" xfId="48798"/>
    <cellStyle name="Total 2 2 2 24 3 3" xfId="48799"/>
    <cellStyle name="Total 2 2 2 24 4" xfId="48800"/>
    <cellStyle name="Total 2 2 2 24 5" xfId="48801"/>
    <cellStyle name="Total 2 2 2 25" xfId="48802"/>
    <cellStyle name="Total 2 2 2 25 2" xfId="48803"/>
    <cellStyle name="Total 2 2 2 25 2 2" xfId="48804"/>
    <cellStyle name="Total 2 2 2 25 2 3" xfId="48805"/>
    <cellStyle name="Total 2 2 2 25 3" xfId="48806"/>
    <cellStyle name="Total 2 2 2 25 3 2" xfId="48807"/>
    <cellStyle name="Total 2 2 2 25 3 3" xfId="48808"/>
    <cellStyle name="Total 2 2 2 25 4" xfId="48809"/>
    <cellStyle name="Total 2 2 2 25 5" xfId="48810"/>
    <cellStyle name="Total 2 2 2 26" xfId="48811"/>
    <cellStyle name="Total 2 2 2 26 2" xfId="48812"/>
    <cellStyle name="Total 2 2 2 26 2 2" xfId="48813"/>
    <cellStyle name="Total 2 2 2 26 2 3" xfId="48814"/>
    <cellStyle name="Total 2 2 2 26 3" xfId="48815"/>
    <cellStyle name="Total 2 2 2 26 3 2" xfId="48816"/>
    <cellStyle name="Total 2 2 2 26 3 3" xfId="48817"/>
    <cellStyle name="Total 2 2 2 26 4" xfId="48818"/>
    <cellStyle name="Total 2 2 2 26 5" xfId="48819"/>
    <cellStyle name="Total 2 2 2 27" xfId="48820"/>
    <cellStyle name="Total 2 2 2 27 2" xfId="48821"/>
    <cellStyle name="Total 2 2 2 27 2 2" xfId="48822"/>
    <cellStyle name="Total 2 2 2 27 2 3" xfId="48823"/>
    <cellStyle name="Total 2 2 2 27 3" xfId="48824"/>
    <cellStyle name="Total 2 2 2 27 3 2" xfId="48825"/>
    <cellStyle name="Total 2 2 2 27 3 3" xfId="48826"/>
    <cellStyle name="Total 2 2 2 27 4" xfId="48827"/>
    <cellStyle name="Total 2 2 2 27 5" xfId="48828"/>
    <cellStyle name="Total 2 2 2 28" xfId="48829"/>
    <cellStyle name="Total 2 2 2 28 2" xfId="48830"/>
    <cellStyle name="Total 2 2 2 28 2 2" xfId="48831"/>
    <cellStyle name="Total 2 2 2 28 2 3" xfId="48832"/>
    <cellStyle name="Total 2 2 2 28 3" xfId="48833"/>
    <cellStyle name="Total 2 2 2 28 3 2" xfId="48834"/>
    <cellStyle name="Total 2 2 2 28 3 3" xfId="48835"/>
    <cellStyle name="Total 2 2 2 28 4" xfId="48836"/>
    <cellStyle name="Total 2 2 2 28 5" xfId="48837"/>
    <cellStyle name="Total 2 2 2 29" xfId="48838"/>
    <cellStyle name="Total 2 2 2 29 2" xfId="48839"/>
    <cellStyle name="Total 2 2 2 29 2 2" xfId="48840"/>
    <cellStyle name="Total 2 2 2 29 2 3" xfId="48841"/>
    <cellStyle name="Total 2 2 2 29 3" xfId="48842"/>
    <cellStyle name="Total 2 2 2 29 3 2" xfId="48843"/>
    <cellStyle name="Total 2 2 2 29 3 3" xfId="48844"/>
    <cellStyle name="Total 2 2 2 29 4" xfId="48845"/>
    <cellStyle name="Total 2 2 2 29 5" xfId="48846"/>
    <cellStyle name="Total 2 2 2 3" xfId="48847"/>
    <cellStyle name="Total 2 2 2 3 2" xfId="48848"/>
    <cellStyle name="Total 2 2 2 3 2 2" xfId="48849"/>
    <cellStyle name="Total 2 2 2 3 2 3" xfId="48850"/>
    <cellStyle name="Total 2 2 2 3 3" xfId="48851"/>
    <cellStyle name="Total 2 2 2 3 3 2" xfId="48852"/>
    <cellStyle name="Total 2 2 2 3 3 3" xfId="48853"/>
    <cellStyle name="Total 2 2 2 3 4" xfId="48854"/>
    <cellStyle name="Total 2 2 2 3 5" xfId="48855"/>
    <cellStyle name="Total 2 2 2 30" xfId="48856"/>
    <cellStyle name="Total 2 2 2 30 2" xfId="48857"/>
    <cellStyle name="Total 2 2 2 30 2 2" xfId="48858"/>
    <cellStyle name="Total 2 2 2 30 2 3" xfId="48859"/>
    <cellStyle name="Total 2 2 2 30 3" xfId="48860"/>
    <cellStyle name="Total 2 2 2 30 3 2" xfId="48861"/>
    <cellStyle name="Total 2 2 2 30 3 3" xfId="48862"/>
    <cellStyle name="Total 2 2 2 30 4" xfId="48863"/>
    <cellStyle name="Total 2 2 2 30 5" xfId="48864"/>
    <cellStyle name="Total 2 2 2 31" xfId="48865"/>
    <cellStyle name="Total 2 2 2 31 2" xfId="48866"/>
    <cellStyle name="Total 2 2 2 31 2 2" xfId="48867"/>
    <cellStyle name="Total 2 2 2 31 2 3" xfId="48868"/>
    <cellStyle name="Total 2 2 2 31 3" xfId="48869"/>
    <cellStyle name="Total 2 2 2 31 3 2" xfId="48870"/>
    <cellStyle name="Total 2 2 2 31 3 3" xfId="48871"/>
    <cellStyle name="Total 2 2 2 31 4" xfId="48872"/>
    <cellStyle name="Total 2 2 2 31 5" xfId="48873"/>
    <cellStyle name="Total 2 2 2 32" xfId="48874"/>
    <cellStyle name="Total 2 2 2 32 2" xfId="48875"/>
    <cellStyle name="Total 2 2 2 32 2 2" xfId="48876"/>
    <cellStyle name="Total 2 2 2 32 2 3" xfId="48877"/>
    <cellStyle name="Total 2 2 2 32 3" xfId="48878"/>
    <cellStyle name="Total 2 2 2 32 3 2" xfId="48879"/>
    <cellStyle name="Total 2 2 2 32 3 3" xfId="48880"/>
    <cellStyle name="Total 2 2 2 32 4" xfId="48881"/>
    <cellStyle name="Total 2 2 2 32 5" xfId="48882"/>
    <cellStyle name="Total 2 2 2 33" xfId="48883"/>
    <cellStyle name="Total 2 2 2 33 2" xfId="48884"/>
    <cellStyle name="Total 2 2 2 33 2 2" xfId="48885"/>
    <cellStyle name="Total 2 2 2 33 2 3" xfId="48886"/>
    <cellStyle name="Total 2 2 2 33 3" xfId="48887"/>
    <cellStyle name="Total 2 2 2 33 3 2" xfId="48888"/>
    <cellStyle name="Total 2 2 2 33 3 3" xfId="48889"/>
    <cellStyle name="Total 2 2 2 33 4" xfId="48890"/>
    <cellStyle name="Total 2 2 2 33 5" xfId="48891"/>
    <cellStyle name="Total 2 2 2 34" xfId="48892"/>
    <cellStyle name="Total 2 2 2 34 2" xfId="48893"/>
    <cellStyle name="Total 2 2 2 34 2 2" xfId="48894"/>
    <cellStyle name="Total 2 2 2 34 2 3" xfId="48895"/>
    <cellStyle name="Total 2 2 2 34 3" xfId="48896"/>
    <cellStyle name="Total 2 2 2 34 3 2" xfId="48897"/>
    <cellStyle name="Total 2 2 2 34 3 3" xfId="48898"/>
    <cellStyle name="Total 2 2 2 34 4" xfId="48899"/>
    <cellStyle name="Total 2 2 2 34 5" xfId="48900"/>
    <cellStyle name="Total 2 2 2 35" xfId="48901"/>
    <cellStyle name="Total 2 2 2 35 2" xfId="48902"/>
    <cellStyle name="Total 2 2 2 35 2 2" xfId="48903"/>
    <cellStyle name="Total 2 2 2 35 2 3" xfId="48904"/>
    <cellStyle name="Total 2 2 2 35 3" xfId="48905"/>
    <cellStyle name="Total 2 2 2 35 3 2" xfId="48906"/>
    <cellStyle name="Total 2 2 2 35 3 3" xfId="48907"/>
    <cellStyle name="Total 2 2 2 35 4" xfId="48908"/>
    <cellStyle name="Total 2 2 2 35 5" xfId="48909"/>
    <cellStyle name="Total 2 2 2 36" xfId="48910"/>
    <cellStyle name="Total 2 2 2 36 2" xfId="48911"/>
    <cellStyle name="Total 2 2 2 36 2 2" xfId="48912"/>
    <cellStyle name="Total 2 2 2 36 2 3" xfId="48913"/>
    <cellStyle name="Total 2 2 2 36 3" xfId="48914"/>
    <cellStyle name="Total 2 2 2 36 3 2" xfId="48915"/>
    <cellStyle name="Total 2 2 2 36 3 3" xfId="48916"/>
    <cellStyle name="Total 2 2 2 36 4" xfId="48917"/>
    <cellStyle name="Total 2 2 2 36 5" xfId="48918"/>
    <cellStyle name="Total 2 2 2 37" xfId="48919"/>
    <cellStyle name="Total 2 2 2 37 2" xfId="48920"/>
    <cellStyle name="Total 2 2 2 37 2 2" xfId="48921"/>
    <cellStyle name="Total 2 2 2 37 2 3" xfId="48922"/>
    <cellStyle name="Total 2 2 2 37 3" xfId="48923"/>
    <cellStyle name="Total 2 2 2 37 3 2" xfId="48924"/>
    <cellStyle name="Total 2 2 2 37 3 3" xfId="48925"/>
    <cellStyle name="Total 2 2 2 37 4" xfId="48926"/>
    <cellStyle name="Total 2 2 2 37 5" xfId="48927"/>
    <cellStyle name="Total 2 2 2 38" xfId="48928"/>
    <cellStyle name="Total 2 2 2 38 2" xfId="48929"/>
    <cellStyle name="Total 2 2 2 38 2 2" xfId="48930"/>
    <cellStyle name="Total 2 2 2 38 2 3" xfId="48931"/>
    <cellStyle name="Total 2 2 2 38 3" xfId="48932"/>
    <cellStyle name="Total 2 2 2 38 3 2" xfId="48933"/>
    <cellStyle name="Total 2 2 2 38 3 3" xfId="48934"/>
    <cellStyle name="Total 2 2 2 38 4" xfId="48935"/>
    <cellStyle name="Total 2 2 2 38 5" xfId="48936"/>
    <cellStyle name="Total 2 2 2 39" xfId="48937"/>
    <cellStyle name="Total 2 2 2 39 2" xfId="48938"/>
    <cellStyle name="Total 2 2 2 39 2 2" xfId="48939"/>
    <cellStyle name="Total 2 2 2 39 2 3" xfId="48940"/>
    <cellStyle name="Total 2 2 2 39 3" xfId="48941"/>
    <cellStyle name="Total 2 2 2 39 4" xfId="48942"/>
    <cellStyle name="Total 2 2 2 4" xfId="48943"/>
    <cellStyle name="Total 2 2 2 4 2" xfId="48944"/>
    <cellStyle name="Total 2 2 2 4 2 2" xfId="48945"/>
    <cellStyle name="Total 2 2 2 4 2 3" xfId="48946"/>
    <cellStyle name="Total 2 2 2 4 3" xfId="48947"/>
    <cellStyle name="Total 2 2 2 4 3 2" xfId="48948"/>
    <cellStyle name="Total 2 2 2 4 3 3" xfId="48949"/>
    <cellStyle name="Total 2 2 2 4 4" xfId="48950"/>
    <cellStyle name="Total 2 2 2 4 5" xfId="48951"/>
    <cellStyle name="Total 2 2 2 40" xfId="48952"/>
    <cellStyle name="Total 2 2 2 40 2" xfId="48953"/>
    <cellStyle name="Total 2 2 2 40 3" xfId="48954"/>
    <cellStyle name="Total 2 2 2 41" xfId="48955"/>
    <cellStyle name="Total 2 2 2 41 2" xfId="48956"/>
    <cellStyle name="Total 2 2 2 41 3" xfId="48957"/>
    <cellStyle name="Total 2 2 2 42" xfId="48958"/>
    <cellStyle name="Total 2 2 2 42 2" xfId="48959"/>
    <cellStyle name="Total 2 2 2 42 3" xfId="48960"/>
    <cellStyle name="Total 2 2 2 43" xfId="48961"/>
    <cellStyle name="Total 2 2 2 44" xfId="48962"/>
    <cellStyle name="Total 2 2 2 5" xfId="48963"/>
    <cellStyle name="Total 2 2 2 5 2" xfId="48964"/>
    <cellStyle name="Total 2 2 2 5 2 2" xfId="48965"/>
    <cellStyle name="Total 2 2 2 5 2 3" xfId="48966"/>
    <cellStyle name="Total 2 2 2 5 3" xfId="48967"/>
    <cellStyle name="Total 2 2 2 5 3 2" xfId="48968"/>
    <cellStyle name="Total 2 2 2 5 3 3" xfId="48969"/>
    <cellStyle name="Total 2 2 2 5 4" xfId="48970"/>
    <cellStyle name="Total 2 2 2 5 5" xfId="48971"/>
    <cellStyle name="Total 2 2 2 6" xfId="48972"/>
    <cellStyle name="Total 2 2 2 6 2" xfId="48973"/>
    <cellStyle name="Total 2 2 2 6 2 2" xfId="48974"/>
    <cellStyle name="Total 2 2 2 6 2 3" xfId="48975"/>
    <cellStyle name="Total 2 2 2 6 3" xfId="48976"/>
    <cellStyle name="Total 2 2 2 6 3 2" xfId="48977"/>
    <cellStyle name="Total 2 2 2 6 3 3" xfId="48978"/>
    <cellStyle name="Total 2 2 2 6 4" xfId="48979"/>
    <cellStyle name="Total 2 2 2 6 5" xfId="48980"/>
    <cellStyle name="Total 2 2 2 7" xfId="48981"/>
    <cellStyle name="Total 2 2 2 7 2" xfId="48982"/>
    <cellStyle name="Total 2 2 2 7 2 2" xfId="48983"/>
    <cellStyle name="Total 2 2 2 7 2 3" xfId="48984"/>
    <cellStyle name="Total 2 2 2 7 3" xfId="48985"/>
    <cellStyle name="Total 2 2 2 7 3 2" xfId="48986"/>
    <cellStyle name="Total 2 2 2 7 3 3" xfId="48987"/>
    <cellStyle name="Total 2 2 2 7 4" xfId="48988"/>
    <cellStyle name="Total 2 2 2 7 5" xfId="48989"/>
    <cellStyle name="Total 2 2 2 8" xfId="48990"/>
    <cellStyle name="Total 2 2 2 8 2" xfId="48991"/>
    <cellStyle name="Total 2 2 2 8 2 2" xfId="48992"/>
    <cellStyle name="Total 2 2 2 8 2 3" xfId="48993"/>
    <cellStyle name="Total 2 2 2 8 3" xfId="48994"/>
    <cellStyle name="Total 2 2 2 8 3 2" xfId="48995"/>
    <cellStyle name="Total 2 2 2 8 3 3" xfId="48996"/>
    <cellStyle name="Total 2 2 2 8 4" xfId="48997"/>
    <cellStyle name="Total 2 2 2 8 5" xfId="48998"/>
    <cellStyle name="Total 2 2 2 9" xfId="48999"/>
    <cellStyle name="Total 2 2 2 9 2" xfId="49000"/>
    <cellStyle name="Total 2 2 2 9 2 2" xfId="49001"/>
    <cellStyle name="Total 2 2 2 9 2 3" xfId="49002"/>
    <cellStyle name="Total 2 2 2 9 3" xfId="49003"/>
    <cellStyle name="Total 2 2 2 9 3 2" xfId="49004"/>
    <cellStyle name="Total 2 2 2 9 3 3" xfId="49005"/>
    <cellStyle name="Total 2 2 2 9 4" xfId="49006"/>
    <cellStyle name="Total 2 2 2 9 5" xfId="49007"/>
    <cellStyle name="Total 2 2 20" xfId="49008"/>
    <cellStyle name="Total 2 2 20 2" xfId="49009"/>
    <cellStyle name="Total 2 2 20 2 2" xfId="49010"/>
    <cellStyle name="Total 2 2 20 2 3" xfId="49011"/>
    <cellStyle name="Total 2 2 20 3" xfId="49012"/>
    <cellStyle name="Total 2 2 20 3 2" xfId="49013"/>
    <cellStyle name="Total 2 2 20 3 3" xfId="49014"/>
    <cellStyle name="Total 2 2 20 4" xfId="49015"/>
    <cellStyle name="Total 2 2 20 5" xfId="49016"/>
    <cellStyle name="Total 2 2 21" xfId="49017"/>
    <cellStyle name="Total 2 2 21 2" xfId="49018"/>
    <cellStyle name="Total 2 2 21 2 2" xfId="49019"/>
    <cellStyle name="Total 2 2 21 2 3" xfId="49020"/>
    <cellStyle name="Total 2 2 21 3" xfId="49021"/>
    <cellStyle name="Total 2 2 21 3 2" xfId="49022"/>
    <cellStyle name="Total 2 2 21 3 3" xfId="49023"/>
    <cellStyle name="Total 2 2 21 4" xfId="49024"/>
    <cellStyle name="Total 2 2 21 5" xfId="49025"/>
    <cellStyle name="Total 2 2 22" xfId="49026"/>
    <cellStyle name="Total 2 2 22 2" xfId="49027"/>
    <cellStyle name="Total 2 2 22 2 2" xfId="49028"/>
    <cellStyle name="Total 2 2 22 2 3" xfId="49029"/>
    <cellStyle name="Total 2 2 22 3" xfId="49030"/>
    <cellStyle name="Total 2 2 22 3 2" xfId="49031"/>
    <cellStyle name="Total 2 2 22 3 3" xfId="49032"/>
    <cellStyle name="Total 2 2 22 4" xfId="49033"/>
    <cellStyle name="Total 2 2 22 5" xfId="49034"/>
    <cellStyle name="Total 2 2 23" xfId="49035"/>
    <cellStyle name="Total 2 2 23 2" xfId="49036"/>
    <cellStyle name="Total 2 2 23 2 2" xfId="49037"/>
    <cellStyle name="Total 2 2 23 2 3" xfId="49038"/>
    <cellStyle name="Total 2 2 23 3" xfId="49039"/>
    <cellStyle name="Total 2 2 23 3 2" xfId="49040"/>
    <cellStyle name="Total 2 2 23 3 3" xfId="49041"/>
    <cellStyle name="Total 2 2 23 4" xfId="49042"/>
    <cellStyle name="Total 2 2 23 5" xfId="49043"/>
    <cellStyle name="Total 2 2 24" xfId="49044"/>
    <cellStyle name="Total 2 2 24 2" xfId="49045"/>
    <cellStyle name="Total 2 2 24 2 2" xfId="49046"/>
    <cellStyle name="Total 2 2 24 2 3" xfId="49047"/>
    <cellStyle name="Total 2 2 24 3" xfId="49048"/>
    <cellStyle name="Total 2 2 24 3 2" xfId="49049"/>
    <cellStyle name="Total 2 2 24 3 3" xfId="49050"/>
    <cellStyle name="Total 2 2 24 4" xfId="49051"/>
    <cellStyle name="Total 2 2 24 5" xfId="49052"/>
    <cellStyle name="Total 2 2 25" xfId="49053"/>
    <cellStyle name="Total 2 2 25 2" xfId="49054"/>
    <cellStyle name="Total 2 2 25 2 2" xfId="49055"/>
    <cellStyle name="Total 2 2 25 2 3" xfId="49056"/>
    <cellStyle name="Total 2 2 25 3" xfId="49057"/>
    <cellStyle name="Total 2 2 25 3 2" xfId="49058"/>
    <cellStyle name="Total 2 2 25 3 3" xfId="49059"/>
    <cellStyle name="Total 2 2 25 4" xfId="49060"/>
    <cellStyle name="Total 2 2 25 5" xfId="49061"/>
    <cellStyle name="Total 2 2 26" xfId="49062"/>
    <cellStyle name="Total 2 2 26 2" xfId="49063"/>
    <cellStyle name="Total 2 2 26 2 2" xfId="49064"/>
    <cellStyle name="Total 2 2 26 2 3" xfId="49065"/>
    <cellStyle name="Total 2 2 26 3" xfId="49066"/>
    <cellStyle name="Total 2 2 26 3 2" xfId="49067"/>
    <cellStyle name="Total 2 2 26 3 3" xfId="49068"/>
    <cellStyle name="Total 2 2 26 4" xfId="49069"/>
    <cellStyle name="Total 2 2 26 5" xfId="49070"/>
    <cellStyle name="Total 2 2 27" xfId="49071"/>
    <cellStyle name="Total 2 2 27 2" xfId="49072"/>
    <cellStyle name="Total 2 2 27 2 2" xfId="49073"/>
    <cellStyle name="Total 2 2 27 2 3" xfId="49074"/>
    <cellStyle name="Total 2 2 27 3" xfId="49075"/>
    <cellStyle name="Total 2 2 27 3 2" xfId="49076"/>
    <cellStyle name="Total 2 2 27 3 3" xfId="49077"/>
    <cellStyle name="Total 2 2 27 4" xfId="49078"/>
    <cellStyle name="Total 2 2 27 5" xfId="49079"/>
    <cellStyle name="Total 2 2 28" xfId="49080"/>
    <cellStyle name="Total 2 2 28 2" xfId="49081"/>
    <cellStyle name="Total 2 2 28 2 2" xfId="49082"/>
    <cellStyle name="Total 2 2 28 2 3" xfId="49083"/>
    <cellStyle name="Total 2 2 28 3" xfId="49084"/>
    <cellStyle name="Total 2 2 28 3 2" xfId="49085"/>
    <cellStyle name="Total 2 2 28 3 3" xfId="49086"/>
    <cellStyle name="Total 2 2 28 4" xfId="49087"/>
    <cellStyle name="Total 2 2 28 5" xfId="49088"/>
    <cellStyle name="Total 2 2 29" xfId="49089"/>
    <cellStyle name="Total 2 2 29 2" xfId="49090"/>
    <cellStyle name="Total 2 2 29 2 2" xfId="49091"/>
    <cellStyle name="Total 2 2 29 2 3" xfId="49092"/>
    <cellStyle name="Total 2 2 29 3" xfId="49093"/>
    <cellStyle name="Total 2 2 29 3 2" xfId="49094"/>
    <cellStyle name="Total 2 2 29 3 3" xfId="49095"/>
    <cellStyle name="Total 2 2 29 4" xfId="49096"/>
    <cellStyle name="Total 2 2 29 5" xfId="49097"/>
    <cellStyle name="Total 2 2 3" xfId="49098"/>
    <cellStyle name="Total 2 2 3 10" xfId="49099"/>
    <cellStyle name="Total 2 2 3 10 2" xfId="49100"/>
    <cellStyle name="Total 2 2 3 10 2 2" xfId="49101"/>
    <cellStyle name="Total 2 2 3 10 2 3" xfId="49102"/>
    <cellStyle name="Total 2 2 3 10 3" xfId="49103"/>
    <cellStyle name="Total 2 2 3 10 3 2" xfId="49104"/>
    <cellStyle name="Total 2 2 3 10 3 3" xfId="49105"/>
    <cellStyle name="Total 2 2 3 10 4" xfId="49106"/>
    <cellStyle name="Total 2 2 3 10 5" xfId="49107"/>
    <cellStyle name="Total 2 2 3 11" xfId="49108"/>
    <cellStyle name="Total 2 2 3 11 2" xfId="49109"/>
    <cellStyle name="Total 2 2 3 11 2 2" xfId="49110"/>
    <cellStyle name="Total 2 2 3 11 2 3" xfId="49111"/>
    <cellStyle name="Total 2 2 3 11 3" xfId="49112"/>
    <cellStyle name="Total 2 2 3 11 3 2" xfId="49113"/>
    <cellStyle name="Total 2 2 3 11 3 3" xfId="49114"/>
    <cellStyle name="Total 2 2 3 11 4" xfId="49115"/>
    <cellStyle name="Total 2 2 3 11 5" xfId="49116"/>
    <cellStyle name="Total 2 2 3 12" xfId="49117"/>
    <cellStyle name="Total 2 2 3 12 2" xfId="49118"/>
    <cellStyle name="Total 2 2 3 12 2 2" xfId="49119"/>
    <cellStyle name="Total 2 2 3 12 2 3" xfId="49120"/>
    <cellStyle name="Total 2 2 3 12 3" xfId="49121"/>
    <cellStyle name="Total 2 2 3 12 3 2" xfId="49122"/>
    <cellStyle name="Total 2 2 3 12 3 3" xfId="49123"/>
    <cellStyle name="Total 2 2 3 12 4" xfId="49124"/>
    <cellStyle name="Total 2 2 3 12 5" xfId="49125"/>
    <cellStyle name="Total 2 2 3 13" xfId="49126"/>
    <cellStyle name="Total 2 2 3 13 2" xfId="49127"/>
    <cellStyle name="Total 2 2 3 13 2 2" xfId="49128"/>
    <cellStyle name="Total 2 2 3 13 2 3" xfId="49129"/>
    <cellStyle name="Total 2 2 3 13 3" xfId="49130"/>
    <cellStyle name="Total 2 2 3 13 3 2" xfId="49131"/>
    <cellStyle name="Total 2 2 3 13 3 3" xfId="49132"/>
    <cellStyle name="Total 2 2 3 13 4" xfId="49133"/>
    <cellStyle name="Total 2 2 3 13 5" xfId="49134"/>
    <cellStyle name="Total 2 2 3 14" xfId="49135"/>
    <cellStyle name="Total 2 2 3 14 2" xfId="49136"/>
    <cellStyle name="Total 2 2 3 14 2 2" xfId="49137"/>
    <cellStyle name="Total 2 2 3 14 2 3" xfId="49138"/>
    <cellStyle name="Total 2 2 3 14 3" xfId="49139"/>
    <cellStyle name="Total 2 2 3 14 3 2" xfId="49140"/>
    <cellStyle name="Total 2 2 3 14 3 3" xfId="49141"/>
    <cellStyle name="Total 2 2 3 14 4" xfId="49142"/>
    <cellStyle name="Total 2 2 3 14 5" xfId="49143"/>
    <cellStyle name="Total 2 2 3 15" xfId="49144"/>
    <cellStyle name="Total 2 2 3 15 2" xfId="49145"/>
    <cellStyle name="Total 2 2 3 15 2 2" xfId="49146"/>
    <cellStyle name="Total 2 2 3 15 2 3" xfId="49147"/>
    <cellStyle name="Total 2 2 3 15 3" xfId="49148"/>
    <cellStyle name="Total 2 2 3 15 3 2" xfId="49149"/>
    <cellStyle name="Total 2 2 3 15 3 3" xfId="49150"/>
    <cellStyle name="Total 2 2 3 15 4" xfId="49151"/>
    <cellStyle name="Total 2 2 3 15 5" xfId="49152"/>
    <cellStyle name="Total 2 2 3 16" xfId="49153"/>
    <cellStyle name="Total 2 2 3 16 2" xfId="49154"/>
    <cellStyle name="Total 2 2 3 16 2 2" xfId="49155"/>
    <cellStyle name="Total 2 2 3 16 2 3" xfId="49156"/>
    <cellStyle name="Total 2 2 3 16 3" xfId="49157"/>
    <cellStyle name="Total 2 2 3 16 3 2" xfId="49158"/>
    <cellStyle name="Total 2 2 3 16 3 3" xfId="49159"/>
    <cellStyle name="Total 2 2 3 16 4" xfId="49160"/>
    <cellStyle name="Total 2 2 3 16 5" xfId="49161"/>
    <cellStyle name="Total 2 2 3 17" xfId="49162"/>
    <cellStyle name="Total 2 2 3 17 2" xfId="49163"/>
    <cellStyle name="Total 2 2 3 17 2 2" xfId="49164"/>
    <cellStyle name="Total 2 2 3 17 2 3" xfId="49165"/>
    <cellStyle name="Total 2 2 3 17 3" xfId="49166"/>
    <cellStyle name="Total 2 2 3 17 3 2" xfId="49167"/>
    <cellStyle name="Total 2 2 3 17 3 3" xfId="49168"/>
    <cellStyle name="Total 2 2 3 17 4" xfId="49169"/>
    <cellStyle name="Total 2 2 3 17 5" xfId="49170"/>
    <cellStyle name="Total 2 2 3 18" xfId="49171"/>
    <cellStyle name="Total 2 2 3 18 2" xfId="49172"/>
    <cellStyle name="Total 2 2 3 18 2 2" xfId="49173"/>
    <cellStyle name="Total 2 2 3 18 2 3" xfId="49174"/>
    <cellStyle name="Total 2 2 3 18 3" xfId="49175"/>
    <cellStyle name="Total 2 2 3 18 3 2" xfId="49176"/>
    <cellStyle name="Total 2 2 3 18 3 3" xfId="49177"/>
    <cellStyle name="Total 2 2 3 18 4" xfId="49178"/>
    <cellStyle name="Total 2 2 3 18 5" xfId="49179"/>
    <cellStyle name="Total 2 2 3 19" xfId="49180"/>
    <cellStyle name="Total 2 2 3 19 2" xfId="49181"/>
    <cellStyle name="Total 2 2 3 19 2 2" xfId="49182"/>
    <cellStyle name="Total 2 2 3 19 2 3" xfId="49183"/>
    <cellStyle name="Total 2 2 3 19 3" xfId="49184"/>
    <cellStyle name="Total 2 2 3 19 3 2" xfId="49185"/>
    <cellStyle name="Total 2 2 3 19 3 3" xfId="49186"/>
    <cellStyle name="Total 2 2 3 19 4" xfId="49187"/>
    <cellStyle name="Total 2 2 3 19 5" xfId="49188"/>
    <cellStyle name="Total 2 2 3 2" xfId="49189"/>
    <cellStyle name="Total 2 2 3 2 2" xfId="49190"/>
    <cellStyle name="Total 2 2 3 2 2 2" xfId="49191"/>
    <cellStyle name="Total 2 2 3 2 2 3" xfId="49192"/>
    <cellStyle name="Total 2 2 3 2 3" xfId="49193"/>
    <cellStyle name="Total 2 2 3 2 3 2" xfId="49194"/>
    <cellStyle name="Total 2 2 3 2 3 3" xfId="49195"/>
    <cellStyle name="Total 2 2 3 2 4" xfId="49196"/>
    <cellStyle name="Total 2 2 3 2 5" xfId="49197"/>
    <cellStyle name="Total 2 2 3 20" xfId="49198"/>
    <cellStyle name="Total 2 2 3 20 2" xfId="49199"/>
    <cellStyle name="Total 2 2 3 20 2 2" xfId="49200"/>
    <cellStyle name="Total 2 2 3 20 2 3" xfId="49201"/>
    <cellStyle name="Total 2 2 3 20 3" xfId="49202"/>
    <cellStyle name="Total 2 2 3 20 3 2" xfId="49203"/>
    <cellStyle name="Total 2 2 3 20 3 3" xfId="49204"/>
    <cellStyle name="Total 2 2 3 20 4" xfId="49205"/>
    <cellStyle name="Total 2 2 3 20 5" xfId="49206"/>
    <cellStyle name="Total 2 2 3 21" xfId="49207"/>
    <cellStyle name="Total 2 2 3 21 2" xfId="49208"/>
    <cellStyle name="Total 2 2 3 21 2 2" xfId="49209"/>
    <cellStyle name="Total 2 2 3 21 2 3" xfId="49210"/>
    <cellStyle name="Total 2 2 3 21 3" xfId="49211"/>
    <cellStyle name="Total 2 2 3 21 3 2" xfId="49212"/>
    <cellStyle name="Total 2 2 3 21 3 3" xfId="49213"/>
    <cellStyle name="Total 2 2 3 21 4" xfId="49214"/>
    <cellStyle name="Total 2 2 3 21 5" xfId="49215"/>
    <cellStyle name="Total 2 2 3 22" xfId="49216"/>
    <cellStyle name="Total 2 2 3 22 2" xfId="49217"/>
    <cellStyle name="Total 2 2 3 22 2 2" xfId="49218"/>
    <cellStyle name="Total 2 2 3 22 2 3" xfId="49219"/>
    <cellStyle name="Total 2 2 3 22 3" xfId="49220"/>
    <cellStyle name="Total 2 2 3 22 3 2" xfId="49221"/>
    <cellStyle name="Total 2 2 3 22 3 3" xfId="49222"/>
    <cellStyle name="Total 2 2 3 22 4" xfId="49223"/>
    <cellStyle name="Total 2 2 3 22 5" xfId="49224"/>
    <cellStyle name="Total 2 2 3 23" xfId="49225"/>
    <cellStyle name="Total 2 2 3 23 2" xfId="49226"/>
    <cellStyle name="Total 2 2 3 23 2 2" xfId="49227"/>
    <cellStyle name="Total 2 2 3 23 2 3" xfId="49228"/>
    <cellStyle name="Total 2 2 3 23 3" xfId="49229"/>
    <cellStyle name="Total 2 2 3 23 3 2" xfId="49230"/>
    <cellStyle name="Total 2 2 3 23 3 3" xfId="49231"/>
    <cellStyle name="Total 2 2 3 23 4" xfId="49232"/>
    <cellStyle name="Total 2 2 3 23 5" xfId="49233"/>
    <cellStyle name="Total 2 2 3 24" xfId="49234"/>
    <cellStyle name="Total 2 2 3 24 2" xfId="49235"/>
    <cellStyle name="Total 2 2 3 24 2 2" xfId="49236"/>
    <cellStyle name="Total 2 2 3 24 2 3" xfId="49237"/>
    <cellStyle name="Total 2 2 3 24 3" xfId="49238"/>
    <cellStyle name="Total 2 2 3 24 3 2" xfId="49239"/>
    <cellStyle name="Total 2 2 3 24 3 3" xfId="49240"/>
    <cellStyle name="Total 2 2 3 24 4" xfId="49241"/>
    <cellStyle name="Total 2 2 3 24 5" xfId="49242"/>
    <cellStyle name="Total 2 2 3 25" xfId="49243"/>
    <cellStyle name="Total 2 2 3 25 2" xfId="49244"/>
    <cellStyle name="Total 2 2 3 25 2 2" xfId="49245"/>
    <cellStyle name="Total 2 2 3 25 2 3" xfId="49246"/>
    <cellStyle name="Total 2 2 3 25 3" xfId="49247"/>
    <cellStyle name="Total 2 2 3 25 3 2" xfId="49248"/>
    <cellStyle name="Total 2 2 3 25 3 3" xfId="49249"/>
    <cellStyle name="Total 2 2 3 25 4" xfId="49250"/>
    <cellStyle name="Total 2 2 3 25 5" xfId="49251"/>
    <cellStyle name="Total 2 2 3 26" xfId="49252"/>
    <cellStyle name="Total 2 2 3 26 2" xfId="49253"/>
    <cellStyle name="Total 2 2 3 26 2 2" xfId="49254"/>
    <cellStyle name="Total 2 2 3 26 2 3" xfId="49255"/>
    <cellStyle name="Total 2 2 3 26 3" xfId="49256"/>
    <cellStyle name="Total 2 2 3 26 3 2" xfId="49257"/>
    <cellStyle name="Total 2 2 3 26 3 3" xfId="49258"/>
    <cellStyle name="Total 2 2 3 26 4" xfId="49259"/>
    <cellStyle name="Total 2 2 3 26 5" xfId="49260"/>
    <cellStyle name="Total 2 2 3 27" xfId="49261"/>
    <cellStyle name="Total 2 2 3 27 2" xfId="49262"/>
    <cellStyle name="Total 2 2 3 27 2 2" xfId="49263"/>
    <cellStyle name="Total 2 2 3 27 2 3" xfId="49264"/>
    <cellStyle name="Total 2 2 3 27 3" xfId="49265"/>
    <cellStyle name="Total 2 2 3 27 3 2" xfId="49266"/>
    <cellStyle name="Total 2 2 3 27 3 3" xfId="49267"/>
    <cellStyle name="Total 2 2 3 27 4" xfId="49268"/>
    <cellStyle name="Total 2 2 3 27 5" xfId="49269"/>
    <cellStyle name="Total 2 2 3 28" xfId="49270"/>
    <cellStyle name="Total 2 2 3 28 2" xfId="49271"/>
    <cellStyle name="Total 2 2 3 28 2 2" xfId="49272"/>
    <cellStyle name="Total 2 2 3 28 2 3" xfId="49273"/>
    <cellStyle name="Total 2 2 3 28 3" xfId="49274"/>
    <cellStyle name="Total 2 2 3 28 3 2" xfId="49275"/>
    <cellStyle name="Total 2 2 3 28 3 3" xfId="49276"/>
    <cellStyle name="Total 2 2 3 28 4" xfId="49277"/>
    <cellStyle name="Total 2 2 3 28 5" xfId="49278"/>
    <cellStyle name="Total 2 2 3 29" xfId="49279"/>
    <cellStyle name="Total 2 2 3 29 2" xfId="49280"/>
    <cellStyle name="Total 2 2 3 29 2 2" xfId="49281"/>
    <cellStyle name="Total 2 2 3 29 2 3" xfId="49282"/>
    <cellStyle name="Total 2 2 3 29 3" xfId="49283"/>
    <cellStyle name="Total 2 2 3 29 3 2" xfId="49284"/>
    <cellStyle name="Total 2 2 3 29 3 3" xfId="49285"/>
    <cellStyle name="Total 2 2 3 29 4" xfId="49286"/>
    <cellStyle name="Total 2 2 3 29 5" xfId="49287"/>
    <cellStyle name="Total 2 2 3 3" xfId="49288"/>
    <cellStyle name="Total 2 2 3 3 2" xfId="49289"/>
    <cellStyle name="Total 2 2 3 3 2 2" xfId="49290"/>
    <cellStyle name="Total 2 2 3 3 2 3" xfId="49291"/>
    <cellStyle name="Total 2 2 3 3 3" xfId="49292"/>
    <cellStyle name="Total 2 2 3 3 3 2" xfId="49293"/>
    <cellStyle name="Total 2 2 3 3 3 3" xfId="49294"/>
    <cellStyle name="Total 2 2 3 3 4" xfId="49295"/>
    <cellStyle name="Total 2 2 3 3 5" xfId="49296"/>
    <cellStyle name="Total 2 2 3 30" xfId="49297"/>
    <cellStyle name="Total 2 2 3 30 2" xfId="49298"/>
    <cellStyle name="Total 2 2 3 30 2 2" xfId="49299"/>
    <cellStyle name="Total 2 2 3 30 2 3" xfId="49300"/>
    <cellStyle name="Total 2 2 3 30 3" xfId="49301"/>
    <cellStyle name="Total 2 2 3 30 3 2" xfId="49302"/>
    <cellStyle name="Total 2 2 3 30 3 3" xfId="49303"/>
    <cellStyle name="Total 2 2 3 30 4" xfId="49304"/>
    <cellStyle name="Total 2 2 3 30 5" xfId="49305"/>
    <cellStyle name="Total 2 2 3 31" xfId="49306"/>
    <cellStyle name="Total 2 2 3 31 2" xfId="49307"/>
    <cellStyle name="Total 2 2 3 31 2 2" xfId="49308"/>
    <cellStyle name="Total 2 2 3 31 2 3" xfId="49309"/>
    <cellStyle name="Total 2 2 3 31 3" xfId="49310"/>
    <cellStyle name="Total 2 2 3 31 3 2" xfId="49311"/>
    <cellStyle name="Total 2 2 3 31 3 3" xfId="49312"/>
    <cellStyle name="Total 2 2 3 31 4" xfId="49313"/>
    <cellStyle name="Total 2 2 3 31 5" xfId="49314"/>
    <cellStyle name="Total 2 2 3 32" xfId="49315"/>
    <cellStyle name="Total 2 2 3 32 2" xfId="49316"/>
    <cellStyle name="Total 2 2 3 32 2 2" xfId="49317"/>
    <cellStyle name="Total 2 2 3 32 2 3" xfId="49318"/>
    <cellStyle name="Total 2 2 3 32 3" xfId="49319"/>
    <cellStyle name="Total 2 2 3 32 3 2" xfId="49320"/>
    <cellStyle name="Total 2 2 3 32 3 3" xfId="49321"/>
    <cellStyle name="Total 2 2 3 32 4" xfId="49322"/>
    <cellStyle name="Total 2 2 3 32 5" xfId="49323"/>
    <cellStyle name="Total 2 2 3 33" xfId="49324"/>
    <cellStyle name="Total 2 2 3 33 2" xfId="49325"/>
    <cellStyle name="Total 2 2 3 33 2 2" xfId="49326"/>
    <cellStyle name="Total 2 2 3 33 2 3" xfId="49327"/>
    <cellStyle name="Total 2 2 3 33 3" xfId="49328"/>
    <cellStyle name="Total 2 2 3 33 3 2" xfId="49329"/>
    <cellStyle name="Total 2 2 3 33 3 3" xfId="49330"/>
    <cellStyle name="Total 2 2 3 33 4" xfId="49331"/>
    <cellStyle name="Total 2 2 3 33 5" xfId="49332"/>
    <cellStyle name="Total 2 2 3 34" xfId="49333"/>
    <cellStyle name="Total 2 2 3 34 2" xfId="49334"/>
    <cellStyle name="Total 2 2 3 34 2 2" xfId="49335"/>
    <cellStyle name="Total 2 2 3 34 2 3" xfId="49336"/>
    <cellStyle name="Total 2 2 3 34 3" xfId="49337"/>
    <cellStyle name="Total 2 2 3 34 3 2" xfId="49338"/>
    <cellStyle name="Total 2 2 3 34 3 3" xfId="49339"/>
    <cellStyle name="Total 2 2 3 34 4" xfId="49340"/>
    <cellStyle name="Total 2 2 3 34 5" xfId="49341"/>
    <cellStyle name="Total 2 2 3 35" xfId="49342"/>
    <cellStyle name="Total 2 2 3 35 2" xfId="49343"/>
    <cellStyle name="Total 2 2 3 35 2 2" xfId="49344"/>
    <cellStyle name="Total 2 2 3 35 2 3" xfId="49345"/>
    <cellStyle name="Total 2 2 3 35 3" xfId="49346"/>
    <cellStyle name="Total 2 2 3 35 3 2" xfId="49347"/>
    <cellStyle name="Total 2 2 3 35 3 3" xfId="49348"/>
    <cellStyle name="Total 2 2 3 35 4" xfId="49349"/>
    <cellStyle name="Total 2 2 3 35 5" xfId="49350"/>
    <cellStyle name="Total 2 2 3 36" xfId="49351"/>
    <cellStyle name="Total 2 2 3 36 2" xfId="49352"/>
    <cellStyle name="Total 2 2 3 36 2 2" xfId="49353"/>
    <cellStyle name="Total 2 2 3 36 2 3" xfId="49354"/>
    <cellStyle name="Total 2 2 3 36 3" xfId="49355"/>
    <cellStyle name="Total 2 2 3 36 3 2" xfId="49356"/>
    <cellStyle name="Total 2 2 3 36 3 3" xfId="49357"/>
    <cellStyle name="Total 2 2 3 36 4" xfId="49358"/>
    <cellStyle name="Total 2 2 3 36 5" xfId="49359"/>
    <cellStyle name="Total 2 2 3 37" xfId="49360"/>
    <cellStyle name="Total 2 2 3 37 2" xfId="49361"/>
    <cellStyle name="Total 2 2 3 37 2 2" xfId="49362"/>
    <cellStyle name="Total 2 2 3 37 2 3" xfId="49363"/>
    <cellStyle name="Total 2 2 3 37 3" xfId="49364"/>
    <cellStyle name="Total 2 2 3 37 3 2" xfId="49365"/>
    <cellStyle name="Total 2 2 3 37 3 3" xfId="49366"/>
    <cellStyle name="Total 2 2 3 37 4" xfId="49367"/>
    <cellStyle name="Total 2 2 3 37 5" xfId="49368"/>
    <cellStyle name="Total 2 2 3 38" xfId="49369"/>
    <cellStyle name="Total 2 2 3 38 2" xfId="49370"/>
    <cellStyle name="Total 2 2 3 38 2 2" xfId="49371"/>
    <cellStyle name="Total 2 2 3 38 2 3" xfId="49372"/>
    <cellStyle name="Total 2 2 3 38 3" xfId="49373"/>
    <cellStyle name="Total 2 2 3 38 3 2" xfId="49374"/>
    <cellStyle name="Total 2 2 3 38 3 3" xfId="49375"/>
    <cellStyle name="Total 2 2 3 38 4" xfId="49376"/>
    <cellStyle name="Total 2 2 3 38 5" xfId="49377"/>
    <cellStyle name="Total 2 2 3 39" xfId="49378"/>
    <cellStyle name="Total 2 2 3 39 2" xfId="49379"/>
    <cellStyle name="Total 2 2 3 39 2 2" xfId="49380"/>
    <cellStyle name="Total 2 2 3 39 2 3" xfId="49381"/>
    <cellStyle name="Total 2 2 3 39 3" xfId="49382"/>
    <cellStyle name="Total 2 2 3 39 3 2" xfId="49383"/>
    <cellStyle name="Total 2 2 3 39 3 3" xfId="49384"/>
    <cellStyle name="Total 2 2 3 39 4" xfId="49385"/>
    <cellStyle name="Total 2 2 3 39 5" xfId="49386"/>
    <cellStyle name="Total 2 2 3 4" xfId="49387"/>
    <cellStyle name="Total 2 2 3 4 2" xfId="49388"/>
    <cellStyle name="Total 2 2 3 4 2 2" xfId="49389"/>
    <cellStyle name="Total 2 2 3 4 2 3" xfId="49390"/>
    <cellStyle name="Total 2 2 3 4 3" xfId="49391"/>
    <cellStyle name="Total 2 2 3 4 3 2" xfId="49392"/>
    <cellStyle name="Total 2 2 3 4 3 3" xfId="49393"/>
    <cellStyle name="Total 2 2 3 4 4" xfId="49394"/>
    <cellStyle name="Total 2 2 3 4 5" xfId="49395"/>
    <cellStyle name="Total 2 2 3 40" xfId="49396"/>
    <cellStyle name="Total 2 2 3 40 2" xfId="49397"/>
    <cellStyle name="Total 2 2 3 40 2 2" xfId="49398"/>
    <cellStyle name="Total 2 2 3 40 2 3" xfId="49399"/>
    <cellStyle name="Total 2 2 3 40 3" xfId="49400"/>
    <cellStyle name="Total 2 2 3 40 4" xfId="49401"/>
    <cellStyle name="Total 2 2 3 41" xfId="49402"/>
    <cellStyle name="Total 2 2 3 41 2" xfId="49403"/>
    <cellStyle name="Total 2 2 3 41 3" xfId="49404"/>
    <cellStyle name="Total 2 2 3 42" xfId="49405"/>
    <cellStyle name="Total 2 2 3 42 2" xfId="49406"/>
    <cellStyle name="Total 2 2 3 42 3" xfId="49407"/>
    <cellStyle name="Total 2 2 3 43" xfId="49408"/>
    <cellStyle name="Total 2 2 3 43 2" xfId="49409"/>
    <cellStyle name="Total 2 2 3 43 3" xfId="49410"/>
    <cellStyle name="Total 2 2 3 44" xfId="49411"/>
    <cellStyle name="Total 2 2 3 45" xfId="49412"/>
    <cellStyle name="Total 2 2 3 5" xfId="49413"/>
    <cellStyle name="Total 2 2 3 5 2" xfId="49414"/>
    <cellStyle name="Total 2 2 3 5 2 2" xfId="49415"/>
    <cellStyle name="Total 2 2 3 5 2 3" xfId="49416"/>
    <cellStyle name="Total 2 2 3 5 3" xfId="49417"/>
    <cellStyle name="Total 2 2 3 5 3 2" xfId="49418"/>
    <cellStyle name="Total 2 2 3 5 3 3" xfId="49419"/>
    <cellStyle name="Total 2 2 3 5 4" xfId="49420"/>
    <cellStyle name="Total 2 2 3 5 5" xfId="49421"/>
    <cellStyle name="Total 2 2 3 6" xfId="49422"/>
    <cellStyle name="Total 2 2 3 6 2" xfId="49423"/>
    <cellStyle name="Total 2 2 3 6 2 2" xfId="49424"/>
    <cellStyle name="Total 2 2 3 6 2 3" xfId="49425"/>
    <cellStyle name="Total 2 2 3 6 3" xfId="49426"/>
    <cellStyle name="Total 2 2 3 6 3 2" xfId="49427"/>
    <cellStyle name="Total 2 2 3 6 3 3" xfId="49428"/>
    <cellStyle name="Total 2 2 3 6 4" xfId="49429"/>
    <cellStyle name="Total 2 2 3 6 5" xfId="49430"/>
    <cellStyle name="Total 2 2 3 7" xfId="49431"/>
    <cellStyle name="Total 2 2 3 7 2" xfId="49432"/>
    <cellStyle name="Total 2 2 3 7 2 2" xfId="49433"/>
    <cellStyle name="Total 2 2 3 7 2 3" xfId="49434"/>
    <cellStyle name="Total 2 2 3 7 3" xfId="49435"/>
    <cellStyle name="Total 2 2 3 7 3 2" xfId="49436"/>
    <cellStyle name="Total 2 2 3 7 3 3" xfId="49437"/>
    <cellStyle name="Total 2 2 3 7 4" xfId="49438"/>
    <cellStyle name="Total 2 2 3 7 5" xfId="49439"/>
    <cellStyle name="Total 2 2 3 8" xfId="49440"/>
    <cellStyle name="Total 2 2 3 8 2" xfId="49441"/>
    <cellStyle name="Total 2 2 3 8 2 2" xfId="49442"/>
    <cellStyle name="Total 2 2 3 8 2 3" xfId="49443"/>
    <cellStyle name="Total 2 2 3 8 3" xfId="49444"/>
    <cellStyle name="Total 2 2 3 8 3 2" xfId="49445"/>
    <cellStyle name="Total 2 2 3 8 3 3" xfId="49446"/>
    <cellStyle name="Total 2 2 3 8 4" xfId="49447"/>
    <cellStyle name="Total 2 2 3 8 5" xfId="49448"/>
    <cellStyle name="Total 2 2 3 9" xfId="49449"/>
    <cellStyle name="Total 2 2 3 9 2" xfId="49450"/>
    <cellStyle name="Total 2 2 3 9 2 2" xfId="49451"/>
    <cellStyle name="Total 2 2 3 9 2 3" xfId="49452"/>
    <cellStyle name="Total 2 2 3 9 3" xfId="49453"/>
    <cellStyle name="Total 2 2 3 9 3 2" xfId="49454"/>
    <cellStyle name="Total 2 2 3 9 3 3" xfId="49455"/>
    <cellStyle name="Total 2 2 3 9 4" xfId="49456"/>
    <cellStyle name="Total 2 2 3 9 5" xfId="49457"/>
    <cellStyle name="Total 2 2 30" xfId="49458"/>
    <cellStyle name="Total 2 2 30 2" xfId="49459"/>
    <cellStyle name="Total 2 2 30 2 2" xfId="49460"/>
    <cellStyle name="Total 2 2 30 2 3" xfId="49461"/>
    <cellStyle name="Total 2 2 30 3" xfId="49462"/>
    <cellStyle name="Total 2 2 30 3 2" xfId="49463"/>
    <cellStyle name="Total 2 2 30 3 3" xfId="49464"/>
    <cellStyle name="Total 2 2 30 4" xfId="49465"/>
    <cellStyle name="Total 2 2 30 5" xfId="49466"/>
    <cellStyle name="Total 2 2 31" xfId="49467"/>
    <cellStyle name="Total 2 2 31 2" xfId="49468"/>
    <cellStyle name="Total 2 2 31 2 2" xfId="49469"/>
    <cellStyle name="Total 2 2 31 2 3" xfId="49470"/>
    <cellStyle name="Total 2 2 31 3" xfId="49471"/>
    <cellStyle name="Total 2 2 31 3 2" xfId="49472"/>
    <cellStyle name="Total 2 2 31 3 3" xfId="49473"/>
    <cellStyle name="Total 2 2 31 4" xfId="49474"/>
    <cellStyle name="Total 2 2 31 5" xfId="49475"/>
    <cellStyle name="Total 2 2 32" xfId="49476"/>
    <cellStyle name="Total 2 2 32 2" xfId="49477"/>
    <cellStyle name="Total 2 2 32 2 2" xfId="49478"/>
    <cellStyle name="Total 2 2 32 2 3" xfId="49479"/>
    <cellStyle name="Total 2 2 32 3" xfId="49480"/>
    <cellStyle name="Total 2 2 32 3 2" xfId="49481"/>
    <cellStyle name="Total 2 2 32 3 3" xfId="49482"/>
    <cellStyle name="Total 2 2 32 4" xfId="49483"/>
    <cellStyle name="Total 2 2 32 5" xfId="49484"/>
    <cellStyle name="Total 2 2 33" xfId="49485"/>
    <cellStyle name="Total 2 2 33 2" xfId="49486"/>
    <cellStyle name="Total 2 2 33 2 2" xfId="49487"/>
    <cellStyle name="Total 2 2 33 2 3" xfId="49488"/>
    <cellStyle name="Total 2 2 33 3" xfId="49489"/>
    <cellStyle name="Total 2 2 33 3 2" xfId="49490"/>
    <cellStyle name="Total 2 2 33 3 3" xfId="49491"/>
    <cellStyle name="Total 2 2 33 4" xfId="49492"/>
    <cellStyle name="Total 2 2 33 5" xfId="49493"/>
    <cellStyle name="Total 2 2 34" xfId="49494"/>
    <cellStyle name="Total 2 2 34 2" xfId="49495"/>
    <cellStyle name="Total 2 2 34 2 2" xfId="49496"/>
    <cellStyle name="Total 2 2 34 2 3" xfId="49497"/>
    <cellStyle name="Total 2 2 34 3" xfId="49498"/>
    <cellStyle name="Total 2 2 34 4" xfId="49499"/>
    <cellStyle name="Total 2 2 35" xfId="49500"/>
    <cellStyle name="Total 2 2 35 2" xfId="49501"/>
    <cellStyle name="Total 2 2 35 3" xfId="49502"/>
    <cellStyle name="Total 2 2 36" xfId="49503"/>
    <cellStyle name="Total 2 2 36 2" xfId="49504"/>
    <cellStyle name="Total 2 2 36 3" xfId="49505"/>
    <cellStyle name="Total 2 2 37" xfId="49506"/>
    <cellStyle name="Total 2 2 37 2" xfId="49507"/>
    <cellStyle name="Total 2 2 37 3" xfId="49508"/>
    <cellStyle name="Total 2 2 38" xfId="49509"/>
    <cellStyle name="Total 2 2 39" xfId="49510"/>
    <cellStyle name="Total 2 2 4" xfId="49511"/>
    <cellStyle name="Total 2 2 4 10" xfId="49512"/>
    <cellStyle name="Total 2 2 4 10 2" xfId="49513"/>
    <cellStyle name="Total 2 2 4 10 2 2" xfId="49514"/>
    <cellStyle name="Total 2 2 4 10 2 3" xfId="49515"/>
    <cellStyle name="Total 2 2 4 10 3" xfId="49516"/>
    <cellStyle name="Total 2 2 4 10 3 2" xfId="49517"/>
    <cellStyle name="Total 2 2 4 10 3 3" xfId="49518"/>
    <cellStyle name="Total 2 2 4 10 4" xfId="49519"/>
    <cellStyle name="Total 2 2 4 10 5" xfId="49520"/>
    <cellStyle name="Total 2 2 4 11" xfId="49521"/>
    <cellStyle name="Total 2 2 4 11 2" xfId="49522"/>
    <cellStyle name="Total 2 2 4 11 2 2" xfId="49523"/>
    <cellStyle name="Total 2 2 4 11 2 3" xfId="49524"/>
    <cellStyle name="Total 2 2 4 11 3" xfId="49525"/>
    <cellStyle name="Total 2 2 4 11 3 2" xfId="49526"/>
    <cellStyle name="Total 2 2 4 11 3 3" xfId="49527"/>
    <cellStyle name="Total 2 2 4 11 4" xfId="49528"/>
    <cellStyle name="Total 2 2 4 11 5" xfId="49529"/>
    <cellStyle name="Total 2 2 4 12" xfId="49530"/>
    <cellStyle name="Total 2 2 4 12 2" xfId="49531"/>
    <cellStyle name="Total 2 2 4 12 2 2" xfId="49532"/>
    <cellStyle name="Total 2 2 4 12 2 3" xfId="49533"/>
    <cellStyle name="Total 2 2 4 12 3" xfId="49534"/>
    <cellStyle name="Total 2 2 4 12 3 2" xfId="49535"/>
    <cellStyle name="Total 2 2 4 12 3 3" xfId="49536"/>
    <cellStyle name="Total 2 2 4 12 4" xfId="49537"/>
    <cellStyle name="Total 2 2 4 12 5" xfId="49538"/>
    <cellStyle name="Total 2 2 4 13" xfId="49539"/>
    <cellStyle name="Total 2 2 4 13 2" xfId="49540"/>
    <cellStyle name="Total 2 2 4 13 2 2" xfId="49541"/>
    <cellStyle name="Total 2 2 4 13 2 3" xfId="49542"/>
    <cellStyle name="Total 2 2 4 13 3" xfId="49543"/>
    <cellStyle name="Total 2 2 4 13 3 2" xfId="49544"/>
    <cellStyle name="Total 2 2 4 13 3 3" xfId="49545"/>
    <cellStyle name="Total 2 2 4 13 4" xfId="49546"/>
    <cellStyle name="Total 2 2 4 13 5" xfId="49547"/>
    <cellStyle name="Total 2 2 4 14" xfId="49548"/>
    <cellStyle name="Total 2 2 4 14 2" xfId="49549"/>
    <cellStyle name="Total 2 2 4 14 2 2" xfId="49550"/>
    <cellStyle name="Total 2 2 4 14 2 3" xfId="49551"/>
    <cellStyle name="Total 2 2 4 14 3" xfId="49552"/>
    <cellStyle name="Total 2 2 4 14 3 2" xfId="49553"/>
    <cellStyle name="Total 2 2 4 14 3 3" xfId="49554"/>
    <cellStyle name="Total 2 2 4 14 4" xfId="49555"/>
    <cellStyle name="Total 2 2 4 14 5" xfId="49556"/>
    <cellStyle name="Total 2 2 4 15" xfId="49557"/>
    <cellStyle name="Total 2 2 4 15 2" xfId="49558"/>
    <cellStyle name="Total 2 2 4 15 2 2" xfId="49559"/>
    <cellStyle name="Total 2 2 4 15 2 3" xfId="49560"/>
    <cellStyle name="Total 2 2 4 15 3" xfId="49561"/>
    <cellStyle name="Total 2 2 4 15 3 2" xfId="49562"/>
    <cellStyle name="Total 2 2 4 15 3 3" xfId="49563"/>
    <cellStyle name="Total 2 2 4 15 4" xfId="49564"/>
    <cellStyle name="Total 2 2 4 15 5" xfId="49565"/>
    <cellStyle name="Total 2 2 4 16" xfId="49566"/>
    <cellStyle name="Total 2 2 4 16 2" xfId="49567"/>
    <cellStyle name="Total 2 2 4 16 2 2" xfId="49568"/>
    <cellStyle name="Total 2 2 4 16 2 3" xfId="49569"/>
    <cellStyle name="Total 2 2 4 16 3" xfId="49570"/>
    <cellStyle name="Total 2 2 4 16 3 2" xfId="49571"/>
    <cellStyle name="Total 2 2 4 16 3 3" xfId="49572"/>
    <cellStyle name="Total 2 2 4 16 4" xfId="49573"/>
    <cellStyle name="Total 2 2 4 16 5" xfId="49574"/>
    <cellStyle name="Total 2 2 4 17" xfId="49575"/>
    <cellStyle name="Total 2 2 4 17 2" xfId="49576"/>
    <cellStyle name="Total 2 2 4 17 2 2" xfId="49577"/>
    <cellStyle name="Total 2 2 4 17 2 3" xfId="49578"/>
    <cellStyle name="Total 2 2 4 17 3" xfId="49579"/>
    <cellStyle name="Total 2 2 4 17 3 2" xfId="49580"/>
    <cellStyle name="Total 2 2 4 17 3 3" xfId="49581"/>
    <cellStyle name="Total 2 2 4 17 4" xfId="49582"/>
    <cellStyle name="Total 2 2 4 17 5" xfId="49583"/>
    <cellStyle name="Total 2 2 4 18" xfId="49584"/>
    <cellStyle name="Total 2 2 4 18 2" xfId="49585"/>
    <cellStyle name="Total 2 2 4 18 2 2" xfId="49586"/>
    <cellStyle name="Total 2 2 4 18 2 3" xfId="49587"/>
    <cellStyle name="Total 2 2 4 18 3" xfId="49588"/>
    <cellStyle name="Total 2 2 4 18 3 2" xfId="49589"/>
    <cellStyle name="Total 2 2 4 18 3 3" xfId="49590"/>
    <cellStyle name="Total 2 2 4 18 4" xfId="49591"/>
    <cellStyle name="Total 2 2 4 18 5" xfId="49592"/>
    <cellStyle name="Total 2 2 4 19" xfId="49593"/>
    <cellStyle name="Total 2 2 4 19 2" xfId="49594"/>
    <cellStyle name="Total 2 2 4 19 2 2" xfId="49595"/>
    <cellStyle name="Total 2 2 4 19 2 3" xfId="49596"/>
    <cellStyle name="Total 2 2 4 19 3" xfId="49597"/>
    <cellStyle name="Total 2 2 4 19 3 2" xfId="49598"/>
    <cellStyle name="Total 2 2 4 19 3 3" xfId="49599"/>
    <cellStyle name="Total 2 2 4 19 4" xfId="49600"/>
    <cellStyle name="Total 2 2 4 19 5" xfId="49601"/>
    <cellStyle name="Total 2 2 4 2" xfId="49602"/>
    <cellStyle name="Total 2 2 4 2 2" xfId="49603"/>
    <cellStyle name="Total 2 2 4 2 2 2" xfId="49604"/>
    <cellStyle name="Total 2 2 4 2 2 3" xfId="49605"/>
    <cellStyle name="Total 2 2 4 2 3" xfId="49606"/>
    <cellStyle name="Total 2 2 4 2 3 2" xfId="49607"/>
    <cellStyle name="Total 2 2 4 2 3 3" xfId="49608"/>
    <cellStyle name="Total 2 2 4 2 4" xfId="49609"/>
    <cellStyle name="Total 2 2 4 2 5" xfId="49610"/>
    <cellStyle name="Total 2 2 4 20" xfId="49611"/>
    <cellStyle name="Total 2 2 4 20 2" xfId="49612"/>
    <cellStyle name="Total 2 2 4 20 2 2" xfId="49613"/>
    <cellStyle name="Total 2 2 4 20 2 3" xfId="49614"/>
    <cellStyle name="Total 2 2 4 20 3" xfId="49615"/>
    <cellStyle name="Total 2 2 4 20 3 2" xfId="49616"/>
    <cellStyle name="Total 2 2 4 20 3 3" xfId="49617"/>
    <cellStyle name="Total 2 2 4 20 4" xfId="49618"/>
    <cellStyle name="Total 2 2 4 20 5" xfId="49619"/>
    <cellStyle name="Total 2 2 4 21" xfId="49620"/>
    <cellStyle name="Total 2 2 4 21 2" xfId="49621"/>
    <cellStyle name="Total 2 2 4 21 2 2" xfId="49622"/>
    <cellStyle name="Total 2 2 4 21 2 3" xfId="49623"/>
    <cellStyle name="Total 2 2 4 21 3" xfId="49624"/>
    <cellStyle name="Total 2 2 4 21 3 2" xfId="49625"/>
    <cellStyle name="Total 2 2 4 21 3 3" xfId="49626"/>
    <cellStyle name="Total 2 2 4 21 4" xfId="49627"/>
    <cellStyle name="Total 2 2 4 21 5" xfId="49628"/>
    <cellStyle name="Total 2 2 4 22" xfId="49629"/>
    <cellStyle name="Total 2 2 4 22 2" xfId="49630"/>
    <cellStyle name="Total 2 2 4 22 2 2" xfId="49631"/>
    <cellStyle name="Total 2 2 4 22 2 3" xfId="49632"/>
    <cellStyle name="Total 2 2 4 22 3" xfId="49633"/>
    <cellStyle name="Total 2 2 4 22 3 2" xfId="49634"/>
    <cellStyle name="Total 2 2 4 22 3 3" xfId="49635"/>
    <cellStyle name="Total 2 2 4 22 4" xfId="49636"/>
    <cellStyle name="Total 2 2 4 22 5" xfId="49637"/>
    <cellStyle name="Total 2 2 4 23" xfId="49638"/>
    <cellStyle name="Total 2 2 4 23 2" xfId="49639"/>
    <cellStyle name="Total 2 2 4 23 2 2" xfId="49640"/>
    <cellStyle name="Total 2 2 4 23 2 3" xfId="49641"/>
    <cellStyle name="Total 2 2 4 23 3" xfId="49642"/>
    <cellStyle name="Total 2 2 4 23 3 2" xfId="49643"/>
    <cellStyle name="Total 2 2 4 23 3 3" xfId="49644"/>
    <cellStyle name="Total 2 2 4 23 4" xfId="49645"/>
    <cellStyle name="Total 2 2 4 23 5" xfId="49646"/>
    <cellStyle name="Total 2 2 4 24" xfId="49647"/>
    <cellStyle name="Total 2 2 4 24 2" xfId="49648"/>
    <cellStyle name="Total 2 2 4 24 2 2" xfId="49649"/>
    <cellStyle name="Total 2 2 4 24 2 3" xfId="49650"/>
    <cellStyle name="Total 2 2 4 24 3" xfId="49651"/>
    <cellStyle name="Total 2 2 4 24 3 2" xfId="49652"/>
    <cellStyle name="Total 2 2 4 24 3 3" xfId="49653"/>
    <cellStyle name="Total 2 2 4 24 4" xfId="49654"/>
    <cellStyle name="Total 2 2 4 24 5" xfId="49655"/>
    <cellStyle name="Total 2 2 4 25" xfId="49656"/>
    <cellStyle name="Total 2 2 4 25 2" xfId="49657"/>
    <cellStyle name="Total 2 2 4 25 2 2" xfId="49658"/>
    <cellStyle name="Total 2 2 4 25 2 3" xfId="49659"/>
    <cellStyle name="Total 2 2 4 25 3" xfId="49660"/>
    <cellStyle name="Total 2 2 4 25 3 2" xfId="49661"/>
    <cellStyle name="Total 2 2 4 25 3 3" xfId="49662"/>
    <cellStyle name="Total 2 2 4 25 4" xfId="49663"/>
    <cellStyle name="Total 2 2 4 25 5" xfId="49664"/>
    <cellStyle name="Total 2 2 4 26" xfId="49665"/>
    <cellStyle name="Total 2 2 4 26 2" xfId="49666"/>
    <cellStyle name="Total 2 2 4 26 2 2" xfId="49667"/>
    <cellStyle name="Total 2 2 4 26 2 3" xfId="49668"/>
    <cellStyle name="Total 2 2 4 26 3" xfId="49669"/>
    <cellStyle name="Total 2 2 4 26 3 2" xfId="49670"/>
    <cellStyle name="Total 2 2 4 26 3 3" xfId="49671"/>
    <cellStyle name="Total 2 2 4 26 4" xfId="49672"/>
    <cellStyle name="Total 2 2 4 26 5" xfId="49673"/>
    <cellStyle name="Total 2 2 4 27" xfId="49674"/>
    <cellStyle name="Total 2 2 4 27 2" xfId="49675"/>
    <cellStyle name="Total 2 2 4 27 2 2" xfId="49676"/>
    <cellStyle name="Total 2 2 4 27 2 3" xfId="49677"/>
    <cellStyle name="Total 2 2 4 27 3" xfId="49678"/>
    <cellStyle name="Total 2 2 4 27 3 2" xfId="49679"/>
    <cellStyle name="Total 2 2 4 27 3 3" xfId="49680"/>
    <cellStyle name="Total 2 2 4 27 4" xfId="49681"/>
    <cellStyle name="Total 2 2 4 27 5" xfId="49682"/>
    <cellStyle name="Total 2 2 4 28" xfId="49683"/>
    <cellStyle name="Total 2 2 4 28 2" xfId="49684"/>
    <cellStyle name="Total 2 2 4 28 2 2" xfId="49685"/>
    <cellStyle name="Total 2 2 4 28 2 3" xfId="49686"/>
    <cellStyle name="Total 2 2 4 28 3" xfId="49687"/>
    <cellStyle name="Total 2 2 4 28 3 2" xfId="49688"/>
    <cellStyle name="Total 2 2 4 28 3 3" xfId="49689"/>
    <cellStyle name="Total 2 2 4 28 4" xfId="49690"/>
    <cellStyle name="Total 2 2 4 28 5" xfId="49691"/>
    <cellStyle name="Total 2 2 4 29" xfId="49692"/>
    <cellStyle name="Total 2 2 4 29 2" xfId="49693"/>
    <cellStyle name="Total 2 2 4 29 2 2" xfId="49694"/>
    <cellStyle name="Total 2 2 4 29 2 3" xfId="49695"/>
    <cellStyle name="Total 2 2 4 29 3" xfId="49696"/>
    <cellStyle name="Total 2 2 4 29 3 2" xfId="49697"/>
    <cellStyle name="Total 2 2 4 29 3 3" xfId="49698"/>
    <cellStyle name="Total 2 2 4 29 4" xfId="49699"/>
    <cellStyle name="Total 2 2 4 29 5" xfId="49700"/>
    <cellStyle name="Total 2 2 4 3" xfId="49701"/>
    <cellStyle name="Total 2 2 4 3 2" xfId="49702"/>
    <cellStyle name="Total 2 2 4 3 2 2" xfId="49703"/>
    <cellStyle name="Total 2 2 4 3 2 3" xfId="49704"/>
    <cellStyle name="Total 2 2 4 3 3" xfId="49705"/>
    <cellStyle name="Total 2 2 4 3 3 2" xfId="49706"/>
    <cellStyle name="Total 2 2 4 3 3 3" xfId="49707"/>
    <cellStyle name="Total 2 2 4 3 4" xfId="49708"/>
    <cellStyle name="Total 2 2 4 3 5" xfId="49709"/>
    <cellStyle name="Total 2 2 4 30" xfId="49710"/>
    <cellStyle name="Total 2 2 4 30 2" xfId="49711"/>
    <cellStyle name="Total 2 2 4 30 2 2" xfId="49712"/>
    <cellStyle name="Total 2 2 4 30 2 3" xfId="49713"/>
    <cellStyle name="Total 2 2 4 30 3" xfId="49714"/>
    <cellStyle name="Total 2 2 4 30 3 2" xfId="49715"/>
    <cellStyle name="Total 2 2 4 30 3 3" xfId="49716"/>
    <cellStyle name="Total 2 2 4 30 4" xfId="49717"/>
    <cellStyle name="Total 2 2 4 30 5" xfId="49718"/>
    <cellStyle name="Total 2 2 4 31" xfId="49719"/>
    <cellStyle name="Total 2 2 4 31 2" xfId="49720"/>
    <cellStyle name="Total 2 2 4 31 2 2" xfId="49721"/>
    <cellStyle name="Total 2 2 4 31 2 3" xfId="49722"/>
    <cellStyle name="Total 2 2 4 31 3" xfId="49723"/>
    <cellStyle name="Total 2 2 4 31 3 2" xfId="49724"/>
    <cellStyle name="Total 2 2 4 31 3 3" xfId="49725"/>
    <cellStyle name="Total 2 2 4 31 4" xfId="49726"/>
    <cellStyle name="Total 2 2 4 31 5" xfId="49727"/>
    <cellStyle name="Total 2 2 4 32" xfId="49728"/>
    <cellStyle name="Total 2 2 4 32 2" xfId="49729"/>
    <cellStyle name="Total 2 2 4 32 2 2" xfId="49730"/>
    <cellStyle name="Total 2 2 4 32 2 3" xfId="49731"/>
    <cellStyle name="Total 2 2 4 32 3" xfId="49732"/>
    <cellStyle name="Total 2 2 4 32 3 2" xfId="49733"/>
    <cellStyle name="Total 2 2 4 32 3 3" xfId="49734"/>
    <cellStyle name="Total 2 2 4 32 4" xfId="49735"/>
    <cellStyle name="Total 2 2 4 32 5" xfId="49736"/>
    <cellStyle name="Total 2 2 4 33" xfId="49737"/>
    <cellStyle name="Total 2 2 4 33 2" xfId="49738"/>
    <cellStyle name="Total 2 2 4 33 2 2" xfId="49739"/>
    <cellStyle name="Total 2 2 4 33 2 3" xfId="49740"/>
    <cellStyle name="Total 2 2 4 33 3" xfId="49741"/>
    <cellStyle name="Total 2 2 4 33 3 2" xfId="49742"/>
    <cellStyle name="Total 2 2 4 33 3 3" xfId="49743"/>
    <cellStyle name="Total 2 2 4 33 4" xfId="49744"/>
    <cellStyle name="Total 2 2 4 33 5" xfId="49745"/>
    <cellStyle name="Total 2 2 4 34" xfId="49746"/>
    <cellStyle name="Total 2 2 4 34 2" xfId="49747"/>
    <cellStyle name="Total 2 2 4 34 2 2" xfId="49748"/>
    <cellStyle name="Total 2 2 4 34 2 3" xfId="49749"/>
    <cellStyle name="Total 2 2 4 34 3" xfId="49750"/>
    <cellStyle name="Total 2 2 4 34 3 2" xfId="49751"/>
    <cellStyle name="Total 2 2 4 34 3 3" xfId="49752"/>
    <cellStyle name="Total 2 2 4 34 4" xfId="49753"/>
    <cellStyle name="Total 2 2 4 34 5" xfId="49754"/>
    <cellStyle name="Total 2 2 4 35" xfId="49755"/>
    <cellStyle name="Total 2 2 4 35 2" xfId="49756"/>
    <cellStyle name="Total 2 2 4 35 2 2" xfId="49757"/>
    <cellStyle name="Total 2 2 4 35 2 3" xfId="49758"/>
    <cellStyle name="Total 2 2 4 35 3" xfId="49759"/>
    <cellStyle name="Total 2 2 4 35 3 2" xfId="49760"/>
    <cellStyle name="Total 2 2 4 35 3 3" xfId="49761"/>
    <cellStyle name="Total 2 2 4 35 4" xfId="49762"/>
    <cellStyle name="Total 2 2 4 35 5" xfId="49763"/>
    <cellStyle name="Total 2 2 4 36" xfId="49764"/>
    <cellStyle name="Total 2 2 4 36 2" xfId="49765"/>
    <cellStyle name="Total 2 2 4 36 2 2" xfId="49766"/>
    <cellStyle name="Total 2 2 4 36 2 3" xfId="49767"/>
    <cellStyle name="Total 2 2 4 36 3" xfId="49768"/>
    <cellStyle name="Total 2 2 4 36 3 2" xfId="49769"/>
    <cellStyle name="Total 2 2 4 36 3 3" xfId="49770"/>
    <cellStyle name="Total 2 2 4 36 4" xfId="49771"/>
    <cellStyle name="Total 2 2 4 36 5" xfId="49772"/>
    <cellStyle name="Total 2 2 4 37" xfId="49773"/>
    <cellStyle name="Total 2 2 4 37 2" xfId="49774"/>
    <cellStyle name="Total 2 2 4 37 2 2" xfId="49775"/>
    <cellStyle name="Total 2 2 4 37 2 3" xfId="49776"/>
    <cellStyle name="Total 2 2 4 37 3" xfId="49777"/>
    <cellStyle name="Total 2 2 4 37 3 2" xfId="49778"/>
    <cellStyle name="Total 2 2 4 37 3 3" xfId="49779"/>
    <cellStyle name="Total 2 2 4 37 4" xfId="49780"/>
    <cellStyle name="Total 2 2 4 37 5" xfId="49781"/>
    <cellStyle name="Total 2 2 4 38" xfId="49782"/>
    <cellStyle name="Total 2 2 4 38 2" xfId="49783"/>
    <cellStyle name="Total 2 2 4 38 2 2" xfId="49784"/>
    <cellStyle name="Total 2 2 4 38 2 3" xfId="49785"/>
    <cellStyle name="Total 2 2 4 38 3" xfId="49786"/>
    <cellStyle name="Total 2 2 4 38 3 2" xfId="49787"/>
    <cellStyle name="Total 2 2 4 38 3 3" xfId="49788"/>
    <cellStyle name="Total 2 2 4 38 4" xfId="49789"/>
    <cellStyle name="Total 2 2 4 38 5" xfId="49790"/>
    <cellStyle name="Total 2 2 4 39" xfId="49791"/>
    <cellStyle name="Total 2 2 4 39 2" xfId="49792"/>
    <cellStyle name="Total 2 2 4 39 2 2" xfId="49793"/>
    <cellStyle name="Total 2 2 4 39 2 3" xfId="49794"/>
    <cellStyle name="Total 2 2 4 39 3" xfId="49795"/>
    <cellStyle name="Total 2 2 4 39 3 2" xfId="49796"/>
    <cellStyle name="Total 2 2 4 39 3 3" xfId="49797"/>
    <cellStyle name="Total 2 2 4 39 4" xfId="49798"/>
    <cellStyle name="Total 2 2 4 39 5" xfId="49799"/>
    <cellStyle name="Total 2 2 4 4" xfId="49800"/>
    <cellStyle name="Total 2 2 4 4 2" xfId="49801"/>
    <cellStyle name="Total 2 2 4 4 2 2" xfId="49802"/>
    <cellStyle name="Total 2 2 4 4 2 3" xfId="49803"/>
    <cellStyle name="Total 2 2 4 4 3" xfId="49804"/>
    <cellStyle name="Total 2 2 4 4 3 2" xfId="49805"/>
    <cellStyle name="Total 2 2 4 4 3 3" xfId="49806"/>
    <cellStyle name="Total 2 2 4 4 4" xfId="49807"/>
    <cellStyle name="Total 2 2 4 4 5" xfId="49808"/>
    <cellStyle name="Total 2 2 4 40" xfId="49809"/>
    <cellStyle name="Total 2 2 4 40 2" xfId="49810"/>
    <cellStyle name="Total 2 2 4 40 2 2" xfId="49811"/>
    <cellStyle name="Total 2 2 4 40 2 3" xfId="49812"/>
    <cellStyle name="Total 2 2 4 40 3" xfId="49813"/>
    <cellStyle name="Total 2 2 4 40 4" xfId="49814"/>
    <cellStyle name="Total 2 2 4 41" xfId="49815"/>
    <cellStyle name="Total 2 2 4 41 2" xfId="49816"/>
    <cellStyle name="Total 2 2 4 41 3" xfId="49817"/>
    <cellStyle name="Total 2 2 4 42" xfId="49818"/>
    <cellStyle name="Total 2 2 4 42 2" xfId="49819"/>
    <cellStyle name="Total 2 2 4 42 3" xfId="49820"/>
    <cellStyle name="Total 2 2 4 43" xfId="49821"/>
    <cellStyle name="Total 2 2 4 44" xfId="49822"/>
    <cellStyle name="Total 2 2 4 5" xfId="49823"/>
    <cellStyle name="Total 2 2 4 5 2" xfId="49824"/>
    <cellStyle name="Total 2 2 4 5 2 2" xfId="49825"/>
    <cellStyle name="Total 2 2 4 5 2 3" xfId="49826"/>
    <cellStyle name="Total 2 2 4 5 3" xfId="49827"/>
    <cellStyle name="Total 2 2 4 5 3 2" xfId="49828"/>
    <cellStyle name="Total 2 2 4 5 3 3" xfId="49829"/>
    <cellStyle name="Total 2 2 4 5 4" xfId="49830"/>
    <cellStyle name="Total 2 2 4 5 5" xfId="49831"/>
    <cellStyle name="Total 2 2 4 6" xfId="49832"/>
    <cellStyle name="Total 2 2 4 6 2" xfId="49833"/>
    <cellStyle name="Total 2 2 4 6 2 2" xfId="49834"/>
    <cellStyle name="Total 2 2 4 6 2 3" xfId="49835"/>
    <cellStyle name="Total 2 2 4 6 3" xfId="49836"/>
    <cellStyle name="Total 2 2 4 6 3 2" xfId="49837"/>
    <cellStyle name="Total 2 2 4 6 3 3" xfId="49838"/>
    <cellStyle name="Total 2 2 4 6 4" xfId="49839"/>
    <cellStyle name="Total 2 2 4 6 5" xfId="49840"/>
    <cellStyle name="Total 2 2 4 7" xfId="49841"/>
    <cellStyle name="Total 2 2 4 7 2" xfId="49842"/>
    <cellStyle name="Total 2 2 4 7 2 2" xfId="49843"/>
    <cellStyle name="Total 2 2 4 7 2 3" xfId="49844"/>
    <cellStyle name="Total 2 2 4 7 3" xfId="49845"/>
    <cellStyle name="Total 2 2 4 7 3 2" xfId="49846"/>
    <cellStyle name="Total 2 2 4 7 3 3" xfId="49847"/>
    <cellStyle name="Total 2 2 4 7 4" xfId="49848"/>
    <cellStyle name="Total 2 2 4 7 5" xfId="49849"/>
    <cellStyle name="Total 2 2 4 8" xfId="49850"/>
    <cellStyle name="Total 2 2 4 8 2" xfId="49851"/>
    <cellStyle name="Total 2 2 4 8 2 2" xfId="49852"/>
    <cellStyle name="Total 2 2 4 8 2 3" xfId="49853"/>
    <cellStyle name="Total 2 2 4 8 3" xfId="49854"/>
    <cellStyle name="Total 2 2 4 8 3 2" xfId="49855"/>
    <cellStyle name="Total 2 2 4 8 3 3" xfId="49856"/>
    <cellStyle name="Total 2 2 4 8 4" xfId="49857"/>
    <cellStyle name="Total 2 2 4 8 5" xfId="49858"/>
    <cellStyle name="Total 2 2 4 9" xfId="49859"/>
    <cellStyle name="Total 2 2 4 9 2" xfId="49860"/>
    <cellStyle name="Total 2 2 4 9 2 2" xfId="49861"/>
    <cellStyle name="Total 2 2 4 9 2 3" xfId="49862"/>
    <cellStyle name="Total 2 2 4 9 3" xfId="49863"/>
    <cellStyle name="Total 2 2 4 9 3 2" xfId="49864"/>
    <cellStyle name="Total 2 2 4 9 3 3" xfId="49865"/>
    <cellStyle name="Total 2 2 4 9 4" xfId="49866"/>
    <cellStyle name="Total 2 2 4 9 5" xfId="49867"/>
    <cellStyle name="Total 2 2 5" xfId="49868"/>
    <cellStyle name="Total 2 2 5 10" xfId="49869"/>
    <cellStyle name="Total 2 2 5 10 2" xfId="49870"/>
    <cellStyle name="Total 2 2 5 10 2 2" xfId="49871"/>
    <cellStyle name="Total 2 2 5 10 2 3" xfId="49872"/>
    <cellStyle name="Total 2 2 5 10 3" xfId="49873"/>
    <cellStyle name="Total 2 2 5 10 3 2" xfId="49874"/>
    <cellStyle name="Total 2 2 5 10 3 3" xfId="49875"/>
    <cellStyle name="Total 2 2 5 10 4" xfId="49876"/>
    <cellStyle name="Total 2 2 5 10 5" xfId="49877"/>
    <cellStyle name="Total 2 2 5 11" xfId="49878"/>
    <cellStyle name="Total 2 2 5 11 2" xfId="49879"/>
    <cellStyle name="Total 2 2 5 11 2 2" xfId="49880"/>
    <cellStyle name="Total 2 2 5 11 2 3" xfId="49881"/>
    <cellStyle name="Total 2 2 5 11 3" xfId="49882"/>
    <cellStyle name="Total 2 2 5 11 3 2" xfId="49883"/>
    <cellStyle name="Total 2 2 5 11 3 3" xfId="49884"/>
    <cellStyle name="Total 2 2 5 11 4" xfId="49885"/>
    <cellStyle name="Total 2 2 5 11 5" xfId="49886"/>
    <cellStyle name="Total 2 2 5 12" xfId="49887"/>
    <cellStyle name="Total 2 2 5 12 2" xfId="49888"/>
    <cellStyle name="Total 2 2 5 12 2 2" xfId="49889"/>
    <cellStyle name="Total 2 2 5 12 2 3" xfId="49890"/>
    <cellStyle name="Total 2 2 5 12 3" xfId="49891"/>
    <cellStyle name="Total 2 2 5 12 3 2" xfId="49892"/>
    <cellStyle name="Total 2 2 5 12 3 3" xfId="49893"/>
    <cellStyle name="Total 2 2 5 12 4" xfId="49894"/>
    <cellStyle name="Total 2 2 5 12 5" xfId="49895"/>
    <cellStyle name="Total 2 2 5 13" xfId="49896"/>
    <cellStyle name="Total 2 2 5 13 2" xfId="49897"/>
    <cellStyle name="Total 2 2 5 13 2 2" xfId="49898"/>
    <cellStyle name="Total 2 2 5 13 2 3" xfId="49899"/>
    <cellStyle name="Total 2 2 5 13 3" xfId="49900"/>
    <cellStyle name="Total 2 2 5 13 3 2" xfId="49901"/>
    <cellStyle name="Total 2 2 5 13 3 3" xfId="49902"/>
    <cellStyle name="Total 2 2 5 13 4" xfId="49903"/>
    <cellStyle name="Total 2 2 5 13 5" xfId="49904"/>
    <cellStyle name="Total 2 2 5 14" xfId="49905"/>
    <cellStyle name="Total 2 2 5 14 2" xfId="49906"/>
    <cellStyle name="Total 2 2 5 14 2 2" xfId="49907"/>
    <cellStyle name="Total 2 2 5 14 2 3" xfId="49908"/>
    <cellStyle name="Total 2 2 5 14 3" xfId="49909"/>
    <cellStyle name="Total 2 2 5 14 3 2" xfId="49910"/>
    <cellStyle name="Total 2 2 5 14 3 3" xfId="49911"/>
    <cellStyle name="Total 2 2 5 14 4" xfId="49912"/>
    <cellStyle name="Total 2 2 5 14 5" xfId="49913"/>
    <cellStyle name="Total 2 2 5 15" xfId="49914"/>
    <cellStyle name="Total 2 2 5 15 2" xfId="49915"/>
    <cellStyle name="Total 2 2 5 15 2 2" xfId="49916"/>
    <cellStyle name="Total 2 2 5 15 2 3" xfId="49917"/>
    <cellStyle name="Total 2 2 5 15 3" xfId="49918"/>
    <cellStyle name="Total 2 2 5 15 3 2" xfId="49919"/>
    <cellStyle name="Total 2 2 5 15 3 3" xfId="49920"/>
    <cellStyle name="Total 2 2 5 15 4" xfId="49921"/>
    <cellStyle name="Total 2 2 5 15 5" xfId="49922"/>
    <cellStyle name="Total 2 2 5 16" xfId="49923"/>
    <cellStyle name="Total 2 2 5 16 2" xfId="49924"/>
    <cellStyle name="Total 2 2 5 16 2 2" xfId="49925"/>
    <cellStyle name="Total 2 2 5 16 2 3" xfId="49926"/>
    <cellStyle name="Total 2 2 5 16 3" xfId="49927"/>
    <cellStyle name="Total 2 2 5 16 3 2" xfId="49928"/>
    <cellStyle name="Total 2 2 5 16 3 3" xfId="49929"/>
    <cellStyle name="Total 2 2 5 16 4" xfId="49930"/>
    <cellStyle name="Total 2 2 5 16 5" xfId="49931"/>
    <cellStyle name="Total 2 2 5 17" xfId="49932"/>
    <cellStyle name="Total 2 2 5 17 2" xfId="49933"/>
    <cellStyle name="Total 2 2 5 17 2 2" xfId="49934"/>
    <cellStyle name="Total 2 2 5 17 2 3" xfId="49935"/>
    <cellStyle name="Total 2 2 5 17 3" xfId="49936"/>
    <cellStyle name="Total 2 2 5 17 3 2" xfId="49937"/>
    <cellStyle name="Total 2 2 5 17 3 3" xfId="49938"/>
    <cellStyle name="Total 2 2 5 17 4" xfId="49939"/>
    <cellStyle name="Total 2 2 5 17 5" xfId="49940"/>
    <cellStyle name="Total 2 2 5 18" xfId="49941"/>
    <cellStyle name="Total 2 2 5 18 2" xfId="49942"/>
    <cellStyle name="Total 2 2 5 18 2 2" xfId="49943"/>
    <cellStyle name="Total 2 2 5 18 2 3" xfId="49944"/>
    <cellStyle name="Total 2 2 5 18 3" xfId="49945"/>
    <cellStyle name="Total 2 2 5 18 3 2" xfId="49946"/>
    <cellStyle name="Total 2 2 5 18 3 3" xfId="49947"/>
    <cellStyle name="Total 2 2 5 18 4" xfId="49948"/>
    <cellStyle name="Total 2 2 5 18 5" xfId="49949"/>
    <cellStyle name="Total 2 2 5 19" xfId="49950"/>
    <cellStyle name="Total 2 2 5 19 2" xfId="49951"/>
    <cellStyle name="Total 2 2 5 19 2 2" xfId="49952"/>
    <cellStyle name="Total 2 2 5 19 2 3" xfId="49953"/>
    <cellStyle name="Total 2 2 5 19 3" xfId="49954"/>
    <cellStyle name="Total 2 2 5 19 3 2" xfId="49955"/>
    <cellStyle name="Total 2 2 5 19 3 3" xfId="49956"/>
    <cellStyle name="Total 2 2 5 19 4" xfId="49957"/>
    <cellStyle name="Total 2 2 5 19 5" xfId="49958"/>
    <cellStyle name="Total 2 2 5 2" xfId="49959"/>
    <cellStyle name="Total 2 2 5 2 2" xfId="49960"/>
    <cellStyle name="Total 2 2 5 2 2 2" xfId="49961"/>
    <cellStyle name="Total 2 2 5 2 2 3" xfId="49962"/>
    <cellStyle name="Total 2 2 5 2 3" xfId="49963"/>
    <cellStyle name="Total 2 2 5 2 3 2" xfId="49964"/>
    <cellStyle name="Total 2 2 5 2 3 3" xfId="49965"/>
    <cellStyle name="Total 2 2 5 2 4" xfId="49966"/>
    <cellStyle name="Total 2 2 5 2 5" xfId="49967"/>
    <cellStyle name="Total 2 2 5 20" xfId="49968"/>
    <cellStyle name="Total 2 2 5 20 2" xfId="49969"/>
    <cellStyle name="Total 2 2 5 20 2 2" xfId="49970"/>
    <cellStyle name="Total 2 2 5 20 2 3" xfId="49971"/>
    <cellStyle name="Total 2 2 5 20 3" xfId="49972"/>
    <cellStyle name="Total 2 2 5 20 3 2" xfId="49973"/>
    <cellStyle name="Total 2 2 5 20 3 3" xfId="49974"/>
    <cellStyle name="Total 2 2 5 20 4" xfId="49975"/>
    <cellStyle name="Total 2 2 5 20 5" xfId="49976"/>
    <cellStyle name="Total 2 2 5 21" xfId="49977"/>
    <cellStyle name="Total 2 2 5 21 2" xfId="49978"/>
    <cellStyle name="Total 2 2 5 21 2 2" xfId="49979"/>
    <cellStyle name="Total 2 2 5 21 2 3" xfId="49980"/>
    <cellStyle name="Total 2 2 5 21 3" xfId="49981"/>
    <cellStyle name="Total 2 2 5 21 3 2" xfId="49982"/>
    <cellStyle name="Total 2 2 5 21 3 3" xfId="49983"/>
    <cellStyle name="Total 2 2 5 21 4" xfId="49984"/>
    <cellStyle name="Total 2 2 5 21 5" xfId="49985"/>
    <cellStyle name="Total 2 2 5 22" xfId="49986"/>
    <cellStyle name="Total 2 2 5 22 2" xfId="49987"/>
    <cellStyle name="Total 2 2 5 22 2 2" xfId="49988"/>
    <cellStyle name="Total 2 2 5 22 2 3" xfId="49989"/>
    <cellStyle name="Total 2 2 5 22 3" xfId="49990"/>
    <cellStyle name="Total 2 2 5 22 3 2" xfId="49991"/>
    <cellStyle name="Total 2 2 5 22 3 3" xfId="49992"/>
    <cellStyle name="Total 2 2 5 22 4" xfId="49993"/>
    <cellStyle name="Total 2 2 5 22 5" xfId="49994"/>
    <cellStyle name="Total 2 2 5 23" xfId="49995"/>
    <cellStyle name="Total 2 2 5 23 2" xfId="49996"/>
    <cellStyle name="Total 2 2 5 23 2 2" xfId="49997"/>
    <cellStyle name="Total 2 2 5 23 2 3" xfId="49998"/>
    <cellStyle name="Total 2 2 5 23 3" xfId="49999"/>
    <cellStyle name="Total 2 2 5 23 3 2" xfId="50000"/>
    <cellStyle name="Total 2 2 5 23 3 3" xfId="50001"/>
    <cellStyle name="Total 2 2 5 23 4" xfId="50002"/>
    <cellStyle name="Total 2 2 5 23 5" xfId="50003"/>
    <cellStyle name="Total 2 2 5 24" xfId="50004"/>
    <cellStyle name="Total 2 2 5 24 2" xfId="50005"/>
    <cellStyle name="Total 2 2 5 24 2 2" xfId="50006"/>
    <cellStyle name="Total 2 2 5 24 2 3" xfId="50007"/>
    <cellStyle name="Total 2 2 5 24 3" xfId="50008"/>
    <cellStyle name="Total 2 2 5 24 3 2" xfId="50009"/>
    <cellStyle name="Total 2 2 5 24 3 3" xfId="50010"/>
    <cellStyle name="Total 2 2 5 24 4" xfId="50011"/>
    <cellStyle name="Total 2 2 5 24 5" xfId="50012"/>
    <cellStyle name="Total 2 2 5 25" xfId="50013"/>
    <cellStyle name="Total 2 2 5 25 2" xfId="50014"/>
    <cellStyle name="Total 2 2 5 25 2 2" xfId="50015"/>
    <cellStyle name="Total 2 2 5 25 2 3" xfId="50016"/>
    <cellStyle name="Total 2 2 5 25 3" xfId="50017"/>
    <cellStyle name="Total 2 2 5 25 3 2" xfId="50018"/>
    <cellStyle name="Total 2 2 5 25 3 3" xfId="50019"/>
    <cellStyle name="Total 2 2 5 25 4" xfId="50020"/>
    <cellStyle name="Total 2 2 5 25 5" xfId="50021"/>
    <cellStyle name="Total 2 2 5 26" xfId="50022"/>
    <cellStyle name="Total 2 2 5 26 2" xfId="50023"/>
    <cellStyle name="Total 2 2 5 26 2 2" xfId="50024"/>
    <cellStyle name="Total 2 2 5 26 2 3" xfId="50025"/>
    <cellStyle name="Total 2 2 5 26 3" xfId="50026"/>
    <cellStyle name="Total 2 2 5 26 3 2" xfId="50027"/>
    <cellStyle name="Total 2 2 5 26 3 3" xfId="50028"/>
    <cellStyle name="Total 2 2 5 26 4" xfId="50029"/>
    <cellStyle name="Total 2 2 5 26 5" xfId="50030"/>
    <cellStyle name="Total 2 2 5 27" xfId="50031"/>
    <cellStyle name="Total 2 2 5 27 2" xfId="50032"/>
    <cellStyle name="Total 2 2 5 27 2 2" xfId="50033"/>
    <cellStyle name="Total 2 2 5 27 2 3" xfId="50034"/>
    <cellStyle name="Total 2 2 5 27 3" xfId="50035"/>
    <cellStyle name="Total 2 2 5 27 3 2" xfId="50036"/>
    <cellStyle name="Total 2 2 5 27 3 3" xfId="50037"/>
    <cellStyle name="Total 2 2 5 27 4" xfId="50038"/>
    <cellStyle name="Total 2 2 5 27 5" xfId="50039"/>
    <cellStyle name="Total 2 2 5 28" xfId="50040"/>
    <cellStyle name="Total 2 2 5 28 2" xfId="50041"/>
    <cellStyle name="Total 2 2 5 28 2 2" xfId="50042"/>
    <cellStyle name="Total 2 2 5 28 2 3" xfId="50043"/>
    <cellStyle name="Total 2 2 5 28 3" xfId="50044"/>
    <cellStyle name="Total 2 2 5 28 3 2" xfId="50045"/>
    <cellStyle name="Total 2 2 5 28 3 3" xfId="50046"/>
    <cellStyle name="Total 2 2 5 28 4" xfId="50047"/>
    <cellStyle name="Total 2 2 5 28 5" xfId="50048"/>
    <cellStyle name="Total 2 2 5 29" xfId="50049"/>
    <cellStyle name="Total 2 2 5 29 2" xfId="50050"/>
    <cellStyle name="Total 2 2 5 29 2 2" xfId="50051"/>
    <cellStyle name="Total 2 2 5 29 2 3" xfId="50052"/>
    <cellStyle name="Total 2 2 5 29 3" xfId="50053"/>
    <cellStyle name="Total 2 2 5 29 3 2" xfId="50054"/>
    <cellStyle name="Total 2 2 5 29 3 3" xfId="50055"/>
    <cellStyle name="Total 2 2 5 29 4" xfId="50056"/>
    <cellStyle name="Total 2 2 5 29 5" xfId="50057"/>
    <cellStyle name="Total 2 2 5 3" xfId="50058"/>
    <cellStyle name="Total 2 2 5 3 2" xfId="50059"/>
    <cellStyle name="Total 2 2 5 3 2 2" xfId="50060"/>
    <cellStyle name="Total 2 2 5 3 2 3" xfId="50061"/>
    <cellStyle name="Total 2 2 5 3 3" xfId="50062"/>
    <cellStyle name="Total 2 2 5 3 3 2" xfId="50063"/>
    <cellStyle name="Total 2 2 5 3 3 3" xfId="50064"/>
    <cellStyle name="Total 2 2 5 3 4" xfId="50065"/>
    <cellStyle name="Total 2 2 5 3 5" xfId="50066"/>
    <cellStyle name="Total 2 2 5 30" xfId="50067"/>
    <cellStyle name="Total 2 2 5 30 2" xfId="50068"/>
    <cellStyle name="Total 2 2 5 30 2 2" xfId="50069"/>
    <cellStyle name="Total 2 2 5 30 2 3" xfId="50070"/>
    <cellStyle name="Total 2 2 5 30 3" xfId="50071"/>
    <cellStyle name="Total 2 2 5 30 3 2" xfId="50072"/>
    <cellStyle name="Total 2 2 5 30 3 3" xfId="50073"/>
    <cellStyle name="Total 2 2 5 30 4" xfId="50074"/>
    <cellStyle name="Total 2 2 5 30 5" xfId="50075"/>
    <cellStyle name="Total 2 2 5 31" xfId="50076"/>
    <cellStyle name="Total 2 2 5 31 2" xfId="50077"/>
    <cellStyle name="Total 2 2 5 31 2 2" xfId="50078"/>
    <cellStyle name="Total 2 2 5 31 2 3" xfId="50079"/>
    <cellStyle name="Total 2 2 5 31 3" xfId="50080"/>
    <cellStyle name="Total 2 2 5 31 3 2" xfId="50081"/>
    <cellStyle name="Total 2 2 5 31 3 3" xfId="50082"/>
    <cellStyle name="Total 2 2 5 31 4" xfId="50083"/>
    <cellStyle name="Total 2 2 5 31 5" xfId="50084"/>
    <cellStyle name="Total 2 2 5 32" xfId="50085"/>
    <cellStyle name="Total 2 2 5 32 2" xfId="50086"/>
    <cellStyle name="Total 2 2 5 32 2 2" xfId="50087"/>
    <cellStyle name="Total 2 2 5 32 2 3" xfId="50088"/>
    <cellStyle name="Total 2 2 5 32 3" xfId="50089"/>
    <cellStyle name="Total 2 2 5 32 3 2" xfId="50090"/>
    <cellStyle name="Total 2 2 5 32 3 3" xfId="50091"/>
    <cellStyle name="Total 2 2 5 32 4" xfId="50092"/>
    <cellStyle name="Total 2 2 5 32 5" xfId="50093"/>
    <cellStyle name="Total 2 2 5 33" xfId="50094"/>
    <cellStyle name="Total 2 2 5 33 2" xfId="50095"/>
    <cellStyle name="Total 2 2 5 33 2 2" xfId="50096"/>
    <cellStyle name="Total 2 2 5 33 2 3" xfId="50097"/>
    <cellStyle name="Total 2 2 5 33 3" xfId="50098"/>
    <cellStyle name="Total 2 2 5 33 3 2" xfId="50099"/>
    <cellStyle name="Total 2 2 5 33 3 3" xfId="50100"/>
    <cellStyle name="Total 2 2 5 33 4" xfId="50101"/>
    <cellStyle name="Total 2 2 5 33 5" xfId="50102"/>
    <cellStyle name="Total 2 2 5 34" xfId="50103"/>
    <cellStyle name="Total 2 2 5 34 2" xfId="50104"/>
    <cellStyle name="Total 2 2 5 34 2 2" xfId="50105"/>
    <cellStyle name="Total 2 2 5 34 2 3" xfId="50106"/>
    <cellStyle name="Total 2 2 5 34 3" xfId="50107"/>
    <cellStyle name="Total 2 2 5 34 3 2" xfId="50108"/>
    <cellStyle name="Total 2 2 5 34 3 3" xfId="50109"/>
    <cellStyle name="Total 2 2 5 34 4" xfId="50110"/>
    <cellStyle name="Total 2 2 5 34 5" xfId="50111"/>
    <cellStyle name="Total 2 2 5 35" xfId="50112"/>
    <cellStyle name="Total 2 2 5 35 2" xfId="50113"/>
    <cellStyle name="Total 2 2 5 35 2 2" xfId="50114"/>
    <cellStyle name="Total 2 2 5 35 2 3" xfId="50115"/>
    <cellStyle name="Total 2 2 5 35 3" xfId="50116"/>
    <cellStyle name="Total 2 2 5 35 3 2" xfId="50117"/>
    <cellStyle name="Total 2 2 5 35 3 3" xfId="50118"/>
    <cellStyle name="Total 2 2 5 35 4" xfId="50119"/>
    <cellStyle name="Total 2 2 5 35 5" xfId="50120"/>
    <cellStyle name="Total 2 2 5 36" xfId="50121"/>
    <cellStyle name="Total 2 2 5 36 2" xfId="50122"/>
    <cellStyle name="Total 2 2 5 36 2 2" xfId="50123"/>
    <cellStyle name="Total 2 2 5 36 2 3" xfId="50124"/>
    <cellStyle name="Total 2 2 5 36 3" xfId="50125"/>
    <cellStyle name="Total 2 2 5 36 3 2" xfId="50126"/>
    <cellStyle name="Total 2 2 5 36 3 3" xfId="50127"/>
    <cellStyle name="Total 2 2 5 36 4" xfId="50128"/>
    <cellStyle name="Total 2 2 5 36 5" xfId="50129"/>
    <cellStyle name="Total 2 2 5 37" xfId="50130"/>
    <cellStyle name="Total 2 2 5 37 2" xfId="50131"/>
    <cellStyle name="Total 2 2 5 37 2 2" xfId="50132"/>
    <cellStyle name="Total 2 2 5 37 2 3" xfId="50133"/>
    <cellStyle name="Total 2 2 5 37 3" xfId="50134"/>
    <cellStyle name="Total 2 2 5 37 3 2" xfId="50135"/>
    <cellStyle name="Total 2 2 5 37 3 3" xfId="50136"/>
    <cellStyle name="Total 2 2 5 37 4" xfId="50137"/>
    <cellStyle name="Total 2 2 5 37 5" xfId="50138"/>
    <cellStyle name="Total 2 2 5 38" xfId="50139"/>
    <cellStyle name="Total 2 2 5 38 2" xfId="50140"/>
    <cellStyle name="Total 2 2 5 38 2 2" xfId="50141"/>
    <cellStyle name="Total 2 2 5 38 2 3" xfId="50142"/>
    <cellStyle name="Total 2 2 5 38 3" xfId="50143"/>
    <cellStyle name="Total 2 2 5 38 3 2" xfId="50144"/>
    <cellStyle name="Total 2 2 5 38 3 3" xfId="50145"/>
    <cellStyle name="Total 2 2 5 38 4" xfId="50146"/>
    <cellStyle name="Total 2 2 5 38 5" xfId="50147"/>
    <cellStyle name="Total 2 2 5 39" xfId="50148"/>
    <cellStyle name="Total 2 2 5 39 2" xfId="50149"/>
    <cellStyle name="Total 2 2 5 39 2 2" xfId="50150"/>
    <cellStyle name="Total 2 2 5 39 2 3" xfId="50151"/>
    <cellStyle name="Total 2 2 5 39 3" xfId="50152"/>
    <cellStyle name="Total 2 2 5 39 4" xfId="50153"/>
    <cellStyle name="Total 2 2 5 4" xfId="50154"/>
    <cellStyle name="Total 2 2 5 4 2" xfId="50155"/>
    <cellStyle name="Total 2 2 5 4 2 2" xfId="50156"/>
    <cellStyle name="Total 2 2 5 4 2 3" xfId="50157"/>
    <cellStyle name="Total 2 2 5 4 3" xfId="50158"/>
    <cellStyle name="Total 2 2 5 4 3 2" xfId="50159"/>
    <cellStyle name="Total 2 2 5 4 3 3" xfId="50160"/>
    <cellStyle name="Total 2 2 5 4 4" xfId="50161"/>
    <cellStyle name="Total 2 2 5 4 5" xfId="50162"/>
    <cellStyle name="Total 2 2 5 40" xfId="50163"/>
    <cellStyle name="Total 2 2 5 40 2" xfId="50164"/>
    <cellStyle name="Total 2 2 5 40 3" xfId="50165"/>
    <cellStyle name="Total 2 2 5 41" xfId="50166"/>
    <cellStyle name="Total 2 2 5 41 2" xfId="50167"/>
    <cellStyle name="Total 2 2 5 41 3" xfId="50168"/>
    <cellStyle name="Total 2 2 5 42" xfId="50169"/>
    <cellStyle name="Total 2 2 5 43" xfId="50170"/>
    <cellStyle name="Total 2 2 5 5" xfId="50171"/>
    <cellStyle name="Total 2 2 5 5 2" xfId="50172"/>
    <cellStyle name="Total 2 2 5 5 2 2" xfId="50173"/>
    <cellStyle name="Total 2 2 5 5 2 3" xfId="50174"/>
    <cellStyle name="Total 2 2 5 5 3" xfId="50175"/>
    <cellStyle name="Total 2 2 5 5 3 2" xfId="50176"/>
    <cellStyle name="Total 2 2 5 5 3 3" xfId="50177"/>
    <cellStyle name="Total 2 2 5 5 4" xfId="50178"/>
    <cellStyle name="Total 2 2 5 5 5" xfId="50179"/>
    <cellStyle name="Total 2 2 5 6" xfId="50180"/>
    <cellStyle name="Total 2 2 5 6 2" xfId="50181"/>
    <cellStyle name="Total 2 2 5 6 2 2" xfId="50182"/>
    <cellStyle name="Total 2 2 5 6 2 3" xfId="50183"/>
    <cellStyle name="Total 2 2 5 6 3" xfId="50184"/>
    <cellStyle name="Total 2 2 5 6 3 2" xfId="50185"/>
    <cellStyle name="Total 2 2 5 6 3 3" xfId="50186"/>
    <cellStyle name="Total 2 2 5 6 4" xfId="50187"/>
    <cellStyle name="Total 2 2 5 6 5" xfId="50188"/>
    <cellStyle name="Total 2 2 5 7" xfId="50189"/>
    <cellStyle name="Total 2 2 5 7 2" xfId="50190"/>
    <cellStyle name="Total 2 2 5 7 2 2" xfId="50191"/>
    <cellStyle name="Total 2 2 5 7 2 3" xfId="50192"/>
    <cellStyle name="Total 2 2 5 7 3" xfId="50193"/>
    <cellStyle name="Total 2 2 5 7 3 2" xfId="50194"/>
    <cellStyle name="Total 2 2 5 7 3 3" xfId="50195"/>
    <cellStyle name="Total 2 2 5 7 4" xfId="50196"/>
    <cellStyle name="Total 2 2 5 7 5" xfId="50197"/>
    <cellStyle name="Total 2 2 5 8" xfId="50198"/>
    <cellStyle name="Total 2 2 5 8 2" xfId="50199"/>
    <cellStyle name="Total 2 2 5 8 2 2" xfId="50200"/>
    <cellStyle name="Total 2 2 5 8 2 3" xfId="50201"/>
    <cellStyle name="Total 2 2 5 8 3" xfId="50202"/>
    <cellStyle name="Total 2 2 5 8 3 2" xfId="50203"/>
    <cellStyle name="Total 2 2 5 8 3 3" xfId="50204"/>
    <cellStyle name="Total 2 2 5 8 4" xfId="50205"/>
    <cellStyle name="Total 2 2 5 8 5" xfId="50206"/>
    <cellStyle name="Total 2 2 5 9" xfId="50207"/>
    <cellStyle name="Total 2 2 5 9 2" xfId="50208"/>
    <cellStyle name="Total 2 2 5 9 2 2" xfId="50209"/>
    <cellStyle name="Total 2 2 5 9 2 3" xfId="50210"/>
    <cellStyle name="Total 2 2 5 9 3" xfId="50211"/>
    <cellStyle name="Total 2 2 5 9 3 2" xfId="50212"/>
    <cellStyle name="Total 2 2 5 9 3 3" xfId="50213"/>
    <cellStyle name="Total 2 2 5 9 4" xfId="50214"/>
    <cellStyle name="Total 2 2 5 9 5" xfId="50215"/>
    <cellStyle name="Total 2 2 6" xfId="50216"/>
    <cellStyle name="Total 2 2 6 10" xfId="50217"/>
    <cellStyle name="Total 2 2 6 10 2" xfId="50218"/>
    <cellStyle name="Total 2 2 6 10 2 2" xfId="50219"/>
    <cellStyle name="Total 2 2 6 10 2 3" xfId="50220"/>
    <cellStyle name="Total 2 2 6 10 3" xfId="50221"/>
    <cellStyle name="Total 2 2 6 10 3 2" xfId="50222"/>
    <cellStyle name="Total 2 2 6 10 3 3" xfId="50223"/>
    <cellStyle name="Total 2 2 6 10 4" xfId="50224"/>
    <cellStyle name="Total 2 2 6 10 5" xfId="50225"/>
    <cellStyle name="Total 2 2 6 11" xfId="50226"/>
    <cellStyle name="Total 2 2 6 11 2" xfId="50227"/>
    <cellStyle name="Total 2 2 6 11 2 2" xfId="50228"/>
    <cellStyle name="Total 2 2 6 11 2 3" xfId="50229"/>
    <cellStyle name="Total 2 2 6 11 3" xfId="50230"/>
    <cellStyle name="Total 2 2 6 11 3 2" xfId="50231"/>
    <cellStyle name="Total 2 2 6 11 3 3" xfId="50232"/>
    <cellStyle name="Total 2 2 6 11 4" xfId="50233"/>
    <cellStyle name="Total 2 2 6 11 5" xfId="50234"/>
    <cellStyle name="Total 2 2 6 12" xfId="50235"/>
    <cellStyle name="Total 2 2 6 12 2" xfId="50236"/>
    <cellStyle name="Total 2 2 6 12 2 2" xfId="50237"/>
    <cellStyle name="Total 2 2 6 12 2 3" xfId="50238"/>
    <cellStyle name="Total 2 2 6 12 3" xfId="50239"/>
    <cellStyle name="Total 2 2 6 12 3 2" xfId="50240"/>
    <cellStyle name="Total 2 2 6 12 3 3" xfId="50241"/>
    <cellStyle name="Total 2 2 6 12 4" xfId="50242"/>
    <cellStyle name="Total 2 2 6 12 5" xfId="50243"/>
    <cellStyle name="Total 2 2 6 13" xfId="50244"/>
    <cellStyle name="Total 2 2 6 13 2" xfId="50245"/>
    <cellStyle name="Total 2 2 6 13 2 2" xfId="50246"/>
    <cellStyle name="Total 2 2 6 13 2 3" xfId="50247"/>
    <cellStyle name="Total 2 2 6 13 3" xfId="50248"/>
    <cellStyle name="Total 2 2 6 13 3 2" xfId="50249"/>
    <cellStyle name="Total 2 2 6 13 3 3" xfId="50250"/>
    <cellStyle name="Total 2 2 6 13 4" xfId="50251"/>
    <cellStyle name="Total 2 2 6 13 5" xfId="50252"/>
    <cellStyle name="Total 2 2 6 14" xfId="50253"/>
    <cellStyle name="Total 2 2 6 14 2" xfId="50254"/>
    <cellStyle name="Total 2 2 6 14 2 2" xfId="50255"/>
    <cellStyle name="Total 2 2 6 14 2 3" xfId="50256"/>
    <cellStyle name="Total 2 2 6 14 3" xfId="50257"/>
    <cellStyle name="Total 2 2 6 14 3 2" xfId="50258"/>
    <cellStyle name="Total 2 2 6 14 3 3" xfId="50259"/>
    <cellStyle name="Total 2 2 6 14 4" xfId="50260"/>
    <cellStyle name="Total 2 2 6 14 5" xfId="50261"/>
    <cellStyle name="Total 2 2 6 15" xfId="50262"/>
    <cellStyle name="Total 2 2 6 15 2" xfId="50263"/>
    <cellStyle name="Total 2 2 6 15 2 2" xfId="50264"/>
    <cellStyle name="Total 2 2 6 15 2 3" xfId="50265"/>
    <cellStyle name="Total 2 2 6 15 3" xfId="50266"/>
    <cellStyle name="Total 2 2 6 15 3 2" xfId="50267"/>
    <cellStyle name="Total 2 2 6 15 3 3" xfId="50268"/>
    <cellStyle name="Total 2 2 6 15 4" xfId="50269"/>
    <cellStyle name="Total 2 2 6 15 5" xfId="50270"/>
    <cellStyle name="Total 2 2 6 16" xfId="50271"/>
    <cellStyle name="Total 2 2 6 16 2" xfId="50272"/>
    <cellStyle name="Total 2 2 6 16 2 2" xfId="50273"/>
    <cellStyle name="Total 2 2 6 16 2 3" xfId="50274"/>
    <cellStyle name="Total 2 2 6 16 3" xfId="50275"/>
    <cellStyle name="Total 2 2 6 16 3 2" xfId="50276"/>
    <cellStyle name="Total 2 2 6 16 3 3" xfId="50277"/>
    <cellStyle name="Total 2 2 6 16 4" xfId="50278"/>
    <cellStyle name="Total 2 2 6 16 5" xfId="50279"/>
    <cellStyle name="Total 2 2 6 17" xfId="50280"/>
    <cellStyle name="Total 2 2 6 17 2" xfId="50281"/>
    <cellStyle name="Total 2 2 6 17 2 2" xfId="50282"/>
    <cellStyle name="Total 2 2 6 17 2 3" xfId="50283"/>
    <cellStyle name="Total 2 2 6 17 3" xfId="50284"/>
    <cellStyle name="Total 2 2 6 17 3 2" xfId="50285"/>
    <cellStyle name="Total 2 2 6 17 3 3" xfId="50286"/>
    <cellStyle name="Total 2 2 6 17 4" xfId="50287"/>
    <cellStyle name="Total 2 2 6 17 5" xfId="50288"/>
    <cellStyle name="Total 2 2 6 18" xfId="50289"/>
    <cellStyle name="Total 2 2 6 18 2" xfId="50290"/>
    <cellStyle name="Total 2 2 6 18 2 2" xfId="50291"/>
    <cellStyle name="Total 2 2 6 18 2 3" xfId="50292"/>
    <cellStyle name="Total 2 2 6 18 3" xfId="50293"/>
    <cellStyle name="Total 2 2 6 18 3 2" xfId="50294"/>
    <cellStyle name="Total 2 2 6 18 3 3" xfId="50295"/>
    <cellStyle name="Total 2 2 6 18 4" xfId="50296"/>
    <cellStyle name="Total 2 2 6 18 5" xfId="50297"/>
    <cellStyle name="Total 2 2 6 19" xfId="50298"/>
    <cellStyle name="Total 2 2 6 19 2" xfId="50299"/>
    <cellStyle name="Total 2 2 6 19 2 2" xfId="50300"/>
    <cellStyle name="Total 2 2 6 19 2 3" xfId="50301"/>
    <cellStyle name="Total 2 2 6 19 3" xfId="50302"/>
    <cellStyle name="Total 2 2 6 19 3 2" xfId="50303"/>
    <cellStyle name="Total 2 2 6 19 3 3" xfId="50304"/>
    <cellStyle name="Total 2 2 6 19 4" xfId="50305"/>
    <cellStyle name="Total 2 2 6 19 5" xfId="50306"/>
    <cellStyle name="Total 2 2 6 2" xfId="50307"/>
    <cellStyle name="Total 2 2 6 2 2" xfId="50308"/>
    <cellStyle name="Total 2 2 6 2 2 2" xfId="50309"/>
    <cellStyle name="Total 2 2 6 2 2 3" xfId="50310"/>
    <cellStyle name="Total 2 2 6 2 3" xfId="50311"/>
    <cellStyle name="Total 2 2 6 2 3 2" xfId="50312"/>
    <cellStyle name="Total 2 2 6 2 3 3" xfId="50313"/>
    <cellStyle name="Total 2 2 6 2 4" xfId="50314"/>
    <cellStyle name="Total 2 2 6 2 5" xfId="50315"/>
    <cellStyle name="Total 2 2 6 20" xfId="50316"/>
    <cellStyle name="Total 2 2 6 20 2" xfId="50317"/>
    <cellStyle name="Total 2 2 6 20 2 2" xfId="50318"/>
    <cellStyle name="Total 2 2 6 20 2 3" xfId="50319"/>
    <cellStyle name="Total 2 2 6 20 3" xfId="50320"/>
    <cellStyle name="Total 2 2 6 20 3 2" xfId="50321"/>
    <cellStyle name="Total 2 2 6 20 3 3" xfId="50322"/>
    <cellStyle name="Total 2 2 6 20 4" xfId="50323"/>
    <cellStyle name="Total 2 2 6 20 5" xfId="50324"/>
    <cellStyle name="Total 2 2 6 21" xfId="50325"/>
    <cellStyle name="Total 2 2 6 21 2" xfId="50326"/>
    <cellStyle name="Total 2 2 6 21 2 2" xfId="50327"/>
    <cellStyle name="Total 2 2 6 21 2 3" xfId="50328"/>
    <cellStyle name="Total 2 2 6 21 3" xfId="50329"/>
    <cellStyle name="Total 2 2 6 21 3 2" xfId="50330"/>
    <cellStyle name="Total 2 2 6 21 3 3" xfId="50331"/>
    <cellStyle name="Total 2 2 6 21 4" xfId="50332"/>
    <cellStyle name="Total 2 2 6 21 5" xfId="50333"/>
    <cellStyle name="Total 2 2 6 22" xfId="50334"/>
    <cellStyle name="Total 2 2 6 22 2" xfId="50335"/>
    <cellStyle name="Total 2 2 6 22 2 2" xfId="50336"/>
    <cellStyle name="Total 2 2 6 22 2 3" xfId="50337"/>
    <cellStyle name="Total 2 2 6 22 3" xfId="50338"/>
    <cellStyle name="Total 2 2 6 22 3 2" xfId="50339"/>
    <cellStyle name="Total 2 2 6 22 3 3" xfId="50340"/>
    <cellStyle name="Total 2 2 6 22 4" xfId="50341"/>
    <cellStyle name="Total 2 2 6 22 5" xfId="50342"/>
    <cellStyle name="Total 2 2 6 23" xfId="50343"/>
    <cellStyle name="Total 2 2 6 23 2" xfId="50344"/>
    <cellStyle name="Total 2 2 6 23 2 2" xfId="50345"/>
    <cellStyle name="Total 2 2 6 23 2 3" xfId="50346"/>
    <cellStyle name="Total 2 2 6 23 3" xfId="50347"/>
    <cellStyle name="Total 2 2 6 23 3 2" xfId="50348"/>
    <cellStyle name="Total 2 2 6 23 3 3" xfId="50349"/>
    <cellStyle name="Total 2 2 6 23 4" xfId="50350"/>
    <cellStyle name="Total 2 2 6 23 5" xfId="50351"/>
    <cellStyle name="Total 2 2 6 24" xfId="50352"/>
    <cellStyle name="Total 2 2 6 24 2" xfId="50353"/>
    <cellStyle name="Total 2 2 6 24 2 2" xfId="50354"/>
    <cellStyle name="Total 2 2 6 24 2 3" xfId="50355"/>
    <cellStyle name="Total 2 2 6 24 3" xfId="50356"/>
    <cellStyle name="Total 2 2 6 24 3 2" xfId="50357"/>
    <cellStyle name="Total 2 2 6 24 3 3" xfId="50358"/>
    <cellStyle name="Total 2 2 6 24 4" xfId="50359"/>
    <cellStyle name="Total 2 2 6 24 5" xfId="50360"/>
    <cellStyle name="Total 2 2 6 25" xfId="50361"/>
    <cellStyle name="Total 2 2 6 25 2" xfId="50362"/>
    <cellStyle name="Total 2 2 6 25 2 2" xfId="50363"/>
    <cellStyle name="Total 2 2 6 25 2 3" xfId="50364"/>
    <cellStyle name="Total 2 2 6 25 3" xfId="50365"/>
    <cellStyle name="Total 2 2 6 25 3 2" xfId="50366"/>
    <cellStyle name="Total 2 2 6 25 3 3" xfId="50367"/>
    <cellStyle name="Total 2 2 6 25 4" xfId="50368"/>
    <cellStyle name="Total 2 2 6 25 5" xfId="50369"/>
    <cellStyle name="Total 2 2 6 26" xfId="50370"/>
    <cellStyle name="Total 2 2 6 26 2" xfId="50371"/>
    <cellStyle name="Total 2 2 6 26 2 2" xfId="50372"/>
    <cellStyle name="Total 2 2 6 26 2 3" xfId="50373"/>
    <cellStyle name="Total 2 2 6 26 3" xfId="50374"/>
    <cellStyle name="Total 2 2 6 26 3 2" xfId="50375"/>
    <cellStyle name="Total 2 2 6 26 3 3" xfId="50376"/>
    <cellStyle name="Total 2 2 6 26 4" xfId="50377"/>
    <cellStyle name="Total 2 2 6 26 5" xfId="50378"/>
    <cellStyle name="Total 2 2 6 27" xfId="50379"/>
    <cellStyle name="Total 2 2 6 27 2" xfId="50380"/>
    <cellStyle name="Total 2 2 6 27 2 2" xfId="50381"/>
    <cellStyle name="Total 2 2 6 27 2 3" xfId="50382"/>
    <cellStyle name="Total 2 2 6 27 3" xfId="50383"/>
    <cellStyle name="Total 2 2 6 27 3 2" xfId="50384"/>
    <cellStyle name="Total 2 2 6 27 3 3" xfId="50385"/>
    <cellStyle name="Total 2 2 6 27 4" xfId="50386"/>
    <cellStyle name="Total 2 2 6 27 5" xfId="50387"/>
    <cellStyle name="Total 2 2 6 28" xfId="50388"/>
    <cellStyle name="Total 2 2 6 28 2" xfId="50389"/>
    <cellStyle name="Total 2 2 6 28 2 2" xfId="50390"/>
    <cellStyle name="Total 2 2 6 28 2 3" xfId="50391"/>
    <cellStyle name="Total 2 2 6 28 3" xfId="50392"/>
    <cellStyle name="Total 2 2 6 28 3 2" xfId="50393"/>
    <cellStyle name="Total 2 2 6 28 3 3" xfId="50394"/>
    <cellStyle name="Total 2 2 6 28 4" xfId="50395"/>
    <cellStyle name="Total 2 2 6 28 5" xfId="50396"/>
    <cellStyle name="Total 2 2 6 29" xfId="50397"/>
    <cellStyle name="Total 2 2 6 29 2" xfId="50398"/>
    <cellStyle name="Total 2 2 6 29 2 2" xfId="50399"/>
    <cellStyle name="Total 2 2 6 29 2 3" xfId="50400"/>
    <cellStyle name="Total 2 2 6 29 3" xfId="50401"/>
    <cellStyle name="Total 2 2 6 29 3 2" xfId="50402"/>
    <cellStyle name="Total 2 2 6 29 3 3" xfId="50403"/>
    <cellStyle name="Total 2 2 6 29 4" xfId="50404"/>
    <cellStyle name="Total 2 2 6 29 5" xfId="50405"/>
    <cellStyle name="Total 2 2 6 3" xfId="50406"/>
    <cellStyle name="Total 2 2 6 3 2" xfId="50407"/>
    <cellStyle name="Total 2 2 6 3 2 2" xfId="50408"/>
    <cellStyle name="Total 2 2 6 3 2 3" xfId="50409"/>
    <cellStyle name="Total 2 2 6 3 3" xfId="50410"/>
    <cellStyle name="Total 2 2 6 3 3 2" xfId="50411"/>
    <cellStyle name="Total 2 2 6 3 3 3" xfId="50412"/>
    <cellStyle name="Total 2 2 6 3 4" xfId="50413"/>
    <cellStyle name="Total 2 2 6 3 5" xfId="50414"/>
    <cellStyle name="Total 2 2 6 30" xfId="50415"/>
    <cellStyle name="Total 2 2 6 30 2" xfId="50416"/>
    <cellStyle name="Total 2 2 6 30 2 2" xfId="50417"/>
    <cellStyle name="Total 2 2 6 30 2 3" xfId="50418"/>
    <cellStyle name="Total 2 2 6 30 3" xfId="50419"/>
    <cellStyle name="Total 2 2 6 30 3 2" xfId="50420"/>
    <cellStyle name="Total 2 2 6 30 3 3" xfId="50421"/>
    <cellStyle name="Total 2 2 6 30 4" xfId="50422"/>
    <cellStyle name="Total 2 2 6 30 5" xfId="50423"/>
    <cellStyle name="Total 2 2 6 31" xfId="50424"/>
    <cellStyle name="Total 2 2 6 31 2" xfId="50425"/>
    <cellStyle name="Total 2 2 6 31 2 2" xfId="50426"/>
    <cellStyle name="Total 2 2 6 31 2 3" xfId="50427"/>
    <cellStyle name="Total 2 2 6 31 3" xfId="50428"/>
    <cellStyle name="Total 2 2 6 31 3 2" xfId="50429"/>
    <cellStyle name="Total 2 2 6 31 3 3" xfId="50430"/>
    <cellStyle name="Total 2 2 6 31 4" xfId="50431"/>
    <cellStyle name="Total 2 2 6 31 5" xfId="50432"/>
    <cellStyle name="Total 2 2 6 32" xfId="50433"/>
    <cellStyle name="Total 2 2 6 32 2" xfId="50434"/>
    <cellStyle name="Total 2 2 6 32 2 2" xfId="50435"/>
    <cellStyle name="Total 2 2 6 32 2 3" xfId="50436"/>
    <cellStyle name="Total 2 2 6 32 3" xfId="50437"/>
    <cellStyle name="Total 2 2 6 32 3 2" xfId="50438"/>
    <cellStyle name="Total 2 2 6 32 3 3" xfId="50439"/>
    <cellStyle name="Total 2 2 6 32 4" xfId="50440"/>
    <cellStyle name="Total 2 2 6 32 5" xfId="50441"/>
    <cellStyle name="Total 2 2 6 33" xfId="50442"/>
    <cellStyle name="Total 2 2 6 33 2" xfId="50443"/>
    <cellStyle name="Total 2 2 6 33 2 2" xfId="50444"/>
    <cellStyle name="Total 2 2 6 33 2 3" xfId="50445"/>
    <cellStyle name="Total 2 2 6 33 3" xfId="50446"/>
    <cellStyle name="Total 2 2 6 33 3 2" xfId="50447"/>
    <cellStyle name="Total 2 2 6 33 3 3" xfId="50448"/>
    <cellStyle name="Total 2 2 6 33 4" xfId="50449"/>
    <cellStyle name="Total 2 2 6 33 5" xfId="50450"/>
    <cellStyle name="Total 2 2 6 34" xfId="50451"/>
    <cellStyle name="Total 2 2 6 34 2" xfId="50452"/>
    <cellStyle name="Total 2 2 6 34 2 2" xfId="50453"/>
    <cellStyle name="Total 2 2 6 34 2 3" xfId="50454"/>
    <cellStyle name="Total 2 2 6 34 3" xfId="50455"/>
    <cellStyle name="Total 2 2 6 34 3 2" xfId="50456"/>
    <cellStyle name="Total 2 2 6 34 3 3" xfId="50457"/>
    <cellStyle name="Total 2 2 6 34 4" xfId="50458"/>
    <cellStyle name="Total 2 2 6 34 5" xfId="50459"/>
    <cellStyle name="Total 2 2 6 35" xfId="50460"/>
    <cellStyle name="Total 2 2 6 35 2" xfId="50461"/>
    <cellStyle name="Total 2 2 6 35 2 2" xfId="50462"/>
    <cellStyle name="Total 2 2 6 35 2 3" xfId="50463"/>
    <cellStyle name="Total 2 2 6 35 3" xfId="50464"/>
    <cellStyle name="Total 2 2 6 35 3 2" xfId="50465"/>
    <cellStyle name="Total 2 2 6 35 3 3" xfId="50466"/>
    <cellStyle name="Total 2 2 6 35 4" xfId="50467"/>
    <cellStyle name="Total 2 2 6 35 5" xfId="50468"/>
    <cellStyle name="Total 2 2 6 36" xfId="50469"/>
    <cellStyle name="Total 2 2 6 36 2" xfId="50470"/>
    <cellStyle name="Total 2 2 6 36 2 2" xfId="50471"/>
    <cellStyle name="Total 2 2 6 36 2 3" xfId="50472"/>
    <cellStyle name="Total 2 2 6 36 3" xfId="50473"/>
    <cellStyle name="Total 2 2 6 36 3 2" xfId="50474"/>
    <cellStyle name="Total 2 2 6 36 3 3" xfId="50475"/>
    <cellStyle name="Total 2 2 6 36 4" xfId="50476"/>
    <cellStyle name="Total 2 2 6 36 5" xfId="50477"/>
    <cellStyle name="Total 2 2 6 37" xfId="50478"/>
    <cellStyle name="Total 2 2 6 37 2" xfId="50479"/>
    <cellStyle name="Total 2 2 6 37 2 2" xfId="50480"/>
    <cellStyle name="Total 2 2 6 37 2 3" xfId="50481"/>
    <cellStyle name="Total 2 2 6 37 3" xfId="50482"/>
    <cellStyle name="Total 2 2 6 37 3 2" xfId="50483"/>
    <cellStyle name="Total 2 2 6 37 3 3" xfId="50484"/>
    <cellStyle name="Total 2 2 6 37 4" xfId="50485"/>
    <cellStyle name="Total 2 2 6 37 5" xfId="50486"/>
    <cellStyle name="Total 2 2 6 38" xfId="50487"/>
    <cellStyle name="Total 2 2 6 38 2" xfId="50488"/>
    <cellStyle name="Total 2 2 6 38 2 2" xfId="50489"/>
    <cellStyle name="Total 2 2 6 38 2 3" xfId="50490"/>
    <cellStyle name="Total 2 2 6 38 3" xfId="50491"/>
    <cellStyle name="Total 2 2 6 38 3 2" xfId="50492"/>
    <cellStyle name="Total 2 2 6 38 3 3" xfId="50493"/>
    <cellStyle name="Total 2 2 6 38 4" xfId="50494"/>
    <cellStyle name="Total 2 2 6 38 5" xfId="50495"/>
    <cellStyle name="Total 2 2 6 39" xfId="50496"/>
    <cellStyle name="Total 2 2 6 39 2" xfId="50497"/>
    <cellStyle name="Total 2 2 6 39 2 2" xfId="50498"/>
    <cellStyle name="Total 2 2 6 39 2 3" xfId="50499"/>
    <cellStyle name="Total 2 2 6 39 3" xfId="50500"/>
    <cellStyle name="Total 2 2 6 39 3 2" xfId="50501"/>
    <cellStyle name="Total 2 2 6 39 3 3" xfId="50502"/>
    <cellStyle name="Total 2 2 6 39 4" xfId="50503"/>
    <cellStyle name="Total 2 2 6 39 5" xfId="50504"/>
    <cellStyle name="Total 2 2 6 4" xfId="50505"/>
    <cellStyle name="Total 2 2 6 4 2" xfId="50506"/>
    <cellStyle name="Total 2 2 6 4 2 2" xfId="50507"/>
    <cellStyle name="Total 2 2 6 4 2 3" xfId="50508"/>
    <cellStyle name="Total 2 2 6 4 3" xfId="50509"/>
    <cellStyle name="Total 2 2 6 4 3 2" xfId="50510"/>
    <cellStyle name="Total 2 2 6 4 3 3" xfId="50511"/>
    <cellStyle name="Total 2 2 6 4 4" xfId="50512"/>
    <cellStyle name="Total 2 2 6 4 5" xfId="50513"/>
    <cellStyle name="Total 2 2 6 40" xfId="50514"/>
    <cellStyle name="Total 2 2 6 40 2" xfId="50515"/>
    <cellStyle name="Total 2 2 6 40 2 2" xfId="50516"/>
    <cellStyle name="Total 2 2 6 40 2 3" xfId="50517"/>
    <cellStyle name="Total 2 2 6 40 3" xfId="50518"/>
    <cellStyle name="Total 2 2 6 40 3 2" xfId="50519"/>
    <cellStyle name="Total 2 2 6 40 3 3" xfId="50520"/>
    <cellStyle name="Total 2 2 6 40 4" xfId="50521"/>
    <cellStyle name="Total 2 2 6 40 5" xfId="50522"/>
    <cellStyle name="Total 2 2 6 41" xfId="50523"/>
    <cellStyle name="Total 2 2 6 41 2" xfId="50524"/>
    <cellStyle name="Total 2 2 6 41 2 2" xfId="50525"/>
    <cellStyle name="Total 2 2 6 41 2 3" xfId="50526"/>
    <cellStyle name="Total 2 2 6 41 3" xfId="50527"/>
    <cellStyle name="Total 2 2 6 41 3 2" xfId="50528"/>
    <cellStyle name="Total 2 2 6 41 3 3" xfId="50529"/>
    <cellStyle name="Total 2 2 6 41 4" xfId="50530"/>
    <cellStyle name="Total 2 2 6 41 5" xfId="50531"/>
    <cellStyle name="Total 2 2 6 42" xfId="50532"/>
    <cellStyle name="Total 2 2 6 42 2" xfId="50533"/>
    <cellStyle name="Total 2 2 6 42 2 2" xfId="50534"/>
    <cellStyle name="Total 2 2 6 42 2 3" xfId="50535"/>
    <cellStyle name="Total 2 2 6 42 3" xfId="50536"/>
    <cellStyle name="Total 2 2 6 42 4" xfId="50537"/>
    <cellStyle name="Total 2 2 6 43" xfId="50538"/>
    <cellStyle name="Total 2 2 6 43 2" xfId="50539"/>
    <cellStyle name="Total 2 2 6 43 3" xfId="50540"/>
    <cellStyle name="Total 2 2 6 44" xfId="50541"/>
    <cellStyle name="Total 2 2 6 45" xfId="50542"/>
    <cellStyle name="Total 2 2 6 5" xfId="50543"/>
    <cellStyle name="Total 2 2 6 5 2" xfId="50544"/>
    <cellStyle name="Total 2 2 6 5 2 2" xfId="50545"/>
    <cellStyle name="Total 2 2 6 5 2 3" xfId="50546"/>
    <cellStyle name="Total 2 2 6 5 3" xfId="50547"/>
    <cellStyle name="Total 2 2 6 5 3 2" xfId="50548"/>
    <cellStyle name="Total 2 2 6 5 3 3" xfId="50549"/>
    <cellStyle name="Total 2 2 6 5 4" xfId="50550"/>
    <cellStyle name="Total 2 2 6 5 5" xfId="50551"/>
    <cellStyle name="Total 2 2 6 6" xfId="50552"/>
    <cellStyle name="Total 2 2 6 6 2" xfId="50553"/>
    <cellStyle name="Total 2 2 6 6 2 2" xfId="50554"/>
    <cellStyle name="Total 2 2 6 6 2 3" xfId="50555"/>
    <cellStyle name="Total 2 2 6 6 3" xfId="50556"/>
    <cellStyle name="Total 2 2 6 6 3 2" xfId="50557"/>
    <cellStyle name="Total 2 2 6 6 3 3" xfId="50558"/>
    <cellStyle name="Total 2 2 6 6 4" xfId="50559"/>
    <cellStyle name="Total 2 2 6 6 5" xfId="50560"/>
    <cellStyle name="Total 2 2 6 7" xfId="50561"/>
    <cellStyle name="Total 2 2 6 7 2" xfId="50562"/>
    <cellStyle name="Total 2 2 6 7 2 2" xfId="50563"/>
    <cellStyle name="Total 2 2 6 7 2 3" xfId="50564"/>
    <cellStyle name="Total 2 2 6 7 3" xfId="50565"/>
    <cellStyle name="Total 2 2 6 7 3 2" xfId="50566"/>
    <cellStyle name="Total 2 2 6 7 3 3" xfId="50567"/>
    <cellStyle name="Total 2 2 6 7 4" xfId="50568"/>
    <cellStyle name="Total 2 2 6 7 5" xfId="50569"/>
    <cellStyle name="Total 2 2 6 8" xfId="50570"/>
    <cellStyle name="Total 2 2 6 8 2" xfId="50571"/>
    <cellStyle name="Total 2 2 6 8 2 2" xfId="50572"/>
    <cellStyle name="Total 2 2 6 8 2 3" xfId="50573"/>
    <cellStyle name="Total 2 2 6 8 3" xfId="50574"/>
    <cellStyle name="Total 2 2 6 8 3 2" xfId="50575"/>
    <cellStyle name="Total 2 2 6 8 3 3" xfId="50576"/>
    <cellStyle name="Total 2 2 6 8 4" xfId="50577"/>
    <cellStyle name="Total 2 2 6 8 5" xfId="50578"/>
    <cellStyle name="Total 2 2 6 9" xfId="50579"/>
    <cellStyle name="Total 2 2 6 9 2" xfId="50580"/>
    <cellStyle name="Total 2 2 6 9 2 2" xfId="50581"/>
    <cellStyle name="Total 2 2 6 9 2 3" xfId="50582"/>
    <cellStyle name="Total 2 2 6 9 3" xfId="50583"/>
    <cellStyle name="Total 2 2 6 9 3 2" xfId="50584"/>
    <cellStyle name="Total 2 2 6 9 3 3" xfId="50585"/>
    <cellStyle name="Total 2 2 6 9 4" xfId="50586"/>
    <cellStyle name="Total 2 2 6 9 5" xfId="50587"/>
    <cellStyle name="Total 2 2 7" xfId="50588"/>
    <cellStyle name="Total 2 2 7 2" xfId="50589"/>
    <cellStyle name="Total 2 2 7 2 2" xfId="50590"/>
    <cellStyle name="Total 2 2 7 2 3" xfId="50591"/>
    <cellStyle name="Total 2 2 7 3" xfId="50592"/>
    <cellStyle name="Total 2 2 7 3 2" xfId="50593"/>
    <cellStyle name="Total 2 2 7 3 3" xfId="50594"/>
    <cellStyle name="Total 2 2 7 4" xfId="50595"/>
    <cellStyle name="Total 2 2 7 5" xfId="50596"/>
    <cellStyle name="Total 2 2 8" xfId="50597"/>
    <cellStyle name="Total 2 2 8 2" xfId="50598"/>
    <cellStyle name="Total 2 2 8 2 2" xfId="50599"/>
    <cellStyle name="Total 2 2 8 2 3" xfId="50600"/>
    <cellStyle name="Total 2 2 8 3" xfId="50601"/>
    <cellStyle name="Total 2 2 8 3 2" xfId="50602"/>
    <cellStyle name="Total 2 2 8 3 3" xfId="50603"/>
    <cellStyle name="Total 2 2 8 4" xfId="50604"/>
    <cellStyle name="Total 2 2 8 5" xfId="50605"/>
    <cellStyle name="Total 2 2 9" xfId="50606"/>
    <cellStyle name="Total 2 2 9 2" xfId="50607"/>
    <cellStyle name="Total 2 2 9 2 2" xfId="50608"/>
    <cellStyle name="Total 2 2 9 2 3" xfId="50609"/>
    <cellStyle name="Total 2 2 9 3" xfId="50610"/>
    <cellStyle name="Total 2 2 9 3 2" xfId="50611"/>
    <cellStyle name="Total 2 2 9 3 3" xfId="50612"/>
    <cellStyle name="Total 2 2 9 4" xfId="50613"/>
    <cellStyle name="Total 2 2 9 5" xfId="50614"/>
    <cellStyle name="Total 2 20" xfId="50615"/>
    <cellStyle name="Total 2 20 2" xfId="50616"/>
    <cellStyle name="Total 2 20 2 2" xfId="50617"/>
    <cellStyle name="Total 2 20 2 3" xfId="50618"/>
    <cellStyle name="Total 2 20 3" xfId="50619"/>
    <cellStyle name="Total 2 20 3 2" xfId="50620"/>
    <cellStyle name="Total 2 20 3 3" xfId="50621"/>
    <cellStyle name="Total 2 20 4" xfId="50622"/>
    <cellStyle name="Total 2 20 5" xfId="50623"/>
    <cellStyle name="Total 2 21" xfId="50624"/>
    <cellStyle name="Total 2 21 2" xfId="50625"/>
    <cellStyle name="Total 2 21 2 2" xfId="50626"/>
    <cellStyle name="Total 2 21 2 3" xfId="50627"/>
    <cellStyle name="Total 2 21 3" xfId="50628"/>
    <cellStyle name="Total 2 21 3 2" xfId="50629"/>
    <cellStyle name="Total 2 21 3 3" xfId="50630"/>
    <cellStyle name="Total 2 21 4" xfId="50631"/>
    <cellStyle name="Total 2 21 5" xfId="50632"/>
    <cellStyle name="Total 2 22" xfId="50633"/>
    <cellStyle name="Total 2 22 2" xfId="50634"/>
    <cellStyle name="Total 2 22 2 2" xfId="50635"/>
    <cellStyle name="Total 2 22 2 3" xfId="50636"/>
    <cellStyle name="Total 2 22 3" xfId="50637"/>
    <cellStyle name="Total 2 22 3 2" xfId="50638"/>
    <cellStyle name="Total 2 22 3 3" xfId="50639"/>
    <cellStyle name="Total 2 22 4" xfId="50640"/>
    <cellStyle name="Total 2 22 5" xfId="50641"/>
    <cellStyle name="Total 2 23" xfId="50642"/>
    <cellStyle name="Total 2 23 2" xfId="50643"/>
    <cellStyle name="Total 2 23 2 2" xfId="50644"/>
    <cellStyle name="Total 2 23 2 3" xfId="50645"/>
    <cellStyle name="Total 2 23 3" xfId="50646"/>
    <cellStyle name="Total 2 23 3 2" xfId="50647"/>
    <cellStyle name="Total 2 23 3 3" xfId="50648"/>
    <cellStyle name="Total 2 23 4" xfId="50649"/>
    <cellStyle name="Total 2 23 5" xfId="50650"/>
    <cellStyle name="Total 2 24" xfId="50651"/>
    <cellStyle name="Total 2 24 2" xfId="50652"/>
    <cellStyle name="Total 2 24 2 2" xfId="50653"/>
    <cellStyle name="Total 2 24 2 3" xfId="50654"/>
    <cellStyle name="Total 2 24 3" xfId="50655"/>
    <cellStyle name="Total 2 24 3 2" xfId="50656"/>
    <cellStyle name="Total 2 24 3 3" xfId="50657"/>
    <cellStyle name="Total 2 24 4" xfId="50658"/>
    <cellStyle name="Total 2 24 5" xfId="50659"/>
    <cellStyle name="Total 2 25" xfId="50660"/>
    <cellStyle name="Total 2 25 2" xfId="50661"/>
    <cellStyle name="Total 2 25 2 2" xfId="50662"/>
    <cellStyle name="Total 2 25 2 3" xfId="50663"/>
    <cellStyle name="Total 2 25 3" xfId="50664"/>
    <cellStyle name="Total 2 25 3 2" xfId="50665"/>
    <cellStyle name="Total 2 25 3 3" xfId="50666"/>
    <cellStyle name="Total 2 25 4" xfId="50667"/>
    <cellStyle name="Total 2 25 5" xfId="50668"/>
    <cellStyle name="Total 2 26" xfId="50669"/>
    <cellStyle name="Total 2 26 2" xfId="50670"/>
    <cellStyle name="Total 2 26 2 2" xfId="50671"/>
    <cellStyle name="Total 2 26 2 3" xfId="50672"/>
    <cellStyle name="Total 2 26 3" xfId="50673"/>
    <cellStyle name="Total 2 26 3 2" xfId="50674"/>
    <cellStyle name="Total 2 26 3 3" xfId="50675"/>
    <cellStyle name="Total 2 26 4" xfId="50676"/>
    <cellStyle name="Total 2 26 5" xfId="50677"/>
    <cellStyle name="Total 2 27" xfId="50678"/>
    <cellStyle name="Total 2 27 2" xfId="50679"/>
    <cellStyle name="Total 2 27 2 2" xfId="50680"/>
    <cellStyle name="Total 2 27 2 3" xfId="50681"/>
    <cellStyle name="Total 2 27 3" xfId="50682"/>
    <cellStyle name="Total 2 27 3 2" xfId="50683"/>
    <cellStyle name="Total 2 27 3 3" xfId="50684"/>
    <cellStyle name="Total 2 27 4" xfId="50685"/>
    <cellStyle name="Total 2 27 5" xfId="50686"/>
    <cellStyle name="Total 2 28" xfId="50687"/>
    <cellStyle name="Total 2 28 2" xfId="50688"/>
    <cellStyle name="Total 2 28 2 2" xfId="50689"/>
    <cellStyle name="Total 2 28 2 3" xfId="50690"/>
    <cellStyle name="Total 2 28 3" xfId="50691"/>
    <cellStyle name="Total 2 28 3 2" xfId="50692"/>
    <cellStyle name="Total 2 28 3 3" xfId="50693"/>
    <cellStyle name="Total 2 28 4" xfId="50694"/>
    <cellStyle name="Total 2 28 5" xfId="50695"/>
    <cellStyle name="Total 2 29" xfId="50696"/>
    <cellStyle name="Total 2 29 2" xfId="50697"/>
    <cellStyle name="Total 2 29 2 2" xfId="50698"/>
    <cellStyle name="Total 2 29 2 3" xfId="50699"/>
    <cellStyle name="Total 2 29 3" xfId="50700"/>
    <cellStyle name="Total 2 29 3 2" xfId="50701"/>
    <cellStyle name="Total 2 29 3 3" xfId="50702"/>
    <cellStyle name="Total 2 29 4" xfId="50703"/>
    <cellStyle name="Total 2 29 5" xfId="50704"/>
    <cellStyle name="Total 2 3" xfId="50705"/>
    <cellStyle name="Total 2 3 10" xfId="50706"/>
    <cellStyle name="Total 2 3 10 2" xfId="50707"/>
    <cellStyle name="Total 2 3 10 2 2" xfId="50708"/>
    <cellStyle name="Total 2 3 10 2 3" xfId="50709"/>
    <cellStyle name="Total 2 3 10 3" xfId="50710"/>
    <cellStyle name="Total 2 3 10 3 2" xfId="50711"/>
    <cellStyle name="Total 2 3 10 3 3" xfId="50712"/>
    <cellStyle name="Total 2 3 10 4" xfId="50713"/>
    <cellStyle name="Total 2 3 10 5" xfId="50714"/>
    <cellStyle name="Total 2 3 11" xfId="50715"/>
    <cellStyle name="Total 2 3 11 2" xfId="50716"/>
    <cellStyle name="Total 2 3 11 2 2" xfId="50717"/>
    <cellStyle name="Total 2 3 11 2 3" xfId="50718"/>
    <cellStyle name="Total 2 3 11 3" xfId="50719"/>
    <cellStyle name="Total 2 3 11 3 2" xfId="50720"/>
    <cellStyle name="Total 2 3 11 3 3" xfId="50721"/>
    <cellStyle name="Total 2 3 11 4" xfId="50722"/>
    <cellStyle name="Total 2 3 11 5" xfId="50723"/>
    <cellStyle name="Total 2 3 12" xfId="50724"/>
    <cellStyle name="Total 2 3 12 2" xfId="50725"/>
    <cellStyle name="Total 2 3 12 2 2" xfId="50726"/>
    <cellStyle name="Total 2 3 12 2 3" xfId="50727"/>
    <cellStyle name="Total 2 3 12 3" xfId="50728"/>
    <cellStyle name="Total 2 3 12 3 2" xfId="50729"/>
    <cellStyle name="Total 2 3 12 3 3" xfId="50730"/>
    <cellStyle name="Total 2 3 12 4" xfId="50731"/>
    <cellStyle name="Total 2 3 12 5" xfId="50732"/>
    <cellStyle name="Total 2 3 13" xfId="50733"/>
    <cellStyle name="Total 2 3 13 2" xfId="50734"/>
    <cellStyle name="Total 2 3 13 2 2" xfId="50735"/>
    <cellStyle name="Total 2 3 13 2 3" xfId="50736"/>
    <cellStyle name="Total 2 3 13 3" xfId="50737"/>
    <cellStyle name="Total 2 3 13 3 2" xfId="50738"/>
    <cellStyle name="Total 2 3 13 3 3" xfId="50739"/>
    <cellStyle name="Total 2 3 13 4" xfId="50740"/>
    <cellStyle name="Total 2 3 13 5" xfId="50741"/>
    <cellStyle name="Total 2 3 14" xfId="50742"/>
    <cellStyle name="Total 2 3 14 2" xfId="50743"/>
    <cellStyle name="Total 2 3 14 2 2" xfId="50744"/>
    <cellStyle name="Total 2 3 14 2 3" xfId="50745"/>
    <cellStyle name="Total 2 3 14 3" xfId="50746"/>
    <cellStyle name="Total 2 3 14 3 2" xfId="50747"/>
    <cellStyle name="Total 2 3 14 3 3" xfId="50748"/>
    <cellStyle name="Total 2 3 14 4" xfId="50749"/>
    <cellStyle name="Total 2 3 14 5" xfId="50750"/>
    <cellStyle name="Total 2 3 15" xfId="50751"/>
    <cellStyle name="Total 2 3 15 2" xfId="50752"/>
    <cellStyle name="Total 2 3 15 2 2" xfId="50753"/>
    <cellStyle name="Total 2 3 15 2 3" xfId="50754"/>
    <cellStyle name="Total 2 3 15 3" xfId="50755"/>
    <cellStyle name="Total 2 3 15 3 2" xfId="50756"/>
    <cellStyle name="Total 2 3 15 3 3" xfId="50757"/>
    <cellStyle name="Total 2 3 15 4" xfId="50758"/>
    <cellStyle name="Total 2 3 15 5" xfId="50759"/>
    <cellStyle name="Total 2 3 16" xfId="50760"/>
    <cellStyle name="Total 2 3 16 2" xfId="50761"/>
    <cellStyle name="Total 2 3 16 2 2" xfId="50762"/>
    <cellStyle name="Total 2 3 16 2 3" xfId="50763"/>
    <cellStyle name="Total 2 3 16 3" xfId="50764"/>
    <cellStyle name="Total 2 3 16 3 2" xfId="50765"/>
    <cellStyle name="Total 2 3 16 3 3" xfId="50766"/>
    <cellStyle name="Total 2 3 16 4" xfId="50767"/>
    <cellStyle name="Total 2 3 16 5" xfId="50768"/>
    <cellStyle name="Total 2 3 17" xfId="50769"/>
    <cellStyle name="Total 2 3 17 2" xfId="50770"/>
    <cellStyle name="Total 2 3 17 2 2" xfId="50771"/>
    <cellStyle name="Total 2 3 17 2 3" xfId="50772"/>
    <cellStyle name="Total 2 3 17 3" xfId="50773"/>
    <cellStyle name="Total 2 3 17 3 2" xfId="50774"/>
    <cellStyle name="Total 2 3 17 3 3" xfId="50775"/>
    <cellStyle name="Total 2 3 17 4" xfId="50776"/>
    <cellStyle name="Total 2 3 17 5" xfId="50777"/>
    <cellStyle name="Total 2 3 18" xfId="50778"/>
    <cellStyle name="Total 2 3 18 2" xfId="50779"/>
    <cellStyle name="Total 2 3 18 2 2" xfId="50780"/>
    <cellStyle name="Total 2 3 18 2 3" xfId="50781"/>
    <cellStyle name="Total 2 3 18 3" xfId="50782"/>
    <cellStyle name="Total 2 3 18 3 2" xfId="50783"/>
    <cellStyle name="Total 2 3 18 3 3" xfId="50784"/>
    <cellStyle name="Total 2 3 18 4" xfId="50785"/>
    <cellStyle name="Total 2 3 18 5" xfId="50786"/>
    <cellStyle name="Total 2 3 19" xfId="50787"/>
    <cellStyle name="Total 2 3 19 2" xfId="50788"/>
    <cellStyle name="Total 2 3 19 2 2" xfId="50789"/>
    <cellStyle name="Total 2 3 19 2 3" xfId="50790"/>
    <cellStyle name="Total 2 3 19 3" xfId="50791"/>
    <cellStyle name="Total 2 3 19 3 2" xfId="50792"/>
    <cellStyle name="Total 2 3 19 3 3" xfId="50793"/>
    <cellStyle name="Total 2 3 19 4" xfId="50794"/>
    <cellStyle name="Total 2 3 19 5" xfId="50795"/>
    <cellStyle name="Total 2 3 2" xfId="50796"/>
    <cellStyle name="Total 2 3 2 10" xfId="50797"/>
    <cellStyle name="Total 2 3 2 10 2" xfId="50798"/>
    <cellStyle name="Total 2 3 2 10 2 2" xfId="50799"/>
    <cellStyle name="Total 2 3 2 10 2 3" xfId="50800"/>
    <cellStyle name="Total 2 3 2 10 3" xfId="50801"/>
    <cellStyle name="Total 2 3 2 10 3 2" xfId="50802"/>
    <cellStyle name="Total 2 3 2 10 3 3" xfId="50803"/>
    <cellStyle name="Total 2 3 2 10 4" xfId="50804"/>
    <cellStyle name="Total 2 3 2 10 5" xfId="50805"/>
    <cellStyle name="Total 2 3 2 11" xfId="50806"/>
    <cellStyle name="Total 2 3 2 11 2" xfId="50807"/>
    <cellStyle name="Total 2 3 2 11 2 2" xfId="50808"/>
    <cellStyle name="Total 2 3 2 11 2 3" xfId="50809"/>
    <cellStyle name="Total 2 3 2 11 3" xfId="50810"/>
    <cellStyle name="Total 2 3 2 11 3 2" xfId="50811"/>
    <cellStyle name="Total 2 3 2 11 3 3" xfId="50812"/>
    <cellStyle name="Total 2 3 2 11 4" xfId="50813"/>
    <cellStyle name="Total 2 3 2 11 5" xfId="50814"/>
    <cellStyle name="Total 2 3 2 12" xfId="50815"/>
    <cellStyle name="Total 2 3 2 12 2" xfId="50816"/>
    <cellStyle name="Total 2 3 2 12 2 2" xfId="50817"/>
    <cellStyle name="Total 2 3 2 12 2 3" xfId="50818"/>
    <cellStyle name="Total 2 3 2 12 3" xfId="50819"/>
    <cellStyle name="Total 2 3 2 12 3 2" xfId="50820"/>
    <cellStyle name="Total 2 3 2 12 3 3" xfId="50821"/>
    <cellStyle name="Total 2 3 2 12 4" xfId="50822"/>
    <cellStyle name="Total 2 3 2 12 5" xfId="50823"/>
    <cellStyle name="Total 2 3 2 13" xfId="50824"/>
    <cellStyle name="Total 2 3 2 13 2" xfId="50825"/>
    <cellStyle name="Total 2 3 2 13 2 2" xfId="50826"/>
    <cellStyle name="Total 2 3 2 13 2 3" xfId="50827"/>
    <cellStyle name="Total 2 3 2 13 3" xfId="50828"/>
    <cellStyle name="Total 2 3 2 13 3 2" xfId="50829"/>
    <cellStyle name="Total 2 3 2 13 3 3" xfId="50830"/>
    <cellStyle name="Total 2 3 2 13 4" xfId="50831"/>
    <cellStyle name="Total 2 3 2 13 5" xfId="50832"/>
    <cellStyle name="Total 2 3 2 14" xfId="50833"/>
    <cellStyle name="Total 2 3 2 14 2" xfId="50834"/>
    <cellStyle name="Total 2 3 2 14 2 2" xfId="50835"/>
    <cellStyle name="Total 2 3 2 14 2 3" xfId="50836"/>
    <cellStyle name="Total 2 3 2 14 3" xfId="50837"/>
    <cellStyle name="Total 2 3 2 14 3 2" xfId="50838"/>
    <cellStyle name="Total 2 3 2 14 3 3" xfId="50839"/>
    <cellStyle name="Total 2 3 2 14 4" xfId="50840"/>
    <cellStyle name="Total 2 3 2 14 5" xfId="50841"/>
    <cellStyle name="Total 2 3 2 15" xfId="50842"/>
    <cellStyle name="Total 2 3 2 15 2" xfId="50843"/>
    <cellStyle name="Total 2 3 2 15 2 2" xfId="50844"/>
    <cellStyle name="Total 2 3 2 15 2 3" xfId="50845"/>
    <cellStyle name="Total 2 3 2 15 3" xfId="50846"/>
    <cellStyle name="Total 2 3 2 15 3 2" xfId="50847"/>
    <cellStyle name="Total 2 3 2 15 3 3" xfId="50848"/>
    <cellStyle name="Total 2 3 2 15 4" xfId="50849"/>
    <cellStyle name="Total 2 3 2 15 5" xfId="50850"/>
    <cellStyle name="Total 2 3 2 16" xfId="50851"/>
    <cellStyle name="Total 2 3 2 16 2" xfId="50852"/>
    <cellStyle name="Total 2 3 2 16 2 2" xfId="50853"/>
    <cellStyle name="Total 2 3 2 16 2 3" xfId="50854"/>
    <cellStyle name="Total 2 3 2 16 3" xfId="50855"/>
    <cellStyle name="Total 2 3 2 16 3 2" xfId="50856"/>
    <cellStyle name="Total 2 3 2 16 3 3" xfId="50857"/>
    <cellStyle name="Total 2 3 2 16 4" xfId="50858"/>
    <cellStyle name="Total 2 3 2 16 5" xfId="50859"/>
    <cellStyle name="Total 2 3 2 17" xfId="50860"/>
    <cellStyle name="Total 2 3 2 17 2" xfId="50861"/>
    <cellStyle name="Total 2 3 2 17 2 2" xfId="50862"/>
    <cellStyle name="Total 2 3 2 17 2 3" xfId="50863"/>
    <cellStyle name="Total 2 3 2 17 3" xfId="50864"/>
    <cellStyle name="Total 2 3 2 17 3 2" xfId="50865"/>
    <cellStyle name="Total 2 3 2 17 3 3" xfId="50866"/>
    <cellStyle name="Total 2 3 2 17 4" xfId="50867"/>
    <cellStyle name="Total 2 3 2 17 5" xfId="50868"/>
    <cellStyle name="Total 2 3 2 18" xfId="50869"/>
    <cellStyle name="Total 2 3 2 18 2" xfId="50870"/>
    <cellStyle name="Total 2 3 2 18 2 2" xfId="50871"/>
    <cellStyle name="Total 2 3 2 18 2 3" xfId="50872"/>
    <cellStyle name="Total 2 3 2 18 3" xfId="50873"/>
    <cellStyle name="Total 2 3 2 18 3 2" xfId="50874"/>
    <cellStyle name="Total 2 3 2 18 3 3" xfId="50875"/>
    <cellStyle name="Total 2 3 2 18 4" xfId="50876"/>
    <cellStyle name="Total 2 3 2 18 5" xfId="50877"/>
    <cellStyle name="Total 2 3 2 19" xfId="50878"/>
    <cellStyle name="Total 2 3 2 19 2" xfId="50879"/>
    <cellStyle name="Total 2 3 2 19 2 2" xfId="50880"/>
    <cellStyle name="Total 2 3 2 19 2 3" xfId="50881"/>
    <cellStyle name="Total 2 3 2 19 3" xfId="50882"/>
    <cellStyle name="Total 2 3 2 19 3 2" xfId="50883"/>
    <cellStyle name="Total 2 3 2 19 3 3" xfId="50884"/>
    <cellStyle name="Total 2 3 2 19 4" xfId="50885"/>
    <cellStyle name="Total 2 3 2 19 5" xfId="50886"/>
    <cellStyle name="Total 2 3 2 2" xfId="50887"/>
    <cellStyle name="Total 2 3 2 2 2" xfId="50888"/>
    <cellStyle name="Total 2 3 2 2 2 2" xfId="50889"/>
    <cellStyle name="Total 2 3 2 2 2 3" xfId="50890"/>
    <cellStyle name="Total 2 3 2 2 3" xfId="50891"/>
    <cellStyle name="Total 2 3 2 2 3 2" xfId="50892"/>
    <cellStyle name="Total 2 3 2 2 3 3" xfId="50893"/>
    <cellStyle name="Total 2 3 2 2 4" xfId="50894"/>
    <cellStyle name="Total 2 3 2 2 5" xfId="50895"/>
    <cellStyle name="Total 2 3 2 20" xfId="50896"/>
    <cellStyle name="Total 2 3 2 20 2" xfId="50897"/>
    <cellStyle name="Total 2 3 2 20 2 2" xfId="50898"/>
    <cellStyle name="Total 2 3 2 20 2 3" xfId="50899"/>
    <cellStyle name="Total 2 3 2 20 3" xfId="50900"/>
    <cellStyle name="Total 2 3 2 20 3 2" xfId="50901"/>
    <cellStyle name="Total 2 3 2 20 3 3" xfId="50902"/>
    <cellStyle name="Total 2 3 2 20 4" xfId="50903"/>
    <cellStyle name="Total 2 3 2 20 5" xfId="50904"/>
    <cellStyle name="Total 2 3 2 21" xfId="50905"/>
    <cellStyle name="Total 2 3 2 21 2" xfId="50906"/>
    <cellStyle name="Total 2 3 2 21 2 2" xfId="50907"/>
    <cellStyle name="Total 2 3 2 21 2 3" xfId="50908"/>
    <cellStyle name="Total 2 3 2 21 3" xfId="50909"/>
    <cellStyle name="Total 2 3 2 21 3 2" xfId="50910"/>
    <cellStyle name="Total 2 3 2 21 3 3" xfId="50911"/>
    <cellStyle name="Total 2 3 2 21 4" xfId="50912"/>
    <cellStyle name="Total 2 3 2 21 5" xfId="50913"/>
    <cellStyle name="Total 2 3 2 22" xfId="50914"/>
    <cellStyle name="Total 2 3 2 22 2" xfId="50915"/>
    <cellStyle name="Total 2 3 2 22 2 2" xfId="50916"/>
    <cellStyle name="Total 2 3 2 22 2 3" xfId="50917"/>
    <cellStyle name="Total 2 3 2 22 3" xfId="50918"/>
    <cellStyle name="Total 2 3 2 22 3 2" xfId="50919"/>
    <cellStyle name="Total 2 3 2 22 3 3" xfId="50920"/>
    <cellStyle name="Total 2 3 2 22 4" xfId="50921"/>
    <cellStyle name="Total 2 3 2 22 5" xfId="50922"/>
    <cellStyle name="Total 2 3 2 23" xfId="50923"/>
    <cellStyle name="Total 2 3 2 23 2" xfId="50924"/>
    <cellStyle name="Total 2 3 2 23 2 2" xfId="50925"/>
    <cellStyle name="Total 2 3 2 23 2 3" xfId="50926"/>
    <cellStyle name="Total 2 3 2 23 3" xfId="50927"/>
    <cellStyle name="Total 2 3 2 23 3 2" xfId="50928"/>
    <cellStyle name="Total 2 3 2 23 3 3" xfId="50929"/>
    <cellStyle name="Total 2 3 2 23 4" xfId="50930"/>
    <cellStyle name="Total 2 3 2 23 5" xfId="50931"/>
    <cellStyle name="Total 2 3 2 24" xfId="50932"/>
    <cellStyle name="Total 2 3 2 24 2" xfId="50933"/>
    <cellStyle name="Total 2 3 2 24 2 2" xfId="50934"/>
    <cellStyle name="Total 2 3 2 24 2 3" xfId="50935"/>
    <cellStyle name="Total 2 3 2 24 3" xfId="50936"/>
    <cellStyle name="Total 2 3 2 24 3 2" xfId="50937"/>
    <cellStyle name="Total 2 3 2 24 3 3" xfId="50938"/>
    <cellStyle name="Total 2 3 2 24 4" xfId="50939"/>
    <cellStyle name="Total 2 3 2 24 5" xfId="50940"/>
    <cellStyle name="Total 2 3 2 25" xfId="50941"/>
    <cellStyle name="Total 2 3 2 25 2" xfId="50942"/>
    <cellStyle name="Total 2 3 2 25 2 2" xfId="50943"/>
    <cellStyle name="Total 2 3 2 25 2 3" xfId="50944"/>
    <cellStyle name="Total 2 3 2 25 3" xfId="50945"/>
    <cellStyle name="Total 2 3 2 25 3 2" xfId="50946"/>
    <cellStyle name="Total 2 3 2 25 3 3" xfId="50947"/>
    <cellStyle name="Total 2 3 2 25 4" xfId="50948"/>
    <cellStyle name="Total 2 3 2 25 5" xfId="50949"/>
    <cellStyle name="Total 2 3 2 26" xfId="50950"/>
    <cellStyle name="Total 2 3 2 26 2" xfId="50951"/>
    <cellStyle name="Total 2 3 2 26 2 2" xfId="50952"/>
    <cellStyle name="Total 2 3 2 26 2 3" xfId="50953"/>
    <cellStyle name="Total 2 3 2 26 3" xfId="50954"/>
    <cellStyle name="Total 2 3 2 26 3 2" xfId="50955"/>
    <cellStyle name="Total 2 3 2 26 3 3" xfId="50956"/>
    <cellStyle name="Total 2 3 2 26 4" xfId="50957"/>
    <cellStyle name="Total 2 3 2 26 5" xfId="50958"/>
    <cellStyle name="Total 2 3 2 27" xfId="50959"/>
    <cellStyle name="Total 2 3 2 27 2" xfId="50960"/>
    <cellStyle name="Total 2 3 2 27 2 2" xfId="50961"/>
    <cellStyle name="Total 2 3 2 27 2 3" xfId="50962"/>
    <cellStyle name="Total 2 3 2 27 3" xfId="50963"/>
    <cellStyle name="Total 2 3 2 27 3 2" xfId="50964"/>
    <cellStyle name="Total 2 3 2 27 3 3" xfId="50965"/>
    <cellStyle name="Total 2 3 2 27 4" xfId="50966"/>
    <cellStyle name="Total 2 3 2 27 5" xfId="50967"/>
    <cellStyle name="Total 2 3 2 28" xfId="50968"/>
    <cellStyle name="Total 2 3 2 28 2" xfId="50969"/>
    <cellStyle name="Total 2 3 2 28 2 2" xfId="50970"/>
    <cellStyle name="Total 2 3 2 28 2 3" xfId="50971"/>
    <cellStyle name="Total 2 3 2 28 3" xfId="50972"/>
    <cellStyle name="Total 2 3 2 28 3 2" xfId="50973"/>
    <cellStyle name="Total 2 3 2 28 3 3" xfId="50974"/>
    <cellStyle name="Total 2 3 2 28 4" xfId="50975"/>
    <cellStyle name="Total 2 3 2 28 5" xfId="50976"/>
    <cellStyle name="Total 2 3 2 29" xfId="50977"/>
    <cellStyle name="Total 2 3 2 29 2" xfId="50978"/>
    <cellStyle name="Total 2 3 2 29 2 2" xfId="50979"/>
    <cellStyle name="Total 2 3 2 29 2 3" xfId="50980"/>
    <cellStyle name="Total 2 3 2 29 3" xfId="50981"/>
    <cellStyle name="Total 2 3 2 29 3 2" xfId="50982"/>
    <cellStyle name="Total 2 3 2 29 3 3" xfId="50983"/>
    <cellStyle name="Total 2 3 2 29 4" xfId="50984"/>
    <cellStyle name="Total 2 3 2 29 5" xfId="50985"/>
    <cellStyle name="Total 2 3 2 3" xfId="50986"/>
    <cellStyle name="Total 2 3 2 3 2" xfId="50987"/>
    <cellStyle name="Total 2 3 2 3 2 2" xfId="50988"/>
    <cellStyle name="Total 2 3 2 3 2 3" xfId="50989"/>
    <cellStyle name="Total 2 3 2 3 3" xfId="50990"/>
    <cellStyle name="Total 2 3 2 3 3 2" xfId="50991"/>
    <cellStyle name="Total 2 3 2 3 3 3" xfId="50992"/>
    <cellStyle name="Total 2 3 2 3 4" xfId="50993"/>
    <cellStyle name="Total 2 3 2 3 5" xfId="50994"/>
    <cellStyle name="Total 2 3 2 30" xfId="50995"/>
    <cellStyle name="Total 2 3 2 30 2" xfId="50996"/>
    <cellStyle name="Total 2 3 2 30 2 2" xfId="50997"/>
    <cellStyle name="Total 2 3 2 30 2 3" xfId="50998"/>
    <cellStyle name="Total 2 3 2 30 3" xfId="50999"/>
    <cellStyle name="Total 2 3 2 30 3 2" xfId="51000"/>
    <cellStyle name="Total 2 3 2 30 3 3" xfId="51001"/>
    <cellStyle name="Total 2 3 2 30 4" xfId="51002"/>
    <cellStyle name="Total 2 3 2 30 5" xfId="51003"/>
    <cellStyle name="Total 2 3 2 31" xfId="51004"/>
    <cellStyle name="Total 2 3 2 31 2" xfId="51005"/>
    <cellStyle name="Total 2 3 2 31 2 2" xfId="51006"/>
    <cellStyle name="Total 2 3 2 31 2 3" xfId="51007"/>
    <cellStyle name="Total 2 3 2 31 3" xfId="51008"/>
    <cellStyle name="Total 2 3 2 31 3 2" xfId="51009"/>
    <cellStyle name="Total 2 3 2 31 3 3" xfId="51010"/>
    <cellStyle name="Total 2 3 2 31 4" xfId="51011"/>
    <cellStyle name="Total 2 3 2 31 5" xfId="51012"/>
    <cellStyle name="Total 2 3 2 32" xfId="51013"/>
    <cellStyle name="Total 2 3 2 32 2" xfId="51014"/>
    <cellStyle name="Total 2 3 2 32 2 2" xfId="51015"/>
    <cellStyle name="Total 2 3 2 32 2 3" xfId="51016"/>
    <cellStyle name="Total 2 3 2 32 3" xfId="51017"/>
    <cellStyle name="Total 2 3 2 32 3 2" xfId="51018"/>
    <cellStyle name="Total 2 3 2 32 3 3" xfId="51019"/>
    <cellStyle name="Total 2 3 2 32 4" xfId="51020"/>
    <cellStyle name="Total 2 3 2 32 5" xfId="51021"/>
    <cellStyle name="Total 2 3 2 33" xfId="51022"/>
    <cellStyle name="Total 2 3 2 33 2" xfId="51023"/>
    <cellStyle name="Total 2 3 2 33 2 2" xfId="51024"/>
    <cellStyle name="Total 2 3 2 33 2 3" xfId="51025"/>
    <cellStyle name="Total 2 3 2 33 3" xfId="51026"/>
    <cellStyle name="Total 2 3 2 33 3 2" xfId="51027"/>
    <cellStyle name="Total 2 3 2 33 3 3" xfId="51028"/>
    <cellStyle name="Total 2 3 2 33 4" xfId="51029"/>
    <cellStyle name="Total 2 3 2 33 5" xfId="51030"/>
    <cellStyle name="Total 2 3 2 34" xfId="51031"/>
    <cellStyle name="Total 2 3 2 34 2" xfId="51032"/>
    <cellStyle name="Total 2 3 2 34 2 2" xfId="51033"/>
    <cellStyle name="Total 2 3 2 34 2 3" xfId="51034"/>
    <cellStyle name="Total 2 3 2 34 3" xfId="51035"/>
    <cellStyle name="Total 2 3 2 34 3 2" xfId="51036"/>
    <cellStyle name="Total 2 3 2 34 3 3" xfId="51037"/>
    <cellStyle name="Total 2 3 2 34 4" xfId="51038"/>
    <cellStyle name="Total 2 3 2 34 5" xfId="51039"/>
    <cellStyle name="Total 2 3 2 35" xfId="51040"/>
    <cellStyle name="Total 2 3 2 35 2" xfId="51041"/>
    <cellStyle name="Total 2 3 2 35 2 2" xfId="51042"/>
    <cellStyle name="Total 2 3 2 35 2 3" xfId="51043"/>
    <cellStyle name="Total 2 3 2 35 3" xfId="51044"/>
    <cellStyle name="Total 2 3 2 35 3 2" xfId="51045"/>
    <cellStyle name="Total 2 3 2 35 3 3" xfId="51046"/>
    <cellStyle name="Total 2 3 2 35 4" xfId="51047"/>
    <cellStyle name="Total 2 3 2 35 5" xfId="51048"/>
    <cellStyle name="Total 2 3 2 36" xfId="51049"/>
    <cellStyle name="Total 2 3 2 36 2" xfId="51050"/>
    <cellStyle name="Total 2 3 2 36 2 2" xfId="51051"/>
    <cellStyle name="Total 2 3 2 36 2 3" xfId="51052"/>
    <cellStyle name="Total 2 3 2 36 3" xfId="51053"/>
    <cellStyle name="Total 2 3 2 36 3 2" xfId="51054"/>
    <cellStyle name="Total 2 3 2 36 3 3" xfId="51055"/>
    <cellStyle name="Total 2 3 2 36 4" xfId="51056"/>
    <cellStyle name="Total 2 3 2 36 5" xfId="51057"/>
    <cellStyle name="Total 2 3 2 37" xfId="51058"/>
    <cellStyle name="Total 2 3 2 37 2" xfId="51059"/>
    <cellStyle name="Total 2 3 2 37 2 2" xfId="51060"/>
    <cellStyle name="Total 2 3 2 37 2 3" xfId="51061"/>
    <cellStyle name="Total 2 3 2 37 3" xfId="51062"/>
    <cellStyle name="Total 2 3 2 37 3 2" xfId="51063"/>
    <cellStyle name="Total 2 3 2 37 3 3" xfId="51064"/>
    <cellStyle name="Total 2 3 2 37 4" xfId="51065"/>
    <cellStyle name="Total 2 3 2 37 5" xfId="51066"/>
    <cellStyle name="Total 2 3 2 38" xfId="51067"/>
    <cellStyle name="Total 2 3 2 38 2" xfId="51068"/>
    <cellStyle name="Total 2 3 2 38 2 2" xfId="51069"/>
    <cellStyle name="Total 2 3 2 38 2 3" xfId="51070"/>
    <cellStyle name="Total 2 3 2 38 3" xfId="51071"/>
    <cellStyle name="Total 2 3 2 38 3 2" xfId="51072"/>
    <cellStyle name="Total 2 3 2 38 3 3" xfId="51073"/>
    <cellStyle name="Total 2 3 2 38 4" xfId="51074"/>
    <cellStyle name="Total 2 3 2 38 5" xfId="51075"/>
    <cellStyle name="Total 2 3 2 39" xfId="51076"/>
    <cellStyle name="Total 2 3 2 39 2" xfId="51077"/>
    <cellStyle name="Total 2 3 2 39 2 2" xfId="51078"/>
    <cellStyle name="Total 2 3 2 39 2 3" xfId="51079"/>
    <cellStyle name="Total 2 3 2 39 3" xfId="51080"/>
    <cellStyle name="Total 2 3 2 39 4" xfId="51081"/>
    <cellStyle name="Total 2 3 2 4" xfId="51082"/>
    <cellStyle name="Total 2 3 2 4 2" xfId="51083"/>
    <cellStyle name="Total 2 3 2 4 2 2" xfId="51084"/>
    <cellStyle name="Total 2 3 2 4 2 3" xfId="51085"/>
    <cellStyle name="Total 2 3 2 4 3" xfId="51086"/>
    <cellStyle name="Total 2 3 2 4 3 2" xfId="51087"/>
    <cellStyle name="Total 2 3 2 4 3 3" xfId="51088"/>
    <cellStyle name="Total 2 3 2 4 4" xfId="51089"/>
    <cellStyle name="Total 2 3 2 4 5" xfId="51090"/>
    <cellStyle name="Total 2 3 2 40" xfId="51091"/>
    <cellStyle name="Total 2 3 2 40 2" xfId="51092"/>
    <cellStyle name="Total 2 3 2 40 3" xfId="51093"/>
    <cellStyle name="Total 2 3 2 41" xfId="51094"/>
    <cellStyle name="Total 2 3 2 41 2" xfId="51095"/>
    <cellStyle name="Total 2 3 2 41 3" xfId="51096"/>
    <cellStyle name="Total 2 3 2 42" xfId="51097"/>
    <cellStyle name="Total 2 3 2 42 2" xfId="51098"/>
    <cellStyle name="Total 2 3 2 42 3" xfId="51099"/>
    <cellStyle name="Total 2 3 2 43" xfId="51100"/>
    <cellStyle name="Total 2 3 2 44" xfId="51101"/>
    <cellStyle name="Total 2 3 2 5" xfId="51102"/>
    <cellStyle name="Total 2 3 2 5 2" xfId="51103"/>
    <cellStyle name="Total 2 3 2 5 2 2" xfId="51104"/>
    <cellStyle name="Total 2 3 2 5 2 3" xfId="51105"/>
    <cellStyle name="Total 2 3 2 5 3" xfId="51106"/>
    <cellStyle name="Total 2 3 2 5 3 2" xfId="51107"/>
    <cellStyle name="Total 2 3 2 5 3 3" xfId="51108"/>
    <cellStyle name="Total 2 3 2 5 4" xfId="51109"/>
    <cellStyle name="Total 2 3 2 5 5" xfId="51110"/>
    <cellStyle name="Total 2 3 2 6" xfId="51111"/>
    <cellStyle name="Total 2 3 2 6 2" xfId="51112"/>
    <cellStyle name="Total 2 3 2 6 2 2" xfId="51113"/>
    <cellStyle name="Total 2 3 2 6 2 3" xfId="51114"/>
    <cellStyle name="Total 2 3 2 6 3" xfId="51115"/>
    <cellStyle name="Total 2 3 2 6 3 2" xfId="51116"/>
    <cellStyle name="Total 2 3 2 6 3 3" xfId="51117"/>
    <cellStyle name="Total 2 3 2 6 4" xfId="51118"/>
    <cellStyle name="Total 2 3 2 6 5" xfId="51119"/>
    <cellStyle name="Total 2 3 2 7" xfId="51120"/>
    <cellStyle name="Total 2 3 2 7 2" xfId="51121"/>
    <cellStyle name="Total 2 3 2 7 2 2" xfId="51122"/>
    <cellStyle name="Total 2 3 2 7 2 3" xfId="51123"/>
    <cellStyle name="Total 2 3 2 7 3" xfId="51124"/>
    <cellStyle name="Total 2 3 2 7 3 2" xfId="51125"/>
    <cellStyle name="Total 2 3 2 7 3 3" xfId="51126"/>
    <cellStyle name="Total 2 3 2 7 4" xfId="51127"/>
    <cellStyle name="Total 2 3 2 7 5" xfId="51128"/>
    <cellStyle name="Total 2 3 2 8" xfId="51129"/>
    <cellStyle name="Total 2 3 2 8 2" xfId="51130"/>
    <cellStyle name="Total 2 3 2 8 2 2" xfId="51131"/>
    <cellStyle name="Total 2 3 2 8 2 3" xfId="51132"/>
    <cellStyle name="Total 2 3 2 8 3" xfId="51133"/>
    <cellStyle name="Total 2 3 2 8 3 2" xfId="51134"/>
    <cellStyle name="Total 2 3 2 8 3 3" xfId="51135"/>
    <cellStyle name="Total 2 3 2 8 4" xfId="51136"/>
    <cellStyle name="Total 2 3 2 8 5" xfId="51137"/>
    <cellStyle name="Total 2 3 2 9" xfId="51138"/>
    <cellStyle name="Total 2 3 2 9 2" xfId="51139"/>
    <cellStyle name="Total 2 3 2 9 2 2" xfId="51140"/>
    <cellStyle name="Total 2 3 2 9 2 3" xfId="51141"/>
    <cellStyle name="Total 2 3 2 9 3" xfId="51142"/>
    <cellStyle name="Total 2 3 2 9 3 2" xfId="51143"/>
    <cellStyle name="Total 2 3 2 9 3 3" xfId="51144"/>
    <cellStyle name="Total 2 3 2 9 4" xfId="51145"/>
    <cellStyle name="Total 2 3 2 9 5" xfId="51146"/>
    <cellStyle name="Total 2 3 20" xfId="51147"/>
    <cellStyle name="Total 2 3 20 2" xfId="51148"/>
    <cellStyle name="Total 2 3 20 2 2" xfId="51149"/>
    <cellStyle name="Total 2 3 20 2 3" xfId="51150"/>
    <cellStyle name="Total 2 3 20 3" xfId="51151"/>
    <cellStyle name="Total 2 3 20 3 2" xfId="51152"/>
    <cellStyle name="Total 2 3 20 3 3" xfId="51153"/>
    <cellStyle name="Total 2 3 20 4" xfId="51154"/>
    <cellStyle name="Total 2 3 20 5" xfId="51155"/>
    <cellStyle name="Total 2 3 21" xfId="51156"/>
    <cellStyle name="Total 2 3 21 2" xfId="51157"/>
    <cellStyle name="Total 2 3 21 2 2" xfId="51158"/>
    <cellStyle name="Total 2 3 21 2 3" xfId="51159"/>
    <cellStyle name="Total 2 3 21 3" xfId="51160"/>
    <cellStyle name="Total 2 3 21 3 2" xfId="51161"/>
    <cellStyle name="Total 2 3 21 3 3" xfId="51162"/>
    <cellStyle name="Total 2 3 21 4" xfId="51163"/>
    <cellStyle name="Total 2 3 21 5" xfId="51164"/>
    <cellStyle name="Total 2 3 22" xfId="51165"/>
    <cellStyle name="Total 2 3 22 2" xfId="51166"/>
    <cellStyle name="Total 2 3 22 2 2" xfId="51167"/>
    <cellStyle name="Total 2 3 22 2 3" xfId="51168"/>
    <cellStyle name="Total 2 3 22 3" xfId="51169"/>
    <cellStyle name="Total 2 3 22 3 2" xfId="51170"/>
    <cellStyle name="Total 2 3 22 3 3" xfId="51171"/>
    <cellStyle name="Total 2 3 22 4" xfId="51172"/>
    <cellStyle name="Total 2 3 22 5" xfId="51173"/>
    <cellStyle name="Total 2 3 23" xfId="51174"/>
    <cellStyle name="Total 2 3 23 2" xfId="51175"/>
    <cellStyle name="Total 2 3 23 2 2" xfId="51176"/>
    <cellStyle name="Total 2 3 23 2 3" xfId="51177"/>
    <cellStyle name="Total 2 3 23 3" xfId="51178"/>
    <cellStyle name="Total 2 3 23 3 2" xfId="51179"/>
    <cellStyle name="Total 2 3 23 3 3" xfId="51180"/>
    <cellStyle name="Total 2 3 23 4" xfId="51181"/>
    <cellStyle name="Total 2 3 23 5" xfId="51182"/>
    <cellStyle name="Total 2 3 24" xfId="51183"/>
    <cellStyle name="Total 2 3 24 2" xfId="51184"/>
    <cellStyle name="Total 2 3 24 2 2" xfId="51185"/>
    <cellStyle name="Total 2 3 24 2 3" xfId="51186"/>
    <cellStyle name="Total 2 3 24 3" xfId="51187"/>
    <cellStyle name="Total 2 3 24 3 2" xfId="51188"/>
    <cellStyle name="Total 2 3 24 3 3" xfId="51189"/>
    <cellStyle name="Total 2 3 24 4" xfId="51190"/>
    <cellStyle name="Total 2 3 24 5" xfId="51191"/>
    <cellStyle name="Total 2 3 25" xfId="51192"/>
    <cellStyle name="Total 2 3 25 2" xfId="51193"/>
    <cellStyle name="Total 2 3 25 2 2" xfId="51194"/>
    <cellStyle name="Total 2 3 25 2 3" xfId="51195"/>
    <cellStyle name="Total 2 3 25 3" xfId="51196"/>
    <cellStyle name="Total 2 3 25 3 2" xfId="51197"/>
    <cellStyle name="Total 2 3 25 3 3" xfId="51198"/>
    <cellStyle name="Total 2 3 25 4" xfId="51199"/>
    <cellStyle name="Total 2 3 25 5" xfId="51200"/>
    <cellStyle name="Total 2 3 26" xfId="51201"/>
    <cellStyle name="Total 2 3 26 2" xfId="51202"/>
    <cellStyle name="Total 2 3 26 2 2" xfId="51203"/>
    <cellStyle name="Total 2 3 26 2 3" xfId="51204"/>
    <cellStyle name="Total 2 3 26 3" xfId="51205"/>
    <cellStyle name="Total 2 3 26 3 2" xfId="51206"/>
    <cellStyle name="Total 2 3 26 3 3" xfId="51207"/>
    <cellStyle name="Total 2 3 26 4" xfId="51208"/>
    <cellStyle name="Total 2 3 26 5" xfId="51209"/>
    <cellStyle name="Total 2 3 27" xfId="51210"/>
    <cellStyle name="Total 2 3 27 2" xfId="51211"/>
    <cellStyle name="Total 2 3 27 2 2" xfId="51212"/>
    <cellStyle name="Total 2 3 27 2 3" xfId="51213"/>
    <cellStyle name="Total 2 3 27 3" xfId="51214"/>
    <cellStyle name="Total 2 3 27 3 2" xfId="51215"/>
    <cellStyle name="Total 2 3 27 3 3" xfId="51216"/>
    <cellStyle name="Total 2 3 27 4" xfId="51217"/>
    <cellStyle name="Total 2 3 27 5" xfId="51218"/>
    <cellStyle name="Total 2 3 28" xfId="51219"/>
    <cellStyle name="Total 2 3 28 2" xfId="51220"/>
    <cellStyle name="Total 2 3 28 2 2" xfId="51221"/>
    <cellStyle name="Total 2 3 28 2 3" xfId="51222"/>
    <cellStyle name="Total 2 3 28 3" xfId="51223"/>
    <cellStyle name="Total 2 3 28 3 2" xfId="51224"/>
    <cellStyle name="Total 2 3 28 3 3" xfId="51225"/>
    <cellStyle name="Total 2 3 28 4" xfId="51226"/>
    <cellStyle name="Total 2 3 28 5" xfId="51227"/>
    <cellStyle name="Total 2 3 29" xfId="51228"/>
    <cellStyle name="Total 2 3 29 2" xfId="51229"/>
    <cellStyle name="Total 2 3 29 2 2" xfId="51230"/>
    <cellStyle name="Total 2 3 29 2 3" xfId="51231"/>
    <cellStyle name="Total 2 3 29 3" xfId="51232"/>
    <cellStyle name="Total 2 3 29 3 2" xfId="51233"/>
    <cellStyle name="Total 2 3 29 3 3" xfId="51234"/>
    <cellStyle name="Total 2 3 29 4" xfId="51235"/>
    <cellStyle name="Total 2 3 29 5" xfId="51236"/>
    <cellStyle name="Total 2 3 3" xfId="51237"/>
    <cellStyle name="Total 2 3 3 10" xfId="51238"/>
    <cellStyle name="Total 2 3 3 10 2" xfId="51239"/>
    <cellStyle name="Total 2 3 3 10 2 2" xfId="51240"/>
    <cellStyle name="Total 2 3 3 10 2 3" xfId="51241"/>
    <cellStyle name="Total 2 3 3 10 3" xfId="51242"/>
    <cellStyle name="Total 2 3 3 10 3 2" xfId="51243"/>
    <cellStyle name="Total 2 3 3 10 3 3" xfId="51244"/>
    <cellStyle name="Total 2 3 3 10 4" xfId="51245"/>
    <cellStyle name="Total 2 3 3 10 5" xfId="51246"/>
    <cellStyle name="Total 2 3 3 11" xfId="51247"/>
    <cellStyle name="Total 2 3 3 11 2" xfId="51248"/>
    <cellStyle name="Total 2 3 3 11 2 2" xfId="51249"/>
    <cellStyle name="Total 2 3 3 11 2 3" xfId="51250"/>
    <cellStyle name="Total 2 3 3 11 3" xfId="51251"/>
    <cellStyle name="Total 2 3 3 11 3 2" xfId="51252"/>
    <cellStyle name="Total 2 3 3 11 3 3" xfId="51253"/>
    <cellStyle name="Total 2 3 3 11 4" xfId="51254"/>
    <cellStyle name="Total 2 3 3 11 5" xfId="51255"/>
    <cellStyle name="Total 2 3 3 12" xfId="51256"/>
    <cellStyle name="Total 2 3 3 12 2" xfId="51257"/>
    <cellStyle name="Total 2 3 3 12 2 2" xfId="51258"/>
    <cellStyle name="Total 2 3 3 12 2 3" xfId="51259"/>
    <cellStyle name="Total 2 3 3 12 3" xfId="51260"/>
    <cellStyle name="Total 2 3 3 12 3 2" xfId="51261"/>
    <cellStyle name="Total 2 3 3 12 3 3" xfId="51262"/>
    <cellStyle name="Total 2 3 3 12 4" xfId="51263"/>
    <cellStyle name="Total 2 3 3 12 5" xfId="51264"/>
    <cellStyle name="Total 2 3 3 13" xfId="51265"/>
    <cellStyle name="Total 2 3 3 13 2" xfId="51266"/>
    <cellStyle name="Total 2 3 3 13 2 2" xfId="51267"/>
    <cellStyle name="Total 2 3 3 13 2 3" xfId="51268"/>
    <cellStyle name="Total 2 3 3 13 3" xfId="51269"/>
    <cellStyle name="Total 2 3 3 13 3 2" xfId="51270"/>
    <cellStyle name="Total 2 3 3 13 3 3" xfId="51271"/>
    <cellStyle name="Total 2 3 3 13 4" xfId="51272"/>
    <cellStyle name="Total 2 3 3 13 5" xfId="51273"/>
    <cellStyle name="Total 2 3 3 14" xfId="51274"/>
    <cellStyle name="Total 2 3 3 14 2" xfId="51275"/>
    <cellStyle name="Total 2 3 3 14 2 2" xfId="51276"/>
    <cellStyle name="Total 2 3 3 14 2 3" xfId="51277"/>
    <cellStyle name="Total 2 3 3 14 3" xfId="51278"/>
    <cellStyle name="Total 2 3 3 14 3 2" xfId="51279"/>
    <cellStyle name="Total 2 3 3 14 3 3" xfId="51280"/>
    <cellStyle name="Total 2 3 3 14 4" xfId="51281"/>
    <cellStyle name="Total 2 3 3 14 5" xfId="51282"/>
    <cellStyle name="Total 2 3 3 15" xfId="51283"/>
    <cellStyle name="Total 2 3 3 15 2" xfId="51284"/>
    <cellStyle name="Total 2 3 3 15 2 2" xfId="51285"/>
    <cellStyle name="Total 2 3 3 15 2 3" xfId="51286"/>
    <cellStyle name="Total 2 3 3 15 3" xfId="51287"/>
    <cellStyle name="Total 2 3 3 15 3 2" xfId="51288"/>
    <cellStyle name="Total 2 3 3 15 3 3" xfId="51289"/>
    <cellStyle name="Total 2 3 3 15 4" xfId="51290"/>
    <cellStyle name="Total 2 3 3 15 5" xfId="51291"/>
    <cellStyle name="Total 2 3 3 16" xfId="51292"/>
    <cellStyle name="Total 2 3 3 16 2" xfId="51293"/>
    <cellStyle name="Total 2 3 3 16 2 2" xfId="51294"/>
    <cellStyle name="Total 2 3 3 16 2 3" xfId="51295"/>
    <cellStyle name="Total 2 3 3 16 3" xfId="51296"/>
    <cellStyle name="Total 2 3 3 16 3 2" xfId="51297"/>
    <cellStyle name="Total 2 3 3 16 3 3" xfId="51298"/>
    <cellStyle name="Total 2 3 3 16 4" xfId="51299"/>
    <cellStyle name="Total 2 3 3 16 5" xfId="51300"/>
    <cellStyle name="Total 2 3 3 17" xfId="51301"/>
    <cellStyle name="Total 2 3 3 17 2" xfId="51302"/>
    <cellStyle name="Total 2 3 3 17 2 2" xfId="51303"/>
    <cellStyle name="Total 2 3 3 17 2 3" xfId="51304"/>
    <cellStyle name="Total 2 3 3 17 3" xfId="51305"/>
    <cellStyle name="Total 2 3 3 17 3 2" xfId="51306"/>
    <cellStyle name="Total 2 3 3 17 3 3" xfId="51307"/>
    <cellStyle name="Total 2 3 3 17 4" xfId="51308"/>
    <cellStyle name="Total 2 3 3 17 5" xfId="51309"/>
    <cellStyle name="Total 2 3 3 18" xfId="51310"/>
    <cellStyle name="Total 2 3 3 18 2" xfId="51311"/>
    <cellStyle name="Total 2 3 3 18 2 2" xfId="51312"/>
    <cellStyle name="Total 2 3 3 18 2 3" xfId="51313"/>
    <cellStyle name="Total 2 3 3 18 3" xfId="51314"/>
    <cellStyle name="Total 2 3 3 18 3 2" xfId="51315"/>
    <cellStyle name="Total 2 3 3 18 3 3" xfId="51316"/>
    <cellStyle name="Total 2 3 3 18 4" xfId="51317"/>
    <cellStyle name="Total 2 3 3 18 5" xfId="51318"/>
    <cellStyle name="Total 2 3 3 19" xfId="51319"/>
    <cellStyle name="Total 2 3 3 19 2" xfId="51320"/>
    <cellStyle name="Total 2 3 3 19 2 2" xfId="51321"/>
    <cellStyle name="Total 2 3 3 19 2 3" xfId="51322"/>
    <cellStyle name="Total 2 3 3 19 3" xfId="51323"/>
    <cellStyle name="Total 2 3 3 19 3 2" xfId="51324"/>
    <cellStyle name="Total 2 3 3 19 3 3" xfId="51325"/>
    <cellStyle name="Total 2 3 3 19 4" xfId="51326"/>
    <cellStyle name="Total 2 3 3 19 5" xfId="51327"/>
    <cellStyle name="Total 2 3 3 2" xfId="51328"/>
    <cellStyle name="Total 2 3 3 2 2" xfId="51329"/>
    <cellStyle name="Total 2 3 3 2 2 2" xfId="51330"/>
    <cellStyle name="Total 2 3 3 2 2 3" xfId="51331"/>
    <cellStyle name="Total 2 3 3 2 3" xfId="51332"/>
    <cellStyle name="Total 2 3 3 2 3 2" xfId="51333"/>
    <cellStyle name="Total 2 3 3 2 3 3" xfId="51334"/>
    <cellStyle name="Total 2 3 3 2 4" xfId="51335"/>
    <cellStyle name="Total 2 3 3 2 5" xfId="51336"/>
    <cellStyle name="Total 2 3 3 20" xfId="51337"/>
    <cellStyle name="Total 2 3 3 20 2" xfId="51338"/>
    <cellStyle name="Total 2 3 3 20 2 2" xfId="51339"/>
    <cellStyle name="Total 2 3 3 20 2 3" xfId="51340"/>
    <cellStyle name="Total 2 3 3 20 3" xfId="51341"/>
    <cellStyle name="Total 2 3 3 20 3 2" xfId="51342"/>
    <cellStyle name="Total 2 3 3 20 3 3" xfId="51343"/>
    <cellStyle name="Total 2 3 3 20 4" xfId="51344"/>
    <cellStyle name="Total 2 3 3 20 5" xfId="51345"/>
    <cellStyle name="Total 2 3 3 21" xfId="51346"/>
    <cellStyle name="Total 2 3 3 21 2" xfId="51347"/>
    <cellStyle name="Total 2 3 3 21 2 2" xfId="51348"/>
    <cellStyle name="Total 2 3 3 21 2 3" xfId="51349"/>
    <cellStyle name="Total 2 3 3 21 3" xfId="51350"/>
    <cellStyle name="Total 2 3 3 21 3 2" xfId="51351"/>
    <cellStyle name="Total 2 3 3 21 3 3" xfId="51352"/>
    <cellStyle name="Total 2 3 3 21 4" xfId="51353"/>
    <cellStyle name="Total 2 3 3 21 5" xfId="51354"/>
    <cellStyle name="Total 2 3 3 22" xfId="51355"/>
    <cellStyle name="Total 2 3 3 22 2" xfId="51356"/>
    <cellStyle name="Total 2 3 3 22 2 2" xfId="51357"/>
    <cellStyle name="Total 2 3 3 22 2 3" xfId="51358"/>
    <cellStyle name="Total 2 3 3 22 3" xfId="51359"/>
    <cellStyle name="Total 2 3 3 22 3 2" xfId="51360"/>
    <cellStyle name="Total 2 3 3 22 3 3" xfId="51361"/>
    <cellStyle name="Total 2 3 3 22 4" xfId="51362"/>
    <cellStyle name="Total 2 3 3 22 5" xfId="51363"/>
    <cellStyle name="Total 2 3 3 23" xfId="51364"/>
    <cellStyle name="Total 2 3 3 23 2" xfId="51365"/>
    <cellStyle name="Total 2 3 3 23 2 2" xfId="51366"/>
    <cellStyle name="Total 2 3 3 23 2 3" xfId="51367"/>
    <cellStyle name="Total 2 3 3 23 3" xfId="51368"/>
    <cellStyle name="Total 2 3 3 23 3 2" xfId="51369"/>
    <cellStyle name="Total 2 3 3 23 3 3" xfId="51370"/>
    <cellStyle name="Total 2 3 3 23 4" xfId="51371"/>
    <cellStyle name="Total 2 3 3 23 5" xfId="51372"/>
    <cellStyle name="Total 2 3 3 24" xfId="51373"/>
    <cellStyle name="Total 2 3 3 24 2" xfId="51374"/>
    <cellStyle name="Total 2 3 3 24 2 2" xfId="51375"/>
    <cellStyle name="Total 2 3 3 24 2 3" xfId="51376"/>
    <cellStyle name="Total 2 3 3 24 3" xfId="51377"/>
    <cellStyle name="Total 2 3 3 24 3 2" xfId="51378"/>
    <cellStyle name="Total 2 3 3 24 3 3" xfId="51379"/>
    <cellStyle name="Total 2 3 3 24 4" xfId="51380"/>
    <cellStyle name="Total 2 3 3 24 5" xfId="51381"/>
    <cellStyle name="Total 2 3 3 25" xfId="51382"/>
    <cellStyle name="Total 2 3 3 25 2" xfId="51383"/>
    <cellStyle name="Total 2 3 3 25 2 2" xfId="51384"/>
    <cellStyle name="Total 2 3 3 25 2 3" xfId="51385"/>
    <cellStyle name="Total 2 3 3 25 3" xfId="51386"/>
    <cellStyle name="Total 2 3 3 25 3 2" xfId="51387"/>
    <cellStyle name="Total 2 3 3 25 3 3" xfId="51388"/>
    <cellStyle name="Total 2 3 3 25 4" xfId="51389"/>
    <cellStyle name="Total 2 3 3 25 5" xfId="51390"/>
    <cellStyle name="Total 2 3 3 26" xfId="51391"/>
    <cellStyle name="Total 2 3 3 26 2" xfId="51392"/>
    <cellStyle name="Total 2 3 3 26 2 2" xfId="51393"/>
    <cellStyle name="Total 2 3 3 26 2 3" xfId="51394"/>
    <cellStyle name="Total 2 3 3 26 3" xfId="51395"/>
    <cellStyle name="Total 2 3 3 26 3 2" xfId="51396"/>
    <cellStyle name="Total 2 3 3 26 3 3" xfId="51397"/>
    <cellStyle name="Total 2 3 3 26 4" xfId="51398"/>
    <cellStyle name="Total 2 3 3 26 5" xfId="51399"/>
    <cellStyle name="Total 2 3 3 27" xfId="51400"/>
    <cellStyle name="Total 2 3 3 27 2" xfId="51401"/>
    <cellStyle name="Total 2 3 3 27 2 2" xfId="51402"/>
    <cellStyle name="Total 2 3 3 27 2 3" xfId="51403"/>
    <cellStyle name="Total 2 3 3 27 3" xfId="51404"/>
    <cellStyle name="Total 2 3 3 27 3 2" xfId="51405"/>
    <cellStyle name="Total 2 3 3 27 3 3" xfId="51406"/>
    <cellStyle name="Total 2 3 3 27 4" xfId="51407"/>
    <cellStyle name="Total 2 3 3 27 5" xfId="51408"/>
    <cellStyle name="Total 2 3 3 28" xfId="51409"/>
    <cellStyle name="Total 2 3 3 28 2" xfId="51410"/>
    <cellStyle name="Total 2 3 3 28 2 2" xfId="51411"/>
    <cellStyle name="Total 2 3 3 28 2 3" xfId="51412"/>
    <cellStyle name="Total 2 3 3 28 3" xfId="51413"/>
    <cellStyle name="Total 2 3 3 28 3 2" xfId="51414"/>
    <cellStyle name="Total 2 3 3 28 3 3" xfId="51415"/>
    <cellStyle name="Total 2 3 3 28 4" xfId="51416"/>
    <cellStyle name="Total 2 3 3 28 5" xfId="51417"/>
    <cellStyle name="Total 2 3 3 29" xfId="51418"/>
    <cellStyle name="Total 2 3 3 29 2" xfId="51419"/>
    <cellStyle name="Total 2 3 3 29 2 2" xfId="51420"/>
    <cellStyle name="Total 2 3 3 29 2 3" xfId="51421"/>
    <cellStyle name="Total 2 3 3 29 3" xfId="51422"/>
    <cellStyle name="Total 2 3 3 29 3 2" xfId="51423"/>
    <cellStyle name="Total 2 3 3 29 3 3" xfId="51424"/>
    <cellStyle name="Total 2 3 3 29 4" xfId="51425"/>
    <cellStyle name="Total 2 3 3 29 5" xfId="51426"/>
    <cellStyle name="Total 2 3 3 3" xfId="51427"/>
    <cellStyle name="Total 2 3 3 3 2" xfId="51428"/>
    <cellStyle name="Total 2 3 3 3 2 2" xfId="51429"/>
    <cellStyle name="Total 2 3 3 3 2 3" xfId="51430"/>
    <cellStyle name="Total 2 3 3 3 3" xfId="51431"/>
    <cellStyle name="Total 2 3 3 3 3 2" xfId="51432"/>
    <cellStyle name="Total 2 3 3 3 3 3" xfId="51433"/>
    <cellStyle name="Total 2 3 3 3 4" xfId="51434"/>
    <cellStyle name="Total 2 3 3 3 5" xfId="51435"/>
    <cellStyle name="Total 2 3 3 30" xfId="51436"/>
    <cellStyle name="Total 2 3 3 30 2" xfId="51437"/>
    <cellStyle name="Total 2 3 3 30 2 2" xfId="51438"/>
    <cellStyle name="Total 2 3 3 30 2 3" xfId="51439"/>
    <cellStyle name="Total 2 3 3 30 3" xfId="51440"/>
    <cellStyle name="Total 2 3 3 30 3 2" xfId="51441"/>
    <cellStyle name="Total 2 3 3 30 3 3" xfId="51442"/>
    <cellStyle name="Total 2 3 3 30 4" xfId="51443"/>
    <cellStyle name="Total 2 3 3 30 5" xfId="51444"/>
    <cellStyle name="Total 2 3 3 31" xfId="51445"/>
    <cellStyle name="Total 2 3 3 31 2" xfId="51446"/>
    <cellStyle name="Total 2 3 3 31 2 2" xfId="51447"/>
    <cellStyle name="Total 2 3 3 31 2 3" xfId="51448"/>
    <cellStyle name="Total 2 3 3 31 3" xfId="51449"/>
    <cellStyle name="Total 2 3 3 31 3 2" xfId="51450"/>
    <cellStyle name="Total 2 3 3 31 3 3" xfId="51451"/>
    <cellStyle name="Total 2 3 3 31 4" xfId="51452"/>
    <cellStyle name="Total 2 3 3 31 5" xfId="51453"/>
    <cellStyle name="Total 2 3 3 32" xfId="51454"/>
    <cellStyle name="Total 2 3 3 32 2" xfId="51455"/>
    <cellStyle name="Total 2 3 3 32 2 2" xfId="51456"/>
    <cellStyle name="Total 2 3 3 32 2 3" xfId="51457"/>
    <cellStyle name="Total 2 3 3 32 3" xfId="51458"/>
    <cellStyle name="Total 2 3 3 32 3 2" xfId="51459"/>
    <cellStyle name="Total 2 3 3 32 3 3" xfId="51460"/>
    <cellStyle name="Total 2 3 3 32 4" xfId="51461"/>
    <cellStyle name="Total 2 3 3 32 5" xfId="51462"/>
    <cellStyle name="Total 2 3 3 33" xfId="51463"/>
    <cellStyle name="Total 2 3 3 33 2" xfId="51464"/>
    <cellStyle name="Total 2 3 3 33 2 2" xfId="51465"/>
    <cellStyle name="Total 2 3 3 33 2 3" xfId="51466"/>
    <cellStyle name="Total 2 3 3 33 3" xfId="51467"/>
    <cellStyle name="Total 2 3 3 33 3 2" xfId="51468"/>
    <cellStyle name="Total 2 3 3 33 3 3" xfId="51469"/>
    <cellStyle name="Total 2 3 3 33 4" xfId="51470"/>
    <cellStyle name="Total 2 3 3 33 5" xfId="51471"/>
    <cellStyle name="Total 2 3 3 34" xfId="51472"/>
    <cellStyle name="Total 2 3 3 34 2" xfId="51473"/>
    <cellStyle name="Total 2 3 3 34 2 2" xfId="51474"/>
    <cellStyle name="Total 2 3 3 34 2 3" xfId="51475"/>
    <cellStyle name="Total 2 3 3 34 3" xfId="51476"/>
    <cellStyle name="Total 2 3 3 34 3 2" xfId="51477"/>
    <cellStyle name="Total 2 3 3 34 3 3" xfId="51478"/>
    <cellStyle name="Total 2 3 3 34 4" xfId="51479"/>
    <cellStyle name="Total 2 3 3 34 5" xfId="51480"/>
    <cellStyle name="Total 2 3 3 35" xfId="51481"/>
    <cellStyle name="Total 2 3 3 35 2" xfId="51482"/>
    <cellStyle name="Total 2 3 3 35 2 2" xfId="51483"/>
    <cellStyle name="Total 2 3 3 35 2 3" xfId="51484"/>
    <cellStyle name="Total 2 3 3 35 3" xfId="51485"/>
    <cellStyle name="Total 2 3 3 35 3 2" xfId="51486"/>
    <cellStyle name="Total 2 3 3 35 3 3" xfId="51487"/>
    <cellStyle name="Total 2 3 3 35 4" xfId="51488"/>
    <cellStyle name="Total 2 3 3 35 5" xfId="51489"/>
    <cellStyle name="Total 2 3 3 36" xfId="51490"/>
    <cellStyle name="Total 2 3 3 36 2" xfId="51491"/>
    <cellStyle name="Total 2 3 3 36 2 2" xfId="51492"/>
    <cellStyle name="Total 2 3 3 36 2 3" xfId="51493"/>
    <cellStyle name="Total 2 3 3 36 3" xfId="51494"/>
    <cellStyle name="Total 2 3 3 36 3 2" xfId="51495"/>
    <cellStyle name="Total 2 3 3 36 3 3" xfId="51496"/>
    <cellStyle name="Total 2 3 3 36 4" xfId="51497"/>
    <cellStyle name="Total 2 3 3 36 5" xfId="51498"/>
    <cellStyle name="Total 2 3 3 37" xfId="51499"/>
    <cellStyle name="Total 2 3 3 37 2" xfId="51500"/>
    <cellStyle name="Total 2 3 3 37 2 2" xfId="51501"/>
    <cellStyle name="Total 2 3 3 37 2 3" xfId="51502"/>
    <cellStyle name="Total 2 3 3 37 3" xfId="51503"/>
    <cellStyle name="Total 2 3 3 37 3 2" xfId="51504"/>
    <cellStyle name="Total 2 3 3 37 3 3" xfId="51505"/>
    <cellStyle name="Total 2 3 3 37 4" xfId="51506"/>
    <cellStyle name="Total 2 3 3 37 5" xfId="51507"/>
    <cellStyle name="Total 2 3 3 38" xfId="51508"/>
    <cellStyle name="Total 2 3 3 38 2" xfId="51509"/>
    <cellStyle name="Total 2 3 3 38 2 2" xfId="51510"/>
    <cellStyle name="Total 2 3 3 38 2 3" xfId="51511"/>
    <cellStyle name="Total 2 3 3 38 3" xfId="51512"/>
    <cellStyle name="Total 2 3 3 38 3 2" xfId="51513"/>
    <cellStyle name="Total 2 3 3 38 3 3" xfId="51514"/>
    <cellStyle name="Total 2 3 3 38 4" xfId="51515"/>
    <cellStyle name="Total 2 3 3 38 5" xfId="51516"/>
    <cellStyle name="Total 2 3 3 39" xfId="51517"/>
    <cellStyle name="Total 2 3 3 39 2" xfId="51518"/>
    <cellStyle name="Total 2 3 3 39 2 2" xfId="51519"/>
    <cellStyle name="Total 2 3 3 39 2 3" xfId="51520"/>
    <cellStyle name="Total 2 3 3 39 3" xfId="51521"/>
    <cellStyle name="Total 2 3 3 39 3 2" xfId="51522"/>
    <cellStyle name="Total 2 3 3 39 3 3" xfId="51523"/>
    <cellStyle name="Total 2 3 3 39 4" xfId="51524"/>
    <cellStyle name="Total 2 3 3 39 5" xfId="51525"/>
    <cellStyle name="Total 2 3 3 4" xfId="51526"/>
    <cellStyle name="Total 2 3 3 4 2" xfId="51527"/>
    <cellStyle name="Total 2 3 3 4 2 2" xfId="51528"/>
    <cellStyle name="Total 2 3 3 4 2 3" xfId="51529"/>
    <cellStyle name="Total 2 3 3 4 3" xfId="51530"/>
    <cellStyle name="Total 2 3 3 4 3 2" xfId="51531"/>
    <cellStyle name="Total 2 3 3 4 3 3" xfId="51532"/>
    <cellStyle name="Total 2 3 3 4 4" xfId="51533"/>
    <cellStyle name="Total 2 3 3 4 5" xfId="51534"/>
    <cellStyle name="Total 2 3 3 40" xfId="51535"/>
    <cellStyle name="Total 2 3 3 40 2" xfId="51536"/>
    <cellStyle name="Total 2 3 3 40 2 2" xfId="51537"/>
    <cellStyle name="Total 2 3 3 40 2 3" xfId="51538"/>
    <cellStyle name="Total 2 3 3 40 3" xfId="51539"/>
    <cellStyle name="Total 2 3 3 40 4" xfId="51540"/>
    <cellStyle name="Total 2 3 3 41" xfId="51541"/>
    <cellStyle name="Total 2 3 3 41 2" xfId="51542"/>
    <cellStyle name="Total 2 3 3 41 3" xfId="51543"/>
    <cellStyle name="Total 2 3 3 42" xfId="51544"/>
    <cellStyle name="Total 2 3 3 42 2" xfId="51545"/>
    <cellStyle name="Total 2 3 3 42 3" xfId="51546"/>
    <cellStyle name="Total 2 3 3 43" xfId="51547"/>
    <cellStyle name="Total 2 3 3 43 2" xfId="51548"/>
    <cellStyle name="Total 2 3 3 43 3" xfId="51549"/>
    <cellStyle name="Total 2 3 3 44" xfId="51550"/>
    <cellStyle name="Total 2 3 3 45" xfId="51551"/>
    <cellStyle name="Total 2 3 3 5" xfId="51552"/>
    <cellStyle name="Total 2 3 3 5 2" xfId="51553"/>
    <cellStyle name="Total 2 3 3 5 2 2" xfId="51554"/>
    <cellStyle name="Total 2 3 3 5 2 3" xfId="51555"/>
    <cellStyle name="Total 2 3 3 5 3" xfId="51556"/>
    <cellStyle name="Total 2 3 3 5 3 2" xfId="51557"/>
    <cellStyle name="Total 2 3 3 5 3 3" xfId="51558"/>
    <cellStyle name="Total 2 3 3 5 4" xfId="51559"/>
    <cellStyle name="Total 2 3 3 5 5" xfId="51560"/>
    <cellStyle name="Total 2 3 3 6" xfId="51561"/>
    <cellStyle name="Total 2 3 3 6 2" xfId="51562"/>
    <cellStyle name="Total 2 3 3 6 2 2" xfId="51563"/>
    <cellStyle name="Total 2 3 3 6 2 3" xfId="51564"/>
    <cellStyle name="Total 2 3 3 6 3" xfId="51565"/>
    <cellStyle name="Total 2 3 3 6 3 2" xfId="51566"/>
    <cellStyle name="Total 2 3 3 6 3 3" xfId="51567"/>
    <cellStyle name="Total 2 3 3 6 4" xfId="51568"/>
    <cellStyle name="Total 2 3 3 6 5" xfId="51569"/>
    <cellStyle name="Total 2 3 3 7" xfId="51570"/>
    <cellStyle name="Total 2 3 3 7 2" xfId="51571"/>
    <cellStyle name="Total 2 3 3 7 2 2" xfId="51572"/>
    <cellStyle name="Total 2 3 3 7 2 3" xfId="51573"/>
    <cellStyle name="Total 2 3 3 7 3" xfId="51574"/>
    <cellStyle name="Total 2 3 3 7 3 2" xfId="51575"/>
    <cellStyle name="Total 2 3 3 7 3 3" xfId="51576"/>
    <cellStyle name="Total 2 3 3 7 4" xfId="51577"/>
    <cellStyle name="Total 2 3 3 7 5" xfId="51578"/>
    <cellStyle name="Total 2 3 3 8" xfId="51579"/>
    <cellStyle name="Total 2 3 3 8 2" xfId="51580"/>
    <cellStyle name="Total 2 3 3 8 2 2" xfId="51581"/>
    <cellStyle name="Total 2 3 3 8 2 3" xfId="51582"/>
    <cellStyle name="Total 2 3 3 8 3" xfId="51583"/>
    <cellStyle name="Total 2 3 3 8 3 2" xfId="51584"/>
    <cellStyle name="Total 2 3 3 8 3 3" xfId="51585"/>
    <cellStyle name="Total 2 3 3 8 4" xfId="51586"/>
    <cellStyle name="Total 2 3 3 8 5" xfId="51587"/>
    <cellStyle name="Total 2 3 3 9" xfId="51588"/>
    <cellStyle name="Total 2 3 3 9 2" xfId="51589"/>
    <cellStyle name="Total 2 3 3 9 2 2" xfId="51590"/>
    <cellStyle name="Total 2 3 3 9 2 3" xfId="51591"/>
    <cellStyle name="Total 2 3 3 9 3" xfId="51592"/>
    <cellStyle name="Total 2 3 3 9 3 2" xfId="51593"/>
    <cellStyle name="Total 2 3 3 9 3 3" xfId="51594"/>
    <cellStyle name="Total 2 3 3 9 4" xfId="51595"/>
    <cellStyle name="Total 2 3 3 9 5" xfId="51596"/>
    <cellStyle name="Total 2 3 30" xfId="51597"/>
    <cellStyle name="Total 2 3 30 2" xfId="51598"/>
    <cellStyle name="Total 2 3 30 2 2" xfId="51599"/>
    <cellStyle name="Total 2 3 30 2 3" xfId="51600"/>
    <cellStyle name="Total 2 3 30 3" xfId="51601"/>
    <cellStyle name="Total 2 3 30 3 2" xfId="51602"/>
    <cellStyle name="Total 2 3 30 3 3" xfId="51603"/>
    <cellStyle name="Total 2 3 30 4" xfId="51604"/>
    <cellStyle name="Total 2 3 30 5" xfId="51605"/>
    <cellStyle name="Total 2 3 31" xfId="51606"/>
    <cellStyle name="Total 2 3 31 2" xfId="51607"/>
    <cellStyle name="Total 2 3 31 2 2" xfId="51608"/>
    <cellStyle name="Total 2 3 31 2 3" xfId="51609"/>
    <cellStyle name="Total 2 3 31 3" xfId="51610"/>
    <cellStyle name="Total 2 3 31 3 2" xfId="51611"/>
    <cellStyle name="Total 2 3 31 3 3" xfId="51612"/>
    <cellStyle name="Total 2 3 31 4" xfId="51613"/>
    <cellStyle name="Total 2 3 31 5" xfId="51614"/>
    <cellStyle name="Total 2 3 32" xfId="51615"/>
    <cellStyle name="Total 2 3 32 2" xfId="51616"/>
    <cellStyle name="Total 2 3 32 2 2" xfId="51617"/>
    <cellStyle name="Total 2 3 32 2 3" xfId="51618"/>
    <cellStyle name="Total 2 3 32 3" xfId="51619"/>
    <cellStyle name="Total 2 3 32 3 2" xfId="51620"/>
    <cellStyle name="Total 2 3 32 3 3" xfId="51621"/>
    <cellStyle name="Total 2 3 32 4" xfId="51622"/>
    <cellStyle name="Total 2 3 32 5" xfId="51623"/>
    <cellStyle name="Total 2 3 33" xfId="51624"/>
    <cellStyle name="Total 2 3 33 2" xfId="51625"/>
    <cellStyle name="Total 2 3 33 2 2" xfId="51626"/>
    <cellStyle name="Total 2 3 33 2 3" xfId="51627"/>
    <cellStyle name="Total 2 3 33 3" xfId="51628"/>
    <cellStyle name="Total 2 3 33 4" xfId="51629"/>
    <cellStyle name="Total 2 3 34" xfId="51630"/>
    <cellStyle name="Total 2 3 34 2" xfId="51631"/>
    <cellStyle name="Total 2 3 34 3" xfId="51632"/>
    <cellStyle name="Total 2 3 35" xfId="51633"/>
    <cellStyle name="Total 2 3 35 2" xfId="51634"/>
    <cellStyle name="Total 2 3 35 3" xfId="51635"/>
    <cellStyle name="Total 2 3 36" xfId="51636"/>
    <cellStyle name="Total 2 3 36 2" xfId="51637"/>
    <cellStyle name="Total 2 3 36 3" xfId="51638"/>
    <cellStyle name="Total 2 3 37" xfId="51639"/>
    <cellStyle name="Total 2 3 38" xfId="51640"/>
    <cellStyle name="Total 2 3 4" xfId="51641"/>
    <cellStyle name="Total 2 3 4 10" xfId="51642"/>
    <cellStyle name="Total 2 3 4 10 2" xfId="51643"/>
    <cellStyle name="Total 2 3 4 10 2 2" xfId="51644"/>
    <cellStyle name="Total 2 3 4 10 2 3" xfId="51645"/>
    <cellStyle name="Total 2 3 4 10 3" xfId="51646"/>
    <cellStyle name="Total 2 3 4 10 3 2" xfId="51647"/>
    <cellStyle name="Total 2 3 4 10 3 3" xfId="51648"/>
    <cellStyle name="Total 2 3 4 10 4" xfId="51649"/>
    <cellStyle name="Total 2 3 4 10 5" xfId="51650"/>
    <cellStyle name="Total 2 3 4 11" xfId="51651"/>
    <cellStyle name="Total 2 3 4 11 2" xfId="51652"/>
    <cellStyle name="Total 2 3 4 11 2 2" xfId="51653"/>
    <cellStyle name="Total 2 3 4 11 2 3" xfId="51654"/>
    <cellStyle name="Total 2 3 4 11 3" xfId="51655"/>
    <cellStyle name="Total 2 3 4 11 3 2" xfId="51656"/>
    <cellStyle name="Total 2 3 4 11 3 3" xfId="51657"/>
    <cellStyle name="Total 2 3 4 11 4" xfId="51658"/>
    <cellStyle name="Total 2 3 4 11 5" xfId="51659"/>
    <cellStyle name="Total 2 3 4 12" xfId="51660"/>
    <cellStyle name="Total 2 3 4 12 2" xfId="51661"/>
    <cellStyle name="Total 2 3 4 12 2 2" xfId="51662"/>
    <cellStyle name="Total 2 3 4 12 2 3" xfId="51663"/>
    <cellStyle name="Total 2 3 4 12 3" xfId="51664"/>
    <cellStyle name="Total 2 3 4 12 3 2" xfId="51665"/>
    <cellStyle name="Total 2 3 4 12 3 3" xfId="51666"/>
    <cellStyle name="Total 2 3 4 12 4" xfId="51667"/>
    <cellStyle name="Total 2 3 4 12 5" xfId="51668"/>
    <cellStyle name="Total 2 3 4 13" xfId="51669"/>
    <cellStyle name="Total 2 3 4 13 2" xfId="51670"/>
    <cellStyle name="Total 2 3 4 13 2 2" xfId="51671"/>
    <cellStyle name="Total 2 3 4 13 2 3" xfId="51672"/>
    <cellStyle name="Total 2 3 4 13 3" xfId="51673"/>
    <cellStyle name="Total 2 3 4 13 3 2" xfId="51674"/>
    <cellStyle name="Total 2 3 4 13 3 3" xfId="51675"/>
    <cellStyle name="Total 2 3 4 13 4" xfId="51676"/>
    <cellStyle name="Total 2 3 4 13 5" xfId="51677"/>
    <cellStyle name="Total 2 3 4 14" xfId="51678"/>
    <cellStyle name="Total 2 3 4 14 2" xfId="51679"/>
    <cellStyle name="Total 2 3 4 14 2 2" xfId="51680"/>
    <cellStyle name="Total 2 3 4 14 2 3" xfId="51681"/>
    <cellStyle name="Total 2 3 4 14 3" xfId="51682"/>
    <cellStyle name="Total 2 3 4 14 3 2" xfId="51683"/>
    <cellStyle name="Total 2 3 4 14 3 3" xfId="51684"/>
    <cellStyle name="Total 2 3 4 14 4" xfId="51685"/>
    <cellStyle name="Total 2 3 4 14 5" xfId="51686"/>
    <cellStyle name="Total 2 3 4 15" xfId="51687"/>
    <cellStyle name="Total 2 3 4 15 2" xfId="51688"/>
    <cellStyle name="Total 2 3 4 15 2 2" xfId="51689"/>
    <cellStyle name="Total 2 3 4 15 2 3" xfId="51690"/>
    <cellStyle name="Total 2 3 4 15 3" xfId="51691"/>
    <cellStyle name="Total 2 3 4 15 3 2" xfId="51692"/>
    <cellStyle name="Total 2 3 4 15 3 3" xfId="51693"/>
    <cellStyle name="Total 2 3 4 15 4" xfId="51694"/>
    <cellStyle name="Total 2 3 4 15 5" xfId="51695"/>
    <cellStyle name="Total 2 3 4 16" xfId="51696"/>
    <cellStyle name="Total 2 3 4 16 2" xfId="51697"/>
    <cellStyle name="Total 2 3 4 16 2 2" xfId="51698"/>
    <cellStyle name="Total 2 3 4 16 2 3" xfId="51699"/>
    <cellStyle name="Total 2 3 4 16 3" xfId="51700"/>
    <cellStyle name="Total 2 3 4 16 3 2" xfId="51701"/>
    <cellStyle name="Total 2 3 4 16 3 3" xfId="51702"/>
    <cellStyle name="Total 2 3 4 16 4" xfId="51703"/>
    <cellStyle name="Total 2 3 4 16 5" xfId="51704"/>
    <cellStyle name="Total 2 3 4 17" xfId="51705"/>
    <cellStyle name="Total 2 3 4 17 2" xfId="51706"/>
    <cellStyle name="Total 2 3 4 17 2 2" xfId="51707"/>
    <cellStyle name="Total 2 3 4 17 2 3" xfId="51708"/>
    <cellStyle name="Total 2 3 4 17 3" xfId="51709"/>
    <cellStyle name="Total 2 3 4 17 3 2" xfId="51710"/>
    <cellStyle name="Total 2 3 4 17 3 3" xfId="51711"/>
    <cellStyle name="Total 2 3 4 17 4" xfId="51712"/>
    <cellStyle name="Total 2 3 4 17 5" xfId="51713"/>
    <cellStyle name="Total 2 3 4 18" xfId="51714"/>
    <cellStyle name="Total 2 3 4 18 2" xfId="51715"/>
    <cellStyle name="Total 2 3 4 18 2 2" xfId="51716"/>
    <cellStyle name="Total 2 3 4 18 2 3" xfId="51717"/>
    <cellStyle name="Total 2 3 4 18 3" xfId="51718"/>
    <cellStyle name="Total 2 3 4 18 3 2" xfId="51719"/>
    <cellStyle name="Total 2 3 4 18 3 3" xfId="51720"/>
    <cellStyle name="Total 2 3 4 18 4" xfId="51721"/>
    <cellStyle name="Total 2 3 4 18 5" xfId="51722"/>
    <cellStyle name="Total 2 3 4 19" xfId="51723"/>
    <cellStyle name="Total 2 3 4 19 2" xfId="51724"/>
    <cellStyle name="Total 2 3 4 19 2 2" xfId="51725"/>
    <cellStyle name="Total 2 3 4 19 2 3" xfId="51726"/>
    <cellStyle name="Total 2 3 4 19 3" xfId="51727"/>
    <cellStyle name="Total 2 3 4 19 3 2" xfId="51728"/>
    <cellStyle name="Total 2 3 4 19 3 3" xfId="51729"/>
    <cellStyle name="Total 2 3 4 19 4" xfId="51730"/>
    <cellStyle name="Total 2 3 4 19 5" xfId="51731"/>
    <cellStyle name="Total 2 3 4 2" xfId="51732"/>
    <cellStyle name="Total 2 3 4 2 2" xfId="51733"/>
    <cellStyle name="Total 2 3 4 2 2 2" xfId="51734"/>
    <cellStyle name="Total 2 3 4 2 2 3" xfId="51735"/>
    <cellStyle name="Total 2 3 4 2 3" xfId="51736"/>
    <cellStyle name="Total 2 3 4 2 3 2" xfId="51737"/>
    <cellStyle name="Total 2 3 4 2 3 3" xfId="51738"/>
    <cellStyle name="Total 2 3 4 2 4" xfId="51739"/>
    <cellStyle name="Total 2 3 4 2 5" xfId="51740"/>
    <cellStyle name="Total 2 3 4 20" xfId="51741"/>
    <cellStyle name="Total 2 3 4 20 2" xfId="51742"/>
    <cellStyle name="Total 2 3 4 20 2 2" xfId="51743"/>
    <cellStyle name="Total 2 3 4 20 2 3" xfId="51744"/>
    <cellStyle name="Total 2 3 4 20 3" xfId="51745"/>
    <cellStyle name="Total 2 3 4 20 3 2" xfId="51746"/>
    <cellStyle name="Total 2 3 4 20 3 3" xfId="51747"/>
    <cellStyle name="Total 2 3 4 20 4" xfId="51748"/>
    <cellStyle name="Total 2 3 4 20 5" xfId="51749"/>
    <cellStyle name="Total 2 3 4 21" xfId="51750"/>
    <cellStyle name="Total 2 3 4 21 2" xfId="51751"/>
    <cellStyle name="Total 2 3 4 21 2 2" xfId="51752"/>
    <cellStyle name="Total 2 3 4 21 2 3" xfId="51753"/>
    <cellStyle name="Total 2 3 4 21 3" xfId="51754"/>
    <cellStyle name="Total 2 3 4 21 3 2" xfId="51755"/>
    <cellStyle name="Total 2 3 4 21 3 3" xfId="51756"/>
    <cellStyle name="Total 2 3 4 21 4" xfId="51757"/>
    <cellStyle name="Total 2 3 4 21 5" xfId="51758"/>
    <cellStyle name="Total 2 3 4 22" xfId="51759"/>
    <cellStyle name="Total 2 3 4 22 2" xfId="51760"/>
    <cellStyle name="Total 2 3 4 22 2 2" xfId="51761"/>
    <cellStyle name="Total 2 3 4 22 2 3" xfId="51762"/>
    <cellStyle name="Total 2 3 4 22 3" xfId="51763"/>
    <cellStyle name="Total 2 3 4 22 3 2" xfId="51764"/>
    <cellStyle name="Total 2 3 4 22 3 3" xfId="51765"/>
    <cellStyle name="Total 2 3 4 22 4" xfId="51766"/>
    <cellStyle name="Total 2 3 4 22 5" xfId="51767"/>
    <cellStyle name="Total 2 3 4 23" xfId="51768"/>
    <cellStyle name="Total 2 3 4 23 2" xfId="51769"/>
    <cellStyle name="Total 2 3 4 23 2 2" xfId="51770"/>
    <cellStyle name="Total 2 3 4 23 2 3" xfId="51771"/>
    <cellStyle name="Total 2 3 4 23 3" xfId="51772"/>
    <cellStyle name="Total 2 3 4 23 3 2" xfId="51773"/>
    <cellStyle name="Total 2 3 4 23 3 3" xfId="51774"/>
    <cellStyle name="Total 2 3 4 23 4" xfId="51775"/>
    <cellStyle name="Total 2 3 4 23 5" xfId="51776"/>
    <cellStyle name="Total 2 3 4 24" xfId="51777"/>
    <cellStyle name="Total 2 3 4 24 2" xfId="51778"/>
    <cellStyle name="Total 2 3 4 24 2 2" xfId="51779"/>
    <cellStyle name="Total 2 3 4 24 2 3" xfId="51780"/>
    <cellStyle name="Total 2 3 4 24 3" xfId="51781"/>
    <cellStyle name="Total 2 3 4 24 3 2" xfId="51782"/>
    <cellStyle name="Total 2 3 4 24 3 3" xfId="51783"/>
    <cellStyle name="Total 2 3 4 24 4" xfId="51784"/>
    <cellStyle name="Total 2 3 4 24 5" xfId="51785"/>
    <cellStyle name="Total 2 3 4 25" xfId="51786"/>
    <cellStyle name="Total 2 3 4 25 2" xfId="51787"/>
    <cellStyle name="Total 2 3 4 25 2 2" xfId="51788"/>
    <cellStyle name="Total 2 3 4 25 2 3" xfId="51789"/>
    <cellStyle name="Total 2 3 4 25 3" xfId="51790"/>
    <cellStyle name="Total 2 3 4 25 3 2" xfId="51791"/>
    <cellStyle name="Total 2 3 4 25 3 3" xfId="51792"/>
    <cellStyle name="Total 2 3 4 25 4" xfId="51793"/>
    <cellStyle name="Total 2 3 4 25 5" xfId="51794"/>
    <cellStyle name="Total 2 3 4 26" xfId="51795"/>
    <cellStyle name="Total 2 3 4 26 2" xfId="51796"/>
    <cellStyle name="Total 2 3 4 26 2 2" xfId="51797"/>
    <cellStyle name="Total 2 3 4 26 2 3" xfId="51798"/>
    <cellStyle name="Total 2 3 4 26 3" xfId="51799"/>
    <cellStyle name="Total 2 3 4 26 3 2" xfId="51800"/>
    <cellStyle name="Total 2 3 4 26 3 3" xfId="51801"/>
    <cellStyle name="Total 2 3 4 26 4" xfId="51802"/>
    <cellStyle name="Total 2 3 4 26 5" xfId="51803"/>
    <cellStyle name="Total 2 3 4 27" xfId="51804"/>
    <cellStyle name="Total 2 3 4 27 2" xfId="51805"/>
    <cellStyle name="Total 2 3 4 27 2 2" xfId="51806"/>
    <cellStyle name="Total 2 3 4 27 2 3" xfId="51807"/>
    <cellStyle name="Total 2 3 4 27 3" xfId="51808"/>
    <cellStyle name="Total 2 3 4 27 3 2" xfId="51809"/>
    <cellStyle name="Total 2 3 4 27 3 3" xfId="51810"/>
    <cellStyle name="Total 2 3 4 27 4" xfId="51811"/>
    <cellStyle name="Total 2 3 4 27 5" xfId="51812"/>
    <cellStyle name="Total 2 3 4 28" xfId="51813"/>
    <cellStyle name="Total 2 3 4 28 2" xfId="51814"/>
    <cellStyle name="Total 2 3 4 28 2 2" xfId="51815"/>
    <cellStyle name="Total 2 3 4 28 2 3" xfId="51816"/>
    <cellStyle name="Total 2 3 4 28 3" xfId="51817"/>
    <cellStyle name="Total 2 3 4 28 3 2" xfId="51818"/>
    <cellStyle name="Total 2 3 4 28 3 3" xfId="51819"/>
    <cellStyle name="Total 2 3 4 28 4" xfId="51820"/>
    <cellStyle name="Total 2 3 4 28 5" xfId="51821"/>
    <cellStyle name="Total 2 3 4 29" xfId="51822"/>
    <cellStyle name="Total 2 3 4 29 2" xfId="51823"/>
    <cellStyle name="Total 2 3 4 29 2 2" xfId="51824"/>
    <cellStyle name="Total 2 3 4 29 2 3" xfId="51825"/>
    <cellStyle name="Total 2 3 4 29 3" xfId="51826"/>
    <cellStyle name="Total 2 3 4 29 3 2" xfId="51827"/>
    <cellStyle name="Total 2 3 4 29 3 3" xfId="51828"/>
    <cellStyle name="Total 2 3 4 29 4" xfId="51829"/>
    <cellStyle name="Total 2 3 4 29 5" xfId="51830"/>
    <cellStyle name="Total 2 3 4 3" xfId="51831"/>
    <cellStyle name="Total 2 3 4 3 2" xfId="51832"/>
    <cellStyle name="Total 2 3 4 3 2 2" xfId="51833"/>
    <cellStyle name="Total 2 3 4 3 2 3" xfId="51834"/>
    <cellStyle name="Total 2 3 4 3 3" xfId="51835"/>
    <cellStyle name="Total 2 3 4 3 3 2" xfId="51836"/>
    <cellStyle name="Total 2 3 4 3 3 3" xfId="51837"/>
    <cellStyle name="Total 2 3 4 3 4" xfId="51838"/>
    <cellStyle name="Total 2 3 4 3 5" xfId="51839"/>
    <cellStyle name="Total 2 3 4 30" xfId="51840"/>
    <cellStyle name="Total 2 3 4 30 2" xfId="51841"/>
    <cellStyle name="Total 2 3 4 30 2 2" xfId="51842"/>
    <cellStyle name="Total 2 3 4 30 2 3" xfId="51843"/>
    <cellStyle name="Total 2 3 4 30 3" xfId="51844"/>
    <cellStyle name="Total 2 3 4 30 3 2" xfId="51845"/>
    <cellStyle name="Total 2 3 4 30 3 3" xfId="51846"/>
    <cellStyle name="Total 2 3 4 30 4" xfId="51847"/>
    <cellStyle name="Total 2 3 4 30 5" xfId="51848"/>
    <cellStyle name="Total 2 3 4 31" xfId="51849"/>
    <cellStyle name="Total 2 3 4 31 2" xfId="51850"/>
    <cellStyle name="Total 2 3 4 31 2 2" xfId="51851"/>
    <cellStyle name="Total 2 3 4 31 2 3" xfId="51852"/>
    <cellStyle name="Total 2 3 4 31 3" xfId="51853"/>
    <cellStyle name="Total 2 3 4 31 3 2" xfId="51854"/>
    <cellStyle name="Total 2 3 4 31 3 3" xfId="51855"/>
    <cellStyle name="Total 2 3 4 31 4" xfId="51856"/>
    <cellStyle name="Total 2 3 4 31 5" xfId="51857"/>
    <cellStyle name="Total 2 3 4 32" xfId="51858"/>
    <cellStyle name="Total 2 3 4 32 2" xfId="51859"/>
    <cellStyle name="Total 2 3 4 32 2 2" xfId="51860"/>
    <cellStyle name="Total 2 3 4 32 2 3" xfId="51861"/>
    <cellStyle name="Total 2 3 4 32 3" xfId="51862"/>
    <cellStyle name="Total 2 3 4 32 3 2" xfId="51863"/>
    <cellStyle name="Total 2 3 4 32 3 3" xfId="51864"/>
    <cellStyle name="Total 2 3 4 32 4" xfId="51865"/>
    <cellStyle name="Total 2 3 4 32 5" xfId="51866"/>
    <cellStyle name="Total 2 3 4 33" xfId="51867"/>
    <cellStyle name="Total 2 3 4 33 2" xfId="51868"/>
    <cellStyle name="Total 2 3 4 33 2 2" xfId="51869"/>
    <cellStyle name="Total 2 3 4 33 2 3" xfId="51870"/>
    <cellStyle name="Total 2 3 4 33 3" xfId="51871"/>
    <cellStyle name="Total 2 3 4 33 3 2" xfId="51872"/>
    <cellStyle name="Total 2 3 4 33 3 3" xfId="51873"/>
    <cellStyle name="Total 2 3 4 33 4" xfId="51874"/>
    <cellStyle name="Total 2 3 4 33 5" xfId="51875"/>
    <cellStyle name="Total 2 3 4 34" xfId="51876"/>
    <cellStyle name="Total 2 3 4 34 2" xfId="51877"/>
    <cellStyle name="Total 2 3 4 34 2 2" xfId="51878"/>
    <cellStyle name="Total 2 3 4 34 2 3" xfId="51879"/>
    <cellStyle name="Total 2 3 4 34 3" xfId="51880"/>
    <cellStyle name="Total 2 3 4 34 3 2" xfId="51881"/>
    <cellStyle name="Total 2 3 4 34 3 3" xfId="51882"/>
    <cellStyle name="Total 2 3 4 34 4" xfId="51883"/>
    <cellStyle name="Total 2 3 4 34 5" xfId="51884"/>
    <cellStyle name="Total 2 3 4 35" xfId="51885"/>
    <cellStyle name="Total 2 3 4 35 2" xfId="51886"/>
    <cellStyle name="Total 2 3 4 35 2 2" xfId="51887"/>
    <cellStyle name="Total 2 3 4 35 2 3" xfId="51888"/>
    <cellStyle name="Total 2 3 4 35 3" xfId="51889"/>
    <cellStyle name="Total 2 3 4 35 3 2" xfId="51890"/>
    <cellStyle name="Total 2 3 4 35 3 3" xfId="51891"/>
    <cellStyle name="Total 2 3 4 35 4" xfId="51892"/>
    <cellStyle name="Total 2 3 4 35 5" xfId="51893"/>
    <cellStyle name="Total 2 3 4 36" xfId="51894"/>
    <cellStyle name="Total 2 3 4 36 2" xfId="51895"/>
    <cellStyle name="Total 2 3 4 36 2 2" xfId="51896"/>
    <cellStyle name="Total 2 3 4 36 2 3" xfId="51897"/>
    <cellStyle name="Total 2 3 4 36 3" xfId="51898"/>
    <cellStyle name="Total 2 3 4 36 3 2" xfId="51899"/>
    <cellStyle name="Total 2 3 4 36 3 3" xfId="51900"/>
    <cellStyle name="Total 2 3 4 36 4" xfId="51901"/>
    <cellStyle name="Total 2 3 4 36 5" xfId="51902"/>
    <cellStyle name="Total 2 3 4 37" xfId="51903"/>
    <cellStyle name="Total 2 3 4 37 2" xfId="51904"/>
    <cellStyle name="Total 2 3 4 37 2 2" xfId="51905"/>
    <cellStyle name="Total 2 3 4 37 2 3" xfId="51906"/>
    <cellStyle name="Total 2 3 4 37 3" xfId="51907"/>
    <cellStyle name="Total 2 3 4 37 3 2" xfId="51908"/>
    <cellStyle name="Total 2 3 4 37 3 3" xfId="51909"/>
    <cellStyle name="Total 2 3 4 37 4" xfId="51910"/>
    <cellStyle name="Total 2 3 4 37 5" xfId="51911"/>
    <cellStyle name="Total 2 3 4 38" xfId="51912"/>
    <cellStyle name="Total 2 3 4 38 2" xfId="51913"/>
    <cellStyle name="Total 2 3 4 38 2 2" xfId="51914"/>
    <cellStyle name="Total 2 3 4 38 2 3" xfId="51915"/>
    <cellStyle name="Total 2 3 4 38 3" xfId="51916"/>
    <cellStyle name="Total 2 3 4 38 3 2" xfId="51917"/>
    <cellStyle name="Total 2 3 4 38 3 3" xfId="51918"/>
    <cellStyle name="Total 2 3 4 38 4" xfId="51919"/>
    <cellStyle name="Total 2 3 4 38 5" xfId="51920"/>
    <cellStyle name="Total 2 3 4 39" xfId="51921"/>
    <cellStyle name="Total 2 3 4 39 2" xfId="51922"/>
    <cellStyle name="Total 2 3 4 39 2 2" xfId="51923"/>
    <cellStyle name="Total 2 3 4 39 2 3" xfId="51924"/>
    <cellStyle name="Total 2 3 4 39 3" xfId="51925"/>
    <cellStyle name="Total 2 3 4 39 3 2" xfId="51926"/>
    <cellStyle name="Total 2 3 4 39 3 3" xfId="51927"/>
    <cellStyle name="Total 2 3 4 39 4" xfId="51928"/>
    <cellStyle name="Total 2 3 4 39 5" xfId="51929"/>
    <cellStyle name="Total 2 3 4 4" xfId="51930"/>
    <cellStyle name="Total 2 3 4 4 2" xfId="51931"/>
    <cellStyle name="Total 2 3 4 4 2 2" xfId="51932"/>
    <cellStyle name="Total 2 3 4 4 2 3" xfId="51933"/>
    <cellStyle name="Total 2 3 4 4 3" xfId="51934"/>
    <cellStyle name="Total 2 3 4 4 3 2" xfId="51935"/>
    <cellStyle name="Total 2 3 4 4 3 3" xfId="51936"/>
    <cellStyle name="Total 2 3 4 4 4" xfId="51937"/>
    <cellStyle name="Total 2 3 4 4 5" xfId="51938"/>
    <cellStyle name="Total 2 3 4 40" xfId="51939"/>
    <cellStyle name="Total 2 3 4 40 2" xfId="51940"/>
    <cellStyle name="Total 2 3 4 40 2 2" xfId="51941"/>
    <cellStyle name="Total 2 3 4 40 2 3" xfId="51942"/>
    <cellStyle name="Total 2 3 4 40 3" xfId="51943"/>
    <cellStyle name="Total 2 3 4 40 4" xfId="51944"/>
    <cellStyle name="Total 2 3 4 41" xfId="51945"/>
    <cellStyle name="Total 2 3 4 41 2" xfId="51946"/>
    <cellStyle name="Total 2 3 4 41 3" xfId="51947"/>
    <cellStyle name="Total 2 3 4 42" xfId="51948"/>
    <cellStyle name="Total 2 3 4 42 2" xfId="51949"/>
    <cellStyle name="Total 2 3 4 42 3" xfId="51950"/>
    <cellStyle name="Total 2 3 4 43" xfId="51951"/>
    <cellStyle name="Total 2 3 4 44" xfId="51952"/>
    <cellStyle name="Total 2 3 4 5" xfId="51953"/>
    <cellStyle name="Total 2 3 4 5 2" xfId="51954"/>
    <cellStyle name="Total 2 3 4 5 2 2" xfId="51955"/>
    <cellStyle name="Total 2 3 4 5 2 3" xfId="51956"/>
    <cellStyle name="Total 2 3 4 5 3" xfId="51957"/>
    <cellStyle name="Total 2 3 4 5 3 2" xfId="51958"/>
    <cellStyle name="Total 2 3 4 5 3 3" xfId="51959"/>
    <cellStyle name="Total 2 3 4 5 4" xfId="51960"/>
    <cellStyle name="Total 2 3 4 5 5" xfId="51961"/>
    <cellStyle name="Total 2 3 4 6" xfId="51962"/>
    <cellStyle name="Total 2 3 4 6 2" xfId="51963"/>
    <cellStyle name="Total 2 3 4 6 2 2" xfId="51964"/>
    <cellStyle name="Total 2 3 4 6 2 3" xfId="51965"/>
    <cellStyle name="Total 2 3 4 6 3" xfId="51966"/>
    <cellStyle name="Total 2 3 4 6 3 2" xfId="51967"/>
    <cellStyle name="Total 2 3 4 6 3 3" xfId="51968"/>
    <cellStyle name="Total 2 3 4 6 4" xfId="51969"/>
    <cellStyle name="Total 2 3 4 6 5" xfId="51970"/>
    <cellStyle name="Total 2 3 4 7" xfId="51971"/>
    <cellStyle name="Total 2 3 4 7 2" xfId="51972"/>
    <cellStyle name="Total 2 3 4 7 2 2" xfId="51973"/>
    <cellStyle name="Total 2 3 4 7 2 3" xfId="51974"/>
    <cellStyle name="Total 2 3 4 7 3" xfId="51975"/>
    <cellStyle name="Total 2 3 4 7 3 2" xfId="51976"/>
    <cellStyle name="Total 2 3 4 7 3 3" xfId="51977"/>
    <cellStyle name="Total 2 3 4 7 4" xfId="51978"/>
    <cellStyle name="Total 2 3 4 7 5" xfId="51979"/>
    <cellStyle name="Total 2 3 4 8" xfId="51980"/>
    <cellStyle name="Total 2 3 4 8 2" xfId="51981"/>
    <cellStyle name="Total 2 3 4 8 2 2" xfId="51982"/>
    <cellStyle name="Total 2 3 4 8 2 3" xfId="51983"/>
    <cellStyle name="Total 2 3 4 8 3" xfId="51984"/>
    <cellStyle name="Total 2 3 4 8 3 2" xfId="51985"/>
    <cellStyle name="Total 2 3 4 8 3 3" xfId="51986"/>
    <cellStyle name="Total 2 3 4 8 4" xfId="51987"/>
    <cellStyle name="Total 2 3 4 8 5" xfId="51988"/>
    <cellStyle name="Total 2 3 4 9" xfId="51989"/>
    <cellStyle name="Total 2 3 4 9 2" xfId="51990"/>
    <cellStyle name="Total 2 3 4 9 2 2" xfId="51991"/>
    <cellStyle name="Total 2 3 4 9 2 3" xfId="51992"/>
    <cellStyle name="Total 2 3 4 9 3" xfId="51993"/>
    <cellStyle name="Total 2 3 4 9 3 2" xfId="51994"/>
    <cellStyle name="Total 2 3 4 9 3 3" xfId="51995"/>
    <cellStyle name="Total 2 3 4 9 4" xfId="51996"/>
    <cellStyle name="Total 2 3 4 9 5" xfId="51997"/>
    <cellStyle name="Total 2 3 5" xfId="51998"/>
    <cellStyle name="Total 2 3 5 10" xfId="51999"/>
    <cellStyle name="Total 2 3 5 10 2" xfId="52000"/>
    <cellStyle name="Total 2 3 5 10 2 2" xfId="52001"/>
    <cellStyle name="Total 2 3 5 10 2 3" xfId="52002"/>
    <cellStyle name="Total 2 3 5 10 3" xfId="52003"/>
    <cellStyle name="Total 2 3 5 10 3 2" xfId="52004"/>
    <cellStyle name="Total 2 3 5 10 3 3" xfId="52005"/>
    <cellStyle name="Total 2 3 5 10 4" xfId="52006"/>
    <cellStyle name="Total 2 3 5 10 5" xfId="52007"/>
    <cellStyle name="Total 2 3 5 11" xfId="52008"/>
    <cellStyle name="Total 2 3 5 11 2" xfId="52009"/>
    <cellStyle name="Total 2 3 5 11 2 2" xfId="52010"/>
    <cellStyle name="Total 2 3 5 11 2 3" xfId="52011"/>
    <cellStyle name="Total 2 3 5 11 3" xfId="52012"/>
    <cellStyle name="Total 2 3 5 11 3 2" xfId="52013"/>
    <cellStyle name="Total 2 3 5 11 3 3" xfId="52014"/>
    <cellStyle name="Total 2 3 5 11 4" xfId="52015"/>
    <cellStyle name="Total 2 3 5 11 5" xfId="52016"/>
    <cellStyle name="Total 2 3 5 12" xfId="52017"/>
    <cellStyle name="Total 2 3 5 12 2" xfId="52018"/>
    <cellStyle name="Total 2 3 5 12 2 2" xfId="52019"/>
    <cellStyle name="Total 2 3 5 12 2 3" xfId="52020"/>
    <cellStyle name="Total 2 3 5 12 3" xfId="52021"/>
    <cellStyle name="Total 2 3 5 12 3 2" xfId="52022"/>
    <cellStyle name="Total 2 3 5 12 3 3" xfId="52023"/>
    <cellStyle name="Total 2 3 5 12 4" xfId="52024"/>
    <cellStyle name="Total 2 3 5 12 5" xfId="52025"/>
    <cellStyle name="Total 2 3 5 13" xfId="52026"/>
    <cellStyle name="Total 2 3 5 13 2" xfId="52027"/>
    <cellStyle name="Total 2 3 5 13 2 2" xfId="52028"/>
    <cellStyle name="Total 2 3 5 13 2 3" xfId="52029"/>
    <cellStyle name="Total 2 3 5 13 3" xfId="52030"/>
    <cellStyle name="Total 2 3 5 13 3 2" xfId="52031"/>
    <cellStyle name="Total 2 3 5 13 3 3" xfId="52032"/>
    <cellStyle name="Total 2 3 5 13 4" xfId="52033"/>
    <cellStyle name="Total 2 3 5 13 5" xfId="52034"/>
    <cellStyle name="Total 2 3 5 14" xfId="52035"/>
    <cellStyle name="Total 2 3 5 14 2" xfId="52036"/>
    <cellStyle name="Total 2 3 5 14 2 2" xfId="52037"/>
    <cellStyle name="Total 2 3 5 14 2 3" xfId="52038"/>
    <cellStyle name="Total 2 3 5 14 3" xfId="52039"/>
    <cellStyle name="Total 2 3 5 14 3 2" xfId="52040"/>
    <cellStyle name="Total 2 3 5 14 3 3" xfId="52041"/>
    <cellStyle name="Total 2 3 5 14 4" xfId="52042"/>
    <cellStyle name="Total 2 3 5 14 5" xfId="52043"/>
    <cellStyle name="Total 2 3 5 15" xfId="52044"/>
    <cellStyle name="Total 2 3 5 15 2" xfId="52045"/>
    <cellStyle name="Total 2 3 5 15 2 2" xfId="52046"/>
    <cellStyle name="Total 2 3 5 15 2 3" xfId="52047"/>
    <cellStyle name="Total 2 3 5 15 3" xfId="52048"/>
    <cellStyle name="Total 2 3 5 15 3 2" xfId="52049"/>
    <cellStyle name="Total 2 3 5 15 3 3" xfId="52050"/>
    <cellStyle name="Total 2 3 5 15 4" xfId="52051"/>
    <cellStyle name="Total 2 3 5 15 5" xfId="52052"/>
    <cellStyle name="Total 2 3 5 16" xfId="52053"/>
    <cellStyle name="Total 2 3 5 16 2" xfId="52054"/>
    <cellStyle name="Total 2 3 5 16 2 2" xfId="52055"/>
    <cellStyle name="Total 2 3 5 16 2 3" xfId="52056"/>
    <cellStyle name="Total 2 3 5 16 3" xfId="52057"/>
    <cellStyle name="Total 2 3 5 16 3 2" xfId="52058"/>
    <cellStyle name="Total 2 3 5 16 3 3" xfId="52059"/>
    <cellStyle name="Total 2 3 5 16 4" xfId="52060"/>
    <cellStyle name="Total 2 3 5 16 5" xfId="52061"/>
    <cellStyle name="Total 2 3 5 17" xfId="52062"/>
    <cellStyle name="Total 2 3 5 17 2" xfId="52063"/>
    <cellStyle name="Total 2 3 5 17 2 2" xfId="52064"/>
    <cellStyle name="Total 2 3 5 17 2 3" xfId="52065"/>
    <cellStyle name="Total 2 3 5 17 3" xfId="52066"/>
    <cellStyle name="Total 2 3 5 17 3 2" xfId="52067"/>
    <cellStyle name="Total 2 3 5 17 3 3" xfId="52068"/>
    <cellStyle name="Total 2 3 5 17 4" xfId="52069"/>
    <cellStyle name="Total 2 3 5 17 5" xfId="52070"/>
    <cellStyle name="Total 2 3 5 18" xfId="52071"/>
    <cellStyle name="Total 2 3 5 18 2" xfId="52072"/>
    <cellStyle name="Total 2 3 5 18 2 2" xfId="52073"/>
    <cellStyle name="Total 2 3 5 18 2 3" xfId="52074"/>
    <cellStyle name="Total 2 3 5 18 3" xfId="52075"/>
    <cellStyle name="Total 2 3 5 18 3 2" xfId="52076"/>
    <cellStyle name="Total 2 3 5 18 3 3" xfId="52077"/>
    <cellStyle name="Total 2 3 5 18 4" xfId="52078"/>
    <cellStyle name="Total 2 3 5 18 5" xfId="52079"/>
    <cellStyle name="Total 2 3 5 19" xfId="52080"/>
    <cellStyle name="Total 2 3 5 19 2" xfId="52081"/>
    <cellStyle name="Total 2 3 5 19 2 2" xfId="52082"/>
    <cellStyle name="Total 2 3 5 19 2 3" xfId="52083"/>
    <cellStyle name="Total 2 3 5 19 3" xfId="52084"/>
    <cellStyle name="Total 2 3 5 19 3 2" xfId="52085"/>
    <cellStyle name="Total 2 3 5 19 3 3" xfId="52086"/>
    <cellStyle name="Total 2 3 5 19 4" xfId="52087"/>
    <cellStyle name="Total 2 3 5 19 5" xfId="52088"/>
    <cellStyle name="Total 2 3 5 2" xfId="52089"/>
    <cellStyle name="Total 2 3 5 2 2" xfId="52090"/>
    <cellStyle name="Total 2 3 5 2 2 2" xfId="52091"/>
    <cellStyle name="Total 2 3 5 2 2 3" xfId="52092"/>
    <cellStyle name="Total 2 3 5 2 3" xfId="52093"/>
    <cellStyle name="Total 2 3 5 2 3 2" xfId="52094"/>
    <cellStyle name="Total 2 3 5 2 3 3" xfId="52095"/>
    <cellStyle name="Total 2 3 5 2 4" xfId="52096"/>
    <cellStyle name="Total 2 3 5 2 5" xfId="52097"/>
    <cellStyle name="Total 2 3 5 20" xfId="52098"/>
    <cellStyle name="Total 2 3 5 20 2" xfId="52099"/>
    <cellStyle name="Total 2 3 5 20 2 2" xfId="52100"/>
    <cellStyle name="Total 2 3 5 20 2 3" xfId="52101"/>
    <cellStyle name="Total 2 3 5 20 3" xfId="52102"/>
    <cellStyle name="Total 2 3 5 20 3 2" xfId="52103"/>
    <cellStyle name="Total 2 3 5 20 3 3" xfId="52104"/>
    <cellStyle name="Total 2 3 5 20 4" xfId="52105"/>
    <cellStyle name="Total 2 3 5 20 5" xfId="52106"/>
    <cellStyle name="Total 2 3 5 21" xfId="52107"/>
    <cellStyle name="Total 2 3 5 21 2" xfId="52108"/>
    <cellStyle name="Total 2 3 5 21 2 2" xfId="52109"/>
    <cellStyle name="Total 2 3 5 21 2 3" xfId="52110"/>
    <cellStyle name="Total 2 3 5 21 3" xfId="52111"/>
    <cellStyle name="Total 2 3 5 21 3 2" xfId="52112"/>
    <cellStyle name="Total 2 3 5 21 3 3" xfId="52113"/>
    <cellStyle name="Total 2 3 5 21 4" xfId="52114"/>
    <cellStyle name="Total 2 3 5 21 5" xfId="52115"/>
    <cellStyle name="Total 2 3 5 22" xfId="52116"/>
    <cellStyle name="Total 2 3 5 22 2" xfId="52117"/>
    <cellStyle name="Total 2 3 5 22 2 2" xfId="52118"/>
    <cellStyle name="Total 2 3 5 22 2 3" xfId="52119"/>
    <cellStyle name="Total 2 3 5 22 3" xfId="52120"/>
    <cellStyle name="Total 2 3 5 22 3 2" xfId="52121"/>
    <cellStyle name="Total 2 3 5 22 3 3" xfId="52122"/>
    <cellStyle name="Total 2 3 5 22 4" xfId="52123"/>
    <cellStyle name="Total 2 3 5 22 5" xfId="52124"/>
    <cellStyle name="Total 2 3 5 23" xfId="52125"/>
    <cellStyle name="Total 2 3 5 23 2" xfId="52126"/>
    <cellStyle name="Total 2 3 5 23 2 2" xfId="52127"/>
    <cellStyle name="Total 2 3 5 23 2 3" xfId="52128"/>
    <cellStyle name="Total 2 3 5 23 3" xfId="52129"/>
    <cellStyle name="Total 2 3 5 23 3 2" xfId="52130"/>
    <cellStyle name="Total 2 3 5 23 3 3" xfId="52131"/>
    <cellStyle name="Total 2 3 5 23 4" xfId="52132"/>
    <cellStyle name="Total 2 3 5 23 5" xfId="52133"/>
    <cellStyle name="Total 2 3 5 24" xfId="52134"/>
    <cellStyle name="Total 2 3 5 24 2" xfId="52135"/>
    <cellStyle name="Total 2 3 5 24 2 2" xfId="52136"/>
    <cellStyle name="Total 2 3 5 24 2 3" xfId="52137"/>
    <cellStyle name="Total 2 3 5 24 3" xfId="52138"/>
    <cellStyle name="Total 2 3 5 24 3 2" xfId="52139"/>
    <cellStyle name="Total 2 3 5 24 3 3" xfId="52140"/>
    <cellStyle name="Total 2 3 5 24 4" xfId="52141"/>
    <cellStyle name="Total 2 3 5 24 5" xfId="52142"/>
    <cellStyle name="Total 2 3 5 25" xfId="52143"/>
    <cellStyle name="Total 2 3 5 25 2" xfId="52144"/>
    <cellStyle name="Total 2 3 5 25 2 2" xfId="52145"/>
    <cellStyle name="Total 2 3 5 25 2 3" xfId="52146"/>
    <cellStyle name="Total 2 3 5 25 3" xfId="52147"/>
    <cellStyle name="Total 2 3 5 25 3 2" xfId="52148"/>
    <cellStyle name="Total 2 3 5 25 3 3" xfId="52149"/>
    <cellStyle name="Total 2 3 5 25 4" xfId="52150"/>
    <cellStyle name="Total 2 3 5 25 5" xfId="52151"/>
    <cellStyle name="Total 2 3 5 26" xfId="52152"/>
    <cellStyle name="Total 2 3 5 26 2" xfId="52153"/>
    <cellStyle name="Total 2 3 5 26 2 2" xfId="52154"/>
    <cellStyle name="Total 2 3 5 26 2 3" xfId="52155"/>
    <cellStyle name="Total 2 3 5 26 3" xfId="52156"/>
    <cellStyle name="Total 2 3 5 26 3 2" xfId="52157"/>
    <cellStyle name="Total 2 3 5 26 3 3" xfId="52158"/>
    <cellStyle name="Total 2 3 5 26 4" xfId="52159"/>
    <cellStyle name="Total 2 3 5 26 5" xfId="52160"/>
    <cellStyle name="Total 2 3 5 27" xfId="52161"/>
    <cellStyle name="Total 2 3 5 27 2" xfId="52162"/>
    <cellStyle name="Total 2 3 5 27 2 2" xfId="52163"/>
    <cellStyle name="Total 2 3 5 27 2 3" xfId="52164"/>
    <cellStyle name="Total 2 3 5 27 3" xfId="52165"/>
    <cellStyle name="Total 2 3 5 27 3 2" xfId="52166"/>
    <cellStyle name="Total 2 3 5 27 3 3" xfId="52167"/>
    <cellStyle name="Total 2 3 5 27 4" xfId="52168"/>
    <cellStyle name="Total 2 3 5 27 5" xfId="52169"/>
    <cellStyle name="Total 2 3 5 28" xfId="52170"/>
    <cellStyle name="Total 2 3 5 28 2" xfId="52171"/>
    <cellStyle name="Total 2 3 5 28 2 2" xfId="52172"/>
    <cellStyle name="Total 2 3 5 28 2 3" xfId="52173"/>
    <cellStyle name="Total 2 3 5 28 3" xfId="52174"/>
    <cellStyle name="Total 2 3 5 28 3 2" xfId="52175"/>
    <cellStyle name="Total 2 3 5 28 3 3" xfId="52176"/>
    <cellStyle name="Total 2 3 5 28 4" xfId="52177"/>
    <cellStyle name="Total 2 3 5 28 5" xfId="52178"/>
    <cellStyle name="Total 2 3 5 29" xfId="52179"/>
    <cellStyle name="Total 2 3 5 29 2" xfId="52180"/>
    <cellStyle name="Total 2 3 5 29 2 2" xfId="52181"/>
    <cellStyle name="Total 2 3 5 29 2 3" xfId="52182"/>
    <cellStyle name="Total 2 3 5 29 3" xfId="52183"/>
    <cellStyle name="Total 2 3 5 29 3 2" xfId="52184"/>
    <cellStyle name="Total 2 3 5 29 3 3" xfId="52185"/>
    <cellStyle name="Total 2 3 5 29 4" xfId="52186"/>
    <cellStyle name="Total 2 3 5 29 5" xfId="52187"/>
    <cellStyle name="Total 2 3 5 3" xfId="52188"/>
    <cellStyle name="Total 2 3 5 3 2" xfId="52189"/>
    <cellStyle name="Total 2 3 5 3 2 2" xfId="52190"/>
    <cellStyle name="Total 2 3 5 3 2 3" xfId="52191"/>
    <cellStyle name="Total 2 3 5 3 3" xfId="52192"/>
    <cellStyle name="Total 2 3 5 3 3 2" xfId="52193"/>
    <cellStyle name="Total 2 3 5 3 3 3" xfId="52194"/>
    <cellStyle name="Total 2 3 5 3 4" xfId="52195"/>
    <cellStyle name="Total 2 3 5 3 5" xfId="52196"/>
    <cellStyle name="Total 2 3 5 30" xfId="52197"/>
    <cellStyle name="Total 2 3 5 30 2" xfId="52198"/>
    <cellStyle name="Total 2 3 5 30 2 2" xfId="52199"/>
    <cellStyle name="Total 2 3 5 30 2 3" xfId="52200"/>
    <cellStyle name="Total 2 3 5 30 3" xfId="52201"/>
    <cellStyle name="Total 2 3 5 30 3 2" xfId="52202"/>
    <cellStyle name="Total 2 3 5 30 3 3" xfId="52203"/>
    <cellStyle name="Total 2 3 5 30 4" xfId="52204"/>
    <cellStyle name="Total 2 3 5 30 5" xfId="52205"/>
    <cellStyle name="Total 2 3 5 31" xfId="52206"/>
    <cellStyle name="Total 2 3 5 31 2" xfId="52207"/>
    <cellStyle name="Total 2 3 5 31 2 2" xfId="52208"/>
    <cellStyle name="Total 2 3 5 31 2 3" xfId="52209"/>
    <cellStyle name="Total 2 3 5 31 3" xfId="52210"/>
    <cellStyle name="Total 2 3 5 31 3 2" xfId="52211"/>
    <cellStyle name="Total 2 3 5 31 3 3" xfId="52212"/>
    <cellStyle name="Total 2 3 5 31 4" xfId="52213"/>
    <cellStyle name="Total 2 3 5 31 5" xfId="52214"/>
    <cellStyle name="Total 2 3 5 32" xfId="52215"/>
    <cellStyle name="Total 2 3 5 32 2" xfId="52216"/>
    <cellStyle name="Total 2 3 5 32 2 2" xfId="52217"/>
    <cellStyle name="Total 2 3 5 32 2 3" xfId="52218"/>
    <cellStyle name="Total 2 3 5 32 3" xfId="52219"/>
    <cellStyle name="Total 2 3 5 32 3 2" xfId="52220"/>
    <cellStyle name="Total 2 3 5 32 3 3" xfId="52221"/>
    <cellStyle name="Total 2 3 5 32 4" xfId="52222"/>
    <cellStyle name="Total 2 3 5 32 5" xfId="52223"/>
    <cellStyle name="Total 2 3 5 33" xfId="52224"/>
    <cellStyle name="Total 2 3 5 33 2" xfId="52225"/>
    <cellStyle name="Total 2 3 5 33 2 2" xfId="52226"/>
    <cellStyle name="Total 2 3 5 33 2 3" xfId="52227"/>
    <cellStyle name="Total 2 3 5 33 3" xfId="52228"/>
    <cellStyle name="Total 2 3 5 33 3 2" xfId="52229"/>
    <cellStyle name="Total 2 3 5 33 3 3" xfId="52230"/>
    <cellStyle name="Total 2 3 5 33 4" xfId="52231"/>
    <cellStyle name="Total 2 3 5 33 5" xfId="52232"/>
    <cellStyle name="Total 2 3 5 34" xfId="52233"/>
    <cellStyle name="Total 2 3 5 34 2" xfId="52234"/>
    <cellStyle name="Total 2 3 5 34 2 2" xfId="52235"/>
    <cellStyle name="Total 2 3 5 34 2 3" xfId="52236"/>
    <cellStyle name="Total 2 3 5 34 3" xfId="52237"/>
    <cellStyle name="Total 2 3 5 34 3 2" xfId="52238"/>
    <cellStyle name="Total 2 3 5 34 3 3" xfId="52239"/>
    <cellStyle name="Total 2 3 5 34 4" xfId="52240"/>
    <cellStyle name="Total 2 3 5 34 5" xfId="52241"/>
    <cellStyle name="Total 2 3 5 35" xfId="52242"/>
    <cellStyle name="Total 2 3 5 35 2" xfId="52243"/>
    <cellStyle name="Total 2 3 5 35 2 2" xfId="52244"/>
    <cellStyle name="Total 2 3 5 35 2 3" xfId="52245"/>
    <cellStyle name="Total 2 3 5 35 3" xfId="52246"/>
    <cellStyle name="Total 2 3 5 35 3 2" xfId="52247"/>
    <cellStyle name="Total 2 3 5 35 3 3" xfId="52248"/>
    <cellStyle name="Total 2 3 5 35 4" xfId="52249"/>
    <cellStyle name="Total 2 3 5 35 5" xfId="52250"/>
    <cellStyle name="Total 2 3 5 36" xfId="52251"/>
    <cellStyle name="Total 2 3 5 36 2" xfId="52252"/>
    <cellStyle name="Total 2 3 5 36 2 2" xfId="52253"/>
    <cellStyle name="Total 2 3 5 36 2 3" xfId="52254"/>
    <cellStyle name="Total 2 3 5 36 3" xfId="52255"/>
    <cellStyle name="Total 2 3 5 36 3 2" xfId="52256"/>
    <cellStyle name="Total 2 3 5 36 3 3" xfId="52257"/>
    <cellStyle name="Total 2 3 5 36 4" xfId="52258"/>
    <cellStyle name="Total 2 3 5 36 5" xfId="52259"/>
    <cellStyle name="Total 2 3 5 37" xfId="52260"/>
    <cellStyle name="Total 2 3 5 37 2" xfId="52261"/>
    <cellStyle name="Total 2 3 5 37 2 2" xfId="52262"/>
    <cellStyle name="Total 2 3 5 37 2 3" xfId="52263"/>
    <cellStyle name="Total 2 3 5 37 3" xfId="52264"/>
    <cellStyle name="Total 2 3 5 37 3 2" xfId="52265"/>
    <cellStyle name="Total 2 3 5 37 3 3" xfId="52266"/>
    <cellStyle name="Total 2 3 5 37 4" xfId="52267"/>
    <cellStyle name="Total 2 3 5 37 5" xfId="52268"/>
    <cellStyle name="Total 2 3 5 38" xfId="52269"/>
    <cellStyle name="Total 2 3 5 38 2" xfId="52270"/>
    <cellStyle name="Total 2 3 5 38 2 2" xfId="52271"/>
    <cellStyle name="Total 2 3 5 38 2 3" xfId="52272"/>
    <cellStyle name="Total 2 3 5 38 3" xfId="52273"/>
    <cellStyle name="Total 2 3 5 38 3 2" xfId="52274"/>
    <cellStyle name="Total 2 3 5 38 3 3" xfId="52275"/>
    <cellStyle name="Total 2 3 5 38 4" xfId="52276"/>
    <cellStyle name="Total 2 3 5 38 5" xfId="52277"/>
    <cellStyle name="Total 2 3 5 39" xfId="52278"/>
    <cellStyle name="Total 2 3 5 39 2" xfId="52279"/>
    <cellStyle name="Total 2 3 5 39 2 2" xfId="52280"/>
    <cellStyle name="Total 2 3 5 39 2 3" xfId="52281"/>
    <cellStyle name="Total 2 3 5 39 3" xfId="52282"/>
    <cellStyle name="Total 2 3 5 39 4" xfId="52283"/>
    <cellStyle name="Total 2 3 5 4" xfId="52284"/>
    <cellStyle name="Total 2 3 5 4 2" xfId="52285"/>
    <cellStyle name="Total 2 3 5 4 2 2" xfId="52286"/>
    <cellStyle name="Total 2 3 5 4 2 3" xfId="52287"/>
    <cellStyle name="Total 2 3 5 4 3" xfId="52288"/>
    <cellStyle name="Total 2 3 5 4 3 2" xfId="52289"/>
    <cellStyle name="Total 2 3 5 4 3 3" xfId="52290"/>
    <cellStyle name="Total 2 3 5 4 4" xfId="52291"/>
    <cellStyle name="Total 2 3 5 4 5" xfId="52292"/>
    <cellStyle name="Total 2 3 5 40" xfId="52293"/>
    <cellStyle name="Total 2 3 5 40 2" xfId="52294"/>
    <cellStyle name="Total 2 3 5 40 3" xfId="52295"/>
    <cellStyle name="Total 2 3 5 41" xfId="52296"/>
    <cellStyle name="Total 2 3 5 41 2" xfId="52297"/>
    <cellStyle name="Total 2 3 5 41 3" xfId="52298"/>
    <cellStyle name="Total 2 3 5 42" xfId="52299"/>
    <cellStyle name="Total 2 3 5 43" xfId="52300"/>
    <cellStyle name="Total 2 3 5 5" xfId="52301"/>
    <cellStyle name="Total 2 3 5 5 2" xfId="52302"/>
    <cellStyle name="Total 2 3 5 5 2 2" xfId="52303"/>
    <cellStyle name="Total 2 3 5 5 2 3" xfId="52304"/>
    <cellStyle name="Total 2 3 5 5 3" xfId="52305"/>
    <cellStyle name="Total 2 3 5 5 3 2" xfId="52306"/>
    <cellStyle name="Total 2 3 5 5 3 3" xfId="52307"/>
    <cellStyle name="Total 2 3 5 5 4" xfId="52308"/>
    <cellStyle name="Total 2 3 5 5 5" xfId="52309"/>
    <cellStyle name="Total 2 3 5 6" xfId="52310"/>
    <cellStyle name="Total 2 3 5 6 2" xfId="52311"/>
    <cellStyle name="Total 2 3 5 6 2 2" xfId="52312"/>
    <cellStyle name="Total 2 3 5 6 2 3" xfId="52313"/>
    <cellStyle name="Total 2 3 5 6 3" xfId="52314"/>
    <cellStyle name="Total 2 3 5 6 3 2" xfId="52315"/>
    <cellStyle name="Total 2 3 5 6 3 3" xfId="52316"/>
    <cellStyle name="Total 2 3 5 6 4" xfId="52317"/>
    <cellStyle name="Total 2 3 5 6 5" xfId="52318"/>
    <cellStyle name="Total 2 3 5 7" xfId="52319"/>
    <cellStyle name="Total 2 3 5 7 2" xfId="52320"/>
    <cellStyle name="Total 2 3 5 7 2 2" xfId="52321"/>
    <cellStyle name="Total 2 3 5 7 2 3" xfId="52322"/>
    <cellStyle name="Total 2 3 5 7 3" xfId="52323"/>
    <cellStyle name="Total 2 3 5 7 3 2" xfId="52324"/>
    <cellStyle name="Total 2 3 5 7 3 3" xfId="52325"/>
    <cellStyle name="Total 2 3 5 7 4" xfId="52326"/>
    <cellStyle name="Total 2 3 5 7 5" xfId="52327"/>
    <cellStyle name="Total 2 3 5 8" xfId="52328"/>
    <cellStyle name="Total 2 3 5 8 2" xfId="52329"/>
    <cellStyle name="Total 2 3 5 8 2 2" xfId="52330"/>
    <cellStyle name="Total 2 3 5 8 2 3" xfId="52331"/>
    <cellStyle name="Total 2 3 5 8 3" xfId="52332"/>
    <cellStyle name="Total 2 3 5 8 3 2" xfId="52333"/>
    <cellStyle name="Total 2 3 5 8 3 3" xfId="52334"/>
    <cellStyle name="Total 2 3 5 8 4" xfId="52335"/>
    <cellStyle name="Total 2 3 5 8 5" xfId="52336"/>
    <cellStyle name="Total 2 3 5 9" xfId="52337"/>
    <cellStyle name="Total 2 3 5 9 2" xfId="52338"/>
    <cellStyle name="Total 2 3 5 9 2 2" xfId="52339"/>
    <cellStyle name="Total 2 3 5 9 2 3" xfId="52340"/>
    <cellStyle name="Total 2 3 5 9 3" xfId="52341"/>
    <cellStyle name="Total 2 3 5 9 3 2" xfId="52342"/>
    <cellStyle name="Total 2 3 5 9 3 3" xfId="52343"/>
    <cellStyle name="Total 2 3 5 9 4" xfId="52344"/>
    <cellStyle name="Total 2 3 5 9 5" xfId="52345"/>
    <cellStyle name="Total 2 3 6" xfId="52346"/>
    <cellStyle name="Total 2 3 6 10" xfId="52347"/>
    <cellStyle name="Total 2 3 6 10 2" xfId="52348"/>
    <cellStyle name="Total 2 3 6 10 2 2" xfId="52349"/>
    <cellStyle name="Total 2 3 6 10 2 3" xfId="52350"/>
    <cellStyle name="Total 2 3 6 10 3" xfId="52351"/>
    <cellStyle name="Total 2 3 6 10 3 2" xfId="52352"/>
    <cellStyle name="Total 2 3 6 10 3 3" xfId="52353"/>
    <cellStyle name="Total 2 3 6 10 4" xfId="52354"/>
    <cellStyle name="Total 2 3 6 10 5" xfId="52355"/>
    <cellStyle name="Total 2 3 6 11" xfId="52356"/>
    <cellStyle name="Total 2 3 6 11 2" xfId="52357"/>
    <cellStyle name="Total 2 3 6 11 2 2" xfId="52358"/>
    <cellStyle name="Total 2 3 6 11 2 3" xfId="52359"/>
    <cellStyle name="Total 2 3 6 11 3" xfId="52360"/>
    <cellStyle name="Total 2 3 6 11 3 2" xfId="52361"/>
    <cellStyle name="Total 2 3 6 11 3 3" xfId="52362"/>
    <cellStyle name="Total 2 3 6 11 4" xfId="52363"/>
    <cellStyle name="Total 2 3 6 11 5" xfId="52364"/>
    <cellStyle name="Total 2 3 6 12" xfId="52365"/>
    <cellStyle name="Total 2 3 6 12 2" xfId="52366"/>
    <cellStyle name="Total 2 3 6 12 2 2" xfId="52367"/>
    <cellStyle name="Total 2 3 6 12 2 3" xfId="52368"/>
    <cellStyle name="Total 2 3 6 12 3" xfId="52369"/>
    <cellStyle name="Total 2 3 6 12 3 2" xfId="52370"/>
    <cellStyle name="Total 2 3 6 12 3 3" xfId="52371"/>
    <cellStyle name="Total 2 3 6 12 4" xfId="52372"/>
    <cellStyle name="Total 2 3 6 12 5" xfId="52373"/>
    <cellStyle name="Total 2 3 6 13" xfId="52374"/>
    <cellStyle name="Total 2 3 6 13 2" xfId="52375"/>
    <cellStyle name="Total 2 3 6 13 2 2" xfId="52376"/>
    <cellStyle name="Total 2 3 6 13 2 3" xfId="52377"/>
    <cellStyle name="Total 2 3 6 13 3" xfId="52378"/>
    <cellStyle name="Total 2 3 6 13 3 2" xfId="52379"/>
    <cellStyle name="Total 2 3 6 13 3 3" xfId="52380"/>
    <cellStyle name="Total 2 3 6 13 4" xfId="52381"/>
    <cellStyle name="Total 2 3 6 13 5" xfId="52382"/>
    <cellStyle name="Total 2 3 6 14" xfId="52383"/>
    <cellStyle name="Total 2 3 6 14 2" xfId="52384"/>
    <cellStyle name="Total 2 3 6 14 2 2" xfId="52385"/>
    <cellStyle name="Total 2 3 6 14 2 3" xfId="52386"/>
    <cellStyle name="Total 2 3 6 14 3" xfId="52387"/>
    <cellStyle name="Total 2 3 6 14 3 2" xfId="52388"/>
    <cellStyle name="Total 2 3 6 14 3 3" xfId="52389"/>
    <cellStyle name="Total 2 3 6 14 4" xfId="52390"/>
    <cellStyle name="Total 2 3 6 14 5" xfId="52391"/>
    <cellStyle name="Total 2 3 6 15" xfId="52392"/>
    <cellStyle name="Total 2 3 6 15 2" xfId="52393"/>
    <cellStyle name="Total 2 3 6 15 2 2" xfId="52394"/>
    <cellStyle name="Total 2 3 6 15 2 3" xfId="52395"/>
    <cellStyle name="Total 2 3 6 15 3" xfId="52396"/>
    <cellStyle name="Total 2 3 6 15 3 2" xfId="52397"/>
    <cellStyle name="Total 2 3 6 15 3 3" xfId="52398"/>
    <cellStyle name="Total 2 3 6 15 4" xfId="52399"/>
    <cellStyle name="Total 2 3 6 15 5" xfId="52400"/>
    <cellStyle name="Total 2 3 6 16" xfId="52401"/>
    <cellStyle name="Total 2 3 6 16 2" xfId="52402"/>
    <cellStyle name="Total 2 3 6 16 2 2" xfId="52403"/>
    <cellStyle name="Total 2 3 6 16 2 3" xfId="52404"/>
    <cellStyle name="Total 2 3 6 16 3" xfId="52405"/>
    <cellStyle name="Total 2 3 6 16 3 2" xfId="52406"/>
    <cellStyle name="Total 2 3 6 16 3 3" xfId="52407"/>
    <cellStyle name="Total 2 3 6 16 4" xfId="52408"/>
    <cellStyle name="Total 2 3 6 16 5" xfId="52409"/>
    <cellStyle name="Total 2 3 6 17" xfId="52410"/>
    <cellStyle name="Total 2 3 6 17 2" xfId="52411"/>
    <cellStyle name="Total 2 3 6 17 2 2" xfId="52412"/>
    <cellStyle name="Total 2 3 6 17 2 3" xfId="52413"/>
    <cellStyle name="Total 2 3 6 17 3" xfId="52414"/>
    <cellStyle name="Total 2 3 6 17 3 2" xfId="52415"/>
    <cellStyle name="Total 2 3 6 17 3 3" xfId="52416"/>
    <cellStyle name="Total 2 3 6 17 4" xfId="52417"/>
    <cellStyle name="Total 2 3 6 17 5" xfId="52418"/>
    <cellStyle name="Total 2 3 6 18" xfId="52419"/>
    <cellStyle name="Total 2 3 6 18 2" xfId="52420"/>
    <cellStyle name="Total 2 3 6 18 2 2" xfId="52421"/>
    <cellStyle name="Total 2 3 6 18 2 3" xfId="52422"/>
    <cellStyle name="Total 2 3 6 18 3" xfId="52423"/>
    <cellStyle name="Total 2 3 6 18 3 2" xfId="52424"/>
    <cellStyle name="Total 2 3 6 18 3 3" xfId="52425"/>
    <cellStyle name="Total 2 3 6 18 4" xfId="52426"/>
    <cellStyle name="Total 2 3 6 18 5" xfId="52427"/>
    <cellStyle name="Total 2 3 6 19" xfId="52428"/>
    <cellStyle name="Total 2 3 6 19 2" xfId="52429"/>
    <cellStyle name="Total 2 3 6 19 2 2" xfId="52430"/>
    <cellStyle name="Total 2 3 6 19 2 3" xfId="52431"/>
    <cellStyle name="Total 2 3 6 19 3" xfId="52432"/>
    <cellStyle name="Total 2 3 6 19 3 2" xfId="52433"/>
    <cellStyle name="Total 2 3 6 19 3 3" xfId="52434"/>
    <cellStyle name="Total 2 3 6 19 4" xfId="52435"/>
    <cellStyle name="Total 2 3 6 19 5" xfId="52436"/>
    <cellStyle name="Total 2 3 6 2" xfId="52437"/>
    <cellStyle name="Total 2 3 6 2 2" xfId="52438"/>
    <cellStyle name="Total 2 3 6 2 2 2" xfId="52439"/>
    <cellStyle name="Total 2 3 6 2 2 3" xfId="52440"/>
    <cellStyle name="Total 2 3 6 2 3" xfId="52441"/>
    <cellStyle name="Total 2 3 6 2 3 2" xfId="52442"/>
    <cellStyle name="Total 2 3 6 2 3 3" xfId="52443"/>
    <cellStyle name="Total 2 3 6 2 4" xfId="52444"/>
    <cellStyle name="Total 2 3 6 2 5" xfId="52445"/>
    <cellStyle name="Total 2 3 6 20" xfId="52446"/>
    <cellStyle name="Total 2 3 6 20 2" xfId="52447"/>
    <cellStyle name="Total 2 3 6 20 2 2" xfId="52448"/>
    <cellStyle name="Total 2 3 6 20 2 3" xfId="52449"/>
    <cellStyle name="Total 2 3 6 20 3" xfId="52450"/>
    <cellStyle name="Total 2 3 6 20 3 2" xfId="52451"/>
    <cellStyle name="Total 2 3 6 20 3 3" xfId="52452"/>
    <cellStyle name="Total 2 3 6 20 4" xfId="52453"/>
    <cellStyle name="Total 2 3 6 20 5" xfId="52454"/>
    <cellStyle name="Total 2 3 6 21" xfId="52455"/>
    <cellStyle name="Total 2 3 6 21 2" xfId="52456"/>
    <cellStyle name="Total 2 3 6 21 2 2" xfId="52457"/>
    <cellStyle name="Total 2 3 6 21 2 3" xfId="52458"/>
    <cellStyle name="Total 2 3 6 21 3" xfId="52459"/>
    <cellStyle name="Total 2 3 6 21 3 2" xfId="52460"/>
    <cellStyle name="Total 2 3 6 21 3 3" xfId="52461"/>
    <cellStyle name="Total 2 3 6 21 4" xfId="52462"/>
    <cellStyle name="Total 2 3 6 21 5" xfId="52463"/>
    <cellStyle name="Total 2 3 6 22" xfId="52464"/>
    <cellStyle name="Total 2 3 6 22 2" xfId="52465"/>
    <cellStyle name="Total 2 3 6 22 2 2" xfId="52466"/>
    <cellStyle name="Total 2 3 6 22 2 3" xfId="52467"/>
    <cellStyle name="Total 2 3 6 22 3" xfId="52468"/>
    <cellStyle name="Total 2 3 6 22 3 2" xfId="52469"/>
    <cellStyle name="Total 2 3 6 22 3 3" xfId="52470"/>
    <cellStyle name="Total 2 3 6 22 4" xfId="52471"/>
    <cellStyle name="Total 2 3 6 22 5" xfId="52472"/>
    <cellStyle name="Total 2 3 6 23" xfId="52473"/>
    <cellStyle name="Total 2 3 6 23 2" xfId="52474"/>
    <cellStyle name="Total 2 3 6 23 2 2" xfId="52475"/>
    <cellStyle name="Total 2 3 6 23 2 3" xfId="52476"/>
    <cellStyle name="Total 2 3 6 23 3" xfId="52477"/>
    <cellStyle name="Total 2 3 6 23 3 2" xfId="52478"/>
    <cellStyle name="Total 2 3 6 23 3 3" xfId="52479"/>
    <cellStyle name="Total 2 3 6 23 4" xfId="52480"/>
    <cellStyle name="Total 2 3 6 23 5" xfId="52481"/>
    <cellStyle name="Total 2 3 6 24" xfId="52482"/>
    <cellStyle name="Total 2 3 6 24 2" xfId="52483"/>
    <cellStyle name="Total 2 3 6 24 2 2" xfId="52484"/>
    <cellStyle name="Total 2 3 6 24 2 3" xfId="52485"/>
    <cellStyle name="Total 2 3 6 24 3" xfId="52486"/>
    <cellStyle name="Total 2 3 6 24 3 2" xfId="52487"/>
    <cellStyle name="Total 2 3 6 24 3 3" xfId="52488"/>
    <cellStyle name="Total 2 3 6 24 4" xfId="52489"/>
    <cellStyle name="Total 2 3 6 24 5" xfId="52490"/>
    <cellStyle name="Total 2 3 6 25" xfId="52491"/>
    <cellStyle name="Total 2 3 6 25 2" xfId="52492"/>
    <cellStyle name="Total 2 3 6 25 2 2" xfId="52493"/>
    <cellStyle name="Total 2 3 6 25 2 3" xfId="52494"/>
    <cellStyle name="Total 2 3 6 25 3" xfId="52495"/>
    <cellStyle name="Total 2 3 6 25 3 2" xfId="52496"/>
    <cellStyle name="Total 2 3 6 25 3 3" xfId="52497"/>
    <cellStyle name="Total 2 3 6 25 4" xfId="52498"/>
    <cellStyle name="Total 2 3 6 25 5" xfId="52499"/>
    <cellStyle name="Total 2 3 6 26" xfId="52500"/>
    <cellStyle name="Total 2 3 6 26 2" xfId="52501"/>
    <cellStyle name="Total 2 3 6 26 2 2" xfId="52502"/>
    <cellStyle name="Total 2 3 6 26 2 3" xfId="52503"/>
    <cellStyle name="Total 2 3 6 26 3" xfId="52504"/>
    <cellStyle name="Total 2 3 6 26 3 2" xfId="52505"/>
    <cellStyle name="Total 2 3 6 26 3 3" xfId="52506"/>
    <cellStyle name="Total 2 3 6 26 4" xfId="52507"/>
    <cellStyle name="Total 2 3 6 26 5" xfId="52508"/>
    <cellStyle name="Total 2 3 6 27" xfId="52509"/>
    <cellStyle name="Total 2 3 6 27 2" xfId="52510"/>
    <cellStyle name="Total 2 3 6 27 2 2" xfId="52511"/>
    <cellStyle name="Total 2 3 6 27 2 3" xfId="52512"/>
    <cellStyle name="Total 2 3 6 27 3" xfId="52513"/>
    <cellStyle name="Total 2 3 6 27 3 2" xfId="52514"/>
    <cellStyle name="Total 2 3 6 27 3 3" xfId="52515"/>
    <cellStyle name="Total 2 3 6 27 4" xfId="52516"/>
    <cellStyle name="Total 2 3 6 27 5" xfId="52517"/>
    <cellStyle name="Total 2 3 6 28" xfId="52518"/>
    <cellStyle name="Total 2 3 6 28 2" xfId="52519"/>
    <cellStyle name="Total 2 3 6 28 2 2" xfId="52520"/>
    <cellStyle name="Total 2 3 6 28 2 3" xfId="52521"/>
    <cellStyle name="Total 2 3 6 28 3" xfId="52522"/>
    <cellStyle name="Total 2 3 6 28 3 2" xfId="52523"/>
    <cellStyle name="Total 2 3 6 28 3 3" xfId="52524"/>
    <cellStyle name="Total 2 3 6 28 4" xfId="52525"/>
    <cellStyle name="Total 2 3 6 28 5" xfId="52526"/>
    <cellStyle name="Total 2 3 6 29" xfId="52527"/>
    <cellStyle name="Total 2 3 6 29 2" xfId="52528"/>
    <cellStyle name="Total 2 3 6 29 2 2" xfId="52529"/>
    <cellStyle name="Total 2 3 6 29 2 3" xfId="52530"/>
    <cellStyle name="Total 2 3 6 29 3" xfId="52531"/>
    <cellStyle name="Total 2 3 6 29 3 2" xfId="52532"/>
    <cellStyle name="Total 2 3 6 29 3 3" xfId="52533"/>
    <cellStyle name="Total 2 3 6 29 4" xfId="52534"/>
    <cellStyle name="Total 2 3 6 29 5" xfId="52535"/>
    <cellStyle name="Total 2 3 6 3" xfId="52536"/>
    <cellStyle name="Total 2 3 6 3 2" xfId="52537"/>
    <cellStyle name="Total 2 3 6 3 2 2" xfId="52538"/>
    <cellStyle name="Total 2 3 6 3 2 3" xfId="52539"/>
    <cellStyle name="Total 2 3 6 3 3" xfId="52540"/>
    <cellStyle name="Total 2 3 6 3 3 2" xfId="52541"/>
    <cellStyle name="Total 2 3 6 3 3 3" xfId="52542"/>
    <cellStyle name="Total 2 3 6 3 4" xfId="52543"/>
    <cellStyle name="Total 2 3 6 3 5" xfId="52544"/>
    <cellStyle name="Total 2 3 6 30" xfId="52545"/>
    <cellStyle name="Total 2 3 6 30 2" xfId="52546"/>
    <cellStyle name="Total 2 3 6 30 2 2" xfId="52547"/>
    <cellStyle name="Total 2 3 6 30 2 3" xfId="52548"/>
    <cellStyle name="Total 2 3 6 30 3" xfId="52549"/>
    <cellStyle name="Total 2 3 6 30 3 2" xfId="52550"/>
    <cellStyle name="Total 2 3 6 30 3 3" xfId="52551"/>
    <cellStyle name="Total 2 3 6 30 4" xfId="52552"/>
    <cellStyle name="Total 2 3 6 30 5" xfId="52553"/>
    <cellStyle name="Total 2 3 6 31" xfId="52554"/>
    <cellStyle name="Total 2 3 6 31 2" xfId="52555"/>
    <cellStyle name="Total 2 3 6 31 2 2" xfId="52556"/>
    <cellStyle name="Total 2 3 6 31 2 3" xfId="52557"/>
    <cellStyle name="Total 2 3 6 31 3" xfId="52558"/>
    <cellStyle name="Total 2 3 6 31 3 2" xfId="52559"/>
    <cellStyle name="Total 2 3 6 31 3 3" xfId="52560"/>
    <cellStyle name="Total 2 3 6 31 4" xfId="52561"/>
    <cellStyle name="Total 2 3 6 31 5" xfId="52562"/>
    <cellStyle name="Total 2 3 6 32" xfId="52563"/>
    <cellStyle name="Total 2 3 6 32 2" xfId="52564"/>
    <cellStyle name="Total 2 3 6 32 2 2" xfId="52565"/>
    <cellStyle name="Total 2 3 6 32 2 3" xfId="52566"/>
    <cellStyle name="Total 2 3 6 32 3" xfId="52567"/>
    <cellStyle name="Total 2 3 6 32 3 2" xfId="52568"/>
    <cellStyle name="Total 2 3 6 32 3 3" xfId="52569"/>
    <cellStyle name="Total 2 3 6 32 4" xfId="52570"/>
    <cellStyle name="Total 2 3 6 32 5" xfId="52571"/>
    <cellStyle name="Total 2 3 6 33" xfId="52572"/>
    <cellStyle name="Total 2 3 6 33 2" xfId="52573"/>
    <cellStyle name="Total 2 3 6 33 2 2" xfId="52574"/>
    <cellStyle name="Total 2 3 6 33 2 3" xfId="52575"/>
    <cellStyle name="Total 2 3 6 33 3" xfId="52576"/>
    <cellStyle name="Total 2 3 6 33 3 2" xfId="52577"/>
    <cellStyle name="Total 2 3 6 33 3 3" xfId="52578"/>
    <cellStyle name="Total 2 3 6 33 4" xfId="52579"/>
    <cellStyle name="Total 2 3 6 33 5" xfId="52580"/>
    <cellStyle name="Total 2 3 6 34" xfId="52581"/>
    <cellStyle name="Total 2 3 6 34 2" xfId="52582"/>
    <cellStyle name="Total 2 3 6 34 2 2" xfId="52583"/>
    <cellStyle name="Total 2 3 6 34 2 3" xfId="52584"/>
    <cellStyle name="Total 2 3 6 34 3" xfId="52585"/>
    <cellStyle name="Total 2 3 6 34 3 2" xfId="52586"/>
    <cellStyle name="Total 2 3 6 34 3 3" xfId="52587"/>
    <cellStyle name="Total 2 3 6 34 4" xfId="52588"/>
    <cellStyle name="Total 2 3 6 34 5" xfId="52589"/>
    <cellStyle name="Total 2 3 6 35" xfId="52590"/>
    <cellStyle name="Total 2 3 6 35 2" xfId="52591"/>
    <cellStyle name="Total 2 3 6 35 2 2" xfId="52592"/>
    <cellStyle name="Total 2 3 6 35 2 3" xfId="52593"/>
    <cellStyle name="Total 2 3 6 35 3" xfId="52594"/>
    <cellStyle name="Total 2 3 6 35 3 2" xfId="52595"/>
    <cellStyle name="Total 2 3 6 35 3 3" xfId="52596"/>
    <cellStyle name="Total 2 3 6 35 4" xfId="52597"/>
    <cellStyle name="Total 2 3 6 35 5" xfId="52598"/>
    <cellStyle name="Total 2 3 6 36" xfId="52599"/>
    <cellStyle name="Total 2 3 6 36 2" xfId="52600"/>
    <cellStyle name="Total 2 3 6 36 2 2" xfId="52601"/>
    <cellStyle name="Total 2 3 6 36 2 3" xfId="52602"/>
    <cellStyle name="Total 2 3 6 36 3" xfId="52603"/>
    <cellStyle name="Total 2 3 6 36 3 2" xfId="52604"/>
    <cellStyle name="Total 2 3 6 36 3 3" xfId="52605"/>
    <cellStyle name="Total 2 3 6 36 4" xfId="52606"/>
    <cellStyle name="Total 2 3 6 36 5" xfId="52607"/>
    <cellStyle name="Total 2 3 6 37" xfId="52608"/>
    <cellStyle name="Total 2 3 6 37 2" xfId="52609"/>
    <cellStyle name="Total 2 3 6 37 2 2" xfId="52610"/>
    <cellStyle name="Total 2 3 6 37 2 3" xfId="52611"/>
    <cellStyle name="Total 2 3 6 37 3" xfId="52612"/>
    <cellStyle name="Total 2 3 6 37 3 2" xfId="52613"/>
    <cellStyle name="Total 2 3 6 37 3 3" xfId="52614"/>
    <cellStyle name="Total 2 3 6 37 4" xfId="52615"/>
    <cellStyle name="Total 2 3 6 37 5" xfId="52616"/>
    <cellStyle name="Total 2 3 6 38" xfId="52617"/>
    <cellStyle name="Total 2 3 6 38 2" xfId="52618"/>
    <cellStyle name="Total 2 3 6 38 2 2" xfId="52619"/>
    <cellStyle name="Total 2 3 6 38 2 3" xfId="52620"/>
    <cellStyle name="Total 2 3 6 38 3" xfId="52621"/>
    <cellStyle name="Total 2 3 6 38 3 2" xfId="52622"/>
    <cellStyle name="Total 2 3 6 38 3 3" xfId="52623"/>
    <cellStyle name="Total 2 3 6 38 4" xfId="52624"/>
    <cellStyle name="Total 2 3 6 38 5" xfId="52625"/>
    <cellStyle name="Total 2 3 6 39" xfId="52626"/>
    <cellStyle name="Total 2 3 6 39 2" xfId="52627"/>
    <cellStyle name="Total 2 3 6 39 2 2" xfId="52628"/>
    <cellStyle name="Total 2 3 6 39 2 3" xfId="52629"/>
    <cellStyle name="Total 2 3 6 39 3" xfId="52630"/>
    <cellStyle name="Total 2 3 6 39 3 2" xfId="52631"/>
    <cellStyle name="Total 2 3 6 39 3 3" xfId="52632"/>
    <cellStyle name="Total 2 3 6 39 4" xfId="52633"/>
    <cellStyle name="Total 2 3 6 39 5" xfId="52634"/>
    <cellStyle name="Total 2 3 6 4" xfId="52635"/>
    <cellStyle name="Total 2 3 6 4 2" xfId="52636"/>
    <cellStyle name="Total 2 3 6 4 2 2" xfId="52637"/>
    <cellStyle name="Total 2 3 6 4 2 3" xfId="52638"/>
    <cellStyle name="Total 2 3 6 4 3" xfId="52639"/>
    <cellStyle name="Total 2 3 6 4 3 2" xfId="52640"/>
    <cellStyle name="Total 2 3 6 4 3 3" xfId="52641"/>
    <cellStyle name="Total 2 3 6 4 4" xfId="52642"/>
    <cellStyle name="Total 2 3 6 4 5" xfId="52643"/>
    <cellStyle name="Total 2 3 6 40" xfId="52644"/>
    <cellStyle name="Total 2 3 6 40 2" xfId="52645"/>
    <cellStyle name="Total 2 3 6 40 2 2" xfId="52646"/>
    <cellStyle name="Total 2 3 6 40 2 3" xfId="52647"/>
    <cellStyle name="Total 2 3 6 40 3" xfId="52648"/>
    <cellStyle name="Total 2 3 6 40 3 2" xfId="52649"/>
    <cellStyle name="Total 2 3 6 40 3 3" xfId="52650"/>
    <cellStyle name="Total 2 3 6 40 4" xfId="52651"/>
    <cellStyle name="Total 2 3 6 40 5" xfId="52652"/>
    <cellStyle name="Total 2 3 6 41" xfId="52653"/>
    <cellStyle name="Total 2 3 6 41 2" xfId="52654"/>
    <cellStyle name="Total 2 3 6 41 2 2" xfId="52655"/>
    <cellStyle name="Total 2 3 6 41 2 3" xfId="52656"/>
    <cellStyle name="Total 2 3 6 41 3" xfId="52657"/>
    <cellStyle name="Total 2 3 6 41 3 2" xfId="52658"/>
    <cellStyle name="Total 2 3 6 41 3 3" xfId="52659"/>
    <cellStyle name="Total 2 3 6 41 4" xfId="52660"/>
    <cellStyle name="Total 2 3 6 41 5" xfId="52661"/>
    <cellStyle name="Total 2 3 6 42" xfId="52662"/>
    <cellStyle name="Total 2 3 6 42 2" xfId="52663"/>
    <cellStyle name="Total 2 3 6 42 2 2" xfId="52664"/>
    <cellStyle name="Total 2 3 6 42 2 3" xfId="52665"/>
    <cellStyle name="Total 2 3 6 42 3" xfId="52666"/>
    <cellStyle name="Total 2 3 6 42 4" xfId="52667"/>
    <cellStyle name="Total 2 3 6 43" xfId="52668"/>
    <cellStyle name="Total 2 3 6 43 2" xfId="52669"/>
    <cellStyle name="Total 2 3 6 43 3" xfId="52670"/>
    <cellStyle name="Total 2 3 6 44" xfId="52671"/>
    <cellStyle name="Total 2 3 6 45" xfId="52672"/>
    <cellStyle name="Total 2 3 6 5" xfId="52673"/>
    <cellStyle name="Total 2 3 6 5 2" xfId="52674"/>
    <cellStyle name="Total 2 3 6 5 2 2" xfId="52675"/>
    <cellStyle name="Total 2 3 6 5 2 3" xfId="52676"/>
    <cellStyle name="Total 2 3 6 5 3" xfId="52677"/>
    <cellStyle name="Total 2 3 6 5 3 2" xfId="52678"/>
    <cellStyle name="Total 2 3 6 5 3 3" xfId="52679"/>
    <cellStyle name="Total 2 3 6 5 4" xfId="52680"/>
    <cellStyle name="Total 2 3 6 5 5" xfId="52681"/>
    <cellStyle name="Total 2 3 6 6" xfId="52682"/>
    <cellStyle name="Total 2 3 6 6 2" xfId="52683"/>
    <cellStyle name="Total 2 3 6 6 2 2" xfId="52684"/>
    <cellStyle name="Total 2 3 6 6 2 3" xfId="52685"/>
    <cellStyle name="Total 2 3 6 6 3" xfId="52686"/>
    <cellStyle name="Total 2 3 6 6 3 2" xfId="52687"/>
    <cellStyle name="Total 2 3 6 6 3 3" xfId="52688"/>
    <cellStyle name="Total 2 3 6 6 4" xfId="52689"/>
    <cellStyle name="Total 2 3 6 6 5" xfId="52690"/>
    <cellStyle name="Total 2 3 6 7" xfId="52691"/>
    <cellStyle name="Total 2 3 6 7 2" xfId="52692"/>
    <cellStyle name="Total 2 3 6 7 2 2" xfId="52693"/>
    <cellStyle name="Total 2 3 6 7 2 3" xfId="52694"/>
    <cellStyle name="Total 2 3 6 7 3" xfId="52695"/>
    <cellStyle name="Total 2 3 6 7 3 2" xfId="52696"/>
    <cellStyle name="Total 2 3 6 7 3 3" xfId="52697"/>
    <cellStyle name="Total 2 3 6 7 4" xfId="52698"/>
    <cellStyle name="Total 2 3 6 7 5" xfId="52699"/>
    <cellStyle name="Total 2 3 6 8" xfId="52700"/>
    <cellStyle name="Total 2 3 6 8 2" xfId="52701"/>
    <cellStyle name="Total 2 3 6 8 2 2" xfId="52702"/>
    <cellStyle name="Total 2 3 6 8 2 3" xfId="52703"/>
    <cellStyle name="Total 2 3 6 8 3" xfId="52704"/>
    <cellStyle name="Total 2 3 6 8 3 2" xfId="52705"/>
    <cellStyle name="Total 2 3 6 8 3 3" xfId="52706"/>
    <cellStyle name="Total 2 3 6 8 4" xfId="52707"/>
    <cellStyle name="Total 2 3 6 8 5" xfId="52708"/>
    <cellStyle name="Total 2 3 6 9" xfId="52709"/>
    <cellStyle name="Total 2 3 6 9 2" xfId="52710"/>
    <cellStyle name="Total 2 3 6 9 2 2" xfId="52711"/>
    <cellStyle name="Total 2 3 6 9 2 3" xfId="52712"/>
    <cellStyle name="Total 2 3 6 9 3" xfId="52713"/>
    <cellStyle name="Total 2 3 6 9 3 2" xfId="52714"/>
    <cellStyle name="Total 2 3 6 9 3 3" xfId="52715"/>
    <cellStyle name="Total 2 3 6 9 4" xfId="52716"/>
    <cellStyle name="Total 2 3 6 9 5" xfId="52717"/>
    <cellStyle name="Total 2 3 7" xfId="52718"/>
    <cellStyle name="Total 2 3 7 2" xfId="52719"/>
    <cellStyle name="Total 2 3 7 2 2" xfId="52720"/>
    <cellStyle name="Total 2 3 7 2 3" xfId="52721"/>
    <cellStyle name="Total 2 3 7 3" xfId="52722"/>
    <cellStyle name="Total 2 3 7 3 2" xfId="52723"/>
    <cellStyle name="Total 2 3 7 3 3" xfId="52724"/>
    <cellStyle name="Total 2 3 7 4" xfId="52725"/>
    <cellStyle name="Total 2 3 7 5" xfId="52726"/>
    <cellStyle name="Total 2 3 8" xfId="52727"/>
    <cellStyle name="Total 2 3 8 2" xfId="52728"/>
    <cellStyle name="Total 2 3 8 2 2" xfId="52729"/>
    <cellStyle name="Total 2 3 8 2 3" xfId="52730"/>
    <cellStyle name="Total 2 3 8 3" xfId="52731"/>
    <cellStyle name="Total 2 3 8 3 2" xfId="52732"/>
    <cellStyle name="Total 2 3 8 3 3" xfId="52733"/>
    <cellStyle name="Total 2 3 8 4" xfId="52734"/>
    <cellStyle name="Total 2 3 8 5" xfId="52735"/>
    <cellStyle name="Total 2 3 9" xfId="52736"/>
    <cellStyle name="Total 2 3 9 2" xfId="52737"/>
    <cellStyle name="Total 2 3 9 2 2" xfId="52738"/>
    <cellStyle name="Total 2 3 9 2 3" xfId="52739"/>
    <cellStyle name="Total 2 3 9 3" xfId="52740"/>
    <cellStyle name="Total 2 3 9 3 2" xfId="52741"/>
    <cellStyle name="Total 2 3 9 3 3" xfId="52742"/>
    <cellStyle name="Total 2 3 9 4" xfId="52743"/>
    <cellStyle name="Total 2 3 9 5" xfId="52744"/>
    <cellStyle name="Total 2 30" xfId="52745"/>
    <cellStyle name="Total 2 30 2" xfId="52746"/>
    <cellStyle name="Total 2 30 2 2" xfId="52747"/>
    <cellStyle name="Total 2 30 2 3" xfId="52748"/>
    <cellStyle name="Total 2 30 3" xfId="52749"/>
    <cellStyle name="Total 2 30 4" xfId="52750"/>
    <cellStyle name="Total 2 31" xfId="52751"/>
    <cellStyle name="Total 2 31 2" xfId="52752"/>
    <cellStyle name="Total 2 31 3" xfId="52753"/>
    <cellStyle name="Total 2 32" xfId="52754"/>
    <cellStyle name="Total 2 32 2" xfId="52755"/>
    <cellStyle name="Total 2 32 3" xfId="52756"/>
    <cellStyle name="Total 2 33" xfId="52757"/>
    <cellStyle name="Total 2 33 2" xfId="52758"/>
    <cellStyle name="Total 2 33 3" xfId="52759"/>
    <cellStyle name="Total 2 34" xfId="52760"/>
    <cellStyle name="Total 2 35" xfId="52761"/>
    <cellStyle name="Total 2 36" xfId="52762"/>
    <cellStyle name="Total 2 4" xfId="52763"/>
    <cellStyle name="Total 2 4 10" xfId="52764"/>
    <cellStyle name="Total 2 4 10 2" xfId="52765"/>
    <cellStyle name="Total 2 4 10 2 2" xfId="52766"/>
    <cellStyle name="Total 2 4 10 2 3" xfId="52767"/>
    <cellStyle name="Total 2 4 10 3" xfId="52768"/>
    <cellStyle name="Total 2 4 10 3 2" xfId="52769"/>
    <cellStyle name="Total 2 4 10 3 3" xfId="52770"/>
    <cellStyle name="Total 2 4 10 4" xfId="52771"/>
    <cellStyle name="Total 2 4 10 5" xfId="52772"/>
    <cellStyle name="Total 2 4 11" xfId="52773"/>
    <cellStyle name="Total 2 4 11 2" xfId="52774"/>
    <cellStyle name="Total 2 4 11 2 2" xfId="52775"/>
    <cellStyle name="Total 2 4 11 2 3" xfId="52776"/>
    <cellStyle name="Total 2 4 11 3" xfId="52777"/>
    <cellStyle name="Total 2 4 11 3 2" xfId="52778"/>
    <cellStyle name="Total 2 4 11 3 3" xfId="52779"/>
    <cellStyle name="Total 2 4 11 4" xfId="52780"/>
    <cellStyle name="Total 2 4 11 5" xfId="52781"/>
    <cellStyle name="Total 2 4 12" xfId="52782"/>
    <cellStyle name="Total 2 4 12 2" xfId="52783"/>
    <cellStyle name="Total 2 4 12 2 2" xfId="52784"/>
    <cellStyle name="Total 2 4 12 2 3" xfId="52785"/>
    <cellStyle name="Total 2 4 12 3" xfId="52786"/>
    <cellStyle name="Total 2 4 12 3 2" xfId="52787"/>
    <cellStyle name="Total 2 4 12 3 3" xfId="52788"/>
    <cellStyle name="Total 2 4 12 4" xfId="52789"/>
    <cellStyle name="Total 2 4 12 5" xfId="52790"/>
    <cellStyle name="Total 2 4 13" xfId="52791"/>
    <cellStyle name="Total 2 4 13 2" xfId="52792"/>
    <cellStyle name="Total 2 4 13 2 2" xfId="52793"/>
    <cellStyle name="Total 2 4 13 2 3" xfId="52794"/>
    <cellStyle name="Total 2 4 13 3" xfId="52795"/>
    <cellStyle name="Total 2 4 13 3 2" xfId="52796"/>
    <cellStyle name="Total 2 4 13 3 3" xfId="52797"/>
    <cellStyle name="Total 2 4 13 4" xfId="52798"/>
    <cellStyle name="Total 2 4 13 5" xfId="52799"/>
    <cellStyle name="Total 2 4 14" xfId="52800"/>
    <cellStyle name="Total 2 4 14 2" xfId="52801"/>
    <cellStyle name="Total 2 4 14 2 2" xfId="52802"/>
    <cellStyle name="Total 2 4 14 2 3" xfId="52803"/>
    <cellStyle name="Total 2 4 14 3" xfId="52804"/>
    <cellStyle name="Total 2 4 14 3 2" xfId="52805"/>
    <cellStyle name="Total 2 4 14 3 3" xfId="52806"/>
    <cellStyle name="Total 2 4 14 4" xfId="52807"/>
    <cellStyle name="Total 2 4 14 5" xfId="52808"/>
    <cellStyle name="Total 2 4 15" xfId="52809"/>
    <cellStyle name="Total 2 4 15 2" xfId="52810"/>
    <cellStyle name="Total 2 4 15 2 2" xfId="52811"/>
    <cellStyle name="Total 2 4 15 2 3" xfId="52812"/>
    <cellStyle name="Total 2 4 15 3" xfId="52813"/>
    <cellStyle name="Total 2 4 15 3 2" xfId="52814"/>
    <cellStyle name="Total 2 4 15 3 3" xfId="52815"/>
    <cellStyle name="Total 2 4 15 4" xfId="52816"/>
    <cellStyle name="Total 2 4 15 5" xfId="52817"/>
    <cellStyle name="Total 2 4 16" xfId="52818"/>
    <cellStyle name="Total 2 4 16 2" xfId="52819"/>
    <cellStyle name="Total 2 4 16 2 2" xfId="52820"/>
    <cellStyle name="Total 2 4 16 2 3" xfId="52821"/>
    <cellStyle name="Total 2 4 16 3" xfId="52822"/>
    <cellStyle name="Total 2 4 16 3 2" xfId="52823"/>
    <cellStyle name="Total 2 4 16 3 3" xfId="52824"/>
    <cellStyle name="Total 2 4 16 4" xfId="52825"/>
    <cellStyle name="Total 2 4 16 5" xfId="52826"/>
    <cellStyle name="Total 2 4 17" xfId="52827"/>
    <cellStyle name="Total 2 4 17 2" xfId="52828"/>
    <cellStyle name="Total 2 4 17 2 2" xfId="52829"/>
    <cellStyle name="Total 2 4 17 2 3" xfId="52830"/>
    <cellStyle name="Total 2 4 17 3" xfId="52831"/>
    <cellStyle name="Total 2 4 17 3 2" xfId="52832"/>
    <cellStyle name="Total 2 4 17 3 3" xfId="52833"/>
    <cellStyle name="Total 2 4 17 4" xfId="52834"/>
    <cellStyle name="Total 2 4 17 5" xfId="52835"/>
    <cellStyle name="Total 2 4 18" xfId="52836"/>
    <cellStyle name="Total 2 4 18 2" xfId="52837"/>
    <cellStyle name="Total 2 4 18 2 2" xfId="52838"/>
    <cellStyle name="Total 2 4 18 2 3" xfId="52839"/>
    <cellStyle name="Total 2 4 18 3" xfId="52840"/>
    <cellStyle name="Total 2 4 18 3 2" xfId="52841"/>
    <cellStyle name="Total 2 4 18 3 3" xfId="52842"/>
    <cellStyle name="Total 2 4 18 4" xfId="52843"/>
    <cellStyle name="Total 2 4 18 5" xfId="52844"/>
    <cellStyle name="Total 2 4 19" xfId="52845"/>
    <cellStyle name="Total 2 4 19 2" xfId="52846"/>
    <cellStyle name="Total 2 4 19 2 2" xfId="52847"/>
    <cellStyle name="Total 2 4 19 2 3" xfId="52848"/>
    <cellStyle name="Total 2 4 19 3" xfId="52849"/>
    <cellStyle name="Total 2 4 19 3 2" xfId="52850"/>
    <cellStyle name="Total 2 4 19 3 3" xfId="52851"/>
    <cellStyle name="Total 2 4 19 4" xfId="52852"/>
    <cellStyle name="Total 2 4 19 5" xfId="52853"/>
    <cellStyle name="Total 2 4 2" xfId="52854"/>
    <cellStyle name="Total 2 4 2 10" xfId="52855"/>
    <cellStyle name="Total 2 4 2 10 2" xfId="52856"/>
    <cellStyle name="Total 2 4 2 10 2 2" xfId="52857"/>
    <cellStyle name="Total 2 4 2 10 2 3" xfId="52858"/>
    <cellStyle name="Total 2 4 2 10 3" xfId="52859"/>
    <cellStyle name="Total 2 4 2 10 3 2" xfId="52860"/>
    <cellStyle name="Total 2 4 2 10 3 3" xfId="52861"/>
    <cellStyle name="Total 2 4 2 10 4" xfId="52862"/>
    <cellStyle name="Total 2 4 2 10 5" xfId="52863"/>
    <cellStyle name="Total 2 4 2 11" xfId="52864"/>
    <cellStyle name="Total 2 4 2 11 2" xfId="52865"/>
    <cellStyle name="Total 2 4 2 11 2 2" xfId="52866"/>
    <cellStyle name="Total 2 4 2 11 2 3" xfId="52867"/>
    <cellStyle name="Total 2 4 2 11 3" xfId="52868"/>
    <cellStyle name="Total 2 4 2 11 3 2" xfId="52869"/>
    <cellStyle name="Total 2 4 2 11 3 3" xfId="52870"/>
    <cellStyle name="Total 2 4 2 11 4" xfId="52871"/>
    <cellStyle name="Total 2 4 2 11 5" xfId="52872"/>
    <cellStyle name="Total 2 4 2 12" xfId="52873"/>
    <cellStyle name="Total 2 4 2 12 2" xfId="52874"/>
    <cellStyle name="Total 2 4 2 12 2 2" xfId="52875"/>
    <cellStyle name="Total 2 4 2 12 2 3" xfId="52876"/>
    <cellStyle name="Total 2 4 2 12 3" xfId="52877"/>
    <cellStyle name="Total 2 4 2 12 3 2" xfId="52878"/>
    <cellStyle name="Total 2 4 2 12 3 3" xfId="52879"/>
    <cellStyle name="Total 2 4 2 12 4" xfId="52880"/>
    <cellStyle name="Total 2 4 2 12 5" xfId="52881"/>
    <cellStyle name="Total 2 4 2 13" xfId="52882"/>
    <cellStyle name="Total 2 4 2 13 2" xfId="52883"/>
    <cellStyle name="Total 2 4 2 13 2 2" xfId="52884"/>
    <cellStyle name="Total 2 4 2 13 2 3" xfId="52885"/>
    <cellStyle name="Total 2 4 2 13 3" xfId="52886"/>
    <cellStyle name="Total 2 4 2 13 3 2" xfId="52887"/>
    <cellStyle name="Total 2 4 2 13 3 3" xfId="52888"/>
    <cellStyle name="Total 2 4 2 13 4" xfId="52889"/>
    <cellStyle name="Total 2 4 2 13 5" xfId="52890"/>
    <cellStyle name="Total 2 4 2 14" xfId="52891"/>
    <cellStyle name="Total 2 4 2 14 2" xfId="52892"/>
    <cellStyle name="Total 2 4 2 14 2 2" xfId="52893"/>
    <cellStyle name="Total 2 4 2 14 2 3" xfId="52894"/>
    <cellStyle name="Total 2 4 2 14 3" xfId="52895"/>
    <cellStyle name="Total 2 4 2 14 3 2" xfId="52896"/>
    <cellStyle name="Total 2 4 2 14 3 3" xfId="52897"/>
    <cellStyle name="Total 2 4 2 14 4" xfId="52898"/>
    <cellStyle name="Total 2 4 2 14 5" xfId="52899"/>
    <cellStyle name="Total 2 4 2 15" xfId="52900"/>
    <cellStyle name="Total 2 4 2 15 2" xfId="52901"/>
    <cellStyle name="Total 2 4 2 15 2 2" xfId="52902"/>
    <cellStyle name="Total 2 4 2 15 2 3" xfId="52903"/>
    <cellStyle name="Total 2 4 2 15 3" xfId="52904"/>
    <cellStyle name="Total 2 4 2 15 3 2" xfId="52905"/>
    <cellStyle name="Total 2 4 2 15 3 3" xfId="52906"/>
    <cellStyle name="Total 2 4 2 15 4" xfId="52907"/>
    <cellStyle name="Total 2 4 2 15 5" xfId="52908"/>
    <cellStyle name="Total 2 4 2 16" xfId="52909"/>
    <cellStyle name="Total 2 4 2 16 2" xfId="52910"/>
    <cellStyle name="Total 2 4 2 16 2 2" xfId="52911"/>
    <cellStyle name="Total 2 4 2 16 2 3" xfId="52912"/>
    <cellStyle name="Total 2 4 2 16 3" xfId="52913"/>
    <cellStyle name="Total 2 4 2 16 3 2" xfId="52914"/>
    <cellStyle name="Total 2 4 2 16 3 3" xfId="52915"/>
    <cellStyle name="Total 2 4 2 16 4" xfId="52916"/>
    <cellStyle name="Total 2 4 2 16 5" xfId="52917"/>
    <cellStyle name="Total 2 4 2 17" xfId="52918"/>
    <cellStyle name="Total 2 4 2 17 2" xfId="52919"/>
    <cellStyle name="Total 2 4 2 17 2 2" xfId="52920"/>
    <cellStyle name="Total 2 4 2 17 2 3" xfId="52921"/>
    <cellStyle name="Total 2 4 2 17 3" xfId="52922"/>
    <cellStyle name="Total 2 4 2 17 3 2" xfId="52923"/>
    <cellStyle name="Total 2 4 2 17 3 3" xfId="52924"/>
    <cellStyle name="Total 2 4 2 17 4" xfId="52925"/>
    <cellStyle name="Total 2 4 2 17 5" xfId="52926"/>
    <cellStyle name="Total 2 4 2 18" xfId="52927"/>
    <cellStyle name="Total 2 4 2 18 2" xfId="52928"/>
    <cellStyle name="Total 2 4 2 18 2 2" xfId="52929"/>
    <cellStyle name="Total 2 4 2 18 2 3" xfId="52930"/>
    <cellStyle name="Total 2 4 2 18 3" xfId="52931"/>
    <cellStyle name="Total 2 4 2 18 3 2" xfId="52932"/>
    <cellStyle name="Total 2 4 2 18 3 3" xfId="52933"/>
    <cellStyle name="Total 2 4 2 18 4" xfId="52934"/>
    <cellStyle name="Total 2 4 2 18 5" xfId="52935"/>
    <cellStyle name="Total 2 4 2 19" xfId="52936"/>
    <cellStyle name="Total 2 4 2 19 2" xfId="52937"/>
    <cellStyle name="Total 2 4 2 19 2 2" xfId="52938"/>
    <cellStyle name="Total 2 4 2 19 2 3" xfId="52939"/>
    <cellStyle name="Total 2 4 2 19 3" xfId="52940"/>
    <cellStyle name="Total 2 4 2 19 3 2" xfId="52941"/>
    <cellStyle name="Total 2 4 2 19 3 3" xfId="52942"/>
    <cellStyle name="Total 2 4 2 19 4" xfId="52943"/>
    <cellStyle name="Total 2 4 2 19 5" xfId="52944"/>
    <cellStyle name="Total 2 4 2 2" xfId="52945"/>
    <cellStyle name="Total 2 4 2 2 2" xfId="52946"/>
    <cellStyle name="Total 2 4 2 2 2 2" xfId="52947"/>
    <cellStyle name="Total 2 4 2 2 2 3" xfId="52948"/>
    <cellStyle name="Total 2 4 2 2 3" xfId="52949"/>
    <cellStyle name="Total 2 4 2 2 3 2" xfId="52950"/>
    <cellStyle name="Total 2 4 2 2 3 3" xfId="52951"/>
    <cellStyle name="Total 2 4 2 2 4" xfId="52952"/>
    <cellStyle name="Total 2 4 2 2 5" xfId="52953"/>
    <cellStyle name="Total 2 4 2 20" xfId="52954"/>
    <cellStyle name="Total 2 4 2 20 2" xfId="52955"/>
    <cellStyle name="Total 2 4 2 20 2 2" xfId="52956"/>
    <cellStyle name="Total 2 4 2 20 2 3" xfId="52957"/>
    <cellStyle name="Total 2 4 2 20 3" xfId="52958"/>
    <cellStyle name="Total 2 4 2 20 3 2" xfId="52959"/>
    <cellStyle name="Total 2 4 2 20 3 3" xfId="52960"/>
    <cellStyle name="Total 2 4 2 20 4" xfId="52961"/>
    <cellStyle name="Total 2 4 2 20 5" xfId="52962"/>
    <cellStyle name="Total 2 4 2 21" xfId="52963"/>
    <cellStyle name="Total 2 4 2 21 2" xfId="52964"/>
    <cellStyle name="Total 2 4 2 21 2 2" xfId="52965"/>
    <cellStyle name="Total 2 4 2 21 2 3" xfId="52966"/>
    <cellStyle name="Total 2 4 2 21 3" xfId="52967"/>
    <cellStyle name="Total 2 4 2 21 3 2" xfId="52968"/>
    <cellStyle name="Total 2 4 2 21 3 3" xfId="52969"/>
    <cellStyle name="Total 2 4 2 21 4" xfId="52970"/>
    <cellStyle name="Total 2 4 2 21 5" xfId="52971"/>
    <cellStyle name="Total 2 4 2 22" xfId="52972"/>
    <cellStyle name="Total 2 4 2 22 2" xfId="52973"/>
    <cellStyle name="Total 2 4 2 22 2 2" xfId="52974"/>
    <cellStyle name="Total 2 4 2 22 2 3" xfId="52975"/>
    <cellStyle name="Total 2 4 2 22 3" xfId="52976"/>
    <cellStyle name="Total 2 4 2 22 3 2" xfId="52977"/>
    <cellStyle name="Total 2 4 2 22 3 3" xfId="52978"/>
    <cellStyle name="Total 2 4 2 22 4" xfId="52979"/>
    <cellStyle name="Total 2 4 2 22 5" xfId="52980"/>
    <cellStyle name="Total 2 4 2 23" xfId="52981"/>
    <cellStyle name="Total 2 4 2 23 2" xfId="52982"/>
    <cellStyle name="Total 2 4 2 23 2 2" xfId="52983"/>
    <cellStyle name="Total 2 4 2 23 2 3" xfId="52984"/>
    <cellStyle name="Total 2 4 2 23 3" xfId="52985"/>
    <cellStyle name="Total 2 4 2 23 3 2" xfId="52986"/>
    <cellStyle name="Total 2 4 2 23 3 3" xfId="52987"/>
    <cellStyle name="Total 2 4 2 23 4" xfId="52988"/>
    <cellStyle name="Total 2 4 2 23 5" xfId="52989"/>
    <cellStyle name="Total 2 4 2 24" xfId="52990"/>
    <cellStyle name="Total 2 4 2 24 2" xfId="52991"/>
    <cellStyle name="Total 2 4 2 24 2 2" xfId="52992"/>
    <cellStyle name="Total 2 4 2 24 2 3" xfId="52993"/>
    <cellStyle name="Total 2 4 2 24 3" xfId="52994"/>
    <cellStyle name="Total 2 4 2 24 3 2" xfId="52995"/>
    <cellStyle name="Total 2 4 2 24 3 3" xfId="52996"/>
    <cellStyle name="Total 2 4 2 24 4" xfId="52997"/>
    <cellStyle name="Total 2 4 2 24 5" xfId="52998"/>
    <cellStyle name="Total 2 4 2 25" xfId="52999"/>
    <cellStyle name="Total 2 4 2 25 2" xfId="53000"/>
    <cellStyle name="Total 2 4 2 25 2 2" xfId="53001"/>
    <cellStyle name="Total 2 4 2 25 2 3" xfId="53002"/>
    <cellStyle name="Total 2 4 2 25 3" xfId="53003"/>
    <cellStyle name="Total 2 4 2 25 3 2" xfId="53004"/>
    <cellStyle name="Total 2 4 2 25 3 3" xfId="53005"/>
    <cellStyle name="Total 2 4 2 25 4" xfId="53006"/>
    <cellStyle name="Total 2 4 2 25 5" xfId="53007"/>
    <cellStyle name="Total 2 4 2 26" xfId="53008"/>
    <cellStyle name="Total 2 4 2 26 2" xfId="53009"/>
    <cellStyle name="Total 2 4 2 26 2 2" xfId="53010"/>
    <cellStyle name="Total 2 4 2 26 2 3" xfId="53011"/>
    <cellStyle name="Total 2 4 2 26 3" xfId="53012"/>
    <cellStyle name="Total 2 4 2 26 3 2" xfId="53013"/>
    <cellStyle name="Total 2 4 2 26 3 3" xfId="53014"/>
    <cellStyle name="Total 2 4 2 26 4" xfId="53015"/>
    <cellStyle name="Total 2 4 2 26 5" xfId="53016"/>
    <cellStyle name="Total 2 4 2 27" xfId="53017"/>
    <cellStyle name="Total 2 4 2 27 2" xfId="53018"/>
    <cellStyle name="Total 2 4 2 27 2 2" xfId="53019"/>
    <cellStyle name="Total 2 4 2 27 2 3" xfId="53020"/>
    <cellStyle name="Total 2 4 2 27 3" xfId="53021"/>
    <cellStyle name="Total 2 4 2 27 3 2" xfId="53022"/>
    <cellStyle name="Total 2 4 2 27 3 3" xfId="53023"/>
    <cellStyle name="Total 2 4 2 27 4" xfId="53024"/>
    <cellStyle name="Total 2 4 2 27 5" xfId="53025"/>
    <cellStyle name="Total 2 4 2 28" xfId="53026"/>
    <cellStyle name="Total 2 4 2 28 2" xfId="53027"/>
    <cellStyle name="Total 2 4 2 28 2 2" xfId="53028"/>
    <cellStyle name="Total 2 4 2 28 2 3" xfId="53029"/>
    <cellStyle name="Total 2 4 2 28 3" xfId="53030"/>
    <cellStyle name="Total 2 4 2 28 3 2" xfId="53031"/>
    <cellStyle name="Total 2 4 2 28 3 3" xfId="53032"/>
    <cellStyle name="Total 2 4 2 28 4" xfId="53033"/>
    <cellStyle name="Total 2 4 2 28 5" xfId="53034"/>
    <cellStyle name="Total 2 4 2 29" xfId="53035"/>
    <cellStyle name="Total 2 4 2 29 2" xfId="53036"/>
    <cellStyle name="Total 2 4 2 29 2 2" xfId="53037"/>
    <cellStyle name="Total 2 4 2 29 2 3" xfId="53038"/>
    <cellStyle name="Total 2 4 2 29 3" xfId="53039"/>
    <cellStyle name="Total 2 4 2 29 3 2" xfId="53040"/>
    <cellStyle name="Total 2 4 2 29 3 3" xfId="53041"/>
    <cellStyle name="Total 2 4 2 29 4" xfId="53042"/>
    <cellStyle name="Total 2 4 2 29 5" xfId="53043"/>
    <cellStyle name="Total 2 4 2 3" xfId="53044"/>
    <cellStyle name="Total 2 4 2 3 2" xfId="53045"/>
    <cellStyle name="Total 2 4 2 3 2 2" xfId="53046"/>
    <cellStyle name="Total 2 4 2 3 2 3" xfId="53047"/>
    <cellStyle name="Total 2 4 2 3 3" xfId="53048"/>
    <cellStyle name="Total 2 4 2 3 3 2" xfId="53049"/>
    <cellStyle name="Total 2 4 2 3 3 3" xfId="53050"/>
    <cellStyle name="Total 2 4 2 3 4" xfId="53051"/>
    <cellStyle name="Total 2 4 2 3 5" xfId="53052"/>
    <cellStyle name="Total 2 4 2 30" xfId="53053"/>
    <cellStyle name="Total 2 4 2 30 2" xfId="53054"/>
    <cellStyle name="Total 2 4 2 30 2 2" xfId="53055"/>
    <cellStyle name="Total 2 4 2 30 2 3" xfId="53056"/>
    <cellStyle name="Total 2 4 2 30 3" xfId="53057"/>
    <cellStyle name="Total 2 4 2 30 3 2" xfId="53058"/>
    <cellStyle name="Total 2 4 2 30 3 3" xfId="53059"/>
    <cellStyle name="Total 2 4 2 30 4" xfId="53060"/>
    <cellStyle name="Total 2 4 2 30 5" xfId="53061"/>
    <cellStyle name="Total 2 4 2 31" xfId="53062"/>
    <cellStyle name="Total 2 4 2 31 2" xfId="53063"/>
    <cellStyle name="Total 2 4 2 31 2 2" xfId="53064"/>
    <cellStyle name="Total 2 4 2 31 2 3" xfId="53065"/>
    <cellStyle name="Total 2 4 2 31 3" xfId="53066"/>
    <cellStyle name="Total 2 4 2 31 3 2" xfId="53067"/>
    <cellStyle name="Total 2 4 2 31 3 3" xfId="53068"/>
    <cellStyle name="Total 2 4 2 31 4" xfId="53069"/>
    <cellStyle name="Total 2 4 2 31 5" xfId="53070"/>
    <cellStyle name="Total 2 4 2 32" xfId="53071"/>
    <cellStyle name="Total 2 4 2 32 2" xfId="53072"/>
    <cellStyle name="Total 2 4 2 32 2 2" xfId="53073"/>
    <cellStyle name="Total 2 4 2 32 2 3" xfId="53074"/>
    <cellStyle name="Total 2 4 2 32 3" xfId="53075"/>
    <cellStyle name="Total 2 4 2 32 3 2" xfId="53076"/>
    <cellStyle name="Total 2 4 2 32 3 3" xfId="53077"/>
    <cellStyle name="Total 2 4 2 32 4" xfId="53078"/>
    <cellStyle name="Total 2 4 2 32 5" xfId="53079"/>
    <cellStyle name="Total 2 4 2 33" xfId="53080"/>
    <cellStyle name="Total 2 4 2 33 2" xfId="53081"/>
    <cellStyle name="Total 2 4 2 33 2 2" xfId="53082"/>
    <cellStyle name="Total 2 4 2 33 2 3" xfId="53083"/>
    <cellStyle name="Total 2 4 2 33 3" xfId="53084"/>
    <cellStyle name="Total 2 4 2 33 3 2" xfId="53085"/>
    <cellStyle name="Total 2 4 2 33 3 3" xfId="53086"/>
    <cellStyle name="Total 2 4 2 33 4" xfId="53087"/>
    <cellStyle name="Total 2 4 2 33 5" xfId="53088"/>
    <cellStyle name="Total 2 4 2 34" xfId="53089"/>
    <cellStyle name="Total 2 4 2 34 2" xfId="53090"/>
    <cellStyle name="Total 2 4 2 34 2 2" xfId="53091"/>
    <cellStyle name="Total 2 4 2 34 2 3" xfId="53092"/>
    <cellStyle name="Total 2 4 2 34 3" xfId="53093"/>
    <cellStyle name="Total 2 4 2 34 3 2" xfId="53094"/>
    <cellStyle name="Total 2 4 2 34 3 3" xfId="53095"/>
    <cellStyle name="Total 2 4 2 34 4" xfId="53096"/>
    <cellStyle name="Total 2 4 2 34 5" xfId="53097"/>
    <cellStyle name="Total 2 4 2 35" xfId="53098"/>
    <cellStyle name="Total 2 4 2 35 2" xfId="53099"/>
    <cellStyle name="Total 2 4 2 35 2 2" xfId="53100"/>
    <cellStyle name="Total 2 4 2 35 2 3" xfId="53101"/>
    <cellStyle name="Total 2 4 2 35 3" xfId="53102"/>
    <cellStyle name="Total 2 4 2 35 3 2" xfId="53103"/>
    <cellStyle name="Total 2 4 2 35 3 3" xfId="53104"/>
    <cellStyle name="Total 2 4 2 35 4" xfId="53105"/>
    <cellStyle name="Total 2 4 2 35 5" xfId="53106"/>
    <cellStyle name="Total 2 4 2 36" xfId="53107"/>
    <cellStyle name="Total 2 4 2 36 2" xfId="53108"/>
    <cellStyle name="Total 2 4 2 36 2 2" xfId="53109"/>
    <cellStyle name="Total 2 4 2 36 2 3" xfId="53110"/>
    <cellStyle name="Total 2 4 2 36 3" xfId="53111"/>
    <cellStyle name="Total 2 4 2 36 3 2" xfId="53112"/>
    <cellStyle name="Total 2 4 2 36 3 3" xfId="53113"/>
    <cellStyle name="Total 2 4 2 36 4" xfId="53114"/>
    <cellStyle name="Total 2 4 2 36 5" xfId="53115"/>
    <cellStyle name="Total 2 4 2 37" xfId="53116"/>
    <cellStyle name="Total 2 4 2 37 2" xfId="53117"/>
    <cellStyle name="Total 2 4 2 37 2 2" xfId="53118"/>
    <cellStyle name="Total 2 4 2 37 2 3" xfId="53119"/>
    <cellStyle name="Total 2 4 2 37 3" xfId="53120"/>
    <cellStyle name="Total 2 4 2 37 3 2" xfId="53121"/>
    <cellStyle name="Total 2 4 2 37 3 3" xfId="53122"/>
    <cellStyle name="Total 2 4 2 37 4" xfId="53123"/>
    <cellStyle name="Total 2 4 2 37 5" xfId="53124"/>
    <cellStyle name="Total 2 4 2 38" xfId="53125"/>
    <cellStyle name="Total 2 4 2 38 2" xfId="53126"/>
    <cellStyle name="Total 2 4 2 38 2 2" xfId="53127"/>
    <cellStyle name="Total 2 4 2 38 2 3" xfId="53128"/>
    <cellStyle name="Total 2 4 2 38 3" xfId="53129"/>
    <cellStyle name="Total 2 4 2 38 3 2" xfId="53130"/>
    <cellStyle name="Total 2 4 2 38 3 3" xfId="53131"/>
    <cellStyle name="Total 2 4 2 38 4" xfId="53132"/>
    <cellStyle name="Total 2 4 2 38 5" xfId="53133"/>
    <cellStyle name="Total 2 4 2 39" xfId="53134"/>
    <cellStyle name="Total 2 4 2 39 2" xfId="53135"/>
    <cellStyle name="Total 2 4 2 39 2 2" xfId="53136"/>
    <cellStyle name="Total 2 4 2 39 2 3" xfId="53137"/>
    <cellStyle name="Total 2 4 2 39 3" xfId="53138"/>
    <cellStyle name="Total 2 4 2 39 4" xfId="53139"/>
    <cellStyle name="Total 2 4 2 4" xfId="53140"/>
    <cellStyle name="Total 2 4 2 4 2" xfId="53141"/>
    <cellStyle name="Total 2 4 2 4 2 2" xfId="53142"/>
    <cellStyle name="Total 2 4 2 4 2 3" xfId="53143"/>
    <cellStyle name="Total 2 4 2 4 3" xfId="53144"/>
    <cellStyle name="Total 2 4 2 4 3 2" xfId="53145"/>
    <cellStyle name="Total 2 4 2 4 3 3" xfId="53146"/>
    <cellStyle name="Total 2 4 2 4 4" xfId="53147"/>
    <cellStyle name="Total 2 4 2 4 5" xfId="53148"/>
    <cellStyle name="Total 2 4 2 40" xfId="53149"/>
    <cellStyle name="Total 2 4 2 40 2" xfId="53150"/>
    <cellStyle name="Total 2 4 2 40 3" xfId="53151"/>
    <cellStyle name="Total 2 4 2 41" xfId="53152"/>
    <cellStyle name="Total 2 4 2 41 2" xfId="53153"/>
    <cellStyle name="Total 2 4 2 41 3" xfId="53154"/>
    <cellStyle name="Total 2 4 2 42" xfId="53155"/>
    <cellStyle name="Total 2 4 2 42 2" xfId="53156"/>
    <cellStyle name="Total 2 4 2 42 3" xfId="53157"/>
    <cellStyle name="Total 2 4 2 43" xfId="53158"/>
    <cellStyle name="Total 2 4 2 44" xfId="53159"/>
    <cellStyle name="Total 2 4 2 5" xfId="53160"/>
    <cellStyle name="Total 2 4 2 5 2" xfId="53161"/>
    <cellStyle name="Total 2 4 2 5 2 2" xfId="53162"/>
    <cellStyle name="Total 2 4 2 5 2 3" xfId="53163"/>
    <cellStyle name="Total 2 4 2 5 3" xfId="53164"/>
    <cellStyle name="Total 2 4 2 5 3 2" xfId="53165"/>
    <cellStyle name="Total 2 4 2 5 3 3" xfId="53166"/>
    <cellStyle name="Total 2 4 2 5 4" xfId="53167"/>
    <cellStyle name="Total 2 4 2 5 5" xfId="53168"/>
    <cellStyle name="Total 2 4 2 6" xfId="53169"/>
    <cellStyle name="Total 2 4 2 6 2" xfId="53170"/>
    <cellStyle name="Total 2 4 2 6 2 2" xfId="53171"/>
    <cellStyle name="Total 2 4 2 6 2 3" xfId="53172"/>
    <cellStyle name="Total 2 4 2 6 3" xfId="53173"/>
    <cellStyle name="Total 2 4 2 6 3 2" xfId="53174"/>
    <cellStyle name="Total 2 4 2 6 3 3" xfId="53175"/>
    <cellStyle name="Total 2 4 2 6 4" xfId="53176"/>
    <cellStyle name="Total 2 4 2 6 5" xfId="53177"/>
    <cellStyle name="Total 2 4 2 7" xfId="53178"/>
    <cellStyle name="Total 2 4 2 7 2" xfId="53179"/>
    <cellStyle name="Total 2 4 2 7 2 2" xfId="53180"/>
    <cellStyle name="Total 2 4 2 7 2 3" xfId="53181"/>
    <cellStyle name="Total 2 4 2 7 3" xfId="53182"/>
    <cellStyle name="Total 2 4 2 7 3 2" xfId="53183"/>
    <cellStyle name="Total 2 4 2 7 3 3" xfId="53184"/>
    <cellStyle name="Total 2 4 2 7 4" xfId="53185"/>
    <cellStyle name="Total 2 4 2 7 5" xfId="53186"/>
    <cellStyle name="Total 2 4 2 8" xfId="53187"/>
    <cellStyle name="Total 2 4 2 8 2" xfId="53188"/>
    <cellStyle name="Total 2 4 2 8 2 2" xfId="53189"/>
    <cellStyle name="Total 2 4 2 8 2 3" xfId="53190"/>
    <cellStyle name="Total 2 4 2 8 3" xfId="53191"/>
    <cellStyle name="Total 2 4 2 8 3 2" xfId="53192"/>
    <cellStyle name="Total 2 4 2 8 3 3" xfId="53193"/>
    <cellStyle name="Total 2 4 2 8 4" xfId="53194"/>
    <cellStyle name="Total 2 4 2 8 5" xfId="53195"/>
    <cellStyle name="Total 2 4 2 9" xfId="53196"/>
    <cellStyle name="Total 2 4 2 9 2" xfId="53197"/>
    <cellStyle name="Total 2 4 2 9 2 2" xfId="53198"/>
    <cellStyle name="Total 2 4 2 9 2 3" xfId="53199"/>
    <cellStyle name="Total 2 4 2 9 3" xfId="53200"/>
    <cellStyle name="Total 2 4 2 9 3 2" xfId="53201"/>
    <cellStyle name="Total 2 4 2 9 3 3" xfId="53202"/>
    <cellStyle name="Total 2 4 2 9 4" xfId="53203"/>
    <cellStyle name="Total 2 4 2 9 5" xfId="53204"/>
    <cellStyle name="Total 2 4 20" xfId="53205"/>
    <cellStyle name="Total 2 4 20 2" xfId="53206"/>
    <cellStyle name="Total 2 4 20 2 2" xfId="53207"/>
    <cellStyle name="Total 2 4 20 2 3" xfId="53208"/>
    <cellStyle name="Total 2 4 20 3" xfId="53209"/>
    <cellStyle name="Total 2 4 20 3 2" xfId="53210"/>
    <cellStyle name="Total 2 4 20 3 3" xfId="53211"/>
    <cellStyle name="Total 2 4 20 4" xfId="53212"/>
    <cellStyle name="Total 2 4 20 5" xfId="53213"/>
    <cellStyle name="Total 2 4 21" xfId="53214"/>
    <cellStyle name="Total 2 4 21 2" xfId="53215"/>
    <cellStyle name="Total 2 4 21 2 2" xfId="53216"/>
    <cellStyle name="Total 2 4 21 2 3" xfId="53217"/>
    <cellStyle name="Total 2 4 21 3" xfId="53218"/>
    <cellStyle name="Total 2 4 21 3 2" xfId="53219"/>
    <cellStyle name="Total 2 4 21 3 3" xfId="53220"/>
    <cellStyle name="Total 2 4 21 4" xfId="53221"/>
    <cellStyle name="Total 2 4 21 5" xfId="53222"/>
    <cellStyle name="Total 2 4 22" xfId="53223"/>
    <cellStyle name="Total 2 4 22 2" xfId="53224"/>
    <cellStyle name="Total 2 4 22 2 2" xfId="53225"/>
    <cellStyle name="Total 2 4 22 2 3" xfId="53226"/>
    <cellStyle name="Total 2 4 22 3" xfId="53227"/>
    <cellStyle name="Total 2 4 22 3 2" xfId="53228"/>
    <cellStyle name="Total 2 4 22 3 3" xfId="53229"/>
    <cellStyle name="Total 2 4 22 4" xfId="53230"/>
    <cellStyle name="Total 2 4 22 5" xfId="53231"/>
    <cellStyle name="Total 2 4 23" xfId="53232"/>
    <cellStyle name="Total 2 4 23 2" xfId="53233"/>
    <cellStyle name="Total 2 4 23 2 2" xfId="53234"/>
    <cellStyle name="Total 2 4 23 2 3" xfId="53235"/>
    <cellStyle name="Total 2 4 23 3" xfId="53236"/>
    <cellStyle name="Total 2 4 23 3 2" xfId="53237"/>
    <cellStyle name="Total 2 4 23 3 3" xfId="53238"/>
    <cellStyle name="Total 2 4 23 4" xfId="53239"/>
    <cellStyle name="Total 2 4 23 5" xfId="53240"/>
    <cellStyle name="Total 2 4 24" xfId="53241"/>
    <cellStyle name="Total 2 4 24 2" xfId="53242"/>
    <cellStyle name="Total 2 4 24 2 2" xfId="53243"/>
    <cellStyle name="Total 2 4 24 2 3" xfId="53244"/>
    <cellStyle name="Total 2 4 24 3" xfId="53245"/>
    <cellStyle name="Total 2 4 24 3 2" xfId="53246"/>
    <cellStyle name="Total 2 4 24 3 3" xfId="53247"/>
    <cellStyle name="Total 2 4 24 4" xfId="53248"/>
    <cellStyle name="Total 2 4 24 5" xfId="53249"/>
    <cellStyle name="Total 2 4 25" xfId="53250"/>
    <cellStyle name="Total 2 4 25 2" xfId="53251"/>
    <cellStyle name="Total 2 4 25 2 2" xfId="53252"/>
    <cellStyle name="Total 2 4 25 2 3" xfId="53253"/>
    <cellStyle name="Total 2 4 25 3" xfId="53254"/>
    <cellStyle name="Total 2 4 25 3 2" xfId="53255"/>
    <cellStyle name="Total 2 4 25 3 3" xfId="53256"/>
    <cellStyle name="Total 2 4 25 4" xfId="53257"/>
    <cellStyle name="Total 2 4 25 5" xfId="53258"/>
    <cellStyle name="Total 2 4 26" xfId="53259"/>
    <cellStyle name="Total 2 4 26 2" xfId="53260"/>
    <cellStyle name="Total 2 4 26 2 2" xfId="53261"/>
    <cellStyle name="Total 2 4 26 2 3" xfId="53262"/>
    <cellStyle name="Total 2 4 26 3" xfId="53263"/>
    <cellStyle name="Total 2 4 26 3 2" xfId="53264"/>
    <cellStyle name="Total 2 4 26 3 3" xfId="53265"/>
    <cellStyle name="Total 2 4 26 4" xfId="53266"/>
    <cellStyle name="Total 2 4 26 5" xfId="53267"/>
    <cellStyle name="Total 2 4 27" xfId="53268"/>
    <cellStyle name="Total 2 4 27 2" xfId="53269"/>
    <cellStyle name="Total 2 4 27 2 2" xfId="53270"/>
    <cellStyle name="Total 2 4 27 2 3" xfId="53271"/>
    <cellStyle name="Total 2 4 27 3" xfId="53272"/>
    <cellStyle name="Total 2 4 27 3 2" xfId="53273"/>
    <cellStyle name="Total 2 4 27 3 3" xfId="53274"/>
    <cellStyle name="Total 2 4 27 4" xfId="53275"/>
    <cellStyle name="Total 2 4 27 5" xfId="53276"/>
    <cellStyle name="Total 2 4 28" xfId="53277"/>
    <cellStyle name="Total 2 4 28 2" xfId="53278"/>
    <cellStyle name="Total 2 4 28 2 2" xfId="53279"/>
    <cellStyle name="Total 2 4 28 2 3" xfId="53280"/>
    <cellStyle name="Total 2 4 28 3" xfId="53281"/>
    <cellStyle name="Total 2 4 28 3 2" xfId="53282"/>
    <cellStyle name="Total 2 4 28 3 3" xfId="53283"/>
    <cellStyle name="Total 2 4 28 4" xfId="53284"/>
    <cellStyle name="Total 2 4 28 5" xfId="53285"/>
    <cellStyle name="Total 2 4 29" xfId="53286"/>
    <cellStyle name="Total 2 4 29 2" xfId="53287"/>
    <cellStyle name="Total 2 4 29 2 2" xfId="53288"/>
    <cellStyle name="Total 2 4 29 2 3" xfId="53289"/>
    <cellStyle name="Total 2 4 29 3" xfId="53290"/>
    <cellStyle name="Total 2 4 29 3 2" xfId="53291"/>
    <cellStyle name="Total 2 4 29 3 3" xfId="53292"/>
    <cellStyle name="Total 2 4 29 4" xfId="53293"/>
    <cellStyle name="Total 2 4 29 5" xfId="53294"/>
    <cellStyle name="Total 2 4 3" xfId="53295"/>
    <cellStyle name="Total 2 4 3 10" xfId="53296"/>
    <cellStyle name="Total 2 4 3 10 2" xfId="53297"/>
    <cellStyle name="Total 2 4 3 10 2 2" xfId="53298"/>
    <cellStyle name="Total 2 4 3 10 2 3" xfId="53299"/>
    <cellStyle name="Total 2 4 3 10 3" xfId="53300"/>
    <cellStyle name="Total 2 4 3 10 3 2" xfId="53301"/>
    <cellStyle name="Total 2 4 3 10 3 3" xfId="53302"/>
    <cellStyle name="Total 2 4 3 10 4" xfId="53303"/>
    <cellStyle name="Total 2 4 3 10 5" xfId="53304"/>
    <cellStyle name="Total 2 4 3 11" xfId="53305"/>
    <cellStyle name="Total 2 4 3 11 2" xfId="53306"/>
    <cellStyle name="Total 2 4 3 11 2 2" xfId="53307"/>
    <cellStyle name="Total 2 4 3 11 2 3" xfId="53308"/>
    <cellStyle name="Total 2 4 3 11 3" xfId="53309"/>
    <cellStyle name="Total 2 4 3 11 3 2" xfId="53310"/>
    <cellStyle name="Total 2 4 3 11 3 3" xfId="53311"/>
    <cellStyle name="Total 2 4 3 11 4" xfId="53312"/>
    <cellStyle name="Total 2 4 3 11 5" xfId="53313"/>
    <cellStyle name="Total 2 4 3 12" xfId="53314"/>
    <cellStyle name="Total 2 4 3 12 2" xfId="53315"/>
    <cellStyle name="Total 2 4 3 12 2 2" xfId="53316"/>
    <cellStyle name="Total 2 4 3 12 2 3" xfId="53317"/>
    <cellStyle name="Total 2 4 3 12 3" xfId="53318"/>
    <cellStyle name="Total 2 4 3 12 3 2" xfId="53319"/>
    <cellStyle name="Total 2 4 3 12 3 3" xfId="53320"/>
    <cellStyle name="Total 2 4 3 12 4" xfId="53321"/>
    <cellStyle name="Total 2 4 3 12 5" xfId="53322"/>
    <cellStyle name="Total 2 4 3 13" xfId="53323"/>
    <cellStyle name="Total 2 4 3 13 2" xfId="53324"/>
    <cellStyle name="Total 2 4 3 13 2 2" xfId="53325"/>
    <cellStyle name="Total 2 4 3 13 2 3" xfId="53326"/>
    <cellStyle name="Total 2 4 3 13 3" xfId="53327"/>
    <cellStyle name="Total 2 4 3 13 3 2" xfId="53328"/>
    <cellStyle name="Total 2 4 3 13 3 3" xfId="53329"/>
    <cellStyle name="Total 2 4 3 13 4" xfId="53330"/>
    <cellStyle name="Total 2 4 3 13 5" xfId="53331"/>
    <cellStyle name="Total 2 4 3 14" xfId="53332"/>
    <cellStyle name="Total 2 4 3 14 2" xfId="53333"/>
    <cellStyle name="Total 2 4 3 14 2 2" xfId="53334"/>
    <cellStyle name="Total 2 4 3 14 2 3" xfId="53335"/>
    <cellStyle name="Total 2 4 3 14 3" xfId="53336"/>
    <cellStyle name="Total 2 4 3 14 3 2" xfId="53337"/>
    <cellStyle name="Total 2 4 3 14 3 3" xfId="53338"/>
    <cellStyle name="Total 2 4 3 14 4" xfId="53339"/>
    <cellStyle name="Total 2 4 3 14 5" xfId="53340"/>
    <cellStyle name="Total 2 4 3 15" xfId="53341"/>
    <cellStyle name="Total 2 4 3 15 2" xfId="53342"/>
    <cellStyle name="Total 2 4 3 15 2 2" xfId="53343"/>
    <cellStyle name="Total 2 4 3 15 2 3" xfId="53344"/>
    <cellStyle name="Total 2 4 3 15 3" xfId="53345"/>
    <cellStyle name="Total 2 4 3 15 3 2" xfId="53346"/>
    <cellStyle name="Total 2 4 3 15 3 3" xfId="53347"/>
    <cellStyle name="Total 2 4 3 15 4" xfId="53348"/>
    <cellStyle name="Total 2 4 3 15 5" xfId="53349"/>
    <cellStyle name="Total 2 4 3 16" xfId="53350"/>
    <cellStyle name="Total 2 4 3 16 2" xfId="53351"/>
    <cellStyle name="Total 2 4 3 16 2 2" xfId="53352"/>
    <cellStyle name="Total 2 4 3 16 2 3" xfId="53353"/>
    <cellStyle name="Total 2 4 3 16 3" xfId="53354"/>
    <cellStyle name="Total 2 4 3 16 3 2" xfId="53355"/>
    <cellStyle name="Total 2 4 3 16 3 3" xfId="53356"/>
    <cellStyle name="Total 2 4 3 16 4" xfId="53357"/>
    <cellStyle name="Total 2 4 3 16 5" xfId="53358"/>
    <cellStyle name="Total 2 4 3 17" xfId="53359"/>
    <cellStyle name="Total 2 4 3 17 2" xfId="53360"/>
    <cellStyle name="Total 2 4 3 17 2 2" xfId="53361"/>
    <cellStyle name="Total 2 4 3 17 2 3" xfId="53362"/>
    <cellStyle name="Total 2 4 3 17 3" xfId="53363"/>
    <cellStyle name="Total 2 4 3 17 3 2" xfId="53364"/>
    <cellStyle name="Total 2 4 3 17 3 3" xfId="53365"/>
    <cellStyle name="Total 2 4 3 17 4" xfId="53366"/>
    <cellStyle name="Total 2 4 3 17 5" xfId="53367"/>
    <cellStyle name="Total 2 4 3 18" xfId="53368"/>
    <cellStyle name="Total 2 4 3 18 2" xfId="53369"/>
    <cellStyle name="Total 2 4 3 18 2 2" xfId="53370"/>
    <cellStyle name="Total 2 4 3 18 2 3" xfId="53371"/>
    <cellStyle name="Total 2 4 3 18 3" xfId="53372"/>
    <cellStyle name="Total 2 4 3 18 3 2" xfId="53373"/>
    <cellStyle name="Total 2 4 3 18 3 3" xfId="53374"/>
    <cellStyle name="Total 2 4 3 18 4" xfId="53375"/>
    <cellStyle name="Total 2 4 3 18 5" xfId="53376"/>
    <cellStyle name="Total 2 4 3 19" xfId="53377"/>
    <cellStyle name="Total 2 4 3 19 2" xfId="53378"/>
    <cellStyle name="Total 2 4 3 19 2 2" xfId="53379"/>
    <cellStyle name="Total 2 4 3 19 2 3" xfId="53380"/>
    <cellStyle name="Total 2 4 3 19 3" xfId="53381"/>
    <cellStyle name="Total 2 4 3 19 3 2" xfId="53382"/>
    <cellStyle name="Total 2 4 3 19 3 3" xfId="53383"/>
    <cellStyle name="Total 2 4 3 19 4" xfId="53384"/>
    <cellStyle name="Total 2 4 3 19 5" xfId="53385"/>
    <cellStyle name="Total 2 4 3 2" xfId="53386"/>
    <cellStyle name="Total 2 4 3 2 2" xfId="53387"/>
    <cellStyle name="Total 2 4 3 2 2 2" xfId="53388"/>
    <cellStyle name="Total 2 4 3 2 2 3" xfId="53389"/>
    <cellStyle name="Total 2 4 3 2 3" xfId="53390"/>
    <cellStyle name="Total 2 4 3 2 3 2" xfId="53391"/>
    <cellStyle name="Total 2 4 3 2 3 3" xfId="53392"/>
    <cellStyle name="Total 2 4 3 2 4" xfId="53393"/>
    <cellStyle name="Total 2 4 3 2 5" xfId="53394"/>
    <cellStyle name="Total 2 4 3 20" xfId="53395"/>
    <cellStyle name="Total 2 4 3 20 2" xfId="53396"/>
    <cellStyle name="Total 2 4 3 20 2 2" xfId="53397"/>
    <cellStyle name="Total 2 4 3 20 2 3" xfId="53398"/>
    <cellStyle name="Total 2 4 3 20 3" xfId="53399"/>
    <cellStyle name="Total 2 4 3 20 3 2" xfId="53400"/>
    <cellStyle name="Total 2 4 3 20 3 3" xfId="53401"/>
    <cellStyle name="Total 2 4 3 20 4" xfId="53402"/>
    <cellStyle name="Total 2 4 3 20 5" xfId="53403"/>
    <cellStyle name="Total 2 4 3 21" xfId="53404"/>
    <cellStyle name="Total 2 4 3 21 2" xfId="53405"/>
    <cellStyle name="Total 2 4 3 21 2 2" xfId="53406"/>
    <cellStyle name="Total 2 4 3 21 2 3" xfId="53407"/>
    <cellStyle name="Total 2 4 3 21 3" xfId="53408"/>
    <cellStyle name="Total 2 4 3 21 3 2" xfId="53409"/>
    <cellStyle name="Total 2 4 3 21 3 3" xfId="53410"/>
    <cellStyle name="Total 2 4 3 21 4" xfId="53411"/>
    <cellStyle name="Total 2 4 3 21 5" xfId="53412"/>
    <cellStyle name="Total 2 4 3 22" xfId="53413"/>
    <cellStyle name="Total 2 4 3 22 2" xfId="53414"/>
    <cellStyle name="Total 2 4 3 22 2 2" xfId="53415"/>
    <cellStyle name="Total 2 4 3 22 2 3" xfId="53416"/>
    <cellStyle name="Total 2 4 3 22 3" xfId="53417"/>
    <cellStyle name="Total 2 4 3 22 3 2" xfId="53418"/>
    <cellStyle name="Total 2 4 3 22 3 3" xfId="53419"/>
    <cellStyle name="Total 2 4 3 22 4" xfId="53420"/>
    <cellStyle name="Total 2 4 3 22 5" xfId="53421"/>
    <cellStyle name="Total 2 4 3 23" xfId="53422"/>
    <cellStyle name="Total 2 4 3 23 2" xfId="53423"/>
    <cellStyle name="Total 2 4 3 23 2 2" xfId="53424"/>
    <cellStyle name="Total 2 4 3 23 2 3" xfId="53425"/>
    <cellStyle name="Total 2 4 3 23 3" xfId="53426"/>
    <cellStyle name="Total 2 4 3 23 3 2" xfId="53427"/>
    <cellStyle name="Total 2 4 3 23 3 3" xfId="53428"/>
    <cellStyle name="Total 2 4 3 23 4" xfId="53429"/>
    <cellStyle name="Total 2 4 3 23 5" xfId="53430"/>
    <cellStyle name="Total 2 4 3 24" xfId="53431"/>
    <cellStyle name="Total 2 4 3 24 2" xfId="53432"/>
    <cellStyle name="Total 2 4 3 24 2 2" xfId="53433"/>
    <cellStyle name="Total 2 4 3 24 2 3" xfId="53434"/>
    <cellStyle name="Total 2 4 3 24 3" xfId="53435"/>
    <cellStyle name="Total 2 4 3 24 3 2" xfId="53436"/>
    <cellStyle name="Total 2 4 3 24 3 3" xfId="53437"/>
    <cellStyle name="Total 2 4 3 24 4" xfId="53438"/>
    <cellStyle name="Total 2 4 3 24 5" xfId="53439"/>
    <cellStyle name="Total 2 4 3 25" xfId="53440"/>
    <cellStyle name="Total 2 4 3 25 2" xfId="53441"/>
    <cellStyle name="Total 2 4 3 25 2 2" xfId="53442"/>
    <cellStyle name="Total 2 4 3 25 2 3" xfId="53443"/>
    <cellStyle name="Total 2 4 3 25 3" xfId="53444"/>
    <cellStyle name="Total 2 4 3 25 3 2" xfId="53445"/>
    <cellStyle name="Total 2 4 3 25 3 3" xfId="53446"/>
    <cellStyle name="Total 2 4 3 25 4" xfId="53447"/>
    <cellStyle name="Total 2 4 3 25 5" xfId="53448"/>
    <cellStyle name="Total 2 4 3 26" xfId="53449"/>
    <cellStyle name="Total 2 4 3 26 2" xfId="53450"/>
    <cellStyle name="Total 2 4 3 26 2 2" xfId="53451"/>
    <cellStyle name="Total 2 4 3 26 2 3" xfId="53452"/>
    <cellStyle name="Total 2 4 3 26 3" xfId="53453"/>
    <cellStyle name="Total 2 4 3 26 3 2" xfId="53454"/>
    <cellStyle name="Total 2 4 3 26 3 3" xfId="53455"/>
    <cellStyle name="Total 2 4 3 26 4" xfId="53456"/>
    <cellStyle name="Total 2 4 3 26 5" xfId="53457"/>
    <cellStyle name="Total 2 4 3 27" xfId="53458"/>
    <cellStyle name="Total 2 4 3 27 2" xfId="53459"/>
    <cellStyle name="Total 2 4 3 27 2 2" xfId="53460"/>
    <cellStyle name="Total 2 4 3 27 2 3" xfId="53461"/>
    <cellStyle name="Total 2 4 3 27 3" xfId="53462"/>
    <cellStyle name="Total 2 4 3 27 3 2" xfId="53463"/>
    <cellStyle name="Total 2 4 3 27 3 3" xfId="53464"/>
    <cellStyle name="Total 2 4 3 27 4" xfId="53465"/>
    <cellStyle name="Total 2 4 3 27 5" xfId="53466"/>
    <cellStyle name="Total 2 4 3 28" xfId="53467"/>
    <cellStyle name="Total 2 4 3 28 2" xfId="53468"/>
    <cellStyle name="Total 2 4 3 28 2 2" xfId="53469"/>
    <cellStyle name="Total 2 4 3 28 2 3" xfId="53470"/>
    <cellStyle name="Total 2 4 3 28 3" xfId="53471"/>
    <cellStyle name="Total 2 4 3 28 3 2" xfId="53472"/>
    <cellStyle name="Total 2 4 3 28 3 3" xfId="53473"/>
    <cellStyle name="Total 2 4 3 28 4" xfId="53474"/>
    <cellStyle name="Total 2 4 3 28 5" xfId="53475"/>
    <cellStyle name="Total 2 4 3 29" xfId="53476"/>
    <cellStyle name="Total 2 4 3 29 2" xfId="53477"/>
    <cellStyle name="Total 2 4 3 29 2 2" xfId="53478"/>
    <cellStyle name="Total 2 4 3 29 2 3" xfId="53479"/>
    <cellStyle name="Total 2 4 3 29 3" xfId="53480"/>
    <cellStyle name="Total 2 4 3 29 3 2" xfId="53481"/>
    <cellStyle name="Total 2 4 3 29 3 3" xfId="53482"/>
    <cellStyle name="Total 2 4 3 29 4" xfId="53483"/>
    <cellStyle name="Total 2 4 3 29 5" xfId="53484"/>
    <cellStyle name="Total 2 4 3 3" xfId="53485"/>
    <cellStyle name="Total 2 4 3 3 2" xfId="53486"/>
    <cellStyle name="Total 2 4 3 3 2 2" xfId="53487"/>
    <cellStyle name="Total 2 4 3 3 2 3" xfId="53488"/>
    <cellStyle name="Total 2 4 3 3 3" xfId="53489"/>
    <cellStyle name="Total 2 4 3 3 3 2" xfId="53490"/>
    <cellStyle name="Total 2 4 3 3 3 3" xfId="53491"/>
    <cellStyle name="Total 2 4 3 3 4" xfId="53492"/>
    <cellStyle name="Total 2 4 3 3 5" xfId="53493"/>
    <cellStyle name="Total 2 4 3 30" xfId="53494"/>
    <cellStyle name="Total 2 4 3 30 2" xfId="53495"/>
    <cellStyle name="Total 2 4 3 30 2 2" xfId="53496"/>
    <cellStyle name="Total 2 4 3 30 2 3" xfId="53497"/>
    <cellStyle name="Total 2 4 3 30 3" xfId="53498"/>
    <cellStyle name="Total 2 4 3 30 3 2" xfId="53499"/>
    <cellStyle name="Total 2 4 3 30 3 3" xfId="53500"/>
    <cellStyle name="Total 2 4 3 30 4" xfId="53501"/>
    <cellStyle name="Total 2 4 3 30 5" xfId="53502"/>
    <cellStyle name="Total 2 4 3 31" xfId="53503"/>
    <cellStyle name="Total 2 4 3 31 2" xfId="53504"/>
    <cellStyle name="Total 2 4 3 31 2 2" xfId="53505"/>
    <cellStyle name="Total 2 4 3 31 2 3" xfId="53506"/>
    <cellStyle name="Total 2 4 3 31 3" xfId="53507"/>
    <cellStyle name="Total 2 4 3 31 3 2" xfId="53508"/>
    <cellStyle name="Total 2 4 3 31 3 3" xfId="53509"/>
    <cellStyle name="Total 2 4 3 31 4" xfId="53510"/>
    <cellStyle name="Total 2 4 3 31 5" xfId="53511"/>
    <cellStyle name="Total 2 4 3 32" xfId="53512"/>
    <cellStyle name="Total 2 4 3 32 2" xfId="53513"/>
    <cellStyle name="Total 2 4 3 32 2 2" xfId="53514"/>
    <cellStyle name="Total 2 4 3 32 2 3" xfId="53515"/>
    <cellStyle name="Total 2 4 3 32 3" xfId="53516"/>
    <cellStyle name="Total 2 4 3 32 3 2" xfId="53517"/>
    <cellStyle name="Total 2 4 3 32 3 3" xfId="53518"/>
    <cellStyle name="Total 2 4 3 32 4" xfId="53519"/>
    <cellStyle name="Total 2 4 3 32 5" xfId="53520"/>
    <cellStyle name="Total 2 4 3 33" xfId="53521"/>
    <cellStyle name="Total 2 4 3 33 2" xfId="53522"/>
    <cellStyle name="Total 2 4 3 33 2 2" xfId="53523"/>
    <cellStyle name="Total 2 4 3 33 2 3" xfId="53524"/>
    <cellStyle name="Total 2 4 3 33 3" xfId="53525"/>
    <cellStyle name="Total 2 4 3 33 3 2" xfId="53526"/>
    <cellStyle name="Total 2 4 3 33 3 3" xfId="53527"/>
    <cellStyle name="Total 2 4 3 33 4" xfId="53528"/>
    <cellStyle name="Total 2 4 3 33 5" xfId="53529"/>
    <cellStyle name="Total 2 4 3 34" xfId="53530"/>
    <cellStyle name="Total 2 4 3 34 2" xfId="53531"/>
    <cellStyle name="Total 2 4 3 34 2 2" xfId="53532"/>
    <cellStyle name="Total 2 4 3 34 2 3" xfId="53533"/>
    <cellStyle name="Total 2 4 3 34 3" xfId="53534"/>
    <cellStyle name="Total 2 4 3 34 3 2" xfId="53535"/>
    <cellStyle name="Total 2 4 3 34 3 3" xfId="53536"/>
    <cellStyle name="Total 2 4 3 34 4" xfId="53537"/>
    <cellStyle name="Total 2 4 3 34 5" xfId="53538"/>
    <cellStyle name="Total 2 4 3 35" xfId="53539"/>
    <cellStyle name="Total 2 4 3 35 2" xfId="53540"/>
    <cellStyle name="Total 2 4 3 35 2 2" xfId="53541"/>
    <cellStyle name="Total 2 4 3 35 2 3" xfId="53542"/>
    <cellStyle name="Total 2 4 3 35 3" xfId="53543"/>
    <cellStyle name="Total 2 4 3 35 3 2" xfId="53544"/>
    <cellStyle name="Total 2 4 3 35 3 3" xfId="53545"/>
    <cellStyle name="Total 2 4 3 35 4" xfId="53546"/>
    <cellStyle name="Total 2 4 3 35 5" xfId="53547"/>
    <cellStyle name="Total 2 4 3 36" xfId="53548"/>
    <cellStyle name="Total 2 4 3 36 2" xfId="53549"/>
    <cellStyle name="Total 2 4 3 36 2 2" xfId="53550"/>
    <cellStyle name="Total 2 4 3 36 2 3" xfId="53551"/>
    <cellStyle name="Total 2 4 3 36 3" xfId="53552"/>
    <cellStyle name="Total 2 4 3 36 3 2" xfId="53553"/>
    <cellStyle name="Total 2 4 3 36 3 3" xfId="53554"/>
    <cellStyle name="Total 2 4 3 36 4" xfId="53555"/>
    <cellStyle name="Total 2 4 3 36 5" xfId="53556"/>
    <cellStyle name="Total 2 4 3 37" xfId="53557"/>
    <cellStyle name="Total 2 4 3 37 2" xfId="53558"/>
    <cellStyle name="Total 2 4 3 37 2 2" xfId="53559"/>
    <cellStyle name="Total 2 4 3 37 2 3" xfId="53560"/>
    <cellStyle name="Total 2 4 3 37 3" xfId="53561"/>
    <cellStyle name="Total 2 4 3 37 3 2" xfId="53562"/>
    <cellStyle name="Total 2 4 3 37 3 3" xfId="53563"/>
    <cellStyle name="Total 2 4 3 37 4" xfId="53564"/>
    <cellStyle name="Total 2 4 3 37 5" xfId="53565"/>
    <cellStyle name="Total 2 4 3 38" xfId="53566"/>
    <cellStyle name="Total 2 4 3 38 2" xfId="53567"/>
    <cellStyle name="Total 2 4 3 38 2 2" xfId="53568"/>
    <cellStyle name="Total 2 4 3 38 2 3" xfId="53569"/>
    <cellStyle name="Total 2 4 3 38 3" xfId="53570"/>
    <cellStyle name="Total 2 4 3 38 3 2" xfId="53571"/>
    <cellStyle name="Total 2 4 3 38 3 3" xfId="53572"/>
    <cellStyle name="Total 2 4 3 38 4" xfId="53573"/>
    <cellStyle name="Total 2 4 3 38 5" xfId="53574"/>
    <cellStyle name="Total 2 4 3 39" xfId="53575"/>
    <cellStyle name="Total 2 4 3 39 2" xfId="53576"/>
    <cellStyle name="Total 2 4 3 39 2 2" xfId="53577"/>
    <cellStyle name="Total 2 4 3 39 2 3" xfId="53578"/>
    <cellStyle name="Total 2 4 3 39 3" xfId="53579"/>
    <cellStyle name="Total 2 4 3 39 3 2" xfId="53580"/>
    <cellStyle name="Total 2 4 3 39 3 3" xfId="53581"/>
    <cellStyle name="Total 2 4 3 39 4" xfId="53582"/>
    <cellStyle name="Total 2 4 3 39 5" xfId="53583"/>
    <cellStyle name="Total 2 4 3 4" xfId="53584"/>
    <cellStyle name="Total 2 4 3 4 2" xfId="53585"/>
    <cellStyle name="Total 2 4 3 4 2 2" xfId="53586"/>
    <cellStyle name="Total 2 4 3 4 2 3" xfId="53587"/>
    <cellStyle name="Total 2 4 3 4 3" xfId="53588"/>
    <cellStyle name="Total 2 4 3 4 3 2" xfId="53589"/>
    <cellStyle name="Total 2 4 3 4 3 3" xfId="53590"/>
    <cellStyle name="Total 2 4 3 4 4" xfId="53591"/>
    <cellStyle name="Total 2 4 3 4 5" xfId="53592"/>
    <cellStyle name="Total 2 4 3 40" xfId="53593"/>
    <cellStyle name="Total 2 4 3 40 2" xfId="53594"/>
    <cellStyle name="Total 2 4 3 40 2 2" xfId="53595"/>
    <cellStyle name="Total 2 4 3 40 2 3" xfId="53596"/>
    <cellStyle name="Total 2 4 3 40 3" xfId="53597"/>
    <cellStyle name="Total 2 4 3 40 4" xfId="53598"/>
    <cellStyle name="Total 2 4 3 41" xfId="53599"/>
    <cellStyle name="Total 2 4 3 41 2" xfId="53600"/>
    <cellStyle name="Total 2 4 3 41 3" xfId="53601"/>
    <cellStyle name="Total 2 4 3 42" xfId="53602"/>
    <cellStyle name="Total 2 4 3 42 2" xfId="53603"/>
    <cellStyle name="Total 2 4 3 42 3" xfId="53604"/>
    <cellStyle name="Total 2 4 3 43" xfId="53605"/>
    <cellStyle name="Total 2 4 3 43 2" xfId="53606"/>
    <cellStyle name="Total 2 4 3 43 3" xfId="53607"/>
    <cellStyle name="Total 2 4 3 44" xfId="53608"/>
    <cellStyle name="Total 2 4 3 45" xfId="53609"/>
    <cellStyle name="Total 2 4 3 5" xfId="53610"/>
    <cellStyle name="Total 2 4 3 5 2" xfId="53611"/>
    <cellStyle name="Total 2 4 3 5 2 2" xfId="53612"/>
    <cellStyle name="Total 2 4 3 5 2 3" xfId="53613"/>
    <cellStyle name="Total 2 4 3 5 3" xfId="53614"/>
    <cellStyle name="Total 2 4 3 5 3 2" xfId="53615"/>
    <cellStyle name="Total 2 4 3 5 3 3" xfId="53616"/>
    <cellStyle name="Total 2 4 3 5 4" xfId="53617"/>
    <cellStyle name="Total 2 4 3 5 5" xfId="53618"/>
    <cellStyle name="Total 2 4 3 6" xfId="53619"/>
    <cellStyle name="Total 2 4 3 6 2" xfId="53620"/>
    <cellStyle name="Total 2 4 3 6 2 2" xfId="53621"/>
    <cellStyle name="Total 2 4 3 6 2 3" xfId="53622"/>
    <cellStyle name="Total 2 4 3 6 3" xfId="53623"/>
    <cellStyle name="Total 2 4 3 6 3 2" xfId="53624"/>
    <cellStyle name="Total 2 4 3 6 3 3" xfId="53625"/>
    <cellStyle name="Total 2 4 3 6 4" xfId="53626"/>
    <cellStyle name="Total 2 4 3 6 5" xfId="53627"/>
    <cellStyle name="Total 2 4 3 7" xfId="53628"/>
    <cellStyle name="Total 2 4 3 7 2" xfId="53629"/>
    <cellStyle name="Total 2 4 3 7 2 2" xfId="53630"/>
    <cellStyle name="Total 2 4 3 7 2 3" xfId="53631"/>
    <cellStyle name="Total 2 4 3 7 3" xfId="53632"/>
    <cellStyle name="Total 2 4 3 7 3 2" xfId="53633"/>
    <cellStyle name="Total 2 4 3 7 3 3" xfId="53634"/>
    <cellStyle name="Total 2 4 3 7 4" xfId="53635"/>
    <cellStyle name="Total 2 4 3 7 5" xfId="53636"/>
    <cellStyle name="Total 2 4 3 8" xfId="53637"/>
    <cellStyle name="Total 2 4 3 8 2" xfId="53638"/>
    <cellStyle name="Total 2 4 3 8 2 2" xfId="53639"/>
    <cellStyle name="Total 2 4 3 8 2 3" xfId="53640"/>
    <cellStyle name="Total 2 4 3 8 3" xfId="53641"/>
    <cellStyle name="Total 2 4 3 8 3 2" xfId="53642"/>
    <cellStyle name="Total 2 4 3 8 3 3" xfId="53643"/>
    <cellStyle name="Total 2 4 3 8 4" xfId="53644"/>
    <cellStyle name="Total 2 4 3 8 5" xfId="53645"/>
    <cellStyle name="Total 2 4 3 9" xfId="53646"/>
    <cellStyle name="Total 2 4 3 9 2" xfId="53647"/>
    <cellStyle name="Total 2 4 3 9 2 2" xfId="53648"/>
    <cellStyle name="Total 2 4 3 9 2 3" xfId="53649"/>
    <cellStyle name="Total 2 4 3 9 3" xfId="53650"/>
    <cellStyle name="Total 2 4 3 9 3 2" xfId="53651"/>
    <cellStyle name="Total 2 4 3 9 3 3" xfId="53652"/>
    <cellStyle name="Total 2 4 3 9 4" xfId="53653"/>
    <cellStyle name="Total 2 4 3 9 5" xfId="53654"/>
    <cellStyle name="Total 2 4 30" xfId="53655"/>
    <cellStyle name="Total 2 4 30 2" xfId="53656"/>
    <cellStyle name="Total 2 4 30 2 2" xfId="53657"/>
    <cellStyle name="Total 2 4 30 2 3" xfId="53658"/>
    <cellStyle name="Total 2 4 30 3" xfId="53659"/>
    <cellStyle name="Total 2 4 30 3 2" xfId="53660"/>
    <cellStyle name="Total 2 4 30 3 3" xfId="53661"/>
    <cellStyle name="Total 2 4 30 4" xfId="53662"/>
    <cellStyle name="Total 2 4 30 5" xfId="53663"/>
    <cellStyle name="Total 2 4 31" xfId="53664"/>
    <cellStyle name="Total 2 4 31 2" xfId="53665"/>
    <cellStyle name="Total 2 4 31 2 2" xfId="53666"/>
    <cellStyle name="Total 2 4 31 2 3" xfId="53667"/>
    <cellStyle name="Total 2 4 31 3" xfId="53668"/>
    <cellStyle name="Total 2 4 31 3 2" xfId="53669"/>
    <cellStyle name="Total 2 4 31 3 3" xfId="53670"/>
    <cellStyle name="Total 2 4 31 4" xfId="53671"/>
    <cellStyle name="Total 2 4 31 5" xfId="53672"/>
    <cellStyle name="Total 2 4 32" xfId="53673"/>
    <cellStyle name="Total 2 4 32 2" xfId="53674"/>
    <cellStyle name="Total 2 4 32 2 2" xfId="53675"/>
    <cellStyle name="Total 2 4 32 2 3" xfId="53676"/>
    <cellStyle name="Total 2 4 32 3" xfId="53677"/>
    <cellStyle name="Total 2 4 32 3 2" xfId="53678"/>
    <cellStyle name="Total 2 4 32 3 3" xfId="53679"/>
    <cellStyle name="Total 2 4 32 4" xfId="53680"/>
    <cellStyle name="Total 2 4 32 5" xfId="53681"/>
    <cellStyle name="Total 2 4 33" xfId="53682"/>
    <cellStyle name="Total 2 4 33 2" xfId="53683"/>
    <cellStyle name="Total 2 4 33 2 2" xfId="53684"/>
    <cellStyle name="Total 2 4 33 2 3" xfId="53685"/>
    <cellStyle name="Total 2 4 33 3" xfId="53686"/>
    <cellStyle name="Total 2 4 33 4" xfId="53687"/>
    <cellStyle name="Total 2 4 34" xfId="53688"/>
    <cellStyle name="Total 2 4 34 2" xfId="53689"/>
    <cellStyle name="Total 2 4 34 3" xfId="53690"/>
    <cellStyle name="Total 2 4 35" xfId="53691"/>
    <cellStyle name="Total 2 4 35 2" xfId="53692"/>
    <cellStyle name="Total 2 4 35 3" xfId="53693"/>
    <cellStyle name="Total 2 4 36" xfId="53694"/>
    <cellStyle name="Total 2 4 36 2" xfId="53695"/>
    <cellStyle name="Total 2 4 36 3" xfId="53696"/>
    <cellStyle name="Total 2 4 37" xfId="53697"/>
    <cellStyle name="Total 2 4 38" xfId="53698"/>
    <cellStyle name="Total 2 4 4" xfId="53699"/>
    <cellStyle name="Total 2 4 4 10" xfId="53700"/>
    <cellStyle name="Total 2 4 4 10 2" xfId="53701"/>
    <cellStyle name="Total 2 4 4 10 2 2" xfId="53702"/>
    <cellStyle name="Total 2 4 4 10 2 3" xfId="53703"/>
    <cellStyle name="Total 2 4 4 10 3" xfId="53704"/>
    <cellStyle name="Total 2 4 4 10 3 2" xfId="53705"/>
    <cellStyle name="Total 2 4 4 10 3 3" xfId="53706"/>
    <cellStyle name="Total 2 4 4 10 4" xfId="53707"/>
    <cellStyle name="Total 2 4 4 10 5" xfId="53708"/>
    <cellStyle name="Total 2 4 4 11" xfId="53709"/>
    <cellStyle name="Total 2 4 4 11 2" xfId="53710"/>
    <cellStyle name="Total 2 4 4 11 2 2" xfId="53711"/>
    <cellStyle name="Total 2 4 4 11 2 3" xfId="53712"/>
    <cellStyle name="Total 2 4 4 11 3" xfId="53713"/>
    <cellStyle name="Total 2 4 4 11 3 2" xfId="53714"/>
    <cellStyle name="Total 2 4 4 11 3 3" xfId="53715"/>
    <cellStyle name="Total 2 4 4 11 4" xfId="53716"/>
    <cellStyle name="Total 2 4 4 11 5" xfId="53717"/>
    <cellStyle name="Total 2 4 4 12" xfId="53718"/>
    <cellStyle name="Total 2 4 4 12 2" xfId="53719"/>
    <cellStyle name="Total 2 4 4 12 2 2" xfId="53720"/>
    <cellStyle name="Total 2 4 4 12 2 3" xfId="53721"/>
    <cellStyle name="Total 2 4 4 12 3" xfId="53722"/>
    <cellStyle name="Total 2 4 4 12 3 2" xfId="53723"/>
    <cellStyle name="Total 2 4 4 12 3 3" xfId="53724"/>
    <cellStyle name="Total 2 4 4 12 4" xfId="53725"/>
    <cellStyle name="Total 2 4 4 12 5" xfId="53726"/>
    <cellStyle name="Total 2 4 4 13" xfId="53727"/>
    <cellStyle name="Total 2 4 4 13 2" xfId="53728"/>
    <cellStyle name="Total 2 4 4 13 2 2" xfId="53729"/>
    <cellStyle name="Total 2 4 4 13 2 3" xfId="53730"/>
    <cellStyle name="Total 2 4 4 13 3" xfId="53731"/>
    <cellStyle name="Total 2 4 4 13 3 2" xfId="53732"/>
    <cellStyle name="Total 2 4 4 13 3 3" xfId="53733"/>
    <cellStyle name="Total 2 4 4 13 4" xfId="53734"/>
    <cellStyle name="Total 2 4 4 13 5" xfId="53735"/>
    <cellStyle name="Total 2 4 4 14" xfId="53736"/>
    <cellStyle name="Total 2 4 4 14 2" xfId="53737"/>
    <cellStyle name="Total 2 4 4 14 2 2" xfId="53738"/>
    <cellStyle name="Total 2 4 4 14 2 3" xfId="53739"/>
    <cellStyle name="Total 2 4 4 14 3" xfId="53740"/>
    <cellStyle name="Total 2 4 4 14 3 2" xfId="53741"/>
    <cellStyle name="Total 2 4 4 14 3 3" xfId="53742"/>
    <cellStyle name="Total 2 4 4 14 4" xfId="53743"/>
    <cellStyle name="Total 2 4 4 14 5" xfId="53744"/>
    <cellStyle name="Total 2 4 4 15" xfId="53745"/>
    <cellStyle name="Total 2 4 4 15 2" xfId="53746"/>
    <cellStyle name="Total 2 4 4 15 2 2" xfId="53747"/>
    <cellStyle name="Total 2 4 4 15 2 3" xfId="53748"/>
    <cellStyle name="Total 2 4 4 15 3" xfId="53749"/>
    <cellStyle name="Total 2 4 4 15 3 2" xfId="53750"/>
    <cellStyle name="Total 2 4 4 15 3 3" xfId="53751"/>
    <cellStyle name="Total 2 4 4 15 4" xfId="53752"/>
    <cellStyle name="Total 2 4 4 15 5" xfId="53753"/>
    <cellStyle name="Total 2 4 4 16" xfId="53754"/>
    <cellStyle name="Total 2 4 4 16 2" xfId="53755"/>
    <cellStyle name="Total 2 4 4 16 2 2" xfId="53756"/>
    <cellStyle name="Total 2 4 4 16 2 3" xfId="53757"/>
    <cellStyle name="Total 2 4 4 16 3" xfId="53758"/>
    <cellStyle name="Total 2 4 4 16 3 2" xfId="53759"/>
    <cellStyle name="Total 2 4 4 16 3 3" xfId="53760"/>
    <cellStyle name="Total 2 4 4 16 4" xfId="53761"/>
    <cellStyle name="Total 2 4 4 16 5" xfId="53762"/>
    <cellStyle name="Total 2 4 4 17" xfId="53763"/>
    <cellStyle name="Total 2 4 4 17 2" xfId="53764"/>
    <cellStyle name="Total 2 4 4 17 2 2" xfId="53765"/>
    <cellStyle name="Total 2 4 4 17 2 3" xfId="53766"/>
    <cellStyle name="Total 2 4 4 17 3" xfId="53767"/>
    <cellStyle name="Total 2 4 4 17 3 2" xfId="53768"/>
    <cellStyle name="Total 2 4 4 17 3 3" xfId="53769"/>
    <cellStyle name="Total 2 4 4 17 4" xfId="53770"/>
    <cellStyle name="Total 2 4 4 17 5" xfId="53771"/>
    <cellStyle name="Total 2 4 4 18" xfId="53772"/>
    <cellStyle name="Total 2 4 4 18 2" xfId="53773"/>
    <cellStyle name="Total 2 4 4 18 2 2" xfId="53774"/>
    <cellStyle name="Total 2 4 4 18 2 3" xfId="53775"/>
    <cellStyle name="Total 2 4 4 18 3" xfId="53776"/>
    <cellStyle name="Total 2 4 4 18 3 2" xfId="53777"/>
    <cellStyle name="Total 2 4 4 18 3 3" xfId="53778"/>
    <cellStyle name="Total 2 4 4 18 4" xfId="53779"/>
    <cellStyle name="Total 2 4 4 18 5" xfId="53780"/>
    <cellStyle name="Total 2 4 4 19" xfId="53781"/>
    <cellStyle name="Total 2 4 4 19 2" xfId="53782"/>
    <cellStyle name="Total 2 4 4 19 2 2" xfId="53783"/>
    <cellStyle name="Total 2 4 4 19 2 3" xfId="53784"/>
    <cellStyle name="Total 2 4 4 19 3" xfId="53785"/>
    <cellStyle name="Total 2 4 4 19 3 2" xfId="53786"/>
    <cellStyle name="Total 2 4 4 19 3 3" xfId="53787"/>
    <cellStyle name="Total 2 4 4 19 4" xfId="53788"/>
    <cellStyle name="Total 2 4 4 19 5" xfId="53789"/>
    <cellStyle name="Total 2 4 4 2" xfId="53790"/>
    <cellStyle name="Total 2 4 4 2 2" xfId="53791"/>
    <cellStyle name="Total 2 4 4 2 2 2" xfId="53792"/>
    <cellStyle name="Total 2 4 4 2 2 3" xfId="53793"/>
    <cellStyle name="Total 2 4 4 2 3" xfId="53794"/>
    <cellStyle name="Total 2 4 4 2 3 2" xfId="53795"/>
    <cellStyle name="Total 2 4 4 2 3 3" xfId="53796"/>
    <cellStyle name="Total 2 4 4 2 4" xfId="53797"/>
    <cellStyle name="Total 2 4 4 2 5" xfId="53798"/>
    <cellStyle name="Total 2 4 4 20" xfId="53799"/>
    <cellStyle name="Total 2 4 4 20 2" xfId="53800"/>
    <cellStyle name="Total 2 4 4 20 2 2" xfId="53801"/>
    <cellStyle name="Total 2 4 4 20 2 3" xfId="53802"/>
    <cellStyle name="Total 2 4 4 20 3" xfId="53803"/>
    <cellStyle name="Total 2 4 4 20 3 2" xfId="53804"/>
    <cellStyle name="Total 2 4 4 20 3 3" xfId="53805"/>
    <cellStyle name="Total 2 4 4 20 4" xfId="53806"/>
    <cellStyle name="Total 2 4 4 20 5" xfId="53807"/>
    <cellStyle name="Total 2 4 4 21" xfId="53808"/>
    <cellStyle name="Total 2 4 4 21 2" xfId="53809"/>
    <cellStyle name="Total 2 4 4 21 2 2" xfId="53810"/>
    <cellStyle name="Total 2 4 4 21 2 3" xfId="53811"/>
    <cellStyle name="Total 2 4 4 21 3" xfId="53812"/>
    <cellStyle name="Total 2 4 4 21 3 2" xfId="53813"/>
    <cellStyle name="Total 2 4 4 21 3 3" xfId="53814"/>
    <cellStyle name="Total 2 4 4 21 4" xfId="53815"/>
    <cellStyle name="Total 2 4 4 21 5" xfId="53816"/>
    <cellStyle name="Total 2 4 4 22" xfId="53817"/>
    <cellStyle name="Total 2 4 4 22 2" xfId="53818"/>
    <cellStyle name="Total 2 4 4 22 2 2" xfId="53819"/>
    <cellStyle name="Total 2 4 4 22 2 3" xfId="53820"/>
    <cellStyle name="Total 2 4 4 22 3" xfId="53821"/>
    <cellStyle name="Total 2 4 4 22 3 2" xfId="53822"/>
    <cellStyle name="Total 2 4 4 22 3 3" xfId="53823"/>
    <cellStyle name="Total 2 4 4 22 4" xfId="53824"/>
    <cellStyle name="Total 2 4 4 22 5" xfId="53825"/>
    <cellStyle name="Total 2 4 4 23" xfId="53826"/>
    <cellStyle name="Total 2 4 4 23 2" xfId="53827"/>
    <cellStyle name="Total 2 4 4 23 2 2" xfId="53828"/>
    <cellStyle name="Total 2 4 4 23 2 3" xfId="53829"/>
    <cellStyle name="Total 2 4 4 23 3" xfId="53830"/>
    <cellStyle name="Total 2 4 4 23 3 2" xfId="53831"/>
    <cellStyle name="Total 2 4 4 23 3 3" xfId="53832"/>
    <cellStyle name="Total 2 4 4 23 4" xfId="53833"/>
    <cellStyle name="Total 2 4 4 23 5" xfId="53834"/>
    <cellStyle name="Total 2 4 4 24" xfId="53835"/>
    <cellStyle name="Total 2 4 4 24 2" xfId="53836"/>
    <cellStyle name="Total 2 4 4 24 2 2" xfId="53837"/>
    <cellStyle name="Total 2 4 4 24 2 3" xfId="53838"/>
    <cellStyle name="Total 2 4 4 24 3" xfId="53839"/>
    <cellStyle name="Total 2 4 4 24 3 2" xfId="53840"/>
    <cellStyle name="Total 2 4 4 24 3 3" xfId="53841"/>
    <cellStyle name="Total 2 4 4 24 4" xfId="53842"/>
    <cellStyle name="Total 2 4 4 24 5" xfId="53843"/>
    <cellStyle name="Total 2 4 4 25" xfId="53844"/>
    <cellStyle name="Total 2 4 4 25 2" xfId="53845"/>
    <cellStyle name="Total 2 4 4 25 2 2" xfId="53846"/>
    <cellStyle name="Total 2 4 4 25 2 3" xfId="53847"/>
    <cellStyle name="Total 2 4 4 25 3" xfId="53848"/>
    <cellStyle name="Total 2 4 4 25 3 2" xfId="53849"/>
    <cellStyle name="Total 2 4 4 25 3 3" xfId="53850"/>
    <cellStyle name="Total 2 4 4 25 4" xfId="53851"/>
    <cellStyle name="Total 2 4 4 25 5" xfId="53852"/>
    <cellStyle name="Total 2 4 4 26" xfId="53853"/>
    <cellStyle name="Total 2 4 4 26 2" xfId="53854"/>
    <cellStyle name="Total 2 4 4 26 2 2" xfId="53855"/>
    <cellStyle name="Total 2 4 4 26 2 3" xfId="53856"/>
    <cellStyle name="Total 2 4 4 26 3" xfId="53857"/>
    <cellStyle name="Total 2 4 4 26 3 2" xfId="53858"/>
    <cellStyle name="Total 2 4 4 26 3 3" xfId="53859"/>
    <cellStyle name="Total 2 4 4 26 4" xfId="53860"/>
    <cellStyle name="Total 2 4 4 26 5" xfId="53861"/>
    <cellStyle name="Total 2 4 4 27" xfId="53862"/>
    <cellStyle name="Total 2 4 4 27 2" xfId="53863"/>
    <cellStyle name="Total 2 4 4 27 2 2" xfId="53864"/>
    <cellStyle name="Total 2 4 4 27 2 3" xfId="53865"/>
    <cellStyle name="Total 2 4 4 27 3" xfId="53866"/>
    <cellStyle name="Total 2 4 4 27 3 2" xfId="53867"/>
    <cellStyle name="Total 2 4 4 27 3 3" xfId="53868"/>
    <cellStyle name="Total 2 4 4 27 4" xfId="53869"/>
    <cellStyle name="Total 2 4 4 27 5" xfId="53870"/>
    <cellStyle name="Total 2 4 4 28" xfId="53871"/>
    <cellStyle name="Total 2 4 4 28 2" xfId="53872"/>
    <cellStyle name="Total 2 4 4 28 2 2" xfId="53873"/>
    <cellStyle name="Total 2 4 4 28 2 3" xfId="53874"/>
    <cellStyle name="Total 2 4 4 28 3" xfId="53875"/>
    <cellStyle name="Total 2 4 4 28 3 2" xfId="53876"/>
    <cellStyle name="Total 2 4 4 28 3 3" xfId="53877"/>
    <cellStyle name="Total 2 4 4 28 4" xfId="53878"/>
    <cellStyle name="Total 2 4 4 28 5" xfId="53879"/>
    <cellStyle name="Total 2 4 4 29" xfId="53880"/>
    <cellStyle name="Total 2 4 4 29 2" xfId="53881"/>
    <cellStyle name="Total 2 4 4 29 2 2" xfId="53882"/>
    <cellStyle name="Total 2 4 4 29 2 3" xfId="53883"/>
    <cellStyle name="Total 2 4 4 29 3" xfId="53884"/>
    <cellStyle name="Total 2 4 4 29 3 2" xfId="53885"/>
    <cellStyle name="Total 2 4 4 29 3 3" xfId="53886"/>
    <cellStyle name="Total 2 4 4 29 4" xfId="53887"/>
    <cellStyle name="Total 2 4 4 29 5" xfId="53888"/>
    <cellStyle name="Total 2 4 4 3" xfId="53889"/>
    <cellStyle name="Total 2 4 4 3 2" xfId="53890"/>
    <cellStyle name="Total 2 4 4 3 2 2" xfId="53891"/>
    <cellStyle name="Total 2 4 4 3 2 3" xfId="53892"/>
    <cellStyle name="Total 2 4 4 3 3" xfId="53893"/>
    <cellStyle name="Total 2 4 4 3 3 2" xfId="53894"/>
    <cellStyle name="Total 2 4 4 3 3 3" xfId="53895"/>
    <cellStyle name="Total 2 4 4 3 4" xfId="53896"/>
    <cellStyle name="Total 2 4 4 3 5" xfId="53897"/>
    <cellStyle name="Total 2 4 4 30" xfId="53898"/>
    <cellStyle name="Total 2 4 4 30 2" xfId="53899"/>
    <cellStyle name="Total 2 4 4 30 2 2" xfId="53900"/>
    <cellStyle name="Total 2 4 4 30 2 3" xfId="53901"/>
    <cellStyle name="Total 2 4 4 30 3" xfId="53902"/>
    <cellStyle name="Total 2 4 4 30 3 2" xfId="53903"/>
    <cellStyle name="Total 2 4 4 30 3 3" xfId="53904"/>
    <cellStyle name="Total 2 4 4 30 4" xfId="53905"/>
    <cellStyle name="Total 2 4 4 30 5" xfId="53906"/>
    <cellStyle name="Total 2 4 4 31" xfId="53907"/>
    <cellStyle name="Total 2 4 4 31 2" xfId="53908"/>
    <cellStyle name="Total 2 4 4 31 2 2" xfId="53909"/>
    <cellStyle name="Total 2 4 4 31 2 3" xfId="53910"/>
    <cellStyle name="Total 2 4 4 31 3" xfId="53911"/>
    <cellStyle name="Total 2 4 4 31 3 2" xfId="53912"/>
    <cellStyle name="Total 2 4 4 31 3 3" xfId="53913"/>
    <cellStyle name="Total 2 4 4 31 4" xfId="53914"/>
    <cellStyle name="Total 2 4 4 31 5" xfId="53915"/>
    <cellStyle name="Total 2 4 4 32" xfId="53916"/>
    <cellStyle name="Total 2 4 4 32 2" xfId="53917"/>
    <cellStyle name="Total 2 4 4 32 2 2" xfId="53918"/>
    <cellStyle name="Total 2 4 4 32 2 3" xfId="53919"/>
    <cellStyle name="Total 2 4 4 32 3" xfId="53920"/>
    <cellStyle name="Total 2 4 4 32 3 2" xfId="53921"/>
    <cellStyle name="Total 2 4 4 32 3 3" xfId="53922"/>
    <cellStyle name="Total 2 4 4 32 4" xfId="53923"/>
    <cellStyle name="Total 2 4 4 32 5" xfId="53924"/>
    <cellStyle name="Total 2 4 4 33" xfId="53925"/>
    <cellStyle name="Total 2 4 4 33 2" xfId="53926"/>
    <cellStyle name="Total 2 4 4 33 2 2" xfId="53927"/>
    <cellStyle name="Total 2 4 4 33 2 3" xfId="53928"/>
    <cellStyle name="Total 2 4 4 33 3" xfId="53929"/>
    <cellStyle name="Total 2 4 4 33 3 2" xfId="53930"/>
    <cellStyle name="Total 2 4 4 33 3 3" xfId="53931"/>
    <cellStyle name="Total 2 4 4 33 4" xfId="53932"/>
    <cellStyle name="Total 2 4 4 33 5" xfId="53933"/>
    <cellStyle name="Total 2 4 4 34" xfId="53934"/>
    <cellStyle name="Total 2 4 4 34 2" xfId="53935"/>
    <cellStyle name="Total 2 4 4 34 2 2" xfId="53936"/>
    <cellStyle name="Total 2 4 4 34 2 3" xfId="53937"/>
    <cellStyle name="Total 2 4 4 34 3" xfId="53938"/>
    <cellStyle name="Total 2 4 4 34 3 2" xfId="53939"/>
    <cellStyle name="Total 2 4 4 34 3 3" xfId="53940"/>
    <cellStyle name="Total 2 4 4 34 4" xfId="53941"/>
    <cellStyle name="Total 2 4 4 34 5" xfId="53942"/>
    <cellStyle name="Total 2 4 4 35" xfId="53943"/>
    <cellStyle name="Total 2 4 4 35 2" xfId="53944"/>
    <cellStyle name="Total 2 4 4 35 2 2" xfId="53945"/>
    <cellStyle name="Total 2 4 4 35 2 3" xfId="53946"/>
    <cellStyle name="Total 2 4 4 35 3" xfId="53947"/>
    <cellStyle name="Total 2 4 4 35 3 2" xfId="53948"/>
    <cellStyle name="Total 2 4 4 35 3 3" xfId="53949"/>
    <cellStyle name="Total 2 4 4 35 4" xfId="53950"/>
    <cellStyle name="Total 2 4 4 35 5" xfId="53951"/>
    <cellStyle name="Total 2 4 4 36" xfId="53952"/>
    <cellStyle name="Total 2 4 4 36 2" xfId="53953"/>
    <cellStyle name="Total 2 4 4 36 2 2" xfId="53954"/>
    <cellStyle name="Total 2 4 4 36 2 3" xfId="53955"/>
    <cellStyle name="Total 2 4 4 36 3" xfId="53956"/>
    <cellStyle name="Total 2 4 4 36 3 2" xfId="53957"/>
    <cellStyle name="Total 2 4 4 36 3 3" xfId="53958"/>
    <cellStyle name="Total 2 4 4 36 4" xfId="53959"/>
    <cellStyle name="Total 2 4 4 36 5" xfId="53960"/>
    <cellStyle name="Total 2 4 4 37" xfId="53961"/>
    <cellStyle name="Total 2 4 4 37 2" xfId="53962"/>
    <cellStyle name="Total 2 4 4 37 2 2" xfId="53963"/>
    <cellStyle name="Total 2 4 4 37 2 3" xfId="53964"/>
    <cellStyle name="Total 2 4 4 37 3" xfId="53965"/>
    <cellStyle name="Total 2 4 4 37 3 2" xfId="53966"/>
    <cellStyle name="Total 2 4 4 37 3 3" xfId="53967"/>
    <cellStyle name="Total 2 4 4 37 4" xfId="53968"/>
    <cellStyle name="Total 2 4 4 37 5" xfId="53969"/>
    <cellStyle name="Total 2 4 4 38" xfId="53970"/>
    <cellStyle name="Total 2 4 4 38 2" xfId="53971"/>
    <cellStyle name="Total 2 4 4 38 2 2" xfId="53972"/>
    <cellStyle name="Total 2 4 4 38 2 3" xfId="53973"/>
    <cellStyle name="Total 2 4 4 38 3" xfId="53974"/>
    <cellStyle name="Total 2 4 4 38 3 2" xfId="53975"/>
    <cellStyle name="Total 2 4 4 38 3 3" xfId="53976"/>
    <cellStyle name="Total 2 4 4 38 4" xfId="53977"/>
    <cellStyle name="Total 2 4 4 38 5" xfId="53978"/>
    <cellStyle name="Total 2 4 4 39" xfId="53979"/>
    <cellStyle name="Total 2 4 4 39 2" xfId="53980"/>
    <cellStyle name="Total 2 4 4 39 2 2" xfId="53981"/>
    <cellStyle name="Total 2 4 4 39 2 3" xfId="53982"/>
    <cellStyle name="Total 2 4 4 39 3" xfId="53983"/>
    <cellStyle name="Total 2 4 4 39 3 2" xfId="53984"/>
    <cellStyle name="Total 2 4 4 39 3 3" xfId="53985"/>
    <cellStyle name="Total 2 4 4 39 4" xfId="53986"/>
    <cellStyle name="Total 2 4 4 39 5" xfId="53987"/>
    <cellStyle name="Total 2 4 4 4" xfId="53988"/>
    <cellStyle name="Total 2 4 4 4 2" xfId="53989"/>
    <cellStyle name="Total 2 4 4 4 2 2" xfId="53990"/>
    <cellStyle name="Total 2 4 4 4 2 3" xfId="53991"/>
    <cellStyle name="Total 2 4 4 4 3" xfId="53992"/>
    <cellStyle name="Total 2 4 4 4 3 2" xfId="53993"/>
    <cellStyle name="Total 2 4 4 4 3 3" xfId="53994"/>
    <cellStyle name="Total 2 4 4 4 4" xfId="53995"/>
    <cellStyle name="Total 2 4 4 4 5" xfId="53996"/>
    <cellStyle name="Total 2 4 4 40" xfId="53997"/>
    <cellStyle name="Total 2 4 4 40 2" xfId="53998"/>
    <cellStyle name="Total 2 4 4 40 2 2" xfId="53999"/>
    <cellStyle name="Total 2 4 4 40 2 3" xfId="54000"/>
    <cellStyle name="Total 2 4 4 40 3" xfId="54001"/>
    <cellStyle name="Total 2 4 4 40 4" xfId="54002"/>
    <cellStyle name="Total 2 4 4 41" xfId="54003"/>
    <cellStyle name="Total 2 4 4 41 2" xfId="54004"/>
    <cellStyle name="Total 2 4 4 41 3" xfId="54005"/>
    <cellStyle name="Total 2 4 4 42" xfId="54006"/>
    <cellStyle name="Total 2 4 4 42 2" xfId="54007"/>
    <cellStyle name="Total 2 4 4 42 3" xfId="54008"/>
    <cellStyle name="Total 2 4 4 43" xfId="54009"/>
    <cellStyle name="Total 2 4 4 44" xfId="54010"/>
    <cellStyle name="Total 2 4 4 5" xfId="54011"/>
    <cellStyle name="Total 2 4 4 5 2" xfId="54012"/>
    <cellStyle name="Total 2 4 4 5 2 2" xfId="54013"/>
    <cellStyle name="Total 2 4 4 5 2 3" xfId="54014"/>
    <cellStyle name="Total 2 4 4 5 3" xfId="54015"/>
    <cellStyle name="Total 2 4 4 5 3 2" xfId="54016"/>
    <cellStyle name="Total 2 4 4 5 3 3" xfId="54017"/>
    <cellStyle name="Total 2 4 4 5 4" xfId="54018"/>
    <cellStyle name="Total 2 4 4 5 5" xfId="54019"/>
    <cellStyle name="Total 2 4 4 6" xfId="54020"/>
    <cellStyle name="Total 2 4 4 6 2" xfId="54021"/>
    <cellStyle name="Total 2 4 4 6 2 2" xfId="54022"/>
    <cellStyle name="Total 2 4 4 6 2 3" xfId="54023"/>
    <cellStyle name="Total 2 4 4 6 3" xfId="54024"/>
    <cellStyle name="Total 2 4 4 6 3 2" xfId="54025"/>
    <cellStyle name="Total 2 4 4 6 3 3" xfId="54026"/>
    <cellStyle name="Total 2 4 4 6 4" xfId="54027"/>
    <cellStyle name="Total 2 4 4 6 5" xfId="54028"/>
    <cellStyle name="Total 2 4 4 7" xfId="54029"/>
    <cellStyle name="Total 2 4 4 7 2" xfId="54030"/>
    <cellStyle name="Total 2 4 4 7 2 2" xfId="54031"/>
    <cellStyle name="Total 2 4 4 7 2 3" xfId="54032"/>
    <cellStyle name="Total 2 4 4 7 3" xfId="54033"/>
    <cellStyle name="Total 2 4 4 7 3 2" xfId="54034"/>
    <cellStyle name="Total 2 4 4 7 3 3" xfId="54035"/>
    <cellStyle name="Total 2 4 4 7 4" xfId="54036"/>
    <cellStyle name="Total 2 4 4 7 5" xfId="54037"/>
    <cellStyle name="Total 2 4 4 8" xfId="54038"/>
    <cellStyle name="Total 2 4 4 8 2" xfId="54039"/>
    <cellStyle name="Total 2 4 4 8 2 2" xfId="54040"/>
    <cellStyle name="Total 2 4 4 8 2 3" xfId="54041"/>
    <cellStyle name="Total 2 4 4 8 3" xfId="54042"/>
    <cellStyle name="Total 2 4 4 8 3 2" xfId="54043"/>
    <cellStyle name="Total 2 4 4 8 3 3" xfId="54044"/>
    <cellStyle name="Total 2 4 4 8 4" xfId="54045"/>
    <cellStyle name="Total 2 4 4 8 5" xfId="54046"/>
    <cellStyle name="Total 2 4 4 9" xfId="54047"/>
    <cellStyle name="Total 2 4 4 9 2" xfId="54048"/>
    <cellStyle name="Total 2 4 4 9 2 2" xfId="54049"/>
    <cellStyle name="Total 2 4 4 9 2 3" xfId="54050"/>
    <cellStyle name="Total 2 4 4 9 3" xfId="54051"/>
    <cellStyle name="Total 2 4 4 9 3 2" xfId="54052"/>
    <cellStyle name="Total 2 4 4 9 3 3" xfId="54053"/>
    <cellStyle name="Total 2 4 4 9 4" xfId="54054"/>
    <cellStyle name="Total 2 4 4 9 5" xfId="54055"/>
    <cellStyle name="Total 2 4 5" xfId="54056"/>
    <cellStyle name="Total 2 4 5 10" xfId="54057"/>
    <cellStyle name="Total 2 4 5 10 2" xfId="54058"/>
    <cellStyle name="Total 2 4 5 10 2 2" xfId="54059"/>
    <cellStyle name="Total 2 4 5 10 2 3" xfId="54060"/>
    <cellStyle name="Total 2 4 5 10 3" xfId="54061"/>
    <cellStyle name="Total 2 4 5 10 3 2" xfId="54062"/>
    <cellStyle name="Total 2 4 5 10 3 3" xfId="54063"/>
    <cellStyle name="Total 2 4 5 10 4" xfId="54064"/>
    <cellStyle name="Total 2 4 5 10 5" xfId="54065"/>
    <cellStyle name="Total 2 4 5 11" xfId="54066"/>
    <cellStyle name="Total 2 4 5 11 2" xfId="54067"/>
    <cellStyle name="Total 2 4 5 11 2 2" xfId="54068"/>
    <cellStyle name="Total 2 4 5 11 2 3" xfId="54069"/>
    <cellStyle name="Total 2 4 5 11 3" xfId="54070"/>
    <cellStyle name="Total 2 4 5 11 3 2" xfId="54071"/>
    <cellStyle name="Total 2 4 5 11 3 3" xfId="54072"/>
    <cellStyle name="Total 2 4 5 11 4" xfId="54073"/>
    <cellStyle name="Total 2 4 5 11 5" xfId="54074"/>
    <cellStyle name="Total 2 4 5 12" xfId="54075"/>
    <cellStyle name="Total 2 4 5 12 2" xfId="54076"/>
    <cellStyle name="Total 2 4 5 12 2 2" xfId="54077"/>
    <cellStyle name="Total 2 4 5 12 2 3" xfId="54078"/>
    <cellStyle name="Total 2 4 5 12 3" xfId="54079"/>
    <cellStyle name="Total 2 4 5 12 3 2" xfId="54080"/>
    <cellStyle name="Total 2 4 5 12 3 3" xfId="54081"/>
    <cellStyle name="Total 2 4 5 12 4" xfId="54082"/>
    <cellStyle name="Total 2 4 5 12 5" xfId="54083"/>
    <cellStyle name="Total 2 4 5 13" xfId="54084"/>
    <cellStyle name="Total 2 4 5 13 2" xfId="54085"/>
    <cellStyle name="Total 2 4 5 13 2 2" xfId="54086"/>
    <cellStyle name="Total 2 4 5 13 2 3" xfId="54087"/>
    <cellStyle name="Total 2 4 5 13 3" xfId="54088"/>
    <cellStyle name="Total 2 4 5 13 3 2" xfId="54089"/>
    <cellStyle name="Total 2 4 5 13 3 3" xfId="54090"/>
    <cellStyle name="Total 2 4 5 13 4" xfId="54091"/>
    <cellStyle name="Total 2 4 5 13 5" xfId="54092"/>
    <cellStyle name="Total 2 4 5 14" xfId="54093"/>
    <cellStyle name="Total 2 4 5 14 2" xfId="54094"/>
    <cellStyle name="Total 2 4 5 14 2 2" xfId="54095"/>
    <cellStyle name="Total 2 4 5 14 2 3" xfId="54096"/>
    <cellStyle name="Total 2 4 5 14 3" xfId="54097"/>
    <cellStyle name="Total 2 4 5 14 3 2" xfId="54098"/>
    <cellStyle name="Total 2 4 5 14 3 3" xfId="54099"/>
    <cellStyle name="Total 2 4 5 14 4" xfId="54100"/>
    <cellStyle name="Total 2 4 5 14 5" xfId="54101"/>
    <cellStyle name="Total 2 4 5 15" xfId="54102"/>
    <cellStyle name="Total 2 4 5 15 2" xfId="54103"/>
    <cellStyle name="Total 2 4 5 15 2 2" xfId="54104"/>
    <cellStyle name="Total 2 4 5 15 2 3" xfId="54105"/>
    <cellStyle name="Total 2 4 5 15 3" xfId="54106"/>
    <cellStyle name="Total 2 4 5 15 3 2" xfId="54107"/>
    <cellStyle name="Total 2 4 5 15 3 3" xfId="54108"/>
    <cellStyle name="Total 2 4 5 15 4" xfId="54109"/>
    <cellStyle name="Total 2 4 5 15 5" xfId="54110"/>
    <cellStyle name="Total 2 4 5 16" xfId="54111"/>
    <cellStyle name="Total 2 4 5 16 2" xfId="54112"/>
    <cellStyle name="Total 2 4 5 16 2 2" xfId="54113"/>
    <cellStyle name="Total 2 4 5 16 2 3" xfId="54114"/>
    <cellStyle name="Total 2 4 5 16 3" xfId="54115"/>
    <cellStyle name="Total 2 4 5 16 3 2" xfId="54116"/>
    <cellStyle name="Total 2 4 5 16 3 3" xfId="54117"/>
    <cellStyle name="Total 2 4 5 16 4" xfId="54118"/>
    <cellStyle name="Total 2 4 5 16 5" xfId="54119"/>
    <cellStyle name="Total 2 4 5 17" xfId="54120"/>
    <cellStyle name="Total 2 4 5 17 2" xfId="54121"/>
    <cellStyle name="Total 2 4 5 17 2 2" xfId="54122"/>
    <cellStyle name="Total 2 4 5 17 2 3" xfId="54123"/>
    <cellStyle name="Total 2 4 5 17 3" xfId="54124"/>
    <cellStyle name="Total 2 4 5 17 3 2" xfId="54125"/>
    <cellStyle name="Total 2 4 5 17 3 3" xfId="54126"/>
    <cellStyle name="Total 2 4 5 17 4" xfId="54127"/>
    <cellStyle name="Total 2 4 5 17 5" xfId="54128"/>
    <cellStyle name="Total 2 4 5 18" xfId="54129"/>
    <cellStyle name="Total 2 4 5 18 2" xfId="54130"/>
    <cellStyle name="Total 2 4 5 18 2 2" xfId="54131"/>
    <cellStyle name="Total 2 4 5 18 2 3" xfId="54132"/>
    <cellStyle name="Total 2 4 5 18 3" xfId="54133"/>
    <cellStyle name="Total 2 4 5 18 3 2" xfId="54134"/>
    <cellStyle name="Total 2 4 5 18 3 3" xfId="54135"/>
    <cellStyle name="Total 2 4 5 18 4" xfId="54136"/>
    <cellStyle name="Total 2 4 5 18 5" xfId="54137"/>
    <cellStyle name="Total 2 4 5 19" xfId="54138"/>
    <cellStyle name="Total 2 4 5 19 2" xfId="54139"/>
    <cellStyle name="Total 2 4 5 19 2 2" xfId="54140"/>
    <cellStyle name="Total 2 4 5 19 2 3" xfId="54141"/>
    <cellStyle name="Total 2 4 5 19 3" xfId="54142"/>
    <cellStyle name="Total 2 4 5 19 3 2" xfId="54143"/>
    <cellStyle name="Total 2 4 5 19 3 3" xfId="54144"/>
    <cellStyle name="Total 2 4 5 19 4" xfId="54145"/>
    <cellStyle name="Total 2 4 5 19 5" xfId="54146"/>
    <cellStyle name="Total 2 4 5 2" xfId="54147"/>
    <cellStyle name="Total 2 4 5 2 2" xfId="54148"/>
    <cellStyle name="Total 2 4 5 2 2 2" xfId="54149"/>
    <cellStyle name="Total 2 4 5 2 2 3" xfId="54150"/>
    <cellStyle name="Total 2 4 5 2 3" xfId="54151"/>
    <cellStyle name="Total 2 4 5 2 3 2" xfId="54152"/>
    <cellStyle name="Total 2 4 5 2 3 3" xfId="54153"/>
    <cellStyle name="Total 2 4 5 2 4" xfId="54154"/>
    <cellStyle name="Total 2 4 5 2 5" xfId="54155"/>
    <cellStyle name="Total 2 4 5 20" xfId="54156"/>
    <cellStyle name="Total 2 4 5 20 2" xfId="54157"/>
    <cellStyle name="Total 2 4 5 20 2 2" xfId="54158"/>
    <cellStyle name="Total 2 4 5 20 2 3" xfId="54159"/>
    <cellStyle name="Total 2 4 5 20 3" xfId="54160"/>
    <cellStyle name="Total 2 4 5 20 3 2" xfId="54161"/>
    <cellStyle name="Total 2 4 5 20 3 3" xfId="54162"/>
    <cellStyle name="Total 2 4 5 20 4" xfId="54163"/>
    <cellStyle name="Total 2 4 5 20 5" xfId="54164"/>
    <cellStyle name="Total 2 4 5 21" xfId="54165"/>
    <cellStyle name="Total 2 4 5 21 2" xfId="54166"/>
    <cellStyle name="Total 2 4 5 21 2 2" xfId="54167"/>
    <cellStyle name="Total 2 4 5 21 2 3" xfId="54168"/>
    <cellStyle name="Total 2 4 5 21 3" xfId="54169"/>
    <cellStyle name="Total 2 4 5 21 3 2" xfId="54170"/>
    <cellStyle name="Total 2 4 5 21 3 3" xfId="54171"/>
    <cellStyle name="Total 2 4 5 21 4" xfId="54172"/>
    <cellStyle name="Total 2 4 5 21 5" xfId="54173"/>
    <cellStyle name="Total 2 4 5 22" xfId="54174"/>
    <cellStyle name="Total 2 4 5 22 2" xfId="54175"/>
    <cellStyle name="Total 2 4 5 22 2 2" xfId="54176"/>
    <cellStyle name="Total 2 4 5 22 2 3" xfId="54177"/>
    <cellStyle name="Total 2 4 5 22 3" xfId="54178"/>
    <cellStyle name="Total 2 4 5 22 3 2" xfId="54179"/>
    <cellStyle name="Total 2 4 5 22 3 3" xfId="54180"/>
    <cellStyle name="Total 2 4 5 22 4" xfId="54181"/>
    <cellStyle name="Total 2 4 5 22 5" xfId="54182"/>
    <cellStyle name="Total 2 4 5 23" xfId="54183"/>
    <cellStyle name="Total 2 4 5 23 2" xfId="54184"/>
    <cellStyle name="Total 2 4 5 23 2 2" xfId="54185"/>
    <cellStyle name="Total 2 4 5 23 2 3" xfId="54186"/>
    <cellStyle name="Total 2 4 5 23 3" xfId="54187"/>
    <cellStyle name="Total 2 4 5 23 3 2" xfId="54188"/>
    <cellStyle name="Total 2 4 5 23 3 3" xfId="54189"/>
    <cellStyle name="Total 2 4 5 23 4" xfId="54190"/>
    <cellStyle name="Total 2 4 5 23 5" xfId="54191"/>
    <cellStyle name="Total 2 4 5 24" xfId="54192"/>
    <cellStyle name="Total 2 4 5 24 2" xfId="54193"/>
    <cellStyle name="Total 2 4 5 24 2 2" xfId="54194"/>
    <cellStyle name="Total 2 4 5 24 2 3" xfId="54195"/>
    <cellStyle name="Total 2 4 5 24 3" xfId="54196"/>
    <cellStyle name="Total 2 4 5 24 3 2" xfId="54197"/>
    <cellStyle name="Total 2 4 5 24 3 3" xfId="54198"/>
    <cellStyle name="Total 2 4 5 24 4" xfId="54199"/>
    <cellStyle name="Total 2 4 5 24 5" xfId="54200"/>
    <cellStyle name="Total 2 4 5 25" xfId="54201"/>
    <cellStyle name="Total 2 4 5 25 2" xfId="54202"/>
    <cellStyle name="Total 2 4 5 25 2 2" xfId="54203"/>
    <cellStyle name="Total 2 4 5 25 2 3" xfId="54204"/>
    <cellStyle name="Total 2 4 5 25 3" xfId="54205"/>
    <cellStyle name="Total 2 4 5 25 3 2" xfId="54206"/>
    <cellStyle name="Total 2 4 5 25 3 3" xfId="54207"/>
    <cellStyle name="Total 2 4 5 25 4" xfId="54208"/>
    <cellStyle name="Total 2 4 5 25 5" xfId="54209"/>
    <cellStyle name="Total 2 4 5 26" xfId="54210"/>
    <cellStyle name="Total 2 4 5 26 2" xfId="54211"/>
    <cellStyle name="Total 2 4 5 26 2 2" xfId="54212"/>
    <cellStyle name="Total 2 4 5 26 2 3" xfId="54213"/>
    <cellStyle name="Total 2 4 5 26 3" xfId="54214"/>
    <cellStyle name="Total 2 4 5 26 3 2" xfId="54215"/>
    <cellStyle name="Total 2 4 5 26 3 3" xfId="54216"/>
    <cellStyle name="Total 2 4 5 26 4" xfId="54217"/>
    <cellStyle name="Total 2 4 5 26 5" xfId="54218"/>
    <cellStyle name="Total 2 4 5 27" xfId="54219"/>
    <cellStyle name="Total 2 4 5 27 2" xfId="54220"/>
    <cellStyle name="Total 2 4 5 27 2 2" xfId="54221"/>
    <cellStyle name="Total 2 4 5 27 2 3" xfId="54222"/>
    <cellStyle name="Total 2 4 5 27 3" xfId="54223"/>
    <cellStyle name="Total 2 4 5 27 3 2" xfId="54224"/>
    <cellStyle name="Total 2 4 5 27 3 3" xfId="54225"/>
    <cellStyle name="Total 2 4 5 27 4" xfId="54226"/>
    <cellStyle name="Total 2 4 5 27 5" xfId="54227"/>
    <cellStyle name="Total 2 4 5 28" xfId="54228"/>
    <cellStyle name="Total 2 4 5 28 2" xfId="54229"/>
    <cellStyle name="Total 2 4 5 28 2 2" xfId="54230"/>
    <cellStyle name="Total 2 4 5 28 2 3" xfId="54231"/>
    <cellStyle name="Total 2 4 5 28 3" xfId="54232"/>
    <cellStyle name="Total 2 4 5 28 3 2" xfId="54233"/>
    <cellStyle name="Total 2 4 5 28 3 3" xfId="54234"/>
    <cellStyle name="Total 2 4 5 28 4" xfId="54235"/>
    <cellStyle name="Total 2 4 5 28 5" xfId="54236"/>
    <cellStyle name="Total 2 4 5 29" xfId="54237"/>
    <cellStyle name="Total 2 4 5 29 2" xfId="54238"/>
    <cellStyle name="Total 2 4 5 29 2 2" xfId="54239"/>
    <cellStyle name="Total 2 4 5 29 2 3" xfId="54240"/>
    <cellStyle name="Total 2 4 5 29 3" xfId="54241"/>
    <cellStyle name="Total 2 4 5 29 3 2" xfId="54242"/>
    <cellStyle name="Total 2 4 5 29 3 3" xfId="54243"/>
    <cellStyle name="Total 2 4 5 29 4" xfId="54244"/>
    <cellStyle name="Total 2 4 5 29 5" xfId="54245"/>
    <cellStyle name="Total 2 4 5 3" xfId="54246"/>
    <cellStyle name="Total 2 4 5 3 2" xfId="54247"/>
    <cellStyle name="Total 2 4 5 3 2 2" xfId="54248"/>
    <cellStyle name="Total 2 4 5 3 2 3" xfId="54249"/>
    <cellStyle name="Total 2 4 5 3 3" xfId="54250"/>
    <cellStyle name="Total 2 4 5 3 3 2" xfId="54251"/>
    <cellStyle name="Total 2 4 5 3 3 3" xfId="54252"/>
    <cellStyle name="Total 2 4 5 3 4" xfId="54253"/>
    <cellStyle name="Total 2 4 5 3 5" xfId="54254"/>
    <cellStyle name="Total 2 4 5 30" xfId="54255"/>
    <cellStyle name="Total 2 4 5 30 2" xfId="54256"/>
    <cellStyle name="Total 2 4 5 30 2 2" xfId="54257"/>
    <cellStyle name="Total 2 4 5 30 2 3" xfId="54258"/>
    <cellStyle name="Total 2 4 5 30 3" xfId="54259"/>
    <cellStyle name="Total 2 4 5 30 3 2" xfId="54260"/>
    <cellStyle name="Total 2 4 5 30 3 3" xfId="54261"/>
    <cellStyle name="Total 2 4 5 30 4" xfId="54262"/>
    <cellStyle name="Total 2 4 5 30 5" xfId="54263"/>
    <cellStyle name="Total 2 4 5 31" xfId="54264"/>
    <cellStyle name="Total 2 4 5 31 2" xfId="54265"/>
    <cellStyle name="Total 2 4 5 31 2 2" xfId="54266"/>
    <cellStyle name="Total 2 4 5 31 2 3" xfId="54267"/>
    <cellStyle name="Total 2 4 5 31 3" xfId="54268"/>
    <cellStyle name="Total 2 4 5 31 3 2" xfId="54269"/>
    <cellStyle name="Total 2 4 5 31 3 3" xfId="54270"/>
    <cellStyle name="Total 2 4 5 31 4" xfId="54271"/>
    <cellStyle name="Total 2 4 5 31 5" xfId="54272"/>
    <cellStyle name="Total 2 4 5 32" xfId="54273"/>
    <cellStyle name="Total 2 4 5 32 2" xfId="54274"/>
    <cellStyle name="Total 2 4 5 32 2 2" xfId="54275"/>
    <cellStyle name="Total 2 4 5 32 2 3" xfId="54276"/>
    <cellStyle name="Total 2 4 5 32 3" xfId="54277"/>
    <cellStyle name="Total 2 4 5 32 3 2" xfId="54278"/>
    <cellStyle name="Total 2 4 5 32 3 3" xfId="54279"/>
    <cellStyle name="Total 2 4 5 32 4" xfId="54280"/>
    <cellStyle name="Total 2 4 5 32 5" xfId="54281"/>
    <cellStyle name="Total 2 4 5 33" xfId="54282"/>
    <cellStyle name="Total 2 4 5 33 2" xfId="54283"/>
    <cellStyle name="Total 2 4 5 33 2 2" xfId="54284"/>
    <cellStyle name="Total 2 4 5 33 2 3" xfId="54285"/>
    <cellStyle name="Total 2 4 5 33 3" xfId="54286"/>
    <cellStyle name="Total 2 4 5 33 3 2" xfId="54287"/>
    <cellStyle name="Total 2 4 5 33 3 3" xfId="54288"/>
    <cellStyle name="Total 2 4 5 33 4" xfId="54289"/>
    <cellStyle name="Total 2 4 5 33 5" xfId="54290"/>
    <cellStyle name="Total 2 4 5 34" xfId="54291"/>
    <cellStyle name="Total 2 4 5 34 2" xfId="54292"/>
    <cellStyle name="Total 2 4 5 34 2 2" xfId="54293"/>
    <cellStyle name="Total 2 4 5 34 2 3" xfId="54294"/>
    <cellStyle name="Total 2 4 5 34 3" xfId="54295"/>
    <cellStyle name="Total 2 4 5 34 3 2" xfId="54296"/>
    <cellStyle name="Total 2 4 5 34 3 3" xfId="54297"/>
    <cellStyle name="Total 2 4 5 34 4" xfId="54298"/>
    <cellStyle name="Total 2 4 5 34 5" xfId="54299"/>
    <cellStyle name="Total 2 4 5 35" xfId="54300"/>
    <cellStyle name="Total 2 4 5 35 2" xfId="54301"/>
    <cellStyle name="Total 2 4 5 35 2 2" xfId="54302"/>
    <cellStyle name="Total 2 4 5 35 2 3" xfId="54303"/>
    <cellStyle name="Total 2 4 5 35 3" xfId="54304"/>
    <cellStyle name="Total 2 4 5 35 3 2" xfId="54305"/>
    <cellStyle name="Total 2 4 5 35 3 3" xfId="54306"/>
    <cellStyle name="Total 2 4 5 35 4" xfId="54307"/>
    <cellStyle name="Total 2 4 5 35 5" xfId="54308"/>
    <cellStyle name="Total 2 4 5 36" xfId="54309"/>
    <cellStyle name="Total 2 4 5 36 2" xfId="54310"/>
    <cellStyle name="Total 2 4 5 36 2 2" xfId="54311"/>
    <cellStyle name="Total 2 4 5 36 2 3" xfId="54312"/>
    <cellStyle name="Total 2 4 5 36 3" xfId="54313"/>
    <cellStyle name="Total 2 4 5 36 3 2" xfId="54314"/>
    <cellStyle name="Total 2 4 5 36 3 3" xfId="54315"/>
    <cellStyle name="Total 2 4 5 36 4" xfId="54316"/>
    <cellStyle name="Total 2 4 5 36 5" xfId="54317"/>
    <cellStyle name="Total 2 4 5 37" xfId="54318"/>
    <cellStyle name="Total 2 4 5 37 2" xfId="54319"/>
    <cellStyle name="Total 2 4 5 37 2 2" xfId="54320"/>
    <cellStyle name="Total 2 4 5 37 2 3" xfId="54321"/>
    <cellStyle name="Total 2 4 5 37 3" xfId="54322"/>
    <cellStyle name="Total 2 4 5 37 3 2" xfId="54323"/>
    <cellStyle name="Total 2 4 5 37 3 3" xfId="54324"/>
    <cellStyle name="Total 2 4 5 37 4" xfId="54325"/>
    <cellStyle name="Total 2 4 5 37 5" xfId="54326"/>
    <cellStyle name="Total 2 4 5 38" xfId="54327"/>
    <cellStyle name="Total 2 4 5 38 2" xfId="54328"/>
    <cellStyle name="Total 2 4 5 38 2 2" xfId="54329"/>
    <cellStyle name="Total 2 4 5 38 2 3" xfId="54330"/>
    <cellStyle name="Total 2 4 5 38 3" xfId="54331"/>
    <cellStyle name="Total 2 4 5 38 3 2" xfId="54332"/>
    <cellStyle name="Total 2 4 5 38 3 3" xfId="54333"/>
    <cellStyle name="Total 2 4 5 38 4" xfId="54334"/>
    <cellStyle name="Total 2 4 5 38 5" xfId="54335"/>
    <cellStyle name="Total 2 4 5 39" xfId="54336"/>
    <cellStyle name="Total 2 4 5 39 2" xfId="54337"/>
    <cellStyle name="Total 2 4 5 39 2 2" xfId="54338"/>
    <cellStyle name="Total 2 4 5 39 2 3" xfId="54339"/>
    <cellStyle name="Total 2 4 5 39 3" xfId="54340"/>
    <cellStyle name="Total 2 4 5 39 4" xfId="54341"/>
    <cellStyle name="Total 2 4 5 4" xfId="54342"/>
    <cellStyle name="Total 2 4 5 4 2" xfId="54343"/>
    <cellStyle name="Total 2 4 5 4 2 2" xfId="54344"/>
    <cellStyle name="Total 2 4 5 4 2 3" xfId="54345"/>
    <cellStyle name="Total 2 4 5 4 3" xfId="54346"/>
    <cellStyle name="Total 2 4 5 4 3 2" xfId="54347"/>
    <cellStyle name="Total 2 4 5 4 3 3" xfId="54348"/>
    <cellStyle name="Total 2 4 5 4 4" xfId="54349"/>
    <cellStyle name="Total 2 4 5 4 5" xfId="54350"/>
    <cellStyle name="Total 2 4 5 40" xfId="54351"/>
    <cellStyle name="Total 2 4 5 40 2" xfId="54352"/>
    <cellStyle name="Total 2 4 5 40 3" xfId="54353"/>
    <cellStyle name="Total 2 4 5 41" xfId="54354"/>
    <cellStyle name="Total 2 4 5 41 2" xfId="54355"/>
    <cellStyle name="Total 2 4 5 41 3" xfId="54356"/>
    <cellStyle name="Total 2 4 5 42" xfId="54357"/>
    <cellStyle name="Total 2 4 5 43" xfId="54358"/>
    <cellStyle name="Total 2 4 5 5" xfId="54359"/>
    <cellStyle name="Total 2 4 5 5 2" xfId="54360"/>
    <cellStyle name="Total 2 4 5 5 2 2" xfId="54361"/>
    <cellStyle name="Total 2 4 5 5 2 3" xfId="54362"/>
    <cellStyle name="Total 2 4 5 5 3" xfId="54363"/>
    <cellStyle name="Total 2 4 5 5 3 2" xfId="54364"/>
    <cellStyle name="Total 2 4 5 5 3 3" xfId="54365"/>
    <cellStyle name="Total 2 4 5 5 4" xfId="54366"/>
    <cellStyle name="Total 2 4 5 5 5" xfId="54367"/>
    <cellStyle name="Total 2 4 5 6" xfId="54368"/>
    <cellStyle name="Total 2 4 5 6 2" xfId="54369"/>
    <cellStyle name="Total 2 4 5 6 2 2" xfId="54370"/>
    <cellStyle name="Total 2 4 5 6 2 3" xfId="54371"/>
    <cellStyle name="Total 2 4 5 6 3" xfId="54372"/>
    <cellStyle name="Total 2 4 5 6 3 2" xfId="54373"/>
    <cellStyle name="Total 2 4 5 6 3 3" xfId="54374"/>
    <cellStyle name="Total 2 4 5 6 4" xfId="54375"/>
    <cellStyle name="Total 2 4 5 6 5" xfId="54376"/>
    <cellStyle name="Total 2 4 5 7" xfId="54377"/>
    <cellStyle name="Total 2 4 5 7 2" xfId="54378"/>
    <cellStyle name="Total 2 4 5 7 2 2" xfId="54379"/>
    <cellStyle name="Total 2 4 5 7 2 3" xfId="54380"/>
    <cellStyle name="Total 2 4 5 7 3" xfId="54381"/>
    <cellStyle name="Total 2 4 5 7 3 2" xfId="54382"/>
    <cellStyle name="Total 2 4 5 7 3 3" xfId="54383"/>
    <cellStyle name="Total 2 4 5 7 4" xfId="54384"/>
    <cellStyle name="Total 2 4 5 7 5" xfId="54385"/>
    <cellStyle name="Total 2 4 5 8" xfId="54386"/>
    <cellStyle name="Total 2 4 5 8 2" xfId="54387"/>
    <cellStyle name="Total 2 4 5 8 2 2" xfId="54388"/>
    <cellStyle name="Total 2 4 5 8 2 3" xfId="54389"/>
    <cellStyle name="Total 2 4 5 8 3" xfId="54390"/>
    <cellStyle name="Total 2 4 5 8 3 2" xfId="54391"/>
    <cellStyle name="Total 2 4 5 8 3 3" xfId="54392"/>
    <cellStyle name="Total 2 4 5 8 4" xfId="54393"/>
    <cellStyle name="Total 2 4 5 8 5" xfId="54394"/>
    <cellStyle name="Total 2 4 5 9" xfId="54395"/>
    <cellStyle name="Total 2 4 5 9 2" xfId="54396"/>
    <cellStyle name="Total 2 4 5 9 2 2" xfId="54397"/>
    <cellStyle name="Total 2 4 5 9 2 3" xfId="54398"/>
    <cellStyle name="Total 2 4 5 9 3" xfId="54399"/>
    <cellStyle name="Total 2 4 5 9 3 2" xfId="54400"/>
    <cellStyle name="Total 2 4 5 9 3 3" xfId="54401"/>
    <cellStyle name="Total 2 4 5 9 4" xfId="54402"/>
    <cellStyle name="Total 2 4 5 9 5" xfId="54403"/>
    <cellStyle name="Total 2 4 6" xfId="54404"/>
    <cellStyle name="Total 2 4 6 10" xfId="54405"/>
    <cellStyle name="Total 2 4 6 10 2" xfId="54406"/>
    <cellStyle name="Total 2 4 6 10 2 2" xfId="54407"/>
    <cellStyle name="Total 2 4 6 10 2 3" xfId="54408"/>
    <cellStyle name="Total 2 4 6 10 3" xfId="54409"/>
    <cellStyle name="Total 2 4 6 10 3 2" xfId="54410"/>
    <cellStyle name="Total 2 4 6 10 3 3" xfId="54411"/>
    <cellStyle name="Total 2 4 6 10 4" xfId="54412"/>
    <cellStyle name="Total 2 4 6 10 5" xfId="54413"/>
    <cellStyle name="Total 2 4 6 11" xfId="54414"/>
    <cellStyle name="Total 2 4 6 11 2" xfId="54415"/>
    <cellStyle name="Total 2 4 6 11 2 2" xfId="54416"/>
    <cellStyle name="Total 2 4 6 11 2 3" xfId="54417"/>
    <cellStyle name="Total 2 4 6 11 3" xfId="54418"/>
    <cellStyle name="Total 2 4 6 11 3 2" xfId="54419"/>
    <cellStyle name="Total 2 4 6 11 3 3" xfId="54420"/>
    <cellStyle name="Total 2 4 6 11 4" xfId="54421"/>
    <cellStyle name="Total 2 4 6 11 5" xfId="54422"/>
    <cellStyle name="Total 2 4 6 12" xfId="54423"/>
    <cellStyle name="Total 2 4 6 12 2" xfId="54424"/>
    <cellStyle name="Total 2 4 6 12 2 2" xfId="54425"/>
    <cellStyle name="Total 2 4 6 12 2 3" xfId="54426"/>
    <cellStyle name="Total 2 4 6 12 3" xfId="54427"/>
    <cellStyle name="Total 2 4 6 12 3 2" xfId="54428"/>
    <cellStyle name="Total 2 4 6 12 3 3" xfId="54429"/>
    <cellStyle name="Total 2 4 6 12 4" xfId="54430"/>
    <cellStyle name="Total 2 4 6 12 5" xfId="54431"/>
    <cellStyle name="Total 2 4 6 13" xfId="54432"/>
    <cellStyle name="Total 2 4 6 13 2" xfId="54433"/>
    <cellStyle name="Total 2 4 6 13 2 2" xfId="54434"/>
    <cellStyle name="Total 2 4 6 13 2 3" xfId="54435"/>
    <cellStyle name="Total 2 4 6 13 3" xfId="54436"/>
    <cellStyle name="Total 2 4 6 13 3 2" xfId="54437"/>
    <cellStyle name="Total 2 4 6 13 3 3" xfId="54438"/>
    <cellStyle name="Total 2 4 6 13 4" xfId="54439"/>
    <cellStyle name="Total 2 4 6 13 5" xfId="54440"/>
    <cellStyle name="Total 2 4 6 14" xfId="54441"/>
    <cellStyle name="Total 2 4 6 14 2" xfId="54442"/>
    <cellStyle name="Total 2 4 6 14 2 2" xfId="54443"/>
    <cellStyle name="Total 2 4 6 14 2 3" xfId="54444"/>
    <cellStyle name="Total 2 4 6 14 3" xfId="54445"/>
    <cellStyle name="Total 2 4 6 14 3 2" xfId="54446"/>
    <cellStyle name="Total 2 4 6 14 3 3" xfId="54447"/>
    <cellStyle name="Total 2 4 6 14 4" xfId="54448"/>
    <cellStyle name="Total 2 4 6 14 5" xfId="54449"/>
    <cellStyle name="Total 2 4 6 15" xfId="54450"/>
    <cellStyle name="Total 2 4 6 15 2" xfId="54451"/>
    <cellStyle name="Total 2 4 6 15 2 2" xfId="54452"/>
    <cellStyle name="Total 2 4 6 15 2 3" xfId="54453"/>
    <cellStyle name="Total 2 4 6 15 3" xfId="54454"/>
    <cellStyle name="Total 2 4 6 15 3 2" xfId="54455"/>
    <cellStyle name="Total 2 4 6 15 3 3" xfId="54456"/>
    <cellStyle name="Total 2 4 6 15 4" xfId="54457"/>
    <cellStyle name="Total 2 4 6 15 5" xfId="54458"/>
    <cellStyle name="Total 2 4 6 16" xfId="54459"/>
    <cellStyle name="Total 2 4 6 16 2" xfId="54460"/>
    <cellStyle name="Total 2 4 6 16 2 2" xfId="54461"/>
    <cellStyle name="Total 2 4 6 16 2 3" xfId="54462"/>
    <cellStyle name="Total 2 4 6 16 3" xfId="54463"/>
    <cellStyle name="Total 2 4 6 16 3 2" xfId="54464"/>
    <cellStyle name="Total 2 4 6 16 3 3" xfId="54465"/>
    <cellStyle name="Total 2 4 6 16 4" xfId="54466"/>
    <cellStyle name="Total 2 4 6 16 5" xfId="54467"/>
    <cellStyle name="Total 2 4 6 17" xfId="54468"/>
    <cellStyle name="Total 2 4 6 17 2" xfId="54469"/>
    <cellStyle name="Total 2 4 6 17 2 2" xfId="54470"/>
    <cellStyle name="Total 2 4 6 17 2 3" xfId="54471"/>
    <cellStyle name="Total 2 4 6 17 3" xfId="54472"/>
    <cellStyle name="Total 2 4 6 17 3 2" xfId="54473"/>
    <cellStyle name="Total 2 4 6 17 3 3" xfId="54474"/>
    <cellStyle name="Total 2 4 6 17 4" xfId="54475"/>
    <cellStyle name="Total 2 4 6 17 5" xfId="54476"/>
    <cellStyle name="Total 2 4 6 18" xfId="54477"/>
    <cellStyle name="Total 2 4 6 18 2" xfId="54478"/>
    <cellStyle name="Total 2 4 6 18 2 2" xfId="54479"/>
    <cellStyle name="Total 2 4 6 18 2 3" xfId="54480"/>
    <cellStyle name="Total 2 4 6 18 3" xfId="54481"/>
    <cellStyle name="Total 2 4 6 18 3 2" xfId="54482"/>
    <cellStyle name="Total 2 4 6 18 3 3" xfId="54483"/>
    <cellStyle name="Total 2 4 6 18 4" xfId="54484"/>
    <cellStyle name="Total 2 4 6 18 5" xfId="54485"/>
    <cellStyle name="Total 2 4 6 19" xfId="54486"/>
    <cellStyle name="Total 2 4 6 19 2" xfId="54487"/>
    <cellStyle name="Total 2 4 6 19 2 2" xfId="54488"/>
    <cellStyle name="Total 2 4 6 19 2 3" xfId="54489"/>
    <cellStyle name="Total 2 4 6 19 3" xfId="54490"/>
    <cellStyle name="Total 2 4 6 19 3 2" xfId="54491"/>
    <cellStyle name="Total 2 4 6 19 3 3" xfId="54492"/>
    <cellStyle name="Total 2 4 6 19 4" xfId="54493"/>
    <cellStyle name="Total 2 4 6 19 5" xfId="54494"/>
    <cellStyle name="Total 2 4 6 2" xfId="54495"/>
    <cellStyle name="Total 2 4 6 2 2" xfId="54496"/>
    <cellStyle name="Total 2 4 6 2 2 2" xfId="54497"/>
    <cellStyle name="Total 2 4 6 2 2 3" xfId="54498"/>
    <cellStyle name="Total 2 4 6 2 3" xfId="54499"/>
    <cellStyle name="Total 2 4 6 2 3 2" xfId="54500"/>
    <cellStyle name="Total 2 4 6 2 3 3" xfId="54501"/>
    <cellStyle name="Total 2 4 6 2 4" xfId="54502"/>
    <cellStyle name="Total 2 4 6 2 5" xfId="54503"/>
    <cellStyle name="Total 2 4 6 20" xfId="54504"/>
    <cellStyle name="Total 2 4 6 20 2" xfId="54505"/>
    <cellStyle name="Total 2 4 6 20 2 2" xfId="54506"/>
    <cellStyle name="Total 2 4 6 20 2 3" xfId="54507"/>
    <cellStyle name="Total 2 4 6 20 3" xfId="54508"/>
    <cellStyle name="Total 2 4 6 20 3 2" xfId="54509"/>
    <cellStyle name="Total 2 4 6 20 3 3" xfId="54510"/>
    <cellStyle name="Total 2 4 6 20 4" xfId="54511"/>
    <cellStyle name="Total 2 4 6 20 5" xfId="54512"/>
    <cellStyle name="Total 2 4 6 21" xfId="54513"/>
    <cellStyle name="Total 2 4 6 21 2" xfId="54514"/>
    <cellStyle name="Total 2 4 6 21 2 2" xfId="54515"/>
    <cellStyle name="Total 2 4 6 21 2 3" xfId="54516"/>
    <cellStyle name="Total 2 4 6 21 3" xfId="54517"/>
    <cellStyle name="Total 2 4 6 21 3 2" xfId="54518"/>
    <cellStyle name="Total 2 4 6 21 3 3" xfId="54519"/>
    <cellStyle name="Total 2 4 6 21 4" xfId="54520"/>
    <cellStyle name="Total 2 4 6 21 5" xfId="54521"/>
    <cellStyle name="Total 2 4 6 22" xfId="54522"/>
    <cellStyle name="Total 2 4 6 22 2" xfId="54523"/>
    <cellStyle name="Total 2 4 6 22 2 2" xfId="54524"/>
    <cellStyle name="Total 2 4 6 22 2 3" xfId="54525"/>
    <cellStyle name="Total 2 4 6 22 3" xfId="54526"/>
    <cellStyle name="Total 2 4 6 22 3 2" xfId="54527"/>
    <cellStyle name="Total 2 4 6 22 3 3" xfId="54528"/>
    <cellStyle name="Total 2 4 6 22 4" xfId="54529"/>
    <cellStyle name="Total 2 4 6 22 5" xfId="54530"/>
    <cellStyle name="Total 2 4 6 23" xfId="54531"/>
    <cellStyle name="Total 2 4 6 23 2" xfId="54532"/>
    <cellStyle name="Total 2 4 6 23 2 2" xfId="54533"/>
    <cellStyle name="Total 2 4 6 23 2 3" xfId="54534"/>
    <cellStyle name="Total 2 4 6 23 3" xfId="54535"/>
    <cellStyle name="Total 2 4 6 23 3 2" xfId="54536"/>
    <cellStyle name="Total 2 4 6 23 3 3" xfId="54537"/>
    <cellStyle name="Total 2 4 6 23 4" xfId="54538"/>
    <cellStyle name="Total 2 4 6 23 5" xfId="54539"/>
    <cellStyle name="Total 2 4 6 24" xfId="54540"/>
    <cellStyle name="Total 2 4 6 24 2" xfId="54541"/>
    <cellStyle name="Total 2 4 6 24 2 2" xfId="54542"/>
    <cellStyle name="Total 2 4 6 24 2 3" xfId="54543"/>
    <cellStyle name="Total 2 4 6 24 3" xfId="54544"/>
    <cellStyle name="Total 2 4 6 24 3 2" xfId="54545"/>
    <cellStyle name="Total 2 4 6 24 3 3" xfId="54546"/>
    <cellStyle name="Total 2 4 6 24 4" xfId="54547"/>
    <cellStyle name="Total 2 4 6 24 5" xfId="54548"/>
    <cellStyle name="Total 2 4 6 25" xfId="54549"/>
    <cellStyle name="Total 2 4 6 25 2" xfId="54550"/>
    <cellStyle name="Total 2 4 6 25 2 2" xfId="54551"/>
    <cellStyle name="Total 2 4 6 25 2 3" xfId="54552"/>
    <cellStyle name="Total 2 4 6 25 3" xfId="54553"/>
    <cellStyle name="Total 2 4 6 25 3 2" xfId="54554"/>
    <cellStyle name="Total 2 4 6 25 3 3" xfId="54555"/>
    <cellStyle name="Total 2 4 6 25 4" xfId="54556"/>
    <cellStyle name="Total 2 4 6 25 5" xfId="54557"/>
    <cellStyle name="Total 2 4 6 26" xfId="54558"/>
    <cellStyle name="Total 2 4 6 26 2" xfId="54559"/>
    <cellStyle name="Total 2 4 6 26 2 2" xfId="54560"/>
    <cellStyle name="Total 2 4 6 26 2 3" xfId="54561"/>
    <cellStyle name="Total 2 4 6 26 3" xfId="54562"/>
    <cellStyle name="Total 2 4 6 26 3 2" xfId="54563"/>
    <cellStyle name="Total 2 4 6 26 3 3" xfId="54564"/>
    <cellStyle name="Total 2 4 6 26 4" xfId="54565"/>
    <cellStyle name="Total 2 4 6 26 5" xfId="54566"/>
    <cellStyle name="Total 2 4 6 27" xfId="54567"/>
    <cellStyle name="Total 2 4 6 27 2" xfId="54568"/>
    <cellStyle name="Total 2 4 6 27 2 2" xfId="54569"/>
    <cellStyle name="Total 2 4 6 27 2 3" xfId="54570"/>
    <cellStyle name="Total 2 4 6 27 3" xfId="54571"/>
    <cellStyle name="Total 2 4 6 27 3 2" xfId="54572"/>
    <cellStyle name="Total 2 4 6 27 3 3" xfId="54573"/>
    <cellStyle name="Total 2 4 6 27 4" xfId="54574"/>
    <cellStyle name="Total 2 4 6 27 5" xfId="54575"/>
    <cellStyle name="Total 2 4 6 28" xfId="54576"/>
    <cellStyle name="Total 2 4 6 28 2" xfId="54577"/>
    <cellStyle name="Total 2 4 6 28 2 2" xfId="54578"/>
    <cellStyle name="Total 2 4 6 28 2 3" xfId="54579"/>
    <cellStyle name="Total 2 4 6 28 3" xfId="54580"/>
    <cellStyle name="Total 2 4 6 28 3 2" xfId="54581"/>
    <cellStyle name="Total 2 4 6 28 3 3" xfId="54582"/>
    <cellStyle name="Total 2 4 6 28 4" xfId="54583"/>
    <cellStyle name="Total 2 4 6 28 5" xfId="54584"/>
    <cellStyle name="Total 2 4 6 29" xfId="54585"/>
    <cellStyle name="Total 2 4 6 29 2" xfId="54586"/>
    <cellStyle name="Total 2 4 6 29 2 2" xfId="54587"/>
    <cellStyle name="Total 2 4 6 29 2 3" xfId="54588"/>
    <cellStyle name="Total 2 4 6 29 3" xfId="54589"/>
    <cellStyle name="Total 2 4 6 29 3 2" xfId="54590"/>
    <cellStyle name="Total 2 4 6 29 3 3" xfId="54591"/>
    <cellStyle name="Total 2 4 6 29 4" xfId="54592"/>
    <cellStyle name="Total 2 4 6 29 5" xfId="54593"/>
    <cellStyle name="Total 2 4 6 3" xfId="54594"/>
    <cellStyle name="Total 2 4 6 3 2" xfId="54595"/>
    <cellStyle name="Total 2 4 6 3 2 2" xfId="54596"/>
    <cellStyle name="Total 2 4 6 3 2 3" xfId="54597"/>
    <cellStyle name="Total 2 4 6 3 3" xfId="54598"/>
    <cellStyle name="Total 2 4 6 3 3 2" xfId="54599"/>
    <cellStyle name="Total 2 4 6 3 3 3" xfId="54600"/>
    <cellStyle name="Total 2 4 6 3 4" xfId="54601"/>
    <cellStyle name="Total 2 4 6 3 5" xfId="54602"/>
    <cellStyle name="Total 2 4 6 30" xfId="54603"/>
    <cellStyle name="Total 2 4 6 30 2" xfId="54604"/>
    <cellStyle name="Total 2 4 6 30 2 2" xfId="54605"/>
    <cellStyle name="Total 2 4 6 30 2 3" xfId="54606"/>
    <cellStyle name="Total 2 4 6 30 3" xfId="54607"/>
    <cellStyle name="Total 2 4 6 30 3 2" xfId="54608"/>
    <cellStyle name="Total 2 4 6 30 3 3" xfId="54609"/>
    <cellStyle name="Total 2 4 6 30 4" xfId="54610"/>
    <cellStyle name="Total 2 4 6 30 5" xfId="54611"/>
    <cellStyle name="Total 2 4 6 31" xfId="54612"/>
    <cellStyle name="Total 2 4 6 31 2" xfId="54613"/>
    <cellStyle name="Total 2 4 6 31 2 2" xfId="54614"/>
    <cellStyle name="Total 2 4 6 31 2 3" xfId="54615"/>
    <cellStyle name="Total 2 4 6 31 3" xfId="54616"/>
    <cellStyle name="Total 2 4 6 31 3 2" xfId="54617"/>
    <cellStyle name="Total 2 4 6 31 3 3" xfId="54618"/>
    <cellStyle name="Total 2 4 6 31 4" xfId="54619"/>
    <cellStyle name="Total 2 4 6 31 5" xfId="54620"/>
    <cellStyle name="Total 2 4 6 32" xfId="54621"/>
    <cellStyle name="Total 2 4 6 32 2" xfId="54622"/>
    <cellStyle name="Total 2 4 6 32 2 2" xfId="54623"/>
    <cellStyle name="Total 2 4 6 32 2 3" xfId="54624"/>
    <cellStyle name="Total 2 4 6 32 3" xfId="54625"/>
    <cellStyle name="Total 2 4 6 32 3 2" xfId="54626"/>
    <cellStyle name="Total 2 4 6 32 3 3" xfId="54627"/>
    <cellStyle name="Total 2 4 6 32 4" xfId="54628"/>
    <cellStyle name="Total 2 4 6 32 5" xfId="54629"/>
    <cellStyle name="Total 2 4 6 33" xfId="54630"/>
    <cellStyle name="Total 2 4 6 33 2" xfId="54631"/>
    <cellStyle name="Total 2 4 6 33 2 2" xfId="54632"/>
    <cellStyle name="Total 2 4 6 33 2 3" xfId="54633"/>
    <cellStyle name="Total 2 4 6 33 3" xfId="54634"/>
    <cellStyle name="Total 2 4 6 33 3 2" xfId="54635"/>
    <cellStyle name="Total 2 4 6 33 3 3" xfId="54636"/>
    <cellStyle name="Total 2 4 6 33 4" xfId="54637"/>
    <cellStyle name="Total 2 4 6 33 5" xfId="54638"/>
    <cellStyle name="Total 2 4 6 34" xfId="54639"/>
    <cellStyle name="Total 2 4 6 34 2" xfId="54640"/>
    <cellStyle name="Total 2 4 6 34 2 2" xfId="54641"/>
    <cellStyle name="Total 2 4 6 34 2 3" xfId="54642"/>
    <cellStyle name="Total 2 4 6 34 3" xfId="54643"/>
    <cellStyle name="Total 2 4 6 34 3 2" xfId="54644"/>
    <cellStyle name="Total 2 4 6 34 3 3" xfId="54645"/>
    <cellStyle name="Total 2 4 6 34 4" xfId="54646"/>
    <cellStyle name="Total 2 4 6 34 5" xfId="54647"/>
    <cellStyle name="Total 2 4 6 35" xfId="54648"/>
    <cellStyle name="Total 2 4 6 35 2" xfId="54649"/>
    <cellStyle name="Total 2 4 6 35 2 2" xfId="54650"/>
    <cellStyle name="Total 2 4 6 35 2 3" xfId="54651"/>
    <cellStyle name="Total 2 4 6 35 3" xfId="54652"/>
    <cellStyle name="Total 2 4 6 35 3 2" xfId="54653"/>
    <cellStyle name="Total 2 4 6 35 3 3" xfId="54654"/>
    <cellStyle name="Total 2 4 6 35 4" xfId="54655"/>
    <cellStyle name="Total 2 4 6 35 5" xfId="54656"/>
    <cellStyle name="Total 2 4 6 36" xfId="54657"/>
    <cellStyle name="Total 2 4 6 36 2" xfId="54658"/>
    <cellStyle name="Total 2 4 6 36 2 2" xfId="54659"/>
    <cellStyle name="Total 2 4 6 36 2 3" xfId="54660"/>
    <cellStyle name="Total 2 4 6 36 3" xfId="54661"/>
    <cellStyle name="Total 2 4 6 36 3 2" xfId="54662"/>
    <cellStyle name="Total 2 4 6 36 3 3" xfId="54663"/>
    <cellStyle name="Total 2 4 6 36 4" xfId="54664"/>
    <cellStyle name="Total 2 4 6 36 5" xfId="54665"/>
    <cellStyle name="Total 2 4 6 37" xfId="54666"/>
    <cellStyle name="Total 2 4 6 37 2" xfId="54667"/>
    <cellStyle name="Total 2 4 6 37 2 2" xfId="54668"/>
    <cellStyle name="Total 2 4 6 37 2 3" xfId="54669"/>
    <cellStyle name="Total 2 4 6 37 3" xfId="54670"/>
    <cellStyle name="Total 2 4 6 37 3 2" xfId="54671"/>
    <cellStyle name="Total 2 4 6 37 3 3" xfId="54672"/>
    <cellStyle name="Total 2 4 6 37 4" xfId="54673"/>
    <cellStyle name="Total 2 4 6 37 5" xfId="54674"/>
    <cellStyle name="Total 2 4 6 38" xfId="54675"/>
    <cellStyle name="Total 2 4 6 38 2" xfId="54676"/>
    <cellStyle name="Total 2 4 6 38 2 2" xfId="54677"/>
    <cellStyle name="Total 2 4 6 38 2 3" xfId="54678"/>
    <cellStyle name="Total 2 4 6 38 3" xfId="54679"/>
    <cellStyle name="Total 2 4 6 38 3 2" xfId="54680"/>
    <cellStyle name="Total 2 4 6 38 3 3" xfId="54681"/>
    <cellStyle name="Total 2 4 6 38 4" xfId="54682"/>
    <cellStyle name="Total 2 4 6 38 5" xfId="54683"/>
    <cellStyle name="Total 2 4 6 39" xfId="54684"/>
    <cellStyle name="Total 2 4 6 39 2" xfId="54685"/>
    <cellStyle name="Total 2 4 6 39 2 2" xfId="54686"/>
    <cellStyle name="Total 2 4 6 39 2 3" xfId="54687"/>
    <cellStyle name="Total 2 4 6 39 3" xfId="54688"/>
    <cellStyle name="Total 2 4 6 39 3 2" xfId="54689"/>
    <cellStyle name="Total 2 4 6 39 3 3" xfId="54690"/>
    <cellStyle name="Total 2 4 6 39 4" xfId="54691"/>
    <cellStyle name="Total 2 4 6 39 5" xfId="54692"/>
    <cellStyle name="Total 2 4 6 4" xfId="54693"/>
    <cellStyle name="Total 2 4 6 4 2" xfId="54694"/>
    <cellStyle name="Total 2 4 6 4 2 2" xfId="54695"/>
    <cellStyle name="Total 2 4 6 4 2 3" xfId="54696"/>
    <cellStyle name="Total 2 4 6 4 3" xfId="54697"/>
    <cellStyle name="Total 2 4 6 4 3 2" xfId="54698"/>
    <cellStyle name="Total 2 4 6 4 3 3" xfId="54699"/>
    <cellStyle name="Total 2 4 6 4 4" xfId="54700"/>
    <cellStyle name="Total 2 4 6 4 5" xfId="54701"/>
    <cellStyle name="Total 2 4 6 40" xfId="54702"/>
    <cellStyle name="Total 2 4 6 40 2" xfId="54703"/>
    <cellStyle name="Total 2 4 6 40 2 2" xfId="54704"/>
    <cellStyle name="Total 2 4 6 40 2 3" xfId="54705"/>
    <cellStyle name="Total 2 4 6 40 3" xfId="54706"/>
    <cellStyle name="Total 2 4 6 40 3 2" xfId="54707"/>
    <cellStyle name="Total 2 4 6 40 3 3" xfId="54708"/>
    <cellStyle name="Total 2 4 6 40 4" xfId="54709"/>
    <cellStyle name="Total 2 4 6 40 5" xfId="54710"/>
    <cellStyle name="Total 2 4 6 41" xfId="54711"/>
    <cellStyle name="Total 2 4 6 41 2" xfId="54712"/>
    <cellStyle name="Total 2 4 6 41 2 2" xfId="54713"/>
    <cellStyle name="Total 2 4 6 41 2 3" xfId="54714"/>
    <cellStyle name="Total 2 4 6 41 3" xfId="54715"/>
    <cellStyle name="Total 2 4 6 41 3 2" xfId="54716"/>
    <cellStyle name="Total 2 4 6 41 3 3" xfId="54717"/>
    <cellStyle name="Total 2 4 6 41 4" xfId="54718"/>
    <cellStyle name="Total 2 4 6 41 5" xfId="54719"/>
    <cellStyle name="Total 2 4 6 42" xfId="54720"/>
    <cellStyle name="Total 2 4 6 42 2" xfId="54721"/>
    <cellStyle name="Total 2 4 6 42 2 2" xfId="54722"/>
    <cellStyle name="Total 2 4 6 42 2 3" xfId="54723"/>
    <cellStyle name="Total 2 4 6 42 3" xfId="54724"/>
    <cellStyle name="Total 2 4 6 42 4" xfId="54725"/>
    <cellStyle name="Total 2 4 6 43" xfId="54726"/>
    <cellStyle name="Total 2 4 6 43 2" xfId="54727"/>
    <cellStyle name="Total 2 4 6 43 3" xfId="54728"/>
    <cellStyle name="Total 2 4 6 44" xfId="54729"/>
    <cellStyle name="Total 2 4 6 45" xfId="54730"/>
    <cellStyle name="Total 2 4 6 5" xfId="54731"/>
    <cellStyle name="Total 2 4 6 5 2" xfId="54732"/>
    <cellStyle name="Total 2 4 6 5 2 2" xfId="54733"/>
    <cellStyle name="Total 2 4 6 5 2 3" xfId="54734"/>
    <cellStyle name="Total 2 4 6 5 3" xfId="54735"/>
    <cellStyle name="Total 2 4 6 5 3 2" xfId="54736"/>
    <cellStyle name="Total 2 4 6 5 3 3" xfId="54737"/>
    <cellStyle name="Total 2 4 6 5 4" xfId="54738"/>
    <cellStyle name="Total 2 4 6 5 5" xfId="54739"/>
    <cellStyle name="Total 2 4 6 6" xfId="54740"/>
    <cellStyle name="Total 2 4 6 6 2" xfId="54741"/>
    <cellStyle name="Total 2 4 6 6 2 2" xfId="54742"/>
    <cellStyle name="Total 2 4 6 6 2 3" xfId="54743"/>
    <cellStyle name="Total 2 4 6 6 3" xfId="54744"/>
    <cellStyle name="Total 2 4 6 6 3 2" xfId="54745"/>
    <cellStyle name="Total 2 4 6 6 3 3" xfId="54746"/>
    <cellStyle name="Total 2 4 6 6 4" xfId="54747"/>
    <cellStyle name="Total 2 4 6 6 5" xfId="54748"/>
    <cellStyle name="Total 2 4 6 7" xfId="54749"/>
    <cellStyle name="Total 2 4 6 7 2" xfId="54750"/>
    <cellStyle name="Total 2 4 6 7 2 2" xfId="54751"/>
    <cellStyle name="Total 2 4 6 7 2 3" xfId="54752"/>
    <cellStyle name="Total 2 4 6 7 3" xfId="54753"/>
    <cellStyle name="Total 2 4 6 7 3 2" xfId="54754"/>
    <cellStyle name="Total 2 4 6 7 3 3" xfId="54755"/>
    <cellStyle name="Total 2 4 6 7 4" xfId="54756"/>
    <cellStyle name="Total 2 4 6 7 5" xfId="54757"/>
    <cellStyle name="Total 2 4 6 8" xfId="54758"/>
    <cellStyle name="Total 2 4 6 8 2" xfId="54759"/>
    <cellStyle name="Total 2 4 6 8 2 2" xfId="54760"/>
    <cellStyle name="Total 2 4 6 8 2 3" xfId="54761"/>
    <cellStyle name="Total 2 4 6 8 3" xfId="54762"/>
    <cellStyle name="Total 2 4 6 8 3 2" xfId="54763"/>
    <cellStyle name="Total 2 4 6 8 3 3" xfId="54764"/>
    <cellStyle name="Total 2 4 6 8 4" xfId="54765"/>
    <cellStyle name="Total 2 4 6 8 5" xfId="54766"/>
    <cellStyle name="Total 2 4 6 9" xfId="54767"/>
    <cellStyle name="Total 2 4 6 9 2" xfId="54768"/>
    <cellStyle name="Total 2 4 6 9 2 2" xfId="54769"/>
    <cellStyle name="Total 2 4 6 9 2 3" xfId="54770"/>
    <cellStyle name="Total 2 4 6 9 3" xfId="54771"/>
    <cellStyle name="Total 2 4 6 9 3 2" xfId="54772"/>
    <cellStyle name="Total 2 4 6 9 3 3" xfId="54773"/>
    <cellStyle name="Total 2 4 6 9 4" xfId="54774"/>
    <cellStyle name="Total 2 4 6 9 5" xfId="54775"/>
    <cellStyle name="Total 2 4 7" xfId="54776"/>
    <cellStyle name="Total 2 4 7 2" xfId="54777"/>
    <cellStyle name="Total 2 4 7 2 2" xfId="54778"/>
    <cellStyle name="Total 2 4 7 2 3" xfId="54779"/>
    <cellStyle name="Total 2 4 7 3" xfId="54780"/>
    <cellStyle name="Total 2 4 7 3 2" xfId="54781"/>
    <cellStyle name="Total 2 4 7 3 3" xfId="54782"/>
    <cellStyle name="Total 2 4 7 4" xfId="54783"/>
    <cellStyle name="Total 2 4 7 5" xfId="54784"/>
    <cellStyle name="Total 2 4 8" xfId="54785"/>
    <cellStyle name="Total 2 4 8 2" xfId="54786"/>
    <cellStyle name="Total 2 4 8 2 2" xfId="54787"/>
    <cellStyle name="Total 2 4 8 2 3" xfId="54788"/>
    <cellStyle name="Total 2 4 8 3" xfId="54789"/>
    <cellStyle name="Total 2 4 8 3 2" xfId="54790"/>
    <cellStyle name="Total 2 4 8 3 3" xfId="54791"/>
    <cellStyle name="Total 2 4 8 4" xfId="54792"/>
    <cellStyle name="Total 2 4 8 5" xfId="54793"/>
    <cellStyle name="Total 2 4 9" xfId="54794"/>
    <cellStyle name="Total 2 4 9 2" xfId="54795"/>
    <cellStyle name="Total 2 4 9 2 2" xfId="54796"/>
    <cellStyle name="Total 2 4 9 2 3" xfId="54797"/>
    <cellStyle name="Total 2 4 9 3" xfId="54798"/>
    <cellStyle name="Total 2 4 9 3 2" xfId="54799"/>
    <cellStyle name="Total 2 4 9 3 3" xfId="54800"/>
    <cellStyle name="Total 2 4 9 4" xfId="54801"/>
    <cellStyle name="Total 2 4 9 5" xfId="54802"/>
    <cellStyle name="Total 2 5" xfId="54803"/>
    <cellStyle name="Total 2 5 10" xfId="54804"/>
    <cellStyle name="Total 2 5 10 2" xfId="54805"/>
    <cellStyle name="Total 2 5 10 2 2" xfId="54806"/>
    <cellStyle name="Total 2 5 10 2 3" xfId="54807"/>
    <cellStyle name="Total 2 5 10 3" xfId="54808"/>
    <cellStyle name="Total 2 5 10 3 2" xfId="54809"/>
    <cellStyle name="Total 2 5 10 3 3" xfId="54810"/>
    <cellStyle name="Total 2 5 10 4" xfId="54811"/>
    <cellStyle name="Total 2 5 10 5" xfId="54812"/>
    <cellStyle name="Total 2 5 11" xfId="54813"/>
    <cellStyle name="Total 2 5 11 2" xfId="54814"/>
    <cellStyle name="Total 2 5 11 2 2" xfId="54815"/>
    <cellStyle name="Total 2 5 11 2 3" xfId="54816"/>
    <cellStyle name="Total 2 5 11 3" xfId="54817"/>
    <cellStyle name="Total 2 5 11 3 2" xfId="54818"/>
    <cellStyle name="Total 2 5 11 3 3" xfId="54819"/>
    <cellStyle name="Total 2 5 11 4" xfId="54820"/>
    <cellStyle name="Total 2 5 11 5" xfId="54821"/>
    <cellStyle name="Total 2 5 12" xfId="54822"/>
    <cellStyle name="Total 2 5 12 2" xfId="54823"/>
    <cellStyle name="Total 2 5 12 2 2" xfId="54824"/>
    <cellStyle name="Total 2 5 12 2 3" xfId="54825"/>
    <cellStyle name="Total 2 5 12 3" xfId="54826"/>
    <cellStyle name="Total 2 5 12 3 2" xfId="54827"/>
    <cellStyle name="Total 2 5 12 3 3" xfId="54828"/>
    <cellStyle name="Total 2 5 12 4" xfId="54829"/>
    <cellStyle name="Total 2 5 12 5" xfId="54830"/>
    <cellStyle name="Total 2 5 13" xfId="54831"/>
    <cellStyle name="Total 2 5 13 2" xfId="54832"/>
    <cellStyle name="Total 2 5 13 2 2" xfId="54833"/>
    <cellStyle name="Total 2 5 13 2 3" xfId="54834"/>
    <cellStyle name="Total 2 5 13 3" xfId="54835"/>
    <cellStyle name="Total 2 5 13 3 2" xfId="54836"/>
    <cellStyle name="Total 2 5 13 3 3" xfId="54837"/>
    <cellStyle name="Total 2 5 13 4" xfId="54838"/>
    <cellStyle name="Total 2 5 13 5" xfId="54839"/>
    <cellStyle name="Total 2 5 14" xfId="54840"/>
    <cellStyle name="Total 2 5 14 2" xfId="54841"/>
    <cellStyle name="Total 2 5 14 2 2" xfId="54842"/>
    <cellStyle name="Total 2 5 14 2 3" xfId="54843"/>
    <cellStyle name="Total 2 5 14 3" xfId="54844"/>
    <cellStyle name="Total 2 5 14 3 2" xfId="54845"/>
    <cellStyle name="Total 2 5 14 3 3" xfId="54846"/>
    <cellStyle name="Total 2 5 14 4" xfId="54847"/>
    <cellStyle name="Total 2 5 14 5" xfId="54848"/>
    <cellStyle name="Total 2 5 15" xfId="54849"/>
    <cellStyle name="Total 2 5 15 2" xfId="54850"/>
    <cellStyle name="Total 2 5 15 2 2" xfId="54851"/>
    <cellStyle name="Total 2 5 15 2 3" xfId="54852"/>
    <cellStyle name="Total 2 5 15 3" xfId="54853"/>
    <cellStyle name="Total 2 5 15 3 2" xfId="54854"/>
    <cellStyle name="Total 2 5 15 3 3" xfId="54855"/>
    <cellStyle name="Total 2 5 15 4" xfId="54856"/>
    <cellStyle name="Total 2 5 15 5" xfId="54857"/>
    <cellStyle name="Total 2 5 16" xfId="54858"/>
    <cellStyle name="Total 2 5 16 2" xfId="54859"/>
    <cellStyle name="Total 2 5 16 2 2" xfId="54860"/>
    <cellStyle name="Total 2 5 16 2 3" xfId="54861"/>
    <cellStyle name="Total 2 5 16 3" xfId="54862"/>
    <cellStyle name="Total 2 5 16 3 2" xfId="54863"/>
    <cellStyle name="Total 2 5 16 3 3" xfId="54864"/>
    <cellStyle name="Total 2 5 16 4" xfId="54865"/>
    <cellStyle name="Total 2 5 16 5" xfId="54866"/>
    <cellStyle name="Total 2 5 17" xfId="54867"/>
    <cellStyle name="Total 2 5 17 2" xfId="54868"/>
    <cellStyle name="Total 2 5 17 2 2" xfId="54869"/>
    <cellStyle name="Total 2 5 17 2 3" xfId="54870"/>
    <cellStyle name="Total 2 5 17 3" xfId="54871"/>
    <cellStyle name="Total 2 5 17 3 2" xfId="54872"/>
    <cellStyle name="Total 2 5 17 3 3" xfId="54873"/>
    <cellStyle name="Total 2 5 17 4" xfId="54874"/>
    <cellStyle name="Total 2 5 17 5" xfId="54875"/>
    <cellStyle name="Total 2 5 18" xfId="54876"/>
    <cellStyle name="Total 2 5 18 2" xfId="54877"/>
    <cellStyle name="Total 2 5 18 2 2" xfId="54878"/>
    <cellStyle name="Total 2 5 18 2 3" xfId="54879"/>
    <cellStyle name="Total 2 5 18 3" xfId="54880"/>
    <cellStyle name="Total 2 5 18 3 2" xfId="54881"/>
    <cellStyle name="Total 2 5 18 3 3" xfId="54882"/>
    <cellStyle name="Total 2 5 18 4" xfId="54883"/>
    <cellStyle name="Total 2 5 18 5" xfId="54884"/>
    <cellStyle name="Total 2 5 19" xfId="54885"/>
    <cellStyle name="Total 2 5 19 2" xfId="54886"/>
    <cellStyle name="Total 2 5 19 2 2" xfId="54887"/>
    <cellStyle name="Total 2 5 19 2 3" xfId="54888"/>
    <cellStyle name="Total 2 5 19 3" xfId="54889"/>
    <cellStyle name="Total 2 5 19 3 2" xfId="54890"/>
    <cellStyle name="Total 2 5 19 3 3" xfId="54891"/>
    <cellStyle name="Total 2 5 19 4" xfId="54892"/>
    <cellStyle name="Total 2 5 19 5" xfId="54893"/>
    <cellStyle name="Total 2 5 2" xfId="54894"/>
    <cellStyle name="Total 2 5 2 10" xfId="54895"/>
    <cellStyle name="Total 2 5 2 10 2" xfId="54896"/>
    <cellStyle name="Total 2 5 2 10 2 2" xfId="54897"/>
    <cellStyle name="Total 2 5 2 10 2 3" xfId="54898"/>
    <cellStyle name="Total 2 5 2 10 3" xfId="54899"/>
    <cellStyle name="Total 2 5 2 10 3 2" xfId="54900"/>
    <cellStyle name="Total 2 5 2 10 3 3" xfId="54901"/>
    <cellStyle name="Total 2 5 2 10 4" xfId="54902"/>
    <cellStyle name="Total 2 5 2 10 5" xfId="54903"/>
    <cellStyle name="Total 2 5 2 11" xfId="54904"/>
    <cellStyle name="Total 2 5 2 11 2" xfId="54905"/>
    <cellStyle name="Total 2 5 2 11 2 2" xfId="54906"/>
    <cellStyle name="Total 2 5 2 11 2 3" xfId="54907"/>
    <cellStyle name="Total 2 5 2 11 3" xfId="54908"/>
    <cellStyle name="Total 2 5 2 11 3 2" xfId="54909"/>
    <cellStyle name="Total 2 5 2 11 3 3" xfId="54910"/>
    <cellStyle name="Total 2 5 2 11 4" xfId="54911"/>
    <cellStyle name="Total 2 5 2 11 5" xfId="54912"/>
    <cellStyle name="Total 2 5 2 12" xfId="54913"/>
    <cellStyle name="Total 2 5 2 12 2" xfId="54914"/>
    <cellStyle name="Total 2 5 2 12 2 2" xfId="54915"/>
    <cellStyle name="Total 2 5 2 12 2 3" xfId="54916"/>
    <cellStyle name="Total 2 5 2 12 3" xfId="54917"/>
    <cellStyle name="Total 2 5 2 12 3 2" xfId="54918"/>
    <cellStyle name="Total 2 5 2 12 3 3" xfId="54919"/>
    <cellStyle name="Total 2 5 2 12 4" xfId="54920"/>
    <cellStyle name="Total 2 5 2 12 5" xfId="54921"/>
    <cellStyle name="Total 2 5 2 13" xfId="54922"/>
    <cellStyle name="Total 2 5 2 13 2" xfId="54923"/>
    <cellStyle name="Total 2 5 2 13 2 2" xfId="54924"/>
    <cellStyle name="Total 2 5 2 13 2 3" xfId="54925"/>
    <cellStyle name="Total 2 5 2 13 3" xfId="54926"/>
    <cellStyle name="Total 2 5 2 13 3 2" xfId="54927"/>
    <cellStyle name="Total 2 5 2 13 3 3" xfId="54928"/>
    <cellStyle name="Total 2 5 2 13 4" xfId="54929"/>
    <cellStyle name="Total 2 5 2 13 5" xfId="54930"/>
    <cellStyle name="Total 2 5 2 14" xfId="54931"/>
    <cellStyle name="Total 2 5 2 14 2" xfId="54932"/>
    <cellStyle name="Total 2 5 2 14 2 2" xfId="54933"/>
    <cellStyle name="Total 2 5 2 14 2 3" xfId="54934"/>
    <cellStyle name="Total 2 5 2 14 3" xfId="54935"/>
    <cellStyle name="Total 2 5 2 14 3 2" xfId="54936"/>
    <cellStyle name="Total 2 5 2 14 3 3" xfId="54937"/>
    <cellStyle name="Total 2 5 2 14 4" xfId="54938"/>
    <cellStyle name="Total 2 5 2 14 5" xfId="54939"/>
    <cellStyle name="Total 2 5 2 15" xfId="54940"/>
    <cellStyle name="Total 2 5 2 15 2" xfId="54941"/>
    <cellStyle name="Total 2 5 2 15 2 2" xfId="54942"/>
    <cellStyle name="Total 2 5 2 15 2 3" xfId="54943"/>
    <cellStyle name="Total 2 5 2 15 3" xfId="54944"/>
    <cellStyle name="Total 2 5 2 15 3 2" xfId="54945"/>
    <cellStyle name="Total 2 5 2 15 3 3" xfId="54946"/>
    <cellStyle name="Total 2 5 2 15 4" xfId="54947"/>
    <cellStyle name="Total 2 5 2 15 5" xfId="54948"/>
    <cellStyle name="Total 2 5 2 16" xfId="54949"/>
    <cellStyle name="Total 2 5 2 16 2" xfId="54950"/>
    <cellStyle name="Total 2 5 2 16 2 2" xfId="54951"/>
    <cellStyle name="Total 2 5 2 16 2 3" xfId="54952"/>
    <cellStyle name="Total 2 5 2 16 3" xfId="54953"/>
    <cellStyle name="Total 2 5 2 16 3 2" xfId="54954"/>
    <cellStyle name="Total 2 5 2 16 3 3" xfId="54955"/>
    <cellStyle name="Total 2 5 2 16 4" xfId="54956"/>
    <cellStyle name="Total 2 5 2 16 5" xfId="54957"/>
    <cellStyle name="Total 2 5 2 17" xfId="54958"/>
    <cellStyle name="Total 2 5 2 17 2" xfId="54959"/>
    <cellStyle name="Total 2 5 2 17 2 2" xfId="54960"/>
    <cellStyle name="Total 2 5 2 17 2 3" xfId="54961"/>
    <cellStyle name="Total 2 5 2 17 3" xfId="54962"/>
    <cellStyle name="Total 2 5 2 17 3 2" xfId="54963"/>
    <cellStyle name="Total 2 5 2 17 3 3" xfId="54964"/>
    <cellStyle name="Total 2 5 2 17 4" xfId="54965"/>
    <cellStyle name="Total 2 5 2 17 5" xfId="54966"/>
    <cellStyle name="Total 2 5 2 18" xfId="54967"/>
    <cellStyle name="Total 2 5 2 18 2" xfId="54968"/>
    <cellStyle name="Total 2 5 2 18 2 2" xfId="54969"/>
    <cellStyle name="Total 2 5 2 18 2 3" xfId="54970"/>
    <cellStyle name="Total 2 5 2 18 3" xfId="54971"/>
    <cellStyle name="Total 2 5 2 18 3 2" xfId="54972"/>
    <cellStyle name="Total 2 5 2 18 3 3" xfId="54973"/>
    <cellStyle name="Total 2 5 2 18 4" xfId="54974"/>
    <cellStyle name="Total 2 5 2 18 5" xfId="54975"/>
    <cellStyle name="Total 2 5 2 19" xfId="54976"/>
    <cellStyle name="Total 2 5 2 19 2" xfId="54977"/>
    <cellStyle name="Total 2 5 2 19 2 2" xfId="54978"/>
    <cellStyle name="Total 2 5 2 19 2 3" xfId="54979"/>
    <cellStyle name="Total 2 5 2 19 3" xfId="54980"/>
    <cellStyle name="Total 2 5 2 19 3 2" xfId="54981"/>
    <cellStyle name="Total 2 5 2 19 3 3" xfId="54982"/>
    <cellStyle name="Total 2 5 2 19 4" xfId="54983"/>
    <cellStyle name="Total 2 5 2 19 5" xfId="54984"/>
    <cellStyle name="Total 2 5 2 2" xfId="54985"/>
    <cellStyle name="Total 2 5 2 2 2" xfId="54986"/>
    <cellStyle name="Total 2 5 2 2 2 2" xfId="54987"/>
    <cellStyle name="Total 2 5 2 2 2 3" xfId="54988"/>
    <cellStyle name="Total 2 5 2 2 3" xfId="54989"/>
    <cellStyle name="Total 2 5 2 2 3 2" xfId="54990"/>
    <cellStyle name="Total 2 5 2 2 3 3" xfId="54991"/>
    <cellStyle name="Total 2 5 2 2 4" xfId="54992"/>
    <cellStyle name="Total 2 5 2 2 5" xfId="54993"/>
    <cellStyle name="Total 2 5 2 20" xfId="54994"/>
    <cellStyle name="Total 2 5 2 20 2" xfId="54995"/>
    <cellStyle name="Total 2 5 2 20 2 2" xfId="54996"/>
    <cellStyle name="Total 2 5 2 20 2 3" xfId="54997"/>
    <cellStyle name="Total 2 5 2 20 3" xfId="54998"/>
    <cellStyle name="Total 2 5 2 20 3 2" xfId="54999"/>
    <cellStyle name="Total 2 5 2 20 3 3" xfId="55000"/>
    <cellStyle name="Total 2 5 2 20 4" xfId="55001"/>
    <cellStyle name="Total 2 5 2 20 5" xfId="55002"/>
    <cellStyle name="Total 2 5 2 21" xfId="55003"/>
    <cellStyle name="Total 2 5 2 21 2" xfId="55004"/>
    <cellStyle name="Total 2 5 2 21 2 2" xfId="55005"/>
    <cellStyle name="Total 2 5 2 21 2 3" xfId="55006"/>
    <cellStyle name="Total 2 5 2 21 3" xfId="55007"/>
    <cellStyle name="Total 2 5 2 21 3 2" xfId="55008"/>
    <cellStyle name="Total 2 5 2 21 3 3" xfId="55009"/>
    <cellStyle name="Total 2 5 2 21 4" xfId="55010"/>
    <cellStyle name="Total 2 5 2 21 5" xfId="55011"/>
    <cellStyle name="Total 2 5 2 22" xfId="55012"/>
    <cellStyle name="Total 2 5 2 22 2" xfId="55013"/>
    <cellStyle name="Total 2 5 2 22 2 2" xfId="55014"/>
    <cellStyle name="Total 2 5 2 22 2 3" xfId="55015"/>
    <cellStyle name="Total 2 5 2 22 3" xfId="55016"/>
    <cellStyle name="Total 2 5 2 22 3 2" xfId="55017"/>
    <cellStyle name="Total 2 5 2 22 3 3" xfId="55018"/>
    <cellStyle name="Total 2 5 2 22 4" xfId="55019"/>
    <cellStyle name="Total 2 5 2 22 5" xfId="55020"/>
    <cellStyle name="Total 2 5 2 23" xfId="55021"/>
    <cellStyle name="Total 2 5 2 23 2" xfId="55022"/>
    <cellStyle name="Total 2 5 2 23 2 2" xfId="55023"/>
    <cellStyle name="Total 2 5 2 23 2 3" xfId="55024"/>
    <cellStyle name="Total 2 5 2 23 3" xfId="55025"/>
    <cellStyle name="Total 2 5 2 23 3 2" xfId="55026"/>
    <cellStyle name="Total 2 5 2 23 3 3" xfId="55027"/>
    <cellStyle name="Total 2 5 2 23 4" xfId="55028"/>
    <cellStyle name="Total 2 5 2 23 5" xfId="55029"/>
    <cellStyle name="Total 2 5 2 24" xfId="55030"/>
    <cellStyle name="Total 2 5 2 24 2" xfId="55031"/>
    <cellStyle name="Total 2 5 2 24 2 2" xfId="55032"/>
    <cellStyle name="Total 2 5 2 24 2 3" xfId="55033"/>
    <cellStyle name="Total 2 5 2 24 3" xfId="55034"/>
    <cellStyle name="Total 2 5 2 24 3 2" xfId="55035"/>
    <cellStyle name="Total 2 5 2 24 3 3" xfId="55036"/>
    <cellStyle name="Total 2 5 2 24 4" xfId="55037"/>
    <cellStyle name="Total 2 5 2 24 5" xfId="55038"/>
    <cellStyle name="Total 2 5 2 25" xfId="55039"/>
    <cellStyle name="Total 2 5 2 25 2" xfId="55040"/>
    <cellStyle name="Total 2 5 2 25 2 2" xfId="55041"/>
    <cellStyle name="Total 2 5 2 25 2 3" xfId="55042"/>
    <cellStyle name="Total 2 5 2 25 3" xfId="55043"/>
    <cellStyle name="Total 2 5 2 25 3 2" xfId="55044"/>
    <cellStyle name="Total 2 5 2 25 3 3" xfId="55045"/>
    <cellStyle name="Total 2 5 2 25 4" xfId="55046"/>
    <cellStyle name="Total 2 5 2 25 5" xfId="55047"/>
    <cellStyle name="Total 2 5 2 26" xfId="55048"/>
    <cellStyle name="Total 2 5 2 26 2" xfId="55049"/>
    <cellStyle name="Total 2 5 2 26 2 2" xfId="55050"/>
    <cellStyle name="Total 2 5 2 26 2 3" xfId="55051"/>
    <cellStyle name="Total 2 5 2 26 3" xfId="55052"/>
    <cellStyle name="Total 2 5 2 26 3 2" xfId="55053"/>
    <cellStyle name="Total 2 5 2 26 3 3" xfId="55054"/>
    <cellStyle name="Total 2 5 2 26 4" xfId="55055"/>
    <cellStyle name="Total 2 5 2 26 5" xfId="55056"/>
    <cellStyle name="Total 2 5 2 27" xfId="55057"/>
    <cellStyle name="Total 2 5 2 27 2" xfId="55058"/>
    <cellStyle name="Total 2 5 2 27 2 2" xfId="55059"/>
    <cellStyle name="Total 2 5 2 27 2 3" xfId="55060"/>
    <cellStyle name="Total 2 5 2 27 3" xfId="55061"/>
    <cellStyle name="Total 2 5 2 27 3 2" xfId="55062"/>
    <cellStyle name="Total 2 5 2 27 3 3" xfId="55063"/>
    <cellStyle name="Total 2 5 2 27 4" xfId="55064"/>
    <cellStyle name="Total 2 5 2 27 5" xfId="55065"/>
    <cellStyle name="Total 2 5 2 28" xfId="55066"/>
    <cellStyle name="Total 2 5 2 28 2" xfId="55067"/>
    <cellStyle name="Total 2 5 2 28 2 2" xfId="55068"/>
    <cellStyle name="Total 2 5 2 28 2 3" xfId="55069"/>
    <cellStyle name="Total 2 5 2 28 3" xfId="55070"/>
    <cellStyle name="Total 2 5 2 28 3 2" xfId="55071"/>
    <cellStyle name="Total 2 5 2 28 3 3" xfId="55072"/>
    <cellStyle name="Total 2 5 2 28 4" xfId="55073"/>
    <cellStyle name="Total 2 5 2 28 5" xfId="55074"/>
    <cellStyle name="Total 2 5 2 29" xfId="55075"/>
    <cellStyle name="Total 2 5 2 29 2" xfId="55076"/>
    <cellStyle name="Total 2 5 2 29 2 2" xfId="55077"/>
    <cellStyle name="Total 2 5 2 29 2 3" xfId="55078"/>
    <cellStyle name="Total 2 5 2 29 3" xfId="55079"/>
    <cellStyle name="Total 2 5 2 29 3 2" xfId="55080"/>
    <cellStyle name="Total 2 5 2 29 3 3" xfId="55081"/>
    <cellStyle name="Total 2 5 2 29 4" xfId="55082"/>
    <cellStyle name="Total 2 5 2 29 5" xfId="55083"/>
    <cellStyle name="Total 2 5 2 3" xfId="55084"/>
    <cellStyle name="Total 2 5 2 3 2" xfId="55085"/>
    <cellStyle name="Total 2 5 2 3 2 2" xfId="55086"/>
    <cellStyle name="Total 2 5 2 3 2 3" xfId="55087"/>
    <cellStyle name="Total 2 5 2 3 3" xfId="55088"/>
    <cellStyle name="Total 2 5 2 3 3 2" xfId="55089"/>
    <cellStyle name="Total 2 5 2 3 3 3" xfId="55090"/>
    <cellStyle name="Total 2 5 2 3 4" xfId="55091"/>
    <cellStyle name="Total 2 5 2 3 5" xfId="55092"/>
    <cellStyle name="Total 2 5 2 30" xfId="55093"/>
    <cellStyle name="Total 2 5 2 30 2" xfId="55094"/>
    <cellStyle name="Total 2 5 2 30 2 2" xfId="55095"/>
    <cellStyle name="Total 2 5 2 30 2 3" xfId="55096"/>
    <cellStyle name="Total 2 5 2 30 3" xfId="55097"/>
    <cellStyle name="Total 2 5 2 30 3 2" xfId="55098"/>
    <cellStyle name="Total 2 5 2 30 3 3" xfId="55099"/>
    <cellStyle name="Total 2 5 2 30 4" xfId="55100"/>
    <cellStyle name="Total 2 5 2 30 5" xfId="55101"/>
    <cellStyle name="Total 2 5 2 31" xfId="55102"/>
    <cellStyle name="Total 2 5 2 31 2" xfId="55103"/>
    <cellStyle name="Total 2 5 2 31 2 2" xfId="55104"/>
    <cellStyle name="Total 2 5 2 31 2 3" xfId="55105"/>
    <cellStyle name="Total 2 5 2 31 3" xfId="55106"/>
    <cellStyle name="Total 2 5 2 31 3 2" xfId="55107"/>
    <cellStyle name="Total 2 5 2 31 3 3" xfId="55108"/>
    <cellStyle name="Total 2 5 2 31 4" xfId="55109"/>
    <cellStyle name="Total 2 5 2 31 5" xfId="55110"/>
    <cellStyle name="Total 2 5 2 32" xfId="55111"/>
    <cellStyle name="Total 2 5 2 32 2" xfId="55112"/>
    <cellStyle name="Total 2 5 2 32 2 2" xfId="55113"/>
    <cellStyle name="Total 2 5 2 32 2 3" xfId="55114"/>
    <cellStyle name="Total 2 5 2 32 3" xfId="55115"/>
    <cellStyle name="Total 2 5 2 32 3 2" xfId="55116"/>
    <cellStyle name="Total 2 5 2 32 3 3" xfId="55117"/>
    <cellStyle name="Total 2 5 2 32 4" xfId="55118"/>
    <cellStyle name="Total 2 5 2 32 5" xfId="55119"/>
    <cellStyle name="Total 2 5 2 33" xfId="55120"/>
    <cellStyle name="Total 2 5 2 33 2" xfId="55121"/>
    <cellStyle name="Total 2 5 2 33 2 2" xfId="55122"/>
    <cellStyle name="Total 2 5 2 33 2 3" xfId="55123"/>
    <cellStyle name="Total 2 5 2 33 3" xfId="55124"/>
    <cellStyle name="Total 2 5 2 33 3 2" xfId="55125"/>
    <cellStyle name="Total 2 5 2 33 3 3" xfId="55126"/>
    <cellStyle name="Total 2 5 2 33 4" xfId="55127"/>
    <cellStyle name="Total 2 5 2 33 5" xfId="55128"/>
    <cellStyle name="Total 2 5 2 34" xfId="55129"/>
    <cellStyle name="Total 2 5 2 34 2" xfId="55130"/>
    <cellStyle name="Total 2 5 2 34 2 2" xfId="55131"/>
    <cellStyle name="Total 2 5 2 34 2 3" xfId="55132"/>
    <cellStyle name="Total 2 5 2 34 3" xfId="55133"/>
    <cellStyle name="Total 2 5 2 34 3 2" xfId="55134"/>
    <cellStyle name="Total 2 5 2 34 3 3" xfId="55135"/>
    <cellStyle name="Total 2 5 2 34 4" xfId="55136"/>
    <cellStyle name="Total 2 5 2 34 5" xfId="55137"/>
    <cellStyle name="Total 2 5 2 35" xfId="55138"/>
    <cellStyle name="Total 2 5 2 35 2" xfId="55139"/>
    <cellStyle name="Total 2 5 2 35 2 2" xfId="55140"/>
    <cellStyle name="Total 2 5 2 35 2 3" xfId="55141"/>
    <cellStyle name="Total 2 5 2 35 3" xfId="55142"/>
    <cellStyle name="Total 2 5 2 35 3 2" xfId="55143"/>
    <cellStyle name="Total 2 5 2 35 3 3" xfId="55144"/>
    <cellStyle name="Total 2 5 2 35 4" xfId="55145"/>
    <cellStyle name="Total 2 5 2 35 5" xfId="55146"/>
    <cellStyle name="Total 2 5 2 36" xfId="55147"/>
    <cellStyle name="Total 2 5 2 36 2" xfId="55148"/>
    <cellStyle name="Total 2 5 2 36 2 2" xfId="55149"/>
    <cellStyle name="Total 2 5 2 36 2 3" xfId="55150"/>
    <cellStyle name="Total 2 5 2 36 3" xfId="55151"/>
    <cellStyle name="Total 2 5 2 36 3 2" xfId="55152"/>
    <cellStyle name="Total 2 5 2 36 3 3" xfId="55153"/>
    <cellStyle name="Total 2 5 2 36 4" xfId="55154"/>
    <cellStyle name="Total 2 5 2 36 5" xfId="55155"/>
    <cellStyle name="Total 2 5 2 37" xfId="55156"/>
    <cellStyle name="Total 2 5 2 37 2" xfId="55157"/>
    <cellStyle name="Total 2 5 2 37 2 2" xfId="55158"/>
    <cellStyle name="Total 2 5 2 37 2 3" xfId="55159"/>
    <cellStyle name="Total 2 5 2 37 3" xfId="55160"/>
    <cellStyle name="Total 2 5 2 37 3 2" xfId="55161"/>
    <cellStyle name="Total 2 5 2 37 3 3" xfId="55162"/>
    <cellStyle name="Total 2 5 2 37 4" xfId="55163"/>
    <cellStyle name="Total 2 5 2 37 5" xfId="55164"/>
    <cellStyle name="Total 2 5 2 38" xfId="55165"/>
    <cellStyle name="Total 2 5 2 38 2" xfId="55166"/>
    <cellStyle name="Total 2 5 2 38 2 2" xfId="55167"/>
    <cellStyle name="Total 2 5 2 38 2 3" xfId="55168"/>
    <cellStyle name="Total 2 5 2 38 3" xfId="55169"/>
    <cellStyle name="Total 2 5 2 38 3 2" xfId="55170"/>
    <cellStyle name="Total 2 5 2 38 3 3" xfId="55171"/>
    <cellStyle name="Total 2 5 2 38 4" xfId="55172"/>
    <cellStyle name="Total 2 5 2 38 5" xfId="55173"/>
    <cellStyle name="Total 2 5 2 39" xfId="55174"/>
    <cellStyle name="Total 2 5 2 39 2" xfId="55175"/>
    <cellStyle name="Total 2 5 2 39 2 2" xfId="55176"/>
    <cellStyle name="Total 2 5 2 39 2 3" xfId="55177"/>
    <cellStyle name="Total 2 5 2 39 3" xfId="55178"/>
    <cellStyle name="Total 2 5 2 39 4" xfId="55179"/>
    <cellStyle name="Total 2 5 2 4" xfId="55180"/>
    <cellStyle name="Total 2 5 2 4 2" xfId="55181"/>
    <cellStyle name="Total 2 5 2 4 2 2" xfId="55182"/>
    <cellStyle name="Total 2 5 2 4 2 3" xfId="55183"/>
    <cellStyle name="Total 2 5 2 4 3" xfId="55184"/>
    <cellStyle name="Total 2 5 2 4 3 2" xfId="55185"/>
    <cellStyle name="Total 2 5 2 4 3 3" xfId="55186"/>
    <cellStyle name="Total 2 5 2 4 4" xfId="55187"/>
    <cellStyle name="Total 2 5 2 4 5" xfId="55188"/>
    <cellStyle name="Total 2 5 2 40" xfId="55189"/>
    <cellStyle name="Total 2 5 2 40 2" xfId="55190"/>
    <cellStyle name="Total 2 5 2 40 3" xfId="55191"/>
    <cellStyle name="Total 2 5 2 41" xfId="55192"/>
    <cellStyle name="Total 2 5 2 41 2" xfId="55193"/>
    <cellStyle name="Total 2 5 2 41 3" xfId="55194"/>
    <cellStyle name="Total 2 5 2 42" xfId="55195"/>
    <cellStyle name="Total 2 5 2 42 2" xfId="55196"/>
    <cellStyle name="Total 2 5 2 42 3" xfId="55197"/>
    <cellStyle name="Total 2 5 2 43" xfId="55198"/>
    <cellStyle name="Total 2 5 2 44" xfId="55199"/>
    <cellStyle name="Total 2 5 2 5" xfId="55200"/>
    <cellStyle name="Total 2 5 2 5 2" xfId="55201"/>
    <cellStyle name="Total 2 5 2 5 2 2" xfId="55202"/>
    <cellStyle name="Total 2 5 2 5 2 3" xfId="55203"/>
    <cellStyle name="Total 2 5 2 5 3" xfId="55204"/>
    <cellStyle name="Total 2 5 2 5 3 2" xfId="55205"/>
    <cellStyle name="Total 2 5 2 5 3 3" xfId="55206"/>
    <cellStyle name="Total 2 5 2 5 4" xfId="55207"/>
    <cellStyle name="Total 2 5 2 5 5" xfId="55208"/>
    <cellStyle name="Total 2 5 2 6" xfId="55209"/>
    <cellStyle name="Total 2 5 2 6 2" xfId="55210"/>
    <cellStyle name="Total 2 5 2 6 2 2" xfId="55211"/>
    <cellStyle name="Total 2 5 2 6 2 3" xfId="55212"/>
    <cellStyle name="Total 2 5 2 6 3" xfId="55213"/>
    <cellStyle name="Total 2 5 2 6 3 2" xfId="55214"/>
    <cellStyle name="Total 2 5 2 6 3 3" xfId="55215"/>
    <cellStyle name="Total 2 5 2 6 4" xfId="55216"/>
    <cellStyle name="Total 2 5 2 6 5" xfId="55217"/>
    <cellStyle name="Total 2 5 2 7" xfId="55218"/>
    <cellStyle name="Total 2 5 2 7 2" xfId="55219"/>
    <cellStyle name="Total 2 5 2 7 2 2" xfId="55220"/>
    <cellStyle name="Total 2 5 2 7 2 3" xfId="55221"/>
    <cellStyle name="Total 2 5 2 7 3" xfId="55222"/>
    <cellStyle name="Total 2 5 2 7 3 2" xfId="55223"/>
    <cellStyle name="Total 2 5 2 7 3 3" xfId="55224"/>
    <cellStyle name="Total 2 5 2 7 4" xfId="55225"/>
    <cellStyle name="Total 2 5 2 7 5" xfId="55226"/>
    <cellStyle name="Total 2 5 2 8" xfId="55227"/>
    <cellStyle name="Total 2 5 2 8 2" xfId="55228"/>
    <cellStyle name="Total 2 5 2 8 2 2" xfId="55229"/>
    <cellStyle name="Total 2 5 2 8 2 3" xfId="55230"/>
    <cellStyle name="Total 2 5 2 8 3" xfId="55231"/>
    <cellStyle name="Total 2 5 2 8 3 2" xfId="55232"/>
    <cellStyle name="Total 2 5 2 8 3 3" xfId="55233"/>
    <cellStyle name="Total 2 5 2 8 4" xfId="55234"/>
    <cellStyle name="Total 2 5 2 8 5" xfId="55235"/>
    <cellStyle name="Total 2 5 2 9" xfId="55236"/>
    <cellStyle name="Total 2 5 2 9 2" xfId="55237"/>
    <cellStyle name="Total 2 5 2 9 2 2" xfId="55238"/>
    <cellStyle name="Total 2 5 2 9 2 3" xfId="55239"/>
    <cellStyle name="Total 2 5 2 9 3" xfId="55240"/>
    <cellStyle name="Total 2 5 2 9 3 2" xfId="55241"/>
    <cellStyle name="Total 2 5 2 9 3 3" xfId="55242"/>
    <cellStyle name="Total 2 5 2 9 4" xfId="55243"/>
    <cellStyle name="Total 2 5 2 9 5" xfId="55244"/>
    <cellStyle name="Total 2 5 20" xfId="55245"/>
    <cellStyle name="Total 2 5 20 2" xfId="55246"/>
    <cellStyle name="Total 2 5 20 2 2" xfId="55247"/>
    <cellStyle name="Total 2 5 20 2 3" xfId="55248"/>
    <cellStyle name="Total 2 5 20 3" xfId="55249"/>
    <cellStyle name="Total 2 5 20 3 2" xfId="55250"/>
    <cellStyle name="Total 2 5 20 3 3" xfId="55251"/>
    <cellStyle name="Total 2 5 20 4" xfId="55252"/>
    <cellStyle name="Total 2 5 20 5" xfId="55253"/>
    <cellStyle name="Total 2 5 21" xfId="55254"/>
    <cellStyle name="Total 2 5 21 2" xfId="55255"/>
    <cellStyle name="Total 2 5 21 2 2" xfId="55256"/>
    <cellStyle name="Total 2 5 21 2 3" xfId="55257"/>
    <cellStyle name="Total 2 5 21 3" xfId="55258"/>
    <cellStyle name="Total 2 5 21 3 2" xfId="55259"/>
    <cellStyle name="Total 2 5 21 3 3" xfId="55260"/>
    <cellStyle name="Total 2 5 21 4" xfId="55261"/>
    <cellStyle name="Total 2 5 21 5" xfId="55262"/>
    <cellStyle name="Total 2 5 22" xfId="55263"/>
    <cellStyle name="Total 2 5 22 2" xfId="55264"/>
    <cellStyle name="Total 2 5 22 2 2" xfId="55265"/>
    <cellStyle name="Total 2 5 22 2 3" xfId="55266"/>
    <cellStyle name="Total 2 5 22 3" xfId="55267"/>
    <cellStyle name="Total 2 5 22 3 2" xfId="55268"/>
    <cellStyle name="Total 2 5 22 3 3" xfId="55269"/>
    <cellStyle name="Total 2 5 22 4" xfId="55270"/>
    <cellStyle name="Total 2 5 22 5" xfId="55271"/>
    <cellStyle name="Total 2 5 23" xfId="55272"/>
    <cellStyle name="Total 2 5 23 2" xfId="55273"/>
    <cellStyle name="Total 2 5 23 2 2" xfId="55274"/>
    <cellStyle name="Total 2 5 23 2 3" xfId="55275"/>
    <cellStyle name="Total 2 5 23 3" xfId="55276"/>
    <cellStyle name="Total 2 5 23 3 2" xfId="55277"/>
    <cellStyle name="Total 2 5 23 3 3" xfId="55278"/>
    <cellStyle name="Total 2 5 23 4" xfId="55279"/>
    <cellStyle name="Total 2 5 23 5" xfId="55280"/>
    <cellStyle name="Total 2 5 24" xfId="55281"/>
    <cellStyle name="Total 2 5 24 2" xfId="55282"/>
    <cellStyle name="Total 2 5 24 2 2" xfId="55283"/>
    <cellStyle name="Total 2 5 24 2 3" xfId="55284"/>
    <cellStyle name="Total 2 5 24 3" xfId="55285"/>
    <cellStyle name="Total 2 5 24 3 2" xfId="55286"/>
    <cellStyle name="Total 2 5 24 3 3" xfId="55287"/>
    <cellStyle name="Total 2 5 24 4" xfId="55288"/>
    <cellStyle name="Total 2 5 24 5" xfId="55289"/>
    <cellStyle name="Total 2 5 25" xfId="55290"/>
    <cellStyle name="Total 2 5 25 2" xfId="55291"/>
    <cellStyle name="Total 2 5 25 2 2" xfId="55292"/>
    <cellStyle name="Total 2 5 25 2 3" xfId="55293"/>
    <cellStyle name="Total 2 5 25 3" xfId="55294"/>
    <cellStyle name="Total 2 5 25 3 2" xfId="55295"/>
    <cellStyle name="Total 2 5 25 3 3" xfId="55296"/>
    <cellStyle name="Total 2 5 25 4" xfId="55297"/>
    <cellStyle name="Total 2 5 25 5" xfId="55298"/>
    <cellStyle name="Total 2 5 26" xfId="55299"/>
    <cellStyle name="Total 2 5 26 2" xfId="55300"/>
    <cellStyle name="Total 2 5 26 2 2" xfId="55301"/>
    <cellStyle name="Total 2 5 26 2 3" xfId="55302"/>
    <cellStyle name="Total 2 5 26 3" xfId="55303"/>
    <cellStyle name="Total 2 5 26 3 2" xfId="55304"/>
    <cellStyle name="Total 2 5 26 3 3" xfId="55305"/>
    <cellStyle name="Total 2 5 26 4" xfId="55306"/>
    <cellStyle name="Total 2 5 26 5" xfId="55307"/>
    <cellStyle name="Total 2 5 27" xfId="55308"/>
    <cellStyle name="Total 2 5 27 2" xfId="55309"/>
    <cellStyle name="Total 2 5 27 2 2" xfId="55310"/>
    <cellStyle name="Total 2 5 27 2 3" xfId="55311"/>
    <cellStyle name="Total 2 5 27 3" xfId="55312"/>
    <cellStyle name="Total 2 5 27 3 2" xfId="55313"/>
    <cellStyle name="Total 2 5 27 3 3" xfId="55314"/>
    <cellStyle name="Total 2 5 27 4" xfId="55315"/>
    <cellStyle name="Total 2 5 27 5" xfId="55316"/>
    <cellStyle name="Total 2 5 28" xfId="55317"/>
    <cellStyle name="Total 2 5 28 2" xfId="55318"/>
    <cellStyle name="Total 2 5 28 2 2" xfId="55319"/>
    <cellStyle name="Total 2 5 28 2 3" xfId="55320"/>
    <cellStyle name="Total 2 5 28 3" xfId="55321"/>
    <cellStyle name="Total 2 5 28 3 2" xfId="55322"/>
    <cellStyle name="Total 2 5 28 3 3" xfId="55323"/>
    <cellStyle name="Total 2 5 28 4" xfId="55324"/>
    <cellStyle name="Total 2 5 28 5" xfId="55325"/>
    <cellStyle name="Total 2 5 29" xfId="55326"/>
    <cellStyle name="Total 2 5 29 2" xfId="55327"/>
    <cellStyle name="Total 2 5 29 2 2" xfId="55328"/>
    <cellStyle name="Total 2 5 29 2 3" xfId="55329"/>
    <cellStyle name="Total 2 5 29 3" xfId="55330"/>
    <cellStyle name="Total 2 5 29 3 2" xfId="55331"/>
    <cellStyle name="Total 2 5 29 3 3" xfId="55332"/>
    <cellStyle name="Total 2 5 29 4" xfId="55333"/>
    <cellStyle name="Total 2 5 29 5" xfId="55334"/>
    <cellStyle name="Total 2 5 3" xfId="55335"/>
    <cellStyle name="Total 2 5 3 10" xfId="55336"/>
    <cellStyle name="Total 2 5 3 10 2" xfId="55337"/>
    <cellStyle name="Total 2 5 3 10 2 2" xfId="55338"/>
    <cellStyle name="Total 2 5 3 10 2 3" xfId="55339"/>
    <cellStyle name="Total 2 5 3 10 3" xfId="55340"/>
    <cellStyle name="Total 2 5 3 10 3 2" xfId="55341"/>
    <cellStyle name="Total 2 5 3 10 3 3" xfId="55342"/>
    <cellStyle name="Total 2 5 3 10 4" xfId="55343"/>
    <cellStyle name="Total 2 5 3 10 5" xfId="55344"/>
    <cellStyle name="Total 2 5 3 11" xfId="55345"/>
    <cellStyle name="Total 2 5 3 11 2" xfId="55346"/>
    <cellStyle name="Total 2 5 3 11 2 2" xfId="55347"/>
    <cellStyle name="Total 2 5 3 11 2 3" xfId="55348"/>
    <cellStyle name="Total 2 5 3 11 3" xfId="55349"/>
    <cellStyle name="Total 2 5 3 11 3 2" xfId="55350"/>
    <cellStyle name="Total 2 5 3 11 3 3" xfId="55351"/>
    <cellStyle name="Total 2 5 3 11 4" xfId="55352"/>
    <cellStyle name="Total 2 5 3 11 5" xfId="55353"/>
    <cellStyle name="Total 2 5 3 12" xfId="55354"/>
    <cellStyle name="Total 2 5 3 12 2" xfId="55355"/>
    <cellStyle name="Total 2 5 3 12 2 2" xfId="55356"/>
    <cellStyle name="Total 2 5 3 12 2 3" xfId="55357"/>
    <cellStyle name="Total 2 5 3 12 3" xfId="55358"/>
    <cellStyle name="Total 2 5 3 12 3 2" xfId="55359"/>
    <cellStyle name="Total 2 5 3 12 3 3" xfId="55360"/>
    <cellStyle name="Total 2 5 3 12 4" xfId="55361"/>
    <cellStyle name="Total 2 5 3 12 5" xfId="55362"/>
    <cellStyle name="Total 2 5 3 13" xfId="55363"/>
    <cellStyle name="Total 2 5 3 13 2" xfId="55364"/>
    <cellStyle name="Total 2 5 3 13 2 2" xfId="55365"/>
    <cellStyle name="Total 2 5 3 13 2 3" xfId="55366"/>
    <cellStyle name="Total 2 5 3 13 3" xfId="55367"/>
    <cellStyle name="Total 2 5 3 13 3 2" xfId="55368"/>
    <cellStyle name="Total 2 5 3 13 3 3" xfId="55369"/>
    <cellStyle name="Total 2 5 3 13 4" xfId="55370"/>
    <cellStyle name="Total 2 5 3 13 5" xfId="55371"/>
    <cellStyle name="Total 2 5 3 14" xfId="55372"/>
    <cellStyle name="Total 2 5 3 14 2" xfId="55373"/>
    <cellStyle name="Total 2 5 3 14 2 2" xfId="55374"/>
    <cellStyle name="Total 2 5 3 14 2 3" xfId="55375"/>
    <cellStyle name="Total 2 5 3 14 3" xfId="55376"/>
    <cellStyle name="Total 2 5 3 14 3 2" xfId="55377"/>
    <cellStyle name="Total 2 5 3 14 3 3" xfId="55378"/>
    <cellStyle name="Total 2 5 3 14 4" xfId="55379"/>
    <cellStyle name="Total 2 5 3 14 5" xfId="55380"/>
    <cellStyle name="Total 2 5 3 15" xfId="55381"/>
    <cellStyle name="Total 2 5 3 15 2" xfId="55382"/>
    <cellStyle name="Total 2 5 3 15 2 2" xfId="55383"/>
    <cellStyle name="Total 2 5 3 15 2 3" xfId="55384"/>
    <cellStyle name="Total 2 5 3 15 3" xfId="55385"/>
    <cellStyle name="Total 2 5 3 15 3 2" xfId="55386"/>
    <cellStyle name="Total 2 5 3 15 3 3" xfId="55387"/>
    <cellStyle name="Total 2 5 3 15 4" xfId="55388"/>
    <cellStyle name="Total 2 5 3 15 5" xfId="55389"/>
    <cellStyle name="Total 2 5 3 16" xfId="55390"/>
    <cellStyle name="Total 2 5 3 16 2" xfId="55391"/>
    <cellStyle name="Total 2 5 3 16 2 2" xfId="55392"/>
    <cellStyle name="Total 2 5 3 16 2 3" xfId="55393"/>
    <cellStyle name="Total 2 5 3 16 3" xfId="55394"/>
    <cellStyle name="Total 2 5 3 16 3 2" xfId="55395"/>
    <cellStyle name="Total 2 5 3 16 3 3" xfId="55396"/>
    <cellStyle name="Total 2 5 3 16 4" xfId="55397"/>
    <cellStyle name="Total 2 5 3 16 5" xfId="55398"/>
    <cellStyle name="Total 2 5 3 17" xfId="55399"/>
    <cellStyle name="Total 2 5 3 17 2" xfId="55400"/>
    <cellStyle name="Total 2 5 3 17 2 2" xfId="55401"/>
    <cellStyle name="Total 2 5 3 17 2 3" xfId="55402"/>
    <cellStyle name="Total 2 5 3 17 3" xfId="55403"/>
    <cellStyle name="Total 2 5 3 17 3 2" xfId="55404"/>
    <cellStyle name="Total 2 5 3 17 3 3" xfId="55405"/>
    <cellStyle name="Total 2 5 3 17 4" xfId="55406"/>
    <cellStyle name="Total 2 5 3 17 5" xfId="55407"/>
    <cellStyle name="Total 2 5 3 18" xfId="55408"/>
    <cellStyle name="Total 2 5 3 18 2" xfId="55409"/>
    <cellStyle name="Total 2 5 3 18 2 2" xfId="55410"/>
    <cellStyle name="Total 2 5 3 18 2 3" xfId="55411"/>
    <cellStyle name="Total 2 5 3 18 3" xfId="55412"/>
    <cellStyle name="Total 2 5 3 18 3 2" xfId="55413"/>
    <cellStyle name="Total 2 5 3 18 3 3" xfId="55414"/>
    <cellStyle name="Total 2 5 3 18 4" xfId="55415"/>
    <cellStyle name="Total 2 5 3 18 5" xfId="55416"/>
    <cellStyle name="Total 2 5 3 19" xfId="55417"/>
    <cellStyle name="Total 2 5 3 19 2" xfId="55418"/>
    <cellStyle name="Total 2 5 3 19 2 2" xfId="55419"/>
    <cellStyle name="Total 2 5 3 19 2 3" xfId="55420"/>
    <cellStyle name="Total 2 5 3 19 3" xfId="55421"/>
    <cellStyle name="Total 2 5 3 19 3 2" xfId="55422"/>
    <cellStyle name="Total 2 5 3 19 3 3" xfId="55423"/>
    <cellStyle name="Total 2 5 3 19 4" xfId="55424"/>
    <cellStyle name="Total 2 5 3 19 5" xfId="55425"/>
    <cellStyle name="Total 2 5 3 2" xfId="55426"/>
    <cellStyle name="Total 2 5 3 2 2" xfId="55427"/>
    <cellStyle name="Total 2 5 3 2 2 2" xfId="55428"/>
    <cellStyle name="Total 2 5 3 2 2 3" xfId="55429"/>
    <cellStyle name="Total 2 5 3 2 3" xfId="55430"/>
    <cellStyle name="Total 2 5 3 2 3 2" xfId="55431"/>
    <cellStyle name="Total 2 5 3 2 3 3" xfId="55432"/>
    <cellStyle name="Total 2 5 3 2 4" xfId="55433"/>
    <cellStyle name="Total 2 5 3 2 5" xfId="55434"/>
    <cellStyle name="Total 2 5 3 20" xfId="55435"/>
    <cellStyle name="Total 2 5 3 20 2" xfId="55436"/>
    <cellStyle name="Total 2 5 3 20 2 2" xfId="55437"/>
    <cellStyle name="Total 2 5 3 20 2 3" xfId="55438"/>
    <cellStyle name="Total 2 5 3 20 3" xfId="55439"/>
    <cellStyle name="Total 2 5 3 20 3 2" xfId="55440"/>
    <cellStyle name="Total 2 5 3 20 3 3" xfId="55441"/>
    <cellStyle name="Total 2 5 3 20 4" xfId="55442"/>
    <cellStyle name="Total 2 5 3 20 5" xfId="55443"/>
    <cellStyle name="Total 2 5 3 21" xfId="55444"/>
    <cellStyle name="Total 2 5 3 21 2" xfId="55445"/>
    <cellStyle name="Total 2 5 3 21 2 2" xfId="55446"/>
    <cellStyle name="Total 2 5 3 21 2 3" xfId="55447"/>
    <cellStyle name="Total 2 5 3 21 3" xfId="55448"/>
    <cellStyle name="Total 2 5 3 21 3 2" xfId="55449"/>
    <cellStyle name="Total 2 5 3 21 3 3" xfId="55450"/>
    <cellStyle name="Total 2 5 3 21 4" xfId="55451"/>
    <cellStyle name="Total 2 5 3 21 5" xfId="55452"/>
    <cellStyle name="Total 2 5 3 22" xfId="55453"/>
    <cellStyle name="Total 2 5 3 22 2" xfId="55454"/>
    <cellStyle name="Total 2 5 3 22 2 2" xfId="55455"/>
    <cellStyle name="Total 2 5 3 22 2 3" xfId="55456"/>
    <cellStyle name="Total 2 5 3 22 3" xfId="55457"/>
    <cellStyle name="Total 2 5 3 22 3 2" xfId="55458"/>
    <cellStyle name="Total 2 5 3 22 3 3" xfId="55459"/>
    <cellStyle name="Total 2 5 3 22 4" xfId="55460"/>
    <cellStyle name="Total 2 5 3 22 5" xfId="55461"/>
    <cellStyle name="Total 2 5 3 23" xfId="55462"/>
    <cellStyle name="Total 2 5 3 23 2" xfId="55463"/>
    <cellStyle name="Total 2 5 3 23 2 2" xfId="55464"/>
    <cellStyle name="Total 2 5 3 23 2 3" xfId="55465"/>
    <cellStyle name="Total 2 5 3 23 3" xfId="55466"/>
    <cellStyle name="Total 2 5 3 23 3 2" xfId="55467"/>
    <cellStyle name="Total 2 5 3 23 3 3" xfId="55468"/>
    <cellStyle name="Total 2 5 3 23 4" xfId="55469"/>
    <cellStyle name="Total 2 5 3 23 5" xfId="55470"/>
    <cellStyle name="Total 2 5 3 24" xfId="55471"/>
    <cellStyle name="Total 2 5 3 24 2" xfId="55472"/>
    <cellStyle name="Total 2 5 3 24 2 2" xfId="55473"/>
    <cellStyle name="Total 2 5 3 24 2 3" xfId="55474"/>
    <cellStyle name="Total 2 5 3 24 3" xfId="55475"/>
    <cellStyle name="Total 2 5 3 24 3 2" xfId="55476"/>
    <cellStyle name="Total 2 5 3 24 3 3" xfId="55477"/>
    <cellStyle name="Total 2 5 3 24 4" xfId="55478"/>
    <cellStyle name="Total 2 5 3 24 5" xfId="55479"/>
    <cellStyle name="Total 2 5 3 25" xfId="55480"/>
    <cellStyle name="Total 2 5 3 25 2" xfId="55481"/>
    <cellStyle name="Total 2 5 3 25 2 2" xfId="55482"/>
    <cellStyle name="Total 2 5 3 25 2 3" xfId="55483"/>
    <cellStyle name="Total 2 5 3 25 3" xfId="55484"/>
    <cellStyle name="Total 2 5 3 25 3 2" xfId="55485"/>
    <cellStyle name="Total 2 5 3 25 3 3" xfId="55486"/>
    <cellStyle name="Total 2 5 3 25 4" xfId="55487"/>
    <cellStyle name="Total 2 5 3 25 5" xfId="55488"/>
    <cellStyle name="Total 2 5 3 26" xfId="55489"/>
    <cellStyle name="Total 2 5 3 26 2" xfId="55490"/>
    <cellStyle name="Total 2 5 3 26 2 2" xfId="55491"/>
    <cellStyle name="Total 2 5 3 26 2 3" xfId="55492"/>
    <cellStyle name="Total 2 5 3 26 3" xfId="55493"/>
    <cellStyle name="Total 2 5 3 26 3 2" xfId="55494"/>
    <cellStyle name="Total 2 5 3 26 3 3" xfId="55495"/>
    <cellStyle name="Total 2 5 3 26 4" xfId="55496"/>
    <cellStyle name="Total 2 5 3 26 5" xfId="55497"/>
    <cellStyle name="Total 2 5 3 27" xfId="55498"/>
    <cellStyle name="Total 2 5 3 27 2" xfId="55499"/>
    <cellStyle name="Total 2 5 3 27 2 2" xfId="55500"/>
    <cellStyle name="Total 2 5 3 27 2 3" xfId="55501"/>
    <cellStyle name="Total 2 5 3 27 3" xfId="55502"/>
    <cellStyle name="Total 2 5 3 27 3 2" xfId="55503"/>
    <cellStyle name="Total 2 5 3 27 3 3" xfId="55504"/>
    <cellStyle name="Total 2 5 3 27 4" xfId="55505"/>
    <cellStyle name="Total 2 5 3 27 5" xfId="55506"/>
    <cellStyle name="Total 2 5 3 28" xfId="55507"/>
    <cellStyle name="Total 2 5 3 28 2" xfId="55508"/>
    <cellStyle name="Total 2 5 3 28 2 2" xfId="55509"/>
    <cellStyle name="Total 2 5 3 28 2 3" xfId="55510"/>
    <cellStyle name="Total 2 5 3 28 3" xfId="55511"/>
    <cellStyle name="Total 2 5 3 28 3 2" xfId="55512"/>
    <cellStyle name="Total 2 5 3 28 3 3" xfId="55513"/>
    <cellStyle name="Total 2 5 3 28 4" xfId="55514"/>
    <cellStyle name="Total 2 5 3 28 5" xfId="55515"/>
    <cellStyle name="Total 2 5 3 29" xfId="55516"/>
    <cellStyle name="Total 2 5 3 29 2" xfId="55517"/>
    <cellStyle name="Total 2 5 3 29 2 2" xfId="55518"/>
    <cellStyle name="Total 2 5 3 29 2 3" xfId="55519"/>
    <cellStyle name="Total 2 5 3 29 3" xfId="55520"/>
    <cellStyle name="Total 2 5 3 29 3 2" xfId="55521"/>
    <cellStyle name="Total 2 5 3 29 3 3" xfId="55522"/>
    <cellStyle name="Total 2 5 3 29 4" xfId="55523"/>
    <cellStyle name="Total 2 5 3 29 5" xfId="55524"/>
    <cellStyle name="Total 2 5 3 3" xfId="55525"/>
    <cellStyle name="Total 2 5 3 3 2" xfId="55526"/>
    <cellStyle name="Total 2 5 3 3 2 2" xfId="55527"/>
    <cellStyle name="Total 2 5 3 3 2 3" xfId="55528"/>
    <cellStyle name="Total 2 5 3 3 3" xfId="55529"/>
    <cellStyle name="Total 2 5 3 3 3 2" xfId="55530"/>
    <cellStyle name="Total 2 5 3 3 3 3" xfId="55531"/>
    <cellStyle name="Total 2 5 3 3 4" xfId="55532"/>
    <cellStyle name="Total 2 5 3 3 5" xfId="55533"/>
    <cellStyle name="Total 2 5 3 30" xfId="55534"/>
    <cellStyle name="Total 2 5 3 30 2" xfId="55535"/>
    <cellStyle name="Total 2 5 3 30 2 2" xfId="55536"/>
    <cellStyle name="Total 2 5 3 30 2 3" xfId="55537"/>
    <cellStyle name="Total 2 5 3 30 3" xfId="55538"/>
    <cellStyle name="Total 2 5 3 30 3 2" xfId="55539"/>
    <cellStyle name="Total 2 5 3 30 3 3" xfId="55540"/>
    <cellStyle name="Total 2 5 3 30 4" xfId="55541"/>
    <cellStyle name="Total 2 5 3 30 5" xfId="55542"/>
    <cellStyle name="Total 2 5 3 31" xfId="55543"/>
    <cellStyle name="Total 2 5 3 31 2" xfId="55544"/>
    <cellStyle name="Total 2 5 3 31 2 2" xfId="55545"/>
    <cellStyle name="Total 2 5 3 31 2 3" xfId="55546"/>
    <cellStyle name="Total 2 5 3 31 3" xfId="55547"/>
    <cellStyle name="Total 2 5 3 31 3 2" xfId="55548"/>
    <cellStyle name="Total 2 5 3 31 3 3" xfId="55549"/>
    <cellStyle name="Total 2 5 3 31 4" xfId="55550"/>
    <cellStyle name="Total 2 5 3 31 5" xfId="55551"/>
    <cellStyle name="Total 2 5 3 32" xfId="55552"/>
    <cellStyle name="Total 2 5 3 32 2" xfId="55553"/>
    <cellStyle name="Total 2 5 3 32 2 2" xfId="55554"/>
    <cellStyle name="Total 2 5 3 32 2 3" xfId="55555"/>
    <cellStyle name="Total 2 5 3 32 3" xfId="55556"/>
    <cellStyle name="Total 2 5 3 32 3 2" xfId="55557"/>
    <cellStyle name="Total 2 5 3 32 3 3" xfId="55558"/>
    <cellStyle name="Total 2 5 3 32 4" xfId="55559"/>
    <cellStyle name="Total 2 5 3 32 5" xfId="55560"/>
    <cellStyle name="Total 2 5 3 33" xfId="55561"/>
    <cellStyle name="Total 2 5 3 33 2" xfId="55562"/>
    <cellStyle name="Total 2 5 3 33 2 2" xfId="55563"/>
    <cellStyle name="Total 2 5 3 33 2 3" xfId="55564"/>
    <cellStyle name="Total 2 5 3 33 3" xfId="55565"/>
    <cellStyle name="Total 2 5 3 33 3 2" xfId="55566"/>
    <cellStyle name="Total 2 5 3 33 3 3" xfId="55567"/>
    <cellStyle name="Total 2 5 3 33 4" xfId="55568"/>
    <cellStyle name="Total 2 5 3 33 5" xfId="55569"/>
    <cellStyle name="Total 2 5 3 34" xfId="55570"/>
    <cellStyle name="Total 2 5 3 34 2" xfId="55571"/>
    <cellStyle name="Total 2 5 3 34 2 2" xfId="55572"/>
    <cellStyle name="Total 2 5 3 34 2 3" xfId="55573"/>
    <cellStyle name="Total 2 5 3 34 3" xfId="55574"/>
    <cellStyle name="Total 2 5 3 34 3 2" xfId="55575"/>
    <cellStyle name="Total 2 5 3 34 3 3" xfId="55576"/>
    <cellStyle name="Total 2 5 3 34 4" xfId="55577"/>
    <cellStyle name="Total 2 5 3 34 5" xfId="55578"/>
    <cellStyle name="Total 2 5 3 35" xfId="55579"/>
    <cellStyle name="Total 2 5 3 35 2" xfId="55580"/>
    <cellStyle name="Total 2 5 3 35 2 2" xfId="55581"/>
    <cellStyle name="Total 2 5 3 35 2 3" xfId="55582"/>
    <cellStyle name="Total 2 5 3 35 3" xfId="55583"/>
    <cellStyle name="Total 2 5 3 35 3 2" xfId="55584"/>
    <cellStyle name="Total 2 5 3 35 3 3" xfId="55585"/>
    <cellStyle name="Total 2 5 3 35 4" xfId="55586"/>
    <cellStyle name="Total 2 5 3 35 5" xfId="55587"/>
    <cellStyle name="Total 2 5 3 36" xfId="55588"/>
    <cellStyle name="Total 2 5 3 36 2" xfId="55589"/>
    <cellStyle name="Total 2 5 3 36 2 2" xfId="55590"/>
    <cellStyle name="Total 2 5 3 36 2 3" xfId="55591"/>
    <cellStyle name="Total 2 5 3 36 3" xfId="55592"/>
    <cellStyle name="Total 2 5 3 36 3 2" xfId="55593"/>
    <cellStyle name="Total 2 5 3 36 3 3" xfId="55594"/>
    <cellStyle name="Total 2 5 3 36 4" xfId="55595"/>
    <cellStyle name="Total 2 5 3 36 5" xfId="55596"/>
    <cellStyle name="Total 2 5 3 37" xfId="55597"/>
    <cellStyle name="Total 2 5 3 37 2" xfId="55598"/>
    <cellStyle name="Total 2 5 3 37 2 2" xfId="55599"/>
    <cellStyle name="Total 2 5 3 37 2 3" xfId="55600"/>
    <cellStyle name="Total 2 5 3 37 3" xfId="55601"/>
    <cellStyle name="Total 2 5 3 37 3 2" xfId="55602"/>
    <cellStyle name="Total 2 5 3 37 3 3" xfId="55603"/>
    <cellStyle name="Total 2 5 3 37 4" xfId="55604"/>
    <cellStyle name="Total 2 5 3 37 5" xfId="55605"/>
    <cellStyle name="Total 2 5 3 38" xfId="55606"/>
    <cellStyle name="Total 2 5 3 38 2" xfId="55607"/>
    <cellStyle name="Total 2 5 3 38 2 2" xfId="55608"/>
    <cellStyle name="Total 2 5 3 38 2 3" xfId="55609"/>
    <cellStyle name="Total 2 5 3 38 3" xfId="55610"/>
    <cellStyle name="Total 2 5 3 38 3 2" xfId="55611"/>
    <cellStyle name="Total 2 5 3 38 3 3" xfId="55612"/>
    <cellStyle name="Total 2 5 3 38 4" xfId="55613"/>
    <cellStyle name="Total 2 5 3 38 5" xfId="55614"/>
    <cellStyle name="Total 2 5 3 39" xfId="55615"/>
    <cellStyle name="Total 2 5 3 39 2" xfId="55616"/>
    <cellStyle name="Total 2 5 3 39 2 2" xfId="55617"/>
    <cellStyle name="Total 2 5 3 39 2 3" xfId="55618"/>
    <cellStyle name="Total 2 5 3 39 3" xfId="55619"/>
    <cellStyle name="Total 2 5 3 39 3 2" xfId="55620"/>
    <cellStyle name="Total 2 5 3 39 3 3" xfId="55621"/>
    <cellStyle name="Total 2 5 3 39 4" xfId="55622"/>
    <cellStyle name="Total 2 5 3 39 5" xfId="55623"/>
    <cellStyle name="Total 2 5 3 4" xfId="55624"/>
    <cellStyle name="Total 2 5 3 4 2" xfId="55625"/>
    <cellStyle name="Total 2 5 3 4 2 2" xfId="55626"/>
    <cellStyle name="Total 2 5 3 4 2 3" xfId="55627"/>
    <cellStyle name="Total 2 5 3 4 3" xfId="55628"/>
    <cellStyle name="Total 2 5 3 4 3 2" xfId="55629"/>
    <cellStyle name="Total 2 5 3 4 3 3" xfId="55630"/>
    <cellStyle name="Total 2 5 3 4 4" xfId="55631"/>
    <cellStyle name="Total 2 5 3 4 5" xfId="55632"/>
    <cellStyle name="Total 2 5 3 40" xfId="55633"/>
    <cellStyle name="Total 2 5 3 40 2" xfId="55634"/>
    <cellStyle name="Total 2 5 3 40 2 2" xfId="55635"/>
    <cellStyle name="Total 2 5 3 40 2 3" xfId="55636"/>
    <cellStyle name="Total 2 5 3 40 3" xfId="55637"/>
    <cellStyle name="Total 2 5 3 40 4" xfId="55638"/>
    <cellStyle name="Total 2 5 3 41" xfId="55639"/>
    <cellStyle name="Total 2 5 3 41 2" xfId="55640"/>
    <cellStyle name="Total 2 5 3 41 3" xfId="55641"/>
    <cellStyle name="Total 2 5 3 42" xfId="55642"/>
    <cellStyle name="Total 2 5 3 42 2" xfId="55643"/>
    <cellStyle name="Total 2 5 3 42 3" xfId="55644"/>
    <cellStyle name="Total 2 5 3 43" xfId="55645"/>
    <cellStyle name="Total 2 5 3 43 2" xfId="55646"/>
    <cellStyle name="Total 2 5 3 43 3" xfId="55647"/>
    <cellStyle name="Total 2 5 3 44" xfId="55648"/>
    <cellStyle name="Total 2 5 3 45" xfId="55649"/>
    <cellStyle name="Total 2 5 3 5" xfId="55650"/>
    <cellStyle name="Total 2 5 3 5 2" xfId="55651"/>
    <cellStyle name="Total 2 5 3 5 2 2" xfId="55652"/>
    <cellStyle name="Total 2 5 3 5 2 3" xfId="55653"/>
    <cellStyle name="Total 2 5 3 5 3" xfId="55654"/>
    <cellStyle name="Total 2 5 3 5 3 2" xfId="55655"/>
    <cellStyle name="Total 2 5 3 5 3 3" xfId="55656"/>
    <cellStyle name="Total 2 5 3 5 4" xfId="55657"/>
    <cellStyle name="Total 2 5 3 5 5" xfId="55658"/>
    <cellStyle name="Total 2 5 3 6" xfId="55659"/>
    <cellStyle name="Total 2 5 3 6 2" xfId="55660"/>
    <cellStyle name="Total 2 5 3 6 2 2" xfId="55661"/>
    <cellStyle name="Total 2 5 3 6 2 3" xfId="55662"/>
    <cellStyle name="Total 2 5 3 6 3" xfId="55663"/>
    <cellStyle name="Total 2 5 3 6 3 2" xfId="55664"/>
    <cellStyle name="Total 2 5 3 6 3 3" xfId="55665"/>
    <cellStyle name="Total 2 5 3 6 4" xfId="55666"/>
    <cellStyle name="Total 2 5 3 6 5" xfId="55667"/>
    <cellStyle name="Total 2 5 3 7" xfId="55668"/>
    <cellStyle name="Total 2 5 3 7 2" xfId="55669"/>
    <cellStyle name="Total 2 5 3 7 2 2" xfId="55670"/>
    <cellStyle name="Total 2 5 3 7 2 3" xfId="55671"/>
    <cellStyle name="Total 2 5 3 7 3" xfId="55672"/>
    <cellStyle name="Total 2 5 3 7 3 2" xfId="55673"/>
    <cellStyle name="Total 2 5 3 7 3 3" xfId="55674"/>
    <cellStyle name="Total 2 5 3 7 4" xfId="55675"/>
    <cellStyle name="Total 2 5 3 7 5" xfId="55676"/>
    <cellStyle name="Total 2 5 3 8" xfId="55677"/>
    <cellStyle name="Total 2 5 3 8 2" xfId="55678"/>
    <cellStyle name="Total 2 5 3 8 2 2" xfId="55679"/>
    <cellStyle name="Total 2 5 3 8 2 3" xfId="55680"/>
    <cellStyle name="Total 2 5 3 8 3" xfId="55681"/>
    <cellStyle name="Total 2 5 3 8 3 2" xfId="55682"/>
    <cellStyle name="Total 2 5 3 8 3 3" xfId="55683"/>
    <cellStyle name="Total 2 5 3 8 4" xfId="55684"/>
    <cellStyle name="Total 2 5 3 8 5" xfId="55685"/>
    <cellStyle name="Total 2 5 3 9" xfId="55686"/>
    <cellStyle name="Total 2 5 3 9 2" xfId="55687"/>
    <cellStyle name="Total 2 5 3 9 2 2" xfId="55688"/>
    <cellStyle name="Total 2 5 3 9 2 3" xfId="55689"/>
    <cellStyle name="Total 2 5 3 9 3" xfId="55690"/>
    <cellStyle name="Total 2 5 3 9 3 2" xfId="55691"/>
    <cellStyle name="Total 2 5 3 9 3 3" xfId="55692"/>
    <cellStyle name="Total 2 5 3 9 4" xfId="55693"/>
    <cellStyle name="Total 2 5 3 9 5" xfId="55694"/>
    <cellStyle name="Total 2 5 30" xfId="55695"/>
    <cellStyle name="Total 2 5 30 2" xfId="55696"/>
    <cellStyle name="Total 2 5 30 2 2" xfId="55697"/>
    <cellStyle name="Total 2 5 30 2 3" xfId="55698"/>
    <cellStyle name="Total 2 5 30 3" xfId="55699"/>
    <cellStyle name="Total 2 5 30 3 2" xfId="55700"/>
    <cellStyle name="Total 2 5 30 3 3" xfId="55701"/>
    <cellStyle name="Total 2 5 30 4" xfId="55702"/>
    <cellStyle name="Total 2 5 30 5" xfId="55703"/>
    <cellStyle name="Total 2 5 31" xfId="55704"/>
    <cellStyle name="Total 2 5 31 2" xfId="55705"/>
    <cellStyle name="Total 2 5 31 2 2" xfId="55706"/>
    <cellStyle name="Total 2 5 31 2 3" xfId="55707"/>
    <cellStyle name="Total 2 5 31 3" xfId="55708"/>
    <cellStyle name="Total 2 5 31 3 2" xfId="55709"/>
    <cellStyle name="Total 2 5 31 3 3" xfId="55710"/>
    <cellStyle name="Total 2 5 31 4" xfId="55711"/>
    <cellStyle name="Total 2 5 31 5" xfId="55712"/>
    <cellStyle name="Total 2 5 32" xfId="55713"/>
    <cellStyle name="Total 2 5 32 2" xfId="55714"/>
    <cellStyle name="Total 2 5 32 2 2" xfId="55715"/>
    <cellStyle name="Total 2 5 32 2 3" xfId="55716"/>
    <cellStyle name="Total 2 5 32 3" xfId="55717"/>
    <cellStyle name="Total 2 5 32 3 2" xfId="55718"/>
    <cellStyle name="Total 2 5 32 3 3" xfId="55719"/>
    <cellStyle name="Total 2 5 32 4" xfId="55720"/>
    <cellStyle name="Total 2 5 32 5" xfId="55721"/>
    <cellStyle name="Total 2 5 33" xfId="55722"/>
    <cellStyle name="Total 2 5 33 2" xfId="55723"/>
    <cellStyle name="Total 2 5 33 2 2" xfId="55724"/>
    <cellStyle name="Total 2 5 33 2 3" xfId="55725"/>
    <cellStyle name="Total 2 5 33 3" xfId="55726"/>
    <cellStyle name="Total 2 5 33 3 2" xfId="55727"/>
    <cellStyle name="Total 2 5 33 3 3" xfId="55728"/>
    <cellStyle name="Total 2 5 33 4" xfId="55729"/>
    <cellStyle name="Total 2 5 33 5" xfId="55730"/>
    <cellStyle name="Total 2 5 34" xfId="55731"/>
    <cellStyle name="Total 2 5 34 2" xfId="55732"/>
    <cellStyle name="Total 2 5 34 2 2" xfId="55733"/>
    <cellStyle name="Total 2 5 34 2 3" xfId="55734"/>
    <cellStyle name="Total 2 5 34 3" xfId="55735"/>
    <cellStyle name="Total 2 5 34 3 2" xfId="55736"/>
    <cellStyle name="Total 2 5 34 3 3" xfId="55737"/>
    <cellStyle name="Total 2 5 34 4" xfId="55738"/>
    <cellStyle name="Total 2 5 34 5" xfId="55739"/>
    <cellStyle name="Total 2 5 35" xfId="55740"/>
    <cellStyle name="Total 2 5 35 2" xfId="55741"/>
    <cellStyle name="Total 2 5 35 2 2" xfId="55742"/>
    <cellStyle name="Total 2 5 35 2 3" xfId="55743"/>
    <cellStyle name="Total 2 5 35 3" xfId="55744"/>
    <cellStyle name="Total 2 5 35 3 2" xfId="55745"/>
    <cellStyle name="Total 2 5 35 3 3" xfId="55746"/>
    <cellStyle name="Total 2 5 35 4" xfId="55747"/>
    <cellStyle name="Total 2 5 35 5" xfId="55748"/>
    <cellStyle name="Total 2 5 36" xfId="55749"/>
    <cellStyle name="Total 2 5 36 2" xfId="55750"/>
    <cellStyle name="Total 2 5 36 2 2" xfId="55751"/>
    <cellStyle name="Total 2 5 36 2 3" xfId="55752"/>
    <cellStyle name="Total 2 5 36 3" xfId="55753"/>
    <cellStyle name="Total 2 5 36 3 2" xfId="55754"/>
    <cellStyle name="Total 2 5 36 3 3" xfId="55755"/>
    <cellStyle name="Total 2 5 36 4" xfId="55756"/>
    <cellStyle name="Total 2 5 36 5" xfId="55757"/>
    <cellStyle name="Total 2 5 37" xfId="55758"/>
    <cellStyle name="Total 2 5 37 2" xfId="55759"/>
    <cellStyle name="Total 2 5 37 2 2" xfId="55760"/>
    <cellStyle name="Total 2 5 37 2 3" xfId="55761"/>
    <cellStyle name="Total 2 5 37 3" xfId="55762"/>
    <cellStyle name="Total 2 5 37 3 2" xfId="55763"/>
    <cellStyle name="Total 2 5 37 3 3" xfId="55764"/>
    <cellStyle name="Total 2 5 37 4" xfId="55765"/>
    <cellStyle name="Total 2 5 37 5" xfId="55766"/>
    <cellStyle name="Total 2 5 38" xfId="55767"/>
    <cellStyle name="Total 2 5 38 2" xfId="55768"/>
    <cellStyle name="Total 2 5 38 2 2" xfId="55769"/>
    <cellStyle name="Total 2 5 38 2 3" xfId="55770"/>
    <cellStyle name="Total 2 5 38 3" xfId="55771"/>
    <cellStyle name="Total 2 5 38 4" xfId="55772"/>
    <cellStyle name="Total 2 5 39" xfId="55773"/>
    <cellStyle name="Total 2 5 39 2" xfId="55774"/>
    <cellStyle name="Total 2 5 39 3" xfId="55775"/>
    <cellStyle name="Total 2 5 4" xfId="55776"/>
    <cellStyle name="Total 2 5 4 10" xfId="55777"/>
    <cellStyle name="Total 2 5 4 10 2" xfId="55778"/>
    <cellStyle name="Total 2 5 4 10 2 2" xfId="55779"/>
    <cellStyle name="Total 2 5 4 10 2 3" xfId="55780"/>
    <cellStyle name="Total 2 5 4 10 3" xfId="55781"/>
    <cellStyle name="Total 2 5 4 10 3 2" xfId="55782"/>
    <cellStyle name="Total 2 5 4 10 3 3" xfId="55783"/>
    <cellStyle name="Total 2 5 4 10 4" xfId="55784"/>
    <cellStyle name="Total 2 5 4 10 5" xfId="55785"/>
    <cellStyle name="Total 2 5 4 11" xfId="55786"/>
    <cellStyle name="Total 2 5 4 11 2" xfId="55787"/>
    <cellStyle name="Total 2 5 4 11 2 2" xfId="55788"/>
    <cellStyle name="Total 2 5 4 11 2 3" xfId="55789"/>
    <cellStyle name="Total 2 5 4 11 3" xfId="55790"/>
    <cellStyle name="Total 2 5 4 11 3 2" xfId="55791"/>
    <cellStyle name="Total 2 5 4 11 3 3" xfId="55792"/>
    <cellStyle name="Total 2 5 4 11 4" xfId="55793"/>
    <cellStyle name="Total 2 5 4 11 5" xfId="55794"/>
    <cellStyle name="Total 2 5 4 12" xfId="55795"/>
    <cellStyle name="Total 2 5 4 12 2" xfId="55796"/>
    <cellStyle name="Total 2 5 4 12 2 2" xfId="55797"/>
    <cellStyle name="Total 2 5 4 12 2 3" xfId="55798"/>
    <cellStyle name="Total 2 5 4 12 3" xfId="55799"/>
    <cellStyle name="Total 2 5 4 12 3 2" xfId="55800"/>
    <cellStyle name="Total 2 5 4 12 3 3" xfId="55801"/>
    <cellStyle name="Total 2 5 4 12 4" xfId="55802"/>
    <cellStyle name="Total 2 5 4 12 5" xfId="55803"/>
    <cellStyle name="Total 2 5 4 13" xfId="55804"/>
    <cellStyle name="Total 2 5 4 13 2" xfId="55805"/>
    <cellStyle name="Total 2 5 4 13 2 2" xfId="55806"/>
    <cellStyle name="Total 2 5 4 13 2 3" xfId="55807"/>
    <cellStyle name="Total 2 5 4 13 3" xfId="55808"/>
    <cellStyle name="Total 2 5 4 13 3 2" xfId="55809"/>
    <cellStyle name="Total 2 5 4 13 3 3" xfId="55810"/>
    <cellStyle name="Total 2 5 4 13 4" xfId="55811"/>
    <cellStyle name="Total 2 5 4 13 5" xfId="55812"/>
    <cellStyle name="Total 2 5 4 14" xfId="55813"/>
    <cellStyle name="Total 2 5 4 14 2" xfId="55814"/>
    <cellStyle name="Total 2 5 4 14 2 2" xfId="55815"/>
    <cellStyle name="Total 2 5 4 14 2 3" xfId="55816"/>
    <cellStyle name="Total 2 5 4 14 3" xfId="55817"/>
    <cellStyle name="Total 2 5 4 14 3 2" xfId="55818"/>
    <cellStyle name="Total 2 5 4 14 3 3" xfId="55819"/>
    <cellStyle name="Total 2 5 4 14 4" xfId="55820"/>
    <cellStyle name="Total 2 5 4 14 5" xfId="55821"/>
    <cellStyle name="Total 2 5 4 15" xfId="55822"/>
    <cellStyle name="Total 2 5 4 15 2" xfId="55823"/>
    <cellStyle name="Total 2 5 4 15 2 2" xfId="55824"/>
    <cellStyle name="Total 2 5 4 15 2 3" xfId="55825"/>
    <cellStyle name="Total 2 5 4 15 3" xfId="55826"/>
    <cellStyle name="Total 2 5 4 15 3 2" xfId="55827"/>
    <cellStyle name="Total 2 5 4 15 3 3" xfId="55828"/>
    <cellStyle name="Total 2 5 4 15 4" xfId="55829"/>
    <cellStyle name="Total 2 5 4 15 5" xfId="55830"/>
    <cellStyle name="Total 2 5 4 16" xfId="55831"/>
    <cellStyle name="Total 2 5 4 16 2" xfId="55832"/>
    <cellStyle name="Total 2 5 4 16 2 2" xfId="55833"/>
    <cellStyle name="Total 2 5 4 16 2 3" xfId="55834"/>
    <cellStyle name="Total 2 5 4 16 3" xfId="55835"/>
    <cellStyle name="Total 2 5 4 16 3 2" xfId="55836"/>
    <cellStyle name="Total 2 5 4 16 3 3" xfId="55837"/>
    <cellStyle name="Total 2 5 4 16 4" xfId="55838"/>
    <cellStyle name="Total 2 5 4 16 5" xfId="55839"/>
    <cellStyle name="Total 2 5 4 17" xfId="55840"/>
    <cellStyle name="Total 2 5 4 17 2" xfId="55841"/>
    <cellStyle name="Total 2 5 4 17 2 2" xfId="55842"/>
    <cellStyle name="Total 2 5 4 17 2 3" xfId="55843"/>
    <cellStyle name="Total 2 5 4 17 3" xfId="55844"/>
    <cellStyle name="Total 2 5 4 17 3 2" xfId="55845"/>
    <cellStyle name="Total 2 5 4 17 3 3" xfId="55846"/>
    <cellStyle name="Total 2 5 4 17 4" xfId="55847"/>
    <cellStyle name="Total 2 5 4 17 5" xfId="55848"/>
    <cellStyle name="Total 2 5 4 18" xfId="55849"/>
    <cellStyle name="Total 2 5 4 18 2" xfId="55850"/>
    <cellStyle name="Total 2 5 4 18 2 2" xfId="55851"/>
    <cellStyle name="Total 2 5 4 18 2 3" xfId="55852"/>
    <cellStyle name="Total 2 5 4 18 3" xfId="55853"/>
    <cellStyle name="Total 2 5 4 18 3 2" xfId="55854"/>
    <cellStyle name="Total 2 5 4 18 3 3" xfId="55855"/>
    <cellStyle name="Total 2 5 4 18 4" xfId="55856"/>
    <cellStyle name="Total 2 5 4 18 5" xfId="55857"/>
    <cellStyle name="Total 2 5 4 19" xfId="55858"/>
    <cellStyle name="Total 2 5 4 19 2" xfId="55859"/>
    <cellStyle name="Total 2 5 4 19 2 2" xfId="55860"/>
    <cellStyle name="Total 2 5 4 19 2 3" xfId="55861"/>
    <cellStyle name="Total 2 5 4 19 3" xfId="55862"/>
    <cellStyle name="Total 2 5 4 19 3 2" xfId="55863"/>
    <cellStyle name="Total 2 5 4 19 3 3" xfId="55864"/>
    <cellStyle name="Total 2 5 4 19 4" xfId="55865"/>
    <cellStyle name="Total 2 5 4 19 5" xfId="55866"/>
    <cellStyle name="Total 2 5 4 2" xfId="55867"/>
    <cellStyle name="Total 2 5 4 2 2" xfId="55868"/>
    <cellStyle name="Total 2 5 4 2 2 2" xfId="55869"/>
    <cellStyle name="Total 2 5 4 2 2 3" xfId="55870"/>
    <cellStyle name="Total 2 5 4 2 3" xfId="55871"/>
    <cellStyle name="Total 2 5 4 2 3 2" xfId="55872"/>
    <cellStyle name="Total 2 5 4 2 3 3" xfId="55873"/>
    <cellStyle name="Total 2 5 4 2 4" xfId="55874"/>
    <cellStyle name="Total 2 5 4 2 5" xfId="55875"/>
    <cellStyle name="Total 2 5 4 20" xfId="55876"/>
    <cellStyle name="Total 2 5 4 20 2" xfId="55877"/>
    <cellStyle name="Total 2 5 4 20 2 2" xfId="55878"/>
    <cellStyle name="Total 2 5 4 20 2 3" xfId="55879"/>
    <cellStyle name="Total 2 5 4 20 3" xfId="55880"/>
    <cellStyle name="Total 2 5 4 20 3 2" xfId="55881"/>
    <cellStyle name="Total 2 5 4 20 3 3" xfId="55882"/>
    <cellStyle name="Total 2 5 4 20 4" xfId="55883"/>
    <cellStyle name="Total 2 5 4 20 5" xfId="55884"/>
    <cellStyle name="Total 2 5 4 21" xfId="55885"/>
    <cellStyle name="Total 2 5 4 21 2" xfId="55886"/>
    <cellStyle name="Total 2 5 4 21 2 2" xfId="55887"/>
    <cellStyle name="Total 2 5 4 21 2 3" xfId="55888"/>
    <cellStyle name="Total 2 5 4 21 3" xfId="55889"/>
    <cellStyle name="Total 2 5 4 21 3 2" xfId="55890"/>
    <cellStyle name="Total 2 5 4 21 3 3" xfId="55891"/>
    <cellStyle name="Total 2 5 4 21 4" xfId="55892"/>
    <cellStyle name="Total 2 5 4 21 5" xfId="55893"/>
    <cellStyle name="Total 2 5 4 22" xfId="55894"/>
    <cellStyle name="Total 2 5 4 22 2" xfId="55895"/>
    <cellStyle name="Total 2 5 4 22 2 2" xfId="55896"/>
    <cellStyle name="Total 2 5 4 22 2 3" xfId="55897"/>
    <cellStyle name="Total 2 5 4 22 3" xfId="55898"/>
    <cellStyle name="Total 2 5 4 22 3 2" xfId="55899"/>
    <cellStyle name="Total 2 5 4 22 3 3" xfId="55900"/>
    <cellStyle name="Total 2 5 4 22 4" xfId="55901"/>
    <cellStyle name="Total 2 5 4 22 5" xfId="55902"/>
    <cellStyle name="Total 2 5 4 23" xfId="55903"/>
    <cellStyle name="Total 2 5 4 23 2" xfId="55904"/>
    <cellStyle name="Total 2 5 4 23 2 2" xfId="55905"/>
    <cellStyle name="Total 2 5 4 23 2 3" xfId="55906"/>
    <cellStyle name="Total 2 5 4 23 3" xfId="55907"/>
    <cellStyle name="Total 2 5 4 23 3 2" xfId="55908"/>
    <cellStyle name="Total 2 5 4 23 3 3" xfId="55909"/>
    <cellStyle name="Total 2 5 4 23 4" xfId="55910"/>
    <cellStyle name="Total 2 5 4 23 5" xfId="55911"/>
    <cellStyle name="Total 2 5 4 24" xfId="55912"/>
    <cellStyle name="Total 2 5 4 24 2" xfId="55913"/>
    <cellStyle name="Total 2 5 4 24 2 2" xfId="55914"/>
    <cellStyle name="Total 2 5 4 24 2 3" xfId="55915"/>
    <cellStyle name="Total 2 5 4 24 3" xfId="55916"/>
    <cellStyle name="Total 2 5 4 24 3 2" xfId="55917"/>
    <cellStyle name="Total 2 5 4 24 3 3" xfId="55918"/>
    <cellStyle name="Total 2 5 4 24 4" xfId="55919"/>
    <cellStyle name="Total 2 5 4 24 5" xfId="55920"/>
    <cellStyle name="Total 2 5 4 25" xfId="55921"/>
    <cellStyle name="Total 2 5 4 25 2" xfId="55922"/>
    <cellStyle name="Total 2 5 4 25 2 2" xfId="55923"/>
    <cellStyle name="Total 2 5 4 25 2 3" xfId="55924"/>
    <cellStyle name="Total 2 5 4 25 3" xfId="55925"/>
    <cellStyle name="Total 2 5 4 25 3 2" xfId="55926"/>
    <cellStyle name="Total 2 5 4 25 3 3" xfId="55927"/>
    <cellStyle name="Total 2 5 4 25 4" xfId="55928"/>
    <cellStyle name="Total 2 5 4 25 5" xfId="55929"/>
    <cellStyle name="Total 2 5 4 26" xfId="55930"/>
    <cellStyle name="Total 2 5 4 26 2" xfId="55931"/>
    <cellStyle name="Total 2 5 4 26 2 2" xfId="55932"/>
    <cellStyle name="Total 2 5 4 26 2 3" xfId="55933"/>
    <cellStyle name="Total 2 5 4 26 3" xfId="55934"/>
    <cellStyle name="Total 2 5 4 26 3 2" xfId="55935"/>
    <cellStyle name="Total 2 5 4 26 3 3" xfId="55936"/>
    <cellStyle name="Total 2 5 4 26 4" xfId="55937"/>
    <cellStyle name="Total 2 5 4 26 5" xfId="55938"/>
    <cellStyle name="Total 2 5 4 27" xfId="55939"/>
    <cellStyle name="Total 2 5 4 27 2" xfId="55940"/>
    <cellStyle name="Total 2 5 4 27 2 2" xfId="55941"/>
    <cellStyle name="Total 2 5 4 27 2 3" xfId="55942"/>
    <cellStyle name="Total 2 5 4 27 3" xfId="55943"/>
    <cellStyle name="Total 2 5 4 27 3 2" xfId="55944"/>
    <cellStyle name="Total 2 5 4 27 3 3" xfId="55945"/>
    <cellStyle name="Total 2 5 4 27 4" xfId="55946"/>
    <cellStyle name="Total 2 5 4 27 5" xfId="55947"/>
    <cellStyle name="Total 2 5 4 28" xfId="55948"/>
    <cellStyle name="Total 2 5 4 28 2" xfId="55949"/>
    <cellStyle name="Total 2 5 4 28 2 2" xfId="55950"/>
    <cellStyle name="Total 2 5 4 28 2 3" xfId="55951"/>
    <cellStyle name="Total 2 5 4 28 3" xfId="55952"/>
    <cellStyle name="Total 2 5 4 28 3 2" xfId="55953"/>
    <cellStyle name="Total 2 5 4 28 3 3" xfId="55954"/>
    <cellStyle name="Total 2 5 4 28 4" xfId="55955"/>
    <cellStyle name="Total 2 5 4 28 5" xfId="55956"/>
    <cellStyle name="Total 2 5 4 29" xfId="55957"/>
    <cellStyle name="Total 2 5 4 29 2" xfId="55958"/>
    <cellStyle name="Total 2 5 4 29 2 2" xfId="55959"/>
    <cellStyle name="Total 2 5 4 29 2 3" xfId="55960"/>
    <cellStyle name="Total 2 5 4 29 3" xfId="55961"/>
    <cellStyle name="Total 2 5 4 29 3 2" xfId="55962"/>
    <cellStyle name="Total 2 5 4 29 3 3" xfId="55963"/>
    <cellStyle name="Total 2 5 4 29 4" xfId="55964"/>
    <cellStyle name="Total 2 5 4 29 5" xfId="55965"/>
    <cellStyle name="Total 2 5 4 3" xfId="55966"/>
    <cellStyle name="Total 2 5 4 3 2" xfId="55967"/>
    <cellStyle name="Total 2 5 4 3 2 2" xfId="55968"/>
    <cellStyle name="Total 2 5 4 3 2 3" xfId="55969"/>
    <cellStyle name="Total 2 5 4 3 3" xfId="55970"/>
    <cellStyle name="Total 2 5 4 3 3 2" xfId="55971"/>
    <cellStyle name="Total 2 5 4 3 3 3" xfId="55972"/>
    <cellStyle name="Total 2 5 4 3 4" xfId="55973"/>
    <cellStyle name="Total 2 5 4 3 5" xfId="55974"/>
    <cellStyle name="Total 2 5 4 30" xfId="55975"/>
    <cellStyle name="Total 2 5 4 30 2" xfId="55976"/>
    <cellStyle name="Total 2 5 4 30 2 2" xfId="55977"/>
    <cellStyle name="Total 2 5 4 30 2 3" xfId="55978"/>
    <cellStyle name="Total 2 5 4 30 3" xfId="55979"/>
    <cellStyle name="Total 2 5 4 30 3 2" xfId="55980"/>
    <cellStyle name="Total 2 5 4 30 3 3" xfId="55981"/>
    <cellStyle name="Total 2 5 4 30 4" xfId="55982"/>
    <cellStyle name="Total 2 5 4 30 5" xfId="55983"/>
    <cellStyle name="Total 2 5 4 31" xfId="55984"/>
    <cellStyle name="Total 2 5 4 31 2" xfId="55985"/>
    <cellStyle name="Total 2 5 4 31 2 2" xfId="55986"/>
    <cellStyle name="Total 2 5 4 31 2 3" xfId="55987"/>
    <cellStyle name="Total 2 5 4 31 3" xfId="55988"/>
    <cellStyle name="Total 2 5 4 31 3 2" xfId="55989"/>
    <cellStyle name="Total 2 5 4 31 3 3" xfId="55990"/>
    <cellStyle name="Total 2 5 4 31 4" xfId="55991"/>
    <cellStyle name="Total 2 5 4 31 5" xfId="55992"/>
    <cellStyle name="Total 2 5 4 32" xfId="55993"/>
    <cellStyle name="Total 2 5 4 32 2" xfId="55994"/>
    <cellStyle name="Total 2 5 4 32 2 2" xfId="55995"/>
    <cellStyle name="Total 2 5 4 32 2 3" xfId="55996"/>
    <cellStyle name="Total 2 5 4 32 3" xfId="55997"/>
    <cellStyle name="Total 2 5 4 32 3 2" xfId="55998"/>
    <cellStyle name="Total 2 5 4 32 3 3" xfId="55999"/>
    <cellStyle name="Total 2 5 4 32 4" xfId="56000"/>
    <cellStyle name="Total 2 5 4 32 5" xfId="56001"/>
    <cellStyle name="Total 2 5 4 33" xfId="56002"/>
    <cellStyle name="Total 2 5 4 33 2" xfId="56003"/>
    <cellStyle name="Total 2 5 4 33 2 2" xfId="56004"/>
    <cellStyle name="Total 2 5 4 33 2 3" xfId="56005"/>
    <cellStyle name="Total 2 5 4 33 3" xfId="56006"/>
    <cellStyle name="Total 2 5 4 33 3 2" xfId="56007"/>
    <cellStyle name="Total 2 5 4 33 3 3" xfId="56008"/>
    <cellStyle name="Total 2 5 4 33 4" xfId="56009"/>
    <cellStyle name="Total 2 5 4 33 5" xfId="56010"/>
    <cellStyle name="Total 2 5 4 34" xfId="56011"/>
    <cellStyle name="Total 2 5 4 34 2" xfId="56012"/>
    <cellStyle name="Total 2 5 4 34 2 2" xfId="56013"/>
    <cellStyle name="Total 2 5 4 34 2 3" xfId="56014"/>
    <cellStyle name="Total 2 5 4 34 3" xfId="56015"/>
    <cellStyle name="Total 2 5 4 34 3 2" xfId="56016"/>
    <cellStyle name="Total 2 5 4 34 3 3" xfId="56017"/>
    <cellStyle name="Total 2 5 4 34 4" xfId="56018"/>
    <cellStyle name="Total 2 5 4 34 5" xfId="56019"/>
    <cellStyle name="Total 2 5 4 35" xfId="56020"/>
    <cellStyle name="Total 2 5 4 35 2" xfId="56021"/>
    <cellStyle name="Total 2 5 4 35 2 2" xfId="56022"/>
    <cellStyle name="Total 2 5 4 35 2 3" xfId="56023"/>
    <cellStyle name="Total 2 5 4 35 3" xfId="56024"/>
    <cellStyle name="Total 2 5 4 35 3 2" xfId="56025"/>
    <cellStyle name="Total 2 5 4 35 3 3" xfId="56026"/>
    <cellStyle name="Total 2 5 4 35 4" xfId="56027"/>
    <cellStyle name="Total 2 5 4 35 5" xfId="56028"/>
    <cellStyle name="Total 2 5 4 36" xfId="56029"/>
    <cellStyle name="Total 2 5 4 36 2" xfId="56030"/>
    <cellStyle name="Total 2 5 4 36 2 2" xfId="56031"/>
    <cellStyle name="Total 2 5 4 36 2 3" xfId="56032"/>
    <cellStyle name="Total 2 5 4 36 3" xfId="56033"/>
    <cellStyle name="Total 2 5 4 36 3 2" xfId="56034"/>
    <cellStyle name="Total 2 5 4 36 3 3" xfId="56035"/>
    <cellStyle name="Total 2 5 4 36 4" xfId="56036"/>
    <cellStyle name="Total 2 5 4 36 5" xfId="56037"/>
    <cellStyle name="Total 2 5 4 37" xfId="56038"/>
    <cellStyle name="Total 2 5 4 37 2" xfId="56039"/>
    <cellStyle name="Total 2 5 4 37 2 2" xfId="56040"/>
    <cellStyle name="Total 2 5 4 37 2 3" xfId="56041"/>
    <cellStyle name="Total 2 5 4 37 3" xfId="56042"/>
    <cellStyle name="Total 2 5 4 37 3 2" xfId="56043"/>
    <cellStyle name="Total 2 5 4 37 3 3" xfId="56044"/>
    <cellStyle name="Total 2 5 4 37 4" xfId="56045"/>
    <cellStyle name="Total 2 5 4 37 5" xfId="56046"/>
    <cellStyle name="Total 2 5 4 38" xfId="56047"/>
    <cellStyle name="Total 2 5 4 38 2" xfId="56048"/>
    <cellStyle name="Total 2 5 4 38 2 2" xfId="56049"/>
    <cellStyle name="Total 2 5 4 38 2 3" xfId="56050"/>
    <cellStyle name="Total 2 5 4 38 3" xfId="56051"/>
    <cellStyle name="Total 2 5 4 38 3 2" xfId="56052"/>
    <cellStyle name="Total 2 5 4 38 3 3" xfId="56053"/>
    <cellStyle name="Total 2 5 4 38 4" xfId="56054"/>
    <cellStyle name="Total 2 5 4 38 5" xfId="56055"/>
    <cellStyle name="Total 2 5 4 39" xfId="56056"/>
    <cellStyle name="Total 2 5 4 39 2" xfId="56057"/>
    <cellStyle name="Total 2 5 4 39 2 2" xfId="56058"/>
    <cellStyle name="Total 2 5 4 39 2 3" xfId="56059"/>
    <cellStyle name="Total 2 5 4 39 3" xfId="56060"/>
    <cellStyle name="Total 2 5 4 39 3 2" xfId="56061"/>
    <cellStyle name="Total 2 5 4 39 3 3" xfId="56062"/>
    <cellStyle name="Total 2 5 4 39 4" xfId="56063"/>
    <cellStyle name="Total 2 5 4 39 5" xfId="56064"/>
    <cellStyle name="Total 2 5 4 4" xfId="56065"/>
    <cellStyle name="Total 2 5 4 4 2" xfId="56066"/>
    <cellStyle name="Total 2 5 4 4 2 2" xfId="56067"/>
    <cellStyle name="Total 2 5 4 4 2 3" xfId="56068"/>
    <cellStyle name="Total 2 5 4 4 3" xfId="56069"/>
    <cellStyle name="Total 2 5 4 4 3 2" xfId="56070"/>
    <cellStyle name="Total 2 5 4 4 3 3" xfId="56071"/>
    <cellStyle name="Total 2 5 4 4 4" xfId="56072"/>
    <cellStyle name="Total 2 5 4 4 5" xfId="56073"/>
    <cellStyle name="Total 2 5 4 40" xfId="56074"/>
    <cellStyle name="Total 2 5 4 40 2" xfId="56075"/>
    <cellStyle name="Total 2 5 4 40 2 2" xfId="56076"/>
    <cellStyle name="Total 2 5 4 40 2 3" xfId="56077"/>
    <cellStyle name="Total 2 5 4 40 3" xfId="56078"/>
    <cellStyle name="Total 2 5 4 40 4" xfId="56079"/>
    <cellStyle name="Total 2 5 4 41" xfId="56080"/>
    <cellStyle name="Total 2 5 4 41 2" xfId="56081"/>
    <cellStyle name="Total 2 5 4 41 3" xfId="56082"/>
    <cellStyle name="Total 2 5 4 42" xfId="56083"/>
    <cellStyle name="Total 2 5 4 42 2" xfId="56084"/>
    <cellStyle name="Total 2 5 4 42 3" xfId="56085"/>
    <cellStyle name="Total 2 5 4 43" xfId="56086"/>
    <cellStyle name="Total 2 5 4 44" xfId="56087"/>
    <cellStyle name="Total 2 5 4 5" xfId="56088"/>
    <cellStyle name="Total 2 5 4 5 2" xfId="56089"/>
    <cellStyle name="Total 2 5 4 5 2 2" xfId="56090"/>
    <cellStyle name="Total 2 5 4 5 2 3" xfId="56091"/>
    <cellStyle name="Total 2 5 4 5 3" xfId="56092"/>
    <cellStyle name="Total 2 5 4 5 3 2" xfId="56093"/>
    <cellStyle name="Total 2 5 4 5 3 3" xfId="56094"/>
    <cellStyle name="Total 2 5 4 5 4" xfId="56095"/>
    <cellStyle name="Total 2 5 4 5 5" xfId="56096"/>
    <cellStyle name="Total 2 5 4 6" xfId="56097"/>
    <cellStyle name="Total 2 5 4 6 2" xfId="56098"/>
    <cellStyle name="Total 2 5 4 6 2 2" xfId="56099"/>
    <cellStyle name="Total 2 5 4 6 2 3" xfId="56100"/>
    <cellStyle name="Total 2 5 4 6 3" xfId="56101"/>
    <cellStyle name="Total 2 5 4 6 3 2" xfId="56102"/>
    <cellStyle name="Total 2 5 4 6 3 3" xfId="56103"/>
    <cellStyle name="Total 2 5 4 6 4" xfId="56104"/>
    <cellStyle name="Total 2 5 4 6 5" xfId="56105"/>
    <cellStyle name="Total 2 5 4 7" xfId="56106"/>
    <cellStyle name="Total 2 5 4 7 2" xfId="56107"/>
    <cellStyle name="Total 2 5 4 7 2 2" xfId="56108"/>
    <cellStyle name="Total 2 5 4 7 2 3" xfId="56109"/>
    <cellStyle name="Total 2 5 4 7 3" xfId="56110"/>
    <cellStyle name="Total 2 5 4 7 3 2" xfId="56111"/>
    <cellStyle name="Total 2 5 4 7 3 3" xfId="56112"/>
    <cellStyle name="Total 2 5 4 7 4" xfId="56113"/>
    <cellStyle name="Total 2 5 4 7 5" xfId="56114"/>
    <cellStyle name="Total 2 5 4 8" xfId="56115"/>
    <cellStyle name="Total 2 5 4 8 2" xfId="56116"/>
    <cellStyle name="Total 2 5 4 8 2 2" xfId="56117"/>
    <cellStyle name="Total 2 5 4 8 2 3" xfId="56118"/>
    <cellStyle name="Total 2 5 4 8 3" xfId="56119"/>
    <cellStyle name="Total 2 5 4 8 3 2" xfId="56120"/>
    <cellStyle name="Total 2 5 4 8 3 3" xfId="56121"/>
    <cellStyle name="Total 2 5 4 8 4" xfId="56122"/>
    <cellStyle name="Total 2 5 4 8 5" xfId="56123"/>
    <cellStyle name="Total 2 5 4 9" xfId="56124"/>
    <cellStyle name="Total 2 5 4 9 2" xfId="56125"/>
    <cellStyle name="Total 2 5 4 9 2 2" xfId="56126"/>
    <cellStyle name="Total 2 5 4 9 2 3" xfId="56127"/>
    <cellStyle name="Total 2 5 4 9 3" xfId="56128"/>
    <cellStyle name="Total 2 5 4 9 3 2" xfId="56129"/>
    <cellStyle name="Total 2 5 4 9 3 3" xfId="56130"/>
    <cellStyle name="Total 2 5 4 9 4" xfId="56131"/>
    <cellStyle name="Total 2 5 4 9 5" xfId="56132"/>
    <cellStyle name="Total 2 5 40" xfId="56133"/>
    <cellStyle name="Total 2 5 40 2" xfId="56134"/>
    <cellStyle name="Total 2 5 40 3" xfId="56135"/>
    <cellStyle name="Total 2 5 41" xfId="56136"/>
    <cellStyle name="Total 2 5 41 2" xfId="56137"/>
    <cellStyle name="Total 2 5 41 3" xfId="56138"/>
    <cellStyle name="Total 2 5 42" xfId="56139"/>
    <cellStyle name="Total 2 5 42 2" xfId="56140"/>
    <cellStyle name="Total 2 5 42 3" xfId="56141"/>
    <cellStyle name="Total 2 5 43" xfId="56142"/>
    <cellStyle name="Total 2 5 44" xfId="56143"/>
    <cellStyle name="Total 2 5 5" xfId="56144"/>
    <cellStyle name="Total 2 5 5 10" xfId="56145"/>
    <cellStyle name="Total 2 5 5 10 2" xfId="56146"/>
    <cellStyle name="Total 2 5 5 10 2 2" xfId="56147"/>
    <cellStyle name="Total 2 5 5 10 2 3" xfId="56148"/>
    <cellStyle name="Total 2 5 5 10 3" xfId="56149"/>
    <cellStyle name="Total 2 5 5 10 3 2" xfId="56150"/>
    <cellStyle name="Total 2 5 5 10 3 3" xfId="56151"/>
    <cellStyle name="Total 2 5 5 10 4" xfId="56152"/>
    <cellStyle name="Total 2 5 5 10 5" xfId="56153"/>
    <cellStyle name="Total 2 5 5 11" xfId="56154"/>
    <cellStyle name="Total 2 5 5 11 2" xfId="56155"/>
    <cellStyle name="Total 2 5 5 11 2 2" xfId="56156"/>
    <cellStyle name="Total 2 5 5 11 2 3" xfId="56157"/>
    <cellStyle name="Total 2 5 5 11 3" xfId="56158"/>
    <cellStyle name="Total 2 5 5 11 3 2" xfId="56159"/>
    <cellStyle name="Total 2 5 5 11 3 3" xfId="56160"/>
    <cellStyle name="Total 2 5 5 11 4" xfId="56161"/>
    <cellStyle name="Total 2 5 5 11 5" xfId="56162"/>
    <cellStyle name="Total 2 5 5 12" xfId="56163"/>
    <cellStyle name="Total 2 5 5 12 2" xfId="56164"/>
    <cellStyle name="Total 2 5 5 12 2 2" xfId="56165"/>
    <cellStyle name="Total 2 5 5 12 2 3" xfId="56166"/>
    <cellStyle name="Total 2 5 5 12 3" xfId="56167"/>
    <cellStyle name="Total 2 5 5 12 3 2" xfId="56168"/>
    <cellStyle name="Total 2 5 5 12 3 3" xfId="56169"/>
    <cellStyle name="Total 2 5 5 12 4" xfId="56170"/>
    <cellStyle name="Total 2 5 5 12 5" xfId="56171"/>
    <cellStyle name="Total 2 5 5 13" xfId="56172"/>
    <cellStyle name="Total 2 5 5 13 2" xfId="56173"/>
    <cellStyle name="Total 2 5 5 13 2 2" xfId="56174"/>
    <cellStyle name="Total 2 5 5 13 2 3" xfId="56175"/>
    <cellStyle name="Total 2 5 5 13 3" xfId="56176"/>
    <cellStyle name="Total 2 5 5 13 3 2" xfId="56177"/>
    <cellStyle name="Total 2 5 5 13 3 3" xfId="56178"/>
    <cellStyle name="Total 2 5 5 13 4" xfId="56179"/>
    <cellStyle name="Total 2 5 5 13 5" xfId="56180"/>
    <cellStyle name="Total 2 5 5 14" xfId="56181"/>
    <cellStyle name="Total 2 5 5 14 2" xfId="56182"/>
    <cellStyle name="Total 2 5 5 14 2 2" xfId="56183"/>
    <cellStyle name="Total 2 5 5 14 2 3" xfId="56184"/>
    <cellStyle name="Total 2 5 5 14 3" xfId="56185"/>
    <cellStyle name="Total 2 5 5 14 3 2" xfId="56186"/>
    <cellStyle name="Total 2 5 5 14 3 3" xfId="56187"/>
    <cellStyle name="Total 2 5 5 14 4" xfId="56188"/>
    <cellStyle name="Total 2 5 5 14 5" xfId="56189"/>
    <cellStyle name="Total 2 5 5 15" xfId="56190"/>
    <cellStyle name="Total 2 5 5 15 2" xfId="56191"/>
    <cellStyle name="Total 2 5 5 15 2 2" xfId="56192"/>
    <cellStyle name="Total 2 5 5 15 2 3" xfId="56193"/>
    <cellStyle name="Total 2 5 5 15 3" xfId="56194"/>
    <cellStyle name="Total 2 5 5 15 3 2" xfId="56195"/>
    <cellStyle name="Total 2 5 5 15 3 3" xfId="56196"/>
    <cellStyle name="Total 2 5 5 15 4" xfId="56197"/>
    <cellStyle name="Total 2 5 5 15 5" xfId="56198"/>
    <cellStyle name="Total 2 5 5 16" xfId="56199"/>
    <cellStyle name="Total 2 5 5 16 2" xfId="56200"/>
    <cellStyle name="Total 2 5 5 16 2 2" xfId="56201"/>
    <cellStyle name="Total 2 5 5 16 2 3" xfId="56202"/>
    <cellStyle name="Total 2 5 5 16 3" xfId="56203"/>
    <cellStyle name="Total 2 5 5 16 3 2" xfId="56204"/>
    <cellStyle name="Total 2 5 5 16 3 3" xfId="56205"/>
    <cellStyle name="Total 2 5 5 16 4" xfId="56206"/>
    <cellStyle name="Total 2 5 5 16 5" xfId="56207"/>
    <cellStyle name="Total 2 5 5 17" xfId="56208"/>
    <cellStyle name="Total 2 5 5 17 2" xfId="56209"/>
    <cellStyle name="Total 2 5 5 17 2 2" xfId="56210"/>
    <cellStyle name="Total 2 5 5 17 2 3" xfId="56211"/>
    <cellStyle name="Total 2 5 5 17 3" xfId="56212"/>
    <cellStyle name="Total 2 5 5 17 3 2" xfId="56213"/>
    <cellStyle name="Total 2 5 5 17 3 3" xfId="56214"/>
    <cellStyle name="Total 2 5 5 17 4" xfId="56215"/>
    <cellStyle name="Total 2 5 5 17 5" xfId="56216"/>
    <cellStyle name="Total 2 5 5 18" xfId="56217"/>
    <cellStyle name="Total 2 5 5 18 2" xfId="56218"/>
    <cellStyle name="Total 2 5 5 18 2 2" xfId="56219"/>
    <cellStyle name="Total 2 5 5 18 2 3" xfId="56220"/>
    <cellStyle name="Total 2 5 5 18 3" xfId="56221"/>
    <cellStyle name="Total 2 5 5 18 3 2" xfId="56222"/>
    <cellStyle name="Total 2 5 5 18 3 3" xfId="56223"/>
    <cellStyle name="Total 2 5 5 18 4" xfId="56224"/>
    <cellStyle name="Total 2 5 5 18 5" xfId="56225"/>
    <cellStyle name="Total 2 5 5 19" xfId="56226"/>
    <cellStyle name="Total 2 5 5 19 2" xfId="56227"/>
    <cellStyle name="Total 2 5 5 19 2 2" xfId="56228"/>
    <cellStyle name="Total 2 5 5 19 2 3" xfId="56229"/>
    <cellStyle name="Total 2 5 5 19 3" xfId="56230"/>
    <cellStyle name="Total 2 5 5 19 3 2" xfId="56231"/>
    <cellStyle name="Total 2 5 5 19 3 3" xfId="56232"/>
    <cellStyle name="Total 2 5 5 19 4" xfId="56233"/>
    <cellStyle name="Total 2 5 5 19 5" xfId="56234"/>
    <cellStyle name="Total 2 5 5 2" xfId="56235"/>
    <cellStyle name="Total 2 5 5 2 2" xfId="56236"/>
    <cellStyle name="Total 2 5 5 2 2 2" xfId="56237"/>
    <cellStyle name="Total 2 5 5 2 2 3" xfId="56238"/>
    <cellStyle name="Total 2 5 5 2 3" xfId="56239"/>
    <cellStyle name="Total 2 5 5 2 3 2" xfId="56240"/>
    <cellStyle name="Total 2 5 5 2 3 3" xfId="56241"/>
    <cellStyle name="Total 2 5 5 2 4" xfId="56242"/>
    <cellStyle name="Total 2 5 5 2 5" xfId="56243"/>
    <cellStyle name="Total 2 5 5 20" xfId="56244"/>
    <cellStyle name="Total 2 5 5 20 2" xfId="56245"/>
    <cellStyle name="Total 2 5 5 20 2 2" xfId="56246"/>
    <cellStyle name="Total 2 5 5 20 2 3" xfId="56247"/>
    <cellStyle name="Total 2 5 5 20 3" xfId="56248"/>
    <cellStyle name="Total 2 5 5 20 3 2" xfId="56249"/>
    <cellStyle name="Total 2 5 5 20 3 3" xfId="56250"/>
    <cellStyle name="Total 2 5 5 20 4" xfId="56251"/>
    <cellStyle name="Total 2 5 5 20 5" xfId="56252"/>
    <cellStyle name="Total 2 5 5 21" xfId="56253"/>
    <cellStyle name="Total 2 5 5 21 2" xfId="56254"/>
    <cellStyle name="Total 2 5 5 21 2 2" xfId="56255"/>
    <cellStyle name="Total 2 5 5 21 2 3" xfId="56256"/>
    <cellStyle name="Total 2 5 5 21 3" xfId="56257"/>
    <cellStyle name="Total 2 5 5 21 3 2" xfId="56258"/>
    <cellStyle name="Total 2 5 5 21 3 3" xfId="56259"/>
    <cellStyle name="Total 2 5 5 21 4" xfId="56260"/>
    <cellStyle name="Total 2 5 5 21 5" xfId="56261"/>
    <cellStyle name="Total 2 5 5 22" xfId="56262"/>
    <cellStyle name="Total 2 5 5 22 2" xfId="56263"/>
    <cellStyle name="Total 2 5 5 22 2 2" xfId="56264"/>
    <cellStyle name="Total 2 5 5 22 2 3" xfId="56265"/>
    <cellStyle name="Total 2 5 5 22 3" xfId="56266"/>
    <cellStyle name="Total 2 5 5 22 3 2" xfId="56267"/>
    <cellStyle name="Total 2 5 5 22 3 3" xfId="56268"/>
    <cellStyle name="Total 2 5 5 22 4" xfId="56269"/>
    <cellStyle name="Total 2 5 5 22 5" xfId="56270"/>
    <cellStyle name="Total 2 5 5 23" xfId="56271"/>
    <cellStyle name="Total 2 5 5 23 2" xfId="56272"/>
    <cellStyle name="Total 2 5 5 23 2 2" xfId="56273"/>
    <cellStyle name="Total 2 5 5 23 2 3" xfId="56274"/>
    <cellStyle name="Total 2 5 5 23 3" xfId="56275"/>
    <cellStyle name="Total 2 5 5 23 3 2" xfId="56276"/>
    <cellStyle name="Total 2 5 5 23 3 3" xfId="56277"/>
    <cellStyle name="Total 2 5 5 23 4" xfId="56278"/>
    <cellStyle name="Total 2 5 5 23 5" xfId="56279"/>
    <cellStyle name="Total 2 5 5 24" xfId="56280"/>
    <cellStyle name="Total 2 5 5 24 2" xfId="56281"/>
    <cellStyle name="Total 2 5 5 24 2 2" xfId="56282"/>
    <cellStyle name="Total 2 5 5 24 2 3" xfId="56283"/>
    <cellStyle name="Total 2 5 5 24 3" xfId="56284"/>
    <cellStyle name="Total 2 5 5 24 3 2" xfId="56285"/>
    <cellStyle name="Total 2 5 5 24 3 3" xfId="56286"/>
    <cellStyle name="Total 2 5 5 24 4" xfId="56287"/>
    <cellStyle name="Total 2 5 5 24 5" xfId="56288"/>
    <cellStyle name="Total 2 5 5 25" xfId="56289"/>
    <cellStyle name="Total 2 5 5 25 2" xfId="56290"/>
    <cellStyle name="Total 2 5 5 25 2 2" xfId="56291"/>
    <cellStyle name="Total 2 5 5 25 2 3" xfId="56292"/>
    <cellStyle name="Total 2 5 5 25 3" xfId="56293"/>
    <cellStyle name="Total 2 5 5 25 3 2" xfId="56294"/>
    <cellStyle name="Total 2 5 5 25 3 3" xfId="56295"/>
    <cellStyle name="Total 2 5 5 25 4" xfId="56296"/>
    <cellStyle name="Total 2 5 5 25 5" xfId="56297"/>
    <cellStyle name="Total 2 5 5 26" xfId="56298"/>
    <cellStyle name="Total 2 5 5 26 2" xfId="56299"/>
    <cellStyle name="Total 2 5 5 26 2 2" xfId="56300"/>
    <cellStyle name="Total 2 5 5 26 2 3" xfId="56301"/>
    <cellStyle name="Total 2 5 5 26 3" xfId="56302"/>
    <cellStyle name="Total 2 5 5 26 3 2" xfId="56303"/>
    <cellStyle name="Total 2 5 5 26 3 3" xfId="56304"/>
    <cellStyle name="Total 2 5 5 26 4" xfId="56305"/>
    <cellStyle name="Total 2 5 5 26 5" xfId="56306"/>
    <cellStyle name="Total 2 5 5 27" xfId="56307"/>
    <cellStyle name="Total 2 5 5 27 2" xfId="56308"/>
    <cellStyle name="Total 2 5 5 27 2 2" xfId="56309"/>
    <cellStyle name="Total 2 5 5 27 2 3" xfId="56310"/>
    <cellStyle name="Total 2 5 5 27 3" xfId="56311"/>
    <cellStyle name="Total 2 5 5 27 3 2" xfId="56312"/>
    <cellStyle name="Total 2 5 5 27 3 3" xfId="56313"/>
    <cellStyle name="Total 2 5 5 27 4" xfId="56314"/>
    <cellStyle name="Total 2 5 5 27 5" xfId="56315"/>
    <cellStyle name="Total 2 5 5 28" xfId="56316"/>
    <cellStyle name="Total 2 5 5 28 2" xfId="56317"/>
    <cellStyle name="Total 2 5 5 28 2 2" xfId="56318"/>
    <cellStyle name="Total 2 5 5 28 2 3" xfId="56319"/>
    <cellStyle name="Total 2 5 5 28 3" xfId="56320"/>
    <cellStyle name="Total 2 5 5 28 3 2" xfId="56321"/>
    <cellStyle name="Total 2 5 5 28 3 3" xfId="56322"/>
    <cellStyle name="Total 2 5 5 28 4" xfId="56323"/>
    <cellStyle name="Total 2 5 5 28 5" xfId="56324"/>
    <cellStyle name="Total 2 5 5 29" xfId="56325"/>
    <cellStyle name="Total 2 5 5 29 2" xfId="56326"/>
    <cellStyle name="Total 2 5 5 29 2 2" xfId="56327"/>
    <cellStyle name="Total 2 5 5 29 2 3" xfId="56328"/>
    <cellStyle name="Total 2 5 5 29 3" xfId="56329"/>
    <cellStyle name="Total 2 5 5 29 3 2" xfId="56330"/>
    <cellStyle name="Total 2 5 5 29 3 3" xfId="56331"/>
    <cellStyle name="Total 2 5 5 29 4" xfId="56332"/>
    <cellStyle name="Total 2 5 5 29 5" xfId="56333"/>
    <cellStyle name="Total 2 5 5 3" xfId="56334"/>
    <cellStyle name="Total 2 5 5 3 2" xfId="56335"/>
    <cellStyle name="Total 2 5 5 3 2 2" xfId="56336"/>
    <cellStyle name="Total 2 5 5 3 2 3" xfId="56337"/>
    <cellStyle name="Total 2 5 5 3 3" xfId="56338"/>
    <cellStyle name="Total 2 5 5 3 3 2" xfId="56339"/>
    <cellStyle name="Total 2 5 5 3 3 3" xfId="56340"/>
    <cellStyle name="Total 2 5 5 3 4" xfId="56341"/>
    <cellStyle name="Total 2 5 5 3 5" xfId="56342"/>
    <cellStyle name="Total 2 5 5 30" xfId="56343"/>
    <cellStyle name="Total 2 5 5 30 2" xfId="56344"/>
    <cellStyle name="Total 2 5 5 30 2 2" xfId="56345"/>
    <cellStyle name="Total 2 5 5 30 2 3" xfId="56346"/>
    <cellStyle name="Total 2 5 5 30 3" xfId="56347"/>
    <cellStyle name="Total 2 5 5 30 3 2" xfId="56348"/>
    <cellStyle name="Total 2 5 5 30 3 3" xfId="56349"/>
    <cellStyle name="Total 2 5 5 30 4" xfId="56350"/>
    <cellStyle name="Total 2 5 5 30 5" xfId="56351"/>
    <cellStyle name="Total 2 5 5 31" xfId="56352"/>
    <cellStyle name="Total 2 5 5 31 2" xfId="56353"/>
    <cellStyle name="Total 2 5 5 31 2 2" xfId="56354"/>
    <cellStyle name="Total 2 5 5 31 2 3" xfId="56355"/>
    <cellStyle name="Total 2 5 5 31 3" xfId="56356"/>
    <cellStyle name="Total 2 5 5 31 3 2" xfId="56357"/>
    <cellStyle name="Total 2 5 5 31 3 3" xfId="56358"/>
    <cellStyle name="Total 2 5 5 31 4" xfId="56359"/>
    <cellStyle name="Total 2 5 5 31 5" xfId="56360"/>
    <cellStyle name="Total 2 5 5 32" xfId="56361"/>
    <cellStyle name="Total 2 5 5 32 2" xfId="56362"/>
    <cellStyle name="Total 2 5 5 32 2 2" xfId="56363"/>
    <cellStyle name="Total 2 5 5 32 2 3" xfId="56364"/>
    <cellStyle name="Total 2 5 5 32 3" xfId="56365"/>
    <cellStyle name="Total 2 5 5 32 3 2" xfId="56366"/>
    <cellStyle name="Total 2 5 5 32 3 3" xfId="56367"/>
    <cellStyle name="Total 2 5 5 32 4" xfId="56368"/>
    <cellStyle name="Total 2 5 5 32 5" xfId="56369"/>
    <cellStyle name="Total 2 5 5 33" xfId="56370"/>
    <cellStyle name="Total 2 5 5 33 2" xfId="56371"/>
    <cellStyle name="Total 2 5 5 33 2 2" xfId="56372"/>
    <cellStyle name="Total 2 5 5 33 2 3" xfId="56373"/>
    <cellStyle name="Total 2 5 5 33 3" xfId="56374"/>
    <cellStyle name="Total 2 5 5 33 3 2" xfId="56375"/>
    <cellStyle name="Total 2 5 5 33 3 3" xfId="56376"/>
    <cellStyle name="Total 2 5 5 33 4" xfId="56377"/>
    <cellStyle name="Total 2 5 5 33 5" xfId="56378"/>
    <cellStyle name="Total 2 5 5 34" xfId="56379"/>
    <cellStyle name="Total 2 5 5 34 2" xfId="56380"/>
    <cellStyle name="Total 2 5 5 34 2 2" xfId="56381"/>
    <cellStyle name="Total 2 5 5 34 2 3" xfId="56382"/>
    <cellStyle name="Total 2 5 5 34 3" xfId="56383"/>
    <cellStyle name="Total 2 5 5 34 3 2" xfId="56384"/>
    <cellStyle name="Total 2 5 5 34 3 3" xfId="56385"/>
    <cellStyle name="Total 2 5 5 34 4" xfId="56386"/>
    <cellStyle name="Total 2 5 5 34 5" xfId="56387"/>
    <cellStyle name="Total 2 5 5 35" xfId="56388"/>
    <cellStyle name="Total 2 5 5 35 2" xfId="56389"/>
    <cellStyle name="Total 2 5 5 35 2 2" xfId="56390"/>
    <cellStyle name="Total 2 5 5 35 2 3" xfId="56391"/>
    <cellStyle name="Total 2 5 5 35 3" xfId="56392"/>
    <cellStyle name="Total 2 5 5 35 3 2" xfId="56393"/>
    <cellStyle name="Total 2 5 5 35 3 3" xfId="56394"/>
    <cellStyle name="Total 2 5 5 35 4" xfId="56395"/>
    <cellStyle name="Total 2 5 5 35 5" xfId="56396"/>
    <cellStyle name="Total 2 5 5 36" xfId="56397"/>
    <cellStyle name="Total 2 5 5 36 2" xfId="56398"/>
    <cellStyle name="Total 2 5 5 36 2 2" xfId="56399"/>
    <cellStyle name="Total 2 5 5 36 2 3" xfId="56400"/>
    <cellStyle name="Total 2 5 5 36 3" xfId="56401"/>
    <cellStyle name="Total 2 5 5 36 3 2" xfId="56402"/>
    <cellStyle name="Total 2 5 5 36 3 3" xfId="56403"/>
    <cellStyle name="Total 2 5 5 36 4" xfId="56404"/>
    <cellStyle name="Total 2 5 5 36 5" xfId="56405"/>
    <cellStyle name="Total 2 5 5 37" xfId="56406"/>
    <cellStyle name="Total 2 5 5 37 2" xfId="56407"/>
    <cellStyle name="Total 2 5 5 37 2 2" xfId="56408"/>
    <cellStyle name="Total 2 5 5 37 2 3" xfId="56409"/>
    <cellStyle name="Total 2 5 5 37 3" xfId="56410"/>
    <cellStyle name="Total 2 5 5 37 3 2" xfId="56411"/>
    <cellStyle name="Total 2 5 5 37 3 3" xfId="56412"/>
    <cellStyle name="Total 2 5 5 37 4" xfId="56413"/>
    <cellStyle name="Total 2 5 5 37 5" xfId="56414"/>
    <cellStyle name="Total 2 5 5 38" xfId="56415"/>
    <cellStyle name="Total 2 5 5 38 2" xfId="56416"/>
    <cellStyle name="Total 2 5 5 38 2 2" xfId="56417"/>
    <cellStyle name="Total 2 5 5 38 2 3" xfId="56418"/>
    <cellStyle name="Total 2 5 5 38 3" xfId="56419"/>
    <cellStyle name="Total 2 5 5 38 3 2" xfId="56420"/>
    <cellStyle name="Total 2 5 5 38 3 3" xfId="56421"/>
    <cellStyle name="Total 2 5 5 38 4" xfId="56422"/>
    <cellStyle name="Total 2 5 5 38 5" xfId="56423"/>
    <cellStyle name="Total 2 5 5 39" xfId="56424"/>
    <cellStyle name="Total 2 5 5 39 2" xfId="56425"/>
    <cellStyle name="Total 2 5 5 39 2 2" xfId="56426"/>
    <cellStyle name="Total 2 5 5 39 2 3" xfId="56427"/>
    <cellStyle name="Total 2 5 5 39 3" xfId="56428"/>
    <cellStyle name="Total 2 5 5 39 3 2" xfId="56429"/>
    <cellStyle name="Total 2 5 5 39 3 3" xfId="56430"/>
    <cellStyle name="Total 2 5 5 39 4" xfId="56431"/>
    <cellStyle name="Total 2 5 5 39 5" xfId="56432"/>
    <cellStyle name="Total 2 5 5 4" xfId="56433"/>
    <cellStyle name="Total 2 5 5 4 2" xfId="56434"/>
    <cellStyle name="Total 2 5 5 4 2 2" xfId="56435"/>
    <cellStyle name="Total 2 5 5 4 2 3" xfId="56436"/>
    <cellStyle name="Total 2 5 5 4 3" xfId="56437"/>
    <cellStyle name="Total 2 5 5 4 3 2" xfId="56438"/>
    <cellStyle name="Total 2 5 5 4 3 3" xfId="56439"/>
    <cellStyle name="Total 2 5 5 4 4" xfId="56440"/>
    <cellStyle name="Total 2 5 5 4 5" xfId="56441"/>
    <cellStyle name="Total 2 5 5 40" xfId="56442"/>
    <cellStyle name="Total 2 5 5 40 2" xfId="56443"/>
    <cellStyle name="Total 2 5 5 40 2 2" xfId="56444"/>
    <cellStyle name="Total 2 5 5 40 2 3" xfId="56445"/>
    <cellStyle name="Total 2 5 5 40 3" xfId="56446"/>
    <cellStyle name="Total 2 5 5 40 3 2" xfId="56447"/>
    <cellStyle name="Total 2 5 5 40 3 3" xfId="56448"/>
    <cellStyle name="Total 2 5 5 40 4" xfId="56449"/>
    <cellStyle name="Total 2 5 5 40 5" xfId="56450"/>
    <cellStyle name="Total 2 5 5 41" xfId="56451"/>
    <cellStyle name="Total 2 5 5 41 2" xfId="56452"/>
    <cellStyle name="Total 2 5 5 41 2 2" xfId="56453"/>
    <cellStyle name="Total 2 5 5 41 2 3" xfId="56454"/>
    <cellStyle name="Total 2 5 5 41 3" xfId="56455"/>
    <cellStyle name="Total 2 5 5 41 3 2" xfId="56456"/>
    <cellStyle name="Total 2 5 5 41 3 3" xfId="56457"/>
    <cellStyle name="Total 2 5 5 41 4" xfId="56458"/>
    <cellStyle name="Total 2 5 5 41 5" xfId="56459"/>
    <cellStyle name="Total 2 5 5 42" xfId="56460"/>
    <cellStyle name="Total 2 5 5 42 2" xfId="56461"/>
    <cellStyle name="Total 2 5 5 42 2 2" xfId="56462"/>
    <cellStyle name="Total 2 5 5 42 2 3" xfId="56463"/>
    <cellStyle name="Total 2 5 5 42 3" xfId="56464"/>
    <cellStyle name="Total 2 5 5 42 4" xfId="56465"/>
    <cellStyle name="Total 2 5 5 43" xfId="56466"/>
    <cellStyle name="Total 2 5 5 43 2" xfId="56467"/>
    <cellStyle name="Total 2 5 5 43 3" xfId="56468"/>
    <cellStyle name="Total 2 5 5 44" xfId="56469"/>
    <cellStyle name="Total 2 5 5 45" xfId="56470"/>
    <cellStyle name="Total 2 5 5 5" xfId="56471"/>
    <cellStyle name="Total 2 5 5 5 2" xfId="56472"/>
    <cellStyle name="Total 2 5 5 5 2 2" xfId="56473"/>
    <cellStyle name="Total 2 5 5 5 2 3" xfId="56474"/>
    <cellStyle name="Total 2 5 5 5 3" xfId="56475"/>
    <cellStyle name="Total 2 5 5 5 3 2" xfId="56476"/>
    <cellStyle name="Total 2 5 5 5 3 3" xfId="56477"/>
    <cellStyle name="Total 2 5 5 5 4" xfId="56478"/>
    <cellStyle name="Total 2 5 5 5 5" xfId="56479"/>
    <cellStyle name="Total 2 5 5 6" xfId="56480"/>
    <cellStyle name="Total 2 5 5 6 2" xfId="56481"/>
    <cellStyle name="Total 2 5 5 6 2 2" xfId="56482"/>
    <cellStyle name="Total 2 5 5 6 2 3" xfId="56483"/>
    <cellStyle name="Total 2 5 5 6 3" xfId="56484"/>
    <cellStyle name="Total 2 5 5 6 3 2" xfId="56485"/>
    <cellStyle name="Total 2 5 5 6 3 3" xfId="56486"/>
    <cellStyle name="Total 2 5 5 6 4" xfId="56487"/>
    <cellStyle name="Total 2 5 5 6 5" xfId="56488"/>
    <cellStyle name="Total 2 5 5 7" xfId="56489"/>
    <cellStyle name="Total 2 5 5 7 2" xfId="56490"/>
    <cellStyle name="Total 2 5 5 7 2 2" xfId="56491"/>
    <cellStyle name="Total 2 5 5 7 2 3" xfId="56492"/>
    <cellStyle name="Total 2 5 5 7 3" xfId="56493"/>
    <cellStyle name="Total 2 5 5 7 3 2" xfId="56494"/>
    <cellStyle name="Total 2 5 5 7 3 3" xfId="56495"/>
    <cellStyle name="Total 2 5 5 7 4" xfId="56496"/>
    <cellStyle name="Total 2 5 5 7 5" xfId="56497"/>
    <cellStyle name="Total 2 5 5 8" xfId="56498"/>
    <cellStyle name="Total 2 5 5 8 2" xfId="56499"/>
    <cellStyle name="Total 2 5 5 8 2 2" xfId="56500"/>
    <cellStyle name="Total 2 5 5 8 2 3" xfId="56501"/>
    <cellStyle name="Total 2 5 5 8 3" xfId="56502"/>
    <cellStyle name="Total 2 5 5 8 3 2" xfId="56503"/>
    <cellStyle name="Total 2 5 5 8 3 3" xfId="56504"/>
    <cellStyle name="Total 2 5 5 8 4" xfId="56505"/>
    <cellStyle name="Total 2 5 5 8 5" xfId="56506"/>
    <cellStyle name="Total 2 5 5 9" xfId="56507"/>
    <cellStyle name="Total 2 5 5 9 2" xfId="56508"/>
    <cellStyle name="Total 2 5 5 9 2 2" xfId="56509"/>
    <cellStyle name="Total 2 5 5 9 2 3" xfId="56510"/>
    <cellStyle name="Total 2 5 5 9 3" xfId="56511"/>
    <cellStyle name="Total 2 5 5 9 3 2" xfId="56512"/>
    <cellStyle name="Total 2 5 5 9 3 3" xfId="56513"/>
    <cellStyle name="Total 2 5 5 9 4" xfId="56514"/>
    <cellStyle name="Total 2 5 5 9 5" xfId="56515"/>
    <cellStyle name="Total 2 5 6" xfId="56516"/>
    <cellStyle name="Total 2 5 6 2" xfId="56517"/>
    <cellStyle name="Total 2 5 6 2 2" xfId="56518"/>
    <cellStyle name="Total 2 5 6 2 3" xfId="56519"/>
    <cellStyle name="Total 2 5 6 3" xfId="56520"/>
    <cellStyle name="Total 2 5 6 3 2" xfId="56521"/>
    <cellStyle name="Total 2 5 6 3 3" xfId="56522"/>
    <cellStyle name="Total 2 5 6 4" xfId="56523"/>
    <cellStyle name="Total 2 5 6 5" xfId="56524"/>
    <cellStyle name="Total 2 5 7" xfId="56525"/>
    <cellStyle name="Total 2 5 7 2" xfId="56526"/>
    <cellStyle name="Total 2 5 7 2 2" xfId="56527"/>
    <cellStyle name="Total 2 5 7 2 3" xfId="56528"/>
    <cellStyle name="Total 2 5 7 3" xfId="56529"/>
    <cellStyle name="Total 2 5 7 3 2" xfId="56530"/>
    <cellStyle name="Total 2 5 7 3 3" xfId="56531"/>
    <cellStyle name="Total 2 5 7 4" xfId="56532"/>
    <cellStyle name="Total 2 5 7 5" xfId="56533"/>
    <cellStyle name="Total 2 5 8" xfId="56534"/>
    <cellStyle name="Total 2 5 8 2" xfId="56535"/>
    <cellStyle name="Total 2 5 8 2 2" xfId="56536"/>
    <cellStyle name="Total 2 5 8 2 3" xfId="56537"/>
    <cellStyle name="Total 2 5 8 3" xfId="56538"/>
    <cellStyle name="Total 2 5 8 3 2" xfId="56539"/>
    <cellStyle name="Total 2 5 8 3 3" xfId="56540"/>
    <cellStyle name="Total 2 5 8 4" xfId="56541"/>
    <cellStyle name="Total 2 5 8 5" xfId="56542"/>
    <cellStyle name="Total 2 5 9" xfId="56543"/>
    <cellStyle name="Total 2 5 9 2" xfId="56544"/>
    <cellStyle name="Total 2 5 9 2 2" xfId="56545"/>
    <cellStyle name="Total 2 5 9 2 3" xfId="56546"/>
    <cellStyle name="Total 2 5 9 3" xfId="56547"/>
    <cellStyle name="Total 2 5 9 3 2" xfId="56548"/>
    <cellStyle name="Total 2 5 9 3 3" xfId="56549"/>
    <cellStyle name="Total 2 5 9 4" xfId="56550"/>
    <cellStyle name="Total 2 5 9 5" xfId="56551"/>
    <cellStyle name="Total 2 6" xfId="56552"/>
    <cellStyle name="Total 2 6 10" xfId="56553"/>
    <cellStyle name="Total 2 6 10 2" xfId="56554"/>
    <cellStyle name="Total 2 6 10 2 2" xfId="56555"/>
    <cellStyle name="Total 2 6 10 2 3" xfId="56556"/>
    <cellStyle name="Total 2 6 10 3" xfId="56557"/>
    <cellStyle name="Total 2 6 10 3 2" xfId="56558"/>
    <cellStyle name="Total 2 6 10 3 3" xfId="56559"/>
    <cellStyle name="Total 2 6 10 4" xfId="56560"/>
    <cellStyle name="Total 2 6 10 5" xfId="56561"/>
    <cellStyle name="Total 2 6 11" xfId="56562"/>
    <cellStyle name="Total 2 6 11 2" xfId="56563"/>
    <cellStyle name="Total 2 6 11 2 2" xfId="56564"/>
    <cellStyle name="Total 2 6 11 2 3" xfId="56565"/>
    <cellStyle name="Total 2 6 11 3" xfId="56566"/>
    <cellStyle name="Total 2 6 11 3 2" xfId="56567"/>
    <cellStyle name="Total 2 6 11 3 3" xfId="56568"/>
    <cellStyle name="Total 2 6 11 4" xfId="56569"/>
    <cellStyle name="Total 2 6 11 5" xfId="56570"/>
    <cellStyle name="Total 2 6 12" xfId="56571"/>
    <cellStyle name="Total 2 6 12 2" xfId="56572"/>
    <cellStyle name="Total 2 6 12 2 2" xfId="56573"/>
    <cellStyle name="Total 2 6 12 2 3" xfId="56574"/>
    <cellStyle name="Total 2 6 12 3" xfId="56575"/>
    <cellStyle name="Total 2 6 12 3 2" xfId="56576"/>
    <cellStyle name="Total 2 6 12 3 3" xfId="56577"/>
    <cellStyle name="Total 2 6 12 4" xfId="56578"/>
    <cellStyle name="Total 2 6 12 5" xfId="56579"/>
    <cellStyle name="Total 2 6 13" xfId="56580"/>
    <cellStyle name="Total 2 6 13 2" xfId="56581"/>
    <cellStyle name="Total 2 6 13 2 2" xfId="56582"/>
    <cellStyle name="Total 2 6 13 2 3" xfId="56583"/>
    <cellStyle name="Total 2 6 13 3" xfId="56584"/>
    <cellStyle name="Total 2 6 13 3 2" xfId="56585"/>
    <cellStyle name="Total 2 6 13 3 3" xfId="56586"/>
    <cellStyle name="Total 2 6 13 4" xfId="56587"/>
    <cellStyle name="Total 2 6 13 5" xfId="56588"/>
    <cellStyle name="Total 2 6 14" xfId="56589"/>
    <cellStyle name="Total 2 6 14 2" xfId="56590"/>
    <cellStyle name="Total 2 6 14 2 2" xfId="56591"/>
    <cellStyle name="Total 2 6 14 2 3" xfId="56592"/>
    <cellStyle name="Total 2 6 14 3" xfId="56593"/>
    <cellStyle name="Total 2 6 14 3 2" xfId="56594"/>
    <cellStyle name="Total 2 6 14 3 3" xfId="56595"/>
    <cellStyle name="Total 2 6 14 4" xfId="56596"/>
    <cellStyle name="Total 2 6 14 5" xfId="56597"/>
    <cellStyle name="Total 2 6 15" xfId="56598"/>
    <cellStyle name="Total 2 6 15 2" xfId="56599"/>
    <cellStyle name="Total 2 6 15 2 2" xfId="56600"/>
    <cellStyle name="Total 2 6 15 2 3" xfId="56601"/>
    <cellStyle name="Total 2 6 15 3" xfId="56602"/>
    <cellStyle name="Total 2 6 15 3 2" xfId="56603"/>
    <cellStyle name="Total 2 6 15 3 3" xfId="56604"/>
    <cellStyle name="Total 2 6 15 4" xfId="56605"/>
    <cellStyle name="Total 2 6 15 5" xfId="56606"/>
    <cellStyle name="Total 2 6 16" xfId="56607"/>
    <cellStyle name="Total 2 6 16 2" xfId="56608"/>
    <cellStyle name="Total 2 6 16 2 2" xfId="56609"/>
    <cellStyle name="Total 2 6 16 2 3" xfId="56610"/>
    <cellStyle name="Total 2 6 16 3" xfId="56611"/>
    <cellStyle name="Total 2 6 16 3 2" xfId="56612"/>
    <cellStyle name="Total 2 6 16 3 3" xfId="56613"/>
    <cellStyle name="Total 2 6 16 4" xfId="56614"/>
    <cellStyle name="Total 2 6 16 5" xfId="56615"/>
    <cellStyle name="Total 2 6 17" xfId="56616"/>
    <cellStyle name="Total 2 6 17 2" xfId="56617"/>
    <cellStyle name="Total 2 6 17 2 2" xfId="56618"/>
    <cellStyle name="Total 2 6 17 2 3" xfId="56619"/>
    <cellStyle name="Total 2 6 17 3" xfId="56620"/>
    <cellStyle name="Total 2 6 17 3 2" xfId="56621"/>
    <cellStyle name="Total 2 6 17 3 3" xfId="56622"/>
    <cellStyle name="Total 2 6 17 4" xfId="56623"/>
    <cellStyle name="Total 2 6 17 5" xfId="56624"/>
    <cellStyle name="Total 2 6 18" xfId="56625"/>
    <cellStyle name="Total 2 6 18 2" xfId="56626"/>
    <cellStyle name="Total 2 6 18 2 2" xfId="56627"/>
    <cellStyle name="Total 2 6 18 2 3" xfId="56628"/>
    <cellStyle name="Total 2 6 18 3" xfId="56629"/>
    <cellStyle name="Total 2 6 18 3 2" xfId="56630"/>
    <cellStyle name="Total 2 6 18 3 3" xfId="56631"/>
    <cellStyle name="Total 2 6 18 4" xfId="56632"/>
    <cellStyle name="Total 2 6 18 5" xfId="56633"/>
    <cellStyle name="Total 2 6 19" xfId="56634"/>
    <cellStyle name="Total 2 6 19 2" xfId="56635"/>
    <cellStyle name="Total 2 6 19 2 2" xfId="56636"/>
    <cellStyle name="Total 2 6 19 2 3" xfId="56637"/>
    <cellStyle name="Total 2 6 19 3" xfId="56638"/>
    <cellStyle name="Total 2 6 19 3 2" xfId="56639"/>
    <cellStyle name="Total 2 6 19 3 3" xfId="56640"/>
    <cellStyle name="Total 2 6 19 4" xfId="56641"/>
    <cellStyle name="Total 2 6 19 5" xfId="56642"/>
    <cellStyle name="Total 2 6 2" xfId="56643"/>
    <cellStyle name="Total 2 6 2 2" xfId="56644"/>
    <cellStyle name="Total 2 6 2 2 2" xfId="56645"/>
    <cellStyle name="Total 2 6 2 2 3" xfId="56646"/>
    <cellStyle name="Total 2 6 2 3" xfId="56647"/>
    <cellStyle name="Total 2 6 2 3 2" xfId="56648"/>
    <cellStyle name="Total 2 6 2 3 3" xfId="56649"/>
    <cellStyle name="Total 2 6 2 4" xfId="56650"/>
    <cellStyle name="Total 2 6 2 4 2" xfId="56651"/>
    <cellStyle name="Total 2 6 2 4 3" xfId="56652"/>
    <cellStyle name="Total 2 6 2 5" xfId="56653"/>
    <cellStyle name="Total 2 6 2 5 2" xfId="56654"/>
    <cellStyle name="Total 2 6 2 5 3" xfId="56655"/>
    <cellStyle name="Total 2 6 2 6" xfId="56656"/>
    <cellStyle name="Total 2 6 2 7" xfId="56657"/>
    <cellStyle name="Total 2 6 20" xfId="56658"/>
    <cellStyle name="Total 2 6 20 2" xfId="56659"/>
    <cellStyle name="Total 2 6 20 2 2" xfId="56660"/>
    <cellStyle name="Total 2 6 20 2 3" xfId="56661"/>
    <cellStyle name="Total 2 6 20 3" xfId="56662"/>
    <cellStyle name="Total 2 6 20 3 2" xfId="56663"/>
    <cellStyle name="Total 2 6 20 3 3" xfId="56664"/>
    <cellStyle name="Total 2 6 20 4" xfId="56665"/>
    <cellStyle name="Total 2 6 20 5" xfId="56666"/>
    <cellStyle name="Total 2 6 21" xfId="56667"/>
    <cellStyle name="Total 2 6 21 2" xfId="56668"/>
    <cellStyle name="Total 2 6 21 2 2" xfId="56669"/>
    <cellStyle name="Total 2 6 21 2 3" xfId="56670"/>
    <cellStyle name="Total 2 6 21 3" xfId="56671"/>
    <cellStyle name="Total 2 6 21 3 2" xfId="56672"/>
    <cellStyle name="Total 2 6 21 3 3" xfId="56673"/>
    <cellStyle name="Total 2 6 21 4" xfId="56674"/>
    <cellStyle name="Total 2 6 21 5" xfId="56675"/>
    <cellStyle name="Total 2 6 22" xfId="56676"/>
    <cellStyle name="Total 2 6 22 2" xfId="56677"/>
    <cellStyle name="Total 2 6 22 2 2" xfId="56678"/>
    <cellStyle name="Total 2 6 22 2 3" xfId="56679"/>
    <cellStyle name="Total 2 6 22 3" xfId="56680"/>
    <cellStyle name="Total 2 6 22 3 2" xfId="56681"/>
    <cellStyle name="Total 2 6 22 3 3" xfId="56682"/>
    <cellStyle name="Total 2 6 22 4" xfId="56683"/>
    <cellStyle name="Total 2 6 22 5" xfId="56684"/>
    <cellStyle name="Total 2 6 23" xfId="56685"/>
    <cellStyle name="Total 2 6 23 2" xfId="56686"/>
    <cellStyle name="Total 2 6 23 2 2" xfId="56687"/>
    <cellStyle name="Total 2 6 23 2 3" xfId="56688"/>
    <cellStyle name="Total 2 6 23 3" xfId="56689"/>
    <cellStyle name="Total 2 6 23 3 2" xfId="56690"/>
    <cellStyle name="Total 2 6 23 3 3" xfId="56691"/>
    <cellStyle name="Total 2 6 23 4" xfId="56692"/>
    <cellStyle name="Total 2 6 23 5" xfId="56693"/>
    <cellStyle name="Total 2 6 24" xfId="56694"/>
    <cellStyle name="Total 2 6 24 2" xfId="56695"/>
    <cellStyle name="Total 2 6 24 2 2" xfId="56696"/>
    <cellStyle name="Total 2 6 24 2 3" xfId="56697"/>
    <cellStyle name="Total 2 6 24 3" xfId="56698"/>
    <cellStyle name="Total 2 6 24 3 2" xfId="56699"/>
    <cellStyle name="Total 2 6 24 3 3" xfId="56700"/>
    <cellStyle name="Total 2 6 24 4" xfId="56701"/>
    <cellStyle name="Total 2 6 24 5" xfId="56702"/>
    <cellStyle name="Total 2 6 25" xfId="56703"/>
    <cellStyle name="Total 2 6 25 2" xfId="56704"/>
    <cellStyle name="Total 2 6 25 2 2" xfId="56705"/>
    <cellStyle name="Total 2 6 25 2 3" xfId="56706"/>
    <cellStyle name="Total 2 6 25 3" xfId="56707"/>
    <cellStyle name="Total 2 6 25 3 2" xfId="56708"/>
    <cellStyle name="Total 2 6 25 3 3" xfId="56709"/>
    <cellStyle name="Total 2 6 25 4" xfId="56710"/>
    <cellStyle name="Total 2 6 25 5" xfId="56711"/>
    <cellStyle name="Total 2 6 26" xfId="56712"/>
    <cellStyle name="Total 2 6 26 2" xfId="56713"/>
    <cellStyle name="Total 2 6 26 2 2" xfId="56714"/>
    <cellStyle name="Total 2 6 26 2 3" xfId="56715"/>
    <cellStyle name="Total 2 6 26 3" xfId="56716"/>
    <cellStyle name="Total 2 6 26 3 2" xfId="56717"/>
    <cellStyle name="Total 2 6 26 3 3" xfId="56718"/>
    <cellStyle name="Total 2 6 26 4" xfId="56719"/>
    <cellStyle name="Total 2 6 26 5" xfId="56720"/>
    <cellStyle name="Total 2 6 27" xfId="56721"/>
    <cellStyle name="Total 2 6 27 2" xfId="56722"/>
    <cellStyle name="Total 2 6 27 2 2" xfId="56723"/>
    <cellStyle name="Total 2 6 27 2 3" xfId="56724"/>
    <cellStyle name="Total 2 6 27 3" xfId="56725"/>
    <cellStyle name="Total 2 6 27 3 2" xfId="56726"/>
    <cellStyle name="Total 2 6 27 3 3" xfId="56727"/>
    <cellStyle name="Total 2 6 27 4" xfId="56728"/>
    <cellStyle name="Total 2 6 27 5" xfId="56729"/>
    <cellStyle name="Total 2 6 28" xfId="56730"/>
    <cellStyle name="Total 2 6 28 2" xfId="56731"/>
    <cellStyle name="Total 2 6 28 2 2" xfId="56732"/>
    <cellStyle name="Total 2 6 28 2 3" xfId="56733"/>
    <cellStyle name="Total 2 6 28 3" xfId="56734"/>
    <cellStyle name="Total 2 6 28 3 2" xfId="56735"/>
    <cellStyle name="Total 2 6 28 3 3" xfId="56736"/>
    <cellStyle name="Total 2 6 28 4" xfId="56737"/>
    <cellStyle name="Total 2 6 28 5" xfId="56738"/>
    <cellStyle name="Total 2 6 29" xfId="56739"/>
    <cellStyle name="Total 2 6 29 2" xfId="56740"/>
    <cellStyle name="Total 2 6 29 2 2" xfId="56741"/>
    <cellStyle name="Total 2 6 29 2 3" xfId="56742"/>
    <cellStyle name="Total 2 6 29 3" xfId="56743"/>
    <cellStyle name="Total 2 6 29 3 2" xfId="56744"/>
    <cellStyle name="Total 2 6 29 3 3" xfId="56745"/>
    <cellStyle name="Total 2 6 29 4" xfId="56746"/>
    <cellStyle name="Total 2 6 29 5" xfId="56747"/>
    <cellStyle name="Total 2 6 3" xfId="56748"/>
    <cellStyle name="Total 2 6 3 2" xfId="56749"/>
    <cellStyle name="Total 2 6 3 2 2" xfId="56750"/>
    <cellStyle name="Total 2 6 3 2 3" xfId="56751"/>
    <cellStyle name="Total 2 6 3 3" xfId="56752"/>
    <cellStyle name="Total 2 6 3 3 2" xfId="56753"/>
    <cellStyle name="Total 2 6 3 3 3" xfId="56754"/>
    <cellStyle name="Total 2 6 3 4" xfId="56755"/>
    <cellStyle name="Total 2 6 3 4 2" xfId="56756"/>
    <cellStyle name="Total 2 6 3 4 3" xfId="56757"/>
    <cellStyle name="Total 2 6 3 5" xfId="56758"/>
    <cellStyle name="Total 2 6 3 5 2" xfId="56759"/>
    <cellStyle name="Total 2 6 3 5 3" xfId="56760"/>
    <cellStyle name="Total 2 6 3 6" xfId="56761"/>
    <cellStyle name="Total 2 6 3 7" xfId="56762"/>
    <cellStyle name="Total 2 6 30" xfId="56763"/>
    <cellStyle name="Total 2 6 30 2" xfId="56764"/>
    <cellStyle name="Total 2 6 30 2 2" xfId="56765"/>
    <cellStyle name="Total 2 6 30 2 3" xfId="56766"/>
    <cellStyle name="Total 2 6 30 3" xfId="56767"/>
    <cellStyle name="Total 2 6 30 3 2" xfId="56768"/>
    <cellStyle name="Total 2 6 30 3 3" xfId="56769"/>
    <cellStyle name="Total 2 6 30 4" xfId="56770"/>
    <cellStyle name="Total 2 6 30 5" xfId="56771"/>
    <cellStyle name="Total 2 6 31" xfId="56772"/>
    <cellStyle name="Total 2 6 31 2" xfId="56773"/>
    <cellStyle name="Total 2 6 31 2 2" xfId="56774"/>
    <cellStyle name="Total 2 6 31 2 3" xfId="56775"/>
    <cellStyle name="Total 2 6 31 3" xfId="56776"/>
    <cellStyle name="Total 2 6 31 3 2" xfId="56777"/>
    <cellStyle name="Total 2 6 31 3 3" xfId="56778"/>
    <cellStyle name="Total 2 6 31 4" xfId="56779"/>
    <cellStyle name="Total 2 6 31 5" xfId="56780"/>
    <cellStyle name="Total 2 6 32" xfId="56781"/>
    <cellStyle name="Total 2 6 32 2" xfId="56782"/>
    <cellStyle name="Total 2 6 32 2 2" xfId="56783"/>
    <cellStyle name="Total 2 6 32 2 3" xfId="56784"/>
    <cellStyle name="Total 2 6 32 3" xfId="56785"/>
    <cellStyle name="Total 2 6 32 3 2" xfId="56786"/>
    <cellStyle name="Total 2 6 32 3 3" xfId="56787"/>
    <cellStyle name="Total 2 6 32 4" xfId="56788"/>
    <cellStyle name="Total 2 6 32 5" xfId="56789"/>
    <cellStyle name="Total 2 6 33" xfId="56790"/>
    <cellStyle name="Total 2 6 33 2" xfId="56791"/>
    <cellStyle name="Total 2 6 33 2 2" xfId="56792"/>
    <cellStyle name="Total 2 6 33 2 3" xfId="56793"/>
    <cellStyle name="Total 2 6 33 3" xfId="56794"/>
    <cellStyle name="Total 2 6 33 3 2" xfId="56795"/>
    <cellStyle name="Total 2 6 33 3 3" xfId="56796"/>
    <cellStyle name="Total 2 6 33 4" xfId="56797"/>
    <cellStyle name="Total 2 6 33 5" xfId="56798"/>
    <cellStyle name="Total 2 6 34" xfId="56799"/>
    <cellStyle name="Total 2 6 34 2" xfId="56800"/>
    <cellStyle name="Total 2 6 34 2 2" xfId="56801"/>
    <cellStyle name="Total 2 6 34 2 3" xfId="56802"/>
    <cellStyle name="Total 2 6 34 3" xfId="56803"/>
    <cellStyle name="Total 2 6 34 3 2" xfId="56804"/>
    <cellStyle name="Total 2 6 34 3 3" xfId="56805"/>
    <cellStyle name="Total 2 6 34 4" xfId="56806"/>
    <cellStyle name="Total 2 6 34 5" xfId="56807"/>
    <cellStyle name="Total 2 6 35" xfId="56808"/>
    <cellStyle name="Total 2 6 35 2" xfId="56809"/>
    <cellStyle name="Total 2 6 35 2 2" xfId="56810"/>
    <cellStyle name="Total 2 6 35 2 3" xfId="56811"/>
    <cellStyle name="Total 2 6 35 3" xfId="56812"/>
    <cellStyle name="Total 2 6 35 3 2" xfId="56813"/>
    <cellStyle name="Total 2 6 35 3 3" xfId="56814"/>
    <cellStyle name="Total 2 6 35 4" xfId="56815"/>
    <cellStyle name="Total 2 6 35 5" xfId="56816"/>
    <cellStyle name="Total 2 6 36" xfId="56817"/>
    <cellStyle name="Total 2 6 36 2" xfId="56818"/>
    <cellStyle name="Total 2 6 36 2 2" xfId="56819"/>
    <cellStyle name="Total 2 6 36 2 3" xfId="56820"/>
    <cellStyle name="Total 2 6 36 3" xfId="56821"/>
    <cellStyle name="Total 2 6 36 3 2" xfId="56822"/>
    <cellStyle name="Total 2 6 36 3 3" xfId="56823"/>
    <cellStyle name="Total 2 6 36 4" xfId="56824"/>
    <cellStyle name="Total 2 6 36 5" xfId="56825"/>
    <cellStyle name="Total 2 6 37" xfId="56826"/>
    <cellStyle name="Total 2 6 37 2" xfId="56827"/>
    <cellStyle name="Total 2 6 37 2 2" xfId="56828"/>
    <cellStyle name="Total 2 6 37 2 3" xfId="56829"/>
    <cellStyle name="Total 2 6 37 3" xfId="56830"/>
    <cellStyle name="Total 2 6 37 3 2" xfId="56831"/>
    <cellStyle name="Total 2 6 37 3 3" xfId="56832"/>
    <cellStyle name="Total 2 6 37 4" xfId="56833"/>
    <cellStyle name="Total 2 6 37 5" xfId="56834"/>
    <cellStyle name="Total 2 6 38" xfId="56835"/>
    <cellStyle name="Total 2 6 38 2" xfId="56836"/>
    <cellStyle name="Total 2 6 38 2 2" xfId="56837"/>
    <cellStyle name="Total 2 6 38 2 3" xfId="56838"/>
    <cellStyle name="Total 2 6 38 3" xfId="56839"/>
    <cellStyle name="Total 2 6 38 3 2" xfId="56840"/>
    <cellStyle name="Total 2 6 38 3 3" xfId="56841"/>
    <cellStyle name="Total 2 6 38 4" xfId="56842"/>
    <cellStyle name="Total 2 6 38 5" xfId="56843"/>
    <cellStyle name="Total 2 6 39" xfId="56844"/>
    <cellStyle name="Total 2 6 39 2" xfId="56845"/>
    <cellStyle name="Total 2 6 39 2 2" xfId="56846"/>
    <cellStyle name="Total 2 6 39 2 3" xfId="56847"/>
    <cellStyle name="Total 2 6 39 3" xfId="56848"/>
    <cellStyle name="Total 2 6 39 4" xfId="56849"/>
    <cellStyle name="Total 2 6 4" xfId="56850"/>
    <cellStyle name="Total 2 6 4 2" xfId="56851"/>
    <cellStyle name="Total 2 6 4 2 2" xfId="56852"/>
    <cellStyle name="Total 2 6 4 2 3" xfId="56853"/>
    <cellStyle name="Total 2 6 4 3" xfId="56854"/>
    <cellStyle name="Total 2 6 4 3 2" xfId="56855"/>
    <cellStyle name="Total 2 6 4 3 3" xfId="56856"/>
    <cellStyle name="Total 2 6 4 4" xfId="56857"/>
    <cellStyle name="Total 2 6 4 5" xfId="56858"/>
    <cellStyle name="Total 2 6 40" xfId="56859"/>
    <cellStyle name="Total 2 6 40 2" xfId="56860"/>
    <cellStyle name="Total 2 6 40 3" xfId="56861"/>
    <cellStyle name="Total 2 6 41" xfId="56862"/>
    <cellStyle name="Total 2 6 41 2" xfId="56863"/>
    <cellStyle name="Total 2 6 41 3" xfId="56864"/>
    <cellStyle name="Total 2 6 42" xfId="56865"/>
    <cellStyle name="Total 2 6 42 2" xfId="56866"/>
    <cellStyle name="Total 2 6 42 3" xfId="56867"/>
    <cellStyle name="Total 2 6 43" xfId="56868"/>
    <cellStyle name="Total 2 6 43 2" xfId="56869"/>
    <cellStyle name="Total 2 6 43 3" xfId="56870"/>
    <cellStyle name="Total 2 6 44" xfId="56871"/>
    <cellStyle name="Total 2 6 45" xfId="56872"/>
    <cellStyle name="Total 2 6 5" xfId="56873"/>
    <cellStyle name="Total 2 6 5 2" xfId="56874"/>
    <cellStyle name="Total 2 6 5 2 2" xfId="56875"/>
    <cellStyle name="Total 2 6 5 2 3" xfId="56876"/>
    <cellStyle name="Total 2 6 5 3" xfId="56877"/>
    <cellStyle name="Total 2 6 5 3 2" xfId="56878"/>
    <cellStyle name="Total 2 6 5 3 3" xfId="56879"/>
    <cellStyle name="Total 2 6 5 4" xfId="56880"/>
    <cellStyle name="Total 2 6 5 5" xfId="56881"/>
    <cellStyle name="Total 2 6 6" xfId="56882"/>
    <cellStyle name="Total 2 6 6 2" xfId="56883"/>
    <cellStyle name="Total 2 6 6 2 2" xfId="56884"/>
    <cellStyle name="Total 2 6 6 2 3" xfId="56885"/>
    <cellStyle name="Total 2 6 6 3" xfId="56886"/>
    <cellStyle name="Total 2 6 6 3 2" xfId="56887"/>
    <cellStyle name="Total 2 6 6 3 3" xfId="56888"/>
    <cellStyle name="Total 2 6 6 4" xfId="56889"/>
    <cellStyle name="Total 2 6 6 5" xfId="56890"/>
    <cellStyle name="Total 2 6 7" xfId="56891"/>
    <cellStyle name="Total 2 6 7 2" xfId="56892"/>
    <cellStyle name="Total 2 6 7 2 2" xfId="56893"/>
    <cellStyle name="Total 2 6 7 2 3" xfId="56894"/>
    <cellStyle name="Total 2 6 7 3" xfId="56895"/>
    <cellStyle name="Total 2 6 7 3 2" xfId="56896"/>
    <cellStyle name="Total 2 6 7 3 3" xfId="56897"/>
    <cellStyle name="Total 2 6 7 4" xfId="56898"/>
    <cellStyle name="Total 2 6 7 5" xfId="56899"/>
    <cellStyle name="Total 2 6 8" xfId="56900"/>
    <cellStyle name="Total 2 6 8 2" xfId="56901"/>
    <cellStyle name="Total 2 6 8 2 2" xfId="56902"/>
    <cellStyle name="Total 2 6 8 2 3" xfId="56903"/>
    <cellStyle name="Total 2 6 8 3" xfId="56904"/>
    <cellStyle name="Total 2 6 8 3 2" xfId="56905"/>
    <cellStyle name="Total 2 6 8 3 3" xfId="56906"/>
    <cellStyle name="Total 2 6 8 4" xfId="56907"/>
    <cellStyle name="Total 2 6 8 5" xfId="56908"/>
    <cellStyle name="Total 2 6 9" xfId="56909"/>
    <cellStyle name="Total 2 6 9 2" xfId="56910"/>
    <cellStyle name="Total 2 6 9 2 2" xfId="56911"/>
    <cellStyle name="Total 2 6 9 2 3" xfId="56912"/>
    <cellStyle name="Total 2 6 9 3" xfId="56913"/>
    <cellStyle name="Total 2 6 9 3 2" xfId="56914"/>
    <cellStyle name="Total 2 6 9 3 3" xfId="56915"/>
    <cellStyle name="Total 2 6 9 4" xfId="56916"/>
    <cellStyle name="Total 2 6 9 5" xfId="56917"/>
    <cellStyle name="Total 2 7" xfId="56918"/>
    <cellStyle name="Total 2 7 10" xfId="56919"/>
    <cellStyle name="Total 2 7 10 2" xfId="56920"/>
    <cellStyle name="Total 2 7 10 2 2" xfId="56921"/>
    <cellStyle name="Total 2 7 10 2 3" xfId="56922"/>
    <cellStyle name="Total 2 7 10 3" xfId="56923"/>
    <cellStyle name="Total 2 7 10 3 2" xfId="56924"/>
    <cellStyle name="Total 2 7 10 3 3" xfId="56925"/>
    <cellStyle name="Total 2 7 10 4" xfId="56926"/>
    <cellStyle name="Total 2 7 10 5" xfId="56927"/>
    <cellStyle name="Total 2 7 11" xfId="56928"/>
    <cellStyle name="Total 2 7 11 2" xfId="56929"/>
    <cellStyle name="Total 2 7 11 2 2" xfId="56930"/>
    <cellStyle name="Total 2 7 11 2 3" xfId="56931"/>
    <cellStyle name="Total 2 7 11 3" xfId="56932"/>
    <cellStyle name="Total 2 7 11 3 2" xfId="56933"/>
    <cellStyle name="Total 2 7 11 3 3" xfId="56934"/>
    <cellStyle name="Total 2 7 11 4" xfId="56935"/>
    <cellStyle name="Total 2 7 11 5" xfId="56936"/>
    <cellStyle name="Total 2 7 12" xfId="56937"/>
    <cellStyle name="Total 2 7 12 2" xfId="56938"/>
    <cellStyle name="Total 2 7 12 2 2" xfId="56939"/>
    <cellStyle name="Total 2 7 12 2 3" xfId="56940"/>
    <cellStyle name="Total 2 7 12 3" xfId="56941"/>
    <cellStyle name="Total 2 7 12 3 2" xfId="56942"/>
    <cellStyle name="Total 2 7 12 3 3" xfId="56943"/>
    <cellStyle name="Total 2 7 12 4" xfId="56944"/>
    <cellStyle name="Total 2 7 12 5" xfId="56945"/>
    <cellStyle name="Total 2 7 13" xfId="56946"/>
    <cellStyle name="Total 2 7 13 2" xfId="56947"/>
    <cellStyle name="Total 2 7 13 2 2" xfId="56948"/>
    <cellStyle name="Total 2 7 13 2 3" xfId="56949"/>
    <cellStyle name="Total 2 7 13 3" xfId="56950"/>
    <cellStyle name="Total 2 7 13 3 2" xfId="56951"/>
    <cellStyle name="Total 2 7 13 3 3" xfId="56952"/>
    <cellStyle name="Total 2 7 13 4" xfId="56953"/>
    <cellStyle name="Total 2 7 13 5" xfId="56954"/>
    <cellStyle name="Total 2 7 14" xfId="56955"/>
    <cellStyle name="Total 2 7 14 2" xfId="56956"/>
    <cellStyle name="Total 2 7 14 2 2" xfId="56957"/>
    <cellStyle name="Total 2 7 14 2 3" xfId="56958"/>
    <cellStyle name="Total 2 7 14 3" xfId="56959"/>
    <cellStyle name="Total 2 7 14 3 2" xfId="56960"/>
    <cellStyle name="Total 2 7 14 3 3" xfId="56961"/>
    <cellStyle name="Total 2 7 14 4" xfId="56962"/>
    <cellStyle name="Total 2 7 14 5" xfId="56963"/>
    <cellStyle name="Total 2 7 15" xfId="56964"/>
    <cellStyle name="Total 2 7 15 2" xfId="56965"/>
    <cellStyle name="Total 2 7 15 2 2" xfId="56966"/>
    <cellStyle name="Total 2 7 15 2 3" xfId="56967"/>
    <cellStyle name="Total 2 7 15 3" xfId="56968"/>
    <cellStyle name="Total 2 7 15 3 2" xfId="56969"/>
    <cellStyle name="Total 2 7 15 3 3" xfId="56970"/>
    <cellStyle name="Total 2 7 15 4" xfId="56971"/>
    <cellStyle name="Total 2 7 15 5" xfId="56972"/>
    <cellStyle name="Total 2 7 16" xfId="56973"/>
    <cellStyle name="Total 2 7 16 2" xfId="56974"/>
    <cellStyle name="Total 2 7 16 2 2" xfId="56975"/>
    <cellStyle name="Total 2 7 16 2 3" xfId="56976"/>
    <cellStyle name="Total 2 7 16 3" xfId="56977"/>
    <cellStyle name="Total 2 7 16 3 2" xfId="56978"/>
    <cellStyle name="Total 2 7 16 3 3" xfId="56979"/>
    <cellStyle name="Total 2 7 16 4" xfId="56980"/>
    <cellStyle name="Total 2 7 16 5" xfId="56981"/>
    <cellStyle name="Total 2 7 17" xfId="56982"/>
    <cellStyle name="Total 2 7 17 2" xfId="56983"/>
    <cellStyle name="Total 2 7 17 2 2" xfId="56984"/>
    <cellStyle name="Total 2 7 17 2 3" xfId="56985"/>
    <cellStyle name="Total 2 7 17 3" xfId="56986"/>
    <cellStyle name="Total 2 7 17 3 2" xfId="56987"/>
    <cellStyle name="Total 2 7 17 3 3" xfId="56988"/>
    <cellStyle name="Total 2 7 17 4" xfId="56989"/>
    <cellStyle name="Total 2 7 17 5" xfId="56990"/>
    <cellStyle name="Total 2 7 18" xfId="56991"/>
    <cellStyle name="Total 2 7 18 2" xfId="56992"/>
    <cellStyle name="Total 2 7 18 2 2" xfId="56993"/>
    <cellStyle name="Total 2 7 18 2 3" xfId="56994"/>
    <cellStyle name="Total 2 7 18 3" xfId="56995"/>
    <cellStyle name="Total 2 7 18 3 2" xfId="56996"/>
    <cellStyle name="Total 2 7 18 3 3" xfId="56997"/>
    <cellStyle name="Total 2 7 18 4" xfId="56998"/>
    <cellStyle name="Total 2 7 18 5" xfId="56999"/>
    <cellStyle name="Total 2 7 19" xfId="57000"/>
    <cellStyle name="Total 2 7 19 2" xfId="57001"/>
    <cellStyle name="Total 2 7 19 2 2" xfId="57002"/>
    <cellStyle name="Total 2 7 19 2 3" xfId="57003"/>
    <cellStyle name="Total 2 7 19 3" xfId="57004"/>
    <cellStyle name="Total 2 7 19 3 2" xfId="57005"/>
    <cellStyle name="Total 2 7 19 3 3" xfId="57006"/>
    <cellStyle name="Total 2 7 19 4" xfId="57007"/>
    <cellStyle name="Total 2 7 19 5" xfId="57008"/>
    <cellStyle name="Total 2 7 2" xfId="57009"/>
    <cellStyle name="Total 2 7 2 2" xfId="57010"/>
    <cellStyle name="Total 2 7 2 2 2" xfId="57011"/>
    <cellStyle name="Total 2 7 2 2 3" xfId="57012"/>
    <cellStyle name="Total 2 7 2 3" xfId="57013"/>
    <cellStyle name="Total 2 7 2 3 2" xfId="57014"/>
    <cellStyle name="Total 2 7 2 3 3" xfId="57015"/>
    <cellStyle name="Total 2 7 2 4" xfId="57016"/>
    <cellStyle name="Total 2 7 2 4 2" xfId="57017"/>
    <cellStyle name="Total 2 7 2 4 3" xfId="57018"/>
    <cellStyle name="Total 2 7 2 5" xfId="57019"/>
    <cellStyle name="Total 2 7 2 5 2" xfId="57020"/>
    <cellStyle name="Total 2 7 2 5 3" xfId="57021"/>
    <cellStyle name="Total 2 7 2 6" xfId="57022"/>
    <cellStyle name="Total 2 7 2 7" xfId="57023"/>
    <cellStyle name="Total 2 7 20" xfId="57024"/>
    <cellStyle name="Total 2 7 20 2" xfId="57025"/>
    <cellStyle name="Total 2 7 20 2 2" xfId="57026"/>
    <cellStyle name="Total 2 7 20 2 3" xfId="57027"/>
    <cellStyle name="Total 2 7 20 3" xfId="57028"/>
    <cellStyle name="Total 2 7 20 3 2" xfId="57029"/>
    <cellStyle name="Total 2 7 20 3 3" xfId="57030"/>
    <cellStyle name="Total 2 7 20 4" xfId="57031"/>
    <cellStyle name="Total 2 7 20 5" xfId="57032"/>
    <cellStyle name="Total 2 7 21" xfId="57033"/>
    <cellStyle name="Total 2 7 21 2" xfId="57034"/>
    <cellStyle name="Total 2 7 21 2 2" xfId="57035"/>
    <cellStyle name="Total 2 7 21 2 3" xfId="57036"/>
    <cellStyle name="Total 2 7 21 3" xfId="57037"/>
    <cellStyle name="Total 2 7 21 3 2" xfId="57038"/>
    <cellStyle name="Total 2 7 21 3 3" xfId="57039"/>
    <cellStyle name="Total 2 7 21 4" xfId="57040"/>
    <cellStyle name="Total 2 7 21 5" xfId="57041"/>
    <cellStyle name="Total 2 7 22" xfId="57042"/>
    <cellStyle name="Total 2 7 22 2" xfId="57043"/>
    <cellStyle name="Total 2 7 22 2 2" xfId="57044"/>
    <cellStyle name="Total 2 7 22 2 3" xfId="57045"/>
    <cellStyle name="Total 2 7 22 3" xfId="57046"/>
    <cellStyle name="Total 2 7 22 3 2" xfId="57047"/>
    <cellStyle name="Total 2 7 22 3 3" xfId="57048"/>
    <cellStyle name="Total 2 7 22 4" xfId="57049"/>
    <cellStyle name="Total 2 7 22 5" xfId="57050"/>
    <cellStyle name="Total 2 7 23" xfId="57051"/>
    <cellStyle name="Total 2 7 23 2" xfId="57052"/>
    <cellStyle name="Total 2 7 23 2 2" xfId="57053"/>
    <cellStyle name="Total 2 7 23 2 3" xfId="57054"/>
    <cellStyle name="Total 2 7 23 3" xfId="57055"/>
    <cellStyle name="Total 2 7 23 3 2" xfId="57056"/>
    <cellStyle name="Total 2 7 23 3 3" xfId="57057"/>
    <cellStyle name="Total 2 7 23 4" xfId="57058"/>
    <cellStyle name="Total 2 7 23 5" xfId="57059"/>
    <cellStyle name="Total 2 7 24" xfId="57060"/>
    <cellStyle name="Total 2 7 24 2" xfId="57061"/>
    <cellStyle name="Total 2 7 24 2 2" xfId="57062"/>
    <cellStyle name="Total 2 7 24 2 3" xfId="57063"/>
    <cellStyle name="Total 2 7 24 3" xfId="57064"/>
    <cellStyle name="Total 2 7 24 3 2" xfId="57065"/>
    <cellStyle name="Total 2 7 24 3 3" xfId="57066"/>
    <cellStyle name="Total 2 7 24 4" xfId="57067"/>
    <cellStyle name="Total 2 7 24 5" xfId="57068"/>
    <cellStyle name="Total 2 7 25" xfId="57069"/>
    <cellStyle name="Total 2 7 25 2" xfId="57070"/>
    <cellStyle name="Total 2 7 25 2 2" xfId="57071"/>
    <cellStyle name="Total 2 7 25 2 3" xfId="57072"/>
    <cellStyle name="Total 2 7 25 3" xfId="57073"/>
    <cellStyle name="Total 2 7 25 3 2" xfId="57074"/>
    <cellStyle name="Total 2 7 25 3 3" xfId="57075"/>
    <cellStyle name="Total 2 7 25 4" xfId="57076"/>
    <cellStyle name="Total 2 7 25 5" xfId="57077"/>
    <cellStyle name="Total 2 7 26" xfId="57078"/>
    <cellStyle name="Total 2 7 26 2" xfId="57079"/>
    <cellStyle name="Total 2 7 26 2 2" xfId="57080"/>
    <cellStyle name="Total 2 7 26 2 3" xfId="57081"/>
    <cellStyle name="Total 2 7 26 3" xfId="57082"/>
    <cellStyle name="Total 2 7 26 3 2" xfId="57083"/>
    <cellStyle name="Total 2 7 26 3 3" xfId="57084"/>
    <cellStyle name="Total 2 7 26 4" xfId="57085"/>
    <cellStyle name="Total 2 7 26 5" xfId="57086"/>
    <cellStyle name="Total 2 7 27" xfId="57087"/>
    <cellStyle name="Total 2 7 27 2" xfId="57088"/>
    <cellStyle name="Total 2 7 27 2 2" xfId="57089"/>
    <cellStyle name="Total 2 7 27 2 3" xfId="57090"/>
    <cellStyle name="Total 2 7 27 3" xfId="57091"/>
    <cellStyle name="Total 2 7 27 3 2" xfId="57092"/>
    <cellStyle name="Total 2 7 27 3 3" xfId="57093"/>
    <cellStyle name="Total 2 7 27 4" xfId="57094"/>
    <cellStyle name="Total 2 7 27 5" xfId="57095"/>
    <cellStyle name="Total 2 7 28" xfId="57096"/>
    <cellStyle name="Total 2 7 28 2" xfId="57097"/>
    <cellStyle name="Total 2 7 28 2 2" xfId="57098"/>
    <cellStyle name="Total 2 7 28 2 3" xfId="57099"/>
    <cellStyle name="Total 2 7 28 3" xfId="57100"/>
    <cellStyle name="Total 2 7 28 3 2" xfId="57101"/>
    <cellStyle name="Total 2 7 28 3 3" xfId="57102"/>
    <cellStyle name="Total 2 7 28 4" xfId="57103"/>
    <cellStyle name="Total 2 7 28 5" xfId="57104"/>
    <cellStyle name="Total 2 7 29" xfId="57105"/>
    <cellStyle name="Total 2 7 29 2" xfId="57106"/>
    <cellStyle name="Total 2 7 29 2 2" xfId="57107"/>
    <cellStyle name="Total 2 7 29 2 3" xfId="57108"/>
    <cellStyle name="Total 2 7 29 3" xfId="57109"/>
    <cellStyle name="Total 2 7 29 3 2" xfId="57110"/>
    <cellStyle name="Total 2 7 29 3 3" xfId="57111"/>
    <cellStyle name="Total 2 7 29 4" xfId="57112"/>
    <cellStyle name="Total 2 7 29 5" xfId="57113"/>
    <cellStyle name="Total 2 7 3" xfId="57114"/>
    <cellStyle name="Total 2 7 3 2" xfId="57115"/>
    <cellStyle name="Total 2 7 3 2 2" xfId="57116"/>
    <cellStyle name="Total 2 7 3 2 3" xfId="57117"/>
    <cellStyle name="Total 2 7 3 3" xfId="57118"/>
    <cellStyle name="Total 2 7 3 3 2" xfId="57119"/>
    <cellStyle name="Total 2 7 3 3 3" xfId="57120"/>
    <cellStyle name="Total 2 7 3 4" xfId="57121"/>
    <cellStyle name="Total 2 7 3 4 2" xfId="57122"/>
    <cellStyle name="Total 2 7 3 4 3" xfId="57123"/>
    <cellStyle name="Total 2 7 3 5" xfId="57124"/>
    <cellStyle name="Total 2 7 3 5 2" xfId="57125"/>
    <cellStyle name="Total 2 7 3 5 3" xfId="57126"/>
    <cellStyle name="Total 2 7 3 6" xfId="57127"/>
    <cellStyle name="Total 2 7 3 7" xfId="57128"/>
    <cellStyle name="Total 2 7 30" xfId="57129"/>
    <cellStyle name="Total 2 7 30 2" xfId="57130"/>
    <cellStyle name="Total 2 7 30 2 2" xfId="57131"/>
    <cellStyle name="Total 2 7 30 2 3" xfId="57132"/>
    <cellStyle name="Total 2 7 30 3" xfId="57133"/>
    <cellStyle name="Total 2 7 30 3 2" xfId="57134"/>
    <cellStyle name="Total 2 7 30 3 3" xfId="57135"/>
    <cellStyle name="Total 2 7 30 4" xfId="57136"/>
    <cellStyle name="Total 2 7 30 5" xfId="57137"/>
    <cellStyle name="Total 2 7 31" xfId="57138"/>
    <cellStyle name="Total 2 7 31 2" xfId="57139"/>
    <cellStyle name="Total 2 7 31 2 2" xfId="57140"/>
    <cellStyle name="Total 2 7 31 2 3" xfId="57141"/>
    <cellStyle name="Total 2 7 31 3" xfId="57142"/>
    <cellStyle name="Total 2 7 31 3 2" xfId="57143"/>
    <cellStyle name="Total 2 7 31 3 3" xfId="57144"/>
    <cellStyle name="Total 2 7 31 4" xfId="57145"/>
    <cellStyle name="Total 2 7 31 5" xfId="57146"/>
    <cellStyle name="Total 2 7 32" xfId="57147"/>
    <cellStyle name="Total 2 7 32 2" xfId="57148"/>
    <cellStyle name="Total 2 7 32 2 2" xfId="57149"/>
    <cellStyle name="Total 2 7 32 2 3" xfId="57150"/>
    <cellStyle name="Total 2 7 32 3" xfId="57151"/>
    <cellStyle name="Total 2 7 32 3 2" xfId="57152"/>
    <cellStyle name="Total 2 7 32 3 3" xfId="57153"/>
    <cellStyle name="Total 2 7 32 4" xfId="57154"/>
    <cellStyle name="Total 2 7 32 5" xfId="57155"/>
    <cellStyle name="Total 2 7 33" xfId="57156"/>
    <cellStyle name="Total 2 7 33 2" xfId="57157"/>
    <cellStyle name="Total 2 7 33 2 2" xfId="57158"/>
    <cellStyle name="Total 2 7 33 2 3" xfId="57159"/>
    <cellStyle name="Total 2 7 33 3" xfId="57160"/>
    <cellStyle name="Total 2 7 33 3 2" xfId="57161"/>
    <cellStyle name="Total 2 7 33 3 3" xfId="57162"/>
    <cellStyle name="Total 2 7 33 4" xfId="57163"/>
    <cellStyle name="Total 2 7 33 5" xfId="57164"/>
    <cellStyle name="Total 2 7 34" xfId="57165"/>
    <cellStyle name="Total 2 7 34 2" xfId="57166"/>
    <cellStyle name="Total 2 7 34 2 2" xfId="57167"/>
    <cellStyle name="Total 2 7 34 2 3" xfId="57168"/>
    <cellStyle name="Total 2 7 34 3" xfId="57169"/>
    <cellStyle name="Total 2 7 34 3 2" xfId="57170"/>
    <cellStyle name="Total 2 7 34 3 3" xfId="57171"/>
    <cellStyle name="Total 2 7 34 4" xfId="57172"/>
    <cellStyle name="Total 2 7 34 5" xfId="57173"/>
    <cellStyle name="Total 2 7 35" xfId="57174"/>
    <cellStyle name="Total 2 7 35 2" xfId="57175"/>
    <cellStyle name="Total 2 7 35 2 2" xfId="57176"/>
    <cellStyle name="Total 2 7 35 2 3" xfId="57177"/>
    <cellStyle name="Total 2 7 35 3" xfId="57178"/>
    <cellStyle name="Total 2 7 35 3 2" xfId="57179"/>
    <cellStyle name="Total 2 7 35 3 3" xfId="57180"/>
    <cellStyle name="Total 2 7 35 4" xfId="57181"/>
    <cellStyle name="Total 2 7 35 5" xfId="57182"/>
    <cellStyle name="Total 2 7 36" xfId="57183"/>
    <cellStyle name="Total 2 7 36 2" xfId="57184"/>
    <cellStyle name="Total 2 7 36 2 2" xfId="57185"/>
    <cellStyle name="Total 2 7 36 2 3" xfId="57186"/>
    <cellStyle name="Total 2 7 36 3" xfId="57187"/>
    <cellStyle name="Total 2 7 36 3 2" xfId="57188"/>
    <cellStyle name="Total 2 7 36 3 3" xfId="57189"/>
    <cellStyle name="Total 2 7 36 4" xfId="57190"/>
    <cellStyle name="Total 2 7 36 5" xfId="57191"/>
    <cellStyle name="Total 2 7 37" xfId="57192"/>
    <cellStyle name="Total 2 7 37 2" xfId="57193"/>
    <cellStyle name="Total 2 7 37 2 2" xfId="57194"/>
    <cellStyle name="Total 2 7 37 2 3" xfId="57195"/>
    <cellStyle name="Total 2 7 37 3" xfId="57196"/>
    <cellStyle name="Total 2 7 37 3 2" xfId="57197"/>
    <cellStyle name="Total 2 7 37 3 3" xfId="57198"/>
    <cellStyle name="Total 2 7 37 4" xfId="57199"/>
    <cellStyle name="Total 2 7 37 5" xfId="57200"/>
    <cellStyle name="Total 2 7 38" xfId="57201"/>
    <cellStyle name="Total 2 7 38 2" xfId="57202"/>
    <cellStyle name="Total 2 7 38 2 2" xfId="57203"/>
    <cellStyle name="Total 2 7 38 2 3" xfId="57204"/>
    <cellStyle name="Total 2 7 38 3" xfId="57205"/>
    <cellStyle name="Total 2 7 38 3 2" xfId="57206"/>
    <cellStyle name="Total 2 7 38 3 3" xfId="57207"/>
    <cellStyle name="Total 2 7 38 4" xfId="57208"/>
    <cellStyle name="Total 2 7 38 5" xfId="57209"/>
    <cellStyle name="Total 2 7 39" xfId="57210"/>
    <cellStyle name="Total 2 7 39 2" xfId="57211"/>
    <cellStyle name="Total 2 7 39 2 2" xfId="57212"/>
    <cellStyle name="Total 2 7 39 2 3" xfId="57213"/>
    <cellStyle name="Total 2 7 39 3" xfId="57214"/>
    <cellStyle name="Total 2 7 39 3 2" xfId="57215"/>
    <cellStyle name="Total 2 7 39 3 3" xfId="57216"/>
    <cellStyle name="Total 2 7 39 4" xfId="57217"/>
    <cellStyle name="Total 2 7 39 5" xfId="57218"/>
    <cellStyle name="Total 2 7 4" xfId="57219"/>
    <cellStyle name="Total 2 7 4 2" xfId="57220"/>
    <cellStyle name="Total 2 7 4 2 2" xfId="57221"/>
    <cellStyle name="Total 2 7 4 2 3" xfId="57222"/>
    <cellStyle name="Total 2 7 4 3" xfId="57223"/>
    <cellStyle name="Total 2 7 4 3 2" xfId="57224"/>
    <cellStyle name="Total 2 7 4 3 3" xfId="57225"/>
    <cellStyle name="Total 2 7 4 4" xfId="57226"/>
    <cellStyle name="Total 2 7 4 5" xfId="57227"/>
    <cellStyle name="Total 2 7 40" xfId="57228"/>
    <cellStyle name="Total 2 7 40 2" xfId="57229"/>
    <cellStyle name="Total 2 7 40 2 2" xfId="57230"/>
    <cellStyle name="Total 2 7 40 2 3" xfId="57231"/>
    <cellStyle name="Total 2 7 40 3" xfId="57232"/>
    <cellStyle name="Total 2 7 40 4" xfId="57233"/>
    <cellStyle name="Total 2 7 41" xfId="57234"/>
    <cellStyle name="Total 2 7 41 2" xfId="57235"/>
    <cellStyle name="Total 2 7 41 3" xfId="57236"/>
    <cellStyle name="Total 2 7 42" xfId="57237"/>
    <cellStyle name="Total 2 7 42 2" xfId="57238"/>
    <cellStyle name="Total 2 7 42 3" xfId="57239"/>
    <cellStyle name="Total 2 7 43" xfId="57240"/>
    <cellStyle name="Total 2 7 43 2" xfId="57241"/>
    <cellStyle name="Total 2 7 43 3" xfId="57242"/>
    <cellStyle name="Total 2 7 44" xfId="57243"/>
    <cellStyle name="Total 2 7 44 2" xfId="57244"/>
    <cellStyle name="Total 2 7 44 3" xfId="57245"/>
    <cellStyle name="Total 2 7 45" xfId="57246"/>
    <cellStyle name="Total 2 7 46" xfId="57247"/>
    <cellStyle name="Total 2 7 5" xfId="57248"/>
    <cellStyle name="Total 2 7 5 2" xfId="57249"/>
    <cellStyle name="Total 2 7 5 2 2" xfId="57250"/>
    <cellStyle name="Total 2 7 5 2 3" xfId="57251"/>
    <cellStyle name="Total 2 7 5 3" xfId="57252"/>
    <cellStyle name="Total 2 7 5 3 2" xfId="57253"/>
    <cellStyle name="Total 2 7 5 3 3" xfId="57254"/>
    <cellStyle name="Total 2 7 5 4" xfId="57255"/>
    <cellStyle name="Total 2 7 5 5" xfId="57256"/>
    <cellStyle name="Total 2 7 6" xfId="57257"/>
    <cellStyle name="Total 2 7 6 2" xfId="57258"/>
    <cellStyle name="Total 2 7 6 2 2" xfId="57259"/>
    <cellStyle name="Total 2 7 6 2 3" xfId="57260"/>
    <cellStyle name="Total 2 7 6 3" xfId="57261"/>
    <cellStyle name="Total 2 7 6 3 2" xfId="57262"/>
    <cellStyle name="Total 2 7 6 3 3" xfId="57263"/>
    <cellStyle name="Total 2 7 6 4" xfId="57264"/>
    <cellStyle name="Total 2 7 6 5" xfId="57265"/>
    <cellStyle name="Total 2 7 7" xfId="57266"/>
    <cellStyle name="Total 2 7 7 2" xfId="57267"/>
    <cellStyle name="Total 2 7 7 2 2" xfId="57268"/>
    <cellStyle name="Total 2 7 7 2 3" xfId="57269"/>
    <cellStyle name="Total 2 7 7 3" xfId="57270"/>
    <cellStyle name="Total 2 7 7 3 2" xfId="57271"/>
    <cellStyle name="Total 2 7 7 3 3" xfId="57272"/>
    <cellStyle name="Total 2 7 7 4" xfId="57273"/>
    <cellStyle name="Total 2 7 7 5" xfId="57274"/>
    <cellStyle name="Total 2 7 8" xfId="57275"/>
    <cellStyle name="Total 2 7 8 2" xfId="57276"/>
    <cellStyle name="Total 2 7 8 2 2" xfId="57277"/>
    <cellStyle name="Total 2 7 8 2 3" xfId="57278"/>
    <cellStyle name="Total 2 7 8 3" xfId="57279"/>
    <cellStyle name="Total 2 7 8 3 2" xfId="57280"/>
    <cellStyle name="Total 2 7 8 3 3" xfId="57281"/>
    <cellStyle name="Total 2 7 8 4" xfId="57282"/>
    <cellStyle name="Total 2 7 8 5" xfId="57283"/>
    <cellStyle name="Total 2 7 9" xfId="57284"/>
    <cellStyle name="Total 2 7 9 2" xfId="57285"/>
    <cellStyle name="Total 2 7 9 2 2" xfId="57286"/>
    <cellStyle name="Total 2 7 9 2 3" xfId="57287"/>
    <cellStyle name="Total 2 7 9 3" xfId="57288"/>
    <cellStyle name="Total 2 7 9 3 2" xfId="57289"/>
    <cellStyle name="Total 2 7 9 3 3" xfId="57290"/>
    <cellStyle name="Total 2 7 9 4" xfId="57291"/>
    <cellStyle name="Total 2 7 9 5" xfId="57292"/>
    <cellStyle name="Total 2 8" xfId="57293"/>
    <cellStyle name="Total 2 8 10" xfId="57294"/>
    <cellStyle name="Total 2 8 10 2" xfId="57295"/>
    <cellStyle name="Total 2 8 10 2 2" xfId="57296"/>
    <cellStyle name="Total 2 8 10 2 3" xfId="57297"/>
    <cellStyle name="Total 2 8 10 3" xfId="57298"/>
    <cellStyle name="Total 2 8 10 3 2" xfId="57299"/>
    <cellStyle name="Total 2 8 10 3 3" xfId="57300"/>
    <cellStyle name="Total 2 8 10 4" xfId="57301"/>
    <cellStyle name="Total 2 8 10 5" xfId="57302"/>
    <cellStyle name="Total 2 8 11" xfId="57303"/>
    <cellStyle name="Total 2 8 11 2" xfId="57304"/>
    <cellStyle name="Total 2 8 11 2 2" xfId="57305"/>
    <cellStyle name="Total 2 8 11 2 3" xfId="57306"/>
    <cellStyle name="Total 2 8 11 3" xfId="57307"/>
    <cellStyle name="Total 2 8 11 3 2" xfId="57308"/>
    <cellStyle name="Total 2 8 11 3 3" xfId="57309"/>
    <cellStyle name="Total 2 8 11 4" xfId="57310"/>
    <cellStyle name="Total 2 8 11 5" xfId="57311"/>
    <cellStyle name="Total 2 8 12" xfId="57312"/>
    <cellStyle name="Total 2 8 12 2" xfId="57313"/>
    <cellStyle name="Total 2 8 12 2 2" xfId="57314"/>
    <cellStyle name="Total 2 8 12 2 3" xfId="57315"/>
    <cellStyle name="Total 2 8 12 3" xfId="57316"/>
    <cellStyle name="Total 2 8 12 3 2" xfId="57317"/>
    <cellStyle name="Total 2 8 12 3 3" xfId="57318"/>
    <cellStyle name="Total 2 8 12 4" xfId="57319"/>
    <cellStyle name="Total 2 8 12 5" xfId="57320"/>
    <cellStyle name="Total 2 8 13" xfId="57321"/>
    <cellStyle name="Total 2 8 13 2" xfId="57322"/>
    <cellStyle name="Total 2 8 13 2 2" xfId="57323"/>
    <cellStyle name="Total 2 8 13 2 3" xfId="57324"/>
    <cellStyle name="Total 2 8 13 3" xfId="57325"/>
    <cellStyle name="Total 2 8 13 3 2" xfId="57326"/>
    <cellStyle name="Total 2 8 13 3 3" xfId="57327"/>
    <cellStyle name="Total 2 8 13 4" xfId="57328"/>
    <cellStyle name="Total 2 8 13 5" xfId="57329"/>
    <cellStyle name="Total 2 8 14" xfId="57330"/>
    <cellStyle name="Total 2 8 14 2" xfId="57331"/>
    <cellStyle name="Total 2 8 14 2 2" xfId="57332"/>
    <cellStyle name="Total 2 8 14 2 3" xfId="57333"/>
    <cellStyle name="Total 2 8 14 3" xfId="57334"/>
    <cellStyle name="Total 2 8 14 3 2" xfId="57335"/>
    <cellStyle name="Total 2 8 14 3 3" xfId="57336"/>
    <cellStyle name="Total 2 8 14 4" xfId="57337"/>
    <cellStyle name="Total 2 8 14 5" xfId="57338"/>
    <cellStyle name="Total 2 8 15" xfId="57339"/>
    <cellStyle name="Total 2 8 15 2" xfId="57340"/>
    <cellStyle name="Total 2 8 15 2 2" xfId="57341"/>
    <cellStyle name="Total 2 8 15 2 3" xfId="57342"/>
    <cellStyle name="Total 2 8 15 3" xfId="57343"/>
    <cellStyle name="Total 2 8 15 3 2" xfId="57344"/>
    <cellStyle name="Total 2 8 15 3 3" xfId="57345"/>
    <cellStyle name="Total 2 8 15 4" xfId="57346"/>
    <cellStyle name="Total 2 8 15 5" xfId="57347"/>
    <cellStyle name="Total 2 8 16" xfId="57348"/>
    <cellStyle name="Total 2 8 16 2" xfId="57349"/>
    <cellStyle name="Total 2 8 16 2 2" xfId="57350"/>
    <cellStyle name="Total 2 8 16 2 3" xfId="57351"/>
    <cellStyle name="Total 2 8 16 3" xfId="57352"/>
    <cellStyle name="Total 2 8 16 3 2" xfId="57353"/>
    <cellStyle name="Total 2 8 16 3 3" xfId="57354"/>
    <cellStyle name="Total 2 8 16 4" xfId="57355"/>
    <cellStyle name="Total 2 8 16 5" xfId="57356"/>
    <cellStyle name="Total 2 8 17" xfId="57357"/>
    <cellStyle name="Total 2 8 17 2" xfId="57358"/>
    <cellStyle name="Total 2 8 17 2 2" xfId="57359"/>
    <cellStyle name="Total 2 8 17 2 3" xfId="57360"/>
    <cellStyle name="Total 2 8 17 3" xfId="57361"/>
    <cellStyle name="Total 2 8 17 3 2" xfId="57362"/>
    <cellStyle name="Total 2 8 17 3 3" xfId="57363"/>
    <cellStyle name="Total 2 8 17 4" xfId="57364"/>
    <cellStyle name="Total 2 8 17 5" xfId="57365"/>
    <cellStyle name="Total 2 8 18" xfId="57366"/>
    <cellStyle name="Total 2 8 18 2" xfId="57367"/>
    <cellStyle name="Total 2 8 18 2 2" xfId="57368"/>
    <cellStyle name="Total 2 8 18 2 3" xfId="57369"/>
    <cellStyle name="Total 2 8 18 3" xfId="57370"/>
    <cellStyle name="Total 2 8 18 3 2" xfId="57371"/>
    <cellStyle name="Total 2 8 18 3 3" xfId="57372"/>
    <cellStyle name="Total 2 8 18 4" xfId="57373"/>
    <cellStyle name="Total 2 8 18 5" xfId="57374"/>
    <cellStyle name="Total 2 8 19" xfId="57375"/>
    <cellStyle name="Total 2 8 19 2" xfId="57376"/>
    <cellStyle name="Total 2 8 19 2 2" xfId="57377"/>
    <cellStyle name="Total 2 8 19 2 3" xfId="57378"/>
    <cellStyle name="Total 2 8 19 3" xfId="57379"/>
    <cellStyle name="Total 2 8 19 3 2" xfId="57380"/>
    <cellStyle name="Total 2 8 19 3 3" xfId="57381"/>
    <cellStyle name="Total 2 8 19 4" xfId="57382"/>
    <cellStyle name="Total 2 8 19 5" xfId="57383"/>
    <cellStyle name="Total 2 8 2" xfId="57384"/>
    <cellStyle name="Total 2 8 2 2" xfId="57385"/>
    <cellStyle name="Total 2 8 2 2 2" xfId="57386"/>
    <cellStyle name="Total 2 8 2 2 3" xfId="57387"/>
    <cellStyle name="Total 2 8 2 3" xfId="57388"/>
    <cellStyle name="Total 2 8 2 3 2" xfId="57389"/>
    <cellStyle name="Total 2 8 2 3 3" xfId="57390"/>
    <cellStyle name="Total 2 8 2 4" xfId="57391"/>
    <cellStyle name="Total 2 8 2 5" xfId="57392"/>
    <cellStyle name="Total 2 8 20" xfId="57393"/>
    <cellStyle name="Total 2 8 20 2" xfId="57394"/>
    <cellStyle name="Total 2 8 20 2 2" xfId="57395"/>
    <cellStyle name="Total 2 8 20 2 3" xfId="57396"/>
    <cellStyle name="Total 2 8 20 3" xfId="57397"/>
    <cellStyle name="Total 2 8 20 3 2" xfId="57398"/>
    <cellStyle name="Total 2 8 20 3 3" xfId="57399"/>
    <cellStyle name="Total 2 8 20 4" xfId="57400"/>
    <cellStyle name="Total 2 8 20 5" xfId="57401"/>
    <cellStyle name="Total 2 8 21" xfId="57402"/>
    <cellStyle name="Total 2 8 21 2" xfId="57403"/>
    <cellStyle name="Total 2 8 21 2 2" xfId="57404"/>
    <cellStyle name="Total 2 8 21 2 3" xfId="57405"/>
    <cellStyle name="Total 2 8 21 3" xfId="57406"/>
    <cellStyle name="Total 2 8 21 3 2" xfId="57407"/>
    <cellStyle name="Total 2 8 21 3 3" xfId="57408"/>
    <cellStyle name="Total 2 8 21 4" xfId="57409"/>
    <cellStyle name="Total 2 8 21 5" xfId="57410"/>
    <cellStyle name="Total 2 8 22" xfId="57411"/>
    <cellStyle name="Total 2 8 22 2" xfId="57412"/>
    <cellStyle name="Total 2 8 22 2 2" xfId="57413"/>
    <cellStyle name="Total 2 8 22 2 3" xfId="57414"/>
    <cellStyle name="Total 2 8 22 3" xfId="57415"/>
    <cellStyle name="Total 2 8 22 3 2" xfId="57416"/>
    <cellStyle name="Total 2 8 22 3 3" xfId="57417"/>
    <cellStyle name="Total 2 8 22 4" xfId="57418"/>
    <cellStyle name="Total 2 8 22 5" xfId="57419"/>
    <cellStyle name="Total 2 8 23" xfId="57420"/>
    <cellStyle name="Total 2 8 23 2" xfId="57421"/>
    <cellStyle name="Total 2 8 23 2 2" xfId="57422"/>
    <cellStyle name="Total 2 8 23 2 3" xfId="57423"/>
    <cellStyle name="Total 2 8 23 3" xfId="57424"/>
    <cellStyle name="Total 2 8 23 3 2" xfId="57425"/>
    <cellStyle name="Total 2 8 23 3 3" xfId="57426"/>
    <cellStyle name="Total 2 8 23 4" xfId="57427"/>
    <cellStyle name="Total 2 8 23 5" xfId="57428"/>
    <cellStyle name="Total 2 8 24" xfId="57429"/>
    <cellStyle name="Total 2 8 24 2" xfId="57430"/>
    <cellStyle name="Total 2 8 24 2 2" xfId="57431"/>
    <cellStyle name="Total 2 8 24 2 3" xfId="57432"/>
    <cellStyle name="Total 2 8 24 3" xfId="57433"/>
    <cellStyle name="Total 2 8 24 3 2" xfId="57434"/>
    <cellStyle name="Total 2 8 24 3 3" xfId="57435"/>
    <cellStyle name="Total 2 8 24 4" xfId="57436"/>
    <cellStyle name="Total 2 8 24 5" xfId="57437"/>
    <cellStyle name="Total 2 8 25" xfId="57438"/>
    <cellStyle name="Total 2 8 25 2" xfId="57439"/>
    <cellStyle name="Total 2 8 25 2 2" xfId="57440"/>
    <cellStyle name="Total 2 8 25 2 3" xfId="57441"/>
    <cellStyle name="Total 2 8 25 3" xfId="57442"/>
    <cellStyle name="Total 2 8 25 3 2" xfId="57443"/>
    <cellStyle name="Total 2 8 25 3 3" xfId="57444"/>
    <cellStyle name="Total 2 8 25 4" xfId="57445"/>
    <cellStyle name="Total 2 8 25 5" xfId="57446"/>
    <cellStyle name="Total 2 8 26" xfId="57447"/>
    <cellStyle name="Total 2 8 26 2" xfId="57448"/>
    <cellStyle name="Total 2 8 26 2 2" xfId="57449"/>
    <cellStyle name="Total 2 8 26 2 3" xfId="57450"/>
    <cellStyle name="Total 2 8 26 3" xfId="57451"/>
    <cellStyle name="Total 2 8 26 3 2" xfId="57452"/>
    <cellStyle name="Total 2 8 26 3 3" xfId="57453"/>
    <cellStyle name="Total 2 8 26 4" xfId="57454"/>
    <cellStyle name="Total 2 8 26 5" xfId="57455"/>
    <cellStyle name="Total 2 8 27" xfId="57456"/>
    <cellStyle name="Total 2 8 27 2" xfId="57457"/>
    <cellStyle name="Total 2 8 27 2 2" xfId="57458"/>
    <cellStyle name="Total 2 8 27 2 3" xfId="57459"/>
    <cellStyle name="Total 2 8 27 3" xfId="57460"/>
    <cellStyle name="Total 2 8 27 3 2" xfId="57461"/>
    <cellStyle name="Total 2 8 27 3 3" xfId="57462"/>
    <cellStyle name="Total 2 8 27 4" xfId="57463"/>
    <cellStyle name="Total 2 8 27 5" xfId="57464"/>
    <cellStyle name="Total 2 8 28" xfId="57465"/>
    <cellStyle name="Total 2 8 28 2" xfId="57466"/>
    <cellStyle name="Total 2 8 28 2 2" xfId="57467"/>
    <cellStyle name="Total 2 8 28 2 3" xfId="57468"/>
    <cellStyle name="Total 2 8 28 3" xfId="57469"/>
    <cellStyle name="Total 2 8 28 3 2" xfId="57470"/>
    <cellStyle name="Total 2 8 28 3 3" xfId="57471"/>
    <cellStyle name="Total 2 8 28 4" xfId="57472"/>
    <cellStyle name="Total 2 8 28 5" xfId="57473"/>
    <cellStyle name="Total 2 8 29" xfId="57474"/>
    <cellStyle name="Total 2 8 29 2" xfId="57475"/>
    <cellStyle name="Total 2 8 29 2 2" xfId="57476"/>
    <cellStyle name="Total 2 8 29 2 3" xfId="57477"/>
    <cellStyle name="Total 2 8 29 3" xfId="57478"/>
    <cellStyle name="Total 2 8 29 3 2" xfId="57479"/>
    <cellStyle name="Total 2 8 29 3 3" xfId="57480"/>
    <cellStyle name="Total 2 8 29 4" xfId="57481"/>
    <cellStyle name="Total 2 8 29 5" xfId="57482"/>
    <cellStyle name="Total 2 8 3" xfId="57483"/>
    <cellStyle name="Total 2 8 3 2" xfId="57484"/>
    <cellStyle name="Total 2 8 3 2 2" xfId="57485"/>
    <cellStyle name="Total 2 8 3 2 3" xfId="57486"/>
    <cellStyle name="Total 2 8 3 3" xfId="57487"/>
    <cellStyle name="Total 2 8 3 3 2" xfId="57488"/>
    <cellStyle name="Total 2 8 3 3 3" xfId="57489"/>
    <cellStyle name="Total 2 8 3 4" xfId="57490"/>
    <cellStyle name="Total 2 8 3 5" xfId="57491"/>
    <cellStyle name="Total 2 8 30" xfId="57492"/>
    <cellStyle name="Total 2 8 30 2" xfId="57493"/>
    <cellStyle name="Total 2 8 30 2 2" xfId="57494"/>
    <cellStyle name="Total 2 8 30 2 3" xfId="57495"/>
    <cellStyle name="Total 2 8 30 3" xfId="57496"/>
    <cellStyle name="Total 2 8 30 3 2" xfId="57497"/>
    <cellStyle name="Total 2 8 30 3 3" xfId="57498"/>
    <cellStyle name="Total 2 8 30 4" xfId="57499"/>
    <cellStyle name="Total 2 8 30 5" xfId="57500"/>
    <cellStyle name="Total 2 8 31" xfId="57501"/>
    <cellStyle name="Total 2 8 31 2" xfId="57502"/>
    <cellStyle name="Total 2 8 31 2 2" xfId="57503"/>
    <cellStyle name="Total 2 8 31 2 3" xfId="57504"/>
    <cellStyle name="Total 2 8 31 3" xfId="57505"/>
    <cellStyle name="Total 2 8 31 3 2" xfId="57506"/>
    <cellStyle name="Total 2 8 31 3 3" xfId="57507"/>
    <cellStyle name="Total 2 8 31 4" xfId="57508"/>
    <cellStyle name="Total 2 8 31 5" xfId="57509"/>
    <cellStyle name="Total 2 8 32" xfId="57510"/>
    <cellStyle name="Total 2 8 32 2" xfId="57511"/>
    <cellStyle name="Total 2 8 32 2 2" xfId="57512"/>
    <cellStyle name="Total 2 8 32 2 3" xfId="57513"/>
    <cellStyle name="Total 2 8 32 3" xfId="57514"/>
    <cellStyle name="Total 2 8 32 3 2" xfId="57515"/>
    <cellStyle name="Total 2 8 32 3 3" xfId="57516"/>
    <cellStyle name="Total 2 8 32 4" xfId="57517"/>
    <cellStyle name="Total 2 8 32 5" xfId="57518"/>
    <cellStyle name="Total 2 8 33" xfId="57519"/>
    <cellStyle name="Total 2 8 33 2" xfId="57520"/>
    <cellStyle name="Total 2 8 33 2 2" xfId="57521"/>
    <cellStyle name="Total 2 8 33 2 3" xfId="57522"/>
    <cellStyle name="Total 2 8 33 3" xfId="57523"/>
    <cellStyle name="Total 2 8 33 3 2" xfId="57524"/>
    <cellStyle name="Total 2 8 33 3 3" xfId="57525"/>
    <cellStyle name="Total 2 8 33 4" xfId="57526"/>
    <cellStyle name="Total 2 8 33 5" xfId="57527"/>
    <cellStyle name="Total 2 8 34" xfId="57528"/>
    <cellStyle name="Total 2 8 34 2" xfId="57529"/>
    <cellStyle name="Total 2 8 34 2 2" xfId="57530"/>
    <cellStyle name="Total 2 8 34 2 3" xfId="57531"/>
    <cellStyle name="Total 2 8 34 3" xfId="57532"/>
    <cellStyle name="Total 2 8 34 3 2" xfId="57533"/>
    <cellStyle name="Total 2 8 34 3 3" xfId="57534"/>
    <cellStyle name="Total 2 8 34 4" xfId="57535"/>
    <cellStyle name="Total 2 8 34 5" xfId="57536"/>
    <cellStyle name="Total 2 8 35" xfId="57537"/>
    <cellStyle name="Total 2 8 35 2" xfId="57538"/>
    <cellStyle name="Total 2 8 35 2 2" xfId="57539"/>
    <cellStyle name="Total 2 8 35 2 3" xfId="57540"/>
    <cellStyle name="Total 2 8 35 3" xfId="57541"/>
    <cellStyle name="Total 2 8 35 3 2" xfId="57542"/>
    <cellStyle name="Total 2 8 35 3 3" xfId="57543"/>
    <cellStyle name="Total 2 8 35 4" xfId="57544"/>
    <cellStyle name="Total 2 8 35 5" xfId="57545"/>
    <cellStyle name="Total 2 8 36" xfId="57546"/>
    <cellStyle name="Total 2 8 36 2" xfId="57547"/>
    <cellStyle name="Total 2 8 36 2 2" xfId="57548"/>
    <cellStyle name="Total 2 8 36 2 3" xfId="57549"/>
    <cellStyle name="Total 2 8 36 3" xfId="57550"/>
    <cellStyle name="Total 2 8 36 3 2" xfId="57551"/>
    <cellStyle name="Total 2 8 36 3 3" xfId="57552"/>
    <cellStyle name="Total 2 8 36 4" xfId="57553"/>
    <cellStyle name="Total 2 8 36 5" xfId="57554"/>
    <cellStyle name="Total 2 8 37" xfId="57555"/>
    <cellStyle name="Total 2 8 37 2" xfId="57556"/>
    <cellStyle name="Total 2 8 37 2 2" xfId="57557"/>
    <cellStyle name="Total 2 8 37 2 3" xfId="57558"/>
    <cellStyle name="Total 2 8 37 3" xfId="57559"/>
    <cellStyle name="Total 2 8 37 3 2" xfId="57560"/>
    <cellStyle name="Total 2 8 37 3 3" xfId="57561"/>
    <cellStyle name="Total 2 8 37 4" xfId="57562"/>
    <cellStyle name="Total 2 8 37 5" xfId="57563"/>
    <cellStyle name="Total 2 8 38" xfId="57564"/>
    <cellStyle name="Total 2 8 38 2" xfId="57565"/>
    <cellStyle name="Total 2 8 38 2 2" xfId="57566"/>
    <cellStyle name="Total 2 8 38 2 3" xfId="57567"/>
    <cellStyle name="Total 2 8 38 3" xfId="57568"/>
    <cellStyle name="Total 2 8 38 3 2" xfId="57569"/>
    <cellStyle name="Total 2 8 38 3 3" xfId="57570"/>
    <cellStyle name="Total 2 8 38 4" xfId="57571"/>
    <cellStyle name="Total 2 8 38 5" xfId="57572"/>
    <cellStyle name="Total 2 8 39" xfId="57573"/>
    <cellStyle name="Total 2 8 39 2" xfId="57574"/>
    <cellStyle name="Total 2 8 39 2 2" xfId="57575"/>
    <cellStyle name="Total 2 8 39 2 3" xfId="57576"/>
    <cellStyle name="Total 2 8 39 3" xfId="57577"/>
    <cellStyle name="Total 2 8 39 3 2" xfId="57578"/>
    <cellStyle name="Total 2 8 39 3 3" xfId="57579"/>
    <cellStyle name="Total 2 8 39 4" xfId="57580"/>
    <cellStyle name="Total 2 8 39 5" xfId="57581"/>
    <cellStyle name="Total 2 8 4" xfId="57582"/>
    <cellStyle name="Total 2 8 4 2" xfId="57583"/>
    <cellStyle name="Total 2 8 4 2 2" xfId="57584"/>
    <cellStyle name="Total 2 8 4 2 3" xfId="57585"/>
    <cellStyle name="Total 2 8 4 3" xfId="57586"/>
    <cellStyle name="Total 2 8 4 3 2" xfId="57587"/>
    <cellStyle name="Total 2 8 4 3 3" xfId="57588"/>
    <cellStyle name="Total 2 8 4 4" xfId="57589"/>
    <cellStyle name="Total 2 8 4 5" xfId="57590"/>
    <cellStyle name="Total 2 8 40" xfId="57591"/>
    <cellStyle name="Total 2 8 40 2" xfId="57592"/>
    <cellStyle name="Total 2 8 40 2 2" xfId="57593"/>
    <cellStyle name="Total 2 8 40 2 3" xfId="57594"/>
    <cellStyle name="Total 2 8 40 3" xfId="57595"/>
    <cellStyle name="Total 2 8 40 4" xfId="57596"/>
    <cellStyle name="Total 2 8 41" xfId="57597"/>
    <cellStyle name="Total 2 8 41 2" xfId="57598"/>
    <cellStyle name="Total 2 8 41 3" xfId="57599"/>
    <cellStyle name="Total 2 8 42" xfId="57600"/>
    <cellStyle name="Total 2 8 42 2" xfId="57601"/>
    <cellStyle name="Total 2 8 42 3" xfId="57602"/>
    <cellStyle name="Total 2 8 43" xfId="57603"/>
    <cellStyle name="Total 2 8 43 2" xfId="57604"/>
    <cellStyle name="Total 2 8 43 3" xfId="57605"/>
    <cellStyle name="Total 2 8 44" xfId="57606"/>
    <cellStyle name="Total 2 8 45" xfId="57607"/>
    <cellStyle name="Total 2 8 5" xfId="57608"/>
    <cellStyle name="Total 2 8 5 2" xfId="57609"/>
    <cellStyle name="Total 2 8 5 2 2" xfId="57610"/>
    <cellStyle name="Total 2 8 5 2 3" xfId="57611"/>
    <cellStyle name="Total 2 8 5 3" xfId="57612"/>
    <cellStyle name="Total 2 8 5 3 2" xfId="57613"/>
    <cellStyle name="Total 2 8 5 3 3" xfId="57614"/>
    <cellStyle name="Total 2 8 5 4" xfId="57615"/>
    <cellStyle name="Total 2 8 5 5" xfId="57616"/>
    <cellStyle name="Total 2 8 6" xfId="57617"/>
    <cellStyle name="Total 2 8 6 2" xfId="57618"/>
    <cellStyle name="Total 2 8 6 2 2" xfId="57619"/>
    <cellStyle name="Total 2 8 6 2 3" xfId="57620"/>
    <cellStyle name="Total 2 8 6 3" xfId="57621"/>
    <cellStyle name="Total 2 8 6 3 2" xfId="57622"/>
    <cellStyle name="Total 2 8 6 3 3" xfId="57623"/>
    <cellStyle name="Total 2 8 6 4" xfId="57624"/>
    <cellStyle name="Total 2 8 6 5" xfId="57625"/>
    <cellStyle name="Total 2 8 7" xfId="57626"/>
    <cellStyle name="Total 2 8 7 2" xfId="57627"/>
    <cellStyle name="Total 2 8 7 2 2" xfId="57628"/>
    <cellStyle name="Total 2 8 7 2 3" xfId="57629"/>
    <cellStyle name="Total 2 8 7 3" xfId="57630"/>
    <cellStyle name="Total 2 8 7 3 2" xfId="57631"/>
    <cellStyle name="Total 2 8 7 3 3" xfId="57632"/>
    <cellStyle name="Total 2 8 7 4" xfId="57633"/>
    <cellStyle name="Total 2 8 7 5" xfId="57634"/>
    <cellStyle name="Total 2 8 8" xfId="57635"/>
    <cellStyle name="Total 2 8 8 2" xfId="57636"/>
    <cellStyle name="Total 2 8 8 2 2" xfId="57637"/>
    <cellStyle name="Total 2 8 8 2 3" xfId="57638"/>
    <cellStyle name="Total 2 8 8 3" xfId="57639"/>
    <cellStyle name="Total 2 8 8 3 2" xfId="57640"/>
    <cellStyle name="Total 2 8 8 3 3" xfId="57641"/>
    <cellStyle name="Total 2 8 8 4" xfId="57642"/>
    <cellStyle name="Total 2 8 8 5" xfId="57643"/>
    <cellStyle name="Total 2 8 9" xfId="57644"/>
    <cellStyle name="Total 2 8 9 2" xfId="57645"/>
    <cellStyle name="Total 2 8 9 2 2" xfId="57646"/>
    <cellStyle name="Total 2 8 9 2 3" xfId="57647"/>
    <cellStyle name="Total 2 8 9 3" xfId="57648"/>
    <cellStyle name="Total 2 8 9 3 2" xfId="57649"/>
    <cellStyle name="Total 2 8 9 3 3" xfId="57650"/>
    <cellStyle name="Total 2 8 9 4" xfId="57651"/>
    <cellStyle name="Total 2 8 9 5" xfId="57652"/>
    <cellStyle name="Total 2 9" xfId="57653"/>
    <cellStyle name="Total 2 9 10" xfId="57654"/>
    <cellStyle name="Total 2 9 10 2" xfId="57655"/>
    <cellStyle name="Total 2 9 10 2 2" xfId="57656"/>
    <cellStyle name="Total 2 9 10 2 3" xfId="57657"/>
    <cellStyle name="Total 2 9 10 3" xfId="57658"/>
    <cellStyle name="Total 2 9 10 3 2" xfId="57659"/>
    <cellStyle name="Total 2 9 10 3 3" xfId="57660"/>
    <cellStyle name="Total 2 9 10 4" xfId="57661"/>
    <cellStyle name="Total 2 9 10 5" xfId="57662"/>
    <cellStyle name="Total 2 9 11" xfId="57663"/>
    <cellStyle name="Total 2 9 11 2" xfId="57664"/>
    <cellStyle name="Total 2 9 11 2 2" xfId="57665"/>
    <cellStyle name="Total 2 9 11 2 3" xfId="57666"/>
    <cellStyle name="Total 2 9 11 3" xfId="57667"/>
    <cellStyle name="Total 2 9 11 3 2" xfId="57668"/>
    <cellStyle name="Total 2 9 11 3 3" xfId="57669"/>
    <cellStyle name="Total 2 9 11 4" xfId="57670"/>
    <cellStyle name="Total 2 9 11 5" xfId="57671"/>
    <cellStyle name="Total 2 9 12" xfId="57672"/>
    <cellStyle name="Total 2 9 12 2" xfId="57673"/>
    <cellStyle name="Total 2 9 12 2 2" xfId="57674"/>
    <cellStyle name="Total 2 9 12 2 3" xfId="57675"/>
    <cellStyle name="Total 2 9 12 3" xfId="57676"/>
    <cellStyle name="Total 2 9 12 3 2" xfId="57677"/>
    <cellStyle name="Total 2 9 12 3 3" xfId="57678"/>
    <cellStyle name="Total 2 9 12 4" xfId="57679"/>
    <cellStyle name="Total 2 9 12 5" xfId="57680"/>
    <cellStyle name="Total 2 9 13" xfId="57681"/>
    <cellStyle name="Total 2 9 13 2" xfId="57682"/>
    <cellStyle name="Total 2 9 13 2 2" xfId="57683"/>
    <cellStyle name="Total 2 9 13 2 3" xfId="57684"/>
    <cellStyle name="Total 2 9 13 3" xfId="57685"/>
    <cellStyle name="Total 2 9 13 3 2" xfId="57686"/>
    <cellStyle name="Total 2 9 13 3 3" xfId="57687"/>
    <cellStyle name="Total 2 9 13 4" xfId="57688"/>
    <cellStyle name="Total 2 9 13 5" xfId="57689"/>
    <cellStyle name="Total 2 9 14" xfId="57690"/>
    <cellStyle name="Total 2 9 14 2" xfId="57691"/>
    <cellStyle name="Total 2 9 14 2 2" xfId="57692"/>
    <cellStyle name="Total 2 9 14 2 3" xfId="57693"/>
    <cellStyle name="Total 2 9 14 3" xfId="57694"/>
    <cellStyle name="Total 2 9 14 3 2" xfId="57695"/>
    <cellStyle name="Total 2 9 14 3 3" xfId="57696"/>
    <cellStyle name="Total 2 9 14 4" xfId="57697"/>
    <cellStyle name="Total 2 9 14 5" xfId="57698"/>
    <cellStyle name="Total 2 9 15" xfId="57699"/>
    <cellStyle name="Total 2 9 15 2" xfId="57700"/>
    <cellStyle name="Total 2 9 15 2 2" xfId="57701"/>
    <cellStyle name="Total 2 9 15 2 3" xfId="57702"/>
    <cellStyle name="Total 2 9 15 3" xfId="57703"/>
    <cellStyle name="Total 2 9 15 3 2" xfId="57704"/>
    <cellStyle name="Total 2 9 15 3 3" xfId="57705"/>
    <cellStyle name="Total 2 9 15 4" xfId="57706"/>
    <cellStyle name="Total 2 9 15 5" xfId="57707"/>
    <cellStyle name="Total 2 9 16" xfId="57708"/>
    <cellStyle name="Total 2 9 16 2" xfId="57709"/>
    <cellStyle name="Total 2 9 16 2 2" xfId="57710"/>
    <cellStyle name="Total 2 9 16 2 3" xfId="57711"/>
    <cellStyle name="Total 2 9 16 3" xfId="57712"/>
    <cellStyle name="Total 2 9 16 3 2" xfId="57713"/>
    <cellStyle name="Total 2 9 16 3 3" xfId="57714"/>
    <cellStyle name="Total 2 9 16 4" xfId="57715"/>
    <cellStyle name="Total 2 9 16 5" xfId="57716"/>
    <cellStyle name="Total 2 9 17" xfId="57717"/>
    <cellStyle name="Total 2 9 17 2" xfId="57718"/>
    <cellStyle name="Total 2 9 17 2 2" xfId="57719"/>
    <cellStyle name="Total 2 9 17 2 3" xfId="57720"/>
    <cellStyle name="Total 2 9 17 3" xfId="57721"/>
    <cellStyle name="Total 2 9 17 3 2" xfId="57722"/>
    <cellStyle name="Total 2 9 17 3 3" xfId="57723"/>
    <cellStyle name="Total 2 9 17 4" xfId="57724"/>
    <cellStyle name="Total 2 9 17 5" xfId="57725"/>
    <cellStyle name="Total 2 9 18" xfId="57726"/>
    <cellStyle name="Total 2 9 18 2" xfId="57727"/>
    <cellStyle name="Total 2 9 18 2 2" xfId="57728"/>
    <cellStyle name="Total 2 9 18 2 3" xfId="57729"/>
    <cellStyle name="Total 2 9 18 3" xfId="57730"/>
    <cellStyle name="Total 2 9 18 3 2" xfId="57731"/>
    <cellStyle name="Total 2 9 18 3 3" xfId="57732"/>
    <cellStyle name="Total 2 9 18 4" xfId="57733"/>
    <cellStyle name="Total 2 9 18 5" xfId="57734"/>
    <cellStyle name="Total 2 9 19" xfId="57735"/>
    <cellStyle name="Total 2 9 19 2" xfId="57736"/>
    <cellStyle name="Total 2 9 19 2 2" xfId="57737"/>
    <cellStyle name="Total 2 9 19 2 3" xfId="57738"/>
    <cellStyle name="Total 2 9 19 3" xfId="57739"/>
    <cellStyle name="Total 2 9 19 3 2" xfId="57740"/>
    <cellStyle name="Total 2 9 19 3 3" xfId="57741"/>
    <cellStyle name="Total 2 9 19 4" xfId="57742"/>
    <cellStyle name="Total 2 9 19 5" xfId="57743"/>
    <cellStyle name="Total 2 9 2" xfId="57744"/>
    <cellStyle name="Total 2 9 2 2" xfId="57745"/>
    <cellStyle name="Total 2 9 2 2 2" xfId="57746"/>
    <cellStyle name="Total 2 9 2 2 3" xfId="57747"/>
    <cellStyle name="Total 2 9 2 3" xfId="57748"/>
    <cellStyle name="Total 2 9 2 3 2" xfId="57749"/>
    <cellStyle name="Total 2 9 2 3 3" xfId="57750"/>
    <cellStyle name="Total 2 9 2 4" xfId="57751"/>
    <cellStyle name="Total 2 9 2 5" xfId="57752"/>
    <cellStyle name="Total 2 9 20" xfId="57753"/>
    <cellStyle name="Total 2 9 20 2" xfId="57754"/>
    <cellStyle name="Total 2 9 20 2 2" xfId="57755"/>
    <cellStyle name="Total 2 9 20 2 3" xfId="57756"/>
    <cellStyle name="Total 2 9 20 3" xfId="57757"/>
    <cellStyle name="Total 2 9 20 3 2" xfId="57758"/>
    <cellStyle name="Total 2 9 20 3 3" xfId="57759"/>
    <cellStyle name="Total 2 9 20 4" xfId="57760"/>
    <cellStyle name="Total 2 9 20 5" xfId="57761"/>
    <cellStyle name="Total 2 9 21" xfId="57762"/>
    <cellStyle name="Total 2 9 21 2" xfId="57763"/>
    <cellStyle name="Total 2 9 21 2 2" xfId="57764"/>
    <cellStyle name="Total 2 9 21 2 3" xfId="57765"/>
    <cellStyle name="Total 2 9 21 3" xfId="57766"/>
    <cellStyle name="Total 2 9 21 3 2" xfId="57767"/>
    <cellStyle name="Total 2 9 21 3 3" xfId="57768"/>
    <cellStyle name="Total 2 9 21 4" xfId="57769"/>
    <cellStyle name="Total 2 9 21 5" xfId="57770"/>
    <cellStyle name="Total 2 9 22" xfId="57771"/>
    <cellStyle name="Total 2 9 22 2" xfId="57772"/>
    <cellStyle name="Total 2 9 22 2 2" xfId="57773"/>
    <cellStyle name="Total 2 9 22 2 3" xfId="57774"/>
    <cellStyle name="Total 2 9 22 3" xfId="57775"/>
    <cellStyle name="Total 2 9 22 3 2" xfId="57776"/>
    <cellStyle name="Total 2 9 22 3 3" xfId="57777"/>
    <cellStyle name="Total 2 9 22 4" xfId="57778"/>
    <cellStyle name="Total 2 9 22 5" xfId="57779"/>
    <cellStyle name="Total 2 9 23" xfId="57780"/>
    <cellStyle name="Total 2 9 23 2" xfId="57781"/>
    <cellStyle name="Total 2 9 23 2 2" xfId="57782"/>
    <cellStyle name="Total 2 9 23 2 3" xfId="57783"/>
    <cellStyle name="Total 2 9 23 3" xfId="57784"/>
    <cellStyle name="Total 2 9 23 3 2" xfId="57785"/>
    <cellStyle name="Total 2 9 23 3 3" xfId="57786"/>
    <cellStyle name="Total 2 9 23 4" xfId="57787"/>
    <cellStyle name="Total 2 9 23 5" xfId="57788"/>
    <cellStyle name="Total 2 9 24" xfId="57789"/>
    <cellStyle name="Total 2 9 24 2" xfId="57790"/>
    <cellStyle name="Total 2 9 24 2 2" xfId="57791"/>
    <cellStyle name="Total 2 9 24 2 3" xfId="57792"/>
    <cellStyle name="Total 2 9 24 3" xfId="57793"/>
    <cellStyle name="Total 2 9 24 3 2" xfId="57794"/>
    <cellStyle name="Total 2 9 24 3 3" xfId="57795"/>
    <cellStyle name="Total 2 9 24 4" xfId="57796"/>
    <cellStyle name="Total 2 9 24 5" xfId="57797"/>
    <cellStyle name="Total 2 9 25" xfId="57798"/>
    <cellStyle name="Total 2 9 25 2" xfId="57799"/>
    <cellStyle name="Total 2 9 25 2 2" xfId="57800"/>
    <cellStyle name="Total 2 9 25 2 3" xfId="57801"/>
    <cellStyle name="Total 2 9 25 3" xfId="57802"/>
    <cellStyle name="Total 2 9 25 3 2" xfId="57803"/>
    <cellStyle name="Total 2 9 25 3 3" xfId="57804"/>
    <cellStyle name="Total 2 9 25 4" xfId="57805"/>
    <cellStyle name="Total 2 9 25 5" xfId="57806"/>
    <cellStyle name="Total 2 9 26" xfId="57807"/>
    <cellStyle name="Total 2 9 26 2" xfId="57808"/>
    <cellStyle name="Total 2 9 26 2 2" xfId="57809"/>
    <cellStyle name="Total 2 9 26 2 3" xfId="57810"/>
    <cellStyle name="Total 2 9 26 3" xfId="57811"/>
    <cellStyle name="Total 2 9 26 3 2" xfId="57812"/>
    <cellStyle name="Total 2 9 26 3 3" xfId="57813"/>
    <cellStyle name="Total 2 9 26 4" xfId="57814"/>
    <cellStyle name="Total 2 9 26 5" xfId="57815"/>
    <cellStyle name="Total 2 9 27" xfId="57816"/>
    <cellStyle name="Total 2 9 27 2" xfId="57817"/>
    <cellStyle name="Total 2 9 27 2 2" xfId="57818"/>
    <cellStyle name="Total 2 9 27 2 3" xfId="57819"/>
    <cellStyle name="Total 2 9 27 3" xfId="57820"/>
    <cellStyle name="Total 2 9 27 3 2" xfId="57821"/>
    <cellStyle name="Total 2 9 27 3 3" xfId="57822"/>
    <cellStyle name="Total 2 9 27 4" xfId="57823"/>
    <cellStyle name="Total 2 9 27 5" xfId="57824"/>
    <cellStyle name="Total 2 9 28" xfId="57825"/>
    <cellStyle name="Total 2 9 28 2" xfId="57826"/>
    <cellStyle name="Total 2 9 28 2 2" xfId="57827"/>
    <cellStyle name="Total 2 9 28 2 3" xfId="57828"/>
    <cellStyle name="Total 2 9 28 3" xfId="57829"/>
    <cellStyle name="Total 2 9 28 3 2" xfId="57830"/>
    <cellStyle name="Total 2 9 28 3 3" xfId="57831"/>
    <cellStyle name="Total 2 9 28 4" xfId="57832"/>
    <cellStyle name="Total 2 9 28 5" xfId="57833"/>
    <cellStyle name="Total 2 9 29" xfId="57834"/>
    <cellStyle name="Total 2 9 29 2" xfId="57835"/>
    <cellStyle name="Total 2 9 29 2 2" xfId="57836"/>
    <cellStyle name="Total 2 9 29 2 3" xfId="57837"/>
    <cellStyle name="Total 2 9 29 3" xfId="57838"/>
    <cellStyle name="Total 2 9 29 3 2" xfId="57839"/>
    <cellStyle name="Total 2 9 29 3 3" xfId="57840"/>
    <cellStyle name="Total 2 9 29 4" xfId="57841"/>
    <cellStyle name="Total 2 9 29 5" xfId="57842"/>
    <cellStyle name="Total 2 9 3" xfId="57843"/>
    <cellStyle name="Total 2 9 3 2" xfId="57844"/>
    <cellStyle name="Total 2 9 3 2 2" xfId="57845"/>
    <cellStyle name="Total 2 9 3 2 3" xfId="57846"/>
    <cellStyle name="Total 2 9 3 3" xfId="57847"/>
    <cellStyle name="Total 2 9 3 3 2" xfId="57848"/>
    <cellStyle name="Total 2 9 3 3 3" xfId="57849"/>
    <cellStyle name="Total 2 9 3 4" xfId="57850"/>
    <cellStyle name="Total 2 9 3 5" xfId="57851"/>
    <cellStyle name="Total 2 9 30" xfId="57852"/>
    <cellStyle name="Total 2 9 30 2" xfId="57853"/>
    <cellStyle name="Total 2 9 30 2 2" xfId="57854"/>
    <cellStyle name="Total 2 9 30 2 3" xfId="57855"/>
    <cellStyle name="Total 2 9 30 3" xfId="57856"/>
    <cellStyle name="Total 2 9 30 3 2" xfId="57857"/>
    <cellStyle name="Total 2 9 30 3 3" xfId="57858"/>
    <cellStyle name="Total 2 9 30 4" xfId="57859"/>
    <cellStyle name="Total 2 9 30 5" xfId="57860"/>
    <cellStyle name="Total 2 9 31" xfId="57861"/>
    <cellStyle name="Total 2 9 31 2" xfId="57862"/>
    <cellStyle name="Total 2 9 31 2 2" xfId="57863"/>
    <cellStyle name="Total 2 9 31 2 3" xfId="57864"/>
    <cellStyle name="Total 2 9 31 3" xfId="57865"/>
    <cellStyle name="Total 2 9 31 3 2" xfId="57866"/>
    <cellStyle name="Total 2 9 31 3 3" xfId="57867"/>
    <cellStyle name="Total 2 9 31 4" xfId="57868"/>
    <cellStyle name="Total 2 9 31 5" xfId="57869"/>
    <cellStyle name="Total 2 9 32" xfId="57870"/>
    <cellStyle name="Total 2 9 32 2" xfId="57871"/>
    <cellStyle name="Total 2 9 32 2 2" xfId="57872"/>
    <cellStyle name="Total 2 9 32 2 3" xfId="57873"/>
    <cellStyle name="Total 2 9 32 3" xfId="57874"/>
    <cellStyle name="Total 2 9 32 3 2" xfId="57875"/>
    <cellStyle name="Total 2 9 32 3 3" xfId="57876"/>
    <cellStyle name="Total 2 9 32 4" xfId="57877"/>
    <cellStyle name="Total 2 9 32 5" xfId="57878"/>
    <cellStyle name="Total 2 9 33" xfId="57879"/>
    <cellStyle name="Total 2 9 33 2" xfId="57880"/>
    <cellStyle name="Total 2 9 33 2 2" xfId="57881"/>
    <cellStyle name="Total 2 9 33 2 3" xfId="57882"/>
    <cellStyle name="Total 2 9 33 3" xfId="57883"/>
    <cellStyle name="Total 2 9 33 3 2" xfId="57884"/>
    <cellStyle name="Total 2 9 33 3 3" xfId="57885"/>
    <cellStyle name="Total 2 9 33 4" xfId="57886"/>
    <cellStyle name="Total 2 9 33 5" xfId="57887"/>
    <cellStyle name="Total 2 9 34" xfId="57888"/>
    <cellStyle name="Total 2 9 34 2" xfId="57889"/>
    <cellStyle name="Total 2 9 34 2 2" xfId="57890"/>
    <cellStyle name="Total 2 9 34 2 3" xfId="57891"/>
    <cellStyle name="Total 2 9 34 3" xfId="57892"/>
    <cellStyle name="Total 2 9 34 3 2" xfId="57893"/>
    <cellStyle name="Total 2 9 34 3 3" xfId="57894"/>
    <cellStyle name="Total 2 9 34 4" xfId="57895"/>
    <cellStyle name="Total 2 9 34 5" xfId="57896"/>
    <cellStyle name="Total 2 9 35" xfId="57897"/>
    <cellStyle name="Total 2 9 35 2" xfId="57898"/>
    <cellStyle name="Total 2 9 35 2 2" xfId="57899"/>
    <cellStyle name="Total 2 9 35 2 3" xfId="57900"/>
    <cellStyle name="Total 2 9 35 3" xfId="57901"/>
    <cellStyle name="Total 2 9 35 3 2" xfId="57902"/>
    <cellStyle name="Total 2 9 35 3 3" xfId="57903"/>
    <cellStyle name="Total 2 9 35 4" xfId="57904"/>
    <cellStyle name="Total 2 9 35 5" xfId="57905"/>
    <cellStyle name="Total 2 9 36" xfId="57906"/>
    <cellStyle name="Total 2 9 36 2" xfId="57907"/>
    <cellStyle name="Total 2 9 36 2 2" xfId="57908"/>
    <cellStyle name="Total 2 9 36 2 3" xfId="57909"/>
    <cellStyle name="Total 2 9 36 3" xfId="57910"/>
    <cellStyle name="Total 2 9 36 3 2" xfId="57911"/>
    <cellStyle name="Total 2 9 36 3 3" xfId="57912"/>
    <cellStyle name="Total 2 9 36 4" xfId="57913"/>
    <cellStyle name="Total 2 9 36 5" xfId="57914"/>
    <cellStyle name="Total 2 9 37" xfId="57915"/>
    <cellStyle name="Total 2 9 37 2" xfId="57916"/>
    <cellStyle name="Total 2 9 37 2 2" xfId="57917"/>
    <cellStyle name="Total 2 9 37 2 3" xfId="57918"/>
    <cellStyle name="Total 2 9 37 3" xfId="57919"/>
    <cellStyle name="Total 2 9 37 3 2" xfId="57920"/>
    <cellStyle name="Total 2 9 37 3 3" xfId="57921"/>
    <cellStyle name="Total 2 9 37 4" xfId="57922"/>
    <cellStyle name="Total 2 9 37 5" xfId="57923"/>
    <cellStyle name="Total 2 9 38" xfId="57924"/>
    <cellStyle name="Total 2 9 38 2" xfId="57925"/>
    <cellStyle name="Total 2 9 38 2 2" xfId="57926"/>
    <cellStyle name="Total 2 9 38 2 3" xfId="57927"/>
    <cellStyle name="Total 2 9 38 3" xfId="57928"/>
    <cellStyle name="Total 2 9 38 3 2" xfId="57929"/>
    <cellStyle name="Total 2 9 38 3 3" xfId="57930"/>
    <cellStyle name="Total 2 9 38 4" xfId="57931"/>
    <cellStyle name="Total 2 9 38 5" xfId="57932"/>
    <cellStyle name="Total 2 9 39" xfId="57933"/>
    <cellStyle name="Total 2 9 39 2" xfId="57934"/>
    <cellStyle name="Total 2 9 39 2 2" xfId="57935"/>
    <cellStyle name="Total 2 9 39 2 3" xfId="57936"/>
    <cellStyle name="Total 2 9 39 3" xfId="57937"/>
    <cellStyle name="Total 2 9 39 3 2" xfId="57938"/>
    <cellStyle name="Total 2 9 39 3 3" xfId="57939"/>
    <cellStyle name="Total 2 9 39 4" xfId="57940"/>
    <cellStyle name="Total 2 9 39 5" xfId="57941"/>
    <cellStyle name="Total 2 9 4" xfId="57942"/>
    <cellStyle name="Total 2 9 4 2" xfId="57943"/>
    <cellStyle name="Total 2 9 4 2 2" xfId="57944"/>
    <cellStyle name="Total 2 9 4 2 3" xfId="57945"/>
    <cellStyle name="Total 2 9 4 3" xfId="57946"/>
    <cellStyle name="Total 2 9 4 3 2" xfId="57947"/>
    <cellStyle name="Total 2 9 4 3 3" xfId="57948"/>
    <cellStyle name="Total 2 9 4 4" xfId="57949"/>
    <cellStyle name="Total 2 9 4 5" xfId="57950"/>
    <cellStyle name="Total 2 9 40" xfId="57951"/>
    <cellStyle name="Total 2 9 40 2" xfId="57952"/>
    <cellStyle name="Total 2 9 40 2 2" xfId="57953"/>
    <cellStyle name="Total 2 9 40 2 3" xfId="57954"/>
    <cellStyle name="Total 2 9 40 3" xfId="57955"/>
    <cellStyle name="Total 2 9 40 3 2" xfId="57956"/>
    <cellStyle name="Total 2 9 40 3 3" xfId="57957"/>
    <cellStyle name="Total 2 9 40 4" xfId="57958"/>
    <cellStyle name="Total 2 9 40 5" xfId="57959"/>
    <cellStyle name="Total 2 9 41" xfId="57960"/>
    <cellStyle name="Total 2 9 41 2" xfId="57961"/>
    <cellStyle name="Total 2 9 41 2 2" xfId="57962"/>
    <cellStyle name="Total 2 9 41 2 3" xfId="57963"/>
    <cellStyle name="Total 2 9 41 3" xfId="57964"/>
    <cellStyle name="Total 2 9 41 3 2" xfId="57965"/>
    <cellStyle name="Total 2 9 41 3 3" xfId="57966"/>
    <cellStyle name="Total 2 9 41 4" xfId="57967"/>
    <cellStyle name="Total 2 9 41 5" xfId="57968"/>
    <cellStyle name="Total 2 9 42" xfId="57969"/>
    <cellStyle name="Total 2 9 42 2" xfId="57970"/>
    <cellStyle name="Total 2 9 42 2 2" xfId="57971"/>
    <cellStyle name="Total 2 9 42 2 3" xfId="57972"/>
    <cellStyle name="Total 2 9 42 3" xfId="57973"/>
    <cellStyle name="Total 2 9 42 4" xfId="57974"/>
    <cellStyle name="Total 2 9 43" xfId="57975"/>
    <cellStyle name="Total 2 9 43 2" xfId="57976"/>
    <cellStyle name="Total 2 9 43 3" xfId="57977"/>
    <cellStyle name="Total 2 9 44" xfId="57978"/>
    <cellStyle name="Total 2 9 44 2" xfId="57979"/>
    <cellStyle name="Total 2 9 44 3" xfId="57980"/>
    <cellStyle name="Total 2 9 45" xfId="57981"/>
    <cellStyle name="Total 2 9 46" xfId="57982"/>
    <cellStyle name="Total 2 9 5" xfId="57983"/>
    <cellStyle name="Total 2 9 5 2" xfId="57984"/>
    <cellStyle name="Total 2 9 5 2 2" xfId="57985"/>
    <cellStyle name="Total 2 9 5 2 3" xfId="57986"/>
    <cellStyle name="Total 2 9 5 3" xfId="57987"/>
    <cellStyle name="Total 2 9 5 3 2" xfId="57988"/>
    <cellStyle name="Total 2 9 5 3 3" xfId="57989"/>
    <cellStyle name="Total 2 9 5 4" xfId="57990"/>
    <cellStyle name="Total 2 9 5 5" xfId="57991"/>
    <cellStyle name="Total 2 9 6" xfId="57992"/>
    <cellStyle name="Total 2 9 6 2" xfId="57993"/>
    <cellStyle name="Total 2 9 6 2 2" xfId="57994"/>
    <cellStyle name="Total 2 9 6 2 3" xfId="57995"/>
    <cellStyle name="Total 2 9 6 3" xfId="57996"/>
    <cellStyle name="Total 2 9 6 3 2" xfId="57997"/>
    <cellStyle name="Total 2 9 6 3 3" xfId="57998"/>
    <cellStyle name="Total 2 9 6 4" xfId="57999"/>
    <cellStyle name="Total 2 9 6 5" xfId="58000"/>
    <cellStyle name="Total 2 9 7" xfId="58001"/>
    <cellStyle name="Total 2 9 7 2" xfId="58002"/>
    <cellStyle name="Total 2 9 7 2 2" xfId="58003"/>
    <cellStyle name="Total 2 9 7 2 3" xfId="58004"/>
    <cellStyle name="Total 2 9 7 3" xfId="58005"/>
    <cellStyle name="Total 2 9 7 3 2" xfId="58006"/>
    <cellStyle name="Total 2 9 7 3 3" xfId="58007"/>
    <cellStyle name="Total 2 9 7 4" xfId="58008"/>
    <cellStyle name="Total 2 9 7 5" xfId="58009"/>
    <cellStyle name="Total 2 9 8" xfId="58010"/>
    <cellStyle name="Total 2 9 8 2" xfId="58011"/>
    <cellStyle name="Total 2 9 8 2 2" xfId="58012"/>
    <cellStyle name="Total 2 9 8 2 3" xfId="58013"/>
    <cellStyle name="Total 2 9 8 3" xfId="58014"/>
    <cellStyle name="Total 2 9 8 3 2" xfId="58015"/>
    <cellStyle name="Total 2 9 8 3 3" xfId="58016"/>
    <cellStyle name="Total 2 9 8 4" xfId="58017"/>
    <cellStyle name="Total 2 9 8 5" xfId="58018"/>
    <cellStyle name="Total 2 9 9" xfId="58019"/>
    <cellStyle name="Total 2 9 9 2" xfId="58020"/>
    <cellStyle name="Total 2 9 9 2 2" xfId="58021"/>
    <cellStyle name="Total 2 9 9 2 3" xfId="58022"/>
    <cellStyle name="Total 2 9 9 3" xfId="58023"/>
    <cellStyle name="Total 2 9 9 3 2" xfId="58024"/>
    <cellStyle name="Total 2 9 9 3 3" xfId="58025"/>
    <cellStyle name="Total 2 9 9 4" xfId="58026"/>
    <cellStyle name="Total 2 9 9 5" xfId="58027"/>
    <cellStyle name="Total 2_BD RECARGA" xfId="58028"/>
    <cellStyle name="Total 3" xfId="58029"/>
    <cellStyle name="Total 3 2" xfId="58030"/>
    <cellStyle name="Total 3 2 2" xfId="58031"/>
    <cellStyle name="Total 3 2 2 2" xfId="58032"/>
    <cellStyle name="Total 3 2 2 2 2" xfId="58033"/>
    <cellStyle name="Total 3 2 2 2 3" xfId="58034"/>
    <cellStyle name="Total 3 2 2 3" xfId="58035"/>
    <cellStyle name="Total 3 2 2 4" xfId="58036"/>
    <cellStyle name="Total 3 2 3" xfId="58037"/>
    <cellStyle name="Total 3 2 3 2" xfId="58038"/>
    <cellStyle name="Total 3 2 3 2 2" xfId="58039"/>
    <cellStyle name="Total 3 2 3 2 3" xfId="58040"/>
    <cellStyle name="Total 3 2 3 3" xfId="58041"/>
    <cellStyle name="Total 3 2 3 4" xfId="58042"/>
    <cellStyle name="Total 3 2 4" xfId="58043"/>
    <cellStyle name="Total 3 2 4 2" xfId="58044"/>
    <cellStyle name="Total 3 2 4 3" xfId="58045"/>
    <cellStyle name="Total 3 2 5" xfId="58046"/>
    <cellStyle name="Total 3 2 6" xfId="58047"/>
    <cellStyle name="Total 3 3" xfId="58048"/>
    <cellStyle name="Total 3 3 2" xfId="58049"/>
    <cellStyle name="Total 3 3 2 2" xfId="58050"/>
    <cellStyle name="Total 3 3 2 3" xfId="58051"/>
    <cellStyle name="Total 3 3 3" xfId="58052"/>
    <cellStyle name="Total 3 3 4" xfId="58053"/>
    <cellStyle name="Total 3 4" xfId="58054"/>
    <cellStyle name="Total 3 4 2" xfId="58055"/>
    <cellStyle name="Total 3 4 2 2" xfId="58056"/>
    <cellStyle name="Total 3 4 2 3" xfId="58057"/>
    <cellStyle name="Total 3 4 3" xfId="58058"/>
    <cellStyle name="Total 3 4 4" xfId="58059"/>
    <cellStyle name="Total 3 5" xfId="58060"/>
    <cellStyle name="Total 3 5 2" xfId="58061"/>
    <cellStyle name="Total 3 5 3" xfId="58062"/>
    <cellStyle name="Total 3 6" xfId="58063"/>
    <cellStyle name="Total 3 7" xfId="58064"/>
    <cellStyle name="Total 4" xfId="58065"/>
    <cellStyle name="Total 4 2" xfId="58066"/>
    <cellStyle name="Total 4 2 2" xfId="58067"/>
    <cellStyle name="Total 4 2 2 2" xfId="58068"/>
    <cellStyle name="Total 4 2 2 2 2" xfId="58069"/>
    <cellStyle name="Total 4 2 2 2 3" xfId="58070"/>
    <cellStyle name="Total 4 2 2 3" xfId="58071"/>
    <cellStyle name="Total 4 2 2 4" xfId="58072"/>
    <cellStyle name="Total 4 2 3" xfId="58073"/>
    <cellStyle name="Total 4 2 3 2" xfId="58074"/>
    <cellStyle name="Total 4 2 3 2 2" xfId="58075"/>
    <cellStyle name="Total 4 2 3 2 3" xfId="58076"/>
    <cellStyle name="Total 4 2 3 3" xfId="58077"/>
    <cellStyle name="Total 4 2 3 4" xfId="58078"/>
    <cellStyle name="Total 4 2 4" xfId="58079"/>
    <cellStyle name="Total 4 2 4 2" xfId="58080"/>
    <cellStyle name="Total 4 2 4 3" xfId="58081"/>
    <cellStyle name="Total 4 2 5" xfId="58082"/>
    <cellStyle name="Total 4 2 6" xfId="58083"/>
    <cellStyle name="Total 4 3" xfId="58084"/>
    <cellStyle name="Total 4 3 2" xfId="58085"/>
    <cellStyle name="Total 4 3 2 2" xfId="58086"/>
    <cellStyle name="Total 4 3 2 3" xfId="58087"/>
    <cellStyle name="Total 4 3 3" xfId="58088"/>
    <cellStyle name="Total 4 3 4" xfId="58089"/>
    <cellStyle name="Total 4 4" xfId="58090"/>
    <cellStyle name="Total 4 4 2" xfId="58091"/>
    <cellStyle name="Total 4 4 2 2" xfId="58092"/>
    <cellStyle name="Total 4 4 2 3" xfId="58093"/>
    <cellStyle name="Total 4 4 3" xfId="58094"/>
    <cellStyle name="Total 4 4 4" xfId="58095"/>
    <cellStyle name="Total 4 5" xfId="58096"/>
    <cellStyle name="Total 4 5 2" xfId="58097"/>
    <cellStyle name="Total 4 5 3" xfId="58098"/>
    <cellStyle name="Total 4 6" xfId="58099"/>
    <cellStyle name="Total 4 7" xfId="58100"/>
    <cellStyle name="Total 5" xfId="58101"/>
    <cellStyle name="Total 5 2" xfId="58102"/>
    <cellStyle name="Total 5 2 2" xfId="58103"/>
    <cellStyle name="Total 5 2 2 2" xfId="58104"/>
    <cellStyle name="Total 5 2 2 2 2" xfId="58105"/>
    <cellStyle name="Total 5 2 2 2 3" xfId="58106"/>
    <cellStyle name="Total 5 2 2 3" xfId="58107"/>
    <cellStyle name="Total 5 2 2 4" xfId="58108"/>
    <cellStyle name="Total 5 2 3" xfId="58109"/>
    <cellStyle name="Total 5 2 3 2" xfId="58110"/>
    <cellStyle name="Total 5 2 3 2 2" xfId="58111"/>
    <cellStyle name="Total 5 2 3 2 3" xfId="58112"/>
    <cellStyle name="Total 5 2 3 3" xfId="58113"/>
    <cellStyle name="Total 5 2 3 4" xfId="58114"/>
    <cellStyle name="Total 5 2 4" xfId="58115"/>
    <cellStyle name="Total 5 2 4 2" xfId="58116"/>
    <cellStyle name="Total 5 2 4 3" xfId="58117"/>
    <cellStyle name="Total 5 2 5" xfId="58118"/>
    <cellStyle name="Total 5 2 6" xfId="58119"/>
    <cellStyle name="Total 5 3" xfId="58120"/>
    <cellStyle name="Total 5 3 2" xfId="58121"/>
    <cellStyle name="Total 5 3 2 2" xfId="58122"/>
    <cellStyle name="Total 5 3 2 3" xfId="58123"/>
    <cellStyle name="Total 5 3 3" xfId="58124"/>
    <cellStyle name="Total 5 3 4" xfId="58125"/>
    <cellStyle name="Total 5 4" xfId="58126"/>
    <cellStyle name="Total 5 4 2" xfId="58127"/>
    <cellStyle name="Total 5 4 2 2" xfId="58128"/>
    <cellStyle name="Total 5 4 2 3" xfId="58129"/>
    <cellStyle name="Total 5 4 3" xfId="58130"/>
    <cellStyle name="Total 5 4 4" xfId="58131"/>
    <cellStyle name="Total 5 5" xfId="58132"/>
    <cellStyle name="Total 5 5 2" xfId="58133"/>
    <cellStyle name="Total 5 5 3" xfId="58134"/>
    <cellStyle name="Total 5 6" xfId="58135"/>
    <cellStyle name="Total 5 7" xfId="58136"/>
    <cellStyle name="Total 6" xfId="58137"/>
    <cellStyle name="Total 6 2" xfId="58138"/>
    <cellStyle name="Total 6 2 2" xfId="58139"/>
    <cellStyle name="Total 6 2 2 2" xfId="58140"/>
    <cellStyle name="Total 6 2 2 2 2" xfId="58141"/>
    <cellStyle name="Total 6 2 2 2 3" xfId="58142"/>
    <cellStyle name="Total 6 2 2 3" xfId="58143"/>
    <cellStyle name="Total 6 2 2 4" xfId="58144"/>
    <cellStyle name="Total 6 2 3" xfId="58145"/>
    <cellStyle name="Total 6 2 3 2" xfId="58146"/>
    <cellStyle name="Total 6 2 3 2 2" xfId="58147"/>
    <cellStyle name="Total 6 2 3 2 3" xfId="58148"/>
    <cellStyle name="Total 6 2 3 3" xfId="58149"/>
    <cellStyle name="Total 6 2 3 4" xfId="58150"/>
    <cellStyle name="Total 6 2 4" xfId="58151"/>
    <cellStyle name="Total 6 2 4 2" xfId="58152"/>
    <cellStyle name="Total 6 2 4 3" xfId="58153"/>
    <cellStyle name="Total 6 2 5" xfId="58154"/>
    <cellStyle name="Total 6 2 6" xfId="58155"/>
    <cellStyle name="Total 6 3" xfId="58156"/>
    <cellStyle name="Total 6 3 2" xfId="58157"/>
    <cellStyle name="Total 6 3 2 2" xfId="58158"/>
    <cellStyle name="Total 6 3 2 3" xfId="58159"/>
    <cellStyle name="Total 6 3 3" xfId="58160"/>
    <cellStyle name="Total 6 3 4" xfId="58161"/>
    <cellStyle name="Total 6 4" xfId="58162"/>
    <cellStyle name="Total 6 4 2" xfId="58163"/>
    <cellStyle name="Total 6 4 2 2" xfId="58164"/>
    <cellStyle name="Total 6 4 2 3" xfId="58165"/>
    <cellStyle name="Total 6 4 3" xfId="58166"/>
    <cellStyle name="Total 6 4 4" xfId="58167"/>
    <cellStyle name="Total 6 5" xfId="58168"/>
    <cellStyle name="Total 6 5 2" xfId="58169"/>
    <cellStyle name="Total 6 5 3" xfId="58170"/>
    <cellStyle name="Total 6 6" xfId="58171"/>
    <cellStyle name="Total 6 7" xfId="58172"/>
    <cellStyle name="Total 7" xfId="58173"/>
    <cellStyle name="Total 7 2" xfId="58174"/>
    <cellStyle name="Total 7 2 2" xfId="58175"/>
    <cellStyle name="Total 7 2 2 2" xfId="58176"/>
    <cellStyle name="Total 7 2 2 2 2" xfId="58177"/>
    <cellStyle name="Total 7 2 2 2 3" xfId="58178"/>
    <cellStyle name="Total 7 2 2 3" xfId="58179"/>
    <cellStyle name="Total 7 2 2 4" xfId="58180"/>
    <cellStyle name="Total 7 2 3" xfId="58181"/>
    <cellStyle name="Total 7 2 3 2" xfId="58182"/>
    <cellStyle name="Total 7 2 3 2 2" xfId="58183"/>
    <cellStyle name="Total 7 2 3 2 3" xfId="58184"/>
    <cellStyle name="Total 7 2 3 3" xfId="58185"/>
    <cellStyle name="Total 7 2 3 4" xfId="58186"/>
    <cellStyle name="Total 7 2 4" xfId="58187"/>
    <cellStyle name="Total 7 2 4 2" xfId="58188"/>
    <cellStyle name="Total 7 2 4 3" xfId="58189"/>
    <cellStyle name="Total 7 2 5" xfId="58190"/>
    <cellStyle name="Total 7 2 6" xfId="58191"/>
    <cellStyle name="Total 7 3" xfId="58192"/>
    <cellStyle name="Total 7 3 2" xfId="58193"/>
    <cellStyle name="Total 7 3 2 2" xfId="58194"/>
    <cellStyle name="Total 7 3 2 3" xfId="58195"/>
    <cellStyle name="Total 7 3 3" xfId="58196"/>
    <cellStyle name="Total 7 3 4" xfId="58197"/>
    <cellStyle name="Total 7 4" xfId="58198"/>
    <cellStyle name="Total 7 4 2" xfId="58199"/>
    <cellStyle name="Total 7 4 2 2" xfId="58200"/>
    <cellStyle name="Total 7 4 2 3" xfId="58201"/>
    <cellStyle name="Total 7 4 3" xfId="58202"/>
    <cellStyle name="Total 7 4 4" xfId="58203"/>
    <cellStyle name="Total 7 5" xfId="58204"/>
    <cellStyle name="Total 7 5 2" xfId="58205"/>
    <cellStyle name="Total 7 5 3" xfId="58206"/>
    <cellStyle name="Total 7 6" xfId="58207"/>
    <cellStyle name="Total 7 7" xfId="58208"/>
    <cellStyle name="Total 8" xfId="58209"/>
    <cellStyle name="Total 8 2" xfId="58210"/>
    <cellStyle name="Total 8 2 2" xfId="58211"/>
    <cellStyle name="Total 8 2 2 2" xfId="58212"/>
    <cellStyle name="Total 8 2 2 2 2" xfId="58213"/>
    <cellStyle name="Total 8 2 2 2 3" xfId="58214"/>
    <cellStyle name="Total 8 2 2 3" xfId="58215"/>
    <cellStyle name="Total 8 2 2 4" xfId="58216"/>
    <cellStyle name="Total 8 2 3" xfId="58217"/>
    <cellStyle name="Total 8 2 3 2" xfId="58218"/>
    <cellStyle name="Total 8 2 3 2 2" xfId="58219"/>
    <cellStyle name="Total 8 2 3 2 3" xfId="58220"/>
    <cellStyle name="Total 8 2 3 3" xfId="58221"/>
    <cellStyle name="Total 8 2 3 4" xfId="58222"/>
    <cellStyle name="Total 8 2 4" xfId="58223"/>
    <cellStyle name="Total 8 2 4 2" xfId="58224"/>
    <cellStyle name="Total 8 2 4 3" xfId="58225"/>
    <cellStyle name="Total 8 2 5" xfId="58226"/>
    <cellStyle name="Total 8 2 6" xfId="58227"/>
    <cellStyle name="Total 8 3" xfId="58228"/>
    <cellStyle name="Total 8 3 2" xfId="58229"/>
    <cellStyle name="Total 8 3 2 2" xfId="58230"/>
    <cellStyle name="Total 8 3 2 3" xfId="58231"/>
    <cellStyle name="Total 8 3 3" xfId="58232"/>
    <cellStyle name="Total 8 3 4" xfId="58233"/>
    <cellStyle name="Total 8 4" xfId="58234"/>
    <cellStyle name="Total 8 4 2" xfId="58235"/>
    <cellStyle name="Total 8 4 2 2" xfId="58236"/>
    <cellStyle name="Total 8 4 2 3" xfId="58237"/>
    <cellStyle name="Total 8 4 3" xfId="58238"/>
    <cellStyle name="Total 8 4 4" xfId="58239"/>
    <cellStyle name="Total 8 5" xfId="58240"/>
    <cellStyle name="Total 8 5 2" xfId="58241"/>
    <cellStyle name="Total 8 5 3" xfId="58242"/>
    <cellStyle name="Total 8 6" xfId="58243"/>
    <cellStyle name="Total 8 7" xfId="58244"/>
    <cellStyle name="Total 9" xfId="58245"/>
    <cellStyle name="Total 9 2" xfId="58246"/>
    <cellStyle name="Total 9 2 2" xfId="58247"/>
    <cellStyle name="Total 9 2 2 2" xfId="58248"/>
    <cellStyle name="Total 9 2 2 3" xfId="58249"/>
    <cellStyle name="Total 9 2 3" xfId="58250"/>
    <cellStyle name="Total 9 2 4" xfId="58251"/>
    <cellStyle name="Total 9 3" xfId="58252"/>
    <cellStyle name="Total 9 3 2" xfId="58253"/>
    <cellStyle name="Total 9 3 2 2" xfId="58254"/>
    <cellStyle name="Total 9 3 2 3" xfId="58255"/>
    <cellStyle name="Total 9 3 3" xfId="58256"/>
    <cellStyle name="Total 9 3 4" xfId="58257"/>
    <cellStyle name="Total 9 4" xfId="58258"/>
    <cellStyle name="Total 9 4 2" xfId="58259"/>
    <cellStyle name="Total 9 4 3" xfId="58260"/>
    <cellStyle name="Total 9 5" xfId="58261"/>
    <cellStyle name="Total 9 6" xfId="58262"/>
    <cellStyle name="Total Row" xfId="58263"/>
    <cellStyle name="totalbalan" xfId="58264"/>
    <cellStyle name="totale verticale" xfId="58265"/>
    <cellStyle name="Tusenskille [0]_SALES BUD" xfId="58266"/>
    <cellStyle name="Tusenskille_SALES BUD" xfId="58267"/>
    <cellStyle name="UnderLine" xfId="368"/>
    <cellStyle name="UnderLine 2" xfId="58268"/>
    <cellStyle name="Update" xfId="58269"/>
    <cellStyle name="valore calcolato" xfId="58270"/>
    <cellStyle name="Valuta (0)_(00OUT) CE-TOT-BUDGET_03 post BU" xfId="58271"/>
    <cellStyle name="Valuta [0]_SALES BUD" xfId="58272"/>
    <cellStyle name="Valuta_SALES BUD" xfId="58273"/>
    <cellStyle name="Vírgula" xfId="1" builtinId="3"/>
    <cellStyle name="Vírgula 2" xfId="369"/>
    <cellStyle name="Vírgula 2 2" xfId="392"/>
    <cellStyle name="Vírgula 2 2 2" xfId="58274"/>
    <cellStyle name="Vírgula 2 3" xfId="58275"/>
    <cellStyle name="Vírgula 2 3 2" xfId="58276"/>
    <cellStyle name="Vírgula 2 4" xfId="58277"/>
    <cellStyle name="Vírgula 2 5" xfId="58278"/>
    <cellStyle name="Vírgula 3" xfId="393"/>
    <cellStyle name="Vírgula 3 2" xfId="58279"/>
    <cellStyle name="Vírgula 4" xfId="394"/>
    <cellStyle name="Vírgula 5" xfId="58280"/>
    <cellStyle name="Währung" xfId="58281"/>
    <cellStyle name="Warning Text" xfId="58282"/>
    <cellStyle name="Warning Text 2" xfId="58283"/>
    <cellStyle name="Warning Text 3" xfId="58284"/>
    <cellStyle name="Warning Text 4" xfId="58285"/>
    <cellStyle name="Warning Text 5" xfId="58286"/>
    <cellStyle name="Warning Text 6" xfId="58287"/>
    <cellStyle name="Warning Text 7" xfId="58288"/>
    <cellStyle name="Warning Text 8" xfId="58289"/>
    <cellStyle name="White" xfId="58290"/>
    <cellStyle name="Year" xfId="58291"/>
    <cellStyle name="years" xfId="370"/>
    <cellStyle name="years 2" xfId="58292"/>
    <cellStyle name="ZERO" xfId="58293"/>
    <cellStyle name="zero = - [0]" xfId="58294"/>
    <cellStyle name="ZERO = - [1]" xfId="58295"/>
    <cellStyle name="ZERO = [-]" xfId="58296"/>
    <cellStyle name="ZERO_Estrutura" xfId="58297"/>
    <cellStyle name="μU¿¡ ¿A´A CIAIÆU¸μAⓒ" xfId="58298"/>
    <cellStyle name="Обычный_JVC_Price" xfId="58299"/>
    <cellStyle name="강조색1" xfId="58300"/>
    <cellStyle name="강조색1 10" xfId="58301"/>
    <cellStyle name="강조색1 11" xfId="58302"/>
    <cellStyle name="강조색1 12" xfId="58303"/>
    <cellStyle name="강조색1 2" xfId="58304"/>
    <cellStyle name="강조색1 2 2" xfId="58305"/>
    <cellStyle name="강조색1 2 2 2" xfId="58306"/>
    <cellStyle name="강조색1 2 2 3" xfId="58307"/>
    <cellStyle name="강조색1 2 3" xfId="58308"/>
    <cellStyle name="강조색1 2 3 2" xfId="58309"/>
    <cellStyle name="강조색1 2 3 3" xfId="58310"/>
    <cellStyle name="강조색1 2 4" xfId="58311"/>
    <cellStyle name="강조색1 2 5" xfId="58312"/>
    <cellStyle name="강조색1 2 6" xfId="58313"/>
    <cellStyle name="강조색1 2_master file" xfId="58314"/>
    <cellStyle name="강조색1 3" xfId="58315"/>
    <cellStyle name="강조색1 3 2" xfId="58316"/>
    <cellStyle name="강조색1 3 2 2" xfId="58317"/>
    <cellStyle name="강조색1 3 2 3" xfId="58318"/>
    <cellStyle name="강조색1 3 2 4" xfId="58319"/>
    <cellStyle name="강조색1 3 3" xfId="58320"/>
    <cellStyle name="강조색1 3 3 2" xfId="58321"/>
    <cellStyle name="강조색1 3 3 3" xfId="58322"/>
    <cellStyle name="강조색1 3 3 4" xfId="58323"/>
    <cellStyle name="강조색1 3 4" xfId="58324"/>
    <cellStyle name="강조색1 3 4 2" xfId="58325"/>
    <cellStyle name="강조색1 3 4 3" xfId="58326"/>
    <cellStyle name="강조색1 3 5" xfId="58327"/>
    <cellStyle name="강조색1 3 5 2" xfId="58328"/>
    <cellStyle name="강조색1 3 5 3" xfId="58329"/>
    <cellStyle name="강조색1 3 6" xfId="58330"/>
    <cellStyle name="강조색1 3 7" xfId="58331"/>
    <cellStyle name="강조색1 3 8" xfId="58332"/>
    <cellStyle name="강조색1 3_master file" xfId="58333"/>
    <cellStyle name="강조색1 4" xfId="58334"/>
    <cellStyle name="강조색1 4 2" xfId="58335"/>
    <cellStyle name="강조색1 4 3" xfId="58336"/>
    <cellStyle name="강조색1 4 4" xfId="58337"/>
    <cellStyle name="강조색1 5" xfId="58338"/>
    <cellStyle name="강조색1 6" xfId="58339"/>
    <cellStyle name="강조색1 7" xfId="58340"/>
    <cellStyle name="강조색1 8" xfId="58341"/>
    <cellStyle name="강조색1 9" xfId="58342"/>
    <cellStyle name="강조색2" xfId="58343"/>
    <cellStyle name="강조색2 10" xfId="58344"/>
    <cellStyle name="강조색2 11" xfId="58345"/>
    <cellStyle name="강조색2 12" xfId="58346"/>
    <cellStyle name="강조색2 2" xfId="58347"/>
    <cellStyle name="강조색2 2 2" xfId="58348"/>
    <cellStyle name="강조색2 2 2 2" xfId="58349"/>
    <cellStyle name="강조색2 2 2 3" xfId="58350"/>
    <cellStyle name="강조색2 2 3" xfId="58351"/>
    <cellStyle name="강조색2 2 3 2" xfId="58352"/>
    <cellStyle name="강조색2 2 3 3" xfId="58353"/>
    <cellStyle name="강조색2 2 4" xfId="58354"/>
    <cellStyle name="강조색2 2 5" xfId="58355"/>
    <cellStyle name="강조색2 2 6" xfId="58356"/>
    <cellStyle name="강조색2 2_master file" xfId="58357"/>
    <cellStyle name="강조색2 3" xfId="58358"/>
    <cellStyle name="강조색2 3 2" xfId="58359"/>
    <cellStyle name="강조색2 3 2 2" xfId="58360"/>
    <cellStyle name="강조색2 3 2 3" xfId="58361"/>
    <cellStyle name="강조색2 3 2 4" xfId="58362"/>
    <cellStyle name="강조색2 3 3" xfId="58363"/>
    <cellStyle name="강조색2 3 3 2" xfId="58364"/>
    <cellStyle name="강조색2 3 3 3" xfId="58365"/>
    <cellStyle name="강조색2 3 3 4" xfId="58366"/>
    <cellStyle name="강조색2 3 4" xfId="58367"/>
    <cellStyle name="강조색2 3 4 2" xfId="58368"/>
    <cellStyle name="강조색2 3 4 3" xfId="58369"/>
    <cellStyle name="강조색2 3 5" xfId="58370"/>
    <cellStyle name="강조색2 3 5 2" xfId="58371"/>
    <cellStyle name="강조색2 3 5 3" xfId="58372"/>
    <cellStyle name="강조색2 3 6" xfId="58373"/>
    <cellStyle name="강조색2 3 7" xfId="58374"/>
    <cellStyle name="강조색2 3 8" xfId="58375"/>
    <cellStyle name="강조색2 3_master file" xfId="58376"/>
    <cellStyle name="강조색2 4" xfId="58377"/>
    <cellStyle name="강조색2 4 2" xfId="58378"/>
    <cellStyle name="강조색2 4 3" xfId="58379"/>
    <cellStyle name="강조색2 4 4" xfId="58380"/>
    <cellStyle name="강조색2 5" xfId="58381"/>
    <cellStyle name="강조색2 6" xfId="58382"/>
    <cellStyle name="강조색2 7" xfId="58383"/>
    <cellStyle name="강조색2 8" xfId="58384"/>
    <cellStyle name="강조색2 9" xfId="58385"/>
    <cellStyle name="강조색3" xfId="58386"/>
    <cellStyle name="강조색3 10" xfId="58387"/>
    <cellStyle name="강조색3 11" xfId="58388"/>
    <cellStyle name="강조색3 12" xfId="58389"/>
    <cellStyle name="강조색3 2" xfId="58390"/>
    <cellStyle name="강조색3 2 2" xfId="58391"/>
    <cellStyle name="강조색3 2 2 2" xfId="58392"/>
    <cellStyle name="강조색3 2 2 3" xfId="58393"/>
    <cellStyle name="강조색3 2 3" xfId="58394"/>
    <cellStyle name="강조색3 2 3 2" xfId="58395"/>
    <cellStyle name="강조색3 2 3 3" xfId="58396"/>
    <cellStyle name="강조색3 2 4" xfId="58397"/>
    <cellStyle name="강조색3 2 5" xfId="58398"/>
    <cellStyle name="강조색3 2 6" xfId="58399"/>
    <cellStyle name="강조색3 2_master file" xfId="58400"/>
    <cellStyle name="강조색3 3" xfId="58401"/>
    <cellStyle name="강조색3 3 2" xfId="58402"/>
    <cellStyle name="강조색3 3 2 2" xfId="58403"/>
    <cellStyle name="강조색3 3 2 3" xfId="58404"/>
    <cellStyle name="강조색3 3 2 4" xfId="58405"/>
    <cellStyle name="강조색3 3 3" xfId="58406"/>
    <cellStyle name="강조색3 3 3 2" xfId="58407"/>
    <cellStyle name="강조색3 3 3 3" xfId="58408"/>
    <cellStyle name="강조색3 3 3 4" xfId="58409"/>
    <cellStyle name="강조색3 3 4" xfId="58410"/>
    <cellStyle name="강조색3 3 4 2" xfId="58411"/>
    <cellStyle name="강조색3 3 4 3" xfId="58412"/>
    <cellStyle name="강조색3 3 5" xfId="58413"/>
    <cellStyle name="강조색3 3 5 2" xfId="58414"/>
    <cellStyle name="강조색3 3 5 3" xfId="58415"/>
    <cellStyle name="강조색3 3 6" xfId="58416"/>
    <cellStyle name="강조색3 3 7" xfId="58417"/>
    <cellStyle name="강조색3 3 8" xfId="58418"/>
    <cellStyle name="강조색3 3_master file" xfId="58419"/>
    <cellStyle name="강조색3 4" xfId="58420"/>
    <cellStyle name="강조색3 4 2" xfId="58421"/>
    <cellStyle name="강조색3 4 3" xfId="58422"/>
    <cellStyle name="강조색3 4 4" xfId="58423"/>
    <cellStyle name="강조색3 5" xfId="58424"/>
    <cellStyle name="강조색3 6" xfId="58425"/>
    <cellStyle name="강조색3 7" xfId="58426"/>
    <cellStyle name="강조색3 8" xfId="58427"/>
    <cellStyle name="강조색3 9" xfId="58428"/>
    <cellStyle name="강조색4" xfId="58429"/>
    <cellStyle name="강조색4 10" xfId="58430"/>
    <cellStyle name="강조색4 11" xfId="58431"/>
    <cellStyle name="강조색4 12" xfId="58432"/>
    <cellStyle name="강조색4 2" xfId="58433"/>
    <cellStyle name="강조색4 2 2" xfId="58434"/>
    <cellStyle name="강조색4 2 2 2" xfId="58435"/>
    <cellStyle name="강조색4 2 2 3" xfId="58436"/>
    <cellStyle name="강조색4 2 3" xfId="58437"/>
    <cellStyle name="강조색4 2 3 2" xfId="58438"/>
    <cellStyle name="강조색4 2 3 3" xfId="58439"/>
    <cellStyle name="강조색4 2 4" xfId="58440"/>
    <cellStyle name="강조색4 2 5" xfId="58441"/>
    <cellStyle name="강조색4 2 6" xfId="58442"/>
    <cellStyle name="강조색4 2_master file" xfId="58443"/>
    <cellStyle name="강조색4 3" xfId="58444"/>
    <cellStyle name="강조색4 3 2" xfId="58445"/>
    <cellStyle name="강조색4 3 2 2" xfId="58446"/>
    <cellStyle name="강조색4 3 2 3" xfId="58447"/>
    <cellStyle name="강조색4 3 2 4" xfId="58448"/>
    <cellStyle name="강조색4 3 3" xfId="58449"/>
    <cellStyle name="강조색4 3 3 2" xfId="58450"/>
    <cellStyle name="강조색4 3 3 3" xfId="58451"/>
    <cellStyle name="강조색4 3 3 4" xfId="58452"/>
    <cellStyle name="강조색4 3 4" xfId="58453"/>
    <cellStyle name="강조색4 3 4 2" xfId="58454"/>
    <cellStyle name="강조색4 3 4 3" xfId="58455"/>
    <cellStyle name="강조색4 3 5" xfId="58456"/>
    <cellStyle name="강조색4 3 5 2" xfId="58457"/>
    <cellStyle name="강조색4 3 5 3" xfId="58458"/>
    <cellStyle name="강조색4 3 6" xfId="58459"/>
    <cellStyle name="강조색4 3 7" xfId="58460"/>
    <cellStyle name="강조색4 3 8" xfId="58461"/>
    <cellStyle name="강조색4 3_master file" xfId="58462"/>
    <cellStyle name="강조색4 4" xfId="58463"/>
    <cellStyle name="강조색4 4 2" xfId="58464"/>
    <cellStyle name="강조색4 4 3" xfId="58465"/>
    <cellStyle name="강조색4 4 4" xfId="58466"/>
    <cellStyle name="강조색4 5" xfId="58467"/>
    <cellStyle name="강조색4 6" xfId="58468"/>
    <cellStyle name="강조색4 7" xfId="58469"/>
    <cellStyle name="강조색4 8" xfId="58470"/>
    <cellStyle name="강조색4 9" xfId="58471"/>
    <cellStyle name="강조색5" xfId="58472"/>
    <cellStyle name="강조색5 10" xfId="58473"/>
    <cellStyle name="강조색5 11" xfId="58474"/>
    <cellStyle name="강조색5 12" xfId="58475"/>
    <cellStyle name="강조색5 2" xfId="58476"/>
    <cellStyle name="강조색5 2 2" xfId="58477"/>
    <cellStyle name="강조색5 2 2 2" xfId="58478"/>
    <cellStyle name="강조색5 2 2 3" xfId="58479"/>
    <cellStyle name="강조색5 2 3" xfId="58480"/>
    <cellStyle name="강조색5 2 3 2" xfId="58481"/>
    <cellStyle name="강조색5 2 3 3" xfId="58482"/>
    <cellStyle name="강조색5 2 4" xfId="58483"/>
    <cellStyle name="강조색5 2 5" xfId="58484"/>
    <cellStyle name="강조색5 2 6" xfId="58485"/>
    <cellStyle name="강조색5 2_master file" xfId="58486"/>
    <cellStyle name="강조색5 3" xfId="58487"/>
    <cellStyle name="강조색5 3 2" xfId="58488"/>
    <cellStyle name="강조색5 3 2 2" xfId="58489"/>
    <cellStyle name="강조색5 3 2 3" xfId="58490"/>
    <cellStyle name="강조색5 3 2 4" xfId="58491"/>
    <cellStyle name="강조색5 3 3" xfId="58492"/>
    <cellStyle name="강조색5 3 3 2" xfId="58493"/>
    <cellStyle name="강조색5 3 3 3" xfId="58494"/>
    <cellStyle name="강조색5 3 3 4" xfId="58495"/>
    <cellStyle name="강조색5 3 4" xfId="58496"/>
    <cellStyle name="강조색5 3 4 2" xfId="58497"/>
    <cellStyle name="강조색5 3 4 3" xfId="58498"/>
    <cellStyle name="강조색5 3 5" xfId="58499"/>
    <cellStyle name="강조색5 3 5 2" xfId="58500"/>
    <cellStyle name="강조색5 3 5 3" xfId="58501"/>
    <cellStyle name="강조색5 3 6" xfId="58502"/>
    <cellStyle name="강조색5 3 7" xfId="58503"/>
    <cellStyle name="강조색5 3 8" xfId="58504"/>
    <cellStyle name="강조색5 3_master file" xfId="58505"/>
    <cellStyle name="강조색5 4" xfId="58506"/>
    <cellStyle name="강조색5 4 2" xfId="58507"/>
    <cellStyle name="강조색5 4 3" xfId="58508"/>
    <cellStyle name="강조색5 4 4" xfId="58509"/>
    <cellStyle name="강조색5 5" xfId="58510"/>
    <cellStyle name="강조색5 6" xfId="58511"/>
    <cellStyle name="강조색5 7" xfId="58512"/>
    <cellStyle name="강조색5 8" xfId="58513"/>
    <cellStyle name="강조색5 9" xfId="58514"/>
    <cellStyle name="강조색6" xfId="58515"/>
    <cellStyle name="강조색6 10" xfId="58516"/>
    <cellStyle name="강조색6 11" xfId="58517"/>
    <cellStyle name="강조색6 12" xfId="58518"/>
    <cellStyle name="강조색6 2" xfId="58519"/>
    <cellStyle name="강조색6 2 2" xfId="58520"/>
    <cellStyle name="강조색6 2 2 2" xfId="58521"/>
    <cellStyle name="강조색6 2 2 3" xfId="58522"/>
    <cellStyle name="강조색6 2 3" xfId="58523"/>
    <cellStyle name="강조색6 2 3 2" xfId="58524"/>
    <cellStyle name="강조색6 2 3 3" xfId="58525"/>
    <cellStyle name="강조색6 2 4" xfId="58526"/>
    <cellStyle name="강조색6 2 5" xfId="58527"/>
    <cellStyle name="강조색6 2 6" xfId="58528"/>
    <cellStyle name="강조색6 2_master file" xfId="58529"/>
    <cellStyle name="강조색6 3" xfId="58530"/>
    <cellStyle name="강조색6 3 2" xfId="58531"/>
    <cellStyle name="강조색6 3 2 2" xfId="58532"/>
    <cellStyle name="강조색6 3 2 3" xfId="58533"/>
    <cellStyle name="강조색6 3 2 4" xfId="58534"/>
    <cellStyle name="강조색6 3 3" xfId="58535"/>
    <cellStyle name="강조색6 3 3 2" xfId="58536"/>
    <cellStyle name="강조색6 3 3 3" xfId="58537"/>
    <cellStyle name="강조색6 3 3 4" xfId="58538"/>
    <cellStyle name="강조색6 3 4" xfId="58539"/>
    <cellStyle name="강조색6 3 4 2" xfId="58540"/>
    <cellStyle name="강조색6 3 4 3" xfId="58541"/>
    <cellStyle name="강조색6 3 5" xfId="58542"/>
    <cellStyle name="강조색6 3 5 2" xfId="58543"/>
    <cellStyle name="강조색6 3 5 3" xfId="58544"/>
    <cellStyle name="강조색6 3 6" xfId="58545"/>
    <cellStyle name="강조색6 3 7" xfId="58546"/>
    <cellStyle name="강조색6 3 8" xfId="58547"/>
    <cellStyle name="강조색6 3_master file" xfId="58548"/>
    <cellStyle name="강조색6 4" xfId="58549"/>
    <cellStyle name="강조색6 4 2" xfId="58550"/>
    <cellStyle name="강조색6 4 3" xfId="58551"/>
    <cellStyle name="강조색6 4 4" xfId="58552"/>
    <cellStyle name="강조색6 5" xfId="58553"/>
    <cellStyle name="강조색6 6" xfId="58554"/>
    <cellStyle name="강조색6 7" xfId="58555"/>
    <cellStyle name="강조색6 8" xfId="58556"/>
    <cellStyle name="강조색6 9" xfId="58557"/>
    <cellStyle name="경고문" xfId="58558"/>
    <cellStyle name="경고문 10" xfId="58559"/>
    <cellStyle name="경고문 11" xfId="58560"/>
    <cellStyle name="경고문 12" xfId="58561"/>
    <cellStyle name="경고문 2" xfId="58562"/>
    <cellStyle name="경고문 2 2" xfId="58563"/>
    <cellStyle name="경고문 2 2 2" xfId="58564"/>
    <cellStyle name="경고문 2 2 3" xfId="58565"/>
    <cellStyle name="경고문 2 3" xfId="58566"/>
    <cellStyle name="경고문 2 3 2" xfId="58567"/>
    <cellStyle name="경고문 2 3 3" xfId="58568"/>
    <cellStyle name="경고문 2 4" xfId="58569"/>
    <cellStyle name="경고문 2 5" xfId="58570"/>
    <cellStyle name="경고문 2 6" xfId="58571"/>
    <cellStyle name="경고문 2_master file" xfId="58572"/>
    <cellStyle name="경고문 3" xfId="58573"/>
    <cellStyle name="경고문 3 2" xfId="58574"/>
    <cellStyle name="경고문 3 2 2" xfId="58575"/>
    <cellStyle name="경고문 3 2 3" xfId="58576"/>
    <cellStyle name="경고문 3 2 4" xfId="58577"/>
    <cellStyle name="경고문 3 3" xfId="58578"/>
    <cellStyle name="경고문 3 3 2" xfId="58579"/>
    <cellStyle name="경고문 3 3 3" xfId="58580"/>
    <cellStyle name="경고문 3 3 4" xfId="58581"/>
    <cellStyle name="경고문 3 4" xfId="58582"/>
    <cellStyle name="경고문 3 4 2" xfId="58583"/>
    <cellStyle name="경고문 3 4 3" xfId="58584"/>
    <cellStyle name="경고문 3 5" xfId="58585"/>
    <cellStyle name="경고문 3 5 2" xfId="58586"/>
    <cellStyle name="경고문 3 5 3" xfId="58587"/>
    <cellStyle name="경고문 3 6" xfId="58588"/>
    <cellStyle name="경고문 3 7" xfId="58589"/>
    <cellStyle name="경고문 3 8" xfId="58590"/>
    <cellStyle name="경고문 3_master file" xfId="58591"/>
    <cellStyle name="경고문 4" xfId="58592"/>
    <cellStyle name="경고문 4 2" xfId="58593"/>
    <cellStyle name="경고문 4 3" xfId="58594"/>
    <cellStyle name="경고문 4 4" xfId="58595"/>
    <cellStyle name="경고문 5" xfId="58596"/>
    <cellStyle name="경고문 6" xfId="58597"/>
    <cellStyle name="경고문 7" xfId="58598"/>
    <cellStyle name="경고문 8" xfId="58599"/>
    <cellStyle name="경고문 9" xfId="58600"/>
    <cellStyle name="계산" xfId="58601"/>
    <cellStyle name="계산 10" xfId="58602"/>
    <cellStyle name="계산 11" xfId="58603"/>
    <cellStyle name="계산 12" xfId="58604"/>
    <cellStyle name="계산 2" xfId="58605"/>
    <cellStyle name="계산 2 2" xfId="58606"/>
    <cellStyle name="계산 2 2 10" xfId="58607"/>
    <cellStyle name="계산 2 2 11" xfId="58608"/>
    <cellStyle name="계산 2 2 12" xfId="58609"/>
    <cellStyle name="계산 2 2 13" xfId="58610"/>
    <cellStyle name="계산 2 2 14" xfId="58611"/>
    <cellStyle name="계산 2 2 15" xfId="58612"/>
    <cellStyle name="계산 2 2 16" xfId="58613"/>
    <cellStyle name="계산 2 2 17" xfId="58614"/>
    <cellStyle name="계산 2 2 18" xfId="58615"/>
    <cellStyle name="계산 2 2 19" xfId="58616"/>
    <cellStyle name="계산 2 2 2" xfId="58617"/>
    <cellStyle name="계산 2 2 20" xfId="58618"/>
    <cellStyle name="계산 2 2 21" xfId="58619"/>
    <cellStyle name="계산 2 2 22" xfId="58620"/>
    <cellStyle name="계산 2 2 23" xfId="58621"/>
    <cellStyle name="계산 2 2 24" xfId="58622"/>
    <cellStyle name="계산 2 2 25" xfId="58623"/>
    <cellStyle name="계산 2 2 26" xfId="58624"/>
    <cellStyle name="계산 2 2 27" xfId="58625"/>
    <cellStyle name="계산 2 2 28" xfId="58626"/>
    <cellStyle name="계산 2 2 29" xfId="58627"/>
    <cellStyle name="계산 2 2 3" xfId="58628"/>
    <cellStyle name="계산 2 2 30" xfId="58629"/>
    <cellStyle name="계산 2 2 31" xfId="58630"/>
    <cellStyle name="계산 2 2 32" xfId="58631"/>
    <cellStyle name="계산 2 2 33" xfId="58632"/>
    <cellStyle name="계산 2 2 34" xfId="58633"/>
    <cellStyle name="계산 2 2 35" xfId="58634"/>
    <cellStyle name="계산 2 2 36" xfId="58635"/>
    <cellStyle name="계산 2 2 37" xfId="58636"/>
    <cellStyle name="계산 2 2 38" xfId="58637"/>
    <cellStyle name="계산 2 2 39" xfId="58638"/>
    <cellStyle name="계산 2 2 4" xfId="58639"/>
    <cellStyle name="계산 2 2 40" xfId="58640"/>
    <cellStyle name="계산 2 2 41" xfId="58641"/>
    <cellStyle name="계산 2 2 42" xfId="58642"/>
    <cellStyle name="계산 2 2 43" xfId="58643"/>
    <cellStyle name="계산 2 2 44" xfId="58644"/>
    <cellStyle name="계산 2 2 45" xfId="58645"/>
    <cellStyle name="계산 2 2 46" xfId="58646"/>
    <cellStyle name="계산 2 2 47" xfId="58647"/>
    <cellStyle name="계산 2 2 48" xfId="58648"/>
    <cellStyle name="계산 2 2 49" xfId="58649"/>
    <cellStyle name="계산 2 2 5" xfId="58650"/>
    <cellStyle name="계산 2 2 50" xfId="58651"/>
    <cellStyle name="계산 2 2 51" xfId="58652"/>
    <cellStyle name="계산 2 2 52" xfId="58653"/>
    <cellStyle name="계산 2 2 53" xfId="58654"/>
    <cellStyle name="계산 2 2 54" xfId="58655"/>
    <cellStyle name="계산 2 2 55" xfId="58656"/>
    <cellStyle name="계산 2 2 56" xfId="58657"/>
    <cellStyle name="계산 2 2 57" xfId="58658"/>
    <cellStyle name="계산 2 2 58" xfId="58659"/>
    <cellStyle name="계산 2 2 6" xfId="58660"/>
    <cellStyle name="계산 2 2 7" xfId="58661"/>
    <cellStyle name="계산 2 2 8" xfId="58662"/>
    <cellStyle name="계산 2 2 9" xfId="58663"/>
    <cellStyle name="계산 2 3" xfId="58664"/>
    <cellStyle name="계산 2 3 10" xfId="58665"/>
    <cellStyle name="계산 2 3 11" xfId="58666"/>
    <cellStyle name="계산 2 3 12" xfId="58667"/>
    <cellStyle name="계산 2 3 13" xfId="58668"/>
    <cellStyle name="계산 2 3 14" xfId="58669"/>
    <cellStyle name="계산 2 3 15" xfId="58670"/>
    <cellStyle name="계산 2 3 16" xfId="58671"/>
    <cellStyle name="계산 2 3 17" xfId="58672"/>
    <cellStyle name="계산 2 3 18" xfId="58673"/>
    <cellStyle name="계산 2 3 19" xfId="58674"/>
    <cellStyle name="계산 2 3 2" xfId="58675"/>
    <cellStyle name="계산 2 3 20" xfId="58676"/>
    <cellStyle name="계산 2 3 21" xfId="58677"/>
    <cellStyle name="계산 2 3 22" xfId="58678"/>
    <cellStyle name="계산 2 3 23" xfId="58679"/>
    <cellStyle name="계산 2 3 24" xfId="58680"/>
    <cellStyle name="계산 2 3 25" xfId="58681"/>
    <cellStyle name="계산 2 3 26" xfId="58682"/>
    <cellStyle name="계산 2 3 27" xfId="58683"/>
    <cellStyle name="계산 2 3 28" xfId="58684"/>
    <cellStyle name="계산 2 3 29" xfId="58685"/>
    <cellStyle name="계산 2 3 3" xfId="58686"/>
    <cellStyle name="계산 2 3 30" xfId="58687"/>
    <cellStyle name="계산 2 3 31" xfId="58688"/>
    <cellStyle name="계산 2 3 32" xfId="58689"/>
    <cellStyle name="계산 2 3 33" xfId="58690"/>
    <cellStyle name="계산 2 3 34" xfId="58691"/>
    <cellStyle name="계산 2 3 35" xfId="58692"/>
    <cellStyle name="계산 2 3 36" xfId="58693"/>
    <cellStyle name="계산 2 3 37" xfId="58694"/>
    <cellStyle name="계산 2 3 38" xfId="58695"/>
    <cellStyle name="계산 2 3 39" xfId="58696"/>
    <cellStyle name="계산 2 3 4" xfId="58697"/>
    <cellStyle name="계산 2 3 40" xfId="58698"/>
    <cellStyle name="계산 2 3 41" xfId="58699"/>
    <cellStyle name="계산 2 3 42" xfId="58700"/>
    <cellStyle name="계산 2 3 43" xfId="58701"/>
    <cellStyle name="계산 2 3 44" xfId="58702"/>
    <cellStyle name="계산 2 3 45" xfId="58703"/>
    <cellStyle name="계산 2 3 46" xfId="58704"/>
    <cellStyle name="계산 2 3 47" xfId="58705"/>
    <cellStyle name="계산 2 3 48" xfId="58706"/>
    <cellStyle name="계산 2 3 49" xfId="58707"/>
    <cellStyle name="계산 2 3 5" xfId="58708"/>
    <cellStyle name="계산 2 3 50" xfId="58709"/>
    <cellStyle name="계산 2 3 51" xfId="58710"/>
    <cellStyle name="계산 2 3 52" xfId="58711"/>
    <cellStyle name="계산 2 3 53" xfId="58712"/>
    <cellStyle name="계산 2 3 54" xfId="58713"/>
    <cellStyle name="계산 2 3 55" xfId="58714"/>
    <cellStyle name="계산 2 3 56" xfId="58715"/>
    <cellStyle name="계산 2 3 57" xfId="58716"/>
    <cellStyle name="계산 2 3 58" xfId="58717"/>
    <cellStyle name="계산 2 3 6" xfId="58718"/>
    <cellStyle name="계산 2 3 7" xfId="58719"/>
    <cellStyle name="계산 2 3 8" xfId="58720"/>
    <cellStyle name="계산 2 3 9" xfId="58721"/>
    <cellStyle name="계산 2 4" xfId="58722"/>
    <cellStyle name="계산 2 5" xfId="58723"/>
    <cellStyle name="계산 2 6" xfId="58724"/>
    <cellStyle name="계산 2_master file" xfId="58725"/>
    <cellStyle name="계산 3" xfId="58726"/>
    <cellStyle name="계산 3 10" xfId="58727"/>
    <cellStyle name="계산 3 11" xfId="58728"/>
    <cellStyle name="계산 3 12" xfId="58729"/>
    <cellStyle name="계산 3 13" xfId="58730"/>
    <cellStyle name="계산 3 14" xfId="58731"/>
    <cellStyle name="계산 3 15" xfId="58732"/>
    <cellStyle name="계산 3 16" xfId="58733"/>
    <cellStyle name="계산 3 17" xfId="58734"/>
    <cellStyle name="계산 3 18" xfId="58735"/>
    <cellStyle name="계산 3 19" xfId="58736"/>
    <cellStyle name="계산 3 2" xfId="58737"/>
    <cellStyle name="계산 3 2 10" xfId="58738"/>
    <cellStyle name="계산 3 2 11" xfId="58739"/>
    <cellStyle name="계산 3 2 12" xfId="58740"/>
    <cellStyle name="계산 3 2 13" xfId="58741"/>
    <cellStyle name="계산 3 2 14" xfId="58742"/>
    <cellStyle name="계산 3 2 15" xfId="58743"/>
    <cellStyle name="계산 3 2 16" xfId="58744"/>
    <cellStyle name="계산 3 2 17" xfId="58745"/>
    <cellStyle name="계산 3 2 18" xfId="58746"/>
    <cellStyle name="계산 3 2 19" xfId="58747"/>
    <cellStyle name="계산 3 2 2" xfId="58748"/>
    <cellStyle name="계산 3 2 20" xfId="58749"/>
    <cellStyle name="계산 3 2 21" xfId="58750"/>
    <cellStyle name="계산 3 2 22" xfId="58751"/>
    <cellStyle name="계산 3 2 23" xfId="58752"/>
    <cellStyle name="계산 3 2 24" xfId="58753"/>
    <cellStyle name="계산 3 2 25" xfId="58754"/>
    <cellStyle name="계산 3 2 26" xfId="58755"/>
    <cellStyle name="계산 3 2 27" xfId="58756"/>
    <cellStyle name="계산 3 2 28" xfId="58757"/>
    <cellStyle name="계산 3 2 29" xfId="58758"/>
    <cellStyle name="계산 3 2 3" xfId="58759"/>
    <cellStyle name="계산 3 2 30" xfId="58760"/>
    <cellStyle name="계산 3 2 31" xfId="58761"/>
    <cellStyle name="계산 3 2 32" xfId="58762"/>
    <cellStyle name="계산 3 2 33" xfId="58763"/>
    <cellStyle name="계산 3 2 34" xfId="58764"/>
    <cellStyle name="계산 3 2 35" xfId="58765"/>
    <cellStyle name="계산 3 2 36" xfId="58766"/>
    <cellStyle name="계산 3 2 37" xfId="58767"/>
    <cellStyle name="계산 3 2 38" xfId="58768"/>
    <cellStyle name="계산 3 2 39" xfId="58769"/>
    <cellStyle name="계산 3 2 4" xfId="58770"/>
    <cellStyle name="계산 3 2 40" xfId="58771"/>
    <cellStyle name="계산 3 2 41" xfId="58772"/>
    <cellStyle name="계산 3 2 42" xfId="58773"/>
    <cellStyle name="계산 3 2 43" xfId="58774"/>
    <cellStyle name="계산 3 2 44" xfId="58775"/>
    <cellStyle name="계산 3 2 45" xfId="58776"/>
    <cellStyle name="계산 3 2 46" xfId="58777"/>
    <cellStyle name="계산 3 2 47" xfId="58778"/>
    <cellStyle name="계산 3 2 48" xfId="58779"/>
    <cellStyle name="계산 3 2 49" xfId="58780"/>
    <cellStyle name="계산 3 2 5" xfId="58781"/>
    <cellStyle name="계산 3 2 50" xfId="58782"/>
    <cellStyle name="계산 3 2 51" xfId="58783"/>
    <cellStyle name="계산 3 2 52" xfId="58784"/>
    <cellStyle name="계산 3 2 53" xfId="58785"/>
    <cellStyle name="계산 3 2 54" xfId="58786"/>
    <cellStyle name="계산 3 2 55" xfId="58787"/>
    <cellStyle name="계산 3 2 56" xfId="58788"/>
    <cellStyle name="계산 3 2 57" xfId="58789"/>
    <cellStyle name="계산 3 2 58" xfId="58790"/>
    <cellStyle name="계산 3 2 6" xfId="58791"/>
    <cellStyle name="계산 3 2 7" xfId="58792"/>
    <cellStyle name="계산 3 2 8" xfId="58793"/>
    <cellStyle name="계산 3 2 9" xfId="58794"/>
    <cellStyle name="계산 3 20" xfId="58795"/>
    <cellStyle name="계산 3 21" xfId="58796"/>
    <cellStyle name="계산 3 22" xfId="58797"/>
    <cellStyle name="계산 3 23" xfId="58798"/>
    <cellStyle name="계산 3 24" xfId="58799"/>
    <cellStyle name="계산 3 25" xfId="58800"/>
    <cellStyle name="계산 3 26" xfId="58801"/>
    <cellStyle name="계산 3 27" xfId="58802"/>
    <cellStyle name="계산 3 28" xfId="58803"/>
    <cellStyle name="계산 3 29" xfId="58804"/>
    <cellStyle name="계산 3 3" xfId="58805"/>
    <cellStyle name="계산 3 3 10" xfId="58806"/>
    <cellStyle name="계산 3 3 11" xfId="58807"/>
    <cellStyle name="계산 3 3 12" xfId="58808"/>
    <cellStyle name="계산 3 3 13" xfId="58809"/>
    <cellStyle name="계산 3 3 14" xfId="58810"/>
    <cellStyle name="계산 3 3 15" xfId="58811"/>
    <cellStyle name="계산 3 3 16" xfId="58812"/>
    <cellStyle name="계산 3 3 17" xfId="58813"/>
    <cellStyle name="계산 3 3 18" xfId="58814"/>
    <cellStyle name="계산 3 3 19" xfId="58815"/>
    <cellStyle name="계산 3 3 2" xfId="58816"/>
    <cellStyle name="계산 3 3 20" xfId="58817"/>
    <cellStyle name="계산 3 3 21" xfId="58818"/>
    <cellStyle name="계산 3 3 22" xfId="58819"/>
    <cellStyle name="계산 3 3 23" xfId="58820"/>
    <cellStyle name="계산 3 3 24" xfId="58821"/>
    <cellStyle name="계산 3 3 25" xfId="58822"/>
    <cellStyle name="계산 3 3 26" xfId="58823"/>
    <cellStyle name="계산 3 3 27" xfId="58824"/>
    <cellStyle name="계산 3 3 28" xfId="58825"/>
    <cellStyle name="계산 3 3 29" xfId="58826"/>
    <cellStyle name="계산 3 3 3" xfId="58827"/>
    <cellStyle name="계산 3 3 30" xfId="58828"/>
    <cellStyle name="계산 3 3 31" xfId="58829"/>
    <cellStyle name="계산 3 3 32" xfId="58830"/>
    <cellStyle name="계산 3 3 33" xfId="58831"/>
    <cellStyle name="계산 3 3 34" xfId="58832"/>
    <cellStyle name="계산 3 3 35" xfId="58833"/>
    <cellStyle name="계산 3 3 36" xfId="58834"/>
    <cellStyle name="계산 3 3 37" xfId="58835"/>
    <cellStyle name="계산 3 3 38" xfId="58836"/>
    <cellStyle name="계산 3 3 39" xfId="58837"/>
    <cellStyle name="계산 3 3 4" xfId="58838"/>
    <cellStyle name="계산 3 3 40" xfId="58839"/>
    <cellStyle name="계산 3 3 41" xfId="58840"/>
    <cellStyle name="계산 3 3 42" xfId="58841"/>
    <cellStyle name="계산 3 3 43" xfId="58842"/>
    <cellStyle name="계산 3 3 44" xfId="58843"/>
    <cellStyle name="계산 3 3 45" xfId="58844"/>
    <cellStyle name="계산 3 3 46" xfId="58845"/>
    <cellStyle name="계산 3 3 47" xfId="58846"/>
    <cellStyle name="계산 3 3 48" xfId="58847"/>
    <cellStyle name="계산 3 3 49" xfId="58848"/>
    <cellStyle name="계산 3 3 5" xfId="58849"/>
    <cellStyle name="계산 3 3 50" xfId="58850"/>
    <cellStyle name="계산 3 3 51" xfId="58851"/>
    <cellStyle name="계산 3 3 52" xfId="58852"/>
    <cellStyle name="계산 3 3 53" xfId="58853"/>
    <cellStyle name="계산 3 3 54" xfId="58854"/>
    <cellStyle name="계산 3 3 55" xfId="58855"/>
    <cellStyle name="계산 3 3 56" xfId="58856"/>
    <cellStyle name="계산 3 3 57" xfId="58857"/>
    <cellStyle name="계산 3 3 58" xfId="58858"/>
    <cellStyle name="계산 3 3 6" xfId="58859"/>
    <cellStyle name="계산 3 3 7" xfId="58860"/>
    <cellStyle name="계산 3 3 8" xfId="58861"/>
    <cellStyle name="계산 3 3 9" xfId="58862"/>
    <cellStyle name="계산 3 30" xfId="58863"/>
    <cellStyle name="계산 3 31" xfId="58864"/>
    <cellStyle name="계산 3 32" xfId="58865"/>
    <cellStyle name="계산 3 33" xfId="58866"/>
    <cellStyle name="계산 3 34" xfId="58867"/>
    <cellStyle name="계산 3 35" xfId="58868"/>
    <cellStyle name="계산 3 36" xfId="58869"/>
    <cellStyle name="계산 3 37" xfId="58870"/>
    <cellStyle name="계산 3 38" xfId="58871"/>
    <cellStyle name="계산 3 39" xfId="58872"/>
    <cellStyle name="계산 3 4" xfId="58873"/>
    <cellStyle name="계산 3 4 2" xfId="58874"/>
    <cellStyle name="계산 3 4 3" xfId="58875"/>
    <cellStyle name="계산 3 40" xfId="58876"/>
    <cellStyle name="계산 3 41" xfId="58877"/>
    <cellStyle name="계산 3 42" xfId="58878"/>
    <cellStyle name="계산 3 43" xfId="58879"/>
    <cellStyle name="계산 3 44" xfId="58880"/>
    <cellStyle name="계산 3 45" xfId="58881"/>
    <cellStyle name="계산 3 46" xfId="58882"/>
    <cellStyle name="계산 3 47" xfId="58883"/>
    <cellStyle name="계산 3 48" xfId="58884"/>
    <cellStyle name="계산 3 49" xfId="58885"/>
    <cellStyle name="계산 3 5" xfId="58886"/>
    <cellStyle name="계산 3 5 2" xfId="58887"/>
    <cellStyle name="계산 3 5 3" xfId="58888"/>
    <cellStyle name="계산 3 50" xfId="58889"/>
    <cellStyle name="계산 3 51" xfId="58890"/>
    <cellStyle name="계산 3 52" xfId="58891"/>
    <cellStyle name="계산 3 53" xfId="58892"/>
    <cellStyle name="계산 3 54" xfId="58893"/>
    <cellStyle name="계산 3 55" xfId="58894"/>
    <cellStyle name="계산 3 56" xfId="58895"/>
    <cellStyle name="계산 3 57" xfId="58896"/>
    <cellStyle name="계산 3 58" xfId="58897"/>
    <cellStyle name="계산 3 59" xfId="58898"/>
    <cellStyle name="계산 3 6" xfId="58899"/>
    <cellStyle name="계산 3 60" xfId="58900"/>
    <cellStyle name="계산 3 61" xfId="58901"/>
    <cellStyle name="계산 3 62" xfId="58902"/>
    <cellStyle name="계산 3 63" xfId="58903"/>
    <cellStyle name="계산 3 7" xfId="58904"/>
    <cellStyle name="계산 3 8" xfId="58905"/>
    <cellStyle name="계산 3 9" xfId="58906"/>
    <cellStyle name="계산 3_master file" xfId="58907"/>
    <cellStyle name="계산 4" xfId="58908"/>
    <cellStyle name="계산 4 2" xfId="58909"/>
    <cellStyle name="계산 4 3" xfId="58910"/>
    <cellStyle name="계산 4 4" xfId="58911"/>
    <cellStyle name="계산 5" xfId="58912"/>
    <cellStyle name="계산 6" xfId="58913"/>
    <cellStyle name="계산 7" xfId="58914"/>
    <cellStyle name="계산 8" xfId="58915"/>
    <cellStyle name="계산 9" xfId="58916"/>
    <cellStyle name="나쁨" xfId="58917"/>
    <cellStyle name="나쁨 10" xfId="58918"/>
    <cellStyle name="나쁨 11" xfId="58919"/>
    <cellStyle name="나쁨 12" xfId="58920"/>
    <cellStyle name="나쁨 2" xfId="58921"/>
    <cellStyle name="나쁨 2 2" xfId="58922"/>
    <cellStyle name="나쁨 2 2 2" xfId="58923"/>
    <cellStyle name="나쁨 2 2 3" xfId="58924"/>
    <cellStyle name="나쁨 2 3" xfId="58925"/>
    <cellStyle name="나쁨 2 3 2" xfId="58926"/>
    <cellStyle name="나쁨 2 3 3" xfId="58927"/>
    <cellStyle name="나쁨 2 4" xfId="58928"/>
    <cellStyle name="나쁨 2 5" xfId="58929"/>
    <cellStyle name="나쁨 2 6" xfId="58930"/>
    <cellStyle name="나쁨 2_master file" xfId="58931"/>
    <cellStyle name="나쁨 3" xfId="58932"/>
    <cellStyle name="나쁨 3 2" xfId="58933"/>
    <cellStyle name="나쁨 3 2 2" xfId="58934"/>
    <cellStyle name="나쁨 3 2 3" xfId="58935"/>
    <cellStyle name="나쁨 3 2 4" xfId="58936"/>
    <cellStyle name="나쁨 3 3" xfId="58937"/>
    <cellStyle name="나쁨 3 3 2" xfId="58938"/>
    <cellStyle name="나쁨 3 3 3" xfId="58939"/>
    <cellStyle name="나쁨 3 3 4" xfId="58940"/>
    <cellStyle name="나쁨 3 4" xfId="58941"/>
    <cellStyle name="나쁨 3 4 2" xfId="58942"/>
    <cellStyle name="나쁨 3 4 3" xfId="58943"/>
    <cellStyle name="나쁨 3 5" xfId="58944"/>
    <cellStyle name="나쁨 3 5 2" xfId="58945"/>
    <cellStyle name="나쁨 3 5 3" xfId="58946"/>
    <cellStyle name="나쁨 3 6" xfId="58947"/>
    <cellStyle name="나쁨 3 7" xfId="58948"/>
    <cellStyle name="나쁨 3 8" xfId="58949"/>
    <cellStyle name="나쁨 3_master file" xfId="58950"/>
    <cellStyle name="나쁨 4" xfId="58951"/>
    <cellStyle name="나쁨 4 2" xfId="58952"/>
    <cellStyle name="나쁨 4 3" xfId="58953"/>
    <cellStyle name="나쁨 4 4" xfId="58954"/>
    <cellStyle name="나쁨 5" xfId="58955"/>
    <cellStyle name="나쁨 6" xfId="58956"/>
    <cellStyle name="나쁨 7" xfId="58957"/>
    <cellStyle name="나쁨 8" xfId="58958"/>
    <cellStyle name="나쁨 9" xfId="58959"/>
    <cellStyle name="뒤에 오는 하이퍼링크" xfId="58960"/>
    <cellStyle name="메모" xfId="58961"/>
    <cellStyle name="메모 10" xfId="58962"/>
    <cellStyle name="메모 11" xfId="58963"/>
    <cellStyle name="메모 12" xfId="58964"/>
    <cellStyle name="메모 13" xfId="58965"/>
    <cellStyle name="메모 14" xfId="58966"/>
    <cellStyle name="메모 15" xfId="58967"/>
    <cellStyle name="메모 16" xfId="58968"/>
    <cellStyle name="메모 2" xfId="58969"/>
    <cellStyle name="메모 2 2" xfId="58970"/>
    <cellStyle name="메모 2 2 2" xfId="58971"/>
    <cellStyle name="메모 2 2 2 2" xfId="58972"/>
    <cellStyle name="메모 2 2 2 3" xfId="58973"/>
    <cellStyle name="메모 2 2 3" xfId="58974"/>
    <cellStyle name="메모 2 2 4" xfId="58975"/>
    <cellStyle name="메모 2 3" xfId="58976"/>
    <cellStyle name="메모 2 3 2" xfId="58977"/>
    <cellStyle name="메모 2 3 2 2" xfId="58978"/>
    <cellStyle name="메모 2 3 2 3" xfId="58979"/>
    <cellStyle name="메모 2 3 3" xfId="58980"/>
    <cellStyle name="메모 2 3 4" xfId="58981"/>
    <cellStyle name="메모 2 4" xfId="58982"/>
    <cellStyle name="메모 2 5" xfId="58983"/>
    <cellStyle name="메모 2 6" xfId="58984"/>
    <cellStyle name="메모 2 7" xfId="58985"/>
    <cellStyle name="메모 2_master file" xfId="58986"/>
    <cellStyle name="메모 3" xfId="58987"/>
    <cellStyle name="메모 3 2" xfId="58988"/>
    <cellStyle name="메모 3 2 2" xfId="58989"/>
    <cellStyle name="메모 3 2 2 2" xfId="58990"/>
    <cellStyle name="메모 3 2 2 3" xfId="58991"/>
    <cellStyle name="메모 3 2 3" xfId="58992"/>
    <cellStyle name="메모 3 2 4" xfId="58993"/>
    <cellStyle name="메모 3 3" xfId="58994"/>
    <cellStyle name="메모 3 3 2" xfId="58995"/>
    <cellStyle name="메모 3 3 2 2" xfId="58996"/>
    <cellStyle name="메모 3 3 2 3" xfId="58997"/>
    <cellStyle name="메모 3 3 3" xfId="58998"/>
    <cellStyle name="메모 3 3 4" xfId="58999"/>
    <cellStyle name="메모 3 4" xfId="59000"/>
    <cellStyle name="메모 3 4 2" xfId="59001"/>
    <cellStyle name="메모 3 4 3" xfId="59002"/>
    <cellStyle name="메모 3 5" xfId="59003"/>
    <cellStyle name="메모 3 6" xfId="59004"/>
    <cellStyle name="메모 3 7" xfId="59005"/>
    <cellStyle name="메모 3_master file" xfId="59006"/>
    <cellStyle name="메모 4" xfId="59007"/>
    <cellStyle name="메모 4 2" xfId="59008"/>
    <cellStyle name="메모 4 3" xfId="59009"/>
    <cellStyle name="메모 4 4" xfId="59010"/>
    <cellStyle name="메모 4 5" xfId="59011"/>
    <cellStyle name="메모 5" xfId="59012"/>
    <cellStyle name="메모 6" xfId="59013"/>
    <cellStyle name="메모 7" xfId="59014"/>
    <cellStyle name="메모 8" xfId="59015"/>
    <cellStyle name="메모 9" xfId="59016"/>
    <cellStyle name="백분율 10" xfId="59017"/>
    <cellStyle name="백분율 11" xfId="59018"/>
    <cellStyle name="백분율 11 2" xfId="59019"/>
    <cellStyle name="백분율 12" xfId="59020"/>
    <cellStyle name="백분율 13" xfId="59021"/>
    <cellStyle name="백분율 14" xfId="59022"/>
    <cellStyle name="백분율 15" xfId="59023"/>
    <cellStyle name="백분율 16" xfId="59024"/>
    <cellStyle name="백분율 2" xfId="59025"/>
    <cellStyle name="백분율 2 10" xfId="59026"/>
    <cellStyle name="백분율 2 11" xfId="59027"/>
    <cellStyle name="백분율 2 12" xfId="59028"/>
    <cellStyle name="백분율 2 13" xfId="59029"/>
    <cellStyle name="백분율 2 14" xfId="59030"/>
    <cellStyle name="백분율 2 15" xfId="59031"/>
    <cellStyle name="백분율 2 16" xfId="59032"/>
    <cellStyle name="백분율 2 17" xfId="59033"/>
    <cellStyle name="백분율 2 18" xfId="59034"/>
    <cellStyle name="백분율 2 2" xfId="59035"/>
    <cellStyle name="백분율 2 2 10" xfId="59036"/>
    <cellStyle name="백분율 2 2 11" xfId="59037"/>
    <cellStyle name="백분율 2 2 12" xfId="59038"/>
    <cellStyle name="백분율 2 2 13" xfId="59039"/>
    <cellStyle name="백분율 2 2 14" xfId="59040"/>
    <cellStyle name="백분율 2 2 2" xfId="59041"/>
    <cellStyle name="백분율 2 2 3" xfId="59042"/>
    <cellStyle name="백분율 2 2 4" xfId="59043"/>
    <cellStyle name="백분율 2 2 5" xfId="59044"/>
    <cellStyle name="백분율 2 2 6" xfId="59045"/>
    <cellStyle name="백분율 2 2 7" xfId="59046"/>
    <cellStyle name="백분율 2 2 8" xfId="59047"/>
    <cellStyle name="백분율 2 2 9" xfId="59048"/>
    <cellStyle name="백분율 2 3" xfId="59049"/>
    <cellStyle name="백분율 2 3 10" xfId="59050"/>
    <cellStyle name="백분율 2 3 11" xfId="59051"/>
    <cellStyle name="백분율 2 3 12" xfId="59052"/>
    <cellStyle name="백분율 2 3 13" xfId="59053"/>
    <cellStyle name="백분율 2 3 14" xfId="59054"/>
    <cellStyle name="백분율 2 3 2" xfId="59055"/>
    <cellStyle name="백분율 2 3 3" xfId="59056"/>
    <cellStyle name="백분율 2 3 4" xfId="59057"/>
    <cellStyle name="백분율 2 3 5" xfId="59058"/>
    <cellStyle name="백분율 2 3 6" xfId="59059"/>
    <cellStyle name="백분율 2 3 7" xfId="59060"/>
    <cellStyle name="백분율 2 3 8" xfId="59061"/>
    <cellStyle name="백분율 2 3 9" xfId="59062"/>
    <cellStyle name="백분율 2 4" xfId="59063"/>
    <cellStyle name="백분율 2 4 10" xfId="59064"/>
    <cellStyle name="백분율 2 4 11" xfId="59065"/>
    <cellStyle name="백분율 2 4 12" xfId="59066"/>
    <cellStyle name="백분율 2 4 13" xfId="59067"/>
    <cellStyle name="백분율 2 4 14" xfId="59068"/>
    <cellStyle name="백분율 2 4 2" xfId="59069"/>
    <cellStyle name="백분율 2 4 3" xfId="59070"/>
    <cellStyle name="백분율 2 4 4" xfId="59071"/>
    <cellStyle name="백분율 2 4 5" xfId="59072"/>
    <cellStyle name="백분율 2 4 6" xfId="59073"/>
    <cellStyle name="백분율 2 4 7" xfId="59074"/>
    <cellStyle name="백분율 2 4 8" xfId="59075"/>
    <cellStyle name="백분율 2 4 9" xfId="59076"/>
    <cellStyle name="백분율 2 5" xfId="59077"/>
    <cellStyle name="백분율 2 6" xfId="59078"/>
    <cellStyle name="백분율 2 7" xfId="59079"/>
    <cellStyle name="백분율 2 8" xfId="59080"/>
    <cellStyle name="백분율 2 9" xfId="59081"/>
    <cellStyle name="백분율 3" xfId="59082"/>
    <cellStyle name="백분율 3 2" xfId="59083"/>
    <cellStyle name="백분율 3 3" xfId="59084"/>
    <cellStyle name="백분율 4" xfId="59085"/>
    <cellStyle name="백분율 4 2" xfId="59086"/>
    <cellStyle name="백분율 5" xfId="59087"/>
    <cellStyle name="백분율 6" xfId="59088"/>
    <cellStyle name="백분율 6 10" xfId="59089"/>
    <cellStyle name="백분율 6 11" xfId="59090"/>
    <cellStyle name="백분율 6 12" xfId="59091"/>
    <cellStyle name="백분율 6 13" xfId="59092"/>
    <cellStyle name="백분율 6 14" xfId="59093"/>
    <cellStyle name="백분율 6 15" xfId="59094"/>
    <cellStyle name="백분율 6 2" xfId="59095"/>
    <cellStyle name="백분율 6 3" xfId="59096"/>
    <cellStyle name="백분율 6 4" xfId="59097"/>
    <cellStyle name="백분율 6 5" xfId="59098"/>
    <cellStyle name="백분율 6 6" xfId="59099"/>
    <cellStyle name="백분율 6 7" xfId="59100"/>
    <cellStyle name="백분율 6 8" xfId="59101"/>
    <cellStyle name="백분율 6 9" xfId="59102"/>
    <cellStyle name="백분율 7" xfId="59103"/>
    <cellStyle name="백분율 8" xfId="59104"/>
    <cellStyle name="백분율 9" xfId="59105"/>
    <cellStyle name="백분율 9 2" xfId="59106"/>
    <cellStyle name="백분율 9 2 2" xfId="59107"/>
    <cellStyle name="백분율 9 2 2 2" xfId="59108"/>
    <cellStyle name="백분율 9 2 2 2 2" xfId="59109"/>
    <cellStyle name="백분율 9 2 2 3" xfId="59110"/>
    <cellStyle name="백분율 9 2 3" xfId="59111"/>
    <cellStyle name="백분율 9 2 3 2" xfId="59112"/>
    <cellStyle name="백분율 9 2 4" xfId="59113"/>
    <cellStyle name="백분율 9 3" xfId="59114"/>
    <cellStyle name="백분율 9 3 2" xfId="59115"/>
    <cellStyle name="백분율 9 3 2 2" xfId="59116"/>
    <cellStyle name="백분율 9 3 2 2 2" xfId="59117"/>
    <cellStyle name="백분율 9 3 2 3" xfId="59118"/>
    <cellStyle name="백분율 9 3 3" xfId="59119"/>
    <cellStyle name="백분율 9 3 3 2" xfId="59120"/>
    <cellStyle name="백분율 9 3 4" xfId="59121"/>
    <cellStyle name="백분율 9 4" xfId="59122"/>
    <cellStyle name="백분율 9 4 2" xfId="59123"/>
    <cellStyle name="백분율 9 4 2 2" xfId="59124"/>
    <cellStyle name="백분율 9 4 3" xfId="59125"/>
    <cellStyle name="백분율 9 5" xfId="59126"/>
    <cellStyle name="백분율 9 5 2" xfId="59127"/>
    <cellStyle name="백분율 9 6" xfId="59128"/>
    <cellStyle name="보통" xfId="59129"/>
    <cellStyle name="보통 10" xfId="59130"/>
    <cellStyle name="보통 11" xfId="59131"/>
    <cellStyle name="보통 12" xfId="59132"/>
    <cellStyle name="보통 2" xfId="59133"/>
    <cellStyle name="보통 2 2" xfId="59134"/>
    <cellStyle name="보통 2 2 2" xfId="59135"/>
    <cellStyle name="보통 2 2 3" xfId="59136"/>
    <cellStyle name="보통 2 3" xfId="59137"/>
    <cellStyle name="보통 2 3 2" xfId="59138"/>
    <cellStyle name="보통 2 3 3" xfId="59139"/>
    <cellStyle name="보통 2 4" xfId="59140"/>
    <cellStyle name="보통 2 5" xfId="59141"/>
    <cellStyle name="보통 2 6" xfId="59142"/>
    <cellStyle name="보통 2_master file" xfId="59143"/>
    <cellStyle name="보통 3" xfId="59144"/>
    <cellStyle name="보통 3 2" xfId="59145"/>
    <cellStyle name="보통 3 2 2" xfId="59146"/>
    <cellStyle name="보통 3 2 3" xfId="59147"/>
    <cellStyle name="보통 3 2 4" xfId="59148"/>
    <cellStyle name="보통 3 3" xfId="59149"/>
    <cellStyle name="보통 3 3 2" xfId="59150"/>
    <cellStyle name="보통 3 3 3" xfId="59151"/>
    <cellStyle name="보통 3 3 4" xfId="59152"/>
    <cellStyle name="보통 3 4" xfId="59153"/>
    <cellStyle name="보통 3 4 2" xfId="59154"/>
    <cellStyle name="보통 3 4 3" xfId="59155"/>
    <cellStyle name="보통 3 5" xfId="59156"/>
    <cellStyle name="보통 3 5 2" xfId="59157"/>
    <cellStyle name="보통 3 5 3" xfId="59158"/>
    <cellStyle name="보통 3 6" xfId="59159"/>
    <cellStyle name="보통 3 7" xfId="59160"/>
    <cellStyle name="보통 3 8" xfId="59161"/>
    <cellStyle name="보통 3_master file" xfId="59162"/>
    <cellStyle name="보통 4" xfId="59163"/>
    <cellStyle name="보통 4 2" xfId="59164"/>
    <cellStyle name="보통 4 3" xfId="59165"/>
    <cellStyle name="보통 4 4" xfId="59166"/>
    <cellStyle name="보통 5" xfId="59167"/>
    <cellStyle name="보통 6" xfId="59168"/>
    <cellStyle name="보통 7" xfId="59169"/>
    <cellStyle name="보통 8" xfId="59170"/>
    <cellStyle name="보통 9" xfId="59171"/>
    <cellStyle name="부제목" xfId="59172"/>
    <cellStyle name="설명 텍스트" xfId="59173"/>
    <cellStyle name="설명 텍스트 10" xfId="59174"/>
    <cellStyle name="설명 텍스트 11" xfId="59175"/>
    <cellStyle name="설명 텍스트 12" xfId="59176"/>
    <cellStyle name="설명 텍스트 2" xfId="59177"/>
    <cellStyle name="설명 텍스트 2 2" xfId="59178"/>
    <cellStyle name="설명 텍스트 2 2 2" xfId="59179"/>
    <cellStyle name="설명 텍스트 2 2 3" xfId="59180"/>
    <cellStyle name="설명 텍스트 2 3" xfId="59181"/>
    <cellStyle name="설명 텍스트 2 3 2" xfId="59182"/>
    <cellStyle name="설명 텍스트 2 3 3" xfId="59183"/>
    <cellStyle name="설명 텍스트 2 4" xfId="59184"/>
    <cellStyle name="설명 텍스트 2 5" xfId="59185"/>
    <cellStyle name="설명 텍스트 2 6" xfId="59186"/>
    <cellStyle name="설명 텍스트 2_master file" xfId="59187"/>
    <cellStyle name="설명 텍스트 3" xfId="59188"/>
    <cellStyle name="설명 텍스트 3 2" xfId="59189"/>
    <cellStyle name="설명 텍스트 3 2 2" xfId="59190"/>
    <cellStyle name="설명 텍스트 3 2 3" xfId="59191"/>
    <cellStyle name="설명 텍스트 3 2 4" xfId="59192"/>
    <cellStyle name="설명 텍스트 3 3" xfId="59193"/>
    <cellStyle name="설명 텍스트 3 3 2" xfId="59194"/>
    <cellStyle name="설명 텍스트 3 3 3" xfId="59195"/>
    <cellStyle name="설명 텍스트 3 3 4" xfId="59196"/>
    <cellStyle name="설명 텍스트 3 4" xfId="59197"/>
    <cellStyle name="설명 텍스트 3 4 2" xfId="59198"/>
    <cellStyle name="설명 텍스트 3 4 3" xfId="59199"/>
    <cellStyle name="설명 텍스트 3 5" xfId="59200"/>
    <cellStyle name="설명 텍스트 3 5 2" xfId="59201"/>
    <cellStyle name="설명 텍스트 3 5 3" xfId="59202"/>
    <cellStyle name="설명 텍스트 3 6" xfId="59203"/>
    <cellStyle name="설명 텍스트 3 7" xfId="59204"/>
    <cellStyle name="설명 텍스트 3 8" xfId="59205"/>
    <cellStyle name="설명 텍스트 3_master file" xfId="59206"/>
    <cellStyle name="설명 텍스트 4" xfId="59207"/>
    <cellStyle name="설명 텍스트 4 2" xfId="59208"/>
    <cellStyle name="설명 텍스트 4 3" xfId="59209"/>
    <cellStyle name="설명 텍스트 4 4" xfId="59210"/>
    <cellStyle name="설명 텍스트 5" xfId="59211"/>
    <cellStyle name="설명 텍스트 6" xfId="59212"/>
    <cellStyle name="설명 텍스트 7" xfId="59213"/>
    <cellStyle name="설명 텍스트 8" xfId="59214"/>
    <cellStyle name="설명 텍스트 9" xfId="59215"/>
    <cellStyle name="셀 확인" xfId="59216"/>
    <cellStyle name="셀 확인 10" xfId="59217"/>
    <cellStyle name="셀 확인 11" xfId="59218"/>
    <cellStyle name="셀 확인 12" xfId="59219"/>
    <cellStyle name="셀 확인 2" xfId="59220"/>
    <cellStyle name="셀 확인 2 2" xfId="59221"/>
    <cellStyle name="셀 확인 2 2 2" xfId="59222"/>
    <cellStyle name="셀 확인 2 2 3" xfId="59223"/>
    <cellStyle name="셀 확인 2 3" xfId="59224"/>
    <cellStyle name="셀 확인 2 3 2" xfId="59225"/>
    <cellStyle name="셀 확인 2 3 3" xfId="59226"/>
    <cellStyle name="셀 확인 2 4" xfId="59227"/>
    <cellStyle name="셀 확인 2 5" xfId="59228"/>
    <cellStyle name="셀 확인 2 6" xfId="59229"/>
    <cellStyle name="셀 확인 2_master file" xfId="59230"/>
    <cellStyle name="셀 확인 3" xfId="59231"/>
    <cellStyle name="셀 확인 3 2" xfId="59232"/>
    <cellStyle name="셀 확인 3 2 2" xfId="59233"/>
    <cellStyle name="셀 확인 3 2 3" xfId="59234"/>
    <cellStyle name="셀 확인 3 2 4" xfId="59235"/>
    <cellStyle name="셀 확인 3 3" xfId="59236"/>
    <cellStyle name="셀 확인 3 3 2" xfId="59237"/>
    <cellStyle name="셀 확인 3 3 3" xfId="59238"/>
    <cellStyle name="셀 확인 3 3 4" xfId="59239"/>
    <cellStyle name="셀 확인 3 4" xfId="59240"/>
    <cellStyle name="셀 확인 3 4 2" xfId="59241"/>
    <cellStyle name="셀 확인 3 4 3" xfId="59242"/>
    <cellStyle name="셀 확인 3 5" xfId="59243"/>
    <cellStyle name="셀 확인 3 5 2" xfId="59244"/>
    <cellStyle name="셀 확인 3 5 3" xfId="59245"/>
    <cellStyle name="셀 확인 3 6" xfId="59246"/>
    <cellStyle name="셀 확인 3 7" xfId="59247"/>
    <cellStyle name="셀 확인 3 8" xfId="59248"/>
    <cellStyle name="셀 확인 3_master file" xfId="59249"/>
    <cellStyle name="셀 확인 4" xfId="59250"/>
    <cellStyle name="셀 확인 4 2" xfId="59251"/>
    <cellStyle name="셀 확인 4 3" xfId="59252"/>
    <cellStyle name="셀 확인 4 4" xfId="59253"/>
    <cellStyle name="셀 확인 5" xfId="59254"/>
    <cellStyle name="셀 확인 6" xfId="59255"/>
    <cellStyle name="셀 확인 7" xfId="59256"/>
    <cellStyle name="셀 확인 8" xfId="59257"/>
    <cellStyle name="셀 확인 9" xfId="59258"/>
    <cellStyle name="쉼표 [0] 10" xfId="59259"/>
    <cellStyle name="쉼표 [0] 11" xfId="59260"/>
    <cellStyle name="쉼표 [0] 12" xfId="59261"/>
    <cellStyle name="쉼표 [0] 13" xfId="59262"/>
    <cellStyle name="쉼표 [0] 14" xfId="59263"/>
    <cellStyle name="쉼표 [0] 15" xfId="59264"/>
    <cellStyle name="쉼표 [0] 16" xfId="59265"/>
    <cellStyle name="쉼표 [0] 17" xfId="59266"/>
    <cellStyle name="쉼표 [0] 18" xfId="59267"/>
    <cellStyle name="쉼표 [0] 19" xfId="59268"/>
    <cellStyle name="쉼표 [0] 2" xfId="59269"/>
    <cellStyle name="쉼표 [0] 2 10" xfId="59270"/>
    <cellStyle name="쉼표 [0] 2 11" xfId="59271"/>
    <cellStyle name="쉼표 [0] 2 12" xfId="59272"/>
    <cellStyle name="쉼표 [0] 2 13" xfId="59273"/>
    <cellStyle name="쉼표 [0] 2 14" xfId="59274"/>
    <cellStyle name="쉼표 [0] 2 15" xfId="59275"/>
    <cellStyle name="쉼표 [0] 2 16" xfId="59276"/>
    <cellStyle name="쉼표 [0] 2 16 2" xfId="59277"/>
    <cellStyle name="쉼표 [0] 2 17" xfId="59278"/>
    <cellStyle name="쉼표 [0] 2 18" xfId="59279"/>
    <cellStyle name="쉼표 [0] 2 19" xfId="59280"/>
    <cellStyle name="쉼표 [0] 2 2" xfId="59281"/>
    <cellStyle name="쉼표 [0] 2 2 10" xfId="59282"/>
    <cellStyle name="쉼표 [0] 2 2 11" xfId="59283"/>
    <cellStyle name="쉼표 [0] 2 2 12" xfId="59284"/>
    <cellStyle name="쉼표 [0] 2 2 13" xfId="59285"/>
    <cellStyle name="쉼표 [0] 2 2 14" xfId="59286"/>
    <cellStyle name="쉼표 [0] 2 2 2" xfId="59287"/>
    <cellStyle name="쉼표 [0] 2 2 3" xfId="59288"/>
    <cellStyle name="쉼표 [0] 2 2 4" xfId="59289"/>
    <cellStyle name="쉼표 [0] 2 2 5" xfId="59290"/>
    <cellStyle name="쉼표 [0] 2 2 6" xfId="59291"/>
    <cellStyle name="쉼표 [0] 2 2 7" xfId="59292"/>
    <cellStyle name="쉼표 [0] 2 2 8" xfId="59293"/>
    <cellStyle name="쉼표 [0] 2 2 9" xfId="59294"/>
    <cellStyle name="쉼표 [0] 2 3" xfId="59295"/>
    <cellStyle name="쉼표 [0] 2 4" xfId="59296"/>
    <cellStyle name="쉼표 [0] 2 5" xfId="59297"/>
    <cellStyle name="쉼표 [0] 2 6" xfId="59298"/>
    <cellStyle name="쉼표 [0] 2 7" xfId="59299"/>
    <cellStyle name="쉼표 [0] 2 8" xfId="59300"/>
    <cellStyle name="쉼표 [0] 2 9" xfId="59301"/>
    <cellStyle name="쉼표 [0] 2 9 2" xfId="59302"/>
    <cellStyle name="쉼표 [0] 20" xfId="59303"/>
    <cellStyle name="쉼표 [0] 21" xfId="59304"/>
    <cellStyle name="쉼표 [0] 21 2" xfId="59305"/>
    <cellStyle name="쉼표 [0] 21 3" xfId="59306"/>
    <cellStyle name="쉼표 [0] 22" xfId="59307"/>
    <cellStyle name="쉼표 [0] 22 2" xfId="59308"/>
    <cellStyle name="쉼표 [0] 22 3" xfId="59309"/>
    <cellStyle name="쉼표 [0] 23" xfId="59310"/>
    <cellStyle name="쉼표 [0] 23 2" xfId="59311"/>
    <cellStyle name="쉼표 [0] 23 3" xfId="59312"/>
    <cellStyle name="쉼표 [0] 24" xfId="59313"/>
    <cellStyle name="쉼표 [0] 25" xfId="59314"/>
    <cellStyle name="쉼표 [0] 26" xfId="59315"/>
    <cellStyle name="쉼표 [0] 27" xfId="59316"/>
    <cellStyle name="쉼표 [0] 28" xfId="59317"/>
    <cellStyle name="쉼표 [0] 29" xfId="59318"/>
    <cellStyle name="쉼표 [0] 3" xfId="59319"/>
    <cellStyle name="쉼표 [0] 3 2" xfId="59320"/>
    <cellStyle name="쉼표 [0] 3 2 2" xfId="59321"/>
    <cellStyle name="쉼표 [0] 3 3" xfId="59322"/>
    <cellStyle name="쉼표 [0] 3_10 3Q 100309" xfId="59323"/>
    <cellStyle name="쉼표 [0] 30" xfId="59324"/>
    <cellStyle name="쉼표 [0] 31" xfId="59325"/>
    <cellStyle name="쉼표 [0] 32" xfId="59326"/>
    <cellStyle name="쉼표 [0] 33" xfId="59327"/>
    <cellStyle name="쉼표 [0] 34" xfId="59328"/>
    <cellStyle name="쉼표 [0] 35" xfId="59329"/>
    <cellStyle name="쉼표 [0] 36" xfId="59330"/>
    <cellStyle name="쉼표 [0] 37" xfId="59331"/>
    <cellStyle name="쉼표 [0] 38" xfId="59332"/>
    <cellStyle name="쉼표 [0] 39" xfId="59333"/>
    <cellStyle name="쉼표 [0] 4" xfId="59334"/>
    <cellStyle name="쉼표 [0] 4 2" xfId="59335"/>
    <cellStyle name="쉼표 [0] 40" xfId="59336"/>
    <cellStyle name="쉼표 [0] 41" xfId="59337"/>
    <cellStyle name="쉼표 [0] 42" xfId="59338"/>
    <cellStyle name="쉼표 [0] 43" xfId="59339"/>
    <cellStyle name="쉼표 [0] 44" xfId="59340"/>
    <cellStyle name="쉼표 [0] 45" xfId="59341"/>
    <cellStyle name="쉼표 [0] 46" xfId="59342"/>
    <cellStyle name="쉼표 [0] 47" xfId="59343"/>
    <cellStyle name="쉼표 [0] 48" xfId="59344"/>
    <cellStyle name="쉼표 [0] 49" xfId="59345"/>
    <cellStyle name="쉼표 [0] 5" xfId="59346"/>
    <cellStyle name="쉼표 [0] 5 2" xfId="59347"/>
    <cellStyle name="쉼표 [0] 50" xfId="59348"/>
    <cellStyle name="쉼표 [0] 51" xfId="59349"/>
    <cellStyle name="쉼표 [0] 52" xfId="59350"/>
    <cellStyle name="쉼표 [0] 53" xfId="59351"/>
    <cellStyle name="쉼표 [0] 54" xfId="59352"/>
    <cellStyle name="쉼표 [0] 55" xfId="59353"/>
    <cellStyle name="쉼표 [0] 56" xfId="59354"/>
    <cellStyle name="쉼표 [0] 57" xfId="59355"/>
    <cellStyle name="쉼표 [0] 58" xfId="59356"/>
    <cellStyle name="쉼표 [0] 59" xfId="59357"/>
    <cellStyle name="쉼표 [0] 6" xfId="59358"/>
    <cellStyle name="쉼표 [0] 6 2" xfId="59359"/>
    <cellStyle name="쉼표 [0] 60" xfId="59360"/>
    <cellStyle name="쉼표 [0] 61" xfId="59361"/>
    <cellStyle name="쉼표 [0] 62" xfId="59362"/>
    <cellStyle name="쉼표 [0] 63" xfId="59363"/>
    <cellStyle name="쉼표 [0] 64" xfId="59364"/>
    <cellStyle name="쉼표 [0] 65" xfId="59365"/>
    <cellStyle name="쉼표 [0] 66" xfId="59366"/>
    <cellStyle name="쉼표 [0] 67" xfId="59367"/>
    <cellStyle name="쉼표 [0] 68" xfId="59368"/>
    <cellStyle name="쉼표 [0] 69" xfId="59369"/>
    <cellStyle name="쉼표 [0] 7" xfId="59370"/>
    <cellStyle name="쉼표 [0] 7 2" xfId="59371"/>
    <cellStyle name="쉼표 [0] 70" xfId="59372"/>
    <cellStyle name="쉼표 [0] 71" xfId="59373"/>
    <cellStyle name="쉼표 [0] 72" xfId="59374"/>
    <cellStyle name="쉼표 [0] 73" xfId="59375"/>
    <cellStyle name="쉼표 [0] 74" xfId="59376"/>
    <cellStyle name="쉼표 [0] 75" xfId="59377"/>
    <cellStyle name="쉼표 [0] 76" xfId="59378"/>
    <cellStyle name="쉼표 [0] 77" xfId="59379"/>
    <cellStyle name="쉼표 [0] 78" xfId="59380"/>
    <cellStyle name="쉼표 [0] 79" xfId="59381"/>
    <cellStyle name="쉼표 [0] 8" xfId="59382"/>
    <cellStyle name="쉼표 [0] 80" xfId="59383"/>
    <cellStyle name="쉼표 [0] 81" xfId="59384"/>
    <cellStyle name="쉼표 [0] 82" xfId="59385"/>
    <cellStyle name="쉼표 [0] 83" xfId="59386"/>
    <cellStyle name="쉼표 [0] 84" xfId="59387"/>
    <cellStyle name="쉼표 [0] 85" xfId="59388"/>
    <cellStyle name="쉼표 [0] 86" xfId="59389"/>
    <cellStyle name="쉼표 [0] 87" xfId="59390"/>
    <cellStyle name="쉼표 [0] 88" xfId="59391"/>
    <cellStyle name="쉼표 [0] 89" xfId="59392"/>
    <cellStyle name="쉼표 [0] 9" xfId="59393"/>
    <cellStyle name="쉼표 [0] 90" xfId="59394"/>
    <cellStyle name="쉼표 [0]_손익관리 Report_SEDA국" xfId="59395"/>
    <cellStyle name="쉼표 10" xfId="59396"/>
    <cellStyle name="쉼표 100" xfId="59397"/>
    <cellStyle name="쉼표 101" xfId="59398"/>
    <cellStyle name="쉼표 102" xfId="59399"/>
    <cellStyle name="쉼표 103" xfId="59400"/>
    <cellStyle name="쉼표 104" xfId="59401"/>
    <cellStyle name="쉼표 105" xfId="59402"/>
    <cellStyle name="쉼표 106" xfId="59403"/>
    <cellStyle name="쉼표 107" xfId="59404"/>
    <cellStyle name="쉼표 108" xfId="59405"/>
    <cellStyle name="쉼표 109" xfId="59406"/>
    <cellStyle name="쉼표 11" xfId="59407"/>
    <cellStyle name="쉼표 110" xfId="59408"/>
    <cellStyle name="쉼표 111" xfId="59409"/>
    <cellStyle name="쉼표 112" xfId="59410"/>
    <cellStyle name="쉼표 113" xfId="59411"/>
    <cellStyle name="쉼표 114" xfId="59412"/>
    <cellStyle name="쉼표 115" xfId="59413"/>
    <cellStyle name="쉼표 116" xfId="59414"/>
    <cellStyle name="쉼표 117" xfId="59415"/>
    <cellStyle name="쉼표 118" xfId="59416"/>
    <cellStyle name="쉼표 119" xfId="59417"/>
    <cellStyle name="쉼표 12" xfId="59418"/>
    <cellStyle name="쉼표 120" xfId="59419"/>
    <cellStyle name="쉼표 121" xfId="59420"/>
    <cellStyle name="쉼표 122" xfId="59421"/>
    <cellStyle name="쉼표 123" xfId="59422"/>
    <cellStyle name="쉼표 124" xfId="59423"/>
    <cellStyle name="쉼표 125" xfId="59424"/>
    <cellStyle name="쉼표 126" xfId="59425"/>
    <cellStyle name="쉼표 127" xfId="59426"/>
    <cellStyle name="쉼표 128" xfId="59427"/>
    <cellStyle name="쉼표 129" xfId="59428"/>
    <cellStyle name="쉼표 13" xfId="59429"/>
    <cellStyle name="쉼표 130" xfId="59430"/>
    <cellStyle name="쉼표 131" xfId="59431"/>
    <cellStyle name="쉼표 132" xfId="59432"/>
    <cellStyle name="쉼표 133" xfId="59433"/>
    <cellStyle name="쉼표 134" xfId="59434"/>
    <cellStyle name="쉼표 135" xfId="59435"/>
    <cellStyle name="쉼표 136" xfId="59436"/>
    <cellStyle name="쉼표 137" xfId="59437"/>
    <cellStyle name="쉼표 138" xfId="59438"/>
    <cellStyle name="쉼표 139" xfId="59439"/>
    <cellStyle name="쉼표 14" xfId="59440"/>
    <cellStyle name="쉼표 140" xfId="59441"/>
    <cellStyle name="쉼표 141" xfId="59442"/>
    <cellStyle name="쉼표 142" xfId="59443"/>
    <cellStyle name="쉼표 143" xfId="59444"/>
    <cellStyle name="쉼표 144" xfId="59445"/>
    <cellStyle name="쉼표 145" xfId="59446"/>
    <cellStyle name="쉼표 146" xfId="59447"/>
    <cellStyle name="쉼표 147" xfId="59448"/>
    <cellStyle name="쉼표 148" xfId="59449"/>
    <cellStyle name="쉼표 149" xfId="59450"/>
    <cellStyle name="쉼표 15" xfId="59451"/>
    <cellStyle name="쉼표 150" xfId="59452"/>
    <cellStyle name="쉼표 151" xfId="59453"/>
    <cellStyle name="쉼표 152" xfId="59454"/>
    <cellStyle name="쉼표 153" xfId="59455"/>
    <cellStyle name="쉼표 154" xfId="59456"/>
    <cellStyle name="쉼표 155" xfId="59457"/>
    <cellStyle name="쉼표 156" xfId="59458"/>
    <cellStyle name="쉼표 157" xfId="59459"/>
    <cellStyle name="쉼표 158" xfId="59460"/>
    <cellStyle name="쉼표 159" xfId="59461"/>
    <cellStyle name="쉼표 16" xfId="59462"/>
    <cellStyle name="쉼표 160" xfId="59463"/>
    <cellStyle name="쉼표 161" xfId="59464"/>
    <cellStyle name="쉼표 162" xfId="59465"/>
    <cellStyle name="쉼표 163" xfId="59466"/>
    <cellStyle name="쉼표 164" xfId="59467"/>
    <cellStyle name="쉼표 165" xfId="59468"/>
    <cellStyle name="쉼표 166" xfId="59469"/>
    <cellStyle name="쉼표 167" xfId="59470"/>
    <cellStyle name="쉼표 168" xfId="59471"/>
    <cellStyle name="쉼표 169" xfId="59472"/>
    <cellStyle name="쉼표 17" xfId="59473"/>
    <cellStyle name="쉼표 170" xfId="59474"/>
    <cellStyle name="쉼표 171" xfId="59475"/>
    <cellStyle name="쉼표 172" xfId="59476"/>
    <cellStyle name="쉼표 173" xfId="59477"/>
    <cellStyle name="쉼표 174" xfId="59478"/>
    <cellStyle name="쉼표 175" xfId="59479"/>
    <cellStyle name="쉼표 176" xfId="59480"/>
    <cellStyle name="쉼표 177" xfId="59481"/>
    <cellStyle name="쉼표 178" xfId="59482"/>
    <cellStyle name="쉼표 179" xfId="59483"/>
    <cellStyle name="쉼표 18" xfId="59484"/>
    <cellStyle name="쉼표 180" xfId="59485"/>
    <cellStyle name="쉼표 181" xfId="59486"/>
    <cellStyle name="쉼표 182" xfId="59487"/>
    <cellStyle name="쉼표 183" xfId="59488"/>
    <cellStyle name="쉼표 184" xfId="59489"/>
    <cellStyle name="쉼표 185" xfId="59490"/>
    <cellStyle name="쉼표 186" xfId="59491"/>
    <cellStyle name="쉼표 187" xfId="59492"/>
    <cellStyle name="쉼표 188" xfId="59493"/>
    <cellStyle name="쉼표 189" xfId="59494"/>
    <cellStyle name="쉼표 19" xfId="59495"/>
    <cellStyle name="쉼표 190" xfId="59496"/>
    <cellStyle name="쉼표 191" xfId="59497"/>
    <cellStyle name="쉼표 192" xfId="59498"/>
    <cellStyle name="쉼표 193" xfId="59499"/>
    <cellStyle name="쉼표 194" xfId="59500"/>
    <cellStyle name="쉼표 195" xfId="59501"/>
    <cellStyle name="쉼표 196" xfId="59502"/>
    <cellStyle name="쉼표 197" xfId="59503"/>
    <cellStyle name="쉼표 198" xfId="59504"/>
    <cellStyle name="쉼표 199" xfId="59505"/>
    <cellStyle name="쉼표 2" xfId="59506"/>
    <cellStyle name="쉼표 2 2" xfId="59507"/>
    <cellStyle name="쉼표 2 3" xfId="59508"/>
    <cellStyle name="쉼표 2 4" xfId="59509"/>
    <cellStyle name="쉼표 2 5" xfId="59510"/>
    <cellStyle name="쉼표 2 6" xfId="59511"/>
    <cellStyle name="쉼표 2 7" xfId="59512"/>
    <cellStyle name="쉼표 20" xfId="59513"/>
    <cellStyle name="쉼표 200" xfId="59514"/>
    <cellStyle name="쉼표 201" xfId="59515"/>
    <cellStyle name="쉼표 202" xfId="59516"/>
    <cellStyle name="쉼표 203" xfId="59517"/>
    <cellStyle name="쉼표 204" xfId="59518"/>
    <cellStyle name="쉼표 205" xfId="59519"/>
    <cellStyle name="쉼표 206" xfId="59520"/>
    <cellStyle name="쉼표 207" xfId="59521"/>
    <cellStyle name="쉼표 208" xfId="59522"/>
    <cellStyle name="쉼표 209" xfId="59523"/>
    <cellStyle name="쉼표 21" xfId="59524"/>
    <cellStyle name="쉼표 210" xfId="59525"/>
    <cellStyle name="쉼표 211" xfId="59526"/>
    <cellStyle name="쉼표 212" xfId="59527"/>
    <cellStyle name="쉼표 213" xfId="59528"/>
    <cellStyle name="쉼표 214" xfId="59529"/>
    <cellStyle name="쉼표 215" xfId="59530"/>
    <cellStyle name="쉼표 216" xfId="59531"/>
    <cellStyle name="쉼표 217" xfId="59532"/>
    <cellStyle name="쉼표 218" xfId="59533"/>
    <cellStyle name="쉼표 219" xfId="59534"/>
    <cellStyle name="쉼표 22" xfId="59535"/>
    <cellStyle name="쉼표 220" xfId="59536"/>
    <cellStyle name="쉼표 221" xfId="59537"/>
    <cellStyle name="쉼표 222" xfId="59538"/>
    <cellStyle name="쉼표 223" xfId="59539"/>
    <cellStyle name="쉼표 224" xfId="59540"/>
    <cellStyle name="쉼표 225" xfId="59541"/>
    <cellStyle name="쉼표 226" xfId="59542"/>
    <cellStyle name="쉼표 227" xfId="59543"/>
    <cellStyle name="쉼표 228" xfId="59544"/>
    <cellStyle name="쉼표 229" xfId="59545"/>
    <cellStyle name="쉼표 23" xfId="59546"/>
    <cellStyle name="쉼표 230" xfId="59547"/>
    <cellStyle name="쉼표 231" xfId="59548"/>
    <cellStyle name="쉼표 232" xfId="59549"/>
    <cellStyle name="쉼표 233" xfId="59550"/>
    <cellStyle name="쉼표 234" xfId="59551"/>
    <cellStyle name="쉼표 235" xfId="59552"/>
    <cellStyle name="쉼표 236" xfId="59553"/>
    <cellStyle name="쉼표 237" xfId="59554"/>
    <cellStyle name="쉼표 238" xfId="59555"/>
    <cellStyle name="쉼표 239" xfId="59556"/>
    <cellStyle name="쉼표 24" xfId="59557"/>
    <cellStyle name="쉼표 240" xfId="59558"/>
    <cellStyle name="쉼표 241" xfId="59559"/>
    <cellStyle name="쉼표 242" xfId="59560"/>
    <cellStyle name="쉼표 243" xfId="59561"/>
    <cellStyle name="쉼표 244" xfId="59562"/>
    <cellStyle name="쉼표 245" xfId="59563"/>
    <cellStyle name="쉼표 246" xfId="59564"/>
    <cellStyle name="쉼표 247" xfId="59565"/>
    <cellStyle name="쉼표 248" xfId="59566"/>
    <cellStyle name="쉼표 249" xfId="59567"/>
    <cellStyle name="쉼표 25" xfId="59568"/>
    <cellStyle name="쉼표 250" xfId="59569"/>
    <cellStyle name="쉼표 251" xfId="59570"/>
    <cellStyle name="쉼표 252" xfId="59571"/>
    <cellStyle name="쉼표 253" xfId="59572"/>
    <cellStyle name="쉼표 254" xfId="59573"/>
    <cellStyle name="쉼표 255" xfId="59574"/>
    <cellStyle name="쉼표 256" xfId="59575"/>
    <cellStyle name="쉼표 257" xfId="59576"/>
    <cellStyle name="쉼표 258" xfId="59577"/>
    <cellStyle name="쉼표 259" xfId="59578"/>
    <cellStyle name="쉼표 26" xfId="59579"/>
    <cellStyle name="쉼표 260" xfId="59580"/>
    <cellStyle name="쉼표 261" xfId="59581"/>
    <cellStyle name="쉼표 262" xfId="59582"/>
    <cellStyle name="쉼표 263" xfId="59583"/>
    <cellStyle name="쉼표 264" xfId="59584"/>
    <cellStyle name="쉼표 265" xfId="59585"/>
    <cellStyle name="쉼표 266" xfId="59586"/>
    <cellStyle name="쉼표 267" xfId="59587"/>
    <cellStyle name="쉼표 268" xfId="59588"/>
    <cellStyle name="쉼표 269" xfId="59589"/>
    <cellStyle name="쉼표 27" xfId="59590"/>
    <cellStyle name="쉼표 270" xfId="59591"/>
    <cellStyle name="쉼표 271" xfId="59592"/>
    <cellStyle name="쉼표 272" xfId="59593"/>
    <cellStyle name="쉼표 273" xfId="59594"/>
    <cellStyle name="쉼표 274" xfId="59595"/>
    <cellStyle name="쉼표 275" xfId="59596"/>
    <cellStyle name="쉼표 276" xfId="59597"/>
    <cellStyle name="쉼표 277" xfId="59598"/>
    <cellStyle name="쉼표 278" xfId="59599"/>
    <cellStyle name="쉼표 279" xfId="59600"/>
    <cellStyle name="쉼표 28" xfId="59601"/>
    <cellStyle name="쉼표 280" xfId="59602"/>
    <cellStyle name="쉼표 281" xfId="59603"/>
    <cellStyle name="쉼표 282" xfId="59604"/>
    <cellStyle name="쉼표 283" xfId="59605"/>
    <cellStyle name="쉼표 284" xfId="59606"/>
    <cellStyle name="쉼표 285" xfId="59607"/>
    <cellStyle name="쉼표 286" xfId="59608"/>
    <cellStyle name="쉼표 287" xfId="59609"/>
    <cellStyle name="쉼표 288" xfId="59610"/>
    <cellStyle name="쉼표 289" xfId="59611"/>
    <cellStyle name="쉼표 29" xfId="59612"/>
    <cellStyle name="쉼표 290" xfId="59613"/>
    <cellStyle name="쉼표 291" xfId="59614"/>
    <cellStyle name="쉼표 292" xfId="59615"/>
    <cellStyle name="쉼표 293" xfId="59616"/>
    <cellStyle name="쉼표 294" xfId="59617"/>
    <cellStyle name="쉼표 295" xfId="59618"/>
    <cellStyle name="쉼표 296" xfId="59619"/>
    <cellStyle name="쉼표 297" xfId="59620"/>
    <cellStyle name="쉼표 298" xfId="59621"/>
    <cellStyle name="쉼표 299" xfId="59622"/>
    <cellStyle name="쉼표 3" xfId="59623"/>
    <cellStyle name="쉼표 30" xfId="59624"/>
    <cellStyle name="쉼표 300" xfId="59625"/>
    <cellStyle name="쉼표 301" xfId="59626"/>
    <cellStyle name="쉼표 302" xfId="59627"/>
    <cellStyle name="쉼표 303" xfId="59628"/>
    <cellStyle name="쉼표 304" xfId="59629"/>
    <cellStyle name="쉼표 305" xfId="59630"/>
    <cellStyle name="쉼표 306" xfId="59631"/>
    <cellStyle name="쉼표 307" xfId="59632"/>
    <cellStyle name="쉼표 31" xfId="59633"/>
    <cellStyle name="쉼표 32" xfId="59634"/>
    <cellStyle name="쉼표 33" xfId="59635"/>
    <cellStyle name="쉼표 34" xfId="59636"/>
    <cellStyle name="쉼표 35" xfId="59637"/>
    <cellStyle name="쉼표 36" xfId="59638"/>
    <cellStyle name="쉼표 37" xfId="59639"/>
    <cellStyle name="쉼표 38" xfId="59640"/>
    <cellStyle name="쉼표 39" xfId="59641"/>
    <cellStyle name="쉼표 4" xfId="59642"/>
    <cellStyle name="쉼표 40" xfId="59643"/>
    <cellStyle name="쉼표 41" xfId="59644"/>
    <cellStyle name="쉼표 42" xfId="59645"/>
    <cellStyle name="쉼표 43" xfId="59646"/>
    <cellStyle name="쉼표 44" xfId="59647"/>
    <cellStyle name="쉼표 45" xfId="59648"/>
    <cellStyle name="쉼표 46" xfId="59649"/>
    <cellStyle name="쉼표 47" xfId="59650"/>
    <cellStyle name="쉼표 48" xfId="59651"/>
    <cellStyle name="쉼표 49" xfId="59652"/>
    <cellStyle name="쉼표 5" xfId="59653"/>
    <cellStyle name="쉼표 50" xfId="59654"/>
    <cellStyle name="쉼표 51" xfId="59655"/>
    <cellStyle name="쉼표 52" xfId="59656"/>
    <cellStyle name="쉼표 53" xfId="59657"/>
    <cellStyle name="쉼표 54" xfId="59658"/>
    <cellStyle name="쉼표 55" xfId="59659"/>
    <cellStyle name="쉼표 56" xfId="59660"/>
    <cellStyle name="쉼표 57" xfId="59661"/>
    <cellStyle name="쉼표 58" xfId="59662"/>
    <cellStyle name="쉼표 59" xfId="59663"/>
    <cellStyle name="쉼표 6" xfId="59664"/>
    <cellStyle name="쉼표 60" xfId="59665"/>
    <cellStyle name="쉼표 61" xfId="59666"/>
    <cellStyle name="쉼표 62" xfId="59667"/>
    <cellStyle name="쉼표 63" xfId="59668"/>
    <cellStyle name="쉼표 64" xfId="59669"/>
    <cellStyle name="쉼표 65" xfId="59670"/>
    <cellStyle name="쉼표 66" xfId="59671"/>
    <cellStyle name="쉼표 67" xfId="59672"/>
    <cellStyle name="쉼표 68" xfId="59673"/>
    <cellStyle name="쉼표 69" xfId="59674"/>
    <cellStyle name="쉼표 7" xfId="59675"/>
    <cellStyle name="쉼표 7 2" xfId="59676"/>
    <cellStyle name="쉼표 7 3" xfId="59677"/>
    <cellStyle name="쉼표 70" xfId="59678"/>
    <cellStyle name="쉼표 71" xfId="59679"/>
    <cellStyle name="쉼표 72" xfId="59680"/>
    <cellStyle name="쉼표 73" xfId="59681"/>
    <cellStyle name="쉼표 74" xfId="59682"/>
    <cellStyle name="쉼표 75" xfId="59683"/>
    <cellStyle name="쉼표 76" xfId="59684"/>
    <cellStyle name="쉼표 77" xfId="59685"/>
    <cellStyle name="쉼표 78" xfId="59686"/>
    <cellStyle name="쉼표 79" xfId="59687"/>
    <cellStyle name="쉼표 8" xfId="59688"/>
    <cellStyle name="쉼표 80" xfId="59689"/>
    <cellStyle name="쉼표 81" xfId="59690"/>
    <cellStyle name="쉼표 82" xfId="59691"/>
    <cellStyle name="쉼표 83" xfId="59692"/>
    <cellStyle name="쉼표 84" xfId="59693"/>
    <cellStyle name="쉼표 85" xfId="59694"/>
    <cellStyle name="쉼표 86" xfId="59695"/>
    <cellStyle name="쉼표 87" xfId="59696"/>
    <cellStyle name="쉼표 88" xfId="59697"/>
    <cellStyle name="쉼표 89" xfId="59698"/>
    <cellStyle name="쉼표 9" xfId="59699"/>
    <cellStyle name="쉼표 90" xfId="59700"/>
    <cellStyle name="쉼표 91" xfId="59701"/>
    <cellStyle name="쉼표 92" xfId="59702"/>
    <cellStyle name="쉼표 93" xfId="59703"/>
    <cellStyle name="쉼표 94" xfId="59704"/>
    <cellStyle name="쉼표 95" xfId="59705"/>
    <cellStyle name="쉼표 96" xfId="59706"/>
    <cellStyle name="쉼표 97" xfId="59707"/>
    <cellStyle name="쉼표 98" xfId="59708"/>
    <cellStyle name="쉼표 99" xfId="59709"/>
    <cellStyle name="스타일 1" xfId="59710"/>
    <cellStyle name="스타일 1 2" xfId="59711"/>
    <cellStyle name="스타일 1 3" xfId="59712"/>
    <cellStyle name="스타일 1 4" xfId="59713"/>
    <cellStyle name="스타일 10" xfId="59714"/>
    <cellStyle name="스타일 11" xfId="59715"/>
    <cellStyle name="스타일 12" xfId="59716"/>
    <cellStyle name="스타일 13" xfId="59717"/>
    <cellStyle name="스타일 14" xfId="59718"/>
    <cellStyle name="스타일 15" xfId="59719"/>
    <cellStyle name="스타일 16" xfId="59720"/>
    <cellStyle name="스타일 17" xfId="59721"/>
    <cellStyle name="스타일 18" xfId="59722"/>
    <cellStyle name="스타일 2" xfId="59723"/>
    <cellStyle name="스타일 3" xfId="59724"/>
    <cellStyle name="스타일 4" xfId="59725"/>
    <cellStyle name="스타일 5" xfId="59726"/>
    <cellStyle name="스타일 6" xfId="59727"/>
    <cellStyle name="스타일 7" xfId="59728"/>
    <cellStyle name="스타일 8" xfId="59729"/>
    <cellStyle name="스타일 9" xfId="59730"/>
    <cellStyle name="연결된 셀" xfId="59731"/>
    <cellStyle name="연결된 셀 10" xfId="59732"/>
    <cellStyle name="연결된 셀 11" xfId="59733"/>
    <cellStyle name="연결된 셀 12" xfId="59734"/>
    <cellStyle name="연결된 셀 2" xfId="59735"/>
    <cellStyle name="연결된 셀 2 2" xfId="59736"/>
    <cellStyle name="연결된 셀 2 2 2" xfId="59737"/>
    <cellStyle name="연결된 셀 2 2 3" xfId="59738"/>
    <cellStyle name="연결된 셀 2 3" xfId="59739"/>
    <cellStyle name="연결된 셀 2 3 2" xfId="59740"/>
    <cellStyle name="연결된 셀 2 3 3" xfId="59741"/>
    <cellStyle name="연결된 셀 2 4" xfId="59742"/>
    <cellStyle name="연결된 셀 2 5" xfId="59743"/>
    <cellStyle name="연결된 셀 2 6" xfId="59744"/>
    <cellStyle name="연결된 셀 2_master file" xfId="59745"/>
    <cellStyle name="연결된 셀 3" xfId="59746"/>
    <cellStyle name="연결된 셀 3 2" xfId="59747"/>
    <cellStyle name="연결된 셀 3 2 2" xfId="59748"/>
    <cellStyle name="연결된 셀 3 2 3" xfId="59749"/>
    <cellStyle name="연결된 셀 3 2 4" xfId="59750"/>
    <cellStyle name="연결된 셀 3 3" xfId="59751"/>
    <cellStyle name="연결된 셀 3 3 2" xfId="59752"/>
    <cellStyle name="연결된 셀 3 3 3" xfId="59753"/>
    <cellStyle name="연결된 셀 3 3 4" xfId="59754"/>
    <cellStyle name="연결된 셀 3 4" xfId="59755"/>
    <cellStyle name="연결된 셀 3 4 2" xfId="59756"/>
    <cellStyle name="연결된 셀 3 4 3" xfId="59757"/>
    <cellStyle name="연결된 셀 3 5" xfId="59758"/>
    <cellStyle name="연결된 셀 3 5 2" xfId="59759"/>
    <cellStyle name="연결된 셀 3 5 3" xfId="59760"/>
    <cellStyle name="연결된 셀 3 6" xfId="59761"/>
    <cellStyle name="연결된 셀 3 7" xfId="59762"/>
    <cellStyle name="연결된 셀 3 8" xfId="59763"/>
    <cellStyle name="연결된 셀 3_master file" xfId="59764"/>
    <cellStyle name="연결된 셀 4" xfId="59765"/>
    <cellStyle name="연결된 셀 4 2" xfId="59766"/>
    <cellStyle name="연결된 셀 4 3" xfId="59767"/>
    <cellStyle name="연결된 셀 4 4" xfId="59768"/>
    <cellStyle name="연결된 셀 5" xfId="59769"/>
    <cellStyle name="연결된 셀 6" xfId="59770"/>
    <cellStyle name="연결된 셀 7" xfId="59771"/>
    <cellStyle name="연결된 셀 8" xfId="59772"/>
    <cellStyle name="연결된 셀 9" xfId="59773"/>
    <cellStyle name="요약" xfId="59774"/>
    <cellStyle name="요약 10" xfId="59775"/>
    <cellStyle name="요약 11" xfId="59776"/>
    <cellStyle name="요약 12" xfId="59777"/>
    <cellStyle name="요약 2" xfId="59778"/>
    <cellStyle name="요약 2 2" xfId="59779"/>
    <cellStyle name="요약 2 2 2" xfId="59780"/>
    <cellStyle name="요약 2 2 3" xfId="59781"/>
    <cellStyle name="요약 2 3" xfId="59782"/>
    <cellStyle name="요약 2 3 2" xfId="59783"/>
    <cellStyle name="요약 2 3 3" xfId="59784"/>
    <cellStyle name="요약 2 4" xfId="59785"/>
    <cellStyle name="요약 2 5" xfId="59786"/>
    <cellStyle name="요약 2 6" xfId="59787"/>
    <cellStyle name="요약 2_master file" xfId="59788"/>
    <cellStyle name="요약 3" xfId="59789"/>
    <cellStyle name="요약 3 2" xfId="59790"/>
    <cellStyle name="요약 3 2 2" xfId="59791"/>
    <cellStyle name="요약 3 2 3" xfId="59792"/>
    <cellStyle name="요약 3 2 4" xfId="59793"/>
    <cellStyle name="요약 3 3" xfId="59794"/>
    <cellStyle name="요약 3 3 2" xfId="59795"/>
    <cellStyle name="요약 3 3 3" xfId="59796"/>
    <cellStyle name="요약 3 3 4" xfId="59797"/>
    <cellStyle name="요약 3 4" xfId="59798"/>
    <cellStyle name="요약 3 4 2" xfId="59799"/>
    <cellStyle name="요약 3 4 3" xfId="59800"/>
    <cellStyle name="요약 3 5" xfId="59801"/>
    <cellStyle name="요약 3 5 2" xfId="59802"/>
    <cellStyle name="요약 3 5 3" xfId="59803"/>
    <cellStyle name="요약 3 6" xfId="59804"/>
    <cellStyle name="요약 3 7" xfId="59805"/>
    <cellStyle name="요약 3 8" xfId="59806"/>
    <cellStyle name="요약 3_master file" xfId="59807"/>
    <cellStyle name="요약 4" xfId="59808"/>
    <cellStyle name="요약 4 2" xfId="59809"/>
    <cellStyle name="요약 4 3" xfId="59810"/>
    <cellStyle name="요약 4 4" xfId="59811"/>
    <cellStyle name="요약 5" xfId="59812"/>
    <cellStyle name="요약 6" xfId="59813"/>
    <cellStyle name="요약 7" xfId="59814"/>
    <cellStyle name="요약 8" xfId="59815"/>
    <cellStyle name="요약 9" xfId="59816"/>
    <cellStyle name="입력" xfId="59817"/>
    <cellStyle name="입력 10" xfId="59818"/>
    <cellStyle name="입력 11" xfId="59819"/>
    <cellStyle name="입력 12" xfId="59820"/>
    <cellStyle name="입력 2" xfId="59821"/>
    <cellStyle name="입력 2 2" xfId="59822"/>
    <cellStyle name="입력 2 2 2" xfId="59823"/>
    <cellStyle name="입력 2 2 3" xfId="59824"/>
    <cellStyle name="입력 2 3" xfId="59825"/>
    <cellStyle name="입력 2 3 2" xfId="59826"/>
    <cellStyle name="입력 2 3 3" xfId="59827"/>
    <cellStyle name="입력 2 4" xfId="59828"/>
    <cellStyle name="입력 2 5" xfId="59829"/>
    <cellStyle name="입력 2 6" xfId="59830"/>
    <cellStyle name="입력 2_master file" xfId="59831"/>
    <cellStyle name="입력 3" xfId="59832"/>
    <cellStyle name="입력 3 2" xfId="59833"/>
    <cellStyle name="입력 3 2 2" xfId="59834"/>
    <cellStyle name="입력 3 2 3" xfId="59835"/>
    <cellStyle name="입력 3 2 4" xfId="59836"/>
    <cellStyle name="입력 3 3" xfId="59837"/>
    <cellStyle name="입력 3 3 2" xfId="59838"/>
    <cellStyle name="입력 3 3 3" xfId="59839"/>
    <cellStyle name="입력 3 3 4" xfId="59840"/>
    <cellStyle name="입력 3 4" xfId="59841"/>
    <cellStyle name="입력 3 4 2" xfId="59842"/>
    <cellStyle name="입력 3 4 3" xfId="59843"/>
    <cellStyle name="입력 3 5" xfId="59844"/>
    <cellStyle name="입력 3 5 2" xfId="59845"/>
    <cellStyle name="입력 3 5 3" xfId="59846"/>
    <cellStyle name="입력 3 6" xfId="59847"/>
    <cellStyle name="입력 3 7" xfId="59848"/>
    <cellStyle name="입력 3 8" xfId="59849"/>
    <cellStyle name="입력 3_master file" xfId="59850"/>
    <cellStyle name="입력 4" xfId="59851"/>
    <cellStyle name="입력 4 2" xfId="59852"/>
    <cellStyle name="입력 4 3" xfId="59853"/>
    <cellStyle name="입력 4 4" xfId="59854"/>
    <cellStyle name="입력 5" xfId="59855"/>
    <cellStyle name="입력 6" xfId="59856"/>
    <cellStyle name="입력 7" xfId="59857"/>
    <cellStyle name="입력 8" xfId="59858"/>
    <cellStyle name="입력 9" xfId="59859"/>
    <cellStyle name="제목" xfId="59860"/>
    <cellStyle name="제목 1" xfId="59861"/>
    <cellStyle name="제목 1 10" xfId="59862"/>
    <cellStyle name="제목 1 11" xfId="59863"/>
    <cellStyle name="제목 1 12" xfId="59864"/>
    <cellStyle name="제목 1 2" xfId="59865"/>
    <cellStyle name="제목 1 2 2" xfId="59866"/>
    <cellStyle name="제목 1 2 2 2" xfId="59867"/>
    <cellStyle name="제목 1 2 2 3" xfId="59868"/>
    <cellStyle name="제목 1 2 3" xfId="59869"/>
    <cellStyle name="제목 1 2 3 2" xfId="59870"/>
    <cellStyle name="제목 1 2 3 3" xfId="59871"/>
    <cellStyle name="제목 1 2 4" xfId="59872"/>
    <cellStyle name="제목 1 2 5" xfId="59873"/>
    <cellStyle name="제목 1 2 6" xfId="59874"/>
    <cellStyle name="제목 1 2_master file" xfId="59875"/>
    <cellStyle name="제목 1 3" xfId="59876"/>
    <cellStyle name="제목 1 3 2" xfId="59877"/>
    <cellStyle name="제목 1 3 2 2" xfId="59878"/>
    <cellStyle name="제목 1 3 2 3" xfId="59879"/>
    <cellStyle name="제목 1 3 2 4" xfId="59880"/>
    <cellStyle name="제목 1 3 3" xfId="59881"/>
    <cellStyle name="제목 1 3 3 2" xfId="59882"/>
    <cellStyle name="제목 1 3 3 3" xfId="59883"/>
    <cellStyle name="제목 1 3 3 4" xfId="59884"/>
    <cellStyle name="제목 1 3 4" xfId="59885"/>
    <cellStyle name="제목 1 3 4 2" xfId="59886"/>
    <cellStyle name="제목 1 3 4 3" xfId="59887"/>
    <cellStyle name="제목 1 3 5" xfId="59888"/>
    <cellStyle name="제목 1 3 5 2" xfId="59889"/>
    <cellStyle name="제목 1 3 5 3" xfId="59890"/>
    <cellStyle name="제목 1 3 6" xfId="59891"/>
    <cellStyle name="제목 1 3 7" xfId="59892"/>
    <cellStyle name="제목 1 3 8" xfId="59893"/>
    <cellStyle name="제목 1 3_master file" xfId="59894"/>
    <cellStyle name="제목 1 4" xfId="59895"/>
    <cellStyle name="제목 1 4 2" xfId="59896"/>
    <cellStyle name="제목 1 4 3" xfId="59897"/>
    <cellStyle name="제목 1 4 4" xfId="59898"/>
    <cellStyle name="제목 1 5" xfId="59899"/>
    <cellStyle name="제목 1 6" xfId="59900"/>
    <cellStyle name="제목 1 7" xfId="59901"/>
    <cellStyle name="제목 1 8" xfId="59902"/>
    <cellStyle name="제목 1 9" xfId="59903"/>
    <cellStyle name="제목 10" xfId="59904"/>
    <cellStyle name="제목 11" xfId="59905"/>
    <cellStyle name="제목 12" xfId="59906"/>
    <cellStyle name="제목 13" xfId="59907"/>
    <cellStyle name="제목 14" xfId="59908"/>
    <cellStyle name="제목 15" xfId="59909"/>
    <cellStyle name="제목 16" xfId="59910"/>
    <cellStyle name="제목 17" xfId="59911"/>
    <cellStyle name="제목 18" xfId="59912"/>
    <cellStyle name="제목 2" xfId="59913"/>
    <cellStyle name="제목 2 10" xfId="59914"/>
    <cellStyle name="제목 2 11" xfId="59915"/>
    <cellStyle name="제목 2 12" xfId="59916"/>
    <cellStyle name="제목 2 2" xfId="59917"/>
    <cellStyle name="제목 2 2 2" xfId="59918"/>
    <cellStyle name="제목 2 2 2 2" xfId="59919"/>
    <cellStyle name="제목 2 2 2 3" xfId="59920"/>
    <cellStyle name="제목 2 2 3" xfId="59921"/>
    <cellStyle name="제목 2 2 3 2" xfId="59922"/>
    <cellStyle name="제목 2 2 3 3" xfId="59923"/>
    <cellStyle name="제목 2 2 4" xfId="59924"/>
    <cellStyle name="제목 2 2 5" xfId="59925"/>
    <cellStyle name="제목 2 2 6" xfId="59926"/>
    <cellStyle name="제목 2 2_master file" xfId="59927"/>
    <cellStyle name="제목 2 3" xfId="59928"/>
    <cellStyle name="제목 2 3 2" xfId="59929"/>
    <cellStyle name="제목 2 3 2 2" xfId="59930"/>
    <cellStyle name="제목 2 3 2 3" xfId="59931"/>
    <cellStyle name="제목 2 3 2 4" xfId="59932"/>
    <cellStyle name="제목 2 3 3" xfId="59933"/>
    <cellStyle name="제목 2 3 3 2" xfId="59934"/>
    <cellStyle name="제목 2 3 3 3" xfId="59935"/>
    <cellStyle name="제목 2 3 3 4" xfId="59936"/>
    <cellStyle name="제목 2 3 4" xfId="59937"/>
    <cellStyle name="제목 2 3 4 2" xfId="59938"/>
    <cellStyle name="제목 2 3 4 3" xfId="59939"/>
    <cellStyle name="제목 2 3 5" xfId="59940"/>
    <cellStyle name="제목 2 3 5 2" xfId="59941"/>
    <cellStyle name="제목 2 3 5 3" xfId="59942"/>
    <cellStyle name="제목 2 3 6" xfId="59943"/>
    <cellStyle name="제목 2 3 7" xfId="59944"/>
    <cellStyle name="제목 2 3 8" xfId="59945"/>
    <cellStyle name="제목 2 3_master file" xfId="59946"/>
    <cellStyle name="제목 2 4" xfId="59947"/>
    <cellStyle name="제목 2 4 2" xfId="59948"/>
    <cellStyle name="제목 2 4 3" xfId="59949"/>
    <cellStyle name="제목 2 4 4" xfId="59950"/>
    <cellStyle name="제목 2 5" xfId="59951"/>
    <cellStyle name="제목 2 6" xfId="59952"/>
    <cellStyle name="제목 2 7" xfId="59953"/>
    <cellStyle name="제목 2 8" xfId="59954"/>
    <cellStyle name="제목 2 9" xfId="59955"/>
    <cellStyle name="제목 3" xfId="59956"/>
    <cellStyle name="제목 3 10" xfId="59957"/>
    <cellStyle name="제목 3 11" xfId="59958"/>
    <cellStyle name="제목 3 12" xfId="59959"/>
    <cellStyle name="제목 3 2" xfId="59960"/>
    <cellStyle name="제목 3 2 2" xfId="59961"/>
    <cellStyle name="제목 3 2 2 2" xfId="59962"/>
    <cellStyle name="제목 3 2 2 3" xfId="59963"/>
    <cellStyle name="제목 3 2 3" xfId="59964"/>
    <cellStyle name="제목 3 2 3 2" xfId="59965"/>
    <cellStyle name="제목 3 2 3 3" xfId="59966"/>
    <cellStyle name="제목 3 2 4" xfId="59967"/>
    <cellStyle name="제목 3 2 5" xfId="59968"/>
    <cellStyle name="제목 3 2 6" xfId="59969"/>
    <cellStyle name="제목 3 2_master file" xfId="59970"/>
    <cellStyle name="제목 3 3" xfId="59971"/>
    <cellStyle name="제목 3 3 2" xfId="59972"/>
    <cellStyle name="제목 3 3 2 2" xfId="59973"/>
    <cellStyle name="제목 3 3 2 3" xfId="59974"/>
    <cellStyle name="제목 3 3 2 4" xfId="59975"/>
    <cellStyle name="제목 3 3 3" xfId="59976"/>
    <cellStyle name="제목 3 3 3 2" xfId="59977"/>
    <cellStyle name="제목 3 3 3 3" xfId="59978"/>
    <cellStyle name="제목 3 3 3 4" xfId="59979"/>
    <cellStyle name="제목 3 3 4" xfId="59980"/>
    <cellStyle name="제목 3 3 4 2" xfId="59981"/>
    <cellStyle name="제목 3 3 4 3" xfId="59982"/>
    <cellStyle name="제목 3 3 5" xfId="59983"/>
    <cellStyle name="제목 3 3 5 2" xfId="59984"/>
    <cellStyle name="제목 3 3 5 3" xfId="59985"/>
    <cellStyle name="제목 3 3 6" xfId="59986"/>
    <cellStyle name="제목 3 3 7" xfId="59987"/>
    <cellStyle name="제목 3 3 8" xfId="59988"/>
    <cellStyle name="제목 3 3_master file" xfId="59989"/>
    <cellStyle name="제목 3 4" xfId="59990"/>
    <cellStyle name="제목 3 4 2" xfId="59991"/>
    <cellStyle name="제목 3 4 3" xfId="59992"/>
    <cellStyle name="제목 3 4 4" xfId="59993"/>
    <cellStyle name="제목 3 5" xfId="59994"/>
    <cellStyle name="제목 3 6" xfId="59995"/>
    <cellStyle name="제목 3 7" xfId="59996"/>
    <cellStyle name="제목 3 8" xfId="59997"/>
    <cellStyle name="제목 3 9" xfId="59998"/>
    <cellStyle name="제목 4" xfId="59999"/>
    <cellStyle name="제목 4 10" xfId="60000"/>
    <cellStyle name="제목 4 11" xfId="60001"/>
    <cellStyle name="제목 4 12" xfId="60002"/>
    <cellStyle name="제목 4 2" xfId="60003"/>
    <cellStyle name="제목 4 2 2" xfId="60004"/>
    <cellStyle name="제목 4 2 2 2" xfId="60005"/>
    <cellStyle name="제목 4 2 2 3" xfId="60006"/>
    <cellStyle name="제목 4 2 3" xfId="60007"/>
    <cellStyle name="제목 4 2 3 2" xfId="60008"/>
    <cellStyle name="제목 4 2 3 3" xfId="60009"/>
    <cellStyle name="제목 4 2 4" xfId="60010"/>
    <cellStyle name="제목 4 2 5" xfId="60011"/>
    <cellStyle name="제목 4 2 6" xfId="60012"/>
    <cellStyle name="제목 4 2_master file" xfId="60013"/>
    <cellStyle name="제목 4 3" xfId="60014"/>
    <cellStyle name="제목 4 3 2" xfId="60015"/>
    <cellStyle name="제목 4 3 2 2" xfId="60016"/>
    <cellStyle name="제목 4 3 2 3" xfId="60017"/>
    <cellStyle name="제목 4 3 2 4" xfId="60018"/>
    <cellStyle name="제목 4 3 3" xfId="60019"/>
    <cellStyle name="제목 4 3 3 2" xfId="60020"/>
    <cellStyle name="제목 4 3 3 3" xfId="60021"/>
    <cellStyle name="제목 4 3 3 4" xfId="60022"/>
    <cellStyle name="제목 4 3 4" xfId="60023"/>
    <cellStyle name="제목 4 3 4 2" xfId="60024"/>
    <cellStyle name="제목 4 3 4 3" xfId="60025"/>
    <cellStyle name="제목 4 3 5" xfId="60026"/>
    <cellStyle name="제목 4 3 5 2" xfId="60027"/>
    <cellStyle name="제목 4 3 5 3" xfId="60028"/>
    <cellStyle name="제목 4 3 6" xfId="60029"/>
    <cellStyle name="제목 4 3 7" xfId="60030"/>
    <cellStyle name="제목 4 3 8" xfId="60031"/>
    <cellStyle name="제목 4 3_master file" xfId="60032"/>
    <cellStyle name="제목 4 4" xfId="60033"/>
    <cellStyle name="제목 4 4 2" xfId="60034"/>
    <cellStyle name="제목 4 4 3" xfId="60035"/>
    <cellStyle name="제목 4 4 4" xfId="60036"/>
    <cellStyle name="제목 4 5" xfId="60037"/>
    <cellStyle name="제목 4 6" xfId="60038"/>
    <cellStyle name="제목 4 7" xfId="60039"/>
    <cellStyle name="제목 4 8" xfId="60040"/>
    <cellStyle name="제목 4 9" xfId="60041"/>
    <cellStyle name="제목 5" xfId="60042"/>
    <cellStyle name="제목 5 2" xfId="60043"/>
    <cellStyle name="제목 5 2 2" xfId="60044"/>
    <cellStyle name="제목 5 2 3" xfId="60045"/>
    <cellStyle name="제목 5 3" xfId="60046"/>
    <cellStyle name="제목 5 3 2" xfId="60047"/>
    <cellStyle name="제목 5 3 3" xfId="60048"/>
    <cellStyle name="제목 5 4" xfId="60049"/>
    <cellStyle name="제목 5 5" xfId="60050"/>
    <cellStyle name="제목 5 6" xfId="60051"/>
    <cellStyle name="제목 5_master file" xfId="60052"/>
    <cellStyle name="제목 6" xfId="60053"/>
    <cellStyle name="제목 6 2" xfId="60054"/>
    <cellStyle name="제목 6 2 2" xfId="60055"/>
    <cellStyle name="제목 6 2 3" xfId="60056"/>
    <cellStyle name="제목 6 2 4" xfId="60057"/>
    <cellStyle name="제목 6 3" xfId="60058"/>
    <cellStyle name="제목 6 3 2" xfId="60059"/>
    <cellStyle name="제목 6 3 3" xfId="60060"/>
    <cellStyle name="제목 6 3 4" xfId="60061"/>
    <cellStyle name="제목 6 4" xfId="60062"/>
    <cellStyle name="제목 6 4 2" xfId="60063"/>
    <cellStyle name="제목 6 4 3" xfId="60064"/>
    <cellStyle name="제목 6 5" xfId="60065"/>
    <cellStyle name="제목 6 5 2" xfId="60066"/>
    <cellStyle name="제목 6 5 3" xfId="60067"/>
    <cellStyle name="제목 6 6" xfId="60068"/>
    <cellStyle name="제목 6 7" xfId="60069"/>
    <cellStyle name="제목 6 8" xfId="60070"/>
    <cellStyle name="제목 6_master file" xfId="60071"/>
    <cellStyle name="제목 7" xfId="60072"/>
    <cellStyle name="제목 7 2" xfId="60073"/>
    <cellStyle name="제목 7 3" xfId="60074"/>
    <cellStyle name="제목 7 4" xfId="60075"/>
    <cellStyle name="제목 8" xfId="60076"/>
    <cellStyle name="제목 9" xfId="60077"/>
    <cellStyle name="좋음" xfId="60078"/>
    <cellStyle name="좋음 10" xfId="60079"/>
    <cellStyle name="좋음 11" xfId="60080"/>
    <cellStyle name="좋음 12" xfId="60081"/>
    <cellStyle name="좋음 2" xfId="60082"/>
    <cellStyle name="좋음 2 2" xfId="60083"/>
    <cellStyle name="좋음 2 2 2" xfId="60084"/>
    <cellStyle name="좋음 2 2 3" xfId="60085"/>
    <cellStyle name="좋음 2 3" xfId="60086"/>
    <cellStyle name="좋음 2 3 2" xfId="60087"/>
    <cellStyle name="좋음 2 3 3" xfId="60088"/>
    <cellStyle name="좋음 2 4" xfId="60089"/>
    <cellStyle name="좋음 2 5" xfId="60090"/>
    <cellStyle name="좋음 2 6" xfId="60091"/>
    <cellStyle name="좋음 2_master file" xfId="60092"/>
    <cellStyle name="좋음 3" xfId="60093"/>
    <cellStyle name="좋음 3 2" xfId="60094"/>
    <cellStyle name="좋음 3 2 2" xfId="60095"/>
    <cellStyle name="좋음 3 2 3" xfId="60096"/>
    <cellStyle name="좋음 3 2 4" xfId="60097"/>
    <cellStyle name="좋음 3 3" xfId="60098"/>
    <cellStyle name="좋음 3 3 2" xfId="60099"/>
    <cellStyle name="좋음 3 3 3" xfId="60100"/>
    <cellStyle name="좋음 3 3 4" xfId="60101"/>
    <cellStyle name="좋음 3 4" xfId="60102"/>
    <cellStyle name="좋음 3 4 2" xfId="60103"/>
    <cellStyle name="좋음 3 4 3" xfId="60104"/>
    <cellStyle name="좋음 3 5" xfId="60105"/>
    <cellStyle name="좋음 3 5 2" xfId="60106"/>
    <cellStyle name="좋음 3 5 3" xfId="60107"/>
    <cellStyle name="좋음 3 6" xfId="60108"/>
    <cellStyle name="좋음 3 7" xfId="60109"/>
    <cellStyle name="좋음 3 8" xfId="60110"/>
    <cellStyle name="좋음 3_master file" xfId="60111"/>
    <cellStyle name="좋음 4" xfId="60112"/>
    <cellStyle name="좋음 4 2" xfId="60113"/>
    <cellStyle name="좋음 4 3" xfId="60114"/>
    <cellStyle name="좋음 4 4" xfId="60115"/>
    <cellStyle name="좋음 5" xfId="60116"/>
    <cellStyle name="좋음 6" xfId="60117"/>
    <cellStyle name="좋음 7" xfId="60118"/>
    <cellStyle name="좋음 8" xfId="60119"/>
    <cellStyle name="좋음 9" xfId="60120"/>
    <cellStyle name="출력" xfId="60121"/>
    <cellStyle name="출력 10" xfId="60122"/>
    <cellStyle name="출력 11" xfId="60123"/>
    <cellStyle name="출력 12" xfId="60124"/>
    <cellStyle name="출력 2" xfId="60125"/>
    <cellStyle name="출력 2 2" xfId="60126"/>
    <cellStyle name="출력 2 2 2" xfId="60127"/>
    <cellStyle name="출력 2 2 3" xfId="60128"/>
    <cellStyle name="출력 2 3" xfId="60129"/>
    <cellStyle name="출력 2 3 2" xfId="60130"/>
    <cellStyle name="출력 2 3 3" xfId="60131"/>
    <cellStyle name="출력 2 4" xfId="60132"/>
    <cellStyle name="출력 2 5" xfId="60133"/>
    <cellStyle name="출력 2 6" xfId="60134"/>
    <cellStyle name="출력 2_master file" xfId="60135"/>
    <cellStyle name="출력 3" xfId="60136"/>
    <cellStyle name="출력 3 2" xfId="60137"/>
    <cellStyle name="출력 3 2 2" xfId="60138"/>
    <cellStyle name="출력 3 2 3" xfId="60139"/>
    <cellStyle name="출력 3 2 4" xfId="60140"/>
    <cellStyle name="출력 3 3" xfId="60141"/>
    <cellStyle name="출력 3 3 2" xfId="60142"/>
    <cellStyle name="출력 3 3 3" xfId="60143"/>
    <cellStyle name="출력 3 3 4" xfId="60144"/>
    <cellStyle name="출력 3 4" xfId="60145"/>
    <cellStyle name="출력 3 4 2" xfId="60146"/>
    <cellStyle name="출력 3 4 3" xfId="60147"/>
    <cellStyle name="출력 3 5" xfId="60148"/>
    <cellStyle name="출력 3 5 2" xfId="60149"/>
    <cellStyle name="출력 3 5 3" xfId="60150"/>
    <cellStyle name="출력 3 6" xfId="60151"/>
    <cellStyle name="출력 3 7" xfId="60152"/>
    <cellStyle name="출력 3 8" xfId="60153"/>
    <cellStyle name="출력 3_master file" xfId="60154"/>
    <cellStyle name="출력 4" xfId="60155"/>
    <cellStyle name="출력 4 2" xfId="60156"/>
    <cellStyle name="출력 4 3" xfId="60157"/>
    <cellStyle name="출력 4 4" xfId="60158"/>
    <cellStyle name="출력 5" xfId="60159"/>
    <cellStyle name="출력 6" xfId="60160"/>
    <cellStyle name="출력 7" xfId="60161"/>
    <cellStyle name="출력 8" xfId="60162"/>
    <cellStyle name="출력 9" xfId="60163"/>
    <cellStyle name="콤마 [0]_  종  합  " xfId="60164"/>
    <cellStyle name="콤마_  종  합  " xfId="60165"/>
    <cellStyle name="통화 [0] 2" xfId="60166"/>
    <cellStyle name="통화 [0] 2 10" xfId="60167"/>
    <cellStyle name="통화 [0] 2 11" xfId="60168"/>
    <cellStyle name="통화 [0] 2 12" xfId="60169"/>
    <cellStyle name="통화 [0] 2 13" xfId="60170"/>
    <cellStyle name="통화 [0] 2 2" xfId="60171"/>
    <cellStyle name="통화 [0] 2 3" xfId="60172"/>
    <cellStyle name="통화 [0] 2 4" xfId="60173"/>
    <cellStyle name="통화 [0] 2 5" xfId="60174"/>
    <cellStyle name="통화 [0] 2 6" xfId="60175"/>
    <cellStyle name="통화 [0] 2 7" xfId="60176"/>
    <cellStyle name="통화 [0] 2 8" xfId="60177"/>
    <cellStyle name="통화 [0] 2 9" xfId="60178"/>
    <cellStyle name="통화 [0] 3" xfId="60179"/>
    <cellStyle name="통화 [0]_laroux" xfId="60180"/>
    <cellStyle name="통화_laroux" xfId="60181"/>
    <cellStyle name="표준 10" xfId="60182"/>
    <cellStyle name="표준 10 2" xfId="60183"/>
    <cellStyle name="표준 100" xfId="60184"/>
    <cellStyle name="표준 101" xfId="60185"/>
    <cellStyle name="표준 101 2" xfId="60186"/>
    <cellStyle name="표준 101 2 2" xfId="60187"/>
    <cellStyle name="표준 101 2 2 2" xfId="60188"/>
    <cellStyle name="표준 101 2 2 2 2" xfId="60189"/>
    <cellStyle name="표준 101 2 2 3" xfId="60190"/>
    <cellStyle name="표준 101 2 3" xfId="60191"/>
    <cellStyle name="표준 101 2 3 2" xfId="60192"/>
    <cellStyle name="표준 101 2 4" xfId="60193"/>
    <cellStyle name="표준 101 3" xfId="60194"/>
    <cellStyle name="표준 101 3 2" xfId="60195"/>
    <cellStyle name="표준 101 3 2 2" xfId="60196"/>
    <cellStyle name="표준 101 3 2 2 2" xfId="60197"/>
    <cellStyle name="표준 101 3 2 3" xfId="60198"/>
    <cellStyle name="표준 101 3 3" xfId="60199"/>
    <cellStyle name="표준 101 3 3 2" xfId="60200"/>
    <cellStyle name="표준 101 3 4" xfId="60201"/>
    <cellStyle name="표준 101 4" xfId="60202"/>
    <cellStyle name="표준 101 4 2" xfId="60203"/>
    <cellStyle name="표준 101 4 2 2" xfId="60204"/>
    <cellStyle name="표준 101 4 3" xfId="60205"/>
    <cellStyle name="표준 101 5" xfId="60206"/>
    <cellStyle name="표준 101 5 2" xfId="60207"/>
    <cellStyle name="표준 101 6" xfId="60208"/>
    <cellStyle name="표준 102" xfId="60209"/>
    <cellStyle name="표준 103" xfId="60210"/>
    <cellStyle name="표준 103 2" xfId="60211"/>
    <cellStyle name="표준 104" xfId="60212"/>
    <cellStyle name="표준 104 2" xfId="60213"/>
    <cellStyle name="표준 105" xfId="60214"/>
    <cellStyle name="표준 106" xfId="60215"/>
    <cellStyle name="표준 107" xfId="60216"/>
    <cellStyle name="표준 108" xfId="60217"/>
    <cellStyle name="표준 109" xfId="60218"/>
    <cellStyle name="표준 11" xfId="60219"/>
    <cellStyle name="표준 110" xfId="60220"/>
    <cellStyle name="표준 111" xfId="60221"/>
    <cellStyle name="표준 112" xfId="60222"/>
    <cellStyle name="표준 116 2 2 2" xfId="60223"/>
    <cellStyle name="표준 12" xfId="60224"/>
    <cellStyle name="표준 13" xfId="60225"/>
    <cellStyle name="표준 14" xfId="60226"/>
    <cellStyle name="표준 15" xfId="60227"/>
    <cellStyle name="표준 16" xfId="60228"/>
    <cellStyle name="표준 17" xfId="60229"/>
    <cellStyle name="표준 18" xfId="60230"/>
    <cellStyle name="표준 18 2" xfId="60231"/>
    <cellStyle name="표준 19" xfId="60232"/>
    <cellStyle name="표준 2" xfId="60233"/>
    <cellStyle name="표준 2 10" xfId="60234"/>
    <cellStyle name="표준 2 11" xfId="60235"/>
    <cellStyle name="표준 2 12" xfId="60236"/>
    <cellStyle name="표준 2 13" xfId="60237"/>
    <cellStyle name="표준 2 14" xfId="60238"/>
    <cellStyle name="표준 2 15" xfId="60239"/>
    <cellStyle name="표준 2 2" xfId="60240"/>
    <cellStyle name="표준 2 2 10" xfId="60241"/>
    <cellStyle name="표준 2 2 11" xfId="60242"/>
    <cellStyle name="표준 2 2 12" xfId="60243"/>
    <cellStyle name="표준 2 2 13" xfId="60244"/>
    <cellStyle name="표준 2 2 14" xfId="60245"/>
    <cellStyle name="표준 2 2 15" xfId="60246"/>
    <cellStyle name="표준 2 2 2" xfId="60247"/>
    <cellStyle name="표준 2 2 3" xfId="60248"/>
    <cellStyle name="표준 2 2 4" xfId="60249"/>
    <cellStyle name="표준 2 2 5" xfId="60250"/>
    <cellStyle name="표준 2 2 6" xfId="60251"/>
    <cellStyle name="표준 2 2 7" xfId="60252"/>
    <cellStyle name="표준 2 2 8" xfId="60253"/>
    <cellStyle name="표준 2 2 9" xfId="60254"/>
    <cellStyle name="표준 2 2_★ 2010 MBO Target_v3" xfId="60255"/>
    <cellStyle name="표준 2 3" xfId="60256"/>
    <cellStyle name="표준 2 3 10" xfId="60257"/>
    <cellStyle name="표준 2 3 11" xfId="60258"/>
    <cellStyle name="표준 2 3 12" xfId="60259"/>
    <cellStyle name="표준 2 3 13" xfId="60260"/>
    <cellStyle name="표준 2 3 14" xfId="60261"/>
    <cellStyle name="표준 2 3 2" xfId="60262"/>
    <cellStyle name="표준 2 3 3" xfId="60263"/>
    <cellStyle name="표준 2 3 4" xfId="60264"/>
    <cellStyle name="표준 2 3 5" xfId="60265"/>
    <cellStyle name="표준 2 3 6" xfId="60266"/>
    <cellStyle name="표준 2 3 7" xfId="60267"/>
    <cellStyle name="표준 2 3 8" xfId="60268"/>
    <cellStyle name="표준 2 3 9" xfId="60269"/>
    <cellStyle name="표준 2 3_★ 2010 MBO Target_v3" xfId="60270"/>
    <cellStyle name="표준 2 4" xfId="60271"/>
    <cellStyle name="표준 2 4 2" xfId="60272"/>
    <cellStyle name="표준 2 5" xfId="60273"/>
    <cellStyle name="표준 2 6" xfId="60274"/>
    <cellStyle name="표준 2 7" xfId="60275"/>
    <cellStyle name="표준 2 8" xfId="60276"/>
    <cellStyle name="표준 2 9" xfId="60277"/>
    <cellStyle name="표준 2_10 3Q 100309" xfId="60278"/>
    <cellStyle name="표준 20" xfId="60279"/>
    <cellStyle name="표준 21" xfId="60280"/>
    <cellStyle name="표준 22" xfId="60281"/>
    <cellStyle name="표준 22 10" xfId="60282"/>
    <cellStyle name="표준 22 10 2" xfId="60283"/>
    <cellStyle name="표준 22 11" xfId="60284"/>
    <cellStyle name="표준 22 11 2" xfId="60285"/>
    <cellStyle name="표준 22 12" xfId="60286"/>
    <cellStyle name="표준 22 13" xfId="60287"/>
    <cellStyle name="표준 22 14" xfId="60288"/>
    <cellStyle name="표준 22 15" xfId="60289"/>
    <cellStyle name="표준 22 2" xfId="60290"/>
    <cellStyle name="표준 22 2 10" xfId="60291"/>
    <cellStyle name="표준 22 2 11" xfId="60292"/>
    <cellStyle name="표준 22 2 2" xfId="60293"/>
    <cellStyle name="표준 22 2 2 2" xfId="60294"/>
    <cellStyle name="표준 22 2 2 2 2" xfId="60295"/>
    <cellStyle name="표준 22 2 2 2 2 2" xfId="60296"/>
    <cellStyle name="표준 22 2 2 2 2 2 2" xfId="60297"/>
    <cellStyle name="표준 22 2 2 2 2 2 2 2" xfId="60298"/>
    <cellStyle name="표준 22 2 2 2 2 2 3" xfId="60299"/>
    <cellStyle name="표준 22 2 2 2 2 3" xfId="60300"/>
    <cellStyle name="표준 22 2 2 2 2 3 2" xfId="60301"/>
    <cellStyle name="표준 22 2 2 2 2 4" xfId="60302"/>
    <cellStyle name="표준 22 2 2 2 3" xfId="60303"/>
    <cellStyle name="표준 22 2 2 2 3 2" xfId="60304"/>
    <cellStyle name="표준 22 2 2 2 3 2 2" xfId="60305"/>
    <cellStyle name="표준 22 2 2 2 3 2 2 2" xfId="60306"/>
    <cellStyle name="표준 22 2 2 2 3 2 3" xfId="60307"/>
    <cellStyle name="표준 22 2 2 2 3 3" xfId="60308"/>
    <cellStyle name="표준 22 2 2 2 3 3 2" xfId="60309"/>
    <cellStyle name="표준 22 2 2 2 3 4" xfId="60310"/>
    <cellStyle name="표준 22 2 2 2 4" xfId="60311"/>
    <cellStyle name="표준 22 2 2 2 4 2" xfId="60312"/>
    <cellStyle name="표준 22 2 2 2 4 2 2" xfId="60313"/>
    <cellStyle name="표준 22 2 2 2 4 3" xfId="60314"/>
    <cellStyle name="표준 22 2 2 2 5" xfId="60315"/>
    <cellStyle name="표준 22 2 2 2 5 2" xfId="60316"/>
    <cellStyle name="표준 22 2 2 2 6" xfId="60317"/>
    <cellStyle name="표준 22 2 2 3" xfId="60318"/>
    <cellStyle name="표준 22 2 2 3 2" xfId="60319"/>
    <cellStyle name="표준 22 2 2 3 2 2" xfId="60320"/>
    <cellStyle name="표준 22 2 2 3 2 2 2" xfId="60321"/>
    <cellStyle name="표준 22 2 2 3 2 3" xfId="60322"/>
    <cellStyle name="표준 22 2 2 3 3" xfId="60323"/>
    <cellStyle name="표준 22 2 2 3 3 2" xfId="60324"/>
    <cellStyle name="표준 22 2 2 3 4" xfId="60325"/>
    <cellStyle name="표준 22 2 2 4" xfId="60326"/>
    <cellStyle name="표준 22 2 2 4 2" xfId="60327"/>
    <cellStyle name="표준 22 2 2 4 2 2" xfId="60328"/>
    <cellStyle name="표준 22 2 2 4 2 2 2" xfId="60329"/>
    <cellStyle name="표준 22 2 2 4 2 3" xfId="60330"/>
    <cellStyle name="표준 22 2 2 4 3" xfId="60331"/>
    <cellStyle name="표준 22 2 2 4 3 2" xfId="60332"/>
    <cellStyle name="표준 22 2 2 4 4" xfId="60333"/>
    <cellStyle name="표준 22 2 2 5" xfId="60334"/>
    <cellStyle name="표준 22 2 2 5 2" xfId="60335"/>
    <cellStyle name="표준 22 2 2 5 2 2" xfId="60336"/>
    <cellStyle name="표준 22 2 2 5 3" xfId="60337"/>
    <cellStyle name="표준 22 2 2 6" xfId="60338"/>
    <cellStyle name="표준 22 2 2 6 2" xfId="60339"/>
    <cellStyle name="표준 22 2 2 7" xfId="60340"/>
    <cellStyle name="표준 22 2 2 7 2" xfId="60341"/>
    <cellStyle name="표준 22 2 2 8" xfId="60342"/>
    <cellStyle name="표준 22 2 3" xfId="60343"/>
    <cellStyle name="표준 22 2 3 2" xfId="60344"/>
    <cellStyle name="표준 22 2 3 2 2" xfId="60345"/>
    <cellStyle name="표준 22 2 3 2 2 2" xfId="60346"/>
    <cellStyle name="표준 22 2 3 2 2 2 2" xfId="60347"/>
    <cellStyle name="표준 22 2 3 2 2 3" xfId="60348"/>
    <cellStyle name="표준 22 2 3 2 3" xfId="60349"/>
    <cellStyle name="표준 22 2 3 2 3 2" xfId="60350"/>
    <cellStyle name="표준 22 2 3 2 4" xfId="60351"/>
    <cellStyle name="표준 22 2 3 3" xfId="60352"/>
    <cellStyle name="표준 22 2 3 3 2" xfId="60353"/>
    <cellStyle name="표준 22 2 3 3 2 2" xfId="60354"/>
    <cellStyle name="표준 22 2 3 3 2 2 2" xfId="60355"/>
    <cellStyle name="표준 22 2 3 3 2 3" xfId="60356"/>
    <cellStyle name="표준 22 2 3 3 3" xfId="60357"/>
    <cellStyle name="표준 22 2 3 3 3 2" xfId="60358"/>
    <cellStyle name="표준 22 2 3 3 4" xfId="60359"/>
    <cellStyle name="표준 22 2 3 4" xfId="60360"/>
    <cellStyle name="표준 22 2 3 4 2" xfId="60361"/>
    <cellStyle name="표준 22 2 3 4 2 2" xfId="60362"/>
    <cellStyle name="표준 22 2 3 4 3" xfId="60363"/>
    <cellStyle name="표준 22 2 3 5" xfId="60364"/>
    <cellStyle name="표준 22 2 3 5 2" xfId="60365"/>
    <cellStyle name="표준 22 2 3 6" xfId="60366"/>
    <cellStyle name="표준 22 2 4" xfId="60367"/>
    <cellStyle name="표준 22 2 4 2" xfId="60368"/>
    <cellStyle name="표준 22 2 4 2 2" xfId="60369"/>
    <cellStyle name="표준 22 2 4 2 2 2" xfId="60370"/>
    <cellStyle name="표준 22 2 4 2 3" xfId="60371"/>
    <cellStyle name="표준 22 2 4 3" xfId="60372"/>
    <cellStyle name="표준 22 2 4 3 2" xfId="60373"/>
    <cellStyle name="표준 22 2 4 4" xfId="60374"/>
    <cellStyle name="표준 22 2 5" xfId="60375"/>
    <cellStyle name="표준 22 2 5 2" xfId="60376"/>
    <cellStyle name="표준 22 2 5 2 2" xfId="60377"/>
    <cellStyle name="표준 22 2 5 2 2 2" xfId="60378"/>
    <cellStyle name="표준 22 2 5 2 3" xfId="60379"/>
    <cellStyle name="표준 22 2 5 3" xfId="60380"/>
    <cellStyle name="표준 22 2 5 3 2" xfId="60381"/>
    <cellStyle name="표준 22 2 5 4" xfId="60382"/>
    <cellStyle name="표준 22 2 6" xfId="60383"/>
    <cellStyle name="표준 22 2 6 2" xfId="60384"/>
    <cellStyle name="표준 22 2 6 2 2" xfId="60385"/>
    <cellStyle name="표준 22 2 6 3" xfId="60386"/>
    <cellStyle name="표준 22 2 7" xfId="60387"/>
    <cellStyle name="표준 22 2 7 2" xfId="60388"/>
    <cellStyle name="표준 22 2 8" xfId="60389"/>
    <cellStyle name="표준 22 2 8 2" xfId="60390"/>
    <cellStyle name="표준 22 2 9" xfId="60391"/>
    <cellStyle name="표준 22 3" xfId="60392"/>
    <cellStyle name="표준 22 4" xfId="60393"/>
    <cellStyle name="표준 22 5" xfId="60394"/>
    <cellStyle name="표준 22 5 2" xfId="60395"/>
    <cellStyle name="표준 22 5 2 2" xfId="60396"/>
    <cellStyle name="표준 22 5 2 2 2" xfId="60397"/>
    <cellStyle name="표준 22 5 2 2 2 2" xfId="60398"/>
    <cellStyle name="표준 22 5 2 2 2 2 2" xfId="60399"/>
    <cellStyle name="표준 22 5 2 2 2 3" xfId="60400"/>
    <cellStyle name="표준 22 5 2 2 3" xfId="60401"/>
    <cellStyle name="표준 22 5 2 2 3 2" xfId="60402"/>
    <cellStyle name="표준 22 5 2 2 4" xfId="60403"/>
    <cellStyle name="표준 22 5 2 3" xfId="60404"/>
    <cellStyle name="표준 22 5 2 3 2" xfId="60405"/>
    <cellStyle name="표준 22 5 2 3 2 2" xfId="60406"/>
    <cellStyle name="표준 22 5 2 3 2 2 2" xfId="60407"/>
    <cellStyle name="표준 22 5 2 3 2 3" xfId="60408"/>
    <cellStyle name="표준 22 5 2 3 3" xfId="60409"/>
    <cellStyle name="표준 22 5 2 3 3 2" xfId="60410"/>
    <cellStyle name="표준 22 5 2 3 4" xfId="60411"/>
    <cellStyle name="표준 22 5 2 4" xfId="60412"/>
    <cellStyle name="표준 22 5 2 4 2" xfId="60413"/>
    <cellStyle name="표준 22 5 2 4 2 2" xfId="60414"/>
    <cellStyle name="표준 22 5 2 4 3" xfId="60415"/>
    <cellStyle name="표준 22 5 2 5" xfId="60416"/>
    <cellStyle name="표준 22 5 2 5 2" xfId="60417"/>
    <cellStyle name="표준 22 5 2 6" xfId="60418"/>
    <cellStyle name="표준 22 5 3" xfId="60419"/>
    <cellStyle name="표준 22 5 3 2" xfId="60420"/>
    <cellStyle name="표준 22 5 3 2 2" xfId="60421"/>
    <cellStyle name="표준 22 5 3 2 2 2" xfId="60422"/>
    <cellStyle name="표준 22 5 3 2 3" xfId="60423"/>
    <cellStyle name="표준 22 5 3 3" xfId="60424"/>
    <cellStyle name="표준 22 5 3 3 2" xfId="60425"/>
    <cellStyle name="표준 22 5 3 4" xfId="60426"/>
    <cellStyle name="표준 22 5 4" xfId="60427"/>
    <cellStyle name="표준 22 5 4 2" xfId="60428"/>
    <cellStyle name="표준 22 5 4 2 2" xfId="60429"/>
    <cellStyle name="표준 22 5 4 2 2 2" xfId="60430"/>
    <cellStyle name="표준 22 5 4 2 3" xfId="60431"/>
    <cellStyle name="표준 22 5 4 3" xfId="60432"/>
    <cellStyle name="표준 22 5 4 3 2" xfId="60433"/>
    <cellStyle name="표준 22 5 4 4" xfId="60434"/>
    <cellStyle name="표준 22 5 5" xfId="60435"/>
    <cellStyle name="표준 22 5 5 2" xfId="60436"/>
    <cellStyle name="표준 22 5 5 2 2" xfId="60437"/>
    <cellStyle name="표준 22 5 5 3" xfId="60438"/>
    <cellStyle name="표준 22 5 6" xfId="60439"/>
    <cellStyle name="표준 22 5 6 2" xfId="60440"/>
    <cellStyle name="표준 22 5 7" xfId="60441"/>
    <cellStyle name="표준 22 5 7 2" xfId="60442"/>
    <cellStyle name="표준 22 5 8" xfId="60443"/>
    <cellStyle name="표준 22 6" xfId="60444"/>
    <cellStyle name="표준 22 6 2" xfId="60445"/>
    <cellStyle name="표준 22 6 2 2" xfId="60446"/>
    <cellStyle name="표준 22 6 2 2 2" xfId="60447"/>
    <cellStyle name="표준 22 6 2 2 2 2" xfId="60448"/>
    <cellStyle name="표준 22 6 2 2 3" xfId="60449"/>
    <cellStyle name="표준 22 6 2 3" xfId="60450"/>
    <cellStyle name="표준 22 6 2 3 2" xfId="60451"/>
    <cellStyle name="표준 22 6 2 4" xfId="60452"/>
    <cellStyle name="표준 22 6 3" xfId="60453"/>
    <cellStyle name="표준 22 6 3 2" xfId="60454"/>
    <cellStyle name="표준 22 6 3 2 2" xfId="60455"/>
    <cellStyle name="표준 22 6 3 2 2 2" xfId="60456"/>
    <cellStyle name="표준 22 6 3 2 3" xfId="60457"/>
    <cellStyle name="표준 22 6 3 3" xfId="60458"/>
    <cellStyle name="표준 22 6 3 3 2" xfId="60459"/>
    <cellStyle name="표준 22 6 3 4" xfId="60460"/>
    <cellStyle name="표준 22 6 4" xfId="60461"/>
    <cellStyle name="표준 22 6 4 2" xfId="60462"/>
    <cellStyle name="표준 22 6 4 2 2" xfId="60463"/>
    <cellStyle name="표준 22 6 4 3" xfId="60464"/>
    <cellStyle name="표준 22 6 5" xfId="60465"/>
    <cellStyle name="표준 22 6 5 2" xfId="60466"/>
    <cellStyle name="표준 22 6 6" xfId="60467"/>
    <cellStyle name="표준 22 7" xfId="60468"/>
    <cellStyle name="표준 22 7 2" xfId="60469"/>
    <cellStyle name="표준 22 7 2 2" xfId="60470"/>
    <cellStyle name="표준 22 7 2 2 2" xfId="60471"/>
    <cellStyle name="표준 22 7 2 3" xfId="60472"/>
    <cellStyle name="표준 22 7 3" xfId="60473"/>
    <cellStyle name="표준 22 7 3 2" xfId="60474"/>
    <cellStyle name="표준 22 7 4" xfId="60475"/>
    <cellStyle name="표준 22 8" xfId="60476"/>
    <cellStyle name="표준 22 8 2" xfId="60477"/>
    <cellStyle name="표준 22 8 2 2" xfId="60478"/>
    <cellStyle name="표준 22 8 2 2 2" xfId="60479"/>
    <cellStyle name="표준 22 8 2 3" xfId="60480"/>
    <cellStyle name="표준 22 8 3" xfId="60481"/>
    <cellStyle name="표준 22 8 3 2" xfId="60482"/>
    <cellStyle name="표준 22 8 4" xfId="60483"/>
    <cellStyle name="표준 22 9" xfId="60484"/>
    <cellStyle name="표준 22 9 2" xfId="60485"/>
    <cellStyle name="표준 22 9 2 2" xfId="60486"/>
    <cellStyle name="표준 22 9 3" xfId="60487"/>
    <cellStyle name="표준 23" xfId="60488"/>
    <cellStyle name="표준 24" xfId="60489"/>
    <cellStyle name="표준 24 2" xfId="60490"/>
    <cellStyle name="표준 24 3" xfId="60491"/>
    <cellStyle name="표준 24 4" xfId="60492"/>
    <cellStyle name="표준 25" xfId="60493"/>
    <cellStyle name="표준 25 2" xfId="60494"/>
    <cellStyle name="표준 25 3" xfId="60495"/>
    <cellStyle name="표준 26" xfId="60496"/>
    <cellStyle name="표준 27" xfId="60497"/>
    <cellStyle name="표준 28" xfId="60498"/>
    <cellStyle name="표준 29" xfId="60499"/>
    <cellStyle name="표준 3" xfId="60500"/>
    <cellStyle name="표준 3 2" xfId="60501"/>
    <cellStyle name="표준 3 3" xfId="60502"/>
    <cellStyle name="표준 3 4" xfId="60503"/>
    <cellStyle name="표준 3_11월 업체현황" xfId="60504"/>
    <cellStyle name="표준 30" xfId="60505"/>
    <cellStyle name="표준 31" xfId="60506"/>
    <cellStyle name="표준 32" xfId="60507"/>
    <cellStyle name="표준 33" xfId="60508"/>
    <cellStyle name="표준 34" xfId="60509"/>
    <cellStyle name="표준 35" xfId="60510"/>
    <cellStyle name="표준 36" xfId="60511"/>
    <cellStyle name="표준 37" xfId="60512"/>
    <cellStyle name="표준 38" xfId="60513"/>
    <cellStyle name="표준 39" xfId="60514"/>
    <cellStyle name="표준 4" xfId="60515"/>
    <cellStyle name="표준 4 2" xfId="60516"/>
    <cellStyle name="표준 4 3" xfId="60517"/>
    <cellStyle name="표준 4 4" xfId="60518"/>
    <cellStyle name="표준 40" xfId="60519"/>
    <cellStyle name="표준 41" xfId="60520"/>
    <cellStyle name="표준 42" xfId="60521"/>
    <cellStyle name="표준 43" xfId="60522"/>
    <cellStyle name="표준 44" xfId="60523"/>
    <cellStyle name="표준 45" xfId="60524"/>
    <cellStyle name="표준 46" xfId="60525"/>
    <cellStyle name="표준 47" xfId="60526"/>
    <cellStyle name="표준 48" xfId="60527"/>
    <cellStyle name="표준 49" xfId="60528"/>
    <cellStyle name="표준 5" xfId="60529"/>
    <cellStyle name="표준 50" xfId="60530"/>
    <cellStyle name="표준 51" xfId="60531"/>
    <cellStyle name="표준 52" xfId="60532"/>
    <cellStyle name="표준 53" xfId="60533"/>
    <cellStyle name="표준 54" xfId="60534"/>
    <cellStyle name="표준 55" xfId="60535"/>
    <cellStyle name="표준 56" xfId="60536"/>
    <cellStyle name="표준 57" xfId="60537"/>
    <cellStyle name="표준 58" xfId="60538"/>
    <cellStyle name="표준 59" xfId="60539"/>
    <cellStyle name="표준 6" xfId="60540"/>
    <cellStyle name="표준 60" xfId="60541"/>
    <cellStyle name="표준 61" xfId="60542"/>
    <cellStyle name="표준 62" xfId="60543"/>
    <cellStyle name="표준 63" xfId="60544"/>
    <cellStyle name="표준 64" xfId="60545"/>
    <cellStyle name="표준 65" xfId="60546"/>
    <cellStyle name="표준 66" xfId="60547"/>
    <cellStyle name="표준 67" xfId="60548"/>
    <cellStyle name="표준 68" xfId="60549"/>
    <cellStyle name="표준 69" xfId="60550"/>
    <cellStyle name="표준 7" xfId="60551"/>
    <cellStyle name="표준 7 4" xfId="60552"/>
    <cellStyle name="표준 7 5" xfId="60553"/>
    <cellStyle name="표준 7 7" xfId="60554"/>
    <cellStyle name="표준 7 8" xfId="60555"/>
    <cellStyle name="표준 7_Technical and economic offer" xfId="60556"/>
    <cellStyle name="표준 70" xfId="60557"/>
    <cellStyle name="표준 71" xfId="60558"/>
    <cellStyle name="표준 72" xfId="60559"/>
    <cellStyle name="표준 73" xfId="60560"/>
    <cellStyle name="표준 74" xfId="60561"/>
    <cellStyle name="표준 75" xfId="60562"/>
    <cellStyle name="표준 76" xfId="60563"/>
    <cellStyle name="표준 77" xfId="60564"/>
    <cellStyle name="표준 78" xfId="60565"/>
    <cellStyle name="표준 79" xfId="60566"/>
    <cellStyle name="표준 8" xfId="60567"/>
    <cellStyle name="표준 8 3" xfId="60568"/>
    <cellStyle name="표준 80" xfId="60569"/>
    <cellStyle name="표준 81" xfId="60570"/>
    <cellStyle name="표준 82" xfId="60571"/>
    <cellStyle name="표준 83" xfId="60572"/>
    <cellStyle name="표준 84" xfId="60573"/>
    <cellStyle name="표준 85" xfId="60574"/>
    <cellStyle name="표준 86" xfId="60575"/>
    <cellStyle name="표준 87" xfId="60576"/>
    <cellStyle name="표준 88" xfId="60577"/>
    <cellStyle name="표준 89" xfId="60578"/>
    <cellStyle name="표준 9" xfId="60579"/>
    <cellStyle name="표준 90" xfId="60580"/>
    <cellStyle name="표준 91" xfId="60581"/>
    <cellStyle name="표준 92" xfId="60582"/>
    <cellStyle name="표준 93" xfId="60583"/>
    <cellStyle name="표준 94" xfId="60584"/>
    <cellStyle name="표준 94 10" xfId="60585"/>
    <cellStyle name="표준 94 2" xfId="60586"/>
    <cellStyle name="표준 94 2 2" xfId="60587"/>
    <cellStyle name="표준 94 2 2 2" xfId="60588"/>
    <cellStyle name="표준 94 2 2 2 2" xfId="60589"/>
    <cellStyle name="표준 94 2 2 2 2 2" xfId="60590"/>
    <cellStyle name="표준 94 2 2 2 3" xfId="60591"/>
    <cellStyle name="표준 94 2 2 3" xfId="60592"/>
    <cellStyle name="표준 94 2 2 3 2" xfId="60593"/>
    <cellStyle name="표준 94 2 2 4" xfId="60594"/>
    <cellStyle name="표준 94 2 3" xfId="60595"/>
    <cellStyle name="표준 94 2 3 2" xfId="60596"/>
    <cellStyle name="표준 94 2 3 2 2" xfId="60597"/>
    <cellStyle name="표준 94 2 3 2 2 2" xfId="60598"/>
    <cellStyle name="표준 94 2 3 2 3" xfId="60599"/>
    <cellStyle name="표준 94 2 3 3" xfId="60600"/>
    <cellStyle name="표준 94 2 3 3 2" xfId="60601"/>
    <cellStyle name="표준 94 2 3 4" xfId="60602"/>
    <cellStyle name="표준 94 2 4" xfId="60603"/>
    <cellStyle name="표준 94 2 4 2" xfId="60604"/>
    <cellStyle name="표준 94 2 4 2 2" xfId="60605"/>
    <cellStyle name="표준 94 2 4 3" xfId="60606"/>
    <cellStyle name="표준 94 2 5" xfId="60607"/>
    <cellStyle name="표준 94 2 5 2" xfId="60608"/>
    <cellStyle name="표준 94 2 6" xfId="60609"/>
    <cellStyle name="표준 94 3" xfId="60610"/>
    <cellStyle name="표준 94 3 2" xfId="60611"/>
    <cellStyle name="표준 94 3 2 2" xfId="60612"/>
    <cellStyle name="표준 94 3 2 2 2" xfId="60613"/>
    <cellStyle name="표준 94 3 2 3" xfId="60614"/>
    <cellStyle name="표준 94 3 3" xfId="60615"/>
    <cellStyle name="표준 94 3 3 2" xfId="60616"/>
    <cellStyle name="표준 94 3 4" xfId="60617"/>
    <cellStyle name="표준 94 4" xfId="60618"/>
    <cellStyle name="표준 94 4 2" xfId="60619"/>
    <cellStyle name="표준 94 4 2 2" xfId="60620"/>
    <cellStyle name="표준 94 4 2 2 2" xfId="60621"/>
    <cellStyle name="표준 94 4 2 3" xfId="60622"/>
    <cellStyle name="표준 94 4 3" xfId="60623"/>
    <cellStyle name="표준 94 4 3 2" xfId="60624"/>
    <cellStyle name="표준 94 4 4" xfId="60625"/>
    <cellStyle name="표준 94 5" xfId="60626"/>
    <cellStyle name="표준 94 5 2" xfId="60627"/>
    <cellStyle name="표준 94 5 2 2" xfId="60628"/>
    <cellStyle name="표준 94 5 3" xfId="60629"/>
    <cellStyle name="표준 94 6" xfId="60630"/>
    <cellStyle name="표준 94 6 2" xfId="60631"/>
    <cellStyle name="표준 94 7" xfId="60632"/>
    <cellStyle name="표준 94 7 2" xfId="60633"/>
    <cellStyle name="표준 94 8" xfId="60634"/>
    <cellStyle name="표준 94 9" xfId="60635"/>
    <cellStyle name="표준 95" xfId="60636"/>
    <cellStyle name="표준 95 10" xfId="60637"/>
    <cellStyle name="표준 95 2" xfId="60638"/>
    <cellStyle name="표준 95 2 2" xfId="60639"/>
    <cellStyle name="표준 95 2 2 2" xfId="60640"/>
    <cellStyle name="표준 95 2 2 2 2" xfId="60641"/>
    <cellStyle name="표준 95 2 2 2 2 2" xfId="60642"/>
    <cellStyle name="표준 95 2 2 2 3" xfId="60643"/>
    <cellStyle name="표준 95 2 2 3" xfId="60644"/>
    <cellStyle name="표준 95 2 2 3 2" xfId="60645"/>
    <cellStyle name="표준 95 2 2 4" xfId="60646"/>
    <cellStyle name="표준 95 2 3" xfId="60647"/>
    <cellStyle name="표준 95 2 3 2" xfId="60648"/>
    <cellStyle name="표준 95 2 3 2 2" xfId="60649"/>
    <cellStyle name="표준 95 2 3 2 2 2" xfId="60650"/>
    <cellStyle name="표준 95 2 3 2 3" xfId="60651"/>
    <cellStyle name="표준 95 2 3 3" xfId="60652"/>
    <cellStyle name="표준 95 2 3 3 2" xfId="60653"/>
    <cellStyle name="표준 95 2 3 4" xfId="60654"/>
    <cellStyle name="표준 95 2 4" xfId="60655"/>
    <cellStyle name="표준 95 2 4 2" xfId="60656"/>
    <cellStyle name="표준 95 2 4 2 2" xfId="60657"/>
    <cellStyle name="표준 95 2 4 3" xfId="60658"/>
    <cellStyle name="표준 95 2 5" xfId="60659"/>
    <cellStyle name="표준 95 2 5 2" xfId="60660"/>
    <cellStyle name="표준 95 2 6" xfId="60661"/>
    <cellStyle name="표준 95 3" xfId="60662"/>
    <cellStyle name="표준 95 3 2" xfId="60663"/>
    <cellStyle name="표준 95 3 2 2" xfId="60664"/>
    <cellStyle name="표준 95 3 2 2 2" xfId="60665"/>
    <cellStyle name="표준 95 3 2 3" xfId="60666"/>
    <cellStyle name="표준 95 3 3" xfId="60667"/>
    <cellStyle name="표준 95 3 3 2" xfId="60668"/>
    <cellStyle name="표준 95 3 4" xfId="60669"/>
    <cellStyle name="표준 95 4" xfId="60670"/>
    <cellStyle name="표준 95 4 2" xfId="60671"/>
    <cellStyle name="표준 95 4 2 2" xfId="60672"/>
    <cellStyle name="표준 95 4 2 2 2" xfId="60673"/>
    <cellStyle name="표준 95 4 2 3" xfId="60674"/>
    <cellStyle name="표준 95 4 3" xfId="60675"/>
    <cellStyle name="표준 95 4 3 2" xfId="60676"/>
    <cellStyle name="표준 95 4 4" xfId="60677"/>
    <cellStyle name="표준 95 5" xfId="60678"/>
    <cellStyle name="표준 95 5 2" xfId="60679"/>
    <cellStyle name="표준 95 5 2 2" xfId="60680"/>
    <cellStyle name="표준 95 5 3" xfId="60681"/>
    <cellStyle name="표준 95 6" xfId="60682"/>
    <cellStyle name="표준 95 6 2" xfId="60683"/>
    <cellStyle name="표준 95 7" xfId="60684"/>
    <cellStyle name="표준 95 7 2" xfId="60685"/>
    <cellStyle name="표준 95 8" xfId="60686"/>
    <cellStyle name="표준 95 9" xfId="60687"/>
    <cellStyle name="표준 96" xfId="60688"/>
    <cellStyle name="표준 96 10" xfId="60689"/>
    <cellStyle name="표준 96 2" xfId="60690"/>
    <cellStyle name="표준 96 2 2" xfId="60691"/>
    <cellStyle name="표준 96 2 2 2" xfId="60692"/>
    <cellStyle name="표준 96 2 2 2 2" xfId="60693"/>
    <cellStyle name="표준 96 2 2 2 2 2" xfId="60694"/>
    <cellStyle name="표준 96 2 2 2 3" xfId="60695"/>
    <cellStyle name="표준 96 2 2 3" xfId="60696"/>
    <cellStyle name="표준 96 2 2 3 2" xfId="60697"/>
    <cellStyle name="표준 96 2 2 4" xfId="60698"/>
    <cellStyle name="표준 96 2 3" xfId="60699"/>
    <cellStyle name="표준 96 2 3 2" xfId="60700"/>
    <cellStyle name="표준 96 2 3 2 2" xfId="60701"/>
    <cellStyle name="표준 96 2 3 2 2 2" xfId="60702"/>
    <cellStyle name="표준 96 2 3 2 3" xfId="60703"/>
    <cellStyle name="표준 96 2 3 3" xfId="60704"/>
    <cellStyle name="표준 96 2 3 3 2" xfId="60705"/>
    <cellStyle name="표준 96 2 3 4" xfId="60706"/>
    <cellStyle name="표준 96 2 4" xfId="60707"/>
    <cellStyle name="표준 96 2 4 2" xfId="60708"/>
    <cellStyle name="표준 96 2 4 2 2" xfId="60709"/>
    <cellStyle name="표준 96 2 4 3" xfId="60710"/>
    <cellStyle name="표준 96 2 5" xfId="60711"/>
    <cellStyle name="표준 96 2 5 2" xfId="60712"/>
    <cellStyle name="표준 96 2 6" xfId="60713"/>
    <cellStyle name="표준 96 3" xfId="60714"/>
    <cellStyle name="표준 96 3 2" xfId="60715"/>
    <cellStyle name="표준 96 3 2 2" xfId="60716"/>
    <cellStyle name="표준 96 3 2 2 2" xfId="60717"/>
    <cellStyle name="표준 96 3 2 3" xfId="60718"/>
    <cellStyle name="표준 96 3 3" xfId="60719"/>
    <cellStyle name="표준 96 3 3 2" xfId="60720"/>
    <cellStyle name="표준 96 3 4" xfId="60721"/>
    <cellStyle name="표준 96 4" xfId="60722"/>
    <cellStyle name="표준 96 4 2" xfId="60723"/>
    <cellStyle name="표준 96 4 2 2" xfId="60724"/>
    <cellStyle name="표준 96 4 2 2 2" xfId="60725"/>
    <cellStyle name="표준 96 4 2 3" xfId="60726"/>
    <cellStyle name="표준 96 4 3" xfId="60727"/>
    <cellStyle name="표준 96 4 3 2" xfId="60728"/>
    <cellStyle name="표준 96 4 4" xfId="60729"/>
    <cellStyle name="표준 96 5" xfId="60730"/>
    <cellStyle name="표준 96 5 2" xfId="60731"/>
    <cellStyle name="표준 96 5 2 2" xfId="60732"/>
    <cellStyle name="표준 96 5 3" xfId="60733"/>
    <cellStyle name="표준 96 6" xfId="60734"/>
    <cellStyle name="표준 96 6 2" xfId="60735"/>
    <cellStyle name="표준 96 7" xfId="60736"/>
    <cellStyle name="표준 96 7 2" xfId="60737"/>
    <cellStyle name="표준 96 8" xfId="60738"/>
    <cellStyle name="표준 96 9" xfId="60739"/>
    <cellStyle name="표준 97" xfId="60740"/>
    <cellStyle name="표준 97 2" xfId="60741"/>
    <cellStyle name="표준 97 3" xfId="60742"/>
    <cellStyle name="표준 98" xfId="60743"/>
    <cellStyle name="표준 98 2" xfId="60744"/>
    <cellStyle name="표준 98 3" xfId="60745"/>
    <cellStyle name="표준 99" xfId="60746"/>
    <cellStyle name="표준_2008 11월 연간전망 및 2009 1Q (중남미)" xfId="60747"/>
    <cellStyle name="화폐기호_planng " xfId="60748"/>
    <cellStyle name="一般_CYCLONE VENDOR FILE  EE " xfId="60749"/>
    <cellStyle name="千位[0]_12月加班现况 (3)" xfId="60750"/>
    <cellStyle name="千位_12月加班现况 (3)" xfId="60751"/>
    <cellStyle name="千位分隔[0]_BOOK1" xfId="60752"/>
    <cellStyle name="千位分隔_BOOK1" xfId="60753"/>
    <cellStyle name="千分位[0]" xfId="60754"/>
    <cellStyle name="千分位_空白FAX" xfId="60755"/>
    <cellStyle name="咬訌裝?report-2 " xfId="60756"/>
    <cellStyle name="好" xfId="60757"/>
    <cellStyle name="好 2" xfId="60758"/>
    <cellStyle name="好 2 2" xfId="60759"/>
    <cellStyle name="好 2 3" xfId="60760"/>
    <cellStyle name="好 2_w17_DP_LATAM_100428" xfId="60761"/>
    <cellStyle name="好 3" xfId="60762"/>
    <cellStyle name="好 3 2" xfId="60763"/>
    <cellStyle name="好 3 3" xfId="60764"/>
    <cellStyle name="好 3_w17_DP_LATAM_100428" xfId="60765"/>
    <cellStyle name="好 4" xfId="60766"/>
    <cellStyle name="好 4 2" xfId="60767"/>
    <cellStyle name="好 4 3" xfId="60768"/>
    <cellStyle name="好 4_w17_DP_LATAM_100428" xfId="60769"/>
    <cellStyle name="好 5" xfId="60770"/>
    <cellStyle name="好 5 2" xfId="60771"/>
    <cellStyle name="好 5 3" xfId="60772"/>
    <cellStyle name="好 5_w17_DP_LATAM_100428" xfId="60773"/>
    <cellStyle name="好 6" xfId="60774"/>
    <cellStyle name="好 6 2" xfId="60775"/>
    <cellStyle name="好 6 3" xfId="60776"/>
    <cellStyle name="好 6_w17_DP_LATAM_100428" xfId="60777"/>
    <cellStyle name="好 7" xfId="60778"/>
    <cellStyle name="好 7 2" xfId="60779"/>
    <cellStyle name="好 7 3" xfId="60780"/>
    <cellStyle name="好 7_w17_DP_LATAM_100428" xfId="60781"/>
    <cellStyle name="好 8" xfId="60782"/>
    <cellStyle name="好 9" xfId="60783"/>
    <cellStyle name="好_9월추가판매 모델_W37" xfId="60784"/>
    <cellStyle name="好_9월추가판매 모델_W37 2" xfId="60785"/>
    <cellStyle name="好_9월추가판매 모델_W37 2 2" xfId="60786"/>
    <cellStyle name="好_9월추가판매 모델_W37 2 3" xfId="60787"/>
    <cellStyle name="好_9월추가판매 모델_W37 2_w17_DP_LATAM_100428" xfId="60788"/>
    <cellStyle name="好_9월추가판매 모델_W37 3" xfId="60789"/>
    <cellStyle name="好_9월추가판매 모델_W37 3 2" xfId="60790"/>
    <cellStyle name="好_9월추가판매 모델_W37 3 3" xfId="60791"/>
    <cellStyle name="好_9월추가판매 모델_W37 3_w17_DP_LATAM_100428" xfId="60792"/>
    <cellStyle name="好_9월추가판매 모델_W37 4" xfId="60793"/>
    <cellStyle name="好_9월추가판매 모델_W37 4 2" xfId="60794"/>
    <cellStyle name="好_9월추가판매 모델_W37 4 3" xfId="60795"/>
    <cellStyle name="好_9월추가판매 모델_W37 4_w17_DP_LATAM_100428" xfId="60796"/>
    <cellStyle name="好_9월추가판매 모델_W37 5" xfId="60797"/>
    <cellStyle name="好_9월추가판매 모델_W37 5 2" xfId="60798"/>
    <cellStyle name="好_9월추가판매 모델_W37 5 3" xfId="60799"/>
    <cellStyle name="好_9월추가판매 모델_W37 5_w17_DP_LATAM_100428" xfId="60800"/>
    <cellStyle name="好_9월추가판매 모델_W37 6" xfId="60801"/>
    <cellStyle name="好_9월추가판매 모델_W37 6 2" xfId="60802"/>
    <cellStyle name="好_9월추가판매 모델_W37 6 3" xfId="60803"/>
    <cellStyle name="好_9월추가판매 모델_W37 6_w17_DP_LATAM_100428" xfId="60804"/>
    <cellStyle name="好_9월추가판매 모델_W37 7" xfId="60805"/>
    <cellStyle name="好_9월추가판매 모델_W37 7 2" xfId="60806"/>
    <cellStyle name="好_9월추가판매 모델_W37 7 3" xfId="60807"/>
    <cellStyle name="好_9월추가판매 모델_W37 7_w17_DP_LATAM_100428" xfId="60808"/>
    <cellStyle name="好_9월추가판매 모델_W37 8" xfId="60809"/>
    <cellStyle name="好_9월추가판매 모델_W37 9" xfId="60810"/>
    <cellStyle name="好_9월추가판매 모델_W37_w17_DP_LATAM_100428" xfId="60811"/>
    <cellStyle name="好_w17_DP_LATAM_100428" xfId="60812"/>
    <cellStyle name="差" xfId="60813"/>
    <cellStyle name="差 2" xfId="60814"/>
    <cellStyle name="差 2 2" xfId="60815"/>
    <cellStyle name="差 2 3" xfId="60816"/>
    <cellStyle name="差 2_w17_DP_LATAM_100428" xfId="60817"/>
    <cellStyle name="差 3" xfId="60818"/>
    <cellStyle name="差 3 2" xfId="60819"/>
    <cellStyle name="差 3 3" xfId="60820"/>
    <cellStyle name="差 3_w17_DP_LATAM_100428" xfId="60821"/>
    <cellStyle name="差 4" xfId="60822"/>
    <cellStyle name="差 4 2" xfId="60823"/>
    <cellStyle name="差 4 3" xfId="60824"/>
    <cellStyle name="差 4_w17_DP_LATAM_100428" xfId="60825"/>
    <cellStyle name="差 5" xfId="60826"/>
    <cellStyle name="差 5 2" xfId="60827"/>
    <cellStyle name="差 5 3" xfId="60828"/>
    <cellStyle name="差 5_w17_DP_LATAM_100428" xfId="60829"/>
    <cellStyle name="差 6" xfId="60830"/>
    <cellStyle name="差 6 2" xfId="60831"/>
    <cellStyle name="差 6 3" xfId="60832"/>
    <cellStyle name="差 6_w17_DP_LATAM_100428" xfId="60833"/>
    <cellStyle name="差 7" xfId="60834"/>
    <cellStyle name="差 7 2" xfId="60835"/>
    <cellStyle name="差 7 3" xfId="60836"/>
    <cellStyle name="差 7_w17_DP_LATAM_100428" xfId="60837"/>
    <cellStyle name="差 8" xfId="60838"/>
    <cellStyle name="差 9" xfId="60839"/>
    <cellStyle name="差_9월추가판매 모델_W37" xfId="60840"/>
    <cellStyle name="差_9월추가판매 모델_W37 2" xfId="60841"/>
    <cellStyle name="差_9월추가판매 모델_W37 2 2" xfId="60842"/>
    <cellStyle name="差_9월추가판매 모델_W37 2 3" xfId="60843"/>
    <cellStyle name="差_9월추가판매 모델_W37 2_w17_DP_LATAM_100428" xfId="60844"/>
    <cellStyle name="差_9월추가판매 모델_W37 3" xfId="60845"/>
    <cellStyle name="差_9월추가판매 모델_W37 3 2" xfId="60846"/>
    <cellStyle name="差_9월추가판매 모델_W37 3 3" xfId="60847"/>
    <cellStyle name="差_9월추가판매 모델_W37 3_w17_DP_LATAM_100428" xfId="60848"/>
    <cellStyle name="差_9월추가판매 모델_W37 4" xfId="60849"/>
    <cellStyle name="差_9월추가판매 모델_W37 4 2" xfId="60850"/>
    <cellStyle name="差_9월추가판매 모델_W37 4 3" xfId="60851"/>
    <cellStyle name="差_9월추가판매 모델_W37 4_w17_DP_LATAM_100428" xfId="60852"/>
    <cellStyle name="差_9월추가판매 모델_W37 5" xfId="60853"/>
    <cellStyle name="差_9월추가판매 모델_W37 5 2" xfId="60854"/>
    <cellStyle name="差_9월추가판매 모델_W37 5 3" xfId="60855"/>
    <cellStyle name="差_9월추가판매 모델_W37 5_w17_DP_LATAM_100428" xfId="60856"/>
    <cellStyle name="差_9월추가판매 모델_W37 6" xfId="60857"/>
    <cellStyle name="差_9월추가판매 모델_W37 6 2" xfId="60858"/>
    <cellStyle name="差_9월추가판매 모델_W37 6 3" xfId="60859"/>
    <cellStyle name="差_9월추가판매 모델_W37 6_w17_DP_LATAM_100428" xfId="60860"/>
    <cellStyle name="差_9월추가판매 모델_W37 7" xfId="60861"/>
    <cellStyle name="差_9월추가판매 모델_W37 7 2" xfId="60862"/>
    <cellStyle name="差_9월추가판매 모델_W37 7 3" xfId="60863"/>
    <cellStyle name="差_9월추가판매 모델_W37 7_w17_DP_LATAM_100428" xfId="60864"/>
    <cellStyle name="差_9월추가판매 모델_W37 8" xfId="60865"/>
    <cellStyle name="差_9월추가판매 모델_W37 9" xfId="60866"/>
    <cellStyle name="差_9월추가판매 모델_W37_w17_DP_LATAM_100428" xfId="60867"/>
    <cellStyle name="差_w17_DP_LATAM_100428" xfId="60868"/>
    <cellStyle name="常规_1008" xfId="60869"/>
    <cellStyle name="强调文字颜色 1" xfId="60870"/>
    <cellStyle name="强调文字颜色 1 2" xfId="60871"/>
    <cellStyle name="强调文字颜色 1 2 2" xfId="60872"/>
    <cellStyle name="强调文字颜色 1 2 3" xfId="60873"/>
    <cellStyle name="强调文字颜色 1 2_w17_DP_LATAM_100428" xfId="60874"/>
    <cellStyle name="强调文字颜色 1 3" xfId="60875"/>
    <cellStyle name="强调文字颜色 1 3 2" xfId="60876"/>
    <cellStyle name="强调文字颜色 1 3 3" xfId="60877"/>
    <cellStyle name="强调文字颜色 1 3_w17_DP_LATAM_100428" xfId="60878"/>
    <cellStyle name="强调文字颜色 1 4" xfId="60879"/>
    <cellStyle name="强调文字颜色 1 4 2" xfId="60880"/>
    <cellStyle name="强调文字颜色 1 4 3" xfId="60881"/>
    <cellStyle name="强调文字颜色 1 4_w17_DP_LATAM_100428" xfId="60882"/>
    <cellStyle name="强调文字颜色 1 5" xfId="60883"/>
    <cellStyle name="强调文字颜色 1 5 2" xfId="60884"/>
    <cellStyle name="强调文字颜色 1 5 3" xfId="60885"/>
    <cellStyle name="强调文字颜色 1 5_w17_DP_LATAM_100428" xfId="60886"/>
    <cellStyle name="强调文字颜色 1 6" xfId="60887"/>
    <cellStyle name="强调文字颜色 1 6 2" xfId="60888"/>
    <cellStyle name="强调文字颜色 1 6 3" xfId="60889"/>
    <cellStyle name="强调文字颜色 1 6_w17_DP_LATAM_100428" xfId="60890"/>
    <cellStyle name="强调文字颜色 1 7" xfId="60891"/>
    <cellStyle name="强调文字颜色 1 7 2" xfId="60892"/>
    <cellStyle name="强调文字颜色 1 7 3" xfId="60893"/>
    <cellStyle name="强调文字颜色 1 7_w17_DP_LATAM_100428" xfId="60894"/>
    <cellStyle name="强调文字颜色 1 8" xfId="60895"/>
    <cellStyle name="强调文字颜色 1 9" xfId="60896"/>
    <cellStyle name="强调文字颜色 1_w17_DP_LATAM_100428" xfId="60897"/>
    <cellStyle name="强调文字颜色 2" xfId="60898"/>
    <cellStyle name="强调文字颜色 2 2" xfId="60899"/>
    <cellStyle name="强调文字颜色 2 2 2" xfId="60900"/>
    <cellStyle name="强调文字颜色 2 2 3" xfId="60901"/>
    <cellStyle name="强调文字颜色 2 2_w17_DP_LATAM_100428" xfId="60902"/>
    <cellStyle name="强调文字颜色 2 3" xfId="60903"/>
    <cellStyle name="强调文字颜色 2 3 2" xfId="60904"/>
    <cellStyle name="强调文字颜色 2 3 3" xfId="60905"/>
    <cellStyle name="强调文字颜色 2 3_w17_DP_LATAM_100428" xfId="60906"/>
    <cellStyle name="强调文字颜色 2 4" xfId="60907"/>
    <cellStyle name="强调文字颜色 2 4 2" xfId="60908"/>
    <cellStyle name="强调文字颜色 2 4 3" xfId="60909"/>
    <cellStyle name="强调文字颜色 2 4_w17_DP_LATAM_100428" xfId="60910"/>
    <cellStyle name="强调文字颜色 2 5" xfId="60911"/>
    <cellStyle name="强调文字颜色 2 5 2" xfId="60912"/>
    <cellStyle name="强调文字颜色 2 5 3" xfId="60913"/>
    <cellStyle name="强调文字颜色 2 5_w17_DP_LATAM_100428" xfId="60914"/>
    <cellStyle name="强调文字颜色 2 6" xfId="60915"/>
    <cellStyle name="强调文字颜色 2 6 2" xfId="60916"/>
    <cellStyle name="强调文字颜色 2 6 3" xfId="60917"/>
    <cellStyle name="强调文字颜色 2 6_w17_DP_LATAM_100428" xfId="60918"/>
    <cellStyle name="强调文字颜色 2 7" xfId="60919"/>
    <cellStyle name="强调文字颜色 2 7 2" xfId="60920"/>
    <cellStyle name="强调文字颜色 2 7 3" xfId="60921"/>
    <cellStyle name="强调文字颜色 2 7_w17_DP_LATAM_100428" xfId="60922"/>
    <cellStyle name="强调文字颜色 2 8" xfId="60923"/>
    <cellStyle name="强调文字颜色 2 9" xfId="60924"/>
    <cellStyle name="强调文字颜色 2_w17_DP_LATAM_100428" xfId="60925"/>
    <cellStyle name="强调文字颜色 3" xfId="60926"/>
    <cellStyle name="强调文字颜色 3 2" xfId="60927"/>
    <cellStyle name="强调文字颜色 3 2 2" xfId="60928"/>
    <cellStyle name="强调文字颜色 3 2 3" xfId="60929"/>
    <cellStyle name="强调文字颜色 3 2_w17_DP_LATAM_100428" xfId="60930"/>
    <cellStyle name="强调文字颜色 3 3" xfId="60931"/>
    <cellStyle name="强调文字颜色 3 3 2" xfId="60932"/>
    <cellStyle name="强调文字颜色 3 3 3" xfId="60933"/>
    <cellStyle name="强调文字颜色 3 3_w17_DP_LATAM_100428" xfId="60934"/>
    <cellStyle name="强调文字颜色 3 4" xfId="60935"/>
    <cellStyle name="强调文字颜色 3 4 2" xfId="60936"/>
    <cellStyle name="强调文字颜色 3 4 3" xfId="60937"/>
    <cellStyle name="强调文字颜色 3 4_w17_DP_LATAM_100428" xfId="60938"/>
    <cellStyle name="强调文字颜色 3 5" xfId="60939"/>
    <cellStyle name="强调文字颜色 3 5 2" xfId="60940"/>
    <cellStyle name="强调文字颜色 3 5 3" xfId="60941"/>
    <cellStyle name="强调文字颜色 3 5_w17_DP_LATAM_100428" xfId="60942"/>
    <cellStyle name="强调文字颜色 3 6" xfId="60943"/>
    <cellStyle name="强调文字颜色 3 6 2" xfId="60944"/>
    <cellStyle name="强调文字颜色 3 6 3" xfId="60945"/>
    <cellStyle name="强调文字颜色 3 6_w17_DP_LATAM_100428" xfId="60946"/>
    <cellStyle name="强调文字颜色 3 7" xfId="60947"/>
    <cellStyle name="强调文字颜色 3 7 2" xfId="60948"/>
    <cellStyle name="强调文字颜色 3 7 3" xfId="60949"/>
    <cellStyle name="强调文字颜色 3 7_w17_DP_LATAM_100428" xfId="60950"/>
    <cellStyle name="强调文字颜色 3 8" xfId="60951"/>
    <cellStyle name="强调文字颜色 3 9" xfId="60952"/>
    <cellStyle name="强调文字颜色 3_w17_DP_LATAM_100428" xfId="60953"/>
    <cellStyle name="强调文字颜色 4" xfId="60954"/>
    <cellStyle name="强调文字颜色 4 2" xfId="60955"/>
    <cellStyle name="强调文字颜色 4 2 2" xfId="60956"/>
    <cellStyle name="强调文字颜色 4 2 3" xfId="60957"/>
    <cellStyle name="强调文字颜色 4 2_w17_DP_LATAM_100428" xfId="60958"/>
    <cellStyle name="强调文字颜色 4 3" xfId="60959"/>
    <cellStyle name="强调文字颜色 4 3 2" xfId="60960"/>
    <cellStyle name="强调文字颜色 4 3 3" xfId="60961"/>
    <cellStyle name="强调文字颜色 4 3_w17_DP_LATAM_100428" xfId="60962"/>
    <cellStyle name="强调文字颜色 4 4" xfId="60963"/>
    <cellStyle name="强调文字颜色 4 4 2" xfId="60964"/>
    <cellStyle name="强调文字颜色 4 4 3" xfId="60965"/>
    <cellStyle name="强调文字颜色 4 4_w17_DP_LATAM_100428" xfId="60966"/>
    <cellStyle name="强调文字颜色 4 5" xfId="60967"/>
    <cellStyle name="强调文字颜色 4 5 2" xfId="60968"/>
    <cellStyle name="强调文字颜色 4 5 3" xfId="60969"/>
    <cellStyle name="强调文字颜色 4 5_w17_DP_LATAM_100428" xfId="60970"/>
    <cellStyle name="强调文字颜色 4 6" xfId="60971"/>
    <cellStyle name="强调文字颜色 4 6 2" xfId="60972"/>
    <cellStyle name="强调文字颜色 4 6 3" xfId="60973"/>
    <cellStyle name="强调文字颜色 4 6_w17_DP_LATAM_100428" xfId="60974"/>
    <cellStyle name="强调文字颜色 4 7" xfId="60975"/>
    <cellStyle name="强调文字颜色 4 7 2" xfId="60976"/>
    <cellStyle name="强调文字颜色 4 7 3" xfId="60977"/>
    <cellStyle name="强调文字颜色 4 7_w17_DP_LATAM_100428" xfId="60978"/>
    <cellStyle name="强调文字颜色 4 8" xfId="60979"/>
    <cellStyle name="强调文字颜色 4 9" xfId="60980"/>
    <cellStyle name="强调文字颜色 4_w17_DP_LATAM_100428" xfId="60981"/>
    <cellStyle name="强调文字颜色 5" xfId="60982"/>
    <cellStyle name="强调文字颜色 5 2" xfId="60983"/>
    <cellStyle name="强调文字颜色 5 2 2" xfId="60984"/>
    <cellStyle name="强调文字颜色 5 2 3" xfId="60985"/>
    <cellStyle name="强调文字颜色 5 2_w17_DP_LATAM_100428" xfId="60986"/>
    <cellStyle name="强调文字颜色 5 3" xfId="60987"/>
    <cellStyle name="强调文字颜色 5 3 2" xfId="60988"/>
    <cellStyle name="强调文字颜色 5 3 3" xfId="60989"/>
    <cellStyle name="强调文字颜色 5 3_w17_DP_LATAM_100428" xfId="60990"/>
    <cellStyle name="强调文字颜色 5 4" xfId="60991"/>
    <cellStyle name="强调文字颜色 5 4 2" xfId="60992"/>
    <cellStyle name="强调文字颜色 5 4 3" xfId="60993"/>
    <cellStyle name="强调文字颜色 5 4_w17_DP_LATAM_100428" xfId="60994"/>
    <cellStyle name="强调文字颜色 5 5" xfId="60995"/>
    <cellStyle name="强调文字颜色 5 5 2" xfId="60996"/>
    <cellStyle name="强调文字颜色 5 5 3" xfId="60997"/>
    <cellStyle name="强调文字颜色 5 5_w17_DP_LATAM_100428" xfId="60998"/>
    <cellStyle name="强调文字颜色 5 6" xfId="60999"/>
    <cellStyle name="强调文字颜色 5 6 2" xfId="61000"/>
    <cellStyle name="强调文字颜色 5 6 3" xfId="61001"/>
    <cellStyle name="强调文字颜色 5 6_w17_DP_LATAM_100428" xfId="61002"/>
    <cellStyle name="强调文字颜色 5 7" xfId="61003"/>
    <cellStyle name="强调文字颜色 5 7 2" xfId="61004"/>
    <cellStyle name="强调文字颜色 5 7 3" xfId="61005"/>
    <cellStyle name="强调文字颜色 5 7_w17_DP_LATAM_100428" xfId="61006"/>
    <cellStyle name="强调文字颜色 5 8" xfId="61007"/>
    <cellStyle name="强调文字颜色 5 9" xfId="61008"/>
    <cellStyle name="强调文字颜色 5_w17_DP_LATAM_100428" xfId="61009"/>
    <cellStyle name="强调文字颜色 6" xfId="61010"/>
    <cellStyle name="强调文字颜色 6 2" xfId="61011"/>
    <cellStyle name="强调文字颜色 6 2 2" xfId="61012"/>
    <cellStyle name="强调文字颜色 6 2 3" xfId="61013"/>
    <cellStyle name="强调文字颜色 6 2_w17_DP_LATAM_100428" xfId="61014"/>
    <cellStyle name="强调文字颜色 6 3" xfId="61015"/>
    <cellStyle name="强调文字颜色 6 3 2" xfId="61016"/>
    <cellStyle name="强调文字颜色 6 3 3" xfId="61017"/>
    <cellStyle name="强调文字颜色 6 3_w17_DP_LATAM_100428" xfId="61018"/>
    <cellStyle name="强调文字颜色 6 4" xfId="61019"/>
    <cellStyle name="强调文字颜色 6 4 2" xfId="61020"/>
    <cellStyle name="强调文字颜色 6 4 3" xfId="61021"/>
    <cellStyle name="强调文字颜色 6 4_w17_DP_LATAM_100428" xfId="61022"/>
    <cellStyle name="强调文字颜色 6 5" xfId="61023"/>
    <cellStyle name="强调文字颜色 6 5 2" xfId="61024"/>
    <cellStyle name="强调文字颜色 6 5 3" xfId="61025"/>
    <cellStyle name="强调文字颜色 6 5_w17_DP_LATAM_100428" xfId="61026"/>
    <cellStyle name="强调文字颜色 6 6" xfId="61027"/>
    <cellStyle name="强调文字颜色 6 6 2" xfId="61028"/>
    <cellStyle name="强调文字颜色 6 6 3" xfId="61029"/>
    <cellStyle name="强调文字颜色 6 6_w17_DP_LATAM_100428" xfId="61030"/>
    <cellStyle name="强调文字颜色 6 7" xfId="61031"/>
    <cellStyle name="强调文字颜色 6 7 2" xfId="61032"/>
    <cellStyle name="强调文字颜色 6 7 3" xfId="61033"/>
    <cellStyle name="强调文字颜色 6 7_w17_DP_LATAM_100428" xfId="61034"/>
    <cellStyle name="强调文字颜色 6 8" xfId="61035"/>
    <cellStyle name="强调文字颜色 6 9" xfId="61036"/>
    <cellStyle name="强调文字颜色 6_w17_DP_LATAM_100428" xfId="61037"/>
    <cellStyle name="普通_ 新MODEL 日 程" xfId="61038"/>
    <cellStyle name="标题" xfId="61039"/>
    <cellStyle name="标题 1" xfId="61040"/>
    <cellStyle name="标题 1 2" xfId="61041"/>
    <cellStyle name="标题 1 2 2" xfId="61042"/>
    <cellStyle name="标题 1 2 3" xfId="61043"/>
    <cellStyle name="标题 1 2_w17_DP_LATAM_100428" xfId="61044"/>
    <cellStyle name="标题 1 3" xfId="61045"/>
    <cellStyle name="标题 1 3 2" xfId="61046"/>
    <cellStyle name="标题 1 3 3" xfId="61047"/>
    <cellStyle name="标题 1 3_w17_DP_LATAM_100428" xfId="61048"/>
    <cellStyle name="标题 1 4" xfId="61049"/>
    <cellStyle name="标题 1 4 2" xfId="61050"/>
    <cellStyle name="标题 1 4 3" xfId="61051"/>
    <cellStyle name="标题 1 4_w17_DP_LATAM_100428" xfId="61052"/>
    <cellStyle name="标题 1 5" xfId="61053"/>
    <cellStyle name="标题 1 5 2" xfId="61054"/>
    <cellStyle name="标题 1 5 3" xfId="61055"/>
    <cellStyle name="标题 1 5_w17_DP_LATAM_100428" xfId="61056"/>
    <cellStyle name="标题 1 6" xfId="61057"/>
    <cellStyle name="标题 1 6 2" xfId="61058"/>
    <cellStyle name="标题 1 6 3" xfId="61059"/>
    <cellStyle name="标题 1 6_w17_DP_LATAM_100428" xfId="61060"/>
    <cellStyle name="标题 1 7" xfId="61061"/>
    <cellStyle name="标题 1 7 2" xfId="61062"/>
    <cellStyle name="标题 1 7 3" xfId="61063"/>
    <cellStyle name="标题 1 7_w17_DP_LATAM_100428" xfId="61064"/>
    <cellStyle name="标题 1 8" xfId="61065"/>
    <cellStyle name="标题 1 9" xfId="61066"/>
    <cellStyle name="标题 1_w17_DP_LATAM_100428" xfId="61067"/>
    <cellStyle name="标题 10" xfId="61068"/>
    <cellStyle name="标题 10 2" xfId="61069"/>
    <cellStyle name="标题 10 3" xfId="61070"/>
    <cellStyle name="标题 10_w17_DP_LATAM_100428" xfId="61071"/>
    <cellStyle name="标题 11" xfId="61072"/>
    <cellStyle name="标题 12" xfId="61073"/>
    <cellStyle name="标题 2" xfId="61074"/>
    <cellStyle name="标题 2 2" xfId="61075"/>
    <cellStyle name="标题 2 2 2" xfId="61076"/>
    <cellStyle name="标题 2 2 3" xfId="61077"/>
    <cellStyle name="标题 2 2_w17_DP_LATAM_100428" xfId="61078"/>
    <cellStyle name="标题 2 3" xfId="61079"/>
    <cellStyle name="标题 2 3 2" xfId="61080"/>
    <cellStyle name="标题 2 3 3" xfId="61081"/>
    <cellStyle name="标题 2 3_w17_DP_LATAM_100428" xfId="61082"/>
    <cellStyle name="标题 2 4" xfId="61083"/>
    <cellStyle name="标题 2 4 2" xfId="61084"/>
    <cellStyle name="标题 2 4 3" xfId="61085"/>
    <cellStyle name="标题 2 4_w17_DP_LATAM_100428" xfId="61086"/>
    <cellStyle name="标题 2 5" xfId="61087"/>
    <cellStyle name="标题 2 5 2" xfId="61088"/>
    <cellStyle name="标题 2 5 3" xfId="61089"/>
    <cellStyle name="标题 2 5_w17_DP_LATAM_100428" xfId="61090"/>
    <cellStyle name="标题 2 6" xfId="61091"/>
    <cellStyle name="标题 2 6 2" xfId="61092"/>
    <cellStyle name="标题 2 6 3" xfId="61093"/>
    <cellStyle name="标题 2 6_w17_DP_LATAM_100428" xfId="61094"/>
    <cellStyle name="标题 2 7" xfId="61095"/>
    <cellStyle name="标题 2 7 2" xfId="61096"/>
    <cellStyle name="标题 2 7 3" xfId="61097"/>
    <cellStyle name="标题 2 7_w17_DP_LATAM_100428" xfId="61098"/>
    <cellStyle name="标题 2 8" xfId="61099"/>
    <cellStyle name="标题 2 9" xfId="61100"/>
    <cellStyle name="标题 2_w17_DP_LATAM_100428" xfId="61101"/>
    <cellStyle name="标题 3" xfId="61102"/>
    <cellStyle name="标题 3 2" xfId="61103"/>
    <cellStyle name="标题 3 2 2" xfId="61104"/>
    <cellStyle name="标题 3 2 3" xfId="61105"/>
    <cellStyle name="标题 3 2_w17_DP_LATAM_100428" xfId="61106"/>
    <cellStyle name="标题 3 3" xfId="61107"/>
    <cellStyle name="标题 3 3 2" xfId="61108"/>
    <cellStyle name="标题 3 3 3" xfId="61109"/>
    <cellStyle name="标题 3 3_w17_DP_LATAM_100428" xfId="61110"/>
    <cellStyle name="标题 3 4" xfId="61111"/>
    <cellStyle name="标题 3 4 2" xfId="61112"/>
    <cellStyle name="标题 3 4 3" xfId="61113"/>
    <cellStyle name="标题 3 4_w17_DP_LATAM_100428" xfId="61114"/>
    <cellStyle name="标题 3 5" xfId="61115"/>
    <cellStyle name="标题 3 5 2" xfId="61116"/>
    <cellStyle name="标题 3 5 3" xfId="61117"/>
    <cellStyle name="标题 3 5_w17_DP_LATAM_100428" xfId="61118"/>
    <cellStyle name="标题 3 6" xfId="61119"/>
    <cellStyle name="标题 3 6 2" xfId="61120"/>
    <cellStyle name="标题 3 6 3" xfId="61121"/>
    <cellStyle name="标题 3 6_w17_DP_LATAM_100428" xfId="61122"/>
    <cellStyle name="标题 3 7" xfId="61123"/>
    <cellStyle name="标题 3 7 2" xfId="61124"/>
    <cellStyle name="标题 3 7 3" xfId="61125"/>
    <cellStyle name="标题 3 7_w17_DP_LATAM_100428" xfId="61126"/>
    <cellStyle name="标题 3 8" xfId="61127"/>
    <cellStyle name="标题 3 9" xfId="61128"/>
    <cellStyle name="标题 3_w17_DP_LATAM_100428" xfId="61129"/>
    <cellStyle name="标题 4" xfId="61130"/>
    <cellStyle name="标题 4 2" xfId="61131"/>
    <cellStyle name="标题 4 2 2" xfId="61132"/>
    <cellStyle name="标题 4 2 3" xfId="61133"/>
    <cellStyle name="标题 4 2_w17_DP_LATAM_100428" xfId="61134"/>
    <cellStyle name="标题 4 3" xfId="61135"/>
    <cellStyle name="标题 4 3 2" xfId="61136"/>
    <cellStyle name="标题 4 3 3" xfId="61137"/>
    <cellStyle name="标题 4 3_w17_DP_LATAM_100428" xfId="61138"/>
    <cellStyle name="标题 4 4" xfId="61139"/>
    <cellStyle name="标题 4 4 2" xfId="61140"/>
    <cellStyle name="标题 4 4 3" xfId="61141"/>
    <cellStyle name="标题 4 4_w17_DP_LATAM_100428" xfId="61142"/>
    <cellStyle name="标题 4 5" xfId="61143"/>
    <cellStyle name="标题 4 5 2" xfId="61144"/>
    <cellStyle name="标题 4 5 3" xfId="61145"/>
    <cellStyle name="标题 4 5_w17_DP_LATAM_100428" xfId="61146"/>
    <cellStyle name="标题 4 6" xfId="61147"/>
    <cellStyle name="标题 4 6 2" xfId="61148"/>
    <cellStyle name="标题 4 6 3" xfId="61149"/>
    <cellStyle name="标题 4 6_w17_DP_LATAM_100428" xfId="61150"/>
    <cellStyle name="标题 4 7" xfId="61151"/>
    <cellStyle name="标题 4 7 2" xfId="61152"/>
    <cellStyle name="标题 4 7 3" xfId="61153"/>
    <cellStyle name="标题 4 7_w17_DP_LATAM_100428" xfId="61154"/>
    <cellStyle name="标题 4 8" xfId="61155"/>
    <cellStyle name="标题 4 9" xfId="61156"/>
    <cellStyle name="标题 4_w17_DP_LATAM_100428" xfId="61157"/>
    <cellStyle name="标题 5" xfId="61158"/>
    <cellStyle name="标题 5 2" xfId="61159"/>
    <cellStyle name="标题 5 3" xfId="61160"/>
    <cellStyle name="标题 5_w17_DP_LATAM_100428" xfId="61161"/>
    <cellStyle name="标题 6" xfId="61162"/>
    <cellStyle name="标题 6 2" xfId="61163"/>
    <cellStyle name="标题 6 3" xfId="61164"/>
    <cellStyle name="标题 6_w17_DP_LATAM_100428" xfId="61165"/>
    <cellStyle name="标题 7" xfId="61166"/>
    <cellStyle name="标题 7 2" xfId="61167"/>
    <cellStyle name="标题 7 3" xfId="61168"/>
    <cellStyle name="标题 7_w17_DP_LATAM_100428" xfId="61169"/>
    <cellStyle name="标题 8" xfId="61170"/>
    <cellStyle name="标题 8 2" xfId="61171"/>
    <cellStyle name="标题 8 3" xfId="61172"/>
    <cellStyle name="标题 8_w17_DP_LATAM_100428" xfId="61173"/>
    <cellStyle name="标题 9" xfId="61174"/>
    <cellStyle name="标题 9 2" xfId="61175"/>
    <cellStyle name="标题 9 3" xfId="61176"/>
    <cellStyle name="标题 9_w17_DP_LATAM_100428" xfId="61177"/>
    <cellStyle name="标题_9월추가판매 모델_W37" xfId="61178"/>
    <cellStyle name="样式 1" xfId="61179"/>
    <cellStyle name="检查单元格" xfId="61180"/>
    <cellStyle name="检查单元格 2" xfId="61181"/>
    <cellStyle name="检查单元格 2 2" xfId="61182"/>
    <cellStyle name="检查单元格 2 3" xfId="61183"/>
    <cellStyle name="检查单元格 2_w17_DP_LATAM_100428" xfId="61184"/>
    <cellStyle name="检查单元格 3" xfId="61185"/>
    <cellStyle name="检查单元格 3 2" xfId="61186"/>
    <cellStyle name="检查单元格 3 3" xfId="61187"/>
    <cellStyle name="检查单元格 3_w17_DP_LATAM_100428" xfId="61188"/>
    <cellStyle name="检查单元格 4" xfId="61189"/>
    <cellStyle name="检查单元格 4 2" xfId="61190"/>
    <cellStyle name="检查单元格 4 3" xfId="61191"/>
    <cellStyle name="检查单元格 4_w17_DP_LATAM_100428" xfId="61192"/>
    <cellStyle name="检查单元格 5" xfId="61193"/>
    <cellStyle name="检查单元格 5 2" xfId="61194"/>
    <cellStyle name="检查单元格 5 3" xfId="61195"/>
    <cellStyle name="检查单元格 5_w17_DP_LATAM_100428" xfId="61196"/>
    <cellStyle name="检查单元格 6" xfId="61197"/>
    <cellStyle name="检查单元格 6 2" xfId="61198"/>
    <cellStyle name="检查单元格 6 3" xfId="61199"/>
    <cellStyle name="检查单元格 6_w17_DP_LATAM_100428" xfId="61200"/>
    <cellStyle name="检查单元格 7" xfId="61201"/>
    <cellStyle name="检查单元格 7 2" xfId="61202"/>
    <cellStyle name="检查单元格 7 3" xfId="61203"/>
    <cellStyle name="检查单元格 7_w17_DP_LATAM_100428" xfId="61204"/>
    <cellStyle name="检查单元格 8" xfId="61205"/>
    <cellStyle name="检查单元格 9" xfId="61206"/>
    <cellStyle name="检查单元格_w17_DP_LATAM_100428" xfId="61207"/>
    <cellStyle name="標準_98mdmx-compa,e改2" xfId="61208"/>
    <cellStyle name="汇总" xfId="61209"/>
    <cellStyle name="汇总 2" xfId="61210"/>
    <cellStyle name="汇总 2 2" xfId="61211"/>
    <cellStyle name="汇总 2 3" xfId="61212"/>
    <cellStyle name="汇总 2_w17_DP_LATAM_100428" xfId="61213"/>
    <cellStyle name="汇总 3" xfId="61214"/>
    <cellStyle name="汇总 3 2" xfId="61215"/>
    <cellStyle name="汇总 3 3" xfId="61216"/>
    <cellStyle name="汇总 3_w17_DP_LATAM_100428" xfId="61217"/>
    <cellStyle name="汇总 4" xfId="61218"/>
    <cellStyle name="汇总 4 2" xfId="61219"/>
    <cellStyle name="汇总 4 3" xfId="61220"/>
    <cellStyle name="汇总 4_w17_DP_LATAM_100428" xfId="61221"/>
    <cellStyle name="汇总 5" xfId="61222"/>
    <cellStyle name="汇总 5 2" xfId="61223"/>
    <cellStyle name="汇总 5 3" xfId="61224"/>
    <cellStyle name="汇总 5_w17_DP_LATAM_100428" xfId="61225"/>
    <cellStyle name="汇总 6" xfId="61226"/>
    <cellStyle name="汇总 6 2" xfId="61227"/>
    <cellStyle name="汇总 6 3" xfId="61228"/>
    <cellStyle name="汇总 6_w17_DP_LATAM_100428" xfId="61229"/>
    <cellStyle name="汇总 7" xfId="61230"/>
    <cellStyle name="汇总 7 2" xfId="61231"/>
    <cellStyle name="汇总 7 3" xfId="61232"/>
    <cellStyle name="汇总 7_w17_DP_LATAM_100428" xfId="61233"/>
    <cellStyle name="汇总 8" xfId="61234"/>
    <cellStyle name="汇总 9" xfId="61235"/>
    <cellStyle name="汇总_w17_DP_LATAM_100428" xfId="61236"/>
    <cellStyle name="注释" xfId="61237"/>
    <cellStyle name="烹拳 [0]_  辆  钦  " xfId="61238"/>
    <cellStyle name="烹拳_  辆  钦  " xfId="61239"/>
    <cellStyle name="解释性文本" xfId="61240"/>
    <cellStyle name="解释性文本 2" xfId="61241"/>
    <cellStyle name="解释性文本 2 2" xfId="61242"/>
    <cellStyle name="解释性文本 2 3" xfId="61243"/>
    <cellStyle name="解释性文本 2_w17_DP_LATAM_100428" xfId="61244"/>
    <cellStyle name="解释性文本 3" xfId="61245"/>
    <cellStyle name="解释性文本 3 2" xfId="61246"/>
    <cellStyle name="解释性文本 3 3" xfId="61247"/>
    <cellStyle name="解释性文本 3_w17_DP_LATAM_100428" xfId="61248"/>
    <cellStyle name="解释性文本 4" xfId="61249"/>
    <cellStyle name="解释性文本 4 2" xfId="61250"/>
    <cellStyle name="解释性文本 4 3" xfId="61251"/>
    <cellStyle name="解释性文本 4_w17_DP_LATAM_100428" xfId="61252"/>
    <cellStyle name="解释性文本 5" xfId="61253"/>
    <cellStyle name="解释性文本 5 2" xfId="61254"/>
    <cellStyle name="解释性文本 5 3" xfId="61255"/>
    <cellStyle name="解释性文本 5_w17_DP_LATAM_100428" xfId="61256"/>
    <cellStyle name="解释性文本 6" xfId="61257"/>
    <cellStyle name="解释性文本 6 2" xfId="61258"/>
    <cellStyle name="解释性文本 6 3" xfId="61259"/>
    <cellStyle name="解释性文本 6_w17_DP_LATAM_100428" xfId="61260"/>
    <cellStyle name="解释性文本 7" xfId="61261"/>
    <cellStyle name="解释性文本 7 2" xfId="61262"/>
    <cellStyle name="解释性文本 7 3" xfId="61263"/>
    <cellStyle name="解释性文本 7_w17_DP_LATAM_100428" xfId="61264"/>
    <cellStyle name="解释性文本 8" xfId="61265"/>
    <cellStyle name="解释性文本 9" xfId="61266"/>
    <cellStyle name="解释性文本_w17_DP_LATAM_100428" xfId="61267"/>
    <cellStyle name="警告文本" xfId="61268"/>
    <cellStyle name="警告文本 2" xfId="61269"/>
    <cellStyle name="警告文本 2 2" xfId="61270"/>
    <cellStyle name="警告文本 2 3" xfId="61271"/>
    <cellStyle name="警告文本 2_w17_DP_LATAM_100428" xfId="61272"/>
    <cellStyle name="警告文本 3" xfId="61273"/>
    <cellStyle name="警告文本 3 2" xfId="61274"/>
    <cellStyle name="警告文本 3 3" xfId="61275"/>
    <cellStyle name="警告文本 3_w17_DP_LATAM_100428" xfId="61276"/>
    <cellStyle name="警告文本 4" xfId="61277"/>
    <cellStyle name="警告文本 4 2" xfId="61278"/>
    <cellStyle name="警告文本 4 3" xfId="61279"/>
    <cellStyle name="警告文本 4_w17_DP_LATAM_100428" xfId="61280"/>
    <cellStyle name="警告文本 5" xfId="61281"/>
    <cellStyle name="警告文本 5 2" xfId="61282"/>
    <cellStyle name="警告文本 5 3" xfId="61283"/>
    <cellStyle name="警告文本 5_w17_DP_LATAM_100428" xfId="61284"/>
    <cellStyle name="警告文本 6" xfId="61285"/>
    <cellStyle name="警告文本 6 2" xfId="61286"/>
    <cellStyle name="警告文本 6 3" xfId="61287"/>
    <cellStyle name="警告文本 6_w17_DP_LATAM_100428" xfId="61288"/>
    <cellStyle name="警告文本 7" xfId="61289"/>
    <cellStyle name="警告文本 7 2" xfId="61290"/>
    <cellStyle name="警告文本 7 3" xfId="61291"/>
    <cellStyle name="警告文本 7_w17_DP_LATAM_100428" xfId="61292"/>
    <cellStyle name="警告文本 8" xfId="61293"/>
    <cellStyle name="警告文本 9" xfId="61294"/>
    <cellStyle name="警告文本_w17_DP_LATAM_100428" xfId="61295"/>
    <cellStyle name="计算" xfId="61296"/>
    <cellStyle name="计算 2" xfId="61297"/>
    <cellStyle name="计算 2 2" xfId="61298"/>
    <cellStyle name="计算 2 3" xfId="61299"/>
    <cellStyle name="计算 2_w17_DP_LATAM_100428" xfId="61300"/>
    <cellStyle name="计算 3" xfId="61301"/>
    <cellStyle name="计算 3 2" xfId="61302"/>
    <cellStyle name="计算 3 3" xfId="61303"/>
    <cellStyle name="计算 3_w17_DP_LATAM_100428" xfId="61304"/>
    <cellStyle name="计算 4" xfId="61305"/>
    <cellStyle name="计算 4 2" xfId="61306"/>
    <cellStyle name="计算 4 3" xfId="61307"/>
    <cellStyle name="计算 4_w17_DP_LATAM_100428" xfId="61308"/>
    <cellStyle name="计算 5" xfId="61309"/>
    <cellStyle name="计算 5 2" xfId="61310"/>
    <cellStyle name="计算 5 3" xfId="61311"/>
    <cellStyle name="计算 5_w17_DP_LATAM_100428" xfId="61312"/>
    <cellStyle name="计算 6" xfId="61313"/>
    <cellStyle name="计算 6 2" xfId="61314"/>
    <cellStyle name="计算 6 3" xfId="61315"/>
    <cellStyle name="计算 6_w17_DP_LATAM_100428" xfId="61316"/>
    <cellStyle name="计算 7" xfId="61317"/>
    <cellStyle name="计算 7 2" xfId="61318"/>
    <cellStyle name="计算 7 3" xfId="61319"/>
    <cellStyle name="计算 7_w17_DP_LATAM_100428" xfId="61320"/>
    <cellStyle name="计算 8" xfId="61321"/>
    <cellStyle name="计算 9" xfId="61322"/>
    <cellStyle name="计算_w17_DP_LATAM_100428" xfId="61323"/>
    <cellStyle name="货币[0]_1.开发目标" xfId="61324"/>
    <cellStyle name="货币_1.开发目标" xfId="61325"/>
    <cellStyle name="输入" xfId="61326"/>
    <cellStyle name="输入 2" xfId="61327"/>
    <cellStyle name="输入 2 2" xfId="61328"/>
    <cellStyle name="输入 2 3" xfId="61329"/>
    <cellStyle name="输入 2_w17_DP_LATAM_100428" xfId="61330"/>
    <cellStyle name="输入 3" xfId="61331"/>
    <cellStyle name="输入 3 2" xfId="61332"/>
    <cellStyle name="输入 3 3" xfId="61333"/>
    <cellStyle name="输入 3_w17_DP_LATAM_100428" xfId="61334"/>
    <cellStyle name="输入 4" xfId="61335"/>
    <cellStyle name="输入 4 2" xfId="61336"/>
    <cellStyle name="输入 4 3" xfId="61337"/>
    <cellStyle name="输入 4_w17_DP_LATAM_100428" xfId="61338"/>
    <cellStyle name="输入 5" xfId="61339"/>
    <cellStyle name="输入 5 2" xfId="61340"/>
    <cellStyle name="输入 5 3" xfId="61341"/>
    <cellStyle name="输入 5_w17_DP_LATAM_100428" xfId="61342"/>
    <cellStyle name="输入 6" xfId="61343"/>
    <cellStyle name="输入 6 2" xfId="61344"/>
    <cellStyle name="输入 6 3" xfId="61345"/>
    <cellStyle name="输入 6_w17_DP_LATAM_100428" xfId="61346"/>
    <cellStyle name="输入 7" xfId="61347"/>
    <cellStyle name="输入 7 2" xfId="61348"/>
    <cellStyle name="输入 7 3" xfId="61349"/>
    <cellStyle name="输入 7_w17_DP_LATAM_100428" xfId="61350"/>
    <cellStyle name="输入 8" xfId="61351"/>
    <cellStyle name="输入 9" xfId="61352"/>
    <cellStyle name="输入_w17_DP_LATAM_100428" xfId="61353"/>
    <cellStyle name="输出" xfId="61354"/>
    <cellStyle name="输出 2" xfId="61355"/>
    <cellStyle name="输出 2 2" xfId="61356"/>
    <cellStyle name="输出 2 3" xfId="61357"/>
    <cellStyle name="输出 2_w17_DP_LATAM_100428" xfId="61358"/>
    <cellStyle name="输出 3" xfId="61359"/>
    <cellStyle name="输出 3 2" xfId="61360"/>
    <cellStyle name="输出 3 3" xfId="61361"/>
    <cellStyle name="输出 3_w17_DP_LATAM_100428" xfId="61362"/>
    <cellStyle name="输出 4" xfId="61363"/>
    <cellStyle name="输出 4 2" xfId="61364"/>
    <cellStyle name="输出 4 3" xfId="61365"/>
    <cellStyle name="输出 4_w17_DP_LATAM_100428" xfId="61366"/>
    <cellStyle name="输出 5" xfId="61367"/>
    <cellStyle name="输出 5 2" xfId="61368"/>
    <cellStyle name="输出 5 3" xfId="61369"/>
    <cellStyle name="输出 5_w17_DP_LATAM_100428" xfId="61370"/>
    <cellStyle name="输出 6" xfId="61371"/>
    <cellStyle name="输出 6 2" xfId="61372"/>
    <cellStyle name="输出 6 3" xfId="61373"/>
    <cellStyle name="输出 6_w17_DP_LATAM_100428" xfId="61374"/>
    <cellStyle name="输出 7" xfId="61375"/>
    <cellStyle name="输出 7 2" xfId="61376"/>
    <cellStyle name="输出 7 3" xfId="61377"/>
    <cellStyle name="输出 7_w17_DP_LATAM_100428" xfId="61378"/>
    <cellStyle name="输出 8" xfId="61379"/>
    <cellStyle name="输出 9" xfId="61380"/>
    <cellStyle name="输出_w17_DP_LATAM_100428" xfId="61381"/>
    <cellStyle name="适中" xfId="61382"/>
    <cellStyle name="适中 2" xfId="61383"/>
    <cellStyle name="适中 2 2" xfId="61384"/>
    <cellStyle name="适中 2 3" xfId="61385"/>
    <cellStyle name="适中 2_w17_DP_LATAM_100428" xfId="61386"/>
    <cellStyle name="适中 3" xfId="61387"/>
    <cellStyle name="适中 3 2" xfId="61388"/>
    <cellStyle name="适中 3 3" xfId="61389"/>
    <cellStyle name="适中 3_w17_DP_LATAM_100428" xfId="61390"/>
    <cellStyle name="适中 4" xfId="61391"/>
    <cellStyle name="适中 4 2" xfId="61392"/>
    <cellStyle name="适中 4 3" xfId="61393"/>
    <cellStyle name="适中 4_w17_DP_LATAM_100428" xfId="61394"/>
    <cellStyle name="适中 5" xfId="61395"/>
    <cellStyle name="适中 5 2" xfId="61396"/>
    <cellStyle name="适中 5 3" xfId="61397"/>
    <cellStyle name="适中 5_w17_DP_LATAM_100428" xfId="61398"/>
    <cellStyle name="适中 6" xfId="61399"/>
    <cellStyle name="适中 6 2" xfId="61400"/>
    <cellStyle name="适中 6 3" xfId="61401"/>
    <cellStyle name="适中 6_w17_DP_LATAM_100428" xfId="61402"/>
    <cellStyle name="适中 7" xfId="61403"/>
    <cellStyle name="适中 7 2" xfId="61404"/>
    <cellStyle name="适中 7 3" xfId="61405"/>
    <cellStyle name="适中 7_w17_DP_LATAM_100428" xfId="61406"/>
    <cellStyle name="适中 8" xfId="61407"/>
    <cellStyle name="适中 9" xfId="61408"/>
    <cellStyle name="适中_w17_DP_LATAM_100428" xfId="61409"/>
    <cellStyle name="钎霖_  辆  钦  " xfId="61410"/>
    <cellStyle name="链接单元格" xfId="61411"/>
    <cellStyle name="链接单元格 2" xfId="61412"/>
    <cellStyle name="链接单元格 2 2" xfId="61413"/>
    <cellStyle name="链接单元格 2 3" xfId="61414"/>
    <cellStyle name="链接单元格 2_w17_DP_LATAM_100428" xfId="61415"/>
    <cellStyle name="链接单元格 3" xfId="61416"/>
    <cellStyle name="链接单元格 3 2" xfId="61417"/>
    <cellStyle name="链接单元格 3 3" xfId="61418"/>
    <cellStyle name="链接单元格 3_w17_DP_LATAM_100428" xfId="61419"/>
    <cellStyle name="链接单元格 4" xfId="61420"/>
    <cellStyle name="链接单元格 4 2" xfId="61421"/>
    <cellStyle name="链接单元格 4 3" xfId="61422"/>
    <cellStyle name="链接单元格 4_w17_DP_LATAM_100428" xfId="61423"/>
    <cellStyle name="链接单元格 5" xfId="61424"/>
    <cellStyle name="链接单元格 5 2" xfId="61425"/>
    <cellStyle name="链接单元格 5 3" xfId="61426"/>
    <cellStyle name="链接单元格 5_w17_DP_LATAM_100428" xfId="61427"/>
    <cellStyle name="链接单元格 6" xfId="61428"/>
    <cellStyle name="链接单元格 6 2" xfId="61429"/>
    <cellStyle name="链接单元格 6 3" xfId="61430"/>
    <cellStyle name="链接单元格 6_w17_DP_LATAM_100428" xfId="61431"/>
    <cellStyle name="链接单元格 7" xfId="61432"/>
    <cellStyle name="链接单元格 7 2" xfId="61433"/>
    <cellStyle name="链接单元格 7 3" xfId="61434"/>
    <cellStyle name="链接单元格 7_w17_DP_LATAM_100428" xfId="61435"/>
    <cellStyle name="链接单元格 8" xfId="61436"/>
    <cellStyle name="链接单元格 9" xfId="61437"/>
    <cellStyle name="链接单元格_w17_DP_LATAM_100428" xfId="61438"/>
    <cellStyle name="霓付 [0]_  辆  钦  " xfId="61439"/>
    <cellStyle name="霓付_  辆  钦  " xfId="6144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828C"/>
      <color rgb="FFEBB812"/>
      <color rgb="FF7671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00B050"/>
  </sheetPr>
  <dimension ref="A1:GG82"/>
  <sheetViews>
    <sheetView showGridLines="0" tabSelected="1" zoomScale="90" zoomScaleNormal="90" workbookViewId="0">
      <selection activeCell="GI3" sqref="GI3"/>
    </sheetView>
  </sheetViews>
  <sheetFormatPr defaultColWidth="9.140625" defaultRowHeight="15"/>
  <cols>
    <col min="1" max="1" width="15.7109375" bestFit="1" customWidth="1"/>
    <col min="2" max="2" width="16.42578125" bestFit="1" customWidth="1"/>
    <col min="3" max="3" width="15" bestFit="1" customWidth="1"/>
    <col min="4" max="4" width="19.85546875" bestFit="1" customWidth="1"/>
    <col min="5" max="38" width="5.5703125" customWidth="1"/>
    <col min="39" max="39" width="52.5703125" bestFit="1" customWidth="1"/>
    <col min="40" max="40" width="34.85546875" bestFit="1" customWidth="1"/>
    <col min="41" max="41" width="43.85546875" bestFit="1" customWidth="1"/>
    <col min="42" max="43" width="11.5703125" bestFit="1" customWidth="1"/>
    <col min="44" max="44" width="11.28515625" customWidth="1"/>
    <col min="45" max="45" width="11.28515625" bestFit="1" customWidth="1"/>
    <col min="46" max="46" width="6.7109375" customWidth="1"/>
    <col min="47" max="47" width="19.28515625" customWidth="1"/>
    <col min="48" max="48" width="14.28515625" bestFit="1" customWidth="1"/>
    <col min="49" max="49" width="14" bestFit="1" customWidth="1"/>
    <col min="50" max="50" width="17.85546875" bestFit="1" customWidth="1"/>
    <col min="51" max="53" width="6.7109375" customWidth="1"/>
    <col min="54" max="54" width="42.85546875" bestFit="1" customWidth="1"/>
    <col min="55" max="55" width="31.85546875" bestFit="1" customWidth="1"/>
    <col min="56" max="56" width="14.85546875" customWidth="1"/>
    <col min="57" max="58" width="16.7109375" customWidth="1"/>
    <col min="59" max="59" width="18.5703125" bestFit="1" customWidth="1"/>
    <col min="60" max="61" width="14.85546875" customWidth="1"/>
    <col min="62" max="62" width="18.5703125" customWidth="1"/>
    <col min="63" max="64" width="14.85546875" customWidth="1"/>
    <col min="65" max="65" width="18.5703125" customWidth="1"/>
    <col min="66" max="67" width="14.85546875" customWidth="1"/>
    <col min="68" max="68" width="18.5703125" customWidth="1"/>
    <col min="69" max="70" width="14.85546875" customWidth="1"/>
    <col min="71" max="71" width="18.5703125" customWidth="1"/>
    <col min="72" max="73" width="14.85546875" customWidth="1"/>
    <col min="74" max="74" width="18.5703125" customWidth="1"/>
    <col min="75" max="76" width="14.85546875" customWidth="1"/>
    <col min="77" max="77" width="18.5703125" customWidth="1"/>
    <col min="78" max="79" width="14.85546875" customWidth="1"/>
    <col min="80" max="80" width="18.5703125" customWidth="1"/>
    <col min="81" max="82" width="14.85546875" customWidth="1"/>
    <col min="83" max="83" width="18.5703125" customWidth="1"/>
    <col min="84" max="85" width="14.85546875" customWidth="1"/>
    <col min="86" max="86" width="18.5703125" customWidth="1"/>
    <col min="87" max="88" width="14.85546875" customWidth="1"/>
    <col min="89" max="89" width="18.5703125" customWidth="1"/>
    <col min="90" max="91" width="14.85546875" customWidth="1"/>
    <col min="92" max="92" width="18.5703125" customWidth="1"/>
    <col min="93" max="94" width="14.85546875" customWidth="1"/>
    <col min="95" max="95" width="18.5703125" customWidth="1"/>
    <col min="96" max="97" width="14.85546875" customWidth="1"/>
    <col min="98" max="98" width="18.5703125" customWidth="1"/>
    <col min="99" max="100" width="14.85546875" customWidth="1"/>
    <col min="101" max="101" width="18.5703125" customWidth="1"/>
    <col min="102" max="103" width="14.85546875" customWidth="1"/>
    <col min="104" max="104" width="18.5703125" customWidth="1"/>
    <col min="105" max="106" width="14.85546875" customWidth="1"/>
    <col min="107" max="107" width="18.5703125" customWidth="1"/>
    <col min="108" max="109" width="14.85546875" customWidth="1"/>
    <col min="110" max="110" width="18.5703125" customWidth="1"/>
    <col min="111" max="112" width="14.85546875" customWidth="1"/>
    <col min="113" max="113" width="18.5703125" customWidth="1"/>
    <col min="114" max="115" width="14.85546875" customWidth="1"/>
    <col min="116" max="116" width="18.5703125" customWidth="1"/>
    <col min="117" max="118" width="14.85546875" customWidth="1"/>
    <col min="119" max="119" width="18.5703125" customWidth="1"/>
    <col min="120" max="121" width="14.85546875" customWidth="1"/>
    <col min="122" max="122" width="18.5703125" customWidth="1"/>
    <col min="123" max="124" width="14.85546875" customWidth="1"/>
    <col min="125" max="125" width="18.5703125" customWidth="1"/>
    <col min="126" max="127" width="14.85546875" customWidth="1"/>
    <col min="128" max="128" width="18.5703125" customWidth="1"/>
    <col min="129" max="130" width="14.85546875" customWidth="1"/>
    <col min="131" max="131" width="18.5703125" customWidth="1"/>
    <col min="132" max="133" width="14.85546875" customWidth="1"/>
    <col min="134" max="134" width="18.5703125" customWidth="1"/>
    <col min="135" max="137" width="18.5703125" style="1" customWidth="1"/>
    <col min="138" max="139" width="14.85546875" customWidth="1"/>
    <col min="140" max="140" width="18.5703125" customWidth="1"/>
    <col min="141" max="142" width="14.85546875" customWidth="1"/>
    <col min="143" max="143" width="18.5703125" customWidth="1"/>
    <col min="144" max="145" width="14.85546875" customWidth="1"/>
    <col min="146" max="146" width="18.5703125" customWidth="1"/>
    <col min="147" max="147" width="17.85546875" style="1" customWidth="1"/>
    <col min="148" max="148" width="18.5703125" style="1" customWidth="1"/>
    <col min="149" max="149" width="9" bestFit="1" customWidth="1"/>
    <col min="150" max="150" width="22.140625" bestFit="1" customWidth="1"/>
    <col min="151" max="151" width="14.140625" bestFit="1" customWidth="1"/>
    <col min="152" max="152" width="8.85546875" bestFit="1" customWidth="1"/>
    <col min="153" max="153" width="35.7109375" bestFit="1" customWidth="1"/>
    <col min="154" max="154" width="27.28515625" bestFit="1" customWidth="1"/>
    <col min="155" max="155" width="21" bestFit="1" customWidth="1"/>
    <col min="156" max="156" width="30.42578125" bestFit="1" customWidth="1"/>
    <col min="157" max="157" width="38" bestFit="1" customWidth="1"/>
    <col min="158" max="158" width="18.5703125" bestFit="1" customWidth="1"/>
    <col min="159" max="159" width="30.42578125" bestFit="1" customWidth="1"/>
    <col min="160" max="160" width="38" bestFit="1" customWidth="1"/>
    <col min="161" max="161" width="18.5703125" bestFit="1" customWidth="1"/>
    <col min="162" max="162" width="25" bestFit="1" customWidth="1"/>
    <col min="163" max="165" width="12" bestFit="1" customWidth="1"/>
    <col min="166" max="166" width="12.7109375" bestFit="1" customWidth="1"/>
    <col min="167" max="169" width="12" bestFit="1" customWidth="1"/>
    <col min="170" max="170" width="12.7109375" bestFit="1" customWidth="1"/>
    <col min="171" max="173" width="12" bestFit="1" customWidth="1"/>
    <col min="174" max="174" width="14" bestFit="1" customWidth="1"/>
    <col min="175" max="175" width="12.85546875" bestFit="1" customWidth="1"/>
    <col min="176" max="176" width="12.140625" bestFit="1" customWidth="1"/>
    <col min="177" max="177" width="12" bestFit="1" customWidth="1"/>
    <col min="178" max="178" width="14" bestFit="1" customWidth="1"/>
    <col min="179" max="179" width="12.85546875" bestFit="1" customWidth="1"/>
    <col min="180" max="183" width="10.28515625" customWidth="1"/>
    <col min="184" max="189" width="9.140625" customWidth="1"/>
  </cols>
  <sheetData>
    <row r="1" spans="1:189" ht="30.75" customHeight="1" thickBot="1">
      <c r="A1" s="12" t="s">
        <v>76</v>
      </c>
      <c r="B1" s="12" t="s">
        <v>77</v>
      </c>
      <c r="C1" s="12" t="s">
        <v>78</v>
      </c>
      <c r="D1" s="12" t="s">
        <v>79</v>
      </c>
      <c r="E1" s="185" t="s">
        <v>5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80</v>
      </c>
      <c r="AN1" s="185"/>
      <c r="AO1" s="185"/>
      <c r="AP1" s="186" t="s">
        <v>81</v>
      </c>
      <c r="AQ1" s="186"/>
      <c r="AR1" s="186" t="s">
        <v>82</v>
      </c>
      <c r="AS1" s="186"/>
      <c r="AT1" s="186"/>
      <c r="AU1" s="186"/>
      <c r="AV1" s="186"/>
      <c r="AW1" s="186"/>
      <c r="AX1" s="186"/>
      <c r="AY1" s="186" t="s">
        <v>83</v>
      </c>
      <c r="AZ1" s="186"/>
      <c r="BA1" s="186"/>
      <c r="BB1" s="189" t="s">
        <v>85</v>
      </c>
      <c r="BC1" s="190"/>
      <c r="BD1" s="191"/>
      <c r="BE1" s="187" t="str">
        <f>"Preço Fixo
"&amp;DOLLAR(ARBOR!C2,2)</f>
        <v>Preço Fixo
R$ 75,84</v>
      </c>
      <c r="BF1" s="188"/>
      <c r="BG1" s="188"/>
      <c r="BH1" s="182" t="str">
        <f>"Oi TV Start HD (PCS-OzTL40)
"&amp;DOLLAR(VLOOKUP("PCS-OzTL40",ARBOR!$A:$C,3,0),2)</f>
        <v>Oi TV Start HD (PCS-OzTL40)
R$ 99,00</v>
      </c>
      <c r="BI1" s="183"/>
      <c r="BJ1" s="183"/>
      <c r="BK1" s="182" t="str">
        <f>"Oi TV Mix HD (PCS-OzTL41)
"&amp;DOLLAR(VLOOKUP("PCS-OzTL41",ARBOR!$A:$C,3,0),2)</f>
        <v>Oi TV Mix HD (PCS-OzTL41)
R$ 121,03</v>
      </c>
      <c r="BL1" s="183"/>
      <c r="BM1" s="183"/>
      <c r="BN1" s="182" t="str">
        <f>"Oi TV Mix HBO Max HD (PCS-OzTL44)
"&amp;DOLLAR(VLOOKUP("PCS-OzTL44",ARBOR!$A:$C,3,0),2)</f>
        <v>Oi TV Mix HBO Max HD (PCS-OzTL44)
R$ 192,61</v>
      </c>
      <c r="BO1" s="183"/>
      <c r="BP1" s="183"/>
      <c r="BQ1" s="182" t="str">
        <f>"Oi TV Mix Telecine HD (PCS-OzTL43)
"&amp;DOLLAR(VLOOKUP("PCS-OzTL43",ARBOR!$A:$C,3,0),2)</f>
        <v>Oi TV Mix Telecine HD (PCS-OzTL43)
R$ 203,63</v>
      </c>
      <c r="BR1" s="183"/>
      <c r="BS1" s="183"/>
      <c r="BT1" s="182" t="str">
        <f>"Oi TV Mix Cinema HD (PCS-OzTL45)
"&amp;DOLLAR(VLOOKUP("PCS-OzTL45",ARBOR!$A:$C,3,0),2)</f>
        <v>Oi TV Mix Cinema HD (PCS-OzTL45)
R$ 209,13</v>
      </c>
      <c r="BU1" s="183"/>
      <c r="BV1" s="183"/>
      <c r="BW1" s="182" t="str">
        <f>"Oi TV Mix HD DVR (PCS-OzTL741)
"&amp;DOLLAR(VLOOKUP("PCS-OzTL741",ARBOR!$A:$C,3,0),2)</f>
        <v>Oi TV Mix HD DVR (PCS-OzTL741)
R$ 176,09</v>
      </c>
      <c r="BX1" s="183"/>
      <c r="BY1" s="183"/>
      <c r="BZ1" s="182" t="str">
        <f>"Oi TV Mix HBOMax HD DVR (PCS-OzTL744)
"&amp;DOLLAR(VLOOKUP("PCS-OzTL744",ARBOR!$A:$C,3,0),2)</f>
        <v>Oi TV Mix HBOMax HD DVR (PCS-OzTL744)
R$ 209,13</v>
      </c>
      <c r="CA1" s="183"/>
      <c r="CB1" s="183"/>
      <c r="CC1" s="182" t="str">
        <f>"Oi TV Mix Telecine HD DVR (PCS-OzTL743)
"&amp;DOLLAR(VLOOKUP("PCS-OzTL743",ARBOR!$A:$C,3,0),2)</f>
        <v>Oi TV Mix Telecine HD DVR (PCS-OzTL743)
R$ 220,14</v>
      </c>
      <c r="CD1" s="183"/>
      <c r="CE1" s="183"/>
      <c r="CF1" s="182" t="str">
        <f>"Oi TV Mix Cinema HD DVR (PCS-OzTL745)
"&amp;DOLLAR(VLOOKUP("PCS-OzTL745",ARBOR!$A:$C,3,0),2)</f>
        <v>Oi TV Mix Cinema HD DVR (PCS-OzTL745)
R$ 253,18</v>
      </c>
      <c r="CG1" s="183"/>
      <c r="CH1" s="183"/>
      <c r="CI1" s="182" t="str">
        <f>"Oi TV Total HD (PCS-OzTL42)
"&amp;DOLLAR(VLOOKUP("PCS-OzTL42",ARBOR!$A:$C,3,0),2)</f>
        <v>Oi TV Total HD (PCS-OzTL42)
R$ 165,08</v>
      </c>
      <c r="CJ1" s="183"/>
      <c r="CK1" s="183"/>
      <c r="CL1" s="182" t="str">
        <f>"Oi TV Total HBO Max HD (PCS-OzTL47)
"&amp;DOLLAR(VLOOKUP("PCS-OzTL47",ARBOR!$A:$C,3,0),2)</f>
        <v>Oi TV Total HBO Max HD (PCS-OzTL47)
R$ 203,63</v>
      </c>
      <c r="CM1" s="183"/>
      <c r="CN1" s="183"/>
      <c r="CO1" s="182" t="str">
        <f>"Oi TV Total Telecine HD (PCS-OzTL46)
"&amp;DOLLAR(VLOOKUP("PCS-OzTL46",ARBOR!$A:$C,3,0),2)</f>
        <v>Oi TV Total Telecine HD (PCS-OzTL46)
R$ 214,64</v>
      </c>
      <c r="CP1" s="183"/>
      <c r="CQ1" s="183"/>
      <c r="CR1" s="182" t="str">
        <f>"Oi TV Total Cinema HD (PCS-OzTL48)
"&amp;DOLLAR(VLOOKUP("PCS-OzTL48",ARBOR!$A:$C,3,0),2)</f>
        <v>Oi TV Total Cinema HD (PCS-OzTL48)
R$ 253,18</v>
      </c>
      <c r="CS1" s="183"/>
      <c r="CT1" s="183"/>
      <c r="CU1" s="182" t="str">
        <f>"Oi TV Total HD DVR (PCS-OzTL742)
"&amp;DOLLAR(VLOOKUP("PCS-OzTL742",ARBOR!$A:$C,3,0),2)</f>
        <v>Oi TV Total HD DVR (PCS-OzTL742)
R$ 220,14</v>
      </c>
      <c r="CV1" s="183"/>
      <c r="CW1" s="183"/>
      <c r="CX1" s="182" t="str">
        <f>"Oi TV Total HBOMax HD DVR (PCS-OzTL747)
"&amp;DOLLAR(VLOOKUP("PCS-OzTL747",ARBOR!$A:$C,3,0),2)</f>
        <v>Oi TV Total HBOMax HD DVR (PCS-OzTL747)
R$ 258,69</v>
      </c>
      <c r="CY1" s="183"/>
      <c r="CZ1" s="183"/>
      <c r="DA1" s="182" t="str">
        <f>"Oi TV Total Telecine HD DVR (PCS-OzTL746)
"&amp;DOLLAR(VLOOKUP("PCS-OzTL746",ARBOR!$A:$C,3,0),2)</f>
        <v>Oi TV Total Telecine HD DVR (PCS-OzTL746)
R$ 269,70</v>
      </c>
      <c r="DB1" s="183"/>
      <c r="DC1" s="183"/>
      <c r="DD1" s="182" t="str">
        <f>"Oi TV Total Cinema HD DVR (PCS-OzTL748)
"&amp;DOLLAR(VLOOKUP("PCS-OzTL748",ARBOR!$A:$C,3,0),2)</f>
        <v>Oi TV Total Cinema HD DVR (PCS-OzTL748)
R$ 308,25</v>
      </c>
      <c r="DE1" s="183"/>
      <c r="DF1" s="183"/>
      <c r="DG1" s="182" t="str">
        <f>"Oi TV Combate (PCS-OzTL34)
"&amp;DOLLAR(VLOOKUP("PCS-OzTL34",ARBOR!$A:$C,3,0),2)</f>
        <v>Oi TV Combate (PCS-OzTL34)
R$ 110,13</v>
      </c>
      <c r="DH1" s="183"/>
      <c r="DI1" s="184"/>
      <c r="DJ1" s="182" t="str">
        <f>"Oi TV Sexy Hot (PCS-OzTL31)
"&amp;DOLLAR(VLOOKUP("PCS-OzTL31",ARBOR!$A:$C,3,0),2)</f>
        <v>Oi TV Sexy Hot (PCS-OzTL31)
R$ 21,91</v>
      </c>
      <c r="DK1" s="183"/>
      <c r="DL1" s="184"/>
      <c r="DM1" s="182" t="str">
        <f>"Oi TV Playboy (PCS-OzTL32)
"&amp;DOLLAR(VLOOKUP("PCS-OzTL32",ARBOR!$A:$C,3,0),2)</f>
        <v>Oi TV Playboy (PCS-OzTL32)
R$ 21,91</v>
      </c>
      <c r="DN1" s="183"/>
      <c r="DO1" s="184"/>
      <c r="DP1" s="182" t="str">
        <f>"Oi TV Sexy Hot + Playboy (PCS-OzTL33)
"&amp;DOLLAR(VLOOKUP("PCS-OzTL33",ARBOR!$A:$C,3,0),2)</f>
        <v>Oi TV Sexy Hot + Playboy (PCS-OzTL33)
R$ 32,92</v>
      </c>
      <c r="DQ1" s="183"/>
      <c r="DR1" s="184"/>
      <c r="DS1" s="182" t="str">
        <f>"Oi TV SexPrivê (PCS-OzTL503)
"&amp;DOLLAR(VLOOKUP("PCS-OzTL503",ARBOR!$A:$C,3,0),2)</f>
        <v>Oi TV SexPrivê (PCS-OzTL503)
R$ 16,40</v>
      </c>
      <c r="DT1" s="183"/>
      <c r="DU1" s="184"/>
      <c r="DV1" s="182" t="str">
        <f>"Oi TV Étnicos (PCS-OzTL500)
"&amp;DOLLAR(VLOOKUP("PCS-OzTL500",ARBOR!$A:$C,3,0),2)</f>
        <v>Oi TV Étnicos (PCS-OzTL500)
R$ 11,01</v>
      </c>
      <c r="DW1" s="183"/>
      <c r="DX1" s="184"/>
      <c r="DY1" s="182" t="str">
        <f>"Coleção OI (PCS-OzTL50)"</f>
        <v>Coleção OI (PCS-OzTL50)</v>
      </c>
      <c r="DZ1" s="183"/>
      <c r="EA1" s="184"/>
      <c r="EB1" s="182" t="str">
        <f>"Fox Premium (PCS-OzTL51)"</f>
        <v>Fox Premium (PCS-OzTL51)</v>
      </c>
      <c r="EC1" s="183"/>
      <c r="ED1" s="184"/>
      <c r="EE1" s="182" t="str">
        <f>"PenVr (PCS-OzTL52)"</f>
        <v>PenVr (PCS-OzTL52)</v>
      </c>
      <c r="EF1" s="183"/>
      <c r="EG1" s="184"/>
      <c r="EH1" s="182" t="str">
        <f>"PFC Completo (PCS-OzTL53)"</f>
        <v>PFC Completo (PCS-OzTL53)</v>
      </c>
      <c r="EI1" s="183"/>
      <c r="EJ1" s="184"/>
      <c r="EK1" s="182" t="str">
        <f>"PFC Básico (PCS-OzTL54)"</f>
        <v>PFC Básico (PCS-OzTL54)</v>
      </c>
      <c r="EL1" s="183"/>
      <c r="EM1" s="184"/>
      <c r="EN1" s="200" t="str">
        <f>"Oi TV Ponto Adicional (PCS-OzTL99)
"&amp;DOLLAR(VLOOKUP("PCS-OzTL99",ARBOR!$A:$C,3,0),2)</f>
        <v>Oi TV Ponto Adicional (PCS-OzTL99)
R$ 29,90</v>
      </c>
      <c r="EO1" s="201"/>
      <c r="EP1" s="201"/>
      <c r="EQ1" s="201"/>
      <c r="ER1" s="202"/>
      <c r="ES1" s="186" t="s">
        <v>38</v>
      </c>
      <c r="ET1" s="186"/>
      <c r="EU1" s="186"/>
      <c r="EV1" s="186"/>
      <c r="EW1" s="186"/>
      <c r="EX1" s="186"/>
      <c r="EY1" s="186"/>
      <c r="EZ1" s="198" t="s">
        <v>49</v>
      </c>
      <c r="FA1" s="199"/>
      <c r="FB1" s="199"/>
      <c r="FC1" s="198" t="s">
        <v>49</v>
      </c>
      <c r="FD1" s="199"/>
      <c r="FE1" s="199"/>
      <c r="FF1" s="92" t="s">
        <v>267</v>
      </c>
      <c r="FG1" s="192" t="s">
        <v>274</v>
      </c>
      <c r="FH1" s="193"/>
      <c r="FI1" s="193"/>
      <c r="FJ1" s="193"/>
      <c r="FK1" s="193"/>
      <c r="FL1" s="193"/>
      <c r="FM1" s="193"/>
      <c r="FN1" s="193"/>
      <c r="FO1" s="193"/>
      <c r="FP1" s="193"/>
      <c r="FQ1" s="193"/>
      <c r="FR1" s="193"/>
      <c r="FS1" s="193"/>
      <c r="FT1" s="193"/>
      <c r="FU1" s="193"/>
      <c r="FV1" s="193"/>
      <c r="FW1" s="194"/>
      <c r="FX1" s="195" t="s">
        <v>275</v>
      </c>
      <c r="FY1" s="196"/>
      <c r="FZ1" s="196"/>
      <c r="GA1" s="196"/>
      <c r="GB1" s="196"/>
      <c r="GC1" s="196"/>
      <c r="GD1" s="196"/>
      <c r="GE1" s="196"/>
      <c r="GF1" s="196"/>
      <c r="GG1" s="197"/>
    </row>
    <row r="2" spans="1:189" ht="157.5" customHeight="1" thickBot="1">
      <c r="A2" s="13" t="s">
        <v>0</v>
      </c>
      <c r="B2" s="13" t="s">
        <v>1</v>
      </c>
      <c r="C2" s="13" t="s">
        <v>3</v>
      </c>
      <c r="D2" s="13" t="s">
        <v>4</v>
      </c>
      <c r="E2" s="14" t="s">
        <v>47</v>
      </c>
      <c r="F2" s="14" t="s">
        <v>48</v>
      </c>
      <c r="G2" s="14" t="s">
        <v>9</v>
      </c>
      <c r="H2" s="14" t="s">
        <v>60</v>
      </c>
      <c r="I2" s="14" t="s">
        <v>268</v>
      </c>
      <c r="J2" s="14" t="s">
        <v>61</v>
      </c>
      <c r="K2" s="14" t="s">
        <v>74</v>
      </c>
      <c r="L2" s="14" t="s">
        <v>62</v>
      </c>
      <c r="M2" s="14" t="s">
        <v>13</v>
      </c>
      <c r="N2" s="14" t="s">
        <v>68</v>
      </c>
      <c r="O2" s="14" t="s">
        <v>69</v>
      </c>
      <c r="P2" s="14" t="s">
        <v>66</v>
      </c>
      <c r="Q2" s="14" t="s">
        <v>6</v>
      </c>
      <c r="R2" s="14" t="s">
        <v>63</v>
      </c>
      <c r="S2" s="14" t="s">
        <v>67</v>
      </c>
      <c r="T2" s="14" t="s">
        <v>71</v>
      </c>
      <c r="U2" s="14" t="s">
        <v>72</v>
      </c>
      <c r="V2" s="14" t="s">
        <v>73</v>
      </c>
      <c r="W2" s="15" t="s">
        <v>269</v>
      </c>
      <c r="X2" s="14" t="s">
        <v>7</v>
      </c>
      <c r="Y2" s="14" t="s">
        <v>70</v>
      </c>
      <c r="Z2" s="14" t="s">
        <v>8</v>
      </c>
      <c r="AA2" s="14" t="s">
        <v>2</v>
      </c>
      <c r="AB2" s="14" t="s">
        <v>10</v>
      </c>
      <c r="AC2" s="14" t="s">
        <v>75</v>
      </c>
      <c r="AD2" s="14" t="s">
        <v>11</v>
      </c>
      <c r="AE2" s="14" t="s">
        <v>12</v>
      </c>
      <c r="AF2" s="14" t="s">
        <v>15</v>
      </c>
      <c r="AG2" s="14" t="s">
        <v>64</v>
      </c>
      <c r="AH2" s="14" t="s">
        <v>65</v>
      </c>
      <c r="AI2" s="14" t="s">
        <v>14</v>
      </c>
      <c r="AJ2" s="15"/>
      <c r="AK2" s="15" t="s">
        <v>270</v>
      </c>
      <c r="AL2" s="14" t="s">
        <v>16</v>
      </c>
      <c r="AM2" s="16" t="s">
        <v>51</v>
      </c>
      <c r="AN2" s="13" t="s">
        <v>18</v>
      </c>
      <c r="AO2" s="13" t="s">
        <v>17</v>
      </c>
      <c r="AP2" s="13" t="s">
        <v>19</v>
      </c>
      <c r="AQ2" s="13" t="s">
        <v>20</v>
      </c>
      <c r="AR2" s="16" t="s">
        <v>21</v>
      </c>
      <c r="AS2" s="16" t="s">
        <v>22</v>
      </c>
      <c r="AT2" s="16" t="s">
        <v>23</v>
      </c>
      <c r="AU2" s="16" t="s">
        <v>24</v>
      </c>
      <c r="AV2" s="16" t="s">
        <v>25</v>
      </c>
      <c r="AW2" s="16" t="s">
        <v>26</v>
      </c>
      <c r="AX2" s="16" t="s">
        <v>27</v>
      </c>
      <c r="AY2" s="17" t="s">
        <v>84</v>
      </c>
      <c r="AZ2" s="83" t="s">
        <v>28</v>
      </c>
      <c r="BA2" s="83" t="s">
        <v>29</v>
      </c>
      <c r="BB2" s="16" t="s">
        <v>30</v>
      </c>
      <c r="BC2" s="13" t="s">
        <v>31</v>
      </c>
      <c r="BD2" s="16" t="s">
        <v>238</v>
      </c>
      <c r="BE2" s="18" t="s">
        <v>33</v>
      </c>
      <c r="BF2" s="19" t="s">
        <v>54</v>
      </c>
      <c r="BG2" s="16" t="s">
        <v>35</v>
      </c>
      <c r="BH2" s="13" t="s">
        <v>33</v>
      </c>
      <c r="BI2" s="19" t="s">
        <v>36</v>
      </c>
      <c r="BJ2" s="16" t="s">
        <v>35</v>
      </c>
      <c r="BK2" s="13" t="s">
        <v>33</v>
      </c>
      <c r="BL2" s="19" t="s">
        <v>36</v>
      </c>
      <c r="BM2" s="16" t="s">
        <v>35</v>
      </c>
      <c r="BN2" s="13" t="s">
        <v>33</v>
      </c>
      <c r="BO2" s="19" t="s">
        <v>36</v>
      </c>
      <c r="BP2" s="16" t="s">
        <v>35</v>
      </c>
      <c r="BQ2" s="13" t="s">
        <v>33</v>
      </c>
      <c r="BR2" s="19" t="s">
        <v>36</v>
      </c>
      <c r="BS2" s="16" t="s">
        <v>35</v>
      </c>
      <c r="BT2" s="18" t="s">
        <v>33</v>
      </c>
      <c r="BU2" s="13" t="s">
        <v>36</v>
      </c>
      <c r="BV2" s="16" t="s">
        <v>35</v>
      </c>
      <c r="BW2" s="18" t="s">
        <v>33</v>
      </c>
      <c r="BX2" s="13" t="s">
        <v>36</v>
      </c>
      <c r="BY2" s="16" t="s">
        <v>35</v>
      </c>
      <c r="BZ2" s="13" t="s">
        <v>33</v>
      </c>
      <c r="CA2" s="19" t="s">
        <v>36</v>
      </c>
      <c r="CB2" s="16" t="s">
        <v>35</v>
      </c>
      <c r="CC2" s="13" t="s">
        <v>33</v>
      </c>
      <c r="CD2" s="19" t="s">
        <v>36</v>
      </c>
      <c r="CE2" s="16" t="s">
        <v>35</v>
      </c>
      <c r="CF2" s="18" t="s">
        <v>33</v>
      </c>
      <c r="CG2" s="13" t="s">
        <v>36</v>
      </c>
      <c r="CH2" s="16" t="s">
        <v>35</v>
      </c>
      <c r="CI2" s="13" t="s">
        <v>33</v>
      </c>
      <c r="CJ2" s="19" t="s">
        <v>36</v>
      </c>
      <c r="CK2" s="16" t="s">
        <v>35</v>
      </c>
      <c r="CL2" s="13" t="s">
        <v>33</v>
      </c>
      <c r="CM2" s="13" t="s">
        <v>36</v>
      </c>
      <c r="CN2" s="16" t="s">
        <v>35</v>
      </c>
      <c r="CO2" s="18" t="s">
        <v>33</v>
      </c>
      <c r="CP2" s="19" t="s">
        <v>36</v>
      </c>
      <c r="CQ2" s="16" t="s">
        <v>35</v>
      </c>
      <c r="CR2" s="20" t="s">
        <v>33</v>
      </c>
      <c r="CS2" s="13" t="s">
        <v>36</v>
      </c>
      <c r="CT2" s="16" t="s">
        <v>35</v>
      </c>
      <c r="CU2" s="13" t="s">
        <v>33</v>
      </c>
      <c r="CV2" s="21" t="s">
        <v>36</v>
      </c>
      <c r="CW2" s="16" t="s">
        <v>35</v>
      </c>
      <c r="CX2" s="13" t="s">
        <v>33</v>
      </c>
      <c r="CY2" s="21" t="s">
        <v>36</v>
      </c>
      <c r="CZ2" s="16" t="s">
        <v>35</v>
      </c>
      <c r="DA2" s="13" t="s">
        <v>33</v>
      </c>
      <c r="DB2" s="21" t="s">
        <v>36</v>
      </c>
      <c r="DC2" s="16" t="s">
        <v>35</v>
      </c>
      <c r="DD2" s="13" t="s">
        <v>33</v>
      </c>
      <c r="DE2" s="21" t="s">
        <v>36</v>
      </c>
      <c r="DF2" s="16" t="s">
        <v>35</v>
      </c>
      <c r="DG2" s="13" t="s">
        <v>33</v>
      </c>
      <c r="DH2" s="13" t="s">
        <v>34</v>
      </c>
      <c r="DI2" s="16" t="s">
        <v>37</v>
      </c>
      <c r="DJ2" s="13" t="s">
        <v>33</v>
      </c>
      <c r="DK2" s="13" t="s">
        <v>34</v>
      </c>
      <c r="DL2" s="16" t="s">
        <v>37</v>
      </c>
      <c r="DM2" s="13" t="s">
        <v>33</v>
      </c>
      <c r="DN2" s="13" t="s">
        <v>34</v>
      </c>
      <c r="DO2" s="16" t="s">
        <v>37</v>
      </c>
      <c r="DP2" s="13" t="s">
        <v>33</v>
      </c>
      <c r="DQ2" s="13" t="s">
        <v>34</v>
      </c>
      <c r="DR2" s="16" t="s">
        <v>37</v>
      </c>
      <c r="DS2" s="13" t="s">
        <v>33</v>
      </c>
      <c r="DT2" s="13" t="s">
        <v>34</v>
      </c>
      <c r="DU2" s="16" t="s">
        <v>37</v>
      </c>
      <c r="DV2" s="13" t="s">
        <v>33</v>
      </c>
      <c r="DW2" s="13" t="s">
        <v>34</v>
      </c>
      <c r="DX2" s="16" t="s">
        <v>37</v>
      </c>
      <c r="DY2" s="13" t="s">
        <v>33</v>
      </c>
      <c r="DZ2" s="13" t="s">
        <v>34</v>
      </c>
      <c r="EA2" s="16" t="s">
        <v>35</v>
      </c>
      <c r="EB2" s="13" t="s">
        <v>33</v>
      </c>
      <c r="EC2" s="13" t="s">
        <v>34</v>
      </c>
      <c r="ED2" s="16" t="s">
        <v>35</v>
      </c>
      <c r="EE2" s="13" t="s">
        <v>33</v>
      </c>
      <c r="EF2" s="13" t="s">
        <v>34</v>
      </c>
      <c r="EG2" s="16" t="s">
        <v>35</v>
      </c>
      <c r="EH2" s="13" t="s">
        <v>33</v>
      </c>
      <c r="EI2" s="13" t="s">
        <v>34</v>
      </c>
      <c r="EJ2" s="16" t="s">
        <v>35</v>
      </c>
      <c r="EK2" s="13" t="s">
        <v>33</v>
      </c>
      <c r="EL2" s="13" t="s">
        <v>34</v>
      </c>
      <c r="EM2" s="16" t="s">
        <v>35</v>
      </c>
      <c r="EN2" s="13" t="s">
        <v>33</v>
      </c>
      <c r="EO2" s="13" t="s">
        <v>34</v>
      </c>
      <c r="EP2" s="16" t="s">
        <v>37</v>
      </c>
      <c r="EQ2" s="13" t="s">
        <v>306</v>
      </c>
      <c r="ER2" s="16" t="s">
        <v>37</v>
      </c>
      <c r="ES2" s="13" t="s">
        <v>39</v>
      </c>
      <c r="ET2" s="22" t="s">
        <v>86</v>
      </c>
      <c r="EU2" s="13" t="s">
        <v>40</v>
      </c>
      <c r="EV2" s="23" t="s">
        <v>41</v>
      </c>
      <c r="EW2" s="16" t="s">
        <v>50</v>
      </c>
      <c r="EX2" s="24" t="s">
        <v>59</v>
      </c>
      <c r="EY2" s="16" t="s">
        <v>42</v>
      </c>
      <c r="EZ2" s="23" t="s">
        <v>266</v>
      </c>
      <c r="FA2" s="24" t="s">
        <v>43</v>
      </c>
      <c r="FB2" s="24" t="s">
        <v>35</v>
      </c>
      <c r="FC2" s="23" t="s">
        <v>266</v>
      </c>
      <c r="FD2" s="24" t="s">
        <v>43</v>
      </c>
      <c r="FE2" s="24" t="s">
        <v>35</v>
      </c>
      <c r="FF2" s="22" t="s">
        <v>44</v>
      </c>
      <c r="FG2" s="138" t="s">
        <v>286</v>
      </c>
      <c r="FH2" s="139" t="s">
        <v>287</v>
      </c>
      <c r="FI2" s="139" t="s">
        <v>288</v>
      </c>
      <c r="FJ2" s="139" t="s">
        <v>289</v>
      </c>
      <c r="FK2" s="139" t="s">
        <v>290</v>
      </c>
      <c r="FL2" s="139" t="s">
        <v>301</v>
      </c>
      <c r="FM2" s="139" t="s">
        <v>291</v>
      </c>
      <c r="FN2" s="139" t="s">
        <v>292</v>
      </c>
      <c r="FO2" s="139" t="s">
        <v>293</v>
      </c>
      <c r="FP2" s="139" t="s">
        <v>302</v>
      </c>
      <c r="FQ2" s="139" t="s">
        <v>294</v>
      </c>
      <c r="FR2" s="139" t="s">
        <v>295</v>
      </c>
      <c r="FS2" s="139" t="s">
        <v>296</v>
      </c>
      <c r="FT2" s="139" t="s">
        <v>297</v>
      </c>
      <c r="FU2" s="139" t="s">
        <v>298</v>
      </c>
      <c r="FV2" s="139" t="s">
        <v>299</v>
      </c>
      <c r="FW2" s="140" t="s">
        <v>300</v>
      </c>
      <c r="FX2" s="141" t="s">
        <v>276</v>
      </c>
      <c r="FY2" s="142" t="s">
        <v>277</v>
      </c>
      <c r="FZ2" s="142" t="s">
        <v>278</v>
      </c>
      <c r="GA2" s="142" t="s">
        <v>279</v>
      </c>
      <c r="GB2" s="142" t="s">
        <v>280</v>
      </c>
      <c r="GC2" s="142" t="s">
        <v>281</v>
      </c>
      <c r="GD2" s="142" t="s">
        <v>282</v>
      </c>
      <c r="GE2" s="142" t="s">
        <v>283</v>
      </c>
      <c r="GF2" s="142" t="s">
        <v>284</v>
      </c>
      <c r="GG2" s="143" t="s">
        <v>285</v>
      </c>
    </row>
    <row r="3" spans="1:189">
      <c r="A3" s="29" t="s">
        <v>339</v>
      </c>
      <c r="B3" s="30" t="s">
        <v>340</v>
      </c>
      <c r="C3" s="203" t="s">
        <v>341</v>
      </c>
      <c r="D3" s="31" t="s">
        <v>342</v>
      </c>
      <c r="E3" s="3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3"/>
      <c r="V3" s="34"/>
      <c r="W3" s="33"/>
      <c r="X3" s="33"/>
      <c r="Y3" s="33"/>
      <c r="Z3" s="33"/>
      <c r="AA3" s="34"/>
      <c r="AB3" s="33"/>
      <c r="AC3" s="35"/>
      <c r="AD3" s="33"/>
      <c r="AE3" s="33"/>
      <c r="AF3" s="33"/>
      <c r="AG3" s="33"/>
      <c r="AH3" s="33"/>
      <c r="AI3" s="33"/>
      <c r="AJ3" s="33"/>
      <c r="AK3" s="33"/>
      <c r="AL3" s="36"/>
      <c r="AM3" s="205" t="s">
        <v>343</v>
      </c>
      <c r="AN3" s="38" t="s">
        <v>350</v>
      </c>
      <c r="AO3" s="39" t="s">
        <v>351</v>
      </c>
      <c r="AP3" s="40">
        <v>42917</v>
      </c>
      <c r="AQ3" s="41">
        <v>43039</v>
      </c>
      <c r="AR3" s="64" t="s">
        <v>352</v>
      </c>
      <c r="AS3" s="65" t="s">
        <v>352</v>
      </c>
      <c r="AT3" s="42"/>
      <c r="AU3" s="42" t="s">
        <v>353</v>
      </c>
      <c r="AV3" s="42">
        <v>20</v>
      </c>
      <c r="AW3" s="42">
        <v>10000</v>
      </c>
      <c r="AX3" s="66" t="s">
        <v>354</v>
      </c>
      <c r="AY3" s="67" t="s">
        <v>355</v>
      </c>
      <c r="AZ3" s="68" t="s">
        <v>355</v>
      </c>
      <c r="BA3" s="69" t="s">
        <v>342</v>
      </c>
      <c r="BB3" s="43" t="s">
        <v>343</v>
      </c>
      <c r="BC3" s="44" t="s">
        <v>228</v>
      </c>
      <c r="BD3" s="25" t="str">
        <f>IF(BC3="Oi Total Fixo +  TV 1","CFG-2Plowpi",IF(BC3="Oi Total Fixo +  TV 2","PCS-2PMepi",IF(BC3="Oi Total Fixo +  TV 3","PCS-2PHipi","")))</f>
        <v>CFG-2Plowpi</v>
      </c>
      <c r="BE3" s="57">
        <v>60</v>
      </c>
      <c r="BF3" s="3">
        <f>IF(BE3=0,"",IF(BE3=VLOOKUP("FIXO",ARBOR!$A:$C,3,0),0.0001,IF(BE3&gt;VLOOKUP("FIXO",ARBOR!$A:$C,3,0),"Maior que CAP!",IF((DOLLAR(BE3+(VLOOKUP("FIXO",ARBOR!$A:$C,3,0)*-TRUNC(BE3/VLOOKUP("FIXO",ARBOR!$A:$C,3,0)-1,4)),6))&lt;&gt;(DOLLAR(VLOOKUP("FIXO",ARBOR!$A:$C,3,0),6)),-TRUNC(BE3/VLOOKUP("FIXO",ARBOR!$A:$C,3,0)-1,4)+0.0001,-TRUNC(BE3/VLOOKUP("FIXO",ARBOR!$A:$C,3,0)-1,4)))))</f>
        <v>0.2089</v>
      </c>
      <c r="BG3" s="9" t="str">
        <f>IF(ISERROR(IF(BF3="","",VLOOKUP(($BC3&amp;BF3&amp;"Template de desconto FLAT bundle - Fixo - Varejo - Ganho Tributário Cross"),BENEFICIOS!$A:$G,5,0))),"Criar",IF(BF3="","",VLOOKUP(($BC3&amp;BF3&amp;"Template de desconto FLAT bundle - Fixo - Varejo - Ganho Tributário Cross"),BENEFICIOS!$A:$G,5,0)))</f>
        <v>Criar</v>
      </c>
      <c r="BH3" s="6">
        <v>74.900000000000006</v>
      </c>
      <c r="BI3" s="3">
        <f>IF(BH3=0,"",IF(BH3=VLOOKUP("PCS-OzTL40",ARBOR!$A:$C,3,0),0.0001,IF(BH3&gt;VLOOKUP("PCS-OzTL40",ARBOR!$A:$C,3,0),"Maior que CAP!",IF((DOLLAR(BH3+(VLOOKUP("PCS-OzTL40",ARBOR!$A:$C,3,0)*-TRUNC(BH3/VLOOKUP("PCS-OzTL40",ARBOR!$A:$C,3,0)-1,4)),6))&lt;&gt;(DOLLAR(VLOOKUP("PCS-OzTL40",ARBOR!$A:$C,3,0),6)),-TRUNC(BH3/VLOOKUP("PCS-OzTL40",ARBOR!$A:$C,3,0)-1,4)+0.0001,-TRUNC(BH3/VLOOKUP("PCS-OzTL40",ARBOR!$A:$C,3,0)-1,4)))))</f>
        <v>0.24349999999999999</v>
      </c>
      <c r="BJ3" s="9" t="str">
        <f>IF(ISERROR(IF(BI3="","",VLOOKUP((BC3&amp;BI3&amp;"Template desconto FLAT Plano Principal Oi TV nível conta"),BENEFICIOS!$A:$G,5,0))),"Criar",IF(BI3="","",VLOOKUP((BC3&amp;BI3&amp;"Template desconto FLAT Plano Principal Oi TV nível conta"),BENEFICIOS!$A:$G,5,0)))</f>
        <v>Criar</v>
      </c>
      <c r="BK3" s="6"/>
      <c r="BL3" s="3" t="str">
        <f>IF(BK3=0,"",IF(BK3=VLOOKUP("PCS-OzTL41",ARBOR!$A:$C,3,0),0.0001,IF(BK3&gt;VLOOKUP("PCS-OzTL41",ARBOR!$A:$C,3,0),"Maior que CAP!",IF((DOLLAR(BK3+(VLOOKUP("PCS-OzTL41",ARBOR!$A:$C,3,0)*-TRUNC(BK3/VLOOKUP("PCS-OzTL41",ARBOR!$A:$C,3,0)-1,4)),6))&lt;&gt;(DOLLAR(VLOOKUP("PCS-OzTL41",ARBOR!$A:$C,3,0),6)),-TRUNC(BK3/VLOOKUP("PCS-OzTL41",ARBOR!$A:$C,3,0)-1,4)+0.0001,-TRUNC(BK3/VLOOKUP("PCS-OzTL41",ARBOR!$A:$C,3,0)-1,4)))))</f>
        <v/>
      </c>
      <c r="BM3" s="26" t="str">
        <f>IF(ISERROR(IF(BL3="","",VLOOKUP((BC3&amp;BL3&amp;"Template desconto FLAT Plano Principal Oi TV nível conta"),BENEFICIOS!$A:$G,5,0))),"Criar",IF(BL3="","",VLOOKUP((BC3&amp;BL3&amp;"Template desconto FLAT Plano Principal Oi TV nível conta"),BENEFICIOS!$A:$G,5,0)))</f>
        <v/>
      </c>
      <c r="BN3" s="6"/>
      <c r="BO3" s="3" t="str">
        <f>IF(BN3=0,"",IF(BN3=VLOOKUP("PCS-OzTL44",ARBOR!$A:$C,3,0),0.0001,IF(BN3&gt;VLOOKUP("PCS-OzTL44",ARBOR!$A:$C,3,0),"Maior que CAP!",IF((DOLLAR(BN3+(VLOOKUP("PCS-OzTL44",ARBOR!$A:$C,3,0)*-TRUNC(BN3/VLOOKUP("PCS-OzTL44",ARBOR!$A:$C,3,0)-1,4)),6))&lt;&gt;(DOLLAR(VLOOKUP("PCS-OzTL44",ARBOR!$A:$C,3,0),6)),-TRUNC(BN3/VLOOKUP("PCS-OzTL44",ARBOR!$A:$C,3,0)-1,4)+0.0001,-TRUNC(BN3/VLOOKUP("PCS-OzTL44",ARBOR!$A:$C,3,0)-1,4)))))</f>
        <v/>
      </c>
      <c r="BP3" s="26" t="str">
        <f>IF(ISERROR(IF(BO3="","",VLOOKUP((BC3&amp;BO3&amp;"Template desconto FLAT Plano Principal Oi TV nível conta"),BENEFICIOS!$A:$G,5,0))),"Criar",IF(BO3="","",VLOOKUP((BC3&amp;BO3&amp;"Template desconto FLAT Plano Principal Oi TV nível conta"),BENEFICIOS!$A:$G,5,0)))</f>
        <v/>
      </c>
      <c r="BQ3" s="8"/>
      <c r="BR3" s="3" t="str">
        <f>IF(BQ3=0,"",IF(BQ3=VLOOKUP("PCS-OzTL43",ARBOR!$A:$C,3,0),0.0001,IF(BQ3&gt;VLOOKUP("PCS-OzTL43",ARBOR!$A:$C,3,0),"Maior que CAP!",IF((DOLLAR(BQ3+(VLOOKUP("PCS-OzTL43",ARBOR!$A:$C,3,0)*-TRUNC(BQ3/VLOOKUP("PCS-OzTL43",ARBOR!$A:$C,3,0)-1,4)),6))&lt;&gt;(DOLLAR(VLOOKUP("PCS-OzTL43",ARBOR!$A:$C,3,0),6)),-TRUNC(BQ3/VLOOKUP("PCS-OzTL43",ARBOR!$A:$C,3,0)-1,4)+0.0001,-TRUNC(BQ3/VLOOKUP("PCS-OzTL43",ARBOR!$A:$C,3,0)-1,4)))))</f>
        <v/>
      </c>
      <c r="BS3" s="26" t="str">
        <f>IF(ISERROR(IF(BR3="","",VLOOKUP((BC3&amp;BR3&amp;"Template desconto FLAT Plano Principal Oi TV nível conta"),BENEFICIOS!$A:$G,5,0))),"Criar",IF(BR3="","",VLOOKUP((BC3&amp;BR3&amp;"Template desconto FLAT Plano Principal Oi TV nível conta"),BENEFICIOS!$A:$G,5,0)))</f>
        <v/>
      </c>
      <c r="BT3" s="8"/>
      <c r="BU3" s="3" t="str">
        <f>IF(BT3=0,"",IF(BT3=VLOOKUP("PCS-OzTL45",ARBOR!$A:$C,3,0),0.0001,IF(BT3&gt;VLOOKUP("PCS-OzTL45",ARBOR!$A:$C,3,0),"Maior que CAP!",IF((DOLLAR(BT3+(VLOOKUP("PCS-OzTL45",ARBOR!$A:$C,3,0)*-TRUNC(BT3/VLOOKUP("PCS-OzTL45",ARBOR!$A:$C,3,0)-1,4)),6))&lt;&gt;(DOLLAR(VLOOKUP("PCS-OzTL45",ARBOR!$A:$C,3,0),6)),-TRUNC(BT3/VLOOKUP("PCS-OzTL45",ARBOR!$A:$C,3,0)-1,4)+0.0001,-TRUNC(BT3/VLOOKUP("PCS-OzTL45",ARBOR!$A:$C,3,0)-1,4)))))</f>
        <v/>
      </c>
      <c r="BV3" s="26" t="str">
        <f>IF(ISERROR(IF(BU3="","",VLOOKUP((BC3&amp;BU3&amp;"Template desconto FLAT Plano Principal Oi TV nível conta"),BENEFICIOS!$A:$G,5,0))),"Criar",IF(BU3="","",VLOOKUP((BC3&amp;BU3&amp;"Template desconto FLAT Plano Principal Oi TV nível conta"),BENEFICIOS!$A:$G,5,0)))</f>
        <v/>
      </c>
      <c r="BW3" s="8"/>
      <c r="BX3" s="3" t="str">
        <f>IF(BW3=0,"",IF(BW3=VLOOKUP("PCS-OzTL741",ARBOR!$A:$C,3,0),0.0001,IF(BW3&gt;VLOOKUP("PCS-OzTL741",ARBOR!$A:$C,3,0),"Maior que CAP!",IF((DOLLAR(BW3+(VLOOKUP("PCS-OzTL741",ARBOR!$A:$C,3,0)*-TRUNC(BW3/VLOOKUP("PCS-OzTL741",ARBOR!$A:$C,3,0)-1,4)),6))&lt;&gt;(DOLLAR(VLOOKUP("PCS-OzTL741",ARBOR!$A:$C,3,0),6)),-TRUNC(BW3/VLOOKUP("PCS-OzTL741",ARBOR!$A:$C,3,0)-1,4)+0.0001,-TRUNC(BW3/VLOOKUP("PCS-OzTL741",ARBOR!$A:$C,3,0)-1,4)))))</f>
        <v/>
      </c>
      <c r="BY3" s="26" t="str">
        <f>IF(ISERROR(IF(BX3="","",VLOOKUP((BC3&amp;BX3&amp;"Template desconto FLAT Plano Principal Oi TV nível conta"),BENEFICIOS!$A:$G,5,0))),"Criar",IF(BX3="","",VLOOKUP((BC3&amp;BX3&amp;"Template desconto FLAT Plano Principal Oi TV nível conta"),BENEFICIOS!$A:$G,5,0)))</f>
        <v/>
      </c>
      <c r="BZ3" s="8"/>
      <c r="CA3" s="3" t="str">
        <f>IF(BZ3=0,"",IF(BZ3=VLOOKUP("PCS-OzTL744",ARBOR!$A:$C,3,0),0.0001,IF(BZ3&gt;VLOOKUP("PCS-OzTL744",ARBOR!$A:$C,3,0),"Maior que CAP!",IF((DOLLAR(BZ3+(VLOOKUP("PCS-OzTL744",ARBOR!$A:$C,3,0)*-TRUNC(BZ3/VLOOKUP("PCS-OzTL744",ARBOR!$A:$C,3,0)-1,4)),6))&lt;&gt;(DOLLAR(VLOOKUP("PCS-OzTL744",ARBOR!$A:$C,3,0),6)),-TRUNC(BZ3/VLOOKUP("PCS-OzTL744",ARBOR!$A:$C,3,0)-1,4)+0.0001,-TRUNC(BZ3/VLOOKUP("PCS-OzTL744",ARBOR!$A:$C,3,0)-1,4)))))</f>
        <v/>
      </c>
      <c r="CB3" s="26" t="str">
        <f>IF(ISERROR(IF(CA3="","",VLOOKUP(($BC3&amp;CA3&amp;"Template desconto FLAT Plano Principal Oi TV nível conta"),BENEFICIOS!$A:$G,5,0))),"Criar",IF(CA3="","",VLOOKUP(($BC3&amp;CA3&amp;"Template desconto FLAT Plano Principal Oi TV nível conta"),BENEFICIOS!$A:$G,5,0)))</f>
        <v/>
      </c>
      <c r="CC3" s="8"/>
      <c r="CD3" s="3" t="str">
        <f>IF(CC3=0,"",IF(CC3=VLOOKUP("PCS-OzTL743",ARBOR!$A:$C,3,0),0.0001,IF(CC3&gt;VLOOKUP("PCS-OzTL743",ARBOR!$A:$C,3,0),"Maior que CAP!",IF((DOLLAR(CC3+(VLOOKUP("PCS-OzTL743",ARBOR!$A:$C,3,0)*-TRUNC(CC3/VLOOKUP("PCS-OzTL743",ARBOR!$A:$C,3,0)-1,4)),6))&lt;&gt;(DOLLAR(VLOOKUP("PCS-OzTL743",ARBOR!$A:$C,3,0),6)),-TRUNC(CC3/VLOOKUP("PCS-OzTL743",ARBOR!$A:$C,3,0)-1,4)+0.0001,-TRUNC(CC3/VLOOKUP("PCS-OzTL743",ARBOR!$A:$C,3,0)-1,4)))))</f>
        <v/>
      </c>
      <c r="CE3" s="26" t="str">
        <f>IF(ISERROR(IF(CD3="","",VLOOKUP(($BC3&amp;CD3&amp;"Template desconto FLAT Plano Principal Oi TV nível conta"),BENEFICIOS!$A:$G,5,0))),"Criar",IF(CD3="","",VLOOKUP(($BC3&amp;CD3&amp;"Template desconto FLAT Plano Principal Oi TV nível conta"),BENEFICIOS!$A:$G,5,0)))</f>
        <v/>
      </c>
      <c r="CF3" s="8"/>
      <c r="CG3" s="3" t="str">
        <f>IF(CF3=0,"",IF(CF3=VLOOKUP("PCS-OzTL745",ARBOR!$A:$C,3,0),0.0001,IF(CF3&gt;VLOOKUP("PCS-OzTL745",ARBOR!$A:$C,3,0),"Maior que CAP!",IF((DOLLAR(CF3+(VLOOKUP("PCS-OzTL745",ARBOR!$A:$C,3,0)*-TRUNC(CF3/VLOOKUP("PCS-OzTL745",ARBOR!$A:$C,3,0)-1,4)),6))&lt;&gt;(DOLLAR(VLOOKUP("PCS-OzTL745",ARBOR!$A:$C,3,0),6)),-TRUNC(CF3/VLOOKUP("PCS-OzTL745",ARBOR!$A:$C,3,0)-1,4)+0.0001,-TRUNC(CF3/VLOOKUP("PCS-OzTL745",ARBOR!$A:$C,3,0)-1,4)))))</f>
        <v/>
      </c>
      <c r="CH3" s="26" t="str">
        <f>IF(ISERROR(IF(CG3="","",VLOOKUP(($BC3&amp;CG3&amp;"Template desconto FLAT Plano Principal Oi TV nível conta"),BENEFICIOS!$A:$G,5,0))),"Criar",IF(CG3="","",VLOOKUP(($BC3&amp;CG3&amp;"Template desconto FLAT Plano Principal Oi TV nível conta"),BENEFICIOS!$A:$G,5,0)))</f>
        <v/>
      </c>
      <c r="CI3" s="8"/>
      <c r="CJ3" s="3" t="str">
        <f>IF(CI3=0,"",IF(CI3=VLOOKUP("PCS-OzTL42",ARBOR!$A:$C,3,0),0.0001,IF(CI3&gt;VLOOKUP("PCS-OzTL42",ARBOR!$A:$C,3,0),"Maior que CAP!",IF((DOLLAR(CI3+(VLOOKUP("PCS-OzTL42",ARBOR!$A:$C,3,0)*-TRUNC(CI3/VLOOKUP("PCS-OzTL42",ARBOR!$A:$C,3,0)-1,4)),6))&lt;&gt;(DOLLAR(VLOOKUP("PCS-OzTL42",ARBOR!$A:$C,3,0),6)),-TRUNC(CI3/VLOOKUP("PCS-OzTL42",ARBOR!$A:$C,3,0)-1,4)+0.0001,-TRUNC(CI3/VLOOKUP("PCS-OzTL42",ARBOR!$A:$C,3,0)-1,4)))))</f>
        <v/>
      </c>
      <c r="CK3" s="26" t="str">
        <f>IF(ISERROR(IF(CJ3="","",VLOOKUP(($BC3&amp;CJ3&amp;"Template desconto FLAT Plano Principal Oi TV nível conta"),BENEFICIOS!$A:$G,5,0))),"Criar",IF(CJ3="","",VLOOKUP(($BC3&amp;CJ3&amp;"Template desconto FLAT Plano Principal Oi TV nível conta"),BENEFICIOS!$A:$G,5,0)))</f>
        <v/>
      </c>
      <c r="CL3" s="8"/>
      <c r="CM3" s="3" t="str">
        <f>IF(CL3=0,"",IF(CL3=VLOOKUP("PCS-OzTL47",ARBOR!$A:$C,3,0),0.0001,IF(CL3&gt;VLOOKUP("PCS-OzTL47",ARBOR!$A:$C,3,0),"Maior que CAP!",IF((DOLLAR(CL3+(VLOOKUP("PCS-OzTL47",ARBOR!$A:$C,3,0)*-TRUNC(CL3/VLOOKUP("PCS-OzTL47",ARBOR!$A:$C,3,0)-1,4)),6))&lt;&gt;(DOLLAR(VLOOKUP("PCS-OzTL47",ARBOR!$A:$C,3,0),6)),-TRUNC(CL3/VLOOKUP("PCS-OzTL47",ARBOR!$A:$C,3,0)-1,4)+0.0001,-TRUNC(CL3/VLOOKUP("PCS-OzTL47",ARBOR!$A:$C,3,0)-1,4)))))</f>
        <v/>
      </c>
      <c r="CN3" s="26" t="str">
        <f>IF(ISERROR(IF(CM3="","",VLOOKUP(($BC3&amp;CM3&amp;"Template desconto FLAT Plano Principal Oi TV nível conta"),BENEFICIOS!$A:$G,5,0))),"Criar",IF(CM3="","",VLOOKUP(($BC3&amp;CM3&amp;"Template desconto FLAT Plano Principal Oi TV nível conta"),BENEFICIOS!$A:$G,5,0)))</f>
        <v/>
      </c>
      <c r="CO3" s="8"/>
      <c r="CP3" s="3" t="str">
        <f>IF(CO3=0,"",IF(CO3=VLOOKUP("PCS-OzTL46",ARBOR!$A:$C,3,0),0.0001,IF(CO3&gt;VLOOKUP("PCS-OzTL46",ARBOR!$A:$C,3,0),"Maior que CAP!",IF((DOLLAR(CO3+(VLOOKUP("PCS-OzTL46",ARBOR!$A:$C,3,0)*-TRUNC(CO3/VLOOKUP("PCS-OzTL46",ARBOR!$A:$C,3,0)-1,4)),6))&lt;&gt;(DOLLAR(VLOOKUP("PCS-OzTL46",ARBOR!$A:$C,3,0),6)),-TRUNC(CO3/VLOOKUP("PCS-OzTL46",ARBOR!$A:$C,3,0)-1,4)+0.0001,-TRUNC(CO3/VLOOKUP("PCS-OzTL46",ARBOR!$A:$C,3,0)-1,4)))))</f>
        <v/>
      </c>
      <c r="CQ3" s="26" t="str">
        <f>IF(ISERROR(IF(CP3="","",VLOOKUP(($BC3&amp;CP3&amp;"Template desconto FLAT Plano Principal Oi TV nível conta"),BENEFICIOS!$A:$G,5,0))),"Criar",IF(CP3="","",VLOOKUP(($BC3&amp;CP3&amp;"Template desconto FLAT Plano Principal Oi TV nível conta"),BENEFICIOS!$A:$G,5,0)))</f>
        <v/>
      </c>
      <c r="CR3" s="8"/>
      <c r="CS3" s="3" t="str">
        <f>IF(CR3=0,"",IF(CR3=VLOOKUP("PCS-OzTL48",ARBOR!$A:$C,3,0),0.0001,IF(CR3&gt;VLOOKUP("PCS-OzTL48",ARBOR!$A:$C,3,0),"Maior que CAP!",IF((DOLLAR(CR3+(VLOOKUP("PCS-OzTL48",ARBOR!$A:$C,3,0)*-TRUNC(CR3/VLOOKUP("PCS-OzTL48",ARBOR!$A:$C,3,0)-1,4)),6))&lt;&gt;(DOLLAR(VLOOKUP("PCS-OzTL48",ARBOR!$A:$C,3,0),6)),-TRUNC(CR3/VLOOKUP("PCS-OzTL48",ARBOR!$A:$C,3,0)-1,4)+0.0001,-TRUNC(CR3/VLOOKUP("PCS-OzTL48",ARBOR!$A:$C,3,0)-1,4)))))</f>
        <v/>
      </c>
      <c r="CT3" s="26" t="str">
        <f>IF(ISERROR(IF(CS3="","",VLOOKUP(($BC3&amp;CS3&amp;"Template desconto FLAT Plano Principal Oi TV nível conta"),BENEFICIOS!$A:$G,5,0))),"Criar",IF(CS3="","",VLOOKUP(($BC3&amp;CS3&amp;"Template desconto FLAT Plano Principal Oi TV nível conta"),BENEFICIOS!$A:$G,5,0)))</f>
        <v/>
      </c>
      <c r="CU3" s="8"/>
      <c r="CV3" s="3" t="str">
        <f>IF(CU3=0,"",IF(CU3=VLOOKUP("PCS-OzTL742",ARBOR!$A:$C,3,0),0.0001,IF(CU3&gt;VLOOKUP("PCS-OzTL742",ARBOR!$A:$C,3,0),"Maior que CAP!",IF((DOLLAR(CU3+(VLOOKUP("PCS-OzTL742",ARBOR!$A:$C,3,0)*-TRUNC(CU3/VLOOKUP("PCS-OzTL742",ARBOR!$A:$C,3,0)-1,4)),6))&lt;&gt;(DOLLAR(VLOOKUP("PCS-OzTL742",ARBOR!$A:$C,3,0),6)),-TRUNC(CU3/VLOOKUP("PCS-OzTL742",ARBOR!$A:$C,3,0)-1,4)+0.0001,-TRUNC(CU3/VLOOKUP("PCS-OzTL742",ARBOR!$A:$C,3,0)-1,4)))))</f>
        <v/>
      </c>
      <c r="CW3" s="26" t="str">
        <f>IF(ISERROR(IF(CV3="","",VLOOKUP(($BC3&amp;CV3&amp;"Template desconto FLAT Plano Principal Oi TV nível conta"),BENEFICIOS!$A:$G,5,0))),"Criar",IF(CV3="","",VLOOKUP(($BC3&amp;CV3&amp;"Template desconto FLAT Plano Principal Oi TV nível conta"),BENEFICIOS!$A:$G,5,0)))</f>
        <v/>
      </c>
      <c r="CX3" s="8"/>
      <c r="CY3" s="3" t="str">
        <f>IF(CX3=0,"",IF(CX3=VLOOKUP("PCS-OzTL747",ARBOR!$A:$C,3,0),0.0001,IF(CX3&gt;VLOOKUP("PCS-OzTL747",ARBOR!$A:$C,3,0),"Maior que CAP!",IF((DOLLAR(CX3+(VLOOKUP("PCS-OzTL747",ARBOR!$A:$C,3,0)*-TRUNC(CX3/VLOOKUP("PCS-OzTL747",ARBOR!$A:$C,3,0)-1,4)),6))&lt;&gt;(DOLLAR(VLOOKUP("PCS-OzTL747",ARBOR!$A:$C,3,0),6)),-TRUNC(CX3/VLOOKUP("PCS-OzTL747",ARBOR!$A:$C,3,0)-1,4)+0.0001,-TRUNC(CX3/VLOOKUP("PCS-OzTL747",ARBOR!$A:$C,3,0)-1,4)))))</f>
        <v/>
      </c>
      <c r="CZ3" s="26" t="str">
        <f>IF(ISERROR(IF(CY3="","",VLOOKUP(($BC3&amp;CY3&amp;"Template desconto FLAT Plano Principal Oi TV nível conta"),BENEFICIOS!$A:$G,5,0))),"Criar",IF(CY3="","",VLOOKUP(($BC3&amp;CY3&amp;"Template desconto FLAT Plano Principal Oi TV nível conta"),BENEFICIOS!$A:$G,5,0)))</f>
        <v/>
      </c>
      <c r="DA3" s="8"/>
      <c r="DB3" s="3" t="str">
        <f>IF(DA3=0,"",IF(DA3=VLOOKUP("PCS-OzTL746",ARBOR!$A:$C,3,0),0.0001,IF(DA3&gt;VLOOKUP("PCS-OzTL746",ARBOR!$A:$C,3,0),"Maior que CAP!",IF((DOLLAR(DA3+(VLOOKUP("PCS-OzTL746",ARBOR!$A:$C,3,0)*-TRUNC(DA3/VLOOKUP("PCS-OzTL746",ARBOR!$A:$C,3,0)-1,4)),6))&lt;&gt;(DOLLAR(VLOOKUP("PCS-OzTL746",ARBOR!$A:$C,3,0),6)),-TRUNC(DA3/VLOOKUP("PCS-OzTL746",ARBOR!$A:$C,3,0)-1,4)+0.0001,-TRUNC(DA3/VLOOKUP("PCS-OzTL746",ARBOR!$A:$C,3,0)-1,4)))))</f>
        <v/>
      </c>
      <c r="DC3" s="26" t="str">
        <f>IF(ISERROR(IF(DB3="","",VLOOKUP(($BC3&amp;DB3&amp;"Template desconto FLAT Plano Principal Oi TV nível conta"),BENEFICIOS!$A:$G,5,0))),"Criar",IF(DB3="","",VLOOKUP(($BC3&amp;DB3&amp;"Template desconto FLAT Plano Principal Oi TV nível conta"),BENEFICIOS!$A:$G,5,0)))</f>
        <v/>
      </c>
      <c r="DD3" s="8"/>
      <c r="DE3" s="3" t="str">
        <f>IF(DD3=0,"",IF(DD3=VLOOKUP("PCS-OzTL748",ARBOR!$A:$C,3,0),0.0001,IF(DD3&gt;VLOOKUP("PCS-OzTL748",ARBOR!$A:$C,3,0),"Maior que CAP!",IF((DOLLAR(DD3+(VLOOKUP("PCS-OzTL748",ARBOR!$A:$C,3,0)*-TRUNC(DD3/VLOOKUP("PCS-OzTL748",ARBOR!$A:$C,3,0)-1,4)),6))&lt;&gt;(DOLLAR(VLOOKUP("PCS-OzTL748",ARBOR!$A:$C,3,0),6)),-TRUNC(DD3/VLOOKUP("PCS-OzTL748",ARBOR!$A:$C,3,0)-1,4)+0.0001,-TRUNC(DD3/VLOOKUP("PCS-OzTL748",ARBOR!$A:$C,3,0)-1,4)))))</f>
        <v/>
      </c>
      <c r="DF3" s="26" t="str">
        <f>IF(ISERROR(IF(DE3="","",VLOOKUP(($BC3&amp;DE3&amp;"Template desconto FLAT Plano Principal Oi TV nível conta"),BENEFICIOS!$A:$G,5,0))),"Criar",IF(DE3="","",VLOOKUP(($BC3&amp;DE3&amp;"Template desconto FLAT Plano Principal Oi TV nível conta"),BENEFICIOS!$A:$G,5,0)))</f>
        <v/>
      </c>
      <c r="DG3" s="8">
        <v>75</v>
      </c>
      <c r="DH3" s="3">
        <f>IF(DG3=0,"",IF(DG3=VLOOKUP("PCS-OzTL34",ARBOR!$A:$C,3,0),0.0001,IF(DG3&gt;VLOOKUP("PCS-OzTL34",ARBOR!$A:$C,3,0),"Maior que CAP!",IF((DOLLAR(DG3+(VLOOKUP("PCS-OzTL34",ARBOR!$A:$C,3,0)*-TRUNC(DG3/VLOOKUP("PCS-OzTL34",ARBOR!$A:$C,3,0)-1,4)),6))&lt;&gt;(DOLLAR(VLOOKUP("PCS-OzTL34",ARBOR!$A:$C,3,0),6)),-TRUNC(DG3/VLOOKUP("PCS-OzTL34",ARBOR!$A:$C,3,0)-1,4)+0.0001,-TRUNC(DG3/VLOOKUP("PCS-OzTL34",ARBOR!$A:$C,3,0)-1,4)))))</f>
        <v>0.31900000000000001</v>
      </c>
      <c r="DI3" s="26" t="str">
        <f>IF(DH3="S/Desc","S/Desc",IF(ISERROR(IF(DH3="","",VLOOKUP(($BC3&amp;DH3&amp;"Template desconto % Combate nível conta"),BENEFICIOS!$A:$G,5,0))),"Criar",IF(DH3="","",VLOOKUP(($BC3&amp;DH3&amp;"Template desconto % Combate nível conta"),BENEFICIOS!$A:$G,5,0))))</f>
        <v>Criar</v>
      </c>
      <c r="DJ3" s="8">
        <v>19.899999999999999</v>
      </c>
      <c r="DK3" s="3">
        <f>IF(DJ3=0,"",IF(DJ3=VLOOKUP("PCS-OzTL31",ARBOR!$A:$C,3,0),0.0001,IF(DJ3&gt;VLOOKUP("PCS-OzTL31",ARBOR!$A:$C,3,0),"Maior que CAP!",IF((DOLLAR(DJ3+(VLOOKUP("PCS-OzTL31",ARBOR!$A:$C,3,0)*-TRUNC(DJ3/VLOOKUP("PCS-OzTL31",ARBOR!$A:$C,3,0)-1,4)),6))&lt;&gt;(DOLLAR(VLOOKUP("PCS-OzTL31",ARBOR!$A:$C,3,0),6)),-TRUNC(DJ3/VLOOKUP("PCS-OzTL31",ARBOR!$A:$C,3,0)-1,4)+0.0001,-TRUNC(DJ3/VLOOKUP("PCS-OzTL31",ARBOR!$A:$C,3,0)-1,4)))))</f>
        <v>9.1800000000000007E-2</v>
      </c>
      <c r="DL3" s="26" t="str">
        <f>IF(DK3="S/Desc","S/Desc",IF(ISERROR(IF(DK3="","",VLOOKUP(($BC3&amp;DK3&amp;"Template desconto % Sexy Hot nível conta"),BENEFICIOS!$A:$G,5,0))),"Criar",IF(DK3="","",VLOOKUP(($BC3&amp;DK3&amp;"Template desconto % Sexy Hot nível conta"),BENEFICIOS!$A:$G,5,0))))</f>
        <v>Criar</v>
      </c>
      <c r="DM3" s="8">
        <v>19.899999999999999</v>
      </c>
      <c r="DN3" s="3">
        <f>IF(DM3=0,"",IF(DM3=VLOOKUP("PCS-OzTL32",ARBOR!$A:$C,3,0),0.0001,IF(DM3&gt;VLOOKUP("PCS-OzTL32",ARBOR!$A:$C,3,0),"Maior que CAP!",IF((DOLLAR(DM3+(VLOOKUP("PCS-OzTL32",ARBOR!$A:$C,3,0)*-TRUNC(DM3/VLOOKUP("PCS-OzTL32",ARBOR!$A:$C,3,0)-1,4)),6))&lt;&gt;(DOLLAR(VLOOKUP("PCS-OzTL32",ARBOR!$A:$C,3,0),6)),-TRUNC(DM3/VLOOKUP("PCS-OzTL32",ARBOR!$A:$C,3,0)-1,4)+0.0001,-TRUNC(DM3/VLOOKUP("PCS-OzTL32",ARBOR!$A:$C,3,0)-1,4)))))</f>
        <v>9.1800000000000007E-2</v>
      </c>
      <c r="DO3" s="26" t="str">
        <f>IF(DN3="S/Desc","S/Desc",IF(ISERROR(IF(DN3="","",VLOOKUP(($BC3&amp;DN3&amp;"Template desconto % Playboy nível conta"),BENEFICIOS!$A:$G,5,0))),"Criar",IF(DN3="","",VLOOKUP(($BC3&amp;DN3&amp;"Template desconto % Playboy nível conta"),BENEFICIOS!$A:$G,5,0))))</f>
        <v>Criar</v>
      </c>
      <c r="DP3" s="8">
        <v>29.9</v>
      </c>
      <c r="DQ3" s="3">
        <f>IF(DP3=0,"",IF(DP3=VLOOKUP("PCS-OzTL33",ARBOR!$A:$C,3,0),0.0001,IF(DP3&gt;VLOOKUP("PCS-OzTL33",ARBOR!$A:$C,3,0),"Maior que CAP!",IF((DOLLAR(DP3+(VLOOKUP("PCS-OzTL33",ARBOR!$A:$C,3,0)*-TRUNC(DP3/VLOOKUP("PCS-OzTL33",ARBOR!$A:$C,3,0)-1,4)),6))&lt;&gt;(DOLLAR(VLOOKUP("PCS-OzTL33",ARBOR!$A:$C,3,0),6)),-TRUNC(DP3/VLOOKUP("PCS-OzTL33",ARBOR!$A:$C,3,0)-1,4)+0.0001,-TRUNC(DP3/VLOOKUP("PCS-OzTL33",ARBOR!$A:$C,3,0)-1,4)))))</f>
        <v>9.1800000000000007E-2</v>
      </c>
      <c r="DR3" s="26" t="str">
        <f>IF(DQ3="S/Desc","S/Desc",IF(ISERROR(IF(DQ3="","",VLOOKUP(($BC3&amp;DQ3&amp;"Template desconto % Sexy Hot + Playboy nível conta"),BENEFICIOS!$A:$G,5,0))),"Criar",IF(DQ3="","",VLOOKUP(($BC3&amp;DQ3&amp;"Template desconto % Sexy Hot + Playboy nível conta"),BENEFICIOS!$A:$G,5,0))))</f>
        <v>Criar</v>
      </c>
      <c r="DS3" s="8">
        <v>14.9</v>
      </c>
      <c r="DT3" s="3">
        <f>IF(DS3=0,"",IF(DS3=VLOOKUP("PCS-OzTL503",ARBOR!$A:$C,3,0),0.0001,IF(DS3&gt;VLOOKUP("PCS-OzTL503",ARBOR!$A:$C,3,0),"Maior que CAP!",IF((DOLLAR(DS3+(VLOOKUP("PCS-OzTL503",ARBOR!$A:$C,3,0)*-TRUNC(DS3/VLOOKUP("PCS-OzTL503",ARBOR!$A:$C,3,0)-1,4)),6))&lt;&gt;(DOLLAR(VLOOKUP("PCS-OzTL503",ARBOR!$A:$C,3,0),6)),-TRUNC(DS3/VLOOKUP("PCS-OzTL503",ARBOR!$A:$C,3,0)-1,4)+0.0001,-TRUNC(DS3/VLOOKUP("PCS-OzTL503",ARBOR!$A:$C,3,0)-1,4)))))</f>
        <v>9.1499999999999998E-2</v>
      </c>
      <c r="DU3" s="26" t="str">
        <f>IF(DT3="S/Desc","S/Desc",IF(ISERROR(IF(DT3="","",VLOOKUP(($BC3&amp;DT3&amp;"Template desconto % SexPrivê nível conta"),BENEFICIOS!$A:$G,5,0))),"Criar",IF(DT3="","",VLOOKUP(($BC3&amp;DT3&amp;"Template desconto % SexPrivê nível conta"),BENEFICIOS!$A:$G,5,0))))</f>
        <v>Criar</v>
      </c>
      <c r="DV3" s="8">
        <v>10</v>
      </c>
      <c r="DW3" s="3">
        <f>IF(DV3=0,"",IF(DV3=VLOOKUP("PCS-OzTL500",ARBOR!$A:$C,3,0),0.0001,IF(DV3&gt;VLOOKUP("PCS-OzTL500",ARBOR!$A:$C,3,0),"Maior que CAP!",IF((DOLLAR(DV3+(VLOOKUP("PCS-OzTL500",ARBOR!$A:$C,3,0)*-TRUNC(DV3/VLOOKUP("PCS-OzTL500",ARBOR!$A:$C,3,0)-1,4)),6))&lt;&gt;(DOLLAR(VLOOKUP("PCS-OzTL500",ARBOR!$A:$C,3,0),6)),-TRUNC(DV3/VLOOKUP("PCS-OzTL500",ARBOR!$A:$C,3,0)-1,4)+0.0001,-TRUNC(DV3/VLOOKUP("PCS-OzTL500",ARBOR!$A:$C,3,0)-1,4)))))</f>
        <v>9.1800000000000007E-2</v>
      </c>
      <c r="DX3" s="26" t="str">
        <f>IF(DW3="S/Desc","S/Desc",IF(ISERROR(IF(DW3="","",VLOOKUP(($BC3&amp;DW3&amp;"Template desconto % Étnico nível conta"),BENEFICIOS!$A:$G,5,0))),"Criar",IF(DW3="","",VLOOKUP(($BC3&amp;DW3&amp;"Template desconto % Étnico nível conta"),BENEFICIOS!$A:$G,5,0))))</f>
        <v>Criar</v>
      </c>
      <c r="DY3" s="8"/>
      <c r="DZ3" s="181" t="str">
        <f>IF(DY3=0,"",IF(DY3=VLOOKUP("PCS-OzTL50",ARBOR!$A:$C,3,0),0.0001,IF(DY3&gt;VLOOKUP("PCS-OzTL50",ARBOR!$A:$C,3,0),"Maior que CAP!",IF((DOLLAR(DY3+(VLOOKUP("PCS-OzTL50",ARBOR!$A:$C,3,0)*-TRUNC(DY3/VLOOKUP("PCS-OzTL50",ARBOR!$A:$C,3,0)-1,4)),6))&lt;&gt;(DOLLAR(VLOOKUP("PCS-OzTL50",ARBOR!$A:$C,3,0),6)),-TRUNC(DY3/VLOOKUP("PCS-OzTL50",ARBOR!$A:$C,3,0)-1,4)+0.0001,-TRUNC(DY3/VLOOKUP("PCS-OzTL50",ARBOR!$A:$C,3,0)-1,4)))))</f>
        <v/>
      </c>
      <c r="EA3" s="26"/>
      <c r="EB3" s="8"/>
      <c r="EC3" s="181" t="str">
        <f>IF(EB3=0,"",IF(EB3=VLOOKUP("PCS-OzTL51",ARBOR!$A:$C,3,0),0.0001,IF(EB3&gt;VLOOKUP("PCS-OzTL51",ARBOR!$A:$C,3,0),"Maior que CAP!",IF((DOLLAR(EB3+(VLOOKUP("PCS-OzTL51",ARBOR!$A:$C,3,0)*-TRUNC(EB3/VLOOKUP("PCS-OzTL51",ARBOR!$A:$C,3,0)-1,4)),6))&lt;&gt;(DOLLAR(VLOOKUP("PCS-OzTL51",ARBOR!$A:$C,3,0),6)),-TRUNC(EB3/VLOOKUP("PCS-OzTL51",ARBOR!$A:$C,3,0)-1,4)+0.0001,-TRUNC(EB3/VLOOKUP("PCS-OzTL51",ARBOR!$A:$C,3,0)-1,4)))))</f>
        <v/>
      </c>
      <c r="ED3" s="26"/>
      <c r="EE3" s="8"/>
      <c r="EF3" s="181" t="str">
        <f>IF(EE3=0,"",IF(EE3=VLOOKUP("PCS-OzTL52",ARBOR!$A:$C,3,0),0.0001,IF(EE3&gt;VLOOKUP("PCS-OzTL52",ARBOR!$A:$C,3,0),"Maior que CAP!",IF((DOLLAR(EE3+(VLOOKUP("PCS-OzTL52",ARBOR!$A:$C,3,0)*-TRUNC(EE3/VLOOKUP("PCS-OzTL52",ARBOR!$A:$C,3,0)-1,4)),6))&lt;&gt;(DOLLAR(VLOOKUP("PCS-OzTL52",ARBOR!$A:$C,3,0),6)),-TRUNC(EE3/VLOOKUP("PCS-OzTL52",ARBOR!$A:$C,3,0)-1,4)+0.0001,-TRUNC(EE3/VLOOKUP("PCS-OzTL52",ARBOR!$A:$C,3,0)-1,4)))))</f>
        <v/>
      </c>
      <c r="EG3" s="26"/>
      <c r="EH3" s="8"/>
      <c r="EI3" s="181" t="str">
        <f>IF(EH3=0,"",IF(EH3=VLOOKUP("PCS-OzTL53",ARBOR!$A:$C,3,0),0.0001,IF(EH3&gt;VLOOKUP("PCS-OzTL53",ARBOR!$A:$C,3,0),"Maior que CAP!",IF((DOLLAR(EH3+(VLOOKUP("PCS-OzTL53",ARBOR!$A:$C,3,0)*-TRUNC(EH3/VLOOKUP("PCS-OzTL53",ARBOR!$A:$C,3,0)-1,4)),6))&lt;&gt;(DOLLAR(VLOOKUP("PCS-OzTL53",ARBOR!$A:$C,3,0),6)),-TRUNC(EH3/VLOOKUP("PCS-OzTL53",ARBOR!$A:$C,3,0)-1,4)+0.0001,-TRUNC(EH3/VLOOKUP("PCS-OzTL53",ARBOR!$A:$C,3,0)-1,4)))))</f>
        <v/>
      </c>
      <c r="EJ3" s="26"/>
      <c r="EK3" s="8"/>
      <c r="EL3" s="181" t="str">
        <f>IF(EK3=0,"",IF(EK3=VLOOKUP("PCS-OzTL54",ARBOR!$A:$C,3,0),0.0001,IF(EK3&gt;VLOOKUP("PCS-OzTL54",ARBOR!$A:$C,3,0),"Maior que CAP!",IF((DOLLAR(EK3+(VLOOKUP("PCS-OzTL54",ARBOR!$A:$C,3,0)*-TRUNC(EK3/VLOOKUP("PCS-OzTL54",ARBOR!$A:$C,3,0)-1,4)),6))&lt;&gt;(DOLLAR(VLOOKUP("PCS-OzTL54",ARBOR!$A:$C,3,0),6)),-TRUNC(EK3/VLOOKUP("PCS-OzTL54",ARBOR!$A:$C,3,0)-1,4)+0.0001,-TRUNC(EK3/VLOOKUP("PCS-OzTL54",ARBOR!$A:$C,3,0)-1,4)))))</f>
        <v/>
      </c>
      <c r="EM3" s="26"/>
      <c r="EN3" s="8">
        <v>24.9</v>
      </c>
      <c r="EO3" s="3">
        <f>IF(EN3=0,"",IF(EN3=VLOOKUP("PCS-OzTL99",ARBOR!$A:$C,3,0),0.0001,IF(EN3&gt;VLOOKUP("PCS-OzTL99",ARBOR!$A:$C,3,0),"Maior que CAP!",IF((DOLLAR(EN3+(VLOOKUP("PCS-OzTL99",ARBOR!$A:$C,3,0)*-TRUNC(EN3/VLOOKUP("PCS-OzTL99",ARBOR!$A:$C,3,0)-1,4)),6))&lt;&gt;(DOLLAR(VLOOKUP("PCS-OzTL99",ARBOR!$A:$C,3,0),6)),-TRUNC(EN3/VLOOKUP("PCS-OzTL99",ARBOR!$A:$C,3,0)-1,4)+0.0001,-TRUNC(EN3/VLOOKUP("PCS-OzTL99",ARBOR!$A:$C,3,0)-1,4)))))</f>
        <v>0.16729999999999998</v>
      </c>
      <c r="EP3" s="26" t="str">
        <f>IF(EO3="S/Desc","S/Desc",IF(ISERROR(IF(EO3="","",VLOOKUP(($BC3&amp;EO3&amp;"Template desconto % Ponto adicional nível conta"),BENEFICIOS!$A:$G,5,0))),"Criar",IF(EO3="","",VLOOKUP(($BC3&amp;EO3&amp;"Template desconto % Ponto adicional nível conta"),BENEFICIOS!$A:$G,5,0))))</f>
        <v>Criar</v>
      </c>
      <c r="EQ3" s="8"/>
      <c r="ER3" s="26" t="str">
        <f>IF(EQ3="Sim","PCS-34704","")</f>
        <v/>
      </c>
      <c r="ES3" s="59" t="s">
        <v>355</v>
      </c>
      <c r="ET3" s="60" t="s">
        <v>356</v>
      </c>
      <c r="EU3" s="61">
        <v>499</v>
      </c>
      <c r="EV3" s="60">
        <v>12</v>
      </c>
      <c r="EW3" s="88" t="str">
        <f>IF(ET3="Benefício","Oi benefício fidelização Multiprodutos","")</f>
        <v>Oi benefício fidelização Multiprodutos</v>
      </c>
      <c r="EX3" s="89" t="str">
        <f>IF(ET3="Benefício","PCS-Fk83324","")</f>
        <v>PCS-Fk83324</v>
      </c>
      <c r="EY3" s="90" t="str">
        <f>IF(ES3="Sim","PCS-SBL553142","")</f>
        <v>PCS-SBL553142</v>
      </c>
      <c r="EZ3" s="84" t="s">
        <v>357</v>
      </c>
      <c r="FA3" s="94" t="s">
        <v>358</v>
      </c>
      <c r="FB3" s="90"/>
      <c r="FC3" s="84"/>
      <c r="FD3" s="94"/>
      <c r="FE3" s="90"/>
      <c r="FF3" s="86"/>
      <c r="FG3" s="144">
        <f>IF($BH3="","",$BH3+$BE3)</f>
        <v>134.9</v>
      </c>
      <c r="FH3" s="144" t="str">
        <f>IF($BK3="","",$BK3+$BE3)</f>
        <v/>
      </c>
      <c r="FI3" s="144" t="str">
        <f>IF($BN3="","",$BN3+$BE3)</f>
        <v/>
      </c>
      <c r="FJ3" s="144" t="str">
        <f>IF($BQ3="","",$BQ3+$BE3)</f>
        <v/>
      </c>
      <c r="FK3" s="144" t="str">
        <f>IF($BT3="","",$BT3+$BE3)</f>
        <v/>
      </c>
      <c r="FL3" s="144" t="str">
        <f>IF($BW3="","",$BW3+$BE3)</f>
        <v/>
      </c>
      <c r="FM3" s="144" t="str">
        <f>IF($BZ3="","",$BZ3+$BE3)</f>
        <v/>
      </c>
      <c r="FN3" s="144" t="str">
        <f>IF($CC3="","",$CC3+$BE3)</f>
        <v/>
      </c>
      <c r="FO3" s="144" t="str">
        <f>IF($CF3="","",$CF3+$BE3)</f>
        <v/>
      </c>
      <c r="FP3" s="144" t="str">
        <f>IF($CI3="","",$CI3+$BE3)</f>
        <v/>
      </c>
      <c r="FQ3" s="144" t="str">
        <f>IF($CL3="","",$CL3+$BE3)</f>
        <v/>
      </c>
      <c r="FR3" s="144" t="str">
        <f>IF($CO3="","",$CO3+$BE3)</f>
        <v/>
      </c>
      <c r="FS3" s="144" t="str">
        <f>IF($CR3="","",$CR3+$BE3)</f>
        <v/>
      </c>
      <c r="FT3" s="144" t="str">
        <f>IF($CU3="","",$CU3+$BE3)</f>
        <v/>
      </c>
      <c r="FU3" s="144" t="str">
        <f>IF($CX3="","",$CX3+$BE3)</f>
        <v/>
      </c>
      <c r="FV3" s="144" t="str">
        <f>IF($DA3="","",$DA3+$BE3)</f>
        <v/>
      </c>
      <c r="FW3" s="144" t="str">
        <f>IF($DD3="","",$DD3+$BE3)</f>
        <v/>
      </c>
      <c r="FX3" s="145"/>
      <c r="FY3" s="146"/>
      <c r="FZ3" s="146"/>
      <c r="GA3" s="146"/>
      <c r="GB3" s="146"/>
      <c r="GC3" s="146"/>
      <c r="GD3" s="146"/>
      <c r="GE3" s="146"/>
      <c r="GF3" s="146"/>
      <c r="GG3" s="147"/>
    </row>
    <row r="4" spans="1:189">
      <c r="A4" s="45" t="s">
        <v>339</v>
      </c>
      <c r="B4" s="133" t="s">
        <v>340</v>
      </c>
      <c r="C4" s="204" t="s">
        <v>341</v>
      </c>
      <c r="D4" s="46" t="s">
        <v>342</v>
      </c>
      <c r="E4" s="47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48"/>
      <c r="V4" s="49"/>
      <c r="W4" s="48"/>
      <c r="X4" s="48"/>
      <c r="Y4" s="48"/>
      <c r="Z4" s="48"/>
      <c r="AA4" s="49"/>
      <c r="AB4" s="48"/>
      <c r="AC4" s="50"/>
      <c r="AD4" s="48"/>
      <c r="AE4" s="48"/>
      <c r="AF4" s="48"/>
      <c r="AG4" s="48"/>
      <c r="AH4" s="48"/>
      <c r="AI4" s="48"/>
      <c r="AJ4" s="48"/>
      <c r="AK4" s="48"/>
      <c r="AL4" s="51"/>
      <c r="AM4" s="205" t="s">
        <v>344</v>
      </c>
      <c r="AN4" s="38" t="s">
        <v>350</v>
      </c>
      <c r="AO4" s="39" t="s">
        <v>351</v>
      </c>
      <c r="AP4" s="52">
        <v>42917</v>
      </c>
      <c r="AQ4" s="53">
        <v>43039</v>
      </c>
      <c r="AR4" s="64" t="s">
        <v>352</v>
      </c>
      <c r="AS4" s="65" t="s">
        <v>352</v>
      </c>
      <c r="AT4" s="54"/>
      <c r="AU4" s="54" t="s">
        <v>353</v>
      </c>
      <c r="AV4" s="54">
        <v>20</v>
      </c>
      <c r="AW4" s="54">
        <v>10000</v>
      </c>
      <c r="AX4" s="70" t="s">
        <v>354</v>
      </c>
      <c r="AY4" s="71" t="s">
        <v>355</v>
      </c>
      <c r="AZ4" s="72" t="s">
        <v>355</v>
      </c>
      <c r="BA4" s="73" t="s">
        <v>342</v>
      </c>
      <c r="BB4" s="55" t="s">
        <v>344</v>
      </c>
      <c r="BC4" s="56" t="s">
        <v>229</v>
      </c>
      <c r="BD4" s="27" t="str">
        <f t="shared" ref="BD4:BD17" si="0">IF(BC4="Oi Total Fixo +  TV 1","CFG-2Plowpi",IF(BC4="Oi Total Fixo +  TV 2","PCS-2PMepi",IF(BC4="Oi Total Fixo +  TV 3","PCS-2PHipi","")))</f>
        <v>PCS-2PMepi</v>
      </c>
      <c r="BE4" s="206">
        <v>60</v>
      </c>
      <c r="BF4" s="3">
        <f>IF(BE4=0,"",IF(BE4=VLOOKUP("FIXO",ARBOR!$A:$C,3,0),0.0001,IF(BE4&gt;VLOOKUP("FIXO",ARBOR!$A:$C,3,0),"Maior que CAP!",IF((DOLLAR(BE4+(VLOOKUP("FIXO",ARBOR!$A:$C,3,0)*-TRUNC(BE4/VLOOKUP("FIXO",ARBOR!$A:$C,3,0)-1,4)),6))&lt;&gt;(DOLLAR(VLOOKUP("FIXO",ARBOR!$A:$C,3,0),6)),-TRUNC(BE4/VLOOKUP("FIXO",ARBOR!$A:$C,3,0)-1,4)+0.0001,-TRUNC(BE4/VLOOKUP("FIXO",ARBOR!$A:$C,3,0)-1,4)))))</f>
        <v>0.2089</v>
      </c>
      <c r="BG4" s="10" t="str">
        <f>IF(ISERROR(IF(BF4="","",VLOOKUP(($BC4&amp;BF4&amp;"Template de desconto FLAT bundle - Fixo - Varejo - Ganho Tributário Cross"),BENEFICIOS!$A:$G,5,0))),"Criar",IF(BF4="","",VLOOKUP(($BC4&amp;BF4&amp;"Template de desconto FLAT bundle - Fixo - Varejo - Ganho Tributário Cross"),BENEFICIOS!$A:$G,5,0)))</f>
        <v>Criar</v>
      </c>
      <c r="BH4" s="8"/>
      <c r="BI4" s="3" t="str">
        <f>IF(BH4=0,"",IF(BH4=VLOOKUP("PCS-OzTL40",ARBOR!$A:$C,3,0),0.0001,IF(BH4&gt;VLOOKUP("PCS-OzTL40",ARBOR!$A:$C,3,0),"Maior que CAP!",IF((DOLLAR(BH4+(VLOOKUP("PCS-OzTL40",ARBOR!$A:$C,3,0)*-TRUNC(BH4/VLOOKUP("PCS-OzTL40",ARBOR!$A:$C,3,0)-1,4)),6))&lt;&gt;(DOLLAR(VLOOKUP("PCS-OzTL40",ARBOR!$A:$C,3,0),6)),-TRUNC(BH4/VLOOKUP("PCS-OzTL40",ARBOR!$A:$C,3,0)-1,4)+0.0001,-TRUNC(BH4/VLOOKUP("PCS-OzTL40",ARBOR!$A:$C,3,0)-1,4)))))</f>
        <v/>
      </c>
      <c r="BJ4" s="10" t="str">
        <f>IF(ISERROR(IF(BI4="","",VLOOKUP((BC4&amp;BI4&amp;"Template desconto FLAT Plano Principal Oi TV nível conta"),BENEFICIOS!$A:$G,5,0))),"Criar",IF(BI4="","",VLOOKUP((BC4&amp;BI4&amp;"Template desconto FLAT Plano Principal Oi TV nível conta"),BENEFICIOS!$A:$G,5,0)))</f>
        <v/>
      </c>
      <c r="BK4" s="8">
        <v>94.9</v>
      </c>
      <c r="BL4" s="3">
        <f>IF(BK4=0,"",IF(BK4=VLOOKUP("PCS-OzTL41",ARBOR!$A:$C,3,0),0.0001,IF(BK4&gt;VLOOKUP("PCS-OzTL41",ARBOR!$A:$C,3,0),"Maior que CAP!",IF((DOLLAR(BK4+(VLOOKUP("PCS-OzTL41",ARBOR!$A:$C,3,0)*-TRUNC(BK4/VLOOKUP("PCS-OzTL41",ARBOR!$A:$C,3,0)-1,4)),6))&lt;&gt;(DOLLAR(VLOOKUP("PCS-OzTL41",ARBOR!$A:$C,3,0),6)),-TRUNC(BK4/VLOOKUP("PCS-OzTL41",ARBOR!$A:$C,3,0)-1,4)+0.0001,-TRUNC(BK4/VLOOKUP("PCS-OzTL41",ARBOR!$A:$C,3,0)-1,4)))))</f>
        <v>0.21589999999999998</v>
      </c>
      <c r="BM4" s="28" t="str">
        <f>IF(ISERROR(IF(BL4="","",VLOOKUP((BC4&amp;BL4&amp;"Template desconto FLAT Plano Principal Oi TV nível conta"),BENEFICIOS!$A:$G,5,0))),"Criar",IF(BL4="","",VLOOKUP((BC4&amp;BL4&amp;"Template desconto FLAT Plano Principal Oi TV nível conta"),BENEFICIOS!$A:$G,5,0)))</f>
        <v>Criar</v>
      </c>
      <c r="BN4" s="8"/>
      <c r="BO4" s="3" t="str">
        <f>IF(BN4=0,"",IF(BN4=VLOOKUP("PCS-OzTL44",ARBOR!$A:$C,3,0),0.0001,IF(BN4&gt;VLOOKUP("PCS-OzTL44",ARBOR!$A:$C,3,0),"Maior que CAP!",IF((DOLLAR(BN4+(VLOOKUP("PCS-OzTL44",ARBOR!$A:$C,3,0)*-TRUNC(BN4/VLOOKUP("PCS-OzTL44",ARBOR!$A:$C,3,0)-1,4)),6))&lt;&gt;(DOLLAR(VLOOKUP("PCS-OzTL44",ARBOR!$A:$C,3,0),6)),-TRUNC(BN4/VLOOKUP("PCS-OzTL44",ARBOR!$A:$C,3,0)-1,4)+0.0001,-TRUNC(BN4/VLOOKUP("PCS-OzTL44",ARBOR!$A:$C,3,0)-1,4)))))</f>
        <v/>
      </c>
      <c r="BP4" s="28" t="str">
        <f>IF(ISERROR(IF(BO4="","",VLOOKUP((BC4&amp;BO4&amp;"Template desconto FLAT Plano Principal Oi TV nível conta"),BENEFICIOS!$A:$G,5,0))),"Criar",IF(BO4="","",VLOOKUP((BC4&amp;BO4&amp;"Template desconto FLAT Plano Principal Oi TV nível conta"),BENEFICIOS!$A:$G,5,0)))</f>
        <v/>
      </c>
      <c r="BQ4" s="8"/>
      <c r="BR4" s="3" t="str">
        <f>IF(BQ4=0,"",IF(BQ4=VLOOKUP("PCS-OzTL43",ARBOR!$A:$C,3,0),0.0001,IF(BQ4&gt;VLOOKUP("PCS-OzTL43",ARBOR!$A:$C,3,0),"Maior que CAP!",IF((DOLLAR(BQ4+(VLOOKUP("PCS-OzTL43",ARBOR!$A:$C,3,0)*-TRUNC(BQ4/VLOOKUP("PCS-OzTL43",ARBOR!$A:$C,3,0)-1,4)),6))&lt;&gt;(DOLLAR(VLOOKUP("PCS-OzTL43",ARBOR!$A:$C,3,0),6)),-TRUNC(BQ4/VLOOKUP("PCS-OzTL43",ARBOR!$A:$C,3,0)-1,4)+0.0001,-TRUNC(BQ4/VLOOKUP("PCS-OzTL43",ARBOR!$A:$C,3,0)-1,4)))))</f>
        <v/>
      </c>
      <c r="BS4" s="28" t="str">
        <f>IF(ISERROR(IF(BR4="","",VLOOKUP((BC4&amp;BR4&amp;"Template desconto FLAT Plano Principal Oi TV nível conta"),BENEFICIOS!$A:$G,5,0))),"Criar",IF(BR4="","",VLOOKUP((BC4&amp;BR4&amp;"Template desconto FLAT Plano Principal Oi TV nível conta"),BENEFICIOS!$A:$G,5,0)))</f>
        <v/>
      </c>
      <c r="BT4" s="8"/>
      <c r="BU4" s="3" t="str">
        <f>IF(BT4=0,"",IF(BT4=VLOOKUP("PCS-OzTL45",ARBOR!$A:$C,3,0),0.0001,IF(BT4&gt;VLOOKUP("PCS-OzTL45",ARBOR!$A:$C,3,0),"Maior que CAP!",IF((DOLLAR(BT4+(VLOOKUP("PCS-OzTL45",ARBOR!$A:$C,3,0)*-TRUNC(BT4/VLOOKUP("PCS-OzTL45",ARBOR!$A:$C,3,0)-1,4)),6))&lt;&gt;(DOLLAR(VLOOKUP("PCS-OzTL45",ARBOR!$A:$C,3,0),6)),-TRUNC(BT4/VLOOKUP("PCS-OzTL45",ARBOR!$A:$C,3,0)-1,4)+0.0001,-TRUNC(BT4/VLOOKUP("PCS-OzTL45",ARBOR!$A:$C,3,0)-1,4)))))</f>
        <v/>
      </c>
      <c r="BV4" s="28" t="str">
        <f>IF(ISERROR(IF(BU4="","",VLOOKUP((BC4&amp;BU4&amp;"Template desconto FLAT Plano Principal Oi TV nível conta"),BENEFICIOS!$A:$G,5,0))),"Criar",IF(BU4="","",VLOOKUP((BC4&amp;BU4&amp;"Template desconto FLAT Plano Principal Oi TV nível conta"),BENEFICIOS!$A:$G,5,0)))</f>
        <v/>
      </c>
      <c r="BW4" s="8"/>
      <c r="BX4" s="3" t="str">
        <f>IF(BW4=0,"",IF(BW4=VLOOKUP("PCS-OzTL741",ARBOR!$A:$C,3,0),0.0001,IF(BW4&gt;VLOOKUP("PCS-OzTL741",ARBOR!$A:$C,3,0),"Maior que CAP!",IF((DOLLAR(BW4+(VLOOKUP("PCS-OzTL741",ARBOR!$A:$C,3,0)*-TRUNC(BW4/VLOOKUP("PCS-OzTL741",ARBOR!$A:$C,3,0)-1,4)),6))&lt;&gt;(DOLLAR(VLOOKUP("PCS-OzTL741",ARBOR!$A:$C,3,0),6)),-TRUNC(BW4/VLOOKUP("PCS-OzTL741",ARBOR!$A:$C,3,0)-1,4)+0.0001,-TRUNC(BW4/VLOOKUP("PCS-OzTL741",ARBOR!$A:$C,3,0)-1,4)))))</f>
        <v/>
      </c>
      <c r="BY4" s="28" t="str">
        <f>IF(ISERROR(IF(BX4="","",VLOOKUP((BC4&amp;BX4&amp;"Template desconto FLAT Plano Principal Oi TV nível conta"),BENEFICIOS!$A:$G,5,0))),"Criar",IF(BX4="","",VLOOKUP((BC4&amp;BX4&amp;"Template desconto FLAT Plano Principal Oi TV nível conta"),BENEFICIOS!$A:$G,5,0)))</f>
        <v/>
      </c>
      <c r="BZ4" s="8"/>
      <c r="CA4" s="3" t="str">
        <f>IF(BZ4=0,"",IF(BZ4=VLOOKUP("PCS-OzTL744",ARBOR!$A:$C,3,0),0.0001,IF(BZ4&gt;VLOOKUP("PCS-OzTL744",ARBOR!$A:$C,3,0),"Maior que CAP!",IF((DOLLAR(BZ4+(VLOOKUP("PCS-OzTL744",ARBOR!$A:$C,3,0)*-TRUNC(BZ4/VLOOKUP("PCS-OzTL744",ARBOR!$A:$C,3,0)-1,4)),6))&lt;&gt;(DOLLAR(VLOOKUP("PCS-OzTL744",ARBOR!$A:$C,3,0),6)),-TRUNC(BZ4/VLOOKUP("PCS-OzTL744",ARBOR!$A:$C,3,0)-1,4)+0.0001,-TRUNC(BZ4/VLOOKUP("PCS-OzTL744",ARBOR!$A:$C,3,0)-1,4)))))</f>
        <v/>
      </c>
      <c r="CB4" s="28" t="str">
        <f>IF(ISERROR(IF(CA4="","",VLOOKUP(($BC4&amp;CA4&amp;"Template desconto FLAT Plano Principal Oi TV nível conta"),BENEFICIOS!$A:$G,5,0))),"Criar",IF(CA4="","",VLOOKUP(($BC4&amp;CA4&amp;"Template desconto FLAT Plano Principal Oi TV nível conta"),BENEFICIOS!$A:$G,5,0)))</f>
        <v/>
      </c>
      <c r="CC4" s="8"/>
      <c r="CD4" s="3" t="str">
        <f>IF(CC4=0,"",IF(CC4=VLOOKUP("PCS-OzTL743",ARBOR!$A:$C,3,0),0.0001,IF(CC4&gt;VLOOKUP("PCS-OzTL743",ARBOR!$A:$C,3,0),"Maior que CAP!",IF((DOLLAR(CC4+(VLOOKUP("PCS-OzTL743",ARBOR!$A:$C,3,0)*-TRUNC(CC4/VLOOKUP("PCS-OzTL743",ARBOR!$A:$C,3,0)-1,4)),6))&lt;&gt;(DOLLAR(VLOOKUP("PCS-OzTL743",ARBOR!$A:$C,3,0),6)),-TRUNC(CC4/VLOOKUP("PCS-OzTL743",ARBOR!$A:$C,3,0)-1,4)+0.0001,-TRUNC(CC4/VLOOKUP("PCS-OzTL743",ARBOR!$A:$C,3,0)-1,4)))))</f>
        <v/>
      </c>
      <c r="CE4" s="28" t="str">
        <f>IF(ISERROR(IF(CD4="","",VLOOKUP(($BC4&amp;CD4&amp;"Template desconto FLAT Plano Principal Oi TV nível conta"),BENEFICIOS!$A:$G,5,0))),"Criar",IF(CD4="","",VLOOKUP(($BC4&amp;CD4&amp;"Template desconto FLAT Plano Principal Oi TV nível conta"),BENEFICIOS!$A:$G,5,0)))</f>
        <v/>
      </c>
      <c r="CF4" s="8"/>
      <c r="CG4" s="3" t="str">
        <f>IF(CF4=0,"",IF(CF4=VLOOKUP("PCS-OzTL745",ARBOR!$A:$C,3,0),0.0001,IF(CF4&gt;VLOOKUP("PCS-OzTL745",ARBOR!$A:$C,3,0),"Maior que CAP!",IF((DOLLAR(CF4+(VLOOKUP("PCS-OzTL745",ARBOR!$A:$C,3,0)*-TRUNC(CF4/VLOOKUP("PCS-OzTL745",ARBOR!$A:$C,3,0)-1,4)),6))&lt;&gt;(DOLLAR(VLOOKUP("PCS-OzTL745",ARBOR!$A:$C,3,0),6)),-TRUNC(CF4/VLOOKUP("PCS-OzTL745",ARBOR!$A:$C,3,0)-1,4)+0.0001,-TRUNC(CF4/VLOOKUP("PCS-OzTL745",ARBOR!$A:$C,3,0)-1,4)))))</f>
        <v/>
      </c>
      <c r="CH4" s="28" t="str">
        <f>IF(ISERROR(IF(CG4="","",VLOOKUP(($BC4&amp;CG4&amp;"Template desconto FLAT Plano Principal Oi TV nível conta"),BENEFICIOS!$A:$G,5,0))),"Criar",IF(CG4="","",VLOOKUP(($BC4&amp;CG4&amp;"Template desconto FLAT Plano Principal Oi TV nível conta"),BENEFICIOS!$A:$G,5,0)))</f>
        <v/>
      </c>
      <c r="CI4" s="8">
        <v>104.9</v>
      </c>
      <c r="CJ4" s="3">
        <f>IF(CI4=0,"",IF(CI4=VLOOKUP("PCS-OzTL42",ARBOR!$A:$C,3,0),0.0001,IF(CI4&gt;VLOOKUP("PCS-OzTL42",ARBOR!$A:$C,3,0),"Maior que CAP!",IF((DOLLAR(CI4+(VLOOKUP("PCS-OzTL42",ARBOR!$A:$C,3,0)*-TRUNC(CI4/VLOOKUP("PCS-OzTL42",ARBOR!$A:$C,3,0)-1,4)),6))&lt;&gt;(DOLLAR(VLOOKUP("PCS-OzTL42",ARBOR!$A:$C,3,0),6)),-TRUNC(CI4/VLOOKUP("PCS-OzTL42",ARBOR!$A:$C,3,0)-1,4)+0.0001,-TRUNC(CI4/VLOOKUP("PCS-OzTL42",ARBOR!$A:$C,3,0)-1,4)))))</f>
        <v>0.36459999999999998</v>
      </c>
      <c r="CK4" s="28" t="str">
        <f>IF(ISERROR(IF(CJ4="","",VLOOKUP(($BC4&amp;CJ4&amp;"Template desconto FLAT Plano Principal Oi TV nível conta"),BENEFICIOS!$A:$G,5,0))),"Criar",IF(CJ4="","",VLOOKUP(($BC4&amp;CJ4&amp;"Template desconto FLAT Plano Principal Oi TV nível conta"),BENEFICIOS!$A:$G,5,0)))</f>
        <v>Criar</v>
      </c>
      <c r="CL4" s="8"/>
      <c r="CM4" s="3" t="str">
        <f>IF(CL4=0,"",IF(CL4=VLOOKUP("PCS-OzTL47",ARBOR!$A:$C,3,0),0.0001,IF(CL4&gt;VLOOKUP("PCS-OzTL47",ARBOR!$A:$C,3,0),"Maior que CAP!",IF((DOLLAR(CL4+(VLOOKUP("PCS-OzTL47",ARBOR!$A:$C,3,0)*-TRUNC(CL4/VLOOKUP("PCS-OzTL47",ARBOR!$A:$C,3,0)-1,4)),6))&lt;&gt;(DOLLAR(VLOOKUP("PCS-OzTL47",ARBOR!$A:$C,3,0),6)),-TRUNC(CL4/VLOOKUP("PCS-OzTL47",ARBOR!$A:$C,3,0)-1,4)+0.0001,-TRUNC(CL4/VLOOKUP("PCS-OzTL47",ARBOR!$A:$C,3,0)-1,4)))))</f>
        <v/>
      </c>
      <c r="CN4" s="28" t="str">
        <f>IF(ISERROR(IF(CM4="","",VLOOKUP(($BC4&amp;CM4&amp;"Template desconto FLAT Plano Principal Oi TV nível conta"),BENEFICIOS!$A:$G,5,0))),"Criar",IF(CM4="","",VLOOKUP(($BC4&amp;CM4&amp;"Template desconto FLAT Plano Principal Oi TV nível conta"),BENEFICIOS!$A:$G,5,0)))</f>
        <v/>
      </c>
      <c r="CO4" s="8"/>
      <c r="CP4" s="3" t="str">
        <f>IF(CO4=0,"",IF(CO4=VLOOKUP("PCS-OzTL46",ARBOR!$A:$C,3,0),0.0001,IF(CO4&gt;VLOOKUP("PCS-OzTL46",ARBOR!$A:$C,3,0),"Maior que CAP!",IF((DOLLAR(CO4+(VLOOKUP("PCS-OzTL46",ARBOR!$A:$C,3,0)*-TRUNC(CO4/VLOOKUP("PCS-OzTL46",ARBOR!$A:$C,3,0)-1,4)),6))&lt;&gt;(DOLLAR(VLOOKUP("PCS-OzTL46",ARBOR!$A:$C,3,0),6)),-TRUNC(CO4/VLOOKUP("PCS-OzTL46",ARBOR!$A:$C,3,0)-1,4)+0.0001,-TRUNC(CO4/VLOOKUP("PCS-OzTL46",ARBOR!$A:$C,3,0)-1,4)))))</f>
        <v/>
      </c>
      <c r="CQ4" s="28" t="str">
        <f>IF(ISERROR(IF(CP4="","",VLOOKUP(($BC4&amp;CP4&amp;"Template desconto FLAT Plano Principal Oi TV nível conta"),BENEFICIOS!$A:$G,5,0))),"Criar",IF(CP4="","",VLOOKUP(($BC4&amp;CP4&amp;"Template desconto FLAT Plano Principal Oi TV nível conta"),BENEFICIOS!$A:$G,5,0)))</f>
        <v/>
      </c>
      <c r="CR4" s="8"/>
      <c r="CS4" s="3" t="str">
        <f>IF(CR4=0,"",IF(CR4=VLOOKUP("PCS-OzTL48",ARBOR!$A:$C,3,0),0.0001,IF(CR4&gt;VLOOKUP("PCS-OzTL48",ARBOR!$A:$C,3,0),"Maior que CAP!",IF((DOLLAR(CR4+(VLOOKUP("PCS-OzTL48",ARBOR!$A:$C,3,0)*-TRUNC(CR4/VLOOKUP("PCS-OzTL48",ARBOR!$A:$C,3,0)-1,4)),6))&lt;&gt;(DOLLAR(VLOOKUP("PCS-OzTL48",ARBOR!$A:$C,3,0),6)),-TRUNC(CR4/VLOOKUP("PCS-OzTL48",ARBOR!$A:$C,3,0)-1,4)+0.0001,-TRUNC(CR4/VLOOKUP("PCS-OzTL48",ARBOR!$A:$C,3,0)-1,4)))))</f>
        <v/>
      </c>
      <c r="CT4" s="28" t="str">
        <f>IF(ISERROR(IF(CS4="","",VLOOKUP(($BC4&amp;CS4&amp;"Template desconto FLAT Plano Principal Oi TV nível conta"),BENEFICIOS!$A:$G,5,0))),"Criar",IF(CS4="","",VLOOKUP(($BC4&amp;CS4&amp;"Template desconto FLAT Plano Principal Oi TV nível conta"),BENEFICIOS!$A:$G,5,0)))</f>
        <v/>
      </c>
      <c r="CU4" s="8">
        <v>124.9</v>
      </c>
      <c r="CV4" s="3">
        <f>IF(CU4=0,"",IF(CU4=VLOOKUP("PCS-OzTL742",ARBOR!$A:$C,3,0),0.0001,IF(CU4&gt;VLOOKUP("PCS-OzTL742",ARBOR!$A:$C,3,0),"Maior que CAP!",IF((DOLLAR(CU4+(VLOOKUP("PCS-OzTL742",ARBOR!$A:$C,3,0)*-TRUNC(CU4/VLOOKUP("PCS-OzTL742",ARBOR!$A:$C,3,0)-1,4)),6))&lt;&gt;(DOLLAR(VLOOKUP("PCS-OzTL742",ARBOR!$A:$C,3,0),6)),-TRUNC(CU4/VLOOKUP("PCS-OzTL742",ARBOR!$A:$C,3,0)-1,4)+0.0001,-TRUNC(CU4/VLOOKUP("PCS-OzTL742",ARBOR!$A:$C,3,0)-1,4)))))</f>
        <v>0.43269999999999997</v>
      </c>
      <c r="CW4" s="28" t="str">
        <f>IF(ISERROR(IF(CV4="","",VLOOKUP(($BC4&amp;CV4&amp;"Template desconto FLAT Plano Principal Oi TV nível conta"),BENEFICIOS!$A:$G,5,0))),"Criar",IF(CV4="","",VLOOKUP(($BC4&amp;CV4&amp;"Template desconto FLAT Plano Principal Oi TV nível conta"),BENEFICIOS!$A:$G,5,0)))</f>
        <v>Criar</v>
      </c>
      <c r="CX4" s="8"/>
      <c r="CY4" s="3" t="str">
        <f>IF(CX4=0,"",IF(CX4=VLOOKUP("PCS-OzTL747",ARBOR!$A:$C,3,0),0.0001,IF(CX4&gt;VLOOKUP("PCS-OzTL747",ARBOR!$A:$C,3,0),"Maior que CAP!",IF((DOLLAR(CX4+(VLOOKUP("PCS-OzTL747",ARBOR!$A:$C,3,0)*-TRUNC(CX4/VLOOKUP("PCS-OzTL747",ARBOR!$A:$C,3,0)-1,4)),6))&lt;&gt;(DOLLAR(VLOOKUP("PCS-OzTL747",ARBOR!$A:$C,3,0),6)),-TRUNC(CX4/VLOOKUP("PCS-OzTL747",ARBOR!$A:$C,3,0)-1,4)+0.0001,-TRUNC(CX4/VLOOKUP("PCS-OzTL747",ARBOR!$A:$C,3,0)-1,4)))))</f>
        <v/>
      </c>
      <c r="CZ4" s="28" t="str">
        <f>IF(ISERROR(IF(CY4="","",VLOOKUP(($BC4&amp;CY4&amp;"Template desconto FLAT Plano Principal Oi TV nível conta"),BENEFICIOS!$A:$G,5,0))),"Criar",IF(CY4="","",VLOOKUP(($BC4&amp;CY4&amp;"Template desconto FLAT Plano Principal Oi TV nível conta"),BENEFICIOS!$A:$G,5,0)))</f>
        <v/>
      </c>
      <c r="DA4" s="8"/>
      <c r="DB4" s="3" t="str">
        <f>IF(DA4=0,"",IF(DA4=VLOOKUP("PCS-OzTL746",ARBOR!$A:$C,3,0),0.0001,IF(DA4&gt;VLOOKUP("PCS-OzTL746",ARBOR!$A:$C,3,0),"Maior que CAP!",IF((DOLLAR(DA4+(VLOOKUP("PCS-OzTL746",ARBOR!$A:$C,3,0)*-TRUNC(DA4/VLOOKUP("PCS-OzTL746",ARBOR!$A:$C,3,0)-1,4)),6))&lt;&gt;(DOLLAR(VLOOKUP("PCS-OzTL746",ARBOR!$A:$C,3,0),6)),-TRUNC(DA4/VLOOKUP("PCS-OzTL746",ARBOR!$A:$C,3,0)-1,4)+0.0001,-TRUNC(DA4/VLOOKUP("PCS-OzTL746",ARBOR!$A:$C,3,0)-1,4)))))</f>
        <v/>
      </c>
      <c r="DC4" s="28" t="str">
        <f>IF(ISERROR(IF(DB4="","",VLOOKUP(($BC4&amp;DB4&amp;"Template desconto FLAT Plano Principal Oi TV nível conta"),BENEFICIOS!$A:$G,5,0))),"Criar",IF(DB4="","",VLOOKUP(($BC4&amp;DB4&amp;"Template desconto FLAT Plano Principal Oi TV nível conta"),BENEFICIOS!$A:$G,5,0)))</f>
        <v/>
      </c>
      <c r="DD4" s="8"/>
      <c r="DE4" s="3" t="str">
        <f>IF(DD4=0,"",IF(DD4=VLOOKUP("PCS-OzTL748",ARBOR!$A:$C,3,0),0.0001,IF(DD4&gt;VLOOKUP("PCS-OzTL748",ARBOR!$A:$C,3,0),"Maior que CAP!",IF((DOLLAR(DD4+(VLOOKUP("PCS-OzTL748",ARBOR!$A:$C,3,0)*-TRUNC(DD4/VLOOKUP("PCS-OzTL748",ARBOR!$A:$C,3,0)-1,4)),6))&lt;&gt;(DOLLAR(VLOOKUP("PCS-OzTL748",ARBOR!$A:$C,3,0),6)),-TRUNC(DD4/VLOOKUP("PCS-OzTL748",ARBOR!$A:$C,3,0)-1,4)+0.0001,-TRUNC(DD4/VLOOKUP("PCS-OzTL748",ARBOR!$A:$C,3,0)-1,4)))))</f>
        <v/>
      </c>
      <c r="DF4" s="28" t="str">
        <f>IF(ISERROR(IF(DE4="","",VLOOKUP(($BC4&amp;DE4&amp;"Template desconto FLAT Plano Principal Oi TV nível conta"),BENEFICIOS!$A:$G,5,0))),"Criar",IF(DE4="","",VLOOKUP(($BC4&amp;DE4&amp;"Template desconto FLAT Plano Principal Oi TV nível conta"),BENEFICIOS!$A:$G,5,0)))</f>
        <v/>
      </c>
      <c r="DG4" s="8">
        <v>75</v>
      </c>
      <c r="DH4" s="3">
        <f>IF(DG4=0,"",IF(DG4=VLOOKUP("PCS-OzTL34",ARBOR!$A:$C,3,0),0.0001,IF(DG4&gt;VLOOKUP("PCS-OzTL34",ARBOR!$A:$C,3,0),"Maior que CAP!",IF((DOLLAR(DG4+(VLOOKUP("PCS-OzTL34",ARBOR!$A:$C,3,0)*-TRUNC(DG4/VLOOKUP("PCS-OzTL34",ARBOR!$A:$C,3,0)-1,4)),6))&lt;&gt;(DOLLAR(VLOOKUP("PCS-OzTL34",ARBOR!$A:$C,3,0),6)),-TRUNC(DG4/VLOOKUP("PCS-OzTL34",ARBOR!$A:$C,3,0)-1,4)+0.0001,-TRUNC(DG4/VLOOKUP("PCS-OzTL34",ARBOR!$A:$C,3,0)-1,4)))))</f>
        <v>0.31900000000000001</v>
      </c>
      <c r="DI4" s="28" t="str">
        <f>IF(DH4="S/Desc","S/Desc",IF(ISERROR(IF(DH4="","",VLOOKUP(($BC4&amp;DH4&amp;"Template desconto % Combate nível conta"),BENEFICIOS!$A:$G,5,0))),"Criar",IF(DH4="","",VLOOKUP(($BC4&amp;DH4&amp;"Template desconto % Combate nível conta"),BENEFICIOS!$A:$G,5,0))))</f>
        <v>Criar</v>
      </c>
      <c r="DJ4" s="8">
        <v>19.899999999999999</v>
      </c>
      <c r="DK4" s="3">
        <f>IF(DJ4=0,"",IF(DJ4=VLOOKUP("PCS-OzTL31",ARBOR!$A:$C,3,0),0.0001,IF(DJ4&gt;VLOOKUP("PCS-OzTL31",ARBOR!$A:$C,3,0),"Maior que CAP!",IF((DOLLAR(DJ4+(VLOOKUP("PCS-OzTL31",ARBOR!$A:$C,3,0)*-TRUNC(DJ4/VLOOKUP("PCS-OzTL31",ARBOR!$A:$C,3,0)-1,4)),6))&lt;&gt;(DOLLAR(VLOOKUP("PCS-OzTL31",ARBOR!$A:$C,3,0),6)),-TRUNC(DJ4/VLOOKUP("PCS-OzTL31",ARBOR!$A:$C,3,0)-1,4)+0.0001,-TRUNC(DJ4/VLOOKUP("PCS-OzTL31",ARBOR!$A:$C,3,0)-1,4)))))</f>
        <v>9.1800000000000007E-2</v>
      </c>
      <c r="DL4" s="28" t="str">
        <f>IF(DK4="S/Desc","S/Desc",IF(ISERROR(IF(DK4="","",VLOOKUP(($BC4&amp;DK4&amp;"Template desconto % Sexy Hot nível conta"),BENEFICIOS!$A:$G,5,0))),"Criar",IF(DK4="","",VLOOKUP(($BC4&amp;DK4&amp;"Template desconto % Sexy Hot nível conta"),BENEFICIOS!$A:$G,5,0))))</f>
        <v>Criar</v>
      </c>
      <c r="DM4" s="8">
        <v>19.899999999999999</v>
      </c>
      <c r="DN4" s="3">
        <f>IF(DM4=0,"",IF(DM4=VLOOKUP("PCS-OzTL32",ARBOR!$A:$C,3,0),0.0001,IF(DM4&gt;VLOOKUP("PCS-OzTL32",ARBOR!$A:$C,3,0),"Maior que CAP!",IF((DOLLAR(DM4+(VLOOKUP("PCS-OzTL32",ARBOR!$A:$C,3,0)*-TRUNC(DM4/VLOOKUP("PCS-OzTL32",ARBOR!$A:$C,3,0)-1,4)),6))&lt;&gt;(DOLLAR(VLOOKUP("PCS-OzTL32",ARBOR!$A:$C,3,0),6)),-TRUNC(DM4/VLOOKUP("PCS-OzTL32",ARBOR!$A:$C,3,0)-1,4)+0.0001,-TRUNC(DM4/VLOOKUP("PCS-OzTL32",ARBOR!$A:$C,3,0)-1,4)))))</f>
        <v>9.1800000000000007E-2</v>
      </c>
      <c r="DO4" s="28" t="str">
        <f>IF(DN4="S/Desc","S/Desc",IF(ISERROR(IF(DN4="","",VLOOKUP(($BC4&amp;DN4&amp;"Template desconto % Playboy nível conta"),BENEFICIOS!$A:$G,5,0))),"Criar",IF(DN4="","",VLOOKUP(($BC4&amp;DN4&amp;"Template desconto % Playboy nível conta"),BENEFICIOS!$A:$G,5,0))))</f>
        <v>Criar</v>
      </c>
      <c r="DP4" s="8">
        <v>29.9</v>
      </c>
      <c r="DQ4" s="3">
        <f>IF(DP4=0,"",IF(DP4=VLOOKUP("PCS-OzTL33",ARBOR!$A:$C,3,0),0.0001,IF(DP4&gt;VLOOKUP("PCS-OzTL33",ARBOR!$A:$C,3,0),"Maior que CAP!",IF((DOLLAR(DP4+(VLOOKUP("PCS-OzTL33",ARBOR!$A:$C,3,0)*-TRUNC(DP4/VLOOKUP("PCS-OzTL33",ARBOR!$A:$C,3,0)-1,4)),6))&lt;&gt;(DOLLAR(VLOOKUP("PCS-OzTL33",ARBOR!$A:$C,3,0),6)),-TRUNC(DP4/VLOOKUP("PCS-OzTL33",ARBOR!$A:$C,3,0)-1,4)+0.0001,-TRUNC(DP4/VLOOKUP("PCS-OzTL33",ARBOR!$A:$C,3,0)-1,4)))))</f>
        <v>9.1800000000000007E-2</v>
      </c>
      <c r="DR4" s="28" t="str">
        <f>IF(DQ4="S/Desc","S/Desc",IF(ISERROR(IF(DQ4="","",VLOOKUP(($BC4&amp;DQ4&amp;"Template desconto % Sexy Hot + Playboy nível conta"),BENEFICIOS!$A:$G,5,0))),"Criar",IF(DQ4="","",VLOOKUP(($BC4&amp;DQ4&amp;"Template desconto % Sexy Hot + Playboy nível conta"),BENEFICIOS!$A:$G,5,0))))</f>
        <v>Criar</v>
      </c>
      <c r="DS4" s="8">
        <v>14.9</v>
      </c>
      <c r="DT4" s="3">
        <f>IF(DS4=0,"",IF(DS4=VLOOKUP("PCS-OzTL503",ARBOR!$A:$C,3,0),0.0001,IF(DS4&gt;VLOOKUP("PCS-OzTL503",ARBOR!$A:$C,3,0),"Maior que CAP!",IF((DOLLAR(DS4+(VLOOKUP("PCS-OzTL503",ARBOR!$A:$C,3,0)*-TRUNC(DS4/VLOOKUP("PCS-OzTL503",ARBOR!$A:$C,3,0)-1,4)),6))&lt;&gt;(DOLLAR(VLOOKUP("PCS-OzTL503",ARBOR!$A:$C,3,0),6)),-TRUNC(DS4/VLOOKUP("PCS-OzTL503",ARBOR!$A:$C,3,0)-1,4)+0.0001,-TRUNC(DS4/VLOOKUP("PCS-OzTL503",ARBOR!$A:$C,3,0)-1,4)))))</f>
        <v>9.1499999999999998E-2</v>
      </c>
      <c r="DU4" s="28" t="str">
        <f>IF(DT4="S/Desc","S/Desc",IF(ISERROR(IF(DT4="","",VLOOKUP(($BC4&amp;DT4&amp;"Template desconto % SexPrivê nível conta"),BENEFICIOS!$A:$G,5,0))),"Criar",IF(DT4="","",VLOOKUP(($BC4&amp;DT4&amp;"Template desconto % SexPrivê nível conta"),BENEFICIOS!$A:$G,5,0))))</f>
        <v>Criar</v>
      </c>
      <c r="DV4" s="8">
        <v>10</v>
      </c>
      <c r="DW4" s="3">
        <f>IF(DV4=0,"",IF(DV4=VLOOKUP("PCS-OzTL500",ARBOR!$A:$C,3,0),0.0001,IF(DV4&gt;VLOOKUP("PCS-OzTL500",ARBOR!$A:$C,3,0),"Maior que CAP!",IF((DOLLAR(DV4+(VLOOKUP("PCS-OzTL500",ARBOR!$A:$C,3,0)*-TRUNC(DV4/VLOOKUP("PCS-OzTL500",ARBOR!$A:$C,3,0)-1,4)),6))&lt;&gt;(DOLLAR(VLOOKUP("PCS-OzTL500",ARBOR!$A:$C,3,0),6)),-TRUNC(DV4/VLOOKUP("PCS-OzTL500",ARBOR!$A:$C,3,0)-1,4)+0.0001,-TRUNC(DV4/VLOOKUP("PCS-OzTL500",ARBOR!$A:$C,3,0)-1,4)))))</f>
        <v>9.1800000000000007E-2</v>
      </c>
      <c r="DX4" s="28" t="str">
        <f>IF(DW4="S/Desc","S/Desc",IF(ISERROR(IF(DW4="","",VLOOKUP(($BC4&amp;DW4&amp;"Template desconto % Étnico nível conta"),BENEFICIOS!$A:$G,5,0))),"Criar",IF(DW4="","",VLOOKUP(($BC4&amp;DW4&amp;"Template desconto % Étnico nível conta"),BENEFICIOS!$A:$G,5,0))))</f>
        <v>Criar</v>
      </c>
      <c r="DY4" s="8"/>
      <c r="DZ4" s="181" t="str">
        <f>IF(DY4=0,"",IF(DY4=VLOOKUP("PCS-OzTL50",ARBOR!$A:$C,3,0),0.0001,IF(DY4&gt;VLOOKUP("PCS-OzTL50",ARBOR!$A:$C,3,0),"Maior que CAP!",IF((DOLLAR(DY4+(VLOOKUP("PCS-OzTL50",ARBOR!$A:$C,3,0)*-TRUNC(DY4/VLOOKUP("PCS-OzTL50",ARBOR!$A:$C,3,0)-1,4)),6))&lt;&gt;(DOLLAR(VLOOKUP("PCS-OzTL50",ARBOR!$A:$C,3,0),6)),-TRUNC(DY4/VLOOKUP("PCS-OzTL50",ARBOR!$A:$C,3,0)-1,4)+0.0001,-TRUNC(DY4/VLOOKUP("PCS-OzTL50",ARBOR!$A:$C,3,0)-1,4)))))</f>
        <v/>
      </c>
      <c r="EA4" s="28"/>
      <c r="EB4" s="8"/>
      <c r="EC4" s="181" t="str">
        <f>IF(EB4=0,"",IF(EB4=VLOOKUP("PCS-OzTL51",ARBOR!$A:$C,3,0),0.0001,IF(EB4&gt;VLOOKUP("PCS-OzTL51",ARBOR!$A:$C,3,0),"Maior que CAP!",IF((DOLLAR(EB4+(VLOOKUP("PCS-OzTL51",ARBOR!$A:$C,3,0)*-TRUNC(EB4/VLOOKUP("PCS-OzTL51",ARBOR!$A:$C,3,0)-1,4)),6))&lt;&gt;(DOLLAR(VLOOKUP("PCS-OzTL51",ARBOR!$A:$C,3,0),6)),-TRUNC(EB4/VLOOKUP("PCS-OzTL51",ARBOR!$A:$C,3,0)-1,4)+0.0001,-TRUNC(EB4/VLOOKUP("PCS-OzTL51",ARBOR!$A:$C,3,0)-1,4)))))</f>
        <v/>
      </c>
      <c r="ED4" s="28"/>
      <c r="EE4" s="8"/>
      <c r="EF4" s="181" t="str">
        <f>IF(EE4=0,"",IF(EE4=VLOOKUP("PCS-OzTL52",ARBOR!$A:$C,3,0),0.0001,IF(EE4&gt;VLOOKUP("PCS-OzTL52",ARBOR!$A:$C,3,0),"Maior que CAP!",IF((DOLLAR(EE4+(VLOOKUP("PCS-OzTL52",ARBOR!$A:$C,3,0)*-TRUNC(EE4/VLOOKUP("PCS-OzTL52",ARBOR!$A:$C,3,0)-1,4)),6))&lt;&gt;(DOLLAR(VLOOKUP("PCS-OzTL52",ARBOR!$A:$C,3,0),6)),-TRUNC(EE4/VLOOKUP("PCS-OzTL52",ARBOR!$A:$C,3,0)-1,4)+0.0001,-TRUNC(EE4/VLOOKUP("PCS-OzTL52",ARBOR!$A:$C,3,0)-1,4)))))</f>
        <v/>
      </c>
      <c r="EG4" s="28"/>
      <c r="EH4" s="8"/>
      <c r="EI4" s="181" t="str">
        <f>IF(EH4=0,"",IF(EH4=VLOOKUP("PCS-OzTL53",ARBOR!$A:$C,3,0),0.0001,IF(EH4&gt;VLOOKUP("PCS-OzTL53",ARBOR!$A:$C,3,0),"Maior que CAP!",IF((DOLLAR(EH4+(VLOOKUP("PCS-OzTL53",ARBOR!$A:$C,3,0)*-TRUNC(EH4/VLOOKUP("PCS-OzTL53",ARBOR!$A:$C,3,0)-1,4)),6))&lt;&gt;(DOLLAR(VLOOKUP("PCS-OzTL53",ARBOR!$A:$C,3,0),6)),-TRUNC(EH4/VLOOKUP("PCS-OzTL53",ARBOR!$A:$C,3,0)-1,4)+0.0001,-TRUNC(EH4/VLOOKUP("PCS-OzTL53",ARBOR!$A:$C,3,0)-1,4)))))</f>
        <v/>
      </c>
      <c r="EJ4" s="28"/>
      <c r="EK4" s="8"/>
      <c r="EL4" s="181" t="str">
        <f>IF(EK4=0,"",IF(EK4=VLOOKUP("PCS-OzTL54",ARBOR!$A:$C,3,0),0.0001,IF(EK4&gt;VLOOKUP("PCS-OzTL54",ARBOR!$A:$C,3,0),"Maior que CAP!",IF((DOLLAR(EK4+(VLOOKUP("PCS-OzTL54",ARBOR!$A:$C,3,0)*-TRUNC(EK4/VLOOKUP("PCS-OzTL54",ARBOR!$A:$C,3,0)-1,4)),6))&lt;&gt;(DOLLAR(VLOOKUP("PCS-OzTL54",ARBOR!$A:$C,3,0),6)),-TRUNC(EK4/VLOOKUP("PCS-OzTL54",ARBOR!$A:$C,3,0)-1,4)+0.0001,-TRUNC(EK4/VLOOKUP("PCS-OzTL54",ARBOR!$A:$C,3,0)-1,4)))))</f>
        <v/>
      </c>
      <c r="EM4" s="28"/>
      <c r="EN4" s="8">
        <v>24.9</v>
      </c>
      <c r="EO4" s="3">
        <f>IF(EN4=0,"",IF(EN4=VLOOKUP("PCS-OzTL99",ARBOR!$A:$C,3,0),0.0001,IF(EN4&gt;VLOOKUP("PCS-OzTL99",ARBOR!$A:$C,3,0),"Maior que CAP!",IF((DOLLAR(EN4+(VLOOKUP("PCS-OzTL99",ARBOR!$A:$C,3,0)*-TRUNC(EN4/VLOOKUP("PCS-OzTL99",ARBOR!$A:$C,3,0)-1,4)),6))&lt;&gt;(DOLLAR(VLOOKUP("PCS-OzTL99",ARBOR!$A:$C,3,0),6)),-TRUNC(EN4/VLOOKUP("PCS-OzTL99",ARBOR!$A:$C,3,0)-1,4)+0.0001,-TRUNC(EN4/VLOOKUP("PCS-OzTL99",ARBOR!$A:$C,3,0)-1,4)))))</f>
        <v>0.16729999999999998</v>
      </c>
      <c r="EP4" s="28" t="str">
        <f>IF(EO4="S/Desc","S/Desc",IF(ISERROR(IF(EO4="","",VLOOKUP(($BC4&amp;EO4&amp;"Template desconto % Ponto adicional nível conta"),BENEFICIOS!$A:$G,5,0))),"Criar",IF(EO4="","",VLOOKUP(($BC4&amp;EO4&amp;"Template desconto % Ponto adicional nível conta"),BENEFICIOS!$A:$G,5,0))))</f>
        <v>Criar</v>
      </c>
      <c r="EQ4" s="8"/>
      <c r="ER4" s="28" t="str">
        <f t="shared" ref="ER4:ER17" si="1">IF(EQ4="Sim","PCS-34704","")</f>
        <v/>
      </c>
      <c r="ES4" s="62" t="s">
        <v>355</v>
      </c>
      <c r="ET4" s="126" t="s">
        <v>356</v>
      </c>
      <c r="EU4" s="127">
        <v>499</v>
      </c>
      <c r="EV4" s="126">
        <v>12</v>
      </c>
      <c r="EW4" s="128" t="str">
        <f t="shared" ref="EW4:EW17" si="2">IF(ET4="Benefício","Oi benefício fidelização Multiprodutos","")</f>
        <v>Oi benefício fidelização Multiprodutos</v>
      </c>
      <c r="EX4" s="129" t="str">
        <f t="shared" ref="EX4:EX17" si="3">IF(ET4="Benefício","PCS-Fk83324","")</f>
        <v>PCS-Fk83324</v>
      </c>
      <c r="EY4" s="91" t="str">
        <f t="shared" ref="EY4:EY17" si="4">IF(ES4="Sim","PCS-SBL553142","")</f>
        <v>PCS-SBL553142</v>
      </c>
      <c r="EZ4" s="85" t="s">
        <v>357</v>
      </c>
      <c r="FA4" s="97" t="s">
        <v>358</v>
      </c>
      <c r="FB4" s="91"/>
      <c r="FC4" s="85"/>
      <c r="FD4" s="97"/>
      <c r="FE4" s="91"/>
      <c r="FF4" s="87"/>
      <c r="FG4" s="144" t="str">
        <f t="shared" ref="FG4:FG67" si="5">IF($BH4="","",$BH4+$BE4)</f>
        <v/>
      </c>
      <c r="FH4" s="144">
        <f t="shared" ref="FH4:FH67" si="6">IF($BK4="","",$BK4+$BE4)</f>
        <v>154.9</v>
      </c>
      <c r="FI4" s="144" t="str">
        <f t="shared" ref="FI4:FI67" si="7">IF($BN4="","",$BN4+$BE4)</f>
        <v/>
      </c>
      <c r="FJ4" s="144" t="str">
        <f t="shared" ref="FJ4:FJ67" si="8">IF($BQ4="","",$BQ4+$BE4)</f>
        <v/>
      </c>
      <c r="FK4" s="144" t="str">
        <f t="shared" ref="FK4:FK67" si="9">IF($BT4="","",$BT4+$BE4)</f>
        <v/>
      </c>
      <c r="FL4" s="144" t="str">
        <f t="shared" ref="FL4:FL67" si="10">IF($BW4="","",$BW4+$BE4)</f>
        <v/>
      </c>
      <c r="FM4" s="144" t="str">
        <f t="shared" ref="FM4:FM67" si="11">IF($BZ4="","",$BZ4+$BE4)</f>
        <v/>
      </c>
      <c r="FN4" s="144" t="str">
        <f t="shared" ref="FN4:FN67" si="12">IF($CC4="","",$CC4+$BE4)</f>
        <v/>
      </c>
      <c r="FO4" s="144" t="str">
        <f t="shared" ref="FO4:FO67" si="13">IF($CF4="","",$CF4+$BE4)</f>
        <v/>
      </c>
      <c r="FP4" s="144">
        <f t="shared" ref="FP4:FP67" si="14">IF($CI4="","",$CI4+$BE4)</f>
        <v>164.9</v>
      </c>
      <c r="FQ4" s="144" t="str">
        <f t="shared" ref="FQ4:FQ67" si="15">IF($CL4="","",$CL4+$BE4)</f>
        <v/>
      </c>
      <c r="FR4" s="144" t="str">
        <f t="shared" ref="FR4:FR67" si="16">IF($CO4="","",$CO4+$BE4)</f>
        <v/>
      </c>
      <c r="FS4" s="144" t="str">
        <f t="shared" ref="FS4:FS67" si="17">IF($CR4="","",$CR4+$BE4)</f>
        <v/>
      </c>
      <c r="FT4" s="144">
        <f t="shared" ref="FT4:FT67" si="18">IF($CU4="","",$CU4+$BE4)</f>
        <v>184.9</v>
      </c>
      <c r="FU4" s="144" t="str">
        <f t="shared" ref="FU4:FU67" si="19">IF($CX4="","",$CX4+$BE4)</f>
        <v/>
      </c>
      <c r="FV4" s="144" t="str">
        <f t="shared" ref="FV4:FV67" si="20">IF($DA4="","",$DA4+$BE4)</f>
        <v/>
      </c>
      <c r="FW4" s="144" t="str">
        <f t="shared" ref="FW4:FW67" si="21">IF($DD4="","",$DD4+$BE4)</f>
        <v/>
      </c>
      <c r="FX4" s="148"/>
      <c r="FY4" s="149"/>
      <c r="FZ4" s="149"/>
      <c r="GA4" s="149"/>
      <c r="GB4" s="149"/>
      <c r="GC4" s="149"/>
      <c r="GD4" s="149"/>
      <c r="GE4" s="149"/>
      <c r="GF4" s="149"/>
      <c r="GG4" s="150"/>
    </row>
    <row r="5" spans="1:189">
      <c r="A5" s="45" t="s">
        <v>339</v>
      </c>
      <c r="B5" s="133" t="s">
        <v>340</v>
      </c>
      <c r="C5" s="204" t="s">
        <v>341</v>
      </c>
      <c r="D5" s="46" t="s">
        <v>342</v>
      </c>
      <c r="E5" s="4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9"/>
      <c r="U5" s="48"/>
      <c r="V5" s="49"/>
      <c r="W5" s="48"/>
      <c r="X5" s="48"/>
      <c r="Y5" s="48"/>
      <c r="Z5" s="48"/>
      <c r="AA5" s="49"/>
      <c r="AB5" s="48"/>
      <c r="AC5" s="63"/>
      <c r="AD5" s="48"/>
      <c r="AE5" s="48"/>
      <c r="AF5" s="48"/>
      <c r="AG5" s="48"/>
      <c r="AH5" s="48"/>
      <c r="AI5" s="48"/>
      <c r="AJ5" s="48"/>
      <c r="AK5" s="48"/>
      <c r="AL5" s="51"/>
      <c r="AM5" s="205" t="s">
        <v>345</v>
      </c>
      <c r="AN5" s="38" t="s">
        <v>350</v>
      </c>
      <c r="AO5" s="39" t="s">
        <v>351</v>
      </c>
      <c r="AP5" s="52">
        <v>42917</v>
      </c>
      <c r="AQ5" s="53">
        <v>43039</v>
      </c>
      <c r="AR5" s="64" t="s">
        <v>352</v>
      </c>
      <c r="AS5" s="65" t="s">
        <v>352</v>
      </c>
      <c r="AT5" s="54"/>
      <c r="AU5" s="54" t="s">
        <v>353</v>
      </c>
      <c r="AV5" s="54">
        <v>20</v>
      </c>
      <c r="AW5" s="54">
        <v>10000</v>
      </c>
      <c r="AX5" s="70" t="s">
        <v>354</v>
      </c>
      <c r="AY5" s="71" t="s">
        <v>355</v>
      </c>
      <c r="AZ5" s="72" t="s">
        <v>355</v>
      </c>
      <c r="BA5" s="73" t="s">
        <v>342</v>
      </c>
      <c r="BB5" s="55" t="s">
        <v>345</v>
      </c>
      <c r="BC5" s="56" t="s">
        <v>230</v>
      </c>
      <c r="BD5" s="27" t="str">
        <f t="shared" si="0"/>
        <v>PCS-2PHipi</v>
      </c>
      <c r="BE5" s="207">
        <v>60</v>
      </c>
      <c r="BF5" s="3">
        <f>IF(BE5=0,"",IF(BE5=VLOOKUP("FIXO",ARBOR!$A:$C,3,0),0.0001,IF(BE5&gt;VLOOKUP("FIXO",ARBOR!$A:$C,3,0),"Maior que CAP!",IF((DOLLAR(BE5+(VLOOKUP("FIXO",ARBOR!$A:$C,3,0)*-TRUNC(BE5/VLOOKUP("FIXO",ARBOR!$A:$C,3,0)-1,4)),6))&lt;&gt;(DOLLAR(VLOOKUP("FIXO",ARBOR!$A:$C,3,0),6)),-TRUNC(BE5/VLOOKUP("FIXO",ARBOR!$A:$C,3,0)-1,4)+0.0001,-TRUNC(BE5/VLOOKUP("FIXO",ARBOR!$A:$C,3,0)-1,4)))))</f>
        <v>0.2089</v>
      </c>
      <c r="BG5" s="10" t="str">
        <f>IF(ISERROR(IF(BF5="","",VLOOKUP(($BC5&amp;BF5&amp;"Template de desconto FLAT bundle - Fixo - Varejo - Ganho Tributário Cross"),BENEFICIOS!$A:$G,5,0))),"Criar",IF(BF5="","",VLOOKUP(($BC5&amp;BF5&amp;"Template de desconto FLAT bundle - Fixo - Varejo - Ganho Tributário Cross"),BENEFICIOS!$A:$G,5,0)))</f>
        <v>Criar</v>
      </c>
      <c r="BH5" s="8"/>
      <c r="BI5" s="3" t="str">
        <f>IF(BH5=0,"",IF(BH5=VLOOKUP("PCS-OzTL40",ARBOR!$A:$C,3,0),0.0001,IF(BH5&gt;VLOOKUP("PCS-OzTL40",ARBOR!$A:$C,3,0),"Maior que CAP!",IF((DOLLAR(BH5+(VLOOKUP("PCS-OzTL40",ARBOR!$A:$C,3,0)*-TRUNC(BH5/VLOOKUP("PCS-OzTL40",ARBOR!$A:$C,3,0)-1,4)),6))&lt;&gt;(DOLLAR(VLOOKUP("PCS-OzTL40",ARBOR!$A:$C,3,0),6)),-TRUNC(BH5/VLOOKUP("PCS-OzTL40",ARBOR!$A:$C,3,0)-1,4)+0.0001,-TRUNC(BH5/VLOOKUP("PCS-OzTL40",ARBOR!$A:$C,3,0)-1,4)))))</f>
        <v/>
      </c>
      <c r="BJ5" s="10" t="str">
        <f>IF(ISERROR(IF(BI5="","",VLOOKUP((BC5&amp;BI5&amp;"Template desconto FLAT Plano Principal Oi TV nível conta"),BENEFICIOS!$A:$G,5,0))),"Criar",IF(BI5="","",VLOOKUP((BC5&amp;BI5&amp;"Template desconto FLAT Plano Principal Oi TV nível conta"),BENEFICIOS!$A:$G,5,0)))</f>
        <v/>
      </c>
      <c r="BK5" s="8"/>
      <c r="BL5" s="3" t="str">
        <f>IF(BK5=0,"",IF(BK5=VLOOKUP("PCS-OzTL41",ARBOR!$A:$C,3,0),0.0001,IF(BK5&gt;VLOOKUP("PCS-OzTL41",ARBOR!$A:$C,3,0),"Maior que CAP!",IF((DOLLAR(BK5+(VLOOKUP("PCS-OzTL41",ARBOR!$A:$C,3,0)*-TRUNC(BK5/VLOOKUP("PCS-OzTL41",ARBOR!$A:$C,3,0)-1,4)),6))&lt;&gt;(DOLLAR(VLOOKUP("PCS-OzTL41",ARBOR!$A:$C,3,0),6)),-TRUNC(BK5/VLOOKUP("PCS-OzTL41",ARBOR!$A:$C,3,0)-1,4)+0.0001,-TRUNC(BK5/VLOOKUP("PCS-OzTL41",ARBOR!$A:$C,3,0)-1,4)))))</f>
        <v/>
      </c>
      <c r="BM5" s="28" t="str">
        <f>IF(ISERROR(IF(BL5="","",VLOOKUP((BC5&amp;BL5&amp;"Template desconto FLAT Plano Principal Oi TV nível conta"),BENEFICIOS!$A:$G,5,0))),"Criar",IF(BL5="","",VLOOKUP((BC5&amp;BL5&amp;"Template desconto FLAT Plano Principal Oi TV nível conta"),BENEFICIOS!$A:$G,5,0)))</f>
        <v/>
      </c>
      <c r="BN5" s="8">
        <v>124.9</v>
      </c>
      <c r="BO5" s="3">
        <f>IF(BN5=0,"",IF(BN5=VLOOKUP("PCS-OzTL44",ARBOR!$A:$C,3,0),0.0001,IF(BN5&gt;VLOOKUP("PCS-OzTL44",ARBOR!$A:$C,3,0),"Maior que CAP!",IF((DOLLAR(BN5+(VLOOKUP("PCS-OzTL44",ARBOR!$A:$C,3,0)*-TRUNC(BN5/VLOOKUP("PCS-OzTL44",ARBOR!$A:$C,3,0)-1,4)),6))&lt;&gt;(DOLLAR(VLOOKUP("PCS-OzTL44",ARBOR!$A:$C,3,0),6)),-TRUNC(BN5/VLOOKUP("PCS-OzTL44",ARBOR!$A:$C,3,0)-1,4)+0.0001,-TRUNC(BN5/VLOOKUP("PCS-OzTL44",ARBOR!$A:$C,3,0)-1,4)))))</f>
        <v>0.35159999999999997</v>
      </c>
      <c r="BP5" s="28" t="str">
        <f>IF(ISERROR(IF(BO5="","",VLOOKUP((BC5&amp;BO5&amp;"Template desconto FLAT Plano Principal Oi TV nível conta"),BENEFICIOS!$A:$G,5,0))),"Criar",IF(BO5="","",VLOOKUP((BC5&amp;BO5&amp;"Template desconto FLAT Plano Principal Oi TV nível conta"),BENEFICIOS!$A:$G,5,0)))</f>
        <v>Criar</v>
      </c>
      <c r="BQ5" s="8">
        <v>124.9</v>
      </c>
      <c r="BR5" s="3">
        <f>IF(BQ5=0,"",IF(BQ5=VLOOKUP("PCS-OzTL43",ARBOR!$A:$C,3,0),0.0001,IF(BQ5&gt;VLOOKUP("PCS-OzTL43",ARBOR!$A:$C,3,0),"Maior que CAP!",IF((DOLLAR(BQ5+(VLOOKUP("PCS-OzTL43",ARBOR!$A:$C,3,0)*-TRUNC(BQ5/VLOOKUP("PCS-OzTL43",ARBOR!$A:$C,3,0)-1,4)),6))&lt;&gt;(DOLLAR(VLOOKUP("PCS-OzTL43",ARBOR!$A:$C,3,0),6)),-TRUNC(BQ5/VLOOKUP("PCS-OzTL43",ARBOR!$A:$C,3,0)-1,4)+0.0001,-TRUNC(BQ5/VLOOKUP("PCS-OzTL43",ARBOR!$A:$C,3,0)-1,4)))))</f>
        <v>0.38669999999999999</v>
      </c>
      <c r="BS5" s="28" t="str">
        <f>IF(ISERROR(IF(BR5="","",VLOOKUP((BC5&amp;BR5&amp;"Template desconto FLAT Plano Principal Oi TV nível conta"),BENEFICIOS!$A:$G,5,0))),"Criar",IF(BR5="","",VLOOKUP((BC5&amp;BR5&amp;"Template desconto FLAT Plano Principal Oi TV nível conta"),BENEFICIOS!$A:$G,5,0)))</f>
        <v>Criar</v>
      </c>
      <c r="BT5" s="8">
        <v>154.9</v>
      </c>
      <c r="BU5" s="3">
        <f>IF(BT5=0,"",IF(BT5=VLOOKUP("PCS-OzTL45",ARBOR!$A:$C,3,0),0.0001,IF(BT5&gt;VLOOKUP("PCS-OzTL45",ARBOR!$A:$C,3,0),"Maior que CAP!",IF((DOLLAR(BT5+(VLOOKUP("PCS-OzTL45",ARBOR!$A:$C,3,0)*-TRUNC(BT5/VLOOKUP("PCS-OzTL45",ARBOR!$A:$C,3,0)-1,4)),6))&lt;&gt;(DOLLAR(VLOOKUP("PCS-OzTL45",ARBOR!$A:$C,3,0),6)),-TRUNC(BT5/VLOOKUP("PCS-OzTL45",ARBOR!$A:$C,3,0)-1,4)+0.0001,-TRUNC(BT5/VLOOKUP("PCS-OzTL45",ARBOR!$A:$C,3,0)-1,4)))))</f>
        <v>0.25939999999999996</v>
      </c>
      <c r="BV5" s="28" t="str">
        <f>IF(ISERROR(IF(BU5="","",VLOOKUP((BC5&amp;BU5&amp;"Template desconto FLAT Plano Principal Oi TV nível conta"),BENEFICIOS!$A:$G,5,0))),"Criar",IF(BU5="","",VLOOKUP((BC5&amp;BU5&amp;"Template desconto FLAT Plano Principal Oi TV nível conta"),BENEFICIOS!$A:$G,5,0)))</f>
        <v>Criar</v>
      </c>
      <c r="BW5" s="8"/>
      <c r="BX5" s="3" t="str">
        <f>IF(BW5=0,"",IF(BW5=VLOOKUP("PCS-OzTL741",ARBOR!$A:$C,3,0),0.0001,IF(BW5&gt;VLOOKUP("PCS-OzTL741",ARBOR!$A:$C,3,0),"Maior que CAP!",IF((DOLLAR(BW5+(VLOOKUP("PCS-OzTL741",ARBOR!$A:$C,3,0)*-TRUNC(BW5/VLOOKUP("PCS-OzTL741",ARBOR!$A:$C,3,0)-1,4)),6))&lt;&gt;(DOLLAR(VLOOKUP("PCS-OzTL741",ARBOR!$A:$C,3,0),6)),-TRUNC(BW5/VLOOKUP("PCS-OzTL741",ARBOR!$A:$C,3,0)-1,4)+0.0001,-TRUNC(BW5/VLOOKUP("PCS-OzTL741",ARBOR!$A:$C,3,0)-1,4)))))</f>
        <v/>
      </c>
      <c r="BY5" s="28" t="str">
        <f>IF(ISERROR(IF(BX5="","",VLOOKUP((BC5&amp;BX5&amp;"Template desconto FLAT Plano Principal Oi TV nível conta"),BENEFICIOS!$A:$G,5,0))),"Criar",IF(BX5="","",VLOOKUP((BC5&amp;BX5&amp;"Template desconto FLAT Plano Principal Oi TV nível conta"),BENEFICIOS!$A:$G,5,0)))</f>
        <v/>
      </c>
      <c r="BZ5" s="8"/>
      <c r="CA5" s="3" t="str">
        <f>IF(BZ5=0,"",IF(BZ5=VLOOKUP("PCS-OzTL744",ARBOR!$A:$C,3,0),0.0001,IF(BZ5&gt;VLOOKUP("PCS-OzTL744",ARBOR!$A:$C,3,0),"Maior que CAP!",IF((DOLLAR(BZ5+(VLOOKUP("PCS-OzTL744",ARBOR!$A:$C,3,0)*-TRUNC(BZ5/VLOOKUP("PCS-OzTL744",ARBOR!$A:$C,3,0)-1,4)),6))&lt;&gt;(DOLLAR(VLOOKUP("PCS-OzTL744",ARBOR!$A:$C,3,0),6)),-TRUNC(BZ5/VLOOKUP("PCS-OzTL744",ARBOR!$A:$C,3,0)-1,4)+0.0001,-TRUNC(BZ5/VLOOKUP("PCS-OzTL744",ARBOR!$A:$C,3,0)-1,4)))))</f>
        <v/>
      </c>
      <c r="CB5" s="28" t="str">
        <f>IF(ISERROR(IF(CA5="","",VLOOKUP(($BC5&amp;CA5&amp;"Template desconto FLAT Plano Principal Oi TV nível conta"),BENEFICIOS!$A:$G,5,0))),"Criar",IF(CA5="","",VLOOKUP(($BC5&amp;CA5&amp;"Template desconto FLAT Plano Principal Oi TV nível conta"),BENEFICIOS!$A:$G,5,0)))</f>
        <v/>
      </c>
      <c r="CC5" s="8"/>
      <c r="CD5" s="3" t="str">
        <f>IF(CC5=0,"",IF(CC5=VLOOKUP("PCS-OzTL743",ARBOR!$A:$C,3,0),0.0001,IF(CC5&gt;VLOOKUP("PCS-OzTL743",ARBOR!$A:$C,3,0),"Maior que CAP!",IF((DOLLAR(CC5+(VLOOKUP("PCS-OzTL743",ARBOR!$A:$C,3,0)*-TRUNC(CC5/VLOOKUP("PCS-OzTL743",ARBOR!$A:$C,3,0)-1,4)),6))&lt;&gt;(DOLLAR(VLOOKUP("PCS-OzTL743",ARBOR!$A:$C,3,0),6)),-TRUNC(CC5/VLOOKUP("PCS-OzTL743",ARBOR!$A:$C,3,0)-1,4)+0.0001,-TRUNC(CC5/VLOOKUP("PCS-OzTL743",ARBOR!$A:$C,3,0)-1,4)))))</f>
        <v/>
      </c>
      <c r="CE5" s="28" t="str">
        <f>IF(ISERROR(IF(CD5="","",VLOOKUP(($BC5&amp;CD5&amp;"Template desconto FLAT Plano Principal Oi TV nível conta"),BENEFICIOS!$A:$G,5,0))),"Criar",IF(CD5="","",VLOOKUP(($BC5&amp;CD5&amp;"Template desconto FLAT Plano Principal Oi TV nível conta"),BENEFICIOS!$A:$G,5,0)))</f>
        <v/>
      </c>
      <c r="CF5" s="8"/>
      <c r="CG5" s="3" t="str">
        <f>IF(CF5=0,"",IF(CF5=VLOOKUP("PCS-OzTL745",ARBOR!$A:$C,3,0),0.0001,IF(CF5&gt;VLOOKUP("PCS-OzTL745",ARBOR!$A:$C,3,0),"Maior que CAP!",IF((DOLLAR(CF5+(VLOOKUP("PCS-OzTL745",ARBOR!$A:$C,3,0)*-TRUNC(CF5/VLOOKUP("PCS-OzTL745",ARBOR!$A:$C,3,0)-1,4)),6))&lt;&gt;(DOLLAR(VLOOKUP("PCS-OzTL745",ARBOR!$A:$C,3,0),6)),-TRUNC(CF5/VLOOKUP("PCS-OzTL745",ARBOR!$A:$C,3,0)-1,4)+0.0001,-TRUNC(CF5/VLOOKUP("PCS-OzTL745",ARBOR!$A:$C,3,0)-1,4)))))</f>
        <v/>
      </c>
      <c r="CH5" s="28" t="str">
        <f>IF(ISERROR(IF(CG5="","",VLOOKUP(($BC5&amp;CG5&amp;"Template desconto FLAT Plano Principal Oi TV nível conta"),BENEFICIOS!$A:$G,5,0))),"Criar",IF(CG5="","",VLOOKUP(($BC5&amp;CG5&amp;"Template desconto FLAT Plano Principal Oi TV nível conta"),BENEFICIOS!$A:$G,5,0)))</f>
        <v/>
      </c>
      <c r="CI5" s="8"/>
      <c r="CJ5" s="3" t="str">
        <f>IF(CI5=0,"",IF(CI5=VLOOKUP("PCS-OzTL42",ARBOR!$A:$C,3,0),0.0001,IF(CI5&gt;VLOOKUP("PCS-OzTL42",ARBOR!$A:$C,3,0),"Maior que CAP!",IF((DOLLAR(CI5+(VLOOKUP("PCS-OzTL42",ARBOR!$A:$C,3,0)*-TRUNC(CI5/VLOOKUP("PCS-OzTL42",ARBOR!$A:$C,3,0)-1,4)),6))&lt;&gt;(DOLLAR(VLOOKUP("PCS-OzTL42",ARBOR!$A:$C,3,0),6)),-TRUNC(CI5/VLOOKUP("PCS-OzTL42",ARBOR!$A:$C,3,0)-1,4)+0.0001,-TRUNC(CI5/VLOOKUP("PCS-OzTL42",ARBOR!$A:$C,3,0)-1,4)))))</f>
        <v/>
      </c>
      <c r="CK5" s="28" t="str">
        <f>IF(ISERROR(IF(CJ5="","",VLOOKUP(($BC5&amp;CJ5&amp;"Template desconto FLAT Plano Principal Oi TV nível conta"),BENEFICIOS!$A:$G,5,0))),"Criar",IF(CJ5="","",VLOOKUP(($BC5&amp;CJ5&amp;"Template desconto FLAT Plano Principal Oi TV nível conta"),BENEFICIOS!$A:$G,5,0)))</f>
        <v/>
      </c>
      <c r="CL5" s="8">
        <v>134.9</v>
      </c>
      <c r="CM5" s="3">
        <f>IF(CL5=0,"",IF(CL5=VLOOKUP("PCS-OzTL47",ARBOR!$A:$C,3,0),0.0001,IF(CL5&gt;VLOOKUP("PCS-OzTL47",ARBOR!$A:$C,3,0),"Maior que CAP!",IF((DOLLAR(CL5+(VLOOKUP("PCS-OzTL47",ARBOR!$A:$C,3,0)*-TRUNC(CL5/VLOOKUP("PCS-OzTL47",ARBOR!$A:$C,3,0)-1,4)),6))&lt;&gt;(DOLLAR(VLOOKUP("PCS-OzTL47",ARBOR!$A:$C,3,0),6)),-TRUNC(CL5/VLOOKUP("PCS-OzTL47",ARBOR!$A:$C,3,0)-1,4)+0.0001,-TRUNC(CL5/VLOOKUP("PCS-OzTL47",ARBOR!$A:$C,3,0)-1,4)))))</f>
        <v>0.33760000000000001</v>
      </c>
      <c r="CN5" s="28" t="str">
        <f>IF(ISERROR(IF(CM5="","",VLOOKUP(($BC5&amp;CM5&amp;"Template desconto FLAT Plano Principal Oi TV nível conta"),BENEFICIOS!$A:$G,5,0))),"Criar",IF(CM5="","",VLOOKUP(($BC5&amp;CM5&amp;"Template desconto FLAT Plano Principal Oi TV nível conta"),BENEFICIOS!$A:$G,5,0)))</f>
        <v>Criar</v>
      </c>
      <c r="CO5" s="8">
        <v>134.9</v>
      </c>
      <c r="CP5" s="3">
        <f>IF(CO5=0,"",IF(CO5=VLOOKUP("PCS-OzTL46",ARBOR!$A:$C,3,0),0.0001,IF(CO5&gt;VLOOKUP("PCS-OzTL46",ARBOR!$A:$C,3,0),"Maior que CAP!",IF((DOLLAR(CO5+(VLOOKUP("PCS-OzTL46",ARBOR!$A:$C,3,0)*-TRUNC(CO5/VLOOKUP("PCS-OzTL46",ARBOR!$A:$C,3,0)-1,4)),6))&lt;&gt;(DOLLAR(VLOOKUP("PCS-OzTL46",ARBOR!$A:$C,3,0),6)),-TRUNC(CO5/VLOOKUP("PCS-OzTL46",ARBOR!$A:$C,3,0)-1,4)+0.0001,-TRUNC(CO5/VLOOKUP("PCS-OzTL46",ARBOR!$A:$C,3,0)-1,4)))))</f>
        <v>0.37159999999999999</v>
      </c>
      <c r="CQ5" s="28" t="str">
        <f>IF(ISERROR(IF(CP5="","",VLOOKUP(($BC5&amp;CP5&amp;"Template desconto FLAT Plano Principal Oi TV nível conta"),BENEFICIOS!$A:$G,5,0))),"Criar",IF(CP5="","",VLOOKUP(($BC5&amp;CP5&amp;"Template desconto FLAT Plano Principal Oi TV nível conta"),BENEFICIOS!$A:$G,5,0)))</f>
        <v>Criar</v>
      </c>
      <c r="CR5" s="8">
        <v>164.9</v>
      </c>
      <c r="CS5" s="3">
        <f>IF(CR5=0,"",IF(CR5=VLOOKUP("PCS-OzTL48",ARBOR!$A:$C,3,0),0.0001,IF(CR5&gt;VLOOKUP("PCS-OzTL48",ARBOR!$A:$C,3,0),"Maior que CAP!",IF((DOLLAR(CR5+(VLOOKUP("PCS-OzTL48",ARBOR!$A:$C,3,0)*-TRUNC(CR5/VLOOKUP("PCS-OzTL48",ARBOR!$A:$C,3,0)-1,4)),6))&lt;&gt;(DOLLAR(VLOOKUP("PCS-OzTL48",ARBOR!$A:$C,3,0),6)),-TRUNC(CR5/VLOOKUP("PCS-OzTL48",ARBOR!$A:$C,3,0)-1,4)+0.0001,-TRUNC(CR5/VLOOKUP("PCS-OzTL48",ARBOR!$A:$C,3,0)-1,4)))))</f>
        <v>0.34870000000000001</v>
      </c>
      <c r="CT5" s="28" t="str">
        <f>IF(ISERROR(IF(CS5="","",VLOOKUP(($BC5&amp;CS5&amp;"Template desconto FLAT Plano Principal Oi TV nível conta"),BENEFICIOS!$A:$G,5,0))),"Criar",IF(CS5="","",VLOOKUP(($BC5&amp;CS5&amp;"Template desconto FLAT Plano Principal Oi TV nível conta"),BENEFICIOS!$A:$G,5,0)))</f>
        <v>Criar</v>
      </c>
      <c r="CU5" s="8"/>
      <c r="CV5" s="3" t="str">
        <f>IF(CU5=0,"",IF(CU5=VLOOKUP("PCS-OzTL742",ARBOR!$A:$C,3,0),0.0001,IF(CU5&gt;VLOOKUP("PCS-OzTL742",ARBOR!$A:$C,3,0),"Maior que CAP!",IF((DOLLAR(CU5+(VLOOKUP("PCS-OzTL742",ARBOR!$A:$C,3,0)*-TRUNC(CU5/VLOOKUP("PCS-OzTL742",ARBOR!$A:$C,3,0)-1,4)),6))&lt;&gt;(DOLLAR(VLOOKUP("PCS-OzTL742",ARBOR!$A:$C,3,0),6)),-TRUNC(CU5/VLOOKUP("PCS-OzTL742",ARBOR!$A:$C,3,0)-1,4)+0.0001,-TRUNC(CU5/VLOOKUP("PCS-OzTL742",ARBOR!$A:$C,3,0)-1,4)))))</f>
        <v/>
      </c>
      <c r="CW5" s="28" t="str">
        <f>IF(ISERROR(IF(CV5="","",VLOOKUP(($BC5&amp;CV5&amp;"Template desconto FLAT Plano Principal Oi TV nível conta"),BENEFICIOS!$A:$G,5,0))),"Criar",IF(CV5="","",VLOOKUP(($BC5&amp;CV5&amp;"Template desconto FLAT Plano Principal Oi TV nível conta"),BENEFICIOS!$A:$G,5,0)))</f>
        <v/>
      </c>
      <c r="CX5" s="8">
        <v>154.9</v>
      </c>
      <c r="CY5" s="3">
        <f>IF(CX5=0,"",IF(CX5=VLOOKUP("PCS-OzTL747",ARBOR!$A:$C,3,0),0.0001,IF(CX5&gt;VLOOKUP("PCS-OzTL747",ARBOR!$A:$C,3,0),"Maior que CAP!",IF((DOLLAR(CX5+(VLOOKUP("PCS-OzTL747",ARBOR!$A:$C,3,0)*-TRUNC(CX5/VLOOKUP("PCS-OzTL747",ARBOR!$A:$C,3,0)-1,4)),6))&lt;&gt;(DOLLAR(VLOOKUP("PCS-OzTL747",ARBOR!$A:$C,3,0),6)),-TRUNC(CX5/VLOOKUP("PCS-OzTL747",ARBOR!$A:$C,3,0)-1,4)+0.0001,-TRUNC(CX5/VLOOKUP("PCS-OzTL747",ARBOR!$A:$C,3,0)-1,4)))))</f>
        <v>0.40129999999999999</v>
      </c>
      <c r="CZ5" s="28" t="str">
        <f>IF(ISERROR(IF(CY5="","",VLOOKUP(($BC5&amp;CY5&amp;"Template desconto FLAT Plano Principal Oi TV nível conta"),BENEFICIOS!$A:$G,5,0))),"Criar",IF(CY5="","",VLOOKUP(($BC5&amp;CY5&amp;"Template desconto FLAT Plano Principal Oi TV nível conta"),BENEFICIOS!$A:$G,5,0)))</f>
        <v>Criar</v>
      </c>
      <c r="DA5" s="8">
        <v>154.9</v>
      </c>
      <c r="DB5" s="3">
        <f>IF(DA5=0,"",IF(DA5=VLOOKUP("PCS-OzTL746",ARBOR!$A:$C,3,0),0.0001,IF(DA5&gt;VLOOKUP("PCS-OzTL746",ARBOR!$A:$C,3,0),"Maior que CAP!",IF((DOLLAR(DA5+(VLOOKUP("PCS-OzTL746",ARBOR!$A:$C,3,0)*-TRUNC(DA5/VLOOKUP("PCS-OzTL746",ARBOR!$A:$C,3,0)-1,4)),6))&lt;&gt;(DOLLAR(VLOOKUP("PCS-OzTL746",ARBOR!$A:$C,3,0),6)),-TRUNC(DA5/VLOOKUP("PCS-OzTL746",ARBOR!$A:$C,3,0)-1,4)+0.0001,-TRUNC(DA5/VLOOKUP("PCS-OzTL746",ARBOR!$A:$C,3,0)-1,4)))))</f>
        <v>0.42569999999999997</v>
      </c>
      <c r="DC5" s="28" t="str">
        <f>IF(ISERROR(IF(DB5="","",VLOOKUP(($BC5&amp;DB5&amp;"Template desconto FLAT Plano Principal Oi TV nível conta"),BENEFICIOS!$A:$G,5,0))),"Criar",IF(DB5="","",VLOOKUP(($BC5&amp;DB5&amp;"Template desconto FLAT Plano Principal Oi TV nível conta"),BENEFICIOS!$A:$G,5,0)))</f>
        <v>Criar</v>
      </c>
      <c r="DD5" s="8">
        <v>184.9</v>
      </c>
      <c r="DE5" s="3">
        <f>IF(DD5=0,"",IF(DD5=VLOOKUP("PCS-OzTL748",ARBOR!$A:$C,3,0),0.0001,IF(DD5&gt;VLOOKUP("PCS-OzTL748",ARBOR!$A:$C,3,0),"Maior que CAP!",IF((DOLLAR(DD5+(VLOOKUP("PCS-OzTL748",ARBOR!$A:$C,3,0)*-TRUNC(DD5/VLOOKUP("PCS-OzTL748",ARBOR!$A:$C,3,0)-1,4)),6))&lt;&gt;(DOLLAR(VLOOKUP("PCS-OzTL748",ARBOR!$A:$C,3,0),6)),-TRUNC(DD5/VLOOKUP("PCS-OzTL748",ARBOR!$A:$C,3,0)-1,4)+0.0001,-TRUNC(DD5/VLOOKUP("PCS-OzTL748",ARBOR!$A:$C,3,0)-1,4)))))</f>
        <v>0.4002</v>
      </c>
      <c r="DF5" s="28" t="str">
        <f>IF(ISERROR(IF(DE5="","",VLOOKUP(($BC5&amp;DE5&amp;"Template desconto FLAT Plano Principal Oi TV nível conta"),BENEFICIOS!$A:$G,5,0))),"Criar",IF(DE5="","",VLOOKUP(($BC5&amp;DE5&amp;"Template desconto FLAT Plano Principal Oi TV nível conta"),BENEFICIOS!$A:$G,5,0)))</f>
        <v>Criar</v>
      </c>
      <c r="DG5" s="8">
        <v>75</v>
      </c>
      <c r="DH5" s="3">
        <f>IF(DG5=0,"",IF(DG5=VLOOKUP("PCS-OzTL34",ARBOR!$A:$C,3,0),0.0001,IF(DG5&gt;VLOOKUP("PCS-OzTL34",ARBOR!$A:$C,3,0),"Maior que CAP!",IF((DOLLAR(DG5+(VLOOKUP("PCS-OzTL34",ARBOR!$A:$C,3,0)*-TRUNC(DG5/VLOOKUP("PCS-OzTL34",ARBOR!$A:$C,3,0)-1,4)),6))&lt;&gt;(DOLLAR(VLOOKUP("PCS-OzTL34",ARBOR!$A:$C,3,0),6)),-TRUNC(DG5/VLOOKUP("PCS-OzTL34",ARBOR!$A:$C,3,0)-1,4)+0.0001,-TRUNC(DG5/VLOOKUP("PCS-OzTL34",ARBOR!$A:$C,3,0)-1,4)))))</f>
        <v>0.31900000000000001</v>
      </c>
      <c r="DI5" s="28" t="str">
        <f>IF(DH5="S/Desc","S/Desc",IF(ISERROR(IF(DH5="","",VLOOKUP(($BC5&amp;DH5&amp;"Template desconto % Combate nível conta"),BENEFICIOS!$A:$G,5,0))),"Criar",IF(DH5="","",VLOOKUP(($BC5&amp;DH5&amp;"Template desconto % Combate nível conta"),BENEFICIOS!$A:$G,5,0))))</f>
        <v>Criar</v>
      </c>
      <c r="DJ5" s="8">
        <v>19.899999999999999</v>
      </c>
      <c r="DK5" s="3">
        <f>IF(DJ5=0,"",IF(DJ5=VLOOKUP("PCS-OzTL31",ARBOR!$A:$C,3,0),0.0001,IF(DJ5&gt;VLOOKUP("PCS-OzTL31",ARBOR!$A:$C,3,0),"Maior que CAP!",IF((DOLLAR(DJ5+(VLOOKUP("PCS-OzTL31",ARBOR!$A:$C,3,0)*-TRUNC(DJ5/VLOOKUP("PCS-OzTL31",ARBOR!$A:$C,3,0)-1,4)),6))&lt;&gt;(DOLLAR(VLOOKUP("PCS-OzTL31",ARBOR!$A:$C,3,0),6)),-TRUNC(DJ5/VLOOKUP("PCS-OzTL31",ARBOR!$A:$C,3,0)-1,4)+0.0001,-TRUNC(DJ5/VLOOKUP("PCS-OzTL31",ARBOR!$A:$C,3,0)-1,4)))))</f>
        <v>9.1800000000000007E-2</v>
      </c>
      <c r="DL5" s="28" t="str">
        <f>IF(DK5="S/Desc","S/Desc",IF(ISERROR(IF(DK5="","",VLOOKUP(($BC5&amp;DK5&amp;"Template desconto % Sexy Hot nível conta"),BENEFICIOS!$A:$G,5,0))),"Criar",IF(DK5="","",VLOOKUP(($BC5&amp;DK5&amp;"Template desconto % Sexy Hot nível conta"),BENEFICIOS!$A:$G,5,0))))</f>
        <v>Criar</v>
      </c>
      <c r="DM5" s="8">
        <v>19.899999999999999</v>
      </c>
      <c r="DN5" s="3">
        <f>IF(DM5=0,"",IF(DM5=VLOOKUP("PCS-OzTL32",ARBOR!$A:$C,3,0),0.0001,IF(DM5&gt;VLOOKUP("PCS-OzTL32",ARBOR!$A:$C,3,0),"Maior que CAP!",IF((DOLLAR(DM5+(VLOOKUP("PCS-OzTL32",ARBOR!$A:$C,3,0)*-TRUNC(DM5/VLOOKUP("PCS-OzTL32",ARBOR!$A:$C,3,0)-1,4)),6))&lt;&gt;(DOLLAR(VLOOKUP("PCS-OzTL32",ARBOR!$A:$C,3,0),6)),-TRUNC(DM5/VLOOKUP("PCS-OzTL32",ARBOR!$A:$C,3,0)-1,4)+0.0001,-TRUNC(DM5/VLOOKUP("PCS-OzTL32",ARBOR!$A:$C,3,0)-1,4)))))</f>
        <v>9.1800000000000007E-2</v>
      </c>
      <c r="DO5" s="28" t="str">
        <f>IF(DN5="S/Desc","S/Desc",IF(ISERROR(IF(DN5="","",VLOOKUP(($BC5&amp;DN5&amp;"Template desconto % Playboy nível conta"),BENEFICIOS!$A:$G,5,0))),"Criar",IF(DN5="","",VLOOKUP(($BC5&amp;DN5&amp;"Template desconto % Playboy nível conta"),BENEFICIOS!$A:$G,5,0))))</f>
        <v>Criar</v>
      </c>
      <c r="DP5" s="8">
        <v>29.9</v>
      </c>
      <c r="DQ5" s="3">
        <f>IF(DP5=0,"",IF(DP5=VLOOKUP("PCS-OzTL33",ARBOR!$A:$C,3,0),0.0001,IF(DP5&gt;VLOOKUP("PCS-OzTL33",ARBOR!$A:$C,3,0),"Maior que CAP!",IF((DOLLAR(DP5+(VLOOKUP("PCS-OzTL33",ARBOR!$A:$C,3,0)*-TRUNC(DP5/VLOOKUP("PCS-OzTL33",ARBOR!$A:$C,3,0)-1,4)),6))&lt;&gt;(DOLLAR(VLOOKUP("PCS-OzTL33",ARBOR!$A:$C,3,0),6)),-TRUNC(DP5/VLOOKUP("PCS-OzTL33",ARBOR!$A:$C,3,0)-1,4)+0.0001,-TRUNC(DP5/VLOOKUP("PCS-OzTL33",ARBOR!$A:$C,3,0)-1,4)))))</f>
        <v>9.1800000000000007E-2</v>
      </c>
      <c r="DR5" s="28" t="str">
        <f>IF(DQ5="S/Desc","S/Desc",IF(ISERROR(IF(DQ5="","",VLOOKUP(($BC5&amp;DQ5&amp;"Template desconto % Sexy Hot + Playboy nível conta"),BENEFICIOS!$A:$G,5,0))),"Criar",IF(DQ5="","",VLOOKUP(($BC5&amp;DQ5&amp;"Template desconto % Sexy Hot + Playboy nível conta"),BENEFICIOS!$A:$G,5,0))))</f>
        <v>Criar</v>
      </c>
      <c r="DS5" s="8">
        <v>14.9</v>
      </c>
      <c r="DT5" s="3">
        <f>IF(DS5=0,"",IF(DS5=VLOOKUP("PCS-OzTL503",ARBOR!$A:$C,3,0),0.0001,IF(DS5&gt;VLOOKUP("PCS-OzTL503",ARBOR!$A:$C,3,0),"Maior que CAP!",IF((DOLLAR(DS5+(VLOOKUP("PCS-OzTL503",ARBOR!$A:$C,3,0)*-TRUNC(DS5/VLOOKUP("PCS-OzTL503",ARBOR!$A:$C,3,0)-1,4)),6))&lt;&gt;(DOLLAR(VLOOKUP("PCS-OzTL503",ARBOR!$A:$C,3,0),6)),-TRUNC(DS5/VLOOKUP("PCS-OzTL503",ARBOR!$A:$C,3,0)-1,4)+0.0001,-TRUNC(DS5/VLOOKUP("PCS-OzTL503",ARBOR!$A:$C,3,0)-1,4)))))</f>
        <v>9.1499999999999998E-2</v>
      </c>
      <c r="DU5" s="28" t="str">
        <f>IF(DT5="S/Desc","S/Desc",IF(ISERROR(IF(DT5="","",VLOOKUP(($BC5&amp;DT5&amp;"Template desconto % SexPrivê nível conta"),BENEFICIOS!$A:$G,5,0))),"Criar",IF(DT5="","",VLOOKUP(($BC5&amp;DT5&amp;"Template desconto % SexPrivê nível conta"),BENEFICIOS!$A:$G,5,0))))</f>
        <v>Criar</v>
      </c>
      <c r="DV5" s="8">
        <v>10</v>
      </c>
      <c r="DW5" s="3">
        <f>IF(DV5=0,"",IF(DV5=VLOOKUP("PCS-OzTL500",ARBOR!$A:$C,3,0),0.0001,IF(DV5&gt;VLOOKUP("PCS-OzTL500",ARBOR!$A:$C,3,0),"Maior que CAP!",IF((DOLLAR(DV5+(VLOOKUP("PCS-OzTL500",ARBOR!$A:$C,3,0)*-TRUNC(DV5/VLOOKUP("PCS-OzTL500",ARBOR!$A:$C,3,0)-1,4)),6))&lt;&gt;(DOLLAR(VLOOKUP("PCS-OzTL500",ARBOR!$A:$C,3,0),6)),-TRUNC(DV5/VLOOKUP("PCS-OzTL500",ARBOR!$A:$C,3,0)-1,4)+0.0001,-TRUNC(DV5/VLOOKUP("PCS-OzTL500",ARBOR!$A:$C,3,0)-1,4)))))</f>
        <v>9.1800000000000007E-2</v>
      </c>
      <c r="DX5" s="28" t="str">
        <f>IF(DW5="S/Desc","S/Desc",IF(ISERROR(IF(DW5="","",VLOOKUP(($BC5&amp;DW5&amp;"Template desconto % Étnico nível conta"),BENEFICIOS!$A:$G,5,0))),"Criar",IF(DW5="","",VLOOKUP(($BC5&amp;DW5&amp;"Template desconto % Étnico nível conta"),BENEFICIOS!$A:$G,5,0))))</f>
        <v>Criar</v>
      </c>
      <c r="DY5" s="8"/>
      <c r="DZ5" s="181" t="str">
        <f>IF(DY5=0,"",IF(DY5=VLOOKUP("PCS-OzTL50",ARBOR!$A:$C,3,0),0.0001,IF(DY5&gt;VLOOKUP("PCS-OzTL50",ARBOR!$A:$C,3,0),"Maior que CAP!",IF((DOLLAR(DY5+(VLOOKUP("PCS-OzTL50",ARBOR!$A:$C,3,0)*-TRUNC(DY5/VLOOKUP("PCS-OzTL50",ARBOR!$A:$C,3,0)-1,4)),6))&lt;&gt;(DOLLAR(VLOOKUP("PCS-OzTL50",ARBOR!$A:$C,3,0),6)),-TRUNC(DY5/VLOOKUP("PCS-OzTL50",ARBOR!$A:$C,3,0)-1,4)+0.0001,-TRUNC(DY5/VLOOKUP("PCS-OzTL50",ARBOR!$A:$C,3,0)-1,4)))))</f>
        <v/>
      </c>
      <c r="EA5" s="28"/>
      <c r="EB5" s="8"/>
      <c r="EC5" s="181" t="str">
        <f>IF(EB5=0,"",IF(EB5=VLOOKUP("PCS-OzTL51",ARBOR!$A:$C,3,0),0.0001,IF(EB5&gt;VLOOKUP("PCS-OzTL51",ARBOR!$A:$C,3,0),"Maior que CAP!",IF((DOLLAR(EB5+(VLOOKUP("PCS-OzTL51",ARBOR!$A:$C,3,0)*-TRUNC(EB5/VLOOKUP("PCS-OzTL51",ARBOR!$A:$C,3,0)-1,4)),6))&lt;&gt;(DOLLAR(VLOOKUP("PCS-OzTL51",ARBOR!$A:$C,3,0),6)),-TRUNC(EB5/VLOOKUP("PCS-OzTL51",ARBOR!$A:$C,3,0)-1,4)+0.0001,-TRUNC(EB5/VLOOKUP("PCS-OzTL51",ARBOR!$A:$C,3,0)-1,4)))))</f>
        <v/>
      </c>
      <c r="ED5" s="28"/>
      <c r="EE5" s="8"/>
      <c r="EF5" s="181" t="str">
        <f>IF(EE5=0,"",IF(EE5=VLOOKUP("PCS-OzTL52",ARBOR!$A:$C,3,0),0.0001,IF(EE5&gt;VLOOKUP("PCS-OzTL52",ARBOR!$A:$C,3,0),"Maior que CAP!",IF((DOLLAR(EE5+(VLOOKUP("PCS-OzTL52",ARBOR!$A:$C,3,0)*-TRUNC(EE5/VLOOKUP("PCS-OzTL52",ARBOR!$A:$C,3,0)-1,4)),6))&lt;&gt;(DOLLAR(VLOOKUP("PCS-OzTL52",ARBOR!$A:$C,3,0),6)),-TRUNC(EE5/VLOOKUP("PCS-OzTL52",ARBOR!$A:$C,3,0)-1,4)+0.0001,-TRUNC(EE5/VLOOKUP("PCS-OzTL52",ARBOR!$A:$C,3,0)-1,4)))))</f>
        <v/>
      </c>
      <c r="EG5" s="28"/>
      <c r="EH5" s="8"/>
      <c r="EI5" s="181" t="str">
        <f>IF(EH5=0,"",IF(EH5=VLOOKUP("PCS-OzTL53",ARBOR!$A:$C,3,0),0.0001,IF(EH5&gt;VLOOKUP("PCS-OzTL53",ARBOR!$A:$C,3,0),"Maior que CAP!",IF((DOLLAR(EH5+(VLOOKUP("PCS-OzTL53",ARBOR!$A:$C,3,0)*-TRUNC(EH5/VLOOKUP("PCS-OzTL53",ARBOR!$A:$C,3,0)-1,4)),6))&lt;&gt;(DOLLAR(VLOOKUP("PCS-OzTL53",ARBOR!$A:$C,3,0),6)),-TRUNC(EH5/VLOOKUP("PCS-OzTL53",ARBOR!$A:$C,3,0)-1,4)+0.0001,-TRUNC(EH5/VLOOKUP("PCS-OzTL53",ARBOR!$A:$C,3,0)-1,4)))))</f>
        <v/>
      </c>
      <c r="EJ5" s="28"/>
      <c r="EK5" s="8"/>
      <c r="EL5" s="181" t="str">
        <f>IF(EK5=0,"",IF(EK5=VLOOKUP("PCS-OzTL54",ARBOR!$A:$C,3,0),0.0001,IF(EK5&gt;VLOOKUP("PCS-OzTL54",ARBOR!$A:$C,3,0),"Maior que CAP!",IF((DOLLAR(EK5+(VLOOKUP("PCS-OzTL54",ARBOR!$A:$C,3,0)*-TRUNC(EK5/VLOOKUP("PCS-OzTL54",ARBOR!$A:$C,3,0)-1,4)),6))&lt;&gt;(DOLLAR(VLOOKUP("PCS-OzTL54",ARBOR!$A:$C,3,0),6)),-TRUNC(EK5/VLOOKUP("PCS-OzTL54",ARBOR!$A:$C,3,0)-1,4)+0.0001,-TRUNC(EK5/VLOOKUP("PCS-OzTL54",ARBOR!$A:$C,3,0)-1,4)))))</f>
        <v/>
      </c>
      <c r="EM5" s="28"/>
      <c r="EN5" s="8">
        <v>24.9</v>
      </c>
      <c r="EO5" s="3">
        <f>IF(EN5=0,"",IF(EN5=VLOOKUP("PCS-OzTL99",ARBOR!$A:$C,3,0),0.0001,IF(EN5&gt;VLOOKUP("PCS-OzTL99",ARBOR!$A:$C,3,0),"Maior que CAP!",IF((DOLLAR(EN5+(VLOOKUP("PCS-OzTL99",ARBOR!$A:$C,3,0)*-TRUNC(EN5/VLOOKUP("PCS-OzTL99",ARBOR!$A:$C,3,0)-1,4)),6))&lt;&gt;(DOLLAR(VLOOKUP("PCS-OzTL99",ARBOR!$A:$C,3,0),6)),-TRUNC(EN5/VLOOKUP("PCS-OzTL99",ARBOR!$A:$C,3,0)-1,4)+0.0001,-TRUNC(EN5/VLOOKUP("PCS-OzTL99",ARBOR!$A:$C,3,0)-1,4)))))</f>
        <v>0.16729999999999998</v>
      </c>
      <c r="EP5" s="28" t="str">
        <f>IF(EO5="S/Desc","S/Desc",IF(ISERROR(IF(EO5="","",VLOOKUP(($BC5&amp;EO5&amp;"Template desconto % Ponto adicional nível conta"),BENEFICIOS!$A:$G,5,0))),"Criar",IF(EO5="","",VLOOKUP(($BC5&amp;EO5&amp;"Template desconto % Ponto adicional nível conta"),BENEFICIOS!$A:$G,5,0))))</f>
        <v>Criar</v>
      </c>
      <c r="EQ5" s="8"/>
      <c r="ER5" s="28" t="str">
        <f t="shared" si="1"/>
        <v/>
      </c>
      <c r="ES5" s="62" t="s">
        <v>355</v>
      </c>
      <c r="ET5" s="126" t="s">
        <v>356</v>
      </c>
      <c r="EU5" s="127">
        <v>499</v>
      </c>
      <c r="EV5" s="126">
        <v>12</v>
      </c>
      <c r="EW5" s="128" t="str">
        <f t="shared" si="2"/>
        <v>Oi benefício fidelização Multiprodutos</v>
      </c>
      <c r="EX5" s="129" t="str">
        <f t="shared" si="3"/>
        <v>PCS-Fk83324</v>
      </c>
      <c r="EY5" s="91" t="str">
        <f t="shared" si="4"/>
        <v>PCS-SBL553142</v>
      </c>
      <c r="EZ5" s="85" t="s">
        <v>357</v>
      </c>
      <c r="FA5" s="97" t="s">
        <v>358</v>
      </c>
      <c r="FB5" s="91"/>
      <c r="FC5" s="85"/>
      <c r="FD5" s="97"/>
      <c r="FE5" s="91"/>
      <c r="FF5" s="87"/>
      <c r="FG5" s="144" t="str">
        <f t="shared" si="5"/>
        <v/>
      </c>
      <c r="FH5" s="144" t="str">
        <f t="shared" si="6"/>
        <v/>
      </c>
      <c r="FI5" s="144">
        <f t="shared" si="7"/>
        <v>184.9</v>
      </c>
      <c r="FJ5" s="144">
        <f t="shared" si="8"/>
        <v>184.9</v>
      </c>
      <c r="FK5" s="144">
        <f t="shared" si="9"/>
        <v>214.9</v>
      </c>
      <c r="FL5" s="144" t="str">
        <f t="shared" si="10"/>
        <v/>
      </c>
      <c r="FM5" s="144" t="str">
        <f t="shared" si="11"/>
        <v/>
      </c>
      <c r="FN5" s="144" t="str">
        <f t="shared" si="12"/>
        <v/>
      </c>
      <c r="FO5" s="144" t="str">
        <f t="shared" si="13"/>
        <v/>
      </c>
      <c r="FP5" s="144" t="str">
        <f t="shared" si="14"/>
        <v/>
      </c>
      <c r="FQ5" s="144">
        <f t="shared" si="15"/>
        <v>194.9</v>
      </c>
      <c r="FR5" s="144">
        <f t="shared" si="16"/>
        <v>194.9</v>
      </c>
      <c r="FS5" s="144">
        <f t="shared" si="17"/>
        <v>224.9</v>
      </c>
      <c r="FT5" s="144" t="str">
        <f t="shared" si="18"/>
        <v/>
      </c>
      <c r="FU5" s="144">
        <f t="shared" si="19"/>
        <v>214.9</v>
      </c>
      <c r="FV5" s="144">
        <f t="shared" si="20"/>
        <v>214.9</v>
      </c>
      <c r="FW5" s="144">
        <f t="shared" si="21"/>
        <v>244.9</v>
      </c>
      <c r="FX5" s="148"/>
      <c r="FY5" s="149"/>
      <c r="FZ5" s="149"/>
      <c r="GA5" s="149"/>
      <c r="GB5" s="149"/>
      <c r="GC5" s="149"/>
      <c r="GD5" s="149"/>
      <c r="GE5" s="149"/>
      <c r="GF5" s="149"/>
      <c r="GG5" s="150"/>
    </row>
    <row r="6" spans="1:189">
      <c r="A6" s="45" t="s">
        <v>339</v>
      </c>
      <c r="B6" s="133" t="s">
        <v>340</v>
      </c>
      <c r="C6" s="204" t="s">
        <v>341</v>
      </c>
      <c r="D6" s="46" t="s">
        <v>342</v>
      </c>
      <c r="E6" s="47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9"/>
      <c r="U6" s="48"/>
      <c r="V6" s="49"/>
      <c r="W6" s="48"/>
      <c r="X6" s="48"/>
      <c r="Y6" s="48"/>
      <c r="Z6" s="48"/>
      <c r="AA6" s="49"/>
      <c r="AB6" s="48"/>
      <c r="AC6" s="63"/>
      <c r="AD6" s="48"/>
      <c r="AE6" s="48"/>
      <c r="AF6" s="48"/>
      <c r="AG6" s="48"/>
      <c r="AH6" s="48"/>
      <c r="AI6" s="48"/>
      <c r="AJ6" s="48"/>
      <c r="AK6" s="48"/>
      <c r="AL6" s="51"/>
      <c r="AM6" s="205" t="s">
        <v>346</v>
      </c>
      <c r="AN6" s="38" t="s">
        <v>350</v>
      </c>
      <c r="AO6" s="39" t="s">
        <v>351</v>
      </c>
      <c r="AP6" s="52">
        <v>42917</v>
      </c>
      <c r="AQ6" s="53">
        <v>43039</v>
      </c>
      <c r="AR6" s="64" t="s">
        <v>352</v>
      </c>
      <c r="AS6" s="65" t="s">
        <v>352</v>
      </c>
      <c r="AT6" s="54"/>
      <c r="AU6" s="54" t="s">
        <v>353</v>
      </c>
      <c r="AV6" s="54">
        <v>20</v>
      </c>
      <c r="AW6" s="54">
        <v>10000</v>
      </c>
      <c r="AX6" s="70" t="s">
        <v>354</v>
      </c>
      <c r="AY6" s="71" t="s">
        <v>355</v>
      </c>
      <c r="AZ6" s="72" t="s">
        <v>355</v>
      </c>
      <c r="BA6" s="73" t="s">
        <v>342</v>
      </c>
      <c r="BB6" s="55" t="s">
        <v>346</v>
      </c>
      <c r="BC6" s="56" t="s">
        <v>229</v>
      </c>
      <c r="BD6" s="27" t="str">
        <f t="shared" si="0"/>
        <v>PCS-2PMepi</v>
      </c>
      <c r="BE6" s="207">
        <v>45</v>
      </c>
      <c r="BF6" s="3">
        <f>IF(BE6=0,"",IF(BE6=VLOOKUP("FIXO",ARBOR!$A:$C,3,0),0.0001,IF(BE6&gt;VLOOKUP("FIXO",ARBOR!$A:$C,3,0),"Maior que CAP!",IF((DOLLAR(BE6+(VLOOKUP("FIXO",ARBOR!$A:$C,3,0)*-TRUNC(BE6/VLOOKUP("FIXO",ARBOR!$A:$C,3,0)-1,4)),6))&lt;&gt;(DOLLAR(VLOOKUP("FIXO",ARBOR!$A:$C,3,0),6)),-TRUNC(BE6/VLOOKUP("FIXO",ARBOR!$A:$C,3,0)-1,4)+0.0001,-TRUNC(BE6/VLOOKUP("FIXO",ARBOR!$A:$C,3,0)-1,4)))))</f>
        <v>0.40670000000000001</v>
      </c>
      <c r="BG6" s="10" t="str">
        <f>IF(ISERROR(IF(BF6="","",VLOOKUP(($BC6&amp;BF6&amp;"Template de desconto FLAT bundle - Fixo - Varejo - Ganho Tributário Cross"),BENEFICIOS!$A:$G,5,0))),"Criar",IF(BF6="","",VLOOKUP(($BC6&amp;BF6&amp;"Template de desconto FLAT bundle - Fixo - Varejo - Ganho Tributário Cross"),BENEFICIOS!$A:$G,5,0)))</f>
        <v>Criar</v>
      </c>
      <c r="BH6" s="8"/>
      <c r="BI6" s="3" t="str">
        <f>IF(BH6=0,"",IF(BH6=VLOOKUP("PCS-OzTL40",ARBOR!$A:$C,3,0),0.0001,IF(BH6&gt;VLOOKUP("PCS-OzTL40",ARBOR!$A:$C,3,0),"Maior que CAP!",IF((DOLLAR(BH6+(VLOOKUP("PCS-OzTL40",ARBOR!$A:$C,3,0)*-TRUNC(BH6/VLOOKUP("PCS-OzTL40",ARBOR!$A:$C,3,0)-1,4)),6))&lt;&gt;(DOLLAR(VLOOKUP("PCS-OzTL40",ARBOR!$A:$C,3,0),6)),-TRUNC(BH6/VLOOKUP("PCS-OzTL40",ARBOR!$A:$C,3,0)-1,4)+0.0001,-TRUNC(BH6/VLOOKUP("PCS-OzTL40",ARBOR!$A:$C,3,0)-1,4)))))</f>
        <v/>
      </c>
      <c r="BJ6" s="10" t="str">
        <f>IF(ISERROR(IF(BI6="","",VLOOKUP((BC6&amp;BI6&amp;"Template desconto FLAT Plano Principal Oi TV nível conta"),BENEFICIOS!$A:$G,5,0))),"Criar",IF(BI6="","",VLOOKUP((BC6&amp;BI6&amp;"Template desconto FLAT Plano Principal Oi TV nível conta"),BENEFICIOS!$A:$G,5,0)))</f>
        <v/>
      </c>
      <c r="BK6" s="8">
        <v>89.9</v>
      </c>
      <c r="BL6" s="3">
        <f>IF(BK6=0,"",IF(BK6=VLOOKUP("PCS-OzTL41",ARBOR!$A:$C,3,0),0.0001,IF(BK6&gt;VLOOKUP("PCS-OzTL41",ARBOR!$A:$C,3,0),"Maior que CAP!",IF((DOLLAR(BK6+(VLOOKUP("PCS-OzTL41",ARBOR!$A:$C,3,0)*-TRUNC(BK6/VLOOKUP("PCS-OzTL41",ARBOR!$A:$C,3,0)-1,4)),6))&lt;&gt;(DOLLAR(VLOOKUP("PCS-OzTL41",ARBOR!$A:$C,3,0),6)),-TRUNC(BK6/VLOOKUP("PCS-OzTL41",ARBOR!$A:$C,3,0)-1,4)+0.0001,-TRUNC(BK6/VLOOKUP("PCS-OzTL41",ARBOR!$A:$C,3,0)-1,4)))))</f>
        <v>0.25729999999999997</v>
      </c>
      <c r="BM6" s="28" t="str">
        <f>IF(ISERROR(IF(BL6="","",VLOOKUP((BC6&amp;BL6&amp;"Template desconto FLAT Plano Principal Oi TV nível conta"),BENEFICIOS!$A:$G,5,0))),"Criar",IF(BL6="","",VLOOKUP((BC6&amp;BL6&amp;"Template desconto FLAT Plano Principal Oi TV nível conta"),BENEFICIOS!$A:$G,5,0)))</f>
        <v>Criar</v>
      </c>
      <c r="BN6" s="8"/>
      <c r="BO6" s="3" t="str">
        <f>IF(BN6=0,"",IF(BN6=VLOOKUP("PCS-OzTL44",ARBOR!$A:$C,3,0),0.0001,IF(BN6&gt;VLOOKUP("PCS-OzTL44",ARBOR!$A:$C,3,0),"Maior que CAP!",IF((DOLLAR(BN6+(VLOOKUP("PCS-OzTL44",ARBOR!$A:$C,3,0)*-TRUNC(BN6/VLOOKUP("PCS-OzTL44",ARBOR!$A:$C,3,0)-1,4)),6))&lt;&gt;(DOLLAR(VLOOKUP("PCS-OzTL44",ARBOR!$A:$C,3,0),6)),-TRUNC(BN6/VLOOKUP("PCS-OzTL44",ARBOR!$A:$C,3,0)-1,4)+0.0001,-TRUNC(BN6/VLOOKUP("PCS-OzTL44",ARBOR!$A:$C,3,0)-1,4)))))</f>
        <v/>
      </c>
      <c r="BP6" s="28" t="str">
        <f>IF(ISERROR(IF(BO6="","",VLOOKUP((BC6&amp;BO6&amp;"Template desconto FLAT Plano Principal Oi TV nível conta"),BENEFICIOS!$A:$G,5,0))),"Criar",IF(BO6="","",VLOOKUP((BC6&amp;BO6&amp;"Template desconto FLAT Plano Principal Oi TV nível conta"),BENEFICIOS!$A:$G,5,0)))</f>
        <v/>
      </c>
      <c r="BQ6" s="8"/>
      <c r="BR6" s="3" t="str">
        <f>IF(BQ6=0,"",IF(BQ6=VLOOKUP("PCS-OzTL43",ARBOR!$A:$C,3,0),0.0001,IF(BQ6&gt;VLOOKUP("PCS-OzTL43",ARBOR!$A:$C,3,0),"Maior que CAP!",IF((DOLLAR(BQ6+(VLOOKUP("PCS-OzTL43",ARBOR!$A:$C,3,0)*-TRUNC(BQ6/VLOOKUP("PCS-OzTL43",ARBOR!$A:$C,3,0)-1,4)),6))&lt;&gt;(DOLLAR(VLOOKUP("PCS-OzTL43",ARBOR!$A:$C,3,0),6)),-TRUNC(BQ6/VLOOKUP("PCS-OzTL43",ARBOR!$A:$C,3,0)-1,4)+0.0001,-TRUNC(BQ6/VLOOKUP("PCS-OzTL43",ARBOR!$A:$C,3,0)-1,4)))))</f>
        <v/>
      </c>
      <c r="BS6" s="28" t="str">
        <f>IF(ISERROR(IF(BR6="","",VLOOKUP((BC6&amp;BR6&amp;"Template desconto FLAT Plano Principal Oi TV nível conta"),BENEFICIOS!$A:$G,5,0))),"Criar",IF(BR6="","",VLOOKUP((BC6&amp;BR6&amp;"Template desconto FLAT Plano Principal Oi TV nível conta"),BENEFICIOS!$A:$G,5,0)))</f>
        <v/>
      </c>
      <c r="BT6" s="8"/>
      <c r="BU6" s="3" t="str">
        <f>IF(BT6=0,"",IF(BT6=VLOOKUP("PCS-OzTL45",ARBOR!$A:$C,3,0),0.0001,IF(BT6&gt;VLOOKUP("PCS-OzTL45",ARBOR!$A:$C,3,0),"Maior que CAP!",IF((DOLLAR(BT6+(VLOOKUP("PCS-OzTL45",ARBOR!$A:$C,3,0)*-TRUNC(BT6/VLOOKUP("PCS-OzTL45",ARBOR!$A:$C,3,0)-1,4)),6))&lt;&gt;(DOLLAR(VLOOKUP("PCS-OzTL45",ARBOR!$A:$C,3,0),6)),-TRUNC(BT6/VLOOKUP("PCS-OzTL45",ARBOR!$A:$C,3,0)-1,4)+0.0001,-TRUNC(BT6/VLOOKUP("PCS-OzTL45",ARBOR!$A:$C,3,0)-1,4)))))</f>
        <v/>
      </c>
      <c r="BV6" s="28" t="str">
        <f>IF(ISERROR(IF(BU6="","",VLOOKUP((BC6&amp;BU6&amp;"Template desconto FLAT Plano Principal Oi TV nível conta"),BENEFICIOS!$A:$G,5,0))),"Criar",IF(BU6="","",VLOOKUP((BC6&amp;BU6&amp;"Template desconto FLAT Plano Principal Oi TV nível conta"),BENEFICIOS!$A:$G,5,0)))</f>
        <v/>
      </c>
      <c r="BW6" s="8"/>
      <c r="BX6" s="3" t="str">
        <f>IF(BW6=0,"",IF(BW6=VLOOKUP("PCS-OzTL741",ARBOR!$A:$C,3,0),0.0001,IF(BW6&gt;VLOOKUP("PCS-OzTL741",ARBOR!$A:$C,3,0),"Maior que CAP!",IF((DOLLAR(BW6+(VLOOKUP("PCS-OzTL741",ARBOR!$A:$C,3,0)*-TRUNC(BW6/VLOOKUP("PCS-OzTL741",ARBOR!$A:$C,3,0)-1,4)),6))&lt;&gt;(DOLLAR(VLOOKUP("PCS-OzTL741",ARBOR!$A:$C,3,0),6)),-TRUNC(BW6/VLOOKUP("PCS-OzTL741",ARBOR!$A:$C,3,0)-1,4)+0.0001,-TRUNC(BW6/VLOOKUP("PCS-OzTL741",ARBOR!$A:$C,3,0)-1,4)))))</f>
        <v/>
      </c>
      <c r="BY6" s="28" t="str">
        <f>IF(ISERROR(IF(BX6="","",VLOOKUP((BC6&amp;BX6&amp;"Template desconto FLAT Plano Principal Oi TV nível conta"),BENEFICIOS!$A:$G,5,0))),"Criar",IF(BX6="","",VLOOKUP((BC6&amp;BX6&amp;"Template desconto FLAT Plano Principal Oi TV nível conta"),BENEFICIOS!$A:$G,5,0)))</f>
        <v/>
      </c>
      <c r="BZ6" s="8"/>
      <c r="CA6" s="3" t="str">
        <f>IF(BZ6=0,"",IF(BZ6=VLOOKUP("PCS-OzTL744",ARBOR!$A:$C,3,0),0.0001,IF(BZ6&gt;VLOOKUP("PCS-OzTL744",ARBOR!$A:$C,3,0),"Maior que CAP!",IF((DOLLAR(BZ6+(VLOOKUP("PCS-OzTL744",ARBOR!$A:$C,3,0)*-TRUNC(BZ6/VLOOKUP("PCS-OzTL744",ARBOR!$A:$C,3,0)-1,4)),6))&lt;&gt;(DOLLAR(VLOOKUP("PCS-OzTL744",ARBOR!$A:$C,3,0),6)),-TRUNC(BZ6/VLOOKUP("PCS-OzTL744",ARBOR!$A:$C,3,0)-1,4)+0.0001,-TRUNC(BZ6/VLOOKUP("PCS-OzTL744",ARBOR!$A:$C,3,0)-1,4)))))</f>
        <v/>
      </c>
      <c r="CB6" s="28" t="str">
        <f>IF(ISERROR(IF(CA6="","",VLOOKUP(($BC6&amp;CA6&amp;"Template desconto FLAT Plano Principal Oi TV nível conta"),BENEFICIOS!$A:$G,5,0))),"Criar",IF(CA6="","",VLOOKUP(($BC6&amp;CA6&amp;"Template desconto FLAT Plano Principal Oi TV nível conta"),BENEFICIOS!$A:$G,5,0)))</f>
        <v/>
      </c>
      <c r="CC6" s="8"/>
      <c r="CD6" s="3" t="str">
        <f>IF(CC6=0,"",IF(CC6=VLOOKUP("PCS-OzTL743",ARBOR!$A:$C,3,0),0.0001,IF(CC6&gt;VLOOKUP("PCS-OzTL743",ARBOR!$A:$C,3,0),"Maior que CAP!",IF((DOLLAR(CC6+(VLOOKUP("PCS-OzTL743",ARBOR!$A:$C,3,0)*-TRUNC(CC6/VLOOKUP("PCS-OzTL743",ARBOR!$A:$C,3,0)-1,4)),6))&lt;&gt;(DOLLAR(VLOOKUP("PCS-OzTL743",ARBOR!$A:$C,3,0),6)),-TRUNC(CC6/VLOOKUP("PCS-OzTL743",ARBOR!$A:$C,3,0)-1,4)+0.0001,-TRUNC(CC6/VLOOKUP("PCS-OzTL743",ARBOR!$A:$C,3,0)-1,4)))))</f>
        <v/>
      </c>
      <c r="CE6" s="28" t="str">
        <f>IF(ISERROR(IF(CD6="","",VLOOKUP(($BC6&amp;CD6&amp;"Template desconto FLAT Plano Principal Oi TV nível conta"),BENEFICIOS!$A:$G,5,0))),"Criar",IF(CD6="","",VLOOKUP(($BC6&amp;CD6&amp;"Template desconto FLAT Plano Principal Oi TV nível conta"),BENEFICIOS!$A:$G,5,0)))</f>
        <v/>
      </c>
      <c r="CF6" s="8"/>
      <c r="CG6" s="3" t="str">
        <f>IF(CF6=0,"",IF(CF6=VLOOKUP("PCS-OzTL745",ARBOR!$A:$C,3,0),0.0001,IF(CF6&gt;VLOOKUP("PCS-OzTL745",ARBOR!$A:$C,3,0),"Maior que CAP!",IF((DOLLAR(CF6+(VLOOKUP("PCS-OzTL745",ARBOR!$A:$C,3,0)*-TRUNC(CF6/VLOOKUP("PCS-OzTL745",ARBOR!$A:$C,3,0)-1,4)),6))&lt;&gt;(DOLLAR(VLOOKUP("PCS-OzTL745",ARBOR!$A:$C,3,0),6)),-TRUNC(CF6/VLOOKUP("PCS-OzTL745",ARBOR!$A:$C,3,0)-1,4)+0.0001,-TRUNC(CF6/VLOOKUP("PCS-OzTL745",ARBOR!$A:$C,3,0)-1,4)))))</f>
        <v/>
      </c>
      <c r="CH6" s="28" t="str">
        <f>IF(ISERROR(IF(CG6="","",VLOOKUP(($BC6&amp;CG6&amp;"Template desconto FLAT Plano Principal Oi TV nível conta"),BENEFICIOS!$A:$G,5,0))),"Criar",IF(CG6="","",VLOOKUP(($BC6&amp;CG6&amp;"Template desconto FLAT Plano Principal Oi TV nível conta"),BENEFICIOS!$A:$G,5,0)))</f>
        <v/>
      </c>
      <c r="CI6" s="8">
        <v>99.9</v>
      </c>
      <c r="CJ6" s="3">
        <f>IF(CI6=0,"",IF(CI6=VLOOKUP("PCS-OzTL42",ARBOR!$A:$C,3,0),0.0001,IF(CI6&gt;VLOOKUP("PCS-OzTL42",ARBOR!$A:$C,3,0),"Maior que CAP!",IF((DOLLAR(CI6+(VLOOKUP("PCS-OzTL42",ARBOR!$A:$C,3,0)*-TRUNC(CI6/VLOOKUP("PCS-OzTL42",ARBOR!$A:$C,3,0)-1,4)),6))&lt;&gt;(DOLLAR(VLOOKUP("PCS-OzTL42",ARBOR!$A:$C,3,0),6)),-TRUNC(CI6/VLOOKUP("PCS-OzTL42",ARBOR!$A:$C,3,0)-1,4)+0.0001,-TRUNC(CI6/VLOOKUP("PCS-OzTL42",ARBOR!$A:$C,3,0)-1,4)))))</f>
        <v>0.39489999999999997</v>
      </c>
      <c r="CK6" s="28" t="str">
        <f>IF(ISERROR(IF(CJ6="","",VLOOKUP(($BC6&amp;CJ6&amp;"Template desconto FLAT Plano Principal Oi TV nível conta"),BENEFICIOS!$A:$G,5,0))),"Criar",IF(CJ6="","",VLOOKUP(($BC6&amp;CJ6&amp;"Template desconto FLAT Plano Principal Oi TV nível conta"),BENEFICIOS!$A:$G,5,0)))</f>
        <v>Criar</v>
      </c>
      <c r="CL6" s="8"/>
      <c r="CM6" s="3" t="str">
        <f>IF(CL6=0,"",IF(CL6=VLOOKUP("PCS-OzTL47",ARBOR!$A:$C,3,0),0.0001,IF(CL6&gt;VLOOKUP("PCS-OzTL47",ARBOR!$A:$C,3,0),"Maior que CAP!",IF((DOLLAR(CL6+(VLOOKUP("PCS-OzTL47",ARBOR!$A:$C,3,0)*-TRUNC(CL6/VLOOKUP("PCS-OzTL47",ARBOR!$A:$C,3,0)-1,4)),6))&lt;&gt;(DOLLAR(VLOOKUP("PCS-OzTL47",ARBOR!$A:$C,3,0),6)),-TRUNC(CL6/VLOOKUP("PCS-OzTL47",ARBOR!$A:$C,3,0)-1,4)+0.0001,-TRUNC(CL6/VLOOKUP("PCS-OzTL47",ARBOR!$A:$C,3,0)-1,4)))))</f>
        <v/>
      </c>
      <c r="CN6" s="28" t="str">
        <f>IF(ISERROR(IF(CM6="","",VLOOKUP(($BC6&amp;CM6&amp;"Template desconto FLAT Plano Principal Oi TV nível conta"),BENEFICIOS!$A:$G,5,0))),"Criar",IF(CM6="","",VLOOKUP(($BC6&amp;CM6&amp;"Template desconto FLAT Plano Principal Oi TV nível conta"),BENEFICIOS!$A:$G,5,0)))</f>
        <v/>
      </c>
      <c r="CO6" s="8"/>
      <c r="CP6" s="3" t="str">
        <f>IF(CO6=0,"",IF(CO6=VLOOKUP("PCS-OzTL46",ARBOR!$A:$C,3,0),0.0001,IF(CO6&gt;VLOOKUP("PCS-OzTL46",ARBOR!$A:$C,3,0),"Maior que CAP!",IF((DOLLAR(CO6+(VLOOKUP("PCS-OzTL46",ARBOR!$A:$C,3,0)*-TRUNC(CO6/VLOOKUP("PCS-OzTL46",ARBOR!$A:$C,3,0)-1,4)),6))&lt;&gt;(DOLLAR(VLOOKUP("PCS-OzTL46",ARBOR!$A:$C,3,0),6)),-TRUNC(CO6/VLOOKUP("PCS-OzTL46",ARBOR!$A:$C,3,0)-1,4)+0.0001,-TRUNC(CO6/VLOOKUP("PCS-OzTL46",ARBOR!$A:$C,3,0)-1,4)))))</f>
        <v/>
      </c>
      <c r="CQ6" s="28" t="str">
        <f>IF(ISERROR(IF(CP6="","",VLOOKUP(($BC6&amp;CP6&amp;"Template desconto FLAT Plano Principal Oi TV nível conta"),BENEFICIOS!$A:$G,5,0))),"Criar",IF(CP6="","",VLOOKUP(($BC6&amp;CP6&amp;"Template desconto FLAT Plano Principal Oi TV nível conta"),BENEFICIOS!$A:$G,5,0)))</f>
        <v/>
      </c>
      <c r="CR6" s="8"/>
      <c r="CS6" s="3" t="str">
        <f>IF(CR6=0,"",IF(CR6=VLOOKUP("PCS-OzTL48",ARBOR!$A:$C,3,0),0.0001,IF(CR6&gt;VLOOKUP("PCS-OzTL48",ARBOR!$A:$C,3,0),"Maior que CAP!",IF((DOLLAR(CR6+(VLOOKUP("PCS-OzTL48",ARBOR!$A:$C,3,0)*-TRUNC(CR6/VLOOKUP("PCS-OzTL48",ARBOR!$A:$C,3,0)-1,4)),6))&lt;&gt;(DOLLAR(VLOOKUP("PCS-OzTL48",ARBOR!$A:$C,3,0),6)),-TRUNC(CR6/VLOOKUP("PCS-OzTL48",ARBOR!$A:$C,3,0)-1,4)+0.0001,-TRUNC(CR6/VLOOKUP("PCS-OzTL48",ARBOR!$A:$C,3,0)-1,4)))))</f>
        <v/>
      </c>
      <c r="CT6" s="28" t="str">
        <f>IF(ISERROR(IF(CS6="","",VLOOKUP(($BC6&amp;CS6&amp;"Template desconto FLAT Plano Principal Oi TV nível conta"),BENEFICIOS!$A:$G,5,0))),"Criar",IF(CS6="","",VLOOKUP(($BC6&amp;CS6&amp;"Template desconto FLAT Plano Principal Oi TV nível conta"),BENEFICIOS!$A:$G,5,0)))</f>
        <v/>
      </c>
      <c r="CU6" s="8">
        <v>119.9</v>
      </c>
      <c r="CV6" s="3">
        <f>IF(CU6=0,"",IF(CU6=VLOOKUP("PCS-OzTL742",ARBOR!$A:$C,3,0),0.0001,IF(CU6&gt;VLOOKUP("PCS-OzTL742",ARBOR!$A:$C,3,0),"Maior que CAP!",IF((DOLLAR(CU6+(VLOOKUP("PCS-OzTL742",ARBOR!$A:$C,3,0)*-TRUNC(CU6/VLOOKUP("PCS-OzTL742",ARBOR!$A:$C,3,0)-1,4)),6))&lt;&gt;(DOLLAR(VLOOKUP("PCS-OzTL742",ARBOR!$A:$C,3,0),6)),-TRUNC(CU6/VLOOKUP("PCS-OzTL742",ARBOR!$A:$C,3,0)-1,4)+0.0001,-TRUNC(CU6/VLOOKUP("PCS-OzTL742",ARBOR!$A:$C,3,0)-1,4)))))</f>
        <v>0.45539999999999997</v>
      </c>
      <c r="CW6" s="28" t="str">
        <f>IF(ISERROR(IF(CV6="","",VLOOKUP(($BC6&amp;CV6&amp;"Template desconto FLAT Plano Principal Oi TV nível conta"),BENEFICIOS!$A:$G,5,0))),"Criar",IF(CV6="","",VLOOKUP(($BC6&amp;CV6&amp;"Template desconto FLAT Plano Principal Oi TV nível conta"),BENEFICIOS!$A:$G,5,0)))</f>
        <v>Criar</v>
      </c>
      <c r="CX6" s="8"/>
      <c r="CY6" s="3" t="str">
        <f>IF(CX6=0,"",IF(CX6=VLOOKUP("PCS-OzTL747",ARBOR!$A:$C,3,0),0.0001,IF(CX6&gt;VLOOKUP("PCS-OzTL747",ARBOR!$A:$C,3,0),"Maior que CAP!",IF((DOLLAR(CX6+(VLOOKUP("PCS-OzTL747",ARBOR!$A:$C,3,0)*-TRUNC(CX6/VLOOKUP("PCS-OzTL747",ARBOR!$A:$C,3,0)-1,4)),6))&lt;&gt;(DOLLAR(VLOOKUP("PCS-OzTL747",ARBOR!$A:$C,3,0),6)),-TRUNC(CX6/VLOOKUP("PCS-OzTL747",ARBOR!$A:$C,3,0)-1,4)+0.0001,-TRUNC(CX6/VLOOKUP("PCS-OzTL747",ARBOR!$A:$C,3,0)-1,4)))))</f>
        <v/>
      </c>
      <c r="CZ6" s="28" t="str">
        <f>IF(ISERROR(IF(CY6="","",VLOOKUP(($BC6&amp;CY6&amp;"Template desconto FLAT Plano Principal Oi TV nível conta"),BENEFICIOS!$A:$G,5,0))),"Criar",IF(CY6="","",VLOOKUP(($BC6&amp;CY6&amp;"Template desconto FLAT Plano Principal Oi TV nível conta"),BENEFICIOS!$A:$G,5,0)))</f>
        <v/>
      </c>
      <c r="DA6" s="8"/>
      <c r="DB6" s="3" t="str">
        <f>IF(DA6=0,"",IF(DA6=VLOOKUP("PCS-OzTL746",ARBOR!$A:$C,3,0),0.0001,IF(DA6&gt;VLOOKUP("PCS-OzTL746",ARBOR!$A:$C,3,0),"Maior que CAP!",IF((DOLLAR(DA6+(VLOOKUP("PCS-OzTL746",ARBOR!$A:$C,3,0)*-TRUNC(DA6/VLOOKUP("PCS-OzTL746",ARBOR!$A:$C,3,0)-1,4)),6))&lt;&gt;(DOLLAR(VLOOKUP("PCS-OzTL746",ARBOR!$A:$C,3,0),6)),-TRUNC(DA6/VLOOKUP("PCS-OzTL746",ARBOR!$A:$C,3,0)-1,4)+0.0001,-TRUNC(DA6/VLOOKUP("PCS-OzTL746",ARBOR!$A:$C,3,0)-1,4)))))</f>
        <v/>
      </c>
      <c r="DC6" s="28" t="str">
        <f>IF(ISERROR(IF(DB6="","",VLOOKUP(($BC6&amp;DB6&amp;"Template desconto FLAT Plano Principal Oi TV nível conta"),BENEFICIOS!$A:$G,5,0))),"Criar",IF(DB6="","",VLOOKUP(($BC6&amp;DB6&amp;"Template desconto FLAT Plano Principal Oi TV nível conta"),BENEFICIOS!$A:$G,5,0)))</f>
        <v/>
      </c>
      <c r="DD6" s="11"/>
      <c r="DE6" s="3" t="str">
        <f>IF(DD6=0,"",IF(DD6=VLOOKUP("PCS-OzTL748",ARBOR!$A:$C,3,0),0.0001,IF(DD6&gt;VLOOKUP("PCS-OzTL748",ARBOR!$A:$C,3,0),"Maior que CAP!",IF((DOLLAR(DD6+(VLOOKUP("PCS-OzTL748",ARBOR!$A:$C,3,0)*-TRUNC(DD6/VLOOKUP("PCS-OzTL748",ARBOR!$A:$C,3,0)-1,4)),6))&lt;&gt;(DOLLAR(VLOOKUP("PCS-OzTL748",ARBOR!$A:$C,3,0),6)),-TRUNC(DD6/VLOOKUP("PCS-OzTL748",ARBOR!$A:$C,3,0)-1,4)+0.0001,-TRUNC(DD6/VLOOKUP("PCS-OzTL748",ARBOR!$A:$C,3,0)-1,4)))))</f>
        <v/>
      </c>
      <c r="DF6" s="28" t="str">
        <f>IF(ISERROR(IF(DE6="","",VLOOKUP(($BC6&amp;DE6&amp;"Template desconto FLAT Plano Principal Oi TV nível conta"),BENEFICIOS!$A:$G,5,0))),"Criar",IF(DE6="","",VLOOKUP(($BC6&amp;DE6&amp;"Template desconto FLAT Plano Principal Oi TV nível conta"),BENEFICIOS!$A:$G,5,0)))</f>
        <v/>
      </c>
      <c r="DG6" s="8">
        <v>75</v>
      </c>
      <c r="DH6" s="3">
        <f>IF(DG6=0,"",IF(DG6=VLOOKUP("PCS-OzTL34",ARBOR!$A:$C,3,0),0.0001,IF(DG6&gt;VLOOKUP("PCS-OzTL34",ARBOR!$A:$C,3,0),"Maior que CAP!",IF((DOLLAR(DG6+(VLOOKUP("PCS-OzTL34",ARBOR!$A:$C,3,0)*-TRUNC(DG6/VLOOKUP("PCS-OzTL34",ARBOR!$A:$C,3,0)-1,4)),6))&lt;&gt;(DOLLAR(VLOOKUP("PCS-OzTL34",ARBOR!$A:$C,3,0),6)),-TRUNC(DG6/VLOOKUP("PCS-OzTL34",ARBOR!$A:$C,3,0)-1,4)+0.0001,-TRUNC(DG6/VLOOKUP("PCS-OzTL34",ARBOR!$A:$C,3,0)-1,4)))))</f>
        <v>0.31900000000000001</v>
      </c>
      <c r="DI6" s="28" t="str">
        <f>IF(DH6="S/Desc","S/Desc",IF(ISERROR(IF(DH6="","",VLOOKUP(($BC6&amp;DH6&amp;"Template desconto % Combate nível conta"),BENEFICIOS!$A:$G,5,0))),"Criar",IF(DH6="","",VLOOKUP(($BC6&amp;DH6&amp;"Template desconto % Combate nível conta"),BENEFICIOS!$A:$G,5,0))))</f>
        <v>Criar</v>
      </c>
      <c r="DJ6" s="8">
        <v>19.899999999999999</v>
      </c>
      <c r="DK6" s="3">
        <f>IF(DJ6=0,"",IF(DJ6=VLOOKUP("PCS-OzTL31",ARBOR!$A:$C,3,0),0.0001,IF(DJ6&gt;VLOOKUP("PCS-OzTL31",ARBOR!$A:$C,3,0),"Maior que CAP!",IF((DOLLAR(DJ6+(VLOOKUP("PCS-OzTL31",ARBOR!$A:$C,3,0)*-TRUNC(DJ6/VLOOKUP("PCS-OzTL31",ARBOR!$A:$C,3,0)-1,4)),6))&lt;&gt;(DOLLAR(VLOOKUP("PCS-OzTL31",ARBOR!$A:$C,3,0),6)),-TRUNC(DJ6/VLOOKUP("PCS-OzTL31",ARBOR!$A:$C,3,0)-1,4)+0.0001,-TRUNC(DJ6/VLOOKUP("PCS-OzTL31",ARBOR!$A:$C,3,0)-1,4)))))</f>
        <v>9.1800000000000007E-2</v>
      </c>
      <c r="DL6" s="28" t="str">
        <f>IF(DK6="S/Desc","S/Desc",IF(ISERROR(IF(DK6="","",VLOOKUP(($BC6&amp;DK6&amp;"Template desconto % Sexy Hot nível conta"),BENEFICIOS!$A:$G,5,0))),"Criar",IF(DK6="","",VLOOKUP(($BC6&amp;DK6&amp;"Template desconto % Sexy Hot nível conta"),BENEFICIOS!$A:$G,5,0))))</f>
        <v>Criar</v>
      </c>
      <c r="DM6" s="8">
        <v>19.899999999999999</v>
      </c>
      <c r="DN6" s="3">
        <f>IF(DM6=0,"",IF(DM6=VLOOKUP("PCS-OzTL32",ARBOR!$A:$C,3,0),0.0001,IF(DM6&gt;VLOOKUP("PCS-OzTL32",ARBOR!$A:$C,3,0),"Maior que CAP!",IF((DOLLAR(DM6+(VLOOKUP("PCS-OzTL32",ARBOR!$A:$C,3,0)*-TRUNC(DM6/VLOOKUP("PCS-OzTL32",ARBOR!$A:$C,3,0)-1,4)),6))&lt;&gt;(DOLLAR(VLOOKUP("PCS-OzTL32",ARBOR!$A:$C,3,0),6)),-TRUNC(DM6/VLOOKUP("PCS-OzTL32",ARBOR!$A:$C,3,0)-1,4)+0.0001,-TRUNC(DM6/VLOOKUP("PCS-OzTL32",ARBOR!$A:$C,3,0)-1,4)))))</f>
        <v>9.1800000000000007E-2</v>
      </c>
      <c r="DO6" s="28" t="str">
        <f>IF(DN6="S/Desc","S/Desc",IF(ISERROR(IF(DN6="","",VLOOKUP(($BC6&amp;DN6&amp;"Template desconto % Playboy nível conta"),BENEFICIOS!$A:$G,5,0))),"Criar",IF(DN6="","",VLOOKUP(($BC6&amp;DN6&amp;"Template desconto % Playboy nível conta"),BENEFICIOS!$A:$G,5,0))))</f>
        <v>Criar</v>
      </c>
      <c r="DP6" s="8">
        <v>29.9</v>
      </c>
      <c r="DQ6" s="3">
        <f>IF(DP6=0,"",IF(DP6=VLOOKUP("PCS-OzTL33",ARBOR!$A:$C,3,0),0.0001,IF(DP6&gt;VLOOKUP("PCS-OzTL33",ARBOR!$A:$C,3,0),"Maior que CAP!",IF((DOLLAR(DP6+(VLOOKUP("PCS-OzTL33",ARBOR!$A:$C,3,0)*-TRUNC(DP6/VLOOKUP("PCS-OzTL33",ARBOR!$A:$C,3,0)-1,4)),6))&lt;&gt;(DOLLAR(VLOOKUP("PCS-OzTL33",ARBOR!$A:$C,3,0),6)),-TRUNC(DP6/VLOOKUP("PCS-OzTL33",ARBOR!$A:$C,3,0)-1,4)+0.0001,-TRUNC(DP6/VLOOKUP("PCS-OzTL33",ARBOR!$A:$C,3,0)-1,4)))))</f>
        <v>9.1800000000000007E-2</v>
      </c>
      <c r="DR6" s="28" t="str">
        <f>IF(DQ6="S/Desc","S/Desc",IF(ISERROR(IF(DQ6="","",VLOOKUP(($BC6&amp;DQ6&amp;"Template desconto % Sexy Hot + Playboy nível conta"),BENEFICIOS!$A:$G,5,0))),"Criar",IF(DQ6="","",VLOOKUP(($BC6&amp;DQ6&amp;"Template desconto % Sexy Hot + Playboy nível conta"),BENEFICIOS!$A:$G,5,0))))</f>
        <v>Criar</v>
      </c>
      <c r="DS6" s="8">
        <v>14.9</v>
      </c>
      <c r="DT6" s="3">
        <f>IF(DS6=0,"",IF(DS6=VLOOKUP("PCS-OzTL503",ARBOR!$A:$C,3,0),0.0001,IF(DS6&gt;VLOOKUP("PCS-OzTL503",ARBOR!$A:$C,3,0),"Maior que CAP!",IF((DOLLAR(DS6+(VLOOKUP("PCS-OzTL503",ARBOR!$A:$C,3,0)*-TRUNC(DS6/VLOOKUP("PCS-OzTL503",ARBOR!$A:$C,3,0)-1,4)),6))&lt;&gt;(DOLLAR(VLOOKUP("PCS-OzTL503",ARBOR!$A:$C,3,0),6)),-TRUNC(DS6/VLOOKUP("PCS-OzTL503",ARBOR!$A:$C,3,0)-1,4)+0.0001,-TRUNC(DS6/VLOOKUP("PCS-OzTL503",ARBOR!$A:$C,3,0)-1,4)))))</f>
        <v>9.1499999999999998E-2</v>
      </c>
      <c r="DU6" s="28" t="str">
        <f>IF(DT6="S/Desc","S/Desc",IF(ISERROR(IF(DT6="","",VLOOKUP(($BC6&amp;DT6&amp;"Template desconto % SexPrivê nível conta"),BENEFICIOS!$A:$G,5,0))),"Criar",IF(DT6="","",VLOOKUP(($BC6&amp;DT6&amp;"Template desconto % SexPrivê nível conta"),BENEFICIOS!$A:$G,5,0))))</f>
        <v>Criar</v>
      </c>
      <c r="DV6" s="8">
        <v>10</v>
      </c>
      <c r="DW6" s="3">
        <f>IF(DV6=0,"",IF(DV6=VLOOKUP("PCS-OzTL500",ARBOR!$A:$C,3,0),0.0001,IF(DV6&gt;VLOOKUP("PCS-OzTL500",ARBOR!$A:$C,3,0),"Maior que CAP!",IF((DOLLAR(DV6+(VLOOKUP("PCS-OzTL500",ARBOR!$A:$C,3,0)*-TRUNC(DV6/VLOOKUP("PCS-OzTL500",ARBOR!$A:$C,3,0)-1,4)),6))&lt;&gt;(DOLLAR(VLOOKUP("PCS-OzTL500",ARBOR!$A:$C,3,0),6)),-TRUNC(DV6/VLOOKUP("PCS-OzTL500",ARBOR!$A:$C,3,0)-1,4)+0.0001,-TRUNC(DV6/VLOOKUP("PCS-OzTL500",ARBOR!$A:$C,3,0)-1,4)))))</f>
        <v>9.1800000000000007E-2</v>
      </c>
      <c r="DX6" s="28" t="str">
        <f>IF(DW6="S/Desc","S/Desc",IF(ISERROR(IF(DW6="","",VLOOKUP(($BC6&amp;DW6&amp;"Template desconto % Étnico nível conta"),BENEFICIOS!$A:$G,5,0))),"Criar",IF(DW6="","",VLOOKUP(($BC6&amp;DW6&amp;"Template desconto % Étnico nível conta"),BENEFICIOS!$A:$G,5,0))))</f>
        <v>Criar</v>
      </c>
      <c r="DY6" s="8"/>
      <c r="DZ6" s="181" t="str">
        <f>IF(DY6=0,"",IF(DY6=VLOOKUP("PCS-OzTL50",ARBOR!$A:$C,3,0),0.0001,IF(DY6&gt;VLOOKUP("PCS-OzTL50",ARBOR!$A:$C,3,0),"Maior que CAP!",IF((DOLLAR(DY6+(VLOOKUP("PCS-OzTL50",ARBOR!$A:$C,3,0)*-TRUNC(DY6/VLOOKUP("PCS-OzTL50",ARBOR!$A:$C,3,0)-1,4)),6))&lt;&gt;(DOLLAR(VLOOKUP("PCS-OzTL50",ARBOR!$A:$C,3,0),6)),-TRUNC(DY6/VLOOKUP("PCS-OzTL50",ARBOR!$A:$C,3,0)-1,4)+0.0001,-TRUNC(DY6/VLOOKUP("PCS-OzTL50",ARBOR!$A:$C,3,0)-1,4)))))</f>
        <v/>
      </c>
      <c r="EA6" s="28"/>
      <c r="EB6" s="8"/>
      <c r="EC6" s="181" t="str">
        <f>IF(EB6=0,"",IF(EB6=VLOOKUP("PCS-OzTL51",ARBOR!$A:$C,3,0),0.0001,IF(EB6&gt;VLOOKUP("PCS-OzTL51",ARBOR!$A:$C,3,0),"Maior que CAP!",IF((DOLLAR(EB6+(VLOOKUP("PCS-OzTL51",ARBOR!$A:$C,3,0)*-TRUNC(EB6/VLOOKUP("PCS-OzTL51",ARBOR!$A:$C,3,0)-1,4)),6))&lt;&gt;(DOLLAR(VLOOKUP("PCS-OzTL51",ARBOR!$A:$C,3,0),6)),-TRUNC(EB6/VLOOKUP("PCS-OzTL51",ARBOR!$A:$C,3,0)-1,4)+0.0001,-TRUNC(EB6/VLOOKUP("PCS-OzTL51",ARBOR!$A:$C,3,0)-1,4)))))</f>
        <v/>
      </c>
      <c r="ED6" s="28"/>
      <c r="EE6" s="8"/>
      <c r="EF6" s="181" t="str">
        <f>IF(EE6=0,"",IF(EE6=VLOOKUP("PCS-OzTL52",ARBOR!$A:$C,3,0),0.0001,IF(EE6&gt;VLOOKUP("PCS-OzTL52",ARBOR!$A:$C,3,0),"Maior que CAP!",IF((DOLLAR(EE6+(VLOOKUP("PCS-OzTL52",ARBOR!$A:$C,3,0)*-TRUNC(EE6/VLOOKUP("PCS-OzTL52",ARBOR!$A:$C,3,0)-1,4)),6))&lt;&gt;(DOLLAR(VLOOKUP("PCS-OzTL52",ARBOR!$A:$C,3,0),6)),-TRUNC(EE6/VLOOKUP("PCS-OzTL52",ARBOR!$A:$C,3,0)-1,4)+0.0001,-TRUNC(EE6/VLOOKUP("PCS-OzTL52",ARBOR!$A:$C,3,0)-1,4)))))</f>
        <v/>
      </c>
      <c r="EG6" s="28"/>
      <c r="EH6" s="8"/>
      <c r="EI6" s="181" t="str">
        <f>IF(EH6=0,"",IF(EH6=VLOOKUP("PCS-OzTL53",ARBOR!$A:$C,3,0),0.0001,IF(EH6&gt;VLOOKUP("PCS-OzTL53",ARBOR!$A:$C,3,0),"Maior que CAP!",IF((DOLLAR(EH6+(VLOOKUP("PCS-OzTL53",ARBOR!$A:$C,3,0)*-TRUNC(EH6/VLOOKUP("PCS-OzTL53",ARBOR!$A:$C,3,0)-1,4)),6))&lt;&gt;(DOLLAR(VLOOKUP("PCS-OzTL53",ARBOR!$A:$C,3,0),6)),-TRUNC(EH6/VLOOKUP("PCS-OzTL53",ARBOR!$A:$C,3,0)-1,4)+0.0001,-TRUNC(EH6/VLOOKUP("PCS-OzTL53",ARBOR!$A:$C,3,0)-1,4)))))</f>
        <v/>
      </c>
      <c r="EJ6" s="28"/>
      <c r="EK6" s="8"/>
      <c r="EL6" s="181" t="str">
        <f>IF(EK6=0,"",IF(EK6=VLOOKUP("PCS-OzTL54",ARBOR!$A:$C,3,0),0.0001,IF(EK6&gt;VLOOKUP("PCS-OzTL54",ARBOR!$A:$C,3,0),"Maior que CAP!",IF((DOLLAR(EK6+(VLOOKUP("PCS-OzTL54",ARBOR!$A:$C,3,0)*-TRUNC(EK6/VLOOKUP("PCS-OzTL54",ARBOR!$A:$C,3,0)-1,4)),6))&lt;&gt;(DOLLAR(VLOOKUP("PCS-OzTL54",ARBOR!$A:$C,3,0),6)),-TRUNC(EK6/VLOOKUP("PCS-OzTL54",ARBOR!$A:$C,3,0)-1,4)+0.0001,-TRUNC(EK6/VLOOKUP("PCS-OzTL54",ARBOR!$A:$C,3,0)-1,4)))))</f>
        <v/>
      </c>
      <c r="EM6" s="28"/>
      <c r="EN6" s="8">
        <v>24.9</v>
      </c>
      <c r="EO6" s="3">
        <f>IF(EN6=0,"",IF(EN6=VLOOKUP("PCS-OzTL99",ARBOR!$A:$C,3,0),0.0001,IF(EN6&gt;VLOOKUP("PCS-OzTL99",ARBOR!$A:$C,3,0),"Maior que CAP!",IF((DOLLAR(EN6+(VLOOKUP("PCS-OzTL99",ARBOR!$A:$C,3,0)*-TRUNC(EN6/VLOOKUP("PCS-OzTL99",ARBOR!$A:$C,3,0)-1,4)),6))&lt;&gt;(DOLLAR(VLOOKUP("PCS-OzTL99",ARBOR!$A:$C,3,0),6)),-TRUNC(EN6/VLOOKUP("PCS-OzTL99",ARBOR!$A:$C,3,0)-1,4)+0.0001,-TRUNC(EN6/VLOOKUP("PCS-OzTL99",ARBOR!$A:$C,3,0)-1,4)))))</f>
        <v>0.16729999999999998</v>
      </c>
      <c r="EP6" s="28" t="str">
        <f>IF(EO6="S/Desc","S/Desc",IF(ISERROR(IF(EO6="","",VLOOKUP(($BC6&amp;EO6&amp;"Template desconto % Ponto adicional nível conta"),BENEFICIOS!$A:$G,5,0))),"Criar",IF(EO6="","",VLOOKUP(($BC6&amp;EO6&amp;"Template desconto % Ponto adicional nível conta"),BENEFICIOS!$A:$G,5,0))))</f>
        <v>Criar</v>
      </c>
      <c r="EQ6" s="8"/>
      <c r="ER6" s="28" t="str">
        <f t="shared" si="1"/>
        <v/>
      </c>
      <c r="ES6" s="62" t="s">
        <v>355</v>
      </c>
      <c r="ET6" s="126" t="s">
        <v>356</v>
      </c>
      <c r="EU6" s="127">
        <v>499</v>
      </c>
      <c r="EV6" s="126">
        <v>12</v>
      </c>
      <c r="EW6" s="128" t="str">
        <f t="shared" si="2"/>
        <v>Oi benefício fidelização Multiprodutos</v>
      </c>
      <c r="EX6" s="129" t="str">
        <f t="shared" si="3"/>
        <v>PCS-Fk83324</v>
      </c>
      <c r="EY6" s="91" t="str">
        <f t="shared" si="4"/>
        <v>PCS-SBL553142</v>
      </c>
      <c r="EZ6" s="85" t="s">
        <v>357</v>
      </c>
      <c r="FA6" s="97" t="s">
        <v>358</v>
      </c>
      <c r="FB6" s="91"/>
      <c r="FC6" s="85"/>
      <c r="FD6" s="97"/>
      <c r="FE6" s="91"/>
      <c r="FF6" s="87"/>
      <c r="FG6" s="144" t="str">
        <f t="shared" si="5"/>
        <v/>
      </c>
      <c r="FH6" s="144">
        <f t="shared" si="6"/>
        <v>134.9</v>
      </c>
      <c r="FI6" s="144" t="str">
        <f t="shared" si="7"/>
        <v/>
      </c>
      <c r="FJ6" s="144" t="str">
        <f t="shared" si="8"/>
        <v/>
      </c>
      <c r="FK6" s="144" t="str">
        <f t="shared" si="9"/>
        <v/>
      </c>
      <c r="FL6" s="144" t="str">
        <f t="shared" si="10"/>
        <v/>
      </c>
      <c r="FM6" s="144" t="str">
        <f t="shared" si="11"/>
        <v/>
      </c>
      <c r="FN6" s="144" t="str">
        <f t="shared" si="12"/>
        <v/>
      </c>
      <c r="FO6" s="144" t="str">
        <f t="shared" si="13"/>
        <v/>
      </c>
      <c r="FP6" s="144">
        <f t="shared" si="14"/>
        <v>144.9</v>
      </c>
      <c r="FQ6" s="144" t="str">
        <f t="shared" si="15"/>
        <v/>
      </c>
      <c r="FR6" s="144" t="str">
        <f t="shared" si="16"/>
        <v/>
      </c>
      <c r="FS6" s="144" t="str">
        <f t="shared" si="17"/>
        <v/>
      </c>
      <c r="FT6" s="144">
        <f t="shared" si="18"/>
        <v>164.9</v>
      </c>
      <c r="FU6" s="144" t="str">
        <f t="shared" si="19"/>
        <v/>
      </c>
      <c r="FV6" s="144" t="str">
        <f t="shared" si="20"/>
        <v/>
      </c>
      <c r="FW6" s="144" t="str">
        <f t="shared" si="21"/>
        <v/>
      </c>
      <c r="FX6" s="148"/>
      <c r="FY6" s="149"/>
      <c r="FZ6" s="149"/>
      <c r="GA6" s="149"/>
      <c r="GB6" s="149"/>
      <c r="GC6" s="149"/>
      <c r="GD6" s="149"/>
      <c r="GE6" s="149"/>
      <c r="GF6" s="149"/>
      <c r="GG6" s="150"/>
    </row>
    <row r="7" spans="1:189">
      <c r="A7" s="45" t="s">
        <v>339</v>
      </c>
      <c r="B7" s="133" t="s">
        <v>340</v>
      </c>
      <c r="C7" s="204" t="s">
        <v>341</v>
      </c>
      <c r="D7" s="46" t="s">
        <v>342</v>
      </c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9"/>
      <c r="U7" s="48"/>
      <c r="V7" s="49"/>
      <c r="W7" s="48"/>
      <c r="X7" s="48"/>
      <c r="Y7" s="48"/>
      <c r="Z7" s="48"/>
      <c r="AA7" s="49"/>
      <c r="AB7" s="48"/>
      <c r="AC7" s="63"/>
      <c r="AD7" s="48"/>
      <c r="AE7" s="48"/>
      <c r="AF7" s="48"/>
      <c r="AG7" s="48"/>
      <c r="AH7" s="48"/>
      <c r="AI7" s="48"/>
      <c r="AJ7" s="48"/>
      <c r="AK7" s="48"/>
      <c r="AL7" s="51"/>
      <c r="AM7" s="205" t="s">
        <v>347</v>
      </c>
      <c r="AN7" s="38" t="s">
        <v>350</v>
      </c>
      <c r="AO7" s="39" t="s">
        <v>351</v>
      </c>
      <c r="AP7" s="52">
        <v>42917</v>
      </c>
      <c r="AQ7" s="53">
        <v>43039</v>
      </c>
      <c r="AR7" s="64" t="s">
        <v>352</v>
      </c>
      <c r="AS7" s="65" t="s">
        <v>352</v>
      </c>
      <c r="AT7" s="54"/>
      <c r="AU7" s="54" t="s">
        <v>353</v>
      </c>
      <c r="AV7" s="54">
        <v>20</v>
      </c>
      <c r="AW7" s="54">
        <v>10000</v>
      </c>
      <c r="AX7" s="70" t="s">
        <v>354</v>
      </c>
      <c r="AY7" s="71" t="s">
        <v>355</v>
      </c>
      <c r="AZ7" s="72" t="s">
        <v>355</v>
      </c>
      <c r="BA7" s="73" t="s">
        <v>342</v>
      </c>
      <c r="BB7" s="55" t="s">
        <v>347</v>
      </c>
      <c r="BC7" s="56" t="s">
        <v>230</v>
      </c>
      <c r="BD7" s="27" t="str">
        <f t="shared" si="0"/>
        <v>PCS-2PHipi</v>
      </c>
      <c r="BE7" s="207">
        <v>45</v>
      </c>
      <c r="BF7" s="3">
        <f>IF(BE7=0,"",IF(BE7=VLOOKUP("FIXO",ARBOR!$A:$C,3,0),0.0001,IF(BE7&gt;VLOOKUP("FIXO",ARBOR!$A:$C,3,0),"Maior que CAP!",IF((DOLLAR(BE7+(VLOOKUP("FIXO",ARBOR!$A:$C,3,0)*-TRUNC(BE7/VLOOKUP("FIXO",ARBOR!$A:$C,3,0)-1,4)),6))&lt;&gt;(DOLLAR(VLOOKUP("FIXO",ARBOR!$A:$C,3,0),6)),-TRUNC(BE7/VLOOKUP("FIXO",ARBOR!$A:$C,3,0)-1,4)+0.0001,-TRUNC(BE7/VLOOKUP("FIXO",ARBOR!$A:$C,3,0)-1,4)))))</f>
        <v>0.40670000000000001</v>
      </c>
      <c r="BG7" s="10" t="str">
        <f>IF(ISERROR(IF(BF7="","",VLOOKUP(($BC7&amp;BF7&amp;"Template de desconto FLAT bundle - Fixo - Varejo - Ganho Tributário Cross"),BENEFICIOS!$A:$G,5,0))),"Criar",IF(BF7="","",VLOOKUP(($BC7&amp;BF7&amp;"Template de desconto FLAT bundle - Fixo - Varejo - Ganho Tributário Cross"),BENEFICIOS!$A:$G,5,0)))</f>
        <v>Criar</v>
      </c>
      <c r="BH7" s="8"/>
      <c r="BI7" s="3" t="str">
        <f>IF(BH7=0,"",IF(BH7=VLOOKUP("PCS-OzTL40",ARBOR!$A:$C,3,0),0.0001,IF(BH7&gt;VLOOKUP("PCS-OzTL40",ARBOR!$A:$C,3,0),"Maior que CAP!",IF((DOLLAR(BH7+(VLOOKUP("PCS-OzTL40",ARBOR!$A:$C,3,0)*-TRUNC(BH7/VLOOKUP("PCS-OzTL40",ARBOR!$A:$C,3,0)-1,4)),6))&lt;&gt;(DOLLAR(VLOOKUP("PCS-OzTL40",ARBOR!$A:$C,3,0),6)),-TRUNC(BH7/VLOOKUP("PCS-OzTL40",ARBOR!$A:$C,3,0)-1,4)+0.0001,-TRUNC(BH7/VLOOKUP("PCS-OzTL40",ARBOR!$A:$C,3,0)-1,4)))))</f>
        <v/>
      </c>
      <c r="BJ7" s="10" t="str">
        <f>IF(ISERROR(IF(BI7="","",VLOOKUP((BC7&amp;BI7&amp;"Template desconto FLAT Plano Principal Oi TV nível conta"),BENEFICIOS!$A:$G,5,0))),"Criar",IF(BI7="","",VLOOKUP((BC7&amp;BI7&amp;"Template desconto FLAT Plano Principal Oi TV nível conta"),BENEFICIOS!$A:$G,5,0)))</f>
        <v/>
      </c>
      <c r="BK7" s="8"/>
      <c r="BL7" s="3" t="str">
        <f>IF(BK7=0,"",IF(BK7=VLOOKUP("PCS-OzTL41",ARBOR!$A:$C,3,0),0.0001,IF(BK7&gt;VLOOKUP("PCS-OzTL41",ARBOR!$A:$C,3,0),"Maior que CAP!",IF((DOLLAR(BK7+(VLOOKUP("PCS-OzTL41",ARBOR!$A:$C,3,0)*-TRUNC(BK7/VLOOKUP("PCS-OzTL41",ARBOR!$A:$C,3,0)-1,4)),6))&lt;&gt;(DOLLAR(VLOOKUP("PCS-OzTL41",ARBOR!$A:$C,3,0),6)),-TRUNC(BK7/VLOOKUP("PCS-OzTL41",ARBOR!$A:$C,3,0)-1,4)+0.0001,-TRUNC(BK7/VLOOKUP("PCS-OzTL41",ARBOR!$A:$C,3,0)-1,4)))))</f>
        <v/>
      </c>
      <c r="BM7" s="28" t="str">
        <f>IF(ISERROR(IF(BL7="","",VLOOKUP((BC7&amp;BL7&amp;"Template desconto FLAT Plano Principal Oi TV nível conta"),BENEFICIOS!$A:$G,5,0))),"Criar",IF(BL7="","",VLOOKUP((BC7&amp;BL7&amp;"Template desconto FLAT Plano Principal Oi TV nível conta"),BENEFICIOS!$A:$G,5,0)))</f>
        <v/>
      </c>
      <c r="BN7" s="8">
        <v>119.9</v>
      </c>
      <c r="BO7" s="3">
        <f>IF(BN7=0,"",IF(BN7=VLOOKUP("PCS-OzTL44",ARBOR!$A:$C,3,0),0.0001,IF(BN7&gt;VLOOKUP("PCS-OzTL44",ARBOR!$A:$C,3,0),"Maior que CAP!",IF((DOLLAR(BN7+(VLOOKUP("PCS-OzTL44",ARBOR!$A:$C,3,0)*-TRUNC(BN7/VLOOKUP("PCS-OzTL44",ARBOR!$A:$C,3,0)-1,4)),6))&lt;&gt;(DOLLAR(VLOOKUP("PCS-OzTL44",ARBOR!$A:$C,3,0),6)),-TRUNC(BN7/VLOOKUP("PCS-OzTL44",ARBOR!$A:$C,3,0)-1,4)+0.0001,-TRUNC(BN7/VLOOKUP("PCS-OzTL44",ARBOR!$A:$C,3,0)-1,4)))))</f>
        <v>0.3775</v>
      </c>
      <c r="BP7" s="28" t="str">
        <f>IF(ISERROR(IF(BO7="","",VLOOKUP((BC7&amp;BO7&amp;"Template desconto FLAT Plano Principal Oi TV nível conta"),BENEFICIOS!$A:$G,5,0))),"Criar",IF(BO7="","",VLOOKUP((BC7&amp;BO7&amp;"Template desconto FLAT Plano Principal Oi TV nível conta"),BENEFICIOS!$A:$G,5,0)))</f>
        <v>Criar</v>
      </c>
      <c r="BQ7" s="8">
        <v>119.9</v>
      </c>
      <c r="BR7" s="3">
        <f>IF(BQ7=0,"",IF(BQ7=VLOOKUP("PCS-OzTL43",ARBOR!$A:$C,3,0),0.0001,IF(BQ7&gt;VLOOKUP("PCS-OzTL43",ARBOR!$A:$C,3,0),"Maior que CAP!",IF((DOLLAR(BQ7+(VLOOKUP("PCS-OzTL43",ARBOR!$A:$C,3,0)*-TRUNC(BQ7/VLOOKUP("PCS-OzTL43",ARBOR!$A:$C,3,0)-1,4)),6))&lt;&gt;(DOLLAR(VLOOKUP("PCS-OzTL43",ARBOR!$A:$C,3,0),6)),-TRUNC(BQ7/VLOOKUP("PCS-OzTL43",ARBOR!$A:$C,3,0)-1,4)+0.0001,-TRUNC(BQ7/VLOOKUP("PCS-OzTL43",ARBOR!$A:$C,3,0)-1,4)))))</f>
        <v>0.41120000000000001</v>
      </c>
      <c r="BS7" s="28" t="str">
        <f>IF(ISERROR(IF(BR7="","",VLOOKUP((BC7&amp;BR7&amp;"Template desconto FLAT Plano Principal Oi TV nível conta"),BENEFICIOS!$A:$G,5,0))),"Criar",IF(BR7="","",VLOOKUP((BC7&amp;BR7&amp;"Template desconto FLAT Plano Principal Oi TV nível conta"),BENEFICIOS!$A:$G,5,0)))</f>
        <v>Criar</v>
      </c>
      <c r="BT7" s="8">
        <v>149.9</v>
      </c>
      <c r="BU7" s="3">
        <f>IF(BT7=0,"",IF(BT7=VLOOKUP("PCS-OzTL45",ARBOR!$A:$C,3,0),0.0001,IF(BT7&gt;VLOOKUP("PCS-OzTL45",ARBOR!$A:$C,3,0),"Maior que CAP!",IF((DOLLAR(BT7+(VLOOKUP("PCS-OzTL45",ARBOR!$A:$C,3,0)*-TRUNC(BT7/VLOOKUP("PCS-OzTL45",ARBOR!$A:$C,3,0)-1,4)),6))&lt;&gt;(DOLLAR(VLOOKUP("PCS-OzTL45",ARBOR!$A:$C,3,0),6)),-TRUNC(BT7/VLOOKUP("PCS-OzTL45",ARBOR!$A:$C,3,0)-1,4)+0.0001,-TRUNC(BT7/VLOOKUP("PCS-OzTL45",ARBOR!$A:$C,3,0)-1,4)))))</f>
        <v>0.2833</v>
      </c>
      <c r="BV7" s="28" t="str">
        <f>IF(ISERROR(IF(BU7="","",VLOOKUP((BC7&amp;BU7&amp;"Template desconto FLAT Plano Principal Oi TV nível conta"),BENEFICIOS!$A:$G,5,0))),"Criar",IF(BU7="","",VLOOKUP((BC7&amp;BU7&amp;"Template desconto FLAT Plano Principal Oi TV nível conta"),BENEFICIOS!$A:$G,5,0)))</f>
        <v>Criar</v>
      </c>
      <c r="BW7" s="8"/>
      <c r="BX7" s="3" t="str">
        <f>IF(BW7=0,"",IF(BW7=VLOOKUP("PCS-OzTL741",ARBOR!$A:$C,3,0),0.0001,IF(BW7&gt;VLOOKUP("PCS-OzTL741",ARBOR!$A:$C,3,0),"Maior que CAP!",IF((DOLLAR(BW7+(VLOOKUP("PCS-OzTL741",ARBOR!$A:$C,3,0)*-TRUNC(BW7/VLOOKUP("PCS-OzTL741",ARBOR!$A:$C,3,0)-1,4)),6))&lt;&gt;(DOLLAR(VLOOKUP("PCS-OzTL741",ARBOR!$A:$C,3,0),6)),-TRUNC(BW7/VLOOKUP("PCS-OzTL741",ARBOR!$A:$C,3,0)-1,4)+0.0001,-TRUNC(BW7/VLOOKUP("PCS-OzTL741",ARBOR!$A:$C,3,0)-1,4)))))</f>
        <v/>
      </c>
      <c r="BY7" s="28" t="str">
        <f>IF(ISERROR(IF(BX7="","",VLOOKUP((BC7&amp;BX7&amp;"Template desconto FLAT Plano Principal Oi TV nível conta"),BENEFICIOS!$A:$G,5,0))),"Criar",IF(BX7="","",VLOOKUP((BC7&amp;BX7&amp;"Template desconto FLAT Plano Principal Oi TV nível conta"),BENEFICIOS!$A:$G,5,0)))</f>
        <v/>
      </c>
      <c r="BZ7" s="8"/>
      <c r="CA7" s="3" t="str">
        <f>IF(BZ7=0,"",IF(BZ7=VLOOKUP("PCS-OzTL744",ARBOR!$A:$C,3,0),0.0001,IF(BZ7&gt;VLOOKUP("PCS-OzTL744",ARBOR!$A:$C,3,0),"Maior que CAP!",IF((DOLLAR(BZ7+(VLOOKUP("PCS-OzTL744",ARBOR!$A:$C,3,0)*-TRUNC(BZ7/VLOOKUP("PCS-OzTL744",ARBOR!$A:$C,3,0)-1,4)),6))&lt;&gt;(DOLLAR(VLOOKUP("PCS-OzTL744",ARBOR!$A:$C,3,0),6)),-TRUNC(BZ7/VLOOKUP("PCS-OzTL744",ARBOR!$A:$C,3,0)-1,4)+0.0001,-TRUNC(BZ7/VLOOKUP("PCS-OzTL744",ARBOR!$A:$C,3,0)-1,4)))))</f>
        <v/>
      </c>
      <c r="CB7" s="28" t="str">
        <f>IF(ISERROR(IF(CA7="","",VLOOKUP(($BC7&amp;CA7&amp;"Template desconto FLAT Plano Principal Oi TV nível conta"),BENEFICIOS!$A:$G,5,0))),"Criar",IF(CA7="","",VLOOKUP(($BC7&amp;CA7&amp;"Template desconto FLAT Plano Principal Oi TV nível conta"),BENEFICIOS!$A:$G,5,0)))</f>
        <v/>
      </c>
      <c r="CC7" s="8"/>
      <c r="CD7" s="3" t="str">
        <f>IF(CC7=0,"",IF(CC7=VLOOKUP("PCS-OzTL743",ARBOR!$A:$C,3,0),0.0001,IF(CC7&gt;VLOOKUP("PCS-OzTL743",ARBOR!$A:$C,3,0),"Maior que CAP!",IF((DOLLAR(CC7+(VLOOKUP("PCS-OzTL743",ARBOR!$A:$C,3,0)*-TRUNC(CC7/VLOOKUP("PCS-OzTL743",ARBOR!$A:$C,3,0)-1,4)),6))&lt;&gt;(DOLLAR(VLOOKUP("PCS-OzTL743",ARBOR!$A:$C,3,0),6)),-TRUNC(CC7/VLOOKUP("PCS-OzTL743",ARBOR!$A:$C,3,0)-1,4)+0.0001,-TRUNC(CC7/VLOOKUP("PCS-OzTL743",ARBOR!$A:$C,3,0)-1,4)))))</f>
        <v/>
      </c>
      <c r="CE7" s="28" t="str">
        <f>IF(ISERROR(IF(CD7="","",VLOOKUP(($BC7&amp;CD7&amp;"Template desconto FLAT Plano Principal Oi TV nível conta"),BENEFICIOS!$A:$G,5,0))),"Criar",IF(CD7="","",VLOOKUP(($BC7&amp;CD7&amp;"Template desconto FLAT Plano Principal Oi TV nível conta"),BENEFICIOS!$A:$G,5,0)))</f>
        <v/>
      </c>
      <c r="CF7" s="8"/>
      <c r="CG7" s="3" t="str">
        <f>IF(CF7=0,"",IF(CF7=VLOOKUP("PCS-OzTL745",ARBOR!$A:$C,3,0),0.0001,IF(CF7&gt;VLOOKUP("PCS-OzTL745",ARBOR!$A:$C,3,0),"Maior que CAP!",IF((DOLLAR(CF7+(VLOOKUP("PCS-OzTL745",ARBOR!$A:$C,3,0)*-TRUNC(CF7/VLOOKUP("PCS-OzTL745",ARBOR!$A:$C,3,0)-1,4)),6))&lt;&gt;(DOLLAR(VLOOKUP("PCS-OzTL745",ARBOR!$A:$C,3,0),6)),-TRUNC(CF7/VLOOKUP("PCS-OzTL745",ARBOR!$A:$C,3,0)-1,4)+0.0001,-TRUNC(CF7/VLOOKUP("PCS-OzTL745",ARBOR!$A:$C,3,0)-1,4)))))</f>
        <v/>
      </c>
      <c r="CH7" s="28" t="str">
        <f>IF(ISERROR(IF(CG7="","",VLOOKUP(($BC7&amp;CG7&amp;"Template desconto FLAT Plano Principal Oi TV nível conta"),BENEFICIOS!$A:$G,5,0))),"Criar",IF(CG7="","",VLOOKUP(($BC7&amp;CG7&amp;"Template desconto FLAT Plano Principal Oi TV nível conta"),BENEFICIOS!$A:$G,5,0)))</f>
        <v/>
      </c>
      <c r="CI7" s="8"/>
      <c r="CJ7" s="3" t="str">
        <f>IF(CI7=0,"",IF(CI7=VLOOKUP("PCS-OzTL42",ARBOR!$A:$C,3,0),0.0001,IF(CI7&gt;VLOOKUP("PCS-OzTL42",ARBOR!$A:$C,3,0),"Maior que CAP!",IF((DOLLAR(CI7+(VLOOKUP("PCS-OzTL42",ARBOR!$A:$C,3,0)*-TRUNC(CI7/VLOOKUP("PCS-OzTL42",ARBOR!$A:$C,3,0)-1,4)),6))&lt;&gt;(DOLLAR(VLOOKUP("PCS-OzTL42",ARBOR!$A:$C,3,0),6)),-TRUNC(CI7/VLOOKUP("PCS-OzTL42",ARBOR!$A:$C,3,0)-1,4)+0.0001,-TRUNC(CI7/VLOOKUP("PCS-OzTL42",ARBOR!$A:$C,3,0)-1,4)))))</f>
        <v/>
      </c>
      <c r="CK7" s="28" t="str">
        <f>IF(ISERROR(IF(CJ7="","",VLOOKUP(($BC7&amp;CJ7&amp;"Template desconto FLAT Plano Principal Oi TV nível conta"),BENEFICIOS!$A:$G,5,0))),"Criar",IF(CJ7="","",VLOOKUP(($BC7&amp;CJ7&amp;"Template desconto FLAT Plano Principal Oi TV nível conta"),BENEFICIOS!$A:$G,5,0)))</f>
        <v/>
      </c>
      <c r="CL7" s="8">
        <v>129.9</v>
      </c>
      <c r="CM7" s="3">
        <f>IF(CL7=0,"",IF(CL7=VLOOKUP("PCS-OzTL47",ARBOR!$A:$C,3,0),0.0001,IF(CL7&gt;VLOOKUP("PCS-OzTL47",ARBOR!$A:$C,3,0),"Maior que CAP!",IF((DOLLAR(CL7+(VLOOKUP("PCS-OzTL47",ARBOR!$A:$C,3,0)*-TRUNC(CL7/VLOOKUP("PCS-OzTL47",ARBOR!$A:$C,3,0)-1,4)),6))&lt;&gt;(DOLLAR(VLOOKUP("PCS-OzTL47",ARBOR!$A:$C,3,0),6)),-TRUNC(CL7/VLOOKUP("PCS-OzTL47",ARBOR!$A:$C,3,0)-1,4)+0.0001,-TRUNC(CL7/VLOOKUP("PCS-OzTL47",ARBOR!$A:$C,3,0)-1,4)))))</f>
        <v>0.36209999999999998</v>
      </c>
      <c r="CN7" s="28" t="str">
        <f>IF(ISERROR(IF(CM7="","",VLOOKUP(($BC7&amp;CM7&amp;"Template desconto FLAT Plano Principal Oi TV nível conta"),BENEFICIOS!$A:$G,5,0))),"Criar",IF(CM7="","",VLOOKUP(($BC7&amp;CM7&amp;"Template desconto FLAT Plano Principal Oi TV nível conta"),BENEFICIOS!$A:$G,5,0)))</f>
        <v>Criar</v>
      </c>
      <c r="CO7" s="8">
        <v>129.9</v>
      </c>
      <c r="CP7" s="3">
        <f>IF(CO7=0,"",IF(CO7=VLOOKUP("PCS-OzTL46",ARBOR!$A:$C,3,0),0.0001,IF(CO7&gt;VLOOKUP("PCS-OzTL46",ARBOR!$A:$C,3,0),"Maior que CAP!",IF((DOLLAR(CO7+(VLOOKUP("PCS-OzTL46",ARBOR!$A:$C,3,0)*-TRUNC(CO7/VLOOKUP("PCS-OzTL46",ARBOR!$A:$C,3,0)-1,4)),6))&lt;&gt;(DOLLAR(VLOOKUP("PCS-OzTL46",ARBOR!$A:$C,3,0),6)),-TRUNC(CO7/VLOOKUP("PCS-OzTL46",ARBOR!$A:$C,3,0)-1,4)+0.0001,-TRUNC(CO7/VLOOKUP("PCS-OzTL46",ARBOR!$A:$C,3,0)-1,4)))))</f>
        <v>0.39489999999999997</v>
      </c>
      <c r="CQ7" s="28" t="str">
        <f>IF(ISERROR(IF(CP7="","",VLOOKUP(($BC7&amp;CP7&amp;"Template desconto FLAT Plano Principal Oi TV nível conta"),BENEFICIOS!$A:$G,5,0))),"Criar",IF(CP7="","",VLOOKUP(($BC7&amp;CP7&amp;"Template desconto FLAT Plano Principal Oi TV nível conta"),BENEFICIOS!$A:$G,5,0)))</f>
        <v>Criar</v>
      </c>
      <c r="CR7" s="8">
        <v>159.9</v>
      </c>
      <c r="CS7" s="3">
        <f>IF(CR7=0,"",IF(CR7=VLOOKUP("PCS-OzTL48",ARBOR!$A:$C,3,0),0.0001,IF(CR7&gt;VLOOKUP("PCS-OzTL48",ARBOR!$A:$C,3,0),"Maior que CAP!",IF((DOLLAR(CR7+(VLOOKUP("PCS-OzTL48",ARBOR!$A:$C,3,0)*-TRUNC(CR7/VLOOKUP("PCS-OzTL48",ARBOR!$A:$C,3,0)-1,4)),6))&lt;&gt;(DOLLAR(VLOOKUP("PCS-OzTL48",ARBOR!$A:$C,3,0),6)),-TRUNC(CR7/VLOOKUP("PCS-OzTL48",ARBOR!$A:$C,3,0)-1,4)+0.0001,-TRUNC(CR7/VLOOKUP("PCS-OzTL48",ARBOR!$A:$C,3,0)-1,4)))))</f>
        <v>0.36849999999999999</v>
      </c>
      <c r="CT7" s="28" t="str">
        <f>IF(ISERROR(IF(CS7="","",VLOOKUP(($BC7&amp;CS7&amp;"Template desconto FLAT Plano Principal Oi TV nível conta"),BENEFICIOS!$A:$G,5,0))),"Criar",IF(CS7="","",VLOOKUP(($BC7&amp;CS7&amp;"Template desconto FLAT Plano Principal Oi TV nível conta"),BENEFICIOS!$A:$G,5,0)))</f>
        <v>Criar</v>
      </c>
      <c r="CU7" s="8"/>
      <c r="CV7" s="3" t="str">
        <f>IF(CU7=0,"",IF(CU7=VLOOKUP("PCS-OzTL742",ARBOR!$A:$C,3,0),0.0001,IF(CU7&gt;VLOOKUP("PCS-OzTL742",ARBOR!$A:$C,3,0),"Maior que CAP!",IF((DOLLAR(CU7+(VLOOKUP("PCS-OzTL742",ARBOR!$A:$C,3,0)*-TRUNC(CU7/VLOOKUP("PCS-OzTL742",ARBOR!$A:$C,3,0)-1,4)),6))&lt;&gt;(DOLLAR(VLOOKUP("PCS-OzTL742",ARBOR!$A:$C,3,0),6)),-TRUNC(CU7/VLOOKUP("PCS-OzTL742",ARBOR!$A:$C,3,0)-1,4)+0.0001,-TRUNC(CU7/VLOOKUP("PCS-OzTL742",ARBOR!$A:$C,3,0)-1,4)))))</f>
        <v/>
      </c>
      <c r="CW7" s="28" t="str">
        <f>IF(ISERROR(IF(CV7="","",VLOOKUP(($BC7&amp;CV7&amp;"Template desconto FLAT Plano Principal Oi TV nível conta"),BENEFICIOS!$A:$G,5,0))),"Criar",IF(CV7="","",VLOOKUP(($BC7&amp;CV7&amp;"Template desconto FLAT Plano Principal Oi TV nível conta"),BENEFICIOS!$A:$G,5,0)))</f>
        <v/>
      </c>
      <c r="CX7" s="8"/>
      <c r="CY7" s="3" t="str">
        <f>IF(CX7=0,"",IF(CX7=VLOOKUP("PCS-OzTL747",ARBOR!$A:$C,3,0),0.0001,IF(CX7&gt;VLOOKUP("PCS-OzTL747",ARBOR!$A:$C,3,0),"Maior que CAP!",IF((DOLLAR(CX7+(VLOOKUP("PCS-OzTL747",ARBOR!$A:$C,3,0)*-TRUNC(CX7/VLOOKUP("PCS-OzTL747",ARBOR!$A:$C,3,0)-1,4)),6))&lt;&gt;(DOLLAR(VLOOKUP("PCS-OzTL747",ARBOR!$A:$C,3,0),6)),-TRUNC(CX7/VLOOKUP("PCS-OzTL747",ARBOR!$A:$C,3,0)-1,4)+0.0001,-TRUNC(CX7/VLOOKUP("PCS-OzTL747",ARBOR!$A:$C,3,0)-1,4)))))</f>
        <v/>
      </c>
      <c r="CZ7" s="28" t="str">
        <f>IF(ISERROR(IF(CY7="","",VLOOKUP(($BC7&amp;CY7&amp;"Template desconto FLAT Plano Principal Oi TV nível conta"),BENEFICIOS!$A:$G,5,0))),"Criar",IF(CY7="","",VLOOKUP(($BC7&amp;CY7&amp;"Template desconto FLAT Plano Principal Oi TV nível conta"),BENEFICIOS!$A:$G,5,0)))</f>
        <v/>
      </c>
      <c r="DA7" s="8"/>
      <c r="DB7" s="3" t="str">
        <f>IF(DA7=0,"",IF(DA7=VLOOKUP("PCS-OzTL746",ARBOR!$A:$C,3,0),0.0001,IF(DA7&gt;VLOOKUP("PCS-OzTL746",ARBOR!$A:$C,3,0),"Maior que CAP!",IF((DOLLAR(DA7+(VLOOKUP("PCS-OzTL746",ARBOR!$A:$C,3,0)*-TRUNC(DA7/VLOOKUP("PCS-OzTL746",ARBOR!$A:$C,3,0)-1,4)),6))&lt;&gt;(DOLLAR(VLOOKUP("PCS-OzTL746",ARBOR!$A:$C,3,0),6)),-TRUNC(DA7/VLOOKUP("PCS-OzTL746",ARBOR!$A:$C,3,0)-1,4)+0.0001,-TRUNC(DA7/VLOOKUP("PCS-OzTL746",ARBOR!$A:$C,3,0)-1,4)))))</f>
        <v/>
      </c>
      <c r="DC7" s="28" t="str">
        <f>IF(ISERROR(IF(DB7="","",VLOOKUP(($BC7&amp;DB7&amp;"Template desconto FLAT Plano Principal Oi TV nível conta"),BENEFICIOS!$A:$G,5,0))),"Criar",IF(DB7="","",VLOOKUP(($BC7&amp;DB7&amp;"Template desconto FLAT Plano Principal Oi TV nível conta"),BENEFICIOS!$A:$G,5,0)))</f>
        <v/>
      </c>
      <c r="DD7" s="8"/>
      <c r="DE7" s="3" t="str">
        <f>IF(DD7=0,"",IF(DD7=VLOOKUP("PCS-OzTL748",ARBOR!$A:$C,3,0),0.0001,IF(DD7&gt;VLOOKUP("PCS-OzTL748",ARBOR!$A:$C,3,0),"Maior que CAP!",IF((DOLLAR(DD7+(VLOOKUP("PCS-OzTL748",ARBOR!$A:$C,3,0)*-TRUNC(DD7/VLOOKUP("PCS-OzTL748",ARBOR!$A:$C,3,0)-1,4)),6))&lt;&gt;(DOLLAR(VLOOKUP("PCS-OzTL748",ARBOR!$A:$C,3,0),6)),-TRUNC(DD7/VLOOKUP("PCS-OzTL748",ARBOR!$A:$C,3,0)-1,4)+0.0001,-TRUNC(DD7/VLOOKUP("PCS-OzTL748",ARBOR!$A:$C,3,0)-1,4)))))</f>
        <v/>
      </c>
      <c r="DF7" s="28" t="str">
        <f>IF(ISERROR(IF(DE7="","",VLOOKUP(($BC7&amp;DE7&amp;"Template desconto FLAT Plano Principal Oi TV nível conta"),BENEFICIOS!$A:$G,5,0))),"Criar",IF(DE7="","",VLOOKUP(($BC7&amp;DE7&amp;"Template desconto FLAT Plano Principal Oi TV nível conta"),BENEFICIOS!$A:$G,5,0)))</f>
        <v/>
      </c>
      <c r="DG7" s="8">
        <v>75</v>
      </c>
      <c r="DH7" s="3">
        <f>IF(DG7=0,"",IF(DG7=VLOOKUP("PCS-OzTL34",ARBOR!$A:$C,3,0),0.0001,IF(DG7&gt;VLOOKUP("PCS-OzTL34",ARBOR!$A:$C,3,0),"Maior que CAP!",IF((DOLLAR(DG7+(VLOOKUP("PCS-OzTL34",ARBOR!$A:$C,3,0)*-TRUNC(DG7/VLOOKUP("PCS-OzTL34",ARBOR!$A:$C,3,0)-1,4)),6))&lt;&gt;(DOLLAR(VLOOKUP("PCS-OzTL34",ARBOR!$A:$C,3,0),6)),-TRUNC(DG7/VLOOKUP("PCS-OzTL34",ARBOR!$A:$C,3,0)-1,4)+0.0001,-TRUNC(DG7/VLOOKUP("PCS-OzTL34",ARBOR!$A:$C,3,0)-1,4)))))</f>
        <v>0.31900000000000001</v>
      </c>
      <c r="DI7" s="28" t="str">
        <f>IF(DH7="S/Desc","S/Desc",IF(ISERROR(IF(DH7="","",VLOOKUP(($BC7&amp;DH7&amp;"Template desconto % Combate nível conta"),BENEFICIOS!$A:$G,5,0))),"Criar",IF(DH7="","",VLOOKUP(($BC7&amp;DH7&amp;"Template desconto % Combate nível conta"),BENEFICIOS!$A:$G,5,0))))</f>
        <v>Criar</v>
      </c>
      <c r="DJ7" s="8">
        <v>19.899999999999999</v>
      </c>
      <c r="DK7" s="3">
        <f>IF(DJ7=0,"",IF(DJ7=VLOOKUP("PCS-OzTL31",ARBOR!$A:$C,3,0),0.0001,IF(DJ7&gt;VLOOKUP("PCS-OzTL31",ARBOR!$A:$C,3,0),"Maior que CAP!",IF((DOLLAR(DJ7+(VLOOKUP("PCS-OzTL31",ARBOR!$A:$C,3,0)*-TRUNC(DJ7/VLOOKUP("PCS-OzTL31",ARBOR!$A:$C,3,0)-1,4)),6))&lt;&gt;(DOLLAR(VLOOKUP("PCS-OzTL31",ARBOR!$A:$C,3,0),6)),-TRUNC(DJ7/VLOOKUP("PCS-OzTL31",ARBOR!$A:$C,3,0)-1,4)+0.0001,-TRUNC(DJ7/VLOOKUP("PCS-OzTL31",ARBOR!$A:$C,3,0)-1,4)))))</f>
        <v>9.1800000000000007E-2</v>
      </c>
      <c r="DL7" s="28" t="str">
        <f>IF(DK7="S/Desc","S/Desc",IF(ISERROR(IF(DK7="","",VLOOKUP(($BC7&amp;DK7&amp;"Template desconto % Sexy Hot nível conta"),BENEFICIOS!$A:$G,5,0))),"Criar",IF(DK7="","",VLOOKUP(($BC7&amp;DK7&amp;"Template desconto % Sexy Hot nível conta"),BENEFICIOS!$A:$G,5,0))))</f>
        <v>Criar</v>
      </c>
      <c r="DM7" s="8">
        <v>19.899999999999999</v>
      </c>
      <c r="DN7" s="3">
        <f>IF(DM7=0,"",IF(DM7=VLOOKUP("PCS-OzTL32",ARBOR!$A:$C,3,0),0.0001,IF(DM7&gt;VLOOKUP("PCS-OzTL32",ARBOR!$A:$C,3,0),"Maior que CAP!",IF((DOLLAR(DM7+(VLOOKUP("PCS-OzTL32",ARBOR!$A:$C,3,0)*-TRUNC(DM7/VLOOKUP("PCS-OzTL32",ARBOR!$A:$C,3,0)-1,4)),6))&lt;&gt;(DOLLAR(VLOOKUP("PCS-OzTL32",ARBOR!$A:$C,3,0),6)),-TRUNC(DM7/VLOOKUP("PCS-OzTL32",ARBOR!$A:$C,3,0)-1,4)+0.0001,-TRUNC(DM7/VLOOKUP("PCS-OzTL32",ARBOR!$A:$C,3,0)-1,4)))))</f>
        <v>9.1800000000000007E-2</v>
      </c>
      <c r="DO7" s="28" t="str">
        <f>IF(DN7="S/Desc","S/Desc",IF(ISERROR(IF(DN7="","",VLOOKUP(($BC7&amp;DN7&amp;"Template desconto % Playboy nível conta"),BENEFICIOS!$A:$G,5,0))),"Criar",IF(DN7="","",VLOOKUP(($BC7&amp;DN7&amp;"Template desconto % Playboy nível conta"),BENEFICIOS!$A:$G,5,0))))</f>
        <v>Criar</v>
      </c>
      <c r="DP7" s="8">
        <v>29.9</v>
      </c>
      <c r="DQ7" s="3">
        <f>IF(DP7=0,"",IF(DP7=VLOOKUP("PCS-OzTL33",ARBOR!$A:$C,3,0),0.0001,IF(DP7&gt;VLOOKUP("PCS-OzTL33",ARBOR!$A:$C,3,0),"Maior que CAP!",IF((DOLLAR(DP7+(VLOOKUP("PCS-OzTL33",ARBOR!$A:$C,3,0)*-TRUNC(DP7/VLOOKUP("PCS-OzTL33",ARBOR!$A:$C,3,0)-1,4)),6))&lt;&gt;(DOLLAR(VLOOKUP("PCS-OzTL33",ARBOR!$A:$C,3,0),6)),-TRUNC(DP7/VLOOKUP("PCS-OzTL33",ARBOR!$A:$C,3,0)-1,4)+0.0001,-TRUNC(DP7/VLOOKUP("PCS-OzTL33",ARBOR!$A:$C,3,0)-1,4)))))</f>
        <v>9.1800000000000007E-2</v>
      </c>
      <c r="DR7" s="28" t="str">
        <f>IF(DQ7="S/Desc","S/Desc",IF(ISERROR(IF(DQ7="","",VLOOKUP(($BC7&amp;DQ7&amp;"Template desconto % Sexy Hot + Playboy nível conta"),BENEFICIOS!$A:$G,5,0))),"Criar",IF(DQ7="","",VLOOKUP(($BC7&amp;DQ7&amp;"Template desconto % Sexy Hot + Playboy nível conta"),BENEFICIOS!$A:$G,5,0))))</f>
        <v>Criar</v>
      </c>
      <c r="DS7" s="8">
        <v>14.9</v>
      </c>
      <c r="DT7" s="3">
        <f>IF(DS7=0,"",IF(DS7=VLOOKUP("PCS-OzTL503",ARBOR!$A:$C,3,0),0.0001,IF(DS7&gt;VLOOKUP("PCS-OzTL503",ARBOR!$A:$C,3,0),"Maior que CAP!",IF((DOLLAR(DS7+(VLOOKUP("PCS-OzTL503",ARBOR!$A:$C,3,0)*-TRUNC(DS7/VLOOKUP("PCS-OzTL503",ARBOR!$A:$C,3,0)-1,4)),6))&lt;&gt;(DOLLAR(VLOOKUP("PCS-OzTL503",ARBOR!$A:$C,3,0),6)),-TRUNC(DS7/VLOOKUP("PCS-OzTL503",ARBOR!$A:$C,3,0)-1,4)+0.0001,-TRUNC(DS7/VLOOKUP("PCS-OzTL503",ARBOR!$A:$C,3,0)-1,4)))))</f>
        <v>9.1499999999999998E-2</v>
      </c>
      <c r="DU7" s="28" t="str">
        <f>IF(DT7="S/Desc","S/Desc",IF(ISERROR(IF(DT7="","",VLOOKUP(($BC7&amp;DT7&amp;"Template desconto % SexPrivê nível conta"),BENEFICIOS!$A:$G,5,0))),"Criar",IF(DT7="","",VLOOKUP(($BC7&amp;DT7&amp;"Template desconto % SexPrivê nível conta"),BENEFICIOS!$A:$G,5,0))))</f>
        <v>Criar</v>
      </c>
      <c r="DV7" s="8">
        <v>10</v>
      </c>
      <c r="DW7" s="3">
        <f>IF(DV7=0,"",IF(DV7=VLOOKUP("PCS-OzTL500",ARBOR!$A:$C,3,0),0.0001,IF(DV7&gt;VLOOKUP("PCS-OzTL500",ARBOR!$A:$C,3,0),"Maior que CAP!",IF((DOLLAR(DV7+(VLOOKUP("PCS-OzTL500",ARBOR!$A:$C,3,0)*-TRUNC(DV7/VLOOKUP("PCS-OzTL500",ARBOR!$A:$C,3,0)-1,4)),6))&lt;&gt;(DOLLAR(VLOOKUP("PCS-OzTL500",ARBOR!$A:$C,3,0),6)),-TRUNC(DV7/VLOOKUP("PCS-OzTL500",ARBOR!$A:$C,3,0)-1,4)+0.0001,-TRUNC(DV7/VLOOKUP("PCS-OzTL500",ARBOR!$A:$C,3,0)-1,4)))))</f>
        <v>9.1800000000000007E-2</v>
      </c>
      <c r="DX7" s="28" t="str">
        <f>IF(DW7="S/Desc","S/Desc",IF(ISERROR(IF(DW7="","",VLOOKUP(($BC7&amp;DW7&amp;"Template desconto % Étnico nível conta"),BENEFICIOS!$A:$G,5,0))),"Criar",IF(DW7="","",VLOOKUP(($BC7&amp;DW7&amp;"Template desconto % Étnico nível conta"),BENEFICIOS!$A:$G,5,0))))</f>
        <v>Criar</v>
      </c>
      <c r="DY7" s="8"/>
      <c r="DZ7" s="181" t="str">
        <f>IF(DY7=0,"",IF(DY7=VLOOKUP("PCS-OzTL50",ARBOR!$A:$C,3,0),0.0001,IF(DY7&gt;VLOOKUP("PCS-OzTL50",ARBOR!$A:$C,3,0),"Maior que CAP!",IF((DOLLAR(DY7+(VLOOKUP("PCS-OzTL50",ARBOR!$A:$C,3,0)*-TRUNC(DY7/VLOOKUP("PCS-OzTL50",ARBOR!$A:$C,3,0)-1,4)),6))&lt;&gt;(DOLLAR(VLOOKUP("PCS-OzTL50",ARBOR!$A:$C,3,0),6)),-TRUNC(DY7/VLOOKUP("PCS-OzTL50",ARBOR!$A:$C,3,0)-1,4)+0.0001,-TRUNC(DY7/VLOOKUP("PCS-OzTL50",ARBOR!$A:$C,3,0)-1,4)))))</f>
        <v/>
      </c>
      <c r="EA7" s="28"/>
      <c r="EB7" s="8"/>
      <c r="EC7" s="181" t="str">
        <f>IF(EB7=0,"",IF(EB7=VLOOKUP("PCS-OzTL51",ARBOR!$A:$C,3,0),0.0001,IF(EB7&gt;VLOOKUP("PCS-OzTL51",ARBOR!$A:$C,3,0),"Maior que CAP!",IF((DOLLAR(EB7+(VLOOKUP("PCS-OzTL51",ARBOR!$A:$C,3,0)*-TRUNC(EB7/VLOOKUP("PCS-OzTL51",ARBOR!$A:$C,3,0)-1,4)),6))&lt;&gt;(DOLLAR(VLOOKUP("PCS-OzTL51",ARBOR!$A:$C,3,0),6)),-TRUNC(EB7/VLOOKUP("PCS-OzTL51",ARBOR!$A:$C,3,0)-1,4)+0.0001,-TRUNC(EB7/VLOOKUP("PCS-OzTL51",ARBOR!$A:$C,3,0)-1,4)))))</f>
        <v/>
      </c>
      <c r="ED7" s="28"/>
      <c r="EE7" s="8"/>
      <c r="EF7" s="181" t="str">
        <f>IF(EE7=0,"",IF(EE7=VLOOKUP("PCS-OzTL52",ARBOR!$A:$C,3,0),0.0001,IF(EE7&gt;VLOOKUP("PCS-OzTL52",ARBOR!$A:$C,3,0),"Maior que CAP!",IF((DOLLAR(EE7+(VLOOKUP("PCS-OzTL52",ARBOR!$A:$C,3,0)*-TRUNC(EE7/VLOOKUP("PCS-OzTL52",ARBOR!$A:$C,3,0)-1,4)),6))&lt;&gt;(DOLLAR(VLOOKUP("PCS-OzTL52",ARBOR!$A:$C,3,0),6)),-TRUNC(EE7/VLOOKUP("PCS-OzTL52",ARBOR!$A:$C,3,0)-1,4)+0.0001,-TRUNC(EE7/VLOOKUP("PCS-OzTL52",ARBOR!$A:$C,3,0)-1,4)))))</f>
        <v/>
      </c>
      <c r="EG7" s="28"/>
      <c r="EH7" s="8"/>
      <c r="EI7" s="181" t="str">
        <f>IF(EH7=0,"",IF(EH7=VLOOKUP("PCS-OzTL53",ARBOR!$A:$C,3,0),0.0001,IF(EH7&gt;VLOOKUP("PCS-OzTL53",ARBOR!$A:$C,3,0),"Maior que CAP!",IF((DOLLAR(EH7+(VLOOKUP("PCS-OzTL53",ARBOR!$A:$C,3,0)*-TRUNC(EH7/VLOOKUP("PCS-OzTL53",ARBOR!$A:$C,3,0)-1,4)),6))&lt;&gt;(DOLLAR(VLOOKUP("PCS-OzTL53",ARBOR!$A:$C,3,0),6)),-TRUNC(EH7/VLOOKUP("PCS-OzTL53",ARBOR!$A:$C,3,0)-1,4)+0.0001,-TRUNC(EH7/VLOOKUP("PCS-OzTL53",ARBOR!$A:$C,3,0)-1,4)))))</f>
        <v/>
      </c>
      <c r="EJ7" s="28"/>
      <c r="EK7" s="8"/>
      <c r="EL7" s="181" t="str">
        <f>IF(EK7=0,"",IF(EK7=VLOOKUP("PCS-OzTL54",ARBOR!$A:$C,3,0),0.0001,IF(EK7&gt;VLOOKUP("PCS-OzTL54",ARBOR!$A:$C,3,0),"Maior que CAP!",IF((DOLLAR(EK7+(VLOOKUP("PCS-OzTL54",ARBOR!$A:$C,3,0)*-TRUNC(EK7/VLOOKUP("PCS-OzTL54",ARBOR!$A:$C,3,0)-1,4)),6))&lt;&gt;(DOLLAR(VLOOKUP("PCS-OzTL54",ARBOR!$A:$C,3,0),6)),-TRUNC(EK7/VLOOKUP("PCS-OzTL54",ARBOR!$A:$C,3,0)-1,4)+0.0001,-TRUNC(EK7/VLOOKUP("PCS-OzTL54",ARBOR!$A:$C,3,0)-1,4)))))</f>
        <v/>
      </c>
      <c r="EM7" s="28"/>
      <c r="EN7" s="8">
        <v>24.9</v>
      </c>
      <c r="EO7" s="3">
        <f>IF(EN7=0,"",IF(EN7=VLOOKUP("PCS-OzTL99",ARBOR!$A:$C,3,0),0.0001,IF(EN7&gt;VLOOKUP("PCS-OzTL99",ARBOR!$A:$C,3,0),"Maior que CAP!",IF((DOLLAR(EN7+(VLOOKUP("PCS-OzTL99",ARBOR!$A:$C,3,0)*-TRUNC(EN7/VLOOKUP("PCS-OzTL99",ARBOR!$A:$C,3,0)-1,4)),6))&lt;&gt;(DOLLAR(VLOOKUP("PCS-OzTL99",ARBOR!$A:$C,3,0),6)),-TRUNC(EN7/VLOOKUP("PCS-OzTL99",ARBOR!$A:$C,3,0)-1,4)+0.0001,-TRUNC(EN7/VLOOKUP("PCS-OzTL99",ARBOR!$A:$C,3,0)-1,4)))))</f>
        <v>0.16729999999999998</v>
      </c>
      <c r="EP7" s="28" t="str">
        <f>IF(EO7="S/Desc","S/Desc",IF(ISERROR(IF(EO7="","",VLOOKUP(($BC7&amp;EO7&amp;"Template desconto % Ponto adicional nível conta"),BENEFICIOS!$A:$G,5,0))),"Criar",IF(EO7="","",VLOOKUP(($BC7&amp;EO7&amp;"Template desconto % Ponto adicional nível conta"),BENEFICIOS!$A:$G,5,0))))</f>
        <v>Criar</v>
      </c>
      <c r="EQ7" s="8"/>
      <c r="ER7" s="28" t="str">
        <f t="shared" si="1"/>
        <v/>
      </c>
      <c r="ES7" s="62" t="s">
        <v>355</v>
      </c>
      <c r="ET7" s="126" t="s">
        <v>356</v>
      </c>
      <c r="EU7" s="127">
        <v>499</v>
      </c>
      <c r="EV7" s="126">
        <v>12</v>
      </c>
      <c r="EW7" s="128" t="str">
        <f t="shared" si="2"/>
        <v>Oi benefício fidelização Multiprodutos</v>
      </c>
      <c r="EX7" s="129" t="str">
        <f t="shared" si="3"/>
        <v>PCS-Fk83324</v>
      </c>
      <c r="EY7" s="91" t="str">
        <f t="shared" si="4"/>
        <v>PCS-SBL553142</v>
      </c>
      <c r="EZ7" s="85" t="s">
        <v>357</v>
      </c>
      <c r="FA7" s="97" t="s">
        <v>358</v>
      </c>
      <c r="FB7" s="91"/>
      <c r="FC7" s="85"/>
      <c r="FD7" s="97"/>
      <c r="FE7" s="91"/>
      <c r="FF7" s="87"/>
      <c r="FG7" s="144" t="str">
        <f t="shared" si="5"/>
        <v/>
      </c>
      <c r="FH7" s="144" t="str">
        <f t="shared" si="6"/>
        <v/>
      </c>
      <c r="FI7" s="144">
        <f t="shared" si="7"/>
        <v>164.9</v>
      </c>
      <c r="FJ7" s="144">
        <f t="shared" si="8"/>
        <v>164.9</v>
      </c>
      <c r="FK7" s="144">
        <f t="shared" si="9"/>
        <v>194.9</v>
      </c>
      <c r="FL7" s="144" t="str">
        <f t="shared" si="10"/>
        <v/>
      </c>
      <c r="FM7" s="144" t="str">
        <f t="shared" si="11"/>
        <v/>
      </c>
      <c r="FN7" s="144" t="str">
        <f t="shared" si="12"/>
        <v/>
      </c>
      <c r="FO7" s="144" t="str">
        <f t="shared" si="13"/>
        <v/>
      </c>
      <c r="FP7" s="144" t="str">
        <f t="shared" si="14"/>
        <v/>
      </c>
      <c r="FQ7" s="144">
        <f t="shared" si="15"/>
        <v>174.9</v>
      </c>
      <c r="FR7" s="144">
        <f t="shared" si="16"/>
        <v>174.9</v>
      </c>
      <c r="FS7" s="144">
        <f t="shared" si="17"/>
        <v>204.9</v>
      </c>
      <c r="FT7" s="144" t="str">
        <f t="shared" si="18"/>
        <v/>
      </c>
      <c r="FU7" s="144" t="str">
        <f t="shared" si="19"/>
        <v/>
      </c>
      <c r="FV7" s="144" t="str">
        <f t="shared" si="20"/>
        <v/>
      </c>
      <c r="FW7" s="144" t="str">
        <f t="shared" si="21"/>
        <v/>
      </c>
      <c r="FX7" s="148"/>
      <c r="FY7" s="149"/>
      <c r="FZ7" s="149"/>
      <c r="GA7" s="149"/>
      <c r="GB7" s="149"/>
      <c r="GC7" s="149"/>
      <c r="GD7" s="149"/>
      <c r="GE7" s="149"/>
      <c r="GF7" s="149"/>
      <c r="GG7" s="150"/>
    </row>
    <row r="8" spans="1:189">
      <c r="A8" s="45" t="s">
        <v>339</v>
      </c>
      <c r="B8" s="133" t="s">
        <v>340</v>
      </c>
      <c r="C8" s="204" t="s">
        <v>341</v>
      </c>
      <c r="D8" s="46" t="s">
        <v>342</v>
      </c>
      <c r="E8" s="47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9"/>
      <c r="U8" s="48"/>
      <c r="V8" s="49"/>
      <c r="W8" s="48"/>
      <c r="X8" s="48"/>
      <c r="Y8" s="48"/>
      <c r="Z8" s="48"/>
      <c r="AA8" s="49"/>
      <c r="AB8" s="48"/>
      <c r="AC8" s="63"/>
      <c r="AD8" s="48"/>
      <c r="AE8" s="48"/>
      <c r="AF8" s="48"/>
      <c r="AG8" s="48"/>
      <c r="AH8" s="48"/>
      <c r="AI8" s="48"/>
      <c r="AJ8" s="48"/>
      <c r="AK8" s="48"/>
      <c r="AL8" s="51"/>
      <c r="AM8" s="205" t="s">
        <v>348</v>
      </c>
      <c r="AN8" s="38" t="s">
        <v>350</v>
      </c>
      <c r="AO8" s="39" t="s">
        <v>351</v>
      </c>
      <c r="AP8" s="52">
        <v>42917</v>
      </c>
      <c r="AQ8" s="53">
        <v>43039</v>
      </c>
      <c r="AR8" s="64" t="s">
        <v>352</v>
      </c>
      <c r="AS8" s="65" t="s">
        <v>352</v>
      </c>
      <c r="AT8" s="54"/>
      <c r="AU8" s="54" t="s">
        <v>353</v>
      </c>
      <c r="AV8" s="54">
        <v>20</v>
      </c>
      <c r="AW8" s="54">
        <v>10000</v>
      </c>
      <c r="AX8" s="70" t="s">
        <v>354</v>
      </c>
      <c r="AY8" s="71" t="s">
        <v>355</v>
      </c>
      <c r="AZ8" s="72" t="s">
        <v>355</v>
      </c>
      <c r="BA8" s="73" t="s">
        <v>342</v>
      </c>
      <c r="BB8" s="55" t="s">
        <v>348</v>
      </c>
      <c r="BC8" s="56" t="s">
        <v>229</v>
      </c>
      <c r="BD8" s="27" t="str">
        <f t="shared" si="0"/>
        <v>PCS-2PMepi</v>
      </c>
      <c r="BE8" s="207">
        <v>35</v>
      </c>
      <c r="BF8" s="3">
        <f>IF(BE8=0,"",IF(BE8=VLOOKUP("FIXO",ARBOR!$A:$C,3,0),0.0001,IF(BE8&gt;VLOOKUP("FIXO",ARBOR!$A:$C,3,0),"Maior que CAP!",IF((DOLLAR(BE8+(VLOOKUP("FIXO",ARBOR!$A:$C,3,0)*-TRUNC(BE8/VLOOKUP("FIXO",ARBOR!$A:$C,3,0)-1,4)),6))&lt;&gt;(DOLLAR(VLOOKUP("FIXO",ARBOR!$A:$C,3,0),6)),-TRUNC(BE8/VLOOKUP("FIXO",ARBOR!$A:$C,3,0)-1,4)+0.0001,-TRUNC(BE8/VLOOKUP("FIXO",ARBOR!$A:$C,3,0)-1,4)))))</f>
        <v>0.53859999999999997</v>
      </c>
      <c r="BG8" s="10" t="str">
        <f>IF(ISERROR(IF(BF8="","",VLOOKUP(($BC8&amp;BF8&amp;"Template de desconto FLAT bundle - Fixo - Varejo - Ganho Tributário Cross"),BENEFICIOS!$A:$G,5,0))),"Criar",IF(BF8="","",VLOOKUP(($BC8&amp;BF8&amp;"Template de desconto FLAT bundle - Fixo - Varejo - Ganho Tributário Cross"),BENEFICIOS!$A:$G,5,0)))</f>
        <v>Criar</v>
      </c>
      <c r="BH8" s="8"/>
      <c r="BI8" s="3" t="str">
        <f>IF(BH8=0,"",IF(BH8=VLOOKUP("PCS-OzTL40",ARBOR!$A:$C,3,0),0.0001,IF(BH8&gt;VLOOKUP("PCS-OzTL40",ARBOR!$A:$C,3,0),"Maior que CAP!",IF((DOLLAR(BH8+(VLOOKUP("PCS-OzTL40",ARBOR!$A:$C,3,0)*-TRUNC(BH8/VLOOKUP("PCS-OzTL40",ARBOR!$A:$C,3,0)-1,4)),6))&lt;&gt;(DOLLAR(VLOOKUP("PCS-OzTL40",ARBOR!$A:$C,3,0),6)),-TRUNC(BH8/VLOOKUP("PCS-OzTL40",ARBOR!$A:$C,3,0)-1,4)+0.0001,-TRUNC(BH8/VLOOKUP("PCS-OzTL40",ARBOR!$A:$C,3,0)-1,4)))))</f>
        <v/>
      </c>
      <c r="BJ8" s="10" t="str">
        <f>IF(ISERROR(IF(BI8="","",VLOOKUP((BC8&amp;BI8&amp;"Template desconto FLAT Plano Principal Oi TV nível conta"),BENEFICIOS!$A:$G,5,0))),"Criar",IF(BI8="","",VLOOKUP((BC8&amp;BI8&amp;"Template desconto FLAT Plano Principal Oi TV nível conta"),BENEFICIOS!$A:$G,5,0)))</f>
        <v/>
      </c>
      <c r="BK8" s="8">
        <v>79.900000000000006</v>
      </c>
      <c r="BL8" s="3">
        <f>IF(BK8=0,"",IF(BK8=VLOOKUP("PCS-OzTL41",ARBOR!$A:$C,3,0),0.0001,IF(BK8&gt;VLOOKUP("PCS-OzTL41",ARBOR!$A:$C,3,0),"Maior que CAP!",IF((DOLLAR(BK8+(VLOOKUP("PCS-OzTL41",ARBOR!$A:$C,3,0)*-TRUNC(BK8/VLOOKUP("PCS-OzTL41",ARBOR!$A:$C,3,0)-1,4)),6))&lt;&gt;(DOLLAR(VLOOKUP("PCS-OzTL41",ARBOR!$A:$C,3,0),6)),-TRUNC(BK8/VLOOKUP("PCS-OzTL41",ARBOR!$A:$C,3,0)-1,4)+0.0001,-TRUNC(BK8/VLOOKUP("PCS-OzTL41",ARBOR!$A:$C,3,0)-1,4)))))</f>
        <v>0.33989999999999998</v>
      </c>
      <c r="BM8" s="28" t="str">
        <f>IF(ISERROR(IF(BL8="","",VLOOKUP((BC8&amp;BL8&amp;"Template desconto FLAT Plano Principal Oi TV nível conta"),BENEFICIOS!$A:$G,5,0))),"Criar",IF(BL8="","",VLOOKUP((BC8&amp;BL8&amp;"Template desconto FLAT Plano Principal Oi TV nível conta"),BENEFICIOS!$A:$G,5,0)))</f>
        <v>Criar</v>
      </c>
      <c r="BN8" s="8"/>
      <c r="BO8" s="3" t="str">
        <f>IF(BN8=0,"",IF(BN8=VLOOKUP("PCS-OzTL44",ARBOR!$A:$C,3,0),0.0001,IF(BN8&gt;VLOOKUP("PCS-OzTL44",ARBOR!$A:$C,3,0),"Maior que CAP!",IF((DOLLAR(BN8+(VLOOKUP("PCS-OzTL44",ARBOR!$A:$C,3,0)*-TRUNC(BN8/VLOOKUP("PCS-OzTL44",ARBOR!$A:$C,3,0)-1,4)),6))&lt;&gt;(DOLLAR(VLOOKUP("PCS-OzTL44",ARBOR!$A:$C,3,0),6)),-TRUNC(BN8/VLOOKUP("PCS-OzTL44",ARBOR!$A:$C,3,0)-1,4)+0.0001,-TRUNC(BN8/VLOOKUP("PCS-OzTL44",ARBOR!$A:$C,3,0)-1,4)))))</f>
        <v/>
      </c>
      <c r="BP8" s="28" t="str">
        <f>IF(ISERROR(IF(BO8="","",VLOOKUP((BC8&amp;BO8&amp;"Template desconto FLAT Plano Principal Oi TV nível conta"),BENEFICIOS!$A:$G,5,0))),"Criar",IF(BO8="","",VLOOKUP((BC8&amp;BO8&amp;"Template desconto FLAT Plano Principal Oi TV nível conta"),BENEFICIOS!$A:$G,5,0)))</f>
        <v/>
      </c>
      <c r="BQ8" s="8"/>
      <c r="BR8" s="3" t="str">
        <f>IF(BQ8=0,"",IF(BQ8=VLOOKUP("PCS-OzTL43",ARBOR!$A:$C,3,0),0.0001,IF(BQ8&gt;VLOOKUP("PCS-OzTL43",ARBOR!$A:$C,3,0),"Maior que CAP!",IF((DOLLAR(BQ8+(VLOOKUP("PCS-OzTL43",ARBOR!$A:$C,3,0)*-TRUNC(BQ8/VLOOKUP("PCS-OzTL43",ARBOR!$A:$C,3,0)-1,4)),6))&lt;&gt;(DOLLAR(VLOOKUP("PCS-OzTL43",ARBOR!$A:$C,3,0),6)),-TRUNC(BQ8/VLOOKUP("PCS-OzTL43",ARBOR!$A:$C,3,0)-1,4)+0.0001,-TRUNC(BQ8/VLOOKUP("PCS-OzTL43",ARBOR!$A:$C,3,0)-1,4)))))</f>
        <v/>
      </c>
      <c r="BS8" s="28" t="str">
        <f>IF(ISERROR(IF(BR8="","",VLOOKUP((BC8&amp;BR8&amp;"Template desconto FLAT Plano Principal Oi TV nível conta"),BENEFICIOS!$A:$G,5,0))),"Criar",IF(BR8="","",VLOOKUP((BC8&amp;BR8&amp;"Template desconto FLAT Plano Principal Oi TV nível conta"),BENEFICIOS!$A:$G,5,0)))</f>
        <v/>
      </c>
      <c r="BT8" s="8"/>
      <c r="BU8" s="3" t="str">
        <f>IF(BT8=0,"",IF(BT8=VLOOKUP("PCS-OzTL45",ARBOR!$A:$C,3,0),0.0001,IF(BT8&gt;VLOOKUP("PCS-OzTL45",ARBOR!$A:$C,3,0),"Maior que CAP!",IF((DOLLAR(BT8+(VLOOKUP("PCS-OzTL45",ARBOR!$A:$C,3,0)*-TRUNC(BT8/VLOOKUP("PCS-OzTL45",ARBOR!$A:$C,3,0)-1,4)),6))&lt;&gt;(DOLLAR(VLOOKUP("PCS-OzTL45",ARBOR!$A:$C,3,0),6)),-TRUNC(BT8/VLOOKUP("PCS-OzTL45",ARBOR!$A:$C,3,0)-1,4)+0.0001,-TRUNC(BT8/VLOOKUP("PCS-OzTL45",ARBOR!$A:$C,3,0)-1,4)))))</f>
        <v/>
      </c>
      <c r="BV8" s="28" t="str">
        <f>IF(ISERROR(IF(BU8="","",VLOOKUP((BC8&amp;BU8&amp;"Template desconto FLAT Plano Principal Oi TV nível conta"),BENEFICIOS!$A:$G,5,0))),"Criar",IF(BU8="","",VLOOKUP((BC8&amp;BU8&amp;"Template desconto FLAT Plano Principal Oi TV nível conta"),BENEFICIOS!$A:$G,5,0)))</f>
        <v/>
      </c>
      <c r="BW8" s="8"/>
      <c r="BX8" s="3" t="str">
        <f>IF(BW8=0,"",IF(BW8=VLOOKUP("PCS-OzTL741",ARBOR!$A:$C,3,0),0.0001,IF(BW8&gt;VLOOKUP("PCS-OzTL741",ARBOR!$A:$C,3,0),"Maior que CAP!",IF((DOLLAR(BW8+(VLOOKUP("PCS-OzTL741",ARBOR!$A:$C,3,0)*-TRUNC(BW8/VLOOKUP("PCS-OzTL741",ARBOR!$A:$C,3,0)-1,4)),6))&lt;&gt;(DOLLAR(VLOOKUP("PCS-OzTL741",ARBOR!$A:$C,3,0),6)),-TRUNC(BW8/VLOOKUP("PCS-OzTL741",ARBOR!$A:$C,3,0)-1,4)+0.0001,-TRUNC(BW8/VLOOKUP("PCS-OzTL741",ARBOR!$A:$C,3,0)-1,4)))))</f>
        <v/>
      </c>
      <c r="BY8" s="28" t="str">
        <f>IF(ISERROR(IF(BX8="","",VLOOKUP((BC8&amp;BX8&amp;"Template desconto FLAT Plano Principal Oi TV nível conta"),BENEFICIOS!$A:$G,5,0))),"Criar",IF(BX8="","",VLOOKUP((BC8&amp;BX8&amp;"Template desconto FLAT Plano Principal Oi TV nível conta"),BENEFICIOS!$A:$G,5,0)))</f>
        <v/>
      </c>
      <c r="BZ8" s="8"/>
      <c r="CA8" s="3" t="str">
        <f>IF(BZ8=0,"",IF(BZ8=VLOOKUP("PCS-OzTL744",ARBOR!$A:$C,3,0),0.0001,IF(BZ8&gt;VLOOKUP("PCS-OzTL744",ARBOR!$A:$C,3,0),"Maior que CAP!",IF((DOLLAR(BZ8+(VLOOKUP("PCS-OzTL744",ARBOR!$A:$C,3,0)*-TRUNC(BZ8/VLOOKUP("PCS-OzTL744",ARBOR!$A:$C,3,0)-1,4)),6))&lt;&gt;(DOLLAR(VLOOKUP("PCS-OzTL744",ARBOR!$A:$C,3,0),6)),-TRUNC(BZ8/VLOOKUP("PCS-OzTL744",ARBOR!$A:$C,3,0)-1,4)+0.0001,-TRUNC(BZ8/VLOOKUP("PCS-OzTL744",ARBOR!$A:$C,3,0)-1,4)))))</f>
        <v/>
      </c>
      <c r="CB8" s="28" t="str">
        <f>IF(ISERROR(IF(CA8="","",VLOOKUP(($BC8&amp;CA8&amp;"Template desconto FLAT Plano Principal Oi TV nível conta"),BENEFICIOS!$A:$G,5,0))),"Criar",IF(CA8="","",VLOOKUP(($BC8&amp;CA8&amp;"Template desconto FLAT Plano Principal Oi TV nível conta"),BENEFICIOS!$A:$G,5,0)))</f>
        <v/>
      </c>
      <c r="CC8" s="8"/>
      <c r="CD8" s="3" t="str">
        <f>IF(CC8=0,"",IF(CC8=VLOOKUP("PCS-OzTL743",ARBOR!$A:$C,3,0),0.0001,IF(CC8&gt;VLOOKUP("PCS-OzTL743",ARBOR!$A:$C,3,0),"Maior que CAP!",IF((DOLLAR(CC8+(VLOOKUP("PCS-OzTL743",ARBOR!$A:$C,3,0)*-TRUNC(CC8/VLOOKUP("PCS-OzTL743",ARBOR!$A:$C,3,0)-1,4)),6))&lt;&gt;(DOLLAR(VLOOKUP("PCS-OzTL743",ARBOR!$A:$C,3,0),6)),-TRUNC(CC8/VLOOKUP("PCS-OzTL743",ARBOR!$A:$C,3,0)-1,4)+0.0001,-TRUNC(CC8/VLOOKUP("PCS-OzTL743",ARBOR!$A:$C,3,0)-1,4)))))</f>
        <v/>
      </c>
      <c r="CE8" s="28" t="str">
        <f>IF(ISERROR(IF(CD8="","",VLOOKUP(($BC8&amp;CD8&amp;"Template desconto FLAT Plano Principal Oi TV nível conta"),BENEFICIOS!$A:$G,5,0))),"Criar",IF(CD8="","",VLOOKUP(($BC8&amp;CD8&amp;"Template desconto FLAT Plano Principal Oi TV nível conta"),BENEFICIOS!$A:$G,5,0)))</f>
        <v/>
      </c>
      <c r="CF8" s="8"/>
      <c r="CG8" s="3" t="str">
        <f>IF(CF8=0,"",IF(CF8=VLOOKUP("PCS-OzTL745",ARBOR!$A:$C,3,0),0.0001,IF(CF8&gt;VLOOKUP("PCS-OzTL745",ARBOR!$A:$C,3,0),"Maior que CAP!",IF((DOLLAR(CF8+(VLOOKUP("PCS-OzTL745",ARBOR!$A:$C,3,0)*-TRUNC(CF8/VLOOKUP("PCS-OzTL745",ARBOR!$A:$C,3,0)-1,4)),6))&lt;&gt;(DOLLAR(VLOOKUP("PCS-OzTL745",ARBOR!$A:$C,3,0),6)),-TRUNC(CF8/VLOOKUP("PCS-OzTL745",ARBOR!$A:$C,3,0)-1,4)+0.0001,-TRUNC(CF8/VLOOKUP("PCS-OzTL745",ARBOR!$A:$C,3,0)-1,4)))))</f>
        <v/>
      </c>
      <c r="CH8" s="28" t="str">
        <f>IF(ISERROR(IF(CG8="","",VLOOKUP(($BC8&amp;CG8&amp;"Template desconto FLAT Plano Principal Oi TV nível conta"),BENEFICIOS!$A:$G,5,0))),"Criar",IF(CG8="","",VLOOKUP(($BC8&amp;CG8&amp;"Template desconto FLAT Plano Principal Oi TV nível conta"),BENEFICIOS!$A:$G,5,0)))</f>
        <v/>
      </c>
      <c r="CI8" s="8">
        <v>89.9</v>
      </c>
      <c r="CJ8" s="3">
        <f>IF(CI8=0,"",IF(CI8=VLOOKUP("PCS-OzTL42",ARBOR!$A:$C,3,0),0.0001,IF(CI8&gt;VLOOKUP("PCS-OzTL42",ARBOR!$A:$C,3,0),"Maior que CAP!",IF((DOLLAR(CI8+(VLOOKUP("PCS-OzTL42",ARBOR!$A:$C,3,0)*-TRUNC(CI8/VLOOKUP("PCS-OzTL42",ARBOR!$A:$C,3,0)-1,4)),6))&lt;&gt;(DOLLAR(VLOOKUP("PCS-OzTL42",ARBOR!$A:$C,3,0),6)),-TRUNC(CI8/VLOOKUP("PCS-OzTL42",ARBOR!$A:$C,3,0)-1,4)+0.0001,-TRUNC(CI8/VLOOKUP("PCS-OzTL42",ARBOR!$A:$C,3,0)-1,4)))))</f>
        <v>0.45550000000000002</v>
      </c>
      <c r="CK8" s="28" t="str">
        <f>IF(ISERROR(IF(CJ8="","",VLOOKUP(($BC8&amp;CJ8&amp;"Template desconto FLAT Plano Principal Oi TV nível conta"),BENEFICIOS!$A:$G,5,0))),"Criar",IF(CJ8="","",VLOOKUP(($BC8&amp;CJ8&amp;"Template desconto FLAT Plano Principal Oi TV nível conta"),BENEFICIOS!$A:$G,5,0)))</f>
        <v>Criar</v>
      </c>
      <c r="CL8" s="8"/>
      <c r="CM8" s="3" t="str">
        <f>IF(CL8=0,"",IF(CL8=VLOOKUP("PCS-OzTL47",ARBOR!$A:$C,3,0),0.0001,IF(CL8&gt;VLOOKUP("PCS-OzTL47",ARBOR!$A:$C,3,0),"Maior que CAP!",IF((DOLLAR(CL8+(VLOOKUP("PCS-OzTL47",ARBOR!$A:$C,3,0)*-TRUNC(CL8/VLOOKUP("PCS-OzTL47",ARBOR!$A:$C,3,0)-1,4)),6))&lt;&gt;(DOLLAR(VLOOKUP("PCS-OzTL47",ARBOR!$A:$C,3,0),6)),-TRUNC(CL8/VLOOKUP("PCS-OzTL47",ARBOR!$A:$C,3,0)-1,4)+0.0001,-TRUNC(CL8/VLOOKUP("PCS-OzTL47",ARBOR!$A:$C,3,0)-1,4)))))</f>
        <v/>
      </c>
      <c r="CN8" s="28" t="str">
        <f>IF(ISERROR(IF(CM8="","",VLOOKUP(($BC8&amp;CM8&amp;"Template desconto FLAT Plano Principal Oi TV nível conta"),BENEFICIOS!$A:$G,5,0))),"Criar",IF(CM8="","",VLOOKUP(($BC8&amp;CM8&amp;"Template desconto FLAT Plano Principal Oi TV nível conta"),BENEFICIOS!$A:$G,5,0)))</f>
        <v/>
      </c>
      <c r="CO8" s="8"/>
      <c r="CP8" s="3" t="str">
        <f>IF(CO8=0,"",IF(CO8=VLOOKUP("PCS-OzTL46",ARBOR!$A:$C,3,0),0.0001,IF(CO8&gt;VLOOKUP("PCS-OzTL46",ARBOR!$A:$C,3,0),"Maior que CAP!",IF((DOLLAR(CO8+(VLOOKUP("PCS-OzTL46",ARBOR!$A:$C,3,0)*-TRUNC(CO8/VLOOKUP("PCS-OzTL46",ARBOR!$A:$C,3,0)-1,4)),6))&lt;&gt;(DOLLAR(VLOOKUP("PCS-OzTL46",ARBOR!$A:$C,3,0),6)),-TRUNC(CO8/VLOOKUP("PCS-OzTL46",ARBOR!$A:$C,3,0)-1,4)+0.0001,-TRUNC(CO8/VLOOKUP("PCS-OzTL46",ARBOR!$A:$C,3,0)-1,4)))))</f>
        <v/>
      </c>
      <c r="CQ8" s="28" t="str">
        <f>IF(ISERROR(IF(CP8="","",VLOOKUP(($BC8&amp;CP8&amp;"Template desconto FLAT Plano Principal Oi TV nível conta"),BENEFICIOS!$A:$G,5,0))),"Criar",IF(CP8="","",VLOOKUP(($BC8&amp;CP8&amp;"Template desconto FLAT Plano Principal Oi TV nível conta"),BENEFICIOS!$A:$G,5,0)))</f>
        <v/>
      </c>
      <c r="CR8" s="8"/>
      <c r="CS8" s="3" t="str">
        <f>IF(CR8=0,"",IF(CR8=VLOOKUP("PCS-OzTL48",ARBOR!$A:$C,3,0),0.0001,IF(CR8&gt;VLOOKUP("PCS-OzTL48",ARBOR!$A:$C,3,0),"Maior que CAP!",IF((DOLLAR(CR8+(VLOOKUP("PCS-OzTL48",ARBOR!$A:$C,3,0)*-TRUNC(CR8/VLOOKUP("PCS-OzTL48",ARBOR!$A:$C,3,0)-1,4)),6))&lt;&gt;(DOLLAR(VLOOKUP("PCS-OzTL48",ARBOR!$A:$C,3,0),6)),-TRUNC(CR8/VLOOKUP("PCS-OzTL48",ARBOR!$A:$C,3,0)-1,4)+0.0001,-TRUNC(CR8/VLOOKUP("PCS-OzTL48",ARBOR!$A:$C,3,0)-1,4)))))</f>
        <v/>
      </c>
      <c r="CT8" s="28" t="str">
        <f>IF(ISERROR(IF(CS8="","",VLOOKUP(($BC8&amp;CS8&amp;"Template desconto FLAT Plano Principal Oi TV nível conta"),BENEFICIOS!$A:$G,5,0))),"Criar",IF(CS8="","",VLOOKUP(($BC8&amp;CS8&amp;"Template desconto FLAT Plano Principal Oi TV nível conta"),BENEFICIOS!$A:$G,5,0)))</f>
        <v/>
      </c>
      <c r="CU8" s="8">
        <v>109.9</v>
      </c>
      <c r="CV8" s="3">
        <f>IF(CU8=0,"",IF(CU8=VLOOKUP("PCS-OzTL742",ARBOR!$A:$C,3,0),0.0001,IF(CU8&gt;VLOOKUP("PCS-OzTL742",ARBOR!$A:$C,3,0),"Maior que CAP!",IF((DOLLAR(CU8+(VLOOKUP("PCS-OzTL742",ARBOR!$A:$C,3,0)*-TRUNC(CU8/VLOOKUP("PCS-OzTL742",ARBOR!$A:$C,3,0)-1,4)),6))&lt;&gt;(DOLLAR(VLOOKUP("PCS-OzTL742",ARBOR!$A:$C,3,0),6)),-TRUNC(CU8/VLOOKUP("PCS-OzTL742",ARBOR!$A:$C,3,0)-1,4)+0.0001,-TRUNC(CU8/VLOOKUP("PCS-OzTL742",ARBOR!$A:$C,3,0)-1,4)))))</f>
        <v>0.50080000000000002</v>
      </c>
      <c r="CW8" s="28" t="str">
        <f>IF(ISERROR(IF(CV8="","",VLOOKUP(($BC8&amp;CV8&amp;"Template desconto FLAT Plano Principal Oi TV nível conta"),BENEFICIOS!$A:$G,5,0))),"Criar",IF(CV8="","",VLOOKUP(($BC8&amp;CV8&amp;"Template desconto FLAT Plano Principal Oi TV nível conta"),BENEFICIOS!$A:$G,5,0)))</f>
        <v>Criar</v>
      </c>
      <c r="CX8" s="8"/>
      <c r="CY8" s="3" t="str">
        <f>IF(CX8=0,"",IF(CX8=VLOOKUP("PCS-OzTL747",ARBOR!$A:$C,3,0),0.0001,IF(CX8&gt;VLOOKUP("PCS-OzTL747",ARBOR!$A:$C,3,0),"Maior que CAP!",IF((DOLLAR(CX8+(VLOOKUP("PCS-OzTL747",ARBOR!$A:$C,3,0)*-TRUNC(CX8/VLOOKUP("PCS-OzTL747",ARBOR!$A:$C,3,0)-1,4)),6))&lt;&gt;(DOLLAR(VLOOKUP("PCS-OzTL747",ARBOR!$A:$C,3,0),6)),-TRUNC(CX8/VLOOKUP("PCS-OzTL747",ARBOR!$A:$C,3,0)-1,4)+0.0001,-TRUNC(CX8/VLOOKUP("PCS-OzTL747",ARBOR!$A:$C,3,0)-1,4)))))</f>
        <v/>
      </c>
      <c r="CZ8" s="28" t="str">
        <f>IF(ISERROR(IF(CY8="","",VLOOKUP(($BC8&amp;CY8&amp;"Template desconto FLAT Plano Principal Oi TV nível conta"),BENEFICIOS!$A:$G,5,0))),"Criar",IF(CY8="","",VLOOKUP(($BC8&amp;CY8&amp;"Template desconto FLAT Plano Principal Oi TV nível conta"),BENEFICIOS!$A:$G,5,0)))</f>
        <v/>
      </c>
      <c r="DA8" s="8"/>
      <c r="DB8" s="3" t="str">
        <f>IF(DA8=0,"",IF(DA8=VLOOKUP("PCS-OzTL746",ARBOR!$A:$C,3,0),0.0001,IF(DA8&gt;VLOOKUP("PCS-OzTL746",ARBOR!$A:$C,3,0),"Maior que CAP!",IF((DOLLAR(DA8+(VLOOKUP("PCS-OzTL746",ARBOR!$A:$C,3,0)*-TRUNC(DA8/VLOOKUP("PCS-OzTL746",ARBOR!$A:$C,3,0)-1,4)),6))&lt;&gt;(DOLLAR(VLOOKUP("PCS-OzTL746",ARBOR!$A:$C,3,0),6)),-TRUNC(DA8/VLOOKUP("PCS-OzTL746",ARBOR!$A:$C,3,0)-1,4)+0.0001,-TRUNC(DA8/VLOOKUP("PCS-OzTL746",ARBOR!$A:$C,3,0)-1,4)))))</f>
        <v/>
      </c>
      <c r="DC8" s="28" t="str">
        <f>IF(ISERROR(IF(DB8="","",VLOOKUP(($BC8&amp;DB8&amp;"Template desconto FLAT Plano Principal Oi TV nível conta"),BENEFICIOS!$A:$G,5,0))),"Criar",IF(DB8="","",VLOOKUP(($BC8&amp;DB8&amp;"Template desconto FLAT Plano Principal Oi TV nível conta"),BENEFICIOS!$A:$G,5,0)))</f>
        <v/>
      </c>
      <c r="DD8" s="8"/>
      <c r="DE8" s="3" t="str">
        <f>IF(DD8=0,"",IF(DD8=VLOOKUP("PCS-OzTL748",ARBOR!$A:$C,3,0),0.0001,IF(DD8&gt;VLOOKUP("PCS-OzTL748",ARBOR!$A:$C,3,0),"Maior que CAP!",IF((DOLLAR(DD8+(VLOOKUP("PCS-OzTL748",ARBOR!$A:$C,3,0)*-TRUNC(DD8/VLOOKUP("PCS-OzTL748",ARBOR!$A:$C,3,0)-1,4)),6))&lt;&gt;(DOLLAR(VLOOKUP("PCS-OzTL748",ARBOR!$A:$C,3,0),6)),-TRUNC(DD8/VLOOKUP("PCS-OzTL748",ARBOR!$A:$C,3,0)-1,4)+0.0001,-TRUNC(DD8/VLOOKUP("PCS-OzTL748",ARBOR!$A:$C,3,0)-1,4)))))</f>
        <v/>
      </c>
      <c r="DF8" s="28" t="str">
        <f>IF(ISERROR(IF(DE8="","",VLOOKUP(($BC8&amp;DE8&amp;"Template desconto FLAT Plano Principal Oi TV nível conta"),BENEFICIOS!$A:$G,5,0))),"Criar",IF(DE8="","",VLOOKUP(($BC8&amp;DE8&amp;"Template desconto FLAT Plano Principal Oi TV nível conta"),BENEFICIOS!$A:$G,5,0)))</f>
        <v/>
      </c>
      <c r="DG8" s="8">
        <v>75</v>
      </c>
      <c r="DH8" s="3">
        <f>IF(DG8=0,"",IF(DG8=VLOOKUP("PCS-OzTL34",ARBOR!$A:$C,3,0),0.0001,IF(DG8&gt;VLOOKUP("PCS-OzTL34",ARBOR!$A:$C,3,0),"Maior que CAP!",IF((DOLLAR(DG8+(VLOOKUP("PCS-OzTL34",ARBOR!$A:$C,3,0)*-TRUNC(DG8/VLOOKUP("PCS-OzTL34",ARBOR!$A:$C,3,0)-1,4)),6))&lt;&gt;(DOLLAR(VLOOKUP("PCS-OzTL34",ARBOR!$A:$C,3,0),6)),-TRUNC(DG8/VLOOKUP("PCS-OzTL34",ARBOR!$A:$C,3,0)-1,4)+0.0001,-TRUNC(DG8/VLOOKUP("PCS-OzTL34",ARBOR!$A:$C,3,0)-1,4)))))</f>
        <v>0.31900000000000001</v>
      </c>
      <c r="DI8" s="28" t="str">
        <f>IF(DH8="S/Desc","S/Desc",IF(ISERROR(IF(DH8="","",VLOOKUP(($BC8&amp;DH8&amp;"Template desconto % Combate nível conta"),BENEFICIOS!$A:$G,5,0))),"Criar",IF(DH8="","",VLOOKUP(($BC8&amp;DH8&amp;"Template desconto % Combate nível conta"),BENEFICIOS!$A:$G,5,0))))</f>
        <v>Criar</v>
      </c>
      <c r="DJ8" s="8">
        <v>19.899999999999999</v>
      </c>
      <c r="DK8" s="3">
        <f>IF(DJ8=0,"",IF(DJ8=VLOOKUP("PCS-OzTL31",ARBOR!$A:$C,3,0),0.0001,IF(DJ8&gt;VLOOKUP("PCS-OzTL31",ARBOR!$A:$C,3,0),"Maior que CAP!",IF((DOLLAR(DJ8+(VLOOKUP("PCS-OzTL31",ARBOR!$A:$C,3,0)*-TRUNC(DJ8/VLOOKUP("PCS-OzTL31",ARBOR!$A:$C,3,0)-1,4)),6))&lt;&gt;(DOLLAR(VLOOKUP("PCS-OzTL31",ARBOR!$A:$C,3,0),6)),-TRUNC(DJ8/VLOOKUP("PCS-OzTL31",ARBOR!$A:$C,3,0)-1,4)+0.0001,-TRUNC(DJ8/VLOOKUP("PCS-OzTL31",ARBOR!$A:$C,3,0)-1,4)))))</f>
        <v>9.1800000000000007E-2</v>
      </c>
      <c r="DL8" s="28" t="str">
        <f>IF(DK8="S/Desc","S/Desc",IF(ISERROR(IF(DK8="","",VLOOKUP(($BC8&amp;DK8&amp;"Template desconto % Sexy Hot nível conta"),BENEFICIOS!$A:$G,5,0))),"Criar",IF(DK8="","",VLOOKUP(($BC8&amp;DK8&amp;"Template desconto % Sexy Hot nível conta"),BENEFICIOS!$A:$G,5,0))))</f>
        <v>Criar</v>
      </c>
      <c r="DM8" s="8">
        <v>19.899999999999999</v>
      </c>
      <c r="DN8" s="3">
        <f>IF(DM8=0,"",IF(DM8=VLOOKUP("PCS-OzTL32",ARBOR!$A:$C,3,0),0.0001,IF(DM8&gt;VLOOKUP("PCS-OzTL32",ARBOR!$A:$C,3,0),"Maior que CAP!",IF((DOLLAR(DM8+(VLOOKUP("PCS-OzTL32",ARBOR!$A:$C,3,0)*-TRUNC(DM8/VLOOKUP("PCS-OzTL32",ARBOR!$A:$C,3,0)-1,4)),6))&lt;&gt;(DOLLAR(VLOOKUP("PCS-OzTL32",ARBOR!$A:$C,3,0),6)),-TRUNC(DM8/VLOOKUP("PCS-OzTL32",ARBOR!$A:$C,3,0)-1,4)+0.0001,-TRUNC(DM8/VLOOKUP("PCS-OzTL32",ARBOR!$A:$C,3,0)-1,4)))))</f>
        <v>9.1800000000000007E-2</v>
      </c>
      <c r="DO8" s="28" t="str">
        <f>IF(DN8="S/Desc","S/Desc",IF(ISERROR(IF(DN8="","",VLOOKUP(($BC8&amp;DN8&amp;"Template desconto % Playboy nível conta"),BENEFICIOS!$A:$G,5,0))),"Criar",IF(DN8="","",VLOOKUP(($BC8&amp;DN8&amp;"Template desconto % Playboy nível conta"),BENEFICIOS!$A:$G,5,0))))</f>
        <v>Criar</v>
      </c>
      <c r="DP8" s="8">
        <v>29.9</v>
      </c>
      <c r="DQ8" s="3">
        <f>IF(DP8=0,"",IF(DP8=VLOOKUP("PCS-OzTL33",ARBOR!$A:$C,3,0),0.0001,IF(DP8&gt;VLOOKUP("PCS-OzTL33",ARBOR!$A:$C,3,0),"Maior que CAP!",IF((DOLLAR(DP8+(VLOOKUP("PCS-OzTL33",ARBOR!$A:$C,3,0)*-TRUNC(DP8/VLOOKUP("PCS-OzTL33",ARBOR!$A:$C,3,0)-1,4)),6))&lt;&gt;(DOLLAR(VLOOKUP("PCS-OzTL33",ARBOR!$A:$C,3,0),6)),-TRUNC(DP8/VLOOKUP("PCS-OzTL33",ARBOR!$A:$C,3,0)-1,4)+0.0001,-TRUNC(DP8/VLOOKUP("PCS-OzTL33",ARBOR!$A:$C,3,0)-1,4)))))</f>
        <v>9.1800000000000007E-2</v>
      </c>
      <c r="DR8" s="28" t="str">
        <f>IF(DQ8="S/Desc","S/Desc",IF(ISERROR(IF(DQ8="","",VLOOKUP(($BC8&amp;DQ8&amp;"Template desconto % Sexy Hot + Playboy nível conta"),BENEFICIOS!$A:$G,5,0))),"Criar",IF(DQ8="","",VLOOKUP(($BC8&amp;DQ8&amp;"Template desconto % Sexy Hot + Playboy nível conta"),BENEFICIOS!$A:$G,5,0))))</f>
        <v>Criar</v>
      </c>
      <c r="DS8" s="8">
        <v>14.9</v>
      </c>
      <c r="DT8" s="3">
        <f>IF(DS8=0,"",IF(DS8=VLOOKUP("PCS-OzTL503",ARBOR!$A:$C,3,0),0.0001,IF(DS8&gt;VLOOKUP("PCS-OzTL503",ARBOR!$A:$C,3,0),"Maior que CAP!",IF((DOLLAR(DS8+(VLOOKUP("PCS-OzTL503",ARBOR!$A:$C,3,0)*-TRUNC(DS8/VLOOKUP("PCS-OzTL503",ARBOR!$A:$C,3,0)-1,4)),6))&lt;&gt;(DOLLAR(VLOOKUP("PCS-OzTL503",ARBOR!$A:$C,3,0),6)),-TRUNC(DS8/VLOOKUP("PCS-OzTL503",ARBOR!$A:$C,3,0)-1,4)+0.0001,-TRUNC(DS8/VLOOKUP("PCS-OzTL503",ARBOR!$A:$C,3,0)-1,4)))))</f>
        <v>9.1499999999999998E-2</v>
      </c>
      <c r="DU8" s="28" t="str">
        <f>IF(DT8="S/Desc","S/Desc",IF(ISERROR(IF(DT8="","",VLOOKUP(($BC8&amp;DT8&amp;"Template desconto % SexPrivê nível conta"),BENEFICIOS!$A:$G,5,0))),"Criar",IF(DT8="","",VLOOKUP(($BC8&amp;DT8&amp;"Template desconto % SexPrivê nível conta"),BENEFICIOS!$A:$G,5,0))))</f>
        <v>Criar</v>
      </c>
      <c r="DV8" s="8">
        <v>10</v>
      </c>
      <c r="DW8" s="3">
        <f>IF(DV8=0,"",IF(DV8=VLOOKUP("PCS-OzTL500",ARBOR!$A:$C,3,0),0.0001,IF(DV8&gt;VLOOKUP("PCS-OzTL500",ARBOR!$A:$C,3,0),"Maior que CAP!",IF((DOLLAR(DV8+(VLOOKUP("PCS-OzTL500",ARBOR!$A:$C,3,0)*-TRUNC(DV8/VLOOKUP("PCS-OzTL500",ARBOR!$A:$C,3,0)-1,4)),6))&lt;&gt;(DOLLAR(VLOOKUP("PCS-OzTL500",ARBOR!$A:$C,3,0),6)),-TRUNC(DV8/VLOOKUP("PCS-OzTL500",ARBOR!$A:$C,3,0)-1,4)+0.0001,-TRUNC(DV8/VLOOKUP("PCS-OzTL500",ARBOR!$A:$C,3,0)-1,4)))))</f>
        <v>9.1800000000000007E-2</v>
      </c>
      <c r="DX8" s="28" t="str">
        <f>IF(DW8="S/Desc","S/Desc",IF(ISERROR(IF(DW8="","",VLOOKUP(($BC8&amp;DW8&amp;"Template desconto % Étnico nível conta"),BENEFICIOS!$A:$G,5,0))),"Criar",IF(DW8="","",VLOOKUP(($BC8&amp;DW8&amp;"Template desconto % Étnico nível conta"),BENEFICIOS!$A:$G,5,0))))</f>
        <v>Criar</v>
      </c>
      <c r="DY8" s="8"/>
      <c r="DZ8" s="181" t="str">
        <f>IF(DY8=0,"",IF(DY8=VLOOKUP("PCS-OzTL50",ARBOR!$A:$C,3,0),0.0001,IF(DY8&gt;VLOOKUP("PCS-OzTL50",ARBOR!$A:$C,3,0),"Maior que CAP!",IF((DOLLAR(DY8+(VLOOKUP("PCS-OzTL50",ARBOR!$A:$C,3,0)*-TRUNC(DY8/VLOOKUP("PCS-OzTL50",ARBOR!$A:$C,3,0)-1,4)),6))&lt;&gt;(DOLLAR(VLOOKUP("PCS-OzTL50",ARBOR!$A:$C,3,0),6)),-TRUNC(DY8/VLOOKUP("PCS-OzTL50",ARBOR!$A:$C,3,0)-1,4)+0.0001,-TRUNC(DY8/VLOOKUP("PCS-OzTL50",ARBOR!$A:$C,3,0)-1,4)))))</f>
        <v/>
      </c>
      <c r="EA8" s="28"/>
      <c r="EB8" s="8"/>
      <c r="EC8" s="181" t="str">
        <f>IF(EB8=0,"",IF(EB8=VLOOKUP("PCS-OzTL51",ARBOR!$A:$C,3,0),0.0001,IF(EB8&gt;VLOOKUP("PCS-OzTL51",ARBOR!$A:$C,3,0),"Maior que CAP!",IF((DOLLAR(EB8+(VLOOKUP("PCS-OzTL51",ARBOR!$A:$C,3,0)*-TRUNC(EB8/VLOOKUP("PCS-OzTL51",ARBOR!$A:$C,3,0)-1,4)),6))&lt;&gt;(DOLLAR(VLOOKUP("PCS-OzTL51",ARBOR!$A:$C,3,0),6)),-TRUNC(EB8/VLOOKUP("PCS-OzTL51",ARBOR!$A:$C,3,0)-1,4)+0.0001,-TRUNC(EB8/VLOOKUP("PCS-OzTL51",ARBOR!$A:$C,3,0)-1,4)))))</f>
        <v/>
      </c>
      <c r="ED8" s="28"/>
      <c r="EE8" s="8"/>
      <c r="EF8" s="181" t="str">
        <f>IF(EE8=0,"",IF(EE8=VLOOKUP("PCS-OzTL52",ARBOR!$A:$C,3,0),0.0001,IF(EE8&gt;VLOOKUP("PCS-OzTL52",ARBOR!$A:$C,3,0),"Maior que CAP!",IF((DOLLAR(EE8+(VLOOKUP("PCS-OzTL52",ARBOR!$A:$C,3,0)*-TRUNC(EE8/VLOOKUP("PCS-OzTL52",ARBOR!$A:$C,3,0)-1,4)),6))&lt;&gt;(DOLLAR(VLOOKUP("PCS-OzTL52",ARBOR!$A:$C,3,0),6)),-TRUNC(EE8/VLOOKUP("PCS-OzTL52",ARBOR!$A:$C,3,0)-1,4)+0.0001,-TRUNC(EE8/VLOOKUP("PCS-OzTL52",ARBOR!$A:$C,3,0)-1,4)))))</f>
        <v/>
      </c>
      <c r="EG8" s="28"/>
      <c r="EH8" s="8"/>
      <c r="EI8" s="181" t="str">
        <f>IF(EH8=0,"",IF(EH8=VLOOKUP("PCS-OzTL53",ARBOR!$A:$C,3,0),0.0001,IF(EH8&gt;VLOOKUP("PCS-OzTL53",ARBOR!$A:$C,3,0),"Maior que CAP!",IF((DOLLAR(EH8+(VLOOKUP("PCS-OzTL53",ARBOR!$A:$C,3,0)*-TRUNC(EH8/VLOOKUP("PCS-OzTL53",ARBOR!$A:$C,3,0)-1,4)),6))&lt;&gt;(DOLLAR(VLOOKUP("PCS-OzTL53",ARBOR!$A:$C,3,0),6)),-TRUNC(EH8/VLOOKUP("PCS-OzTL53",ARBOR!$A:$C,3,0)-1,4)+0.0001,-TRUNC(EH8/VLOOKUP("PCS-OzTL53",ARBOR!$A:$C,3,0)-1,4)))))</f>
        <v/>
      </c>
      <c r="EJ8" s="28"/>
      <c r="EK8" s="8"/>
      <c r="EL8" s="181" t="str">
        <f>IF(EK8=0,"",IF(EK8=VLOOKUP("PCS-OzTL54",ARBOR!$A:$C,3,0),0.0001,IF(EK8&gt;VLOOKUP("PCS-OzTL54",ARBOR!$A:$C,3,0),"Maior que CAP!",IF((DOLLAR(EK8+(VLOOKUP("PCS-OzTL54",ARBOR!$A:$C,3,0)*-TRUNC(EK8/VLOOKUP("PCS-OzTL54",ARBOR!$A:$C,3,0)-1,4)),6))&lt;&gt;(DOLLAR(VLOOKUP("PCS-OzTL54",ARBOR!$A:$C,3,0),6)),-TRUNC(EK8/VLOOKUP("PCS-OzTL54",ARBOR!$A:$C,3,0)-1,4)+0.0001,-TRUNC(EK8/VLOOKUP("PCS-OzTL54",ARBOR!$A:$C,3,0)-1,4)))))</f>
        <v/>
      </c>
      <c r="EM8" s="28"/>
      <c r="EN8" s="8">
        <v>24.9</v>
      </c>
      <c r="EO8" s="3">
        <f>IF(EN8=0,"",IF(EN8=VLOOKUP("PCS-OzTL99",ARBOR!$A:$C,3,0),0.0001,IF(EN8&gt;VLOOKUP("PCS-OzTL99",ARBOR!$A:$C,3,0),"Maior que CAP!",IF((DOLLAR(EN8+(VLOOKUP("PCS-OzTL99",ARBOR!$A:$C,3,0)*-TRUNC(EN8/VLOOKUP("PCS-OzTL99",ARBOR!$A:$C,3,0)-1,4)),6))&lt;&gt;(DOLLAR(VLOOKUP("PCS-OzTL99",ARBOR!$A:$C,3,0),6)),-TRUNC(EN8/VLOOKUP("PCS-OzTL99",ARBOR!$A:$C,3,0)-1,4)+0.0001,-TRUNC(EN8/VLOOKUP("PCS-OzTL99",ARBOR!$A:$C,3,0)-1,4)))))</f>
        <v>0.16729999999999998</v>
      </c>
      <c r="EP8" s="28" t="str">
        <f>IF(EO8="S/Desc","S/Desc",IF(ISERROR(IF(EO8="","",VLOOKUP(($BC8&amp;EO8&amp;"Template desconto % Ponto adicional nível conta"),BENEFICIOS!$A:$G,5,0))),"Criar",IF(EO8="","",VLOOKUP(($BC8&amp;EO8&amp;"Template desconto % Ponto adicional nível conta"),BENEFICIOS!$A:$G,5,0))))</f>
        <v>Criar</v>
      </c>
      <c r="EQ8" s="8"/>
      <c r="ER8" s="28" t="str">
        <f t="shared" si="1"/>
        <v/>
      </c>
      <c r="ES8" s="62" t="s">
        <v>355</v>
      </c>
      <c r="ET8" s="126" t="s">
        <v>356</v>
      </c>
      <c r="EU8" s="127">
        <v>499</v>
      </c>
      <c r="EV8" s="126">
        <v>12</v>
      </c>
      <c r="EW8" s="128" t="str">
        <f t="shared" si="2"/>
        <v>Oi benefício fidelização Multiprodutos</v>
      </c>
      <c r="EX8" s="129" t="str">
        <f t="shared" si="3"/>
        <v>PCS-Fk83324</v>
      </c>
      <c r="EY8" s="91" t="str">
        <f t="shared" si="4"/>
        <v>PCS-SBL553142</v>
      </c>
      <c r="EZ8" s="85" t="s">
        <v>357</v>
      </c>
      <c r="FA8" s="97" t="s">
        <v>358</v>
      </c>
      <c r="FB8" s="91"/>
      <c r="FC8" s="85"/>
      <c r="FD8" s="97"/>
      <c r="FE8" s="91"/>
      <c r="FF8" s="87"/>
      <c r="FG8" s="144" t="str">
        <f t="shared" si="5"/>
        <v/>
      </c>
      <c r="FH8" s="144">
        <f t="shared" si="6"/>
        <v>114.9</v>
      </c>
      <c r="FI8" s="144" t="str">
        <f t="shared" si="7"/>
        <v/>
      </c>
      <c r="FJ8" s="144" t="str">
        <f t="shared" si="8"/>
        <v/>
      </c>
      <c r="FK8" s="144" t="str">
        <f t="shared" si="9"/>
        <v/>
      </c>
      <c r="FL8" s="144" t="str">
        <f t="shared" si="10"/>
        <v/>
      </c>
      <c r="FM8" s="144" t="str">
        <f t="shared" si="11"/>
        <v/>
      </c>
      <c r="FN8" s="144" t="str">
        <f t="shared" si="12"/>
        <v/>
      </c>
      <c r="FO8" s="144" t="str">
        <f t="shared" si="13"/>
        <v/>
      </c>
      <c r="FP8" s="144">
        <f t="shared" si="14"/>
        <v>124.9</v>
      </c>
      <c r="FQ8" s="144" t="str">
        <f t="shared" si="15"/>
        <v/>
      </c>
      <c r="FR8" s="144" t="str">
        <f t="shared" si="16"/>
        <v/>
      </c>
      <c r="FS8" s="144" t="str">
        <f t="shared" si="17"/>
        <v/>
      </c>
      <c r="FT8" s="144">
        <f t="shared" si="18"/>
        <v>144.9</v>
      </c>
      <c r="FU8" s="144" t="str">
        <f t="shared" si="19"/>
        <v/>
      </c>
      <c r="FV8" s="144" t="str">
        <f t="shared" si="20"/>
        <v/>
      </c>
      <c r="FW8" s="144" t="str">
        <f t="shared" si="21"/>
        <v/>
      </c>
      <c r="FX8" s="148"/>
      <c r="FY8" s="149"/>
      <c r="FZ8" s="149"/>
      <c r="GA8" s="149"/>
      <c r="GB8" s="149"/>
      <c r="GC8" s="149"/>
      <c r="GD8" s="149"/>
      <c r="GE8" s="149"/>
      <c r="GF8" s="149"/>
      <c r="GG8" s="150"/>
    </row>
    <row r="9" spans="1:189">
      <c r="A9" s="45" t="s">
        <v>339</v>
      </c>
      <c r="B9" s="133" t="s">
        <v>340</v>
      </c>
      <c r="C9" s="204" t="s">
        <v>341</v>
      </c>
      <c r="D9" s="46" t="s">
        <v>342</v>
      </c>
      <c r="E9" s="47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9"/>
      <c r="U9" s="48"/>
      <c r="V9" s="49"/>
      <c r="W9" s="48"/>
      <c r="X9" s="48"/>
      <c r="Y9" s="48"/>
      <c r="Z9" s="48"/>
      <c r="AA9" s="49"/>
      <c r="AB9" s="48"/>
      <c r="AC9" s="63"/>
      <c r="AD9" s="48"/>
      <c r="AE9" s="48"/>
      <c r="AF9" s="48"/>
      <c r="AG9" s="48"/>
      <c r="AH9" s="48"/>
      <c r="AI9" s="48"/>
      <c r="AJ9" s="48"/>
      <c r="AK9" s="48"/>
      <c r="AL9" s="51"/>
      <c r="AM9" s="205" t="s">
        <v>349</v>
      </c>
      <c r="AN9" s="38" t="s">
        <v>350</v>
      </c>
      <c r="AO9" s="39" t="s">
        <v>351</v>
      </c>
      <c r="AP9" s="52">
        <v>42917</v>
      </c>
      <c r="AQ9" s="53">
        <v>43039</v>
      </c>
      <c r="AR9" s="64" t="s">
        <v>352</v>
      </c>
      <c r="AS9" s="65" t="s">
        <v>352</v>
      </c>
      <c r="AT9" s="54"/>
      <c r="AU9" s="54" t="s">
        <v>353</v>
      </c>
      <c r="AV9" s="54">
        <v>20</v>
      </c>
      <c r="AW9" s="54">
        <v>10000</v>
      </c>
      <c r="AX9" s="70" t="s">
        <v>354</v>
      </c>
      <c r="AY9" s="71" t="s">
        <v>355</v>
      </c>
      <c r="AZ9" s="72" t="s">
        <v>355</v>
      </c>
      <c r="BA9" s="73" t="s">
        <v>342</v>
      </c>
      <c r="BB9" s="55" t="s">
        <v>349</v>
      </c>
      <c r="BC9" s="56" t="s">
        <v>230</v>
      </c>
      <c r="BD9" s="27" t="str">
        <f t="shared" si="0"/>
        <v>PCS-2PHipi</v>
      </c>
      <c r="BE9" s="207">
        <v>35</v>
      </c>
      <c r="BF9" s="3">
        <f>IF(BE9=0,"",IF(BE9=VLOOKUP("FIXO",ARBOR!$A:$C,3,0),0.0001,IF(BE9&gt;VLOOKUP("FIXO",ARBOR!$A:$C,3,0),"Maior que CAP!",IF((DOLLAR(BE9+(VLOOKUP("FIXO",ARBOR!$A:$C,3,0)*-TRUNC(BE9/VLOOKUP("FIXO",ARBOR!$A:$C,3,0)-1,4)),6))&lt;&gt;(DOLLAR(VLOOKUP("FIXO",ARBOR!$A:$C,3,0),6)),-TRUNC(BE9/VLOOKUP("FIXO",ARBOR!$A:$C,3,0)-1,4)+0.0001,-TRUNC(BE9/VLOOKUP("FIXO",ARBOR!$A:$C,3,0)-1,4)))))</f>
        <v>0.53859999999999997</v>
      </c>
      <c r="BG9" s="10" t="str">
        <f>IF(ISERROR(IF(BF9="","",VLOOKUP(($BC9&amp;BF9&amp;"Template de desconto FLAT bundle - Fixo - Varejo - Ganho Tributário Cross"),BENEFICIOS!$A:$G,5,0))),"Criar",IF(BF9="","",VLOOKUP(($BC9&amp;BF9&amp;"Template de desconto FLAT bundle - Fixo - Varejo - Ganho Tributário Cross"),BENEFICIOS!$A:$G,5,0)))</f>
        <v>Criar</v>
      </c>
      <c r="BH9" s="8"/>
      <c r="BI9" s="3" t="str">
        <f>IF(BH9=0,"",IF(BH9=VLOOKUP("PCS-OzTL40",ARBOR!$A:$C,3,0),0.0001,IF(BH9&gt;VLOOKUP("PCS-OzTL40",ARBOR!$A:$C,3,0),"Maior que CAP!",IF((DOLLAR(BH9+(VLOOKUP("PCS-OzTL40",ARBOR!$A:$C,3,0)*-TRUNC(BH9/VLOOKUP("PCS-OzTL40",ARBOR!$A:$C,3,0)-1,4)),6))&lt;&gt;(DOLLAR(VLOOKUP("PCS-OzTL40",ARBOR!$A:$C,3,0),6)),-TRUNC(BH9/VLOOKUP("PCS-OzTL40",ARBOR!$A:$C,3,0)-1,4)+0.0001,-TRUNC(BH9/VLOOKUP("PCS-OzTL40",ARBOR!$A:$C,3,0)-1,4)))))</f>
        <v/>
      </c>
      <c r="BJ9" s="10" t="str">
        <f>IF(ISERROR(IF(BI9="","",VLOOKUP((BC9&amp;BI9&amp;"Template desconto FLAT Plano Principal Oi TV nível conta"),BENEFICIOS!$A:$G,5,0))),"Criar",IF(BI9="","",VLOOKUP((BC9&amp;BI9&amp;"Template desconto FLAT Plano Principal Oi TV nível conta"),BENEFICIOS!$A:$G,5,0)))</f>
        <v/>
      </c>
      <c r="BK9" s="8"/>
      <c r="BL9" s="3" t="str">
        <f>IF(BK9=0,"",IF(BK9=VLOOKUP("PCS-OzTL41",ARBOR!$A:$C,3,0),0.0001,IF(BK9&gt;VLOOKUP("PCS-OzTL41",ARBOR!$A:$C,3,0),"Maior que CAP!",IF((DOLLAR(BK9+(VLOOKUP("PCS-OzTL41",ARBOR!$A:$C,3,0)*-TRUNC(BK9/VLOOKUP("PCS-OzTL41",ARBOR!$A:$C,3,0)-1,4)),6))&lt;&gt;(DOLLAR(VLOOKUP("PCS-OzTL41",ARBOR!$A:$C,3,0),6)),-TRUNC(BK9/VLOOKUP("PCS-OzTL41",ARBOR!$A:$C,3,0)-1,4)+0.0001,-TRUNC(BK9/VLOOKUP("PCS-OzTL41",ARBOR!$A:$C,3,0)-1,4)))))</f>
        <v/>
      </c>
      <c r="BM9" s="28" t="str">
        <f>IF(ISERROR(IF(BL9="","",VLOOKUP((BC9&amp;BL9&amp;"Template desconto FLAT Plano Principal Oi TV nível conta"),BENEFICIOS!$A:$G,5,0))),"Criar",IF(BL9="","",VLOOKUP((BC9&amp;BL9&amp;"Template desconto FLAT Plano Principal Oi TV nível conta"),BENEFICIOS!$A:$G,5,0)))</f>
        <v/>
      </c>
      <c r="BN9" s="8">
        <v>109.9</v>
      </c>
      <c r="BO9" s="3">
        <f>IF(BN9=0,"",IF(BN9=VLOOKUP("PCS-OzTL44",ARBOR!$A:$C,3,0),0.0001,IF(BN9&gt;VLOOKUP("PCS-OzTL44",ARBOR!$A:$C,3,0),"Maior que CAP!",IF((DOLLAR(BN9+(VLOOKUP("PCS-OzTL44",ARBOR!$A:$C,3,0)*-TRUNC(BN9/VLOOKUP("PCS-OzTL44",ARBOR!$A:$C,3,0)-1,4)),6))&lt;&gt;(DOLLAR(VLOOKUP("PCS-OzTL44",ARBOR!$A:$C,3,0),6)),-TRUNC(BN9/VLOOKUP("PCS-OzTL44",ARBOR!$A:$C,3,0)-1,4)+0.0001,-TRUNC(BN9/VLOOKUP("PCS-OzTL44",ARBOR!$A:$C,3,0)-1,4)))))</f>
        <v>0.42949999999999999</v>
      </c>
      <c r="BP9" s="28" t="str">
        <f>IF(ISERROR(IF(BO9="","",VLOOKUP((BC9&amp;BO9&amp;"Template desconto FLAT Plano Principal Oi TV nível conta"),BENEFICIOS!$A:$G,5,0))),"Criar",IF(BO9="","",VLOOKUP((BC9&amp;BO9&amp;"Template desconto FLAT Plano Principal Oi TV nível conta"),BENEFICIOS!$A:$G,5,0)))</f>
        <v>Criar</v>
      </c>
      <c r="BQ9" s="8">
        <v>109.9</v>
      </c>
      <c r="BR9" s="3">
        <f>IF(BQ9=0,"",IF(BQ9=VLOOKUP("PCS-OzTL43",ARBOR!$A:$C,3,0),0.0001,IF(BQ9&gt;VLOOKUP("PCS-OzTL43",ARBOR!$A:$C,3,0),"Maior que CAP!",IF((DOLLAR(BQ9+(VLOOKUP("PCS-OzTL43",ARBOR!$A:$C,3,0)*-TRUNC(BQ9/VLOOKUP("PCS-OzTL43",ARBOR!$A:$C,3,0)-1,4)),6))&lt;&gt;(DOLLAR(VLOOKUP("PCS-OzTL43",ARBOR!$A:$C,3,0),6)),-TRUNC(BQ9/VLOOKUP("PCS-OzTL43",ARBOR!$A:$C,3,0)-1,4)+0.0001,-TRUNC(BQ9/VLOOKUP("PCS-OzTL43",ARBOR!$A:$C,3,0)-1,4)))))</f>
        <v>0.46029999999999999</v>
      </c>
      <c r="BS9" s="28" t="str">
        <f>IF(ISERROR(IF(BR9="","",VLOOKUP((BC9&amp;BR9&amp;"Template desconto FLAT Plano Principal Oi TV nível conta"),BENEFICIOS!$A:$G,5,0))),"Criar",IF(BR9="","",VLOOKUP((BC9&amp;BR9&amp;"Template desconto FLAT Plano Principal Oi TV nível conta"),BENEFICIOS!$A:$G,5,0)))</f>
        <v>Criar</v>
      </c>
      <c r="BT9" s="8">
        <v>139.9</v>
      </c>
      <c r="BU9" s="3">
        <f>IF(BT9=0,"",IF(BT9=VLOOKUP("PCS-OzTL45",ARBOR!$A:$C,3,0),0.0001,IF(BT9&gt;VLOOKUP("PCS-OzTL45",ARBOR!$A:$C,3,0),"Maior que CAP!",IF((DOLLAR(BT9+(VLOOKUP("PCS-OzTL45",ARBOR!$A:$C,3,0)*-TRUNC(BT9/VLOOKUP("PCS-OzTL45",ARBOR!$A:$C,3,0)-1,4)),6))&lt;&gt;(DOLLAR(VLOOKUP("PCS-OzTL45",ARBOR!$A:$C,3,0),6)),-TRUNC(BT9/VLOOKUP("PCS-OzTL45",ARBOR!$A:$C,3,0)-1,4)+0.0001,-TRUNC(BT9/VLOOKUP("PCS-OzTL45",ARBOR!$A:$C,3,0)-1,4)))))</f>
        <v>0.33110000000000001</v>
      </c>
      <c r="BV9" s="28" t="str">
        <f>IF(ISERROR(IF(BU9="","",VLOOKUP((BC9&amp;BU9&amp;"Template desconto FLAT Plano Principal Oi TV nível conta"),BENEFICIOS!$A:$G,5,0))),"Criar",IF(BU9="","",VLOOKUP((BC9&amp;BU9&amp;"Template desconto FLAT Plano Principal Oi TV nível conta"),BENEFICIOS!$A:$G,5,0)))</f>
        <v>Criar</v>
      </c>
      <c r="BW9" s="8"/>
      <c r="BX9" s="3" t="str">
        <f>IF(BW9=0,"",IF(BW9=VLOOKUP("PCS-OzTL741",ARBOR!$A:$C,3,0),0.0001,IF(BW9&gt;VLOOKUP("PCS-OzTL741",ARBOR!$A:$C,3,0),"Maior que CAP!",IF((DOLLAR(BW9+(VLOOKUP("PCS-OzTL741",ARBOR!$A:$C,3,0)*-TRUNC(BW9/VLOOKUP("PCS-OzTL741",ARBOR!$A:$C,3,0)-1,4)),6))&lt;&gt;(DOLLAR(VLOOKUP("PCS-OzTL741",ARBOR!$A:$C,3,0),6)),-TRUNC(BW9/VLOOKUP("PCS-OzTL741",ARBOR!$A:$C,3,0)-1,4)+0.0001,-TRUNC(BW9/VLOOKUP("PCS-OzTL741",ARBOR!$A:$C,3,0)-1,4)))))</f>
        <v/>
      </c>
      <c r="BY9" s="28" t="str">
        <f>IF(ISERROR(IF(BX9="","",VLOOKUP((BC9&amp;BX9&amp;"Template desconto FLAT Plano Principal Oi TV nível conta"),BENEFICIOS!$A:$G,5,0))),"Criar",IF(BX9="","",VLOOKUP((BC9&amp;BX9&amp;"Template desconto FLAT Plano Principal Oi TV nível conta"),BENEFICIOS!$A:$G,5,0)))</f>
        <v/>
      </c>
      <c r="BZ9" s="8"/>
      <c r="CA9" s="3" t="str">
        <f>IF(BZ9=0,"",IF(BZ9=VLOOKUP("PCS-OzTL744",ARBOR!$A:$C,3,0),0.0001,IF(BZ9&gt;VLOOKUP("PCS-OzTL744",ARBOR!$A:$C,3,0),"Maior que CAP!",IF((DOLLAR(BZ9+(VLOOKUP("PCS-OzTL744",ARBOR!$A:$C,3,0)*-TRUNC(BZ9/VLOOKUP("PCS-OzTL744",ARBOR!$A:$C,3,0)-1,4)),6))&lt;&gt;(DOLLAR(VLOOKUP("PCS-OzTL744",ARBOR!$A:$C,3,0),6)),-TRUNC(BZ9/VLOOKUP("PCS-OzTL744",ARBOR!$A:$C,3,0)-1,4)+0.0001,-TRUNC(BZ9/VLOOKUP("PCS-OzTL744",ARBOR!$A:$C,3,0)-1,4)))))</f>
        <v/>
      </c>
      <c r="CB9" s="28" t="str">
        <f>IF(ISERROR(IF(CA9="","",VLOOKUP(($BC9&amp;CA9&amp;"Template desconto FLAT Plano Principal Oi TV nível conta"),BENEFICIOS!$A:$G,5,0))),"Criar",IF(CA9="","",VLOOKUP(($BC9&amp;CA9&amp;"Template desconto FLAT Plano Principal Oi TV nível conta"),BENEFICIOS!$A:$G,5,0)))</f>
        <v/>
      </c>
      <c r="CC9" s="8"/>
      <c r="CD9" s="3" t="str">
        <f>IF(CC9=0,"",IF(CC9=VLOOKUP("PCS-OzTL743",ARBOR!$A:$C,3,0),0.0001,IF(CC9&gt;VLOOKUP("PCS-OzTL743",ARBOR!$A:$C,3,0),"Maior que CAP!",IF((DOLLAR(CC9+(VLOOKUP("PCS-OzTL743",ARBOR!$A:$C,3,0)*-TRUNC(CC9/VLOOKUP("PCS-OzTL743",ARBOR!$A:$C,3,0)-1,4)),6))&lt;&gt;(DOLLAR(VLOOKUP("PCS-OzTL743",ARBOR!$A:$C,3,0),6)),-TRUNC(CC9/VLOOKUP("PCS-OzTL743",ARBOR!$A:$C,3,0)-1,4)+0.0001,-TRUNC(CC9/VLOOKUP("PCS-OzTL743",ARBOR!$A:$C,3,0)-1,4)))))</f>
        <v/>
      </c>
      <c r="CE9" s="28" t="str">
        <f>IF(ISERROR(IF(CD9="","",VLOOKUP(($BC9&amp;CD9&amp;"Template desconto FLAT Plano Principal Oi TV nível conta"),BENEFICIOS!$A:$G,5,0))),"Criar",IF(CD9="","",VLOOKUP(($BC9&amp;CD9&amp;"Template desconto FLAT Plano Principal Oi TV nível conta"),BENEFICIOS!$A:$G,5,0)))</f>
        <v/>
      </c>
      <c r="CF9" s="8"/>
      <c r="CG9" s="3" t="str">
        <f>IF(CF9=0,"",IF(CF9=VLOOKUP("PCS-OzTL745",ARBOR!$A:$C,3,0),0.0001,IF(CF9&gt;VLOOKUP("PCS-OzTL745",ARBOR!$A:$C,3,0),"Maior que CAP!",IF((DOLLAR(CF9+(VLOOKUP("PCS-OzTL745",ARBOR!$A:$C,3,0)*-TRUNC(CF9/VLOOKUP("PCS-OzTL745",ARBOR!$A:$C,3,0)-1,4)),6))&lt;&gt;(DOLLAR(VLOOKUP("PCS-OzTL745",ARBOR!$A:$C,3,0),6)),-TRUNC(CF9/VLOOKUP("PCS-OzTL745",ARBOR!$A:$C,3,0)-1,4)+0.0001,-TRUNC(CF9/VLOOKUP("PCS-OzTL745",ARBOR!$A:$C,3,0)-1,4)))))</f>
        <v/>
      </c>
      <c r="CH9" s="28" t="str">
        <f>IF(ISERROR(IF(CG9="","",VLOOKUP(($BC9&amp;CG9&amp;"Template desconto FLAT Plano Principal Oi TV nível conta"),BENEFICIOS!$A:$G,5,0))),"Criar",IF(CG9="","",VLOOKUP(($BC9&amp;CG9&amp;"Template desconto FLAT Plano Principal Oi TV nível conta"),BENEFICIOS!$A:$G,5,0)))</f>
        <v/>
      </c>
      <c r="CI9" s="8"/>
      <c r="CJ9" s="3" t="str">
        <f>IF(CI9=0,"",IF(CI9=VLOOKUP("PCS-OzTL42",ARBOR!$A:$C,3,0),0.0001,IF(CI9&gt;VLOOKUP("PCS-OzTL42",ARBOR!$A:$C,3,0),"Maior que CAP!",IF((DOLLAR(CI9+(VLOOKUP("PCS-OzTL42",ARBOR!$A:$C,3,0)*-TRUNC(CI9/VLOOKUP("PCS-OzTL42",ARBOR!$A:$C,3,0)-1,4)),6))&lt;&gt;(DOLLAR(VLOOKUP("PCS-OzTL42",ARBOR!$A:$C,3,0),6)),-TRUNC(CI9/VLOOKUP("PCS-OzTL42",ARBOR!$A:$C,3,0)-1,4)+0.0001,-TRUNC(CI9/VLOOKUP("PCS-OzTL42",ARBOR!$A:$C,3,0)-1,4)))))</f>
        <v/>
      </c>
      <c r="CK9" s="28" t="str">
        <f>IF(ISERROR(IF(CJ9="","",VLOOKUP(($BC9&amp;CJ9&amp;"Template desconto FLAT Plano Principal Oi TV nível conta"),BENEFICIOS!$A:$G,5,0))),"Criar",IF(CJ9="","",VLOOKUP(($BC9&amp;CJ9&amp;"Template desconto FLAT Plano Principal Oi TV nível conta"),BENEFICIOS!$A:$G,5,0)))</f>
        <v/>
      </c>
      <c r="CL9" s="8">
        <v>119.9</v>
      </c>
      <c r="CM9" s="3">
        <f>IF(CL9=0,"",IF(CL9=VLOOKUP("PCS-OzTL47",ARBOR!$A:$C,3,0),0.0001,IF(CL9&gt;VLOOKUP("PCS-OzTL47",ARBOR!$A:$C,3,0),"Maior que CAP!",IF((DOLLAR(CL9+(VLOOKUP("PCS-OzTL47",ARBOR!$A:$C,3,0)*-TRUNC(CL9/VLOOKUP("PCS-OzTL47",ARBOR!$A:$C,3,0)-1,4)),6))&lt;&gt;(DOLLAR(VLOOKUP("PCS-OzTL47",ARBOR!$A:$C,3,0),6)),-TRUNC(CL9/VLOOKUP("PCS-OzTL47",ARBOR!$A:$C,3,0)-1,4)+0.0001,-TRUNC(CL9/VLOOKUP("PCS-OzTL47",ARBOR!$A:$C,3,0)-1,4)))))</f>
        <v>0.41120000000000001</v>
      </c>
      <c r="CN9" s="28" t="str">
        <f>IF(ISERROR(IF(CM9="","",VLOOKUP(($BC9&amp;CM9&amp;"Template desconto FLAT Plano Principal Oi TV nível conta"),BENEFICIOS!$A:$G,5,0))),"Criar",IF(CM9="","",VLOOKUP(($BC9&amp;CM9&amp;"Template desconto FLAT Plano Principal Oi TV nível conta"),BENEFICIOS!$A:$G,5,0)))</f>
        <v>Criar</v>
      </c>
      <c r="CO9" s="8">
        <v>119.9</v>
      </c>
      <c r="CP9" s="3">
        <f>IF(CO9=0,"",IF(CO9=VLOOKUP("PCS-OzTL46",ARBOR!$A:$C,3,0),0.0001,IF(CO9&gt;VLOOKUP("PCS-OzTL46",ARBOR!$A:$C,3,0),"Maior que CAP!",IF((DOLLAR(CO9+(VLOOKUP("PCS-OzTL46",ARBOR!$A:$C,3,0)*-TRUNC(CO9/VLOOKUP("PCS-OzTL46",ARBOR!$A:$C,3,0)-1,4)),6))&lt;&gt;(DOLLAR(VLOOKUP("PCS-OzTL46",ARBOR!$A:$C,3,0),6)),-TRUNC(CO9/VLOOKUP("PCS-OzTL46",ARBOR!$A:$C,3,0)-1,4)+0.0001,-TRUNC(CO9/VLOOKUP("PCS-OzTL46",ARBOR!$A:$C,3,0)-1,4)))))</f>
        <v>0.44140000000000001</v>
      </c>
      <c r="CQ9" s="28" t="str">
        <f>IF(ISERROR(IF(CP9="","",VLOOKUP(($BC9&amp;CP9&amp;"Template desconto FLAT Plano Principal Oi TV nível conta"),BENEFICIOS!$A:$G,5,0))),"Criar",IF(CP9="","",VLOOKUP(($BC9&amp;CP9&amp;"Template desconto FLAT Plano Principal Oi TV nível conta"),BENEFICIOS!$A:$G,5,0)))</f>
        <v>Criar</v>
      </c>
      <c r="CR9" s="8">
        <v>149.9</v>
      </c>
      <c r="CS9" s="3">
        <f>IF(CR9=0,"",IF(CR9=VLOOKUP("PCS-OzTL48",ARBOR!$A:$C,3,0),0.0001,IF(CR9&gt;VLOOKUP("PCS-OzTL48",ARBOR!$A:$C,3,0),"Maior que CAP!",IF((DOLLAR(CR9+(VLOOKUP("PCS-OzTL48",ARBOR!$A:$C,3,0)*-TRUNC(CR9/VLOOKUP("PCS-OzTL48",ARBOR!$A:$C,3,0)-1,4)),6))&lt;&gt;(DOLLAR(VLOOKUP("PCS-OzTL48",ARBOR!$A:$C,3,0),6)),-TRUNC(CR9/VLOOKUP("PCS-OzTL48",ARBOR!$A:$C,3,0)-1,4)+0.0001,-TRUNC(CR9/VLOOKUP("PCS-OzTL48",ARBOR!$A:$C,3,0)-1,4)))))</f>
        <v>0.40799999999999997</v>
      </c>
      <c r="CT9" s="28" t="str">
        <f>IF(ISERROR(IF(CS9="","",VLOOKUP(($BC9&amp;CS9&amp;"Template desconto FLAT Plano Principal Oi TV nível conta"),BENEFICIOS!$A:$G,5,0))),"Criar",IF(CS9="","",VLOOKUP(($BC9&amp;CS9&amp;"Template desconto FLAT Plano Principal Oi TV nível conta"),BENEFICIOS!$A:$G,5,0)))</f>
        <v>Criar</v>
      </c>
      <c r="CU9" s="8"/>
      <c r="CV9" s="3" t="str">
        <f>IF(CU9=0,"",IF(CU9=VLOOKUP("PCS-OzTL742",ARBOR!$A:$C,3,0),0.0001,IF(CU9&gt;VLOOKUP("PCS-OzTL742",ARBOR!$A:$C,3,0),"Maior que CAP!",IF((DOLLAR(CU9+(VLOOKUP("PCS-OzTL742",ARBOR!$A:$C,3,0)*-TRUNC(CU9/VLOOKUP("PCS-OzTL742",ARBOR!$A:$C,3,0)-1,4)),6))&lt;&gt;(DOLLAR(VLOOKUP("PCS-OzTL742",ARBOR!$A:$C,3,0),6)),-TRUNC(CU9/VLOOKUP("PCS-OzTL742",ARBOR!$A:$C,3,0)-1,4)+0.0001,-TRUNC(CU9/VLOOKUP("PCS-OzTL742",ARBOR!$A:$C,3,0)-1,4)))))</f>
        <v/>
      </c>
      <c r="CW9" s="28" t="str">
        <f>IF(ISERROR(IF(CV9="","",VLOOKUP(($BC9&amp;CV9&amp;"Template desconto FLAT Plano Principal Oi TV nível conta"),BENEFICIOS!$A:$G,5,0))),"Criar",IF(CV9="","",VLOOKUP(($BC9&amp;CV9&amp;"Template desconto FLAT Plano Principal Oi TV nível conta"),BENEFICIOS!$A:$G,5,0)))</f>
        <v/>
      </c>
      <c r="CX9" s="8"/>
      <c r="CY9" s="3" t="str">
        <f>IF(CX9=0,"",IF(CX9=VLOOKUP("PCS-OzTL747",ARBOR!$A:$C,3,0),0.0001,IF(CX9&gt;VLOOKUP("PCS-OzTL747",ARBOR!$A:$C,3,0),"Maior que CAP!",IF((DOLLAR(CX9+(VLOOKUP("PCS-OzTL747",ARBOR!$A:$C,3,0)*-TRUNC(CX9/VLOOKUP("PCS-OzTL747",ARBOR!$A:$C,3,0)-1,4)),6))&lt;&gt;(DOLLAR(VLOOKUP("PCS-OzTL747",ARBOR!$A:$C,3,0),6)),-TRUNC(CX9/VLOOKUP("PCS-OzTL747",ARBOR!$A:$C,3,0)-1,4)+0.0001,-TRUNC(CX9/VLOOKUP("PCS-OzTL747",ARBOR!$A:$C,3,0)-1,4)))))</f>
        <v/>
      </c>
      <c r="CZ9" s="28" t="str">
        <f>IF(ISERROR(IF(CY9="","",VLOOKUP(($BC9&amp;CY9&amp;"Template desconto FLAT Plano Principal Oi TV nível conta"),BENEFICIOS!$A:$G,5,0))),"Criar",IF(CY9="","",VLOOKUP(($BC9&amp;CY9&amp;"Template desconto FLAT Plano Principal Oi TV nível conta"),BENEFICIOS!$A:$G,5,0)))</f>
        <v/>
      </c>
      <c r="DA9" s="8"/>
      <c r="DB9" s="3" t="str">
        <f>IF(DA9=0,"",IF(DA9=VLOOKUP("PCS-OzTL746",ARBOR!$A:$C,3,0),0.0001,IF(DA9&gt;VLOOKUP("PCS-OzTL746",ARBOR!$A:$C,3,0),"Maior que CAP!",IF((DOLLAR(DA9+(VLOOKUP("PCS-OzTL746",ARBOR!$A:$C,3,0)*-TRUNC(DA9/VLOOKUP("PCS-OzTL746",ARBOR!$A:$C,3,0)-1,4)),6))&lt;&gt;(DOLLAR(VLOOKUP("PCS-OzTL746",ARBOR!$A:$C,3,0),6)),-TRUNC(DA9/VLOOKUP("PCS-OzTL746",ARBOR!$A:$C,3,0)-1,4)+0.0001,-TRUNC(DA9/VLOOKUP("PCS-OzTL746",ARBOR!$A:$C,3,0)-1,4)))))</f>
        <v/>
      </c>
      <c r="DC9" s="28" t="str">
        <f>IF(ISERROR(IF(DB9="","",VLOOKUP(($BC9&amp;DB9&amp;"Template desconto FLAT Plano Principal Oi TV nível conta"),BENEFICIOS!$A:$G,5,0))),"Criar",IF(DB9="","",VLOOKUP(($BC9&amp;DB9&amp;"Template desconto FLAT Plano Principal Oi TV nível conta"),BENEFICIOS!$A:$G,5,0)))</f>
        <v/>
      </c>
      <c r="DD9" s="8"/>
      <c r="DE9" s="3" t="str">
        <f>IF(DD9=0,"",IF(DD9=VLOOKUP("PCS-OzTL748",ARBOR!$A:$C,3,0),0.0001,IF(DD9&gt;VLOOKUP("PCS-OzTL748",ARBOR!$A:$C,3,0),"Maior que CAP!",IF((DOLLAR(DD9+(VLOOKUP("PCS-OzTL748",ARBOR!$A:$C,3,0)*-TRUNC(DD9/VLOOKUP("PCS-OzTL748",ARBOR!$A:$C,3,0)-1,4)),6))&lt;&gt;(DOLLAR(VLOOKUP("PCS-OzTL748",ARBOR!$A:$C,3,0),6)),-TRUNC(DD9/VLOOKUP("PCS-OzTL748",ARBOR!$A:$C,3,0)-1,4)+0.0001,-TRUNC(DD9/VLOOKUP("PCS-OzTL748",ARBOR!$A:$C,3,0)-1,4)))))</f>
        <v/>
      </c>
      <c r="DF9" s="28" t="str">
        <f>IF(ISERROR(IF(DE9="","",VLOOKUP(($BC9&amp;DE9&amp;"Template desconto FLAT Plano Principal Oi TV nível conta"),BENEFICIOS!$A:$G,5,0))),"Criar",IF(DE9="","",VLOOKUP(($BC9&amp;DE9&amp;"Template desconto FLAT Plano Principal Oi TV nível conta"),BENEFICIOS!$A:$G,5,0)))</f>
        <v/>
      </c>
      <c r="DG9" s="8">
        <v>75</v>
      </c>
      <c r="DH9" s="3">
        <f>IF(DG9=0,"",IF(DG9=VLOOKUP("PCS-OzTL34",ARBOR!$A:$C,3,0),0.0001,IF(DG9&gt;VLOOKUP("PCS-OzTL34",ARBOR!$A:$C,3,0),"Maior que CAP!",IF((DOLLAR(DG9+(VLOOKUP("PCS-OzTL34",ARBOR!$A:$C,3,0)*-TRUNC(DG9/VLOOKUP("PCS-OzTL34",ARBOR!$A:$C,3,0)-1,4)),6))&lt;&gt;(DOLLAR(VLOOKUP("PCS-OzTL34",ARBOR!$A:$C,3,0),6)),-TRUNC(DG9/VLOOKUP("PCS-OzTL34",ARBOR!$A:$C,3,0)-1,4)+0.0001,-TRUNC(DG9/VLOOKUP("PCS-OzTL34",ARBOR!$A:$C,3,0)-1,4)))))</f>
        <v>0.31900000000000001</v>
      </c>
      <c r="DI9" s="28" t="str">
        <f>IF(DH9="S/Desc","S/Desc",IF(ISERROR(IF(DH9="","",VLOOKUP(($BC9&amp;DH9&amp;"Template desconto % Combate nível conta"),BENEFICIOS!$A:$G,5,0))),"Criar",IF(DH9="","",VLOOKUP(($BC9&amp;DH9&amp;"Template desconto % Combate nível conta"),BENEFICIOS!$A:$G,5,0))))</f>
        <v>Criar</v>
      </c>
      <c r="DJ9" s="8">
        <v>19.899999999999999</v>
      </c>
      <c r="DK9" s="3">
        <f>IF(DJ9=0,"",IF(DJ9=VLOOKUP("PCS-OzTL31",ARBOR!$A:$C,3,0),0.0001,IF(DJ9&gt;VLOOKUP("PCS-OzTL31",ARBOR!$A:$C,3,0),"Maior que CAP!",IF((DOLLAR(DJ9+(VLOOKUP("PCS-OzTL31",ARBOR!$A:$C,3,0)*-TRUNC(DJ9/VLOOKUP("PCS-OzTL31",ARBOR!$A:$C,3,0)-1,4)),6))&lt;&gt;(DOLLAR(VLOOKUP("PCS-OzTL31",ARBOR!$A:$C,3,0),6)),-TRUNC(DJ9/VLOOKUP("PCS-OzTL31",ARBOR!$A:$C,3,0)-1,4)+0.0001,-TRUNC(DJ9/VLOOKUP("PCS-OzTL31",ARBOR!$A:$C,3,0)-1,4)))))</f>
        <v>9.1800000000000007E-2</v>
      </c>
      <c r="DL9" s="28" t="str">
        <f>IF(DK9="S/Desc","S/Desc",IF(ISERROR(IF(DK9="","",VLOOKUP(($BC9&amp;DK9&amp;"Template desconto % Sexy Hot nível conta"),BENEFICIOS!$A:$G,5,0))),"Criar",IF(DK9="","",VLOOKUP(($BC9&amp;DK9&amp;"Template desconto % Sexy Hot nível conta"),BENEFICIOS!$A:$G,5,0))))</f>
        <v>Criar</v>
      </c>
      <c r="DM9" s="8">
        <v>19.899999999999999</v>
      </c>
      <c r="DN9" s="3">
        <f>IF(DM9=0,"",IF(DM9=VLOOKUP("PCS-OzTL32",ARBOR!$A:$C,3,0),0.0001,IF(DM9&gt;VLOOKUP("PCS-OzTL32",ARBOR!$A:$C,3,0),"Maior que CAP!",IF((DOLLAR(DM9+(VLOOKUP("PCS-OzTL32",ARBOR!$A:$C,3,0)*-TRUNC(DM9/VLOOKUP("PCS-OzTL32",ARBOR!$A:$C,3,0)-1,4)),6))&lt;&gt;(DOLLAR(VLOOKUP("PCS-OzTL32",ARBOR!$A:$C,3,0),6)),-TRUNC(DM9/VLOOKUP("PCS-OzTL32",ARBOR!$A:$C,3,0)-1,4)+0.0001,-TRUNC(DM9/VLOOKUP("PCS-OzTL32",ARBOR!$A:$C,3,0)-1,4)))))</f>
        <v>9.1800000000000007E-2</v>
      </c>
      <c r="DO9" s="28" t="str">
        <f>IF(DN9="S/Desc","S/Desc",IF(ISERROR(IF(DN9="","",VLOOKUP(($BC9&amp;DN9&amp;"Template desconto % Playboy nível conta"),BENEFICIOS!$A:$G,5,0))),"Criar",IF(DN9="","",VLOOKUP(($BC9&amp;DN9&amp;"Template desconto % Playboy nível conta"),BENEFICIOS!$A:$G,5,0))))</f>
        <v>Criar</v>
      </c>
      <c r="DP9" s="8">
        <v>29.9</v>
      </c>
      <c r="DQ9" s="3">
        <f>IF(DP9=0,"",IF(DP9=VLOOKUP("PCS-OzTL33",ARBOR!$A:$C,3,0),0.0001,IF(DP9&gt;VLOOKUP("PCS-OzTL33",ARBOR!$A:$C,3,0),"Maior que CAP!",IF((DOLLAR(DP9+(VLOOKUP("PCS-OzTL33",ARBOR!$A:$C,3,0)*-TRUNC(DP9/VLOOKUP("PCS-OzTL33",ARBOR!$A:$C,3,0)-1,4)),6))&lt;&gt;(DOLLAR(VLOOKUP("PCS-OzTL33",ARBOR!$A:$C,3,0),6)),-TRUNC(DP9/VLOOKUP("PCS-OzTL33",ARBOR!$A:$C,3,0)-1,4)+0.0001,-TRUNC(DP9/VLOOKUP("PCS-OzTL33",ARBOR!$A:$C,3,0)-1,4)))))</f>
        <v>9.1800000000000007E-2</v>
      </c>
      <c r="DR9" s="28" t="str">
        <f>IF(DQ9="S/Desc","S/Desc",IF(ISERROR(IF(DQ9="","",VLOOKUP(($BC9&amp;DQ9&amp;"Template desconto % Sexy Hot + Playboy nível conta"),BENEFICIOS!$A:$G,5,0))),"Criar",IF(DQ9="","",VLOOKUP(($BC9&amp;DQ9&amp;"Template desconto % Sexy Hot + Playboy nível conta"),BENEFICIOS!$A:$G,5,0))))</f>
        <v>Criar</v>
      </c>
      <c r="DS9" s="8">
        <v>14.9</v>
      </c>
      <c r="DT9" s="3">
        <f>IF(DS9=0,"",IF(DS9=VLOOKUP("PCS-OzTL503",ARBOR!$A:$C,3,0),0.0001,IF(DS9&gt;VLOOKUP("PCS-OzTL503",ARBOR!$A:$C,3,0),"Maior que CAP!",IF((DOLLAR(DS9+(VLOOKUP("PCS-OzTL503",ARBOR!$A:$C,3,0)*-TRUNC(DS9/VLOOKUP("PCS-OzTL503",ARBOR!$A:$C,3,0)-1,4)),6))&lt;&gt;(DOLLAR(VLOOKUP("PCS-OzTL503",ARBOR!$A:$C,3,0),6)),-TRUNC(DS9/VLOOKUP("PCS-OzTL503",ARBOR!$A:$C,3,0)-1,4)+0.0001,-TRUNC(DS9/VLOOKUP("PCS-OzTL503",ARBOR!$A:$C,3,0)-1,4)))))</f>
        <v>9.1499999999999998E-2</v>
      </c>
      <c r="DU9" s="28" t="str">
        <f>IF(DT9="S/Desc","S/Desc",IF(ISERROR(IF(DT9="","",VLOOKUP(($BC9&amp;DT9&amp;"Template desconto % SexPrivê nível conta"),BENEFICIOS!$A:$G,5,0))),"Criar",IF(DT9="","",VLOOKUP(($BC9&amp;DT9&amp;"Template desconto % SexPrivê nível conta"),BENEFICIOS!$A:$G,5,0))))</f>
        <v>Criar</v>
      </c>
      <c r="DV9" s="8">
        <v>10</v>
      </c>
      <c r="DW9" s="3">
        <f>IF(DV9=0,"",IF(DV9=VLOOKUP("PCS-OzTL500",ARBOR!$A:$C,3,0),0.0001,IF(DV9&gt;VLOOKUP("PCS-OzTL500",ARBOR!$A:$C,3,0),"Maior que CAP!",IF((DOLLAR(DV9+(VLOOKUP("PCS-OzTL500",ARBOR!$A:$C,3,0)*-TRUNC(DV9/VLOOKUP("PCS-OzTL500",ARBOR!$A:$C,3,0)-1,4)),6))&lt;&gt;(DOLLAR(VLOOKUP("PCS-OzTL500",ARBOR!$A:$C,3,0),6)),-TRUNC(DV9/VLOOKUP("PCS-OzTL500",ARBOR!$A:$C,3,0)-1,4)+0.0001,-TRUNC(DV9/VLOOKUP("PCS-OzTL500",ARBOR!$A:$C,3,0)-1,4)))))</f>
        <v>9.1800000000000007E-2</v>
      </c>
      <c r="DX9" s="28" t="str">
        <f>IF(DW9="S/Desc","S/Desc",IF(ISERROR(IF(DW9="","",VLOOKUP(($BC9&amp;DW9&amp;"Template desconto % Étnico nível conta"),BENEFICIOS!$A:$G,5,0))),"Criar",IF(DW9="","",VLOOKUP(($BC9&amp;DW9&amp;"Template desconto % Étnico nível conta"),BENEFICIOS!$A:$G,5,0))))</f>
        <v>Criar</v>
      </c>
      <c r="DY9" s="8"/>
      <c r="DZ9" s="181" t="str">
        <f>IF(DY9=0,"",IF(DY9=VLOOKUP("PCS-OzTL50",ARBOR!$A:$C,3,0),0.0001,IF(DY9&gt;VLOOKUP("PCS-OzTL50",ARBOR!$A:$C,3,0),"Maior que CAP!",IF((DOLLAR(DY9+(VLOOKUP("PCS-OzTL50",ARBOR!$A:$C,3,0)*-TRUNC(DY9/VLOOKUP("PCS-OzTL50",ARBOR!$A:$C,3,0)-1,4)),6))&lt;&gt;(DOLLAR(VLOOKUP("PCS-OzTL50",ARBOR!$A:$C,3,0),6)),-TRUNC(DY9/VLOOKUP("PCS-OzTL50",ARBOR!$A:$C,3,0)-1,4)+0.0001,-TRUNC(DY9/VLOOKUP("PCS-OzTL50",ARBOR!$A:$C,3,0)-1,4)))))</f>
        <v/>
      </c>
      <c r="EA9" s="28"/>
      <c r="EB9" s="8"/>
      <c r="EC9" s="181" t="str">
        <f>IF(EB9=0,"",IF(EB9=VLOOKUP("PCS-OzTL51",ARBOR!$A:$C,3,0),0.0001,IF(EB9&gt;VLOOKUP("PCS-OzTL51",ARBOR!$A:$C,3,0),"Maior que CAP!",IF((DOLLAR(EB9+(VLOOKUP("PCS-OzTL51",ARBOR!$A:$C,3,0)*-TRUNC(EB9/VLOOKUP("PCS-OzTL51",ARBOR!$A:$C,3,0)-1,4)),6))&lt;&gt;(DOLLAR(VLOOKUP("PCS-OzTL51",ARBOR!$A:$C,3,0),6)),-TRUNC(EB9/VLOOKUP("PCS-OzTL51",ARBOR!$A:$C,3,0)-1,4)+0.0001,-TRUNC(EB9/VLOOKUP("PCS-OzTL51",ARBOR!$A:$C,3,0)-1,4)))))</f>
        <v/>
      </c>
      <c r="ED9" s="28"/>
      <c r="EE9" s="8"/>
      <c r="EF9" s="181" t="str">
        <f>IF(EE9=0,"",IF(EE9=VLOOKUP("PCS-OzTL52",ARBOR!$A:$C,3,0),0.0001,IF(EE9&gt;VLOOKUP("PCS-OzTL52",ARBOR!$A:$C,3,0),"Maior que CAP!",IF((DOLLAR(EE9+(VLOOKUP("PCS-OzTL52",ARBOR!$A:$C,3,0)*-TRUNC(EE9/VLOOKUP("PCS-OzTL52",ARBOR!$A:$C,3,0)-1,4)),6))&lt;&gt;(DOLLAR(VLOOKUP("PCS-OzTL52",ARBOR!$A:$C,3,0),6)),-TRUNC(EE9/VLOOKUP("PCS-OzTL52",ARBOR!$A:$C,3,0)-1,4)+0.0001,-TRUNC(EE9/VLOOKUP("PCS-OzTL52",ARBOR!$A:$C,3,0)-1,4)))))</f>
        <v/>
      </c>
      <c r="EG9" s="28"/>
      <c r="EH9" s="8"/>
      <c r="EI9" s="181" t="str">
        <f>IF(EH9=0,"",IF(EH9=VLOOKUP("PCS-OzTL53",ARBOR!$A:$C,3,0),0.0001,IF(EH9&gt;VLOOKUP("PCS-OzTL53",ARBOR!$A:$C,3,0),"Maior que CAP!",IF((DOLLAR(EH9+(VLOOKUP("PCS-OzTL53",ARBOR!$A:$C,3,0)*-TRUNC(EH9/VLOOKUP("PCS-OzTL53",ARBOR!$A:$C,3,0)-1,4)),6))&lt;&gt;(DOLLAR(VLOOKUP("PCS-OzTL53",ARBOR!$A:$C,3,0),6)),-TRUNC(EH9/VLOOKUP("PCS-OzTL53",ARBOR!$A:$C,3,0)-1,4)+0.0001,-TRUNC(EH9/VLOOKUP("PCS-OzTL53",ARBOR!$A:$C,3,0)-1,4)))))</f>
        <v/>
      </c>
      <c r="EJ9" s="28"/>
      <c r="EK9" s="8"/>
      <c r="EL9" s="181" t="str">
        <f>IF(EK9=0,"",IF(EK9=VLOOKUP("PCS-OzTL54",ARBOR!$A:$C,3,0),0.0001,IF(EK9&gt;VLOOKUP("PCS-OzTL54",ARBOR!$A:$C,3,0),"Maior que CAP!",IF((DOLLAR(EK9+(VLOOKUP("PCS-OzTL54",ARBOR!$A:$C,3,0)*-TRUNC(EK9/VLOOKUP("PCS-OzTL54",ARBOR!$A:$C,3,0)-1,4)),6))&lt;&gt;(DOLLAR(VLOOKUP("PCS-OzTL54",ARBOR!$A:$C,3,0),6)),-TRUNC(EK9/VLOOKUP("PCS-OzTL54",ARBOR!$A:$C,3,0)-1,4)+0.0001,-TRUNC(EK9/VLOOKUP("PCS-OzTL54",ARBOR!$A:$C,3,0)-1,4)))))</f>
        <v/>
      </c>
      <c r="EM9" s="28"/>
      <c r="EN9" s="8">
        <v>24.9</v>
      </c>
      <c r="EO9" s="3">
        <f>IF(EN9=0,"",IF(EN9=VLOOKUP("PCS-OzTL99",ARBOR!$A:$C,3,0),0.0001,IF(EN9&gt;VLOOKUP("PCS-OzTL99",ARBOR!$A:$C,3,0),"Maior que CAP!",IF((DOLLAR(EN9+(VLOOKUP("PCS-OzTL99",ARBOR!$A:$C,3,0)*-TRUNC(EN9/VLOOKUP("PCS-OzTL99",ARBOR!$A:$C,3,0)-1,4)),6))&lt;&gt;(DOLLAR(VLOOKUP("PCS-OzTL99",ARBOR!$A:$C,3,0),6)),-TRUNC(EN9/VLOOKUP("PCS-OzTL99",ARBOR!$A:$C,3,0)-1,4)+0.0001,-TRUNC(EN9/VLOOKUP("PCS-OzTL99",ARBOR!$A:$C,3,0)-1,4)))))</f>
        <v>0.16729999999999998</v>
      </c>
      <c r="EP9" s="28" t="str">
        <f>IF(EO9="S/Desc","S/Desc",IF(ISERROR(IF(EO9="","",VLOOKUP(($BC9&amp;EO9&amp;"Template desconto % Ponto adicional nível conta"),BENEFICIOS!$A:$G,5,0))),"Criar",IF(EO9="","",VLOOKUP(($BC9&amp;EO9&amp;"Template desconto % Ponto adicional nível conta"),BENEFICIOS!$A:$G,5,0))))</f>
        <v>Criar</v>
      </c>
      <c r="EQ9" s="8"/>
      <c r="ER9" s="28" t="str">
        <f t="shared" si="1"/>
        <v/>
      </c>
      <c r="ES9" s="62" t="s">
        <v>355</v>
      </c>
      <c r="ET9" s="126" t="s">
        <v>356</v>
      </c>
      <c r="EU9" s="127">
        <v>499</v>
      </c>
      <c r="EV9" s="126">
        <v>12</v>
      </c>
      <c r="EW9" s="128" t="str">
        <f t="shared" si="2"/>
        <v>Oi benefício fidelização Multiprodutos</v>
      </c>
      <c r="EX9" s="129" t="str">
        <f t="shared" si="3"/>
        <v>PCS-Fk83324</v>
      </c>
      <c r="EY9" s="91" t="str">
        <f t="shared" si="4"/>
        <v>PCS-SBL553142</v>
      </c>
      <c r="EZ9" s="85" t="s">
        <v>357</v>
      </c>
      <c r="FA9" s="97" t="s">
        <v>358</v>
      </c>
      <c r="FB9" s="91"/>
      <c r="FC9" s="85"/>
      <c r="FD9" s="97"/>
      <c r="FE9" s="91"/>
      <c r="FF9" s="87"/>
      <c r="FG9" s="144" t="str">
        <f t="shared" si="5"/>
        <v/>
      </c>
      <c r="FH9" s="144" t="str">
        <f t="shared" si="6"/>
        <v/>
      </c>
      <c r="FI9" s="144">
        <f t="shared" si="7"/>
        <v>144.9</v>
      </c>
      <c r="FJ9" s="144">
        <f t="shared" si="8"/>
        <v>144.9</v>
      </c>
      <c r="FK9" s="144">
        <f t="shared" si="9"/>
        <v>174.9</v>
      </c>
      <c r="FL9" s="144" t="str">
        <f t="shared" si="10"/>
        <v/>
      </c>
      <c r="FM9" s="144" t="str">
        <f t="shared" si="11"/>
        <v/>
      </c>
      <c r="FN9" s="144" t="str">
        <f t="shared" si="12"/>
        <v/>
      </c>
      <c r="FO9" s="144" t="str">
        <f t="shared" si="13"/>
        <v/>
      </c>
      <c r="FP9" s="144" t="str">
        <f t="shared" si="14"/>
        <v/>
      </c>
      <c r="FQ9" s="144">
        <f t="shared" si="15"/>
        <v>154.9</v>
      </c>
      <c r="FR9" s="144">
        <f t="shared" si="16"/>
        <v>154.9</v>
      </c>
      <c r="FS9" s="144">
        <f t="shared" si="17"/>
        <v>184.9</v>
      </c>
      <c r="FT9" s="144" t="str">
        <f t="shared" si="18"/>
        <v/>
      </c>
      <c r="FU9" s="144" t="str">
        <f t="shared" si="19"/>
        <v/>
      </c>
      <c r="FV9" s="144" t="str">
        <f t="shared" si="20"/>
        <v/>
      </c>
      <c r="FW9" s="144" t="str">
        <f t="shared" si="21"/>
        <v/>
      </c>
      <c r="FX9" s="148"/>
      <c r="FY9" s="149"/>
      <c r="FZ9" s="149"/>
      <c r="GA9" s="149"/>
      <c r="GB9" s="149"/>
      <c r="GC9" s="149"/>
      <c r="GD9" s="149"/>
      <c r="GE9" s="149"/>
      <c r="GF9" s="149"/>
      <c r="GG9" s="150"/>
    </row>
    <row r="10" spans="1:189">
      <c r="A10" s="45"/>
      <c r="B10" s="133"/>
      <c r="C10" s="133"/>
      <c r="D10" s="46"/>
      <c r="E10" s="47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9"/>
      <c r="U10" s="48"/>
      <c r="V10" s="49"/>
      <c r="W10" s="48"/>
      <c r="X10" s="48"/>
      <c r="Y10" s="48"/>
      <c r="Z10" s="48"/>
      <c r="AA10" s="49"/>
      <c r="AB10" s="48"/>
      <c r="AC10" s="63"/>
      <c r="AD10" s="48"/>
      <c r="AE10" s="48"/>
      <c r="AF10" s="48"/>
      <c r="AG10" s="48"/>
      <c r="AH10" s="48"/>
      <c r="AI10" s="48"/>
      <c r="AJ10" s="48"/>
      <c r="AK10" s="48"/>
      <c r="AL10" s="51"/>
      <c r="AM10" s="37"/>
      <c r="AN10" s="38"/>
      <c r="AO10" s="39"/>
      <c r="AP10" s="52"/>
      <c r="AQ10" s="53"/>
      <c r="AR10" s="64"/>
      <c r="AS10" s="65"/>
      <c r="AT10" s="54"/>
      <c r="AU10" s="54"/>
      <c r="AV10" s="54"/>
      <c r="AW10" s="54"/>
      <c r="AX10" s="70"/>
      <c r="AY10" s="71"/>
      <c r="AZ10" s="72"/>
      <c r="BA10" s="73"/>
      <c r="BB10" s="55"/>
      <c r="BC10" s="56"/>
      <c r="BD10" s="27" t="str">
        <f t="shared" si="0"/>
        <v/>
      </c>
      <c r="BE10" s="58"/>
      <c r="BF10" s="3" t="str">
        <f>IF(BE10=0,"",IF(BE10=VLOOKUP("FIXO",ARBOR!$A:$C,3,0),0.0001,IF(BE10&gt;VLOOKUP("FIXO",ARBOR!$A:$C,3,0),"Maior que CAP!",IF((DOLLAR(BE10+(VLOOKUP("FIXO",ARBOR!$A:$C,3,0)*-TRUNC(BE10/VLOOKUP("FIXO",ARBOR!$A:$C,3,0)-1,4)),6))&lt;&gt;(DOLLAR(VLOOKUP("FIXO",ARBOR!$A:$C,3,0),6)),-TRUNC(BE10/VLOOKUP("FIXO",ARBOR!$A:$C,3,0)-1,4)+0.0001,-TRUNC(BE10/VLOOKUP("FIXO",ARBOR!$A:$C,3,0)-1,4)))))</f>
        <v/>
      </c>
      <c r="BG10" s="10" t="str">
        <f>IF(ISERROR(IF(BF10="","",VLOOKUP(($BC10&amp;BF10&amp;"Template de desconto FLAT bundle - Fixo - Varejo - Ganho Tributário Cross"),BENEFICIOS!$A:$G,5,0))),"Criar",IF(BF10="","",VLOOKUP(($BC10&amp;BF10&amp;"Template de desconto FLAT bundle - Fixo - Varejo - Ganho Tributário Cross"),BENEFICIOS!$A:$G,5,0)))</f>
        <v/>
      </c>
      <c r="BH10" s="8"/>
      <c r="BI10" s="3" t="str">
        <f>IF(BH10=0,"",IF(BH10=VLOOKUP("PCS-OzTL40",ARBOR!$A:$C,3,0),0.0001,IF(BH10&gt;VLOOKUP("PCS-OzTL40",ARBOR!$A:$C,3,0),"Maior que CAP!",IF((DOLLAR(BH10+(VLOOKUP("PCS-OzTL40",ARBOR!$A:$C,3,0)*-TRUNC(BH10/VLOOKUP("PCS-OzTL40",ARBOR!$A:$C,3,0)-1,4)),6))&lt;&gt;(DOLLAR(VLOOKUP("PCS-OzTL40",ARBOR!$A:$C,3,0),6)),-TRUNC(BH10/VLOOKUP("PCS-OzTL40",ARBOR!$A:$C,3,0)-1,4)+0.0001,-TRUNC(BH10/VLOOKUP("PCS-OzTL40",ARBOR!$A:$C,3,0)-1,4)))))</f>
        <v/>
      </c>
      <c r="BJ10" s="10" t="str">
        <f>IF(ISERROR(IF(BI10="","",VLOOKUP((BC10&amp;BI10&amp;"Template desconto FLAT Plano Principal Oi TV nível conta"),BENEFICIOS!$A:$G,5,0))),"Criar",IF(BI10="","",VLOOKUP((BC10&amp;BI10&amp;"Template desconto FLAT Plano Principal Oi TV nível conta"),BENEFICIOS!$A:$G,5,0)))</f>
        <v/>
      </c>
      <c r="BK10" s="8"/>
      <c r="BL10" s="3" t="str">
        <f>IF(BK10=0,"",IF(BK10=VLOOKUP("PCS-OzTL41",ARBOR!$A:$C,3,0),0.0001,IF(BK10&gt;VLOOKUP("PCS-OzTL41",ARBOR!$A:$C,3,0),"Maior que CAP!",IF((DOLLAR(BK10+(VLOOKUP("PCS-OzTL41",ARBOR!$A:$C,3,0)*-TRUNC(BK10/VLOOKUP("PCS-OzTL41",ARBOR!$A:$C,3,0)-1,4)),6))&lt;&gt;(DOLLAR(VLOOKUP("PCS-OzTL41",ARBOR!$A:$C,3,0),6)),-TRUNC(BK10/VLOOKUP("PCS-OzTL41",ARBOR!$A:$C,3,0)-1,4)+0.0001,-TRUNC(BK10/VLOOKUP("PCS-OzTL41",ARBOR!$A:$C,3,0)-1,4)))))</f>
        <v/>
      </c>
      <c r="BM10" s="28" t="str">
        <f>IF(ISERROR(IF(BL10="","",VLOOKUP((BC10&amp;BL10&amp;"Template desconto FLAT Plano Principal Oi TV nível conta"),BENEFICIOS!$A:$G,5,0))),"Criar",IF(BL10="","",VLOOKUP((BC10&amp;BL10&amp;"Template desconto FLAT Plano Principal Oi TV nível conta"),BENEFICIOS!$A:$G,5,0)))</f>
        <v/>
      </c>
      <c r="BN10" s="8"/>
      <c r="BO10" s="3" t="str">
        <f>IF(BN10=0,"",IF(BN10=VLOOKUP("PCS-OzTL44",ARBOR!$A:$C,3,0),0.0001,IF(BN10&gt;VLOOKUP("PCS-OzTL44",ARBOR!$A:$C,3,0),"Maior que CAP!",IF((DOLLAR(BN10+(VLOOKUP("PCS-OzTL44",ARBOR!$A:$C,3,0)*-TRUNC(BN10/VLOOKUP("PCS-OzTL44",ARBOR!$A:$C,3,0)-1,4)),6))&lt;&gt;(DOLLAR(VLOOKUP("PCS-OzTL44",ARBOR!$A:$C,3,0),6)),-TRUNC(BN10/VLOOKUP("PCS-OzTL44",ARBOR!$A:$C,3,0)-1,4)+0.0001,-TRUNC(BN10/VLOOKUP("PCS-OzTL44",ARBOR!$A:$C,3,0)-1,4)))))</f>
        <v/>
      </c>
      <c r="BP10" s="28" t="str">
        <f>IF(ISERROR(IF(BO10="","",VLOOKUP((BC10&amp;BO10&amp;"Template desconto FLAT Plano Principal Oi TV nível conta"),BENEFICIOS!$A:$G,5,0))),"Criar",IF(BO10="","",VLOOKUP((BC10&amp;BO10&amp;"Template desconto FLAT Plano Principal Oi TV nível conta"),BENEFICIOS!$A:$G,5,0)))</f>
        <v/>
      </c>
      <c r="BQ10" s="8"/>
      <c r="BR10" s="3" t="str">
        <f>IF(BQ10=0,"",IF(BQ10=VLOOKUP("PCS-OzTL43",ARBOR!$A:$C,3,0),0.0001,IF(BQ10&gt;VLOOKUP("PCS-OzTL43",ARBOR!$A:$C,3,0),"Maior que CAP!",IF((DOLLAR(BQ10+(VLOOKUP("PCS-OzTL43",ARBOR!$A:$C,3,0)*-TRUNC(BQ10/VLOOKUP("PCS-OzTL43",ARBOR!$A:$C,3,0)-1,4)),6))&lt;&gt;(DOLLAR(VLOOKUP("PCS-OzTL43",ARBOR!$A:$C,3,0),6)),-TRUNC(BQ10/VLOOKUP("PCS-OzTL43",ARBOR!$A:$C,3,0)-1,4)+0.0001,-TRUNC(BQ10/VLOOKUP("PCS-OzTL43",ARBOR!$A:$C,3,0)-1,4)))))</f>
        <v/>
      </c>
      <c r="BS10" s="28" t="str">
        <f>IF(ISERROR(IF(BR10="","",VLOOKUP((BC10&amp;BR10&amp;"Template desconto FLAT Plano Principal Oi TV nível conta"),BENEFICIOS!$A:$G,5,0))),"Criar",IF(BR10="","",VLOOKUP((BC10&amp;BR10&amp;"Template desconto FLAT Plano Principal Oi TV nível conta"),BENEFICIOS!$A:$G,5,0)))</f>
        <v/>
      </c>
      <c r="BT10" s="8"/>
      <c r="BU10" s="3" t="str">
        <f>IF(BT10=0,"",IF(BT10=VLOOKUP("PCS-OzTL45",ARBOR!$A:$C,3,0),0.0001,IF(BT10&gt;VLOOKUP("PCS-OzTL45",ARBOR!$A:$C,3,0),"Maior que CAP!",IF((DOLLAR(BT10+(VLOOKUP("PCS-OzTL45",ARBOR!$A:$C,3,0)*-TRUNC(BT10/VLOOKUP("PCS-OzTL45",ARBOR!$A:$C,3,0)-1,4)),6))&lt;&gt;(DOLLAR(VLOOKUP("PCS-OzTL45",ARBOR!$A:$C,3,0),6)),-TRUNC(BT10/VLOOKUP("PCS-OzTL45",ARBOR!$A:$C,3,0)-1,4)+0.0001,-TRUNC(BT10/VLOOKUP("PCS-OzTL45",ARBOR!$A:$C,3,0)-1,4)))))</f>
        <v/>
      </c>
      <c r="BV10" s="28" t="str">
        <f>IF(ISERROR(IF(BU10="","",VLOOKUP((BC10&amp;BU10&amp;"Template desconto FLAT Plano Principal Oi TV nível conta"),BENEFICIOS!$A:$G,5,0))),"Criar",IF(BU10="","",VLOOKUP((BC10&amp;BU10&amp;"Template desconto FLAT Plano Principal Oi TV nível conta"),BENEFICIOS!$A:$G,5,0)))</f>
        <v/>
      </c>
      <c r="BW10" s="8"/>
      <c r="BX10" s="3" t="str">
        <f>IF(BW10=0,"",IF(BW10=VLOOKUP("PCS-OzTL741",ARBOR!$A:$C,3,0),0.0001,IF(BW10&gt;VLOOKUP("PCS-OzTL741",ARBOR!$A:$C,3,0),"Maior que CAP!",IF((DOLLAR(BW10+(VLOOKUP("PCS-OzTL741",ARBOR!$A:$C,3,0)*-TRUNC(BW10/VLOOKUP("PCS-OzTL741",ARBOR!$A:$C,3,0)-1,4)),6))&lt;&gt;(DOLLAR(VLOOKUP("PCS-OzTL741",ARBOR!$A:$C,3,0),6)),-TRUNC(BW10/VLOOKUP("PCS-OzTL741",ARBOR!$A:$C,3,0)-1,4)+0.0001,-TRUNC(BW10/VLOOKUP("PCS-OzTL741",ARBOR!$A:$C,3,0)-1,4)))))</f>
        <v/>
      </c>
      <c r="BY10" s="28" t="str">
        <f>IF(ISERROR(IF(BX10="","",VLOOKUP((BC10&amp;BX10&amp;"Template desconto FLAT Plano Principal Oi TV nível conta"),BENEFICIOS!$A:$G,5,0))),"Criar",IF(BX10="","",VLOOKUP((BC10&amp;BX10&amp;"Template desconto FLAT Plano Principal Oi TV nível conta"),BENEFICIOS!$A:$G,5,0)))</f>
        <v/>
      </c>
      <c r="BZ10" s="8"/>
      <c r="CA10" s="3" t="str">
        <f>IF(BZ10=0,"",IF(BZ10=VLOOKUP("PCS-OzTL744",ARBOR!$A:$C,3,0),0.0001,IF(BZ10&gt;VLOOKUP("PCS-OzTL744",ARBOR!$A:$C,3,0),"Maior que CAP!",IF((DOLLAR(BZ10+(VLOOKUP("PCS-OzTL744",ARBOR!$A:$C,3,0)*-TRUNC(BZ10/VLOOKUP("PCS-OzTL744",ARBOR!$A:$C,3,0)-1,4)),6))&lt;&gt;(DOLLAR(VLOOKUP("PCS-OzTL744",ARBOR!$A:$C,3,0),6)),-TRUNC(BZ10/VLOOKUP("PCS-OzTL744",ARBOR!$A:$C,3,0)-1,4)+0.0001,-TRUNC(BZ10/VLOOKUP("PCS-OzTL744",ARBOR!$A:$C,3,0)-1,4)))))</f>
        <v/>
      </c>
      <c r="CB10" s="28" t="str">
        <f>IF(ISERROR(IF(CA10="","",VLOOKUP(($BC10&amp;CA10&amp;"Template desconto FLAT Plano Principal Oi TV nível conta"),BENEFICIOS!$A:$G,5,0))),"Criar",IF(CA10="","",VLOOKUP(($BC10&amp;CA10&amp;"Template desconto FLAT Plano Principal Oi TV nível conta"),BENEFICIOS!$A:$G,5,0)))</f>
        <v/>
      </c>
      <c r="CC10" s="8"/>
      <c r="CD10" s="3" t="str">
        <f>IF(CC10=0,"",IF(CC10=VLOOKUP("PCS-OzTL743",ARBOR!$A:$C,3,0),0.0001,IF(CC10&gt;VLOOKUP("PCS-OzTL743",ARBOR!$A:$C,3,0),"Maior que CAP!",IF((DOLLAR(CC10+(VLOOKUP("PCS-OzTL743",ARBOR!$A:$C,3,0)*-TRUNC(CC10/VLOOKUP("PCS-OzTL743",ARBOR!$A:$C,3,0)-1,4)),6))&lt;&gt;(DOLLAR(VLOOKUP("PCS-OzTL743",ARBOR!$A:$C,3,0),6)),-TRUNC(CC10/VLOOKUP("PCS-OzTL743",ARBOR!$A:$C,3,0)-1,4)+0.0001,-TRUNC(CC10/VLOOKUP("PCS-OzTL743",ARBOR!$A:$C,3,0)-1,4)))))</f>
        <v/>
      </c>
      <c r="CE10" s="28" t="str">
        <f>IF(ISERROR(IF(CD10="","",VLOOKUP(($BC10&amp;CD10&amp;"Template desconto FLAT Plano Principal Oi TV nível conta"),BENEFICIOS!$A:$G,5,0))),"Criar",IF(CD10="","",VLOOKUP(($BC10&amp;CD10&amp;"Template desconto FLAT Plano Principal Oi TV nível conta"),BENEFICIOS!$A:$G,5,0)))</f>
        <v/>
      </c>
      <c r="CF10" s="8"/>
      <c r="CG10" s="3" t="str">
        <f>IF(CF10=0,"",IF(CF10=VLOOKUP("PCS-OzTL745",ARBOR!$A:$C,3,0),0.0001,IF(CF10&gt;VLOOKUP("PCS-OzTL745",ARBOR!$A:$C,3,0),"Maior que CAP!",IF((DOLLAR(CF10+(VLOOKUP("PCS-OzTL745",ARBOR!$A:$C,3,0)*-TRUNC(CF10/VLOOKUP("PCS-OzTL745",ARBOR!$A:$C,3,0)-1,4)),6))&lt;&gt;(DOLLAR(VLOOKUP("PCS-OzTL745",ARBOR!$A:$C,3,0),6)),-TRUNC(CF10/VLOOKUP("PCS-OzTL745",ARBOR!$A:$C,3,0)-1,4)+0.0001,-TRUNC(CF10/VLOOKUP("PCS-OzTL745",ARBOR!$A:$C,3,0)-1,4)))))</f>
        <v/>
      </c>
      <c r="CH10" s="28" t="str">
        <f>IF(ISERROR(IF(CG10="","",VLOOKUP(($BC10&amp;CG10&amp;"Template desconto FLAT Plano Principal Oi TV nível conta"),BENEFICIOS!$A:$G,5,0))),"Criar",IF(CG10="","",VLOOKUP(($BC10&amp;CG10&amp;"Template desconto FLAT Plano Principal Oi TV nível conta"),BENEFICIOS!$A:$G,5,0)))</f>
        <v/>
      </c>
      <c r="CI10" s="8"/>
      <c r="CJ10" s="3" t="str">
        <f>IF(CI10=0,"",IF(CI10=VLOOKUP("PCS-OzTL42",ARBOR!$A:$C,3,0),0.0001,IF(CI10&gt;VLOOKUP("PCS-OzTL42",ARBOR!$A:$C,3,0),"Maior que CAP!",IF((DOLLAR(CI10+(VLOOKUP("PCS-OzTL42",ARBOR!$A:$C,3,0)*-TRUNC(CI10/VLOOKUP("PCS-OzTL42",ARBOR!$A:$C,3,0)-1,4)),6))&lt;&gt;(DOLLAR(VLOOKUP("PCS-OzTL42",ARBOR!$A:$C,3,0),6)),-TRUNC(CI10/VLOOKUP("PCS-OzTL42",ARBOR!$A:$C,3,0)-1,4)+0.0001,-TRUNC(CI10/VLOOKUP("PCS-OzTL42",ARBOR!$A:$C,3,0)-1,4)))))</f>
        <v/>
      </c>
      <c r="CK10" s="28" t="str">
        <f>IF(ISERROR(IF(CJ10="","",VLOOKUP(($BC10&amp;CJ10&amp;"Template desconto FLAT Plano Principal Oi TV nível conta"),BENEFICIOS!$A:$G,5,0))),"Criar",IF(CJ10="","",VLOOKUP(($BC10&amp;CJ10&amp;"Template desconto FLAT Plano Principal Oi TV nível conta"),BENEFICIOS!$A:$G,5,0)))</f>
        <v/>
      </c>
      <c r="CL10" s="8"/>
      <c r="CM10" s="3" t="str">
        <f>IF(CL10=0,"",IF(CL10=VLOOKUP("PCS-OzTL47",ARBOR!$A:$C,3,0),0.0001,IF(CL10&gt;VLOOKUP("PCS-OzTL47",ARBOR!$A:$C,3,0),"Maior que CAP!",IF((DOLLAR(CL10+(VLOOKUP("PCS-OzTL47",ARBOR!$A:$C,3,0)*-TRUNC(CL10/VLOOKUP("PCS-OzTL47",ARBOR!$A:$C,3,0)-1,4)),6))&lt;&gt;(DOLLAR(VLOOKUP("PCS-OzTL47",ARBOR!$A:$C,3,0),6)),-TRUNC(CL10/VLOOKUP("PCS-OzTL47",ARBOR!$A:$C,3,0)-1,4)+0.0001,-TRUNC(CL10/VLOOKUP("PCS-OzTL47",ARBOR!$A:$C,3,0)-1,4)))))</f>
        <v/>
      </c>
      <c r="CN10" s="28" t="str">
        <f>IF(ISERROR(IF(CM10="","",VLOOKUP(($BC10&amp;CM10&amp;"Template desconto FLAT Plano Principal Oi TV nível conta"),BENEFICIOS!$A:$G,5,0))),"Criar",IF(CM10="","",VLOOKUP(($BC10&amp;CM10&amp;"Template desconto FLAT Plano Principal Oi TV nível conta"),BENEFICIOS!$A:$G,5,0)))</f>
        <v/>
      </c>
      <c r="CO10" s="8"/>
      <c r="CP10" s="3" t="str">
        <f>IF(CO10=0,"",IF(CO10=VLOOKUP("PCS-OzTL46",ARBOR!$A:$C,3,0),0.0001,IF(CO10&gt;VLOOKUP("PCS-OzTL46",ARBOR!$A:$C,3,0),"Maior que CAP!",IF((DOLLAR(CO10+(VLOOKUP("PCS-OzTL46",ARBOR!$A:$C,3,0)*-TRUNC(CO10/VLOOKUP("PCS-OzTL46",ARBOR!$A:$C,3,0)-1,4)),6))&lt;&gt;(DOLLAR(VLOOKUP("PCS-OzTL46",ARBOR!$A:$C,3,0),6)),-TRUNC(CO10/VLOOKUP("PCS-OzTL46",ARBOR!$A:$C,3,0)-1,4)+0.0001,-TRUNC(CO10/VLOOKUP("PCS-OzTL46",ARBOR!$A:$C,3,0)-1,4)))))</f>
        <v/>
      </c>
      <c r="CQ10" s="28" t="str">
        <f>IF(ISERROR(IF(CP10="","",VLOOKUP(($BC10&amp;CP10&amp;"Template desconto FLAT Plano Principal Oi TV nível conta"),BENEFICIOS!$A:$G,5,0))),"Criar",IF(CP10="","",VLOOKUP(($BC10&amp;CP10&amp;"Template desconto FLAT Plano Principal Oi TV nível conta"),BENEFICIOS!$A:$G,5,0)))</f>
        <v/>
      </c>
      <c r="CR10" s="8"/>
      <c r="CS10" s="3" t="str">
        <f>IF(CR10=0,"",IF(CR10=VLOOKUP("PCS-OzTL48",ARBOR!$A:$C,3,0),0.0001,IF(CR10&gt;VLOOKUP("PCS-OzTL48",ARBOR!$A:$C,3,0),"Maior que CAP!",IF((DOLLAR(CR10+(VLOOKUP("PCS-OzTL48",ARBOR!$A:$C,3,0)*-TRUNC(CR10/VLOOKUP("PCS-OzTL48",ARBOR!$A:$C,3,0)-1,4)),6))&lt;&gt;(DOLLAR(VLOOKUP("PCS-OzTL48",ARBOR!$A:$C,3,0),6)),-TRUNC(CR10/VLOOKUP("PCS-OzTL48",ARBOR!$A:$C,3,0)-1,4)+0.0001,-TRUNC(CR10/VLOOKUP("PCS-OzTL48",ARBOR!$A:$C,3,0)-1,4)))))</f>
        <v/>
      </c>
      <c r="CT10" s="28" t="str">
        <f>IF(ISERROR(IF(CS10="","",VLOOKUP(($BC10&amp;CS10&amp;"Template desconto FLAT Plano Principal Oi TV nível conta"),BENEFICIOS!$A:$G,5,0))),"Criar",IF(CS10="","",VLOOKUP(($BC10&amp;CS10&amp;"Template desconto FLAT Plano Principal Oi TV nível conta"),BENEFICIOS!$A:$G,5,0)))</f>
        <v/>
      </c>
      <c r="CU10" s="8"/>
      <c r="CV10" s="3" t="str">
        <f>IF(CU10=0,"",IF(CU10=VLOOKUP("PCS-OzTL742",ARBOR!$A:$C,3,0),0.0001,IF(CU10&gt;VLOOKUP("PCS-OzTL742",ARBOR!$A:$C,3,0),"Maior que CAP!",IF((DOLLAR(CU10+(VLOOKUP("PCS-OzTL742",ARBOR!$A:$C,3,0)*-TRUNC(CU10/VLOOKUP("PCS-OzTL742",ARBOR!$A:$C,3,0)-1,4)),6))&lt;&gt;(DOLLAR(VLOOKUP("PCS-OzTL742",ARBOR!$A:$C,3,0),6)),-TRUNC(CU10/VLOOKUP("PCS-OzTL742",ARBOR!$A:$C,3,0)-1,4)+0.0001,-TRUNC(CU10/VLOOKUP("PCS-OzTL742",ARBOR!$A:$C,3,0)-1,4)))))</f>
        <v/>
      </c>
      <c r="CW10" s="28" t="str">
        <f>IF(ISERROR(IF(CV10="","",VLOOKUP(($BC10&amp;CV10&amp;"Template desconto FLAT Plano Principal Oi TV nível conta"),BENEFICIOS!$A:$G,5,0))),"Criar",IF(CV10="","",VLOOKUP(($BC10&amp;CV10&amp;"Template desconto FLAT Plano Principal Oi TV nível conta"),BENEFICIOS!$A:$G,5,0)))</f>
        <v/>
      </c>
      <c r="CX10" s="8"/>
      <c r="CY10" s="3" t="str">
        <f>IF(CX10=0,"",IF(CX10=VLOOKUP("PCS-OzTL747",ARBOR!$A:$C,3,0),0.0001,IF(CX10&gt;VLOOKUP("PCS-OzTL747",ARBOR!$A:$C,3,0),"Maior que CAP!",IF((DOLLAR(CX10+(VLOOKUP("PCS-OzTL747",ARBOR!$A:$C,3,0)*-TRUNC(CX10/VLOOKUP("PCS-OzTL747",ARBOR!$A:$C,3,0)-1,4)),6))&lt;&gt;(DOLLAR(VLOOKUP("PCS-OzTL747",ARBOR!$A:$C,3,0),6)),-TRUNC(CX10/VLOOKUP("PCS-OzTL747",ARBOR!$A:$C,3,0)-1,4)+0.0001,-TRUNC(CX10/VLOOKUP("PCS-OzTL747",ARBOR!$A:$C,3,0)-1,4)))))</f>
        <v/>
      </c>
      <c r="CZ10" s="28" t="str">
        <f>IF(ISERROR(IF(CY10="","",VLOOKUP(($BC10&amp;CY10&amp;"Template desconto FLAT Plano Principal Oi TV nível conta"),BENEFICIOS!$A:$G,5,0))),"Criar",IF(CY10="","",VLOOKUP(($BC10&amp;CY10&amp;"Template desconto FLAT Plano Principal Oi TV nível conta"),BENEFICIOS!$A:$G,5,0)))</f>
        <v/>
      </c>
      <c r="DA10" s="8"/>
      <c r="DB10" s="3" t="str">
        <f>IF(DA10=0,"",IF(DA10=VLOOKUP("PCS-OzTL746",ARBOR!$A:$C,3,0),0.0001,IF(DA10&gt;VLOOKUP("PCS-OzTL746",ARBOR!$A:$C,3,0),"Maior que CAP!",IF((DOLLAR(DA10+(VLOOKUP("PCS-OzTL746",ARBOR!$A:$C,3,0)*-TRUNC(DA10/VLOOKUP("PCS-OzTL746",ARBOR!$A:$C,3,0)-1,4)),6))&lt;&gt;(DOLLAR(VLOOKUP("PCS-OzTL746",ARBOR!$A:$C,3,0),6)),-TRUNC(DA10/VLOOKUP("PCS-OzTL746",ARBOR!$A:$C,3,0)-1,4)+0.0001,-TRUNC(DA10/VLOOKUP("PCS-OzTL746",ARBOR!$A:$C,3,0)-1,4)))))</f>
        <v/>
      </c>
      <c r="DC10" s="28" t="str">
        <f>IF(ISERROR(IF(DB10="","",VLOOKUP(($BC10&amp;DB10&amp;"Template desconto FLAT Plano Principal Oi TV nível conta"),BENEFICIOS!$A:$G,5,0))),"Criar",IF(DB10="","",VLOOKUP(($BC10&amp;DB10&amp;"Template desconto FLAT Plano Principal Oi TV nível conta"),BENEFICIOS!$A:$G,5,0)))</f>
        <v/>
      </c>
      <c r="DD10" s="8"/>
      <c r="DE10" s="3" t="str">
        <f>IF(DD10=0,"",IF(DD10=VLOOKUP("PCS-OzTL748",ARBOR!$A:$C,3,0),0.0001,IF(DD10&gt;VLOOKUP("PCS-OzTL748",ARBOR!$A:$C,3,0),"Maior que CAP!",IF((DOLLAR(DD10+(VLOOKUP("PCS-OzTL748",ARBOR!$A:$C,3,0)*-TRUNC(DD10/VLOOKUP("PCS-OzTL748",ARBOR!$A:$C,3,0)-1,4)),6))&lt;&gt;(DOLLAR(VLOOKUP("PCS-OzTL748",ARBOR!$A:$C,3,0),6)),-TRUNC(DD10/VLOOKUP("PCS-OzTL748",ARBOR!$A:$C,3,0)-1,4)+0.0001,-TRUNC(DD10/VLOOKUP("PCS-OzTL748",ARBOR!$A:$C,3,0)-1,4)))))</f>
        <v/>
      </c>
      <c r="DF10" s="28" t="str">
        <f>IF(ISERROR(IF(DE10="","",VLOOKUP(($BC10&amp;DE10&amp;"Template desconto FLAT Plano Principal Oi TV nível conta"),BENEFICIOS!$A:$G,5,0))),"Criar",IF(DE10="","",VLOOKUP(($BC10&amp;DE10&amp;"Template desconto FLAT Plano Principal Oi TV nível conta"),BENEFICIOS!$A:$G,5,0)))</f>
        <v/>
      </c>
      <c r="DG10" s="8"/>
      <c r="DH10" s="3" t="str">
        <f>IF(DG10=0,"",IF(DG10=VLOOKUP("PCS-OzTL34",ARBOR!$A:$C,3,0),0.0001,IF(DG10&gt;VLOOKUP("PCS-OzTL34",ARBOR!$A:$C,3,0),"Maior que CAP!",IF((DOLLAR(DG10+(VLOOKUP("PCS-OzTL34",ARBOR!$A:$C,3,0)*-TRUNC(DG10/VLOOKUP("PCS-OzTL34",ARBOR!$A:$C,3,0)-1,4)),6))&lt;&gt;(DOLLAR(VLOOKUP("PCS-OzTL34",ARBOR!$A:$C,3,0),6)),-TRUNC(DG10/VLOOKUP("PCS-OzTL34",ARBOR!$A:$C,3,0)-1,4)+0.0001,-TRUNC(DG10/VLOOKUP("PCS-OzTL34",ARBOR!$A:$C,3,0)-1,4)))))</f>
        <v/>
      </c>
      <c r="DI10" s="28" t="str">
        <f>IF(DH10="S/Desc","S/Desc",IF(ISERROR(IF(DH10="","",VLOOKUP(($BC10&amp;DH10&amp;"Template desconto % Combate nível conta"),BENEFICIOS!$A:$G,5,0))),"Criar",IF(DH10="","",VLOOKUP(($BC10&amp;DH10&amp;"Template desconto % Combate nível conta"),BENEFICIOS!$A:$G,5,0))))</f>
        <v/>
      </c>
      <c r="DJ10" s="8"/>
      <c r="DK10" s="3" t="str">
        <f>IF(DJ10=0,"",IF(DJ10=VLOOKUP("PCS-OzTL31",ARBOR!$A:$C,3,0),0.0001,IF(DJ10&gt;VLOOKUP("PCS-OzTL31",ARBOR!$A:$C,3,0),"Maior que CAP!",IF((DOLLAR(DJ10+(VLOOKUP("PCS-OzTL31",ARBOR!$A:$C,3,0)*-TRUNC(DJ10/VLOOKUP("PCS-OzTL31",ARBOR!$A:$C,3,0)-1,4)),6))&lt;&gt;(DOLLAR(VLOOKUP("PCS-OzTL31",ARBOR!$A:$C,3,0),6)),-TRUNC(DJ10/VLOOKUP("PCS-OzTL31",ARBOR!$A:$C,3,0)-1,4)+0.0001,-TRUNC(DJ10/VLOOKUP("PCS-OzTL31",ARBOR!$A:$C,3,0)-1,4)))))</f>
        <v/>
      </c>
      <c r="DL10" s="28" t="str">
        <f>IF(DK10="S/Desc","S/Desc",IF(ISERROR(IF(DK10="","",VLOOKUP(($BC10&amp;DK10&amp;"Template desconto % Sexy Hot nível conta"),BENEFICIOS!$A:$G,5,0))),"Criar",IF(DK10="","",VLOOKUP(($BC10&amp;DK10&amp;"Template desconto % Sexy Hot nível conta"),BENEFICIOS!$A:$G,5,0))))</f>
        <v/>
      </c>
      <c r="DM10" s="8"/>
      <c r="DN10" s="3" t="str">
        <f>IF(DM10=0,"",IF(DM10=VLOOKUP("PCS-OzTL32",ARBOR!$A:$C,3,0),0.0001,IF(DM10&gt;VLOOKUP("PCS-OzTL32",ARBOR!$A:$C,3,0),"Maior que CAP!",IF((DOLLAR(DM10+(VLOOKUP("PCS-OzTL32",ARBOR!$A:$C,3,0)*-TRUNC(DM10/VLOOKUP("PCS-OzTL32",ARBOR!$A:$C,3,0)-1,4)),6))&lt;&gt;(DOLLAR(VLOOKUP("PCS-OzTL32",ARBOR!$A:$C,3,0),6)),-TRUNC(DM10/VLOOKUP("PCS-OzTL32",ARBOR!$A:$C,3,0)-1,4)+0.0001,-TRUNC(DM10/VLOOKUP("PCS-OzTL32",ARBOR!$A:$C,3,0)-1,4)))))</f>
        <v/>
      </c>
      <c r="DO10" s="28" t="str">
        <f>IF(DN10="S/Desc","S/Desc",IF(ISERROR(IF(DN10="","",VLOOKUP(($BC10&amp;DN10&amp;"Template desconto % Playboy nível conta"),BENEFICIOS!$A:$G,5,0))),"Criar",IF(DN10="","",VLOOKUP(($BC10&amp;DN10&amp;"Template desconto % Playboy nível conta"),BENEFICIOS!$A:$G,5,0))))</f>
        <v/>
      </c>
      <c r="DP10" s="8"/>
      <c r="DQ10" s="3" t="str">
        <f>IF(DP10=0,"",IF(DP10=VLOOKUP("PCS-OzTL33",ARBOR!$A:$C,3,0),0.0001,IF(DP10&gt;VLOOKUP("PCS-OzTL33",ARBOR!$A:$C,3,0),"Maior que CAP!",IF((DOLLAR(DP10+(VLOOKUP("PCS-OzTL33",ARBOR!$A:$C,3,0)*-TRUNC(DP10/VLOOKUP("PCS-OzTL33",ARBOR!$A:$C,3,0)-1,4)),6))&lt;&gt;(DOLLAR(VLOOKUP("PCS-OzTL33",ARBOR!$A:$C,3,0),6)),-TRUNC(DP10/VLOOKUP("PCS-OzTL33",ARBOR!$A:$C,3,0)-1,4)+0.0001,-TRUNC(DP10/VLOOKUP("PCS-OzTL33",ARBOR!$A:$C,3,0)-1,4)))))</f>
        <v/>
      </c>
      <c r="DR10" s="28" t="str">
        <f>IF(DQ10="S/Desc","S/Desc",IF(ISERROR(IF(DQ10="","",VLOOKUP(($BC10&amp;DQ10&amp;"Template desconto % Sexy Hot + Playboy nível conta"),BENEFICIOS!$A:$G,5,0))),"Criar",IF(DQ10="","",VLOOKUP(($BC10&amp;DQ10&amp;"Template desconto % Sexy Hot + Playboy nível conta"),BENEFICIOS!$A:$G,5,0))))</f>
        <v/>
      </c>
      <c r="DS10" s="8"/>
      <c r="DT10" s="3" t="str">
        <f>IF(DS10=0,"",IF(DS10=VLOOKUP("PCS-OzTL503",ARBOR!$A:$C,3,0),0.0001,IF(DS10&gt;VLOOKUP("PCS-OzTL503",ARBOR!$A:$C,3,0),"Maior que CAP!",IF((DOLLAR(DS10+(VLOOKUP("PCS-OzTL503",ARBOR!$A:$C,3,0)*-TRUNC(DS10/VLOOKUP("PCS-OzTL503",ARBOR!$A:$C,3,0)-1,4)),6))&lt;&gt;(DOLLAR(VLOOKUP("PCS-OzTL503",ARBOR!$A:$C,3,0),6)),-TRUNC(DS10/VLOOKUP("PCS-OzTL503",ARBOR!$A:$C,3,0)-1,4)+0.0001,-TRUNC(DS10/VLOOKUP("PCS-OzTL503",ARBOR!$A:$C,3,0)-1,4)))))</f>
        <v/>
      </c>
      <c r="DU10" s="28" t="str">
        <f>IF(DT10="S/Desc","S/Desc",IF(ISERROR(IF(DT10="","",VLOOKUP(($BC10&amp;DT10&amp;"Template desconto % SexPrivê nível conta"),BENEFICIOS!$A:$G,5,0))),"Criar",IF(DT10="","",VLOOKUP(($BC10&amp;DT10&amp;"Template desconto % SexPrivê nível conta"),BENEFICIOS!$A:$G,5,0))))</f>
        <v/>
      </c>
      <c r="DV10" s="8"/>
      <c r="DW10" s="3" t="str">
        <f>IF(DV10=0,"",IF(DV10=VLOOKUP("PCS-OzTL500",ARBOR!$A:$C,3,0),0.0001,IF(DV10&gt;VLOOKUP("PCS-OzTL500",ARBOR!$A:$C,3,0),"Maior que CAP!",IF((DOLLAR(DV10+(VLOOKUP("PCS-OzTL500",ARBOR!$A:$C,3,0)*-TRUNC(DV10/VLOOKUP("PCS-OzTL500",ARBOR!$A:$C,3,0)-1,4)),6))&lt;&gt;(DOLLAR(VLOOKUP("PCS-OzTL500",ARBOR!$A:$C,3,0),6)),-TRUNC(DV10/VLOOKUP("PCS-OzTL500",ARBOR!$A:$C,3,0)-1,4)+0.0001,-TRUNC(DV10/VLOOKUP("PCS-OzTL500",ARBOR!$A:$C,3,0)-1,4)))))</f>
        <v/>
      </c>
      <c r="DX10" s="28" t="str">
        <f>IF(DW10="S/Desc","S/Desc",IF(ISERROR(IF(DW10="","",VLOOKUP(($BC10&amp;DW10&amp;"Template desconto % Étnico nível conta"),BENEFICIOS!$A:$G,5,0))),"Criar",IF(DW10="","",VLOOKUP(($BC10&amp;DW10&amp;"Template desconto % Étnico nível conta"),BENEFICIOS!$A:$G,5,0))))</f>
        <v/>
      </c>
      <c r="DY10" s="8"/>
      <c r="DZ10" s="181" t="str">
        <f>IF(DY10=0,"",IF(DY10=VLOOKUP("PCS-OzTL50",ARBOR!$A:$C,3,0),0.0001,IF(DY10&gt;VLOOKUP("PCS-OzTL50",ARBOR!$A:$C,3,0),"Maior que CAP!",IF((DOLLAR(DY10+(VLOOKUP("PCS-OzTL50",ARBOR!$A:$C,3,0)*-TRUNC(DY10/VLOOKUP("PCS-OzTL50",ARBOR!$A:$C,3,0)-1,4)),6))&lt;&gt;(DOLLAR(VLOOKUP("PCS-OzTL50",ARBOR!$A:$C,3,0),6)),-TRUNC(DY10/VLOOKUP("PCS-OzTL50",ARBOR!$A:$C,3,0)-1,4)+0.0001,-TRUNC(DY10/VLOOKUP("PCS-OzTL50",ARBOR!$A:$C,3,0)-1,4)))))</f>
        <v/>
      </c>
      <c r="EA10" s="28"/>
      <c r="EB10" s="8"/>
      <c r="EC10" s="181" t="str">
        <f>IF(EB10=0,"",IF(EB10=VLOOKUP("PCS-OzTL51",ARBOR!$A:$C,3,0),0.0001,IF(EB10&gt;VLOOKUP("PCS-OzTL51",ARBOR!$A:$C,3,0),"Maior que CAP!",IF((DOLLAR(EB10+(VLOOKUP("PCS-OzTL51",ARBOR!$A:$C,3,0)*-TRUNC(EB10/VLOOKUP("PCS-OzTL51",ARBOR!$A:$C,3,0)-1,4)),6))&lt;&gt;(DOLLAR(VLOOKUP("PCS-OzTL51",ARBOR!$A:$C,3,0),6)),-TRUNC(EB10/VLOOKUP("PCS-OzTL51",ARBOR!$A:$C,3,0)-1,4)+0.0001,-TRUNC(EB10/VLOOKUP("PCS-OzTL51",ARBOR!$A:$C,3,0)-1,4)))))</f>
        <v/>
      </c>
      <c r="ED10" s="28"/>
      <c r="EE10" s="8"/>
      <c r="EF10" s="181" t="str">
        <f>IF(EE10=0,"",IF(EE10=VLOOKUP("PCS-OzTL52",ARBOR!$A:$C,3,0),0.0001,IF(EE10&gt;VLOOKUP("PCS-OzTL52",ARBOR!$A:$C,3,0),"Maior que CAP!",IF((DOLLAR(EE10+(VLOOKUP("PCS-OzTL52",ARBOR!$A:$C,3,0)*-TRUNC(EE10/VLOOKUP("PCS-OzTL52",ARBOR!$A:$C,3,0)-1,4)),6))&lt;&gt;(DOLLAR(VLOOKUP("PCS-OzTL52",ARBOR!$A:$C,3,0),6)),-TRUNC(EE10/VLOOKUP("PCS-OzTL52",ARBOR!$A:$C,3,0)-1,4)+0.0001,-TRUNC(EE10/VLOOKUP("PCS-OzTL52",ARBOR!$A:$C,3,0)-1,4)))))</f>
        <v/>
      </c>
      <c r="EG10" s="28"/>
      <c r="EH10" s="8"/>
      <c r="EI10" s="181" t="str">
        <f>IF(EH10=0,"",IF(EH10=VLOOKUP("PCS-OzTL53",ARBOR!$A:$C,3,0),0.0001,IF(EH10&gt;VLOOKUP("PCS-OzTL53",ARBOR!$A:$C,3,0),"Maior que CAP!",IF((DOLLAR(EH10+(VLOOKUP("PCS-OzTL53",ARBOR!$A:$C,3,0)*-TRUNC(EH10/VLOOKUP("PCS-OzTL53",ARBOR!$A:$C,3,0)-1,4)),6))&lt;&gt;(DOLLAR(VLOOKUP("PCS-OzTL53",ARBOR!$A:$C,3,0),6)),-TRUNC(EH10/VLOOKUP("PCS-OzTL53",ARBOR!$A:$C,3,0)-1,4)+0.0001,-TRUNC(EH10/VLOOKUP("PCS-OzTL53",ARBOR!$A:$C,3,0)-1,4)))))</f>
        <v/>
      </c>
      <c r="EJ10" s="28"/>
      <c r="EK10" s="8"/>
      <c r="EL10" s="181" t="str">
        <f>IF(EK10=0,"",IF(EK10=VLOOKUP("PCS-OzTL54",ARBOR!$A:$C,3,0),0.0001,IF(EK10&gt;VLOOKUP("PCS-OzTL54",ARBOR!$A:$C,3,0),"Maior que CAP!",IF((DOLLAR(EK10+(VLOOKUP("PCS-OzTL54",ARBOR!$A:$C,3,0)*-TRUNC(EK10/VLOOKUP("PCS-OzTL54",ARBOR!$A:$C,3,0)-1,4)),6))&lt;&gt;(DOLLAR(VLOOKUP("PCS-OzTL54",ARBOR!$A:$C,3,0),6)),-TRUNC(EK10/VLOOKUP("PCS-OzTL54",ARBOR!$A:$C,3,0)-1,4)+0.0001,-TRUNC(EK10/VLOOKUP("PCS-OzTL54",ARBOR!$A:$C,3,0)-1,4)))))</f>
        <v/>
      </c>
      <c r="EM10" s="28"/>
      <c r="EN10" s="8"/>
      <c r="EO10" s="3" t="str">
        <f>IF(EN10=0,"",IF(EN10=VLOOKUP("PCS-OzTL99",ARBOR!$A:$C,3,0),0.0001,IF(EN10&gt;VLOOKUP("PCS-OzTL99",ARBOR!$A:$C,3,0),"Maior que CAP!",IF((DOLLAR(EN10+(VLOOKUP("PCS-OzTL99",ARBOR!$A:$C,3,0)*-TRUNC(EN10/VLOOKUP("PCS-OzTL99",ARBOR!$A:$C,3,0)-1,4)),6))&lt;&gt;(DOLLAR(VLOOKUP("PCS-OzTL99",ARBOR!$A:$C,3,0),6)),-TRUNC(EN10/VLOOKUP("PCS-OzTL99",ARBOR!$A:$C,3,0)-1,4)+0.0001,-TRUNC(EN10/VLOOKUP("PCS-OzTL99",ARBOR!$A:$C,3,0)-1,4)))))</f>
        <v/>
      </c>
      <c r="EP10" s="28" t="str">
        <f>IF(EO10="S/Desc","S/Desc",IF(ISERROR(IF(EO10="","",VLOOKUP(($BC10&amp;EO10&amp;"Template desconto % Ponto adicional nível conta"),BENEFICIOS!$A:$G,5,0))),"Criar",IF(EO10="","",VLOOKUP(($BC10&amp;EO10&amp;"Template desconto % Ponto adicional nível conta"),BENEFICIOS!$A:$G,5,0))))</f>
        <v/>
      </c>
      <c r="EQ10" s="8"/>
      <c r="ER10" s="28" t="str">
        <f t="shared" si="1"/>
        <v/>
      </c>
      <c r="ES10" s="62"/>
      <c r="ET10" s="126"/>
      <c r="EU10" s="127"/>
      <c r="EV10" s="126"/>
      <c r="EW10" s="128" t="str">
        <f t="shared" si="2"/>
        <v/>
      </c>
      <c r="EX10" s="129" t="str">
        <f t="shared" si="3"/>
        <v/>
      </c>
      <c r="EY10" s="91" t="str">
        <f t="shared" si="4"/>
        <v/>
      </c>
      <c r="EZ10" s="85"/>
      <c r="FA10" s="97"/>
      <c r="FB10" s="91"/>
      <c r="FC10" s="85"/>
      <c r="FD10" s="97"/>
      <c r="FE10" s="91"/>
      <c r="FF10" s="87"/>
      <c r="FG10" s="144" t="str">
        <f t="shared" si="5"/>
        <v/>
      </c>
      <c r="FH10" s="144" t="str">
        <f t="shared" si="6"/>
        <v/>
      </c>
      <c r="FI10" s="144" t="str">
        <f t="shared" si="7"/>
        <v/>
      </c>
      <c r="FJ10" s="144" t="str">
        <f t="shared" si="8"/>
        <v/>
      </c>
      <c r="FK10" s="144" t="str">
        <f t="shared" si="9"/>
        <v/>
      </c>
      <c r="FL10" s="144" t="str">
        <f t="shared" si="10"/>
        <v/>
      </c>
      <c r="FM10" s="144" t="str">
        <f t="shared" si="11"/>
        <v/>
      </c>
      <c r="FN10" s="144" t="str">
        <f t="shared" si="12"/>
        <v/>
      </c>
      <c r="FO10" s="144" t="str">
        <f t="shared" si="13"/>
        <v/>
      </c>
      <c r="FP10" s="144" t="str">
        <f t="shared" si="14"/>
        <v/>
      </c>
      <c r="FQ10" s="144" t="str">
        <f t="shared" si="15"/>
        <v/>
      </c>
      <c r="FR10" s="144" t="str">
        <f t="shared" si="16"/>
        <v/>
      </c>
      <c r="FS10" s="144" t="str">
        <f t="shared" si="17"/>
        <v/>
      </c>
      <c r="FT10" s="144" t="str">
        <f t="shared" si="18"/>
        <v/>
      </c>
      <c r="FU10" s="144" t="str">
        <f t="shared" si="19"/>
        <v/>
      </c>
      <c r="FV10" s="144" t="str">
        <f t="shared" si="20"/>
        <v/>
      </c>
      <c r="FW10" s="144" t="str">
        <f t="shared" si="21"/>
        <v/>
      </c>
      <c r="FX10" s="151"/>
      <c r="FY10" s="152"/>
      <c r="FZ10" s="152"/>
      <c r="GA10" s="152"/>
      <c r="GB10" s="152"/>
      <c r="GC10" s="152"/>
      <c r="GD10" s="152"/>
      <c r="GE10" s="152"/>
      <c r="GF10" s="152"/>
      <c r="GG10" s="153"/>
    </row>
    <row r="11" spans="1:189">
      <c r="A11" s="45"/>
      <c r="B11" s="133"/>
      <c r="C11" s="133"/>
      <c r="D11" s="46"/>
      <c r="E11" s="47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9"/>
      <c r="U11" s="48"/>
      <c r="V11" s="49"/>
      <c r="W11" s="48"/>
      <c r="X11" s="48"/>
      <c r="Y11" s="48"/>
      <c r="Z11" s="48"/>
      <c r="AA11" s="49"/>
      <c r="AB11" s="48"/>
      <c r="AC11" s="50"/>
      <c r="AD11" s="48"/>
      <c r="AE11" s="48"/>
      <c r="AF11" s="48"/>
      <c r="AG11" s="48"/>
      <c r="AH11" s="48"/>
      <c r="AI11" s="48"/>
      <c r="AJ11" s="48"/>
      <c r="AK11" s="48"/>
      <c r="AL11" s="51"/>
      <c r="AM11" s="37"/>
      <c r="AN11" s="38"/>
      <c r="AO11" s="39"/>
      <c r="AP11" s="52"/>
      <c r="AQ11" s="53"/>
      <c r="AR11" s="64"/>
      <c r="AS11" s="65"/>
      <c r="AT11" s="54"/>
      <c r="AU11" s="54"/>
      <c r="AV11" s="54"/>
      <c r="AW11" s="54"/>
      <c r="AX11" s="70"/>
      <c r="AY11" s="71"/>
      <c r="AZ11" s="72"/>
      <c r="BA11" s="73"/>
      <c r="BB11" s="55"/>
      <c r="BC11" s="56"/>
      <c r="BD11" s="27" t="str">
        <f t="shared" si="0"/>
        <v/>
      </c>
      <c r="BE11" s="58"/>
      <c r="BF11" s="3" t="str">
        <f>IF(BE11=0,"",IF(BE11=VLOOKUP("FIXO",ARBOR!$A:$C,3,0),0.0001,IF(BE11&gt;VLOOKUP("FIXO",ARBOR!$A:$C,3,0),"Maior que CAP!",IF((DOLLAR(BE11+(VLOOKUP("FIXO",ARBOR!$A:$C,3,0)*-TRUNC(BE11/VLOOKUP("FIXO",ARBOR!$A:$C,3,0)-1,4)),6))&lt;&gt;(DOLLAR(VLOOKUP("FIXO",ARBOR!$A:$C,3,0),6)),-TRUNC(BE11/VLOOKUP("FIXO",ARBOR!$A:$C,3,0)-1,4)+0.0001,-TRUNC(BE11/VLOOKUP("FIXO",ARBOR!$A:$C,3,0)-1,4)))))</f>
        <v/>
      </c>
      <c r="BG11" s="10" t="str">
        <f>IF(ISERROR(IF(BF11="","",VLOOKUP(($BC11&amp;BF11&amp;"Template de desconto FLAT bundle - Fixo - Varejo - Ganho Tributário Cross"),BENEFICIOS!$A:$G,5,0))),"Criar",IF(BF11="","",VLOOKUP(($BC11&amp;BF11&amp;"Template de desconto FLAT bundle - Fixo - Varejo - Ganho Tributário Cross"),BENEFICIOS!$A:$G,5,0)))</f>
        <v/>
      </c>
      <c r="BH11" s="8"/>
      <c r="BI11" s="3" t="str">
        <f>IF(BH11=0,"",IF(BH11=VLOOKUP("PCS-OzTL40",ARBOR!$A:$C,3,0),0.0001,IF(BH11&gt;VLOOKUP("PCS-OzTL40",ARBOR!$A:$C,3,0),"Maior que CAP!",IF((DOLLAR(BH11+(VLOOKUP("PCS-OzTL40",ARBOR!$A:$C,3,0)*-TRUNC(BH11/VLOOKUP("PCS-OzTL40",ARBOR!$A:$C,3,0)-1,4)),6))&lt;&gt;(DOLLAR(VLOOKUP("PCS-OzTL40",ARBOR!$A:$C,3,0),6)),-TRUNC(BH11/VLOOKUP("PCS-OzTL40",ARBOR!$A:$C,3,0)-1,4)+0.0001,-TRUNC(BH11/VLOOKUP("PCS-OzTL40",ARBOR!$A:$C,3,0)-1,4)))))</f>
        <v/>
      </c>
      <c r="BJ11" s="10" t="str">
        <f>IF(ISERROR(IF(BI11="","",VLOOKUP((BC11&amp;BI11&amp;"Template desconto FLAT Plano Principal Oi TV nível conta"),BENEFICIOS!$A:$G,5,0))),"Criar",IF(BI11="","",VLOOKUP((BC11&amp;BI11&amp;"Template desconto FLAT Plano Principal Oi TV nível conta"),BENEFICIOS!$A:$G,5,0)))</f>
        <v/>
      </c>
      <c r="BK11" s="8"/>
      <c r="BL11" s="3" t="str">
        <f>IF(BK11=0,"",IF(BK11=VLOOKUP("PCS-OzTL41",ARBOR!$A:$C,3,0),0.0001,IF(BK11&gt;VLOOKUP("PCS-OzTL41",ARBOR!$A:$C,3,0),"Maior que CAP!",IF((DOLLAR(BK11+(VLOOKUP("PCS-OzTL41",ARBOR!$A:$C,3,0)*-TRUNC(BK11/VLOOKUP("PCS-OzTL41",ARBOR!$A:$C,3,0)-1,4)),6))&lt;&gt;(DOLLAR(VLOOKUP("PCS-OzTL41",ARBOR!$A:$C,3,0),6)),-TRUNC(BK11/VLOOKUP("PCS-OzTL41",ARBOR!$A:$C,3,0)-1,4)+0.0001,-TRUNC(BK11/VLOOKUP("PCS-OzTL41",ARBOR!$A:$C,3,0)-1,4)))))</f>
        <v/>
      </c>
      <c r="BM11" s="28" t="str">
        <f>IF(ISERROR(IF(BL11="","",VLOOKUP((BC11&amp;BL11&amp;"Template desconto FLAT Plano Principal Oi TV nível conta"),BENEFICIOS!$A:$G,5,0))),"Criar",IF(BL11="","",VLOOKUP((BC11&amp;BL11&amp;"Template desconto FLAT Plano Principal Oi TV nível conta"),BENEFICIOS!$A:$G,5,0)))</f>
        <v/>
      </c>
      <c r="BN11" s="8"/>
      <c r="BO11" s="3" t="str">
        <f>IF(BN11=0,"",IF(BN11=VLOOKUP("PCS-OzTL44",ARBOR!$A:$C,3,0),0.0001,IF(BN11&gt;VLOOKUP("PCS-OzTL44",ARBOR!$A:$C,3,0),"Maior que CAP!",IF((DOLLAR(BN11+(VLOOKUP("PCS-OzTL44",ARBOR!$A:$C,3,0)*-TRUNC(BN11/VLOOKUP("PCS-OzTL44",ARBOR!$A:$C,3,0)-1,4)),6))&lt;&gt;(DOLLAR(VLOOKUP("PCS-OzTL44",ARBOR!$A:$C,3,0),6)),-TRUNC(BN11/VLOOKUP("PCS-OzTL44",ARBOR!$A:$C,3,0)-1,4)+0.0001,-TRUNC(BN11/VLOOKUP("PCS-OzTL44",ARBOR!$A:$C,3,0)-1,4)))))</f>
        <v/>
      </c>
      <c r="BP11" s="28" t="str">
        <f>IF(ISERROR(IF(BO11="","",VLOOKUP((BC11&amp;BO11&amp;"Template desconto FLAT Plano Principal Oi TV nível conta"),BENEFICIOS!$A:$G,5,0))),"Criar",IF(BO11="","",VLOOKUP((BC11&amp;BO11&amp;"Template desconto FLAT Plano Principal Oi TV nível conta"),BENEFICIOS!$A:$G,5,0)))</f>
        <v/>
      </c>
      <c r="BQ11" s="8"/>
      <c r="BR11" s="3" t="str">
        <f>IF(BQ11=0,"",IF(BQ11=VLOOKUP("PCS-OzTL43",ARBOR!$A:$C,3,0),0.0001,IF(BQ11&gt;VLOOKUP("PCS-OzTL43",ARBOR!$A:$C,3,0),"Maior que CAP!",IF((DOLLAR(BQ11+(VLOOKUP("PCS-OzTL43",ARBOR!$A:$C,3,0)*-TRUNC(BQ11/VLOOKUP("PCS-OzTL43",ARBOR!$A:$C,3,0)-1,4)),6))&lt;&gt;(DOLLAR(VLOOKUP("PCS-OzTL43",ARBOR!$A:$C,3,0),6)),-TRUNC(BQ11/VLOOKUP("PCS-OzTL43",ARBOR!$A:$C,3,0)-1,4)+0.0001,-TRUNC(BQ11/VLOOKUP("PCS-OzTL43",ARBOR!$A:$C,3,0)-1,4)))))</f>
        <v/>
      </c>
      <c r="BS11" s="28" t="str">
        <f>IF(ISERROR(IF(BR11="","",VLOOKUP((BC11&amp;BR11&amp;"Template desconto FLAT Plano Principal Oi TV nível conta"),BENEFICIOS!$A:$G,5,0))),"Criar",IF(BR11="","",VLOOKUP((BC11&amp;BR11&amp;"Template desconto FLAT Plano Principal Oi TV nível conta"),BENEFICIOS!$A:$G,5,0)))</f>
        <v/>
      </c>
      <c r="BT11" s="8"/>
      <c r="BU11" s="3" t="str">
        <f>IF(BT11=0,"",IF(BT11=VLOOKUP("PCS-OzTL45",ARBOR!$A:$C,3,0),0.0001,IF(BT11&gt;VLOOKUP("PCS-OzTL45",ARBOR!$A:$C,3,0),"Maior que CAP!",IF((DOLLAR(BT11+(VLOOKUP("PCS-OzTL45",ARBOR!$A:$C,3,0)*-TRUNC(BT11/VLOOKUP("PCS-OzTL45",ARBOR!$A:$C,3,0)-1,4)),6))&lt;&gt;(DOLLAR(VLOOKUP("PCS-OzTL45",ARBOR!$A:$C,3,0),6)),-TRUNC(BT11/VLOOKUP("PCS-OzTL45",ARBOR!$A:$C,3,0)-1,4)+0.0001,-TRUNC(BT11/VLOOKUP("PCS-OzTL45",ARBOR!$A:$C,3,0)-1,4)))))</f>
        <v/>
      </c>
      <c r="BV11" s="28" t="str">
        <f>IF(ISERROR(IF(BU11="","",VLOOKUP((BC11&amp;BU11&amp;"Template desconto FLAT Plano Principal Oi TV nível conta"),BENEFICIOS!$A:$G,5,0))),"Criar",IF(BU11="","",VLOOKUP((BC11&amp;BU11&amp;"Template desconto FLAT Plano Principal Oi TV nível conta"),BENEFICIOS!$A:$G,5,0)))</f>
        <v/>
      </c>
      <c r="BW11" s="8"/>
      <c r="BX11" s="3" t="str">
        <f>IF(BW11=0,"",IF(BW11=VLOOKUP("PCS-OzTL741",ARBOR!$A:$C,3,0),0.0001,IF(BW11&gt;VLOOKUP("PCS-OzTL741",ARBOR!$A:$C,3,0),"Maior que CAP!",IF((DOLLAR(BW11+(VLOOKUP("PCS-OzTL741",ARBOR!$A:$C,3,0)*-TRUNC(BW11/VLOOKUP("PCS-OzTL741",ARBOR!$A:$C,3,0)-1,4)),6))&lt;&gt;(DOLLAR(VLOOKUP("PCS-OzTL741",ARBOR!$A:$C,3,0),6)),-TRUNC(BW11/VLOOKUP("PCS-OzTL741",ARBOR!$A:$C,3,0)-1,4)+0.0001,-TRUNC(BW11/VLOOKUP("PCS-OzTL741",ARBOR!$A:$C,3,0)-1,4)))))</f>
        <v/>
      </c>
      <c r="BY11" s="28" t="str">
        <f>IF(ISERROR(IF(BX11="","",VLOOKUP((BC11&amp;BX11&amp;"Template desconto FLAT Plano Principal Oi TV nível conta"),BENEFICIOS!$A:$G,5,0))),"Criar",IF(BX11="","",VLOOKUP((BC11&amp;BX11&amp;"Template desconto FLAT Plano Principal Oi TV nível conta"),BENEFICIOS!$A:$G,5,0)))</f>
        <v/>
      </c>
      <c r="BZ11" s="8"/>
      <c r="CA11" s="3" t="str">
        <f>IF(BZ11=0,"",IF(BZ11=VLOOKUP("PCS-OzTL744",ARBOR!$A:$C,3,0),0.0001,IF(BZ11&gt;VLOOKUP("PCS-OzTL744",ARBOR!$A:$C,3,0),"Maior que CAP!",IF((DOLLAR(BZ11+(VLOOKUP("PCS-OzTL744",ARBOR!$A:$C,3,0)*-TRUNC(BZ11/VLOOKUP("PCS-OzTL744",ARBOR!$A:$C,3,0)-1,4)),6))&lt;&gt;(DOLLAR(VLOOKUP("PCS-OzTL744",ARBOR!$A:$C,3,0),6)),-TRUNC(BZ11/VLOOKUP("PCS-OzTL744",ARBOR!$A:$C,3,0)-1,4)+0.0001,-TRUNC(BZ11/VLOOKUP("PCS-OzTL744",ARBOR!$A:$C,3,0)-1,4)))))</f>
        <v/>
      </c>
      <c r="CB11" s="28" t="str">
        <f>IF(ISERROR(IF(CA11="","",VLOOKUP(($BC11&amp;CA11&amp;"Template desconto FLAT Plano Principal Oi TV nível conta"),BENEFICIOS!$A:$G,5,0))),"Criar",IF(CA11="","",VLOOKUP(($BC11&amp;CA11&amp;"Template desconto FLAT Plano Principal Oi TV nível conta"),BENEFICIOS!$A:$G,5,0)))</f>
        <v/>
      </c>
      <c r="CC11" s="8"/>
      <c r="CD11" s="3" t="str">
        <f>IF(CC11=0,"",IF(CC11=VLOOKUP("PCS-OzTL743",ARBOR!$A:$C,3,0),0.0001,IF(CC11&gt;VLOOKUP("PCS-OzTL743",ARBOR!$A:$C,3,0),"Maior que CAP!",IF((DOLLAR(CC11+(VLOOKUP("PCS-OzTL743",ARBOR!$A:$C,3,0)*-TRUNC(CC11/VLOOKUP("PCS-OzTL743",ARBOR!$A:$C,3,0)-1,4)),6))&lt;&gt;(DOLLAR(VLOOKUP("PCS-OzTL743",ARBOR!$A:$C,3,0),6)),-TRUNC(CC11/VLOOKUP("PCS-OzTL743",ARBOR!$A:$C,3,0)-1,4)+0.0001,-TRUNC(CC11/VLOOKUP("PCS-OzTL743",ARBOR!$A:$C,3,0)-1,4)))))</f>
        <v/>
      </c>
      <c r="CE11" s="28" t="str">
        <f>IF(ISERROR(IF(CD11="","",VLOOKUP(($BC11&amp;CD11&amp;"Template desconto FLAT Plano Principal Oi TV nível conta"),BENEFICIOS!$A:$G,5,0))),"Criar",IF(CD11="","",VLOOKUP(($BC11&amp;CD11&amp;"Template desconto FLAT Plano Principal Oi TV nível conta"),BENEFICIOS!$A:$G,5,0)))</f>
        <v/>
      </c>
      <c r="CF11" s="8"/>
      <c r="CG11" s="3" t="str">
        <f>IF(CF11=0,"",IF(CF11=VLOOKUP("PCS-OzTL745",ARBOR!$A:$C,3,0),0.0001,IF(CF11&gt;VLOOKUP("PCS-OzTL745",ARBOR!$A:$C,3,0),"Maior que CAP!",IF((DOLLAR(CF11+(VLOOKUP("PCS-OzTL745",ARBOR!$A:$C,3,0)*-TRUNC(CF11/VLOOKUP("PCS-OzTL745",ARBOR!$A:$C,3,0)-1,4)),6))&lt;&gt;(DOLLAR(VLOOKUP("PCS-OzTL745",ARBOR!$A:$C,3,0),6)),-TRUNC(CF11/VLOOKUP("PCS-OzTL745",ARBOR!$A:$C,3,0)-1,4)+0.0001,-TRUNC(CF11/VLOOKUP("PCS-OzTL745",ARBOR!$A:$C,3,0)-1,4)))))</f>
        <v/>
      </c>
      <c r="CH11" s="28" t="str">
        <f>IF(ISERROR(IF(CG11="","",VLOOKUP(($BC11&amp;CG11&amp;"Template desconto FLAT Plano Principal Oi TV nível conta"),BENEFICIOS!$A:$G,5,0))),"Criar",IF(CG11="","",VLOOKUP(($BC11&amp;CG11&amp;"Template desconto FLAT Plano Principal Oi TV nível conta"),BENEFICIOS!$A:$G,5,0)))</f>
        <v/>
      </c>
      <c r="CI11" s="8"/>
      <c r="CJ11" s="3" t="str">
        <f>IF(CI11=0,"",IF(CI11=VLOOKUP("PCS-OzTL42",ARBOR!$A:$C,3,0),0.0001,IF(CI11&gt;VLOOKUP("PCS-OzTL42",ARBOR!$A:$C,3,0),"Maior que CAP!",IF((DOLLAR(CI11+(VLOOKUP("PCS-OzTL42",ARBOR!$A:$C,3,0)*-TRUNC(CI11/VLOOKUP("PCS-OzTL42",ARBOR!$A:$C,3,0)-1,4)),6))&lt;&gt;(DOLLAR(VLOOKUP("PCS-OzTL42",ARBOR!$A:$C,3,0),6)),-TRUNC(CI11/VLOOKUP("PCS-OzTL42",ARBOR!$A:$C,3,0)-1,4)+0.0001,-TRUNC(CI11/VLOOKUP("PCS-OzTL42",ARBOR!$A:$C,3,0)-1,4)))))</f>
        <v/>
      </c>
      <c r="CK11" s="28" t="str">
        <f>IF(ISERROR(IF(CJ11="","",VLOOKUP(($BC11&amp;CJ11&amp;"Template desconto FLAT Plano Principal Oi TV nível conta"),BENEFICIOS!$A:$G,5,0))),"Criar",IF(CJ11="","",VLOOKUP(($BC11&amp;CJ11&amp;"Template desconto FLAT Plano Principal Oi TV nível conta"),BENEFICIOS!$A:$G,5,0)))</f>
        <v/>
      </c>
      <c r="CL11" s="8"/>
      <c r="CM11" s="3" t="str">
        <f>IF(CL11=0,"",IF(CL11=VLOOKUP("PCS-OzTL47",ARBOR!$A:$C,3,0),0.0001,IF(CL11&gt;VLOOKUP("PCS-OzTL47",ARBOR!$A:$C,3,0),"Maior que CAP!",IF((DOLLAR(CL11+(VLOOKUP("PCS-OzTL47",ARBOR!$A:$C,3,0)*-TRUNC(CL11/VLOOKUP("PCS-OzTL47",ARBOR!$A:$C,3,0)-1,4)),6))&lt;&gt;(DOLLAR(VLOOKUP("PCS-OzTL47",ARBOR!$A:$C,3,0),6)),-TRUNC(CL11/VLOOKUP("PCS-OzTL47",ARBOR!$A:$C,3,0)-1,4)+0.0001,-TRUNC(CL11/VLOOKUP("PCS-OzTL47",ARBOR!$A:$C,3,0)-1,4)))))</f>
        <v/>
      </c>
      <c r="CN11" s="28" t="str">
        <f>IF(ISERROR(IF(CM11="","",VLOOKUP(($BC11&amp;CM11&amp;"Template desconto FLAT Plano Principal Oi TV nível conta"),BENEFICIOS!$A:$G,5,0))),"Criar",IF(CM11="","",VLOOKUP(($BC11&amp;CM11&amp;"Template desconto FLAT Plano Principal Oi TV nível conta"),BENEFICIOS!$A:$G,5,0)))</f>
        <v/>
      </c>
      <c r="CO11" s="8"/>
      <c r="CP11" s="3" t="str">
        <f>IF(CO11=0,"",IF(CO11=VLOOKUP("PCS-OzTL46",ARBOR!$A:$C,3,0),0.0001,IF(CO11&gt;VLOOKUP("PCS-OzTL46",ARBOR!$A:$C,3,0),"Maior que CAP!",IF((DOLLAR(CO11+(VLOOKUP("PCS-OzTL46",ARBOR!$A:$C,3,0)*-TRUNC(CO11/VLOOKUP("PCS-OzTL46",ARBOR!$A:$C,3,0)-1,4)),6))&lt;&gt;(DOLLAR(VLOOKUP("PCS-OzTL46",ARBOR!$A:$C,3,0),6)),-TRUNC(CO11/VLOOKUP("PCS-OzTL46",ARBOR!$A:$C,3,0)-1,4)+0.0001,-TRUNC(CO11/VLOOKUP("PCS-OzTL46",ARBOR!$A:$C,3,0)-1,4)))))</f>
        <v/>
      </c>
      <c r="CQ11" s="28" t="str">
        <f>IF(ISERROR(IF(CP11="","",VLOOKUP(($BC11&amp;CP11&amp;"Template desconto FLAT Plano Principal Oi TV nível conta"),BENEFICIOS!$A:$G,5,0))),"Criar",IF(CP11="","",VLOOKUP(($BC11&amp;CP11&amp;"Template desconto FLAT Plano Principal Oi TV nível conta"),BENEFICIOS!$A:$G,5,0)))</f>
        <v/>
      </c>
      <c r="CR11" s="8"/>
      <c r="CS11" s="3" t="str">
        <f>IF(CR11=0,"",IF(CR11=VLOOKUP("PCS-OzTL48",ARBOR!$A:$C,3,0),0.0001,IF(CR11&gt;VLOOKUP("PCS-OzTL48",ARBOR!$A:$C,3,0),"Maior que CAP!",IF((DOLLAR(CR11+(VLOOKUP("PCS-OzTL48",ARBOR!$A:$C,3,0)*-TRUNC(CR11/VLOOKUP("PCS-OzTL48",ARBOR!$A:$C,3,0)-1,4)),6))&lt;&gt;(DOLLAR(VLOOKUP("PCS-OzTL48",ARBOR!$A:$C,3,0),6)),-TRUNC(CR11/VLOOKUP("PCS-OzTL48",ARBOR!$A:$C,3,0)-1,4)+0.0001,-TRUNC(CR11/VLOOKUP("PCS-OzTL48",ARBOR!$A:$C,3,0)-1,4)))))</f>
        <v/>
      </c>
      <c r="CT11" s="28" t="str">
        <f>IF(ISERROR(IF(CS11="","",VLOOKUP(($BC11&amp;CS11&amp;"Template desconto FLAT Plano Principal Oi TV nível conta"),BENEFICIOS!$A:$G,5,0))),"Criar",IF(CS11="","",VLOOKUP(($BC11&amp;CS11&amp;"Template desconto FLAT Plano Principal Oi TV nível conta"),BENEFICIOS!$A:$G,5,0)))</f>
        <v/>
      </c>
      <c r="CU11" s="8"/>
      <c r="CV11" s="3" t="str">
        <f>IF(CU11=0,"",IF(CU11=VLOOKUP("PCS-OzTL742",ARBOR!$A:$C,3,0),0.0001,IF(CU11&gt;VLOOKUP("PCS-OzTL742",ARBOR!$A:$C,3,0),"Maior que CAP!",IF((DOLLAR(CU11+(VLOOKUP("PCS-OzTL742",ARBOR!$A:$C,3,0)*-TRUNC(CU11/VLOOKUP("PCS-OzTL742",ARBOR!$A:$C,3,0)-1,4)),6))&lt;&gt;(DOLLAR(VLOOKUP("PCS-OzTL742",ARBOR!$A:$C,3,0),6)),-TRUNC(CU11/VLOOKUP("PCS-OzTL742",ARBOR!$A:$C,3,0)-1,4)+0.0001,-TRUNC(CU11/VLOOKUP("PCS-OzTL742",ARBOR!$A:$C,3,0)-1,4)))))</f>
        <v/>
      </c>
      <c r="CW11" s="28" t="str">
        <f>IF(ISERROR(IF(CV11="","",VLOOKUP(($BC11&amp;CV11&amp;"Template desconto FLAT Plano Principal Oi TV nível conta"),BENEFICIOS!$A:$G,5,0))),"Criar",IF(CV11="","",VLOOKUP(($BC11&amp;CV11&amp;"Template desconto FLAT Plano Principal Oi TV nível conta"),BENEFICIOS!$A:$G,5,0)))</f>
        <v/>
      </c>
      <c r="CX11" s="8"/>
      <c r="CY11" s="3" t="str">
        <f>IF(CX11=0,"",IF(CX11=VLOOKUP("PCS-OzTL747",ARBOR!$A:$C,3,0),0.0001,IF(CX11&gt;VLOOKUP("PCS-OzTL747",ARBOR!$A:$C,3,0),"Maior que CAP!",IF((DOLLAR(CX11+(VLOOKUP("PCS-OzTL747",ARBOR!$A:$C,3,0)*-TRUNC(CX11/VLOOKUP("PCS-OzTL747",ARBOR!$A:$C,3,0)-1,4)),6))&lt;&gt;(DOLLAR(VLOOKUP("PCS-OzTL747",ARBOR!$A:$C,3,0),6)),-TRUNC(CX11/VLOOKUP("PCS-OzTL747",ARBOR!$A:$C,3,0)-1,4)+0.0001,-TRUNC(CX11/VLOOKUP("PCS-OzTL747",ARBOR!$A:$C,3,0)-1,4)))))</f>
        <v/>
      </c>
      <c r="CZ11" s="28" t="str">
        <f>IF(ISERROR(IF(CY11="","",VLOOKUP(($BC11&amp;CY11&amp;"Template desconto FLAT Plano Principal Oi TV nível conta"),BENEFICIOS!$A:$G,5,0))),"Criar",IF(CY11="","",VLOOKUP(($BC11&amp;CY11&amp;"Template desconto FLAT Plano Principal Oi TV nível conta"),BENEFICIOS!$A:$G,5,0)))</f>
        <v/>
      </c>
      <c r="DA11" s="8"/>
      <c r="DB11" s="3" t="str">
        <f>IF(DA11=0,"",IF(DA11=VLOOKUP("PCS-OzTL746",ARBOR!$A:$C,3,0),0.0001,IF(DA11&gt;VLOOKUP("PCS-OzTL746",ARBOR!$A:$C,3,0),"Maior que CAP!",IF((DOLLAR(DA11+(VLOOKUP("PCS-OzTL746",ARBOR!$A:$C,3,0)*-TRUNC(DA11/VLOOKUP("PCS-OzTL746",ARBOR!$A:$C,3,0)-1,4)),6))&lt;&gt;(DOLLAR(VLOOKUP("PCS-OzTL746",ARBOR!$A:$C,3,0),6)),-TRUNC(DA11/VLOOKUP("PCS-OzTL746",ARBOR!$A:$C,3,0)-1,4)+0.0001,-TRUNC(DA11/VLOOKUP("PCS-OzTL746",ARBOR!$A:$C,3,0)-1,4)))))</f>
        <v/>
      </c>
      <c r="DC11" s="28" t="str">
        <f>IF(ISERROR(IF(DB11="","",VLOOKUP(($BC11&amp;DB11&amp;"Template desconto FLAT Plano Principal Oi TV nível conta"),BENEFICIOS!$A:$G,5,0))),"Criar",IF(DB11="","",VLOOKUP(($BC11&amp;DB11&amp;"Template desconto FLAT Plano Principal Oi TV nível conta"),BENEFICIOS!$A:$G,5,0)))</f>
        <v/>
      </c>
      <c r="DD11" s="8"/>
      <c r="DE11" s="3" t="str">
        <f>IF(DD11=0,"",IF(DD11=VLOOKUP("PCS-OzTL748",ARBOR!$A:$C,3,0),0.0001,IF(DD11&gt;VLOOKUP("PCS-OzTL748",ARBOR!$A:$C,3,0),"Maior que CAP!",IF((DOLLAR(DD11+(VLOOKUP("PCS-OzTL748",ARBOR!$A:$C,3,0)*-TRUNC(DD11/VLOOKUP("PCS-OzTL748",ARBOR!$A:$C,3,0)-1,4)),6))&lt;&gt;(DOLLAR(VLOOKUP("PCS-OzTL748",ARBOR!$A:$C,3,0),6)),-TRUNC(DD11/VLOOKUP("PCS-OzTL748",ARBOR!$A:$C,3,0)-1,4)+0.0001,-TRUNC(DD11/VLOOKUP("PCS-OzTL748",ARBOR!$A:$C,3,0)-1,4)))))</f>
        <v/>
      </c>
      <c r="DF11" s="28" t="str">
        <f>IF(ISERROR(IF(DE11="","",VLOOKUP(($BC11&amp;DE11&amp;"Template desconto FLAT Plano Principal Oi TV nível conta"),BENEFICIOS!$A:$G,5,0))),"Criar",IF(DE11="","",VLOOKUP(($BC11&amp;DE11&amp;"Template desconto FLAT Plano Principal Oi TV nível conta"),BENEFICIOS!$A:$G,5,0)))</f>
        <v/>
      </c>
      <c r="DG11" s="8"/>
      <c r="DH11" s="3" t="str">
        <f>IF(DG11=0,"",IF(DG11=VLOOKUP("PCS-OzTL34",ARBOR!$A:$C,3,0),0.0001,IF(DG11&gt;VLOOKUP("PCS-OzTL34",ARBOR!$A:$C,3,0),"Maior que CAP!",IF((DOLLAR(DG11+(VLOOKUP("PCS-OzTL34",ARBOR!$A:$C,3,0)*-TRUNC(DG11/VLOOKUP("PCS-OzTL34",ARBOR!$A:$C,3,0)-1,4)),6))&lt;&gt;(DOLLAR(VLOOKUP("PCS-OzTL34",ARBOR!$A:$C,3,0),6)),-TRUNC(DG11/VLOOKUP("PCS-OzTL34",ARBOR!$A:$C,3,0)-1,4)+0.0001,-TRUNC(DG11/VLOOKUP("PCS-OzTL34",ARBOR!$A:$C,3,0)-1,4)))))</f>
        <v/>
      </c>
      <c r="DI11" s="28" t="str">
        <f>IF(DH11="S/Desc","S/Desc",IF(ISERROR(IF(DH11="","",VLOOKUP(($BC11&amp;DH11&amp;"Template desconto % Combate nível conta"),BENEFICIOS!$A:$G,5,0))),"Criar",IF(DH11="","",VLOOKUP(($BC11&amp;DH11&amp;"Template desconto % Combate nível conta"),BENEFICIOS!$A:$G,5,0))))</f>
        <v/>
      </c>
      <c r="DJ11" s="8"/>
      <c r="DK11" s="3" t="str">
        <f>IF(DJ11=0,"",IF(DJ11=VLOOKUP("PCS-OzTL31",ARBOR!$A:$C,3,0),0.0001,IF(DJ11&gt;VLOOKUP("PCS-OzTL31",ARBOR!$A:$C,3,0),"Maior que CAP!",IF((DOLLAR(DJ11+(VLOOKUP("PCS-OzTL31",ARBOR!$A:$C,3,0)*-TRUNC(DJ11/VLOOKUP("PCS-OzTL31",ARBOR!$A:$C,3,0)-1,4)),6))&lt;&gt;(DOLLAR(VLOOKUP("PCS-OzTL31",ARBOR!$A:$C,3,0),6)),-TRUNC(DJ11/VLOOKUP("PCS-OzTL31",ARBOR!$A:$C,3,0)-1,4)+0.0001,-TRUNC(DJ11/VLOOKUP("PCS-OzTL31",ARBOR!$A:$C,3,0)-1,4)))))</f>
        <v/>
      </c>
      <c r="DL11" s="28" t="str">
        <f>IF(DK11="S/Desc","S/Desc",IF(ISERROR(IF(DK11="","",VLOOKUP(($BC11&amp;DK11&amp;"Template desconto % Sexy Hot nível conta"),BENEFICIOS!$A:$G,5,0))),"Criar",IF(DK11="","",VLOOKUP(($BC11&amp;DK11&amp;"Template desconto % Sexy Hot nível conta"),BENEFICIOS!$A:$G,5,0))))</f>
        <v/>
      </c>
      <c r="DM11" s="8"/>
      <c r="DN11" s="3" t="str">
        <f>IF(DM11=0,"",IF(DM11=VLOOKUP("PCS-OzTL32",ARBOR!$A:$C,3,0),0.0001,IF(DM11&gt;VLOOKUP("PCS-OzTL32",ARBOR!$A:$C,3,0),"Maior que CAP!",IF((DOLLAR(DM11+(VLOOKUP("PCS-OzTL32",ARBOR!$A:$C,3,0)*-TRUNC(DM11/VLOOKUP("PCS-OzTL32",ARBOR!$A:$C,3,0)-1,4)),6))&lt;&gt;(DOLLAR(VLOOKUP("PCS-OzTL32",ARBOR!$A:$C,3,0),6)),-TRUNC(DM11/VLOOKUP("PCS-OzTL32",ARBOR!$A:$C,3,0)-1,4)+0.0001,-TRUNC(DM11/VLOOKUP("PCS-OzTL32",ARBOR!$A:$C,3,0)-1,4)))))</f>
        <v/>
      </c>
      <c r="DO11" s="28" t="str">
        <f>IF(DN11="S/Desc","S/Desc",IF(ISERROR(IF(DN11="","",VLOOKUP(($BC11&amp;DN11&amp;"Template desconto % Playboy nível conta"),BENEFICIOS!$A:$G,5,0))),"Criar",IF(DN11="","",VLOOKUP(($BC11&amp;DN11&amp;"Template desconto % Playboy nível conta"),BENEFICIOS!$A:$G,5,0))))</f>
        <v/>
      </c>
      <c r="DP11" s="8"/>
      <c r="DQ11" s="3" t="str">
        <f>IF(DP11=0,"",IF(DP11=VLOOKUP("PCS-OzTL33",ARBOR!$A:$C,3,0),0.0001,IF(DP11&gt;VLOOKUP("PCS-OzTL33",ARBOR!$A:$C,3,0),"Maior que CAP!",IF((DOLLAR(DP11+(VLOOKUP("PCS-OzTL33",ARBOR!$A:$C,3,0)*-TRUNC(DP11/VLOOKUP("PCS-OzTL33",ARBOR!$A:$C,3,0)-1,4)),6))&lt;&gt;(DOLLAR(VLOOKUP("PCS-OzTL33",ARBOR!$A:$C,3,0),6)),-TRUNC(DP11/VLOOKUP("PCS-OzTL33",ARBOR!$A:$C,3,0)-1,4)+0.0001,-TRUNC(DP11/VLOOKUP("PCS-OzTL33",ARBOR!$A:$C,3,0)-1,4)))))</f>
        <v/>
      </c>
      <c r="DR11" s="28" t="str">
        <f>IF(DQ11="S/Desc","S/Desc",IF(ISERROR(IF(DQ11="","",VLOOKUP(($BC11&amp;DQ11&amp;"Template desconto % Sexy Hot + Playboy nível conta"),BENEFICIOS!$A:$G,5,0))),"Criar",IF(DQ11="","",VLOOKUP(($BC11&amp;DQ11&amp;"Template desconto % Sexy Hot + Playboy nível conta"),BENEFICIOS!$A:$G,5,0))))</f>
        <v/>
      </c>
      <c r="DS11" s="8"/>
      <c r="DT11" s="3" t="str">
        <f>IF(DS11=0,"",IF(DS11=VLOOKUP("PCS-OzTL503",ARBOR!$A:$C,3,0),0.0001,IF(DS11&gt;VLOOKUP("PCS-OzTL503",ARBOR!$A:$C,3,0),"Maior que CAP!",IF((DOLLAR(DS11+(VLOOKUP("PCS-OzTL503",ARBOR!$A:$C,3,0)*-TRUNC(DS11/VLOOKUP("PCS-OzTL503",ARBOR!$A:$C,3,0)-1,4)),6))&lt;&gt;(DOLLAR(VLOOKUP("PCS-OzTL503",ARBOR!$A:$C,3,0),6)),-TRUNC(DS11/VLOOKUP("PCS-OzTL503",ARBOR!$A:$C,3,0)-1,4)+0.0001,-TRUNC(DS11/VLOOKUP("PCS-OzTL503",ARBOR!$A:$C,3,0)-1,4)))))</f>
        <v/>
      </c>
      <c r="DU11" s="28" t="str">
        <f>IF(DT11="S/Desc","S/Desc",IF(ISERROR(IF(DT11="","",VLOOKUP(($BC11&amp;DT11&amp;"Template desconto % SexPrivê nível conta"),BENEFICIOS!$A:$G,5,0))),"Criar",IF(DT11="","",VLOOKUP(($BC11&amp;DT11&amp;"Template desconto % SexPrivê nível conta"),BENEFICIOS!$A:$G,5,0))))</f>
        <v/>
      </c>
      <c r="DV11" s="8"/>
      <c r="DW11" s="3" t="str">
        <f>IF(DV11=0,"",IF(DV11=VLOOKUP("PCS-OzTL500",ARBOR!$A:$C,3,0),0.0001,IF(DV11&gt;VLOOKUP("PCS-OzTL500",ARBOR!$A:$C,3,0),"Maior que CAP!",IF((DOLLAR(DV11+(VLOOKUP("PCS-OzTL500",ARBOR!$A:$C,3,0)*-TRUNC(DV11/VLOOKUP("PCS-OzTL500",ARBOR!$A:$C,3,0)-1,4)),6))&lt;&gt;(DOLLAR(VLOOKUP("PCS-OzTL500",ARBOR!$A:$C,3,0),6)),-TRUNC(DV11/VLOOKUP("PCS-OzTL500",ARBOR!$A:$C,3,0)-1,4)+0.0001,-TRUNC(DV11/VLOOKUP("PCS-OzTL500",ARBOR!$A:$C,3,0)-1,4)))))</f>
        <v/>
      </c>
      <c r="DX11" s="28" t="str">
        <f>IF(DW11="S/Desc","S/Desc",IF(ISERROR(IF(DW11="","",VLOOKUP(($BC11&amp;DW11&amp;"Template desconto % Étnico nível conta"),BENEFICIOS!$A:$G,5,0))),"Criar",IF(DW11="","",VLOOKUP(($BC11&amp;DW11&amp;"Template desconto % Étnico nível conta"),BENEFICIOS!$A:$G,5,0))))</f>
        <v/>
      </c>
      <c r="DY11" s="8"/>
      <c r="DZ11" s="181" t="str">
        <f>IF(DY11=0,"",IF(DY11=VLOOKUP("PCS-OzTL50",ARBOR!$A:$C,3,0),0.0001,IF(DY11&gt;VLOOKUP("PCS-OzTL50",ARBOR!$A:$C,3,0),"Maior que CAP!",IF((DOLLAR(DY11+(VLOOKUP("PCS-OzTL50",ARBOR!$A:$C,3,0)*-TRUNC(DY11/VLOOKUP("PCS-OzTL50",ARBOR!$A:$C,3,0)-1,4)),6))&lt;&gt;(DOLLAR(VLOOKUP("PCS-OzTL50",ARBOR!$A:$C,3,0),6)),-TRUNC(DY11/VLOOKUP("PCS-OzTL50",ARBOR!$A:$C,3,0)-1,4)+0.0001,-TRUNC(DY11/VLOOKUP("PCS-OzTL50",ARBOR!$A:$C,3,0)-1,4)))))</f>
        <v/>
      </c>
      <c r="EA11" s="28"/>
      <c r="EB11" s="8"/>
      <c r="EC11" s="181" t="str">
        <f>IF(EB11=0,"",IF(EB11=VLOOKUP("PCS-OzTL51",ARBOR!$A:$C,3,0),0.0001,IF(EB11&gt;VLOOKUP("PCS-OzTL51",ARBOR!$A:$C,3,0),"Maior que CAP!",IF((DOLLAR(EB11+(VLOOKUP("PCS-OzTL51",ARBOR!$A:$C,3,0)*-TRUNC(EB11/VLOOKUP("PCS-OzTL51",ARBOR!$A:$C,3,0)-1,4)),6))&lt;&gt;(DOLLAR(VLOOKUP("PCS-OzTL51",ARBOR!$A:$C,3,0),6)),-TRUNC(EB11/VLOOKUP("PCS-OzTL51",ARBOR!$A:$C,3,0)-1,4)+0.0001,-TRUNC(EB11/VLOOKUP("PCS-OzTL51",ARBOR!$A:$C,3,0)-1,4)))))</f>
        <v/>
      </c>
      <c r="ED11" s="28"/>
      <c r="EE11" s="8"/>
      <c r="EF11" s="181" t="str">
        <f>IF(EE11=0,"",IF(EE11=VLOOKUP("PCS-OzTL52",ARBOR!$A:$C,3,0),0.0001,IF(EE11&gt;VLOOKUP("PCS-OzTL52",ARBOR!$A:$C,3,0),"Maior que CAP!",IF((DOLLAR(EE11+(VLOOKUP("PCS-OzTL52",ARBOR!$A:$C,3,0)*-TRUNC(EE11/VLOOKUP("PCS-OzTL52",ARBOR!$A:$C,3,0)-1,4)),6))&lt;&gt;(DOLLAR(VLOOKUP("PCS-OzTL52",ARBOR!$A:$C,3,0),6)),-TRUNC(EE11/VLOOKUP("PCS-OzTL52",ARBOR!$A:$C,3,0)-1,4)+0.0001,-TRUNC(EE11/VLOOKUP("PCS-OzTL52",ARBOR!$A:$C,3,0)-1,4)))))</f>
        <v/>
      </c>
      <c r="EG11" s="28"/>
      <c r="EH11" s="8"/>
      <c r="EI11" s="181" t="str">
        <f>IF(EH11=0,"",IF(EH11=VLOOKUP("PCS-OzTL53",ARBOR!$A:$C,3,0),0.0001,IF(EH11&gt;VLOOKUP("PCS-OzTL53",ARBOR!$A:$C,3,0),"Maior que CAP!",IF((DOLLAR(EH11+(VLOOKUP("PCS-OzTL53",ARBOR!$A:$C,3,0)*-TRUNC(EH11/VLOOKUP("PCS-OzTL53",ARBOR!$A:$C,3,0)-1,4)),6))&lt;&gt;(DOLLAR(VLOOKUP("PCS-OzTL53",ARBOR!$A:$C,3,0),6)),-TRUNC(EH11/VLOOKUP("PCS-OzTL53",ARBOR!$A:$C,3,0)-1,4)+0.0001,-TRUNC(EH11/VLOOKUP("PCS-OzTL53",ARBOR!$A:$C,3,0)-1,4)))))</f>
        <v/>
      </c>
      <c r="EJ11" s="28"/>
      <c r="EK11" s="8"/>
      <c r="EL11" s="181" t="str">
        <f>IF(EK11=0,"",IF(EK11=VLOOKUP("PCS-OzTL54",ARBOR!$A:$C,3,0),0.0001,IF(EK11&gt;VLOOKUP("PCS-OzTL54",ARBOR!$A:$C,3,0),"Maior que CAP!",IF((DOLLAR(EK11+(VLOOKUP("PCS-OzTL54",ARBOR!$A:$C,3,0)*-TRUNC(EK11/VLOOKUP("PCS-OzTL54",ARBOR!$A:$C,3,0)-1,4)),6))&lt;&gt;(DOLLAR(VLOOKUP("PCS-OzTL54",ARBOR!$A:$C,3,0),6)),-TRUNC(EK11/VLOOKUP("PCS-OzTL54",ARBOR!$A:$C,3,0)-1,4)+0.0001,-TRUNC(EK11/VLOOKUP("PCS-OzTL54",ARBOR!$A:$C,3,0)-1,4)))))</f>
        <v/>
      </c>
      <c r="EM11" s="28"/>
      <c r="EN11" s="8"/>
      <c r="EO11" s="3" t="str">
        <f>IF(EN11=0,"",IF(EN11=VLOOKUP("PCS-OzTL99",ARBOR!$A:$C,3,0),0.0001,IF(EN11&gt;VLOOKUP("PCS-OzTL99",ARBOR!$A:$C,3,0),"Maior que CAP!",IF((DOLLAR(EN11+(VLOOKUP("PCS-OzTL99",ARBOR!$A:$C,3,0)*-TRUNC(EN11/VLOOKUP("PCS-OzTL99",ARBOR!$A:$C,3,0)-1,4)),6))&lt;&gt;(DOLLAR(VLOOKUP("PCS-OzTL99",ARBOR!$A:$C,3,0),6)),-TRUNC(EN11/VLOOKUP("PCS-OzTL99",ARBOR!$A:$C,3,0)-1,4)+0.0001,-TRUNC(EN11/VLOOKUP("PCS-OzTL99",ARBOR!$A:$C,3,0)-1,4)))))</f>
        <v/>
      </c>
      <c r="EP11" s="28" t="str">
        <f>IF(EO11="S/Desc","S/Desc",IF(ISERROR(IF(EO11="","",VLOOKUP(($BC11&amp;EO11&amp;"Template desconto % Ponto adicional nível conta"),BENEFICIOS!$A:$G,5,0))),"Criar",IF(EO11="","",VLOOKUP(($BC11&amp;EO11&amp;"Template desconto % Ponto adicional nível conta"),BENEFICIOS!$A:$G,5,0))))</f>
        <v/>
      </c>
      <c r="EQ11" s="8"/>
      <c r="ER11" s="28" t="str">
        <f t="shared" si="1"/>
        <v/>
      </c>
      <c r="ES11" s="62"/>
      <c r="ET11" s="126"/>
      <c r="EU11" s="127"/>
      <c r="EV11" s="126"/>
      <c r="EW11" s="128" t="str">
        <f t="shared" si="2"/>
        <v/>
      </c>
      <c r="EX11" s="129" t="str">
        <f t="shared" si="3"/>
        <v/>
      </c>
      <c r="EY11" s="91" t="str">
        <f t="shared" si="4"/>
        <v/>
      </c>
      <c r="EZ11" s="85"/>
      <c r="FA11" s="97"/>
      <c r="FB11" s="91"/>
      <c r="FC11" s="85"/>
      <c r="FD11" s="97"/>
      <c r="FE11" s="91"/>
      <c r="FF11" s="87"/>
      <c r="FG11" s="144" t="str">
        <f t="shared" si="5"/>
        <v/>
      </c>
      <c r="FH11" s="144" t="str">
        <f t="shared" si="6"/>
        <v/>
      </c>
      <c r="FI11" s="144" t="str">
        <f t="shared" si="7"/>
        <v/>
      </c>
      <c r="FJ11" s="144" t="str">
        <f t="shared" si="8"/>
        <v/>
      </c>
      <c r="FK11" s="144" t="str">
        <f t="shared" si="9"/>
        <v/>
      </c>
      <c r="FL11" s="144" t="str">
        <f t="shared" si="10"/>
        <v/>
      </c>
      <c r="FM11" s="144" t="str">
        <f t="shared" si="11"/>
        <v/>
      </c>
      <c r="FN11" s="144" t="str">
        <f t="shared" si="12"/>
        <v/>
      </c>
      <c r="FO11" s="144" t="str">
        <f t="shared" si="13"/>
        <v/>
      </c>
      <c r="FP11" s="144" t="str">
        <f t="shared" si="14"/>
        <v/>
      </c>
      <c r="FQ11" s="144" t="str">
        <f t="shared" si="15"/>
        <v/>
      </c>
      <c r="FR11" s="144" t="str">
        <f t="shared" si="16"/>
        <v/>
      </c>
      <c r="FS11" s="144" t="str">
        <f t="shared" si="17"/>
        <v/>
      </c>
      <c r="FT11" s="144" t="str">
        <f t="shared" si="18"/>
        <v/>
      </c>
      <c r="FU11" s="144" t="str">
        <f t="shared" si="19"/>
        <v/>
      </c>
      <c r="FV11" s="144" t="str">
        <f t="shared" si="20"/>
        <v/>
      </c>
      <c r="FW11" s="144" t="str">
        <f t="shared" si="21"/>
        <v/>
      </c>
      <c r="FX11" s="151"/>
      <c r="FY11" s="152"/>
      <c r="FZ11" s="152"/>
      <c r="GA11" s="152"/>
      <c r="GB11" s="152"/>
      <c r="GC11" s="152"/>
      <c r="GD11" s="152"/>
      <c r="GE11" s="152"/>
      <c r="GF11" s="152"/>
      <c r="GG11" s="153"/>
    </row>
    <row r="12" spans="1:189">
      <c r="A12" s="45"/>
      <c r="B12" s="133"/>
      <c r="C12" s="133"/>
      <c r="D12" s="46"/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9"/>
      <c r="U12" s="48"/>
      <c r="V12" s="49"/>
      <c r="W12" s="48"/>
      <c r="X12" s="48"/>
      <c r="Y12" s="48"/>
      <c r="Z12" s="48"/>
      <c r="AA12" s="49"/>
      <c r="AB12" s="48"/>
      <c r="AC12" s="50"/>
      <c r="AD12" s="48"/>
      <c r="AE12" s="48"/>
      <c r="AF12" s="48"/>
      <c r="AG12" s="48"/>
      <c r="AH12" s="48"/>
      <c r="AI12" s="48"/>
      <c r="AJ12" s="48"/>
      <c r="AK12" s="48"/>
      <c r="AL12" s="51"/>
      <c r="AM12" s="37"/>
      <c r="AN12" s="38"/>
      <c r="AO12" s="39"/>
      <c r="AP12" s="52"/>
      <c r="AQ12" s="53"/>
      <c r="AR12" s="64"/>
      <c r="AS12" s="65"/>
      <c r="AT12" s="54"/>
      <c r="AU12" s="54"/>
      <c r="AV12" s="54"/>
      <c r="AW12" s="54"/>
      <c r="AX12" s="70"/>
      <c r="AY12" s="71"/>
      <c r="AZ12" s="72"/>
      <c r="BA12" s="73"/>
      <c r="BB12" s="55"/>
      <c r="BC12" s="56"/>
      <c r="BD12" s="27" t="str">
        <f t="shared" si="0"/>
        <v/>
      </c>
      <c r="BE12" s="58"/>
      <c r="BF12" s="3" t="str">
        <f>IF(BE12=0,"",IF(BE12=VLOOKUP("FIXO",ARBOR!$A:$C,3,0),0.0001,IF(BE12&gt;VLOOKUP("FIXO",ARBOR!$A:$C,3,0),"Maior que CAP!",IF((DOLLAR(BE12+(VLOOKUP("FIXO",ARBOR!$A:$C,3,0)*-TRUNC(BE12/VLOOKUP("FIXO",ARBOR!$A:$C,3,0)-1,4)),6))&lt;&gt;(DOLLAR(VLOOKUP("FIXO",ARBOR!$A:$C,3,0),6)),-TRUNC(BE12/VLOOKUP("FIXO",ARBOR!$A:$C,3,0)-1,4)+0.0001,-TRUNC(BE12/VLOOKUP("FIXO",ARBOR!$A:$C,3,0)-1,4)))))</f>
        <v/>
      </c>
      <c r="BG12" s="10" t="str">
        <f>IF(ISERROR(IF(BF12="","",VLOOKUP(($BC12&amp;BF12&amp;"Template de desconto FLAT bundle - Fixo - Varejo - Ganho Tributário Cross"),BENEFICIOS!$A:$G,5,0))),"Criar",IF(BF12="","",VLOOKUP(($BC12&amp;BF12&amp;"Template de desconto FLAT bundle - Fixo - Varejo - Ganho Tributário Cross"),BENEFICIOS!$A:$G,5,0)))</f>
        <v/>
      </c>
      <c r="BH12" s="8"/>
      <c r="BI12" s="3" t="str">
        <f>IF(BH12=0,"",IF(BH12=VLOOKUP("PCS-OzTL40",ARBOR!$A:$C,3,0),0.0001,IF(BH12&gt;VLOOKUP("PCS-OzTL40",ARBOR!$A:$C,3,0),"Maior que CAP!",IF((DOLLAR(BH12+(VLOOKUP("PCS-OzTL40",ARBOR!$A:$C,3,0)*-TRUNC(BH12/VLOOKUP("PCS-OzTL40",ARBOR!$A:$C,3,0)-1,4)),6))&lt;&gt;(DOLLAR(VLOOKUP("PCS-OzTL40",ARBOR!$A:$C,3,0),6)),-TRUNC(BH12/VLOOKUP("PCS-OzTL40",ARBOR!$A:$C,3,0)-1,4)+0.0001,-TRUNC(BH12/VLOOKUP("PCS-OzTL40",ARBOR!$A:$C,3,0)-1,4)))))</f>
        <v/>
      </c>
      <c r="BJ12" s="10" t="str">
        <f>IF(ISERROR(IF(BI12="","",VLOOKUP((BC12&amp;BI12&amp;"Template desconto FLAT Plano Principal Oi TV nível conta"),BENEFICIOS!$A:$G,5,0))),"Criar",IF(BI12="","",VLOOKUP((BC12&amp;BI12&amp;"Template desconto FLAT Plano Principal Oi TV nível conta"),BENEFICIOS!$A:$G,5,0)))</f>
        <v/>
      </c>
      <c r="BK12" s="8"/>
      <c r="BL12" s="3" t="str">
        <f>IF(BK12=0,"",IF(BK12=VLOOKUP("PCS-OzTL41",ARBOR!$A:$C,3,0),0.0001,IF(BK12&gt;VLOOKUP("PCS-OzTL41",ARBOR!$A:$C,3,0),"Maior que CAP!",IF((DOLLAR(BK12+(VLOOKUP("PCS-OzTL41",ARBOR!$A:$C,3,0)*-TRUNC(BK12/VLOOKUP("PCS-OzTL41",ARBOR!$A:$C,3,0)-1,4)),6))&lt;&gt;(DOLLAR(VLOOKUP("PCS-OzTL41",ARBOR!$A:$C,3,0),6)),-TRUNC(BK12/VLOOKUP("PCS-OzTL41",ARBOR!$A:$C,3,0)-1,4)+0.0001,-TRUNC(BK12/VLOOKUP("PCS-OzTL41",ARBOR!$A:$C,3,0)-1,4)))))</f>
        <v/>
      </c>
      <c r="BM12" s="28" t="str">
        <f>IF(ISERROR(IF(BL12="","",VLOOKUP((BC12&amp;BL12&amp;"Template desconto FLAT Plano Principal Oi TV nível conta"),BENEFICIOS!$A:$G,5,0))),"Criar",IF(BL12="","",VLOOKUP((BC12&amp;BL12&amp;"Template desconto FLAT Plano Principal Oi TV nível conta"),BENEFICIOS!$A:$G,5,0)))</f>
        <v/>
      </c>
      <c r="BN12" s="8"/>
      <c r="BO12" s="3" t="str">
        <f>IF(BN12=0,"",IF(BN12=VLOOKUP("PCS-OzTL44",ARBOR!$A:$C,3,0),0.0001,IF(BN12&gt;VLOOKUP("PCS-OzTL44",ARBOR!$A:$C,3,0),"Maior que CAP!",IF((DOLLAR(BN12+(VLOOKUP("PCS-OzTL44",ARBOR!$A:$C,3,0)*-TRUNC(BN12/VLOOKUP("PCS-OzTL44",ARBOR!$A:$C,3,0)-1,4)),6))&lt;&gt;(DOLLAR(VLOOKUP("PCS-OzTL44",ARBOR!$A:$C,3,0),6)),-TRUNC(BN12/VLOOKUP("PCS-OzTL44",ARBOR!$A:$C,3,0)-1,4)+0.0001,-TRUNC(BN12/VLOOKUP("PCS-OzTL44",ARBOR!$A:$C,3,0)-1,4)))))</f>
        <v/>
      </c>
      <c r="BP12" s="28" t="str">
        <f>IF(ISERROR(IF(BO12="","",VLOOKUP((BC12&amp;BO12&amp;"Template desconto FLAT Plano Principal Oi TV nível conta"),BENEFICIOS!$A:$G,5,0))),"Criar",IF(BO12="","",VLOOKUP((BC12&amp;BO12&amp;"Template desconto FLAT Plano Principal Oi TV nível conta"),BENEFICIOS!$A:$G,5,0)))</f>
        <v/>
      </c>
      <c r="BQ12" s="8"/>
      <c r="BR12" s="3" t="str">
        <f>IF(BQ12=0,"",IF(BQ12=VLOOKUP("PCS-OzTL43",ARBOR!$A:$C,3,0),0.0001,IF(BQ12&gt;VLOOKUP("PCS-OzTL43",ARBOR!$A:$C,3,0),"Maior que CAP!",IF((DOLLAR(BQ12+(VLOOKUP("PCS-OzTL43",ARBOR!$A:$C,3,0)*-TRUNC(BQ12/VLOOKUP("PCS-OzTL43",ARBOR!$A:$C,3,0)-1,4)),6))&lt;&gt;(DOLLAR(VLOOKUP("PCS-OzTL43",ARBOR!$A:$C,3,0),6)),-TRUNC(BQ12/VLOOKUP("PCS-OzTL43",ARBOR!$A:$C,3,0)-1,4)+0.0001,-TRUNC(BQ12/VLOOKUP("PCS-OzTL43",ARBOR!$A:$C,3,0)-1,4)))))</f>
        <v/>
      </c>
      <c r="BS12" s="28" t="str">
        <f>IF(ISERROR(IF(BR12="","",VLOOKUP((BC12&amp;BR12&amp;"Template desconto FLAT Plano Principal Oi TV nível conta"),BENEFICIOS!$A:$G,5,0))),"Criar",IF(BR12="","",VLOOKUP((BC12&amp;BR12&amp;"Template desconto FLAT Plano Principal Oi TV nível conta"),BENEFICIOS!$A:$G,5,0)))</f>
        <v/>
      </c>
      <c r="BT12" s="8"/>
      <c r="BU12" s="3" t="str">
        <f>IF(BT12=0,"",IF(BT12=VLOOKUP("PCS-OzTL45",ARBOR!$A:$C,3,0),0.0001,IF(BT12&gt;VLOOKUP("PCS-OzTL45",ARBOR!$A:$C,3,0),"Maior que CAP!",IF((DOLLAR(BT12+(VLOOKUP("PCS-OzTL45",ARBOR!$A:$C,3,0)*-TRUNC(BT12/VLOOKUP("PCS-OzTL45",ARBOR!$A:$C,3,0)-1,4)),6))&lt;&gt;(DOLLAR(VLOOKUP("PCS-OzTL45",ARBOR!$A:$C,3,0),6)),-TRUNC(BT12/VLOOKUP("PCS-OzTL45",ARBOR!$A:$C,3,0)-1,4)+0.0001,-TRUNC(BT12/VLOOKUP("PCS-OzTL45",ARBOR!$A:$C,3,0)-1,4)))))</f>
        <v/>
      </c>
      <c r="BV12" s="28" t="str">
        <f>IF(ISERROR(IF(BU12="","",VLOOKUP((BC12&amp;BU12&amp;"Template desconto FLAT Plano Principal Oi TV nível conta"),BENEFICIOS!$A:$G,5,0))),"Criar",IF(BU12="","",VLOOKUP((BC12&amp;BU12&amp;"Template desconto FLAT Plano Principal Oi TV nível conta"),BENEFICIOS!$A:$G,5,0)))</f>
        <v/>
      </c>
      <c r="BW12" s="8"/>
      <c r="BX12" s="3" t="str">
        <f>IF(BW12=0,"",IF(BW12=VLOOKUP("PCS-OzTL741",ARBOR!$A:$C,3,0),0.0001,IF(BW12&gt;VLOOKUP("PCS-OzTL741",ARBOR!$A:$C,3,0),"Maior que CAP!",IF((DOLLAR(BW12+(VLOOKUP("PCS-OzTL741",ARBOR!$A:$C,3,0)*-TRUNC(BW12/VLOOKUP("PCS-OzTL741",ARBOR!$A:$C,3,0)-1,4)),6))&lt;&gt;(DOLLAR(VLOOKUP("PCS-OzTL741",ARBOR!$A:$C,3,0),6)),-TRUNC(BW12/VLOOKUP("PCS-OzTL741",ARBOR!$A:$C,3,0)-1,4)+0.0001,-TRUNC(BW12/VLOOKUP("PCS-OzTL741",ARBOR!$A:$C,3,0)-1,4)))))</f>
        <v/>
      </c>
      <c r="BY12" s="28" t="str">
        <f>IF(ISERROR(IF(BX12="","",VLOOKUP((BC12&amp;BX12&amp;"Template desconto FLAT Plano Principal Oi TV nível conta"),BENEFICIOS!$A:$G,5,0))),"Criar",IF(BX12="","",VLOOKUP((BC12&amp;BX12&amp;"Template desconto FLAT Plano Principal Oi TV nível conta"),BENEFICIOS!$A:$G,5,0)))</f>
        <v/>
      </c>
      <c r="BZ12" s="8"/>
      <c r="CA12" s="3" t="str">
        <f>IF(BZ12=0,"",IF(BZ12=VLOOKUP("PCS-OzTL744",ARBOR!$A:$C,3,0),0.0001,IF(BZ12&gt;VLOOKUP("PCS-OzTL744",ARBOR!$A:$C,3,0),"Maior que CAP!",IF((DOLLAR(BZ12+(VLOOKUP("PCS-OzTL744",ARBOR!$A:$C,3,0)*-TRUNC(BZ12/VLOOKUP("PCS-OzTL744",ARBOR!$A:$C,3,0)-1,4)),6))&lt;&gt;(DOLLAR(VLOOKUP("PCS-OzTL744",ARBOR!$A:$C,3,0),6)),-TRUNC(BZ12/VLOOKUP("PCS-OzTL744",ARBOR!$A:$C,3,0)-1,4)+0.0001,-TRUNC(BZ12/VLOOKUP("PCS-OzTL744",ARBOR!$A:$C,3,0)-1,4)))))</f>
        <v/>
      </c>
      <c r="CB12" s="28" t="str">
        <f>IF(ISERROR(IF(CA12="","",VLOOKUP(($BC12&amp;CA12&amp;"Template desconto FLAT Plano Principal Oi TV nível conta"),BENEFICIOS!$A:$G,5,0))),"Criar",IF(CA12="","",VLOOKUP(($BC12&amp;CA12&amp;"Template desconto FLAT Plano Principal Oi TV nível conta"),BENEFICIOS!$A:$G,5,0)))</f>
        <v/>
      </c>
      <c r="CC12" s="8"/>
      <c r="CD12" s="3" t="str">
        <f>IF(CC12=0,"",IF(CC12=VLOOKUP("PCS-OzTL743",ARBOR!$A:$C,3,0),0.0001,IF(CC12&gt;VLOOKUP("PCS-OzTL743",ARBOR!$A:$C,3,0),"Maior que CAP!",IF((DOLLAR(CC12+(VLOOKUP("PCS-OzTL743",ARBOR!$A:$C,3,0)*-TRUNC(CC12/VLOOKUP("PCS-OzTL743",ARBOR!$A:$C,3,0)-1,4)),6))&lt;&gt;(DOLLAR(VLOOKUP("PCS-OzTL743",ARBOR!$A:$C,3,0),6)),-TRUNC(CC12/VLOOKUP("PCS-OzTL743",ARBOR!$A:$C,3,0)-1,4)+0.0001,-TRUNC(CC12/VLOOKUP("PCS-OzTL743",ARBOR!$A:$C,3,0)-1,4)))))</f>
        <v/>
      </c>
      <c r="CE12" s="28" t="str">
        <f>IF(ISERROR(IF(CD12="","",VLOOKUP(($BC12&amp;CD12&amp;"Template desconto FLAT Plano Principal Oi TV nível conta"),BENEFICIOS!$A:$G,5,0))),"Criar",IF(CD12="","",VLOOKUP(($BC12&amp;CD12&amp;"Template desconto FLAT Plano Principal Oi TV nível conta"),BENEFICIOS!$A:$G,5,0)))</f>
        <v/>
      </c>
      <c r="CF12" s="8"/>
      <c r="CG12" s="3" t="str">
        <f>IF(CF12=0,"",IF(CF12=VLOOKUP("PCS-OzTL745",ARBOR!$A:$C,3,0),0.0001,IF(CF12&gt;VLOOKUP("PCS-OzTL745",ARBOR!$A:$C,3,0),"Maior que CAP!",IF((DOLLAR(CF12+(VLOOKUP("PCS-OzTL745",ARBOR!$A:$C,3,0)*-TRUNC(CF12/VLOOKUP("PCS-OzTL745",ARBOR!$A:$C,3,0)-1,4)),6))&lt;&gt;(DOLLAR(VLOOKUP("PCS-OzTL745",ARBOR!$A:$C,3,0),6)),-TRUNC(CF12/VLOOKUP("PCS-OzTL745",ARBOR!$A:$C,3,0)-1,4)+0.0001,-TRUNC(CF12/VLOOKUP("PCS-OzTL745",ARBOR!$A:$C,3,0)-1,4)))))</f>
        <v/>
      </c>
      <c r="CH12" s="28" t="str">
        <f>IF(ISERROR(IF(CG12="","",VLOOKUP(($BC12&amp;CG12&amp;"Template desconto FLAT Plano Principal Oi TV nível conta"),BENEFICIOS!$A:$G,5,0))),"Criar",IF(CG12="","",VLOOKUP(($BC12&amp;CG12&amp;"Template desconto FLAT Plano Principal Oi TV nível conta"),BENEFICIOS!$A:$G,5,0)))</f>
        <v/>
      </c>
      <c r="CI12" s="8"/>
      <c r="CJ12" s="3" t="str">
        <f>IF(CI12=0,"",IF(CI12=VLOOKUP("PCS-OzTL42",ARBOR!$A:$C,3,0),0.0001,IF(CI12&gt;VLOOKUP("PCS-OzTL42",ARBOR!$A:$C,3,0),"Maior que CAP!",IF((DOLLAR(CI12+(VLOOKUP("PCS-OzTL42",ARBOR!$A:$C,3,0)*-TRUNC(CI12/VLOOKUP("PCS-OzTL42",ARBOR!$A:$C,3,0)-1,4)),6))&lt;&gt;(DOLLAR(VLOOKUP("PCS-OzTL42",ARBOR!$A:$C,3,0),6)),-TRUNC(CI12/VLOOKUP("PCS-OzTL42",ARBOR!$A:$C,3,0)-1,4)+0.0001,-TRUNC(CI12/VLOOKUP("PCS-OzTL42",ARBOR!$A:$C,3,0)-1,4)))))</f>
        <v/>
      </c>
      <c r="CK12" s="28" t="str">
        <f>IF(ISERROR(IF(CJ12="","",VLOOKUP(($BC12&amp;CJ12&amp;"Template desconto FLAT Plano Principal Oi TV nível conta"),BENEFICIOS!$A:$G,5,0))),"Criar",IF(CJ12="","",VLOOKUP(($BC12&amp;CJ12&amp;"Template desconto FLAT Plano Principal Oi TV nível conta"),BENEFICIOS!$A:$G,5,0)))</f>
        <v/>
      </c>
      <c r="CL12" s="8"/>
      <c r="CM12" s="3" t="str">
        <f>IF(CL12=0,"",IF(CL12=VLOOKUP("PCS-OzTL47",ARBOR!$A:$C,3,0),0.0001,IF(CL12&gt;VLOOKUP("PCS-OzTL47",ARBOR!$A:$C,3,0),"Maior que CAP!",IF((DOLLAR(CL12+(VLOOKUP("PCS-OzTL47",ARBOR!$A:$C,3,0)*-TRUNC(CL12/VLOOKUP("PCS-OzTL47",ARBOR!$A:$C,3,0)-1,4)),6))&lt;&gt;(DOLLAR(VLOOKUP("PCS-OzTL47",ARBOR!$A:$C,3,0),6)),-TRUNC(CL12/VLOOKUP("PCS-OzTL47",ARBOR!$A:$C,3,0)-1,4)+0.0001,-TRUNC(CL12/VLOOKUP("PCS-OzTL47",ARBOR!$A:$C,3,0)-1,4)))))</f>
        <v/>
      </c>
      <c r="CN12" s="28" t="str">
        <f>IF(ISERROR(IF(CM12="","",VLOOKUP(($BC12&amp;CM12&amp;"Template desconto FLAT Plano Principal Oi TV nível conta"),BENEFICIOS!$A:$G,5,0))),"Criar",IF(CM12="","",VLOOKUP(($BC12&amp;CM12&amp;"Template desconto FLAT Plano Principal Oi TV nível conta"),BENEFICIOS!$A:$G,5,0)))</f>
        <v/>
      </c>
      <c r="CO12" s="8"/>
      <c r="CP12" s="3" t="str">
        <f>IF(CO12=0,"",IF(CO12=VLOOKUP("PCS-OzTL46",ARBOR!$A:$C,3,0),0.0001,IF(CO12&gt;VLOOKUP("PCS-OzTL46",ARBOR!$A:$C,3,0),"Maior que CAP!",IF((DOLLAR(CO12+(VLOOKUP("PCS-OzTL46",ARBOR!$A:$C,3,0)*-TRUNC(CO12/VLOOKUP("PCS-OzTL46",ARBOR!$A:$C,3,0)-1,4)),6))&lt;&gt;(DOLLAR(VLOOKUP("PCS-OzTL46",ARBOR!$A:$C,3,0),6)),-TRUNC(CO12/VLOOKUP("PCS-OzTL46",ARBOR!$A:$C,3,0)-1,4)+0.0001,-TRUNC(CO12/VLOOKUP("PCS-OzTL46",ARBOR!$A:$C,3,0)-1,4)))))</f>
        <v/>
      </c>
      <c r="CQ12" s="28" t="str">
        <f>IF(ISERROR(IF(CP12="","",VLOOKUP(($BC12&amp;CP12&amp;"Template desconto FLAT Plano Principal Oi TV nível conta"),BENEFICIOS!$A:$G,5,0))),"Criar",IF(CP12="","",VLOOKUP(($BC12&amp;CP12&amp;"Template desconto FLAT Plano Principal Oi TV nível conta"),BENEFICIOS!$A:$G,5,0)))</f>
        <v/>
      </c>
      <c r="CR12" s="8"/>
      <c r="CS12" s="3" t="str">
        <f>IF(CR12=0,"",IF(CR12=VLOOKUP("PCS-OzTL48",ARBOR!$A:$C,3,0),0.0001,IF(CR12&gt;VLOOKUP("PCS-OzTL48",ARBOR!$A:$C,3,0),"Maior que CAP!",IF((DOLLAR(CR12+(VLOOKUP("PCS-OzTL48",ARBOR!$A:$C,3,0)*-TRUNC(CR12/VLOOKUP("PCS-OzTL48",ARBOR!$A:$C,3,0)-1,4)),6))&lt;&gt;(DOLLAR(VLOOKUP("PCS-OzTL48",ARBOR!$A:$C,3,0),6)),-TRUNC(CR12/VLOOKUP("PCS-OzTL48",ARBOR!$A:$C,3,0)-1,4)+0.0001,-TRUNC(CR12/VLOOKUP("PCS-OzTL48",ARBOR!$A:$C,3,0)-1,4)))))</f>
        <v/>
      </c>
      <c r="CT12" s="28" t="str">
        <f>IF(ISERROR(IF(CS12="","",VLOOKUP(($BC12&amp;CS12&amp;"Template desconto FLAT Plano Principal Oi TV nível conta"),BENEFICIOS!$A:$G,5,0))),"Criar",IF(CS12="","",VLOOKUP(($BC12&amp;CS12&amp;"Template desconto FLAT Plano Principal Oi TV nível conta"),BENEFICIOS!$A:$G,5,0)))</f>
        <v/>
      </c>
      <c r="CU12" s="8"/>
      <c r="CV12" s="3" t="str">
        <f>IF(CU12=0,"",IF(CU12=VLOOKUP("PCS-OzTL742",ARBOR!$A:$C,3,0),0.0001,IF(CU12&gt;VLOOKUP("PCS-OzTL742",ARBOR!$A:$C,3,0),"Maior que CAP!",IF((DOLLAR(CU12+(VLOOKUP("PCS-OzTL742",ARBOR!$A:$C,3,0)*-TRUNC(CU12/VLOOKUP("PCS-OzTL742",ARBOR!$A:$C,3,0)-1,4)),6))&lt;&gt;(DOLLAR(VLOOKUP("PCS-OzTL742",ARBOR!$A:$C,3,0),6)),-TRUNC(CU12/VLOOKUP("PCS-OzTL742",ARBOR!$A:$C,3,0)-1,4)+0.0001,-TRUNC(CU12/VLOOKUP("PCS-OzTL742",ARBOR!$A:$C,3,0)-1,4)))))</f>
        <v/>
      </c>
      <c r="CW12" s="28" t="str">
        <f>IF(ISERROR(IF(CV12="","",VLOOKUP(($BC12&amp;CV12&amp;"Template desconto FLAT Plano Principal Oi TV nível conta"),BENEFICIOS!$A:$G,5,0))),"Criar",IF(CV12="","",VLOOKUP(($BC12&amp;CV12&amp;"Template desconto FLAT Plano Principal Oi TV nível conta"),BENEFICIOS!$A:$G,5,0)))</f>
        <v/>
      </c>
      <c r="CX12" s="8"/>
      <c r="CY12" s="3" t="str">
        <f>IF(CX12=0,"",IF(CX12=VLOOKUP("PCS-OzTL747",ARBOR!$A:$C,3,0),0.0001,IF(CX12&gt;VLOOKUP("PCS-OzTL747",ARBOR!$A:$C,3,0),"Maior que CAP!",IF((DOLLAR(CX12+(VLOOKUP("PCS-OzTL747",ARBOR!$A:$C,3,0)*-TRUNC(CX12/VLOOKUP("PCS-OzTL747",ARBOR!$A:$C,3,0)-1,4)),6))&lt;&gt;(DOLLAR(VLOOKUP("PCS-OzTL747",ARBOR!$A:$C,3,0),6)),-TRUNC(CX12/VLOOKUP("PCS-OzTL747",ARBOR!$A:$C,3,0)-1,4)+0.0001,-TRUNC(CX12/VLOOKUP("PCS-OzTL747",ARBOR!$A:$C,3,0)-1,4)))))</f>
        <v/>
      </c>
      <c r="CZ12" s="28" t="str">
        <f>IF(ISERROR(IF(CY12="","",VLOOKUP(($BC12&amp;CY12&amp;"Template desconto FLAT Plano Principal Oi TV nível conta"),BENEFICIOS!$A:$G,5,0))),"Criar",IF(CY12="","",VLOOKUP(($BC12&amp;CY12&amp;"Template desconto FLAT Plano Principal Oi TV nível conta"),BENEFICIOS!$A:$G,5,0)))</f>
        <v/>
      </c>
      <c r="DA12" s="8"/>
      <c r="DB12" s="3" t="str">
        <f>IF(DA12=0,"",IF(DA12=VLOOKUP("PCS-OzTL746",ARBOR!$A:$C,3,0),0.0001,IF(DA12&gt;VLOOKUP("PCS-OzTL746",ARBOR!$A:$C,3,0),"Maior que CAP!",IF((DOLLAR(DA12+(VLOOKUP("PCS-OzTL746",ARBOR!$A:$C,3,0)*-TRUNC(DA12/VLOOKUP("PCS-OzTL746",ARBOR!$A:$C,3,0)-1,4)),6))&lt;&gt;(DOLLAR(VLOOKUP("PCS-OzTL746",ARBOR!$A:$C,3,0),6)),-TRUNC(DA12/VLOOKUP("PCS-OzTL746",ARBOR!$A:$C,3,0)-1,4)+0.0001,-TRUNC(DA12/VLOOKUP("PCS-OzTL746",ARBOR!$A:$C,3,0)-1,4)))))</f>
        <v/>
      </c>
      <c r="DC12" s="28" t="str">
        <f>IF(ISERROR(IF(DB12="","",VLOOKUP(($BC12&amp;DB12&amp;"Template desconto FLAT Plano Principal Oi TV nível conta"),BENEFICIOS!$A:$G,5,0))),"Criar",IF(DB12="","",VLOOKUP(($BC12&amp;DB12&amp;"Template desconto FLAT Plano Principal Oi TV nível conta"),BENEFICIOS!$A:$G,5,0)))</f>
        <v/>
      </c>
      <c r="DD12" s="8"/>
      <c r="DE12" s="3" t="str">
        <f>IF(DD12=0,"",IF(DD12=VLOOKUP("PCS-OzTL748",ARBOR!$A:$C,3,0),0.0001,IF(DD12&gt;VLOOKUP("PCS-OzTL748",ARBOR!$A:$C,3,0),"Maior que CAP!",IF((DOLLAR(DD12+(VLOOKUP("PCS-OzTL748",ARBOR!$A:$C,3,0)*-TRUNC(DD12/VLOOKUP("PCS-OzTL748",ARBOR!$A:$C,3,0)-1,4)),6))&lt;&gt;(DOLLAR(VLOOKUP("PCS-OzTL748",ARBOR!$A:$C,3,0),6)),-TRUNC(DD12/VLOOKUP("PCS-OzTL748",ARBOR!$A:$C,3,0)-1,4)+0.0001,-TRUNC(DD12/VLOOKUP("PCS-OzTL748",ARBOR!$A:$C,3,0)-1,4)))))</f>
        <v/>
      </c>
      <c r="DF12" s="28" t="str">
        <f>IF(ISERROR(IF(DE12="","",VLOOKUP(($BC12&amp;DE12&amp;"Template desconto FLAT Plano Principal Oi TV nível conta"),BENEFICIOS!$A:$G,5,0))),"Criar",IF(DE12="","",VLOOKUP(($BC12&amp;DE12&amp;"Template desconto FLAT Plano Principal Oi TV nível conta"),BENEFICIOS!$A:$G,5,0)))</f>
        <v/>
      </c>
      <c r="DG12" s="8"/>
      <c r="DH12" s="3" t="str">
        <f>IF(DG12=0,"",IF(DG12=VLOOKUP("PCS-OzTL34",ARBOR!$A:$C,3,0),0.0001,IF(DG12&gt;VLOOKUP("PCS-OzTL34",ARBOR!$A:$C,3,0),"Maior que CAP!",IF((DOLLAR(DG12+(VLOOKUP("PCS-OzTL34",ARBOR!$A:$C,3,0)*-TRUNC(DG12/VLOOKUP("PCS-OzTL34",ARBOR!$A:$C,3,0)-1,4)),6))&lt;&gt;(DOLLAR(VLOOKUP("PCS-OzTL34",ARBOR!$A:$C,3,0),6)),-TRUNC(DG12/VLOOKUP("PCS-OzTL34",ARBOR!$A:$C,3,0)-1,4)+0.0001,-TRUNC(DG12/VLOOKUP("PCS-OzTL34",ARBOR!$A:$C,3,0)-1,4)))))</f>
        <v/>
      </c>
      <c r="DI12" s="28" t="str">
        <f>IF(DH12="S/Desc","S/Desc",IF(ISERROR(IF(DH12="","",VLOOKUP(($BC12&amp;DH12&amp;"Template desconto % Combate nível conta"),BENEFICIOS!$A:$G,5,0))),"Criar",IF(DH12="","",VLOOKUP(($BC12&amp;DH12&amp;"Template desconto % Combate nível conta"),BENEFICIOS!$A:$G,5,0))))</f>
        <v/>
      </c>
      <c r="DJ12" s="8"/>
      <c r="DK12" s="3" t="str">
        <f>IF(DJ12=0,"",IF(DJ12=VLOOKUP("PCS-OzTL31",ARBOR!$A:$C,3,0),0.0001,IF(DJ12&gt;VLOOKUP("PCS-OzTL31",ARBOR!$A:$C,3,0),"Maior que CAP!",IF((DOLLAR(DJ12+(VLOOKUP("PCS-OzTL31",ARBOR!$A:$C,3,0)*-TRUNC(DJ12/VLOOKUP("PCS-OzTL31",ARBOR!$A:$C,3,0)-1,4)),6))&lt;&gt;(DOLLAR(VLOOKUP("PCS-OzTL31",ARBOR!$A:$C,3,0),6)),-TRUNC(DJ12/VLOOKUP("PCS-OzTL31",ARBOR!$A:$C,3,0)-1,4)+0.0001,-TRUNC(DJ12/VLOOKUP("PCS-OzTL31",ARBOR!$A:$C,3,0)-1,4)))))</f>
        <v/>
      </c>
      <c r="DL12" s="28" t="str">
        <f>IF(DK12="S/Desc","S/Desc",IF(ISERROR(IF(DK12="","",VLOOKUP(($BC12&amp;DK12&amp;"Template desconto % Sexy Hot nível conta"),BENEFICIOS!$A:$G,5,0))),"Criar",IF(DK12="","",VLOOKUP(($BC12&amp;DK12&amp;"Template desconto % Sexy Hot nível conta"),BENEFICIOS!$A:$G,5,0))))</f>
        <v/>
      </c>
      <c r="DM12" s="8"/>
      <c r="DN12" s="3" t="str">
        <f>IF(DM12=0,"",IF(DM12=VLOOKUP("PCS-OzTL32",ARBOR!$A:$C,3,0),0.0001,IF(DM12&gt;VLOOKUP("PCS-OzTL32",ARBOR!$A:$C,3,0),"Maior que CAP!",IF((DOLLAR(DM12+(VLOOKUP("PCS-OzTL32",ARBOR!$A:$C,3,0)*-TRUNC(DM12/VLOOKUP("PCS-OzTL32",ARBOR!$A:$C,3,0)-1,4)),6))&lt;&gt;(DOLLAR(VLOOKUP("PCS-OzTL32",ARBOR!$A:$C,3,0),6)),-TRUNC(DM12/VLOOKUP("PCS-OzTL32",ARBOR!$A:$C,3,0)-1,4)+0.0001,-TRUNC(DM12/VLOOKUP("PCS-OzTL32",ARBOR!$A:$C,3,0)-1,4)))))</f>
        <v/>
      </c>
      <c r="DO12" s="28" t="str">
        <f>IF(DN12="S/Desc","S/Desc",IF(ISERROR(IF(DN12="","",VLOOKUP(($BC12&amp;DN12&amp;"Template desconto % Playboy nível conta"),BENEFICIOS!$A:$G,5,0))),"Criar",IF(DN12="","",VLOOKUP(($BC12&amp;DN12&amp;"Template desconto % Playboy nível conta"),BENEFICIOS!$A:$G,5,0))))</f>
        <v/>
      </c>
      <c r="DP12" s="8"/>
      <c r="DQ12" s="3" t="str">
        <f>IF(DP12=0,"",IF(DP12=VLOOKUP("PCS-OzTL33",ARBOR!$A:$C,3,0),0.0001,IF(DP12&gt;VLOOKUP("PCS-OzTL33",ARBOR!$A:$C,3,0),"Maior que CAP!",IF((DOLLAR(DP12+(VLOOKUP("PCS-OzTL33",ARBOR!$A:$C,3,0)*-TRUNC(DP12/VLOOKUP("PCS-OzTL33",ARBOR!$A:$C,3,0)-1,4)),6))&lt;&gt;(DOLLAR(VLOOKUP("PCS-OzTL33",ARBOR!$A:$C,3,0),6)),-TRUNC(DP12/VLOOKUP("PCS-OzTL33",ARBOR!$A:$C,3,0)-1,4)+0.0001,-TRUNC(DP12/VLOOKUP("PCS-OzTL33",ARBOR!$A:$C,3,0)-1,4)))))</f>
        <v/>
      </c>
      <c r="DR12" s="28" t="str">
        <f>IF(DQ12="S/Desc","S/Desc",IF(ISERROR(IF(DQ12="","",VLOOKUP(($BC12&amp;DQ12&amp;"Template desconto % Sexy Hot + Playboy nível conta"),BENEFICIOS!$A:$G,5,0))),"Criar",IF(DQ12="","",VLOOKUP(($BC12&amp;DQ12&amp;"Template desconto % Sexy Hot + Playboy nível conta"),BENEFICIOS!$A:$G,5,0))))</f>
        <v/>
      </c>
      <c r="DS12" s="8"/>
      <c r="DT12" s="3" t="str">
        <f>IF(DS12=0,"",IF(DS12=VLOOKUP("PCS-OzTL503",ARBOR!$A:$C,3,0),0.0001,IF(DS12&gt;VLOOKUP("PCS-OzTL503",ARBOR!$A:$C,3,0),"Maior que CAP!",IF((DOLLAR(DS12+(VLOOKUP("PCS-OzTL503",ARBOR!$A:$C,3,0)*-TRUNC(DS12/VLOOKUP("PCS-OzTL503",ARBOR!$A:$C,3,0)-1,4)),6))&lt;&gt;(DOLLAR(VLOOKUP("PCS-OzTL503",ARBOR!$A:$C,3,0),6)),-TRUNC(DS12/VLOOKUP("PCS-OzTL503",ARBOR!$A:$C,3,0)-1,4)+0.0001,-TRUNC(DS12/VLOOKUP("PCS-OzTL503",ARBOR!$A:$C,3,0)-1,4)))))</f>
        <v/>
      </c>
      <c r="DU12" s="28" t="str">
        <f>IF(DT12="S/Desc","S/Desc",IF(ISERROR(IF(DT12="","",VLOOKUP(($BC12&amp;DT12&amp;"Template desconto % SexPrivê nível conta"),BENEFICIOS!$A:$G,5,0))),"Criar",IF(DT12="","",VLOOKUP(($BC12&amp;DT12&amp;"Template desconto % SexPrivê nível conta"),BENEFICIOS!$A:$G,5,0))))</f>
        <v/>
      </c>
      <c r="DV12" s="8"/>
      <c r="DW12" s="3" t="str">
        <f>IF(DV12=0,"",IF(DV12=VLOOKUP("PCS-OzTL500",ARBOR!$A:$C,3,0),0.0001,IF(DV12&gt;VLOOKUP("PCS-OzTL500",ARBOR!$A:$C,3,0),"Maior que CAP!",IF((DOLLAR(DV12+(VLOOKUP("PCS-OzTL500",ARBOR!$A:$C,3,0)*-TRUNC(DV12/VLOOKUP("PCS-OzTL500",ARBOR!$A:$C,3,0)-1,4)),6))&lt;&gt;(DOLLAR(VLOOKUP("PCS-OzTL500",ARBOR!$A:$C,3,0),6)),-TRUNC(DV12/VLOOKUP("PCS-OzTL500",ARBOR!$A:$C,3,0)-1,4)+0.0001,-TRUNC(DV12/VLOOKUP("PCS-OzTL500",ARBOR!$A:$C,3,0)-1,4)))))</f>
        <v/>
      </c>
      <c r="DX12" s="28" t="str">
        <f>IF(DW12="S/Desc","S/Desc",IF(ISERROR(IF(DW12="","",VLOOKUP(($BC12&amp;DW12&amp;"Template desconto % Étnico nível conta"),BENEFICIOS!$A:$G,5,0))),"Criar",IF(DW12="","",VLOOKUP(($BC12&amp;DW12&amp;"Template desconto % Étnico nível conta"),BENEFICIOS!$A:$G,5,0))))</f>
        <v/>
      </c>
      <c r="DY12" s="8"/>
      <c r="DZ12" s="181" t="str">
        <f>IF(DY12=0,"",IF(DY12=VLOOKUP("PCS-OzTL50",ARBOR!$A:$C,3,0),0.0001,IF(DY12&gt;VLOOKUP("PCS-OzTL50",ARBOR!$A:$C,3,0),"Maior que CAP!",IF((DOLLAR(DY12+(VLOOKUP("PCS-OzTL50",ARBOR!$A:$C,3,0)*-TRUNC(DY12/VLOOKUP("PCS-OzTL50",ARBOR!$A:$C,3,0)-1,4)),6))&lt;&gt;(DOLLAR(VLOOKUP("PCS-OzTL50",ARBOR!$A:$C,3,0),6)),-TRUNC(DY12/VLOOKUP("PCS-OzTL50",ARBOR!$A:$C,3,0)-1,4)+0.0001,-TRUNC(DY12/VLOOKUP("PCS-OzTL50",ARBOR!$A:$C,3,0)-1,4)))))</f>
        <v/>
      </c>
      <c r="EA12" s="28"/>
      <c r="EB12" s="8"/>
      <c r="EC12" s="181" t="str">
        <f>IF(EB12=0,"",IF(EB12=VLOOKUP("PCS-OzTL51",ARBOR!$A:$C,3,0),0.0001,IF(EB12&gt;VLOOKUP("PCS-OzTL51",ARBOR!$A:$C,3,0),"Maior que CAP!",IF((DOLLAR(EB12+(VLOOKUP("PCS-OzTL51",ARBOR!$A:$C,3,0)*-TRUNC(EB12/VLOOKUP("PCS-OzTL51",ARBOR!$A:$C,3,0)-1,4)),6))&lt;&gt;(DOLLAR(VLOOKUP("PCS-OzTL51",ARBOR!$A:$C,3,0),6)),-TRUNC(EB12/VLOOKUP("PCS-OzTL51",ARBOR!$A:$C,3,0)-1,4)+0.0001,-TRUNC(EB12/VLOOKUP("PCS-OzTL51",ARBOR!$A:$C,3,0)-1,4)))))</f>
        <v/>
      </c>
      <c r="ED12" s="28"/>
      <c r="EE12" s="8"/>
      <c r="EF12" s="181" t="str">
        <f>IF(EE12=0,"",IF(EE12=VLOOKUP("PCS-OzTL52",ARBOR!$A:$C,3,0),0.0001,IF(EE12&gt;VLOOKUP("PCS-OzTL52",ARBOR!$A:$C,3,0),"Maior que CAP!",IF((DOLLAR(EE12+(VLOOKUP("PCS-OzTL52",ARBOR!$A:$C,3,0)*-TRUNC(EE12/VLOOKUP("PCS-OzTL52",ARBOR!$A:$C,3,0)-1,4)),6))&lt;&gt;(DOLLAR(VLOOKUP("PCS-OzTL52",ARBOR!$A:$C,3,0),6)),-TRUNC(EE12/VLOOKUP("PCS-OzTL52",ARBOR!$A:$C,3,0)-1,4)+0.0001,-TRUNC(EE12/VLOOKUP("PCS-OzTL52",ARBOR!$A:$C,3,0)-1,4)))))</f>
        <v/>
      </c>
      <c r="EG12" s="28"/>
      <c r="EH12" s="8"/>
      <c r="EI12" s="181" t="str">
        <f>IF(EH12=0,"",IF(EH12=VLOOKUP("PCS-OzTL53",ARBOR!$A:$C,3,0),0.0001,IF(EH12&gt;VLOOKUP("PCS-OzTL53",ARBOR!$A:$C,3,0),"Maior que CAP!",IF((DOLLAR(EH12+(VLOOKUP("PCS-OzTL53",ARBOR!$A:$C,3,0)*-TRUNC(EH12/VLOOKUP("PCS-OzTL53",ARBOR!$A:$C,3,0)-1,4)),6))&lt;&gt;(DOLLAR(VLOOKUP("PCS-OzTL53",ARBOR!$A:$C,3,0),6)),-TRUNC(EH12/VLOOKUP("PCS-OzTL53",ARBOR!$A:$C,3,0)-1,4)+0.0001,-TRUNC(EH12/VLOOKUP("PCS-OzTL53",ARBOR!$A:$C,3,0)-1,4)))))</f>
        <v/>
      </c>
      <c r="EJ12" s="28"/>
      <c r="EK12" s="8"/>
      <c r="EL12" s="181" t="str">
        <f>IF(EK12=0,"",IF(EK12=VLOOKUP("PCS-OzTL54",ARBOR!$A:$C,3,0),0.0001,IF(EK12&gt;VLOOKUP("PCS-OzTL54",ARBOR!$A:$C,3,0),"Maior que CAP!",IF((DOLLAR(EK12+(VLOOKUP("PCS-OzTL54",ARBOR!$A:$C,3,0)*-TRUNC(EK12/VLOOKUP("PCS-OzTL54",ARBOR!$A:$C,3,0)-1,4)),6))&lt;&gt;(DOLLAR(VLOOKUP("PCS-OzTL54",ARBOR!$A:$C,3,0),6)),-TRUNC(EK12/VLOOKUP("PCS-OzTL54",ARBOR!$A:$C,3,0)-1,4)+0.0001,-TRUNC(EK12/VLOOKUP("PCS-OzTL54",ARBOR!$A:$C,3,0)-1,4)))))</f>
        <v/>
      </c>
      <c r="EM12" s="28"/>
      <c r="EN12" s="8"/>
      <c r="EO12" s="3" t="str">
        <f>IF(EN12=0,"",IF(EN12=VLOOKUP("PCS-OzTL99",ARBOR!$A:$C,3,0),0.0001,IF(EN12&gt;VLOOKUP("PCS-OzTL99",ARBOR!$A:$C,3,0),"Maior que CAP!",IF((DOLLAR(EN12+(VLOOKUP("PCS-OzTL99",ARBOR!$A:$C,3,0)*-TRUNC(EN12/VLOOKUP("PCS-OzTL99",ARBOR!$A:$C,3,0)-1,4)),6))&lt;&gt;(DOLLAR(VLOOKUP("PCS-OzTL99",ARBOR!$A:$C,3,0),6)),-TRUNC(EN12/VLOOKUP("PCS-OzTL99",ARBOR!$A:$C,3,0)-1,4)+0.0001,-TRUNC(EN12/VLOOKUP("PCS-OzTL99",ARBOR!$A:$C,3,0)-1,4)))))</f>
        <v/>
      </c>
      <c r="EP12" s="28" t="str">
        <f>IF(EO12="S/Desc","S/Desc",IF(ISERROR(IF(EO12="","",VLOOKUP(($BC12&amp;EO12&amp;"Template desconto % Ponto adicional nível conta"),BENEFICIOS!$A:$G,5,0))),"Criar",IF(EO12="","",VLOOKUP(($BC12&amp;EO12&amp;"Template desconto % Ponto adicional nível conta"),BENEFICIOS!$A:$G,5,0))))</f>
        <v/>
      </c>
      <c r="EQ12" s="8"/>
      <c r="ER12" s="28" t="str">
        <f t="shared" si="1"/>
        <v/>
      </c>
      <c r="ES12" s="62"/>
      <c r="ET12" s="126"/>
      <c r="EU12" s="127"/>
      <c r="EV12" s="126"/>
      <c r="EW12" s="128" t="str">
        <f t="shared" si="2"/>
        <v/>
      </c>
      <c r="EX12" s="129" t="str">
        <f t="shared" si="3"/>
        <v/>
      </c>
      <c r="EY12" s="91" t="str">
        <f t="shared" si="4"/>
        <v/>
      </c>
      <c r="EZ12" s="85"/>
      <c r="FA12" s="97"/>
      <c r="FB12" s="91"/>
      <c r="FC12" s="85"/>
      <c r="FD12" s="97"/>
      <c r="FE12" s="91"/>
      <c r="FF12" s="87"/>
      <c r="FG12" s="144" t="str">
        <f t="shared" si="5"/>
        <v/>
      </c>
      <c r="FH12" s="144" t="str">
        <f t="shared" si="6"/>
        <v/>
      </c>
      <c r="FI12" s="144" t="str">
        <f t="shared" si="7"/>
        <v/>
      </c>
      <c r="FJ12" s="144" t="str">
        <f t="shared" si="8"/>
        <v/>
      </c>
      <c r="FK12" s="144" t="str">
        <f t="shared" si="9"/>
        <v/>
      </c>
      <c r="FL12" s="144" t="str">
        <f t="shared" si="10"/>
        <v/>
      </c>
      <c r="FM12" s="144" t="str">
        <f t="shared" si="11"/>
        <v/>
      </c>
      <c r="FN12" s="144" t="str">
        <f t="shared" si="12"/>
        <v/>
      </c>
      <c r="FO12" s="144" t="str">
        <f t="shared" si="13"/>
        <v/>
      </c>
      <c r="FP12" s="144" t="str">
        <f t="shared" si="14"/>
        <v/>
      </c>
      <c r="FQ12" s="144" t="str">
        <f t="shared" si="15"/>
        <v/>
      </c>
      <c r="FR12" s="144" t="str">
        <f t="shared" si="16"/>
        <v/>
      </c>
      <c r="FS12" s="144" t="str">
        <f t="shared" si="17"/>
        <v/>
      </c>
      <c r="FT12" s="144" t="str">
        <f t="shared" si="18"/>
        <v/>
      </c>
      <c r="FU12" s="144" t="str">
        <f t="shared" si="19"/>
        <v/>
      </c>
      <c r="FV12" s="144" t="str">
        <f t="shared" si="20"/>
        <v/>
      </c>
      <c r="FW12" s="144" t="str">
        <f t="shared" si="21"/>
        <v/>
      </c>
      <c r="FX12" s="151"/>
      <c r="FY12" s="152"/>
      <c r="FZ12" s="152"/>
      <c r="GA12" s="152"/>
      <c r="GB12" s="152"/>
      <c r="GC12" s="152"/>
      <c r="GD12" s="152"/>
      <c r="GE12" s="152"/>
      <c r="GF12" s="152"/>
      <c r="GG12" s="153"/>
    </row>
    <row r="13" spans="1:189">
      <c r="A13" s="45"/>
      <c r="B13" s="133"/>
      <c r="C13" s="133"/>
      <c r="D13" s="46"/>
      <c r="E13" s="47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9"/>
      <c r="U13" s="48"/>
      <c r="V13" s="49"/>
      <c r="W13" s="48"/>
      <c r="X13" s="48"/>
      <c r="Y13" s="48"/>
      <c r="Z13" s="48"/>
      <c r="AA13" s="49"/>
      <c r="AB13" s="48"/>
      <c r="AC13" s="50"/>
      <c r="AD13" s="48"/>
      <c r="AE13" s="48"/>
      <c r="AF13" s="48"/>
      <c r="AG13" s="48"/>
      <c r="AH13" s="48"/>
      <c r="AI13" s="48"/>
      <c r="AJ13" s="48"/>
      <c r="AK13" s="48"/>
      <c r="AL13" s="51"/>
      <c r="AM13" s="37"/>
      <c r="AN13" s="38"/>
      <c r="AO13" s="39"/>
      <c r="AP13" s="52"/>
      <c r="AQ13" s="53"/>
      <c r="AR13" s="64"/>
      <c r="AS13" s="65"/>
      <c r="AT13" s="54"/>
      <c r="AU13" s="54"/>
      <c r="AV13" s="54"/>
      <c r="AW13" s="54"/>
      <c r="AX13" s="70"/>
      <c r="AY13" s="71"/>
      <c r="AZ13" s="72"/>
      <c r="BA13" s="73"/>
      <c r="BB13" s="55"/>
      <c r="BC13" s="56"/>
      <c r="BD13" s="27" t="str">
        <f t="shared" si="0"/>
        <v/>
      </c>
      <c r="BE13" s="58"/>
      <c r="BF13" s="3" t="str">
        <f>IF(BE13=0,"",IF(BE13=VLOOKUP("FIXO",ARBOR!$A:$C,3,0),0.0001,IF(BE13&gt;VLOOKUP("FIXO",ARBOR!$A:$C,3,0),"Maior que CAP!",IF((DOLLAR(BE13+(VLOOKUP("FIXO",ARBOR!$A:$C,3,0)*-TRUNC(BE13/VLOOKUP("FIXO",ARBOR!$A:$C,3,0)-1,4)),6))&lt;&gt;(DOLLAR(VLOOKUP("FIXO",ARBOR!$A:$C,3,0),6)),-TRUNC(BE13/VLOOKUP("FIXO",ARBOR!$A:$C,3,0)-1,4)+0.0001,-TRUNC(BE13/VLOOKUP("FIXO",ARBOR!$A:$C,3,0)-1,4)))))</f>
        <v/>
      </c>
      <c r="BG13" s="10" t="str">
        <f>IF(ISERROR(IF(BF13="","",VLOOKUP(($BC13&amp;BF13&amp;"Template de desconto FLAT bundle - Fixo - Varejo - Ganho Tributário Cross"),BENEFICIOS!$A:$G,5,0))),"Criar",IF(BF13="","",VLOOKUP(($BC13&amp;BF13&amp;"Template de desconto FLAT bundle - Fixo - Varejo - Ganho Tributário Cross"),BENEFICIOS!$A:$G,5,0)))</f>
        <v/>
      </c>
      <c r="BH13" s="8"/>
      <c r="BI13" s="3" t="str">
        <f>IF(BH13=0,"",IF(BH13=VLOOKUP("PCS-OzTL40",ARBOR!$A:$C,3,0),0.0001,IF(BH13&gt;VLOOKUP("PCS-OzTL40",ARBOR!$A:$C,3,0),"Maior que CAP!",IF((DOLLAR(BH13+(VLOOKUP("PCS-OzTL40",ARBOR!$A:$C,3,0)*-TRUNC(BH13/VLOOKUP("PCS-OzTL40",ARBOR!$A:$C,3,0)-1,4)),6))&lt;&gt;(DOLLAR(VLOOKUP("PCS-OzTL40",ARBOR!$A:$C,3,0),6)),-TRUNC(BH13/VLOOKUP("PCS-OzTL40",ARBOR!$A:$C,3,0)-1,4)+0.0001,-TRUNC(BH13/VLOOKUP("PCS-OzTL40",ARBOR!$A:$C,3,0)-1,4)))))</f>
        <v/>
      </c>
      <c r="BJ13" s="10" t="str">
        <f>IF(ISERROR(IF(BI13="","",VLOOKUP((BC13&amp;BI13&amp;"Template desconto FLAT Plano Principal Oi TV nível conta"),BENEFICIOS!$A:$G,5,0))),"Criar",IF(BI13="","",VLOOKUP((BC13&amp;BI13&amp;"Template desconto FLAT Plano Principal Oi TV nível conta"),BENEFICIOS!$A:$G,5,0)))</f>
        <v/>
      </c>
      <c r="BK13" s="8"/>
      <c r="BL13" s="3" t="str">
        <f>IF(BK13=0,"",IF(BK13=VLOOKUP("PCS-OzTL41",ARBOR!$A:$C,3,0),0.0001,IF(BK13&gt;VLOOKUP("PCS-OzTL41",ARBOR!$A:$C,3,0),"Maior que CAP!",IF((DOLLAR(BK13+(VLOOKUP("PCS-OzTL41",ARBOR!$A:$C,3,0)*-TRUNC(BK13/VLOOKUP("PCS-OzTL41",ARBOR!$A:$C,3,0)-1,4)),6))&lt;&gt;(DOLLAR(VLOOKUP("PCS-OzTL41",ARBOR!$A:$C,3,0),6)),-TRUNC(BK13/VLOOKUP("PCS-OzTL41",ARBOR!$A:$C,3,0)-1,4)+0.0001,-TRUNC(BK13/VLOOKUP("PCS-OzTL41",ARBOR!$A:$C,3,0)-1,4)))))</f>
        <v/>
      </c>
      <c r="BM13" s="28" t="str">
        <f>IF(ISERROR(IF(BL13="","",VLOOKUP((BC13&amp;BL13&amp;"Template desconto FLAT Plano Principal Oi TV nível conta"),BENEFICIOS!$A:$G,5,0))),"Criar",IF(BL13="","",VLOOKUP((BC13&amp;BL13&amp;"Template desconto FLAT Plano Principal Oi TV nível conta"),BENEFICIOS!$A:$G,5,0)))</f>
        <v/>
      </c>
      <c r="BN13" s="8"/>
      <c r="BO13" s="3" t="str">
        <f>IF(BN13=0,"",IF(BN13=VLOOKUP("PCS-OzTL44",ARBOR!$A:$C,3,0),0.0001,IF(BN13&gt;VLOOKUP("PCS-OzTL44",ARBOR!$A:$C,3,0),"Maior que CAP!",IF((DOLLAR(BN13+(VLOOKUP("PCS-OzTL44",ARBOR!$A:$C,3,0)*-TRUNC(BN13/VLOOKUP("PCS-OzTL44",ARBOR!$A:$C,3,0)-1,4)),6))&lt;&gt;(DOLLAR(VLOOKUP("PCS-OzTL44",ARBOR!$A:$C,3,0),6)),-TRUNC(BN13/VLOOKUP("PCS-OzTL44",ARBOR!$A:$C,3,0)-1,4)+0.0001,-TRUNC(BN13/VLOOKUP("PCS-OzTL44",ARBOR!$A:$C,3,0)-1,4)))))</f>
        <v/>
      </c>
      <c r="BP13" s="28" t="str">
        <f>IF(ISERROR(IF(BO13="","",VLOOKUP((BC13&amp;BO13&amp;"Template desconto FLAT Plano Principal Oi TV nível conta"),BENEFICIOS!$A:$G,5,0))),"Criar",IF(BO13="","",VLOOKUP((BC13&amp;BO13&amp;"Template desconto FLAT Plano Principal Oi TV nível conta"),BENEFICIOS!$A:$G,5,0)))</f>
        <v/>
      </c>
      <c r="BQ13" s="8"/>
      <c r="BR13" s="3" t="str">
        <f>IF(BQ13=0,"",IF(BQ13=VLOOKUP("PCS-OzTL43",ARBOR!$A:$C,3,0),0.0001,IF(BQ13&gt;VLOOKUP("PCS-OzTL43",ARBOR!$A:$C,3,0),"Maior que CAP!",IF((DOLLAR(BQ13+(VLOOKUP("PCS-OzTL43",ARBOR!$A:$C,3,0)*-TRUNC(BQ13/VLOOKUP("PCS-OzTL43",ARBOR!$A:$C,3,0)-1,4)),6))&lt;&gt;(DOLLAR(VLOOKUP("PCS-OzTL43",ARBOR!$A:$C,3,0),6)),-TRUNC(BQ13/VLOOKUP("PCS-OzTL43",ARBOR!$A:$C,3,0)-1,4)+0.0001,-TRUNC(BQ13/VLOOKUP("PCS-OzTL43",ARBOR!$A:$C,3,0)-1,4)))))</f>
        <v/>
      </c>
      <c r="BS13" s="28" t="str">
        <f>IF(ISERROR(IF(BR13="","",VLOOKUP((BC13&amp;BR13&amp;"Template desconto FLAT Plano Principal Oi TV nível conta"),BENEFICIOS!$A:$G,5,0))),"Criar",IF(BR13="","",VLOOKUP((BC13&amp;BR13&amp;"Template desconto FLAT Plano Principal Oi TV nível conta"),BENEFICIOS!$A:$G,5,0)))</f>
        <v/>
      </c>
      <c r="BT13" s="8"/>
      <c r="BU13" s="3" t="str">
        <f>IF(BT13=0,"",IF(BT13=VLOOKUP("PCS-OzTL45",ARBOR!$A:$C,3,0),0.0001,IF(BT13&gt;VLOOKUP("PCS-OzTL45",ARBOR!$A:$C,3,0),"Maior que CAP!",IF((DOLLAR(BT13+(VLOOKUP("PCS-OzTL45",ARBOR!$A:$C,3,0)*-TRUNC(BT13/VLOOKUP("PCS-OzTL45",ARBOR!$A:$C,3,0)-1,4)),6))&lt;&gt;(DOLLAR(VLOOKUP("PCS-OzTL45",ARBOR!$A:$C,3,0),6)),-TRUNC(BT13/VLOOKUP("PCS-OzTL45",ARBOR!$A:$C,3,0)-1,4)+0.0001,-TRUNC(BT13/VLOOKUP("PCS-OzTL45",ARBOR!$A:$C,3,0)-1,4)))))</f>
        <v/>
      </c>
      <c r="BV13" s="28" t="str">
        <f>IF(ISERROR(IF(BU13="","",VLOOKUP((BC13&amp;BU13&amp;"Template desconto FLAT Plano Principal Oi TV nível conta"),BENEFICIOS!$A:$G,5,0))),"Criar",IF(BU13="","",VLOOKUP((BC13&amp;BU13&amp;"Template desconto FLAT Plano Principal Oi TV nível conta"),BENEFICIOS!$A:$G,5,0)))</f>
        <v/>
      </c>
      <c r="BW13" s="8"/>
      <c r="BX13" s="3" t="str">
        <f>IF(BW13=0,"",IF(BW13=VLOOKUP("PCS-OzTL741",ARBOR!$A:$C,3,0),0.0001,IF(BW13&gt;VLOOKUP("PCS-OzTL741",ARBOR!$A:$C,3,0),"Maior que CAP!",IF((DOLLAR(BW13+(VLOOKUP("PCS-OzTL741",ARBOR!$A:$C,3,0)*-TRUNC(BW13/VLOOKUP("PCS-OzTL741",ARBOR!$A:$C,3,0)-1,4)),6))&lt;&gt;(DOLLAR(VLOOKUP("PCS-OzTL741",ARBOR!$A:$C,3,0),6)),-TRUNC(BW13/VLOOKUP("PCS-OzTL741",ARBOR!$A:$C,3,0)-1,4)+0.0001,-TRUNC(BW13/VLOOKUP("PCS-OzTL741",ARBOR!$A:$C,3,0)-1,4)))))</f>
        <v/>
      </c>
      <c r="BY13" s="28" t="str">
        <f>IF(ISERROR(IF(BX13="","",VLOOKUP((BC13&amp;BX13&amp;"Template desconto FLAT Plano Principal Oi TV nível conta"),BENEFICIOS!$A:$G,5,0))),"Criar",IF(BX13="","",VLOOKUP((BC13&amp;BX13&amp;"Template desconto FLAT Plano Principal Oi TV nível conta"),BENEFICIOS!$A:$G,5,0)))</f>
        <v/>
      </c>
      <c r="BZ13" s="8"/>
      <c r="CA13" s="3" t="str">
        <f>IF(BZ13=0,"",IF(BZ13=VLOOKUP("PCS-OzTL744",ARBOR!$A:$C,3,0),0.0001,IF(BZ13&gt;VLOOKUP("PCS-OzTL744",ARBOR!$A:$C,3,0),"Maior que CAP!",IF((DOLLAR(BZ13+(VLOOKUP("PCS-OzTL744",ARBOR!$A:$C,3,0)*-TRUNC(BZ13/VLOOKUP("PCS-OzTL744",ARBOR!$A:$C,3,0)-1,4)),6))&lt;&gt;(DOLLAR(VLOOKUP("PCS-OzTL744",ARBOR!$A:$C,3,0),6)),-TRUNC(BZ13/VLOOKUP("PCS-OzTL744",ARBOR!$A:$C,3,0)-1,4)+0.0001,-TRUNC(BZ13/VLOOKUP("PCS-OzTL744",ARBOR!$A:$C,3,0)-1,4)))))</f>
        <v/>
      </c>
      <c r="CB13" s="28" t="str">
        <f>IF(ISERROR(IF(CA13="","",VLOOKUP(($BC13&amp;CA13&amp;"Template desconto FLAT Plano Principal Oi TV nível conta"),BENEFICIOS!$A:$G,5,0))),"Criar",IF(CA13="","",VLOOKUP(($BC13&amp;CA13&amp;"Template desconto FLAT Plano Principal Oi TV nível conta"),BENEFICIOS!$A:$G,5,0)))</f>
        <v/>
      </c>
      <c r="CC13" s="8"/>
      <c r="CD13" s="3" t="str">
        <f>IF(CC13=0,"",IF(CC13=VLOOKUP("PCS-OzTL743",ARBOR!$A:$C,3,0),0.0001,IF(CC13&gt;VLOOKUP("PCS-OzTL743",ARBOR!$A:$C,3,0),"Maior que CAP!",IF((DOLLAR(CC13+(VLOOKUP("PCS-OzTL743",ARBOR!$A:$C,3,0)*-TRUNC(CC13/VLOOKUP("PCS-OzTL743",ARBOR!$A:$C,3,0)-1,4)),6))&lt;&gt;(DOLLAR(VLOOKUP("PCS-OzTL743",ARBOR!$A:$C,3,0),6)),-TRUNC(CC13/VLOOKUP("PCS-OzTL743",ARBOR!$A:$C,3,0)-1,4)+0.0001,-TRUNC(CC13/VLOOKUP("PCS-OzTL743",ARBOR!$A:$C,3,0)-1,4)))))</f>
        <v/>
      </c>
      <c r="CE13" s="28" t="str">
        <f>IF(ISERROR(IF(CD13="","",VLOOKUP(($BC13&amp;CD13&amp;"Template desconto FLAT Plano Principal Oi TV nível conta"),BENEFICIOS!$A:$G,5,0))),"Criar",IF(CD13="","",VLOOKUP(($BC13&amp;CD13&amp;"Template desconto FLAT Plano Principal Oi TV nível conta"),BENEFICIOS!$A:$G,5,0)))</f>
        <v/>
      </c>
      <c r="CF13" s="8"/>
      <c r="CG13" s="3" t="str">
        <f>IF(CF13=0,"",IF(CF13=VLOOKUP("PCS-OzTL745",ARBOR!$A:$C,3,0),0.0001,IF(CF13&gt;VLOOKUP("PCS-OzTL745",ARBOR!$A:$C,3,0),"Maior que CAP!",IF((DOLLAR(CF13+(VLOOKUP("PCS-OzTL745",ARBOR!$A:$C,3,0)*-TRUNC(CF13/VLOOKUP("PCS-OzTL745",ARBOR!$A:$C,3,0)-1,4)),6))&lt;&gt;(DOLLAR(VLOOKUP("PCS-OzTL745",ARBOR!$A:$C,3,0),6)),-TRUNC(CF13/VLOOKUP("PCS-OzTL745",ARBOR!$A:$C,3,0)-1,4)+0.0001,-TRUNC(CF13/VLOOKUP("PCS-OzTL745",ARBOR!$A:$C,3,0)-1,4)))))</f>
        <v/>
      </c>
      <c r="CH13" s="28" t="str">
        <f>IF(ISERROR(IF(CG13="","",VLOOKUP(($BC13&amp;CG13&amp;"Template desconto FLAT Plano Principal Oi TV nível conta"),BENEFICIOS!$A:$G,5,0))),"Criar",IF(CG13="","",VLOOKUP(($BC13&amp;CG13&amp;"Template desconto FLAT Plano Principal Oi TV nível conta"),BENEFICIOS!$A:$G,5,0)))</f>
        <v/>
      </c>
      <c r="CI13" s="8"/>
      <c r="CJ13" s="3" t="str">
        <f>IF(CI13=0,"",IF(CI13=VLOOKUP("PCS-OzTL42",ARBOR!$A:$C,3,0),0.0001,IF(CI13&gt;VLOOKUP("PCS-OzTL42",ARBOR!$A:$C,3,0),"Maior que CAP!",IF((DOLLAR(CI13+(VLOOKUP("PCS-OzTL42",ARBOR!$A:$C,3,0)*-TRUNC(CI13/VLOOKUP("PCS-OzTL42",ARBOR!$A:$C,3,0)-1,4)),6))&lt;&gt;(DOLLAR(VLOOKUP("PCS-OzTL42",ARBOR!$A:$C,3,0),6)),-TRUNC(CI13/VLOOKUP("PCS-OzTL42",ARBOR!$A:$C,3,0)-1,4)+0.0001,-TRUNC(CI13/VLOOKUP("PCS-OzTL42",ARBOR!$A:$C,3,0)-1,4)))))</f>
        <v/>
      </c>
      <c r="CK13" s="28" t="str">
        <f>IF(ISERROR(IF(CJ13="","",VLOOKUP(($BC13&amp;CJ13&amp;"Template desconto FLAT Plano Principal Oi TV nível conta"),BENEFICIOS!$A:$G,5,0))),"Criar",IF(CJ13="","",VLOOKUP(($BC13&amp;CJ13&amp;"Template desconto FLAT Plano Principal Oi TV nível conta"),BENEFICIOS!$A:$G,5,0)))</f>
        <v/>
      </c>
      <c r="CL13" s="8"/>
      <c r="CM13" s="3" t="str">
        <f>IF(CL13=0,"",IF(CL13=VLOOKUP("PCS-OzTL47",ARBOR!$A:$C,3,0),0.0001,IF(CL13&gt;VLOOKUP("PCS-OzTL47",ARBOR!$A:$C,3,0),"Maior que CAP!",IF((DOLLAR(CL13+(VLOOKUP("PCS-OzTL47",ARBOR!$A:$C,3,0)*-TRUNC(CL13/VLOOKUP("PCS-OzTL47",ARBOR!$A:$C,3,0)-1,4)),6))&lt;&gt;(DOLLAR(VLOOKUP("PCS-OzTL47",ARBOR!$A:$C,3,0),6)),-TRUNC(CL13/VLOOKUP("PCS-OzTL47",ARBOR!$A:$C,3,0)-1,4)+0.0001,-TRUNC(CL13/VLOOKUP("PCS-OzTL47",ARBOR!$A:$C,3,0)-1,4)))))</f>
        <v/>
      </c>
      <c r="CN13" s="28" t="str">
        <f>IF(ISERROR(IF(CM13="","",VLOOKUP(($BC13&amp;CM13&amp;"Template desconto FLAT Plano Principal Oi TV nível conta"),BENEFICIOS!$A:$G,5,0))),"Criar",IF(CM13="","",VLOOKUP(($BC13&amp;CM13&amp;"Template desconto FLAT Plano Principal Oi TV nível conta"),BENEFICIOS!$A:$G,5,0)))</f>
        <v/>
      </c>
      <c r="CO13" s="8"/>
      <c r="CP13" s="3" t="str">
        <f>IF(CO13=0,"",IF(CO13=VLOOKUP("PCS-OzTL46",ARBOR!$A:$C,3,0),0.0001,IF(CO13&gt;VLOOKUP("PCS-OzTL46",ARBOR!$A:$C,3,0),"Maior que CAP!",IF((DOLLAR(CO13+(VLOOKUP("PCS-OzTL46",ARBOR!$A:$C,3,0)*-TRUNC(CO13/VLOOKUP("PCS-OzTL46",ARBOR!$A:$C,3,0)-1,4)),6))&lt;&gt;(DOLLAR(VLOOKUP("PCS-OzTL46",ARBOR!$A:$C,3,0),6)),-TRUNC(CO13/VLOOKUP("PCS-OzTL46",ARBOR!$A:$C,3,0)-1,4)+0.0001,-TRUNC(CO13/VLOOKUP("PCS-OzTL46",ARBOR!$A:$C,3,0)-1,4)))))</f>
        <v/>
      </c>
      <c r="CQ13" s="28" t="str">
        <f>IF(ISERROR(IF(CP13="","",VLOOKUP(($BC13&amp;CP13&amp;"Template desconto FLAT Plano Principal Oi TV nível conta"),BENEFICIOS!$A:$G,5,0))),"Criar",IF(CP13="","",VLOOKUP(($BC13&amp;CP13&amp;"Template desconto FLAT Plano Principal Oi TV nível conta"),BENEFICIOS!$A:$G,5,0)))</f>
        <v/>
      </c>
      <c r="CR13" s="8"/>
      <c r="CS13" s="3" t="str">
        <f>IF(CR13=0,"",IF(CR13=VLOOKUP("PCS-OzTL48",ARBOR!$A:$C,3,0),0.0001,IF(CR13&gt;VLOOKUP("PCS-OzTL48",ARBOR!$A:$C,3,0),"Maior que CAP!",IF((DOLLAR(CR13+(VLOOKUP("PCS-OzTL48",ARBOR!$A:$C,3,0)*-TRUNC(CR13/VLOOKUP("PCS-OzTL48",ARBOR!$A:$C,3,0)-1,4)),6))&lt;&gt;(DOLLAR(VLOOKUP("PCS-OzTL48",ARBOR!$A:$C,3,0),6)),-TRUNC(CR13/VLOOKUP("PCS-OzTL48",ARBOR!$A:$C,3,0)-1,4)+0.0001,-TRUNC(CR13/VLOOKUP("PCS-OzTL48",ARBOR!$A:$C,3,0)-1,4)))))</f>
        <v/>
      </c>
      <c r="CT13" s="28" t="str">
        <f>IF(ISERROR(IF(CS13="","",VLOOKUP(($BC13&amp;CS13&amp;"Template desconto FLAT Plano Principal Oi TV nível conta"),BENEFICIOS!$A:$G,5,0))),"Criar",IF(CS13="","",VLOOKUP(($BC13&amp;CS13&amp;"Template desconto FLAT Plano Principal Oi TV nível conta"),BENEFICIOS!$A:$G,5,0)))</f>
        <v/>
      </c>
      <c r="CU13" s="8"/>
      <c r="CV13" s="3" t="str">
        <f>IF(CU13=0,"",IF(CU13=VLOOKUP("PCS-OzTL742",ARBOR!$A:$C,3,0),0.0001,IF(CU13&gt;VLOOKUP("PCS-OzTL742",ARBOR!$A:$C,3,0),"Maior que CAP!",IF((DOLLAR(CU13+(VLOOKUP("PCS-OzTL742",ARBOR!$A:$C,3,0)*-TRUNC(CU13/VLOOKUP("PCS-OzTL742",ARBOR!$A:$C,3,0)-1,4)),6))&lt;&gt;(DOLLAR(VLOOKUP("PCS-OzTL742",ARBOR!$A:$C,3,0),6)),-TRUNC(CU13/VLOOKUP("PCS-OzTL742",ARBOR!$A:$C,3,0)-1,4)+0.0001,-TRUNC(CU13/VLOOKUP("PCS-OzTL742",ARBOR!$A:$C,3,0)-1,4)))))</f>
        <v/>
      </c>
      <c r="CW13" s="28" t="str">
        <f>IF(ISERROR(IF(CV13="","",VLOOKUP(($BC13&amp;CV13&amp;"Template desconto FLAT Plano Principal Oi TV nível conta"),BENEFICIOS!$A:$G,5,0))),"Criar",IF(CV13="","",VLOOKUP(($BC13&amp;CV13&amp;"Template desconto FLAT Plano Principal Oi TV nível conta"),BENEFICIOS!$A:$G,5,0)))</f>
        <v/>
      </c>
      <c r="CX13" s="8"/>
      <c r="CY13" s="3" t="str">
        <f>IF(CX13=0,"",IF(CX13=VLOOKUP("PCS-OzTL747",ARBOR!$A:$C,3,0),0.0001,IF(CX13&gt;VLOOKUP("PCS-OzTL747",ARBOR!$A:$C,3,0),"Maior que CAP!",IF((DOLLAR(CX13+(VLOOKUP("PCS-OzTL747",ARBOR!$A:$C,3,0)*-TRUNC(CX13/VLOOKUP("PCS-OzTL747",ARBOR!$A:$C,3,0)-1,4)),6))&lt;&gt;(DOLLAR(VLOOKUP("PCS-OzTL747",ARBOR!$A:$C,3,0),6)),-TRUNC(CX13/VLOOKUP("PCS-OzTL747",ARBOR!$A:$C,3,0)-1,4)+0.0001,-TRUNC(CX13/VLOOKUP("PCS-OzTL747",ARBOR!$A:$C,3,0)-1,4)))))</f>
        <v/>
      </c>
      <c r="CZ13" s="28" t="str">
        <f>IF(ISERROR(IF(CY13="","",VLOOKUP(($BC13&amp;CY13&amp;"Template desconto FLAT Plano Principal Oi TV nível conta"),BENEFICIOS!$A:$G,5,0))),"Criar",IF(CY13="","",VLOOKUP(($BC13&amp;CY13&amp;"Template desconto FLAT Plano Principal Oi TV nível conta"),BENEFICIOS!$A:$G,5,0)))</f>
        <v/>
      </c>
      <c r="DA13" s="8"/>
      <c r="DB13" s="3" t="str">
        <f>IF(DA13=0,"",IF(DA13=VLOOKUP("PCS-OzTL746",ARBOR!$A:$C,3,0),0.0001,IF(DA13&gt;VLOOKUP("PCS-OzTL746",ARBOR!$A:$C,3,0),"Maior que CAP!",IF((DOLLAR(DA13+(VLOOKUP("PCS-OzTL746",ARBOR!$A:$C,3,0)*-TRUNC(DA13/VLOOKUP("PCS-OzTL746",ARBOR!$A:$C,3,0)-1,4)),6))&lt;&gt;(DOLLAR(VLOOKUP("PCS-OzTL746",ARBOR!$A:$C,3,0),6)),-TRUNC(DA13/VLOOKUP("PCS-OzTL746",ARBOR!$A:$C,3,0)-1,4)+0.0001,-TRUNC(DA13/VLOOKUP("PCS-OzTL746",ARBOR!$A:$C,3,0)-1,4)))))</f>
        <v/>
      </c>
      <c r="DC13" s="28" t="str">
        <f>IF(ISERROR(IF(DB13="","",VLOOKUP(($BC13&amp;DB13&amp;"Template desconto FLAT Plano Principal Oi TV nível conta"),BENEFICIOS!$A:$G,5,0))),"Criar",IF(DB13="","",VLOOKUP(($BC13&amp;DB13&amp;"Template desconto FLAT Plano Principal Oi TV nível conta"),BENEFICIOS!$A:$G,5,0)))</f>
        <v/>
      </c>
      <c r="DD13" s="8"/>
      <c r="DE13" s="3" t="str">
        <f>IF(DD13=0,"",IF(DD13=VLOOKUP("PCS-OzTL748",ARBOR!$A:$C,3,0),0.0001,IF(DD13&gt;VLOOKUP("PCS-OzTL748",ARBOR!$A:$C,3,0),"Maior que CAP!",IF((DOLLAR(DD13+(VLOOKUP("PCS-OzTL748",ARBOR!$A:$C,3,0)*-TRUNC(DD13/VLOOKUP("PCS-OzTL748",ARBOR!$A:$C,3,0)-1,4)),6))&lt;&gt;(DOLLAR(VLOOKUP("PCS-OzTL748",ARBOR!$A:$C,3,0),6)),-TRUNC(DD13/VLOOKUP("PCS-OzTL748",ARBOR!$A:$C,3,0)-1,4)+0.0001,-TRUNC(DD13/VLOOKUP("PCS-OzTL748",ARBOR!$A:$C,3,0)-1,4)))))</f>
        <v/>
      </c>
      <c r="DF13" s="28" t="str">
        <f>IF(ISERROR(IF(DE13="","",VLOOKUP(($BC13&amp;DE13&amp;"Template desconto FLAT Plano Principal Oi TV nível conta"),BENEFICIOS!$A:$G,5,0))),"Criar",IF(DE13="","",VLOOKUP(($BC13&amp;DE13&amp;"Template desconto FLAT Plano Principal Oi TV nível conta"),BENEFICIOS!$A:$G,5,0)))</f>
        <v/>
      </c>
      <c r="DG13" s="8"/>
      <c r="DH13" s="3" t="str">
        <f>IF(DG13=0,"",IF(DG13=VLOOKUP("PCS-OzTL34",ARBOR!$A:$C,3,0),0.0001,IF(DG13&gt;VLOOKUP("PCS-OzTL34",ARBOR!$A:$C,3,0),"Maior que CAP!",IF((DOLLAR(DG13+(VLOOKUP("PCS-OzTL34",ARBOR!$A:$C,3,0)*-TRUNC(DG13/VLOOKUP("PCS-OzTL34",ARBOR!$A:$C,3,0)-1,4)),6))&lt;&gt;(DOLLAR(VLOOKUP("PCS-OzTL34",ARBOR!$A:$C,3,0),6)),-TRUNC(DG13/VLOOKUP("PCS-OzTL34",ARBOR!$A:$C,3,0)-1,4)+0.0001,-TRUNC(DG13/VLOOKUP("PCS-OzTL34",ARBOR!$A:$C,3,0)-1,4)))))</f>
        <v/>
      </c>
      <c r="DI13" s="28" t="str">
        <f>IF(DH13="S/Desc","S/Desc",IF(ISERROR(IF(DH13="","",VLOOKUP(($BC13&amp;DH13&amp;"Template desconto % Combate nível conta"),BENEFICIOS!$A:$G,5,0))),"Criar",IF(DH13="","",VLOOKUP(($BC13&amp;DH13&amp;"Template desconto % Combate nível conta"),BENEFICIOS!$A:$G,5,0))))</f>
        <v/>
      </c>
      <c r="DJ13" s="8"/>
      <c r="DK13" s="3" t="str">
        <f>IF(DJ13=0,"",IF(DJ13=VLOOKUP("PCS-OzTL31",ARBOR!$A:$C,3,0),0.0001,IF(DJ13&gt;VLOOKUP("PCS-OzTL31",ARBOR!$A:$C,3,0),"Maior que CAP!",IF((DOLLAR(DJ13+(VLOOKUP("PCS-OzTL31",ARBOR!$A:$C,3,0)*-TRUNC(DJ13/VLOOKUP("PCS-OzTL31",ARBOR!$A:$C,3,0)-1,4)),6))&lt;&gt;(DOLLAR(VLOOKUP("PCS-OzTL31",ARBOR!$A:$C,3,0),6)),-TRUNC(DJ13/VLOOKUP("PCS-OzTL31",ARBOR!$A:$C,3,0)-1,4)+0.0001,-TRUNC(DJ13/VLOOKUP("PCS-OzTL31",ARBOR!$A:$C,3,0)-1,4)))))</f>
        <v/>
      </c>
      <c r="DL13" s="28" t="str">
        <f>IF(DK13="S/Desc","S/Desc",IF(ISERROR(IF(DK13="","",VLOOKUP(($BC13&amp;DK13&amp;"Template desconto % Sexy Hot nível conta"),BENEFICIOS!$A:$G,5,0))),"Criar",IF(DK13="","",VLOOKUP(($BC13&amp;DK13&amp;"Template desconto % Sexy Hot nível conta"),BENEFICIOS!$A:$G,5,0))))</f>
        <v/>
      </c>
      <c r="DM13" s="8"/>
      <c r="DN13" s="3" t="str">
        <f>IF(DM13=0,"",IF(DM13=VLOOKUP("PCS-OzTL32",ARBOR!$A:$C,3,0),0.0001,IF(DM13&gt;VLOOKUP("PCS-OzTL32",ARBOR!$A:$C,3,0),"Maior que CAP!",IF((DOLLAR(DM13+(VLOOKUP("PCS-OzTL32",ARBOR!$A:$C,3,0)*-TRUNC(DM13/VLOOKUP("PCS-OzTL32",ARBOR!$A:$C,3,0)-1,4)),6))&lt;&gt;(DOLLAR(VLOOKUP("PCS-OzTL32",ARBOR!$A:$C,3,0),6)),-TRUNC(DM13/VLOOKUP("PCS-OzTL32",ARBOR!$A:$C,3,0)-1,4)+0.0001,-TRUNC(DM13/VLOOKUP("PCS-OzTL32",ARBOR!$A:$C,3,0)-1,4)))))</f>
        <v/>
      </c>
      <c r="DO13" s="28" t="str">
        <f>IF(DN13="S/Desc","S/Desc",IF(ISERROR(IF(DN13="","",VLOOKUP(($BC13&amp;DN13&amp;"Template desconto % Playboy nível conta"),BENEFICIOS!$A:$G,5,0))),"Criar",IF(DN13="","",VLOOKUP(($BC13&amp;DN13&amp;"Template desconto % Playboy nível conta"),BENEFICIOS!$A:$G,5,0))))</f>
        <v/>
      </c>
      <c r="DP13" s="8"/>
      <c r="DQ13" s="3" t="str">
        <f>IF(DP13=0,"",IF(DP13=VLOOKUP("PCS-OzTL33",ARBOR!$A:$C,3,0),0.0001,IF(DP13&gt;VLOOKUP("PCS-OzTL33",ARBOR!$A:$C,3,0),"Maior que CAP!",IF((DOLLAR(DP13+(VLOOKUP("PCS-OzTL33",ARBOR!$A:$C,3,0)*-TRUNC(DP13/VLOOKUP("PCS-OzTL33",ARBOR!$A:$C,3,0)-1,4)),6))&lt;&gt;(DOLLAR(VLOOKUP("PCS-OzTL33",ARBOR!$A:$C,3,0),6)),-TRUNC(DP13/VLOOKUP("PCS-OzTL33",ARBOR!$A:$C,3,0)-1,4)+0.0001,-TRUNC(DP13/VLOOKUP("PCS-OzTL33",ARBOR!$A:$C,3,0)-1,4)))))</f>
        <v/>
      </c>
      <c r="DR13" s="28" t="str">
        <f>IF(DQ13="S/Desc","S/Desc",IF(ISERROR(IF(DQ13="","",VLOOKUP(($BC13&amp;DQ13&amp;"Template desconto % Sexy Hot + Playboy nível conta"),BENEFICIOS!$A:$G,5,0))),"Criar",IF(DQ13="","",VLOOKUP(($BC13&amp;DQ13&amp;"Template desconto % Sexy Hot + Playboy nível conta"),BENEFICIOS!$A:$G,5,0))))</f>
        <v/>
      </c>
      <c r="DS13" s="8"/>
      <c r="DT13" s="3" t="str">
        <f>IF(DS13=0,"",IF(DS13=VLOOKUP("PCS-OzTL503",ARBOR!$A:$C,3,0),0.0001,IF(DS13&gt;VLOOKUP("PCS-OzTL503",ARBOR!$A:$C,3,0),"Maior que CAP!",IF((DOLLAR(DS13+(VLOOKUP("PCS-OzTL503",ARBOR!$A:$C,3,0)*-TRUNC(DS13/VLOOKUP("PCS-OzTL503",ARBOR!$A:$C,3,0)-1,4)),6))&lt;&gt;(DOLLAR(VLOOKUP("PCS-OzTL503",ARBOR!$A:$C,3,0),6)),-TRUNC(DS13/VLOOKUP("PCS-OzTL503",ARBOR!$A:$C,3,0)-1,4)+0.0001,-TRUNC(DS13/VLOOKUP("PCS-OzTL503",ARBOR!$A:$C,3,0)-1,4)))))</f>
        <v/>
      </c>
      <c r="DU13" s="28" t="str">
        <f>IF(DT13="S/Desc","S/Desc",IF(ISERROR(IF(DT13="","",VLOOKUP(($BC13&amp;DT13&amp;"Template desconto % SexPrivê nível conta"),BENEFICIOS!$A:$G,5,0))),"Criar",IF(DT13="","",VLOOKUP(($BC13&amp;DT13&amp;"Template desconto % SexPrivê nível conta"),BENEFICIOS!$A:$G,5,0))))</f>
        <v/>
      </c>
      <c r="DV13" s="8"/>
      <c r="DW13" s="3" t="str">
        <f>IF(DV13=0,"",IF(DV13=VLOOKUP("PCS-OzTL500",ARBOR!$A:$C,3,0),0.0001,IF(DV13&gt;VLOOKUP("PCS-OzTL500",ARBOR!$A:$C,3,0),"Maior que CAP!",IF((DOLLAR(DV13+(VLOOKUP("PCS-OzTL500",ARBOR!$A:$C,3,0)*-TRUNC(DV13/VLOOKUP("PCS-OzTL500",ARBOR!$A:$C,3,0)-1,4)),6))&lt;&gt;(DOLLAR(VLOOKUP("PCS-OzTL500",ARBOR!$A:$C,3,0),6)),-TRUNC(DV13/VLOOKUP("PCS-OzTL500",ARBOR!$A:$C,3,0)-1,4)+0.0001,-TRUNC(DV13/VLOOKUP("PCS-OzTL500",ARBOR!$A:$C,3,0)-1,4)))))</f>
        <v/>
      </c>
      <c r="DX13" s="28" t="str">
        <f>IF(DW13="S/Desc","S/Desc",IF(ISERROR(IF(DW13="","",VLOOKUP(($BC13&amp;DW13&amp;"Template desconto % Étnico nível conta"),BENEFICIOS!$A:$G,5,0))),"Criar",IF(DW13="","",VLOOKUP(($BC13&amp;DW13&amp;"Template desconto % Étnico nível conta"),BENEFICIOS!$A:$G,5,0))))</f>
        <v/>
      </c>
      <c r="DY13" s="8"/>
      <c r="DZ13" s="181" t="str">
        <f>IF(DY13=0,"",IF(DY13=VLOOKUP("PCS-OzTL50",ARBOR!$A:$C,3,0),0.0001,IF(DY13&gt;VLOOKUP("PCS-OzTL50",ARBOR!$A:$C,3,0),"Maior que CAP!",IF((DOLLAR(DY13+(VLOOKUP("PCS-OzTL50",ARBOR!$A:$C,3,0)*-TRUNC(DY13/VLOOKUP("PCS-OzTL50",ARBOR!$A:$C,3,0)-1,4)),6))&lt;&gt;(DOLLAR(VLOOKUP("PCS-OzTL50",ARBOR!$A:$C,3,0),6)),-TRUNC(DY13/VLOOKUP("PCS-OzTL50",ARBOR!$A:$C,3,0)-1,4)+0.0001,-TRUNC(DY13/VLOOKUP("PCS-OzTL50",ARBOR!$A:$C,3,0)-1,4)))))</f>
        <v/>
      </c>
      <c r="EA13" s="28"/>
      <c r="EB13" s="8"/>
      <c r="EC13" s="181" t="str">
        <f>IF(EB13=0,"",IF(EB13=VLOOKUP("PCS-OzTL51",ARBOR!$A:$C,3,0),0.0001,IF(EB13&gt;VLOOKUP("PCS-OzTL51",ARBOR!$A:$C,3,0),"Maior que CAP!",IF((DOLLAR(EB13+(VLOOKUP("PCS-OzTL51",ARBOR!$A:$C,3,0)*-TRUNC(EB13/VLOOKUP("PCS-OzTL51",ARBOR!$A:$C,3,0)-1,4)),6))&lt;&gt;(DOLLAR(VLOOKUP("PCS-OzTL51",ARBOR!$A:$C,3,0),6)),-TRUNC(EB13/VLOOKUP("PCS-OzTL51",ARBOR!$A:$C,3,0)-1,4)+0.0001,-TRUNC(EB13/VLOOKUP("PCS-OzTL51",ARBOR!$A:$C,3,0)-1,4)))))</f>
        <v/>
      </c>
      <c r="ED13" s="28"/>
      <c r="EE13" s="8"/>
      <c r="EF13" s="181" t="str">
        <f>IF(EE13=0,"",IF(EE13=VLOOKUP("PCS-OzTL52",ARBOR!$A:$C,3,0),0.0001,IF(EE13&gt;VLOOKUP("PCS-OzTL52",ARBOR!$A:$C,3,0),"Maior que CAP!",IF((DOLLAR(EE13+(VLOOKUP("PCS-OzTL52",ARBOR!$A:$C,3,0)*-TRUNC(EE13/VLOOKUP("PCS-OzTL52",ARBOR!$A:$C,3,0)-1,4)),6))&lt;&gt;(DOLLAR(VLOOKUP("PCS-OzTL52",ARBOR!$A:$C,3,0),6)),-TRUNC(EE13/VLOOKUP("PCS-OzTL52",ARBOR!$A:$C,3,0)-1,4)+0.0001,-TRUNC(EE13/VLOOKUP("PCS-OzTL52",ARBOR!$A:$C,3,0)-1,4)))))</f>
        <v/>
      </c>
      <c r="EG13" s="28"/>
      <c r="EH13" s="8"/>
      <c r="EI13" s="181" t="str">
        <f>IF(EH13=0,"",IF(EH13=VLOOKUP("PCS-OzTL53",ARBOR!$A:$C,3,0),0.0001,IF(EH13&gt;VLOOKUP("PCS-OzTL53",ARBOR!$A:$C,3,0),"Maior que CAP!",IF((DOLLAR(EH13+(VLOOKUP("PCS-OzTL53",ARBOR!$A:$C,3,0)*-TRUNC(EH13/VLOOKUP("PCS-OzTL53",ARBOR!$A:$C,3,0)-1,4)),6))&lt;&gt;(DOLLAR(VLOOKUP("PCS-OzTL53",ARBOR!$A:$C,3,0),6)),-TRUNC(EH13/VLOOKUP("PCS-OzTL53",ARBOR!$A:$C,3,0)-1,4)+0.0001,-TRUNC(EH13/VLOOKUP("PCS-OzTL53",ARBOR!$A:$C,3,0)-1,4)))))</f>
        <v/>
      </c>
      <c r="EJ13" s="28"/>
      <c r="EK13" s="8"/>
      <c r="EL13" s="181" t="str">
        <f>IF(EK13=0,"",IF(EK13=VLOOKUP("PCS-OzTL54",ARBOR!$A:$C,3,0),0.0001,IF(EK13&gt;VLOOKUP("PCS-OzTL54",ARBOR!$A:$C,3,0),"Maior que CAP!",IF((DOLLAR(EK13+(VLOOKUP("PCS-OzTL54",ARBOR!$A:$C,3,0)*-TRUNC(EK13/VLOOKUP("PCS-OzTL54",ARBOR!$A:$C,3,0)-1,4)),6))&lt;&gt;(DOLLAR(VLOOKUP("PCS-OzTL54",ARBOR!$A:$C,3,0),6)),-TRUNC(EK13/VLOOKUP("PCS-OzTL54",ARBOR!$A:$C,3,0)-1,4)+0.0001,-TRUNC(EK13/VLOOKUP("PCS-OzTL54",ARBOR!$A:$C,3,0)-1,4)))))</f>
        <v/>
      </c>
      <c r="EM13" s="28"/>
      <c r="EN13" s="8"/>
      <c r="EO13" s="3" t="str">
        <f>IF(EN13=0,"",IF(EN13=VLOOKUP("PCS-OzTL99",ARBOR!$A:$C,3,0),0.0001,IF(EN13&gt;VLOOKUP("PCS-OzTL99",ARBOR!$A:$C,3,0),"Maior que CAP!",IF((DOLLAR(EN13+(VLOOKUP("PCS-OzTL99",ARBOR!$A:$C,3,0)*-TRUNC(EN13/VLOOKUP("PCS-OzTL99",ARBOR!$A:$C,3,0)-1,4)),6))&lt;&gt;(DOLLAR(VLOOKUP("PCS-OzTL99",ARBOR!$A:$C,3,0),6)),-TRUNC(EN13/VLOOKUP("PCS-OzTL99",ARBOR!$A:$C,3,0)-1,4)+0.0001,-TRUNC(EN13/VLOOKUP("PCS-OzTL99",ARBOR!$A:$C,3,0)-1,4)))))</f>
        <v/>
      </c>
      <c r="EP13" s="28" t="str">
        <f>IF(EO13="S/Desc","S/Desc",IF(ISERROR(IF(EO13="","",VLOOKUP(($BC13&amp;EO13&amp;"Template desconto % Ponto adicional nível conta"),BENEFICIOS!$A:$G,5,0))),"Criar",IF(EO13="","",VLOOKUP(($BC13&amp;EO13&amp;"Template desconto % Ponto adicional nível conta"),BENEFICIOS!$A:$G,5,0))))</f>
        <v/>
      </c>
      <c r="EQ13" s="8"/>
      <c r="ER13" s="28" t="str">
        <f t="shared" si="1"/>
        <v/>
      </c>
      <c r="ES13" s="62"/>
      <c r="ET13" s="126"/>
      <c r="EU13" s="127"/>
      <c r="EV13" s="126"/>
      <c r="EW13" s="128" t="str">
        <f t="shared" si="2"/>
        <v/>
      </c>
      <c r="EX13" s="129" t="str">
        <f t="shared" si="3"/>
        <v/>
      </c>
      <c r="EY13" s="91" t="str">
        <f t="shared" si="4"/>
        <v/>
      </c>
      <c r="EZ13" s="85"/>
      <c r="FA13" s="97"/>
      <c r="FB13" s="91"/>
      <c r="FC13" s="85"/>
      <c r="FD13" s="97"/>
      <c r="FE13" s="91"/>
      <c r="FF13" s="87"/>
      <c r="FG13" s="144" t="str">
        <f t="shared" si="5"/>
        <v/>
      </c>
      <c r="FH13" s="144" t="str">
        <f t="shared" si="6"/>
        <v/>
      </c>
      <c r="FI13" s="144" t="str">
        <f t="shared" si="7"/>
        <v/>
      </c>
      <c r="FJ13" s="144" t="str">
        <f t="shared" si="8"/>
        <v/>
      </c>
      <c r="FK13" s="144" t="str">
        <f t="shared" si="9"/>
        <v/>
      </c>
      <c r="FL13" s="144" t="str">
        <f t="shared" si="10"/>
        <v/>
      </c>
      <c r="FM13" s="144" t="str">
        <f t="shared" si="11"/>
        <v/>
      </c>
      <c r="FN13" s="144" t="str">
        <f t="shared" si="12"/>
        <v/>
      </c>
      <c r="FO13" s="144" t="str">
        <f t="shared" si="13"/>
        <v/>
      </c>
      <c r="FP13" s="144" t="str">
        <f t="shared" si="14"/>
        <v/>
      </c>
      <c r="FQ13" s="144" t="str">
        <f t="shared" si="15"/>
        <v/>
      </c>
      <c r="FR13" s="144" t="str">
        <f t="shared" si="16"/>
        <v/>
      </c>
      <c r="FS13" s="144" t="str">
        <f t="shared" si="17"/>
        <v/>
      </c>
      <c r="FT13" s="144" t="str">
        <f t="shared" si="18"/>
        <v/>
      </c>
      <c r="FU13" s="144" t="str">
        <f t="shared" si="19"/>
        <v/>
      </c>
      <c r="FV13" s="144" t="str">
        <f t="shared" si="20"/>
        <v/>
      </c>
      <c r="FW13" s="144" t="str">
        <f t="shared" si="21"/>
        <v/>
      </c>
      <c r="FX13" s="151"/>
      <c r="FY13" s="152"/>
      <c r="FZ13" s="152"/>
      <c r="GA13" s="152"/>
      <c r="GB13" s="152"/>
      <c r="GC13" s="152"/>
      <c r="GD13" s="152"/>
      <c r="GE13" s="152"/>
      <c r="GF13" s="152"/>
      <c r="GG13" s="153"/>
    </row>
    <row r="14" spans="1:189">
      <c r="A14" s="45"/>
      <c r="B14" s="133"/>
      <c r="C14" s="133"/>
      <c r="D14" s="46"/>
      <c r="E14" s="47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9"/>
      <c r="U14" s="48"/>
      <c r="V14" s="49"/>
      <c r="W14" s="48"/>
      <c r="X14" s="48"/>
      <c r="Y14" s="48"/>
      <c r="Z14" s="48"/>
      <c r="AA14" s="49"/>
      <c r="AB14" s="48"/>
      <c r="AC14" s="50"/>
      <c r="AD14" s="48"/>
      <c r="AE14" s="48"/>
      <c r="AF14" s="48"/>
      <c r="AG14" s="48"/>
      <c r="AH14" s="48"/>
      <c r="AI14" s="48"/>
      <c r="AJ14" s="48"/>
      <c r="AK14" s="48"/>
      <c r="AL14" s="51"/>
      <c r="AM14" s="37"/>
      <c r="AN14" s="38"/>
      <c r="AO14" s="39"/>
      <c r="AP14" s="52"/>
      <c r="AQ14" s="53"/>
      <c r="AR14" s="64"/>
      <c r="AS14" s="65"/>
      <c r="AT14" s="54"/>
      <c r="AU14" s="54"/>
      <c r="AV14" s="54"/>
      <c r="AW14" s="54"/>
      <c r="AX14" s="70"/>
      <c r="AY14" s="71"/>
      <c r="AZ14" s="72"/>
      <c r="BA14" s="73"/>
      <c r="BB14" s="55"/>
      <c r="BC14" s="56"/>
      <c r="BD14" s="27" t="str">
        <f t="shared" si="0"/>
        <v/>
      </c>
      <c r="BE14" s="58"/>
      <c r="BF14" s="3" t="str">
        <f>IF(BE14=0,"",IF(BE14=VLOOKUP("FIXO",ARBOR!$A:$C,3,0),0.0001,IF(BE14&gt;VLOOKUP("FIXO",ARBOR!$A:$C,3,0),"Maior que CAP!",IF((DOLLAR(BE14+(VLOOKUP("FIXO",ARBOR!$A:$C,3,0)*-TRUNC(BE14/VLOOKUP("FIXO",ARBOR!$A:$C,3,0)-1,4)),6))&lt;&gt;(DOLLAR(VLOOKUP("FIXO",ARBOR!$A:$C,3,0),6)),-TRUNC(BE14/VLOOKUP("FIXO",ARBOR!$A:$C,3,0)-1,4)+0.0001,-TRUNC(BE14/VLOOKUP("FIXO",ARBOR!$A:$C,3,0)-1,4)))))</f>
        <v/>
      </c>
      <c r="BG14" s="10" t="str">
        <f>IF(ISERROR(IF(BF14="","",VLOOKUP(($BC14&amp;BF14&amp;"Template de desconto FLAT bundle - Fixo - Varejo - Ganho Tributário Cross"),BENEFICIOS!$A:$G,5,0))),"Criar",IF(BF14="","",VLOOKUP(($BC14&amp;BF14&amp;"Template de desconto FLAT bundle - Fixo - Varejo - Ganho Tributário Cross"),BENEFICIOS!$A:$G,5,0)))</f>
        <v/>
      </c>
      <c r="BH14" s="8"/>
      <c r="BI14" s="3" t="str">
        <f>IF(BH14=0,"",IF(BH14=VLOOKUP("PCS-OzTL40",ARBOR!$A:$C,3,0),0.0001,IF(BH14&gt;VLOOKUP("PCS-OzTL40",ARBOR!$A:$C,3,0),"Maior que CAP!",IF((DOLLAR(BH14+(VLOOKUP("PCS-OzTL40",ARBOR!$A:$C,3,0)*-TRUNC(BH14/VLOOKUP("PCS-OzTL40",ARBOR!$A:$C,3,0)-1,4)),6))&lt;&gt;(DOLLAR(VLOOKUP("PCS-OzTL40",ARBOR!$A:$C,3,0),6)),-TRUNC(BH14/VLOOKUP("PCS-OzTL40",ARBOR!$A:$C,3,0)-1,4)+0.0001,-TRUNC(BH14/VLOOKUP("PCS-OzTL40",ARBOR!$A:$C,3,0)-1,4)))))</f>
        <v/>
      </c>
      <c r="BJ14" s="10" t="str">
        <f>IF(ISERROR(IF(BI14="","",VLOOKUP((BC14&amp;BI14&amp;"Template desconto FLAT Plano Principal Oi TV nível conta"),BENEFICIOS!$A:$G,5,0))),"Criar",IF(BI14="","",VLOOKUP((BC14&amp;BI14&amp;"Template desconto FLAT Plano Principal Oi TV nível conta"),BENEFICIOS!$A:$G,5,0)))</f>
        <v/>
      </c>
      <c r="BK14" s="8"/>
      <c r="BL14" s="3" t="str">
        <f>IF(BK14=0,"",IF(BK14=VLOOKUP("PCS-OzTL41",ARBOR!$A:$C,3,0),0.0001,IF(BK14&gt;VLOOKUP("PCS-OzTL41",ARBOR!$A:$C,3,0),"Maior que CAP!",IF((DOLLAR(BK14+(VLOOKUP("PCS-OzTL41",ARBOR!$A:$C,3,0)*-TRUNC(BK14/VLOOKUP("PCS-OzTL41",ARBOR!$A:$C,3,0)-1,4)),6))&lt;&gt;(DOLLAR(VLOOKUP("PCS-OzTL41",ARBOR!$A:$C,3,0),6)),-TRUNC(BK14/VLOOKUP("PCS-OzTL41",ARBOR!$A:$C,3,0)-1,4)+0.0001,-TRUNC(BK14/VLOOKUP("PCS-OzTL41",ARBOR!$A:$C,3,0)-1,4)))))</f>
        <v/>
      </c>
      <c r="BM14" s="28" t="str">
        <f>IF(ISERROR(IF(BL14="","",VLOOKUP((BC14&amp;BL14&amp;"Template desconto FLAT Plano Principal Oi TV nível conta"),BENEFICIOS!$A:$G,5,0))),"Criar",IF(BL14="","",VLOOKUP((BC14&amp;BL14&amp;"Template desconto FLAT Plano Principal Oi TV nível conta"),BENEFICIOS!$A:$G,5,0)))</f>
        <v/>
      </c>
      <c r="BN14" s="8"/>
      <c r="BO14" s="3" t="str">
        <f>IF(BN14=0,"",IF(BN14=VLOOKUP("PCS-OzTL44",ARBOR!$A:$C,3,0),0.0001,IF(BN14&gt;VLOOKUP("PCS-OzTL44",ARBOR!$A:$C,3,0),"Maior que CAP!",IF((DOLLAR(BN14+(VLOOKUP("PCS-OzTL44",ARBOR!$A:$C,3,0)*-TRUNC(BN14/VLOOKUP("PCS-OzTL44",ARBOR!$A:$C,3,0)-1,4)),6))&lt;&gt;(DOLLAR(VLOOKUP("PCS-OzTL44",ARBOR!$A:$C,3,0),6)),-TRUNC(BN14/VLOOKUP("PCS-OzTL44",ARBOR!$A:$C,3,0)-1,4)+0.0001,-TRUNC(BN14/VLOOKUP("PCS-OzTL44",ARBOR!$A:$C,3,0)-1,4)))))</f>
        <v/>
      </c>
      <c r="BP14" s="28" t="str">
        <f>IF(ISERROR(IF(BO14="","",VLOOKUP((BC14&amp;BO14&amp;"Template desconto FLAT Plano Principal Oi TV nível conta"),BENEFICIOS!$A:$G,5,0))),"Criar",IF(BO14="","",VLOOKUP((BC14&amp;BO14&amp;"Template desconto FLAT Plano Principal Oi TV nível conta"),BENEFICIOS!$A:$G,5,0)))</f>
        <v/>
      </c>
      <c r="BQ14" s="8"/>
      <c r="BR14" s="3" t="str">
        <f>IF(BQ14=0,"",IF(BQ14=VLOOKUP("PCS-OzTL43",ARBOR!$A:$C,3,0),0.0001,IF(BQ14&gt;VLOOKUP("PCS-OzTL43",ARBOR!$A:$C,3,0),"Maior que CAP!",IF((DOLLAR(BQ14+(VLOOKUP("PCS-OzTL43",ARBOR!$A:$C,3,0)*-TRUNC(BQ14/VLOOKUP("PCS-OzTL43",ARBOR!$A:$C,3,0)-1,4)),6))&lt;&gt;(DOLLAR(VLOOKUP("PCS-OzTL43",ARBOR!$A:$C,3,0),6)),-TRUNC(BQ14/VLOOKUP("PCS-OzTL43",ARBOR!$A:$C,3,0)-1,4)+0.0001,-TRUNC(BQ14/VLOOKUP("PCS-OzTL43",ARBOR!$A:$C,3,0)-1,4)))))</f>
        <v/>
      </c>
      <c r="BS14" s="28" t="str">
        <f>IF(ISERROR(IF(BR14="","",VLOOKUP((BC14&amp;BR14&amp;"Template desconto FLAT Plano Principal Oi TV nível conta"),BENEFICIOS!$A:$G,5,0))),"Criar",IF(BR14="","",VLOOKUP((BC14&amp;BR14&amp;"Template desconto FLAT Plano Principal Oi TV nível conta"),BENEFICIOS!$A:$G,5,0)))</f>
        <v/>
      </c>
      <c r="BT14" s="8"/>
      <c r="BU14" s="3" t="str">
        <f>IF(BT14=0,"",IF(BT14=VLOOKUP("PCS-OzTL45",ARBOR!$A:$C,3,0),0.0001,IF(BT14&gt;VLOOKUP("PCS-OzTL45",ARBOR!$A:$C,3,0),"Maior que CAP!",IF((DOLLAR(BT14+(VLOOKUP("PCS-OzTL45",ARBOR!$A:$C,3,0)*-TRUNC(BT14/VLOOKUP("PCS-OzTL45",ARBOR!$A:$C,3,0)-1,4)),6))&lt;&gt;(DOLLAR(VLOOKUP("PCS-OzTL45",ARBOR!$A:$C,3,0),6)),-TRUNC(BT14/VLOOKUP("PCS-OzTL45",ARBOR!$A:$C,3,0)-1,4)+0.0001,-TRUNC(BT14/VLOOKUP("PCS-OzTL45",ARBOR!$A:$C,3,0)-1,4)))))</f>
        <v/>
      </c>
      <c r="BV14" s="28" t="str">
        <f>IF(ISERROR(IF(BU14="","",VLOOKUP((BC14&amp;BU14&amp;"Template desconto FLAT Plano Principal Oi TV nível conta"),BENEFICIOS!$A:$G,5,0))),"Criar",IF(BU14="","",VLOOKUP((BC14&amp;BU14&amp;"Template desconto FLAT Plano Principal Oi TV nível conta"),BENEFICIOS!$A:$G,5,0)))</f>
        <v/>
      </c>
      <c r="BW14" s="8"/>
      <c r="BX14" s="3" t="str">
        <f>IF(BW14=0,"",IF(BW14=VLOOKUP("PCS-OzTL741",ARBOR!$A:$C,3,0),0.0001,IF(BW14&gt;VLOOKUP("PCS-OzTL741",ARBOR!$A:$C,3,0),"Maior que CAP!",IF((DOLLAR(BW14+(VLOOKUP("PCS-OzTL741",ARBOR!$A:$C,3,0)*-TRUNC(BW14/VLOOKUP("PCS-OzTL741",ARBOR!$A:$C,3,0)-1,4)),6))&lt;&gt;(DOLLAR(VLOOKUP("PCS-OzTL741",ARBOR!$A:$C,3,0),6)),-TRUNC(BW14/VLOOKUP("PCS-OzTL741",ARBOR!$A:$C,3,0)-1,4)+0.0001,-TRUNC(BW14/VLOOKUP("PCS-OzTL741",ARBOR!$A:$C,3,0)-1,4)))))</f>
        <v/>
      </c>
      <c r="BY14" s="28" t="str">
        <f>IF(ISERROR(IF(BX14="","",VLOOKUP((BC14&amp;BX14&amp;"Template desconto FLAT Plano Principal Oi TV nível conta"),BENEFICIOS!$A:$G,5,0))),"Criar",IF(BX14="","",VLOOKUP((BC14&amp;BX14&amp;"Template desconto FLAT Plano Principal Oi TV nível conta"),BENEFICIOS!$A:$G,5,0)))</f>
        <v/>
      </c>
      <c r="BZ14" s="8"/>
      <c r="CA14" s="3" t="str">
        <f>IF(BZ14=0,"",IF(BZ14=VLOOKUP("PCS-OzTL744",ARBOR!$A:$C,3,0),0.0001,IF(BZ14&gt;VLOOKUP("PCS-OzTL744",ARBOR!$A:$C,3,0),"Maior que CAP!",IF((DOLLAR(BZ14+(VLOOKUP("PCS-OzTL744",ARBOR!$A:$C,3,0)*-TRUNC(BZ14/VLOOKUP("PCS-OzTL744",ARBOR!$A:$C,3,0)-1,4)),6))&lt;&gt;(DOLLAR(VLOOKUP("PCS-OzTL744",ARBOR!$A:$C,3,0),6)),-TRUNC(BZ14/VLOOKUP("PCS-OzTL744",ARBOR!$A:$C,3,0)-1,4)+0.0001,-TRUNC(BZ14/VLOOKUP("PCS-OzTL744",ARBOR!$A:$C,3,0)-1,4)))))</f>
        <v/>
      </c>
      <c r="CB14" s="28" t="str">
        <f>IF(ISERROR(IF(CA14="","",VLOOKUP(($BC14&amp;CA14&amp;"Template desconto FLAT Plano Principal Oi TV nível conta"),BENEFICIOS!$A:$G,5,0))),"Criar",IF(CA14="","",VLOOKUP(($BC14&amp;CA14&amp;"Template desconto FLAT Plano Principal Oi TV nível conta"),BENEFICIOS!$A:$G,5,0)))</f>
        <v/>
      </c>
      <c r="CC14" s="8"/>
      <c r="CD14" s="3" t="str">
        <f>IF(CC14=0,"",IF(CC14=VLOOKUP("PCS-OzTL743",ARBOR!$A:$C,3,0),0.0001,IF(CC14&gt;VLOOKUP("PCS-OzTL743",ARBOR!$A:$C,3,0),"Maior que CAP!",IF((DOLLAR(CC14+(VLOOKUP("PCS-OzTL743",ARBOR!$A:$C,3,0)*-TRUNC(CC14/VLOOKUP("PCS-OzTL743",ARBOR!$A:$C,3,0)-1,4)),6))&lt;&gt;(DOLLAR(VLOOKUP("PCS-OzTL743",ARBOR!$A:$C,3,0),6)),-TRUNC(CC14/VLOOKUP("PCS-OzTL743",ARBOR!$A:$C,3,0)-1,4)+0.0001,-TRUNC(CC14/VLOOKUP("PCS-OzTL743",ARBOR!$A:$C,3,0)-1,4)))))</f>
        <v/>
      </c>
      <c r="CE14" s="28" t="str">
        <f>IF(ISERROR(IF(CD14="","",VLOOKUP(($BC14&amp;CD14&amp;"Template desconto FLAT Plano Principal Oi TV nível conta"),BENEFICIOS!$A:$G,5,0))),"Criar",IF(CD14="","",VLOOKUP(($BC14&amp;CD14&amp;"Template desconto FLAT Plano Principal Oi TV nível conta"),BENEFICIOS!$A:$G,5,0)))</f>
        <v/>
      </c>
      <c r="CF14" s="8"/>
      <c r="CG14" s="3" t="str">
        <f>IF(CF14=0,"",IF(CF14=VLOOKUP("PCS-OzTL745",ARBOR!$A:$C,3,0),0.0001,IF(CF14&gt;VLOOKUP("PCS-OzTL745",ARBOR!$A:$C,3,0),"Maior que CAP!",IF((DOLLAR(CF14+(VLOOKUP("PCS-OzTL745",ARBOR!$A:$C,3,0)*-TRUNC(CF14/VLOOKUP("PCS-OzTL745",ARBOR!$A:$C,3,0)-1,4)),6))&lt;&gt;(DOLLAR(VLOOKUP("PCS-OzTL745",ARBOR!$A:$C,3,0),6)),-TRUNC(CF14/VLOOKUP("PCS-OzTL745",ARBOR!$A:$C,3,0)-1,4)+0.0001,-TRUNC(CF14/VLOOKUP("PCS-OzTL745",ARBOR!$A:$C,3,0)-1,4)))))</f>
        <v/>
      </c>
      <c r="CH14" s="28" t="str">
        <f>IF(ISERROR(IF(CG14="","",VLOOKUP(($BC14&amp;CG14&amp;"Template desconto FLAT Plano Principal Oi TV nível conta"),BENEFICIOS!$A:$G,5,0))),"Criar",IF(CG14="","",VLOOKUP(($BC14&amp;CG14&amp;"Template desconto FLAT Plano Principal Oi TV nível conta"),BENEFICIOS!$A:$G,5,0)))</f>
        <v/>
      </c>
      <c r="CI14" s="8"/>
      <c r="CJ14" s="3" t="str">
        <f>IF(CI14=0,"",IF(CI14=VLOOKUP("PCS-OzTL42",ARBOR!$A:$C,3,0),0.0001,IF(CI14&gt;VLOOKUP("PCS-OzTL42",ARBOR!$A:$C,3,0),"Maior que CAP!",IF((DOLLAR(CI14+(VLOOKUP("PCS-OzTL42",ARBOR!$A:$C,3,0)*-TRUNC(CI14/VLOOKUP("PCS-OzTL42",ARBOR!$A:$C,3,0)-1,4)),6))&lt;&gt;(DOLLAR(VLOOKUP("PCS-OzTL42",ARBOR!$A:$C,3,0),6)),-TRUNC(CI14/VLOOKUP("PCS-OzTL42",ARBOR!$A:$C,3,0)-1,4)+0.0001,-TRUNC(CI14/VLOOKUP("PCS-OzTL42",ARBOR!$A:$C,3,0)-1,4)))))</f>
        <v/>
      </c>
      <c r="CK14" s="28" t="str">
        <f>IF(ISERROR(IF(CJ14="","",VLOOKUP(($BC14&amp;CJ14&amp;"Template desconto FLAT Plano Principal Oi TV nível conta"),BENEFICIOS!$A:$G,5,0))),"Criar",IF(CJ14="","",VLOOKUP(($BC14&amp;CJ14&amp;"Template desconto FLAT Plano Principal Oi TV nível conta"),BENEFICIOS!$A:$G,5,0)))</f>
        <v/>
      </c>
      <c r="CL14" s="8"/>
      <c r="CM14" s="3" t="str">
        <f>IF(CL14=0,"",IF(CL14=VLOOKUP("PCS-OzTL47",ARBOR!$A:$C,3,0),0.0001,IF(CL14&gt;VLOOKUP("PCS-OzTL47",ARBOR!$A:$C,3,0),"Maior que CAP!",IF((DOLLAR(CL14+(VLOOKUP("PCS-OzTL47",ARBOR!$A:$C,3,0)*-TRUNC(CL14/VLOOKUP("PCS-OzTL47",ARBOR!$A:$C,3,0)-1,4)),6))&lt;&gt;(DOLLAR(VLOOKUP("PCS-OzTL47",ARBOR!$A:$C,3,0),6)),-TRUNC(CL14/VLOOKUP("PCS-OzTL47",ARBOR!$A:$C,3,0)-1,4)+0.0001,-TRUNC(CL14/VLOOKUP("PCS-OzTL47",ARBOR!$A:$C,3,0)-1,4)))))</f>
        <v/>
      </c>
      <c r="CN14" s="28" t="str">
        <f>IF(ISERROR(IF(CM14="","",VLOOKUP(($BC14&amp;CM14&amp;"Template desconto FLAT Plano Principal Oi TV nível conta"),BENEFICIOS!$A:$G,5,0))),"Criar",IF(CM14="","",VLOOKUP(($BC14&amp;CM14&amp;"Template desconto FLAT Plano Principal Oi TV nível conta"),BENEFICIOS!$A:$G,5,0)))</f>
        <v/>
      </c>
      <c r="CO14" s="8"/>
      <c r="CP14" s="3" t="str">
        <f>IF(CO14=0,"",IF(CO14=VLOOKUP("PCS-OzTL46",ARBOR!$A:$C,3,0),0.0001,IF(CO14&gt;VLOOKUP("PCS-OzTL46",ARBOR!$A:$C,3,0),"Maior que CAP!",IF((DOLLAR(CO14+(VLOOKUP("PCS-OzTL46",ARBOR!$A:$C,3,0)*-TRUNC(CO14/VLOOKUP("PCS-OzTL46",ARBOR!$A:$C,3,0)-1,4)),6))&lt;&gt;(DOLLAR(VLOOKUP("PCS-OzTL46",ARBOR!$A:$C,3,0),6)),-TRUNC(CO14/VLOOKUP("PCS-OzTL46",ARBOR!$A:$C,3,0)-1,4)+0.0001,-TRUNC(CO14/VLOOKUP("PCS-OzTL46",ARBOR!$A:$C,3,0)-1,4)))))</f>
        <v/>
      </c>
      <c r="CQ14" s="28" t="str">
        <f>IF(ISERROR(IF(CP14="","",VLOOKUP(($BC14&amp;CP14&amp;"Template desconto FLAT Plano Principal Oi TV nível conta"),BENEFICIOS!$A:$G,5,0))),"Criar",IF(CP14="","",VLOOKUP(($BC14&amp;CP14&amp;"Template desconto FLAT Plano Principal Oi TV nível conta"),BENEFICIOS!$A:$G,5,0)))</f>
        <v/>
      </c>
      <c r="CR14" s="8"/>
      <c r="CS14" s="3" t="str">
        <f>IF(CR14=0,"",IF(CR14=VLOOKUP("PCS-OzTL48",ARBOR!$A:$C,3,0),0.0001,IF(CR14&gt;VLOOKUP("PCS-OzTL48",ARBOR!$A:$C,3,0),"Maior que CAP!",IF((DOLLAR(CR14+(VLOOKUP("PCS-OzTL48",ARBOR!$A:$C,3,0)*-TRUNC(CR14/VLOOKUP("PCS-OzTL48",ARBOR!$A:$C,3,0)-1,4)),6))&lt;&gt;(DOLLAR(VLOOKUP("PCS-OzTL48",ARBOR!$A:$C,3,0),6)),-TRUNC(CR14/VLOOKUP("PCS-OzTL48",ARBOR!$A:$C,3,0)-1,4)+0.0001,-TRUNC(CR14/VLOOKUP("PCS-OzTL48",ARBOR!$A:$C,3,0)-1,4)))))</f>
        <v/>
      </c>
      <c r="CT14" s="28" t="str">
        <f>IF(ISERROR(IF(CS14="","",VLOOKUP(($BC14&amp;CS14&amp;"Template desconto FLAT Plano Principal Oi TV nível conta"),BENEFICIOS!$A:$G,5,0))),"Criar",IF(CS14="","",VLOOKUP(($BC14&amp;CS14&amp;"Template desconto FLAT Plano Principal Oi TV nível conta"),BENEFICIOS!$A:$G,5,0)))</f>
        <v/>
      </c>
      <c r="CU14" s="8"/>
      <c r="CV14" s="3" t="str">
        <f>IF(CU14=0,"",IF(CU14=VLOOKUP("PCS-OzTL742",ARBOR!$A:$C,3,0),0.0001,IF(CU14&gt;VLOOKUP("PCS-OzTL742",ARBOR!$A:$C,3,0),"Maior que CAP!",IF((DOLLAR(CU14+(VLOOKUP("PCS-OzTL742",ARBOR!$A:$C,3,0)*-TRUNC(CU14/VLOOKUP("PCS-OzTL742",ARBOR!$A:$C,3,0)-1,4)),6))&lt;&gt;(DOLLAR(VLOOKUP("PCS-OzTL742",ARBOR!$A:$C,3,0),6)),-TRUNC(CU14/VLOOKUP("PCS-OzTL742",ARBOR!$A:$C,3,0)-1,4)+0.0001,-TRUNC(CU14/VLOOKUP("PCS-OzTL742",ARBOR!$A:$C,3,0)-1,4)))))</f>
        <v/>
      </c>
      <c r="CW14" s="28" t="str">
        <f>IF(ISERROR(IF(CV14="","",VLOOKUP(($BC14&amp;CV14&amp;"Template desconto FLAT Plano Principal Oi TV nível conta"),BENEFICIOS!$A:$G,5,0))),"Criar",IF(CV14="","",VLOOKUP(($BC14&amp;CV14&amp;"Template desconto FLAT Plano Principal Oi TV nível conta"),BENEFICIOS!$A:$G,5,0)))</f>
        <v/>
      </c>
      <c r="CX14" s="8"/>
      <c r="CY14" s="3" t="str">
        <f>IF(CX14=0,"",IF(CX14=VLOOKUP("PCS-OzTL747",ARBOR!$A:$C,3,0),0.0001,IF(CX14&gt;VLOOKUP("PCS-OzTL747",ARBOR!$A:$C,3,0),"Maior que CAP!",IF((DOLLAR(CX14+(VLOOKUP("PCS-OzTL747",ARBOR!$A:$C,3,0)*-TRUNC(CX14/VLOOKUP("PCS-OzTL747",ARBOR!$A:$C,3,0)-1,4)),6))&lt;&gt;(DOLLAR(VLOOKUP("PCS-OzTL747",ARBOR!$A:$C,3,0),6)),-TRUNC(CX14/VLOOKUP("PCS-OzTL747",ARBOR!$A:$C,3,0)-1,4)+0.0001,-TRUNC(CX14/VLOOKUP("PCS-OzTL747",ARBOR!$A:$C,3,0)-1,4)))))</f>
        <v/>
      </c>
      <c r="CZ14" s="28" t="str">
        <f>IF(ISERROR(IF(CY14="","",VLOOKUP(($BC14&amp;CY14&amp;"Template desconto FLAT Plano Principal Oi TV nível conta"),BENEFICIOS!$A:$G,5,0))),"Criar",IF(CY14="","",VLOOKUP(($BC14&amp;CY14&amp;"Template desconto FLAT Plano Principal Oi TV nível conta"),BENEFICIOS!$A:$G,5,0)))</f>
        <v/>
      </c>
      <c r="DA14" s="8"/>
      <c r="DB14" s="3" t="str">
        <f>IF(DA14=0,"",IF(DA14=VLOOKUP("PCS-OzTL746",ARBOR!$A:$C,3,0),0.0001,IF(DA14&gt;VLOOKUP("PCS-OzTL746",ARBOR!$A:$C,3,0),"Maior que CAP!",IF((DOLLAR(DA14+(VLOOKUP("PCS-OzTL746",ARBOR!$A:$C,3,0)*-TRUNC(DA14/VLOOKUP("PCS-OzTL746",ARBOR!$A:$C,3,0)-1,4)),6))&lt;&gt;(DOLLAR(VLOOKUP("PCS-OzTL746",ARBOR!$A:$C,3,0),6)),-TRUNC(DA14/VLOOKUP("PCS-OzTL746",ARBOR!$A:$C,3,0)-1,4)+0.0001,-TRUNC(DA14/VLOOKUP("PCS-OzTL746",ARBOR!$A:$C,3,0)-1,4)))))</f>
        <v/>
      </c>
      <c r="DC14" s="28" t="str">
        <f>IF(ISERROR(IF(DB14="","",VLOOKUP(($BC14&amp;DB14&amp;"Template desconto FLAT Plano Principal Oi TV nível conta"),BENEFICIOS!$A:$G,5,0))),"Criar",IF(DB14="","",VLOOKUP(($BC14&amp;DB14&amp;"Template desconto FLAT Plano Principal Oi TV nível conta"),BENEFICIOS!$A:$G,5,0)))</f>
        <v/>
      </c>
      <c r="DD14" s="8"/>
      <c r="DE14" s="3" t="str">
        <f>IF(DD14=0,"",IF(DD14=VLOOKUP("PCS-OzTL748",ARBOR!$A:$C,3,0),0.0001,IF(DD14&gt;VLOOKUP("PCS-OzTL748",ARBOR!$A:$C,3,0),"Maior que CAP!",IF((DOLLAR(DD14+(VLOOKUP("PCS-OzTL748",ARBOR!$A:$C,3,0)*-TRUNC(DD14/VLOOKUP("PCS-OzTL748",ARBOR!$A:$C,3,0)-1,4)),6))&lt;&gt;(DOLLAR(VLOOKUP("PCS-OzTL748",ARBOR!$A:$C,3,0),6)),-TRUNC(DD14/VLOOKUP("PCS-OzTL748",ARBOR!$A:$C,3,0)-1,4)+0.0001,-TRUNC(DD14/VLOOKUP("PCS-OzTL748",ARBOR!$A:$C,3,0)-1,4)))))</f>
        <v/>
      </c>
      <c r="DF14" s="28" t="str">
        <f>IF(ISERROR(IF(DE14="","",VLOOKUP(($BC14&amp;DE14&amp;"Template desconto FLAT Plano Principal Oi TV nível conta"),BENEFICIOS!$A:$G,5,0))),"Criar",IF(DE14="","",VLOOKUP(($BC14&amp;DE14&amp;"Template desconto FLAT Plano Principal Oi TV nível conta"),BENEFICIOS!$A:$G,5,0)))</f>
        <v/>
      </c>
      <c r="DG14" s="8"/>
      <c r="DH14" s="3" t="str">
        <f>IF(DG14=0,"",IF(DG14=VLOOKUP("PCS-OzTL34",ARBOR!$A:$C,3,0),0.0001,IF(DG14&gt;VLOOKUP("PCS-OzTL34",ARBOR!$A:$C,3,0),"Maior que CAP!",IF((DOLLAR(DG14+(VLOOKUP("PCS-OzTL34",ARBOR!$A:$C,3,0)*-TRUNC(DG14/VLOOKUP("PCS-OzTL34",ARBOR!$A:$C,3,0)-1,4)),6))&lt;&gt;(DOLLAR(VLOOKUP("PCS-OzTL34",ARBOR!$A:$C,3,0),6)),-TRUNC(DG14/VLOOKUP("PCS-OzTL34",ARBOR!$A:$C,3,0)-1,4)+0.0001,-TRUNC(DG14/VLOOKUP("PCS-OzTL34",ARBOR!$A:$C,3,0)-1,4)))))</f>
        <v/>
      </c>
      <c r="DI14" s="28" t="str">
        <f>IF(DH14="S/Desc","S/Desc",IF(ISERROR(IF(DH14="","",VLOOKUP(($BC14&amp;DH14&amp;"Template desconto % Combate nível conta"),BENEFICIOS!$A:$G,5,0))),"Criar",IF(DH14="","",VLOOKUP(($BC14&amp;DH14&amp;"Template desconto % Combate nível conta"),BENEFICIOS!$A:$G,5,0))))</f>
        <v/>
      </c>
      <c r="DJ14" s="8"/>
      <c r="DK14" s="3" t="str">
        <f>IF(DJ14=0,"",IF(DJ14=VLOOKUP("PCS-OzTL31",ARBOR!$A:$C,3,0),0.0001,IF(DJ14&gt;VLOOKUP("PCS-OzTL31",ARBOR!$A:$C,3,0),"Maior que CAP!",IF((DOLLAR(DJ14+(VLOOKUP("PCS-OzTL31",ARBOR!$A:$C,3,0)*-TRUNC(DJ14/VLOOKUP("PCS-OzTL31",ARBOR!$A:$C,3,0)-1,4)),6))&lt;&gt;(DOLLAR(VLOOKUP("PCS-OzTL31",ARBOR!$A:$C,3,0),6)),-TRUNC(DJ14/VLOOKUP("PCS-OzTL31",ARBOR!$A:$C,3,0)-1,4)+0.0001,-TRUNC(DJ14/VLOOKUP("PCS-OzTL31",ARBOR!$A:$C,3,0)-1,4)))))</f>
        <v/>
      </c>
      <c r="DL14" s="28" t="str">
        <f>IF(DK14="S/Desc","S/Desc",IF(ISERROR(IF(DK14="","",VLOOKUP(($BC14&amp;DK14&amp;"Template desconto % Sexy Hot nível conta"),BENEFICIOS!$A:$G,5,0))),"Criar",IF(DK14="","",VLOOKUP(($BC14&amp;DK14&amp;"Template desconto % Sexy Hot nível conta"),BENEFICIOS!$A:$G,5,0))))</f>
        <v/>
      </c>
      <c r="DM14" s="8"/>
      <c r="DN14" s="3" t="str">
        <f>IF(DM14=0,"",IF(DM14=VLOOKUP("PCS-OzTL32",ARBOR!$A:$C,3,0),0.0001,IF(DM14&gt;VLOOKUP("PCS-OzTL32",ARBOR!$A:$C,3,0),"Maior que CAP!",IF((DOLLAR(DM14+(VLOOKUP("PCS-OzTL32",ARBOR!$A:$C,3,0)*-TRUNC(DM14/VLOOKUP("PCS-OzTL32",ARBOR!$A:$C,3,0)-1,4)),6))&lt;&gt;(DOLLAR(VLOOKUP("PCS-OzTL32",ARBOR!$A:$C,3,0),6)),-TRUNC(DM14/VLOOKUP("PCS-OzTL32",ARBOR!$A:$C,3,0)-1,4)+0.0001,-TRUNC(DM14/VLOOKUP("PCS-OzTL32",ARBOR!$A:$C,3,0)-1,4)))))</f>
        <v/>
      </c>
      <c r="DO14" s="28" t="str">
        <f>IF(DN14="S/Desc","S/Desc",IF(ISERROR(IF(DN14="","",VLOOKUP(($BC14&amp;DN14&amp;"Template desconto % Playboy nível conta"),BENEFICIOS!$A:$G,5,0))),"Criar",IF(DN14="","",VLOOKUP(($BC14&amp;DN14&amp;"Template desconto % Playboy nível conta"),BENEFICIOS!$A:$G,5,0))))</f>
        <v/>
      </c>
      <c r="DP14" s="8"/>
      <c r="DQ14" s="3" t="str">
        <f>IF(DP14=0,"",IF(DP14=VLOOKUP("PCS-OzTL33",ARBOR!$A:$C,3,0),0.0001,IF(DP14&gt;VLOOKUP("PCS-OzTL33",ARBOR!$A:$C,3,0),"Maior que CAP!",IF((DOLLAR(DP14+(VLOOKUP("PCS-OzTL33",ARBOR!$A:$C,3,0)*-TRUNC(DP14/VLOOKUP("PCS-OzTL33",ARBOR!$A:$C,3,0)-1,4)),6))&lt;&gt;(DOLLAR(VLOOKUP("PCS-OzTL33",ARBOR!$A:$C,3,0),6)),-TRUNC(DP14/VLOOKUP("PCS-OzTL33",ARBOR!$A:$C,3,0)-1,4)+0.0001,-TRUNC(DP14/VLOOKUP("PCS-OzTL33",ARBOR!$A:$C,3,0)-1,4)))))</f>
        <v/>
      </c>
      <c r="DR14" s="28" t="str">
        <f>IF(DQ14="S/Desc","S/Desc",IF(ISERROR(IF(DQ14="","",VLOOKUP(($BC14&amp;DQ14&amp;"Template desconto % Sexy Hot + Playboy nível conta"),BENEFICIOS!$A:$G,5,0))),"Criar",IF(DQ14="","",VLOOKUP(($BC14&amp;DQ14&amp;"Template desconto % Sexy Hot + Playboy nível conta"),BENEFICIOS!$A:$G,5,0))))</f>
        <v/>
      </c>
      <c r="DS14" s="8"/>
      <c r="DT14" s="3" t="str">
        <f>IF(DS14=0,"",IF(DS14=VLOOKUP("PCS-OzTL503",ARBOR!$A:$C,3,0),0.0001,IF(DS14&gt;VLOOKUP("PCS-OzTL503",ARBOR!$A:$C,3,0),"Maior que CAP!",IF((DOLLAR(DS14+(VLOOKUP("PCS-OzTL503",ARBOR!$A:$C,3,0)*-TRUNC(DS14/VLOOKUP("PCS-OzTL503",ARBOR!$A:$C,3,0)-1,4)),6))&lt;&gt;(DOLLAR(VLOOKUP("PCS-OzTL503",ARBOR!$A:$C,3,0),6)),-TRUNC(DS14/VLOOKUP("PCS-OzTL503",ARBOR!$A:$C,3,0)-1,4)+0.0001,-TRUNC(DS14/VLOOKUP("PCS-OzTL503",ARBOR!$A:$C,3,0)-1,4)))))</f>
        <v/>
      </c>
      <c r="DU14" s="28" t="str">
        <f>IF(DT14="S/Desc","S/Desc",IF(ISERROR(IF(DT14="","",VLOOKUP(($BC14&amp;DT14&amp;"Template desconto % SexPrivê nível conta"),BENEFICIOS!$A:$G,5,0))),"Criar",IF(DT14="","",VLOOKUP(($BC14&amp;DT14&amp;"Template desconto % SexPrivê nível conta"),BENEFICIOS!$A:$G,5,0))))</f>
        <v/>
      </c>
      <c r="DV14" s="8"/>
      <c r="DW14" s="3" t="str">
        <f>IF(DV14=0,"",IF(DV14=VLOOKUP("PCS-OzTL500",ARBOR!$A:$C,3,0),0.0001,IF(DV14&gt;VLOOKUP("PCS-OzTL500",ARBOR!$A:$C,3,0),"Maior que CAP!",IF((DOLLAR(DV14+(VLOOKUP("PCS-OzTL500",ARBOR!$A:$C,3,0)*-TRUNC(DV14/VLOOKUP("PCS-OzTL500",ARBOR!$A:$C,3,0)-1,4)),6))&lt;&gt;(DOLLAR(VLOOKUP("PCS-OzTL500",ARBOR!$A:$C,3,0),6)),-TRUNC(DV14/VLOOKUP("PCS-OzTL500",ARBOR!$A:$C,3,0)-1,4)+0.0001,-TRUNC(DV14/VLOOKUP("PCS-OzTL500",ARBOR!$A:$C,3,0)-1,4)))))</f>
        <v/>
      </c>
      <c r="DX14" s="28" t="str">
        <f>IF(DW14="S/Desc","S/Desc",IF(ISERROR(IF(DW14="","",VLOOKUP(($BC14&amp;DW14&amp;"Template desconto % Étnico nível conta"),BENEFICIOS!$A:$G,5,0))),"Criar",IF(DW14="","",VLOOKUP(($BC14&amp;DW14&amp;"Template desconto % Étnico nível conta"),BENEFICIOS!$A:$G,5,0))))</f>
        <v/>
      </c>
      <c r="DY14" s="8"/>
      <c r="DZ14" s="181" t="str">
        <f>IF(DY14=0,"",IF(DY14=VLOOKUP("PCS-OzTL50",ARBOR!$A:$C,3,0),0.0001,IF(DY14&gt;VLOOKUP("PCS-OzTL50",ARBOR!$A:$C,3,0),"Maior que CAP!",IF((DOLLAR(DY14+(VLOOKUP("PCS-OzTL50",ARBOR!$A:$C,3,0)*-TRUNC(DY14/VLOOKUP("PCS-OzTL50",ARBOR!$A:$C,3,0)-1,4)),6))&lt;&gt;(DOLLAR(VLOOKUP("PCS-OzTL50",ARBOR!$A:$C,3,0),6)),-TRUNC(DY14/VLOOKUP("PCS-OzTL50",ARBOR!$A:$C,3,0)-1,4)+0.0001,-TRUNC(DY14/VLOOKUP("PCS-OzTL50",ARBOR!$A:$C,3,0)-1,4)))))</f>
        <v/>
      </c>
      <c r="EA14" s="28"/>
      <c r="EB14" s="8"/>
      <c r="EC14" s="181" t="str">
        <f>IF(EB14=0,"",IF(EB14=VLOOKUP("PCS-OzTL51",ARBOR!$A:$C,3,0),0.0001,IF(EB14&gt;VLOOKUP("PCS-OzTL51",ARBOR!$A:$C,3,0),"Maior que CAP!",IF((DOLLAR(EB14+(VLOOKUP("PCS-OzTL51",ARBOR!$A:$C,3,0)*-TRUNC(EB14/VLOOKUP("PCS-OzTL51",ARBOR!$A:$C,3,0)-1,4)),6))&lt;&gt;(DOLLAR(VLOOKUP("PCS-OzTL51",ARBOR!$A:$C,3,0),6)),-TRUNC(EB14/VLOOKUP("PCS-OzTL51",ARBOR!$A:$C,3,0)-1,4)+0.0001,-TRUNC(EB14/VLOOKUP("PCS-OzTL51",ARBOR!$A:$C,3,0)-1,4)))))</f>
        <v/>
      </c>
      <c r="ED14" s="28"/>
      <c r="EE14" s="8"/>
      <c r="EF14" s="181" t="str">
        <f>IF(EE14=0,"",IF(EE14=VLOOKUP("PCS-OzTL52",ARBOR!$A:$C,3,0),0.0001,IF(EE14&gt;VLOOKUP("PCS-OzTL52",ARBOR!$A:$C,3,0),"Maior que CAP!",IF((DOLLAR(EE14+(VLOOKUP("PCS-OzTL52",ARBOR!$A:$C,3,0)*-TRUNC(EE14/VLOOKUP("PCS-OzTL52",ARBOR!$A:$C,3,0)-1,4)),6))&lt;&gt;(DOLLAR(VLOOKUP("PCS-OzTL52",ARBOR!$A:$C,3,0),6)),-TRUNC(EE14/VLOOKUP("PCS-OzTL52",ARBOR!$A:$C,3,0)-1,4)+0.0001,-TRUNC(EE14/VLOOKUP("PCS-OzTL52",ARBOR!$A:$C,3,0)-1,4)))))</f>
        <v/>
      </c>
      <c r="EG14" s="28"/>
      <c r="EH14" s="8"/>
      <c r="EI14" s="181" t="str">
        <f>IF(EH14=0,"",IF(EH14=VLOOKUP("PCS-OzTL53",ARBOR!$A:$C,3,0),0.0001,IF(EH14&gt;VLOOKUP("PCS-OzTL53",ARBOR!$A:$C,3,0),"Maior que CAP!",IF((DOLLAR(EH14+(VLOOKUP("PCS-OzTL53",ARBOR!$A:$C,3,0)*-TRUNC(EH14/VLOOKUP("PCS-OzTL53",ARBOR!$A:$C,3,0)-1,4)),6))&lt;&gt;(DOLLAR(VLOOKUP("PCS-OzTL53",ARBOR!$A:$C,3,0),6)),-TRUNC(EH14/VLOOKUP("PCS-OzTL53",ARBOR!$A:$C,3,0)-1,4)+0.0001,-TRUNC(EH14/VLOOKUP("PCS-OzTL53",ARBOR!$A:$C,3,0)-1,4)))))</f>
        <v/>
      </c>
      <c r="EJ14" s="28"/>
      <c r="EK14" s="8"/>
      <c r="EL14" s="181" t="str">
        <f>IF(EK14=0,"",IF(EK14=VLOOKUP("PCS-OzTL54",ARBOR!$A:$C,3,0),0.0001,IF(EK14&gt;VLOOKUP("PCS-OzTL54",ARBOR!$A:$C,3,0),"Maior que CAP!",IF((DOLLAR(EK14+(VLOOKUP("PCS-OzTL54",ARBOR!$A:$C,3,0)*-TRUNC(EK14/VLOOKUP("PCS-OzTL54",ARBOR!$A:$C,3,0)-1,4)),6))&lt;&gt;(DOLLAR(VLOOKUP("PCS-OzTL54",ARBOR!$A:$C,3,0),6)),-TRUNC(EK14/VLOOKUP("PCS-OzTL54",ARBOR!$A:$C,3,0)-1,4)+0.0001,-TRUNC(EK14/VLOOKUP("PCS-OzTL54",ARBOR!$A:$C,3,0)-1,4)))))</f>
        <v/>
      </c>
      <c r="EM14" s="28"/>
      <c r="EN14" s="8"/>
      <c r="EO14" s="3" t="str">
        <f>IF(EN14=0,"",IF(EN14=VLOOKUP("PCS-OzTL99",ARBOR!$A:$C,3,0),0.0001,IF(EN14&gt;VLOOKUP("PCS-OzTL99",ARBOR!$A:$C,3,0),"Maior que CAP!",IF((DOLLAR(EN14+(VLOOKUP("PCS-OzTL99",ARBOR!$A:$C,3,0)*-TRUNC(EN14/VLOOKUP("PCS-OzTL99",ARBOR!$A:$C,3,0)-1,4)),6))&lt;&gt;(DOLLAR(VLOOKUP("PCS-OzTL99",ARBOR!$A:$C,3,0),6)),-TRUNC(EN14/VLOOKUP("PCS-OzTL99",ARBOR!$A:$C,3,0)-1,4)+0.0001,-TRUNC(EN14/VLOOKUP("PCS-OzTL99",ARBOR!$A:$C,3,0)-1,4)))))</f>
        <v/>
      </c>
      <c r="EP14" s="28" t="str">
        <f>IF(EO14="S/Desc","S/Desc",IF(ISERROR(IF(EO14="","",VLOOKUP(($BC14&amp;EO14&amp;"Template desconto % Ponto adicional nível conta"),BENEFICIOS!$A:$G,5,0))),"Criar",IF(EO14="","",VLOOKUP(($BC14&amp;EO14&amp;"Template desconto % Ponto adicional nível conta"),BENEFICIOS!$A:$G,5,0))))</f>
        <v/>
      </c>
      <c r="EQ14" s="8"/>
      <c r="ER14" s="28" t="str">
        <f t="shared" si="1"/>
        <v/>
      </c>
      <c r="ES14" s="62"/>
      <c r="ET14" s="126"/>
      <c r="EU14" s="127"/>
      <c r="EV14" s="126"/>
      <c r="EW14" s="128" t="str">
        <f t="shared" si="2"/>
        <v/>
      </c>
      <c r="EX14" s="129" t="str">
        <f t="shared" si="3"/>
        <v/>
      </c>
      <c r="EY14" s="91" t="str">
        <f t="shared" si="4"/>
        <v/>
      </c>
      <c r="EZ14" s="85"/>
      <c r="FA14" s="97"/>
      <c r="FB14" s="91"/>
      <c r="FC14" s="85"/>
      <c r="FD14" s="97"/>
      <c r="FE14" s="91"/>
      <c r="FF14" s="87"/>
      <c r="FG14" s="144" t="str">
        <f t="shared" si="5"/>
        <v/>
      </c>
      <c r="FH14" s="144" t="str">
        <f t="shared" si="6"/>
        <v/>
      </c>
      <c r="FI14" s="144" t="str">
        <f t="shared" si="7"/>
        <v/>
      </c>
      <c r="FJ14" s="144" t="str">
        <f t="shared" si="8"/>
        <v/>
      </c>
      <c r="FK14" s="144" t="str">
        <f t="shared" si="9"/>
        <v/>
      </c>
      <c r="FL14" s="144" t="str">
        <f t="shared" si="10"/>
        <v/>
      </c>
      <c r="FM14" s="144" t="str">
        <f t="shared" si="11"/>
        <v/>
      </c>
      <c r="FN14" s="144" t="str">
        <f t="shared" si="12"/>
        <v/>
      </c>
      <c r="FO14" s="144" t="str">
        <f t="shared" si="13"/>
        <v/>
      </c>
      <c r="FP14" s="144" t="str">
        <f t="shared" si="14"/>
        <v/>
      </c>
      <c r="FQ14" s="144" t="str">
        <f t="shared" si="15"/>
        <v/>
      </c>
      <c r="FR14" s="144" t="str">
        <f t="shared" si="16"/>
        <v/>
      </c>
      <c r="FS14" s="144" t="str">
        <f t="shared" si="17"/>
        <v/>
      </c>
      <c r="FT14" s="144" t="str">
        <f t="shared" si="18"/>
        <v/>
      </c>
      <c r="FU14" s="144" t="str">
        <f t="shared" si="19"/>
        <v/>
      </c>
      <c r="FV14" s="144" t="str">
        <f t="shared" si="20"/>
        <v/>
      </c>
      <c r="FW14" s="144" t="str">
        <f t="shared" si="21"/>
        <v/>
      </c>
      <c r="FX14" s="151"/>
      <c r="FY14" s="152"/>
      <c r="FZ14" s="152"/>
      <c r="GA14" s="152"/>
      <c r="GB14" s="152"/>
      <c r="GC14" s="152"/>
      <c r="GD14" s="152"/>
      <c r="GE14" s="152"/>
      <c r="GF14" s="152"/>
      <c r="GG14" s="153"/>
    </row>
    <row r="15" spans="1:189">
      <c r="A15" s="45"/>
      <c r="B15" s="133"/>
      <c r="C15" s="133"/>
      <c r="D15" s="46"/>
      <c r="E15" s="47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9"/>
      <c r="U15" s="48"/>
      <c r="V15" s="49"/>
      <c r="W15" s="48"/>
      <c r="X15" s="48"/>
      <c r="Y15" s="48"/>
      <c r="Z15" s="48"/>
      <c r="AA15" s="49"/>
      <c r="AB15" s="48"/>
      <c r="AC15" s="50"/>
      <c r="AD15" s="48"/>
      <c r="AE15" s="48"/>
      <c r="AF15" s="48"/>
      <c r="AG15" s="48"/>
      <c r="AH15" s="48"/>
      <c r="AI15" s="48"/>
      <c r="AJ15" s="48"/>
      <c r="AK15" s="48"/>
      <c r="AL15" s="51"/>
      <c r="AM15" s="37"/>
      <c r="AN15" s="38"/>
      <c r="AO15" s="39"/>
      <c r="AP15" s="52"/>
      <c r="AQ15" s="53"/>
      <c r="AR15" s="64"/>
      <c r="AS15" s="65"/>
      <c r="AT15" s="54"/>
      <c r="AU15" s="54"/>
      <c r="AV15" s="54"/>
      <c r="AW15" s="54"/>
      <c r="AX15" s="70"/>
      <c r="AY15" s="71"/>
      <c r="AZ15" s="72"/>
      <c r="BA15" s="73"/>
      <c r="BB15" s="55"/>
      <c r="BC15" s="56"/>
      <c r="BD15" s="27" t="str">
        <f t="shared" si="0"/>
        <v/>
      </c>
      <c r="BE15" s="58"/>
      <c r="BF15" s="3" t="str">
        <f>IF(BE15=0,"",IF(BE15=VLOOKUP("FIXO",ARBOR!$A:$C,3,0),0.0001,IF(BE15&gt;VLOOKUP("FIXO",ARBOR!$A:$C,3,0),"Maior que CAP!",IF((DOLLAR(BE15+(VLOOKUP("FIXO",ARBOR!$A:$C,3,0)*-TRUNC(BE15/VLOOKUP("FIXO",ARBOR!$A:$C,3,0)-1,4)),6))&lt;&gt;(DOLLAR(VLOOKUP("FIXO",ARBOR!$A:$C,3,0),6)),-TRUNC(BE15/VLOOKUP("FIXO",ARBOR!$A:$C,3,0)-1,4)+0.0001,-TRUNC(BE15/VLOOKUP("FIXO",ARBOR!$A:$C,3,0)-1,4)))))</f>
        <v/>
      </c>
      <c r="BG15" s="10" t="str">
        <f>IF(ISERROR(IF(BF15="","",VLOOKUP(($BC15&amp;BF15&amp;"Template de desconto FLAT bundle - Fixo - Varejo - Ganho Tributário Cross"),BENEFICIOS!$A:$G,5,0))),"Criar",IF(BF15="","",VLOOKUP(($BC15&amp;BF15&amp;"Template de desconto FLAT bundle - Fixo - Varejo - Ganho Tributário Cross"),BENEFICIOS!$A:$G,5,0)))</f>
        <v/>
      </c>
      <c r="BH15" s="8"/>
      <c r="BI15" s="3" t="str">
        <f>IF(BH15=0,"",IF(BH15=VLOOKUP("PCS-OzTL40",ARBOR!$A:$C,3,0),0.0001,IF(BH15&gt;VLOOKUP("PCS-OzTL40",ARBOR!$A:$C,3,0),"Maior que CAP!",IF((DOLLAR(BH15+(VLOOKUP("PCS-OzTL40",ARBOR!$A:$C,3,0)*-TRUNC(BH15/VLOOKUP("PCS-OzTL40",ARBOR!$A:$C,3,0)-1,4)),6))&lt;&gt;(DOLLAR(VLOOKUP("PCS-OzTL40",ARBOR!$A:$C,3,0),6)),-TRUNC(BH15/VLOOKUP("PCS-OzTL40",ARBOR!$A:$C,3,0)-1,4)+0.0001,-TRUNC(BH15/VLOOKUP("PCS-OzTL40",ARBOR!$A:$C,3,0)-1,4)))))</f>
        <v/>
      </c>
      <c r="BJ15" s="10" t="str">
        <f>IF(ISERROR(IF(BI15="","",VLOOKUP((BC15&amp;BI15&amp;"Template desconto FLAT Plano Principal Oi TV nível conta"),BENEFICIOS!$A:$G,5,0))),"Criar",IF(BI15="","",VLOOKUP((BC15&amp;BI15&amp;"Template desconto FLAT Plano Principal Oi TV nível conta"),BENEFICIOS!$A:$G,5,0)))</f>
        <v/>
      </c>
      <c r="BK15" s="8"/>
      <c r="BL15" s="3" t="str">
        <f>IF(BK15=0,"",IF(BK15=VLOOKUP("PCS-OzTL41",ARBOR!$A:$C,3,0),0.0001,IF(BK15&gt;VLOOKUP("PCS-OzTL41",ARBOR!$A:$C,3,0),"Maior que CAP!",IF((DOLLAR(BK15+(VLOOKUP("PCS-OzTL41",ARBOR!$A:$C,3,0)*-TRUNC(BK15/VLOOKUP("PCS-OzTL41",ARBOR!$A:$C,3,0)-1,4)),6))&lt;&gt;(DOLLAR(VLOOKUP("PCS-OzTL41",ARBOR!$A:$C,3,0),6)),-TRUNC(BK15/VLOOKUP("PCS-OzTL41",ARBOR!$A:$C,3,0)-1,4)+0.0001,-TRUNC(BK15/VLOOKUP("PCS-OzTL41",ARBOR!$A:$C,3,0)-1,4)))))</f>
        <v/>
      </c>
      <c r="BM15" s="28" t="str">
        <f>IF(ISERROR(IF(BL15="","",VLOOKUP((BC15&amp;BL15&amp;"Template desconto FLAT Plano Principal Oi TV nível conta"),BENEFICIOS!$A:$G,5,0))),"Criar",IF(BL15="","",VLOOKUP((BC15&amp;BL15&amp;"Template desconto FLAT Plano Principal Oi TV nível conta"),BENEFICIOS!$A:$G,5,0)))</f>
        <v/>
      </c>
      <c r="BN15" s="8"/>
      <c r="BO15" s="3" t="str">
        <f>IF(BN15=0,"",IF(BN15=VLOOKUP("PCS-OzTL44",ARBOR!$A:$C,3,0),0.0001,IF(BN15&gt;VLOOKUP("PCS-OzTL44",ARBOR!$A:$C,3,0),"Maior que CAP!",IF((DOLLAR(BN15+(VLOOKUP("PCS-OzTL44",ARBOR!$A:$C,3,0)*-TRUNC(BN15/VLOOKUP("PCS-OzTL44",ARBOR!$A:$C,3,0)-1,4)),6))&lt;&gt;(DOLLAR(VLOOKUP("PCS-OzTL44",ARBOR!$A:$C,3,0),6)),-TRUNC(BN15/VLOOKUP("PCS-OzTL44",ARBOR!$A:$C,3,0)-1,4)+0.0001,-TRUNC(BN15/VLOOKUP("PCS-OzTL44",ARBOR!$A:$C,3,0)-1,4)))))</f>
        <v/>
      </c>
      <c r="BP15" s="28" t="str">
        <f>IF(ISERROR(IF(BO15="","",VLOOKUP((BC15&amp;BO15&amp;"Template desconto FLAT Plano Principal Oi TV nível conta"),BENEFICIOS!$A:$G,5,0))),"Criar",IF(BO15="","",VLOOKUP((BC15&amp;BO15&amp;"Template desconto FLAT Plano Principal Oi TV nível conta"),BENEFICIOS!$A:$G,5,0)))</f>
        <v/>
      </c>
      <c r="BQ15" s="8"/>
      <c r="BR15" s="3" t="str">
        <f>IF(BQ15=0,"",IF(BQ15=VLOOKUP("PCS-OzTL43",ARBOR!$A:$C,3,0),0.0001,IF(BQ15&gt;VLOOKUP("PCS-OzTL43",ARBOR!$A:$C,3,0),"Maior que CAP!",IF((DOLLAR(BQ15+(VLOOKUP("PCS-OzTL43",ARBOR!$A:$C,3,0)*-TRUNC(BQ15/VLOOKUP("PCS-OzTL43",ARBOR!$A:$C,3,0)-1,4)),6))&lt;&gt;(DOLLAR(VLOOKUP("PCS-OzTL43",ARBOR!$A:$C,3,0),6)),-TRUNC(BQ15/VLOOKUP("PCS-OzTL43",ARBOR!$A:$C,3,0)-1,4)+0.0001,-TRUNC(BQ15/VLOOKUP("PCS-OzTL43",ARBOR!$A:$C,3,0)-1,4)))))</f>
        <v/>
      </c>
      <c r="BS15" s="28" t="str">
        <f>IF(ISERROR(IF(BR15="","",VLOOKUP((BC15&amp;BR15&amp;"Template desconto FLAT Plano Principal Oi TV nível conta"),BENEFICIOS!$A:$G,5,0))),"Criar",IF(BR15="","",VLOOKUP((BC15&amp;BR15&amp;"Template desconto FLAT Plano Principal Oi TV nível conta"),BENEFICIOS!$A:$G,5,0)))</f>
        <v/>
      </c>
      <c r="BT15" s="8"/>
      <c r="BU15" s="3" t="str">
        <f>IF(BT15=0,"",IF(BT15=VLOOKUP("PCS-OzTL45",ARBOR!$A:$C,3,0),0.0001,IF(BT15&gt;VLOOKUP("PCS-OzTL45",ARBOR!$A:$C,3,0),"Maior que CAP!",IF((DOLLAR(BT15+(VLOOKUP("PCS-OzTL45",ARBOR!$A:$C,3,0)*-TRUNC(BT15/VLOOKUP("PCS-OzTL45",ARBOR!$A:$C,3,0)-1,4)),6))&lt;&gt;(DOLLAR(VLOOKUP("PCS-OzTL45",ARBOR!$A:$C,3,0),6)),-TRUNC(BT15/VLOOKUP("PCS-OzTL45",ARBOR!$A:$C,3,0)-1,4)+0.0001,-TRUNC(BT15/VLOOKUP("PCS-OzTL45",ARBOR!$A:$C,3,0)-1,4)))))</f>
        <v/>
      </c>
      <c r="BV15" s="28" t="str">
        <f>IF(ISERROR(IF(BU15="","",VLOOKUP((BC15&amp;BU15&amp;"Template desconto FLAT Plano Principal Oi TV nível conta"),BENEFICIOS!$A:$G,5,0))),"Criar",IF(BU15="","",VLOOKUP((BC15&amp;BU15&amp;"Template desconto FLAT Plano Principal Oi TV nível conta"),BENEFICIOS!$A:$G,5,0)))</f>
        <v/>
      </c>
      <c r="BW15" s="8"/>
      <c r="BX15" s="3" t="str">
        <f>IF(BW15=0,"",IF(BW15=VLOOKUP("PCS-OzTL741",ARBOR!$A:$C,3,0),0.0001,IF(BW15&gt;VLOOKUP("PCS-OzTL741",ARBOR!$A:$C,3,0),"Maior que CAP!",IF((DOLLAR(BW15+(VLOOKUP("PCS-OzTL741",ARBOR!$A:$C,3,0)*-TRUNC(BW15/VLOOKUP("PCS-OzTL741",ARBOR!$A:$C,3,0)-1,4)),6))&lt;&gt;(DOLLAR(VLOOKUP("PCS-OzTL741",ARBOR!$A:$C,3,0),6)),-TRUNC(BW15/VLOOKUP("PCS-OzTL741",ARBOR!$A:$C,3,0)-1,4)+0.0001,-TRUNC(BW15/VLOOKUP("PCS-OzTL741",ARBOR!$A:$C,3,0)-1,4)))))</f>
        <v/>
      </c>
      <c r="BY15" s="28" t="str">
        <f>IF(ISERROR(IF(BX15="","",VLOOKUP((BC15&amp;BX15&amp;"Template desconto FLAT Plano Principal Oi TV nível conta"),BENEFICIOS!$A:$G,5,0))),"Criar",IF(BX15="","",VLOOKUP((BC15&amp;BX15&amp;"Template desconto FLAT Plano Principal Oi TV nível conta"),BENEFICIOS!$A:$G,5,0)))</f>
        <v/>
      </c>
      <c r="BZ15" s="8"/>
      <c r="CA15" s="3" t="str">
        <f>IF(BZ15=0,"",IF(BZ15=VLOOKUP("PCS-OzTL744",ARBOR!$A:$C,3,0),0.0001,IF(BZ15&gt;VLOOKUP("PCS-OzTL744",ARBOR!$A:$C,3,0),"Maior que CAP!",IF((DOLLAR(BZ15+(VLOOKUP("PCS-OzTL744",ARBOR!$A:$C,3,0)*-TRUNC(BZ15/VLOOKUP("PCS-OzTL744",ARBOR!$A:$C,3,0)-1,4)),6))&lt;&gt;(DOLLAR(VLOOKUP("PCS-OzTL744",ARBOR!$A:$C,3,0),6)),-TRUNC(BZ15/VLOOKUP("PCS-OzTL744",ARBOR!$A:$C,3,0)-1,4)+0.0001,-TRUNC(BZ15/VLOOKUP("PCS-OzTL744",ARBOR!$A:$C,3,0)-1,4)))))</f>
        <v/>
      </c>
      <c r="CB15" s="28" t="str">
        <f>IF(ISERROR(IF(CA15="","",VLOOKUP(($BC15&amp;CA15&amp;"Template desconto FLAT Plano Principal Oi TV nível conta"),BENEFICIOS!$A:$G,5,0))),"Criar",IF(CA15="","",VLOOKUP(($BC15&amp;CA15&amp;"Template desconto FLAT Plano Principal Oi TV nível conta"),BENEFICIOS!$A:$G,5,0)))</f>
        <v/>
      </c>
      <c r="CC15" s="8"/>
      <c r="CD15" s="3" t="str">
        <f>IF(CC15=0,"",IF(CC15=VLOOKUP("PCS-OzTL743",ARBOR!$A:$C,3,0),0.0001,IF(CC15&gt;VLOOKUP("PCS-OzTL743",ARBOR!$A:$C,3,0),"Maior que CAP!",IF((DOLLAR(CC15+(VLOOKUP("PCS-OzTL743",ARBOR!$A:$C,3,0)*-TRUNC(CC15/VLOOKUP("PCS-OzTL743",ARBOR!$A:$C,3,0)-1,4)),6))&lt;&gt;(DOLLAR(VLOOKUP("PCS-OzTL743",ARBOR!$A:$C,3,0),6)),-TRUNC(CC15/VLOOKUP("PCS-OzTL743",ARBOR!$A:$C,3,0)-1,4)+0.0001,-TRUNC(CC15/VLOOKUP("PCS-OzTL743",ARBOR!$A:$C,3,0)-1,4)))))</f>
        <v/>
      </c>
      <c r="CE15" s="28" t="str">
        <f>IF(ISERROR(IF(CD15="","",VLOOKUP(($BC15&amp;CD15&amp;"Template desconto FLAT Plano Principal Oi TV nível conta"),BENEFICIOS!$A:$G,5,0))),"Criar",IF(CD15="","",VLOOKUP(($BC15&amp;CD15&amp;"Template desconto FLAT Plano Principal Oi TV nível conta"),BENEFICIOS!$A:$G,5,0)))</f>
        <v/>
      </c>
      <c r="CF15" s="8"/>
      <c r="CG15" s="3" t="str">
        <f>IF(CF15=0,"",IF(CF15=VLOOKUP("PCS-OzTL745",ARBOR!$A:$C,3,0),0.0001,IF(CF15&gt;VLOOKUP("PCS-OzTL745",ARBOR!$A:$C,3,0),"Maior que CAP!",IF((DOLLAR(CF15+(VLOOKUP("PCS-OzTL745",ARBOR!$A:$C,3,0)*-TRUNC(CF15/VLOOKUP("PCS-OzTL745",ARBOR!$A:$C,3,0)-1,4)),6))&lt;&gt;(DOLLAR(VLOOKUP("PCS-OzTL745",ARBOR!$A:$C,3,0),6)),-TRUNC(CF15/VLOOKUP("PCS-OzTL745",ARBOR!$A:$C,3,0)-1,4)+0.0001,-TRUNC(CF15/VLOOKUP("PCS-OzTL745",ARBOR!$A:$C,3,0)-1,4)))))</f>
        <v/>
      </c>
      <c r="CH15" s="28" t="str">
        <f>IF(ISERROR(IF(CG15="","",VLOOKUP(($BC15&amp;CG15&amp;"Template desconto FLAT Plano Principal Oi TV nível conta"),BENEFICIOS!$A:$G,5,0))),"Criar",IF(CG15="","",VLOOKUP(($BC15&amp;CG15&amp;"Template desconto FLAT Plano Principal Oi TV nível conta"),BENEFICIOS!$A:$G,5,0)))</f>
        <v/>
      </c>
      <c r="CI15" s="8"/>
      <c r="CJ15" s="3" t="str">
        <f>IF(CI15=0,"",IF(CI15=VLOOKUP("PCS-OzTL42",ARBOR!$A:$C,3,0),0.0001,IF(CI15&gt;VLOOKUP("PCS-OzTL42",ARBOR!$A:$C,3,0),"Maior que CAP!",IF((DOLLAR(CI15+(VLOOKUP("PCS-OzTL42",ARBOR!$A:$C,3,0)*-TRUNC(CI15/VLOOKUP("PCS-OzTL42",ARBOR!$A:$C,3,0)-1,4)),6))&lt;&gt;(DOLLAR(VLOOKUP("PCS-OzTL42",ARBOR!$A:$C,3,0),6)),-TRUNC(CI15/VLOOKUP("PCS-OzTL42",ARBOR!$A:$C,3,0)-1,4)+0.0001,-TRUNC(CI15/VLOOKUP("PCS-OzTL42",ARBOR!$A:$C,3,0)-1,4)))))</f>
        <v/>
      </c>
      <c r="CK15" s="28" t="str">
        <f>IF(ISERROR(IF(CJ15="","",VLOOKUP(($BC15&amp;CJ15&amp;"Template desconto FLAT Plano Principal Oi TV nível conta"),BENEFICIOS!$A:$G,5,0))),"Criar",IF(CJ15="","",VLOOKUP(($BC15&amp;CJ15&amp;"Template desconto FLAT Plano Principal Oi TV nível conta"),BENEFICIOS!$A:$G,5,0)))</f>
        <v/>
      </c>
      <c r="CL15" s="8"/>
      <c r="CM15" s="3" t="str">
        <f>IF(CL15=0,"",IF(CL15=VLOOKUP("PCS-OzTL47",ARBOR!$A:$C,3,0),0.0001,IF(CL15&gt;VLOOKUP("PCS-OzTL47",ARBOR!$A:$C,3,0),"Maior que CAP!",IF((DOLLAR(CL15+(VLOOKUP("PCS-OzTL47",ARBOR!$A:$C,3,0)*-TRUNC(CL15/VLOOKUP("PCS-OzTL47",ARBOR!$A:$C,3,0)-1,4)),6))&lt;&gt;(DOLLAR(VLOOKUP("PCS-OzTL47",ARBOR!$A:$C,3,0),6)),-TRUNC(CL15/VLOOKUP("PCS-OzTL47",ARBOR!$A:$C,3,0)-1,4)+0.0001,-TRUNC(CL15/VLOOKUP("PCS-OzTL47",ARBOR!$A:$C,3,0)-1,4)))))</f>
        <v/>
      </c>
      <c r="CN15" s="28" t="str">
        <f>IF(ISERROR(IF(CM15="","",VLOOKUP(($BC15&amp;CM15&amp;"Template desconto FLAT Plano Principal Oi TV nível conta"),BENEFICIOS!$A:$G,5,0))),"Criar",IF(CM15="","",VLOOKUP(($BC15&amp;CM15&amp;"Template desconto FLAT Plano Principal Oi TV nível conta"),BENEFICIOS!$A:$G,5,0)))</f>
        <v/>
      </c>
      <c r="CO15" s="8"/>
      <c r="CP15" s="3" t="str">
        <f>IF(CO15=0,"",IF(CO15=VLOOKUP("PCS-OzTL46",ARBOR!$A:$C,3,0),0.0001,IF(CO15&gt;VLOOKUP("PCS-OzTL46",ARBOR!$A:$C,3,0),"Maior que CAP!",IF((DOLLAR(CO15+(VLOOKUP("PCS-OzTL46",ARBOR!$A:$C,3,0)*-TRUNC(CO15/VLOOKUP("PCS-OzTL46",ARBOR!$A:$C,3,0)-1,4)),6))&lt;&gt;(DOLLAR(VLOOKUP("PCS-OzTL46",ARBOR!$A:$C,3,0),6)),-TRUNC(CO15/VLOOKUP("PCS-OzTL46",ARBOR!$A:$C,3,0)-1,4)+0.0001,-TRUNC(CO15/VLOOKUP("PCS-OzTL46",ARBOR!$A:$C,3,0)-1,4)))))</f>
        <v/>
      </c>
      <c r="CQ15" s="28" t="str">
        <f>IF(ISERROR(IF(CP15="","",VLOOKUP(($BC15&amp;CP15&amp;"Template desconto FLAT Plano Principal Oi TV nível conta"),BENEFICIOS!$A:$G,5,0))),"Criar",IF(CP15="","",VLOOKUP(($BC15&amp;CP15&amp;"Template desconto FLAT Plano Principal Oi TV nível conta"),BENEFICIOS!$A:$G,5,0)))</f>
        <v/>
      </c>
      <c r="CR15" s="8"/>
      <c r="CS15" s="3" t="str">
        <f>IF(CR15=0,"",IF(CR15=VLOOKUP("PCS-OzTL48",ARBOR!$A:$C,3,0),0.0001,IF(CR15&gt;VLOOKUP("PCS-OzTL48",ARBOR!$A:$C,3,0),"Maior que CAP!",IF((DOLLAR(CR15+(VLOOKUP("PCS-OzTL48",ARBOR!$A:$C,3,0)*-TRUNC(CR15/VLOOKUP("PCS-OzTL48",ARBOR!$A:$C,3,0)-1,4)),6))&lt;&gt;(DOLLAR(VLOOKUP("PCS-OzTL48",ARBOR!$A:$C,3,0),6)),-TRUNC(CR15/VLOOKUP("PCS-OzTL48",ARBOR!$A:$C,3,0)-1,4)+0.0001,-TRUNC(CR15/VLOOKUP("PCS-OzTL48",ARBOR!$A:$C,3,0)-1,4)))))</f>
        <v/>
      </c>
      <c r="CT15" s="28" t="str">
        <f>IF(ISERROR(IF(CS15="","",VLOOKUP(($BC15&amp;CS15&amp;"Template desconto FLAT Plano Principal Oi TV nível conta"),BENEFICIOS!$A:$G,5,0))),"Criar",IF(CS15="","",VLOOKUP(($BC15&amp;CS15&amp;"Template desconto FLAT Plano Principal Oi TV nível conta"),BENEFICIOS!$A:$G,5,0)))</f>
        <v/>
      </c>
      <c r="CU15" s="8"/>
      <c r="CV15" s="3" t="str">
        <f>IF(CU15=0,"",IF(CU15=VLOOKUP("PCS-OzTL742",ARBOR!$A:$C,3,0),0.0001,IF(CU15&gt;VLOOKUP("PCS-OzTL742",ARBOR!$A:$C,3,0),"Maior que CAP!",IF((DOLLAR(CU15+(VLOOKUP("PCS-OzTL742",ARBOR!$A:$C,3,0)*-TRUNC(CU15/VLOOKUP("PCS-OzTL742",ARBOR!$A:$C,3,0)-1,4)),6))&lt;&gt;(DOLLAR(VLOOKUP("PCS-OzTL742",ARBOR!$A:$C,3,0),6)),-TRUNC(CU15/VLOOKUP("PCS-OzTL742",ARBOR!$A:$C,3,0)-1,4)+0.0001,-TRUNC(CU15/VLOOKUP("PCS-OzTL742",ARBOR!$A:$C,3,0)-1,4)))))</f>
        <v/>
      </c>
      <c r="CW15" s="28" t="str">
        <f>IF(ISERROR(IF(CV15="","",VLOOKUP(($BC15&amp;CV15&amp;"Template desconto FLAT Plano Principal Oi TV nível conta"),BENEFICIOS!$A:$G,5,0))),"Criar",IF(CV15="","",VLOOKUP(($BC15&amp;CV15&amp;"Template desconto FLAT Plano Principal Oi TV nível conta"),BENEFICIOS!$A:$G,5,0)))</f>
        <v/>
      </c>
      <c r="CX15" s="8"/>
      <c r="CY15" s="3" t="str">
        <f>IF(CX15=0,"",IF(CX15=VLOOKUP("PCS-OzTL747",ARBOR!$A:$C,3,0),0.0001,IF(CX15&gt;VLOOKUP("PCS-OzTL747",ARBOR!$A:$C,3,0),"Maior que CAP!",IF((DOLLAR(CX15+(VLOOKUP("PCS-OzTL747",ARBOR!$A:$C,3,0)*-TRUNC(CX15/VLOOKUP("PCS-OzTL747",ARBOR!$A:$C,3,0)-1,4)),6))&lt;&gt;(DOLLAR(VLOOKUP("PCS-OzTL747",ARBOR!$A:$C,3,0),6)),-TRUNC(CX15/VLOOKUP("PCS-OzTL747",ARBOR!$A:$C,3,0)-1,4)+0.0001,-TRUNC(CX15/VLOOKUP("PCS-OzTL747",ARBOR!$A:$C,3,0)-1,4)))))</f>
        <v/>
      </c>
      <c r="CZ15" s="28" t="str">
        <f>IF(ISERROR(IF(CY15="","",VLOOKUP(($BC15&amp;CY15&amp;"Template desconto FLAT Plano Principal Oi TV nível conta"),BENEFICIOS!$A:$G,5,0))),"Criar",IF(CY15="","",VLOOKUP(($BC15&amp;CY15&amp;"Template desconto FLAT Plano Principal Oi TV nível conta"),BENEFICIOS!$A:$G,5,0)))</f>
        <v/>
      </c>
      <c r="DA15" s="8"/>
      <c r="DB15" s="3" t="str">
        <f>IF(DA15=0,"",IF(DA15=VLOOKUP("PCS-OzTL746",ARBOR!$A:$C,3,0),0.0001,IF(DA15&gt;VLOOKUP("PCS-OzTL746",ARBOR!$A:$C,3,0),"Maior que CAP!",IF((DOLLAR(DA15+(VLOOKUP("PCS-OzTL746",ARBOR!$A:$C,3,0)*-TRUNC(DA15/VLOOKUP("PCS-OzTL746",ARBOR!$A:$C,3,0)-1,4)),6))&lt;&gt;(DOLLAR(VLOOKUP("PCS-OzTL746",ARBOR!$A:$C,3,0),6)),-TRUNC(DA15/VLOOKUP("PCS-OzTL746",ARBOR!$A:$C,3,0)-1,4)+0.0001,-TRUNC(DA15/VLOOKUP("PCS-OzTL746",ARBOR!$A:$C,3,0)-1,4)))))</f>
        <v/>
      </c>
      <c r="DC15" s="28" t="str">
        <f>IF(ISERROR(IF(DB15="","",VLOOKUP(($BC15&amp;DB15&amp;"Template desconto FLAT Plano Principal Oi TV nível conta"),BENEFICIOS!$A:$G,5,0))),"Criar",IF(DB15="","",VLOOKUP(($BC15&amp;DB15&amp;"Template desconto FLAT Plano Principal Oi TV nível conta"),BENEFICIOS!$A:$G,5,0)))</f>
        <v/>
      </c>
      <c r="DD15" s="8"/>
      <c r="DE15" s="3" t="str">
        <f>IF(DD15=0,"",IF(DD15=VLOOKUP("PCS-OzTL748",ARBOR!$A:$C,3,0),0.0001,IF(DD15&gt;VLOOKUP("PCS-OzTL748",ARBOR!$A:$C,3,0),"Maior que CAP!",IF((DOLLAR(DD15+(VLOOKUP("PCS-OzTL748",ARBOR!$A:$C,3,0)*-TRUNC(DD15/VLOOKUP("PCS-OzTL748",ARBOR!$A:$C,3,0)-1,4)),6))&lt;&gt;(DOLLAR(VLOOKUP("PCS-OzTL748",ARBOR!$A:$C,3,0),6)),-TRUNC(DD15/VLOOKUP("PCS-OzTL748",ARBOR!$A:$C,3,0)-1,4)+0.0001,-TRUNC(DD15/VLOOKUP("PCS-OzTL748",ARBOR!$A:$C,3,0)-1,4)))))</f>
        <v/>
      </c>
      <c r="DF15" s="28" t="str">
        <f>IF(ISERROR(IF(DE15="","",VLOOKUP(($BC15&amp;DE15&amp;"Template desconto FLAT Plano Principal Oi TV nível conta"),BENEFICIOS!$A:$G,5,0))),"Criar",IF(DE15="","",VLOOKUP(($BC15&amp;DE15&amp;"Template desconto FLAT Plano Principal Oi TV nível conta"),BENEFICIOS!$A:$G,5,0)))</f>
        <v/>
      </c>
      <c r="DG15" s="8"/>
      <c r="DH15" s="3" t="str">
        <f>IF(DG15=0,"",IF(DG15=VLOOKUP("PCS-OzTL34",ARBOR!$A:$C,3,0),0.0001,IF(DG15&gt;VLOOKUP("PCS-OzTL34",ARBOR!$A:$C,3,0),"Maior que CAP!",IF((DOLLAR(DG15+(VLOOKUP("PCS-OzTL34",ARBOR!$A:$C,3,0)*-TRUNC(DG15/VLOOKUP("PCS-OzTL34",ARBOR!$A:$C,3,0)-1,4)),6))&lt;&gt;(DOLLAR(VLOOKUP("PCS-OzTL34",ARBOR!$A:$C,3,0),6)),-TRUNC(DG15/VLOOKUP("PCS-OzTL34",ARBOR!$A:$C,3,0)-1,4)+0.0001,-TRUNC(DG15/VLOOKUP("PCS-OzTL34",ARBOR!$A:$C,3,0)-1,4)))))</f>
        <v/>
      </c>
      <c r="DI15" s="28" t="str">
        <f>IF(DH15="S/Desc","S/Desc",IF(ISERROR(IF(DH15="","",VLOOKUP(($BC15&amp;DH15&amp;"Template desconto % Combate nível conta"),BENEFICIOS!$A:$G,5,0))),"Criar",IF(DH15="","",VLOOKUP(($BC15&amp;DH15&amp;"Template desconto % Combate nível conta"),BENEFICIOS!$A:$G,5,0))))</f>
        <v/>
      </c>
      <c r="DJ15" s="8"/>
      <c r="DK15" s="3" t="str">
        <f>IF(DJ15=0,"",IF(DJ15=VLOOKUP("PCS-OzTL31",ARBOR!$A:$C,3,0),0.0001,IF(DJ15&gt;VLOOKUP("PCS-OzTL31",ARBOR!$A:$C,3,0),"Maior que CAP!",IF((DOLLAR(DJ15+(VLOOKUP("PCS-OzTL31",ARBOR!$A:$C,3,0)*-TRUNC(DJ15/VLOOKUP("PCS-OzTL31",ARBOR!$A:$C,3,0)-1,4)),6))&lt;&gt;(DOLLAR(VLOOKUP("PCS-OzTL31",ARBOR!$A:$C,3,0),6)),-TRUNC(DJ15/VLOOKUP("PCS-OzTL31",ARBOR!$A:$C,3,0)-1,4)+0.0001,-TRUNC(DJ15/VLOOKUP("PCS-OzTL31",ARBOR!$A:$C,3,0)-1,4)))))</f>
        <v/>
      </c>
      <c r="DL15" s="28" t="str">
        <f>IF(DK15="S/Desc","S/Desc",IF(ISERROR(IF(DK15="","",VLOOKUP(($BC15&amp;DK15&amp;"Template desconto % Sexy Hot nível conta"),BENEFICIOS!$A:$G,5,0))),"Criar",IF(DK15="","",VLOOKUP(($BC15&amp;DK15&amp;"Template desconto % Sexy Hot nível conta"),BENEFICIOS!$A:$G,5,0))))</f>
        <v/>
      </c>
      <c r="DM15" s="8"/>
      <c r="DN15" s="3" t="str">
        <f>IF(DM15=0,"",IF(DM15=VLOOKUP("PCS-OzTL32",ARBOR!$A:$C,3,0),0.0001,IF(DM15&gt;VLOOKUP("PCS-OzTL32",ARBOR!$A:$C,3,0),"Maior que CAP!",IF((DOLLAR(DM15+(VLOOKUP("PCS-OzTL32",ARBOR!$A:$C,3,0)*-TRUNC(DM15/VLOOKUP("PCS-OzTL32",ARBOR!$A:$C,3,0)-1,4)),6))&lt;&gt;(DOLLAR(VLOOKUP("PCS-OzTL32",ARBOR!$A:$C,3,0),6)),-TRUNC(DM15/VLOOKUP("PCS-OzTL32",ARBOR!$A:$C,3,0)-1,4)+0.0001,-TRUNC(DM15/VLOOKUP("PCS-OzTL32",ARBOR!$A:$C,3,0)-1,4)))))</f>
        <v/>
      </c>
      <c r="DO15" s="28" t="str">
        <f>IF(DN15="S/Desc","S/Desc",IF(ISERROR(IF(DN15="","",VLOOKUP(($BC15&amp;DN15&amp;"Template desconto % Playboy nível conta"),BENEFICIOS!$A:$G,5,0))),"Criar",IF(DN15="","",VLOOKUP(($BC15&amp;DN15&amp;"Template desconto % Playboy nível conta"),BENEFICIOS!$A:$G,5,0))))</f>
        <v/>
      </c>
      <c r="DP15" s="8"/>
      <c r="DQ15" s="3" t="str">
        <f>IF(DP15=0,"",IF(DP15=VLOOKUP("PCS-OzTL33",ARBOR!$A:$C,3,0),0.0001,IF(DP15&gt;VLOOKUP("PCS-OzTL33",ARBOR!$A:$C,3,0),"Maior que CAP!",IF((DOLLAR(DP15+(VLOOKUP("PCS-OzTL33",ARBOR!$A:$C,3,0)*-TRUNC(DP15/VLOOKUP("PCS-OzTL33",ARBOR!$A:$C,3,0)-1,4)),6))&lt;&gt;(DOLLAR(VLOOKUP("PCS-OzTL33",ARBOR!$A:$C,3,0),6)),-TRUNC(DP15/VLOOKUP("PCS-OzTL33",ARBOR!$A:$C,3,0)-1,4)+0.0001,-TRUNC(DP15/VLOOKUP("PCS-OzTL33",ARBOR!$A:$C,3,0)-1,4)))))</f>
        <v/>
      </c>
      <c r="DR15" s="28" t="str">
        <f>IF(DQ15="S/Desc","S/Desc",IF(ISERROR(IF(DQ15="","",VLOOKUP(($BC15&amp;DQ15&amp;"Template desconto % Sexy Hot + Playboy nível conta"),BENEFICIOS!$A:$G,5,0))),"Criar",IF(DQ15="","",VLOOKUP(($BC15&amp;DQ15&amp;"Template desconto % Sexy Hot + Playboy nível conta"),BENEFICIOS!$A:$G,5,0))))</f>
        <v/>
      </c>
      <c r="DS15" s="8"/>
      <c r="DT15" s="3" t="str">
        <f>IF(DS15=0,"",IF(DS15=VLOOKUP("PCS-OzTL503",ARBOR!$A:$C,3,0),0.0001,IF(DS15&gt;VLOOKUP("PCS-OzTL503",ARBOR!$A:$C,3,0),"Maior que CAP!",IF((DOLLAR(DS15+(VLOOKUP("PCS-OzTL503",ARBOR!$A:$C,3,0)*-TRUNC(DS15/VLOOKUP("PCS-OzTL503",ARBOR!$A:$C,3,0)-1,4)),6))&lt;&gt;(DOLLAR(VLOOKUP("PCS-OzTL503",ARBOR!$A:$C,3,0),6)),-TRUNC(DS15/VLOOKUP("PCS-OzTL503",ARBOR!$A:$C,3,0)-1,4)+0.0001,-TRUNC(DS15/VLOOKUP("PCS-OzTL503",ARBOR!$A:$C,3,0)-1,4)))))</f>
        <v/>
      </c>
      <c r="DU15" s="28" t="str">
        <f>IF(DT15="S/Desc","S/Desc",IF(ISERROR(IF(DT15="","",VLOOKUP(($BC15&amp;DT15&amp;"Template desconto % SexPrivê nível conta"),BENEFICIOS!$A:$G,5,0))),"Criar",IF(DT15="","",VLOOKUP(($BC15&amp;DT15&amp;"Template desconto % SexPrivê nível conta"),BENEFICIOS!$A:$G,5,0))))</f>
        <v/>
      </c>
      <c r="DV15" s="8"/>
      <c r="DW15" s="3" t="str">
        <f>IF(DV15=0,"",IF(DV15=VLOOKUP("PCS-OzTL500",ARBOR!$A:$C,3,0),0.0001,IF(DV15&gt;VLOOKUP("PCS-OzTL500",ARBOR!$A:$C,3,0),"Maior que CAP!",IF((DOLLAR(DV15+(VLOOKUP("PCS-OzTL500",ARBOR!$A:$C,3,0)*-TRUNC(DV15/VLOOKUP("PCS-OzTL500",ARBOR!$A:$C,3,0)-1,4)),6))&lt;&gt;(DOLLAR(VLOOKUP("PCS-OzTL500",ARBOR!$A:$C,3,0),6)),-TRUNC(DV15/VLOOKUP("PCS-OzTL500",ARBOR!$A:$C,3,0)-1,4)+0.0001,-TRUNC(DV15/VLOOKUP("PCS-OzTL500",ARBOR!$A:$C,3,0)-1,4)))))</f>
        <v/>
      </c>
      <c r="DX15" s="28" t="str">
        <f>IF(DW15="S/Desc","S/Desc",IF(ISERROR(IF(DW15="","",VLOOKUP(($BC15&amp;DW15&amp;"Template desconto % Étnico nível conta"),BENEFICIOS!$A:$G,5,0))),"Criar",IF(DW15="","",VLOOKUP(($BC15&amp;DW15&amp;"Template desconto % Étnico nível conta"),BENEFICIOS!$A:$G,5,0))))</f>
        <v/>
      </c>
      <c r="DY15" s="8"/>
      <c r="DZ15" s="181" t="str">
        <f>IF(DY15=0,"",IF(DY15=VLOOKUP("PCS-OzTL50",ARBOR!$A:$C,3,0),0.0001,IF(DY15&gt;VLOOKUP("PCS-OzTL50",ARBOR!$A:$C,3,0),"Maior que CAP!",IF((DOLLAR(DY15+(VLOOKUP("PCS-OzTL50",ARBOR!$A:$C,3,0)*-TRUNC(DY15/VLOOKUP("PCS-OzTL50",ARBOR!$A:$C,3,0)-1,4)),6))&lt;&gt;(DOLLAR(VLOOKUP("PCS-OzTL50",ARBOR!$A:$C,3,0),6)),-TRUNC(DY15/VLOOKUP("PCS-OzTL50",ARBOR!$A:$C,3,0)-1,4)+0.0001,-TRUNC(DY15/VLOOKUP("PCS-OzTL50",ARBOR!$A:$C,3,0)-1,4)))))</f>
        <v/>
      </c>
      <c r="EA15" s="28"/>
      <c r="EB15" s="8"/>
      <c r="EC15" s="181" t="str">
        <f>IF(EB15=0,"",IF(EB15=VLOOKUP("PCS-OzTL51",ARBOR!$A:$C,3,0),0.0001,IF(EB15&gt;VLOOKUP("PCS-OzTL51",ARBOR!$A:$C,3,0),"Maior que CAP!",IF((DOLLAR(EB15+(VLOOKUP("PCS-OzTL51",ARBOR!$A:$C,3,0)*-TRUNC(EB15/VLOOKUP("PCS-OzTL51",ARBOR!$A:$C,3,0)-1,4)),6))&lt;&gt;(DOLLAR(VLOOKUP("PCS-OzTL51",ARBOR!$A:$C,3,0),6)),-TRUNC(EB15/VLOOKUP("PCS-OzTL51",ARBOR!$A:$C,3,0)-1,4)+0.0001,-TRUNC(EB15/VLOOKUP("PCS-OzTL51",ARBOR!$A:$C,3,0)-1,4)))))</f>
        <v/>
      </c>
      <c r="ED15" s="28"/>
      <c r="EE15" s="8"/>
      <c r="EF15" s="181" t="str">
        <f>IF(EE15=0,"",IF(EE15=VLOOKUP("PCS-OzTL52",ARBOR!$A:$C,3,0),0.0001,IF(EE15&gt;VLOOKUP("PCS-OzTL52",ARBOR!$A:$C,3,0),"Maior que CAP!",IF((DOLLAR(EE15+(VLOOKUP("PCS-OzTL52",ARBOR!$A:$C,3,0)*-TRUNC(EE15/VLOOKUP("PCS-OzTL52",ARBOR!$A:$C,3,0)-1,4)),6))&lt;&gt;(DOLLAR(VLOOKUP("PCS-OzTL52",ARBOR!$A:$C,3,0),6)),-TRUNC(EE15/VLOOKUP("PCS-OzTL52",ARBOR!$A:$C,3,0)-1,4)+0.0001,-TRUNC(EE15/VLOOKUP("PCS-OzTL52",ARBOR!$A:$C,3,0)-1,4)))))</f>
        <v/>
      </c>
      <c r="EG15" s="28"/>
      <c r="EH15" s="8"/>
      <c r="EI15" s="181" t="str">
        <f>IF(EH15=0,"",IF(EH15=VLOOKUP("PCS-OzTL53",ARBOR!$A:$C,3,0),0.0001,IF(EH15&gt;VLOOKUP("PCS-OzTL53",ARBOR!$A:$C,3,0),"Maior que CAP!",IF((DOLLAR(EH15+(VLOOKUP("PCS-OzTL53",ARBOR!$A:$C,3,0)*-TRUNC(EH15/VLOOKUP("PCS-OzTL53",ARBOR!$A:$C,3,0)-1,4)),6))&lt;&gt;(DOLLAR(VLOOKUP("PCS-OzTL53",ARBOR!$A:$C,3,0),6)),-TRUNC(EH15/VLOOKUP("PCS-OzTL53",ARBOR!$A:$C,3,0)-1,4)+0.0001,-TRUNC(EH15/VLOOKUP("PCS-OzTL53",ARBOR!$A:$C,3,0)-1,4)))))</f>
        <v/>
      </c>
      <c r="EJ15" s="28"/>
      <c r="EK15" s="8"/>
      <c r="EL15" s="181" t="str">
        <f>IF(EK15=0,"",IF(EK15=VLOOKUP("PCS-OzTL54",ARBOR!$A:$C,3,0),0.0001,IF(EK15&gt;VLOOKUP("PCS-OzTL54",ARBOR!$A:$C,3,0),"Maior que CAP!",IF((DOLLAR(EK15+(VLOOKUP("PCS-OzTL54",ARBOR!$A:$C,3,0)*-TRUNC(EK15/VLOOKUP("PCS-OzTL54",ARBOR!$A:$C,3,0)-1,4)),6))&lt;&gt;(DOLLAR(VLOOKUP("PCS-OzTL54",ARBOR!$A:$C,3,0),6)),-TRUNC(EK15/VLOOKUP("PCS-OzTL54",ARBOR!$A:$C,3,0)-1,4)+0.0001,-TRUNC(EK15/VLOOKUP("PCS-OzTL54",ARBOR!$A:$C,3,0)-1,4)))))</f>
        <v/>
      </c>
      <c r="EM15" s="28"/>
      <c r="EN15" s="8"/>
      <c r="EO15" s="3" t="str">
        <f>IF(EN15=0,"",IF(EN15=VLOOKUP("PCS-OzTL99",ARBOR!$A:$C,3,0),0.0001,IF(EN15&gt;VLOOKUP("PCS-OzTL99",ARBOR!$A:$C,3,0),"Maior que CAP!",IF((DOLLAR(EN15+(VLOOKUP("PCS-OzTL99",ARBOR!$A:$C,3,0)*-TRUNC(EN15/VLOOKUP("PCS-OzTL99",ARBOR!$A:$C,3,0)-1,4)),6))&lt;&gt;(DOLLAR(VLOOKUP("PCS-OzTL99",ARBOR!$A:$C,3,0),6)),-TRUNC(EN15/VLOOKUP("PCS-OzTL99",ARBOR!$A:$C,3,0)-1,4)+0.0001,-TRUNC(EN15/VLOOKUP("PCS-OzTL99",ARBOR!$A:$C,3,0)-1,4)))))</f>
        <v/>
      </c>
      <c r="EP15" s="28" t="str">
        <f>IF(EO15="S/Desc","S/Desc",IF(ISERROR(IF(EO15="","",VLOOKUP(($BC15&amp;EO15&amp;"Template desconto % Ponto adicional nível conta"),BENEFICIOS!$A:$G,5,0))),"Criar",IF(EO15="","",VLOOKUP(($BC15&amp;EO15&amp;"Template desconto % Ponto adicional nível conta"),BENEFICIOS!$A:$G,5,0))))</f>
        <v/>
      </c>
      <c r="EQ15" s="8"/>
      <c r="ER15" s="28" t="str">
        <f t="shared" si="1"/>
        <v/>
      </c>
      <c r="ES15" s="62"/>
      <c r="ET15" s="126"/>
      <c r="EU15" s="127"/>
      <c r="EV15" s="126"/>
      <c r="EW15" s="128" t="str">
        <f t="shared" si="2"/>
        <v/>
      </c>
      <c r="EX15" s="129" t="str">
        <f t="shared" si="3"/>
        <v/>
      </c>
      <c r="EY15" s="91" t="str">
        <f t="shared" si="4"/>
        <v/>
      </c>
      <c r="EZ15" s="85"/>
      <c r="FA15" s="97"/>
      <c r="FB15" s="91"/>
      <c r="FC15" s="85"/>
      <c r="FD15" s="97"/>
      <c r="FE15" s="91"/>
      <c r="FF15" s="87"/>
      <c r="FG15" s="144" t="str">
        <f t="shared" si="5"/>
        <v/>
      </c>
      <c r="FH15" s="144" t="str">
        <f t="shared" si="6"/>
        <v/>
      </c>
      <c r="FI15" s="144" t="str">
        <f t="shared" si="7"/>
        <v/>
      </c>
      <c r="FJ15" s="144" t="str">
        <f t="shared" si="8"/>
        <v/>
      </c>
      <c r="FK15" s="144" t="str">
        <f t="shared" si="9"/>
        <v/>
      </c>
      <c r="FL15" s="144" t="str">
        <f t="shared" si="10"/>
        <v/>
      </c>
      <c r="FM15" s="144" t="str">
        <f t="shared" si="11"/>
        <v/>
      </c>
      <c r="FN15" s="144" t="str">
        <f t="shared" si="12"/>
        <v/>
      </c>
      <c r="FO15" s="144" t="str">
        <f t="shared" si="13"/>
        <v/>
      </c>
      <c r="FP15" s="144" t="str">
        <f t="shared" si="14"/>
        <v/>
      </c>
      <c r="FQ15" s="144" t="str">
        <f t="shared" si="15"/>
        <v/>
      </c>
      <c r="FR15" s="144" t="str">
        <f t="shared" si="16"/>
        <v/>
      </c>
      <c r="FS15" s="144" t="str">
        <f t="shared" si="17"/>
        <v/>
      </c>
      <c r="FT15" s="144" t="str">
        <f t="shared" si="18"/>
        <v/>
      </c>
      <c r="FU15" s="144" t="str">
        <f t="shared" si="19"/>
        <v/>
      </c>
      <c r="FV15" s="144" t="str">
        <f t="shared" si="20"/>
        <v/>
      </c>
      <c r="FW15" s="144" t="str">
        <f t="shared" si="21"/>
        <v/>
      </c>
      <c r="FX15" s="151"/>
      <c r="FY15" s="152"/>
      <c r="FZ15" s="152"/>
      <c r="GA15" s="152"/>
      <c r="GB15" s="152"/>
      <c r="GC15" s="152"/>
      <c r="GD15" s="152"/>
      <c r="GE15" s="152"/>
      <c r="GF15" s="152"/>
      <c r="GG15" s="153"/>
    </row>
    <row r="16" spans="1:189">
      <c r="A16" s="45"/>
      <c r="B16" s="133"/>
      <c r="C16" s="133"/>
      <c r="D16" s="46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9"/>
      <c r="U16" s="48"/>
      <c r="V16" s="49"/>
      <c r="W16" s="48"/>
      <c r="X16" s="48"/>
      <c r="Y16" s="48"/>
      <c r="Z16" s="48"/>
      <c r="AA16" s="49"/>
      <c r="AB16" s="48"/>
      <c r="AC16" s="50"/>
      <c r="AD16" s="48"/>
      <c r="AE16" s="48"/>
      <c r="AF16" s="48"/>
      <c r="AG16" s="48"/>
      <c r="AH16" s="48"/>
      <c r="AI16" s="48"/>
      <c r="AJ16" s="48"/>
      <c r="AK16" s="48"/>
      <c r="AL16" s="51"/>
      <c r="AM16" s="37"/>
      <c r="AN16" s="38"/>
      <c r="AO16" s="39"/>
      <c r="AP16" s="52"/>
      <c r="AQ16" s="53"/>
      <c r="AR16" s="64"/>
      <c r="AS16" s="65"/>
      <c r="AT16" s="54"/>
      <c r="AU16" s="54"/>
      <c r="AV16" s="54"/>
      <c r="AW16" s="54"/>
      <c r="AX16" s="70"/>
      <c r="AY16" s="71"/>
      <c r="AZ16" s="72"/>
      <c r="BA16" s="73"/>
      <c r="BB16" s="55"/>
      <c r="BC16" s="56"/>
      <c r="BD16" s="27" t="str">
        <f t="shared" si="0"/>
        <v/>
      </c>
      <c r="BE16" s="58"/>
      <c r="BF16" s="3" t="str">
        <f>IF(BE16=0,"",IF(BE16=VLOOKUP("FIXO",ARBOR!$A:$C,3,0),0.0001,IF(BE16&gt;VLOOKUP("FIXO",ARBOR!$A:$C,3,0),"Maior que CAP!",IF((DOLLAR(BE16+(VLOOKUP("FIXO",ARBOR!$A:$C,3,0)*-TRUNC(BE16/VLOOKUP("FIXO",ARBOR!$A:$C,3,0)-1,4)),6))&lt;&gt;(DOLLAR(VLOOKUP("FIXO",ARBOR!$A:$C,3,0),6)),-TRUNC(BE16/VLOOKUP("FIXO",ARBOR!$A:$C,3,0)-1,4)+0.0001,-TRUNC(BE16/VLOOKUP("FIXO",ARBOR!$A:$C,3,0)-1,4)))))</f>
        <v/>
      </c>
      <c r="BG16" s="10" t="str">
        <f>IF(ISERROR(IF(BF16="","",VLOOKUP(($BC16&amp;BF16&amp;"Template de desconto FLAT bundle - Fixo - Varejo - Ganho Tributário Cross"),BENEFICIOS!$A:$G,5,0))),"Criar",IF(BF16="","",VLOOKUP(($BC16&amp;BF16&amp;"Template de desconto FLAT bundle - Fixo - Varejo - Ganho Tributário Cross"),BENEFICIOS!$A:$G,5,0)))</f>
        <v/>
      </c>
      <c r="BH16" s="8"/>
      <c r="BI16" s="3" t="str">
        <f>IF(BH16=0,"",IF(BH16=VLOOKUP("PCS-OzTL40",ARBOR!$A:$C,3,0),0.0001,IF(BH16&gt;VLOOKUP("PCS-OzTL40",ARBOR!$A:$C,3,0),"Maior que CAP!",IF((DOLLAR(BH16+(VLOOKUP("PCS-OzTL40",ARBOR!$A:$C,3,0)*-TRUNC(BH16/VLOOKUP("PCS-OzTL40",ARBOR!$A:$C,3,0)-1,4)),6))&lt;&gt;(DOLLAR(VLOOKUP("PCS-OzTL40",ARBOR!$A:$C,3,0),6)),-TRUNC(BH16/VLOOKUP("PCS-OzTL40",ARBOR!$A:$C,3,0)-1,4)+0.0001,-TRUNC(BH16/VLOOKUP("PCS-OzTL40",ARBOR!$A:$C,3,0)-1,4)))))</f>
        <v/>
      </c>
      <c r="BJ16" s="10" t="str">
        <f>IF(ISERROR(IF(BI16="","",VLOOKUP((BC16&amp;BI16&amp;"Template desconto FLAT Plano Principal Oi TV nível conta"),BENEFICIOS!$A:$G,5,0))),"Criar",IF(BI16="","",VLOOKUP((BC16&amp;BI16&amp;"Template desconto FLAT Plano Principal Oi TV nível conta"),BENEFICIOS!$A:$G,5,0)))</f>
        <v/>
      </c>
      <c r="BK16" s="8"/>
      <c r="BL16" s="3" t="str">
        <f>IF(BK16=0,"",IF(BK16=VLOOKUP("PCS-OzTL41",ARBOR!$A:$C,3,0),0.0001,IF(BK16&gt;VLOOKUP("PCS-OzTL41",ARBOR!$A:$C,3,0),"Maior que CAP!",IF((DOLLAR(BK16+(VLOOKUP("PCS-OzTL41",ARBOR!$A:$C,3,0)*-TRUNC(BK16/VLOOKUP("PCS-OzTL41",ARBOR!$A:$C,3,0)-1,4)),6))&lt;&gt;(DOLLAR(VLOOKUP("PCS-OzTL41",ARBOR!$A:$C,3,0),6)),-TRUNC(BK16/VLOOKUP("PCS-OzTL41",ARBOR!$A:$C,3,0)-1,4)+0.0001,-TRUNC(BK16/VLOOKUP("PCS-OzTL41",ARBOR!$A:$C,3,0)-1,4)))))</f>
        <v/>
      </c>
      <c r="BM16" s="28" t="str">
        <f>IF(ISERROR(IF(BL16="","",VLOOKUP((BC16&amp;BL16&amp;"Template desconto FLAT Plano Principal Oi TV nível conta"),BENEFICIOS!$A:$G,5,0))),"Criar",IF(BL16="","",VLOOKUP((BC16&amp;BL16&amp;"Template desconto FLAT Plano Principal Oi TV nível conta"),BENEFICIOS!$A:$G,5,0)))</f>
        <v/>
      </c>
      <c r="BN16" s="8"/>
      <c r="BO16" s="3" t="str">
        <f>IF(BN16=0,"",IF(BN16=VLOOKUP("PCS-OzTL44",ARBOR!$A:$C,3,0),0.0001,IF(BN16&gt;VLOOKUP("PCS-OzTL44",ARBOR!$A:$C,3,0),"Maior que CAP!",IF((DOLLAR(BN16+(VLOOKUP("PCS-OzTL44",ARBOR!$A:$C,3,0)*-TRUNC(BN16/VLOOKUP("PCS-OzTL44",ARBOR!$A:$C,3,0)-1,4)),6))&lt;&gt;(DOLLAR(VLOOKUP("PCS-OzTL44",ARBOR!$A:$C,3,0),6)),-TRUNC(BN16/VLOOKUP("PCS-OzTL44",ARBOR!$A:$C,3,0)-1,4)+0.0001,-TRUNC(BN16/VLOOKUP("PCS-OzTL44",ARBOR!$A:$C,3,0)-1,4)))))</f>
        <v/>
      </c>
      <c r="BP16" s="28" t="str">
        <f>IF(ISERROR(IF(BO16="","",VLOOKUP((BC16&amp;BO16&amp;"Template desconto FLAT Plano Principal Oi TV nível conta"),BENEFICIOS!$A:$G,5,0))),"Criar",IF(BO16="","",VLOOKUP((BC16&amp;BO16&amp;"Template desconto FLAT Plano Principal Oi TV nível conta"),BENEFICIOS!$A:$G,5,0)))</f>
        <v/>
      </c>
      <c r="BQ16" s="8"/>
      <c r="BR16" s="3" t="str">
        <f>IF(BQ16=0,"",IF(BQ16=VLOOKUP("PCS-OzTL43",ARBOR!$A:$C,3,0),0.0001,IF(BQ16&gt;VLOOKUP("PCS-OzTL43",ARBOR!$A:$C,3,0),"Maior que CAP!",IF((DOLLAR(BQ16+(VLOOKUP("PCS-OzTL43",ARBOR!$A:$C,3,0)*-TRUNC(BQ16/VLOOKUP("PCS-OzTL43",ARBOR!$A:$C,3,0)-1,4)),6))&lt;&gt;(DOLLAR(VLOOKUP("PCS-OzTL43",ARBOR!$A:$C,3,0),6)),-TRUNC(BQ16/VLOOKUP("PCS-OzTL43",ARBOR!$A:$C,3,0)-1,4)+0.0001,-TRUNC(BQ16/VLOOKUP("PCS-OzTL43",ARBOR!$A:$C,3,0)-1,4)))))</f>
        <v/>
      </c>
      <c r="BS16" s="28" t="str">
        <f>IF(ISERROR(IF(BR16="","",VLOOKUP((BC16&amp;BR16&amp;"Template desconto FLAT Plano Principal Oi TV nível conta"),BENEFICIOS!$A:$G,5,0))),"Criar",IF(BR16="","",VLOOKUP((BC16&amp;BR16&amp;"Template desconto FLAT Plano Principal Oi TV nível conta"),BENEFICIOS!$A:$G,5,0)))</f>
        <v/>
      </c>
      <c r="BT16" s="8"/>
      <c r="BU16" s="3" t="str">
        <f>IF(BT16=0,"",IF(BT16=VLOOKUP("PCS-OzTL45",ARBOR!$A:$C,3,0),0.0001,IF(BT16&gt;VLOOKUP("PCS-OzTL45",ARBOR!$A:$C,3,0),"Maior que CAP!",IF((DOLLAR(BT16+(VLOOKUP("PCS-OzTL45",ARBOR!$A:$C,3,0)*-TRUNC(BT16/VLOOKUP("PCS-OzTL45",ARBOR!$A:$C,3,0)-1,4)),6))&lt;&gt;(DOLLAR(VLOOKUP("PCS-OzTL45",ARBOR!$A:$C,3,0),6)),-TRUNC(BT16/VLOOKUP("PCS-OzTL45",ARBOR!$A:$C,3,0)-1,4)+0.0001,-TRUNC(BT16/VLOOKUP("PCS-OzTL45",ARBOR!$A:$C,3,0)-1,4)))))</f>
        <v/>
      </c>
      <c r="BV16" s="28" t="str">
        <f>IF(ISERROR(IF(BU16="","",VLOOKUP((BC16&amp;BU16&amp;"Template desconto FLAT Plano Principal Oi TV nível conta"),BENEFICIOS!$A:$G,5,0))),"Criar",IF(BU16="","",VLOOKUP((BC16&amp;BU16&amp;"Template desconto FLAT Plano Principal Oi TV nível conta"),BENEFICIOS!$A:$G,5,0)))</f>
        <v/>
      </c>
      <c r="BW16" s="8"/>
      <c r="BX16" s="3" t="str">
        <f>IF(BW16=0,"",IF(BW16=VLOOKUP("PCS-OzTL741",ARBOR!$A:$C,3,0),0.0001,IF(BW16&gt;VLOOKUP("PCS-OzTL741",ARBOR!$A:$C,3,0),"Maior que CAP!",IF((DOLLAR(BW16+(VLOOKUP("PCS-OzTL741",ARBOR!$A:$C,3,0)*-TRUNC(BW16/VLOOKUP("PCS-OzTL741",ARBOR!$A:$C,3,0)-1,4)),6))&lt;&gt;(DOLLAR(VLOOKUP("PCS-OzTL741",ARBOR!$A:$C,3,0),6)),-TRUNC(BW16/VLOOKUP("PCS-OzTL741",ARBOR!$A:$C,3,0)-1,4)+0.0001,-TRUNC(BW16/VLOOKUP("PCS-OzTL741",ARBOR!$A:$C,3,0)-1,4)))))</f>
        <v/>
      </c>
      <c r="BY16" s="28" t="str">
        <f>IF(ISERROR(IF(BX16="","",VLOOKUP((BC16&amp;BX16&amp;"Template desconto FLAT Plano Principal Oi TV nível conta"),BENEFICIOS!$A:$G,5,0))),"Criar",IF(BX16="","",VLOOKUP((BC16&amp;BX16&amp;"Template desconto FLAT Plano Principal Oi TV nível conta"),BENEFICIOS!$A:$G,5,0)))</f>
        <v/>
      </c>
      <c r="BZ16" s="8"/>
      <c r="CA16" s="3" t="str">
        <f>IF(BZ16=0,"",IF(BZ16=VLOOKUP("PCS-OzTL744",ARBOR!$A:$C,3,0),0.0001,IF(BZ16&gt;VLOOKUP("PCS-OzTL744",ARBOR!$A:$C,3,0),"Maior que CAP!",IF((DOLLAR(BZ16+(VLOOKUP("PCS-OzTL744",ARBOR!$A:$C,3,0)*-TRUNC(BZ16/VLOOKUP("PCS-OzTL744",ARBOR!$A:$C,3,0)-1,4)),6))&lt;&gt;(DOLLAR(VLOOKUP("PCS-OzTL744",ARBOR!$A:$C,3,0),6)),-TRUNC(BZ16/VLOOKUP("PCS-OzTL744",ARBOR!$A:$C,3,0)-1,4)+0.0001,-TRUNC(BZ16/VLOOKUP("PCS-OzTL744",ARBOR!$A:$C,3,0)-1,4)))))</f>
        <v/>
      </c>
      <c r="CB16" s="28" t="str">
        <f>IF(ISERROR(IF(CA16="","",VLOOKUP(($BC16&amp;CA16&amp;"Template desconto FLAT Plano Principal Oi TV nível conta"),BENEFICIOS!$A:$G,5,0))),"Criar",IF(CA16="","",VLOOKUP(($BC16&amp;CA16&amp;"Template desconto FLAT Plano Principal Oi TV nível conta"),BENEFICIOS!$A:$G,5,0)))</f>
        <v/>
      </c>
      <c r="CC16" s="8"/>
      <c r="CD16" s="3" t="str">
        <f>IF(CC16=0,"",IF(CC16=VLOOKUP("PCS-OzTL743",ARBOR!$A:$C,3,0),0.0001,IF(CC16&gt;VLOOKUP("PCS-OzTL743",ARBOR!$A:$C,3,0),"Maior que CAP!",IF((DOLLAR(CC16+(VLOOKUP("PCS-OzTL743",ARBOR!$A:$C,3,0)*-TRUNC(CC16/VLOOKUP("PCS-OzTL743",ARBOR!$A:$C,3,0)-1,4)),6))&lt;&gt;(DOLLAR(VLOOKUP("PCS-OzTL743",ARBOR!$A:$C,3,0),6)),-TRUNC(CC16/VLOOKUP("PCS-OzTL743",ARBOR!$A:$C,3,0)-1,4)+0.0001,-TRUNC(CC16/VLOOKUP("PCS-OzTL743",ARBOR!$A:$C,3,0)-1,4)))))</f>
        <v/>
      </c>
      <c r="CE16" s="28" t="str">
        <f>IF(ISERROR(IF(CD16="","",VLOOKUP(($BC16&amp;CD16&amp;"Template desconto FLAT Plano Principal Oi TV nível conta"),BENEFICIOS!$A:$G,5,0))),"Criar",IF(CD16="","",VLOOKUP(($BC16&amp;CD16&amp;"Template desconto FLAT Plano Principal Oi TV nível conta"),BENEFICIOS!$A:$G,5,0)))</f>
        <v/>
      </c>
      <c r="CF16" s="8"/>
      <c r="CG16" s="3" t="str">
        <f>IF(CF16=0,"",IF(CF16=VLOOKUP("PCS-OzTL745",ARBOR!$A:$C,3,0),0.0001,IF(CF16&gt;VLOOKUP("PCS-OzTL745",ARBOR!$A:$C,3,0),"Maior que CAP!",IF((DOLLAR(CF16+(VLOOKUP("PCS-OzTL745",ARBOR!$A:$C,3,0)*-TRUNC(CF16/VLOOKUP("PCS-OzTL745",ARBOR!$A:$C,3,0)-1,4)),6))&lt;&gt;(DOLLAR(VLOOKUP("PCS-OzTL745",ARBOR!$A:$C,3,0),6)),-TRUNC(CF16/VLOOKUP("PCS-OzTL745",ARBOR!$A:$C,3,0)-1,4)+0.0001,-TRUNC(CF16/VLOOKUP("PCS-OzTL745",ARBOR!$A:$C,3,0)-1,4)))))</f>
        <v/>
      </c>
      <c r="CH16" s="28" t="str">
        <f>IF(ISERROR(IF(CG16="","",VLOOKUP(($BC16&amp;CG16&amp;"Template desconto FLAT Plano Principal Oi TV nível conta"),BENEFICIOS!$A:$G,5,0))),"Criar",IF(CG16="","",VLOOKUP(($BC16&amp;CG16&amp;"Template desconto FLAT Plano Principal Oi TV nível conta"),BENEFICIOS!$A:$G,5,0)))</f>
        <v/>
      </c>
      <c r="CI16" s="8"/>
      <c r="CJ16" s="3" t="str">
        <f>IF(CI16=0,"",IF(CI16=VLOOKUP("PCS-OzTL42",ARBOR!$A:$C,3,0),0.0001,IF(CI16&gt;VLOOKUP("PCS-OzTL42",ARBOR!$A:$C,3,0),"Maior que CAP!",IF((DOLLAR(CI16+(VLOOKUP("PCS-OzTL42",ARBOR!$A:$C,3,0)*-TRUNC(CI16/VLOOKUP("PCS-OzTL42",ARBOR!$A:$C,3,0)-1,4)),6))&lt;&gt;(DOLLAR(VLOOKUP("PCS-OzTL42",ARBOR!$A:$C,3,0),6)),-TRUNC(CI16/VLOOKUP("PCS-OzTL42",ARBOR!$A:$C,3,0)-1,4)+0.0001,-TRUNC(CI16/VLOOKUP("PCS-OzTL42",ARBOR!$A:$C,3,0)-1,4)))))</f>
        <v/>
      </c>
      <c r="CK16" s="28" t="str">
        <f>IF(ISERROR(IF(CJ16="","",VLOOKUP(($BC16&amp;CJ16&amp;"Template desconto FLAT Plano Principal Oi TV nível conta"),BENEFICIOS!$A:$G,5,0))),"Criar",IF(CJ16="","",VLOOKUP(($BC16&amp;CJ16&amp;"Template desconto FLAT Plano Principal Oi TV nível conta"),BENEFICIOS!$A:$G,5,0)))</f>
        <v/>
      </c>
      <c r="CL16" s="8"/>
      <c r="CM16" s="3" t="str">
        <f>IF(CL16=0,"",IF(CL16=VLOOKUP("PCS-OzTL47",ARBOR!$A:$C,3,0),0.0001,IF(CL16&gt;VLOOKUP("PCS-OzTL47",ARBOR!$A:$C,3,0),"Maior que CAP!",IF((DOLLAR(CL16+(VLOOKUP("PCS-OzTL47",ARBOR!$A:$C,3,0)*-TRUNC(CL16/VLOOKUP("PCS-OzTL47",ARBOR!$A:$C,3,0)-1,4)),6))&lt;&gt;(DOLLAR(VLOOKUP("PCS-OzTL47",ARBOR!$A:$C,3,0),6)),-TRUNC(CL16/VLOOKUP("PCS-OzTL47",ARBOR!$A:$C,3,0)-1,4)+0.0001,-TRUNC(CL16/VLOOKUP("PCS-OzTL47",ARBOR!$A:$C,3,0)-1,4)))))</f>
        <v/>
      </c>
      <c r="CN16" s="28" t="str">
        <f>IF(ISERROR(IF(CM16="","",VLOOKUP(($BC16&amp;CM16&amp;"Template desconto FLAT Plano Principal Oi TV nível conta"),BENEFICIOS!$A:$G,5,0))),"Criar",IF(CM16="","",VLOOKUP(($BC16&amp;CM16&amp;"Template desconto FLAT Plano Principal Oi TV nível conta"),BENEFICIOS!$A:$G,5,0)))</f>
        <v/>
      </c>
      <c r="CO16" s="8"/>
      <c r="CP16" s="3" t="str">
        <f>IF(CO16=0,"",IF(CO16=VLOOKUP("PCS-OzTL46",ARBOR!$A:$C,3,0),0.0001,IF(CO16&gt;VLOOKUP("PCS-OzTL46",ARBOR!$A:$C,3,0),"Maior que CAP!",IF((DOLLAR(CO16+(VLOOKUP("PCS-OzTL46",ARBOR!$A:$C,3,0)*-TRUNC(CO16/VLOOKUP("PCS-OzTL46",ARBOR!$A:$C,3,0)-1,4)),6))&lt;&gt;(DOLLAR(VLOOKUP("PCS-OzTL46",ARBOR!$A:$C,3,0),6)),-TRUNC(CO16/VLOOKUP("PCS-OzTL46",ARBOR!$A:$C,3,0)-1,4)+0.0001,-TRUNC(CO16/VLOOKUP("PCS-OzTL46",ARBOR!$A:$C,3,0)-1,4)))))</f>
        <v/>
      </c>
      <c r="CQ16" s="28" t="str">
        <f>IF(ISERROR(IF(CP16="","",VLOOKUP(($BC16&amp;CP16&amp;"Template desconto FLAT Plano Principal Oi TV nível conta"),BENEFICIOS!$A:$G,5,0))),"Criar",IF(CP16="","",VLOOKUP(($BC16&amp;CP16&amp;"Template desconto FLAT Plano Principal Oi TV nível conta"),BENEFICIOS!$A:$G,5,0)))</f>
        <v/>
      </c>
      <c r="CR16" s="8"/>
      <c r="CS16" s="3" t="str">
        <f>IF(CR16=0,"",IF(CR16=VLOOKUP("PCS-OzTL48",ARBOR!$A:$C,3,0),0.0001,IF(CR16&gt;VLOOKUP("PCS-OzTL48",ARBOR!$A:$C,3,0),"Maior que CAP!",IF((DOLLAR(CR16+(VLOOKUP("PCS-OzTL48",ARBOR!$A:$C,3,0)*-TRUNC(CR16/VLOOKUP("PCS-OzTL48",ARBOR!$A:$C,3,0)-1,4)),6))&lt;&gt;(DOLLAR(VLOOKUP("PCS-OzTL48",ARBOR!$A:$C,3,0),6)),-TRUNC(CR16/VLOOKUP("PCS-OzTL48",ARBOR!$A:$C,3,0)-1,4)+0.0001,-TRUNC(CR16/VLOOKUP("PCS-OzTL48",ARBOR!$A:$C,3,0)-1,4)))))</f>
        <v/>
      </c>
      <c r="CT16" s="28" t="str">
        <f>IF(ISERROR(IF(CS16="","",VLOOKUP(($BC16&amp;CS16&amp;"Template desconto FLAT Plano Principal Oi TV nível conta"),BENEFICIOS!$A:$G,5,0))),"Criar",IF(CS16="","",VLOOKUP(($BC16&amp;CS16&amp;"Template desconto FLAT Plano Principal Oi TV nível conta"),BENEFICIOS!$A:$G,5,0)))</f>
        <v/>
      </c>
      <c r="CU16" s="8"/>
      <c r="CV16" s="3" t="str">
        <f>IF(CU16=0,"",IF(CU16=VLOOKUP("PCS-OzTL742",ARBOR!$A:$C,3,0),0.0001,IF(CU16&gt;VLOOKUP("PCS-OzTL742",ARBOR!$A:$C,3,0),"Maior que CAP!",IF((DOLLAR(CU16+(VLOOKUP("PCS-OzTL742",ARBOR!$A:$C,3,0)*-TRUNC(CU16/VLOOKUP("PCS-OzTL742",ARBOR!$A:$C,3,0)-1,4)),6))&lt;&gt;(DOLLAR(VLOOKUP("PCS-OzTL742",ARBOR!$A:$C,3,0),6)),-TRUNC(CU16/VLOOKUP("PCS-OzTL742",ARBOR!$A:$C,3,0)-1,4)+0.0001,-TRUNC(CU16/VLOOKUP("PCS-OzTL742",ARBOR!$A:$C,3,0)-1,4)))))</f>
        <v/>
      </c>
      <c r="CW16" s="28" t="str">
        <f>IF(ISERROR(IF(CV16="","",VLOOKUP(($BC16&amp;CV16&amp;"Template desconto FLAT Plano Principal Oi TV nível conta"),BENEFICIOS!$A:$G,5,0))),"Criar",IF(CV16="","",VLOOKUP(($BC16&amp;CV16&amp;"Template desconto FLAT Plano Principal Oi TV nível conta"),BENEFICIOS!$A:$G,5,0)))</f>
        <v/>
      </c>
      <c r="CX16" s="8"/>
      <c r="CY16" s="3" t="str">
        <f>IF(CX16=0,"",IF(CX16=VLOOKUP("PCS-OzTL747",ARBOR!$A:$C,3,0),0.0001,IF(CX16&gt;VLOOKUP("PCS-OzTL747",ARBOR!$A:$C,3,0),"Maior que CAP!",IF((DOLLAR(CX16+(VLOOKUP("PCS-OzTL747",ARBOR!$A:$C,3,0)*-TRUNC(CX16/VLOOKUP("PCS-OzTL747",ARBOR!$A:$C,3,0)-1,4)),6))&lt;&gt;(DOLLAR(VLOOKUP("PCS-OzTL747",ARBOR!$A:$C,3,0),6)),-TRUNC(CX16/VLOOKUP("PCS-OzTL747",ARBOR!$A:$C,3,0)-1,4)+0.0001,-TRUNC(CX16/VLOOKUP("PCS-OzTL747",ARBOR!$A:$C,3,0)-1,4)))))</f>
        <v/>
      </c>
      <c r="CZ16" s="28" t="str">
        <f>IF(ISERROR(IF(CY16="","",VLOOKUP(($BC16&amp;CY16&amp;"Template desconto FLAT Plano Principal Oi TV nível conta"),BENEFICIOS!$A:$G,5,0))),"Criar",IF(CY16="","",VLOOKUP(($BC16&amp;CY16&amp;"Template desconto FLAT Plano Principal Oi TV nível conta"),BENEFICIOS!$A:$G,5,0)))</f>
        <v/>
      </c>
      <c r="DA16" s="8"/>
      <c r="DB16" s="3" t="str">
        <f>IF(DA16=0,"",IF(DA16=VLOOKUP("PCS-OzTL746",ARBOR!$A:$C,3,0),0.0001,IF(DA16&gt;VLOOKUP("PCS-OzTL746",ARBOR!$A:$C,3,0),"Maior que CAP!",IF((DOLLAR(DA16+(VLOOKUP("PCS-OzTL746",ARBOR!$A:$C,3,0)*-TRUNC(DA16/VLOOKUP("PCS-OzTL746",ARBOR!$A:$C,3,0)-1,4)),6))&lt;&gt;(DOLLAR(VLOOKUP("PCS-OzTL746",ARBOR!$A:$C,3,0),6)),-TRUNC(DA16/VLOOKUP("PCS-OzTL746",ARBOR!$A:$C,3,0)-1,4)+0.0001,-TRUNC(DA16/VLOOKUP("PCS-OzTL746",ARBOR!$A:$C,3,0)-1,4)))))</f>
        <v/>
      </c>
      <c r="DC16" s="28" t="str">
        <f>IF(ISERROR(IF(DB16="","",VLOOKUP(($BC16&amp;DB16&amp;"Template desconto FLAT Plano Principal Oi TV nível conta"),BENEFICIOS!$A:$G,5,0))),"Criar",IF(DB16="","",VLOOKUP(($BC16&amp;DB16&amp;"Template desconto FLAT Plano Principal Oi TV nível conta"),BENEFICIOS!$A:$G,5,0)))</f>
        <v/>
      </c>
      <c r="DD16" s="8"/>
      <c r="DE16" s="3" t="str">
        <f>IF(DD16=0,"",IF(DD16=VLOOKUP("PCS-OzTL748",ARBOR!$A:$C,3,0),0.0001,IF(DD16&gt;VLOOKUP("PCS-OzTL748",ARBOR!$A:$C,3,0),"Maior que CAP!",IF((DOLLAR(DD16+(VLOOKUP("PCS-OzTL748",ARBOR!$A:$C,3,0)*-TRUNC(DD16/VLOOKUP("PCS-OzTL748",ARBOR!$A:$C,3,0)-1,4)),6))&lt;&gt;(DOLLAR(VLOOKUP("PCS-OzTL748",ARBOR!$A:$C,3,0),6)),-TRUNC(DD16/VLOOKUP("PCS-OzTL748",ARBOR!$A:$C,3,0)-1,4)+0.0001,-TRUNC(DD16/VLOOKUP("PCS-OzTL748",ARBOR!$A:$C,3,0)-1,4)))))</f>
        <v/>
      </c>
      <c r="DF16" s="28" t="str">
        <f>IF(ISERROR(IF(DE16="","",VLOOKUP(($BC16&amp;DE16&amp;"Template desconto FLAT Plano Principal Oi TV nível conta"),BENEFICIOS!$A:$G,5,0))),"Criar",IF(DE16="","",VLOOKUP(($BC16&amp;DE16&amp;"Template desconto FLAT Plano Principal Oi TV nível conta"),BENEFICIOS!$A:$G,5,0)))</f>
        <v/>
      </c>
      <c r="DG16" s="8"/>
      <c r="DH16" s="3" t="str">
        <f>IF(DG16=0,"",IF(DG16=VLOOKUP("PCS-OzTL34",ARBOR!$A:$C,3,0),0.0001,IF(DG16&gt;VLOOKUP("PCS-OzTL34",ARBOR!$A:$C,3,0),"Maior que CAP!",IF((DOLLAR(DG16+(VLOOKUP("PCS-OzTL34",ARBOR!$A:$C,3,0)*-TRUNC(DG16/VLOOKUP("PCS-OzTL34",ARBOR!$A:$C,3,0)-1,4)),6))&lt;&gt;(DOLLAR(VLOOKUP("PCS-OzTL34",ARBOR!$A:$C,3,0),6)),-TRUNC(DG16/VLOOKUP("PCS-OzTL34",ARBOR!$A:$C,3,0)-1,4)+0.0001,-TRUNC(DG16/VLOOKUP("PCS-OzTL34",ARBOR!$A:$C,3,0)-1,4)))))</f>
        <v/>
      </c>
      <c r="DI16" s="28" t="str">
        <f>IF(DH16="S/Desc","S/Desc",IF(ISERROR(IF(DH16="","",VLOOKUP(($BC16&amp;DH16&amp;"Template desconto % Combate nível conta"),BENEFICIOS!$A:$G,5,0))),"Criar",IF(DH16="","",VLOOKUP(($BC16&amp;DH16&amp;"Template desconto % Combate nível conta"),BENEFICIOS!$A:$G,5,0))))</f>
        <v/>
      </c>
      <c r="DJ16" s="8"/>
      <c r="DK16" s="3" t="str">
        <f>IF(DJ16=0,"",IF(DJ16=VLOOKUP("PCS-OzTL31",ARBOR!$A:$C,3,0),0.0001,IF(DJ16&gt;VLOOKUP("PCS-OzTL31",ARBOR!$A:$C,3,0),"Maior que CAP!",IF((DOLLAR(DJ16+(VLOOKUP("PCS-OzTL31",ARBOR!$A:$C,3,0)*-TRUNC(DJ16/VLOOKUP("PCS-OzTL31",ARBOR!$A:$C,3,0)-1,4)),6))&lt;&gt;(DOLLAR(VLOOKUP("PCS-OzTL31",ARBOR!$A:$C,3,0),6)),-TRUNC(DJ16/VLOOKUP("PCS-OzTL31",ARBOR!$A:$C,3,0)-1,4)+0.0001,-TRUNC(DJ16/VLOOKUP("PCS-OzTL31",ARBOR!$A:$C,3,0)-1,4)))))</f>
        <v/>
      </c>
      <c r="DL16" s="28" t="str">
        <f>IF(DK16="S/Desc","S/Desc",IF(ISERROR(IF(DK16="","",VLOOKUP(($BC16&amp;DK16&amp;"Template desconto % Sexy Hot nível conta"),BENEFICIOS!$A:$G,5,0))),"Criar",IF(DK16="","",VLOOKUP(($BC16&amp;DK16&amp;"Template desconto % Sexy Hot nível conta"),BENEFICIOS!$A:$G,5,0))))</f>
        <v/>
      </c>
      <c r="DM16" s="8"/>
      <c r="DN16" s="3" t="str">
        <f>IF(DM16=0,"",IF(DM16=VLOOKUP("PCS-OzTL32",ARBOR!$A:$C,3,0),0.0001,IF(DM16&gt;VLOOKUP("PCS-OzTL32",ARBOR!$A:$C,3,0),"Maior que CAP!",IF((DOLLAR(DM16+(VLOOKUP("PCS-OzTL32",ARBOR!$A:$C,3,0)*-TRUNC(DM16/VLOOKUP("PCS-OzTL32",ARBOR!$A:$C,3,0)-1,4)),6))&lt;&gt;(DOLLAR(VLOOKUP("PCS-OzTL32",ARBOR!$A:$C,3,0),6)),-TRUNC(DM16/VLOOKUP("PCS-OzTL32",ARBOR!$A:$C,3,0)-1,4)+0.0001,-TRUNC(DM16/VLOOKUP("PCS-OzTL32",ARBOR!$A:$C,3,0)-1,4)))))</f>
        <v/>
      </c>
      <c r="DO16" s="28" t="str">
        <f>IF(DN16="S/Desc","S/Desc",IF(ISERROR(IF(DN16="","",VLOOKUP(($BC16&amp;DN16&amp;"Template desconto % Playboy nível conta"),BENEFICIOS!$A:$G,5,0))),"Criar",IF(DN16="","",VLOOKUP(($BC16&amp;DN16&amp;"Template desconto % Playboy nível conta"),BENEFICIOS!$A:$G,5,0))))</f>
        <v/>
      </c>
      <c r="DP16" s="8"/>
      <c r="DQ16" s="3" t="str">
        <f>IF(DP16=0,"",IF(DP16=VLOOKUP("PCS-OzTL33",ARBOR!$A:$C,3,0),0.0001,IF(DP16&gt;VLOOKUP("PCS-OzTL33",ARBOR!$A:$C,3,0),"Maior que CAP!",IF((DOLLAR(DP16+(VLOOKUP("PCS-OzTL33",ARBOR!$A:$C,3,0)*-TRUNC(DP16/VLOOKUP("PCS-OzTL33",ARBOR!$A:$C,3,0)-1,4)),6))&lt;&gt;(DOLLAR(VLOOKUP("PCS-OzTL33",ARBOR!$A:$C,3,0),6)),-TRUNC(DP16/VLOOKUP("PCS-OzTL33",ARBOR!$A:$C,3,0)-1,4)+0.0001,-TRUNC(DP16/VLOOKUP("PCS-OzTL33",ARBOR!$A:$C,3,0)-1,4)))))</f>
        <v/>
      </c>
      <c r="DR16" s="28" t="str">
        <f>IF(DQ16="S/Desc","S/Desc",IF(ISERROR(IF(DQ16="","",VLOOKUP(($BC16&amp;DQ16&amp;"Template desconto % Sexy Hot + Playboy nível conta"),BENEFICIOS!$A:$G,5,0))),"Criar",IF(DQ16="","",VLOOKUP(($BC16&amp;DQ16&amp;"Template desconto % Sexy Hot + Playboy nível conta"),BENEFICIOS!$A:$G,5,0))))</f>
        <v/>
      </c>
      <c r="DS16" s="8"/>
      <c r="DT16" s="3" t="str">
        <f>IF(DS16=0,"",IF(DS16=VLOOKUP("PCS-OzTL503",ARBOR!$A:$C,3,0),0.0001,IF(DS16&gt;VLOOKUP("PCS-OzTL503",ARBOR!$A:$C,3,0),"Maior que CAP!",IF((DOLLAR(DS16+(VLOOKUP("PCS-OzTL503",ARBOR!$A:$C,3,0)*-TRUNC(DS16/VLOOKUP("PCS-OzTL503",ARBOR!$A:$C,3,0)-1,4)),6))&lt;&gt;(DOLLAR(VLOOKUP("PCS-OzTL503",ARBOR!$A:$C,3,0),6)),-TRUNC(DS16/VLOOKUP("PCS-OzTL503",ARBOR!$A:$C,3,0)-1,4)+0.0001,-TRUNC(DS16/VLOOKUP("PCS-OzTL503",ARBOR!$A:$C,3,0)-1,4)))))</f>
        <v/>
      </c>
      <c r="DU16" s="28" t="str">
        <f>IF(DT16="S/Desc","S/Desc",IF(ISERROR(IF(DT16="","",VLOOKUP(($BC16&amp;DT16&amp;"Template desconto % SexPrivê nível conta"),BENEFICIOS!$A:$G,5,0))),"Criar",IF(DT16="","",VLOOKUP(($BC16&amp;DT16&amp;"Template desconto % SexPrivê nível conta"),BENEFICIOS!$A:$G,5,0))))</f>
        <v/>
      </c>
      <c r="DV16" s="8"/>
      <c r="DW16" s="3" t="str">
        <f>IF(DV16=0,"",IF(DV16=VLOOKUP("PCS-OzTL500",ARBOR!$A:$C,3,0),0.0001,IF(DV16&gt;VLOOKUP("PCS-OzTL500",ARBOR!$A:$C,3,0),"Maior que CAP!",IF((DOLLAR(DV16+(VLOOKUP("PCS-OzTL500",ARBOR!$A:$C,3,0)*-TRUNC(DV16/VLOOKUP("PCS-OzTL500",ARBOR!$A:$C,3,0)-1,4)),6))&lt;&gt;(DOLLAR(VLOOKUP("PCS-OzTL500",ARBOR!$A:$C,3,0),6)),-TRUNC(DV16/VLOOKUP("PCS-OzTL500",ARBOR!$A:$C,3,0)-1,4)+0.0001,-TRUNC(DV16/VLOOKUP("PCS-OzTL500",ARBOR!$A:$C,3,0)-1,4)))))</f>
        <v/>
      </c>
      <c r="DX16" s="28" t="str">
        <f>IF(DW16="S/Desc","S/Desc",IF(ISERROR(IF(DW16="","",VLOOKUP(($BC16&amp;DW16&amp;"Template desconto % Étnico nível conta"),BENEFICIOS!$A:$G,5,0))),"Criar",IF(DW16="","",VLOOKUP(($BC16&amp;DW16&amp;"Template desconto % Étnico nível conta"),BENEFICIOS!$A:$G,5,0))))</f>
        <v/>
      </c>
      <c r="DY16" s="8"/>
      <c r="DZ16" s="181" t="str">
        <f>IF(DY16=0,"",IF(DY16=VLOOKUP("PCS-OzTL50",ARBOR!$A:$C,3,0),0.0001,IF(DY16&gt;VLOOKUP("PCS-OzTL50",ARBOR!$A:$C,3,0),"Maior que CAP!",IF((DOLLAR(DY16+(VLOOKUP("PCS-OzTL50",ARBOR!$A:$C,3,0)*-TRUNC(DY16/VLOOKUP("PCS-OzTL50",ARBOR!$A:$C,3,0)-1,4)),6))&lt;&gt;(DOLLAR(VLOOKUP("PCS-OzTL50",ARBOR!$A:$C,3,0),6)),-TRUNC(DY16/VLOOKUP("PCS-OzTL50",ARBOR!$A:$C,3,0)-1,4)+0.0001,-TRUNC(DY16/VLOOKUP("PCS-OzTL50",ARBOR!$A:$C,3,0)-1,4)))))</f>
        <v/>
      </c>
      <c r="EA16" s="28"/>
      <c r="EB16" s="8"/>
      <c r="EC16" s="181" t="str">
        <f>IF(EB16=0,"",IF(EB16=VLOOKUP("PCS-OzTL51",ARBOR!$A:$C,3,0),0.0001,IF(EB16&gt;VLOOKUP("PCS-OzTL51",ARBOR!$A:$C,3,0),"Maior que CAP!",IF((DOLLAR(EB16+(VLOOKUP("PCS-OzTL51",ARBOR!$A:$C,3,0)*-TRUNC(EB16/VLOOKUP("PCS-OzTL51",ARBOR!$A:$C,3,0)-1,4)),6))&lt;&gt;(DOLLAR(VLOOKUP("PCS-OzTL51",ARBOR!$A:$C,3,0),6)),-TRUNC(EB16/VLOOKUP("PCS-OzTL51",ARBOR!$A:$C,3,0)-1,4)+0.0001,-TRUNC(EB16/VLOOKUP("PCS-OzTL51",ARBOR!$A:$C,3,0)-1,4)))))</f>
        <v/>
      </c>
      <c r="ED16" s="28"/>
      <c r="EE16" s="8"/>
      <c r="EF16" s="181" t="str">
        <f>IF(EE16=0,"",IF(EE16=VLOOKUP("PCS-OzTL52",ARBOR!$A:$C,3,0),0.0001,IF(EE16&gt;VLOOKUP("PCS-OzTL52",ARBOR!$A:$C,3,0),"Maior que CAP!",IF((DOLLAR(EE16+(VLOOKUP("PCS-OzTL52",ARBOR!$A:$C,3,0)*-TRUNC(EE16/VLOOKUP("PCS-OzTL52",ARBOR!$A:$C,3,0)-1,4)),6))&lt;&gt;(DOLLAR(VLOOKUP("PCS-OzTL52",ARBOR!$A:$C,3,0),6)),-TRUNC(EE16/VLOOKUP("PCS-OzTL52",ARBOR!$A:$C,3,0)-1,4)+0.0001,-TRUNC(EE16/VLOOKUP("PCS-OzTL52",ARBOR!$A:$C,3,0)-1,4)))))</f>
        <v/>
      </c>
      <c r="EG16" s="28"/>
      <c r="EH16" s="8"/>
      <c r="EI16" s="181" t="str">
        <f>IF(EH16=0,"",IF(EH16=VLOOKUP("PCS-OzTL53",ARBOR!$A:$C,3,0),0.0001,IF(EH16&gt;VLOOKUP("PCS-OzTL53",ARBOR!$A:$C,3,0),"Maior que CAP!",IF((DOLLAR(EH16+(VLOOKUP("PCS-OzTL53",ARBOR!$A:$C,3,0)*-TRUNC(EH16/VLOOKUP("PCS-OzTL53",ARBOR!$A:$C,3,0)-1,4)),6))&lt;&gt;(DOLLAR(VLOOKUP("PCS-OzTL53",ARBOR!$A:$C,3,0),6)),-TRUNC(EH16/VLOOKUP("PCS-OzTL53",ARBOR!$A:$C,3,0)-1,4)+0.0001,-TRUNC(EH16/VLOOKUP("PCS-OzTL53",ARBOR!$A:$C,3,0)-1,4)))))</f>
        <v/>
      </c>
      <c r="EJ16" s="28"/>
      <c r="EK16" s="8"/>
      <c r="EL16" s="181" t="str">
        <f>IF(EK16=0,"",IF(EK16=VLOOKUP("PCS-OzTL54",ARBOR!$A:$C,3,0),0.0001,IF(EK16&gt;VLOOKUP("PCS-OzTL54",ARBOR!$A:$C,3,0),"Maior que CAP!",IF((DOLLAR(EK16+(VLOOKUP("PCS-OzTL54",ARBOR!$A:$C,3,0)*-TRUNC(EK16/VLOOKUP("PCS-OzTL54",ARBOR!$A:$C,3,0)-1,4)),6))&lt;&gt;(DOLLAR(VLOOKUP("PCS-OzTL54",ARBOR!$A:$C,3,0),6)),-TRUNC(EK16/VLOOKUP("PCS-OzTL54",ARBOR!$A:$C,3,0)-1,4)+0.0001,-TRUNC(EK16/VLOOKUP("PCS-OzTL54",ARBOR!$A:$C,3,0)-1,4)))))</f>
        <v/>
      </c>
      <c r="EM16" s="28"/>
      <c r="EN16" s="8"/>
      <c r="EO16" s="3" t="str">
        <f>IF(EN16=0,"",IF(EN16=VLOOKUP("PCS-OzTL99",ARBOR!$A:$C,3,0),0.0001,IF(EN16&gt;VLOOKUP("PCS-OzTL99",ARBOR!$A:$C,3,0),"Maior que CAP!",IF((DOLLAR(EN16+(VLOOKUP("PCS-OzTL99",ARBOR!$A:$C,3,0)*-TRUNC(EN16/VLOOKUP("PCS-OzTL99",ARBOR!$A:$C,3,0)-1,4)),6))&lt;&gt;(DOLLAR(VLOOKUP("PCS-OzTL99",ARBOR!$A:$C,3,0),6)),-TRUNC(EN16/VLOOKUP("PCS-OzTL99",ARBOR!$A:$C,3,0)-1,4)+0.0001,-TRUNC(EN16/VLOOKUP("PCS-OzTL99",ARBOR!$A:$C,3,0)-1,4)))))</f>
        <v/>
      </c>
      <c r="EP16" s="28" t="str">
        <f>IF(EO16="S/Desc","S/Desc",IF(ISERROR(IF(EO16="","",VLOOKUP(($BC16&amp;EO16&amp;"Template desconto % Ponto adicional nível conta"),BENEFICIOS!$A:$G,5,0))),"Criar",IF(EO16="","",VLOOKUP(($BC16&amp;EO16&amp;"Template desconto % Ponto adicional nível conta"),BENEFICIOS!$A:$G,5,0))))</f>
        <v/>
      </c>
      <c r="EQ16" s="8"/>
      <c r="ER16" s="28" t="str">
        <f t="shared" si="1"/>
        <v/>
      </c>
      <c r="ES16" s="62"/>
      <c r="ET16" s="126"/>
      <c r="EU16" s="127"/>
      <c r="EV16" s="126"/>
      <c r="EW16" s="128" t="str">
        <f t="shared" si="2"/>
        <v/>
      </c>
      <c r="EX16" s="129" t="str">
        <f t="shared" si="3"/>
        <v/>
      </c>
      <c r="EY16" s="91" t="str">
        <f t="shared" si="4"/>
        <v/>
      </c>
      <c r="EZ16" s="85"/>
      <c r="FA16" s="97"/>
      <c r="FB16" s="91"/>
      <c r="FC16" s="85"/>
      <c r="FD16" s="97"/>
      <c r="FE16" s="91"/>
      <c r="FF16" s="87"/>
      <c r="FG16" s="144" t="str">
        <f t="shared" si="5"/>
        <v/>
      </c>
      <c r="FH16" s="144" t="str">
        <f t="shared" si="6"/>
        <v/>
      </c>
      <c r="FI16" s="144" t="str">
        <f t="shared" si="7"/>
        <v/>
      </c>
      <c r="FJ16" s="144" t="str">
        <f t="shared" si="8"/>
        <v/>
      </c>
      <c r="FK16" s="144" t="str">
        <f t="shared" si="9"/>
        <v/>
      </c>
      <c r="FL16" s="144" t="str">
        <f t="shared" si="10"/>
        <v/>
      </c>
      <c r="FM16" s="144" t="str">
        <f t="shared" si="11"/>
        <v/>
      </c>
      <c r="FN16" s="144" t="str">
        <f t="shared" si="12"/>
        <v/>
      </c>
      <c r="FO16" s="144" t="str">
        <f t="shared" si="13"/>
        <v/>
      </c>
      <c r="FP16" s="144" t="str">
        <f t="shared" si="14"/>
        <v/>
      </c>
      <c r="FQ16" s="144" t="str">
        <f t="shared" si="15"/>
        <v/>
      </c>
      <c r="FR16" s="144" t="str">
        <f t="shared" si="16"/>
        <v/>
      </c>
      <c r="FS16" s="144" t="str">
        <f t="shared" si="17"/>
        <v/>
      </c>
      <c r="FT16" s="144" t="str">
        <f t="shared" si="18"/>
        <v/>
      </c>
      <c r="FU16" s="144" t="str">
        <f t="shared" si="19"/>
        <v/>
      </c>
      <c r="FV16" s="144" t="str">
        <f t="shared" si="20"/>
        <v/>
      </c>
      <c r="FW16" s="144" t="str">
        <f t="shared" si="21"/>
        <v/>
      </c>
      <c r="FX16" s="151"/>
      <c r="FY16" s="152"/>
      <c r="FZ16" s="152"/>
      <c r="GA16" s="152"/>
      <c r="GB16" s="152"/>
      <c r="GC16" s="152"/>
      <c r="GD16" s="152"/>
      <c r="GE16" s="152"/>
      <c r="GF16" s="152"/>
      <c r="GG16" s="153"/>
    </row>
    <row r="17" spans="1:189">
      <c r="A17" s="45"/>
      <c r="B17" s="133"/>
      <c r="C17" s="133"/>
      <c r="D17" s="46"/>
      <c r="E17" s="47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9"/>
      <c r="U17" s="48"/>
      <c r="V17" s="49"/>
      <c r="W17" s="48"/>
      <c r="X17" s="48"/>
      <c r="Y17" s="48"/>
      <c r="Z17" s="48"/>
      <c r="AA17" s="49"/>
      <c r="AB17" s="48"/>
      <c r="AC17" s="50"/>
      <c r="AD17" s="48"/>
      <c r="AE17" s="48"/>
      <c r="AF17" s="48"/>
      <c r="AG17" s="48"/>
      <c r="AH17" s="48"/>
      <c r="AI17" s="48"/>
      <c r="AJ17" s="48"/>
      <c r="AK17" s="48"/>
      <c r="AL17" s="51"/>
      <c r="AM17" s="37"/>
      <c r="AN17" s="38"/>
      <c r="AO17" s="39"/>
      <c r="AP17" s="52"/>
      <c r="AQ17" s="53"/>
      <c r="AR17" s="64"/>
      <c r="AS17" s="65"/>
      <c r="AT17" s="54"/>
      <c r="AU17" s="54"/>
      <c r="AV17" s="54"/>
      <c r="AW17" s="54"/>
      <c r="AX17" s="70"/>
      <c r="AY17" s="71"/>
      <c r="AZ17" s="72"/>
      <c r="BA17" s="73"/>
      <c r="BB17" s="55"/>
      <c r="BC17" s="56"/>
      <c r="BD17" s="27" t="str">
        <f t="shared" si="0"/>
        <v/>
      </c>
      <c r="BE17" s="58"/>
      <c r="BF17" s="3" t="str">
        <f>IF(BE17=0,"",IF(BE17=VLOOKUP("FIXO",ARBOR!$A:$C,3,0),0.0001,IF(BE17&gt;VLOOKUP("FIXO",ARBOR!$A:$C,3,0),"Maior que CAP!",IF((DOLLAR(BE17+(VLOOKUP("FIXO",ARBOR!$A:$C,3,0)*-TRUNC(BE17/VLOOKUP("FIXO",ARBOR!$A:$C,3,0)-1,4)),6))&lt;&gt;(DOLLAR(VLOOKUP("FIXO",ARBOR!$A:$C,3,0),6)),-TRUNC(BE17/VLOOKUP("FIXO",ARBOR!$A:$C,3,0)-1,4)+0.0001,-TRUNC(BE17/VLOOKUP("FIXO",ARBOR!$A:$C,3,0)-1,4)))))</f>
        <v/>
      </c>
      <c r="BG17" s="10" t="str">
        <f>IF(ISERROR(IF(BF17="","",VLOOKUP(($BC17&amp;BF17&amp;"Template de desconto FLAT bundle - Fixo - Varejo - Ganho Tributário Cross"),BENEFICIOS!$A:$G,5,0))),"Criar",IF(BF17="","",VLOOKUP(($BC17&amp;BF17&amp;"Template de desconto FLAT bundle - Fixo - Varejo - Ganho Tributário Cross"),BENEFICIOS!$A:$G,5,0)))</f>
        <v/>
      </c>
      <c r="BH17" s="8"/>
      <c r="BI17" s="3" t="str">
        <f>IF(BH17=0,"",IF(BH17=VLOOKUP("PCS-OzTL40",ARBOR!$A:$C,3,0),0.0001,IF(BH17&gt;VLOOKUP("PCS-OzTL40",ARBOR!$A:$C,3,0),"Maior que CAP!",IF((DOLLAR(BH17+(VLOOKUP("PCS-OzTL40",ARBOR!$A:$C,3,0)*-TRUNC(BH17/VLOOKUP("PCS-OzTL40",ARBOR!$A:$C,3,0)-1,4)),6))&lt;&gt;(DOLLAR(VLOOKUP("PCS-OzTL40",ARBOR!$A:$C,3,0),6)),-TRUNC(BH17/VLOOKUP("PCS-OzTL40",ARBOR!$A:$C,3,0)-1,4)+0.0001,-TRUNC(BH17/VLOOKUP("PCS-OzTL40",ARBOR!$A:$C,3,0)-1,4)))))</f>
        <v/>
      </c>
      <c r="BJ17" s="10" t="str">
        <f>IF(ISERROR(IF(BI17="","",VLOOKUP((BC17&amp;BI17&amp;"Template desconto FLAT Plano Principal Oi TV nível conta"),BENEFICIOS!$A:$G,5,0))),"Criar",IF(BI17="","",VLOOKUP((BC17&amp;BI17&amp;"Template desconto FLAT Plano Principal Oi TV nível conta"),BENEFICIOS!$A:$G,5,0)))</f>
        <v/>
      </c>
      <c r="BK17" s="8"/>
      <c r="BL17" s="3" t="str">
        <f>IF(BK17=0,"",IF(BK17=VLOOKUP("PCS-OzTL41",ARBOR!$A:$C,3,0),0.0001,IF(BK17&gt;VLOOKUP("PCS-OzTL41",ARBOR!$A:$C,3,0),"Maior que CAP!",IF((DOLLAR(BK17+(VLOOKUP("PCS-OzTL41",ARBOR!$A:$C,3,0)*-TRUNC(BK17/VLOOKUP("PCS-OzTL41",ARBOR!$A:$C,3,0)-1,4)),6))&lt;&gt;(DOLLAR(VLOOKUP("PCS-OzTL41",ARBOR!$A:$C,3,0),6)),-TRUNC(BK17/VLOOKUP("PCS-OzTL41",ARBOR!$A:$C,3,0)-1,4)+0.0001,-TRUNC(BK17/VLOOKUP("PCS-OzTL41",ARBOR!$A:$C,3,0)-1,4)))))</f>
        <v/>
      </c>
      <c r="BM17" s="28" t="str">
        <f>IF(ISERROR(IF(BL17="","",VLOOKUP((BC17&amp;BL17&amp;"Template desconto FLAT Plano Principal Oi TV nível conta"),BENEFICIOS!$A:$G,5,0))),"Criar",IF(BL17="","",VLOOKUP((BC17&amp;BL17&amp;"Template desconto FLAT Plano Principal Oi TV nível conta"),BENEFICIOS!$A:$G,5,0)))</f>
        <v/>
      </c>
      <c r="BN17" s="8"/>
      <c r="BO17" s="3" t="str">
        <f>IF(BN17=0,"",IF(BN17=VLOOKUP("PCS-OzTL44",ARBOR!$A:$C,3,0),0.0001,IF(BN17&gt;VLOOKUP("PCS-OzTL44",ARBOR!$A:$C,3,0),"Maior que CAP!",IF((DOLLAR(BN17+(VLOOKUP("PCS-OzTL44",ARBOR!$A:$C,3,0)*-TRUNC(BN17/VLOOKUP("PCS-OzTL44",ARBOR!$A:$C,3,0)-1,4)),6))&lt;&gt;(DOLLAR(VLOOKUP("PCS-OzTL44",ARBOR!$A:$C,3,0),6)),-TRUNC(BN17/VLOOKUP("PCS-OzTL44",ARBOR!$A:$C,3,0)-1,4)+0.0001,-TRUNC(BN17/VLOOKUP("PCS-OzTL44",ARBOR!$A:$C,3,0)-1,4)))))</f>
        <v/>
      </c>
      <c r="BP17" s="28" t="str">
        <f>IF(ISERROR(IF(BO17="","",VLOOKUP((BC17&amp;BO17&amp;"Template desconto FLAT Plano Principal Oi TV nível conta"),BENEFICIOS!$A:$G,5,0))),"Criar",IF(BO17="","",VLOOKUP((BC17&amp;BO17&amp;"Template desconto FLAT Plano Principal Oi TV nível conta"),BENEFICIOS!$A:$G,5,0)))</f>
        <v/>
      </c>
      <c r="BQ17" s="8"/>
      <c r="BR17" s="3" t="str">
        <f>IF(BQ17=0,"",IF(BQ17=VLOOKUP("PCS-OzTL43",ARBOR!$A:$C,3,0),0.0001,IF(BQ17&gt;VLOOKUP("PCS-OzTL43",ARBOR!$A:$C,3,0),"Maior que CAP!",IF((DOLLAR(BQ17+(VLOOKUP("PCS-OzTL43",ARBOR!$A:$C,3,0)*-TRUNC(BQ17/VLOOKUP("PCS-OzTL43",ARBOR!$A:$C,3,0)-1,4)),6))&lt;&gt;(DOLLAR(VLOOKUP("PCS-OzTL43",ARBOR!$A:$C,3,0),6)),-TRUNC(BQ17/VLOOKUP("PCS-OzTL43",ARBOR!$A:$C,3,0)-1,4)+0.0001,-TRUNC(BQ17/VLOOKUP("PCS-OzTL43",ARBOR!$A:$C,3,0)-1,4)))))</f>
        <v/>
      </c>
      <c r="BS17" s="28" t="str">
        <f>IF(ISERROR(IF(BR17="","",VLOOKUP((BC17&amp;BR17&amp;"Template desconto FLAT Plano Principal Oi TV nível conta"),BENEFICIOS!$A:$G,5,0))),"Criar",IF(BR17="","",VLOOKUP((BC17&amp;BR17&amp;"Template desconto FLAT Plano Principal Oi TV nível conta"),BENEFICIOS!$A:$G,5,0)))</f>
        <v/>
      </c>
      <c r="BT17" s="8"/>
      <c r="BU17" s="3" t="str">
        <f>IF(BT17=0,"",IF(BT17=VLOOKUP("PCS-OzTL45",ARBOR!$A:$C,3,0),0.0001,IF(BT17&gt;VLOOKUP("PCS-OzTL45",ARBOR!$A:$C,3,0),"Maior que CAP!",IF((DOLLAR(BT17+(VLOOKUP("PCS-OzTL45",ARBOR!$A:$C,3,0)*-TRUNC(BT17/VLOOKUP("PCS-OzTL45",ARBOR!$A:$C,3,0)-1,4)),6))&lt;&gt;(DOLLAR(VLOOKUP("PCS-OzTL45",ARBOR!$A:$C,3,0),6)),-TRUNC(BT17/VLOOKUP("PCS-OzTL45",ARBOR!$A:$C,3,0)-1,4)+0.0001,-TRUNC(BT17/VLOOKUP("PCS-OzTL45",ARBOR!$A:$C,3,0)-1,4)))))</f>
        <v/>
      </c>
      <c r="BV17" s="28" t="str">
        <f>IF(ISERROR(IF(BU17="","",VLOOKUP((BC17&amp;BU17&amp;"Template desconto FLAT Plano Principal Oi TV nível conta"),BENEFICIOS!$A:$G,5,0))),"Criar",IF(BU17="","",VLOOKUP((BC17&amp;BU17&amp;"Template desconto FLAT Plano Principal Oi TV nível conta"),BENEFICIOS!$A:$G,5,0)))</f>
        <v/>
      </c>
      <c r="BW17" s="8"/>
      <c r="BX17" s="3" t="str">
        <f>IF(BW17=0,"",IF(BW17=VLOOKUP("PCS-OzTL741",ARBOR!$A:$C,3,0),0.0001,IF(BW17&gt;VLOOKUP("PCS-OzTL741",ARBOR!$A:$C,3,0),"Maior que CAP!",IF((DOLLAR(BW17+(VLOOKUP("PCS-OzTL741",ARBOR!$A:$C,3,0)*-TRUNC(BW17/VLOOKUP("PCS-OzTL741",ARBOR!$A:$C,3,0)-1,4)),6))&lt;&gt;(DOLLAR(VLOOKUP("PCS-OzTL741",ARBOR!$A:$C,3,0),6)),-TRUNC(BW17/VLOOKUP("PCS-OzTL741",ARBOR!$A:$C,3,0)-1,4)+0.0001,-TRUNC(BW17/VLOOKUP("PCS-OzTL741",ARBOR!$A:$C,3,0)-1,4)))))</f>
        <v/>
      </c>
      <c r="BY17" s="28" t="str">
        <f>IF(ISERROR(IF(BX17="","",VLOOKUP((BC17&amp;BX17&amp;"Template desconto FLAT Plano Principal Oi TV nível conta"),BENEFICIOS!$A:$G,5,0))),"Criar",IF(BX17="","",VLOOKUP((BC17&amp;BX17&amp;"Template desconto FLAT Plano Principal Oi TV nível conta"),BENEFICIOS!$A:$G,5,0)))</f>
        <v/>
      </c>
      <c r="BZ17" s="8"/>
      <c r="CA17" s="3" t="str">
        <f>IF(BZ17=0,"",IF(BZ17=VLOOKUP("PCS-OzTL744",ARBOR!$A:$C,3,0),0.0001,IF(BZ17&gt;VLOOKUP("PCS-OzTL744",ARBOR!$A:$C,3,0),"Maior que CAP!",IF((DOLLAR(BZ17+(VLOOKUP("PCS-OzTL744",ARBOR!$A:$C,3,0)*-TRUNC(BZ17/VLOOKUP("PCS-OzTL744",ARBOR!$A:$C,3,0)-1,4)),6))&lt;&gt;(DOLLAR(VLOOKUP("PCS-OzTL744",ARBOR!$A:$C,3,0),6)),-TRUNC(BZ17/VLOOKUP("PCS-OzTL744",ARBOR!$A:$C,3,0)-1,4)+0.0001,-TRUNC(BZ17/VLOOKUP("PCS-OzTL744",ARBOR!$A:$C,3,0)-1,4)))))</f>
        <v/>
      </c>
      <c r="CB17" s="28" t="str">
        <f>IF(ISERROR(IF(CA17="","",VLOOKUP(($BC17&amp;CA17&amp;"Template desconto FLAT Plano Principal Oi TV nível conta"),BENEFICIOS!$A:$G,5,0))),"Criar",IF(CA17="","",VLOOKUP(($BC17&amp;CA17&amp;"Template desconto FLAT Plano Principal Oi TV nível conta"),BENEFICIOS!$A:$G,5,0)))</f>
        <v/>
      </c>
      <c r="CC17" s="8"/>
      <c r="CD17" s="3" t="str">
        <f>IF(CC17=0,"",IF(CC17=VLOOKUP("PCS-OzTL743",ARBOR!$A:$C,3,0),0.0001,IF(CC17&gt;VLOOKUP("PCS-OzTL743",ARBOR!$A:$C,3,0),"Maior que CAP!",IF((DOLLAR(CC17+(VLOOKUP("PCS-OzTL743",ARBOR!$A:$C,3,0)*-TRUNC(CC17/VLOOKUP("PCS-OzTL743",ARBOR!$A:$C,3,0)-1,4)),6))&lt;&gt;(DOLLAR(VLOOKUP("PCS-OzTL743",ARBOR!$A:$C,3,0),6)),-TRUNC(CC17/VLOOKUP("PCS-OzTL743",ARBOR!$A:$C,3,0)-1,4)+0.0001,-TRUNC(CC17/VLOOKUP("PCS-OzTL743",ARBOR!$A:$C,3,0)-1,4)))))</f>
        <v/>
      </c>
      <c r="CE17" s="28" t="str">
        <f>IF(ISERROR(IF(CD17="","",VLOOKUP(($BC17&amp;CD17&amp;"Template desconto FLAT Plano Principal Oi TV nível conta"),BENEFICIOS!$A:$G,5,0))),"Criar",IF(CD17="","",VLOOKUP(($BC17&amp;CD17&amp;"Template desconto FLAT Plano Principal Oi TV nível conta"),BENEFICIOS!$A:$G,5,0)))</f>
        <v/>
      </c>
      <c r="CF17" s="8"/>
      <c r="CG17" s="3" t="str">
        <f>IF(CF17=0,"",IF(CF17=VLOOKUP("PCS-OzTL745",ARBOR!$A:$C,3,0),0.0001,IF(CF17&gt;VLOOKUP("PCS-OzTL745",ARBOR!$A:$C,3,0),"Maior que CAP!",IF((DOLLAR(CF17+(VLOOKUP("PCS-OzTL745",ARBOR!$A:$C,3,0)*-TRUNC(CF17/VLOOKUP("PCS-OzTL745",ARBOR!$A:$C,3,0)-1,4)),6))&lt;&gt;(DOLLAR(VLOOKUP("PCS-OzTL745",ARBOR!$A:$C,3,0),6)),-TRUNC(CF17/VLOOKUP("PCS-OzTL745",ARBOR!$A:$C,3,0)-1,4)+0.0001,-TRUNC(CF17/VLOOKUP("PCS-OzTL745",ARBOR!$A:$C,3,0)-1,4)))))</f>
        <v/>
      </c>
      <c r="CH17" s="28" t="str">
        <f>IF(ISERROR(IF(CG17="","",VLOOKUP(($BC17&amp;CG17&amp;"Template desconto FLAT Plano Principal Oi TV nível conta"),BENEFICIOS!$A:$G,5,0))),"Criar",IF(CG17="","",VLOOKUP(($BC17&amp;CG17&amp;"Template desconto FLAT Plano Principal Oi TV nível conta"),BENEFICIOS!$A:$G,5,0)))</f>
        <v/>
      </c>
      <c r="CI17" s="8"/>
      <c r="CJ17" s="3" t="str">
        <f>IF(CI17=0,"",IF(CI17=VLOOKUP("PCS-OzTL42",ARBOR!$A:$C,3,0),0.0001,IF(CI17&gt;VLOOKUP("PCS-OzTL42",ARBOR!$A:$C,3,0),"Maior que CAP!",IF((DOLLAR(CI17+(VLOOKUP("PCS-OzTL42",ARBOR!$A:$C,3,0)*-TRUNC(CI17/VLOOKUP("PCS-OzTL42",ARBOR!$A:$C,3,0)-1,4)),6))&lt;&gt;(DOLLAR(VLOOKUP("PCS-OzTL42",ARBOR!$A:$C,3,0),6)),-TRUNC(CI17/VLOOKUP("PCS-OzTL42",ARBOR!$A:$C,3,0)-1,4)+0.0001,-TRUNC(CI17/VLOOKUP("PCS-OzTL42",ARBOR!$A:$C,3,0)-1,4)))))</f>
        <v/>
      </c>
      <c r="CK17" s="28" t="str">
        <f>IF(ISERROR(IF(CJ17="","",VLOOKUP(($BC17&amp;CJ17&amp;"Template desconto FLAT Plano Principal Oi TV nível conta"),BENEFICIOS!$A:$G,5,0))),"Criar",IF(CJ17="","",VLOOKUP(($BC17&amp;CJ17&amp;"Template desconto FLAT Plano Principal Oi TV nível conta"),BENEFICIOS!$A:$G,5,0)))</f>
        <v/>
      </c>
      <c r="CL17" s="8"/>
      <c r="CM17" s="3" t="str">
        <f>IF(CL17=0,"",IF(CL17=VLOOKUP("PCS-OzTL47",ARBOR!$A:$C,3,0),0.0001,IF(CL17&gt;VLOOKUP("PCS-OzTL47",ARBOR!$A:$C,3,0),"Maior que CAP!",IF((DOLLAR(CL17+(VLOOKUP("PCS-OzTL47",ARBOR!$A:$C,3,0)*-TRUNC(CL17/VLOOKUP("PCS-OzTL47",ARBOR!$A:$C,3,0)-1,4)),6))&lt;&gt;(DOLLAR(VLOOKUP("PCS-OzTL47",ARBOR!$A:$C,3,0),6)),-TRUNC(CL17/VLOOKUP("PCS-OzTL47",ARBOR!$A:$C,3,0)-1,4)+0.0001,-TRUNC(CL17/VLOOKUP("PCS-OzTL47",ARBOR!$A:$C,3,0)-1,4)))))</f>
        <v/>
      </c>
      <c r="CN17" s="28" t="str">
        <f>IF(ISERROR(IF(CM17="","",VLOOKUP(($BC17&amp;CM17&amp;"Template desconto FLAT Plano Principal Oi TV nível conta"),BENEFICIOS!$A:$G,5,0))),"Criar",IF(CM17="","",VLOOKUP(($BC17&amp;CM17&amp;"Template desconto FLAT Plano Principal Oi TV nível conta"),BENEFICIOS!$A:$G,5,0)))</f>
        <v/>
      </c>
      <c r="CO17" s="8"/>
      <c r="CP17" s="3" t="str">
        <f>IF(CO17=0,"",IF(CO17=VLOOKUP("PCS-OzTL46",ARBOR!$A:$C,3,0),0.0001,IF(CO17&gt;VLOOKUP("PCS-OzTL46",ARBOR!$A:$C,3,0),"Maior que CAP!",IF((DOLLAR(CO17+(VLOOKUP("PCS-OzTL46",ARBOR!$A:$C,3,0)*-TRUNC(CO17/VLOOKUP("PCS-OzTL46",ARBOR!$A:$C,3,0)-1,4)),6))&lt;&gt;(DOLLAR(VLOOKUP("PCS-OzTL46",ARBOR!$A:$C,3,0),6)),-TRUNC(CO17/VLOOKUP("PCS-OzTL46",ARBOR!$A:$C,3,0)-1,4)+0.0001,-TRUNC(CO17/VLOOKUP("PCS-OzTL46",ARBOR!$A:$C,3,0)-1,4)))))</f>
        <v/>
      </c>
      <c r="CQ17" s="28" t="str">
        <f>IF(ISERROR(IF(CP17="","",VLOOKUP(($BC17&amp;CP17&amp;"Template desconto FLAT Plano Principal Oi TV nível conta"),BENEFICIOS!$A:$G,5,0))),"Criar",IF(CP17="","",VLOOKUP(($BC17&amp;CP17&amp;"Template desconto FLAT Plano Principal Oi TV nível conta"),BENEFICIOS!$A:$G,5,0)))</f>
        <v/>
      </c>
      <c r="CR17" s="8"/>
      <c r="CS17" s="3" t="str">
        <f>IF(CR17=0,"",IF(CR17=VLOOKUP("PCS-OzTL48",ARBOR!$A:$C,3,0),0.0001,IF(CR17&gt;VLOOKUP("PCS-OzTL48",ARBOR!$A:$C,3,0),"Maior que CAP!",IF((DOLLAR(CR17+(VLOOKUP("PCS-OzTL48",ARBOR!$A:$C,3,0)*-TRUNC(CR17/VLOOKUP("PCS-OzTL48",ARBOR!$A:$C,3,0)-1,4)),6))&lt;&gt;(DOLLAR(VLOOKUP("PCS-OzTL48",ARBOR!$A:$C,3,0),6)),-TRUNC(CR17/VLOOKUP("PCS-OzTL48",ARBOR!$A:$C,3,0)-1,4)+0.0001,-TRUNC(CR17/VLOOKUP("PCS-OzTL48",ARBOR!$A:$C,3,0)-1,4)))))</f>
        <v/>
      </c>
      <c r="CT17" s="28" t="str">
        <f>IF(ISERROR(IF(CS17="","",VLOOKUP(($BC17&amp;CS17&amp;"Template desconto FLAT Plano Principal Oi TV nível conta"),BENEFICIOS!$A:$G,5,0))),"Criar",IF(CS17="","",VLOOKUP(($BC17&amp;CS17&amp;"Template desconto FLAT Plano Principal Oi TV nível conta"),BENEFICIOS!$A:$G,5,0)))</f>
        <v/>
      </c>
      <c r="CU17" s="8"/>
      <c r="CV17" s="3" t="str">
        <f>IF(CU17=0,"",IF(CU17=VLOOKUP("PCS-OzTL742",ARBOR!$A:$C,3,0),0.0001,IF(CU17&gt;VLOOKUP("PCS-OzTL742",ARBOR!$A:$C,3,0),"Maior que CAP!",IF((DOLLAR(CU17+(VLOOKUP("PCS-OzTL742",ARBOR!$A:$C,3,0)*-TRUNC(CU17/VLOOKUP("PCS-OzTL742",ARBOR!$A:$C,3,0)-1,4)),6))&lt;&gt;(DOLLAR(VLOOKUP("PCS-OzTL742",ARBOR!$A:$C,3,0),6)),-TRUNC(CU17/VLOOKUP("PCS-OzTL742",ARBOR!$A:$C,3,0)-1,4)+0.0001,-TRUNC(CU17/VLOOKUP("PCS-OzTL742",ARBOR!$A:$C,3,0)-1,4)))))</f>
        <v/>
      </c>
      <c r="CW17" s="28" t="str">
        <f>IF(ISERROR(IF(CV17="","",VLOOKUP(($BC17&amp;CV17&amp;"Template desconto FLAT Plano Principal Oi TV nível conta"),BENEFICIOS!$A:$G,5,0))),"Criar",IF(CV17="","",VLOOKUP(($BC17&amp;CV17&amp;"Template desconto FLAT Plano Principal Oi TV nível conta"),BENEFICIOS!$A:$G,5,0)))</f>
        <v/>
      </c>
      <c r="CX17" s="8"/>
      <c r="CY17" s="3" t="str">
        <f>IF(CX17=0,"",IF(CX17=VLOOKUP("PCS-OzTL747",ARBOR!$A:$C,3,0),0.0001,IF(CX17&gt;VLOOKUP("PCS-OzTL747",ARBOR!$A:$C,3,0),"Maior que CAP!",IF((DOLLAR(CX17+(VLOOKUP("PCS-OzTL747",ARBOR!$A:$C,3,0)*-TRUNC(CX17/VLOOKUP("PCS-OzTL747",ARBOR!$A:$C,3,0)-1,4)),6))&lt;&gt;(DOLLAR(VLOOKUP("PCS-OzTL747",ARBOR!$A:$C,3,0),6)),-TRUNC(CX17/VLOOKUP("PCS-OzTL747",ARBOR!$A:$C,3,0)-1,4)+0.0001,-TRUNC(CX17/VLOOKUP("PCS-OzTL747",ARBOR!$A:$C,3,0)-1,4)))))</f>
        <v/>
      </c>
      <c r="CZ17" s="28" t="str">
        <f>IF(ISERROR(IF(CY17="","",VLOOKUP(($BC17&amp;CY17&amp;"Template desconto FLAT Plano Principal Oi TV nível conta"),BENEFICIOS!$A:$G,5,0))),"Criar",IF(CY17="","",VLOOKUP(($BC17&amp;CY17&amp;"Template desconto FLAT Plano Principal Oi TV nível conta"),BENEFICIOS!$A:$G,5,0)))</f>
        <v/>
      </c>
      <c r="DA17" s="8"/>
      <c r="DB17" s="3" t="str">
        <f>IF(DA17=0,"",IF(DA17=VLOOKUP("PCS-OzTL746",ARBOR!$A:$C,3,0),0.0001,IF(DA17&gt;VLOOKUP("PCS-OzTL746",ARBOR!$A:$C,3,0),"Maior que CAP!",IF((DOLLAR(DA17+(VLOOKUP("PCS-OzTL746",ARBOR!$A:$C,3,0)*-TRUNC(DA17/VLOOKUP("PCS-OzTL746",ARBOR!$A:$C,3,0)-1,4)),6))&lt;&gt;(DOLLAR(VLOOKUP("PCS-OzTL746",ARBOR!$A:$C,3,0),6)),-TRUNC(DA17/VLOOKUP("PCS-OzTL746",ARBOR!$A:$C,3,0)-1,4)+0.0001,-TRUNC(DA17/VLOOKUP("PCS-OzTL746",ARBOR!$A:$C,3,0)-1,4)))))</f>
        <v/>
      </c>
      <c r="DC17" s="28" t="str">
        <f>IF(ISERROR(IF(DB17="","",VLOOKUP(($BC17&amp;DB17&amp;"Template desconto FLAT Plano Principal Oi TV nível conta"),BENEFICIOS!$A:$G,5,0))),"Criar",IF(DB17="","",VLOOKUP(($BC17&amp;DB17&amp;"Template desconto FLAT Plano Principal Oi TV nível conta"),BENEFICIOS!$A:$G,5,0)))</f>
        <v/>
      </c>
      <c r="DD17" s="8"/>
      <c r="DE17" s="3" t="str">
        <f>IF(DD17=0,"",IF(DD17=VLOOKUP("PCS-OzTL748",ARBOR!$A:$C,3,0),0.0001,IF(DD17&gt;VLOOKUP("PCS-OzTL748",ARBOR!$A:$C,3,0),"Maior que CAP!",IF((DOLLAR(DD17+(VLOOKUP("PCS-OzTL748",ARBOR!$A:$C,3,0)*-TRUNC(DD17/VLOOKUP("PCS-OzTL748",ARBOR!$A:$C,3,0)-1,4)),6))&lt;&gt;(DOLLAR(VLOOKUP("PCS-OzTL748",ARBOR!$A:$C,3,0),6)),-TRUNC(DD17/VLOOKUP("PCS-OzTL748",ARBOR!$A:$C,3,0)-1,4)+0.0001,-TRUNC(DD17/VLOOKUP("PCS-OzTL748",ARBOR!$A:$C,3,0)-1,4)))))</f>
        <v/>
      </c>
      <c r="DF17" s="28" t="str">
        <f>IF(ISERROR(IF(DE17="","",VLOOKUP(($BC17&amp;DE17&amp;"Template desconto FLAT Plano Principal Oi TV nível conta"),BENEFICIOS!$A:$G,5,0))),"Criar",IF(DE17="","",VLOOKUP(($BC17&amp;DE17&amp;"Template desconto FLAT Plano Principal Oi TV nível conta"),BENEFICIOS!$A:$G,5,0)))</f>
        <v/>
      </c>
      <c r="DG17" s="8"/>
      <c r="DH17" s="3" t="str">
        <f>IF(DG17=0,"",IF(DG17=VLOOKUP("PCS-OzTL34",ARBOR!$A:$C,3,0),0.0001,IF(DG17&gt;VLOOKUP("PCS-OzTL34",ARBOR!$A:$C,3,0),"Maior que CAP!",IF((DOLLAR(DG17+(VLOOKUP("PCS-OzTL34",ARBOR!$A:$C,3,0)*-TRUNC(DG17/VLOOKUP("PCS-OzTL34",ARBOR!$A:$C,3,0)-1,4)),6))&lt;&gt;(DOLLAR(VLOOKUP("PCS-OzTL34",ARBOR!$A:$C,3,0),6)),-TRUNC(DG17/VLOOKUP("PCS-OzTL34",ARBOR!$A:$C,3,0)-1,4)+0.0001,-TRUNC(DG17/VLOOKUP("PCS-OzTL34",ARBOR!$A:$C,3,0)-1,4)))))</f>
        <v/>
      </c>
      <c r="DI17" s="28" t="str">
        <f>IF(DH17="S/Desc","S/Desc",IF(ISERROR(IF(DH17="","",VLOOKUP(($BC17&amp;DH17&amp;"Template desconto % Combate nível conta"),BENEFICIOS!$A:$G,5,0))),"Criar",IF(DH17="","",VLOOKUP(($BC17&amp;DH17&amp;"Template desconto % Combate nível conta"),BENEFICIOS!$A:$G,5,0))))</f>
        <v/>
      </c>
      <c r="DJ17" s="8"/>
      <c r="DK17" s="3" t="str">
        <f>IF(DJ17=0,"",IF(DJ17=VLOOKUP("PCS-OzTL31",ARBOR!$A:$C,3,0),0.0001,IF(DJ17&gt;VLOOKUP("PCS-OzTL31",ARBOR!$A:$C,3,0),"Maior que CAP!",IF((DOLLAR(DJ17+(VLOOKUP("PCS-OzTL31",ARBOR!$A:$C,3,0)*-TRUNC(DJ17/VLOOKUP("PCS-OzTL31",ARBOR!$A:$C,3,0)-1,4)),6))&lt;&gt;(DOLLAR(VLOOKUP("PCS-OzTL31",ARBOR!$A:$C,3,0),6)),-TRUNC(DJ17/VLOOKUP("PCS-OzTL31",ARBOR!$A:$C,3,0)-1,4)+0.0001,-TRUNC(DJ17/VLOOKUP("PCS-OzTL31",ARBOR!$A:$C,3,0)-1,4)))))</f>
        <v/>
      </c>
      <c r="DL17" s="28" t="str">
        <f>IF(DK17="S/Desc","S/Desc",IF(ISERROR(IF(DK17="","",VLOOKUP(($BC17&amp;DK17&amp;"Template desconto % Sexy Hot nível conta"),BENEFICIOS!$A:$G,5,0))),"Criar",IF(DK17="","",VLOOKUP(($BC17&amp;DK17&amp;"Template desconto % Sexy Hot nível conta"),BENEFICIOS!$A:$G,5,0))))</f>
        <v/>
      </c>
      <c r="DM17" s="8"/>
      <c r="DN17" s="3" t="str">
        <f>IF(DM17=0,"",IF(DM17=VLOOKUP("PCS-OzTL32",ARBOR!$A:$C,3,0),0.0001,IF(DM17&gt;VLOOKUP("PCS-OzTL32",ARBOR!$A:$C,3,0),"Maior que CAP!",IF((DOLLAR(DM17+(VLOOKUP("PCS-OzTL32",ARBOR!$A:$C,3,0)*-TRUNC(DM17/VLOOKUP("PCS-OzTL32",ARBOR!$A:$C,3,0)-1,4)),6))&lt;&gt;(DOLLAR(VLOOKUP("PCS-OzTL32",ARBOR!$A:$C,3,0),6)),-TRUNC(DM17/VLOOKUP("PCS-OzTL32",ARBOR!$A:$C,3,0)-1,4)+0.0001,-TRUNC(DM17/VLOOKUP("PCS-OzTL32",ARBOR!$A:$C,3,0)-1,4)))))</f>
        <v/>
      </c>
      <c r="DO17" s="28" t="str">
        <f>IF(DN17="S/Desc","S/Desc",IF(ISERROR(IF(DN17="","",VLOOKUP(($BC17&amp;DN17&amp;"Template desconto % Playboy nível conta"),BENEFICIOS!$A:$G,5,0))),"Criar",IF(DN17="","",VLOOKUP(($BC17&amp;DN17&amp;"Template desconto % Playboy nível conta"),BENEFICIOS!$A:$G,5,0))))</f>
        <v/>
      </c>
      <c r="DP17" s="8"/>
      <c r="DQ17" s="3" t="str">
        <f>IF(DP17=0,"",IF(DP17=VLOOKUP("PCS-OzTL33",ARBOR!$A:$C,3,0),0.0001,IF(DP17&gt;VLOOKUP("PCS-OzTL33",ARBOR!$A:$C,3,0),"Maior que CAP!",IF((DOLLAR(DP17+(VLOOKUP("PCS-OzTL33",ARBOR!$A:$C,3,0)*-TRUNC(DP17/VLOOKUP("PCS-OzTL33",ARBOR!$A:$C,3,0)-1,4)),6))&lt;&gt;(DOLLAR(VLOOKUP("PCS-OzTL33",ARBOR!$A:$C,3,0),6)),-TRUNC(DP17/VLOOKUP("PCS-OzTL33",ARBOR!$A:$C,3,0)-1,4)+0.0001,-TRUNC(DP17/VLOOKUP("PCS-OzTL33",ARBOR!$A:$C,3,0)-1,4)))))</f>
        <v/>
      </c>
      <c r="DR17" s="28" t="str">
        <f>IF(DQ17="S/Desc","S/Desc",IF(ISERROR(IF(DQ17="","",VLOOKUP(($BC17&amp;DQ17&amp;"Template desconto % Sexy Hot + Playboy nível conta"),BENEFICIOS!$A:$G,5,0))),"Criar",IF(DQ17="","",VLOOKUP(($BC17&amp;DQ17&amp;"Template desconto % Sexy Hot + Playboy nível conta"),BENEFICIOS!$A:$G,5,0))))</f>
        <v/>
      </c>
      <c r="DS17" s="8"/>
      <c r="DT17" s="3" t="str">
        <f>IF(DS17=0,"",IF(DS17=VLOOKUP("PCS-OzTL503",ARBOR!$A:$C,3,0),0.0001,IF(DS17&gt;VLOOKUP("PCS-OzTL503",ARBOR!$A:$C,3,0),"Maior que CAP!",IF((DOLLAR(DS17+(VLOOKUP("PCS-OzTL503",ARBOR!$A:$C,3,0)*-TRUNC(DS17/VLOOKUP("PCS-OzTL503",ARBOR!$A:$C,3,0)-1,4)),6))&lt;&gt;(DOLLAR(VLOOKUP("PCS-OzTL503",ARBOR!$A:$C,3,0),6)),-TRUNC(DS17/VLOOKUP("PCS-OzTL503",ARBOR!$A:$C,3,0)-1,4)+0.0001,-TRUNC(DS17/VLOOKUP("PCS-OzTL503",ARBOR!$A:$C,3,0)-1,4)))))</f>
        <v/>
      </c>
      <c r="DU17" s="28" t="str">
        <f>IF(DT17="S/Desc","S/Desc",IF(ISERROR(IF(DT17="","",VLOOKUP(($BC17&amp;DT17&amp;"Template desconto % SexPrivê nível conta"),BENEFICIOS!$A:$G,5,0))),"Criar",IF(DT17="","",VLOOKUP(($BC17&amp;DT17&amp;"Template desconto % SexPrivê nível conta"),BENEFICIOS!$A:$G,5,0))))</f>
        <v/>
      </c>
      <c r="DV17" s="8"/>
      <c r="DW17" s="3" t="str">
        <f>IF(DV17=0,"",IF(DV17=VLOOKUP("PCS-OzTL500",ARBOR!$A:$C,3,0),0.0001,IF(DV17&gt;VLOOKUP("PCS-OzTL500",ARBOR!$A:$C,3,0),"Maior que CAP!",IF((DOLLAR(DV17+(VLOOKUP("PCS-OzTL500",ARBOR!$A:$C,3,0)*-TRUNC(DV17/VLOOKUP("PCS-OzTL500",ARBOR!$A:$C,3,0)-1,4)),6))&lt;&gt;(DOLLAR(VLOOKUP("PCS-OzTL500",ARBOR!$A:$C,3,0),6)),-TRUNC(DV17/VLOOKUP("PCS-OzTL500",ARBOR!$A:$C,3,0)-1,4)+0.0001,-TRUNC(DV17/VLOOKUP("PCS-OzTL500",ARBOR!$A:$C,3,0)-1,4)))))</f>
        <v/>
      </c>
      <c r="DX17" s="28" t="str">
        <f>IF(DW17="S/Desc","S/Desc",IF(ISERROR(IF(DW17="","",VLOOKUP(($BC17&amp;DW17&amp;"Template desconto % Étnico nível conta"),BENEFICIOS!$A:$G,5,0))),"Criar",IF(DW17="","",VLOOKUP(($BC17&amp;DW17&amp;"Template desconto % Étnico nível conta"),BENEFICIOS!$A:$G,5,0))))</f>
        <v/>
      </c>
      <c r="DY17" s="8"/>
      <c r="DZ17" s="181" t="str">
        <f>IF(DY17=0,"",IF(DY17=VLOOKUP("PCS-OzTL50",ARBOR!$A:$C,3,0),0.0001,IF(DY17&gt;VLOOKUP("PCS-OzTL50",ARBOR!$A:$C,3,0),"Maior que CAP!",IF((DOLLAR(DY17+(VLOOKUP("PCS-OzTL50",ARBOR!$A:$C,3,0)*-TRUNC(DY17/VLOOKUP("PCS-OzTL50",ARBOR!$A:$C,3,0)-1,4)),6))&lt;&gt;(DOLLAR(VLOOKUP("PCS-OzTL50",ARBOR!$A:$C,3,0),6)),-TRUNC(DY17/VLOOKUP("PCS-OzTL50",ARBOR!$A:$C,3,0)-1,4)+0.0001,-TRUNC(DY17/VLOOKUP("PCS-OzTL50",ARBOR!$A:$C,3,0)-1,4)))))</f>
        <v/>
      </c>
      <c r="EA17" s="28"/>
      <c r="EB17" s="8"/>
      <c r="EC17" s="181" t="str">
        <f>IF(EB17=0,"",IF(EB17=VLOOKUP("PCS-OzTL51",ARBOR!$A:$C,3,0),0.0001,IF(EB17&gt;VLOOKUP("PCS-OzTL51",ARBOR!$A:$C,3,0),"Maior que CAP!",IF((DOLLAR(EB17+(VLOOKUP("PCS-OzTL51",ARBOR!$A:$C,3,0)*-TRUNC(EB17/VLOOKUP("PCS-OzTL51",ARBOR!$A:$C,3,0)-1,4)),6))&lt;&gt;(DOLLAR(VLOOKUP("PCS-OzTL51",ARBOR!$A:$C,3,0),6)),-TRUNC(EB17/VLOOKUP("PCS-OzTL51",ARBOR!$A:$C,3,0)-1,4)+0.0001,-TRUNC(EB17/VLOOKUP("PCS-OzTL51",ARBOR!$A:$C,3,0)-1,4)))))</f>
        <v/>
      </c>
      <c r="ED17" s="28"/>
      <c r="EE17" s="8"/>
      <c r="EF17" s="181" t="str">
        <f>IF(EE17=0,"",IF(EE17=VLOOKUP("PCS-OzTL52",ARBOR!$A:$C,3,0),0.0001,IF(EE17&gt;VLOOKUP("PCS-OzTL52",ARBOR!$A:$C,3,0),"Maior que CAP!",IF((DOLLAR(EE17+(VLOOKUP("PCS-OzTL52",ARBOR!$A:$C,3,0)*-TRUNC(EE17/VLOOKUP("PCS-OzTL52",ARBOR!$A:$C,3,0)-1,4)),6))&lt;&gt;(DOLLAR(VLOOKUP("PCS-OzTL52",ARBOR!$A:$C,3,0),6)),-TRUNC(EE17/VLOOKUP("PCS-OzTL52",ARBOR!$A:$C,3,0)-1,4)+0.0001,-TRUNC(EE17/VLOOKUP("PCS-OzTL52",ARBOR!$A:$C,3,0)-1,4)))))</f>
        <v/>
      </c>
      <c r="EG17" s="28"/>
      <c r="EH17" s="8"/>
      <c r="EI17" s="181" t="str">
        <f>IF(EH17=0,"",IF(EH17=VLOOKUP("PCS-OzTL53",ARBOR!$A:$C,3,0),0.0001,IF(EH17&gt;VLOOKUP("PCS-OzTL53",ARBOR!$A:$C,3,0),"Maior que CAP!",IF((DOLLAR(EH17+(VLOOKUP("PCS-OzTL53",ARBOR!$A:$C,3,0)*-TRUNC(EH17/VLOOKUP("PCS-OzTL53",ARBOR!$A:$C,3,0)-1,4)),6))&lt;&gt;(DOLLAR(VLOOKUP("PCS-OzTL53",ARBOR!$A:$C,3,0),6)),-TRUNC(EH17/VLOOKUP("PCS-OzTL53",ARBOR!$A:$C,3,0)-1,4)+0.0001,-TRUNC(EH17/VLOOKUP("PCS-OzTL53",ARBOR!$A:$C,3,0)-1,4)))))</f>
        <v/>
      </c>
      <c r="EJ17" s="28"/>
      <c r="EK17" s="8"/>
      <c r="EL17" s="181" t="str">
        <f>IF(EK17=0,"",IF(EK17=VLOOKUP("PCS-OzTL54",ARBOR!$A:$C,3,0),0.0001,IF(EK17&gt;VLOOKUP("PCS-OzTL54",ARBOR!$A:$C,3,0),"Maior que CAP!",IF((DOLLAR(EK17+(VLOOKUP("PCS-OzTL54",ARBOR!$A:$C,3,0)*-TRUNC(EK17/VLOOKUP("PCS-OzTL54",ARBOR!$A:$C,3,0)-1,4)),6))&lt;&gt;(DOLLAR(VLOOKUP("PCS-OzTL54",ARBOR!$A:$C,3,0),6)),-TRUNC(EK17/VLOOKUP("PCS-OzTL54",ARBOR!$A:$C,3,0)-1,4)+0.0001,-TRUNC(EK17/VLOOKUP("PCS-OzTL54",ARBOR!$A:$C,3,0)-1,4)))))</f>
        <v/>
      </c>
      <c r="EM17" s="28"/>
      <c r="EN17" s="8"/>
      <c r="EO17" s="3" t="str">
        <f>IF(EN17=0,"",IF(EN17=VLOOKUP("PCS-OzTL99",ARBOR!$A:$C,3,0),0.0001,IF(EN17&gt;VLOOKUP("PCS-OzTL99",ARBOR!$A:$C,3,0),"Maior que CAP!",IF((DOLLAR(EN17+(VLOOKUP("PCS-OzTL99",ARBOR!$A:$C,3,0)*-TRUNC(EN17/VLOOKUP("PCS-OzTL99",ARBOR!$A:$C,3,0)-1,4)),6))&lt;&gt;(DOLLAR(VLOOKUP("PCS-OzTL99",ARBOR!$A:$C,3,0),6)),-TRUNC(EN17/VLOOKUP("PCS-OzTL99",ARBOR!$A:$C,3,0)-1,4)+0.0001,-TRUNC(EN17/VLOOKUP("PCS-OzTL99",ARBOR!$A:$C,3,0)-1,4)))))</f>
        <v/>
      </c>
      <c r="EP17" s="28" t="str">
        <f>IF(EO17="S/Desc","S/Desc",IF(ISERROR(IF(EO17="","",VLOOKUP(($BC17&amp;EO17&amp;"Template desconto % Ponto adicional nível conta"),BENEFICIOS!$A:$G,5,0))),"Criar",IF(EO17="","",VLOOKUP(($BC17&amp;EO17&amp;"Template desconto % Ponto adicional nível conta"),BENEFICIOS!$A:$G,5,0))))</f>
        <v/>
      </c>
      <c r="EQ17" s="8"/>
      <c r="ER17" s="28" t="str">
        <f t="shared" si="1"/>
        <v/>
      </c>
      <c r="ES17" s="62"/>
      <c r="ET17" s="126"/>
      <c r="EU17" s="127"/>
      <c r="EV17" s="126"/>
      <c r="EW17" s="128" t="str">
        <f t="shared" si="2"/>
        <v/>
      </c>
      <c r="EX17" s="129" t="str">
        <f t="shared" si="3"/>
        <v/>
      </c>
      <c r="EY17" s="91" t="str">
        <f t="shared" si="4"/>
        <v/>
      </c>
      <c r="EZ17" s="85"/>
      <c r="FA17" s="97"/>
      <c r="FB17" s="91"/>
      <c r="FC17" s="85"/>
      <c r="FD17" s="97"/>
      <c r="FE17" s="91"/>
      <c r="FF17" s="87"/>
      <c r="FG17" s="144" t="str">
        <f t="shared" si="5"/>
        <v/>
      </c>
      <c r="FH17" s="144" t="str">
        <f t="shared" si="6"/>
        <v/>
      </c>
      <c r="FI17" s="144" t="str">
        <f t="shared" si="7"/>
        <v/>
      </c>
      <c r="FJ17" s="144" t="str">
        <f t="shared" si="8"/>
        <v/>
      </c>
      <c r="FK17" s="144" t="str">
        <f t="shared" si="9"/>
        <v/>
      </c>
      <c r="FL17" s="144" t="str">
        <f t="shared" si="10"/>
        <v/>
      </c>
      <c r="FM17" s="144" t="str">
        <f t="shared" si="11"/>
        <v/>
      </c>
      <c r="FN17" s="144" t="str">
        <f t="shared" si="12"/>
        <v/>
      </c>
      <c r="FO17" s="144" t="str">
        <f t="shared" si="13"/>
        <v/>
      </c>
      <c r="FP17" s="144" t="str">
        <f t="shared" si="14"/>
        <v/>
      </c>
      <c r="FQ17" s="144" t="str">
        <f t="shared" si="15"/>
        <v/>
      </c>
      <c r="FR17" s="144" t="str">
        <f t="shared" si="16"/>
        <v/>
      </c>
      <c r="FS17" s="144" t="str">
        <f t="shared" si="17"/>
        <v/>
      </c>
      <c r="FT17" s="144" t="str">
        <f t="shared" si="18"/>
        <v/>
      </c>
      <c r="FU17" s="144" t="str">
        <f t="shared" si="19"/>
        <v/>
      </c>
      <c r="FV17" s="144" t="str">
        <f t="shared" si="20"/>
        <v/>
      </c>
      <c r="FW17" s="144" t="str">
        <f t="shared" si="21"/>
        <v/>
      </c>
      <c r="FX17" s="151"/>
      <c r="FY17" s="152"/>
      <c r="FZ17" s="152"/>
      <c r="GA17" s="152"/>
      <c r="GB17" s="152"/>
      <c r="GC17" s="152"/>
      <c r="GD17" s="152"/>
      <c r="GE17" s="152"/>
      <c r="GF17" s="152"/>
      <c r="GG17" s="153"/>
    </row>
    <row r="18" spans="1:189">
      <c r="A18" s="45"/>
      <c r="B18" s="133"/>
      <c r="C18" s="133"/>
      <c r="D18" s="46"/>
      <c r="E18" s="47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9"/>
      <c r="U18" s="48"/>
      <c r="V18" s="49"/>
      <c r="W18" s="48"/>
      <c r="X18" s="48"/>
      <c r="Y18" s="48"/>
      <c r="Z18" s="48"/>
      <c r="AA18" s="49"/>
      <c r="AB18" s="48"/>
      <c r="AC18" s="50"/>
      <c r="AD18" s="48"/>
      <c r="AE18" s="48"/>
      <c r="AF18" s="48"/>
      <c r="AG18" s="48"/>
      <c r="AH18" s="48"/>
      <c r="AI18" s="48"/>
      <c r="AJ18" s="48"/>
      <c r="AK18" s="48"/>
      <c r="AL18" s="51"/>
      <c r="AM18" s="37"/>
      <c r="AN18" s="38"/>
      <c r="AO18" s="39"/>
      <c r="AP18" s="52"/>
      <c r="AQ18" s="53"/>
      <c r="AR18" s="64"/>
      <c r="AS18" s="65"/>
      <c r="AT18" s="54"/>
      <c r="AU18" s="54"/>
      <c r="AV18" s="54"/>
      <c r="AW18" s="54"/>
      <c r="AX18" s="70"/>
      <c r="AY18" s="71"/>
      <c r="AZ18" s="72"/>
      <c r="BA18" s="73"/>
      <c r="BB18" s="55"/>
      <c r="BC18" s="56"/>
      <c r="BD18" s="27" t="str">
        <f t="shared" ref="BD18:BD81" si="22">IF(BC18="Oi Total Fixo +  TV 1","CFG-2Plowpi",IF(BC18="Oi Total Fixo +  TV 2","PCS-2PMepi",IF(BC18="Oi Total Fixo +  TV 3","PCS-2PHipi","")))</f>
        <v/>
      </c>
      <c r="BE18" s="58"/>
      <c r="BF18" s="3" t="str">
        <f>IF(BE18=0,"",IF(BE18=VLOOKUP("FIXO",ARBOR!$A:$C,3,0),0.0001,IF(BE18&gt;VLOOKUP("FIXO",ARBOR!$A:$C,3,0),"Maior que CAP!",IF((DOLLAR(BE18+(VLOOKUP("FIXO",ARBOR!$A:$C,3,0)*-TRUNC(BE18/VLOOKUP("FIXO",ARBOR!$A:$C,3,0)-1,4)),6))&lt;&gt;(DOLLAR(VLOOKUP("FIXO",ARBOR!$A:$C,3,0),6)),-TRUNC(BE18/VLOOKUP("FIXO",ARBOR!$A:$C,3,0)-1,4)+0.0001,-TRUNC(BE18/VLOOKUP("FIXO",ARBOR!$A:$C,3,0)-1,4)))))</f>
        <v/>
      </c>
      <c r="BG18" s="10" t="str">
        <f>IF(ISERROR(IF(BF18="","",VLOOKUP(($BC18&amp;BF18&amp;"Template de desconto FLAT bundle - Fixo - Varejo - Ganho Tributário Cross"),BENEFICIOS!$A:$G,5,0))),"Criar",IF(BF18="","",VLOOKUP(($BC18&amp;BF18&amp;"Template de desconto FLAT bundle - Fixo - Varejo - Ganho Tributário Cross"),BENEFICIOS!$A:$G,5,0)))</f>
        <v/>
      </c>
      <c r="BH18" s="8"/>
      <c r="BI18" s="3" t="str">
        <f>IF(BH18=0,"",IF(BH18=VLOOKUP("PCS-OzTL40",ARBOR!$A:$C,3,0),0.0001,IF(BH18&gt;VLOOKUP("PCS-OzTL40",ARBOR!$A:$C,3,0),"Maior que CAP!",IF((DOLLAR(BH18+(VLOOKUP("PCS-OzTL40",ARBOR!$A:$C,3,0)*-TRUNC(BH18/VLOOKUP("PCS-OzTL40",ARBOR!$A:$C,3,0)-1,4)),6))&lt;&gt;(DOLLAR(VLOOKUP("PCS-OzTL40",ARBOR!$A:$C,3,0),6)),-TRUNC(BH18/VLOOKUP("PCS-OzTL40",ARBOR!$A:$C,3,0)-1,4)+0.0001,-TRUNC(BH18/VLOOKUP("PCS-OzTL40",ARBOR!$A:$C,3,0)-1,4)))))</f>
        <v/>
      </c>
      <c r="BJ18" s="10" t="str">
        <f>IF(ISERROR(IF(BI18="","",VLOOKUP((BC18&amp;BI18&amp;"Template desconto FLAT Plano Principal Oi TV nível conta"),BENEFICIOS!$A:$G,5,0))),"Criar",IF(BI18="","",VLOOKUP((BC18&amp;BI18&amp;"Template desconto FLAT Plano Principal Oi TV nível conta"),BENEFICIOS!$A:$G,5,0)))</f>
        <v/>
      </c>
      <c r="BK18" s="8"/>
      <c r="BL18" s="3" t="str">
        <f>IF(BK18=0,"",IF(BK18=VLOOKUP("PCS-OzTL41",ARBOR!$A:$C,3,0),0.0001,IF(BK18&gt;VLOOKUP("PCS-OzTL41",ARBOR!$A:$C,3,0),"Maior que CAP!",IF((DOLLAR(BK18+(VLOOKUP("PCS-OzTL41",ARBOR!$A:$C,3,0)*-TRUNC(BK18/VLOOKUP("PCS-OzTL41",ARBOR!$A:$C,3,0)-1,4)),6))&lt;&gt;(DOLLAR(VLOOKUP("PCS-OzTL41",ARBOR!$A:$C,3,0),6)),-TRUNC(BK18/VLOOKUP("PCS-OzTL41",ARBOR!$A:$C,3,0)-1,4)+0.0001,-TRUNC(BK18/VLOOKUP("PCS-OzTL41",ARBOR!$A:$C,3,0)-1,4)))))</f>
        <v/>
      </c>
      <c r="BM18" s="28" t="str">
        <f>IF(ISERROR(IF(BL18="","",VLOOKUP((BC18&amp;BL18&amp;"Template desconto FLAT Plano Principal Oi TV nível conta"),BENEFICIOS!$A:$G,5,0))),"Criar",IF(BL18="","",VLOOKUP((BC18&amp;BL18&amp;"Template desconto FLAT Plano Principal Oi TV nível conta"),BENEFICIOS!$A:$G,5,0)))</f>
        <v/>
      </c>
      <c r="BN18" s="8"/>
      <c r="BO18" s="3" t="str">
        <f>IF(BN18=0,"",IF(BN18=VLOOKUP("PCS-OzTL44",ARBOR!$A:$C,3,0),0.0001,IF(BN18&gt;VLOOKUP("PCS-OzTL44",ARBOR!$A:$C,3,0),"Maior que CAP!",IF((DOLLAR(BN18+(VLOOKUP("PCS-OzTL44",ARBOR!$A:$C,3,0)*-TRUNC(BN18/VLOOKUP("PCS-OzTL44",ARBOR!$A:$C,3,0)-1,4)),6))&lt;&gt;(DOLLAR(VLOOKUP("PCS-OzTL44",ARBOR!$A:$C,3,0),6)),-TRUNC(BN18/VLOOKUP("PCS-OzTL44",ARBOR!$A:$C,3,0)-1,4)+0.0001,-TRUNC(BN18/VLOOKUP("PCS-OzTL44",ARBOR!$A:$C,3,0)-1,4)))))</f>
        <v/>
      </c>
      <c r="BP18" s="28" t="str">
        <f>IF(ISERROR(IF(BO18="","",VLOOKUP((BC18&amp;BO18&amp;"Template desconto FLAT Plano Principal Oi TV nível conta"),BENEFICIOS!$A:$G,5,0))),"Criar",IF(BO18="","",VLOOKUP((BC18&amp;BO18&amp;"Template desconto FLAT Plano Principal Oi TV nível conta"),BENEFICIOS!$A:$G,5,0)))</f>
        <v/>
      </c>
      <c r="BQ18" s="8"/>
      <c r="BR18" s="3" t="str">
        <f>IF(BQ18=0,"",IF(BQ18=VLOOKUP("PCS-OzTL43",ARBOR!$A:$C,3,0),0.0001,IF(BQ18&gt;VLOOKUP("PCS-OzTL43",ARBOR!$A:$C,3,0),"Maior que CAP!",IF((DOLLAR(BQ18+(VLOOKUP("PCS-OzTL43",ARBOR!$A:$C,3,0)*-TRUNC(BQ18/VLOOKUP("PCS-OzTL43",ARBOR!$A:$C,3,0)-1,4)),6))&lt;&gt;(DOLLAR(VLOOKUP("PCS-OzTL43",ARBOR!$A:$C,3,0),6)),-TRUNC(BQ18/VLOOKUP("PCS-OzTL43",ARBOR!$A:$C,3,0)-1,4)+0.0001,-TRUNC(BQ18/VLOOKUP("PCS-OzTL43",ARBOR!$A:$C,3,0)-1,4)))))</f>
        <v/>
      </c>
      <c r="BS18" s="28" t="str">
        <f>IF(ISERROR(IF(BR18="","",VLOOKUP((BC18&amp;BR18&amp;"Template desconto FLAT Plano Principal Oi TV nível conta"),BENEFICIOS!$A:$G,5,0))),"Criar",IF(BR18="","",VLOOKUP((BC18&amp;BR18&amp;"Template desconto FLAT Plano Principal Oi TV nível conta"),BENEFICIOS!$A:$G,5,0)))</f>
        <v/>
      </c>
      <c r="BT18" s="8"/>
      <c r="BU18" s="3" t="str">
        <f>IF(BT18=0,"",IF(BT18=VLOOKUP("PCS-OzTL45",ARBOR!$A:$C,3,0),0.0001,IF(BT18&gt;VLOOKUP("PCS-OzTL45",ARBOR!$A:$C,3,0),"Maior que CAP!",IF((DOLLAR(BT18+(VLOOKUP("PCS-OzTL45",ARBOR!$A:$C,3,0)*-TRUNC(BT18/VLOOKUP("PCS-OzTL45",ARBOR!$A:$C,3,0)-1,4)),6))&lt;&gt;(DOLLAR(VLOOKUP("PCS-OzTL45",ARBOR!$A:$C,3,0),6)),-TRUNC(BT18/VLOOKUP("PCS-OzTL45",ARBOR!$A:$C,3,0)-1,4)+0.0001,-TRUNC(BT18/VLOOKUP("PCS-OzTL45",ARBOR!$A:$C,3,0)-1,4)))))</f>
        <v/>
      </c>
      <c r="BV18" s="28" t="str">
        <f>IF(ISERROR(IF(BU18="","",VLOOKUP((BC18&amp;BU18&amp;"Template desconto FLAT Plano Principal Oi TV nível conta"),BENEFICIOS!$A:$G,5,0))),"Criar",IF(BU18="","",VLOOKUP((BC18&amp;BU18&amp;"Template desconto FLAT Plano Principal Oi TV nível conta"),BENEFICIOS!$A:$G,5,0)))</f>
        <v/>
      </c>
      <c r="BW18" s="8"/>
      <c r="BX18" s="3" t="str">
        <f>IF(BW18=0,"",IF(BW18=VLOOKUP("PCS-OzTL741",ARBOR!$A:$C,3,0),0.0001,IF(BW18&gt;VLOOKUP("PCS-OzTL741",ARBOR!$A:$C,3,0),"Maior que CAP!",IF((DOLLAR(BW18+(VLOOKUP("PCS-OzTL741",ARBOR!$A:$C,3,0)*-TRUNC(BW18/VLOOKUP("PCS-OzTL741",ARBOR!$A:$C,3,0)-1,4)),6))&lt;&gt;(DOLLAR(VLOOKUP("PCS-OzTL741",ARBOR!$A:$C,3,0),6)),-TRUNC(BW18/VLOOKUP("PCS-OzTL741",ARBOR!$A:$C,3,0)-1,4)+0.0001,-TRUNC(BW18/VLOOKUP("PCS-OzTL741",ARBOR!$A:$C,3,0)-1,4)))))</f>
        <v/>
      </c>
      <c r="BY18" s="28" t="str">
        <f>IF(ISERROR(IF(BX18="","",VLOOKUP((BC18&amp;BX18&amp;"Template desconto FLAT Plano Principal Oi TV nível conta"),BENEFICIOS!$A:$G,5,0))),"Criar",IF(BX18="","",VLOOKUP((BC18&amp;BX18&amp;"Template desconto FLAT Plano Principal Oi TV nível conta"),BENEFICIOS!$A:$G,5,0)))</f>
        <v/>
      </c>
      <c r="BZ18" s="8"/>
      <c r="CA18" s="3" t="str">
        <f>IF(BZ18=0,"",IF(BZ18=VLOOKUP("PCS-OzTL744",ARBOR!$A:$C,3,0),0.0001,IF(BZ18&gt;VLOOKUP("PCS-OzTL744",ARBOR!$A:$C,3,0),"Maior que CAP!",IF((DOLLAR(BZ18+(VLOOKUP("PCS-OzTL744",ARBOR!$A:$C,3,0)*-TRUNC(BZ18/VLOOKUP("PCS-OzTL744",ARBOR!$A:$C,3,0)-1,4)),6))&lt;&gt;(DOLLAR(VLOOKUP("PCS-OzTL744",ARBOR!$A:$C,3,0),6)),-TRUNC(BZ18/VLOOKUP("PCS-OzTL744",ARBOR!$A:$C,3,0)-1,4)+0.0001,-TRUNC(BZ18/VLOOKUP("PCS-OzTL744",ARBOR!$A:$C,3,0)-1,4)))))</f>
        <v/>
      </c>
      <c r="CB18" s="28" t="str">
        <f>IF(ISERROR(IF(CA18="","",VLOOKUP(($BC18&amp;CA18&amp;"Template desconto FLAT Plano Principal Oi TV nível conta"),BENEFICIOS!$A:$G,5,0))),"Criar",IF(CA18="","",VLOOKUP(($BC18&amp;CA18&amp;"Template desconto FLAT Plano Principal Oi TV nível conta"),BENEFICIOS!$A:$G,5,0)))</f>
        <v/>
      </c>
      <c r="CC18" s="8"/>
      <c r="CD18" s="3" t="str">
        <f>IF(CC18=0,"",IF(CC18=VLOOKUP("PCS-OzTL743",ARBOR!$A:$C,3,0),0.0001,IF(CC18&gt;VLOOKUP("PCS-OzTL743",ARBOR!$A:$C,3,0),"Maior que CAP!",IF((DOLLAR(CC18+(VLOOKUP("PCS-OzTL743",ARBOR!$A:$C,3,0)*-TRUNC(CC18/VLOOKUP("PCS-OzTL743",ARBOR!$A:$C,3,0)-1,4)),6))&lt;&gt;(DOLLAR(VLOOKUP("PCS-OzTL743",ARBOR!$A:$C,3,0),6)),-TRUNC(CC18/VLOOKUP("PCS-OzTL743",ARBOR!$A:$C,3,0)-1,4)+0.0001,-TRUNC(CC18/VLOOKUP("PCS-OzTL743",ARBOR!$A:$C,3,0)-1,4)))))</f>
        <v/>
      </c>
      <c r="CE18" s="28" t="str">
        <f>IF(ISERROR(IF(CD18="","",VLOOKUP(($BC18&amp;CD18&amp;"Template desconto FLAT Plano Principal Oi TV nível conta"),BENEFICIOS!$A:$G,5,0))),"Criar",IF(CD18="","",VLOOKUP(($BC18&amp;CD18&amp;"Template desconto FLAT Plano Principal Oi TV nível conta"),BENEFICIOS!$A:$G,5,0)))</f>
        <v/>
      </c>
      <c r="CF18" s="8"/>
      <c r="CG18" s="3" t="str">
        <f>IF(CF18=0,"",IF(CF18=VLOOKUP("PCS-OzTL745",ARBOR!$A:$C,3,0),0.0001,IF(CF18&gt;VLOOKUP("PCS-OzTL745",ARBOR!$A:$C,3,0),"Maior que CAP!",IF((DOLLAR(CF18+(VLOOKUP("PCS-OzTL745",ARBOR!$A:$C,3,0)*-TRUNC(CF18/VLOOKUP("PCS-OzTL745",ARBOR!$A:$C,3,0)-1,4)),6))&lt;&gt;(DOLLAR(VLOOKUP("PCS-OzTL745",ARBOR!$A:$C,3,0),6)),-TRUNC(CF18/VLOOKUP("PCS-OzTL745",ARBOR!$A:$C,3,0)-1,4)+0.0001,-TRUNC(CF18/VLOOKUP("PCS-OzTL745",ARBOR!$A:$C,3,0)-1,4)))))</f>
        <v/>
      </c>
      <c r="CH18" s="28" t="str">
        <f>IF(ISERROR(IF(CG18="","",VLOOKUP(($BC18&amp;CG18&amp;"Template desconto FLAT Plano Principal Oi TV nível conta"),BENEFICIOS!$A:$G,5,0))),"Criar",IF(CG18="","",VLOOKUP(($BC18&amp;CG18&amp;"Template desconto FLAT Plano Principal Oi TV nível conta"),BENEFICIOS!$A:$G,5,0)))</f>
        <v/>
      </c>
      <c r="CI18" s="8"/>
      <c r="CJ18" s="3" t="str">
        <f>IF(CI18=0,"",IF(CI18=VLOOKUP("PCS-OzTL42",ARBOR!$A:$C,3,0),0.0001,IF(CI18&gt;VLOOKUP("PCS-OzTL42",ARBOR!$A:$C,3,0),"Maior que CAP!",IF((DOLLAR(CI18+(VLOOKUP("PCS-OzTL42",ARBOR!$A:$C,3,0)*-TRUNC(CI18/VLOOKUP("PCS-OzTL42",ARBOR!$A:$C,3,0)-1,4)),6))&lt;&gt;(DOLLAR(VLOOKUP("PCS-OzTL42",ARBOR!$A:$C,3,0),6)),-TRUNC(CI18/VLOOKUP("PCS-OzTL42",ARBOR!$A:$C,3,0)-1,4)+0.0001,-TRUNC(CI18/VLOOKUP("PCS-OzTL42",ARBOR!$A:$C,3,0)-1,4)))))</f>
        <v/>
      </c>
      <c r="CK18" s="28" t="str">
        <f>IF(ISERROR(IF(CJ18="","",VLOOKUP(($BC18&amp;CJ18&amp;"Template desconto FLAT Plano Principal Oi TV nível conta"),BENEFICIOS!$A:$G,5,0))),"Criar",IF(CJ18="","",VLOOKUP(($BC18&amp;CJ18&amp;"Template desconto FLAT Plano Principal Oi TV nível conta"),BENEFICIOS!$A:$G,5,0)))</f>
        <v/>
      </c>
      <c r="CL18" s="8"/>
      <c r="CM18" s="3" t="str">
        <f>IF(CL18=0,"",IF(CL18=VLOOKUP("PCS-OzTL47",ARBOR!$A:$C,3,0),0.0001,IF(CL18&gt;VLOOKUP("PCS-OzTL47",ARBOR!$A:$C,3,0),"Maior que CAP!",IF((DOLLAR(CL18+(VLOOKUP("PCS-OzTL47",ARBOR!$A:$C,3,0)*-TRUNC(CL18/VLOOKUP("PCS-OzTL47",ARBOR!$A:$C,3,0)-1,4)),6))&lt;&gt;(DOLLAR(VLOOKUP("PCS-OzTL47",ARBOR!$A:$C,3,0),6)),-TRUNC(CL18/VLOOKUP("PCS-OzTL47",ARBOR!$A:$C,3,0)-1,4)+0.0001,-TRUNC(CL18/VLOOKUP("PCS-OzTL47",ARBOR!$A:$C,3,0)-1,4)))))</f>
        <v/>
      </c>
      <c r="CN18" s="28" t="str">
        <f>IF(ISERROR(IF(CM18="","",VLOOKUP(($BC18&amp;CM18&amp;"Template desconto FLAT Plano Principal Oi TV nível conta"),BENEFICIOS!$A:$G,5,0))),"Criar",IF(CM18="","",VLOOKUP(($BC18&amp;CM18&amp;"Template desconto FLAT Plano Principal Oi TV nível conta"),BENEFICIOS!$A:$G,5,0)))</f>
        <v/>
      </c>
      <c r="CO18" s="8"/>
      <c r="CP18" s="3" t="str">
        <f>IF(CO18=0,"",IF(CO18=VLOOKUP("PCS-OzTL46",ARBOR!$A:$C,3,0),0.0001,IF(CO18&gt;VLOOKUP("PCS-OzTL46",ARBOR!$A:$C,3,0),"Maior que CAP!",IF((DOLLAR(CO18+(VLOOKUP("PCS-OzTL46",ARBOR!$A:$C,3,0)*-TRUNC(CO18/VLOOKUP("PCS-OzTL46",ARBOR!$A:$C,3,0)-1,4)),6))&lt;&gt;(DOLLAR(VLOOKUP("PCS-OzTL46",ARBOR!$A:$C,3,0),6)),-TRUNC(CO18/VLOOKUP("PCS-OzTL46",ARBOR!$A:$C,3,0)-1,4)+0.0001,-TRUNC(CO18/VLOOKUP("PCS-OzTL46",ARBOR!$A:$C,3,0)-1,4)))))</f>
        <v/>
      </c>
      <c r="CQ18" s="28" t="str">
        <f>IF(ISERROR(IF(CP18="","",VLOOKUP(($BC18&amp;CP18&amp;"Template desconto FLAT Plano Principal Oi TV nível conta"),BENEFICIOS!$A:$G,5,0))),"Criar",IF(CP18="","",VLOOKUP(($BC18&amp;CP18&amp;"Template desconto FLAT Plano Principal Oi TV nível conta"),BENEFICIOS!$A:$G,5,0)))</f>
        <v/>
      </c>
      <c r="CR18" s="8"/>
      <c r="CS18" s="3" t="str">
        <f>IF(CR18=0,"",IF(CR18=VLOOKUP("PCS-OzTL48",ARBOR!$A:$C,3,0),0.0001,IF(CR18&gt;VLOOKUP("PCS-OzTL48",ARBOR!$A:$C,3,0),"Maior que CAP!",IF((DOLLAR(CR18+(VLOOKUP("PCS-OzTL48",ARBOR!$A:$C,3,0)*-TRUNC(CR18/VLOOKUP("PCS-OzTL48",ARBOR!$A:$C,3,0)-1,4)),6))&lt;&gt;(DOLLAR(VLOOKUP("PCS-OzTL48",ARBOR!$A:$C,3,0),6)),-TRUNC(CR18/VLOOKUP("PCS-OzTL48",ARBOR!$A:$C,3,0)-1,4)+0.0001,-TRUNC(CR18/VLOOKUP("PCS-OzTL48",ARBOR!$A:$C,3,0)-1,4)))))</f>
        <v/>
      </c>
      <c r="CT18" s="28" t="str">
        <f>IF(ISERROR(IF(CS18="","",VLOOKUP(($BC18&amp;CS18&amp;"Template desconto FLAT Plano Principal Oi TV nível conta"),BENEFICIOS!$A:$G,5,0))),"Criar",IF(CS18="","",VLOOKUP(($BC18&amp;CS18&amp;"Template desconto FLAT Plano Principal Oi TV nível conta"),BENEFICIOS!$A:$G,5,0)))</f>
        <v/>
      </c>
      <c r="CU18" s="8"/>
      <c r="CV18" s="3" t="str">
        <f>IF(CU18=0,"",IF(CU18=VLOOKUP("PCS-OzTL742",ARBOR!$A:$C,3,0),0.0001,IF(CU18&gt;VLOOKUP("PCS-OzTL742",ARBOR!$A:$C,3,0),"Maior que CAP!",IF((DOLLAR(CU18+(VLOOKUP("PCS-OzTL742",ARBOR!$A:$C,3,0)*-TRUNC(CU18/VLOOKUP("PCS-OzTL742",ARBOR!$A:$C,3,0)-1,4)),6))&lt;&gt;(DOLLAR(VLOOKUP("PCS-OzTL742",ARBOR!$A:$C,3,0),6)),-TRUNC(CU18/VLOOKUP("PCS-OzTL742",ARBOR!$A:$C,3,0)-1,4)+0.0001,-TRUNC(CU18/VLOOKUP("PCS-OzTL742",ARBOR!$A:$C,3,0)-1,4)))))</f>
        <v/>
      </c>
      <c r="CW18" s="28" t="str">
        <f>IF(ISERROR(IF(CV18="","",VLOOKUP(($BC18&amp;CV18&amp;"Template desconto FLAT Plano Principal Oi TV nível conta"),BENEFICIOS!$A:$G,5,0))),"Criar",IF(CV18="","",VLOOKUP(($BC18&amp;CV18&amp;"Template desconto FLAT Plano Principal Oi TV nível conta"),BENEFICIOS!$A:$G,5,0)))</f>
        <v/>
      </c>
      <c r="CX18" s="8"/>
      <c r="CY18" s="3" t="str">
        <f>IF(CX18=0,"",IF(CX18=VLOOKUP("PCS-OzTL747",ARBOR!$A:$C,3,0),0.0001,IF(CX18&gt;VLOOKUP("PCS-OzTL747",ARBOR!$A:$C,3,0),"Maior que CAP!",IF((DOLLAR(CX18+(VLOOKUP("PCS-OzTL747",ARBOR!$A:$C,3,0)*-TRUNC(CX18/VLOOKUP("PCS-OzTL747",ARBOR!$A:$C,3,0)-1,4)),6))&lt;&gt;(DOLLAR(VLOOKUP("PCS-OzTL747",ARBOR!$A:$C,3,0),6)),-TRUNC(CX18/VLOOKUP("PCS-OzTL747",ARBOR!$A:$C,3,0)-1,4)+0.0001,-TRUNC(CX18/VLOOKUP("PCS-OzTL747",ARBOR!$A:$C,3,0)-1,4)))))</f>
        <v/>
      </c>
      <c r="CZ18" s="28" t="str">
        <f>IF(ISERROR(IF(CY18="","",VLOOKUP(($BC18&amp;CY18&amp;"Template desconto FLAT Plano Principal Oi TV nível conta"),BENEFICIOS!$A:$G,5,0))),"Criar",IF(CY18="","",VLOOKUP(($BC18&amp;CY18&amp;"Template desconto FLAT Plano Principal Oi TV nível conta"),BENEFICIOS!$A:$G,5,0)))</f>
        <v/>
      </c>
      <c r="DA18" s="8"/>
      <c r="DB18" s="3" t="str">
        <f>IF(DA18=0,"",IF(DA18=VLOOKUP("PCS-OzTL746",ARBOR!$A:$C,3,0),0.0001,IF(DA18&gt;VLOOKUP("PCS-OzTL746",ARBOR!$A:$C,3,0),"Maior que CAP!",IF((DOLLAR(DA18+(VLOOKUP("PCS-OzTL746",ARBOR!$A:$C,3,0)*-TRUNC(DA18/VLOOKUP("PCS-OzTL746",ARBOR!$A:$C,3,0)-1,4)),6))&lt;&gt;(DOLLAR(VLOOKUP("PCS-OzTL746",ARBOR!$A:$C,3,0),6)),-TRUNC(DA18/VLOOKUP("PCS-OzTL746",ARBOR!$A:$C,3,0)-1,4)+0.0001,-TRUNC(DA18/VLOOKUP("PCS-OzTL746",ARBOR!$A:$C,3,0)-1,4)))))</f>
        <v/>
      </c>
      <c r="DC18" s="28" t="str">
        <f>IF(ISERROR(IF(DB18="","",VLOOKUP(($BC18&amp;DB18&amp;"Template desconto FLAT Plano Principal Oi TV nível conta"),BENEFICIOS!$A:$G,5,0))),"Criar",IF(DB18="","",VLOOKUP(($BC18&amp;DB18&amp;"Template desconto FLAT Plano Principal Oi TV nível conta"),BENEFICIOS!$A:$G,5,0)))</f>
        <v/>
      </c>
      <c r="DD18" s="8"/>
      <c r="DE18" s="3" t="str">
        <f>IF(DD18=0,"",IF(DD18=VLOOKUP("PCS-OzTL748",ARBOR!$A:$C,3,0),0.0001,IF(DD18&gt;VLOOKUP("PCS-OzTL748",ARBOR!$A:$C,3,0),"Maior que CAP!",IF((DOLLAR(DD18+(VLOOKUP("PCS-OzTL748",ARBOR!$A:$C,3,0)*-TRUNC(DD18/VLOOKUP("PCS-OzTL748",ARBOR!$A:$C,3,0)-1,4)),6))&lt;&gt;(DOLLAR(VLOOKUP("PCS-OzTL748",ARBOR!$A:$C,3,0),6)),-TRUNC(DD18/VLOOKUP("PCS-OzTL748",ARBOR!$A:$C,3,0)-1,4)+0.0001,-TRUNC(DD18/VLOOKUP("PCS-OzTL748",ARBOR!$A:$C,3,0)-1,4)))))</f>
        <v/>
      </c>
      <c r="DF18" s="28" t="str">
        <f>IF(ISERROR(IF(DE18="","",VLOOKUP(($BC18&amp;DE18&amp;"Template desconto FLAT Plano Principal Oi TV nível conta"),BENEFICIOS!$A:$G,5,0))),"Criar",IF(DE18="","",VLOOKUP(($BC18&amp;DE18&amp;"Template desconto FLAT Plano Principal Oi TV nível conta"),BENEFICIOS!$A:$G,5,0)))</f>
        <v/>
      </c>
      <c r="DG18" s="8"/>
      <c r="DH18" s="3" t="str">
        <f>IF(DG18=0,"",IF(DG18=VLOOKUP("PCS-OzTL34",ARBOR!$A:$C,3,0),0.0001,IF(DG18&gt;VLOOKUP("PCS-OzTL34",ARBOR!$A:$C,3,0),"Maior que CAP!",IF((DOLLAR(DG18+(VLOOKUP("PCS-OzTL34",ARBOR!$A:$C,3,0)*-TRUNC(DG18/VLOOKUP("PCS-OzTL34",ARBOR!$A:$C,3,0)-1,4)),6))&lt;&gt;(DOLLAR(VLOOKUP("PCS-OzTL34",ARBOR!$A:$C,3,0),6)),-TRUNC(DG18/VLOOKUP("PCS-OzTL34",ARBOR!$A:$C,3,0)-1,4)+0.0001,-TRUNC(DG18/VLOOKUP("PCS-OzTL34",ARBOR!$A:$C,3,0)-1,4)))))</f>
        <v/>
      </c>
      <c r="DI18" s="28" t="str">
        <f>IF(DH18="S/Desc","S/Desc",IF(ISERROR(IF(DH18="","",VLOOKUP(($BC18&amp;DH18&amp;"Template desconto % Combate nível conta"),BENEFICIOS!$A:$G,5,0))),"Criar",IF(DH18="","",VLOOKUP(($BC18&amp;DH18&amp;"Template desconto % Combate nível conta"),BENEFICIOS!$A:$G,5,0))))</f>
        <v/>
      </c>
      <c r="DJ18" s="8"/>
      <c r="DK18" s="3" t="str">
        <f>IF(DJ18=0,"",IF(DJ18=VLOOKUP("PCS-OzTL31",ARBOR!$A:$C,3,0),0.0001,IF(DJ18&gt;VLOOKUP("PCS-OzTL31",ARBOR!$A:$C,3,0),"Maior que CAP!",IF((DOLLAR(DJ18+(VLOOKUP("PCS-OzTL31",ARBOR!$A:$C,3,0)*-TRUNC(DJ18/VLOOKUP("PCS-OzTL31",ARBOR!$A:$C,3,0)-1,4)),6))&lt;&gt;(DOLLAR(VLOOKUP("PCS-OzTL31",ARBOR!$A:$C,3,0),6)),-TRUNC(DJ18/VLOOKUP("PCS-OzTL31",ARBOR!$A:$C,3,0)-1,4)+0.0001,-TRUNC(DJ18/VLOOKUP("PCS-OzTL31",ARBOR!$A:$C,3,0)-1,4)))))</f>
        <v/>
      </c>
      <c r="DL18" s="28" t="str">
        <f>IF(DK18="S/Desc","S/Desc",IF(ISERROR(IF(DK18="","",VLOOKUP(($BC18&amp;DK18&amp;"Template desconto % Sexy Hot nível conta"),BENEFICIOS!$A:$G,5,0))),"Criar",IF(DK18="","",VLOOKUP(($BC18&amp;DK18&amp;"Template desconto % Sexy Hot nível conta"),BENEFICIOS!$A:$G,5,0))))</f>
        <v/>
      </c>
      <c r="DM18" s="8"/>
      <c r="DN18" s="3" t="str">
        <f>IF(DM18=0,"",IF(DM18=VLOOKUP("PCS-OzTL32",ARBOR!$A:$C,3,0),0.0001,IF(DM18&gt;VLOOKUP("PCS-OzTL32",ARBOR!$A:$C,3,0),"Maior que CAP!",IF((DOLLAR(DM18+(VLOOKUP("PCS-OzTL32",ARBOR!$A:$C,3,0)*-TRUNC(DM18/VLOOKUP("PCS-OzTL32",ARBOR!$A:$C,3,0)-1,4)),6))&lt;&gt;(DOLLAR(VLOOKUP("PCS-OzTL32",ARBOR!$A:$C,3,0),6)),-TRUNC(DM18/VLOOKUP("PCS-OzTL32",ARBOR!$A:$C,3,0)-1,4)+0.0001,-TRUNC(DM18/VLOOKUP("PCS-OzTL32",ARBOR!$A:$C,3,0)-1,4)))))</f>
        <v/>
      </c>
      <c r="DO18" s="28" t="str">
        <f>IF(DN18="S/Desc","S/Desc",IF(ISERROR(IF(DN18="","",VLOOKUP(($BC18&amp;DN18&amp;"Template desconto % Playboy nível conta"),BENEFICIOS!$A:$G,5,0))),"Criar",IF(DN18="","",VLOOKUP(($BC18&amp;DN18&amp;"Template desconto % Playboy nível conta"),BENEFICIOS!$A:$G,5,0))))</f>
        <v/>
      </c>
      <c r="DP18" s="8"/>
      <c r="DQ18" s="3" t="str">
        <f>IF(DP18=0,"",IF(DP18=VLOOKUP("PCS-OzTL33",ARBOR!$A:$C,3,0),0.0001,IF(DP18&gt;VLOOKUP("PCS-OzTL33",ARBOR!$A:$C,3,0),"Maior que CAP!",IF((DOLLAR(DP18+(VLOOKUP("PCS-OzTL33",ARBOR!$A:$C,3,0)*-TRUNC(DP18/VLOOKUP("PCS-OzTL33",ARBOR!$A:$C,3,0)-1,4)),6))&lt;&gt;(DOLLAR(VLOOKUP("PCS-OzTL33",ARBOR!$A:$C,3,0),6)),-TRUNC(DP18/VLOOKUP("PCS-OzTL33",ARBOR!$A:$C,3,0)-1,4)+0.0001,-TRUNC(DP18/VLOOKUP("PCS-OzTL33",ARBOR!$A:$C,3,0)-1,4)))))</f>
        <v/>
      </c>
      <c r="DR18" s="28" t="str">
        <f>IF(DQ18="S/Desc","S/Desc",IF(ISERROR(IF(DQ18="","",VLOOKUP(($BC18&amp;DQ18&amp;"Template desconto % Sexy Hot + Playboy nível conta"),BENEFICIOS!$A:$G,5,0))),"Criar",IF(DQ18="","",VLOOKUP(($BC18&amp;DQ18&amp;"Template desconto % Sexy Hot + Playboy nível conta"),BENEFICIOS!$A:$G,5,0))))</f>
        <v/>
      </c>
      <c r="DS18" s="8"/>
      <c r="DT18" s="3" t="str">
        <f>IF(DS18=0,"",IF(DS18=VLOOKUP("PCS-OzTL503",ARBOR!$A:$C,3,0),0.0001,IF(DS18&gt;VLOOKUP("PCS-OzTL503",ARBOR!$A:$C,3,0),"Maior que CAP!",IF((DOLLAR(DS18+(VLOOKUP("PCS-OzTL503",ARBOR!$A:$C,3,0)*-TRUNC(DS18/VLOOKUP("PCS-OzTL503",ARBOR!$A:$C,3,0)-1,4)),6))&lt;&gt;(DOLLAR(VLOOKUP("PCS-OzTL503",ARBOR!$A:$C,3,0),6)),-TRUNC(DS18/VLOOKUP("PCS-OzTL503",ARBOR!$A:$C,3,0)-1,4)+0.0001,-TRUNC(DS18/VLOOKUP("PCS-OzTL503",ARBOR!$A:$C,3,0)-1,4)))))</f>
        <v/>
      </c>
      <c r="DU18" s="28" t="str">
        <f>IF(DT18="S/Desc","S/Desc",IF(ISERROR(IF(DT18="","",VLOOKUP(($BC18&amp;DT18&amp;"Template desconto % SexPrivê nível conta"),BENEFICIOS!$A:$G,5,0))),"Criar",IF(DT18="","",VLOOKUP(($BC18&amp;DT18&amp;"Template desconto % SexPrivê nível conta"),BENEFICIOS!$A:$G,5,0))))</f>
        <v/>
      </c>
      <c r="DV18" s="8"/>
      <c r="DW18" s="3" t="str">
        <f>IF(DV18=0,"",IF(DV18=VLOOKUP("PCS-OzTL500",ARBOR!$A:$C,3,0),0.0001,IF(DV18&gt;VLOOKUP("PCS-OzTL500",ARBOR!$A:$C,3,0),"Maior que CAP!",IF((DOLLAR(DV18+(VLOOKUP("PCS-OzTL500",ARBOR!$A:$C,3,0)*-TRUNC(DV18/VLOOKUP("PCS-OzTL500",ARBOR!$A:$C,3,0)-1,4)),6))&lt;&gt;(DOLLAR(VLOOKUP("PCS-OzTL500",ARBOR!$A:$C,3,0),6)),-TRUNC(DV18/VLOOKUP("PCS-OzTL500",ARBOR!$A:$C,3,0)-1,4)+0.0001,-TRUNC(DV18/VLOOKUP("PCS-OzTL500",ARBOR!$A:$C,3,0)-1,4)))))</f>
        <v/>
      </c>
      <c r="DX18" s="28" t="str">
        <f>IF(DW18="S/Desc","S/Desc",IF(ISERROR(IF(DW18="","",VLOOKUP(($BC18&amp;DW18&amp;"Template desconto % Étnico nível conta"),BENEFICIOS!$A:$G,5,0))),"Criar",IF(DW18="","",VLOOKUP(($BC18&amp;DW18&amp;"Template desconto % Étnico nível conta"),BENEFICIOS!$A:$G,5,0))))</f>
        <v/>
      </c>
      <c r="DY18" s="8"/>
      <c r="DZ18" s="181" t="str">
        <f>IF(DY18=0,"",IF(DY18=VLOOKUP("PCS-OzTL50",ARBOR!$A:$C,3,0),0.0001,IF(DY18&gt;VLOOKUP("PCS-OzTL50",ARBOR!$A:$C,3,0),"Maior que CAP!",IF((DOLLAR(DY18+(VLOOKUP("PCS-OzTL50",ARBOR!$A:$C,3,0)*-TRUNC(DY18/VLOOKUP("PCS-OzTL50",ARBOR!$A:$C,3,0)-1,4)),6))&lt;&gt;(DOLLAR(VLOOKUP("PCS-OzTL50",ARBOR!$A:$C,3,0),6)),-TRUNC(DY18/VLOOKUP("PCS-OzTL50",ARBOR!$A:$C,3,0)-1,4)+0.0001,-TRUNC(DY18/VLOOKUP("PCS-OzTL50",ARBOR!$A:$C,3,0)-1,4)))))</f>
        <v/>
      </c>
      <c r="EA18" s="28"/>
      <c r="EB18" s="8"/>
      <c r="EC18" s="181" t="str">
        <f>IF(EB18=0,"",IF(EB18=VLOOKUP("PCS-OzTL51",ARBOR!$A:$C,3,0),0.0001,IF(EB18&gt;VLOOKUP("PCS-OzTL51",ARBOR!$A:$C,3,0),"Maior que CAP!",IF((DOLLAR(EB18+(VLOOKUP("PCS-OzTL51",ARBOR!$A:$C,3,0)*-TRUNC(EB18/VLOOKUP("PCS-OzTL51",ARBOR!$A:$C,3,0)-1,4)),6))&lt;&gt;(DOLLAR(VLOOKUP("PCS-OzTL51",ARBOR!$A:$C,3,0),6)),-TRUNC(EB18/VLOOKUP("PCS-OzTL51",ARBOR!$A:$C,3,0)-1,4)+0.0001,-TRUNC(EB18/VLOOKUP("PCS-OzTL51",ARBOR!$A:$C,3,0)-1,4)))))</f>
        <v/>
      </c>
      <c r="ED18" s="28"/>
      <c r="EE18" s="8"/>
      <c r="EF18" s="181" t="str">
        <f>IF(EE18=0,"",IF(EE18=VLOOKUP("PCS-OzTL52",ARBOR!$A:$C,3,0),0.0001,IF(EE18&gt;VLOOKUP("PCS-OzTL52",ARBOR!$A:$C,3,0),"Maior que CAP!",IF((DOLLAR(EE18+(VLOOKUP("PCS-OzTL52",ARBOR!$A:$C,3,0)*-TRUNC(EE18/VLOOKUP("PCS-OzTL52",ARBOR!$A:$C,3,0)-1,4)),6))&lt;&gt;(DOLLAR(VLOOKUP("PCS-OzTL52",ARBOR!$A:$C,3,0),6)),-TRUNC(EE18/VLOOKUP("PCS-OzTL52",ARBOR!$A:$C,3,0)-1,4)+0.0001,-TRUNC(EE18/VLOOKUP("PCS-OzTL52",ARBOR!$A:$C,3,0)-1,4)))))</f>
        <v/>
      </c>
      <c r="EG18" s="28"/>
      <c r="EH18" s="8"/>
      <c r="EI18" s="181" t="str">
        <f>IF(EH18=0,"",IF(EH18=VLOOKUP("PCS-OzTL53",ARBOR!$A:$C,3,0),0.0001,IF(EH18&gt;VLOOKUP("PCS-OzTL53",ARBOR!$A:$C,3,0),"Maior que CAP!",IF((DOLLAR(EH18+(VLOOKUP("PCS-OzTL53",ARBOR!$A:$C,3,0)*-TRUNC(EH18/VLOOKUP("PCS-OzTL53",ARBOR!$A:$C,3,0)-1,4)),6))&lt;&gt;(DOLLAR(VLOOKUP("PCS-OzTL53",ARBOR!$A:$C,3,0),6)),-TRUNC(EH18/VLOOKUP("PCS-OzTL53",ARBOR!$A:$C,3,0)-1,4)+0.0001,-TRUNC(EH18/VLOOKUP("PCS-OzTL53",ARBOR!$A:$C,3,0)-1,4)))))</f>
        <v/>
      </c>
      <c r="EJ18" s="28"/>
      <c r="EK18" s="8"/>
      <c r="EL18" s="181" t="str">
        <f>IF(EK18=0,"",IF(EK18=VLOOKUP("PCS-OzTL54",ARBOR!$A:$C,3,0),0.0001,IF(EK18&gt;VLOOKUP("PCS-OzTL54",ARBOR!$A:$C,3,0),"Maior que CAP!",IF((DOLLAR(EK18+(VLOOKUP("PCS-OzTL54",ARBOR!$A:$C,3,0)*-TRUNC(EK18/VLOOKUP("PCS-OzTL54",ARBOR!$A:$C,3,0)-1,4)),6))&lt;&gt;(DOLLAR(VLOOKUP("PCS-OzTL54",ARBOR!$A:$C,3,0),6)),-TRUNC(EK18/VLOOKUP("PCS-OzTL54",ARBOR!$A:$C,3,0)-1,4)+0.0001,-TRUNC(EK18/VLOOKUP("PCS-OzTL54",ARBOR!$A:$C,3,0)-1,4)))))</f>
        <v/>
      </c>
      <c r="EM18" s="28"/>
      <c r="EN18" s="8"/>
      <c r="EO18" s="3" t="str">
        <f>IF(EN18=0,"",IF(EN18=VLOOKUP("PCS-OzTL99",ARBOR!$A:$C,3,0),0.0001,IF(EN18&gt;VLOOKUP("PCS-OzTL99",ARBOR!$A:$C,3,0),"Maior que CAP!",IF((DOLLAR(EN18+(VLOOKUP("PCS-OzTL99",ARBOR!$A:$C,3,0)*-TRUNC(EN18/VLOOKUP("PCS-OzTL99",ARBOR!$A:$C,3,0)-1,4)),6))&lt;&gt;(DOLLAR(VLOOKUP("PCS-OzTL99",ARBOR!$A:$C,3,0),6)),-TRUNC(EN18/VLOOKUP("PCS-OzTL99",ARBOR!$A:$C,3,0)-1,4)+0.0001,-TRUNC(EN18/VLOOKUP("PCS-OzTL99",ARBOR!$A:$C,3,0)-1,4)))))</f>
        <v/>
      </c>
      <c r="EP18" s="28" t="str">
        <f>IF(EO18="S/Desc","S/Desc",IF(ISERROR(IF(EO18="","",VLOOKUP(($BC18&amp;EO18&amp;"Template desconto % Ponto adicional nível conta"),BENEFICIOS!$A:$G,5,0))),"Criar",IF(EO18="","",VLOOKUP(($BC18&amp;EO18&amp;"Template desconto % Ponto adicional nível conta"),BENEFICIOS!$A:$G,5,0))))</f>
        <v/>
      </c>
      <c r="EQ18" s="8"/>
      <c r="ER18" s="28" t="str">
        <f t="shared" ref="ER18:ER81" si="23">IF(EQ18="Sim","PCS-34704","")</f>
        <v/>
      </c>
      <c r="ES18" s="62"/>
      <c r="ET18" s="126"/>
      <c r="EU18" s="127"/>
      <c r="EV18" s="126"/>
      <c r="EW18" s="128" t="str">
        <f t="shared" ref="EW18:EW81" si="24">IF(ET18="Benefício","Oi benefício fidelização Multiprodutos","")</f>
        <v/>
      </c>
      <c r="EX18" s="129" t="str">
        <f t="shared" ref="EX18:EX81" si="25">IF(ET18="Benefício","PCS-Fk83324","")</f>
        <v/>
      </c>
      <c r="EY18" s="91" t="str">
        <f t="shared" ref="EY18:EY81" si="26">IF(ES18="Sim","PCS-SBL553142","")</f>
        <v/>
      </c>
      <c r="EZ18" s="85"/>
      <c r="FA18" s="97"/>
      <c r="FB18" s="91"/>
      <c r="FC18" s="85"/>
      <c r="FD18" s="97"/>
      <c r="FE18" s="91"/>
      <c r="FF18" s="87"/>
      <c r="FG18" s="144" t="str">
        <f t="shared" si="5"/>
        <v/>
      </c>
      <c r="FH18" s="144" t="str">
        <f t="shared" si="6"/>
        <v/>
      </c>
      <c r="FI18" s="144" t="str">
        <f t="shared" si="7"/>
        <v/>
      </c>
      <c r="FJ18" s="144" t="str">
        <f t="shared" si="8"/>
        <v/>
      </c>
      <c r="FK18" s="144" t="str">
        <f t="shared" si="9"/>
        <v/>
      </c>
      <c r="FL18" s="144" t="str">
        <f t="shared" si="10"/>
        <v/>
      </c>
      <c r="FM18" s="144" t="str">
        <f t="shared" si="11"/>
        <v/>
      </c>
      <c r="FN18" s="144" t="str">
        <f t="shared" si="12"/>
        <v/>
      </c>
      <c r="FO18" s="144" t="str">
        <f t="shared" si="13"/>
        <v/>
      </c>
      <c r="FP18" s="144" t="str">
        <f t="shared" si="14"/>
        <v/>
      </c>
      <c r="FQ18" s="144" t="str">
        <f t="shared" si="15"/>
        <v/>
      </c>
      <c r="FR18" s="144" t="str">
        <f t="shared" si="16"/>
        <v/>
      </c>
      <c r="FS18" s="144" t="str">
        <f t="shared" si="17"/>
        <v/>
      </c>
      <c r="FT18" s="144" t="str">
        <f t="shared" si="18"/>
        <v/>
      </c>
      <c r="FU18" s="144" t="str">
        <f t="shared" si="19"/>
        <v/>
      </c>
      <c r="FV18" s="144" t="str">
        <f t="shared" si="20"/>
        <v/>
      </c>
      <c r="FW18" s="144" t="str">
        <f t="shared" si="21"/>
        <v/>
      </c>
      <c r="FX18" s="151"/>
      <c r="FY18" s="152"/>
      <c r="FZ18" s="152"/>
      <c r="GA18" s="152"/>
      <c r="GB18" s="152"/>
      <c r="GC18" s="152"/>
      <c r="GD18" s="152"/>
      <c r="GE18" s="152"/>
      <c r="GF18" s="152"/>
      <c r="GG18" s="153"/>
    </row>
    <row r="19" spans="1:189">
      <c r="A19" s="45"/>
      <c r="B19" s="133"/>
      <c r="C19" s="133"/>
      <c r="D19" s="46"/>
      <c r="E19" s="47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9"/>
      <c r="U19" s="48"/>
      <c r="V19" s="49"/>
      <c r="W19" s="48"/>
      <c r="X19" s="48"/>
      <c r="Y19" s="48"/>
      <c r="Z19" s="48"/>
      <c r="AA19" s="49"/>
      <c r="AB19" s="48"/>
      <c r="AC19" s="50"/>
      <c r="AD19" s="48"/>
      <c r="AE19" s="48"/>
      <c r="AF19" s="48"/>
      <c r="AG19" s="48"/>
      <c r="AH19" s="48"/>
      <c r="AI19" s="48"/>
      <c r="AJ19" s="48"/>
      <c r="AK19" s="48"/>
      <c r="AL19" s="51"/>
      <c r="AM19" s="37"/>
      <c r="AN19" s="38"/>
      <c r="AO19" s="39"/>
      <c r="AP19" s="52"/>
      <c r="AQ19" s="53"/>
      <c r="AR19" s="64"/>
      <c r="AS19" s="65"/>
      <c r="AT19" s="54"/>
      <c r="AU19" s="54"/>
      <c r="AV19" s="54"/>
      <c r="AW19" s="54"/>
      <c r="AX19" s="70"/>
      <c r="AY19" s="71"/>
      <c r="AZ19" s="72"/>
      <c r="BA19" s="73"/>
      <c r="BB19" s="55"/>
      <c r="BC19" s="56"/>
      <c r="BD19" s="27" t="str">
        <f t="shared" si="22"/>
        <v/>
      </c>
      <c r="BE19" s="58"/>
      <c r="BF19" s="3" t="str">
        <f>IF(BE19=0,"",IF(BE19=VLOOKUP("FIXO",ARBOR!$A:$C,3,0),0.0001,IF(BE19&gt;VLOOKUP("FIXO",ARBOR!$A:$C,3,0),"Maior que CAP!",IF((DOLLAR(BE19+(VLOOKUP("FIXO",ARBOR!$A:$C,3,0)*-TRUNC(BE19/VLOOKUP("FIXO",ARBOR!$A:$C,3,0)-1,4)),6))&lt;&gt;(DOLLAR(VLOOKUP("FIXO",ARBOR!$A:$C,3,0),6)),-TRUNC(BE19/VLOOKUP("FIXO",ARBOR!$A:$C,3,0)-1,4)+0.0001,-TRUNC(BE19/VLOOKUP("FIXO",ARBOR!$A:$C,3,0)-1,4)))))</f>
        <v/>
      </c>
      <c r="BG19" s="10" t="str">
        <f>IF(ISERROR(IF(BF19="","",VLOOKUP(($BC19&amp;BF19&amp;"Template de desconto FLAT bundle - Fixo - Varejo - Ganho Tributário Cross"),BENEFICIOS!$A:$G,5,0))),"Criar",IF(BF19="","",VLOOKUP(($BC19&amp;BF19&amp;"Template de desconto FLAT bundle - Fixo - Varejo - Ganho Tributário Cross"),BENEFICIOS!$A:$G,5,0)))</f>
        <v/>
      </c>
      <c r="BH19" s="8"/>
      <c r="BI19" s="3" t="str">
        <f>IF(BH19=0,"",IF(BH19=VLOOKUP("PCS-OzTL40",ARBOR!$A:$C,3,0),0.0001,IF(BH19&gt;VLOOKUP("PCS-OzTL40",ARBOR!$A:$C,3,0),"Maior que CAP!",IF((DOLLAR(BH19+(VLOOKUP("PCS-OzTL40",ARBOR!$A:$C,3,0)*-TRUNC(BH19/VLOOKUP("PCS-OzTL40",ARBOR!$A:$C,3,0)-1,4)),6))&lt;&gt;(DOLLAR(VLOOKUP("PCS-OzTL40",ARBOR!$A:$C,3,0),6)),-TRUNC(BH19/VLOOKUP("PCS-OzTL40",ARBOR!$A:$C,3,0)-1,4)+0.0001,-TRUNC(BH19/VLOOKUP("PCS-OzTL40",ARBOR!$A:$C,3,0)-1,4)))))</f>
        <v/>
      </c>
      <c r="BJ19" s="10" t="str">
        <f>IF(ISERROR(IF(BI19="","",VLOOKUP((BC19&amp;BI19&amp;"Template desconto FLAT Plano Principal Oi TV nível conta"),BENEFICIOS!$A:$G,5,0))),"Criar",IF(BI19="","",VLOOKUP((BC19&amp;BI19&amp;"Template desconto FLAT Plano Principal Oi TV nível conta"),BENEFICIOS!$A:$G,5,0)))</f>
        <v/>
      </c>
      <c r="BK19" s="8"/>
      <c r="BL19" s="3" t="str">
        <f>IF(BK19=0,"",IF(BK19=VLOOKUP("PCS-OzTL41",ARBOR!$A:$C,3,0),0.0001,IF(BK19&gt;VLOOKUP("PCS-OzTL41",ARBOR!$A:$C,3,0),"Maior que CAP!",IF((DOLLAR(BK19+(VLOOKUP("PCS-OzTL41",ARBOR!$A:$C,3,0)*-TRUNC(BK19/VLOOKUP("PCS-OzTL41",ARBOR!$A:$C,3,0)-1,4)),6))&lt;&gt;(DOLLAR(VLOOKUP("PCS-OzTL41",ARBOR!$A:$C,3,0),6)),-TRUNC(BK19/VLOOKUP("PCS-OzTL41",ARBOR!$A:$C,3,0)-1,4)+0.0001,-TRUNC(BK19/VLOOKUP("PCS-OzTL41",ARBOR!$A:$C,3,0)-1,4)))))</f>
        <v/>
      </c>
      <c r="BM19" s="28" t="str">
        <f>IF(ISERROR(IF(BL19="","",VLOOKUP((BC19&amp;BL19&amp;"Template desconto FLAT Plano Principal Oi TV nível conta"),BENEFICIOS!$A:$G,5,0))),"Criar",IF(BL19="","",VLOOKUP((BC19&amp;BL19&amp;"Template desconto FLAT Plano Principal Oi TV nível conta"),BENEFICIOS!$A:$G,5,0)))</f>
        <v/>
      </c>
      <c r="BN19" s="8"/>
      <c r="BO19" s="3" t="str">
        <f>IF(BN19=0,"",IF(BN19=VLOOKUP("PCS-OzTL44",ARBOR!$A:$C,3,0),0.0001,IF(BN19&gt;VLOOKUP("PCS-OzTL44",ARBOR!$A:$C,3,0),"Maior que CAP!",IF((DOLLAR(BN19+(VLOOKUP("PCS-OzTL44",ARBOR!$A:$C,3,0)*-TRUNC(BN19/VLOOKUP("PCS-OzTL44",ARBOR!$A:$C,3,0)-1,4)),6))&lt;&gt;(DOLLAR(VLOOKUP("PCS-OzTL44",ARBOR!$A:$C,3,0),6)),-TRUNC(BN19/VLOOKUP("PCS-OzTL44",ARBOR!$A:$C,3,0)-1,4)+0.0001,-TRUNC(BN19/VLOOKUP("PCS-OzTL44",ARBOR!$A:$C,3,0)-1,4)))))</f>
        <v/>
      </c>
      <c r="BP19" s="28" t="str">
        <f>IF(ISERROR(IF(BO19="","",VLOOKUP((BC19&amp;BO19&amp;"Template desconto FLAT Plano Principal Oi TV nível conta"),BENEFICIOS!$A:$G,5,0))),"Criar",IF(BO19="","",VLOOKUP((BC19&amp;BO19&amp;"Template desconto FLAT Plano Principal Oi TV nível conta"),BENEFICIOS!$A:$G,5,0)))</f>
        <v/>
      </c>
      <c r="BQ19" s="8"/>
      <c r="BR19" s="3" t="str">
        <f>IF(BQ19=0,"",IF(BQ19=VLOOKUP("PCS-OzTL43",ARBOR!$A:$C,3,0),0.0001,IF(BQ19&gt;VLOOKUP("PCS-OzTL43",ARBOR!$A:$C,3,0),"Maior que CAP!",IF((DOLLAR(BQ19+(VLOOKUP("PCS-OzTL43",ARBOR!$A:$C,3,0)*-TRUNC(BQ19/VLOOKUP("PCS-OzTL43",ARBOR!$A:$C,3,0)-1,4)),6))&lt;&gt;(DOLLAR(VLOOKUP("PCS-OzTL43",ARBOR!$A:$C,3,0),6)),-TRUNC(BQ19/VLOOKUP("PCS-OzTL43",ARBOR!$A:$C,3,0)-1,4)+0.0001,-TRUNC(BQ19/VLOOKUP("PCS-OzTL43",ARBOR!$A:$C,3,0)-1,4)))))</f>
        <v/>
      </c>
      <c r="BS19" s="28" t="str">
        <f>IF(ISERROR(IF(BR19="","",VLOOKUP((BC19&amp;BR19&amp;"Template desconto FLAT Plano Principal Oi TV nível conta"),BENEFICIOS!$A:$G,5,0))),"Criar",IF(BR19="","",VLOOKUP((BC19&amp;BR19&amp;"Template desconto FLAT Plano Principal Oi TV nível conta"),BENEFICIOS!$A:$G,5,0)))</f>
        <v/>
      </c>
      <c r="BT19" s="8"/>
      <c r="BU19" s="3" t="str">
        <f>IF(BT19=0,"",IF(BT19=VLOOKUP("PCS-OzTL45",ARBOR!$A:$C,3,0),0.0001,IF(BT19&gt;VLOOKUP("PCS-OzTL45",ARBOR!$A:$C,3,0),"Maior que CAP!",IF((DOLLAR(BT19+(VLOOKUP("PCS-OzTL45",ARBOR!$A:$C,3,0)*-TRUNC(BT19/VLOOKUP("PCS-OzTL45",ARBOR!$A:$C,3,0)-1,4)),6))&lt;&gt;(DOLLAR(VLOOKUP("PCS-OzTL45",ARBOR!$A:$C,3,0),6)),-TRUNC(BT19/VLOOKUP("PCS-OzTL45",ARBOR!$A:$C,3,0)-1,4)+0.0001,-TRUNC(BT19/VLOOKUP("PCS-OzTL45",ARBOR!$A:$C,3,0)-1,4)))))</f>
        <v/>
      </c>
      <c r="BV19" s="28" t="str">
        <f>IF(ISERROR(IF(BU19="","",VLOOKUP((BC19&amp;BU19&amp;"Template desconto FLAT Plano Principal Oi TV nível conta"),BENEFICIOS!$A:$G,5,0))),"Criar",IF(BU19="","",VLOOKUP((BC19&amp;BU19&amp;"Template desconto FLAT Plano Principal Oi TV nível conta"),BENEFICIOS!$A:$G,5,0)))</f>
        <v/>
      </c>
      <c r="BW19" s="8"/>
      <c r="BX19" s="3" t="str">
        <f>IF(BW19=0,"",IF(BW19=VLOOKUP("PCS-OzTL741",ARBOR!$A:$C,3,0),0.0001,IF(BW19&gt;VLOOKUP("PCS-OzTL741",ARBOR!$A:$C,3,0),"Maior que CAP!",IF((DOLLAR(BW19+(VLOOKUP("PCS-OzTL741",ARBOR!$A:$C,3,0)*-TRUNC(BW19/VLOOKUP("PCS-OzTL741",ARBOR!$A:$C,3,0)-1,4)),6))&lt;&gt;(DOLLAR(VLOOKUP("PCS-OzTL741",ARBOR!$A:$C,3,0),6)),-TRUNC(BW19/VLOOKUP("PCS-OzTL741",ARBOR!$A:$C,3,0)-1,4)+0.0001,-TRUNC(BW19/VLOOKUP("PCS-OzTL741",ARBOR!$A:$C,3,0)-1,4)))))</f>
        <v/>
      </c>
      <c r="BY19" s="28" t="str">
        <f>IF(ISERROR(IF(BX19="","",VLOOKUP((BC19&amp;BX19&amp;"Template desconto FLAT Plano Principal Oi TV nível conta"),BENEFICIOS!$A:$G,5,0))),"Criar",IF(BX19="","",VLOOKUP((BC19&amp;BX19&amp;"Template desconto FLAT Plano Principal Oi TV nível conta"),BENEFICIOS!$A:$G,5,0)))</f>
        <v/>
      </c>
      <c r="BZ19" s="8"/>
      <c r="CA19" s="3" t="str">
        <f>IF(BZ19=0,"",IF(BZ19=VLOOKUP("PCS-OzTL744",ARBOR!$A:$C,3,0),0.0001,IF(BZ19&gt;VLOOKUP("PCS-OzTL744",ARBOR!$A:$C,3,0),"Maior que CAP!",IF((DOLLAR(BZ19+(VLOOKUP("PCS-OzTL744",ARBOR!$A:$C,3,0)*-TRUNC(BZ19/VLOOKUP("PCS-OzTL744",ARBOR!$A:$C,3,0)-1,4)),6))&lt;&gt;(DOLLAR(VLOOKUP("PCS-OzTL744",ARBOR!$A:$C,3,0),6)),-TRUNC(BZ19/VLOOKUP("PCS-OzTL744",ARBOR!$A:$C,3,0)-1,4)+0.0001,-TRUNC(BZ19/VLOOKUP("PCS-OzTL744",ARBOR!$A:$C,3,0)-1,4)))))</f>
        <v/>
      </c>
      <c r="CB19" s="28" t="str">
        <f>IF(ISERROR(IF(CA19="","",VLOOKUP(($BC19&amp;CA19&amp;"Template desconto FLAT Plano Principal Oi TV nível conta"),BENEFICIOS!$A:$G,5,0))),"Criar",IF(CA19="","",VLOOKUP(($BC19&amp;CA19&amp;"Template desconto FLAT Plano Principal Oi TV nível conta"),BENEFICIOS!$A:$G,5,0)))</f>
        <v/>
      </c>
      <c r="CC19" s="8"/>
      <c r="CD19" s="3" t="str">
        <f>IF(CC19=0,"",IF(CC19=VLOOKUP("PCS-OzTL743",ARBOR!$A:$C,3,0),0.0001,IF(CC19&gt;VLOOKUP("PCS-OzTL743",ARBOR!$A:$C,3,0),"Maior que CAP!",IF((DOLLAR(CC19+(VLOOKUP("PCS-OzTL743",ARBOR!$A:$C,3,0)*-TRUNC(CC19/VLOOKUP("PCS-OzTL743",ARBOR!$A:$C,3,0)-1,4)),6))&lt;&gt;(DOLLAR(VLOOKUP("PCS-OzTL743",ARBOR!$A:$C,3,0),6)),-TRUNC(CC19/VLOOKUP("PCS-OzTL743",ARBOR!$A:$C,3,0)-1,4)+0.0001,-TRUNC(CC19/VLOOKUP("PCS-OzTL743",ARBOR!$A:$C,3,0)-1,4)))))</f>
        <v/>
      </c>
      <c r="CE19" s="28" t="str">
        <f>IF(ISERROR(IF(CD19="","",VLOOKUP(($BC19&amp;CD19&amp;"Template desconto FLAT Plano Principal Oi TV nível conta"),BENEFICIOS!$A:$G,5,0))),"Criar",IF(CD19="","",VLOOKUP(($BC19&amp;CD19&amp;"Template desconto FLAT Plano Principal Oi TV nível conta"),BENEFICIOS!$A:$G,5,0)))</f>
        <v/>
      </c>
      <c r="CF19" s="8"/>
      <c r="CG19" s="3" t="str">
        <f>IF(CF19=0,"",IF(CF19=VLOOKUP("PCS-OzTL745",ARBOR!$A:$C,3,0),0.0001,IF(CF19&gt;VLOOKUP("PCS-OzTL745",ARBOR!$A:$C,3,0),"Maior que CAP!",IF((DOLLAR(CF19+(VLOOKUP("PCS-OzTL745",ARBOR!$A:$C,3,0)*-TRUNC(CF19/VLOOKUP("PCS-OzTL745",ARBOR!$A:$C,3,0)-1,4)),6))&lt;&gt;(DOLLAR(VLOOKUP("PCS-OzTL745",ARBOR!$A:$C,3,0),6)),-TRUNC(CF19/VLOOKUP("PCS-OzTL745",ARBOR!$A:$C,3,0)-1,4)+0.0001,-TRUNC(CF19/VLOOKUP("PCS-OzTL745",ARBOR!$A:$C,3,0)-1,4)))))</f>
        <v/>
      </c>
      <c r="CH19" s="28" t="str">
        <f>IF(ISERROR(IF(CG19="","",VLOOKUP(($BC19&amp;CG19&amp;"Template desconto FLAT Plano Principal Oi TV nível conta"),BENEFICIOS!$A:$G,5,0))),"Criar",IF(CG19="","",VLOOKUP(($BC19&amp;CG19&amp;"Template desconto FLAT Plano Principal Oi TV nível conta"),BENEFICIOS!$A:$G,5,0)))</f>
        <v/>
      </c>
      <c r="CI19" s="8"/>
      <c r="CJ19" s="3" t="str">
        <f>IF(CI19=0,"",IF(CI19=VLOOKUP("PCS-OzTL42",ARBOR!$A:$C,3,0),0.0001,IF(CI19&gt;VLOOKUP("PCS-OzTL42",ARBOR!$A:$C,3,0),"Maior que CAP!",IF((DOLLAR(CI19+(VLOOKUP("PCS-OzTL42",ARBOR!$A:$C,3,0)*-TRUNC(CI19/VLOOKUP("PCS-OzTL42",ARBOR!$A:$C,3,0)-1,4)),6))&lt;&gt;(DOLLAR(VLOOKUP("PCS-OzTL42",ARBOR!$A:$C,3,0),6)),-TRUNC(CI19/VLOOKUP("PCS-OzTL42",ARBOR!$A:$C,3,0)-1,4)+0.0001,-TRUNC(CI19/VLOOKUP("PCS-OzTL42",ARBOR!$A:$C,3,0)-1,4)))))</f>
        <v/>
      </c>
      <c r="CK19" s="28" t="str">
        <f>IF(ISERROR(IF(CJ19="","",VLOOKUP(($BC19&amp;CJ19&amp;"Template desconto FLAT Plano Principal Oi TV nível conta"),BENEFICIOS!$A:$G,5,0))),"Criar",IF(CJ19="","",VLOOKUP(($BC19&amp;CJ19&amp;"Template desconto FLAT Plano Principal Oi TV nível conta"),BENEFICIOS!$A:$G,5,0)))</f>
        <v/>
      </c>
      <c r="CL19" s="8"/>
      <c r="CM19" s="3" t="str">
        <f>IF(CL19=0,"",IF(CL19=VLOOKUP("PCS-OzTL47",ARBOR!$A:$C,3,0),0.0001,IF(CL19&gt;VLOOKUP("PCS-OzTL47",ARBOR!$A:$C,3,0),"Maior que CAP!",IF((DOLLAR(CL19+(VLOOKUP("PCS-OzTL47",ARBOR!$A:$C,3,0)*-TRUNC(CL19/VLOOKUP("PCS-OzTL47",ARBOR!$A:$C,3,0)-1,4)),6))&lt;&gt;(DOLLAR(VLOOKUP("PCS-OzTL47",ARBOR!$A:$C,3,0),6)),-TRUNC(CL19/VLOOKUP("PCS-OzTL47",ARBOR!$A:$C,3,0)-1,4)+0.0001,-TRUNC(CL19/VLOOKUP("PCS-OzTL47",ARBOR!$A:$C,3,0)-1,4)))))</f>
        <v/>
      </c>
      <c r="CN19" s="28" t="str">
        <f>IF(ISERROR(IF(CM19="","",VLOOKUP(($BC19&amp;CM19&amp;"Template desconto FLAT Plano Principal Oi TV nível conta"),BENEFICIOS!$A:$G,5,0))),"Criar",IF(CM19="","",VLOOKUP(($BC19&amp;CM19&amp;"Template desconto FLAT Plano Principal Oi TV nível conta"),BENEFICIOS!$A:$G,5,0)))</f>
        <v/>
      </c>
      <c r="CO19" s="8"/>
      <c r="CP19" s="3" t="str">
        <f>IF(CO19=0,"",IF(CO19=VLOOKUP("PCS-OzTL46",ARBOR!$A:$C,3,0),0.0001,IF(CO19&gt;VLOOKUP("PCS-OzTL46",ARBOR!$A:$C,3,0),"Maior que CAP!",IF((DOLLAR(CO19+(VLOOKUP("PCS-OzTL46",ARBOR!$A:$C,3,0)*-TRUNC(CO19/VLOOKUP("PCS-OzTL46",ARBOR!$A:$C,3,0)-1,4)),6))&lt;&gt;(DOLLAR(VLOOKUP("PCS-OzTL46",ARBOR!$A:$C,3,0),6)),-TRUNC(CO19/VLOOKUP("PCS-OzTL46",ARBOR!$A:$C,3,0)-1,4)+0.0001,-TRUNC(CO19/VLOOKUP("PCS-OzTL46",ARBOR!$A:$C,3,0)-1,4)))))</f>
        <v/>
      </c>
      <c r="CQ19" s="28" t="str">
        <f>IF(ISERROR(IF(CP19="","",VLOOKUP(($BC19&amp;CP19&amp;"Template desconto FLAT Plano Principal Oi TV nível conta"),BENEFICIOS!$A:$G,5,0))),"Criar",IF(CP19="","",VLOOKUP(($BC19&amp;CP19&amp;"Template desconto FLAT Plano Principal Oi TV nível conta"),BENEFICIOS!$A:$G,5,0)))</f>
        <v/>
      </c>
      <c r="CR19" s="8"/>
      <c r="CS19" s="3" t="str">
        <f>IF(CR19=0,"",IF(CR19=VLOOKUP("PCS-OzTL48",ARBOR!$A:$C,3,0),0.0001,IF(CR19&gt;VLOOKUP("PCS-OzTL48",ARBOR!$A:$C,3,0),"Maior que CAP!",IF((DOLLAR(CR19+(VLOOKUP("PCS-OzTL48",ARBOR!$A:$C,3,0)*-TRUNC(CR19/VLOOKUP("PCS-OzTL48",ARBOR!$A:$C,3,0)-1,4)),6))&lt;&gt;(DOLLAR(VLOOKUP("PCS-OzTL48",ARBOR!$A:$C,3,0),6)),-TRUNC(CR19/VLOOKUP("PCS-OzTL48",ARBOR!$A:$C,3,0)-1,4)+0.0001,-TRUNC(CR19/VLOOKUP("PCS-OzTL48",ARBOR!$A:$C,3,0)-1,4)))))</f>
        <v/>
      </c>
      <c r="CT19" s="28" t="str">
        <f>IF(ISERROR(IF(CS19="","",VLOOKUP(($BC19&amp;CS19&amp;"Template desconto FLAT Plano Principal Oi TV nível conta"),BENEFICIOS!$A:$G,5,0))),"Criar",IF(CS19="","",VLOOKUP(($BC19&amp;CS19&amp;"Template desconto FLAT Plano Principal Oi TV nível conta"),BENEFICIOS!$A:$G,5,0)))</f>
        <v/>
      </c>
      <c r="CU19" s="8"/>
      <c r="CV19" s="3" t="str">
        <f>IF(CU19=0,"",IF(CU19=VLOOKUP("PCS-OzTL742",ARBOR!$A:$C,3,0),0.0001,IF(CU19&gt;VLOOKUP("PCS-OzTL742",ARBOR!$A:$C,3,0),"Maior que CAP!",IF((DOLLAR(CU19+(VLOOKUP("PCS-OzTL742",ARBOR!$A:$C,3,0)*-TRUNC(CU19/VLOOKUP("PCS-OzTL742",ARBOR!$A:$C,3,0)-1,4)),6))&lt;&gt;(DOLLAR(VLOOKUP("PCS-OzTL742",ARBOR!$A:$C,3,0),6)),-TRUNC(CU19/VLOOKUP("PCS-OzTL742",ARBOR!$A:$C,3,0)-1,4)+0.0001,-TRUNC(CU19/VLOOKUP("PCS-OzTL742",ARBOR!$A:$C,3,0)-1,4)))))</f>
        <v/>
      </c>
      <c r="CW19" s="28" t="str">
        <f>IF(ISERROR(IF(CV19="","",VLOOKUP(($BC19&amp;CV19&amp;"Template desconto FLAT Plano Principal Oi TV nível conta"),BENEFICIOS!$A:$G,5,0))),"Criar",IF(CV19="","",VLOOKUP(($BC19&amp;CV19&amp;"Template desconto FLAT Plano Principal Oi TV nível conta"),BENEFICIOS!$A:$G,5,0)))</f>
        <v/>
      </c>
      <c r="CX19" s="8"/>
      <c r="CY19" s="3" t="str">
        <f>IF(CX19=0,"",IF(CX19=VLOOKUP("PCS-OzTL747",ARBOR!$A:$C,3,0),0.0001,IF(CX19&gt;VLOOKUP("PCS-OzTL747",ARBOR!$A:$C,3,0),"Maior que CAP!",IF((DOLLAR(CX19+(VLOOKUP("PCS-OzTL747",ARBOR!$A:$C,3,0)*-TRUNC(CX19/VLOOKUP("PCS-OzTL747",ARBOR!$A:$C,3,0)-1,4)),6))&lt;&gt;(DOLLAR(VLOOKUP("PCS-OzTL747",ARBOR!$A:$C,3,0),6)),-TRUNC(CX19/VLOOKUP("PCS-OzTL747",ARBOR!$A:$C,3,0)-1,4)+0.0001,-TRUNC(CX19/VLOOKUP("PCS-OzTL747",ARBOR!$A:$C,3,0)-1,4)))))</f>
        <v/>
      </c>
      <c r="CZ19" s="28" t="str">
        <f>IF(ISERROR(IF(CY19="","",VLOOKUP(($BC19&amp;CY19&amp;"Template desconto FLAT Plano Principal Oi TV nível conta"),BENEFICIOS!$A:$G,5,0))),"Criar",IF(CY19="","",VLOOKUP(($BC19&amp;CY19&amp;"Template desconto FLAT Plano Principal Oi TV nível conta"),BENEFICIOS!$A:$G,5,0)))</f>
        <v/>
      </c>
      <c r="DA19" s="8"/>
      <c r="DB19" s="3" t="str">
        <f>IF(DA19=0,"",IF(DA19=VLOOKUP("PCS-OzTL746",ARBOR!$A:$C,3,0),0.0001,IF(DA19&gt;VLOOKUP("PCS-OzTL746",ARBOR!$A:$C,3,0),"Maior que CAP!",IF((DOLLAR(DA19+(VLOOKUP("PCS-OzTL746",ARBOR!$A:$C,3,0)*-TRUNC(DA19/VLOOKUP("PCS-OzTL746",ARBOR!$A:$C,3,0)-1,4)),6))&lt;&gt;(DOLLAR(VLOOKUP("PCS-OzTL746",ARBOR!$A:$C,3,0),6)),-TRUNC(DA19/VLOOKUP("PCS-OzTL746",ARBOR!$A:$C,3,0)-1,4)+0.0001,-TRUNC(DA19/VLOOKUP("PCS-OzTL746",ARBOR!$A:$C,3,0)-1,4)))))</f>
        <v/>
      </c>
      <c r="DC19" s="28" t="str">
        <f>IF(ISERROR(IF(DB19="","",VLOOKUP(($BC19&amp;DB19&amp;"Template desconto FLAT Plano Principal Oi TV nível conta"),BENEFICIOS!$A:$G,5,0))),"Criar",IF(DB19="","",VLOOKUP(($BC19&amp;DB19&amp;"Template desconto FLAT Plano Principal Oi TV nível conta"),BENEFICIOS!$A:$G,5,0)))</f>
        <v/>
      </c>
      <c r="DD19" s="8"/>
      <c r="DE19" s="3" t="str">
        <f>IF(DD19=0,"",IF(DD19=VLOOKUP("PCS-OzTL748",ARBOR!$A:$C,3,0),0.0001,IF(DD19&gt;VLOOKUP("PCS-OzTL748",ARBOR!$A:$C,3,0),"Maior que CAP!",IF((DOLLAR(DD19+(VLOOKUP("PCS-OzTL748",ARBOR!$A:$C,3,0)*-TRUNC(DD19/VLOOKUP("PCS-OzTL748",ARBOR!$A:$C,3,0)-1,4)),6))&lt;&gt;(DOLLAR(VLOOKUP("PCS-OzTL748",ARBOR!$A:$C,3,0),6)),-TRUNC(DD19/VLOOKUP("PCS-OzTL748",ARBOR!$A:$C,3,0)-1,4)+0.0001,-TRUNC(DD19/VLOOKUP("PCS-OzTL748",ARBOR!$A:$C,3,0)-1,4)))))</f>
        <v/>
      </c>
      <c r="DF19" s="28" t="str">
        <f>IF(ISERROR(IF(DE19="","",VLOOKUP(($BC19&amp;DE19&amp;"Template desconto FLAT Plano Principal Oi TV nível conta"),BENEFICIOS!$A:$G,5,0))),"Criar",IF(DE19="","",VLOOKUP(($BC19&amp;DE19&amp;"Template desconto FLAT Plano Principal Oi TV nível conta"),BENEFICIOS!$A:$G,5,0)))</f>
        <v/>
      </c>
      <c r="DG19" s="8"/>
      <c r="DH19" s="3" t="str">
        <f>IF(DG19=0,"",IF(DG19=VLOOKUP("PCS-OzTL34",ARBOR!$A:$C,3,0),0.0001,IF(DG19&gt;VLOOKUP("PCS-OzTL34",ARBOR!$A:$C,3,0),"Maior que CAP!",IF((DOLLAR(DG19+(VLOOKUP("PCS-OzTL34",ARBOR!$A:$C,3,0)*-TRUNC(DG19/VLOOKUP("PCS-OzTL34",ARBOR!$A:$C,3,0)-1,4)),6))&lt;&gt;(DOLLAR(VLOOKUP("PCS-OzTL34",ARBOR!$A:$C,3,0),6)),-TRUNC(DG19/VLOOKUP("PCS-OzTL34",ARBOR!$A:$C,3,0)-1,4)+0.0001,-TRUNC(DG19/VLOOKUP("PCS-OzTL34",ARBOR!$A:$C,3,0)-1,4)))))</f>
        <v/>
      </c>
      <c r="DI19" s="28" t="str">
        <f>IF(DH19="S/Desc","S/Desc",IF(ISERROR(IF(DH19="","",VLOOKUP(($BC19&amp;DH19&amp;"Template desconto % Combate nível conta"),BENEFICIOS!$A:$G,5,0))),"Criar",IF(DH19="","",VLOOKUP(($BC19&amp;DH19&amp;"Template desconto % Combate nível conta"),BENEFICIOS!$A:$G,5,0))))</f>
        <v/>
      </c>
      <c r="DJ19" s="8"/>
      <c r="DK19" s="3" t="str">
        <f>IF(DJ19=0,"",IF(DJ19=VLOOKUP("PCS-OzTL31",ARBOR!$A:$C,3,0),0.0001,IF(DJ19&gt;VLOOKUP("PCS-OzTL31",ARBOR!$A:$C,3,0),"Maior que CAP!",IF((DOLLAR(DJ19+(VLOOKUP("PCS-OzTL31",ARBOR!$A:$C,3,0)*-TRUNC(DJ19/VLOOKUP("PCS-OzTL31",ARBOR!$A:$C,3,0)-1,4)),6))&lt;&gt;(DOLLAR(VLOOKUP("PCS-OzTL31",ARBOR!$A:$C,3,0),6)),-TRUNC(DJ19/VLOOKUP("PCS-OzTL31",ARBOR!$A:$C,3,0)-1,4)+0.0001,-TRUNC(DJ19/VLOOKUP("PCS-OzTL31",ARBOR!$A:$C,3,0)-1,4)))))</f>
        <v/>
      </c>
      <c r="DL19" s="28" t="str">
        <f>IF(DK19="S/Desc","S/Desc",IF(ISERROR(IF(DK19="","",VLOOKUP(($BC19&amp;DK19&amp;"Template desconto % Sexy Hot nível conta"),BENEFICIOS!$A:$G,5,0))),"Criar",IF(DK19="","",VLOOKUP(($BC19&amp;DK19&amp;"Template desconto % Sexy Hot nível conta"),BENEFICIOS!$A:$G,5,0))))</f>
        <v/>
      </c>
      <c r="DM19" s="8"/>
      <c r="DN19" s="3" t="str">
        <f>IF(DM19=0,"",IF(DM19=VLOOKUP("PCS-OzTL32",ARBOR!$A:$C,3,0),0.0001,IF(DM19&gt;VLOOKUP("PCS-OzTL32",ARBOR!$A:$C,3,0),"Maior que CAP!",IF((DOLLAR(DM19+(VLOOKUP("PCS-OzTL32",ARBOR!$A:$C,3,0)*-TRUNC(DM19/VLOOKUP("PCS-OzTL32",ARBOR!$A:$C,3,0)-1,4)),6))&lt;&gt;(DOLLAR(VLOOKUP("PCS-OzTL32",ARBOR!$A:$C,3,0),6)),-TRUNC(DM19/VLOOKUP("PCS-OzTL32",ARBOR!$A:$C,3,0)-1,4)+0.0001,-TRUNC(DM19/VLOOKUP("PCS-OzTL32",ARBOR!$A:$C,3,0)-1,4)))))</f>
        <v/>
      </c>
      <c r="DO19" s="28" t="str">
        <f>IF(DN19="S/Desc","S/Desc",IF(ISERROR(IF(DN19="","",VLOOKUP(($BC19&amp;DN19&amp;"Template desconto % Playboy nível conta"),BENEFICIOS!$A:$G,5,0))),"Criar",IF(DN19="","",VLOOKUP(($BC19&amp;DN19&amp;"Template desconto % Playboy nível conta"),BENEFICIOS!$A:$G,5,0))))</f>
        <v/>
      </c>
      <c r="DP19" s="8"/>
      <c r="DQ19" s="3" t="str">
        <f>IF(DP19=0,"",IF(DP19=VLOOKUP("PCS-OzTL33",ARBOR!$A:$C,3,0),0.0001,IF(DP19&gt;VLOOKUP("PCS-OzTL33",ARBOR!$A:$C,3,0),"Maior que CAP!",IF((DOLLAR(DP19+(VLOOKUP("PCS-OzTL33",ARBOR!$A:$C,3,0)*-TRUNC(DP19/VLOOKUP("PCS-OzTL33",ARBOR!$A:$C,3,0)-1,4)),6))&lt;&gt;(DOLLAR(VLOOKUP("PCS-OzTL33",ARBOR!$A:$C,3,0),6)),-TRUNC(DP19/VLOOKUP("PCS-OzTL33",ARBOR!$A:$C,3,0)-1,4)+0.0001,-TRUNC(DP19/VLOOKUP("PCS-OzTL33",ARBOR!$A:$C,3,0)-1,4)))))</f>
        <v/>
      </c>
      <c r="DR19" s="28" t="str">
        <f>IF(DQ19="S/Desc","S/Desc",IF(ISERROR(IF(DQ19="","",VLOOKUP(($BC19&amp;DQ19&amp;"Template desconto % Sexy Hot + Playboy nível conta"),BENEFICIOS!$A:$G,5,0))),"Criar",IF(DQ19="","",VLOOKUP(($BC19&amp;DQ19&amp;"Template desconto % Sexy Hot + Playboy nível conta"),BENEFICIOS!$A:$G,5,0))))</f>
        <v/>
      </c>
      <c r="DS19" s="8"/>
      <c r="DT19" s="3" t="str">
        <f>IF(DS19=0,"",IF(DS19=VLOOKUP("PCS-OzTL503",ARBOR!$A:$C,3,0),0.0001,IF(DS19&gt;VLOOKUP("PCS-OzTL503",ARBOR!$A:$C,3,0),"Maior que CAP!",IF((DOLLAR(DS19+(VLOOKUP("PCS-OzTL503",ARBOR!$A:$C,3,0)*-TRUNC(DS19/VLOOKUP("PCS-OzTL503",ARBOR!$A:$C,3,0)-1,4)),6))&lt;&gt;(DOLLAR(VLOOKUP("PCS-OzTL503",ARBOR!$A:$C,3,0),6)),-TRUNC(DS19/VLOOKUP("PCS-OzTL503",ARBOR!$A:$C,3,0)-1,4)+0.0001,-TRUNC(DS19/VLOOKUP("PCS-OzTL503",ARBOR!$A:$C,3,0)-1,4)))))</f>
        <v/>
      </c>
      <c r="DU19" s="28" t="str">
        <f>IF(DT19="S/Desc","S/Desc",IF(ISERROR(IF(DT19="","",VLOOKUP(($BC19&amp;DT19&amp;"Template desconto % SexPrivê nível conta"),BENEFICIOS!$A:$G,5,0))),"Criar",IF(DT19="","",VLOOKUP(($BC19&amp;DT19&amp;"Template desconto % SexPrivê nível conta"),BENEFICIOS!$A:$G,5,0))))</f>
        <v/>
      </c>
      <c r="DV19" s="8"/>
      <c r="DW19" s="3" t="str">
        <f>IF(DV19=0,"",IF(DV19=VLOOKUP("PCS-OzTL500",ARBOR!$A:$C,3,0),0.0001,IF(DV19&gt;VLOOKUP("PCS-OzTL500",ARBOR!$A:$C,3,0),"Maior que CAP!",IF((DOLLAR(DV19+(VLOOKUP("PCS-OzTL500",ARBOR!$A:$C,3,0)*-TRUNC(DV19/VLOOKUP("PCS-OzTL500",ARBOR!$A:$C,3,0)-1,4)),6))&lt;&gt;(DOLLAR(VLOOKUP("PCS-OzTL500",ARBOR!$A:$C,3,0),6)),-TRUNC(DV19/VLOOKUP("PCS-OzTL500",ARBOR!$A:$C,3,0)-1,4)+0.0001,-TRUNC(DV19/VLOOKUP("PCS-OzTL500",ARBOR!$A:$C,3,0)-1,4)))))</f>
        <v/>
      </c>
      <c r="DX19" s="28" t="str">
        <f>IF(DW19="S/Desc","S/Desc",IF(ISERROR(IF(DW19="","",VLOOKUP(($BC19&amp;DW19&amp;"Template desconto % Étnico nível conta"),BENEFICIOS!$A:$G,5,0))),"Criar",IF(DW19="","",VLOOKUP(($BC19&amp;DW19&amp;"Template desconto % Étnico nível conta"),BENEFICIOS!$A:$G,5,0))))</f>
        <v/>
      </c>
      <c r="DY19" s="8"/>
      <c r="DZ19" s="181" t="str">
        <f>IF(DY19=0,"",IF(DY19=VLOOKUP("PCS-OzTL50",ARBOR!$A:$C,3,0),0.0001,IF(DY19&gt;VLOOKUP("PCS-OzTL50",ARBOR!$A:$C,3,0),"Maior que CAP!",IF((DOLLAR(DY19+(VLOOKUP("PCS-OzTL50",ARBOR!$A:$C,3,0)*-TRUNC(DY19/VLOOKUP("PCS-OzTL50",ARBOR!$A:$C,3,0)-1,4)),6))&lt;&gt;(DOLLAR(VLOOKUP("PCS-OzTL50",ARBOR!$A:$C,3,0),6)),-TRUNC(DY19/VLOOKUP("PCS-OzTL50",ARBOR!$A:$C,3,0)-1,4)+0.0001,-TRUNC(DY19/VLOOKUP("PCS-OzTL50",ARBOR!$A:$C,3,0)-1,4)))))</f>
        <v/>
      </c>
      <c r="EA19" s="28"/>
      <c r="EB19" s="8"/>
      <c r="EC19" s="181" t="str">
        <f>IF(EB19=0,"",IF(EB19=VLOOKUP("PCS-OzTL51",ARBOR!$A:$C,3,0),0.0001,IF(EB19&gt;VLOOKUP("PCS-OzTL51",ARBOR!$A:$C,3,0),"Maior que CAP!",IF((DOLLAR(EB19+(VLOOKUP("PCS-OzTL51",ARBOR!$A:$C,3,0)*-TRUNC(EB19/VLOOKUP("PCS-OzTL51",ARBOR!$A:$C,3,0)-1,4)),6))&lt;&gt;(DOLLAR(VLOOKUP("PCS-OzTL51",ARBOR!$A:$C,3,0),6)),-TRUNC(EB19/VLOOKUP("PCS-OzTL51",ARBOR!$A:$C,3,0)-1,4)+0.0001,-TRUNC(EB19/VLOOKUP("PCS-OzTL51",ARBOR!$A:$C,3,0)-1,4)))))</f>
        <v/>
      </c>
      <c r="ED19" s="28"/>
      <c r="EE19" s="8"/>
      <c r="EF19" s="181" t="str">
        <f>IF(EE19=0,"",IF(EE19=VLOOKUP("PCS-OzTL52",ARBOR!$A:$C,3,0),0.0001,IF(EE19&gt;VLOOKUP("PCS-OzTL52",ARBOR!$A:$C,3,0),"Maior que CAP!",IF((DOLLAR(EE19+(VLOOKUP("PCS-OzTL52",ARBOR!$A:$C,3,0)*-TRUNC(EE19/VLOOKUP("PCS-OzTL52",ARBOR!$A:$C,3,0)-1,4)),6))&lt;&gt;(DOLLAR(VLOOKUP("PCS-OzTL52",ARBOR!$A:$C,3,0),6)),-TRUNC(EE19/VLOOKUP("PCS-OzTL52",ARBOR!$A:$C,3,0)-1,4)+0.0001,-TRUNC(EE19/VLOOKUP("PCS-OzTL52",ARBOR!$A:$C,3,0)-1,4)))))</f>
        <v/>
      </c>
      <c r="EG19" s="28"/>
      <c r="EH19" s="8"/>
      <c r="EI19" s="181" t="str">
        <f>IF(EH19=0,"",IF(EH19=VLOOKUP("PCS-OzTL53",ARBOR!$A:$C,3,0),0.0001,IF(EH19&gt;VLOOKUP("PCS-OzTL53",ARBOR!$A:$C,3,0),"Maior que CAP!",IF((DOLLAR(EH19+(VLOOKUP("PCS-OzTL53",ARBOR!$A:$C,3,0)*-TRUNC(EH19/VLOOKUP("PCS-OzTL53",ARBOR!$A:$C,3,0)-1,4)),6))&lt;&gt;(DOLLAR(VLOOKUP("PCS-OzTL53",ARBOR!$A:$C,3,0),6)),-TRUNC(EH19/VLOOKUP("PCS-OzTL53",ARBOR!$A:$C,3,0)-1,4)+0.0001,-TRUNC(EH19/VLOOKUP("PCS-OzTL53",ARBOR!$A:$C,3,0)-1,4)))))</f>
        <v/>
      </c>
      <c r="EJ19" s="28"/>
      <c r="EK19" s="8"/>
      <c r="EL19" s="181" t="str">
        <f>IF(EK19=0,"",IF(EK19=VLOOKUP("PCS-OzTL54",ARBOR!$A:$C,3,0),0.0001,IF(EK19&gt;VLOOKUP("PCS-OzTL54",ARBOR!$A:$C,3,0),"Maior que CAP!",IF((DOLLAR(EK19+(VLOOKUP("PCS-OzTL54",ARBOR!$A:$C,3,0)*-TRUNC(EK19/VLOOKUP("PCS-OzTL54",ARBOR!$A:$C,3,0)-1,4)),6))&lt;&gt;(DOLLAR(VLOOKUP("PCS-OzTL54",ARBOR!$A:$C,3,0),6)),-TRUNC(EK19/VLOOKUP("PCS-OzTL54",ARBOR!$A:$C,3,0)-1,4)+0.0001,-TRUNC(EK19/VLOOKUP("PCS-OzTL54",ARBOR!$A:$C,3,0)-1,4)))))</f>
        <v/>
      </c>
      <c r="EM19" s="28"/>
      <c r="EN19" s="8"/>
      <c r="EO19" s="3" t="str">
        <f>IF(EN19=0,"",IF(EN19=VLOOKUP("PCS-OzTL99",ARBOR!$A:$C,3,0),0.0001,IF(EN19&gt;VLOOKUP("PCS-OzTL99",ARBOR!$A:$C,3,0),"Maior que CAP!",IF((DOLLAR(EN19+(VLOOKUP("PCS-OzTL99",ARBOR!$A:$C,3,0)*-TRUNC(EN19/VLOOKUP("PCS-OzTL99",ARBOR!$A:$C,3,0)-1,4)),6))&lt;&gt;(DOLLAR(VLOOKUP("PCS-OzTL99",ARBOR!$A:$C,3,0),6)),-TRUNC(EN19/VLOOKUP("PCS-OzTL99",ARBOR!$A:$C,3,0)-1,4)+0.0001,-TRUNC(EN19/VLOOKUP("PCS-OzTL99",ARBOR!$A:$C,3,0)-1,4)))))</f>
        <v/>
      </c>
      <c r="EP19" s="28" t="str">
        <f>IF(EO19="S/Desc","S/Desc",IF(ISERROR(IF(EO19="","",VLOOKUP(($BC19&amp;EO19&amp;"Template desconto % Ponto adicional nível conta"),BENEFICIOS!$A:$G,5,0))),"Criar",IF(EO19="","",VLOOKUP(($BC19&amp;EO19&amp;"Template desconto % Ponto adicional nível conta"),BENEFICIOS!$A:$G,5,0))))</f>
        <v/>
      </c>
      <c r="EQ19" s="8"/>
      <c r="ER19" s="28" t="str">
        <f t="shared" si="23"/>
        <v/>
      </c>
      <c r="ES19" s="62"/>
      <c r="ET19" s="126"/>
      <c r="EU19" s="127"/>
      <c r="EV19" s="126"/>
      <c r="EW19" s="128" t="str">
        <f t="shared" si="24"/>
        <v/>
      </c>
      <c r="EX19" s="129" t="str">
        <f t="shared" si="25"/>
        <v/>
      </c>
      <c r="EY19" s="91" t="str">
        <f t="shared" si="26"/>
        <v/>
      </c>
      <c r="EZ19" s="85"/>
      <c r="FA19" s="97"/>
      <c r="FB19" s="91"/>
      <c r="FC19" s="85"/>
      <c r="FD19" s="97"/>
      <c r="FE19" s="91"/>
      <c r="FF19" s="87"/>
      <c r="FG19" s="144" t="str">
        <f t="shared" si="5"/>
        <v/>
      </c>
      <c r="FH19" s="144" t="str">
        <f t="shared" si="6"/>
        <v/>
      </c>
      <c r="FI19" s="144" t="str">
        <f t="shared" si="7"/>
        <v/>
      </c>
      <c r="FJ19" s="144" t="str">
        <f t="shared" si="8"/>
        <v/>
      </c>
      <c r="FK19" s="144" t="str">
        <f t="shared" si="9"/>
        <v/>
      </c>
      <c r="FL19" s="144" t="str">
        <f t="shared" si="10"/>
        <v/>
      </c>
      <c r="FM19" s="144" t="str">
        <f t="shared" si="11"/>
        <v/>
      </c>
      <c r="FN19" s="144" t="str">
        <f t="shared" si="12"/>
        <v/>
      </c>
      <c r="FO19" s="144" t="str">
        <f t="shared" si="13"/>
        <v/>
      </c>
      <c r="FP19" s="144" t="str">
        <f t="shared" si="14"/>
        <v/>
      </c>
      <c r="FQ19" s="144" t="str">
        <f t="shared" si="15"/>
        <v/>
      </c>
      <c r="FR19" s="144" t="str">
        <f t="shared" si="16"/>
        <v/>
      </c>
      <c r="FS19" s="144" t="str">
        <f t="shared" si="17"/>
        <v/>
      </c>
      <c r="FT19" s="144" t="str">
        <f t="shared" si="18"/>
        <v/>
      </c>
      <c r="FU19" s="144" t="str">
        <f t="shared" si="19"/>
        <v/>
      </c>
      <c r="FV19" s="144" t="str">
        <f t="shared" si="20"/>
        <v/>
      </c>
      <c r="FW19" s="144" t="str">
        <f t="shared" si="21"/>
        <v/>
      </c>
      <c r="FX19" s="151"/>
      <c r="FY19" s="152"/>
      <c r="FZ19" s="152"/>
      <c r="GA19" s="152"/>
      <c r="GB19" s="152"/>
      <c r="GC19" s="152"/>
      <c r="GD19" s="152"/>
      <c r="GE19" s="152"/>
      <c r="GF19" s="152"/>
      <c r="GG19" s="153"/>
    </row>
    <row r="20" spans="1:189">
      <c r="A20" s="45"/>
      <c r="B20" s="133"/>
      <c r="C20" s="133"/>
      <c r="D20" s="46"/>
      <c r="E20" s="47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9"/>
      <c r="U20" s="48"/>
      <c r="V20" s="49"/>
      <c r="W20" s="48"/>
      <c r="X20" s="48"/>
      <c r="Y20" s="48"/>
      <c r="Z20" s="48"/>
      <c r="AA20" s="49"/>
      <c r="AB20" s="48"/>
      <c r="AC20" s="50"/>
      <c r="AD20" s="48"/>
      <c r="AE20" s="48"/>
      <c r="AF20" s="48"/>
      <c r="AG20" s="48"/>
      <c r="AH20" s="48"/>
      <c r="AI20" s="48"/>
      <c r="AJ20" s="48"/>
      <c r="AK20" s="48"/>
      <c r="AL20" s="51"/>
      <c r="AM20" s="37"/>
      <c r="AN20" s="38"/>
      <c r="AO20" s="39"/>
      <c r="AP20" s="52"/>
      <c r="AQ20" s="53"/>
      <c r="AR20" s="64"/>
      <c r="AS20" s="65"/>
      <c r="AT20" s="54"/>
      <c r="AU20" s="54"/>
      <c r="AV20" s="54"/>
      <c r="AW20" s="54"/>
      <c r="AX20" s="70"/>
      <c r="AY20" s="71"/>
      <c r="AZ20" s="72"/>
      <c r="BA20" s="73"/>
      <c r="BB20" s="55"/>
      <c r="BC20" s="56"/>
      <c r="BD20" s="27" t="str">
        <f t="shared" si="22"/>
        <v/>
      </c>
      <c r="BE20" s="58"/>
      <c r="BF20" s="3" t="str">
        <f>IF(BE20=0,"",IF(BE20=VLOOKUP("FIXO",ARBOR!$A:$C,3,0),0.0001,IF(BE20&gt;VLOOKUP("FIXO",ARBOR!$A:$C,3,0),"Maior que CAP!",IF((DOLLAR(BE20+(VLOOKUP("FIXO",ARBOR!$A:$C,3,0)*-TRUNC(BE20/VLOOKUP("FIXO",ARBOR!$A:$C,3,0)-1,4)),6))&lt;&gt;(DOLLAR(VLOOKUP("FIXO",ARBOR!$A:$C,3,0),6)),-TRUNC(BE20/VLOOKUP("FIXO",ARBOR!$A:$C,3,0)-1,4)+0.0001,-TRUNC(BE20/VLOOKUP("FIXO",ARBOR!$A:$C,3,0)-1,4)))))</f>
        <v/>
      </c>
      <c r="BG20" s="10" t="str">
        <f>IF(ISERROR(IF(BF20="","",VLOOKUP(($BC20&amp;BF20&amp;"Template de desconto FLAT bundle - Fixo - Varejo - Ganho Tributário Cross"),BENEFICIOS!$A:$G,5,0))),"Criar",IF(BF20="","",VLOOKUP(($BC20&amp;BF20&amp;"Template de desconto FLAT bundle - Fixo - Varejo - Ganho Tributário Cross"),BENEFICIOS!$A:$G,5,0)))</f>
        <v/>
      </c>
      <c r="BH20" s="8"/>
      <c r="BI20" s="3" t="str">
        <f>IF(BH20=0,"",IF(BH20=VLOOKUP("PCS-OzTL40",ARBOR!$A:$C,3,0),0.0001,IF(BH20&gt;VLOOKUP("PCS-OzTL40",ARBOR!$A:$C,3,0),"Maior que CAP!",IF((DOLLAR(BH20+(VLOOKUP("PCS-OzTL40",ARBOR!$A:$C,3,0)*-TRUNC(BH20/VLOOKUP("PCS-OzTL40",ARBOR!$A:$C,3,0)-1,4)),6))&lt;&gt;(DOLLAR(VLOOKUP("PCS-OzTL40",ARBOR!$A:$C,3,0),6)),-TRUNC(BH20/VLOOKUP("PCS-OzTL40",ARBOR!$A:$C,3,0)-1,4)+0.0001,-TRUNC(BH20/VLOOKUP("PCS-OzTL40",ARBOR!$A:$C,3,0)-1,4)))))</f>
        <v/>
      </c>
      <c r="BJ20" s="10" t="str">
        <f>IF(ISERROR(IF(BI20="","",VLOOKUP((BC20&amp;BI20&amp;"Template desconto FLAT Plano Principal Oi TV nível conta"),BENEFICIOS!$A:$G,5,0))),"Criar",IF(BI20="","",VLOOKUP((BC20&amp;BI20&amp;"Template desconto FLAT Plano Principal Oi TV nível conta"),BENEFICIOS!$A:$G,5,0)))</f>
        <v/>
      </c>
      <c r="BK20" s="8"/>
      <c r="BL20" s="3" t="str">
        <f>IF(BK20=0,"",IF(BK20=VLOOKUP("PCS-OzTL41",ARBOR!$A:$C,3,0),0.0001,IF(BK20&gt;VLOOKUP("PCS-OzTL41",ARBOR!$A:$C,3,0),"Maior que CAP!",IF((DOLLAR(BK20+(VLOOKUP("PCS-OzTL41",ARBOR!$A:$C,3,0)*-TRUNC(BK20/VLOOKUP("PCS-OzTL41",ARBOR!$A:$C,3,0)-1,4)),6))&lt;&gt;(DOLLAR(VLOOKUP("PCS-OzTL41",ARBOR!$A:$C,3,0),6)),-TRUNC(BK20/VLOOKUP("PCS-OzTL41",ARBOR!$A:$C,3,0)-1,4)+0.0001,-TRUNC(BK20/VLOOKUP("PCS-OzTL41",ARBOR!$A:$C,3,0)-1,4)))))</f>
        <v/>
      </c>
      <c r="BM20" s="28" t="str">
        <f>IF(ISERROR(IF(BL20="","",VLOOKUP((BC20&amp;BL20&amp;"Template desconto FLAT Plano Principal Oi TV nível conta"),BENEFICIOS!$A:$G,5,0))),"Criar",IF(BL20="","",VLOOKUP((BC20&amp;BL20&amp;"Template desconto FLAT Plano Principal Oi TV nível conta"),BENEFICIOS!$A:$G,5,0)))</f>
        <v/>
      </c>
      <c r="BN20" s="8"/>
      <c r="BO20" s="3" t="str">
        <f>IF(BN20=0,"",IF(BN20=VLOOKUP("PCS-OzTL44",ARBOR!$A:$C,3,0),0.0001,IF(BN20&gt;VLOOKUP("PCS-OzTL44",ARBOR!$A:$C,3,0),"Maior que CAP!",IF((DOLLAR(BN20+(VLOOKUP("PCS-OzTL44",ARBOR!$A:$C,3,0)*-TRUNC(BN20/VLOOKUP("PCS-OzTL44",ARBOR!$A:$C,3,0)-1,4)),6))&lt;&gt;(DOLLAR(VLOOKUP("PCS-OzTL44",ARBOR!$A:$C,3,0),6)),-TRUNC(BN20/VLOOKUP("PCS-OzTL44",ARBOR!$A:$C,3,0)-1,4)+0.0001,-TRUNC(BN20/VLOOKUP("PCS-OzTL44",ARBOR!$A:$C,3,0)-1,4)))))</f>
        <v/>
      </c>
      <c r="BP20" s="28" t="str">
        <f>IF(ISERROR(IF(BO20="","",VLOOKUP((BC20&amp;BO20&amp;"Template desconto FLAT Plano Principal Oi TV nível conta"),BENEFICIOS!$A:$G,5,0))),"Criar",IF(BO20="","",VLOOKUP((BC20&amp;BO20&amp;"Template desconto FLAT Plano Principal Oi TV nível conta"),BENEFICIOS!$A:$G,5,0)))</f>
        <v/>
      </c>
      <c r="BQ20" s="8"/>
      <c r="BR20" s="3" t="str">
        <f>IF(BQ20=0,"",IF(BQ20=VLOOKUP("PCS-OzTL43",ARBOR!$A:$C,3,0),0.0001,IF(BQ20&gt;VLOOKUP("PCS-OzTL43",ARBOR!$A:$C,3,0),"Maior que CAP!",IF((DOLLAR(BQ20+(VLOOKUP("PCS-OzTL43",ARBOR!$A:$C,3,0)*-TRUNC(BQ20/VLOOKUP("PCS-OzTL43",ARBOR!$A:$C,3,0)-1,4)),6))&lt;&gt;(DOLLAR(VLOOKUP("PCS-OzTL43",ARBOR!$A:$C,3,0),6)),-TRUNC(BQ20/VLOOKUP("PCS-OzTL43",ARBOR!$A:$C,3,0)-1,4)+0.0001,-TRUNC(BQ20/VLOOKUP("PCS-OzTL43",ARBOR!$A:$C,3,0)-1,4)))))</f>
        <v/>
      </c>
      <c r="BS20" s="28" t="str">
        <f>IF(ISERROR(IF(BR20="","",VLOOKUP((BC20&amp;BR20&amp;"Template desconto FLAT Plano Principal Oi TV nível conta"),BENEFICIOS!$A:$G,5,0))),"Criar",IF(BR20="","",VLOOKUP((BC20&amp;BR20&amp;"Template desconto FLAT Plano Principal Oi TV nível conta"),BENEFICIOS!$A:$G,5,0)))</f>
        <v/>
      </c>
      <c r="BT20" s="8"/>
      <c r="BU20" s="3" t="str">
        <f>IF(BT20=0,"",IF(BT20=VLOOKUP("PCS-OzTL45",ARBOR!$A:$C,3,0),0.0001,IF(BT20&gt;VLOOKUP("PCS-OzTL45",ARBOR!$A:$C,3,0),"Maior que CAP!",IF((DOLLAR(BT20+(VLOOKUP("PCS-OzTL45",ARBOR!$A:$C,3,0)*-TRUNC(BT20/VLOOKUP("PCS-OzTL45",ARBOR!$A:$C,3,0)-1,4)),6))&lt;&gt;(DOLLAR(VLOOKUP("PCS-OzTL45",ARBOR!$A:$C,3,0),6)),-TRUNC(BT20/VLOOKUP("PCS-OzTL45",ARBOR!$A:$C,3,0)-1,4)+0.0001,-TRUNC(BT20/VLOOKUP("PCS-OzTL45",ARBOR!$A:$C,3,0)-1,4)))))</f>
        <v/>
      </c>
      <c r="BV20" s="28" t="str">
        <f>IF(ISERROR(IF(BU20="","",VLOOKUP((BC20&amp;BU20&amp;"Template desconto FLAT Plano Principal Oi TV nível conta"),BENEFICIOS!$A:$G,5,0))),"Criar",IF(BU20="","",VLOOKUP((BC20&amp;BU20&amp;"Template desconto FLAT Plano Principal Oi TV nível conta"),BENEFICIOS!$A:$G,5,0)))</f>
        <v/>
      </c>
      <c r="BW20" s="8"/>
      <c r="BX20" s="3" t="str">
        <f>IF(BW20=0,"",IF(BW20=VLOOKUP("PCS-OzTL741",ARBOR!$A:$C,3,0),0.0001,IF(BW20&gt;VLOOKUP("PCS-OzTL741",ARBOR!$A:$C,3,0),"Maior que CAP!",IF((DOLLAR(BW20+(VLOOKUP("PCS-OzTL741",ARBOR!$A:$C,3,0)*-TRUNC(BW20/VLOOKUP("PCS-OzTL741",ARBOR!$A:$C,3,0)-1,4)),6))&lt;&gt;(DOLLAR(VLOOKUP("PCS-OzTL741",ARBOR!$A:$C,3,0),6)),-TRUNC(BW20/VLOOKUP("PCS-OzTL741",ARBOR!$A:$C,3,0)-1,4)+0.0001,-TRUNC(BW20/VLOOKUP("PCS-OzTL741",ARBOR!$A:$C,3,0)-1,4)))))</f>
        <v/>
      </c>
      <c r="BY20" s="28" t="str">
        <f>IF(ISERROR(IF(BX20="","",VLOOKUP((BC20&amp;BX20&amp;"Template desconto FLAT Plano Principal Oi TV nível conta"),BENEFICIOS!$A:$G,5,0))),"Criar",IF(BX20="","",VLOOKUP((BC20&amp;BX20&amp;"Template desconto FLAT Plano Principal Oi TV nível conta"),BENEFICIOS!$A:$G,5,0)))</f>
        <v/>
      </c>
      <c r="BZ20" s="8"/>
      <c r="CA20" s="3" t="str">
        <f>IF(BZ20=0,"",IF(BZ20=VLOOKUP("PCS-OzTL744",ARBOR!$A:$C,3,0),0.0001,IF(BZ20&gt;VLOOKUP("PCS-OzTL744",ARBOR!$A:$C,3,0),"Maior que CAP!",IF((DOLLAR(BZ20+(VLOOKUP("PCS-OzTL744",ARBOR!$A:$C,3,0)*-TRUNC(BZ20/VLOOKUP("PCS-OzTL744",ARBOR!$A:$C,3,0)-1,4)),6))&lt;&gt;(DOLLAR(VLOOKUP("PCS-OzTL744",ARBOR!$A:$C,3,0),6)),-TRUNC(BZ20/VLOOKUP("PCS-OzTL744",ARBOR!$A:$C,3,0)-1,4)+0.0001,-TRUNC(BZ20/VLOOKUP("PCS-OzTL744",ARBOR!$A:$C,3,0)-1,4)))))</f>
        <v/>
      </c>
      <c r="CB20" s="28" t="str">
        <f>IF(ISERROR(IF(CA20="","",VLOOKUP(($BC20&amp;CA20&amp;"Template desconto FLAT Plano Principal Oi TV nível conta"),BENEFICIOS!$A:$G,5,0))),"Criar",IF(CA20="","",VLOOKUP(($BC20&amp;CA20&amp;"Template desconto FLAT Plano Principal Oi TV nível conta"),BENEFICIOS!$A:$G,5,0)))</f>
        <v/>
      </c>
      <c r="CC20" s="8"/>
      <c r="CD20" s="3" t="str">
        <f>IF(CC20=0,"",IF(CC20=VLOOKUP("PCS-OzTL743",ARBOR!$A:$C,3,0),0.0001,IF(CC20&gt;VLOOKUP("PCS-OzTL743",ARBOR!$A:$C,3,0),"Maior que CAP!",IF((DOLLAR(CC20+(VLOOKUP("PCS-OzTL743",ARBOR!$A:$C,3,0)*-TRUNC(CC20/VLOOKUP("PCS-OzTL743",ARBOR!$A:$C,3,0)-1,4)),6))&lt;&gt;(DOLLAR(VLOOKUP("PCS-OzTL743",ARBOR!$A:$C,3,0),6)),-TRUNC(CC20/VLOOKUP("PCS-OzTL743",ARBOR!$A:$C,3,0)-1,4)+0.0001,-TRUNC(CC20/VLOOKUP("PCS-OzTL743",ARBOR!$A:$C,3,0)-1,4)))))</f>
        <v/>
      </c>
      <c r="CE20" s="28" t="str">
        <f>IF(ISERROR(IF(CD20="","",VLOOKUP(($BC20&amp;CD20&amp;"Template desconto FLAT Plano Principal Oi TV nível conta"),BENEFICIOS!$A:$G,5,0))),"Criar",IF(CD20="","",VLOOKUP(($BC20&amp;CD20&amp;"Template desconto FLAT Plano Principal Oi TV nível conta"),BENEFICIOS!$A:$G,5,0)))</f>
        <v/>
      </c>
      <c r="CF20" s="8"/>
      <c r="CG20" s="3" t="str">
        <f>IF(CF20=0,"",IF(CF20=VLOOKUP("PCS-OzTL745",ARBOR!$A:$C,3,0),0.0001,IF(CF20&gt;VLOOKUP("PCS-OzTL745",ARBOR!$A:$C,3,0),"Maior que CAP!",IF((DOLLAR(CF20+(VLOOKUP("PCS-OzTL745",ARBOR!$A:$C,3,0)*-TRUNC(CF20/VLOOKUP("PCS-OzTL745",ARBOR!$A:$C,3,0)-1,4)),6))&lt;&gt;(DOLLAR(VLOOKUP("PCS-OzTL745",ARBOR!$A:$C,3,0),6)),-TRUNC(CF20/VLOOKUP("PCS-OzTL745",ARBOR!$A:$C,3,0)-1,4)+0.0001,-TRUNC(CF20/VLOOKUP("PCS-OzTL745",ARBOR!$A:$C,3,0)-1,4)))))</f>
        <v/>
      </c>
      <c r="CH20" s="28" t="str">
        <f>IF(ISERROR(IF(CG20="","",VLOOKUP(($BC20&amp;CG20&amp;"Template desconto FLAT Plano Principal Oi TV nível conta"),BENEFICIOS!$A:$G,5,0))),"Criar",IF(CG20="","",VLOOKUP(($BC20&amp;CG20&amp;"Template desconto FLAT Plano Principal Oi TV nível conta"),BENEFICIOS!$A:$G,5,0)))</f>
        <v/>
      </c>
      <c r="CI20" s="8"/>
      <c r="CJ20" s="3" t="str">
        <f>IF(CI20=0,"",IF(CI20=VLOOKUP("PCS-OzTL42",ARBOR!$A:$C,3,0),0.0001,IF(CI20&gt;VLOOKUP("PCS-OzTL42",ARBOR!$A:$C,3,0),"Maior que CAP!",IF((DOLLAR(CI20+(VLOOKUP("PCS-OzTL42",ARBOR!$A:$C,3,0)*-TRUNC(CI20/VLOOKUP("PCS-OzTL42",ARBOR!$A:$C,3,0)-1,4)),6))&lt;&gt;(DOLLAR(VLOOKUP("PCS-OzTL42",ARBOR!$A:$C,3,0),6)),-TRUNC(CI20/VLOOKUP("PCS-OzTL42",ARBOR!$A:$C,3,0)-1,4)+0.0001,-TRUNC(CI20/VLOOKUP("PCS-OzTL42",ARBOR!$A:$C,3,0)-1,4)))))</f>
        <v/>
      </c>
      <c r="CK20" s="28" t="str">
        <f>IF(ISERROR(IF(CJ20="","",VLOOKUP(($BC20&amp;CJ20&amp;"Template desconto FLAT Plano Principal Oi TV nível conta"),BENEFICIOS!$A:$G,5,0))),"Criar",IF(CJ20="","",VLOOKUP(($BC20&amp;CJ20&amp;"Template desconto FLAT Plano Principal Oi TV nível conta"),BENEFICIOS!$A:$G,5,0)))</f>
        <v/>
      </c>
      <c r="CL20" s="8"/>
      <c r="CM20" s="3" t="str">
        <f>IF(CL20=0,"",IF(CL20=VLOOKUP("PCS-OzTL47",ARBOR!$A:$C,3,0),0.0001,IF(CL20&gt;VLOOKUP("PCS-OzTL47",ARBOR!$A:$C,3,0),"Maior que CAP!",IF((DOLLAR(CL20+(VLOOKUP("PCS-OzTL47",ARBOR!$A:$C,3,0)*-TRUNC(CL20/VLOOKUP("PCS-OzTL47",ARBOR!$A:$C,3,0)-1,4)),6))&lt;&gt;(DOLLAR(VLOOKUP("PCS-OzTL47",ARBOR!$A:$C,3,0),6)),-TRUNC(CL20/VLOOKUP("PCS-OzTL47",ARBOR!$A:$C,3,0)-1,4)+0.0001,-TRUNC(CL20/VLOOKUP("PCS-OzTL47",ARBOR!$A:$C,3,0)-1,4)))))</f>
        <v/>
      </c>
      <c r="CN20" s="28" t="str">
        <f>IF(ISERROR(IF(CM20="","",VLOOKUP(($BC20&amp;CM20&amp;"Template desconto FLAT Plano Principal Oi TV nível conta"),BENEFICIOS!$A:$G,5,0))),"Criar",IF(CM20="","",VLOOKUP(($BC20&amp;CM20&amp;"Template desconto FLAT Plano Principal Oi TV nível conta"),BENEFICIOS!$A:$G,5,0)))</f>
        <v/>
      </c>
      <c r="CO20" s="8"/>
      <c r="CP20" s="3" t="str">
        <f>IF(CO20=0,"",IF(CO20=VLOOKUP("PCS-OzTL46",ARBOR!$A:$C,3,0),0.0001,IF(CO20&gt;VLOOKUP("PCS-OzTL46",ARBOR!$A:$C,3,0),"Maior que CAP!",IF((DOLLAR(CO20+(VLOOKUP("PCS-OzTL46",ARBOR!$A:$C,3,0)*-TRUNC(CO20/VLOOKUP("PCS-OzTL46",ARBOR!$A:$C,3,0)-1,4)),6))&lt;&gt;(DOLLAR(VLOOKUP("PCS-OzTL46",ARBOR!$A:$C,3,0),6)),-TRUNC(CO20/VLOOKUP("PCS-OzTL46",ARBOR!$A:$C,3,0)-1,4)+0.0001,-TRUNC(CO20/VLOOKUP("PCS-OzTL46",ARBOR!$A:$C,3,0)-1,4)))))</f>
        <v/>
      </c>
      <c r="CQ20" s="28" t="str">
        <f>IF(ISERROR(IF(CP20="","",VLOOKUP(($BC20&amp;CP20&amp;"Template desconto FLAT Plano Principal Oi TV nível conta"),BENEFICIOS!$A:$G,5,0))),"Criar",IF(CP20="","",VLOOKUP(($BC20&amp;CP20&amp;"Template desconto FLAT Plano Principal Oi TV nível conta"),BENEFICIOS!$A:$G,5,0)))</f>
        <v/>
      </c>
      <c r="CR20" s="8"/>
      <c r="CS20" s="3" t="str">
        <f>IF(CR20=0,"",IF(CR20=VLOOKUP("PCS-OzTL48",ARBOR!$A:$C,3,0),0.0001,IF(CR20&gt;VLOOKUP("PCS-OzTL48",ARBOR!$A:$C,3,0),"Maior que CAP!",IF((DOLLAR(CR20+(VLOOKUP("PCS-OzTL48",ARBOR!$A:$C,3,0)*-TRUNC(CR20/VLOOKUP("PCS-OzTL48",ARBOR!$A:$C,3,0)-1,4)),6))&lt;&gt;(DOLLAR(VLOOKUP("PCS-OzTL48",ARBOR!$A:$C,3,0),6)),-TRUNC(CR20/VLOOKUP("PCS-OzTL48",ARBOR!$A:$C,3,0)-1,4)+0.0001,-TRUNC(CR20/VLOOKUP("PCS-OzTL48",ARBOR!$A:$C,3,0)-1,4)))))</f>
        <v/>
      </c>
      <c r="CT20" s="28" t="str">
        <f>IF(ISERROR(IF(CS20="","",VLOOKUP(($BC20&amp;CS20&amp;"Template desconto FLAT Plano Principal Oi TV nível conta"),BENEFICIOS!$A:$G,5,0))),"Criar",IF(CS20="","",VLOOKUP(($BC20&amp;CS20&amp;"Template desconto FLAT Plano Principal Oi TV nível conta"),BENEFICIOS!$A:$G,5,0)))</f>
        <v/>
      </c>
      <c r="CU20" s="8"/>
      <c r="CV20" s="3" t="str">
        <f>IF(CU20=0,"",IF(CU20=VLOOKUP("PCS-OzTL742",ARBOR!$A:$C,3,0),0.0001,IF(CU20&gt;VLOOKUP("PCS-OzTL742",ARBOR!$A:$C,3,0),"Maior que CAP!",IF((DOLLAR(CU20+(VLOOKUP("PCS-OzTL742",ARBOR!$A:$C,3,0)*-TRUNC(CU20/VLOOKUP("PCS-OzTL742",ARBOR!$A:$C,3,0)-1,4)),6))&lt;&gt;(DOLLAR(VLOOKUP("PCS-OzTL742",ARBOR!$A:$C,3,0),6)),-TRUNC(CU20/VLOOKUP("PCS-OzTL742",ARBOR!$A:$C,3,0)-1,4)+0.0001,-TRUNC(CU20/VLOOKUP("PCS-OzTL742",ARBOR!$A:$C,3,0)-1,4)))))</f>
        <v/>
      </c>
      <c r="CW20" s="28" t="str">
        <f>IF(ISERROR(IF(CV20="","",VLOOKUP(($BC20&amp;CV20&amp;"Template desconto FLAT Plano Principal Oi TV nível conta"),BENEFICIOS!$A:$G,5,0))),"Criar",IF(CV20="","",VLOOKUP(($BC20&amp;CV20&amp;"Template desconto FLAT Plano Principal Oi TV nível conta"),BENEFICIOS!$A:$G,5,0)))</f>
        <v/>
      </c>
      <c r="CX20" s="8"/>
      <c r="CY20" s="3" t="str">
        <f>IF(CX20=0,"",IF(CX20=VLOOKUP("PCS-OzTL747",ARBOR!$A:$C,3,0),0.0001,IF(CX20&gt;VLOOKUP("PCS-OzTL747",ARBOR!$A:$C,3,0),"Maior que CAP!",IF((DOLLAR(CX20+(VLOOKUP("PCS-OzTL747",ARBOR!$A:$C,3,0)*-TRUNC(CX20/VLOOKUP("PCS-OzTL747",ARBOR!$A:$C,3,0)-1,4)),6))&lt;&gt;(DOLLAR(VLOOKUP("PCS-OzTL747",ARBOR!$A:$C,3,0),6)),-TRUNC(CX20/VLOOKUP("PCS-OzTL747",ARBOR!$A:$C,3,0)-1,4)+0.0001,-TRUNC(CX20/VLOOKUP("PCS-OzTL747",ARBOR!$A:$C,3,0)-1,4)))))</f>
        <v/>
      </c>
      <c r="CZ20" s="28" t="str">
        <f>IF(ISERROR(IF(CY20="","",VLOOKUP(($BC20&amp;CY20&amp;"Template desconto FLAT Plano Principal Oi TV nível conta"),BENEFICIOS!$A:$G,5,0))),"Criar",IF(CY20="","",VLOOKUP(($BC20&amp;CY20&amp;"Template desconto FLAT Plano Principal Oi TV nível conta"),BENEFICIOS!$A:$G,5,0)))</f>
        <v/>
      </c>
      <c r="DA20" s="8"/>
      <c r="DB20" s="3" t="str">
        <f>IF(DA20=0,"",IF(DA20=VLOOKUP("PCS-OzTL746",ARBOR!$A:$C,3,0),0.0001,IF(DA20&gt;VLOOKUP("PCS-OzTL746",ARBOR!$A:$C,3,0),"Maior que CAP!",IF((DOLLAR(DA20+(VLOOKUP("PCS-OzTL746",ARBOR!$A:$C,3,0)*-TRUNC(DA20/VLOOKUP("PCS-OzTL746",ARBOR!$A:$C,3,0)-1,4)),6))&lt;&gt;(DOLLAR(VLOOKUP("PCS-OzTL746",ARBOR!$A:$C,3,0),6)),-TRUNC(DA20/VLOOKUP("PCS-OzTL746",ARBOR!$A:$C,3,0)-1,4)+0.0001,-TRUNC(DA20/VLOOKUP("PCS-OzTL746",ARBOR!$A:$C,3,0)-1,4)))))</f>
        <v/>
      </c>
      <c r="DC20" s="28" t="str">
        <f>IF(ISERROR(IF(DB20="","",VLOOKUP(($BC20&amp;DB20&amp;"Template desconto FLAT Plano Principal Oi TV nível conta"),BENEFICIOS!$A:$G,5,0))),"Criar",IF(DB20="","",VLOOKUP(($BC20&amp;DB20&amp;"Template desconto FLAT Plano Principal Oi TV nível conta"),BENEFICIOS!$A:$G,5,0)))</f>
        <v/>
      </c>
      <c r="DD20" s="8"/>
      <c r="DE20" s="3" t="str">
        <f>IF(DD20=0,"",IF(DD20=VLOOKUP("PCS-OzTL748",ARBOR!$A:$C,3,0),0.0001,IF(DD20&gt;VLOOKUP("PCS-OzTL748",ARBOR!$A:$C,3,0),"Maior que CAP!",IF((DOLLAR(DD20+(VLOOKUP("PCS-OzTL748",ARBOR!$A:$C,3,0)*-TRUNC(DD20/VLOOKUP("PCS-OzTL748",ARBOR!$A:$C,3,0)-1,4)),6))&lt;&gt;(DOLLAR(VLOOKUP("PCS-OzTL748",ARBOR!$A:$C,3,0),6)),-TRUNC(DD20/VLOOKUP("PCS-OzTL748",ARBOR!$A:$C,3,0)-1,4)+0.0001,-TRUNC(DD20/VLOOKUP("PCS-OzTL748",ARBOR!$A:$C,3,0)-1,4)))))</f>
        <v/>
      </c>
      <c r="DF20" s="28" t="str">
        <f>IF(ISERROR(IF(DE20="","",VLOOKUP(($BC20&amp;DE20&amp;"Template desconto FLAT Plano Principal Oi TV nível conta"),BENEFICIOS!$A:$G,5,0))),"Criar",IF(DE20="","",VLOOKUP(($BC20&amp;DE20&amp;"Template desconto FLAT Plano Principal Oi TV nível conta"),BENEFICIOS!$A:$G,5,0)))</f>
        <v/>
      </c>
      <c r="DG20" s="8"/>
      <c r="DH20" s="3" t="str">
        <f>IF(DG20=0,"",IF(DG20=VLOOKUP("PCS-OzTL34",ARBOR!$A:$C,3,0),0.0001,IF(DG20&gt;VLOOKUP("PCS-OzTL34",ARBOR!$A:$C,3,0),"Maior que CAP!",IF((DOLLAR(DG20+(VLOOKUP("PCS-OzTL34",ARBOR!$A:$C,3,0)*-TRUNC(DG20/VLOOKUP("PCS-OzTL34",ARBOR!$A:$C,3,0)-1,4)),6))&lt;&gt;(DOLLAR(VLOOKUP("PCS-OzTL34",ARBOR!$A:$C,3,0),6)),-TRUNC(DG20/VLOOKUP("PCS-OzTL34",ARBOR!$A:$C,3,0)-1,4)+0.0001,-TRUNC(DG20/VLOOKUP("PCS-OzTL34",ARBOR!$A:$C,3,0)-1,4)))))</f>
        <v/>
      </c>
      <c r="DI20" s="28" t="str">
        <f>IF(DH20="S/Desc","S/Desc",IF(ISERROR(IF(DH20="","",VLOOKUP(($BC20&amp;DH20&amp;"Template desconto % Combate nível conta"),BENEFICIOS!$A:$G,5,0))),"Criar",IF(DH20="","",VLOOKUP(($BC20&amp;DH20&amp;"Template desconto % Combate nível conta"),BENEFICIOS!$A:$G,5,0))))</f>
        <v/>
      </c>
      <c r="DJ20" s="8"/>
      <c r="DK20" s="3" t="str">
        <f>IF(DJ20=0,"",IF(DJ20=VLOOKUP("PCS-OzTL31",ARBOR!$A:$C,3,0),0.0001,IF(DJ20&gt;VLOOKUP("PCS-OzTL31",ARBOR!$A:$C,3,0),"Maior que CAP!",IF((DOLLAR(DJ20+(VLOOKUP("PCS-OzTL31",ARBOR!$A:$C,3,0)*-TRUNC(DJ20/VLOOKUP("PCS-OzTL31",ARBOR!$A:$C,3,0)-1,4)),6))&lt;&gt;(DOLLAR(VLOOKUP("PCS-OzTL31",ARBOR!$A:$C,3,0),6)),-TRUNC(DJ20/VLOOKUP("PCS-OzTL31",ARBOR!$A:$C,3,0)-1,4)+0.0001,-TRUNC(DJ20/VLOOKUP("PCS-OzTL31",ARBOR!$A:$C,3,0)-1,4)))))</f>
        <v/>
      </c>
      <c r="DL20" s="28" t="str">
        <f>IF(DK20="S/Desc","S/Desc",IF(ISERROR(IF(DK20="","",VLOOKUP(($BC20&amp;DK20&amp;"Template desconto % Sexy Hot nível conta"),BENEFICIOS!$A:$G,5,0))),"Criar",IF(DK20="","",VLOOKUP(($BC20&amp;DK20&amp;"Template desconto % Sexy Hot nível conta"),BENEFICIOS!$A:$G,5,0))))</f>
        <v/>
      </c>
      <c r="DM20" s="8"/>
      <c r="DN20" s="3" t="str">
        <f>IF(DM20=0,"",IF(DM20=VLOOKUP("PCS-OzTL32",ARBOR!$A:$C,3,0),0.0001,IF(DM20&gt;VLOOKUP("PCS-OzTL32",ARBOR!$A:$C,3,0),"Maior que CAP!",IF((DOLLAR(DM20+(VLOOKUP("PCS-OzTL32",ARBOR!$A:$C,3,0)*-TRUNC(DM20/VLOOKUP("PCS-OzTL32",ARBOR!$A:$C,3,0)-1,4)),6))&lt;&gt;(DOLLAR(VLOOKUP("PCS-OzTL32",ARBOR!$A:$C,3,0),6)),-TRUNC(DM20/VLOOKUP("PCS-OzTL32",ARBOR!$A:$C,3,0)-1,4)+0.0001,-TRUNC(DM20/VLOOKUP("PCS-OzTL32",ARBOR!$A:$C,3,0)-1,4)))))</f>
        <v/>
      </c>
      <c r="DO20" s="28" t="str">
        <f>IF(DN20="S/Desc","S/Desc",IF(ISERROR(IF(DN20="","",VLOOKUP(($BC20&amp;DN20&amp;"Template desconto % Playboy nível conta"),BENEFICIOS!$A:$G,5,0))),"Criar",IF(DN20="","",VLOOKUP(($BC20&amp;DN20&amp;"Template desconto % Playboy nível conta"),BENEFICIOS!$A:$G,5,0))))</f>
        <v/>
      </c>
      <c r="DP20" s="8"/>
      <c r="DQ20" s="3" t="str">
        <f>IF(DP20=0,"",IF(DP20=VLOOKUP("PCS-OzTL33",ARBOR!$A:$C,3,0),0.0001,IF(DP20&gt;VLOOKUP("PCS-OzTL33",ARBOR!$A:$C,3,0),"Maior que CAP!",IF((DOLLAR(DP20+(VLOOKUP("PCS-OzTL33",ARBOR!$A:$C,3,0)*-TRUNC(DP20/VLOOKUP("PCS-OzTL33",ARBOR!$A:$C,3,0)-1,4)),6))&lt;&gt;(DOLLAR(VLOOKUP("PCS-OzTL33",ARBOR!$A:$C,3,0),6)),-TRUNC(DP20/VLOOKUP("PCS-OzTL33",ARBOR!$A:$C,3,0)-1,4)+0.0001,-TRUNC(DP20/VLOOKUP("PCS-OzTL33",ARBOR!$A:$C,3,0)-1,4)))))</f>
        <v/>
      </c>
      <c r="DR20" s="28" t="str">
        <f>IF(DQ20="S/Desc","S/Desc",IF(ISERROR(IF(DQ20="","",VLOOKUP(($BC20&amp;DQ20&amp;"Template desconto % Sexy Hot + Playboy nível conta"),BENEFICIOS!$A:$G,5,0))),"Criar",IF(DQ20="","",VLOOKUP(($BC20&amp;DQ20&amp;"Template desconto % Sexy Hot + Playboy nível conta"),BENEFICIOS!$A:$G,5,0))))</f>
        <v/>
      </c>
      <c r="DS20" s="8"/>
      <c r="DT20" s="3" t="str">
        <f>IF(DS20=0,"",IF(DS20=VLOOKUP("PCS-OzTL503",ARBOR!$A:$C,3,0),0.0001,IF(DS20&gt;VLOOKUP("PCS-OzTL503",ARBOR!$A:$C,3,0),"Maior que CAP!",IF((DOLLAR(DS20+(VLOOKUP("PCS-OzTL503",ARBOR!$A:$C,3,0)*-TRUNC(DS20/VLOOKUP("PCS-OzTL503",ARBOR!$A:$C,3,0)-1,4)),6))&lt;&gt;(DOLLAR(VLOOKUP("PCS-OzTL503",ARBOR!$A:$C,3,0),6)),-TRUNC(DS20/VLOOKUP("PCS-OzTL503",ARBOR!$A:$C,3,0)-1,4)+0.0001,-TRUNC(DS20/VLOOKUP("PCS-OzTL503",ARBOR!$A:$C,3,0)-1,4)))))</f>
        <v/>
      </c>
      <c r="DU20" s="28" t="str">
        <f>IF(DT20="S/Desc","S/Desc",IF(ISERROR(IF(DT20="","",VLOOKUP(($BC20&amp;DT20&amp;"Template desconto % SexPrivê nível conta"),BENEFICIOS!$A:$G,5,0))),"Criar",IF(DT20="","",VLOOKUP(($BC20&amp;DT20&amp;"Template desconto % SexPrivê nível conta"),BENEFICIOS!$A:$G,5,0))))</f>
        <v/>
      </c>
      <c r="DV20" s="8"/>
      <c r="DW20" s="3" t="str">
        <f>IF(DV20=0,"",IF(DV20=VLOOKUP("PCS-OzTL500",ARBOR!$A:$C,3,0),0.0001,IF(DV20&gt;VLOOKUP("PCS-OzTL500",ARBOR!$A:$C,3,0),"Maior que CAP!",IF((DOLLAR(DV20+(VLOOKUP("PCS-OzTL500",ARBOR!$A:$C,3,0)*-TRUNC(DV20/VLOOKUP("PCS-OzTL500",ARBOR!$A:$C,3,0)-1,4)),6))&lt;&gt;(DOLLAR(VLOOKUP("PCS-OzTL500",ARBOR!$A:$C,3,0),6)),-TRUNC(DV20/VLOOKUP("PCS-OzTL500",ARBOR!$A:$C,3,0)-1,4)+0.0001,-TRUNC(DV20/VLOOKUP("PCS-OzTL500",ARBOR!$A:$C,3,0)-1,4)))))</f>
        <v/>
      </c>
      <c r="DX20" s="28" t="str">
        <f>IF(DW20="S/Desc","S/Desc",IF(ISERROR(IF(DW20="","",VLOOKUP(($BC20&amp;DW20&amp;"Template desconto % Étnico nível conta"),BENEFICIOS!$A:$G,5,0))),"Criar",IF(DW20="","",VLOOKUP(($BC20&amp;DW20&amp;"Template desconto % Étnico nível conta"),BENEFICIOS!$A:$G,5,0))))</f>
        <v/>
      </c>
      <c r="DY20" s="8"/>
      <c r="DZ20" s="181" t="str">
        <f>IF(DY20=0,"",IF(DY20=VLOOKUP("PCS-OzTL50",ARBOR!$A:$C,3,0),0.0001,IF(DY20&gt;VLOOKUP("PCS-OzTL50",ARBOR!$A:$C,3,0),"Maior que CAP!",IF((DOLLAR(DY20+(VLOOKUP("PCS-OzTL50",ARBOR!$A:$C,3,0)*-TRUNC(DY20/VLOOKUP("PCS-OzTL50",ARBOR!$A:$C,3,0)-1,4)),6))&lt;&gt;(DOLLAR(VLOOKUP("PCS-OzTL50",ARBOR!$A:$C,3,0),6)),-TRUNC(DY20/VLOOKUP("PCS-OzTL50",ARBOR!$A:$C,3,0)-1,4)+0.0001,-TRUNC(DY20/VLOOKUP("PCS-OzTL50",ARBOR!$A:$C,3,0)-1,4)))))</f>
        <v/>
      </c>
      <c r="EA20" s="28"/>
      <c r="EB20" s="8"/>
      <c r="EC20" s="181" t="str">
        <f>IF(EB20=0,"",IF(EB20=VLOOKUP("PCS-OzTL51",ARBOR!$A:$C,3,0),0.0001,IF(EB20&gt;VLOOKUP("PCS-OzTL51",ARBOR!$A:$C,3,0),"Maior que CAP!",IF((DOLLAR(EB20+(VLOOKUP("PCS-OzTL51",ARBOR!$A:$C,3,0)*-TRUNC(EB20/VLOOKUP("PCS-OzTL51",ARBOR!$A:$C,3,0)-1,4)),6))&lt;&gt;(DOLLAR(VLOOKUP("PCS-OzTL51",ARBOR!$A:$C,3,0),6)),-TRUNC(EB20/VLOOKUP("PCS-OzTL51",ARBOR!$A:$C,3,0)-1,4)+0.0001,-TRUNC(EB20/VLOOKUP("PCS-OzTL51",ARBOR!$A:$C,3,0)-1,4)))))</f>
        <v/>
      </c>
      <c r="ED20" s="28"/>
      <c r="EE20" s="8"/>
      <c r="EF20" s="181" t="str">
        <f>IF(EE20=0,"",IF(EE20=VLOOKUP("PCS-OzTL52",ARBOR!$A:$C,3,0),0.0001,IF(EE20&gt;VLOOKUP("PCS-OzTL52",ARBOR!$A:$C,3,0),"Maior que CAP!",IF((DOLLAR(EE20+(VLOOKUP("PCS-OzTL52",ARBOR!$A:$C,3,0)*-TRUNC(EE20/VLOOKUP("PCS-OzTL52",ARBOR!$A:$C,3,0)-1,4)),6))&lt;&gt;(DOLLAR(VLOOKUP("PCS-OzTL52",ARBOR!$A:$C,3,0),6)),-TRUNC(EE20/VLOOKUP("PCS-OzTL52",ARBOR!$A:$C,3,0)-1,4)+0.0001,-TRUNC(EE20/VLOOKUP("PCS-OzTL52",ARBOR!$A:$C,3,0)-1,4)))))</f>
        <v/>
      </c>
      <c r="EG20" s="28"/>
      <c r="EH20" s="8"/>
      <c r="EI20" s="181" t="str">
        <f>IF(EH20=0,"",IF(EH20=VLOOKUP("PCS-OzTL53",ARBOR!$A:$C,3,0),0.0001,IF(EH20&gt;VLOOKUP("PCS-OzTL53",ARBOR!$A:$C,3,0),"Maior que CAP!",IF((DOLLAR(EH20+(VLOOKUP("PCS-OzTL53",ARBOR!$A:$C,3,0)*-TRUNC(EH20/VLOOKUP("PCS-OzTL53",ARBOR!$A:$C,3,0)-1,4)),6))&lt;&gt;(DOLLAR(VLOOKUP("PCS-OzTL53",ARBOR!$A:$C,3,0),6)),-TRUNC(EH20/VLOOKUP("PCS-OzTL53",ARBOR!$A:$C,3,0)-1,4)+0.0001,-TRUNC(EH20/VLOOKUP("PCS-OzTL53",ARBOR!$A:$C,3,0)-1,4)))))</f>
        <v/>
      </c>
      <c r="EJ20" s="28"/>
      <c r="EK20" s="8"/>
      <c r="EL20" s="181" t="str">
        <f>IF(EK20=0,"",IF(EK20=VLOOKUP("PCS-OzTL54",ARBOR!$A:$C,3,0),0.0001,IF(EK20&gt;VLOOKUP("PCS-OzTL54",ARBOR!$A:$C,3,0),"Maior que CAP!",IF((DOLLAR(EK20+(VLOOKUP("PCS-OzTL54",ARBOR!$A:$C,3,0)*-TRUNC(EK20/VLOOKUP("PCS-OzTL54",ARBOR!$A:$C,3,0)-1,4)),6))&lt;&gt;(DOLLAR(VLOOKUP("PCS-OzTL54",ARBOR!$A:$C,3,0),6)),-TRUNC(EK20/VLOOKUP("PCS-OzTL54",ARBOR!$A:$C,3,0)-1,4)+0.0001,-TRUNC(EK20/VLOOKUP("PCS-OzTL54",ARBOR!$A:$C,3,0)-1,4)))))</f>
        <v/>
      </c>
      <c r="EM20" s="28"/>
      <c r="EN20" s="8"/>
      <c r="EO20" s="3" t="str">
        <f>IF(EN20=0,"",IF(EN20=VLOOKUP("PCS-OzTL99",ARBOR!$A:$C,3,0),0.0001,IF(EN20&gt;VLOOKUP("PCS-OzTL99",ARBOR!$A:$C,3,0),"Maior que CAP!",IF((DOLLAR(EN20+(VLOOKUP("PCS-OzTL99",ARBOR!$A:$C,3,0)*-TRUNC(EN20/VLOOKUP("PCS-OzTL99",ARBOR!$A:$C,3,0)-1,4)),6))&lt;&gt;(DOLLAR(VLOOKUP("PCS-OzTL99",ARBOR!$A:$C,3,0),6)),-TRUNC(EN20/VLOOKUP("PCS-OzTL99",ARBOR!$A:$C,3,0)-1,4)+0.0001,-TRUNC(EN20/VLOOKUP("PCS-OzTL99",ARBOR!$A:$C,3,0)-1,4)))))</f>
        <v/>
      </c>
      <c r="EP20" s="28" t="str">
        <f>IF(EO20="S/Desc","S/Desc",IF(ISERROR(IF(EO20="","",VLOOKUP(($BC20&amp;EO20&amp;"Template desconto % Ponto adicional nível conta"),BENEFICIOS!$A:$G,5,0))),"Criar",IF(EO20="","",VLOOKUP(($BC20&amp;EO20&amp;"Template desconto % Ponto adicional nível conta"),BENEFICIOS!$A:$G,5,0))))</f>
        <v/>
      </c>
      <c r="EQ20" s="8"/>
      <c r="ER20" s="28" t="str">
        <f t="shared" si="23"/>
        <v/>
      </c>
      <c r="ES20" s="62"/>
      <c r="ET20" s="126"/>
      <c r="EU20" s="127"/>
      <c r="EV20" s="126"/>
      <c r="EW20" s="128" t="str">
        <f t="shared" si="24"/>
        <v/>
      </c>
      <c r="EX20" s="129" t="str">
        <f t="shared" si="25"/>
        <v/>
      </c>
      <c r="EY20" s="91" t="str">
        <f t="shared" si="26"/>
        <v/>
      </c>
      <c r="EZ20" s="85"/>
      <c r="FA20" s="97"/>
      <c r="FB20" s="91"/>
      <c r="FC20" s="85"/>
      <c r="FD20" s="97"/>
      <c r="FE20" s="91"/>
      <c r="FF20" s="87"/>
      <c r="FG20" s="144" t="str">
        <f t="shared" si="5"/>
        <v/>
      </c>
      <c r="FH20" s="144" t="str">
        <f t="shared" si="6"/>
        <v/>
      </c>
      <c r="FI20" s="144" t="str">
        <f t="shared" si="7"/>
        <v/>
      </c>
      <c r="FJ20" s="144" t="str">
        <f t="shared" si="8"/>
        <v/>
      </c>
      <c r="FK20" s="144" t="str">
        <f t="shared" si="9"/>
        <v/>
      </c>
      <c r="FL20" s="144" t="str">
        <f t="shared" si="10"/>
        <v/>
      </c>
      <c r="FM20" s="144" t="str">
        <f t="shared" si="11"/>
        <v/>
      </c>
      <c r="FN20" s="144" t="str">
        <f t="shared" si="12"/>
        <v/>
      </c>
      <c r="FO20" s="144" t="str">
        <f t="shared" si="13"/>
        <v/>
      </c>
      <c r="FP20" s="144" t="str">
        <f t="shared" si="14"/>
        <v/>
      </c>
      <c r="FQ20" s="144" t="str">
        <f t="shared" si="15"/>
        <v/>
      </c>
      <c r="FR20" s="144" t="str">
        <f t="shared" si="16"/>
        <v/>
      </c>
      <c r="FS20" s="144" t="str">
        <f t="shared" si="17"/>
        <v/>
      </c>
      <c r="FT20" s="144" t="str">
        <f t="shared" si="18"/>
        <v/>
      </c>
      <c r="FU20" s="144" t="str">
        <f t="shared" si="19"/>
        <v/>
      </c>
      <c r="FV20" s="144" t="str">
        <f t="shared" si="20"/>
        <v/>
      </c>
      <c r="FW20" s="144" t="str">
        <f t="shared" si="21"/>
        <v/>
      </c>
      <c r="FX20" s="151"/>
      <c r="FY20" s="152"/>
      <c r="FZ20" s="152"/>
      <c r="GA20" s="152"/>
      <c r="GB20" s="152"/>
      <c r="GC20" s="152"/>
      <c r="GD20" s="152"/>
      <c r="GE20" s="152"/>
      <c r="GF20" s="152"/>
      <c r="GG20" s="153"/>
    </row>
    <row r="21" spans="1:189">
      <c r="A21" s="45"/>
      <c r="B21" s="133"/>
      <c r="C21" s="133"/>
      <c r="D21" s="46"/>
      <c r="E21" s="47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9"/>
      <c r="U21" s="48"/>
      <c r="V21" s="49"/>
      <c r="W21" s="48"/>
      <c r="X21" s="48"/>
      <c r="Y21" s="48"/>
      <c r="Z21" s="48"/>
      <c r="AA21" s="49"/>
      <c r="AB21" s="48"/>
      <c r="AC21" s="50"/>
      <c r="AD21" s="48"/>
      <c r="AE21" s="48"/>
      <c r="AF21" s="48"/>
      <c r="AG21" s="48"/>
      <c r="AH21" s="48"/>
      <c r="AI21" s="48"/>
      <c r="AJ21" s="48"/>
      <c r="AK21" s="48"/>
      <c r="AL21" s="51"/>
      <c r="AM21" s="37"/>
      <c r="AN21" s="38"/>
      <c r="AO21" s="39"/>
      <c r="AP21" s="52"/>
      <c r="AQ21" s="53"/>
      <c r="AR21" s="64"/>
      <c r="AS21" s="65"/>
      <c r="AT21" s="54"/>
      <c r="AU21" s="54"/>
      <c r="AV21" s="54"/>
      <c r="AW21" s="54"/>
      <c r="AX21" s="70"/>
      <c r="AY21" s="71"/>
      <c r="AZ21" s="72"/>
      <c r="BA21" s="73"/>
      <c r="BB21" s="55"/>
      <c r="BC21" s="56"/>
      <c r="BD21" s="27" t="str">
        <f t="shared" si="22"/>
        <v/>
      </c>
      <c r="BE21" s="58"/>
      <c r="BF21" s="3" t="str">
        <f>IF(BE21=0,"",IF(BE21=VLOOKUP("FIXO",ARBOR!$A:$C,3,0),0.0001,IF(BE21&gt;VLOOKUP("FIXO",ARBOR!$A:$C,3,0),"Maior que CAP!",IF((DOLLAR(BE21+(VLOOKUP("FIXO",ARBOR!$A:$C,3,0)*-TRUNC(BE21/VLOOKUP("FIXO",ARBOR!$A:$C,3,0)-1,4)),6))&lt;&gt;(DOLLAR(VLOOKUP("FIXO",ARBOR!$A:$C,3,0),6)),-TRUNC(BE21/VLOOKUP("FIXO",ARBOR!$A:$C,3,0)-1,4)+0.0001,-TRUNC(BE21/VLOOKUP("FIXO",ARBOR!$A:$C,3,0)-1,4)))))</f>
        <v/>
      </c>
      <c r="BG21" s="10" t="str">
        <f>IF(ISERROR(IF(BF21="","",VLOOKUP(($BC21&amp;BF21&amp;"Template de desconto FLAT bundle - Fixo - Varejo - Ganho Tributário Cross"),BENEFICIOS!$A:$G,5,0))),"Criar",IF(BF21="","",VLOOKUP(($BC21&amp;BF21&amp;"Template de desconto FLAT bundle - Fixo - Varejo - Ganho Tributário Cross"),BENEFICIOS!$A:$G,5,0)))</f>
        <v/>
      </c>
      <c r="BH21" s="8"/>
      <c r="BI21" s="3" t="str">
        <f>IF(BH21=0,"",IF(BH21=VLOOKUP("PCS-OzTL40",ARBOR!$A:$C,3,0),0.0001,IF(BH21&gt;VLOOKUP("PCS-OzTL40",ARBOR!$A:$C,3,0),"Maior que CAP!",IF((DOLLAR(BH21+(VLOOKUP("PCS-OzTL40",ARBOR!$A:$C,3,0)*-TRUNC(BH21/VLOOKUP("PCS-OzTL40",ARBOR!$A:$C,3,0)-1,4)),6))&lt;&gt;(DOLLAR(VLOOKUP("PCS-OzTL40",ARBOR!$A:$C,3,0),6)),-TRUNC(BH21/VLOOKUP("PCS-OzTL40",ARBOR!$A:$C,3,0)-1,4)+0.0001,-TRUNC(BH21/VLOOKUP("PCS-OzTL40",ARBOR!$A:$C,3,0)-1,4)))))</f>
        <v/>
      </c>
      <c r="BJ21" s="10" t="str">
        <f>IF(ISERROR(IF(BI21="","",VLOOKUP((BC21&amp;BI21&amp;"Template desconto FLAT Plano Principal Oi TV nível conta"),BENEFICIOS!$A:$G,5,0))),"Criar",IF(BI21="","",VLOOKUP((BC21&amp;BI21&amp;"Template desconto FLAT Plano Principal Oi TV nível conta"),BENEFICIOS!$A:$G,5,0)))</f>
        <v/>
      </c>
      <c r="BK21" s="8"/>
      <c r="BL21" s="3" t="str">
        <f>IF(BK21=0,"",IF(BK21=VLOOKUP("PCS-OzTL41",ARBOR!$A:$C,3,0),0.0001,IF(BK21&gt;VLOOKUP("PCS-OzTL41",ARBOR!$A:$C,3,0),"Maior que CAP!",IF((DOLLAR(BK21+(VLOOKUP("PCS-OzTL41",ARBOR!$A:$C,3,0)*-TRUNC(BK21/VLOOKUP("PCS-OzTL41",ARBOR!$A:$C,3,0)-1,4)),6))&lt;&gt;(DOLLAR(VLOOKUP("PCS-OzTL41",ARBOR!$A:$C,3,0),6)),-TRUNC(BK21/VLOOKUP("PCS-OzTL41",ARBOR!$A:$C,3,0)-1,4)+0.0001,-TRUNC(BK21/VLOOKUP("PCS-OzTL41",ARBOR!$A:$C,3,0)-1,4)))))</f>
        <v/>
      </c>
      <c r="BM21" s="28" t="str">
        <f>IF(ISERROR(IF(BL21="","",VLOOKUP((BC21&amp;BL21&amp;"Template desconto FLAT Plano Principal Oi TV nível conta"),BENEFICIOS!$A:$G,5,0))),"Criar",IF(BL21="","",VLOOKUP((BC21&amp;BL21&amp;"Template desconto FLAT Plano Principal Oi TV nível conta"),BENEFICIOS!$A:$G,5,0)))</f>
        <v/>
      </c>
      <c r="BN21" s="8"/>
      <c r="BO21" s="3" t="str">
        <f>IF(BN21=0,"",IF(BN21=VLOOKUP("PCS-OzTL44",ARBOR!$A:$C,3,0),0.0001,IF(BN21&gt;VLOOKUP("PCS-OzTL44",ARBOR!$A:$C,3,0),"Maior que CAP!",IF((DOLLAR(BN21+(VLOOKUP("PCS-OzTL44",ARBOR!$A:$C,3,0)*-TRUNC(BN21/VLOOKUP("PCS-OzTL44",ARBOR!$A:$C,3,0)-1,4)),6))&lt;&gt;(DOLLAR(VLOOKUP("PCS-OzTL44",ARBOR!$A:$C,3,0),6)),-TRUNC(BN21/VLOOKUP("PCS-OzTL44",ARBOR!$A:$C,3,0)-1,4)+0.0001,-TRUNC(BN21/VLOOKUP("PCS-OzTL44",ARBOR!$A:$C,3,0)-1,4)))))</f>
        <v/>
      </c>
      <c r="BP21" s="28" t="str">
        <f>IF(ISERROR(IF(BO21="","",VLOOKUP((BC21&amp;BO21&amp;"Template desconto FLAT Plano Principal Oi TV nível conta"),BENEFICIOS!$A:$G,5,0))),"Criar",IF(BO21="","",VLOOKUP((BC21&amp;BO21&amp;"Template desconto FLAT Plano Principal Oi TV nível conta"),BENEFICIOS!$A:$G,5,0)))</f>
        <v/>
      </c>
      <c r="BQ21" s="8"/>
      <c r="BR21" s="3" t="str">
        <f>IF(BQ21=0,"",IF(BQ21=VLOOKUP("PCS-OzTL43",ARBOR!$A:$C,3,0),0.0001,IF(BQ21&gt;VLOOKUP("PCS-OzTL43",ARBOR!$A:$C,3,0),"Maior que CAP!",IF((DOLLAR(BQ21+(VLOOKUP("PCS-OzTL43",ARBOR!$A:$C,3,0)*-TRUNC(BQ21/VLOOKUP("PCS-OzTL43",ARBOR!$A:$C,3,0)-1,4)),6))&lt;&gt;(DOLLAR(VLOOKUP("PCS-OzTL43",ARBOR!$A:$C,3,0),6)),-TRUNC(BQ21/VLOOKUP("PCS-OzTL43",ARBOR!$A:$C,3,0)-1,4)+0.0001,-TRUNC(BQ21/VLOOKUP("PCS-OzTL43",ARBOR!$A:$C,3,0)-1,4)))))</f>
        <v/>
      </c>
      <c r="BS21" s="28" t="str">
        <f>IF(ISERROR(IF(BR21="","",VLOOKUP((BC21&amp;BR21&amp;"Template desconto FLAT Plano Principal Oi TV nível conta"),BENEFICIOS!$A:$G,5,0))),"Criar",IF(BR21="","",VLOOKUP((BC21&amp;BR21&amp;"Template desconto FLAT Plano Principal Oi TV nível conta"),BENEFICIOS!$A:$G,5,0)))</f>
        <v/>
      </c>
      <c r="BT21" s="8"/>
      <c r="BU21" s="3" t="str">
        <f>IF(BT21=0,"",IF(BT21=VLOOKUP("PCS-OzTL45",ARBOR!$A:$C,3,0),0.0001,IF(BT21&gt;VLOOKUP("PCS-OzTL45",ARBOR!$A:$C,3,0),"Maior que CAP!",IF((DOLLAR(BT21+(VLOOKUP("PCS-OzTL45",ARBOR!$A:$C,3,0)*-TRUNC(BT21/VLOOKUP("PCS-OzTL45",ARBOR!$A:$C,3,0)-1,4)),6))&lt;&gt;(DOLLAR(VLOOKUP("PCS-OzTL45",ARBOR!$A:$C,3,0),6)),-TRUNC(BT21/VLOOKUP("PCS-OzTL45",ARBOR!$A:$C,3,0)-1,4)+0.0001,-TRUNC(BT21/VLOOKUP("PCS-OzTL45",ARBOR!$A:$C,3,0)-1,4)))))</f>
        <v/>
      </c>
      <c r="BV21" s="28" t="str">
        <f>IF(ISERROR(IF(BU21="","",VLOOKUP((BC21&amp;BU21&amp;"Template desconto FLAT Plano Principal Oi TV nível conta"),BENEFICIOS!$A:$G,5,0))),"Criar",IF(BU21="","",VLOOKUP((BC21&amp;BU21&amp;"Template desconto FLAT Plano Principal Oi TV nível conta"),BENEFICIOS!$A:$G,5,0)))</f>
        <v/>
      </c>
      <c r="BW21" s="8"/>
      <c r="BX21" s="3" t="str">
        <f>IF(BW21=0,"",IF(BW21=VLOOKUP("PCS-OzTL741",ARBOR!$A:$C,3,0),0.0001,IF(BW21&gt;VLOOKUP("PCS-OzTL741",ARBOR!$A:$C,3,0),"Maior que CAP!",IF((DOLLAR(BW21+(VLOOKUP("PCS-OzTL741",ARBOR!$A:$C,3,0)*-TRUNC(BW21/VLOOKUP("PCS-OzTL741",ARBOR!$A:$C,3,0)-1,4)),6))&lt;&gt;(DOLLAR(VLOOKUP("PCS-OzTL741",ARBOR!$A:$C,3,0),6)),-TRUNC(BW21/VLOOKUP("PCS-OzTL741",ARBOR!$A:$C,3,0)-1,4)+0.0001,-TRUNC(BW21/VLOOKUP("PCS-OzTL741",ARBOR!$A:$C,3,0)-1,4)))))</f>
        <v/>
      </c>
      <c r="BY21" s="28" t="str">
        <f>IF(ISERROR(IF(BX21="","",VLOOKUP((BC21&amp;BX21&amp;"Template desconto FLAT Plano Principal Oi TV nível conta"),BENEFICIOS!$A:$G,5,0))),"Criar",IF(BX21="","",VLOOKUP((BC21&amp;BX21&amp;"Template desconto FLAT Plano Principal Oi TV nível conta"),BENEFICIOS!$A:$G,5,0)))</f>
        <v/>
      </c>
      <c r="BZ21" s="8"/>
      <c r="CA21" s="3" t="str">
        <f>IF(BZ21=0,"",IF(BZ21=VLOOKUP("PCS-OzTL744",ARBOR!$A:$C,3,0),0.0001,IF(BZ21&gt;VLOOKUP("PCS-OzTL744",ARBOR!$A:$C,3,0),"Maior que CAP!",IF((DOLLAR(BZ21+(VLOOKUP("PCS-OzTL744",ARBOR!$A:$C,3,0)*-TRUNC(BZ21/VLOOKUP("PCS-OzTL744",ARBOR!$A:$C,3,0)-1,4)),6))&lt;&gt;(DOLLAR(VLOOKUP("PCS-OzTL744",ARBOR!$A:$C,3,0),6)),-TRUNC(BZ21/VLOOKUP("PCS-OzTL744",ARBOR!$A:$C,3,0)-1,4)+0.0001,-TRUNC(BZ21/VLOOKUP("PCS-OzTL744",ARBOR!$A:$C,3,0)-1,4)))))</f>
        <v/>
      </c>
      <c r="CB21" s="28" t="str">
        <f>IF(ISERROR(IF(CA21="","",VLOOKUP(($BC21&amp;CA21&amp;"Template desconto FLAT Plano Principal Oi TV nível conta"),BENEFICIOS!$A:$G,5,0))),"Criar",IF(CA21="","",VLOOKUP(($BC21&amp;CA21&amp;"Template desconto FLAT Plano Principal Oi TV nível conta"),BENEFICIOS!$A:$G,5,0)))</f>
        <v/>
      </c>
      <c r="CC21" s="8"/>
      <c r="CD21" s="3" t="str">
        <f>IF(CC21=0,"",IF(CC21=VLOOKUP("PCS-OzTL743",ARBOR!$A:$C,3,0),0.0001,IF(CC21&gt;VLOOKUP("PCS-OzTL743",ARBOR!$A:$C,3,0),"Maior que CAP!",IF((DOLLAR(CC21+(VLOOKUP("PCS-OzTL743",ARBOR!$A:$C,3,0)*-TRUNC(CC21/VLOOKUP("PCS-OzTL743",ARBOR!$A:$C,3,0)-1,4)),6))&lt;&gt;(DOLLAR(VLOOKUP("PCS-OzTL743",ARBOR!$A:$C,3,0),6)),-TRUNC(CC21/VLOOKUP("PCS-OzTL743",ARBOR!$A:$C,3,0)-1,4)+0.0001,-TRUNC(CC21/VLOOKUP("PCS-OzTL743",ARBOR!$A:$C,3,0)-1,4)))))</f>
        <v/>
      </c>
      <c r="CE21" s="28" t="str">
        <f>IF(ISERROR(IF(CD21="","",VLOOKUP(($BC21&amp;CD21&amp;"Template desconto FLAT Plano Principal Oi TV nível conta"),BENEFICIOS!$A:$G,5,0))),"Criar",IF(CD21="","",VLOOKUP(($BC21&amp;CD21&amp;"Template desconto FLAT Plano Principal Oi TV nível conta"),BENEFICIOS!$A:$G,5,0)))</f>
        <v/>
      </c>
      <c r="CF21" s="8"/>
      <c r="CG21" s="3" t="str">
        <f>IF(CF21=0,"",IF(CF21=VLOOKUP("PCS-OzTL745",ARBOR!$A:$C,3,0),0.0001,IF(CF21&gt;VLOOKUP("PCS-OzTL745",ARBOR!$A:$C,3,0),"Maior que CAP!",IF((DOLLAR(CF21+(VLOOKUP("PCS-OzTL745",ARBOR!$A:$C,3,0)*-TRUNC(CF21/VLOOKUP("PCS-OzTL745",ARBOR!$A:$C,3,0)-1,4)),6))&lt;&gt;(DOLLAR(VLOOKUP("PCS-OzTL745",ARBOR!$A:$C,3,0),6)),-TRUNC(CF21/VLOOKUP("PCS-OzTL745",ARBOR!$A:$C,3,0)-1,4)+0.0001,-TRUNC(CF21/VLOOKUP("PCS-OzTL745",ARBOR!$A:$C,3,0)-1,4)))))</f>
        <v/>
      </c>
      <c r="CH21" s="28" t="str">
        <f>IF(ISERROR(IF(CG21="","",VLOOKUP(($BC21&amp;CG21&amp;"Template desconto FLAT Plano Principal Oi TV nível conta"),BENEFICIOS!$A:$G,5,0))),"Criar",IF(CG21="","",VLOOKUP(($BC21&amp;CG21&amp;"Template desconto FLAT Plano Principal Oi TV nível conta"),BENEFICIOS!$A:$G,5,0)))</f>
        <v/>
      </c>
      <c r="CI21" s="8"/>
      <c r="CJ21" s="3" t="str">
        <f>IF(CI21=0,"",IF(CI21=VLOOKUP("PCS-OzTL42",ARBOR!$A:$C,3,0),0.0001,IF(CI21&gt;VLOOKUP("PCS-OzTL42",ARBOR!$A:$C,3,0),"Maior que CAP!",IF((DOLLAR(CI21+(VLOOKUP("PCS-OzTL42",ARBOR!$A:$C,3,0)*-TRUNC(CI21/VLOOKUP("PCS-OzTL42",ARBOR!$A:$C,3,0)-1,4)),6))&lt;&gt;(DOLLAR(VLOOKUP("PCS-OzTL42",ARBOR!$A:$C,3,0),6)),-TRUNC(CI21/VLOOKUP("PCS-OzTL42",ARBOR!$A:$C,3,0)-1,4)+0.0001,-TRUNC(CI21/VLOOKUP("PCS-OzTL42",ARBOR!$A:$C,3,0)-1,4)))))</f>
        <v/>
      </c>
      <c r="CK21" s="28" t="str">
        <f>IF(ISERROR(IF(CJ21="","",VLOOKUP(($BC21&amp;CJ21&amp;"Template desconto FLAT Plano Principal Oi TV nível conta"),BENEFICIOS!$A:$G,5,0))),"Criar",IF(CJ21="","",VLOOKUP(($BC21&amp;CJ21&amp;"Template desconto FLAT Plano Principal Oi TV nível conta"),BENEFICIOS!$A:$G,5,0)))</f>
        <v/>
      </c>
      <c r="CL21" s="8"/>
      <c r="CM21" s="3" t="str">
        <f>IF(CL21=0,"",IF(CL21=VLOOKUP("PCS-OzTL47",ARBOR!$A:$C,3,0),0.0001,IF(CL21&gt;VLOOKUP("PCS-OzTL47",ARBOR!$A:$C,3,0),"Maior que CAP!",IF((DOLLAR(CL21+(VLOOKUP("PCS-OzTL47",ARBOR!$A:$C,3,0)*-TRUNC(CL21/VLOOKUP("PCS-OzTL47",ARBOR!$A:$C,3,0)-1,4)),6))&lt;&gt;(DOLLAR(VLOOKUP("PCS-OzTL47",ARBOR!$A:$C,3,0),6)),-TRUNC(CL21/VLOOKUP("PCS-OzTL47",ARBOR!$A:$C,3,0)-1,4)+0.0001,-TRUNC(CL21/VLOOKUP("PCS-OzTL47",ARBOR!$A:$C,3,0)-1,4)))))</f>
        <v/>
      </c>
      <c r="CN21" s="28" t="str">
        <f>IF(ISERROR(IF(CM21="","",VLOOKUP(($BC21&amp;CM21&amp;"Template desconto FLAT Plano Principal Oi TV nível conta"),BENEFICIOS!$A:$G,5,0))),"Criar",IF(CM21="","",VLOOKUP(($BC21&amp;CM21&amp;"Template desconto FLAT Plano Principal Oi TV nível conta"),BENEFICIOS!$A:$G,5,0)))</f>
        <v/>
      </c>
      <c r="CO21" s="8"/>
      <c r="CP21" s="3" t="str">
        <f>IF(CO21=0,"",IF(CO21=VLOOKUP("PCS-OzTL46",ARBOR!$A:$C,3,0),0.0001,IF(CO21&gt;VLOOKUP("PCS-OzTL46",ARBOR!$A:$C,3,0),"Maior que CAP!",IF((DOLLAR(CO21+(VLOOKUP("PCS-OzTL46",ARBOR!$A:$C,3,0)*-TRUNC(CO21/VLOOKUP("PCS-OzTL46",ARBOR!$A:$C,3,0)-1,4)),6))&lt;&gt;(DOLLAR(VLOOKUP("PCS-OzTL46",ARBOR!$A:$C,3,0),6)),-TRUNC(CO21/VLOOKUP("PCS-OzTL46",ARBOR!$A:$C,3,0)-1,4)+0.0001,-TRUNC(CO21/VLOOKUP("PCS-OzTL46",ARBOR!$A:$C,3,0)-1,4)))))</f>
        <v/>
      </c>
      <c r="CQ21" s="28" t="str">
        <f>IF(ISERROR(IF(CP21="","",VLOOKUP(($BC21&amp;CP21&amp;"Template desconto FLAT Plano Principal Oi TV nível conta"),BENEFICIOS!$A:$G,5,0))),"Criar",IF(CP21="","",VLOOKUP(($BC21&amp;CP21&amp;"Template desconto FLAT Plano Principal Oi TV nível conta"),BENEFICIOS!$A:$G,5,0)))</f>
        <v/>
      </c>
      <c r="CR21" s="8"/>
      <c r="CS21" s="3" t="str">
        <f>IF(CR21=0,"",IF(CR21=VLOOKUP("PCS-OzTL48",ARBOR!$A:$C,3,0),0.0001,IF(CR21&gt;VLOOKUP("PCS-OzTL48",ARBOR!$A:$C,3,0),"Maior que CAP!",IF((DOLLAR(CR21+(VLOOKUP("PCS-OzTL48",ARBOR!$A:$C,3,0)*-TRUNC(CR21/VLOOKUP("PCS-OzTL48",ARBOR!$A:$C,3,0)-1,4)),6))&lt;&gt;(DOLLAR(VLOOKUP("PCS-OzTL48",ARBOR!$A:$C,3,0),6)),-TRUNC(CR21/VLOOKUP("PCS-OzTL48",ARBOR!$A:$C,3,0)-1,4)+0.0001,-TRUNC(CR21/VLOOKUP("PCS-OzTL48",ARBOR!$A:$C,3,0)-1,4)))))</f>
        <v/>
      </c>
      <c r="CT21" s="28" t="str">
        <f>IF(ISERROR(IF(CS21="","",VLOOKUP(($BC21&amp;CS21&amp;"Template desconto FLAT Plano Principal Oi TV nível conta"),BENEFICIOS!$A:$G,5,0))),"Criar",IF(CS21="","",VLOOKUP(($BC21&amp;CS21&amp;"Template desconto FLAT Plano Principal Oi TV nível conta"),BENEFICIOS!$A:$G,5,0)))</f>
        <v/>
      </c>
      <c r="CU21" s="8"/>
      <c r="CV21" s="3" t="str">
        <f>IF(CU21=0,"",IF(CU21=VLOOKUP("PCS-OzTL742",ARBOR!$A:$C,3,0),0.0001,IF(CU21&gt;VLOOKUP("PCS-OzTL742",ARBOR!$A:$C,3,0),"Maior que CAP!",IF((DOLLAR(CU21+(VLOOKUP("PCS-OzTL742",ARBOR!$A:$C,3,0)*-TRUNC(CU21/VLOOKUP("PCS-OzTL742",ARBOR!$A:$C,3,0)-1,4)),6))&lt;&gt;(DOLLAR(VLOOKUP("PCS-OzTL742",ARBOR!$A:$C,3,0),6)),-TRUNC(CU21/VLOOKUP("PCS-OzTL742",ARBOR!$A:$C,3,0)-1,4)+0.0001,-TRUNC(CU21/VLOOKUP("PCS-OzTL742",ARBOR!$A:$C,3,0)-1,4)))))</f>
        <v/>
      </c>
      <c r="CW21" s="28" t="str">
        <f>IF(ISERROR(IF(CV21="","",VLOOKUP(($BC21&amp;CV21&amp;"Template desconto FLAT Plano Principal Oi TV nível conta"),BENEFICIOS!$A:$G,5,0))),"Criar",IF(CV21="","",VLOOKUP(($BC21&amp;CV21&amp;"Template desconto FLAT Plano Principal Oi TV nível conta"),BENEFICIOS!$A:$G,5,0)))</f>
        <v/>
      </c>
      <c r="CX21" s="8"/>
      <c r="CY21" s="3" t="str">
        <f>IF(CX21=0,"",IF(CX21=VLOOKUP("PCS-OzTL747",ARBOR!$A:$C,3,0),0.0001,IF(CX21&gt;VLOOKUP("PCS-OzTL747",ARBOR!$A:$C,3,0),"Maior que CAP!",IF((DOLLAR(CX21+(VLOOKUP("PCS-OzTL747",ARBOR!$A:$C,3,0)*-TRUNC(CX21/VLOOKUP("PCS-OzTL747",ARBOR!$A:$C,3,0)-1,4)),6))&lt;&gt;(DOLLAR(VLOOKUP("PCS-OzTL747",ARBOR!$A:$C,3,0),6)),-TRUNC(CX21/VLOOKUP("PCS-OzTL747",ARBOR!$A:$C,3,0)-1,4)+0.0001,-TRUNC(CX21/VLOOKUP("PCS-OzTL747",ARBOR!$A:$C,3,0)-1,4)))))</f>
        <v/>
      </c>
      <c r="CZ21" s="28" t="str">
        <f>IF(ISERROR(IF(CY21="","",VLOOKUP(($BC21&amp;CY21&amp;"Template desconto FLAT Plano Principal Oi TV nível conta"),BENEFICIOS!$A:$G,5,0))),"Criar",IF(CY21="","",VLOOKUP(($BC21&amp;CY21&amp;"Template desconto FLAT Plano Principal Oi TV nível conta"),BENEFICIOS!$A:$G,5,0)))</f>
        <v/>
      </c>
      <c r="DA21" s="8"/>
      <c r="DB21" s="3" t="str">
        <f>IF(DA21=0,"",IF(DA21=VLOOKUP("PCS-OzTL746",ARBOR!$A:$C,3,0),0.0001,IF(DA21&gt;VLOOKUP("PCS-OzTL746",ARBOR!$A:$C,3,0),"Maior que CAP!",IF((DOLLAR(DA21+(VLOOKUP("PCS-OzTL746",ARBOR!$A:$C,3,0)*-TRUNC(DA21/VLOOKUP("PCS-OzTL746",ARBOR!$A:$C,3,0)-1,4)),6))&lt;&gt;(DOLLAR(VLOOKUP("PCS-OzTL746",ARBOR!$A:$C,3,0),6)),-TRUNC(DA21/VLOOKUP("PCS-OzTL746",ARBOR!$A:$C,3,0)-1,4)+0.0001,-TRUNC(DA21/VLOOKUP("PCS-OzTL746",ARBOR!$A:$C,3,0)-1,4)))))</f>
        <v/>
      </c>
      <c r="DC21" s="28" t="str">
        <f>IF(ISERROR(IF(DB21="","",VLOOKUP(($BC21&amp;DB21&amp;"Template desconto FLAT Plano Principal Oi TV nível conta"),BENEFICIOS!$A:$G,5,0))),"Criar",IF(DB21="","",VLOOKUP(($BC21&amp;DB21&amp;"Template desconto FLAT Plano Principal Oi TV nível conta"),BENEFICIOS!$A:$G,5,0)))</f>
        <v/>
      </c>
      <c r="DD21" s="8"/>
      <c r="DE21" s="3" t="str">
        <f>IF(DD21=0,"",IF(DD21=VLOOKUP("PCS-OzTL748",ARBOR!$A:$C,3,0),0.0001,IF(DD21&gt;VLOOKUP("PCS-OzTL748",ARBOR!$A:$C,3,0),"Maior que CAP!",IF((DOLLAR(DD21+(VLOOKUP("PCS-OzTL748",ARBOR!$A:$C,3,0)*-TRUNC(DD21/VLOOKUP("PCS-OzTL748",ARBOR!$A:$C,3,0)-1,4)),6))&lt;&gt;(DOLLAR(VLOOKUP("PCS-OzTL748",ARBOR!$A:$C,3,0),6)),-TRUNC(DD21/VLOOKUP("PCS-OzTL748",ARBOR!$A:$C,3,0)-1,4)+0.0001,-TRUNC(DD21/VLOOKUP("PCS-OzTL748",ARBOR!$A:$C,3,0)-1,4)))))</f>
        <v/>
      </c>
      <c r="DF21" s="28" t="str">
        <f>IF(ISERROR(IF(DE21="","",VLOOKUP(($BC21&amp;DE21&amp;"Template desconto FLAT Plano Principal Oi TV nível conta"),BENEFICIOS!$A:$G,5,0))),"Criar",IF(DE21="","",VLOOKUP(($BC21&amp;DE21&amp;"Template desconto FLAT Plano Principal Oi TV nível conta"),BENEFICIOS!$A:$G,5,0)))</f>
        <v/>
      </c>
      <c r="DG21" s="8"/>
      <c r="DH21" s="3" t="str">
        <f>IF(DG21=0,"",IF(DG21=VLOOKUP("PCS-OzTL34",ARBOR!$A:$C,3,0),0.0001,IF(DG21&gt;VLOOKUP("PCS-OzTL34",ARBOR!$A:$C,3,0),"Maior que CAP!",IF((DOLLAR(DG21+(VLOOKUP("PCS-OzTL34",ARBOR!$A:$C,3,0)*-TRUNC(DG21/VLOOKUP("PCS-OzTL34",ARBOR!$A:$C,3,0)-1,4)),6))&lt;&gt;(DOLLAR(VLOOKUP("PCS-OzTL34",ARBOR!$A:$C,3,0),6)),-TRUNC(DG21/VLOOKUP("PCS-OzTL34",ARBOR!$A:$C,3,0)-1,4)+0.0001,-TRUNC(DG21/VLOOKUP("PCS-OzTL34",ARBOR!$A:$C,3,0)-1,4)))))</f>
        <v/>
      </c>
      <c r="DI21" s="28" t="str">
        <f>IF(DH21="S/Desc","S/Desc",IF(ISERROR(IF(DH21="","",VLOOKUP(($BC21&amp;DH21&amp;"Template desconto % Combate nível conta"),BENEFICIOS!$A:$G,5,0))),"Criar",IF(DH21="","",VLOOKUP(($BC21&amp;DH21&amp;"Template desconto % Combate nível conta"),BENEFICIOS!$A:$G,5,0))))</f>
        <v/>
      </c>
      <c r="DJ21" s="8"/>
      <c r="DK21" s="3" t="str">
        <f>IF(DJ21=0,"",IF(DJ21=VLOOKUP("PCS-OzTL31",ARBOR!$A:$C,3,0),0.0001,IF(DJ21&gt;VLOOKUP("PCS-OzTL31",ARBOR!$A:$C,3,0),"Maior que CAP!",IF((DOLLAR(DJ21+(VLOOKUP("PCS-OzTL31",ARBOR!$A:$C,3,0)*-TRUNC(DJ21/VLOOKUP("PCS-OzTL31",ARBOR!$A:$C,3,0)-1,4)),6))&lt;&gt;(DOLLAR(VLOOKUP("PCS-OzTL31",ARBOR!$A:$C,3,0),6)),-TRUNC(DJ21/VLOOKUP("PCS-OzTL31",ARBOR!$A:$C,3,0)-1,4)+0.0001,-TRUNC(DJ21/VLOOKUP("PCS-OzTL31",ARBOR!$A:$C,3,0)-1,4)))))</f>
        <v/>
      </c>
      <c r="DL21" s="28" t="str">
        <f>IF(DK21="S/Desc","S/Desc",IF(ISERROR(IF(DK21="","",VLOOKUP(($BC21&amp;DK21&amp;"Template desconto % Sexy Hot nível conta"),BENEFICIOS!$A:$G,5,0))),"Criar",IF(DK21="","",VLOOKUP(($BC21&amp;DK21&amp;"Template desconto % Sexy Hot nível conta"),BENEFICIOS!$A:$G,5,0))))</f>
        <v/>
      </c>
      <c r="DM21" s="8"/>
      <c r="DN21" s="3" t="str">
        <f>IF(DM21=0,"",IF(DM21=VLOOKUP("PCS-OzTL32",ARBOR!$A:$C,3,0),0.0001,IF(DM21&gt;VLOOKUP("PCS-OzTL32",ARBOR!$A:$C,3,0),"Maior que CAP!",IF((DOLLAR(DM21+(VLOOKUP("PCS-OzTL32",ARBOR!$A:$C,3,0)*-TRUNC(DM21/VLOOKUP("PCS-OzTL32",ARBOR!$A:$C,3,0)-1,4)),6))&lt;&gt;(DOLLAR(VLOOKUP("PCS-OzTL32",ARBOR!$A:$C,3,0),6)),-TRUNC(DM21/VLOOKUP("PCS-OzTL32",ARBOR!$A:$C,3,0)-1,4)+0.0001,-TRUNC(DM21/VLOOKUP("PCS-OzTL32",ARBOR!$A:$C,3,0)-1,4)))))</f>
        <v/>
      </c>
      <c r="DO21" s="28" t="str">
        <f>IF(DN21="S/Desc","S/Desc",IF(ISERROR(IF(DN21="","",VLOOKUP(($BC21&amp;DN21&amp;"Template desconto % Playboy nível conta"),BENEFICIOS!$A:$G,5,0))),"Criar",IF(DN21="","",VLOOKUP(($BC21&amp;DN21&amp;"Template desconto % Playboy nível conta"),BENEFICIOS!$A:$G,5,0))))</f>
        <v/>
      </c>
      <c r="DP21" s="8"/>
      <c r="DQ21" s="3" t="str">
        <f>IF(DP21=0,"",IF(DP21=VLOOKUP("PCS-OzTL33",ARBOR!$A:$C,3,0),0.0001,IF(DP21&gt;VLOOKUP("PCS-OzTL33",ARBOR!$A:$C,3,0),"Maior que CAP!",IF((DOLLAR(DP21+(VLOOKUP("PCS-OzTL33",ARBOR!$A:$C,3,0)*-TRUNC(DP21/VLOOKUP("PCS-OzTL33",ARBOR!$A:$C,3,0)-1,4)),6))&lt;&gt;(DOLLAR(VLOOKUP("PCS-OzTL33",ARBOR!$A:$C,3,0),6)),-TRUNC(DP21/VLOOKUP("PCS-OzTL33",ARBOR!$A:$C,3,0)-1,4)+0.0001,-TRUNC(DP21/VLOOKUP("PCS-OzTL33",ARBOR!$A:$C,3,0)-1,4)))))</f>
        <v/>
      </c>
      <c r="DR21" s="28" t="str">
        <f>IF(DQ21="S/Desc","S/Desc",IF(ISERROR(IF(DQ21="","",VLOOKUP(($BC21&amp;DQ21&amp;"Template desconto % Sexy Hot + Playboy nível conta"),BENEFICIOS!$A:$G,5,0))),"Criar",IF(DQ21="","",VLOOKUP(($BC21&amp;DQ21&amp;"Template desconto % Sexy Hot + Playboy nível conta"),BENEFICIOS!$A:$G,5,0))))</f>
        <v/>
      </c>
      <c r="DS21" s="8"/>
      <c r="DT21" s="3" t="str">
        <f>IF(DS21=0,"",IF(DS21=VLOOKUP("PCS-OzTL503",ARBOR!$A:$C,3,0),0.0001,IF(DS21&gt;VLOOKUP("PCS-OzTL503",ARBOR!$A:$C,3,0),"Maior que CAP!",IF((DOLLAR(DS21+(VLOOKUP("PCS-OzTL503",ARBOR!$A:$C,3,0)*-TRUNC(DS21/VLOOKUP("PCS-OzTL503",ARBOR!$A:$C,3,0)-1,4)),6))&lt;&gt;(DOLLAR(VLOOKUP("PCS-OzTL503",ARBOR!$A:$C,3,0),6)),-TRUNC(DS21/VLOOKUP("PCS-OzTL503",ARBOR!$A:$C,3,0)-1,4)+0.0001,-TRUNC(DS21/VLOOKUP("PCS-OzTL503",ARBOR!$A:$C,3,0)-1,4)))))</f>
        <v/>
      </c>
      <c r="DU21" s="28" t="str">
        <f>IF(DT21="S/Desc","S/Desc",IF(ISERROR(IF(DT21="","",VLOOKUP(($BC21&amp;DT21&amp;"Template desconto % SexPrivê nível conta"),BENEFICIOS!$A:$G,5,0))),"Criar",IF(DT21="","",VLOOKUP(($BC21&amp;DT21&amp;"Template desconto % SexPrivê nível conta"),BENEFICIOS!$A:$G,5,0))))</f>
        <v/>
      </c>
      <c r="DV21" s="8"/>
      <c r="DW21" s="3" t="str">
        <f>IF(DV21=0,"",IF(DV21=VLOOKUP("PCS-OzTL500",ARBOR!$A:$C,3,0),0.0001,IF(DV21&gt;VLOOKUP("PCS-OzTL500",ARBOR!$A:$C,3,0),"Maior que CAP!",IF((DOLLAR(DV21+(VLOOKUP("PCS-OzTL500",ARBOR!$A:$C,3,0)*-TRUNC(DV21/VLOOKUP("PCS-OzTL500",ARBOR!$A:$C,3,0)-1,4)),6))&lt;&gt;(DOLLAR(VLOOKUP("PCS-OzTL500",ARBOR!$A:$C,3,0),6)),-TRUNC(DV21/VLOOKUP("PCS-OzTL500",ARBOR!$A:$C,3,0)-1,4)+0.0001,-TRUNC(DV21/VLOOKUP("PCS-OzTL500",ARBOR!$A:$C,3,0)-1,4)))))</f>
        <v/>
      </c>
      <c r="DX21" s="28" t="str">
        <f>IF(DW21="S/Desc","S/Desc",IF(ISERROR(IF(DW21="","",VLOOKUP(($BC21&amp;DW21&amp;"Template desconto % Étnico nível conta"),BENEFICIOS!$A:$G,5,0))),"Criar",IF(DW21="","",VLOOKUP(($BC21&amp;DW21&amp;"Template desconto % Étnico nível conta"),BENEFICIOS!$A:$G,5,0))))</f>
        <v/>
      </c>
      <c r="DY21" s="8"/>
      <c r="DZ21" s="181" t="str">
        <f>IF(DY21=0,"",IF(DY21=VLOOKUP("PCS-OzTL50",ARBOR!$A:$C,3,0),0.0001,IF(DY21&gt;VLOOKUP("PCS-OzTL50",ARBOR!$A:$C,3,0),"Maior que CAP!",IF((DOLLAR(DY21+(VLOOKUP("PCS-OzTL50",ARBOR!$A:$C,3,0)*-TRUNC(DY21/VLOOKUP("PCS-OzTL50",ARBOR!$A:$C,3,0)-1,4)),6))&lt;&gt;(DOLLAR(VLOOKUP("PCS-OzTL50",ARBOR!$A:$C,3,0),6)),-TRUNC(DY21/VLOOKUP("PCS-OzTL50",ARBOR!$A:$C,3,0)-1,4)+0.0001,-TRUNC(DY21/VLOOKUP("PCS-OzTL50",ARBOR!$A:$C,3,0)-1,4)))))</f>
        <v/>
      </c>
      <c r="EA21" s="28"/>
      <c r="EB21" s="8"/>
      <c r="EC21" s="181" t="str">
        <f>IF(EB21=0,"",IF(EB21=VLOOKUP("PCS-OzTL51",ARBOR!$A:$C,3,0),0.0001,IF(EB21&gt;VLOOKUP("PCS-OzTL51",ARBOR!$A:$C,3,0),"Maior que CAP!",IF((DOLLAR(EB21+(VLOOKUP("PCS-OzTL51",ARBOR!$A:$C,3,0)*-TRUNC(EB21/VLOOKUP("PCS-OzTL51",ARBOR!$A:$C,3,0)-1,4)),6))&lt;&gt;(DOLLAR(VLOOKUP("PCS-OzTL51",ARBOR!$A:$C,3,0),6)),-TRUNC(EB21/VLOOKUP("PCS-OzTL51",ARBOR!$A:$C,3,0)-1,4)+0.0001,-TRUNC(EB21/VLOOKUP("PCS-OzTL51",ARBOR!$A:$C,3,0)-1,4)))))</f>
        <v/>
      </c>
      <c r="ED21" s="28"/>
      <c r="EE21" s="8"/>
      <c r="EF21" s="181" t="str">
        <f>IF(EE21=0,"",IF(EE21=VLOOKUP("PCS-OzTL52",ARBOR!$A:$C,3,0),0.0001,IF(EE21&gt;VLOOKUP("PCS-OzTL52",ARBOR!$A:$C,3,0),"Maior que CAP!",IF((DOLLAR(EE21+(VLOOKUP("PCS-OzTL52",ARBOR!$A:$C,3,0)*-TRUNC(EE21/VLOOKUP("PCS-OzTL52",ARBOR!$A:$C,3,0)-1,4)),6))&lt;&gt;(DOLLAR(VLOOKUP("PCS-OzTL52",ARBOR!$A:$C,3,0),6)),-TRUNC(EE21/VLOOKUP("PCS-OzTL52",ARBOR!$A:$C,3,0)-1,4)+0.0001,-TRUNC(EE21/VLOOKUP("PCS-OzTL52",ARBOR!$A:$C,3,0)-1,4)))))</f>
        <v/>
      </c>
      <c r="EG21" s="28"/>
      <c r="EH21" s="8"/>
      <c r="EI21" s="181" t="str">
        <f>IF(EH21=0,"",IF(EH21=VLOOKUP("PCS-OzTL53",ARBOR!$A:$C,3,0),0.0001,IF(EH21&gt;VLOOKUP("PCS-OzTL53",ARBOR!$A:$C,3,0),"Maior que CAP!",IF((DOLLAR(EH21+(VLOOKUP("PCS-OzTL53",ARBOR!$A:$C,3,0)*-TRUNC(EH21/VLOOKUP("PCS-OzTL53",ARBOR!$A:$C,3,0)-1,4)),6))&lt;&gt;(DOLLAR(VLOOKUP("PCS-OzTL53",ARBOR!$A:$C,3,0),6)),-TRUNC(EH21/VLOOKUP("PCS-OzTL53",ARBOR!$A:$C,3,0)-1,4)+0.0001,-TRUNC(EH21/VLOOKUP("PCS-OzTL53",ARBOR!$A:$C,3,0)-1,4)))))</f>
        <v/>
      </c>
      <c r="EJ21" s="28"/>
      <c r="EK21" s="8"/>
      <c r="EL21" s="181" t="str">
        <f>IF(EK21=0,"",IF(EK21=VLOOKUP("PCS-OzTL54",ARBOR!$A:$C,3,0),0.0001,IF(EK21&gt;VLOOKUP("PCS-OzTL54",ARBOR!$A:$C,3,0),"Maior que CAP!",IF((DOLLAR(EK21+(VLOOKUP("PCS-OzTL54",ARBOR!$A:$C,3,0)*-TRUNC(EK21/VLOOKUP("PCS-OzTL54",ARBOR!$A:$C,3,0)-1,4)),6))&lt;&gt;(DOLLAR(VLOOKUP("PCS-OzTL54",ARBOR!$A:$C,3,0),6)),-TRUNC(EK21/VLOOKUP("PCS-OzTL54",ARBOR!$A:$C,3,0)-1,4)+0.0001,-TRUNC(EK21/VLOOKUP("PCS-OzTL54",ARBOR!$A:$C,3,0)-1,4)))))</f>
        <v/>
      </c>
      <c r="EM21" s="28"/>
      <c r="EN21" s="8"/>
      <c r="EO21" s="3" t="str">
        <f>IF(EN21=0,"",IF(EN21=VLOOKUP("PCS-OzTL99",ARBOR!$A:$C,3,0),0.0001,IF(EN21&gt;VLOOKUP("PCS-OzTL99",ARBOR!$A:$C,3,0),"Maior que CAP!",IF((DOLLAR(EN21+(VLOOKUP("PCS-OzTL99",ARBOR!$A:$C,3,0)*-TRUNC(EN21/VLOOKUP("PCS-OzTL99",ARBOR!$A:$C,3,0)-1,4)),6))&lt;&gt;(DOLLAR(VLOOKUP("PCS-OzTL99",ARBOR!$A:$C,3,0),6)),-TRUNC(EN21/VLOOKUP("PCS-OzTL99",ARBOR!$A:$C,3,0)-1,4)+0.0001,-TRUNC(EN21/VLOOKUP("PCS-OzTL99",ARBOR!$A:$C,3,0)-1,4)))))</f>
        <v/>
      </c>
      <c r="EP21" s="28" t="str">
        <f>IF(EO21="S/Desc","S/Desc",IF(ISERROR(IF(EO21="","",VLOOKUP(($BC21&amp;EO21&amp;"Template desconto % Ponto adicional nível conta"),BENEFICIOS!$A:$G,5,0))),"Criar",IF(EO21="","",VLOOKUP(($BC21&amp;EO21&amp;"Template desconto % Ponto adicional nível conta"),BENEFICIOS!$A:$G,5,0))))</f>
        <v/>
      </c>
      <c r="EQ21" s="8"/>
      <c r="ER21" s="28" t="str">
        <f t="shared" si="23"/>
        <v/>
      </c>
      <c r="ES21" s="62"/>
      <c r="ET21" s="126"/>
      <c r="EU21" s="127"/>
      <c r="EV21" s="126"/>
      <c r="EW21" s="128" t="str">
        <f t="shared" si="24"/>
        <v/>
      </c>
      <c r="EX21" s="129" t="str">
        <f t="shared" si="25"/>
        <v/>
      </c>
      <c r="EY21" s="91" t="str">
        <f t="shared" si="26"/>
        <v/>
      </c>
      <c r="EZ21" s="85"/>
      <c r="FA21" s="97"/>
      <c r="FB21" s="91"/>
      <c r="FC21" s="85"/>
      <c r="FD21" s="97"/>
      <c r="FE21" s="91"/>
      <c r="FF21" s="87"/>
      <c r="FG21" s="144" t="str">
        <f t="shared" si="5"/>
        <v/>
      </c>
      <c r="FH21" s="144" t="str">
        <f t="shared" si="6"/>
        <v/>
      </c>
      <c r="FI21" s="144" t="str">
        <f t="shared" si="7"/>
        <v/>
      </c>
      <c r="FJ21" s="144" t="str">
        <f t="shared" si="8"/>
        <v/>
      </c>
      <c r="FK21" s="144" t="str">
        <f t="shared" si="9"/>
        <v/>
      </c>
      <c r="FL21" s="144" t="str">
        <f t="shared" si="10"/>
        <v/>
      </c>
      <c r="FM21" s="144" t="str">
        <f t="shared" si="11"/>
        <v/>
      </c>
      <c r="FN21" s="144" t="str">
        <f t="shared" si="12"/>
        <v/>
      </c>
      <c r="FO21" s="144" t="str">
        <f t="shared" si="13"/>
        <v/>
      </c>
      <c r="FP21" s="144" t="str">
        <f t="shared" si="14"/>
        <v/>
      </c>
      <c r="FQ21" s="144" t="str">
        <f t="shared" si="15"/>
        <v/>
      </c>
      <c r="FR21" s="144" t="str">
        <f t="shared" si="16"/>
        <v/>
      </c>
      <c r="FS21" s="144" t="str">
        <f t="shared" si="17"/>
        <v/>
      </c>
      <c r="FT21" s="144" t="str">
        <f t="shared" si="18"/>
        <v/>
      </c>
      <c r="FU21" s="144" t="str">
        <f t="shared" si="19"/>
        <v/>
      </c>
      <c r="FV21" s="144" t="str">
        <f t="shared" si="20"/>
        <v/>
      </c>
      <c r="FW21" s="144" t="str">
        <f t="shared" si="21"/>
        <v/>
      </c>
      <c r="FX21" s="151"/>
      <c r="FY21" s="152"/>
      <c r="FZ21" s="152"/>
      <c r="GA21" s="152"/>
      <c r="GB21" s="152"/>
      <c r="GC21" s="152"/>
      <c r="GD21" s="152"/>
      <c r="GE21" s="152"/>
      <c r="GF21" s="152"/>
      <c r="GG21" s="153"/>
    </row>
    <row r="22" spans="1:189">
      <c r="A22" s="45"/>
      <c r="B22" s="133"/>
      <c r="C22" s="133"/>
      <c r="D22" s="46"/>
      <c r="E22" s="47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9"/>
      <c r="U22" s="48"/>
      <c r="V22" s="49"/>
      <c r="W22" s="48"/>
      <c r="X22" s="48"/>
      <c r="Y22" s="48"/>
      <c r="Z22" s="48"/>
      <c r="AA22" s="49"/>
      <c r="AB22" s="48"/>
      <c r="AC22" s="50"/>
      <c r="AD22" s="48"/>
      <c r="AE22" s="48"/>
      <c r="AF22" s="48"/>
      <c r="AG22" s="48"/>
      <c r="AH22" s="48"/>
      <c r="AI22" s="48"/>
      <c r="AJ22" s="48"/>
      <c r="AK22" s="48"/>
      <c r="AL22" s="51"/>
      <c r="AM22" s="37"/>
      <c r="AN22" s="38"/>
      <c r="AO22" s="39"/>
      <c r="AP22" s="52"/>
      <c r="AQ22" s="53"/>
      <c r="AR22" s="64"/>
      <c r="AS22" s="65"/>
      <c r="AT22" s="54"/>
      <c r="AU22" s="54"/>
      <c r="AV22" s="54"/>
      <c r="AW22" s="54"/>
      <c r="AX22" s="70"/>
      <c r="AY22" s="71"/>
      <c r="AZ22" s="72"/>
      <c r="BA22" s="73"/>
      <c r="BB22" s="55"/>
      <c r="BC22" s="56"/>
      <c r="BD22" s="27" t="str">
        <f t="shared" si="22"/>
        <v/>
      </c>
      <c r="BE22" s="58"/>
      <c r="BF22" s="3" t="str">
        <f>IF(BE22=0,"",IF(BE22=VLOOKUP("FIXO",ARBOR!$A:$C,3,0),0.0001,IF(BE22&gt;VLOOKUP("FIXO",ARBOR!$A:$C,3,0),"Maior que CAP!",IF((DOLLAR(BE22+(VLOOKUP("FIXO",ARBOR!$A:$C,3,0)*-TRUNC(BE22/VLOOKUP("FIXO",ARBOR!$A:$C,3,0)-1,4)),6))&lt;&gt;(DOLLAR(VLOOKUP("FIXO",ARBOR!$A:$C,3,0),6)),-TRUNC(BE22/VLOOKUP("FIXO",ARBOR!$A:$C,3,0)-1,4)+0.0001,-TRUNC(BE22/VLOOKUP("FIXO",ARBOR!$A:$C,3,0)-1,4)))))</f>
        <v/>
      </c>
      <c r="BG22" s="10" t="str">
        <f>IF(ISERROR(IF(BF22="","",VLOOKUP(($BC22&amp;BF22&amp;"Template de desconto FLAT bundle - Fixo - Varejo - Ganho Tributário Cross"),BENEFICIOS!$A:$G,5,0))),"Criar",IF(BF22="","",VLOOKUP(($BC22&amp;BF22&amp;"Template de desconto FLAT bundle - Fixo - Varejo - Ganho Tributário Cross"),BENEFICIOS!$A:$G,5,0)))</f>
        <v/>
      </c>
      <c r="BH22" s="8"/>
      <c r="BI22" s="3" t="str">
        <f>IF(BH22=0,"",IF(BH22=VLOOKUP("PCS-OzTL40",ARBOR!$A:$C,3,0),0.0001,IF(BH22&gt;VLOOKUP("PCS-OzTL40",ARBOR!$A:$C,3,0),"Maior que CAP!",IF((DOLLAR(BH22+(VLOOKUP("PCS-OzTL40",ARBOR!$A:$C,3,0)*-TRUNC(BH22/VLOOKUP("PCS-OzTL40",ARBOR!$A:$C,3,0)-1,4)),6))&lt;&gt;(DOLLAR(VLOOKUP("PCS-OzTL40",ARBOR!$A:$C,3,0),6)),-TRUNC(BH22/VLOOKUP("PCS-OzTL40",ARBOR!$A:$C,3,0)-1,4)+0.0001,-TRUNC(BH22/VLOOKUP("PCS-OzTL40",ARBOR!$A:$C,3,0)-1,4)))))</f>
        <v/>
      </c>
      <c r="BJ22" s="10" t="str">
        <f>IF(ISERROR(IF(BI22="","",VLOOKUP((BC22&amp;BI22&amp;"Template desconto FLAT Plano Principal Oi TV nível conta"),BENEFICIOS!$A:$G,5,0))),"Criar",IF(BI22="","",VLOOKUP((BC22&amp;BI22&amp;"Template desconto FLAT Plano Principal Oi TV nível conta"),BENEFICIOS!$A:$G,5,0)))</f>
        <v/>
      </c>
      <c r="BK22" s="8"/>
      <c r="BL22" s="3" t="str">
        <f>IF(BK22=0,"",IF(BK22=VLOOKUP("PCS-OzTL41",ARBOR!$A:$C,3,0),0.0001,IF(BK22&gt;VLOOKUP("PCS-OzTL41",ARBOR!$A:$C,3,0),"Maior que CAP!",IF((DOLLAR(BK22+(VLOOKUP("PCS-OzTL41",ARBOR!$A:$C,3,0)*-TRUNC(BK22/VLOOKUP("PCS-OzTL41",ARBOR!$A:$C,3,0)-1,4)),6))&lt;&gt;(DOLLAR(VLOOKUP("PCS-OzTL41",ARBOR!$A:$C,3,0),6)),-TRUNC(BK22/VLOOKUP("PCS-OzTL41",ARBOR!$A:$C,3,0)-1,4)+0.0001,-TRUNC(BK22/VLOOKUP("PCS-OzTL41",ARBOR!$A:$C,3,0)-1,4)))))</f>
        <v/>
      </c>
      <c r="BM22" s="28" t="str">
        <f>IF(ISERROR(IF(BL22="","",VLOOKUP((BC22&amp;BL22&amp;"Template desconto FLAT Plano Principal Oi TV nível conta"),BENEFICIOS!$A:$G,5,0))),"Criar",IF(BL22="","",VLOOKUP((BC22&amp;BL22&amp;"Template desconto FLAT Plano Principal Oi TV nível conta"),BENEFICIOS!$A:$G,5,0)))</f>
        <v/>
      </c>
      <c r="BN22" s="8"/>
      <c r="BO22" s="3" t="str">
        <f>IF(BN22=0,"",IF(BN22=VLOOKUP("PCS-OzTL44",ARBOR!$A:$C,3,0),0.0001,IF(BN22&gt;VLOOKUP("PCS-OzTL44",ARBOR!$A:$C,3,0),"Maior que CAP!",IF((DOLLAR(BN22+(VLOOKUP("PCS-OzTL44",ARBOR!$A:$C,3,0)*-TRUNC(BN22/VLOOKUP("PCS-OzTL44",ARBOR!$A:$C,3,0)-1,4)),6))&lt;&gt;(DOLLAR(VLOOKUP("PCS-OzTL44",ARBOR!$A:$C,3,0),6)),-TRUNC(BN22/VLOOKUP("PCS-OzTL44",ARBOR!$A:$C,3,0)-1,4)+0.0001,-TRUNC(BN22/VLOOKUP("PCS-OzTL44",ARBOR!$A:$C,3,0)-1,4)))))</f>
        <v/>
      </c>
      <c r="BP22" s="28" t="str">
        <f>IF(ISERROR(IF(BO22="","",VLOOKUP((BC22&amp;BO22&amp;"Template desconto FLAT Plano Principal Oi TV nível conta"),BENEFICIOS!$A:$G,5,0))),"Criar",IF(BO22="","",VLOOKUP((BC22&amp;BO22&amp;"Template desconto FLAT Plano Principal Oi TV nível conta"),BENEFICIOS!$A:$G,5,0)))</f>
        <v/>
      </c>
      <c r="BQ22" s="8"/>
      <c r="BR22" s="3" t="str">
        <f>IF(BQ22=0,"",IF(BQ22=VLOOKUP("PCS-OzTL43",ARBOR!$A:$C,3,0),0.0001,IF(BQ22&gt;VLOOKUP("PCS-OzTL43",ARBOR!$A:$C,3,0),"Maior que CAP!",IF((DOLLAR(BQ22+(VLOOKUP("PCS-OzTL43",ARBOR!$A:$C,3,0)*-TRUNC(BQ22/VLOOKUP("PCS-OzTL43",ARBOR!$A:$C,3,0)-1,4)),6))&lt;&gt;(DOLLAR(VLOOKUP("PCS-OzTL43",ARBOR!$A:$C,3,0),6)),-TRUNC(BQ22/VLOOKUP("PCS-OzTL43",ARBOR!$A:$C,3,0)-1,4)+0.0001,-TRUNC(BQ22/VLOOKUP("PCS-OzTL43",ARBOR!$A:$C,3,0)-1,4)))))</f>
        <v/>
      </c>
      <c r="BS22" s="28" t="str">
        <f>IF(ISERROR(IF(BR22="","",VLOOKUP((BC22&amp;BR22&amp;"Template desconto FLAT Plano Principal Oi TV nível conta"),BENEFICIOS!$A:$G,5,0))),"Criar",IF(BR22="","",VLOOKUP((BC22&amp;BR22&amp;"Template desconto FLAT Plano Principal Oi TV nível conta"),BENEFICIOS!$A:$G,5,0)))</f>
        <v/>
      </c>
      <c r="BT22" s="8"/>
      <c r="BU22" s="3" t="str">
        <f>IF(BT22=0,"",IF(BT22=VLOOKUP("PCS-OzTL45",ARBOR!$A:$C,3,0),0.0001,IF(BT22&gt;VLOOKUP("PCS-OzTL45",ARBOR!$A:$C,3,0),"Maior que CAP!",IF((DOLLAR(BT22+(VLOOKUP("PCS-OzTL45",ARBOR!$A:$C,3,0)*-TRUNC(BT22/VLOOKUP("PCS-OzTL45",ARBOR!$A:$C,3,0)-1,4)),6))&lt;&gt;(DOLLAR(VLOOKUP("PCS-OzTL45",ARBOR!$A:$C,3,0),6)),-TRUNC(BT22/VLOOKUP("PCS-OzTL45",ARBOR!$A:$C,3,0)-1,4)+0.0001,-TRUNC(BT22/VLOOKUP("PCS-OzTL45",ARBOR!$A:$C,3,0)-1,4)))))</f>
        <v/>
      </c>
      <c r="BV22" s="28" t="str">
        <f>IF(ISERROR(IF(BU22="","",VLOOKUP((BC22&amp;BU22&amp;"Template desconto FLAT Plano Principal Oi TV nível conta"),BENEFICIOS!$A:$G,5,0))),"Criar",IF(BU22="","",VLOOKUP((BC22&amp;BU22&amp;"Template desconto FLAT Plano Principal Oi TV nível conta"),BENEFICIOS!$A:$G,5,0)))</f>
        <v/>
      </c>
      <c r="BW22" s="8"/>
      <c r="BX22" s="3" t="str">
        <f>IF(BW22=0,"",IF(BW22=VLOOKUP("PCS-OzTL741",ARBOR!$A:$C,3,0),0.0001,IF(BW22&gt;VLOOKUP("PCS-OzTL741",ARBOR!$A:$C,3,0),"Maior que CAP!",IF((DOLLAR(BW22+(VLOOKUP("PCS-OzTL741",ARBOR!$A:$C,3,0)*-TRUNC(BW22/VLOOKUP("PCS-OzTL741",ARBOR!$A:$C,3,0)-1,4)),6))&lt;&gt;(DOLLAR(VLOOKUP("PCS-OzTL741",ARBOR!$A:$C,3,0),6)),-TRUNC(BW22/VLOOKUP("PCS-OzTL741",ARBOR!$A:$C,3,0)-1,4)+0.0001,-TRUNC(BW22/VLOOKUP("PCS-OzTL741",ARBOR!$A:$C,3,0)-1,4)))))</f>
        <v/>
      </c>
      <c r="BY22" s="28" t="str">
        <f>IF(ISERROR(IF(BX22="","",VLOOKUP((BC22&amp;BX22&amp;"Template desconto FLAT Plano Principal Oi TV nível conta"),BENEFICIOS!$A:$G,5,0))),"Criar",IF(BX22="","",VLOOKUP((BC22&amp;BX22&amp;"Template desconto FLAT Plano Principal Oi TV nível conta"),BENEFICIOS!$A:$G,5,0)))</f>
        <v/>
      </c>
      <c r="BZ22" s="8"/>
      <c r="CA22" s="3" t="str">
        <f>IF(BZ22=0,"",IF(BZ22=VLOOKUP("PCS-OzTL744",ARBOR!$A:$C,3,0),0.0001,IF(BZ22&gt;VLOOKUP("PCS-OzTL744",ARBOR!$A:$C,3,0),"Maior que CAP!",IF((DOLLAR(BZ22+(VLOOKUP("PCS-OzTL744",ARBOR!$A:$C,3,0)*-TRUNC(BZ22/VLOOKUP("PCS-OzTL744",ARBOR!$A:$C,3,0)-1,4)),6))&lt;&gt;(DOLLAR(VLOOKUP("PCS-OzTL744",ARBOR!$A:$C,3,0),6)),-TRUNC(BZ22/VLOOKUP("PCS-OzTL744",ARBOR!$A:$C,3,0)-1,4)+0.0001,-TRUNC(BZ22/VLOOKUP("PCS-OzTL744",ARBOR!$A:$C,3,0)-1,4)))))</f>
        <v/>
      </c>
      <c r="CB22" s="28" t="str">
        <f>IF(ISERROR(IF(CA22="","",VLOOKUP(($BC22&amp;CA22&amp;"Template desconto FLAT Plano Principal Oi TV nível conta"),BENEFICIOS!$A:$G,5,0))),"Criar",IF(CA22="","",VLOOKUP(($BC22&amp;CA22&amp;"Template desconto FLAT Plano Principal Oi TV nível conta"),BENEFICIOS!$A:$G,5,0)))</f>
        <v/>
      </c>
      <c r="CC22" s="8"/>
      <c r="CD22" s="3" t="str">
        <f>IF(CC22=0,"",IF(CC22=VLOOKUP("PCS-OzTL743",ARBOR!$A:$C,3,0),0.0001,IF(CC22&gt;VLOOKUP("PCS-OzTL743",ARBOR!$A:$C,3,0),"Maior que CAP!",IF((DOLLAR(CC22+(VLOOKUP("PCS-OzTL743",ARBOR!$A:$C,3,0)*-TRUNC(CC22/VLOOKUP("PCS-OzTL743",ARBOR!$A:$C,3,0)-1,4)),6))&lt;&gt;(DOLLAR(VLOOKUP("PCS-OzTL743",ARBOR!$A:$C,3,0),6)),-TRUNC(CC22/VLOOKUP("PCS-OzTL743",ARBOR!$A:$C,3,0)-1,4)+0.0001,-TRUNC(CC22/VLOOKUP("PCS-OzTL743",ARBOR!$A:$C,3,0)-1,4)))))</f>
        <v/>
      </c>
      <c r="CE22" s="28" t="str">
        <f>IF(ISERROR(IF(CD22="","",VLOOKUP(($BC22&amp;CD22&amp;"Template desconto FLAT Plano Principal Oi TV nível conta"),BENEFICIOS!$A:$G,5,0))),"Criar",IF(CD22="","",VLOOKUP(($BC22&amp;CD22&amp;"Template desconto FLAT Plano Principal Oi TV nível conta"),BENEFICIOS!$A:$G,5,0)))</f>
        <v/>
      </c>
      <c r="CF22" s="8"/>
      <c r="CG22" s="3" t="str">
        <f>IF(CF22=0,"",IF(CF22=VLOOKUP("PCS-OzTL745",ARBOR!$A:$C,3,0),0.0001,IF(CF22&gt;VLOOKUP("PCS-OzTL745",ARBOR!$A:$C,3,0),"Maior que CAP!",IF((DOLLAR(CF22+(VLOOKUP("PCS-OzTL745",ARBOR!$A:$C,3,0)*-TRUNC(CF22/VLOOKUP("PCS-OzTL745",ARBOR!$A:$C,3,0)-1,4)),6))&lt;&gt;(DOLLAR(VLOOKUP("PCS-OzTL745",ARBOR!$A:$C,3,0),6)),-TRUNC(CF22/VLOOKUP("PCS-OzTL745",ARBOR!$A:$C,3,0)-1,4)+0.0001,-TRUNC(CF22/VLOOKUP("PCS-OzTL745",ARBOR!$A:$C,3,0)-1,4)))))</f>
        <v/>
      </c>
      <c r="CH22" s="28" t="str">
        <f>IF(ISERROR(IF(CG22="","",VLOOKUP(($BC22&amp;CG22&amp;"Template desconto FLAT Plano Principal Oi TV nível conta"),BENEFICIOS!$A:$G,5,0))),"Criar",IF(CG22="","",VLOOKUP(($BC22&amp;CG22&amp;"Template desconto FLAT Plano Principal Oi TV nível conta"),BENEFICIOS!$A:$G,5,0)))</f>
        <v/>
      </c>
      <c r="CI22" s="8"/>
      <c r="CJ22" s="3" t="str">
        <f>IF(CI22=0,"",IF(CI22=VLOOKUP("PCS-OzTL42",ARBOR!$A:$C,3,0),0.0001,IF(CI22&gt;VLOOKUP("PCS-OzTL42",ARBOR!$A:$C,3,0),"Maior que CAP!",IF((DOLLAR(CI22+(VLOOKUP("PCS-OzTL42",ARBOR!$A:$C,3,0)*-TRUNC(CI22/VLOOKUP("PCS-OzTL42",ARBOR!$A:$C,3,0)-1,4)),6))&lt;&gt;(DOLLAR(VLOOKUP("PCS-OzTL42",ARBOR!$A:$C,3,0),6)),-TRUNC(CI22/VLOOKUP("PCS-OzTL42",ARBOR!$A:$C,3,0)-1,4)+0.0001,-TRUNC(CI22/VLOOKUP("PCS-OzTL42",ARBOR!$A:$C,3,0)-1,4)))))</f>
        <v/>
      </c>
      <c r="CK22" s="28" t="str">
        <f>IF(ISERROR(IF(CJ22="","",VLOOKUP(($BC22&amp;CJ22&amp;"Template desconto FLAT Plano Principal Oi TV nível conta"),BENEFICIOS!$A:$G,5,0))),"Criar",IF(CJ22="","",VLOOKUP(($BC22&amp;CJ22&amp;"Template desconto FLAT Plano Principal Oi TV nível conta"),BENEFICIOS!$A:$G,5,0)))</f>
        <v/>
      </c>
      <c r="CL22" s="8"/>
      <c r="CM22" s="3" t="str">
        <f>IF(CL22=0,"",IF(CL22=VLOOKUP("PCS-OzTL47",ARBOR!$A:$C,3,0),0.0001,IF(CL22&gt;VLOOKUP("PCS-OzTL47",ARBOR!$A:$C,3,0),"Maior que CAP!",IF((DOLLAR(CL22+(VLOOKUP("PCS-OzTL47",ARBOR!$A:$C,3,0)*-TRUNC(CL22/VLOOKUP("PCS-OzTL47",ARBOR!$A:$C,3,0)-1,4)),6))&lt;&gt;(DOLLAR(VLOOKUP("PCS-OzTL47",ARBOR!$A:$C,3,0),6)),-TRUNC(CL22/VLOOKUP("PCS-OzTL47",ARBOR!$A:$C,3,0)-1,4)+0.0001,-TRUNC(CL22/VLOOKUP("PCS-OzTL47",ARBOR!$A:$C,3,0)-1,4)))))</f>
        <v/>
      </c>
      <c r="CN22" s="28" t="str">
        <f>IF(ISERROR(IF(CM22="","",VLOOKUP(($BC22&amp;CM22&amp;"Template desconto FLAT Plano Principal Oi TV nível conta"),BENEFICIOS!$A:$G,5,0))),"Criar",IF(CM22="","",VLOOKUP(($BC22&amp;CM22&amp;"Template desconto FLAT Plano Principal Oi TV nível conta"),BENEFICIOS!$A:$G,5,0)))</f>
        <v/>
      </c>
      <c r="CO22" s="8"/>
      <c r="CP22" s="3" t="str">
        <f>IF(CO22=0,"",IF(CO22=VLOOKUP("PCS-OzTL46",ARBOR!$A:$C,3,0),0.0001,IF(CO22&gt;VLOOKUP("PCS-OzTL46",ARBOR!$A:$C,3,0),"Maior que CAP!",IF((DOLLAR(CO22+(VLOOKUP("PCS-OzTL46",ARBOR!$A:$C,3,0)*-TRUNC(CO22/VLOOKUP("PCS-OzTL46",ARBOR!$A:$C,3,0)-1,4)),6))&lt;&gt;(DOLLAR(VLOOKUP("PCS-OzTL46",ARBOR!$A:$C,3,0),6)),-TRUNC(CO22/VLOOKUP("PCS-OzTL46",ARBOR!$A:$C,3,0)-1,4)+0.0001,-TRUNC(CO22/VLOOKUP("PCS-OzTL46",ARBOR!$A:$C,3,0)-1,4)))))</f>
        <v/>
      </c>
      <c r="CQ22" s="28" t="str">
        <f>IF(ISERROR(IF(CP22="","",VLOOKUP(($BC22&amp;CP22&amp;"Template desconto FLAT Plano Principal Oi TV nível conta"),BENEFICIOS!$A:$G,5,0))),"Criar",IF(CP22="","",VLOOKUP(($BC22&amp;CP22&amp;"Template desconto FLAT Plano Principal Oi TV nível conta"),BENEFICIOS!$A:$G,5,0)))</f>
        <v/>
      </c>
      <c r="CR22" s="8"/>
      <c r="CS22" s="3" t="str">
        <f>IF(CR22=0,"",IF(CR22=VLOOKUP("PCS-OzTL48",ARBOR!$A:$C,3,0),0.0001,IF(CR22&gt;VLOOKUP("PCS-OzTL48",ARBOR!$A:$C,3,0),"Maior que CAP!",IF((DOLLAR(CR22+(VLOOKUP("PCS-OzTL48",ARBOR!$A:$C,3,0)*-TRUNC(CR22/VLOOKUP("PCS-OzTL48",ARBOR!$A:$C,3,0)-1,4)),6))&lt;&gt;(DOLLAR(VLOOKUP("PCS-OzTL48",ARBOR!$A:$C,3,0),6)),-TRUNC(CR22/VLOOKUP("PCS-OzTL48",ARBOR!$A:$C,3,0)-1,4)+0.0001,-TRUNC(CR22/VLOOKUP("PCS-OzTL48",ARBOR!$A:$C,3,0)-1,4)))))</f>
        <v/>
      </c>
      <c r="CT22" s="28" t="str">
        <f>IF(ISERROR(IF(CS22="","",VLOOKUP(($BC22&amp;CS22&amp;"Template desconto FLAT Plano Principal Oi TV nível conta"),BENEFICIOS!$A:$G,5,0))),"Criar",IF(CS22="","",VLOOKUP(($BC22&amp;CS22&amp;"Template desconto FLAT Plano Principal Oi TV nível conta"),BENEFICIOS!$A:$G,5,0)))</f>
        <v/>
      </c>
      <c r="CU22" s="8"/>
      <c r="CV22" s="3" t="str">
        <f>IF(CU22=0,"",IF(CU22=VLOOKUP("PCS-OzTL742",ARBOR!$A:$C,3,0),0.0001,IF(CU22&gt;VLOOKUP("PCS-OzTL742",ARBOR!$A:$C,3,0),"Maior que CAP!",IF((DOLLAR(CU22+(VLOOKUP("PCS-OzTL742",ARBOR!$A:$C,3,0)*-TRUNC(CU22/VLOOKUP("PCS-OzTL742",ARBOR!$A:$C,3,0)-1,4)),6))&lt;&gt;(DOLLAR(VLOOKUP("PCS-OzTL742",ARBOR!$A:$C,3,0),6)),-TRUNC(CU22/VLOOKUP("PCS-OzTL742",ARBOR!$A:$C,3,0)-1,4)+0.0001,-TRUNC(CU22/VLOOKUP("PCS-OzTL742",ARBOR!$A:$C,3,0)-1,4)))))</f>
        <v/>
      </c>
      <c r="CW22" s="28" t="str">
        <f>IF(ISERROR(IF(CV22="","",VLOOKUP(($BC22&amp;CV22&amp;"Template desconto FLAT Plano Principal Oi TV nível conta"),BENEFICIOS!$A:$G,5,0))),"Criar",IF(CV22="","",VLOOKUP(($BC22&amp;CV22&amp;"Template desconto FLAT Plano Principal Oi TV nível conta"),BENEFICIOS!$A:$G,5,0)))</f>
        <v/>
      </c>
      <c r="CX22" s="8"/>
      <c r="CY22" s="3" t="str">
        <f>IF(CX22=0,"",IF(CX22=VLOOKUP("PCS-OzTL747",ARBOR!$A:$C,3,0),0.0001,IF(CX22&gt;VLOOKUP("PCS-OzTL747",ARBOR!$A:$C,3,0),"Maior que CAP!",IF((DOLLAR(CX22+(VLOOKUP("PCS-OzTL747",ARBOR!$A:$C,3,0)*-TRUNC(CX22/VLOOKUP("PCS-OzTL747",ARBOR!$A:$C,3,0)-1,4)),6))&lt;&gt;(DOLLAR(VLOOKUP("PCS-OzTL747",ARBOR!$A:$C,3,0),6)),-TRUNC(CX22/VLOOKUP("PCS-OzTL747",ARBOR!$A:$C,3,0)-1,4)+0.0001,-TRUNC(CX22/VLOOKUP("PCS-OzTL747",ARBOR!$A:$C,3,0)-1,4)))))</f>
        <v/>
      </c>
      <c r="CZ22" s="28" t="str">
        <f>IF(ISERROR(IF(CY22="","",VLOOKUP(($BC22&amp;CY22&amp;"Template desconto FLAT Plano Principal Oi TV nível conta"),BENEFICIOS!$A:$G,5,0))),"Criar",IF(CY22="","",VLOOKUP(($BC22&amp;CY22&amp;"Template desconto FLAT Plano Principal Oi TV nível conta"),BENEFICIOS!$A:$G,5,0)))</f>
        <v/>
      </c>
      <c r="DA22" s="8"/>
      <c r="DB22" s="3" t="str">
        <f>IF(DA22=0,"",IF(DA22=VLOOKUP("PCS-OzTL746",ARBOR!$A:$C,3,0),0.0001,IF(DA22&gt;VLOOKUP("PCS-OzTL746",ARBOR!$A:$C,3,0),"Maior que CAP!",IF((DOLLAR(DA22+(VLOOKUP("PCS-OzTL746",ARBOR!$A:$C,3,0)*-TRUNC(DA22/VLOOKUP("PCS-OzTL746",ARBOR!$A:$C,3,0)-1,4)),6))&lt;&gt;(DOLLAR(VLOOKUP("PCS-OzTL746",ARBOR!$A:$C,3,0),6)),-TRUNC(DA22/VLOOKUP("PCS-OzTL746",ARBOR!$A:$C,3,0)-1,4)+0.0001,-TRUNC(DA22/VLOOKUP("PCS-OzTL746",ARBOR!$A:$C,3,0)-1,4)))))</f>
        <v/>
      </c>
      <c r="DC22" s="28" t="str">
        <f>IF(ISERROR(IF(DB22="","",VLOOKUP(($BC22&amp;DB22&amp;"Template desconto FLAT Plano Principal Oi TV nível conta"),BENEFICIOS!$A:$G,5,0))),"Criar",IF(DB22="","",VLOOKUP(($BC22&amp;DB22&amp;"Template desconto FLAT Plano Principal Oi TV nível conta"),BENEFICIOS!$A:$G,5,0)))</f>
        <v/>
      </c>
      <c r="DD22" s="8"/>
      <c r="DE22" s="3" t="str">
        <f>IF(DD22=0,"",IF(DD22=VLOOKUP("PCS-OzTL748",ARBOR!$A:$C,3,0),0.0001,IF(DD22&gt;VLOOKUP("PCS-OzTL748",ARBOR!$A:$C,3,0),"Maior que CAP!",IF((DOLLAR(DD22+(VLOOKUP("PCS-OzTL748",ARBOR!$A:$C,3,0)*-TRUNC(DD22/VLOOKUP("PCS-OzTL748",ARBOR!$A:$C,3,0)-1,4)),6))&lt;&gt;(DOLLAR(VLOOKUP("PCS-OzTL748",ARBOR!$A:$C,3,0),6)),-TRUNC(DD22/VLOOKUP("PCS-OzTL748",ARBOR!$A:$C,3,0)-1,4)+0.0001,-TRUNC(DD22/VLOOKUP("PCS-OzTL748",ARBOR!$A:$C,3,0)-1,4)))))</f>
        <v/>
      </c>
      <c r="DF22" s="28" t="str">
        <f>IF(ISERROR(IF(DE22="","",VLOOKUP(($BC22&amp;DE22&amp;"Template desconto FLAT Plano Principal Oi TV nível conta"),BENEFICIOS!$A:$G,5,0))),"Criar",IF(DE22="","",VLOOKUP(($BC22&amp;DE22&amp;"Template desconto FLAT Plano Principal Oi TV nível conta"),BENEFICIOS!$A:$G,5,0)))</f>
        <v/>
      </c>
      <c r="DG22" s="8"/>
      <c r="DH22" s="3" t="str">
        <f>IF(DG22=0,"",IF(DG22=VLOOKUP("PCS-OzTL34",ARBOR!$A:$C,3,0),0.0001,IF(DG22&gt;VLOOKUP("PCS-OzTL34",ARBOR!$A:$C,3,0),"Maior que CAP!",IF((DOLLAR(DG22+(VLOOKUP("PCS-OzTL34",ARBOR!$A:$C,3,0)*-TRUNC(DG22/VLOOKUP("PCS-OzTL34",ARBOR!$A:$C,3,0)-1,4)),6))&lt;&gt;(DOLLAR(VLOOKUP("PCS-OzTL34",ARBOR!$A:$C,3,0),6)),-TRUNC(DG22/VLOOKUP("PCS-OzTL34",ARBOR!$A:$C,3,0)-1,4)+0.0001,-TRUNC(DG22/VLOOKUP("PCS-OzTL34",ARBOR!$A:$C,3,0)-1,4)))))</f>
        <v/>
      </c>
      <c r="DI22" s="28" t="str">
        <f>IF(DH22="S/Desc","S/Desc",IF(ISERROR(IF(DH22="","",VLOOKUP(($BC22&amp;DH22&amp;"Template desconto % Combate nível conta"),BENEFICIOS!$A:$G,5,0))),"Criar",IF(DH22="","",VLOOKUP(($BC22&amp;DH22&amp;"Template desconto % Combate nível conta"),BENEFICIOS!$A:$G,5,0))))</f>
        <v/>
      </c>
      <c r="DJ22" s="8"/>
      <c r="DK22" s="3" t="str">
        <f>IF(DJ22=0,"",IF(DJ22=VLOOKUP("PCS-OzTL31",ARBOR!$A:$C,3,0),0.0001,IF(DJ22&gt;VLOOKUP("PCS-OzTL31",ARBOR!$A:$C,3,0),"Maior que CAP!",IF((DOLLAR(DJ22+(VLOOKUP("PCS-OzTL31",ARBOR!$A:$C,3,0)*-TRUNC(DJ22/VLOOKUP("PCS-OzTL31",ARBOR!$A:$C,3,0)-1,4)),6))&lt;&gt;(DOLLAR(VLOOKUP("PCS-OzTL31",ARBOR!$A:$C,3,0),6)),-TRUNC(DJ22/VLOOKUP("PCS-OzTL31",ARBOR!$A:$C,3,0)-1,4)+0.0001,-TRUNC(DJ22/VLOOKUP("PCS-OzTL31",ARBOR!$A:$C,3,0)-1,4)))))</f>
        <v/>
      </c>
      <c r="DL22" s="28" t="str">
        <f>IF(DK22="S/Desc","S/Desc",IF(ISERROR(IF(DK22="","",VLOOKUP(($BC22&amp;DK22&amp;"Template desconto % Sexy Hot nível conta"),BENEFICIOS!$A:$G,5,0))),"Criar",IF(DK22="","",VLOOKUP(($BC22&amp;DK22&amp;"Template desconto % Sexy Hot nível conta"),BENEFICIOS!$A:$G,5,0))))</f>
        <v/>
      </c>
      <c r="DM22" s="8"/>
      <c r="DN22" s="3" t="str">
        <f>IF(DM22=0,"",IF(DM22=VLOOKUP("PCS-OzTL32",ARBOR!$A:$C,3,0),0.0001,IF(DM22&gt;VLOOKUP("PCS-OzTL32",ARBOR!$A:$C,3,0),"Maior que CAP!",IF((DOLLAR(DM22+(VLOOKUP("PCS-OzTL32",ARBOR!$A:$C,3,0)*-TRUNC(DM22/VLOOKUP("PCS-OzTL32",ARBOR!$A:$C,3,0)-1,4)),6))&lt;&gt;(DOLLAR(VLOOKUP("PCS-OzTL32",ARBOR!$A:$C,3,0),6)),-TRUNC(DM22/VLOOKUP("PCS-OzTL32",ARBOR!$A:$C,3,0)-1,4)+0.0001,-TRUNC(DM22/VLOOKUP("PCS-OzTL32",ARBOR!$A:$C,3,0)-1,4)))))</f>
        <v/>
      </c>
      <c r="DO22" s="28" t="str">
        <f>IF(DN22="S/Desc","S/Desc",IF(ISERROR(IF(DN22="","",VLOOKUP(($BC22&amp;DN22&amp;"Template desconto % Playboy nível conta"),BENEFICIOS!$A:$G,5,0))),"Criar",IF(DN22="","",VLOOKUP(($BC22&amp;DN22&amp;"Template desconto % Playboy nível conta"),BENEFICIOS!$A:$G,5,0))))</f>
        <v/>
      </c>
      <c r="DP22" s="8"/>
      <c r="DQ22" s="3" t="str">
        <f>IF(DP22=0,"",IF(DP22=VLOOKUP("PCS-OzTL33",ARBOR!$A:$C,3,0),0.0001,IF(DP22&gt;VLOOKUP("PCS-OzTL33",ARBOR!$A:$C,3,0),"Maior que CAP!",IF((DOLLAR(DP22+(VLOOKUP("PCS-OzTL33",ARBOR!$A:$C,3,0)*-TRUNC(DP22/VLOOKUP("PCS-OzTL33",ARBOR!$A:$C,3,0)-1,4)),6))&lt;&gt;(DOLLAR(VLOOKUP("PCS-OzTL33",ARBOR!$A:$C,3,0),6)),-TRUNC(DP22/VLOOKUP("PCS-OzTL33",ARBOR!$A:$C,3,0)-1,4)+0.0001,-TRUNC(DP22/VLOOKUP("PCS-OzTL33",ARBOR!$A:$C,3,0)-1,4)))))</f>
        <v/>
      </c>
      <c r="DR22" s="28" t="str">
        <f>IF(DQ22="S/Desc","S/Desc",IF(ISERROR(IF(DQ22="","",VLOOKUP(($BC22&amp;DQ22&amp;"Template desconto % Sexy Hot + Playboy nível conta"),BENEFICIOS!$A:$G,5,0))),"Criar",IF(DQ22="","",VLOOKUP(($BC22&amp;DQ22&amp;"Template desconto % Sexy Hot + Playboy nível conta"),BENEFICIOS!$A:$G,5,0))))</f>
        <v/>
      </c>
      <c r="DS22" s="8"/>
      <c r="DT22" s="3" t="str">
        <f>IF(DS22=0,"",IF(DS22=VLOOKUP("PCS-OzTL503",ARBOR!$A:$C,3,0),0.0001,IF(DS22&gt;VLOOKUP("PCS-OzTL503",ARBOR!$A:$C,3,0),"Maior que CAP!",IF((DOLLAR(DS22+(VLOOKUP("PCS-OzTL503",ARBOR!$A:$C,3,0)*-TRUNC(DS22/VLOOKUP("PCS-OzTL503",ARBOR!$A:$C,3,0)-1,4)),6))&lt;&gt;(DOLLAR(VLOOKUP("PCS-OzTL503",ARBOR!$A:$C,3,0),6)),-TRUNC(DS22/VLOOKUP("PCS-OzTL503",ARBOR!$A:$C,3,0)-1,4)+0.0001,-TRUNC(DS22/VLOOKUP("PCS-OzTL503",ARBOR!$A:$C,3,0)-1,4)))))</f>
        <v/>
      </c>
      <c r="DU22" s="28" t="str">
        <f>IF(DT22="S/Desc","S/Desc",IF(ISERROR(IF(DT22="","",VLOOKUP(($BC22&amp;DT22&amp;"Template desconto % SexPrivê nível conta"),BENEFICIOS!$A:$G,5,0))),"Criar",IF(DT22="","",VLOOKUP(($BC22&amp;DT22&amp;"Template desconto % SexPrivê nível conta"),BENEFICIOS!$A:$G,5,0))))</f>
        <v/>
      </c>
      <c r="DV22" s="8"/>
      <c r="DW22" s="3" t="str">
        <f>IF(DV22=0,"",IF(DV22=VLOOKUP("PCS-OzTL500",ARBOR!$A:$C,3,0),0.0001,IF(DV22&gt;VLOOKUP("PCS-OzTL500",ARBOR!$A:$C,3,0),"Maior que CAP!",IF((DOLLAR(DV22+(VLOOKUP("PCS-OzTL500",ARBOR!$A:$C,3,0)*-TRUNC(DV22/VLOOKUP("PCS-OzTL500",ARBOR!$A:$C,3,0)-1,4)),6))&lt;&gt;(DOLLAR(VLOOKUP("PCS-OzTL500",ARBOR!$A:$C,3,0),6)),-TRUNC(DV22/VLOOKUP("PCS-OzTL500",ARBOR!$A:$C,3,0)-1,4)+0.0001,-TRUNC(DV22/VLOOKUP("PCS-OzTL500",ARBOR!$A:$C,3,0)-1,4)))))</f>
        <v/>
      </c>
      <c r="DX22" s="28" t="str">
        <f>IF(DW22="S/Desc","S/Desc",IF(ISERROR(IF(DW22="","",VLOOKUP(($BC22&amp;DW22&amp;"Template desconto % Étnico nível conta"),BENEFICIOS!$A:$G,5,0))),"Criar",IF(DW22="","",VLOOKUP(($BC22&amp;DW22&amp;"Template desconto % Étnico nível conta"),BENEFICIOS!$A:$G,5,0))))</f>
        <v/>
      </c>
      <c r="DY22" s="8"/>
      <c r="DZ22" s="181" t="str">
        <f>IF(DY22=0,"",IF(DY22=VLOOKUP("PCS-OzTL50",ARBOR!$A:$C,3,0),0.0001,IF(DY22&gt;VLOOKUP("PCS-OzTL50",ARBOR!$A:$C,3,0),"Maior que CAP!",IF((DOLLAR(DY22+(VLOOKUP("PCS-OzTL50",ARBOR!$A:$C,3,0)*-TRUNC(DY22/VLOOKUP("PCS-OzTL50",ARBOR!$A:$C,3,0)-1,4)),6))&lt;&gt;(DOLLAR(VLOOKUP("PCS-OzTL50",ARBOR!$A:$C,3,0),6)),-TRUNC(DY22/VLOOKUP("PCS-OzTL50",ARBOR!$A:$C,3,0)-1,4)+0.0001,-TRUNC(DY22/VLOOKUP("PCS-OzTL50",ARBOR!$A:$C,3,0)-1,4)))))</f>
        <v/>
      </c>
      <c r="EA22" s="28"/>
      <c r="EB22" s="8"/>
      <c r="EC22" s="181" t="str">
        <f>IF(EB22=0,"",IF(EB22=VLOOKUP("PCS-OzTL51",ARBOR!$A:$C,3,0),0.0001,IF(EB22&gt;VLOOKUP("PCS-OzTL51",ARBOR!$A:$C,3,0),"Maior que CAP!",IF((DOLLAR(EB22+(VLOOKUP("PCS-OzTL51",ARBOR!$A:$C,3,0)*-TRUNC(EB22/VLOOKUP("PCS-OzTL51",ARBOR!$A:$C,3,0)-1,4)),6))&lt;&gt;(DOLLAR(VLOOKUP("PCS-OzTL51",ARBOR!$A:$C,3,0),6)),-TRUNC(EB22/VLOOKUP("PCS-OzTL51",ARBOR!$A:$C,3,0)-1,4)+0.0001,-TRUNC(EB22/VLOOKUP("PCS-OzTL51",ARBOR!$A:$C,3,0)-1,4)))))</f>
        <v/>
      </c>
      <c r="ED22" s="28"/>
      <c r="EE22" s="8"/>
      <c r="EF22" s="181" t="str">
        <f>IF(EE22=0,"",IF(EE22=VLOOKUP("PCS-OzTL52",ARBOR!$A:$C,3,0),0.0001,IF(EE22&gt;VLOOKUP("PCS-OzTL52",ARBOR!$A:$C,3,0),"Maior que CAP!",IF((DOLLAR(EE22+(VLOOKUP("PCS-OzTL52",ARBOR!$A:$C,3,0)*-TRUNC(EE22/VLOOKUP("PCS-OzTL52",ARBOR!$A:$C,3,0)-1,4)),6))&lt;&gt;(DOLLAR(VLOOKUP("PCS-OzTL52",ARBOR!$A:$C,3,0),6)),-TRUNC(EE22/VLOOKUP("PCS-OzTL52",ARBOR!$A:$C,3,0)-1,4)+0.0001,-TRUNC(EE22/VLOOKUP("PCS-OzTL52",ARBOR!$A:$C,3,0)-1,4)))))</f>
        <v/>
      </c>
      <c r="EG22" s="28"/>
      <c r="EH22" s="8"/>
      <c r="EI22" s="181" t="str">
        <f>IF(EH22=0,"",IF(EH22=VLOOKUP("PCS-OzTL53",ARBOR!$A:$C,3,0),0.0001,IF(EH22&gt;VLOOKUP("PCS-OzTL53",ARBOR!$A:$C,3,0),"Maior que CAP!",IF((DOLLAR(EH22+(VLOOKUP("PCS-OzTL53",ARBOR!$A:$C,3,0)*-TRUNC(EH22/VLOOKUP("PCS-OzTL53",ARBOR!$A:$C,3,0)-1,4)),6))&lt;&gt;(DOLLAR(VLOOKUP("PCS-OzTL53",ARBOR!$A:$C,3,0),6)),-TRUNC(EH22/VLOOKUP("PCS-OzTL53",ARBOR!$A:$C,3,0)-1,4)+0.0001,-TRUNC(EH22/VLOOKUP("PCS-OzTL53",ARBOR!$A:$C,3,0)-1,4)))))</f>
        <v/>
      </c>
      <c r="EJ22" s="28"/>
      <c r="EK22" s="8"/>
      <c r="EL22" s="181" t="str">
        <f>IF(EK22=0,"",IF(EK22=VLOOKUP("PCS-OzTL54",ARBOR!$A:$C,3,0),0.0001,IF(EK22&gt;VLOOKUP("PCS-OzTL54",ARBOR!$A:$C,3,0),"Maior que CAP!",IF((DOLLAR(EK22+(VLOOKUP("PCS-OzTL54",ARBOR!$A:$C,3,0)*-TRUNC(EK22/VLOOKUP("PCS-OzTL54",ARBOR!$A:$C,3,0)-1,4)),6))&lt;&gt;(DOLLAR(VLOOKUP("PCS-OzTL54",ARBOR!$A:$C,3,0),6)),-TRUNC(EK22/VLOOKUP("PCS-OzTL54",ARBOR!$A:$C,3,0)-1,4)+0.0001,-TRUNC(EK22/VLOOKUP("PCS-OzTL54",ARBOR!$A:$C,3,0)-1,4)))))</f>
        <v/>
      </c>
      <c r="EM22" s="28"/>
      <c r="EN22" s="8"/>
      <c r="EO22" s="3" t="str">
        <f>IF(EN22=0,"",IF(EN22=VLOOKUP("PCS-OzTL99",ARBOR!$A:$C,3,0),0.0001,IF(EN22&gt;VLOOKUP("PCS-OzTL99",ARBOR!$A:$C,3,0),"Maior que CAP!",IF((DOLLAR(EN22+(VLOOKUP("PCS-OzTL99",ARBOR!$A:$C,3,0)*-TRUNC(EN22/VLOOKUP("PCS-OzTL99",ARBOR!$A:$C,3,0)-1,4)),6))&lt;&gt;(DOLLAR(VLOOKUP("PCS-OzTL99",ARBOR!$A:$C,3,0),6)),-TRUNC(EN22/VLOOKUP("PCS-OzTL99",ARBOR!$A:$C,3,0)-1,4)+0.0001,-TRUNC(EN22/VLOOKUP("PCS-OzTL99",ARBOR!$A:$C,3,0)-1,4)))))</f>
        <v/>
      </c>
      <c r="EP22" s="28" t="str">
        <f>IF(EO22="S/Desc","S/Desc",IF(ISERROR(IF(EO22="","",VLOOKUP(($BC22&amp;EO22&amp;"Template desconto % Ponto adicional nível conta"),BENEFICIOS!$A:$G,5,0))),"Criar",IF(EO22="","",VLOOKUP(($BC22&amp;EO22&amp;"Template desconto % Ponto adicional nível conta"),BENEFICIOS!$A:$G,5,0))))</f>
        <v/>
      </c>
      <c r="EQ22" s="8"/>
      <c r="ER22" s="28" t="str">
        <f t="shared" si="23"/>
        <v/>
      </c>
      <c r="ES22" s="62"/>
      <c r="ET22" s="126"/>
      <c r="EU22" s="127"/>
      <c r="EV22" s="126"/>
      <c r="EW22" s="128" t="str">
        <f t="shared" si="24"/>
        <v/>
      </c>
      <c r="EX22" s="129" t="str">
        <f t="shared" si="25"/>
        <v/>
      </c>
      <c r="EY22" s="91" t="str">
        <f t="shared" si="26"/>
        <v/>
      </c>
      <c r="EZ22" s="85"/>
      <c r="FA22" s="97"/>
      <c r="FB22" s="91"/>
      <c r="FC22" s="85"/>
      <c r="FD22" s="97"/>
      <c r="FE22" s="91"/>
      <c r="FF22" s="87"/>
      <c r="FG22" s="144" t="str">
        <f t="shared" si="5"/>
        <v/>
      </c>
      <c r="FH22" s="144" t="str">
        <f t="shared" si="6"/>
        <v/>
      </c>
      <c r="FI22" s="144" t="str">
        <f t="shared" si="7"/>
        <v/>
      </c>
      <c r="FJ22" s="144" t="str">
        <f t="shared" si="8"/>
        <v/>
      </c>
      <c r="FK22" s="144" t="str">
        <f t="shared" si="9"/>
        <v/>
      </c>
      <c r="FL22" s="144" t="str">
        <f t="shared" si="10"/>
        <v/>
      </c>
      <c r="FM22" s="144" t="str">
        <f t="shared" si="11"/>
        <v/>
      </c>
      <c r="FN22" s="144" t="str">
        <f t="shared" si="12"/>
        <v/>
      </c>
      <c r="FO22" s="144" t="str">
        <f t="shared" si="13"/>
        <v/>
      </c>
      <c r="FP22" s="144" t="str">
        <f t="shared" si="14"/>
        <v/>
      </c>
      <c r="FQ22" s="144" t="str">
        <f t="shared" si="15"/>
        <v/>
      </c>
      <c r="FR22" s="144" t="str">
        <f t="shared" si="16"/>
        <v/>
      </c>
      <c r="FS22" s="144" t="str">
        <f t="shared" si="17"/>
        <v/>
      </c>
      <c r="FT22" s="144" t="str">
        <f t="shared" si="18"/>
        <v/>
      </c>
      <c r="FU22" s="144" t="str">
        <f t="shared" si="19"/>
        <v/>
      </c>
      <c r="FV22" s="144" t="str">
        <f t="shared" si="20"/>
        <v/>
      </c>
      <c r="FW22" s="144" t="str">
        <f t="shared" si="21"/>
        <v/>
      </c>
      <c r="FX22" s="151"/>
      <c r="FY22" s="152"/>
      <c r="FZ22" s="152"/>
      <c r="GA22" s="152"/>
      <c r="GB22" s="152"/>
      <c r="GC22" s="152"/>
      <c r="GD22" s="152"/>
      <c r="GE22" s="152"/>
      <c r="GF22" s="152"/>
      <c r="GG22" s="153"/>
    </row>
    <row r="23" spans="1:189">
      <c r="A23" s="45"/>
      <c r="B23" s="133"/>
      <c r="C23" s="133"/>
      <c r="D23" s="46"/>
      <c r="E23" s="47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9"/>
      <c r="U23" s="48"/>
      <c r="V23" s="49"/>
      <c r="W23" s="48"/>
      <c r="X23" s="48"/>
      <c r="Y23" s="48"/>
      <c r="Z23" s="48"/>
      <c r="AA23" s="49"/>
      <c r="AB23" s="48"/>
      <c r="AC23" s="50"/>
      <c r="AD23" s="48"/>
      <c r="AE23" s="48"/>
      <c r="AF23" s="48"/>
      <c r="AG23" s="48"/>
      <c r="AH23" s="48"/>
      <c r="AI23" s="48"/>
      <c r="AJ23" s="48"/>
      <c r="AK23" s="48"/>
      <c r="AL23" s="51"/>
      <c r="AM23" s="37"/>
      <c r="AN23" s="38"/>
      <c r="AO23" s="39"/>
      <c r="AP23" s="52"/>
      <c r="AQ23" s="53"/>
      <c r="AR23" s="64"/>
      <c r="AS23" s="65"/>
      <c r="AT23" s="54"/>
      <c r="AU23" s="54"/>
      <c r="AV23" s="54"/>
      <c r="AW23" s="54"/>
      <c r="AX23" s="70"/>
      <c r="AY23" s="71"/>
      <c r="AZ23" s="72"/>
      <c r="BA23" s="73"/>
      <c r="BB23" s="55"/>
      <c r="BC23" s="56"/>
      <c r="BD23" s="27" t="str">
        <f t="shared" si="22"/>
        <v/>
      </c>
      <c r="BE23" s="58"/>
      <c r="BF23" s="3" t="str">
        <f>IF(BE23=0,"",IF(BE23=VLOOKUP("FIXO",ARBOR!$A:$C,3,0),0.0001,IF(BE23&gt;VLOOKUP("FIXO",ARBOR!$A:$C,3,0),"Maior que CAP!",IF((DOLLAR(BE23+(VLOOKUP("FIXO",ARBOR!$A:$C,3,0)*-TRUNC(BE23/VLOOKUP("FIXO",ARBOR!$A:$C,3,0)-1,4)),6))&lt;&gt;(DOLLAR(VLOOKUP("FIXO",ARBOR!$A:$C,3,0),6)),-TRUNC(BE23/VLOOKUP("FIXO",ARBOR!$A:$C,3,0)-1,4)+0.0001,-TRUNC(BE23/VLOOKUP("FIXO",ARBOR!$A:$C,3,0)-1,4)))))</f>
        <v/>
      </c>
      <c r="BG23" s="10" t="str">
        <f>IF(ISERROR(IF(BF23="","",VLOOKUP(($BC23&amp;BF23&amp;"Template de desconto FLAT bundle - Fixo - Varejo - Ganho Tributário Cross"),BENEFICIOS!$A:$G,5,0))),"Criar",IF(BF23="","",VLOOKUP(($BC23&amp;BF23&amp;"Template de desconto FLAT bundle - Fixo - Varejo - Ganho Tributário Cross"),BENEFICIOS!$A:$G,5,0)))</f>
        <v/>
      </c>
      <c r="BH23" s="8"/>
      <c r="BI23" s="3" t="str">
        <f>IF(BH23=0,"",IF(BH23=VLOOKUP("PCS-OzTL40",ARBOR!$A:$C,3,0),0.0001,IF(BH23&gt;VLOOKUP("PCS-OzTL40",ARBOR!$A:$C,3,0),"Maior que CAP!",IF((DOLLAR(BH23+(VLOOKUP("PCS-OzTL40",ARBOR!$A:$C,3,0)*-TRUNC(BH23/VLOOKUP("PCS-OzTL40",ARBOR!$A:$C,3,0)-1,4)),6))&lt;&gt;(DOLLAR(VLOOKUP("PCS-OzTL40",ARBOR!$A:$C,3,0),6)),-TRUNC(BH23/VLOOKUP("PCS-OzTL40",ARBOR!$A:$C,3,0)-1,4)+0.0001,-TRUNC(BH23/VLOOKUP("PCS-OzTL40",ARBOR!$A:$C,3,0)-1,4)))))</f>
        <v/>
      </c>
      <c r="BJ23" s="10" t="str">
        <f>IF(ISERROR(IF(BI23="","",VLOOKUP((BC23&amp;BI23&amp;"Template desconto FLAT Plano Principal Oi TV nível conta"),BENEFICIOS!$A:$G,5,0))),"Criar",IF(BI23="","",VLOOKUP((BC23&amp;BI23&amp;"Template desconto FLAT Plano Principal Oi TV nível conta"),BENEFICIOS!$A:$G,5,0)))</f>
        <v/>
      </c>
      <c r="BK23" s="8"/>
      <c r="BL23" s="3" t="str">
        <f>IF(BK23=0,"",IF(BK23=VLOOKUP("PCS-OzTL41",ARBOR!$A:$C,3,0),0.0001,IF(BK23&gt;VLOOKUP("PCS-OzTL41",ARBOR!$A:$C,3,0),"Maior que CAP!",IF((DOLLAR(BK23+(VLOOKUP("PCS-OzTL41",ARBOR!$A:$C,3,0)*-TRUNC(BK23/VLOOKUP("PCS-OzTL41",ARBOR!$A:$C,3,0)-1,4)),6))&lt;&gt;(DOLLAR(VLOOKUP("PCS-OzTL41",ARBOR!$A:$C,3,0),6)),-TRUNC(BK23/VLOOKUP("PCS-OzTL41",ARBOR!$A:$C,3,0)-1,4)+0.0001,-TRUNC(BK23/VLOOKUP("PCS-OzTL41",ARBOR!$A:$C,3,0)-1,4)))))</f>
        <v/>
      </c>
      <c r="BM23" s="28" t="str">
        <f>IF(ISERROR(IF(BL23="","",VLOOKUP((BC23&amp;BL23&amp;"Template desconto FLAT Plano Principal Oi TV nível conta"),BENEFICIOS!$A:$G,5,0))),"Criar",IF(BL23="","",VLOOKUP((BC23&amp;BL23&amp;"Template desconto FLAT Plano Principal Oi TV nível conta"),BENEFICIOS!$A:$G,5,0)))</f>
        <v/>
      </c>
      <c r="BN23" s="8"/>
      <c r="BO23" s="3" t="str">
        <f>IF(BN23=0,"",IF(BN23=VLOOKUP("PCS-OzTL44",ARBOR!$A:$C,3,0),0.0001,IF(BN23&gt;VLOOKUP("PCS-OzTL44",ARBOR!$A:$C,3,0),"Maior que CAP!",IF((DOLLAR(BN23+(VLOOKUP("PCS-OzTL44",ARBOR!$A:$C,3,0)*-TRUNC(BN23/VLOOKUP("PCS-OzTL44",ARBOR!$A:$C,3,0)-1,4)),6))&lt;&gt;(DOLLAR(VLOOKUP("PCS-OzTL44",ARBOR!$A:$C,3,0),6)),-TRUNC(BN23/VLOOKUP("PCS-OzTL44",ARBOR!$A:$C,3,0)-1,4)+0.0001,-TRUNC(BN23/VLOOKUP("PCS-OzTL44",ARBOR!$A:$C,3,0)-1,4)))))</f>
        <v/>
      </c>
      <c r="BP23" s="28" t="str">
        <f>IF(ISERROR(IF(BO23="","",VLOOKUP((BC23&amp;BO23&amp;"Template desconto FLAT Plano Principal Oi TV nível conta"),BENEFICIOS!$A:$G,5,0))),"Criar",IF(BO23="","",VLOOKUP((BC23&amp;BO23&amp;"Template desconto FLAT Plano Principal Oi TV nível conta"),BENEFICIOS!$A:$G,5,0)))</f>
        <v/>
      </c>
      <c r="BQ23" s="8"/>
      <c r="BR23" s="3" t="str">
        <f>IF(BQ23=0,"",IF(BQ23=VLOOKUP("PCS-OzTL43",ARBOR!$A:$C,3,0),0.0001,IF(BQ23&gt;VLOOKUP("PCS-OzTL43",ARBOR!$A:$C,3,0),"Maior que CAP!",IF((DOLLAR(BQ23+(VLOOKUP("PCS-OzTL43",ARBOR!$A:$C,3,0)*-TRUNC(BQ23/VLOOKUP("PCS-OzTL43",ARBOR!$A:$C,3,0)-1,4)),6))&lt;&gt;(DOLLAR(VLOOKUP("PCS-OzTL43",ARBOR!$A:$C,3,0),6)),-TRUNC(BQ23/VLOOKUP("PCS-OzTL43",ARBOR!$A:$C,3,0)-1,4)+0.0001,-TRUNC(BQ23/VLOOKUP("PCS-OzTL43",ARBOR!$A:$C,3,0)-1,4)))))</f>
        <v/>
      </c>
      <c r="BS23" s="28" t="str">
        <f>IF(ISERROR(IF(BR23="","",VLOOKUP((BC23&amp;BR23&amp;"Template desconto FLAT Plano Principal Oi TV nível conta"),BENEFICIOS!$A:$G,5,0))),"Criar",IF(BR23="","",VLOOKUP((BC23&amp;BR23&amp;"Template desconto FLAT Plano Principal Oi TV nível conta"),BENEFICIOS!$A:$G,5,0)))</f>
        <v/>
      </c>
      <c r="BT23" s="8"/>
      <c r="BU23" s="3" t="str">
        <f>IF(BT23=0,"",IF(BT23=VLOOKUP("PCS-OzTL45",ARBOR!$A:$C,3,0),0.0001,IF(BT23&gt;VLOOKUP("PCS-OzTL45",ARBOR!$A:$C,3,0),"Maior que CAP!",IF((DOLLAR(BT23+(VLOOKUP("PCS-OzTL45",ARBOR!$A:$C,3,0)*-TRUNC(BT23/VLOOKUP("PCS-OzTL45",ARBOR!$A:$C,3,0)-1,4)),6))&lt;&gt;(DOLLAR(VLOOKUP("PCS-OzTL45",ARBOR!$A:$C,3,0),6)),-TRUNC(BT23/VLOOKUP("PCS-OzTL45",ARBOR!$A:$C,3,0)-1,4)+0.0001,-TRUNC(BT23/VLOOKUP("PCS-OzTL45",ARBOR!$A:$C,3,0)-1,4)))))</f>
        <v/>
      </c>
      <c r="BV23" s="28" t="str">
        <f>IF(ISERROR(IF(BU23="","",VLOOKUP((BC23&amp;BU23&amp;"Template desconto FLAT Plano Principal Oi TV nível conta"),BENEFICIOS!$A:$G,5,0))),"Criar",IF(BU23="","",VLOOKUP((BC23&amp;BU23&amp;"Template desconto FLAT Plano Principal Oi TV nível conta"),BENEFICIOS!$A:$G,5,0)))</f>
        <v/>
      </c>
      <c r="BW23" s="8"/>
      <c r="BX23" s="3" t="str">
        <f>IF(BW23=0,"",IF(BW23=VLOOKUP("PCS-OzTL741",ARBOR!$A:$C,3,0),0.0001,IF(BW23&gt;VLOOKUP("PCS-OzTL741",ARBOR!$A:$C,3,0),"Maior que CAP!",IF((DOLLAR(BW23+(VLOOKUP("PCS-OzTL741",ARBOR!$A:$C,3,0)*-TRUNC(BW23/VLOOKUP("PCS-OzTL741",ARBOR!$A:$C,3,0)-1,4)),6))&lt;&gt;(DOLLAR(VLOOKUP("PCS-OzTL741",ARBOR!$A:$C,3,0),6)),-TRUNC(BW23/VLOOKUP("PCS-OzTL741",ARBOR!$A:$C,3,0)-1,4)+0.0001,-TRUNC(BW23/VLOOKUP("PCS-OzTL741",ARBOR!$A:$C,3,0)-1,4)))))</f>
        <v/>
      </c>
      <c r="BY23" s="28" t="str">
        <f>IF(ISERROR(IF(BX23="","",VLOOKUP((BC23&amp;BX23&amp;"Template desconto FLAT Plano Principal Oi TV nível conta"),BENEFICIOS!$A:$G,5,0))),"Criar",IF(BX23="","",VLOOKUP((BC23&amp;BX23&amp;"Template desconto FLAT Plano Principal Oi TV nível conta"),BENEFICIOS!$A:$G,5,0)))</f>
        <v/>
      </c>
      <c r="BZ23" s="8"/>
      <c r="CA23" s="3" t="str">
        <f>IF(BZ23=0,"",IF(BZ23=VLOOKUP("PCS-OzTL744",ARBOR!$A:$C,3,0),0.0001,IF(BZ23&gt;VLOOKUP("PCS-OzTL744",ARBOR!$A:$C,3,0),"Maior que CAP!",IF((DOLLAR(BZ23+(VLOOKUP("PCS-OzTL744",ARBOR!$A:$C,3,0)*-TRUNC(BZ23/VLOOKUP("PCS-OzTL744",ARBOR!$A:$C,3,0)-1,4)),6))&lt;&gt;(DOLLAR(VLOOKUP("PCS-OzTL744",ARBOR!$A:$C,3,0),6)),-TRUNC(BZ23/VLOOKUP("PCS-OzTL744",ARBOR!$A:$C,3,0)-1,4)+0.0001,-TRUNC(BZ23/VLOOKUP("PCS-OzTL744",ARBOR!$A:$C,3,0)-1,4)))))</f>
        <v/>
      </c>
      <c r="CB23" s="28" t="str">
        <f>IF(ISERROR(IF(CA23="","",VLOOKUP(($BC23&amp;CA23&amp;"Template desconto FLAT Plano Principal Oi TV nível conta"),BENEFICIOS!$A:$G,5,0))),"Criar",IF(CA23="","",VLOOKUP(($BC23&amp;CA23&amp;"Template desconto FLAT Plano Principal Oi TV nível conta"),BENEFICIOS!$A:$G,5,0)))</f>
        <v/>
      </c>
      <c r="CC23" s="8"/>
      <c r="CD23" s="3" t="str">
        <f>IF(CC23=0,"",IF(CC23=VLOOKUP("PCS-OzTL743",ARBOR!$A:$C,3,0),0.0001,IF(CC23&gt;VLOOKUP("PCS-OzTL743",ARBOR!$A:$C,3,0),"Maior que CAP!",IF((DOLLAR(CC23+(VLOOKUP("PCS-OzTL743",ARBOR!$A:$C,3,0)*-TRUNC(CC23/VLOOKUP("PCS-OzTL743",ARBOR!$A:$C,3,0)-1,4)),6))&lt;&gt;(DOLLAR(VLOOKUP("PCS-OzTL743",ARBOR!$A:$C,3,0),6)),-TRUNC(CC23/VLOOKUP("PCS-OzTL743",ARBOR!$A:$C,3,0)-1,4)+0.0001,-TRUNC(CC23/VLOOKUP("PCS-OzTL743",ARBOR!$A:$C,3,0)-1,4)))))</f>
        <v/>
      </c>
      <c r="CE23" s="28" t="str">
        <f>IF(ISERROR(IF(CD23="","",VLOOKUP(($BC23&amp;CD23&amp;"Template desconto FLAT Plano Principal Oi TV nível conta"),BENEFICIOS!$A:$G,5,0))),"Criar",IF(CD23="","",VLOOKUP(($BC23&amp;CD23&amp;"Template desconto FLAT Plano Principal Oi TV nível conta"),BENEFICIOS!$A:$G,5,0)))</f>
        <v/>
      </c>
      <c r="CF23" s="8"/>
      <c r="CG23" s="3" t="str">
        <f>IF(CF23=0,"",IF(CF23=VLOOKUP("PCS-OzTL745",ARBOR!$A:$C,3,0),0.0001,IF(CF23&gt;VLOOKUP("PCS-OzTL745",ARBOR!$A:$C,3,0),"Maior que CAP!",IF((DOLLAR(CF23+(VLOOKUP("PCS-OzTL745",ARBOR!$A:$C,3,0)*-TRUNC(CF23/VLOOKUP("PCS-OzTL745",ARBOR!$A:$C,3,0)-1,4)),6))&lt;&gt;(DOLLAR(VLOOKUP("PCS-OzTL745",ARBOR!$A:$C,3,0),6)),-TRUNC(CF23/VLOOKUP("PCS-OzTL745",ARBOR!$A:$C,3,0)-1,4)+0.0001,-TRUNC(CF23/VLOOKUP("PCS-OzTL745",ARBOR!$A:$C,3,0)-1,4)))))</f>
        <v/>
      </c>
      <c r="CH23" s="28" t="str">
        <f>IF(ISERROR(IF(CG23="","",VLOOKUP(($BC23&amp;CG23&amp;"Template desconto FLAT Plano Principal Oi TV nível conta"),BENEFICIOS!$A:$G,5,0))),"Criar",IF(CG23="","",VLOOKUP(($BC23&amp;CG23&amp;"Template desconto FLAT Plano Principal Oi TV nível conta"),BENEFICIOS!$A:$G,5,0)))</f>
        <v/>
      </c>
      <c r="CI23" s="8"/>
      <c r="CJ23" s="3" t="str">
        <f>IF(CI23=0,"",IF(CI23=VLOOKUP("PCS-OzTL42",ARBOR!$A:$C,3,0),0.0001,IF(CI23&gt;VLOOKUP("PCS-OzTL42",ARBOR!$A:$C,3,0),"Maior que CAP!",IF((DOLLAR(CI23+(VLOOKUP("PCS-OzTL42",ARBOR!$A:$C,3,0)*-TRUNC(CI23/VLOOKUP("PCS-OzTL42",ARBOR!$A:$C,3,0)-1,4)),6))&lt;&gt;(DOLLAR(VLOOKUP("PCS-OzTL42",ARBOR!$A:$C,3,0),6)),-TRUNC(CI23/VLOOKUP("PCS-OzTL42",ARBOR!$A:$C,3,0)-1,4)+0.0001,-TRUNC(CI23/VLOOKUP("PCS-OzTL42",ARBOR!$A:$C,3,0)-1,4)))))</f>
        <v/>
      </c>
      <c r="CK23" s="28" t="str">
        <f>IF(ISERROR(IF(CJ23="","",VLOOKUP(($BC23&amp;CJ23&amp;"Template desconto FLAT Plano Principal Oi TV nível conta"),BENEFICIOS!$A:$G,5,0))),"Criar",IF(CJ23="","",VLOOKUP(($BC23&amp;CJ23&amp;"Template desconto FLAT Plano Principal Oi TV nível conta"),BENEFICIOS!$A:$G,5,0)))</f>
        <v/>
      </c>
      <c r="CL23" s="8"/>
      <c r="CM23" s="3" t="str">
        <f>IF(CL23=0,"",IF(CL23=VLOOKUP("PCS-OzTL47",ARBOR!$A:$C,3,0),0.0001,IF(CL23&gt;VLOOKUP("PCS-OzTL47",ARBOR!$A:$C,3,0),"Maior que CAP!",IF((DOLLAR(CL23+(VLOOKUP("PCS-OzTL47",ARBOR!$A:$C,3,0)*-TRUNC(CL23/VLOOKUP("PCS-OzTL47",ARBOR!$A:$C,3,0)-1,4)),6))&lt;&gt;(DOLLAR(VLOOKUP("PCS-OzTL47",ARBOR!$A:$C,3,0),6)),-TRUNC(CL23/VLOOKUP("PCS-OzTL47",ARBOR!$A:$C,3,0)-1,4)+0.0001,-TRUNC(CL23/VLOOKUP("PCS-OzTL47",ARBOR!$A:$C,3,0)-1,4)))))</f>
        <v/>
      </c>
      <c r="CN23" s="28" t="str">
        <f>IF(ISERROR(IF(CM23="","",VLOOKUP(($BC23&amp;CM23&amp;"Template desconto FLAT Plano Principal Oi TV nível conta"),BENEFICIOS!$A:$G,5,0))),"Criar",IF(CM23="","",VLOOKUP(($BC23&amp;CM23&amp;"Template desconto FLAT Plano Principal Oi TV nível conta"),BENEFICIOS!$A:$G,5,0)))</f>
        <v/>
      </c>
      <c r="CO23" s="8"/>
      <c r="CP23" s="3" t="str">
        <f>IF(CO23=0,"",IF(CO23=VLOOKUP("PCS-OzTL46",ARBOR!$A:$C,3,0),0.0001,IF(CO23&gt;VLOOKUP("PCS-OzTL46",ARBOR!$A:$C,3,0),"Maior que CAP!",IF((DOLLAR(CO23+(VLOOKUP("PCS-OzTL46",ARBOR!$A:$C,3,0)*-TRUNC(CO23/VLOOKUP("PCS-OzTL46",ARBOR!$A:$C,3,0)-1,4)),6))&lt;&gt;(DOLLAR(VLOOKUP("PCS-OzTL46",ARBOR!$A:$C,3,0),6)),-TRUNC(CO23/VLOOKUP("PCS-OzTL46",ARBOR!$A:$C,3,0)-1,4)+0.0001,-TRUNC(CO23/VLOOKUP("PCS-OzTL46",ARBOR!$A:$C,3,0)-1,4)))))</f>
        <v/>
      </c>
      <c r="CQ23" s="28" t="str">
        <f>IF(ISERROR(IF(CP23="","",VLOOKUP(($BC23&amp;CP23&amp;"Template desconto FLAT Plano Principal Oi TV nível conta"),BENEFICIOS!$A:$G,5,0))),"Criar",IF(CP23="","",VLOOKUP(($BC23&amp;CP23&amp;"Template desconto FLAT Plano Principal Oi TV nível conta"),BENEFICIOS!$A:$G,5,0)))</f>
        <v/>
      </c>
      <c r="CR23" s="8"/>
      <c r="CS23" s="3" t="str">
        <f>IF(CR23=0,"",IF(CR23=VLOOKUP("PCS-OzTL48",ARBOR!$A:$C,3,0),0.0001,IF(CR23&gt;VLOOKUP("PCS-OzTL48",ARBOR!$A:$C,3,0),"Maior que CAP!",IF((DOLLAR(CR23+(VLOOKUP("PCS-OzTL48",ARBOR!$A:$C,3,0)*-TRUNC(CR23/VLOOKUP("PCS-OzTL48",ARBOR!$A:$C,3,0)-1,4)),6))&lt;&gt;(DOLLAR(VLOOKUP("PCS-OzTL48",ARBOR!$A:$C,3,0),6)),-TRUNC(CR23/VLOOKUP("PCS-OzTL48",ARBOR!$A:$C,3,0)-1,4)+0.0001,-TRUNC(CR23/VLOOKUP("PCS-OzTL48",ARBOR!$A:$C,3,0)-1,4)))))</f>
        <v/>
      </c>
      <c r="CT23" s="28" t="str">
        <f>IF(ISERROR(IF(CS23="","",VLOOKUP(($BC23&amp;CS23&amp;"Template desconto FLAT Plano Principal Oi TV nível conta"),BENEFICIOS!$A:$G,5,0))),"Criar",IF(CS23="","",VLOOKUP(($BC23&amp;CS23&amp;"Template desconto FLAT Plano Principal Oi TV nível conta"),BENEFICIOS!$A:$G,5,0)))</f>
        <v/>
      </c>
      <c r="CU23" s="8"/>
      <c r="CV23" s="3" t="str">
        <f>IF(CU23=0,"",IF(CU23=VLOOKUP("PCS-OzTL742",ARBOR!$A:$C,3,0),0.0001,IF(CU23&gt;VLOOKUP("PCS-OzTL742",ARBOR!$A:$C,3,0),"Maior que CAP!",IF((DOLLAR(CU23+(VLOOKUP("PCS-OzTL742",ARBOR!$A:$C,3,0)*-TRUNC(CU23/VLOOKUP("PCS-OzTL742",ARBOR!$A:$C,3,0)-1,4)),6))&lt;&gt;(DOLLAR(VLOOKUP("PCS-OzTL742",ARBOR!$A:$C,3,0),6)),-TRUNC(CU23/VLOOKUP("PCS-OzTL742",ARBOR!$A:$C,3,0)-1,4)+0.0001,-TRUNC(CU23/VLOOKUP("PCS-OzTL742",ARBOR!$A:$C,3,0)-1,4)))))</f>
        <v/>
      </c>
      <c r="CW23" s="28" t="str">
        <f>IF(ISERROR(IF(CV23="","",VLOOKUP(($BC23&amp;CV23&amp;"Template desconto FLAT Plano Principal Oi TV nível conta"),BENEFICIOS!$A:$G,5,0))),"Criar",IF(CV23="","",VLOOKUP(($BC23&amp;CV23&amp;"Template desconto FLAT Plano Principal Oi TV nível conta"),BENEFICIOS!$A:$G,5,0)))</f>
        <v/>
      </c>
      <c r="CX23" s="8"/>
      <c r="CY23" s="3" t="str">
        <f>IF(CX23=0,"",IF(CX23=VLOOKUP("PCS-OzTL747",ARBOR!$A:$C,3,0),0.0001,IF(CX23&gt;VLOOKUP("PCS-OzTL747",ARBOR!$A:$C,3,0),"Maior que CAP!",IF((DOLLAR(CX23+(VLOOKUP("PCS-OzTL747",ARBOR!$A:$C,3,0)*-TRUNC(CX23/VLOOKUP("PCS-OzTL747",ARBOR!$A:$C,3,0)-1,4)),6))&lt;&gt;(DOLLAR(VLOOKUP("PCS-OzTL747",ARBOR!$A:$C,3,0),6)),-TRUNC(CX23/VLOOKUP("PCS-OzTL747",ARBOR!$A:$C,3,0)-1,4)+0.0001,-TRUNC(CX23/VLOOKUP("PCS-OzTL747",ARBOR!$A:$C,3,0)-1,4)))))</f>
        <v/>
      </c>
      <c r="CZ23" s="28" t="str">
        <f>IF(ISERROR(IF(CY23="","",VLOOKUP(($BC23&amp;CY23&amp;"Template desconto FLAT Plano Principal Oi TV nível conta"),BENEFICIOS!$A:$G,5,0))),"Criar",IF(CY23="","",VLOOKUP(($BC23&amp;CY23&amp;"Template desconto FLAT Plano Principal Oi TV nível conta"),BENEFICIOS!$A:$G,5,0)))</f>
        <v/>
      </c>
      <c r="DA23" s="8"/>
      <c r="DB23" s="3" t="str">
        <f>IF(DA23=0,"",IF(DA23=VLOOKUP("PCS-OzTL746",ARBOR!$A:$C,3,0),0.0001,IF(DA23&gt;VLOOKUP("PCS-OzTL746",ARBOR!$A:$C,3,0),"Maior que CAP!",IF((DOLLAR(DA23+(VLOOKUP("PCS-OzTL746",ARBOR!$A:$C,3,0)*-TRUNC(DA23/VLOOKUP("PCS-OzTL746",ARBOR!$A:$C,3,0)-1,4)),6))&lt;&gt;(DOLLAR(VLOOKUP("PCS-OzTL746",ARBOR!$A:$C,3,0),6)),-TRUNC(DA23/VLOOKUP("PCS-OzTL746",ARBOR!$A:$C,3,0)-1,4)+0.0001,-TRUNC(DA23/VLOOKUP("PCS-OzTL746",ARBOR!$A:$C,3,0)-1,4)))))</f>
        <v/>
      </c>
      <c r="DC23" s="28" t="str">
        <f>IF(ISERROR(IF(DB23="","",VLOOKUP(($BC23&amp;DB23&amp;"Template desconto FLAT Plano Principal Oi TV nível conta"),BENEFICIOS!$A:$G,5,0))),"Criar",IF(DB23="","",VLOOKUP(($BC23&amp;DB23&amp;"Template desconto FLAT Plano Principal Oi TV nível conta"),BENEFICIOS!$A:$G,5,0)))</f>
        <v/>
      </c>
      <c r="DD23" s="8"/>
      <c r="DE23" s="3" t="str">
        <f>IF(DD23=0,"",IF(DD23=VLOOKUP("PCS-OzTL748",ARBOR!$A:$C,3,0),0.0001,IF(DD23&gt;VLOOKUP("PCS-OzTL748",ARBOR!$A:$C,3,0),"Maior que CAP!",IF((DOLLAR(DD23+(VLOOKUP("PCS-OzTL748",ARBOR!$A:$C,3,0)*-TRUNC(DD23/VLOOKUP("PCS-OzTL748",ARBOR!$A:$C,3,0)-1,4)),6))&lt;&gt;(DOLLAR(VLOOKUP("PCS-OzTL748",ARBOR!$A:$C,3,0),6)),-TRUNC(DD23/VLOOKUP("PCS-OzTL748",ARBOR!$A:$C,3,0)-1,4)+0.0001,-TRUNC(DD23/VLOOKUP("PCS-OzTL748",ARBOR!$A:$C,3,0)-1,4)))))</f>
        <v/>
      </c>
      <c r="DF23" s="28" t="str">
        <f>IF(ISERROR(IF(DE23="","",VLOOKUP(($BC23&amp;DE23&amp;"Template desconto FLAT Plano Principal Oi TV nível conta"),BENEFICIOS!$A:$G,5,0))),"Criar",IF(DE23="","",VLOOKUP(($BC23&amp;DE23&amp;"Template desconto FLAT Plano Principal Oi TV nível conta"),BENEFICIOS!$A:$G,5,0)))</f>
        <v/>
      </c>
      <c r="DG23" s="8"/>
      <c r="DH23" s="3" t="str">
        <f>IF(DG23=0,"",IF(DG23=VLOOKUP("PCS-OzTL34",ARBOR!$A:$C,3,0),0.0001,IF(DG23&gt;VLOOKUP("PCS-OzTL34",ARBOR!$A:$C,3,0),"Maior que CAP!",IF((DOLLAR(DG23+(VLOOKUP("PCS-OzTL34",ARBOR!$A:$C,3,0)*-TRUNC(DG23/VLOOKUP("PCS-OzTL34",ARBOR!$A:$C,3,0)-1,4)),6))&lt;&gt;(DOLLAR(VLOOKUP("PCS-OzTL34",ARBOR!$A:$C,3,0),6)),-TRUNC(DG23/VLOOKUP("PCS-OzTL34",ARBOR!$A:$C,3,0)-1,4)+0.0001,-TRUNC(DG23/VLOOKUP("PCS-OzTL34",ARBOR!$A:$C,3,0)-1,4)))))</f>
        <v/>
      </c>
      <c r="DI23" s="28" t="str">
        <f>IF(DH23="S/Desc","S/Desc",IF(ISERROR(IF(DH23="","",VLOOKUP(($BC23&amp;DH23&amp;"Template desconto % Combate nível conta"),BENEFICIOS!$A:$G,5,0))),"Criar",IF(DH23="","",VLOOKUP(($BC23&amp;DH23&amp;"Template desconto % Combate nível conta"),BENEFICIOS!$A:$G,5,0))))</f>
        <v/>
      </c>
      <c r="DJ23" s="8"/>
      <c r="DK23" s="3" t="str">
        <f>IF(DJ23=0,"",IF(DJ23=VLOOKUP("PCS-OzTL31",ARBOR!$A:$C,3,0),0.0001,IF(DJ23&gt;VLOOKUP("PCS-OzTL31",ARBOR!$A:$C,3,0),"Maior que CAP!",IF((DOLLAR(DJ23+(VLOOKUP("PCS-OzTL31",ARBOR!$A:$C,3,0)*-TRUNC(DJ23/VLOOKUP("PCS-OzTL31",ARBOR!$A:$C,3,0)-1,4)),6))&lt;&gt;(DOLLAR(VLOOKUP("PCS-OzTL31",ARBOR!$A:$C,3,0),6)),-TRUNC(DJ23/VLOOKUP("PCS-OzTL31",ARBOR!$A:$C,3,0)-1,4)+0.0001,-TRUNC(DJ23/VLOOKUP("PCS-OzTL31",ARBOR!$A:$C,3,0)-1,4)))))</f>
        <v/>
      </c>
      <c r="DL23" s="28" t="str">
        <f>IF(DK23="S/Desc","S/Desc",IF(ISERROR(IF(DK23="","",VLOOKUP(($BC23&amp;DK23&amp;"Template desconto % Sexy Hot nível conta"),BENEFICIOS!$A:$G,5,0))),"Criar",IF(DK23="","",VLOOKUP(($BC23&amp;DK23&amp;"Template desconto % Sexy Hot nível conta"),BENEFICIOS!$A:$G,5,0))))</f>
        <v/>
      </c>
      <c r="DM23" s="8"/>
      <c r="DN23" s="3" t="str">
        <f>IF(DM23=0,"",IF(DM23=VLOOKUP("PCS-OzTL32",ARBOR!$A:$C,3,0),0.0001,IF(DM23&gt;VLOOKUP("PCS-OzTL32",ARBOR!$A:$C,3,0),"Maior que CAP!",IF((DOLLAR(DM23+(VLOOKUP("PCS-OzTL32",ARBOR!$A:$C,3,0)*-TRUNC(DM23/VLOOKUP("PCS-OzTL32",ARBOR!$A:$C,3,0)-1,4)),6))&lt;&gt;(DOLLAR(VLOOKUP("PCS-OzTL32",ARBOR!$A:$C,3,0),6)),-TRUNC(DM23/VLOOKUP("PCS-OzTL32",ARBOR!$A:$C,3,0)-1,4)+0.0001,-TRUNC(DM23/VLOOKUP("PCS-OzTL32",ARBOR!$A:$C,3,0)-1,4)))))</f>
        <v/>
      </c>
      <c r="DO23" s="28" t="str">
        <f>IF(DN23="S/Desc","S/Desc",IF(ISERROR(IF(DN23="","",VLOOKUP(($BC23&amp;DN23&amp;"Template desconto % Playboy nível conta"),BENEFICIOS!$A:$G,5,0))),"Criar",IF(DN23="","",VLOOKUP(($BC23&amp;DN23&amp;"Template desconto % Playboy nível conta"),BENEFICIOS!$A:$G,5,0))))</f>
        <v/>
      </c>
      <c r="DP23" s="8"/>
      <c r="DQ23" s="3" t="str">
        <f>IF(DP23=0,"",IF(DP23=VLOOKUP("PCS-OzTL33",ARBOR!$A:$C,3,0),0.0001,IF(DP23&gt;VLOOKUP("PCS-OzTL33",ARBOR!$A:$C,3,0),"Maior que CAP!",IF((DOLLAR(DP23+(VLOOKUP("PCS-OzTL33",ARBOR!$A:$C,3,0)*-TRUNC(DP23/VLOOKUP("PCS-OzTL33",ARBOR!$A:$C,3,0)-1,4)),6))&lt;&gt;(DOLLAR(VLOOKUP("PCS-OzTL33",ARBOR!$A:$C,3,0),6)),-TRUNC(DP23/VLOOKUP("PCS-OzTL33",ARBOR!$A:$C,3,0)-1,4)+0.0001,-TRUNC(DP23/VLOOKUP("PCS-OzTL33",ARBOR!$A:$C,3,0)-1,4)))))</f>
        <v/>
      </c>
      <c r="DR23" s="28" t="str">
        <f>IF(DQ23="S/Desc","S/Desc",IF(ISERROR(IF(DQ23="","",VLOOKUP(($BC23&amp;DQ23&amp;"Template desconto % Sexy Hot + Playboy nível conta"),BENEFICIOS!$A:$G,5,0))),"Criar",IF(DQ23="","",VLOOKUP(($BC23&amp;DQ23&amp;"Template desconto % Sexy Hot + Playboy nível conta"),BENEFICIOS!$A:$G,5,0))))</f>
        <v/>
      </c>
      <c r="DS23" s="8"/>
      <c r="DT23" s="3" t="str">
        <f>IF(DS23=0,"",IF(DS23=VLOOKUP("PCS-OzTL503",ARBOR!$A:$C,3,0),0.0001,IF(DS23&gt;VLOOKUP("PCS-OzTL503",ARBOR!$A:$C,3,0),"Maior que CAP!",IF((DOLLAR(DS23+(VLOOKUP("PCS-OzTL503",ARBOR!$A:$C,3,0)*-TRUNC(DS23/VLOOKUP("PCS-OzTL503",ARBOR!$A:$C,3,0)-1,4)),6))&lt;&gt;(DOLLAR(VLOOKUP("PCS-OzTL503",ARBOR!$A:$C,3,0),6)),-TRUNC(DS23/VLOOKUP("PCS-OzTL503",ARBOR!$A:$C,3,0)-1,4)+0.0001,-TRUNC(DS23/VLOOKUP("PCS-OzTL503",ARBOR!$A:$C,3,0)-1,4)))))</f>
        <v/>
      </c>
      <c r="DU23" s="28" t="str">
        <f>IF(DT23="S/Desc","S/Desc",IF(ISERROR(IF(DT23="","",VLOOKUP(($BC23&amp;DT23&amp;"Template desconto % SexPrivê nível conta"),BENEFICIOS!$A:$G,5,0))),"Criar",IF(DT23="","",VLOOKUP(($BC23&amp;DT23&amp;"Template desconto % SexPrivê nível conta"),BENEFICIOS!$A:$G,5,0))))</f>
        <v/>
      </c>
      <c r="DV23" s="8"/>
      <c r="DW23" s="3" t="str">
        <f>IF(DV23=0,"",IF(DV23=VLOOKUP("PCS-OzTL500",ARBOR!$A:$C,3,0),0.0001,IF(DV23&gt;VLOOKUP("PCS-OzTL500",ARBOR!$A:$C,3,0),"Maior que CAP!",IF((DOLLAR(DV23+(VLOOKUP("PCS-OzTL500",ARBOR!$A:$C,3,0)*-TRUNC(DV23/VLOOKUP("PCS-OzTL500",ARBOR!$A:$C,3,0)-1,4)),6))&lt;&gt;(DOLLAR(VLOOKUP("PCS-OzTL500",ARBOR!$A:$C,3,0),6)),-TRUNC(DV23/VLOOKUP("PCS-OzTL500",ARBOR!$A:$C,3,0)-1,4)+0.0001,-TRUNC(DV23/VLOOKUP("PCS-OzTL500",ARBOR!$A:$C,3,0)-1,4)))))</f>
        <v/>
      </c>
      <c r="DX23" s="28" t="str">
        <f>IF(DW23="S/Desc","S/Desc",IF(ISERROR(IF(DW23="","",VLOOKUP(($BC23&amp;DW23&amp;"Template desconto % Étnico nível conta"),BENEFICIOS!$A:$G,5,0))),"Criar",IF(DW23="","",VLOOKUP(($BC23&amp;DW23&amp;"Template desconto % Étnico nível conta"),BENEFICIOS!$A:$G,5,0))))</f>
        <v/>
      </c>
      <c r="DY23" s="8"/>
      <c r="DZ23" s="181" t="str">
        <f>IF(DY23=0,"",IF(DY23=VLOOKUP("PCS-OzTL50",ARBOR!$A:$C,3,0),0.0001,IF(DY23&gt;VLOOKUP("PCS-OzTL50",ARBOR!$A:$C,3,0),"Maior que CAP!",IF((DOLLAR(DY23+(VLOOKUP("PCS-OzTL50",ARBOR!$A:$C,3,0)*-TRUNC(DY23/VLOOKUP("PCS-OzTL50",ARBOR!$A:$C,3,0)-1,4)),6))&lt;&gt;(DOLLAR(VLOOKUP("PCS-OzTL50",ARBOR!$A:$C,3,0),6)),-TRUNC(DY23/VLOOKUP("PCS-OzTL50",ARBOR!$A:$C,3,0)-1,4)+0.0001,-TRUNC(DY23/VLOOKUP("PCS-OzTL50",ARBOR!$A:$C,3,0)-1,4)))))</f>
        <v/>
      </c>
      <c r="EA23" s="28"/>
      <c r="EB23" s="8"/>
      <c r="EC23" s="181" t="str">
        <f>IF(EB23=0,"",IF(EB23=VLOOKUP("PCS-OzTL51",ARBOR!$A:$C,3,0),0.0001,IF(EB23&gt;VLOOKUP("PCS-OzTL51",ARBOR!$A:$C,3,0),"Maior que CAP!",IF((DOLLAR(EB23+(VLOOKUP("PCS-OzTL51",ARBOR!$A:$C,3,0)*-TRUNC(EB23/VLOOKUP("PCS-OzTL51",ARBOR!$A:$C,3,0)-1,4)),6))&lt;&gt;(DOLLAR(VLOOKUP("PCS-OzTL51",ARBOR!$A:$C,3,0),6)),-TRUNC(EB23/VLOOKUP("PCS-OzTL51",ARBOR!$A:$C,3,0)-1,4)+0.0001,-TRUNC(EB23/VLOOKUP("PCS-OzTL51",ARBOR!$A:$C,3,0)-1,4)))))</f>
        <v/>
      </c>
      <c r="ED23" s="28"/>
      <c r="EE23" s="8"/>
      <c r="EF23" s="181" t="str">
        <f>IF(EE23=0,"",IF(EE23=VLOOKUP("PCS-OzTL52",ARBOR!$A:$C,3,0),0.0001,IF(EE23&gt;VLOOKUP("PCS-OzTL52",ARBOR!$A:$C,3,0),"Maior que CAP!",IF((DOLLAR(EE23+(VLOOKUP("PCS-OzTL52",ARBOR!$A:$C,3,0)*-TRUNC(EE23/VLOOKUP("PCS-OzTL52",ARBOR!$A:$C,3,0)-1,4)),6))&lt;&gt;(DOLLAR(VLOOKUP("PCS-OzTL52",ARBOR!$A:$C,3,0),6)),-TRUNC(EE23/VLOOKUP("PCS-OzTL52",ARBOR!$A:$C,3,0)-1,4)+0.0001,-TRUNC(EE23/VLOOKUP("PCS-OzTL52",ARBOR!$A:$C,3,0)-1,4)))))</f>
        <v/>
      </c>
      <c r="EG23" s="28"/>
      <c r="EH23" s="8"/>
      <c r="EI23" s="181" t="str">
        <f>IF(EH23=0,"",IF(EH23=VLOOKUP("PCS-OzTL53",ARBOR!$A:$C,3,0),0.0001,IF(EH23&gt;VLOOKUP("PCS-OzTL53",ARBOR!$A:$C,3,0),"Maior que CAP!",IF((DOLLAR(EH23+(VLOOKUP("PCS-OzTL53",ARBOR!$A:$C,3,0)*-TRUNC(EH23/VLOOKUP("PCS-OzTL53",ARBOR!$A:$C,3,0)-1,4)),6))&lt;&gt;(DOLLAR(VLOOKUP("PCS-OzTL53",ARBOR!$A:$C,3,0),6)),-TRUNC(EH23/VLOOKUP("PCS-OzTL53",ARBOR!$A:$C,3,0)-1,4)+0.0001,-TRUNC(EH23/VLOOKUP("PCS-OzTL53",ARBOR!$A:$C,3,0)-1,4)))))</f>
        <v/>
      </c>
      <c r="EJ23" s="28"/>
      <c r="EK23" s="8"/>
      <c r="EL23" s="181" t="str">
        <f>IF(EK23=0,"",IF(EK23=VLOOKUP("PCS-OzTL54",ARBOR!$A:$C,3,0),0.0001,IF(EK23&gt;VLOOKUP("PCS-OzTL54",ARBOR!$A:$C,3,0),"Maior que CAP!",IF((DOLLAR(EK23+(VLOOKUP("PCS-OzTL54",ARBOR!$A:$C,3,0)*-TRUNC(EK23/VLOOKUP("PCS-OzTL54",ARBOR!$A:$C,3,0)-1,4)),6))&lt;&gt;(DOLLAR(VLOOKUP("PCS-OzTL54",ARBOR!$A:$C,3,0),6)),-TRUNC(EK23/VLOOKUP("PCS-OzTL54",ARBOR!$A:$C,3,0)-1,4)+0.0001,-TRUNC(EK23/VLOOKUP("PCS-OzTL54",ARBOR!$A:$C,3,0)-1,4)))))</f>
        <v/>
      </c>
      <c r="EM23" s="28"/>
      <c r="EN23" s="8"/>
      <c r="EO23" s="3" t="str">
        <f>IF(EN23=0,"",IF(EN23=VLOOKUP("PCS-OzTL99",ARBOR!$A:$C,3,0),0.0001,IF(EN23&gt;VLOOKUP("PCS-OzTL99",ARBOR!$A:$C,3,0),"Maior que CAP!",IF((DOLLAR(EN23+(VLOOKUP("PCS-OzTL99",ARBOR!$A:$C,3,0)*-TRUNC(EN23/VLOOKUP("PCS-OzTL99",ARBOR!$A:$C,3,0)-1,4)),6))&lt;&gt;(DOLLAR(VLOOKUP("PCS-OzTL99",ARBOR!$A:$C,3,0),6)),-TRUNC(EN23/VLOOKUP("PCS-OzTL99",ARBOR!$A:$C,3,0)-1,4)+0.0001,-TRUNC(EN23/VLOOKUP("PCS-OzTL99",ARBOR!$A:$C,3,0)-1,4)))))</f>
        <v/>
      </c>
      <c r="EP23" s="28" t="str">
        <f>IF(EO23="S/Desc","S/Desc",IF(ISERROR(IF(EO23="","",VLOOKUP(($BC23&amp;EO23&amp;"Template desconto % Ponto adicional nível conta"),BENEFICIOS!$A:$G,5,0))),"Criar",IF(EO23="","",VLOOKUP(($BC23&amp;EO23&amp;"Template desconto % Ponto adicional nível conta"),BENEFICIOS!$A:$G,5,0))))</f>
        <v/>
      </c>
      <c r="EQ23" s="8"/>
      <c r="ER23" s="28" t="str">
        <f t="shared" si="23"/>
        <v/>
      </c>
      <c r="ES23" s="62"/>
      <c r="ET23" s="126"/>
      <c r="EU23" s="127"/>
      <c r="EV23" s="126"/>
      <c r="EW23" s="128" t="str">
        <f t="shared" si="24"/>
        <v/>
      </c>
      <c r="EX23" s="129" t="str">
        <f t="shared" si="25"/>
        <v/>
      </c>
      <c r="EY23" s="91" t="str">
        <f t="shared" si="26"/>
        <v/>
      </c>
      <c r="EZ23" s="85"/>
      <c r="FA23" s="97"/>
      <c r="FB23" s="91"/>
      <c r="FC23" s="85"/>
      <c r="FD23" s="97"/>
      <c r="FE23" s="91"/>
      <c r="FF23" s="87"/>
      <c r="FG23" s="144" t="str">
        <f t="shared" si="5"/>
        <v/>
      </c>
      <c r="FH23" s="144" t="str">
        <f t="shared" si="6"/>
        <v/>
      </c>
      <c r="FI23" s="144" t="str">
        <f t="shared" si="7"/>
        <v/>
      </c>
      <c r="FJ23" s="144" t="str">
        <f t="shared" si="8"/>
        <v/>
      </c>
      <c r="FK23" s="144" t="str">
        <f t="shared" si="9"/>
        <v/>
      </c>
      <c r="FL23" s="144" t="str">
        <f t="shared" si="10"/>
        <v/>
      </c>
      <c r="FM23" s="144" t="str">
        <f t="shared" si="11"/>
        <v/>
      </c>
      <c r="FN23" s="144" t="str">
        <f t="shared" si="12"/>
        <v/>
      </c>
      <c r="FO23" s="144" t="str">
        <f t="shared" si="13"/>
        <v/>
      </c>
      <c r="FP23" s="144" t="str">
        <f t="shared" si="14"/>
        <v/>
      </c>
      <c r="FQ23" s="144" t="str">
        <f t="shared" si="15"/>
        <v/>
      </c>
      <c r="FR23" s="144" t="str">
        <f t="shared" si="16"/>
        <v/>
      </c>
      <c r="FS23" s="144" t="str">
        <f t="shared" si="17"/>
        <v/>
      </c>
      <c r="FT23" s="144" t="str">
        <f t="shared" si="18"/>
        <v/>
      </c>
      <c r="FU23" s="144" t="str">
        <f t="shared" si="19"/>
        <v/>
      </c>
      <c r="FV23" s="144" t="str">
        <f t="shared" si="20"/>
        <v/>
      </c>
      <c r="FW23" s="144" t="str">
        <f t="shared" si="21"/>
        <v/>
      </c>
      <c r="FX23" s="151"/>
      <c r="FY23" s="152"/>
      <c r="FZ23" s="152"/>
      <c r="GA23" s="152"/>
      <c r="GB23" s="152"/>
      <c r="GC23" s="152"/>
      <c r="GD23" s="152"/>
      <c r="GE23" s="152"/>
      <c r="GF23" s="152"/>
      <c r="GG23" s="153"/>
    </row>
    <row r="24" spans="1:189">
      <c r="A24" s="45"/>
      <c r="B24" s="133"/>
      <c r="C24" s="133"/>
      <c r="D24" s="46"/>
      <c r="E24" s="47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9"/>
      <c r="U24" s="48"/>
      <c r="V24" s="49"/>
      <c r="W24" s="48"/>
      <c r="X24" s="48"/>
      <c r="Y24" s="48"/>
      <c r="Z24" s="48"/>
      <c r="AA24" s="49"/>
      <c r="AB24" s="48"/>
      <c r="AC24" s="50"/>
      <c r="AD24" s="48"/>
      <c r="AE24" s="48"/>
      <c r="AF24" s="48"/>
      <c r="AG24" s="48"/>
      <c r="AH24" s="48"/>
      <c r="AI24" s="48"/>
      <c r="AJ24" s="48"/>
      <c r="AK24" s="48"/>
      <c r="AL24" s="51"/>
      <c r="AM24" s="37"/>
      <c r="AN24" s="38"/>
      <c r="AO24" s="39"/>
      <c r="AP24" s="52"/>
      <c r="AQ24" s="53"/>
      <c r="AR24" s="64"/>
      <c r="AS24" s="65"/>
      <c r="AT24" s="54"/>
      <c r="AU24" s="54"/>
      <c r="AV24" s="54"/>
      <c r="AW24" s="54"/>
      <c r="AX24" s="70"/>
      <c r="AY24" s="71"/>
      <c r="AZ24" s="72"/>
      <c r="BA24" s="73"/>
      <c r="BB24" s="55"/>
      <c r="BC24" s="56"/>
      <c r="BD24" s="27" t="str">
        <f t="shared" si="22"/>
        <v/>
      </c>
      <c r="BE24" s="58"/>
      <c r="BF24" s="3" t="str">
        <f>IF(BE24=0,"",IF(BE24=VLOOKUP("FIXO",ARBOR!$A:$C,3,0),0.0001,IF(BE24&gt;VLOOKUP("FIXO",ARBOR!$A:$C,3,0),"Maior que CAP!",IF((DOLLAR(BE24+(VLOOKUP("FIXO",ARBOR!$A:$C,3,0)*-TRUNC(BE24/VLOOKUP("FIXO",ARBOR!$A:$C,3,0)-1,4)),6))&lt;&gt;(DOLLAR(VLOOKUP("FIXO",ARBOR!$A:$C,3,0),6)),-TRUNC(BE24/VLOOKUP("FIXO",ARBOR!$A:$C,3,0)-1,4)+0.0001,-TRUNC(BE24/VLOOKUP("FIXO",ARBOR!$A:$C,3,0)-1,4)))))</f>
        <v/>
      </c>
      <c r="BG24" s="10" t="str">
        <f>IF(ISERROR(IF(BF24="","",VLOOKUP(($BC24&amp;BF24&amp;"Template de desconto FLAT bundle - Fixo - Varejo - Ganho Tributário Cross"),BENEFICIOS!$A:$G,5,0))),"Criar",IF(BF24="","",VLOOKUP(($BC24&amp;BF24&amp;"Template de desconto FLAT bundle - Fixo - Varejo - Ganho Tributário Cross"),BENEFICIOS!$A:$G,5,0)))</f>
        <v/>
      </c>
      <c r="BH24" s="8"/>
      <c r="BI24" s="3" t="str">
        <f>IF(BH24=0,"",IF(BH24=VLOOKUP("PCS-OzTL40",ARBOR!$A:$C,3,0),0.0001,IF(BH24&gt;VLOOKUP("PCS-OzTL40",ARBOR!$A:$C,3,0),"Maior que CAP!",IF((DOLLAR(BH24+(VLOOKUP("PCS-OzTL40",ARBOR!$A:$C,3,0)*-TRUNC(BH24/VLOOKUP("PCS-OzTL40",ARBOR!$A:$C,3,0)-1,4)),6))&lt;&gt;(DOLLAR(VLOOKUP("PCS-OzTL40",ARBOR!$A:$C,3,0),6)),-TRUNC(BH24/VLOOKUP("PCS-OzTL40",ARBOR!$A:$C,3,0)-1,4)+0.0001,-TRUNC(BH24/VLOOKUP("PCS-OzTL40",ARBOR!$A:$C,3,0)-1,4)))))</f>
        <v/>
      </c>
      <c r="BJ24" s="10" t="str">
        <f>IF(ISERROR(IF(BI24="","",VLOOKUP((BC24&amp;BI24&amp;"Template desconto FLAT Plano Principal Oi TV nível conta"),BENEFICIOS!$A:$G,5,0))),"Criar",IF(BI24="","",VLOOKUP((BC24&amp;BI24&amp;"Template desconto FLAT Plano Principal Oi TV nível conta"),BENEFICIOS!$A:$G,5,0)))</f>
        <v/>
      </c>
      <c r="BK24" s="8"/>
      <c r="BL24" s="3" t="str">
        <f>IF(BK24=0,"",IF(BK24=VLOOKUP("PCS-OzTL41",ARBOR!$A:$C,3,0),0.0001,IF(BK24&gt;VLOOKUP("PCS-OzTL41",ARBOR!$A:$C,3,0),"Maior que CAP!",IF((DOLLAR(BK24+(VLOOKUP("PCS-OzTL41",ARBOR!$A:$C,3,0)*-TRUNC(BK24/VLOOKUP("PCS-OzTL41",ARBOR!$A:$C,3,0)-1,4)),6))&lt;&gt;(DOLLAR(VLOOKUP("PCS-OzTL41",ARBOR!$A:$C,3,0),6)),-TRUNC(BK24/VLOOKUP("PCS-OzTL41",ARBOR!$A:$C,3,0)-1,4)+0.0001,-TRUNC(BK24/VLOOKUP("PCS-OzTL41",ARBOR!$A:$C,3,0)-1,4)))))</f>
        <v/>
      </c>
      <c r="BM24" s="28" t="str">
        <f>IF(ISERROR(IF(BL24="","",VLOOKUP((BC24&amp;BL24&amp;"Template desconto FLAT Plano Principal Oi TV nível conta"),BENEFICIOS!$A:$G,5,0))),"Criar",IF(BL24="","",VLOOKUP((BC24&amp;BL24&amp;"Template desconto FLAT Plano Principal Oi TV nível conta"),BENEFICIOS!$A:$G,5,0)))</f>
        <v/>
      </c>
      <c r="BN24" s="8"/>
      <c r="BO24" s="3" t="str">
        <f>IF(BN24=0,"",IF(BN24=VLOOKUP("PCS-OzTL44",ARBOR!$A:$C,3,0),0.0001,IF(BN24&gt;VLOOKUP("PCS-OzTL44",ARBOR!$A:$C,3,0),"Maior que CAP!",IF((DOLLAR(BN24+(VLOOKUP("PCS-OzTL44",ARBOR!$A:$C,3,0)*-TRUNC(BN24/VLOOKUP("PCS-OzTL44",ARBOR!$A:$C,3,0)-1,4)),6))&lt;&gt;(DOLLAR(VLOOKUP("PCS-OzTL44",ARBOR!$A:$C,3,0),6)),-TRUNC(BN24/VLOOKUP("PCS-OzTL44",ARBOR!$A:$C,3,0)-1,4)+0.0001,-TRUNC(BN24/VLOOKUP("PCS-OzTL44",ARBOR!$A:$C,3,0)-1,4)))))</f>
        <v/>
      </c>
      <c r="BP24" s="28" t="str">
        <f>IF(ISERROR(IF(BO24="","",VLOOKUP((BC24&amp;BO24&amp;"Template desconto FLAT Plano Principal Oi TV nível conta"),BENEFICIOS!$A:$G,5,0))),"Criar",IF(BO24="","",VLOOKUP((BC24&amp;BO24&amp;"Template desconto FLAT Plano Principal Oi TV nível conta"),BENEFICIOS!$A:$G,5,0)))</f>
        <v/>
      </c>
      <c r="BQ24" s="8"/>
      <c r="BR24" s="3" t="str">
        <f>IF(BQ24=0,"",IF(BQ24=VLOOKUP("PCS-OzTL43",ARBOR!$A:$C,3,0),0.0001,IF(BQ24&gt;VLOOKUP("PCS-OzTL43",ARBOR!$A:$C,3,0),"Maior que CAP!",IF((DOLLAR(BQ24+(VLOOKUP("PCS-OzTL43",ARBOR!$A:$C,3,0)*-TRUNC(BQ24/VLOOKUP("PCS-OzTL43",ARBOR!$A:$C,3,0)-1,4)),6))&lt;&gt;(DOLLAR(VLOOKUP("PCS-OzTL43",ARBOR!$A:$C,3,0),6)),-TRUNC(BQ24/VLOOKUP("PCS-OzTL43",ARBOR!$A:$C,3,0)-1,4)+0.0001,-TRUNC(BQ24/VLOOKUP("PCS-OzTL43",ARBOR!$A:$C,3,0)-1,4)))))</f>
        <v/>
      </c>
      <c r="BS24" s="28" t="str">
        <f>IF(ISERROR(IF(BR24="","",VLOOKUP((BC24&amp;BR24&amp;"Template desconto FLAT Plano Principal Oi TV nível conta"),BENEFICIOS!$A:$G,5,0))),"Criar",IF(BR24="","",VLOOKUP((BC24&amp;BR24&amp;"Template desconto FLAT Plano Principal Oi TV nível conta"),BENEFICIOS!$A:$G,5,0)))</f>
        <v/>
      </c>
      <c r="BT24" s="8"/>
      <c r="BU24" s="3" t="str">
        <f>IF(BT24=0,"",IF(BT24=VLOOKUP("PCS-OzTL45",ARBOR!$A:$C,3,0),0.0001,IF(BT24&gt;VLOOKUP("PCS-OzTL45",ARBOR!$A:$C,3,0),"Maior que CAP!",IF((DOLLAR(BT24+(VLOOKUP("PCS-OzTL45",ARBOR!$A:$C,3,0)*-TRUNC(BT24/VLOOKUP("PCS-OzTL45",ARBOR!$A:$C,3,0)-1,4)),6))&lt;&gt;(DOLLAR(VLOOKUP("PCS-OzTL45",ARBOR!$A:$C,3,0),6)),-TRUNC(BT24/VLOOKUP("PCS-OzTL45",ARBOR!$A:$C,3,0)-1,4)+0.0001,-TRUNC(BT24/VLOOKUP("PCS-OzTL45",ARBOR!$A:$C,3,0)-1,4)))))</f>
        <v/>
      </c>
      <c r="BV24" s="28" t="str">
        <f>IF(ISERROR(IF(BU24="","",VLOOKUP((BC24&amp;BU24&amp;"Template desconto FLAT Plano Principal Oi TV nível conta"),BENEFICIOS!$A:$G,5,0))),"Criar",IF(BU24="","",VLOOKUP((BC24&amp;BU24&amp;"Template desconto FLAT Plano Principal Oi TV nível conta"),BENEFICIOS!$A:$G,5,0)))</f>
        <v/>
      </c>
      <c r="BW24" s="8"/>
      <c r="BX24" s="3" t="str">
        <f>IF(BW24=0,"",IF(BW24=VLOOKUP("PCS-OzTL741",ARBOR!$A:$C,3,0),0.0001,IF(BW24&gt;VLOOKUP("PCS-OzTL741",ARBOR!$A:$C,3,0),"Maior que CAP!",IF((DOLLAR(BW24+(VLOOKUP("PCS-OzTL741",ARBOR!$A:$C,3,0)*-TRUNC(BW24/VLOOKUP("PCS-OzTL741",ARBOR!$A:$C,3,0)-1,4)),6))&lt;&gt;(DOLLAR(VLOOKUP("PCS-OzTL741",ARBOR!$A:$C,3,0),6)),-TRUNC(BW24/VLOOKUP("PCS-OzTL741",ARBOR!$A:$C,3,0)-1,4)+0.0001,-TRUNC(BW24/VLOOKUP("PCS-OzTL741",ARBOR!$A:$C,3,0)-1,4)))))</f>
        <v/>
      </c>
      <c r="BY24" s="28" t="str">
        <f>IF(ISERROR(IF(BX24="","",VLOOKUP((BC24&amp;BX24&amp;"Template desconto FLAT Plano Principal Oi TV nível conta"),BENEFICIOS!$A:$G,5,0))),"Criar",IF(BX24="","",VLOOKUP((BC24&amp;BX24&amp;"Template desconto FLAT Plano Principal Oi TV nível conta"),BENEFICIOS!$A:$G,5,0)))</f>
        <v/>
      </c>
      <c r="BZ24" s="8"/>
      <c r="CA24" s="3" t="str">
        <f>IF(BZ24=0,"",IF(BZ24=VLOOKUP("PCS-OzTL744",ARBOR!$A:$C,3,0),0.0001,IF(BZ24&gt;VLOOKUP("PCS-OzTL744",ARBOR!$A:$C,3,0),"Maior que CAP!",IF((DOLLAR(BZ24+(VLOOKUP("PCS-OzTL744",ARBOR!$A:$C,3,0)*-TRUNC(BZ24/VLOOKUP("PCS-OzTL744",ARBOR!$A:$C,3,0)-1,4)),6))&lt;&gt;(DOLLAR(VLOOKUP("PCS-OzTL744",ARBOR!$A:$C,3,0),6)),-TRUNC(BZ24/VLOOKUP("PCS-OzTL744",ARBOR!$A:$C,3,0)-1,4)+0.0001,-TRUNC(BZ24/VLOOKUP("PCS-OzTL744",ARBOR!$A:$C,3,0)-1,4)))))</f>
        <v/>
      </c>
      <c r="CB24" s="28" t="str">
        <f>IF(ISERROR(IF(CA24="","",VLOOKUP(($BC24&amp;CA24&amp;"Template desconto FLAT Plano Principal Oi TV nível conta"),BENEFICIOS!$A:$G,5,0))),"Criar",IF(CA24="","",VLOOKUP(($BC24&amp;CA24&amp;"Template desconto FLAT Plano Principal Oi TV nível conta"),BENEFICIOS!$A:$G,5,0)))</f>
        <v/>
      </c>
      <c r="CC24" s="8"/>
      <c r="CD24" s="3" t="str">
        <f>IF(CC24=0,"",IF(CC24=VLOOKUP("PCS-OzTL743",ARBOR!$A:$C,3,0),0.0001,IF(CC24&gt;VLOOKUP("PCS-OzTL743",ARBOR!$A:$C,3,0),"Maior que CAP!",IF((DOLLAR(CC24+(VLOOKUP("PCS-OzTL743",ARBOR!$A:$C,3,0)*-TRUNC(CC24/VLOOKUP("PCS-OzTL743",ARBOR!$A:$C,3,0)-1,4)),6))&lt;&gt;(DOLLAR(VLOOKUP("PCS-OzTL743",ARBOR!$A:$C,3,0),6)),-TRUNC(CC24/VLOOKUP("PCS-OzTL743",ARBOR!$A:$C,3,0)-1,4)+0.0001,-TRUNC(CC24/VLOOKUP("PCS-OzTL743",ARBOR!$A:$C,3,0)-1,4)))))</f>
        <v/>
      </c>
      <c r="CE24" s="28" t="str">
        <f>IF(ISERROR(IF(CD24="","",VLOOKUP(($BC24&amp;CD24&amp;"Template desconto FLAT Plano Principal Oi TV nível conta"),BENEFICIOS!$A:$G,5,0))),"Criar",IF(CD24="","",VLOOKUP(($BC24&amp;CD24&amp;"Template desconto FLAT Plano Principal Oi TV nível conta"),BENEFICIOS!$A:$G,5,0)))</f>
        <v/>
      </c>
      <c r="CF24" s="8"/>
      <c r="CG24" s="3" t="str">
        <f>IF(CF24=0,"",IF(CF24=VLOOKUP("PCS-OzTL745",ARBOR!$A:$C,3,0),0.0001,IF(CF24&gt;VLOOKUP("PCS-OzTL745",ARBOR!$A:$C,3,0),"Maior que CAP!",IF((DOLLAR(CF24+(VLOOKUP("PCS-OzTL745",ARBOR!$A:$C,3,0)*-TRUNC(CF24/VLOOKUP("PCS-OzTL745",ARBOR!$A:$C,3,0)-1,4)),6))&lt;&gt;(DOLLAR(VLOOKUP("PCS-OzTL745",ARBOR!$A:$C,3,0),6)),-TRUNC(CF24/VLOOKUP("PCS-OzTL745",ARBOR!$A:$C,3,0)-1,4)+0.0001,-TRUNC(CF24/VLOOKUP("PCS-OzTL745",ARBOR!$A:$C,3,0)-1,4)))))</f>
        <v/>
      </c>
      <c r="CH24" s="28" t="str">
        <f>IF(ISERROR(IF(CG24="","",VLOOKUP(($BC24&amp;CG24&amp;"Template desconto FLAT Plano Principal Oi TV nível conta"),BENEFICIOS!$A:$G,5,0))),"Criar",IF(CG24="","",VLOOKUP(($BC24&amp;CG24&amp;"Template desconto FLAT Plano Principal Oi TV nível conta"),BENEFICIOS!$A:$G,5,0)))</f>
        <v/>
      </c>
      <c r="CI24" s="8"/>
      <c r="CJ24" s="3" t="str">
        <f>IF(CI24=0,"",IF(CI24=VLOOKUP("PCS-OzTL42",ARBOR!$A:$C,3,0),0.0001,IF(CI24&gt;VLOOKUP("PCS-OzTL42",ARBOR!$A:$C,3,0),"Maior que CAP!",IF((DOLLAR(CI24+(VLOOKUP("PCS-OzTL42",ARBOR!$A:$C,3,0)*-TRUNC(CI24/VLOOKUP("PCS-OzTL42",ARBOR!$A:$C,3,0)-1,4)),6))&lt;&gt;(DOLLAR(VLOOKUP("PCS-OzTL42",ARBOR!$A:$C,3,0),6)),-TRUNC(CI24/VLOOKUP("PCS-OzTL42",ARBOR!$A:$C,3,0)-1,4)+0.0001,-TRUNC(CI24/VLOOKUP("PCS-OzTL42",ARBOR!$A:$C,3,0)-1,4)))))</f>
        <v/>
      </c>
      <c r="CK24" s="28" t="str">
        <f>IF(ISERROR(IF(CJ24="","",VLOOKUP(($BC24&amp;CJ24&amp;"Template desconto FLAT Plano Principal Oi TV nível conta"),BENEFICIOS!$A:$G,5,0))),"Criar",IF(CJ24="","",VLOOKUP(($BC24&amp;CJ24&amp;"Template desconto FLAT Plano Principal Oi TV nível conta"),BENEFICIOS!$A:$G,5,0)))</f>
        <v/>
      </c>
      <c r="CL24" s="8"/>
      <c r="CM24" s="3" t="str">
        <f>IF(CL24=0,"",IF(CL24=VLOOKUP("PCS-OzTL47",ARBOR!$A:$C,3,0),0.0001,IF(CL24&gt;VLOOKUP("PCS-OzTL47",ARBOR!$A:$C,3,0),"Maior que CAP!",IF((DOLLAR(CL24+(VLOOKUP("PCS-OzTL47",ARBOR!$A:$C,3,0)*-TRUNC(CL24/VLOOKUP("PCS-OzTL47",ARBOR!$A:$C,3,0)-1,4)),6))&lt;&gt;(DOLLAR(VLOOKUP("PCS-OzTL47",ARBOR!$A:$C,3,0),6)),-TRUNC(CL24/VLOOKUP("PCS-OzTL47",ARBOR!$A:$C,3,0)-1,4)+0.0001,-TRUNC(CL24/VLOOKUP("PCS-OzTL47",ARBOR!$A:$C,3,0)-1,4)))))</f>
        <v/>
      </c>
      <c r="CN24" s="28" t="str">
        <f>IF(ISERROR(IF(CM24="","",VLOOKUP(($BC24&amp;CM24&amp;"Template desconto FLAT Plano Principal Oi TV nível conta"),BENEFICIOS!$A:$G,5,0))),"Criar",IF(CM24="","",VLOOKUP(($BC24&amp;CM24&amp;"Template desconto FLAT Plano Principal Oi TV nível conta"),BENEFICIOS!$A:$G,5,0)))</f>
        <v/>
      </c>
      <c r="CO24" s="8"/>
      <c r="CP24" s="3" t="str">
        <f>IF(CO24=0,"",IF(CO24=VLOOKUP("PCS-OzTL46",ARBOR!$A:$C,3,0),0.0001,IF(CO24&gt;VLOOKUP("PCS-OzTL46",ARBOR!$A:$C,3,0),"Maior que CAP!",IF((DOLLAR(CO24+(VLOOKUP("PCS-OzTL46",ARBOR!$A:$C,3,0)*-TRUNC(CO24/VLOOKUP("PCS-OzTL46",ARBOR!$A:$C,3,0)-1,4)),6))&lt;&gt;(DOLLAR(VLOOKUP("PCS-OzTL46",ARBOR!$A:$C,3,0),6)),-TRUNC(CO24/VLOOKUP("PCS-OzTL46",ARBOR!$A:$C,3,0)-1,4)+0.0001,-TRUNC(CO24/VLOOKUP("PCS-OzTL46",ARBOR!$A:$C,3,0)-1,4)))))</f>
        <v/>
      </c>
      <c r="CQ24" s="28" t="str">
        <f>IF(ISERROR(IF(CP24="","",VLOOKUP(($BC24&amp;CP24&amp;"Template desconto FLAT Plano Principal Oi TV nível conta"),BENEFICIOS!$A:$G,5,0))),"Criar",IF(CP24="","",VLOOKUP(($BC24&amp;CP24&amp;"Template desconto FLAT Plano Principal Oi TV nível conta"),BENEFICIOS!$A:$G,5,0)))</f>
        <v/>
      </c>
      <c r="CR24" s="8"/>
      <c r="CS24" s="3" t="str">
        <f>IF(CR24=0,"",IF(CR24=VLOOKUP("PCS-OzTL48",ARBOR!$A:$C,3,0),0.0001,IF(CR24&gt;VLOOKUP("PCS-OzTL48",ARBOR!$A:$C,3,0),"Maior que CAP!",IF((DOLLAR(CR24+(VLOOKUP("PCS-OzTL48",ARBOR!$A:$C,3,0)*-TRUNC(CR24/VLOOKUP("PCS-OzTL48",ARBOR!$A:$C,3,0)-1,4)),6))&lt;&gt;(DOLLAR(VLOOKUP("PCS-OzTL48",ARBOR!$A:$C,3,0),6)),-TRUNC(CR24/VLOOKUP("PCS-OzTL48",ARBOR!$A:$C,3,0)-1,4)+0.0001,-TRUNC(CR24/VLOOKUP("PCS-OzTL48",ARBOR!$A:$C,3,0)-1,4)))))</f>
        <v/>
      </c>
      <c r="CT24" s="28" t="str">
        <f>IF(ISERROR(IF(CS24="","",VLOOKUP(($BC24&amp;CS24&amp;"Template desconto FLAT Plano Principal Oi TV nível conta"),BENEFICIOS!$A:$G,5,0))),"Criar",IF(CS24="","",VLOOKUP(($BC24&amp;CS24&amp;"Template desconto FLAT Plano Principal Oi TV nível conta"),BENEFICIOS!$A:$G,5,0)))</f>
        <v/>
      </c>
      <c r="CU24" s="8"/>
      <c r="CV24" s="3" t="str">
        <f>IF(CU24=0,"",IF(CU24=VLOOKUP("PCS-OzTL742",ARBOR!$A:$C,3,0),0.0001,IF(CU24&gt;VLOOKUP("PCS-OzTL742",ARBOR!$A:$C,3,0),"Maior que CAP!",IF((DOLLAR(CU24+(VLOOKUP("PCS-OzTL742",ARBOR!$A:$C,3,0)*-TRUNC(CU24/VLOOKUP("PCS-OzTL742",ARBOR!$A:$C,3,0)-1,4)),6))&lt;&gt;(DOLLAR(VLOOKUP("PCS-OzTL742",ARBOR!$A:$C,3,0),6)),-TRUNC(CU24/VLOOKUP("PCS-OzTL742",ARBOR!$A:$C,3,0)-1,4)+0.0001,-TRUNC(CU24/VLOOKUP("PCS-OzTL742",ARBOR!$A:$C,3,0)-1,4)))))</f>
        <v/>
      </c>
      <c r="CW24" s="28" t="str">
        <f>IF(ISERROR(IF(CV24="","",VLOOKUP(($BC24&amp;CV24&amp;"Template desconto FLAT Plano Principal Oi TV nível conta"),BENEFICIOS!$A:$G,5,0))),"Criar",IF(CV24="","",VLOOKUP(($BC24&amp;CV24&amp;"Template desconto FLAT Plano Principal Oi TV nível conta"),BENEFICIOS!$A:$G,5,0)))</f>
        <v/>
      </c>
      <c r="CX24" s="8"/>
      <c r="CY24" s="3" t="str">
        <f>IF(CX24=0,"",IF(CX24=VLOOKUP("PCS-OzTL747",ARBOR!$A:$C,3,0),0.0001,IF(CX24&gt;VLOOKUP("PCS-OzTL747",ARBOR!$A:$C,3,0),"Maior que CAP!",IF((DOLLAR(CX24+(VLOOKUP("PCS-OzTL747",ARBOR!$A:$C,3,0)*-TRUNC(CX24/VLOOKUP("PCS-OzTL747",ARBOR!$A:$C,3,0)-1,4)),6))&lt;&gt;(DOLLAR(VLOOKUP("PCS-OzTL747",ARBOR!$A:$C,3,0),6)),-TRUNC(CX24/VLOOKUP("PCS-OzTL747",ARBOR!$A:$C,3,0)-1,4)+0.0001,-TRUNC(CX24/VLOOKUP("PCS-OzTL747",ARBOR!$A:$C,3,0)-1,4)))))</f>
        <v/>
      </c>
      <c r="CZ24" s="28" t="str">
        <f>IF(ISERROR(IF(CY24="","",VLOOKUP(($BC24&amp;CY24&amp;"Template desconto FLAT Plano Principal Oi TV nível conta"),BENEFICIOS!$A:$G,5,0))),"Criar",IF(CY24="","",VLOOKUP(($BC24&amp;CY24&amp;"Template desconto FLAT Plano Principal Oi TV nível conta"),BENEFICIOS!$A:$G,5,0)))</f>
        <v/>
      </c>
      <c r="DA24" s="8"/>
      <c r="DB24" s="3" t="str">
        <f>IF(DA24=0,"",IF(DA24=VLOOKUP("PCS-OzTL746",ARBOR!$A:$C,3,0),0.0001,IF(DA24&gt;VLOOKUP("PCS-OzTL746",ARBOR!$A:$C,3,0),"Maior que CAP!",IF((DOLLAR(DA24+(VLOOKUP("PCS-OzTL746",ARBOR!$A:$C,3,0)*-TRUNC(DA24/VLOOKUP("PCS-OzTL746",ARBOR!$A:$C,3,0)-1,4)),6))&lt;&gt;(DOLLAR(VLOOKUP("PCS-OzTL746",ARBOR!$A:$C,3,0),6)),-TRUNC(DA24/VLOOKUP("PCS-OzTL746",ARBOR!$A:$C,3,0)-1,4)+0.0001,-TRUNC(DA24/VLOOKUP("PCS-OzTL746",ARBOR!$A:$C,3,0)-1,4)))))</f>
        <v/>
      </c>
      <c r="DC24" s="28" t="str">
        <f>IF(ISERROR(IF(DB24="","",VLOOKUP(($BC24&amp;DB24&amp;"Template desconto FLAT Plano Principal Oi TV nível conta"),BENEFICIOS!$A:$G,5,0))),"Criar",IF(DB24="","",VLOOKUP(($BC24&amp;DB24&amp;"Template desconto FLAT Plano Principal Oi TV nível conta"),BENEFICIOS!$A:$G,5,0)))</f>
        <v/>
      </c>
      <c r="DD24" s="8"/>
      <c r="DE24" s="3" t="str">
        <f>IF(DD24=0,"",IF(DD24=VLOOKUP("PCS-OzTL748",ARBOR!$A:$C,3,0),0.0001,IF(DD24&gt;VLOOKUP("PCS-OzTL748",ARBOR!$A:$C,3,0),"Maior que CAP!",IF((DOLLAR(DD24+(VLOOKUP("PCS-OzTL748",ARBOR!$A:$C,3,0)*-TRUNC(DD24/VLOOKUP("PCS-OzTL748",ARBOR!$A:$C,3,0)-1,4)),6))&lt;&gt;(DOLLAR(VLOOKUP("PCS-OzTL748",ARBOR!$A:$C,3,0),6)),-TRUNC(DD24/VLOOKUP("PCS-OzTL748",ARBOR!$A:$C,3,0)-1,4)+0.0001,-TRUNC(DD24/VLOOKUP("PCS-OzTL748",ARBOR!$A:$C,3,0)-1,4)))))</f>
        <v/>
      </c>
      <c r="DF24" s="28" t="str">
        <f>IF(ISERROR(IF(DE24="","",VLOOKUP(($BC24&amp;DE24&amp;"Template desconto FLAT Plano Principal Oi TV nível conta"),BENEFICIOS!$A:$G,5,0))),"Criar",IF(DE24="","",VLOOKUP(($BC24&amp;DE24&amp;"Template desconto FLAT Plano Principal Oi TV nível conta"),BENEFICIOS!$A:$G,5,0)))</f>
        <v/>
      </c>
      <c r="DG24" s="8"/>
      <c r="DH24" s="3" t="str">
        <f>IF(DG24=0,"",IF(DG24=VLOOKUP("PCS-OzTL34",ARBOR!$A:$C,3,0),0.0001,IF(DG24&gt;VLOOKUP("PCS-OzTL34",ARBOR!$A:$C,3,0),"Maior que CAP!",IF((DOLLAR(DG24+(VLOOKUP("PCS-OzTL34",ARBOR!$A:$C,3,0)*-TRUNC(DG24/VLOOKUP("PCS-OzTL34",ARBOR!$A:$C,3,0)-1,4)),6))&lt;&gt;(DOLLAR(VLOOKUP("PCS-OzTL34",ARBOR!$A:$C,3,0),6)),-TRUNC(DG24/VLOOKUP("PCS-OzTL34",ARBOR!$A:$C,3,0)-1,4)+0.0001,-TRUNC(DG24/VLOOKUP("PCS-OzTL34",ARBOR!$A:$C,3,0)-1,4)))))</f>
        <v/>
      </c>
      <c r="DI24" s="28" t="str">
        <f>IF(DH24="S/Desc","S/Desc",IF(ISERROR(IF(DH24="","",VLOOKUP(($BC24&amp;DH24&amp;"Template desconto % Combate nível conta"),BENEFICIOS!$A:$G,5,0))),"Criar",IF(DH24="","",VLOOKUP(($BC24&amp;DH24&amp;"Template desconto % Combate nível conta"),BENEFICIOS!$A:$G,5,0))))</f>
        <v/>
      </c>
      <c r="DJ24" s="8"/>
      <c r="DK24" s="3" t="str">
        <f>IF(DJ24=0,"",IF(DJ24=VLOOKUP("PCS-OzTL31",ARBOR!$A:$C,3,0),0.0001,IF(DJ24&gt;VLOOKUP("PCS-OzTL31",ARBOR!$A:$C,3,0),"Maior que CAP!",IF((DOLLAR(DJ24+(VLOOKUP("PCS-OzTL31",ARBOR!$A:$C,3,0)*-TRUNC(DJ24/VLOOKUP("PCS-OzTL31",ARBOR!$A:$C,3,0)-1,4)),6))&lt;&gt;(DOLLAR(VLOOKUP("PCS-OzTL31",ARBOR!$A:$C,3,0),6)),-TRUNC(DJ24/VLOOKUP("PCS-OzTL31",ARBOR!$A:$C,3,0)-1,4)+0.0001,-TRUNC(DJ24/VLOOKUP("PCS-OzTL31",ARBOR!$A:$C,3,0)-1,4)))))</f>
        <v/>
      </c>
      <c r="DL24" s="28" t="str">
        <f>IF(DK24="S/Desc","S/Desc",IF(ISERROR(IF(DK24="","",VLOOKUP(($BC24&amp;DK24&amp;"Template desconto % Sexy Hot nível conta"),BENEFICIOS!$A:$G,5,0))),"Criar",IF(DK24="","",VLOOKUP(($BC24&amp;DK24&amp;"Template desconto % Sexy Hot nível conta"),BENEFICIOS!$A:$G,5,0))))</f>
        <v/>
      </c>
      <c r="DM24" s="8"/>
      <c r="DN24" s="3" t="str">
        <f>IF(DM24=0,"",IF(DM24=VLOOKUP("PCS-OzTL32",ARBOR!$A:$C,3,0),0.0001,IF(DM24&gt;VLOOKUP("PCS-OzTL32",ARBOR!$A:$C,3,0),"Maior que CAP!",IF((DOLLAR(DM24+(VLOOKUP("PCS-OzTL32",ARBOR!$A:$C,3,0)*-TRUNC(DM24/VLOOKUP("PCS-OzTL32",ARBOR!$A:$C,3,0)-1,4)),6))&lt;&gt;(DOLLAR(VLOOKUP("PCS-OzTL32",ARBOR!$A:$C,3,0),6)),-TRUNC(DM24/VLOOKUP("PCS-OzTL32",ARBOR!$A:$C,3,0)-1,4)+0.0001,-TRUNC(DM24/VLOOKUP("PCS-OzTL32",ARBOR!$A:$C,3,0)-1,4)))))</f>
        <v/>
      </c>
      <c r="DO24" s="28" t="str">
        <f>IF(DN24="S/Desc","S/Desc",IF(ISERROR(IF(DN24="","",VLOOKUP(($BC24&amp;DN24&amp;"Template desconto % Playboy nível conta"),BENEFICIOS!$A:$G,5,0))),"Criar",IF(DN24="","",VLOOKUP(($BC24&amp;DN24&amp;"Template desconto % Playboy nível conta"),BENEFICIOS!$A:$G,5,0))))</f>
        <v/>
      </c>
      <c r="DP24" s="8"/>
      <c r="DQ24" s="3" t="str">
        <f>IF(DP24=0,"",IF(DP24=VLOOKUP("PCS-OzTL33",ARBOR!$A:$C,3,0),0.0001,IF(DP24&gt;VLOOKUP("PCS-OzTL33",ARBOR!$A:$C,3,0),"Maior que CAP!",IF((DOLLAR(DP24+(VLOOKUP("PCS-OzTL33",ARBOR!$A:$C,3,0)*-TRUNC(DP24/VLOOKUP("PCS-OzTL33",ARBOR!$A:$C,3,0)-1,4)),6))&lt;&gt;(DOLLAR(VLOOKUP("PCS-OzTL33",ARBOR!$A:$C,3,0),6)),-TRUNC(DP24/VLOOKUP("PCS-OzTL33",ARBOR!$A:$C,3,0)-1,4)+0.0001,-TRUNC(DP24/VLOOKUP("PCS-OzTL33",ARBOR!$A:$C,3,0)-1,4)))))</f>
        <v/>
      </c>
      <c r="DR24" s="28" t="str">
        <f>IF(DQ24="S/Desc","S/Desc",IF(ISERROR(IF(DQ24="","",VLOOKUP(($BC24&amp;DQ24&amp;"Template desconto % Sexy Hot + Playboy nível conta"),BENEFICIOS!$A:$G,5,0))),"Criar",IF(DQ24="","",VLOOKUP(($BC24&amp;DQ24&amp;"Template desconto % Sexy Hot + Playboy nível conta"),BENEFICIOS!$A:$G,5,0))))</f>
        <v/>
      </c>
      <c r="DS24" s="8"/>
      <c r="DT24" s="3" t="str">
        <f>IF(DS24=0,"",IF(DS24=VLOOKUP("PCS-OzTL503",ARBOR!$A:$C,3,0),0.0001,IF(DS24&gt;VLOOKUP("PCS-OzTL503",ARBOR!$A:$C,3,0),"Maior que CAP!",IF((DOLLAR(DS24+(VLOOKUP("PCS-OzTL503",ARBOR!$A:$C,3,0)*-TRUNC(DS24/VLOOKUP("PCS-OzTL503",ARBOR!$A:$C,3,0)-1,4)),6))&lt;&gt;(DOLLAR(VLOOKUP("PCS-OzTL503",ARBOR!$A:$C,3,0),6)),-TRUNC(DS24/VLOOKUP("PCS-OzTL503",ARBOR!$A:$C,3,0)-1,4)+0.0001,-TRUNC(DS24/VLOOKUP("PCS-OzTL503",ARBOR!$A:$C,3,0)-1,4)))))</f>
        <v/>
      </c>
      <c r="DU24" s="28" t="str">
        <f>IF(DT24="S/Desc","S/Desc",IF(ISERROR(IF(DT24="","",VLOOKUP(($BC24&amp;DT24&amp;"Template desconto % SexPrivê nível conta"),BENEFICIOS!$A:$G,5,0))),"Criar",IF(DT24="","",VLOOKUP(($BC24&amp;DT24&amp;"Template desconto % SexPrivê nível conta"),BENEFICIOS!$A:$G,5,0))))</f>
        <v/>
      </c>
      <c r="DV24" s="8"/>
      <c r="DW24" s="3" t="str">
        <f>IF(DV24=0,"",IF(DV24=VLOOKUP("PCS-OzTL500",ARBOR!$A:$C,3,0),0.0001,IF(DV24&gt;VLOOKUP("PCS-OzTL500",ARBOR!$A:$C,3,0),"Maior que CAP!",IF((DOLLAR(DV24+(VLOOKUP("PCS-OzTL500",ARBOR!$A:$C,3,0)*-TRUNC(DV24/VLOOKUP("PCS-OzTL500",ARBOR!$A:$C,3,0)-1,4)),6))&lt;&gt;(DOLLAR(VLOOKUP("PCS-OzTL500",ARBOR!$A:$C,3,0),6)),-TRUNC(DV24/VLOOKUP("PCS-OzTL500",ARBOR!$A:$C,3,0)-1,4)+0.0001,-TRUNC(DV24/VLOOKUP("PCS-OzTL500",ARBOR!$A:$C,3,0)-1,4)))))</f>
        <v/>
      </c>
      <c r="DX24" s="28" t="str">
        <f>IF(DW24="S/Desc","S/Desc",IF(ISERROR(IF(DW24="","",VLOOKUP(($BC24&amp;DW24&amp;"Template desconto % Étnico nível conta"),BENEFICIOS!$A:$G,5,0))),"Criar",IF(DW24="","",VLOOKUP(($BC24&amp;DW24&amp;"Template desconto % Étnico nível conta"),BENEFICIOS!$A:$G,5,0))))</f>
        <v/>
      </c>
      <c r="DY24" s="8"/>
      <c r="DZ24" s="181" t="str">
        <f>IF(DY24=0,"",IF(DY24=VLOOKUP("PCS-OzTL50",ARBOR!$A:$C,3,0),0.0001,IF(DY24&gt;VLOOKUP("PCS-OzTL50",ARBOR!$A:$C,3,0),"Maior que CAP!",IF((DOLLAR(DY24+(VLOOKUP("PCS-OzTL50",ARBOR!$A:$C,3,0)*-TRUNC(DY24/VLOOKUP("PCS-OzTL50",ARBOR!$A:$C,3,0)-1,4)),6))&lt;&gt;(DOLLAR(VLOOKUP("PCS-OzTL50",ARBOR!$A:$C,3,0),6)),-TRUNC(DY24/VLOOKUP("PCS-OzTL50",ARBOR!$A:$C,3,0)-1,4)+0.0001,-TRUNC(DY24/VLOOKUP("PCS-OzTL50",ARBOR!$A:$C,3,0)-1,4)))))</f>
        <v/>
      </c>
      <c r="EA24" s="28"/>
      <c r="EB24" s="8"/>
      <c r="EC24" s="181" t="str">
        <f>IF(EB24=0,"",IF(EB24=VLOOKUP("PCS-OzTL51",ARBOR!$A:$C,3,0),0.0001,IF(EB24&gt;VLOOKUP("PCS-OzTL51",ARBOR!$A:$C,3,0),"Maior que CAP!",IF((DOLLAR(EB24+(VLOOKUP("PCS-OzTL51",ARBOR!$A:$C,3,0)*-TRUNC(EB24/VLOOKUP("PCS-OzTL51",ARBOR!$A:$C,3,0)-1,4)),6))&lt;&gt;(DOLLAR(VLOOKUP("PCS-OzTL51",ARBOR!$A:$C,3,0),6)),-TRUNC(EB24/VLOOKUP("PCS-OzTL51",ARBOR!$A:$C,3,0)-1,4)+0.0001,-TRUNC(EB24/VLOOKUP("PCS-OzTL51",ARBOR!$A:$C,3,0)-1,4)))))</f>
        <v/>
      </c>
      <c r="ED24" s="28"/>
      <c r="EE24" s="8"/>
      <c r="EF24" s="181" t="str">
        <f>IF(EE24=0,"",IF(EE24=VLOOKUP("PCS-OzTL52",ARBOR!$A:$C,3,0),0.0001,IF(EE24&gt;VLOOKUP("PCS-OzTL52",ARBOR!$A:$C,3,0),"Maior que CAP!",IF((DOLLAR(EE24+(VLOOKUP("PCS-OzTL52",ARBOR!$A:$C,3,0)*-TRUNC(EE24/VLOOKUP("PCS-OzTL52",ARBOR!$A:$C,3,0)-1,4)),6))&lt;&gt;(DOLLAR(VLOOKUP("PCS-OzTL52",ARBOR!$A:$C,3,0),6)),-TRUNC(EE24/VLOOKUP("PCS-OzTL52",ARBOR!$A:$C,3,0)-1,4)+0.0001,-TRUNC(EE24/VLOOKUP("PCS-OzTL52",ARBOR!$A:$C,3,0)-1,4)))))</f>
        <v/>
      </c>
      <c r="EG24" s="28"/>
      <c r="EH24" s="8"/>
      <c r="EI24" s="181" t="str">
        <f>IF(EH24=0,"",IF(EH24=VLOOKUP("PCS-OzTL53",ARBOR!$A:$C,3,0),0.0001,IF(EH24&gt;VLOOKUP("PCS-OzTL53",ARBOR!$A:$C,3,0),"Maior que CAP!",IF((DOLLAR(EH24+(VLOOKUP("PCS-OzTL53",ARBOR!$A:$C,3,0)*-TRUNC(EH24/VLOOKUP("PCS-OzTL53",ARBOR!$A:$C,3,0)-1,4)),6))&lt;&gt;(DOLLAR(VLOOKUP("PCS-OzTL53",ARBOR!$A:$C,3,0),6)),-TRUNC(EH24/VLOOKUP("PCS-OzTL53",ARBOR!$A:$C,3,0)-1,4)+0.0001,-TRUNC(EH24/VLOOKUP("PCS-OzTL53",ARBOR!$A:$C,3,0)-1,4)))))</f>
        <v/>
      </c>
      <c r="EJ24" s="28"/>
      <c r="EK24" s="8"/>
      <c r="EL24" s="181" t="str">
        <f>IF(EK24=0,"",IF(EK24=VLOOKUP("PCS-OzTL54",ARBOR!$A:$C,3,0),0.0001,IF(EK24&gt;VLOOKUP("PCS-OzTL54",ARBOR!$A:$C,3,0),"Maior que CAP!",IF((DOLLAR(EK24+(VLOOKUP("PCS-OzTL54",ARBOR!$A:$C,3,0)*-TRUNC(EK24/VLOOKUP("PCS-OzTL54",ARBOR!$A:$C,3,0)-1,4)),6))&lt;&gt;(DOLLAR(VLOOKUP("PCS-OzTL54",ARBOR!$A:$C,3,0),6)),-TRUNC(EK24/VLOOKUP("PCS-OzTL54",ARBOR!$A:$C,3,0)-1,4)+0.0001,-TRUNC(EK24/VLOOKUP("PCS-OzTL54",ARBOR!$A:$C,3,0)-1,4)))))</f>
        <v/>
      </c>
      <c r="EM24" s="28"/>
      <c r="EN24" s="8"/>
      <c r="EO24" s="3" t="str">
        <f>IF(EN24=0,"",IF(EN24=VLOOKUP("PCS-OzTL99",ARBOR!$A:$C,3,0),0.0001,IF(EN24&gt;VLOOKUP("PCS-OzTL99",ARBOR!$A:$C,3,0),"Maior que CAP!",IF((DOLLAR(EN24+(VLOOKUP("PCS-OzTL99",ARBOR!$A:$C,3,0)*-TRUNC(EN24/VLOOKUP("PCS-OzTL99",ARBOR!$A:$C,3,0)-1,4)),6))&lt;&gt;(DOLLAR(VLOOKUP("PCS-OzTL99",ARBOR!$A:$C,3,0),6)),-TRUNC(EN24/VLOOKUP("PCS-OzTL99",ARBOR!$A:$C,3,0)-1,4)+0.0001,-TRUNC(EN24/VLOOKUP("PCS-OzTL99",ARBOR!$A:$C,3,0)-1,4)))))</f>
        <v/>
      </c>
      <c r="EP24" s="28" t="str">
        <f>IF(EO24="S/Desc","S/Desc",IF(ISERROR(IF(EO24="","",VLOOKUP(($BC24&amp;EO24&amp;"Template desconto % Ponto adicional nível conta"),BENEFICIOS!$A:$G,5,0))),"Criar",IF(EO24="","",VLOOKUP(($BC24&amp;EO24&amp;"Template desconto % Ponto adicional nível conta"),BENEFICIOS!$A:$G,5,0))))</f>
        <v/>
      </c>
      <c r="EQ24" s="8"/>
      <c r="ER24" s="28" t="str">
        <f t="shared" si="23"/>
        <v/>
      </c>
      <c r="ES24" s="62"/>
      <c r="ET24" s="126"/>
      <c r="EU24" s="127"/>
      <c r="EV24" s="126"/>
      <c r="EW24" s="128" t="str">
        <f t="shared" si="24"/>
        <v/>
      </c>
      <c r="EX24" s="129" t="str">
        <f t="shared" si="25"/>
        <v/>
      </c>
      <c r="EY24" s="91" t="str">
        <f t="shared" si="26"/>
        <v/>
      </c>
      <c r="EZ24" s="85"/>
      <c r="FA24" s="97"/>
      <c r="FB24" s="91"/>
      <c r="FC24" s="85"/>
      <c r="FD24" s="97"/>
      <c r="FE24" s="91"/>
      <c r="FF24" s="87"/>
      <c r="FG24" s="144" t="str">
        <f t="shared" si="5"/>
        <v/>
      </c>
      <c r="FH24" s="144" t="str">
        <f t="shared" si="6"/>
        <v/>
      </c>
      <c r="FI24" s="144" t="str">
        <f t="shared" si="7"/>
        <v/>
      </c>
      <c r="FJ24" s="144" t="str">
        <f t="shared" si="8"/>
        <v/>
      </c>
      <c r="FK24" s="144" t="str">
        <f t="shared" si="9"/>
        <v/>
      </c>
      <c r="FL24" s="144" t="str">
        <f t="shared" si="10"/>
        <v/>
      </c>
      <c r="FM24" s="144" t="str">
        <f t="shared" si="11"/>
        <v/>
      </c>
      <c r="FN24" s="144" t="str">
        <f t="shared" si="12"/>
        <v/>
      </c>
      <c r="FO24" s="144" t="str">
        <f t="shared" si="13"/>
        <v/>
      </c>
      <c r="FP24" s="144" t="str">
        <f t="shared" si="14"/>
        <v/>
      </c>
      <c r="FQ24" s="144" t="str">
        <f t="shared" si="15"/>
        <v/>
      </c>
      <c r="FR24" s="144" t="str">
        <f t="shared" si="16"/>
        <v/>
      </c>
      <c r="FS24" s="144" t="str">
        <f t="shared" si="17"/>
        <v/>
      </c>
      <c r="FT24" s="144" t="str">
        <f t="shared" si="18"/>
        <v/>
      </c>
      <c r="FU24" s="144" t="str">
        <f t="shared" si="19"/>
        <v/>
      </c>
      <c r="FV24" s="144" t="str">
        <f t="shared" si="20"/>
        <v/>
      </c>
      <c r="FW24" s="144" t="str">
        <f t="shared" si="21"/>
        <v/>
      </c>
      <c r="FX24" s="151"/>
      <c r="FY24" s="152"/>
      <c r="FZ24" s="152"/>
      <c r="GA24" s="152"/>
      <c r="GB24" s="152"/>
      <c r="GC24" s="152"/>
      <c r="GD24" s="152"/>
      <c r="GE24" s="152"/>
      <c r="GF24" s="152"/>
      <c r="GG24" s="153"/>
    </row>
    <row r="25" spans="1:189">
      <c r="A25" s="45"/>
      <c r="B25" s="133"/>
      <c r="C25" s="133"/>
      <c r="D25" s="46"/>
      <c r="E25" s="47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9"/>
      <c r="U25" s="48"/>
      <c r="V25" s="49"/>
      <c r="W25" s="48"/>
      <c r="X25" s="48"/>
      <c r="Y25" s="48"/>
      <c r="Z25" s="48"/>
      <c r="AA25" s="49"/>
      <c r="AB25" s="48"/>
      <c r="AC25" s="50"/>
      <c r="AD25" s="48"/>
      <c r="AE25" s="48"/>
      <c r="AF25" s="48"/>
      <c r="AG25" s="48"/>
      <c r="AH25" s="48"/>
      <c r="AI25" s="48"/>
      <c r="AJ25" s="48"/>
      <c r="AK25" s="48"/>
      <c r="AL25" s="51"/>
      <c r="AM25" s="37"/>
      <c r="AN25" s="38"/>
      <c r="AO25" s="39"/>
      <c r="AP25" s="52"/>
      <c r="AQ25" s="53"/>
      <c r="AR25" s="64"/>
      <c r="AS25" s="65"/>
      <c r="AT25" s="54"/>
      <c r="AU25" s="54"/>
      <c r="AV25" s="54"/>
      <c r="AW25" s="54"/>
      <c r="AX25" s="70"/>
      <c r="AY25" s="71"/>
      <c r="AZ25" s="72"/>
      <c r="BA25" s="73"/>
      <c r="BB25" s="55"/>
      <c r="BC25" s="56"/>
      <c r="BD25" s="27" t="str">
        <f t="shared" si="22"/>
        <v/>
      </c>
      <c r="BE25" s="58"/>
      <c r="BF25" s="3" t="str">
        <f>IF(BE25=0,"",IF(BE25=VLOOKUP("FIXO",ARBOR!$A:$C,3,0),0.0001,IF(BE25&gt;VLOOKUP("FIXO",ARBOR!$A:$C,3,0),"Maior que CAP!",IF((DOLLAR(BE25+(VLOOKUP("FIXO",ARBOR!$A:$C,3,0)*-TRUNC(BE25/VLOOKUP("FIXO",ARBOR!$A:$C,3,0)-1,4)),6))&lt;&gt;(DOLLAR(VLOOKUP("FIXO",ARBOR!$A:$C,3,0),6)),-TRUNC(BE25/VLOOKUP("FIXO",ARBOR!$A:$C,3,0)-1,4)+0.0001,-TRUNC(BE25/VLOOKUP("FIXO",ARBOR!$A:$C,3,0)-1,4)))))</f>
        <v/>
      </c>
      <c r="BG25" s="10" t="str">
        <f>IF(ISERROR(IF(BF25="","",VLOOKUP(($BC25&amp;BF25&amp;"Template de desconto FLAT bundle - Fixo - Varejo - Ganho Tributário Cross"),BENEFICIOS!$A:$G,5,0))),"Criar",IF(BF25="","",VLOOKUP(($BC25&amp;BF25&amp;"Template de desconto FLAT bundle - Fixo - Varejo - Ganho Tributário Cross"),BENEFICIOS!$A:$G,5,0)))</f>
        <v/>
      </c>
      <c r="BH25" s="8"/>
      <c r="BI25" s="3" t="str">
        <f>IF(BH25=0,"",IF(BH25=VLOOKUP("PCS-OzTL40",ARBOR!$A:$C,3,0),0.0001,IF(BH25&gt;VLOOKUP("PCS-OzTL40",ARBOR!$A:$C,3,0),"Maior que CAP!",IF((DOLLAR(BH25+(VLOOKUP("PCS-OzTL40",ARBOR!$A:$C,3,0)*-TRUNC(BH25/VLOOKUP("PCS-OzTL40",ARBOR!$A:$C,3,0)-1,4)),6))&lt;&gt;(DOLLAR(VLOOKUP("PCS-OzTL40",ARBOR!$A:$C,3,0),6)),-TRUNC(BH25/VLOOKUP("PCS-OzTL40",ARBOR!$A:$C,3,0)-1,4)+0.0001,-TRUNC(BH25/VLOOKUP("PCS-OzTL40",ARBOR!$A:$C,3,0)-1,4)))))</f>
        <v/>
      </c>
      <c r="BJ25" s="10" t="str">
        <f>IF(ISERROR(IF(BI25="","",VLOOKUP((BC25&amp;BI25&amp;"Template desconto FLAT Plano Principal Oi TV nível conta"),BENEFICIOS!$A:$G,5,0))),"Criar",IF(BI25="","",VLOOKUP((BC25&amp;BI25&amp;"Template desconto FLAT Plano Principal Oi TV nível conta"),BENEFICIOS!$A:$G,5,0)))</f>
        <v/>
      </c>
      <c r="BK25" s="8"/>
      <c r="BL25" s="3" t="str">
        <f>IF(BK25=0,"",IF(BK25=VLOOKUP("PCS-OzTL41",ARBOR!$A:$C,3,0),0.0001,IF(BK25&gt;VLOOKUP("PCS-OzTL41",ARBOR!$A:$C,3,0),"Maior que CAP!",IF((DOLLAR(BK25+(VLOOKUP("PCS-OzTL41",ARBOR!$A:$C,3,0)*-TRUNC(BK25/VLOOKUP("PCS-OzTL41",ARBOR!$A:$C,3,0)-1,4)),6))&lt;&gt;(DOLLAR(VLOOKUP("PCS-OzTL41",ARBOR!$A:$C,3,0),6)),-TRUNC(BK25/VLOOKUP("PCS-OzTL41",ARBOR!$A:$C,3,0)-1,4)+0.0001,-TRUNC(BK25/VLOOKUP("PCS-OzTL41",ARBOR!$A:$C,3,0)-1,4)))))</f>
        <v/>
      </c>
      <c r="BM25" s="28" t="str">
        <f>IF(ISERROR(IF(BL25="","",VLOOKUP((BC25&amp;BL25&amp;"Template desconto FLAT Plano Principal Oi TV nível conta"),BENEFICIOS!$A:$G,5,0))),"Criar",IF(BL25="","",VLOOKUP((BC25&amp;BL25&amp;"Template desconto FLAT Plano Principal Oi TV nível conta"),BENEFICIOS!$A:$G,5,0)))</f>
        <v/>
      </c>
      <c r="BN25" s="8"/>
      <c r="BO25" s="3" t="str">
        <f>IF(BN25=0,"",IF(BN25=VLOOKUP("PCS-OzTL44",ARBOR!$A:$C,3,0),0.0001,IF(BN25&gt;VLOOKUP("PCS-OzTL44",ARBOR!$A:$C,3,0),"Maior que CAP!",IF((DOLLAR(BN25+(VLOOKUP("PCS-OzTL44",ARBOR!$A:$C,3,0)*-TRUNC(BN25/VLOOKUP("PCS-OzTL44",ARBOR!$A:$C,3,0)-1,4)),6))&lt;&gt;(DOLLAR(VLOOKUP("PCS-OzTL44",ARBOR!$A:$C,3,0),6)),-TRUNC(BN25/VLOOKUP("PCS-OzTL44",ARBOR!$A:$C,3,0)-1,4)+0.0001,-TRUNC(BN25/VLOOKUP("PCS-OzTL44",ARBOR!$A:$C,3,0)-1,4)))))</f>
        <v/>
      </c>
      <c r="BP25" s="28" t="str">
        <f>IF(ISERROR(IF(BO25="","",VLOOKUP((BC25&amp;BO25&amp;"Template desconto FLAT Plano Principal Oi TV nível conta"),BENEFICIOS!$A:$G,5,0))),"Criar",IF(BO25="","",VLOOKUP((BC25&amp;BO25&amp;"Template desconto FLAT Plano Principal Oi TV nível conta"),BENEFICIOS!$A:$G,5,0)))</f>
        <v/>
      </c>
      <c r="BQ25" s="8"/>
      <c r="BR25" s="3" t="str">
        <f>IF(BQ25=0,"",IF(BQ25=VLOOKUP("PCS-OzTL43",ARBOR!$A:$C,3,0),0.0001,IF(BQ25&gt;VLOOKUP("PCS-OzTL43",ARBOR!$A:$C,3,0),"Maior que CAP!",IF((DOLLAR(BQ25+(VLOOKUP("PCS-OzTL43",ARBOR!$A:$C,3,0)*-TRUNC(BQ25/VLOOKUP("PCS-OzTL43",ARBOR!$A:$C,3,0)-1,4)),6))&lt;&gt;(DOLLAR(VLOOKUP("PCS-OzTL43",ARBOR!$A:$C,3,0),6)),-TRUNC(BQ25/VLOOKUP("PCS-OzTL43",ARBOR!$A:$C,3,0)-1,4)+0.0001,-TRUNC(BQ25/VLOOKUP("PCS-OzTL43",ARBOR!$A:$C,3,0)-1,4)))))</f>
        <v/>
      </c>
      <c r="BS25" s="28" t="str">
        <f>IF(ISERROR(IF(BR25="","",VLOOKUP((BC25&amp;BR25&amp;"Template desconto FLAT Plano Principal Oi TV nível conta"),BENEFICIOS!$A:$G,5,0))),"Criar",IF(BR25="","",VLOOKUP((BC25&amp;BR25&amp;"Template desconto FLAT Plano Principal Oi TV nível conta"),BENEFICIOS!$A:$G,5,0)))</f>
        <v/>
      </c>
      <c r="BT25" s="8"/>
      <c r="BU25" s="3" t="str">
        <f>IF(BT25=0,"",IF(BT25=VLOOKUP("PCS-OzTL45",ARBOR!$A:$C,3,0),0.0001,IF(BT25&gt;VLOOKUP("PCS-OzTL45",ARBOR!$A:$C,3,0),"Maior que CAP!",IF((DOLLAR(BT25+(VLOOKUP("PCS-OzTL45",ARBOR!$A:$C,3,0)*-TRUNC(BT25/VLOOKUP("PCS-OzTL45",ARBOR!$A:$C,3,0)-1,4)),6))&lt;&gt;(DOLLAR(VLOOKUP("PCS-OzTL45",ARBOR!$A:$C,3,0),6)),-TRUNC(BT25/VLOOKUP("PCS-OzTL45",ARBOR!$A:$C,3,0)-1,4)+0.0001,-TRUNC(BT25/VLOOKUP("PCS-OzTL45",ARBOR!$A:$C,3,0)-1,4)))))</f>
        <v/>
      </c>
      <c r="BV25" s="28" t="str">
        <f>IF(ISERROR(IF(BU25="","",VLOOKUP((BC25&amp;BU25&amp;"Template desconto FLAT Plano Principal Oi TV nível conta"),BENEFICIOS!$A:$G,5,0))),"Criar",IF(BU25="","",VLOOKUP((BC25&amp;BU25&amp;"Template desconto FLAT Plano Principal Oi TV nível conta"),BENEFICIOS!$A:$G,5,0)))</f>
        <v/>
      </c>
      <c r="BW25" s="8"/>
      <c r="BX25" s="3" t="str">
        <f>IF(BW25=0,"",IF(BW25=VLOOKUP("PCS-OzTL741",ARBOR!$A:$C,3,0),0.0001,IF(BW25&gt;VLOOKUP("PCS-OzTL741",ARBOR!$A:$C,3,0),"Maior que CAP!",IF((DOLLAR(BW25+(VLOOKUP("PCS-OzTL741",ARBOR!$A:$C,3,0)*-TRUNC(BW25/VLOOKUP("PCS-OzTL741",ARBOR!$A:$C,3,0)-1,4)),6))&lt;&gt;(DOLLAR(VLOOKUP("PCS-OzTL741",ARBOR!$A:$C,3,0),6)),-TRUNC(BW25/VLOOKUP("PCS-OzTL741",ARBOR!$A:$C,3,0)-1,4)+0.0001,-TRUNC(BW25/VLOOKUP("PCS-OzTL741",ARBOR!$A:$C,3,0)-1,4)))))</f>
        <v/>
      </c>
      <c r="BY25" s="28" t="str">
        <f>IF(ISERROR(IF(BX25="","",VLOOKUP((BC25&amp;BX25&amp;"Template desconto FLAT Plano Principal Oi TV nível conta"),BENEFICIOS!$A:$G,5,0))),"Criar",IF(BX25="","",VLOOKUP((BC25&amp;BX25&amp;"Template desconto FLAT Plano Principal Oi TV nível conta"),BENEFICIOS!$A:$G,5,0)))</f>
        <v/>
      </c>
      <c r="BZ25" s="8"/>
      <c r="CA25" s="3" t="str">
        <f>IF(BZ25=0,"",IF(BZ25=VLOOKUP("PCS-OzTL744",ARBOR!$A:$C,3,0),0.0001,IF(BZ25&gt;VLOOKUP("PCS-OzTL744",ARBOR!$A:$C,3,0),"Maior que CAP!",IF((DOLLAR(BZ25+(VLOOKUP("PCS-OzTL744",ARBOR!$A:$C,3,0)*-TRUNC(BZ25/VLOOKUP("PCS-OzTL744",ARBOR!$A:$C,3,0)-1,4)),6))&lt;&gt;(DOLLAR(VLOOKUP("PCS-OzTL744",ARBOR!$A:$C,3,0),6)),-TRUNC(BZ25/VLOOKUP("PCS-OzTL744",ARBOR!$A:$C,3,0)-1,4)+0.0001,-TRUNC(BZ25/VLOOKUP("PCS-OzTL744",ARBOR!$A:$C,3,0)-1,4)))))</f>
        <v/>
      </c>
      <c r="CB25" s="28" t="str">
        <f>IF(ISERROR(IF(CA25="","",VLOOKUP(($BC25&amp;CA25&amp;"Template desconto FLAT Plano Principal Oi TV nível conta"),BENEFICIOS!$A:$G,5,0))),"Criar",IF(CA25="","",VLOOKUP(($BC25&amp;CA25&amp;"Template desconto FLAT Plano Principal Oi TV nível conta"),BENEFICIOS!$A:$G,5,0)))</f>
        <v/>
      </c>
      <c r="CC25" s="8"/>
      <c r="CD25" s="3" t="str">
        <f>IF(CC25=0,"",IF(CC25=VLOOKUP("PCS-OzTL743",ARBOR!$A:$C,3,0),0.0001,IF(CC25&gt;VLOOKUP("PCS-OzTL743",ARBOR!$A:$C,3,0),"Maior que CAP!",IF((DOLLAR(CC25+(VLOOKUP("PCS-OzTL743",ARBOR!$A:$C,3,0)*-TRUNC(CC25/VLOOKUP("PCS-OzTL743",ARBOR!$A:$C,3,0)-1,4)),6))&lt;&gt;(DOLLAR(VLOOKUP("PCS-OzTL743",ARBOR!$A:$C,3,0),6)),-TRUNC(CC25/VLOOKUP("PCS-OzTL743",ARBOR!$A:$C,3,0)-1,4)+0.0001,-TRUNC(CC25/VLOOKUP("PCS-OzTL743",ARBOR!$A:$C,3,0)-1,4)))))</f>
        <v/>
      </c>
      <c r="CE25" s="28" t="str">
        <f>IF(ISERROR(IF(CD25="","",VLOOKUP(($BC25&amp;CD25&amp;"Template desconto FLAT Plano Principal Oi TV nível conta"),BENEFICIOS!$A:$G,5,0))),"Criar",IF(CD25="","",VLOOKUP(($BC25&amp;CD25&amp;"Template desconto FLAT Plano Principal Oi TV nível conta"),BENEFICIOS!$A:$G,5,0)))</f>
        <v/>
      </c>
      <c r="CF25" s="8"/>
      <c r="CG25" s="3" t="str">
        <f>IF(CF25=0,"",IF(CF25=VLOOKUP("PCS-OzTL745",ARBOR!$A:$C,3,0),0.0001,IF(CF25&gt;VLOOKUP("PCS-OzTL745",ARBOR!$A:$C,3,0),"Maior que CAP!",IF((DOLLAR(CF25+(VLOOKUP("PCS-OzTL745",ARBOR!$A:$C,3,0)*-TRUNC(CF25/VLOOKUP("PCS-OzTL745",ARBOR!$A:$C,3,0)-1,4)),6))&lt;&gt;(DOLLAR(VLOOKUP("PCS-OzTL745",ARBOR!$A:$C,3,0),6)),-TRUNC(CF25/VLOOKUP("PCS-OzTL745",ARBOR!$A:$C,3,0)-1,4)+0.0001,-TRUNC(CF25/VLOOKUP("PCS-OzTL745",ARBOR!$A:$C,3,0)-1,4)))))</f>
        <v/>
      </c>
      <c r="CH25" s="28" t="str">
        <f>IF(ISERROR(IF(CG25="","",VLOOKUP(($BC25&amp;CG25&amp;"Template desconto FLAT Plano Principal Oi TV nível conta"),BENEFICIOS!$A:$G,5,0))),"Criar",IF(CG25="","",VLOOKUP(($BC25&amp;CG25&amp;"Template desconto FLAT Plano Principal Oi TV nível conta"),BENEFICIOS!$A:$G,5,0)))</f>
        <v/>
      </c>
      <c r="CI25" s="8"/>
      <c r="CJ25" s="3" t="str">
        <f>IF(CI25=0,"",IF(CI25=VLOOKUP("PCS-OzTL42",ARBOR!$A:$C,3,0),0.0001,IF(CI25&gt;VLOOKUP("PCS-OzTL42",ARBOR!$A:$C,3,0),"Maior que CAP!",IF((DOLLAR(CI25+(VLOOKUP("PCS-OzTL42",ARBOR!$A:$C,3,0)*-TRUNC(CI25/VLOOKUP("PCS-OzTL42",ARBOR!$A:$C,3,0)-1,4)),6))&lt;&gt;(DOLLAR(VLOOKUP("PCS-OzTL42",ARBOR!$A:$C,3,0),6)),-TRUNC(CI25/VLOOKUP("PCS-OzTL42",ARBOR!$A:$C,3,0)-1,4)+0.0001,-TRUNC(CI25/VLOOKUP("PCS-OzTL42",ARBOR!$A:$C,3,0)-1,4)))))</f>
        <v/>
      </c>
      <c r="CK25" s="28" t="str">
        <f>IF(ISERROR(IF(CJ25="","",VLOOKUP(($BC25&amp;CJ25&amp;"Template desconto FLAT Plano Principal Oi TV nível conta"),BENEFICIOS!$A:$G,5,0))),"Criar",IF(CJ25="","",VLOOKUP(($BC25&amp;CJ25&amp;"Template desconto FLAT Plano Principal Oi TV nível conta"),BENEFICIOS!$A:$G,5,0)))</f>
        <v/>
      </c>
      <c r="CL25" s="8"/>
      <c r="CM25" s="3" t="str">
        <f>IF(CL25=0,"",IF(CL25=VLOOKUP("PCS-OzTL47",ARBOR!$A:$C,3,0),0.0001,IF(CL25&gt;VLOOKUP("PCS-OzTL47",ARBOR!$A:$C,3,0),"Maior que CAP!",IF((DOLLAR(CL25+(VLOOKUP("PCS-OzTL47",ARBOR!$A:$C,3,0)*-TRUNC(CL25/VLOOKUP("PCS-OzTL47",ARBOR!$A:$C,3,0)-1,4)),6))&lt;&gt;(DOLLAR(VLOOKUP("PCS-OzTL47",ARBOR!$A:$C,3,0),6)),-TRUNC(CL25/VLOOKUP("PCS-OzTL47",ARBOR!$A:$C,3,0)-1,4)+0.0001,-TRUNC(CL25/VLOOKUP("PCS-OzTL47",ARBOR!$A:$C,3,0)-1,4)))))</f>
        <v/>
      </c>
      <c r="CN25" s="28" t="str">
        <f>IF(ISERROR(IF(CM25="","",VLOOKUP(($BC25&amp;CM25&amp;"Template desconto FLAT Plano Principal Oi TV nível conta"),BENEFICIOS!$A:$G,5,0))),"Criar",IF(CM25="","",VLOOKUP(($BC25&amp;CM25&amp;"Template desconto FLAT Plano Principal Oi TV nível conta"),BENEFICIOS!$A:$G,5,0)))</f>
        <v/>
      </c>
      <c r="CO25" s="8"/>
      <c r="CP25" s="3" t="str">
        <f>IF(CO25=0,"",IF(CO25=VLOOKUP("PCS-OzTL46",ARBOR!$A:$C,3,0),0.0001,IF(CO25&gt;VLOOKUP("PCS-OzTL46",ARBOR!$A:$C,3,0),"Maior que CAP!",IF((DOLLAR(CO25+(VLOOKUP("PCS-OzTL46",ARBOR!$A:$C,3,0)*-TRUNC(CO25/VLOOKUP("PCS-OzTL46",ARBOR!$A:$C,3,0)-1,4)),6))&lt;&gt;(DOLLAR(VLOOKUP("PCS-OzTL46",ARBOR!$A:$C,3,0),6)),-TRUNC(CO25/VLOOKUP("PCS-OzTL46",ARBOR!$A:$C,3,0)-1,4)+0.0001,-TRUNC(CO25/VLOOKUP("PCS-OzTL46",ARBOR!$A:$C,3,0)-1,4)))))</f>
        <v/>
      </c>
      <c r="CQ25" s="28" t="str">
        <f>IF(ISERROR(IF(CP25="","",VLOOKUP(($BC25&amp;CP25&amp;"Template desconto FLAT Plano Principal Oi TV nível conta"),BENEFICIOS!$A:$G,5,0))),"Criar",IF(CP25="","",VLOOKUP(($BC25&amp;CP25&amp;"Template desconto FLAT Plano Principal Oi TV nível conta"),BENEFICIOS!$A:$G,5,0)))</f>
        <v/>
      </c>
      <c r="CR25" s="8"/>
      <c r="CS25" s="3" t="str">
        <f>IF(CR25=0,"",IF(CR25=VLOOKUP("PCS-OzTL48",ARBOR!$A:$C,3,0),0.0001,IF(CR25&gt;VLOOKUP("PCS-OzTL48",ARBOR!$A:$C,3,0),"Maior que CAP!",IF((DOLLAR(CR25+(VLOOKUP("PCS-OzTL48",ARBOR!$A:$C,3,0)*-TRUNC(CR25/VLOOKUP("PCS-OzTL48",ARBOR!$A:$C,3,0)-1,4)),6))&lt;&gt;(DOLLAR(VLOOKUP("PCS-OzTL48",ARBOR!$A:$C,3,0),6)),-TRUNC(CR25/VLOOKUP("PCS-OzTL48",ARBOR!$A:$C,3,0)-1,4)+0.0001,-TRUNC(CR25/VLOOKUP("PCS-OzTL48",ARBOR!$A:$C,3,0)-1,4)))))</f>
        <v/>
      </c>
      <c r="CT25" s="28" t="str">
        <f>IF(ISERROR(IF(CS25="","",VLOOKUP(($BC25&amp;CS25&amp;"Template desconto FLAT Plano Principal Oi TV nível conta"),BENEFICIOS!$A:$G,5,0))),"Criar",IF(CS25="","",VLOOKUP(($BC25&amp;CS25&amp;"Template desconto FLAT Plano Principal Oi TV nível conta"),BENEFICIOS!$A:$G,5,0)))</f>
        <v/>
      </c>
      <c r="CU25" s="8"/>
      <c r="CV25" s="3" t="str">
        <f>IF(CU25=0,"",IF(CU25=VLOOKUP("PCS-OzTL742",ARBOR!$A:$C,3,0),0.0001,IF(CU25&gt;VLOOKUP("PCS-OzTL742",ARBOR!$A:$C,3,0),"Maior que CAP!",IF((DOLLAR(CU25+(VLOOKUP("PCS-OzTL742",ARBOR!$A:$C,3,0)*-TRUNC(CU25/VLOOKUP("PCS-OzTL742",ARBOR!$A:$C,3,0)-1,4)),6))&lt;&gt;(DOLLAR(VLOOKUP("PCS-OzTL742",ARBOR!$A:$C,3,0),6)),-TRUNC(CU25/VLOOKUP("PCS-OzTL742",ARBOR!$A:$C,3,0)-1,4)+0.0001,-TRUNC(CU25/VLOOKUP("PCS-OzTL742",ARBOR!$A:$C,3,0)-1,4)))))</f>
        <v/>
      </c>
      <c r="CW25" s="28" t="str">
        <f>IF(ISERROR(IF(CV25="","",VLOOKUP(($BC25&amp;CV25&amp;"Template desconto FLAT Plano Principal Oi TV nível conta"),BENEFICIOS!$A:$G,5,0))),"Criar",IF(CV25="","",VLOOKUP(($BC25&amp;CV25&amp;"Template desconto FLAT Plano Principal Oi TV nível conta"),BENEFICIOS!$A:$G,5,0)))</f>
        <v/>
      </c>
      <c r="CX25" s="8"/>
      <c r="CY25" s="3" t="str">
        <f>IF(CX25=0,"",IF(CX25=VLOOKUP("PCS-OzTL747",ARBOR!$A:$C,3,0),0.0001,IF(CX25&gt;VLOOKUP("PCS-OzTL747",ARBOR!$A:$C,3,0),"Maior que CAP!",IF((DOLLAR(CX25+(VLOOKUP("PCS-OzTL747",ARBOR!$A:$C,3,0)*-TRUNC(CX25/VLOOKUP("PCS-OzTL747",ARBOR!$A:$C,3,0)-1,4)),6))&lt;&gt;(DOLLAR(VLOOKUP("PCS-OzTL747",ARBOR!$A:$C,3,0),6)),-TRUNC(CX25/VLOOKUP("PCS-OzTL747",ARBOR!$A:$C,3,0)-1,4)+0.0001,-TRUNC(CX25/VLOOKUP("PCS-OzTL747",ARBOR!$A:$C,3,0)-1,4)))))</f>
        <v/>
      </c>
      <c r="CZ25" s="28" t="str">
        <f>IF(ISERROR(IF(CY25="","",VLOOKUP(($BC25&amp;CY25&amp;"Template desconto FLAT Plano Principal Oi TV nível conta"),BENEFICIOS!$A:$G,5,0))),"Criar",IF(CY25="","",VLOOKUP(($BC25&amp;CY25&amp;"Template desconto FLAT Plano Principal Oi TV nível conta"),BENEFICIOS!$A:$G,5,0)))</f>
        <v/>
      </c>
      <c r="DA25" s="8"/>
      <c r="DB25" s="3" t="str">
        <f>IF(DA25=0,"",IF(DA25=VLOOKUP("PCS-OzTL746",ARBOR!$A:$C,3,0),0.0001,IF(DA25&gt;VLOOKUP("PCS-OzTL746",ARBOR!$A:$C,3,0),"Maior que CAP!",IF((DOLLAR(DA25+(VLOOKUP("PCS-OzTL746",ARBOR!$A:$C,3,0)*-TRUNC(DA25/VLOOKUP("PCS-OzTL746",ARBOR!$A:$C,3,0)-1,4)),6))&lt;&gt;(DOLLAR(VLOOKUP("PCS-OzTL746",ARBOR!$A:$C,3,0),6)),-TRUNC(DA25/VLOOKUP("PCS-OzTL746",ARBOR!$A:$C,3,0)-1,4)+0.0001,-TRUNC(DA25/VLOOKUP("PCS-OzTL746",ARBOR!$A:$C,3,0)-1,4)))))</f>
        <v/>
      </c>
      <c r="DC25" s="28" t="str">
        <f>IF(ISERROR(IF(DB25="","",VLOOKUP(($BC25&amp;DB25&amp;"Template desconto FLAT Plano Principal Oi TV nível conta"),BENEFICIOS!$A:$G,5,0))),"Criar",IF(DB25="","",VLOOKUP(($BC25&amp;DB25&amp;"Template desconto FLAT Plano Principal Oi TV nível conta"),BENEFICIOS!$A:$G,5,0)))</f>
        <v/>
      </c>
      <c r="DD25" s="8"/>
      <c r="DE25" s="3" t="str">
        <f>IF(DD25=0,"",IF(DD25=VLOOKUP("PCS-OzTL748",ARBOR!$A:$C,3,0),0.0001,IF(DD25&gt;VLOOKUP("PCS-OzTL748",ARBOR!$A:$C,3,0),"Maior que CAP!",IF((DOLLAR(DD25+(VLOOKUP("PCS-OzTL748",ARBOR!$A:$C,3,0)*-TRUNC(DD25/VLOOKUP("PCS-OzTL748",ARBOR!$A:$C,3,0)-1,4)),6))&lt;&gt;(DOLLAR(VLOOKUP("PCS-OzTL748",ARBOR!$A:$C,3,0),6)),-TRUNC(DD25/VLOOKUP("PCS-OzTL748",ARBOR!$A:$C,3,0)-1,4)+0.0001,-TRUNC(DD25/VLOOKUP("PCS-OzTL748",ARBOR!$A:$C,3,0)-1,4)))))</f>
        <v/>
      </c>
      <c r="DF25" s="28" t="str">
        <f>IF(ISERROR(IF(DE25="","",VLOOKUP(($BC25&amp;DE25&amp;"Template desconto FLAT Plano Principal Oi TV nível conta"),BENEFICIOS!$A:$G,5,0))),"Criar",IF(DE25="","",VLOOKUP(($BC25&amp;DE25&amp;"Template desconto FLAT Plano Principal Oi TV nível conta"),BENEFICIOS!$A:$G,5,0)))</f>
        <v/>
      </c>
      <c r="DG25" s="8"/>
      <c r="DH25" s="3" t="str">
        <f>IF(DG25=0,"",IF(DG25=VLOOKUP("PCS-OzTL34",ARBOR!$A:$C,3,0),0.0001,IF(DG25&gt;VLOOKUP("PCS-OzTL34",ARBOR!$A:$C,3,0),"Maior que CAP!",IF((DOLLAR(DG25+(VLOOKUP("PCS-OzTL34",ARBOR!$A:$C,3,0)*-TRUNC(DG25/VLOOKUP("PCS-OzTL34",ARBOR!$A:$C,3,0)-1,4)),6))&lt;&gt;(DOLLAR(VLOOKUP("PCS-OzTL34",ARBOR!$A:$C,3,0),6)),-TRUNC(DG25/VLOOKUP("PCS-OzTL34",ARBOR!$A:$C,3,0)-1,4)+0.0001,-TRUNC(DG25/VLOOKUP("PCS-OzTL34",ARBOR!$A:$C,3,0)-1,4)))))</f>
        <v/>
      </c>
      <c r="DI25" s="28" t="str">
        <f>IF(DH25="S/Desc","S/Desc",IF(ISERROR(IF(DH25="","",VLOOKUP(($BC25&amp;DH25&amp;"Template desconto % Combate nível conta"),BENEFICIOS!$A:$G,5,0))),"Criar",IF(DH25="","",VLOOKUP(($BC25&amp;DH25&amp;"Template desconto % Combate nível conta"),BENEFICIOS!$A:$G,5,0))))</f>
        <v/>
      </c>
      <c r="DJ25" s="8"/>
      <c r="DK25" s="3" t="str">
        <f>IF(DJ25=0,"",IF(DJ25=VLOOKUP("PCS-OzTL31",ARBOR!$A:$C,3,0),0.0001,IF(DJ25&gt;VLOOKUP("PCS-OzTL31",ARBOR!$A:$C,3,0),"Maior que CAP!",IF((DOLLAR(DJ25+(VLOOKUP("PCS-OzTL31",ARBOR!$A:$C,3,0)*-TRUNC(DJ25/VLOOKUP("PCS-OzTL31",ARBOR!$A:$C,3,0)-1,4)),6))&lt;&gt;(DOLLAR(VLOOKUP("PCS-OzTL31",ARBOR!$A:$C,3,0),6)),-TRUNC(DJ25/VLOOKUP("PCS-OzTL31",ARBOR!$A:$C,3,0)-1,4)+0.0001,-TRUNC(DJ25/VLOOKUP("PCS-OzTL31",ARBOR!$A:$C,3,0)-1,4)))))</f>
        <v/>
      </c>
      <c r="DL25" s="28" t="str">
        <f>IF(DK25="S/Desc","S/Desc",IF(ISERROR(IF(DK25="","",VLOOKUP(($BC25&amp;DK25&amp;"Template desconto % Sexy Hot nível conta"),BENEFICIOS!$A:$G,5,0))),"Criar",IF(DK25="","",VLOOKUP(($BC25&amp;DK25&amp;"Template desconto % Sexy Hot nível conta"),BENEFICIOS!$A:$G,5,0))))</f>
        <v/>
      </c>
      <c r="DM25" s="8"/>
      <c r="DN25" s="3" t="str">
        <f>IF(DM25=0,"",IF(DM25=VLOOKUP("PCS-OzTL32",ARBOR!$A:$C,3,0),0.0001,IF(DM25&gt;VLOOKUP("PCS-OzTL32",ARBOR!$A:$C,3,0),"Maior que CAP!",IF((DOLLAR(DM25+(VLOOKUP("PCS-OzTL32",ARBOR!$A:$C,3,0)*-TRUNC(DM25/VLOOKUP("PCS-OzTL32",ARBOR!$A:$C,3,0)-1,4)),6))&lt;&gt;(DOLLAR(VLOOKUP("PCS-OzTL32",ARBOR!$A:$C,3,0),6)),-TRUNC(DM25/VLOOKUP("PCS-OzTL32",ARBOR!$A:$C,3,0)-1,4)+0.0001,-TRUNC(DM25/VLOOKUP("PCS-OzTL32",ARBOR!$A:$C,3,0)-1,4)))))</f>
        <v/>
      </c>
      <c r="DO25" s="28" t="str">
        <f>IF(DN25="S/Desc","S/Desc",IF(ISERROR(IF(DN25="","",VLOOKUP(($BC25&amp;DN25&amp;"Template desconto % Playboy nível conta"),BENEFICIOS!$A:$G,5,0))),"Criar",IF(DN25="","",VLOOKUP(($BC25&amp;DN25&amp;"Template desconto % Playboy nível conta"),BENEFICIOS!$A:$G,5,0))))</f>
        <v/>
      </c>
      <c r="DP25" s="8"/>
      <c r="DQ25" s="3" t="str">
        <f>IF(DP25=0,"",IF(DP25=VLOOKUP("PCS-OzTL33",ARBOR!$A:$C,3,0),0.0001,IF(DP25&gt;VLOOKUP("PCS-OzTL33",ARBOR!$A:$C,3,0),"Maior que CAP!",IF((DOLLAR(DP25+(VLOOKUP("PCS-OzTL33",ARBOR!$A:$C,3,0)*-TRUNC(DP25/VLOOKUP("PCS-OzTL33",ARBOR!$A:$C,3,0)-1,4)),6))&lt;&gt;(DOLLAR(VLOOKUP("PCS-OzTL33",ARBOR!$A:$C,3,0),6)),-TRUNC(DP25/VLOOKUP("PCS-OzTL33",ARBOR!$A:$C,3,0)-1,4)+0.0001,-TRUNC(DP25/VLOOKUP("PCS-OzTL33",ARBOR!$A:$C,3,0)-1,4)))))</f>
        <v/>
      </c>
      <c r="DR25" s="28" t="str">
        <f>IF(DQ25="S/Desc","S/Desc",IF(ISERROR(IF(DQ25="","",VLOOKUP(($BC25&amp;DQ25&amp;"Template desconto % Sexy Hot + Playboy nível conta"),BENEFICIOS!$A:$G,5,0))),"Criar",IF(DQ25="","",VLOOKUP(($BC25&amp;DQ25&amp;"Template desconto % Sexy Hot + Playboy nível conta"),BENEFICIOS!$A:$G,5,0))))</f>
        <v/>
      </c>
      <c r="DS25" s="8"/>
      <c r="DT25" s="3" t="str">
        <f>IF(DS25=0,"",IF(DS25=VLOOKUP("PCS-OzTL503",ARBOR!$A:$C,3,0),0.0001,IF(DS25&gt;VLOOKUP("PCS-OzTL503",ARBOR!$A:$C,3,0),"Maior que CAP!",IF((DOLLAR(DS25+(VLOOKUP("PCS-OzTL503",ARBOR!$A:$C,3,0)*-TRUNC(DS25/VLOOKUP("PCS-OzTL503",ARBOR!$A:$C,3,0)-1,4)),6))&lt;&gt;(DOLLAR(VLOOKUP("PCS-OzTL503",ARBOR!$A:$C,3,0),6)),-TRUNC(DS25/VLOOKUP("PCS-OzTL503",ARBOR!$A:$C,3,0)-1,4)+0.0001,-TRUNC(DS25/VLOOKUP("PCS-OzTL503",ARBOR!$A:$C,3,0)-1,4)))))</f>
        <v/>
      </c>
      <c r="DU25" s="28" t="str">
        <f>IF(DT25="S/Desc","S/Desc",IF(ISERROR(IF(DT25="","",VLOOKUP(($BC25&amp;DT25&amp;"Template desconto % SexPrivê nível conta"),BENEFICIOS!$A:$G,5,0))),"Criar",IF(DT25="","",VLOOKUP(($BC25&amp;DT25&amp;"Template desconto % SexPrivê nível conta"),BENEFICIOS!$A:$G,5,0))))</f>
        <v/>
      </c>
      <c r="DV25" s="8"/>
      <c r="DW25" s="3" t="str">
        <f>IF(DV25=0,"",IF(DV25=VLOOKUP("PCS-OzTL500",ARBOR!$A:$C,3,0),0.0001,IF(DV25&gt;VLOOKUP("PCS-OzTL500",ARBOR!$A:$C,3,0),"Maior que CAP!",IF((DOLLAR(DV25+(VLOOKUP("PCS-OzTL500",ARBOR!$A:$C,3,0)*-TRUNC(DV25/VLOOKUP("PCS-OzTL500",ARBOR!$A:$C,3,0)-1,4)),6))&lt;&gt;(DOLLAR(VLOOKUP("PCS-OzTL500",ARBOR!$A:$C,3,0),6)),-TRUNC(DV25/VLOOKUP("PCS-OzTL500",ARBOR!$A:$C,3,0)-1,4)+0.0001,-TRUNC(DV25/VLOOKUP("PCS-OzTL500",ARBOR!$A:$C,3,0)-1,4)))))</f>
        <v/>
      </c>
      <c r="DX25" s="28" t="str">
        <f>IF(DW25="S/Desc","S/Desc",IF(ISERROR(IF(DW25="","",VLOOKUP(($BC25&amp;DW25&amp;"Template desconto % Étnico nível conta"),BENEFICIOS!$A:$G,5,0))),"Criar",IF(DW25="","",VLOOKUP(($BC25&amp;DW25&amp;"Template desconto % Étnico nível conta"),BENEFICIOS!$A:$G,5,0))))</f>
        <v/>
      </c>
      <c r="DY25" s="8"/>
      <c r="DZ25" s="181" t="str">
        <f>IF(DY25=0,"",IF(DY25=VLOOKUP("PCS-OzTL50",ARBOR!$A:$C,3,0),0.0001,IF(DY25&gt;VLOOKUP("PCS-OzTL50",ARBOR!$A:$C,3,0),"Maior que CAP!",IF((DOLLAR(DY25+(VLOOKUP("PCS-OzTL50",ARBOR!$A:$C,3,0)*-TRUNC(DY25/VLOOKUP("PCS-OzTL50",ARBOR!$A:$C,3,0)-1,4)),6))&lt;&gt;(DOLLAR(VLOOKUP("PCS-OzTL50",ARBOR!$A:$C,3,0),6)),-TRUNC(DY25/VLOOKUP("PCS-OzTL50",ARBOR!$A:$C,3,0)-1,4)+0.0001,-TRUNC(DY25/VLOOKUP("PCS-OzTL50",ARBOR!$A:$C,3,0)-1,4)))))</f>
        <v/>
      </c>
      <c r="EA25" s="28"/>
      <c r="EB25" s="8"/>
      <c r="EC25" s="181" t="str">
        <f>IF(EB25=0,"",IF(EB25=VLOOKUP("PCS-OzTL51",ARBOR!$A:$C,3,0),0.0001,IF(EB25&gt;VLOOKUP("PCS-OzTL51",ARBOR!$A:$C,3,0),"Maior que CAP!",IF((DOLLAR(EB25+(VLOOKUP("PCS-OzTL51",ARBOR!$A:$C,3,0)*-TRUNC(EB25/VLOOKUP("PCS-OzTL51",ARBOR!$A:$C,3,0)-1,4)),6))&lt;&gt;(DOLLAR(VLOOKUP("PCS-OzTL51",ARBOR!$A:$C,3,0),6)),-TRUNC(EB25/VLOOKUP("PCS-OzTL51",ARBOR!$A:$C,3,0)-1,4)+0.0001,-TRUNC(EB25/VLOOKUP("PCS-OzTL51",ARBOR!$A:$C,3,0)-1,4)))))</f>
        <v/>
      </c>
      <c r="ED25" s="28"/>
      <c r="EE25" s="8"/>
      <c r="EF25" s="181" t="str">
        <f>IF(EE25=0,"",IF(EE25=VLOOKUP("PCS-OzTL52",ARBOR!$A:$C,3,0),0.0001,IF(EE25&gt;VLOOKUP("PCS-OzTL52",ARBOR!$A:$C,3,0),"Maior que CAP!",IF((DOLLAR(EE25+(VLOOKUP("PCS-OzTL52",ARBOR!$A:$C,3,0)*-TRUNC(EE25/VLOOKUP("PCS-OzTL52",ARBOR!$A:$C,3,0)-1,4)),6))&lt;&gt;(DOLLAR(VLOOKUP("PCS-OzTL52",ARBOR!$A:$C,3,0),6)),-TRUNC(EE25/VLOOKUP("PCS-OzTL52",ARBOR!$A:$C,3,0)-1,4)+0.0001,-TRUNC(EE25/VLOOKUP("PCS-OzTL52",ARBOR!$A:$C,3,0)-1,4)))))</f>
        <v/>
      </c>
      <c r="EG25" s="28"/>
      <c r="EH25" s="8"/>
      <c r="EI25" s="181" t="str">
        <f>IF(EH25=0,"",IF(EH25=VLOOKUP("PCS-OzTL53",ARBOR!$A:$C,3,0),0.0001,IF(EH25&gt;VLOOKUP("PCS-OzTL53",ARBOR!$A:$C,3,0),"Maior que CAP!",IF((DOLLAR(EH25+(VLOOKUP("PCS-OzTL53",ARBOR!$A:$C,3,0)*-TRUNC(EH25/VLOOKUP("PCS-OzTL53",ARBOR!$A:$C,3,0)-1,4)),6))&lt;&gt;(DOLLAR(VLOOKUP("PCS-OzTL53",ARBOR!$A:$C,3,0),6)),-TRUNC(EH25/VLOOKUP("PCS-OzTL53",ARBOR!$A:$C,3,0)-1,4)+0.0001,-TRUNC(EH25/VLOOKUP("PCS-OzTL53",ARBOR!$A:$C,3,0)-1,4)))))</f>
        <v/>
      </c>
      <c r="EJ25" s="28"/>
      <c r="EK25" s="8"/>
      <c r="EL25" s="181" t="str">
        <f>IF(EK25=0,"",IF(EK25=VLOOKUP("PCS-OzTL54",ARBOR!$A:$C,3,0),0.0001,IF(EK25&gt;VLOOKUP("PCS-OzTL54",ARBOR!$A:$C,3,0),"Maior que CAP!",IF((DOLLAR(EK25+(VLOOKUP("PCS-OzTL54",ARBOR!$A:$C,3,0)*-TRUNC(EK25/VLOOKUP("PCS-OzTL54",ARBOR!$A:$C,3,0)-1,4)),6))&lt;&gt;(DOLLAR(VLOOKUP("PCS-OzTL54",ARBOR!$A:$C,3,0),6)),-TRUNC(EK25/VLOOKUP("PCS-OzTL54",ARBOR!$A:$C,3,0)-1,4)+0.0001,-TRUNC(EK25/VLOOKUP("PCS-OzTL54",ARBOR!$A:$C,3,0)-1,4)))))</f>
        <v/>
      </c>
      <c r="EM25" s="28"/>
      <c r="EN25" s="8"/>
      <c r="EO25" s="3" t="str">
        <f>IF(EN25=0,"",IF(EN25=VLOOKUP("PCS-OzTL99",ARBOR!$A:$C,3,0),0.0001,IF(EN25&gt;VLOOKUP("PCS-OzTL99",ARBOR!$A:$C,3,0),"Maior que CAP!",IF((DOLLAR(EN25+(VLOOKUP("PCS-OzTL99",ARBOR!$A:$C,3,0)*-TRUNC(EN25/VLOOKUP("PCS-OzTL99",ARBOR!$A:$C,3,0)-1,4)),6))&lt;&gt;(DOLLAR(VLOOKUP("PCS-OzTL99",ARBOR!$A:$C,3,0),6)),-TRUNC(EN25/VLOOKUP("PCS-OzTL99",ARBOR!$A:$C,3,0)-1,4)+0.0001,-TRUNC(EN25/VLOOKUP("PCS-OzTL99",ARBOR!$A:$C,3,0)-1,4)))))</f>
        <v/>
      </c>
      <c r="EP25" s="28" t="str">
        <f>IF(EO25="S/Desc","S/Desc",IF(ISERROR(IF(EO25="","",VLOOKUP(($BC25&amp;EO25&amp;"Template desconto % Ponto adicional nível conta"),BENEFICIOS!$A:$G,5,0))),"Criar",IF(EO25="","",VLOOKUP(($BC25&amp;EO25&amp;"Template desconto % Ponto adicional nível conta"),BENEFICIOS!$A:$G,5,0))))</f>
        <v/>
      </c>
      <c r="EQ25" s="8"/>
      <c r="ER25" s="28" t="str">
        <f t="shared" si="23"/>
        <v/>
      </c>
      <c r="ES25" s="62"/>
      <c r="ET25" s="126"/>
      <c r="EU25" s="127"/>
      <c r="EV25" s="126"/>
      <c r="EW25" s="128" t="str">
        <f t="shared" si="24"/>
        <v/>
      </c>
      <c r="EX25" s="129" t="str">
        <f t="shared" si="25"/>
        <v/>
      </c>
      <c r="EY25" s="91" t="str">
        <f t="shared" si="26"/>
        <v/>
      </c>
      <c r="EZ25" s="85"/>
      <c r="FA25" s="97"/>
      <c r="FB25" s="91"/>
      <c r="FC25" s="85"/>
      <c r="FD25" s="97"/>
      <c r="FE25" s="91"/>
      <c r="FF25" s="87"/>
      <c r="FG25" s="144" t="str">
        <f t="shared" si="5"/>
        <v/>
      </c>
      <c r="FH25" s="144" t="str">
        <f t="shared" si="6"/>
        <v/>
      </c>
      <c r="FI25" s="144" t="str">
        <f t="shared" si="7"/>
        <v/>
      </c>
      <c r="FJ25" s="144" t="str">
        <f t="shared" si="8"/>
        <v/>
      </c>
      <c r="FK25" s="144" t="str">
        <f t="shared" si="9"/>
        <v/>
      </c>
      <c r="FL25" s="144" t="str">
        <f t="shared" si="10"/>
        <v/>
      </c>
      <c r="FM25" s="144" t="str">
        <f t="shared" si="11"/>
        <v/>
      </c>
      <c r="FN25" s="144" t="str">
        <f t="shared" si="12"/>
        <v/>
      </c>
      <c r="FO25" s="144" t="str">
        <f t="shared" si="13"/>
        <v/>
      </c>
      <c r="FP25" s="144" t="str">
        <f t="shared" si="14"/>
        <v/>
      </c>
      <c r="FQ25" s="144" t="str">
        <f t="shared" si="15"/>
        <v/>
      </c>
      <c r="FR25" s="144" t="str">
        <f t="shared" si="16"/>
        <v/>
      </c>
      <c r="FS25" s="144" t="str">
        <f t="shared" si="17"/>
        <v/>
      </c>
      <c r="FT25" s="144" t="str">
        <f t="shared" si="18"/>
        <v/>
      </c>
      <c r="FU25" s="144" t="str">
        <f t="shared" si="19"/>
        <v/>
      </c>
      <c r="FV25" s="144" t="str">
        <f t="shared" si="20"/>
        <v/>
      </c>
      <c r="FW25" s="144" t="str">
        <f t="shared" si="21"/>
        <v/>
      </c>
      <c r="FX25" s="151"/>
      <c r="FY25" s="152"/>
      <c r="FZ25" s="152"/>
      <c r="GA25" s="152"/>
      <c r="GB25" s="152"/>
      <c r="GC25" s="152"/>
      <c r="GD25" s="152"/>
      <c r="GE25" s="152"/>
      <c r="GF25" s="152"/>
      <c r="GG25" s="153"/>
    </row>
    <row r="26" spans="1:189">
      <c r="A26" s="45"/>
      <c r="B26" s="133"/>
      <c r="C26" s="133"/>
      <c r="D26" s="46"/>
      <c r="E26" s="47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9"/>
      <c r="U26" s="48"/>
      <c r="V26" s="49"/>
      <c r="W26" s="48"/>
      <c r="X26" s="48"/>
      <c r="Y26" s="48"/>
      <c r="Z26" s="48"/>
      <c r="AA26" s="49"/>
      <c r="AB26" s="48"/>
      <c r="AC26" s="50"/>
      <c r="AD26" s="48"/>
      <c r="AE26" s="48"/>
      <c r="AF26" s="48"/>
      <c r="AG26" s="48"/>
      <c r="AH26" s="48"/>
      <c r="AI26" s="48"/>
      <c r="AJ26" s="48"/>
      <c r="AK26" s="48"/>
      <c r="AL26" s="51"/>
      <c r="AM26" s="37"/>
      <c r="AN26" s="38"/>
      <c r="AO26" s="39"/>
      <c r="AP26" s="52"/>
      <c r="AQ26" s="53"/>
      <c r="AR26" s="64"/>
      <c r="AS26" s="65"/>
      <c r="AT26" s="54"/>
      <c r="AU26" s="54"/>
      <c r="AV26" s="54"/>
      <c r="AW26" s="54"/>
      <c r="AX26" s="70"/>
      <c r="AY26" s="71"/>
      <c r="AZ26" s="72"/>
      <c r="BA26" s="73"/>
      <c r="BB26" s="55"/>
      <c r="BC26" s="56"/>
      <c r="BD26" s="27" t="str">
        <f t="shared" si="22"/>
        <v/>
      </c>
      <c r="BE26" s="58"/>
      <c r="BF26" s="3" t="str">
        <f>IF(BE26=0,"",IF(BE26=VLOOKUP("FIXO",ARBOR!$A:$C,3,0),0.0001,IF(BE26&gt;VLOOKUP("FIXO",ARBOR!$A:$C,3,0),"Maior que CAP!",IF((DOLLAR(BE26+(VLOOKUP("FIXO",ARBOR!$A:$C,3,0)*-TRUNC(BE26/VLOOKUP("FIXO",ARBOR!$A:$C,3,0)-1,4)),6))&lt;&gt;(DOLLAR(VLOOKUP("FIXO",ARBOR!$A:$C,3,0),6)),-TRUNC(BE26/VLOOKUP("FIXO",ARBOR!$A:$C,3,0)-1,4)+0.0001,-TRUNC(BE26/VLOOKUP("FIXO",ARBOR!$A:$C,3,0)-1,4)))))</f>
        <v/>
      </c>
      <c r="BG26" s="10" t="str">
        <f>IF(ISERROR(IF(BF26="","",VLOOKUP(($BC26&amp;BF26&amp;"Template de desconto FLAT bundle - Fixo - Varejo - Ganho Tributário Cross"),BENEFICIOS!$A:$G,5,0))),"Criar",IF(BF26="","",VLOOKUP(($BC26&amp;BF26&amp;"Template de desconto FLAT bundle - Fixo - Varejo - Ganho Tributário Cross"),BENEFICIOS!$A:$G,5,0)))</f>
        <v/>
      </c>
      <c r="BH26" s="8"/>
      <c r="BI26" s="3" t="str">
        <f>IF(BH26=0,"",IF(BH26=VLOOKUP("PCS-OzTL40",ARBOR!$A:$C,3,0),0.0001,IF(BH26&gt;VLOOKUP("PCS-OzTL40",ARBOR!$A:$C,3,0),"Maior que CAP!",IF((DOLLAR(BH26+(VLOOKUP("PCS-OzTL40",ARBOR!$A:$C,3,0)*-TRUNC(BH26/VLOOKUP("PCS-OzTL40",ARBOR!$A:$C,3,0)-1,4)),6))&lt;&gt;(DOLLAR(VLOOKUP("PCS-OzTL40",ARBOR!$A:$C,3,0),6)),-TRUNC(BH26/VLOOKUP("PCS-OzTL40",ARBOR!$A:$C,3,0)-1,4)+0.0001,-TRUNC(BH26/VLOOKUP("PCS-OzTL40",ARBOR!$A:$C,3,0)-1,4)))))</f>
        <v/>
      </c>
      <c r="BJ26" s="10" t="str">
        <f>IF(ISERROR(IF(BI26="","",VLOOKUP((BC26&amp;BI26&amp;"Template desconto FLAT Plano Principal Oi TV nível conta"),BENEFICIOS!$A:$G,5,0))),"Criar",IF(BI26="","",VLOOKUP((BC26&amp;BI26&amp;"Template desconto FLAT Plano Principal Oi TV nível conta"),BENEFICIOS!$A:$G,5,0)))</f>
        <v/>
      </c>
      <c r="BK26" s="8"/>
      <c r="BL26" s="3" t="str">
        <f>IF(BK26=0,"",IF(BK26=VLOOKUP("PCS-OzTL41",ARBOR!$A:$C,3,0),0.0001,IF(BK26&gt;VLOOKUP("PCS-OzTL41",ARBOR!$A:$C,3,0),"Maior que CAP!",IF((DOLLAR(BK26+(VLOOKUP("PCS-OzTL41",ARBOR!$A:$C,3,0)*-TRUNC(BK26/VLOOKUP("PCS-OzTL41",ARBOR!$A:$C,3,0)-1,4)),6))&lt;&gt;(DOLLAR(VLOOKUP("PCS-OzTL41",ARBOR!$A:$C,3,0),6)),-TRUNC(BK26/VLOOKUP("PCS-OzTL41",ARBOR!$A:$C,3,0)-1,4)+0.0001,-TRUNC(BK26/VLOOKUP("PCS-OzTL41",ARBOR!$A:$C,3,0)-1,4)))))</f>
        <v/>
      </c>
      <c r="BM26" s="28" t="str">
        <f>IF(ISERROR(IF(BL26="","",VLOOKUP((BC26&amp;BL26&amp;"Template desconto FLAT Plano Principal Oi TV nível conta"),BENEFICIOS!$A:$G,5,0))),"Criar",IF(BL26="","",VLOOKUP((BC26&amp;BL26&amp;"Template desconto FLAT Plano Principal Oi TV nível conta"),BENEFICIOS!$A:$G,5,0)))</f>
        <v/>
      </c>
      <c r="BN26" s="8"/>
      <c r="BO26" s="3" t="str">
        <f>IF(BN26=0,"",IF(BN26=VLOOKUP("PCS-OzTL44",ARBOR!$A:$C,3,0),0.0001,IF(BN26&gt;VLOOKUP("PCS-OzTL44",ARBOR!$A:$C,3,0),"Maior que CAP!",IF((DOLLAR(BN26+(VLOOKUP("PCS-OzTL44",ARBOR!$A:$C,3,0)*-TRUNC(BN26/VLOOKUP("PCS-OzTL44",ARBOR!$A:$C,3,0)-1,4)),6))&lt;&gt;(DOLLAR(VLOOKUP("PCS-OzTL44",ARBOR!$A:$C,3,0),6)),-TRUNC(BN26/VLOOKUP("PCS-OzTL44",ARBOR!$A:$C,3,0)-1,4)+0.0001,-TRUNC(BN26/VLOOKUP("PCS-OzTL44",ARBOR!$A:$C,3,0)-1,4)))))</f>
        <v/>
      </c>
      <c r="BP26" s="28" t="str">
        <f>IF(ISERROR(IF(BO26="","",VLOOKUP((BC26&amp;BO26&amp;"Template desconto FLAT Plano Principal Oi TV nível conta"),BENEFICIOS!$A:$G,5,0))),"Criar",IF(BO26="","",VLOOKUP((BC26&amp;BO26&amp;"Template desconto FLAT Plano Principal Oi TV nível conta"),BENEFICIOS!$A:$G,5,0)))</f>
        <v/>
      </c>
      <c r="BQ26" s="8"/>
      <c r="BR26" s="3" t="str">
        <f>IF(BQ26=0,"",IF(BQ26=VLOOKUP("PCS-OzTL43",ARBOR!$A:$C,3,0),0.0001,IF(BQ26&gt;VLOOKUP("PCS-OzTL43",ARBOR!$A:$C,3,0),"Maior que CAP!",IF((DOLLAR(BQ26+(VLOOKUP("PCS-OzTL43",ARBOR!$A:$C,3,0)*-TRUNC(BQ26/VLOOKUP("PCS-OzTL43",ARBOR!$A:$C,3,0)-1,4)),6))&lt;&gt;(DOLLAR(VLOOKUP("PCS-OzTL43",ARBOR!$A:$C,3,0),6)),-TRUNC(BQ26/VLOOKUP("PCS-OzTL43",ARBOR!$A:$C,3,0)-1,4)+0.0001,-TRUNC(BQ26/VLOOKUP("PCS-OzTL43",ARBOR!$A:$C,3,0)-1,4)))))</f>
        <v/>
      </c>
      <c r="BS26" s="28" t="str">
        <f>IF(ISERROR(IF(BR26="","",VLOOKUP((BC26&amp;BR26&amp;"Template desconto FLAT Plano Principal Oi TV nível conta"),BENEFICIOS!$A:$G,5,0))),"Criar",IF(BR26="","",VLOOKUP((BC26&amp;BR26&amp;"Template desconto FLAT Plano Principal Oi TV nível conta"),BENEFICIOS!$A:$G,5,0)))</f>
        <v/>
      </c>
      <c r="BT26" s="8"/>
      <c r="BU26" s="3" t="str">
        <f>IF(BT26=0,"",IF(BT26=VLOOKUP("PCS-OzTL45",ARBOR!$A:$C,3,0),0.0001,IF(BT26&gt;VLOOKUP("PCS-OzTL45",ARBOR!$A:$C,3,0),"Maior que CAP!",IF((DOLLAR(BT26+(VLOOKUP("PCS-OzTL45",ARBOR!$A:$C,3,0)*-TRUNC(BT26/VLOOKUP("PCS-OzTL45",ARBOR!$A:$C,3,0)-1,4)),6))&lt;&gt;(DOLLAR(VLOOKUP("PCS-OzTL45",ARBOR!$A:$C,3,0),6)),-TRUNC(BT26/VLOOKUP("PCS-OzTL45",ARBOR!$A:$C,3,0)-1,4)+0.0001,-TRUNC(BT26/VLOOKUP("PCS-OzTL45",ARBOR!$A:$C,3,0)-1,4)))))</f>
        <v/>
      </c>
      <c r="BV26" s="28" t="str">
        <f>IF(ISERROR(IF(BU26="","",VLOOKUP((BC26&amp;BU26&amp;"Template desconto FLAT Plano Principal Oi TV nível conta"),BENEFICIOS!$A:$G,5,0))),"Criar",IF(BU26="","",VLOOKUP((BC26&amp;BU26&amp;"Template desconto FLAT Plano Principal Oi TV nível conta"),BENEFICIOS!$A:$G,5,0)))</f>
        <v/>
      </c>
      <c r="BW26" s="8"/>
      <c r="BX26" s="3" t="str">
        <f>IF(BW26=0,"",IF(BW26=VLOOKUP("PCS-OzTL741",ARBOR!$A:$C,3,0),0.0001,IF(BW26&gt;VLOOKUP("PCS-OzTL741",ARBOR!$A:$C,3,0),"Maior que CAP!",IF((DOLLAR(BW26+(VLOOKUP("PCS-OzTL741",ARBOR!$A:$C,3,0)*-TRUNC(BW26/VLOOKUP("PCS-OzTL741",ARBOR!$A:$C,3,0)-1,4)),6))&lt;&gt;(DOLLAR(VLOOKUP("PCS-OzTL741",ARBOR!$A:$C,3,0),6)),-TRUNC(BW26/VLOOKUP("PCS-OzTL741",ARBOR!$A:$C,3,0)-1,4)+0.0001,-TRUNC(BW26/VLOOKUP("PCS-OzTL741",ARBOR!$A:$C,3,0)-1,4)))))</f>
        <v/>
      </c>
      <c r="BY26" s="28" t="str">
        <f>IF(ISERROR(IF(BX26="","",VLOOKUP((BC26&amp;BX26&amp;"Template desconto FLAT Plano Principal Oi TV nível conta"),BENEFICIOS!$A:$G,5,0))),"Criar",IF(BX26="","",VLOOKUP((BC26&amp;BX26&amp;"Template desconto FLAT Plano Principal Oi TV nível conta"),BENEFICIOS!$A:$G,5,0)))</f>
        <v/>
      </c>
      <c r="BZ26" s="8"/>
      <c r="CA26" s="3" t="str">
        <f>IF(BZ26=0,"",IF(BZ26=VLOOKUP("PCS-OzTL744",ARBOR!$A:$C,3,0),0.0001,IF(BZ26&gt;VLOOKUP("PCS-OzTL744",ARBOR!$A:$C,3,0),"Maior que CAP!",IF((DOLLAR(BZ26+(VLOOKUP("PCS-OzTL744",ARBOR!$A:$C,3,0)*-TRUNC(BZ26/VLOOKUP("PCS-OzTL744",ARBOR!$A:$C,3,0)-1,4)),6))&lt;&gt;(DOLLAR(VLOOKUP("PCS-OzTL744",ARBOR!$A:$C,3,0),6)),-TRUNC(BZ26/VLOOKUP("PCS-OzTL744",ARBOR!$A:$C,3,0)-1,4)+0.0001,-TRUNC(BZ26/VLOOKUP("PCS-OzTL744",ARBOR!$A:$C,3,0)-1,4)))))</f>
        <v/>
      </c>
      <c r="CB26" s="28" t="str">
        <f>IF(ISERROR(IF(CA26="","",VLOOKUP(($BC26&amp;CA26&amp;"Template desconto FLAT Plano Principal Oi TV nível conta"),BENEFICIOS!$A:$G,5,0))),"Criar",IF(CA26="","",VLOOKUP(($BC26&amp;CA26&amp;"Template desconto FLAT Plano Principal Oi TV nível conta"),BENEFICIOS!$A:$G,5,0)))</f>
        <v/>
      </c>
      <c r="CC26" s="8"/>
      <c r="CD26" s="3" t="str">
        <f>IF(CC26=0,"",IF(CC26=VLOOKUP("PCS-OzTL743",ARBOR!$A:$C,3,0),0.0001,IF(CC26&gt;VLOOKUP("PCS-OzTL743",ARBOR!$A:$C,3,0),"Maior que CAP!",IF((DOLLAR(CC26+(VLOOKUP("PCS-OzTL743",ARBOR!$A:$C,3,0)*-TRUNC(CC26/VLOOKUP("PCS-OzTL743",ARBOR!$A:$C,3,0)-1,4)),6))&lt;&gt;(DOLLAR(VLOOKUP("PCS-OzTL743",ARBOR!$A:$C,3,0),6)),-TRUNC(CC26/VLOOKUP("PCS-OzTL743",ARBOR!$A:$C,3,0)-1,4)+0.0001,-TRUNC(CC26/VLOOKUP("PCS-OzTL743",ARBOR!$A:$C,3,0)-1,4)))))</f>
        <v/>
      </c>
      <c r="CE26" s="28" t="str">
        <f>IF(ISERROR(IF(CD26="","",VLOOKUP(($BC26&amp;CD26&amp;"Template desconto FLAT Plano Principal Oi TV nível conta"),BENEFICIOS!$A:$G,5,0))),"Criar",IF(CD26="","",VLOOKUP(($BC26&amp;CD26&amp;"Template desconto FLAT Plano Principal Oi TV nível conta"),BENEFICIOS!$A:$G,5,0)))</f>
        <v/>
      </c>
      <c r="CF26" s="8"/>
      <c r="CG26" s="3" t="str">
        <f>IF(CF26=0,"",IF(CF26=VLOOKUP("PCS-OzTL745",ARBOR!$A:$C,3,0),0.0001,IF(CF26&gt;VLOOKUP("PCS-OzTL745",ARBOR!$A:$C,3,0),"Maior que CAP!",IF((DOLLAR(CF26+(VLOOKUP("PCS-OzTL745",ARBOR!$A:$C,3,0)*-TRUNC(CF26/VLOOKUP("PCS-OzTL745",ARBOR!$A:$C,3,0)-1,4)),6))&lt;&gt;(DOLLAR(VLOOKUP("PCS-OzTL745",ARBOR!$A:$C,3,0),6)),-TRUNC(CF26/VLOOKUP("PCS-OzTL745",ARBOR!$A:$C,3,0)-1,4)+0.0001,-TRUNC(CF26/VLOOKUP("PCS-OzTL745",ARBOR!$A:$C,3,0)-1,4)))))</f>
        <v/>
      </c>
      <c r="CH26" s="28" t="str">
        <f>IF(ISERROR(IF(CG26="","",VLOOKUP(($BC26&amp;CG26&amp;"Template desconto FLAT Plano Principal Oi TV nível conta"),BENEFICIOS!$A:$G,5,0))),"Criar",IF(CG26="","",VLOOKUP(($BC26&amp;CG26&amp;"Template desconto FLAT Plano Principal Oi TV nível conta"),BENEFICIOS!$A:$G,5,0)))</f>
        <v/>
      </c>
      <c r="CI26" s="8"/>
      <c r="CJ26" s="3" t="str">
        <f>IF(CI26=0,"",IF(CI26=VLOOKUP("PCS-OzTL42",ARBOR!$A:$C,3,0),0.0001,IF(CI26&gt;VLOOKUP("PCS-OzTL42",ARBOR!$A:$C,3,0),"Maior que CAP!",IF((DOLLAR(CI26+(VLOOKUP("PCS-OzTL42",ARBOR!$A:$C,3,0)*-TRUNC(CI26/VLOOKUP("PCS-OzTL42",ARBOR!$A:$C,3,0)-1,4)),6))&lt;&gt;(DOLLAR(VLOOKUP("PCS-OzTL42",ARBOR!$A:$C,3,0),6)),-TRUNC(CI26/VLOOKUP("PCS-OzTL42",ARBOR!$A:$C,3,0)-1,4)+0.0001,-TRUNC(CI26/VLOOKUP("PCS-OzTL42",ARBOR!$A:$C,3,0)-1,4)))))</f>
        <v/>
      </c>
      <c r="CK26" s="28" t="str">
        <f>IF(ISERROR(IF(CJ26="","",VLOOKUP(($BC26&amp;CJ26&amp;"Template desconto FLAT Plano Principal Oi TV nível conta"),BENEFICIOS!$A:$G,5,0))),"Criar",IF(CJ26="","",VLOOKUP(($BC26&amp;CJ26&amp;"Template desconto FLAT Plano Principal Oi TV nível conta"),BENEFICIOS!$A:$G,5,0)))</f>
        <v/>
      </c>
      <c r="CL26" s="8"/>
      <c r="CM26" s="3" t="str">
        <f>IF(CL26=0,"",IF(CL26=VLOOKUP("PCS-OzTL47",ARBOR!$A:$C,3,0),0.0001,IF(CL26&gt;VLOOKUP("PCS-OzTL47",ARBOR!$A:$C,3,0),"Maior que CAP!",IF((DOLLAR(CL26+(VLOOKUP("PCS-OzTL47",ARBOR!$A:$C,3,0)*-TRUNC(CL26/VLOOKUP("PCS-OzTL47",ARBOR!$A:$C,3,0)-1,4)),6))&lt;&gt;(DOLLAR(VLOOKUP("PCS-OzTL47",ARBOR!$A:$C,3,0),6)),-TRUNC(CL26/VLOOKUP("PCS-OzTL47",ARBOR!$A:$C,3,0)-1,4)+0.0001,-TRUNC(CL26/VLOOKUP("PCS-OzTL47",ARBOR!$A:$C,3,0)-1,4)))))</f>
        <v/>
      </c>
      <c r="CN26" s="28" t="str">
        <f>IF(ISERROR(IF(CM26="","",VLOOKUP(($BC26&amp;CM26&amp;"Template desconto FLAT Plano Principal Oi TV nível conta"),BENEFICIOS!$A:$G,5,0))),"Criar",IF(CM26="","",VLOOKUP(($BC26&amp;CM26&amp;"Template desconto FLAT Plano Principal Oi TV nível conta"),BENEFICIOS!$A:$G,5,0)))</f>
        <v/>
      </c>
      <c r="CO26" s="8"/>
      <c r="CP26" s="3" t="str">
        <f>IF(CO26=0,"",IF(CO26=VLOOKUP("PCS-OzTL46",ARBOR!$A:$C,3,0),0.0001,IF(CO26&gt;VLOOKUP("PCS-OzTL46",ARBOR!$A:$C,3,0),"Maior que CAP!",IF((DOLLAR(CO26+(VLOOKUP("PCS-OzTL46",ARBOR!$A:$C,3,0)*-TRUNC(CO26/VLOOKUP("PCS-OzTL46",ARBOR!$A:$C,3,0)-1,4)),6))&lt;&gt;(DOLLAR(VLOOKUP("PCS-OzTL46",ARBOR!$A:$C,3,0),6)),-TRUNC(CO26/VLOOKUP("PCS-OzTL46",ARBOR!$A:$C,3,0)-1,4)+0.0001,-TRUNC(CO26/VLOOKUP("PCS-OzTL46",ARBOR!$A:$C,3,0)-1,4)))))</f>
        <v/>
      </c>
      <c r="CQ26" s="28" t="str">
        <f>IF(ISERROR(IF(CP26="","",VLOOKUP(($BC26&amp;CP26&amp;"Template desconto FLAT Plano Principal Oi TV nível conta"),BENEFICIOS!$A:$G,5,0))),"Criar",IF(CP26="","",VLOOKUP(($BC26&amp;CP26&amp;"Template desconto FLAT Plano Principal Oi TV nível conta"),BENEFICIOS!$A:$G,5,0)))</f>
        <v/>
      </c>
      <c r="CR26" s="8"/>
      <c r="CS26" s="3" t="str">
        <f>IF(CR26=0,"",IF(CR26=VLOOKUP("PCS-OzTL48",ARBOR!$A:$C,3,0),0.0001,IF(CR26&gt;VLOOKUP("PCS-OzTL48",ARBOR!$A:$C,3,0),"Maior que CAP!",IF((DOLLAR(CR26+(VLOOKUP("PCS-OzTL48",ARBOR!$A:$C,3,0)*-TRUNC(CR26/VLOOKUP("PCS-OzTL48",ARBOR!$A:$C,3,0)-1,4)),6))&lt;&gt;(DOLLAR(VLOOKUP("PCS-OzTL48",ARBOR!$A:$C,3,0),6)),-TRUNC(CR26/VLOOKUP("PCS-OzTL48",ARBOR!$A:$C,3,0)-1,4)+0.0001,-TRUNC(CR26/VLOOKUP("PCS-OzTL48",ARBOR!$A:$C,3,0)-1,4)))))</f>
        <v/>
      </c>
      <c r="CT26" s="28" t="str">
        <f>IF(ISERROR(IF(CS26="","",VLOOKUP(($BC26&amp;CS26&amp;"Template desconto FLAT Plano Principal Oi TV nível conta"),BENEFICIOS!$A:$G,5,0))),"Criar",IF(CS26="","",VLOOKUP(($BC26&amp;CS26&amp;"Template desconto FLAT Plano Principal Oi TV nível conta"),BENEFICIOS!$A:$G,5,0)))</f>
        <v/>
      </c>
      <c r="CU26" s="8"/>
      <c r="CV26" s="3" t="str">
        <f>IF(CU26=0,"",IF(CU26=VLOOKUP("PCS-OzTL742",ARBOR!$A:$C,3,0),0.0001,IF(CU26&gt;VLOOKUP("PCS-OzTL742",ARBOR!$A:$C,3,0),"Maior que CAP!",IF((DOLLAR(CU26+(VLOOKUP("PCS-OzTL742",ARBOR!$A:$C,3,0)*-TRUNC(CU26/VLOOKUP("PCS-OzTL742",ARBOR!$A:$C,3,0)-1,4)),6))&lt;&gt;(DOLLAR(VLOOKUP("PCS-OzTL742",ARBOR!$A:$C,3,0),6)),-TRUNC(CU26/VLOOKUP("PCS-OzTL742",ARBOR!$A:$C,3,0)-1,4)+0.0001,-TRUNC(CU26/VLOOKUP("PCS-OzTL742",ARBOR!$A:$C,3,0)-1,4)))))</f>
        <v/>
      </c>
      <c r="CW26" s="28" t="str">
        <f>IF(ISERROR(IF(CV26="","",VLOOKUP(($BC26&amp;CV26&amp;"Template desconto FLAT Plano Principal Oi TV nível conta"),BENEFICIOS!$A:$G,5,0))),"Criar",IF(CV26="","",VLOOKUP(($BC26&amp;CV26&amp;"Template desconto FLAT Plano Principal Oi TV nível conta"),BENEFICIOS!$A:$G,5,0)))</f>
        <v/>
      </c>
      <c r="CX26" s="8"/>
      <c r="CY26" s="3" t="str">
        <f>IF(CX26=0,"",IF(CX26=VLOOKUP("PCS-OzTL747",ARBOR!$A:$C,3,0),0.0001,IF(CX26&gt;VLOOKUP("PCS-OzTL747",ARBOR!$A:$C,3,0),"Maior que CAP!",IF((DOLLAR(CX26+(VLOOKUP("PCS-OzTL747",ARBOR!$A:$C,3,0)*-TRUNC(CX26/VLOOKUP("PCS-OzTL747",ARBOR!$A:$C,3,0)-1,4)),6))&lt;&gt;(DOLLAR(VLOOKUP("PCS-OzTL747",ARBOR!$A:$C,3,0),6)),-TRUNC(CX26/VLOOKUP("PCS-OzTL747",ARBOR!$A:$C,3,0)-1,4)+0.0001,-TRUNC(CX26/VLOOKUP("PCS-OzTL747",ARBOR!$A:$C,3,0)-1,4)))))</f>
        <v/>
      </c>
      <c r="CZ26" s="28" t="str">
        <f>IF(ISERROR(IF(CY26="","",VLOOKUP(($BC26&amp;CY26&amp;"Template desconto FLAT Plano Principal Oi TV nível conta"),BENEFICIOS!$A:$G,5,0))),"Criar",IF(CY26="","",VLOOKUP(($BC26&amp;CY26&amp;"Template desconto FLAT Plano Principal Oi TV nível conta"),BENEFICIOS!$A:$G,5,0)))</f>
        <v/>
      </c>
      <c r="DA26" s="8"/>
      <c r="DB26" s="3" t="str">
        <f>IF(DA26=0,"",IF(DA26=VLOOKUP("PCS-OzTL746",ARBOR!$A:$C,3,0),0.0001,IF(DA26&gt;VLOOKUP("PCS-OzTL746",ARBOR!$A:$C,3,0),"Maior que CAP!",IF((DOLLAR(DA26+(VLOOKUP("PCS-OzTL746",ARBOR!$A:$C,3,0)*-TRUNC(DA26/VLOOKUP("PCS-OzTL746",ARBOR!$A:$C,3,0)-1,4)),6))&lt;&gt;(DOLLAR(VLOOKUP("PCS-OzTL746",ARBOR!$A:$C,3,0),6)),-TRUNC(DA26/VLOOKUP("PCS-OzTL746",ARBOR!$A:$C,3,0)-1,4)+0.0001,-TRUNC(DA26/VLOOKUP("PCS-OzTL746",ARBOR!$A:$C,3,0)-1,4)))))</f>
        <v/>
      </c>
      <c r="DC26" s="28" t="str">
        <f>IF(ISERROR(IF(DB26="","",VLOOKUP(($BC26&amp;DB26&amp;"Template desconto FLAT Plano Principal Oi TV nível conta"),BENEFICIOS!$A:$G,5,0))),"Criar",IF(DB26="","",VLOOKUP(($BC26&amp;DB26&amp;"Template desconto FLAT Plano Principal Oi TV nível conta"),BENEFICIOS!$A:$G,5,0)))</f>
        <v/>
      </c>
      <c r="DD26" s="8"/>
      <c r="DE26" s="3" t="str">
        <f>IF(DD26=0,"",IF(DD26=VLOOKUP("PCS-OzTL748",ARBOR!$A:$C,3,0),0.0001,IF(DD26&gt;VLOOKUP("PCS-OzTL748",ARBOR!$A:$C,3,0),"Maior que CAP!",IF((DOLLAR(DD26+(VLOOKUP("PCS-OzTL748",ARBOR!$A:$C,3,0)*-TRUNC(DD26/VLOOKUP("PCS-OzTL748",ARBOR!$A:$C,3,0)-1,4)),6))&lt;&gt;(DOLLAR(VLOOKUP("PCS-OzTL748",ARBOR!$A:$C,3,0),6)),-TRUNC(DD26/VLOOKUP("PCS-OzTL748",ARBOR!$A:$C,3,0)-1,4)+0.0001,-TRUNC(DD26/VLOOKUP("PCS-OzTL748",ARBOR!$A:$C,3,0)-1,4)))))</f>
        <v/>
      </c>
      <c r="DF26" s="28" t="str">
        <f>IF(ISERROR(IF(DE26="","",VLOOKUP(($BC26&amp;DE26&amp;"Template desconto FLAT Plano Principal Oi TV nível conta"),BENEFICIOS!$A:$G,5,0))),"Criar",IF(DE26="","",VLOOKUP(($BC26&amp;DE26&amp;"Template desconto FLAT Plano Principal Oi TV nível conta"),BENEFICIOS!$A:$G,5,0)))</f>
        <v/>
      </c>
      <c r="DG26" s="8"/>
      <c r="DH26" s="3" t="str">
        <f>IF(DG26=0,"",IF(DG26=VLOOKUP("PCS-OzTL34",ARBOR!$A:$C,3,0),0.0001,IF(DG26&gt;VLOOKUP("PCS-OzTL34",ARBOR!$A:$C,3,0),"Maior que CAP!",IF((DOLLAR(DG26+(VLOOKUP("PCS-OzTL34",ARBOR!$A:$C,3,0)*-TRUNC(DG26/VLOOKUP("PCS-OzTL34",ARBOR!$A:$C,3,0)-1,4)),6))&lt;&gt;(DOLLAR(VLOOKUP("PCS-OzTL34",ARBOR!$A:$C,3,0),6)),-TRUNC(DG26/VLOOKUP("PCS-OzTL34",ARBOR!$A:$C,3,0)-1,4)+0.0001,-TRUNC(DG26/VLOOKUP("PCS-OzTL34",ARBOR!$A:$C,3,0)-1,4)))))</f>
        <v/>
      </c>
      <c r="DI26" s="28" t="str">
        <f>IF(DH26="S/Desc","S/Desc",IF(ISERROR(IF(DH26="","",VLOOKUP(($BC26&amp;DH26&amp;"Template desconto % Combate nível conta"),BENEFICIOS!$A:$G,5,0))),"Criar",IF(DH26="","",VLOOKUP(($BC26&amp;DH26&amp;"Template desconto % Combate nível conta"),BENEFICIOS!$A:$G,5,0))))</f>
        <v/>
      </c>
      <c r="DJ26" s="8"/>
      <c r="DK26" s="3" t="str">
        <f>IF(DJ26=0,"",IF(DJ26=VLOOKUP("PCS-OzTL31",ARBOR!$A:$C,3,0),0.0001,IF(DJ26&gt;VLOOKUP("PCS-OzTL31",ARBOR!$A:$C,3,0),"Maior que CAP!",IF((DOLLAR(DJ26+(VLOOKUP("PCS-OzTL31",ARBOR!$A:$C,3,0)*-TRUNC(DJ26/VLOOKUP("PCS-OzTL31",ARBOR!$A:$C,3,0)-1,4)),6))&lt;&gt;(DOLLAR(VLOOKUP("PCS-OzTL31",ARBOR!$A:$C,3,0),6)),-TRUNC(DJ26/VLOOKUP("PCS-OzTL31",ARBOR!$A:$C,3,0)-1,4)+0.0001,-TRUNC(DJ26/VLOOKUP("PCS-OzTL31",ARBOR!$A:$C,3,0)-1,4)))))</f>
        <v/>
      </c>
      <c r="DL26" s="28" t="str">
        <f>IF(DK26="S/Desc","S/Desc",IF(ISERROR(IF(DK26="","",VLOOKUP(($BC26&amp;DK26&amp;"Template desconto % Sexy Hot nível conta"),BENEFICIOS!$A:$G,5,0))),"Criar",IF(DK26="","",VLOOKUP(($BC26&amp;DK26&amp;"Template desconto % Sexy Hot nível conta"),BENEFICIOS!$A:$G,5,0))))</f>
        <v/>
      </c>
      <c r="DM26" s="8"/>
      <c r="DN26" s="3" t="str">
        <f>IF(DM26=0,"",IF(DM26=VLOOKUP("PCS-OzTL32",ARBOR!$A:$C,3,0),0.0001,IF(DM26&gt;VLOOKUP("PCS-OzTL32",ARBOR!$A:$C,3,0),"Maior que CAP!",IF((DOLLAR(DM26+(VLOOKUP("PCS-OzTL32",ARBOR!$A:$C,3,0)*-TRUNC(DM26/VLOOKUP("PCS-OzTL32",ARBOR!$A:$C,3,0)-1,4)),6))&lt;&gt;(DOLLAR(VLOOKUP("PCS-OzTL32",ARBOR!$A:$C,3,0),6)),-TRUNC(DM26/VLOOKUP("PCS-OzTL32",ARBOR!$A:$C,3,0)-1,4)+0.0001,-TRUNC(DM26/VLOOKUP("PCS-OzTL32",ARBOR!$A:$C,3,0)-1,4)))))</f>
        <v/>
      </c>
      <c r="DO26" s="28" t="str">
        <f>IF(DN26="S/Desc","S/Desc",IF(ISERROR(IF(DN26="","",VLOOKUP(($BC26&amp;DN26&amp;"Template desconto % Playboy nível conta"),BENEFICIOS!$A:$G,5,0))),"Criar",IF(DN26="","",VLOOKUP(($BC26&amp;DN26&amp;"Template desconto % Playboy nível conta"),BENEFICIOS!$A:$G,5,0))))</f>
        <v/>
      </c>
      <c r="DP26" s="8"/>
      <c r="DQ26" s="3" t="str">
        <f>IF(DP26=0,"",IF(DP26=VLOOKUP("PCS-OzTL33",ARBOR!$A:$C,3,0),0.0001,IF(DP26&gt;VLOOKUP("PCS-OzTL33",ARBOR!$A:$C,3,0),"Maior que CAP!",IF((DOLLAR(DP26+(VLOOKUP("PCS-OzTL33",ARBOR!$A:$C,3,0)*-TRUNC(DP26/VLOOKUP("PCS-OzTL33",ARBOR!$A:$C,3,0)-1,4)),6))&lt;&gt;(DOLLAR(VLOOKUP("PCS-OzTL33",ARBOR!$A:$C,3,0),6)),-TRUNC(DP26/VLOOKUP("PCS-OzTL33",ARBOR!$A:$C,3,0)-1,4)+0.0001,-TRUNC(DP26/VLOOKUP("PCS-OzTL33",ARBOR!$A:$C,3,0)-1,4)))))</f>
        <v/>
      </c>
      <c r="DR26" s="28" t="str">
        <f>IF(DQ26="S/Desc","S/Desc",IF(ISERROR(IF(DQ26="","",VLOOKUP(($BC26&amp;DQ26&amp;"Template desconto % Sexy Hot + Playboy nível conta"),BENEFICIOS!$A:$G,5,0))),"Criar",IF(DQ26="","",VLOOKUP(($BC26&amp;DQ26&amp;"Template desconto % Sexy Hot + Playboy nível conta"),BENEFICIOS!$A:$G,5,0))))</f>
        <v/>
      </c>
      <c r="DS26" s="8"/>
      <c r="DT26" s="3" t="str">
        <f>IF(DS26=0,"",IF(DS26=VLOOKUP("PCS-OzTL503",ARBOR!$A:$C,3,0),0.0001,IF(DS26&gt;VLOOKUP("PCS-OzTL503",ARBOR!$A:$C,3,0),"Maior que CAP!",IF((DOLLAR(DS26+(VLOOKUP("PCS-OzTL503",ARBOR!$A:$C,3,0)*-TRUNC(DS26/VLOOKUP("PCS-OzTL503",ARBOR!$A:$C,3,0)-1,4)),6))&lt;&gt;(DOLLAR(VLOOKUP("PCS-OzTL503",ARBOR!$A:$C,3,0),6)),-TRUNC(DS26/VLOOKUP("PCS-OzTL503",ARBOR!$A:$C,3,0)-1,4)+0.0001,-TRUNC(DS26/VLOOKUP("PCS-OzTL503",ARBOR!$A:$C,3,0)-1,4)))))</f>
        <v/>
      </c>
      <c r="DU26" s="28" t="str">
        <f>IF(DT26="S/Desc","S/Desc",IF(ISERROR(IF(DT26="","",VLOOKUP(($BC26&amp;DT26&amp;"Template desconto % SexPrivê nível conta"),BENEFICIOS!$A:$G,5,0))),"Criar",IF(DT26="","",VLOOKUP(($BC26&amp;DT26&amp;"Template desconto % SexPrivê nível conta"),BENEFICIOS!$A:$G,5,0))))</f>
        <v/>
      </c>
      <c r="DV26" s="8"/>
      <c r="DW26" s="3" t="str">
        <f>IF(DV26=0,"",IF(DV26=VLOOKUP("PCS-OzTL500",ARBOR!$A:$C,3,0),0.0001,IF(DV26&gt;VLOOKUP("PCS-OzTL500",ARBOR!$A:$C,3,0),"Maior que CAP!",IF((DOLLAR(DV26+(VLOOKUP("PCS-OzTL500",ARBOR!$A:$C,3,0)*-TRUNC(DV26/VLOOKUP("PCS-OzTL500",ARBOR!$A:$C,3,0)-1,4)),6))&lt;&gt;(DOLLAR(VLOOKUP("PCS-OzTL500",ARBOR!$A:$C,3,0),6)),-TRUNC(DV26/VLOOKUP("PCS-OzTL500",ARBOR!$A:$C,3,0)-1,4)+0.0001,-TRUNC(DV26/VLOOKUP("PCS-OzTL500",ARBOR!$A:$C,3,0)-1,4)))))</f>
        <v/>
      </c>
      <c r="DX26" s="28" t="str">
        <f>IF(DW26="S/Desc","S/Desc",IF(ISERROR(IF(DW26="","",VLOOKUP(($BC26&amp;DW26&amp;"Template desconto % Étnico nível conta"),BENEFICIOS!$A:$G,5,0))),"Criar",IF(DW26="","",VLOOKUP(($BC26&amp;DW26&amp;"Template desconto % Étnico nível conta"),BENEFICIOS!$A:$G,5,0))))</f>
        <v/>
      </c>
      <c r="DY26" s="8"/>
      <c r="DZ26" s="181" t="str">
        <f>IF(DY26=0,"",IF(DY26=VLOOKUP("PCS-OzTL50",ARBOR!$A:$C,3,0),0.0001,IF(DY26&gt;VLOOKUP("PCS-OzTL50",ARBOR!$A:$C,3,0),"Maior que CAP!",IF((DOLLAR(DY26+(VLOOKUP("PCS-OzTL50",ARBOR!$A:$C,3,0)*-TRUNC(DY26/VLOOKUP("PCS-OzTL50",ARBOR!$A:$C,3,0)-1,4)),6))&lt;&gt;(DOLLAR(VLOOKUP("PCS-OzTL50",ARBOR!$A:$C,3,0),6)),-TRUNC(DY26/VLOOKUP("PCS-OzTL50",ARBOR!$A:$C,3,0)-1,4)+0.0001,-TRUNC(DY26/VLOOKUP("PCS-OzTL50",ARBOR!$A:$C,3,0)-1,4)))))</f>
        <v/>
      </c>
      <c r="EA26" s="28"/>
      <c r="EB26" s="8"/>
      <c r="EC26" s="181" t="str">
        <f>IF(EB26=0,"",IF(EB26=VLOOKUP("PCS-OzTL51",ARBOR!$A:$C,3,0),0.0001,IF(EB26&gt;VLOOKUP("PCS-OzTL51",ARBOR!$A:$C,3,0),"Maior que CAP!",IF((DOLLAR(EB26+(VLOOKUP("PCS-OzTL51",ARBOR!$A:$C,3,0)*-TRUNC(EB26/VLOOKUP("PCS-OzTL51",ARBOR!$A:$C,3,0)-1,4)),6))&lt;&gt;(DOLLAR(VLOOKUP("PCS-OzTL51",ARBOR!$A:$C,3,0),6)),-TRUNC(EB26/VLOOKUP("PCS-OzTL51",ARBOR!$A:$C,3,0)-1,4)+0.0001,-TRUNC(EB26/VLOOKUP("PCS-OzTL51",ARBOR!$A:$C,3,0)-1,4)))))</f>
        <v/>
      </c>
      <c r="ED26" s="28"/>
      <c r="EE26" s="8"/>
      <c r="EF26" s="181" t="str">
        <f>IF(EE26=0,"",IF(EE26=VLOOKUP("PCS-OzTL52",ARBOR!$A:$C,3,0),0.0001,IF(EE26&gt;VLOOKUP("PCS-OzTL52",ARBOR!$A:$C,3,0),"Maior que CAP!",IF((DOLLAR(EE26+(VLOOKUP("PCS-OzTL52",ARBOR!$A:$C,3,0)*-TRUNC(EE26/VLOOKUP("PCS-OzTL52",ARBOR!$A:$C,3,0)-1,4)),6))&lt;&gt;(DOLLAR(VLOOKUP("PCS-OzTL52",ARBOR!$A:$C,3,0),6)),-TRUNC(EE26/VLOOKUP("PCS-OzTL52",ARBOR!$A:$C,3,0)-1,4)+0.0001,-TRUNC(EE26/VLOOKUP("PCS-OzTL52",ARBOR!$A:$C,3,0)-1,4)))))</f>
        <v/>
      </c>
      <c r="EG26" s="28"/>
      <c r="EH26" s="8"/>
      <c r="EI26" s="181" t="str">
        <f>IF(EH26=0,"",IF(EH26=VLOOKUP("PCS-OzTL53",ARBOR!$A:$C,3,0),0.0001,IF(EH26&gt;VLOOKUP("PCS-OzTL53",ARBOR!$A:$C,3,0),"Maior que CAP!",IF((DOLLAR(EH26+(VLOOKUP("PCS-OzTL53",ARBOR!$A:$C,3,0)*-TRUNC(EH26/VLOOKUP("PCS-OzTL53",ARBOR!$A:$C,3,0)-1,4)),6))&lt;&gt;(DOLLAR(VLOOKUP("PCS-OzTL53",ARBOR!$A:$C,3,0),6)),-TRUNC(EH26/VLOOKUP("PCS-OzTL53",ARBOR!$A:$C,3,0)-1,4)+0.0001,-TRUNC(EH26/VLOOKUP("PCS-OzTL53",ARBOR!$A:$C,3,0)-1,4)))))</f>
        <v/>
      </c>
      <c r="EJ26" s="28"/>
      <c r="EK26" s="8"/>
      <c r="EL26" s="181" t="str">
        <f>IF(EK26=0,"",IF(EK26=VLOOKUP("PCS-OzTL54",ARBOR!$A:$C,3,0),0.0001,IF(EK26&gt;VLOOKUP("PCS-OzTL54",ARBOR!$A:$C,3,0),"Maior que CAP!",IF((DOLLAR(EK26+(VLOOKUP("PCS-OzTL54",ARBOR!$A:$C,3,0)*-TRUNC(EK26/VLOOKUP("PCS-OzTL54",ARBOR!$A:$C,3,0)-1,4)),6))&lt;&gt;(DOLLAR(VLOOKUP("PCS-OzTL54",ARBOR!$A:$C,3,0),6)),-TRUNC(EK26/VLOOKUP("PCS-OzTL54",ARBOR!$A:$C,3,0)-1,4)+0.0001,-TRUNC(EK26/VLOOKUP("PCS-OzTL54",ARBOR!$A:$C,3,0)-1,4)))))</f>
        <v/>
      </c>
      <c r="EM26" s="28"/>
      <c r="EN26" s="8"/>
      <c r="EO26" s="3" t="str">
        <f>IF(EN26=0,"",IF(EN26=VLOOKUP("PCS-OzTL99",ARBOR!$A:$C,3,0),0.0001,IF(EN26&gt;VLOOKUP("PCS-OzTL99",ARBOR!$A:$C,3,0),"Maior que CAP!",IF((DOLLAR(EN26+(VLOOKUP("PCS-OzTL99",ARBOR!$A:$C,3,0)*-TRUNC(EN26/VLOOKUP("PCS-OzTL99",ARBOR!$A:$C,3,0)-1,4)),6))&lt;&gt;(DOLLAR(VLOOKUP("PCS-OzTL99",ARBOR!$A:$C,3,0),6)),-TRUNC(EN26/VLOOKUP("PCS-OzTL99",ARBOR!$A:$C,3,0)-1,4)+0.0001,-TRUNC(EN26/VLOOKUP("PCS-OzTL99",ARBOR!$A:$C,3,0)-1,4)))))</f>
        <v/>
      </c>
      <c r="EP26" s="28" t="str">
        <f>IF(EO26="S/Desc","S/Desc",IF(ISERROR(IF(EO26="","",VLOOKUP(($BC26&amp;EO26&amp;"Template desconto % Ponto adicional nível conta"),BENEFICIOS!$A:$G,5,0))),"Criar",IF(EO26="","",VLOOKUP(($BC26&amp;EO26&amp;"Template desconto % Ponto adicional nível conta"),BENEFICIOS!$A:$G,5,0))))</f>
        <v/>
      </c>
      <c r="EQ26" s="8"/>
      <c r="ER26" s="28" t="str">
        <f t="shared" si="23"/>
        <v/>
      </c>
      <c r="ES26" s="62"/>
      <c r="ET26" s="126"/>
      <c r="EU26" s="127"/>
      <c r="EV26" s="126"/>
      <c r="EW26" s="128" t="str">
        <f t="shared" si="24"/>
        <v/>
      </c>
      <c r="EX26" s="129" t="str">
        <f t="shared" si="25"/>
        <v/>
      </c>
      <c r="EY26" s="91" t="str">
        <f t="shared" si="26"/>
        <v/>
      </c>
      <c r="EZ26" s="85"/>
      <c r="FA26" s="97"/>
      <c r="FB26" s="91"/>
      <c r="FC26" s="85"/>
      <c r="FD26" s="97"/>
      <c r="FE26" s="91"/>
      <c r="FF26" s="87"/>
      <c r="FG26" s="144" t="str">
        <f t="shared" si="5"/>
        <v/>
      </c>
      <c r="FH26" s="144" t="str">
        <f t="shared" si="6"/>
        <v/>
      </c>
      <c r="FI26" s="144" t="str">
        <f t="shared" si="7"/>
        <v/>
      </c>
      <c r="FJ26" s="144" t="str">
        <f t="shared" si="8"/>
        <v/>
      </c>
      <c r="FK26" s="144" t="str">
        <f t="shared" si="9"/>
        <v/>
      </c>
      <c r="FL26" s="144" t="str">
        <f t="shared" si="10"/>
        <v/>
      </c>
      <c r="FM26" s="144" t="str">
        <f t="shared" si="11"/>
        <v/>
      </c>
      <c r="FN26" s="144" t="str">
        <f t="shared" si="12"/>
        <v/>
      </c>
      <c r="FO26" s="144" t="str">
        <f t="shared" si="13"/>
        <v/>
      </c>
      <c r="FP26" s="144" t="str">
        <f t="shared" si="14"/>
        <v/>
      </c>
      <c r="FQ26" s="144" t="str">
        <f t="shared" si="15"/>
        <v/>
      </c>
      <c r="FR26" s="144" t="str">
        <f t="shared" si="16"/>
        <v/>
      </c>
      <c r="FS26" s="144" t="str">
        <f t="shared" si="17"/>
        <v/>
      </c>
      <c r="FT26" s="144" t="str">
        <f t="shared" si="18"/>
        <v/>
      </c>
      <c r="FU26" s="144" t="str">
        <f t="shared" si="19"/>
        <v/>
      </c>
      <c r="FV26" s="144" t="str">
        <f t="shared" si="20"/>
        <v/>
      </c>
      <c r="FW26" s="144" t="str">
        <f t="shared" si="21"/>
        <v/>
      </c>
      <c r="FX26" s="151"/>
      <c r="FY26" s="152"/>
      <c r="FZ26" s="152"/>
      <c r="GA26" s="152"/>
      <c r="GB26" s="152"/>
      <c r="GC26" s="152"/>
      <c r="GD26" s="152"/>
      <c r="GE26" s="152"/>
      <c r="GF26" s="152"/>
      <c r="GG26" s="153"/>
    </row>
    <row r="27" spans="1:189">
      <c r="A27" s="45"/>
      <c r="B27" s="133"/>
      <c r="C27" s="133"/>
      <c r="D27" s="46"/>
      <c r="E27" s="47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9"/>
      <c r="U27" s="48"/>
      <c r="V27" s="49"/>
      <c r="W27" s="48"/>
      <c r="X27" s="48"/>
      <c r="Y27" s="48"/>
      <c r="Z27" s="48"/>
      <c r="AA27" s="49"/>
      <c r="AB27" s="48"/>
      <c r="AC27" s="50"/>
      <c r="AD27" s="48"/>
      <c r="AE27" s="48"/>
      <c r="AF27" s="48"/>
      <c r="AG27" s="48"/>
      <c r="AH27" s="48"/>
      <c r="AI27" s="48"/>
      <c r="AJ27" s="48"/>
      <c r="AK27" s="48"/>
      <c r="AL27" s="51"/>
      <c r="AM27" s="37"/>
      <c r="AN27" s="38"/>
      <c r="AO27" s="39"/>
      <c r="AP27" s="52"/>
      <c r="AQ27" s="53"/>
      <c r="AR27" s="64"/>
      <c r="AS27" s="65"/>
      <c r="AT27" s="54"/>
      <c r="AU27" s="54"/>
      <c r="AV27" s="54"/>
      <c r="AW27" s="54"/>
      <c r="AX27" s="70"/>
      <c r="AY27" s="71"/>
      <c r="AZ27" s="72"/>
      <c r="BA27" s="73"/>
      <c r="BB27" s="55"/>
      <c r="BC27" s="56"/>
      <c r="BD27" s="27" t="str">
        <f t="shared" si="22"/>
        <v/>
      </c>
      <c r="BE27" s="58"/>
      <c r="BF27" s="3" t="str">
        <f>IF(BE27=0,"",IF(BE27=VLOOKUP("FIXO",ARBOR!$A:$C,3,0),0.0001,IF(BE27&gt;VLOOKUP("FIXO",ARBOR!$A:$C,3,0),"Maior que CAP!",IF((DOLLAR(BE27+(VLOOKUP("FIXO",ARBOR!$A:$C,3,0)*-TRUNC(BE27/VLOOKUP("FIXO",ARBOR!$A:$C,3,0)-1,4)),6))&lt;&gt;(DOLLAR(VLOOKUP("FIXO",ARBOR!$A:$C,3,0),6)),-TRUNC(BE27/VLOOKUP("FIXO",ARBOR!$A:$C,3,0)-1,4)+0.0001,-TRUNC(BE27/VLOOKUP("FIXO",ARBOR!$A:$C,3,0)-1,4)))))</f>
        <v/>
      </c>
      <c r="BG27" s="10" t="str">
        <f>IF(ISERROR(IF(BF27="","",VLOOKUP(($BC27&amp;BF27&amp;"Template de desconto FLAT bundle - Fixo - Varejo - Ganho Tributário Cross"),BENEFICIOS!$A:$G,5,0))),"Criar",IF(BF27="","",VLOOKUP(($BC27&amp;BF27&amp;"Template de desconto FLAT bundle - Fixo - Varejo - Ganho Tributário Cross"),BENEFICIOS!$A:$G,5,0)))</f>
        <v/>
      </c>
      <c r="BH27" s="8"/>
      <c r="BI27" s="3" t="str">
        <f>IF(BH27=0,"",IF(BH27=VLOOKUP("PCS-OzTL40",ARBOR!$A:$C,3,0),0.0001,IF(BH27&gt;VLOOKUP("PCS-OzTL40",ARBOR!$A:$C,3,0),"Maior que CAP!",IF((DOLLAR(BH27+(VLOOKUP("PCS-OzTL40",ARBOR!$A:$C,3,0)*-TRUNC(BH27/VLOOKUP("PCS-OzTL40",ARBOR!$A:$C,3,0)-1,4)),6))&lt;&gt;(DOLLAR(VLOOKUP("PCS-OzTL40",ARBOR!$A:$C,3,0),6)),-TRUNC(BH27/VLOOKUP("PCS-OzTL40",ARBOR!$A:$C,3,0)-1,4)+0.0001,-TRUNC(BH27/VLOOKUP("PCS-OzTL40",ARBOR!$A:$C,3,0)-1,4)))))</f>
        <v/>
      </c>
      <c r="BJ27" s="10" t="str">
        <f>IF(ISERROR(IF(BI27="","",VLOOKUP((BC27&amp;BI27&amp;"Template desconto FLAT Plano Principal Oi TV nível conta"),BENEFICIOS!$A:$G,5,0))),"Criar",IF(BI27="","",VLOOKUP((BC27&amp;BI27&amp;"Template desconto FLAT Plano Principal Oi TV nível conta"),BENEFICIOS!$A:$G,5,0)))</f>
        <v/>
      </c>
      <c r="BK27" s="8"/>
      <c r="BL27" s="3" t="str">
        <f>IF(BK27=0,"",IF(BK27=VLOOKUP("PCS-OzTL41",ARBOR!$A:$C,3,0),0.0001,IF(BK27&gt;VLOOKUP("PCS-OzTL41",ARBOR!$A:$C,3,0),"Maior que CAP!",IF((DOLLAR(BK27+(VLOOKUP("PCS-OzTL41",ARBOR!$A:$C,3,0)*-TRUNC(BK27/VLOOKUP("PCS-OzTL41",ARBOR!$A:$C,3,0)-1,4)),6))&lt;&gt;(DOLLAR(VLOOKUP("PCS-OzTL41",ARBOR!$A:$C,3,0),6)),-TRUNC(BK27/VLOOKUP("PCS-OzTL41",ARBOR!$A:$C,3,0)-1,4)+0.0001,-TRUNC(BK27/VLOOKUP("PCS-OzTL41",ARBOR!$A:$C,3,0)-1,4)))))</f>
        <v/>
      </c>
      <c r="BM27" s="28" t="str">
        <f>IF(ISERROR(IF(BL27="","",VLOOKUP((BC27&amp;BL27&amp;"Template desconto FLAT Plano Principal Oi TV nível conta"),BENEFICIOS!$A:$G,5,0))),"Criar",IF(BL27="","",VLOOKUP((BC27&amp;BL27&amp;"Template desconto FLAT Plano Principal Oi TV nível conta"),BENEFICIOS!$A:$G,5,0)))</f>
        <v/>
      </c>
      <c r="BN27" s="8"/>
      <c r="BO27" s="3" t="str">
        <f>IF(BN27=0,"",IF(BN27=VLOOKUP("PCS-OzTL44",ARBOR!$A:$C,3,0),0.0001,IF(BN27&gt;VLOOKUP("PCS-OzTL44",ARBOR!$A:$C,3,0),"Maior que CAP!",IF((DOLLAR(BN27+(VLOOKUP("PCS-OzTL44",ARBOR!$A:$C,3,0)*-TRUNC(BN27/VLOOKUP("PCS-OzTL44",ARBOR!$A:$C,3,0)-1,4)),6))&lt;&gt;(DOLLAR(VLOOKUP("PCS-OzTL44",ARBOR!$A:$C,3,0),6)),-TRUNC(BN27/VLOOKUP("PCS-OzTL44",ARBOR!$A:$C,3,0)-1,4)+0.0001,-TRUNC(BN27/VLOOKUP("PCS-OzTL44",ARBOR!$A:$C,3,0)-1,4)))))</f>
        <v/>
      </c>
      <c r="BP27" s="28" t="str">
        <f>IF(ISERROR(IF(BO27="","",VLOOKUP((BC27&amp;BO27&amp;"Template desconto FLAT Plano Principal Oi TV nível conta"),BENEFICIOS!$A:$G,5,0))),"Criar",IF(BO27="","",VLOOKUP((BC27&amp;BO27&amp;"Template desconto FLAT Plano Principal Oi TV nível conta"),BENEFICIOS!$A:$G,5,0)))</f>
        <v/>
      </c>
      <c r="BQ27" s="8"/>
      <c r="BR27" s="3" t="str">
        <f>IF(BQ27=0,"",IF(BQ27=VLOOKUP("PCS-OzTL43",ARBOR!$A:$C,3,0),0.0001,IF(BQ27&gt;VLOOKUP("PCS-OzTL43",ARBOR!$A:$C,3,0),"Maior que CAP!",IF((DOLLAR(BQ27+(VLOOKUP("PCS-OzTL43",ARBOR!$A:$C,3,0)*-TRUNC(BQ27/VLOOKUP("PCS-OzTL43",ARBOR!$A:$C,3,0)-1,4)),6))&lt;&gt;(DOLLAR(VLOOKUP("PCS-OzTL43",ARBOR!$A:$C,3,0),6)),-TRUNC(BQ27/VLOOKUP("PCS-OzTL43",ARBOR!$A:$C,3,0)-1,4)+0.0001,-TRUNC(BQ27/VLOOKUP("PCS-OzTL43",ARBOR!$A:$C,3,0)-1,4)))))</f>
        <v/>
      </c>
      <c r="BS27" s="28" t="str">
        <f>IF(ISERROR(IF(BR27="","",VLOOKUP((BC27&amp;BR27&amp;"Template desconto FLAT Plano Principal Oi TV nível conta"),BENEFICIOS!$A:$G,5,0))),"Criar",IF(BR27="","",VLOOKUP((BC27&amp;BR27&amp;"Template desconto FLAT Plano Principal Oi TV nível conta"),BENEFICIOS!$A:$G,5,0)))</f>
        <v/>
      </c>
      <c r="BT27" s="8"/>
      <c r="BU27" s="3" t="str">
        <f>IF(BT27=0,"",IF(BT27=VLOOKUP("PCS-OzTL45",ARBOR!$A:$C,3,0),0.0001,IF(BT27&gt;VLOOKUP("PCS-OzTL45",ARBOR!$A:$C,3,0),"Maior que CAP!",IF((DOLLAR(BT27+(VLOOKUP("PCS-OzTL45",ARBOR!$A:$C,3,0)*-TRUNC(BT27/VLOOKUP("PCS-OzTL45",ARBOR!$A:$C,3,0)-1,4)),6))&lt;&gt;(DOLLAR(VLOOKUP("PCS-OzTL45",ARBOR!$A:$C,3,0),6)),-TRUNC(BT27/VLOOKUP("PCS-OzTL45",ARBOR!$A:$C,3,0)-1,4)+0.0001,-TRUNC(BT27/VLOOKUP("PCS-OzTL45",ARBOR!$A:$C,3,0)-1,4)))))</f>
        <v/>
      </c>
      <c r="BV27" s="28" t="str">
        <f>IF(ISERROR(IF(BU27="","",VLOOKUP((BC27&amp;BU27&amp;"Template desconto FLAT Plano Principal Oi TV nível conta"),BENEFICIOS!$A:$G,5,0))),"Criar",IF(BU27="","",VLOOKUP((BC27&amp;BU27&amp;"Template desconto FLAT Plano Principal Oi TV nível conta"),BENEFICIOS!$A:$G,5,0)))</f>
        <v/>
      </c>
      <c r="BW27" s="8"/>
      <c r="BX27" s="3" t="str">
        <f>IF(BW27=0,"",IF(BW27=VLOOKUP("PCS-OzTL741",ARBOR!$A:$C,3,0),0.0001,IF(BW27&gt;VLOOKUP("PCS-OzTL741",ARBOR!$A:$C,3,0),"Maior que CAP!",IF((DOLLAR(BW27+(VLOOKUP("PCS-OzTL741",ARBOR!$A:$C,3,0)*-TRUNC(BW27/VLOOKUP("PCS-OzTL741",ARBOR!$A:$C,3,0)-1,4)),6))&lt;&gt;(DOLLAR(VLOOKUP("PCS-OzTL741",ARBOR!$A:$C,3,0),6)),-TRUNC(BW27/VLOOKUP("PCS-OzTL741",ARBOR!$A:$C,3,0)-1,4)+0.0001,-TRUNC(BW27/VLOOKUP("PCS-OzTL741",ARBOR!$A:$C,3,0)-1,4)))))</f>
        <v/>
      </c>
      <c r="BY27" s="28" t="str">
        <f>IF(ISERROR(IF(BX27="","",VLOOKUP((BC27&amp;BX27&amp;"Template desconto FLAT Plano Principal Oi TV nível conta"),BENEFICIOS!$A:$G,5,0))),"Criar",IF(BX27="","",VLOOKUP((BC27&amp;BX27&amp;"Template desconto FLAT Plano Principal Oi TV nível conta"),BENEFICIOS!$A:$G,5,0)))</f>
        <v/>
      </c>
      <c r="BZ27" s="8"/>
      <c r="CA27" s="3" t="str">
        <f>IF(BZ27=0,"",IF(BZ27=VLOOKUP("PCS-OzTL744",ARBOR!$A:$C,3,0),0.0001,IF(BZ27&gt;VLOOKUP("PCS-OzTL744",ARBOR!$A:$C,3,0),"Maior que CAP!",IF((DOLLAR(BZ27+(VLOOKUP("PCS-OzTL744",ARBOR!$A:$C,3,0)*-TRUNC(BZ27/VLOOKUP("PCS-OzTL744",ARBOR!$A:$C,3,0)-1,4)),6))&lt;&gt;(DOLLAR(VLOOKUP("PCS-OzTL744",ARBOR!$A:$C,3,0),6)),-TRUNC(BZ27/VLOOKUP("PCS-OzTL744",ARBOR!$A:$C,3,0)-1,4)+0.0001,-TRUNC(BZ27/VLOOKUP("PCS-OzTL744",ARBOR!$A:$C,3,0)-1,4)))))</f>
        <v/>
      </c>
      <c r="CB27" s="28" t="str">
        <f>IF(ISERROR(IF(CA27="","",VLOOKUP(($BC27&amp;CA27&amp;"Template desconto FLAT Plano Principal Oi TV nível conta"),BENEFICIOS!$A:$G,5,0))),"Criar",IF(CA27="","",VLOOKUP(($BC27&amp;CA27&amp;"Template desconto FLAT Plano Principal Oi TV nível conta"),BENEFICIOS!$A:$G,5,0)))</f>
        <v/>
      </c>
      <c r="CC27" s="8"/>
      <c r="CD27" s="3" t="str">
        <f>IF(CC27=0,"",IF(CC27=VLOOKUP("PCS-OzTL743",ARBOR!$A:$C,3,0),0.0001,IF(CC27&gt;VLOOKUP("PCS-OzTL743",ARBOR!$A:$C,3,0),"Maior que CAP!",IF((DOLLAR(CC27+(VLOOKUP("PCS-OzTL743",ARBOR!$A:$C,3,0)*-TRUNC(CC27/VLOOKUP("PCS-OzTL743",ARBOR!$A:$C,3,0)-1,4)),6))&lt;&gt;(DOLLAR(VLOOKUP("PCS-OzTL743",ARBOR!$A:$C,3,0),6)),-TRUNC(CC27/VLOOKUP("PCS-OzTL743",ARBOR!$A:$C,3,0)-1,4)+0.0001,-TRUNC(CC27/VLOOKUP("PCS-OzTL743",ARBOR!$A:$C,3,0)-1,4)))))</f>
        <v/>
      </c>
      <c r="CE27" s="28" t="str">
        <f>IF(ISERROR(IF(CD27="","",VLOOKUP(($BC27&amp;CD27&amp;"Template desconto FLAT Plano Principal Oi TV nível conta"),BENEFICIOS!$A:$G,5,0))),"Criar",IF(CD27="","",VLOOKUP(($BC27&amp;CD27&amp;"Template desconto FLAT Plano Principal Oi TV nível conta"),BENEFICIOS!$A:$G,5,0)))</f>
        <v/>
      </c>
      <c r="CF27" s="8"/>
      <c r="CG27" s="3" t="str">
        <f>IF(CF27=0,"",IF(CF27=VLOOKUP("PCS-OzTL745",ARBOR!$A:$C,3,0),0.0001,IF(CF27&gt;VLOOKUP("PCS-OzTL745",ARBOR!$A:$C,3,0),"Maior que CAP!",IF((DOLLAR(CF27+(VLOOKUP("PCS-OzTL745",ARBOR!$A:$C,3,0)*-TRUNC(CF27/VLOOKUP("PCS-OzTL745",ARBOR!$A:$C,3,0)-1,4)),6))&lt;&gt;(DOLLAR(VLOOKUP("PCS-OzTL745",ARBOR!$A:$C,3,0),6)),-TRUNC(CF27/VLOOKUP("PCS-OzTL745",ARBOR!$A:$C,3,0)-1,4)+0.0001,-TRUNC(CF27/VLOOKUP("PCS-OzTL745",ARBOR!$A:$C,3,0)-1,4)))))</f>
        <v/>
      </c>
      <c r="CH27" s="28" t="str">
        <f>IF(ISERROR(IF(CG27="","",VLOOKUP(($BC27&amp;CG27&amp;"Template desconto FLAT Plano Principal Oi TV nível conta"),BENEFICIOS!$A:$G,5,0))),"Criar",IF(CG27="","",VLOOKUP(($BC27&amp;CG27&amp;"Template desconto FLAT Plano Principal Oi TV nível conta"),BENEFICIOS!$A:$G,5,0)))</f>
        <v/>
      </c>
      <c r="CI27" s="8"/>
      <c r="CJ27" s="3" t="str">
        <f>IF(CI27=0,"",IF(CI27=VLOOKUP("PCS-OzTL42",ARBOR!$A:$C,3,0),0.0001,IF(CI27&gt;VLOOKUP("PCS-OzTL42",ARBOR!$A:$C,3,0),"Maior que CAP!",IF((DOLLAR(CI27+(VLOOKUP("PCS-OzTL42",ARBOR!$A:$C,3,0)*-TRUNC(CI27/VLOOKUP("PCS-OzTL42",ARBOR!$A:$C,3,0)-1,4)),6))&lt;&gt;(DOLLAR(VLOOKUP("PCS-OzTL42",ARBOR!$A:$C,3,0),6)),-TRUNC(CI27/VLOOKUP("PCS-OzTL42",ARBOR!$A:$C,3,0)-1,4)+0.0001,-TRUNC(CI27/VLOOKUP("PCS-OzTL42",ARBOR!$A:$C,3,0)-1,4)))))</f>
        <v/>
      </c>
      <c r="CK27" s="28" t="str">
        <f>IF(ISERROR(IF(CJ27="","",VLOOKUP(($BC27&amp;CJ27&amp;"Template desconto FLAT Plano Principal Oi TV nível conta"),BENEFICIOS!$A:$G,5,0))),"Criar",IF(CJ27="","",VLOOKUP(($BC27&amp;CJ27&amp;"Template desconto FLAT Plano Principal Oi TV nível conta"),BENEFICIOS!$A:$G,5,0)))</f>
        <v/>
      </c>
      <c r="CL27" s="8"/>
      <c r="CM27" s="3" t="str">
        <f>IF(CL27=0,"",IF(CL27=VLOOKUP("PCS-OzTL47",ARBOR!$A:$C,3,0),0.0001,IF(CL27&gt;VLOOKUP("PCS-OzTL47",ARBOR!$A:$C,3,0),"Maior que CAP!",IF((DOLLAR(CL27+(VLOOKUP("PCS-OzTL47",ARBOR!$A:$C,3,0)*-TRUNC(CL27/VLOOKUP("PCS-OzTL47",ARBOR!$A:$C,3,0)-1,4)),6))&lt;&gt;(DOLLAR(VLOOKUP("PCS-OzTL47",ARBOR!$A:$C,3,0),6)),-TRUNC(CL27/VLOOKUP("PCS-OzTL47",ARBOR!$A:$C,3,0)-1,4)+0.0001,-TRUNC(CL27/VLOOKUP("PCS-OzTL47",ARBOR!$A:$C,3,0)-1,4)))))</f>
        <v/>
      </c>
      <c r="CN27" s="28" t="str">
        <f>IF(ISERROR(IF(CM27="","",VLOOKUP(($BC27&amp;CM27&amp;"Template desconto FLAT Plano Principal Oi TV nível conta"),BENEFICIOS!$A:$G,5,0))),"Criar",IF(CM27="","",VLOOKUP(($BC27&amp;CM27&amp;"Template desconto FLAT Plano Principal Oi TV nível conta"),BENEFICIOS!$A:$G,5,0)))</f>
        <v/>
      </c>
      <c r="CO27" s="8"/>
      <c r="CP27" s="3" t="str">
        <f>IF(CO27=0,"",IF(CO27=VLOOKUP("PCS-OzTL46",ARBOR!$A:$C,3,0),0.0001,IF(CO27&gt;VLOOKUP("PCS-OzTL46",ARBOR!$A:$C,3,0),"Maior que CAP!",IF((DOLLAR(CO27+(VLOOKUP("PCS-OzTL46",ARBOR!$A:$C,3,0)*-TRUNC(CO27/VLOOKUP("PCS-OzTL46",ARBOR!$A:$C,3,0)-1,4)),6))&lt;&gt;(DOLLAR(VLOOKUP("PCS-OzTL46",ARBOR!$A:$C,3,0),6)),-TRUNC(CO27/VLOOKUP("PCS-OzTL46",ARBOR!$A:$C,3,0)-1,4)+0.0001,-TRUNC(CO27/VLOOKUP("PCS-OzTL46",ARBOR!$A:$C,3,0)-1,4)))))</f>
        <v/>
      </c>
      <c r="CQ27" s="28" t="str">
        <f>IF(ISERROR(IF(CP27="","",VLOOKUP(($BC27&amp;CP27&amp;"Template desconto FLAT Plano Principal Oi TV nível conta"),BENEFICIOS!$A:$G,5,0))),"Criar",IF(CP27="","",VLOOKUP(($BC27&amp;CP27&amp;"Template desconto FLAT Plano Principal Oi TV nível conta"),BENEFICIOS!$A:$G,5,0)))</f>
        <v/>
      </c>
      <c r="CR27" s="8"/>
      <c r="CS27" s="3" t="str">
        <f>IF(CR27=0,"",IF(CR27=VLOOKUP("PCS-OzTL48",ARBOR!$A:$C,3,0),0.0001,IF(CR27&gt;VLOOKUP("PCS-OzTL48",ARBOR!$A:$C,3,0),"Maior que CAP!",IF((DOLLAR(CR27+(VLOOKUP("PCS-OzTL48",ARBOR!$A:$C,3,0)*-TRUNC(CR27/VLOOKUP("PCS-OzTL48",ARBOR!$A:$C,3,0)-1,4)),6))&lt;&gt;(DOLLAR(VLOOKUP("PCS-OzTL48",ARBOR!$A:$C,3,0),6)),-TRUNC(CR27/VLOOKUP("PCS-OzTL48",ARBOR!$A:$C,3,0)-1,4)+0.0001,-TRUNC(CR27/VLOOKUP("PCS-OzTL48",ARBOR!$A:$C,3,0)-1,4)))))</f>
        <v/>
      </c>
      <c r="CT27" s="28" t="str">
        <f>IF(ISERROR(IF(CS27="","",VLOOKUP(($BC27&amp;CS27&amp;"Template desconto FLAT Plano Principal Oi TV nível conta"),BENEFICIOS!$A:$G,5,0))),"Criar",IF(CS27="","",VLOOKUP(($BC27&amp;CS27&amp;"Template desconto FLAT Plano Principal Oi TV nível conta"),BENEFICIOS!$A:$G,5,0)))</f>
        <v/>
      </c>
      <c r="CU27" s="8"/>
      <c r="CV27" s="3" t="str">
        <f>IF(CU27=0,"",IF(CU27=VLOOKUP("PCS-OzTL742",ARBOR!$A:$C,3,0),0.0001,IF(CU27&gt;VLOOKUP("PCS-OzTL742",ARBOR!$A:$C,3,0),"Maior que CAP!",IF((DOLLAR(CU27+(VLOOKUP("PCS-OzTL742",ARBOR!$A:$C,3,0)*-TRUNC(CU27/VLOOKUP("PCS-OzTL742",ARBOR!$A:$C,3,0)-1,4)),6))&lt;&gt;(DOLLAR(VLOOKUP("PCS-OzTL742",ARBOR!$A:$C,3,0),6)),-TRUNC(CU27/VLOOKUP("PCS-OzTL742",ARBOR!$A:$C,3,0)-1,4)+0.0001,-TRUNC(CU27/VLOOKUP("PCS-OzTL742",ARBOR!$A:$C,3,0)-1,4)))))</f>
        <v/>
      </c>
      <c r="CW27" s="28" t="str">
        <f>IF(ISERROR(IF(CV27="","",VLOOKUP(($BC27&amp;CV27&amp;"Template desconto FLAT Plano Principal Oi TV nível conta"),BENEFICIOS!$A:$G,5,0))),"Criar",IF(CV27="","",VLOOKUP(($BC27&amp;CV27&amp;"Template desconto FLAT Plano Principal Oi TV nível conta"),BENEFICIOS!$A:$G,5,0)))</f>
        <v/>
      </c>
      <c r="CX27" s="8"/>
      <c r="CY27" s="3" t="str">
        <f>IF(CX27=0,"",IF(CX27=VLOOKUP("PCS-OzTL747",ARBOR!$A:$C,3,0),0.0001,IF(CX27&gt;VLOOKUP("PCS-OzTL747",ARBOR!$A:$C,3,0),"Maior que CAP!",IF((DOLLAR(CX27+(VLOOKUP("PCS-OzTL747",ARBOR!$A:$C,3,0)*-TRUNC(CX27/VLOOKUP("PCS-OzTL747",ARBOR!$A:$C,3,0)-1,4)),6))&lt;&gt;(DOLLAR(VLOOKUP("PCS-OzTL747",ARBOR!$A:$C,3,0),6)),-TRUNC(CX27/VLOOKUP("PCS-OzTL747",ARBOR!$A:$C,3,0)-1,4)+0.0001,-TRUNC(CX27/VLOOKUP("PCS-OzTL747",ARBOR!$A:$C,3,0)-1,4)))))</f>
        <v/>
      </c>
      <c r="CZ27" s="28" t="str">
        <f>IF(ISERROR(IF(CY27="","",VLOOKUP(($BC27&amp;CY27&amp;"Template desconto FLAT Plano Principal Oi TV nível conta"),BENEFICIOS!$A:$G,5,0))),"Criar",IF(CY27="","",VLOOKUP(($BC27&amp;CY27&amp;"Template desconto FLAT Plano Principal Oi TV nível conta"),BENEFICIOS!$A:$G,5,0)))</f>
        <v/>
      </c>
      <c r="DA27" s="8"/>
      <c r="DB27" s="3" t="str">
        <f>IF(DA27=0,"",IF(DA27=VLOOKUP("PCS-OzTL746",ARBOR!$A:$C,3,0),0.0001,IF(DA27&gt;VLOOKUP("PCS-OzTL746",ARBOR!$A:$C,3,0),"Maior que CAP!",IF((DOLLAR(DA27+(VLOOKUP("PCS-OzTL746",ARBOR!$A:$C,3,0)*-TRUNC(DA27/VLOOKUP("PCS-OzTL746",ARBOR!$A:$C,3,0)-1,4)),6))&lt;&gt;(DOLLAR(VLOOKUP("PCS-OzTL746",ARBOR!$A:$C,3,0),6)),-TRUNC(DA27/VLOOKUP("PCS-OzTL746",ARBOR!$A:$C,3,0)-1,4)+0.0001,-TRUNC(DA27/VLOOKUP("PCS-OzTL746",ARBOR!$A:$C,3,0)-1,4)))))</f>
        <v/>
      </c>
      <c r="DC27" s="28" t="str">
        <f>IF(ISERROR(IF(DB27="","",VLOOKUP(($BC27&amp;DB27&amp;"Template desconto FLAT Plano Principal Oi TV nível conta"),BENEFICIOS!$A:$G,5,0))),"Criar",IF(DB27="","",VLOOKUP(($BC27&amp;DB27&amp;"Template desconto FLAT Plano Principal Oi TV nível conta"),BENEFICIOS!$A:$G,5,0)))</f>
        <v/>
      </c>
      <c r="DD27" s="8"/>
      <c r="DE27" s="3" t="str">
        <f>IF(DD27=0,"",IF(DD27=VLOOKUP("PCS-OzTL748",ARBOR!$A:$C,3,0),0.0001,IF(DD27&gt;VLOOKUP("PCS-OzTL748",ARBOR!$A:$C,3,0),"Maior que CAP!",IF((DOLLAR(DD27+(VLOOKUP("PCS-OzTL748",ARBOR!$A:$C,3,0)*-TRUNC(DD27/VLOOKUP("PCS-OzTL748",ARBOR!$A:$C,3,0)-1,4)),6))&lt;&gt;(DOLLAR(VLOOKUP("PCS-OzTL748",ARBOR!$A:$C,3,0),6)),-TRUNC(DD27/VLOOKUP("PCS-OzTL748",ARBOR!$A:$C,3,0)-1,4)+0.0001,-TRUNC(DD27/VLOOKUP("PCS-OzTL748",ARBOR!$A:$C,3,0)-1,4)))))</f>
        <v/>
      </c>
      <c r="DF27" s="28" t="str">
        <f>IF(ISERROR(IF(DE27="","",VLOOKUP(($BC27&amp;DE27&amp;"Template desconto FLAT Plano Principal Oi TV nível conta"),BENEFICIOS!$A:$G,5,0))),"Criar",IF(DE27="","",VLOOKUP(($BC27&amp;DE27&amp;"Template desconto FLAT Plano Principal Oi TV nível conta"),BENEFICIOS!$A:$G,5,0)))</f>
        <v/>
      </c>
      <c r="DG27" s="8"/>
      <c r="DH27" s="3" t="str">
        <f>IF(DG27=0,"",IF(DG27=VLOOKUP("PCS-OzTL34",ARBOR!$A:$C,3,0),0.0001,IF(DG27&gt;VLOOKUP("PCS-OzTL34",ARBOR!$A:$C,3,0),"Maior que CAP!",IF((DOLLAR(DG27+(VLOOKUP("PCS-OzTL34",ARBOR!$A:$C,3,0)*-TRUNC(DG27/VLOOKUP("PCS-OzTL34",ARBOR!$A:$C,3,0)-1,4)),6))&lt;&gt;(DOLLAR(VLOOKUP("PCS-OzTL34",ARBOR!$A:$C,3,0),6)),-TRUNC(DG27/VLOOKUP("PCS-OzTL34",ARBOR!$A:$C,3,0)-1,4)+0.0001,-TRUNC(DG27/VLOOKUP("PCS-OzTL34",ARBOR!$A:$C,3,0)-1,4)))))</f>
        <v/>
      </c>
      <c r="DI27" s="28" t="str">
        <f>IF(DH27="S/Desc","S/Desc",IF(ISERROR(IF(DH27="","",VLOOKUP(($BC27&amp;DH27&amp;"Template desconto % Combate nível conta"),BENEFICIOS!$A:$G,5,0))),"Criar",IF(DH27="","",VLOOKUP(($BC27&amp;DH27&amp;"Template desconto % Combate nível conta"),BENEFICIOS!$A:$G,5,0))))</f>
        <v/>
      </c>
      <c r="DJ27" s="8"/>
      <c r="DK27" s="3" t="str">
        <f>IF(DJ27=0,"",IF(DJ27=VLOOKUP("PCS-OzTL31",ARBOR!$A:$C,3,0),0.0001,IF(DJ27&gt;VLOOKUP("PCS-OzTL31",ARBOR!$A:$C,3,0),"Maior que CAP!",IF((DOLLAR(DJ27+(VLOOKUP("PCS-OzTL31",ARBOR!$A:$C,3,0)*-TRUNC(DJ27/VLOOKUP("PCS-OzTL31",ARBOR!$A:$C,3,0)-1,4)),6))&lt;&gt;(DOLLAR(VLOOKUP("PCS-OzTL31",ARBOR!$A:$C,3,0),6)),-TRUNC(DJ27/VLOOKUP("PCS-OzTL31",ARBOR!$A:$C,3,0)-1,4)+0.0001,-TRUNC(DJ27/VLOOKUP("PCS-OzTL31",ARBOR!$A:$C,3,0)-1,4)))))</f>
        <v/>
      </c>
      <c r="DL27" s="28" t="str">
        <f>IF(DK27="S/Desc","S/Desc",IF(ISERROR(IF(DK27="","",VLOOKUP(($BC27&amp;DK27&amp;"Template desconto % Sexy Hot nível conta"),BENEFICIOS!$A:$G,5,0))),"Criar",IF(DK27="","",VLOOKUP(($BC27&amp;DK27&amp;"Template desconto % Sexy Hot nível conta"),BENEFICIOS!$A:$G,5,0))))</f>
        <v/>
      </c>
      <c r="DM27" s="8"/>
      <c r="DN27" s="3" t="str">
        <f>IF(DM27=0,"",IF(DM27=VLOOKUP("PCS-OzTL32",ARBOR!$A:$C,3,0),0.0001,IF(DM27&gt;VLOOKUP("PCS-OzTL32",ARBOR!$A:$C,3,0),"Maior que CAP!",IF((DOLLAR(DM27+(VLOOKUP("PCS-OzTL32",ARBOR!$A:$C,3,0)*-TRUNC(DM27/VLOOKUP("PCS-OzTL32",ARBOR!$A:$C,3,0)-1,4)),6))&lt;&gt;(DOLLAR(VLOOKUP("PCS-OzTL32",ARBOR!$A:$C,3,0),6)),-TRUNC(DM27/VLOOKUP("PCS-OzTL32",ARBOR!$A:$C,3,0)-1,4)+0.0001,-TRUNC(DM27/VLOOKUP("PCS-OzTL32",ARBOR!$A:$C,3,0)-1,4)))))</f>
        <v/>
      </c>
      <c r="DO27" s="28" t="str">
        <f>IF(DN27="S/Desc","S/Desc",IF(ISERROR(IF(DN27="","",VLOOKUP(($BC27&amp;DN27&amp;"Template desconto % Playboy nível conta"),BENEFICIOS!$A:$G,5,0))),"Criar",IF(DN27="","",VLOOKUP(($BC27&amp;DN27&amp;"Template desconto % Playboy nível conta"),BENEFICIOS!$A:$G,5,0))))</f>
        <v/>
      </c>
      <c r="DP27" s="8"/>
      <c r="DQ27" s="3" t="str">
        <f>IF(DP27=0,"",IF(DP27=VLOOKUP("PCS-OzTL33",ARBOR!$A:$C,3,0),0.0001,IF(DP27&gt;VLOOKUP("PCS-OzTL33",ARBOR!$A:$C,3,0),"Maior que CAP!",IF((DOLLAR(DP27+(VLOOKUP("PCS-OzTL33",ARBOR!$A:$C,3,0)*-TRUNC(DP27/VLOOKUP("PCS-OzTL33",ARBOR!$A:$C,3,0)-1,4)),6))&lt;&gt;(DOLLAR(VLOOKUP("PCS-OzTL33",ARBOR!$A:$C,3,0),6)),-TRUNC(DP27/VLOOKUP("PCS-OzTL33",ARBOR!$A:$C,3,0)-1,4)+0.0001,-TRUNC(DP27/VLOOKUP("PCS-OzTL33",ARBOR!$A:$C,3,0)-1,4)))))</f>
        <v/>
      </c>
      <c r="DR27" s="28" t="str">
        <f>IF(DQ27="S/Desc","S/Desc",IF(ISERROR(IF(DQ27="","",VLOOKUP(($BC27&amp;DQ27&amp;"Template desconto % Sexy Hot + Playboy nível conta"),BENEFICIOS!$A:$G,5,0))),"Criar",IF(DQ27="","",VLOOKUP(($BC27&amp;DQ27&amp;"Template desconto % Sexy Hot + Playboy nível conta"),BENEFICIOS!$A:$G,5,0))))</f>
        <v/>
      </c>
      <c r="DS27" s="8"/>
      <c r="DT27" s="3" t="str">
        <f>IF(DS27=0,"",IF(DS27=VLOOKUP("PCS-OzTL503",ARBOR!$A:$C,3,0),0.0001,IF(DS27&gt;VLOOKUP("PCS-OzTL503",ARBOR!$A:$C,3,0),"Maior que CAP!",IF((DOLLAR(DS27+(VLOOKUP("PCS-OzTL503",ARBOR!$A:$C,3,0)*-TRUNC(DS27/VLOOKUP("PCS-OzTL503",ARBOR!$A:$C,3,0)-1,4)),6))&lt;&gt;(DOLLAR(VLOOKUP("PCS-OzTL503",ARBOR!$A:$C,3,0),6)),-TRUNC(DS27/VLOOKUP("PCS-OzTL503",ARBOR!$A:$C,3,0)-1,4)+0.0001,-TRUNC(DS27/VLOOKUP("PCS-OzTL503",ARBOR!$A:$C,3,0)-1,4)))))</f>
        <v/>
      </c>
      <c r="DU27" s="28" t="str">
        <f>IF(DT27="S/Desc","S/Desc",IF(ISERROR(IF(DT27="","",VLOOKUP(($BC27&amp;DT27&amp;"Template desconto % SexPrivê nível conta"),BENEFICIOS!$A:$G,5,0))),"Criar",IF(DT27="","",VLOOKUP(($BC27&amp;DT27&amp;"Template desconto % SexPrivê nível conta"),BENEFICIOS!$A:$G,5,0))))</f>
        <v/>
      </c>
      <c r="DV27" s="8"/>
      <c r="DW27" s="3" t="str">
        <f>IF(DV27=0,"",IF(DV27=VLOOKUP("PCS-OzTL500",ARBOR!$A:$C,3,0),0.0001,IF(DV27&gt;VLOOKUP("PCS-OzTL500",ARBOR!$A:$C,3,0),"Maior que CAP!",IF((DOLLAR(DV27+(VLOOKUP("PCS-OzTL500",ARBOR!$A:$C,3,0)*-TRUNC(DV27/VLOOKUP("PCS-OzTL500",ARBOR!$A:$C,3,0)-1,4)),6))&lt;&gt;(DOLLAR(VLOOKUP("PCS-OzTL500",ARBOR!$A:$C,3,0),6)),-TRUNC(DV27/VLOOKUP("PCS-OzTL500",ARBOR!$A:$C,3,0)-1,4)+0.0001,-TRUNC(DV27/VLOOKUP("PCS-OzTL500",ARBOR!$A:$C,3,0)-1,4)))))</f>
        <v/>
      </c>
      <c r="DX27" s="28" t="str">
        <f>IF(DW27="S/Desc","S/Desc",IF(ISERROR(IF(DW27="","",VLOOKUP(($BC27&amp;DW27&amp;"Template desconto % Étnico nível conta"),BENEFICIOS!$A:$G,5,0))),"Criar",IF(DW27="","",VLOOKUP(($BC27&amp;DW27&amp;"Template desconto % Étnico nível conta"),BENEFICIOS!$A:$G,5,0))))</f>
        <v/>
      </c>
      <c r="DY27" s="8"/>
      <c r="DZ27" s="181" t="str">
        <f>IF(DY27=0,"",IF(DY27=VLOOKUP("PCS-OzTL50",ARBOR!$A:$C,3,0),0.0001,IF(DY27&gt;VLOOKUP("PCS-OzTL50",ARBOR!$A:$C,3,0),"Maior que CAP!",IF((DOLLAR(DY27+(VLOOKUP("PCS-OzTL50",ARBOR!$A:$C,3,0)*-TRUNC(DY27/VLOOKUP("PCS-OzTL50",ARBOR!$A:$C,3,0)-1,4)),6))&lt;&gt;(DOLLAR(VLOOKUP("PCS-OzTL50",ARBOR!$A:$C,3,0),6)),-TRUNC(DY27/VLOOKUP("PCS-OzTL50",ARBOR!$A:$C,3,0)-1,4)+0.0001,-TRUNC(DY27/VLOOKUP("PCS-OzTL50",ARBOR!$A:$C,3,0)-1,4)))))</f>
        <v/>
      </c>
      <c r="EA27" s="28"/>
      <c r="EB27" s="8"/>
      <c r="EC27" s="181" t="str">
        <f>IF(EB27=0,"",IF(EB27=VLOOKUP("PCS-OzTL51",ARBOR!$A:$C,3,0),0.0001,IF(EB27&gt;VLOOKUP("PCS-OzTL51",ARBOR!$A:$C,3,0),"Maior que CAP!",IF((DOLLAR(EB27+(VLOOKUP("PCS-OzTL51",ARBOR!$A:$C,3,0)*-TRUNC(EB27/VLOOKUP("PCS-OzTL51",ARBOR!$A:$C,3,0)-1,4)),6))&lt;&gt;(DOLLAR(VLOOKUP("PCS-OzTL51",ARBOR!$A:$C,3,0),6)),-TRUNC(EB27/VLOOKUP("PCS-OzTL51",ARBOR!$A:$C,3,0)-1,4)+0.0001,-TRUNC(EB27/VLOOKUP("PCS-OzTL51",ARBOR!$A:$C,3,0)-1,4)))))</f>
        <v/>
      </c>
      <c r="ED27" s="28"/>
      <c r="EE27" s="8"/>
      <c r="EF27" s="181" t="str">
        <f>IF(EE27=0,"",IF(EE27=VLOOKUP("PCS-OzTL52",ARBOR!$A:$C,3,0),0.0001,IF(EE27&gt;VLOOKUP("PCS-OzTL52",ARBOR!$A:$C,3,0),"Maior que CAP!",IF((DOLLAR(EE27+(VLOOKUP("PCS-OzTL52",ARBOR!$A:$C,3,0)*-TRUNC(EE27/VLOOKUP("PCS-OzTL52",ARBOR!$A:$C,3,0)-1,4)),6))&lt;&gt;(DOLLAR(VLOOKUP("PCS-OzTL52",ARBOR!$A:$C,3,0),6)),-TRUNC(EE27/VLOOKUP("PCS-OzTL52",ARBOR!$A:$C,3,0)-1,4)+0.0001,-TRUNC(EE27/VLOOKUP("PCS-OzTL52",ARBOR!$A:$C,3,0)-1,4)))))</f>
        <v/>
      </c>
      <c r="EG27" s="28"/>
      <c r="EH27" s="8"/>
      <c r="EI27" s="181" t="str">
        <f>IF(EH27=0,"",IF(EH27=VLOOKUP("PCS-OzTL53",ARBOR!$A:$C,3,0),0.0001,IF(EH27&gt;VLOOKUP("PCS-OzTL53",ARBOR!$A:$C,3,0),"Maior que CAP!",IF((DOLLAR(EH27+(VLOOKUP("PCS-OzTL53",ARBOR!$A:$C,3,0)*-TRUNC(EH27/VLOOKUP("PCS-OzTL53",ARBOR!$A:$C,3,0)-1,4)),6))&lt;&gt;(DOLLAR(VLOOKUP("PCS-OzTL53",ARBOR!$A:$C,3,0),6)),-TRUNC(EH27/VLOOKUP("PCS-OzTL53",ARBOR!$A:$C,3,0)-1,4)+0.0001,-TRUNC(EH27/VLOOKUP("PCS-OzTL53",ARBOR!$A:$C,3,0)-1,4)))))</f>
        <v/>
      </c>
      <c r="EJ27" s="28"/>
      <c r="EK27" s="8"/>
      <c r="EL27" s="181" t="str">
        <f>IF(EK27=0,"",IF(EK27=VLOOKUP("PCS-OzTL54",ARBOR!$A:$C,3,0),0.0001,IF(EK27&gt;VLOOKUP("PCS-OzTL54",ARBOR!$A:$C,3,0),"Maior que CAP!",IF((DOLLAR(EK27+(VLOOKUP("PCS-OzTL54",ARBOR!$A:$C,3,0)*-TRUNC(EK27/VLOOKUP("PCS-OzTL54",ARBOR!$A:$C,3,0)-1,4)),6))&lt;&gt;(DOLLAR(VLOOKUP("PCS-OzTL54",ARBOR!$A:$C,3,0),6)),-TRUNC(EK27/VLOOKUP("PCS-OzTL54",ARBOR!$A:$C,3,0)-1,4)+0.0001,-TRUNC(EK27/VLOOKUP("PCS-OzTL54",ARBOR!$A:$C,3,0)-1,4)))))</f>
        <v/>
      </c>
      <c r="EM27" s="28"/>
      <c r="EN27" s="8"/>
      <c r="EO27" s="3" t="str">
        <f>IF(EN27=0,"",IF(EN27=VLOOKUP("PCS-OzTL99",ARBOR!$A:$C,3,0),0.0001,IF(EN27&gt;VLOOKUP("PCS-OzTL99",ARBOR!$A:$C,3,0),"Maior que CAP!",IF((DOLLAR(EN27+(VLOOKUP("PCS-OzTL99",ARBOR!$A:$C,3,0)*-TRUNC(EN27/VLOOKUP("PCS-OzTL99",ARBOR!$A:$C,3,0)-1,4)),6))&lt;&gt;(DOLLAR(VLOOKUP("PCS-OzTL99",ARBOR!$A:$C,3,0),6)),-TRUNC(EN27/VLOOKUP("PCS-OzTL99",ARBOR!$A:$C,3,0)-1,4)+0.0001,-TRUNC(EN27/VLOOKUP("PCS-OzTL99",ARBOR!$A:$C,3,0)-1,4)))))</f>
        <v/>
      </c>
      <c r="EP27" s="28" t="str">
        <f>IF(EO27="S/Desc","S/Desc",IF(ISERROR(IF(EO27="","",VLOOKUP(($BC27&amp;EO27&amp;"Template desconto % Ponto adicional nível conta"),BENEFICIOS!$A:$G,5,0))),"Criar",IF(EO27="","",VLOOKUP(($BC27&amp;EO27&amp;"Template desconto % Ponto adicional nível conta"),BENEFICIOS!$A:$G,5,0))))</f>
        <v/>
      </c>
      <c r="EQ27" s="8"/>
      <c r="ER27" s="28" t="str">
        <f t="shared" si="23"/>
        <v/>
      </c>
      <c r="ES27" s="62"/>
      <c r="ET27" s="126"/>
      <c r="EU27" s="127"/>
      <c r="EV27" s="126"/>
      <c r="EW27" s="128" t="str">
        <f t="shared" si="24"/>
        <v/>
      </c>
      <c r="EX27" s="129" t="str">
        <f t="shared" si="25"/>
        <v/>
      </c>
      <c r="EY27" s="91" t="str">
        <f t="shared" si="26"/>
        <v/>
      </c>
      <c r="EZ27" s="85"/>
      <c r="FA27" s="97"/>
      <c r="FB27" s="91"/>
      <c r="FC27" s="85"/>
      <c r="FD27" s="97"/>
      <c r="FE27" s="91"/>
      <c r="FF27" s="87"/>
      <c r="FG27" s="144" t="str">
        <f t="shared" si="5"/>
        <v/>
      </c>
      <c r="FH27" s="144" t="str">
        <f t="shared" si="6"/>
        <v/>
      </c>
      <c r="FI27" s="144" t="str">
        <f t="shared" si="7"/>
        <v/>
      </c>
      <c r="FJ27" s="144" t="str">
        <f t="shared" si="8"/>
        <v/>
      </c>
      <c r="FK27" s="144" t="str">
        <f t="shared" si="9"/>
        <v/>
      </c>
      <c r="FL27" s="144" t="str">
        <f t="shared" si="10"/>
        <v/>
      </c>
      <c r="FM27" s="144" t="str">
        <f t="shared" si="11"/>
        <v/>
      </c>
      <c r="FN27" s="144" t="str">
        <f t="shared" si="12"/>
        <v/>
      </c>
      <c r="FO27" s="144" t="str">
        <f t="shared" si="13"/>
        <v/>
      </c>
      <c r="FP27" s="144" t="str">
        <f t="shared" si="14"/>
        <v/>
      </c>
      <c r="FQ27" s="144" t="str">
        <f t="shared" si="15"/>
        <v/>
      </c>
      <c r="FR27" s="144" t="str">
        <f t="shared" si="16"/>
        <v/>
      </c>
      <c r="FS27" s="144" t="str">
        <f t="shared" si="17"/>
        <v/>
      </c>
      <c r="FT27" s="144" t="str">
        <f t="shared" si="18"/>
        <v/>
      </c>
      <c r="FU27" s="144" t="str">
        <f t="shared" si="19"/>
        <v/>
      </c>
      <c r="FV27" s="144" t="str">
        <f t="shared" si="20"/>
        <v/>
      </c>
      <c r="FW27" s="144" t="str">
        <f t="shared" si="21"/>
        <v/>
      </c>
      <c r="FX27" s="151"/>
      <c r="FY27" s="152"/>
      <c r="FZ27" s="152"/>
      <c r="GA27" s="152"/>
      <c r="GB27" s="152"/>
      <c r="GC27" s="152"/>
      <c r="GD27" s="152"/>
      <c r="GE27" s="152"/>
      <c r="GF27" s="152"/>
      <c r="GG27" s="153"/>
    </row>
    <row r="28" spans="1:189">
      <c r="A28" s="45"/>
      <c r="B28" s="133"/>
      <c r="C28" s="133"/>
      <c r="D28" s="46"/>
      <c r="E28" s="47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9"/>
      <c r="U28" s="48"/>
      <c r="V28" s="49"/>
      <c r="W28" s="48"/>
      <c r="X28" s="48"/>
      <c r="Y28" s="48"/>
      <c r="Z28" s="48"/>
      <c r="AA28" s="49"/>
      <c r="AB28" s="48"/>
      <c r="AC28" s="50"/>
      <c r="AD28" s="48"/>
      <c r="AE28" s="48"/>
      <c r="AF28" s="48"/>
      <c r="AG28" s="48"/>
      <c r="AH28" s="48"/>
      <c r="AI28" s="48"/>
      <c r="AJ28" s="48"/>
      <c r="AK28" s="48"/>
      <c r="AL28" s="51"/>
      <c r="AM28" s="37"/>
      <c r="AN28" s="38"/>
      <c r="AO28" s="39"/>
      <c r="AP28" s="52"/>
      <c r="AQ28" s="53"/>
      <c r="AR28" s="64"/>
      <c r="AS28" s="65"/>
      <c r="AT28" s="54"/>
      <c r="AU28" s="54"/>
      <c r="AV28" s="54"/>
      <c r="AW28" s="54"/>
      <c r="AX28" s="70"/>
      <c r="AY28" s="71"/>
      <c r="AZ28" s="72"/>
      <c r="BA28" s="73"/>
      <c r="BB28" s="55"/>
      <c r="BC28" s="56"/>
      <c r="BD28" s="27" t="str">
        <f t="shared" si="22"/>
        <v/>
      </c>
      <c r="BE28" s="58"/>
      <c r="BF28" s="3" t="str">
        <f>IF(BE28=0,"",IF(BE28=VLOOKUP("FIXO",ARBOR!$A:$C,3,0),0.0001,IF(BE28&gt;VLOOKUP("FIXO",ARBOR!$A:$C,3,0),"Maior que CAP!",IF((DOLLAR(BE28+(VLOOKUP("FIXO",ARBOR!$A:$C,3,0)*-TRUNC(BE28/VLOOKUP("FIXO",ARBOR!$A:$C,3,0)-1,4)),6))&lt;&gt;(DOLLAR(VLOOKUP("FIXO",ARBOR!$A:$C,3,0),6)),-TRUNC(BE28/VLOOKUP("FIXO",ARBOR!$A:$C,3,0)-1,4)+0.0001,-TRUNC(BE28/VLOOKUP("FIXO",ARBOR!$A:$C,3,0)-1,4)))))</f>
        <v/>
      </c>
      <c r="BG28" s="10" t="str">
        <f>IF(ISERROR(IF(BF28="","",VLOOKUP(($BC28&amp;BF28&amp;"Template de desconto FLAT bundle - Fixo - Varejo - Ganho Tributário Cross"),BENEFICIOS!$A:$G,5,0))),"Criar",IF(BF28="","",VLOOKUP(($BC28&amp;BF28&amp;"Template de desconto FLAT bundle - Fixo - Varejo - Ganho Tributário Cross"),BENEFICIOS!$A:$G,5,0)))</f>
        <v/>
      </c>
      <c r="BH28" s="8"/>
      <c r="BI28" s="3" t="str">
        <f>IF(BH28=0,"",IF(BH28=VLOOKUP("PCS-OzTL40",ARBOR!$A:$C,3,0),0.0001,IF(BH28&gt;VLOOKUP("PCS-OzTL40",ARBOR!$A:$C,3,0),"Maior que CAP!",IF((DOLLAR(BH28+(VLOOKUP("PCS-OzTL40",ARBOR!$A:$C,3,0)*-TRUNC(BH28/VLOOKUP("PCS-OzTL40",ARBOR!$A:$C,3,0)-1,4)),6))&lt;&gt;(DOLLAR(VLOOKUP("PCS-OzTL40",ARBOR!$A:$C,3,0),6)),-TRUNC(BH28/VLOOKUP("PCS-OzTL40",ARBOR!$A:$C,3,0)-1,4)+0.0001,-TRUNC(BH28/VLOOKUP("PCS-OzTL40",ARBOR!$A:$C,3,0)-1,4)))))</f>
        <v/>
      </c>
      <c r="BJ28" s="10" t="str">
        <f>IF(ISERROR(IF(BI28="","",VLOOKUP((BC28&amp;BI28&amp;"Template desconto FLAT Plano Principal Oi TV nível conta"),BENEFICIOS!$A:$G,5,0))),"Criar",IF(BI28="","",VLOOKUP((BC28&amp;BI28&amp;"Template desconto FLAT Plano Principal Oi TV nível conta"),BENEFICIOS!$A:$G,5,0)))</f>
        <v/>
      </c>
      <c r="BK28" s="8"/>
      <c r="BL28" s="3" t="str">
        <f>IF(BK28=0,"",IF(BK28=VLOOKUP("PCS-OzTL41",ARBOR!$A:$C,3,0),0.0001,IF(BK28&gt;VLOOKUP("PCS-OzTL41",ARBOR!$A:$C,3,0),"Maior que CAP!",IF((DOLLAR(BK28+(VLOOKUP("PCS-OzTL41",ARBOR!$A:$C,3,0)*-TRUNC(BK28/VLOOKUP("PCS-OzTL41",ARBOR!$A:$C,3,0)-1,4)),6))&lt;&gt;(DOLLAR(VLOOKUP("PCS-OzTL41",ARBOR!$A:$C,3,0),6)),-TRUNC(BK28/VLOOKUP("PCS-OzTL41",ARBOR!$A:$C,3,0)-1,4)+0.0001,-TRUNC(BK28/VLOOKUP("PCS-OzTL41",ARBOR!$A:$C,3,0)-1,4)))))</f>
        <v/>
      </c>
      <c r="BM28" s="28" t="str">
        <f>IF(ISERROR(IF(BL28="","",VLOOKUP((BC28&amp;BL28&amp;"Template desconto FLAT Plano Principal Oi TV nível conta"),BENEFICIOS!$A:$G,5,0))),"Criar",IF(BL28="","",VLOOKUP((BC28&amp;BL28&amp;"Template desconto FLAT Plano Principal Oi TV nível conta"),BENEFICIOS!$A:$G,5,0)))</f>
        <v/>
      </c>
      <c r="BN28" s="8"/>
      <c r="BO28" s="3" t="str">
        <f>IF(BN28=0,"",IF(BN28=VLOOKUP("PCS-OzTL44",ARBOR!$A:$C,3,0),0.0001,IF(BN28&gt;VLOOKUP("PCS-OzTL44",ARBOR!$A:$C,3,0),"Maior que CAP!",IF((DOLLAR(BN28+(VLOOKUP("PCS-OzTL44",ARBOR!$A:$C,3,0)*-TRUNC(BN28/VLOOKUP("PCS-OzTL44",ARBOR!$A:$C,3,0)-1,4)),6))&lt;&gt;(DOLLAR(VLOOKUP("PCS-OzTL44",ARBOR!$A:$C,3,0),6)),-TRUNC(BN28/VLOOKUP("PCS-OzTL44",ARBOR!$A:$C,3,0)-1,4)+0.0001,-TRUNC(BN28/VLOOKUP("PCS-OzTL44",ARBOR!$A:$C,3,0)-1,4)))))</f>
        <v/>
      </c>
      <c r="BP28" s="28" t="str">
        <f>IF(ISERROR(IF(BO28="","",VLOOKUP((BC28&amp;BO28&amp;"Template desconto FLAT Plano Principal Oi TV nível conta"),BENEFICIOS!$A:$G,5,0))),"Criar",IF(BO28="","",VLOOKUP((BC28&amp;BO28&amp;"Template desconto FLAT Plano Principal Oi TV nível conta"),BENEFICIOS!$A:$G,5,0)))</f>
        <v/>
      </c>
      <c r="BQ28" s="8"/>
      <c r="BR28" s="3" t="str">
        <f>IF(BQ28=0,"",IF(BQ28=VLOOKUP("PCS-OzTL43",ARBOR!$A:$C,3,0),0.0001,IF(BQ28&gt;VLOOKUP("PCS-OzTL43",ARBOR!$A:$C,3,0),"Maior que CAP!",IF((DOLLAR(BQ28+(VLOOKUP("PCS-OzTL43",ARBOR!$A:$C,3,0)*-TRUNC(BQ28/VLOOKUP("PCS-OzTL43",ARBOR!$A:$C,3,0)-1,4)),6))&lt;&gt;(DOLLAR(VLOOKUP("PCS-OzTL43",ARBOR!$A:$C,3,0),6)),-TRUNC(BQ28/VLOOKUP("PCS-OzTL43",ARBOR!$A:$C,3,0)-1,4)+0.0001,-TRUNC(BQ28/VLOOKUP("PCS-OzTL43",ARBOR!$A:$C,3,0)-1,4)))))</f>
        <v/>
      </c>
      <c r="BS28" s="28" t="str">
        <f>IF(ISERROR(IF(BR28="","",VLOOKUP((BC28&amp;BR28&amp;"Template desconto FLAT Plano Principal Oi TV nível conta"),BENEFICIOS!$A:$G,5,0))),"Criar",IF(BR28="","",VLOOKUP((BC28&amp;BR28&amp;"Template desconto FLAT Plano Principal Oi TV nível conta"),BENEFICIOS!$A:$G,5,0)))</f>
        <v/>
      </c>
      <c r="BT28" s="8"/>
      <c r="BU28" s="3" t="str">
        <f>IF(BT28=0,"",IF(BT28=VLOOKUP("PCS-OzTL45",ARBOR!$A:$C,3,0),0.0001,IF(BT28&gt;VLOOKUP("PCS-OzTL45",ARBOR!$A:$C,3,0),"Maior que CAP!",IF((DOLLAR(BT28+(VLOOKUP("PCS-OzTL45",ARBOR!$A:$C,3,0)*-TRUNC(BT28/VLOOKUP("PCS-OzTL45",ARBOR!$A:$C,3,0)-1,4)),6))&lt;&gt;(DOLLAR(VLOOKUP("PCS-OzTL45",ARBOR!$A:$C,3,0),6)),-TRUNC(BT28/VLOOKUP("PCS-OzTL45",ARBOR!$A:$C,3,0)-1,4)+0.0001,-TRUNC(BT28/VLOOKUP("PCS-OzTL45",ARBOR!$A:$C,3,0)-1,4)))))</f>
        <v/>
      </c>
      <c r="BV28" s="28" t="str">
        <f>IF(ISERROR(IF(BU28="","",VLOOKUP((BC28&amp;BU28&amp;"Template desconto FLAT Plano Principal Oi TV nível conta"),BENEFICIOS!$A:$G,5,0))),"Criar",IF(BU28="","",VLOOKUP((BC28&amp;BU28&amp;"Template desconto FLAT Plano Principal Oi TV nível conta"),BENEFICIOS!$A:$G,5,0)))</f>
        <v/>
      </c>
      <c r="BW28" s="8"/>
      <c r="BX28" s="3" t="str">
        <f>IF(BW28=0,"",IF(BW28=VLOOKUP("PCS-OzTL741",ARBOR!$A:$C,3,0),0.0001,IF(BW28&gt;VLOOKUP("PCS-OzTL741",ARBOR!$A:$C,3,0),"Maior que CAP!",IF((DOLLAR(BW28+(VLOOKUP("PCS-OzTL741",ARBOR!$A:$C,3,0)*-TRUNC(BW28/VLOOKUP("PCS-OzTL741",ARBOR!$A:$C,3,0)-1,4)),6))&lt;&gt;(DOLLAR(VLOOKUP("PCS-OzTL741",ARBOR!$A:$C,3,0),6)),-TRUNC(BW28/VLOOKUP("PCS-OzTL741",ARBOR!$A:$C,3,0)-1,4)+0.0001,-TRUNC(BW28/VLOOKUP("PCS-OzTL741",ARBOR!$A:$C,3,0)-1,4)))))</f>
        <v/>
      </c>
      <c r="BY28" s="28" t="str">
        <f>IF(ISERROR(IF(BX28="","",VLOOKUP((BC28&amp;BX28&amp;"Template desconto FLAT Plano Principal Oi TV nível conta"),BENEFICIOS!$A:$G,5,0))),"Criar",IF(BX28="","",VLOOKUP((BC28&amp;BX28&amp;"Template desconto FLAT Plano Principal Oi TV nível conta"),BENEFICIOS!$A:$G,5,0)))</f>
        <v/>
      </c>
      <c r="BZ28" s="8"/>
      <c r="CA28" s="3" t="str">
        <f>IF(BZ28=0,"",IF(BZ28=VLOOKUP("PCS-OzTL744",ARBOR!$A:$C,3,0),0.0001,IF(BZ28&gt;VLOOKUP("PCS-OzTL744",ARBOR!$A:$C,3,0),"Maior que CAP!",IF((DOLLAR(BZ28+(VLOOKUP("PCS-OzTL744",ARBOR!$A:$C,3,0)*-TRUNC(BZ28/VLOOKUP("PCS-OzTL744",ARBOR!$A:$C,3,0)-1,4)),6))&lt;&gt;(DOLLAR(VLOOKUP("PCS-OzTL744",ARBOR!$A:$C,3,0),6)),-TRUNC(BZ28/VLOOKUP("PCS-OzTL744",ARBOR!$A:$C,3,0)-1,4)+0.0001,-TRUNC(BZ28/VLOOKUP("PCS-OzTL744",ARBOR!$A:$C,3,0)-1,4)))))</f>
        <v/>
      </c>
      <c r="CB28" s="28" t="str">
        <f>IF(ISERROR(IF(CA28="","",VLOOKUP(($BC28&amp;CA28&amp;"Template desconto FLAT Plano Principal Oi TV nível conta"),BENEFICIOS!$A:$G,5,0))),"Criar",IF(CA28="","",VLOOKUP(($BC28&amp;CA28&amp;"Template desconto FLAT Plano Principal Oi TV nível conta"),BENEFICIOS!$A:$G,5,0)))</f>
        <v/>
      </c>
      <c r="CC28" s="8"/>
      <c r="CD28" s="3" t="str">
        <f>IF(CC28=0,"",IF(CC28=VLOOKUP("PCS-OzTL743",ARBOR!$A:$C,3,0),0.0001,IF(CC28&gt;VLOOKUP("PCS-OzTL743",ARBOR!$A:$C,3,0),"Maior que CAP!",IF((DOLLAR(CC28+(VLOOKUP("PCS-OzTL743",ARBOR!$A:$C,3,0)*-TRUNC(CC28/VLOOKUP("PCS-OzTL743",ARBOR!$A:$C,3,0)-1,4)),6))&lt;&gt;(DOLLAR(VLOOKUP("PCS-OzTL743",ARBOR!$A:$C,3,0),6)),-TRUNC(CC28/VLOOKUP("PCS-OzTL743",ARBOR!$A:$C,3,0)-1,4)+0.0001,-TRUNC(CC28/VLOOKUP("PCS-OzTL743",ARBOR!$A:$C,3,0)-1,4)))))</f>
        <v/>
      </c>
      <c r="CE28" s="28" t="str">
        <f>IF(ISERROR(IF(CD28="","",VLOOKUP(($BC28&amp;CD28&amp;"Template desconto FLAT Plano Principal Oi TV nível conta"),BENEFICIOS!$A:$G,5,0))),"Criar",IF(CD28="","",VLOOKUP(($BC28&amp;CD28&amp;"Template desconto FLAT Plano Principal Oi TV nível conta"),BENEFICIOS!$A:$G,5,0)))</f>
        <v/>
      </c>
      <c r="CF28" s="8"/>
      <c r="CG28" s="3" t="str">
        <f>IF(CF28=0,"",IF(CF28=VLOOKUP("PCS-OzTL745",ARBOR!$A:$C,3,0),0.0001,IF(CF28&gt;VLOOKUP("PCS-OzTL745",ARBOR!$A:$C,3,0),"Maior que CAP!",IF((DOLLAR(CF28+(VLOOKUP("PCS-OzTL745",ARBOR!$A:$C,3,0)*-TRUNC(CF28/VLOOKUP("PCS-OzTL745",ARBOR!$A:$C,3,0)-1,4)),6))&lt;&gt;(DOLLAR(VLOOKUP("PCS-OzTL745",ARBOR!$A:$C,3,0),6)),-TRUNC(CF28/VLOOKUP("PCS-OzTL745",ARBOR!$A:$C,3,0)-1,4)+0.0001,-TRUNC(CF28/VLOOKUP("PCS-OzTL745",ARBOR!$A:$C,3,0)-1,4)))))</f>
        <v/>
      </c>
      <c r="CH28" s="28" t="str">
        <f>IF(ISERROR(IF(CG28="","",VLOOKUP(($BC28&amp;CG28&amp;"Template desconto FLAT Plano Principal Oi TV nível conta"),BENEFICIOS!$A:$G,5,0))),"Criar",IF(CG28="","",VLOOKUP(($BC28&amp;CG28&amp;"Template desconto FLAT Plano Principal Oi TV nível conta"),BENEFICIOS!$A:$G,5,0)))</f>
        <v/>
      </c>
      <c r="CI28" s="8"/>
      <c r="CJ28" s="3" t="str">
        <f>IF(CI28=0,"",IF(CI28=VLOOKUP("PCS-OzTL42",ARBOR!$A:$C,3,0),0.0001,IF(CI28&gt;VLOOKUP("PCS-OzTL42",ARBOR!$A:$C,3,0),"Maior que CAP!",IF((DOLLAR(CI28+(VLOOKUP("PCS-OzTL42",ARBOR!$A:$C,3,0)*-TRUNC(CI28/VLOOKUP("PCS-OzTL42",ARBOR!$A:$C,3,0)-1,4)),6))&lt;&gt;(DOLLAR(VLOOKUP("PCS-OzTL42",ARBOR!$A:$C,3,0),6)),-TRUNC(CI28/VLOOKUP("PCS-OzTL42",ARBOR!$A:$C,3,0)-1,4)+0.0001,-TRUNC(CI28/VLOOKUP("PCS-OzTL42",ARBOR!$A:$C,3,0)-1,4)))))</f>
        <v/>
      </c>
      <c r="CK28" s="28" t="str">
        <f>IF(ISERROR(IF(CJ28="","",VLOOKUP(($BC28&amp;CJ28&amp;"Template desconto FLAT Plano Principal Oi TV nível conta"),BENEFICIOS!$A:$G,5,0))),"Criar",IF(CJ28="","",VLOOKUP(($BC28&amp;CJ28&amp;"Template desconto FLAT Plano Principal Oi TV nível conta"),BENEFICIOS!$A:$G,5,0)))</f>
        <v/>
      </c>
      <c r="CL28" s="8"/>
      <c r="CM28" s="3" t="str">
        <f>IF(CL28=0,"",IF(CL28=VLOOKUP("PCS-OzTL47",ARBOR!$A:$C,3,0),0.0001,IF(CL28&gt;VLOOKUP("PCS-OzTL47",ARBOR!$A:$C,3,0),"Maior que CAP!",IF((DOLLAR(CL28+(VLOOKUP("PCS-OzTL47",ARBOR!$A:$C,3,0)*-TRUNC(CL28/VLOOKUP("PCS-OzTL47",ARBOR!$A:$C,3,0)-1,4)),6))&lt;&gt;(DOLLAR(VLOOKUP("PCS-OzTL47",ARBOR!$A:$C,3,0),6)),-TRUNC(CL28/VLOOKUP("PCS-OzTL47",ARBOR!$A:$C,3,0)-1,4)+0.0001,-TRUNC(CL28/VLOOKUP("PCS-OzTL47",ARBOR!$A:$C,3,0)-1,4)))))</f>
        <v/>
      </c>
      <c r="CN28" s="28" t="str">
        <f>IF(ISERROR(IF(CM28="","",VLOOKUP(($BC28&amp;CM28&amp;"Template desconto FLAT Plano Principal Oi TV nível conta"),BENEFICIOS!$A:$G,5,0))),"Criar",IF(CM28="","",VLOOKUP(($BC28&amp;CM28&amp;"Template desconto FLAT Plano Principal Oi TV nível conta"),BENEFICIOS!$A:$G,5,0)))</f>
        <v/>
      </c>
      <c r="CO28" s="8"/>
      <c r="CP28" s="3" t="str">
        <f>IF(CO28=0,"",IF(CO28=VLOOKUP("PCS-OzTL46",ARBOR!$A:$C,3,0),0.0001,IF(CO28&gt;VLOOKUP("PCS-OzTL46",ARBOR!$A:$C,3,0),"Maior que CAP!",IF((DOLLAR(CO28+(VLOOKUP("PCS-OzTL46",ARBOR!$A:$C,3,0)*-TRUNC(CO28/VLOOKUP("PCS-OzTL46",ARBOR!$A:$C,3,0)-1,4)),6))&lt;&gt;(DOLLAR(VLOOKUP("PCS-OzTL46",ARBOR!$A:$C,3,0),6)),-TRUNC(CO28/VLOOKUP("PCS-OzTL46",ARBOR!$A:$C,3,0)-1,4)+0.0001,-TRUNC(CO28/VLOOKUP("PCS-OzTL46",ARBOR!$A:$C,3,0)-1,4)))))</f>
        <v/>
      </c>
      <c r="CQ28" s="28" t="str">
        <f>IF(ISERROR(IF(CP28="","",VLOOKUP(($BC28&amp;CP28&amp;"Template desconto FLAT Plano Principal Oi TV nível conta"),BENEFICIOS!$A:$G,5,0))),"Criar",IF(CP28="","",VLOOKUP(($BC28&amp;CP28&amp;"Template desconto FLAT Plano Principal Oi TV nível conta"),BENEFICIOS!$A:$G,5,0)))</f>
        <v/>
      </c>
      <c r="CR28" s="8"/>
      <c r="CS28" s="3" t="str">
        <f>IF(CR28=0,"",IF(CR28=VLOOKUP("PCS-OzTL48",ARBOR!$A:$C,3,0),0.0001,IF(CR28&gt;VLOOKUP("PCS-OzTL48",ARBOR!$A:$C,3,0),"Maior que CAP!",IF((DOLLAR(CR28+(VLOOKUP("PCS-OzTL48",ARBOR!$A:$C,3,0)*-TRUNC(CR28/VLOOKUP("PCS-OzTL48",ARBOR!$A:$C,3,0)-1,4)),6))&lt;&gt;(DOLLAR(VLOOKUP("PCS-OzTL48",ARBOR!$A:$C,3,0),6)),-TRUNC(CR28/VLOOKUP("PCS-OzTL48",ARBOR!$A:$C,3,0)-1,4)+0.0001,-TRUNC(CR28/VLOOKUP("PCS-OzTL48",ARBOR!$A:$C,3,0)-1,4)))))</f>
        <v/>
      </c>
      <c r="CT28" s="28" t="str">
        <f>IF(ISERROR(IF(CS28="","",VLOOKUP(($BC28&amp;CS28&amp;"Template desconto FLAT Plano Principal Oi TV nível conta"),BENEFICIOS!$A:$G,5,0))),"Criar",IF(CS28="","",VLOOKUP(($BC28&amp;CS28&amp;"Template desconto FLAT Plano Principal Oi TV nível conta"),BENEFICIOS!$A:$G,5,0)))</f>
        <v/>
      </c>
      <c r="CU28" s="8"/>
      <c r="CV28" s="3" t="str">
        <f>IF(CU28=0,"",IF(CU28=VLOOKUP("PCS-OzTL742",ARBOR!$A:$C,3,0),0.0001,IF(CU28&gt;VLOOKUP("PCS-OzTL742",ARBOR!$A:$C,3,0),"Maior que CAP!",IF((DOLLAR(CU28+(VLOOKUP("PCS-OzTL742",ARBOR!$A:$C,3,0)*-TRUNC(CU28/VLOOKUP("PCS-OzTL742",ARBOR!$A:$C,3,0)-1,4)),6))&lt;&gt;(DOLLAR(VLOOKUP("PCS-OzTL742",ARBOR!$A:$C,3,0),6)),-TRUNC(CU28/VLOOKUP("PCS-OzTL742",ARBOR!$A:$C,3,0)-1,4)+0.0001,-TRUNC(CU28/VLOOKUP("PCS-OzTL742",ARBOR!$A:$C,3,0)-1,4)))))</f>
        <v/>
      </c>
      <c r="CW28" s="28" t="str">
        <f>IF(ISERROR(IF(CV28="","",VLOOKUP(($BC28&amp;CV28&amp;"Template desconto FLAT Plano Principal Oi TV nível conta"),BENEFICIOS!$A:$G,5,0))),"Criar",IF(CV28="","",VLOOKUP(($BC28&amp;CV28&amp;"Template desconto FLAT Plano Principal Oi TV nível conta"),BENEFICIOS!$A:$G,5,0)))</f>
        <v/>
      </c>
      <c r="CX28" s="8"/>
      <c r="CY28" s="3" t="str">
        <f>IF(CX28=0,"",IF(CX28=VLOOKUP("PCS-OzTL747",ARBOR!$A:$C,3,0),0.0001,IF(CX28&gt;VLOOKUP("PCS-OzTL747",ARBOR!$A:$C,3,0),"Maior que CAP!",IF((DOLLAR(CX28+(VLOOKUP("PCS-OzTL747",ARBOR!$A:$C,3,0)*-TRUNC(CX28/VLOOKUP("PCS-OzTL747",ARBOR!$A:$C,3,0)-1,4)),6))&lt;&gt;(DOLLAR(VLOOKUP("PCS-OzTL747",ARBOR!$A:$C,3,0),6)),-TRUNC(CX28/VLOOKUP("PCS-OzTL747",ARBOR!$A:$C,3,0)-1,4)+0.0001,-TRUNC(CX28/VLOOKUP("PCS-OzTL747",ARBOR!$A:$C,3,0)-1,4)))))</f>
        <v/>
      </c>
      <c r="CZ28" s="28" t="str">
        <f>IF(ISERROR(IF(CY28="","",VLOOKUP(($BC28&amp;CY28&amp;"Template desconto FLAT Plano Principal Oi TV nível conta"),BENEFICIOS!$A:$G,5,0))),"Criar",IF(CY28="","",VLOOKUP(($BC28&amp;CY28&amp;"Template desconto FLAT Plano Principal Oi TV nível conta"),BENEFICIOS!$A:$G,5,0)))</f>
        <v/>
      </c>
      <c r="DA28" s="8"/>
      <c r="DB28" s="3" t="str">
        <f>IF(DA28=0,"",IF(DA28=VLOOKUP("PCS-OzTL746",ARBOR!$A:$C,3,0),0.0001,IF(DA28&gt;VLOOKUP("PCS-OzTL746",ARBOR!$A:$C,3,0),"Maior que CAP!",IF((DOLLAR(DA28+(VLOOKUP("PCS-OzTL746",ARBOR!$A:$C,3,0)*-TRUNC(DA28/VLOOKUP("PCS-OzTL746",ARBOR!$A:$C,3,0)-1,4)),6))&lt;&gt;(DOLLAR(VLOOKUP("PCS-OzTL746",ARBOR!$A:$C,3,0),6)),-TRUNC(DA28/VLOOKUP("PCS-OzTL746",ARBOR!$A:$C,3,0)-1,4)+0.0001,-TRUNC(DA28/VLOOKUP("PCS-OzTL746",ARBOR!$A:$C,3,0)-1,4)))))</f>
        <v/>
      </c>
      <c r="DC28" s="28" t="str">
        <f>IF(ISERROR(IF(DB28="","",VLOOKUP(($BC28&amp;DB28&amp;"Template desconto FLAT Plano Principal Oi TV nível conta"),BENEFICIOS!$A:$G,5,0))),"Criar",IF(DB28="","",VLOOKUP(($BC28&amp;DB28&amp;"Template desconto FLAT Plano Principal Oi TV nível conta"),BENEFICIOS!$A:$G,5,0)))</f>
        <v/>
      </c>
      <c r="DD28" s="8"/>
      <c r="DE28" s="3" t="str">
        <f>IF(DD28=0,"",IF(DD28=VLOOKUP("PCS-OzTL748",ARBOR!$A:$C,3,0),0.0001,IF(DD28&gt;VLOOKUP("PCS-OzTL748",ARBOR!$A:$C,3,0),"Maior que CAP!",IF((DOLLAR(DD28+(VLOOKUP("PCS-OzTL748",ARBOR!$A:$C,3,0)*-TRUNC(DD28/VLOOKUP("PCS-OzTL748",ARBOR!$A:$C,3,0)-1,4)),6))&lt;&gt;(DOLLAR(VLOOKUP("PCS-OzTL748",ARBOR!$A:$C,3,0),6)),-TRUNC(DD28/VLOOKUP("PCS-OzTL748",ARBOR!$A:$C,3,0)-1,4)+0.0001,-TRUNC(DD28/VLOOKUP("PCS-OzTL748",ARBOR!$A:$C,3,0)-1,4)))))</f>
        <v/>
      </c>
      <c r="DF28" s="28" t="str">
        <f>IF(ISERROR(IF(DE28="","",VLOOKUP(($BC28&amp;DE28&amp;"Template desconto FLAT Plano Principal Oi TV nível conta"),BENEFICIOS!$A:$G,5,0))),"Criar",IF(DE28="","",VLOOKUP(($BC28&amp;DE28&amp;"Template desconto FLAT Plano Principal Oi TV nível conta"),BENEFICIOS!$A:$G,5,0)))</f>
        <v/>
      </c>
      <c r="DG28" s="8"/>
      <c r="DH28" s="3" t="str">
        <f>IF(DG28=0,"",IF(DG28=VLOOKUP("PCS-OzTL34",ARBOR!$A:$C,3,0),0.0001,IF(DG28&gt;VLOOKUP("PCS-OzTL34",ARBOR!$A:$C,3,0),"Maior que CAP!",IF((DOLLAR(DG28+(VLOOKUP("PCS-OzTL34",ARBOR!$A:$C,3,0)*-TRUNC(DG28/VLOOKUP("PCS-OzTL34",ARBOR!$A:$C,3,0)-1,4)),6))&lt;&gt;(DOLLAR(VLOOKUP("PCS-OzTL34",ARBOR!$A:$C,3,0),6)),-TRUNC(DG28/VLOOKUP("PCS-OzTL34",ARBOR!$A:$C,3,0)-1,4)+0.0001,-TRUNC(DG28/VLOOKUP("PCS-OzTL34",ARBOR!$A:$C,3,0)-1,4)))))</f>
        <v/>
      </c>
      <c r="DI28" s="28" t="str">
        <f>IF(DH28="S/Desc","S/Desc",IF(ISERROR(IF(DH28="","",VLOOKUP(($BC28&amp;DH28&amp;"Template desconto % Combate nível conta"),BENEFICIOS!$A:$G,5,0))),"Criar",IF(DH28="","",VLOOKUP(($BC28&amp;DH28&amp;"Template desconto % Combate nível conta"),BENEFICIOS!$A:$G,5,0))))</f>
        <v/>
      </c>
      <c r="DJ28" s="8"/>
      <c r="DK28" s="3" t="str">
        <f>IF(DJ28=0,"",IF(DJ28=VLOOKUP("PCS-OzTL31",ARBOR!$A:$C,3,0),0.0001,IF(DJ28&gt;VLOOKUP("PCS-OzTL31",ARBOR!$A:$C,3,0),"Maior que CAP!",IF((DOLLAR(DJ28+(VLOOKUP("PCS-OzTL31",ARBOR!$A:$C,3,0)*-TRUNC(DJ28/VLOOKUP("PCS-OzTL31",ARBOR!$A:$C,3,0)-1,4)),6))&lt;&gt;(DOLLAR(VLOOKUP("PCS-OzTL31",ARBOR!$A:$C,3,0),6)),-TRUNC(DJ28/VLOOKUP("PCS-OzTL31",ARBOR!$A:$C,3,0)-1,4)+0.0001,-TRUNC(DJ28/VLOOKUP("PCS-OzTL31",ARBOR!$A:$C,3,0)-1,4)))))</f>
        <v/>
      </c>
      <c r="DL28" s="28" t="str">
        <f>IF(DK28="S/Desc","S/Desc",IF(ISERROR(IF(DK28="","",VLOOKUP(($BC28&amp;DK28&amp;"Template desconto % Sexy Hot nível conta"),BENEFICIOS!$A:$G,5,0))),"Criar",IF(DK28="","",VLOOKUP(($BC28&amp;DK28&amp;"Template desconto % Sexy Hot nível conta"),BENEFICIOS!$A:$G,5,0))))</f>
        <v/>
      </c>
      <c r="DM28" s="8"/>
      <c r="DN28" s="3" t="str">
        <f>IF(DM28=0,"",IF(DM28=VLOOKUP("PCS-OzTL32",ARBOR!$A:$C,3,0),0.0001,IF(DM28&gt;VLOOKUP("PCS-OzTL32",ARBOR!$A:$C,3,0),"Maior que CAP!",IF((DOLLAR(DM28+(VLOOKUP("PCS-OzTL32",ARBOR!$A:$C,3,0)*-TRUNC(DM28/VLOOKUP("PCS-OzTL32",ARBOR!$A:$C,3,0)-1,4)),6))&lt;&gt;(DOLLAR(VLOOKUP("PCS-OzTL32",ARBOR!$A:$C,3,0),6)),-TRUNC(DM28/VLOOKUP("PCS-OzTL32",ARBOR!$A:$C,3,0)-1,4)+0.0001,-TRUNC(DM28/VLOOKUP("PCS-OzTL32",ARBOR!$A:$C,3,0)-1,4)))))</f>
        <v/>
      </c>
      <c r="DO28" s="28" t="str">
        <f>IF(DN28="S/Desc","S/Desc",IF(ISERROR(IF(DN28="","",VLOOKUP(($BC28&amp;DN28&amp;"Template desconto % Playboy nível conta"),BENEFICIOS!$A:$G,5,0))),"Criar",IF(DN28="","",VLOOKUP(($BC28&amp;DN28&amp;"Template desconto % Playboy nível conta"),BENEFICIOS!$A:$G,5,0))))</f>
        <v/>
      </c>
      <c r="DP28" s="8"/>
      <c r="DQ28" s="3" t="str">
        <f>IF(DP28=0,"",IF(DP28=VLOOKUP("PCS-OzTL33",ARBOR!$A:$C,3,0),0.0001,IF(DP28&gt;VLOOKUP("PCS-OzTL33",ARBOR!$A:$C,3,0),"Maior que CAP!",IF((DOLLAR(DP28+(VLOOKUP("PCS-OzTL33",ARBOR!$A:$C,3,0)*-TRUNC(DP28/VLOOKUP("PCS-OzTL33",ARBOR!$A:$C,3,0)-1,4)),6))&lt;&gt;(DOLLAR(VLOOKUP("PCS-OzTL33",ARBOR!$A:$C,3,0),6)),-TRUNC(DP28/VLOOKUP("PCS-OzTL33",ARBOR!$A:$C,3,0)-1,4)+0.0001,-TRUNC(DP28/VLOOKUP("PCS-OzTL33",ARBOR!$A:$C,3,0)-1,4)))))</f>
        <v/>
      </c>
      <c r="DR28" s="28" t="str">
        <f>IF(DQ28="S/Desc","S/Desc",IF(ISERROR(IF(DQ28="","",VLOOKUP(($BC28&amp;DQ28&amp;"Template desconto % Sexy Hot + Playboy nível conta"),BENEFICIOS!$A:$G,5,0))),"Criar",IF(DQ28="","",VLOOKUP(($BC28&amp;DQ28&amp;"Template desconto % Sexy Hot + Playboy nível conta"),BENEFICIOS!$A:$G,5,0))))</f>
        <v/>
      </c>
      <c r="DS28" s="8"/>
      <c r="DT28" s="3" t="str">
        <f>IF(DS28=0,"",IF(DS28=VLOOKUP("PCS-OzTL503",ARBOR!$A:$C,3,0),0.0001,IF(DS28&gt;VLOOKUP("PCS-OzTL503",ARBOR!$A:$C,3,0),"Maior que CAP!",IF((DOLLAR(DS28+(VLOOKUP("PCS-OzTL503",ARBOR!$A:$C,3,0)*-TRUNC(DS28/VLOOKUP("PCS-OzTL503",ARBOR!$A:$C,3,0)-1,4)),6))&lt;&gt;(DOLLAR(VLOOKUP("PCS-OzTL503",ARBOR!$A:$C,3,0),6)),-TRUNC(DS28/VLOOKUP("PCS-OzTL503",ARBOR!$A:$C,3,0)-1,4)+0.0001,-TRUNC(DS28/VLOOKUP("PCS-OzTL503",ARBOR!$A:$C,3,0)-1,4)))))</f>
        <v/>
      </c>
      <c r="DU28" s="28" t="str">
        <f>IF(DT28="S/Desc","S/Desc",IF(ISERROR(IF(DT28="","",VLOOKUP(($BC28&amp;DT28&amp;"Template desconto % SexPrivê nível conta"),BENEFICIOS!$A:$G,5,0))),"Criar",IF(DT28="","",VLOOKUP(($BC28&amp;DT28&amp;"Template desconto % SexPrivê nível conta"),BENEFICIOS!$A:$G,5,0))))</f>
        <v/>
      </c>
      <c r="DV28" s="8"/>
      <c r="DW28" s="3" t="str">
        <f>IF(DV28=0,"",IF(DV28=VLOOKUP("PCS-OzTL500",ARBOR!$A:$C,3,0),0.0001,IF(DV28&gt;VLOOKUP("PCS-OzTL500",ARBOR!$A:$C,3,0),"Maior que CAP!",IF((DOLLAR(DV28+(VLOOKUP("PCS-OzTL500",ARBOR!$A:$C,3,0)*-TRUNC(DV28/VLOOKUP("PCS-OzTL500",ARBOR!$A:$C,3,0)-1,4)),6))&lt;&gt;(DOLLAR(VLOOKUP("PCS-OzTL500",ARBOR!$A:$C,3,0),6)),-TRUNC(DV28/VLOOKUP("PCS-OzTL500",ARBOR!$A:$C,3,0)-1,4)+0.0001,-TRUNC(DV28/VLOOKUP("PCS-OzTL500",ARBOR!$A:$C,3,0)-1,4)))))</f>
        <v/>
      </c>
      <c r="DX28" s="28" t="str">
        <f>IF(DW28="S/Desc","S/Desc",IF(ISERROR(IF(DW28="","",VLOOKUP(($BC28&amp;DW28&amp;"Template desconto % Étnico nível conta"),BENEFICIOS!$A:$G,5,0))),"Criar",IF(DW28="","",VLOOKUP(($BC28&amp;DW28&amp;"Template desconto % Étnico nível conta"),BENEFICIOS!$A:$G,5,0))))</f>
        <v/>
      </c>
      <c r="DY28" s="8"/>
      <c r="DZ28" s="181" t="str">
        <f>IF(DY28=0,"",IF(DY28=VLOOKUP("PCS-OzTL50",ARBOR!$A:$C,3,0),0.0001,IF(DY28&gt;VLOOKUP("PCS-OzTL50",ARBOR!$A:$C,3,0),"Maior que CAP!",IF((DOLLAR(DY28+(VLOOKUP("PCS-OzTL50",ARBOR!$A:$C,3,0)*-TRUNC(DY28/VLOOKUP("PCS-OzTL50",ARBOR!$A:$C,3,0)-1,4)),6))&lt;&gt;(DOLLAR(VLOOKUP("PCS-OzTL50",ARBOR!$A:$C,3,0),6)),-TRUNC(DY28/VLOOKUP("PCS-OzTL50",ARBOR!$A:$C,3,0)-1,4)+0.0001,-TRUNC(DY28/VLOOKUP("PCS-OzTL50",ARBOR!$A:$C,3,0)-1,4)))))</f>
        <v/>
      </c>
      <c r="EA28" s="28"/>
      <c r="EB28" s="8"/>
      <c r="EC28" s="181" t="str">
        <f>IF(EB28=0,"",IF(EB28=VLOOKUP("PCS-OzTL51",ARBOR!$A:$C,3,0),0.0001,IF(EB28&gt;VLOOKUP("PCS-OzTL51",ARBOR!$A:$C,3,0),"Maior que CAP!",IF((DOLLAR(EB28+(VLOOKUP("PCS-OzTL51",ARBOR!$A:$C,3,0)*-TRUNC(EB28/VLOOKUP("PCS-OzTL51",ARBOR!$A:$C,3,0)-1,4)),6))&lt;&gt;(DOLLAR(VLOOKUP("PCS-OzTL51",ARBOR!$A:$C,3,0),6)),-TRUNC(EB28/VLOOKUP("PCS-OzTL51",ARBOR!$A:$C,3,0)-1,4)+0.0001,-TRUNC(EB28/VLOOKUP("PCS-OzTL51",ARBOR!$A:$C,3,0)-1,4)))))</f>
        <v/>
      </c>
      <c r="ED28" s="28"/>
      <c r="EE28" s="8"/>
      <c r="EF28" s="181" t="str">
        <f>IF(EE28=0,"",IF(EE28=VLOOKUP("PCS-OzTL52",ARBOR!$A:$C,3,0),0.0001,IF(EE28&gt;VLOOKUP("PCS-OzTL52",ARBOR!$A:$C,3,0),"Maior que CAP!",IF((DOLLAR(EE28+(VLOOKUP("PCS-OzTL52",ARBOR!$A:$C,3,0)*-TRUNC(EE28/VLOOKUP("PCS-OzTL52",ARBOR!$A:$C,3,0)-1,4)),6))&lt;&gt;(DOLLAR(VLOOKUP("PCS-OzTL52",ARBOR!$A:$C,3,0),6)),-TRUNC(EE28/VLOOKUP("PCS-OzTL52",ARBOR!$A:$C,3,0)-1,4)+0.0001,-TRUNC(EE28/VLOOKUP("PCS-OzTL52",ARBOR!$A:$C,3,0)-1,4)))))</f>
        <v/>
      </c>
      <c r="EG28" s="28"/>
      <c r="EH28" s="8"/>
      <c r="EI28" s="181" t="str">
        <f>IF(EH28=0,"",IF(EH28=VLOOKUP("PCS-OzTL53",ARBOR!$A:$C,3,0),0.0001,IF(EH28&gt;VLOOKUP("PCS-OzTL53",ARBOR!$A:$C,3,0),"Maior que CAP!",IF((DOLLAR(EH28+(VLOOKUP("PCS-OzTL53",ARBOR!$A:$C,3,0)*-TRUNC(EH28/VLOOKUP("PCS-OzTL53",ARBOR!$A:$C,3,0)-1,4)),6))&lt;&gt;(DOLLAR(VLOOKUP("PCS-OzTL53",ARBOR!$A:$C,3,0),6)),-TRUNC(EH28/VLOOKUP("PCS-OzTL53",ARBOR!$A:$C,3,0)-1,4)+0.0001,-TRUNC(EH28/VLOOKUP("PCS-OzTL53",ARBOR!$A:$C,3,0)-1,4)))))</f>
        <v/>
      </c>
      <c r="EJ28" s="28"/>
      <c r="EK28" s="8"/>
      <c r="EL28" s="181" t="str">
        <f>IF(EK28=0,"",IF(EK28=VLOOKUP("PCS-OzTL54",ARBOR!$A:$C,3,0),0.0001,IF(EK28&gt;VLOOKUP("PCS-OzTL54",ARBOR!$A:$C,3,0),"Maior que CAP!",IF((DOLLAR(EK28+(VLOOKUP("PCS-OzTL54",ARBOR!$A:$C,3,0)*-TRUNC(EK28/VLOOKUP("PCS-OzTL54",ARBOR!$A:$C,3,0)-1,4)),6))&lt;&gt;(DOLLAR(VLOOKUP("PCS-OzTL54",ARBOR!$A:$C,3,0),6)),-TRUNC(EK28/VLOOKUP("PCS-OzTL54",ARBOR!$A:$C,3,0)-1,4)+0.0001,-TRUNC(EK28/VLOOKUP("PCS-OzTL54",ARBOR!$A:$C,3,0)-1,4)))))</f>
        <v/>
      </c>
      <c r="EM28" s="28"/>
      <c r="EN28" s="8"/>
      <c r="EO28" s="3" t="str">
        <f>IF(EN28=0,"",IF(EN28=VLOOKUP("PCS-OzTL99",ARBOR!$A:$C,3,0),0.0001,IF(EN28&gt;VLOOKUP("PCS-OzTL99",ARBOR!$A:$C,3,0),"Maior que CAP!",IF((DOLLAR(EN28+(VLOOKUP("PCS-OzTL99",ARBOR!$A:$C,3,0)*-TRUNC(EN28/VLOOKUP("PCS-OzTL99",ARBOR!$A:$C,3,0)-1,4)),6))&lt;&gt;(DOLLAR(VLOOKUP("PCS-OzTL99",ARBOR!$A:$C,3,0),6)),-TRUNC(EN28/VLOOKUP("PCS-OzTL99",ARBOR!$A:$C,3,0)-1,4)+0.0001,-TRUNC(EN28/VLOOKUP("PCS-OzTL99",ARBOR!$A:$C,3,0)-1,4)))))</f>
        <v/>
      </c>
      <c r="EP28" s="28" t="str">
        <f>IF(EO28="S/Desc","S/Desc",IF(ISERROR(IF(EO28="","",VLOOKUP(($BC28&amp;EO28&amp;"Template desconto % Ponto adicional nível conta"),BENEFICIOS!$A:$G,5,0))),"Criar",IF(EO28="","",VLOOKUP(($BC28&amp;EO28&amp;"Template desconto % Ponto adicional nível conta"),BENEFICIOS!$A:$G,5,0))))</f>
        <v/>
      </c>
      <c r="EQ28" s="8"/>
      <c r="ER28" s="28" t="str">
        <f t="shared" si="23"/>
        <v/>
      </c>
      <c r="ES28" s="62"/>
      <c r="ET28" s="126"/>
      <c r="EU28" s="127"/>
      <c r="EV28" s="126"/>
      <c r="EW28" s="128" t="str">
        <f t="shared" si="24"/>
        <v/>
      </c>
      <c r="EX28" s="129" t="str">
        <f t="shared" si="25"/>
        <v/>
      </c>
      <c r="EY28" s="91" t="str">
        <f t="shared" si="26"/>
        <v/>
      </c>
      <c r="EZ28" s="85"/>
      <c r="FA28" s="97"/>
      <c r="FB28" s="91"/>
      <c r="FC28" s="85"/>
      <c r="FD28" s="97"/>
      <c r="FE28" s="91"/>
      <c r="FF28" s="87"/>
      <c r="FG28" s="144" t="str">
        <f t="shared" si="5"/>
        <v/>
      </c>
      <c r="FH28" s="144" t="str">
        <f t="shared" si="6"/>
        <v/>
      </c>
      <c r="FI28" s="144" t="str">
        <f t="shared" si="7"/>
        <v/>
      </c>
      <c r="FJ28" s="144" t="str">
        <f t="shared" si="8"/>
        <v/>
      </c>
      <c r="FK28" s="144" t="str">
        <f t="shared" si="9"/>
        <v/>
      </c>
      <c r="FL28" s="144" t="str">
        <f t="shared" si="10"/>
        <v/>
      </c>
      <c r="FM28" s="144" t="str">
        <f t="shared" si="11"/>
        <v/>
      </c>
      <c r="FN28" s="144" t="str">
        <f t="shared" si="12"/>
        <v/>
      </c>
      <c r="FO28" s="144" t="str">
        <f t="shared" si="13"/>
        <v/>
      </c>
      <c r="FP28" s="144" t="str">
        <f t="shared" si="14"/>
        <v/>
      </c>
      <c r="FQ28" s="144" t="str">
        <f t="shared" si="15"/>
        <v/>
      </c>
      <c r="FR28" s="144" t="str">
        <f t="shared" si="16"/>
        <v/>
      </c>
      <c r="FS28" s="144" t="str">
        <f t="shared" si="17"/>
        <v/>
      </c>
      <c r="FT28" s="144" t="str">
        <f t="shared" si="18"/>
        <v/>
      </c>
      <c r="FU28" s="144" t="str">
        <f t="shared" si="19"/>
        <v/>
      </c>
      <c r="FV28" s="144" t="str">
        <f t="shared" si="20"/>
        <v/>
      </c>
      <c r="FW28" s="144" t="str">
        <f t="shared" si="21"/>
        <v/>
      </c>
      <c r="FX28" s="151"/>
      <c r="FY28" s="152"/>
      <c r="FZ28" s="152"/>
      <c r="GA28" s="152"/>
      <c r="GB28" s="152"/>
      <c r="GC28" s="152"/>
      <c r="GD28" s="152"/>
      <c r="GE28" s="152"/>
      <c r="GF28" s="152"/>
      <c r="GG28" s="153"/>
    </row>
    <row r="29" spans="1:189">
      <c r="A29" s="45"/>
      <c r="B29" s="133"/>
      <c r="C29" s="133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9"/>
      <c r="U29" s="48"/>
      <c r="V29" s="49"/>
      <c r="W29" s="48"/>
      <c r="X29" s="48"/>
      <c r="Y29" s="48"/>
      <c r="Z29" s="48"/>
      <c r="AA29" s="49"/>
      <c r="AB29" s="48"/>
      <c r="AC29" s="50"/>
      <c r="AD29" s="48"/>
      <c r="AE29" s="48"/>
      <c r="AF29" s="48"/>
      <c r="AG29" s="48"/>
      <c r="AH29" s="48"/>
      <c r="AI29" s="48"/>
      <c r="AJ29" s="48"/>
      <c r="AK29" s="48"/>
      <c r="AL29" s="51"/>
      <c r="AM29" s="37"/>
      <c r="AN29" s="38"/>
      <c r="AO29" s="39"/>
      <c r="AP29" s="52"/>
      <c r="AQ29" s="53"/>
      <c r="AR29" s="64"/>
      <c r="AS29" s="65"/>
      <c r="AT29" s="54"/>
      <c r="AU29" s="54"/>
      <c r="AV29" s="54"/>
      <c r="AW29" s="54"/>
      <c r="AX29" s="70"/>
      <c r="AY29" s="71"/>
      <c r="AZ29" s="72"/>
      <c r="BA29" s="73"/>
      <c r="BB29" s="55"/>
      <c r="BC29" s="56"/>
      <c r="BD29" s="27" t="str">
        <f t="shared" si="22"/>
        <v/>
      </c>
      <c r="BE29" s="58"/>
      <c r="BF29" s="3" t="str">
        <f>IF(BE29=0,"",IF(BE29=VLOOKUP("FIXO",ARBOR!$A:$C,3,0),0.0001,IF(BE29&gt;VLOOKUP("FIXO",ARBOR!$A:$C,3,0),"Maior que CAP!",IF((DOLLAR(BE29+(VLOOKUP("FIXO",ARBOR!$A:$C,3,0)*-TRUNC(BE29/VLOOKUP("FIXO",ARBOR!$A:$C,3,0)-1,4)),6))&lt;&gt;(DOLLAR(VLOOKUP("FIXO",ARBOR!$A:$C,3,0),6)),-TRUNC(BE29/VLOOKUP("FIXO",ARBOR!$A:$C,3,0)-1,4)+0.0001,-TRUNC(BE29/VLOOKUP("FIXO",ARBOR!$A:$C,3,0)-1,4)))))</f>
        <v/>
      </c>
      <c r="BG29" s="10" t="str">
        <f>IF(ISERROR(IF(BF29="","",VLOOKUP(($BC29&amp;BF29&amp;"Template de desconto FLAT bundle - Fixo - Varejo - Ganho Tributário Cross"),BENEFICIOS!$A:$G,5,0))),"Criar",IF(BF29="","",VLOOKUP(($BC29&amp;BF29&amp;"Template de desconto FLAT bundle - Fixo - Varejo - Ganho Tributário Cross"),BENEFICIOS!$A:$G,5,0)))</f>
        <v/>
      </c>
      <c r="BH29" s="8"/>
      <c r="BI29" s="3" t="str">
        <f>IF(BH29=0,"",IF(BH29=VLOOKUP("PCS-OzTL40",ARBOR!$A:$C,3,0),0.0001,IF(BH29&gt;VLOOKUP("PCS-OzTL40",ARBOR!$A:$C,3,0),"Maior que CAP!",IF((DOLLAR(BH29+(VLOOKUP("PCS-OzTL40",ARBOR!$A:$C,3,0)*-TRUNC(BH29/VLOOKUP("PCS-OzTL40",ARBOR!$A:$C,3,0)-1,4)),6))&lt;&gt;(DOLLAR(VLOOKUP("PCS-OzTL40",ARBOR!$A:$C,3,0),6)),-TRUNC(BH29/VLOOKUP("PCS-OzTL40",ARBOR!$A:$C,3,0)-1,4)+0.0001,-TRUNC(BH29/VLOOKUP("PCS-OzTL40",ARBOR!$A:$C,3,0)-1,4)))))</f>
        <v/>
      </c>
      <c r="BJ29" s="10" t="str">
        <f>IF(ISERROR(IF(BI29="","",VLOOKUP((BC29&amp;BI29&amp;"Template desconto FLAT Plano Principal Oi TV nível conta"),BENEFICIOS!$A:$G,5,0))),"Criar",IF(BI29="","",VLOOKUP((BC29&amp;BI29&amp;"Template desconto FLAT Plano Principal Oi TV nível conta"),BENEFICIOS!$A:$G,5,0)))</f>
        <v/>
      </c>
      <c r="BK29" s="8"/>
      <c r="BL29" s="3" t="str">
        <f>IF(BK29=0,"",IF(BK29=VLOOKUP("PCS-OzTL41",ARBOR!$A:$C,3,0),0.0001,IF(BK29&gt;VLOOKUP("PCS-OzTL41",ARBOR!$A:$C,3,0),"Maior que CAP!",IF((DOLLAR(BK29+(VLOOKUP("PCS-OzTL41",ARBOR!$A:$C,3,0)*-TRUNC(BK29/VLOOKUP("PCS-OzTL41",ARBOR!$A:$C,3,0)-1,4)),6))&lt;&gt;(DOLLAR(VLOOKUP("PCS-OzTL41",ARBOR!$A:$C,3,0),6)),-TRUNC(BK29/VLOOKUP("PCS-OzTL41",ARBOR!$A:$C,3,0)-1,4)+0.0001,-TRUNC(BK29/VLOOKUP("PCS-OzTL41",ARBOR!$A:$C,3,0)-1,4)))))</f>
        <v/>
      </c>
      <c r="BM29" s="28" t="str">
        <f>IF(ISERROR(IF(BL29="","",VLOOKUP((BC29&amp;BL29&amp;"Template desconto FLAT Plano Principal Oi TV nível conta"),BENEFICIOS!$A:$G,5,0))),"Criar",IF(BL29="","",VLOOKUP((BC29&amp;BL29&amp;"Template desconto FLAT Plano Principal Oi TV nível conta"),BENEFICIOS!$A:$G,5,0)))</f>
        <v/>
      </c>
      <c r="BN29" s="8"/>
      <c r="BO29" s="3" t="str">
        <f>IF(BN29=0,"",IF(BN29=VLOOKUP("PCS-OzTL44",ARBOR!$A:$C,3,0),0.0001,IF(BN29&gt;VLOOKUP("PCS-OzTL44",ARBOR!$A:$C,3,0),"Maior que CAP!",IF((DOLLAR(BN29+(VLOOKUP("PCS-OzTL44",ARBOR!$A:$C,3,0)*-TRUNC(BN29/VLOOKUP("PCS-OzTL44",ARBOR!$A:$C,3,0)-1,4)),6))&lt;&gt;(DOLLAR(VLOOKUP("PCS-OzTL44",ARBOR!$A:$C,3,0),6)),-TRUNC(BN29/VLOOKUP("PCS-OzTL44",ARBOR!$A:$C,3,0)-1,4)+0.0001,-TRUNC(BN29/VLOOKUP("PCS-OzTL44",ARBOR!$A:$C,3,0)-1,4)))))</f>
        <v/>
      </c>
      <c r="BP29" s="28" t="str">
        <f>IF(ISERROR(IF(BO29="","",VLOOKUP((BC29&amp;BO29&amp;"Template desconto FLAT Plano Principal Oi TV nível conta"),BENEFICIOS!$A:$G,5,0))),"Criar",IF(BO29="","",VLOOKUP((BC29&amp;BO29&amp;"Template desconto FLAT Plano Principal Oi TV nível conta"),BENEFICIOS!$A:$G,5,0)))</f>
        <v/>
      </c>
      <c r="BQ29" s="8"/>
      <c r="BR29" s="3" t="str">
        <f>IF(BQ29=0,"",IF(BQ29=VLOOKUP("PCS-OzTL43",ARBOR!$A:$C,3,0),0.0001,IF(BQ29&gt;VLOOKUP("PCS-OzTL43",ARBOR!$A:$C,3,0),"Maior que CAP!",IF((DOLLAR(BQ29+(VLOOKUP("PCS-OzTL43",ARBOR!$A:$C,3,0)*-TRUNC(BQ29/VLOOKUP("PCS-OzTL43",ARBOR!$A:$C,3,0)-1,4)),6))&lt;&gt;(DOLLAR(VLOOKUP("PCS-OzTL43",ARBOR!$A:$C,3,0),6)),-TRUNC(BQ29/VLOOKUP("PCS-OzTL43",ARBOR!$A:$C,3,0)-1,4)+0.0001,-TRUNC(BQ29/VLOOKUP("PCS-OzTL43",ARBOR!$A:$C,3,0)-1,4)))))</f>
        <v/>
      </c>
      <c r="BS29" s="28" t="str">
        <f>IF(ISERROR(IF(BR29="","",VLOOKUP((BC29&amp;BR29&amp;"Template desconto FLAT Plano Principal Oi TV nível conta"),BENEFICIOS!$A:$G,5,0))),"Criar",IF(BR29="","",VLOOKUP((BC29&amp;BR29&amp;"Template desconto FLAT Plano Principal Oi TV nível conta"),BENEFICIOS!$A:$G,5,0)))</f>
        <v/>
      </c>
      <c r="BT29" s="8"/>
      <c r="BU29" s="3" t="str">
        <f>IF(BT29=0,"",IF(BT29=VLOOKUP("PCS-OzTL45",ARBOR!$A:$C,3,0),0.0001,IF(BT29&gt;VLOOKUP("PCS-OzTL45",ARBOR!$A:$C,3,0),"Maior que CAP!",IF((DOLLAR(BT29+(VLOOKUP("PCS-OzTL45",ARBOR!$A:$C,3,0)*-TRUNC(BT29/VLOOKUP("PCS-OzTL45",ARBOR!$A:$C,3,0)-1,4)),6))&lt;&gt;(DOLLAR(VLOOKUP("PCS-OzTL45",ARBOR!$A:$C,3,0),6)),-TRUNC(BT29/VLOOKUP("PCS-OzTL45",ARBOR!$A:$C,3,0)-1,4)+0.0001,-TRUNC(BT29/VLOOKUP("PCS-OzTL45",ARBOR!$A:$C,3,0)-1,4)))))</f>
        <v/>
      </c>
      <c r="BV29" s="28" t="str">
        <f>IF(ISERROR(IF(BU29="","",VLOOKUP((BC29&amp;BU29&amp;"Template desconto FLAT Plano Principal Oi TV nível conta"),BENEFICIOS!$A:$G,5,0))),"Criar",IF(BU29="","",VLOOKUP((BC29&amp;BU29&amp;"Template desconto FLAT Plano Principal Oi TV nível conta"),BENEFICIOS!$A:$G,5,0)))</f>
        <v/>
      </c>
      <c r="BW29" s="8"/>
      <c r="BX29" s="3" t="str">
        <f>IF(BW29=0,"",IF(BW29=VLOOKUP("PCS-OzTL741",ARBOR!$A:$C,3,0),0.0001,IF(BW29&gt;VLOOKUP("PCS-OzTL741",ARBOR!$A:$C,3,0),"Maior que CAP!",IF((DOLLAR(BW29+(VLOOKUP("PCS-OzTL741",ARBOR!$A:$C,3,0)*-TRUNC(BW29/VLOOKUP("PCS-OzTL741",ARBOR!$A:$C,3,0)-1,4)),6))&lt;&gt;(DOLLAR(VLOOKUP("PCS-OzTL741",ARBOR!$A:$C,3,0),6)),-TRUNC(BW29/VLOOKUP("PCS-OzTL741",ARBOR!$A:$C,3,0)-1,4)+0.0001,-TRUNC(BW29/VLOOKUP("PCS-OzTL741",ARBOR!$A:$C,3,0)-1,4)))))</f>
        <v/>
      </c>
      <c r="BY29" s="28" t="str">
        <f>IF(ISERROR(IF(BX29="","",VLOOKUP((BC29&amp;BX29&amp;"Template desconto FLAT Plano Principal Oi TV nível conta"),BENEFICIOS!$A:$G,5,0))),"Criar",IF(BX29="","",VLOOKUP((BC29&amp;BX29&amp;"Template desconto FLAT Plano Principal Oi TV nível conta"),BENEFICIOS!$A:$G,5,0)))</f>
        <v/>
      </c>
      <c r="BZ29" s="8"/>
      <c r="CA29" s="3" t="str">
        <f>IF(BZ29=0,"",IF(BZ29=VLOOKUP("PCS-OzTL744",ARBOR!$A:$C,3,0),0.0001,IF(BZ29&gt;VLOOKUP("PCS-OzTL744",ARBOR!$A:$C,3,0),"Maior que CAP!",IF((DOLLAR(BZ29+(VLOOKUP("PCS-OzTL744",ARBOR!$A:$C,3,0)*-TRUNC(BZ29/VLOOKUP("PCS-OzTL744",ARBOR!$A:$C,3,0)-1,4)),6))&lt;&gt;(DOLLAR(VLOOKUP("PCS-OzTL744",ARBOR!$A:$C,3,0),6)),-TRUNC(BZ29/VLOOKUP("PCS-OzTL744",ARBOR!$A:$C,3,0)-1,4)+0.0001,-TRUNC(BZ29/VLOOKUP("PCS-OzTL744",ARBOR!$A:$C,3,0)-1,4)))))</f>
        <v/>
      </c>
      <c r="CB29" s="28" t="str">
        <f>IF(ISERROR(IF(CA29="","",VLOOKUP(($BC29&amp;CA29&amp;"Template desconto FLAT Plano Principal Oi TV nível conta"),BENEFICIOS!$A:$G,5,0))),"Criar",IF(CA29="","",VLOOKUP(($BC29&amp;CA29&amp;"Template desconto FLAT Plano Principal Oi TV nível conta"),BENEFICIOS!$A:$G,5,0)))</f>
        <v/>
      </c>
      <c r="CC29" s="8"/>
      <c r="CD29" s="3" t="str">
        <f>IF(CC29=0,"",IF(CC29=VLOOKUP("PCS-OzTL743",ARBOR!$A:$C,3,0),0.0001,IF(CC29&gt;VLOOKUP("PCS-OzTL743",ARBOR!$A:$C,3,0),"Maior que CAP!",IF((DOLLAR(CC29+(VLOOKUP("PCS-OzTL743",ARBOR!$A:$C,3,0)*-TRUNC(CC29/VLOOKUP("PCS-OzTL743",ARBOR!$A:$C,3,0)-1,4)),6))&lt;&gt;(DOLLAR(VLOOKUP("PCS-OzTL743",ARBOR!$A:$C,3,0),6)),-TRUNC(CC29/VLOOKUP("PCS-OzTL743",ARBOR!$A:$C,3,0)-1,4)+0.0001,-TRUNC(CC29/VLOOKUP("PCS-OzTL743",ARBOR!$A:$C,3,0)-1,4)))))</f>
        <v/>
      </c>
      <c r="CE29" s="28" t="str">
        <f>IF(ISERROR(IF(CD29="","",VLOOKUP(($BC29&amp;CD29&amp;"Template desconto FLAT Plano Principal Oi TV nível conta"),BENEFICIOS!$A:$G,5,0))),"Criar",IF(CD29="","",VLOOKUP(($BC29&amp;CD29&amp;"Template desconto FLAT Plano Principal Oi TV nível conta"),BENEFICIOS!$A:$G,5,0)))</f>
        <v/>
      </c>
      <c r="CF29" s="8"/>
      <c r="CG29" s="3" t="str">
        <f>IF(CF29=0,"",IF(CF29=VLOOKUP("PCS-OzTL745",ARBOR!$A:$C,3,0),0.0001,IF(CF29&gt;VLOOKUP("PCS-OzTL745",ARBOR!$A:$C,3,0),"Maior que CAP!",IF((DOLLAR(CF29+(VLOOKUP("PCS-OzTL745",ARBOR!$A:$C,3,0)*-TRUNC(CF29/VLOOKUP("PCS-OzTL745",ARBOR!$A:$C,3,0)-1,4)),6))&lt;&gt;(DOLLAR(VLOOKUP("PCS-OzTL745",ARBOR!$A:$C,3,0),6)),-TRUNC(CF29/VLOOKUP("PCS-OzTL745",ARBOR!$A:$C,3,0)-1,4)+0.0001,-TRUNC(CF29/VLOOKUP("PCS-OzTL745",ARBOR!$A:$C,3,0)-1,4)))))</f>
        <v/>
      </c>
      <c r="CH29" s="28" t="str">
        <f>IF(ISERROR(IF(CG29="","",VLOOKUP(($BC29&amp;CG29&amp;"Template desconto FLAT Plano Principal Oi TV nível conta"),BENEFICIOS!$A:$G,5,0))),"Criar",IF(CG29="","",VLOOKUP(($BC29&amp;CG29&amp;"Template desconto FLAT Plano Principal Oi TV nível conta"),BENEFICIOS!$A:$G,5,0)))</f>
        <v/>
      </c>
      <c r="CI29" s="8"/>
      <c r="CJ29" s="3" t="str">
        <f>IF(CI29=0,"",IF(CI29=VLOOKUP("PCS-OzTL42",ARBOR!$A:$C,3,0),0.0001,IF(CI29&gt;VLOOKUP("PCS-OzTL42",ARBOR!$A:$C,3,0),"Maior que CAP!",IF((DOLLAR(CI29+(VLOOKUP("PCS-OzTL42",ARBOR!$A:$C,3,0)*-TRUNC(CI29/VLOOKUP("PCS-OzTL42",ARBOR!$A:$C,3,0)-1,4)),6))&lt;&gt;(DOLLAR(VLOOKUP("PCS-OzTL42",ARBOR!$A:$C,3,0),6)),-TRUNC(CI29/VLOOKUP("PCS-OzTL42",ARBOR!$A:$C,3,0)-1,4)+0.0001,-TRUNC(CI29/VLOOKUP("PCS-OzTL42",ARBOR!$A:$C,3,0)-1,4)))))</f>
        <v/>
      </c>
      <c r="CK29" s="28" t="str">
        <f>IF(ISERROR(IF(CJ29="","",VLOOKUP(($BC29&amp;CJ29&amp;"Template desconto FLAT Plano Principal Oi TV nível conta"),BENEFICIOS!$A:$G,5,0))),"Criar",IF(CJ29="","",VLOOKUP(($BC29&amp;CJ29&amp;"Template desconto FLAT Plano Principal Oi TV nível conta"),BENEFICIOS!$A:$G,5,0)))</f>
        <v/>
      </c>
      <c r="CL29" s="8"/>
      <c r="CM29" s="3" t="str">
        <f>IF(CL29=0,"",IF(CL29=VLOOKUP("PCS-OzTL47",ARBOR!$A:$C,3,0),0.0001,IF(CL29&gt;VLOOKUP("PCS-OzTL47",ARBOR!$A:$C,3,0),"Maior que CAP!",IF((DOLLAR(CL29+(VLOOKUP("PCS-OzTL47",ARBOR!$A:$C,3,0)*-TRUNC(CL29/VLOOKUP("PCS-OzTL47",ARBOR!$A:$C,3,0)-1,4)),6))&lt;&gt;(DOLLAR(VLOOKUP("PCS-OzTL47",ARBOR!$A:$C,3,0),6)),-TRUNC(CL29/VLOOKUP("PCS-OzTL47",ARBOR!$A:$C,3,0)-1,4)+0.0001,-TRUNC(CL29/VLOOKUP("PCS-OzTL47",ARBOR!$A:$C,3,0)-1,4)))))</f>
        <v/>
      </c>
      <c r="CN29" s="28" t="str">
        <f>IF(ISERROR(IF(CM29="","",VLOOKUP(($BC29&amp;CM29&amp;"Template desconto FLAT Plano Principal Oi TV nível conta"),BENEFICIOS!$A:$G,5,0))),"Criar",IF(CM29="","",VLOOKUP(($BC29&amp;CM29&amp;"Template desconto FLAT Plano Principal Oi TV nível conta"),BENEFICIOS!$A:$G,5,0)))</f>
        <v/>
      </c>
      <c r="CO29" s="8"/>
      <c r="CP29" s="3" t="str">
        <f>IF(CO29=0,"",IF(CO29=VLOOKUP("PCS-OzTL46",ARBOR!$A:$C,3,0),0.0001,IF(CO29&gt;VLOOKUP("PCS-OzTL46",ARBOR!$A:$C,3,0),"Maior que CAP!",IF((DOLLAR(CO29+(VLOOKUP("PCS-OzTL46",ARBOR!$A:$C,3,0)*-TRUNC(CO29/VLOOKUP("PCS-OzTL46",ARBOR!$A:$C,3,0)-1,4)),6))&lt;&gt;(DOLLAR(VLOOKUP("PCS-OzTL46",ARBOR!$A:$C,3,0),6)),-TRUNC(CO29/VLOOKUP("PCS-OzTL46",ARBOR!$A:$C,3,0)-1,4)+0.0001,-TRUNC(CO29/VLOOKUP("PCS-OzTL46",ARBOR!$A:$C,3,0)-1,4)))))</f>
        <v/>
      </c>
      <c r="CQ29" s="28" t="str">
        <f>IF(ISERROR(IF(CP29="","",VLOOKUP(($BC29&amp;CP29&amp;"Template desconto FLAT Plano Principal Oi TV nível conta"),BENEFICIOS!$A:$G,5,0))),"Criar",IF(CP29="","",VLOOKUP(($BC29&amp;CP29&amp;"Template desconto FLAT Plano Principal Oi TV nível conta"),BENEFICIOS!$A:$G,5,0)))</f>
        <v/>
      </c>
      <c r="CR29" s="8"/>
      <c r="CS29" s="3" t="str">
        <f>IF(CR29=0,"",IF(CR29=VLOOKUP("PCS-OzTL48",ARBOR!$A:$C,3,0),0.0001,IF(CR29&gt;VLOOKUP("PCS-OzTL48",ARBOR!$A:$C,3,0),"Maior que CAP!",IF((DOLLAR(CR29+(VLOOKUP("PCS-OzTL48",ARBOR!$A:$C,3,0)*-TRUNC(CR29/VLOOKUP("PCS-OzTL48",ARBOR!$A:$C,3,0)-1,4)),6))&lt;&gt;(DOLLAR(VLOOKUP("PCS-OzTL48",ARBOR!$A:$C,3,0),6)),-TRUNC(CR29/VLOOKUP("PCS-OzTL48",ARBOR!$A:$C,3,0)-1,4)+0.0001,-TRUNC(CR29/VLOOKUP("PCS-OzTL48",ARBOR!$A:$C,3,0)-1,4)))))</f>
        <v/>
      </c>
      <c r="CT29" s="28" t="str">
        <f>IF(ISERROR(IF(CS29="","",VLOOKUP(($BC29&amp;CS29&amp;"Template desconto FLAT Plano Principal Oi TV nível conta"),BENEFICIOS!$A:$G,5,0))),"Criar",IF(CS29="","",VLOOKUP(($BC29&amp;CS29&amp;"Template desconto FLAT Plano Principal Oi TV nível conta"),BENEFICIOS!$A:$G,5,0)))</f>
        <v/>
      </c>
      <c r="CU29" s="8"/>
      <c r="CV29" s="3" t="str">
        <f>IF(CU29=0,"",IF(CU29=VLOOKUP("PCS-OzTL742",ARBOR!$A:$C,3,0),0.0001,IF(CU29&gt;VLOOKUP("PCS-OzTL742",ARBOR!$A:$C,3,0),"Maior que CAP!",IF((DOLLAR(CU29+(VLOOKUP("PCS-OzTL742",ARBOR!$A:$C,3,0)*-TRUNC(CU29/VLOOKUP("PCS-OzTL742",ARBOR!$A:$C,3,0)-1,4)),6))&lt;&gt;(DOLLAR(VLOOKUP("PCS-OzTL742",ARBOR!$A:$C,3,0),6)),-TRUNC(CU29/VLOOKUP("PCS-OzTL742",ARBOR!$A:$C,3,0)-1,4)+0.0001,-TRUNC(CU29/VLOOKUP("PCS-OzTL742",ARBOR!$A:$C,3,0)-1,4)))))</f>
        <v/>
      </c>
      <c r="CW29" s="28" t="str">
        <f>IF(ISERROR(IF(CV29="","",VLOOKUP(($BC29&amp;CV29&amp;"Template desconto FLAT Plano Principal Oi TV nível conta"),BENEFICIOS!$A:$G,5,0))),"Criar",IF(CV29="","",VLOOKUP(($BC29&amp;CV29&amp;"Template desconto FLAT Plano Principal Oi TV nível conta"),BENEFICIOS!$A:$G,5,0)))</f>
        <v/>
      </c>
      <c r="CX29" s="8"/>
      <c r="CY29" s="3" t="str">
        <f>IF(CX29=0,"",IF(CX29=VLOOKUP("PCS-OzTL747",ARBOR!$A:$C,3,0),0.0001,IF(CX29&gt;VLOOKUP("PCS-OzTL747",ARBOR!$A:$C,3,0),"Maior que CAP!",IF((DOLLAR(CX29+(VLOOKUP("PCS-OzTL747",ARBOR!$A:$C,3,0)*-TRUNC(CX29/VLOOKUP("PCS-OzTL747",ARBOR!$A:$C,3,0)-1,4)),6))&lt;&gt;(DOLLAR(VLOOKUP("PCS-OzTL747",ARBOR!$A:$C,3,0),6)),-TRUNC(CX29/VLOOKUP("PCS-OzTL747",ARBOR!$A:$C,3,0)-1,4)+0.0001,-TRUNC(CX29/VLOOKUP("PCS-OzTL747",ARBOR!$A:$C,3,0)-1,4)))))</f>
        <v/>
      </c>
      <c r="CZ29" s="28" t="str">
        <f>IF(ISERROR(IF(CY29="","",VLOOKUP(($BC29&amp;CY29&amp;"Template desconto FLAT Plano Principal Oi TV nível conta"),BENEFICIOS!$A:$G,5,0))),"Criar",IF(CY29="","",VLOOKUP(($BC29&amp;CY29&amp;"Template desconto FLAT Plano Principal Oi TV nível conta"),BENEFICIOS!$A:$G,5,0)))</f>
        <v/>
      </c>
      <c r="DA29" s="8"/>
      <c r="DB29" s="3" t="str">
        <f>IF(DA29=0,"",IF(DA29=VLOOKUP("PCS-OzTL746",ARBOR!$A:$C,3,0),0.0001,IF(DA29&gt;VLOOKUP("PCS-OzTL746",ARBOR!$A:$C,3,0),"Maior que CAP!",IF((DOLLAR(DA29+(VLOOKUP("PCS-OzTL746",ARBOR!$A:$C,3,0)*-TRUNC(DA29/VLOOKUP("PCS-OzTL746",ARBOR!$A:$C,3,0)-1,4)),6))&lt;&gt;(DOLLAR(VLOOKUP("PCS-OzTL746",ARBOR!$A:$C,3,0),6)),-TRUNC(DA29/VLOOKUP("PCS-OzTL746",ARBOR!$A:$C,3,0)-1,4)+0.0001,-TRUNC(DA29/VLOOKUP("PCS-OzTL746",ARBOR!$A:$C,3,0)-1,4)))))</f>
        <v/>
      </c>
      <c r="DC29" s="28" t="str">
        <f>IF(ISERROR(IF(DB29="","",VLOOKUP(($BC29&amp;DB29&amp;"Template desconto FLAT Plano Principal Oi TV nível conta"),BENEFICIOS!$A:$G,5,0))),"Criar",IF(DB29="","",VLOOKUP(($BC29&amp;DB29&amp;"Template desconto FLAT Plano Principal Oi TV nível conta"),BENEFICIOS!$A:$G,5,0)))</f>
        <v/>
      </c>
      <c r="DD29" s="8"/>
      <c r="DE29" s="3" t="str">
        <f>IF(DD29=0,"",IF(DD29=VLOOKUP("PCS-OzTL748",ARBOR!$A:$C,3,0),0.0001,IF(DD29&gt;VLOOKUP("PCS-OzTL748",ARBOR!$A:$C,3,0),"Maior que CAP!",IF((DOLLAR(DD29+(VLOOKUP("PCS-OzTL748",ARBOR!$A:$C,3,0)*-TRUNC(DD29/VLOOKUP("PCS-OzTL748",ARBOR!$A:$C,3,0)-1,4)),6))&lt;&gt;(DOLLAR(VLOOKUP("PCS-OzTL748",ARBOR!$A:$C,3,0),6)),-TRUNC(DD29/VLOOKUP("PCS-OzTL748",ARBOR!$A:$C,3,0)-1,4)+0.0001,-TRUNC(DD29/VLOOKUP("PCS-OzTL748",ARBOR!$A:$C,3,0)-1,4)))))</f>
        <v/>
      </c>
      <c r="DF29" s="28" t="str">
        <f>IF(ISERROR(IF(DE29="","",VLOOKUP(($BC29&amp;DE29&amp;"Template desconto FLAT Plano Principal Oi TV nível conta"),BENEFICIOS!$A:$G,5,0))),"Criar",IF(DE29="","",VLOOKUP(($BC29&amp;DE29&amp;"Template desconto FLAT Plano Principal Oi TV nível conta"),BENEFICIOS!$A:$G,5,0)))</f>
        <v/>
      </c>
      <c r="DG29" s="8"/>
      <c r="DH29" s="3" t="str">
        <f>IF(DG29=0,"",IF(DG29=VLOOKUP("PCS-OzTL34",ARBOR!$A:$C,3,0),0.0001,IF(DG29&gt;VLOOKUP("PCS-OzTL34",ARBOR!$A:$C,3,0),"Maior que CAP!",IF((DOLLAR(DG29+(VLOOKUP("PCS-OzTL34",ARBOR!$A:$C,3,0)*-TRUNC(DG29/VLOOKUP("PCS-OzTL34",ARBOR!$A:$C,3,0)-1,4)),6))&lt;&gt;(DOLLAR(VLOOKUP("PCS-OzTL34",ARBOR!$A:$C,3,0),6)),-TRUNC(DG29/VLOOKUP("PCS-OzTL34",ARBOR!$A:$C,3,0)-1,4)+0.0001,-TRUNC(DG29/VLOOKUP("PCS-OzTL34",ARBOR!$A:$C,3,0)-1,4)))))</f>
        <v/>
      </c>
      <c r="DI29" s="28" t="str">
        <f>IF(DH29="S/Desc","S/Desc",IF(ISERROR(IF(DH29="","",VLOOKUP(($BC29&amp;DH29&amp;"Template desconto % Combate nível conta"),BENEFICIOS!$A:$G,5,0))),"Criar",IF(DH29="","",VLOOKUP(($BC29&amp;DH29&amp;"Template desconto % Combate nível conta"),BENEFICIOS!$A:$G,5,0))))</f>
        <v/>
      </c>
      <c r="DJ29" s="8"/>
      <c r="DK29" s="3" t="str">
        <f>IF(DJ29=0,"",IF(DJ29=VLOOKUP("PCS-OzTL31",ARBOR!$A:$C,3,0),0.0001,IF(DJ29&gt;VLOOKUP("PCS-OzTL31",ARBOR!$A:$C,3,0),"Maior que CAP!",IF((DOLLAR(DJ29+(VLOOKUP("PCS-OzTL31",ARBOR!$A:$C,3,0)*-TRUNC(DJ29/VLOOKUP("PCS-OzTL31",ARBOR!$A:$C,3,0)-1,4)),6))&lt;&gt;(DOLLAR(VLOOKUP("PCS-OzTL31",ARBOR!$A:$C,3,0),6)),-TRUNC(DJ29/VLOOKUP("PCS-OzTL31",ARBOR!$A:$C,3,0)-1,4)+0.0001,-TRUNC(DJ29/VLOOKUP("PCS-OzTL31",ARBOR!$A:$C,3,0)-1,4)))))</f>
        <v/>
      </c>
      <c r="DL29" s="28" t="str">
        <f>IF(DK29="S/Desc","S/Desc",IF(ISERROR(IF(DK29="","",VLOOKUP(($BC29&amp;DK29&amp;"Template desconto % Sexy Hot nível conta"),BENEFICIOS!$A:$G,5,0))),"Criar",IF(DK29="","",VLOOKUP(($BC29&amp;DK29&amp;"Template desconto % Sexy Hot nível conta"),BENEFICIOS!$A:$G,5,0))))</f>
        <v/>
      </c>
      <c r="DM29" s="8"/>
      <c r="DN29" s="3" t="str">
        <f>IF(DM29=0,"",IF(DM29=VLOOKUP("PCS-OzTL32",ARBOR!$A:$C,3,0),0.0001,IF(DM29&gt;VLOOKUP("PCS-OzTL32",ARBOR!$A:$C,3,0),"Maior que CAP!",IF((DOLLAR(DM29+(VLOOKUP("PCS-OzTL32",ARBOR!$A:$C,3,0)*-TRUNC(DM29/VLOOKUP("PCS-OzTL32",ARBOR!$A:$C,3,0)-1,4)),6))&lt;&gt;(DOLLAR(VLOOKUP("PCS-OzTL32",ARBOR!$A:$C,3,0),6)),-TRUNC(DM29/VLOOKUP("PCS-OzTL32",ARBOR!$A:$C,3,0)-1,4)+0.0001,-TRUNC(DM29/VLOOKUP("PCS-OzTL32",ARBOR!$A:$C,3,0)-1,4)))))</f>
        <v/>
      </c>
      <c r="DO29" s="28" t="str">
        <f>IF(DN29="S/Desc","S/Desc",IF(ISERROR(IF(DN29="","",VLOOKUP(($BC29&amp;DN29&amp;"Template desconto % Playboy nível conta"),BENEFICIOS!$A:$G,5,0))),"Criar",IF(DN29="","",VLOOKUP(($BC29&amp;DN29&amp;"Template desconto % Playboy nível conta"),BENEFICIOS!$A:$G,5,0))))</f>
        <v/>
      </c>
      <c r="DP29" s="8"/>
      <c r="DQ29" s="3" t="str">
        <f>IF(DP29=0,"",IF(DP29=VLOOKUP("PCS-OzTL33",ARBOR!$A:$C,3,0),0.0001,IF(DP29&gt;VLOOKUP("PCS-OzTL33",ARBOR!$A:$C,3,0),"Maior que CAP!",IF((DOLLAR(DP29+(VLOOKUP("PCS-OzTL33",ARBOR!$A:$C,3,0)*-TRUNC(DP29/VLOOKUP("PCS-OzTL33",ARBOR!$A:$C,3,0)-1,4)),6))&lt;&gt;(DOLLAR(VLOOKUP("PCS-OzTL33",ARBOR!$A:$C,3,0),6)),-TRUNC(DP29/VLOOKUP("PCS-OzTL33",ARBOR!$A:$C,3,0)-1,4)+0.0001,-TRUNC(DP29/VLOOKUP("PCS-OzTL33",ARBOR!$A:$C,3,0)-1,4)))))</f>
        <v/>
      </c>
      <c r="DR29" s="28" t="str">
        <f>IF(DQ29="S/Desc","S/Desc",IF(ISERROR(IF(DQ29="","",VLOOKUP(($BC29&amp;DQ29&amp;"Template desconto % Sexy Hot + Playboy nível conta"),BENEFICIOS!$A:$G,5,0))),"Criar",IF(DQ29="","",VLOOKUP(($BC29&amp;DQ29&amp;"Template desconto % Sexy Hot + Playboy nível conta"),BENEFICIOS!$A:$G,5,0))))</f>
        <v/>
      </c>
      <c r="DS29" s="8"/>
      <c r="DT29" s="3" t="str">
        <f>IF(DS29=0,"",IF(DS29=VLOOKUP("PCS-OzTL503",ARBOR!$A:$C,3,0),0.0001,IF(DS29&gt;VLOOKUP("PCS-OzTL503",ARBOR!$A:$C,3,0),"Maior que CAP!",IF((DOLLAR(DS29+(VLOOKUP("PCS-OzTL503",ARBOR!$A:$C,3,0)*-TRUNC(DS29/VLOOKUP("PCS-OzTL503",ARBOR!$A:$C,3,0)-1,4)),6))&lt;&gt;(DOLLAR(VLOOKUP("PCS-OzTL503",ARBOR!$A:$C,3,0),6)),-TRUNC(DS29/VLOOKUP("PCS-OzTL503",ARBOR!$A:$C,3,0)-1,4)+0.0001,-TRUNC(DS29/VLOOKUP("PCS-OzTL503",ARBOR!$A:$C,3,0)-1,4)))))</f>
        <v/>
      </c>
      <c r="DU29" s="28" t="str">
        <f>IF(DT29="S/Desc","S/Desc",IF(ISERROR(IF(DT29="","",VLOOKUP(($BC29&amp;DT29&amp;"Template desconto % SexPrivê nível conta"),BENEFICIOS!$A:$G,5,0))),"Criar",IF(DT29="","",VLOOKUP(($BC29&amp;DT29&amp;"Template desconto % SexPrivê nível conta"),BENEFICIOS!$A:$G,5,0))))</f>
        <v/>
      </c>
      <c r="DV29" s="8"/>
      <c r="DW29" s="3" t="str">
        <f>IF(DV29=0,"",IF(DV29=VLOOKUP("PCS-OzTL500",ARBOR!$A:$C,3,0),0.0001,IF(DV29&gt;VLOOKUP("PCS-OzTL500",ARBOR!$A:$C,3,0),"Maior que CAP!",IF((DOLLAR(DV29+(VLOOKUP("PCS-OzTL500",ARBOR!$A:$C,3,0)*-TRUNC(DV29/VLOOKUP("PCS-OzTL500",ARBOR!$A:$C,3,0)-1,4)),6))&lt;&gt;(DOLLAR(VLOOKUP("PCS-OzTL500",ARBOR!$A:$C,3,0),6)),-TRUNC(DV29/VLOOKUP("PCS-OzTL500",ARBOR!$A:$C,3,0)-1,4)+0.0001,-TRUNC(DV29/VLOOKUP("PCS-OzTL500",ARBOR!$A:$C,3,0)-1,4)))))</f>
        <v/>
      </c>
      <c r="DX29" s="28" t="str">
        <f>IF(DW29="S/Desc","S/Desc",IF(ISERROR(IF(DW29="","",VLOOKUP(($BC29&amp;DW29&amp;"Template desconto % Étnico nível conta"),BENEFICIOS!$A:$G,5,0))),"Criar",IF(DW29="","",VLOOKUP(($BC29&amp;DW29&amp;"Template desconto % Étnico nível conta"),BENEFICIOS!$A:$G,5,0))))</f>
        <v/>
      </c>
      <c r="DY29" s="8"/>
      <c r="DZ29" s="181" t="str">
        <f>IF(DY29=0,"",IF(DY29=VLOOKUP("PCS-OzTL50",ARBOR!$A:$C,3,0),0.0001,IF(DY29&gt;VLOOKUP("PCS-OzTL50",ARBOR!$A:$C,3,0),"Maior que CAP!",IF((DOLLAR(DY29+(VLOOKUP("PCS-OzTL50",ARBOR!$A:$C,3,0)*-TRUNC(DY29/VLOOKUP("PCS-OzTL50",ARBOR!$A:$C,3,0)-1,4)),6))&lt;&gt;(DOLLAR(VLOOKUP("PCS-OzTL50",ARBOR!$A:$C,3,0),6)),-TRUNC(DY29/VLOOKUP("PCS-OzTL50",ARBOR!$A:$C,3,0)-1,4)+0.0001,-TRUNC(DY29/VLOOKUP("PCS-OzTL50",ARBOR!$A:$C,3,0)-1,4)))))</f>
        <v/>
      </c>
      <c r="EA29" s="28"/>
      <c r="EB29" s="8"/>
      <c r="EC29" s="181" t="str">
        <f>IF(EB29=0,"",IF(EB29=VLOOKUP("PCS-OzTL51",ARBOR!$A:$C,3,0),0.0001,IF(EB29&gt;VLOOKUP("PCS-OzTL51",ARBOR!$A:$C,3,0),"Maior que CAP!",IF((DOLLAR(EB29+(VLOOKUP("PCS-OzTL51",ARBOR!$A:$C,3,0)*-TRUNC(EB29/VLOOKUP("PCS-OzTL51",ARBOR!$A:$C,3,0)-1,4)),6))&lt;&gt;(DOLLAR(VLOOKUP("PCS-OzTL51",ARBOR!$A:$C,3,0),6)),-TRUNC(EB29/VLOOKUP("PCS-OzTL51",ARBOR!$A:$C,3,0)-1,4)+0.0001,-TRUNC(EB29/VLOOKUP("PCS-OzTL51",ARBOR!$A:$C,3,0)-1,4)))))</f>
        <v/>
      </c>
      <c r="ED29" s="28"/>
      <c r="EE29" s="8"/>
      <c r="EF29" s="181" t="str">
        <f>IF(EE29=0,"",IF(EE29=VLOOKUP("PCS-OzTL52",ARBOR!$A:$C,3,0),0.0001,IF(EE29&gt;VLOOKUP("PCS-OzTL52",ARBOR!$A:$C,3,0),"Maior que CAP!",IF((DOLLAR(EE29+(VLOOKUP("PCS-OzTL52",ARBOR!$A:$C,3,0)*-TRUNC(EE29/VLOOKUP("PCS-OzTL52",ARBOR!$A:$C,3,0)-1,4)),6))&lt;&gt;(DOLLAR(VLOOKUP("PCS-OzTL52",ARBOR!$A:$C,3,0),6)),-TRUNC(EE29/VLOOKUP("PCS-OzTL52",ARBOR!$A:$C,3,0)-1,4)+0.0001,-TRUNC(EE29/VLOOKUP("PCS-OzTL52",ARBOR!$A:$C,3,0)-1,4)))))</f>
        <v/>
      </c>
      <c r="EG29" s="28"/>
      <c r="EH29" s="8"/>
      <c r="EI29" s="181" t="str">
        <f>IF(EH29=0,"",IF(EH29=VLOOKUP("PCS-OzTL53",ARBOR!$A:$C,3,0),0.0001,IF(EH29&gt;VLOOKUP("PCS-OzTL53",ARBOR!$A:$C,3,0),"Maior que CAP!",IF((DOLLAR(EH29+(VLOOKUP("PCS-OzTL53",ARBOR!$A:$C,3,0)*-TRUNC(EH29/VLOOKUP("PCS-OzTL53",ARBOR!$A:$C,3,0)-1,4)),6))&lt;&gt;(DOLLAR(VLOOKUP("PCS-OzTL53",ARBOR!$A:$C,3,0),6)),-TRUNC(EH29/VLOOKUP("PCS-OzTL53",ARBOR!$A:$C,3,0)-1,4)+0.0001,-TRUNC(EH29/VLOOKUP("PCS-OzTL53",ARBOR!$A:$C,3,0)-1,4)))))</f>
        <v/>
      </c>
      <c r="EJ29" s="28"/>
      <c r="EK29" s="8"/>
      <c r="EL29" s="181" t="str">
        <f>IF(EK29=0,"",IF(EK29=VLOOKUP("PCS-OzTL54",ARBOR!$A:$C,3,0),0.0001,IF(EK29&gt;VLOOKUP("PCS-OzTL54",ARBOR!$A:$C,3,0),"Maior que CAP!",IF((DOLLAR(EK29+(VLOOKUP("PCS-OzTL54",ARBOR!$A:$C,3,0)*-TRUNC(EK29/VLOOKUP("PCS-OzTL54",ARBOR!$A:$C,3,0)-1,4)),6))&lt;&gt;(DOLLAR(VLOOKUP("PCS-OzTL54",ARBOR!$A:$C,3,0),6)),-TRUNC(EK29/VLOOKUP("PCS-OzTL54",ARBOR!$A:$C,3,0)-1,4)+0.0001,-TRUNC(EK29/VLOOKUP("PCS-OzTL54",ARBOR!$A:$C,3,0)-1,4)))))</f>
        <v/>
      </c>
      <c r="EM29" s="28"/>
      <c r="EN29" s="8"/>
      <c r="EO29" s="3" t="str">
        <f>IF(EN29=0,"",IF(EN29=VLOOKUP("PCS-OzTL99",ARBOR!$A:$C,3,0),0.0001,IF(EN29&gt;VLOOKUP("PCS-OzTL99",ARBOR!$A:$C,3,0),"Maior que CAP!",IF((DOLLAR(EN29+(VLOOKUP("PCS-OzTL99",ARBOR!$A:$C,3,0)*-TRUNC(EN29/VLOOKUP("PCS-OzTL99",ARBOR!$A:$C,3,0)-1,4)),6))&lt;&gt;(DOLLAR(VLOOKUP("PCS-OzTL99",ARBOR!$A:$C,3,0),6)),-TRUNC(EN29/VLOOKUP("PCS-OzTL99",ARBOR!$A:$C,3,0)-1,4)+0.0001,-TRUNC(EN29/VLOOKUP("PCS-OzTL99",ARBOR!$A:$C,3,0)-1,4)))))</f>
        <v/>
      </c>
      <c r="EP29" s="28" t="str">
        <f>IF(EO29="S/Desc","S/Desc",IF(ISERROR(IF(EO29="","",VLOOKUP(($BC29&amp;EO29&amp;"Template desconto % Ponto adicional nível conta"),BENEFICIOS!$A:$G,5,0))),"Criar",IF(EO29="","",VLOOKUP(($BC29&amp;EO29&amp;"Template desconto % Ponto adicional nível conta"),BENEFICIOS!$A:$G,5,0))))</f>
        <v/>
      </c>
      <c r="EQ29" s="8"/>
      <c r="ER29" s="28" t="str">
        <f t="shared" si="23"/>
        <v/>
      </c>
      <c r="ES29" s="62"/>
      <c r="ET29" s="126"/>
      <c r="EU29" s="127"/>
      <c r="EV29" s="126"/>
      <c r="EW29" s="128" t="str">
        <f t="shared" si="24"/>
        <v/>
      </c>
      <c r="EX29" s="129" t="str">
        <f t="shared" si="25"/>
        <v/>
      </c>
      <c r="EY29" s="91" t="str">
        <f t="shared" si="26"/>
        <v/>
      </c>
      <c r="EZ29" s="85"/>
      <c r="FA29" s="97"/>
      <c r="FB29" s="91"/>
      <c r="FC29" s="85"/>
      <c r="FD29" s="97"/>
      <c r="FE29" s="91"/>
      <c r="FF29" s="87"/>
      <c r="FG29" s="144" t="str">
        <f t="shared" si="5"/>
        <v/>
      </c>
      <c r="FH29" s="144" t="str">
        <f t="shared" si="6"/>
        <v/>
      </c>
      <c r="FI29" s="144" t="str">
        <f t="shared" si="7"/>
        <v/>
      </c>
      <c r="FJ29" s="144" t="str">
        <f t="shared" si="8"/>
        <v/>
      </c>
      <c r="FK29" s="144" t="str">
        <f t="shared" si="9"/>
        <v/>
      </c>
      <c r="FL29" s="144" t="str">
        <f t="shared" si="10"/>
        <v/>
      </c>
      <c r="FM29" s="144" t="str">
        <f t="shared" si="11"/>
        <v/>
      </c>
      <c r="FN29" s="144" t="str">
        <f t="shared" si="12"/>
        <v/>
      </c>
      <c r="FO29" s="144" t="str">
        <f t="shared" si="13"/>
        <v/>
      </c>
      <c r="FP29" s="144" t="str">
        <f t="shared" si="14"/>
        <v/>
      </c>
      <c r="FQ29" s="144" t="str">
        <f t="shared" si="15"/>
        <v/>
      </c>
      <c r="FR29" s="144" t="str">
        <f t="shared" si="16"/>
        <v/>
      </c>
      <c r="FS29" s="144" t="str">
        <f t="shared" si="17"/>
        <v/>
      </c>
      <c r="FT29" s="144" t="str">
        <f t="shared" si="18"/>
        <v/>
      </c>
      <c r="FU29" s="144" t="str">
        <f t="shared" si="19"/>
        <v/>
      </c>
      <c r="FV29" s="144" t="str">
        <f t="shared" si="20"/>
        <v/>
      </c>
      <c r="FW29" s="144" t="str">
        <f t="shared" si="21"/>
        <v/>
      </c>
      <c r="FX29" s="151"/>
      <c r="FY29" s="152"/>
      <c r="FZ29" s="152"/>
      <c r="GA29" s="152"/>
      <c r="GB29" s="152"/>
      <c r="GC29" s="152"/>
      <c r="GD29" s="152"/>
      <c r="GE29" s="152"/>
      <c r="GF29" s="152"/>
      <c r="GG29" s="153"/>
    </row>
    <row r="30" spans="1:189">
      <c r="A30" s="45"/>
      <c r="B30" s="133"/>
      <c r="C30" s="133"/>
      <c r="D30" s="46"/>
      <c r="E30" s="47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9"/>
      <c r="U30" s="48"/>
      <c r="V30" s="49"/>
      <c r="W30" s="48"/>
      <c r="X30" s="48"/>
      <c r="Y30" s="48"/>
      <c r="Z30" s="48"/>
      <c r="AA30" s="49"/>
      <c r="AB30" s="48"/>
      <c r="AC30" s="50"/>
      <c r="AD30" s="48"/>
      <c r="AE30" s="48"/>
      <c r="AF30" s="48"/>
      <c r="AG30" s="48"/>
      <c r="AH30" s="48"/>
      <c r="AI30" s="48"/>
      <c r="AJ30" s="48"/>
      <c r="AK30" s="48"/>
      <c r="AL30" s="51"/>
      <c r="AM30" s="37"/>
      <c r="AN30" s="38"/>
      <c r="AO30" s="39"/>
      <c r="AP30" s="52"/>
      <c r="AQ30" s="53"/>
      <c r="AR30" s="64"/>
      <c r="AS30" s="65"/>
      <c r="AT30" s="54"/>
      <c r="AU30" s="54"/>
      <c r="AV30" s="54"/>
      <c r="AW30" s="54"/>
      <c r="AX30" s="70"/>
      <c r="AY30" s="71"/>
      <c r="AZ30" s="72"/>
      <c r="BA30" s="73"/>
      <c r="BB30" s="55"/>
      <c r="BC30" s="56"/>
      <c r="BD30" s="27" t="str">
        <f t="shared" si="22"/>
        <v/>
      </c>
      <c r="BE30" s="58"/>
      <c r="BF30" s="3" t="str">
        <f>IF(BE30=0,"",IF(BE30=VLOOKUP("FIXO",ARBOR!$A:$C,3,0),0.0001,IF(BE30&gt;VLOOKUP("FIXO",ARBOR!$A:$C,3,0),"Maior que CAP!",IF((DOLLAR(BE30+(VLOOKUP("FIXO",ARBOR!$A:$C,3,0)*-TRUNC(BE30/VLOOKUP("FIXO",ARBOR!$A:$C,3,0)-1,4)),6))&lt;&gt;(DOLLAR(VLOOKUP("FIXO",ARBOR!$A:$C,3,0),6)),-TRUNC(BE30/VLOOKUP("FIXO",ARBOR!$A:$C,3,0)-1,4)+0.0001,-TRUNC(BE30/VLOOKUP("FIXO",ARBOR!$A:$C,3,0)-1,4)))))</f>
        <v/>
      </c>
      <c r="BG30" s="10" t="str">
        <f>IF(ISERROR(IF(BF30="","",VLOOKUP(($BC30&amp;BF30&amp;"Template de desconto FLAT bundle - Fixo - Varejo - Ganho Tributário Cross"),BENEFICIOS!$A:$G,5,0))),"Criar",IF(BF30="","",VLOOKUP(($BC30&amp;BF30&amp;"Template de desconto FLAT bundle - Fixo - Varejo - Ganho Tributário Cross"),BENEFICIOS!$A:$G,5,0)))</f>
        <v/>
      </c>
      <c r="BH30" s="8"/>
      <c r="BI30" s="3" t="str">
        <f>IF(BH30=0,"",IF(BH30=VLOOKUP("PCS-OzTL40",ARBOR!$A:$C,3,0),0.0001,IF(BH30&gt;VLOOKUP("PCS-OzTL40",ARBOR!$A:$C,3,0),"Maior que CAP!",IF((DOLLAR(BH30+(VLOOKUP("PCS-OzTL40",ARBOR!$A:$C,3,0)*-TRUNC(BH30/VLOOKUP("PCS-OzTL40",ARBOR!$A:$C,3,0)-1,4)),6))&lt;&gt;(DOLLAR(VLOOKUP("PCS-OzTL40",ARBOR!$A:$C,3,0),6)),-TRUNC(BH30/VLOOKUP("PCS-OzTL40",ARBOR!$A:$C,3,0)-1,4)+0.0001,-TRUNC(BH30/VLOOKUP("PCS-OzTL40",ARBOR!$A:$C,3,0)-1,4)))))</f>
        <v/>
      </c>
      <c r="BJ30" s="10" t="str">
        <f>IF(ISERROR(IF(BI30="","",VLOOKUP((BC30&amp;BI30&amp;"Template desconto FLAT Plano Principal Oi TV nível conta"),BENEFICIOS!$A:$G,5,0))),"Criar",IF(BI30="","",VLOOKUP((BC30&amp;BI30&amp;"Template desconto FLAT Plano Principal Oi TV nível conta"),BENEFICIOS!$A:$G,5,0)))</f>
        <v/>
      </c>
      <c r="BK30" s="8"/>
      <c r="BL30" s="3" t="str">
        <f>IF(BK30=0,"",IF(BK30=VLOOKUP("PCS-OzTL41",ARBOR!$A:$C,3,0),0.0001,IF(BK30&gt;VLOOKUP("PCS-OzTL41",ARBOR!$A:$C,3,0),"Maior que CAP!",IF((DOLLAR(BK30+(VLOOKUP("PCS-OzTL41",ARBOR!$A:$C,3,0)*-TRUNC(BK30/VLOOKUP("PCS-OzTL41",ARBOR!$A:$C,3,0)-1,4)),6))&lt;&gt;(DOLLAR(VLOOKUP("PCS-OzTL41",ARBOR!$A:$C,3,0),6)),-TRUNC(BK30/VLOOKUP("PCS-OzTL41",ARBOR!$A:$C,3,0)-1,4)+0.0001,-TRUNC(BK30/VLOOKUP("PCS-OzTL41",ARBOR!$A:$C,3,0)-1,4)))))</f>
        <v/>
      </c>
      <c r="BM30" s="28" t="str">
        <f>IF(ISERROR(IF(BL30="","",VLOOKUP((BC30&amp;BL30&amp;"Template desconto FLAT Plano Principal Oi TV nível conta"),BENEFICIOS!$A:$G,5,0))),"Criar",IF(BL30="","",VLOOKUP((BC30&amp;BL30&amp;"Template desconto FLAT Plano Principal Oi TV nível conta"),BENEFICIOS!$A:$G,5,0)))</f>
        <v/>
      </c>
      <c r="BN30" s="8"/>
      <c r="BO30" s="3" t="str">
        <f>IF(BN30=0,"",IF(BN30=VLOOKUP("PCS-OzTL44",ARBOR!$A:$C,3,0),0.0001,IF(BN30&gt;VLOOKUP("PCS-OzTL44",ARBOR!$A:$C,3,0),"Maior que CAP!",IF((DOLLAR(BN30+(VLOOKUP("PCS-OzTL44",ARBOR!$A:$C,3,0)*-TRUNC(BN30/VLOOKUP("PCS-OzTL44",ARBOR!$A:$C,3,0)-1,4)),6))&lt;&gt;(DOLLAR(VLOOKUP("PCS-OzTL44",ARBOR!$A:$C,3,0),6)),-TRUNC(BN30/VLOOKUP("PCS-OzTL44",ARBOR!$A:$C,3,0)-1,4)+0.0001,-TRUNC(BN30/VLOOKUP("PCS-OzTL44",ARBOR!$A:$C,3,0)-1,4)))))</f>
        <v/>
      </c>
      <c r="BP30" s="28" t="str">
        <f>IF(ISERROR(IF(BO30="","",VLOOKUP((BC30&amp;BO30&amp;"Template desconto FLAT Plano Principal Oi TV nível conta"),BENEFICIOS!$A:$G,5,0))),"Criar",IF(BO30="","",VLOOKUP((BC30&amp;BO30&amp;"Template desconto FLAT Plano Principal Oi TV nível conta"),BENEFICIOS!$A:$G,5,0)))</f>
        <v/>
      </c>
      <c r="BQ30" s="8"/>
      <c r="BR30" s="3" t="str">
        <f>IF(BQ30=0,"",IF(BQ30=VLOOKUP("PCS-OzTL43",ARBOR!$A:$C,3,0),0.0001,IF(BQ30&gt;VLOOKUP("PCS-OzTL43",ARBOR!$A:$C,3,0),"Maior que CAP!",IF((DOLLAR(BQ30+(VLOOKUP("PCS-OzTL43",ARBOR!$A:$C,3,0)*-TRUNC(BQ30/VLOOKUP("PCS-OzTL43",ARBOR!$A:$C,3,0)-1,4)),6))&lt;&gt;(DOLLAR(VLOOKUP("PCS-OzTL43",ARBOR!$A:$C,3,0),6)),-TRUNC(BQ30/VLOOKUP("PCS-OzTL43",ARBOR!$A:$C,3,0)-1,4)+0.0001,-TRUNC(BQ30/VLOOKUP("PCS-OzTL43",ARBOR!$A:$C,3,0)-1,4)))))</f>
        <v/>
      </c>
      <c r="BS30" s="28" t="str">
        <f>IF(ISERROR(IF(BR30="","",VLOOKUP((BC30&amp;BR30&amp;"Template desconto FLAT Plano Principal Oi TV nível conta"),BENEFICIOS!$A:$G,5,0))),"Criar",IF(BR30="","",VLOOKUP((BC30&amp;BR30&amp;"Template desconto FLAT Plano Principal Oi TV nível conta"),BENEFICIOS!$A:$G,5,0)))</f>
        <v/>
      </c>
      <c r="BT30" s="8"/>
      <c r="BU30" s="3" t="str">
        <f>IF(BT30=0,"",IF(BT30=VLOOKUP("PCS-OzTL45",ARBOR!$A:$C,3,0),0.0001,IF(BT30&gt;VLOOKUP("PCS-OzTL45",ARBOR!$A:$C,3,0),"Maior que CAP!",IF((DOLLAR(BT30+(VLOOKUP("PCS-OzTL45",ARBOR!$A:$C,3,0)*-TRUNC(BT30/VLOOKUP("PCS-OzTL45",ARBOR!$A:$C,3,0)-1,4)),6))&lt;&gt;(DOLLAR(VLOOKUP("PCS-OzTL45",ARBOR!$A:$C,3,0),6)),-TRUNC(BT30/VLOOKUP("PCS-OzTL45",ARBOR!$A:$C,3,0)-1,4)+0.0001,-TRUNC(BT30/VLOOKUP("PCS-OzTL45",ARBOR!$A:$C,3,0)-1,4)))))</f>
        <v/>
      </c>
      <c r="BV30" s="28" t="str">
        <f>IF(ISERROR(IF(BU30="","",VLOOKUP((BC30&amp;BU30&amp;"Template desconto FLAT Plano Principal Oi TV nível conta"),BENEFICIOS!$A:$G,5,0))),"Criar",IF(BU30="","",VLOOKUP((BC30&amp;BU30&amp;"Template desconto FLAT Plano Principal Oi TV nível conta"),BENEFICIOS!$A:$G,5,0)))</f>
        <v/>
      </c>
      <c r="BW30" s="8"/>
      <c r="BX30" s="3" t="str">
        <f>IF(BW30=0,"",IF(BW30=VLOOKUP("PCS-OzTL741",ARBOR!$A:$C,3,0),0.0001,IF(BW30&gt;VLOOKUP("PCS-OzTL741",ARBOR!$A:$C,3,0),"Maior que CAP!",IF((DOLLAR(BW30+(VLOOKUP("PCS-OzTL741",ARBOR!$A:$C,3,0)*-TRUNC(BW30/VLOOKUP("PCS-OzTL741",ARBOR!$A:$C,3,0)-1,4)),6))&lt;&gt;(DOLLAR(VLOOKUP("PCS-OzTL741",ARBOR!$A:$C,3,0),6)),-TRUNC(BW30/VLOOKUP("PCS-OzTL741",ARBOR!$A:$C,3,0)-1,4)+0.0001,-TRUNC(BW30/VLOOKUP("PCS-OzTL741",ARBOR!$A:$C,3,0)-1,4)))))</f>
        <v/>
      </c>
      <c r="BY30" s="28" t="str">
        <f>IF(ISERROR(IF(BX30="","",VLOOKUP((BC30&amp;BX30&amp;"Template desconto FLAT Plano Principal Oi TV nível conta"),BENEFICIOS!$A:$G,5,0))),"Criar",IF(BX30="","",VLOOKUP((BC30&amp;BX30&amp;"Template desconto FLAT Plano Principal Oi TV nível conta"),BENEFICIOS!$A:$G,5,0)))</f>
        <v/>
      </c>
      <c r="BZ30" s="8"/>
      <c r="CA30" s="3" t="str">
        <f>IF(BZ30=0,"",IF(BZ30=VLOOKUP("PCS-OzTL744",ARBOR!$A:$C,3,0),0.0001,IF(BZ30&gt;VLOOKUP("PCS-OzTL744",ARBOR!$A:$C,3,0),"Maior que CAP!",IF((DOLLAR(BZ30+(VLOOKUP("PCS-OzTL744",ARBOR!$A:$C,3,0)*-TRUNC(BZ30/VLOOKUP("PCS-OzTL744",ARBOR!$A:$C,3,0)-1,4)),6))&lt;&gt;(DOLLAR(VLOOKUP("PCS-OzTL744",ARBOR!$A:$C,3,0),6)),-TRUNC(BZ30/VLOOKUP("PCS-OzTL744",ARBOR!$A:$C,3,0)-1,4)+0.0001,-TRUNC(BZ30/VLOOKUP("PCS-OzTL744",ARBOR!$A:$C,3,0)-1,4)))))</f>
        <v/>
      </c>
      <c r="CB30" s="28" t="str">
        <f>IF(ISERROR(IF(CA30="","",VLOOKUP(($BC30&amp;CA30&amp;"Template desconto FLAT Plano Principal Oi TV nível conta"),BENEFICIOS!$A:$G,5,0))),"Criar",IF(CA30="","",VLOOKUP(($BC30&amp;CA30&amp;"Template desconto FLAT Plano Principal Oi TV nível conta"),BENEFICIOS!$A:$G,5,0)))</f>
        <v/>
      </c>
      <c r="CC30" s="8"/>
      <c r="CD30" s="3" t="str">
        <f>IF(CC30=0,"",IF(CC30=VLOOKUP("PCS-OzTL743",ARBOR!$A:$C,3,0),0.0001,IF(CC30&gt;VLOOKUP("PCS-OzTL743",ARBOR!$A:$C,3,0),"Maior que CAP!",IF((DOLLAR(CC30+(VLOOKUP("PCS-OzTL743",ARBOR!$A:$C,3,0)*-TRUNC(CC30/VLOOKUP("PCS-OzTL743",ARBOR!$A:$C,3,0)-1,4)),6))&lt;&gt;(DOLLAR(VLOOKUP("PCS-OzTL743",ARBOR!$A:$C,3,0),6)),-TRUNC(CC30/VLOOKUP("PCS-OzTL743",ARBOR!$A:$C,3,0)-1,4)+0.0001,-TRUNC(CC30/VLOOKUP("PCS-OzTL743",ARBOR!$A:$C,3,0)-1,4)))))</f>
        <v/>
      </c>
      <c r="CE30" s="28" t="str">
        <f>IF(ISERROR(IF(CD30="","",VLOOKUP(($BC30&amp;CD30&amp;"Template desconto FLAT Plano Principal Oi TV nível conta"),BENEFICIOS!$A:$G,5,0))),"Criar",IF(CD30="","",VLOOKUP(($BC30&amp;CD30&amp;"Template desconto FLAT Plano Principal Oi TV nível conta"),BENEFICIOS!$A:$G,5,0)))</f>
        <v/>
      </c>
      <c r="CF30" s="8"/>
      <c r="CG30" s="3" t="str">
        <f>IF(CF30=0,"",IF(CF30=VLOOKUP("PCS-OzTL745",ARBOR!$A:$C,3,0),0.0001,IF(CF30&gt;VLOOKUP("PCS-OzTL745",ARBOR!$A:$C,3,0),"Maior que CAP!",IF((DOLLAR(CF30+(VLOOKUP("PCS-OzTL745",ARBOR!$A:$C,3,0)*-TRUNC(CF30/VLOOKUP("PCS-OzTL745",ARBOR!$A:$C,3,0)-1,4)),6))&lt;&gt;(DOLLAR(VLOOKUP("PCS-OzTL745",ARBOR!$A:$C,3,0),6)),-TRUNC(CF30/VLOOKUP("PCS-OzTL745",ARBOR!$A:$C,3,0)-1,4)+0.0001,-TRUNC(CF30/VLOOKUP("PCS-OzTL745",ARBOR!$A:$C,3,0)-1,4)))))</f>
        <v/>
      </c>
      <c r="CH30" s="28" t="str">
        <f>IF(ISERROR(IF(CG30="","",VLOOKUP(($BC30&amp;CG30&amp;"Template desconto FLAT Plano Principal Oi TV nível conta"),BENEFICIOS!$A:$G,5,0))),"Criar",IF(CG30="","",VLOOKUP(($BC30&amp;CG30&amp;"Template desconto FLAT Plano Principal Oi TV nível conta"),BENEFICIOS!$A:$G,5,0)))</f>
        <v/>
      </c>
      <c r="CI30" s="8"/>
      <c r="CJ30" s="3" t="str">
        <f>IF(CI30=0,"",IF(CI30=VLOOKUP("PCS-OzTL42",ARBOR!$A:$C,3,0),0.0001,IF(CI30&gt;VLOOKUP("PCS-OzTL42",ARBOR!$A:$C,3,0),"Maior que CAP!",IF((DOLLAR(CI30+(VLOOKUP("PCS-OzTL42",ARBOR!$A:$C,3,0)*-TRUNC(CI30/VLOOKUP("PCS-OzTL42",ARBOR!$A:$C,3,0)-1,4)),6))&lt;&gt;(DOLLAR(VLOOKUP("PCS-OzTL42",ARBOR!$A:$C,3,0),6)),-TRUNC(CI30/VLOOKUP("PCS-OzTL42",ARBOR!$A:$C,3,0)-1,4)+0.0001,-TRUNC(CI30/VLOOKUP("PCS-OzTL42",ARBOR!$A:$C,3,0)-1,4)))))</f>
        <v/>
      </c>
      <c r="CK30" s="28" t="str">
        <f>IF(ISERROR(IF(CJ30="","",VLOOKUP(($BC30&amp;CJ30&amp;"Template desconto FLAT Plano Principal Oi TV nível conta"),BENEFICIOS!$A:$G,5,0))),"Criar",IF(CJ30="","",VLOOKUP(($BC30&amp;CJ30&amp;"Template desconto FLAT Plano Principal Oi TV nível conta"),BENEFICIOS!$A:$G,5,0)))</f>
        <v/>
      </c>
      <c r="CL30" s="8"/>
      <c r="CM30" s="3" t="str">
        <f>IF(CL30=0,"",IF(CL30=VLOOKUP("PCS-OzTL47",ARBOR!$A:$C,3,0),0.0001,IF(CL30&gt;VLOOKUP("PCS-OzTL47",ARBOR!$A:$C,3,0),"Maior que CAP!",IF((DOLLAR(CL30+(VLOOKUP("PCS-OzTL47",ARBOR!$A:$C,3,0)*-TRUNC(CL30/VLOOKUP("PCS-OzTL47",ARBOR!$A:$C,3,0)-1,4)),6))&lt;&gt;(DOLLAR(VLOOKUP("PCS-OzTL47",ARBOR!$A:$C,3,0),6)),-TRUNC(CL30/VLOOKUP("PCS-OzTL47",ARBOR!$A:$C,3,0)-1,4)+0.0001,-TRUNC(CL30/VLOOKUP("PCS-OzTL47",ARBOR!$A:$C,3,0)-1,4)))))</f>
        <v/>
      </c>
      <c r="CN30" s="28" t="str">
        <f>IF(ISERROR(IF(CM30="","",VLOOKUP(($BC30&amp;CM30&amp;"Template desconto FLAT Plano Principal Oi TV nível conta"),BENEFICIOS!$A:$G,5,0))),"Criar",IF(CM30="","",VLOOKUP(($BC30&amp;CM30&amp;"Template desconto FLAT Plano Principal Oi TV nível conta"),BENEFICIOS!$A:$G,5,0)))</f>
        <v/>
      </c>
      <c r="CO30" s="8"/>
      <c r="CP30" s="3" t="str">
        <f>IF(CO30=0,"",IF(CO30=VLOOKUP("PCS-OzTL46",ARBOR!$A:$C,3,0),0.0001,IF(CO30&gt;VLOOKUP("PCS-OzTL46",ARBOR!$A:$C,3,0),"Maior que CAP!",IF((DOLLAR(CO30+(VLOOKUP("PCS-OzTL46",ARBOR!$A:$C,3,0)*-TRUNC(CO30/VLOOKUP("PCS-OzTL46",ARBOR!$A:$C,3,0)-1,4)),6))&lt;&gt;(DOLLAR(VLOOKUP("PCS-OzTL46",ARBOR!$A:$C,3,0),6)),-TRUNC(CO30/VLOOKUP("PCS-OzTL46",ARBOR!$A:$C,3,0)-1,4)+0.0001,-TRUNC(CO30/VLOOKUP("PCS-OzTL46",ARBOR!$A:$C,3,0)-1,4)))))</f>
        <v/>
      </c>
      <c r="CQ30" s="28" t="str">
        <f>IF(ISERROR(IF(CP30="","",VLOOKUP(($BC30&amp;CP30&amp;"Template desconto FLAT Plano Principal Oi TV nível conta"),BENEFICIOS!$A:$G,5,0))),"Criar",IF(CP30="","",VLOOKUP(($BC30&amp;CP30&amp;"Template desconto FLAT Plano Principal Oi TV nível conta"),BENEFICIOS!$A:$G,5,0)))</f>
        <v/>
      </c>
      <c r="CR30" s="8"/>
      <c r="CS30" s="3" t="str">
        <f>IF(CR30=0,"",IF(CR30=VLOOKUP("PCS-OzTL48",ARBOR!$A:$C,3,0),0.0001,IF(CR30&gt;VLOOKUP("PCS-OzTL48",ARBOR!$A:$C,3,0),"Maior que CAP!",IF((DOLLAR(CR30+(VLOOKUP("PCS-OzTL48",ARBOR!$A:$C,3,0)*-TRUNC(CR30/VLOOKUP("PCS-OzTL48",ARBOR!$A:$C,3,0)-1,4)),6))&lt;&gt;(DOLLAR(VLOOKUP("PCS-OzTL48",ARBOR!$A:$C,3,0),6)),-TRUNC(CR30/VLOOKUP("PCS-OzTL48",ARBOR!$A:$C,3,0)-1,4)+0.0001,-TRUNC(CR30/VLOOKUP("PCS-OzTL48",ARBOR!$A:$C,3,0)-1,4)))))</f>
        <v/>
      </c>
      <c r="CT30" s="28" t="str">
        <f>IF(ISERROR(IF(CS30="","",VLOOKUP(($BC30&amp;CS30&amp;"Template desconto FLAT Plano Principal Oi TV nível conta"),BENEFICIOS!$A:$G,5,0))),"Criar",IF(CS30="","",VLOOKUP(($BC30&amp;CS30&amp;"Template desconto FLAT Plano Principal Oi TV nível conta"),BENEFICIOS!$A:$G,5,0)))</f>
        <v/>
      </c>
      <c r="CU30" s="8"/>
      <c r="CV30" s="3" t="str">
        <f>IF(CU30=0,"",IF(CU30=VLOOKUP("PCS-OzTL742",ARBOR!$A:$C,3,0),0.0001,IF(CU30&gt;VLOOKUP("PCS-OzTL742",ARBOR!$A:$C,3,0),"Maior que CAP!",IF((DOLLAR(CU30+(VLOOKUP("PCS-OzTL742",ARBOR!$A:$C,3,0)*-TRUNC(CU30/VLOOKUP("PCS-OzTL742",ARBOR!$A:$C,3,0)-1,4)),6))&lt;&gt;(DOLLAR(VLOOKUP("PCS-OzTL742",ARBOR!$A:$C,3,0),6)),-TRUNC(CU30/VLOOKUP("PCS-OzTL742",ARBOR!$A:$C,3,0)-1,4)+0.0001,-TRUNC(CU30/VLOOKUP("PCS-OzTL742",ARBOR!$A:$C,3,0)-1,4)))))</f>
        <v/>
      </c>
      <c r="CW30" s="28" t="str">
        <f>IF(ISERROR(IF(CV30="","",VLOOKUP(($BC30&amp;CV30&amp;"Template desconto FLAT Plano Principal Oi TV nível conta"),BENEFICIOS!$A:$G,5,0))),"Criar",IF(CV30="","",VLOOKUP(($BC30&amp;CV30&amp;"Template desconto FLAT Plano Principal Oi TV nível conta"),BENEFICIOS!$A:$G,5,0)))</f>
        <v/>
      </c>
      <c r="CX30" s="8"/>
      <c r="CY30" s="3" t="str">
        <f>IF(CX30=0,"",IF(CX30=VLOOKUP("PCS-OzTL747",ARBOR!$A:$C,3,0),0.0001,IF(CX30&gt;VLOOKUP("PCS-OzTL747",ARBOR!$A:$C,3,0),"Maior que CAP!",IF((DOLLAR(CX30+(VLOOKUP("PCS-OzTL747",ARBOR!$A:$C,3,0)*-TRUNC(CX30/VLOOKUP("PCS-OzTL747",ARBOR!$A:$C,3,0)-1,4)),6))&lt;&gt;(DOLLAR(VLOOKUP("PCS-OzTL747",ARBOR!$A:$C,3,0),6)),-TRUNC(CX30/VLOOKUP("PCS-OzTL747",ARBOR!$A:$C,3,0)-1,4)+0.0001,-TRUNC(CX30/VLOOKUP("PCS-OzTL747",ARBOR!$A:$C,3,0)-1,4)))))</f>
        <v/>
      </c>
      <c r="CZ30" s="28" t="str">
        <f>IF(ISERROR(IF(CY30="","",VLOOKUP(($BC30&amp;CY30&amp;"Template desconto FLAT Plano Principal Oi TV nível conta"),BENEFICIOS!$A:$G,5,0))),"Criar",IF(CY30="","",VLOOKUP(($BC30&amp;CY30&amp;"Template desconto FLAT Plano Principal Oi TV nível conta"),BENEFICIOS!$A:$G,5,0)))</f>
        <v/>
      </c>
      <c r="DA30" s="8"/>
      <c r="DB30" s="3" t="str">
        <f>IF(DA30=0,"",IF(DA30=VLOOKUP("PCS-OzTL746",ARBOR!$A:$C,3,0),0.0001,IF(DA30&gt;VLOOKUP("PCS-OzTL746",ARBOR!$A:$C,3,0),"Maior que CAP!",IF((DOLLAR(DA30+(VLOOKUP("PCS-OzTL746",ARBOR!$A:$C,3,0)*-TRUNC(DA30/VLOOKUP("PCS-OzTL746",ARBOR!$A:$C,3,0)-1,4)),6))&lt;&gt;(DOLLAR(VLOOKUP("PCS-OzTL746",ARBOR!$A:$C,3,0),6)),-TRUNC(DA30/VLOOKUP("PCS-OzTL746",ARBOR!$A:$C,3,0)-1,4)+0.0001,-TRUNC(DA30/VLOOKUP("PCS-OzTL746",ARBOR!$A:$C,3,0)-1,4)))))</f>
        <v/>
      </c>
      <c r="DC30" s="28" t="str">
        <f>IF(ISERROR(IF(DB30="","",VLOOKUP(($BC30&amp;DB30&amp;"Template desconto FLAT Plano Principal Oi TV nível conta"),BENEFICIOS!$A:$G,5,0))),"Criar",IF(DB30="","",VLOOKUP(($BC30&amp;DB30&amp;"Template desconto FLAT Plano Principal Oi TV nível conta"),BENEFICIOS!$A:$G,5,0)))</f>
        <v/>
      </c>
      <c r="DD30" s="8"/>
      <c r="DE30" s="3" t="str">
        <f>IF(DD30=0,"",IF(DD30=VLOOKUP("PCS-OzTL748",ARBOR!$A:$C,3,0),0.0001,IF(DD30&gt;VLOOKUP("PCS-OzTL748",ARBOR!$A:$C,3,0),"Maior que CAP!",IF((DOLLAR(DD30+(VLOOKUP("PCS-OzTL748",ARBOR!$A:$C,3,0)*-TRUNC(DD30/VLOOKUP("PCS-OzTL748",ARBOR!$A:$C,3,0)-1,4)),6))&lt;&gt;(DOLLAR(VLOOKUP("PCS-OzTL748",ARBOR!$A:$C,3,0),6)),-TRUNC(DD30/VLOOKUP("PCS-OzTL748",ARBOR!$A:$C,3,0)-1,4)+0.0001,-TRUNC(DD30/VLOOKUP("PCS-OzTL748",ARBOR!$A:$C,3,0)-1,4)))))</f>
        <v/>
      </c>
      <c r="DF30" s="28" t="str">
        <f>IF(ISERROR(IF(DE30="","",VLOOKUP(($BC30&amp;DE30&amp;"Template desconto FLAT Plano Principal Oi TV nível conta"),BENEFICIOS!$A:$G,5,0))),"Criar",IF(DE30="","",VLOOKUP(($BC30&amp;DE30&amp;"Template desconto FLAT Plano Principal Oi TV nível conta"),BENEFICIOS!$A:$G,5,0)))</f>
        <v/>
      </c>
      <c r="DG30" s="8"/>
      <c r="DH30" s="3" t="str">
        <f>IF(DG30=0,"",IF(DG30=VLOOKUP("PCS-OzTL34",ARBOR!$A:$C,3,0),0.0001,IF(DG30&gt;VLOOKUP("PCS-OzTL34",ARBOR!$A:$C,3,0),"Maior que CAP!",IF((DOLLAR(DG30+(VLOOKUP("PCS-OzTL34",ARBOR!$A:$C,3,0)*-TRUNC(DG30/VLOOKUP("PCS-OzTL34",ARBOR!$A:$C,3,0)-1,4)),6))&lt;&gt;(DOLLAR(VLOOKUP("PCS-OzTL34",ARBOR!$A:$C,3,0),6)),-TRUNC(DG30/VLOOKUP("PCS-OzTL34",ARBOR!$A:$C,3,0)-1,4)+0.0001,-TRUNC(DG30/VLOOKUP("PCS-OzTL34",ARBOR!$A:$C,3,0)-1,4)))))</f>
        <v/>
      </c>
      <c r="DI30" s="28" t="str">
        <f>IF(DH30="S/Desc","S/Desc",IF(ISERROR(IF(DH30="","",VLOOKUP(($BC30&amp;DH30&amp;"Template desconto % Combate nível conta"),BENEFICIOS!$A:$G,5,0))),"Criar",IF(DH30="","",VLOOKUP(($BC30&amp;DH30&amp;"Template desconto % Combate nível conta"),BENEFICIOS!$A:$G,5,0))))</f>
        <v/>
      </c>
      <c r="DJ30" s="8"/>
      <c r="DK30" s="3" t="str">
        <f>IF(DJ30=0,"",IF(DJ30=VLOOKUP("PCS-OzTL31",ARBOR!$A:$C,3,0),0.0001,IF(DJ30&gt;VLOOKUP("PCS-OzTL31",ARBOR!$A:$C,3,0),"Maior que CAP!",IF((DOLLAR(DJ30+(VLOOKUP("PCS-OzTL31",ARBOR!$A:$C,3,0)*-TRUNC(DJ30/VLOOKUP("PCS-OzTL31",ARBOR!$A:$C,3,0)-1,4)),6))&lt;&gt;(DOLLAR(VLOOKUP("PCS-OzTL31",ARBOR!$A:$C,3,0),6)),-TRUNC(DJ30/VLOOKUP("PCS-OzTL31",ARBOR!$A:$C,3,0)-1,4)+0.0001,-TRUNC(DJ30/VLOOKUP("PCS-OzTL31",ARBOR!$A:$C,3,0)-1,4)))))</f>
        <v/>
      </c>
      <c r="DL30" s="28" t="str">
        <f>IF(DK30="S/Desc","S/Desc",IF(ISERROR(IF(DK30="","",VLOOKUP(($BC30&amp;DK30&amp;"Template desconto % Sexy Hot nível conta"),BENEFICIOS!$A:$G,5,0))),"Criar",IF(DK30="","",VLOOKUP(($BC30&amp;DK30&amp;"Template desconto % Sexy Hot nível conta"),BENEFICIOS!$A:$G,5,0))))</f>
        <v/>
      </c>
      <c r="DM30" s="8"/>
      <c r="DN30" s="3" t="str">
        <f>IF(DM30=0,"",IF(DM30=VLOOKUP("PCS-OzTL32",ARBOR!$A:$C,3,0),0.0001,IF(DM30&gt;VLOOKUP("PCS-OzTL32",ARBOR!$A:$C,3,0),"Maior que CAP!",IF((DOLLAR(DM30+(VLOOKUP("PCS-OzTL32",ARBOR!$A:$C,3,0)*-TRUNC(DM30/VLOOKUP("PCS-OzTL32",ARBOR!$A:$C,3,0)-1,4)),6))&lt;&gt;(DOLLAR(VLOOKUP("PCS-OzTL32",ARBOR!$A:$C,3,0),6)),-TRUNC(DM30/VLOOKUP("PCS-OzTL32",ARBOR!$A:$C,3,0)-1,4)+0.0001,-TRUNC(DM30/VLOOKUP("PCS-OzTL32",ARBOR!$A:$C,3,0)-1,4)))))</f>
        <v/>
      </c>
      <c r="DO30" s="28" t="str">
        <f>IF(DN30="S/Desc","S/Desc",IF(ISERROR(IF(DN30="","",VLOOKUP(($BC30&amp;DN30&amp;"Template desconto % Playboy nível conta"),BENEFICIOS!$A:$G,5,0))),"Criar",IF(DN30="","",VLOOKUP(($BC30&amp;DN30&amp;"Template desconto % Playboy nível conta"),BENEFICIOS!$A:$G,5,0))))</f>
        <v/>
      </c>
      <c r="DP30" s="8"/>
      <c r="DQ30" s="3" t="str">
        <f>IF(DP30=0,"",IF(DP30=VLOOKUP("PCS-OzTL33",ARBOR!$A:$C,3,0),0.0001,IF(DP30&gt;VLOOKUP("PCS-OzTL33",ARBOR!$A:$C,3,0),"Maior que CAP!",IF((DOLLAR(DP30+(VLOOKUP("PCS-OzTL33",ARBOR!$A:$C,3,0)*-TRUNC(DP30/VLOOKUP("PCS-OzTL33",ARBOR!$A:$C,3,0)-1,4)),6))&lt;&gt;(DOLLAR(VLOOKUP("PCS-OzTL33",ARBOR!$A:$C,3,0),6)),-TRUNC(DP30/VLOOKUP("PCS-OzTL33",ARBOR!$A:$C,3,0)-1,4)+0.0001,-TRUNC(DP30/VLOOKUP("PCS-OzTL33",ARBOR!$A:$C,3,0)-1,4)))))</f>
        <v/>
      </c>
      <c r="DR30" s="28" t="str">
        <f>IF(DQ30="S/Desc","S/Desc",IF(ISERROR(IF(DQ30="","",VLOOKUP(($BC30&amp;DQ30&amp;"Template desconto % Sexy Hot + Playboy nível conta"),BENEFICIOS!$A:$G,5,0))),"Criar",IF(DQ30="","",VLOOKUP(($BC30&amp;DQ30&amp;"Template desconto % Sexy Hot + Playboy nível conta"),BENEFICIOS!$A:$G,5,0))))</f>
        <v/>
      </c>
      <c r="DS30" s="8"/>
      <c r="DT30" s="3" t="str">
        <f>IF(DS30=0,"",IF(DS30=VLOOKUP("PCS-OzTL503",ARBOR!$A:$C,3,0),0.0001,IF(DS30&gt;VLOOKUP("PCS-OzTL503",ARBOR!$A:$C,3,0),"Maior que CAP!",IF((DOLLAR(DS30+(VLOOKUP("PCS-OzTL503",ARBOR!$A:$C,3,0)*-TRUNC(DS30/VLOOKUP("PCS-OzTL503",ARBOR!$A:$C,3,0)-1,4)),6))&lt;&gt;(DOLLAR(VLOOKUP("PCS-OzTL503",ARBOR!$A:$C,3,0),6)),-TRUNC(DS30/VLOOKUP("PCS-OzTL503",ARBOR!$A:$C,3,0)-1,4)+0.0001,-TRUNC(DS30/VLOOKUP("PCS-OzTL503",ARBOR!$A:$C,3,0)-1,4)))))</f>
        <v/>
      </c>
      <c r="DU30" s="28" t="str">
        <f>IF(DT30="S/Desc","S/Desc",IF(ISERROR(IF(DT30="","",VLOOKUP(($BC30&amp;DT30&amp;"Template desconto % SexPrivê nível conta"),BENEFICIOS!$A:$G,5,0))),"Criar",IF(DT30="","",VLOOKUP(($BC30&amp;DT30&amp;"Template desconto % SexPrivê nível conta"),BENEFICIOS!$A:$G,5,0))))</f>
        <v/>
      </c>
      <c r="DV30" s="8"/>
      <c r="DW30" s="3" t="str">
        <f>IF(DV30=0,"",IF(DV30=VLOOKUP("PCS-OzTL500",ARBOR!$A:$C,3,0),0.0001,IF(DV30&gt;VLOOKUP("PCS-OzTL500",ARBOR!$A:$C,3,0),"Maior que CAP!",IF((DOLLAR(DV30+(VLOOKUP("PCS-OzTL500",ARBOR!$A:$C,3,0)*-TRUNC(DV30/VLOOKUP("PCS-OzTL500",ARBOR!$A:$C,3,0)-1,4)),6))&lt;&gt;(DOLLAR(VLOOKUP("PCS-OzTL500",ARBOR!$A:$C,3,0),6)),-TRUNC(DV30/VLOOKUP("PCS-OzTL500",ARBOR!$A:$C,3,0)-1,4)+0.0001,-TRUNC(DV30/VLOOKUP("PCS-OzTL500",ARBOR!$A:$C,3,0)-1,4)))))</f>
        <v/>
      </c>
      <c r="DX30" s="28" t="str">
        <f>IF(DW30="S/Desc","S/Desc",IF(ISERROR(IF(DW30="","",VLOOKUP(($BC30&amp;DW30&amp;"Template desconto % Étnico nível conta"),BENEFICIOS!$A:$G,5,0))),"Criar",IF(DW30="","",VLOOKUP(($BC30&amp;DW30&amp;"Template desconto % Étnico nível conta"),BENEFICIOS!$A:$G,5,0))))</f>
        <v/>
      </c>
      <c r="DY30" s="8"/>
      <c r="DZ30" s="181" t="str">
        <f>IF(DY30=0,"",IF(DY30=VLOOKUP("PCS-OzTL50",ARBOR!$A:$C,3,0),0.0001,IF(DY30&gt;VLOOKUP("PCS-OzTL50",ARBOR!$A:$C,3,0),"Maior que CAP!",IF((DOLLAR(DY30+(VLOOKUP("PCS-OzTL50",ARBOR!$A:$C,3,0)*-TRUNC(DY30/VLOOKUP("PCS-OzTL50",ARBOR!$A:$C,3,0)-1,4)),6))&lt;&gt;(DOLLAR(VLOOKUP("PCS-OzTL50",ARBOR!$A:$C,3,0),6)),-TRUNC(DY30/VLOOKUP("PCS-OzTL50",ARBOR!$A:$C,3,0)-1,4)+0.0001,-TRUNC(DY30/VLOOKUP("PCS-OzTL50",ARBOR!$A:$C,3,0)-1,4)))))</f>
        <v/>
      </c>
      <c r="EA30" s="28"/>
      <c r="EB30" s="8"/>
      <c r="EC30" s="181" t="str">
        <f>IF(EB30=0,"",IF(EB30=VLOOKUP("PCS-OzTL51",ARBOR!$A:$C,3,0),0.0001,IF(EB30&gt;VLOOKUP("PCS-OzTL51",ARBOR!$A:$C,3,0),"Maior que CAP!",IF((DOLLAR(EB30+(VLOOKUP("PCS-OzTL51",ARBOR!$A:$C,3,0)*-TRUNC(EB30/VLOOKUP("PCS-OzTL51",ARBOR!$A:$C,3,0)-1,4)),6))&lt;&gt;(DOLLAR(VLOOKUP("PCS-OzTL51",ARBOR!$A:$C,3,0),6)),-TRUNC(EB30/VLOOKUP("PCS-OzTL51",ARBOR!$A:$C,3,0)-1,4)+0.0001,-TRUNC(EB30/VLOOKUP("PCS-OzTL51",ARBOR!$A:$C,3,0)-1,4)))))</f>
        <v/>
      </c>
      <c r="ED30" s="28"/>
      <c r="EE30" s="8"/>
      <c r="EF30" s="181" t="str">
        <f>IF(EE30=0,"",IF(EE30=VLOOKUP("PCS-OzTL52",ARBOR!$A:$C,3,0),0.0001,IF(EE30&gt;VLOOKUP("PCS-OzTL52",ARBOR!$A:$C,3,0),"Maior que CAP!",IF((DOLLAR(EE30+(VLOOKUP("PCS-OzTL52",ARBOR!$A:$C,3,0)*-TRUNC(EE30/VLOOKUP("PCS-OzTL52",ARBOR!$A:$C,3,0)-1,4)),6))&lt;&gt;(DOLLAR(VLOOKUP("PCS-OzTL52",ARBOR!$A:$C,3,0),6)),-TRUNC(EE30/VLOOKUP("PCS-OzTL52",ARBOR!$A:$C,3,0)-1,4)+0.0001,-TRUNC(EE30/VLOOKUP("PCS-OzTL52",ARBOR!$A:$C,3,0)-1,4)))))</f>
        <v/>
      </c>
      <c r="EG30" s="28"/>
      <c r="EH30" s="8"/>
      <c r="EI30" s="181" t="str">
        <f>IF(EH30=0,"",IF(EH30=VLOOKUP("PCS-OzTL53",ARBOR!$A:$C,3,0),0.0001,IF(EH30&gt;VLOOKUP("PCS-OzTL53",ARBOR!$A:$C,3,0),"Maior que CAP!",IF((DOLLAR(EH30+(VLOOKUP("PCS-OzTL53",ARBOR!$A:$C,3,0)*-TRUNC(EH30/VLOOKUP("PCS-OzTL53",ARBOR!$A:$C,3,0)-1,4)),6))&lt;&gt;(DOLLAR(VLOOKUP("PCS-OzTL53",ARBOR!$A:$C,3,0),6)),-TRUNC(EH30/VLOOKUP("PCS-OzTL53",ARBOR!$A:$C,3,0)-1,4)+0.0001,-TRUNC(EH30/VLOOKUP("PCS-OzTL53",ARBOR!$A:$C,3,0)-1,4)))))</f>
        <v/>
      </c>
      <c r="EJ30" s="28"/>
      <c r="EK30" s="8"/>
      <c r="EL30" s="181" t="str">
        <f>IF(EK30=0,"",IF(EK30=VLOOKUP("PCS-OzTL54",ARBOR!$A:$C,3,0),0.0001,IF(EK30&gt;VLOOKUP("PCS-OzTL54",ARBOR!$A:$C,3,0),"Maior que CAP!",IF((DOLLAR(EK30+(VLOOKUP("PCS-OzTL54",ARBOR!$A:$C,3,0)*-TRUNC(EK30/VLOOKUP("PCS-OzTL54",ARBOR!$A:$C,3,0)-1,4)),6))&lt;&gt;(DOLLAR(VLOOKUP("PCS-OzTL54",ARBOR!$A:$C,3,0),6)),-TRUNC(EK30/VLOOKUP("PCS-OzTL54",ARBOR!$A:$C,3,0)-1,4)+0.0001,-TRUNC(EK30/VLOOKUP("PCS-OzTL54",ARBOR!$A:$C,3,0)-1,4)))))</f>
        <v/>
      </c>
      <c r="EM30" s="28"/>
      <c r="EN30" s="8"/>
      <c r="EO30" s="3" t="str">
        <f>IF(EN30=0,"",IF(EN30=VLOOKUP("PCS-OzTL99",ARBOR!$A:$C,3,0),0.0001,IF(EN30&gt;VLOOKUP("PCS-OzTL99",ARBOR!$A:$C,3,0),"Maior que CAP!",IF((DOLLAR(EN30+(VLOOKUP("PCS-OzTL99",ARBOR!$A:$C,3,0)*-TRUNC(EN30/VLOOKUP("PCS-OzTL99",ARBOR!$A:$C,3,0)-1,4)),6))&lt;&gt;(DOLLAR(VLOOKUP("PCS-OzTL99",ARBOR!$A:$C,3,0),6)),-TRUNC(EN30/VLOOKUP("PCS-OzTL99",ARBOR!$A:$C,3,0)-1,4)+0.0001,-TRUNC(EN30/VLOOKUP("PCS-OzTL99",ARBOR!$A:$C,3,0)-1,4)))))</f>
        <v/>
      </c>
      <c r="EP30" s="28" t="str">
        <f>IF(EO30="S/Desc","S/Desc",IF(ISERROR(IF(EO30="","",VLOOKUP(($BC30&amp;EO30&amp;"Template desconto % Ponto adicional nível conta"),BENEFICIOS!$A:$G,5,0))),"Criar",IF(EO30="","",VLOOKUP(($BC30&amp;EO30&amp;"Template desconto % Ponto adicional nível conta"),BENEFICIOS!$A:$G,5,0))))</f>
        <v/>
      </c>
      <c r="EQ30" s="8"/>
      <c r="ER30" s="28" t="str">
        <f t="shared" si="23"/>
        <v/>
      </c>
      <c r="ES30" s="62"/>
      <c r="ET30" s="126"/>
      <c r="EU30" s="127"/>
      <c r="EV30" s="126"/>
      <c r="EW30" s="128" t="str">
        <f t="shared" si="24"/>
        <v/>
      </c>
      <c r="EX30" s="129" t="str">
        <f t="shared" si="25"/>
        <v/>
      </c>
      <c r="EY30" s="91" t="str">
        <f t="shared" si="26"/>
        <v/>
      </c>
      <c r="EZ30" s="85"/>
      <c r="FA30" s="97"/>
      <c r="FB30" s="91"/>
      <c r="FC30" s="85"/>
      <c r="FD30" s="97"/>
      <c r="FE30" s="91"/>
      <c r="FF30" s="87"/>
      <c r="FG30" s="144" t="str">
        <f t="shared" si="5"/>
        <v/>
      </c>
      <c r="FH30" s="144" t="str">
        <f t="shared" si="6"/>
        <v/>
      </c>
      <c r="FI30" s="144" t="str">
        <f t="shared" si="7"/>
        <v/>
      </c>
      <c r="FJ30" s="144" t="str">
        <f t="shared" si="8"/>
        <v/>
      </c>
      <c r="FK30" s="144" t="str">
        <f t="shared" si="9"/>
        <v/>
      </c>
      <c r="FL30" s="144" t="str">
        <f t="shared" si="10"/>
        <v/>
      </c>
      <c r="FM30" s="144" t="str">
        <f t="shared" si="11"/>
        <v/>
      </c>
      <c r="FN30" s="144" t="str">
        <f t="shared" si="12"/>
        <v/>
      </c>
      <c r="FO30" s="144" t="str">
        <f t="shared" si="13"/>
        <v/>
      </c>
      <c r="FP30" s="144" t="str">
        <f t="shared" si="14"/>
        <v/>
      </c>
      <c r="FQ30" s="144" t="str">
        <f t="shared" si="15"/>
        <v/>
      </c>
      <c r="FR30" s="144" t="str">
        <f t="shared" si="16"/>
        <v/>
      </c>
      <c r="FS30" s="144" t="str">
        <f t="shared" si="17"/>
        <v/>
      </c>
      <c r="FT30" s="144" t="str">
        <f t="shared" si="18"/>
        <v/>
      </c>
      <c r="FU30" s="144" t="str">
        <f t="shared" si="19"/>
        <v/>
      </c>
      <c r="FV30" s="144" t="str">
        <f t="shared" si="20"/>
        <v/>
      </c>
      <c r="FW30" s="144" t="str">
        <f t="shared" si="21"/>
        <v/>
      </c>
      <c r="FX30" s="151"/>
      <c r="FY30" s="152"/>
      <c r="FZ30" s="152"/>
      <c r="GA30" s="152"/>
      <c r="GB30" s="152"/>
      <c r="GC30" s="152"/>
      <c r="GD30" s="152"/>
      <c r="GE30" s="152"/>
      <c r="GF30" s="152"/>
      <c r="GG30" s="153"/>
    </row>
    <row r="31" spans="1:189">
      <c r="A31" s="45"/>
      <c r="B31" s="133"/>
      <c r="C31" s="133"/>
      <c r="D31" s="46"/>
      <c r="E31" s="47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9"/>
      <c r="U31" s="48"/>
      <c r="V31" s="49"/>
      <c r="W31" s="48"/>
      <c r="X31" s="48"/>
      <c r="Y31" s="48"/>
      <c r="Z31" s="48"/>
      <c r="AA31" s="49"/>
      <c r="AB31" s="48"/>
      <c r="AC31" s="50"/>
      <c r="AD31" s="48"/>
      <c r="AE31" s="48"/>
      <c r="AF31" s="48"/>
      <c r="AG31" s="48"/>
      <c r="AH31" s="48"/>
      <c r="AI31" s="48"/>
      <c r="AJ31" s="48"/>
      <c r="AK31" s="48"/>
      <c r="AL31" s="51"/>
      <c r="AM31" s="37"/>
      <c r="AN31" s="38"/>
      <c r="AO31" s="39"/>
      <c r="AP31" s="52"/>
      <c r="AQ31" s="53"/>
      <c r="AR31" s="64"/>
      <c r="AS31" s="65"/>
      <c r="AT31" s="54"/>
      <c r="AU31" s="54"/>
      <c r="AV31" s="54"/>
      <c r="AW31" s="54"/>
      <c r="AX31" s="70"/>
      <c r="AY31" s="71"/>
      <c r="AZ31" s="72"/>
      <c r="BA31" s="73"/>
      <c r="BB31" s="55"/>
      <c r="BC31" s="56"/>
      <c r="BD31" s="27" t="str">
        <f t="shared" si="22"/>
        <v/>
      </c>
      <c r="BE31" s="58"/>
      <c r="BF31" s="3" t="str">
        <f>IF(BE31=0,"",IF(BE31=VLOOKUP("FIXO",ARBOR!$A:$C,3,0),0.0001,IF(BE31&gt;VLOOKUP("FIXO",ARBOR!$A:$C,3,0),"Maior que CAP!",IF((DOLLAR(BE31+(VLOOKUP("FIXO",ARBOR!$A:$C,3,0)*-TRUNC(BE31/VLOOKUP("FIXO",ARBOR!$A:$C,3,0)-1,4)),6))&lt;&gt;(DOLLAR(VLOOKUP("FIXO",ARBOR!$A:$C,3,0),6)),-TRUNC(BE31/VLOOKUP("FIXO",ARBOR!$A:$C,3,0)-1,4)+0.0001,-TRUNC(BE31/VLOOKUP("FIXO",ARBOR!$A:$C,3,0)-1,4)))))</f>
        <v/>
      </c>
      <c r="BG31" s="10" t="str">
        <f>IF(ISERROR(IF(BF31="","",VLOOKUP(($BC31&amp;BF31&amp;"Template de desconto FLAT bundle - Fixo - Varejo - Ganho Tributário Cross"),BENEFICIOS!$A:$G,5,0))),"Criar",IF(BF31="","",VLOOKUP(($BC31&amp;BF31&amp;"Template de desconto FLAT bundle - Fixo - Varejo - Ganho Tributário Cross"),BENEFICIOS!$A:$G,5,0)))</f>
        <v/>
      </c>
      <c r="BH31" s="8"/>
      <c r="BI31" s="3" t="str">
        <f>IF(BH31=0,"",IF(BH31=VLOOKUP("PCS-OzTL40",ARBOR!$A:$C,3,0),0.0001,IF(BH31&gt;VLOOKUP("PCS-OzTL40",ARBOR!$A:$C,3,0),"Maior que CAP!",IF((DOLLAR(BH31+(VLOOKUP("PCS-OzTL40",ARBOR!$A:$C,3,0)*-TRUNC(BH31/VLOOKUP("PCS-OzTL40",ARBOR!$A:$C,3,0)-1,4)),6))&lt;&gt;(DOLLAR(VLOOKUP("PCS-OzTL40",ARBOR!$A:$C,3,0),6)),-TRUNC(BH31/VLOOKUP("PCS-OzTL40",ARBOR!$A:$C,3,0)-1,4)+0.0001,-TRUNC(BH31/VLOOKUP("PCS-OzTL40",ARBOR!$A:$C,3,0)-1,4)))))</f>
        <v/>
      </c>
      <c r="BJ31" s="10" t="str">
        <f>IF(ISERROR(IF(BI31="","",VLOOKUP((BC31&amp;BI31&amp;"Template desconto FLAT Plano Principal Oi TV nível conta"),BENEFICIOS!$A:$G,5,0))),"Criar",IF(BI31="","",VLOOKUP((BC31&amp;BI31&amp;"Template desconto FLAT Plano Principal Oi TV nível conta"),BENEFICIOS!$A:$G,5,0)))</f>
        <v/>
      </c>
      <c r="BK31" s="8"/>
      <c r="BL31" s="3" t="str">
        <f>IF(BK31=0,"",IF(BK31=VLOOKUP("PCS-OzTL41",ARBOR!$A:$C,3,0),0.0001,IF(BK31&gt;VLOOKUP("PCS-OzTL41",ARBOR!$A:$C,3,0),"Maior que CAP!",IF((DOLLAR(BK31+(VLOOKUP("PCS-OzTL41",ARBOR!$A:$C,3,0)*-TRUNC(BK31/VLOOKUP("PCS-OzTL41",ARBOR!$A:$C,3,0)-1,4)),6))&lt;&gt;(DOLLAR(VLOOKUP("PCS-OzTL41",ARBOR!$A:$C,3,0),6)),-TRUNC(BK31/VLOOKUP("PCS-OzTL41",ARBOR!$A:$C,3,0)-1,4)+0.0001,-TRUNC(BK31/VLOOKUP("PCS-OzTL41",ARBOR!$A:$C,3,0)-1,4)))))</f>
        <v/>
      </c>
      <c r="BM31" s="28" t="str">
        <f>IF(ISERROR(IF(BL31="","",VLOOKUP((BC31&amp;BL31&amp;"Template desconto FLAT Plano Principal Oi TV nível conta"),BENEFICIOS!$A:$G,5,0))),"Criar",IF(BL31="","",VLOOKUP((BC31&amp;BL31&amp;"Template desconto FLAT Plano Principal Oi TV nível conta"),BENEFICIOS!$A:$G,5,0)))</f>
        <v/>
      </c>
      <c r="BN31" s="8"/>
      <c r="BO31" s="3" t="str">
        <f>IF(BN31=0,"",IF(BN31=VLOOKUP("PCS-OzTL44",ARBOR!$A:$C,3,0),0.0001,IF(BN31&gt;VLOOKUP("PCS-OzTL44",ARBOR!$A:$C,3,0),"Maior que CAP!",IF((DOLLAR(BN31+(VLOOKUP("PCS-OzTL44",ARBOR!$A:$C,3,0)*-TRUNC(BN31/VLOOKUP("PCS-OzTL44",ARBOR!$A:$C,3,0)-1,4)),6))&lt;&gt;(DOLLAR(VLOOKUP("PCS-OzTL44",ARBOR!$A:$C,3,0),6)),-TRUNC(BN31/VLOOKUP("PCS-OzTL44",ARBOR!$A:$C,3,0)-1,4)+0.0001,-TRUNC(BN31/VLOOKUP("PCS-OzTL44",ARBOR!$A:$C,3,0)-1,4)))))</f>
        <v/>
      </c>
      <c r="BP31" s="28" t="str">
        <f>IF(ISERROR(IF(BO31="","",VLOOKUP((BC31&amp;BO31&amp;"Template desconto FLAT Plano Principal Oi TV nível conta"),BENEFICIOS!$A:$G,5,0))),"Criar",IF(BO31="","",VLOOKUP((BC31&amp;BO31&amp;"Template desconto FLAT Plano Principal Oi TV nível conta"),BENEFICIOS!$A:$G,5,0)))</f>
        <v/>
      </c>
      <c r="BQ31" s="8"/>
      <c r="BR31" s="3" t="str">
        <f>IF(BQ31=0,"",IF(BQ31=VLOOKUP("PCS-OzTL43",ARBOR!$A:$C,3,0),0.0001,IF(BQ31&gt;VLOOKUP("PCS-OzTL43",ARBOR!$A:$C,3,0),"Maior que CAP!",IF((DOLLAR(BQ31+(VLOOKUP("PCS-OzTL43",ARBOR!$A:$C,3,0)*-TRUNC(BQ31/VLOOKUP("PCS-OzTL43",ARBOR!$A:$C,3,0)-1,4)),6))&lt;&gt;(DOLLAR(VLOOKUP("PCS-OzTL43",ARBOR!$A:$C,3,0),6)),-TRUNC(BQ31/VLOOKUP("PCS-OzTL43",ARBOR!$A:$C,3,0)-1,4)+0.0001,-TRUNC(BQ31/VLOOKUP("PCS-OzTL43",ARBOR!$A:$C,3,0)-1,4)))))</f>
        <v/>
      </c>
      <c r="BS31" s="28" t="str">
        <f>IF(ISERROR(IF(BR31="","",VLOOKUP((BC31&amp;BR31&amp;"Template desconto FLAT Plano Principal Oi TV nível conta"),BENEFICIOS!$A:$G,5,0))),"Criar",IF(BR31="","",VLOOKUP((BC31&amp;BR31&amp;"Template desconto FLAT Plano Principal Oi TV nível conta"),BENEFICIOS!$A:$G,5,0)))</f>
        <v/>
      </c>
      <c r="BT31" s="8"/>
      <c r="BU31" s="3" t="str">
        <f>IF(BT31=0,"",IF(BT31=VLOOKUP("PCS-OzTL45",ARBOR!$A:$C,3,0),0.0001,IF(BT31&gt;VLOOKUP("PCS-OzTL45",ARBOR!$A:$C,3,0),"Maior que CAP!",IF((DOLLAR(BT31+(VLOOKUP("PCS-OzTL45",ARBOR!$A:$C,3,0)*-TRUNC(BT31/VLOOKUP("PCS-OzTL45",ARBOR!$A:$C,3,0)-1,4)),6))&lt;&gt;(DOLLAR(VLOOKUP("PCS-OzTL45",ARBOR!$A:$C,3,0),6)),-TRUNC(BT31/VLOOKUP("PCS-OzTL45",ARBOR!$A:$C,3,0)-1,4)+0.0001,-TRUNC(BT31/VLOOKUP("PCS-OzTL45",ARBOR!$A:$C,3,0)-1,4)))))</f>
        <v/>
      </c>
      <c r="BV31" s="28" t="str">
        <f>IF(ISERROR(IF(BU31="","",VLOOKUP((BC31&amp;BU31&amp;"Template desconto FLAT Plano Principal Oi TV nível conta"),BENEFICIOS!$A:$G,5,0))),"Criar",IF(BU31="","",VLOOKUP((BC31&amp;BU31&amp;"Template desconto FLAT Plano Principal Oi TV nível conta"),BENEFICIOS!$A:$G,5,0)))</f>
        <v/>
      </c>
      <c r="BW31" s="8"/>
      <c r="BX31" s="3" t="str">
        <f>IF(BW31=0,"",IF(BW31=VLOOKUP("PCS-OzTL741",ARBOR!$A:$C,3,0),0.0001,IF(BW31&gt;VLOOKUP("PCS-OzTL741",ARBOR!$A:$C,3,0),"Maior que CAP!",IF((DOLLAR(BW31+(VLOOKUP("PCS-OzTL741",ARBOR!$A:$C,3,0)*-TRUNC(BW31/VLOOKUP("PCS-OzTL741",ARBOR!$A:$C,3,0)-1,4)),6))&lt;&gt;(DOLLAR(VLOOKUP("PCS-OzTL741",ARBOR!$A:$C,3,0),6)),-TRUNC(BW31/VLOOKUP("PCS-OzTL741",ARBOR!$A:$C,3,0)-1,4)+0.0001,-TRUNC(BW31/VLOOKUP("PCS-OzTL741",ARBOR!$A:$C,3,0)-1,4)))))</f>
        <v/>
      </c>
      <c r="BY31" s="28" t="str">
        <f>IF(ISERROR(IF(BX31="","",VLOOKUP((BC31&amp;BX31&amp;"Template desconto FLAT Plano Principal Oi TV nível conta"),BENEFICIOS!$A:$G,5,0))),"Criar",IF(BX31="","",VLOOKUP((BC31&amp;BX31&amp;"Template desconto FLAT Plano Principal Oi TV nível conta"),BENEFICIOS!$A:$G,5,0)))</f>
        <v/>
      </c>
      <c r="BZ31" s="8"/>
      <c r="CA31" s="3" t="str">
        <f>IF(BZ31=0,"",IF(BZ31=VLOOKUP("PCS-OzTL744",ARBOR!$A:$C,3,0),0.0001,IF(BZ31&gt;VLOOKUP("PCS-OzTL744",ARBOR!$A:$C,3,0),"Maior que CAP!",IF((DOLLAR(BZ31+(VLOOKUP("PCS-OzTL744",ARBOR!$A:$C,3,0)*-TRUNC(BZ31/VLOOKUP("PCS-OzTL744",ARBOR!$A:$C,3,0)-1,4)),6))&lt;&gt;(DOLLAR(VLOOKUP("PCS-OzTL744",ARBOR!$A:$C,3,0),6)),-TRUNC(BZ31/VLOOKUP("PCS-OzTL744",ARBOR!$A:$C,3,0)-1,4)+0.0001,-TRUNC(BZ31/VLOOKUP("PCS-OzTL744",ARBOR!$A:$C,3,0)-1,4)))))</f>
        <v/>
      </c>
      <c r="CB31" s="28" t="str">
        <f>IF(ISERROR(IF(CA31="","",VLOOKUP(($BC31&amp;CA31&amp;"Template desconto FLAT Plano Principal Oi TV nível conta"),BENEFICIOS!$A:$G,5,0))),"Criar",IF(CA31="","",VLOOKUP(($BC31&amp;CA31&amp;"Template desconto FLAT Plano Principal Oi TV nível conta"),BENEFICIOS!$A:$G,5,0)))</f>
        <v/>
      </c>
      <c r="CC31" s="8"/>
      <c r="CD31" s="3" t="str">
        <f>IF(CC31=0,"",IF(CC31=VLOOKUP("PCS-OzTL743",ARBOR!$A:$C,3,0),0.0001,IF(CC31&gt;VLOOKUP("PCS-OzTL743",ARBOR!$A:$C,3,0),"Maior que CAP!",IF((DOLLAR(CC31+(VLOOKUP("PCS-OzTL743",ARBOR!$A:$C,3,0)*-TRUNC(CC31/VLOOKUP("PCS-OzTL743",ARBOR!$A:$C,3,0)-1,4)),6))&lt;&gt;(DOLLAR(VLOOKUP("PCS-OzTL743",ARBOR!$A:$C,3,0),6)),-TRUNC(CC31/VLOOKUP("PCS-OzTL743",ARBOR!$A:$C,3,0)-1,4)+0.0001,-TRUNC(CC31/VLOOKUP("PCS-OzTL743",ARBOR!$A:$C,3,0)-1,4)))))</f>
        <v/>
      </c>
      <c r="CE31" s="28" t="str">
        <f>IF(ISERROR(IF(CD31="","",VLOOKUP(($BC31&amp;CD31&amp;"Template desconto FLAT Plano Principal Oi TV nível conta"),BENEFICIOS!$A:$G,5,0))),"Criar",IF(CD31="","",VLOOKUP(($BC31&amp;CD31&amp;"Template desconto FLAT Plano Principal Oi TV nível conta"),BENEFICIOS!$A:$G,5,0)))</f>
        <v/>
      </c>
      <c r="CF31" s="8"/>
      <c r="CG31" s="3" t="str">
        <f>IF(CF31=0,"",IF(CF31=VLOOKUP("PCS-OzTL745",ARBOR!$A:$C,3,0),0.0001,IF(CF31&gt;VLOOKUP("PCS-OzTL745",ARBOR!$A:$C,3,0),"Maior que CAP!",IF((DOLLAR(CF31+(VLOOKUP("PCS-OzTL745",ARBOR!$A:$C,3,0)*-TRUNC(CF31/VLOOKUP("PCS-OzTL745",ARBOR!$A:$C,3,0)-1,4)),6))&lt;&gt;(DOLLAR(VLOOKUP("PCS-OzTL745",ARBOR!$A:$C,3,0),6)),-TRUNC(CF31/VLOOKUP("PCS-OzTL745",ARBOR!$A:$C,3,0)-1,4)+0.0001,-TRUNC(CF31/VLOOKUP("PCS-OzTL745",ARBOR!$A:$C,3,0)-1,4)))))</f>
        <v/>
      </c>
      <c r="CH31" s="28" t="str">
        <f>IF(ISERROR(IF(CG31="","",VLOOKUP(($BC31&amp;CG31&amp;"Template desconto FLAT Plano Principal Oi TV nível conta"),BENEFICIOS!$A:$G,5,0))),"Criar",IF(CG31="","",VLOOKUP(($BC31&amp;CG31&amp;"Template desconto FLAT Plano Principal Oi TV nível conta"),BENEFICIOS!$A:$G,5,0)))</f>
        <v/>
      </c>
      <c r="CI31" s="8"/>
      <c r="CJ31" s="3" t="str">
        <f>IF(CI31=0,"",IF(CI31=VLOOKUP("PCS-OzTL42",ARBOR!$A:$C,3,0),0.0001,IF(CI31&gt;VLOOKUP("PCS-OzTL42",ARBOR!$A:$C,3,0),"Maior que CAP!",IF((DOLLAR(CI31+(VLOOKUP("PCS-OzTL42",ARBOR!$A:$C,3,0)*-TRUNC(CI31/VLOOKUP("PCS-OzTL42",ARBOR!$A:$C,3,0)-1,4)),6))&lt;&gt;(DOLLAR(VLOOKUP("PCS-OzTL42",ARBOR!$A:$C,3,0),6)),-TRUNC(CI31/VLOOKUP("PCS-OzTL42",ARBOR!$A:$C,3,0)-1,4)+0.0001,-TRUNC(CI31/VLOOKUP("PCS-OzTL42",ARBOR!$A:$C,3,0)-1,4)))))</f>
        <v/>
      </c>
      <c r="CK31" s="28" t="str">
        <f>IF(ISERROR(IF(CJ31="","",VLOOKUP(($BC31&amp;CJ31&amp;"Template desconto FLAT Plano Principal Oi TV nível conta"),BENEFICIOS!$A:$G,5,0))),"Criar",IF(CJ31="","",VLOOKUP(($BC31&amp;CJ31&amp;"Template desconto FLAT Plano Principal Oi TV nível conta"),BENEFICIOS!$A:$G,5,0)))</f>
        <v/>
      </c>
      <c r="CL31" s="8"/>
      <c r="CM31" s="3" t="str">
        <f>IF(CL31=0,"",IF(CL31=VLOOKUP("PCS-OzTL47",ARBOR!$A:$C,3,0),0.0001,IF(CL31&gt;VLOOKUP("PCS-OzTL47",ARBOR!$A:$C,3,0),"Maior que CAP!",IF((DOLLAR(CL31+(VLOOKUP("PCS-OzTL47",ARBOR!$A:$C,3,0)*-TRUNC(CL31/VLOOKUP("PCS-OzTL47",ARBOR!$A:$C,3,0)-1,4)),6))&lt;&gt;(DOLLAR(VLOOKUP("PCS-OzTL47",ARBOR!$A:$C,3,0),6)),-TRUNC(CL31/VLOOKUP("PCS-OzTL47",ARBOR!$A:$C,3,0)-1,4)+0.0001,-TRUNC(CL31/VLOOKUP("PCS-OzTL47",ARBOR!$A:$C,3,0)-1,4)))))</f>
        <v/>
      </c>
      <c r="CN31" s="28" t="str">
        <f>IF(ISERROR(IF(CM31="","",VLOOKUP(($BC31&amp;CM31&amp;"Template desconto FLAT Plano Principal Oi TV nível conta"),BENEFICIOS!$A:$G,5,0))),"Criar",IF(CM31="","",VLOOKUP(($BC31&amp;CM31&amp;"Template desconto FLAT Plano Principal Oi TV nível conta"),BENEFICIOS!$A:$G,5,0)))</f>
        <v/>
      </c>
      <c r="CO31" s="8"/>
      <c r="CP31" s="3" t="str">
        <f>IF(CO31=0,"",IF(CO31=VLOOKUP("PCS-OzTL46",ARBOR!$A:$C,3,0),0.0001,IF(CO31&gt;VLOOKUP("PCS-OzTL46",ARBOR!$A:$C,3,0),"Maior que CAP!",IF((DOLLAR(CO31+(VLOOKUP("PCS-OzTL46",ARBOR!$A:$C,3,0)*-TRUNC(CO31/VLOOKUP("PCS-OzTL46",ARBOR!$A:$C,3,0)-1,4)),6))&lt;&gt;(DOLLAR(VLOOKUP("PCS-OzTL46",ARBOR!$A:$C,3,0),6)),-TRUNC(CO31/VLOOKUP("PCS-OzTL46",ARBOR!$A:$C,3,0)-1,4)+0.0001,-TRUNC(CO31/VLOOKUP("PCS-OzTL46",ARBOR!$A:$C,3,0)-1,4)))))</f>
        <v/>
      </c>
      <c r="CQ31" s="28" t="str">
        <f>IF(ISERROR(IF(CP31="","",VLOOKUP(($BC31&amp;CP31&amp;"Template desconto FLAT Plano Principal Oi TV nível conta"),BENEFICIOS!$A:$G,5,0))),"Criar",IF(CP31="","",VLOOKUP(($BC31&amp;CP31&amp;"Template desconto FLAT Plano Principal Oi TV nível conta"),BENEFICIOS!$A:$G,5,0)))</f>
        <v/>
      </c>
      <c r="CR31" s="8"/>
      <c r="CS31" s="3" t="str">
        <f>IF(CR31=0,"",IF(CR31=VLOOKUP("PCS-OzTL48",ARBOR!$A:$C,3,0),0.0001,IF(CR31&gt;VLOOKUP("PCS-OzTL48",ARBOR!$A:$C,3,0),"Maior que CAP!",IF((DOLLAR(CR31+(VLOOKUP("PCS-OzTL48",ARBOR!$A:$C,3,0)*-TRUNC(CR31/VLOOKUP("PCS-OzTL48",ARBOR!$A:$C,3,0)-1,4)),6))&lt;&gt;(DOLLAR(VLOOKUP("PCS-OzTL48",ARBOR!$A:$C,3,0),6)),-TRUNC(CR31/VLOOKUP("PCS-OzTL48",ARBOR!$A:$C,3,0)-1,4)+0.0001,-TRUNC(CR31/VLOOKUP("PCS-OzTL48",ARBOR!$A:$C,3,0)-1,4)))))</f>
        <v/>
      </c>
      <c r="CT31" s="28" t="str">
        <f>IF(ISERROR(IF(CS31="","",VLOOKUP(($BC31&amp;CS31&amp;"Template desconto FLAT Plano Principal Oi TV nível conta"),BENEFICIOS!$A:$G,5,0))),"Criar",IF(CS31="","",VLOOKUP(($BC31&amp;CS31&amp;"Template desconto FLAT Plano Principal Oi TV nível conta"),BENEFICIOS!$A:$G,5,0)))</f>
        <v/>
      </c>
      <c r="CU31" s="8"/>
      <c r="CV31" s="3" t="str">
        <f>IF(CU31=0,"",IF(CU31=VLOOKUP("PCS-OzTL742",ARBOR!$A:$C,3,0),0.0001,IF(CU31&gt;VLOOKUP("PCS-OzTL742",ARBOR!$A:$C,3,0),"Maior que CAP!",IF((DOLLAR(CU31+(VLOOKUP("PCS-OzTL742",ARBOR!$A:$C,3,0)*-TRUNC(CU31/VLOOKUP("PCS-OzTL742",ARBOR!$A:$C,3,0)-1,4)),6))&lt;&gt;(DOLLAR(VLOOKUP("PCS-OzTL742",ARBOR!$A:$C,3,0),6)),-TRUNC(CU31/VLOOKUP("PCS-OzTL742",ARBOR!$A:$C,3,0)-1,4)+0.0001,-TRUNC(CU31/VLOOKUP("PCS-OzTL742",ARBOR!$A:$C,3,0)-1,4)))))</f>
        <v/>
      </c>
      <c r="CW31" s="28" t="str">
        <f>IF(ISERROR(IF(CV31="","",VLOOKUP(($BC31&amp;CV31&amp;"Template desconto FLAT Plano Principal Oi TV nível conta"),BENEFICIOS!$A:$G,5,0))),"Criar",IF(CV31="","",VLOOKUP(($BC31&amp;CV31&amp;"Template desconto FLAT Plano Principal Oi TV nível conta"),BENEFICIOS!$A:$G,5,0)))</f>
        <v/>
      </c>
      <c r="CX31" s="8"/>
      <c r="CY31" s="3" t="str">
        <f>IF(CX31=0,"",IF(CX31=VLOOKUP("PCS-OzTL747",ARBOR!$A:$C,3,0),0.0001,IF(CX31&gt;VLOOKUP("PCS-OzTL747",ARBOR!$A:$C,3,0),"Maior que CAP!",IF((DOLLAR(CX31+(VLOOKUP("PCS-OzTL747",ARBOR!$A:$C,3,0)*-TRUNC(CX31/VLOOKUP("PCS-OzTL747",ARBOR!$A:$C,3,0)-1,4)),6))&lt;&gt;(DOLLAR(VLOOKUP("PCS-OzTL747",ARBOR!$A:$C,3,0),6)),-TRUNC(CX31/VLOOKUP("PCS-OzTL747",ARBOR!$A:$C,3,0)-1,4)+0.0001,-TRUNC(CX31/VLOOKUP("PCS-OzTL747",ARBOR!$A:$C,3,0)-1,4)))))</f>
        <v/>
      </c>
      <c r="CZ31" s="28" t="str">
        <f>IF(ISERROR(IF(CY31="","",VLOOKUP(($BC31&amp;CY31&amp;"Template desconto FLAT Plano Principal Oi TV nível conta"),BENEFICIOS!$A:$G,5,0))),"Criar",IF(CY31="","",VLOOKUP(($BC31&amp;CY31&amp;"Template desconto FLAT Plano Principal Oi TV nível conta"),BENEFICIOS!$A:$G,5,0)))</f>
        <v/>
      </c>
      <c r="DA31" s="8"/>
      <c r="DB31" s="3" t="str">
        <f>IF(DA31=0,"",IF(DA31=VLOOKUP("PCS-OzTL746",ARBOR!$A:$C,3,0),0.0001,IF(DA31&gt;VLOOKUP("PCS-OzTL746",ARBOR!$A:$C,3,0),"Maior que CAP!",IF((DOLLAR(DA31+(VLOOKUP("PCS-OzTL746",ARBOR!$A:$C,3,0)*-TRUNC(DA31/VLOOKUP("PCS-OzTL746",ARBOR!$A:$C,3,0)-1,4)),6))&lt;&gt;(DOLLAR(VLOOKUP("PCS-OzTL746",ARBOR!$A:$C,3,0),6)),-TRUNC(DA31/VLOOKUP("PCS-OzTL746",ARBOR!$A:$C,3,0)-1,4)+0.0001,-TRUNC(DA31/VLOOKUP("PCS-OzTL746",ARBOR!$A:$C,3,0)-1,4)))))</f>
        <v/>
      </c>
      <c r="DC31" s="28" t="str">
        <f>IF(ISERROR(IF(DB31="","",VLOOKUP(($BC31&amp;DB31&amp;"Template desconto FLAT Plano Principal Oi TV nível conta"),BENEFICIOS!$A:$G,5,0))),"Criar",IF(DB31="","",VLOOKUP(($BC31&amp;DB31&amp;"Template desconto FLAT Plano Principal Oi TV nível conta"),BENEFICIOS!$A:$G,5,0)))</f>
        <v/>
      </c>
      <c r="DD31" s="8"/>
      <c r="DE31" s="3" t="str">
        <f>IF(DD31=0,"",IF(DD31=VLOOKUP("PCS-OzTL748",ARBOR!$A:$C,3,0),0.0001,IF(DD31&gt;VLOOKUP("PCS-OzTL748",ARBOR!$A:$C,3,0),"Maior que CAP!",IF((DOLLAR(DD31+(VLOOKUP("PCS-OzTL748",ARBOR!$A:$C,3,0)*-TRUNC(DD31/VLOOKUP("PCS-OzTL748",ARBOR!$A:$C,3,0)-1,4)),6))&lt;&gt;(DOLLAR(VLOOKUP("PCS-OzTL748",ARBOR!$A:$C,3,0),6)),-TRUNC(DD31/VLOOKUP("PCS-OzTL748",ARBOR!$A:$C,3,0)-1,4)+0.0001,-TRUNC(DD31/VLOOKUP("PCS-OzTL748",ARBOR!$A:$C,3,0)-1,4)))))</f>
        <v/>
      </c>
      <c r="DF31" s="28" t="str">
        <f>IF(ISERROR(IF(DE31="","",VLOOKUP(($BC31&amp;DE31&amp;"Template desconto FLAT Plano Principal Oi TV nível conta"),BENEFICIOS!$A:$G,5,0))),"Criar",IF(DE31="","",VLOOKUP(($BC31&amp;DE31&amp;"Template desconto FLAT Plano Principal Oi TV nível conta"),BENEFICIOS!$A:$G,5,0)))</f>
        <v/>
      </c>
      <c r="DG31" s="8"/>
      <c r="DH31" s="3" t="str">
        <f>IF(DG31=0,"",IF(DG31=VLOOKUP("PCS-OzTL34",ARBOR!$A:$C,3,0),0.0001,IF(DG31&gt;VLOOKUP("PCS-OzTL34",ARBOR!$A:$C,3,0),"Maior que CAP!",IF((DOLLAR(DG31+(VLOOKUP("PCS-OzTL34",ARBOR!$A:$C,3,0)*-TRUNC(DG31/VLOOKUP("PCS-OzTL34",ARBOR!$A:$C,3,0)-1,4)),6))&lt;&gt;(DOLLAR(VLOOKUP("PCS-OzTL34",ARBOR!$A:$C,3,0),6)),-TRUNC(DG31/VLOOKUP("PCS-OzTL34",ARBOR!$A:$C,3,0)-1,4)+0.0001,-TRUNC(DG31/VLOOKUP("PCS-OzTL34",ARBOR!$A:$C,3,0)-1,4)))))</f>
        <v/>
      </c>
      <c r="DI31" s="28" t="str">
        <f>IF(DH31="S/Desc","S/Desc",IF(ISERROR(IF(DH31="","",VLOOKUP(($BC31&amp;DH31&amp;"Template desconto % Combate nível conta"),BENEFICIOS!$A:$G,5,0))),"Criar",IF(DH31="","",VLOOKUP(($BC31&amp;DH31&amp;"Template desconto % Combate nível conta"),BENEFICIOS!$A:$G,5,0))))</f>
        <v/>
      </c>
      <c r="DJ31" s="8"/>
      <c r="DK31" s="3" t="str">
        <f>IF(DJ31=0,"",IF(DJ31=VLOOKUP("PCS-OzTL31",ARBOR!$A:$C,3,0),0.0001,IF(DJ31&gt;VLOOKUP("PCS-OzTL31",ARBOR!$A:$C,3,0),"Maior que CAP!",IF((DOLLAR(DJ31+(VLOOKUP("PCS-OzTL31",ARBOR!$A:$C,3,0)*-TRUNC(DJ31/VLOOKUP("PCS-OzTL31",ARBOR!$A:$C,3,0)-1,4)),6))&lt;&gt;(DOLLAR(VLOOKUP("PCS-OzTL31",ARBOR!$A:$C,3,0),6)),-TRUNC(DJ31/VLOOKUP("PCS-OzTL31",ARBOR!$A:$C,3,0)-1,4)+0.0001,-TRUNC(DJ31/VLOOKUP("PCS-OzTL31",ARBOR!$A:$C,3,0)-1,4)))))</f>
        <v/>
      </c>
      <c r="DL31" s="28" t="str">
        <f>IF(DK31="S/Desc","S/Desc",IF(ISERROR(IF(DK31="","",VLOOKUP(($BC31&amp;DK31&amp;"Template desconto % Sexy Hot nível conta"),BENEFICIOS!$A:$G,5,0))),"Criar",IF(DK31="","",VLOOKUP(($BC31&amp;DK31&amp;"Template desconto % Sexy Hot nível conta"),BENEFICIOS!$A:$G,5,0))))</f>
        <v/>
      </c>
      <c r="DM31" s="8"/>
      <c r="DN31" s="3" t="str">
        <f>IF(DM31=0,"",IF(DM31=VLOOKUP("PCS-OzTL32",ARBOR!$A:$C,3,0),0.0001,IF(DM31&gt;VLOOKUP("PCS-OzTL32",ARBOR!$A:$C,3,0),"Maior que CAP!",IF((DOLLAR(DM31+(VLOOKUP("PCS-OzTL32",ARBOR!$A:$C,3,0)*-TRUNC(DM31/VLOOKUP("PCS-OzTL32",ARBOR!$A:$C,3,0)-1,4)),6))&lt;&gt;(DOLLAR(VLOOKUP("PCS-OzTL32",ARBOR!$A:$C,3,0),6)),-TRUNC(DM31/VLOOKUP("PCS-OzTL32",ARBOR!$A:$C,3,0)-1,4)+0.0001,-TRUNC(DM31/VLOOKUP("PCS-OzTL32",ARBOR!$A:$C,3,0)-1,4)))))</f>
        <v/>
      </c>
      <c r="DO31" s="28" t="str">
        <f>IF(DN31="S/Desc","S/Desc",IF(ISERROR(IF(DN31="","",VLOOKUP(($BC31&amp;DN31&amp;"Template desconto % Playboy nível conta"),BENEFICIOS!$A:$G,5,0))),"Criar",IF(DN31="","",VLOOKUP(($BC31&amp;DN31&amp;"Template desconto % Playboy nível conta"),BENEFICIOS!$A:$G,5,0))))</f>
        <v/>
      </c>
      <c r="DP31" s="8"/>
      <c r="DQ31" s="3" t="str">
        <f>IF(DP31=0,"",IF(DP31=VLOOKUP("PCS-OzTL33",ARBOR!$A:$C,3,0),0.0001,IF(DP31&gt;VLOOKUP("PCS-OzTL33",ARBOR!$A:$C,3,0),"Maior que CAP!",IF((DOLLAR(DP31+(VLOOKUP("PCS-OzTL33",ARBOR!$A:$C,3,0)*-TRUNC(DP31/VLOOKUP("PCS-OzTL33",ARBOR!$A:$C,3,0)-1,4)),6))&lt;&gt;(DOLLAR(VLOOKUP("PCS-OzTL33",ARBOR!$A:$C,3,0),6)),-TRUNC(DP31/VLOOKUP("PCS-OzTL33",ARBOR!$A:$C,3,0)-1,4)+0.0001,-TRUNC(DP31/VLOOKUP("PCS-OzTL33",ARBOR!$A:$C,3,0)-1,4)))))</f>
        <v/>
      </c>
      <c r="DR31" s="28" t="str">
        <f>IF(DQ31="S/Desc","S/Desc",IF(ISERROR(IF(DQ31="","",VLOOKUP(($BC31&amp;DQ31&amp;"Template desconto % Sexy Hot + Playboy nível conta"),BENEFICIOS!$A:$G,5,0))),"Criar",IF(DQ31="","",VLOOKUP(($BC31&amp;DQ31&amp;"Template desconto % Sexy Hot + Playboy nível conta"),BENEFICIOS!$A:$G,5,0))))</f>
        <v/>
      </c>
      <c r="DS31" s="8"/>
      <c r="DT31" s="3" t="str">
        <f>IF(DS31=0,"",IF(DS31=VLOOKUP("PCS-OzTL503",ARBOR!$A:$C,3,0),0.0001,IF(DS31&gt;VLOOKUP("PCS-OzTL503",ARBOR!$A:$C,3,0),"Maior que CAP!",IF((DOLLAR(DS31+(VLOOKUP("PCS-OzTL503",ARBOR!$A:$C,3,0)*-TRUNC(DS31/VLOOKUP("PCS-OzTL503",ARBOR!$A:$C,3,0)-1,4)),6))&lt;&gt;(DOLLAR(VLOOKUP("PCS-OzTL503",ARBOR!$A:$C,3,0),6)),-TRUNC(DS31/VLOOKUP("PCS-OzTL503",ARBOR!$A:$C,3,0)-1,4)+0.0001,-TRUNC(DS31/VLOOKUP("PCS-OzTL503",ARBOR!$A:$C,3,0)-1,4)))))</f>
        <v/>
      </c>
      <c r="DU31" s="28" t="str">
        <f>IF(DT31="S/Desc","S/Desc",IF(ISERROR(IF(DT31="","",VLOOKUP(($BC31&amp;DT31&amp;"Template desconto % SexPrivê nível conta"),BENEFICIOS!$A:$G,5,0))),"Criar",IF(DT31="","",VLOOKUP(($BC31&amp;DT31&amp;"Template desconto % SexPrivê nível conta"),BENEFICIOS!$A:$G,5,0))))</f>
        <v/>
      </c>
      <c r="DV31" s="8"/>
      <c r="DW31" s="3" t="str">
        <f>IF(DV31=0,"",IF(DV31=VLOOKUP("PCS-OzTL500",ARBOR!$A:$C,3,0),0.0001,IF(DV31&gt;VLOOKUP("PCS-OzTL500",ARBOR!$A:$C,3,0),"Maior que CAP!",IF((DOLLAR(DV31+(VLOOKUP("PCS-OzTL500",ARBOR!$A:$C,3,0)*-TRUNC(DV31/VLOOKUP("PCS-OzTL500",ARBOR!$A:$C,3,0)-1,4)),6))&lt;&gt;(DOLLAR(VLOOKUP("PCS-OzTL500",ARBOR!$A:$C,3,0),6)),-TRUNC(DV31/VLOOKUP("PCS-OzTL500",ARBOR!$A:$C,3,0)-1,4)+0.0001,-TRUNC(DV31/VLOOKUP("PCS-OzTL500",ARBOR!$A:$C,3,0)-1,4)))))</f>
        <v/>
      </c>
      <c r="DX31" s="28" t="str">
        <f>IF(DW31="S/Desc","S/Desc",IF(ISERROR(IF(DW31="","",VLOOKUP(($BC31&amp;DW31&amp;"Template desconto % Étnico nível conta"),BENEFICIOS!$A:$G,5,0))),"Criar",IF(DW31="","",VLOOKUP(($BC31&amp;DW31&amp;"Template desconto % Étnico nível conta"),BENEFICIOS!$A:$G,5,0))))</f>
        <v/>
      </c>
      <c r="DY31" s="8"/>
      <c r="DZ31" s="181" t="str">
        <f>IF(DY31=0,"",IF(DY31=VLOOKUP("PCS-OzTL50",ARBOR!$A:$C,3,0),0.0001,IF(DY31&gt;VLOOKUP("PCS-OzTL50",ARBOR!$A:$C,3,0),"Maior que CAP!",IF((DOLLAR(DY31+(VLOOKUP("PCS-OzTL50",ARBOR!$A:$C,3,0)*-TRUNC(DY31/VLOOKUP("PCS-OzTL50",ARBOR!$A:$C,3,0)-1,4)),6))&lt;&gt;(DOLLAR(VLOOKUP("PCS-OzTL50",ARBOR!$A:$C,3,0),6)),-TRUNC(DY31/VLOOKUP("PCS-OzTL50",ARBOR!$A:$C,3,0)-1,4)+0.0001,-TRUNC(DY31/VLOOKUP("PCS-OzTL50",ARBOR!$A:$C,3,0)-1,4)))))</f>
        <v/>
      </c>
      <c r="EA31" s="28"/>
      <c r="EB31" s="8"/>
      <c r="EC31" s="181" t="str">
        <f>IF(EB31=0,"",IF(EB31=VLOOKUP("PCS-OzTL51",ARBOR!$A:$C,3,0),0.0001,IF(EB31&gt;VLOOKUP("PCS-OzTL51",ARBOR!$A:$C,3,0),"Maior que CAP!",IF((DOLLAR(EB31+(VLOOKUP("PCS-OzTL51",ARBOR!$A:$C,3,0)*-TRUNC(EB31/VLOOKUP("PCS-OzTL51",ARBOR!$A:$C,3,0)-1,4)),6))&lt;&gt;(DOLLAR(VLOOKUP("PCS-OzTL51",ARBOR!$A:$C,3,0),6)),-TRUNC(EB31/VLOOKUP("PCS-OzTL51",ARBOR!$A:$C,3,0)-1,4)+0.0001,-TRUNC(EB31/VLOOKUP("PCS-OzTL51",ARBOR!$A:$C,3,0)-1,4)))))</f>
        <v/>
      </c>
      <c r="ED31" s="28"/>
      <c r="EE31" s="8"/>
      <c r="EF31" s="181" t="str">
        <f>IF(EE31=0,"",IF(EE31=VLOOKUP("PCS-OzTL52",ARBOR!$A:$C,3,0),0.0001,IF(EE31&gt;VLOOKUP("PCS-OzTL52",ARBOR!$A:$C,3,0),"Maior que CAP!",IF((DOLLAR(EE31+(VLOOKUP("PCS-OzTL52",ARBOR!$A:$C,3,0)*-TRUNC(EE31/VLOOKUP("PCS-OzTL52",ARBOR!$A:$C,3,0)-1,4)),6))&lt;&gt;(DOLLAR(VLOOKUP("PCS-OzTL52",ARBOR!$A:$C,3,0),6)),-TRUNC(EE31/VLOOKUP("PCS-OzTL52",ARBOR!$A:$C,3,0)-1,4)+0.0001,-TRUNC(EE31/VLOOKUP("PCS-OzTL52",ARBOR!$A:$C,3,0)-1,4)))))</f>
        <v/>
      </c>
      <c r="EG31" s="28"/>
      <c r="EH31" s="8"/>
      <c r="EI31" s="181" t="str">
        <f>IF(EH31=0,"",IF(EH31=VLOOKUP("PCS-OzTL53",ARBOR!$A:$C,3,0),0.0001,IF(EH31&gt;VLOOKUP("PCS-OzTL53",ARBOR!$A:$C,3,0),"Maior que CAP!",IF((DOLLAR(EH31+(VLOOKUP("PCS-OzTL53",ARBOR!$A:$C,3,0)*-TRUNC(EH31/VLOOKUP("PCS-OzTL53",ARBOR!$A:$C,3,0)-1,4)),6))&lt;&gt;(DOLLAR(VLOOKUP("PCS-OzTL53",ARBOR!$A:$C,3,0),6)),-TRUNC(EH31/VLOOKUP("PCS-OzTL53",ARBOR!$A:$C,3,0)-1,4)+0.0001,-TRUNC(EH31/VLOOKUP("PCS-OzTL53",ARBOR!$A:$C,3,0)-1,4)))))</f>
        <v/>
      </c>
      <c r="EJ31" s="28"/>
      <c r="EK31" s="8"/>
      <c r="EL31" s="181" t="str">
        <f>IF(EK31=0,"",IF(EK31=VLOOKUP("PCS-OzTL54",ARBOR!$A:$C,3,0),0.0001,IF(EK31&gt;VLOOKUP("PCS-OzTL54",ARBOR!$A:$C,3,0),"Maior que CAP!",IF((DOLLAR(EK31+(VLOOKUP("PCS-OzTL54",ARBOR!$A:$C,3,0)*-TRUNC(EK31/VLOOKUP("PCS-OzTL54",ARBOR!$A:$C,3,0)-1,4)),6))&lt;&gt;(DOLLAR(VLOOKUP("PCS-OzTL54",ARBOR!$A:$C,3,0),6)),-TRUNC(EK31/VLOOKUP("PCS-OzTL54",ARBOR!$A:$C,3,0)-1,4)+0.0001,-TRUNC(EK31/VLOOKUP("PCS-OzTL54",ARBOR!$A:$C,3,0)-1,4)))))</f>
        <v/>
      </c>
      <c r="EM31" s="28"/>
      <c r="EN31" s="8"/>
      <c r="EO31" s="3" t="str">
        <f>IF(EN31=0,"",IF(EN31=VLOOKUP("PCS-OzTL99",ARBOR!$A:$C,3,0),0.0001,IF(EN31&gt;VLOOKUP("PCS-OzTL99",ARBOR!$A:$C,3,0),"Maior que CAP!",IF((DOLLAR(EN31+(VLOOKUP("PCS-OzTL99",ARBOR!$A:$C,3,0)*-TRUNC(EN31/VLOOKUP("PCS-OzTL99",ARBOR!$A:$C,3,0)-1,4)),6))&lt;&gt;(DOLLAR(VLOOKUP("PCS-OzTL99",ARBOR!$A:$C,3,0),6)),-TRUNC(EN31/VLOOKUP("PCS-OzTL99",ARBOR!$A:$C,3,0)-1,4)+0.0001,-TRUNC(EN31/VLOOKUP("PCS-OzTL99",ARBOR!$A:$C,3,0)-1,4)))))</f>
        <v/>
      </c>
      <c r="EP31" s="28" t="str">
        <f>IF(EO31="S/Desc","S/Desc",IF(ISERROR(IF(EO31="","",VLOOKUP(($BC31&amp;EO31&amp;"Template desconto % Ponto adicional nível conta"),BENEFICIOS!$A:$G,5,0))),"Criar",IF(EO31="","",VLOOKUP(($BC31&amp;EO31&amp;"Template desconto % Ponto adicional nível conta"),BENEFICIOS!$A:$G,5,0))))</f>
        <v/>
      </c>
      <c r="EQ31" s="8"/>
      <c r="ER31" s="28" t="str">
        <f t="shared" si="23"/>
        <v/>
      </c>
      <c r="ES31" s="62"/>
      <c r="ET31" s="126"/>
      <c r="EU31" s="127"/>
      <c r="EV31" s="126"/>
      <c r="EW31" s="128" t="str">
        <f t="shared" si="24"/>
        <v/>
      </c>
      <c r="EX31" s="129" t="str">
        <f t="shared" si="25"/>
        <v/>
      </c>
      <c r="EY31" s="91" t="str">
        <f t="shared" si="26"/>
        <v/>
      </c>
      <c r="EZ31" s="85"/>
      <c r="FA31" s="97"/>
      <c r="FB31" s="91"/>
      <c r="FC31" s="85"/>
      <c r="FD31" s="97"/>
      <c r="FE31" s="91"/>
      <c r="FF31" s="87"/>
      <c r="FG31" s="144" t="str">
        <f t="shared" si="5"/>
        <v/>
      </c>
      <c r="FH31" s="144" t="str">
        <f t="shared" si="6"/>
        <v/>
      </c>
      <c r="FI31" s="144" t="str">
        <f t="shared" si="7"/>
        <v/>
      </c>
      <c r="FJ31" s="144" t="str">
        <f t="shared" si="8"/>
        <v/>
      </c>
      <c r="FK31" s="144" t="str">
        <f t="shared" si="9"/>
        <v/>
      </c>
      <c r="FL31" s="144" t="str">
        <f t="shared" si="10"/>
        <v/>
      </c>
      <c r="FM31" s="144" t="str">
        <f t="shared" si="11"/>
        <v/>
      </c>
      <c r="FN31" s="144" t="str">
        <f t="shared" si="12"/>
        <v/>
      </c>
      <c r="FO31" s="144" t="str">
        <f t="shared" si="13"/>
        <v/>
      </c>
      <c r="FP31" s="144" t="str">
        <f t="shared" si="14"/>
        <v/>
      </c>
      <c r="FQ31" s="144" t="str">
        <f t="shared" si="15"/>
        <v/>
      </c>
      <c r="FR31" s="144" t="str">
        <f t="shared" si="16"/>
        <v/>
      </c>
      <c r="FS31" s="144" t="str">
        <f t="shared" si="17"/>
        <v/>
      </c>
      <c r="FT31" s="144" t="str">
        <f t="shared" si="18"/>
        <v/>
      </c>
      <c r="FU31" s="144" t="str">
        <f t="shared" si="19"/>
        <v/>
      </c>
      <c r="FV31" s="144" t="str">
        <f t="shared" si="20"/>
        <v/>
      </c>
      <c r="FW31" s="144" t="str">
        <f t="shared" si="21"/>
        <v/>
      </c>
      <c r="FX31" s="151"/>
      <c r="FY31" s="152"/>
      <c r="FZ31" s="152"/>
      <c r="GA31" s="152"/>
      <c r="GB31" s="152"/>
      <c r="GC31" s="152"/>
      <c r="GD31" s="152"/>
      <c r="GE31" s="152"/>
      <c r="GF31" s="152"/>
      <c r="GG31" s="153"/>
    </row>
    <row r="32" spans="1:189">
      <c r="A32" s="45"/>
      <c r="B32" s="133"/>
      <c r="C32" s="133"/>
      <c r="D32" s="46"/>
      <c r="E32" s="47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9"/>
      <c r="U32" s="48"/>
      <c r="V32" s="49"/>
      <c r="W32" s="48"/>
      <c r="X32" s="48"/>
      <c r="Y32" s="48"/>
      <c r="Z32" s="48"/>
      <c r="AA32" s="49"/>
      <c r="AB32" s="48"/>
      <c r="AC32" s="50"/>
      <c r="AD32" s="48"/>
      <c r="AE32" s="48"/>
      <c r="AF32" s="48"/>
      <c r="AG32" s="48"/>
      <c r="AH32" s="48"/>
      <c r="AI32" s="48"/>
      <c r="AJ32" s="48"/>
      <c r="AK32" s="48"/>
      <c r="AL32" s="51"/>
      <c r="AM32" s="37"/>
      <c r="AN32" s="38"/>
      <c r="AO32" s="39"/>
      <c r="AP32" s="52"/>
      <c r="AQ32" s="53"/>
      <c r="AR32" s="64"/>
      <c r="AS32" s="65"/>
      <c r="AT32" s="54"/>
      <c r="AU32" s="54"/>
      <c r="AV32" s="54"/>
      <c r="AW32" s="54"/>
      <c r="AX32" s="70"/>
      <c r="AY32" s="71"/>
      <c r="AZ32" s="72"/>
      <c r="BA32" s="73"/>
      <c r="BB32" s="55"/>
      <c r="BC32" s="56"/>
      <c r="BD32" s="27" t="str">
        <f t="shared" si="22"/>
        <v/>
      </c>
      <c r="BE32" s="58"/>
      <c r="BF32" s="3" t="str">
        <f>IF(BE32=0,"",IF(BE32=VLOOKUP("FIXO",ARBOR!$A:$C,3,0),0.0001,IF(BE32&gt;VLOOKUP("FIXO",ARBOR!$A:$C,3,0),"Maior que CAP!",IF((DOLLAR(BE32+(VLOOKUP("FIXO",ARBOR!$A:$C,3,0)*-TRUNC(BE32/VLOOKUP("FIXO",ARBOR!$A:$C,3,0)-1,4)),6))&lt;&gt;(DOLLAR(VLOOKUP("FIXO",ARBOR!$A:$C,3,0),6)),-TRUNC(BE32/VLOOKUP("FIXO",ARBOR!$A:$C,3,0)-1,4)+0.0001,-TRUNC(BE32/VLOOKUP("FIXO",ARBOR!$A:$C,3,0)-1,4)))))</f>
        <v/>
      </c>
      <c r="BG32" s="10" t="str">
        <f>IF(ISERROR(IF(BF32="","",VLOOKUP(($BC32&amp;BF32&amp;"Template de desconto FLAT bundle - Fixo - Varejo - Ganho Tributário Cross"),BENEFICIOS!$A:$G,5,0))),"Criar",IF(BF32="","",VLOOKUP(($BC32&amp;BF32&amp;"Template de desconto FLAT bundle - Fixo - Varejo - Ganho Tributário Cross"),BENEFICIOS!$A:$G,5,0)))</f>
        <v/>
      </c>
      <c r="BH32" s="8"/>
      <c r="BI32" s="3" t="str">
        <f>IF(BH32=0,"",IF(BH32=VLOOKUP("PCS-OzTL40",ARBOR!$A:$C,3,0),0.0001,IF(BH32&gt;VLOOKUP("PCS-OzTL40",ARBOR!$A:$C,3,0),"Maior que CAP!",IF((DOLLAR(BH32+(VLOOKUP("PCS-OzTL40",ARBOR!$A:$C,3,0)*-TRUNC(BH32/VLOOKUP("PCS-OzTL40",ARBOR!$A:$C,3,0)-1,4)),6))&lt;&gt;(DOLLAR(VLOOKUP("PCS-OzTL40",ARBOR!$A:$C,3,0),6)),-TRUNC(BH32/VLOOKUP("PCS-OzTL40",ARBOR!$A:$C,3,0)-1,4)+0.0001,-TRUNC(BH32/VLOOKUP("PCS-OzTL40",ARBOR!$A:$C,3,0)-1,4)))))</f>
        <v/>
      </c>
      <c r="BJ32" s="10" t="str">
        <f>IF(ISERROR(IF(BI32="","",VLOOKUP((BC32&amp;BI32&amp;"Template desconto FLAT Plano Principal Oi TV nível conta"),BENEFICIOS!$A:$G,5,0))),"Criar",IF(BI32="","",VLOOKUP((BC32&amp;BI32&amp;"Template desconto FLAT Plano Principal Oi TV nível conta"),BENEFICIOS!$A:$G,5,0)))</f>
        <v/>
      </c>
      <c r="BK32" s="8"/>
      <c r="BL32" s="3" t="str">
        <f>IF(BK32=0,"",IF(BK32=VLOOKUP("PCS-OzTL41",ARBOR!$A:$C,3,0),0.0001,IF(BK32&gt;VLOOKUP("PCS-OzTL41",ARBOR!$A:$C,3,0),"Maior que CAP!",IF((DOLLAR(BK32+(VLOOKUP("PCS-OzTL41",ARBOR!$A:$C,3,0)*-TRUNC(BK32/VLOOKUP("PCS-OzTL41",ARBOR!$A:$C,3,0)-1,4)),6))&lt;&gt;(DOLLAR(VLOOKUP("PCS-OzTL41",ARBOR!$A:$C,3,0),6)),-TRUNC(BK32/VLOOKUP("PCS-OzTL41",ARBOR!$A:$C,3,0)-1,4)+0.0001,-TRUNC(BK32/VLOOKUP("PCS-OzTL41",ARBOR!$A:$C,3,0)-1,4)))))</f>
        <v/>
      </c>
      <c r="BM32" s="28" t="str">
        <f>IF(ISERROR(IF(BL32="","",VLOOKUP((BC32&amp;BL32&amp;"Template desconto FLAT Plano Principal Oi TV nível conta"),BENEFICIOS!$A:$G,5,0))),"Criar",IF(BL32="","",VLOOKUP((BC32&amp;BL32&amp;"Template desconto FLAT Plano Principal Oi TV nível conta"),BENEFICIOS!$A:$G,5,0)))</f>
        <v/>
      </c>
      <c r="BN32" s="8"/>
      <c r="BO32" s="3" t="str">
        <f>IF(BN32=0,"",IF(BN32=VLOOKUP("PCS-OzTL44",ARBOR!$A:$C,3,0),0.0001,IF(BN32&gt;VLOOKUP("PCS-OzTL44",ARBOR!$A:$C,3,0),"Maior que CAP!",IF((DOLLAR(BN32+(VLOOKUP("PCS-OzTL44",ARBOR!$A:$C,3,0)*-TRUNC(BN32/VLOOKUP("PCS-OzTL44",ARBOR!$A:$C,3,0)-1,4)),6))&lt;&gt;(DOLLAR(VLOOKUP("PCS-OzTL44",ARBOR!$A:$C,3,0),6)),-TRUNC(BN32/VLOOKUP("PCS-OzTL44",ARBOR!$A:$C,3,0)-1,4)+0.0001,-TRUNC(BN32/VLOOKUP("PCS-OzTL44",ARBOR!$A:$C,3,0)-1,4)))))</f>
        <v/>
      </c>
      <c r="BP32" s="28" t="str">
        <f>IF(ISERROR(IF(BO32="","",VLOOKUP((BC32&amp;BO32&amp;"Template desconto FLAT Plano Principal Oi TV nível conta"),BENEFICIOS!$A:$G,5,0))),"Criar",IF(BO32="","",VLOOKUP((BC32&amp;BO32&amp;"Template desconto FLAT Plano Principal Oi TV nível conta"),BENEFICIOS!$A:$G,5,0)))</f>
        <v/>
      </c>
      <c r="BQ32" s="8"/>
      <c r="BR32" s="3" t="str">
        <f>IF(BQ32=0,"",IF(BQ32=VLOOKUP("PCS-OzTL43",ARBOR!$A:$C,3,0),0.0001,IF(BQ32&gt;VLOOKUP("PCS-OzTL43",ARBOR!$A:$C,3,0),"Maior que CAP!",IF((DOLLAR(BQ32+(VLOOKUP("PCS-OzTL43",ARBOR!$A:$C,3,0)*-TRUNC(BQ32/VLOOKUP("PCS-OzTL43",ARBOR!$A:$C,3,0)-1,4)),6))&lt;&gt;(DOLLAR(VLOOKUP("PCS-OzTL43",ARBOR!$A:$C,3,0),6)),-TRUNC(BQ32/VLOOKUP("PCS-OzTL43",ARBOR!$A:$C,3,0)-1,4)+0.0001,-TRUNC(BQ32/VLOOKUP("PCS-OzTL43",ARBOR!$A:$C,3,0)-1,4)))))</f>
        <v/>
      </c>
      <c r="BS32" s="28" t="str">
        <f>IF(ISERROR(IF(BR32="","",VLOOKUP((BC32&amp;BR32&amp;"Template desconto FLAT Plano Principal Oi TV nível conta"),BENEFICIOS!$A:$G,5,0))),"Criar",IF(BR32="","",VLOOKUP((BC32&amp;BR32&amp;"Template desconto FLAT Plano Principal Oi TV nível conta"),BENEFICIOS!$A:$G,5,0)))</f>
        <v/>
      </c>
      <c r="BT32" s="8"/>
      <c r="BU32" s="3" t="str">
        <f>IF(BT32=0,"",IF(BT32=VLOOKUP("PCS-OzTL45",ARBOR!$A:$C,3,0),0.0001,IF(BT32&gt;VLOOKUP("PCS-OzTL45",ARBOR!$A:$C,3,0),"Maior que CAP!",IF((DOLLAR(BT32+(VLOOKUP("PCS-OzTL45",ARBOR!$A:$C,3,0)*-TRUNC(BT32/VLOOKUP("PCS-OzTL45",ARBOR!$A:$C,3,0)-1,4)),6))&lt;&gt;(DOLLAR(VLOOKUP("PCS-OzTL45",ARBOR!$A:$C,3,0),6)),-TRUNC(BT32/VLOOKUP("PCS-OzTL45",ARBOR!$A:$C,3,0)-1,4)+0.0001,-TRUNC(BT32/VLOOKUP("PCS-OzTL45",ARBOR!$A:$C,3,0)-1,4)))))</f>
        <v/>
      </c>
      <c r="BV32" s="28" t="str">
        <f>IF(ISERROR(IF(BU32="","",VLOOKUP((BC32&amp;BU32&amp;"Template desconto FLAT Plano Principal Oi TV nível conta"),BENEFICIOS!$A:$G,5,0))),"Criar",IF(BU32="","",VLOOKUP((BC32&amp;BU32&amp;"Template desconto FLAT Plano Principal Oi TV nível conta"),BENEFICIOS!$A:$G,5,0)))</f>
        <v/>
      </c>
      <c r="BW32" s="8"/>
      <c r="BX32" s="3" t="str">
        <f>IF(BW32=0,"",IF(BW32=VLOOKUP("PCS-OzTL741",ARBOR!$A:$C,3,0),0.0001,IF(BW32&gt;VLOOKUP("PCS-OzTL741",ARBOR!$A:$C,3,0),"Maior que CAP!",IF((DOLLAR(BW32+(VLOOKUP("PCS-OzTL741",ARBOR!$A:$C,3,0)*-TRUNC(BW32/VLOOKUP("PCS-OzTL741",ARBOR!$A:$C,3,0)-1,4)),6))&lt;&gt;(DOLLAR(VLOOKUP("PCS-OzTL741",ARBOR!$A:$C,3,0),6)),-TRUNC(BW32/VLOOKUP("PCS-OzTL741",ARBOR!$A:$C,3,0)-1,4)+0.0001,-TRUNC(BW32/VLOOKUP("PCS-OzTL741",ARBOR!$A:$C,3,0)-1,4)))))</f>
        <v/>
      </c>
      <c r="BY32" s="28" t="str">
        <f>IF(ISERROR(IF(BX32="","",VLOOKUP((BC32&amp;BX32&amp;"Template desconto FLAT Plano Principal Oi TV nível conta"),BENEFICIOS!$A:$G,5,0))),"Criar",IF(BX32="","",VLOOKUP((BC32&amp;BX32&amp;"Template desconto FLAT Plano Principal Oi TV nível conta"),BENEFICIOS!$A:$G,5,0)))</f>
        <v/>
      </c>
      <c r="BZ32" s="8"/>
      <c r="CA32" s="3" t="str">
        <f>IF(BZ32=0,"",IF(BZ32=VLOOKUP("PCS-OzTL744",ARBOR!$A:$C,3,0),0.0001,IF(BZ32&gt;VLOOKUP("PCS-OzTL744",ARBOR!$A:$C,3,0),"Maior que CAP!",IF((DOLLAR(BZ32+(VLOOKUP("PCS-OzTL744",ARBOR!$A:$C,3,0)*-TRUNC(BZ32/VLOOKUP("PCS-OzTL744",ARBOR!$A:$C,3,0)-1,4)),6))&lt;&gt;(DOLLAR(VLOOKUP("PCS-OzTL744",ARBOR!$A:$C,3,0),6)),-TRUNC(BZ32/VLOOKUP("PCS-OzTL744",ARBOR!$A:$C,3,0)-1,4)+0.0001,-TRUNC(BZ32/VLOOKUP("PCS-OzTL744",ARBOR!$A:$C,3,0)-1,4)))))</f>
        <v/>
      </c>
      <c r="CB32" s="28" t="str">
        <f>IF(ISERROR(IF(CA32="","",VLOOKUP(($BC32&amp;CA32&amp;"Template desconto FLAT Plano Principal Oi TV nível conta"),BENEFICIOS!$A:$G,5,0))),"Criar",IF(CA32="","",VLOOKUP(($BC32&amp;CA32&amp;"Template desconto FLAT Plano Principal Oi TV nível conta"),BENEFICIOS!$A:$G,5,0)))</f>
        <v/>
      </c>
      <c r="CC32" s="8"/>
      <c r="CD32" s="3" t="str">
        <f>IF(CC32=0,"",IF(CC32=VLOOKUP("PCS-OzTL743",ARBOR!$A:$C,3,0),0.0001,IF(CC32&gt;VLOOKUP("PCS-OzTL743",ARBOR!$A:$C,3,0),"Maior que CAP!",IF((DOLLAR(CC32+(VLOOKUP("PCS-OzTL743",ARBOR!$A:$C,3,0)*-TRUNC(CC32/VLOOKUP("PCS-OzTL743",ARBOR!$A:$C,3,0)-1,4)),6))&lt;&gt;(DOLLAR(VLOOKUP("PCS-OzTL743",ARBOR!$A:$C,3,0),6)),-TRUNC(CC32/VLOOKUP("PCS-OzTL743",ARBOR!$A:$C,3,0)-1,4)+0.0001,-TRUNC(CC32/VLOOKUP("PCS-OzTL743",ARBOR!$A:$C,3,0)-1,4)))))</f>
        <v/>
      </c>
      <c r="CE32" s="28" t="str">
        <f>IF(ISERROR(IF(CD32="","",VLOOKUP(($BC32&amp;CD32&amp;"Template desconto FLAT Plano Principal Oi TV nível conta"),BENEFICIOS!$A:$G,5,0))),"Criar",IF(CD32="","",VLOOKUP(($BC32&amp;CD32&amp;"Template desconto FLAT Plano Principal Oi TV nível conta"),BENEFICIOS!$A:$G,5,0)))</f>
        <v/>
      </c>
      <c r="CF32" s="8"/>
      <c r="CG32" s="3" t="str">
        <f>IF(CF32=0,"",IF(CF32=VLOOKUP("PCS-OzTL745",ARBOR!$A:$C,3,0),0.0001,IF(CF32&gt;VLOOKUP("PCS-OzTL745",ARBOR!$A:$C,3,0),"Maior que CAP!",IF((DOLLAR(CF32+(VLOOKUP("PCS-OzTL745",ARBOR!$A:$C,3,0)*-TRUNC(CF32/VLOOKUP("PCS-OzTL745",ARBOR!$A:$C,3,0)-1,4)),6))&lt;&gt;(DOLLAR(VLOOKUP("PCS-OzTL745",ARBOR!$A:$C,3,0),6)),-TRUNC(CF32/VLOOKUP("PCS-OzTL745",ARBOR!$A:$C,3,0)-1,4)+0.0001,-TRUNC(CF32/VLOOKUP("PCS-OzTL745",ARBOR!$A:$C,3,0)-1,4)))))</f>
        <v/>
      </c>
      <c r="CH32" s="28" t="str">
        <f>IF(ISERROR(IF(CG32="","",VLOOKUP(($BC32&amp;CG32&amp;"Template desconto FLAT Plano Principal Oi TV nível conta"),BENEFICIOS!$A:$G,5,0))),"Criar",IF(CG32="","",VLOOKUP(($BC32&amp;CG32&amp;"Template desconto FLAT Plano Principal Oi TV nível conta"),BENEFICIOS!$A:$G,5,0)))</f>
        <v/>
      </c>
      <c r="CI32" s="8"/>
      <c r="CJ32" s="3" t="str">
        <f>IF(CI32=0,"",IF(CI32=VLOOKUP("PCS-OzTL42",ARBOR!$A:$C,3,0),0.0001,IF(CI32&gt;VLOOKUP("PCS-OzTL42",ARBOR!$A:$C,3,0),"Maior que CAP!",IF((DOLLAR(CI32+(VLOOKUP("PCS-OzTL42",ARBOR!$A:$C,3,0)*-TRUNC(CI32/VLOOKUP("PCS-OzTL42",ARBOR!$A:$C,3,0)-1,4)),6))&lt;&gt;(DOLLAR(VLOOKUP("PCS-OzTL42",ARBOR!$A:$C,3,0),6)),-TRUNC(CI32/VLOOKUP("PCS-OzTL42",ARBOR!$A:$C,3,0)-1,4)+0.0001,-TRUNC(CI32/VLOOKUP("PCS-OzTL42",ARBOR!$A:$C,3,0)-1,4)))))</f>
        <v/>
      </c>
      <c r="CK32" s="28" t="str">
        <f>IF(ISERROR(IF(CJ32="","",VLOOKUP(($BC32&amp;CJ32&amp;"Template desconto FLAT Plano Principal Oi TV nível conta"),BENEFICIOS!$A:$G,5,0))),"Criar",IF(CJ32="","",VLOOKUP(($BC32&amp;CJ32&amp;"Template desconto FLAT Plano Principal Oi TV nível conta"),BENEFICIOS!$A:$G,5,0)))</f>
        <v/>
      </c>
      <c r="CL32" s="8"/>
      <c r="CM32" s="3" t="str">
        <f>IF(CL32=0,"",IF(CL32=VLOOKUP("PCS-OzTL47",ARBOR!$A:$C,3,0),0.0001,IF(CL32&gt;VLOOKUP("PCS-OzTL47",ARBOR!$A:$C,3,0),"Maior que CAP!",IF((DOLLAR(CL32+(VLOOKUP("PCS-OzTL47",ARBOR!$A:$C,3,0)*-TRUNC(CL32/VLOOKUP("PCS-OzTL47",ARBOR!$A:$C,3,0)-1,4)),6))&lt;&gt;(DOLLAR(VLOOKUP("PCS-OzTL47",ARBOR!$A:$C,3,0),6)),-TRUNC(CL32/VLOOKUP("PCS-OzTL47",ARBOR!$A:$C,3,0)-1,4)+0.0001,-TRUNC(CL32/VLOOKUP("PCS-OzTL47",ARBOR!$A:$C,3,0)-1,4)))))</f>
        <v/>
      </c>
      <c r="CN32" s="28" t="str">
        <f>IF(ISERROR(IF(CM32="","",VLOOKUP(($BC32&amp;CM32&amp;"Template desconto FLAT Plano Principal Oi TV nível conta"),BENEFICIOS!$A:$G,5,0))),"Criar",IF(CM32="","",VLOOKUP(($BC32&amp;CM32&amp;"Template desconto FLAT Plano Principal Oi TV nível conta"),BENEFICIOS!$A:$G,5,0)))</f>
        <v/>
      </c>
      <c r="CO32" s="8"/>
      <c r="CP32" s="3" t="str">
        <f>IF(CO32=0,"",IF(CO32=VLOOKUP("PCS-OzTL46",ARBOR!$A:$C,3,0),0.0001,IF(CO32&gt;VLOOKUP("PCS-OzTL46",ARBOR!$A:$C,3,0),"Maior que CAP!",IF((DOLLAR(CO32+(VLOOKUP("PCS-OzTL46",ARBOR!$A:$C,3,0)*-TRUNC(CO32/VLOOKUP("PCS-OzTL46",ARBOR!$A:$C,3,0)-1,4)),6))&lt;&gt;(DOLLAR(VLOOKUP("PCS-OzTL46",ARBOR!$A:$C,3,0),6)),-TRUNC(CO32/VLOOKUP("PCS-OzTL46",ARBOR!$A:$C,3,0)-1,4)+0.0001,-TRUNC(CO32/VLOOKUP("PCS-OzTL46",ARBOR!$A:$C,3,0)-1,4)))))</f>
        <v/>
      </c>
      <c r="CQ32" s="28" t="str">
        <f>IF(ISERROR(IF(CP32="","",VLOOKUP(($BC32&amp;CP32&amp;"Template desconto FLAT Plano Principal Oi TV nível conta"),BENEFICIOS!$A:$G,5,0))),"Criar",IF(CP32="","",VLOOKUP(($BC32&amp;CP32&amp;"Template desconto FLAT Plano Principal Oi TV nível conta"),BENEFICIOS!$A:$G,5,0)))</f>
        <v/>
      </c>
      <c r="CR32" s="8"/>
      <c r="CS32" s="3" t="str">
        <f>IF(CR32=0,"",IF(CR32=VLOOKUP("PCS-OzTL48",ARBOR!$A:$C,3,0),0.0001,IF(CR32&gt;VLOOKUP("PCS-OzTL48",ARBOR!$A:$C,3,0),"Maior que CAP!",IF((DOLLAR(CR32+(VLOOKUP("PCS-OzTL48",ARBOR!$A:$C,3,0)*-TRUNC(CR32/VLOOKUP("PCS-OzTL48",ARBOR!$A:$C,3,0)-1,4)),6))&lt;&gt;(DOLLAR(VLOOKUP("PCS-OzTL48",ARBOR!$A:$C,3,0),6)),-TRUNC(CR32/VLOOKUP("PCS-OzTL48",ARBOR!$A:$C,3,0)-1,4)+0.0001,-TRUNC(CR32/VLOOKUP("PCS-OzTL48",ARBOR!$A:$C,3,0)-1,4)))))</f>
        <v/>
      </c>
      <c r="CT32" s="28" t="str">
        <f>IF(ISERROR(IF(CS32="","",VLOOKUP(($BC32&amp;CS32&amp;"Template desconto FLAT Plano Principal Oi TV nível conta"),BENEFICIOS!$A:$G,5,0))),"Criar",IF(CS32="","",VLOOKUP(($BC32&amp;CS32&amp;"Template desconto FLAT Plano Principal Oi TV nível conta"),BENEFICIOS!$A:$G,5,0)))</f>
        <v/>
      </c>
      <c r="CU32" s="8"/>
      <c r="CV32" s="3" t="str">
        <f>IF(CU32=0,"",IF(CU32=VLOOKUP("PCS-OzTL742",ARBOR!$A:$C,3,0),0.0001,IF(CU32&gt;VLOOKUP("PCS-OzTL742",ARBOR!$A:$C,3,0),"Maior que CAP!",IF((DOLLAR(CU32+(VLOOKUP("PCS-OzTL742",ARBOR!$A:$C,3,0)*-TRUNC(CU32/VLOOKUP("PCS-OzTL742",ARBOR!$A:$C,3,0)-1,4)),6))&lt;&gt;(DOLLAR(VLOOKUP("PCS-OzTL742",ARBOR!$A:$C,3,0),6)),-TRUNC(CU32/VLOOKUP("PCS-OzTL742",ARBOR!$A:$C,3,0)-1,4)+0.0001,-TRUNC(CU32/VLOOKUP("PCS-OzTL742",ARBOR!$A:$C,3,0)-1,4)))))</f>
        <v/>
      </c>
      <c r="CW32" s="28" t="str">
        <f>IF(ISERROR(IF(CV32="","",VLOOKUP(($BC32&amp;CV32&amp;"Template desconto FLAT Plano Principal Oi TV nível conta"),BENEFICIOS!$A:$G,5,0))),"Criar",IF(CV32="","",VLOOKUP(($BC32&amp;CV32&amp;"Template desconto FLAT Plano Principal Oi TV nível conta"),BENEFICIOS!$A:$G,5,0)))</f>
        <v/>
      </c>
      <c r="CX32" s="8"/>
      <c r="CY32" s="3" t="str">
        <f>IF(CX32=0,"",IF(CX32=VLOOKUP("PCS-OzTL747",ARBOR!$A:$C,3,0),0.0001,IF(CX32&gt;VLOOKUP("PCS-OzTL747",ARBOR!$A:$C,3,0),"Maior que CAP!",IF((DOLLAR(CX32+(VLOOKUP("PCS-OzTL747",ARBOR!$A:$C,3,0)*-TRUNC(CX32/VLOOKUP("PCS-OzTL747",ARBOR!$A:$C,3,0)-1,4)),6))&lt;&gt;(DOLLAR(VLOOKUP("PCS-OzTL747",ARBOR!$A:$C,3,0),6)),-TRUNC(CX32/VLOOKUP("PCS-OzTL747",ARBOR!$A:$C,3,0)-1,4)+0.0001,-TRUNC(CX32/VLOOKUP("PCS-OzTL747",ARBOR!$A:$C,3,0)-1,4)))))</f>
        <v/>
      </c>
      <c r="CZ32" s="28" t="str">
        <f>IF(ISERROR(IF(CY32="","",VLOOKUP(($BC32&amp;CY32&amp;"Template desconto FLAT Plano Principal Oi TV nível conta"),BENEFICIOS!$A:$G,5,0))),"Criar",IF(CY32="","",VLOOKUP(($BC32&amp;CY32&amp;"Template desconto FLAT Plano Principal Oi TV nível conta"),BENEFICIOS!$A:$G,5,0)))</f>
        <v/>
      </c>
      <c r="DA32" s="8"/>
      <c r="DB32" s="3" t="str">
        <f>IF(DA32=0,"",IF(DA32=VLOOKUP("PCS-OzTL746",ARBOR!$A:$C,3,0),0.0001,IF(DA32&gt;VLOOKUP("PCS-OzTL746",ARBOR!$A:$C,3,0),"Maior que CAP!",IF((DOLLAR(DA32+(VLOOKUP("PCS-OzTL746",ARBOR!$A:$C,3,0)*-TRUNC(DA32/VLOOKUP("PCS-OzTL746",ARBOR!$A:$C,3,0)-1,4)),6))&lt;&gt;(DOLLAR(VLOOKUP("PCS-OzTL746",ARBOR!$A:$C,3,0),6)),-TRUNC(DA32/VLOOKUP("PCS-OzTL746",ARBOR!$A:$C,3,0)-1,4)+0.0001,-TRUNC(DA32/VLOOKUP("PCS-OzTL746",ARBOR!$A:$C,3,0)-1,4)))))</f>
        <v/>
      </c>
      <c r="DC32" s="28" t="str">
        <f>IF(ISERROR(IF(DB32="","",VLOOKUP(($BC32&amp;DB32&amp;"Template desconto FLAT Plano Principal Oi TV nível conta"),BENEFICIOS!$A:$G,5,0))),"Criar",IF(DB32="","",VLOOKUP(($BC32&amp;DB32&amp;"Template desconto FLAT Plano Principal Oi TV nível conta"),BENEFICIOS!$A:$G,5,0)))</f>
        <v/>
      </c>
      <c r="DD32" s="8"/>
      <c r="DE32" s="3" t="str">
        <f>IF(DD32=0,"",IF(DD32=VLOOKUP("PCS-OzTL748",ARBOR!$A:$C,3,0),0.0001,IF(DD32&gt;VLOOKUP("PCS-OzTL748",ARBOR!$A:$C,3,0),"Maior que CAP!",IF((DOLLAR(DD32+(VLOOKUP("PCS-OzTL748",ARBOR!$A:$C,3,0)*-TRUNC(DD32/VLOOKUP("PCS-OzTL748",ARBOR!$A:$C,3,0)-1,4)),6))&lt;&gt;(DOLLAR(VLOOKUP("PCS-OzTL748",ARBOR!$A:$C,3,0),6)),-TRUNC(DD32/VLOOKUP("PCS-OzTL748",ARBOR!$A:$C,3,0)-1,4)+0.0001,-TRUNC(DD32/VLOOKUP("PCS-OzTL748",ARBOR!$A:$C,3,0)-1,4)))))</f>
        <v/>
      </c>
      <c r="DF32" s="28" t="str">
        <f>IF(ISERROR(IF(DE32="","",VLOOKUP(($BC32&amp;DE32&amp;"Template desconto FLAT Plano Principal Oi TV nível conta"),BENEFICIOS!$A:$G,5,0))),"Criar",IF(DE32="","",VLOOKUP(($BC32&amp;DE32&amp;"Template desconto FLAT Plano Principal Oi TV nível conta"),BENEFICIOS!$A:$G,5,0)))</f>
        <v/>
      </c>
      <c r="DG32" s="8"/>
      <c r="DH32" s="3" t="str">
        <f>IF(DG32=0,"",IF(DG32=VLOOKUP("PCS-OzTL34",ARBOR!$A:$C,3,0),0.0001,IF(DG32&gt;VLOOKUP("PCS-OzTL34",ARBOR!$A:$C,3,0),"Maior que CAP!",IF((DOLLAR(DG32+(VLOOKUP("PCS-OzTL34",ARBOR!$A:$C,3,0)*-TRUNC(DG32/VLOOKUP("PCS-OzTL34",ARBOR!$A:$C,3,0)-1,4)),6))&lt;&gt;(DOLLAR(VLOOKUP("PCS-OzTL34",ARBOR!$A:$C,3,0),6)),-TRUNC(DG32/VLOOKUP("PCS-OzTL34",ARBOR!$A:$C,3,0)-1,4)+0.0001,-TRUNC(DG32/VLOOKUP("PCS-OzTL34",ARBOR!$A:$C,3,0)-1,4)))))</f>
        <v/>
      </c>
      <c r="DI32" s="28" t="str">
        <f>IF(DH32="S/Desc","S/Desc",IF(ISERROR(IF(DH32="","",VLOOKUP(($BC32&amp;DH32&amp;"Template desconto % Combate nível conta"),BENEFICIOS!$A:$G,5,0))),"Criar",IF(DH32="","",VLOOKUP(($BC32&amp;DH32&amp;"Template desconto % Combate nível conta"),BENEFICIOS!$A:$G,5,0))))</f>
        <v/>
      </c>
      <c r="DJ32" s="8"/>
      <c r="DK32" s="3" t="str">
        <f>IF(DJ32=0,"",IF(DJ32=VLOOKUP("PCS-OzTL31",ARBOR!$A:$C,3,0),0.0001,IF(DJ32&gt;VLOOKUP("PCS-OzTL31",ARBOR!$A:$C,3,0),"Maior que CAP!",IF((DOLLAR(DJ32+(VLOOKUP("PCS-OzTL31",ARBOR!$A:$C,3,0)*-TRUNC(DJ32/VLOOKUP("PCS-OzTL31",ARBOR!$A:$C,3,0)-1,4)),6))&lt;&gt;(DOLLAR(VLOOKUP("PCS-OzTL31",ARBOR!$A:$C,3,0),6)),-TRUNC(DJ32/VLOOKUP("PCS-OzTL31",ARBOR!$A:$C,3,0)-1,4)+0.0001,-TRUNC(DJ32/VLOOKUP("PCS-OzTL31",ARBOR!$A:$C,3,0)-1,4)))))</f>
        <v/>
      </c>
      <c r="DL32" s="28" t="str">
        <f>IF(DK32="S/Desc","S/Desc",IF(ISERROR(IF(DK32="","",VLOOKUP(($BC32&amp;DK32&amp;"Template desconto % Sexy Hot nível conta"),BENEFICIOS!$A:$G,5,0))),"Criar",IF(DK32="","",VLOOKUP(($BC32&amp;DK32&amp;"Template desconto % Sexy Hot nível conta"),BENEFICIOS!$A:$G,5,0))))</f>
        <v/>
      </c>
      <c r="DM32" s="8"/>
      <c r="DN32" s="3" t="str">
        <f>IF(DM32=0,"",IF(DM32=VLOOKUP("PCS-OzTL32",ARBOR!$A:$C,3,0),0.0001,IF(DM32&gt;VLOOKUP("PCS-OzTL32",ARBOR!$A:$C,3,0),"Maior que CAP!",IF((DOLLAR(DM32+(VLOOKUP("PCS-OzTL32",ARBOR!$A:$C,3,0)*-TRUNC(DM32/VLOOKUP("PCS-OzTL32",ARBOR!$A:$C,3,0)-1,4)),6))&lt;&gt;(DOLLAR(VLOOKUP("PCS-OzTL32",ARBOR!$A:$C,3,0),6)),-TRUNC(DM32/VLOOKUP("PCS-OzTL32",ARBOR!$A:$C,3,0)-1,4)+0.0001,-TRUNC(DM32/VLOOKUP("PCS-OzTL32",ARBOR!$A:$C,3,0)-1,4)))))</f>
        <v/>
      </c>
      <c r="DO32" s="28" t="str">
        <f>IF(DN32="S/Desc","S/Desc",IF(ISERROR(IF(DN32="","",VLOOKUP(($BC32&amp;DN32&amp;"Template desconto % Playboy nível conta"),BENEFICIOS!$A:$G,5,0))),"Criar",IF(DN32="","",VLOOKUP(($BC32&amp;DN32&amp;"Template desconto % Playboy nível conta"),BENEFICIOS!$A:$G,5,0))))</f>
        <v/>
      </c>
      <c r="DP32" s="8"/>
      <c r="DQ32" s="3" t="str">
        <f>IF(DP32=0,"",IF(DP32=VLOOKUP("PCS-OzTL33",ARBOR!$A:$C,3,0),0.0001,IF(DP32&gt;VLOOKUP("PCS-OzTL33",ARBOR!$A:$C,3,0),"Maior que CAP!",IF((DOLLAR(DP32+(VLOOKUP("PCS-OzTL33",ARBOR!$A:$C,3,0)*-TRUNC(DP32/VLOOKUP("PCS-OzTL33",ARBOR!$A:$C,3,0)-1,4)),6))&lt;&gt;(DOLLAR(VLOOKUP("PCS-OzTL33",ARBOR!$A:$C,3,0),6)),-TRUNC(DP32/VLOOKUP("PCS-OzTL33",ARBOR!$A:$C,3,0)-1,4)+0.0001,-TRUNC(DP32/VLOOKUP("PCS-OzTL33",ARBOR!$A:$C,3,0)-1,4)))))</f>
        <v/>
      </c>
      <c r="DR32" s="28" t="str">
        <f>IF(DQ32="S/Desc","S/Desc",IF(ISERROR(IF(DQ32="","",VLOOKUP(($BC32&amp;DQ32&amp;"Template desconto % Sexy Hot + Playboy nível conta"),BENEFICIOS!$A:$G,5,0))),"Criar",IF(DQ32="","",VLOOKUP(($BC32&amp;DQ32&amp;"Template desconto % Sexy Hot + Playboy nível conta"),BENEFICIOS!$A:$G,5,0))))</f>
        <v/>
      </c>
      <c r="DS32" s="8"/>
      <c r="DT32" s="3" t="str">
        <f>IF(DS32=0,"",IF(DS32=VLOOKUP("PCS-OzTL503",ARBOR!$A:$C,3,0),0.0001,IF(DS32&gt;VLOOKUP("PCS-OzTL503",ARBOR!$A:$C,3,0),"Maior que CAP!",IF((DOLLAR(DS32+(VLOOKUP("PCS-OzTL503",ARBOR!$A:$C,3,0)*-TRUNC(DS32/VLOOKUP("PCS-OzTL503",ARBOR!$A:$C,3,0)-1,4)),6))&lt;&gt;(DOLLAR(VLOOKUP("PCS-OzTL503",ARBOR!$A:$C,3,0),6)),-TRUNC(DS32/VLOOKUP("PCS-OzTL503",ARBOR!$A:$C,3,0)-1,4)+0.0001,-TRUNC(DS32/VLOOKUP("PCS-OzTL503",ARBOR!$A:$C,3,0)-1,4)))))</f>
        <v/>
      </c>
      <c r="DU32" s="28" t="str">
        <f>IF(DT32="S/Desc","S/Desc",IF(ISERROR(IF(DT32="","",VLOOKUP(($BC32&amp;DT32&amp;"Template desconto % SexPrivê nível conta"),BENEFICIOS!$A:$G,5,0))),"Criar",IF(DT32="","",VLOOKUP(($BC32&amp;DT32&amp;"Template desconto % SexPrivê nível conta"),BENEFICIOS!$A:$G,5,0))))</f>
        <v/>
      </c>
      <c r="DV32" s="8"/>
      <c r="DW32" s="3" t="str">
        <f>IF(DV32=0,"",IF(DV32=VLOOKUP("PCS-OzTL500",ARBOR!$A:$C,3,0),0.0001,IF(DV32&gt;VLOOKUP("PCS-OzTL500",ARBOR!$A:$C,3,0),"Maior que CAP!",IF((DOLLAR(DV32+(VLOOKUP("PCS-OzTL500",ARBOR!$A:$C,3,0)*-TRUNC(DV32/VLOOKUP("PCS-OzTL500",ARBOR!$A:$C,3,0)-1,4)),6))&lt;&gt;(DOLLAR(VLOOKUP("PCS-OzTL500",ARBOR!$A:$C,3,0),6)),-TRUNC(DV32/VLOOKUP("PCS-OzTL500",ARBOR!$A:$C,3,0)-1,4)+0.0001,-TRUNC(DV32/VLOOKUP("PCS-OzTL500",ARBOR!$A:$C,3,0)-1,4)))))</f>
        <v/>
      </c>
      <c r="DX32" s="28" t="str">
        <f>IF(DW32="S/Desc","S/Desc",IF(ISERROR(IF(DW32="","",VLOOKUP(($BC32&amp;DW32&amp;"Template desconto % Étnico nível conta"),BENEFICIOS!$A:$G,5,0))),"Criar",IF(DW32="","",VLOOKUP(($BC32&amp;DW32&amp;"Template desconto % Étnico nível conta"),BENEFICIOS!$A:$G,5,0))))</f>
        <v/>
      </c>
      <c r="DY32" s="8"/>
      <c r="DZ32" s="181" t="str">
        <f>IF(DY32=0,"",IF(DY32=VLOOKUP("PCS-OzTL50",ARBOR!$A:$C,3,0),0.0001,IF(DY32&gt;VLOOKUP("PCS-OzTL50",ARBOR!$A:$C,3,0),"Maior que CAP!",IF((DOLLAR(DY32+(VLOOKUP("PCS-OzTL50",ARBOR!$A:$C,3,0)*-TRUNC(DY32/VLOOKUP("PCS-OzTL50",ARBOR!$A:$C,3,0)-1,4)),6))&lt;&gt;(DOLLAR(VLOOKUP("PCS-OzTL50",ARBOR!$A:$C,3,0),6)),-TRUNC(DY32/VLOOKUP("PCS-OzTL50",ARBOR!$A:$C,3,0)-1,4)+0.0001,-TRUNC(DY32/VLOOKUP("PCS-OzTL50",ARBOR!$A:$C,3,0)-1,4)))))</f>
        <v/>
      </c>
      <c r="EA32" s="28"/>
      <c r="EB32" s="8"/>
      <c r="EC32" s="181" t="str">
        <f>IF(EB32=0,"",IF(EB32=VLOOKUP("PCS-OzTL51",ARBOR!$A:$C,3,0),0.0001,IF(EB32&gt;VLOOKUP("PCS-OzTL51",ARBOR!$A:$C,3,0),"Maior que CAP!",IF((DOLLAR(EB32+(VLOOKUP("PCS-OzTL51",ARBOR!$A:$C,3,0)*-TRUNC(EB32/VLOOKUP("PCS-OzTL51",ARBOR!$A:$C,3,0)-1,4)),6))&lt;&gt;(DOLLAR(VLOOKUP("PCS-OzTL51",ARBOR!$A:$C,3,0),6)),-TRUNC(EB32/VLOOKUP("PCS-OzTL51",ARBOR!$A:$C,3,0)-1,4)+0.0001,-TRUNC(EB32/VLOOKUP("PCS-OzTL51",ARBOR!$A:$C,3,0)-1,4)))))</f>
        <v/>
      </c>
      <c r="ED32" s="28"/>
      <c r="EE32" s="8"/>
      <c r="EF32" s="181" t="str">
        <f>IF(EE32=0,"",IF(EE32=VLOOKUP("PCS-OzTL52",ARBOR!$A:$C,3,0),0.0001,IF(EE32&gt;VLOOKUP("PCS-OzTL52",ARBOR!$A:$C,3,0),"Maior que CAP!",IF((DOLLAR(EE32+(VLOOKUP("PCS-OzTL52",ARBOR!$A:$C,3,0)*-TRUNC(EE32/VLOOKUP("PCS-OzTL52",ARBOR!$A:$C,3,0)-1,4)),6))&lt;&gt;(DOLLAR(VLOOKUP("PCS-OzTL52",ARBOR!$A:$C,3,0),6)),-TRUNC(EE32/VLOOKUP("PCS-OzTL52",ARBOR!$A:$C,3,0)-1,4)+0.0001,-TRUNC(EE32/VLOOKUP("PCS-OzTL52",ARBOR!$A:$C,3,0)-1,4)))))</f>
        <v/>
      </c>
      <c r="EG32" s="28"/>
      <c r="EH32" s="8"/>
      <c r="EI32" s="181" t="str">
        <f>IF(EH32=0,"",IF(EH32=VLOOKUP("PCS-OzTL53",ARBOR!$A:$C,3,0),0.0001,IF(EH32&gt;VLOOKUP("PCS-OzTL53",ARBOR!$A:$C,3,0),"Maior que CAP!",IF((DOLLAR(EH32+(VLOOKUP("PCS-OzTL53",ARBOR!$A:$C,3,0)*-TRUNC(EH32/VLOOKUP("PCS-OzTL53",ARBOR!$A:$C,3,0)-1,4)),6))&lt;&gt;(DOLLAR(VLOOKUP("PCS-OzTL53",ARBOR!$A:$C,3,0),6)),-TRUNC(EH32/VLOOKUP("PCS-OzTL53",ARBOR!$A:$C,3,0)-1,4)+0.0001,-TRUNC(EH32/VLOOKUP("PCS-OzTL53",ARBOR!$A:$C,3,0)-1,4)))))</f>
        <v/>
      </c>
      <c r="EJ32" s="28"/>
      <c r="EK32" s="8"/>
      <c r="EL32" s="181" t="str">
        <f>IF(EK32=0,"",IF(EK32=VLOOKUP("PCS-OzTL54",ARBOR!$A:$C,3,0),0.0001,IF(EK32&gt;VLOOKUP("PCS-OzTL54",ARBOR!$A:$C,3,0),"Maior que CAP!",IF((DOLLAR(EK32+(VLOOKUP("PCS-OzTL54",ARBOR!$A:$C,3,0)*-TRUNC(EK32/VLOOKUP("PCS-OzTL54",ARBOR!$A:$C,3,0)-1,4)),6))&lt;&gt;(DOLLAR(VLOOKUP("PCS-OzTL54",ARBOR!$A:$C,3,0),6)),-TRUNC(EK32/VLOOKUP("PCS-OzTL54",ARBOR!$A:$C,3,0)-1,4)+0.0001,-TRUNC(EK32/VLOOKUP("PCS-OzTL54",ARBOR!$A:$C,3,0)-1,4)))))</f>
        <v/>
      </c>
      <c r="EM32" s="28"/>
      <c r="EN32" s="8"/>
      <c r="EO32" s="3" t="str">
        <f>IF(EN32=0,"",IF(EN32=VLOOKUP("PCS-OzTL99",ARBOR!$A:$C,3,0),0.0001,IF(EN32&gt;VLOOKUP("PCS-OzTL99",ARBOR!$A:$C,3,0),"Maior que CAP!",IF((DOLLAR(EN32+(VLOOKUP("PCS-OzTL99",ARBOR!$A:$C,3,0)*-TRUNC(EN32/VLOOKUP("PCS-OzTL99",ARBOR!$A:$C,3,0)-1,4)),6))&lt;&gt;(DOLLAR(VLOOKUP("PCS-OzTL99",ARBOR!$A:$C,3,0),6)),-TRUNC(EN32/VLOOKUP("PCS-OzTL99",ARBOR!$A:$C,3,0)-1,4)+0.0001,-TRUNC(EN32/VLOOKUP("PCS-OzTL99",ARBOR!$A:$C,3,0)-1,4)))))</f>
        <v/>
      </c>
      <c r="EP32" s="28" t="str">
        <f>IF(EO32="S/Desc","S/Desc",IF(ISERROR(IF(EO32="","",VLOOKUP(($BC32&amp;EO32&amp;"Template desconto % Ponto adicional nível conta"),BENEFICIOS!$A:$G,5,0))),"Criar",IF(EO32="","",VLOOKUP(($BC32&amp;EO32&amp;"Template desconto % Ponto adicional nível conta"),BENEFICIOS!$A:$G,5,0))))</f>
        <v/>
      </c>
      <c r="EQ32" s="8"/>
      <c r="ER32" s="28" t="str">
        <f t="shared" si="23"/>
        <v/>
      </c>
      <c r="ES32" s="62"/>
      <c r="ET32" s="126"/>
      <c r="EU32" s="127"/>
      <c r="EV32" s="126"/>
      <c r="EW32" s="128" t="str">
        <f t="shared" si="24"/>
        <v/>
      </c>
      <c r="EX32" s="129" t="str">
        <f t="shared" si="25"/>
        <v/>
      </c>
      <c r="EY32" s="91" t="str">
        <f t="shared" si="26"/>
        <v/>
      </c>
      <c r="EZ32" s="85"/>
      <c r="FA32" s="97"/>
      <c r="FB32" s="91"/>
      <c r="FC32" s="85"/>
      <c r="FD32" s="97"/>
      <c r="FE32" s="91"/>
      <c r="FF32" s="87"/>
      <c r="FG32" s="144" t="str">
        <f t="shared" si="5"/>
        <v/>
      </c>
      <c r="FH32" s="144" t="str">
        <f t="shared" si="6"/>
        <v/>
      </c>
      <c r="FI32" s="144" t="str">
        <f t="shared" si="7"/>
        <v/>
      </c>
      <c r="FJ32" s="144" t="str">
        <f t="shared" si="8"/>
        <v/>
      </c>
      <c r="FK32" s="144" t="str">
        <f t="shared" si="9"/>
        <v/>
      </c>
      <c r="FL32" s="144" t="str">
        <f t="shared" si="10"/>
        <v/>
      </c>
      <c r="FM32" s="144" t="str">
        <f t="shared" si="11"/>
        <v/>
      </c>
      <c r="FN32" s="144" t="str">
        <f t="shared" si="12"/>
        <v/>
      </c>
      <c r="FO32" s="144" t="str">
        <f t="shared" si="13"/>
        <v/>
      </c>
      <c r="FP32" s="144" t="str">
        <f t="shared" si="14"/>
        <v/>
      </c>
      <c r="FQ32" s="144" t="str">
        <f t="shared" si="15"/>
        <v/>
      </c>
      <c r="FR32" s="144" t="str">
        <f t="shared" si="16"/>
        <v/>
      </c>
      <c r="FS32" s="144" t="str">
        <f t="shared" si="17"/>
        <v/>
      </c>
      <c r="FT32" s="144" t="str">
        <f t="shared" si="18"/>
        <v/>
      </c>
      <c r="FU32" s="144" t="str">
        <f t="shared" si="19"/>
        <v/>
      </c>
      <c r="FV32" s="144" t="str">
        <f t="shared" si="20"/>
        <v/>
      </c>
      <c r="FW32" s="144" t="str">
        <f t="shared" si="21"/>
        <v/>
      </c>
      <c r="FX32" s="151"/>
      <c r="FY32" s="152"/>
      <c r="FZ32" s="152"/>
      <c r="GA32" s="152"/>
      <c r="GB32" s="152"/>
      <c r="GC32" s="152"/>
      <c r="GD32" s="152"/>
      <c r="GE32" s="152"/>
      <c r="GF32" s="152"/>
      <c r="GG32" s="153"/>
    </row>
    <row r="33" spans="1:189">
      <c r="A33" s="45"/>
      <c r="B33" s="133"/>
      <c r="C33" s="133"/>
      <c r="D33" s="46"/>
      <c r="E33" s="47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9"/>
      <c r="U33" s="48"/>
      <c r="V33" s="49"/>
      <c r="W33" s="48"/>
      <c r="X33" s="48"/>
      <c r="Y33" s="48"/>
      <c r="Z33" s="48"/>
      <c r="AA33" s="49"/>
      <c r="AB33" s="48"/>
      <c r="AC33" s="50"/>
      <c r="AD33" s="48"/>
      <c r="AE33" s="48"/>
      <c r="AF33" s="48"/>
      <c r="AG33" s="48"/>
      <c r="AH33" s="48"/>
      <c r="AI33" s="48"/>
      <c r="AJ33" s="48"/>
      <c r="AK33" s="48"/>
      <c r="AL33" s="51"/>
      <c r="AM33" s="37"/>
      <c r="AN33" s="38"/>
      <c r="AO33" s="39"/>
      <c r="AP33" s="52"/>
      <c r="AQ33" s="53"/>
      <c r="AR33" s="64"/>
      <c r="AS33" s="65"/>
      <c r="AT33" s="54"/>
      <c r="AU33" s="54"/>
      <c r="AV33" s="54"/>
      <c r="AW33" s="54"/>
      <c r="AX33" s="70"/>
      <c r="AY33" s="71"/>
      <c r="AZ33" s="72"/>
      <c r="BA33" s="73"/>
      <c r="BB33" s="55"/>
      <c r="BC33" s="56"/>
      <c r="BD33" s="27" t="str">
        <f t="shared" si="22"/>
        <v/>
      </c>
      <c r="BE33" s="58"/>
      <c r="BF33" s="3" t="str">
        <f>IF(BE33=0,"",IF(BE33=VLOOKUP("FIXO",ARBOR!$A:$C,3,0),0.0001,IF(BE33&gt;VLOOKUP("FIXO",ARBOR!$A:$C,3,0),"Maior que CAP!",IF((DOLLAR(BE33+(VLOOKUP("FIXO",ARBOR!$A:$C,3,0)*-TRUNC(BE33/VLOOKUP("FIXO",ARBOR!$A:$C,3,0)-1,4)),6))&lt;&gt;(DOLLAR(VLOOKUP("FIXO",ARBOR!$A:$C,3,0),6)),-TRUNC(BE33/VLOOKUP("FIXO",ARBOR!$A:$C,3,0)-1,4)+0.0001,-TRUNC(BE33/VLOOKUP("FIXO",ARBOR!$A:$C,3,0)-1,4)))))</f>
        <v/>
      </c>
      <c r="BG33" s="10" t="str">
        <f>IF(ISERROR(IF(BF33="","",VLOOKUP(($BC33&amp;BF33&amp;"Template de desconto FLAT bundle - Fixo - Varejo - Ganho Tributário Cross"),BENEFICIOS!$A:$G,5,0))),"Criar",IF(BF33="","",VLOOKUP(($BC33&amp;BF33&amp;"Template de desconto FLAT bundle - Fixo - Varejo - Ganho Tributário Cross"),BENEFICIOS!$A:$G,5,0)))</f>
        <v/>
      </c>
      <c r="BH33" s="8"/>
      <c r="BI33" s="3" t="str">
        <f>IF(BH33=0,"",IF(BH33=VLOOKUP("PCS-OzTL40",ARBOR!$A:$C,3,0),0.0001,IF(BH33&gt;VLOOKUP("PCS-OzTL40",ARBOR!$A:$C,3,0),"Maior que CAP!",IF((DOLLAR(BH33+(VLOOKUP("PCS-OzTL40",ARBOR!$A:$C,3,0)*-TRUNC(BH33/VLOOKUP("PCS-OzTL40",ARBOR!$A:$C,3,0)-1,4)),6))&lt;&gt;(DOLLAR(VLOOKUP("PCS-OzTL40",ARBOR!$A:$C,3,0),6)),-TRUNC(BH33/VLOOKUP("PCS-OzTL40",ARBOR!$A:$C,3,0)-1,4)+0.0001,-TRUNC(BH33/VLOOKUP("PCS-OzTL40",ARBOR!$A:$C,3,0)-1,4)))))</f>
        <v/>
      </c>
      <c r="BJ33" s="10" t="str">
        <f>IF(ISERROR(IF(BI33="","",VLOOKUP((BC33&amp;BI33&amp;"Template desconto FLAT Plano Principal Oi TV nível conta"),BENEFICIOS!$A:$G,5,0))),"Criar",IF(BI33="","",VLOOKUP((BC33&amp;BI33&amp;"Template desconto FLAT Plano Principal Oi TV nível conta"),BENEFICIOS!$A:$G,5,0)))</f>
        <v/>
      </c>
      <c r="BK33" s="8"/>
      <c r="BL33" s="3" t="str">
        <f>IF(BK33=0,"",IF(BK33=VLOOKUP("PCS-OzTL41",ARBOR!$A:$C,3,0),0.0001,IF(BK33&gt;VLOOKUP("PCS-OzTL41",ARBOR!$A:$C,3,0),"Maior que CAP!",IF((DOLLAR(BK33+(VLOOKUP("PCS-OzTL41",ARBOR!$A:$C,3,0)*-TRUNC(BK33/VLOOKUP("PCS-OzTL41",ARBOR!$A:$C,3,0)-1,4)),6))&lt;&gt;(DOLLAR(VLOOKUP("PCS-OzTL41",ARBOR!$A:$C,3,0),6)),-TRUNC(BK33/VLOOKUP("PCS-OzTL41",ARBOR!$A:$C,3,0)-1,4)+0.0001,-TRUNC(BK33/VLOOKUP("PCS-OzTL41",ARBOR!$A:$C,3,0)-1,4)))))</f>
        <v/>
      </c>
      <c r="BM33" s="28" t="str">
        <f>IF(ISERROR(IF(BL33="","",VLOOKUP((BC33&amp;BL33&amp;"Template desconto FLAT Plano Principal Oi TV nível conta"),BENEFICIOS!$A:$G,5,0))),"Criar",IF(BL33="","",VLOOKUP((BC33&amp;BL33&amp;"Template desconto FLAT Plano Principal Oi TV nível conta"),BENEFICIOS!$A:$G,5,0)))</f>
        <v/>
      </c>
      <c r="BN33" s="8"/>
      <c r="BO33" s="3" t="str">
        <f>IF(BN33=0,"",IF(BN33=VLOOKUP("PCS-OzTL44",ARBOR!$A:$C,3,0),0.0001,IF(BN33&gt;VLOOKUP("PCS-OzTL44",ARBOR!$A:$C,3,0),"Maior que CAP!",IF((DOLLAR(BN33+(VLOOKUP("PCS-OzTL44",ARBOR!$A:$C,3,0)*-TRUNC(BN33/VLOOKUP("PCS-OzTL44",ARBOR!$A:$C,3,0)-1,4)),6))&lt;&gt;(DOLLAR(VLOOKUP("PCS-OzTL44",ARBOR!$A:$C,3,0),6)),-TRUNC(BN33/VLOOKUP("PCS-OzTL44",ARBOR!$A:$C,3,0)-1,4)+0.0001,-TRUNC(BN33/VLOOKUP("PCS-OzTL44",ARBOR!$A:$C,3,0)-1,4)))))</f>
        <v/>
      </c>
      <c r="BP33" s="28" t="str">
        <f>IF(ISERROR(IF(BO33="","",VLOOKUP((BC33&amp;BO33&amp;"Template desconto FLAT Plano Principal Oi TV nível conta"),BENEFICIOS!$A:$G,5,0))),"Criar",IF(BO33="","",VLOOKUP((BC33&amp;BO33&amp;"Template desconto FLAT Plano Principal Oi TV nível conta"),BENEFICIOS!$A:$G,5,0)))</f>
        <v/>
      </c>
      <c r="BQ33" s="8"/>
      <c r="BR33" s="3" t="str">
        <f>IF(BQ33=0,"",IF(BQ33=VLOOKUP("PCS-OzTL43",ARBOR!$A:$C,3,0),0.0001,IF(BQ33&gt;VLOOKUP("PCS-OzTL43",ARBOR!$A:$C,3,0),"Maior que CAP!",IF((DOLLAR(BQ33+(VLOOKUP("PCS-OzTL43",ARBOR!$A:$C,3,0)*-TRUNC(BQ33/VLOOKUP("PCS-OzTL43",ARBOR!$A:$C,3,0)-1,4)),6))&lt;&gt;(DOLLAR(VLOOKUP("PCS-OzTL43",ARBOR!$A:$C,3,0),6)),-TRUNC(BQ33/VLOOKUP("PCS-OzTL43",ARBOR!$A:$C,3,0)-1,4)+0.0001,-TRUNC(BQ33/VLOOKUP("PCS-OzTL43",ARBOR!$A:$C,3,0)-1,4)))))</f>
        <v/>
      </c>
      <c r="BS33" s="28" t="str">
        <f>IF(ISERROR(IF(BR33="","",VLOOKUP((BC33&amp;BR33&amp;"Template desconto FLAT Plano Principal Oi TV nível conta"),BENEFICIOS!$A:$G,5,0))),"Criar",IF(BR33="","",VLOOKUP((BC33&amp;BR33&amp;"Template desconto FLAT Plano Principal Oi TV nível conta"),BENEFICIOS!$A:$G,5,0)))</f>
        <v/>
      </c>
      <c r="BT33" s="8"/>
      <c r="BU33" s="3" t="str">
        <f>IF(BT33=0,"",IF(BT33=VLOOKUP("PCS-OzTL45",ARBOR!$A:$C,3,0),0.0001,IF(BT33&gt;VLOOKUP("PCS-OzTL45",ARBOR!$A:$C,3,0),"Maior que CAP!",IF((DOLLAR(BT33+(VLOOKUP("PCS-OzTL45",ARBOR!$A:$C,3,0)*-TRUNC(BT33/VLOOKUP("PCS-OzTL45",ARBOR!$A:$C,3,0)-1,4)),6))&lt;&gt;(DOLLAR(VLOOKUP("PCS-OzTL45",ARBOR!$A:$C,3,0),6)),-TRUNC(BT33/VLOOKUP("PCS-OzTL45",ARBOR!$A:$C,3,0)-1,4)+0.0001,-TRUNC(BT33/VLOOKUP("PCS-OzTL45",ARBOR!$A:$C,3,0)-1,4)))))</f>
        <v/>
      </c>
      <c r="BV33" s="28" t="str">
        <f>IF(ISERROR(IF(BU33="","",VLOOKUP((BC33&amp;BU33&amp;"Template desconto FLAT Plano Principal Oi TV nível conta"),BENEFICIOS!$A:$G,5,0))),"Criar",IF(BU33="","",VLOOKUP((BC33&amp;BU33&amp;"Template desconto FLAT Plano Principal Oi TV nível conta"),BENEFICIOS!$A:$G,5,0)))</f>
        <v/>
      </c>
      <c r="BW33" s="8"/>
      <c r="BX33" s="3" t="str">
        <f>IF(BW33=0,"",IF(BW33=VLOOKUP("PCS-OzTL741",ARBOR!$A:$C,3,0),0.0001,IF(BW33&gt;VLOOKUP("PCS-OzTL741",ARBOR!$A:$C,3,0),"Maior que CAP!",IF((DOLLAR(BW33+(VLOOKUP("PCS-OzTL741",ARBOR!$A:$C,3,0)*-TRUNC(BW33/VLOOKUP("PCS-OzTL741",ARBOR!$A:$C,3,0)-1,4)),6))&lt;&gt;(DOLLAR(VLOOKUP("PCS-OzTL741",ARBOR!$A:$C,3,0),6)),-TRUNC(BW33/VLOOKUP("PCS-OzTL741",ARBOR!$A:$C,3,0)-1,4)+0.0001,-TRUNC(BW33/VLOOKUP("PCS-OzTL741",ARBOR!$A:$C,3,0)-1,4)))))</f>
        <v/>
      </c>
      <c r="BY33" s="28" t="str">
        <f>IF(ISERROR(IF(BX33="","",VLOOKUP((BC33&amp;BX33&amp;"Template desconto FLAT Plano Principal Oi TV nível conta"),BENEFICIOS!$A:$G,5,0))),"Criar",IF(BX33="","",VLOOKUP((BC33&amp;BX33&amp;"Template desconto FLAT Plano Principal Oi TV nível conta"),BENEFICIOS!$A:$G,5,0)))</f>
        <v/>
      </c>
      <c r="BZ33" s="8"/>
      <c r="CA33" s="3" t="str">
        <f>IF(BZ33=0,"",IF(BZ33=VLOOKUP("PCS-OzTL744",ARBOR!$A:$C,3,0),0.0001,IF(BZ33&gt;VLOOKUP("PCS-OzTL744",ARBOR!$A:$C,3,0),"Maior que CAP!",IF((DOLLAR(BZ33+(VLOOKUP("PCS-OzTL744",ARBOR!$A:$C,3,0)*-TRUNC(BZ33/VLOOKUP("PCS-OzTL744",ARBOR!$A:$C,3,0)-1,4)),6))&lt;&gt;(DOLLAR(VLOOKUP("PCS-OzTL744",ARBOR!$A:$C,3,0),6)),-TRUNC(BZ33/VLOOKUP("PCS-OzTL744",ARBOR!$A:$C,3,0)-1,4)+0.0001,-TRUNC(BZ33/VLOOKUP("PCS-OzTL744",ARBOR!$A:$C,3,0)-1,4)))))</f>
        <v/>
      </c>
      <c r="CB33" s="28" t="str">
        <f>IF(ISERROR(IF(CA33="","",VLOOKUP(($BC33&amp;CA33&amp;"Template desconto FLAT Plano Principal Oi TV nível conta"),BENEFICIOS!$A:$G,5,0))),"Criar",IF(CA33="","",VLOOKUP(($BC33&amp;CA33&amp;"Template desconto FLAT Plano Principal Oi TV nível conta"),BENEFICIOS!$A:$G,5,0)))</f>
        <v/>
      </c>
      <c r="CC33" s="8"/>
      <c r="CD33" s="3" t="str">
        <f>IF(CC33=0,"",IF(CC33=VLOOKUP("PCS-OzTL743",ARBOR!$A:$C,3,0),0.0001,IF(CC33&gt;VLOOKUP("PCS-OzTL743",ARBOR!$A:$C,3,0),"Maior que CAP!",IF((DOLLAR(CC33+(VLOOKUP("PCS-OzTL743",ARBOR!$A:$C,3,0)*-TRUNC(CC33/VLOOKUP("PCS-OzTL743",ARBOR!$A:$C,3,0)-1,4)),6))&lt;&gt;(DOLLAR(VLOOKUP("PCS-OzTL743",ARBOR!$A:$C,3,0),6)),-TRUNC(CC33/VLOOKUP("PCS-OzTL743",ARBOR!$A:$C,3,0)-1,4)+0.0001,-TRUNC(CC33/VLOOKUP("PCS-OzTL743",ARBOR!$A:$C,3,0)-1,4)))))</f>
        <v/>
      </c>
      <c r="CE33" s="28" t="str">
        <f>IF(ISERROR(IF(CD33="","",VLOOKUP(($BC33&amp;CD33&amp;"Template desconto FLAT Plano Principal Oi TV nível conta"),BENEFICIOS!$A:$G,5,0))),"Criar",IF(CD33="","",VLOOKUP(($BC33&amp;CD33&amp;"Template desconto FLAT Plano Principal Oi TV nível conta"),BENEFICIOS!$A:$G,5,0)))</f>
        <v/>
      </c>
      <c r="CF33" s="8"/>
      <c r="CG33" s="3" t="str">
        <f>IF(CF33=0,"",IF(CF33=VLOOKUP("PCS-OzTL745",ARBOR!$A:$C,3,0),0.0001,IF(CF33&gt;VLOOKUP("PCS-OzTL745",ARBOR!$A:$C,3,0),"Maior que CAP!",IF((DOLLAR(CF33+(VLOOKUP("PCS-OzTL745",ARBOR!$A:$C,3,0)*-TRUNC(CF33/VLOOKUP("PCS-OzTL745",ARBOR!$A:$C,3,0)-1,4)),6))&lt;&gt;(DOLLAR(VLOOKUP("PCS-OzTL745",ARBOR!$A:$C,3,0),6)),-TRUNC(CF33/VLOOKUP("PCS-OzTL745",ARBOR!$A:$C,3,0)-1,4)+0.0001,-TRUNC(CF33/VLOOKUP("PCS-OzTL745",ARBOR!$A:$C,3,0)-1,4)))))</f>
        <v/>
      </c>
      <c r="CH33" s="28" t="str">
        <f>IF(ISERROR(IF(CG33="","",VLOOKUP(($BC33&amp;CG33&amp;"Template desconto FLAT Plano Principal Oi TV nível conta"),BENEFICIOS!$A:$G,5,0))),"Criar",IF(CG33="","",VLOOKUP(($BC33&amp;CG33&amp;"Template desconto FLAT Plano Principal Oi TV nível conta"),BENEFICIOS!$A:$G,5,0)))</f>
        <v/>
      </c>
      <c r="CI33" s="8"/>
      <c r="CJ33" s="3" t="str">
        <f>IF(CI33=0,"",IF(CI33=VLOOKUP("PCS-OzTL42",ARBOR!$A:$C,3,0),0.0001,IF(CI33&gt;VLOOKUP("PCS-OzTL42",ARBOR!$A:$C,3,0),"Maior que CAP!",IF((DOLLAR(CI33+(VLOOKUP("PCS-OzTL42",ARBOR!$A:$C,3,0)*-TRUNC(CI33/VLOOKUP("PCS-OzTL42",ARBOR!$A:$C,3,0)-1,4)),6))&lt;&gt;(DOLLAR(VLOOKUP("PCS-OzTL42",ARBOR!$A:$C,3,0),6)),-TRUNC(CI33/VLOOKUP("PCS-OzTL42",ARBOR!$A:$C,3,0)-1,4)+0.0001,-TRUNC(CI33/VLOOKUP("PCS-OzTL42",ARBOR!$A:$C,3,0)-1,4)))))</f>
        <v/>
      </c>
      <c r="CK33" s="28" t="str">
        <f>IF(ISERROR(IF(CJ33="","",VLOOKUP(($BC33&amp;CJ33&amp;"Template desconto FLAT Plano Principal Oi TV nível conta"),BENEFICIOS!$A:$G,5,0))),"Criar",IF(CJ33="","",VLOOKUP(($BC33&amp;CJ33&amp;"Template desconto FLAT Plano Principal Oi TV nível conta"),BENEFICIOS!$A:$G,5,0)))</f>
        <v/>
      </c>
      <c r="CL33" s="8"/>
      <c r="CM33" s="3" t="str">
        <f>IF(CL33=0,"",IF(CL33=VLOOKUP("PCS-OzTL47",ARBOR!$A:$C,3,0),0.0001,IF(CL33&gt;VLOOKUP("PCS-OzTL47",ARBOR!$A:$C,3,0),"Maior que CAP!",IF((DOLLAR(CL33+(VLOOKUP("PCS-OzTL47",ARBOR!$A:$C,3,0)*-TRUNC(CL33/VLOOKUP("PCS-OzTL47",ARBOR!$A:$C,3,0)-1,4)),6))&lt;&gt;(DOLLAR(VLOOKUP("PCS-OzTL47",ARBOR!$A:$C,3,0),6)),-TRUNC(CL33/VLOOKUP("PCS-OzTL47",ARBOR!$A:$C,3,0)-1,4)+0.0001,-TRUNC(CL33/VLOOKUP("PCS-OzTL47",ARBOR!$A:$C,3,0)-1,4)))))</f>
        <v/>
      </c>
      <c r="CN33" s="28" t="str">
        <f>IF(ISERROR(IF(CM33="","",VLOOKUP(($BC33&amp;CM33&amp;"Template desconto FLAT Plano Principal Oi TV nível conta"),BENEFICIOS!$A:$G,5,0))),"Criar",IF(CM33="","",VLOOKUP(($BC33&amp;CM33&amp;"Template desconto FLAT Plano Principal Oi TV nível conta"),BENEFICIOS!$A:$G,5,0)))</f>
        <v/>
      </c>
      <c r="CO33" s="8"/>
      <c r="CP33" s="3" t="str">
        <f>IF(CO33=0,"",IF(CO33=VLOOKUP("PCS-OzTL46",ARBOR!$A:$C,3,0),0.0001,IF(CO33&gt;VLOOKUP("PCS-OzTL46",ARBOR!$A:$C,3,0),"Maior que CAP!",IF((DOLLAR(CO33+(VLOOKUP("PCS-OzTL46",ARBOR!$A:$C,3,0)*-TRUNC(CO33/VLOOKUP("PCS-OzTL46",ARBOR!$A:$C,3,0)-1,4)),6))&lt;&gt;(DOLLAR(VLOOKUP("PCS-OzTL46",ARBOR!$A:$C,3,0),6)),-TRUNC(CO33/VLOOKUP("PCS-OzTL46",ARBOR!$A:$C,3,0)-1,4)+0.0001,-TRUNC(CO33/VLOOKUP("PCS-OzTL46",ARBOR!$A:$C,3,0)-1,4)))))</f>
        <v/>
      </c>
      <c r="CQ33" s="28" t="str">
        <f>IF(ISERROR(IF(CP33="","",VLOOKUP(($BC33&amp;CP33&amp;"Template desconto FLAT Plano Principal Oi TV nível conta"),BENEFICIOS!$A:$G,5,0))),"Criar",IF(CP33="","",VLOOKUP(($BC33&amp;CP33&amp;"Template desconto FLAT Plano Principal Oi TV nível conta"),BENEFICIOS!$A:$G,5,0)))</f>
        <v/>
      </c>
      <c r="CR33" s="8"/>
      <c r="CS33" s="3" t="str">
        <f>IF(CR33=0,"",IF(CR33=VLOOKUP("PCS-OzTL48",ARBOR!$A:$C,3,0),0.0001,IF(CR33&gt;VLOOKUP("PCS-OzTL48",ARBOR!$A:$C,3,0),"Maior que CAP!",IF((DOLLAR(CR33+(VLOOKUP("PCS-OzTL48",ARBOR!$A:$C,3,0)*-TRUNC(CR33/VLOOKUP("PCS-OzTL48",ARBOR!$A:$C,3,0)-1,4)),6))&lt;&gt;(DOLLAR(VLOOKUP("PCS-OzTL48",ARBOR!$A:$C,3,0),6)),-TRUNC(CR33/VLOOKUP("PCS-OzTL48",ARBOR!$A:$C,3,0)-1,4)+0.0001,-TRUNC(CR33/VLOOKUP("PCS-OzTL48",ARBOR!$A:$C,3,0)-1,4)))))</f>
        <v/>
      </c>
      <c r="CT33" s="28" t="str">
        <f>IF(ISERROR(IF(CS33="","",VLOOKUP(($BC33&amp;CS33&amp;"Template desconto FLAT Plano Principal Oi TV nível conta"),BENEFICIOS!$A:$G,5,0))),"Criar",IF(CS33="","",VLOOKUP(($BC33&amp;CS33&amp;"Template desconto FLAT Plano Principal Oi TV nível conta"),BENEFICIOS!$A:$G,5,0)))</f>
        <v/>
      </c>
      <c r="CU33" s="8"/>
      <c r="CV33" s="3" t="str">
        <f>IF(CU33=0,"",IF(CU33=VLOOKUP("PCS-OzTL742",ARBOR!$A:$C,3,0),0.0001,IF(CU33&gt;VLOOKUP("PCS-OzTL742",ARBOR!$A:$C,3,0),"Maior que CAP!",IF((DOLLAR(CU33+(VLOOKUP("PCS-OzTL742",ARBOR!$A:$C,3,0)*-TRUNC(CU33/VLOOKUP("PCS-OzTL742",ARBOR!$A:$C,3,0)-1,4)),6))&lt;&gt;(DOLLAR(VLOOKUP("PCS-OzTL742",ARBOR!$A:$C,3,0),6)),-TRUNC(CU33/VLOOKUP("PCS-OzTL742",ARBOR!$A:$C,3,0)-1,4)+0.0001,-TRUNC(CU33/VLOOKUP("PCS-OzTL742",ARBOR!$A:$C,3,0)-1,4)))))</f>
        <v/>
      </c>
      <c r="CW33" s="28" t="str">
        <f>IF(ISERROR(IF(CV33="","",VLOOKUP(($BC33&amp;CV33&amp;"Template desconto FLAT Plano Principal Oi TV nível conta"),BENEFICIOS!$A:$G,5,0))),"Criar",IF(CV33="","",VLOOKUP(($BC33&amp;CV33&amp;"Template desconto FLAT Plano Principal Oi TV nível conta"),BENEFICIOS!$A:$G,5,0)))</f>
        <v/>
      </c>
      <c r="CX33" s="8"/>
      <c r="CY33" s="3" t="str">
        <f>IF(CX33=0,"",IF(CX33=VLOOKUP("PCS-OzTL747",ARBOR!$A:$C,3,0),0.0001,IF(CX33&gt;VLOOKUP("PCS-OzTL747",ARBOR!$A:$C,3,0),"Maior que CAP!",IF((DOLLAR(CX33+(VLOOKUP("PCS-OzTL747",ARBOR!$A:$C,3,0)*-TRUNC(CX33/VLOOKUP("PCS-OzTL747",ARBOR!$A:$C,3,0)-1,4)),6))&lt;&gt;(DOLLAR(VLOOKUP("PCS-OzTL747",ARBOR!$A:$C,3,0),6)),-TRUNC(CX33/VLOOKUP("PCS-OzTL747",ARBOR!$A:$C,3,0)-1,4)+0.0001,-TRUNC(CX33/VLOOKUP("PCS-OzTL747",ARBOR!$A:$C,3,0)-1,4)))))</f>
        <v/>
      </c>
      <c r="CZ33" s="28" t="str">
        <f>IF(ISERROR(IF(CY33="","",VLOOKUP(($BC33&amp;CY33&amp;"Template desconto FLAT Plano Principal Oi TV nível conta"),BENEFICIOS!$A:$G,5,0))),"Criar",IF(CY33="","",VLOOKUP(($BC33&amp;CY33&amp;"Template desconto FLAT Plano Principal Oi TV nível conta"),BENEFICIOS!$A:$G,5,0)))</f>
        <v/>
      </c>
      <c r="DA33" s="8"/>
      <c r="DB33" s="3" t="str">
        <f>IF(DA33=0,"",IF(DA33=VLOOKUP("PCS-OzTL746",ARBOR!$A:$C,3,0),0.0001,IF(DA33&gt;VLOOKUP("PCS-OzTL746",ARBOR!$A:$C,3,0),"Maior que CAP!",IF((DOLLAR(DA33+(VLOOKUP("PCS-OzTL746",ARBOR!$A:$C,3,0)*-TRUNC(DA33/VLOOKUP("PCS-OzTL746",ARBOR!$A:$C,3,0)-1,4)),6))&lt;&gt;(DOLLAR(VLOOKUP("PCS-OzTL746",ARBOR!$A:$C,3,0),6)),-TRUNC(DA33/VLOOKUP("PCS-OzTL746",ARBOR!$A:$C,3,0)-1,4)+0.0001,-TRUNC(DA33/VLOOKUP("PCS-OzTL746",ARBOR!$A:$C,3,0)-1,4)))))</f>
        <v/>
      </c>
      <c r="DC33" s="28" t="str">
        <f>IF(ISERROR(IF(DB33="","",VLOOKUP(($BC33&amp;DB33&amp;"Template desconto FLAT Plano Principal Oi TV nível conta"),BENEFICIOS!$A:$G,5,0))),"Criar",IF(DB33="","",VLOOKUP(($BC33&amp;DB33&amp;"Template desconto FLAT Plano Principal Oi TV nível conta"),BENEFICIOS!$A:$G,5,0)))</f>
        <v/>
      </c>
      <c r="DD33" s="8"/>
      <c r="DE33" s="3" t="str">
        <f>IF(DD33=0,"",IF(DD33=VLOOKUP("PCS-OzTL748",ARBOR!$A:$C,3,0),0.0001,IF(DD33&gt;VLOOKUP("PCS-OzTL748",ARBOR!$A:$C,3,0),"Maior que CAP!",IF((DOLLAR(DD33+(VLOOKUP("PCS-OzTL748",ARBOR!$A:$C,3,0)*-TRUNC(DD33/VLOOKUP("PCS-OzTL748",ARBOR!$A:$C,3,0)-1,4)),6))&lt;&gt;(DOLLAR(VLOOKUP("PCS-OzTL748",ARBOR!$A:$C,3,0),6)),-TRUNC(DD33/VLOOKUP("PCS-OzTL748",ARBOR!$A:$C,3,0)-1,4)+0.0001,-TRUNC(DD33/VLOOKUP("PCS-OzTL748",ARBOR!$A:$C,3,0)-1,4)))))</f>
        <v/>
      </c>
      <c r="DF33" s="28" t="str">
        <f>IF(ISERROR(IF(DE33="","",VLOOKUP(($BC33&amp;DE33&amp;"Template desconto FLAT Plano Principal Oi TV nível conta"),BENEFICIOS!$A:$G,5,0))),"Criar",IF(DE33="","",VLOOKUP(($BC33&amp;DE33&amp;"Template desconto FLAT Plano Principal Oi TV nível conta"),BENEFICIOS!$A:$G,5,0)))</f>
        <v/>
      </c>
      <c r="DG33" s="8"/>
      <c r="DH33" s="3" t="str">
        <f>IF(DG33=0,"",IF(DG33=VLOOKUP("PCS-OzTL34",ARBOR!$A:$C,3,0),0.0001,IF(DG33&gt;VLOOKUP("PCS-OzTL34",ARBOR!$A:$C,3,0),"Maior que CAP!",IF((DOLLAR(DG33+(VLOOKUP("PCS-OzTL34",ARBOR!$A:$C,3,0)*-TRUNC(DG33/VLOOKUP("PCS-OzTL34",ARBOR!$A:$C,3,0)-1,4)),6))&lt;&gt;(DOLLAR(VLOOKUP("PCS-OzTL34",ARBOR!$A:$C,3,0),6)),-TRUNC(DG33/VLOOKUP("PCS-OzTL34",ARBOR!$A:$C,3,0)-1,4)+0.0001,-TRUNC(DG33/VLOOKUP("PCS-OzTL34",ARBOR!$A:$C,3,0)-1,4)))))</f>
        <v/>
      </c>
      <c r="DI33" s="28" t="str">
        <f>IF(DH33="S/Desc","S/Desc",IF(ISERROR(IF(DH33="","",VLOOKUP(($BC33&amp;DH33&amp;"Template desconto % Combate nível conta"),BENEFICIOS!$A:$G,5,0))),"Criar",IF(DH33="","",VLOOKUP(($BC33&amp;DH33&amp;"Template desconto % Combate nível conta"),BENEFICIOS!$A:$G,5,0))))</f>
        <v/>
      </c>
      <c r="DJ33" s="8"/>
      <c r="DK33" s="3" t="str">
        <f>IF(DJ33=0,"",IF(DJ33=VLOOKUP("PCS-OzTL31",ARBOR!$A:$C,3,0),0.0001,IF(DJ33&gt;VLOOKUP("PCS-OzTL31",ARBOR!$A:$C,3,0),"Maior que CAP!",IF((DOLLAR(DJ33+(VLOOKUP("PCS-OzTL31",ARBOR!$A:$C,3,0)*-TRUNC(DJ33/VLOOKUP("PCS-OzTL31",ARBOR!$A:$C,3,0)-1,4)),6))&lt;&gt;(DOLLAR(VLOOKUP("PCS-OzTL31",ARBOR!$A:$C,3,0),6)),-TRUNC(DJ33/VLOOKUP("PCS-OzTL31",ARBOR!$A:$C,3,0)-1,4)+0.0001,-TRUNC(DJ33/VLOOKUP("PCS-OzTL31",ARBOR!$A:$C,3,0)-1,4)))))</f>
        <v/>
      </c>
      <c r="DL33" s="28" t="str">
        <f>IF(DK33="S/Desc","S/Desc",IF(ISERROR(IF(DK33="","",VLOOKUP(($BC33&amp;DK33&amp;"Template desconto % Sexy Hot nível conta"),BENEFICIOS!$A:$G,5,0))),"Criar",IF(DK33="","",VLOOKUP(($BC33&amp;DK33&amp;"Template desconto % Sexy Hot nível conta"),BENEFICIOS!$A:$G,5,0))))</f>
        <v/>
      </c>
      <c r="DM33" s="8"/>
      <c r="DN33" s="3" t="str">
        <f>IF(DM33=0,"",IF(DM33=VLOOKUP("PCS-OzTL32",ARBOR!$A:$C,3,0),0.0001,IF(DM33&gt;VLOOKUP("PCS-OzTL32",ARBOR!$A:$C,3,0),"Maior que CAP!",IF((DOLLAR(DM33+(VLOOKUP("PCS-OzTL32",ARBOR!$A:$C,3,0)*-TRUNC(DM33/VLOOKUP("PCS-OzTL32",ARBOR!$A:$C,3,0)-1,4)),6))&lt;&gt;(DOLLAR(VLOOKUP("PCS-OzTL32",ARBOR!$A:$C,3,0),6)),-TRUNC(DM33/VLOOKUP("PCS-OzTL32",ARBOR!$A:$C,3,0)-1,4)+0.0001,-TRUNC(DM33/VLOOKUP("PCS-OzTL32",ARBOR!$A:$C,3,0)-1,4)))))</f>
        <v/>
      </c>
      <c r="DO33" s="28" t="str">
        <f>IF(DN33="S/Desc","S/Desc",IF(ISERROR(IF(DN33="","",VLOOKUP(($BC33&amp;DN33&amp;"Template desconto % Playboy nível conta"),BENEFICIOS!$A:$G,5,0))),"Criar",IF(DN33="","",VLOOKUP(($BC33&amp;DN33&amp;"Template desconto % Playboy nível conta"),BENEFICIOS!$A:$G,5,0))))</f>
        <v/>
      </c>
      <c r="DP33" s="8"/>
      <c r="DQ33" s="3" t="str">
        <f>IF(DP33=0,"",IF(DP33=VLOOKUP("PCS-OzTL33",ARBOR!$A:$C,3,0),0.0001,IF(DP33&gt;VLOOKUP("PCS-OzTL33",ARBOR!$A:$C,3,0),"Maior que CAP!",IF((DOLLAR(DP33+(VLOOKUP("PCS-OzTL33",ARBOR!$A:$C,3,0)*-TRUNC(DP33/VLOOKUP("PCS-OzTL33",ARBOR!$A:$C,3,0)-1,4)),6))&lt;&gt;(DOLLAR(VLOOKUP("PCS-OzTL33",ARBOR!$A:$C,3,0),6)),-TRUNC(DP33/VLOOKUP("PCS-OzTL33",ARBOR!$A:$C,3,0)-1,4)+0.0001,-TRUNC(DP33/VLOOKUP("PCS-OzTL33",ARBOR!$A:$C,3,0)-1,4)))))</f>
        <v/>
      </c>
      <c r="DR33" s="28" t="str">
        <f>IF(DQ33="S/Desc","S/Desc",IF(ISERROR(IF(DQ33="","",VLOOKUP(($BC33&amp;DQ33&amp;"Template desconto % Sexy Hot + Playboy nível conta"),BENEFICIOS!$A:$G,5,0))),"Criar",IF(DQ33="","",VLOOKUP(($BC33&amp;DQ33&amp;"Template desconto % Sexy Hot + Playboy nível conta"),BENEFICIOS!$A:$G,5,0))))</f>
        <v/>
      </c>
      <c r="DS33" s="8"/>
      <c r="DT33" s="3" t="str">
        <f>IF(DS33=0,"",IF(DS33=VLOOKUP("PCS-OzTL503",ARBOR!$A:$C,3,0),0.0001,IF(DS33&gt;VLOOKUP("PCS-OzTL503",ARBOR!$A:$C,3,0),"Maior que CAP!",IF((DOLLAR(DS33+(VLOOKUP("PCS-OzTL503",ARBOR!$A:$C,3,0)*-TRUNC(DS33/VLOOKUP("PCS-OzTL503",ARBOR!$A:$C,3,0)-1,4)),6))&lt;&gt;(DOLLAR(VLOOKUP("PCS-OzTL503",ARBOR!$A:$C,3,0),6)),-TRUNC(DS33/VLOOKUP("PCS-OzTL503",ARBOR!$A:$C,3,0)-1,4)+0.0001,-TRUNC(DS33/VLOOKUP("PCS-OzTL503",ARBOR!$A:$C,3,0)-1,4)))))</f>
        <v/>
      </c>
      <c r="DU33" s="28" t="str">
        <f>IF(DT33="S/Desc","S/Desc",IF(ISERROR(IF(DT33="","",VLOOKUP(($BC33&amp;DT33&amp;"Template desconto % SexPrivê nível conta"),BENEFICIOS!$A:$G,5,0))),"Criar",IF(DT33="","",VLOOKUP(($BC33&amp;DT33&amp;"Template desconto % SexPrivê nível conta"),BENEFICIOS!$A:$G,5,0))))</f>
        <v/>
      </c>
      <c r="DV33" s="8"/>
      <c r="DW33" s="3" t="str">
        <f>IF(DV33=0,"",IF(DV33=VLOOKUP("PCS-OzTL500",ARBOR!$A:$C,3,0),0.0001,IF(DV33&gt;VLOOKUP("PCS-OzTL500",ARBOR!$A:$C,3,0),"Maior que CAP!",IF((DOLLAR(DV33+(VLOOKUP("PCS-OzTL500",ARBOR!$A:$C,3,0)*-TRUNC(DV33/VLOOKUP("PCS-OzTL500",ARBOR!$A:$C,3,0)-1,4)),6))&lt;&gt;(DOLLAR(VLOOKUP("PCS-OzTL500",ARBOR!$A:$C,3,0),6)),-TRUNC(DV33/VLOOKUP("PCS-OzTL500",ARBOR!$A:$C,3,0)-1,4)+0.0001,-TRUNC(DV33/VLOOKUP("PCS-OzTL500",ARBOR!$A:$C,3,0)-1,4)))))</f>
        <v/>
      </c>
      <c r="DX33" s="28" t="str">
        <f>IF(DW33="S/Desc","S/Desc",IF(ISERROR(IF(DW33="","",VLOOKUP(($BC33&amp;DW33&amp;"Template desconto % Étnico nível conta"),BENEFICIOS!$A:$G,5,0))),"Criar",IF(DW33="","",VLOOKUP(($BC33&amp;DW33&amp;"Template desconto % Étnico nível conta"),BENEFICIOS!$A:$G,5,0))))</f>
        <v/>
      </c>
      <c r="DY33" s="8"/>
      <c r="DZ33" s="181" t="str">
        <f>IF(DY33=0,"",IF(DY33=VLOOKUP("PCS-OzTL50",ARBOR!$A:$C,3,0),0.0001,IF(DY33&gt;VLOOKUP("PCS-OzTL50",ARBOR!$A:$C,3,0),"Maior que CAP!",IF((DOLLAR(DY33+(VLOOKUP("PCS-OzTL50",ARBOR!$A:$C,3,0)*-TRUNC(DY33/VLOOKUP("PCS-OzTL50",ARBOR!$A:$C,3,0)-1,4)),6))&lt;&gt;(DOLLAR(VLOOKUP("PCS-OzTL50",ARBOR!$A:$C,3,0),6)),-TRUNC(DY33/VLOOKUP("PCS-OzTL50",ARBOR!$A:$C,3,0)-1,4)+0.0001,-TRUNC(DY33/VLOOKUP("PCS-OzTL50",ARBOR!$A:$C,3,0)-1,4)))))</f>
        <v/>
      </c>
      <c r="EA33" s="28"/>
      <c r="EB33" s="8"/>
      <c r="EC33" s="181" t="str">
        <f>IF(EB33=0,"",IF(EB33=VLOOKUP("PCS-OzTL51",ARBOR!$A:$C,3,0),0.0001,IF(EB33&gt;VLOOKUP("PCS-OzTL51",ARBOR!$A:$C,3,0),"Maior que CAP!",IF((DOLLAR(EB33+(VLOOKUP("PCS-OzTL51",ARBOR!$A:$C,3,0)*-TRUNC(EB33/VLOOKUP("PCS-OzTL51",ARBOR!$A:$C,3,0)-1,4)),6))&lt;&gt;(DOLLAR(VLOOKUP("PCS-OzTL51",ARBOR!$A:$C,3,0),6)),-TRUNC(EB33/VLOOKUP("PCS-OzTL51",ARBOR!$A:$C,3,0)-1,4)+0.0001,-TRUNC(EB33/VLOOKUP("PCS-OzTL51",ARBOR!$A:$C,3,0)-1,4)))))</f>
        <v/>
      </c>
      <c r="ED33" s="28"/>
      <c r="EE33" s="8"/>
      <c r="EF33" s="181" t="str">
        <f>IF(EE33=0,"",IF(EE33=VLOOKUP("PCS-OzTL52",ARBOR!$A:$C,3,0),0.0001,IF(EE33&gt;VLOOKUP("PCS-OzTL52",ARBOR!$A:$C,3,0),"Maior que CAP!",IF((DOLLAR(EE33+(VLOOKUP("PCS-OzTL52",ARBOR!$A:$C,3,0)*-TRUNC(EE33/VLOOKUP("PCS-OzTL52",ARBOR!$A:$C,3,0)-1,4)),6))&lt;&gt;(DOLLAR(VLOOKUP("PCS-OzTL52",ARBOR!$A:$C,3,0),6)),-TRUNC(EE33/VLOOKUP("PCS-OzTL52",ARBOR!$A:$C,3,0)-1,4)+0.0001,-TRUNC(EE33/VLOOKUP("PCS-OzTL52",ARBOR!$A:$C,3,0)-1,4)))))</f>
        <v/>
      </c>
      <c r="EG33" s="28"/>
      <c r="EH33" s="8"/>
      <c r="EI33" s="181" t="str">
        <f>IF(EH33=0,"",IF(EH33=VLOOKUP("PCS-OzTL53",ARBOR!$A:$C,3,0),0.0001,IF(EH33&gt;VLOOKUP("PCS-OzTL53",ARBOR!$A:$C,3,0),"Maior que CAP!",IF((DOLLAR(EH33+(VLOOKUP("PCS-OzTL53",ARBOR!$A:$C,3,0)*-TRUNC(EH33/VLOOKUP("PCS-OzTL53",ARBOR!$A:$C,3,0)-1,4)),6))&lt;&gt;(DOLLAR(VLOOKUP("PCS-OzTL53",ARBOR!$A:$C,3,0),6)),-TRUNC(EH33/VLOOKUP("PCS-OzTL53",ARBOR!$A:$C,3,0)-1,4)+0.0001,-TRUNC(EH33/VLOOKUP("PCS-OzTL53",ARBOR!$A:$C,3,0)-1,4)))))</f>
        <v/>
      </c>
      <c r="EJ33" s="28"/>
      <c r="EK33" s="8"/>
      <c r="EL33" s="181" t="str">
        <f>IF(EK33=0,"",IF(EK33=VLOOKUP("PCS-OzTL54",ARBOR!$A:$C,3,0),0.0001,IF(EK33&gt;VLOOKUP("PCS-OzTL54",ARBOR!$A:$C,3,0),"Maior que CAP!",IF((DOLLAR(EK33+(VLOOKUP("PCS-OzTL54",ARBOR!$A:$C,3,0)*-TRUNC(EK33/VLOOKUP("PCS-OzTL54",ARBOR!$A:$C,3,0)-1,4)),6))&lt;&gt;(DOLLAR(VLOOKUP("PCS-OzTL54",ARBOR!$A:$C,3,0),6)),-TRUNC(EK33/VLOOKUP("PCS-OzTL54",ARBOR!$A:$C,3,0)-1,4)+0.0001,-TRUNC(EK33/VLOOKUP("PCS-OzTL54",ARBOR!$A:$C,3,0)-1,4)))))</f>
        <v/>
      </c>
      <c r="EM33" s="28"/>
      <c r="EN33" s="8"/>
      <c r="EO33" s="3" t="str">
        <f>IF(EN33=0,"",IF(EN33=VLOOKUP("PCS-OzTL99",ARBOR!$A:$C,3,0),0.0001,IF(EN33&gt;VLOOKUP("PCS-OzTL99",ARBOR!$A:$C,3,0),"Maior que CAP!",IF((DOLLAR(EN33+(VLOOKUP("PCS-OzTL99",ARBOR!$A:$C,3,0)*-TRUNC(EN33/VLOOKUP("PCS-OzTL99",ARBOR!$A:$C,3,0)-1,4)),6))&lt;&gt;(DOLLAR(VLOOKUP("PCS-OzTL99",ARBOR!$A:$C,3,0),6)),-TRUNC(EN33/VLOOKUP("PCS-OzTL99",ARBOR!$A:$C,3,0)-1,4)+0.0001,-TRUNC(EN33/VLOOKUP("PCS-OzTL99",ARBOR!$A:$C,3,0)-1,4)))))</f>
        <v/>
      </c>
      <c r="EP33" s="28" t="str">
        <f>IF(EO33="S/Desc","S/Desc",IF(ISERROR(IF(EO33="","",VLOOKUP(($BC33&amp;EO33&amp;"Template desconto % Ponto adicional nível conta"),BENEFICIOS!$A:$G,5,0))),"Criar",IF(EO33="","",VLOOKUP(($BC33&amp;EO33&amp;"Template desconto % Ponto adicional nível conta"),BENEFICIOS!$A:$G,5,0))))</f>
        <v/>
      </c>
      <c r="EQ33" s="8"/>
      <c r="ER33" s="28" t="str">
        <f t="shared" si="23"/>
        <v/>
      </c>
      <c r="ES33" s="62"/>
      <c r="ET33" s="126"/>
      <c r="EU33" s="127"/>
      <c r="EV33" s="126"/>
      <c r="EW33" s="128" t="str">
        <f t="shared" si="24"/>
        <v/>
      </c>
      <c r="EX33" s="129" t="str">
        <f t="shared" si="25"/>
        <v/>
      </c>
      <c r="EY33" s="91" t="str">
        <f t="shared" si="26"/>
        <v/>
      </c>
      <c r="EZ33" s="85"/>
      <c r="FA33" s="97"/>
      <c r="FB33" s="91"/>
      <c r="FC33" s="85"/>
      <c r="FD33" s="97"/>
      <c r="FE33" s="91"/>
      <c r="FF33" s="87"/>
      <c r="FG33" s="144" t="str">
        <f t="shared" si="5"/>
        <v/>
      </c>
      <c r="FH33" s="144" t="str">
        <f t="shared" si="6"/>
        <v/>
      </c>
      <c r="FI33" s="144" t="str">
        <f t="shared" si="7"/>
        <v/>
      </c>
      <c r="FJ33" s="144" t="str">
        <f t="shared" si="8"/>
        <v/>
      </c>
      <c r="FK33" s="144" t="str">
        <f t="shared" si="9"/>
        <v/>
      </c>
      <c r="FL33" s="144" t="str">
        <f t="shared" si="10"/>
        <v/>
      </c>
      <c r="FM33" s="144" t="str">
        <f t="shared" si="11"/>
        <v/>
      </c>
      <c r="FN33" s="144" t="str">
        <f t="shared" si="12"/>
        <v/>
      </c>
      <c r="FO33" s="144" t="str">
        <f t="shared" si="13"/>
        <v/>
      </c>
      <c r="FP33" s="144" t="str">
        <f t="shared" si="14"/>
        <v/>
      </c>
      <c r="FQ33" s="144" t="str">
        <f t="shared" si="15"/>
        <v/>
      </c>
      <c r="FR33" s="144" t="str">
        <f t="shared" si="16"/>
        <v/>
      </c>
      <c r="FS33" s="144" t="str">
        <f t="shared" si="17"/>
        <v/>
      </c>
      <c r="FT33" s="144" t="str">
        <f t="shared" si="18"/>
        <v/>
      </c>
      <c r="FU33" s="144" t="str">
        <f t="shared" si="19"/>
        <v/>
      </c>
      <c r="FV33" s="144" t="str">
        <f t="shared" si="20"/>
        <v/>
      </c>
      <c r="FW33" s="144" t="str">
        <f t="shared" si="21"/>
        <v/>
      </c>
      <c r="FX33" s="151"/>
      <c r="FY33" s="152"/>
      <c r="FZ33" s="152"/>
      <c r="GA33" s="152"/>
      <c r="GB33" s="152"/>
      <c r="GC33" s="152"/>
      <c r="GD33" s="152"/>
      <c r="GE33" s="152"/>
      <c r="GF33" s="152"/>
      <c r="GG33" s="153"/>
    </row>
    <row r="34" spans="1:189">
      <c r="A34" s="45"/>
      <c r="B34" s="133"/>
      <c r="C34" s="133"/>
      <c r="D34" s="46"/>
      <c r="E34" s="47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9"/>
      <c r="U34" s="48"/>
      <c r="V34" s="49"/>
      <c r="W34" s="48"/>
      <c r="X34" s="48"/>
      <c r="Y34" s="48"/>
      <c r="Z34" s="48"/>
      <c r="AA34" s="49"/>
      <c r="AB34" s="48"/>
      <c r="AC34" s="50"/>
      <c r="AD34" s="48"/>
      <c r="AE34" s="48"/>
      <c r="AF34" s="48"/>
      <c r="AG34" s="48"/>
      <c r="AH34" s="48"/>
      <c r="AI34" s="48"/>
      <c r="AJ34" s="48"/>
      <c r="AK34" s="48"/>
      <c r="AL34" s="51"/>
      <c r="AM34" s="37"/>
      <c r="AN34" s="38"/>
      <c r="AO34" s="39"/>
      <c r="AP34" s="52"/>
      <c r="AQ34" s="53"/>
      <c r="AR34" s="64"/>
      <c r="AS34" s="65"/>
      <c r="AT34" s="54"/>
      <c r="AU34" s="54"/>
      <c r="AV34" s="54"/>
      <c r="AW34" s="54"/>
      <c r="AX34" s="70"/>
      <c r="AY34" s="71"/>
      <c r="AZ34" s="72"/>
      <c r="BA34" s="73"/>
      <c r="BB34" s="55"/>
      <c r="BC34" s="56"/>
      <c r="BD34" s="27" t="str">
        <f t="shared" si="22"/>
        <v/>
      </c>
      <c r="BE34" s="58"/>
      <c r="BF34" s="3" t="str">
        <f>IF(BE34=0,"",IF(BE34=VLOOKUP("FIXO",ARBOR!$A:$C,3,0),0.0001,IF(BE34&gt;VLOOKUP("FIXO",ARBOR!$A:$C,3,0),"Maior que CAP!",IF((DOLLAR(BE34+(VLOOKUP("FIXO",ARBOR!$A:$C,3,0)*-TRUNC(BE34/VLOOKUP("FIXO",ARBOR!$A:$C,3,0)-1,4)),6))&lt;&gt;(DOLLAR(VLOOKUP("FIXO",ARBOR!$A:$C,3,0),6)),-TRUNC(BE34/VLOOKUP("FIXO",ARBOR!$A:$C,3,0)-1,4)+0.0001,-TRUNC(BE34/VLOOKUP("FIXO",ARBOR!$A:$C,3,0)-1,4)))))</f>
        <v/>
      </c>
      <c r="BG34" s="10" t="str">
        <f>IF(ISERROR(IF(BF34="","",VLOOKUP(($BC34&amp;BF34&amp;"Template de desconto FLAT bundle - Fixo - Varejo - Ganho Tributário Cross"),BENEFICIOS!$A:$G,5,0))),"Criar",IF(BF34="","",VLOOKUP(($BC34&amp;BF34&amp;"Template de desconto FLAT bundle - Fixo - Varejo - Ganho Tributário Cross"),BENEFICIOS!$A:$G,5,0)))</f>
        <v/>
      </c>
      <c r="BH34" s="8"/>
      <c r="BI34" s="3" t="str">
        <f>IF(BH34=0,"",IF(BH34=VLOOKUP("PCS-OzTL40",ARBOR!$A:$C,3,0),0.0001,IF(BH34&gt;VLOOKUP("PCS-OzTL40",ARBOR!$A:$C,3,0),"Maior que CAP!",IF((DOLLAR(BH34+(VLOOKUP("PCS-OzTL40",ARBOR!$A:$C,3,0)*-TRUNC(BH34/VLOOKUP("PCS-OzTL40",ARBOR!$A:$C,3,0)-1,4)),6))&lt;&gt;(DOLLAR(VLOOKUP("PCS-OzTL40",ARBOR!$A:$C,3,0),6)),-TRUNC(BH34/VLOOKUP("PCS-OzTL40",ARBOR!$A:$C,3,0)-1,4)+0.0001,-TRUNC(BH34/VLOOKUP("PCS-OzTL40",ARBOR!$A:$C,3,0)-1,4)))))</f>
        <v/>
      </c>
      <c r="BJ34" s="10" t="str">
        <f>IF(ISERROR(IF(BI34="","",VLOOKUP((BC34&amp;BI34&amp;"Template desconto FLAT Plano Principal Oi TV nível conta"),BENEFICIOS!$A:$G,5,0))),"Criar",IF(BI34="","",VLOOKUP((BC34&amp;BI34&amp;"Template desconto FLAT Plano Principal Oi TV nível conta"),BENEFICIOS!$A:$G,5,0)))</f>
        <v/>
      </c>
      <c r="BK34" s="8"/>
      <c r="BL34" s="3" t="str">
        <f>IF(BK34=0,"",IF(BK34=VLOOKUP("PCS-OzTL41",ARBOR!$A:$C,3,0),0.0001,IF(BK34&gt;VLOOKUP("PCS-OzTL41",ARBOR!$A:$C,3,0),"Maior que CAP!",IF((DOLLAR(BK34+(VLOOKUP("PCS-OzTL41",ARBOR!$A:$C,3,0)*-TRUNC(BK34/VLOOKUP("PCS-OzTL41",ARBOR!$A:$C,3,0)-1,4)),6))&lt;&gt;(DOLLAR(VLOOKUP("PCS-OzTL41",ARBOR!$A:$C,3,0),6)),-TRUNC(BK34/VLOOKUP("PCS-OzTL41",ARBOR!$A:$C,3,0)-1,4)+0.0001,-TRUNC(BK34/VLOOKUP("PCS-OzTL41",ARBOR!$A:$C,3,0)-1,4)))))</f>
        <v/>
      </c>
      <c r="BM34" s="28" t="str">
        <f>IF(ISERROR(IF(BL34="","",VLOOKUP((BC34&amp;BL34&amp;"Template desconto FLAT Plano Principal Oi TV nível conta"),BENEFICIOS!$A:$G,5,0))),"Criar",IF(BL34="","",VLOOKUP((BC34&amp;BL34&amp;"Template desconto FLAT Plano Principal Oi TV nível conta"),BENEFICIOS!$A:$G,5,0)))</f>
        <v/>
      </c>
      <c r="BN34" s="8"/>
      <c r="BO34" s="3" t="str">
        <f>IF(BN34=0,"",IF(BN34=VLOOKUP("PCS-OzTL44",ARBOR!$A:$C,3,0),0.0001,IF(BN34&gt;VLOOKUP("PCS-OzTL44",ARBOR!$A:$C,3,0),"Maior que CAP!",IF((DOLLAR(BN34+(VLOOKUP("PCS-OzTL44",ARBOR!$A:$C,3,0)*-TRUNC(BN34/VLOOKUP("PCS-OzTL44",ARBOR!$A:$C,3,0)-1,4)),6))&lt;&gt;(DOLLAR(VLOOKUP("PCS-OzTL44",ARBOR!$A:$C,3,0),6)),-TRUNC(BN34/VLOOKUP("PCS-OzTL44",ARBOR!$A:$C,3,0)-1,4)+0.0001,-TRUNC(BN34/VLOOKUP("PCS-OzTL44",ARBOR!$A:$C,3,0)-1,4)))))</f>
        <v/>
      </c>
      <c r="BP34" s="28" t="str">
        <f>IF(ISERROR(IF(BO34="","",VLOOKUP((BC34&amp;BO34&amp;"Template desconto FLAT Plano Principal Oi TV nível conta"),BENEFICIOS!$A:$G,5,0))),"Criar",IF(BO34="","",VLOOKUP((BC34&amp;BO34&amp;"Template desconto FLAT Plano Principal Oi TV nível conta"),BENEFICIOS!$A:$G,5,0)))</f>
        <v/>
      </c>
      <c r="BQ34" s="8"/>
      <c r="BR34" s="3" t="str">
        <f>IF(BQ34=0,"",IF(BQ34=VLOOKUP("PCS-OzTL43",ARBOR!$A:$C,3,0),0.0001,IF(BQ34&gt;VLOOKUP("PCS-OzTL43",ARBOR!$A:$C,3,0),"Maior que CAP!",IF((DOLLAR(BQ34+(VLOOKUP("PCS-OzTL43",ARBOR!$A:$C,3,0)*-TRUNC(BQ34/VLOOKUP("PCS-OzTL43",ARBOR!$A:$C,3,0)-1,4)),6))&lt;&gt;(DOLLAR(VLOOKUP("PCS-OzTL43",ARBOR!$A:$C,3,0),6)),-TRUNC(BQ34/VLOOKUP("PCS-OzTL43",ARBOR!$A:$C,3,0)-1,4)+0.0001,-TRUNC(BQ34/VLOOKUP("PCS-OzTL43",ARBOR!$A:$C,3,0)-1,4)))))</f>
        <v/>
      </c>
      <c r="BS34" s="28" t="str">
        <f>IF(ISERROR(IF(BR34="","",VLOOKUP((BC34&amp;BR34&amp;"Template desconto FLAT Plano Principal Oi TV nível conta"),BENEFICIOS!$A:$G,5,0))),"Criar",IF(BR34="","",VLOOKUP((BC34&amp;BR34&amp;"Template desconto FLAT Plano Principal Oi TV nível conta"),BENEFICIOS!$A:$G,5,0)))</f>
        <v/>
      </c>
      <c r="BT34" s="8"/>
      <c r="BU34" s="3" t="str">
        <f>IF(BT34=0,"",IF(BT34=VLOOKUP("PCS-OzTL45",ARBOR!$A:$C,3,0),0.0001,IF(BT34&gt;VLOOKUP("PCS-OzTL45",ARBOR!$A:$C,3,0),"Maior que CAP!",IF((DOLLAR(BT34+(VLOOKUP("PCS-OzTL45",ARBOR!$A:$C,3,0)*-TRUNC(BT34/VLOOKUP("PCS-OzTL45",ARBOR!$A:$C,3,0)-1,4)),6))&lt;&gt;(DOLLAR(VLOOKUP("PCS-OzTL45",ARBOR!$A:$C,3,0),6)),-TRUNC(BT34/VLOOKUP("PCS-OzTL45",ARBOR!$A:$C,3,0)-1,4)+0.0001,-TRUNC(BT34/VLOOKUP("PCS-OzTL45",ARBOR!$A:$C,3,0)-1,4)))))</f>
        <v/>
      </c>
      <c r="BV34" s="28" t="str">
        <f>IF(ISERROR(IF(BU34="","",VLOOKUP((BC34&amp;BU34&amp;"Template desconto FLAT Plano Principal Oi TV nível conta"),BENEFICIOS!$A:$G,5,0))),"Criar",IF(BU34="","",VLOOKUP((BC34&amp;BU34&amp;"Template desconto FLAT Plano Principal Oi TV nível conta"),BENEFICIOS!$A:$G,5,0)))</f>
        <v/>
      </c>
      <c r="BW34" s="8"/>
      <c r="BX34" s="3" t="str">
        <f>IF(BW34=0,"",IF(BW34=VLOOKUP("PCS-OzTL741",ARBOR!$A:$C,3,0),0.0001,IF(BW34&gt;VLOOKUP("PCS-OzTL741",ARBOR!$A:$C,3,0),"Maior que CAP!",IF((DOLLAR(BW34+(VLOOKUP("PCS-OzTL741",ARBOR!$A:$C,3,0)*-TRUNC(BW34/VLOOKUP("PCS-OzTL741",ARBOR!$A:$C,3,0)-1,4)),6))&lt;&gt;(DOLLAR(VLOOKUP("PCS-OzTL741",ARBOR!$A:$C,3,0),6)),-TRUNC(BW34/VLOOKUP("PCS-OzTL741",ARBOR!$A:$C,3,0)-1,4)+0.0001,-TRUNC(BW34/VLOOKUP("PCS-OzTL741",ARBOR!$A:$C,3,0)-1,4)))))</f>
        <v/>
      </c>
      <c r="BY34" s="28" t="str">
        <f>IF(ISERROR(IF(BX34="","",VLOOKUP((BC34&amp;BX34&amp;"Template desconto FLAT Plano Principal Oi TV nível conta"),BENEFICIOS!$A:$G,5,0))),"Criar",IF(BX34="","",VLOOKUP((BC34&amp;BX34&amp;"Template desconto FLAT Plano Principal Oi TV nível conta"),BENEFICIOS!$A:$G,5,0)))</f>
        <v/>
      </c>
      <c r="BZ34" s="8"/>
      <c r="CA34" s="3" t="str">
        <f>IF(BZ34=0,"",IF(BZ34=VLOOKUP("PCS-OzTL744",ARBOR!$A:$C,3,0),0.0001,IF(BZ34&gt;VLOOKUP("PCS-OzTL744",ARBOR!$A:$C,3,0),"Maior que CAP!",IF((DOLLAR(BZ34+(VLOOKUP("PCS-OzTL744",ARBOR!$A:$C,3,0)*-TRUNC(BZ34/VLOOKUP("PCS-OzTL744",ARBOR!$A:$C,3,0)-1,4)),6))&lt;&gt;(DOLLAR(VLOOKUP("PCS-OzTL744",ARBOR!$A:$C,3,0),6)),-TRUNC(BZ34/VLOOKUP("PCS-OzTL744",ARBOR!$A:$C,3,0)-1,4)+0.0001,-TRUNC(BZ34/VLOOKUP("PCS-OzTL744",ARBOR!$A:$C,3,0)-1,4)))))</f>
        <v/>
      </c>
      <c r="CB34" s="28" t="str">
        <f>IF(ISERROR(IF(CA34="","",VLOOKUP(($BC34&amp;CA34&amp;"Template desconto FLAT Plano Principal Oi TV nível conta"),BENEFICIOS!$A:$G,5,0))),"Criar",IF(CA34="","",VLOOKUP(($BC34&amp;CA34&amp;"Template desconto FLAT Plano Principal Oi TV nível conta"),BENEFICIOS!$A:$G,5,0)))</f>
        <v/>
      </c>
      <c r="CC34" s="8"/>
      <c r="CD34" s="3" t="str">
        <f>IF(CC34=0,"",IF(CC34=VLOOKUP("PCS-OzTL743",ARBOR!$A:$C,3,0),0.0001,IF(CC34&gt;VLOOKUP("PCS-OzTL743",ARBOR!$A:$C,3,0),"Maior que CAP!",IF((DOLLAR(CC34+(VLOOKUP("PCS-OzTL743",ARBOR!$A:$C,3,0)*-TRUNC(CC34/VLOOKUP("PCS-OzTL743",ARBOR!$A:$C,3,0)-1,4)),6))&lt;&gt;(DOLLAR(VLOOKUP("PCS-OzTL743",ARBOR!$A:$C,3,0),6)),-TRUNC(CC34/VLOOKUP("PCS-OzTL743",ARBOR!$A:$C,3,0)-1,4)+0.0001,-TRUNC(CC34/VLOOKUP("PCS-OzTL743",ARBOR!$A:$C,3,0)-1,4)))))</f>
        <v/>
      </c>
      <c r="CE34" s="28" t="str">
        <f>IF(ISERROR(IF(CD34="","",VLOOKUP(($BC34&amp;CD34&amp;"Template desconto FLAT Plano Principal Oi TV nível conta"),BENEFICIOS!$A:$G,5,0))),"Criar",IF(CD34="","",VLOOKUP(($BC34&amp;CD34&amp;"Template desconto FLAT Plano Principal Oi TV nível conta"),BENEFICIOS!$A:$G,5,0)))</f>
        <v/>
      </c>
      <c r="CF34" s="8"/>
      <c r="CG34" s="3" t="str">
        <f>IF(CF34=0,"",IF(CF34=VLOOKUP("PCS-OzTL745",ARBOR!$A:$C,3,0),0.0001,IF(CF34&gt;VLOOKUP("PCS-OzTL745",ARBOR!$A:$C,3,0),"Maior que CAP!",IF((DOLLAR(CF34+(VLOOKUP("PCS-OzTL745",ARBOR!$A:$C,3,0)*-TRUNC(CF34/VLOOKUP("PCS-OzTL745",ARBOR!$A:$C,3,0)-1,4)),6))&lt;&gt;(DOLLAR(VLOOKUP("PCS-OzTL745",ARBOR!$A:$C,3,0),6)),-TRUNC(CF34/VLOOKUP("PCS-OzTL745",ARBOR!$A:$C,3,0)-1,4)+0.0001,-TRUNC(CF34/VLOOKUP("PCS-OzTL745",ARBOR!$A:$C,3,0)-1,4)))))</f>
        <v/>
      </c>
      <c r="CH34" s="28" t="str">
        <f>IF(ISERROR(IF(CG34="","",VLOOKUP(($BC34&amp;CG34&amp;"Template desconto FLAT Plano Principal Oi TV nível conta"),BENEFICIOS!$A:$G,5,0))),"Criar",IF(CG34="","",VLOOKUP(($BC34&amp;CG34&amp;"Template desconto FLAT Plano Principal Oi TV nível conta"),BENEFICIOS!$A:$G,5,0)))</f>
        <v/>
      </c>
      <c r="CI34" s="8"/>
      <c r="CJ34" s="3" t="str">
        <f>IF(CI34=0,"",IF(CI34=VLOOKUP("PCS-OzTL42",ARBOR!$A:$C,3,0),0.0001,IF(CI34&gt;VLOOKUP("PCS-OzTL42",ARBOR!$A:$C,3,0),"Maior que CAP!",IF((DOLLAR(CI34+(VLOOKUP("PCS-OzTL42",ARBOR!$A:$C,3,0)*-TRUNC(CI34/VLOOKUP("PCS-OzTL42",ARBOR!$A:$C,3,0)-1,4)),6))&lt;&gt;(DOLLAR(VLOOKUP("PCS-OzTL42",ARBOR!$A:$C,3,0),6)),-TRUNC(CI34/VLOOKUP("PCS-OzTL42",ARBOR!$A:$C,3,0)-1,4)+0.0001,-TRUNC(CI34/VLOOKUP("PCS-OzTL42",ARBOR!$A:$C,3,0)-1,4)))))</f>
        <v/>
      </c>
      <c r="CK34" s="28" t="str">
        <f>IF(ISERROR(IF(CJ34="","",VLOOKUP(($BC34&amp;CJ34&amp;"Template desconto FLAT Plano Principal Oi TV nível conta"),BENEFICIOS!$A:$G,5,0))),"Criar",IF(CJ34="","",VLOOKUP(($BC34&amp;CJ34&amp;"Template desconto FLAT Plano Principal Oi TV nível conta"),BENEFICIOS!$A:$G,5,0)))</f>
        <v/>
      </c>
      <c r="CL34" s="8"/>
      <c r="CM34" s="3" t="str">
        <f>IF(CL34=0,"",IF(CL34=VLOOKUP("PCS-OzTL47",ARBOR!$A:$C,3,0),0.0001,IF(CL34&gt;VLOOKUP("PCS-OzTL47",ARBOR!$A:$C,3,0),"Maior que CAP!",IF((DOLLAR(CL34+(VLOOKUP("PCS-OzTL47",ARBOR!$A:$C,3,0)*-TRUNC(CL34/VLOOKUP("PCS-OzTL47",ARBOR!$A:$C,3,0)-1,4)),6))&lt;&gt;(DOLLAR(VLOOKUP("PCS-OzTL47",ARBOR!$A:$C,3,0),6)),-TRUNC(CL34/VLOOKUP("PCS-OzTL47",ARBOR!$A:$C,3,0)-1,4)+0.0001,-TRUNC(CL34/VLOOKUP("PCS-OzTL47",ARBOR!$A:$C,3,0)-1,4)))))</f>
        <v/>
      </c>
      <c r="CN34" s="28" t="str">
        <f>IF(ISERROR(IF(CM34="","",VLOOKUP(($BC34&amp;CM34&amp;"Template desconto FLAT Plano Principal Oi TV nível conta"),BENEFICIOS!$A:$G,5,0))),"Criar",IF(CM34="","",VLOOKUP(($BC34&amp;CM34&amp;"Template desconto FLAT Plano Principal Oi TV nível conta"),BENEFICIOS!$A:$G,5,0)))</f>
        <v/>
      </c>
      <c r="CO34" s="8"/>
      <c r="CP34" s="3" t="str">
        <f>IF(CO34=0,"",IF(CO34=VLOOKUP("PCS-OzTL46",ARBOR!$A:$C,3,0),0.0001,IF(CO34&gt;VLOOKUP("PCS-OzTL46",ARBOR!$A:$C,3,0),"Maior que CAP!",IF((DOLLAR(CO34+(VLOOKUP("PCS-OzTL46",ARBOR!$A:$C,3,0)*-TRUNC(CO34/VLOOKUP("PCS-OzTL46",ARBOR!$A:$C,3,0)-1,4)),6))&lt;&gt;(DOLLAR(VLOOKUP("PCS-OzTL46",ARBOR!$A:$C,3,0),6)),-TRUNC(CO34/VLOOKUP("PCS-OzTL46",ARBOR!$A:$C,3,0)-1,4)+0.0001,-TRUNC(CO34/VLOOKUP("PCS-OzTL46",ARBOR!$A:$C,3,0)-1,4)))))</f>
        <v/>
      </c>
      <c r="CQ34" s="28" t="str">
        <f>IF(ISERROR(IF(CP34="","",VLOOKUP(($BC34&amp;CP34&amp;"Template desconto FLAT Plano Principal Oi TV nível conta"),BENEFICIOS!$A:$G,5,0))),"Criar",IF(CP34="","",VLOOKUP(($BC34&amp;CP34&amp;"Template desconto FLAT Plano Principal Oi TV nível conta"),BENEFICIOS!$A:$G,5,0)))</f>
        <v/>
      </c>
      <c r="CR34" s="8"/>
      <c r="CS34" s="3" t="str">
        <f>IF(CR34=0,"",IF(CR34=VLOOKUP("PCS-OzTL48",ARBOR!$A:$C,3,0),0.0001,IF(CR34&gt;VLOOKUP("PCS-OzTL48",ARBOR!$A:$C,3,0),"Maior que CAP!",IF((DOLLAR(CR34+(VLOOKUP("PCS-OzTL48",ARBOR!$A:$C,3,0)*-TRUNC(CR34/VLOOKUP("PCS-OzTL48",ARBOR!$A:$C,3,0)-1,4)),6))&lt;&gt;(DOLLAR(VLOOKUP("PCS-OzTL48",ARBOR!$A:$C,3,0),6)),-TRUNC(CR34/VLOOKUP("PCS-OzTL48",ARBOR!$A:$C,3,0)-1,4)+0.0001,-TRUNC(CR34/VLOOKUP("PCS-OzTL48",ARBOR!$A:$C,3,0)-1,4)))))</f>
        <v/>
      </c>
      <c r="CT34" s="28" t="str">
        <f>IF(ISERROR(IF(CS34="","",VLOOKUP(($BC34&amp;CS34&amp;"Template desconto FLAT Plano Principal Oi TV nível conta"),BENEFICIOS!$A:$G,5,0))),"Criar",IF(CS34="","",VLOOKUP(($BC34&amp;CS34&amp;"Template desconto FLAT Plano Principal Oi TV nível conta"),BENEFICIOS!$A:$G,5,0)))</f>
        <v/>
      </c>
      <c r="CU34" s="8"/>
      <c r="CV34" s="3" t="str">
        <f>IF(CU34=0,"",IF(CU34=VLOOKUP("PCS-OzTL742",ARBOR!$A:$C,3,0),0.0001,IF(CU34&gt;VLOOKUP("PCS-OzTL742",ARBOR!$A:$C,3,0),"Maior que CAP!",IF((DOLLAR(CU34+(VLOOKUP("PCS-OzTL742",ARBOR!$A:$C,3,0)*-TRUNC(CU34/VLOOKUP("PCS-OzTL742",ARBOR!$A:$C,3,0)-1,4)),6))&lt;&gt;(DOLLAR(VLOOKUP("PCS-OzTL742",ARBOR!$A:$C,3,0),6)),-TRUNC(CU34/VLOOKUP("PCS-OzTL742",ARBOR!$A:$C,3,0)-1,4)+0.0001,-TRUNC(CU34/VLOOKUP("PCS-OzTL742",ARBOR!$A:$C,3,0)-1,4)))))</f>
        <v/>
      </c>
      <c r="CW34" s="28" t="str">
        <f>IF(ISERROR(IF(CV34="","",VLOOKUP(($BC34&amp;CV34&amp;"Template desconto FLAT Plano Principal Oi TV nível conta"),BENEFICIOS!$A:$G,5,0))),"Criar",IF(CV34="","",VLOOKUP(($BC34&amp;CV34&amp;"Template desconto FLAT Plano Principal Oi TV nível conta"),BENEFICIOS!$A:$G,5,0)))</f>
        <v/>
      </c>
      <c r="CX34" s="8"/>
      <c r="CY34" s="3" t="str">
        <f>IF(CX34=0,"",IF(CX34=VLOOKUP("PCS-OzTL747",ARBOR!$A:$C,3,0),0.0001,IF(CX34&gt;VLOOKUP("PCS-OzTL747",ARBOR!$A:$C,3,0),"Maior que CAP!",IF((DOLLAR(CX34+(VLOOKUP("PCS-OzTL747",ARBOR!$A:$C,3,0)*-TRUNC(CX34/VLOOKUP("PCS-OzTL747",ARBOR!$A:$C,3,0)-1,4)),6))&lt;&gt;(DOLLAR(VLOOKUP("PCS-OzTL747",ARBOR!$A:$C,3,0),6)),-TRUNC(CX34/VLOOKUP("PCS-OzTL747",ARBOR!$A:$C,3,0)-1,4)+0.0001,-TRUNC(CX34/VLOOKUP("PCS-OzTL747",ARBOR!$A:$C,3,0)-1,4)))))</f>
        <v/>
      </c>
      <c r="CZ34" s="28" t="str">
        <f>IF(ISERROR(IF(CY34="","",VLOOKUP(($BC34&amp;CY34&amp;"Template desconto FLAT Plano Principal Oi TV nível conta"),BENEFICIOS!$A:$G,5,0))),"Criar",IF(CY34="","",VLOOKUP(($BC34&amp;CY34&amp;"Template desconto FLAT Plano Principal Oi TV nível conta"),BENEFICIOS!$A:$G,5,0)))</f>
        <v/>
      </c>
      <c r="DA34" s="8"/>
      <c r="DB34" s="3" t="str">
        <f>IF(DA34=0,"",IF(DA34=VLOOKUP("PCS-OzTL746",ARBOR!$A:$C,3,0),0.0001,IF(DA34&gt;VLOOKUP("PCS-OzTL746",ARBOR!$A:$C,3,0),"Maior que CAP!",IF((DOLLAR(DA34+(VLOOKUP("PCS-OzTL746",ARBOR!$A:$C,3,0)*-TRUNC(DA34/VLOOKUP("PCS-OzTL746",ARBOR!$A:$C,3,0)-1,4)),6))&lt;&gt;(DOLLAR(VLOOKUP("PCS-OzTL746",ARBOR!$A:$C,3,0),6)),-TRUNC(DA34/VLOOKUP("PCS-OzTL746",ARBOR!$A:$C,3,0)-1,4)+0.0001,-TRUNC(DA34/VLOOKUP("PCS-OzTL746",ARBOR!$A:$C,3,0)-1,4)))))</f>
        <v/>
      </c>
      <c r="DC34" s="28" t="str">
        <f>IF(ISERROR(IF(DB34="","",VLOOKUP(($BC34&amp;DB34&amp;"Template desconto FLAT Plano Principal Oi TV nível conta"),BENEFICIOS!$A:$G,5,0))),"Criar",IF(DB34="","",VLOOKUP(($BC34&amp;DB34&amp;"Template desconto FLAT Plano Principal Oi TV nível conta"),BENEFICIOS!$A:$G,5,0)))</f>
        <v/>
      </c>
      <c r="DD34" s="8"/>
      <c r="DE34" s="3" t="str">
        <f>IF(DD34=0,"",IF(DD34=VLOOKUP("PCS-OzTL748",ARBOR!$A:$C,3,0),0.0001,IF(DD34&gt;VLOOKUP("PCS-OzTL748",ARBOR!$A:$C,3,0),"Maior que CAP!",IF((DOLLAR(DD34+(VLOOKUP("PCS-OzTL748",ARBOR!$A:$C,3,0)*-TRUNC(DD34/VLOOKUP("PCS-OzTL748",ARBOR!$A:$C,3,0)-1,4)),6))&lt;&gt;(DOLLAR(VLOOKUP("PCS-OzTL748",ARBOR!$A:$C,3,0),6)),-TRUNC(DD34/VLOOKUP("PCS-OzTL748",ARBOR!$A:$C,3,0)-1,4)+0.0001,-TRUNC(DD34/VLOOKUP("PCS-OzTL748",ARBOR!$A:$C,3,0)-1,4)))))</f>
        <v/>
      </c>
      <c r="DF34" s="28" t="str">
        <f>IF(ISERROR(IF(DE34="","",VLOOKUP(($BC34&amp;DE34&amp;"Template desconto FLAT Plano Principal Oi TV nível conta"),BENEFICIOS!$A:$G,5,0))),"Criar",IF(DE34="","",VLOOKUP(($BC34&amp;DE34&amp;"Template desconto FLAT Plano Principal Oi TV nível conta"),BENEFICIOS!$A:$G,5,0)))</f>
        <v/>
      </c>
      <c r="DG34" s="8"/>
      <c r="DH34" s="3" t="str">
        <f>IF(DG34=0,"",IF(DG34=VLOOKUP("PCS-OzTL34",ARBOR!$A:$C,3,0),0.0001,IF(DG34&gt;VLOOKUP("PCS-OzTL34",ARBOR!$A:$C,3,0),"Maior que CAP!",IF((DOLLAR(DG34+(VLOOKUP("PCS-OzTL34",ARBOR!$A:$C,3,0)*-TRUNC(DG34/VLOOKUP("PCS-OzTL34",ARBOR!$A:$C,3,0)-1,4)),6))&lt;&gt;(DOLLAR(VLOOKUP("PCS-OzTL34",ARBOR!$A:$C,3,0),6)),-TRUNC(DG34/VLOOKUP("PCS-OzTL34",ARBOR!$A:$C,3,0)-1,4)+0.0001,-TRUNC(DG34/VLOOKUP("PCS-OzTL34",ARBOR!$A:$C,3,0)-1,4)))))</f>
        <v/>
      </c>
      <c r="DI34" s="28" t="str">
        <f>IF(DH34="S/Desc","S/Desc",IF(ISERROR(IF(DH34="","",VLOOKUP(($BC34&amp;DH34&amp;"Template desconto % Combate nível conta"),BENEFICIOS!$A:$G,5,0))),"Criar",IF(DH34="","",VLOOKUP(($BC34&amp;DH34&amp;"Template desconto % Combate nível conta"),BENEFICIOS!$A:$G,5,0))))</f>
        <v/>
      </c>
      <c r="DJ34" s="8"/>
      <c r="DK34" s="3" t="str">
        <f>IF(DJ34=0,"",IF(DJ34=VLOOKUP("PCS-OzTL31",ARBOR!$A:$C,3,0),0.0001,IF(DJ34&gt;VLOOKUP("PCS-OzTL31",ARBOR!$A:$C,3,0),"Maior que CAP!",IF((DOLLAR(DJ34+(VLOOKUP("PCS-OzTL31",ARBOR!$A:$C,3,0)*-TRUNC(DJ34/VLOOKUP("PCS-OzTL31",ARBOR!$A:$C,3,0)-1,4)),6))&lt;&gt;(DOLLAR(VLOOKUP("PCS-OzTL31",ARBOR!$A:$C,3,0),6)),-TRUNC(DJ34/VLOOKUP("PCS-OzTL31",ARBOR!$A:$C,3,0)-1,4)+0.0001,-TRUNC(DJ34/VLOOKUP("PCS-OzTL31",ARBOR!$A:$C,3,0)-1,4)))))</f>
        <v/>
      </c>
      <c r="DL34" s="28" t="str">
        <f>IF(DK34="S/Desc","S/Desc",IF(ISERROR(IF(DK34="","",VLOOKUP(($BC34&amp;DK34&amp;"Template desconto % Sexy Hot nível conta"),BENEFICIOS!$A:$G,5,0))),"Criar",IF(DK34="","",VLOOKUP(($BC34&amp;DK34&amp;"Template desconto % Sexy Hot nível conta"),BENEFICIOS!$A:$G,5,0))))</f>
        <v/>
      </c>
      <c r="DM34" s="8"/>
      <c r="DN34" s="3" t="str">
        <f>IF(DM34=0,"",IF(DM34=VLOOKUP("PCS-OzTL32",ARBOR!$A:$C,3,0),0.0001,IF(DM34&gt;VLOOKUP("PCS-OzTL32",ARBOR!$A:$C,3,0),"Maior que CAP!",IF((DOLLAR(DM34+(VLOOKUP("PCS-OzTL32",ARBOR!$A:$C,3,0)*-TRUNC(DM34/VLOOKUP("PCS-OzTL32",ARBOR!$A:$C,3,0)-1,4)),6))&lt;&gt;(DOLLAR(VLOOKUP("PCS-OzTL32",ARBOR!$A:$C,3,0),6)),-TRUNC(DM34/VLOOKUP("PCS-OzTL32",ARBOR!$A:$C,3,0)-1,4)+0.0001,-TRUNC(DM34/VLOOKUP("PCS-OzTL32",ARBOR!$A:$C,3,0)-1,4)))))</f>
        <v/>
      </c>
      <c r="DO34" s="28" t="str">
        <f>IF(DN34="S/Desc","S/Desc",IF(ISERROR(IF(DN34="","",VLOOKUP(($BC34&amp;DN34&amp;"Template desconto % Playboy nível conta"),BENEFICIOS!$A:$G,5,0))),"Criar",IF(DN34="","",VLOOKUP(($BC34&amp;DN34&amp;"Template desconto % Playboy nível conta"),BENEFICIOS!$A:$G,5,0))))</f>
        <v/>
      </c>
      <c r="DP34" s="8"/>
      <c r="DQ34" s="3" t="str">
        <f>IF(DP34=0,"",IF(DP34=VLOOKUP("PCS-OzTL33",ARBOR!$A:$C,3,0),0.0001,IF(DP34&gt;VLOOKUP("PCS-OzTL33",ARBOR!$A:$C,3,0),"Maior que CAP!",IF((DOLLAR(DP34+(VLOOKUP("PCS-OzTL33",ARBOR!$A:$C,3,0)*-TRUNC(DP34/VLOOKUP("PCS-OzTL33",ARBOR!$A:$C,3,0)-1,4)),6))&lt;&gt;(DOLLAR(VLOOKUP("PCS-OzTL33",ARBOR!$A:$C,3,0),6)),-TRUNC(DP34/VLOOKUP("PCS-OzTL33",ARBOR!$A:$C,3,0)-1,4)+0.0001,-TRUNC(DP34/VLOOKUP("PCS-OzTL33",ARBOR!$A:$C,3,0)-1,4)))))</f>
        <v/>
      </c>
      <c r="DR34" s="28" t="str">
        <f>IF(DQ34="S/Desc","S/Desc",IF(ISERROR(IF(DQ34="","",VLOOKUP(($BC34&amp;DQ34&amp;"Template desconto % Sexy Hot + Playboy nível conta"),BENEFICIOS!$A:$G,5,0))),"Criar",IF(DQ34="","",VLOOKUP(($BC34&amp;DQ34&amp;"Template desconto % Sexy Hot + Playboy nível conta"),BENEFICIOS!$A:$G,5,0))))</f>
        <v/>
      </c>
      <c r="DS34" s="8"/>
      <c r="DT34" s="3" t="str">
        <f>IF(DS34=0,"",IF(DS34=VLOOKUP("PCS-OzTL503",ARBOR!$A:$C,3,0),0.0001,IF(DS34&gt;VLOOKUP("PCS-OzTL503",ARBOR!$A:$C,3,0),"Maior que CAP!",IF((DOLLAR(DS34+(VLOOKUP("PCS-OzTL503",ARBOR!$A:$C,3,0)*-TRUNC(DS34/VLOOKUP("PCS-OzTL503",ARBOR!$A:$C,3,0)-1,4)),6))&lt;&gt;(DOLLAR(VLOOKUP("PCS-OzTL503",ARBOR!$A:$C,3,0),6)),-TRUNC(DS34/VLOOKUP("PCS-OzTL503",ARBOR!$A:$C,3,0)-1,4)+0.0001,-TRUNC(DS34/VLOOKUP("PCS-OzTL503",ARBOR!$A:$C,3,0)-1,4)))))</f>
        <v/>
      </c>
      <c r="DU34" s="28" t="str">
        <f>IF(DT34="S/Desc","S/Desc",IF(ISERROR(IF(DT34="","",VLOOKUP(($BC34&amp;DT34&amp;"Template desconto % SexPrivê nível conta"),BENEFICIOS!$A:$G,5,0))),"Criar",IF(DT34="","",VLOOKUP(($BC34&amp;DT34&amp;"Template desconto % SexPrivê nível conta"),BENEFICIOS!$A:$G,5,0))))</f>
        <v/>
      </c>
      <c r="DV34" s="8"/>
      <c r="DW34" s="3" t="str">
        <f>IF(DV34=0,"",IF(DV34=VLOOKUP("PCS-OzTL500",ARBOR!$A:$C,3,0),0.0001,IF(DV34&gt;VLOOKUP("PCS-OzTL500",ARBOR!$A:$C,3,0),"Maior que CAP!",IF((DOLLAR(DV34+(VLOOKUP("PCS-OzTL500",ARBOR!$A:$C,3,0)*-TRUNC(DV34/VLOOKUP("PCS-OzTL500",ARBOR!$A:$C,3,0)-1,4)),6))&lt;&gt;(DOLLAR(VLOOKUP("PCS-OzTL500",ARBOR!$A:$C,3,0),6)),-TRUNC(DV34/VLOOKUP("PCS-OzTL500",ARBOR!$A:$C,3,0)-1,4)+0.0001,-TRUNC(DV34/VLOOKUP("PCS-OzTL500",ARBOR!$A:$C,3,0)-1,4)))))</f>
        <v/>
      </c>
      <c r="DX34" s="28" t="str">
        <f>IF(DW34="S/Desc","S/Desc",IF(ISERROR(IF(DW34="","",VLOOKUP(($BC34&amp;DW34&amp;"Template desconto % Étnico nível conta"),BENEFICIOS!$A:$G,5,0))),"Criar",IF(DW34="","",VLOOKUP(($BC34&amp;DW34&amp;"Template desconto % Étnico nível conta"),BENEFICIOS!$A:$G,5,0))))</f>
        <v/>
      </c>
      <c r="DY34" s="8"/>
      <c r="DZ34" s="181" t="str">
        <f>IF(DY34=0,"",IF(DY34=VLOOKUP("PCS-OzTL50",ARBOR!$A:$C,3,0),0.0001,IF(DY34&gt;VLOOKUP("PCS-OzTL50",ARBOR!$A:$C,3,0),"Maior que CAP!",IF((DOLLAR(DY34+(VLOOKUP("PCS-OzTL50",ARBOR!$A:$C,3,0)*-TRUNC(DY34/VLOOKUP("PCS-OzTL50",ARBOR!$A:$C,3,0)-1,4)),6))&lt;&gt;(DOLLAR(VLOOKUP("PCS-OzTL50",ARBOR!$A:$C,3,0),6)),-TRUNC(DY34/VLOOKUP("PCS-OzTL50",ARBOR!$A:$C,3,0)-1,4)+0.0001,-TRUNC(DY34/VLOOKUP("PCS-OzTL50",ARBOR!$A:$C,3,0)-1,4)))))</f>
        <v/>
      </c>
      <c r="EA34" s="28"/>
      <c r="EB34" s="8"/>
      <c r="EC34" s="181" t="str">
        <f>IF(EB34=0,"",IF(EB34=VLOOKUP("PCS-OzTL51",ARBOR!$A:$C,3,0),0.0001,IF(EB34&gt;VLOOKUP("PCS-OzTL51",ARBOR!$A:$C,3,0),"Maior que CAP!",IF((DOLLAR(EB34+(VLOOKUP("PCS-OzTL51",ARBOR!$A:$C,3,0)*-TRUNC(EB34/VLOOKUP("PCS-OzTL51",ARBOR!$A:$C,3,0)-1,4)),6))&lt;&gt;(DOLLAR(VLOOKUP("PCS-OzTL51",ARBOR!$A:$C,3,0),6)),-TRUNC(EB34/VLOOKUP("PCS-OzTL51",ARBOR!$A:$C,3,0)-1,4)+0.0001,-TRUNC(EB34/VLOOKUP("PCS-OzTL51",ARBOR!$A:$C,3,0)-1,4)))))</f>
        <v/>
      </c>
      <c r="ED34" s="28"/>
      <c r="EE34" s="8"/>
      <c r="EF34" s="181" t="str">
        <f>IF(EE34=0,"",IF(EE34=VLOOKUP("PCS-OzTL52",ARBOR!$A:$C,3,0),0.0001,IF(EE34&gt;VLOOKUP("PCS-OzTL52",ARBOR!$A:$C,3,0),"Maior que CAP!",IF((DOLLAR(EE34+(VLOOKUP("PCS-OzTL52",ARBOR!$A:$C,3,0)*-TRUNC(EE34/VLOOKUP("PCS-OzTL52",ARBOR!$A:$C,3,0)-1,4)),6))&lt;&gt;(DOLLAR(VLOOKUP("PCS-OzTL52",ARBOR!$A:$C,3,0),6)),-TRUNC(EE34/VLOOKUP("PCS-OzTL52",ARBOR!$A:$C,3,0)-1,4)+0.0001,-TRUNC(EE34/VLOOKUP("PCS-OzTL52",ARBOR!$A:$C,3,0)-1,4)))))</f>
        <v/>
      </c>
      <c r="EG34" s="28"/>
      <c r="EH34" s="8"/>
      <c r="EI34" s="181" t="str">
        <f>IF(EH34=0,"",IF(EH34=VLOOKUP("PCS-OzTL53",ARBOR!$A:$C,3,0),0.0001,IF(EH34&gt;VLOOKUP("PCS-OzTL53",ARBOR!$A:$C,3,0),"Maior que CAP!",IF((DOLLAR(EH34+(VLOOKUP("PCS-OzTL53",ARBOR!$A:$C,3,0)*-TRUNC(EH34/VLOOKUP("PCS-OzTL53",ARBOR!$A:$C,3,0)-1,4)),6))&lt;&gt;(DOLLAR(VLOOKUP("PCS-OzTL53",ARBOR!$A:$C,3,0),6)),-TRUNC(EH34/VLOOKUP("PCS-OzTL53",ARBOR!$A:$C,3,0)-1,4)+0.0001,-TRUNC(EH34/VLOOKUP("PCS-OzTL53",ARBOR!$A:$C,3,0)-1,4)))))</f>
        <v/>
      </c>
      <c r="EJ34" s="28"/>
      <c r="EK34" s="8"/>
      <c r="EL34" s="181" t="str">
        <f>IF(EK34=0,"",IF(EK34=VLOOKUP("PCS-OzTL54",ARBOR!$A:$C,3,0),0.0001,IF(EK34&gt;VLOOKUP("PCS-OzTL54",ARBOR!$A:$C,3,0),"Maior que CAP!",IF((DOLLAR(EK34+(VLOOKUP("PCS-OzTL54",ARBOR!$A:$C,3,0)*-TRUNC(EK34/VLOOKUP("PCS-OzTL54",ARBOR!$A:$C,3,0)-1,4)),6))&lt;&gt;(DOLLAR(VLOOKUP("PCS-OzTL54",ARBOR!$A:$C,3,0),6)),-TRUNC(EK34/VLOOKUP("PCS-OzTL54",ARBOR!$A:$C,3,0)-1,4)+0.0001,-TRUNC(EK34/VLOOKUP("PCS-OzTL54",ARBOR!$A:$C,3,0)-1,4)))))</f>
        <v/>
      </c>
      <c r="EM34" s="28"/>
      <c r="EN34" s="8"/>
      <c r="EO34" s="3" t="str">
        <f>IF(EN34=0,"",IF(EN34=VLOOKUP("PCS-OzTL99",ARBOR!$A:$C,3,0),0.0001,IF(EN34&gt;VLOOKUP("PCS-OzTL99",ARBOR!$A:$C,3,0),"Maior que CAP!",IF((DOLLAR(EN34+(VLOOKUP("PCS-OzTL99",ARBOR!$A:$C,3,0)*-TRUNC(EN34/VLOOKUP("PCS-OzTL99",ARBOR!$A:$C,3,0)-1,4)),6))&lt;&gt;(DOLLAR(VLOOKUP("PCS-OzTL99",ARBOR!$A:$C,3,0),6)),-TRUNC(EN34/VLOOKUP("PCS-OzTL99",ARBOR!$A:$C,3,0)-1,4)+0.0001,-TRUNC(EN34/VLOOKUP("PCS-OzTL99",ARBOR!$A:$C,3,0)-1,4)))))</f>
        <v/>
      </c>
      <c r="EP34" s="28" t="str">
        <f>IF(EO34="S/Desc","S/Desc",IF(ISERROR(IF(EO34="","",VLOOKUP(($BC34&amp;EO34&amp;"Template desconto % Ponto adicional nível conta"),BENEFICIOS!$A:$G,5,0))),"Criar",IF(EO34="","",VLOOKUP(($BC34&amp;EO34&amp;"Template desconto % Ponto adicional nível conta"),BENEFICIOS!$A:$G,5,0))))</f>
        <v/>
      </c>
      <c r="EQ34" s="8"/>
      <c r="ER34" s="28" t="str">
        <f t="shared" si="23"/>
        <v/>
      </c>
      <c r="ES34" s="62"/>
      <c r="ET34" s="126"/>
      <c r="EU34" s="127"/>
      <c r="EV34" s="126"/>
      <c r="EW34" s="128" t="str">
        <f t="shared" si="24"/>
        <v/>
      </c>
      <c r="EX34" s="129" t="str">
        <f t="shared" si="25"/>
        <v/>
      </c>
      <c r="EY34" s="91" t="str">
        <f t="shared" si="26"/>
        <v/>
      </c>
      <c r="EZ34" s="85"/>
      <c r="FA34" s="97"/>
      <c r="FB34" s="91"/>
      <c r="FC34" s="85"/>
      <c r="FD34" s="97"/>
      <c r="FE34" s="91"/>
      <c r="FF34" s="87"/>
      <c r="FG34" s="144" t="str">
        <f t="shared" si="5"/>
        <v/>
      </c>
      <c r="FH34" s="144" t="str">
        <f t="shared" si="6"/>
        <v/>
      </c>
      <c r="FI34" s="144" t="str">
        <f t="shared" si="7"/>
        <v/>
      </c>
      <c r="FJ34" s="144" t="str">
        <f t="shared" si="8"/>
        <v/>
      </c>
      <c r="FK34" s="144" t="str">
        <f t="shared" si="9"/>
        <v/>
      </c>
      <c r="FL34" s="144" t="str">
        <f t="shared" si="10"/>
        <v/>
      </c>
      <c r="FM34" s="144" t="str">
        <f t="shared" si="11"/>
        <v/>
      </c>
      <c r="FN34" s="144" t="str">
        <f t="shared" si="12"/>
        <v/>
      </c>
      <c r="FO34" s="144" t="str">
        <f t="shared" si="13"/>
        <v/>
      </c>
      <c r="FP34" s="144" t="str">
        <f t="shared" si="14"/>
        <v/>
      </c>
      <c r="FQ34" s="144" t="str">
        <f t="shared" si="15"/>
        <v/>
      </c>
      <c r="FR34" s="144" t="str">
        <f t="shared" si="16"/>
        <v/>
      </c>
      <c r="FS34" s="144" t="str">
        <f t="shared" si="17"/>
        <v/>
      </c>
      <c r="FT34" s="144" t="str">
        <f t="shared" si="18"/>
        <v/>
      </c>
      <c r="FU34" s="144" t="str">
        <f t="shared" si="19"/>
        <v/>
      </c>
      <c r="FV34" s="144" t="str">
        <f t="shared" si="20"/>
        <v/>
      </c>
      <c r="FW34" s="144" t="str">
        <f t="shared" si="21"/>
        <v/>
      </c>
      <c r="FX34" s="151"/>
      <c r="FY34" s="152"/>
      <c r="FZ34" s="152"/>
      <c r="GA34" s="152"/>
      <c r="GB34" s="152"/>
      <c r="GC34" s="152"/>
      <c r="GD34" s="152"/>
      <c r="GE34" s="152"/>
      <c r="GF34" s="152"/>
      <c r="GG34" s="153"/>
    </row>
    <row r="35" spans="1:189">
      <c r="A35" s="45"/>
      <c r="B35" s="133"/>
      <c r="C35" s="133"/>
      <c r="D35" s="46"/>
      <c r="E35" s="47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9"/>
      <c r="U35" s="48"/>
      <c r="V35" s="49"/>
      <c r="W35" s="48"/>
      <c r="X35" s="48"/>
      <c r="Y35" s="48"/>
      <c r="Z35" s="48"/>
      <c r="AA35" s="49"/>
      <c r="AB35" s="48"/>
      <c r="AC35" s="50"/>
      <c r="AD35" s="48"/>
      <c r="AE35" s="48"/>
      <c r="AF35" s="48"/>
      <c r="AG35" s="48"/>
      <c r="AH35" s="48"/>
      <c r="AI35" s="48"/>
      <c r="AJ35" s="48"/>
      <c r="AK35" s="48"/>
      <c r="AL35" s="51"/>
      <c r="AM35" s="37"/>
      <c r="AN35" s="38"/>
      <c r="AO35" s="39"/>
      <c r="AP35" s="52"/>
      <c r="AQ35" s="53"/>
      <c r="AR35" s="64"/>
      <c r="AS35" s="65"/>
      <c r="AT35" s="54"/>
      <c r="AU35" s="54"/>
      <c r="AV35" s="54"/>
      <c r="AW35" s="54"/>
      <c r="AX35" s="70"/>
      <c r="AY35" s="71"/>
      <c r="AZ35" s="72"/>
      <c r="BA35" s="73"/>
      <c r="BB35" s="55"/>
      <c r="BC35" s="56"/>
      <c r="BD35" s="27" t="str">
        <f t="shared" si="22"/>
        <v/>
      </c>
      <c r="BE35" s="58"/>
      <c r="BF35" s="3" t="str">
        <f>IF(BE35=0,"",IF(BE35=VLOOKUP("FIXO",ARBOR!$A:$C,3,0),0.0001,IF(BE35&gt;VLOOKUP("FIXO",ARBOR!$A:$C,3,0),"Maior que CAP!",IF((DOLLAR(BE35+(VLOOKUP("FIXO",ARBOR!$A:$C,3,0)*-TRUNC(BE35/VLOOKUP("FIXO",ARBOR!$A:$C,3,0)-1,4)),6))&lt;&gt;(DOLLAR(VLOOKUP("FIXO",ARBOR!$A:$C,3,0),6)),-TRUNC(BE35/VLOOKUP("FIXO",ARBOR!$A:$C,3,0)-1,4)+0.0001,-TRUNC(BE35/VLOOKUP("FIXO",ARBOR!$A:$C,3,0)-1,4)))))</f>
        <v/>
      </c>
      <c r="BG35" s="10" t="str">
        <f>IF(ISERROR(IF(BF35="","",VLOOKUP(($BC35&amp;BF35&amp;"Template de desconto FLAT bundle - Fixo - Varejo - Ganho Tributário Cross"),BENEFICIOS!$A:$G,5,0))),"Criar",IF(BF35="","",VLOOKUP(($BC35&amp;BF35&amp;"Template de desconto FLAT bundle - Fixo - Varejo - Ganho Tributário Cross"),BENEFICIOS!$A:$G,5,0)))</f>
        <v/>
      </c>
      <c r="BH35" s="8"/>
      <c r="BI35" s="3" t="str">
        <f>IF(BH35=0,"",IF(BH35=VLOOKUP("PCS-OzTL40",ARBOR!$A:$C,3,0),0.0001,IF(BH35&gt;VLOOKUP("PCS-OzTL40",ARBOR!$A:$C,3,0),"Maior que CAP!",IF((DOLLAR(BH35+(VLOOKUP("PCS-OzTL40",ARBOR!$A:$C,3,0)*-TRUNC(BH35/VLOOKUP("PCS-OzTL40",ARBOR!$A:$C,3,0)-1,4)),6))&lt;&gt;(DOLLAR(VLOOKUP("PCS-OzTL40",ARBOR!$A:$C,3,0),6)),-TRUNC(BH35/VLOOKUP("PCS-OzTL40",ARBOR!$A:$C,3,0)-1,4)+0.0001,-TRUNC(BH35/VLOOKUP("PCS-OzTL40",ARBOR!$A:$C,3,0)-1,4)))))</f>
        <v/>
      </c>
      <c r="BJ35" s="10" t="str">
        <f>IF(ISERROR(IF(BI35="","",VLOOKUP((BC35&amp;BI35&amp;"Template desconto FLAT Plano Principal Oi TV nível conta"),BENEFICIOS!$A:$G,5,0))),"Criar",IF(BI35="","",VLOOKUP((BC35&amp;BI35&amp;"Template desconto FLAT Plano Principal Oi TV nível conta"),BENEFICIOS!$A:$G,5,0)))</f>
        <v/>
      </c>
      <c r="BK35" s="8"/>
      <c r="BL35" s="3" t="str">
        <f>IF(BK35=0,"",IF(BK35=VLOOKUP("PCS-OzTL41",ARBOR!$A:$C,3,0),0.0001,IF(BK35&gt;VLOOKUP("PCS-OzTL41",ARBOR!$A:$C,3,0),"Maior que CAP!",IF((DOLLAR(BK35+(VLOOKUP("PCS-OzTL41",ARBOR!$A:$C,3,0)*-TRUNC(BK35/VLOOKUP("PCS-OzTL41",ARBOR!$A:$C,3,0)-1,4)),6))&lt;&gt;(DOLLAR(VLOOKUP("PCS-OzTL41",ARBOR!$A:$C,3,0),6)),-TRUNC(BK35/VLOOKUP("PCS-OzTL41",ARBOR!$A:$C,3,0)-1,4)+0.0001,-TRUNC(BK35/VLOOKUP("PCS-OzTL41",ARBOR!$A:$C,3,0)-1,4)))))</f>
        <v/>
      </c>
      <c r="BM35" s="28" t="str">
        <f>IF(ISERROR(IF(BL35="","",VLOOKUP((BC35&amp;BL35&amp;"Template desconto FLAT Plano Principal Oi TV nível conta"),BENEFICIOS!$A:$G,5,0))),"Criar",IF(BL35="","",VLOOKUP((BC35&amp;BL35&amp;"Template desconto FLAT Plano Principal Oi TV nível conta"),BENEFICIOS!$A:$G,5,0)))</f>
        <v/>
      </c>
      <c r="BN35" s="8"/>
      <c r="BO35" s="3" t="str">
        <f>IF(BN35=0,"",IF(BN35=VLOOKUP("PCS-OzTL44",ARBOR!$A:$C,3,0),0.0001,IF(BN35&gt;VLOOKUP("PCS-OzTL44",ARBOR!$A:$C,3,0),"Maior que CAP!",IF((DOLLAR(BN35+(VLOOKUP("PCS-OzTL44",ARBOR!$A:$C,3,0)*-TRUNC(BN35/VLOOKUP("PCS-OzTL44",ARBOR!$A:$C,3,0)-1,4)),6))&lt;&gt;(DOLLAR(VLOOKUP("PCS-OzTL44",ARBOR!$A:$C,3,0),6)),-TRUNC(BN35/VLOOKUP("PCS-OzTL44",ARBOR!$A:$C,3,0)-1,4)+0.0001,-TRUNC(BN35/VLOOKUP("PCS-OzTL44",ARBOR!$A:$C,3,0)-1,4)))))</f>
        <v/>
      </c>
      <c r="BP35" s="28" t="str">
        <f>IF(ISERROR(IF(BO35="","",VLOOKUP((BC35&amp;BO35&amp;"Template desconto FLAT Plano Principal Oi TV nível conta"),BENEFICIOS!$A:$G,5,0))),"Criar",IF(BO35="","",VLOOKUP((BC35&amp;BO35&amp;"Template desconto FLAT Plano Principal Oi TV nível conta"),BENEFICIOS!$A:$G,5,0)))</f>
        <v/>
      </c>
      <c r="BQ35" s="8"/>
      <c r="BR35" s="3" t="str">
        <f>IF(BQ35=0,"",IF(BQ35=VLOOKUP("PCS-OzTL43",ARBOR!$A:$C,3,0),0.0001,IF(BQ35&gt;VLOOKUP("PCS-OzTL43",ARBOR!$A:$C,3,0),"Maior que CAP!",IF((DOLLAR(BQ35+(VLOOKUP("PCS-OzTL43",ARBOR!$A:$C,3,0)*-TRUNC(BQ35/VLOOKUP("PCS-OzTL43",ARBOR!$A:$C,3,0)-1,4)),6))&lt;&gt;(DOLLAR(VLOOKUP("PCS-OzTL43",ARBOR!$A:$C,3,0),6)),-TRUNC(BQ35/VLOOKUP("PCS-OzTL43",ARBOR!$A:$C,3,0)-1,4)+0.0001,-TRUNC(BQ35/VLOOKUP("PCS-OzTL43",ARBOR!$A:$C,3,0)-1,4)))))</f>
        <v/>
      </c>
      <c r="BS35" s="28" t="str">
        <f>IF(ISERROR(IF(BR35="","",VLOOKUP((BC35&amp;BR35&amp;"Template desconto FLAT Plano Principal Oi TV nível conta"),BENEFICIOS!$A:$G,5,0))),"Criar",IF(BR35="","",VLOOKUP((BC35&amp;BR35&amp;"Template desconto FLAT Plano Principal Oi TV nível conta"),BENEFICIOS!$A:$G,5,0)))</f>
        <v/>
      </c>
      <c r="BT35" s="8"/>
      <c r="BU35" s="3" t="str">
        <f>IF(BT35=0,"",IF(BT35=VLOOKUP("PCS-OzTL45",ARBOR!$A:$C,3,0),0.0001,IF(BT35&gt;VLOOKUP("PCS-OzTL45",ARBOR!$A:$C,3,0),"Maior que CAP!",IF((DOLLAR(BT35+(VLOOKUP("PCS-OzTL45",ARBOR!$A:$C,3,0)*-TRUNC(BT35/VLOOKUP("PCS-OzTL45",ARBOR!$A:$C,3,0)-1,4)),6))&lt;&gt;(DOLLAR(VLOOKUP("PCS-OzTL45",ARBOR!$A:$C,3,0),6)),-TRUNC(BT35/VLOOKUP("PCS-OzTL45",ARBOR!$A:$C,3,0)-1,4)+0.0001,-TRUNC(BT35/VLOOKUP("PCS-OzTL45",ARBOR!$A:$C,3,0)-1,4)))))</f>
        <v/>
      </c>
      <c r="BV35" s="28" t="str">
        <f>IF(ISERROR(IF(BU35="","",VLOOKUP((BC35&amp;BU35&amp;"Template desconto FLAT Plano Principal Oi TV nível conta"),BENEFICIOS!$A:$G,5,0))),"Criar",IF(BU35="","",VLOOKUP((BC35&amp;BU35&amp;"Template desconto FLAT Plano Principal Oi TV nível conta"),BENEFICIOS!$A:$G,5,0)))</f>
        <v/>
      </c>
      <c r="BW35" s="8"/>
      <c r="BX35" s="3" t="str">
        <f>IF(BW35=0,"",IF(BW35=VLOOKUP("PCS-OzTL741",ARBOR!$A:$C,3,0),0.0001,IF(BW35&gt;VLOOKUP("PCS-OzTL741",ARBOR!$A:$C,3,0),"Maior que CAP!",IF((DOLLAR(BW35+(VLOOKUP("PCS-OzTL741",ARBOR!$A:$C,3,0)*-TRUNC(BW35/VLOOKUP("PCS-OzTL741",ARBOR!$A:$C,3,0)-1,4)),6))&lt;&gt;(DOLLAR(VLOOKUP("PCS-OzTL741",ARBOR!$A:$C,3,0),6)),-TRUNC(BW35/VLOOKUP("PCS-OzTL741",ARBOR!$A:$C,3,0)-1,4)+0.0001,-TRUNC(BW35/VLOOKUP("PCS-OzTL741",ARBOR!$A:$C,3,0)-1,4)))))</f>
        <v/>
      </c>
      <c r="BY35" s="28" t="str">
        <f>IF(ISERROR(IF(BX35="","",VLOOKUP((BC35&amp;BX35&amp;"Template desconto FLAT Plano Principal Oi TV nível conta"),BENEFICIOS!$A:$G,5,0))),"Criar",IF(BX35="","",VLOOKUP((BC35&amp;BX35&amp;"Template desconto FLAT Plano Principal Oi TV nível conta"),BENEFICIOS!$A:$G,5,0)))</f>
        <v/>
      </c>
      <c r="BZ35" s="8"/>
      <c r="CA35" s="3" t="str">
        <f>IF(BZ35=0,"",IF(BZ35=VLOOKUP("PCS-OzTL744",ARBOR!$A:$C,3,0),0.0001,IF(BZ35&gt;VLOOKUP("PCS-OzTL744",ARBOR!$A:$C,3,0),"Maior que CAP!",IF((DOLLAR(BZ35+(VLOOKUP("PCS-OzTL744",ARBOR!$A:$C,3,0)*-TRUNC(BZ35/VLOOKUP("PCS-OzTL744",ARBOR!$A:$C,3,0)-1,4)),6))&lt;&gt;(DOLLAR(VLOOKUP("PCS-OzTL744",ARBOR!$A:$C,3,0),6)),-TRUNC(BZ35/VLOOKUP("PCS-OzTL744",ARBOR!$A:$C,3,0)-1,4)+0.0001,-TRUNC(BZ35/VLOOKUP("PCS-OzTL744",ARBOR!$A:$C,3,0)-1,4)))))</f>
        <v/>
      </c>
      <c r="CB35" s="28" t="str">
        <f>IF(ISERROR(IF(CA35="","",VLOOKUP(($BC35&amp;CA35&amp;"Template desconto FLAT Plano Principal Oi TV nível conta"),BENEFICIOS!$A:$G,5,0))),"Criar",IF(CA35="","",VLOOKUP(($BC35&amp;CA35&amp;"Template desconto FLAT Plano Principal Oi TV nível conta"),BENEFICIOS!$A:$G,5,0)))</f>
        <v/>
      </c>
      <c r="CC35" s="8"/>
      <c r="CD35" s="3" t="str">
        <f>IF(CC35=0,"",IF(CC35=VLOOKUP("PCS-OzTL743",ARBOR!$A:$C,3,0),0.0001,IF(CC35&gt;VLOOKUP("PCS-OzTL743",ARBOR!$A:$C,3,0),"Maior que CAP!",IF((DOLLAR(CC35+(VLOOKUP("PCS-OzTL743",ARBOR!$A:$C,3,0)*-TRUNC(CC35/VLOOKUP("PCS-OzTL743",ARBOR!$A:$C,3,0)-1,4)),6))&lt;&gt;(DOLLAR(VLOOKUP("PCS-OzTL743",ARBOR!$A:$C,3,0),6)),-TRUNC(CC35/VLOOKUP("PCS-OzTL743",ARBOR!$A:$C,3,0)-1,4)+0.0001,-TRUNC(CC35/VLOOKUP("PCS-OzTL743",ARBOR!$A:$C,3,0)-1,4)))))</f>
        <v/>
      </c>
      <c r="CE35" s="28" t="str">
        <f>IF(ISERROR(IF(CD35="","",VLOOKUP(($BC35&amp;CD35&amp;"Template desconto FLAT Plano Principal Oi TV nível conta"),BENEFICIOS!$A:$G,5,0))),"Criar",IF(CD35="","",VLOOKUP(($BC35&amp;CD35&amp;"Template desconto FLAT Plano Principal Oi TV nível conta"),BENEFICIOS!$A:$G,5,0)))</f>
        <v/>
      </c>
      <c r="CF35" s="8"/>
      <c r="CG35" s="3" t="str">
        <f>IF(CF35=0,"",IF(CF35=VLOOKUP("PCS-OzTL745",ARBOR!$A:$C,3,0),0.0001,IF(CF35&gt;VLOOKUP("PCS-OzTL745",ARBOR!$A:$C,3,0),"Maior que CAP!",IF((DOLLAR(CF35+(VLOOKUP("PCS-OzTL745",ARBOR!$A:$C,3,0)*-TRUNC(CF35/VLOOKUP("PCS-OzTL745",ARBOR!$A:$C,3,0)-1,4)),6))&lt;&gt;(DOLLAR(VLOOKUP("PCS-OzTL745",ARBOR!$A:$C,3,0),6)),-TRUNC(CF35/VLOOKUP("PCS-OzTL745",ARBOR!$A:$C,3,0)-1,4)+0.0001,-TRUNC(CF35/VLOOKUP("PCS-OzTL745",ARBOR!$A:$C,3,0)-1,4)))))</f>
        <v/>
      </c>
      <c r="CH35" s="28" t="str">
        <f>IF(ISERROR(IF(CG35="","",VLOOKUP(($BC35&amp;CG35&amp;"Template desconto FLAT Plano Principal Oi TV nível conta"),BENEFICIOS!$A:$G,5,0))),"Criar",IF(CG35="","",VLOOKUP(($BC35&amp;CG35&amp;"Template desconto FLAT Plano Principal Oi TV nível conta"),BENEFICIOS!$A:$G,5,0)))</f>
        <v/>
      </c>
      <c r="CI35" s="8"/>
      <c r="CJ35" s="3" t="str">
        <f>IF(CI35=0,"",IF(CI35=VLOOKUP("PCS-OzTL42",ARBOR!$A:$C,3,0),0.0001,IF(CI35&gt;VLOOKUP("PCS-OzTL42",ARBOR!$A:$C,3,0),"Maior que CAP!",IF((DOLLAR(CI35+(VLOOKUP("PCS-OzTL42",ARBOR!$A:$C,3,0)*-TRUNC(CI35/VLOOKUP("PCS-OzTL42",ARBOR!$A:$C,3,0)-1,4)),6))&lt;&gt;(DOLLAR(VLOOKUP("PCS-OzTL42",ARBOR!$A:$C,3,0),6)),-TRUNC(CI35/VLOOKUP("PCS-OzTL42",ARBOR!$A:$C,3,0)-1,4)+0.0001,-TRUNC(CI35/VLOOKUP("PCS-OzTL42",ARBOR!$A:$C,3,0)-1,4)))))</f>
        <v/>
      </c>
      <c r="CK35" s="28" t="str">
        <f>IF(ISERROR(IF(CJ35="","",VLOOKUP(($BC35&amp;CJ35&amp;"Template desconto FLAT Plano Principal Oi TV nível conta"),BENEFICIOS!$A:$G,5,0))),"Criar",IF(CJ35="","",VLOOKUP(($BC35&amp;CJ35&amp;"Template desconto FLAT Plano Principal Oi TV nível conta"),BENEFICIOS!$A:$G,5,0)))</f>
        <v/>
      </c>
      <c r="CL35" s="8"/>
      <c r="CM35" s="3" t="str">
        <f>IF(CL35=0,"",IF(CL35=VLOOKUP("PCS-OzTL47",ARBOR!$A:$C,3,0),0.0001,IF(CL35&gt;VLOOKUP("PCS-OzTL47",ARBOR!$A:$C,3,0),"Maior que CAP!",IF((DOLLAR(CL35+(VLOOKUP("PCS-OzTL47",ARBOR!$A:$C,3,0)*-TRUNC(CL35/VLOOKUP("PCS-OzTL47",ARBOR!$A:$C,3,0)-1,4)),6))&lt;&gt;(DOLLAR(VLOOKUP("PCS-OzTL47",ARBOR!$A:$C,3,0),6)),-TRUNC(CL35/VLOOKUP("PCS-OzTL47",ARBOR!$A:$C,3,0)-1,4)+0.0001,-TRUNC(CL35/VLOOKUP("PCS-OzTL47",ARBOR!$A:$C,3,0)-1,4)))))</f>
        <v/>
      </c>
      <c r="CN35" s="28" t="str">
        <f>IF(ISERROR(IF(CM35="","",VLOOKUP(($BC35&amp;CM35&amp;"Template desconto FLAT Plano Principal Oi TV nível conta"),BENEFICIOS!$A:$G,5,0))),"Criar",IF(CM35="","",VLOOKUP(($BC35&amp;CM35&amp;"Template desconto FLAT Plano Principal Oi TV nível conta"),BENEFICIOS!$A:$G,5,0)))</f>
        <v/>
      </c>
      <c r="CO35" s="8"/>
      <c r="CP35" s="3" t="str">
        <f>IF(CO35=0,"",IF(CO35=VLOOKUP("PCS-OzTL46",ARBOR!$A:$C,3,0),0.0001,IF(CO35&gt;VLOOKUP("PCS-OzTL46",ARBOR!$A:$C,3,0),"Maior que CAP!",IF((DOLLAR(CO35+(VLOOKUP("PCS-OzTL46",ARBOR!$A:$C,3,0)*-TRUNC(CO35/VLOOKUP("PCS-OzTL46",ARBOR!$A:$C,3,0)-1,4)),6))&lt;&gt;(DOLLAR(VLOOKUP("PCS-OzTL46",ARBOR!$A:$C,3,0),6)),-TRUNC(CO35/VLOOKUP("PCS-OzTL46",ARBOR!$A:$C,3,0)-1,4)+0.0001,-TRUNC(CO35/VLOOKUP("PCS-OzTL46",ARBOR!$A:$C,3,0)-1,4)))))</f>
        <v/>
      </c>
      <c r="CQ35" s="28" t="str">
        <f>IF(ISERROR(IF(CP35="","",VLOOKUP(($BC35&amp;CP35&amp;"Template desconto FLAT Plano Principal Oi TV nível conta"),BENEFICIOS!$A:$G,5,0))),"Criar",IF(CP35="","",VLOOKUP(($BC35&amp;CP35&amp;"Template desconto FLAT Plano Principal Oi TV nível conta"),BENEFICIOS!$A:$G,5,0)))</f>
        <v/>
      </c>
      <c r="CR35" s="8"/>
      <c r="CS35" s="3" t="str">
        <f>IF(CR35=0,"",IF(CR35=VLOOKUP("PCS-OzTL48",ARBOR!$A:$C,3,0),0.0001,IF(CR35&gt;VLOOKUP("PCS-OzTL48",ARBOR!$A:$C,3,0),"Maior que CAP!",IF((DOLLAR(CR35+(VLOOKUP("PCS-OzTL48",ARBOR!$A:$C,3,0)*-TRUNC(CR35/VLOOKUP("PCS-OzTL48",ARBOR!$A:$C,3,0)-1,4)),6))&lt;&gt;(DOLLAR(VLOOKUP("PCS-OzTL48",ARBOR!$A:$C,3,0),6)),-TRUNC(CR35/VLOOKUP("PCS-OzTL48",ARBOR!$A:$C,3,0)-1,4)+0.0001,-TRUNC(CR35/VLOOKUP("PCS-OzTL48",ARBOR!$A:$C,3,0)-1,4)))))</f>
        <v/>
      </c>
      <c r="CT35" s="28" t="str">
        <f>IF(ISERROR(IF(CS35="","",VLOOKUP(($BC35&amp;CS35&amp;"Template desconto FLAT Plano Principal Oi TV nível conta"),BENEFICIOS!$A:$G,5,0))),"Criar",IF(CS35="","",VLOOKUP(($BC35&amp;CS35&amp;"Template desconto FLAT Plano Principal Oi TV nível conta"),BENEFICIOS!$A:$G,5,0)))</f>
        <v/>
      </c>
      <c r="CU35" s="8"/>
      <c r="CV35" s="3" t="str">
        <f>IF(CU35=0,"",IF(CU35=VLOOKUP("PCS-OzTL742",ARBOR!$A:$C,3,0),0.0001,IF(CU35&gt;VLOOKUP("PCS-OzTL742",ARBOR!$A:$C,3,0),"Maior que CAP!",IF((DOLLAR(CU35+(VLOOKUP("PCS-OzTL742",ARBOR!$A:$C,3,0)*-TRUNC(CU35/VLOOKUP("PCS-OzTL742",ARBOR!$A:$C,3,0)-1,4)),6))&lt;&gt;(DOLLAR(VLOOKUP("PCS-OzTL742",ARBOR!$A:$C,3,0),6)),-TRUNC(CU35/VLOOKUP("PCS-OzTL742",ARBOR!$A:$C,3,0)-1,4)+0.0001,-TRUNC(CU35/VLOOKUP("PCS-OzTL742",ARBOR!$A:$C,3,0)-1,4)))))</f>
        <v/>
      </c>
      <c r="CW35" s="28" t="str">
        <f>IF(ISERROR(IF(CV35="","",VLOOKUP(($BC35&amp;CV35&amp;"Template desconto FLAT Plano Principal Oi TV nível conta"),BENEFICIOS!$A:$G,5,0))),"Criar",IF(CV35="","",VLOOKUP(($BC35&amp;CV35&amp;"Template desconto FLAT Plano Principal Oi TV nível conta"),BENEFICIOS!$A:$G,5,0)))</f>
        <v/>
      </c>
      <c r="CX35" s="8"/>
      <c r="CY35" s="3" t="str">
        <f>IF(CX35=0,"",IF(CX35=VLOOKUP("PCS-OzTL747",ARBOR!$A:$C,3,0),0.0001,IF(CX35&gt;VLOOKUP("PCS-OzTL747",ARBOR!$A:$C,3,0),"Maior que CAP!",IF((DOLLAR(CX35+(VLOOKUP("PCS-OzTL747",ARBOR!$A:$C,3,0)*-TRUNC(CX35/VLOOKUP("PCS-OzTL747",ARBOR!$A:$C,3,0)-1,4)),6))&lt;&gt;(DOLLAR(VLOOKUP("PCS-OzTL747",ARBOR!$A:$C,3,0),6)),-TRUNC(CX35/VLOOKUP("PCS-OzTL747",ARBOR!$A:$C,3,0)-1,4)+0.0001,-TRUNC(CX35/VLOOKUP("PCS-OzTL747",ARBOR!$A:$C,3,0)-1,4)))))</f>
        <v/>
      </c>
      <c r="CZ35" s="28" t="str">
        <f>IF(ISERROR(IF(CY35="","",VLOOKUP(($BC35&amp;CY35&amp;"Template desconto FLAT Plano Principal Oi TV nível conta"),BENEFICIOS!$A:$G,5,0))),"Criar",IF(CY35="","",VLOOKUP(($BC35&amp;CY35&amp;"Template desconto FLAT Plano Principal Oi TV nível conta"),BENEFICIOS!$A:$G,5,0)))</f>
        <v/>
      </c>
      <c r="DA35" s="8"/>
      <c r="DB35" s="3" t="str">
        <f>IF(DA35=0,"",IF(DA35=VLOOKUP("PCS-OzTL746",ARBOR!$A:$C,3,0),0.0001,IF(DA35&gt;VLOOKUP("PCS-OzTL746",ARBOR!$A:$C,3,0),"Maior que CAP!",IF((DOLLAR(DA35+(VLOOKUP("PCS-OzTL746",ARBOR!$A:$C,3,0)*-TRUNC(DA35/VLOOKUP("PCS-OzTL746",ARBOR!$A:$C,3,0)-1,4)),6))&lt;&gt;(DOLLAR(VLOOKUP("PCS-OzTL746",ARBOR!$A:$C,3,0),6)),-TRUNC(DA35/VLOOKUP("PCS-OzTL746",ARBOR!$A:$C,3,0)-1,4)+0.0001,-TRUNC(DA35/VLOOKUP("PCS-OzTL746",ARBOR!$A:$C,3,0)-1,4)))))</f>
        <v/>
      </c>
      <c r="DC35" s="28" t="str">
        <f>IF(ISERROR(IF(DB35="","",VLOOKUP(($BC35&amp;DB35&amp;"Template desconto FLAT Plano Principal Oi TV nível conta"),BENEFICIOS!$A:$G,5,0))),"Criar",IF(DB35="","",VLOOKUP(($BC35&amp;DB35&amp;"Template desconto FLAT Plano Principal Oi TV nível conta"),BENEFICIOS!$A:$G,5,0)))</f>
        <v/>
      </c>
      <c r="DD35" s="8"/>
      <c r="DE35" s="3" t="str">
        <f>IF(DD35=0,"",IF(DD35=VLOOKUP("PCS-OzTL748",ARBOR!$A:$C,3,0),0.0001,IF(DD35&gt;VLOOKUP("PCS-OzTL748",ARBOR!$A:$C,3,0),"Maior que CAP!",IF((DOLLAR(DD35+(VLOOKUP("PCS-OzTL748",ARBOR!$A:$C,3,0)*-TRUNC(DD35/VLOOKUP("PCS-OzTL748",ARBOR!$A:$C,3,0)-1,4)),6))&lt;&gt;(DOLLAR(VLOOKUP("PCS-OzTL748",ARBOR!$A:$C,3,0),6)),-TRUNC(DD35/VLOOKUP("PCS-OzTL748",ARBOR!$A:$C,3,0)-1,4)+0.0001,-TRUNC(DD35/VLOOKUP("PCS-OzTL748",ARBOR!$A:$C,3,0)-1,4)))))</f>
        <v/>
      </c>
      <c r="DF35" s="28" t="str">
        <f>IF(ISERROR(IF(DE35="","",VLOOKUP(($BC35&amp;DE35&amp;"Template desconto FLAT Plano Principal Oi TV nível conta"),BENEFICIOS!$A:$G,5,0))),"Criar",IF(DE35="","",VLOOKUP(($BC35&amp;DE35&amp;"Template desconto FLAT Plano Principal Oi TV nível conta"),BENEFICIOS!$A:$G,5,0)))</f>
        <v/>
      </c>
      <c r="DG35" s="8"/>
      <c r="DH35" s="3" t="str">
        <f>IF(DG35=0,"",IF(DG35=VLOOKUP("PCS-OzTL34",ARBOR!$A:$C,3,0),0.0001,IF(DG35&gt;VLOOKUP("PCS-OzTL34",ARBOR!$A:$C,3,0),"Maior que CAP!",IF((DOLLAR(DG35+(VLOOKUP("PCS-OzTL34",ARBOR!$A:$C,3,0)*-TRUNC(DG35/VLOOKUP("PCS-OzTL34",ARBOR!$A:$C,3,0)-1,4)),6))&lt;&gt;(DOLLAR(VLOOKUP("PCS-OzTL34",ARBOR!$A:$C,3,0),6)),-TRUNC(DG35/VLOOKUP("PCS-OzTL34",ARBOR!$A:$C,3,0)-1,4)+0.0001,-TRUNC(DG35/VLOOKUP("PCS-OzTL34",ARBOR!$A:$C,3,0)-1,4)))))</f>
        <v/>
      </c>
      <c r="DI35" s="28" t="str">
        <f>IF(DH35="S/Desc","S/Desc",IF(ISERROR(IF(DH35="","",VLOOKUP(($BC35&amp;DH35&amp;"Template desconto % Combate nível conta"),BENEFICIOS!$A:$G,5,0))),"Criar",IF(DH35="","",VLOOKUP(($BC35&amp;DH35&amp;"Template desconto % Combate nível conta"),BENEFICIOS!$A:$G,5,0))))</f>
        <v/>
      </c>
      <c r="DJ35" s="8"/>
      <c r="DK35" s="3" t="str">
        <f>IF(DJ35=0,"",IF(DJ35=VLOOKUP("PCS-OzTL31",ARBOR!$A:$C,3,0),0.0001,IF(DJ35&gt;VLOOKUP("PCS-OzTL31",ARBOR!$A:$C,3,0),"Maior que CAP!",IF((DOLLAR(DJ35+(VLOOKUP("PCS-OzTL31",ARBOR!$A:$C,3,0)*-TRUNC(DJ35/VLOOKUP("PCS-OzTL31",ARBOR!$A:$C,3,0)-1,4)),6))&lt;&gt;(DOLLAR(VLOOKUP("PCS-OzTL31",ARBOR!$A:$C,3,0),6)),-TRUNC(DJ35/VLOOKUP("PCS-OzTL31",ARBOR!$A:$C,3,0)-1,4)+0.0001,-TRUNC(DJ35/VLOOKUP("PCS-OzTL31",ARBOR!$A:$C,3,0)-1,4)))))</f>
        <v/>
      </c>
      <c r="DL35" s="28" t="str">
        <f>IF(DK35="S/Desc","S/Desc",IF(ISERROR(IF(DK35="","",VLOOKUP(($BC35&amp;DK35&amp;"Template desconto % Sexy Hot nível conta"),BENEFICIOS!$A:$G,5,0))),"Criar",IF(DK35="","",VLOOKUP(($BC35&amp;DK35&amp;"Template desconto % Sexy Hot nível conta"),BENEFICIOS!$A:$G,5,0))))</f>
        <v/>
      </c>
      <c r="DM35" s="8"/>
      <c r="DN35" s="3" t="str">
        <f>IF(DM35=0,"",IF(DM35=VLOOKUP("PCS-OzTL32",ARBOR!$A:$C,3,0),0.0001,IF(DM35&gt;VLOOKUP("PCS-OzTL32",ARBOR!$A:$C,3,0),"Maior que CAP!",IF((DOLLAR(DM35+(VLOOKUP("PCS-OzTL32",ARBOR!$A:$C,3,0)*-TRUNC(DM35/VLOOKUP("PCS-OzTL32",ARBOR!$A:$C,3,0)-1,4)),6))&lt;&gt;(DOLLAR(VLOOKUP("PCS-OzTL32",ARBOR!$A:$C,3,0),6)),-TRUNC(DM35/VLOOKUP("PCS-OzTL32",ARBOR!$A:$C,3,0)-1,4)+0.0001,-TRUNC(DM35/VLOOKUP("PCS-OzTL32",ARBOR!$A:$C,3,0)-1,4)))))</f>
        <v/>
      </c>
      <c r="DO35" s="28" t="str">
        <f>IF(DN35="S/Desc","S/Desc",IF(ISERROR(IF(DN35="","",VLOOKUP(($BC35&amp;DN35&amp;"Template desconto % Playboy nível conta"),BENEFICIOS!$A:$G,5,0))),"Criar",IF(DN35="","",VLOOKUP(($BC35&amp;DN35&amp;"Template desconto % Playboy nível conta"),BENEFICIOS!$A:$G,5,0))))</f>
        <v/>
      </c>
      <c r="DP35" s="8"/>
      <c r="DQ35" s="3" t="str">
        <f>IF(DP35=0,"",IF(DP35=VLOOKUP("PCS-OzTL33",ARBOR!$A:$C,3,0),0.0001,IF(DP35&gt;VLOOKUP("PCS-OzTL33",ARBOR!$A:$C,3,0),"Maior que CAP!",IF((DOLLAR(DP35+(VLOOKUP("PCS-OzTL33",ARBOR!$A:$C,3,0)*-TRUNC(DP35/VLOOKUP("PCS-OzTL33",ARBOR!$A:$C,3,0)-1,4)),6))&lt;&gt;(DOLLAR(VLOOKUP("PCS-OzTL33",ARBOR!$A:$C,3,0),6)),-TRUNC(DP35/VLOOKUP("PCS-OzTL33",ARBOR!$A:$C,3,0)-1,4)+0.0001,-TRUNC(DP35/VLOOKUP("PCS-OzTL33",ARBOR!$A:$C,3,0)-1,4)))))</f>
        <v/>
      </c>
      <c r="DR35" s="28" t="str">
        <f>IF(DQ35="S/Desc","S/Desc",IF(ISERROR(IF(DQ35="","",VLOOKUP(($BC35&amp;DQ35&amp;"Template desconto % Sexy Hot + Playboy nível conta"),BENEFICIOS!$A:$G,5,0))),"Criar",IF(DQ35="","",VLOOKUP(($BC35&amp;DQ35&amp;"Template desconto % Sexy Hot + Playboy nível conta"),BENEFICIOS!$A:$G,5,0))))</f>
        <v/>
      </c>
      <c r="DS35" s="8"/>
      <c r="DT35" s="3" t="str">
        <f>IF(DS35=0,"",IF(DS35=VLOOKUP("PCS-OzTL503",ARBOR!$A:$C,3,0),0.0001,IF(DS35&gt;VLOOKUP("PCS-OzTL503",ARBOR!$A:$C,3,0),"Maior que CAP!",IF((DOLLAR(DS35+(VLOOKUP("PCS-OzTL503",ARBOR!$A:$C,3,0)*-TRUNC(DS35/VLOOKUP("PCS-OzTL503",ARBOR!$A:$C,3,0)-1,4)),6))&lt;&gt;(DOLLAR(VLOOKUP("PCS-OzTL503",ARBOR!$A:$C,3,0),6)),-TRUNC(DS35/VLOOKUP("PCS-OzTL503",ARBOR!$A:$C,3,0)-1,4)+0.0001,-TRUNC(DS35/VLOOKUP("PCS-OzTL503",ARBOR!$A:$C,3,0)-1,4)))))</f>
        <v/>
      </c>
      <c r="DU35" s="28" t="str">
        <f>IF(DT35="S/Desc","S/Desc",IF(ISERROR(IF(DT35="","",VLOOKUP(($BC35&amp;DT35&amp;"Template desconto % SexPrivê nível conta"),BENEFICIOS!$A:$G,5,0))),"Criar",IF(DT35="","",VLOOKUP(($BC35&amp;DT35&amp;"Template desconto % SexPrivê nível conta"),BENEFICIOS!$A:$G,5,0))))</f>
        <v/>
      </c>
      <c r="DV35" s="8"/>
      <c r="DW35" s="3" t="str">
        <f>IF(DV35=0,"",IF(DV35=VLOOKUP("PCS-OzTL500",ARBOR!$A:$C,3,0),0.0001,IF(DV35&gt;VLOOKUP("PCS-OzTL500",ARBOR!$A:$C,3,0),"Maior que CAP!",IF((DOLLAR(DV35+(VLOOKUP("PCS-OzTL500",ARBOR!$A:$C,3,0)*-TRUNC(DV35/VLOOKUP("PCS-OzTL500",ARBOR!$A:$C,3,0)-1,4)),6))&lt;&gt;(DOLLAR(VLOOKUP("PCS-OzTL500",ARBOR!$A:$C,3,0),6)),-TRUNC(DV35/VLOOKUP("PCS-OzTL500",ARBOR!$A:$C,3,0)-1,4)+0.0001,-TRUNC(DV35/VLOOKUP("PCS-OzTL500",ARBOR!$A:$C,3,0)-1,4)))))</f>
        <v/>
      </c>
      <c r="DX35" s="28" t="str">
        <f>IF(DW35="S/Desc","S/Desc",IF(ISERROR(IF(DW35="","",VLOOKUP(($BC35&amp;DW35&amp;"Template desconto % Étnico nível conta"),BENEFICIOS!$A:$G,5,0))),"Criar",IF(DW35="","",VLOOKUP(($BC35&amp;DW35&amp;"Template desconto % Étnico nível conta"),BENEFICIOS!$A:$G,5,0))))</f>
        <v/>
      </c>
      <c r="DY35" s="8"/>
      <c r="DZ35" s="181" t="str">
        <f>IF(DY35=0,"",IF(DY35=VLOOKUP("PCS-OzTL50",ARBOR!$A:$C,3,0),0.0001,IF(DY35&gt;VLOOKUP("PCS-OzTL50",ARBOR!$A:$C,3,0),"Maior que CAP!",IF((DOLLAR(DY35+(VLOOKUP("PCS-OzTL50",ARBOR!$A:$C,3,0)*-TRUNC(DY35/VLOOKUP("PCS-OzTL50",ARBOR!$A:$C,3,0)-1,4)),6))&lt;&gt;(DOLLAR(VLOOKUP("PCS-OzTL50",ARBOR!$A:$C,3,0),6)),-TRUNC(DY35/VLOOKUP("PCS-OzTL50",ARBOR!$A:$C,3,0)-1,4)+0.0001,-TRUNC(DY35/VLOOKUP("PCS-OzTL50",ARBOR!$A:$C,3,0)-1,4)))))</f>
        <v/>
      </c>
      <c r="EA35" s="28"/>
      <c r="EB35" s="8"/>
      <c r="EC35" s="181" t="str">
        <f>IF(EB35=0,"",IF(EB35=VLOOKUP("PCS-OzTL51",ARBOR!$A:$C,3,0),0.0001,IF(EB35&gt;VLOOKUP("PCS-OzTL51",ARBOR!$A:$C,3,0),"Maior que CAP!",IF((DOLLAR(EB35+(VLOOKUP("PCS-OzTL51",ARBOR!$A:$C,3,0)*-TRUNC(EB35/VLOOKUP("PCS-OzTL51",ARBOR!$A:$C,3,0)-1,4)),6))&lt;&gt;(DOLLAR(VLOOKUP("PCS-OzTL51",ARBOR!$A:$C,3,0),6)),-TRUNC(EB35/VLOOKUP("PCS-OzTL51",ARBOR!$A:$C,3,0)-1,4)+0.0001,-TRUNC(EB35/VLOOKUP("PCS-OzTL51",ARBOR!$A:$C,3,0)-1,4)))))</f>
        <v/>
      </c>
      <c r="ED35" s="28"/>
      <c r="EE35" s="8"/>
      <c r="EF35" s="181" t="str">
        <f>IF(EE35=0,"",IF(EE35=VLOOKUP("PCS-OzTL52",ARBOR!$A:$C,3,0),0.0001,IF(EE35&gt;VLOOKUP("PCS-OzTL52",ARBOR!$A:$C,3,0),"Maior que CAP!",IF((DOLLAR(EE35+(VLOOKUP("PCS-OzTL52",ARBOR!$A:$C,3,0)*-TRUNC(EE35/VLOOKUP("PCS-OzTL52",ARBOR!$A:$C,3,0)-1,4)),6))&lt;&gt;(DOLLAR(VLOOKUP("PCS-OzTL52",ARBOR!$A:$C,3,0),6)),-TRUNC(EE35/VLOOKUP("PCS-OzTL52",ARBOR!$A:$C,3,0)-1,4)+0.0001,-TRUNC(EE35/VLOOKUP("PCS-OzTL52",ARBOR!$A:$C,3,0)-1,4)))))</f>
        <v/>
      </c>
      <c r="EG35" s="28"/>
      <c r="EH35" s="8"/>
      <c r="EI35" s="181" t="str">
        <f>IF(EH35=0,"",IF(EH35=VLOOKUP("PCS-OzTL53",ARBOR!$A:$C,3,0),0.0001,IF(EH35&gt;VLOOKUP("PCS-OzTL53",ARBOR!$A:$C,3,0),"Maior que CAP!",IF((DOLLAR(EH35+(VLOOKUP("PCS-OzTL53",ARBOR!$A:$C,3,0)*-TRUNC(EH35/VLOOKUP("PCS-OzTL53",ARBOR!$A:$C,3,0)-1,4)),6))&lt;&gt;(DOLLAR(VLOOKUP("PCS-OzTL53",ARBOR!$A:$C,3,0),6)),-TRUNC(EH35/VLOOKUP("PCS-OzTL53",ARBOR!$A:$C,3,0)-1,4)+0.0001,-TRUNC(EH35/VLOOKUP("PCS-OzTL53",ARBOR!$A:$C,3,0)-1,4)))))</f>
        <v/>
      </c>
      <c r="EJ35" s="28"/>
      <c r="EK35" s="8"/>
      <c r="EL35" s="181" t="str">
        <f>IF(EK35=0,"",IF(EK35=VLOOKUP("PCS-OzTL54",ARBOR!$A:$C,3,0),0.0001,IF(EK35&gt;VLOOKUP("PCS-OzTL54",ARBOR!$A:$C,3,0),"Maior que CAP!",IF((DOLLAR(EK35+(VLOOKUP("PCS-OzTL54",ARBOR!$A:$C,3,0)*-TRUNC(EK35/VLOOKUP("PCS-OzTL54",ARBOR!$A:$C,3,0)-1,4)),6))&lt;&gt;(DOLLAR(VLOOKUP("PCS-OzTL54",ARBOR!$A:$C,3,0),6)),-TRUNC(EK35/VLOOKUP("PCS-OzTL54",ARBOR!$A:$C,3,0)-1,4)+0.0001,-TRUNC(EK35/VLOOKUP("PCS-OzTL54",ARBOR!$A:$C,3,0)-1,4)))))</f>
        <v/>
      </c>
      <c r="EM35" s="28"/>
      <c r="EN35" s="8"/>
      <c r="EO35" s="3" t="str">
        <f>IF(EN35=0,"",IF(EN35=VLOOKUP("PCS-OzTL99",ARBOR!$A:$C,3,0),0.0001,IF(EN35&gt;VLOOKUP("PCS-OzTL99",ARBOR!$A:$C,3,0),"Maior que CAP!",IF((DOLLAR(EN35+(VLOOKUP("PCS-OzTL99",ARBOR!$A:$C,3,0)*-TRUNC(EN35/VLOOKUP("PCS-OzTL99",ARBOR!$A:$C,3,0)-1,4)),6))&lt;&gt;(DOLLAR(VLOOKUP("PCS-OzTL99",ARBOR!$A:$C,3,0),6)),-TRUNC(EN35/VLOOKUP("PCS-OzTL99",ARBOR!$A:$C,3,0)-1,4)+0.0001,-TRUNC(EN35/VLOOKUP("PCS-OzTL99",ARBOR!$A:$C,3,0)-1,4)))))</f>
        <v/>
      </c>
      <c r="EP35" s="28" t="str">
        <f>IF(EO35="S/Desc","S/Desc",IF(ISERROR(IF(EO35="","",VLOOKUP(($BC35&amp;EO35&amp;"Template desconto % Ponto adicional nível conta"),BENEFICIOS!$A:$G,5,0))),"Criar",IF(EO35="","",VLOOKUP(($BC35&amp;EO35&amp;"Template desconto % Ponto adicional nível conta"),BENEFICIOS!$A:$G,5,0))))</f>
        <v/>
      </c>
      <c r="EQ35" s="8"/>
      <c r="ER35" s="28" t="str">
        <f t="shared" si="23"/>
        <v/>
      </c>
      <c r="ES35" s="62"/>
      <c r="ET35" s="126"/>
      <c r="EU35" s="127"/>
      <c r="EV35" s="126"/>
      <c r="EW35" s="128" t="str">
        <f t="shared" si="24"/>
        <v/>
      </c>
      <c r="EX35" s="129" t="str">
        <f t="shared" si="25"/>
        <v/>
      </c>
      <c r="EY35" s="91" t="str">
        <f t="shared" si="26"/>
        <v/>
      </c>
      <c r="EZ35" s="85"/>
      <c r="FA35" s="97"/>
      <c r="FB35" s="91"/>
      <c r="FC35" s="85"/>
      <c r="FD35" s="97"/>
      <c r="FE35" s="91"/>
      <c r="FF35" s="87"/>
      <c r="FG35" s="144" t="str">
        <f t="shared" si="5"/>
        <v/>
      </c>
      <c r="FH35" s="144" t="str">
        <f t="shared" si="6"/>
        <v/>
      </c>
      <c r="FI35" s="144" t="str">
        <f t="shared" si="7"/>
        <v/>
      </c>
      <c r="FJ35" s="144" t="str">
        <f t="shared" si="8"/>
        <v/>
      </c>
      <c r="FK35" s="144" t="str">
        <f t="shared" si="9"/>
        <v/>
      </c>
      <c r="FL35" s="144" t="str">
        <f t="shared" si="10"/>
        <v/>
      </c>
      <c r="FM35" s="144" t="str">
        <f t="shared" si="11"/>
        <v/>
      </c>
      <c r="FN35" s="144" t="str">
        <f t="shared" si="12"/>
        <v/>
      </c>
      <c r="FO35" s="144" t="str">
        <f t="shared" si="13"/>
        <v/>
      </c>
      <c r="FP35" s="144" t="str">
        <f t="shared" si="14"/>
        <v/>
      </c>
      <c r="FQ35" s="144" t="str">
        <f t="shared" si="15"/>
        <v/>
      </c>
      <c r="FR35" s="144" t="str">
        <f t="shared" si="16"/>
        <v/>
      </c>
      <c r="FS35" s="144" t="str">
        <f t="shared" si="17"/>
        <v/>
      </c>
      <c r="FT35" s="144" t="str">
        <f t="shared" si="18"/>
        <v/>
      </c>
      <c r="FU35" s="144" t="str">
        <f t="shared" si="19"/>
        <v/>
      </c>
      <c r="FV35" s="144" t="str">
        <f t="shared" si="20"/>
        <v/>
      </c>
      <c r="FW35" s="144" t="str">
        <f t="shared" si="21"/>
        <v/>
      </c>
      <c r="FX35" s="151"/>
      <c r="FY35" s="152"/>
      <c r="FZ35" s="152"/>
      <c r="GA35" s="152"/>
      <c r="GB35" s="152"/>
      <c r="GC35" s="152"/>
      <c r="GD35" s="152"/>
      <c r="GE35" s="152"/>
      <c r="GF35" s="152"/>
      <c r="GG35" s="153"/>
    </row>
    <row r="36" spans="1:189">
      <c r="A36" s="45"/>
      <c r="B36" s="133"/>
      <c r="C36" s="133"/>
      <c r="D36" s="46"/>
      <c r="E36" s="47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9"/>
      <c r="U36" s="48"/>
      <c r="V36" s="49"/>
      <c r="W36" s="48"/>
      <c r="X36" s="48"/>
      <c r="Y36" s="48"/>
      <c r="Z36" s="48"/>
      <c r="AA36" s="49"/>
      <c r="AB36" s="48"/>
      <c r="AC36" s="50"/>
      <c r="AD36" s="48"/>
      <c r="AE36" s="48"/>
      <c r="AF36" s="48"/>
      <c r="AG36" s="48"/>
      <c r="AH36" s="48"/>
      <c r="AI36" s="48"/>
      <c r="AJ36" s="48"/>
      <c r="AK36" s="48"/>
      <c r="AL36" s="51"/>
      <c r="AM36" s="37"/>
      <c r="AN36" s="38"/>
      <c r="AO36" s="39"/>
      <c r="AP36" s="52"/>
      <c r="AQ36" s="53"/>
      <c r="AR36" s="64"/>
      <c r="AS36" s="65"/>
      <c r="AT36" s="54"/>
      <c r="AU36" s="54"/>
      <c r="AV36" s="54"/>
      <c r="AW36" s="54"/>
      <c r="AX36" s="70"/>
      <c r="AY36" s="71"/>
      <c r="AZ36" s="72"/>
      <c r="BA36" s="73"/>
      <c r="BB36" s="55"/>
      <c r="BC36" s="56"/>
      <c r="BD36" s="27" t="str">
        <f t="shared" si="22"/>
        <v/>
      </c>
      <c r="BE36" s="58"/>
      <c r="BF36" s="3" t="str">
        <f>IF(BE36=0,"",IF(BE36=VLOOKUP("FIXO",ARBOR!$A:$C,3,0),0.0001,IF(BE36&gt;VLOOKUP("FIXO",ARBOR!$A:$C,3,0),"Maior que CAP!",IF((DOLLAR(BE36+(VLOOKUP("FIXO",ARBOR!$A:$C,3,0)*-TRUNC(BE36/VLOOKUP("FIXO",ARBOR!$A:$C,3,0)-1,4)),6))&lt;&gt;(DOLLAR(VLOOKUP("FIXO",ARBOR!$A:$C,3,0),6)),-TRUNC(BE36/VLOOKUP("FIXO",ARBOR!$A:$C,3,0)-1,4)+0.0001,-TRUNC(BE36/VLOOKUP("FIXO",ARBOR!$A:$C,3,0)-1,4)))))</f>
        <v/>
      </c>
      <c r="BG36" s="10" t="str">
        <f>IF(ISERROR(IF(BF36="","",VLOOKUP(($BC36&amp;BF36&amp;"Template de desconto FLAT bundle - Fixo - Varejo - Ganho Tributário Cross"),BENEFICIOS!$A:$G,5,0))),"Criar",IF(BF36="","",VLOOKUP(($BC36&amp;BF36&amp;"Template de desconto FLAT bundle - Fixo - Varejo - Ganho Tributário Cross"),BENEFICIOS!$A:$G,5,0)))</f>
        <v/>
      </c>
      <c r="BH36" s="8"/>
      <c r="BI36" s="3" t="str">
        <f>IF(BH36=0,"",IF(BH36=VLOOKUP("PCS-OzTL40",ARBOR!$A:$C,3,0),0.0001,IF(BH36&gt;VLOOKUP("PCS-OzTL40",ARBOR!$A:$C,3,0),"Maior que CAP!",IF((DOLLAR(BH36+(VLOOKUP("PCS-OzTL40",ARBOR!$A:$C,3,0)*-TRUNC(BH36/VLOOKUP("PCS-OzTL40",ARBOR!$A:$C,3,0)-1,4)),6))&lt;&gt;(DOLLAR(VLOOKUP("PCS-OzTL40",ARBOR!$A:$C,3,0),6)),-TRUNC(BH36/VLOOKUP("PCS-OzTL40",ARBOR!$A:$C,3,0)-1,4)+0.0001,-TRUNC(BH36/VLOOKUP("PCS-OzTL40",ARBOR!$A:$C,3,0)-1,4)))))</f>
        <v/>
      </c>
      <c r="BJ36" s="10" t="str">
        <f>IF(ISERROR(IF(BI36="","",VLOOKUP((BC36&amp;BI36&amp;"Template desconto FLAT Plano Principal Oi TV nível conta"),BENEFICIOS!$A:$G,5,0))),"Criar",IF(BI36="","",VLOOKUP((BC36&amp;BI36&amp;"Template desconto FLAT Plano Principal Oi TV nível conta"),BENEFICIOS!$A:$G,5,0)))</f>
        <v/>
      </c>
      <c r="BK36" s="8"/>
      <c r="BL36" s="3" t="str">
        <f>IF(BK36=0,"",IF(BK36=VLOOKUP("PCS-OzTL41",ARBOR!$A:$C,3,0),0.0001,IF(BK36&gt;VLOOKUP("PCS-OzTL41",ARBOR!$A:$C,3,0),"Maior que CAP!",IF((DOLLAR(BK36+(VLOOKUP("PCS-OzTL41",ARBOR!$A:$C,3,0)*-TRUNC(BK36/VLOOKUP("PCS-OzTL41",ARBOR!$A:$C,3,0)-1,4)),6))&lt;&gt;(DOLLAR(VLOOKUP("PCS-OzTL41",ARBOR!$A:$C,3,0),6)),-TRUNC(BK36/VLOOKUP("PCS-OzTL41",ARBOR!$A:$C,3,0)-1,4)+0.0001,-TRUNC(BK36/VLOOKUP("PCS-OzTL41",ARBOR!$A:$C,3,0)-1,4)))))</f>
        <v/>
      </c>
      <c r="BM36" s="28" t="str">
        <f>IF(ISERROR(IF(BL36="","",VLOOKUP((BC36&amp;BL36&amp;"Template desconto FLAT Plano Principal Oi TV nível conta"),BENEFICIOS!$A:$G,5,0))),"Criar",IF(BL36="","",VLOOKUP((BC36&amp;BL36&amp;"Template desconto FLAT Plano Principal Oi TV nível conta"),BENEFICIOS!$A:$G,5,0)))</f>
        <v/>
      </c>
      <c r="BN36" s="8"/>
      <c r="BO36" s="3" t="str">
        <f>IF(BN36=0,"",IF(BN36=VLOOKUP("PCS-OzTL44",ARBOR!$A:$C,3,0),0.0001,IF(BN36&gt;VLOOKUP("PCS-OzTL44",ARBOR!$A:$C,3,0),"Maior que CAP!",IF((DOLLAR(BN36+(VLOOKUP("PCS-OzTL44",ARBOR!$A:$C,3,0)*-TRUNC(BN36/VLOOKUP("PCS-OzTL44",ARBOR!$A:$C,3,0)-1,4)),6))&lt;&gt;(DOLLAR(VLOOKUP("PCS-OzTL44",ARBOR!$A:$C,3,0),6)),-TRUNC(BN36/VLOOKUP("PCS-OzTL44",ARBOR!$A:$C,3,0)-1,4)+0.0001,-TRUNC(BN36/VLOOKUP("PCS-OzTL44",ARBOR!$A:$C,3,0)-1,4)))))</f>
        <v/>
      </c>
      <c r="BP36" s="28" t="str">
        <f>IF(ISERROR(IF(BO36="","",VLOOKUP((BC36&amp;BO36&amp;"Template desconto FLAT Plano Principal Oi TV nível conta"),BENEFICIOS!$A:$G,5,0))),"Criar",IF(BO36="","",VLOOKUP((BC36&amp;BO36&amp;"Template desconto FLAT Plano Principal Oi TV nível conta"),BENEFICIOS!$A:$G,5,0)))</f>
        <v/>
      </c>
      <c r="BQ36" s="8"/>
      <c r="BR36" s="3" t="str">
        <f>IF(BQ36=0,"",IF(BQ36=VLOOKUP("PCS-OzTL43",ARBOR!$A:$C,3,0),0.0001,IF(BQ36&gt;VLOOKUP("PCS-OzTL43",ARBOR!$A:$C,3,0),"Maior que CAP!",IF((DOLLAR(BQ36+(VLOOKUP("PCS-OzTL43",ARBOR!$A:$C,3,0)*-TRUNC(BQ36/VLOOKUP("PCS-OzTL43",ARBOR!$A:$C,3,0)-1,4)),6))&lt;&gt;(DOLLAR(VLOOKUP("PCS-OzTL43",ARBOR!$A:$C,3,0),6)),-TRUNC(BQ36/VLOOKUP("PCS-OzTL43",ARBOR!$A:$C,3,0)-1,4)+0.0001,-TRUNC(BQ36/VLOOKUP("PCS-OzTL43",ARBOR!$A:$C,3,0)-1,4)))))</f>
        <v/>
      </c>
      <c r="BS36" s="28" t="str">
        <f>IF(ISERROR(IF(BR36="","",VLOOKUP((BC36&amp;BR36&amp;"Template desconto FLAT Plano Principal Oi TV nível conta"),BENEFICIOS!$A:$G,5,0))),"Criar",IF(BR36="","",VLOOKUP((BC36&amp;BR36&amp;"Template desconto FLAT Plano Principal Oi TV nível conta"),BENEFICIOS!$A:$G,5,0)))</f>
        <v/>
      </c>
      <c r="BT36" s="8"/>
      <c r="BU36" s="3" t="str">
        <f>IF(BT36=0,"",IF(BT36=VLOOKUP("PCS-OzTL45",ARBOR!$A:$C,3,0),0.0001,IF(BT36&gt;VLOOKUP("PCS-OzTL45",ARBOR!$A:$C,3,0),"Maior que CAP!",IF((DOLLAR(BT36+(VLOOKUP("PCS-OzTL45",ARBOR!$A:$C,3,0)*-TRUNC(BT36/VLOOKUP("PCS-OzTL45",ARBOR!$A:$C,3,0)-1,4)),6))&lt;&gt;(DOLLAR(VLOOKUP("PCS-OzTL45",ARBOR!$A:$C,3,0),6)),-TRUNC(BT36/VLOOKUP("PCS-OzTL45",ARBOR!$A:$C,3,0)-1,4)+0.0001,-TRUNC(BT36/VLOOKUP("PCS-OzTL45",ARBOR!$A:$C,3,0)-1,4)))))</f>
        <v/>
      </c>
      <c r="BV36" s="28" t="str">
        <f>IF(ISERROR(IF(BU36="","",VLOOKUP((BC36&amp;BU36&amp;"Template desconto FLAT Plano Principal Oi TV nível conta"),BENEFICIOS!$A:$G,5,0))),"Criar",IF(BU36="","",VLOOKUP((BC36&amp;BU36&amp;"Template desconto FLAT Plano Principal Oi TV nível conta"),BENEFICIOS!$A:$G,5,0)))</f>
        <v/>
      </c>
      <c r="BW36" s="8"/>
      <c r="BX36" s="3" t="str">
        <f>IF(BW36=0,"",IF(BW36=VLOOKUP("PCS-OzTL741",ARBOR!$A:$C,3,0),0.0001,IF(BW36&gt;VLOOKUP("PCS-OzTL741",ARBOR!$A:$C,3,0),"Maior que CAP!",IF((DOLLAR(BW36+(VLOOKUP("PCS-OzTL741",ARBOR!$A:$C,3,0)*-TRUNC(BW36/VLOOKUP("PCS-OzTL741",ARBOR!$A:$C,3,0)-1,4)),6))&lt;&gt;(DOLLAR(VLOOKUP("PCS-OzTL741",ARBOR!$A:$C,3,0),6)),-TRUNC(BW36/VLOOKUP("PCS-OzTL741",ARBOR!$A:$C,3,0)-1,4)+0.0001,-TRUNC(BW36/VLOOKUP("PCS-OzTL741",ARBOR!$A:$C,3,0)-1,4)))))</f>
        <v/>
      </c>
      <c r="BY36" s="28" t="str">
        <f>IF(ISERROR(IF(BX36="","",VLOOKUP((BC36&amp;BX36&amp;"Template desconto FLAT Plano Principal Oi TV nível conta"),BENEFICIOS!$A:$G,5,0))),"Criar",IF(BX36="","",VLOOKUP((BC36&amp;BX36&amp;"Template desconto FLAT Plano Principal Oi TV nível conta"),BENEFICIOS!$A:$G,5,0)))</f>
        <v/>
      </c>
      <c r="BZ36" s="8"/>
      <c r="CA36" s="3" t="str">
        <f>IF(BZ36=0,"",IF(BZ36=VLOOKUP("PCS-OzTL744",ARBOR!$A:$C,3,0),0.0001,IF(BZ36&gt;VLOOKUP("PCS-OzTL744",ARBOR!$A:$C,3,0),"Maior que CAP!",IF((DOLLAR(BZ36+(VLOOKUP("PCS-OzTL744",ARBOR!$A:$C,3,0)*-TRUNC(BZ36/VLOOKUP("PCS-OzTL744",ARBOR!$A:$C,3,0)-1,4)),6))&lt;&gt;(DOLLAR(VLOOKUP("PCS-OzTL744",ARBOR!$A:$C,3,0),6)),-TRUNC(BZ36/VLOOKUP("PCS-OzTL744",ARBOR!$A:$C,3,0)-1,4)+0.0001,-TRUNC(BZ36/VLOOKUP("PCS-OzTL744",ARBOR!$A:$C,3,0)-1,4)))))</f>
        <v/>
      </c>
      <c r="CB36" s="28" t="str">
        <f>IF(ISERROR(IF(CA36="","",VLOOKUP(($BC36&amp;CA36&amp;"Template desconto FLAT Plano Principal Oi TV nível conta"),BENEFICIOS!$A:$G,5,0))),"Criar",IF(CA36="","",VLOOKUP(($BC36&amp;CA36&amp;"Template desconto FLAT Plano Principal Oi TV nível conta"),BENEFICIOS!$A:$G,5,0)))</f>
        <v/>
      </c>
      <c r="CC36" s="8"/>
      <c r="CD36" s="3" t="str">
        <f>IF(CC36=0,"",IF(CC36=VLOOKUP("PCS-OzTL743",ARBOR!$A:$C,3,0),0.0001,IF(CC36&gt;VLOOKUP("PCS-OzTL743",ARBOR!$A:$C,3,0),"Maior que CAP!",IF((DOLLAR(CC36+(VLOOKUP("PCS-OzTL743",ARBOR!$A:$C,3,0)*-TRUNC(CC36/VLOOKUP("PCS-OzTL743",ARBOR!$A:$C,3,0)-1,4)),6))&lt;&gt;(DOLLAR(VLOOKUP("PCS-OzTL743",ARBOR!$A:$C,3,0),6)),-TRUNC(CC36/VLOOKUP("PCS-OzTL743",ARBOR!$A:$C,3,0)-1,4)+0.0001,-TRUNC(CC36/VLOOKUP("PCS-OzTL743",ARBOR!$A:$C,3,0)-1,4)))))</f>
        <v/>
      </c>
      <c r="CE36" s="28" t="str">
        <f>IF(ISERROR(IF(CD36="","",VLOOKUP(($BC36&amp;CD36&amp;"Template desconto FLAT Plano Principal Oi TV nível conta"),BENEFICIOS!$A:$G,5,0))),"Criar",IF(CD36="","",VLOOKUP(($BC36&amp;CD36&amp;"Template desconto FLAT Plano Principal Oi TV nível conta"),BENEFICIOS!$A:$G,5,0)))</f>
        <v/>
      </c>
      <c r="CF36" s="8"/>
      <c r="CG36" s="3" t="str">
        <f>IF(CF36=0,"",IF(CF36=VLOOKUP("PCS-OzTL745",ARBOR!$A:$C,3,0),0.0001,IF(CF36&gt;VLOOKUP("PCS-OzTL745",ARBOR!$A:$C,3,0),"Maior que CAP!",IF((DOLLAR(CF36+(VLOOKUP("PCS-OzTL745",ARBOR!$A:$C,3,0)*-TRUNC(CF36/VLOOKUP("PCS-OzTL745",ARBOR!$A:$C,3,0)-1,4)),6))&lt;&gt;(DOLLAR(VLOOKUP("PCS-OzTL745",ARBOR!$A:$C,3,0),6)),-TRUNC(CF36/VLOOKUP("PCS-OzTL745",ARBOR!$A:$C,3,0)-1,4)+0.0001,-TRUNC(CF36/VLOOKUP("PCS-OzTL745",ARBOR!$A:$C,3,0)-1,4)))))</f>
        <v/>
      </c>
      <c r="CH36" s="28" t="str">
        <f>IF(ISERROR(IF(CG36="","",VLOOKUP(($BC36&amp;CG36&amp;"Template desconto FLAT Plano Principal Oi TV nível conta"),BENEFICIOS!$A:$G,5,0))),"Criar",IF(CG36="","",VLOOKUP(($BC36&amp;CG36&amp;"Template desconto FLAT Plano Principal Oi TV nível conta"),BENEFICIOS!$A:$G,5,0)))</f>
        <v/>
      </c>
      <c r="CI36" s="8"/>
      <c r="CJ36" s="3" t="str">
        <f>IF(CI36=0,"",IF(CI36=VLOOKUP("PCS-OzTL42",ARBOR!$A:$C,3,0),0.0001,IF(CI36&gt;VLOOKUP("PCS-OzTL42",ARBOR!$A:$C,3,0),"Maior que CAP!",IF((DOLLAR(CI36+(VLOOKUP("PCS-OzTL42",ARBOR!$A:$C,3,0)*-TRUNC(CI36/VLOOKUP("PCS-OzTL42",ARBOR!$A:$C,3,0)-1,4)),6))&lt;&gt;(DOLLAR(VLOOKUP("PCS-OzTL42",ARBOR!$A:$C,3,0),6)),-TRUNC(CI36/VLOOKUP("PCS-OzTL42",ARBOR!$A:$C,3,0)-1,4)+0.0001,-TRUNC(CI36/VLOOKUP("PCS-OzTL42",ARBOR!$A:$C,3,0)-1,4)))))</f>
        <v/>
      </c>
      <c r="CK36" s="28" t="str">
        <f>IF(ISERROR(IF(CJ36="","",VLOOKUP(($BC36&amp;CJ36&amp;"Template desconto FLAT Plano Principal Oi TV nível conta"),BENEFICIOS!$A:$G,5,0))),"Criar",IF(CJ36="","",VLOOKUP(($BC36&amp;CJ36&amp;"Template desconto FLAT Plano Principal Oi TV nível conta"),BENEFICIOS!$A:$G,5,0)))</f>
        <v/>
      </c>
      <c r="CL36" s="8"/>
      <c r="CM36" s="3" t="str">
        <f>IF(CL36=0,"",IF(CL36=VLOOKUP("PCS-OzTL47",ARBOR!$A:$C,3,0),0.0001,IF(CL36&gt;VLOOKUP("PCS-OzTL47",ARBOR!$A:$C,3,0),"Maior que CAP!",IF((DOLLAR(CL36+(VLOOKUP("PCS-OzTL47",ARBOR!$A:$C,3,0)*-TRUNC(CL36/VLOOKUP("PCS-OzTL47",ARBOR!$A:$C,3,0)-1,4)),6))&lt;&gt;(DOLLAR(VLOOKUP("PCS-OzTL47",ARBOR!$A:$C,3,0),6)),-TRUNC(CL36/VLOOKUP("PCS-OzTL47",ARBOR!$A:$C,3,0)-1,4)+0.0001,-TRUNC(CL36/VLOOKUP("PCS-OzTL47",ARBOR!$A:$C,3,0)-1,4)))))</f>
        <v/>
      </c>
      <c r="CN36" s="28" t="str">
        <f>IF(ISERROR(IF(CM36="","",VLOOKUP(($BC36&amp;CM36&amp;"Template desconto FLAT Plano Principal Oi TV nível conta"),BENEFICIOS!$A:$G,5,0))),"Criar",IF(CM36="","",VLOOKUP(($BC36&amp;CM36&amp;"Template desconto FLAT Plano Principal Oi TV nível conta"),BENEFICIOS!$A:$G,5,0)))</f>
        <v/>
      </c>
      <c r="CO36" s="8"/>
      <c r="CP36" s="3" t="str">
        <f>IF(CO36=0,"",IF(CO36=VLOOKUP("PCS-OzTL46",ARBOR!$A:$C,3,0),0.0001,IF(CO36&gt;VLOOKUP("PCS-OzTL46",ARBOR!$A:$C,3,0),"Maior que CAP!",IF((DOLLAR(CO36+(VLOOKUP("PCS-OzTL46",ARBOR!$A:$C,3,0)*-TRUNC(CO36/VLOOKUP("PCS-OzTL46",ARBOR!$A:$C,3,0)-1,4)),6))&lt;&gt;(DOLLAR(VLOOKUP("PCS-OzTL46",ARBOR!$A:$C,3,0),6)),-TRUNC(CO36/VLOOKUP("PCS-OzTL46",ARBOR!$A:$C,3,0)-1,4)+0.0001,-TRUNC(CO36/VLOOKUP("PCS-OzTL46",ARBOR!$A:$C,3,0)-1,4)))))</f>
        <v/>
      </c>
      <c r="CQ36" s="28" t="str">
        <f>IF(ISERROR(IF(CP36="","",VLOOKUP(($BC36&amp;CP36&amp;"Template desconto FLAT Plano Principal Oi TV nível conta"),BENEFICIOS!$A:$G,5,0))),"Criar",IF(CP36="","",VLOOKUP(($BC36&amp;CP36&amp;"Template desconto FLAT Plano Principal Oi TV nível conta"),BENEFICIOS!$A:$G,5,0)))</f>
        <v/>
      </c>
      <c r="CR36" s="8"/>
      <c r="CS36" s="3" t="str">
        <f>IF(CR36=0,"",IF(CR36=VLOOKUP("PCS-OzTL48",ARBOR!$A:$C,3,0),0.0001,IF(CR36&gt;VLOOKUP("PCS-OzTL48",ARBOR!$A:$C,3,0),"Maior que CAP!",IF((DOLLAR(CR36+(VLOOKUP("PCS-OzTL48",ARBOR!$A:$C,3,0)*-TRUNC(CR36/VLOOKUP("PCS-OzTL48",ARBOR!$A:$C,3,0)-1,4)),6))&lt;&gt;(DOLLAR(VLOOKUP("PCS-OzTL48",ARBOR!$A:$C,3,0),6)),-TRUNC(CR36/VLOOKUP("PCS-OzTL48",ARBOR!$A:$C,3,0)-1,4)+0.0001,-TRUNC(CR36/VLOOKUP("PCS-OzTL48",ARBOR!$A:$C,3,0)-1,4)))))</f>
        <v/>
      </c>
      <c r="CT36" s="28" t="str">
        <f>IF(ISERROR(IF(CS36="","",VLOOKUP(($BC36&amp;CS36&amp;"Template desconto FLAT Plano Principal Oi TV nível conta"),BENEFICIOS!$A:$G,5,0))),"Criar",IF(CS36="","",VLOOKUP(($BC36&amp;CS36&amp;"Template desconto FLAT Plano Principal Oi TV nível conta"),BENEFICIOS!$A:$G,5,0)))</f>
        <v/>
      </c>
      <c r="CU36" s="8"/>
      <c r="CV36" s="3" t="str">
        <f>IF(CU36=0,"",IF(CU36=VLOOKUP("PCS-OzTL742",ARBOR!$A:$C,3,0),0.0001,IF(CU36&gt;VLOOKUP("PCS-OzTL742",ARBOR!$A:$C,3,0),"Maior que CAP!",IF((DOLLAR(CU36+(VLOOKUP("PCS-OzTL742",ARBOR!$A:$C,3,0)*-TRUNC(CU36/VLOOKUP("PCS-OzTL742",ARBOR!$A:$C,3,0)-1,4)),6))&lt;&gt;(DOLLAR(VLOOKUP("PCS-OzTL742",ARBOR!$A:$C,3,0),6)),-TRUNC(CU36/VLOOKUP("PCS-OzTL742",ARBOR!$A:$C,3,0)-1,4)+0.0001,-TRUNC(CU36/VLOOKUP("PCS-OzTL742",ARBOR!$A:$C,3,0)-1,4)))))</f>
        <v/>
      </c>
      <c r="CW36" s="28" t="str">
        <f>IF(ISERROR(IF(CV36="","",VLOOKUP(($BC36&amp;CV36&amp;"Template desconto FLAT Plano Principal Oi TV nível conta"),BENEFICIOS!$A:$G,5,0))),"Criar",IF(CV36="","",VLOOKUP(($BC36&amp;CV36&amp;"Template desconto FLAT Plano Principal Oi TV nível conta"),BENEFICIOS!$A:$G,5,0)))</f>
        <v/>
      </c>
      <c r="CX36" s="8"/>
      <c r="CY36" s="3" t="str">
        <f>IF(CX36=0,"",IF(CX36=VLOOKUP("PCS-OzTL747",ARBOR!$A:$C,3,0),0.0001,IF(CX36&gt;VLOOKUP("PCS-OzTL747",ARBOR!$A:$C,3,0),"Maior que CAP!",IF((DOLLAR(CX36+(VLOOKUP("PCS-OzTL747",ARBOR!$A:$C,3,0)*-TRUNC(CX36/VLOOKUP("PCS-OzTL747",ARBOR!$A:$C,3,0)-1,4)),6))&lt;&gt;(DOLLAR(VLOOKUP("PCS-OzTL747",ARBOR!$A:$C,3,0),6)),-TRUNC(CX36/VLOOKUP("PCS-OzTL747",ARBOR!$A:$C,3,0)-1,4)+0.0001,-TRUNC(CX36/VLOOKUP("PCS-OzTL747",ARBOR!$A:$C,3,0)-1,4)))))</f>
        <v/>
      </c>
      <c r="CZ36" s="28" t="str">
        <f>IF(ISERROR(IF(CY36="","",VLOOKUP(($BC36&amp;CY36&amp;"Template desconto FLAT Plano Principal Oi TV nível conta"),BENEFICIOS!$A:$G,5,0))),"Criar",IF(CY36="","",VLOOKUP(($BC36&amp;CY36&amp;"Template desconto FLAT Plano Principal Oi TV nível conta"),BENEFICIOS!$A:$G,5,0)))</f>
        <v/>
      </c>
      <c r="DA36" s="8"/>
      <c r="DB36" s="3" t="str">
        <f>IF(DA36=0,"",IF(DA36=VLOOKUP("PCS-OzTL746",ARBOR!$A:$C,3,0),0.0001,IF(DA36&gt;VLOOKUP("PCS-OzTL746",ARBOR!$A:$C,3,0),"Maior que CAP!",IF((DOLLAR(DA36+(VLOOKUP("PCS-OzTL746",ARBOR!$A:$C,3,0)*-TRUNC(DA36/VLOOKUP("PCS-OzTL746",ARBOR!$A:$C,3,0)-1,4)),6))&lt;&gt;(DOLLAR(VLOOKUP("PCS-OzTL746",ARBOR!$A:$C,3,0),6)),-TRUNC(DA36/VLOOKUP("PCS-OzTL746",ARBOR!$A:$C,3,0)-1,4)+0.0001,-TRUNC(DA36/VLOOKUP("PCS-OzTL746",ARBOR!$A:$C,3,0)-1,4)))))</f>
        <v/>
      </c>
      <c r="DC36" s="28" t="str">
        <f>IF(ISERROR(IF(DB36="","",VLOOKUP(($BC36&amp;DB36&amp;"Template desconto FLAT Plano Principal Oi TV nível conta"),BENEFICIOS!$A:$G,5,0))),"Criar",IF(DB36="","",VLOOKUP(($BC36&amp;DB36&amp;"Template desconto FLAT Plano Principal Oi TV nível conta"),BENEFICIOS!$A:$G,5,0)))</f>
        <v/>
      </c>
      <c r="DD36" s="8"/>
      <c r="DE36" s="3" t="str">
        <f>IF(DD36=0,"",IF(DD36=VLOOKUP("PCS-OzTL748",ARBOR!$A:$C,3,0),0.0001,IF(DD36&gt;VLOOKUP("PCS-OzTL748",ARBOR!$A:$C,3,0),"Maior que CAP!",IF((DOLLAR(DD36+(VLOOKUP("PCS-OzTL748",ARBOR!$A:$C,3,0)*-TRUNC(DD36/VLOOKUP("PCS-OzTL748",ARBOR!$A:$C,3,0)-1,4)),6))&lt;&gt;(DOLLAR(VLOOKUP("PCS-OzTL748",ARBOR!$A:$C,3,0),6)),-TRUNC(DD36/VLOOKUP("PCS-OzTL748",ARBOR!$A:$C,3,0)-1,4)+0.0001,-TRUNC(DD36/VLOOKUP("PCS-OzTL748",ARBOR!$A:$C,3,0)-1,4)))))</f>
        <v/>
      </c>
      <c r="DF36" s="28" t="str">
        <f>IF(ISERROR(IF(DE36="","",VLOOKUP(($BC36&amp;DE36&amp;"Template desconto FLAT Plano Principal Oi TV nível conta"),BENEFICIOS!$A:$G,5,0))),"Criar",IF(DE36="","",VLOOKUP(($BC36&amp;DE36&amp;"Template desconto FLAT Plano Principal Oi TV nível conta"),BENEFICIOS!$A:$G,5,0)))</f>
        <v/>
      </c>
      <c r="DG36" s="8"/>
      <c r="DH36" s="3" t="str">
        <f>IF(DG36=0,"",IF(DG36=VLOOKUP("PCS-OzTL34",ARBOR!$A:$C,3,0),0.0001,IF(DG36&gt;VLOOKUP("PCS-OzTL34",ARBOR!$A:$C,3,0),"Maior que CAP!",IF((DOLLAR(DG36+(VLOOKUP("PCS-OzTL34",ARBOR!$A:$C,3,0)*-TRUNC(DG36/VLOOKUP("PCS-OzTL34",ARBOR!$A:$C,3,0)-1,4)),6))&lt;&gt;(DOLLAR(VLOOKUP("PCS-OzTL34",ARBOR!$A:$C,3,0),6)),-TRUNC(DG36/VLOOKUP("PCS-OzTL34",ARBOR!$A:$C,3,0)-1,4)+0.0001,-TRUNC(DG36/VLOOKUP("PCS-OzTL34",ARBOR!$A:$C,3,0)-1,4)))))</f>
        <v/>
      </c>
      <c r="DI36" s="28" t="str">
        <f>IF(DH36="S/Desc","S/Desc",IF(ISERROR(IF(DH36="","",VLOOKUP(($BC36&amp;DH36&amp;"Template desconto % Combate nível conta"),BENEFICIOS!$A:$G,5,0))),"Criar",IF(DH36="","",VLOOKUP(($BC36&amp;DH36&amp;"Template desconto % Combate nível conta"),BENEFICIOS!$A:$G,5,0))))</f>
        <v/>
      </c>
      <c r="DJ36" s="8"/>
      <c r="DK36" s="3" t="str">
        <f>IF(DJ36=0,"",IF(DJ36=VLOOKUP("PCS-OzTL31",ARBOR!$A:$C,3,0),0.0001,IF(DJ36&gt;VLOOKUP("PCS-OzTL31",ARBOR!$A:$C,3,0),"Maior que CAP!",IF((DOLLAR(DJ36+(VLOOKUP("PCS-OzTL31",ARBOR!$A:$C,3,0)*-TRUNC(DJ36/VLOOKUP("PCS-OzTL31",ARBOR!$A:$C,3,0)-1,4)),6))&lt;&gt;(DOLLAR(VLOOKUP("PCS-OzTL31",ARBOR!$A:$C,3,0),6)),-TRUNC(DJ36/VLOOKUP("PCS-OzTL31",ARBOR!$A:$C,3,0)-1,4)+0.0001,-TRUNC(DJ36/VLOOKUP("PCS-OzTL31",ARBOR!$A:$C,3,0)-1,4)))))</f>
        <v/>
      </c>
      <c r="DL36" s="28" t="str">
        <f>IF(DK36="S/Desc","S/Desc",IF(ISERROR(IF(DK36="","",VLOOKUP(($BC36&amp;DK36&amp;"Template desconto % Sexy Hot nível conta"),BENEFICIOS!$A:$G,5,0))),"Criar",IF(DK36="","",VLOOKUP(($BC36&amp;DK36&amp;"Template desconto % Sexy Hot nível conta"),BENEFICIOS!$A:$G,5,0))))</f>
        <v/>
      </c>
      <c r="DM36" s="8"/>
      <c r="DN36" s="3" t="str">
        <f>IF(DM36=0,"",IF(DM36=VLOOKUP("PCS-OzTL32",ARBOR!$A:$C,3,0),0.0001,IF(DM36&gt;VLOOKUP("PCS-OzTL32",ARBOR!$A:$C,3,0),"Maior que CAP!",IF((DOLLAR(DM36+(VLOOKUP("PCS-OzTL32",ARBOR!$A:$C,3,0)*-TRUNC(DM36/VLOOKUP("PCS-OzTL32",ARBOR!$A:$C,3,0)-1,4)),6))&lt;&gt;(DOLLAR(VLOOKUP("PCS-OzTL32",ARBOR!$A:$C,3,0),6)),-TRUNC(DM36/VLOOKUP("PCS-OzTL32",ARBOR!$A:$C,3,0)-1,4)+0.0001,-TRUNC(DM36/VLOOKUP("PCS-OzTL32",ARBOR!$A:$C,3,0)-1,4)))))</f>
        <v/>
      </c>
      <c r="DO36" s="28" t="str">
        <f>IF(DN36="S/Desc","S/Desc",IF(ISERROR(IF(DN36="","",VLOOKUP(($BC36&amp;DN36&amp;"Template desconto % Playboy nível conta"),BENEFICIOS!$A:$G,5,0))),"Criar",IF(DN36="","",VLOOKUP(($BC36&amp;DN36&amp;"Template desconto % Playboy nível conta"),BENEFICIOS!$A:$G,5,0))))</f>
        <v/>
      </c>
      <c r="DP36" s="8"/>
      <c r="DQ36" s="3" t="str">
        <f>IF(DP36=0,"",IF(DP36=VLOOKUP("PCS-OzTL33",ARBOR!$A:$C,3,0),0.0001,IF(DP36&gt;VLOOKUP("PCS-OzTL33",ARBOR!$A:$C,3,0),"Maior que CAP!",IF((DOLLAR(DP36+(VLOOKUP("PCS-OzTL33",ARBOR!$A:$C,3,0)*-TRUNC(DP36/VLOOKUP("PCS-OzTL33",ARBOR!$A:$C,3,0)-1,4)),6))&lt;&gt;(DOLLAR(VLOOKUP("PCS-OzTL33",ARBOR!$A:$C,3,0),6)),-TRUNC(DP36/VLOOKUP("PCS-OzTL33",ARBOR!$A:$C,3,0)-1,4)+0.0001,-TRUNC(DP36/VLOOKUP("PCS-OzTL33",ARBOR!$A:$C,3,0)-1,4)))))</f>
        <v/>
      </c>
      <c r="DR36" s="28" t="str">
        <f>IF(DQ36="S/Desc","S/Desc",IF(ISERROR(IF(DQ36="","",VLOOKUP(($BC36&amp;DQ36&amp;"Template desconto % Sexy Hot + Playboy nível conta"),BENEFICIOS!$A:$G,5,0))),"Criar",IF(DQ36="","",VLOOKUP(($BC36&amp;DQ36&amp;"Template desconto % Sexy Hot + Playboy nível conta"),BENEFICIOS!$A:$G,5,0))))</f>
        <v/>
      </c>
      <c r="DS36" s="8"/>
      <c r="DT36" s="3" t="str">
        <f>IF(DS36=0,"",IF(DS36=VLOOKUP("PCS-OzTL503",ARBOR!$A:$C,3,0),0.0001,IF(DS36&gt;VLOOKUP("PCS-OzTL503",ARBOR!$A:$C,3,0),"Maior que CAP!",IF((DOLLAR(DS36+(VLOOKUP("PCS-OzTL503",ARBOR!$A:$C,3,0)*-TRUNC(DS36/VLOOKUP("PCS-OzTL503",ARBOR!$A:$C,3,0)-1,4)),6))&lt;&gt;(DOLLAR(VLOOKUP("PCS-OzTL503",ARBOR!$A:$C,3,0),6)),-TRUNC(DS36/VLOOKUP("PCS-OzTL503",ARBOR!$A:$C,3,0)-1,4)+0.0001,-TRUNC(DS36/VLOOKUP("PCS-OzTL503",ARBOR!$A:$C,3,0)-1,4)))))</f>
        <v/>
      </c>
      <c r="DU36" s="28" t="str">
        <f>IF(DT36="S/Desc","S/Desc",IF(ISERROR(IF(DT36="","",VLOOKUP(($BC36&amp;DT36&amp;"Template desconto % SexPrivê nível conta"),BENEFICIOS!$A:$G,5,0))),"Criar",IF(DT36="","",VLOOKUP(($BC36&amp;DT36&amp;"Template desconto % SexPrivê nível conta"),BENEFICIOS!$A:$G,5,0))))</f>
        <v/>
      </c>
      <c r="DV36" s="8"/>
      <c r="DW36" s="3" t="str">
        <f>IF(DV36=0,"",IF(DV36=VLOOKUP("PCS-OzTL500",ARBOR!$A:$C,3,0),0.0001,IF(DV36&gt;VLOOKUP("PCS-OzTL500",ARBOR!$A:$C,3,0),"Maior que CAP!",IF((DOLLAR(DV36+(VLOOKUP("PCS-OzTL500",ARBOR!$A:$C,3,0)*-TRUNC(DV36/VLOOKUP("PCS-OzTL500",ARBOR!$A:$C,3,0)-1,4)),6))&lt;&gt;(DOLLAR(VLOOKUP("PCS-OzTL500",ARBOR!$A:$C,3,0),6)),-TRUNC(DV36/VLOOKUP("PCS-OzTL500",ARBOR!$A:$C,3,0)-1,4)+0.0001,-TRUNC(DV36/VLOOKUP("PCS-OzTL500",ARBOR!$A:$C,3,0)-1,4)))))</f>
        <v/>
      </c>
      <c r="DX36" s="28" t="str">
        <f>IF(DW36="S/Desc","S/Desc",IF(ISERROR(IF(DW36="","",VLOOKUP(($BC36&amp;DW36&amp;"Template desconto % Étnico nível conta"),BENEFICIOS!$A:$G,5,0))),"Criar",IF(DW36="","",VLOOKUP(($BC36&amp;DW36&amp;"Template desconto % Étnico nível conta"),BENEFICIOS!$A:$G,5,0))))</f>
        <v/>
      </c>
      <c r="DY36" s="8"/>
      <c r="DZ36" s="181" t="str">
        <f>IF(DY36=0,"",IF(DY36=VLOOKUP("PCS-OzTL50",ARBOR!$A:$C,3,0),0.0001,IF(DY36&gt;VLOOKUP("PCS-OzTL50",ARBOR!$A:$C,3,0),"Maior que CAP!",IF((DOLLAR(DY36+(VLOOKUP("PCS-OzTL50",ARBOR!$A:$C,3,0)*-TRUNC(DY36/VLOOKUP("PCS-OzTL50",ARBOR!$A:$C,3,0)-1,4)),6))&lt;&gt;(DOLLAR(VLOOKUP("PCS-OzTL50",ARBOR!$A:$C,3,0),6)),-TRUNC(DY36/VLOOKUP("PCS-OzTL50",ARBOR!$A:$C,3,0)-1,4)+0.0001,-TRUNC(DY36/VLOOKUP("PCS-OzTL50",ARBOR!$A:$C,3,0)-1,4)))))</f>
        <v/>
      </c>
      <c r="EA36" s="28"/>
      <c r="EB36" s="8"/>
      <c r="EC36" s="181" t="str">
        <f>IF(EB36=0,"",IF(EB36=VLOOKUP("PCS-OzTL51",ARBOR!$A:$C,3,0),0.0001,IF(EB36&gt;VLOOKUP("PCS-OzTL51",ARBOR!$A:$C,3,0),"Maior que CAP!",IF((DOLLAR(EB36+(VLOOKUP("PCS-OzTL51",ARBOR!$A:$C,3,0)*-TRUNC(EB36/VLOOKUP("PCS-OzTL51",ARBOR!$A:$C,3,0)-1,4)),6))&lt;&gt;(DOLLAR(VLOOKUP("PCS-OzTL51",ARBOR!$A:$C,3,0),6)),-TRUNC(EB36/VLOOKUP("PCS-OzTL51",ARBOR!$A:$C,3,0)-1,4)+0.0001,-TRUNC(EB36/VLOOKUP("PCS-OzTL51",ARBOR!$A:$C,3,0)-1,4)))))</f>
        <v/>
      </c>
      <c r="ED36" s="28"/>
      <c r="EE36" s="8"/>
      <c r="EF36" s="181" t="str">
        <f>IF(EE36=0,"",IF(EE36=VLOOKUP("PCS-OzTL52",ARBOR!$A:$C,3,0),0.0001,IF(EE36&gt;VLOOKUP("PCS-OzTL52",ARBOR!$A:$C,3,0),"Maior que CAP!",IF((DOLLAR(EE36+(VLOOKUP("PCS-OzTL52",ARBOR!$A:$C,3,0)*-TRUNC(EE36/VLOOKUP("PCS-OzTL52",ARBOR!$A:$C,3,0)-1,4)),6))&lt;&gt;(DOLLAR(VLOOKUP("PCS-OzTL52",ARBOR!$A:$C,3,0),6)),-TRUNC(EE36/VLOOKUP("PCS-OzTL52",ARBOR!$A:$C,3,0)-1,4)+0.0001,-TRUNC(EE36/VLOOKUP("PCS-OzTL52",ARBOR!$A:$C,3,0)-1,4)))))</f>
        <v/>
      </c>
      <c r="EG36" s="28"/>
      <c r="EH36" s="8"/>
      <c r="EI36" s="181" t="str">
        <f>IF(EH36=0,"",IF(EH36=VLOOKUP("PCS-OzTL53",ARBOR!$A:$C,3,0),0.0001,IF(EH36&gt;VLOOKUP("PCS-OzTL53",ARBOR!$A:$C,3,0),"Maior que CAP!",IF((DOLLAR(EH36+(VLOOKUP("PCS-OzTL53",ARBOR!$A:$C,3,0)*-TRUNC(EH36/VLOOKUP("PCS-OzTL53",ARBOR!$A:$C,3,0)-1,4)),6))&lt;&gt;(DOLLAR(VLOOKUP("PCS-OzTL53",ARBOR!$A:$C,3,0),6)),-TRUNC(EH36/VLOOKUP("PCS-OzTL53",ARBOR!$A:$C,3,0)-1,4)+0.0001,-TRUNC(EH36/VLOOKUP("PCS-OzTL53",ARBOR!$A:$C,3,0)-1,4)))))</f>
        <v/>
      </c>
      <c r="EJ36" s="28"/>
      <c r="EK36" s="8"/>
      <c r="EL36" s="181" t="str">
        <f>IF(EK36=0,"",IF(EK36=VLOOKUP("PCS-OzTL54",ARBOR!$A:$C,3,0),0.0001,IF(EK36&gt;VLOOKUP("PCS-OzTL54",ARBOR!$A:$C,3,0),"Maior que CAP!",IF((DOLLAR(EK36+(VLOOKUP("PCS-OzTL54",ARBOR!$A:$C,3,0)*-TRUNC(EK36/VLOOKUP("PCS-OzTL54",ARBOR!$A:$C,3,0)-1,4)),6))&lt;&gt;(DOLLAR(VLOOKUP("PCS-OzTL54",ARBOR!$A:$C,3,0),6)),-TRUNC(EK36/VLOOKUP("PCS-OzTL54",ARBOR!$A:$C,3,0)-1,4)+0.0001,-TRUNC(EK36/VLOOKUP("PCS-OzTL54",ARBOR!$A:$C,3,0)-1,4)))))</f>
        <v/>
      </c>
      <c r="EM36" s="28"/>
      <c r="EN36" s="8"/>
      <c r="EO36" s="3" t="str">
        <f>IF(EN36=0,"",IF(EN36=VLOOKUP("PCS-OzTL99",ARBOR!$A:$C,3,0),0.0001,IF(EN36&gt;VLOOKUP("PCS-OzTL99",ARBOR!$A:$C,3,0),"Maior que CAP!",IF((DOLLAR(EN36+(VLOOKUP("PCS-OzTL99",ARBOR!$A:$C,3,0)*-TRUNC(EN36/VLOOKUP("PCS-OzTL99",ARBOR!$A:$C,3,0)-1,4)),6))&lt;&gt;(DOLLAR(VLOOKUP("PCS-OzTL99",ARBOR!$A:$C,3,0),6)),-TRUNC(EN36/VLOOKUP("PCS-OzTL99",ARBOR!$A:$C,3,0)-1,4)+0.0001,-TRUNC(EN36/VLOOKUP("PCS-OzTL99",ARBOR!$A:$C,3,0)-1,4)))))</f>
        <v/>
      </c>
      <c r="EP36" s="28" t="str">
        <f>IF(EO36="S/Desc","S/Desc",IF(ISERROR(IF(EO36="","",VLOOKUP(($BC36&amp;EO36&amp;"Template desconto % Ponto adicional nível conta"),BENEFICIOS!$A:$G,5,0))),"Criar",IF(EO36="","",VLOOKUP(($BC36&amp;EO36&amp;"Template desconto % Ponto adicional nível conta"),BENEFICIOS!$A:$G,5,0))))</f>
        <v/>
      </c>
      <c r="EQ36" s="8"/>
      <c r="ER36" s="28" t="str">
        <f t="shared" si="23"/>
        <v/>
      </c>
      <c r="ES36" s="62"/>
      <c r="ET36" s="126"/>
      <c r="EU36" s="127"/>
      <c r="EV36" s="126"/>
      <c r="EW36" s="128" t="str">
        <f t="shared" si="24"/>
        <v/>
      </c>
      <c r="EX36" s="129" t="str">
        <f t="shared" si="25"/>
        <v/>
      </c>
      <c r="EY36" s="91" t="str">
        <f t="shared" si="26"/>
        <v/>
      </c>
      <c r="EZ36" s="85"/>
      <c r="FA36" s="97"/>
      <c r="FB36" s="91"/>
      <c r="FC36" s="85"/>
      <c r="FD36" s="97"/>
      <c r="FE36" s="91"/>
      <c r="FF36" s="87"/>
      <c r="FG36" s="144" t="str">
        <f t="shared" si="5"/>
        <v/>
      </c>
      <c r="FH36" s="144" t="str">
        <f t="shared" si="6"/>
        <v/>
      </c>
      <c r="FI36" s="144" t="str">
        <f t="shared" si="7"/>
        <v/>
      </c>
      <c r="FJ36" s="144" t="str">
        <f t="shared" si="8"/>
        <v/>
      </c>
      <c r="FK36" s="144" t="str">
        <f t="shared" si="9"/>
        <v/>
      </c>
      <c r="FL36" s="144" t="str">
        <f t="shared" si="10"/>
        <v/>
      </c>
      <c r="FM36" s="144" t="str">
        <f t="shared" si="11"/>
        <v/>
      </c>
      <c r="FN36" s="144" t="str">
        <f t="shared" si="12"/>
        <v/>
      </c>
      <c r="FO36" s="144" t="str">
        <f t="shared" si="13"/>
        <v/>
      </c>
      <c r="FP36" s="144" t="str">
        <f t="shared" si="14"/>
        <v/>
      </c>
      <c r="FQ36" s="144" t="str">
        <f t="shared" si="15"/>
        <v/>
      </c>
      <c r="FR36" s="144" t="str">
        <f t="shared" si="16"/>
        <v/>
      </c>
      <c r="FS36" s="144" t="str">
        <f t="shared" si="17"/>
        <v/>
      </c>
      <c r="FT36" s="144" t="str">
        <f t="shared" si="18"/>
        <v/>
      </c>
      <c r="FU36" s="144" t="str">
        <f t="shared" si="19"/>
        <v/>
      </c>
      <c r="FV36" s="144" t="str">
        <f t="shared" si="20"/>
        <v/>
      </c>
      <c r="FW36" s="144" t="str">
        <f t="shared" si="21"/>
        <v/>
      </c>
      <c r="FX36" s="151"/>
      <c r="FY36" s="152"/>
      <c r="FZ36" s="152"/>
      <c r="GA36" s="152"/>
      <c r="GB36" s="152"/>
      <c r="GC36" s="152"/>
      <c r="GD36" s="152"/>
      <c r="GE36" s="152"/>
      <c r="GF36" s="152"/>
      <c r="GG36" s="153"/>
    </row>
    <row r="37" spans="1:189">
      <c r="A37" s="45"/>
      <c r="B37" s="133"/>
      <c r="C37" s="133"/>
      <c r="D37" s="46"/>
      <c r="E37" s="4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9"/>
      <c r="U37" s="48"/>
      <c r="V37" s="49"/>
      <c r="W37" s="48"/>
      <c r="X37" s="48"/>
      <c r="Y37" s="48"/>
      <c r="Z37" s="48"/>
      <c r="AA37" s="49"/>
      <c r="AB37" s="48"/>
      <c r="AC37" s="50"/>
      <c r="AD37" s="48"/>
      <c r="AE37" s="48"/>
      <c r="AF37" s="48"/>
      <c r="AG37" s="48"/>
      <c r="AH37" s="48"/>
      <c r="AI37" s="48"/>
      <c r="AJ37" s="48"/>
      <c r="AK37" s="48"/>
      <c r="AL37" s="51"/>
      <c r="AM37" s="37"/>
      <c r="AN37" s="38"/>
      <c r="AO37" s="39"/>
      <c r="AP37" s="52"/>
      <c r="AQ37" s="53"/>
      <c r="AR37" s="64"/>
      <c r="AS37" s="65"/>
      <c r="AT37" s="54"/>
      <c r="AU37" s="54"/>
      <c r="AV37" s="54"/>
      <c r="AW37" s="54"/>
      <c r="AX37" s="70"/>
      <c r="AY37" s="71"/>
      <c r="AZ37" s="72"/>
      <c r="BA37" s="73"/>
      <c r="BB37" s="55"/>
      <c r="BC37" s="56"/>
      <c r="BD37" s="27" t="str">
        <f t="shared" si="22"/>
        <v/>
      </c>
      <c r="BE37" s="58"/>
      <c r="BF37" s="3" t="str">
        <f>IF(BE37=0,"",IF(BE37=VLOOKUP("FIXO",ARBOR!$A:$C,3,0),0.0001,IF(BE37&gt;VLOOKUP("FIXO",ARBOR!$A:$C,3,0),"Maior que CAP!",IF((DOLLAR(BE37+(VLOOKUP("FIXO",ARBOR!$A:$C,3,0)*-TRUNC(BE37/VLOOKUP("FIXO",ARBOR!$A:$C,3,0)-1,4)),6))&lt;&gt;(DOLLAR(VLOOKUP("FIXO",ARBOR!$A:$C,3,0),6)),-TRUNC(BE37/VLOOKUP("FIXO",ARBOR!$A:$C,3,0)-1,4)+0.0001,-TRUNC(BE37/VLOOKUP("FIXO",ARBOR!$A:$C,3,0)-1,4)))))</f>
        <v/>
      </c>
      <c r="BG37" s="10" t="str">
        <f>IF(ISERROR(IF(BF37="","",VLOOKUP(($BC37&amp;BF37&amp;"Template de desconto FLAT bundle - Fixo - Varejo - Ganho Tributário Cross"),BENEFICIOS!$A:$G,5,0))),"Criar",IF(BF37="","",VLOOKUP(($BC37&amp;BF37&amp;"Template de desconto FLAT bundle - Fixo - Varejo - Ganho Tributário Cross"),BENEFICIOS!$A:$G,5,0)))</f>
        <v/>
      </c>
      <c r="BH37" s="8"/>
      <c r="BI37" s="3" t="str">
        <f>IF(BH37=0,"",IF(BH37=VLOOKUP("PCS-OzTL40",ARBOR!$A:$C,3,0),0.0001,IF(BH37&gt;VLOOKUP("PCS-OzTL40",ARBOR!$A:$C,3,0),"Maior que CAP!",IF((DOLLAR(BH37+(VLOOKUP("PCS-OzTL40",ARBOR!$A:$C,3,0)*-TRUNC(BH37/VLOOKUP("PCS-OzTL40",ARBOR!$A:$C,3,0)-1,4)),6))&lt;&gt;(DOLLAR(VLOOKUP("PCS-OzTL40",ARBOR!$A:$C,3,0),6)),-TRUNC(BH37/VLOOKUP("PCS-OzTL40",ARBOR!$A:$C,3,0)-1,4)+0.0001,-TRUNC(BH37/VLOOKUP("PCS-OzTL40",ARBOR!$A:$C,3,0)-1,4)))))</f>
        <v/>
      </c>
      <c r="BJ37" s="10" t="str">
        <f>IF(ISERROR(IF(BI37="","",VLOOKUP((BC37&amp;BI37&amp;"Template desconto FLAT Plano Principal Oi TV nível conta"),BENEFICIOS!$A:$G,5,0))),"Criar",IF(BI37="","",VLOOKUP((BC37&amp;BI37&amp;"Template desconto FLAT Plano Principal Oi TV nível conta"),BENEFICIOS!$A:$G,5,0)))</f>
        <v/>
      </c>
      <c r="BK37" s="8"/>
      <c r="BL37" s="3" t="str">
        <f>IF(BK37=0,"",IF(BK37=VLOOKUP("PCS-OzTL41",ARBOR!$A:$C,3,0),0.0001,IF(BK37&gt;VLOOKUP("PCS-OzTL41",ARBOR!$A:$C,3,0),"Maior que CAP!",IF((DOLLAR(BK37+(VLOOKUP("PCS-OzTL41",ARBOR!$A:$C,3,0)*-TRUNC(BK37/VLOOKUP("PCS-OzTL41",ARBOR!$A:$C,3,0)-1,4)),6))&lt;&gt;(DOLLAR(VLOOKUP("PCS-OzTL41",ARBOR!$A:$C,3,0),6)),-TRUNC(BK37/VLOOKUP("PCS-OzTL41",ARBOR!$A:$C,3,0)-1,4)+0.0001,-TRUNC(BK37/VLOOKUP("PCS-OzTL41",ARBOR!$A:$C,3,0)-1,4)))))</f>
        <v/>
      </c>
      <c r="BM37" s="28" t="str">
        <f>IF(ISERROR(IF(BL37="","",VLOOKUP((BC37&amp;BL37&amp;"Template desconto FLAT Plano Principal Oi TV nível conta"),BENEFICIOS!$A:$G,5,0))),"Criar",IF(BL37="","",VLOOKUP((BC37&amp;BL37&amp;"Template desconto FLAT Plano Principal Oi TV nível conta"),BENEFICIOS!$A:$G,5,0)))</f>
        <v/>
      </c>
      <c r="BN37" s="8"/>
      <c r="BO37" s="3" t="str">
        <f>IF(BN37=0,"",IF(BN37=VLOOKUP("PCS-OzTL44",ARBOR!$A:$C,3,0),0.0001,IF(BN37&gt;VLOOKUP("PCS-OzTL44",ARBOR!$A:$C,3,0),"Maior que CAP!",IF((DOLLAR(BN37+(VLOOKUP("PCS-OzTL44",ARBOR!$A:$C,3,0)*-TRUNC(BN37/VLOOKUP("PCS-OzTL44",ARBOR!$A:$C,3,0)-1,4)),6))&lt;&gt;(DOLLAR(VLOOKUP("PCS-OzTL44",ARBOR!$A:$C,3,0),6)),-TRUNC(BN37/VLOOKUP("PCS-OzTL44",ARBOR!$A:$C,3,0)-1,4)+0.0001,-TRUNC(BN37/VLOOKUP("PCS-OzTL44",ARBOR!$A:$C,3,0)-1,4)))))</f>
        <v/>
      </c>
      <c r="BP37" s="28" t="str">
        <f>IF(ISERROR(IF(BO37="","",VLOOKUP((BC37&amp;BO37&amp;"Template desconto FLAT Plano Principal Oi TV nível conta"),BENEFICIOS!$A:$G,5,0))),"Criar",IF(BO37="","",VLOOKUP((BC37&amp;BO37&amp;"Template desconto FLAT Plano Principal Oi TV nível conta"),BENEFICIOS!$A:$G,5,0)))</f>
        <v/>
      </c>
      <c r="BQ37" s="8"/>
      <c r="BR37" s="3" t="str">
        <f>IF(BQ37=0,"",IF(BQ37=VLOOKUP("PCS-OzTL43",ARBOR!$A:$C,3,0),0.0001,IF(BQ37&gt;VLOOKUP("PCS-OzTL43",ARBOR!$A:$C,3,0),"Maior que CAP!",IF((DOLLAR(BQ37+(VLOOKUP("PCS-OzTL43",ARBOR!$A:$C,3,0)*-TRUNC(BQ37/VLOOKUP("PCS-OzTL43",ARBOR!$A:$C,3,0)-1,4)),6))&lt;&gt;(DOLLAR(VLOOKUP("PCS-OzTL43",ARBOR!$A:$C,3,0),6)),-TRUNC(BQ37/VLOOKUP("PCS-OzTL43",ARBOR!$A:$C,3,0)-1,4)+0.0001,-TRUNC(BQ37/VLOOKUP("PCS-OzTL43",ARBOR!$A:$C,3,0)-1,4)))))</f>
        <v/>
      </c>
      <c r="BS37" s="28" t="str">
        <f>IF(ISERROR(IF(BR37="","",VLOOKUP((BC37&amp;BR37&amp;"Template desconto FLAT Plano Principal Oi TV nível conta"),BENEFICIOS!$A:$G,5,0))),"Criar",IF(BR37="","",VLOOKUP((BC37&amp;BR37&amp;"Template desconto FLAT Plano Principal Oi TV nível conta"),BENEFICIOS!$A:$G,5,0)))</f>
        <v/>
      </c>
      <c r="BT37" s="8"/>
      <c r="BU37" s="3" t="str">
        <f>IF(BT37=0,"",IF(BT37=VLOOKUP("PCS-OzTL45",ARBOR!$A:$C,3,0),0.0001,IF(BT37&gt;VLOOKUP("PCS-OzTL45",ARBOR!$A:$C,3,0),"Maior que CAP!",IF((DOLLAR(BT37+(VLOOKUP("PCS-OzTL45",ARBOR!$A:$C,3,0)*-TRUNC(BT37/VLOOKUP("PCS-OzTL45",ARBOR!$A:$C,3,0)-1,4)),6))&lt;&gt;(DOLLAR(VLOOKUP("PCS-OzTL45",ARBOR!$A:$C,3,0),6)),-TRUNC(BT37/VLOOKUP("PCS-OzTL45",ARBOR!$A:$C,3,0)-1,4)+0.0001,-TRUNC(BT37/VLOOKUP("PCS-OzTL45",ARBOR!$A:$C,3,0)-1,4)))))</f>
        <v/>
      </c>
      <c r="BV37" s="28" t="str">
        <f>IF(ISERROR(IF(BU37="","",VLOOKUP((BC37&amp;BU37&amp;"Template desconto FLAT Plano Principal Oi TV nível conta"),BENEFICIOS!$A:$G,5,0))),"Criar",IF(BU37="","",VLOOKUP((BC37&amp;BU37&amp;"Template desconto FLAT Plano Principal Oi TV nível conta"),BENEFICIOS!$A:$G,5,0)))</f>
        <v/>
      </c>
      <c r="BW37" s="8"/>
      <c r="BX37" s="3" t="str">
        <f>IF(BW37=0,"",IF(BW37=VLOOKUP("PCS-OzTL741",ARBOR!$A:$C,3,0),0.0001,IF(BW37&gt;VLOOKUP("PCS-OzTL741",ARBOR!$A:$C,3,0),"Maior que CAP!",IF((DOLLAR(BW37+(VLOOKUP("PCS-OzTL741",ARBOR!$A:$C,3,0)*-TRUNC(BW37/VLOOKUP("PCS-OzTL741",ARBOR!$A:$C,3,0)-1,4)),6))&lt;&gt;(DOLLAR(VLOOKUP("PCS-OzTL741",ARBOR!$A:$C,3,0),6)),-TRUNC(BW37/VLOOKUP("PCS-OzTL741",ARBOR!$A:$C,3,0)-1,4)+0.0001,-TRUNC(BW37/VLOOKUP("PCS-OzTL741",ARBOR!$A:$C,3,0)-1,4)))))</f>
        <v/>
      </c>
      <c r="BY37" s="28" t="str">
        <f>IF(ISERROR(IF(BX37="","",VLOOKUP((BC37&amp;BX37&amp;"Template desconto FLAT Plano Principal Oi TV nível conta"),BENEFICIOS!$A:$G,5,0))),"Criar",IF(BX37="","",VLOOKUP((BC37&amp;BX37&amp;"Template desconto FLAT Plano Principal Oi TV nível conta"),BENEFICIOS!$A:$G,5,0)))</f>
        <v/>
      </c>
      <c r="BZ37" s="8"/>
      <c r="CA37" s="3" t="str">
        <f>IF(BZ37=0,"",IF(BZ37=VLOOKUP("PCS-OzTL744",ARBOR!$A:$C,3,0),0.0001,IF(BZ37&gt;VLOOKUP("PCS-OzTL744",ARBOR!$A:$C,3,0),"Maior que CAP!",IF((DOLLAR(BZ37+(VLOOKUP("PCS-OzTL744",ARBOR!$A:$C,3,0)*-TRUNC(BZ37/VLOOKUP("PCS-OzTL744",ARBOR!$A:$C,3,0)-1,4)),6))&lt;&gt;(DOLLAR(VLOOKUP("PCS-OzTL744",ARBOR!$A:$C,3,0),6)),-TRUNC(BZ37/VLOOKUP("PCS-OzTL744",ARBOR!$A:$C,3,0)-1,4)+0.0001,-TRUNC(BZ37/VLOOKUP("PCS-OzTL744",ARBOR!$A:$C,3,0)-1,4)))))</f>
        <v/>
      </c>
      <c r="CB37" s="28" t="str">
        <f>IF(ISERROR(IF(CA37="","",VLOOKUP(($BC37&amp;CA37&amp;"Template desconto FLAT Plano Principal Oi TV nível conta"),BENEFICIOS!$A:$G,5,0))),"Criar",IF(CA37="","",VLOOKUP(($BC37&amp;CA37&amp;"Template desconto FLAT Plano Principal Oi TV nível conta"),BENEFICIOS!$A:$G,5,0)))</f>
        <v/>
      </c>
      <c r="CC37" s="8"/>
      <c r="CD37" s="3" t="str">
        <f>IF(CC37=0,"",IF(CC37=VLOOKUP("PCS-OzTL743",ARBOR!$A:$C,3,0),0.0001,IF(CC37&gt;VLOOKUP("PCS-OzTL743",ARBOR!$A:$C,3,0),"Maior que CAP!",IF((DOLLAR(CC37+(VLOOKUP("PCS-OzTL743",ARBOR!$A:$C,3,0)*-TRUNC(CC37/VLOOKUP("PCS-OzTL743",ARBOR!$A:$C,3,0)-1,4)),6))&lt;&gt;(DOLLAR(VLOOKUP("PCS-OzTL743",ARBOR!$A:$C,3,0),6)),-TRUNC(CC37/VLOOKUP("PCS-OzTL743",ARBOR!$A:$C,3,0)-1,4)+0.0001,-TRUNC(CC37/VLOOKUP("PCS-OzTL743",ARBOR!$A:$C,3,0)-1,4)))))</f>
        <v/>
      </c>
      <c r="CE37" s="28" t="str">
        <f>IF(ISERROR(IF(CD37="","",VLOOKUP(($BC37&amp;CD37&amp;"Template desconto FLAT Plano Principal Oi TV nível conta"),BENEFICIOS!$A:$G,5,0))),"Criar",IF(CD37="","",VLOOKUP(($BC37&amp;CD37&amp;"Template desconto FLAT Plano Principal Oi TV nível conta"),BENEFICIOS!$A:$G,5,0)))</f>
        <v/>
      </c>
      <c r="CF37" s="8"/>
      <c r="CG37" s="3" t="str">
        <f>IF(CF37=0,"",IF(CF37=VLOOKUP("PCS-OzTL745",ARBOR!$A:$C,3,0),0.0001,IF(CF37&gt;VLOOKUP("PCS-OzTL745",ARBOR!$A:$C,3,0),"Maior que CAP!",IF((DOLLAR(CF37+(VLOOKUP("PCS-OzTL745",ARBOR!$A:$C,3,0)*-TRUNC(CF37/VLOOKUP("PCS-OzTL745",ARBOR!$A:$C,3,0)-1,4)),6))&lt;&gt;(DOLLAR(VLOOKUP("PCS-OzTL745",ARBOR!$A:$C,3,0),6)),-TRUNC(CF37/VLOOKUP("PCS-OzTL745",ARBOR!$A:$C,3,0)-1,4)+0.0001,-TRUNC(CF37/VLOOKUP("PCS-OzTL745",ARBOR!$A:$C,3,0)-1,4)))))</f>
        <v/>
      </c>
      <c r="CH37" s="28" t="str">
        <f>IF(ISERROR(IF(CG37="","",VLOOKUP(($BC37&amp;CG37&amp;"Template desconto FLAT Plano Principal Oi TV nível conta"),BENEFICIOS!$A:$G,5,0))),"Criar",IF(CG37="","",VLOOKUP(($BC37&amp;CG37&amp;"Template desconto FLAT Plano Principal Oi TV nível conta"),BENEFICIOS!$A:$G,5,0)))</f>
        <v/>
      </c>
      <c r="CI37" s="8"/>
      <c r="CJ37" s="3" t="str">
        <f>IF(CI37=0,"",IF(CI37=VLOOKUP("PCS-OzTL42",ARBOR!$A:$C,3,0),0.0001,IF(CI37&gt;VLOOKUP("PCS-OzTL42",ARBOR!$A:$C,3,0),"Maior que CAP!",IF((DOLLAR(CI37+(VLOOKUP("PCS-OzTL42",ARBOR!$A:$C,3,0)*-TRUNC(CI37/VLOOKUP("PCS-OzTL42",ARBOR!$A:$C,3,0)-1,4)),6))&lt;&gt;(DOLLAR(VLOOKUP("PCS-OzTL42",ARBOR!$A:$C,3,0),6)),-TRUNC(CI37/VLOOKUP("PCS-OzTL42",ARBOR!$A:$C,3,0)-1,4)+0.0001,-TRUNC(CI37/VLOOKUP("PCS-OzTL42",ARBOR!$A:$C,3,0)-1,4)))))</f>
        <v/>
      </c>
      <c r="CK37" s="28" t="str">
        <f>IF(ISERROR(IF(CJ37="","",VLOOKUP(($BC37&amp;CJ37&amp;"Template desconto FLAT Plano Principal Oi TV nível conta"),BENEFICIOS!$A:$G,5,0))),"Criar",IF(CJ37="","",VLOOKUP(($BC37&amp;CJ37&amp;"Template desconto FLAT Plano Principal Oi TV nível conta"),BENEFICIOS!$A:$G,5,0)))</f>
        <v/>
      </c>
      <c r="CL37" s="8"/>
      <c r="CM37" s="3" t="str">
        <f>IF(CL37=0,"",IF(CL37=VLOOKUP("PCS-OzTL47",ARBOR!$A:$C,3,0),0.0001,IF(CL37&gt;VLOOKUP("PCS-OzTL47",ARBOR!$A:$C,3,0),"Maior que CAP!",IF((DOLLAR(CL37+(VLOOKUP("PCS-OzTL47",ARBOR!$A:$C,3,0)*-TRUNC(CL37/VLOOKUP("PCS-OzTL47",ARBOR!$A:$C,3,0)-1,4)),6))&lt;&gt;(DOLLAR(VLOOKUP("PCS-OzTL47",ARBOR!$A:$C,3,0),6)),-TRUNC(CL37/VLOOKUP("PCS-OzTL47",ARBOR!$A:$C,3,0)-1,4)+0.0001,-TRUNC(CL37/VLOOKUP("PCS-OzTL47",ARBOR!$A:$C,3,0)-1,4)))))</f>
        <v/>
      </c>
      <c r="CN37" s="28" t="str">
        <f>IF(ISERROR(IF(CM37="","",VLOOKUP(($BC37&amp;CM37&amp;"Template desconto FLAT Plano Principal Oi TV nível conta"),BENEFICIOS!$A:$G,5,0))),"Criar",IF(CM37="","",VLOOKUP(($BC37&amp;CM37&amp;"Template desconto FLAT Plano Principal Oi TV nível conta"),BENEFICIOS!$A:$G,5,0)))</f>
        <v/>
      </c>
      <c r="CO37" s="8"/>
      <c r="CP37" s="3" t="str">
        <f>IF(CO37=0,"",IF(CO37=VLOOKUP("PCS-OzTL46",ARBOR!$A:$C,3,0),0.0001,IF(CO37&gt;VLOOKUP("PCS-OzTL46",ARBOR!$A:$C,3,0),"Maior que CAP!",IF((DOLLAR(CO37+(VLOOKUP("PCS-OzTL46",ARBOR!$A:$C,3,0)*-TRUNC(CO37/VLOOKUP("PCS-OzTL46",ARBOR!$A:$C,3,0)-1,4)),6))&lt;&gt;(DOLLAR(VLOOKUP("PCS-OzTL46",ARBOR!$A:$C,3,0),6)),-TRUNC(CO37/VLOOKUP("PCS-OzTL46",ARBOR!$A:$C,3,0)-1,4)+0.0001,-TRUNC(CO37/VLOOKUP("PCS-OzTL46",ARBOR!$A:$C,3,0)-1,4)))))</f>
        <v/>
      </c>
      <c r="CQ37" s="28" t="str">
        <f>IF(ISERROR(IF(CP37="","",VLOOKUP(($BC37&amp;CP37&amp;"Template desconto FLAT Plano Principal Oi TV nível conta"),BENEFICIOS!$A:$G,5,0))),"Criar",IF(CP37="","",VLOOKUP(($BC37&amp;CP37&amp;"Template desconto FLAT Plano Principal Oi TV nível conta"),BENEFICIOS!$A:$G,5,0)))</f>
        <v/>
      </c>
      <c r="CR37" s="8"/>
      <c r="CS37" s="3" t="str">
        <f>IF(CR37=0,"",IF(CR37=VLOOKUP("PCS-OzTL48",ARBOR!$A:$C,3,0),0.0001,IF(CR37&gt;VLOOKUP("PCS-OzTL48",ARBOR!$A:$C,3,0),"Maior que CAP!",IF((DOLLAR(CR37+(VLOOKUP("PCS-OzTL48",ARBOR!$A:$C,3,0)*-TRUNC(CR37/VLOOKUP("PCS-OzTL48",ARBOR!$A:$C,3,0)-1,4)),6))&lt;&gt;(DOLLAR(VLOOKUP("PCS-OzTL48",ARBOR!$A:$C,3,0),6)),-TRUNC(CR37/VLOOKUP("PCS-OzTL48",ARBOR!$A:$C,3,0)-1,4)+0.0001,-TRUNC(CR37/VLOOKUP("PCS-OzTL48",ARBOR!$A:$C,3,0)-1,4)))))</f>
        <v/>
      </c>
      <c r="CT37" s="28" t="str">
        <f>IF(ISERROR(IF(CS37="","",VLOOKUP(($BC37&amp;CS37&amp;"Template desconto FLAT Plano Principal Oi TV nível conta"),BENEFICIOS!$A:$G,5,0))),"Criar",IF(CS37="","",VLOOKUP(($BC37&amp;CS37&amp;"Template desconto FLAT Plano Principal Oi TV nível conta"),BENEFICIOS!$A:$G,5,0)))</f>
        <v/>
      </c>
      <c r="CU37" s="8"/>
      <c r="CV37" s="3" t="str">
        <f>IF(CU37=0,"",IF(CU37=VLOOKUP("PCS-OzTL742",ARBOR!$A:$C,3,0),0.0001,IF(CU37&gt;VLOOKUP("PCS-OzTL742",ARBOR!$A:$C,3,0),"Maior que CAP!",IF((DOLLAR(CU37+(VLOOKUP("PCS-OzTL742",ARBOR!$A:$C,3,0)*-TRUNC(CU37/VLOOKUP("PCS-OzTL742",ARBOR!$A:$C,3,0)-1,4)),6))&lt;&gt;(DOLLAR(VLOOKUP("PCS-OzTL742",ARBOR!$A:$C,3,0),6)),-TRUNC(CU37/VLOOKUP("PCS-OzTL742",ARBOR!$A:$C,3,0)-1,4)+0.0001,-TRUNC(CU37/VLOOKUP("PCS-OzTL742",ARBOR!$A:$C,3,0)-1,4)))))</f>
        <v/>
      </c>
      <c r="CW37" s="28" t="str">
        <f>IF(ISERROR(IF(CV37="","",VLOOKUP(($BC37&amp;CV37&amp;"Template desconto FLAT Plano Principal Oi TV nível conta"),BENEFICIOS!$A:$G,5,0))),"Criar",IF(CV37="","",VLOOKUP(($BC37&amp;CV37&amp;"Template desconto FLAT Plano Principal Oi TV nível conta"),BENEFICIOS!$A:$G,5,0)))</f>
        <v/>
      </c>
      <c r="CX37" s="8"/>
      <c r="CY37" s="3" t="str">
        <f>IF(CX37=0,"",IF(CX37=VLOOKUP("PCS-OzTL747",ARBOR!$A:$C,3,0),0.0001,IF(CX37&gt;VLOOKUP("PCS-OzTL747",ARBOR!$A:$C,3,0),"Maior que CAP!",IF((DOLLAR(CX37+(VLOOKUP("PCS-OzTL747",ARBOR!$A:$C,3,0)*-TRUNC(CX37/VLOOKUP("PCS-OzTL747",ARBOR!$A:$C,3,0)-1,4)),6))&lt;&gt;(DOLLAR(VLOOKUP("PCS-OzTL747",ARBOR!$A:$C,3,0),6)),-TRUNC(CX37/VLOOKUP("PCS-OzTL747",ARBOR!$A:$C,3,0)-1,4)+0.0001,-TRUNC(CX37/VLOOKUP("PCS-OzTL747",ARBOR!$A:$C,3,0)-1,4)))))</f>
        <v/>
      </c>
      <c r="CZ37" s="28" t="str">
        <f>IF(ISERROR(IF(CY37="","",VLOOKUP(($BC37&amp;CY37&amp;"Template desconto FLAT Plano Principal Oi TV nível conta"),BENEFICIOS!$A:$G,5,0))),"Criar",IF(CY37="","",VLOOKUP(($BC37&amp;CY37&amp;"Template desconto FLAT Plano Principal Oi TV nível conta"),BENEFICIOS!$A:$G,5,0)))</f>
        <v/>
      </c>
      <c r="DA37" s="8"/>
      <c r="DB37" s="3" t="str">
        <f>IF(DA37=0,"",IF(DA37=VLOOKUP("PCS-OzTL746",ARBOR!$A:$C,3,0),0.0001,IF(DA37&gt;VLOOKUP("PCS-OzTL746",ARBOR!$A:$C,3,0),"Maior que CAP!",IF((DOLLAR(DA37+(VLOOKUP("PCS-OzTL746",ARBOR!$A:$C,3,0)*-TRUNC(DA37/VLOOKUP("PCS-OzTL746",ARBOR!$A:$C,3,0)-1,4)),6))&lt;&gt;(DOLLAR(VLOOKUP("PCS-OzTL746",ARBOR!$A:$C,3,0),6)),-TRUNC(DA37/VLOOKUP("PCS-OzTL746",ARBOR!$A:$C,3,0)-1,4)+0.0001,-TRUNC(DA37/VLOOKUP("PCS-OzTL746",ARBOR!$A:$C,3,0)-1,4)))))</f>
        <v/>
      </c>
      <c r="DC37" s="28" t="str">
        <f>IF(ISERROR(IF(DB37="","",VLOOKUP(($BC37&amp;DB37&amp;"Template desconto FLAT Plano Principal Oi TV nível conta"),BENEFICIOS!$A:$G,5,0))),"Criar",IF(DB37="","",VLOOKUP(($BC37&amp;DB37&amp;"Template desconto FLAT Plano Principal Oi TV nível conta"),BENEFICIOS!$A:$G,5,0)))</f>
        <v/>
      </c>
      <c r="DD37" s="8"/>
      <c r="DE37" s="3" t="str">
        <f>IF(DD37=0,"",IF(DD37=VLOOKUP("PCS-OzTL748",ARBOR!$A:$C,3,0),0.0001,IF(DD37&gt;VLOOKUP("PCS-OzTL748",ARBOR!$A:$C,3,0),"Maior que CAP!",IF((DOLLAR(DD37+(VLOOKUP("PCS-OzTL748",ARBOR!$A:$C,3,0)*-TRUNC(DD37/VLOOKUP("PCS-OzTL748",ARBOR!$A:$C,3,0)-1,4)),6))&lt;&gt;(DOLLAR(VLOOKUP("PCS-OzTL748",ARBOR!$A:$C,3,0),6)),-TRUNC(DD37/VLOOKUP("PCS-OzTL748",ARBOR!$A:$C,3,0)-1,4)+0.0001,-TRUNC(DD37/VLOOKUP("PCS-OzTL748",ARBOR!$A:$C,3,0)-1,4)))))</f>
        <v/>
      </c>
      <c r="DF37" s="28" t="str">
        <f>IF(ISERROR(IF(DE37="","",VLOOKUP(($BC37&amp;DE37&amp;"Template desconto FLAT Plano Principal Oi TV nível conta"),BENEFICIOS!$A:$G,5,0))),"Criar",IF(DE37="","",VLOOKUP(($BC37&amp;DE37&amp;"Template desconto FLAT Plano Principal Oi TV nível conta"),BENEFICIOS!$A:$G,5,0)))</f>
        <v/>
      </c>
      <c r="DG37" s="8"/>
      <c r="DH37" s="3" t="str">
        <f>IF(DG37=0,"",IF(DG37=VLOOKUP("PCS-OzTL34",ARBOR!$A:$C,3,0),0.0001,IF(DG37&gt;VLOOKUP("PCS-OzTL34",ARBOR!$A:$C,3,0),"Maior que CAP!",IF((DOLLAR(DG37+(VLOOKUP("PCS-OzTL34",ARBOR!$A:$C,3,0)*-TRUNC(DG37/VLOOKUP("PCS-OzTL34",ARBOR!$A:$C,3,0)-1,4)),6))&lt;&gt;(DOLLAR(VLOOKUP("PCS-OzTL34",ARBOR!$A:$C,3,0),6)),-TRUNC(DG37/VLOOKUP("PCS-OzTL34",ARBOR!$A:$C,3,0)-1,4)+0.0001,-TRUNC(DG37/VLOOKUP("PCS-OzTL34",ARBOR!$A:$C,3,0)-1,4)))))</f>
        <v/>
      </c>
      <c r="DI37" s="28" t="str">
        <f>IF(DH37="S/Desc","S/Desc",IF(ISERROR(IF(DH37="","",VLOOKUP(($BC37&amp;DH37&amp;"Template desconto % Combate nível conta"),BENEFICIOS!$A:$G,5,0))),"Criar",IF(DH37="","",VLOOKUP(($BC37&amp;DH37&amp;"Template desconto % Combate nível conta"),BENEFICIOS!$A:$G,5,0))))</f>
        <v/>
      </c>
      <c r="DJ37" s="8"/>
      <c r="DK37" s="3" t="str">
        <f>IF(DJ37=0,"",IF(DJ37=VLOOKUP("PCS-OzTL31",ARBOR!$A:$C,3,0),0.0001,IF(DJ37&gt;VLOOKUP("PCS-OzTL31",ARBOR!$A:$C,3,0),"Maior que CAP!",IF((DOLLAR(DJ37+(VLOOKUP("PCS-OzTL31",ARBOR!$A:$C,3,0)*-TRUNC(DJ37/VLOOKUP("PCS-OzTL31",ARBOR!$A:$C,3,0)-1,4)),6))&lt;&gt;(DOLLAR(VLOOKUP("PCS-OzTL31",ARBOR!$A:$C,3,0),6)),-TRUNC(DJ37/VLOOKUP("PCS-OzTL31",ARBOR!$A:$C,3,0)-1,4)+0.0001,-TRUNC(DJ37/VLOOKUP("PCS-OzTL31",ARBOR!$A:$C,3,0)-1,4)))))</f>
        <v/>
      </c>
      <c r="DL37" s="28" t="str">
        <f>IF(DK37="S/Desc","S/Desc",IF(ISERROR(IF(DK37="","",VLOOKUP(($BC37&amp;DK37&amp;"Template desconto % Sexy Hot nível conta"),BENEFICIOS!$A:$G,5,0))),"Criar",IF(DK37="","",VLOOKUP(($BC37&amp;DK37&amp;"Template desconto % Sexy Hot nível conta"),BENEFICIOS!$A:$G,5,0))))</f>
        <v/>
      </c>
      <c r="DM37" s="8"/>
      <c r="DN37" s="3" t="str">
        <f>IF(DM37=0,"",IF(DM37=VLOOKUP("PCS-OzTL32",ARBOR!$A:$C,3,0),0.0001,IF(DM37&gt;VLOOKUP("PCS-OzTL32",ARBOR!$A:$C,3,0),"Maior que CAP!",IF((DOLLAR(DM37+(VLOOKUP("PCS-OzTL32",ARBOR!$A:$C,3,0)*-TRUNC(DM37/VLOOKUP("PCS-OzTL32",ARBOR!$A:$C,3,0)-1,4)),6))&lt;&gt;(DOLLAR(VLOOKUP("PCS-OzTL32",ARBOR!$A:$C,3,0),6)),-TRUNC(DM37/VLOOKUP("PCS-OzTL32",ARBOR!$A:$C,3,0)-1,4)+0.0001,-TRUNC(DM37/VLOOKUP("PCS-OzTL32",ARBOR!$A:$C,3,0)-1,4)))))</f>
        <v/>
      </c>
      <c r="DO37" s="28" t="str">
        <f>IF(DN37="S/Desc","S/Desc",IF(ISERROR(IF(DN37="","",VLOOKUP(($BC37&amp;DN37&amp;"Template desconto % Playboy nível conta"),BENEFICIOS!$A:$G,5,0))),"Criar",IF(DN37="","",VLOOKUP(($BC37&amp;DN37&amp;"Template desconto % Playboy nível conta"),BENEFICIOS!$A:$G,5,0))))</f>
        <v/>
      </c>
      <c r="DP37" s="8"/>
      <c r="DQ37" s="3" t="str">
        <f>IF(DP37=0,"",IF(DP37=VLOOKUP("PCS-OzTL33",ARBOR!$A:$C,3,0),0.0001,IF(DP37&gt;VLOOKUP("PCS-OzTL33",ARBOR!$A:$C,3,0),"Maior que CAP!",IF((DOLLAR(DP37+(VLOOKUP("PCS-OzTL33",ARBOR!$A:$C,3,0)*-TRUNC(DP37/VLOOKUP("PCS-OzTL33",ARBOR!$A:$C,3,0)-1,4)),6))&lt;&gt;(DOLLAR(VLOOKUP("PCS-OzTL33",ARBOR!$A:$C,3,0),6)),-TRUNC(DP37/VLOOKUP("PCS-OzTL33",ARBOR!$A:$C,3,0)-1,4)+0.0001,-TRUNC(DP37/VLOOKUP("PCS-OzTL33",ARBOR!$A:$C,3,0)-1,4)))))</f>
        <v/>
      </c>
      <c r="DR37" s="28" t="str">
        <f>IF(DQ37="S/Desc","S/Desc",IF(ISERROR(IF(DQ37="","",VLOOKUP(($BC37&amp;DQ37&amp;"Template desconto % Sexy Hot + Playboy nível conta"),BENEFICIOS!$A:$G,5,0))),"Criar",IF(DQ37="","",VLOOKUP(($BC37&amp;DQ37&amp;"Template desconto % Sexy Hot + Playboy nível conta"),BENEFICIOS!$A:$G,5,0))))</f>
        <v/>
      </c>
      <c r="DS37" s="8"/>
      <c r="DT37" s="3" t="str">
        <f>IF(DS37=0,"",IF(DS37=VLOOKUP("PCS-OzTL503",ARBOR!$A:$C,3,0),0.0001,IF(DS37&gt;VLOOKUP("PCS-OzTL503",ARBOR!$A:$C,3,0),"Maior que CAP!",IF((DOLLAR(DS37+(VLOOKUP("PCS-OzTL503",ARBOR!$A:$C,3,0)*-TRUNC(DS37/VLOOKUP("PCS-OzTL503",ARBOR!$A:$C,3,0)-1,4)),6))&lt;&gt;(DOLLAR(VLOOKUP("PCS-OzTL503",ARBOR!$A:$C,3,0),6)),-TRUNC(DS37/VLOOKUP("PCS-OzTL503",ARBOR!$A:$C,3,0)-1,4)+0.0001,-TRUNC(DS37/VLOOKUP("PCS-OzTL503",ARBOR!$A:$C,3,0)-1,4)))))</f>
        <v/>
      </c>
      <c r="DU37" s="28" t="str">
        <f>IF(DT37="S/Desc","S/Desc",IF(ISERROR(IF(DT37="","",VLOOKUP(($BC37&amp;DT37&amp;"Template desconto % SexPrivê nível conta"),BENEFICIOS!$A:$G,5,0))),"Criar",IF(DT37="","",VLOOKUP(($BC37&amp;DT37&amp;"Template desconto % SexPrivê nível conta"),BENEFICIOS!$A:$G,5,0))))</f>
        <v/>
      </c>
      <c r="DV37" s="8"/>
      <c r="DW37" s="3" t="str">
        <f>IF(DV37=0,"",IF(DV37=VLOOKUP("PCS-OzTL500",ARBOR!$A:$C,3,0),0.0001,IF(DV37&gt;VLOOKUP("PCS-OzTL500",ARBOR!$A:$C,3,0),"Maior que CAP!",IF((DOLLAR(DV37+(VLOOKUP("PCS-OzTL500",ARBOR!$A:$C,3,0)*-TRUNC(DV37/VLOOKUP("PCS-OzTL500",ARBOR!$A:$C,3,0)-1,4)),6))&lt;&gt;(DOLLAR(VLOOKUP("PCS-OzTL500",ARBOR!$A:$C,3,0),6)),-TRUNC(DV37/VLOOKUP("PCS-OzTL500",ARBOR!$A:$C,3,0)-1,4)+0.0001,-TRUNC(DV37/VLOOKUP("PCS-OzTL500",ARBOR!$A:$C,3,0)-1,4)))))</f>
        <v/>
      </c>
      <c r="DX37" s="28" t="str">
        <f>IF(DW37="S/Desc","S/Desc",IF(ISERROR(IF(DW37="","",VLOOKUP(($BC37&amp;DW37&amp;"Template desconto % Étnico nível conta"),BENEFICIOS!$A:$G,5,0))),"Criar",IF(DW37="","",VLOOKUP(($BC37&amp;DW37&amp;"Template desconto % Étnico nível conta"),BENEFICIOS!$A:$G,5,0))))</f>
        <v/>
      </c>
      <c r="DY37" s="8"/>
      <c r="DZ37" s="181" t="str">
        <f>IF(DY37=0,"",IF(DY37=VLOOKUP("PCS-OzTL50",ARBOR!$A:$C,3,0),0.0001,IF(DY37&gt;VLOOKUP("PCS-OzTL50",ARBOR!$A:$C,3,0),"Maior que CAP!",IF((DOLLAR(DY37+(VLOOKUP("PCS-OzTL50",ARBOR!$A:$C,3,0)*-TRUNC(DY37/VLOOKUP("PCS-OzTL50",ARBOR!$A:$C,3,0)-1,4)),6))&lt;&gt;(DOLLAR(VLOOKUP("PCS-OzTL50",ARBOR!$A:$C,3,0),6)),-TRUNC(DY37/VLOOKUP("PCS-OzTL50",ARBOR!$A:$C,3,0)-1,4)+0.0001,-TRUNC(DY37/VLOOKUP("PCS-OzTL50",ARBOR!$A:$C,3,0)-1,4)))))</f>
        <v/>
      </c>
      <c r="EA37" s="28"/>
      <c r="EB37" s="8"/>
      <c r="EC37" s="181" t="str">
        <f>IF(EB37=0,"",IF(EB37=VLOOKUP("PCS-OzTL51",ARBOR!$A:$C,3,0),0.0001,IF(EB37&gt;VLOOKUP("PCS-OzTL51",ARBOR!$A:$C,3,0),"Maior que CAP!",IF((DOLLAR(EB37+(VLOOKUP("PCS-OzTL51",ARBOR!$A:$C,3,0)*-TRUNC(EB37/VLOOKUP("PCS-OzTL51",ARBOR!$A:$C,3,0)-1,4)),6))&lt;&gt;(DOLLAR(VLOOKUP("PCS-OzTL51",ARBOR!$A:$C,3,0),6)),-TRUNC(EB37/VLOOKUP("PCS-OzTL51",ARBOR!$A:$C,3,0)-1,4)+0.0001,-TRUNC(EB37/VLOOKUP("PCS-OzTL51",ARBOR!$A:$C,3,0)-1,4)))))</f>
        <v/>
      </c>
      <c r="ED37" s="28"/>
      <c r="EE37" s="8"/>
      <c r="EF37" s="181" t="str">
        <f>IF(EE37=0,"",IF(EE37=VLOOKUP("PCS-OzTL52",ARBOR!$A:$C,3,0),0.0001,IF(EE37&gt;VLOOKUP("PCS-OzTL52",ARBOR!$A:$C,3,0),"Maior que CAP!",IF((DOLLAR(EE37+(VLOOKUP("PCS-OzTL52",ARBOR!$A:$C,3,0)*-TRUNC(EE37/VLOOKUP("PCS-OzTL52",ARBOR!$A:$C,3,0)-1,4)),6))&lt;&gt;(DOLLAR(VLOOKUP("PCS-OzTL52",ARBOR!$A:$C,3,0),6)),-TRUNC(EE37/VLOOKUP("PCS-OzTL52",ARBOR!$A:$C,3,0)-1,4)+0.0001,-TRUNC(EE37/VLOOKUP("PCS-OzTL52",ARBOR!$A:$C,3,0)-1,4)))))</f>
        <v/>
      </c>
      <c r="EG37" s="28"/>
      <c r="EH37" s="8"/>
      <c r="EI37" s="181" t="str">
        <f>IF(EH37=0,"",IF(EH37=VLOOKUP("PCS-OzTL53",ARBOR!$A:$C,3,0),0.0001,IF(EH37&gt;VLOOKUP("PCS-OzTL53",ARBOR!$A:$C,3,0),"Maior que CAP!",IF((DOLLAR(EH37+(VLOOKUP("PCS-OzTL53",ARBOR!$A:$C,3,0)*-TRUNC(EH37/VLOOKUP("PCS-OzTL53",ARBOR!$A:$C,3,0)-1,4)),6))&lt;&gt;(DOLLAR(VLOOKUP("PCS-OzTL53",ARBOR!$A:$C,3,0),6)),-TRUNC(EH37/VLOOKUP("PCS-OzTL53",ARBOR!$A:$C,3,0)-1,4)+0.0001,-TRUNC(EH37/VLOOKUP("PCS-OzTL53",ARBOR!$A:$C,3,0)-1,4)))))</f>
        <v/>
      </c>
      <c r="EJ37" s="28"/>
      <c r="EK37" s="8"/>
      <c r="EL37" s="181" t="str">
        <f>IF(EK37=0,"",IF(EK37=VLOOKUP("PCS-OzTL54",ARBOR!$A:$C,3,0),0.0001,IF(EK37&gt;VLOOKUP("PCS-OzTL54",ARBOR!$A:$C,3,0),"Maior que CAP!",IF((DOLLAR(EK37+(VLOOKUP("PCS-OzTL54",ARBOR!$A:$C,3,0)*-TRUNC(EK37/VLOOKUP("PCS-OzTL54",ARBOR!$A:$C,3,0)-1,4)),6))&lt;&gt;(DOLLAR(VLOOKUP("PCS-OzTL54",ARBOR!$A:$C,3,0),6)),-TRUNC(EK37/VLOOKUP("PCS-OzTL54",ARBOR!$A:$C,3,0)-1,4)+0.0001,-TRUNC(EK37/VLOOKUP("PCS-OzTL54",ARBOR!$A:$C,3,0)-1,4)))))</f>
        <v/>
      </c>
      <c r="EM37" s="28"/>
      <c r="EN37" s="8"/>
      <c r="EO37" s="3" t="str">
        <f>IF(EN37=0,"",IF(EN37=VLOOKUP("PCS-OzTL99",ARBOR!$A:$C,3,0),0.0001,IF(EN37&gt;VLOOKUP("PCS-OzTL99",ARBOR!$A:$C,3,0),"Maior que CAP!",IF((DOLLAR(EN37+(VLOOKUP("PCS-OzTL99",ARBOR!$A:$C,3,0)*-TRUNC(EN37/VLOOKUP("PCS-OzTL99",ARBOR!$A:$C,3,0)-1,4)),6))&lt;&gt;(DOLLAR(VLOOKUP("PCS-OzTL99",ARBOR!$A:$C,3,0),6)),-TRUNC(EN37/VLOOKUP("PCS-OzTL99",ARBOR!$A:$C,3,0)-1,4)+0.0001,-TRUNC(EN37/VLOOKUP("PCS-OzTL99",ARBOR!$A:$C,3,0)-1,4)))))</f>
        <v/>
      </c>
      <c r="EP37" s="28" t="str">
        <f>IF(EO37="S/Desc","S/Desc",IF(ISERROR(IF(EO37="","",VLOOKUP(($BC37&amp;EO37&amp;"Template desconto % Ponto adicional nível conta"),BENEFICIOS!$A:$G,5,0))),"Criar",IF(EO37="","",VLOOKUP(($BC37&amp;EO37&amp;"Template desconto % Ponto adicional nível conta"),BENEFICIOS!$A:$G,5,0))))</f>
        <v/>
      </c>
      <c r="EQ37" s="8"/>
      <c r="ER37" s="28" t="str">
        <f t="shared" si="23"/>
        <v/>
      </c>
      <c r="ES37" s="62"/>
      <c r="ET37" s="126"/>
      <c r="EU37" s="127"/>
      <c r="EV37" s="126"/>
      <c r="EW37" s="128" t="str">
        <f t="shared" si="24"/>
        <v/>
      </c>
      <c r="EX37" s="129" t="str">
        <f t="shared" si="25"/>
        <v/>
      </c>
      <c r="EY37" s="91" t="str">
        <f t="shared" si="26"/>
        <v/>
      </c>
      <c r="EZ37" s="85"/>
      <c r="FA37" s="97"/>
      <c r="FB37" s="91"/>
      <c r="FC37" s="85"/>
      <c r="FD37" s="97"/>
      <c r="FE37" s="91"/>
      <c r="FF37" s="87"/>
      <c r="FG37" s="144" t="str">
        <f t="shared" si="5"/>
        <v/>
      </c>
      <c r="FH37" s="144" t="str">
        <f t="shared" si="6"/>
        <v/>
      </c>
      <c r="FI37" s="144" t="str">
        <f t="shared" si="7"/>
        <v/>
      </c>
      <c r="FJ37" s="144" t="str">
        <f t="shared" si="8"/>
        <v/>
      </c>
      <c r="FK37" s="144" t="str">
        <f t="shared" si="9"/>
        <v/>
      </c>
      <c r="FL37" s="144" t="str">
        <f t="shared" si="10"/>
        <v/>
      </c>
      <c r="FM37" s="144" t="str">
        <f t="shared" si="11"/>
        <v/>
      </c>
      <c r="FN37" s="144" t="str">
        <f t="shared" si="12"/>
        <v/>
      </c>
      <c r="FO37" s="144" t="str">
        <f t="shared" si="13"/>
        <v/>
      </c>
      <c r="FP37" s="144" t="str">
        <f t="shared" si="14"/>
        <v/>
      </c>
      <c r="FQ37" s="144" t="str">
        <f t="shared" si="15"/>
        <v/>
      </c>
      <c r="FR37" s="144" t="str">
        <f t="shared" si="16"/>
        <v/>
      </c>
      <c r="FS37" s="144" t="str">
        <f t="shared" si="17"/>
        <v/>
      </c>
      <c r="FT37" s="144" t="str">
        <f t="shared" si="18"/>
        <v/>
      </c>
      <c r="FU37" s="144" t="str">
        <f t="shared" si="19"/>
        <v/>
      </c>
      <c r="FV37" s="144" t="str">
        <f t="shared" si="20"/>
        <v/>
      </c>
      <c r="FW37" s="144" t="str">
        <f t="shared" si="21"/>
        <v/>
      </c>
      <c r="FX37" s="151"/>
      <c r="FY37" s="152"/>
      <c r="FZ37" s="152"/>
      <c r="GA37" s="152"/>
      <c r="GB37" s="152"/>
      <c r="GC37" s="152"/>
      <c r="GD37" s="152"/>
      <c r="GE37" s="152"/>
      <c r="GF37" s="152"/>
      <c r="GG37" s="153"/>
    </row>
    <row r="38" spans="1:189">
      <c r="A38" s="45"/>
      <c r="B38" s="133"/>
      <c r="C38" s="133"/>
      <c r="D38" s="46"/>
      <c r="E38" s="4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9"/>
      <c r="U38" s="48"/>
      <c r="V38" s="49"/>
      <c r="W38" s="48"/>
      <c r="X38" s="48"/>
      <c r="Y38" s="48"/>
      <c r="Z38" s="48"/>
      <c r="AA38" s="49"/>
      <c r="AB38" s="48"/>
      <c r="AC38" s="50"/>
      <c r="AD38" s="48"/>
      <c r="AE38" s="48"/>
      <c r="AF38" s="48"/>
      <c r="AG38" s="48"/>
      <c r="AH38" s="48"/>
      <c r="AI38" s="48"/>
      <c r="AJ38" s="48"/>
      <c r="AK38" s="48"/>
      <c r="AL38" s="51"/>
      <c r="AM38" s="37"/>
      <c r="AN38" s="38"/>
      <c r="AO38" s="39"/>
      <c r="AP38" s="52"/>
      <c r="AQ38" s="53"/>
      <c r="AR38" s="64"/>
      <c r="AS38" s="65"/>
      <c r="AT38" s="54"/>
      <c r="AU38" s="54"/>
      <c r="AV38" s="54"/>
      <c r="AW38" s="54"/>
      <c r="AX38" s="70"/>
      <c r="AY38" s="71"/>
      <c r="AZ38" s="72"/>
      <c r="BA38" s="73"/>
      <c r="BB38" s="55"/>
      <c r="BC38" s="56"/>
      <c r="BD38" s="27" t="str">
        <f t="shared" si="22"/>
        <v/>
      </c>
      <c r="BE38" s="58"/>
      <c r="BF38" s="3" t="str">
        <f>IF(BE38=0,"",IF(BE38=VLOOKUP("FIXO",ARBOR!$A:$C,3,0),0.0001,IF(BE38&gt;VLOOKUP("FIXO",ARBOR!$A:$C,3,0),"Maior que CAP!",IF((DOLLAR(BE38+(VLOOKUP("FIXO",ARBOR!$A:$C,3,0)*-TRUNC(BE38/VLOOKUP("FIXO",ARBOR!$A:$C,3,0)-1,4)),6))&lt;&gt;(DOLLAR(VLOOKUP("FIXO",ARBOR!$A:$C,3,0),6)),-TRUNC(BE38/VLOOKUP("FIXO",ARBOR!$A:$C,3,0)-1,4)+0.0001,-TRUNC(BE38/VLOOKUP("FIXO",ARBOR!$A:$C,3,0)-1,4)))))</f>
        <v/>
      </c>
      <c r="BG38" s="10" t="str">
        <f>IF(ISERROR(IF(BF38="","",VLOOKUP(($BC38&amp;BF38&amp;"Template de desconto FLAT bundle - Fixo - Varejo - Ganho Tributário Cross"),BENEFICIOS!$A:$G,5,0))),"Criar",IF(BF38="","",VLOOKUP(($BC38&amp;BF38&amp;"Template de desconto FLAT bundle - Fixo - Varejo - Ganho Tributário Cross"),BENEFICIOS!$A:$G,5,0)))</f>
        <v/>
      </c>
      <c r="BH38" s="8"/>
      <c r="BI38" s="3" t="str">
        <f>IF(BH38=0,"",IF(BH38=VLOOKUP("PCS-OzTL40",ARBOR!$A:$C,3,0),0.0001,IF(BH38&gt;VLOOKUP("PCS-OzTL40",ARBOR!$A:$C,3,0),"Maior que CAP!",IF((DOLLAR(BH38+(VLOOKUP("PCS-OzTL40",ARBOR!$A:$C,3,0)*-TRUNC(BH38/VLOOKUP("PCS-OzTL40",ARBOR!$A:$C,3,0)-1,4)),6))&lt;&gt;(DOLLAR(VLOOKUP("PCS-OzTL40",ARBOR!$A:$C,3,0),6)),-TRUNC(BH38/VLOOKUP("PCS-OzTL40",ARBOR!$A:$C,3,0)-1,4)+0.0001,-TRUNC(BH38/VLOOKUP("PCS-OzTL40",ARBOR!$A:$C,3,0)-1,4)))))</f>
        <v/>
      </c>
      <c r="BJ38" s="10" t="str">
        <f>IF(ISERROR(IF(BI38="","",VLOOKUP((BC38&amp;BI38&amp;"Template desconto FLAT Plano Principal Oi TV nível conta"),BENEFICIOS!$A:$G,5,0))),"Criar",IF(BI38="","",VLOOKUP((BC38&amp;BI38&amp;"Template desconto FLAT Plano Principal Oi TV nível conta"),BENEFICIOS!$A:$G,5,0)))</f>
        <v/>
      </c>
      <c r="BK38" s="8"/>
      <c r="BL38" s="3" t="str">
        <f>IF(BK38=0,"",IF(BK38=VLOOKUP("PCS-OzTL41",ARBOR!$A:$C,3,0),0.0001,IF(BK38&gt;VLOOKUP("PCS-OzTL41",ARBOR!$A:$C,3,0),"Maior que CAP!",IF((DOLLAR(BK38+(VLOOKUP("PCS-OzTL41",ARBOR!$A:$C,3,0)*-TRUNC(BK38/VLOOKUP("PCS-OzTL41",ARBOR!$A:$C,3,0)-1,4)),6))&lt;&gt;(DOLLAR(VLOOKUP("PCS-OzTL41",ARBOR!$A:$C,3,0),6)),-TRUNC(BK38/VLOOKUP("PCS-OzTL41",ARBOR!$A:$C,3,0)-1,4)+0.0001,-TRUNC(BK38/VLOOKUP("PCS-OzTL41",ARBOR!$A:$C,3,0)-1,4)))))</f>
        <v/>
      </c>
      <c r="BM38" s="28" t="str">
        <f>IF(ISERROR(IF(BL38="","",VLOOKUP((BC38&amp;BL38&amp;"Template desconto FLAT Plano Principal Oi TV nível conta"),BENEFICIOS!$A:$G,5,0))),"Criar",IF(BL38="","",VLOOKUP((BC38&amp;BL38&amp;"Template desconto FLAT Plano Principal Oi TV nível conta"),BENEFICIOS!$A:$G,5,0)))</f>
        <v/>
      </c>
      <c r="BN38" s="8"/>
      <c r="BO38" s="3" t="str">
        <f>IF(BN38=0,"",IF(BN38=VLOOKUP("PCS-OzTL44",ARBOR!$A:$C,3,0),0.0001,IF(BN38&gt;VLOOKUP("PCS-OzTL44",ARBOR!$A:$C,3,0),"Maior que CAP!",IF((DOLLAR(BN38+(VLOOKUP("PCS-OzTL44",ARBOR!$A:$C,3,0)*-TRUNC(BN38/VLOOKUP("PCS-OzTL44",ARBOR!$A:$C,3,0)-1,4)),6))&lt;&gt;(DOLLAR(VLOOKUP("PCS-OzTL44",ARBOR!$A:$C,3,0),6)),-TRUNC(BN38/VLOOKUP("PCS-OzTL44",ARBOR!$A:$C,3,0)-1,4)+0.0001,-TRUNC(BN38/VLOOKUP("PCS-OzTL44",ARBOR!$A:$C,3,0)-1,4)))))</f>
        <v/>
      </c>
      <c r="BP38" s="28" t="str">
        <f>IF(ISERROR(IF(BO38="","",VLOOKUP((BC38&amp;BO38&amp;"Template desconto FLAT Plano Principal Oi TV nível conta"),BENEFICIOS!$A:$G,5,0))),"Criar",IF(BO38="","",VLOOKUP((BC38&amp;BO38&amp;"Template desconto FLAT Plano Principal Oi TV nível conta"),BENEFICIOS!$A:$G,5,0)))</f>
        <v/>
      </c>
      <c r="BQ38" s="8"/>
      <c r="BR38" s="3" t="str">
        <f>IF(BQ38=0,"",IF(BQ38=VLOOKUP("PCS-OzTL43",ARBOR!$A:$C,3,0),0.0001,IF(BQ38&gt;VLOOKUP("PCS-OzTL43",ARBOR!$A:$C,3,0),"Maior que CAP!",IF((DOLLAR(BQ38+(VLOOKUP("PCS-OzTL43",ARBOR!$A:$C,3,0)*-TRUNC(BQ38/VLOOKUP("PCS-OzTL43",ARBOR!$A:$C,3,0)-1,4)),6))&lt;&gt;(DOLLAR(VLOOKUP("PCS-OzTL43",ARBOR!$A:$C,3,0),6)),-TRUNC(BQ38/VLOOKUP("PCS-OzTL43",ARBOR!$A:$C,3,0)-1,4)+0.0001,-TRUNC(BQ38/VLOOKUP("PCS-OzTL43",ARBOR!$A:$C,3,0)-1,4)))))</f>
        <v/>
      </c>
      <c r="BS38" s="28" t="str">
        <f>IF(ISERROR(IF(BR38="","",VLOOKUP((BC38&amp;BR38&amp;"Template desconto FLAT Plano Principal Oi TV nível conta"),BENEFICIOS!$A:$G,5,0))),"Criar",IF(BR38="","",VLOOKUP((BC38&amp;BR38&amp;"Template desconto FLAT Plano Principal Oi TV nível conta"),BENEFICIOS!$A:$G,5,0)))</f>
        <v/>
      </c>
      <c r="BT38" s="8"/>
      <c r="BU38" s="3" t="str">
        <f>IF(BT38=0,"",IF(BT38=VLOOKUP("PCS-OzTL45",ARBOR!$A:$C,3,0),0.0001,IF(BT38&gt;VLOOKUP("PCS-OzTL45",ARBOR!$A:$C,3,0),"Maior que CAP!",IF((DOLLAR(BT38+(VLOOKUP("PCS-OzTL45",ARBOR!$A:$C,3,0)*-TRUNC(BT38/VLOOKUP("PCS-OzTL45",ARBOR!$A:$C,3,0)-1,4)),6))&lt;&gt;(DOLLAR(VLOOKUP("PCS-OzTL45",ARBOR!$A:$C,3,0),6)),-TRUNC(BT38/VLOOKUP("PCS-OzTL45",ARBOR!$A:$C,3,0)-1,4)+0.0001,-TRUNC(BT38/VLOOKUP("PCS-OzTL45",ARBOR!$A:$C,3,0)-1,4)))))</f>
        <v/>
      </c>
      <c r="BV38" s="28" t="str">
        <f>IF(ISERROR(IF(BU38="","",VLOOKUP((BC38&amp;BU38&amp;"Template desconto FLAT Plano Principal Oi TV nível conta"),BENEFICIOS!$A:$G,5,0))),"Criar",IF(BU38="","",VLOOKUP((BC38&amp;BU38&amp;"Template desconto FLAT Plano Principal Oi TV nível conta"),BENEFICIOS!$A:$G,5,0)))</f>
        <v/>
      </c>
      <c r="BW38" s="8"/>
      <c r="BX38" s="3" t="str">
        <f>IF(BW38=0,"",IF(BW38=VLOOKUP("PCS-OzTL741",ARBOR!$A:$C,3,0),0.0001,IF(BW38&gt;VLOOKUP("PCS-OzTL741",ARBOR!$A:$C,3,0),"Maior que CAP!",IF((DOLLAR(BW38+(VLOOKUP("PCS-OzTL741",ARBOR!$A:$C,3,0)*-TRUNC(BW38/VLOOKUP("PCS-OzTL741",ARBOR!$A:$C,3,0)-1,4)),6))&lt;&gt;(DOLLAR(VLOOKUP("PCS-OzTL741",ARBOR!$A:$C,3,0),6)),-TRUNC(BW38/VLOOKUP("PCS-OzTL741",ARBOR!$A:$C,3,0)-1,4)+0.0001,-TRUNC(BW38/VLOOKUP("PCS-OzTL741",ARBOR!$A:$C,3,0)-1,4)))))</f>
        <v/>
      </c>
      <c r="BY38" s="28" t="str">
        <f>IF(ISERROR(IF(BX38="","",VLOOKUP((BC38&amp;BX38&amp;"Template desconto FLAT Plano Principal Oi TV nível conta"),BENEFICIOS!$A:$G,5,0))),"Criar",IF(BX38="","",VLOOKUP((BC38&amp;BX38&amp;"Template desconto FLAT Plano Principal Oi TV nível conta"),BENEFICIOS!$A:$G,5,0)))</f>
        <v/>
      </c>
      <c r="BZ38" s="8"/>
      <c r="CA38" s="3" t="str">
        <f>IF(BZ38=0,"",IF(BZ38=VLOOKUP("PCS-OzTL744",ARBOR!$A:$C,3,0),0.0001,IF(BZ38&gt;VLOOKUP("PCS-OzTL744",ARBOR!$A:$C,3,0),"Maior que CAP!",IF((DOLLAR(BZ38+(VLOOKUP("PCS-OzTL744",ARBOR!$A:$C,3,0)*-TRUNC(BZ38/VLOOKUP("PCS-OzTL744",ARBOR!$A:$C,3,0)-1,4)),6))&lt;&gt;(DOLLAR(VLOOKUP("PCS-OzTL744",ARBOR!$A:$C,3,0),6)),-TRUNC(BZ38/VLOOKUP("PCS-OzTL744",ARBOR!$A:$C,3,0)-1,4)+0.0001,-TRUNC(BZ38/VLOOKUP("PCS-OzTL744",ARBOR!$A:$C,3,0)-1,4)))))</f>
        <v/>
      </c>
      <c r="CB38" s="28" t="str">
        <f>IF(ISERROR(IF(CA38="","",VLOOKUP(($BC38&amp;CA38&amp;"Template desconto FLAT Plano Principal Oi TV nível conta"),BENEFICIOS!$A:$G,5,0))),"Criar",IF(CA38="","",VLOOKUP(($BC38&amp;CA38&amp;"Template desconto FLAT Plano Principal Oi TV nível conta"),BENEFICIOS!$A:$G,5,0)))</f>
        <v/>
      </c>
      <c r="CC38" s="8"/>
      <c r="CD38" s="3" t="str">
        <f>IF(CC38=0,"",IF(CC38=VLOOKUP("PCS-OzTL743",ARBOR!$A:$C,3,0),0.0001,IF(CC38&gt;VLOOKUP("PCS-OzTL743",ARBOR!$A:$C,3,0),"Maior que CAP!",IF((DOLLAR(CC38+(VLOOKUP("PCS-OzTL743",ARBOR!$A:$C,3,0)*-TRUNC(CC38/VLOOKUP("PCS-OzTL743",ARBOR!$A:$C,3,0)-1,4)),6))&lt;&gt;(DOLLAR(VLOOKUP("PCS-OzTL743",ARBOR!$A:$C,3,0),6)),-TRUNC(CC38/VLOOKUP("PCS-OzTL743",ARBOR!$A:$C,3,0)-1,4)+0.0001,-TRUNC(CC38/VLOOKUP("PCS-OzTL743",ARBOR!$A:$C,3,0)-1,4)))))</f>
        <v/>
      </c>
      <c r="CE38" s="28" t="str">
        <f>IF(ISERROR(IF(CD38="","",VLOOKUP(($BC38&amp;CD38&amp;"Template desconto FLAT Plano Principal Oi TV nível conta"),BENEFICIOS!$A:$G,5,0))),"Criar",IF(CD38="","",VLOOKUP(($BC38&amp;CD38&amp;"Template desconto FLAT Plano Principal Oi TV nível conta"),BENEFICIOS!$A:$G,5,0)))</f>
        <v/>
      </c>
      <c r="CF38" s="8"/>
      <c r="CG38" s="3" t="str">
        <f>IF(CF38=0,"",IF(CF38=VLOOKUP("PCS-OzTL745",ARBOR!$A:$C,3,0),0.0001,IF(CF38&gt;VLOOKUP("PCS-OzTL745",ARBOR!$A:$C,3,0),"Maior que CAP!",IF((DOLLAR(CF38+(VLOOKUP("PCS-OzTL745",ARBOR!$A:$C,3,0)*-TRUNC(CF38/VLOOKUP("PCS-OzTL745",ARBOR!$A:$C,3,0)-1,4)),6))&lt;&gt;(DOLLAR(VLOOKUP("PCS-OzTL745",ARBOR!$A:$C,3,0),6)),-TRUNC(CF38/VLOOKUP("PCS-OzTL745",ARBOR!$A:$C,3,0)-1,4)+0.0001,-TRUNC(CF38/VLOOKUP("PCS-OzTL745",ARBOR!$A:$C,3,0)-1,4)))))</f>
        <v/>
      </c>
      <c r="CH38" s="28" t="str">
        <f>IF(ISERROR(IF(CG38="","",VLOOKUP(($BC38&amp;CG38&amp;"Template desconto FLAT Plano Principal Oi TV nível conta"),BENEFICIOS!$A:$G,5,0))),"Criar",IF(CG38="","",VLOOKUP(($BC38&amp;CG38&amp;"Template desconto FLAT Plano Principal Oi TV nível conta"),BENEFICIOS!$A:$G,5,0)))</f>
        <v/>
      </c>
      <c r="CI38" s="8"/>
      <c r="CJ38" s="3" t="str">
        <f>IF(CI38=0,"",IF(CI38=VLOOKUP("PCS-OzTL42",ARBOR!$A:$C,3,0),0.0001,IF(CI38&gt;VLOOKUP("PCS-OzTL42",ARBOR!$A:$C,3,0),"Maior que CAP!",IF((DOLLAR(CI38+(VLOOKUP("PCS-OzTL42",ARBOR!$A:$C,3,0)*-TRUNC(CI38/VLOOKUP("PCS-OzTL42",ARBOR!$A:$C,3,0)-1,4)),6))&lt;&gt;(DOLLAR(VLOOKUP("PCS-OzTL42",ARBOR!$A:$C,3,0),6)),-TRUNC(CI38/VLOOKUP("PCS-OzTL42",ARBOR!$A:$C,3,0)-1,4)+0.0001,-TRUNC(CI38/VLOOKUP("PCS-OzTL42",ARBOR!$A:$C,3,0)-1,4)))))</f>
        <v/>
      </c>
      <c r="CK38" s="28" t="str">
        <f>IF(ISERROR(IF(CJ38="","",VLOOKUP(($BC38&amp;CJ38&amp;"Template desconto FLAT Plano Principal Oi TV nível conta"),BENEFICIOS!$A:$G,5,0))),"Criar",IF(CJ38="","",VLOOKUP(($BC38&amp;CJ38&amp;"Template desconto FLAT Plano Principal Oi TV nível conta"),BENEFICIOS!$A:$G,5,0)))</f>
        <v/>
      </c>
      <c r="CL38" s="8"/>
      <c r="CM38" s="3" t="str">
        <f>IF(CL38=0,"",IF(CL38=VLOOKUP("PCS-OzTL47",ARBOR!$A:$C,3,0),0.0001,IF(CL38&gt;VLOOKUP("PCS-OzTL47",ARBOR!$A:$C,3,0),"Maior que CAP!",IF((DOLLAR(CL38+(VLOOKUP("PCS-OzTL47",ARBOR!$A:$C,3,0)*-TRUNC(CL38/VLOOKUP("PCS-OzTL47",ARBOR!$A:$C,3,0)-1,4)),6))&lt;&gt;(DOLLAR(VLOOKUP("PCS-OzTL47",ARBOR!$A:$C,3,0),6)),-TRUNC(CL38/VLOOKUP("PCS-OzTL47",ARBOR!$A:$C,3,0)-1,4)+0.0001,-TRUNC(CL38/VLOOKUP("PCS-OzTL47",ARBOR!$A:$C,3,0)-1,4)))))</f>
        <v/>
      </c>
      <c r="CN38" s="28" t="str">
        <f>IF(ISERROR(IF(CM38="","",VLOOKUP(($BC38&amp;CM38&amp;"Template desconto FLAT Plano Principal Oi TV nível conta"),BENEFICIOS!$A:$G,5,0))),"Criar",IF(CM38="","",VLOOKUP(($BC38&amp;CM38&amp;"Template desconto FLAT Plano Principal Oi TV nível conta"),BENEFICIOS!$A:$G,5,0)))</f>
        <v/>
      </c>
      <c r="CO38" s="8"/>
      <c r="CP38" s="3" t="str">
        <f>IF(CO38=0,"",IF(CO38=VLOOKUP("PCS-OzTL46",ARBOR!$A:$C,3,0),0.0001,IF(CO38&gt;VLOOKUP("PCS-OzTL46",ARBOR!$A:$C,3,0),"Maior que CAP!",IF((DOLLAR(CO38+(VLOOKUP("PCS-OzTL46",ARBOR!$A:$C,3,0)*-TRUNC(CO38/VLOOKUP("PCS-OzTL46",ARBOR!$A:$C,3,0)-1,4)),6))&lt;&gt;(DOLLAR(VLOOKUP("PCS-OzTL46",ARBOR!$A:$C,3,0),6)),-TRUNC(CO38/VLOOKUP("PCS-OzTL46",ARBOR!$A:$C,3,0)-1,4)+0.0001,-TRUNC(CO38/VLOOKUP("PCS-OzTL46",ARBOR!$A:$C,3,0)-1,4)))))</f>
        <v/>
      </c>
      <c r="CQ38" s="28" t="str">
        <f>IF(ISERROR(IF(CP38="","",VLOOKUP(($BC38&amp;CP38&amp;"Template desconto FLAT Plano Principal Oi TV nível conta"),BENEFICIOS!$A:$G,5,0))),"Criar",IF(CP38="","",VLOOKUP(($BC38&amp;CP38&amp;"Template desconto FLAT Plano Principal Oi TV nível conta"),BENEFICIOS!$A:$G,5,0)))</f>
        <v/>
      </c>
      <c r="CR38" s="8"/>
      <c r="CS38" s="3" t="str">
        <f>IF(CR38=0,"",IF(CR38=VLOOKUP("PCS-OzTL48",ARBOR!$A:$C,3,0),0.0001,IF(CR38&gt;VLOOKUP("PCS-OzTL48",ARBOR!$A:$C,3,0),"Maior que CAP!",IF((DOLLAR(CR38+(VLOOKUP("PCS-OzTL48",ARBOR!$A:$C,3,0)*-TRUNC(CR38/VLOOKUP("PCS-OzTL48",ARBOR!$A:$C,3,0)-1,4)),6))&lt;&gt;(DOLLAR(VLOOKUP("PCS-OzTL48",ARBOR!$A:$C,3,0),6)),-TRUNC(CR38/VLOOKUP("PCS-OzTL48",ARBOR!$A:$C,3,0)-1,4)+0.0001,-TRUNC(CR38/VLOOKUP("PCS-OzTL48",ARBOR!$A:$C,3,0)-1,4)))))</f>
        <v/>
      </c>
      <c r="CT38" s="28" t="str">
        <f>IF(ISERROR(IF(CS38="","",VLOOKUP(($BC38&amp;CS38&amp;"Template desconto FLAT Plano Principal Oi TV nível conta"),BENEFICIOS!$A:$G,5,0))),"Criar",IF(CS38="","",VLOOKUP(($BC38&amp;CS38&amp;"Template desconto FLAT Plano Principal Oi TV nível conta"),BENEFICIOS!$A:$G,5,0)))</f>
        <v/>
      </c>
      <c r="CU38" s="8"/>
      <c r="CV38" s="3" t="str">
        <f>IF(CU38=0,"",IF(CU38=VLOOKUP("PCS-OzTL742",ARBOR!$A:$C,3,0),0.0001,IF(CU38&gt;VLOOKUP("PCS-OzTL742",ARBOR!$A:$C,3,0),"Maior que CAP!",IF((DOLLAR(CU38+(VLOOKUP("PCS-OzTL742",ARBOR!$A:$C,3,0)*-TRUNC(CU38/VLOOKUP("PCS-OzTL742",ARBOR!$A:$C,3,0)-1,4)),6))&lt;&gt;(DOLLAR(VLOOKUP("PCS-OzTL742",ARBOR!$A:$C,3,0),6)),-TRUNC(CU38/VLOOKUP("PCS-OzTL742",ARBOR!$A:$C,3,0)-1,4)+0.0001,-TRUNC(CU38/VLOOKUP("PCS-OzTL742",ARBOR!$A:$C,3,0)-1,4)))))</f>
        <v/>
      </c>
      <c r="CW38" s="28" t="str">
        <f>IF(ISERROR(IF(CV38="","",VLOOKUP(($BC38&amp;CV38&amp;"Template desconto FLAT Plano Principal Oi TV nível conta"),BENEFICIOS!$A:$G,5,0))),"Criar",IF(CV38="","",VLOOKUP(($BC38&amp;CV38&amp;"Template desconto FLAT Plano Principal Oi TV nível conta"),BENEFICIOS!$A:$G,5,0)))</f>
        <v/>
      </c>
      <c r="CX38" s="8"/>
      <c r="CY38" s="3" t="str">
        <f>IF(CX38=0,"",IF(CX38=VLOOKUP("PCS-OzTL747",ARBOR!$A:$C,3,0),0.0001,IF(CX38&gt;VLOOKUP("PCS-OzTL747",ARBOR!$A:$C,3,0),"Maior que CAP!",IF((DOLLAR(CX38+(VLOOKUP("PCS-OzTL747",ARBOR!$A:$C,3,0)*-TRUNC(CX38/VLOOKUP("PCS-OzTL747",ARBOR!$A:$C,3,0)-1,4)),6))&lt;&gt;(DOLLAR(VLOOKUP("PCS-OzTL747",ARBOR!$A:$C,3,0),6)),-TRUNC(CX38/VLOOKUP("PCS-OzTL747",ARBOR!$A:$C,3,0)-1,4)+0.0001,-TRUNC(CX38/VLOOKUP("PCS-OzTL747",ARBOR!$A:$C,3,0)-1,4)))))</f>
        <v/>
      </c>
      <c r="CZ38" s="28" t="str">
        <f>IF(ISERROR(IF(CY38="","",VLOOKUP(($BC38&amp;CY38&amp;"Template desconto FLAT Plano Principal Oi TV nível conta"),BENEFICIOS!$A:$G,5,0))),"Criar",IF(CY38="","",VLOOKUP(($BC38&amp;CY38&amp;"Template desconto FLAT Plano Principal Oi TV nível conta"),BENEFICIOS!$A:$G,5,0)))</f>
        <v/>
      </c>
      <c r="DA38" s="8"/>
      <c r="DB38" s="3" t="str">
        <f>IF(DA38=0,"",IF(DA38=VLOOKUP("PCS-OzTL746",ARBOR!$A:$C,3,0),0.0001,IF(DA38&gt;VLOOKUP("PCS-OzTL746",ARBOR!$A:$C,3,0),"Maior que CAP!",IF((DOLLAR(DA38+(VLOOKUP("PCS-OzTL746",ARBOR!$A:$C,3,0)*-TRUNC(DA38/VLOOKUP("PCS-OzTL746",ARBOR!$A:$C,3,0)-1,4)),6))&lt;&gt;(DOLLAR(VLOOKUP("PCS-OzTL746",ARBOR!$A:$C,3,0),6)),-TRUNC(DA38/VLOOKUP("PCS-OzTL746",ARBOR!$A:$C,3,0)-1,4)+0.0001,-TRUNC(DA38/VLOOKUP("PCS-OzTL746",ARBOR!$A:$C,3,0)-1,4)))))</f>
        <v/>
      </c>
      <c r="DC38" s="28" t="str">
        <f>IF(ISERROR(IF(DB38="","",VLOOKUP(($BC38&amp;DB38&amp;"Template desconto FLAT Plano Principal Oi TV nível conta"),BENEFICIOS!$A:$G,5,0))),"Criar",IF(DB38="","",VLOOKUP(($BC38&amp;DB38&amp;"Template desconto FLAT Plano Principal Oi TV nível conta"),BENEFICIOS!$A:$G,5,0)))</f>
        <v/>
      </c>
      <c r="DD38" s="8"/>
      <c r="DE38" s="3" t="str">
        <f>IF(DD38=0,"",IF(DD38=VLOOKUP("PCS-OzTL748",ARBOR!$A:$C,3,0),0.0001,IF(DD38&gt;VLOOKUP("PCS-OzTL748",ARBOR!$A:$C,3,0),"Maior que CAP!",IF((DOLLAR(DD38+(VLOOKUP("PCS-OzTL748",ARBOR!$A:$C,3,0)*-TRUNC(DD38/VLOOKUP("PCS-OzTL748",ARBOR!$A:$C,3,0)-1,4)),6))&lt;&gt;(DOLLAR(VLOOKUP("PCS-OzTL748",ARBOR!$A:$C,3,0),6)),-TRUNC(DD38/VLOOKUP("PCS-OzTL748",ARBOR!$A:$C,3,0)-1,4)+0.0001,-TRUNC(DD38/VLOOKUP("PCS-OzTL748",ARBOR!$A:$C,3,0)-1,4)))))</f>
        <v/>
      </c>
      <c r="DF38" s="28" t="str">
        <f>IF(ISERROR(IF(DE38="","",VLOOKUP(($BC38&amp;DE38&amp;"Template desconto FLAT Plano Principal Oi TV nível conta"),BENEFICIOS!$A:$G,5,0))),"Criar",IF(DE38="","",VLOOKUP(($BC38&amp;DE38&amp;"Template desconto FLAT Plano Principal Oi TV nível conta"),BENEFICIOS!$A:$G,5,0)))</f>
        <v/>
      </c>
      <c r="DG38" s="8"/>
      <c r="DH38" s="3" t="str">
        <f>IF(DG38=0,"",IF(DG38=VLOOKUP("PCS-OzTL34",ARBOR!$A:$C,3,0),0.0001,IF(DG38&gt;VLOOKUP("PCS-OzTL34",ARBOR!$A:$C,3,0),"Maior que CAP!",IF((DOLLAR(DG38+(VLOOKUP("PCS-OzTL34",ARBOR!$A:$C,3,0)*-TRUNC(DG38/VLOOKUP("PCS-OzTL34",ARBOR!$A:$C,3,0)-1,4)),6))&lt;&gt;(DOLLAR(VLOOKUP("PCS-OzTL34",ARBOR!$A:$C,3,0),6)),-TRUNC(DG38/VLOOKUP("PCS-OzTL34",ARBOR!$A:$C,3,0)-1,4)+0.0001,-TRUNC(DG38/VLOOKUP("PCS-OzTL34",ARBOR!$A:$C,3,0)-1,4)))))</f>
        <v/>
      </c>
      <c r="DI38" s="28" t="str">
        <f>IF(DH38="S/Desc","S/Desc",IF(ISERROR(IF(DH38="","",VLOOKUP(($BC38&amp;DH38&amp;"Template desconto % Combate nível conta"),BENEFICIOS!$A:$G,5,0))),"Criar",IF(DH38="","",VLOOKUP(($BC38&amp;DH38&amp;"Template desconto % Combate nível conta"),BENEFICIOS!$A:$G,5,0))))</f>
        <v/>
      </c>
      <c r="DJ38" s="8"/>
      <c r="DK38" s="3" t="str">
        <f>IF(DJ38=0,"",IF(DJ38=VLOOKUP("PCS-OzTL31",ARBOR!$A:$C,3,0),0.0001,IF(DJ38&gt;VLOOKUP("PCS-OzTL31",ARBOR!$A:$C,3,0),"Maior que CAP!",IF((DOLLAR(DJ38+(VLOOKUP("PCS-OzTL31",ARBOR!$A:$C,3,0)*-TRUNC(DJ38/VLOOKUP("PCS-OzTL31",ARBOR!$A:$C,3,0)-1,4)),6))&lt;&gt;(DOLLAR(VLOOKUP("PCS-OzTL31",ARBOR!$A:$C,3,0),6)),-TRUNC(DJ38/VLOOKUP("PCS-OzTL31",ARBOR!$A:$C,3,0)-1,4)+0.0001,-TRUNC(DJ38/VLOOKUP("PCS-OzTL31",ARBOR!$A:$C,3,0)-1,4)))))</f>
        <v/>
      </c>
      <c r="DL38" s="28" t="str">
        <f>IF(DK38="S/Desc","S/Desc",IF(ISERROR(IF(DK38="","",VLOOKUP(($BC38&amp;DK38&amp;"Template desconto % Sexy Hot nível conta"),BENEFICIOS!$A:$G,5,0))),"Criar",IF(DK38="","",VLOOKUP(($BC38&amp;DK38&amp;"Template desconto % Sexy Hot nível conta"),BENEFICIOS!$A:$G,5,0))))</f>
        <v/>
      </c>
      <c r="DM38" s="8"/>
      <c r="DN38" s="3" t="str">
        <f>IF(DM38=0,"",IF(DM38=VLOOKUP("PCS-OzTL32",ARBOR!$A:$C,3,0),0.0001,IF(DM38&gt;VLOOKUP("PCS-OzTL32",ARBOR!$A:$C,3,0),"Maior que CAP!",IF((DOLLAR(DM38+(VLOOKUP("PCS-OzTL32",ARBOR!$A:$C,3,0)*-TRUNC(DM38/VLOOKUP("PCS-OzTL32",ARBOR!$A:$C,3,0)-1,4)),6))&lt;&gt;(DOLLAR(VLOOKUP("PCS-OzTL32",ARBOR!$A:$C,3,0),6)),-TRUNC(DM38/VLOOKUP("PCS-OzTL32",ARBOR!$A:$C,3,0)-1,4)+0.0001,-TRUNC(DM38/VLOOKUP("PCS-OzTL32",ARBOR!$A:$C,3,0)-1,4)))))</f>
        <v/>
      </c>
      <c r="DO38" s="28" t="str">
        <f>IF(DN38="S/Desc","S/Desc",IF(ISERROR(IF(DN38="","",VLOOKUP(($BC38&amp;DN38&amp;"Template desconto % Playboy nível conta"),BENEFICIOS!$A:$G,5,0))),"Criar",IF(DN38="","",VLOOKUP(($BC38&amp;DN38&amp;"Template desconto % Playboy nível conta"),BENEFICIOS!$A:$G,5,0))))</f>
        <v/>
      </c>
      <c r="DP38" s="8"/>
      <c r="DQ38" s="3" t="str">
        <f>IF(DP38=0,"",IF(DP38=VLOOKUP("PCS-OzTL33",ARBOR!$A:$C,3,0),0.0001,IF(DP38&gt;VLOOKUP("PCS-OzTL33",ARBOR!$A:$C,3,0),"Maior que CAP!",IF((DOLLAR(DP38+(VLOOKUP("PCS-OzTL33",ARBOR!$A:$C,3,0)*-TRUNC(DP38/VLOOKUP("PCS-OzTL33",ARBOR!$A:$C,3,0)-1,4)),6))&lt;&gt;(DOLLAR(VLOOKUP("PCS-OzTL33",ARBOR!$A:$C,3,0),6)),-TRUNC(DP38/VLOOKUP("PCS-OzTL33",ARBOR!$A:$C,3,0)-1,4)+0.0001,-TRUNC(DP38/VLOOKUP("PCS-OzTL33",ARBOR!$A:$C,3,0)-1,4)))))</f>
        <v/>
      </c>
      <c r="DR38" s="28" t="str">
        <f>IF(DQ38="S/Desc","S/Desc",IF(ISERROR(IF(DQ38="","",VLOOKUP(($BC38&amp;DQ38&amp;"Template desconto % Sexy Hot + Playboy nível conta"),BENEFICIOS!$A:$G,5,0))),"Criar",IF(DQ38="","",VLOOKUP(($BC38&amp;DQ38&amp;"Template desconto % Sexy Hot + Playboy nível conta"),BENEFICIOS!$A:$G,5,0))))</f>
        <v/>
      </c>
      <c r="DS38" s="8"/>
      <c r="DT38" s="3" t="str">
        <f>IF(DS38=0,"",IF(DS38=VLOOKUP("PCS-OzTL503",ARBOR!$A:$C,3,0),0.0001,IF(DS38&gt;VLOOKUP("PCS-OzTL503",ARBOR!$A:$C,3,0),"Maior que CAP!",IF((DOLLAR(DS38+(VLOOKUP("PCS-OzTL503",ARBOR!$A:$C,3,0)*-TRUNC(DS38/VLOOKUP("PCS-OzTL503",ARBOR!$A:$C,3,0)-1,4)),6))&lt;&gt;(DOLLAR(VLOOKUP("PCS-OzTL503",ARBOR!$A:$C,3,0),6)),-TRUNC(DS38/VLOOKUP("PCS-OzTL503",ARBOR!$A:$C,3,0)-1,4)+0.0001,-TRUNC(DS38/VLOOKUP("PCS-OzTL503",ARBOR!$A:$C,3,0)-1,4)))))</f>
        <v/>
      </c>
      <c r="DU38" s="28" t="str">
        <f>IF(DT38="S/Desc","S/Desc",IF(ISERROR(IF(DT38="","",VLOOKUP(($BC38&amp;DT38&amp;"Template desconto % SexPrivê nível conta"),BENEFICIOS!$A:$G,5,0))),"Criar",IF(DT38="","",VLOOKUP(($BC38&amp;DT38&amp;"Template desconto % SexPrivê nível conta"),BENEFICIOS!$A:$G,5,0))))</f>
        <v/>
      </c>
      <c r="DV38" s="8"/>
      <c r="DW38" s="3" t="str">
        <f>IF(DV38=0,"",IF(DV38=VLOOKUP("PCS-OzTL500",ARBOR!$A:$C,3,0),0.0001,IF(DV38&gt;VLOOKUP("PCS-OzTL500",ARBOR!$A:$C,3,0),"Maior que CAP!",IF((DOLLAR(DV38+(VLOOKUP("PCS-OzTL500",ARBOR!$A:$C,3,0)*-TRUNC(DV38/VLOOKUP("PCS-OzTL500",ARBOR!$A:$C,3,0)-1,4)),6))&lt;&gt;(DOLLAR(VLOOKUP("PCS-OzTL500",ARBOR!$A:$C,3,0),6)),-TRUNC(DV38/VLOOKUP("PCS-OzTL500",ARBOR!$A:$C,3,0)-1,4)+0.0001,-TRUNC(DV38/VLOOKUP("PCS-OzTL500",ARBOR!$A:$C,3,0)-1,4)))))</f>
        <v/>
      </c>
      <c r="DX38" s="28" t="str">
        <f>IF(DW38="S/Desc","S/Desc",IF(ISERROR(IF(DW38="","",VLOOKUP(($BC38&amp;DW38&amp;"Template desconto % Étnico nível conta"),BENEFICIOS!$A:$G,5,0))),"Criar",IF(DW38="","",VLOOKUP(($BC38&amp;DW38&amp;"Template desconto % Étnico nível conta"),BENEFICIOS!$A:$G,5,0))))</f>
        <v/>
      </c>
      <c r="DY38" s="8"/>
      <c r="DZ38" s="181" t="str">
        <f>IF(DY38=0,"",IF(DY38=VLOOKUP("PCS-OzTL50",ARBOR!$A:$C,3,0),0.0001,IF(DY38&gt;VLOOKUP("PCS-OzTL50",ARBOR!$A:$C,3,0),"Maior que CAP!",IF((DOLLAR(DY38+(VLOOKUP("PCS-OzTL50",ARBOR!$A:$C,3,0)*-TRUNC(DY38/VLOOKUP("PCS-OzTL50",ARBOR!$A:$C,3,0)-1,4)),6))&lt;&gt;(DOLLAR(VLOOKUP("PCS-OzTL50",ARBOR!$A:$C,3,0),6)),-TRUNC(DY38/VLOOKUP("PCS-OzTL50",ARBOR!$A:$C,3,0)-1,4)+0.0001,-TRUNC(DY38/VLOOKUP("PCS-OzTL50",ARBOR!$A:$C,3,0)-1,4)))))</f>
        <v/>
      </c>
      <c r="EA38" s="28"/>
      <c r="EB38" s="8"/>
      <c r="EC38" s="181" t="str">
        <f>IF(EB38=0,"",IF(EB38=VLOOKUP("PCS-OzTL51",ARBOR!$A:$C,3,0),0.0001,IF(EB38&gt;VLOOKUP("PCS-OzTL51",ARBOR!$A:$C,3,0),"Maior que CAP!",IF((DOLLAR(EB38+(VLOOKUP("PCS-OzTL51",ARBOR!$A:$C,3,0)*-TRUNC(EB38/VLOOKUP("PCS-OzTL51",ARBOR!$A:$C,3,0)-1,4)),6))&lt;&gt;(DOLLAR(VLOOKUP("PCS-OzTL51",ARBOR!$A:$C,3,0),6)),-TRUNC(EB38/VLOOKUP("PCS-OzTL51",ARBOR!$A:$C,3,0)-1,4)+0.0001,-TRUNC(EB38/VLOOKUP("PCS-OzTL51",ARBOR!$A:$C,3,0)-1,4)))))</f>
        <v/>
      </c>
      <c r="ED38" s="28"/>
      <c r="EE38" s="8"/>
      <c r="EF38" s="181" t="str">
        <f>IF(EE38=0,"",IF(EE38=VLOOKUP("PCS-OzTL52",ARBOR!$A:$C,3,0),0.0001,IF(EE38&gt;VLOOKUP("PCS-OzTL52",ARBOR!$A:$C,3,0),"Maior que CAP!",IF((DOLLAR(EE38+(VLOOKUP("PCS-OzTL52",ARBOR!$A:$C,3,0)*-TRUNC(EE38/VLOOKUP("PCS-OzTL52",ARBOR!$A:$C,3,0)-1,4)),6))&lt;&gt;(DOLLAR(VLOOKUP("PCS-OzTL52",ARBOR!$A:$C,3,0),6)),-TRUNC(EE38/VLOOKUP("PCS-OzTL52",ARBOR!$A:$C,3,0)-1,4)+0.0001,-TRUNC(EE38/VLOOKUP("PCS-OzTL52",ARBOR!$A:$C,3,0)-1,4)))))</f>
        <v/>
      </c>
      <c r="EG38" s="28"/>
      <c r="EH38" s="8"/>
      <c r="EI38" s="181" t="str">
        <f>IF(EH38=0,"",IF(EH38=VLOOKUP("PCS-OzTL53",ARBOR!$A:$C,3,0),0.0001,IF(EH38&gt;VLOOKUP("PCS-OzTL53",ARBOR!$A:$C,3,0),"Maior que CAP!",IF((DOLLAR(EH38+(VLOOKUP("PCS-OzTL53",ARBOR!$A:$C,3,0)*-TRUNC(EH38/VLOOKUP("PCS-OzTL53",ARBOR!$A:$C,3,0)-1,4)),6))&lt;&gt;(DOLLAR(VLOOKUP("PCS-OzTL53",ARBOR!$A:$C,3,0),6)),-TRUNC(EH38/VLOOKUP("PCS-OzTL53",ARBOR!$A:$C,3,0)-1,4)+0.0001,-TRUNC(EH38/VLOOKUP("PCS-OzTL53",ARBOR!$A:$C,3,0)-1,4)))))</f>
        <v/>
      </c>
      <c r="EJ38" s="28"/>
      <c r="EK38" s="8"/>
      <c r="EL38" s="181" t="str">
        <f>IF(EK38=0,"",IF(EK38=VLOOKUP("PCS-OzTL54",ARBOR!$A:$C,3,0),0.0001,IF(EK38&gt;VLOOKUP("PCS-OzTL54",ARBOR!$A:$C,3,0),"Maior que CAP!",IF((DOLLAR(EK38+(VLOOKUP("PCS-OzTL54",ARBOR!$A:$C,3,0)*-TRUNC(EK38/VLOOKUP("PCS-OzTL54",ARBOR!$A:$C,3,0)-1,4)),6))&lt;&gt;(DOLLAR(VLOOKUP("PCS-OzTL54",ARBOR!$A:$C,3,0),6)),-TRUNC(EK38/VLOOKUP("PCS-OzTL54",ARBOR!$A:$C,3,0)-1,4)+0.0001,-TRUNC(EK38/VLOOKUP("PCS-OzTL54",ARBOR!$A:$C,3,0)-1,4)))))</f>
        <v/>
      </c>
      <c r="EM38" s="28"/>
      <c r="EN38" s="8"/>
      <c r="EO38" s="3" t="str">
        <f>IF(EN38=0,"",IF(EN38=VLOOKUP("PCS-OzTL99",ARBOR!$A:$C,3,0),0.0001,IF(EN38&gt;VLOOKUP("PCS-OzTL99",ARBOR!$A:$C,3,0),"Maior que CAP!",IF((DOLLAR(EN38+(VLOOKUP("PCS-OzTL99",ARBOR!$A:$C,3,0)*-TRUNC(EN38/VLOOKUP("PCS-OzTL99",ARBOR!$A:$C,3,0)-1,4)),6))&lt;&gt;(DOLLAR(VLOOKUP("PCS-OzTL99",ARBOR!$A:$C,3,0),6)),-TRUNC(EN38/VLOOKUP("PCS-OzTL99",ARBOR!$A:$C,3,0)-1,4)+0.0001,-TRUNC(EN38/VLOOKUP("PCS-OzTL99",ARBOR!$A:$C,3,0)-1,4)))))</f>
        <v/>
      </c>
      <c r="EP38" s="28" t="str">
        <f>IF(EO38="S/Desc","S/Desc",IF(ISERROR(IF(EO38="","",VLOOKUP(($BC38&amp;EO38&amp;"Template desconto % Ponto adicional nível conta"),BENEFICIOS!$A:$G,5,0))),"Criar",IF(EO38="","",VLOOKUP(($BC38&amp;EO38&amp;"Template desconto % Ponto adicional nível conta"),BENEFICIOS!$A:$G,5,0))))</f>
        <v/>
      </c>
      <c r="EQ38" s="8"/>
      <c r="ER38" s="28" t="str">
        <f t="shared" si="23"/>
        <v/>
      </c>
      <c r="ES38" s="62"/>
      <c r="ET38" s="126"/>
      <c r="EU38" s="127"/>
      <c r="EV38" s="126"/>
      <c r="EW38" s="128" t="str">
        <f t="shared" si="24"/>
        <v/>
      </c>
      <c r="EX38" s="129" t="str">
        <f t="shared" si="25"/>
        <v/>
      </c>
      <c r="EY38" s="91" t="str">
        <f t="shared" si="26"/>
        <v/>
      </c>
      <c r="EZ38" s="85"/>
      <c r="FA38" s="97"/>
      <c r="FB38" s="91"/>
      <c r="FC38" s="85"/>
      <c r="FD38" s="97"/>
      <c r="FE38" s="91"/>
      <c r="FF38" s="87"/>
      <c r="FG38" s="144" t="str">
        <f t="shared" si="5"/>
        <v/>
      </c>
      <c r="FH38" s="144" t="str">
        <f t="shared" si="6"/>
        <v/>
      </c>
      <c r="FI38" s="144" t="str">
        <f t="shared" si="7"/>
        <v/>
      </c>
      <c r="FJ38" s="144" t="str">
        <f t="shared" si="8"/>
        <v/>
      </c>
      <c r="FK38" s="144" t="str">
        <f t="shared" si="9"/>
        <v/>
      </c>
      <c r="FL38" s="144" t="str">
        <f t="shared" si="10"/>
        <v/>
      </c>
      <c r="FM38" s="144" t="str">
        <f t="shared" si="11"/>
        <v/>
      </c>
      <c r="FN38" s="144" t="str">
        <f t="shared" si="12"/>
        <v/>
      </c>
      <c r="FO38" s="144" t="str">
        <f t="shared" si="13"/>
        <v/>
      </c>
      <c r="FP38" s="144" t="str">
        <f t="shared" si="14"/>
        <v/>
      </c>
      <c r="FQ38" s="144" t="str">
        <f t="shared" si="15"/>
        <v/>
      </c>
      <c r="FR38" s="144" t="str">
        <f t="shared" si="16"/>
        <v/>
      </c>
      <c r="FS38" s="144" t="str">
        <f t="shared" si="17"/>
        <v/>
      </c>
      <c r="FT38" s="144" t="str">
        <f t="shared" si="18"/>
        <v/>
      </c>
      <c r="FU38" s="144" t="str">
        <f t="shared" si="19"/>
        <v/>
      </c>
      <c r="FV38" s="144" t="str">
        <f t="shared" si="20"/>
        <v/>
      </c>
      <c r="FW38" s="144" t="str">
        <f t="shared" si="21"/>
        <v/>
      </c>
      <c r="FX38" s="151"/>
      <c r="FY38" s="152"/>
      <c r="FZ38" s="152"/>
      <c r="GA38" s="152"/>
      <c r="GB38" s="152"/>
      <c r="GC38" s="152"/>
      <c r="GD38" s="152"/>
      <c r="GE38" s="152"/>
      <c r="GF38" s="152"/>
      <c r="GG38" s="153"/>
    </row>
    <row r="39" spans="1:189">
      <c r="A39" s="45"/>
      <c r="B39" s="133"/>
      <c r="C39" s="133"/>
      <c r="D39" s="46"/>
      <c r="E39" s="4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  <c r="U39" s="48"/>
      <c r="V39" s="49"/>
      <c r="W39" s="48"/>
      <c r="X39" s="48"/>
      <c r="Y39" s="48"/>
      <c r="Z39" s="48"/>
      <c r="AA39" s="49"/>
      <c r="AB39" s="48"/>
      <c r="AC39" s="50"/>
      <c r="AD39" s="48"/>
      <c r="AE39" s="48"/>
      <c r="AF39" s="48"/>
      <c r="AG39" s="48"/>
      <c r="AH39" s="48"/>
      <c r="AI39" s="48"/>
      <c r="AJ39" s="48"/>
      <c r="AK39" s="48"/>
      <c r="AL39" s="51"/>
      <c r="AM39" s="37"/>
      <c r="AN39" s="38"/>
      <c r="AO39" s="39"/>
      <c r="AP39" s="52"/>
      <c r="AQ39" s="53"/>
      <c r="AR39" s="64"/>
      <c r="AS39" s="65"/>
      <c r="AT39" s="54"/>
      <c r="AU39" s="54"/>
      <c r="AV39" s="54"/>
      <c r="AW39" s="54"/>
      <c r="AX39" s="70"/>
      <c r="AY39" s="71"/>
      <c r="AZ39" s="72"/>
      <c r="BA39" s="73"/>
      <c r="BB39" s="55"/>
      <c r="BC39" s="56"/>
      <c r="BD39" s="27" t="str">
        <f t="shared" si="22"/>
        <v/>
      </c>
      <c r="BE39" s="58"/>
      <c r="BF39" s="3" t="str">
        <f>IF(BE39=0,"",IF(BE39=VLOOKUP("FIXO",ARBOR!$A:$C,3,0),0.0001,IF(BE39&gt;VLOOKUP("FIXO",ARBOR!$A:$C,3,0),"Maior que CAP!",IF((DOLLAR(BE39+(VLOOKUP("FIXO",ARBOR!$A:$C,3,0)*-TRUNC(BE39/VLOOKUP("FIXO",ARBOR!$A:$C,3,0)-1,4)),6))&lt;&gt;(DOLLAR(VLOOKUP("FIXO",ARBOR!$A:$C,3,0),6)),-TRUNC(BE39/VLOOKUP("FIXO",ARBOR!$A:$C,3,0)-1,4)+0.0001,-TRUNC(BE39/VLOOKUP("FIXO",ARBOR!$A:$C,3,0)-1,4)))))</f>
        <v/>
      </c>
      <c r="BG39" s="10" t="str">
        <f>IF(ISERROR(IF(BF39="","",VLOOKUP(($BC39&amp;BF39&amp;"Template de desconto FLAT bundle - Fixo - Varejo - Ganho Tributário Cross"),BENEFICIOS!$A:$G,5,0))),"Criar",IF(BF39="","",VLOOKUP(($BC39&amp;BF39&amp;"Template de desconto FLAT bundle - Fixo - Varejo - Ganho Tributário Cross"),BENEFICIOS!$A:$G,5,0)))</f>
        <v/>
      </c>
      <c r="BH39" s="8"/>
      <c r="BI39" s="3" t="str">
        <f>IF(BH39=0,"",IF(BH39=VLOOKUP("PCS-OzTL40",ARBOR!$A:$C,3,0),0.0001,IF(BH39&gt;VLOOKUP("PCS-OzTL40",ARBOR!$A:$C,3,0),"Maior que CAP!",IF((DOLLAR(BH39+(VLOOKUP("PCS-OzTL40",ARBOR!$A:$C,3,0)*-TRUNC(BH39/VLOOKUP("PCS-OzTL40",ARBOR!$A:$C,3,0)-1,4)),6))&lt;&gt;(DOLLAR(VLOOKUP("PCS-OzTL40",ARBOR!$A:$C,3,0),6)),-TRUNC(BH39/VLOOKUP("PCS-OzTL40",ARBOR!$A:$C,3,0)-1,4)+0.0001,-TRUNC(BH39/VLOOKUP("PCS-OzTL40",ARBOR!$A:$C,3,0)-1,4)))))</f>
        <v/>
      </c>
      <c r="BJ39" s="10" t="str">
        <f>IF(ISERROR(IF(BI39="","",VLOOKUP((BC39&amp;BI39&amp;"Template desconto FLAT Plano Principal Oi TV nível conta"),BENEFICIOS!$A:$G,5,0))),"Criar",IF(BI39="","",VLOOKUP((BC39&amp;BI39&amp;"Template desconto FLAT Plano Principal Oi TV nível conta"),BENEFICIOS!$A:$G,5,0)))</f>
        <v/>
      </c>
      <c r="BK39" s="8"/>
      <c r="BL39" s="3" t="str">
        <f>IF(BK39=0,"",IF(BK39=VLOOKUP("PCS-OzTL41",ARBOR!$A:$C,3,0),0.0001,IF(BK39&gt;VLOOKUP("PCS-OzTL41",ARBOR!$A:$C,3,0),"Maior que CAP!",IF((DOLLAR(BK39+(VLOOKUP("PCS-OzTL41",ARBOR!$A:$C,3,0)*-TRUNC(BK39/VLOOKUP("PCS-OzTL41",ARBOR!$A:$C,3,0)-1,4)),6))&lt;&gt;(DOLLAR(VLOOKUP("PCS-OzTL41",ARBOR!$A:$C,3,0),6)),-TRUNC(BK39/VLOOKUP("PCS-OzTL41",ARBOR!$A:$C,3,0)-1,4)+0.0001,-TRUNC(BK39/VLOOKUP("PCS-OzTL41",ARBOR!$A:$C,3,0)-1,4)))))</f>
        <v/>
      </c>
      <c r="BM39" s="28" t="str">
        <f>IF(ISERROR(IF(BL39="","",VLOOKUP((BC39&amp;BL39&amp;"Template desconto FLAT Plano Principal Oi TV nível conta"),BENEFICIOS!$A:$G,5,0))),"Criar",IF(BL39="","",VLOOKUP((BC39&amp;BL39&amp;"Template desconto FLAT Plano Principal Oi TV nível conta"),BENEFICIOS!$A:$G,5,0)))</f>
        <v/>
      </c>
      <c r="BN39" s="8"/>
      <c r="BO39" s="3" t="str">
        <f>IF(BN39=0,"",IF(BN39=VLOOKUP("PCS-OzTL44",ARBOR!$A:$C,3,0),0.0001,IF(BN39&gt;VLOOKUP("PCS-OzTL44",ARBOR!$A:$C,3,0),"Maior que CAP!",IF((DOLLAR(BN39+(VLOOKUP("PCS-OzTL44",ARBOR!$A:$C,3,0)*-TRUNC(BN39/VLOOKUP("PCS-OzTL44",ARBOR!$A:$C,3,0)-1,4)),6))&lt;&gt;(DOLLAR(VLOOKUP("PCS-OzTL44",ARBOR!$A:$C,3,0),6)),-TRUNC(BN39/VLOOKUP("PCS-OzTL44",ARBOR!$A:$C,3,0)-1,4)+0.0001,-TRUNC(BN39/VLOOKUP("PCS-OzTL44",ARBOR!$A:$C,3,0)-1,4)))))</f>
        <v/>
      </c>
      <c r="BP39" s="28" t="str">
        <f>IF(ISERROR(IF(BO39="","",VLOOKUP((BC39&amp;BO39&amp;"Template desconto FLAT Plano Principal Oi TV nível conta"),BENEFICIOS!$A:$G,5,0))),"Criar",IF(BO39="","",VLOOKUP((BC39&amp;BO39&amp;"Template desconto FLAT Plano Principal Oi TV nível conta"),BENEFICIOS!$A:$G,5,0)))</f>
        <v/>
      </c>
      <c r="BQ39" s="8"/>
      <c r="BR39" s="3" t="str">
        <f>IF(BQ39=0,"",IF(BQ39=VLOOKUP("PCS-OzTL43",ARBOR!$A:$C,3,0),0.0001,IF(BQ39&gt;VLOOKUP("PCS-OzTL43",ARBOR!$A:$C,3,0),"Maior que CAP!",IF((DOLLAR(BQ39+(VLOOKUP("PCS-OzTL43",ARBOR!$A:$C,3,0)*-TRUNC(BQ39/VLOOKUP("PCS-OzTL43",ARBOR!$A:$C,3,0)-1,4)),6))&lt;&gt;(DOLLAR(VLOOKUP("PCS-OzTL43",ARBOR!$A:$C,3,0),6)),-TRUNC(BQ39/VLOOKUP("PCS-OzTL43",ARBOR!$A:$C,3,0)-1,4)+0.0001,-TRUNC(BQ39/VLOOKUP("PCS-OzTL43",ARBOR!$A:$C,3,0)-1,4)))))</f>
        <v/>
      </c>
      <c r="BS39" s="28" t="str">
        <f>IF(ISERROR(IF(BR39="","",VLOOKUP((BC39&amp;BR39&amp;"Template desconto FLAT Plano Principal Oi TV nível conta"),BENEFICIOS!$A:$G,5,0))),"Criar",IF(BR39="","",VLOOKUP((BC39&amp;BR39&amp;"Template desconto FLAT Plano Principal Oi TV nível conta"),BENEFICIOS!$A:$G,5,0)))</f>
        <v/>
      </c>
      <c r="BT39" s="8"/>
      <c r="BU39" s="3" t="str">
        <f>IF(BT39=0,"",IF(BT39=VLOOKUP("PCS-OzTL45",ARBOR!$A:$C,3,0),0.0001,IF(BT39&gt;VLOOKUP("PCS-OzTL45",ARBOR!$A:$C,3,0),"Maior que CAP!",IF((DOLLAR(BT39+(VLOOKUP("PCS-OzTL45",ARBOR!$A:$C,3,0)*-TRUNC(BT39/VLOOKUP("PCS-OzTL45",ARBOR!$A:$C,3,0)-1,4)),6))&lt;&gt;(DOLLAR(VLOOKUP("PCS-OzTL45",ARBOR!$A:$C,3,0),6)),-TRUNC(BT39/VLOOKUP("PCS-OzTL45",ARBOR!$A:$C,3,0)-1,4)+0.0001,-TRUNC(BT39/VLOOKUP("PCS-OzTL45",ARBOR!$A:$C,3,0)-1,4)))))</f>
        <v/>
      </c>
      <c r="BV39" s="28" t="str">
        <f>IF(ISERROR(IF(BU39="","",VLOOKUP((BC39&amp;BU39&amp;"Template desconto FLAT Plano Principal Oi TV nível conta"),BENEFICIOS!$A:$G,5,0))),"Criar",IF(BU39="","",VLOOKUP((BC39&amp;BU39&amp;"Template desconto FLAT Plano Principal Oi TV nível conta"),BENEFICIOS!$A:$G,5,0)))</f>
        <v/>
      </c>
      <c r="BW39" s="8"/>
      <c r="BX39" s="3" t="str">
        <f>IF(BW39=0,"",IF(BW39=VLOOKUP("PCS-OzTL741",ARBOR!$A:$C,3,0),0.0001,IF(BW39&gt;VLOOKUP("PCS-OzTL741",ARBOR!$A:$C,3,0),"Maior que CAP!",IF((DOLLAR(BW39+(VLOOKUP("PCS-OzTL741",ARBOR!$A:$C,3,0)*-TRUNC(BW39/VLOOKUP("PCS-OzTL741",ARBOR!$A:$C,3,0)-1,4)),6))&lt;&gt;(DOLLAR(VLOOKUP("PCS-OzTL741",ARBOR!$A:$C,3,0),6)),-TRUNC(BW39/VLOOKUP("PCS-OzTL741",ARBOR!$A:$C,3,0)-1,4)+0.0001,-TRUNC(BW39/VLOOKUP("PCS-OzTL741",ARBOR!$A:$C,3,0)-1,4)))))</f>
        <v/>
      </c>
      <c r="BY39" s="28" t="str">
        <f>IF(ISERROR(IF(BX39="","",VLOOKUP((BC39&amp;BX39&amp;"Template desconto FLAT Plano Principal Oi TV nível conta"),BENEFICIOS!$A:$G,5,0))),"Criar",IF(BX39="","",VLOOKUP((BC39&amp;BX39&amp;"Template desconto FLAT Plano Principal Oi TV nível conta"),BENEFICIOS!$A:$G,5,0)))</f>
        <v/>
      </c>
      <c r="BZ39" s="8"/>
      <c r="CA39" s="3" t="str">
        <f>IF(BZ39=0,"",IF(BZ39=VLOOKUP("PCS-OzTL744",ARBOR!$A:$C,3,0),0.0001,IF(BZ39&gt;VLOOKUP("PCS-OzTL744",ARBOR!$A:$C,3,0),"Maior que CAP!",IF((DOLLAR(BZ39+(VLOOKUP("PCS-OzTL744",ARBOR!$A:$C,3,0)*-TRUNC(BZ39/VLOOKUP("PCS-OzTL744",ARBOR!$A:$C,3,0)-1,4)),6))&lt;&gt;(DOLLAR(VLOOKUP("PCS-OzTL744",ARBOR!$A:$C,3,0),6)),-TRUNC(BZ39/VLOOKUP("PCS-OzTL744",ARBOR!$A:$C,3,0)-1,4)+0.0001,-TRUNC(BZ39/VLOOKUP("PCS-OzTL744",ARBOR!$A:$C,3,0)-1,4)))))</f>
        <v/>
      </c>
      <c r="CB39" s="28" t="str">
        <f>IF(ISERROR(IF(CA39="","",VLOOKUP(($BC39&amp;CA39&amp;"Template desconto FLAT Plano Principal Oi TV nível conta"),BENEFICIOS!$A:$G,5,0))),"Criar",IF(CA39="","",VLOOKUP(($BC39&amp;CA39&amp;"Template desconto FLAT Plano Principal Oi TV nível conta"),BENEFICIOS!$A:$G,5,0)))</f>
        <v/>
      </c>
      <c r="CC39" s="8"/>
      <c r="CD39" s="3" t="str">
        <f>IF(CC39=0,"",IF(CC39=VLOOKUP("PCS-OzTL743",ARBOR!$A:$C,3,0),0.0001,IF(CC39&gt;VLOOKUP("PCS-OzTL743",ARBOR!$A:$C,3,0),"Maior que CAP!",IF((DOLLAR(CC39+(VLOOKUP("PCS-OzTL743",ARBOR!$A:$C,3,0)*-TRUNC(CC39/VLOOKUP("PCS-OzTL743",ARBOR!$A:$C,3,0)-1,4)),6))&lt;&gt;(DOLLAR(VLOOKUP("PCS-OzTL743",ARBOR!$A:$C,3,0),6)),-TRUNC(CC39/VLOOKUP("PCS-OzTL743",ARBOR!$A:$C,3,0)-1,4)+0.0001,-TRUNC(CC39/VLOOKUP("PCS-OzTL743",ARBOR!$A:$C,3,0)-1,4)))))</f>
        <v/>
      </c>
      <c r="CE39" s="28" t="str">
        <f>IF(ISERROR(IF(CD39="","",VLOOKUP(($BC39&amp;CD39&amp;"Template desconto FLAT Plano Principal Oi TV nível conta"),BENEFICIOS!$A:$G,5,0))),"Criar",IF(CD39="","",VLOOKUP(($BC39&amp;CD39&amp;"Template desconto FLAT Plano Principal Oi TV nível conta"),BENEFICIOS!$A:$G,5,0)))</f>
        <v/>
      </c>
      <c r="CF39" s="8"/>
      <c r="CG39" s="3" t="str">
        <f>IF(CF39=0,"",IF(CF39=VLOOKUP("PCS-OzTL745",ARBOR!$A:$C,3,0),0.0001,IF(CF39&gt;VLOOKUP("PCS-OzTL745",ARBOR!$A:$C,3,0),"Maior que CAP!",IF((DOLLAR(CF39+(VLOOKUP("PCS-OzTL745",ARBOR!$A:$C,3,0)*-TRUNC(CF39/VLOOKUP("PCS-OzTL745",ARBOR!$A:$C,3,0)-1,4)),6))&lt;&gt;(DOLLAR(VLOOKUP("PCS-OzTL745",ARBOR!$A:$C,3,0),6)),-TRUNC(CF39/VLOOKUP("PCS-OzTL745",ARBOR!$A:$C,3,0)-1,4)+0.0001,-TRUNC(CF39/VLOOKUP("PCS-OzTL745",ARBOR!$A:$C,3,0)-1,4)))))</f>
        <v/>
      </c>
      <c r="CH39" s="28" t="str">
        <f>IF(ISERROR(IF(CG39="","",VLOOKUP(($BC39&amp;CG39&amp;"Template desconto FLAT Plano Principal Oi TV nível conta"),BENEFICIOS!$A:$G,5,0))),"Criar",IF(CG39="","",VLOOKUP(($BC39&amp;CG39&amp;"Template desconto FLAT Plano Principal Oi TV nível conta"),BENEFICIOS!$A:$G,5,0)))</f>
        <v/>
      </c>
      <c r="CI39" s="8"/>
      <c r="CJ39" s="3" t="str">
        <f>IF(CI39=0,"",IF(CI39=VLOOKUP("PCS-OzTL42",ARBOR!$A:$C,3,0),0.0001,IF(CI39&gt;VLOOKUP("PCS-OzTL42",ARBOR!$A:$C,3,0),"Maior que CAP!",IF((DOLLAR(CI39+(VLOOKUP("PCS-OzTL42",ARBOR!$A:$C,3,0)*-TRUNC(CI39/VLOOKUP("PCS-OzTL42",ARBOR!$A:$C,3,0)-1,4)),6))&lt;&gt;(DOLLAR(VLOOKUP("PCS-OzTL42",ARBOR!$A:$C,3,0),6)),-TRUNC(CI39/VLOOKUP("PCS-OzTL42",ARBOR!$A:$C,3,0)-1,4)+0.0001,-TRUNC(CI39/VLOOKUP("PCS-OzTL42",ARBOR!$A:$C,3,0)-1,4)))))</f>
        <v/>
      </c>
      <c r="CK39" s="28" t="str">
        <f>IF(ISERROR(IF(CJ39="","",VLOOKUP(($BC39&amp;CJ39&amp;"Template desconto FLAT Plano Principal Oi TV nível conta"),BENEFICIOS!$A:$G,5,0))),"Criar",IF(CJ39="","",VLOOKUP(($BC39&amp;CJ39&amp;"Template desconto FLAT Plano Principal Oi TV nível conta"),BENEFICIOS!$A:$G,5,0)))</f>
        <v/>
      </c>
      <c r="CL39" s="8"/>
      <c r="CM39" s="3" t="str">
        <f>IF(CL39=0,"",IF(CL39=VLOOKUP("PCS-OzTL47",ARBOR!$A:$C,3,0),0.0001,IF(CL39&gt;VLOOKUP("PCS-OzTL47",ARBOR!$A:$C,3,0),"Maior que CAP!",IF((DOLLAR(CL39+(VLOOKUP("PCS-OzTL47",ARBOR!$A:$C,3,0)*-TRUNC(CL39/VLOOKUP("PCS-OzTL47",ARBOR!$A:$C,3,0)-1,4)),6))&lt;&gt;(DOLLAR(VLOOKUP("PCS-OzTL47",ARBOR!$A:$C,3,0),6)),-TRUNC(CL39/VLOOKUP("PCS-OzTL47",ARBOR!$A:$C,3,0)-1,4)+0.0001,-TRUNC(CL39/VLOOKUP("PCS-OzTL47",ARBOR!$A:$C,3,0)-1,4)))))</f>
        <v/>
      </c>
      <c r="CN39" s="28" t="str">
        <f>IF(ISERROR(IF(CM39="","",VLOOKUP(($BC39&amp;CM39&amp;"Template desconto FLAT Plano Principal Oi TV nível conta"),BENEFICIOS!$A:$G,5,0))),"Criar",IF(CM39="","",VLOOKUP(($BC39&amp;CM39&amp;"Template desconto FLAT Plano Principal Oi TV nível conta"),BENEFICIOS!$A:$G,5,0)))</f>
        <v/>
      </c>
      <c r="CO39" s="8"/>
      <c r="CP39" s="3" t="str">
        <f>IF(CO39=0,"",IF(CO39=VLOOKUP("PCS-OzTL46",ARBOR!$A:$C,3,0),0.0001,IF(CO39&gt;VLOOKUP("PCS-OzTL46",ARBOR!$A:$C,3,0),"Maior que CAP!",IF((DOLLAR(CO39+(VLOOKUP("PCS-OzTL46",ARBOR!$A:$C,3,0)*-TRUNC(CO39/VLOOKUP("PCS-OzTL46",ARBOR!$A:$C,3,0)-1,4)),6))&lt;&gt;(DOLLAR(VLOOKUP("PCS-OzTL46",ARBOR!$A:$C,3,0),6)),-TRUNC(CO39/VLOOKUP("PCS-OzTL46",ARBOR!$A:$C,3,0)-1,4)+0.0001,-TRUNC(CO39/VLOOKUP("PCS-OzTL46",ARBOR!$A:$C,3,0)-1,4)))))</f>
        <v/>
      </c>
      <c r="CQ39" s="28" t="str">
        <f>IF(ISERROR(IF(CP39="","",VLOOKUP(($BC39&amp;CP39&amp;"Template desconto FLAT Plano Principal Oi TV nível conta"),BENEFICIOS!$A:$G,5,0))),"Criar",IF(CP39="","",VLOOKUP(($BC39&amp;CP39&amp;"Template desconto FLAT Plano Principal Oi TV nível conta"),BENEFICIOS!$A:$G,5,0)))</f>
        <v/>
      </c>
      <c r="CR39" s="8"/>
      <c r="CS39" s="3" t="str">
        <f>IF(CR39=0,"",IF(CR39=VLOOKUP("PCS-OzTL48",ARBOR!$A:$C,3,0),0.0001,IF(CR39&gt;VLOOKUP("PCS-OzTL48",ARBOR!$A:$C,3,0),"Maior que CAP!",IF((DOLLAR(CR39+(VLOOKUP("PCS-OzTL48",ARBOR!$A:$C,3,0)*-TRUNC(CR39/VLOOKUP("PCS-OzTL48",ARBOR!$A:$C,3,0)-1,4)),6))&lt;&gt;(DOLLAR(VLOOKUP("PCS-OzTL48",ARBOR!$A:$C,3,0),6)),-TRUNC(CR39/VLOOKUP("PCS-OzTL48",ARBOR!$A:$C,3,0)-1,4)+0.0001,-TRUNC(CR39/VLOOKUP("PCS-OzTL48",ARBOR!$A:$C,3,0)-1,4)))))</f>
        <v/>
      </c>
      <c r="CT39" s="28" t="str">
        <f>IF(ISERROR(IF(CS39="","",VLOOKUP(($BC39&amp;CS39&amp;"Template desconto FLAT Plano Principal Oi TV nível conta"),BENEFICIOS!$A:$G,5,0))),"Criar",IF(CS39="","",VLOOKUP(($BC39&amp;CS39&amp;"Template desconto FLAT Plano Principal Oi TV nível conta"),BENEFICIOS!$A:$G,5,0)))</f>
        <v/>
      </c>
      <c r="CU39" s="8"/>
      <c r="CV39" s="3" t="str">
        <f>IF(CU39=0,"",IF(CU39=VLOOKUP("PCS-OzTL742",ARBOR!$A:$C,3,0),0.0001,IF(CU39&gt;VLOOKUP("PCS-OzTL742",ARBOR!$A:$C,3,0),"Maior que CAP!",IF((DOLLAR(CU39+(VLOOKUP("PCS-OzTL742",ARBOR!$A:$C,3,0)*-TRUNC(CU39/VLOOKUP("PCS-OzTL742",ARBOR!$A:$C,3,0)-1,4)),6))&lt;&gt;(DOLLAR(VLOOKUP("PCS-OzTL742",ARBOR!$A:$C,3,0),6)),-TRUNC(CU39/VLOOKUP("PCS-OzTL742",ARBOR!$A:$C,3,0)-1,4)+0.0001,-TRUNC(CU39/VLOOKUP("PCS-OzTL742",ARBOR!$A:$C,3,0)-1,4)))))</f>
        <v/>
      </c>
      <c r="CW39" s="28" t="str">
        <f>IF(ISERROR(IF(CV39="","",VLOOKUP(($BC39&amp;CV39&amp;"Template desconto FLAT Plano Principal Oi TV nível conta"),BENEFICIOS!$A:$G,5,0))),"Criar",IF(CV39="","",VLOOKUP(($BC39&amp;CV39&amp;"Template desconto FLAT Plano Principal Oi TV nível conta"),BENEFICIOS!$A:$G,5,0)))</f>
        <v/>
      </c>
      <c r="CX39" s="8"/>
      <c r="CY39" s="3" t="str">
        <f>IF(CX39=0,"",IF(CX39=VLOOKUP("PCS-OzTL747",ARBOR!$A:$C,3,0),0.0001,IF(CX39&gt;VLOOKUP("PCS-OzTL747",ARBOR!$A:$C,3,0),"Maior que CAP!",IF((DOLLAR(CX39+(VLOOKUP("PCS-OzTL747",ARBOR!$A:$C,3,0)*-TRUNC(CX39/VLOOKUP("PCS-OzTL747",ARBOR!$A:$C,3,0)-1,4)),6))&lt;&gt;(DOLLAR(VLOOKUP("PCS-OzTL747",ARBOR!$A:$C,3,0),6)),-TRUNC(CX39/VLOOKUP("PCS-OzTL747",ARBOR!$A:$C,3,0)-1,4)+0.0001,-TRUNC(CX39/VLOOKUP("PCS-OzTL747",ARBOR!$A:$C,3,0)-1,4)))))</f>
        <v/>
      </c>
      <c r="CZ39" s="28" t="str">
        <f>IF(ISERROR(IF(CY39="","",VLOOKUP(($BC39&amp;CY39&amp;"Template desconto FLAT Plano Principal Oi TV nível conta"),BENEFICIOS!$A:$G,5,0))),"Criar",IF(CY39="","",VLOOKUP(($BC39&amp;CY39&amp;"Template desconto FLAT Plano Principal Oi TV nível conta"),BENEFICIOS!$A:$G,5,0)))</f>
        <v/>
      </c>
      <c r="DA39" s="8"/>
      <c r="DB39" s="3" t="str">
        <f>IF(DA39=0,"",IF(DA39=VLOOKUP("PCS-OzTL746",ARBOR!$A:$C,3,0),0.0001,IF(DA39&gt;VLOOKUP("PCS-OzTL746",ARBOR!$A:$C,3,0),"Maior que CAP!",IF((DOLLAR(DA39+(VLOOKUP("PCS-OzTL746",ARBOR!$A:$C,3,0)*-TRUNC(DA39/VLOOKUP("PCS-OzTL746",ARBOR!$A:$C,3,0)-1,4)),6))&lt;&gt;(DOLLAR(VLOOKUP("PCS-OzTL746",ARBOR!$A:$C,3,0),6)),-TRUNC(DA39/VLOOKUP("PCS-OzTL746",ARBOR!$A:$C,3,0)-1,4)+0.0001,-TRUNC(DA39/VLOOKUP("PCS-OzTL746",ARBOR!$A:$C,3,0)-1,4)))))</f>
        <v/>
      </c>
      <c r="DC39" s="28" t="str">
        <f>IF(ISERROR(IF(DB39="","",VLOOKUP(($BC39&amp;DB39&amp;"Template desconto FLAT Plano Principal Oi TV nível conta"),BENEFICIOS!$A:$G,5,0))),"Criar",IF(DB39="","",VLOOKUP(($BC39&amp;DB39&amp;"Template desconto FLAT Plano Principal Oi TV nível conta"),BENEFICIOS!$A:$G,5,0)))</f>
        <v/>
      </c>
      <c r="DD39" s="8"/>
      <c r="DE39" s="3" t="str">
        <f>IF(DD39=0,"",IF(DD39=VLOOKUP("PCS-OzTL748",ARBOR!$A:$C,3,0),0.0001,IF(DD39&gt;VLOOKUP("PCS-OzTL748",ARBOR!$A:$C,3,0),"Maior que CAP!",IF((DOLLAR(DD39+(VLOOKUP("PCS-OzTL748",ARBOR!$A:$C,3,0)*-TRUNC(DD39/VLOOKUP("PCS-OzTL748",ARBOR!$A:$C,3,0)-1,4)),6))&lt;&gt;(DOLLAR(VLOOKUP("PCS-OzTL748",ARBOR!$A:$C,3,0),6)),-TRUNC(DD39/VLOOKUP("PCS-OzTL748",ARBOR!$A:$C,3,0)-1,4)+0.0001,-TRUNC(DD39/VLOOKUP("PCS-OzTL748",ARBOR!$A:$C,3,0)-1,4)))))</f>
        <v/>
      </c>
      <c r="DF39" s="28" t="str">
        <f>IF(ISERROR(IF(DE39="","",VLOOKUP(($BC39&amp;DE39&amp;"Template desconto FLAT Plano Principal Oi TV nível conta"),BENEFICIOS!$A:$G,5,0))),"Criar",IF(DE39="","",VLOOKUP(($BC39&amp;DE39&amp;"Template desconto FLAT Plano Principal Oi TV nível conta"),BENEFICIOS!$A:$G,5,0)))</f>
        <v/>
      </c>
      <c r="DG39" s="8"/>
      <c r="DH39" s="3" t="str">
        <f>IF(DG39=0,"",IF(DG39=VLOOKUP("PCS-OzTL34",ARBOR!$A:$C,3,0),0.0001,IF(DG39&gt;VLOOKUP("PCS-OzTL34",ARBOR!$A:$C,3,0),"Maior que CAP!",IF((DOLLAR(DG39+(VLOOKUP("PCS-OzTL34",ARBOR!$A:$C,3,0)*-TRUNC(DG39/VLOOKUP("PCS-OzTL34",ARBOR!$A:$C,3,0)-1,4)),6))&lt;&gt;(DOLLAR(VLOOKUP("PCS-OzTL34",ARBOR!$A:$C,3,0),6)),-TRUNC(DG39/VLOOKUP("PCS-OzTL34",ARBOR!$A:$C,3,0)-1,4)+0.0001,-TRUNC(DG39/VLOOKUP("PCS-OzTL34",ARBOR!$A:$C,3,0)-1,4)))))</f>
        <v/>
      </c>
      <c r="DI39" s="28" t="str">
        <f>IF(DH39="S/Desc","S/Desc",IF(ISERROR(IF(DH39="","",VLOOKUP(($BC39&amp;DH39&amp;"Template desconto % Combate nível conta"),BENEFICIOS!$A:$G,5,0))),"Criar",IF(DH39="","",VLOOKUP(($BC39&amp;DH39&amp;"Template desconto % Combate nível conta"),BENEFICIOS!$A:$G,5,0))))</f>
        <v/>
      </c>
      <c r="DJ39" s="8"/>
      <c r="DK39" s="3" t="str">
        <f>IF(DJ39=0,"",IF(DJ39=VLOOKUP("PCS-OzTL31",ARBOR!$A:$C,3,0),0.0001,IF(DJ39&gt;VLOOKUP("PCS-OzTL31",ARBOR!$A:$C,3,0),"Maior que CAP!",IF((DOLLAR(DJ39+(VLOOKUP("PCS-OzTL31",ARBOR!$A:$C,3,0)*-TRUNC(DJ39/VLOOKUP("PCS-OzTL31",ARBOR!$A:$C,3,0)-1,4)),6))&lt;&gt;(DOLLAR(VLOOKUP("PCS-OzTL31",ARBOR!$A:$C,3,0),6)),-TRUNC(DJ39/VLOOKUP("PCS-OzTL31",ARBOR!$A:$C,3,0)-1,4)+0.0001,-TRUNC(DJ39/VLOOKUP("PCS-OzTL31",ARBOR!$A:$C,3,0)-1,4)))))</f>
        <v/>
      </c>
      <c r="DL39" s="28" t="str">
        <f>IF(DK39="S/Desc","S/Desc",IF(ISERROR(IF(DK39="","",VLOOKUP(($BC39&amp;DK39&amp;"Template desconto % Sexy Hot nível conta"),BENEFICIOS!$A:$G,5,0))),"Criar",IF(DK39="","",VLOOKUP(($BC39&amp;DK39&amp;"Template desconto % Sexy Hot nível conta"),BENEFICIOS!$A:$G,5,0))))</f>
        <v/>
      </c>
      <c r="DM39" s="8"/>
      <c r="DN39" s="3" t="str">
        <f>IF(DM39=0,"",IF(DM39=VLOOKUP("PCS-OzTL32",ARBOR!$A:$C,3,0),0.0001,IF(DM39&gt;VLOOKUP("PCS-OzTL32",ARBOR!$A:$C,3,0),"Maior que CAP!",IF((DOLLAR(DM39+(VLOOKUP("PCS-OzTL32",ARBOR!$A:$C,3,0)*-TRUNC(DM39/VLOOKUP("PCS-OzTL32",ARBOR!$A:$C,3,0)-1,4)),6))&lt;&gt;(DOLLAR(VLOOKUP("PCS-OzTL32",ARBOR!$A:$C,3,0),6)),-TRUNC(DM39/VLOOKUP("PCS-OzTL32",ARBOR!$A:$C,3,0)-1,4)+0.0001,-TRUNC(DM39/VLOOKUP("PCS-OzTL32",ARBOR!$A:$C,3,0)-1,4)))))</f>
        <v/>
      </c>
      <c r="DO39" s="28" t="str">
        <f>IF(DN39="S/Desc","S/Desc",IF(ISERROR(IF(DN39="","",VLOOKUP(($BC39&amp;DN39&amp;"Template desconto % Playboy nível conta"),BENEFICIOS!$A:$G,5,0))),"Criar",IF(DN39="","",VLOOKUP(($BC39&amp;DN39&amp;"Template desconto % Playboy nível conta"),BENEFICIOS!$A:$G,5,0))))</f>
        <v/>
      </c>
      <c r="DP39" s="8"/>
      <c r="DQ39" s="3" t="str">
        <f>IF(DP39=0,"",IF(DP39=VLOOKUP("PCS-OzTL33",ARBOR!$A:$C,3,0),0.0001,IF(DP39&gt;VLOOKUP("PCS-OzTL33",ARBOR!$A:$C,3,0),"Maior que CAP!",IF((DOLLAR(DP39+(VLOOKUP("PCS-OzTL33",ARBOR!$A:$C,3,0)*-TRUNC(DP39/VLOOKUP("PCS-OzTL33",ARBOR!$A:$C,3,0)-1,4)),6))&lt;&gt;(DOLLAR(VLOOKUP("PCS-OzTL33",ARBOR!$A:$C,3,0),6)),-TRUNC(DP39/VLOOKUP("PCS-OzTL33",ARBOR!$A:$C,3,0)-1,4)+0.0001,-TRUNC(DP39/VLOOKUP("PCS-OzTL33",ARBOR!$A:$C,3,0)-1,4)))))</f>
        <v/>
      </c>
      <c r="DR39" s="28" t="str">
        <f>IF(DQ39="S/Desc","S/Desc",IF(ISERROR(IF(DQ39="","",VLOOKUP(($BC39&amp;DQ39&amp;"Template desconto % Sexy Hot + Playboy nível conta"),BENEFICIOS!$A:$G,5,0))),"Criar",IF(DQ39="","",VLOOKUP(($BC39&amp;DQ39&amp;"Template desconto % Sexy Hot + Playboy nível conta"),BENEFICIOS!$A:$G,5,0))))</f>
        <v/>
      </c>
      <c r="DS39" s="8"/>
      <c r="DT39" s="3" t="str">
        <f>IF(DS39=0,"",IF(DS39=VLOOKUP("PCS-OzTL503",ARBOR!$A:$C,3,0),0.0001,IF(DS39&gt;VLOOKUP("PCS-OzTL503",ARBOR!$A:$C,3,0),"Maior que CAP!",IF((DOLLAR(DS39+(VLOOKUP("PCS-OzTL503",ARBOR!$A:$C,3,0)*-TRUNC(DS39/VLOOKUP("PCS-OzTL503",ARBOR!$A:$C,3,0)-1,4)),6))&lt;&gt;(DOLLAR(VLOOKUP("PCS-OzTL503",ARBOR!$A:$C,3,0),6)),-TRUNC(DS39/VLOOKUP("PCS-OzTL503",ARBOR!$A:$C,3,0)-1,4)+0.0001,-TRUNC(DS39/VLOOKUP("PCS-OzTL503",ARBOR!$A:$C,3,0)-1,4)))))</f>
        <v/>
      </c>
      <c r="DU39" s="28" t="str">
        <f>IF(DT39="S/Desc","S/Desc",IF(ISERROR(IF(DT39="","",VLOOKUP(($BC39&amp;DT39&amp;"Template desconto % SexPrivê nível conta"),BENEFICIOS!$A:$G,5,0))),"Criar",IF(DT39="","",VLOOKUP(($BC39&amp;DT39&amp;"Template desconto % SexPrivê nível conta"),BENEFICIOS!$A:$G,5,0))))</f>
        <v/>
      </c>
      <c r="DV39" s="8"/>
      <c r="DW39" s="3" t="str">
        <f>IF(DV39=0,"",IF(DV39=VLOOKUP("PCS-OzTL500",ARBOR!$A:$C,3,0),0.0001,IF(DV39&gt;VLOOKUP("PCS-OzTL500",ARBOR!$A:$C,3,0),"Maior que CAP!",IF((DOLLAR(DV39+(VLOOKUP("PCS-OzTL500",ARBOR!$A:$C,3,0)*-TRUNC(DV39/VLOOKUP("PCS-OzTL500",ARBOR!$A:$C,3,0)-1,4)),6))&lt;&gt;(DOLLAR(VLOOKUP("PCS-OzTL500",ARBOR!$A:$C,3,0),6)),-TRUNC(DV39/VLOOKUP("PCS-OzTL500",ARBOR!$A:$C,3,0)-1,4)+0.0001,-TRUNC(DV39/VLOOKUP("PCS-OzTL500",ARBOR!$A:$C,3,0)-1,4)))))</f>
        <v/>
      </c>
      <c r="DX39" s="28" t="str">
        <f>IF(DW39="S/Desc","S/Desc",IF(ISERROR(IF(DW39="","",VLOOKUP(($BC39&amp;DW39&amp;"Template desconto % Étnico nível conta"),BENEFICIOS!$A:$G,5,0))),"Criar",IF(DW39="","",VLOOKUP(($BC39&amp;DW39&amp;"Template desconto % Étnico nível conta"),BENEFICIOS!$A:$G,5,0))))</f>
        <v/>
      </c>
      <c r="DY39" s="8"/>
      <c r="DZ39" s="181" t="str">
        <f>IF(DY39=0,"",IF(DY39=VLOOKUP("PCS-OzTL50",ARBOR!$A:$C,3,0),0.0001,IF(DY39&gt;VLOOKUP("PCS-OzTL50",ARBOR!$A:$C,3,0),"Maior que CAP!",IF((DOLLAR(DY39+(VLOOKUP("PCS-OzTL50",ARBOR!$A:$C,3,0)*-TRUNC(DY39/VLOOKUP("PCS-OzTL50",ARBOR!$A:$C,3,0)-1,4)),6))&lt;&gt;(DOLLAR(VLOOKUP("PCS-OzTL50",ARBOR!$A:$C,3,0),6)),-TRUNC(DY39/VLOOKUP("PCS-OzTL50",ARBOR!$A:$C,3,0)-1,4)+0.0001,-TRUNC(DY39/VLOOKUP("PCS-OzTL50",ARBOR!$A:$C,3,0)-1,4)))))</f>
        <v/>
      </c>
      <c r="EA39" s="28"/>
      <c r="EB39" s="8"/>
      <c r="EC39" s="181" t="str">
        <f>IF(EB39=0,"",IF(EB39=VLOOKUP("PCS-OzTL51",ARBOR!$A:$C,3,0),0.0001,IF(EB39&gt;VLOOKUP("PCS-OzTL51",ARBOR!$A:$C,3,0),"Maior que CAP!",IF((DOLLAR(EB39+(VLOOKUP("PCS-OzTL51",ARBOR!$A:$C,3,0)*-TRUNC(EB39/VLOOKUP("PCS-OzTL51",ARBOR!$A:$C,3,0)-1,4)),6))&lt;&gt;(DOLLAR(VLOOKUP("PCS-OzTL51",ARBOR!$A:$C,3,0),6)),-TRUNC(EB39/VLOOKUP("PCS-OzTL51",ARBOR!$A:$C,3,0)-1,4)+0.0001,-TRUNC(EB39/VLOOKUP("PCS-OzTL51",ARBOR!$A:$C,3,0)-1,4)))))</f>
        <v/>
      </c>
      <c r="ED39" s="28"/>
      <c r="EE39" s="8"/>
      <c r="EF39" s="181" t="str">
        <f>IF(EE39=0,"",IF(EE39=VLOOKUP("PCS-OzTL52",ARBOR!$A:$C,3,0),0.0001,IF(EE39&gt;VLOOKUP("PCS-OzTL52",ARBOR!$A:$C,3,0),"Maior que CAP!",IF((DOLLAR(EE39+(VLOOKUP("PCS-OzTL52",ARBOR!$A:$C,3,0)*-TRUNC(EE39/VLOOKUP("PCS-OzTL52",ARBOR!$A:$C,3,0)-1,4)),6))&lt;&gt;(DOLLAR(VLOOKUP("PCS-OzTL52",ARBOR!$A:$C,3,0),6)),-TRUNC(EE39/VLOOKUP("PCS-OzTL52",ARBOR!$A:$C,3,0)-1,4)+0.0001,-TRUNC(EE39/VLOOKUP("PCS-OzTL52",ARBOR!$A:$C,3,0)-1,4)))))</f>
        <v/>
      </c>
      <c r="EG39" s="28"/>
      <c r="EH39" s="8"/>
      <c r="EI39" s="181" t="str">
        <f>IF(EH39=0,"",IF(EH39=VLOOKUP("PCS-OzTL53",ARBOR!$A:$C,3,0),0.0001,IF(EH39&gt;VLOOKUP("PCS-OzTL53",ARBOR!$A:$C,3,0),"Maior que CAP!",IF((DOLLAR(EH39+(VLOOKUP("PCS-OzTL53",ARBOR!$A:$C,3,0)*-TRUNC(EH39/VLOOKUP("PCS-OzTL53",ARBOR!$A:$C,3,0)-1,4)),6))&lt;&gt;(DOLLAR(VLOOKUP("PCS-OzTL53",ARBOR!$A:$C,3,0),6)),-TRUNC(EH39/VLOOKUP("PCS-OzTL53",ARBOR!$A:$C,3,0)-1,4)+0.0001,-TRUNC(EH39/VLOOKUP("PCS-OzTL53",ARBOR!$A:$C,3,0)-1,4)))))</f>
        <v/>
      </c>
      <c r="EJ39" s="28"/>
      <c r="EK39" s="8"/>
      <c r="EL39" s="181" t="str">
        <f>IF(EK39=0,"",IF(EK39=VLOOKUP("PCS-OzTL54",ARBOR!$A:$C,3,0),0.0001,IF(EK39&gt;VLOOKUP("PCS-OzTL54",ARBOR!$A:$C,3,0),"Maior que CAP!",IF((DOLLAR(EK39+(VLOOKUP("PCS-OzTL54",ARBOR!$A:$C,3,0)*-TRUNC(EK39/VLOOKUP("PCS-OzTL54",ARBOR!$A:$C,3,0)-1,4)),6))&lt;&gt;(DOLLAR(VLOOKUP("PCS-OzTL54",ARBOR!$A:$C,3,0),6)),-TRUNC(EK39/VLOOKUP("PCS-OzTL54",ARBOR!$A:$C,3,0)-1,4)+0.0001,-TRUNC(EK39/VLOOKUP("PCS-OzTL54",ARBOR!$A:$C,3,0)-1,4)))))</f>
        <v/>
      </c>
      <c r="EM39" s="28"/>
      <c r="EN39" s="8"/>
      <c r="EO39" s="3" t="str">
        <f>IF(EN39=0,"",IF(EN39=VLOOKUP("PCS-OzTL99",ARBOR!$A:$C,3,0),0.0001,IF(EN39&gt;VLOOKUP("PCS-OzTL99",ARBOR!$A:$C,3,0),"Maior que CAP!",IF((DOLLAR(EN39+(VLOOKUP("PCS-OzTL99",ARBOR!$A:$C,3,0)*-TRUNC(EN39/VLOOKUP("PCS-OzTL99",ARBOR!$A:$C,3,0)-1,4)),6))&lt;&gt;(DOLLAR(VLOOKUP("PCS-OzTL99",ARBOR!$A:$C,3,0),6)),-TRUNC(EN39/VLOOKUP("PCS-OzTL99",ARBOR!$A:$C,3,0)-1,4)+0.0001,-TRUNC(EN39/VLOOKUP("PCS-OzTL99",ARBOR!$A:$C,3,0)-1,4)))))</f>
        <v/>
      </c>
      <c r="EP39" s="28" t="str">
        <f>IF(EO39="S/Desc","S/Desc",IF(ISERROR(IF(EO39="","",VLOOKUP(($BC39&amp;EO39&amp;"Template desconto % Ponto adicional nível conta"),BENEFICIOS!$A:$G,5,0))),"Criar",IF(EO39="","",VLOOKUP(($BC39&amp;EO39&amp;"Template desconto % Ponto adicional nível conta"),BENEFICIOS!$A:$G,5,0))))</f>
        <v/>
      </c>
      <c r="EQ39" s="8"/>
      <c r="ER39" s="28" t="str">
        <f t="shared" si="23"/>
        <v/>
      </c>
      <c r="ES39" s="62"/>
      <c r="ET39" s="126"/>
      <c r="EU39" s="127"/>
      <c r="EV39" s="126"/>
      <c r="EW39" s="128" t="str">
        <f t="shared" si="24"/>
        <v/>
      </c>
      <c r="EX39" s="129" t="str">
        <f t="shared" si="25"/>
        <v/>
      </c>
      <c r="EY39" s="91" t="str">
        <f t="shared" si="26"/>
        <v/>
      </c>
      <c r="EZ39" s="85"/>
      <c r="FA39" s="97"/>
      <c r="FB39" s="91"/>
      <c r="FC39" s="85"/>
      <c r="FD39" s="97"/>
      <c r="FE39" s="91"/>
      <c r="FF39" s="87"/>
      <c r="FG39" s="144" t="str">
        <f t="shared" si="5"/>
        <v/>
      </c>
      <c r="FH39" s="144" t="str">
        <f t="shared" si="6"/>
        <v/>
      </c>
      <c r="FI39" s="144" t="str">
        <f t="shared" si="7"/>
        <v/>
      </c>
      <c r="FJ39" s="144" t="str">
        <f t="shared" si="8"/>
        <v/>
      </c>
      <c r="FK39" s="144" t="str">
        <f t="shared" si="9"/>
        <v/>
      </c>
      <c r="FL39" s="144" t="str">
        <f t="shared" si="10"/>
        <v/>
      </c>
      <c r="FM39" s="144" t="str">
        <f t="shared" si="11"/>
        <v/>
      </c>
      <c r="FN39" s="144" t="str">
        <f t="shared" si="12"/>
        <v/>
      </c>
      <c r="FO39" s="144" t="str">
        <f t="shared" si="13"/>
        <v/>
      </c>
      <c r="FP39" s="144" t="str">
        <f t="shared" si="14"/>
        <v/>
      </c>
      <c r="FQ39" s="144" t="str">
        <f t="shared" si="15"/>
        <v/>
      </c>
      <c r="FR39" s="144" t="str">
        <f t="shared" si="16"/>
        <v/>
      </c>
      <c r="FS39" s="144" t="str">
        <f t="shared" si="17"/>
        <v/>
      </c>
      <c r="FT39" s="144" t="str">
        <f t="shared" si="18"/>
        <v/>
      </c>
      <c r="FU39" s="144" t="str">
        <f t="shared" si="19"/>
        <v/>
      </c>
      <c r="FV39" s="144" t="str">
        <f t="shared" si="20"/>
        <v/>
      </c>
      <c r="FW39" s="144" t="str">
        <f t="shared" si="21"/>
        <v/>
      </c>
      <c r="FX39" s="151"/>
      <c r="FY39" s="152"/>
      <c r="FZ39" s="152"/>
      <c r="GA39" s="152"/>
      <c r="GB39" s="152"/>
      <c r="GC39" s="152"/>
      <c r="GD39" s="152"/>
      <c r="GE39" s="152"/>
      <c r="GF39" s="152"/>
      <c r="GG39" s="153"/>
    </row>
    <row r="40" spans="1:189">
      <c r="A40" s="45"/>
      <c r="B40" s="133"/>
      <c r="C40" s="133"/>
      <c r="D40" s="46"/>
      <c r="E40" s="4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9"/>
      <c r="U40" s="48"/>
      <c r="V40" s="49"/>
      <c r="W40" s="48"/>
      <c r="X40" s="48"/>
      <c r="Y40" s="48"/>
      <c r="Z40" s="48"/>
      <c r="AA40" s="49"/>
      <c r="AB40" s="48"/>
      <c r="AC40" s="50"/>
      <c r="AD40" s="48"/>
      <c r="AE40" s="48"/>
      <c r="AF40" s="48"/>
      <c r="AG40" s="48"/>
      <c r="AH40" s="48"/>
      <c r="AI40" s="48"/>
      <c r="AJ40" s="48"/>
      <c r="AK40" s="48"/>
      <c r="AL40" s="51"/>
      <c r="AM40" s="37"/>
      <c r="AN40" s="38"/>
      <c r="AO40" s="39"/>
      <c r="AP40" s="52"/>
      <c r="AQ40" s="53"/>
      <c r="AR40" s="64"/>
      <c r="AS40" s="65"/>
      <c r="AT40" s="54"/>
      <c r="AU40" s="54"/>
      <c r="AV40" s="54"/>
      <c r="AW40" s="54"/>
      <c r="AX40" s="70"/>
      <c r="AY40" s="71"/>
      <c r="AZ40" s="72"/>
      <c r="BA40" s="73"/>
      <c r="BB40" s="55"/>
      <c r="BC40" s="56"/>
      <c r="BD40" s="27" t="str">
        <f t="shared" si="22"/>
        <v/>
      </c>
      <c r="BE40" s="58"/>
      <c r="BF40" s="3" t="str">
        <f>IF(BE40=0,"",IF(BE40=VLOOKUP("FIXO",ARBOR!$A:$C,3,0),0.0001,IF(BE40&gt;VLOOKUP("FIXO",ARBOR!$A:$C,3,0),"Maior que CAP!",IF((DOLLAR(BE40+(VLOOKUP("FIXO",ARBOR!$A:$C,3,0)*-TRUNC(BE40/VLOOKUP("FIXO",ARBOR!$A:$C,3,0)-1,4)),6))&lt;&gt;(DOLLAR(VLOOKUP("FIXO",ARBOR!$A:$C,3,0),6)),-TRUNC(BE40/VLOOKUP("FIXO",ARBOR!$A:$C,3,0)-1,4)+0.0001,-TRUNC(BE40/VLOOKUP("FIXO",ARBOR!$A:$C,3,0)-1,4)))))</f>
        <v/>
      </c>
      <c r="BG40" s="10" t="str">
        <f>IF(ISERROR(IF(BF40="","",VLOOKUP(($BC40&amp;BF40&amp;"Template de desconto FLAT bundle - Fixo - Varejo - Ganho Tributário Cross"),BENEFICIOS!$A:$G,5,0))),"Criar",IF(BF40="","",VLOOKUP(($BC40&amp;BF40&amp;"Template de desconto FLAT bundle - Fixo - Varejo - Ganho Tributário Cross"),BENEFICIOS!$A:$G,5,0)))</f>
        <v/>
      </c>
      <c r="BH40" s="8"/>
      <c r="BI40" s="3" t="str">
        <f>IF(BH40=0,"",IF(BH40=VLOOKUP("PCS-OzTL40",ARBOR!$A:$C,3,0),0.0001,IF(BH40&gt;VLOOKUP("PCS-OzTL40",ARBOR!$A:$C,3,0),"Maior que CAP!",IF((DOLLAR(BH40+(VLOOKUP("PCS-OzTL40",ARBOR!$A:$C,3,0)*-TRUNC(BH40/VLOOKUP("PCS-OzTL40",ARBOR!$A:$C,3,0)-1,4)),6))&lt;&gt;(DOLLAR(VLOOKUP("PCS-OzTL40",ARBOR!$A:$C,3,0),6)),-TRUNC(BH40/VLOOKUP("PCS-OzTL40",ARBOR!$A:$C,3,0)-1,4)+0.0001,-TRUNC(BH40/VLOOKUP("PCS-OzTL40",ARBOR!$A:$C,3,0)-1,4)))))</f>
        <v/>
      </c>
      <c r="BJ40" s="10" t="str">
        <f>IF(ISERROR(IF(BI40="","",VLOOKUP((BC40&amp;BI40&amp;"Template desconto FLAT Plano Principal Oi TV nível conta"),BENEFICIOS!$A:$G,5,0))),"Criar",IF(BI40="","",VLOOKUP((BC40&amp;BI40&amp;"Template desconto FLAT Plano Principal Oi TV nível conta"),BENEFICIOS!$A:$G,5,0)))</f>
        <v/>
      </c>
      <c r="BK40" s="8"/>
      <c r="BL40" s="3" t="str">
        <f>IF(BK40=0,"",IF(BK40=VLOOKUP("PCS-OzTL41",ARBOR!$A:$C,3,0),0.0001,IF(BK40&gt;VLOOKUP("PCS-OzTL41",ARBOR!$A:$C,3,0),"Maior que CAP!",IF((DOLLAR(BK40+(VLOOKUP("PCS-OzTL41",ARBOR!$A:$C,3,0)*-TRUNC(BK40/VLOOKUP("PCS-OzTL41",ARBOR!$A:$C,3,0)-1,4)),6))&lt;&gt;(DOLLAR(VLOOKUP("PCS-OzTL41",ARBOR!$A:$C,3,0),6)),-TRUNC(BK40/VLOOKUP("PCS-OzTL41",ARBOR!$A:$C,3,0)-1,4)+0.0001,-TRUNC(BK40/VLOOKUP("PCS-OzTL41",ARBOR!$A:$C,3,0)-1,4)))))</f>
        <v/>
      </c>
      <c r="BM40" s="28" t="str">
        <f>IF(ISERROR(IF(BL40="","",VLOOKUP((BC40&amp;BL40&amp;"Template desconto FLAT Plano Principal Oi TV nível conta"),BENEFICIOS!$A:$G,5,0))),"Criar",IF(BL40="","",VLOOKUP((BC40&amp;BL40&amp;"Template desconto FLAT Plano Principal Oi TV nível conta"),BENEFICIOS!$A:$G,5,0)))</f>
        <v/>
      </c>
      <c r="BN40" s="8"/>
      <c r="BO40" s="3" t="str">
        <f>IF(BN40=0,"",IF(BN40=VLOOKUP("PCS-OzTL44",ARBOR!$A:$C,3,0),0.0001,IF(BN40&gt;VLOOKUP("PCS-OzTL44",ARBOR!$A:$C,3,0),"Maior que CAP!",IF((DOLLAR(BN40+(VLOOKUP("PCS-OzTL44",ARBOR!$A:$C,3,0)*-TRUNC(BN40/VLOOKUP("PCS-OzTL44",ARBOR!$A:$C,3,0)-1,4)),6))&lt;&gt;(DOLLAR(VLOOKUP("PCS-OzTL44",ARBOR!$A:$C,3,0),6)),-TRUNC(BN40/VLOOKUP("PCS-OzTL44",ARBOR!$A:$C,3,0)-1,4)+0.0001,-TRUNC(BN40/VLOOKUP("PCS-OzTL44",ARBOR!$A:$C,3,0)-1,4)))))</f>
        <v/>
      </c>
      <c r="BP40" s="28" t="str">
        <f>IF(ISERROR(IF(BO40="","",VLOOKUP((BC40&amp;BO40&amp;"Template desconto FLAT Plano Principal Oi TV nível conta"),BENEFICIOS!$A:$G,5,0))),"Criar",IF(BO40="","",VLOOKUP((BC40&amp;BO40&amp;"Template desconto FLAT Plano Principal Oi TV nível conta"),BENEFICIOS!$A:$G,5,0)))</f>
        <v/>
      </c>
      <c r="BQ40" s="8"/>
      <c r="BR40" s="3" t="str">
        <f>IF(BQ40=0,"",IF(BQ40=VLOOKUP("PCS-OzTL43",ARBOR!$A:$C,3,0),0.0001,IF(BQ40&gt;VLOOKUP("PCS-OzTL43",ARBOR!$A:$C,3,0),"Maior que CAP!",IF((DOLLAR(BQ40+(VLOOKUP("PCS-OzTL43",ARBOR!$A:$C,3,0)*-TRUNC(BQ40/VLOOKUP("PCS-OzTL43",ARBOR!$A:$C,3,0)-1,4)),6))&lt;&gt;(DOLLAR(VLOOKUP("PCS-OzTL43",ARBOR!$A:$C,3,0),6)),-TRUNC(BQ40/VLOOKUP("PCS-OzTL43",ARBOR!$A:$C,3,0)-1,4)+0.0001,-TRUNC(BQ40/VLOOKUP("PCS-OzTL43",ARBOR!$A:$C,3,0)-1,4)))))</f>
        <v/>
      </c>
      <c r="BS40" s="28" t="str">
        <f>IF(ISERROR(IF(BR40="","",VLOOKUP((BC40&amp;BR40&amp;"Template desconto FLAT Plano Principal Oi TV nível conta"),BENEFICIOS!$A:$G,5,0))),"Criar",IF(BR40="","",VLOOKUP((BC40&amp;BR40&amp;"Template desconto FLAT Plano Principal Oi TV nível conta"),BENEFICIOS!$A:$G,5,0)))</f>
        <v/>
      </c>
      <c r="BT40" s="8"/>
      <c r="BU40" s="3" t="str">
        <f>IF(BT40=0,"",IF(BT40=VLOOKUP("PCS-OzTL45",ARBOR!$A:$C,3,0),0.0001,IF(BT40&gt;VLOOKUP("PCS-OzTL45",ARBOR!$A:$C,3,0),"Maior que CAP!",IF((DOLLAR(BT40+(VLOOKUP("PCS-OzTL45",ARBOR!$A:$C,3,0)*-TRUNC(BT40/VLOOKUP("PCS-OzTL45",ARBOR!$A:$C,3,0)-1,4)),6))&lt;&gt;(DOLLAR(VLOOKUP("PCS-OzTL45",ARBOR!$A:$C,3,0),6)),-TRUNC(BT40/VLOOKUP("PCS-OzTL45",ARBOR!$A:$C,3,0)-1,4)+0.0001,-TRUNC(BT40/VLOOKUP("PCS-OzTL45",ARBOR!$A:$C,3,0)-1,4)))))</f>
        <v/>
      </c>
      <c r="BV40" s="28" t="str">
        <f>IF(ISERROR(IF(BU40="","",VLOOKUP((BC40&amp;BU40&amp;"Template desconto FLAT Plano Principal Oi TV nível conta"),BENEFICIOS!$A:$G,5,0))),"Criar",IF(BU40="","",VLOOKUP((BC40&amp;BU40&amp;"Template desconto FLAT Plano Principal Oi TV nível conta"),BENEFICIOS!$A:$G,5,0)))</f>
        <v/>
      </c>
      <c r="BW40" s="8"/>
      <c r="BX40" s="3" t="str">
        <f>IF(BW40=0,"",IF(BW40=VLOOKUP("PCS-OzTL741",ARBOR!$A:$C,3,0),0.0001,IF(BW40&gt;VLOOKUP("PCS-OzTL741",ARBOR!$A:$C,3,0),"Maior que CAP!",IF((DOLLAR(BW40+(VLOOKUP("PCS-OzTL741",ARBOR!$A:$C,3,0)*-TRUNC(BW40/VLOOKUP("PCS-OzTL741",ARBOR!$A:$C,3,0)-1,4)),6))&lt;&gt;(DOLLAR(VLOOKUP("PCS-OzTL741",ARBOR!$A:$C,3,0),6)),-TRUNC(BW40/VLOOKUP("PCS-OzTL741",ARBOR!$A:$C,3,0)-1,4)+0.0001,-TRUNC(BW40/VLOOKUP("PCS-OzTL741",ARBOR!$A:$C,3,0)-1,4)))))</f>
        <v/>
      </c>
      <c r="BY40" s="28" t="str">
        <f>IF(ISERROR(IF(BX40="","",VLOOKUP((BC40&amp;BX40&amp;"Template desconto FLAT Plano Principal Oi TV nível conta"),BENEFICIOS!$A:$G,5,0))),"Criar",IF(BX40="","",VLOOKUP((BC40&amp;BX40&amp;"Template desconto FLAT Plano Principal Oi TV nível conta"),BENEFICIOS!$A:$G,5,0)))</f>
        <v/>
      </c>
      <c r="BZ40" s="8"/>
      <c r="CA40" s="3" t="str">
        <f>IF(BZ40=0,"",IF(BZ40=VLOOKUP("PCS-OzTL744",ARBOR!$A:$C,3,0),0.0001,IF(BZ40&gt;VLOOKUP("PCS-OzTL744",ARBOR!$A:$C,3,0),"Maior que CAP!",IF((DOLLAR(BZ40+(VLOOKUP("PCS-OzTL744",ARBOR!$A:$C,3,0)*-TRUNC(BZ40/VLOOKUP("PCS-OzTL744",ARBOR!$A:$C,3,0)-1,4)),6))&lt;&gt;(DOLLAR(VLOOKUP("PCS-OzTL744",ARBOR!$A:$C,3,0),6)),-TRUNC(BZ40/VLOOKUP("PCS-OzTL744",ARBOR!$A:$C,3,0)-1,4)+0.0001,-TRUNC(BZ40/VLOOKUP("PCS-OzTL744",ARBOR!$A:$C,3,0)-1,4)))))</f>
        <v/>
      </c>
      <c r="CB40" s="28" t="str">
        <f>IF(ISERROR(IF(CA40="","",VLOOKUP(($BC40&amp;CA40&amp;"Template desconto FLAT Plano Principal Oi TV nível conta"),BENEFICIOS!$A:$G,5,0))),"Criar",IF(CA40="","",VLOOKUP(($BC40&amp;CA40&amp;"Template desconto FLAT Plano Principal Oi TV nível conta"),BENEFICIOS!$A:$G,5,0)))</f>
        <v/>
      </c>
      <c r="CC40" s="8"/>
      <c r="CD40" s="3" t="str">
        <f>IF(CC40=0,"",IF(CC40=VLOOKUP("PCS-OzTL743",ARBOR!$A:$C,3,0),0.0001,IF(CC40&gt;VLOOKUP("PCS-OzTL743",ARBOR!$A:$C,3,0),"Maior que CAP!",IF((DOLLAR(CC40+(VLOOKUP("PCS-OzTL743",ARBOR!$A:$C,3,0)*-TRUNC(CC40/VLOOKUP("PCS-OzTL743",ARBOR!$A:$C,3,0)-1,4)),6))&lt;&gt;(DOLLAR(VLOOKUP("PCS-OzTL743",ARBOR!$A:$C,3,0),6)),-TRUNC(CC40/VLOOKUP("PCS-OzTL743",ARBOR!$A:$C,3,0)-1,4)+0.0001,-TRUNC(CC40/VLOOKUP("PCS-OzTL743",ARBOR!$A:$C,3,0)-1,4)))))</f>
        <v/>
      </c>
      <c r="CE40" s="28" t="str">
        <f>IF(ISERROR(IF(CD40="","",VLOOKUP(($BC40&amp;CD40&amp;"Template desconto FLAT Plano Principal Oi TV nível conta"),BENEFICIOS!$A:$G,5,0))),"Criar",IF(CD40="","",VLOOKUP(($BC40&amp;CD40&amp;"Template desconto FLAT Plano Principal Oi TV nível conta"),BENEFICIOS!$A:$G,5,0)))</f>
        <v/>
      </c>
      <c r="CF40" s="8"/>
      <c r="CG40" s="3" t="str">
        <f>IF(CF40=0,"",IF(CF40=VLOOKUP("PCS-OzTL745",ARBOR!$A:$C,3,0),0.0001,IF(CF40&gt;VLOOKUP("PCS-OzTL745",ARBOR!$A:$C,3,0),"Maior que CAP!",IF((DOLLAR(CF40+(VLOOKUP("PCS-OzTL745",ARBOR!$A:$C,3,0)*-TRUNC(CF40/VLOOKUP("PCS-OzTL745",ARBOR!$A:$C,3,0)-1,4)),6))&lt;&gt;(DOLLAR(VLOOKUP("PCS-OzTL745",ARBOR!$A:$C,3,0),6)),-TRUNC(CF40/VLOOKUP("PCS-OzTL745",ARBOR!$A:$C,3,0)-1,4)+0.0001,-TRUNC(CF40/VLOOKUP("PCS-OzTL745",ARBOR!$A:$C,3,0)-1,4)))))</f>
        <v/>
      </c>
      <c r="CH40" s="28" t="str">
        <f>IF(ISERROR(IF(CG40="","",VLOOKUP(($BC40&amp;CG40&amp;"Template desconto FLAT Plano Principal Oi TV nível conta"),BENEFICIOS!$A:$G,5,0))),"Criar",IF(CG40="","",VLOOKUP(($BC40&amp;CG40&amp;"Template desconto FLAT Plano Principal Oi TV nível conta"),BENEFICIOS!$A:$G,5,0)))</f>
        <v/>
      </c>
      <c r="CI40" s="8"/>
      <c r="CJ40" s="3" t="str">
        <f>IF(CI40=0,"",IF(CI40=VLOOKUP("PCS-OzTL42",ARBOR!$A:$C,3,0),0.0001,IF(CI40&gt;VLOOKUP("PCS-OzTL42",ARBOR!$A:$C,3,0),"Maior que CAP!",IF((DOLLAR(CI40+(VLOOKUP("PCS-OzTL42",ARBOR!$A:$C,3,0)*-TRUNC(CI40/VLOOKUP("PCS-OzTL42",ARBOR!$A:$C,3,0)-1,4)),6))&lt;&gt;(DOLLAR(VLOOKUP("PCS-OzTL42",ARBOR!$A:$C,3,0),6)),-TRUNC(CI40/VLOOKUP("PCS-OzTL42",ARBOR!$A:$C,3,0)-1,4)+0.0001,-TRUNC(CI40/VLOOKUP("PCS-OzTL42",ARBOR!$A:$C,3,0)-1,4)))))</f>
        <v/>
      </c>
      <c r="CK40" s="28" t="str">
        <f>IF(ISERROR(IF(CJ40="","",VLOOKUP(($BC40&amp;CJ40&amp;"Template desconto FLAT Plano Principal Oi TV nível conta"),BENEFICIOS!$A:$G,5,0))),"Criar",IF(CJ40="","",VLOOKUP(($BC40&amp;CJ40&amp;"Template desconto FLAT Plano Principal Oi TV nível conta"),BENEFICIOS!$A:$G,5,0)))</f>
        <v/>
      </c>
      <c r="CL40" s="8"/>
      <c r="CM40" s="3" t="str">
        <f>IF(CL40=0,"",IF(CL40=VLOOKUP("PCS-OzTL47",ARBOR!$A:$C,3,0),0.0001,IF(CL40&gt;VLOOKUP("PCS-OzTL47",ARBOR!$A:$C,3,0),"Maior que CAP!",IF((DOLLAR(CL40+(VLOOKUP("PCS-OzTL47",ARBOR!$A:$C,3,0)*-TRUNC(CL40/VLOOKUP("PCS-OzTL47",ARBOR!$A:$C,3,0)-1,4)),6))&lt;&gt;(DOLLAR(VLOOKUP("PCS-OzTL47",ARBOR!$A:$C,3,0),6)),-TRUNC(CL40/VLOOKUP("PCS-OzTL47",ARBOR!$A:$C,3,0)-1,4)+0.0001,-TRUNC(CL40/VLOOKUP("PCS-OzTL47",ARBOR!$A:$C,3,0)-1,4)))))</f>
        <v/>
      </c>
      <c r="CN40" s="28" t="str">
        <f>IF(ISERROR(IF(CM40="","",VLOOKUP(($BC40&amp;CM40&amp;"Template desconto FLAT Plano Principal Oi TV nível conta"),BENEFICIOS!$A:$G,5,0))),"Criar",IF(CM40="","",VLOOKUP(($BC40&amp;CM40&amp;"Template desconto FLAT Plano Principal Oi TV nível conta"),BENEFICIOS!$A:$G,5,0)))</f>
        <v/>
      </c>
      <c r="CO40" s="8"/>
      <c r="CP40" s="3" t="str">
        <f>IF(CO40=0,"",IF(CO40=VLOOKUP("PCS-OzTL46",ARBOR!$A:$C,3,0),0.0001,IF(CO40&gt;VLOOKUP("PCS-OzTL46",ARBOR!$A:$C,3,0),"Maior que CAP!",IF((DOLLAR(CO40+(VLOOKUP("PCS-OzTL46",ARBOR!$A:$C,3,0)*-TRUNC(CO40/VLOOKUP("PCS-OzTL46",ARBOR!$A:$C,3,0)-1,4)),6))&lt;&gt;(DOLLAR(VLOOKUP("PCS-OzTL46",ARBOR!$A:$C,3,0),6)),-TRUNC(CO40/VLOOKUP("PCS-OzTL46",ARBOR!$A:$C,3,0)-1,4)+0.0001,-TRUNC(CO40/VLOOKUP("PCS-OzTL46",ARBOR!$A:$C,3,0)-1,4)))))</f>
        <v/>
      </c>
      <c r="CQ40" s="28" t="str">
        <f>IF(ISERROR(IF(CP40="","",VLOOKUP(($BC40&amp;CP40&amp;"Template desconto FLAT Plano Principal Oi TV nível conta"),BENEFICIOS!$A:$G,5,0))),"Criar",IF(CP40="","",VLOOKUP(($BC40&amp;CP40&amp;"Template desconto FLAT Plano Principal Oi TV nível conta"),BENEFICIOS!$A:$G,5,0)))</f>
        <v/>
      </c>
      <c r="CR40" s="8"/>
      <c r="CS40" s="3" t="str">
        <f>IF(CR40=0,"",IF(CR40=VLOOKUP("PCS-OzTL48",ARBOR!$A:$C,3,0),0.0001,IF(CR40&gt;VLOOKUP("PCS-OzTL48",ARBOR!$A:$C,3,0),"Maior que CAP!",IF((DOLLAR(CR40+(VLOOKUP("PCS-OzTL48",ARBOR!$A:$C,3,0)*-TRUNC(CR40/VLOOKUP("PCS-OzTL48",ARBOR!$A:$C,3,0)-1,4)),6))&lt;&gt;(DOLLAR(VLOOKUP("PCS-OzTL48",ARBOR!$A:$C,3,0),6)),-TRUNC(CR40/VLOOKUP("PCS-OzTL48",ARBOR!$A:$C,3,0)-1,4)+0.0001,-TRUNC(CR40/VLOOKUP("PCS-OzTL48",ARBOR!$A:$C,3,0)-1,4)))))</f>
        <v/>
      </c>
      <c r="CT40" s="28" t="str">
        <f>IF(ISERROR(IF(CS40="","",VLOOKUP(($BC40&amp;CS40&amp;"Template desconto FLAT Plano Principal Oi TV nível conta"),BENEFICIOS!$A:$G,5,0))),"Criar",IF(CS40="","",VLOOKUP(($BC40&amp;CS40&amp;"Template desconto FLAT Plano Principal Oi TV nível conta"),BENEFICIOS!$A:$G,5,0)))</f>
        <v/>
      </c>
      <c r="CU40" s="8"/>
      <c r="CV40" s="3" t="str">
        <f>IF(CU40=0,"",IF(CU40=VLOOKUP("PCS-OzTL742",ARBOR!$A:$C,3,0),0.0001,IF(CU40&gt;VLOOKUP("PCS-OzTL742",ARBOR!$A:$C,3,0),"Maior que CAP!",IF((DOLLAR(CU40+(VLOOKUP("PCS-OzTL742",ARBOR!$A:$C,3,0)*-TRUNC(CU40/VLOOKUP("PCS-OzTL742",ARBOR!$A:$C,3,0)-1,4)),6))&lt;&gt;(DOLLAR(VLOOKUP("PCS-OzTL742",ARBOR!$A:$C,3,0),6)),-TRUNC(CU40/VLOOKUP("PCS-OzTL742",ARBOR!$A:$C,3,0)-1,4)+0.0001,-TRUNC(CU40/VLOOKUP("PCS-OzTL742",ARBOR!$A:$C,3,0)-1,4)))))</f>
        <v/>
      </c>
      <c r="CW40" s="28" t="str">
        <f>IF(ISERROR(IF(CV40="","",VLOOKUP(($BC40&amp;CV40&amp;"Template desconto FLAT Plano Principal Oi TV nível conta"),BENEFICIOS!$A:$G,5,0))),"Criar",IF(CV40="","",VLOOKUP(($BC40&amp;CV40&amp;"Template desconto FLAT Plano Principal Oi TV nível conta"),BENEFICIOS!$A:$G,5,0)))</f>
        <v/>
      </c>
      <c r="CX40" s="8"/>
      <c r="CY40" s="3" t="str">
        <f>IF(CX40=0,"",IF(CX40=VLOOKUP("PCS-OzTL747",ARBOR!$A:$C,3,0),0.0001,IF(CX40&gt;VLOOKUP("PCS-OzTL747",ARBOR!$A:$C,3,0),"Maior que CAP!",IF((DOLLAR(CX40+(VLOOKUP("PCS-OzTL747",ARBOR!$A:$C,3,0)*-TRUNC(CX40/VLOOKUP("PCS-OzTL747",ARBOR!$A:$C,3,0)-1,4)),6))&lt;&gt;(DOLLAR(VLOOKUP("PCS-OzTL747",ARBOR!$A:$C,3,0),6)),-TRUNC(CX40/VLOOKUP("PCS-OzTL747",ARBOR!$A:$C,3,0)-1,4)+0.0001,-TRUNC(CX40/VLOOKUP("PCS-OzTL747",ARBOR!$A:$C,3,0)-1,4)))))</f>
        <v/>
      </c>
      <c r="CZ40" s="28" t="str">
        <f>IF(ISERROR(IF(CY40="","",VLOOKUP(($BC40&amp;CY40&amp;"Template desconto FLAT Plano Principal Oi TV nível conta"),BENEFICIOS!$A:$G,5,0))),"Criar",IF(CY40="","",VLOOKUP(($BC40&amp;CY40&amp;"Template desconto FLAT Plano Principal Oi TV nível conta"),BENEFICIOS!$A:$G,5,0)))</f>
        <v/>
      </c>
      <c r="DA40" s="8"/>
      <c r="DB40" s="3" t="str">
        <f>IF(DA40=0,"",IF(DA40=VLOOKUP("PCS-OzTL746",ARBOR!$A:$C,3,0),0.0001,IF(DA40&gt;VLOOKUP("PCS-OzTL746",ARBOR!$A:$C,3,0),"Maior que CAP!",IF((DOLLAR(DA40+(VLOOKUP("PCS-OzTL746",ARBOR!$A:$C,3,0)*-TRUNC(DA40/VLOOKUP("PCS-OzTL746",ARBOR!$A:$C,3,0)-1,4)),6))&lt;&gt;(DOLLAR(VLOOKUP("PCS-OzTL746",ARBOR!$A:$C,3,0),6)),-TRUNC(DA40/VLOOKUP("PCS-OzTL746",ARBOR!$A:$C,3,0)-1,4)+0.0001,-TRUNC(DA40/VLOOKUP("PCS-OzTL746",ARBOR!$A:$C,3,0)-1,4)))))</f>
        <v/>
      </c>
      <c r="DC40" s="28" t="str">
        <f>IF(ISERROR(IF(DB40="","",VLOOKUP(($BC40&amp;DB40&amp;"Template desconto FLAT Plano Principal Oi TV nível conta"),BENEFICIOS!$A:$G,5,0))),"Criar",IF(DB40="","",VLOOKUP(($BC40&amp;DB40&amp;"Template desconto FLAT Plano Principal Oi TV nível conta"),BENEFICIOS!$A:$G,5,0)))</f>
        <v/>
      </c>
      <c r="DD40" s="8"/>
      <c r="DE40" s="3" t="str">
        <f>IF(DD40=0,"",IF(DD40=VLOOKUP("PCS-OzTL748",ARBOR!$A:$C,3,0),0.0001,IF(DD40&gt;VLOOKUP("PCS-OzTL748",ARBOR!$A:$C,3,0),"Maior que CAP!",IF((DOLLAR(DD40+(VLOOKUP("PCS-OzTL748",ARBOR!$A:$C,3,0)*-TRUNC(DD40/VLOOKUP("PCS-OzTL748",ARBOR!$A:$C,3,0)-1,4)),6))&lt;&gt;(DOLLAR(VLOOKUP("PCS-OzTL748",ARBOR!$A:$C,3,0),6)),-TRUNC(DD40/VLOOKUP("PCS-OzTL748",ARBOR!$A:$C,3,0)-1,4)+0.0001,-TRUNC(DD40/VLOOKUP("PCS-OzTL748",ARBOR!$A:$C,3,0)-1,4)))))</f>
        <v/>
      </c>
      <c r="DF40" s="28" t="str">
        <f>IF(ISERROR(IF(DE40="","",VLOOKUP(($BC40&amp;DE40&amp;"Template desconto FLAT Plano Principal Oi TV nível conta"),BENEFICIOS!$A:$G,5,0))),"Criar",IF(DE40="","",VLOOKUP(($BC40&amp;DE40&amp;"Template desconto FLAT Plano Principal Oi TV nível conta"),BENEFICIOS!$A:$G,5,0)))</f>
        <v/>
      </c>
      <c r="DG40" s="8"/>
      <c r="DH40" s="3" t="str">
        <f>IF(DG40=0,"",IF(DG40=VLOOKUP("PCS-OzTL34",ARBOR!$A:$C,3,0),0.0001,IF(DG40&gt;VLOOKUP("PCS-OzTL34",ARBOR!$A:$C,3,0),"Maior que CAP!",IF((DOLLAR(DG40+(VLOOKUP("PCS-OzTL34",ARBOR!$A:$C,3,0)*-TRUNC(DG40/VLOOKUP("PCS-OzTL34",ARBOR!$A:$C,3,0)-1,4)),6))&lt;&gt;(DOLLAR(VLOOKUP("PCS-OzTL34",ARBOR!$A:$C,3,0),6)),-TRUNC(DG40/VLOOKUP("PCS-OzTL34",ARBOR!$A:$C,3,0)-1,4)+0.0001,-TRUNC(DG40/VLOOKUP("PCS-OzTL34",ARBOR!$A:$C,3,0)-1,4)))))</f>
        <v/>
      </c>
      <c r="DI40" s="28" t="str">
        <f>IF(DH40="S/Desc","S/Desc",IF(ISERROR(IF(DH40="","",VLOOKUP(($BC40&amp;DH40&amp;"Template desconto % Combate nível conta"),BENEFICIOS!$A:$G,5,0))),"Criar",IF(DH40="","",VLOOKUP(($BC40&amp;DH40&amp;"Template desconto % Combate nível conta"),BENEFICIOS!$A:$G,5,0))))</f>
        <v/>
      </c>
      <c r="DJ40" s="8"/>
      <c r="DK40" s="3" t="str">
        <f>IF(DJ40=0,"",IF(DJ40=VLOOKUP("PCS-OzTL31",ARBOR!$A:$C,3,0),0.0001,IF(DJ40&gt;VLOOKUP("PCS-OzTL31",ARBOR!$A:$C,3,0),"Maior que CAP!",IF((DOLLAR(DJ40+(VLOOKUP("PCS-OzTL31",ARBOR!$A:$C,3,0)*-TRUNC(DJ40/VLOOKUP("PCS-OzTL31",ARBOR!$A:$C,3,0)-1,4)),6))&lt;&gt;(DOLLAR(VLOOKUP("PCS-OzTL31",ARBOR!$A:$C,3,0),6)),-TRUNC(DJ40/VLOOKUP("PCS-OzTL31",ARBOR!$A:$C,3,0)-1,4)+0.0001,-TRUNC(DJ40/VLOOKUP("PCS-OzTL31",ARBOR!$A:$C,3,0)-1,4)))))</f>
        <v/>
      </c>
      <c r="DL40" s="28" t="str">
        <f>IF(DK40="S/Desc","S/Desc",IF(ISERROR(IF(DK40="","",VLOOKUP(($BC40&amp;DK40&amp;"Template desconto % Sexy Hot nível conta"),BENEFICIOS!$A:$G,5,0))),"Criar",IF(DK40="","",VLOOKUP(($BC40&amp;DK40&amp;"Template desconto % Sexy Hot nível conta"),BENEFICIOS!$A:$G,5,0))))</f>
        <v/>
      </c>
      <c r="DM40" s="8"/>
      <c r="DN40" s="3" t="str">
        <f>IF(DM40=0,"",IF(DM40=VLOOKUP("PCS-OzTL32",ARBOR!$A:$C,3,0),0.0001,IF(DM40&gt;VLOOKUP("PCS-OzTL32",ARBOR!$A:$C,3,0),"Maior que CAP!",IF((DOLLAR(DM40+(VLOOKUP("PCS-OzTL32",ARBOR!$A:$C,3,0)*-TRUNC(DM40/VLOOKUP("PCS-OzTL32",ARBOR!$A:$C,3,0)-1,4)),6))&lt;&gt;(DOLLAR(VLOOKUP("PCS-OzTL32",ARBOR!$A:$C,3,0),6)),-TRUNC(DM40/VLOOKUP("PCS-OzTL32",ARBOR!$A:$C,3,0)-1,4)+0.0001,-TRUNC(DM40/VLOOKUP("PCS-OzTL32",ARBOR!$A:$C,3,0)-1,4)))))</f>
        <v/>
      </c>
      <c r="DO40" s="28" t="str">
        <f>IF(DN40="S/Desc","S/Desc",IF(ISERROR(IF(DN40="","",VLOOKUP(($BC40&amp;DN40&amp;"Template desconto % Playboy nível conta"),BENEFICIOS!$A:$G,5,0))),"Criar",IF(DN40="","",VLOOKUP(($BC40&amp;DN40&amp;"Template desconto % Playboy nível conta"),BENEFICIOS!$A:$G,5,0))))</f>
        <v/>
      </c>
      <c r="DP40" s="8"/>
      <c r="DQ40" s="3" t="str">
        <f>IF(DP40=0,"",IF(DP40=VLOOKUP("PCS-OzTL33",ARBOR!$A:$C,3,0),0.0001,IF(DP40&gt;VLOOKUP("PCS-OzTL33",ARBOR!$A:$C,3,0),"Maior que CAP!",IF((DOLLAR(DP40+(VLOOKUP("PCS-OzTL33",ARBOR!$A:$C,3,0)*-TRUNC(DP40/VLOOKUP("PCS-OzTL33",ARBOR!$A:$C,3,0)-1,4)),6))&lt;&gt;(DOLLAR(VLOOKUP("PCS-OzTL33",ARBOR!$A:$C,3,0),6)),-TRUNC(DP40/VLOOKUP("PCS-OzTL33",ARBOR!$A:$C,3,0)-1,4)+0.0001,-TRUNC(DP40/VLOOKUP("PCS-OzTL33",ARBOR!$A:$C,3,0)-1,4)))))</f>
        <v/>
      </c>
      <c r="DR40" s="28" t="str">
        <f>IF(DQ40="S/Desc","S/Desc",IF(ISERROR(IF(DQ40="","",VLOOKUP(($BC40&amp;DQ40&amp;"Template desconto % Sexy Hot + Playboy nível conta"),BENEFICIOS!$A:$G,5,0))),"Criar",IF(DQ40="","",VLOOKUP(($BC40&amp;DQ40&amp;"Template desconto % Sexy Hot + Playboy nível conta"),BENEFICIOS!$A:$G,5,0))))</f>
        <v/>
      </c>
      <c r="DS40" s="8"/>
      <c r="DT40" s="3" t="str">
        <f>IF(DS40=0,"",IF(DS40=VLOOKUP("PCS-OzTL503",ARBOR!$A:$C,3,0),0.0001,IF(DS40&gt;VLOOKUP("PCS-OzTL503",ARBOR!$A:$C,3,0),"Maior que CAP!",IF((DOLLAR(DS40+(VLOOKUP("PCS-OzTL503",ARBOR!$A:$C,3,0)*-TRUNC(DS40/VLOOKUP("PCS-OzTL503",ARBOR!$A:$C,3,0)-1,4)),6))&lt;&gt;(DOLLAR(VLOOKUP("PCS-OzTL503",ARBOR!$A:$C,3,0),6)),-TRUNC(DS40/VLOOKUP("PCS-OzTL503",ARBOR!$A:$C,3,0)-1,4)+0.0001,-TRUNC(DS40/VLOOKUP("PCS-OzTL503",ARBOR!$A:$C,3,0)-1,4)))))</f>
        <v/>
      </c>
      <c r="DU40" s="28" t="str">
        <f>IF(DT40="S/Desc","S/Desc",IF(ISERROR(IF(DT40="","",VLOOKUP(($BC40&amp;DT40&amp;"Template desconto % SexPrivê nível conta"),BENEFICIOS!$A:$G,5,0))),"Criar",IF(DT40="","",VLOOKUP(($BC40&amp;DT40&amp;"Template desconto % SexPrivê nível conta"),BENEFICIOS!$A:$G,5,0))))</f>
        <v/>
      </c>
      <c r="DV40" s="8"/>
      <c r="DW40" s="3" t="str">
        <f>IF(DV40=0,"",IF(DV40=VLOOKUP("PCS-OzTL500",ARBOR!$A:$C,3,0),0.0001,IF(DV40&gt;VLOOKUP("PCS-OzTL500",ARBOR!$A:$C,3,0),"Maior que CAP!",IF((DOLLAR(DV40+(VLOOKUP("PCS-OzTL500",ARBOR!$A:$C,3,0)*-TRUNC(DV40/VLOOKUP("PCS-OzTL500",ARBOR!$A:$C,3,0)-1,4)),6))&lt;&gt;(DOLLAR(VLOOKUP("PCS-OzTL500",ARBOR!$A:$C,3,0),6)),-TRUNC(DV40/VLOOKUP("PCS-OzTL500",ARBOR!$A:$C,3,0)-1,4)+0.0001,-TRUNC(DV40/VLOOKUP("PCS-OzTL500",ARBOR!$A:$C,3,0)-1,4)))))</f>
        <v/>
      </c>
      <c r="DX40" s="28" t="str">
        <f>IF(DW40="S/Desc","S/Desc",IF(ISERROR(IF(DW40="","",VLOOKUP(($BC40&amp;DW40&amp;"Template desconto % Étnico nível conta"),BENEFICIOS!$A:$G,5,0))),"Criar",IF(DW40="","",VLOOKUP(($BC40&amp;DW40&amp;"Template desconto % Étnico nível conta"),BENEFICIOS!$A:$G,5,0))))</f>
        <v/>
      </c>
      <c r="DY40" s="8"/>
      <c r="DZ40" s="181" t="str">
        <f>IF(DY40=0,"",IF(DY40=VLOOKUP("PCS-OzTL50",ARBOR!$A:$C,3,0),0.0001,IF(DY40&gt;VLOOKUP("PCS-OzTL50",ARBOR!$A:$C,3,0),"Maior que CAP!",IF((DOLLAR(DY40+(VLOOKUP("PCS-OzTL50",ARBOR!$A:$C,3,0)*-TRUNC(DY40/VLOOKUP("PCS-OzTL50",ARBOR!$A:$C,3,0)-1,4)),6))&lt;&gt;(DOLLAR(VLOOKUP("PCS-OzTL50",ARBOR!$A:$C,3,0),6)),-TRUNC(DY40/VLOOKUP("PCS-OzTL50",ARBOR!$A:$C,3,0)-1,4)+0.0001,-TRUNC(DY40/VLOOKUP("PCS-OzTL50",ARBOR!$A:$C,3,0)-1,4)))))</f>
        <v/>
      </c>
      <c r="EA40" s="28"/>
      <c r="EB40" s="8"/>
      <c r="EC40" s="181" t="str">
        <f>IF(EB40=0,"",IF(EB40=VLOOKUP("PCS-OzTL51",ARBOR!$A:$C,3,0),0.0001,IF(EB40&gt;VLOOKUP("PCS-OzTL51",ARBOR!$A:$C,3,0),"Maior que CAP!",IF((DOLLAR(EB40+(VLOOKUP("PCS-OzTL51",ARBOR!$A:$C,3,0)*-TRUNC(EB40/VLOOKUP("PCS-OzTL51",ARBOR!$A:$C,3,0)-1,4)),6))&lt;&gt;(DOLLAR(VLOOKUP("PCS-OzTL51",ARBOR!$A:$C,3,0),6)),-TRUNC(EB40/VLOOKUP("PCS-OzTL51",ARBOR!$A:$C,3,0)-1,4)+0.0001,-TRUNC(EB40/VLOOKUP("PCS-OzTL51",ARBOR!$A:$C,3,0)-1,4)))))</f>
        <v/>
      </c>
      <c r="ED40" s="28"/>
      <c r="EE40" s="8"/>
      <c r="EF40" s="181" t="str">
        <f>IF(EE40=0,"",IF(EE40=VLOOKUP("PCS-OzTL52",ARBOR!$A:$C,3,0),0.0001,IF(EE40&gt;VLOOKUP("PCS-OzTL52",ARBOR!$A:$C,3,0),"Maior que CAP!",IF((DOLLAR(EE40+(VLOOKUP("PCS-OzTL52",ARBOR!$A:$C,3,0)*-TRUNC(EE40/VLOOKUP("PCS-OzTL52",ARBOR!$A:$C,3,0)-1,4)),6))&lt;&gt;(DOLLAR(VLOOKUP("PCS-OzTL52",ARBOR!$A:$C,3,0),6)),-TRUNC(EE40/VLOOKUP("PCS-OzTL52",ARBOR!$A:$C,3,0)-1,4)+0.0001,-TRUNC(EE40/VLOOKUP("PCS-OzTL52",ARBOR!$A:$C,3,0)-1,4)))))</f>
        <v/>
      </c>
      <c r="EG40" s="28"/>
      <c r="EH40" s="8"/>
      <c r="EI40" s="181" t="str">
        <f>IF(EH40=0,"",IF(EH40=VLOOKUP("PCS-OzTL53",ARBOR!$A:$C,3,0),0.0001,IF(EH40&gt;VLOOKUP("PCS-OzTL53",ARBOR!$A:$C,3,0),"Maior que CAP!",IF((DOLLAR(EH40+(VLOOKUP("PCS-OzTL53",ARBOR!$A:$C,3,0)*-TRUNC(EH40/VLOOKUP("PCS-OzTL53",ARBOR!$A:$C,3,0)-1,4)),6))&lt;&gt;(DOLLAR(VLOOKUP("PCS-OzTL53",ARBOR!$A:$C,3,0),6)),-TRUNC(EH40/VLOOKUP("PCS-OzTL53",ARBOR!$A:$C,3,0)-1,4)+0.0001,-TRUNC(EH40/VLOOKUP("PCS-OzTL53",ARBOR!$A:$C,3,0)-1,4)))))</f>
        <v/>
      </c>
      <c r="EJ40" s="28"/>
      <c r="EK40" s="8"/>
      <c r="EL40" s="181" t="str">
        <f>IF(EK40=0,"",IF(EK40=VLOOKUP("PCS-OzTL54",ARBOR!$A:$C,3,0),0.0001,IF(EK40&gt;VLOOKUP("PCS-OzTL54",ARBOR!$A:$C,3,0),"Maior que CAP!",IF((DOLLAR(EK40+(VLOOKUP("PCS-OzTL54",ARBOR!$A:$C,3,0)*-TRUNC(EK40/VLOOKUP("PCS-OzTL54",ARBOR!$A:$C,3,0)-1,4)),6))&lt;&gt;(DOLLAR(VLOOKUP("PCS-OzTL54",ARBOR!$A:$C,3,0),6)),-TRUNC(EK40/VLOOKUP("PCS-OzTL54",ARBOR!$A:$C,3,0)-1,4)+0.0001,-TRUNC(EK40/VLOOKUP("PCS-OzTL54",ARBOR!$A:$C,3,0)-1,4)))))</f>
        <v/>
      </c>
      <c r="EM40" s="28"/>
      <c r="EN40" s="8"/>
      <c r="EO40" s="3" t="str">
        <f>IF(EN40=0,"",IF(EN40=VLOOKUP("PCS-OzTL99",ARBOR!$A:$C,3,0),0.0001,IF(EN40&gt;VLOOKUP("PCS-OzTL99",ARBOR!$A:$C,3,0),"Maior que CAP!",IF((DOLLAR(EN40+(VLOOKUP("PCS-OzTL99",ARBOR!$A:$C,3,0)*-TRUNC(EN40/VLOOKUP("PCS-OzTL99",ARBOR!$A:$C,3,0)-1,4)),6))&lt;&gt;(DOLLAR(VLOOKUP("PCS-OzTL99",ARBOR!$A:$C,3,0),6)),-TRUNC(EN40/VLOOKUP("PCS-OzTL99",ARBOR!$A:$C,3,0)-1,4)+0.0001,-TRUNC(EN40/VLOOKUP("PCS-OzTL99",ARBOR!$A:$C,3,0)-1,4)))))</f>
        <v/>
      </c>
      <c r="EP40" s="28" t="str">
        <f>IF(EO40="S/Desc","S/Desc",IF(ISERROR(IF(EO40="","",VLOOKUP(($BC40&amp;EO40&amp;"Template desconto % Ponto adicional nível conta"),BENEFICIOS!$A:$G,5,0))),"Criar",IF(EO40="","",VLOOKUP(($BC40&amp;EO40&amp;"Template desconto % Ponto adicional nível conta"),BENEFICIOS!$A:$G,5,0))))</f>
        <v/>
      </c>
      <c r="EQ40" s="8"/>
      <c r="ER40" s="28" t="str">
        <f t="shared" si="23"/>
        <v/>
      </c>
      <c r="ES40" s="62"/>
      <c r="ET40" s="126"/>
      <c r="EU40" s="127"/>
      <c r="EV40" s="126"/>
      <c r="EW40" s="128" t="str">
        <f t="shared" si="24"/>
        <v/>
      </c>
      <c r="EX40" s="129" t="str">
        <f t="shared" si="25"/>
        <v/>
      </c>
      <c r="EY40" s="91" t="str">
        <f t="shared" si="26"/>
        <v/>
      </c>
      <c r="EZ40" s="85"/>
      <c r="FA40" s="97"/>
      <c r="FB40" s="91"/>
      <c r="FC40" s="85"/>
      <c r="FD40" s="97"/>
      <c r="FE40" s="91"/>
      <c r="FF40" s="87"/>
      <c r="FG40" s="144" t="str">
        <f t="shared" si="5"/>
        <v/>
      </c>
      <c r="FH40" s="144" t="str">
        <f t="shared" si="6"/>
        <v/>
      </c>
      <c r="FI40" s="144" t="str">
        <f t="shared" si="7"/>
        <v/>
      </c>
      <c r="FJ40" s="144" t="str">
        <f t="shared" si="8"/>
        <v/>
      </c>
      <c r="FK40" s="144" t="str">
        <f t="shared" si="9"/>
        <v/>
      </c>
      <c r="FL40" s="144" t="str">
        <f t="shared" si="10"/>
        <v/>
      </c>
      <c r="FM40" s="144" t="str">
        <f t="shared" si="11"/>
        <v/>
      </c>
      <c r="FN40" s="144" t="str">
        <f t="shared" si="12"/>
        <v/>
      </c>
      <c r="FO40" s="144" t="str">
        <f t="shared" si="13"/>
        <v/>
      </c>
      <c r="FP40" s="144" t="str">
        <f t="shared" si="14"/>
        <v/>
      </c>
      <c r="FQ40" s="144" t="str">
        <f t="shared" si="15"/>
        <v/>
      </c>
      <c r="FR40" s="144" t="str">
        <f t="shared" si="16"/>
        <v/>
      </c>
      <c r="FS40" s="144" t="str">
        <f t="shared" si="17"/>
        <v/>
      </c>
      <c r="FT40" s="144" t="str">
        <f t="shared" si="18"/>
        <v/>
      </c>
      <c r="FU40" s="144" t="str">
        <f t="shared" si="19"/>
        <v/>
      </c>
      <c r="FV40" s="144" t="str">
        <f t="shared" si="20"/>
        <v/>
      </c>
      <c r="FW40" s="144" t="str">
        <f t="shared" si="21"/>
        <v/>
      </c>
      <c r="FX40" s="151"/>
      <c r="FY40" s="152"/>
      <c r="FZ40" s="152"/>
      <c r="GA40" s="152"/>
      <c r="GB40" s="152"/>
      <c r="GC40" s="152"/>
      <c r="GD40" s="152"/>
      <c r="GE40" s="152"/>
      <c r="GF40" s="152"/>
      <c r="GG40" s="153"/>
    </row>
    <row r="41" spans="1:189">
      <c r="A41" s="45"/>
      <c r="B41" s="133"/>
      <c r="C41" s="133"/>
      <c r="D41" s="46"/>
      <c r="E41" s="4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9"/>
      <c r="U41" s="48"/>
      <c r="V41" s="49"/>
      <c r="W41" s="48"/>
      <c r="X41" s="48"/>
      <c r="Y41" s="48"/>
      <c r="Z41" s="48"/>
      <c r="AA41" s="49"/>
      <c r="AB41" s="48"/>
      <c r="AC41" s="50"/>
      <c r="AD41" s="48"/>
      <c r="AE41" s="48"/>
      <c r="AF41" s="48"/>
      <c r="AG41" s="48"/>
      <c r="AH41" s="48"/>
      <c r="AI41" s="48"/>
      <c r="AJ41" s="48"/>
      <c r="AK41" s="48"/>
      <c r="AL41" s="51"/>
      <c r="AM41" s="37"/>
      <c r="AN41" s="38"/>
      <c r="AO41" s="39"/>
      <c r="AP41" s="52"/>
      <c r="AQ41" s="53"/>
      <c r="AR41" s="64"/>
      <c r="AS41" s="65"/>
      <c r="AT41" s="54"/>
      <c r="AU41" s="54"/>
      <c r="AV41" s="54"/>
      <c r="AW41" s="54"/>
      <c r="AX41" s="70"/>
      <c r="AY41" s="71"/>
      <c r="AZ41" s="72"/>
      <c r="BA41" s="73"/>
      <c r="BB41" s="55"/>
      <c r="BC41" s="56"/>
      <c r="BD41" s="27" t="str">
        <f t="shared" si="22"/>
        <v/>
      </c>
      <c r="BE41" s="58"/>
      <c r="BF41" s="3" t="str">
        <f>IF(BE41=0,"",IF(BE41=VLOOKUP("FIXO",ARBOR!$A:$C,3,0),0.0001,IF(BE41&gt;VLOOKUP("FIXO",ARBOR!$A:$C,3,0),"Maior que CAP!",IF((DOLLAR(BE41+(VLOOKUP("FIXO",ARBOR!$A:$C,3,0)*-TRUNC(BE41/VLOOKUP("FIXO",ARBOR!$A:$C,3,0)-1,4)),6))&lt;&gt;(DOLLAR(VLOOKUP("FIXO",ARBOR!$A:$C,3,0),6)),-TRUNC(BE41/VLOOKUP("FIXO",ARBOR!$A:$C,3,0)-1,4)+0.0001,-TRUNC(BE41/VLOOKUP("FIXO",ARBOR!$A:$C,3,0)-1,4)))))</f>
        <v/>
      </c>
      <c r="BG41" s="10" t="str">
        <f>IF(ISERROR(IF(BF41="","",VLOOKUP(($BC41&amp;BF41&amp;"Template de desconto FLAT bundle - Fixo - Varejo - Ganho Tributário Cross"),BENEFICIOS!$A:$G,5,0))),"Criar",IF(BF41="","",VLOOKUP(($BC41&amp;BF41&amp;"Template de desconto FLAT bundle - Fixo - Varejo - Ganho Tributário Cross"),BENEFICIOS!$A:$G,5,0)))</f>
        <v/>
      </c>
      <c r="BH41" s="8"/>
      <c r="BI41" s="3" t="str">
        <f>IF(BH41=0,"",IF(BH41=VLOOKUP("PCS-OzTL40",ARBOR!$A:$C,3,0),0.0001,IF(BH41&gt;VLOOKUP("PCS-OzTL40",ARBOR!$A:$C,3,0),"Maior que CAP!",IF((DOLLAR(BH41+(VLOOKUP("PCS-OzTL40",ARBOR!$A:$C,3,0)*-TRUNC(BH41/VLOOKUP("PCS-OzTL40",ARBOR!$A:$C,3,0)-1,4)),6))&lt;&gt;(DOLLAR(VLOOKUP("PCS-OzTL40",ARBOR!$A:$C,3,0),6)),-TRUNC(BH41/VLOOKUP("PCS-OzTL40",ARBOR!$A:$C,3,0)-1,4)+0.0001,-TRUNC(BH41/VLOOKUP("PCS-OzTL40",ARBOR!$A:$C,3,0)-1,4)))))</f>
        <v/>
      </c>
      <c r="BJ41" s="10" t="str">
        <f>IF(ISERROR(IF(BI41="","",VLOOKUP((BC41&amp;BI41&amp;"Template desconto FLAT Plano Principal Oi TV nível conta"),BENEFICIOS!$A:$G,5,0))),"Criar",IF(BI41="","",VLOOKUP((BC41&amp;BI41&amp;"Template desconto FLAT Plano Principal Oi TV nível conta"),BENEFICIOS!$A:$G,5,0)))</f>
        <v/>
      </c>
      <c r="BK41" s="8"/>
      <c r="BL41" s="3" t="str">
        <f>IF(BK41=0,"",IF(BK41=VLOOKUP("PCS-OzTL41",ARBOR!$A:$C,3,0),0.0001,IF(BK41&gt;VLOOKUP("PCS-OzTL41",ARBOR!$A:$C,3,0),"Maior que CAP!",IF((DOLLAR(BK41+(VLOOKUP("PCS-OzTL41",ARBOR!$A:$C,3,0)*-TRUNC(BK41/VLOOKUP("PCS-OzTL41",ARBOR!$A:$C,3,0)-1,4)),6))&lt;&gt;(DOLLAR(VLOOKUP("PCS-OzTL41",ARBOR!$A:$C,3,0),6)),-TRUNC(BK41/VLOOKUP("PCS-OzTL41",ARBOR!$A:$C,3,0)-1,4)+0.0001,-TRUNC(BK41/VLOOKUP("PCS-OzTL41",ARBOR!$A:$C,3,0)-1,4)))))</f>
        <v/>
      </c>
      <c r="BM41" s="28" t="str">
        <f>IF(ISERROR(IF(BL41="","",VLOOKUP((BC41&amp;BL41&amp;"Template desconto FLAT Plano Principal Oi TV nível conta"),BENEFICIOS!$A:$G,5,0))),"Criar",IF(BL41="","",VLOOKUP((BC41&amp;BL41&amp;"Template desconto FLAT Plano Principal Oi TV nível conta"),BENEFICIOS!$A:$G,5,0)))</f>
        <v/>
      </c>
      <c r="BN41" s="8"/>
      <c r="BO41" s="3" t="str">
        <f>IF(BN41=0,"",IF(BN41=VLOOKUP("PCS-OzTL44",ARBOR!$A:$C,3,0),0.0001,IF(BN41&gt;VLOOKUP("PCS-OzTL44",ARBOR!$A:$C,3,0),"Maior que CAP!",IF((DOLLAR(BN41+(VLOOKUP("PCS-OzTL44",ARBOR!$A:$C,3,0)*-TRUNC(BN41/VLOOKUP("PCS-OzTL44",ARBOR!$A:$C,3,0)-1,4)),6))&lt;&gt;(DOLLAR(VLOOKUP("PCS-OzTL44",ARBOR!$A:$C,3,0),6)),-TRUNC(BN41/VLOOKUP("PCS-OzTL44",ARBOR!$A:$C,3,0)-1,4)+0.0001,-TRUNC(BN41/VLOOKUP("PCS-OzTL44",ARBOR!$A:$C,3,0)-1,4)))))</f>
        <v/>
      </c>
      <c r="BP41" s="28" t="str">
        <f>IF(ISERROR(IF(BO41="","",VLOOKUP((BC41&amp;BO41&amp;"Template desconto FLAT Plano Principal Oi TV nível conta"),BENEFICIOS!$A:$G,5,0))),"Criar",IF(BO41="","",VLOOKUP((BC41&amp;BO41&amp;"Template desconto FLAT Plano Principal Oi TV nível conta"),BENEFICIOS!$A:$G,5,0)))</f>
        <v/>
      </c>
      <c r="BQ41" s="8"/>
      <c r="BR41" s="3" t="str">
        <f>IF(BQ41=0,"",IF(BQ41=VLOOKUP("PCS-OzTL43",ARBOR!$A:$C,3,0),0.0001,IF(BQ41&gt;VLOOKUP("PCS-OzTL43",ARBOR!$A:$C,3,0),"Maior que CAP!",IF((DOLLAR(BQ41+(VLOOKUP("PCS-OzTL43",ARBOR!$A:$C,3,0)*-TRUNC(BQ41/VLOOKUP("PCS-OzTL43",ARBOR!$A:$C,3,0)-1,4)),6))&lt;&gt;(DOLLAR(VLOOKUP("PCS-OzTL43",ARBOR!$A:$C,3,0),6)),-TRUNC(BQ41/VLOOKUP("PCS-OzTL43",ARBOR!$A:$C,3,0)-1,4)+0.0001,-TRUNC(BQ41/VLOOKUP("PCS-OzTL43",ARBOR!$A:$C,3,0)-1,4)))))</f>
        <v/>
      </c>
      <c r="BS41" s="28" t="str">
        <f>IF(ISERROR(IF(BR41="","",VLOOKUP((BC41&amp;BR41&amp;"Template desconto FLAT Plano Principal Oi TV nível conta"),BENEFICIOS!$A:$G,5,0))),"Criar",IF(BR41="","",VLOOKUP((BC41&amp;BR41&amp;"Template desconto FLAT Plano Principal Oi TV nível conta"),BENEFICIOS!$A:$G,5,0)))</f>
        <v/>
      </c>
      <c r="BT41" s="8"/>
      <c r="BU41" s="3" t="str">
        <f>IF(BT41=0,"",IF(BT41=VLOOKUP("PCS-OzTL45",ARBOR!$A:$C,3,0),0.0001,IF(BT41&gt;VLOOKUP("PCS-OzTL45",ARBOR!$A:$C,3,0),"Maior que CAP!",IF((DOLLAR(BT41+(VLOOKUP("PCS-OzTL45",ARBOR!$A:$C,3,0)*-TRUNC(BT41/VLOOKUP("PCS-OzTL45",ARBOR!$A:$C,3,0)-1,4)),6))&lt;&gt;(DOLLAR(VLOOKUP("PCS-OzTL45",ARBOR!$A:$C,3,0),6)),-TRUNC(BT41/VLOOKUP("PCS-OzTL45",ARBOR!$A:$C,3,0)-1,4)+0.0001,-TRUNC(BT41/VLOOKUP("PCS-OzTL45",ARBOR!$A:$C,3,0)-1,4)))))</f>
        <v/>
      </c>
      <c r="BV41" s="28" t="str">
        <f>IF(ISERROR(IF(BU41="","",VLOOKUP((BC41&amp;BU41&amp;"Template desconto FLAT Plano Principal Oi TV nível conta"),BENEFICIOS!$A:$G,5,0))),"Criar",IF(BU41="","",VLOOKUP((BC41&amp;BU41&amp;"Template desconto FLAT Plano Principal Oi TV nível conta"),BENEFICIOS!$A:$G,5,0)))</f>
        <v/>
      </c>
      <c r="BW41" s="8"/>
      <c r="BX41" s="3" t="str">
        <f>IF(BW41=0,"",IF(BW41=VLOOKUP("PCS-OzTL741",ARBOR!$A:$C,3,0),0.0001,IF(BW41&gt;VLOOKUP("PCS-OzTL741",ARBOR!$A:$C,3,0),"Maior que CAP!",IF((DOLLAR(BW41+(VLOOKUP("PCS-OzTL741",ARBOR!$A:$C,3,0)*-TRUNC(BW41/VLOOKUP("PCS-OzTL741",ARBOR!$A:$C,3,0)-1,4)),6))&lt;&gt;(DOLLAR(VLOOKUP("PCS-OzTL741",ARBOR!$A:$C,3,0),6)),-TRUNC(BW41/VLOOKUP("PCS-OzTL741",ARBOR!$A:$C,3,0)-1,4)+0.0001,-TRUNC(BW41/VLOOKUP("PCS-OzTL741",ARBOR!$A:$C,3,0)-1,4)))))</f>
        <v/>
      </c>
      <c r="BY41" s="28" t="str">
        <f>IF(ISERROR(IF(BX41="","",VLOOKUP((BC41&amp;BX41&amp;"Template desconto FLAT Plano Principal Oi TV nível conta"),BENEFICIOS!$A:$G,5,0))),"Criar",IF(BX41="","",VLOOKUP((BC41&amp;BX41&amp;"Template desconto FLAT Plano Principal Oi TV nível conta"),BENEFICIOS!$A:$G,5,0)))</f>
        <v/>
      </c>
      <c r="BZ41" s="8"/>
      <c r="CA41" s="3" t="str">
        <f>IF(BZ41=0,"",IF(BZ41=VLOOKUP("PCS-OzTL744",ARBOR!$A:$C,3,0),0.0001,IF(BZ41&gt;VLOOKUP("PCS-OzTL744",ARBOR!$A:$C,3,0),"Maior que CAP!",IF((DOLLAR(BZ41+(VLOOKUP("PCS-OzTL744",ARBOR!$A:$C,3,0)*-TRUNC(BZ41/VLOOKUP("PCS-OzTL744",ARBOR!$A:$C,3,0)-1,4)),6))&lt;&gt;(DOLLAR(VLOOKUP("PCS-OzTL744",ARBOR!$A:$C,3,0),6)),-TRUNC(BZ41/VLOOKUP("PCS-OzTL744",ARBOR!$A:$C,3,0)-1,4)+0.0001,-TRUNC(BZ41/VLOOKUP("PCS-OzTL744",ARBOR!$A:$C,3,0)-1,4)))))</f>
        <v/>
      </c>
      <c r="CB41" s="28" t="str">
        <f>IF(ISERROR(IF(CA41="","",VLOOKUP(($BC41&amp;CA41&amp;"Template desconto FLAT Plano Principal Oi TV nível conta"),BENEFICIOS!$A:$G,5,0))),"Criar",IF(CA41="","",VLOOKUP(($BC41&amp;CA41&amp;"Template desconto FLAT Plano Principal Oi TV nível conta"),BENEFICIOS!$A:$G,5,0)))</f>
        <v/>
      </c>
      <c r="CC41" s="8"/>
      <c r="CD41" s="3" t="str">
        <f>IF(CC41=0,"",IF(CC41=VLOOKUP("PCS-OzTL743",ARBOR!$A:$C,3,0),0.0001,IF(CC41&gt;VLOOKUP("PCS-OzTL743",ARBOR!$A:$C,3,0),"Maior que CAP!",IF((DOLLAR(CC41+(VLOOKUP("PCS-OzTL743",ARBOR!$A:$C,3,0)*-TRUNC(CC41/VLOOKUP("PCS-OzTL743",ARBOR!$A:$C,3,0)-1,4)),6))&lt;&gt;(DOLLAR(VLOOKUP("PCS-OzTL743",ARBOR!$A:$C,3,0),6)),-TRUNC(CC41/VLOOKUP("PCS-OzTL743",ARBOR!$A:$C,3,0)-1,4)+0.0001,-TRUNC(CC41/VLOOKUP("PCS-OzTL743",ARBOR!$A:$C,3,0)-1,4)))))</f>
        <v/>
      </c>
      <c r="CE41" s="28" t="str">
        <f>IF(ISERROR(IF(CD41="","",VLOOKUP(($BC41&amp;CD41&amp;"Template desconto FLAT Plano Principal Oi TV nível conta"),BENEFICIOS!$A:$G,5,0))),"Criar",IF(CD41="","",VLOOKUP(($BC41&amp;CD41&amp;"Template desconto FLAT Plano Principal Oi TV nível conta"),BENEFICIOS!$A:$G,5,0)))</f>
        <v/>
      </c>
      <c r="CF41" s="8"/>
      <c r="CG41" s="3" t="str">
        <f>IF(CF41=0,"",IF(CF41=VLOOKUP("PCS-OzTL745",ARBOR!$A:$C,3,0),0.0001,IF(CF41&gt;VLOOKUP("PCS-OzTL745",ARBOR!$A:$C,3,0),"Maior que CAP!",IF((DOLLAR(CF41+(VLOOKUP("PCS-OzTL745",ARBOR!$A:$C,3,0)*-TRUNC(CF41/VLOOKUP("PCS-OzTL745",ARBOR!$A:$C,3,0)-1,4)),6))&lt;&gt;(DOLLAR(VLOOKUP("PCS-OzTL745",ARBOR!$A:$C,3,0),6)),-TRUNC(CF41/VLOOKUP("PCS-OzTL745",ARBOR!$A:$C,3,0)-1,4)+0.0001,-TRUNC(CF41/VLOOKUP("PCS-OzTL745",ARBOR!$A:$C,3,0)-1,4)))))</f>
        <v/>
      </c>
      <c r="CH41" s="28" t="str">
        <f>IF(ISERROR(IF(CG41="","",VLOOKUP(($BC41&amp;CG41&amp;"Template desconto FLAT Plano Principal Oi TV nível conta"),BENEFICIOS!$A:$G,5,0))),"Criar",IF(CG41="","",VLOOKUP(($BC41&amp;CG41&amp;"Template desconto FLAT Plano Principal Oi TV nível conta"),BENEFICIOS!$A:$G,5,0)))</f>
        <v/>
      </c>
      <c r="CI41" s="8"/>
      <c r="CJ41" s="3" t="str">
        <f>IF(CI41=0,"",IF(CI41=VLOOKUP("PCS-OzTL42",ARBOR!$A:$C,3,0),0.0001,IF(CI41&gt;VLOOKUP("PCS-OzTL42",ARBOR!$A:$C,3,0),"Maior que CAP!",IF((DOLLAR(CI41+(VLOOKUP("PCS-OzTL42",ARBOR!$A:$C,3,0)*-TRUNC(CI41/VLOOKUP("PCS-OzTL42",ARBOR!$A:$C,3,0)-1,4)),6))&lt;&gt;(DOLLAR(VLOOKUP("PCS-OzTL42",ARBOR!$A:$C,3,0),6)),-TRUNC(CI41/VLOOKUP("PCS-OzTL42",ARBOR!$A:$C,3,0)-1,4)+0.0001,-TRUNC(CI41/VLOOKUP("PCS-OzTL42",ARBOR!$A:$C,3,0)-1,4)))))</f>
        <v/>
      </c>
      <c r="CK41" s="28" t="str">
        <f>IF(ISERROR(IF(CJ41="","",VLOOKUP(($BC41&amp;CJ41&amp;"Template desconto FLAT Plano Principal Oi TV nível conta"),BENEFICIOS!$A:$G,5,0))),"Criar",IF(CJ41="","",VLOOKUP(($BC41&amp;CJ41&amp;"Template desconto FLAT Plano Principal Oi TV nível conta"),BENEFICIOS!$A:$G,5,0)))</f>
        <v/>
      </c>
      <c r="CL41" s="8"/>
      <c r="CM41" s="3" t="str">
        <f>IF(CL41=0,"",IF(CL41=VLOOKUP("PCS-OzTL47",ARBOR!$A:$C,3,0),0.0001,IF(CL41&gt;VLOOKUP("PCS-OzTL47",ARBOR!$A:$C,3,0),"Maior que CAP!",IF((DOLLAR(CL41+(VLOOKUP("PCS-OzTL47",ARBOR!$A:$C,3,0)*-TRUNC(CL41/VLOOKUP("PCS-OzTL47",ARBOR!$A:$C,3,0)-1,4)),6))&lt;&gt;(DOLLAR(VLOOKUP("PCS-OzTL47",ARBOR!$A:$C,3,0),6)),-TRUNC(CL41/VLOOKUP("PCS-OzTL47",ARBOR!$A:$C,3,0)-1,4)+0.0001,-TRUNC(CL41/VLOOKUP("PCS-OzTL47",ARBOR!$A:$C,3,0)-1,4)))))</f>
        <v/>
      </c>
      <c r="CN41" s="28" t="str">
        <f>IF(ISERROR(IF(CM41="","",VLOOKUP(($BC41&amp;CM41&amp;"Template desconto FLAT Plano Principal Oi TV nível conta"),BENEFICIOS!$A:$G,5,0))),"Criar",IF(CM41="","",VLOOKUP(($BC41&amp;CM41&amp;"Template desconto FLAT Plano Principal Oi TV nível conta"),BENEFICIOS!$A:$G,5,0)))</f>
        <v/>
      </c>
      <c r="CO41" s="8"/>
      <c r="CP41" s="3" t="str">
        <f>IF(CO41=0,"",IF(CO41=VLOOKUP("PCS-OzTL46",ARBOR!$A:$C,3,0),0.0001,IF(CO41&gt;VLOOKUP("PCS-OzTL46",ARBOR!$A:$C,3,0),"Maior que CAP!",IF((DOLLAR(CO41+(VLOOKUP("PCS-OzTL46",ARBOR!$A:$C,3,0)*-TRUNC(CO41/VLOOKUP("PCS-OzTL46",ARBOR!$A:$C,3,0)-1,4)),6))&lt;&gt;(DOLLAR(VLOOKUP("PCS-OzTL46",ARBOR!$A:$C,3,0),6)),-TRUNC(CO41/VLOOKUP("PCS-OzTL46",ARBOR!$A:$C,3,0)-1,4)+0.0001,-TRUNC(CO41/VLOOKUP("PCS-OzTL46",ARBOR!$A:$C,3,0)-1,4)))))</f>
        <v/>
      </c>
      <c r="CQ41" s="28" t="str">
        <f>IF(ISERROR(IF(CP41="","",VLOOKUP(($BC41&amp;CP41&amp;"Template desconto FLAT Plano Principal Oi TV nível conta"),BENEFICIOS!$A:$G,5,0))),"Criar",IF(CP41="","",VLOOKUP(($BC41&amp;CP41&amp;"Template desconto FLAT Plano Principal Oi TV nível conta"),BENEFICIOS!$A:$G,5,0)))</f>
        <v/>
      </c>
      <c r="CR41" s="8"/>
      <c r="CS41" s="3" t="str">
        <f>IF(CR41=0,"",IF(CR41=VLOOKUP("PCS-OzTL48",ARBOR!$A:$C,3,0),0.0001,IF(CR41&gt;VLOOKUP("PCS-OzTL48",ARBOR!$A:$C,3,0),"Maior que CAP!",IF((DOLLAR(CR41+(VLOOKUP("PCS-OzTL48",ARBOR!$A:$C,3,0)*-TRUNC(CR41/VLOOKUP("PCS-OzTL48",ARBOR!$A:$C,3,0)-1,4)),6))&lt;&gt;(DOLLAR(VLOOKUP("PCS-OzTL48",ARBOR!$A:$C,3,0),6)),-TRUNC(CR41/VLOOKUP("PCS-OzTL48",ARBOR!$A:$C,3,0)-1,4)+0.0001,-TRUNC(CR41/VLOOKUP("PCS-OzTL48",ARBOR!$A:$C,3,0)-1,4)))))</f>
        <v/>
      </c>
      <c r="CT41" s="28" t="str">
        <f>IF(ISERROR(IF(CS41="","",VLOOKUP(($BC41&amp;CS41&amp;"Template desconto FLAT Plano Principal Oi TV nível conta"),BENEFICIOS!$A:$G,5,0))),"Criar",IF(CS41="","",VLOOKUP(($BC41&amp;CS41&amp;"Template desconto FLAT Plano Principal Oi TV nível conta"),BENEFICIOS!$A:$G,5,0)))</f>
        <v/>
      </c>
      <c r="CU41" s="8"/>
      <c r="CV41" s="3" t="str">
        <f>IF(CU41=0,"",IF(CU41=VLOOKUP("PCS-OzTL742",ARBOR!$A:$C,3,0),0.0001,IF(CU41&gt;VLOOKUP("PCS-OzTL742",ARBOR!$A:$C,3,0),"Maior que CAP!",IF((DOLLAR(CU41+(VLOOKUP("PCS-OzTL742",ARBOR!$A:$C,3,0)*-TRUNC(CU41/VLOOKUP("PCS-OzTL742",ARBOR!$A:$C,3,0)-1,4)),6))&lt;&gt;(DOLLAR(VLOOKUP("PCS-OzTL742",ARBOR!$A:$C,3,0),6)),-TRUNC(CU41/VLOOKUP("PCS-OzTL742",ARBOR!$A:$C,3,0)-1,4)+0.0001,-TRUNC(CU41/VLOOKUP("PCS-OzTL742",ARBOR!$A:$C,3,0)-1,4)))))</f>
        <v/>
      </c>
      <c r="CW41" s="28" t="str">
        <f>IF(ISERROR(IF(CV41="","",VLOOKUP(($BC41&amp;CV41&amp;"Template desconto FLAT Plano Principal Oi TV nível conta"),BENEFICIOS!$A:$G,5,0))),"Criar",IF(CV41="","",VLOOKUP(($BC41&amp;CV41&amp;"Template desconto FLAT Plano Principal Oi TV nível conta"),BENEFICIOS!$A:$G,5,0)))</f>
        <v/>
      </c>
      <c r="CX41" s="8"/>
      <c r="CY41" s="3" t="str">
        <f>IF(CX41=0,"",IF(CX41=VLOOKUP("PCS-OzTL747",ARBOR!$A:$C,3,0),0.0001,IF(CX41&gt;VLOOKUP("PCS-OzTL747",ARBOR!$A:$C,3,0),"Maior que CAP!",IF((DOLLAR(CX41+(VLOOKUP("PCS-OzTL747",ARBOR!$A:$C,3,0)*-TRUNC(CX41/VLOOKUP("PCS-OzTL747",ARBOR!$A:$C,3,0)-1,4)),6))&lt;&gt;(DOLLAR(VLOOKUP("PCS-OzTL747",ARBOR!$A:$C,3,0),6)),-TRUNC(CX41/VLOOKUP("PCS-OzTL747",ARBOR!$A:$C,3,0)-1,4)+0.0001,-TRUNC(CX41/VLOOKUP("PCS-OzTL747",ARBOR!$A:$C,3,0)-1,4)))))</f>
        <v/>
      </c>
      <c r="CZ41" s="28" t="str">
        <f>IF(ISERROR(IF(CY41="","",VLOOKUP(($BC41&amp;CY41&amp;"Template desconto FLAT Plano Principal Oi TV nível conta"),BENEFICIOS!$A:$G,5,0))),"Criar",IF(CY41="","",VLOOKUP(($BC41&amp;CY41&amp;"Template desconto FLAT Plano Principal Oi TV nível conta"),BENEFICIOS!$A:$G,5,0)))</f>
        <v/>
      </c>
      <c r="DA41" s="8"/>
      <c r="DB41" s="3" t="str">
        <f>IF(DA41=0,"",IF(DA41=VLOOKUP("PCS-OzTL746",ARBOR!$A:$C,3,0),0.0001,IF(DA41&gt;VLOOKUP("PCS-OzTL746",ARBOR!$A:$C,3,0),"Maior que CAP!",IF((DOLLAR(DA41+(VLOOKUP("PCS-OzTL746",ARBOR!$A:$C,3,0)*-TRUNC(DA41/VLOOKUP("PCS-OzTL746",ARBOR!$A:$C,3,0)-1,4)),6))&lt;&gt;(DOLLAR(VLOOKUP("PCS-OzTL746",ARBOR!$A:$C,3,0),6)),-TRUNC(DA41/VLOOKUP("PCS-OzTL746",ARBOR!$A:$C,3,0)-1,4)+0.0001,-TRUNC(DA41/VLOOKUP("PCS-OzTL746",ARBOR!$A:$C,3,0)-1,4)))))</f>
        <v/>
      </c>
      <c r="DC41" s="28" t="str">
        <f>IF(ISERROR(IF(DB41="","",VLOOKUP(($BC41&amp;DB41&amp;"Template desconto FLAT Plano Principal Oi TV nível conta"),BENEFICIOS!$A:$G,5,0))),"Criar",IF(DB41="","",VLOOKUP(($BC41&amp;DB41&amp;"Template desconto FLAT Plano Principal Oi TV nível conta"),BENEFICIOS!$A:$G,5,0)))</f>
        <v/>
      </c>
      <c r="DD41" s="8"/>
      <c r="DE41" s="3" t="str">
        <f>IF(DD41=0,"",IF(DD41=VLOOKUP("PCS-OzTL748",ARBOR!$A:$C,3,0),0.0001,IF(DD41&gt;VLOOKUP("PCS-OzTL748",ARBOR!$A:$C,3,0),"Maior que CAP!",IF((DOLLAR(DD41+(VLOOKUP("PCS-OzTL748",ARBOR!$A:$C,3,0)*-TRUNC(DD41/VLOOKUP("PCS-OzTL748",ARBOR!$A:$C,3,0)-1,4)),6))&lt;&gt;(DOLLAR(VLOOKUP("PCS-OzTL748",ARBOR!$A:$C,3,0),6)),-TRUNC(DD41/VLOOKUP("PCS-OzTL748",ARBOR!$A:$C,3,0)-1,4)+0.0001,-TRUNC(DD41/VLOOKUP("PCS-OzTL748",ARBOR!$A:$C,3,0)-1,4)))))</f>
        <v/>
      </c>
      <c r="DF41" s="28" t="str">
        <f>IF(ISERROR(IF(DE41="","",VLOOKUP(($BC41&amp;DE41&amp;"Template desconto FLAT Plano Principal Oi TV nível conta"),BENEFICIOS!$A:$G,5,0))),"Criar",IF(DE41="","",VLOOKUP(($BC41&amp;DE41&amp;"Template desconto FLAT Plano Principal Oi TV nível conta"),BENEFICIOS!$A:$G,5,0)))</f>
        <v/>
      </c>
      <c r="DG41" s="8"/>
      <c r="DH41" s="3" t="str">
        <f>IF(DG41=0,"",IF(DG41=VLOOKUP("PCS-OzTL34",ARBOR!$A:$C,3,0),0.0001,IF(DG41&gt;VLOOKUP("PCS-OzTL34",ARBOR!$A:$C,3,0),"Maior que CAP!",IF((DOLLAR(DG41+(VLOOKUP("PCS-OzTL34",ARBOR!$A:$C,3,0)*-TRUNC(DG41/VLOOKUP("PCS-OzTL34",ARBOR!$A:$C,3,0)-1,4)),6))&lt;&gt;(DOLLAR(VLOOKUP("PCS-OzTL34",ARBOR!$A:$C,3,0),6)),-TRUNC(DG41/VLOOKUP("PCS-OzTL34",ARBOR!$A:$C,3,0)-1,4)+0.0001,-TRUNC(DG41/VLOOKUP("PCS-OzTL34",ARBOR!$A:$C,3,0)-1,4)))))</f>
        <v/>
      </c>
      <c r="DI41" s="28" t="str">
        <f>IF(DH41="S/Desc","S/Desc",IF(ISERROR(IF(DH41="","",VLOOKUP(($BC41&amp;DH41&amp;"Template desconto % Combate nível conta"),BENEFICIOS!$A:$G,5,0))),"Criar",IF(DH41="","",VLOOKUP(($BC41&amp;DH41&amp;"Template desconto % Combate nível conta"),BENEFICIOS!$A:$G,5,0))))</f>
        <v/>
      </c>
      <c r="DJ41" s="8"/>
      <c r="DK41" s="3" t="str">
        <f>IF(DJ41=0,"",IF(DJ41=VLOOKUP("PCS-OzTL31",ARBOR!$A:$C,3,0),0.0001,IF(DJ41&gt;VLOOKUP("PCS-OzTL31",ARBOR!$A:$C,3,0),"Maior que CAP!",IF((DOLLAR(DJ41+(VLOOKUP("PCS-OzTL31",ARBOR!$A:$C,3,0)*-TRUNC(DJ41/VLOOKUP("PCS-OzTL31",ARBOR!$A:$C,3,0)-1,4)),6))&lt;&gt;(DOLLAR(VLOOKUP("PCS-OzTL31",ARBOR!$A:$C,3,0),6)),-TRUNC(DJ41/VLOOKUP("PCS-OzTL31",ARBOR!$A:$C,3,0)-1,4)+0.0001,-TRUNC(DJ41/VLOOKUP("PCS-OzTL31",ARBOR!$A:$C,3,0)-1,4)))))</f>
        <v/>
      </c>
      <c r="DL41" s="28" t="str">
        <f>IF(DK41="S/Desc","S/Desc",IF(ISERROR(IF(DK41="","",VLOOKUP(($BC41&amp;DK41&amp;"Template desconto % Sexy Hot nível conta"),BENEFICIOS!$A:$G,5,0))),"Criar",IF(DK41="","",VLOOKUP(($BC41&amp;DK41&amp;"Template desconto % Sexy Hot nível conta"),BENEFICIOS!$A:$G,5,0))))</f>
        <v/>
      </c>
      <c r="DM41" s="8"/>
      <c r="DN41" s="3" t="str">
        <f>IF(DM41=0,"",IF(DM41=VLOOKUP("PCS-OzTL32",ARBOR!$A:$C,3,0),0.0001,IF(DM41&gt;VLOOKUP("PCS-OzTL32",ARBOR!$A:$C,3,0),"Maior que CAP!",IF((DOLLAR(DM41+(VLOOKUP("PCS-OzTL32",ARBOR!$A:$C,3,0)*-TRUNC(DM41/VLOOKUP("PCS-OzTL32",ARBOR!$A:$C,3,0)-1,4)),6))&lt;&gt;(DOLLAR(VLOOKUP("PCS-OzTL32",ARBOR!$A:$C,3,0),6)),-TRUNC(DM41/VLOOKUP("PCS-OzTL32",ARBOR!$A:$C,3,0)-1,4)+0.0001,-TRUNC(DM41/VLOOKUP("PCS-OzTL32",ARBOR!$A:$C,3,0)-1,4)))))</f>
        <v/>
      </c>
      <c r="DO41" s="28" t="str">
        <f>IF(DN41="S/Desc","S/Desc",IF(ISERROR(IF(DN41="","",VLOOKUP(($BC41&amp;DN41&amp;"Template desconto % Playboy nível conta"),BENEFICIOS!$A:$G,5,0))),"Criar",IF(DN41="","",VLOOKUP(($BC41&amp;DN41&amp;"Template desconto % Playboy nível conta"),BENEFICIOS!$A:$G,5,0))))</f>
        <v/>
      </c>
      <c r="DP41" s="8"/>
      <c r="DQ41" s="3" t="str">
        <f>IF(DP41=0,"",IF(DP41=VLOOKUP("PCS-OzTL33",ARBOR!$A:$C,3,0),0.0001,IF(DP41&gt;VLOOKUP("PCS-OzTL33",ARBOR!$A:$C,3,0),"Maior que CAP!",IF((DOLLAR(DP41+(VLOOKUP("PCS-OzTL33",ARBOR!$A:$C,3,0)*-TRUNC(DP41/VLOOKUP("PCS-OzTL33",ARBOR!$A:$C,3,0)-1,4)),6))&lt;&gt;(DOLLAR(VLOOKUP("PCS-OzTL33",ARBOR!$A:$C,3,0),6)),-TRUNC(DP41/VLOOKUP("PCS-OzTL33",ARBOR!$A:$C,3,0)-1,4)+0.0001,-TRUNC(DP41/VLOOKUP("PCS-OzTL33",ARBOR!$A:$C,3,0)-1,4)))))</f>
        <v/>
      </c>
      <c r="DR41" s="28" t="str">
        <f>IF(DQ41="S/Desc","S/Desc",IF(ISERROR(IF(DQ41="","",VLOOKUP(($BC41&amp;DQ41&amp;"Template desconto % Sexy Hot + Playboy nível conta"),BENEFICIOS!$A:$G,5,0))),"Criar",IF(DQ41="","",VLOOKUP(($BC41&amp;DQ41&amp;"Template desconto % Sexy Hot + Playboy nível conta"),BENEFICIOS!$A:$G,5,0))))</f>
        <v/>
      </c>
      <c r="DS41" s="8"/>
      <c r="DT41" s="3" t="str">
        <f>IF(DS41=0,"",IF(DS41=VLOOKUP("PCS-OzTL503",ARBOR!$A:$C,3,0),0.0001,IF(DS41&gt;VLOOKUP("PCS-OzTL503",ARBOR!$A:$C,3,0),"Maior que CAP!",IF((DOLLAR(DS41+(VLOOKUP("PCS-OzTL503",ARBOR!$A:$C,3,0)*-TRUNC(DS41/VLOOKUP("PCS-OzTL503",ARBOR!$A:$C,3,0)-1,4)),6))&lt;&gt;(DOLLAR(VLOOKUP("PCS-OzTL503",ARBOR!$A:$C,3,0),6)),-TRUNC(DS41/VLOOKUP("PCS-OzTL503",ARBOR!$A:$C,3,0)-1,4)+0.0001,-TRUNC(DS41/VLOOKUP("PCS-OzTL503",ARBOR!$A:$C,3,0)-1,4)))))</f>
        <v/>
      </c>
      <c r="DU41" s="28" t="str">
        <f>IF(DT41="S/Desc","S/Desc",IF(ISERROR(IF(DT41="","",VLOOKUP(($BC41&amp;DT41&amp;"Template desconto % SexPrivê nível conta"),BENEFICIOS!$A:$G,5,0))),"Criar",IF(DT41="","",VLOOKUP(($BC41&amp;DT41&amp;"Template desconto % SexPrivê nível conta"),BENEFICIOS!$A:$G,5,0))))</f>
        <v/>
      </c>
      <c r="DV41" s="8"/>
      <c r="DW41" s="3" t="str">
        <f>IF(DV41=0,"",IF(DV41=VLOOKUP("PCS-OzTL500",ARBOR!$A:$C,3,0),0.0001,IF(DV41&gt;VLOOKUP("PCS-OzTL500",ARBOR!$A:$C,3,0),"Maior que CAP!",IF((DOLLAR(DV41+(VLOOKUP("PCS-OzTL500",ARBOR!$A:$C,3,0)*-TRUNC(DV41/VLOOKUP("PCS-OzTL500",ARBOR!$A:$C,3,0)-1,4)),6))&lt;&gt;(DOLLAR(VLOOKUP("PCS-OzTL500",ARBOR!$A:$C,3,0),6)),-TRUNC(DV41/VLOOKUP("PCS-OzTL500",ARBOR!$A:$C,3,0)-1,4)+0.0001,-TRUNC(DV41/VLOOKUP("PCS-OzTL500",ARBOR!$A:$C,3,0)-1,4)))))</f>
        <v/>
      </c>
      <c r="DX41" s="28" t="str">
        <f>IF(DW41="S/Desc","S/Desc",IF(ISERROR(IF(DW41="","",VLOOKUP(($BC41&amp;DW41&amp;"Template desconto % Étnico nível conta"),BENEFICIOS!$A:$G,5,0))),"Criar",IF(DW41="","",VLOOKUP(($BC41&amp;DW41&amp;"Template desconto % Étnico nível conta"),BENEFICIOS!$A:$G,5,0))))</f>
        <v/>
      </c>
      <c r="DY41" s="8"/>
      <c r="DZ41" s="181" t="str">
        <f>IF(DY41=0,"",IF(DY41=VLOOKUP("PCS-OzTL50",ARBOR!$A:$C,3,0),0.0001,IF(DY41&gt;VLOOKUP("PCS-OzTL50",ARBOR!$A:$C,3,0),"Maior que CAP!",IF((DOLLAR(DY41+(VLOOKUP("PCS-OzTL50",ARBOR!$A:$C,3,0)*-TRUNC(DY41/VLOOKUP("PCS-OzTL50",ARBOR!$A:$C,3,0)-1,4)),6))&lt;&gt;(DOLLAR(VLOOKUP("PCS-OzTL50",ARBOR!$A:$C,3,0),6)),-TRUNC(DY41/VLOOKUP("PCS-OzTL50",ARBOR!$A:$C,3,0)-1,4)+0.0001,-TRUNC(DY41/VLOOKUP("PCS-OzTL50",ARBOR!$A:$C,3,0)-1,4)))))</f>
        <v/>
      </c>
      <c r="EA41" s="28"/>
      <c r="EB41" s="8"/>
      <c r="EC41" s="181" t="str">
        <f>IF(EB41=0,"",IF(EB41=VLOOKUP("PCS-OzTL51",ARBOR!$A:$C,3,0),0.0001,IF(EB41&gt;VLOOKUP("PCS-OzTL51",ARBOR!$A:$C,3,0),"Maior que CAP!",IF((DOLLAR(EB41+(VLOOKUP("PCS-OzTL51",ARBOR!$A:$C,3,0)*-TRUNC(EB41/VLOOKUP("PCS-OzTL51",ARBOR!$A:$C,3,0)-1,4)),6))&lt;&gt;(DOLLAR(VLOOKUP("PCS-OzTL51",ARBOR!$A:$C,3,0),6)),-TRUNC(EB41/VLOOKUP("PCS-OzTL51",ARBOR!$A:$C,3,0)-1,4)+0.0001,-TRUNC(EB41/VLOOKUP("PCS-OzTL51",ARBOR!$A:$C,3,0)-1,4)))))</f>
        <v/>
      </c>
      <c r="ED41" s="28"/>
      <c r="EE41" s="8"/>
      <c r="EF41" s="181" t="str">
        <f>IF(EE41=0,"",IF(EE41=VLOOKUP("PCS-OzTL52",ARBOR!$A:$C,3,0),0.0001,IF(EE41&gt;VLOOKUP("PCS-OzTL52",ARBOR!$A:$C,3,0),"Maior que CAP!",IF((DOLLAR(EE41+(VLOOKUP("PCS-OzTL52",ARBOR!$A:$C,3,0)*-TRUNC(EE41/VLOOKUP("PCS-OzTL52",ARBOR!$A:$C,3,0)-1,4)),6))&lt;&gt;(DOLLAR(VLOOKUP("PCS-OzTL52",ARBOR!$A:$C,3,0),6)),-TRUNC(EE41/VLOOKUP("PCS-OzTL52",ARBOR!$A:$C,3,0)-1,4)+0.0001,-TRUNC(EE41/VLOOKUP("PCS-OzTL52",ARBOR!$A:$C,3,0)-1,4)))))</f>
        <v/>
      </c>
      <c r="EG41" s="28"/>
      <c r="EH41" s="8"/>
      <c r="EI41" s="181" t="str">
        <f>IF(EH41=0,"",IF(EH41=VLOOKUP("PCS-OzTL53",ARBOR!$A:$C,3,0),0.0001,IF(EH41&gt;VLOOKUP("PCS-OzTL53",ARBOR!$A:$C,3,0),"Maior que CAP!",IF((DOLLAR(EH41+(VLOOKUP("PCS-OzTL53",ARBOR!$A:$C,3,0)*-TRUNC(EH41/VLOOKUP("PCS-OzTL53",ARBOR!$A:$C,3,0)-1,4)),6))&lt;&gt;(DOLLAR(VLOOKUP("PCS-OzTL53",ARBOR!$A:$C,3,0),6)),-TRUNC(EH41/VLOOKUP("PCS-OzTL53",ARBOR!$A:$C,3,0)-1,4)+0.0001,-TRUNC(EH41/VLOOKUP("PCS-OzTL53",ARBOR!$A:$C,3,0)-1,4)))))</f>
        <v/>
      </c>
      <c r="EJ41" s="28"/>
      <c r="EK41" s="8"/>
      <c r="EL41" s="181" t="str">
        <f>IF(EK41=0,"",IF(EK41=VLOOKUP("PCS-OzTL54",ARBOR!$A:$C,3,0),0.0001,IF(EK41&gt;VLOOKUP("PCS-OzTL54",ARBOR!$A:$C,3,0),"Maior que CAP!",IF((DOLLAR(EK41+(VLOOKUP("PCS-OzTL54",ARBOR!$A:$C,3,0)*-TRUNC(EK41/VLOOKUP("PCS-OzTL54",ARBOR!$A:$C,3,0)-1,4)),6))&lt;&gt;(DOLLAR(VLOOKUP("PCS-OzTL54",ARBOR!$A:$C,3,0),6)),-TRUNC(EK41/VLOOKUP("PCS-OzTL54",ARBOR!$A:$C,3,0)-1,4)+0.0001,-TRUNC(EK41/VLOOKUP("PCS-OzTL54",ARBOR!$A:$C,3,0)-1,4)))))</f>
        <v/>
      </c>
      <c r="EM41" s="28"/>
      <c r="EN41" s="8"/>
      <c r="EO41" s="3" t="str">
        <f>IF(EN41=0,"",IF(EN41=VLOOKUP("PCS-OzTL99",ARBOR!$A:$C,3,0),0.0001,IF(EN41&gt;VLOOKUP("PCS-OzTL99",ARBOR!$A:$C,3,0),"Maior que CAP!",IF((DOLLAR(EN41+(VLOOKUP("PCS-OzTL99",ARBOR!$A:$C,3,0)*-TRUNC(EN41/VLOOKUP("PCS-OzTL99",ARBOR!$A:$C,3,0)-1,4)),6))&lt;&gt;(DOLLAR(VLOOKUP("PCS-OzTL99",ARBOR!$A:$C,3,0),6)),-TRUNC(EN41/VLOOKUP("PCS-OzTL99",ARBOR!$A:$C,3,0)-1,4)+0.0001,-TRUNC(EN41/VLOOKUP("PCS-OzTL99",ARBOR!$A:$C,3,0)-1,4)))))</f>
        <v/>
      </c>
      <c r="EP41" s="28" t="str">
        <f>IF(EO41="S/Desc","S/Desc",IF(ISERROR(IF(EO41="","",VLOOKUP(($BC41&amp;EO41&amp;"Template desconto % Ponto adicional nível conta"),BENEFICIOS!$A:$G,5,0))),"Criar",IF(EO41="","",VLOOKUP(($BC41&amp;EO41&amp;"Template desconto % Ponto adicional nível conta"),BENEFICIOS!$A:$G,5,0))))</f>
        <v/>
      </c>
      <c r="EQ41" s="8"/>
      <c r="ER41" s="28" t="str">
        <f t="shared" si="23"/>
        <v/>
      </c>
      <c r="ES41" s="62"/>
      <c r="ET41" s="126"/>
      <c r="EU41" s="127"/>
      <c r="EV41" s="126"/>
      <c r="EW41" s="128" t="str">
        <f t="shared" si="24"/>
        <v/>
      </c>
      <c r="EX41" s="129" t="str">
        <f t="shared" si="25"/>
        <v/>
      </c>
      <c r="EY41" s="91" t="str">
        <f t="shared" si="26"/>
        <v/>
      </c>
      <c r="EZ41" s="85"/>
      <c r="FA41" s="97"/>
      <c r="FB41" s="91"/>
      <c r="FC41" s="85"/>
      <c r="FD41" s="97"/>
      <c r="FE41" s="91"/>
      <c r="FF41" s="87"/>
      <c r="FG41" s="144" t="str">
        <f t="shared" si="5"/>
        <v/>
      </c>
      <c r="FH41" s="144" t="str">
        <f t="shared" si="6"/>
        <v/>
      </c>
      <c r="FI41" s="144" t="str">
        <f t="shared" si="7"/>
        <v/>
      </c>
      <c r="FJ41" s="144" t="str">
        <f t="shared" si="8"/>
        <v/>
      </c>
      <c r="FK41" s="144" t="str">
        <f t="shared" si="9"/>
        <v/>
      </c>
      <c r="FL41" s="144" t="str">
        <f t="shared" si="10"/>
        <v/>
      </c>
      <c r="FM41" s="144" t="str">
        <f t="shared" si="11"/>
        <v/>
      </c>
      <c r="FN41" s="144" t="str">
        <f t="shared" si="12"/>
        <v/>
      </c>
      <c r="FO41" s="144" t="str">
        <f t="shared" si="13"/>
        <v/>
      </c>
      <c r="FP41" s="144" t="str">
        <f t="shared" si="14"/>
        <v/>
      </c>
      <c r="FQ41" s="144" t="str">
        <f t="shared" si="15"/>
        <v/>
      </c>
      <c r="FR41" s="144" t="str">
        <f t="shared" si="16"/>
        <v/>
      </c>
      <c r="FS41" s="144" t="str">
        <f t="shared" si="17"/>
        <v/>
      </c>
      <c r="FT41" s="144" t="str">
        <f t="shared" si="18"/>
        <v/>
      </c>
      <c r="FU41" s="144" t="str">
        <f t="shared" si="19"/>
        <v/>
      </c>
      <c r="FV41" s="144" t="str">
        <f t="shared" si="20"/>
        <v/>
      </c>
      <c r="FW41" s="144" t="str">
        <f t="shared" si="21"/>
        <v/>
      </c>
      <c r="FX41" s="151"/>
      <c r="FY41" s="152"/>
      <c r="FZ41" s="152"/>
      <c r="GA41" s="152"/>
      <c r="GB41" s="152"/>
      <c r="GC41" s="152"/>
      <c r="GD41" s="152"/>
      <c r="GE41" s="152"/>
      <c r="GF41" s="152"/>
      <c r="GG41" s="153"/>
    </row>
    <row r="42" spans="1:189">
      <c r="A42" s="45"/>
      <c r="B42" s="133"/>
      <c r="C42" s="133"/>
      <c r="D42" s="46"/>
      <c r="E42" s="47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9"/>
      <c r="U42" s="48"/>
      <c r="V42" s="49"/>
      <c r="W42" s="48"/>
      <c r="X42" s="48"/>
      <c r="Y42" s="48"/>
      <c r="Z42" s="48"/>
      <c r="AA42" s="49"/>
      <c r="AB42" s="48"/>
      <c r="AC42" s="50"/>
      <c r="AD42" s="48"/>
      <c r="AE42" s="48"/>
      <c r="AF42" s="48"/>
      <c r="AG42" s="48"/>
      <c r="AH42" s="48"/>
      <c r="AI42" s="48"/>
      <c r="AJ42" s="48"/>
      <c r="AK42" s="48"/>
      <c r="AL42" s="51"/>
      <c r="AM42" s="37"/>
      <c r="AN42" s="38"/>
      <c r="AO42" s="39"/>
      <c r="AP42" s="52"/>
      <c r="AQ42" s="53"/>
      <c r="AR42" s="64"/>
      <c r="AS42" s="65"/>
      <c r="AT42" s="54"/>
      <c r="AU42" s="54"/>
      <c r="AV42" s="54"/>
      <c r="AW42" s="54"/>
      <c r="AX42" s="70"/>
      <c r="AY42" s="71"/>
      <c r="AZ42" s="72"/>
      <c r="BA42" s="73"/>
      <c r="BB42" s="55"/>
      <c r="BC42" s="56"/>
      <c r="BD42" s="27" t="str">
        <f t="shared" si="22"/>
        <v/>
      </c>
      <c r="BE42" s="58"/>
      <c r="BF42" s="3" t="str">
        <f>IF(BE42=0,"",IF(BE42=VLOOKUP("FIXO",ARBOR!$A:$C,3,0),0.0001,IF(BE42&gt;VLOOKUP("FIXO",ARBOR!$A:$C,3,0),"Maior que CAP!",IF((DOLLAR(BE42+(VLOOKUP("FIXO",ARBOR!$A:$C,3,0)*-TRUNC(BE42/VLOOKUP("FIXO",ARBOR!$A:$C,3,0)-1,4)),6))&lt;&gt;(DOLLAR(VLOOKUP("FIXO",ARBOR!$A:$C,3,0),6)),-TRUNC(BE42/VLOOKUP("FIXO",ARBOR!$A:$C,3,0)-1,4)+0.0001,-TRUNC(BE42/VLOOKUP("FIXO",ARBOR!$A:$C,3,0)-1,4)))))</f>
        <v/>
      </c>
      <c r="BG42" s="10" t="str">
        <f>IF(ISERROR(IF(BF42="","",VLOOKUP(($BC42&amp;BF42&amp;"Template de desconto FLAT bundle - Fixo - Varejo - Ganho Tributário Cross"),BENEFICIOS!$A:$G,5,0))),"Criar",IF(BF42="","",VLOOKUP(($BC42&amp;BF42&amp;"Template de desconto FLAT bundle - Fixo - Varejo - Ganho Tributário Cross"),BENEFICIOS!$A:$G,5,0)))</f>
        <v/>
      </c>
      <c r="BH42" s="8"/>
      <c r="BI42" s="3" t="str">
        <f>IF(BH42=0,"",IF(BH42=VLOOKUP("PCS-OzTL40",ARBOR!$A:$C,3,0),0.0001,IF(BH42&gt;VLOOKUP("PCS-OzTL40",ARBOR!$A:$C,3,0),"Maior que CAP!",IF((DOLLAR(BH42+(VLOOKUP("PCS-OzTL40",ARBOR!$A:$C,3,0)*-TRUNC(BH42/VLOOKUP("PCS-OzTL40",ARBOR!$A:$C,3,0)-1,4)),6))&lt;&gt;(DOLLAR(VLOOKUP("PCS-OzTL40",ARBOR!$A:$C,3,0),6)),-TRUNC(BH42/VLOOKUP("PCS-OzTL40",ARBOR!$A:$C,3,0)-1,4)+0.0001,-TRUNC(BH42/VLOOKUP("PCS-OzTL40",ARBOR!$A:$C,3,0)-1,4)))))</f>
        <v/>
      </c>
      <c r="BJ42" s="10" t="str">
        <f>IF(ISERROR(IF(BI42="","",VLOOKUP((BC42&amp;BI42&amp;"Template desconto FLAT Plano Principal Oi TV nível conta"),BENEFICIOS!$A:$G,5,0))),"Criar",IF(BI42="","",VLOOKUP((BC42&amp;BI42&amp;"Template desconto FLAT Plano Principal Oi TV nível conta"),BENEFICIOS!$A:$G,5,0)))</f>
        <v/>
      </c>
      <c r="BK42" s="8"/>
      <c r="BL42" s="3" t="str">
        <f>IF(BK42=0,"",IF(BK42=VLOOKUP("PCS-OzTL41",ARBOR!$A:$C,3,0),0.0001,IF(BK42&gt;VLOOKUP("PCS-OzTL41",ARBOR!$A:$C,3,0),"Maior que CAP!",IF((DOLLAR(BK42+(VLOOKUP("PCS-OzTL41",ARBOR!$A:$C,3,0)*-TRUNC(BK42/VLOOKUP("PCS-OzTL41",ARBOR!$A:$C,3,0)-1,4)),6))&lt;&gt;(DOLLAR(VLOOKUP("PCS-OzTL41",ARBOR!$A:$C,3,0),6)),-TRUNC(BK42/VLOOKUP("PCS-OzTL41",ARBOR!$A:$C,3,0)-1,4)+0.0001,-TRUNC(BK42/VLOOKUP("PCS-OzTL41",ARBOR!$A:$C,3,0)-1,4)))))</f>
        <v/>
      </c>
      <c r="BM42" s="28" t="str">
        <f>IF(ISERROR(IF(BL42="","",VLOOKUP((BC42&amp;BL42&amp;"Template desconto FLAT Plano Principal Oi TV nível conta"),BENEFICIOS!$A:$G,5,0))),"Criar",IF(BL42="","",VLOOKUP((BC42&amp;BL42&amp;"Template desconto FLAT Plano Principal Oi TV nível conta"),BENEFICIOS!$A:$G,5,0)))</f>
        <v/>
      </c>
      <c r="BN42" s="8"/>
      <c r="BO42" s="3" t="str">
        <f>IF(BN42=0,"",IF(BN42=VLOOKUP("PCS-OzTL44",ARBOR!$A:$C,3,0),0.0001,IF(BN42&gt;VLOOKUP("PCS-OzTL44",ARBOR!$A:$C,3,0),"Maior que CAP!",IF((DOLLAR(BN42+(VLOOKUP("PCS-OzTL44",ARBOR!$A:$C,3,0)*-TRUNC(BN42/VLOOKUP("PCS-OzTL44",ARBOR!$A:$C,3,0)-1,4)),6))&lt;&gt;(DOLLAR(VLOOKUP("PCS-OzTL44",ARBOR!$A:$C,3,0),6)),-TRUNC(BN42/VLOOKUP("PCS-OzTL44",ARBOR!$A:$C,3,0)-1,4)+0.0001,-TRUNC(BN42/VLOOKUP("PCS-OzTL44",ARBOR!$A:$C,3,0)-1,4)))))</f>
        <v/>
      </c>
      <c r="BP42" s="28" t="str">
        <f>IF(ISERROR(IF(BO42="","",VLOOKUP((BC42&amp;BO42&amp;"Template desconto FLAT Plano Principal Oi TV nível conta"),BENEFICIOS!$A:$G,5,0))),"Criar",IF(BO42="","",VLOOKUP((BC42&amp;BO42&amp;"Template desconto FLAT Plano Principal Oi TV nível conta"),BENEFICIOS!$A:$G,5,0)))</f>
        <v/>
      </c>
      <c r="BQ42" s="8"/>
      <c r="BR42" s="3" t="str">
        <f>IF(BQ42=0,"",IF(BQ42=VLOOKUP("PCS-OzTL43",ARBOR!$A:$C,3,0),0.0001,IF(BQ42&gt;VLOOKUP("PCS-OzTL43",ARBOR!$A:$C,3,0),"Maior que CAP!",IF((DOLLAR(BQ42+(VLOOKUP("PCS-OzTL43",ARBOR!$A:$C,3,0)*-TRUNC(BQ42/VLOOKUP("PCS-OzTL43",ARBOR!$A:$C,3,0)-1,4)),6))&lt;&gt;(DOLLAR(VLOOKUP("PCS-OzTL43",ARBOR!$A:$C,3,0),6)),-TRUNC(BQ42/VLOOKUP("PCS-OzTL43",ARBOR!$A:$C,3,0)-1,4)+0.0001,-TRUNC(BQ42/VLOOKUP("PCS-OzTL43",ARBOR!$A:$C,3,0)-1,4)))))</f>
        <v/>
      </c>
      <c r="BS42" s="28" t="str">
        <f>IF(ISERROR(IF(BR42="","",VLOOKUP((BC42&amp;BR42&amp;"Template desconto FLAT Plano Principal Oi TV nível conta"),BENEFICIOS!$A:$G,5,0))),"Criar",IF(BR42="","",VLOOKUP((BC42&amp;BR42&amp;"Template desconto FLAT Plano Principal Oi TV nível conta"),BENEFICIOS!$A:$G,5,0)))</f>
        <v/>
      </c>
      <c r="BT42" s="8"/>
      <c r="BU42" s="3" t="str">
        <f>IF(BT42=0,"",IF(BT42=VLOOKUP("PCS-OzTL45",ARBOR!$A:$C,3,0),0.0001,IF(BT42&gt;VLOOKUP("PCS-OzTL45",ARBOR!$A:$C,3,0),"Maior que CAP!",IF((DOLLAR(BT42+(VLOOKUP("PCS-OzTL45",ARBOR!$A:$C,3,0)*-TRUNC(BT42/VLOOKUP("PCS-OzTL45",ARBOR!$A:$C,3,0)-1,4)),6))&lt;&gt;(DOLLAR(VLOOKUP("PCS-OzTL45",ARBOR!$A:$C,3,0),6)),-TRUNC(BT42/VLOOKUP("PCS-OzTL45",ARBOR!$A:$C,3,0)-1,4)+0.0001,-TRUNC(BT42/VLOOKUP("PCS-OzTL45",ARBOR!$A:$C,3,0)-1,4)))))</f>
        <v/>
      </c>
      <c r="BV42" s="28" t="str">
        <f>IF(ISERROR(IF(BU42="","",VLOOKUP((BC42&amp;BU42&amp;"Template desconto FLAT Plano Principal Oi TV nível conta"),BENEFICIOS!$A:$G,5,0))),"Criar",IF(BU42="","",VLOOKUP((BC42&amp;BU42&amp;"Template desconto FLAT Plano Principal Oi TV nível conta"),BENEFICIOS!$A:$G,5,0)))</f>
        <v/>
      </c>
      <c r="BW42" s="8"/>
      <c r="BX42" s="3" t="str">
        <f>IF(BW42=0,"",IF(BW42=VLOOKUP("PCS-OzTL741",ARBOR!$A:$C,3,0),0.0001,IF(BW42&gt;VLOOKUP("PCS-OzTL741",ARBOR!$A:$C,3,0),"Maior que CAP!",IF((DOLLAR(BW42+(VLOOKUP("PCS-OzTL741",ARBOR!$A:$C,3,0)*-TRUNC(BW42/VLOOKUP("PCS-OzTL741",ARBOR!$A:$C,3,0)-1,4)),6))&lt;&gt;(DOLLAR(VLOOKUP("PCS-OzTL741",ARBOR!$A:$C,3,0),6)),-TRUNC(BW42/VLOOKUP("PCS-OzTL741",ARBOR!$A:$C,3,0)-1,4)+0.0001,-TRUNC(BW42/VLOOKUP("PCS-OzTL741",ARBOR!$A:$C,3,0)-1,4)))))</f>
        <v/>
      </c>
      <c r="BY42" s="28" t="str">
        <f>IF(ISERROR(IF(BX42="","",VLOOKUP((BC42&amp;BX42&amp;"Template desconto FLAT Plano Principal Oi TV nível conta"),BENEFICIOS!$A:$G,5,0))),"Criar",IF(BX42="","",VLOOKUP((BC42&amp;BX42&amp;"Template desconto FLAT Plano Principal Oi TV nível conta"),BENEFICIOS!$A:$G,5,0)))</f>
        <v/>
      </c>
      <c r="BZ42" s="8"/>
      <c r="CA42" s="3" t="str">
        <f>IF(BZ42=0,"",IF(BZ42=VLOOKUP("PCS-OzTL744",ARBOR!$A:$C,3,0),0.0001,IF(BZ42&gt;VLOOKUP("PCS-OzTL744",ARBOR!$A:$C,3,0),"Maior que CAP!",IF((DOLLAR(BZ42+(VLOOKUP("PCS-OzTL744",ARBOR!$A:$C,3,0)*-TRUNC(BZ42/VLOOKUP("PCS-OzTL744",ARBOR!$A:$C,3,0)-1,4)),6))&lt;&gt;(DOLLAR(VLOOKUP("PCS-OzTL744",ARBOR!$A:$C,3,0),6)),-TRUNC(BZ42/VLOOKUP("PCS-OzTL744",ARBOR!$A:$C,3,0)-1,4)+0.0001,-TRUNC(BZ42/VLOOKUP("PCS-OzTL744",ARBOR!$A:$C,3,0)-1,4)))))</f>
        <v/>
      </c>
      <c r="CB42" s="28" t="str">
        <f>IF(ISERROR(IF(CA42="","",VLOOKUP(($BC42&amp;CA42&amp;"Template desconto FLAT Plano Principal Oi TV nível conta"),BENEFICIOS!$A:$G,5,0))),"Criar",IF(CA42="","",VLOOKUP(($BC42&amp;CA42&amp;"Template desconto FLAT Plano Principal Oi TV nível conta"),BENEFICIOS!$A:$G,5,0)))</f>
        <v/>
      </c>
      <c r="CC42" s="8"/>
      <c r="CD42" s="3" t="str">
        <f>IF(CC42=0,"",IF(CC42=VLOOKUP("PCS-OzTL743",ARBOR!$A:$C,3,0),0.0001,IF(CC42&gt;VLOOKUP("PCS-OzTL743",ARBOR!$A:$C,3,0),"Maior que CAP!",IF((DOLLAR(CC42+(VLOOKUP("PCS-OzTL743",ARBOR!$A:$C,3,0)*-TRUNC(CC42/VLOOKUP("PCS-OzTL743",ARBOR!$A:$C,3,0)-1,4)),6))&lt;&gt;(DOLLAR(VLOOKUP("PCS-OzTL743",ARBOR!$A:$C,3,0),6)),-TRUNC(CC42/VLOOKUP("PCS-OzTL743",ARBOR!$A:$C,3,0)-1,4)+0.0001,-TRUNC(CC42/VLOOKUP("PCS-OzTL743",ARBOR!$A:$C,3,0)-1,4)))))</f>
        <v/>
      </c>
      <c r="CE42" s="28" t="str">
        <f>IF(ISERROR(IF(CD42="","",VLOOKUP(($BC42&amp;CD42&amp;"Template desconto FLAT Plano Principal Oi TV nível conta"),BENEFICIOS!$A:$G,5,0))),"Criar",IF(CD42="","",VLOOKUP(($BC42&amp;CD42&amp;"Template desconto FLAT Plano Principal Oi TV nível conta"),BENEFICIOS!$A:$G,5,0)))</f>
        <v/>
      </c>
      <c r="CF42" s="8"/>
      <c r="CG42" s="3" t="str">
        <f>IF(CF42=0,"",IF(CF42=VLOOKUP("PCS-OzTL745",ARBOR!$A:$C,3,0),0.0001,IF(CF42&gt;VLOOKUP("PCS-OzTL745",ARBOR!$A:$C,3,0),"Maior que CAP!",IF((DOLLAR(CF42+(VLOOKUP("PCS-OzTL745",ARBOR!$A:$C,3,0)*-TRUNC(CF42/VLOOKUP("PCS-OzTL745",ARBOR!$A:$C,3,0)-1,4)),6))&lt;&gt;(DOLLAR(VLOOKUP("PCS-OzTL745",ARBOR!$A:$C,3,0),6)),-TRUNC(CF42/VLOOKUP("PCS-OzTL745",ARBOR!$A:$C,3,0)-1,4)+0.0001,-TRUNC(CF42/VLOOKUP("PCS-OzTL745",ARBOR!$A:$C,3,0)-1,4)))))</f>
        <v/>
      </c>
      <c r="CH42" s="28" t="str">
        <f>IF(ISERROR(IF(CG42="","",VLOOKUP(($BC42&amp;CG42&amp;"Template desconto FLAT Plano Principal Oi TV nível conta"),BENEFICIOS!$A:$G,5,0))),"Criar",IF(CG42="","",VLOOKUP(($BC42&amp;CG42&amp;"Template desconto FLAT Plano Principal Oi TV nível conta"),BENEFICIOS!$A:$G,5,0)))</f>
        <v/>
      </c>
      <c r="CI42" s="8"/>
      <c r="CJ42" s="3" t="str">
        <f>IF(CI42=0,"",IF(CI42=VLOOKUP("PCS-OzTL42",ARBOR!$A:$C,3,0),0.0001,IF(CI42&gt;VLOOKUP("PCS-OzTL42",ARBOR!$A:$C,3,0),"Maior que CAP!",IF((DOLLAR(CI42+(VLOOKUP("PCS-OzTL42",ARBOR!$A:$C,3,0)*-TRUNC(CI42/VLOOKUP("PCS-OzTL42",ARBOR!$A:$C,3,0)-1,4)),6))&lt;&gt;(DOLLAR(VLOOKUP("PCS-OzTL42",ARBOR!$A:$C,3,0),6)),-TRUNC(CI42/VLOOKUP("PCS-OzTL42",ARBOR!$A:$C,3,0)-1,4)+0.0001,-TRUNC(CI42/VLOOKUP("PCS-OzTL42",ARBOR!$A:$C,3,0)-1,4)))))</f>
        <v/>
      </c>
      <c r="CK42" s="28" t="str">
        <f>IF(ISERROR(IF(CJ42="","",VLOOKUP(($BC42&amp;CJ42&amp;"Template desconto FLAT Plano Principal Oi TV nível conta"),BENEFICIOS!$A:$G,5,0))),"Criar",IF(CJ42="","",VLOOKUP(($BC42&amp;CJ42&amp;"Template desconto FLAT Plano Principal Oi TV nível conta"),BENEFICIOS!$A:$G,5,0)))</f>
        <v/>
      </c>
      <c r="CL42" s="8"/>
      <c r="CM42" s="3" t="str">
        <f>IF(CL42=0,"",IF(CL42=VLOOKUP("PCS-OzTL47",ARBOR!$A:$C,3,0),0.0001,IF(CL42&gt;VLOOKUP("PCS-OzTL47",ARBOR!$A:$C,3,0),"Maior que CAP!",IF((DOLLAR(CL42+(VLOOKUP("PCS-OzTL47",ARBOR!$A:$C,3,0)*-TRUNC(CL42/VLOOKUP("PCS-OzTL47",ARBOR!$A:$C,3,0)-1,4)),6))&lt;&gt;(DOLLAR(VLOOKUP("PCS-OzTL47",ARBOR!$A:$C,3,0),6)),-TRUNC(CL42/VLOOKUP("PCS-OzTL47",ARBOR!$A:$C,3,0)-1,4)+0.0001,-TRUNC(CL42/VLOOKUP("PCS-OzTL47",ARBOR!$A:$C,3,0)-1,4)))))</f>
        <v/>
      </c>
      <c r="CN42" s="28" t="str">
        <f>IF(ISERROR(IF(CM42="","",VLOOKUP(($BC42&amp;CM42&amp;"Template desconto FLAT Plano Principal Oi TV nível conta"),BENEFICIOS!$A:$G,5,0))),"Criar",IF(CM42="","",VLOOKUP(($BC42&amp;CM42&amp;"Template desconto FLAT Plano Principal Oi TV nível conta"),BENEFICIOS!$A:$G,5,0)))</f>
        <v/>
      </c>
      <c r="CO42" s="8"/>
      <c r="CP42" s="3" t="str">
        <f>IF(CO42=0,"",IF(CO42=VLOOKUP("PCS-OzTL46",ARBOR!$A:$C,3,0),0.0001,IF(CO42&gt;VLOOKUP("PCS-OzTL46",ARBOR!$A:$C,3,0),"Maior que CAP!",IF((DOLLAR(CO42+(VLOOKUP("PCS-OzTL46",ARBOR!$A:$C,3,0)*-TRUNC(CO42/VLOOKUP("PCS-OzTL46",ARBOR!$A:$C,3,0)-1,4)),6))&lt;&gt;(DOLLAR(VLOOKUP("PCS-OzTL46",ARBOR!$A:$C,3,0),6)),-TRUNC(CO42/VLOOKUP("PCS-OzTL46",ARBOR!$A:$C,3,0)-1,4)+0.0001,-TRUNC(CO42/VLOOKUP("PCS-OzTL46",ARBOR!$A:$C,3,0)-1,4)))))</f>
        <v/>
      </c>
      <c r="CQ42" s="28" t="str">
        <f>IF(ISERROR(IF(CP42="","",VLOOKUP(($BC42&amp;CP42&amp;"Template desconto FLAT Plano Principal Oi TV nível conta"),BENEFICIOS!$A:$G,5,0))),"Criar",IF(CP42="","",VLOOKUP(($BC42&amp;CP42&amp;"Template desconto FLAT Plano Principal Oi TV nível conta"),BENEFICIOS!$A:$G,5,0)))</f>
        <v/>
      </c>
      <c r="CR42" s="8"/>
      <c r="CS42" s="3" t="str">
        <f>IF(CR42=0,"",IF(CR42=VLOOKUP("PCS-OzTL48",ARBOR!$A:$C,3,0),0.0001,IF(CR42&gt;VLOOKUP("PCS-OzTL48",ARBOR!$A:$C,3,0),"Maior que CAP!",IF((DOLLAR(CR42+(VLOOKUP("PCS-OzTL48",ARBOR!$A:$C,3,0)*-TRUNC(CR42/VLOOKUP("PCS-OzTL48",ARBOR!$A:$C,3,0)-1,4)),6))&lt;&gt;(DOLLAR(VLOOKUP("PCS-OzTL48",ARBOR!$A:$C,3,0),6)),-TRUNC(CR42/VLOOKUP("PCS-OzTL48",ARBOR!$A:$C,3,0)-1,4)+0.0001,-TRUNC(CR42/VLOOKUP("PCS-OzTL48",ARBOR!$A:$C,3,0)-1,4)))))</f>
        <v/>
      </c>
      <c r="CT42" s="28" t="str">
        <f>IF(ISERROR(IF(CS42="","",VLOOKUP(($BC42&amp;CS42&amp;"Template desconto FLAT Plano Principal Oi TV nível conta"),BENEFICIOS!$A:$G,5,0))),"Criar",IF(CS42="","",VLOOKUP(($BC42&amp;CS42&amp;"Template desconto FLAT Plano Principal Oi TV nível conta"),BENEFICIOS!$A:$G,5,0)))</f>
        <v/>
      </c>
      <c r="CU42" s="8"/>
      <c r="CV42" s="3" t="str">
        <f>IF(CU42=0,"",IF(CU42=VLOOKUP("PCS-OzTL742",ARBOR!$A:$C,3,0),0.0001,IF(CU42&gt;VLOOKUP("PCS-OzTL742",ARBOR!$A:$C,3,0),"Maior que CAP!",IF((DOLLAR(CU42+(VLOOKUP("PCS-OzTL742",ARBOR!$A:$C,3,0)*-TRUNC(CU42/VLOOKUP("PCS-OzTL742",ARBOR!$A:$C,3,0)-1,4)),6))&lt;&gt;(DOLLAR(VLOOKUP("PCS-OzTL742",ARBOR!$A:$C,3,0),6)),-TRUNC(CU42/VLOOKUP("PCS-OzTL742",ARBOR!$A:$C,3,0)-1,4)+0.0001,-TRUNC(CU42/VLOOKUP("PCS-OzTL742",ARBOR!$A:$C,3,0)-1,4)))))</f>
        <v/>
      </c>
      <c r="CW42" s="28" t="str">
        <f>IF(ISERROR(IF(CV42="","",VLOOKUP(($BC42&amp;CV42&amp;"Template desconto FLAT Plano Principal Oi TV nível conta"),BENEFICIOS!$A:$G,5,0))),"Criar",IF(CV42="","",VLOOKUP(($BC42&amp;CV42&amp;"Template desconto FLAT Plano Principal Oi TV nível conta"),BENEFICIOS!$A:$G,5,0)))</f>
        <v/>
      </c>
      <c r="CX42" s="8"/>
      <c r="CY42" s="3" t="str">
        <f>IF(CX42=0,"",IF(CX42=VLOOKUP("PCS-OzTL747",ARBOR!$A:$C,3,0),0.0001,IF(CX42&gt;VLOOKUP("PCS-OzTL747",ARBOR!$A:$C,3,0),"Maior que CAP!",IF((DOLLAR(CX42+(VLOOKUP("PCS-OzTL747",ARBOR!$A:$C,3,0)*-TRUNC(CX42/VLOOKUP("PCS-OzTL747",ARBOR!$A:$C,3,0)-1,4)),6))&lt;&gt;(DOLLAR(VLOOKUP("PCS-OzTL747",ARBOR!$A:$C,3,0),6)),-TRUNC(CX42/VLOOKUP("PCS-OzTL747",ARBOR!$A:$C,3,0)-1,4)+0.0001,-TRUNC(CX42/VLOOKUP("PCS-OzTL747",ARBOR!$A:$C,3,0)-1,4)))))</f>
        <v/>
      </c>
      <c r="CZ42" s="28" t="str">
        <f>IF(ISERROR(IF(CY42="","",VLOOKUP(($BC42&amp;CY42&amp;"Template desconto FLAT Plano Principal Oi TV nível conta"),BENEFICIOS!$A:$G,5,0))),"Criar",IF(CY42="","",VLOOKUP(($BC42&amp;CY42&amp;"Template desconto FLAT Plano Principal Oi TV nível conta"),BENEFICIOS!$A:$G,5,0)))</f>
        <v/>
      </c>
      <c r="DA42" s="8"/>
      <c r="DB42" s="3" t="str">
        <f>IF(DA42=0,"",IF(DA42=VLOOKUP("PCS-OzTL746",ARBOR!$A:$C,3,0),0.0001,IF(DA42&gt;VLOOKUP("PCS-OzTL746",ARBOR!$A:$C,3,0),"Maior que CAP!",IF((DOLLAR(DA42+(VLOOKUP("PCS-OzTL746",ARBOR!$A:$C,3,0)*-TRUNC(DA42/VLOOKUP("PCS-OzTL746",ARBOR!$A:$C,3,0)-1,4)),6))&lt;&gt;(DOLLAR(VLOOKUP("PCS-OzTL746",ARBOR!$A:$C,3,0),6)),-TRUNC(DA42/VLOOKUP("PCS-OzTL746",ARBOR!$A:$C,3,0)-1,4)+0.0001,-TRUNC(DA42/VLOOKUP("PCS-OzTL746",ARBOR!$A:$C,3,0)-1,4)))))</f>
        <v/>
      </c>
      <c r="DC42" s="28" t="str">
        <f>IF(ISERROR(IF(DB42="","",VLOOKUP(($BC42&amp;DB42&amp;"Template desconto FLAT Plano Principal Oi TV nível conta"),BENEFICIOS!$A:$G,5,0))),"Criar",IF(DB42="","",VLOOKUP(($BC42&amp;DB42&amp;"Template desconto FLAT Plano Principal Oi TV nível conta"),BENEFICIOS!$A:$G,5,0)))</f>
        <v/>
      </c>
      <c r="DD42" s="8"/>
      <c r="DE42" s="3" t="str">
        <f>IF(DD42=0,"",IF(DD42=VLOOKUP("PCS-OzTL748",ARBOR!$A:$C,3,0),0.0001,IF(DD42&gt;VLOOKUP("PCS-OzTL748",ARBOR!$A:$C,3,0),"Maior que CAP!",IF((DOLLAR(DD42+(VLOOKUP("PCS-OzTL748",ARBOR!$A:$C,3,0)*-TRUNC(DD42/VLOOKUP("PCS-OzTL748",ARBOR!$A:$C,3,0)-1,4)),6))&lt;&gt;(DOLLAR(VLOOKUP("PCS-OzTL748",ARBOR!$A:$C,3,0),6)),-TRUNC(DD42/VLOOKUP("PCS-OzTL748",ARBOR!$A:$C,3,0)-1,4)+0.0001,-TRUNC(DD42/VLOOKUP("PCS-OzTL748",ARBOR!$A:$C,3,0)-1,4)))))</f>
        <v/>
      </c>
      <c r="DF42" s="28" t="str">
        <f>IF(ISERROR(IF(DE42="","",VLOOKUP(($BC42&amp;DE42&amp;"Template desconto FLAT Plano Principal Oi TV nível conta"),BENEFICIOS!$A:$G,5,0))),"Criar",IF(DE42="","",VLOOKUP(($BC42&amp;DE42&amp;"Template desconto FLAT Plano Principal Oi TV nível conta"),BENEFICIOS!$A:$G,5,0)))</f>
        <v/>
      </c>
      <c r="DG42" s="8"/>
      <c r="DH42" s="3" t="str">
        <f>IF(DG42=0,"",IF(DG42=VLOOKUP("PCS-OzTL34",ARBOR!$A:$C,3,0),0.0001,IF(DG42&gt;VLOOKUP("PCS-OzTL34",ARBOR!$A:$C,3,0),"Maior que CAP!",IF((DOLLAR(DG42+(VLOOKUP("PCS-OzTL34",ARBOR!$A:$C,3,0)*-TRUNC(DG42/VLOOKUP("PCS-OzTL34",ARBOR!$A:$C,3,0)-1,4)),6))&lt;&gt;(DOLLAR(VLOOKUP("PCS-OzTL34",ARBOR!$A:$C,3,0),6)),-TRUNC(DG42/VLOOKUP("PCS-OzTL34",ARBOR!$A:$C,3,0)-1,4)+0.0001,-TRUNC(DG42/VLOOKUP("PCS-OzTL34",ARBOR!$A:$C,3,0)-1,4)))))</f>
        <v/>
      </c>
      <c r="DI42" s="28" t="str">
        <f>IF(DH42="S/Desc","S/Desc",IF(ISERROR(IF(DH42="","",VLOOKUP(($BC42&amp;DH42&amp;"Template desconto % Combate nível conta"),BENEFICIOS!$A:$G,5,0))),"Criar",IF(DH42="","",VLOOKUP(($BC42&amp;DH42&amp;"Template desconto % Combate nível conta"),BENEFICIOS!$A:$G,5,0))))</f>
        <v/>
      </c>
      <c r="DJ42" s="8"/>
      <c r="DK42" s="3" t="str">
        <f>IF(DJ42=0,"",IF(DJ42=VLOOKUP("PCS-OzTL31",ARBOR!$A:$C,3,0),0.0001,IF(DJ42&gt;VLOOKUP("PCS-OzTL31",ARBOR!$A:$C,3,0),"Maior que CAP!",IF((DOLLAR(DJ42+(VLOOKUP("PCS-OzTL31",ARBOR!$A:$C,3,0)*-TRUNC(DJ42/VLOOKUP("PCS-OzTL31",ARBOR!$A:$C,3,0)-1,4)),6))&lt;&gt;(DOLLAR(VLOOKUP("PCS-OzTL31",ARBOR!$A:$C,3,0),6)),-TRUNC(DJ42/VLOOKUP("PCS-OzTL31",ARBOR!$A:$C,3,0)-1,4)+0.0001,-TRUNC(DJ42/VLOOKUP("PCS-OzTL31",ARBOR!$A:$C,3,0)-1,4)))))</f>
        <v/>
      </c>
      <c r="DL42" s="28" t="str">
        <f>IF(DK42="S/Desc","S/Desc",IF(ISERROR(IF(DK42="","",VLOOKUP(($BC42&amp;DK42&amp;"Template desconto % Sexy Hot nível conta"),BENEFICIOS!$A:$G,5,0))),"Criar",IF(DK42="","",VLOOKUP(($BC42&amp;DK42&amp;"Template desconto % Sexy Hot nível conta"),BENEFICIOS!$A:$G,5,0))))</f>
        <v/>
      </c>
      <c r="DM42" s="8"/>
      <c r="DN42" s="3" t="str">
        <f>IF(DM42=0,"",IF(DM42=VLOOKUP("PCS-OzTL32",ARBOR!$A:$C,3,0),0.0001,IF(DM42&gt;VLOOKUP("PCS-OzTL32",ARBOR!$A:$C,3,0),"Maior que CAP!",IF((DOLLAR(DM42+(VLOOKUP("PCS-OzTL32",ARBOR!$A:$C,3,0)*-TRUNC(DM42/VLOOKUP("PCS-OzTL32",ARBOR!$A:$C,3,0)-1,4)),6))&lt;&gt;(DOLLAR(VLOOKUP("PCS-OzTL32",ARBOR!$A:$C,3,0),6)),-TRUNC(DM42/VLOOKUP("PCS-OzTL32",ARBOR!$A:$C,3,0)-1,4)+0.0001,-TRUNC(DM42/VLOOKUP("PCS-OzTL32",ARBOR!$A:$C,3,0)-1,4)))))</f>
        <v/>
      </c>
      <c r="DO42" s="28" t="str">
        <f>IF(DN42="S/Desc","S/Desc",IF(ISERROR(IF(DN42="","",VLOOKUP(($BC42&amp;DN42&amp;"Template desconto % Playboy nível conta"),BENEFICIOS!$A:$G,5,0))),"Criar",IF(DN42="","",VLOOKUP(($BC42&amp;DN42&amp;"Template desconto % Playboy nível conta"),BENEFICIOS!$A:$G,5,0))))</f>
        <v/>
      </c>
      <c r="DP42" s="8"/>
      <c r="DQ42" s="3" t="str">
        <f>IF(DP42=0,"",IF(DP42=VLOOKUP("PCS-OzTL33",ARBOR!$A:$C,3,0),0.0001,IF(DP42&gt;VLOOKUP("PCS-OzTL33",ARBOR!$A:$C,3,0),"Maior que CAP!",IF((DOLLAR(DP42+(VLOOKUP("PCS-OzTL33",ARBOR!$A:$C,3,0)*-TRUNC(DP42/VLOOKUP("PCS-OzTL33",ARBOR!$A:$C,3,0)-1,4)),6))&lt;&gt;(DOLLAR(VLOOKUP("PCS-OzTL33",ARBOR!$A:$C,3,0),6)),-TRUNC(DP42/VLOOKUP("PCS-OzTL33",ARBOR!$A:$C,3,0)-1,4)+0.0001,-TRUNC(DP42/VLOOKUP("PCS-OzTL33",ARBOR!$A:$C,3,0)-1,4)))))</f>
        <v/>
      </c>
      <c r="DR42" s="28" t="str">
        <f>IF(DQ42="S/Desc","S/Desc",IF(ISERROR(IF(DQ42="","",VLOOKUP(($BC42&amp;DQ42&amp;"Template desconto % Sexy Hot + Playboy nível conta"),BENEFICIOS!$A:$G,5,0))),"Criar",IF(DQ42="","",VLOOKUP(($BC42&amp;DQ42&amp;"Template desconto % Sexy Hot + Playboy nível conta"),BENEFICIOS!$A:$G,5,0))))</f>
        <v/>
      </c>
      <c r="DS42" s="8"/>
      <c r="DT42" s="3" t="str">
        <f>IF(DS42=0,"",IF(DS42=VLOOKUP("PCS-OzTL503",ARBOR!$A:$C,3,0),0.0001,IF(DS42&gt;VLOOKUP("PCS-OzTL503",ARBOR!$A:$C,3,0),"Maior que CAP!",IF((DOLLAR(DS42+(VLOOKUP("PCS-OzTL503",ARBOR!$A:$C,3,0)*-TRUNC(DS42/VLOOKUP("PCS-OzTL503",ARBOR!$A:$C,3,0)-1,4)),6))&lt;&gt;(DOLLAR(VLOOKUP("PCS-OzTL503",ARBOR!$A:$C,3,0),6)),-TRUNC(DS42/VLOOKUP("PCS-OzTL503",ARBOR!$A:$C,3,0)-1,4)+0.0001,-TRUNC(DS42/VLOOKUP("PCS-OzTL503",ARBOR!$A:$C,3,0)-1,4)))))</f>
        <v/>
      </c>
      <c r="DU42" s="28" t="str">
        <f>IF(DT42="S/Desc","S/Desc",IF(ISERROR(IF(DT42="","",VLOOKUP(($BC42&amp;DT42&amp;"Template desconto % SexPrivê nível conta"),BENEFICIOS!$A:$G,5,0))),"Criar",IF(DT42="","",VLOOKUP(($BC42&amp;DT42&amp;"Template desconto % SexPrivê nível conta"),BENEFICIOS!$A:$G,5,0))))</f>
        <v/>
      </c>
      <c r="DV42" s="8"/>
      <c r="DW42" s="3" t="str">
        <f>IF(DV42=0,"",IF(DV42=VLOOKUP("PCS-OzTL500",ARBOR!$A:$C,3,0),0.0001,IF(DV42&gt;VLOOKUP("PCS-OzTL500",ARBOR!$A:$C,3,0),"Maior que CAP!",IF((DOLLAR(DV42+(VLOOKUP("PCS-OzTL500",ARBOR!$A:$C,3,0)*-TRUNC(DV42/VLOOKUP("PCS-OzTL500",ARBOR!$A:$C,3,0)-1,4)),6))&lt;&gt;(DOLLAR(VLOOKUP("PCS-OzTL500",ARBOR!$A:$C,3,0),6)),-TRUNC(DV42/VLOOKUP("PCS-OzTL500",ARBOR!$A:$C,3,0)-1,4)+0.0001,-TRUNC(DV42/VLOOKUP("PCS-OzTL500",ARBOR!$A:$C,3,0)-1,4)))))</f>
        <v/>
      </c>
      <c r="DX42" s="28" t="str">
        <f>IF(DW42="S/Desc","S/Desc",IF(ISERROR(IF(DW42="","",VLOOKUP(($BC42&amp;DW42&amp;"Template desconto % Étnico nível conta"),BENEFICIOS!$A:$G,5,0))),"Criar",IF(DW42="","",VLOOKUP(($BC42&amp;DW42&amp;"Template desconto % Étnico nível conta"),BENEFICIOS!$A:$G,5,0))))</f>
        <v/>
      </c>
      <c r="DY42" s="8"/>
      <c r="DZ42" s="181" t="str">
        <f>IF(DY42=0,"",IF(DY42=VLOOKUP("PCS-OzTL50",ARBOR!$A:$C,3,0),0.0001,IF(DY42&gt;VLOOKUP("PCS-OzTL50",ARBOR!$A:$C,3,0),"Maior que CAP!",IF((DOLLAR(DY42+(VLOOKUP("PCS-OzTL50",ARBOR!$A:$C,3,0)*-TRUNC(DY42/VLOOKUP("PCS-OzTL50",ARBOR!$A:$C,3,0)-1,4)),6))&lt;&gt;(DOLLAR(VLOOKUP("PCS-OzTL50",ARBOR!$A:$C,3,0),6)),-TRUNC(DY42/VLOOKUP("PCS-OzTL50",ARBOR!$A:$C,3,0)-1,4)+0.0001,-TRUNC(DY42/VLOOKUP("PCS-OzTL50",ARBOR!$A:$C,3,0)-1,4)))))</f>
        <v/>
      </c>
      <c r="EA42" s="28"/>
      <c r="EB42" s="8"/>
      <c r="EC42" s="181" t="str">
        <f>IF(EB42=0,"",IF(EB42=VLOOKUP("PCS-OzTL51",ARBOR!$A:$C,3,0),0.0001,IF(EB42&gt;VLOOKUP("PCS-OzTL51",ARBOR!$A:$C,3,0),"Maior que CAP!",IF((DOLLAR(EB42+(VLOOKUP("PCS-OzTL51",ARBOR!$A:$C,3,0)*-TRUNC(EB42/VLOOKUP("PCS-OzTL51",ARBOR!$A:$C,3,0)-1,4)),6))&lt;&gt;(DOLLAR(VLOOKUP("PCS-OzTL51",ARBOR!$A:$C,3,0),6)),-TRUNC(EB42/VLOOKUP("PCS-OzTL51",ARBOR!$A:$C,3,0)-1,4)+0.0001,-TRUNC(EB42/VLOOKUP("PCS-OzTL51",ARBOR!$A:$C,3,0)-1,4)))))</f>
        <v/>
      </c>
      <c r="ED42" s="28"/>
      <c r="EE42" s="8"/>
      <c r="EF42" s="181" t="str">
        <f>IF(EE42=0,"",IF(EE42=VLOOKUP("PCS-OzTL52",ARBOR!$A:$C,3,0),0.0001,IF(EE42&gt;VLOOKUP("PCS-OzTL52",ARBOR!$A:$C,3,0),"Maior que CAP!",IF((DOLLAR(EE42+(VLOOKUP("PCS-OzTL52",ARBOR!$A:$C,3,0)*-TRUNC(EE42/VLOOKUP("PCS-OzTL52",ARBOR!$A:$C,3,0)-1,4)),6))&lt;&gt;(DOLLAR(VLOOKUP("PCS-OzTL52",ARBOR!$A:$C,3,0),6)),-TRUNC(EE42/VLOOKUP("PCS-OzTL52",ARBOR!$A:$C,3,0)-1,4)+0.0001,-TRUNC(EE42/VLOOKUP("PCS-OzTL52",ARBOR!$A:$C,3,0)-1,4)))))</f>
        <v/>
      </c>
      <c r="EG42" s="28"/>
      <c r="EH42" s="8"/>
      <c r="EI42" s="181" t="str">
        <f>IF(EH42=0,"",IF(EH42=VLOOKUP("PCS-OzTL53",ARBOR!$A:$C,3,0),0.0001,IF(EH42&gt;VLOOKUP("PCS-OzTL53",ARBOR!$A:$C,3,0),"Maior que CAP!",IF((DOLLAR(EH42+(VLOOKUP("PCS-OzTL53",ARBOR!$A:$C,3,0)*-TRUNC(EH42/VLOOKUP("PCS-OzTL53",ARBOR!$A:$C,3,0)-1,4)),6))&lt;&gt;(DOLLAR(VLOOKUP("PCS-OzTL53",ARBOR!$A:$C,3,0),6)),-TRUNC(EH42/VLOOKUP("PCS-OzTL53",ARBOR!$A:$C,3,0)-1,4)+0.0001,-TRUNC(EH42/VLOOKUP("PCS-OzTL53",ARBOR!$A:$C,3,0)-1,4)))))</f>
        <v/>
      </c>
      <c r="EJ42" s="28"/>
      <c r="EK42" s="8"/>
      <c r="EL42" s="181" t="str">
        <f>IF(EK42=0,"",IF(EK42=VLOOKUP("PCS-OzTL54",ARBOR!$A:$C,3,0),0.0001,IF(EK42&gt;VLOOKUP("PCS-OzTL54",ARBOR!$A:$C,3,0),"Maior que CAP!",IF((DOLLAR(EK42+(VLOOKUP("PCS-OzTL54",ARBOR!$A:$C,3,0)*-TRUNC(EK42/VLOOKUP("PCS-OzTL54",ARBOR!$A:$C,3,0)-1,4)),6))&lt;&gt;(DOLLAR(VLOOKUP("PCS-OzTL54",ARBOR!$A:$C,3,0),6)),-TRUNC(EK42/VLOOKUP("PCS-OzTL54",ARBOR!$A:$C,3,0)-1,4)+0.0001,-TRUNC(EK42/VLOOKUP("PCS-OzTL54",ARBOR!$A:$C,3,0)-1,4)))))</f>
        <v/>
      </c>
      <c r="EM42" s="28"/>
      <c r="EN42" s="8"/>
      <c r="EO42" s="3" t="str">
        <f>IF(EN42=0,"",IF(EN42=VLOOKUP("PCS-OzTL99",ARBOR!$A:$C,3,0),0.0001,IF(EN42&gt;VLOOKUP("PCS-OzTL99",ARBOR!$A:$C,3,0),"Maior que CAP!",IF((DOLLAR(EN42+(VLOOKUP("PCS-OzTL99",ARBOR!$A:$C,3,0)*-TRUNC(EN42/VLOOKUP("PCS-OzTL99",ARBOR!$A:$C,3,0)-1,4)),6))&lt;&gt;(DOLLAR(VLOOKUP("PCS-OzTL99",ARBOR!$A:$C,3,0),6)),-TRUNC(EN42/VLOOKUP("PCS-OzTL99",ARBOR!$A:$C,3,0)-1,4)+0.0001,-TRUNC(EN42/VLOOKUP("PCS-OzTL99",ARBOR!$A:$C,3,0)-1,4)))))</f>
        <v/>
      </c>
      <c r="EP42" s="28" t="str">
        <f>IF(EO42="S/Desc","S/Desc",IF(ISERROR(IF(EO42="","",VLOOKUP(($BC42&amp;EO42&amp;"Template desconto % Ponto adicional nível conta"),BENEFICIOS!$A:$G,5,0))),"Criar",IF(EO42="","",VLOOKUP(($BC42&amp;EO42&amp;"Template desconto % Ponto adicional nível conta"),BENEFICIOS!$A:$G,5,0))))</f>
        <v/>
      </c>
      <c r="EQ42" s="8"/>
      <c r="ER42" s="28" t="str">
        <f t="shared" si="23"/>
        <v/>
      </c>
      <c r="ES42" s="62"/>
      <c r="ET42" s="126"/>
      <c r="EU42" s="127"/>
      <c r="EV42" s="126"/>
      <c r="EW42" s="128" t="str">
        <f t="shared" si="24"/>
        <v/>
      </c>
      <c r="EX42" s="129" t="str">
        <f t="shared" si="25"/>
        <v/>
      </c>
      <c r="EY42" s="91" t="str">
        <f t="shared" si="26"/>
        <v/>
      </c>
      <c r="EZ42" s="85"/>
      <c r="FA42" s="97"/>
      <c r="FB42" s="91"/>
      <c r="FC42" s="85"/>
      <c r="FD42" s="97"/>
      <c r="FE42" s="91"/>
      <c r="FF42" s="87"/>
      <c r="FG42" s="144" t="str">
        <f t="shared" si="5"/>
        <v/>
      </c>
      <c r="FH42" s="144" t="str">
        <f t="shared" si="6"/>
        <v/>
      </c>
      <c r="FI42" s="144" t="str">
        <f t="shared" si="7"/>
        <v/>
      </c>
      <c r="FJ42" s="144" t="str">
        <f t="shared" si="8"/>
        <v/>
      </c>
      <c r="FK42" s="144" t="str">
        <f t="shared" si="9"/>
        <v/>
      </c>
      <c r="FL42" s="144" t="str">
        <f t="shared" si="10"/>
        <v/>
      </c>
      <c r="FM42" s="144" t="str">
        <f t="shared" si="11"/>
        <v/>
      </c>
      <c r="FN42" s="144" t="str">
        <f t="shared" si="12"/>
        <v/>
      </c>
      <c r="FO42" s="144" t="str">
        <f t="shared" si="13"/>
        <v/>
      </c>
      <c r="FP42" s="144" t="str">
        <f t="shared" si="14"/>
        <v/>
      </c>
      <c r="FQ42" s="144" t="str">
        <f t="shared" si="15"/>
        <v/>
      </c>
      <c r="FR42" s="144" t="str">
        <f t="shared" si="16"/>
        <v/>
      </c>
      <c r="FS42" s="144" t="str">
        <f t="shared" si="17"/>
        <v/>
      </c>
      <c r="FT42" s="144" t="str">
        <f t="shared" si="18"/>
        <v/>
      </c>
      <c r="FU42" s="144" t="str">
        <f t="shared" si="19"/>
        <v/>
      </c>
      <c r="FV42" s="144" t="str">
        <f t="shared" si="20"/>
        <v/>
      </c>
      <c r="FW42" s="144" t="str">
        <f t="shared" si="21"/>
        <v/>
      </c>
      <c r="FX42" s="151"/>
      <c r="FY42" s="152"/>
      <c r="FZ42" s="152"/>
      <c r="GA42" s="152"/>
      <c r="GB42" s="152"/>
      <c r="GC42" s="152"/>
      <c r="GD42" s="152"/>
      <c r="GE42" s="152"/>
      <c r="GF42" s="152"/>
      <c r="GG42" s="153"/>
    </row>
    <row r="43" spans="1:189">
      <c r="A43" s="45"/>
      <c r="B43" s="133"/>
      <c r="C43" s="133"/>
      <c r="D43" s="46"/>
      <c r="E43" s="4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9"/>
      <c r="U43" s="48"/>
      <c r="V43" s="49"/>
      <c r="W43" s="48"/>
      <c r="X43" s="48"/>
      <c r="Y43" s="48"/>
      <c r="Z43" s="48"/>
      <c r="AA43" s="49"/>
      <c r="AB43" s="48"/>
      <c r="AC43" s="50"/>
      <c r="AD43" s="48"/>
      <c r="AE43" s="48"/>
      <c r="AF43" s="48"/>
      <c r="AG43" s="48"/>
      <c r="AH43" s="48"/>
      <c r="AI43" s="48"/>
      <c r="AJ43" s="48"/>
      <c r="AK43" s="48"/>
      <c r="AL43" s="51"/>
      <c r="AM43" s="37"/>
      <c r="AN43" s="38"/>
      <c r="AO43" s="39"/>
      <c r="AP43" s="52"/>
      <c r="AQ43" s="53"/>
      <c r="AR43" s="64"/>
      <c r="AS43" s="65"/>
      <c r="AT43" s="54"/>
      <c r="AU43" s="54"/>
      <c r="AV43" s="54"/>
      <c r="AW43" s="54"/>
      <c r="AX43" s="70"/>
      <c r="AY43" s="71"/>
      <c r="AZ43" s="72"/>
      <c r="BA43" s="73"/>
      <c r="BB43" s="55"/>
      <c r="BC43" s="56"/>
      <c r="BD43" s="27" t="str">
        <f t="shared" si="22"/>
        <v/>
      </c>
      <c r="BE43" s="58"/>
      <c r="BF43" s="3" t="str">
        <f>IF(BE43=0,"",IF(BE43=VLOOKUP("FIXO",ARBOR!$A:$C,3,0),0.0001,IF(BE43&gt;VLOOKUP("FIXO",ARBOR!$A:$C,3,0),"Maior que CAP!",IF((DOLLAR(BE43+(VLOOKUP("FIXO",ARBOR!$A:$C,3,0)*-TRUNC(BE43/VLOOKUP("FIXO",ARBOR!$A:$C,3,0)-1,4)),6))&lt;&gt;(DOLLAR(VLOOKUP("FIXO",ARBOR!$A:$C,3,0),6)),-TRUNC(BE43/VLOOKUP("FIXO",ARBOR!$A:$C,3,0)-1,4)+0.0001,-TRUNC(BE43/VLOOKUP("FIXO",ARBOR!$A:$C,3,0)-1,4)))))</f>
        <v/>
      </c>
      <c r="BG43" s="10" t="str">
        <f>IF(ISERROR(IF(BF43="","",VLOOKUP(($BC43&amp;BF43&amp;"Template de desconto FLAT bundle - Fixo - Varejo - Ganho Tributário Cross"),BENEFICIOS!$A:$G,5,0))),"Criar",IF(BF43="","",VLOOKUP(($BC43&amp;BF43&amp;"Template de desconto FLAT bundle - Fixo - Varejo - Ganho Tributário Cross"),BENEFICIOS!$A:$G,5,0)))</f>
        <v/>
      </c>
      <c r="BH43" s="8"/>
      <c r="BI43" s="3" t="str">
        <f>IF(BH43=0,"",IF(BH43=VLOOKUP("PCS-OzTL40",ARBOR!$A:$C,3,0),0.0001,IF(BH43&gt;VLOOKUP("PCS-OzTL40",ARBOR!$A:$C,3,0),"Maior que CAP!",IF((DOLLAR(BH43+(VLOOKUP("PCS-OzTL40",ARBOR!$A:$C,3,0)*-TRUNC(BH43/VLOOKUP("PCS-OzTL40",ARBOR!$A:$C,3,0)-1,4)),6))&lt;&gt;(DOLLAR(VLOOKUP("PCS-OzTL40",ARBOR!$A:$C,3,0),6)),-TRUNC(BH43/VLOOKUP("PCS-OzTL40",ARBOR!$A:$C,3,0)-1,4)+0.0001,-TRUNC(BH43/VLOOKUP("PCS-OzTL40",ARBOR!$A:$C,3,0)-1,4)))))</f>
        <v/>
      </c>
      <c r="BJ43" s="10" t="str">
        <f>IF(ISERROR(IF(BI43="","",VLOOKUP((BC43&amp;BI43&amp;"Template desconto FLAT Plano Principal Oi TV nível conta"),BENEFICIOS!$A:$G,5,0))),"Criar",IF(BI43="","",VLOOKUP((BC43&amp;BI43&amp;"Template desconto FLAT Plano Principal Oi TV nível conta"),BENEFICIOS!$A:$G,5,0)))</f>
        <v/>
      </c>
      <c r="BK43" s="8"/>
      <c r="BL43" s="3" t="str">
        <f>IF(BK43=0,"",IF(BK43=VLOOKUP("PCS-OzTL41",ARBOR!$A:$C,3,0),0.0001,IF(BK43&gt;VLOOKUP("PCS-OzTL41",ARBOR!$A:$C,3,0),"Maior que CAP!",IF((DOLLAR(BK43+(VLOOKUP("PCS-OzTL41",ARBOR!$A:$C,3,0)*-TRUNC(BK43/VLOOKUP("PCS-OzTL41",ARBOR!$A:$C,3,0)-1,4)),6))&lt;&gt;(DOLLAR(VLOOKUP("PCS-OzTL41",ARBOR!$A:$C,3,0),6)),-TRUNC(BK43/VLOOKUP("PCS-OzTL41",ARBOR!$A:$C,3,0)-1,4)+0.0001,-TRUNC(BK43/VLOOKUP("PCS-OzTL41",ARBOR!$A:$C,3,0)-1,4)))))</f>
        <v/>
      </c>
      <c r="BM43" s="28" t="str">
        <f>IF(ISERROR(IF(BL43="","",VLOOKUP((BC43&amp;BL43&amp;"Template desconto FLAT Plano Principal Oi TV nível conta"),BENEFICIOS!$A:$G,5,0))),"Criar",IF(BL43="","",VLOOKUP((BC43&amp;BL43&amp;"Template desconto FLAT Plano Principal Oi TV nível conta"),BENEFICIOS!$A:$G,5,0)))</f>
        <v/>
      </c>
      <c r="BN43" s="8"/>
      <c r="BO43" s="3" t="str">
        <f>IF(BN43=0,"",IF(BN43=VLOOKUP("PCS-OzTL44",ARBOR!$A:$C,3,0),0.0001,IF(BN43&gt;VLOOKUP("PCS-OzTL44",ARBOR!$A:$C,3,0),"Maior que CAP!",IF((DOLLAR(BN43+(VLOOKUP("PCS-OzTL44",ARBOR!$A:$C,3,0)*-TRUNC(BN43/VLOOKUP("PCS-OzTL44",ARBOR!$A:$C,3,0)-1,4)),6))&lt;&gt;(DOLLAR(VLOOKUP("PCS-OzTL44",ARBOR!$A:$C,3,0),6)),-TRUNC(BN43/VLOOKUP("PCS-OzTL44",ARBOR!$A:$C,3,0)-1,4)+0.0001,-TRUNC(BN43/VLOOKUP("PCS-OzTL44",ARBOR!$A:$C,3,0)-1,4)))))</f>
        <v/>
      </c>
      <c r="BP43" s="28" t="str">
        <f>IF(ISERROR(IF(BO43="","",VLOOKUP((BC43&amp;BO43&amp;"Template desconto FLAT Plano Principal Oi TV nível conta"),BENEFICIOS!$A:$G,5,0))),"Criar",IF(BO43="","",VLOOKUP((BC43&amp;BO43&amp;"Template desconto FLAT Plano Principal Oi TV nível conta"),BENEFICIOS!$A:$G,5,0)))</f>
        <v/>
      </c>
      <c r="BQ43" s="8"/>
      <c r="BR43" s="3" t="str">
        <f>IF(BQ43=0,"",IF(BQ43=VLOOKUP("PCS-OzTL43",ARBOR!$A:$C,3,0),0.0001,IF(BQ43&gt;VLOOKUP("PCS-OzTL43",ARBOR!$A:$C,3,0),"Maior que CAP!",IF((DOLLAR(BQ43+(VLOOKUP("PCS-OzTL43",ARBOR!$A:$C,3,0)*-TRUNC(BQ43/VLOOKUP("PCS-OzTL43",ARBOR!$A:$C,3,0)-1,4)),6))&lt;&gt;(DOLLAR(VLOOKUP("PCS-OzTL43",ARBOR!$A:$C,3,0),6)),-TRUNC(BQ43/VLOOKUP("PCS-OzTL43",ARBOR!$A:$C,3,0)-1,4)+0.0001,-TRUNC(BQ43/VLOOKUP("PCS-OzTL43",ARBOR!$A:$C,3,0)-1,4)))))</f>
        <v/>
      </c>
      <c r="BS43" s="28" t="str">
        <f>IF(ISERROR(IF(BR43="","",VLOOKUP((BC43&amp;BR43&amp;"Template desconto FLAT Plano Principal Oi TV nível conta"),BENEFICIOS!$A:$G,5,0))),"Criar",IF(BR43="","",VLOOKUP((BC43&amp;BR43&amp;"Template desconto FLAT Plano Principal Oi TV nível conta"),BENEFICIOS!$A:$G,5,0)))</f>
        <v/>
      </c>
      <c r="BT43" s="8"/>
      <c r="BU43" s="3" t="str">
        <f>IF(BT43=0,"",IF(BT43=VLOOKUP("PCS-OzTL45",ARBOR!$A:$C,3,0),0.0001,IF(BT43&gt;VLOOKUP("PCS-OzTL45",ARBOR!$A:$C,3,0),"Maior que CAP!",IF((DOLLAR(BT43+(VLOOKUP("PCS-OzTL45",ARBOR!$A:$C,3,0)*-TRUNC(BT43/VLOOKUP("PCS-OzTL45",ARBOR!$A:$C,3,0)-1,4)),6))&lt;&gt;(DOLLAR(VLOOKUP("PCS-OzTL45",ARBOR!$A:$C,3,0),6)),-TRUNC(BT43/VLOOKUP("PCS-OzTL45",ARBOR!$A:$C,3,0)-1,4)+0.0001,-TRUNC(BT43/VLOOKUP("PCS-OzTL45",ARBOR!$A:$C,3,0)-1,4)))))</f>
        <v/>
      </c>
      <c r="BV43" s="28" t="str">
        <f>IF(ISERROR(IF(BU43="","",VLOOKUP((BC43&amp;BU43&amp;"Template desconto FLAT Plano Principal Oi TV nível conta"),BENEFICIOS!$A:$G,5,0))),"Criar",IF(BU43="","",VLOOKUP((BC43&amp;BU43&amp;"Template desconto FLAT Plano Principal Oi TV nível conta"),BENEFICIOS!$A:$G,5,0)))</f>
        <v/>
      </c>
      <c r="BW43" s="8"/>
      <c r="BX43" s="3" t="str">
        <f>IF(BW43=0,"",IF(BW43=VLOOKUP("PCS-OzTL741",ARBOR!$A:$C,3,0),0.0001,IF(BW43&gt;VLOOKUP("PCS-OzTL741",ARBOR!$A:$C,3,0),"Maior que CAP!",IF((DOLLAR(BW43+(VLOOKUP("PCS-OzTL741",ARBOR!$A:$C,3,0)*-TRUNC(BW43/VLOOKUP("PCS-OzTL741",ARBOR!$A:$C,3,0)-1,4)),6))&lt;&gt;(DOLLAR(VLOOKUP("PCS-OzTL741",ARBOR!$A:$C,3,0),6)),-TRUNC(BW43/VLOOKUP("PCS-OzTL741",ARBOR!$A:$C,3,0)-1,4)+0.0001,-TRUNC(BW43/VLOOKUP("PCS-OzTL741",ARBOR!$A:$C,3,0)-1,4)))))</f>
        <v/>
      </c>
      <c r="BY43" s="28" t="str">
        <f>IF(ISERROR(IF(BX43="","",VLOOKUP((BC43&amp;BX43&amp;"Template desconto FLAT Plano Principal Oi TV nível conta"),BENEFICIOS!$A:$G,5,0))),"Criar",IF(BX43="","",VLOOKUP((BC43&amp;BX43&amp;"Template desconto FLAT Plano Principal Oi TV nível conta"),BENEFICIOS!$A:$G,5,0)))</f>
        <v/>
      </c>
      <c r="BZ43" s="8"/>
      <c r="CA43" s="3" t="str">
        <f>IF(BZ43=0,"",IF(BZ43=VLOOKUP("PCS-OzTL744",ARBOR!$A:$C,3,0),0.0001,IF(BZ43&gt;VLOOKUP("PCS-OzTL744",ARBOR!$A:$C,3,0),"Maior que CAP!",IF((DOLLAR(BZ43+(VLOOKUP("PCS-OzTL744",ARBOR!$A:$C,3,0)*-TRUNC(BZ43/VLOOKUP("PCS-OzTL744",ARBOR!$A:$C,3,0)-1,4)),6))&lt;&gt;(DOLLAR(VLOOKUP("PCS-OzTL744",ARBOR!$A:$C,3,0),6)),-TRUNC(BZ43/VLOOKUP("PCS-OzTL744",ARBOR!$A:$C,3,0)-1,4)+0.0001,-TRUNC(BZ43/VLOOKUP("PCS-OzTL744",ARBOR!$A:$C,3,0)-1,4)))))</f>
        <v/>
      </c>
      <c r="CB43" s="28" t="str">
        <f>IF(ISERROR(IF(CA43="","",VLOOKUP(($BC43&amp;CA43&amp;"Template desconto FLAT Plano Principal Oi TV nível conta"),BENEFICIOS!$A:$G,5,0))),"Criar",IF(CA43="","",VLOOKUP(($BC43&amp;CA43&amp;"Template desconto FLAT Plano Principal Oi TV nível conta"),BENEFICIOS!$A:$G,5,0)))</f>
        <v/>
      </c>
      <c r="CC43" s="8"/>
      <c r="CD43" s="3" t="str">
        <f>IF(CC43=0,"",IF(CC43=VLOOKUP("PCS-OzTL743",ARBOR!$A:$C,3,0),0.0001,IF(CC43&gt;VLOOKUP("PCS-OzTL743",ARBOR!$A:$C,3,0),"Maior que CAP!",IF((DOLLAR(CC43+(VLOOKUP("PCS-OzTL743",ARBOR!$A:$C,3,0)*-TRUNC(CC43/VLOOKUP("PCS-OzTL743",ARBOR!$A:$C,3,0)-1,4)),6))&lt;&gt;(DOLLAR(VLOOKUP("PCS-OzTL743",ARBOR!$A:$C,3,0),6)),-TRUNC(CC43/VLOOKUP("PCS-OzTL743",ARBOR!$A:$C,3,0)-1,4)+0.0001,-TRUNC(CC43/VLOOKUP("PCS-OzTL743",ARBOR!$A:$C,3,0)-1,4)))))</f>
        <v/>
      </c>
      <c r="CE43" s="28" t="str">
        <f>IF(ISERROR(IF(CD43="","",VLOOKUP(($BC43&amp;CD43&amp;"Template desconto FLAT Plano Principal Oi TV nível conta"),BENEFICIOS!$A:$G,5,0))),"Criar",IF(CD43="","",VLOOKUP(($BC43&amp;CD43&amp;"Template desconto FLAT Plano Principal Oi TV nível conta"),BENEFICIOS!$A:$G,5,0)))</f>
        <v/>
      </c>
      <c r="CF43" s="8"/>
      <c r="CG43" s="3" t="str">
        <f>IF(CF43=0,"",IF(CF43=VLOOKUP("PCS-OzTL745",ARBOR!$A:$C,3,0),0.0001,IF(CF43&gt;VLOOKUP("PCS-OzTL745",ARBOR!$A:$C,3,0),"Maior que CAP!",IF((DOLLAR(CF43+(VLOOKUP("PCS-OzTL745",ARBOR!$A:$C,3,0)*-TRUNC(CF43/VLOOKUP("PCS-OzTL745",ARBOR!$A:$C,3,0)-1,4)),6))&lt;&gt;(DOLLAR(VLOOKUP("PCS-OzTL745",ARBOR!$A:$C,3,0),6)),-TRUNC(CF43/VLOOKUP("PCS-OzTL745",ARBOR!$A:$C,3,0)-1,4)+0.0001,-TRUNC(CF43/VLOOKUP("PCS-OzTL745",ARBOR!$A:$C,3,0)-1,4)))))</f>
        <v/>
      </c>
      <c r="CH43" s="28" t="str">
        <f>IF(ISERROR(IF(CG43="","",VLOOKUP(($BC43&amp;CG43&amp;"Template desconto FLAT Plano Principal Oi TV nível conta"),BENEFICIOS!$A:$G,5,0))),"Criar",IF(CG43="","",VLOOKUP(($BC43&amp;CG43&amp;"Template desconto FLAT Plano Principal Oi TV nível conta"),BENEFICIOS!$A:$G,5,0)))</f>
        <v/>
      </c>
      <c r="CI43" s="8"/>
      <c r="CJ43" s="3" t="str">
        <f>IF(CI43=0,"",IF(CI43=VLOOKUP("PCS-OzTL42",ARBOR!$A:$C,3,0),0.0001,IF(CI43&gt;VLOOKUP("PCS-OzTL42",ARBOR!$A:$C,3,0),"Maior que CAP!",IF((DOLLAR(CI43+(VLOOKUP("PCS-OzTL42",ARBOR!$A:$C,3,0)*-TRUNC(CI43/VLOOKUP("PCS-OzTL42",ARBOR!$A:$C,3,0)-1,4)),6))&lt;&gt;(DOLLAR(VLOOKUP("PCS-OzTL42",ARBOR!$A:$C,3,0),6)),-TRUNC(CI43/VLOOKUP("PCS-OzTL42",ARBOR!$A:$C,3,0)-1,4)+0.0001,-TRUNC(CI43/VLOOKUP("PCS-OzTL42",ARBOR!$A:$C,3,0)-1,4)))))</f>
        <v/>
      </c>
      <c r="CK43" s="28" t="str">
        <f>IF(ISERROR(IF(CJ43="","",VLOOKUP(($BC43&amp;CJ43&amp;"Template desconto FLAT Plano Principal Oi TV nível conta"),BENEFICIOS!$A:$G,5,0))),"Criar",IF(CJ43="","",VLOOKUP(($BC43&amp;CJ43&amp;"Template desconto FLAT Plano Principal Oi TV nível conta"),BENEFICIOS!$A:$G,5,0)))</f>
        <v/>
      </c>
      <c r="CL43" s="8"/>
      <c r="CM43" s="3" t="str">
        <f>IF(CL43=0,"",IF(CL43=VLOOKUP("PCS-OzTL47",ARBOR!$A:$C,3,0),0.0001,IF(CL43&gt;VLOOKUP("PCS-OzTL47",ARBOR!$A:$C,3,0),"Maior que CAP!",IF((DOLLAR(CL43+(VLOOKUP("PCS-OzTL47",ARBOR!$A:$C,3,0)*-TRUNC(CL43/VLOOKUP("PCS-OzTL47",ARBOR!$A:$C,3,0)-1,4)),6))&lt;&gt;(DOLLAR(VLOOKUP("PCS-OzTL47",ARBOR!$A:$C,3,0),6)),-TRUNC(CL43/VLOOKUP("PCS-OzTL47",ARBOR!$A:$C,3,0)-1,4)+0.0001,-TRUNC(CL43/VLOOKUP("PCS-OzTL47",ARBOR!$A:$C,3,0)-1,4)))))</f>
        <v/>
      </c>
      <c r="CN43" s="28" t="str">
        <f>IF(ISERROR(IF(CM43="","",VLOOKUP(($BC43&amp;CM43&amp;"Template desconto FLAT Plano Principal Oi TV nível conta"),BENEFICIOS!$A:$G,5,0))),"Criar",IF(CM43="","",VLOOKUP(($BC43&amp;CM43&amp;"Template desconto FLAT Plano Principal Oi TV nível conta"),BENEFICIOS!$A:$G,5,0)))</f>
        <v/>
      </c>
      <c r="CO43" s="8"/>
      <c r="CP43" s="3" t="str">
        <f>IF(CO43=0,"",IF(CO43=VLOOKUP("PCS-OzTL46",ARBOR!$A:$C,3,0),0.0001,IF(CO43&gt;VLOOKUP("PCS-OzTL46",ARBOR!$A:$C,3,0),"Maior que CAP!",IF((DOLLAR(CO43+(VLOOKUP("PCS-OzTL46",ARBOR!$A:$C,3,0)*-TRUNC(CO43/VLOOKUP("PCS-OzTL46",ARBOR!$A:$C,3,0)-1,4)),6))&lt;&gt;(DOLLAR(VLOOKUP("PCS-OzTL46",ARBOR!$A:$C,3,0),6)),-TRUNC(CO43/VLOOKUP("PCS-OzTL46",ARBOR!$A:$C,3,0)-1,4)+0.0001,-TRUNC(CO43/VLOOKUP("PCS-OzTL46",ARBOR!$A:$C,3,0)-1,4)))))</f>
        <v/>
      </c>
      <c r="CQ43" s="28" t="str">
        <f>IF(ISERROR(IF(CP43="","",VLOOKUP(($BC43&amp;CP43&amp;"Template desconto FLAT Plano Principal Oi TV nível conta"),BENEFICIOS!$A:$G,5,0))),"Criar",IF(CP43="","",VLOOKUP(($BC43&amp;CP43&amp;"Template desconto FLAT Plano Principal Oi TV nível conta"),BENEFICIOS!$A:$G,5,0)))</f>
        <v/>
      </c>
      <c r="CR43" s="8"/>
      <c r="CS43" s="3" t="str">
        <f>IF(CR43=0,"",IF(CR43=VLOOKUP("PCS-OzTL48",ARBOR!$A:$C,3,0),0.0001,IF(CR43&gt;VLOOKUP("PCS-OzTL48",ARBOR!$A:$C,3,0),"Maior que CAP!",IF((DOLLAR(CR43+(VLOOKUP("PCS-OzTL48",ARBOR!$A:$C,3,0)*-TRUNC(CR43/VLOOKUP("PCS-OzTL48",ARBOR!$A:$C,3,0)-1,4)),6))&lt;&gt;(DOLLAR(VLOOKUP("PCS-OzTL48",ARBOR!$A:$C,3,0),6)),-TRUNC(CR43/VLOOKUP("PCS-OzTL48",ARBOR!$A:$C,3,0)-1,4)+0.0001,-TRUNC(CR43/VLOOKUP("PCS-OzTL48",ARBOR!$A:$C,3,0)-1,4)))))</f>
        <v/>
      </c>
      <c r="CT43" s="28" t="str">
        <f>IF(ISERROR(IF(CS43="","",VLOOKUP(($BC43&amp;CS43&amp;"Template desconto FLAT Plano Principal Oi TV nível conta"),BENEFICIOS!$A:$G,5,0))),"Criar",IF(CS43="","",VLOOKUP(($BC43&amp;CS43&amp;"Template desconto FLAT Plano Principal Oi TV nível conta"),BENEFICIOS!$A:$G,5,0)))</f>
        <v/>
      </c>
      <c r="CU43" s="8"/>
      <c r="CV43" s="3" t="str">
        <f>IF(CU43=0,"",IF(CU43=VLOOKUP("PCS-OzTL742",ARBOR!$A:$C,3,0),0.0001,IF(CU43&gt;VLOOKUP("PCS-OzTL742",ARBOR!$A:$C,3,0),"Maior que CAP!",IF((DOLLAR(CU43+(VLOOKUP("PCS-OzTL742",ARBOR!$A:$C,3,0)*-TRUNC(CU43/VLOOKUP("PCS-OzTL742",ARBOR!$A:$C,3,0)-1,4)),6))&lt;&gt;(DOLLAR(VLOOKUP("PCS-OzTL742",ARBOR!$A:$C,3,0),6)),-TRUNC(CU43/VLOOKUP("PCS-OzTL742",ARBOR!$A:$C,3,0)-1,4)+0.0001,-TRUNC(CU43/VLOOKUP("PCS-OzTL742",ARBOR!$A:$C,3,0)-1,4)))))</f>
        <v/>
      </c>
      <c r="CW43" s="28" t="str">
        <f>IF(ISERROR(IF(CV43="","",VLOOKUP(($BC43&amp;CV43&amp;"Template desconto FLAT Plano Principal Oi TV nível conta"),BENEFICIOS!$A:$G,5,0))),"Criar",IF(CV43="","",VLOOKUP(($BC43&amp;CV43&amp;"Template desconto FLAT Plano Principal Oi TV nível conta"),BENEFICIOS!$A:$G,5,0)))</f>
        <v/>
      </c>
      <c r="CX43" s="8"/>
      <c r="CY43" s="3" t="str">
        <f>IF(CX43=0,"",IF(CX43=VLOOKUP("PCS-OzTL747",ARBOR!$A:$C,3,0),0.0001,IF(CX43&gt;VLOOKUP("PCS-OzTL747",ARBOR!$A:$C,3,0),"Maior que CAP!",IF((DOLLAR(CX43+(VLOOKUP("PCS-OzTL747",ARBOR!$A:$C,3,0)*-TRUNC(CX43/VLOOKUP("PCS-OzTL747",ARBOR!$A:$C,3,0)-1,4)),6))&lt;&gt;(DOLLAR(VLOOKUP("PCS-OzTL747",ARBOR!$A:$C,3,0),6)),-TRUNC(CX43/VLOOKUP("PCS-OzTL747",ARBOR!$A:$C,3,0)-1,4)+0.0001,-TRUNC(CX43/VLOOKUP("PCS-OzTL747",ARBOR!$A:$C,3,0)-1,4)))))</f>
        <v/>
      </c>
      <c r="CZ43" s="28" t="str">
        <f>IF(ISERROR(IF(CY43="","",VLOOKUP(($BC43&amp;CY43&amp;"Template desconto FLAT Plano Principal Oi TV nível conta"),BENEFICIOS!$A:$G,5,0))),"Criar",IF(CY43="","",VLOOKUP(($BC43&amp;CY43&amp;"Template desconto FLAT Plano Principal Oi TV nível conta"),BENEFICIOS!$A:$G,5,0)))</f>
        <v/>
      </c>
      <c r="DA43" s="8"/>
      <c r="DB43" s="3" t="str">
        <f>IF(DA43=0,"",IF(DA43=VLOOKUP("PCS-OzTL746",ARBOR!$A:$C,3,0),0.0001,IF(DA43&gt;VLOOKUP("PCS-OzTL746",ARBOR!$A:$C,3,0),"Maior que CAP!",IF((DOLLAR(DA43+(VLOOKUP("PCS-OzTL746",ARBOR!$A:$C,3,0)*-TRUNC(DA43/VLOOKUP("PCS-OzTL746",ARBOR!$A:$C,3,0)-1,4)),6))&lt;&gt;(DOLLAR(VLOOKUP("PCS-OzTL746",ARBOR!$A:$C,3,0),6)),-TRUNC(DA43/VLOOKUP("PCS-OzTL746",ARBOR!$A:$C,3,0)-1,4)+0.0001,-TRUNC(DA43/VLOOKUP("PCS-OzTL746",ARBOR!$A:$C,3,0)-1,4)))))</f>
        <v/>
      </c>
      <c r="DC43" s="28" t="str">
        <f>IF(ISERROR(IF(DB43="","",VLOOKUP(($BC43&amp;DB43&amp;"Template desconto FLAT Plano Principal Oi TV nível conta"),BENEFICIOS!$A:$G,5,0))),"Criar",IF(DB43="","",VLOOKUP(($BC43&amp;DB43&amp;"Template desconto FLAT Plano Principal Oi TV nível conta"),BENEFICIOS!$A:$G,5,0)))</f>
        <v/>
      </c>
      <c r="DD43" s="8"/>
      <c r="DE43" s="3" t="str">
        <f>IF(DD43=0,"",IF(DD43=VLOOKUP("PCS-OzTL748",ARBOR!$A:$C,3,0),0.0001,IF(DD43&gt;VLOOKUP("PCS-OzTL748",ARBOR!$A:$C,3,0),"Maior que CAP!",IF((DOLLAR(DD43+(VLOOKUP("PCS-OzTL748",ARBOR!$A:$C,3,0)*-TRUNC(DD43/VLOOKUP("PCS-OzTL748",ARBOR!$A:$C,3,0)-1,4)),6))&lt;&gt;(DOLLAR(VLOOKUP("PCS-OzTL748",ARBOR!$A:$C,3,0),6)),-TRUNC(DD43/VLOOKUP("PCS-OzTL748",ARBOR!$A:$C,3,0)-1,4)+0.0001,-TRUNC(DD43/VLOOKUP("PCS-OzTL748",ARBOR!$A:$C,3,0)-1,4)))))</f>
        <v/>
      </c>
      <c r="DF43" s="28" t="str">
        <f>IF(ISERROR(IF(DE43="","",VLOOKUP(($BC43&amp;DE43&amp;"Template desconto FLAT Plano Principal Oi TV nível conta"),BENEFICIOS!$A:$G,5,0))),"Criar",IF(DE43="","",VLOOKUP(($BC43&amp;DE43&amp;"Template desconto FLAT Plano Principal Oi TV nível conta"),BENEFICIOS!$A:$G,5,0)))</f>
        <v/>
      </c>
      <c r="DG43" s="8"/>
      <c r="DH43" s="3" t="str">
        <f>IF(DG43=0,"",IF(DG43=VLOOKUP("PCS-OzTL34",ARBOR!$A:$C,3,0),0.0001,IF(DG43&gt;VLOOKUP("PCS-OzTL34",ARBOR!$A:$C,3,0),"Maior que CAP!",IF((DOLLAR(DG43+(VLOOKUP("PCS-OzTL34",ARBOR!$A:$C,3,0)*-TRUNC(DG43/VLOOKUP("PCS-OzTL34",ARBOR!$A:$C,3,0)-1,4)),6))&lt;&gt;(DOLLAR(VLOOKUP("PCS-OzTL34",ARBOR!$A:$C,3,0),6)),-TRUNC(DG43/VLOOKUP("PCS-OzTL34",ARBOR!$A:$C,3,0)-1,4)+0.0001,-TRUNC(DG43/VLOOKUP("PCS-OzTL34",ARBOR!$A:$C,3,0)-1,4)))))</f>
        <v/>
      </c>
      <c r="DI43" s="28" t="str">
        <f>IF(DH43="S/Desc","S/Desc",IF(ISERROR(IF(DH43="","",VLOOKUP(($BC43&amp;DH43&amp;"Template desconto % Combate nível conta"),BENEFICIOS!$A:$G,5,0))),"Criar",IF(DH43="","",VLOOKUP(($BC43&amp;DH43&amp;"Template desconto % Combate nível conta"),BENEFICIOS!$A:$G,5,0))))</f>
        <v/>
      </c>
      <c r="DJ43" s="8"/>
      <c r="DK43" s="3" t="str">
        <f>IF(DJ43=0,"",IF(DJ43=VLOOKUP("PCS-OzTL31",ARBOR!$A:$C,3,0),0.0001,IF(DJ43&gt;VLOOKUP("PCS-OzTL31",ARBOR!$A:$C,3,0),"Maior que CAP!",IF((DOLLAR(DJ43+(VLOOKUP("PCS-OzTL31",ARBOR!$A:$C,3,0)*-TRUNC(DJ43/VLOOKUP("PCS-OzTL31",ARBOR!$A:$C,3,0)-1,4)),6))&lt;&gt;(DOLLAR(VLOOKUP("PCS-OzTL31",ARBOR!$A:$C,3,0),6)),-TRUNC(DJ43/VLOOKUP("PCS-OzTL31",ARBOR!$A:$C,3,0)-1,4)+0.0001,-TRUNC(DJ43/VLOOKUP("PCS-OzTL31",ARBOR!$A:$C,3,0)-1,4)))))</f>
        <v/>
      </c>
      <c r="DL43" s="28" t="str">
        <f>IF(DK43="S/Desc","S/Desc",IF(ISERROR(IF(DK43="","",VLOOKUP(($BC43&amp;DK43&amp;"Template desconto % Sexy Hot nível conta"),BENEFICIOS!$A:$G,5,0))),"Criar",IF(DK43="","",VLOOKUP(($BC43&amp;DK43&amp;"Template desconto % Sexy Hot nível conta"),BENEFICIOS!$A:$G,5,0))))</f>
        <v/>
      </c>
      <c r="DM43" s="8"/>
      <c r="DN43" s="3" t="str">
        <f>IF(DM43=0,"",IF(DM43=VLOOKUP("PCS-OzTL32",ARBOR!$A:$C,3,0),0.0001,IF(DM43&gt;VLOOKUP("PCS-OzTL32",ARBOR!$A:$C,3,0),"Maior que CAP!",IF((DOLLAR(DM43+(VLOOKUP("PCS-OzTL32",ARBOR!$A:$C,3,0)*-TRUNC(DM43/VLOOKUP("PCS-OzTL32",ARBOR!$A:$C,3,0)-1,4)),6))&lt;&gt;(DOLLAR(VLOOKUP("PCS-OzTL32",ARBOR!$A:$C,3,0),6)),-TRUNC(DM43/VLOOKUP("PCS-OzTL32",ARBOR!$A:$C,3,0)-1,4)+0.0001,-TRUNC(DM43/VLOOKUP("PCS-OzTL32",ARBOR!$A:$C,3,0)-1,4)))))</f>
        <v/>
      </c>
      <c r="DO43" s="28" t="str">
        <f>IF(DN43="S/Desc","S/Desc",IF(ISERROR(IF(DN43="","",VLOOKUP(($BC43&amp;DN43&amp;"Template desconto % Playboy nível conta"),BENEFICIOS!$A:$G,5,0))),"Criar",IF(DN43="","",VLOOKUP(($BC43&amp;DN43&amp;"Template desconto % Playboy nível conta"),BENEFICIOS!$A:$G,5,0))))</f>
        <v/>
      </c>
      <c r="DP43" s="8"/>
      <c r="DQ43" s="3" t="str">
        <f>IF(DP43=0,"",IF(DP43=VLOOKUP("PCS-OzTL33",ARBOR!$A:$C,3,0),0.0001,IF(DP43&gt;VLOOKUP("PCS-OzTL33",ARBOR!$A:$C,3,0),"Maior que CAP!",IF((DOLLAR(DP43+(VLOOKUP("PCS-OzTL33",ARBOR!$A:$C,3,0)*-TRUNC(DP43/VLOOKUP("PCS-OzTL33",ARBOR!$A:$C,3,0)-1,4)),6))&lt;&gt;(DOLLAR(VLOOKUP("PCS-OzTL33",ARBOR!$A:$C,3,0),6)),-TRUNC(DP43/VLOOKUP("PCS-OzTL33",ARBOR!$A:$C,3,0)-1,4)+0.0001,-TRUNC(DP43/VLOOKUP("PCS-OzTL33",ARBOR!$A:$C,3,0)-1,4)))))</f>
        <v/>
      </c>
      <c r="DR43" s="28" t="str">
        <f>IF(DQ43="S/Desc","S/Desc",IF(ISERROR(IF(DQ43="","",VLOOKUP(($BC43&amp;DQ43&amp;"Template desconto % Sexy Hot + Playboy nível conta"),BENEFICIOS!$A:$G,5,0))),"Criar",IF(DQ43="","",VLOOKUP(($BC43&amp;DQ43&amp;"Template desconto % Sexy Hot + Playboy nível conta"),BENEFICIOS!$A:$G,5,0))))</f>
        <v/>
      </c>
      <c r="DS43" s="8"/>
      <c r="DT43" s="3" t="str">
        <f>IF(DS43=0,"",IF(DS43=VLOOKUP("PCS-OzTL503",ARBOR!$A:$C,3,0),0.0001,IF(DS43&gt;VLOOKUP("PCS-OzTL503",ARBOR!$A:$C,3,0),"Maior que CAP!",IF((DOLLAR(DS43+(VLOOKUP("PCS-OzTL503",ARBOR!$A:$C,3,0)*-TRUNC(DS43/VLOOKUP("PCS-OzTL503",ARBOR!$A:$C,3,0)-1,4)),6))&lt;&gt;(DOLLAR(VLOOKUP("PCS-OzTL503",ARBOR!$A:$C,3,0),6)),-TRUNC(DS43/VLOOKUP("PCS-OzTL503",ARBOR!$A:$C,3,0)-1,4)+0.0001,-TRUNC(DS43/VLOOKUP("PCS-OzTL503",ARBOR!$A:$C,3,0)-1,4)))))</f>
        <v/>
      </c>
      <c r="DU43" s="28" t="str">
        <f>IF(DT43="S/Desc","S/Desc",IF(ISERROR(IF(DT43="","",VLOOKUP(($BC43&amp;DT43&amp;"Template desconto % SexPrivê nível conta"),BENEFICIOS!$A:$G,5,0))),"Criar",IF(DT43="","",VLOOKUP(($BC43&amp;DT43&amp;"Template desconto % SexPrivê nível conta"),BENEFICIOS!$A:$G,5,0))))</f>
        <v/>
      </c>
      <c r="DV43" s="8"/>
      <c r="DW43" s="3" t="str">
        <f>IF(DV43=0,"",IF(DV43=VLOOKUP("PCS-OzTL500",ARBOR!$A:$C,3,0),0.0001,IF(DV43&gt;VLOOKUP("PCS-OzTL500",ARBOR!$A:$C,3,0),"Maior que CAP!",IF((DOLLAR(DV43+(VLOOKUP("PCS-OzTL500",ARBOR!$A:$C,3,0)*-TRUNC(DV43/VLOOKUP("PCS-OzTL500",ARBOR!$A:$C,3,0)-1,4)),6))&lt;&gt;(DOLLAR(VLOOKUP("PCS-OzTL500",ARBOR!$A:$C,3,0),6)),-TRUNC(DV43/VLOOKUP("PCS-OzTL500",ARBOR!$A:$C,3,0)-1,4)+0.0001,-TRUNC(DV43/VLOOKUP("PCS-OzTL500",ARBOR!$A:$C,3,0)-1,4)))))</f>
        <v/>
      </c>
      <c r="DX43" s="28" t="str">
        <f>IF(DW43="S/Desc","S/Desc",IF(ISERROR(IF(DW43="","",VLOOKUP(($BC43&amp;DW43&amp;"Template desconto % Étnico nível conta"),BENEFICIOS!$A:$G,5,0))),"Criar",IF(DW43="","",VLOOKUP(($BC43&amp;DW43&amp;"Template desconto % Étnico nível conta"),BENEFICIOS!$A:$G,5,0))))</f>
        <v/>
      </c>
      <c r="DY43" s="8"/>
      <c r="DZ43" s="181" t="str">
        <f>IF(DY43=0,"",IF(DY43=VLOOKUP("PCS-OzTL50",ARBOR!$A:$C,3,0),0.0001,IF(DY43&gt;VLOOKUP("PCS-OzTL50",ARBOR!$A:$C,3,0),"Maior que CAP!",IF((DOLLAR(DY43+(VLOOKUP("PCS-OzTL50",ARBOR!$A:$C,3,0)*-TRUNC(DY43/VLOOKUP("PCS-OzTL50",ARBOR!$A:$C,3,0)-1,4)),6))&lt;&gt;(DOLLAR(VLOOKUP("PCS-OzTL50",ARBOR!$A:$C,3,0),6)),-TRUNC(DY43/VLOOKUP("PCS-OzTL50",ARBOR!$A:$C,3,0)-1,4)+0.0001,-TRUNC(DY43/VLOOKUP("PCS-OzTL50",ARBOR!$A:$C,3,0)-1,4)))))</f>
        <v/>
      </c>
      <c r="EA43" s="28"/>
      <c r="EB43" s="8"/>
      <c r="EC43" s="181" t="str">
        <f>IF(EB43=0,"",IF(EB43=VLOOKUP("PCS-OzTL51",ARBOR!$A:$C,3,0),0.0001,IF(EB43&gt;VLOOKUP("PCS-OzTL51",ARBOR!$A:$C,3,0),"Maior que CAP!",IF((DOLLAR(EB43+(VLOOKUP("PCS-OzTL51",ARBOR!$A:$C,3,0)*-TRUNC(EB43/VLOOKUP("PCS-OzTL51",ARBOR!$A:$C,3,0)-1,4)),6))&lt;&gt;(DOLLAR(VLOOKUP("PCS-OzTL51",ARBOR!$A:$C,3,0),6)),-TRUNC(EB43/VLOOKUP("PCS-OzTL51",ARBOR!$A:$C,3,0)-1,4)+0.0001,-TRUNC(EB43/VLOOKUP("PCS-OzTL51",ARBOR!$A:$C,3,0)-1,4)))))</f>
        <v/>
      </c>
      <c r="ED43" s="28"/>
      <c r="EE43" s="8"/>
      <c r="EF43" s="181" t="str">
        <f>IF(EE43=0,"",IF(EE43=VLOOKUP("PCS-OzTL52",ARBOR!$A:$C,3,0),0.0001,IF(EE43&gt;VLOOKUP("PCS-OzTL52",ARBOR!$A:$C,3,0),"Maior que CAP!",IF((DOLLAR(EE43+(VLOOKUP("PCS-OzTL52",ARBOR!$A:$C,3,0)*-TRUNC(EE43/VLOOKUP("PCS-OzTL52",ARBOR!$A:$C,3,0)-1,4)),6))&lt;&gt;(DOLLAR(VLOOKUP("PCS-OzTL52",ARBOR!$A:$C,3,0),6)),-TRUNC(EE43/VLOOKUP("PCS-OzTL52",ARBOR!$A:$C,3,0)-1,4)+0.0001,-TRUNC(EE43/VLOOKUP("PCS-OzTL52",ARBOR!$A:$C,3,0)-1,4)))))</f>
        <v/>
      </c>
      <c r="EG43" s="28"/>
      <c r="EH43" s="8"/>
      <c r="EI43" s="181" t="str">
        <f>IF(EH43=0,"",IF(EH43=VLOOKUP("PCS-OzTL53",ARBOR!$A:$C,3,0),0.0001,IF(EH43&gt;VLOOKUP("PCS-OzTL53",ARBOR!$A:$C,3,0),"Maior que CAP!",IF((DOLLAR(EH43+(VLOOKUP("PCS-OzTL53",ARBOR!$A:$C,3,0)*-TRUNC(EH43/VLOOKUP("PCS-OzTL53",ARBOR!$A:$C,3,0)-1,4)),6))&lt;&gt;(DOLLAR(VLOOKUP("PCS-OzTL53",ARBOR!$A:$C,3,0),6)),-TRUNC(EH43/VLOOKUP("PCS-OzTL53",ARBOR!$A:$C,3,0)-1,4)+0.0001,-TRUNC(EH43/VLOOKUP("PCS-OzTL53",ARBOR!$A:$C,3,0)-1,4)))))</f>
        <v/>
      </c>
      <c r="EJ43" s="28"/>
      <c r="EK43" s="8"/>
      <c r="EL43" s="181" t="str">
        <f>IF(EK43=0,"",IF(EK43=VLOOKUP("PCS-OzTL54",ARBOR!$A:$C,3,0),0.0001,IF(EK43&gt;VLOOKUP("PCS-OzTL54",ARBOR!$A:$C,3,0),"Maior que CAP!",IF((DOLLAR(EK43+(VLOOKUP("PCS-OzTL54",ARBOR!$A:$C,3,0)*-TRUNC(EK43/VLOOKUP("PCS-OzTL54",ARBOR!$A:$C,3,0)-1,4)),6))&lt;&gt;(DOLLAR(VLOOKUP("PCS-OzTL54",ARBOR!$A:$C,3,0),6)),-TRUNC(EK43/VLOOKUP("PCS-OzTL54",ARBOR!$A:$C,3,0)-1,4)+0.0001,-TRUNC(EK43/VLOOKUP("PCS-OzTL54",ARBOR!$A:$C,3,0)-1,4)))))</f>
        <v/>
      </c>
      <c r="EM43" s="28"/>
      <c r="EN43" s="8"/>
      <c r="EO43" s="3" t="str">
        <f>IF(EN43=0,"",IF(EN43=VLOOKUP("PCS-OzTL99",ARBOR!$A:$C,3,0),0.0001,IF(EN43&gt;VLOOKUP("PCS-OzTL99",ARBOR!$A:$C,3,0),"Maior que CAP!",IF((DOLLAR(EN43+(VLOOKUP("PCS-OzTL99",ARBOR!$A:$C,3,0)*-TRUNC(EN43/VLOOKUP("PCS-OzTL99",ARBOR!$A:$C,3,0)-1,4)),6))&lt;&gt;(DOLLAR(VLOOKUP("PCS-OzTL99",ARBOR!$A:$C,3,0),6)),-TRUNC(EN43/VLOOKUP("PCS-OzTL99",ARBOR!$A:$C,3,0)-1,4)+0.0001,-TRUNC(EN43/VLOOKUP("PCS-OzTL99",ARBOR!$A:$C,3,0)-1,4)))))</f>
        <v/>
      </c>
      <c r="EP43" s="28" t="str">
        <f>IF(EO43="S/Desc","S/Desc",IF(ISERROR(IF(EO43="","",VLOOKUP(($BC43&amp;EO43&amp;"Template desconto % Ponto adicional nível conta"),BENEFICIOS!$A:$G,5,0))),"Criar",IF(EO43="","",VLOOKUP(($BC43&amp;EO43&amp;"Template desconto % Ponto adicional nível conta"),BENEFICIOS!$A:$G,5,0))))</f>
        <v/>
      </c>
      <c r="EQ43" s="8"/>
      <c r="ER43" s="28" t="str">
        <f t="shared" si="23"/>
        <v/>
      </c>
      <c r="ES43" s="62"/>
      <c r="ET43" s="126"/>
      <c r="EU43" s="127"/>
      <c r="EV43" s="126"/>
      <c r="EW43" s="128" t="str">
        <f t="shared" si="24"/>
        <v/>
      </c>
      <c r="EX43" s="129" t="str">
        <f t="shared" si="25"/>
        <v/>
      </c>
      <c r="EY43" s="91" t="str">
        <f t="shared" si="26"/>
        <v/>
      </c>
      <c r="EZ43" s="85"/>
      <c r="FA43" s="97"/>
      <c r="FB43" s="91"/>
      <c r="FC43" s="85"/>
      <c r="FD43" s="97"/>
      <c r="FE43" s="91"/>
      <c r="FF43" s="87"/>
      <c r="FG43" s="144" t="str">
        <f t="shared" si="5"/>
        <v/>
      </c>
      <c r="FH43" s="144" t="str">
        <f t="shared" si="6"/>
        <v/>
      </c>
      <c r="FI43" s="144" t="str">
        <f t="shared" si="7"/>
        <v/>
      </c>
      <c r="FJ43" s="144" t="str">
        <f t="shared" si="8"/>
        <v/>
      </c>
      <c r="FK43" s="144" t="str">
        <f t="shared" si="9"/>
        <v/>
      </c>
      <c r="FL43" s="144" t="str">
        <f t="shared" si="10"/>
        <v/>
      </c>
      <c r="FM43" s="144" t="str">
        <f t="shared" si="11"/>
        <v/>
      </c>
      <c r="FN43" s="144" t="str">
        <f t="shared" si="12"/>
        <v/>
      </c>
      <c r="FO43" s="144" t="str">
        <f t="shared" si="13"/>
        <v/>
      </c>
      <c r="FP43" s="144" t="str">
        <f t="shared" si="14"/>
        <v/>
      </c>
      <c r="FQ43" s="144" t="str">
        <f t="shared" si="15"/>
        <v/>
      </c>
      <c r="FR43" s="144" t="str">
        <f t="shared" si="16"/>
        <v/>
      </c>
      <c r="FS43" s="144" t="str">
        <f t="shared" si="17"/>
        <v/>
      </c>
      <c r="FT43" s="144" t="str">
        <f t="shared" si="18"/>
        <v/>
      </c>
      <c r="FU43" s="144" t="str">
        <f t="shared" si="19"/>
        <v/>
      </c>
      <c r="FV43" s="144" t="str">
        <f t="shared" si="20"/>
        <v/>
      </c>
      <c r="FW43" s="144" t="str">
        <f t="shared" si="21"/>
        <v/>
      </c>
      <c r="FX43" s="151"/>
      <c r="FY43" s="152"/>
      <c r="FZ43" s="152"/>
      <c r="GA43" s="152"/>
      <c r="GB43" s="152"/>
      <c r="GC43" s="152"/>
      <c r="GD43" s="152"/>
      <c r="GE43" s="152"/>
      <c r="GF43" s="152"/>
      <c r="GG43" s="153"/>
    </row>
    <row r="44" spans="1:189">
      <c r="A44" s="45"/>
      <c r="B44" s="133"/>
      <c r="C44" s="133"/>
      <c r="D44" s="46"/>
      <c r="E44" s="4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9"/>
      <c r="U44" s="48"/>
      <c r="V44" s="49"/>
      <c r="W44" s="48"/>
      <c r="X44" s="48"/>
      <c r="Y44" s="48"/>
      <c r="Z44" s="48"/>
      <c r="AA44" s="49"/>
      <c r="AB44" s="48"/>
      <c r="AC44" s="50"/>
      <c r="AD44" s="48"/>
      <c r="AE44" s="48"/>
      <c r="AF44" s="48"/>
      <c r="AG44" s="48"/>
      <c r="AH44" s="48"/>
      <c r="AI44" s="48"/>
      <c r="AJ44" s="48"/>
      <c r="AK44" s="48"/>
      <c r="AL44" s="51"/>
      <c r="AM44" s="37"/>
      <c r="AN44" s="38"/>
      <c r="AO44" s="39"/>
      <c r="AP44" s="52"/>
      <c r="AQ44" s="53"/>
      <c r="AR44" s="64"/>
      <c r="AS44" s="65"/>
      <c r="AT44" s="54"/>
      <c r="AU44" s="54"/>
      <c r="AV44" s="54"/>
      <c r="AW44" s="54"/>
      <c r="AX44" s="70"/>
      <c r="AY44" s="71"/>
      <c r="AZ44" s="72"/>
      <c r="BA44" s="73"/>
      <c r="BB44" s="55"/>
      <c r="BC44" s="56"/>
      <c r="BD44" s="27" t="str">
        <f t="shared" si="22"/>
        <v/>
      </c>
      <c r="BE44" s="58"/>
      <c r="BF44" s="3" t="str">
        <f>IF(BE44=0,"",IF(BE44=VLOOKUP("FIXO",ARBOR!$A:$C,3,0),0.0001,IF(BE44&gt;VLOOKUP("FIXO",ARBOR!$A:$C,3,0),"Maior que CAP!",IF((DOLLAR(BE44+(VLOOKUP("FIXO",ARBOR!$A:$C,3,0)*-TRUNC(BE44/VLOOKUP("FIXO",ARBOR!$A:$C,3,0)-1,4)),6))&lt;&gt;(DOLLAR(VLOOKUP("FIXO",ARBOR!$A:$C,3,0),6)),-TRUNC(BE44/VLOOKUP("FIXO",ARBOR!$A:$C,3,0)-1,4)+0.0001,-TRUNC(BE44/VLOOKUP("FIXO",ARBOR!$A:$C,3,0)-1,4)))))</f>
        <v/>
      </c>
      <c r="BG44" s="10" t="str">
        <f>IF(ISERROR(IF(BF44="","",VLOOKUP(($BC44&amp;BF44&amp;"Template de desconto FLAT bundle - Fixo - Varejo - Ganho Tributário Cross"),BENEFICIOS!$A:$G,5,0))),"Criar",IF(BF44="","",VLOOKUP(($BC44&amp;BF44&amp;"Template de desconto FLAT bundle - Fixo - Varejo - Ganho Tributário Cross"),BENEFICIOS!$A:$G,5,0)))</f>
        <v/>
      </c>
      <c r="BH44" s="8"/>
      <c r="BI44" s="3" t="str">
        <f>IF(BH44=0,"",IF(BH44=VLOOKUP("PCS-OzTL40",ARBOR!$A:$C,3,0),0.0001,IF(BH44&gt;VLOOKUP("PCS-OzTL40",ARBOR!$A:$C,3,0),"Maior que CAP!",IF((DOLLAR(BH44+(VLOOKUP("PCS-OzTL40",ARBOR!$A:$C,3,0)*-TRUNC(BH44/VLOOKUP("PCS-OzTL40",ARBOR!$A:$C,3,0)-1,4)),6))&lt;&gt;(DOLLAR(VLOOKUP("PCS-OzTL40",ARBOR!$A:$C,3,0),6)),-TRUNC(BH44/VLOOKUP("PCS-OzTL40",ARBOR!$A:$C,3,0)-1,4)+0.0001,-TRUNC(BH44/VLOOKUP("PCS-OzTL40",ARBOR!$A:$C,3,0)-1,4)))))</f>
        <v/>
      </c>
      <c r="BJ44" s="10" t="str">
        <f>IF(ISERROR(IF(BI44="","",VLOOKUP((BC44&amp;BI44&amp;"Template desconto FLAT Plano Principal Oi TV nível conta"),BENEFICIOS!$A:$G,5,0))),"Criar",IF(BI44="","",VLOOKUP((BC44&amp;BI44&amp;"Template desconto FLAT Plano Principal Oi TV nível conta"),BENEFICIOS!$A:$G,5,0)))</f>
        <v/>
      </c>
      <c r="BK44" s="8"/>
      <c r="BL44" s="3" t="str">
        <f>IF(BK44=0,"",IF(BK44=VLOOKUP("PCS-OzTL41",ARBOR!$A:$C,3,0),0.0001,IF(BK44&gt;VLOOKUP("PCS-OzTL41",ARBOR!$A:$C,3,0),"Maior que CAP!",IF((DOLLAR(BK44+(VLOOKUP("PCS-OzTL41",ARBOR!$A:$C,3,0)*-TRUNC(BK44/VLOOKUP("PCS-OzTL41",ARBOR!$A:$C,3,0)-1,4)),6))&lt;&gt;(DOLLAR(VLOOKUP("PCS-OzTL41",ARBOR!$A:$C,3,0),6)),-TRUNC(BK44/VLOOKUP("PCS-OzTL41",ARBOR!$A:$C,3,0)-1,4)+0.0001,-TRUNC(BK44/VLOOKUP("PCS-OzTL41",ARBOR!$A:$C,3,0)-1,4)))))</f>
        <v/>
      </c>
      <c r="BM44" s="28" t="str">
        <f>IF(ISERROR(IF(BL44="","",VLOOKUP((BC44&amp;BL44&amp;"Template desconto FLAT Plano Principal Oi TV nível conta"),BENEFICIOS!$A:$G,5,0))),"Criar",IF(BL44="","",VLOOKUP((BC44&amp;BL44&amp;"Template desconto FLAT Plano Principal Oi TV nível conta"),BENEFICIOS!$A:$G,5,0)))</f>
        <v/>
      </c>
      <c r="BN44" s="8"/>
      <c r="BO44" s="3" t="str">
        <f>IF(BN44=0,"",IF(BN44=VLOOKUP("PCS-OzTL44",ARBOR!$A:$C,3,0),0.0001,IF(BN44&gt;VLOOKUP("PCS-OzTL44",ARBOR!$A:$C,3,0),"Maior que CAP!",IF((DOLLAR(BN44+(VLOOKUP("PCS-OzTL44",ARBOR!$A:$C,3,0)*-TRUNC(BN44/VLOOKUP("PCS-OzTL44",ARBOR!$A:$C,3,0)-1,4)),6))&lt;&gt;(DOLLAR(VLOOKUP("PCS-OzTL44",ARBOR!$A:$C,3,0),6)),-TRUNC(BN44/VLOOKUP("PCS-OzTL44",ARBOR!$A:$C,3,0)-1,4)+0.0001,-TRUNC(BN44/VLOOKUP("PCS-OzTL44",ARBOR!$A:$C,3,0)-1,4)))))</f>
        <v/>
      </c>
      <c r="BP44" s="28" t="str">
        <f>IF(ISERROR(IF(BO44="","",VLOOKUP((BC44&amp;BO44&amp;"Template desconto FLAT Plano Principal Oi TV nível conta"),BENEFICIOS!$A:$G,5,0))),"Criar",IF(BO44="","",VLOOKUP((BC44&amp;BO44&amp;"Template desconto FLAT Plano Principal Oi TV nível conta"),BENEFICIOS!$A:$G,5,0)))</f>
        <v/>
      </c>
      <c r="BQ44" s="8"/>
      <c r="BR44" s="3" t="str">
        <f>IF(BQ44=0,"",IF(BQ44=VLOOKUP("PCS-OzTL43",ARBOR!$A:$C,3,0),0.0001,IF(BQ44&gt;VLOOKUP("PCS-OzTL43",ARBOR!$A:$C,3,0),"Maior que CAP!",IF((DOLLAR(BQ44+(VLOOKUP("PCS-OzTL43",ARBOR!$A:$C,3,0)*-TRUNC(BQ44/VLOOKUP("PCS-OzTL43",ARBOR!$A:$C,3,0)-1,4)),6))&lt;&gt;(DOLLAR(VLOOKUP("PCS-OzTL43",ARBOR!$A:$C,3,0),6)),-TRUNC(BQ44/VLOOKUP("PCS-OzTL43",ARBOR!$A:$C,3,0)-1,4)+0.0001,-TRUNC(BQ44/VLOOKUP("PCS-OzTL43",ARBOR!$A:$C,3,0)-1,4)))))</f>
        <v/>
      </c>
      <c r="BS44" s="28" t="str">
        <f>IF(ISERROR(IF(BR44="","",VLOOKUP((BC44&amp;BR44&amp;"Template desconto FLAT Plano Principal Oi TV nível conta"),BENEFICIOS!$A:$G,5,0))),"Criar",IF(BR44="","",VLOOKUP((BC44&amp;BR44&amp;"Template desconto FLAT Plano Principal Oi TV nível conta"),BENEFICIOS!$A:$G,5,0)))</f>
        <v/>
      </c>
      <c r="BT44" s="8"/>
      <c r="BU44" s="3" t="str">
        <f>IF(BT44=0,"",IF(BT44=VLOOKUP("PCS-OzTL45",ARBOR!$A:$C,3,0),0.0001,IF(BT44&gt;VLOOKUP("PCS-OzTL45",ARBOR!$A:$C,3,0),"Maior que CAP!",IF((DOLLAR(BT44+(VLOOKUP("PCS-OzTL45",ARBOR!$A:$C,3,0)*-TRUNC(BT44/VLOOKUP("PCS-OzTL45",ARBOR!$A:$C,3,0)-1,4)),6))&lt;&gt;(DOLLAR(VLOOKUP("PCS-OzTL45",ARBOR!$A:$C,3,0),6)),-TRUNC(BT44/VLOOKUP("PCS-OzTL45",ARBOR!$A:$C,3,0)-1,4)+0.0001,-TRUNC(BT44/VLOOKUP("PCS-OzTL45",ARBOR!$A:$C,3,0)-1,4)))))</f>
        <v/>
      </c>
      <c r="BV44" s="28" t="str">
        <f>IF(ISERROR(IF(BU44="","",VLOOKUP((BC44&amp;BU44&amp;"Template desconto FLAT Plano Principal Oi TV nível conta"),BENEFICIOS!$A:$G,5,0))),"Criar",IF(BU44="","",VLOOKUP((BC44&amp;BU44&amp;"Template desconto FLAT Plano Principal Oi TV nível conta"),BENEFICIOS!$A:$G,5,0)))</f>
        <v/>
      </c>
      <c r="BW44" s="8"/>
      <c r="BX44" s="3" t="str">
        <f>IF(BW44=0,"",IF(BW44=VLOOKUP("PCS-OzTL741",ARBOR!$A:$C,3,0),0.0001,IF(BW44&gt;VLOOKUP("PCS-OzTL741",ARBOR!$A:$C,3,0),"Maior que CAP!",IF((DOLLAR(BW44+(VLOOKUP("PCS-OzTL741",ARBOR!$A:$C,3,0)*-TRUNC(BW44/VLOOKUP("PCS-OzTL741",ARBOR!$A:$C,3,0)-1,4)),6))&lt;&gt;(DOLLAR(VLOOKUP("PCS-OzTL741",ARBOR!$A:$C,3,0),6)),-TRUNC(BW44/VLOOKUP("PCS-OzTL741",ARBOR!$A:$C,3,0)-1,4)+0.0001,-TRUNC(BW44/VLOOKUP("PCS-OzTL741",ARBOR!$A:$C,3,0)-1,4)))))</f>
        <v/>
      </c>
      <c r="BY44" s="28" t="str">
        <f>IF(ISERROR(IF(BX44="","",VLOOKUP((BC44&amp;BX44&amp;"Template desconto FLAT Plano Principal Oi TV nível conta"),BENEFICIOS!$A:$G,5,0))),"Criar",IF(BX44="","",VLOOKUP((BC44&amp;BX44&amp;"Template desconto FLAT Plano Principal Oi TV nível conta"),BENEFICIOS!$A:$G,5,0)))</f>
        <v/>
      </c>
      <c r="BZ44" s="8"/>
      <c r="CA44" s="3" t="str">
        <f>IF(BZ44=0,"",IF(BZ44=VLOOKUP("PCS-OzTL744",ARBOR!$A:$C,3,0),0.0001,IF(BZ44&gt;VLOOKUP("PCS-OzTL744",ARBOR!$A:$C,3,0),"Maior que CAP!",IF((DOLLAR(BZ44+(VLOOKUP("PCS-OzTL744",ARBOR!$A:$C,3,0)*-TRUNC(BZ44/VLOOKUP("PCS-OzTL744",ARBOR!$A:$C,3,0)-1,4)),6))&lt;&gt;(DOLLAR(VLOOKUP("PCS-OzTL744",ARBOR!$A:$C,3,0),6)),-TRUNC(BZ44/VLOOKUP("PCS-OzTL744",ARBOR!$A:$C,3,0)-1,4)+0.0001,-TRUNC(BZ44/VLOOKUP("PCS-OzTL744",ARBOR!$A:$C,3,0)-1,4)))))</f>
        <v/>
      </c>
      <c r="CB44" s="28" t="str">
        <f>IF(ISERROR(IF(CA44="","",VLOOKUP(($BC44&amp;CA44&amp;"Template desconto FLAT Plano Principal Oi TV nível conta"),BENEFICIOS!$A:$G,5,0))),"Criar",IF(CA44="","",VLOOKUP(($BC44&amp;CA44&amp;"Template desconto FLAT Plano Principal Oi TV nível conta"),BENEFICIOS!$A:$G,5,0)))</f>
        <v/>
      </c>
      <c r="CC44" s="8"/>
      <c r="CD44" s="3" t="str">
        <f>IF(CC44=0,"",IF(CC44=VLOOKUP("PCS-OzTL743",ARBOR!$A:$C,3,0),0.0001,IF(CC44&gt;VLOOKUP("PCS-OzTL743",ARBOR!$A:$C,3,0),"Maior que CAP!",IF((DOLLAR(CC44+(VLOOKUP("PCS-OzTL743",ARBOR!$A:$C,3,0)*-TRUNC(CC44/VLOOKUP("PCS-OzTL743",ARBOR!$A:$C,3,0)-1,4)),6))&lt;&gt;(DOLLAR(VLOOKUP("PCS-OzTL743",ARBOR!$A:$C,3,0),6)),-TRUNC(CC44/VLOOKUP("PCS-OzTL743",ARBOR!$A:$C,3,0)-1,4)+0.0001,-TRUNC(CC44/VLOOKUP("PCS-OzTL743",ARBOR!$A:$C,3,0)-1,4)))))</f>
        <v/>
      </c>
      <c r="CE44" s="28" t="str">
        <f>IF(ISERROR(IF(CD44="","",VLOOKUP(($BC44&amp;CD44&amp;"Template desconto FLAT Plano Principal Oi TV nível conta"),BENEFICIOS!$A:$G,5,0))),"Criar",IF(CD44="","",VLOOKUP(($BC44&amp;CD44&amp;"Template desconto FLAT Plano Principal Oi TV nível conta"),BENEFICIOS!$A:$G,5,0)))</f>
        <v/>
      </c>
      <c r="CF44" s="8"/>
      <c r="CG44" s="3" t="str">
        <f>IF(CF44=0,"",IF(CF44=VLOOKUP("PCS-OzTL745",ARBOR!$A:$C,3,0),0.0001,IF(CF44&gt;VLOOKUP("PCS-OzTL745",ARBOR!$A:$C,3,0),"Maior que CAP!",IF((DOLLAR(CF44+(VLOOKUP("PCS-OzTL745",ARBOR!$A:$C,3,0)*-TRUNC(CF44/VLOOKUP("PCS-OzTL745",ARBOR!$A:$C,3,0)-1,4)),6))&lt;&gt;(DOLLAR(VLOOKUP("PCS-OzTL745",ARBOR!$A:$C,3,0),6)),-TRUNC(CF44/VLOOKUP("PCS-OzTL745",ARBOR!$A:$C,3,0)-1,4)+0.0001,-TRUNC(CF44/VLOOKUP("PCS-OzTL745",ARBOR!$A:$C,3,0)-1,4)))))</f>
        <v/>
      </c>
      <c r="CH44" s="28" t="str">
        <f>IF(ISERROR(IF(CG44="","",VLOOKUP(($BC44&amp;CG44&amp;"Template desconto FLAT Plano Principal Oi TV nível conta"),BENEFICIOS!$A:$G,5,0))),"Criar",IF(CG44="","",VLOOKUP(($BC44&amp;CG44&amp;"Template desconto FLAT Plano Principal Oi TV nível conta"),BENEFICIOS!$A:$G,5,0)))</f>
        <v/>
      </c>
      <c r="CI44" s="8"/>
      <c r="CJ44" s="3" t="str">
        <f>IF(CI44=0,"",IF(CI44=VLOOKUP("PCS-OzTL42",ARBOR!$A:$C,3,0),0.0001,IF(CI44&gt;VLOOKUP("PCS-OzTL42",ARBOR!$A:$C,3,0),"Maior que CAP!",IF((DOLLAR(CI44+(VLOOKUP("PCS-OzTL42",ARBOR!$A:$C,3,0)*-TRUNC(CI44/VLOOKUP("PCS-OzTL42",ARBOR!$A:$C,3,0)-1,4)),6))&lt;&gt;(DOLLAR(VLOOKUP("PCS-OzTL42",ARBOR!$A:$C,3,0),6)),-TRUNC(CI44/VLOOKUP("PCS-OzTL42",ARBOR!$A:$C,3,0)-1,4)+0.0001,-TRUNC(CI44/VLOOKUP("PCS-OzTL42",ARBOR!$A:$C,3,0)-1,4)))))</f>
        <v/>
      </c>
      <c r="CK44" s="28" t="str">
        <f>IF(ISERROR(IF(CJ44="","",VLOOKUP(($BC44&amp;CJ44&amp;"Template desconto FLAT Plano Principal Oi TV nível conta"),BENEFICIOS!$A:$G,5,0))),"Criar",IF(CJ44="","",VLOOKUP(($BC44&amp;CJ44&amp;"Template desconto FLAT Plano Principal Oi TV nível conta"),BENEFICIOS!$A:$G,5,0)))</f>
        <v/>
      </c>
      <c r="CL44" s="8"/>
      <c r="CM44" s="3" t="str">
        <f>IF(CL44=0,"",IF(CL44=VLOOKUP("PCS-OzTL47",ARBOR!$A:$C,3,0),0.0001,IF(CL44&gt;VLOOKUP("PCS-OzTL47",ARBOR!$A:$C,3,0),"Maior que CAP!",IF((DOLLAR(CL44+(VLOOKUP("PCS-OzTL47",ARBOR!$A:$C,3,0)*-TRUNC(CL44/VLOOKUP("PCS-OzTL47",ARBOR!$A:$C,3,0)-1,4)),6))&lt;&gt;(DOLLAR(VLOOKUP("PCS-OzTL47",ARBOR!$A:$C,3,0),6)),-TRUNC(CL44/VLOOKUP("PCS-OzTL47",ARBOR!$A:$C,3,0)-1,4)+0.0001,-TRUNC(CL44/VLOOKUP("PCS-OzTL47",ARBOR!$A:$C,3,0)-1,4)))))</f>
        <v/>
      </c>
      <c r="CN44" s="28" t="str">
        <f>IF(ISERROR(IF(CM44="","",VLOOKUP(($BC44&amp;CM44&amp;"Template desconto FLAT Plano Principal Oi TV nível conta"),BENEFICIOS!$A:$G,5,0))),"Criar",IF(CM44="","",VLOOKUP(($BC44&amp;CM44&amp;"Template desconto FLAT Plano Principal Oi TV nível conta"),BENEFICIOS!$A:$G,5,0)))</f>
        <v/>
      </c>
      <c r="CO44" s="8"/>
      <c r="CP44" s="3" t="str">
        <f>IF(CO44=0,"",IF(CO44=VLOOKUP("PCS-OzTL46",ARBOR!$A:$C,3,0),0.0001,IF(CO44&gt;VLOOKUP("PCS-OzTL46",ARBOR!$A:$C,3,0),"Maior que CAP!",IF((DOLLAR(CO44+(VLOOKUP("PCS-OzTL46",ARBOR!$A:$C,3,0)*-TRUNC(CO44/VLOOKUP("PCS-OzTL46",ARBOR!$A:$C,3,0)-1,4)),6))&lt;&gt;(DOLLAR(VLOOKUP("PCS-OzTL46",ARBOR!$A:$C,3,0),6)),-TRUNC(CO44/VLOOKUP("PCS-OzTL46",ARBOR!$A:$C,3,0)-1,4)+0.0001,-TRUNC(CO44/VLOOKUP("PCS-OzTL46",ARBOR!$A:$C,3,0)-1,4)))))</f>
        <v/>
      </c>
      <c r="CQ44" s="28" t="str">
        <f>IF(ISERROR(IF(CP44="","",VLOOKUP(($BC44&amp;CP44&amp;"Template desconto FLAT Plano Principal Oi TV nível conta"),BENEFICIOS!$A:$G,5,0))),"Criar",IF(CP44="","",VLOOKUP(($BC44&amp;CP44&amp;"Template desconto FLAT Plano Principal Oi TV nível conta"),BENEFICIOS!$A:$G,5,0)))</f>
        <v/>
      </c>
      <c r="CR44" s="8"/>
      <c r="CS44" s="3" t="str">
        <f>IF(CR44=0,"",IF(CR44=VLOOKUP("PCS-OzTL48",ARBOR!$A:$C,3,0),0.0001,IF(CR44&gt;VLOOKUP("PCS-OzTL48",ARBOR!$A:$C,3,0),"Maior que CAP!",IF((DOLLAR(CR44+(VLOOKUP("PCS-OzTL48",ARBOR!$A:$C,3,0)*-TRUNC(CR44/VLOOKUP("PCS-OzTL48",ARBOR!$A:$C,3,0)-1,4)),6))&lt;&gt;(DOLLAR(VLOOKUP("PCS-OzTL48",ARBOR!$A:$C,3,0),6)),-TRUNC(CR44/VLOOKUP("PCS-OzTL48",ARBOR!$A:$C,3,0)-1,4)+0.0001,-TRUNC(CR44/VLOOKUP("PCS-OzTL48",ARBOR!$A:$C,3,0)-1,4)))))</f>
        <v/>
      </c>
      <c r="CT44" s="28" t="str">
        <f>IF(ISERROR(IF(CS44="","",VLOOKUP(($BC44&amp;CS44&amp;"Template desconto FLAT Plano Principal Oi TV nível conta"),BENEFICIOS!$A:$G,5,0))),"Criar",IF(CS44="","",VLOOKUP(($BC44&amp;CS44&amp;"Template desconto FLAT Plano Principal Oi TV nível conta"),BENEFICIOS!$A:$G,5,0)))</f>
        <v/>
      </c>
      <c r="CU44" s="8"/>
      <c r="CV44" s="3" t="str">
        <f>IF(CU44=0,"",IF(CU44=VLOOKUP("PCS-OzTL742",ARBOR!$A:$C,3,0),0.0001,IF(CU44&gt;VLOOKUP("PCS-OzTL742",ARBOR!$A:$C,3,0),"Maior que CAP!",IF((DOLLAR(CU44+(VLOOKUP("PCS-OzTL742",ARBOR!$A:$C,3,0)*-TRUNC(CU44/VLOOKUP("PCS-OzTL742",ARBOR!$A:$C,3,0)-1,4)),6))&lt;&gt;(DOLLAR(VLOOKUP("PCS-OzTL742",ARBOR!$A:$C,3,0),6)),-TRUNC(CU44/VLOOKUP("PCS-OzTL742",ARBOR!$A:$C,3,0)-1,4)+0.0001,-TRUNC(CU44/VLOOKUP("PCS-OzTL742",ARBOR!$A:$C,3,0)-1,4)))))</f>
        <v/>
      </c>
      <c r="CW44" s="28" t="str">
        <f>IF(ISERROR(IF(CV44="","",VLOOKUP(($BC44&amp;CV44&amp;"Template desconto FLAT Plano Principal Oi TV nível conta"),BENEFICIOS!$A:$G,5,0))),"Criar",IF(CV44="","",VLOOKUP(($BC44&amp;CV44&amp;"Template desconto FLAT Plano Principal Oi TV nível conta"),BENEFICIOS!$A:$G,5,0)))</f>
        <v/>
      </c>
      <c r="CX44" s="8"/>
      <c r="CY44" s="3" t="str">
        <f>IF(CX44=0,"",IF(CX44=VLOOKUP("PCS-OzTL747",ARBOR!$A:$C,3,0),0.0001,IF(CX44&gt;VLOOKUP("PCS-OzTL747",ARBOR!$A:$C,3,0),"Maior que CAP!",IF((DOLLAR(CX44+(VLOOKUP("PCS-OzTL747",ARBOR!$A:$C,3,0)*-TRUNC(CX44/VLOOKUP("PCS-OzTL747",ARBOR!$A:$C,3,0)-1,4)),6))&lt;&gt;(DOLLAR(VLOOKUP("PCS-OzTL747",ARBOR!$A:$C,3,0),6)),-TRUNC(CX44/VLOOKUP("PCS-OzTL747",ARBOR!$A:$C,3,0)-1,4)+0.0001,-TRUNC(CX44/VLOOKUP("PCS-OzTL747",ARBOR!$A:$C,3,0)-1,4)))))</f>
        <v/>
      </c>
      <c r="CZ44" s="28" t="str">
        <f>IF(ISERROR(IF(CY44="","",VLOOKUP(($BC44&amp;CY44&amp;"Template desconto FLAT Plano Principal Oi TV nível conta"),BENEFICIOS!$A:$G,5,0))),"Criar",IF(CY44="","",VLOOKUP(($BC44&amp;CY44&amp;"Template desconto FLAT Plano Principal Oi TV nível conta"),BENEFICIOS!$A:$G,5,0)))</f>
        <v/>
      </c>
      <c r="DA44" s="8"/>
      <c r="DB44" s="3" t="str">
        <f>IF(DA44=0,"",IF(DA44=VLOOKUP("PCS-OzTL746",ARBOR!$A:$C,3,0),0.0001,IF(DA44&gt;VLOOKUP("PCS-OzTL746",ARBOR!$A:$C,3,0),"Maior que CAP!",IF((DOLLAR(DA44+(VLOOKUP("PCS-OzTL746",ARBOR!$A:$C,3,0)*-TRUNC(DA44/VLOOKUP("PCS-OzTL746",ARBOR!$A:$C,3,0)-1,4)),6))&lt;&gt;(DOLLAR(VLOOKUP("PCS-OzTL746",ARBOR!$A:$C,3,0),6)),-TRUNC(DA44/VLOOKUP("PCS-OzTL746",ARBOR!$A:$C,3,0)-1,4)+0.0001,-TRUNC(DA44/VLOOKUP("PCS-OzTL746",ARBOR!$A:$C,3,0)-1,4)))))</f>
        <v/>
      </c>
      <c r="DC44" s="28" t="str">
        <f>IF(ISERROR(IF(DB44="","",VLOOKUP(($BC44&amp;DB44&amp;"Template desconto FLAT Plano Principal Oi TV nível conta"),BENEFICIOS!$A:$G,5,0))),"Criar",IF(DB44="","",VLOOKUP(($BC44&amp;DB44&amp;"Template desconto FLAT Plano Principal Oi TV nível conta"),BENEFICIOS!$A:$G,5,0)))</f>
        <v/>
      </c>
      <c r="DD44" s="8"/>
      <c r="DE44" s="3" t="str">
        <f>IF(DD44=0,"",IF(DD44=VLOOKUP("PCS-OzTL748",ARBOR!$A:$C,3,0),0.0001,IF(DD44&gt;VLOOKUP("PCS-OzTL748",ARBOR!$A:$C,3,0),"Maior que CAP!",IF((DOLLAR(DD44+(VLOOKUP("PCS-OzTL748",ARBOR!$A:$C,3,0)*-TRUNC(DD44/VLOOKUP("PCS-OzTL748",ARBOR!$A:$C,3,0)-1,4)),6))&lt;&gt;(DOLLAR(VLOOKUP("PCS-OzTL748",ARBOR!$A:$C,3,0),6)),-TRUNC(DD44/VLOOKUP("PCS-OzTL748",ARBOR!$A:$C,3,0)-1,4)+0.0001,-TRUNC(DD44/VLOOKUP("PCS-OzTL748",ARBOR!$A:$C,3,0)-1,4)))))</f>
        <v/>
      </c>
      <c r="DF44" s="28" t="str">
        <f>IF(ISERROR(IF(DE44="","",VLOOKUP(($BC44&amp;DE44&amp;"Template desconto FLAT Plano Principal Oi TV nível conta"),BENEFICIOS!$A:$G,5,0))),"Criar",IF(DE44="","",VLOOKUP(($BC44&amp;DE44&amp;"Template desconto FLAT Plano Principal Oi TV nível conta"),BENEFICIOS!$A:$G,5,0)))</f>
        <v/>
      </c>
      <c r="DG44" s="8"/>
      <c r="DH44" s="3" t="str">
        <f>IF(DG44=0,"",IF(DG44=VLOOKUP("PCS-OzTL34",ARBOR!$A:$C,3,0),0.0001,IF(DG44&gt;VLOOKUP("PCS-OzTL34",ARBOR!$A:$C,3,0),"Maior que CAP!",IF((DOLLAR(DG44+(VLOOKUP("PCS-OzTL34",ARBOR!$A:$C,3,0)*-TRUNC(DG44/VLOOKUP("PCS-OzTL34",ARBOR!$A:$C,3,0)-1,4)),6))&lt;&gt;(DOLLAR(VLOOKUP("PCS-OzTL34",ARBOR!$A:$C,3,0),6)),-TRUNC(DG44/VLOOKUP("PCS-OzTL34",ARBOR!$A:$C,3,0)-1,4)+0.0001,-TRUNC(DG44/VLOOKUP("PCS-OzTL34",ARBOR!$A:$C,3,0)-1,4)))))</f>
        <v/>
      </c>
      <c r="DI44" s="28" t="str">
        <f>IF(DH44="S/Desc","S/Desc",IF(ISERROR(IF(DH44="","",VLOOKUP(($BC44&amp;DH44&amp;"Template desconto % Combate nível conta"),BENEFICIOS!$A:$G,5,0))),"Criar",IF(DH44="","",VLOOKUP(($BC44&amp;DH44&amp;"Template desconto % Combate nível conta"),BENEFICIOS!$A:$G,5,0))))</f>
        <v/>
      </c>
      <c r="DJ44" s="8"/>
      <c r="DK44" s="3" t="str">
        <f>IF(DJ44=0,"",IF(DJ44=VLOOKUP("PCS-OzTL31",ARBOR!$A:$C,3,0),0.0001,IF(DJ44&gt;VLOOKUP("PCS-OzTL31",ARBOR!$A:$C,3,0),"Maior que CAP!",IF((DOLLAR(DJ44+(VLOOKUP("PCS-OzTL31",ARBOR!$A:$C,3,0)*-TRUNC(DJ44/VLOOKUP("PCS-OzTL31",ARBOR!$A:$C,3,0)-1,4)),6))&lt;&gt;(DOLLAR(VLOOKUP("PCS-OzTL31",ARBOR!$A:$C,3,0),6)),-TRUNC(DJ44/VLOOKUP("PCS-OzTL31",ARBOR!$A:$C,3,0)-1,4)+0.0001,-TRUNC(DJ44/VLOOKUP("PCS-OzTL31",ARBOR!$A:$C,3,0)-1,4)))))</f>
        <v/>
      </c>
      <c r="DL44" s="28" t="str">
        <f>IF(DK44="S/Desc","S/Desc",IF(ISERROR(IF(DK44="","",VLOOKUP(($BC44&amp;DK44&amp;"Template desconto % Sexy Hot nível conta"),BENEFICIOS!$A:$G,5,0))),"Criar",IF(DK44="","",VLOOKUP(($BC44&amp;DK44&amp;"Template desconto % Sexy Hot nível conta"),BENEFICIOS!$A:$G,5,0))))</f>
        <v/>
      </c>
      <c r="DM44" s="8"/>
      <c r="DN44" s="3" t="str">
        <f>IF(DM44=0,"",IF(DM44=VLOOKUP("PCS-OzTL32",ARBOR!$A:$C,3,0),0.0001,IF(DM44&gt;VLOOKUP("PCS-OzTL32",ARBOR!$A:$C,3,0),"Maior que CAP!",IF((DOLLAR(DM44+(VLOOKUP("PCS-OzTL32",ARBOR!$A:$C,3,0)*-TRUNC(DM44/VLOOKUP("PCS-OzTL32",ARBOR!$A:$C,3,0)-1,4)),6))&lt;&gt;(DOLLAR(VLOOKUP("PCS-OzTL32",ARBOR!$A:$C,3,0),6)),-TRUNC(DM44/VLOOKUP("PCS-OzTL32",ARBOR!$A:$C,3,0)-1,4)+0.0001,-TRUNC(DM44/VLOOKUP("PCS-OzTL32",ARBOR!$A:$C,3,0)-1,4)))))</f>
        <v/>
      </c>
      <c r="DO44" s="28" t="str">
        <f>IF(DN44="S/Desc","S/Desc",IF(ISERROR(IF(DN44="","",VLOOKUP(($BC44&amp;DN44&amp;"Template desconto % Playboy nível conta"),BENEFICIOS!$A:$G,5,0))),"Criar",IF(DN44="","",VLOOKUP(($BC44&amp;DN44&amp;"Template desconto % Playboy nível conta"),BENEFICIOS!$A:$G,5,0))))</f>
        <v/>
      </c>
      <c r="DP44" s="8"/>
      <c r="DQ44" s="3" t="str">
        <f>IF(DP44=0,"",IF(DP44=VLOOKUP("PCS-OzTL33",ARBOR!$A:$C,3,0),0.0001,IF(DP44&gt;VLOOKUP("PCS-OzTL33",ARBOR!$A:$C,3,0),"Maior que CAP!",IF((DOLLAR(DP44+(VLOOKUP("PCS-OzTL33",ARBOR!$A:$C,3,0)*-TRUNC(DP44/VLOOKUP("PCS-OzTL33",ARBOR!$A:$C,3,0)-1,4)),6))&lt;&gt;(DOLLAR(VLOOKUP("PCS-OzTL33",ARBOR!$A:$C,3,0),6)),-TRUNC(DP44/VLOOKUP("PCS-OzTL33",ARBOR!$A:$C,3,0)-1,4)+0.0001,-TRUNC(DP44/VLOOKUP("PCS-OzTL33",ARBOR!$A:$C,3,0)-1,4)))))</f>
        <v/>
      </c>
      <c r="DR44" s="28" t="str">
        <f>IF(DQ44="S/Desc","S/Desc",IF(ISERROR(IF(DQ44="","",VLOOKUP(($BC44&amp;DQ44&amp;"Template desconto % Sexy Hot + Playboy nível conta"),BENEFICIOS!$A:$G,5,0))),"Criar",IF(DQ44="","",VLOOKUP(($BC44&amp;DQ44&amp;"Template desconto % Sexy Hot + Playboy nível conta"),BENEFICIOS!$A:$G,5,0))))</f>
        <v/>
      </c>
      <c r="DS44" s="8"/>
      <c r="DT44" s="3" t="str">
        <f>IF(DS44=0,"",IF(DS44=VLOOKUP("PCS-OzTL503",ARBOR!$A:$C,3,0),0.0001,IF(DS44&gt;VLOOKUP("PCS-OzTL503",ARBOR!$A:$C,3,0),"Maior que CAP!",IF((DOLLAR(DS44+(VLOOKUP("PCS-OzTL503",ARBOR!$A:$C,3,0)*-TRUNC(DS44/VLOOKUP("PCS-OzTL503",ARBOR!$A:$C,3,0)-1,4)),6))&lt;&gt;(DOLLAR(VLOOKUP("PCS-OzTL503",ARBOR!$A:$C,3,0),6)),-TRUNC(DS44/VLOOKUP("PCS-OzTL503",ARBOR!$A:$C,3,0)-1,4)+0.0001,-TRUNC(DS44/VLOOKUP("PCS-OzTL503",ARBOR!$A:$C,3,0)-1,4)))))</f>
        <v/>
      </c>
      <c r="DU44" s="28" t="str">
        <f>IF(DT44="S/Desc","S/Desc",IF(ISERROR(IF(DT44="","",VLOOKUP(($BC44&amp;DT44&amp;"Template desconto % SexPrivê nível conta"),BENEFICIOS!$A:$G,5,0))),"Criar",IF(DT44="","",VLOOKUP(($BC44&amp;DT44&amp;"Template desconto % SexPrivê nível conta"),BENEFICIOS!$A:$G,5,0))))</f>
        <v/>
      </c>
      <c r="DV44" s="8"/>
      <c r="DW44" s="3" t="str">
        <f>IF(DV44=0,"",IF(DV44=VLOOKUP("PCS-OzTL500",ARBOR!$A:$C,3,0),0.0001,IF(DV44&gt;VLOOKUP("PCS-OzTL500",ARBOR!$A:$C,3,0),"Maior que CAP!",IF((DOLLAR(DV44+(VLOOKUP("PCS-OzTL500",ARBOR!$A:$C,3,0)*-TRUNC(DV44/VLOOKUP("PCS-OzTL500",ARBOR!$A:$C,3,0)-1,4)),6))&lt;&gt;(DOLLAR(VLOOKUP("PCS-OzTL500",ARBOR!$A:$C,3,0),6)),-TRUNC(DV44/VLOOKUP("PCS-OzTL500",ARBOR!$A:$C,3,0)-1,4)+0.0001,-TRUNC(DV44/VLOOKUP("PCS-OzTL500",ARBOR!$A:$C,3,0)-1,4)))))</f>
        <v/>
      </c>
      <c r="DX44" s="28" t="str">
        <f>IF(DW44="S/Desc","S/Desc",IF(ISERROR(IF(DW44="","",VLOOKUP(($BC44&amp;DW44&amp;"Template desconto % Étnico nível conta"),BENEFICIOS!$A:$G,5,0))),"Criar",IF(DW44="","",VLOOKUP(($BC44&amp;DW44&amp;"Template desconto % Étnico nível conta"),BENEFICIOS!$A:$G,5,0))))</f>
        <v/>
      </c>
      <c r="DY44" s="8"/>
      <c r="DZ44" s="181" t="str">
        <f>IF(DY44=0,"",IF(DY44=VLOOKUP("PCS-OzTL50",ARBOR!$A:$C,3,0),0.0001,IF(DY44&gt;VLOOKUP("PCS-OzTL50",ARBOR!$A:$C,3,0),"Maior que CAP!",IF((DOLLAR(DY44+(VLOOKUP("PCS-OzTL50",ARBOR!$A:$C,3,0)*-TRUNC(DY44/VLOOKUP("PCS-OzTL50",ARBOR!$A:$C,3,0)-1,4)),6))&lt;&gt;(DOLLAR(VLOOKUP("PCS-OzTL50",ARBOR!$A:$C,3,0),6)),-TRUNC(DY44/VLOOKUP("PCS-OzTL50",ARBOR!$A:$C,3,0)-1,4)+0.0001,-TRUNC(DY44/VLOOKUP("PCS-OzTL50",ARBOR!$A:$C,3,0)-1,4)))))</f>
        <v/>
      </c>
      <c r="EA44" s="28"/>
      <c r="EB44" s="8"/>
      <c r="EC44" s="181" t="str">
        <f>IF(EB44=0,"",IF(EB44=VLOOKUP("PCS-OzTL51",ARBOR!$A:$C,3,0),0.0001,IF(EB44&gt;VLOOKUP("PCS-OzTL51",ARBOR!$A:$C,3,0),"Maior que CAP!",IF((DOLLAR(EB44+(VLOOKUP("PCS-OzTL51",ARBOR!$A:$C,3,0)*-TRUNC(EB44/VLOOKUP("PCS-OzTL51",ARBOR!$A:$C,3,0)-1,4)),6))&lt;&gt;(DOLLAR(VLOOKUP("PCS-OzTL51",ARBOR!$A:$C,3,0),6)),-TRUNC(EB44/VLOOKUP("PCS-OzTL51",ARBOR!$A:$C,3,0)-1,4)+0.0001,-TRUNC(EB44/VLOOKUP("PCS-OzTL51",ARBOR!$A:$C,3,0)-1,4)))))</f>
        <v/>
      </c>
      <c r="ED44" s="28"/>
      <c r="EE44" s="8"/>
      <c r="EF44" s="181" t="str">
        <f>IF(EE44=0,"",IF(EE44=VLOOKUP("PCS-OzTL52",ARBOR!$A:$C,3,0),0.0001,IF(EE44&gt;VLOOKUP("PCS-OzTL52",ARBOR!$A:$C,3,0),"Maior que CAP!",IF((DOLLAR(EE44+(VLOOKUP("PCS-OzTL52",ARBOR!$A:$C,3,0)*-TRUNC(EE44/VLOOKUP("PCS-OzTL52",ARBOR!$A:$C,3,0)-1,4)),6))&lt;&gt;(DOLLAR(VLOOKUP("PCS-OzTL52",ARBOR!$A:$C,3,0),6)),-TRUNC(EE44/VLOOKUP("PCS-OzTL52",ARBOR!$A:$C,3,0)-1,4)+0.0001,-TRUNC(EE44/VLOOKUP("PCS-OzTL52",ARBOR!$A:$C,3,0)-1,4)))))</f>
        <v/>
      </c>
      <c r="EG44" s="28"/>
      <c r="EH44" s="8"/>
      <c r="EI44" s="181" t="str">
        <f>IF(EH44=0,"",IF(EH44=VLOOKUP("PCS-OzTL53",ARBOR!$A:$C,3,0),0.0001,IF(EH44&gt;VLOOKUP("PCS-OzTL53",ARBOR!$A:$C,3,0),"Maior que CAP!",IF((DOLLAR(EH44+(VLOOKUP("PCS-OzTL53",ARBOR!$A:$C,3,0)*-TRUNC(EH44/VLOOKUP("PCS-OzTL53",ARBOR!$A:$C,3,0)-1,4)),6))&lt;&gt;(DOLLAR(VLOOKUP("PCS-OzTL53",ARBOR!$A:$C,3,0),6)),-TRUNC(EH44/VLOOKUP("PCS-OzTL53",ARBOR!$A:$C,3,0)-1,4)+0.0001,-TRUNC(EH44/VLOOKUP("PCS-OzTL53",ARBOR!$A:$C,3,0)-1,4)))))</f>
        <v/>
      </c>
      <c r="EJ44" s="28"/>
      <c r="EK44" s="8"/>
      <c r="EL44" s="181" t="str">
        <f>IF(EK44=0,"",IF(EK44=VLOOKUP("PCS-OzTL54",ARBOR!$A:$C,3,0),0.0001,IF(EK44&gt;VLOOKUP("PCS-OzTL54",ARBOR!$A:$C,3,0),"Maior que CAP!",IF((DOLLAR(EK44+(VLOOKUP("PCS-OzTL54",ARBOR!$A:$C,3,0)*-TRUNC(EK44/VLOOKUP("PCS-OzTL54",ARBOR!$A:$C,3,0)-1,4)),6))&lt;&gt;(DOLLAR(VLOOKUP("PCS-OzTL54",ARBOR!$A:$C,3,0),6)),-TRUNC(EK44/VLOOKUP("PCS-OzTL54",ARBOR!$A:$C,3,0)-1,4)+0.0001,-TRUNC(EK44/VLOOKUP("PCS-OzTL54",ARBOR!$A:$C,3,0)-1,4)))))</f>
        <v/>
      </c>
      <c r="EM44" s="28"/>
      <c r="EN44" s="8"/>
      <c r="EO44" s="3" t="str">
        <f>IF(EN44=0,"",IF(EN44=VLOOKUP("PCS-OzTL99",ARBOR!$A:$C,3,0),0.0001,IF(EN44&gt;VLOOKUP("PCS-OzTL99",ARBOR!$A:$C,3,0),"Maior que CAP!",IF((DOLLAR(EN44+(VLOOKUP("PCS-OzTL99",ARBOR!$A:$C,3,0)*-TRUNC(EN44/VLOOKUP("PCS-OzTL99",ARBOR!$A:$C,3,0)-1,4)),6))&lt;&gt;(DOLLAR(VLOOKUP("PCS-OzTL99",ARBOR!$A:$C,3,0),6)),-TRUNC(EN44/VLOOKUP("PCS-OzTL99",ARBOR!$A:$C,3,0)-1,4)+0.0001,-TRUNC(EN44/VLOOKUP("PCS-OzTL99",ARBOR!$A:$C,3,0)-1,4)))))</f>
        <v/>
      </c>
      <c r="EP44" s="28" t="str">
        <f>IF(EO44="S/Desc","S/Desc",IF(ISERROR(IF(EO44="","",VLOOKUP(($BC44&amp;EO44&amp;"Template desconto % Ponto adicional nível conta"),BENEFICIOS!$A:$G,5,0))),"Criar",IF(EO44="","",VLOOKUP(($BC44&amp;EO44&amp;"Template desconto % Ponto adicional nível conta"),BENEFICIOS!$A:$G,5,0))))</f>
        <v/>
      </c>
      <c r="EQ44" s="8"/>
      <c r="ER44" s="28" t="str">
        <f t="shared" si="23"/>
        <v/>
      </c>
      <c r="ES44" s="62"/>
      <c r="ET44" s="126"/>
      <c r="EU44" s="127"/>
      <c r="EV44" s="126"/>
      <c r="EW44" s="128" t="str">
        <f t="shared" si="24"/>
        <v/>
      </c>
      <c r="EX44" s="129" t="str">
        <f t="shared" si="25"/>
        <v/>
      </c>
      <c r="EY44" s="91" t="str">
        <f t="shared" si="26"/>
        <v/>
      </c>
      <c r="EZ44" s="85"/>
      <c r="FA44" s="97"/>
      <c r="FB44" s="91"/>
      <c r="FC44" s="85"/>
      <c r="FD44" s="97"/>
      <c r="FE44" s="91"/>
      <c r="FF44" s="87"/>
      <c r="FG44" s="144" t="str">
        <f t="shared" si="5"/>
        <v/>
      </c>
      <c r="FH44" s="144" t="str">
        <f t="shared" si="6"/>
        <v/>
      </c>
      <c r="FI44" s="144" t="str">
        <f t="shared" si="7"/>
        <v/>
      </c>
      <c r="FJ44" s="144" t="str">
        <f t="shared" si="8"/>
        <v/>
      </c>
      <c r="FK44" s="144" t="str">
        <f t="shared" si="9"/>
        <v/>
      </c>
      <c r="FL44" s="144" t="str">
        <f t="shared" si="10"/>
        <v/>
      </c>
      <c r="FM44" s="144" t="str">
        <f t="shared" si="11"/>
        <v/>
      </c>
      <c r="FN44" s="144" t="str">
        <f t="shared" si="12"/>
        <v/>
      </c>
      <c r="FO44" s="144" t="str">
        <f t="shared" si="13"/>
        <v/>
      </c>
      <c r="FP44" s="144" t="str">
        <f t="shared" si="14"/>
        <v/>
      </c>
      <c r="FQ44" s="144" t="str">
        <f t="shared" si="15"/>
        <v/>
      </c>
      <c r="FR44" s="144" t="str">
        <f t="shared" si="16"/>
        <v/>
      </c>
      <c r="FS44" s="144" t="str">
        <f t="shared" si="17"/>
        <v/>
      </c>
      <c r="FT44" s="144" t="str">
        <f t="shared" si="18"/>
        <v/>
      </c>
      <c r="FU44" s="144" t="str">
        <f t="shared" si="19"/>
        <v/>
      </c>
      <c r="FV44" s="144" t="str">
        <f t="shared" si="20"/>
        <v/>
      </c>
      <c r="FW44" s="144" t="str">
        <f t="shared" si="21"/>
        <v/>
      </c>
      <c r="FX44" s="151"/>
      <c r="FY44" s="152"/>
      <c r="FZ44" s="152"/>
      <c r="GA44" s="152"/>
      <c r="GB44" s="152"/>
      <c r="GC44" s="152"/>
      <c r="GD44" s="152"/>
      <c r="GE44" s="152"/>
      <c r="GF44" s="152"/>
      <c r="GG44" s="153"/>
    </row>
    <row r="45" spans="1:189">
      <c r="A45" s="45"/>
      <c r="B45" s="133"/>
      <c r="C45" s="133"/>
      <c r="D45" s="46"/>
      <c r="E45" s="4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9"/>
      <c r="U45" s="48"/>
      <c r="V45" s="49"/>
      <c r="W45" s="48"/>
      <c r="X45" s="48"/>
      <c r="Y45" s="48"/>
      <c r="Z45" s="48"/>
      <c r="AA45" s="49"/>
      <c r="AB45" s="48"/>
      <c r="AC45" s="50"/>
      <c r="AD45" s="48"/>
      <c r="AE45" s="48"/>
      <c r="AF45" s="48"/>
      <c r="AG45" s="48"/>
      <c r="AH45" s="48"/>
      <c r="AI45" s="48"/>
      <c r="AJ45" s="48"/>
      <c r="AK45" s="48"/>
      <c r="AL45" s="51"/>
      <c r="AM45" s="37"/>
      <c r="AN45" s="38"/>
      <c r="AO45" s="39"/>
      <c r="AP45" s="52"/>
      <c r="AQ45" s="53"/>
      <c r="AR45" s="64"/>
      <c r="AS45" s="65"/>
      <c r="AT45" s="54"/>
      <c r="AU45" s="54"/>
      <c r="AV45" s="54"/>
      <c r="AW45" s="54"/>
      <c r="AX45" s="70"/>
      <c r="AY45" s="71"/>
      <c r="AZ45" s="72"/>
      <c r="BA45" s="73"/>
      <c r="BB45" s="55"/>
      <c r="BC45" s="56"/>
      <c r="BD45" s="27" t="str">
        <f t="shared" si="22"/>
        <v/>
      </c>
      <c r="BE45" s="58"/>
      <c r="BF45" s="3" t="str">
        <f>IF(BE45=0,"",IF(BE45=VLOOKUP("FIXO",ARBOR!$A:$C,3,0),0.0001,IF(BE45&gt;VLOOKUP("FIXO",ARBOR!$A:$C,3,0),"Maior que CAP!",IF((DOLLAR(BE45+(VLOOKUP("FIXO",ARBOR!$A:$C,3,0)*-TRUNC(BE45/VLOOKUP("FIXO",ARBOR!$A:$C,3,0)-1,4)),6))&lt;&gt;(DOLLAR(VLOOKUP("FIXO",ARBOR!$A:$C,3,0),6)),-TRUNC(BE45/VLOOKUP("FIXO",ARBOR!$A:$C,3,0)-1,4)+0.0001,-TRUNC(BE45/VLOOKUP("FIXO",ARBOR!$A:$C,3,0)-1,4)))))</f>
        <v/>
      </c>
      <c r="BG45" s="10" t="str">
        <f>IF(ISERROR(IF(BF45="","",VLOOKUP(($BC45&amp;BF45&amp;"Template de desconto FLAT bundle - Fixo - Varejo - Ganho Tributário Cross"),BENEFICIOS!$A:$G,5,0))),"Criar",IF(BF45="","",VLOOKUP(($BC45&amp;BF45&amp;"Template de desconto FLAT bundle - Fixo - Varejo - Ganho Tributário Cross"),BENEFICIOS!$A:$G,5,0)))</f>
        <v/>
      </c>
      <c r="BH45" s="8"/>
      <c r="BI45" s="3" t="str">
        <f>IF(BH45=0,"",IF(BH45=VLOOKUP("PCS-OzTL40",ARBOR!$A:$C,3,0),0.0001,IF(BH45&gt;VLOOKUP("PCS-OzTL40",ARBOR!$A:$C,3,0),"Maior que CAP!",IF((DOLLAR(BH45+(VLOOKUP("PCS-OzTL40",ARBOR!$A:$C,3,0)*-TRUNC(BH45/VLOOKUP("PCS-OzTL40",ARBOR!$A:$C,3,0)-1,4)),6))&lt;&gt;(DOLLAR(VLOOKUP("PCS-OzTL40",ARBOR!$A:$C,3,0),6)),-TRUNC(BH45/VLOOKUP("PCS-OzTL40",ARBOR!$A:$C,3,0)-1,4)+0.0001,-TRUNC(BH45/VLOOKUP("PCS-OzTL40",ARBOR!$A:$C,3,0)-1,4)))))</f>
        <v/>
      </c>
      <c r="BJ45" s="10" t="str">
        <f>IF(ISERROR(IF(BI45="","",VLOOKUP((BC45&amp;BI45&amp;"Template desconto FLAT Plano Principal Oi TV nível conta"),BENEFICIOS!$A:$G,5,0))),"Criar",IF(BI45="","",VLOOKUP((BC45&amp;BI45&amp;"Template desconto FLAT Plano Principal Oi TV nível conta"),BENEFICIOS!$A:$G,5,0)))</f>
        <v/>
      </c>
      <c r="BK45" s="8"/>
      <c r="BL45" s="3" t="str">
        <f>IF(BK45=0,"",IF(BK45=VLOOKUP("PCS-OzTL41",ARBOR!$A:$C,3,0),0.0001,IF(BK45&gt;VLOOKUP("PCS-OzTL41",ARBOR!$A:$C,3,0),"Maior que CAP!",IF((DOLLAR(BK45+(VLOOKUP("PCS-OzTL41",ARBOR!$A:$C,3,0)*-TRUNC(BK45/VLOOKUP("PCS-OzTL41",ARBOR!$A:$C,3,0)-1,4)),6))&lt;&gt;(DOLLAR(VLOOKUP("PCS-OzTL41",ARBOR!$A:$C,3,0),6)),-TRUNC(BK45/VLOOKUP("PCS-OzTL41",ARBOR!$A:$C,3,0)-1,4)+0.0001,-TRUNC(BK45/VLOOKUP("PCS-OzTL41",ARBOR!$A:$C,3,0)-1,4)))))</f>
        <v/>
      </c>
      <c r="BM45" s="28" t="str">
        <f>IF(ISERROR(IF(BL45="","",VLOOKUP((BC45&amp;BL45&amp;"Template desconto FLAT Plano Principal Oi TV nível conta"),BENEFICIOS!$A:$G,5,0))),"Criar",IF(BL45="","",VLOOKUP((BC45&amp;BL45&amp;"Template desconto FLAT Plano Principal Oi TV nível conta"),BENEFICIOS!$A:$G,5,0)))</f>
        <v/>
      </c>
      <c r="BN45" s="8"/>
      <c r="BO45" s="3" t="str">
        <f>IF(BN45=0,"",IF(BN45=VLOOKUP("PCS-OzTL44",ARBOR!$A:$C,3,0),0.0001,IF(BN45&gt;VLOOKUP("PCS-OzTL44",ARBOR!$A:$C,3,0),"Maior que CAP!",IF((DOLLAR(BN45+(VLOOKUP("PCS-OzTL44",ARBOR!$A:$C,3,0)*-TRUNC(BN45/VLOOKUP("PCS-OzTL44",ARBOR!$A:$C,3,0)-1,4)),6))&lt;&gt;(DOLLAR(VLOOKUP("PCS-OzTL44",ARBOR!$A:$C,3,0),6)),-TRUNC(BN45/VLOOKUP("PCS-OzTL44",ARBOR!$A:$C,3,0)-1,4)+0.0001,-TRUNC(BN45/VLOOKUP("PCS-OzTL44",ARBOR!$A:$C,3,0)-1,4)))))</f>
        <v/>
      </c>
      <c r="BP45" s="28" t="str">
        <f>IF(ISERROR(IF(BO45="","",VLOOKUP((BC45&amp;BO45&amp;"Template desconto FLAT Plano Principal Oi TV nível conta"),BENEFICIOS!$A:$G,5,0))),"Criar",IF(BO45="","",VLOOKUP((BC45&amp;BO45&amp;"Template desconto FLAT Plano Principal Oi TV nível conta"),BENEFICIOS!$A:$G,5,0)))</f>
        <v/>
      </c>
      <c r="BQ45" s="8"/>
      <c r="BR45" s="3" t="str">
        <f>IF(BQ45=0,"",IF(BQ45=VLOOKUP("PCS-OzTL43",ARBOR!$A:$C,3,0),0.0001,IF(BQ45&gt;VLOOKUP("PCS-OzTL43",ARBOR!$A:$C,3,0),"Maior que CAP!",IF((DOLLAR(BQ45+(VLOOKUP("PCS-OzTL43",ARBOR!$A:$C,3,0)*-TRUNC(BQ45/VLOOKUP("PCS-OzTL43",ARBOR!$A:$C,3,0)-1,4)),6))&lt;&gt;(DOLLAR(VLOOKUP("PCS-OzTL43",ARBOR!$A:$C,3,0),6)),-TRUNC(BQ45/VLOOKUP("PCS-OzTL43",ARBOR!$A:$C,3,0)-1,4)+0.0001,-TRUNC(BQ45/VLOOKUP("PCS-OzTL43",ARBOR!$A:$C,3,0)-1,4)))))</f>
        <v/>
      </c>
      <c r="BS45" s="28" t="str">
        <f>IF(ISERROR(IF(BR45="","",VLOOKUP((BC45&amp;BR45&amp;"Template desconto FLAT Plano Principal Oi TV nível conta"),BENEFICIOS!$A:$G,5,0))),"Criar",IF(BR45="","",VLOOKUP((BC45&amp;BR45&amp;"Template desconto FLAT Plano Principal Oi TV nível conta"),BENEFICIOS!$A:$G,5,0)))</f>
        <v/>
      </c>
      <c r="BT45" s="8"/>
      <c r="BU45" s="3" t="str">
        <f>IF(BT45=0,"",IF(BT45=VLOOKUP("PCS-OzTL45",ARBOR!$A:$C,3,0),0.0001,IF(BT45&gt;VLOOKUP("PCS-OzTL45",ARBOR!$A:$C,3,0),"Maior que CAP!",IF((DOLLAR(BT45+(VLOOKUP("PCS-OzTL45",ARBOR!$A:$C,3,0)*-TRUNC(BT45/VLOOKUP("PCS-OzTL45",ARBOR!$A:$C,3,0)-1,4)),6))&lt;&gt;(DOLLAR(VLOOKUP("PCS-OzTL45",ARBOR!$A:$C,3,0),6)),-TRUNC(BT45/VLOOKUP("PCS-OzTL45",ARBOR!$A:$C,3,0)-1,4)+0.0001,-TRUNC(BT45/VLOOKUP("PCS-OzTL45",ARBOR!$A:$C,3,0)-1,4)))))</f>
        <v/>
      </c>
      <c r="BV45" s="28" t="str">
        <f>IF(ISERROR(IF(BU45="","",VLOOKUP((BC45&amp;BU45&amp;"Template desconto FLAT Plano Principal Oi TV nível conta"),BENEFICIOS!$A:$G,5,0))),"Criar",IF(BU45="","",VLOOKUP((BC45&amp;BU45&amp;"Template desconto FLAT Plano Principal Oi TV nível conta"),BENEFICIOS!$A:$G,5,0)))</f>
        <v/>
      </c>
      <c r="BW45" s="8"/>
      <c r="BX45" s="3" t="str">
        <f>IF(BW45=0,"",IF(BW45=VLOOKUP("PCS-OzTL741",ARBOR!$A:$C,3,0),0.0001,IF(BW45&gt;VLOOKUP("PCS-OzTL741",ARBOR!$A:$C,3,0),"Maior que CAP!",IF((DOLLAR(BW45+(VLOOKUP("PCS-OzTL741",ARBOR!$A:$C,3,0)*-TRUNC(BW45/VLOOKUP("PCS-OzTL741",ARBOR!$A:$C,3,0)-1,4)),6))&lt;&gt;(DOLLAR(VLOOKUP("PCS-OzTL741",ARBOR!$A:$C,3,0),6)),-TRUNC(BW45/VLOOKUP("PCS-OzTL741",ARBOR!$A:$C,3,0)-1,4)+0.0001,-TRUNC(BW45/VLOOKUP("PCS-OzTL741",ARBOR!$A:$C,3,0)-1,4)))))</f>
        <v/>
      </c>
      <c r="BY45" s="28" t="str">
        <f>IF(ISERROR(IF(BX45="","",VLOOKUP((BC45&amp;BX45&amp;"Template desconto FLAT Plano Principal Oi TV nível conta"),BENEFICIOS!$A:$G,5,0))),"Criar",IF(BX45="","",VLOOKUP((BC45&amp;BX45&amp;"Template desconto FLAT Plano Principal Oi TV nível conta"),BENEFICIOS!$A:$G,5,0)))</f>
        <v/>
      </c>
      <c r="BZ45" s="8"/>
      <c r="CA45" s="3" t="str">
        <f>IF(BZ45=0,"",IF(BZ45=VLOOKUP("PCS-OzTL744",ARBOR!$A:$C,3,0),0.0001,IF(BZ45&gt;VLOOKUP("PCS-OzTL744",ARBOR!$A:$C,3,0),"Maior que CAP!",IF((DOLLAR(BZ45+(VLOOKUP("PCS-OzTL744",ARBOR!$A:$C,3,0)*-TRUNC(BZ45/VLOOKUP("PCS-OzTL744",ARBOR!$A:$C,3,0)-1,4)),6))&lt;&gt;(DOLLAR(VLOOKUP("PCS-OzTL744",ARBOR!$A:$C,3,0),6)),-TRUNC(BZ45/VLOOKUP("PCS-OzTL744",ARBOR!$A:$C,3,0)-1,4)+0.0001,-TRUNC(BZ45/VLOOKUP("PCS-OzTL744",ARBOR!$A:$C,3,0)-1,4)))))</f>
        <v/>
      </c>
      <c r="CB45" s="28" t="str">
        <f>IF(ISERROR(IF(CA45="","",VLOOKUP(($BC45&amp;CA45&amp;"Template desconto FLAT Plano Principal Oi TV nível conta"),BENEFICIOS!$A:$G,5,0))),"Criar",IF(CA45="","",VLOOKUP(($BC45&amp;CA45&amp;"Template desconto FLAT Plano Principal Oi TV nível conta"),BENEFICIOS!$A:$G,5,0)))</f>
        <v/>
      </c>
      <c r="CC45" s="8"/>
      <c r="CD45" s="3" t="str">
        <f>IF(CC45=0,"",IF(CC45=VLOOKUP("PCS-OzTL743",ARBOR!$A:$C,3,0),0.0001,IF(CC45&gt;VLOOKUP("PCS-OzTL743",ARBOR!$A:$C,3,0),"Maior que CAP!",IF((DOLLAR(CC45+(VLOOKUP("PCS-OzTL743",ARBOR!$A:$C,3,0)*-TRUNC(CC45/VLOOKUP("PCS-OzTL743",ARBOR!$A:$C,3,0)-1,4)),6))&lt;&gt;(DOLLAR(VLOOKUP("PCS-OzTL743",ARBOR!$A:$C,3,0),6)),-TRUNC(CC45/VLOOKUP("PCS-OzTL743",ARBOR!$A:$C,3,0)-1,4)+0.0001,-TRUNC(CC45/VLOOKUP("PCS-OzTL743",ARBOR!$A:$C,3,0)-1,4)))))</f>
        <v/>
      </c>
      <c r="CE45" s="28" t="str">
        <f>IF(ISERROR(IF(CD45="","",VLOOKUP(($BC45&amp;CD45&amp;"Template desconto FLAT Plano Principal Oi TV nível conta"),BENEFICIOS!$A:$G,5,0))),"Criar",IF(CD45="","",VLOOKUP(($BC45&amp;CD45&amp;"Template desconto FLAT Plano Principal Oi TV nível conta"),BENEFICIOS!$A:$G,5,0)))</f>
        <v/>
      </c>
      <c r="CF45" s="8"/>
      <c r="CG45" s="3" t="str">
        <f>IF(CF45=0,"",IF(CF45=VLOOKUP("PCS-OzTL745",ARBOR!$A:$C,3,0),0.0001,IF(CF45&gt;VLOOKUP("PCS-OzTL745",ARBOR!$A:$C,3,0),"Maior que CAP!",IF((DOLLAR(CF45+(VLOOKUP("PCS-OzTL745",ARBOR!$A:$C,3,0)*-TRUNC(CF45/VLOOKUP("PCS-OzTL745",ARBOR!$A:$C,3,0)-1,4)),6))&lt;&gt;(DOLLAR(VLOOKUP("PCS-OzTL745",ARBOR!$A:$C,3,0),6)),-TRUNC(CF45/VLOOKUP("PCS-OzTL745",ARBOR!$A:$C,3,0)-1,4)+0.0001,-TRUNC(CF45/VLOOKUP("PCS-OzTL745",ARBOR!$A:$C,3,0)-1,4)))))</f>
        <v/>
      </c>
      <c r="CH45" s="28" t="str">
        <f>IF(ISERROR(IF(CG45="","",VLOOKUP(($BC45&amp;CG45&amp;"Template desconto FLAT Plano Principal Oi TV nível conta"),BENEFICIOS!$A:$G,5,0))),"Criar",IF(CG45="","",VLOOKUP(($BC45&amp;CG45&amp;"Template desconto FLAT Plano Principal Oi TV nível conta"),BENEFICIOS!$A:$G,5,0)))</f>
        <v/>
      </c>
      <c r="CI45" s="8"/>
      <c r="CJ45" s="3" t="str">
        <f>IF(CI45=0,"",IF(CI45=VLOOKUP("PCS-OzTL42",ARBOR!$A:$C,3,0),0.0001,IF(CI45&gt;VLOOKUP("PCS-OzTL42",ARBOR!$A:$C,3,0),"Maior que CAP!",IF((DOLLAR(CI45+(VLOOKUP("PCS-OzTL42",ARBOR!$A:$C,3,0)*-TRUNC(CI45/VLOOKUP("PCS-OzTL42",ARBOR!$A:$C,3,0)-1,4)),6))&lt;&gt;(DOLLAR(VLOOKUP("PCS-OzTL42",ARBOR!$A:$C,3,0),6)),-TRUNC(CI45/VLOOKUP("PCS-OzTL42",ARBOR!$A:$C,3,0)-1,4)+0.0001,-TRUNC(CI45/VLOOKUP("PCS-OzTL42",ARBOR!$A:$C,3,0)-1,4)))))</f>
        <v/>
      </c>
      <c r="CK45" s="28" t="str">
        <f>IF(ISERROR(IF(CJ45="","",VLOOKUP(($BC45&amp;CJ45&amp;"Template desconto FLAT Plano Principal Oi TV nível conta"),BENEFICIOS!$A:$G,5,0))),"Criar",IF(CJ45="","",VLOOKUP(($BC45&amp;CJ45&amp;"Template desconto FLAT Plano Principal Oi TV nível conta"),BENEFICIOS!$A:$G,5,0)))</f>
        <v/>
      </c>
      <c r="CL45" s="8"/>
      <c r="CM45" s="3" t="str">
        <f>IF(CL45=0,"",IF(CL45=VLOOKUP("PCS-OzTL47",ARBOR!$A:$C,3,0),0.0001,IF(CL45&gt;VLOOKUP("PCS-OzTL47",ARBOR!$A:$C,3,0),"Maior que CAP!",IF((DOLLAR(CL45+(VLOOKUP("PCS-OzTL47",ARBOR!$A:$C,3,0)*-TRUNC(CL45/VLOOKUP("PCS-OzTL47",ARBOR!$A:$C,3,0)-1,4)),6))&lt;&gt;(DOLLAR(VLOOKUP("PCS-OzTL47",ARBOR!$A:$C,3,0),6)),-TRUNC(CL45/VLOOKUP("PCS-OzTL47",ARBOR!$A:$C,3,0)-1,4)+0.0001,-TRUNC(CL45/VLOOKUP("PCS-OzTL47",ARBOR!$A:$C,3,0)-1,4)))))</f>
        <v/>
      </c>
      <c r="CN45" s="28" t="str">
        <f>IF(ISERROR(IF(CM45="","",VLOOKUP(($BC45&amp;CM45&amp;"Template desconto FLAT Plano Principal Oi TV nível conta"),BENEFICIOS!$A:$G,5,0))),"Criar",IF(CM45="","",VLOOKUP(($BC45&amp;CM45&amp;"Template desconto FLAT Plano Principal Oi TV nível conta"),BENEFICIOS!$A:$G,5,0)))</f>
        <v/>
      </c>
      <c r="CO45" s="8"/>
      <c r="CP45" s="3" t="str">
        <f>IF(CO45=0,"",IF(CO45=VLOOKUP("PCS-OzTL46",ARBOR!$A:$C,3,0),0.0001,IF(CO45&gt;VLOOKUP("PCS-OzTL46",ARBOR!$A:$C,3,0),"Maior que CAP!",IF((DOLLAR(CO45+(VLOOKUP("PCS-OzTL46",ARBOR!$A:$C,3,0)*-TRUNC(CO45/VLOOKUP("PCS-OzTL46",ARBOR!$A:$C,3,0)-1,4)),6))&lt;&gt;(DOLLAR(VLOOKUP("PCS-OzTL46",ARBOR!$A:$C,3,0),6)),-TRUNC(CO45/VLOOKUP("PCS-OzTL46",ARBOR!$A:$C,3,0)-1,4)+0.0001,-TRUNC(CO45/VLOOKUP("PCS-OzTL46",ARBOR!$A:$C,3,0)-1,4)))))</f>
        <v/>
      </c>
      <c r="CQ45" s="28" t="str">
        <f>IF(ISERROR(IF(CP45="","",VLOOKUP(($BC45&amp;CP45&amp;"Template desconto FLAT Plano Principal Oi TV nível conta"),BENEFICIOS!$A:$G,5,0))),"Criar",IF(CP45="","",VLOOKUP(($BC45&amp;CP45&amp;"Template desconto FLAT Plano Principal Oi TV nível conta"),BENEFICIOS!$A:$G,5,0)))</f>
        <v/>
      </c>
      <c r="CR45" s="8"/>
      <c r="CS45" s="3" t="str">
        <f>IF(CR45=0,"",IF(CR45=VLOOKUP("PCS-OzTL48",ARBOR!$A:$C,3,0),0.0001,IF(CR45&gt;VLOOKUP("PCS-OzTL48",ARBOR!$A:$C,3,0),"Maior que CAP!",IF((DOLLAR(CR45+(VLOOKUP("PCS-OzTL48",ARBOR!$A:$C,3,0)*-TRUNC(CR45/VLOOKUP("PCS-OzTL48",ARBOR!$A:$C,3,0)-1,4)),6))&lt;&gt;(DOLLAR(VLOOKUP("PCS-OzTL48",ARBOR!$A:$C,3,0),6)),-TRUNC(CR45/VLOOKUP("PCS-OzTL48",ARBOR!$A:$C,3,0)-1,4)+0.0001,-TRUNC(CR45/VLOOKUP("PCS-OzTL48",ARBOR!$A:$C,3,0)-1,4)))))</f>
        <v/>
      </c>
      <c r="CT45" s="28" t="str">
        <f>IF(ISERROR(IF(CS45="","",VLOOKUP(($BC45&amp;CS45&amp;"Template desconto FLAT Plano Principal Oi TV nível conta"),BENEFICIOS!$A:$G,5,0))),"Criar",IF(CS45="","",VLOOKUP(($BC45&amp;CS45&amp;"Template desconto FLAT Plano Principal Oi TV nível conta"),BENEFICIOS!$A:$G,5,0)))</f>
        <v/>
      </c>
      <c r="CU45" s="8"/>
      <c r="CV45" s="3" t="str">
        <f>IF(CU45=0,"",IF(CU45=VLOOKUP("PCS-OzTL742",ARBOR!$A:$C,3,0),0.0001,IF(CU45&gt;VLOOKUP("PCS-OzTL742",ARBOR!$A:$C,3,0),"Maior que CAP!",IF((DOLLAR(CU45+(VLOOKUP("PCS-OzTL742",ARBOR!$A:$C,3,0)*-TRUNC(CU45/VLOOKUP("PCS-OzTL742",ARBOR!$A:$C,3,0)-1,4)),6))&lt;&gt;(DOLLAR(VLOOKUP("PCS-OzTL742",ARBOR!$A:$C,3,0),6)),-TRUNC(CU45/VLOOKUP("PCS-OzTL742",ARBOR!$A:$C,3,0)-1,4)+0.0001,-TRUNC(CU45/VLOOKUP("PCS-OzTL742",ARBOR!$A:$C,3,0)-1,4)))))</f>
        <v/>
      </c>
      <c r="CW45" s="28" t="str">
        <f>IF(ISERROR(IF(CV45="","",VLOOKUP(($BC45&amp;CV45&amp;"Template desconto FLAT Plano Principal Oi TV nível conta"),BENEFICIOS!$A:$G,5,0))),"Criar",IF(CV45="","",VLOOKUP(($BC45&amp;CV45&amp;"Template desconto FLAT Plano Principal Oi TV nível conta"),BENEFICIOS!$A:$G,5,0)))</f>
        <v/>
      </c>
      <c r="CX45" s="8"/>
      <c r="CY45" s="3" t="str">
        <f>IF(CX45=0,"",IF(CX45=VLOOKUP("PCS-OzTL747",ARBOR!$A:$C,3,0),0.0001,IF(CX45&gt;VLOOKUP("PCS-OzTL747",ARBOR!$A:$C,3,0),"Maior que CAP!",IF((DOLLAR(CX45+(VLOOKUP("PCS-OzTL747",ARBOR!$A:$C,3,0)*-TRUNC(CX45/VLOOKUP("PCS-OzTL747",ARBOR!$A:$C,3,0)-1,4)),6))&lt;&gt;(DOLLAR(VLOOKUP("PCS-OzTL747",ARBOR!$A:$C,3,0),6)),-TRUNC(CX45/VLOOKUP("PCS-OzTL747",ARBOR!$A:$C,3,0)-1,4)+0.0001,-TRUNC(CX45/VLOOKUP("PCS-OzTL747",ARBOR!$A:$C,3,0)-1,4)))))</f>
        <v/>
      </c>
      <c r="CZ45" s="28" t="str">
        <f>IF(ISERROR(IF(CY45="","",VLOOKUP(($BC45&amp;CY45&amp;"Template desconto FLAT Plano Principal Oi TV nível conta"),BENEFICIOS!$A:$G,5,0))),"Criar",IF(CY45="","",VLOOKUP(($BC45&amp;CY45&amp;"Template desconto FLAT Plano Principal Oi TV nível conta"),BENEFICIOS!$A:$G,5,0)))</f>
        <v/>
      </c>
      <c r="DA45" s="8"/>
      <c r="DB45" s="3" t="str">
        <f>IF(DA45=0,"",IF(DA45=VLOOKUP("PCS-OzTL746",ARBOR!$A:$C,3,0),0.0001,IF(DA45&gt;VLOOKUP("PCS-OzTL746",ARBOR!$A:$C,3,0),"Maior que CAP!",IF((DOLLAR(DA45+(VLOOKUP("PCS-OzTL746",ARBOR!$A:$C,3,0)*-TRUNC(DA45/VLOOKUP("PCS-OzTL746",ARBOR!$A:$C,3,0)-1,4)),6))&lt;&gt;(DOLLAR(VLOOKUP("PCS-OzTL746",ARBOR!$A:$C,3,0),6)),-TRUNC(DA45/VLOOKUP("PCS-OzTL746",ARBOR!$A:$C,3,0)-1,4)+0.0001,-TRUNC(DA45/VLOOKUP("PCS-OzTL746",ARBOR!$A:$C,3,0)-1,4)))))</f>
        <v/>
      </c>
      <c r="DC45" s="28" t="str">
        <f>IF(ISERROR(IF(DB45="","",VLOOKUP(($BC45&amp;DB45&amp;"Template desconto FLAT Plano Principal Oi TV nível conta"),BENEFICIOS!$A:$G,5,0))),"Criar",IF(DB45="","",VLOOKUP(($BC45&amp;DB45&amp;"Template desconto FLAT Plano Principal Oi TV nível conta"),BENEFICIOS!$A:$G,5,0)))</f>
        <v/>
      </c>
      <c r="DD45" s="8"/>
      <c r="DE45" s="3" t="str">
        <f>IF(DD45=0,"",IF(DD45=VLOOKUP("PCS-OzTL748",ARBOR!$A:$C,3,0),0.0001,IF(DD45&gt;VLOOKUP("PCS-OzTL748",ARBOR!$A:$C,3,0),"Maior que CAP!",IF((DOLLAR(DD45+(VLOOKUP("PCS-OzTL748",ARBOR!$A:$C,3,0)*-TRUNC(DD45/VLOOKUP("PCS-OzTL748",ARBOR!$A:$C,3,0)-1,4)),6))&lt;&gt;(DOLLAR(VLOOKUP("PCS-OzTL748",ARBOR!$A:$C,3,0),6)),-TRUNC(DD45/VLOOKUP("PCS-OzTL748",ARBOR!$A:$C,3,0)-1,4)+0.0001,-TRUNC(DD45/VLOOKUP("PCS-OzTL748",ARBOR!$A:$C,3,0)-1,4)))))</f>
        <v/>
      </c>
      <c r="DF45" s="28" t="str">
        <f>IF(ISERROR(IF(DE45="","",VLOOKUP(($BC45&amp;DE45&amp;"Template desconto FLAT Plano Principal Oi TV nível conta"),BENEFICIOS!$A:$G,5,0))),"Criar",IF(DE45="","",VLOOKUP(($BC45&amp;DE45&amp;"Template desconto FLAT Plano Principal Oi TV nível conta"),BENEFICIOS!$A:$G,5,0)))</f>
        <v/>
      </c>
      <c r="DG45" s="8"/>
      <c r="DH45" s="3" t="str">
        <f>IF(DG45=0,"",IF(DG45=VLOOKUP("PCS-OzTL34",ARBOR!$A:$C,3,0),0.0001,IF(DG45&gt;VLOOKUP("PCS-OzTL34",ARBOR!$A:$C,3,0),"Maior que CAP!",IF((DOLLAR(DG45+(VLOOKUP("PCS-OzTL34",ARBOR!$A:$C,3,0)*-TRUNC(DG45/VLOOKUP("PCS-OzTL34",ARBOR!$A:$C,3,0)-1,4)),6))&lt;&gt;(DOLLAR(VLOOKUP("PCS-OzTL34",ARBOR!$A:$C,3,0),6)),-TRUNC(DG45/VLOOKUP("PCS-OzTL34",ARBOR!$A:$C,3,0)-1,4)+0.0001,-TRUNC(DG45/VLOOKUP("PCS-OzTL34",ARBOR!$A:$C,3,0)-1,4)))))</f>
        <v/>
      </c>
      <c r="DI45" s="28" t="str">
        <f>IF(DH45="S/Desc","S/Desc",IF(ISERROR(IF(DH45="","",VLOOKUP(($BC45&amp;DH45&amp;"Template desconto % Combate nível conta"),BENEFICIOS!$A:$G,5,0))),"Criar",IF(DH45="","",VLOOKUP(($BC45&amp;DH45&amp;"Template desconto % Combate nível conta"),BENEFICIOS!$A:$G,5,0))))</f>
        <v/>
      </c>
      <c r="DJ45" s="8"/>
      <c r="DK45" s="3" t="str">
        <f>IF(DJ45=0,"",IF(DJ45=VLOOKUP("PCS-OzTL31",ARBOR!$A:$C,3,0),0.0001,IF(DJ45&gt;VLOOKUP("PCS-OzTL31",ARBOR!$A:$C,3,0),"Maior que CAP!",IF((DOLLAR(DJ45+(VLOOKUP("PCS-OzTL31",ARBOR!$A:$C,3,0)*-TRUNC(DJ45/VLOOKUP("PCS-OzTL31",ARBOR!$A:$C,3,0)-1,4)),6))&lt;&gt;(DOLLAR(VLOOKUP("PCS-OzTL31",ARBOR!$A:$C,3,0),6)),-TRUNC(DJ45/VLOOKUP("PCS-OzTL31",ARBOR!$A:$C,3,0)-1,4)+0.0001,-TRUNC(DJ45/VLOOKUP("PCS-OzTL31",ARBOR!$A:$C,3,0)-1,4)))))</f>
        <v/>
      </c>
      <c r="DL45" s="28" t="str">
        <f>IF(DK45="S/Desc","S/Desc",IF(ISERROR(IF(DK45="","",VLOOKUP(($BC45&amp;DK45&amp;"Template desconto % Sexy Hot nível conta"),BENEFICIOS!$A:$G,5,0))),"Criar",IF(DK45="","",VLOOKUP(($BC45&amp;DK45&amp;"Template desconto % Sexy Hot nível conta"),BENEFICIOS!$A:$G,5,0))))</f>
        <v/>
      </c>
      <c r="DM45" s="8"/>
      <c r="DN45" s="3" t="str">
        <f>IF(DM45=0,"",IF(DM45=VLOOKUP("PCS-OzTL32",ARBOR!$A:$C,3,0),0.0001,IF(DM45&gt;VLOOKUP("PCS-OzTL32",ARBOR!$A:$C,3,0),"Maior que CAP!",IF((DOLLAR(DM45+(VLOOKUP("PCS-OzTL32",ARBOR!$A:$C,3,0)*-TRUNC(DM45/VLOOKUP("PCS-OzTL32",ARBOR!$A:$C,3,0)-1,4)),6))&lt;&gt;(DOLLAR(VLOOKUP("PCS-OzTL32",ARBOR!$A:$C,3,0),6)),-TRUNC(DM45/VLOOKUP("PCS-OzTL32",ARBOR!$A:$C,3,0)-1,4)+0.0001,-TRUNC(DM45/VLOOKUP("PCS-OzTL32",ARBOR!$A:$C,3,0)-1,4)))))</f>
        <v/>
      </c>
      <c r="DO45" s="28" t="str">
        <f>IF(DN45="S/Desc","S/Desc",IF(ISERROR(IF(DN45="","",VLOOKUP(($BC45&amp;DN45&amp;"Template desconto % Playboy nível conta"),BENEFICIOS!$A:$G,5,0))),"Criar",IF(DN45="","",VLOOKUP(($BC45&amp;DN45&amp;"Template desconto % Playboy nível conta"),BENEFICIOS!$A:$G,5,0))))</f>
        <v/>
      </c>
      <c r="DP45" s="8"/>
      <c r="DQ45" s="3" t="str">
        <f>IF(DP45=0,"",IF(DP45=VLOOKUP("PCS-OzTL33",ARBOR!$A:$C,3,0),0.0001,IF(DP45&gt;VLOOKUP("PCS-OzTL33",ARBOR!$A:$C,3,0),"Maior que CAP!",IF((DOLLAR(DP45+(VLOOKUP("PCS-OzTL33",ARBOR!$A:$C,3,0)*-TRUNC(DP45/VLOOKUP("PCS-OzTL33",ARBOR!$A:$C,3,0)-1,4)),6))&lt;&gt;(DOLLAR(VLOOKUP("PCS-OzTL33",ARBOR!$A:$C,3,0),6)),-TRUNC(DP45/VLOOKUP("PCS-OzTL33",ARBOR!$A:$C,3,0)-1,4)+0.0001,-TRUNC(DP45/VLOOKUP("PCS-OzTL33",ARBOR!$A:$C,3,0)-1,4)))))</f>
        <v/>
      </c>
      <c r="DR45" s="28" t="str">
        <f>IF(DQ45="S/Desc","S/Desc",IF(ISERROR(IF(DQ45="","",VLOOKUP(($BC45&amp;DQ45&amp;"Template desconto % Sexy Hot + Playboy nível conta"),BENEFICIOS!$A:$G,5,0))),"Criar",IF(DQ45="","",VLOOKUP(($BC45&amp;DQ45&amp;"Template desconto % Sexy Hot + Playboy nível conta"),BENEFICIOS!$A:$G,5,0))))</f>
        <v/>
      </c>
      <c r="DS45" s="8"/>
      <c r="DT45" s="3" t="str">
        <f>IF(DS45=0,"",IF(DS45=VLOOKUP("PCS-OzTL503",ARBOR!$A:$C,3,0),0.0001,IF(DS45&gt;VLOOKUP("PCS-OzTL503",ARBOR!$A:$C,3,0),"Maior que CAP!",IF((DOLLAR(DS45+(VLOOKUP("PCS-OzTL503",ARBOR!$A:$C,3,0)*-TRUNC(DS45/VLOOKUP("PCS-OzTL503",ARBOR!$A:$C,3,0)-1,4)),6))&lt;&gt;(DOLLAR(VLOOKUP("PCS-OzTL503",ARBOR!$A:$C,3,0),6)),-TRUNC(DS45/VLOOKUP("PCS-OzTL503",ARBOR!$A:$C,3,0)-1,4)+0.0001,-TRUNC(DS45/VLOOKUP("PCS-OzTL503",ARBOR!$A:$C,3,0)-1,4)))))</f>
        <v/>
      </c>
      <c r="DU45" s="28" t="str">
        <f>IF(DT45="S/Desc","S/Desc",IF(ISERROR(IF(DT45="","",VLOOKUP(($BC45&amp;DT45&amp;"Template desconto % SexPrivê nível conta"),BENEFICIOS!$A:$G,5,0))),"Criar",IF(DT45="","",VLOOKUP(($BC45&amp;DT45&amp;"Template desconto % SexPrivê nível conta"),BENEFICIOS!$A:$G,5,0))))</f>
        <v/>
      </c>
      <c r="DV45" s="8"/>
      <c r="DW45" s="3" t="str">
        <f>IF(DV45=0,"",IF(DV45=VLOOKUP("PCS-OzTL500",ARBOR!$A:$C,3,0),0.0001,IF(DV45&gt;VLOOKUP("PCS-OzTL500",ARBOR!$A:$C,3,0),"Maior que CAP!",IF((DOLLAR(DV45+(VLOOKUP("PCS-OzTL500",ARBOR!$A:$C,3,0)*-TRUNC(DV45/VLOOKUP("PCS-OzTL500",ARBOR!$A:$C,3,0)-1,4)),6))&lt;&gt;(DOLLAR(VLOOKUP("PCS-OzTL500",ARBOR!$A:$C,3,0),6)),-TRUNC(DV45/VLOOKUP("PCS-OzTL500",ARBOR!$A:$C,3,0)-1,4)+0.0001,-TRUNC(DV45/VLOOKUP("PCS-OzTL500",ARBOR!$A:$C,3,0)-1,4)))))</f>
        <v/>
      </c>
      <c r="DX45" s="28" t="str">
        <f>IF(DW45="S/Desc","S/Desc",IF(ISERROR(IF(DW45="","",VLOOKUP(($BC45&amp;DW45&amp;"Template desconto % Étnico nível conta"),BENEFICIOS!$A:$G,5,0))),"Criar",IF(DW45="","",VLOOKUP(($BC45&amp;DW45&amp;"Template desconto % Étnico nível conta"),BENEFICIOS!$A:$G,5,0))))</f>
        <v/>
      </c>
      <c r="DY45" s="8"/>
      <c r="DZ45" s="181" t="str">
        <f>IF(DY45=0,"",IF(DY45=VLOOKUP("PCS-OzTL50",ARBOR!$A:$C,3,0),0.0001,IF(DY45&gt;VLOOKUP("PCS-OzTL50",ARBOR!$A:$C,3,0),"Maior que CAP!",IF((DOLLAR(DY45+(VLOOKUP("PCS-OzTL50",ARBOR!$A:$C,3,0)*-TRUNC(DY45/VLOOKUP("PCS-OzTL50",ARBOR!$A:$C,3,0)-1,4)),6))&lt;&gt;(DOLLAR(VLOOKUP("PCS-OzTL50",ARBOR!$A:$C,3,0),6)),-TRUNC(DY45/VLOOKUP("PCS-OzTL50",ARBOR!$A:$C,3,0)-1,4)+0.0001,-TRUNC(DY45/VLOOKUP("PCS-OzTL50",ARBOR!$A:$C,3,0)-1,4)))))</f>
        <v/>
      </c>
      <c r="EA45" s="28"/>
      <c r="EB45" s="8"/>
      <c r="EC45" s="181" t="str">
        <f>IF(EB45=0,"",IF(EB45=VLOOKUP("PCS-OzTL51",ARBOR!$A:$C,3,0),0.0001,IF(EB45&gt;VLOOKUP("PCS-OzTL51",ARBOR!$A:$C,3,0),"Maior que CAP!",IF((DOLLAR(EB45+(VLOOKUP("PCS-OzTL51",ARBOR!$A:$C,3,0)*-TRUNC(EB45/VLOOKUP("PCS-OzTL51",ARBOR!$A:$C,3,0)-1,4)),6))&lt;&gt;(DOLLAR(VLOOKUP("PCS-OzTL51",ARBOR!$A:$C,3,0),6)),-TRUNC(EB45/VLOOKUP("PCS-OzTL51",ARBOR!$A:$C,3,0)-1,4)+0.0001,-TRUNC(EB45/VLOOKUP("PCS-OzTL51",ARBOR!$A:$C,3,0)-1,4)))))</f>
        <v/>
      </c>
      <c r="ED45" s="28"/>
      <c r="EE45" s="8"/>
      <c r="EF45" s="181" t="str">
        <f>IF(EE45=0,"",IF(EE45=VLOOKUP("PCS-OzTL52",ARBOR!$A:$C,3,0),0.0001,IF(EE45&gt;VLOOKUP("PCS-OzTL52",ARBOR!$A:$C,3,0),"Maior que CAP!",IF((DOLLAR(EE45+(VLOOKUP("PCS-OzTL52",ARBOR!$A:$C,3,0)*-TRUNC(EE45/VLOOKUP("PCS-OzTL52",ARBOR!$A:$C,3,0)-1,4)),6))&lt;&gt;(DOLLAR(VLOOKUP("PCS-OzTL52",ARBOR!$A:$C,3,0),6)),-TRUNC(EE45/VLOOKUP("PCS-OzTL52",ARBOR!$A:$C,3,0)-1,4)+0.0001,-TRUNC(EE45/VLOOKUP("PCS-OzTL52",ARBOR!$A:$C,3,0)-1,4)))))</f>
        <v/>
      </c>
      <c r="EG45" s="28"/>
      <c r="EH45" s="8"/>
      <c r="EI45" s="181" t="str">
        <f>IF(EH45=0,"",IF(EH45=VLOOKUP("PCS-OzTL53",ARBOR!$A:$C,3,0),0.0001,IF(EH45&gt;VLOOKUP("PCS-OzTL53",ARBOR!$A:$C,3,0),"Maior que CAP!",IF((DOLLAR(EH45+(VLOOKUP("PCS-OzTL53",ARBOR!$A:$C,3,0)*-TRUNC(EH45/VLOOKUP("PCS-OzTL53",ARBOR!$A:$C,3,0)-1,4)),6))&lt;&gt;(DOLLAR(VLOOKUP("PCS-OzTL53",ARBOR!$A:$C,3,0),6)),-TRUNC(EH45/VLOOKUP("PCS-OzTL53",ARBOR!$A:$C,3,0)-1,4)+0.0001,-TRUNC(EH45/VLOOKUP("PCS-OzTL53",ARBOR!$A:$C,3,0)-1,4)))))</f>
        <v/>
      </c>
      <c r="EJ45" s="28"/>
      <c r="EK45" s="8"/>
      <c r="EL45" s="181" t="str">
        <f>IF(EK45=0,"",IF(EK45=VLOOKUP("PCS-OzTL54",ARBOR!$A:$C,3,0),0.0001,IF(EK45&gt;VLOOKUP("PCS-OzTL54",ARBOR!$A:$C,3,0),"Maior que CAP!",IF((DOLLAR(EK45+(VLOOKUP("PCS-OzTL54",ARBOR!$A:$C,3,0)*-TRUNC(EK45/VLOOKUP("PCS-OzTL54",ARBOR!$A:$C,3,0)-1,4)),6))&lt;&gt;(DOLLAR(VLOOKUP("PCS-OzTL54",ARBOR!$A:$C,3,0),6)),-TRUNC(EK45/VLOOKUP("PCS-OzTL54",ARBOR!$A:$C,3,0)-1,4)+0.0001,-TRUNC(EK45/VLOOKUP("PCS-OzTL54",ARBOR!$A:$C,3,0)-1,4)))))</f>
        <v/>
      </c>
      <c r="EM45" s="28"/>
      <c r="EN45" s="8"/>
      <c r="EO45" s="3" t="str">
        <f>IF(EN45=0,"",IF(EN45=VLOOKUP("PCS-OzTL99",ARBOR!$A:$C,3,0),0.0001,IF(EN45&gt;VLOOKUP("PCS-OzTL99",ARBOR!$A:$C,3,0),"Maior que CAP!",IF((DOLLAR(EN45+(VLOOKUP("PCS-OzTL99",ARBOR!$A:$C,3,0)*-TRUNC(EN45/VLOOKUP("PCS-OzTL99",ARBOR!$A:$C,3,0)-1,4)),6))&lt;&gt;(DOLLAR(VLOOKUP("PCS-OzTL99",ARBOR!$A:$C,3,0),6)),-TRUNC(EN45/VLOOKUP("PCS-OzTL99",ARBOR!$A:$C,3,0)-1,4)+0.0001,-TRUNC(EN45/VLOOKUP("PCS-OzTL99",ARBOR!$A:$C,3,0)-1,4)))))</f>
        <v/>
      </c>
      <c r="EP45" s="28" t="str">
        <f>IF(EO45="S/Desc","S/Desc",IF(ISERROR(IF(EO45="","",VLOOKUP(($BC45&amp;EO45&amp;"Template desconto % Ponto adicional nível conta"),BENEFICIOS!$A:$G,5,0))),"Criar",IF(EO45="","",VLOOKUP(($BC45&amp;EO45&amp;"Template desconto % Ponto adicional nível conta"),BENEFICIOS!$A:$G,5,0))))</f>
        <v/>
      </c>
      <c r="EQ45" s="8"/>
      <c r="ER45" s="28" t="str">
        <f t="shared" si="23"/>
        <v/>
      </c>
      <c r="ES45" s="62"/>
      <c r="ET45" s="126"/>
      <c r="EU45" s="127"/>
      <c r="EV45" s="126"/>
      <c r="EW45" s="128" t="str">
        <f t="shared" si="24"/>
        <v/>
      </c>
      <c r="EX45" s="129" t="str">
        <f t="shared" si="25"/>
        <v/>
      </c>
      <c r="EY45" s="91" t="str">
        <f t="shared" si="26"/>
        <v/>
      </c>
      <c r="EZ45" s="85"/>
      <c r="FA45" s="97"/>
      <c r="FB45" s="91"/>
      <c r="FC45" s="85"/>
      <c r="FD45" s="97"/>
      <c r="FE45" s="91"/>
      <c r="FF45" s="87"/>
      <c r="FG45" s="144" t="str">
        <f t="shared" si="5"/>
        <v/>
      </c>
      <c r="FH45" s="144" t="str">
        <f t="shared" si="6"/>
        <v/>
      </c>
      <c r="FI45" s="144" t="str">
        <f t="shared" si="7"/>
        <v/>
      </c>
      <c r="FJ45" s="144" t="str">
        <f t="shared" si="8"/>
        <v/>
      </c>
      <c r="FK45" s="144" t="str">
        <f t="shared" si="9"/>
        <v/>
      </c>
      <c r="FL45" s="144" t="str">
        <f t="shared" si="10"/>
        <v/>
      </c>
      <c r="FM45" s="144" t="str">
        <f t="shared" si="11"/>
        <v/>
      </c>
      <c r="FN45" s="144" t="str">
        <f t="shared" si="12"/>
        <v/>
      </c>
      <c r="FO45" s="144" t="str">
        <f t="shared" si="13"/>
        <v/>
      </c>
      <c r="FP45" s="144" t="str">
        <f t="shared" si="14"/>
        <v/>
      </c>
      <c r="FQ45" s="144" t="str">
        <f t="shared" si="15"/>
        <v/>
      </c>
      <c r="FR45" s="144" t="str">
        <f t="shared" si="16"/>
        <v/>
      </c>
      <c r="FS45" s="144" t="str">
        <f t="shared" si="17"/>
        <v/>
      </c>
      <c r="FT45" s="144" t="str">
        <f t="shared" si="18"/>
        <v/>
      </c>
      <c r="FU45" s="144" t="str">
        <f t="shared" si="19"/>
        <v/>
      </c>
      <c r="FV45" s="144" t="str">
        <f t="shared" si="20"/>
        <v/>
      </c>
      <c r="FW45" s="144" t="str">
        <f t="shared" si="21"/>
        <v/>
      </c>
      <c r="FX45" s="151"/>
      <c r="FY45" s="152"/>
      <c r="FZ45" s="152"/>
      <c r="GA45" s="152"/>
      <c r="GB45" s="152"/>
      <c r="GC45" s="152"/>
      <c r="GD45" s="152"/>
      <c r="GE45" s="152"/>
      <c r="GF45" s="152"/>
      <c r="GG45" s="153"/>
    </row>
    <row r="46" spans="1:189">
      <c r="A46" s="45"/>
      <c r="B46" s="133"/>
      <c r="C46" s="133"/>
      <c r="D46" s="46"/>
      <c r="E46" s="4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9"/>
      <c r="U46" s="48"/>
      <c r="V46" s="49"/>
      <c r="W46" s="48"/>
      <c r="X46" s="48"/>
      <c r="Y46" s="48"/>
      <c r="Z46" s="48"/>
      <c r="AA46" s="49"/>
      <c r="AB46" s="48"/>
      <c r="AC46" s="50"/>
      <c r="AD46" s="48"/>
      <c r="AE46" s="48"/>
      <c r="AF46" s="48"/>
      <c r="AG46" s="48"/>
      <c r="AH46" s="48"/>
      <c r="AI46" s="48"/>
      <c r="AJ46" s="48"/>
      <c r="AK46" s="48"/>
      <c r="AL46" s="51"/>
      <c r="AM46" s="37"/>
      <c r="AN46" s="38"/>
      <c r="AO46" s="39"/>
      <c r="AP46" s="52"/>
      <c r="AQ46" s="53"/>
      <c r="AR46" s="64"/>
      <c r="AS46" s="65"/>
      <c r="AT46" s="54"/>
      <c r="AU46" s="54"/>
      <c r="AV46" s="54"/>
      <c r="AW46" s="54"/>
      <c r="AX46" s="70"/>
      <c r="AY46" s="71"/>
      <c r="AZ46" s="72"/>
      <c r="BA46" s="73"/>
      <c r="BB46" s="55"/>
      <c r="BC46" s="56"/>
      <c r="BD46" s="27" t="str">
        <f t="shared" si="22"/>
        <v/>
      </c>
      <c r="BE46" s="58"/>
      <c r="BF46" s="3" t="str">
        <f>IF(BE46=0,"",IF(BE46=VLOOKUP("FIXO",ARBOR!$A:$C,3,0),0.0001,IF(BE46&gt;VLOOKUP("FIXO",ARBOR!$A:$C,3,0),"Maior que CAP!",IF((DOLLAR(BE46+(VLOOKUP("FIXO",ARBOR!$A:$C,3,0)*-TRUNC(BE46/VLOOKUP("FIXO",ARBOR!$A:$C,3,0)-1,4)),6))&lt;&gt;(DOLLAR(VLOOKUP("FIXO",ARBOR!$A:$C,3,0),6)),-TRUNC(BE46/VLOOKUP("FIXO",ARBOR!$A:$C,3,0)-1,4)+0.0001,-TRUNC(BE46/VLOOKUP("FIXO",ARBOR!$A:$C,3,0)-1,4)))))</f>
        <v/>
      </c>
      <c r="BG46" s="10" t="str">
        <f>IF(ISERROR(IF(BF46="","",VLOOKUP(($BC46&amp;BF46&amp;"Template de desconto FLAT bundle - Fixo - Varejo - Ganho Tributário Cross"),BENEFICIOS!$A:$G,5,0))),"Criar",IF(BF46="","",VLOOKUP(($BC46&amp;BF46&amp;"Template de desconto FLAT bundle - Fixo - Varejo - Ganho Tributário Cross"),BENEFICIOS!$A:$G,5,0)))</f>
        <v/>
      </c>
      <c r="BH46" s="8"/>
      <c r="BI46" s="3" t="str">
        <f>IF(BH46=0,"",IF(BH46=VLOOKUP("PCS-OzTL40",ARBOR!$A:$C,3,0),0.0001,IF(BH46&gt;VLOOKUP("PCS-OzTL40",ARBOR!$A:$C,3,0),"Maior que CAP!",IF((DOLLAR(BH46+(VLOOKUP("PCS-OzTL40",ARBOR!$A:$C,3,0)*-TRUNC(BH46/VLOOKUP("PCS-OzTL40",ARBOR!$A:$C,3,0)-1,4)),6))&lt;&gt;(DOLLAR(VLOOKUP("PCS-OzTL40",ARBOR!$A:$C,3,0),6)),-TRUNC(BH46/VLOOKUP("PCS-OzTL40",ARBOR!$A:$C,3,0)-1,4)+0.0001,-TRUNC(BH46/VLOOKUP("PCS-OzTL40",ARBOR!$A:$C,3,0)-1,4)))))</f>
        <v/>
      </c>
      <c r="BJ46" s="10" t="str">
        <f>IF(ISERROR(IF(BI46="","",VLOOKUP((BC46&amp;BI46&amp;"Template desconto FLAT Plano Principal Oi TV nível conta"),BENEFICIOS!$A:$G,5,0))),"Criar",IF(BI46="","",VLOOKUP((BC46&amp;BI46&amp;"Template desconto FLAT Plano Principal Oi TV nível conta"),BENEFICIOS!$A:$G,5,0)))</f>
        <v/>
      </c>
      <c r="BK46" s="8"/>
      <c r="BL46" s="3" t="str">
        <f>IF(BK46=0,"",IF(BK46=VLOOKUP("PCS-OzTL41",ARBOR!$A:$C,3,0),0.0001,IF(BK46&gt;VLOOKUP("PCS-OzTL41",ARBOR!$A:$C,3,0),"Maior que CAP!",IF((DOLLAR(BK46+(VLOOKUP("PCS-OzTL41",ARBOR!$A:$C,3,0)*-TRUNC(BK46/VLOOKUP("PCS-OzTL41",ARBOR!$A:$C,3,0)-1,4)),6))&lt;&gt;(DOLLAR(VLOOKUP("PCS-OzTL41",ARBOR!$A:$C,3,0),6)),-TRUNC(BK46/VLOOKUP("PCS-OzTL41",ARBOR!$A:$C,3,0)-1,4)+0.0001,-TRUNC(BK46/VLOOKUP("PCS-OzTL41",ARBOR!$A:$C,3,0)-1,4)))))</f>
        <v/>
      </c>
      <c r="BM46" s="28" t="str">
        <f>IF(ISERROR(IF(BL46="","",VLOOKUP((BC46&amp;BL46&amp;"Template desconto FLAT Plano Principal Oi TV nível conta"),BENEFICIOS!$A:$G,5,0))),"Criar",IF(BL46="","",VLOOKUP((BC46&amp;BL46&amp;"Template desconto FLAT Plano Principal Oi TV nível conta"),BENEFICIOS!$A:$G,5,0)))</f>
        <v/>
      </c>
      <c r="BN46" s="8"/>
      <c r="BO46" s="3" t="str">
        <f>IF(BN46=0,"",IF(BN46=VLOOKUP("PCS-OzTL44",ARBOR!$A:$C,3,0),0.0001,IF(BN46&gt;VLOOKUP("PCS-OzTL44",ARBOR!$A:$C,3,0),"Maior que CAP!",IF((DOLLAR(BN46+(VLOOKUP("PCS-OzTL44",ARBOR!$A:$C,3,0)*-TRUNC(BN46/VLOOKUP("PCS-OzTL44",ARBOR!$A:$C,3,0)-1,4)),6))&lt;&gt;(DOLLAR(VLOOKUP("PCS-OzTL44",ARBOR!$A:$C,3,0),6)),-TRUNC(BN46/VLOOKUP("PCS-OzTL44",ARBOR!$A:$C,3,0)-1,4)+0.0001,-TRUNC(BN46/VLOOKUP("PCS-OzTL44",ARBOR!$A:$C,3,0)-1,4)))))</f>
        <v/>
      </c>
      <c r="BP46" s="28" t="str">
        <f>IF(ISERROR(IF(BO46="","",VLOOKUP((BC46&amp;BO46&amp;"Template desconto FLAT Plano Principal Oi TV nível conta"),BENEFICIOS!$A:$G,5,0))),"Criar",IF(BO46="","",VLOOKUP((BC46&amp;BO46&amp;"Template desconto FLAT Plano Principal Oi TV nível conta"),BENEFICIOS!$A:$G,5,0)))</f>
        <v/>
      </c>
      <c r="BQ46" s="8"/>
      <c r="BR46" s="3" t="str">
        <f>IF(BQ46=0,"",IF(BQ46=VLOOKUP("PCS-OzTL43",ARBOR!$A:$C,3,0),0.0001,IF(BQ46&gt;VLOOKUP("PCS-OzTL43",ARBOR!$A:$C,3,0),"Maior que CAP!",IF((DOLLAR(BQ46+(VLOOKUP("PCS-OzTL43",ARBOR!$A:$C,3,0)*-TRUNC(BQ46/VLOOKUP("PCS-OzTL43",ARBOR!$A:$C,3,0)-1,4)),6))&lt;&gt;(DOLLAR(VLOOKUP("PCS-OzTL43",ARBOR!$A:$C,3,0),6)),-TRUNC(BQ46/VLOOKUP("PCS-OzTL43",ARBOR!$A:$C,3,0)-1,4)+0.0001,-TRUNC(BQ46/VLOOKUP("PCS-OzTL43",ARBOR!$A:$C,3,0)-1,4)))))</f>
        <v/>
      </c>
      <c r="BS46" s="28" t="str">
        <f>IF(ISERROR(IF(BR46="","",VLOOKUP((BC46&amp;BR46&amp;"Template desconto FLAT Plano Principal Oi TV nível conta"),BENEFICIOS!$A:$G,5,0))),"Criar",IF(BR46="","",VLOOKUP((BC46&amp;BR46&amp;"Template desconto FLAT Plano Principal Oi TV nível conta"),BENEFICIOS!$A:$G,5,0)))</f>
        <v/>
      </c>
      <c r="BT46" s="8"/>
      <c r="BU46" s="3" t="str">
        <f>IF(BT46=0,"",IF(BT46=VLOOKUP("PCS-OzTL45",ARBOR!$A:$C,3,0),0.0001,IF(BT46&gt;VLOOKUP("PCS-OzTL45",ARBOR!$A:$C,3,0),"Maior que CAP!",IF((DOLLAR(BT46+(VLOOKUP("PCS-OzTL45",ARBOR!$A:$C,3,0)*-TRUNC(BT46/VLOOKUP("PCS-OzTL45",ARBOR!$A:$C,3,0)-1,4)),6))&lt;&gt;(DOLLAR(VLOOKUP("PCS-OzTL45",ARBOR!$A:$C,3,0),6)),-TRUNC(BT46/VLOOKUP("PCS-OzTL45",ARBOR!$A:$C,3,0)-1,4)+0.0001,-TRUNC(BT46/VLOOKUP("PCS-OzTL45",ARBOR!$A:$C,3,0)-1,4)))))</f>
        <v/>
      </c>
      <c r="BV46" s="28" t="str">
        <f>IF(ISERROR(IF(BU46="","",VLOOKUP((BC46&amp;BU46&amp;"Template desconto FLAT Plano Principal Oi TV nível conta"),BENEFICIOS!$A:$G,5,0))),"Criar",IF(BU46="","",VLOOKUP((BC46&amp;BU46&amp;"Template desconto FLAT Plano Principal Oi TV nível conta"),BENEFICIOS!$A:$G,5,0)))</f>
        <v/>
      </c>
      <c r="BW46" s="8"/>
      <c r="BX46" s="3" t="str">
        <f>IF(BW46=0,"",IF(BW46=VLOOKUP("PCS-OzTL741",ARBOR!$A:$C,3,0),0.0001,IF(BW46&gt;VLOOKUP("PCS-OzTL741",ARBOR!$A:$C,3,0),"Maior que CAP!",IF((DOLLAR(BW46+(VLOOKUP("PCS-OzTL741",ARBOR!$A:$C,3,0)*-TRUNC(BW46/VLOOKUP("PCS-OzTL741",ARBOR!$A:$C,3,0)-1,4)),6))&lt;&gt;(DOLLAR(VLOOKUP("PCS-OzTL741",ARBOR!$A:$C,3,0),6)),-TRUNC(BW46/VLOOKUP("PCS-OzTL741",ARBOR!$A:$C,3,0)-1,4)+0.0001,-TRUNC(BW46/VLOOKUP("PCS-OzTL741",ARBOR!$A:$C,3,0)-1,4)))))</f>
        <v/>
      </c>
      <c r="BY46" s="28" t="str">
        <f>IF(ISERROR(IF(BX46="","",VLOOKUP((BC46&amp;BX46&amp;"Template desconto FLAT Plano Principal Oi TV nível conta"),BENEFICIOS!$A:$G,5,0))),"Criar",IF(BX46="","",VLOOKUP((BC46&amp;BX46&amp;"Template desconto FLAT Plano Principal Oi TV nível conta"),BENEFICIOS!$A:$G,5,0)))</f>
        <v/>
      </c>
      <c r="BZ46" s="8"/>
      <c r="CA46" s="3" t="str">
        <f>IF(BZ46=0,"",IF(BZ46=VLOOKUP("PCS-OzTL744",ARBOR!$A:$C,3,0),0.0001,IF(BZ46&gt;VLOOKUP("PCS-OzTL744",ARBOR!$A:$C,3,0),"Maior que CAP!",IF((DOLLAR(BZ46+(VLOOKUP("PCS-OzTL744",ARBOR!$A:$C,3,0)*-TRUNC(BZ46/VLOOKUP("PCS-OzTL744",ARBOR!$A:$C,3,0)-1,4)),6))&lt;&gt;(DOLLAR(VLOOKUP("PCS-OzTL744",ARBOR!$A:$C,3,0),6)),-TRUNC(BZ46/VLOOKUP("PCS-OzTL744",ARBOR!$A:$C,3,0)-1,4)+0.0001,-TRUNC(BZ46/VLOOKUP("PCS-OzTL744",ARBOR!$A:$C,3,0)-1,4)))))</f>
        <v/>
      </c>
      <c r="CB46" s="28" t="str">
        <f>IF(ISERROR(IF(CA46="","",VLOOKUP(($BC46&amp;CA46&amp;"Template desconto FLAT Plano Principal Oi TV nível conta"),BENEFICIOS!$A:$G,5,0))),"Criar",IF(CA46="","",VLOOKUP(($BC46&amp;CA46&amp;"Template desconto FLAT Plano Principal Oi TV nível conta"),BENEFICIOS!$A:$G,5,0)))</f>
        <v/>
      </c>
      <c r="CC46" s="8"/>
      <c r="CD46" s="3" t="str">
        <f>IF(CC46=0,"",IF(CC46=VLOOKUP("PCS-OzTL743",ARBOR!$A:$C,3,0),0.0001,IF(CC46&gt;VLOOKUP("PCS-OzTL743",ARBOR!$A:$C,3,0),"Maior que CAP!",IF((DOLLAR(CC46+(VLOOKUP("PCS-OzTL743",ARBOR!$A:$C,3,0)*-TRUNC(CC46/VLOOKUP("PCS-OzTL743",ARBOR!$A:$C,3,0)-1,4)),6))&lt;&gt;(DOLLAR(VLOOKUP("PCS-OzTL743",ARBOR!$A:$C,3,0),6)),-TRUNC(CC46/VLOOKUP("PCS-OzTL743",ARBOR!$A:$C,3,0)-1,4)+0.0001,-TRUNC(CC46/VLOOKUP("PCS-OzTL743",ARBOR!$A:$C,3,0)-1,4)))))</f>
        <v/>
      </c>
      <c r="CE46" s="28" t="str">
        <f>IF(ISERROR(IF(CD46="","",VLOOKUP(($BC46&amp;CD46&amp;"Template desconto FLAT Plano Principal Oi TV nível conta"),BENEFICIOS!$A:$G,5,0))),"Criar",IF(CD46="","",VLOOKUP(($BC46&amp;CD46&amp;"Template desconto FLAT Plano Principal Oi TV nível conta"),BENEFICIOS!$A:$G,5,0)))</f>
        <v/>
      </c>
      <c r="CF46" s="8"/>
      <c r="CG46" s="3" t="str">
        <f>IF(CF46=0,"",IF(CF46=VLOOKUP("PCS-OzTL745",ARBOR!$A:$C,3,0),0.0001,IF(CF46&gt;VLOOKUP("PCS-OzTL745",ARBOR!$A:$C,3,0),"Maior que CAP!",IF((DOLLAR(CF46+(VLOOKUP("PCS-OzTL745",ARBOR!$A:$C,3,0)*-TRUNC(CF46/VLOOKUP("PCS-OzTL745",ARBOR!$A:$C,3,0)-1,4)),6))&lt;&gt;(DOLLAR(VLOOKUP("PCS-OzTL745",ARBOR!$A:$C,3,0),6)),-TRUNC(CF46/VLOOKUP("PCS-OzTL745",ARBOR!$A:$C,3,0)-1,4)+0.0001,-TRUNC(CF46/VLOOKUP("PCS-OzTL745",ARBOR!$A:$C,3,0)-1,4)))))</f>
        <v/>
      </c>
      <c r="CH46" s="28" t="str">
        <f>IF(ISERROR(IF(CG46="","",VLOOKUP(($BC46&amp;CG46&amp;"Template desconto FLAT Plano Principal Oi TV nível conta"),BENEFICIOS!$A:$G,5,0))),"Criar",IF(CG46="","",VLOOKUP(($BC46&amp;CG46&amp;"Template desconto FLAT Plano Principal Oi TV nível conta"),BENEFICIOS!$A:$G,5,0)))</f>
        <v/>
      </c>
      <c r="CI46" s="8"/>
      <c r="CJ46" s="3" t="str">
        <f>IF(CI46=0,"",IF(CI46=VLOOKUP("PCS-OzTL42",ARBOR!$A:$C,3,0),0.0001,IF(CI46&gt;VLOOKUP("PCS-OzTL42",ARBOR!$A:$C,3,0),"Maior que CAP!",IF((DOLLAR(CI46+(VLOOKUP("PCS-OzTL42",ARBOR!$A:$C,3,0)*-TRUNC(CI46/VLOOKUP("PCS-OzTL42",ARBOR!$A:$C,3,0)-1,4)),6))&lt;&gt;(DOLLAR(VLOOKUP("PCS-OzTL42",ARBOR!$A:$C,3,0),6)),-TRUNC(CI46/VLOOKUP("PCS-OzTL42",ARBOR!$A:$C,3,0)-1,4)+0.0001,-TRUNC(CI46/VLOOKUP("PCS-OzTL42",ARBOR!$A:$C,3,0)-1,4)))))</f>
        <v/>
      </c>
      <c r="CK46" s="28" t="str">
        <f>IF(ISERROR(IF(CJ46="","",VLOOKUP(($BC46&amp;CJ46&amp;"Template desconto FLAT Plano Principal Oi TV nível conta"),BENEFICIOS!$A:$G,5,0))),"Criar",IF(CJ46="","",VLOOKUP(($BC46&amp;CJ46&amp;"Template desconto FLAT Plano Principal Oi TV nível conta"),BENEFICIOS!$A:$G,5,0)))</f>
        <v/>
      </c>
      <c r="CL46" s="8"/>
      <c r="CM46" s="3" t="str">
        <f>IF(CL46=0,"",IF(CL46=VLOOKUP("PCS-OzTL47",ARBOR!$A:$C,3,0),0.0001,IF(CL46&gt;VLOOKUP("PCS-OzTL47",ARBOR!$A:$C,3,0),"Maior que CAP!",IF((DOLLAR(CL46+(VLOOKUP("PCS-OzTL47",ARBOR!$A:$C,3,0)*-TRUNC(CL46/VLOOKUP("PCS-OzTL47",ARBOR!$A:$C,3,0)-1,4)),6))&lt;&gt;(DOLLAR(VLOOKUP("PCS-OzTL47",ARBOR!$A:$C,3,0),6)),-TRUNC(CL46/VLOOKUP("PCS-OzTL47",ARBOR!$A:$C,3,0)-1,4)+0.0001,-TRUNC(CL46/VLOOKUP("PCS-OzTL47",ARBOR!$A:$C,3,0)-1,4)))))</f>
        <v/>
      </c>
      <c r="CN46" s="28" t="str">
        <f>IF(ISERROR(IF(CM46="","",VLOOKUP(($BC46&amp;CM46&amp;"Template desconto FLAT Plano Principal Oi TV nível conta"),BENEFICIOS!$A:$G,5,0))),"Criar",IF(CM46="","",VLOOKUP(($BC46&amp;CM46&amp;"Template desconto FLAT Plano Principal Oi TV nível conta"),BENEFICIOS!$A:$G,5,0)))</f>
        <v/>
      </c>
      <c r="CO46" s="8"/>
      <c r="CP46" s="3" t="str">
        <f>IF(CO46=0,"",IF(CO46=VLOOKUP("PCS-OzTL46",ARBOR!$A:$C,3,0),0.0001,IF(CO46&gt;VLOOKUP("PCS-OzTL46",ARBOR!$A:$C,3,0),"Maior que CAP!",IF((DOLLAR(CO46+(VLOOKUP("PCS-OzTL46",ARBOR!$A:$C,3,0)*-TRUNC(CO46/VLOOKUP("PCS-OzTL46",ARBOR!$A:$C,3,0)-1,4)),6))&lt;&gt;(DOLLAR(VLOOKUP("PCS-OzTL46",ARBOR!$A:$C,3,0),6)),-TRUNC(CO46/VLOOKUP("PCS-OzTL46",ARBOR!$A:$C,3,0)-1,4)+0.0001,-TRUNC(CO46/VLOOKUP("PCS-OzTL46",ARBOR!$A:$C,3,0)-1,4)))))</f>
        <v/>
      </c>
      <c r="CQ46" s="28" t="str">
        <f>IF(ISERROR(IF(CP46="","",VLOOKUP(($BC46&amp;CP46&amp;"Template desconto FLAT Plano Principal Oi TV nível conta"),BENEFICIOS!$A:$G,5,0))),"Criar",IF(CP46="","",VLOOKUP(($BC46&amp;CP46&amp;"Template desconto FLAT Plano Principal Oi TV nível conta"),BENEFICIOS!$A:$G,5,0)))</f>
        <v/>
      </c>
      <c r="CR46" s="8"/>
      <c r="CS46" s="3" t="str">
        <f>IF(CR46=0,"",IF(CR46=VLOOKUP("PCS-OzTL48",ARBOR!$A:$C,3,0),0.0001,IF(CR46&gt;VLOOKUP("PCS-OzTL48",ARBOR!$A:$C,3,0),"Maior que CAP!",IF((DOLLAR(CR46+(VLOOKUP("PCS-OzTL48",ARBOR!$A:$C,3,0)*-TRUNC(CR46/VLOOKUP("PCS-OzTL48",ARBOR!$A:$C,3,0)-1,4)),6))&lt;&gt;(DOLLAR(VLOOKUP("PCS-OzTL48",ARBOR!$A:$C,3,0),6)),-TRUNC(CR46/VLOOKUP("PCS-OzTL48",ARBOR!$A:$C,3,0)-1,4)+0.0001,-TRUNC(CR46/VLOOKUP("PCS-OzTL48",ARBOR!$A:$C,3,0)-1,4)))))</f>
        <v/>
      </c>
      <c r="CT46" s="28" t="str">
        <f>IF(ISERROR(IF(CS46="","",VLOOKUP(($BC46&amp;CS46&amp;"Template desconto FLAT Plano Principal Oi TV nível conta"),BENEFICIOS!$A:$G,5,0))),"Criar",IF(CS46="","",VLOOKUP(($BC46&amp;CS46&amp;"Template desconto FLAT Plano Principal Oi TV nível conta"),BENEFICIOS!$A:$G,5,0)))</f>
        <v/>
      </c>
      <c r="CU46" s="8"/>
      <c r="CV46" s="3" t="str">
        <f>IF(CU46=0,"",IF(CU46=VLOOKUP("PCS-OzTL742",ARBOR!$A:$C,3,0),0.0001,IF(CU46&gt;VLOOKUP("PCS-OzTL742",ARBOR!$A:$C,3,0),"Maior que CAP!",IF((DOLLAR(CU46+(VLOOKUP("PCS-OzTL742",ARBOR!$A:$C,3,0)*-TRUNC(CU46/VLOOKUP("PCS-OzTL742",ARBOR!$A:$C,3,0)-1,4)),6))&lt;&gt;(DOLLAR(VLOOKUP("PCS-OzTL742",ARBOR!$A:$C,3,0),6)),-TRUNC(CU46/VLOOKUP("PCS-OzTL742",ARBOR!$A:$C,3,0)-1,4)+0.0001,-TRUNC(CU46/VLOOKUP("PCS-OzTL742",ARBOR!$A:$C,3,0)-1,4)))))</f>
        <v/>
      </c>
      <c r="CW46" s="28" t="str">
        <f>IF(ISERROR(IF(CV46="","",VLOOKUP(($BC46&amp;CV46&amp;"Template desconto FLAT Plano Principal Oi TV nível conta"),BENEFICIOS!$A:$G,5,0))),"Criar",IF(CV46="","",VLOOKUP(($BC46&amp;CV46&amp;"Template desconto FLAT Plano Principal Oi TV nível conta"),BENEFICIOS!$A:$G,5,0)))</f>
        <v/>
      </c>
      <c r="CX46" s="8"/>
      <c r="CY46" s="3" t="str">
        <f>IF(CX46=0,"",IF(CX46=VLOOKUP("PCS-OzTL747",ARBOR!$A:$C,3,0),0.0001,IF(CX46&gt;VLOOKUP("PCS-OzTL747",ARBOR!$A:$C,3,0),"Maior que CAP!",IF((DOLLAR(CX46+(VLOOKUP("PCS-OzTL747",ARBOR!$A:$C,3,0)*-TRUNC(CX46/VLOOKUP("PCS-OzTL747",ARBOR!$A:$C,3,0)-1,4)),6))&lt;&gt;(DOLLAR(VLOOKUP("PCS-OzTL747",ARBOR!$A:$C,3,0),6)),-TRUNC(CX46/VLOOKUP("PCS-OzTL747",ARBOR!$A:$C,3,0)-1,4)+0.0001,-TRUNC(CX46/VLOOKUP("PCS-OzTL747",ARBOR!$A:$C,3,0)-1,4)))))</f>
        <v/>
      </c>
      <c r="CZ46" s="28" t="str">
        <f>IF(ISERROR(IF(CY46="","",VLOOKUP(($BC46&amp;CY46&amp;"Template desconto FLAT Plano Principal Oi TV nível conta"),BENEFICIOS!$A:$G,5,0))),"Criar",IF(CY46="","",VLOOKUP(($BC46&amp;CY46&amp;"Template desconto FLAT Plano Principal Oi TV nível conta"),BENEFICIOS!$A:$G,5,0)))</f>
        <v/>
      </c>
      <c r="DA46" s="8"/>
      <c r="DB46" s="3" t="str">
        <f>IF(DA46=0,"",IF(DA46=VLOOKUP("PCS-OzTL746",ARBOR!$A:$C,3,0),0.0001,IF(DA46&gt;VLOOKUP("PCS-OzTL746",ARBOR!$A:$C,3,0),"Maior que CAP!",IF((DOLLAR(DA46+(VLOOKUP("PCS-OzTL746",ARBOR!$A:$C,3,0)*-TRUNC(DA46/VLOOKUP("PCS-OzTL746",ARBOR!$A:$C,3,0)-1,4)),6))&lt;&gt;(DOLLAR(VLOOKUP("PCS-OzTL746",ARBOR!$A:$C,3,0),6)),-TRUNC(DA46/VLOOKUP("PCS-OzTL746",ARBOR!$A:$C,3,0)-1,4)+0.0001,-TRUNC(DA46/VLOOKUP("PCS-OzTL746",ARBOR!$A:$C,3,0)-1,4)))))</f>
        <v/>
      </c>
      <c r="DC46" s="28" t="str">
        <f>IF(ISERROR(IF(DB46="","",VLOOKUP(($BC46&amp;DB46&amp;"Template desconto FLAT Plano Principal Oi TV nível conta"),BENEFICIOS!$A:$G,5,0))),"Criar",IF(DB46="","",VLOOKUP(($BC46&amp;DB46&amp;"Template desconto FLAT Plano Principal Oi TV nível conta"),BENEFICIOS!$A:$G,5,0)))</f>
        <v/>
      </c>
      <c r="DD46" s="8"/>
      <c r="DE46" s="3" t="str">
        <f>IF(DD46=0,"",IF(DD46=VLOOKUP("PCS-OzTL748",ARBOR!$A:$C,3,0),0.0001,IF(DD46&gt;VLOOKUP("PCS-OzTL748",ARBOR!$A:$C,3,0),"Maior que CAP!",IF((DOLLAR(DD46+(VLOOKUP("PCS-OzTL748",ARBOR!$A:$C,3,0)*-TRUNC(DD46/VLOOKUP("PCS-OzTL748",ARBOR!$A:$C,3,0)-1,4)),6))&lt;&gt;(DOLLAR(VLOOKUP("PCS-OzTL748",ARBOR!$A:$C,3,0),6)),-TRUNC(DD46/VLOOKUP("PCS-OzTL748",ARBOR!$A:$C,3,0)-1,4)+0.0001,-TRUNC(DD46/VLOOKUP("PCS-OzTL748",ARBOR!$A:$C,3,0)-1,4)))))</f>
        <v/>
      </c>
      <c r="DF46" s="28" t="str">
        <f>IF(ISERROR(IF(DE46="","",VLOOKUP(($BC46&amp;DE46&amp;"Template desconto FLAT Plano Principal Oi TV nível conta"),BENEFICIOS!$A:$G,5,0))),"Criar",IF(DE46="","",VLOOKUP(($BC46&amp;DE46&amp;"Template desconto FLAT Plano Principal Oi TV nível conta"),BENEFICIOS!$A:$G,5,0)))</f>
        <v/>
      </c>
      <c r="DG46" s="8"/>
      <c r="DH46" s="3" t="str">
        <f>IF(DG46=0,"",IF(DG46=VLOOKUP("PCS-OzTL34",ARBOR!$A:$C,3,0),0.0001,IF(DG46&gt;VLOOKUP("PCS-OzTL34",ARBOR!$A:$C,3,0),"Maior que CAP!",IF((DOLLAR(DG46+(VLOOKUP("PCS-OzTL34",ARBOR!$A:$C,3,0)*-TRUNC(DG46/VLOOKUP("PCS-OzTL34",ARBOR!$A:$C,3,0)-1,4)),6))&lt;&gt;(DOLLAR(VLOOKUP("PCS-OzTL34",ARBOR!$A:$C,3,0),6)),-TRUNC(DG46/VLOOKUP("PCS-OzTL34",ARBOR!$A:$C,3,0)-1,4)+0.0001,-TRUNC(DG46/VLOOKUP("PCS-OzTL34",ARBOR!$A:$C,3,0)-1,4)))))</f>
        <v/>
      </c>
      <c r="DI46" s="28" t="str">
        <f>IF(DH46="S/Desc","S/Desc",IF(ISERROR(IF(DH46="","",VLOOKUP(($BC46&amp;DH46&amp;"Template desconto % Combate nível conta"),BENEFICIOS!$A:$G,5,0))),"Criar",IF(DH46="","",VLOOKUP(($BC46&amp;DH46&amp;"Template desconto % Combate nível conta"),BENEFICIOS!$A:$G,5,0))))</f>
        <v/>
      </c>
      <c r="DJ46" s="8"/>
      <c r="DK46" s="3" t="str">
        <f>IF(DJ46=0,"",IF(DJ46=VLOOKUP("PCS-OzTL31",ARBOR!$A:$C,3,0),0.0001,IF(DJ46&gt;VLOOKUP("PCS-OzTL31",ARBOR!$A:$C,3,0),"Maior que CAP!",IF((DOLLAR(DJ46+(VLOOKUP("PCS-OzTL31",ARBOR!$A:$C,3,0)*-TRUNC(DJ46/VLOOKUP("PCS-OzTL31",ARBOR!$A:$C,3,0)-1,4)),6))&lt;&gt;(DOLLAR(VLOOKUP("PCS-OzTL31",ARBOR!$A:$C,3,0),6)),-TRUNC(DJ46/VLOOKUP("PCS-OzTL31",ARBOR!$A:$C,3,0)-1,4)+0.0001,-TRUNC(DJ46/VLOOKUP("PCS-OzTL31",ARBOR!$A:$C,3,0)-1,4)))))</f>
        <v/>
      </c>
      <c r="DL46" s="28" t="str">
        <f>IF(DK46="S/Desc","S/Desc",IF(ISERROR(IF(DK46="","",VLOOKUP(($BC46&amp;DK46&amp;"Template desconto % Sexy Hot nível conta"),BENEFICIOS!$A:$G,5,0))),"Criar",IF(DK46="","",VLOOKUP(($BC46&amp;DK46&amp;"Template desconto % Sexy Hot nível conta"),BENEFICIOS!$A:$G,5,0))))</f>
        <v/>
      </c>
      <c r="DM46" s="8"/>
      <c r="DN46" s="3" t="str">
        <f>IF(DM46=0,"",IF(DM46=VLOOKUP("PCS-OzTL32",ARBOR!$A:$C,3,0),0.0001,IF(DM46&gt;VLOOKUP("PCS-OzTL32",ARBOR!$A:$C,3,0),"Maior que CAP!",IF((DOLLAR(DM46+(VLOOKUP("PCS-OzTL32",ARBOR!$A:$C,3,0)*-TRUNC(DM46/VLOOKUP("PCS-OzTL32",ARBOR!$A:$C,3,0)-1,4)),6))&lt;&gt;(DOLLAR(VLOOKUP("PCS-OzTL32",ARBOR!$A:$C,3,0),6)),-TRUNC(DM46/VLOOKUP("PCS-OzTL32",ARBOR!$A:$C,3,0)-1,4)+0.0001,-TRUNC(DM46/VLOOKUP("PCS-OzTL32",ARBOR!$A:$C,3,0)-1,4)))))</f>
        <v/>
      </c>
      <c r="DO46" s="28" t="str">
        <f>IF(DN46="S/Desc","S/Desc",IF(ISERROR(IF(DN46="","",VLOOKUP(($BC46&amp;DN46&amp;"Template desconto % Playboy nível conta"),BENEFICIOS!$A:$G,5,0))),"Criar",IF(DN46="","",VLOOKUP(($BC46&amp;DN46&amp;"Template desconto % Playboy nível conta"),BENEFICIOS!$A:$G,5,0))))</f>
        <v/>
      </c>
      <c r="DP46" s="8"/>
      <c r="DQ46" s="3" t="str">
        <f>IF(DP46=0,"",IF(DP46=VLOOKUP("PCS-OzTL33",ARBOR!$A:$C,3,0),0.0001,IF(DP46&gt;VLOOKUP("PCS-OzTL33",ARBOR!$A:$C,3,0),"Maior que CAP!",IF((DOLLAR(DP46+(VLOOKUP("PCS-OzTL33",ARBOR!$A:$C,3,0)*-TRUNC(DP46/VLOOKUP("PCS-OzTL33",ARBOR!$A:$C,3,0)-1,4)),6))&lt;&gt;(DOLLAR(VLOOKUP("PCS-OzTL33",ARBOR!$A:$C,3,0),6)),-TRUNC(DP46/VLOOKUP("PCS-OzTL33",ARBOR!$A:$C,3,0)-1,4)+0.0001,-TRUNC(DP46/VLOOKUP("PCS-OzTL33",ARBOR!$A:$C,3,0)-1,4)))))</f>
        <v/>
      </c>
      <c r="DR46" s="28" t="str">
        <f>IF(DQ46="S/Desc","S/Desc",IF(ISERROR(IF(DQ46="","",VLOOKUP(($BC46&amp;DQ46&amp;"Template desconto % Sexy Hot + Playboy nível conta"),BENEFICIOS!$A:$G,5,0))),"Criar",IF(DQ46="","",VLOOKUP(($BC46&amp;DQ46&amp;"Template desconto % Sexy Hot + Playboy nível conta"),BENEFICIOS!$A:$G,5,0))))</f>
        <v/>
      </c>
      <c r="DS46" s="8"/>
      <c r="DT46" s="3" t="str">
        <f>IF(DS46=0,"",IF(DS46=VLOOKUP("PCS-OzTL503",ARBOR!$A:$C,3,0),0.0001,IF(DS46&gt;VLOOKUP("PCS-OzTL503",ARBOR!$A:$C,3,0),"Maior que CAP!",IF((DOLLAR(DS46+(VLOOKUP("PCS-OzTL503",ARBOR!$A:$C,3,0)*-TRUNC(DS46/VLOOKUP("PCS-OzTL503",ARBOR!$A:$C,3,0)-1,4)),6))&lt;&gt;(DOLLAR(VLOOKUP("PCS-OzTL503",ARBOR!$A:$C,3,0),6)),-TRUNC(DS46/VLOOKUP("PCS-OzTL503",ARBOR!$A:$C,3,0)-1,4)+0.0001,-TRUNC(DS46/VLOOKUP("PCS-OzTL503",ARBOR!$A:$C,3,0)-1,4)))))</f>
        <v/>
      </c>
      <c r="DU46" s="28" t="str">
        <f>IF(DT46="S/Desc","S/Desc",IF(ISERROR(IF(DT46="","",VLOOKUP(($BC46&amp;DT46&amp;"Template desconto % SexPrivê nível conta"),BENEFICIOS!$A:$G,5,0))),"Criar",IF(DT46="","",VLOOKUP(($BC46&amp;DT46&amp;"Template desconto % SexPrivê nível conta"),BENEFICIOS!$A:$G,5,0))))</f>
        <v/>
      </c>
      <c r="DV46" s="8"/>
      <c r="DW46" s="3" t="str">
        <f>IF(DV46=0,"",IF(DV46=VLOOKUP("PCS-OzTL500",ARBOR!$A:$C,3,0),0.0001,IF(DV46&gt;VLOOKUP("PCS-OzTL500",ARBOR!$A:$C,3,0),"Maior que CAP!",IF((DOLLAR(DV46+(VLOOKUP("PCS-OzTL500",ARBOR!$A:$C,3,0)*-TRUNC(DV46/VLOOKUP("PCS-OzTL500",ARBOR!$A:$C,3,0)-1,4)),6))&lt;&gt;(DOLLAR(VLOOKUP("PCS-OzTL500",ARBOR!$A:$C,3,0),6)),-TRUNC(DV46/VLOOKUP("PCS-OzTL500",ARBOR!$A:$C,3,0)-1,4)+0.0001,-TRUNC(DV46/VLOOKUP("PCS-OzTL500",ARBOR!$A:$C,3,0)-1,4)))))</f>
        <v/>
      </c>
      <c r="DX46" s="28" t="str">
        <f>IF(DW46="S/Desc","S/Desc",IF(ISERROR(IF(DW46="","",VLOOKUP(($BC46&amp;DW46&amp;"Template desconto % Étnico nível conta"),BENEFICIOS!$A:$G,5,0))),"Criar",IF(DW46="","",VLOOKUP(($BC46&amp;DW46&amp;"Template desconto % Étnico nível conta"),BENEFICIOS!$A:$G,5,0))))</f>
        <v/>
      </c>
      <c r="DY46" s="8"/>
      <c r="DZ46" s="181" t="str">
        <f>IF(DY46=0,"",IF(DY46=VLOOKUP("PCS-OzTL50",ARBOR!$A:$C,3,0),0.0001,IF(DY46&gt;VLOOKUP("PCS-OzTL50",ARBOR!$A:$C,3,0),"Maior que CAP!",IF((DOLLAR(DY46+(VLOOKUP("PCS-OzTL50",ARBOR!$A:$C,3,0)*-TRUNC(DY46/VLOOKUP("PCS-OzTL50",ARBOR!$A:$C,3,0)-1,4)),6))&lt;&gt;(DOLLAR(VLOOKUP("PCS-OzTL50",ARBOR!$A:$C,3,0),6)),-TRUNC(DY46/VLOOKUP("PCS-OzTL50",ARBOR!$A:$C,3,0)-1,4)+0.0001,-TRUNC(DY46/VLOOKUP("PCS-OzTL50",ARBOR!$A:$C,3,0)-1,4)))))</f>
        <v/>
      </c>
      <c r="EA46" s="28"/>
      <c r="EB46" s="8"/>
      <c r="EC46" s="181" t="str">
        <f>IF(EB46=0,"",IF(EB46=VLOOKUP("PCS-OzTL51",ARBOR!$A:$C,3,0),0.0001,IF(EB46&gt;VLOOKUP("PCS-OzTL51",ARBOR!$A:$C,3,0),"Maior que CAP!",IF((DOLLAR(EB46+(VLOOKUP("PCS-OzTL51",ARBOR!$A:$C,3,0)*-TRUNC(EB46/VLOOKUP("PCS-OzTL51",ARBOR!$A:$C,3,0)-1,4)),6))&lt;&gt;(DOLLAR(VLOOKUP("PCS-OzTL51",ARBOR!$A:$C,3,0),6)),-TRUNC(EB46/VLOOKUP("PCS-OzTL51",ARBOR!$A:$C,3,0)-1,4)+0.0001,-TRUNC(EB46/VLOOKUP("PCS-OzTL51",ARBOR!$A:$C,3,0)-1,4)))))</f>
        <v/>
      </c>
      <c r="ED46" s="28"/>
      <c r="EE46" s="8"/>
      <c r="EF46" s="181" t="str">
        <f>IF(EE46=0,"",IF(EE46=VLOOKUP("PCS-OzTL52",ARBOR!$A:$C,3,0),0.0001,IF(EE46&gt;VLOOKUP("PCS-OzTL52",ARBOR!$A:$C,3,0),"Maior que CAP!",IF((DOLLAR(EE46+(VLOOKUP("PCS-OzTL52",ARBOR!$A:$C,3,0)*-TRUNC(EE46/VLOOKUP("PCS-OzTL52",ARBOR!$A:$C,3,0)-1,4)),6))&lt;&gt;(DOLLAR(VLOOKUP("PCS-OzTL52",ARBOR!$A:$C,3,0),6)),-TRUNC(EE46/VLOOKUP("PCS-OzTL52",ARBOR!$A:$C,3,0)-1,4)+0.0001,-TRUNC(EE46/VLOOKUP("PCS-OzTL52",ARBOR!$A:$C,3,0)-1,4)))))</f>
        <v/>
      </c>
      <c r="EG46" s="28"/>
      <c r="EH46" s="8"/>
      <c r="EI46" s="181" t="str">
        <f>IF(EH46=0,"",IF(EH46=VLOOKUP("PCS-OzTL53",ARBOR!$A:$C,3,0),0.0001,IF(EH46&gt;VLOOKUP("PCS-OzTL53",ARBOR!$A:$C,3,0),"Maior que CAP!",IF((DOLLAR(EH46+(VLOOKUP("PCS-OzTL53",ARBOR!$A:$C,3,0)*-TRUNC(EH46/VLOOKUP("PCS-OzTL53",ARBOR!$A:$C,3,0)-1,4)),6))&lt;&gt;(DOLLAR(VLOOKUP("PCS-OzTL53",ARBOR!$A:$C,3,0),6)),-TRUNC(EH46/VLOOKUP("PCS-OzTL53",ARBOR!$A:$C,3,0)-1,4)+0.0001,-TRUNC(EH46/VLOOKUP("PCS-OzTL53",ARBOR!$A:$C,3,0)-1,4)))))</f>
        <v/>
      </c>
      <c r="EJ46" s="28"/>
      <c r="EK46" s="8"/>
      <c r="EL46" s="181" t="str">
        <f>IF(EK46=0,"",IF(EK46=VLOOKUP("PCS-OzTL54",ARBOR!$A:$C,3,0),0.0001,IF(EK46&gt;VLOOKUP("PCS-OzTL54",ARBOR!$A:$C,3,0),"Maior que CAP!",IF((DOLLAR(EK46+(VLOOKUP("PCS-OzTL54",ARBOR!$A:$C,3,0)*-TRUNC(EK46/VLOOKUP("PCS-OzTL54",ARBOR!$A:$C,3,0)-1,4)),6))&lt;&gt;(DOLLAR(VLOOKUP("PCS-OzTL54",ARBOR!$A:$C,3,0),6)),-TRUNC(EK46/VLOOKUP("PCS-OzTL54",ARBOR!$A:$C,3,0)-1,4)+0.0001,-TRUNC(EK46/VLOOKUP("PCS-OzTL54",ARBOR!$A:$C,3,0)-1,4)))))</f>
        <v/>
      </c>
      <c r="EM46" s="28"/>
      <c r="EN46" s="8"/>
      <c r="EO46" s="3" t="str">
        <f>IF(EN46=0,"",IF(EN46=VLOOKUP("PCS-OzTL99",ARBOR!$A:$C,3,0),0.0001,IF(EN46&gt;VLOOKUP("PCS-OzTL99",ARBOR!$A:$C,3,0),"Maior que CAP!",IF((DOLLAR(EN46+(VLOOKUP("PCS-OzTL99",ARBOR!$A:$C,3,0)*-TRUNC(EN46/VLOOKUP("PCS-OzTL99",ARBOR!$A:$C,3,0)-1,4)),6))&lt;&gt;(DOLLAR(VLOOKUP("PCS-OzTL99",ARBOR!$A:$C,3,0),6)),-TRUNC(EN46/VLOOKUP("PCS-OzTL99",ARBOR!$A:$C,3,0)-1,4)+0.0001,-TRUNC(EN46/VLOOKUP("PCS-OzTL99",ARBOR!$A:$C,3,0)-1,4)))))</f>
        <v/>
      </c>
      <c r="EP46" s="28" t="str">
        <f>IF(EO46="S/Desc","S/Desc",IF(ISERROR(IF(EO46="","",VLOOKUP(($BC46&amp;EO46&amp;"Template desconto % Ponto adicional nível conta"),BENEFICIOS!$A:$G,5,0))),"Criar",IF(EO46="","",VLOOKUP(($BC46&amp;EO46&amp;"Template desconto % Ponto adicional nível conta"),BENEFICIOS!$A:$G,5,0))))</f>
        <v/>
      </c>
      <c r="EQ46" s="8"/>
      <c r="ER46" s="28" t="str">
        <f t="shared" si="23"/>
        <v/>
      </c>
      <c r="ES46" s="62"/>
      <c r="ET46" s="126"/>
      <c r="EU46" s="127"/>
      <c r="EV46" s="126"/>
      <c r="EW46" s="128" t="str">
        <f t="shared" si="24"/>
        <v/>
      </c>
      <c r="EX46" s="129" t="str">
        <f t="shared" si="25"/>
        <v/>
      </c>
      <c r="EY46" s="91" t="str">
        <f t="shared" si="26"/>
        <v/>
      </c>
      <c r="EZ46" s="85"/>
      <c r="FA46" s="97"/>
      <c r="FB46" s="91"/>
      <c r="FC46" s="85"/>
      <c r="FD46" s="97"/>
      <c r="FE46" s="91"/>
      <c r="FF46" s="87"/>
      <c r="FG46" s="144" t="str">
        <f t="shared" si="5"/>
        <v/>
      </c>
      <c r="FH46" s="144" t="str">
        <f t="shared" si="6"/>
        <v/>
      </c>
      <c r="FI46" s="144" t="str">
        <f t="shared" si="7"/>
        <v/>
      </c>
      <c r="FJ46" s="144" t="str">
        <f t="shared" si="8"/>
        <v/>
      </c>
      <c r="FK46" s="144" t="str">
        <f t="shared" si="9"/>
        <v/>
      </c>
      <c r="FL46" s="144" t="str">
        <f t="shared" si="10"/>
        <v/>
      </c>
      <c r="FM46" s="144" t="str">
        <f t="shared" si="11"/>
        <v/>
      </c>
      <c r="FN46" s="144" t="str">
        <f t="shared" si="12"/>
        <v/>
      </c>
      <c r="FO46" s="144" t="str">
        <f t="shared" si="13"/>
        <v/>
      </c>
      <c r="FP46" s="144" t="str">
        <f t="shared" si="14"/>
        <v/>
      </c>
      <c r="FQ46" s="144" t="str">
        <f t="shared" si="15"/>
        <v/>
      </c>
      <c r="FR46" s="144" t="str">
        <f t="shared" si="16"/>
        <v/>
      </c>
      <c r="FS46" s="144" t="str">
        <f t="shared" si="17"/>
        <v/>
      </c>
      <c r="FT46" s="144" t="str">
        <f t="shared" si="18"/>
        <v/>
      </c>
      <c r="FU46" s="144" t="str">
        <f t="shared" si="19"/>
        <v/>
      </c>
      <c r="FV46" s="144" t="str">
        <f t="shared" si="20"/>
        <v/>
      </c>
      <c r="FW46" s="144" t="str">
        <f t="shared" si="21"/>
        <v/>
      </c>
      <c r="FX46" s="151"/>
      <c r="FY46" s="152"/>
      <c r="FZ46" s="152"/>
      <c r="GA46" s="152"/>
      <c r="GB46" s="152"/>
      <c r="GC46" s="152"/>
      <c r="GD46" s="152"/>
      <c r="GE46" s="152"/>
      <c r="GF46" s="152"/>
      <c r="GG46" s="153"/>
    </row>
    <row r="47" spans="1:189">
      <c r="A47" s="45"/>
      <c r="B47" s="133"/>
      <c r="C47" s="133"/>
      <c r="D47" s="46"/>
      <c r="E47" s="4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9"/>
      <c r="U47" s="48"/>
      <c r="V47" s="49"/>
      <c r="W47" s="48"/>
      <c r="X47" s="48"/>
      <c r="Y47" s="48"/>
      <c r="Z47" s="48"/>
      <c r="AA47" s="49"/>
      <c r="AB47" s="48"/>
      <c r="AC47" s="50"/>
      <c r="AD47" s="48"/>
      <c r="AE47" s="48"/>
      <c r="AF47" s="48"/>
      <c r="AG47" s="48"/>
      <c r="AH47" s="48"/>
      <c r="AI47" s="48"/>
      <c r="AJ47" s="48"/>
      <c r="AK47" s="48"/>
      <c r="AL47" s="51"/>
      <c r="AM47" s="37"/>
      <c r="AN47" s="38"/>
      <c r="AO47" s="39"/>
      <c r="AP47" s="52"/>
      <c r="AQ47" s="53"/>
      <c r="AR47" s="64"/>
      <c r="AS47" s="65"/>
      <c r="AT47" s="54"/>
      <c r="AU47" s="54"/>
      <c r="AV47" s="54"/>
      <c r="AW47" s="54"/>
      <c r="AX47" s="70"/>
      <c r="AY47" s="71"/>
      <c r="AZ47" s="72"/>
      <c r="BA47" s="73"/>
      <c r="BB47" s="55"/>
      <c r="BC47" s="56"/>
      <c r="BD47" s="27" t="str">
        <f t="shared" si="22"/>
        <v/>
      </c>
      <c r="BE47" s="58"/>
      <c r="BF47" s="3" t="str">
        <f>IF(BE47=0,"",IF(BE47=VLOOKUP("FIXO",ARBOR!$A:$C,3,0),0.0001,IF(BE47&gt;VLOOKUP("FIXO",ARBOR!$A:$C,3,0),"Maior que CAP!",IF((DOLLAR(BE47+(VLOOKUP("FIXO",ARBOR!$A:$C,3,0)*-TRUNC(BE47/VLOOKUP("FIXO",ARBOR!$A:$C,3,0)-1,4)),6))&lt;&gt;(DOLLAR(VLOOKUP("FIXO",ARBOR!$A:$C,3,0),6)),-TRUNC(BE47/VLOOKUP("FIXO",ARBOR!$A:$C,3,0)-1,4)+0.0001,-TRUNC(BE47/VLOOKUP("FIXO",ARBOR!$A:$C,3,0)-1,4)))))</f>
        <v/>
      </c>
      <c r="BG47" s="10" t="str">
        <f>IF(ISERROR(IF(BF47="","",VLOOKUP(($BC47&amp;BF47&amp;"Template de desconto FLAT bundle - Fixo - Varejo - Ganho Tributário Cross"),BENEFICIOS!$A:$G,5,0))),"Criar",IF(BF47="","",VLOOKUP(($BC47&amp;BF47&amp;"Template de desconto FLAT bundle - Fixo - Varejo - Ganho Tributário Cross"),BENEFICIOS!$A:$G,5,0)))</f>
        <v/>
      </c>
      <c r="BH47" s="8"/>
      <c r="BI47" s="3" t="str">
        <f>IF(BH47=0,"",IF(BH47=VLOOKUP("PCS-OzTL40",ARBOR!$A:$C,3,0),0.0001,IF(BH47&gt;VLOOKUP("PCS-OzTL40",ARBOR!$A:$C,3,0),"Maior que CAP!",IF((DOLLAR(BH47+(VLOOKUP("PCS-OzTL40",ARBOR!$A:$C,3,0)*-TRUNC(BH47/VLOOKUP("PCS-OzTL40",ARBOR!$A:$C,3,0)-1,4)),6))&lt;&gt;(DOLLAR(VLOOKUP("PCS-OzTL40",ARBOR!$A:$C,3,0),6)),-TRUNC(BH47/VLOOKUP("PCS-OzTL40",ARBOR!$A:$C,3,0)-1,4)+0.0001,-TRUNC(BH47/VLOOKUP("PCS-OzTL40",ARBOR!$A:$C,3,0)-1,4)))))</f>
        <v/>
      </c>
      <c r="BJ47" s="10" t="str">
        <f>IF(ISERROR(IF(BI47="","",VLOOKUP((BC47&amp;BI47&amp;"Template desconto FLAT Plano Principal Oi TV nível conta"),BENEFICIOS!$A:$G,5,0))),"Criar",IF(BI47="","",VLOOKUP((BC47&amp;BI47&amp;"Template desconto FLAT Plano Principal Oi TV nível conta"),BENEFICIOS!$A:$G,5,0)))</f>
        <v/>
      </c>
      <c r="BK47" s="8"/>
      <c r="BL47" s="3" t="str">
        <f>IF(BK47=0,"",IF(BK47=VLOOKUP("PCS-OzTL41",ARBOR!$A:$C,3,0),0.0001,IF(BK47&gt;VLOOKUP("PCS-OzTL41",ARBOR!$A:$C,3,0),"Maior que CAP!",IF((DOLLAR(BK47+(VLOOKUP("PCS-OzTL41",ARBOR!$A:$C,3,0)*-TRUNC(BK47/VLOOKUP("PCS-OzTL41",ARBOR!$A:$C,3,0)-1,4)),6))&lt;&gt;(DOLLAR(VLOOKUP("PCS-OzTL41",ARBOR!$A:$C,3,0),6)),-TRUNC(BK47/VLOOKUP("PCS-OzTL41",ARBOR!$A:$C,3,0)-1,4)+0.0001,-TRUNC(BK47/VLOOKUP("PCS-OzTL41",ARBOR!$A:$C,3,0)-1,4)))))</f>
        <v/>
      </c>
      <c r="BM47" s="28" t="str">
        <f>IF(ISERROR(IF(BL47="","",VLOOKUP((BC47&amp;BL47&amp;"Template desconto FLAT Plano Principal Oi TV nível conta"),BENEFICIOS!$A:$G,5,0))),"Criar",IF(BL47="","",VLOOKUP((BC47&amp;BL47&amp;"Template desconto FLAT Plano Principal Oi TV nível conta"),BENEFICIOS!$A:$G,5,0)))</f>
        <v/>
      </c>
      <c r="BN47" s="8"/>
      <c r="BO47" s="3" t="str">
        <f>IF(BN47=0,"",IF(BN47=VLOOKUP("PCS-OzTL44",ARBOR!$A:$C,3,0),0.0001,IF(BN47&gt;VLOOKUP("PCS-OzTL44",ARBOR!$A:$C,3,0),"Maior que CAP!",IF((DOLLAR(BN47+(VLOOKUP("PCS-OzTL44",ARBOR!$A:$C,3,0)*-TRUNC(BN47/VLOOKUP("PCS-OzTL44",ARBOR!$A:$C,3,0)-1,4)),6))&lt;&gt;(DOLLAR(VLOOKUP("PCS-OzTL44",ARBOR!$A:$C,3,0),6)),-TRUNC(BN47/VLOOKUP("PCS-OzTL44",ARBOR!$A:$C,3,0)-1,4)+0.0001,-TRUNC(BN47/VLOOKUP("PCS-OzTL44",ARBOR!$A:$C,3,0)-1,4)))))</f>
        <v/>
      </c>
      <c r="BP47" s="28" t="str">
        <f>IF(ISERROR(IF(BO47="","",VLOOKUP((BC47&amp;BO47&amp;"Template desconto FLAT Plano Principal Oi TV nível conta"),BENEFICIOS!$A:$G,5,0))),"Criar",IF(BO47="","",VLOOKUP((BC47&amp;BO47&amp;"Template desconto FLAT Plano Principal Oi TV nível conta"),BENEFICIOS!$A:$G,5,0)))</f>
        <v/>
      </c>
      <c r="BQ47" s="8"/>
      <c r="BR47" s="3" t="str">
        <f>IF(BQ47=0,"",IF(BQ47=VLOOKUP("PCS-OzTL43",ARBOR!$A:$C,3,0),0.0001,IF(BQ47&gt;VLOOKUP("PCS-OzTL43",ARBOR!$A:$C,3,0),"Maior que CAP!",IF((DOLLAR(BQ47+(VLOOKUP("PCS-OzTL43",ARBOR!$A:$C,3,0)*-TRUNC(BQ47/VLOOKUP("PCS-OzTL43",ARBOR!$A:$C,3,0)-1,4)),6))&lt;&gt;(DOLLAR(VLOOKUP("PCS-OzTL43",ARBOR!$A:$C,3,0),6)),-TRUNC(BQ47/VLOOKUP("PCS-OzTL43",ARBOR!$A:$C,3,0)-1,4)+0.0001,-TRUNC(BQ47/VLOOKUP("PCS-OzTL43",ARBOR!$A:$C,3,0)-1,4)))))</f>
        <v/>
      </c>
      <c r="BS47" s="28" t="str">
        <f>IF(ISERROR(IF(BR47="","",VLOOKUP((BC47&amp;BR47&amp;"Template desconto FLAT Plano Principal Oi TV nível conta"),BENEFICIOS!$A:$G,5,0))),"Criar",IF(BR47="","",VLOOKUP((BC47&amp;BR47&amp;"Template desconto FLAT Plano Principal Oi TV nível conta"),BENEFICIOS!$A:$G,5,0)))</f>
        <v/>
      </c>
      <c r="BT47" s="8"/>
      <c r="BU47" s="3" t="str">
        <f>IF(BT47=0,"",IF(BT47=VLOOKUP("PCS-OzTL45",ARBOR!$A:$C,3,0),0.0001,IF(BT47&gt;VLOOKUP("PCS-OzTL45",ARBOR!$A:$C,3,0),"Maior que CAP!",IF((DOLLAR(BT47+(VLOOKUP("PCS-OzTL45",ARBOR!$A:$C,3,0)*-TRUNC(BT47/VLOOKUP("PCS-OzTL45",ARBOR!$A:$C,3,0)-1,4)),6))&lt;&gt;(DOLLAR(VLOOKUP("PCS-OzTL45",ARBOR!$A:$C,3,0),6)),-TRUNC(BT47/VLOOKUP("PCS-OzTL45",ARBOR!$A:$C,3,0)-1,4)+0.0001,-TRUNC(BT47/VLOOKUP("PCS-OzTL45",ARBOR!$A:$C,3,0)-1,4)))))</f>
        <v/>
      </c>
      <c r="BV47" s="28" t="str">
        <f>IF(ISERROR(IF(BU47="","",VLOOKUP((BC47&amp;BU47&amp;"Template desconto FLAT Plano Principal Oi TV nível conta"),BENEFICIOS!$A:$G,5,0))),"Criar",IF(BU47="","",VLOOKUP((BC47&amp;BU47&amp;"Template desconto FLAT Plano Principal Oi TV nível conta"),BENEFICIOS!$A:$G,5,0)))</f>
        <v/>
      </c>
      <c r="BW47" s="8"/>
      <c r="BX47" s="3" t="str">
        <f>IF(BW47=0,"",IF(BW47=VLOOKUP("PCS-OzTL741",ARBOR!$A:$C,3,0),0.0001,IF(BW47&gt;VLOOKUP("PCS-OzTL741",ARBOR!$A:$C,3,0),"Maior que CAP!",IF((DOLLAR(BW47+(VLOOKUP("PCS-OzTL741",ARBOR!$A:$C,3,0)*-TRUNC(BW47/VLOOKUP("PCS-OzTL741",ARBOR!$A:$C,3,0)-1,4)),6))&lt;&gt;(DOLLAR(VLOOKUP("PCS-OzTL741",ARBOR!$A:$C,3,0),6)),-TRUNC(BW47/VLOOKUP("PCS-OzTL741",ARBOR!$A:$C,3,0)-1,4)+0.0001,-TRUNC(BW47/VLOOKUP("PCS-OzTL741",ARBOR!$A:$C,3,0)-1,4)))))</f>
        <v/>
      </c>
      <c r="BY47" s="28" t="str">
        <f>IF(ISERROR(IF(BX47="","",VLOOKUP((BC47&amp;BX47&amp;"Template desconto FLAT Plano Principal Oi TV nível conta"),BENEFICIOS!$A:$G,5,0))),"Criar",IF(BX47="","",VLOOKUP((BC47&amp;BX47&amp;"Template desconto FLAT Plano Principal Oi TV nível conta"),BENEFICIOS!$A:$G,5,0)))</f>
        <v/>
      </c>
      <c r="BZ47" s="8"/>
      <c r="CA47" s="3" t="str">
        <f>IF(BZ47=0,"",IF(BZ47=VLOOKUP("PCS-OzTL744",ARBOR!$A:$C,3,0),0.0001,IF(BZ47&gt;VLOOKUP("PCS-OzTL744",ARBOR!$A:$C,3,0),"Maior que CAP!",IF((DOLLAR(BZ47+(VLOOKUP("PCS-OzTL744",ARBOR!$A:$C,3,0)*-TRUNC(BZ47/VLOOKUP("PCS-OzTL744",ARBOR!$A:$C,3,0)-1,4)),6))&lt;&gt;(DOLLAR(VLOOKUP("PCS-OzTL744",ARBOR!$A:$C,3,0),6)),-TRUNC(BZ47/VLOOKUP("PCS-OzTL744",ARBOR!$A:$C,3,0)-1,4)+0.0001,-TRUNC(BZ47/VLOOKUP("PCS-OzTL744",ARBOR!$A:$C,3,0)-1,4)))))</f>
        <v/>
      </c>
      <c r="CB47" s="28" t="str">
        <f>IF(ISERROR(IF(CA47="","",VLOOKUP(($BC47&amp;CA47&amp;"Template desconto FLAT Plano Principal Oi TV nível conta"),BENEFICIOS!$A:$G,5,0))),"Criar",IF(CA47="","",VLOOKUP(($BC47&amp;CA47&amp;"Template desconto FLAT Plano Principal Oi TV nível conta"),BENEFICIOS!$A:$G,5,0)))</f>
        <v/>
      </c>
      <c r="CC47" s="8"/>
      <c r="CD47" s="3" t="str">
        <f>IF(CC47=0,"",IF(CC47=VLOOKUP("PCS-OzTL743",ARBOR!$A:$C,3,0),0.0001,IF(CC47&gt;VLOOKUP("PCS-OzTL743",ARBOR!$A:$C,3,0),"Maior que CAP!",IF((DOLLAR(CC47+(VLOOKUP("PCS-OzTL743",ARBOR!$A:$C,3,0)*-TRUNC(CC47/VLOOKUP("PCS-OzTL743",ARBOR!$A:$C,3,0)-1,4)),6))&lt;&gt;(DOLLAR(VLOOKUP("PCS-OzTL743",ARBOR!$A:$C,3,0),6)),-TRUNC(CC47/VLOOKUP("PCS-OzTL743",ARBOR!$A:$C,3,0)-1,4)+0.0001,-TRUNC(CC47/VLOOKUP("PCS-OzTL743",ARBOR!$A:$C,3,0)-1,4)))))</f>
        <v/>
      </c>
      <c r="CE47" s="28" t="str">
        <f>IF(ISERROR(IF(CD47="","",VLOOKUP(($BC47&amp;CD47&amp;"Template desconto FLAT Plano Principal Oi TV nível conta"),BENEFICIOS!$A:$G,5,0))),"Criar",IF(CD47="","",VLOOKUP(($BC47&amp;CD47&amp;"Template desconto FLAT Plano Principal Oi TV nível conta"),BENEFICIOS!$A:$G,5,0)))</f>
        <v/>
      </c>
      <c r="CF47" s="8"/>
      <c r="CG47" s="3" t="str">
        <f>IF(CF47=0,"",IF(CF47=VLOOKUP("PCS-OzTL745",ARBOR!$A:$C,3,0),0.0001,IF(CF47&gt;VLOOKUP("PCS-OzTL745",ARBOR!$A:$C,3,0),"Maior que CAP!",IF((DOLLAR(CF47+(VLOOKUP("PCS-OzTL745",ARBOR!$A:$C,3,0)*-TRUNC(CF47/VLOOKUP("PCS-OzTL745",ARBOR!$A:$C,3,0)-1,4)),6))&lt;&gt;(DOLLAR(VLOOKUP("PCS-OzTL745",ARBOR!$A:$C,3,0),6)),-TRUNC(CF47/VLOOKUP("PCS-OzTL745",ARBOR!$A:$C,3,0)-1,4)+0.0001,-TRUNC(CF47/VLOOKUP("PCS-OzTL745",ARBOR!$A:$C,3,0)-1,4)))))</f>
        <v/>
      </c>
      <c r="CH47" s="28" t="str">
        <f>IF(ISERROR(IF(CG47="","",VLOOKUP(($BC47&amp;CG47&amp;"Template desconto FLAT Plano Principal Oi TV nível conta"),BENEFICIOS!$A:$G,5,0))),"Criar",IF(CG47="","",VLOOKUP(($BC47&amp;CG47&amp;"Template desconto FLAT Plano Principal Oi TV nível conta"),BENEFICIOS!$A:$G,5,0)))</f>
        <v/>
      </c>
      <c r="CI47" s="8"/>
      <c r="CJ47" s="3" t="str">
        <f>IF(CI47=0,"",IF(CI47=VLOOKUP("PCS-OzTL42",ARBOR!$A:$C,3,0),0.0001,IF(CI47&gt;VLOOKUP("PCS-OzTL42",ARBOR!$A:$C,3,0),"Maior que CAP!",IF((DOLLAR(CI47+(VLOOKUP("PCS-OzTL42",ARBOR!$A:$C,3,0)*-TRUNC(CI47/VLOOKUP("PCS-OzTL42",ARBOR!$A:$C,3,0)-1,4)),6))&lt;&gt;(DOLLAR(VLOOKUP("PCS-OzTL42",ARBOR!$A:$C,3,0),6)),-TRUNC(CI47/VLOOKUP("PCS-OzTL42",ARBOR!$A:$C,3,0)-1,4)+0.0001,-TRUNC(CI47/VLOOKUP("PCS-OzTL42",ARBOR!$A:$C,3,0)-1,4)))))</f>
        <v/>
      </c>
      <c r="CK47" s="28" t="str">
        <f>IF(ISERROR(IF(CJ47="","",VLOOKUP(($BC47&amp;CJ47&amp;"Template desconto FLAT Plano Principal Oi TV nível conta"),BENEFICIOS!$A:$G,5,0))),"Criar",IF(CJ47="","",VLOOKUP(($BC47&amp;CJ47&amp;"Template desconto FLAT Plano Principal Oi TV nível conta"),BENEFICIOS!$A:$G,5,0)))</f>
        <v/>
      </c>
      <c r="CL47" s="8"/>
      <c r="CM47" s="3" t="str">
        <f>IF(CL47=0,"",IF(CL47=VLOOKUP("PCS-OzTL47",ARBOR!$A:$C,3,0),0.0001,IF(CL47&gt;VLOOKUP("PCS-OzTL47",ARBOR!$A:$C,3,0),"Maior que CAP!",IF((DOLLAR(CL47+(VLOOKUP("PCS-OzTL47",ARBOR!$A:$C,3,0)*-TRUNC(CL47/VLOOKUP("PCS-OzTL47",ARBOR!$A:$C,3,0)-1,4)),6))&lt;&gt;(DOLLAR(VLOOKUP("PCS-OzTL47",ARBOR!$A:$C,3,0),6)),-TRUNC(CL47/VLOOKUP("PCS-OzTL47",ARBOR!$A:$C,3,0)-1,4)+0.0001,-TRUNC(CL47/VLOOKUP("PCS-OzTL47",ARBOR!$A:$C,3,0)-1,4)))))</f>
        <v/>
      </c>
      <c r="CN47" s="28" t="str">
        <f>IF(ISERROR(IF(CM47="","",VLOOKUP(($BC47&amp;CM47&amp;"Template desconto FLAT Plano Principal Oi TV nível conta"),BENEFICIOS!$A:$G,5,0))),"Criar",IF(CM47="","",VLOOKUP(($BC47&amp;CM47&amp;"Template desconto FLAT Plano Principal Oi TV nível conta"),BENEFICIOS!$A:$G,5,0)))</f>
        <v/>
      </c>
      <c r="CO47" s="8"/>
      <c r="CP47" s="3" t="str">
        <f>IF(CO47=0,"",IF(CO47=VLOOKUP("PCS-OzTL46",ARBOR!$A:$C,3,0),0.0001,IF(CO47&gt;VLOOKUP("PCS-OzTL46",ARBOR!$A:$C,3,0),"Maior que CAP!",IF((DOLLAR(CO47+(VLOOKUP("PCS-OzTL46",ARBOR!$A:$C,3,0)*-TRUNC(CO47/VLOOKUP("PCS-OzTL46",ARBOR!$A:$C,3,0)-1,4)),6))&lt;&gt;(DOLLAR(VLOOKUP("PCS-OzTL46",ARBOR!$A:$C,3,0),6)),-TRUNC(CO47/VLOOKUP("PCS-OzTL46",ARBOR!$A:$C,3,0)-1,4)+0.0001,-TRUNC(CO47/VLOOKUP("PCS-OzTL46",ARBOR!$A:$C,3,0)-1,4)))))</f>
        <v/>
      </c>
      <c r="CQ47" s="28" t="str">
        <f>IF(ISERROR(IF(CP47="","",VLOOKUP(($BC47&amp;CP47&amp;"Template desconto FLAT Plano Principal Oi TV nível conta"),BENEFICIOS!$A:$G,5,0))),"Criar",IF(CP47="","",VLOOKUP(($BC47&amp;CP47&amp;"Template desconto FLAT Plano Principal Oi TV nível conta"),BENEFICIOS!$A:$G,5,0)))</f>
        <v/>
      </c>
      <c r="CR47" s="8"/>
      <c r="CS47" s="3" t="str">
        <f>IF(CR47=0,"",IF(CR47=VLOOKUP("PCS-OzTL48",ARBOR!$A:$C,3,0),0.0001,IF(CR47&gt;VLOOKUP("PCS-OzTL48",ARBOR!$A:$C,3,0),"Maior que CAP!",IF((DOLLAR(CR47+(VLOOKUP("PCS-OzTL48",ARBOR!$A:$C,3,0)*-TRUNC(CR47/VLOOKUP("PCS-OzTL48",ARBOR!$A:$C,3,0)-1,4)),6))&lt;&gt;(DOLLAR(VLOOKUP("PCS-OzTL48",ARBOR!$A:$C,3,0),6)),-TRUNC(CR47/VLOOKUP("PCS-OzTL48",ARBOR!$A:$C,3,0)-1,4)+0.0001,-TRUNC(CR47/VLOOKUP("PCS-OzTL48",ARBOR!$A:$C,3,0)-1,4)))))</f>
        <v/>
      </c>
      <c r="CT47" s="28" t="str">
        <f>IF(ISERROR(IF(CS47="","",VLOOKUP(($BC47&amp;CS47&amp;"Template desconto FLAT Plano Principal Oi TV nível conta"),BENEFICIOS!$A:$G,5,0))),"Criar",IF(CS47="","",VLOOKUP(($BC47&amp;CS47&amp;"Template desconto FLAT Plano Principal Oi TV nível conta"),BENEFICIOS!$A:$G,5,0)))</f>
        <v/>
      </c>
      <c r="CU47" s="8"/>
      <c r="CV47" s="3" t="str">
        <f>IF(CU47=0,"",IF(CU47=VLOOKUP("PCS-OzTL742",ARBOR!$A:$C,3,0),0.0001,IF(CU47&gt;VLOOKUP("PCS-OzTL742",ARBOR!$A:$C,3,0),"Maior que CAP!",IF((DOLLAR(CU47+(VLOOKUP("PCS-OzTL742",ARBOR!$A:$C,3,0)*-TRUNC(CU47/VLOOKUP("PCS-OzTL742",ARBOR!$A:$C,3,0)-1,4)),6))&lt;&gt;(DOLLAR(VLOOKUP("PCS-OzTL742",ARBOR!$A:$C,3,0),6)),-TRUNC(CU47/VLOOKUP("PCS-OzTL742",ARBOR!$A:$C,3,0)-1,4)+0.0001,-TRUNC(CU47/VLOOKUP("PCS-OzTL742",ARBOR!$A:$C,3,0)-1,4)))))</f>
        <v/>
      </c>
      <c r="CW47" s="28" t="str">
        <f>IF(ISERROR(IF(CV47="","",VLOOKUP(($BC47&amp;CV47&amp;"Template desconto FLAT Plano Principal Oi TV nível conta"),BENEFICIOS!$A:$G,5,0))),"Criar",IF(CV47="","",VLOOKUP(($BC47&amp;CV47&amp;"Template desconto FLAT Plano Principal Oi TV nível conta"),BENEFICIOS!$A:$G,5,0)))</f>
        <v/>
      </c>
      <c r="CX47" s="8"/>
      <c r="CY47" s="3" t="str">
        <f>IF(CX47=0,"",IF(CX47=VLOOKUP("PCS-OzTL747",ARBOR!$A:$C,3,0),0.0001,IF(CX47&gt;VLOOKUP("PCS-OzTL747",ARBOR!$A:$C,3,0),"Maior que CAP!",IF((DOLLAR(CX47+(VLOOKUP("PCS-OzTL747",ARBOR!$A:$C,3,0)*-TRUNC(CX47/VLOOKUP("PCS-OzTL747",ARBOR!$A:$C,3,0)-1,4)),6))&lt;&gt;(DOLLAR(VLOOKUP("PCS-OzTL747",ARBOR!$A:$C,3,0),6)),-TRUNC(CX47/VLOOKUP("PCS-OzTL747",ARBOR!$A:$C,3,0)-1,4)+0.0001,-TRUNC(CX47/VLOOKUP("PCS-OzTL747",ARBOR!$A:$C,3,0)-1,4)))))</f>
        <v/>
      </c>
      <c r="CZ47" s="28" t="str">
        <f>IF(ISERROR(IF(CY47="","",VLOOKUP(($BC47&amp;CY47&amp;"Template desconto FLAT Plano Principal Oi TV nível conta"),BENEFICIOS!$A:$G,5,0))),"Criar",IF(CY47="","",VLOOKUP(($BC47&amp;CY47&amp;"Template desconto FLAT Plano Principal Oi TV nível conta"),BENEFICIOS!$A:$G,5,0)))</f>
        <v/>
      </c>
      <c r="DA47" s="8"/>
      <c r="DB47" s="3" t="str">
        <f>IF(DA47=0,"",IF(DA47=VLOOKUP("PCS-OzTL746",ARBOR!$A:$C,3,0),0.0001,IF(DA47&gt;VLOOKUP("PCS-OzTL746",ARBOR!$A:$C,3,0),"Maior que CAP!",IF((DOLLAR(DA47+(VLOOKUP("PCS-OzTL746",ARBOR!$A:$C,3,0)*-TRUNC(DA47/VLOOKUP("PCS-OzTL746",ARBOR!$A:$C,3,0)-1,4)),6))&lt;&gt;(DOLLAR(VLOOKUP("PCS-OzTL746",ARBOR!$A:$C,3,0),6)),-TRUNC(DA47/VLOOKUP("PCS-OzTL746",ARBOR!$A:$C,3,0)-1,4)+0.0001,-TRUNC(DA47/VLOOKUP("PCS-OzTL746",ARBOR!$A:$C,3,0)-1,4)))))</f>
        <v/>
      </c>
      <c r="DC47" s="28" t="str">
        <f>IF(ISERROR(IF(DB47="","",VLOOKUP(($BC47&amp;DB47&amp;"Template desconto FLAT Plano Principal Oi TV nível conta"),BENEFICIOS!$A:$G,5,0))),"Criar",IF(DB47="","",VLOOKUP(($BC47&amp;DB47&amp;"Template desconto FLAT Plano Principal Oi TV nível conta"),BENEFICIOS!$A:$G,5,0)))</f>
        <v/>
      </c>
      <c r="DD47" s="8"/>
      <c r="DE47" s="3" t="str">
        <f>IF(DD47=0,"",IF(DD47=VLOOKUP("PCS-OzTL748",ARBOR!$A:$C,3,0),0.0001,IF(DD47&gt;VLOOKUP("PCS-OzTL748",ARBOR!$A:$C,3,0),"Maior que CAP!",IF((DOLLAR(DD47+(VLOOKUP("PCS-OzTL748",ARBOR!$A:$C,3,0)*-TRUNC(DD47/VLOOKUP("PCS-OzTL748",ARBOR!$A:$C,3,0)-1,4)),6))&lt;&gt;(DOLLAR(VLOOKUP("PCS-OzTL748",ARBOR!$A:$C,3,0),6)),-TRUNC(DD47/VLOOKUP("PCS-OzTL748",ARBOR!$A:$C,3,0)-1,4)+0.0001,-TRUNC(DD47/VLOOKUP("PCS-OzTL748",ARBOR!$A:$C,3,0)-1,4)))))</f>
        <v/>
      </c>
      <c r="DF47" s="28" t="str">
        <f>IF(ISERROR(IF(DE47="","",VLOOKUP(($BC47&amp;DE47&amp;"Template desconto FLAT Plano Principal Oi TV nível conta"),BENEFICIOS!$A:$G,5,0))),"Criar",IF(DE47="","",VLOOKUP(($BC47&amp;DE47&amp;"Template desconto FLAT Plano Principal Oi TV nível conta"),BENEFICIOS!$A:$G,5,0)))</f>
        <v/>
      </c>
      <c r="DG47" s="8"/>
      <c r="DH47" s="3" t="str">
        <f>IF(DG47=0,"",IF(DG47=VLOOKUP("PCS-OzTL34",ARBOR!$A:$C,3,0),0.0001,IF(DG47&gt;VLOOKUP("PCS-OzTL34",ARBOR!$A:$C,3,0),"Maior que CAP!",IF((DOLLAR(DG47+(VLOOKUP("PCS-OzTL34",ARBOR!$A:$C,3,0)*-TRUNC(DG47/VLOOKUP("PCS-OzTL34",ARBOR!$A:$C,3,0)-1,4)),6))&lt;&gt;(DOLLAR(VLOOKUP("PCS-OzTL34",ARBOR!$A:$C,3,0),6)),-TRUNC(DG47/VLOOKUP("PCS-OzTL34",ARBOR!$A:$C,3,0)-1,4)+0.0001,-TRUNC(DG47/VLOOKUP("PCS-OzTL34",ARBOR!$A:$C,3,0)-1,4)))))</f>
        <v/>
      </c>
      <c r="DI47" s="28" t="str">
        <f>IF(DH47="S/Desc","S/Desc",IF(ISERROR(IF(DH47="","",VLOOKUP(($BC47&amp;DH47&amp;"Template desconto % Combate nível conta"),BENEFICIOS!$A:$G,5,0))),"Criar",IF(DH47="","",VLOOKUP(($BC47&amp;DH47&amp;"Template desconto % Combate nível conta"),BENEFICIOS!$A:$G,5,0))))</f>
        <v/>
      </c>
      <c r="DJ47" s="8"/>
      <c r="DK47" s="3" t="str">
        <f>IF(DJ47=0,"",IF(DJ47=VLOOKUP("PCS-OzTL31",ARBOR!$A:$C,3,0),0.0001,IF(DJ47&gt;VLOOKUP("PCS-OzTL31",ARBOR!$A:$C,3,0),"Maior que CAP!",IF((DOLLAR(DJ47+(VLOOKUP("PCS-OzTL31",ARBOR!$A:$C,3,0)*-TRUNC(DJ47/VLOOKUP("PCS-OzTL31",ARBOR!$A:$C,3,0)-1,4)),6))&lt;&gt;(DOLLAR(VLOOKUP("PCS-OzTL31",ARBOR!$A:$C,3,0),6)),-TRUNC(DJ47/VLOOKUP("PCS-OzTL31",ARBOR!$A:$C,3,0)-1,4)+0.0001,-TRUNC(DJ47/VLOOKUP("PCS-OzTL31",ARBOR!$A:$C,3,0)-1,4)))))</f>
        <v/>
      </c>
      <c r="DL47" s="28" t="str">
        <f>IF(DK47="S/Desc","S/Desc",IF(ISERROR(IF(DK47="","",VLOOKUP(($BC47&amp;DK47&amp;"Template desconto % Sexy Hot nível conta"),BENEFICIOS!$A:$G,5,0))),"Criar",IF(DK47="","",VLOOKUP(($BC47&amp;DK47&amp;"Template desconto % Sexy Hot nível conta"),BENEFICIOS!$A:$G,5,0))))</f>
        <v/>
      </c>
      <c r="DM47" s="8"/>
      <c r="DN47" s="3" t="str">
        <f>IF(DM47=0,"",IF(DM47=VLOOKUP("PCS-OzTL32",ARBOR!$A:$C,3,0),0.0001,IF(DM47&gt;VLOOKUP("PCS-OzTL32",ARBOR!$A:$C,3,0),"Maior que CAP!",IF((DOLLAR(DM47+(VLOOKUP("PCS-OzTL32",ARBOR!$A:$C,3,0)*-TRUNC(DM47/VLOOKUP("PCS-OzTL32",ARBOR!$A:$C,3,0)-1,4)),6))&lt;&gt;(DOLLAR(VLOOKUP("PCS-OzTL32",ARBOR!$A:$C,3,0),6)),-TRUNC(DM47/VLOOKUP("PCS-OzTL32",ARBOR!$A:$C,3,0)-1,4)+0.0001,-TRUNC(DM47/VLOOKUP("PCS-OzTL32",ARBOR!$A:$C,3,0)-1,4)))))</f>
        <v/>
      </c>
      <c r="DO47" s="28" t="str">
        <f>IF(DN47="S/Desc","S/Desc",IF(ISERROR(IF(DN47="","",VLOOKUP(($BC47&amp;DN47&amp;"Template desconto % Playboy nível conta"),BENEFICIOS!$A:$G,5,0))),"Criar",IF(DN47="","",VLOOKUP(($BC47&amp;DN47&amp;"Template desconto % Playboy nível conta"),BENEFICIOS!$A:$G,5,0))))</f>
        <v/>
      </c>
      <c r="DP47" s="8"/>
      <c r="DQ47" s="3" t="str">
        <f>IF(DP47=0,"",IF(DP47=VLOOKUP("PCS-OzTL33",ARBOR!$A:$C,3,0),0.0001,IF(DP47&gt;VLOOKUP("PCS-OzTL33",ARBOR!$A:$C,3,0),"Maior que CAP!",IF((DOLLAR(DP47+(VLOOKUP("PCS-OzTL33",ARBOR!$A:$C,3,0)*-TRUNC(DP47/VLOOKUP("PCS-OzTL33",ARBOR!$A:$C,3,0)-1,4)),6))&lt;&gt;(DOLLAR(VLOOKUP("PCS-OzTL33",ARBOR!$A:$C,3,0),6)),-TRUNC(DP47/VLOOKUP("PCS-OzTL33",ARBOR!$A:$C,3,0)-1,4)+0.0001,-TRUNC(DP47/VLOOKUP("PCS-OzTL33",ARBOR!$A:$C,3,0)-1,4)))))</f>
        <v/>
      </c>
      <c r="DR47" s="28" t="str">
        <f>IF(DQ47="S/Desc","S/Desc",IF(ISERROR(IF(DQ47="","",VLOOKUP(($BC47&amp;DQ47&amp;"Template desconto % Sexy Hot + Playboy nível conta"),BENEFICIOS!$A:$G,5,0))),"Criar",IF(DQ47="","",VLOOKUP(($BC47&amp;DQ47&amp;"Template desconto % Sexy Hot + Playboy nível conta"),BENEFICIOS!$A:$G,5,0))))</f>
        <v/>
      </c>
      <c r="DS47" s="8"/>
      <c r="DT47" s="3" t="str">
        <f>IF(DS47=0,"",IF(DS47=VLOOKUP("PCS-OzTL503",ARBOR!$A:$C,3,0),0.0001,IF(DS47&gt;VLOOKUP("PCS-OzTL503",ARBOR!$A:$C,3,0),"Maior que CAP!",IF((DOLLAR(DS47+(VLOOKUP("PCS-OzTL503",ARBOR!$A:$C,3,0)*-TRUNC(DS47/VLOOKUP("PCS-OzTL503",ARBOR!$A:$C,3,0)-1,4)),6))&lt;&gt;(DOLLAR(VLOOKUP("PCS-OzTL503",ARBOR!$A:$C,3,0),6)),-TRUNC(DS47/VLOOKUP("PCS-OzTL503",ARBOR!$A:$C,3,0)-1,4)+0.0001,-TRUNC(DS47/VLOOKUP("PCS-OzTL503",ARBOR!$A:$C,3,0)-1,4)))))</f>
        <v/>
      </c>
      <c r="DU47" s="28" t="str">
        <f>IF(DT47="S/Desc","S/Desc",IF(ISERROR(IF(DT47="","",VLOOKUP(($BC47&amp;DT47&amp;"Template desconto % SexPrivê nível conta"),BENEFICIOS!$A:$G,5,0))),"Criar",IF(DT47="","",VLOOKUP(($BC47&amp;DT47&amp;"Template desconto % SexPrivê nível conta"),BENEFICIOS!$A:$G,5,0))))</f>
        <v/>
      </c>
      <c r="DV47" s="8"/>
      <c r="DW47" s="3" t="str">
        <f>IF(DV47=0,"",IF(DV47=VLOOKUP("PCS-OzTL500",ARBOR!$A:$C,3,0),0.0001,IF(DV47&gt;VLOOKUP("PCS-OzTL500",ARBOR!$A:$C,3,0),"Maior que CAP!",IF((DOLLAR(DV47+(VLOOKUP("PCS-OzTL500",ARBOR!$A:$C,3,0)*-TRUNC(DV47/VLOOKUP("PCS-OzTL500",ARBOR!$A:$C,3,0)-1,4)),6))&lt;&gt;(DOLLAR(VLOOKUP("PCS-OzTL500",ARBOR!$A:$C,3,0),6)),-TRUNC(DV47/VLOOKUP("PCS-OzTL500",ARBOR!$A:$C,3,0)-1,4)+0.0001,-TRUNC(DV47/VLOOKUP("PCS-OzTL500",ARBOR!$A:$C,3,0)-1,4)))))</f>
        <v/>
      </c>
      <c r="DX47" s="28" t="str">
        <f>IF(DW47="S/Desc","S/Desc",IF(ISERROR(IF(DW47="","",VLOOKUP(($BC47&amp;DW47&amp;"Template desconto % Étnico nível conta"),BENEFICIOS!$A:$G,5,0))),"Criar",IF(DW47="","",VLOOKUP(($BC47&amp;DW47&amp;"Template desconto % Étnico nível conta"),BENEFICIOS!$A:$G,5,0))))</f>
        <v/>
      </c>
      <c r="DY47" s="8"/>
      <c r="DZ47" s="181" t="str">
        <f>IF(DY47=0,"",IF(DY47=VLOOKUP("PCS-OzTL50",ARBOR!$A:$C,3,0),0.0001,IF(DY47&gt;VLOOKUP("PCS-OzTL50",ARBOR!$A:$C,3,0),"Maior que CAP!",IF((DOLLAR(DY47+(VLOOKUP("PCS-OzTL50",ARBOR!$A:$C,3,0)*-TRUNC(DY47/VLOOKUP("PCS-OzTL50",ARBOR!$A:$C,3,0)-1,4)),6))&lt;&gt;(DOLLAR(VLOOKUP("PCS-OzTL50",ARBOR!$A:$C,3,0),6)),-TRUNC(DY47/VLOOKUP("PCS-OzTL50",ARBOR!$A:$C,3,0)-1,4)+0.0001,-TRUNC(DY47/VLOOKUP("PCS-OzTL50",ARBOR!$A:$C,3,0)-1,4)))))</f>
        <v/>
      </c>
      <c r="EA47" s="28"/>
      <c r="EB47" s="8"/>
      <c r="EC47" s="181" t="str">
        <f>IF(EB47=0,"",IF(EB47=VLOOKUP("PCS-OzTL51",ARBOR!$A:$C,3,0),0.0001,IF(EB47&gt;VLOOKUP("PCS-OzTL51",ARBOR!$A:$C,3,0),"Maior que CAP!",IF((DOLLAR(EB47+(VLOOKUP("PCS-OzTL51",ARBOR!$A:$C,3,0)*-TRUNC(EB47/VLOOKUP("PCS-OzTL51",ARBOR!$A:$C,3,0)-1,4)),6))&lt;&gt;(DOLLAR(VLOOKUP("PCS-OzTL51",ARBOR!$A:$C,3,0),6)),-TRUNC(EB47/VLOOKUP("PCS-OzTL51",ARBOR!$A:$C,3,0)-1,4)+0.0001,-TRUNC(EB47/VLOOKUP("PCS-OzTL51",ARBOR!$A:$C,3,0)-1,4)))))</f>
        <v/>
      </c>
      <c r="ED47" s="28"/>
      <c r="EE47" s="8"/>
      <c r="EF47" s="181" t="str">
        <f>IF(EE47=0,"",IF(EE47=VLOOKUP("PCS-OzTL52",ARBOR!$A:$C,3,0),0.0001,IF(EE47&gt;VLOOKUP("PCS-OzTL52",ARBOR!$A:$C,3,0),"Maior que CAP!",IF((DOLLAR(EE47+(VLOOKUP("PCS-OzTL52",ARBOR!$A:$C,3,0)*-TRUNC(EE47/VLOOKUP("PCS-OzTL52",ARBOR!$A:$C,3,0)-1,4)),6))&lt;&gt;(DOLLAR(VLOOKUP("PCS-OzTL52",ARBOR!$A:$C,3,0),6)),-TRUNC(EE47/VLOOKUP("PCS-OzTL52",ARBOR!$A:$C,3,0)-1,4)+0.0001,-TRUNC(EE47/VLOOKUP("PCS-OzTL52",ARBOR!$A:$C,3,0)-1,4)))))</f>
        <v/>
      </c>
      <c r="EG47" s="28"/>
      <c r="EH47" s="8"/>
      <c r="EI47" s="181" t="str">
        <f>IF(EH47=0,"",IF(EH47=VLOOKUP("PCS-OzTL53",ARBOR!$A:$C,3,0),0.0001,IF(EH47&gt;VLOOKUP("PCS-OzTL53",ARBOR!$A:$C,3,0),"Maior que CAP!",IF((DOLLAR(EH47+(VLOOKUP("PCS-OzTL53",ARBOR!$A:$C,3,0)*-TRUNC(EH47/VLOOKUP("PCS-OzTL53",ARBOR!$A:$C,3,0)-1,4)),6))&lt;&gt;(DOLLAR(VLOOKUP("PCS-OzTL53",ARBOR!$A:$C,3,0),6)),-TRUNC(EH47/VLOOKUP("PCS-OzTL53",ARBOR!$A:$C,3,0)-1,4)+0.0001,-TRUNC(EH47/VLOOKUP("PCS-OzTL53",ARBOR!$A:$C,3,0)-1,4)))))</f>
        <v/>
      </c>
      <c r="EJ47" s="28"/>
      <c r="EK47" s="8"/>
      <c r="EL47" s="181" t="str">
        <f>IF(EK47=0,"",IF(EK47=VLOOKUP("PCS-OzTL54",ARBOR!$A:$C,3,0),0.0001,IF(EK47&gt;VLOOKUP("PCS-OzTL54",ARBOR!$A:$C,3,0),"Maior que CAP!",IF((DOLLAR(EK47+(VLOOKUP("PCS-OzTL54",ARBOR!$A:$C,3,0)*-TRUNC(EK47/VLOOKUP("PCS-OzTL54",ARBOR!$A:$C,3,0)-1,4)),6))&lt;&gt;(DOLLAR(VLOOKUP("PCS-OzTL54",ARBOR!$A:$C,3,0),6)),-TRUNC(EK47/VLOOKUP("PCS-OzTL54",ARBOR!$A:$C,3,0)-1,4)+0.0001,-TRUNC(EK47/VLOOKUP("PCS-OzTL54",ARBOR!$A:$C,3,0)-1,4)))))</f>
        <v/>
      </c>
      <c r="EM47" s="28"/>
      <c r="EN47" s="8"/>
      <c r="EO47" s="3" t="str">
        <f>IF(EN47=0,"",IF(EN47=VLOOKUP("PCS-OzTL99",ARBOR!$A:$C,3,0),0.0001,IF(EN47&gt;VLOOKUP("PCS-OzTL99",ARBOR!$A:$C,3,0),"Maior que CAP!",IF((DOLLAR(EN47+(VLOOKUP("PCS-OzTL99",ARBOR!$A:$C,3,0)*-TRUNC(EN47/VLOOKUP("PCS-OzTL99",ARBOR!$A:$C,3,0)-1,4)),6))&lt;&gt;(DOLLAR(VLOOKUP("PCS-OzTL99",ARBOR!$A:$C,3,0),6)),-TRUNC(EN47/VLOOKUP("PCS-OzTL99",ARBOR!$A:$C,3,0)-1,4)+0.0001,-TRUNC(EN47/VLOOKUP("PCS-OzTL99",ARBOR!$A:$C,3,0)-1,4)))))</f>
        <v/>
      </c>
      <c r="EP47" s="28" t="str">
        <f>IF(EO47="S/Desc","S/Desc",IF(ISERROR(IF(EO47="","",VLOOKUP(($BC47&amp;EO47&amp;"Template desconto % Ponto adicional nível conta"),BENEFICIOS!$A:$G,5,0))),"Criar",IF(EO47="","",VLOOKUP(($BC47&amp;EO47&amp;"Template desconto % Ponto adicional nível conta"),BENEFICIOS!$A:$G,5,0))))</f>
        <v/>
      </c>
      <c r="EQ47" s="8"/>
      <c r="ER47" s="28" t="str">
        <f t="shared" si="23"/>
        <v/>
      </c>
      <c r="ES47" s="62"/>
      <c r="ET47" s="126"/>
      <c r="EU47" s="127"/>
      <c r="EV47" s="126"/>
      <c r="EW47" s="128" t="str">
        <f t="shared" si="24"/>
        <v/>
      </c>
      <c r="EX47" s="129" t="str">
        <f t="shared" si="25"/>
        <v/>
      </c>
      <c r="EY47" s="91" t="str">
        <f t="shared" si="26"/>
        <v/>
      </c>
      <c r="EZ47" s="85"/>
      <c r="FA47" s="97"/>
      <c r="FB47" s="91"/>
      <c r="FC47" s="85"/>
      <c r="FD47" s="97"/>
      <c r="FE47" s="91"/>
      <c r="FF47" s="87"/>
      <c r="FG47" s="144" t="str">
        <f t="shared" si="5"/>
        <v/>
      </c>
      <c r="FH47" s="144" t="str">
        <f t="shared" si="6"/>
        <v/>
      </c>
      <c r="FI47" s="144" t="str">
        <f t="shared" si="7"/>
        <v/>
      </c>
      <c r="FJ47" s="144" t="str">
        <f t="shared" si="8"/>
        <v/>
      </c>
      <c r="FK47" s="144" t="str">
        <f t="shared" si="9"/>
        <v/>
      </c>
      <c r="FL47" s="144" t="str">
        <f t="shared" si="10"/>
        <v/>
      </c>
      <c r="FM47" s="144" t="str">
        <f t="shared" si="11"/>
        <v/>
      </c>
      <c r="FN47" s="144" t="str">
        <f t="shared" si="12"/>
        <v/>
      </c>
      <c r="FO47" s="144" t="str">
        <f t="shared" si="13"/>
        <v/>
      </c>
      <c r="FP47" s="144" t="str">
        <f t="shared" si="14"/>
        <v/>
      </c>
      <c r="FQ47" s="144" t="str">
        <f t="shared" si="15"/>
        <v/>
      </c>
      <c r="FR47" s="144" t="str">
        <f t="shared" si="16"/>
        <v/>
      </c>
      <c r="FS47" s="144" t="str">
        <f t="shared" si="17"/>
        <v/>
      </c>
      <c r="FT47" s="144" t="str">
        <f t="shared" si="18"/>
        <v/>
      </c>
      <c r="FU47" s="144" t="str">
        <f t="shared" si="19"/>
        <v/>
      </c>
      <c r="FV47" s="144" t="str">
        <f t="shared" si="20"/>
        <v/>
      </c>
      <c r="FW47" s="144" t="str">
        <f t="shared" si="21"/>
        <v/>
      </c>
      <c r="FX47" s="151"/>
      <c r="FY47" s="152"/>
      <c r="FZ47" s="152"/>
      <c r="GA47" s="152"/>
      <c r="GB47" s="152"/>
      <c r="GC47" s="152"/>
      <c r="GD47" s="152"/>
      <c r="GE47" s="152"/>
      <c r="GF47" s="152"/>
      <c r="GG47" s="153"/>
    </row>
    <row r="48" spans="1:189">
      <c r="A48" s="45"/>
      <c r="B48" s="133"/>
      <c r="C48" s="133"/>
      <c r="D48" s="46"/>
      <c r="E48" s="4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9"/>
      <c r="U48" s="48"/>
      <c r="V48" s="49"/>
      <c r="W48" s="48"/>
      <c r="X48" s="48"/>
      <c r="Y48" s="48"/>
      <c r="Z48" s="48"/>
      <c r="AA48" s="49"/>
      <c r="AB48" s="48"/>
      <c r="AC48" s="50"/>
      <c r="AD48" s="48"/>
      <c r="AE48" s="48"/>
      <c r="AF48" s="48"/>
      <c r="AG48" s="48"/>
      <c r="AH48" s="48"/>
      <c r="AI48" s="48"/>
      <c r="AJ48" s="48"/>
      <c r="AK48" s="48"/>
      <c r="AL48" s="51"/>
      <c r="AM48" s="37"/>
      <c r="AN48" s="38"/>
      <c r="AO48" s="39"/>
      <c r="AP48" s="52"/>
      <c r="AQ48" s="53"/>
      <c r="AR48" s="64"/>
      <c r="AS48" s="65"/>
      <c r="AT48" s="54"/>
      <c r="AU48" s="54"/>
      <c r="AV48" s="54"/>
      <c r="AW48" s="54"/>
      <c r="AX48" s="70"/>
      <c r="AY48" s="71"/>
      <c r="AZ48" s="72"/>
      <c r="BA48" s="73"/>
      <c r="BB48" s="55"/>
      <c r="BC48" s="56"/>
      <c r="BD48" s="27" t="str">
        <f t="shared" si="22"/>
        <v/>
      </c>
      <c r="BE48" s="58"/>
      <c r="BF48" s="3" t="str">
        <f>IF(BE48=0,"",IF(BE48=VLOOKUP("FIXO",ARBOR!$A:$C,3,0),0.0001,IF(BE48&gt;VLOOKUP("FIXO",ARBOR!$A:$C,3,0),"Maior que CAP!",IF((DOLLAR(BE48+(VLOOKUP("FIXO",ARBOR!$A:$C,3,0)*-TRUNC(BE48/VLOOKUP("FIXO",ARBOR!$A:$C,3,0)-1,4)),6))&lt;&gt;(DOLLAR(VLOOKUP("FIXO",ARBOR!$A:$C,3,0),6)),-TRUNC(BE48/VLOOKUP("FIXO",ARBOR!$A:$C,3,0)-1,4)+0.0001,-TRUNC(BE48/VLOOKUP("FIXO",ARBOR!$A:$C,3,0)-1,4)))))</f>
        <v/>
      </c>
      <c r="BG48" s="10" t="str">
        <f>IF(ISERROR(IF(BF48="","",VLOOKUP(($BC48&amp;BF48&amp;"Template de desconto FLAT bundle - Fixo - Varejo - Ganho Tributário Cross"),BENEFICIOS!$A:$G,5,0))),"Criar",IF(BF48="","",VLOOKUP(($BC48&amp;BF48&amp;"Template de desconto FLAT bundle - Fixo - Varejo - Ganho Tributário Cross"),BENEFICIOS!$A:$G,5,0)))</f>
        <v/>
      </c>
      <c r="BH48" s="8"/>
      <c r="BI48" s="3" t="str">
        <f>IF(BH48=0,"",IF(BH48=VLOOKUP("PCS-OzTL40",ARBOR!$A:$C,3,0),0.0001,IF(BH48&gt;VLOOKUP("PCS-OzTL40",ARBOR!$A:$C,3,0),"Maior que CAP!",IF((DOLLAR(BH48+(VLOOKUP("PCS-OzTL40",ARBOR!$A:$C,3,0)*-TRUNC(BH48/VLOOKUP("PCS-OzTL40",ARBOR!$A:$C,3,0)-1,4)),6))&lt;&gt;(DOLLAR(VLOOKUP("PCS-OzTL40",ARBOR!$A:$C,3,0),6)),-TRUNC(BH48/VLOOKUP("PCS-OzTL40",ARBOR!$A:$C,3,0)-1,4)+0.0001,-TRUNC(BH48/VLOOKUP("PCS-OzTL40",ARBOR!$A:$C,3,0)-1,4)))))</f>
        <v/>
      </c>
      <c r="BJ48" s="10" t="str">
        <f>IF(ISERROR(IF(BI48="","",VLOOKUP((BC48&amp;BI48&amp;"Template desconto FLAT Plano Principal Oi TV nível conta"),BENEFICIOS!$A:$G,5,0))),"Criar",IF(BI48="","",VLOOKUP((BC48&amp;BI48&amp;"Template desconto FLAT Plano Principal Oi TV nível conta"),BENEFICIOS!$A:$G,5,0)))</f>
        <v/>
      </c>
      <c r="BK48" s="8"/>
      <c r="BL48" s="3" t="str">
        <f>IF(BK48=0,"",IF(BK48=VLOOKUP("PCS-OzTL41",ARBOR!$A:$C,3,0),0.0001,IF(BK48&gt;VLOOKUP("PCS-OzTL41",ARBOR!$A:$C,3,0),"Maior que CAP!",IF((DOLLAR(BK48+(VLOOKUP("PCS-OzTL41",ARBOR!$A:$C,3,0)*-TRUNC(BK48/VLOOKUP("PCS-OzTL41",ARBOR!$A:$C,3,0)-1,4)),6))&lt;&gt;(DOLLAR(VLOOKUP("PCS-OzTL41",ARBOR!$A:$C,3,0),6)),-TRUNC(BK48/VLOOKUP("PCS-OzTL41",ARBOR!$A:$C,3,0)-1,4)+0.0001,-TRUNC(BK48/VLOOKUP("PCS-OzTL41",ARBOR!$A:$C,3,0)-1,4)))))</f>
        <v/>
      </c>
      <c r="BM48" s="28" t="str">
        <f>IF(ISERROR(IF(BL48="","",VLOOKUP((BC48&amp;BL48&amp;"Template desconto FLAT Plano Principal Oi TV nível conta"),BENEFICIOS!$A:$G,5,0))),"Criar",IF(BL48="","",VLOOKUP((BC48&amp;BL48&amp;"Template desconto FLAT Plano Principal Oi TV nível conta"),BENEFICIOS!$A:$G,5,0)))</f>
        <v/>
      </c>
      <c r="BN48" s="8"/>
      <c r="BO48" s="3" t="str">
        <f>IF(BN48=0,"",IF(BN48=VLOOKUP("PCS-OzTL44",ARBOR!$A:$C,3,0),0.0001,IF(BN48&gt;VLOOKUP("PCS-OzTL44",ARBOR!$A:$C,3,0),"Maior que CAP!",IF((DOLLAR(BN48+(VLOOKUP("PCS-OzTL44",ARBOR!$A:$C,3,0)*-TRUNC(BN48/VLOOKUP("PCS-OzTL44",ARBOR!$A:$C,3,0)-1,4)),6))&lt;&gt;(DOLLAR(VLOOKUP("PCS-OzTL44",ARBOR!$A:$C,3,0),6)),-TRUNC(BN48/VLOOKUP("PCS-OzTL44",ARBOR!$A:$C,3,0)-1,4)+0.0001,-TRUNC(BN48/VLOOKUP("PCS-OzTL44",ARBOR!$A:$C,3,0)-1,4)))))</f>
        <v/>
      </c>
      <c r="BP48" s="28" t="str">
        <f>IF(ISERROR(IF(BO48="","",VLOOKUP((BC48&amp;BO48&amp;"Template desconto FLAT Plano Principal Oi TV nível conta"),BENEFICIOS!$A:$G,5,0))),"Criar",IF(BO48="","",VLOOKUP((BC48&amp;BO48&amp;"Template desconto FLAT Plano Principal Oi TV nível conta"),BENEFICIOS!$A:$G,5,0)))</f>
        <v/>
      </c>
      <c r="BQ48" s="8"/>
      <c r="BR48" s="3" t="str">
        <f>IF(BQ48=0,"",IF(BQ48=VLOOKUP("PCS-OzTL43",ARBOR!$A:$C,3,0),0.0001,IF(BQ48&gt;VLOOKUP("PCS-OzTL43",ARBOR!$A:$C,3,0),"Maior que CAP!",IF((DOLLAR(BQ48+(VLOOKUP("PCS-OzTL43",ARBOR!$A:$C,3,0)*-TRUNC(BQ48/VLOOKUP("PCS-OzTL43",ARBOR!$A:$C,3,0)-1,4)),6))&lt;&gt;(DOLLAR(VLOOKUP("PCS-OzTL43",ARBOR!$A:$C,3,0),6)),-TRUNC(BQ48/VLOOKUP("PCS-OzTL43",ARBOR!$A:$C,3,0)-1,4)+0.0001,-TRUNC(BQ48/VLOOKUP("PCS-OzTL43",ARBOR!$A:$C,3,0)-1,4)))))</f>
        <v/>
      </c>
      <c r="BS48" s="28" t="str">
        <f>IF(ISERROR(IF(BR48="","",VLOOKUP((BC48&amp;BR48&amp;"Template desconto FLAT Plano Principal Oi TV nível conta"),BENEFICIOS!$A:$G,5,0))),"Criar",IF(BR48="","",VLOOKUP((BC48&amp;BR48&amp;"Template desconto FLAT Plano Principal Oi TV nível conta"),BENEFICIOS!$A:$G,5,0)))</f>
        <v/>
      </c>
      <c r="BT48" s="8"/>
      <c r="BU48" s="3" t="str">
        <f>IF(BT48=0,"",IF(BT48=VLOOKUP("PCS-OzTL45",ARBOR!$A:$C,3,0),0.0001,IF(BT48&gt;VLOOKUP("PCS-OzTL45",ARBOR!$A:$C,3,0),"Maior que CAP!",IF((DOLLAR(BT48+(VLOOKUP("PCS-OzTL45",ARBOR!$A:$C,3,0)*-TRUNC(BT48/VLOOKUP("PCS-OzTL45",ARBOR!$A:$C,3,0)-1,4)),6))&lt;&gt;(DOLLAR(VLOOKUP("PCS-OzTL45",ARBOR!$A:$C,3,0),6)),-TRUNC(BT48/VLOOKUP("PCS-OzTL45",ARBOR!$A:$C,3,0)-1,4)+0.0001,-TRUNC(BT48/VLOOKUP("PCS-OzTL45",ARBOR!$A:$C,3,0)-1,4)))))</f>
        <v/>
      </c>
      <c r="BV48" s="28" t="str">
        <f>IF(ISERROR(IF(BU48="","",VLOOKUP((BC48&amp;BU48&amp;"Template desconto FLAT Plano Principal Oi TV nível conta"),BENEFICIOS!$A:$G,5,0))),"Criar",IF(BU48="","",VLOOKUP((BC48&amp;BU48&amp;"Template desconto FLAT Plano Principal Oi TV nível conta"),BENEFICIOS!$A:$G,5,0)))</f>
        <v/>
      </c>
      <c r="BW48" s="8"/>
      <c r="BX48" s="3" t="str">
        <f>IF(BW48=0,"",IF(BW48=VLOOKUP("PCS-OzTL741",ARBOR!$A:$C,3,0),0.0001,IF(BW48&gt;VLOOKUP("PCS-OzTL741",ARBOR!$A:$C,3,0),"Maior que CAP!",IF((DOLLAR(BW48+(VLOOKUP("PCS-OzTL741",ARBOR!$A:$C,3,0)*-TRUNC(BW48/VLOOKUP("PCS-OzTL741",ARBOR!$A:$C,3,0)-1,4)),6))&lt;&gt;(DOLLAR(VLOOKUP("PCS-OzTL741",ARBOR!$A:$C,3,0),6)),-TRUNC(BW48/VLOOKUP("PCS-OzTL741",ARBOR!$A:$C,3,0)-1,4)+0.0001,-TRUNC(BW48/VLOOKUP("PCS-OzTL741",ARBOR!$A:$C,3,0)-1,4)))))</f>
        <v/>
      </c>
      <c r="BY48" s="28" t="str">
        <f>IF(ISERROR(IF(BX48="","",VLOOKUP((BC48&amp;BX48&amp;"Template desconto FLAT Plano Principal Oi TV nível conta"),BENEFICIOS!$A:$G,5,0))),"Criar",IF(BX48="","",VLOOKUP((BC48&amp;BX48&amp;"Template desconto FLAT Plano Principal Oi TV nível conta"),BENEFICIOS!$A:$G,5,0)))</f>
        <v/>
      </c>
      <c r="BZ48" s="8"/>
      <c r="CA48" s="3" t="str">
        <f>IF(BZ48=0,"",IF(BZ48=VLOOKUP("PCS-OzTL744",ARBOR!$A:$C,3,0),0.0001,IF(BZ48&gt;VLOOKUP("PCS-OzTL744",ARBOR!$A:$C,3,0),"Maior que CAP!",IF((DOLLAR(BZ48+(VLOOKUP("PCS-OzTL744",ARBOR!$A:$C,3,0)*-TRUNC(BZ48/VLOOKUP("PCS-OzTL744",ARBOR!$A:$C,3,0)-1,4)),6))&lt;&gt;(DOLLAR(VLOOKUP("PCS-OzTL744",ARBOR!$A:$C,3,0),6)),-TRUNC(BZ48/VLOOKUP("PCS-OzTL744",ARBOR!$A:$C,3,0)-1,4)+0.0001,-TRUNC(BZ48/VLOOKUP("PCS-OzTL744",ARBOR!$A:$C,3,0)-1,4)))))</f>
        <v/>
      </c>
      <c r="CB48" s="28" t="str">
        <f>IF(ISERROR(IF(CA48="","",VLOOKUP(($BC48&amp;CA48&amp;"Template desconto FLAT Plano Principal Oi TV nível conta"),BENEFICIOS!$A:$G,5,0))),"Criar",IF(CA48="","",VLOOKUP(($BC48&amp;CA48&amp;"Template desconto FLAT Plano Principal Oi TV nível conta"),BENEFICIOS!$A:$G,5,0)))</f>
        <v/>
      </c>
      <c r="CC48" s="8"/>
      <c r="CD48" s="3" t="str">
        <f>IF(CC48=0,"",IF(CC48=VLOOKUP("PCS-OzTL743",ARBOR!$A:$C,3,0),0.0001,IF(CC48&gt;VLOOKUP("PCS-OzTL743",ARBOR!$A:$C,3,0),"Maior que CAP!",IF((DOLLAR(CC48+(VLOOKUP("PCS-OzTL743",ARBOR!$A:$C,3,0)*-TRUNC(CC48/VLOOKUP("PCS-OzTL743",ARBOR!$A:$C,3,0)-1,4)),6))&lt;&gt;(DOLLAR(VLOOKUP("PCS-OzTL743",ARBOR!$A:$C,3,0),6)),-TRUNC(CC48/VLOOKUP("PCS-OzTL743",ARBOR!$A:$C,3,0)-1,4)+0.0001,-TRUNC(CC48/VLOOKUP("PCS-OzTL743",ARBOR!$A:$C,3,0)-1,4)))))</f>
        <v/>
      </c>
      <c r="CE48" s="28" t="str">
        <f>IF(ISERROR(IF(CD48="","",VLOOKUP(($BC48&amp;CD48&amp;"Template desconto FLAT Plano Principal Oi TV nível conta"),BENEFICIOS!$A:$G,5,0))),"Criar",IF(CD48="","",VLOOKUP(($BC48&amp;CD48&amp;"Template desconto FLAT Plano Principal Oi TV nível conta"),BENEFICIOS!$A:$G,5,0)))</f>
        <v/>
      </c>
      <c r="CF48" s="8"/>
      <c r="CG48" s="3" t="str">
        <f>IF(CF48=0,"",IF(CF48=VLOOKUP("PCS-OzTL745",ARBOR!$A:$C,3,0),0.0001,IF(CF48&gt;VLOOKUP("PCS-OzTL745",ARBOR!$A:$C,3,0),"Maior que CAP!",IF((DOLLAR(CF48+(VLOOKUP("PCS-OzTL745",ARBOR!$A:$C,3,0)*-TRUNC(CF48/VLOOKUP("PCS-OzTL745",ARBOR!$A:$C,3,0)-1,4)),6))&lt;&gt;(DOLLAR(VLOOKUP("PCS-OzTL745",ARBOR!$A:$C,3,0),6)),-TRUNC(CF48/VLOOKUP("PCS-OzTL745",ARBOR!$A:$C,3,0)-1,4)+0.0001,-TRUNC(CF48/VLOOKUP("PCS-OzTL745",ARBOR!$A:$C,3,0)-1,4)))))</f>
        <v/>
      </c>
      <c r="CH48" s="28" t="str">
        <f>IF(ISERROR(IF(CG48="","",VLOOKUP(($BC48&amp;CG48&amp;"Template desconto FLAT Plano Principal Oi TV nível conta"),BENEFICIOS!$A:$G,5,0))),"Criar",IF(CG48="","",VLOOKUP(($BC48&amp;CG48&amp;"Template desconto FLAT Plano Principal Oi TV nível conta"),BENEFICIOS!$A:$G,5,0)))</f>
        <v/>
      </c>
      <c r="CI48" s="8"/>
      <c r="CJ48" s="3" t="str">
        <f>IF(CI48=0,"",IF(CI48=VLOOKUP("PCS-OzTL42",ARBOR!$A:$C,3,0),0.0001,IF(CI48&gt;VLOOKUP("PCS-OzTL42",ARBOR!$A:$C,3,0),"Maior que CAP!",IF((DOLLAR(CI48+(VLOOKUP("PCS-OzTL42",ARBOR!$A:$C,3,0)*-TRUNC(CI48/VLOOKUP("PCS-OzTL42",ARBOR!$A:$C,3,0)-1,4)),6))&lt;&gt;(DOLLAR(VLOOKUP("PCS-OzTL42",ARBOR!$A:$C,3,0),6)),-TRUNC(CI48/VLOOKUP("PCS-OzTL42",ARBOR!$A:$C,3,0)-1,4)+0.0001,-TRUNC(CI48/VLOOKUP("PCS-OzTL42",ARBOR!$A:$C,3,0)-1,4)))))</f>
        <v/>
      </c>
      <c r="CK48" s="28" t="str">
        <f>IF(ISERROR(IF(CJ48="","",VLOOKUP(($BC48&amp;CJ48&amp;"Template desconto FLAT Plano Principal Oi TV nível conta"),BENEFICIOS!$A:$G,5,0))),"Criar",IF(CJ48="","",VLOOKUP(($BC48&amp;CJ48&amp;"Template desconto FLAT Plano Principal Oi TV nível conta"),BENEFICIOS!$A:$G,5,0)))</f>
        <v/>
      </c>
      <c r="CL48" s="8"/>
      <c r="CM48" s="3" t="str">
        <f>IF(CL48=0,"",IF(CL48=VLOOKUP("PCS-OzTL47",ARBOR!$A:$C,3,0),0.0001,IF(CL48&gt;VLOOKUP("PCS-OzTL47",ARBOR!$A:$C,3,0),"Maior que CAP!",IF((DOLLAR(CL48+(VLOOKUP("PCS-OzTL47",ARBOR!$A:$C,3,0)*-TRUNC(CL48/VLOOKUP("PCS-OzTL47",ARBOR!$A:$C,3,0)-1,4)),6))&lt;&gt;(DOLLAR(VLOOKUP("PCS-OzTL47",ARBOR!$A:$C,3,0),6)),-TRUNC(CL48/VLOOKUP("PCS-OzTL47",ARBOR!$A:$C,3,0)-1,4)+0.0001,-TRUNC(CL48/VLOOKUP("PCS-OzTL47",ARBOR!$A:$C,3,0)-1,4)))))</f>
        <v/>
      </c>
      <c r="CN48" s="28" t="str">
        <f>IF(ISERROR(IF(CM48="","",VLOOKUP(($BC48&amp;CM48&amp;"Template desconto FLAT Plano Principal Oi TV nível conta"),BENEFICIOS!$A:$G,5,0))),"Criar",IF(CM48="","",VLOOKUP(($BC48&amp;CM48&amp;"Template desconto FLAT Plano Principal Oi TV nível conta"),BENEFICIOS!$A:$G,5,0)))</f>
        <v/>
      </c>
      <c r="CO48" s="8"/>
      <c r="CP48" s="3" t="str">
        <f>IF(CO48=0,"",IF(CO48=VLOOKUP("PCS-OzTL46",ARBOR!$A:$C,3,0),0.0001,IF(CO48&gt;VLOOKUP("PCS-OzTL46",ARBOR!$A:$C,3,0),"Maior que CAP!",IF((DOLLAR(CO48+(VLOOKUP("PCS-OzTL46",ARBOR!$A:$C,3,0)*-TRUNC(CO48/VLOOKUP("PCS-OzTL46",ARBOR!$A:$C,3,0)-1,4)),6))&lt;&gt;(DOLLAR(VLOOKUP("PCS-OzTL46",ARBOR!$A:$C,3,0),6)),-TRUNC(CO48/VLOOKUP("PCS-OzTL46",ARBOR!$A:$C,3,0)-1,4)+0.0001,-TRUNC(CO48/VLOOKUP("PCS-OzTL46",ARBOR!$A:$C,3,0)-1,4)))))</f>
        <v/>
      </c>
      <c r="CQ48" s="28" t="str">
        <f>IF(ISERROR(IF(CP48="","",VLOOKUP(($BC48&amp;CP48&amp;"Template desconto FLAT Plano Principal Oi TV nível conta"),BENEFICIOS!$A:$G,5,0))),"Criar",IF(CP48="","",VLOOKUP(($BC48&amp;CP48&amp;"Template desconto FLAT Plano Principal Oi TV nível conta"),BENEFICIOS!$A:$G,5,0)))</f>
        <v/>
      </c>
      <c r="CR48" s="8"/>
      <c r="CS48" s="3" t="str">
        <f>IF(CR48=0,"",IF(CR48=VLOOKUP("PCS-OzTL48",ARBOR!$A:$C,3,0),0.0001,IF(CR48&gt;VLOOKUP("PCS-OzTL48",ARBOR!$A:$C,3,0),"Maior que CAP!",IF((DOLLAR(CR48+(VLOOKUP("PCS-OzTL48",ARBOR!$A:$C,3,0)*-TRUNC(CR48/VLOOKUP("PCS-OzTL48",ARBOR!$A:$C,3,0)-1,4)),6))&lt;&gt;(DOLLAR(VLOOKUP("PCS-OzTL48",ARBOR!$A:$C,3,0),6)),-TRUNC(CR48/VLOOKUP("PCS-OzTL48",ARBOR!$A:$C,3,0)-1,4)+0.0001,-TRUNC(CR48/VLOOKUP("PCS-OzTL48",ARBOR!$A:$C,3,0)-1,4)))))</f>
        <v/>
      </c>
      <c r="CT48" s="28" t="str">
        <f>IF(ISERROR(IF(CS48="","",VLOOKUP(($BC48&amp;CS48&amp;"Template desconto FLAT Plano Principal Oi TV nível conta"),BENEFICIOS!$A:$G,5,0))),"Criar",IF(CS48="","",VLOOKUP(($BC48&amp;CS48&amp;"Template desconto FLAT Plano Principal Oi TV nível conta"),BENEFICIOS!$A:$G,5,0)))</f>
        <v/>
      </c>
      <c r="CU48" s="8"/>
      <c r="CV48" s="3" t="str">
        <f>IF(CU48=0,"",IF(CU48=VLOOKUP("PCS-OzTL742",ARBOR!$A:$C,3,0),0.0001,IF(CU48&gt;VLOOKUP("PCS-OzTL742",ARBOR!$A:$C,3,0),"Maior que CAP!",IF((DOLLAR(CU48+(VLOOKUP("PCS-OzTL742",ARBOR!$A:$C,3,0)*-TRUNC(CU48/VLOOKUP("PCS-OzTL742",ARBOR!$A:$C,3,0)-1,4)),6))&lt;&gt;(DOLLAR(VLOOKUP("PCS-OzTL742",ARBOR!$A:$C,3,0),6)),-TRUNC(CU48/VLOOKUP("PCS-OzTL742",ARBOR!$A:$C,3,0)-1,4)+0.0001,-TRUNC(CU48/VLOOKUP("PCS-OzTL742",ARBOR!$A:$C,3,0)-1,4)))))</f>
        <v/>
      </c>
      <c r="CW48" s="28" t="str">
        <f>IF(ISERROR(IF(CV48="","",VLOOKUP(($BC48&amp;CV48&amp;"Template desconto FLAT Plano Principal Oi TV nível conta"),BENEFICIOS!$A:$G,5,0))),"Criar",IF(CV48="","",VLOOKUP(($BC48&amp;CV48&amp;"Template desconto FLAT Plano Principal Oi TV nível conta"),BENEFICIOS!$A:$G,5,0)))</f>
        <v/>
      </c>
      <c r="CX48" s="8"/>
      <c r="CY48" s="3" t="str">
        <f>IF(CX48=0,"",IF(CX48=VLOOKUP("PCS-OzTL747",ARBOR!$A:$C,3,0),0.0001,IF(CX48&gt;VLOOKUP("PCS-OzTL747",ARBOR!$A:$C,3,0),"Maior que CAP!",IF((DOLLAR(CX48+(VLOOKUP("PCS-OzTL747",ARBOR!$A:$C,3,0)*-TRUNC(CX48/VLOOKUP("PCS-OzTL747",ARBOR!$A:$C,3,0)-1,4)),6))&lt;&gt;(DOLLAR(VLOOKUP("PCS-OzTL747",ARBOR!$A:$C,3,0),6)),-TRUNC(CX48/VLOOKUP("PCS-OzTL747",ARBOR!$A:$C,3,0)-1,4)+0.0001,-TRUNC(CX48/VLOOKUP("PCS-OzTL747",ARBOR!$A:$C,3,0)-1,4)))))</f>
        <v/>
      </c>
      <c r="CZ48" s="28" t="str">
        <f>IF(ISERROR(IF(CY48="","",VLOOKUP(($BC48&amp;CY48&amp;"Template desconto FLAT Plano Principal Oi TV nível conta"),BENEFICIOS!$A:$G,5,0))),"Criar",IF(CY48="","",VLOOKUP(($BC48&amp;CY48&amp;"Template desconto FLAT Plano Principal Oi TV nível conta"),BENEFICIOS!$A:$G,5,0)))</f>
        <v/>
      </c>
      <c r="DA48" s="8"/>
      <c r="DB48" s="3" t="str">
        <f>IF(DA48=0,"",IF(DA48=VLOOKUP("PCS-OzTL746",ARBOR!$A:$C,3,0),0.0001,IF(DA48&gt;VLOOKUP("PCS-OzTL746",ARBOR!$A:$C,3,0),"Maior que CAP!",IF((DOLLAR(DA48+(VLOOKUP("PCS-OzTL746",ARBOR!$A:$C,3,0)*-TRUNC(DA48/VLOOKUP("PCS-OzTL746",ARBOR!$A:$C,3,0)-1,4)),6))&lt;&gt;(DOLLAR(VLOOKUP("PCS-OzTL746",ARBOR!$A:$C,3,0),6)),-TRUNC(DA48/VLOOKUP("PCS-OzTL746",ARBOR!$A:$C,3,0)-1,4)+0.0001,-TRUNC(DA48/VLOOKUP("PCS-OzTL746",ARBOR!$A:$C,3,0)-1,4)))))</f>
        <v/>
      </c>
      <c r="DC48" s="28" t="str">
        <f>IF(ISERROR(IF(DB48="","",VLOOKUP(($BC48&amp;DB48&amp;"Template desconto FLAT Plano Principal Oi TV nível conta"),BENEFICIOS!$A:$G,5,0))),"Criar",IF(DB48="","",VLOOKUP(($BC48&amp;DB48&amp;"Template desconto FLAT Plano Principal Oi TV nível conta"),BENEFICIOS!$A:$G,5,0)))</f>
        <v/>
      </c>
      <c r="DD48" s="8"/>
      <c r="DE48" s="3" t="str">
        <f>IF(DD48=0,"",IF(DD48=VLOOKUP("PCS-OzTL748",ARBOR!$A:$C,3,0),0.0001,IF(DD48&gt;VLOOKUP("PCS-OzTL748",ARBOR!$A:$C,3,0),"Maior que CAP!",IF((DOLLAR(DD48+(VLOOKUP("PCS-OzTL748",ARBOR!$A:$C,3,0)*-TRUNC(DD48/VLOOKUP("PCS-OzTL748",ARBOR!$A:$C,3,0)-1,4)),6))&lt;&gt;(DOLLAR(VLOOKUP("PCS-OzTL748",ARBOR!$A:$C,3,0),6)),-TRUNC(DD48/VLOOKUP("PCS-OzTL748",ARBOR!$A:$C,3,0)-1,4)+0.0001,-TRUNC(DD48/VLOOKUP("PCS-OzTL748",ARBOR!$A:$C,3,0)-1,4)))))</f>
        <v/>
      </c>
      <c r="DF48" s="28" t="str">
        <f>IF(ISERROR(IF(DE48="","",VLOOKUP(($BC48&amp;DE48&amp;"Template desconto FLAT Plano Principal Oi TV nível conta"),BENEFICIOS!$A:$G,5,0))),"Criar",IF(DE48="","",VLOOKUP(($BC48&amp;DE48&amp;"Template desconto FLAT Plano Principal Oi TV nível conta"),BENEFICIOS!$A:$G,5,0)))</f>
        <v/>
      </c>
      <c r="DG48" s="8"/>
      <c r="DH48" s="3" t="str">
        <f>IF(DG48=0,"",IF(DG48=VLOOKUP("PCS-OzTL34",ARBOR!$A:$C,3,0),0.0001,IF(DG48&gt;VLOOKUP("PCS-OzTL34",ARBOR!$A:$C,3,0),"Maior que CAP!",IF((DOLLAR(DG48+(VLOOKUP("PCS-OzTL34",ARBOR!$A:$C,3,0)*-TRUNC(DG48/VLOOKUP("PCS-OzTL34",ARBOR!$A:$C,3,0)-1,4)),6))&lt;&gt;(DOLLAR(VLOOKUP("PCS-OzTL34",ARBOR!$A:$C,3,0),6)),-TRUNC(DG48/VLOOKUP("PCS-OzTL34",ARBOR!$A:$C,3,0)-1,4)+0.0001,-TRUNC(DG48/VLOOKUP("PCS-OzTL34",ARBOR!$A:$C,3,0)-1,4)))))</f>
        <v/>
      </c>
      <c r="DI48" s="28" t="str">
        <f>IF(DH48="S/Desc","S/Desc",IF(ISERROR(IF(DH48="","",VLOOKUP(($BC48&amp;DH48&amp;"Template desconto % Combate nível conta"),BENEFICIOS!$A:$G,5,0))),"Criar",IF(DH48="","",VLOOKUP(($BC48&amp;DH48&amp;"Template desconto % Combate nível conta"),BENEFICIOS!$A:$G,5,0))))</f>
        <v/>
      </c>
      <c r="DJ48" s="8"/>
      <c r="DK48" s="3" t="str">
        <f>IF(DJ48=0,"",IF(DJ48=VLOOKUP("PCS-OzTL31",ARBOR!$A:$C,3,0),0.0001,IF(DJ48&gt;VLOOKUP("PCS-OzTL31",ARBOR!$A:$C,3,0),"Maior que CAP!",IF((DOLLAR(DJ48+(VLOOKUP("PCS-OzTL31",ARBOR!$A:$C,3,0)*-TRUNC(DJ48/VLOOKUP("PCS-OzTL31",ARBOR!$A:$C,3,0)-1,4)),6))&lt;&gt;(DOLLAR(VLOOKUP("PCS-OzTL31",ARBOR!$A:$C,3,0),6)),-TRUNC(DJ48/VLOOKUP("PCS-OzTL31",ARBOR!$A:$C,3,0)-1,4)+0.0001,-TRUNC(DJ48/VLOOKUP("PCS-OzTL31",ARBOR!$A:$C,3,0)-1,4)))))</f>
        <v/>
      </c>
      <c r="DL48" s="28" t="str">
        <f>IF(DK48="S/Desc","S/Desc",IF(ISERROR(IF(DK48="","",VLOOKUP(($BC48&amp;DK48&amp;"Template desconto % Sexy Hot nível conta"),BENEFICIOS!$A:$G,5,0))),"Criar",IF(DK48="","",VLOOKUP(($BC48&amp;DK48&amp;"Template desconto % Sexy Hot nível conta"),BENEFICIOS!$A:$G,5,0))))</f>
        <v/>
      </c>
      <c r="DM48" s="8"/>
      <c r="DN48" s="3" t="str">
        <f>IF(DM48=0,"",IF(DM48=VLOOKUP("PCS-OzTL32",ARBOR!$A:$C,3,0),0.0001,IF(DM48&gt;VLOOKUP("PCS-OzTL32",ARBOR!$A:$C,3,0),"Maior que CAP!",IF((DOLLAR(DM48+(VLOOKUP("PCS-OzTL32",ARBOR!$A:$C,3,0)*-TRUNC(DM48/VLOOKUP("PCS-OzTL32",ARBOR!$A:$C,3,0)-1,4)),6))&lt;&gt;(DOLLAR(VLOOKUP("PCS-OzTL32",ARBOR!$A:$C,3,0),6)),-TRUNC(DM48/VLOOKUP("PCS-OzTL32",ARBOR!$A:$C,3,0)-1,4)+0.0001,-TRUNC(DM48/VLOOKUP("PCS-OzTL32",ARBOR!$A:$C,3,0)-1,4)))))</f>
        <v/>
      </c>
      <c r="DO48" s="28" t="str">
        <f>IF(DN48="S/Desc","S/Desc",IF(ISERROR(IF(DN48="","",VLOOKUP(($BC48&amp;DN48&amp;"Template desconto % Playboy nível conta"),BENEFICIOS!$A:$G,5,0))),"Criar",IF(DN48="","",VLOOKUP(($BC48&amp;DN48&amp;"Template desconto % Playboy nível conta"),BENEFICIOS!$A:$G,5,0))))</f>
        <v/>
      </c>
      <c r="DP48" s="8"/>
      <c r="DQ48" s="3" t="str">
        <f>IF(DP48=0,"",IF(DP48=VLOOKUP("PCS-OzTL33",ARBOR!$A:$C,3,0),0.0001,IF(DP48&gt;VLOOKUP("PCS-OzTL33",ARBOR!$A:$C,3,0),"Maior que CAP!",IF((DOLLAR(DP48+(VLOOKUP("PCS-OzTL33",ARBOR!$A:$C,3,0)*-TRUNC(DP48/VLOOKUP("PCS-OzTL33",ARBOR!$A:$C,3,0)-1,4)),6))&lt;&gt;(DOLLAR(VLOOKUP("PCS-OzTL33",ARBOR!$A:$C,3,0),6)),-TRUNC(DP48/VLOOKUP("PCS-OzTL33",ARBOR!$A:$C,3,0)-1,4)+0.0001,-TRUNC(DP48/VLOOKUP("PCS-OzTL33",ARBOR!$A:$C,3,0)-1,4)))))</f>
        <v/>
      </c>
      <c r="DR48" s="28" t="str">
        <f>IF(DQ48="S/Desc","S/Desc",IF(ISERROR(IF(DQ48="","",VLOOKUP(($BC48&amp;DQ48&amp;"Template desconto % Sexy Hot + Playboy nível conta"),BENEFICIOS!$A:$G,5,0))),"Criar",IF(DQ48="","",VLOOKUP(($BC48&amp;DQ48&amp;"Template desconto % Sexy Hot + Playboy nível conta"),BENEFICIOS!$A:$G,5,0))))</f>
        <v/>
      </c>
      <c r="DS48" s="8"/>
      <c r="DT48" s="3" t="str">
        <f>IF(DS48=0,"",IF(DS48=VLOOKUP("PCS-OzTL503",ARBOR!$A:$C,3,0),0.0001,IF(DS48&gt;VLOOKUP("PCS-OzTL503",ARBOR!$A:$C,3,0),"Maior que CAP!",IF((DOLLAR(DS48+(VLOOKUP("PCS-OzTL503",ARBOR!$A:$C,3,0)*-TRUNC(DS48/VLOOKUP("PCS-OzTL503",ARBOR!$A:$C,3,0)-1,4)),6))&lt;&gt;(DOLLAR(VLOOKUP("PCS-OzTL503",ARBOR!$A:$C,3,0),6)),-TRUNC(DS48/VLOOKUP("PCS-OzTL503",ARBOR!$A:$C,3,0)-1,4)+0.0001,-TRUNC(DS48/VLOOKUP("PCS-OzTL503",ARBOR!$A:$C,3,0)-1,4)))))</f>
        <v/>
      </c>
      <c r="DU48" s="28" t="str">
        <f>IF(DT48="S/Desc","S/Desc",IF(ISERROR(IF(DT48="","",VLOOKUP(($BC48&amp;DT48&amp;"Template desconto % SexPrivê nível conta"),BENEFICIOS!$A:$G,5,0))),"Criar",IF(DT48="","",VLOOKUP(($BC48&amp;DT48&amp;"Template desconto % SexPrivê nível conta"),BENEFICIOS!$A:$G,5,0))))</f>
        <v/>
      </c>
      <c r="DV48" s="8"/>
      <c r="DW48" s="3" t="str">
        <f>IF(DV48=0,"",IF(DV48=VLOOKUP("PCS-OzTL500",ARBOR!$A:$C,3,0),0.0001,IF(DV48&gt;VLOOKUP("PCS-OzTL500",ARBOR!$A:$C,3,0),"Maior que CAP!",IF((DOLLAR(DV48+(VLOOKUP("PCS-OzTL500",ARBOR!$A:$C,3,0)*-TRUNC(DV48/VLOOKUP("PCS-OzTL500",ARBOR!$A:$C,3,0)-1,4)),6))&lt;&gt;(DOLLAR(VLOOKUP("PCS-OzTL500",ARBOR!$A:$C,3,0),6)),-TRUNC(DV48/VLOOKUP("PCS-OzTL500",ARBOR!$A:$C,3,0)-1,4)+0.0001,-TRUNC(DV48/VLOOKUP("PCS-OzTL500",ARBOR!$A:$C,3,0)-1,4)))))</f>
        <v/>
      </c>
      <c r="DX48" s="28" t="str">
        <f>IF(DW48="S/Desc","S/Desc",IF(ISERROR(IF(DW48="","",VLOOKUP(($BC48&amp;DW48&amp;"Template desconto % Étnico nível conta"),BENEFICIOS!$A:$G,5,0))),"Criar",IF(DW48="","",VLOOKUP(($BC48&amp;DW48&amp;"Template desconto % Étnico nível conta"),BENEFICIOS!$A:$G,5,0))))</f>
        <v/>
      </c>
      <c r="DY48" s="8"/>
      <c r="DZ48" s="181" t="str">
        <f>IF(DY48=0,"",IF(DY48=VLOOKUP("PCS-OzTL50",ARBOR!$A:$C,3,0),0.0001,IF(DY48&gt;VLOOKUP("PCS-OzTL50",ARBOR!$A:$C,3,0),"Maior que CAP!",IF((DOLLAR(DY48+(VLOOKUP("PCS-OzTL50",ARBOR!$A:$C,3,0)*-TRUNC(DY48/VLOOKUP("PCS-OzTL50",ARBOR!$A:$C,3,0)-1,4)),6))&lt;&gt;(DOLLAR(VLOOKUP("PCS-OzTL50",ARBOR!$A:$C,3,0),6)),-TRUNC(DY48/VLOOKUP("PCS-OzTL50",ARBOR!$A:$C,3,0)-1,4)+0.0001,-TRUNC(DY48/VLOOKUP("PCS-OzTL50",ARBOR!$A:$C,3,0)-1,4)))))</f>
        <v/>
      </c>
      <c r="EA48" s="28"/>
      <c r="EB48" s="8"/>
      <c r="EC48" s="181" t="str">
        <f>IF(EB48=0,"",IF(EB48=VLOOKUP("PCS-OzTL51",ARBOR!$A:$C,3,0),0.0001,IF(EB48&gt;VLOOKUP("PCS-OzTL51",ARBOR!$A:$C,3,0),"Maior que CAP!",IF((DOLLAR(EB48+(VLOOKUP("PCS-OzTL51",ARBOR!$A:$C,3,0)*-TRUNC(EB48/VLOOKUP("PCS-OzTL51",ARBOR!$A:$C,3,0)-1,4)),6))&lt;&gt;(DOLLAR(VLOOKUP("PCS-OzTL51",ARBOR!$A:$C,3,0),6)),-TRUNC(EB48/VLOOKUP("PCS-OzTL51",ARBOR!$A:$C,3,0)-1,4)+0.0001,-TRUNC(EB48/VLOOKUP("PCS-OzTL51",ARBOR!$A:$C,3,0)-1,4)))))</f>
        <v/>
      </c>
      <c r="ED48" s="28"/>
      <c r="EE48" s="8"/>
      <c r="EF48" s="181" t="str">
        <f>IF(EE48=0,"",IF(EE48=VLOOKUP("PCS-OzTL52",ARBOR!$A:$C,3,0),0.0001,IF(EE48&gt;VLOOKUP("PCS-OzTL52",ARBOR!$A:$C,3,0),"Maior que CAP!",IF((DOLLAR(EE48+(VLOOKUP("PCS-OzTL52",ARBOR!$A:$C,3,0)*-TRUNC(EE48/VLOOKUP("PCS-OzTL52",ARBOR!$A:$C,3,0)-1,4)),6))&lt;&gt;(DOLLAR(VLOOKUP("PCS-OzTL52",ARBOR!$A:$C,3,0),6)),-TRUNC(EE48/VLOOKUP("PCS-OzTL52",ARBOR!$A:$C,3,0)-1,4)+0.0001,-TRUNC(EE48/VLOOKUP("PCS-OzTL52",ARBOR!$A:$C,3,0)-1,4)))))</f>
        <v/>
      </c>
      <c r="EG48" s="28"/>
      <c r="EH48" s="8"/>
      <c r="EI48" s="181" t="str">
        <f>IF(EH48=0,"",IF(EH48=VLOOKUP("PCS-OzTL53",ARBOR!$A:$C,3,0),0.0001,IF(EH48&gt;VLOOKUP("PCS-OzTL53",ARBOR!$A:$C,3,0),"Maior que CAP!",IF((DOLLAR(EH48+(VLOOKUP("PCS-OzTL53",ARBOR!$A:$C,3,0)*-TRUNC(EH48/VLOOKUP("PCS-OzTL53",ARBOR!$A:$C,3,0)-1,4)),6))&lt;&gt;(DOLLAR(VLOOKUP("PCS-OzTL53",ARBOR!$A:$C,3,0),6)),-TRUNC(EH48/VLOOKUP("PCS-OzTL53",ARBOR!$A:$C,3,0)-1,4)+0.0001,-TRUNC(EH48/VLOOKUP("PCS-OzTL53",ARBOR!$A:$C,3,0)-1,4)))))</f>
        <v/>
      </c>
      <c r="EJ48" s="28"/>
      <c r="EK48" s="8"/>
      <c r="EL48" s="181" t="str">
        <f>IF(EK48=0,"",IF(EK48=VLOOKUP("PCS-OzTL54",ARBOR!$A:$C,3,0),0.0001,IF(EK48&gt;VLOOKUP("PCS-OzTL54",ARBOR!$A:$C,3,0),"Maior que CAP!",IF((DOLLAR(EK48+(VLOOKUP("PCS-OzTL54",ARBOR!$A:$C,3,0)*-TRUNC(EK48/VLOOKUP("PCS-OzTL54",ARBOR!$A:$C,3,0)-1,4)),6))&lt;&gt;(DOLLAR(VLOOKUP("PCS-OzTL54",ARBOR!$A:$C,3,0),6)),-TRUNC(EK48/VLOOKUP("PCS-OzTL54",ARBOR!$A:$C,3,0)-1,4)+0.0001,-TRUNC(EK48/VLOOKUP("PCS-OzTL54",ARBOR!$A:$C,3,0)-1,4)))))</f>
        <v/>
      </c>
      <c r="EM48" s="28"/>
      <c r="EN48" s="8"/>
      <c r="EO48" s="3" t="str">
        <f>IF(EN48=0,"",IF(EN48=VLOOKUP("PCS-OzTL99",ARBOR!$A:$C,3,0),0.0001,IF(EN48&gt;VLOOKUP("PCS-OzTL99",ARBOR!$A:$C,3,0),"Maior que CAP!",IF((DOLLAR(EN48+(VLOOKUP("PCS-OzTL99",ARBOR!$A:$C,3,0)*-TRUNC(EN48/VLOOKUP("PCS-OzTL99",ARBOR!$A:$C,3,0)-1,4)),6))&lt;&gt;(DOLLAR(VLOOKUP("PCS-OzTL99",ARBOR!$A:$C,3,0),6)),-TRUNC(EN48/VLOOKUP("PCS-OzTL99",ARBOR!$A:$C,3,0)-1,4)+0.0001,-TRUNC(EN48/VLOOKUP("PCS-OzTL99",ARBOR!$A:$C,3,0)-1,4)))))</f>
        <v/>
      </c>
      <c r="EP48" s="28" t="str">
        <f>IF(EO48="S/Desc","S/Desc",IF(ISERROR(IF(EO48="","",VLOOKUP(($BC48&amp;EO48&amp;"Template desconto % Ponto adicional nível conta"),BENEFICIOS!$A:$G,5,0))),"Criar",IF(EO48="","",VLOOKUP(($BC48&amp;EO48&amp;"Template desconto % Ponto adicional nível conta"),BENEFICIOS!$A:$G,5,0))))</f>
        <v/>
      </c>
      <c r="EQ48" s="8"/>
      <c r="ER48" s="28" t="str">
        <f t="shared" si="23"/>
        <v/>
      </c>
      <c r="ES48" s="62"/>
      <c r="ET48" s="126"/>
      <c r="EU48" s="127"/>
      <c r="EV48" s="126"/>
      <c r="EW48" s="128" t="str">
        <f t="shared" si="24"/>
        <v/>
      </c>
      <c r="EX48" s="129" t="str">
        <f t="shared" si="25"/>
        <v/>
      </c>
      <c r="EY48" s="91" t="str">
        <f t="shared" si="26"/>
        <v/>
      </c>
      <c r="EZ48" s="85"/>
      <c r="FA48" s="97"/>
      <c r="FB48" s="91"/>
      <c r="FC48" s="85"/>
      <c r="FD48" s="97"/>
      <c r="FE48" s="91"/>
      <c r="FF48" s="87"/>
      <c r="FG48" s="144" t="str">
        <f t="shared" si="5"/>
        <v/>
      </c>
      <c r="FH48" s="144" t="str">
        <f t="shared" si="6"/>
        <v/>
      </c>
      <c r="FI48" s="144" t="str">
        <f t="shared" si="7"/>
        <v/>
      </c>
      <c r="FJ48" s="144" t="str">
        <f t="shared" si="8"/>
        <v/>
      </c>
      <c r="FK48" s="144" t="str">
        <f t="shared" si="9"/>
        <v/>
      </c>
      <c r="FL48" s="144" t="str">
        <f t="shared" si="10"/>
        <v/>
      </c>
      <c r="FM48" s="144" t="str">
        <f t="shared" si="11"/>
        <v/>
      </c>
      <c r="FN48" s="144" t="str">
        <f t="shared" si="12"/>
        <v/>
      </c>
      <c r="FO48" s="144" t="str">
        <f t="shared" si="13"/>
        <v/>
      </c>
      <c r="FP48" s="144" t="str">
        <f t="shared" si="14"/>
        <v/>
      </c>
      <c r="FQ48" s="144" t="str">
        <f t="shared" si="15"/>
        <v/>
      </c>
      <c r="FR48" s="144" t="str">
        <f t="shared" si="16"/>
        <v/>
      </c>
      <c r="FS48" s="144" t="str">
        <f t="shared" si="17"/>
        <v/>
      </c>
      <c r="FT48" s="144" t="str">
        <f t="shared" si="18"/>
        <v/>
      </c>
      <c r="FU48" s="144" t="str">
        <f t="shared" si="19"/>
        <v/>
      </c>
      <c r="FV48" s="144" t="str">
        <f t="shared" si="20"/>
        <v/>
      </c>
      <c r="FW48" s="144" t="str">
        <f t="shared" si="21"/>
        <v/>
      </c>
      <c r="FX48" s="151"/>
      <c r="FY48" s="152"/>
      <c r="FZ48" s="152"/>
      <c r="GA48" s="152"/>
      <c r="GB48" s="152"/>
      <c r="GC48" s="152"/>
      <c r="GD48" s="152"/>
      <c r="GE48" s="152"/>
      <c r="GF48" s="152"/>
      <c r="GG48" s="153"/>
    </row>
    <row r="49" spans="1:189">
      <c r="A49" s="45"/>
      <c r="B49" s="133"/>
      <c r="C49" s="133"/>
      <c r="D49" s="46"/>
      <c r="E49" s="4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9"/>
      <c r="U49" s="48"/>
      <c r="V49" s="49"/>
      <c r="W49" s="48"/>
      <c r="X49" s="48"/>
      <c r="Y49" s="48"/>
      <c r="Z49" s="48"/>
      <c r="AA49" s="49"/>
      <c r="AB49" s="48"/>
      <c r="AC49" s="50"/>
      <c r="AD49" s="48"/>
      <c r="AE49" s="48"/>
      <c r="AF49" s="48"/>
      <c r="AG49" s="48"/>
      <c r="AH49" s="48"/>
      <c r="AI49" s="48"/>
      <c r="AJ49" s="48"/>
      <c r="AK49" s="48"/>
      <c r="AL49" s="51"/>
      <c r="AM49" s="37"/>
      <c r="AN49" s="38"/>
      <c r="AO49" s="39"/>
      <c r="AP49" s="52"/>
      <c r="AQ49" s="53"/>
      <c r="AR49" s="64"/>
      <c r="AS49" s="65"/>
      <c r="AT49" s="54"/>
      <c r="AU49" s="54"/>
      <c r="AV49" s="54"/>
      <c r="AW49" s="54"/>
      <c r="AX49" s="70"/>
      <c r="AY49" s="71"/>
      <c r="AZ49" s="72"/>
      <c r="BA49" s="73"/>
      <c r="BB49" s="55"/>
      <c r="BC49" s="56"/>
      <c r="BD49" s="27" t="str">
        <f t="shared" si="22"/>
        <v/>
      </c>
      <c r="BE49" s="58"/>
      <c r="BF49" s="3" t="str">
        <f>IF(BE49=0,"",IF(BE49=VLOOKUP("FIXO",ARBOR!$A:$C,3,0),0.0001,IF(BE49&gt;VLOOKUP("FIXO",ARBOR!$A:$C,3,0),"Maior que CAP!",IF((DOLLAR(BE49+(VLOOKUP("FIXO",ARBOR!$A:$C,3,0)*-TRUNC(BE49/VLOOKUP("FIXO",ARBOR!$A:$C,3,0)-1,4)),6))&lt;&gt;(DOLLAR(VLOOKUP("FIXO",ARBOR!$A:$C,3,0),6)),-TRUNC(BE49/VLOOKUP("FIXO",ARBOR!$A:$C,3,0)-1,4)+0.0001,-TRUNC(BE49/VLOOKUP("FIXO",ARBOR!$A:$C,3,0)-1,4)))))</f>
        <v/>
      </c>
      <c r="BG49" s="10" t="str">
        <f>IF(ISERROR(IF(BF49="","",VLOOKUP(($BC49&amp;BF49&amp;"Template de desconto FLAT bundle - Fixo - Varejo - Ganho Tributário Cross"),BENEFICIOS!$A:$G,5,0))),"Criar",IF(BF49="","",VLOOKUP(($BC49&amp;BF49&amp;"Template de desconto FLAT bundle - Fixo - Varejo - Ganho Tributário Cross"),BENEFICIOS!$A:$G,5,0)))</f>
        <v/>
      </c>
      <c r="BH49" s="8"/>
      <c r="BI49" s="3" t="str">
        <f>IF(BH49=0,"",IF(BH49=VLOOKUP("PCS-OzTL40",ARBOR!$A:$C,3,0),0.0001,IF(BH49&gt;VLOOKUP("PCS-OzTL40",ARBOR!$A:$C,3,0),"Maior que CAP!",IF((DOLLAR(BH49+(VLOOKUP("PCS-OzTL40",ARBOR!$A:$C,3,0)*-TRUNC(BH49/VLOOKUP("PCS-OzTL40",ARBOR!$A:$C,3,0)-1,4)),6))&lt;&gt;(DOLLAR(VLOOKUP("PCS-OzTL40",ARBOR!$A:$C,3,0),6)),-TRUNC(BH49/VLOOKUP("PCS-OzTL40",ARBOR!$A:$C,3,0)-1,4)+0.0001,-TRUNC(BH49/VLOOKUP("PCS-OzTL40",ARBOR!$A:$C,3,0)-1,4)))))</f>
        <v/>
      </c>
      <c r="BJ49" s="10" t="str">
        <f>IF(ISERROR(IF(BI49="","",VLOOKUP((BC49&amp;BI49&amp;"Template desconto FLAT Plano Principal Oi TV nível conta"),BENEFICIOS!$A:$G,5,0))),"Criar",IF(BI49="","",VLOOKUP((BC49&amp;BI49&amp;"Template desconto FLAT Plano Principal Oi TV nível conta"),BENEFICIOS!$A:$G,5,0)))</f>
        <v/>
      </c>
      <c r="BK49" s="8"/>
      <c r="BL49" s="3" t="str">
        <f>IF(BK49=0,"",IF(BK49=VLOOKUP("PCS-OzTL41",ARBOR!$A:$C,3,0),0.0001,IF(BK49&gt;VLOOKUP("PCS-OzTL41",ARBOR!$A:$C,3,0),"Maior que CAP!",IF((DOLLAR(BK49+(VLOOKUP("PCS-OzTL41",ARBOR!$A:$C,3,0)*-TRUNC(BK49/VLOOKUP("PCS-OzTL41",ARBOR!$A:$C,3,0)-1,4)),6))&lt;&gt;(DOLLAR(VLOOKUP("PCS-OzTL41",ARBOR!$A:$C,3,0),6)),-TRUNC(BK49/VLOOKUP("PCS-OzTL41",ARBOR!$A:$C,3,0)-1,4)+0.0001,-TRUNC(BK49/VLOOKUP("PCS-OzTL41",ARBOR!$A:$C,3,0)-1,4)))))</f>
        <v/>
      </c>
      <c r="BM49" s="28" t="str">
        <f>IF(ISERROR(IF(BL49="","",VLOOKUP((BC49&amp;BL49&amp;"Template desconto FLAT Plano Principal Oi TV nível conta"),BENEFICIOS!$A:$G,5,0))),"Criar",IF(BL49="","",VLOOKUP((BC49&amp;BL49&amp;"Template desconto FLAT Plano Principal Oi TV nível conta"),BENEFICIOS!$A:$G,5,0)))</f>
        <v/>
      </c>
      <c r="BN49" s="8"/>
      <c r="BO49" s="3" t="str">
        <f>IF(BN49=0,"",IF(BN49=VLOOKUP("PCS-OzTL44",ARBOR!$A:$C,3,0),0.0001,IF(BN49&gt;VLOOKUP("PCS-OzTL44",ARBOR!$A:$C,3,0),"Maior que CAP!",IF((DOLLAR(BN49+(VLOOKUP("PCS-OzTL44",ARBOR!$A:$C,3,0)*-TRUNC(BN49/VLOOKUP("PCS-OzTL44",ARBOR!$A:$C,3,0)-1,4)),6))&lt;&gt;(DOLLAR(VLOOKUP("PCS-OzTL44",ARBOR!$A:$C,3,0),6)),-TRUNC(BN49/VLOOKUP("PCS-OzTL44",ARBOR!$A:$C,3,0)-1,4)+0.0001,-TRUNC(BN49/VLOOKUP("PCS-OzTL44",ARBOR!$A:$C,3,0)-1,4)))))</f>
        <v/>
      </c>
      <c r="BP49" s="28" t="str">
        <f>IF(ISERROR(IF(BO49="","",VLOOKUP((BC49&amp;BO49&amp;"Template desconto FLAT Plano Principal Oi TV nível conta"),BENEFICIOS!$A:$G,5,0))),"Criar",IF(BO49="","",VLOOKUP((BC49&amp;BO49&amp;"Template desconto FLAT Plano Principal Oi TV nível conta"),BENEFICIOS!$A:$G,5,0)))</f>
        <v/>
      </c>
      <c r="BQ49" s="8"/>
      <c r="BR49" s="3" t="str">
        <f>IF(BQ49=0,"",IF(BQ49=VLOOKUP("PCS-OzTL43",ARBOR!$A:$C,3,0),0.0001,IF(BQ49&gt;VLOOKUP("PCS-OzTL43",ARBOR!$A:$C,3,0),"Maior que CAP!",IF((DOLLAR(BQ49+(VLOOKUP("PCS-OzTL43",ARBOR!$A:$C,3,0)*-TRUNC(BQ49/VLOOKUP("PCS-OzTL43",ARBOR!$A:$C,3,0)-1,4)),6))&lt;&gt;(DOLLAR(VLOOKUP("PCS-OzTL43",ARBOR!$A:$C,3,0),6)),-TRUNC(BQ49/VLOOKUP("PCS-OzTL43",ARBOR!$A:$C,3,0)-1,4)+0.0001,-TRUNC(BQ49/VLOOKUP("PCS-OzTL43",ARBOR!$A:$C,3,0)-1,4)))))</f>
        <v/>
      </c>
      <c r="BS49" s="28" t="str">
        <f>IF(ISERROR(IF(BR49="","",VLOOKUP((BC49&amp;BR49&amp;"Template desconto FLAT Plano Principal Oi TV nível conta"),BENEFICIOS!$A:$G,5,0))),"Criar",IF(BR49="","",VLOOKUP((BC49&amp;BR49&amp;"Template desconto FLAT Plano Principal Oi TV nível conta"),BENEFICIOS!$A:$G,5,0)))</f>
        <v/>
      </c>
      <c r="BT49" s="8"/>
      <c r="BU49" s="3" t="str">
        <f>IF(BT49=0,"",IF(BT49=VLOOKUP("PCS-OzTL45",ARBOR!$A:$C,3,0),0.0001,IF(BT49&gt;VLOOKUP("PCS-OzTL45",ARBOR!$A:$C,3,0),"Maior que CAP!",IF((DOLLAR(BT49+(VLOOKUP("PCS-OzTL45",ARBOR!$A:$C,3,0)*-TRUNC(BT49/VLOOKUP("PCS-OzTL45",ARBOR!$A:$C,3,0)-1,4)),6))&lt;&gt;(DOLLAR(VLOOKUP("PCS-OzTL45",ARBOR!$A:$C,3,0),6)),-TRUNC(BT49/VLOOKUP("PCS-OzTL45",ARBOR!$A:$C,3,0)-1,4)+0.0001,-TRUNC(BT49/VLOOKUP("PCS-OzTL45",ARBOR!$A:$C,3,0)-1,4)))))</f>
        <v/>
      </c>
      <c r="BV49" s="28" t="str">
        <f>IF(ISERROR(IF(BU49="","",VLOOKUP((BC49&amp;BU49&amp;"Template desconto FLAT Plano Principal Oi TV nível conta"),BENEFICIOS!$A:$G,5,0))),"Criar",IF(BU49="","",VLOOKUP((BC49&amp;BU49&amp;"Template desconto FLAT Plano Principal Oi TV nível conta"),BENEFICIOS!$A:$G,5,0)))</f>
        <v/>
      </c>
      <c r="BW49" s="8"/>
      <c r="BX49" s="3" t="str">
        <f>IF(BW49=0,"",IF(BW49=VLOOKUP("PCS-OzTL741",ARBOR!$A:$C,3,0),0.0001,IF(BW49&gt;VLOOKUP("PCS-OzTL741",ARBOR!$A:$C,3,0),"Maior que CAP!",IF((DOLLAR(BW49+(VLOOKUP("PCS-OzTL741",ARBOR!$A:$C,3,0)*-TRUNC(BW49/VLOOKUP("PCS-OzTL741",ARBOR!$A:$C,3,0)-1,4)),6))&lt;&gt;(DOLLAR(VLOOKUP("PCS-OzTL741",ARBOR!$A:$C,3,0),6)),-TRUNC(BW49/VLOOKUP("PCS-OzTL741",ARBOR!$A:$C,3,0)-1,4)+0.0001,-TRUNC(BW49/VLOOKUP("PCS-OzTL741",ARBOR!$A:$C,3,0)-1,4)))))</f>
        <v/>
      </c>
      <c r="BY49" s="28" t="str">
        <f>IF(ISERROR(IF(BX49="","",VLOOKUP((BC49&amp;BX49&amp;"Template desconto FLAT Plano Principal Oi TV nível conta"),BENEFICIOS!$A:$G,5,0))),"Criar",IF(BX49="","",VLOOKUP((BC49&amp;BX49&amp;"Template desconto FLAT Plano Principal Oi TV nível conta"),BENEFICIOS!$A:$G,5,0)))</f>
        <v/>
      </c>
      <c r="BZ49" s="8"/>
      <c r="CA49" s="3" t="str">
        <f>IF(BZ49=0,"",IF(BZ49=VLOOKUP("PCS-OzTL744",ARBOR!$A:$C,3,0),0.0001,IF(BZ49&gt;VLOOKUP("PCS-OzTL744",ARBOR!$A:$C,3,0),"Maior que CAP!",IF((DOLLAR(BZ49+(VLOOKUP("PCS-OzTL744",ARBOR!$A:$C,3,0)*-TRUNC(BZ49/VLOOKUP("PCS-OzTL744",ARBOR!$A:$C,3,0)-1,4)),6))&lt;&gt;(DOLLAR(VLOOKUP("PCS-OzTL744",ARBOR!$A:$C,3,0),6)),-TRUNC(BZ49/VLOOKUP("PCS-OzTL744",ARBOR!$A:$C,3,0)-1,4)+0.0001,-TRUNC(BZ49/VLOOKUP("PCS-OzTL744",ARBOR!$A:$C,3,0)-1,4)))))</f>
        <v/>
      </c>
      <c r="CB49" s="28" t="str">
        <f>IF(ISERROR(IF(CA49="","",VLOOKUP(($BC49&amp;CA49&amp;"Template desconto FLAT Plano Principal Oi TV nível conta"),BENEFICIOS!$A:$G,5,0))),"Criar",IF(CA49="","",VLOOKUP(($BC49&amp;CA49&amp;"Template desconto FLAT Plano Principal Oi TV nível conta"),BENEFICIOS!$A:$G,5,0)))</f>
        <v/>
      </c>
      <c r="CC49" s="8"/>
      <c r="CD49" s="3" t="str">
        <f>IF(CC49=0,"",IF(CC49=VLOOKUP("PCS-OzTL743",ARBOR!$A:$C,3,0),0.0001,IF(CC49&gt;VLOOKUP("PCS-OzTL743",ARBOR!$A:$C,3,0),"Maior que CAP!",IF((DOLLAR(CC49+(VLOOKUP("PCS-OzTL743",ARBOR!$A:$C,3,0)*-TRUNC(CC49/VLOOKUP("PCS-OzTL743",ARBOR!$A:$C,3,0)-1,4)),6))&lt;&gt;(DOLLAR(VLOOKUP("PCS-OzTL743",ARBOR!$A:$C,3,0),6)),-TRUNC(CC49/VLOOKUP("PCS-OzTL743",ARBOR!$A:$C,3,0)-1,4)+0.0001,-TRUNC(CC49/VLOOKUP("PCS-OzTL743",ARBOR!$A:$C,3,0)-1,4)))))</f>
        <v/>
      </c>
      <c r="CE49" s="28" t="str">
        <f>IF(ISERROR(IF(CD49="","",VLOOKUP(($BC49&amp;CD49&amp;"Template desconto FLAT Plano Principal Oi TV nível conta"),BENEFICIOS!$A:$G,5,0))),"Criar",IF(CD49="","",VLOOKUP(($BC49&amp;CD49&amp;"Template desconto FLAT Plano Principal Oi TV nível conta"),BENEFICIOS!$A:$G,5,0)))</f>
        <v/>
      </c>
      <c r="CF49" s="8"/>
      <c r="CG49" s="3" t="str">
        <f>IF(CF49=0,"",IF(CF49=VLOOKUP("PCS-OzTL745",ARBOR!$A:$C,3,0),0.0001,IF(CF49&gt;VLOOKUP("PCS-OzTL745",ARBOR!$A:$C,3,0),"Maior que CAP!",IF((DOLLAR(CF49+(VLOOKUP("PCS-OzTL745",ARBOR!$A:$C,3,0)*-TRUNC(CF49/VLOOKUP("PCS-OzTL745",ARBOR!$A:$C,3,0)-1,4)),6))&lt;&gt;(DOLLAR(VLOOKUP("PCS-OzTL745",ARBOR!$A:$C,3,0),6)),-TRUNC(CF49/VLOOKUP("PCS-OzTL745",ARBOR!$A:$C,3,0)-1,4)+0.0001,-TRUNC(CF49/VLOOKUP("PCS-OzTL745",ARBOR!$A:$C,3,0)-1,4)))))</f>
        <v/>
      </c>
      <c r="CH49" s="28" t="str">
        <f>IF(ISERROR(IF(CG49="","",VLOOKUP(($BC49&amp;CG49&amp;"Template desconto FLAT Plano Principal Oi TV nível conta"),BENEFICIOS!$A:$G,5,0))),"Criar",IF(CG49="","",VLOOKUP(($BC49&amp;CG49&amp;"Template desconto FLAT Plano Principal Oi TV nível conta"),BENEFICIOS!$A:$G,5,0)))</f>
        <v/>
      </c>
      <c r="CI49" s="8"/>
      <c r="CJ49" s="3" t="str">
        <f>IF(CI49=0,"",IF(CI49=VLOOKUP("PCS-OzTL42",ARBOR!$A:$C,3,0),0.0001,IF(CI49&gt;VLOOKUP("PCS-OzTL42",ARBOR!$A:$C,3,0),"Maior que CAP!",IF((DOLLAR(CI49+(VLOOKUP("PCS-OzTL42",ARBOR!$A:$C,3,0)*-TRUNC(CI49/VLOOKUP("PCS-OzTL42",ARBOR!$A:$C,3,0)-1,4)),6))&lt;&gt;(DOLLAR(VLOOKUP("PCS-OzTL42",ARBOR!$A:$C,3,0),6)),-TRUNC(CI49/VLOOKUP("PCS-OzTL42",ARBOR!$A:$C,3,0)-1,4)+0.0001,-TRUNC(CI49/VLOOKUP("PCS-OzTL42",ARBOR!$A:$C,3,0)-1,4)))))</f>
        <v/>
      </c>
      <c r="CK49" s="28" t="str">
        <f>IF(ISERROR(IF(CJ49="","",VLOOKUP(($BC49&amp;CJ49&amp;"Template desconto FLAT Plano Principal Oi TV nível conta"),BENEFICIOS!$A:$G,5,0))),"Criar",IF(CJ49="","",VLOOKUP(($BC49&amp;CJ49&amp;"Template desconto FLAT Plano Principal Oi TV nível conta"),BENEFICIOS!$A:$G,5,0)))</f>
        <v/>
      </c>
      <c r="CL49" s="8"/>
      <c r="CM49" s="3" t="str">
        <f>IF(CL49=0,"",IF(CL49=VLOOKUP("PCS-OzTL47",ARBOR!$A:$C,3,0),0.0001,IF(CL49&gt;VLOOKUP("PCS-OzTL47",ARBOR!$A:$C,3,0),"Maior que CAP!",IF((DOLLAR(CL49+(VLOOKUP("PCS-OzTL47",ARBOR!$A:$C,3,0)*-TRUNC(CL49/VLOOKUP("PCS-OzTL47",ARBOR!$A:$C,3,0)-1,4)),6))&lt;&gt;(DOLLAR(VLOOKUP("PCS-OzTL47",ARBOR!$A:$C,3,0),6)),-TRUNC(CL49/VLOOKUP("PCS-OzTL47",ARBOR!$A:$C,3,0)-1,4)+0.0001,-TRUNC(CL49/VLOOKUP("PCS-OzTL47",ARBOR!$A:$C,3,0)-1,4)))))</f>
        <v/>
      </c>
      <c r="CN49" s="28" t="str">
        <f>IF(ISERROR(IF(CM49="","",VLOOKUP(($BC49&amp;CM49&amp;"Template desconto FLAT Plano Principal Oi TV nível conta"),BENEFICIOS!$A:$G,5,0))),"Criar",IF(CM49="","",VLOOKUP(($BC49&amp;CM49&amp;"Template desconto FLAT Plano Principal Oi TV nível conta"),BENEFICIOS!$A:$G,5,0)))</f>
        <v/>
      </c>
      <c r="CO49" s="8"/>
      <c r="CP49" s="3" t="str">
        <f>IF(CO49=0,"",IF(CO49=VLOOKUP("PCS-OzTL46",ARBOR!$A:$C,3,0),0.0001,IF(CO49&gt;VLOOKUP("PCS-OzTL46",ARBOR!$A:$C,3,0),"Maior que CAP!",IF((DOLLAR(CO49+(VLOOKUP("PCS-OzTL46",ARBOR!$A:$C,3,0)*-TRUNC(CO49/VLOOKUP("PCS-OzTL46",ARBOR!$A:$C,3,0)-1,4)),6))&lt;&gt;(DOLLAR(VLOOKUP("PCS-OzTL46",ARBOR!$A:$C,3,0),6)),-TRUNC(CO49/VLOOKUP("PCS-OzTL46",ARBOR!$A:$C,3,0)-1,4)+0.0001,-TRUNC(CO49/VLOOKUP("PCS-OzTL46",ARBOR!$A:$C,3,0)-1,4)))))</f>
        <v/>
      </c>
      <c r="CQ49" s="28" t="str">
        <f>IF(ISERROR(IF(CP49="","",VLOOKUP(($BC49&amp;CP49&amp;"Template desconto FLAT Plano Principal Oi TV nível conta"),BENEFICIOS!$A:$G,5,0))),"Criar",IF(CP49="","",VLOOKUP(($BC49&amp;CP49&amp;"Template desconto FLAT Plano Principal Oi TV nível conta"),BENEFICIOS!$A:$G,5,0)))</f>
        <v/>
      </c>
      <c r="CR49" s="8"/>
      <c r="CS49" s="3" t="str">
        <f>IF(CR49=0,"",IF(CR49=VLOOKUP("PCS-OzTL48",ARBOR!$A:$C,3,0),0.0001,IF(CR49&gt;VLOOKUP("PCS-OzTL48",ARBOR!$A:$C,3,0),"Maior que CAP!",IF((DOLLAR(CR49+(VLOOKUP("PCS-OzTL48",ARBOR!$A:$C,3,0)*-TRUNC(CR49/VLOOKUP("PCS-OzTL48",ARBOR!$A:$C,3,0)-1,4)),6))&lt;&gt;(DOLLAR(VLOOKUP("PCS-OzTL48",ARBOR!$A:$C,3,0),6)),-TRUNC(CR49/VLOOKUP("PCS-OzTL48",ARBOR!$A:$C,3,0)-1,4)+0.0001,-TRUNC(CR49/VLOOKUP("PCS-OzTL48",ARBOR!$A:$C,3,0)-1,4)))))</f>
        <v/>
      </c>
      <c r="CT49" s="28" t="str">
        <f>IF(ISERROR(IF(CS49="","",VLOOKUP(($BC49&amp;CS49&amp;"Template desconto FLAT Plano Principal Oi TV nível conta"),BENEFICIOS!$A:$G,5,0))),"Criar",IF(CS49="","",VLOOKUP(($BC49&amp;CS49&amp;"Template desconto FLAT Plano Principal Oi TV nível conta"),BENEFICIOS!$A:$G,5,0)))</f>
        <v/>
      </c>
      <c r="CU49" s="8"/>
      <c r="CV49" s="3" t="str">
        <f>IF(CU49=0,"",IF(CU49=VLOOKUP("PCS-OzTL742",ARBOR!$A:$C,3,0),0.0001,IF(CU49&gt;VLOOKUP("PCS-OzTL742",ARBOR!$A:$C,3,0),"Maior que CAP!",IF((DOLLAR(CU49+(VLOOKUP("PCS-OzTL742",ARBOR!$A:$C,3,0)*-TRUNC(CU49/VLOOKUP("PCS-OzTL742",ARBOR!$A:$C,3,0)-1,4)),6))&lt;&gt;(DOLLAR(VLOOKUP("PCS-OzTL742",ARBOR!$A:$C,3,0),6)),-TRUNC(CU49/VLOOKUP("PCS-OzTL742",ARBOR!$A:$C,3,0)-1,4)+0.0001,-TRUNC(CU49/VLOOKUP("PCS-OzTL742",ARBOR!$A:$C,3,0)-1,4)))))</f>
        <v/>
      </c>
      <c r="CW49" s="28" t="str">
        <f>IF(ISERROR(IF(CV49="","",VLOOKUP(($BC49&amp;CV49&amp;"Template desconto FLAT Plano Principal Oi TV nível conta"),BENEFICIOS!$A:$G,5,0))),"Criar",IF(CV49="","",VLOOKUP(($BC49&amp;CV49&amp;"Template desconto FLAT Plano Principal Oi TV nível conta"),BENEFICIOS!$A:$G,5,0)))</f>
        <v/>
      </c>
      <c r="CX49" s="8"/>
      <c r="CY49" s="3" t="str">
        <f>IF(CX49=0,"",IF(CX49=VLOOKUP("PCS-OzTL747",ARBOR!$A:$C,3,0),0.0001,IF(CX49&gt;VLOOKUP("PCS-OzTL747",ARBOR!$A:$C,3,0),"Maior que CAP!",IF((DOLLAR(CX49+(VLOOKUP("PCS-OzTL747",ARBOR!$A:$C,3,0)*-TRUNC(CX49/VLOOKUP("PCS-OzTL747",ARBOR!$A:$C,3,0)-1,4)),6))&lt;&gt;(DOLLAR(VLOOKUP("PCS-OzTL747",ARBOR!$A:$C,3,0),6)),-TRUNC(CX49/VLOOKUP("PCS-OzTL747",ARBOR!$A:$C,3,0)-1,4)+0.0001,-TRUNC(CX49/VLOOKUP("PCS-OzTL747",ARBOR!$A:$C,3,0)-1,4)))))</f>
        <v/>
      </c>
      <c r="CZ49" s="28" t="str">
        <f>IF(ISERROR(IF(CY49="","",VLOOKUP(($BC49&amp;CY49&amp;"Template desconto FLAT Plano Principal Oi TV nível conta"),BENEFICIOS!$A:$G,5,0))),"Criar",IF(CY49="","",VLOOKUP(($BC49&amp;CY49&amp;"Template desconto FLAT Plano Principal Oi TV nível conta"),BENEFICIOS!$A:$G,5,0)))</f>
        <v/>
      </c>
      <c r="DA49" s="8"/>
      <c r="DB49" s="3" t="str">
        <f>IF(DA49=0,"",IF(DA49=VLOOKUP("PCS-OzTL746",ARBOR!$A:$C,3,0),0.0001,IF(DA49&gt;VLOOKUP("PCS-OzTL746",ARBOR!$A:$C,3,0),"Maior que CAP!",IF((DOLLAR(DA49+(VLOOKUP("PCS-OzTL746",ARBOR!$A:$C,3,0)*-TRUNC(DA49/VLOOKUP("PCS-OzTL746",ARBOR!$A:$C,3,0)-1,4)),6))&lt;&gt;(DOLLAR(VLOOKUP("PCS-OzTL746",ARBOR!$A:$C,3,0),6)),-TRUNC(DA49/VLOOKUP("PCS-OzTL746",ARBOR!$A:$C,3,0)-1,4)+0.0001,-TRUNC(DA49/VLOOKUP("PCS-OzTL746",ARBOR!$A:$C,3,0)-1,4)))))</f>
        <v/>
      </c>
      <c r="DC49" s="28" t="str">
        <f>IF(ISERROR(IF(DB49="","",VLOOKUP(($BC49&amp;DB49&amp;"Template desconto FLAT Plano Principal Oi TV nível conta"),BENEFICIOS!$A:$G,5,0))),"Criar",IF(DB49="","",VLOOKUP(($BC49&amp;DB49&amp;"Template desconto FLAT Plano Principal Oi TV nível conta"),BENEFICIOS!$A:$G,5,0)))</f>
        <v/>
      </c>
      <c r="DD49" s="8"/>
      <c r="DE49" s="3" t="str">
        <f>IF(DD49=0,"",IF(DD49=VLOOKUP("PCS-OzTL748",ARBOR!$A:$C,3,0),0.0001,IF(DD49&gt;VLOOKUP("PCS-OzTL748",ARBOR!$A:$C,3,0),"Maior que CAP!",IF((DOLLAR(DD49+(VLOOKUP("PCS-OzTL748",ARBOR!$A:$C,3,0)*-TRUNC(DD49/VLOOKUP("PCS-OzTL748",ARBOR!$A:$C,3,0)-1,4)),6))&lt;&gt;(DOLLAR(VLOOKUP("PCS-OzTL748",ARBOR!$A:$C,3,0),6)),-TRUNC(DD49/VLOOKUP("PCS-OzTL748",ARBOR!$A:$C,3,0)-1,4)+0.0001,-TRUNC(DD49/VLOOKUP("PCS-OzTL748",ARBOR!$A:$C,3,0)-1,4)))))</f>
        <v/>
      </c>
      <c r="DF49" s="28" t="str">
        <f>IF(ISERROR(IF(DE49="","",VLOOKUP(($BC49&amp;DE49&amp;"Template desconto FLAT Plano Principal Oi TV nível conta"),BENEFICIOS!$A:$G,5,0))),"Criar",IF(DE49="","",VLOOKUP(($BC49&amp;DE49&amp;"Template desconto FLAT Plano Principal Oi TV nível conta"),BENEFICIOS!$A:$G,5,0)))</f>
        <v/>
      </c>
      <c r="DG49" s="8"/>
      <c r="DH49" s="3" t="str">
        <f>IF(DG49=0,"",IF(DG49=VLOOKUP("PCS-OzTL34",ARBOR!$A:$C,3,0),0.0001,IF(DG49&gt;VLOOKUP("PCS-OzTL34",ARBOR!$A:$C,3,0),"Maior que CAP!",IF((DOLLAR(DG49+(VLOOKUP("PCS-OzTL34",ARBOR!$A:$C,3,0)*-TRUNC(DG49/VLOOKUP("PCS-OzTL34",ARBOR!$A:$C,3,0)-1,4)),6))&lt;&gt;(DOLLAR(VLOOKUP("PCS-OzTL34",ARBOR!$A:$C,3,0),6)),-TRUNC(DG49/VLOOKUP("PCS-OzTL34",ARBOR!$A:$C,3,0)-1,4)+0.0001,-TRUNC(DG49/VLOOKUP("PCS-OzTL34",ARBOR!$A:$C,3,0)-1,4)))))</f>
        <v/>
      </c>
      <c r="DI49" s="28" t="str">
        <f>IF(DH49="S/Desc","S/Desc",IF(ISERROR(IF(DH49="","",VLOOKUP(($BC49&amp;DH49&amp;"Template desconto % Combate nível conta"),BENEFICIOS!$A:$G,5,0))),"Criar",IF(DH49="","",VLOOKUP(($BC49&amp;DH49&amp;"Template desconto % Combate nível conta"),BENEFICIOS!$A:$G,5,0))))</f>
        <v/>
      </c>
      <c r="DJ49" s="8"/>
      <c r="DK49" s="3" t="str">
        <f>IF(DJ49=0,"",IF(DJ49=VLOOKUP("PCS-OzTL31",ARBOR!$A:$C,3,0),0.0001,IF(DJ49&gt;VLOOKUP("PCS-OzTL31",ARBOR!$A:$C,3,0),"Maior que CAP!",IF((DOLLAR(DJ49+(VLOOKUP("PCS-OzTL31",ARBOR!$A:$C,3,0)*-TRUNC(DJ49/VLOOKUP("PCS-OzTL31",ARBOR!$A:$C,3,0)-1,4)),6))&lt;&gt;(DOLLAR(VLOOKUP("PCS-OzTL31",ARBOR!$A:$C,3,0),6)),-TRUNC(DJ49/VLOOKUP("PCS-OzTL31",ARBOR!$A:$C,3,0)-1,4)+0.0001,-TRUNC(DJ49/VLOOKUP("PCS-OzTL31",ARBOR!$A:$C,3,0)-1,4)))))</f>
        <v/>
      </c>
      <c r="DL49" s="28" t="str">
        <f>IF(DK49="S/Desc","S/Desc",IF(ISERROR(IF(DK49="","",VLOOKUP(($BC49&amp;DK49&amp;"Template desconto % Sexy Hot nível conta"),BENEFICIOS!$A:$G,5,0))),"Criar",IF(DK49="","",VLOOKUP(($BC49&amp;DK49&amp;"Template desconto % Sexy Hot nível conta"),BENEFICIOS!$A:$G,5,0))))</f>
        <v/>
      </c>
      <c r="DM49" s="8"/>
      <c r="DN49" s="3" t="str">
        <f>IF(DM49=0,"",IF(DM49=VLOOKUP("PCS-OzTL32",ARBOR!$A:$C,3,0),0.0001,IF(DM49&gt;VLOOKUP("PCS-OzTL32",ARBOR!$A:$C,3,0),"Maior que CAP!",IF((DOLLAR(DM49+(VLOOKUP("PCS-OzTL32",ARBOR!$A:$C,3,0)*-TRUNC(DM49/VLOOKUP("PCS-OzTL32",ARBOR!$A:$C,3,0)-1,4)),6))&lt;&gt;(DOLLAR(VLOOKUP("PCS-OzTL32",ARBOR!$A:$C,3,0),6)),-TRUNC(DM49/VLOOKUP("PCS-OzTL32",ARBOR!$A:$C,3,0)-1,4)+0.0001,-TRUNC(DM49/VLOOKUP("PCS-OzTL32",ARBOR!$A:$C,3,0)-1,4)))))</f>
        <v/>
      </c>
      <c r="DO49" s="28" t="str">
        <f>IF(DN49="S/Desc","S/Desc",IF(ISERROR(IF(DN49="","",VLOOKUP(($BC49&amp;DN49&amp;"Template desconto % Playboy nível conta"),BENEFICIOS!$A:$G,5,0))),"Criar",IF(DN49="","",VLOOKUP(($BC49&amp;DN49&amp;"Template desconto % Playboy nível conta"),BENEFICIOS!$A:$G,5,0))))</f>
        <v/>
      </c>
      <c r="DP49" s="8"/>
      <c r="DQ49" s="3" t="str">
        <f>IF(DP49=0,"",IF(DP49=VLOOKUP("PCS-OzTL33",ARBOR!$A:$C,3,0),0.0001,IF(DP49&gt;VLOOKUP("PCS-OzTL33",ARBOR!$A:$C,3,0),"Maior que CAP!",IF((DOLLAR(DP49+(VLOOKUP("PCS-OzTL33",ARBOR!$A:$C,3,0)*-TRUNC(DP49/VLOOKUP("PCS-OzTL33",ARBOR!$A:$C,3,0)-1,4)),6))&lt;&gt;(DOLLAR(VLOOKUP("PCS-OzTL33",ARBOR!$A:$C,3,0),6)),-TRUNC(DP49/VLOOKUP("PCS-OzTL33",ARBOR!$A:$C,3,0)-1,4)+0.0001,-TRUNC(DP49/VLOOKUP("PCS-OzTL33",ARBOR!$A:$C,3,0)-1,4)))))</f>
        <v/>
      </c>
      <c r="DR49" s="28" t="str">
        <f>IF(DQ49="S/Desc","S/Desc",IF(ISERROR(IF(DQ49="","",VLOOKUP(($BC49&amp;DQ49&amp;"Template desconto % Sexy Hot + Playboy nível conta"),BENEFICIOS!$A:$G,5,0))),"Criar",IF(DQ49="","",VLOOKUP(($BC49&amp;DQ49&amp;"Template desconto % Sexy Hot + Playboy nível conta"),BENEFICIOS!$A:$G,5,0))))</f>
        <v/>
      </c>
      <c r="DS49" s="8"/>
      <c r="DT49" s="3" t="str">
        <f>IF(DS49=0,"",IF(DS49=VLOOKUP("PCS-OzTL503",ARBOR!$A:$C,3,0),0.0001,IF(DS49&gt;VLOOKUP("PCS-OzTL503",ARBOR!$A:$C,3,0),"Maior que CAP!",IF((DOLLAR(DS49+(VLOOKUP("PCS-OzTL503",ARBOR!$A:$C,3,0)*-TRUNC(DS49/VLOOKUP("PCS-OzTL503",ARBOR!$A:$C,3,0)-1,4)),6))&lt;&gt;(DOLLAR(VLOOKUP("PCS-OzTL503",ARBOR!$A:$C,3,0),6)),-TRUNC(DS49/VLOOKUP("PCS-OzTL503",ARBOR!$A:$C,3,0)-1,4)+0.0001,-TRUNC(DS49/VLOOKUP("PCS-OzTL503",ARBOR!$A:$C,3,0)-1,4)))))</f>
        <v/>
      </c>
      <c r="DU49" s="28" t="str">
        <f>IF(DT49="S/Desc","S/Desc",IF(ISERROR(IF(DT49="","",VLOOKUP(($BC49&amp;DT49&amp;"Template desconto % SexPrivê nível conta"),BENEFICIOS!$A:$G,5,0))),"Criar",IF(DT49="","",VLOOKUP(($BC49&amp;DT49&amp;"Template desconto % SexPrivê nível conta"),BENEFICIOS!$A:$G,5,0))))</f>
        <v/>
      </c>
      <c r="DV49" s="8"/>
      <c r="DW49" s="3" t="str">
        <f>IF(DV49=0,"",IF(DV49=VLOOKUP("PCS-OzTL500",ARBOR!$A:$C,3,0),0.0001,IF(DV49&gt;VLOOKUP("PCS-OzTL500",ARBOR!$A:$C,3,0),"Maior que CAP!",IF((DOLLAR(DV49+(VLOOKUP("PCS-OzTL500",ARBOR!$A:$C,3,0)*-TRUNC(DV49/VLOOKUP("PCS-OzTL500",ARBOR!$A:$C,3,0)-1,4)),6))&lt;&gt;(DOLLAR(VLOOKUP("PCS-OzTL500",ARBOR!$A:$C,3,0),6)),-TRUNC(DV49/VLOOKUP("PCS-OzTL500",ARBOR!$A:$C,3,0)-1,4)+0.0001,-TRUNC(DV49/VLOOKUP("PCS-OzTL500",ARBOR!$A:$C,3,0)-1,4)))))</f>
        <v/>
      </c>
      <c r="DX49" s="28" t="str">
        <f>IF(DW49="S/Desc","S/Desc",IF(ISERROR(IF(DW49="","",VLOOKUP(($BC49&amp;DW49&amp;"Template desconto % Étnico nível conta"),BENEFICIOS!$A:$G,5,0))),"Criar",IF(DW49="","",VLOOKUP(($BC49&amp;DW49&amp;"Template desconto % Étnico nível conta"),BENEFICIOS!$A:$G,5,0))))</f>
        <v/>
      </c>
      <c r="DY49" s="8"/>
      <c r="DZ49" s="181" t="str">
        <f>IF(DY49=0,"",IF(DY49=VLOOKUP("PCS-OzTL50",ARBOR!$A:$C,3,0),0.0001,IF(DY49&gt;VLOOKUP("PCS-OzTL50",ARBOR!$A:$C,3,0),"Maior que CAP!",IF((DOLLAR(DY49+(VLOOKUP("PCS-OzTL50",ARBOR!$A:$C,3,0)*-TRUNC(DY49/VLOOKUP("PCS-OzTL50",ARBOR!$A:$C,3,0)-1,4)),6))&lt;&gt;(DOLLAR(VLOOKUP("PCS-OzTL50",ARBOR!$A:$C,3,0),6)),-TRUNC(DY49/VLOOKUP("PCS-OzTL50",ARBOR!$A:$C,3,0)-1,4)+0.0001,-TRUNC(DY49/VLOOKUP("PCS-OzTL50",ARBOR!$A:$C,3,0)-1,4)))))</f>
        <v/>
      </c>
      <c r="EA49" s="28"/>
      <c r="EB49" s="8"/>
      <c r="EC49" s="181" t="str">
        <f>IF(EB49=0,"",IF(EB49=VLOOKUP("PCS-OzTL51",ARBOR!$A:$C,3,0),0.0001,IF(EB49&gt;VLOOKUP("PCS-OzTL51",ARBOR!$A:$C,3,0),"Maior que CAP!",IF((DOLLAR(EB49+(VLOOKUP("PCS-OzTL51",ARBOR!$A:$C,3,0)*-TRUNC(EB49/VLOOKUP("PCS-OzTL51",ARBOR!$A:$C,3,0)-1,4)),6))&lt;&gt;(DOLLAR(VLOOKUP("PCS-OzTL51",ARBOR!$A:$C,3,0),6)),-TRUNC(EB49/VLOOKUP("PCS-OzTL51",ARBOR!$A:$C,3,0)-1,4)+0.0001,-TRUNC(EB49/VLOOKUP("PCS-OzTL51",ARBOR!$A:$C,3,0)-1,4)))))</f>
        <v/>
      </c>
      <c r="ED49" s="28"/>
      <c r="EE49" s="8"/>
      <c r="EF49" s="181" t="str">
        <f>IF(EE49=0,"",IF(EE49=VLOOKUP("PCS-OzTL52",ARBOR!$A:$C,3,0),0.0001,IF(EE49&gt;VLOOKUP("PCS-OzTL52",ARBOR!$A:$C,3,0),"Maior que CAP!",IF((DOLLAR(EE49+(VLOOKUP("PCS-OzTL52",ARBOR!$A:$C,3,0)*-TRUNC(EE49/VLOOKUP("PCS-OzTL52",ARBOR!$A:$C,3,0)-1,4)),6))&lt;&gt;(DOLLAR(VLOOKUP("PCS-OzTL52",ARBOR!$A:$C,3,0),6)),-TRUNC(EE49/VLOOKUP("PCS-OzTL52",ARBOR!$A:$C,3,0)-1,4)+0.0001,-TRUNC(EE49/VLOOKUP("PCS-OzTL52",ARBOR!$A:$C,3,0)-1,4)))))</f>
        <v/>
      </c>
      <c r="EG49" s="28"/>
      <c r="EH49" s="8"/>
      <c r="EI49" s="181" t="str">
        <f>IF(EH49=0,"",IF(EH49=VLOOKUP("PCS-OzTL53",ARBOR!$A:$C,3,0),0.0001,IF(EH49&gt;VLOOKUP("PCS-OzTL53",ARBOR!$A:$C,3,0),"Maior que CAP!",IF((DOLLAR(EH49+(VLOOKUP("PCS-OzTL53",ARBOR!$A:$C,3,0)*-TRUNC(EH49/VLOOKUP("PCS-OzTL53",ARBOR!$A:$C,3,0)-1,4)),6))&lt;&gt;(DOLLAR(VLOOKUP("PCS-OzTL53",ARBOR!$A:$C,3,0),6)),-TRUNC(EH49/VLOOKUP("PCS-OzTL53",ARBOR!$A:$C,3,0)-1,4)+0.0001,-TRUNC(EH49/VLOOKUP("PCS-OzTL53",ARBOR!$A:$C,3,0)-1,4)))))</f>
        <v/>
      </c>
      <c r="EJ49" s="28"/>
      <c r="EK49" s="8"/>
      <c r="EL49" s="181" t="str">
        <f>IF(EK49=0,"",IF(EK49=VLOOKUP("PCS-OzTL54",ARBOR!$A:$C,3,0),0.0001,IF(EK49&gt;VLOOKUP("PCS-OzTL54",ARBOR!$A:$C,3,0),"Maior que CAP!",IF((DOLLAR(EK49+(VLOOKUP("PCS-OzTL54",ARBOR!$A:$C,3,0)*-TRUNC(EK49/VLOOKUP("PCS-OzTL54",ARBOR!$A:$C,3,0)-1,4)),6))&lt;&gt;(DOLLAR(VLOOKUP("PCS-OzTL54",ARBOR!$A:$C,3,0),6)),-TRUNC(EK49/VLOOKUP("PCS-OzTL54",ARBOR!$A:$C,3,0)-1,4)+0.0001,-TRUNC(EK49/VLOOKUP("PCS-OzTL54",ARBOR!$A:$C,3,0)-1,4)))))</f>
        <v/>
      </c>
      <c r="EM49" s="28"/>
      <c r="EN49" s="8"/>
      <c r="EO49" s="3" t="str">
        <f>IF(EN49=0,"",IF(EN49=VLOOKUP("PCS-OzTL99",ARBOR!$A:$C,3,0),0.0001,IF(EN49&gt;VLOOKUP("PCS-OzTL99",ARBOR!$A:$C,3,0),"Maior que CAP!",IF((DOLLAR(EN49+(VLOOKUP("PCS-OzTL99",ARBOR!$A:$C,3,0)*-TRUNC(EN49/VLOOKUP("PCS-OzTL99",ARBOR!$A:$C,3,0)-1,4)),6))&lt;&gt;(DOLLAR(VLOOKUP("PCS-OzTL99",ARBOR!$A:$C,3,0),6)),-TRUNC(EN49/VLOOKUP("PCS-OzTL99",ARBOR!$A:$C,3,0)-1,4)+0.0001,-TRUNC(EN49/VLOOKUP("PCS-OzTL99",ARBOR!$A:$C,3,0)-1,4)))))</f>
        <v/>
      </c>
      <c r="EP49" s="28" t="str">
        <f>IF(EO49="S/Desc","S/Desc",IF(ISERROR(IF(EO49="","",VLOOKUP(($BC49&amp;EO49&amp;"Template desconto % Ponto adicional nível conta"),BENEFICIOS!$A:$G,5,0))),"Criar",IF(EO49="","",VLOOKUP(($BC49&amp;EO49&amp;"Template desconto % Ponto adicional nível conta"),BENEFICIOS!$A:$G,5,0))))</f>
        <v/>
      </c>
      <c r="EQ49" s="8"/>
      <c r="ER49" s="28" t="str">
        <f t="shared" si="23"/>
        <v/>
      </c>
      <c r="ES49" s="62"/>
      <c r="ET49" s="126"/>
      <c r="EU49" s="127"/>
      <c r="EV49" s="126"/>
      <c r="EW49" s="128" t="str">
        <f t="shared" si="24"/>
        <v/>
      </c>
      <c r="EX49" s="129" t="str">
        <f t="shared" si="25"/>
        <v/>
      </c>
      <c r="EY49" s="91" t="str">
        <f t="shared" si="26"/>
        <v/>
      </c>
      <c r="EZ49" s="85"/>
      <c r="FA49" s="97"/>
      <c r="FB49" s="91"/>
      <c r="FC49" s="85"/>
      <c r="FD49" s="97"/>
      <c r="FE49" s="91"/>
      <c r="FF49" s="87"/>
      <c r="FG49" s="144" t="str">
        <f t="shared" si="5"/>
        <v/>
      </c>
      <c r="FH49" s="144" t="str">
        <f t="shared" si="6"/>
        <v/>
      </c>
      <c r="FI49" s="144" t="str">
        <f t="shared" si="7"/>
        <v/>
      </c>
      <c r="FJ49" s="144" t="str">
        <f t="shared" si="8"/>
        <v/>
      </c>
      <c r="FK49" s="144" t="str">
        <f t="shared" si="9"/>
        <v/>
      </c>
      <c r="FL49" s="144" t="str">
        <f t="shared" si="10"/>
        <v/>
      </c>
      <c r="FM49" s="144" t="str">
        <f t="shared" si="11"/>
        <v/>
      </c>
      <c r="FN49" s="144" t="str">
        <f t="shared" si="12"/>
        <v/>
      </c>
      <c r="FO49" s="144" t="str">
        <f t="shared" si="13"/>
        <v/>
      </c>
      <c r="FP49" s="144" t="str">
        <f t="shared" si="14"/>
        <v/>
      </c>
      <c r="FQ49" s="144" t="str">
        <f t="shared" si="15"/>
        <v/>
      </c>
      <c r="FR49" s="144" t="str">
        <f t="shared" si="16"/>
        <v/>
      </c>
      <c r="FS49" s="144" t="str">
        <f t="shared" si="17"/>
        <v/>
      </c>
      <c r="FT49" s="144" t="str">
        <f t="shared" si="18"/>
        <v/>
      </c>
      <c r="FU49" s="144" t="str">
        <f t="shared" si="19"/>
        <v/>
      </c>
      <c r="FV49" s="144" t="str">
        <f t="shared" si="20"/>
        <v/>
      </c>
      <c r="FW49" s="144" t="str">
        <f t="shared" si="21"/>
        <v/>
      </c>
      <c r="FX49" s="151"/>
      <c r="FY49" s="152"/>
      <c r="FZ49" s="152"/>
      <c r="GA49" s="152"/>
      <c r="GB49" s="152"/>
      <c r="GC49" s="152"/>
      <c r="GD49" s="152"/>
      <c r="GE49" s="152"/>
      <c r="GF49" s="152"/>
      <c r="GG49" s="153"/>
    </row>
    <row r="50" spans="1:189">
      <c r="A50" s="45"/>
      <c r="B50" s="133"/>
      <c r="C50" s="133"/>
      <c r="D50" s="46"/>
      <c r="E50" s="4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9"/>
      <c r="U50" s="48"/>
      <c r="V50" s="49"/>
      <c r="W50" s="48"/>
      <c r="X50" s="48"/>
      <c r="Y50" s="48"/>
      <c r="Z50" s="48"/>
      <c r="AA50" s="49"/>
      <c r="AB50" s="48"/>
      <c r="AC50" s="50"/>
      <c r="AD50" s="48"/>
      <c r="AE50" s="48"/>
      <c r="AF50" s="48"/>
      <c r="AG50" s="48"/>
      <c r="AH50" s="48"/>
      <c r="AI50" s="48"/>
      <c r="AJ50" s="48"/>
      <c r="AK50" s="48"/>
      <c r="AL50" s="51"/>
      <c r="AM50" s="37"/>
      <c r="AN50" s="38"/>
      <c r="AO50" s="39"/>
      <c r="AP50" s="52"/>
      <c r="AQ50" s="53"/>
      <c r="AR50" s="64"/>
      <c r="AS50" s="65"/>
      <c r="AT50" s="54"/>
      <c r="AU50" s="54"/>
      <c r="AV50" s="54"/>
      <c r="AW50" s="54"/>
      <c r="AX50" s="70"/>
      <c r="AY50" s="71"/>
      <c r="AZ50" s="72"/>
      <c r="BA50" s="73"/>
      <c r="BB50" s="55"/>
      <c r="BC50" s="56"/>
      <c r="BD50" s="27" t="str">
        <f t="shared" si="22"/>
        <v/>
      </c>
      <c r="BE50" s="58"/>
      <c r="BF50" s="3" t="str">
        <f>IF(BE50=0,"",IF(BE50=VLOOKUP("FIXO",ARBOR!$A:$C,3,0),0.0001,IF(BE50&gt;VLOOKUP("FIXO",ARBOR!$A:$C,3,0),"Maior que CAP!",IF((DOLLAR(BE50+(VLOOKUP("FIXO",ARBOR!$A:$C,3,0)*-TRUNC(BE50/VLOOKUP("FIXO",ARBOR!$A:$C,3,0)-1,4)),6))&lt;&gt;(DOLLAR(VLOOKUP("FIXO",ARBOR!$A:$C,3,0),6)),-TRUNC(BE50/VLOOKUP("FIXO",ARBOR!$A:$C,3,0)-1,4)+0.0001,-TRUNC(BE50/VLOOKUP("FIXO",ARBOR!$A:$C,3,0)-1,4)))))</f>
        <v/>
      </c>
      <c r="BG50" s="10" t="str">
        <f>IF(ISERROR(IF(BF50="","",VLOOKUP(($BC50&amp;BF50&amp;"Template de desconto FLAT bundle - Fixo - Varejo - Ganho Tributário Cross"),BENEFICIOS!$A:$G,5,0))),"Criar",IF(BF50="","",VLOOKUP(($BC50&amp;BF50&amp;"Template de desconto FLAT bundle - Fixo - Varejo - Ganho Tributário Cross"),BENEFICIOS!$A:$G,5,0)))</f>
        <v/>
      </c>
      <c r="BH50" s="8"/>
      <c r="BI50" s="3" t="str">
        <f>IF(BH50=0,"",IF(BH50=VLOOKUP("PCS-OzTL40",ARBOR!$A:$C,3,0),0.0001,IF(BH50&gt;VLOOKUP("PCS-OzTL40",ARBOR!$A:$C,3,0),"Maior que CAP!",IF((DOLLAR(BH50+(VLOOKUP("PCS-OzTL40",ARBOR!$A:$C,3,0)*-TRUNC(BH50/VLOOKUP("PCS-OzTL40",ARBOR!$A:$C,3,0)-1,4)),6))&lt;&gt;(DOLLAR(VLOOKUP("PCS-OzTL40",ARBOR!$A:$C,3,0),6)),-TRUNC(BH50/VLOOKUP("PCS-OzTL40",ARBOR!$A:$C,3,0)-1,4)+0.0001,-TRUNC(BH50/VLOOKUP("PCS-OzTL40",ARBOR!$A:$C,3,0)-1,4)))))</f>
        <v/>
      </c>
      <c r="BJ50" s="10" t="str">
        <f>IF(ISERROR(IF(BI50="","",VLOOKUP((BC50&amp;BI50&amp;"Template desconto FLAT Plano Principal Oi TV nível conta"),BENEFICIOS!$A:$G,5,0))),"Criar",IF(BI50="","",VLOOKUP((BC50&amp;BI50&amp;"Template desconto FLAT Plano Principal Oi TV nível conta"),BENEFICIOS!$A:$G,5,0)))</f>
        <v/>
      </c>
      <c r="BK50" s="8"/>
      <c r="BL50" s="3" t="str">
        <f>IF(BK50=0,"",IF(BK50=VLOOKUP("PCS-OzTL41",ARBOR!$A:$C,3,0),0.0001,IF(BK50&gt;VLOOKUP("PCS-OzTL41",ARBOR!$A:$C,3,0),"Maior que CAP!",IF((DOLLAR(BK50+(VLOOKUP("PCS-OzTL41",ARBOR!$A:$C,3,0)*-TRUNC(BK50/VLOOKUP("PCS-OzTL41",ARBOR!$A:$C,3,0)-1,4)),6))&lt;&gt;(DOLLAR(VLOOKUP("PCS-OzTL41",ARBOR!$A:$C,3,0),6)),-TRUNC(BK50/VLOOKUP("PCS-OzTL41",ARBOR!$A:$C,3,0)-1,4)+0.0001,-TRUNC(BK50/VLOOKUP("PCS-OzTL41",ARBOR!$A:$C,3,0)-1,4)))))</f>
        <v/>
      </c>
      <c r="BM50" s="28" t="str">
        <f>IF(ISERROR(IF(BL50="","",VLOOKUP((BC50&amp;BL50&amp;"Template desconto FLAT Plano Principal Oi TV nível conta"),BENEFICIOS!$A:$G,5,0))),"Criar",IF(BL50="","",VLOOKUP((BC50&amp;BL50&amp;"Template desconto FLAT Plano Principal Oi TV nível conta"),BENEFICIOS!$A:$G,5,0)))</f>
        <v/>
      </c>
      <c r="BN50" s="8"/>
      <c r="BO50" s="3" t="str">
        <f>IF(BN50=0,"",IF(BN50=VLOOKUP("PCS-OzTL44",ARBOR!$A:$C,3,0),0.0001,IF(BN50&gt;VLOOKUP("PCS-OzTL44",ARBOR!$A:$C,3,0),"Maior que CAP!",IF((DOLLAR(BN50+(VLOOKUP("PCS-OzTL44",ARBOR!$A:$C,3,0)*-TRUNC(BN50/VLOOKUP("PCS-OzTL44",ARBOR!$A:$C,3,0)-1,4)),6))&lt;&gt;(DOLLAR(VLOOKUP("PCS-OzTL44",ARBOR!$A:$C,3,0),6)),-TRUNC(BN50/VLOOKUP("PCS-OzTL44",ARBOR!$A:$C,3,0)-1,4)+0.0001,-TRUNC(BN50/VLOOKUP("PCS-OzTL44",ARBOR!$A:$C,3,0)-1,4)))))</f>
        <v/>
      </c>
      <c r="BP50" s="28" t="str">
        <f>IF(ISERROR(IF(BO50="","",VLOOKUP((BC50&amp;BO50&amp;"Template desconto FLAT Plano Principal Oi TV nível conta"),BENEFICIOS!$A:$G,5,0))),"Criar",IF(BO50="","",VLOOKUP((BC50&amp;BO50&amp;"Template desconto FLAT Plano Principal Oi TV nível conta"),BENEFICIOS!$A:$G,5,0)))</f>
        <v/>
      </c>
      <c r="BQ50" s="8"/>
      <c r="BR50" s="3" t="str">
        <f>IF(BQ50=0,"",IF(BQ50=VLOOKUP("PCS-OzTL43",ARBOR!$A:$C,3,0),0.0001,IF(BQ50&gt;VLOOKUP("PCS-OzTL43",ARBOR!$A:$C,3,0),"Maior que CAP!",IF((DOLLAR(BQ50+(VLOOKUP("PCS-OzTL43",ARBOR!$A:$C,3,0)*-TRUNC(BQ50/VLOOKUP("PCS-OzTL43",ARBOR!$A:$C,3,0)-1,4)),6))&lt;&gt;(DOLLAR(VLOOKUP("PCS-OzTL43",ARBOR!$A:$C,3,0),6)),-TRUNC(BQ50/VLOOKUP("PCS-OzTL43",ARBOR!$A:$C,3,0)-1,4)+0.0001,-TRUNC(BQ50/VLOOKUP("PCS-OzTL43",ARBOR!$A:$C,3,0)-1,4)))))</f>
        <v/>
      </c>
      <c r="BS50" s="28" t="str">
        <f>IF(ISERROR(IF(BR50="","",VLOOKUP((BC50&amp;BR50&amp;"Template desconto FLAT Plano Principal Oi TV nível conta"),BENEFICIOS!$A:$G,5,0))),"Criar",IF(BR50="","",VLOOKUP((BC50&amp;BR50&amp;"Template desconto FLAT Plano Principal Oi TV nível conta"),BENEFICIOS!$A:$G,5,0)))</f>
        <v/>
      </c>
      <c r="BT50" s="8"/>
      <c r="BU50" s="3" t="str">
        <f>IF(BT50=0,"",IF(BT50=VLOOKUP("PCS-OzTL45",ARBOR!$A:$C,3,0),0.0001,IF(BT50&gt;VLOOKUP("PCS-OzTL45",ARBOR!$A:$C,3,0),"Maior que CAP!",IF((DOLLAR(BT50+(VLOOKUP("PCS-OzTL45",ARBOR!$A:$C,3,0)*-TRUNC(BT50/VLOOKUP("PCS-OzTL45",ARBOR!$A:$C,3,0)-1,4)),6))&lt;&gt;(DOLLAR(VLOOKUP("PCS-OzTL45",ARBOR!$A:$C,3,0),6)),-TRUNC(BT50/VLOOKUP("PCS-OzTL45",ARBOR!$A:$C,3,0)-1,4)+0.0001,-TRUNC(BT50/VLOOKUP("PCS-OzTL45",ARBOR!$A:$C,3,0)-1,4)))))</f>
        <v/>
      </c>
      <c r="BV50" s="28" t="str">
        <f>IF(ISERROR(IF(BU50="","",VLOOKUP((BC50&amp;BU50&amp;"Template desconto FLAT Plano Principal Oi TV nível conta"),BENEFICIOS!$A:$G,5,0))),"Criar",IF(BU50="","",VLOOKUP((BC50&amp;BU50&amp;"Template desconto FLAT Plano Principal Oi TV nível conta"),BENEFICIOS!$A:$G,5,0)))</f>
        <v/>
      </c>
      <c r="BW50" s="8"/>
      <c r="BX50" s="3" t="str">
        <f>IF(BW50=0,"",IF(BW50=VLOOKUP("PCS-OzTL741",ARBOR!$A:$C,3,0),0.0001,IF(BW50&gt;VLOOKUP("PCS-OzTL741",ARBOR!$A:$C,3,0),"Maior que CAP!",IF((DOLLAR(BW50+(VLOOKUP("PCS-OzTL741",ARBOR!$A:$C,3,0)*-TRUNC(BW50/VLOOKUP("PCS-OzTL741",ARBOR!$A:$C,3,0)-1,4)),6))&lt;&gt;(DOLLAR(VLOOKUP("PCS-OzTL741",ARBOR!$A:$C,3,0),6)),-TRUNC(BW50/VLOOKUP("PCS-OzTL741",ARBOR!$A:$C,3,0)-1,4)+0.0001,-TRUNC(BW50/VLOOKUP("PCS-OzTL741",ARBOR!$A:$C,3,0)-1,4)))))</f>
        <v/>
      </c>
      <c r="BY50" s="28" t="str">
        <f>IF(ISERROR(IF(BX50="","",VLOOKUP((BC50&amp;BX50&amp;"Template desconto FLAT Plano Principal Oi TV nível conta"),BENEFICIOS!$A:$G,5,0))),"Criar",IF(BX50="","",VLOOKUP((BC50&amp;BX50&amp;"Template desconto FLAT Plano Principal Oi TV nível conta"),BENEFICIOS!$A:$G,5,0)))</f>
        <v/>
      </c>
      <c r="BZ50" s="8"/>
      <c r="CA50" s="3" t="str">
        <f>IF(BZ50=0,"",IF(BZ50=VLOOKUP("PCS-OzTL744",ARBOR!$A:$C,3,0),0.0001,IF(BZ50&gt;VLOOKUP("PCS-OzTL744",ARBOR!$A:$C,3,0),"Maior que CAP!",IF((DOLLAR(BZ50+(VLOOKUP("PCS-OzTL744",ARBOR!$A:$C,3,0)*-TRUNC(BZ50/VLOOKUP("PCS-OzTL744",ARBOR!$A:$C,3,0)-1,4)),6))&lt;&gt;(DOLLAR(VLOOKUP("PCS-OzTL744",ARBOR!$A:$C,3,0),6)),-TRUNC(BZ50/VLOOKUP("PCS-OzTL744",ARBOR!$A:$C,3,0)-1,4)+0.0001,-TRUNC(BZ50/VLOOKUP("PCS-OzTL744",ARBOR!$A:$C,3,0)-1,4)))))</f>
        <v/>
      </c>
      <c r="CB50" s="28" t="str">
        <f>IF(ISERROR(IF(CA50="","",VLOOKUP(($BC50&amp;CA50&amp;"Template desconto FLAT Plano Principal Oi TV nível conta"),BENEFICIOS!$A:$G,5,0))),"Criar",IF(CA50="","",VLOOKUP(($BC50&amp;CA50&amp;"Template desconto FLAT Plano Principal Oi TV nível conta"),BENEFICIOS!$A:$G,5,0)))</f>
        <v/>
      </c>
      <c r="CC50" s="8"/>
      <c r="CD50" s="3" t="str">
        <f>IF(CC50=0,"",IF(CC50=VLOOKUP("PCS-OzTL743",ARBOR!$A:$C,3,0),0.0001,IF(CC50&gt;VLOOKUP("PCS-OzTL743",ARBOR!$A:$C,3,0),"Maior que CAP!",IF((DOLLAR(CC50+(VLOOKUP("PCS-OzTL743",ARBOR!$A:$C,3,0)*-TRUNC(CC50/VLOOKUP("PCS-OzTL743",ARBOR!$A:$C,3,0)-1,4)),6))&lt;&gt;(DOLLAR(VLOOKUP("PCS-OzTL743",ARBOR!$A:$C,3,0),6)),-TRUNC(CC50/VLOOKUP("PCS-OzTL743",ARBOR!$A:$C,3,0)-1,4)+0.0001,-TRUNC(CC50/VLOOKUP("PCS-OzTL743",ARBOR!$A:$C,3,0)-1,4)))))</f>
        <v/>
      </c>
      <c r="CE50" s="28" t="str">
        <f>IF(ISERROR(IF(CD50="","",VLOOKUP(($BC50&amp;CD50&amp;"Template desconto FLAT Plano Principal Oi TV nível conta"),BENEFICIOS!$A:$G,5,0))),"Criar",IF(CD50="","",VLOOKUP(($BC50&amp;CD50&amp;"Template desconto FLAT Plano Principal Oi TV nível conta"),BENEFICIOS!$A:$G,5,0)))</f>
        <v/>
      </c>
      <c r="CF50" s="8"/>
      <c r="CG50" s="3" t="str">
        <f>IF(CF50=0,"",IF(CF50=VLOOKUP("PCS-OzTL745",ARBOR!$A:$C,3,0),0.0001,IF(CF50&gt;VLOOKUP("PCS-OzTL745",ARBOR!$A:$C,3,0),"Maior que CAP!",IF((DOLLAR(CF50+(VLOOKUP("PCS-OzTL745",ARBOR!$A:$C,3,0)*-TRUNC(CF50/VLOOKUP("PCS-OzTL745",ARBOR!$A:$C,3,0)-1,4)),6))&lt;&gt;(DOLLAR(VLOOKUP("PCS-OzTL745",ARBOR!$A:$C,3,0),6)),-TRUNC(CF50/VLOOKUP("PCS-OzTL745",ARBOR!$A:$C,3,0)-1,4)+0.0001,-TRUNC(CF50/VLOOKUP("PCS-OzTL745",ARBOR!$A:$C,3,0)-1,4)))))</f>
        <v/>
      </c>
      <c r="CH50" s="28" t="str">
        <f>IF(ISERROR(IF(CG50="","",VLOOKUP(($BC50&amp;CG50&amp;"Template desconto FLAT Plano Principal Oi TV nível conta"),BENEFICIOS!$A:$G,5,0))),"Criar",IF(CG50="","",VLOOKUP(($BC50&amp;CG50&amp;"Template desconto FLAT Plano Principal Oi TV nível conta"),BENEFICIOS!$A:$G,5,0)))</f>
        <v/>
      </c>
      <c r="CI50" s="8"/>
      <c r="CJ50" s="3" t="str">
        <f>IF(CI50=0,"",IF(CI50=VLOOKUP("PCS-OzTL42",ARBOR!$A:$C,3,0),0.0001,IF(CI50&gt;VLOOKUP("PCS-OzTL42",ARBOR!$A:$C,3,0),"Maior que CAP!",IF((DOLLAR(CI50+(VLOOKUP("PCS-OzTL42",ARBOR!$A:$C,3,0)*-TRUNC(CI50/VLOOKUP("PCS-OzTL42",ARBOR!$A:$C,3,0)-1,4)),6))&lt;&gt;(DOLLAR(VLOOKUP("PCS-OzTL42",ARBOR!$A:$C,3,0),6)),-TRUNC(CI50/VLOOKUP("PCS-OzTL42",ARBOR!$A:$C,3,0)-1,4)+0.0001,-TRUNC(CI50/VLOOKUP("PCS-OzTL42",ARBOR!$A:$C,3,0)-1,4)))))</f>
        <v/>
      </c>
      <c r="CK50" s="28" t="str">
        <f>IF(ISERROR(IF(CJ50="","",VLOOKUP(($BC50&amp;CJ50&amp;"Template desconto FLAT Plano Principal Oi TV nível conta"),BENEFICIOS!$A:$G,5,0))),"Criar",IF(CJ50="","",VLOOKUP(($BC50&amp;CJ50&amp;"Template desconto FLAT Plano Principal Oi TV nível conta"),BENEFICIOS!$A:$G,5,0)))</f>
        <v/>
      </c>
      <c r="CL50" s="8"/>
      <c r="CM50" s="3" t="str">
        <f>IF(CL50=0,"",IF(CL50=VLOOKUP("PCS-OzTL47",ARBOR!$A:$C,3,0),0.0001,IF(CL50&gt;VLOOKUP("PCS-OzTL47",ARBOR!$A:$C,3,0),"Maior que CAP!",IF((DOLLAR(CL50+(VLOOKUP("PCS-OzTL47",ARBOR!$A:$C,3,0)*-TRUNC(CL50/VLOOKUP("PCS-OzTL47",ARBOR!$A:$C,3,0)-1,4)),6))&lt;&gt;(DOLLAR(VLOOKUP("PCS-OzTL47",ARBOR!$A:$C,3,0),6)),-TRUNC(CL50/VLOOKUP("PCS-OzTL47",ARBOR!$A:$C,3,0)-1,4)+0.0001,-TRUNC(CL50/VLOOKUP("PCS-OzTL47",ARBOR!$A:$C,3,0)-1,4)))))</f>
        <v/>
      </c>
      <c r="CN50" s="28" t="str">
        <f>IF(ISERROR(IF(CM50="","",VLOOKUP(($BC50&amp;CM50&amp;"Template desconto FLAT Plano Principal Oi TV nível conta"),BENEFICIOS!$A:$G,5,0))),"Criar",IF(CM50="","",VLOOKUP(($BC50&amp;CM50&amp;"Template desconto FLAT Plano Principal Oi TV nível conta"),BENEFICIOS!$A:$G,5,0)))</f>
        <v/>
      </c>
      <c r="CO50" s="8"/>
      <c r="CP50" s="3" t="str">
        <f>IF(CO50=0,"",IF(CO50=VLOOKUP("PCS-OzTL46",ARBOR!$A:$C,3,0),0.0001,IF(CO50&gt;VLOOKUP("PCS-OzTL46",ARBOR!$A:$C,3,0),"Maior que CAP!",IF((DOLLAR(CO50+(VLOOKUP("PCS-OzTL46",ARBOR!$A:$C,3,0)*-TRUNC(CO50/VLOOKUP("PCS-OzTL46",ARBOR!$A:$C,3,0)-1,4)),6))&lt;&gt;(DOLLAR(VLOOKUP("PCS-OzTL46",ARBOR!$A:$C,3,0),6)),-TRUNC(CO50/VLOOKUP("PCS-OzTL46",ARBOR!$A:$C,3,0)-1,4)+0.0001,-TRUNC(CO50/VLOOKUP("PCS-OzTL46",ARBOR!$A:$C,3,0)-1,4)))))</f>
        <v/>
      </c>
      <c r="CQ50" s="28" t="str">
        <f>IF(ISERROR(IF(CP50="","",VLOOKUP(($BC50&amp;CP50&amp;"Template desconto FLAT Plano Principal Oi TV nível conta"),BENEFICIOS!$A:$G,5,0))),"Criar",IF(CP50="","",VLOOKUP(($BC50&amp;CP50&amp;"Template desconto FLAT Plano Principal Oi TV nível conta"),BENEFICIOS!$A:$G,5,0)))</f>
        <v/>
      </c>
      <c r="CR50" s="8"/>
      <c r="CS50" s="3" t="str">
        <f>IF(CR50=0,"",IF(CR50=VLOOKUP("PCS-OzTL48",ARBOR!$A:$C,3,0),0.0001,IF(CR50&gt;VLOOKUP("PCS-OzTL48",ARBOR!$A:$C,3,0),"Maior que CAP!",IF((DOLLAR(CR50+(VLOOKUP("PCS-OzTL48",ARBOR!$A:$C,3,0)*-TRUNC(CR50/VLOOKUP("PCS-OzTL48",ARBOR!$A:$C,3,0)-1,4)),6))&lt;&gt;(DOLLAR(VLOOKUP("PCS-OzTL48",ARBOR!$A:$C,3,0),6)),-TRUNC(CR50/VLOOKUP("PCS-OzTL48",ARBOR!$A:$C,3,0)-1,4)+0.0001,-TRUNC(CR50/VLOOKUP("PCS-OzTL48",ARBOR!$A:$C,3,0)-1,4)))))</f>
        <v/>
      </c>
      <c r="CT50" s="28" t="str">
        <f>IF(ISERROR(IF(CS50="","",VLOOKUP(($BC50&amp;CS50&amp;"Template desconto FLAT Plano Principal Oi TV nível conta"),BENEFICIOS!$A:$G,5,0))),"Criar",IF(CS50="","",VLOOKUP(($BC50&amp;CS50&amp;"Template desconto FLAT Plano Principal Oi TV nível conta"),BENEFICIOS!$A:$G,5,0)))</f>
        <v/>
      </c>
      <c r="CU50" s="8"/>
      <c r="CV50" s="3" t="str">
        <f>IF(CU50=0,"",IF(CU50=VLOOKUP("PCS-OzTL742",ARBOR!$A:$C,3,0),0.0001,IF(CU50&gt;VLOOKUP("PCS-OzTL742",ARBOR!$A:$C,3,0),"Maior que CAP!",IF((DOLLAR(CU50+(VLOOKUP("PCS-OzTL742",ARBOR!$A:$C,3,0)*-TRUNC(CU50/VLOOKUP("PCS-OzTL742",ARBOR!$A:$C,3,0)-1,4)),6))&lt;&gt;(DOLLAR(VLOOKUP("PCS-OzTL742",ARBOR!$A:$C,3,0),6)),-TRUNC(CU50/VLOOKUP("PCS-OzTL742",ARBOR!$A:$C,3,0)-1,4)+0.0001,-TRUNC(CU50/VLOOKUP("PCS-OzTL742",ARBOR!$A:$C,3,0)-1,4)))))</f>
        <v/>
      </c>
      <c r="CW50" s="28" t="str">
        <f>IF(ISERROR(IF(CV50="","",VLOOKUP(($BC50&amp;CV50&amp;"Template desconto FLAT Plano Principal Oi TV nível conta"),BENEFICIOS!$A:$G,5,0))),"Criar",IF(CV50="","",VLOOKUP(($BC50&amp;CV50&amp;"Template desconto FLAT Plano Principal Oi TV nível conta"),BENEFICIOS!$A:$G,5,0)))</f>
        <v/>
      </c>
      <c r="CX50" s="8"/>
      <c r="CY50" s="3" t="str">
        <f>IF(CX50=0,"",IF(CX50=VLOOKUP("PCS-OzTL747",ARBOR!$A:$C,3,0),0.0001,IF(CX50&gt;VLOOKUP("PCS-OzTL747",ARBOR!$A:$C,3,0),"Maior que CAP!",IF((DOLLAR(CX50+(VLOOKUP("PCS-OzTL747",ARBOR!$A:$C,3,0)*-TRUNC(CX50/VLOOKUP("PCS-OzTL747",ARBOR!$A:$C,3,0)-1,4)),6))&lt;&gt;(DOLLAR(VLOOKUP("PCS-OzTL747",ARBOR!$A:$C,3,0),6)),-TRUNC(CX50/VLOOKUP("PCS-OzTL747",ARBOR!$A:$C,3,0)-1,4)+0.0001,-TRUNC(CX50/VLOOKUP("PCS-OzTL747",ARBOR!$A:$C,3,0)-1,4)))))</f>
        <v/>
      </c>
      <c r="CZ50" s="28" t="str">
        <f>IF(ISERROR(IF(CY50="","",VLOOKUP(($BC50&amp;CY50&amp;"Template desconto FLAT Plano Principal Oi TV nível conta"),BENEFICIOS!$A:$G,5,0))),"Criar",IF(CY50="","",VLOOKUP(($BC50&amp;CY50&amp;"Template desconto FLAT Plano Principal Oi TV nível conta"),BENEFICIOS!$A:$G,5,0)))</f>
        <v/>
      </c>
      <c r="DA50" s="8"/>
      <c r="DB50" s="3" t="str">
        <f>IF(DA50=0,"",IF(DA50=VLOOKUP("PCS-OzTL746",ARBOR!$A:$C,3,0),0.0001,IF(DA50&gt;VLOOKUP("PCS-OzTL746",ARBOR!$A:$C,3,0),"Maior que CAP!",IF((DOLLAR(DA50+(VLOOKUP("PCS-OzTL746",ARBOR!$A:$C,3,0)*-TRUNC(DA50/VLOOKUP("PCS-OzTL746",ARBOR!$A:$C,3,0)-1,4)),6))&lt;&gt;(DOLLAR(VLOOKUP("PCS-OzTL746",ARBOR!$A:$C,3,0),6)),-TRUNC(DA50/VLOOKUP("PCS-OzTL746",ARBOR!$A:$C,3,0)-1,4)+0.0001,-TRUNC(DA50/VLOOKUP("PCS-OzTL746",ARBOR!$A:$C,3,0)-1,4)))))</f>
        <v/>
      </c>
      <c r="DC50" s="28" t="str">
        <f>IF(ISERROR(IF(DB50="","",VLOOKUP(($BC50&amp;DB50&amp;"Template desconto FLAT Plano Principal Oi TV nível conta"),BENEFICIOS!$A:$G,5,0))),"Criar",IF(DB50="","",VLOOKUP(($BC50&amp;DB50&amp;"Template desconto FLAT Plano Principal Oi TV nível conta"),BENEFICIOS!$A:$G,5,0)))</f>
        <v/>
      </c>
      <c r="DD50" s="8"/>
      <c r="DE50" s="3" t="str">
        <f>IF(DD50=0,"",IF(DD50=VLOOKUP("PCS-OzTL748",ARBOR!$A:$C,3,0),0.0001,IF(DD50&gt;VLOOKUP("PCS-OzTL748",ARBOR!$A:$C,3,0),"Maior que CAP!",IF((DOLLAR(DD50+(VLOOKUP("PCS-OzTL748",ARBOR!$A:$C,3,0)*-TRUNC(DD50/VLOOKUP("PCS-OzTL748",ARBOR!$A:$C,3,0)-1,4)),6))&lt;&gt;(DOLLAR(VLOOKUP("PCS-OzTL748",ARBOR!$A:$C,3,0),6)),-TRUNC(DD50/VLOOKUP("PCS-OzTL748",ARBOR!$A:$C,3,0)-1,4)+0.0001,-TRUNC(DD50/VLOOKUP("PCS-OzTL748",ARBOR!$A:$C,3,0)-1,4)))))</f>
        <v/>
      </c>
      <c r="DF50" s="28" t="str">
        <f>IF(ISERROR(IF(DE50="","",VLOOKUP(($BC50&amp;DE50&amp;"Template desconto FLAT Plano Principal Oi TV nível conta"),BENEFICIOS!$A:$G,5,0))),"Criar",IF(DE50="","",VLOOKUP(($BC50&amp;DE50&amp;"Template desconto FLAT Plano Principal Oi TV nível conta"),BENEFICIOS!$A:$G,5,0)))</f>
        <v/>
      </c>
      <c r="DG50" s="8"/>
      <c r="DH50" s="3" t="str">
        <f>IF(DG50=0,"",IF(DG50=VLOOKUP("PCS-OzTL34",ARBOR!$A:$C,3,0),0.0001,IF(DG50&gt;VLOOKUP("PCS-OzTL34",ARBOR!$A:$C,3,0),"Maior que CAP!",IF((DOLLAR(DG50+(VLOOKUP("PCS-OzTL34",ARBOR!$A:$C,3,0)*-TRUNC(DG50/VLOOKUP("PCS-OzTL34",ARBOR!$A:$C,3,0)-1,4)),6))&lt;&gt;(DOLLAR(VLOOKUP("PCS-OzTL34",ARBOR!$A:$C,3,0),6)),-TRUNC(DG50/VLOOKUP("PCS-OzTL34",ARBOR!$A:$C,3,0)-1,4)+0.0001,-TRUNC(DG50/VLOOKUP("PCS-OzTL34",ARBOR!$A:$C,3,0)-1,4)))))</f>
        <v/>
      </c>
      <c r="DI50" s="28" t="str">
        <f>IF(DH50="S/Desc","S/Desc",IF(ISERROR(IF(DH50="","",VLOOKUP(($BC50&amp;DH50&amp;"Template desconto % Combate nível conta"),BENEFICIOS!$A:$G,5,0))),"Criar",IF(DH50="","",VLOOKUP(($BC50&amp;DH50&amp;"Template desconto % Combate nível conta"),BENEFICIOS!$A:$G,5,0))))</f>
        <v/>
      </c>
      <c r="DJ50" s="8"/>
      <c r="DK50" s="3" t="str">
        <f>IF(DJ50=0,"",IF(DJ50=VLOOKUP("PCS-OzTL31",ARBOR!$A:$C,3,0),0.0001,IF(DJ50&gt;VLOOKUP("PCS-OzTL31",ARBOR!$A:$C,3,0),"Maior que CAP!",IF((DOLLAR(DJ50+(VLOOKUP("PCS-OzTL31",ARBOR!$A:$C,3,0)*-TRUNC(DJ50/VLOOKUP("PCS-OzTL31",ARBOR!$A:$C,3,0)-1,4)),6))&lt;&gt;(DOLLAR(VLOOKUP("PCS-OzTL31",ARBOR!$A:$C,3,0),6)),-TRUNC(DJ50/VLOOKUP("PCS-OzTL31",ARBOR!$A:$C,3,0)-1,4)+0.0001,-TRUNC(DJ50/VLOOKUP("PCS-OzTL31",ARBOR!$A:$C,3,0)-1,4)))))</f>
        <v/>
      </c>
      <c r="DL50" s="28" t="str">
        <f>IF(DK50="S/Desc","S/Desc",IF(ISERROR(IF(DK50="","",VLOOKUP(($BC50&amp;DK50&amp;"Template desconto % Sexy Hot nível conta"),BENEFICIOS!$A:$G,5,0))),"Criar",IF(DK50="","",VLOOKUP(($BC50&amp;DK50&amp;"Template desconto % Sexy Hot nível conta"),BENEFICIOS!$A:$G,5,0))))</f>
        <v/>
      </c>
      <c r="DM50" s="8"/>
      <c r="DN50" s="3" t="str">
        <f>IF(DM50=0,"",IF(DM50=VLOOKUP("PCS-OzTL32",ARBOR!$A:$C,3,0),0.0001,IF(DM50&gt;VLOOKUP("PCS-OzTL32",ARBOR!$A:$C,3,0),"Maior que CAP!",IF((DOLLAR(DM50+(VLOOKUP("PCS-OzTL32",ARBOR!$A:$C,3,0)*-TRUNC(DM50/VLOOKUP("PCS-OzTL32",ARBOR!$A:$C,3,0)-1,4)),6))&lt;&gt;(DOLLAR(VLOOKUP("PCS-OzTL32",ARBOR!$A:$C,3,0),6)),-TRUNC(DM50/VLOOKUP("PCS-OzTL32",ARBOR!$A:$C,3,0)-1,4)+0.0001,-TRUNC(DM50/VLOOKUP("PCS-OzTL32",ARBOR!$A:$C,3,0)-1,4)))))</f>
        <v/>
      </c>
      <c r="DO50" s="28" t="str">
        <f>IF(DN50="S/Desc","S/Desc",IF(ISERROR(IF(DN50="","",VLOOKUP(($BC50&amp;DN50&amp;"Template desconto % Playboy nível conta"),BENEFICIOS!$A:$G,5,0))),"Criar",IF(DN50="","",VLOOKUP(($BC50&amp;DN50&amp;"Template desconto % Playboy nível conta"),BENEFICIOS!$A:$G,5,0))))</f>
        <v/>
      </c>
      <c r="DP50" s="8"/>
      <c r="DQ50" s="3" t="str">
        <f>IF(DP50=0,"",IF(DP50=VLOOKUP("PCS-OzTL33",ARBOR!$A:$C,3,0),0.0001,IF(DP50&gt;VLOOKUP("PCS-OzTL33",ARBOR!$A:$C,3,0),"Maior que CAP!",IF((DOLLAR(DP50+(VLOOKUP("PCS-OzTL33",ARBOR!$A:$C,3,0)*-TRUNC(DP50/VLOOKUP("PCS-OzTL33",ARBOR!$A:$C,3,0)-1,4)),6))&lt;&gt;(DOLLAR(VLOOKUP("PCS-OzTL33",ARBOR!$A:$C,3,0),6)),-TRUNC(DP50/VLOOKUP("PCS-OzTL33",ARBOR!$A:$C,3,0)-1,4)+0.0001,-TRUNC(DP50/VLOOKUP("PCS-OzTL33",ARBOR!$A:$C,3,0)-1,4)))))</f>
        <v/>
      </c>
      <c r="DR50" s="28" t="str">
        <f>IF(DQ50="S/Desc","S/Desc",IF(ISERROR(IF(DQ50="","",VLOOKUP(($BC50&amp;DQ50&amp;"Template desconto % Sexy Hot + Playboy nível conta"),BENEFICIOS!$A:$G,5,0))),"Criar",IF(DQ50="","",VLOOKUP(($BC50&amp;DQ50&amp;"Template desconto % Sexy Hot + Playboy nível conta"),BENEFICIOS!$A:$G,5,0))))</f>
        <v/>
      </c>
      <c r="DS50" s="8"/>
      <c r="DT50" s="3" t="str">
        <f>IF(DS50=0,"",IF(DS50=VLOOKUP("PCS-OzTL503",ARBOR!$A:$C,3,0),0.0001,IF(DS50&gt;VLOOKUP("PCS-OzTL503",ARBOR!$A:$C,3,0),"Maior que CAP!",IF((DOLLAR(DS50+(VLOOKUP("PCS-OzTL503",ARBOR!$A:$C,3,0)*-TRUNC(DS50/VLOOKUP("PCS-OzTL503",ARBOR!$A:$C,3,0)-1,4)),6))&lt;&gt;(DOLLAR(VLOOKUP("PCS-OzTL503",ARBOR!$A:$C,3,0),6)),-TRUNC(DS50/VLOOKUP("PCS-OzTL503",ARBOR!$A:$C,3,0)-1,4)+0.0001,-TRUNC(DS50/VLOOKUP("PCS-OzTL503",ARBOR!$A:$C,3,0)-1,4)))))</f>
        <v/>
      </c>
      <c r="DU50" s="28" t="str">
        <f>IF(DT50="S/Desc","S/Desc",IF(ISERROR(IF(DT50="","",VLOOKUP(($BC50&amp;DT50&amp;"Template desconto % SexPrivê nível conta"),BENEFICIOS!$A:$G,5,0))),"Criar",IF(DT50="","",VLOOKUP(($BC50&amp;DT50&amp;"Template desconto % SexPrivê nível conta"),BENEFICIOS!$A:$G,5,0))))</f>
        <v/>
      </c>
      <c r="DV50" s="8"/>
      <c r="DW50" s="3" t="str">
        <f>IF(DV50=0,"",IF(DV50=VLOOKUP("PCS-OzTL500",ARBOR!$A:$C,3,0),0.0001,IF(DV50&gt;VLOOKUP("PCS-OzTL500",ARBOR!$A:$C,3,0),"Maior que CAP!",IF((DOLLAR(DV50+(VLOOKUP("PCS-OzTL500",ARBOR!$A:$C,3,0)*-TRUNC(DV50/VLOOKUP("PCS-OzTL500",ARBOR!$A:$C,3,0)-1,4)),6))&lt;&gt;(DOLLAR(VLOOKUP("PCS-OzTL500",ARBOR!$A:$C,3,0),6)),-TRUNC(DV50/VLOOKUP("PCS-OzTL500",ARBOR!$A:$C,3,0)-1,4)+0.0001,-TRUNC(DV50/VLOOKUP("PCS-OzTL500",ARBOR!$A:$C,3,0)-1,4)))))</f>
        <v/>
      </c>
      <c r="DX50" s="28" t="str">
        <f>IF(DW50="S/Desc","S/Desc",IF(ISERROR(IF(DW50="","",VLOOKUP(($BC50&amp;DW50&amp;"Template desconto % Étnico nível conta"),BENEFICIOS!$A:$G,5,0))),"Criar",IF(DW50="","",VLOOKUP(($BC50&amp;DW50&amp;"Template desconto % Étnico nível conta"),BENEFICIOS!$A:$G,5,0))))</f>
        <v/>
      </c>
      <c r="DY50" s="8"/>
      <c r="DZ50" s="181" t="str">
        <f>IF(DY50=0,"",IF(DY50=VLOOKUP("PCS-OzTL50",ARBOR!$A:$C,3,0),0.0001,IF(DY50&gt;VLOOKUP("PCS-OzTL50",ARBOR!$A:$C,3,0),"Maior que CAP!",IF((DOLLAR(DY50+(VLOOKUP("PCS-OzTL50",ARBOR!$A:$C,3,0)*-TRUNC(DY50/VLOOKUP("PCS-OzTL50",ARBOR!$A:$C,3,0)-1,4)),6))&lt;&gt;(DOLLAR(VLOOKUP("PCS-OzTL50",ARBOR!$A:$C,3,0),6)),-TRUNC(DY50/VLOOKUP("PCS-OzTL50",ARBOR!$A:$C,3,0)-1,4)+0.0001,-TRUNC(DY50/VLOOKUP("PCS-OzTL50",ARBOR!$A:$C,3,0)-1,4)))))</f>
        <v/>
      </c>
      <c r="EA50" s="28"/>
      <c r="EB50" s="8"/>
      <c r="EC50" s="181" t="str">
        <f>IF(EB50=0,"",IF(EB50=VLOOKUP("PCS-OzTL51",ARBOR!$A:$C,3,0),0.0001,IF(EB50&gt;VLOOKUP("PCS-OzTL51",ARBOR!$A:$C,3,0),"Maior que CAP!",IF((DOLLAR(EB50+(VLOOKUP("PCS-OzTL51",ARBOR!$A:$C,3,0)*-TRUNC(EB50/VLOOKUP("PCS-OzTL51",ARBOR!$A:$C,3,0)-1,4)),6))&lt;&gt;(DOLLAR(VLOOKUP("PCS-OzTL51",ARBOR!$A:$C,3,0),6)),-TRUNC(EB50/VLOOKUP("PCS-OzTL51",ARBOR!$A:$C,3,0)-1,4)+0.0001,-TRUNC(EB50/VLOOKUP("PCS-OzTL51",ARBOR!$A:$C,3,0)-1,4)))))</f>
        <v/>
      </c>
      <c r="ED50" s="28"/>
      <c r="EE50" s="8"/>
      <c r="EF50" s="181" t="str">
        <f>IF(EE50=0,"",IF(EE50=VLOOKUP("PCS-OzTL52",ARBOR!$A:$C,3,0),0.0001,IF(EE50&gt;VLOOKUP("PCS-OzTL52",ARBOR!$A:$C,3,0),"Maior que CAP!",IF((DOLLAR(EE50+(VLOOKUP("PCS-OzTL52",ARBOR!$A:$C,3,0)*-TRUNC(EE50/VLOOKUP("PCS-OzTL52",ARBOR!$A:$C,3,0)-1,4)),6))&lt;&gt;(DOLLAR(VLOOKUP("PCS-OzTL52",ARBOR!$A:$C,3,0),6)),-TRUNC(EE50/VLOOKUP("PCS-OzTL52",ARBOR!$A:$C,3,0)-1,4)+0.0001,-TRUNC(EE50/VLOOKUP("PCS-OzTL52",ARBOR!$A:$C,3,0)-1,4)))))</f>
        <v/>
      </c>
      <c r="EG50" s="28"/>
      <c r="EH50" s="8"/>
      <c r="EI50" s="181" t="str">
        <f>IF(EH50=0,"",IF(EH50=VLOOKUP("PCS-OzTL53",ARBOR!$A:$C,3,0),0.0001,IF(EH50&gt;VLOOKUP("PCS-OzTL53",ARBOR!$A:$C,3,0),"Maior que CAP!",IF((DOLLAR(EH50+(VLOOKUP("PCS-OzTL53",ARBOR!$A:$C,3,0)*-TRUNC(EH50/VLOOKUP("PCS-OzTL53",ARBOR!$A:$C,3,0)-1,4)),6))&lt;&gt;(DOLLAR(VLOOKUP("PCS-OzTL53",ARBOR!$A:$C,3,0),6)),-TRUNC(EH50/VLOOKUP("PCS-OzTL53",ARBOR!$A:$C,3,0)-1,4)+0.0001,-TRUNC(EH50/VLOOKUP("PCS-OzTL53",ARBOR!$A:$C,3,0)-1,4)))))</f>
        <v/>
      </c>
      <c r="EJ50" s="28"/>
      <c r="EK50" s="8"/>
      <c r="EL50" s="181" t="str">
        <f>IF(EK50=0,"",IF(EK50=VLOOKUP("PCS-OzTL54",ARBOR!$A:$C,3,0),0.0001,IF(EK50&gt;VLOOKUP("PCS-OzTL54",ARBOR!$A:$C,3,0),"Maior que CAP!",IF((DOLLAR(EK50+(VLOOKUP("PCS-OzTL54",ARBOR!$A:$C,3,0)*-TRUNC(EK50/VLOOKUP("PCS-OzTL54",ARBOR!$A:$C,3,0)-1,4)),6))&lt;&gt;(DOLLAR(VLOOKUP("PCS-OzTL54",ARBOR!$A:$C,3,0),6)),-TRUNC(EK50/VLOOKUP("PCS-OzTL54",ARBOR!$A:$C,3,0)-1,4)+0.0001,-TRUNC(EK50/VLOOKUP("PCS-OzTL54",ARBOR!$A:$C,3,0)-1,4)))))</f>
        <v/>
      </c>
      <c r="EM50" s="28"/>
      <c r="EN50" s="8"/>
      <c r="EO50" s="3" t="str">
        <f>IF(EN50=0,"",IF(EN50=VLOOKUP("PCS-OzTL99",ARBOR!$A:$C,3,0),0.0001,IF(EN50&gt;VLOOKUP("PCS-OzTL99",ARBOR!$A:$C,3,0),"Maior que CAP!",IF((DOLLAR(EN50+(VLOOKUP("PCS-OzTL99",ARBOR!$A:$C,3,0)*-TRUNC(EN50/VLOOKUP("PCS-OzTL99",ARBOR!$A:$C,3,0)-1,4)),6))&lt;&gt;(DOLLAR(VLOOKUP("PCS-OzTL99",ARBOR!$A:$C,3,0),6)),-TRUNC(EN50/VLOOKUP("PCS-OzTL99",ARBOR!$A:$C,3,0)-1,4)+0.0001,-TRUNC(EN50/VLOOKUP("PCS-OzTL99",ARBOR!$A:$C,3,0)-1,4)))))</f>
        <v/>
      </c>
      <c r="EP50" s="28" t="str">
        <f>IF(EO50="S/Desc","S/Desc",IF(ISERROR(IF(EO50="","",VLOOKUP(($BC50&amp;EO50&amp;"Template desconto % Ponto adicional nível conta"),BENEFICIOS!$A:$G,5,0))),"Criar",IF(EO50="","",VLOOKUP(($BC50&amp;EO50&amp;"Template desconto % Ponto adicional nível conta"),BENEFICIOS!$A:$G,5,0))))</f>
        <v/>
      </c>
      <c r="EQ50" s="8"/>
      <c r="ER50" s="28" t="str">
        <f t="shared" si="23"/>
        <v/>
      </c>
      <c r="ES50" s="62"/>
      <c r="ET50" s="126"/>
      <c r="EU50" s="127"/>
      <c r="EV50" s="126"/>
      <c r="EW50" s="128" t="str">
        <f t="shared" si="24"/>
        <v/>
      </c>
      <c r="EX50" s="129" t="str">
        <f t="shared" si="25"/>
        <v/>
      </c>
      <c r="EY50" s="91" t="str">
        <f t="shared" si="26"/>
        <v/>
      </c>
      <c r="EZ50" s="85"/>
      <c r="FA50" s="97"/>
      <c r="FB50" s="91"/>
      <c r="FC50" s="85"/>
      <c r="FD50" s="97"/>
      <c r="FE50" s="91"/>
      <c r="FF50" s="87"/>
      <c r="FG50" s="144" t="str">
        <f t="shared" si="5"/>
        <v/>
      </c>
      <c r="FH50" s="144" t="str">
        <f t="shared" si="6"/>
        <v/>
      </c>
      <c r="FI50" s="144" t="str">
        <f t="shared" si="7"/>
        <v/>
      </c>
      <c r="FJ50" s="144" t="str">
        <f t="shared" si="8"/>
        <v/>
      </c>
      <c r="FK50" s="144" t="str">
        <f t="shared" si="9"/>
        <v/>
      </c>
      <c r="FL50" s="144" t="str">
        <f t="shared" si="10"/>
        <v/>
      </c>
      <c r="FM50" s="144" t="str">
        <f t="shared" si="11"/>
        <v/>
      </c>
      <c r="FN50" s="144" t="str">
        <f t="shared" si="12"/>
        <v/>
      </c>
      <c r="FO50" s="144" t="str">
        <f t="shared" si="13"/>
        <v/>
      </c>
      <c r="FP50" s="144" t="str">
        <f t="shared" si="14"/>
        <v/>
      </c>
      <c r="FQ50" s="144" t="str">
        <f t="shared" si="15"/>
        <v/>
      </c>
      <c r="FR50" s="144" t="str">
        <f t="shared" si="16"/>
        <v/>
      </c>
      <c r="FS50" s="144" t="str">
        <f t="shared" si="17"/>
        <v/>
      </c>
      <c r="FT50" s="144" t="str">
        <f t="shared" si="18"/>
        <v/>
      </c>
      <c r="FU50" s="144" t="str">
        <f t="shared" si="19"/>
        <v/>
      </c>
      <c r="FV50" s="144" t="str">
        <f t="shared" si="20"/>
        <v/>
      </c>
      <c r="FW50" s="144" t="str">
        <f t="shared" si="21"/>
        <v/>
      </c>
      <c r="FX50" s="151"/>
      <c r="FY50" s="152"/>
      <c r="FZ50" s="152"/>
      <c r="GA50" s="152"/>
      <c r="GB50" s="152"/>
      <c r="GC50" s="152"/>
      <c r="GD50" s="152"/>
      <c r="GE50" s="152"/>
      <c r="GF50" s="152"/>
      <c r="GG50" s="153"/>
    </row>
    <row r="51" spans="1:189">
      <c r="A51" s="45"/>
      <c r="B51" s="133"/>
      <c r="C51" s="133"/>
      <c r="D51" s="46"/>
      <c r="E51" s="4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9"/>
      <c r="U51" s="48"/>
      <c r="V51" s="49"/>
      <c r="W51" s="48"/>
      <c r="X51" s="48"/>
      <c r="Y51" s="48"/>
      <c r="Z51" s="48"/>
      <c r="AA51" s="49"/>
      <c r="AB51" s="48"/>
      <c r="AC51" s="50"/>
      <c r="AD51" s="48"/>
      <c r="AE51" s="48"/>
      <c r="AF51" s="48"/>
      <c r="AG51" s="48"/>
      <c r="AH51" s="48"/>
      <c r="AI51" s="48"/>
      <c r="AJ51" s="48"/>
      <c r="AK51" s="48"/>
      <c r="AL51" s="51"/>
      <c r="AM51" s="37"/>
      <c r="AN51" s="38"/>
      <c r="AO51" s="39"/>
      <c r="AP51" s="52"/>
      <c r="AQ51" s="53"/>
      <c r="AR51" s="64"/>
      <c r="AS51" s="65"/>
      <c r="AT51" s="54"/>
      <c r="AU51" s="54"/>
      <c r="AV51" s="54"/>
      <c r="AW51" s="54"/>
      <c r="AX51" s="70"/>
      <c r="AY51" s="71"/>
      <c r="AZ51" s="72"/>
      <c r="BA51" s="73"/>
      <c r="BB51" s="55"/>
      <c r="BC51" s="56"/>
      <c r="BD51" s="27" t="str">
        <f t="shared" si="22"/>
        <v/>
      </c>
      <c r="BE51" s="58"/>
      <c r="BF51" s="3" t="str">
        <f>IF(BE51=0,"",IF(BE51=VLOOKUP("FIXO",ARBOR!$A:$C,3,0),0.0001,IF(BE51&gt;VLOOKUP("FIXO",ARBOR!$A:$C,3,0),"Maior que CAP!",IF((DOLLAR(BE51+(VLOOKUP("FIXO",ARBOR!$A:$C,3,0)*-TRUNC(BE51/VLOOKUP("FIXO",ARBOR!$A:$C,3,0)-1,4)),6))&lt;&gt;(DOLLAR(VLOOKUP("FIXO",ARBOR!$A:$C,3,0),6)),-TRUNC(BE51/VLOOKUP("FIXO",ARBOR!$A:$C,3,0)-1,4)+0.0001,-TRUNC(BE51/VLOOKUP("FIXO",ARBOR!$A:$C,3,0)-1,4)))))</f>
        <v/>
      </c>
      <c r="BG51" s="10" t="str">
        <f>IF(ISERROR(IF(BF51="","",VLOOKUP(($BC51&amp;BF51&amp;"Template de desconto FLAT bundle - Fixo - Varejo - Ganho Tributário Cross"),BENEFICIOS!$A:$G,5,0))),"Criar",IF(BF51="","",VLOOKUP(($BC51&amp;BF51&amp;"Template de desconto FLAT bundle - Fixo - Varejo - Ganho Tributário Cross"),BENEFICIOS!$A:$G,5,0)))</f>
        <v/>
      </c>
      <c r="BH51" s="8"/>
      <c r="BI51" s="3" t="str">
        <f>IF(BH51=0,"",IF(BH51=VLOOKUP("PCS-OzTL40",ARBOR!$A:$C,3,0),0.0001,IF(BH51&gt;VLOOKUP("PCS-OzTL40",ARBOR!$A:$C,3,0),"Maior que CAP!",IF((DOLLAR(BH51+(VLOOKUP("PCS-OzTL40",ARBOR!$A:$C,3,0)*-TRUNC(BH51/VLOOKUP("PCS-OzTL40",ARBOR!$A:$C,3,0)-1,4)),6))&lt;&gt;(DOLLAR(VLOOKUP("PCS-OzTL40",ARBOR!$A:$C,3,0),6)),-TRUNC(BH51/VLOOKUP("PCS-OzTL40",ARBOR!$A:$C,3,0)-1,4)+0.0001,-TRUNC(BH51/VLOOKUP("PCS-OzTL40",ARBOR!$A:$C,3,0)-1,4)))))</f>
        <v/>
      </c>
      <c r="BJ51" s="10" t="str">
        <f>IF(ISERROR(IF(BI51="","",VLOOKUP((BC51&amp;BI51&amp;"Template desconto FLAT Plano Principal Oi TV nível conta"),BENEFICIOS!$A:$G,5,0))),"Criar",IF(BI51="","",VLOOKUP((BC51&amp;BI51&amp;"Template desconto FLAT Plano Principal Oi TV nível conta"),BENEFICIOS!$A:$G,5,0)))</f>
        <v/>
      </c>
      <c r="BK51" s="8"/>
      <c r="BL51" s="3" t="str">
        <f>IF(BK51=0,"",IF(BK51=VLOOKUP("PCS-OzTL41",ARBOR!$A:$C,3,0),0.0001,IF(BK51&gt;VLOOKUP("PCS-OzTL41",ARBOR!$A:$C,3,0),"Maior que CAP!",IF((DOLLAR(BK51+(VLOOKUP("PCS-OzTL41",ARBOR!$A:$C,3,0)*-TRUNC(BK51/VLOOKUP("PCS-OzTL41",ARBOR!$A:$C,3,0)-1,4)),6))&lt;&gt;(DOLLAR(VLOOKUP("PCS-OzTL41",ARBOR!$A:$C,3,0),6)),-TRUNC(BK51/VLOOKUP("PCS-OzTL41",ARBOR!$A:$C,3,0)-1,4)+0.0001,-TRUNC(BK51/VLOOKUP("PCS-OzTL41",ARBOR!$A:$C,3,0)-1,4)))))</f>
        <v/>
      </c>
      <c r="BM51" s="28" t="str">
        <f>IF(ISERROR(IF(BL51="","",VLOOKUP((BC51&amp;BL51&amp;"Template desconto FLAT Plano Principal Oi TV nível conta"),BENEFICIOS!$A:$G,5,0))),"Criar",IF(BL51="","",VLOOKUP((BC51&amp;BL51&amp;"Template desconto FLAT Plano Principal Oi TV nível conta"),BENEFICIOS!$A:$G,5,0)))</f>
        <v/>
      </c>
      <c r="BN51" s="8"/>
      <c r="BO51" s="3" t="str">
        <f>IF(BN51=0,"",IF(BN51=VLOOKUP("PCS-OzTL44",ARBOR!$A:$C,3,0),0.0001,IF(BN51&gt;VLOOKUP("PCS-OzTL44",ARBOR!$A:$C,3,0),"Maior que CAP!",IF((DOLLAR(BN51+(VLOOKUP("PCS-OzTL44",ARBOR!$A:$C,3,0)*-TRUNC(BN51/VLOOKUP("PCS-OzTL44",ARBOR!$A:$C,3,0)-1,4)),6))&lt;&gt;(DOLLAR(VLOOKUP("PCS-OzTL44",ARBOR!$A:$C,3,0),6)),-TRUNC(BN51/VLOOKUP("PCS-OzTL44",ARBOR!$A:$C,3,0)-1,4)+0.0001,-TRUNC(BN51/VLOOKUP("PCS-OzTL44",ARBOR!$A:$C,3,0)-1,4)))))</f>
        <v/>
      </c>
      <c r="BP51" s="28" t="str">
        <f>IF(ISERROR(IF(BO51="","",VLOOKUP((BC51&amp;BO51&amp;"Template desconto FLAT Plano Principal Oi TV nível conta"),BENEFICIOS!$A:$G,5,0))),"Criar",IF(BO51="","",VLOOKUP((BC51&amp;BO51&amp;"Template desconto FLAT Plano Principal Oi TV nível conta"),BENEFICIOS!$A:$G,5,0)))</f>
        <v/>
      </c>
      <c r="BQ51" s="8"/>
      <c r="BR51" s="3" t="str">
        <f>IF(BQ51=0,"",IF(BQ51=VLOOKUP("PCS-OzTL43",ARBOR!$A:$C,3,0),0.0001,IF(BQ51&gt;VLOOKUP("PCS-OzTL43",ARBOR!$A:$C,3,0),"Maior que CAP!",IF((DOLLAR(BQ51+(VLOOKUP("PCS-OzTL43",ARBOR!$A:$C,3,0)*-TRUNC(BQ51/VLOOKUP("PCS-OzTL43",ARBOR!$A:$C,3,0)-1,4)),6))&lt;&gt;(DOLLAR(VLOOKUP("PCS-OzTL43",ARBOR!$A:$C,3,0),6)),-TRUNC(BQ51/VLOOKUP("PCS-OzTL43",ARBOR!$A:$C,3,0)-1,4)+0.0001,-TRUNC(BQ51/VLOOKUP("PCS-OzTL43",ARBOR!$A:$C,3,0)-1,4)))))</f>
        <v/>
      </c>
      <c r="BS51" s="28" t="str">
        <f>IF(ISERROR(IF(BR51="","",VLOOKUP((BC51&amp;BR51&amp;"Template desconto FLAT Plano Principal Oi TV nível conta"),BENEFICIOS!$A:$G,5,0))),"Criar",IF(BR51="","",VLOOKUP((BC51&amp;BR51&amp;"Template desconto FLAT Plano Principal Oi TV nível conta"),BENEFICIOS!$A:$G,5,0)))</f>
        <v/>
      </c>
      <c r="BT51" s="8"/>
      <c r="BU51" s="3" t="str">
        <f>IF(BT51=0,"",IF(BT51=VLOOKUP("PCS-OzTL45",ARBOR!$A:$C,3,0),0.0001,IF(BT51&gt;VLOOKUP("PCS-OzTL45",ARBOR!$A:$C,3,0),"Maior que CAP!",IF((DOLLAR(BT51+(VLOOKUP("PCS-OzTL45",ARBOR!$A:$C,3,0)*-TRUNC(BT51/VLOOKUP("PCS-OzTL45",ARBOR!$A:$C,3,0)-1,4)),6))&lt;&gt;(DOLLAR(VLOOKUP("PCS-OzTL45",ARBOR!$A:$C,3,0),6)),-TRUNC(BT51/VLOOKUP("PCS-OzTL45",ARBOR!$A:$C,3,0)-1,4)+0.0001,-TRUNC(BT51/VLOOKUP("PCS-OzTL45",ARBOR!$A:$C,3,0)-1,4)))))</f>
        <v/>
      </c>
      <c r="BV51" s="28" t="str">
        <f>IF(ISERROR(IF(BU51="","",VLOOKUP((BC51&amp;BU51&amp;"Template desconto FLAT Plano Principal Oi TV nível conta"),BENEFICIOS!$A:$G,5,0))),"Criar",IF(BU51="","",VLOOKUP((BC51&amp;BU51&amp;"Template desconto FLAT Plano Principal Oi TV nível conta"),BENEFICIOS!$A:$G,5,0)))</f>
        <v/>
      </c>
      <c r="BW51" s="8"/>
      <c r="BX51" s="3" t="str">
        <f>IF(BW51=0,"",IF(BW51=VLOOKUP("PCS-OzTL741",ARBOR!$A:$C,3,0),0.0001,IF(BW51&gt;VLOOKUP("PCS-OzTL741",ARBOR!$A:$C,3,0),"Maior que CAP!",IF((DOLLAR(BW51+(VLOOKUP("PCS-OzTL741",ARBOR!$A:$C,3,0)*-TRUNC(BW51/VLOOKUP("PCS-OzTL741",ARBOR!$A:$C,3,0)-1,4)),6))&lt;&gt;(DOLLAR(VLOOKUP("PCS-OzTL741",ARBOR!$A:$C,3,0),6)),-TRUNC(BW51/VLOOKUP("PCS-OzTL741",ARBOR!$A:$C,3,0)-1,4)+0.0001,-TRUNC(BW51/VLOOKUP("PCS-OzTL741",ARBOR!$A:$C,3,0)-1,4)))))</f>
        <v/>
      </c>
      <c r="BY51" s="28" t="str">
        <f>IF(ISERROR(IF(BX51="","",VLOOKUP((BC51&amp;BX51&amp;"Template desconto FLAT Plano Principal Oi TV nível conta"),BENEFICIOS!$A:$G,5,0))),"Criar",IF(BX51="","",VLOOKUP((BC51&amp;BX51&amp;"Template desconto FLAT Plano Principal Oi TV nível conta"),BENEFICIOS!$A:$G,5,0)))</f>
        <v/>
      </c>
      <c r="BZ51" s="8"/>
      <c r="CA51" s="3" t="str">
        <f>IF(BZ51=0,"",IF(BZ51=VLOOKUP("PCS-OzTL744",ARBOR!$A:$C,3,0),0.0001,IF(BZ51&gt;VLOOKUP("PCS-OzTL744",ARBOR!$A:$C,3,0),"Maior que CAP!",IF((DOLLAR(BZ51+(VLOOKUP("PCS-OzTL744",ARBOR!$A:$C,3,0)*-TRUNC(BZ51/VLOOKUP("PCS-OzTL744",ARBOR!$A:$C,3,0)-1,4)),6))&lt;&gt;(DOLLAR(VLOOKUP("PCS-OzTL744",ARBOR!$A:$C,3,0),6)),-TRUNC(BZ51/VLOOKUP("PCS-OzTL744",ARBOR!$A:$C,3,0)-1,4)+0.0001,-TRUNC(BZ51/VLOOKUP("PCS-OzTL744",ARBOR!$A:$C,3,0)-1,4)))))</f>
        <v/>
      </c>
      <c r="CB51" s="28" t="str">
        <f>IF(ISERROR(IF(CA51="","",VLOOKUP(($BC51&amp;CA51&amp;"Template desconto FLAT Plano Principal Oi TV nível conta"),BENEFICIOS!$A:$G,5,0))),"Criar",IF(CA51="","",VLOOKUP(($BC51&amp;CA51&amp;"Template desconto FLAT Plano Principal Oi TV nível conta"),BENEFICIOS!$A:$G,5,0)))</f>
        <v/>
      </c>
      <c r="CC51" s="8"/>
      <c r="CD51" s="3" t="str">
        <f>IF(CC51=0,"",IF(CC51=VLOOKUP("PCS-OzTL743",ARBOR!$A:$C,3,0),0.0001,IF(CC51&gt;VLOOKUP("PCS-OzTL743",ARBOR!$A:$C,3,0),"Maior que CAP!",IF((DOLLAR(CC51+(VLOOKUP("PCS-OzTL743",ARBOR!$A:$C,3,0)*-TRUNC(CC51/VLOOKUP("PCS-OzTL743",ARBOR!$A:$C,3,0)-1,4)),6))&lt;&gt;(DOLLAR(VLOOKUP("PCS-OzTL743",ARBOR!$A:$C,3,0),6)),-TRUNC(CC51/VLOOKUP("PCS-OzTL743",ARBOR!$A:$C,3,0)-1,4)+0.0001,-TRUNC(CC51/VLOOKUP("PCS-OzTL743",ARBOR!$A:$C,3,0)-1,4)))))</f>
        <v/>
      </c>
      <c r="CE51" s="28" t="str">
        <f>IF(ISERROR(IF(CD51="","",VLOOKUP(($BC51&amp;CD51&amp;"Template desconto FLAT Plano Principal Oi TV nível conta"),BENEFICIOS!$A:$G,5,0))),"Criar",IF(CD51="","",VLOOKUP(($BC51&amp;CD51&amp;"Template desconto FLAT Plano Principal Oi TV nível conta"),BENEFICIOS!$A:$G,5,0)))</f>
        <v/>
      </c>
      <c r="CF51" s="8"/>
      <c r="CG51" s="3" t="str">
        <f>IF(CF51=0,"",IF(CF51=VLOOKUP("PCS-OzTL745",ARBOR!$A:$C,3,0),0.0001,IF(CF51&gt;VLOOKUP("PCS-OzTL745",ARBOR!$A:$C,3,0),"Maior que CAP!",IF((DOLLAR(CF51+(VLOOKUP("PCS-OzTL745",ARBOR!$A:$C,3,0)*-TRUNC(CF51/VLOOKUP("PCS-OzTL745",ARBOR!$A:$C,3,0)-1,4)),6))&lt;&gt;(DOLLAR(VLOOKUP("PCS-OzTL745",ARBOR!$A:$C,3,0),6)),-TRUNC(CF51/VLOOKUP("PCS-OzTL745",ARBOR!$A:$C,3,0)-1,4)+0.0001,-TRUNC(CF51/VLOOKUP("PCS-OzTL745",ARBOR!$A:$C,3,0)-1,4)))))</f>
        <v/>
      </c>
      <c r="CH51" s="28" t="str">
        <f>IF(ISERROR(IF(CG51="","",VLOOKUP(($BC51&amp;CG51&amp;"Template desconto FLAT Plano Principal Oi TV nível conta"),BENEFICIOS!$A:$G,5,0))),"Criar",IF(CG51="","",VLOOKUP(($BC51&amp;CG51&amp;"Template desconto FLAT Plano Principal Oi TV nível conta"),BENEFICIOS!$A:$G,5,0)))</f>
        <v/>
      </c>
      <c r="CI51" s="8"/>
      <c r="CJ51" s="3" t="str">
        <f>IF(CI51=0,"",IF(CI51=VLOOKUP("PCS-OzTL42",ARBOR!$A:$C,3,0),0.0001,IF(CI51&gt;VLOOKUP("PCS-OzTL42",ARBOR!$A:$C,3,0),"Maior que CAP!",IF((DOLLAR(CI51+(VLOOKUP("PCS-OzTL42",ARBOR!$A:$C,3,0)*-TRUNC(CI51/VLOOKUP("PCS-OzTL42",ARBOR!$A:$C,3,0)-1,4)),6))&lt;&gt;(DOLLAR(VLOOKUP("PCS-OzTL42",ARBOR!$A:$C,3,0),6)),-TRUNC(CI51/VLOOKUP("PCS-OzTL42",ARBOR!$A:$C,3,0)-1,4)+0.0001,-TRUNC(CI51/VLOOKUP("PCS-OzTL42",ARBOR!$A:$C,3,0)-1,4)))))</f>
        <v/>
      </c>
      <c r="CK51" s="28" t="str">
        <f>IF(ISERROR(IF(CJ51="","",VLOOKUP(($BC51&amp;CJ51&amp;"Template desconto FLAT Plano Principal Oi TV nível conta"),BENEFICIOS!$A:$G,5,0))),"Criar",IF(CJ51="","",VLOOKUP(($BC51&amp;CJ51&amp;"Template desconto FLAT Plano Principal Oi TV nível conta"),BENEFICIOS!$A:$G,5,0)))</f>
        <v/>
      </c>
      <c r="CL51" s="8"/>
      <c r="CM51" s="3" t="str">
        <f>IF(CL51=0,"",IF(CL51=VLOOKUP("PCS-OzTL47",ARBOR!$A:$C,3,0),0.0001,IF(CL51&gt;VLOOKUP("PCS-OzTL47",ARBOR!$A:$C,3,0),"Maior que CAP!",IF((DOLLAR(CL51+(VLOOKUP("PCS-OzTL47",ARBOR!$A:$C,3,0)*-TRUNC(CL51/VLOOKUP("PCS-OzTL47",ARBOR!$A:$C,3,0)-1,4)),6))&lt;&gt;(DOLLAR(VLOOKUP("PCS-OzTL47",ARBOR!$A:$C,3,0),6)),-TRUNC(CL51/VLOOKUP("PCS-OzTL47",ARBOR!$A:$C,3,0)-1,4)+0.0001,-TRUNC(CL51/VLOOKUP("PCS-OzTL47",ARBOR!$A:$C,3,0)-1,4)))))</f>
        <v/>
      </c>
      <c r="CN51" s="28" t="str">
        <f>IF(ISERROR(IF(CM51="","",VLOOKUP(($BC51&amp;CM51&amp;"Template desconto FLAT Plano Principal Oi TV nível conta"),BENEFICIOS!$A:$G,5,0))),"Criar",IF(CM51="","",VLOOKUP(($BC51&amp;CM51&amp;"Template desconto FLAT Plano Principal Oi TV nível conta"),BENEFICIOS!$A:$G,5,0)))</f>
        <v/>
      </c>
      <c r="CO51" s="8"/>
      <c r="CP51" s="3" t="str">
        <f>IF(CO51=0,"",IF(CO51=VLOOKUP("PCS-OzTL46",ARBOR!$A:$C,3,0),0.0001,IF(CO51&gt;VLOOKUP("PCS-OzTL46",ARBOR!$A:$C,3,0),"Maior que CAP!",IF((DOLLAR(CO51+(VLOOKUP("PCS-OzTL46",ARBOR!$A:$C,3,0)*-TRUNC(CO51/VLOOKUP("PCS-OzTL46",ARBOR!$A:$C,3,0)-1,4)),6))&lt;&gt;(DOLLAR(VLOOKUP("PCS-OzTL46",ARBOR!$A:$C,3,0),6)),-TRUNC(CO51/VLOOKUP("PCS-OzTL46",ARBOR!$A:$C,3,0)-1,4)+0.0001,-TRUNC(CO51/VLOOKUP("PCS-OzTL46",ARBOR!$A:$C,3,0)-1,4)))))</f>
        <v/>
      </c>
      <c r="CQ51" s="28" t="str">
        <f>IF(ISERROR(IF(CP51="","",VLOOKUP(($BC51&amp;CP51&amp;"Template desconto FLAT Plano Principal Oi TV nível conta"),BENEFICIOS!$A:$G,5,0))),"Criar",IF(CP51="","",VLOOKUP(($BC51&amp;CP51&amp;"Template desconto FLAT Plano Principal Oi TV nível conta"),BENEFICIOS!$A:$G,5,0)))</f>
        <v/>
      </c>
      <c r="CR51" s="8"/>
      <c r="CS51" s="3" t="str">
        <f>IF(CR51=0,"",IF(CR51=VLOOKUP("PCS-OzTL48",ARBOR!$A:$C,3,0),0.0001,IF(CR51&gt;VLOOKUP("PCS-OzTL48",ARBOR!$A:$C,3,0),"Maior que CAP!",IF((DOLLAR(CR51+(VLOOKUP("PCS-OzTL48",ARBOR!$A:$C,3,0)*-TRUNC(CR51/VLOOKUP("PCS-OzTL48",ARBOR!$A:$C,3,0)-1,4)),6))&lt;&gt;(DOLLAR(VLOOKUP("PCS-OzTL48",ARBOR!$A:$C,3,0),6)),-TRUNC(CR51/VLOOKUP("PCS-OzTL48",ARBOR!$A:$C,3,0)-1,4)+0.0001,-TRUNC(CR51/VLOOKUP("PCS-OzTL48",ARBOR!$A:$C,3,0)-1,4)))))</f>
        <v/>
      </c>
      <c r="CT51" s="28" t="str">
        <f>IF(ISERROR(IF(CS51="","",VLOOKUP(($BC51&amp;CS51&amp;"Template desconto FLAT Plano Principal Oi TV nível conta"),BENEFICIOS!$A:$G,5,0))),"Criar",IF(CS51="","",VLOOKUP(($BC51&amp;CS51&amp;"Template desconto FLAT Plano Principal Oi TV nível conta"),BENEFICIOS!$A:$G,5,0)))</f>
        <v/>
      </c>
      <c r="CU51" s="8"/>
      <c r="CV51" s="3" t="str">
        <f>IF(CU51=0,"",IF(CU51=VLOOKUP("PCS-OzTL742",ARBOR!$A:$C,3,0),0.0001,IF(CU51&gt;VLOOKUP("PCS-OzTL742",ARBOR!$A:$C,3,0),"Maior que CAP!",IF((DOLLAR(CU51+(VLOOKUP("PCS-OzTL742",ARBOR!$A:$C,3,0)*-TRUNC(CU51/VLOOKUP("PCS-OzTL742",ARBOR!$A:$C,3,0)-1,4)),6))&lt;&gt;(DOLLAR(VLOOKUP("PCS-OzTL742",ARBOR!$A:$C,3,0),6)),-TRUNC(CU51/VLOOKUP("PCS-OzTL742",ARBOR!$A:$C,3,0)-1,4)+0.0001,-TRUNC(CU51/VLOOKUP("PCS-OzTL742",ARBOR!$A:$C,3,0)-1,4)))))</f>
        <v/>
      </c>
      <c r="CW51" s="28" t="str">
        <f>IF(ISERROR(IF(CV51="","",VLOOKUP(($BC51&amp;CV51&amp;"Template desconto FLAT Plano Principal Oi TV nível conta"),BENEFICIOS!$A:$G,5,0))),"Criar",IF(CV51="","",VLOOKUP(($BC51&amp;CV51&amp;"Template desconto FLAT Plano Principal Oi TV nível conta"),BENEFICIOS!$A:$G,5,0)))</f>
        <v/>
      </c>
      <c r="CX51" s="8"/>
      <c r="CY51" s="3" t="str">
        <f>IF(CX51=0,"",IF(CX51=VLOOKUP("PCS-OzTL747",ARBOR!$A:$C,3,0),0.0001,IF(CX51&gt;VLOOKUP("PCS-OzTL747",ARBOR!$A:$C,3,0),"Maior que CAP!",IF((DOLLAR(CX51+(VLOOKUP("PCS-OzTL747",ARBOR!$A:$C,3,0)*-TRUNC(CX51/VLOOKUP("PCS-OzTL747",ARBOR!$A:$C,3,0)-1,4)),6))&lt;&gt;(DOLLAR(VLOOKUP("PCS-OzTL747",ARBOR!$A:$C,3,0),6)),-TRUNC(CX51/VLOOKUP("PCS-OzTL747",ARBOR!$A:$C,3,0)-1,4)+0.0001,-TRUNC(CX51/VLOOKUP("PCS-OzTL747",ARBOR!$A:$C,3,0)-1,4)))))</f>
        <v/>
      </c>
      <c r="CZ51" s="28" t="str">
        <f>IF(ISERROR(IF(CY51="","",VLOOKUP(($BC51&amp;CY51&amp;"Template desconto FLAT Plano Principal Oi TV nível conta"),BENEFICIOS!$A:$G,5,0))),"Criar",IF(CY51="","",VLOOKUP(($BC51&amp;CY51&amp;"Template desconto FLAT Plano Principal Oi TV nível conta"),BENEFICIOS!$A:$G,5,0)))</f>
        <v/>
      </c>
      <c r="DA51" s="8"/>
      <c r="DB51" s="3" t="str">
        <f>IF(DA51=0,"",IF(DA51=VLOOKUP("PCS-OzTL746",ARBOR!$A:$C,3,0),0.0001,IF(DA51&gt;VLOOKUP("PCS-OzTL746",ARBOR!$A:$C,3,0),"Maior que CAP!",IF((DOLLAR(DA51+(VLOOKUP("PCS-OzTL746",ARBOR!$A:$C,3,0)*-TRUNC(DA51/VLOOKUP("PCS-OzTL746",ARBOR!$A:$C,3,0)-1,4)),6))&lt;&gt;(DOLLAR(VLOOKUP("PCS-OzTL746",ARBOR!$A:$C,3,0),6)),-TRUNC(DA51/VLOOKUP("PCS-OzTL746",ARBOR!$A:$C,3,0)-1,4)+0.0001,-TRUNC(DA51/VLOOKUP("PCS-OzTL746",ARBOR!$A:$C,3,0)-1,4)))))</f>
        <v/>
      </c>
      <c r="DC51" s="28" t="str">
        <f>IF(ISERROR(IF(DB51="","",VLOOKUP(($BC51&amp;DB51&amp;"Template desconto FLAT Plano Principal Oi TV nível conta"),BENEFICIOS!$A:$G,5,0))),"Criar",IF(DB51="","",VLOOKUP(($BC51&amp;DB51&amp;"Template desconto FLAT Plano Principal Oi TV nível conta"),BENEFICIOS!$A:$G,5,0)))</f>
        <v/>
      </c>
      <c r="DD51" s="8"/>
      <c r="DE51" s="3" t="str">
        <f>IF(DD51=0,"",IF(DD51=VLOOKUP("PCS-OzTL748",ARBOR!$A:$C,3,0),0.0001,IF(DD51&gt;VLOOKUP("PCS-OzTL748",ARBOR!$A:$C,3,0),"Maior que CAP!",IF((DOLLAR(DD51+(VLOOKUP("PCS-OzTL748",ARBOR!$A:$C,3,0)*-TRUNC(DD51/VLOOKUP("PCS-OzTL748",ARBOR!$A:$C,3,0)-1,4)),6))&lt;&gt;(DOLLAR(VLOOKUP("PCS-OzTL748",ARBOR!$A:$C,3,0),6)),-TRUNC(DD51/VLOOKUP("PCS-OzTL748",ARBOR!$A:$C,3,0)-1,4)+0.0001,-TRUNC(DD51/VLOOKUP("PCS-OzTL748",ARBOR!$A:$C,3,0)-1,4)))))</f>
        <v/>
      </c>
      <c r="DF51" s="28" t="str">
        <f>IF(ISERROR(IF(DE51="","",VLOOKUP(($BC51&amp;DE51&amp;"Template desconto FLAT Plano Principal Oi TV nível conta"),BENEFICIOS!$A:$G,5,0))),"Criar",IF(DE51="","",VLOOKUP(($BC51&amp;DE51&amp;"Template desconto FLAT Plano Principal Oi TV nível conta"),BENEFICIOS!$A:$G,5,0)))</f>
        <v/>
      </c>
      <c r="DG51" s="8"/>
      <c r="DH51" s="3" t="str">
        <f>IF(DG51=0,"",IF(DG51=VLOOKUP("PCS-OzTL34",ARBOR!$A:$C,3,0),0.0001,IF(DG51&gt;VLOOKUP("PCS-OzTL34",ARBOR!$A:$C,3,0),"Maior que CAP!",IF((DOLLAR(DG51+(VLOOKUP("PCS-OzTL34",ARBOR!$A:$C,3,0)*-TRUNC(DG51/VLOOKUP("PCS-OzTL34",ARBOR!$A:$C,3,0)-1,4)),6))&lt;&gt;(DOLLAR(VLOOKUP("PCS-OzTL34",ARBOR!$A:$C,3,0),6)),-TRUNC(DG51/VLOOKUP("PCS-OzTL34",ARBOR!$A:$C,3,0)-1,4)+0.0001,-TRUNC(DG51/VLOOKUP("PCS-OzTL34",ARBOR!$A:$C,3,0)-1,4)))))</f>
        <v/>
      </c>
      <c r="DI51" s="28" t="str">
        <f>IF(DH51="S/Desc","S/Desc",IF(ISERROR(IF(DH51="","",VLOOKUP(($BC51&amp;DH51&amp;"Template desconto % Combate nível conta"),BENEFICIOS!$A:$G,5,0))),"Criar",IF(DH51="","",VLOOKUP(($BC51&amp;DH51&amp;"Template desconto % Combate nível conta"),BENEFICIOS!$A:$G,5,0))))</f>
        <v/>
      </c>
      <c r="DJ51" s="8"/>
      <c r="DK51" s="3" t="str">
        <f>IF(DJ51=0,"",IF(DJ51=VLOOKUP("PCS-OzTL31",ARBOR!$A:$C,3,0),0.0001,IF(DJ51&gt;VLOOKUP("PCS-OzTL31",ARBOR!$A:$C,3,0),"Maior que CAP!",IF((DOLLAR(DJ51+(VLOOKUP("PCS-OzTL31",ARBOR!$A:$C,3,0)*-TRUNC(DJ51/VLOOKUP("PCS-OzTL31",ARBOR!$A:$C,3,0)-1,4)),6))&lt;&gt;(DOLLAR(VLOOKUP("PCS-OzTL31",ARBOR!$A:$C,3,0),6)),-TRUNC(DJ51/VLOOKUP("PCS-OzTL31",ARBOR!$A:$C,3,0)-1,4)+0.0001,-TRUNC(DJ51/VLOOKUP("PCS-OzTL31",ARBOR!$A:$C,3,0)-1,4)))))</f>
        <v/>
      </c>
      <c r="DL51" s="28" t="str">
        <f>IF(DK51="S/Desc","S/Desc",IF(ISERROR(IF(DK51="","",VLOOKUP(($BC51&amp;DK51&amp;"Template desconto % Sexy Hot nível conta"),BENEFICIOS!$A:$G,5,0))),"Criar",IF(DK51="","",VLOOKUP(($BC51&amp;DK51&amp;"Template desconto % Sexy Hot nível conta"),BENEFICIOS!$A:$G,5,0))))</f>
        <v/>
      </c>
      <c r="DM51" s="8"/>
      <c r="DN51" s="3" t="str">
        <f>IF(DM51=0,"",IF(DM51=VLOOKUP("PCS-OzTL32",ARBOR!$A:$C,3,0),0.0001,IF(DM51&gt;VLOOKUP("PCS-OzTL32",ARBOR!$A:$C,3,0),"Maior que CAP!",IF((DOLLAR(DM51+(VLOOKUP("PCS-OzTL32",ARBOR!$A:$C,3,0)*-TRUNC(DM51/VLOOKUP("PCS-OzTL32",ARBOR!$A:$C,3,0)-1,4)),6))&lt;&gt;(DOLLAR(VLOOKUP("PCS-OzTL32",ARBOR!$A:$C,3,0),6)),-TRUNC(DM51/VLOOKUP("PCS-OzTL32",ARBOR!$A:$C,3,0)-1,4)+0.0001,-TRUNC(DM51/VLOOKUP("PCS-OzTL32",ARBOR!$A:$C,3,0)-1,4)))))</f>
        <v/>
      </c>
      <c r="DO51" s="28" t="str">
        <f>IF(DN51="S/Desc","S/Desc",IF(ISERROR(IF(DN51="","",VLOOKUP(($BC51&amp;DN51&amp;"Template desconto % Playboy nível conta"),BENEFICIOS!$A:$G,5,0))),"Criar",IF(DN51="","",VLOOKUP(($BC51&amp;DN51&amp;"Template desconto % Playboy nível conta"),BENEFICIOS!$A:$G,5,0))))</f>
        <v/>
      </c>
      <c r="DP51" s="8"/>
      <c r="DQ51" s="3" t="str">
        <f>IF(DP51=0,"",IF(DP51=VLOOKUP("PCS-OzTL33",ARBOR!$A:$C,3,0),0.0001,IF(DP51&gt;VLOOKUP("PCS-OzTL33",ARBOR!$A:$C,3,0),"Maior que CAP!",IF((DOLLAR(DP51+(VLOOKUP("PCS-OzTL33",ARBOR!$A:$C,3,0)*-TRUNC(DP51/VLOOKUP("PCS-OzTL33",ARBOR!$A:$C,3,0)-1,4)),6))&lt;&gt;(DOLLAR(VLOOKUP("PCS-OzTL33",ARBOR!$A:$C,3,0),6)),-TRUNC(DP51/VLOOKUP("PCS-OzTL33",ARBOR!$A:$C,3,0)-1,4)+0.0001,-TRUNC(DP51/VLOOKUP("PCS-OzTL33",ARBOR!$A:$C,3,0)-1,4)))))</f>
        <v/>
      </c>
      <c r="DR51" s="28" t="str">
        <f>IF(DQ51="S/Desc","S/Desc",IF(ISERROR(IF(DQ51="","",VLOOKUP(($BC51&amp;DQ51&amp;"Template desconto % Sexy Hot + Playboy nível conta"),BENEFICIOS!$A:$G,5,0))),"Criar",IF(DQ51="","",VLOOKUP(($BC51&amp;DQ51&amp;"Template desconto % Sexy Hot + Playboy nível conta"),BENEFICIOS!$A:$G,5,0))))</f>
        <v/>
      </c>
      <c r="DS51" s="8"/>
      <c r="DT51" s="3" t="str">
        <f>IF(DS51=0,"",IF(DS51=VLOOKUP("PCS-OzTL503",ARBOR!$A:$C,3,0),0.0001,IF(DS51&gt;VLOOKUP("PCS-OzTL503",ARBOR!$A:$C,3,0),"Maior que CAP!",IF((DOLLAR(DS51+(VLOOKUP("PCS-OzTL503",ARBOR!$A:$C,3,0)*-TRUNC(DS51/VLOOKUP("PCS-OzTL503",ARBOR!$A:$C,3,0)-1,4)),6))&lt;&gt;(DOLLAR(VLOOKUP("PCS-OzTL503",ARBOR!$A:$C,3,0),6)),-TRUNC(DS51/VLOOKUP("PCS-OzTL503",ARBOR!$A:$C,3,0)-1,4)+0.0001,-TRUNC(DS51/VLOOKUP("PCS-OzTL503",ARBOR!$A:$C,3,0)-1,4)))))</f>
        <v/>
      </c>
      <c r="DU51" s="28" t="str">
        <f>IF(DT51="S/Desc","S/Desc",IF(ISERROR(IF(DT51="","",VLOOKUP(($BC51&amp;DT51&amp;"Template desconto % SexPrivê nível conta"),BENEFICIOS!$A:$G,5,0))),"Criar",IF(DT51="","",VLOOKUP(($BC51&amp;DT51&amp;"Template desconto % SexPrivê nível conta"),BENEFICIOS!$A:$G,5,0))))</f>
        <v/>
      </c>
      <c r="DV51" s="8"/>
      <c r="DW51" s="3" t="str">
        <f>IF(DV51=0,"",IF(DV51=VLOOKUP("PCS-OzTL500",ARBOR!$A:$C,3,0),0.0001,IF(DV51&gt;VLOOKUP("PCS-OzTL500",ARBOR!$A:$C,3,0),"Maior que CAP!",IF((DOLLAR(DV51+(VLOOKUP("PCS-OzTL500",ARBOR!$A:$C,3,0)*-TRUNC(DV51/VLOOKUP("PCS-OzTL500",ARBOR!$A:$C,3,0)-1,4)),6))&lt;&gt;(DOLLAR(VLOOKUP("PCS-OzTL500",ARBOR!$A:$C,3,0),6)),-TRUNC(DV51/VLOOKUP("PCS-OzTL500",ARBOR!$A:$C,3,0)-1,4)+0.0001,-TRUNC(DV51/VLOOKUP("PCS-OzTL500",ARBOR!$A:$C,3,0)-1,4)))))</f>
        <v/>
      </c>
      <c r="DX51" s="28" t="str">
        <f>IF(DW51="S/Desc","S/Desc",IF(ISERROR(IF(DW51="","",VLOOKUP(($BC51&amp;DW51&amp;"Template desconto % Étnico nível conta"),BENEFICIOS!$A:$G,5,0))),"Criar",IF(DW51="","",VLOOKUP(($BC51&amp;DW51&amp;"Template desconto % Étnico nível conta"),BENEFICIOS!$A:$G,5,0))))</f>
        <v/>
      </c>
      <c r="DY51" s="8"/>
      <c r="DZ51" s="181" t="str">
        <f>IF(DY51=0,"",IF(DY51=VLOOKUP("PCS-OzTL50",ARBOR!$A:$C,3,0),0.0001,IF(DY51&gt;VLOOKUP("PCS-OzTL50",ARBOR!$A:$C,3,0),"Maior que CAP!",IF((DOLLAR(DY51+(VLOOKUP("PCS-OzTL50",ARBOR!$A:$C,3,0)*-TRUNC(DY51/VLOOKUP("PCS-OzTL50",ARBOR!$A:$C,3,0)-1,4)),6))&lt;&gt;(DOLLAR(VLOOKUP("PCS-OzTL50",ARBOR!$A:$C,3,0),6)),-TRUNC(DY51/VLOOKUP("PCS-OzTL50",ARBOR!$A:$C,3,0)-1,4)+0.0001,-TRUNC(DY51/VLOOKUP("PCS-OzTL50",ARBOR!$A:$C,3,0)-1,4)))))</f>
        <v/>
      </c>
      <c r="EA51" s="28"/>
      <c r="EB51" s="8"/>
      <c r="EC51" s="181" t="str">
        <f>IF(EB51=0,"",IF(EB51=VLOOKUP("PCS-OzTL51",ARBOR!$A:$C,3,0),0.0001,IF(EB51&gt;VLOOKUP("PCS-OzTL51",ARBOR!$A:$C,3,0),"Maior que CAP!",IF((DOLLAR(EB51+(VLOOKUP("PCS-OzTL51",ARBOR!$A:$C,3,0)*-TRUNC(EB51/VLOOKUP("PCS-OzTL51",ARBOR!$A:$C,3,0)-1,4)),6))&lt;&gt;(DOLLAR(VLOOKUP("PCS-OzTL51",ARBOR!$A:$C,3,0),6)),-TRUNC(EB51/VLOOKUP("PCS-OzTL51",ARBOR!$A:$C,3,0)-1,4)+0.0001,-TRUNC(EB51/VLOOKUP("PCS-OzTL51",ARBOR!$A:$C,3,0)-1,4)))))</f>
        <v/>
      </c>
      <c r="ED51" s="28"/>
      <c r="EE51" s="8"/>
      <c r="EF51" s="181" t="str">
        <f>IF(EE51=0,"",IF(EE51=VLOOKUP("PCS-OzTL52",ARBOR!$A:$C,3,0),0.0001,IF(EE51&gt;VLOOKUP("PCS-OzTL52",ARBOR!$A:$C,3,0),"Maior que CAP!",IF((DOLLAR(EE51+(VLOOKUP("PCS-OzTL52",ARBOR!$A:$C,3,0)*-TRUNC(EE51/VLOOKUP("PCS-OzTL52",ARBOR!$A:$C,3,0)-1,4)),6))&lt;&gt;(DOLLAR(VLOOKUP("PCS-OzTL52",ARBOR!$A:$C,3,0),6)),-TRUNC(EE51/VLOOKUP("PCS-OzTL52",ARBOR!$A:$C,3,0)-1,4)+0.0001,-TRUNC(EE51/VLOOKUP("PCS-OzTL52",ARBOR!$A:$C,3,0)-1,4)))))</f>
        <v/>
      </c>
      <c r="EG51" s="28"/>
      <c r="EH51" s="8"/>
      <c r="EI51" s="181" t="str">
        <f>IF(EH51=0,"",IF(EH51=VLOOKUP("PCS-OzTL53",ARBOR!$A:$C,3,0),0.0001,IF(EH51&gt;VLOOKUP("PCS-OzTL53",ARBOR!$A:$C,3,0),"Maior que CAP!",IF((DOLLAR(EH51+(VLOOKUP("PCS-OzTL53",ARBOR!$A:$C,3,0)*-TRUNC(EH51/VLOOKUP("PCS-OzTL53",ARBOR!$A:$C,3,0)-1,4)),6))&lt;&gt;(DOLLAR(VLOOKUP("PCS-OzTL53",ARBOR!$A:$C,3,0),6)),-TRUNC(EH51/VLOOKUP("PCS-OzTL53",ARBOR!$A:$C,3,0)-1,4)+0.0001,-TRUNC(EH51/VLOOKUP("PCS-OzTL53",ARBOR!$A:$C,3,0)-1,4)))))</f>
        <v/>
      </c>
      <c r="EJ51" s="28"/>
      <c r="EK51" s="8"/>
      <c r="EL51" s="181" t="str">
        <f>IF(EK51=0,"",IF(EK51=VLOOKUP("PCS-OzTL54",ARBOR!$A:$C,3,0),0.0001,IF(EK51&gt;VLOOKUP("PCS-OzTL54",ARBOR!$A:$C,3,0),"Maior que CAP!",IF((DOLLAR(EK51+(VLOOKUP("PCS-OzTL54",ARBOR!$A:$C,3,0)*-TRUNC(EK51/VLOOKUP("PCS-OzTL54",ARBOR!$A:$C,3,0)-1,4)),6))&lt;&gt;(DOLLAR(VLOOKUP("PCS-OzTL54",ARBOR!$A:$C,3,0),6)),-TRUNC(EK51/VLOOKUP("PCS-OzTL54",ARBOR!$A:$C,3,0)-1,4)+0.0001,-TRUNC(EK51/VLOOKUP("PCS-OzTL54",ARBOR!$A:$C,3,0)-1,4)))))</f>
        <v/>
      </c>
      <c r="EM51" s="28"/>
      <c r="EN51" s="8"/>
      <c r="EO51" s="3" t="str">
        <f>IF(EN51=0,"",IF(EN51=VLOOKUP("PCS-OzTL99",ARBOR!$A:$C,3,0),0.0001,IF(EN51&gt;VLOOKUP("PCS-OzTL99",ARBOR!$A:$C,3,0),"Maior que CAP!",IF((DOLLAR(EN51+(VLOOKUP("PCS-OzTL99",ARBOR!$A:$C,3,0)*-TRUNC(EN51/VLOOKUP("PCS-OzTL99",ARBOR!$A:$C,3,0)-1,4)),6))&lt;&gt;(DOLLAR(VLOOKUP("PCS-OzTL99",ARBOR!$A:$C,3,0),6)),-TRUNC(EN51/VLOOKUP("PCS-OzTL99",ARBOR!$A:$C,3,0)-1,4)+0.0001,-TRUNC(EN51/VLOOKUP("PCS-OzTL99",ARBOR!$A:$C,3,0)-1,4)))))</f>
        <v/>
      </c>
      <c r="EP51" s="28" t="str">
        <f>IF(EO51="S/Desc","S/Desc",IF(ISERROR(IF(EO51="","",VLOOKUP(($BC51&amp;EO51&amp;"Template desconto % Ponto adicional nível conta"),BENEFICIOS!$A:$G,5,0))),"Criar",IF(EO51="","",VLOOKUP(($BC51&amp;EO51&amp;"Template desconto % Ponto adicional nível conta"),BENEFICIOS!$A:$G,5,0))))</f>
        <v/>
      </c>
      <c r="EQ51" s="8"/>
      <c r="ER51" s="28" t="str">
        <f t="shared" si="23"/>
        <v/>
      </c>
      <c r="ES51" s="62"/>
      <c r="ET51" s="126"/>
      <c r="EU51" s="127"/>
      <c r="EV51" s="126"/>
      <c r="EW51" s="128" t="str">
        <f t="shared" si="24"/>
        <v/>
      </c>
      <c r="EX51" s="129" t="str">
        <f t="shared" si="25"/>
        <v/>
      </c>
      <c r="EY51" s="91" t="str">
        <f t="shared" si="26"/>
        <v/>
      </c>
      <c r="EZ51" s="85"/>
      <c r="FA51" s="97"/>
      <c r="FB51" s="91"/>
      <c r="FC51" s="85"/>
      <c r="FD51" s="97"/>
      <c r="FE51" s="91"/>
      <c r="FF51" s="87"/>
      <c r="FG51" s="144" t="str">
        <f t="shared" si="5"/>
        <v/>
      </c>
      <c r="FH51" s="144" t="str">
        <f t="shared" si="6"/>
        <v/>
      </c>
      <c r="FI51" s="144" t="str">
        <f t="shared" si="7"/>
        <v/>
      </c>
      <c r="FJ51" s="144" t="str">
        <f t="shared" si="8"/>
        <v/>
      </c>
      <c r="FK51" s="144" t="str">
        <f t="shared" si="9"/>
        <v/>
      </c>
      <c r="FL51" s="144" t="str">
        <f t="shared" si="10"/>
        <v/>
      </c>
      <c r="FM51" s="144" t="str">
        <f t="shared" si="11"/>
        <v/>
      </c>
      <c r="FN51" s="144" t="str">
        <f t="shared" si="12"/>
        <v/>
      </c>
      <c r="FO51" s="144" t="str">
        <f t="shared" si="13"/>
        <v/>
      </c>
      <c r="FP51" s="144" t="str">
        <f t="shared" si="14"/>
        <v/>
      </c>
      <c r="FQ51" s="144" t="str">
        <f t="shared" si="15"/>
        <v/>
      </c>
      <c r="FR51" s="144" t="str">
        <f t="shared" si="16"/>
        <v/>
      </c>
      <c r="FS51" s="144" t="str">
        <f t="shared" si="17"/>
        <v/>
      </c>
      <c r="FT51" s="144" t="str">
        <f t="shared" si="18"/>
        <v/>
      </c>
      <c r="FU51" s="144" t="str">
        <f t="shared" si="19"/>
        <v/>
      </c>
      <c r="FV51" s="144" t="str">
        <f t="shared" si="20"/>
        <v/>
      </c>
      <c r="FW51" s="144" t="str">
        <f t="shared" si="21"/>
        <v/>
      </c>
      <c r="FX51" s="151"/>
      <c r="FY51" s="152"/>
      <c r="FZ51" s="152"/>
      <c r="GA51" s="152"/>
      <c r="GB51" s="152"/>
      <c r="GC51" s="152"/>
      <c r="GD51" s="152"/>
      <c r="GE51" s="152"/>
      <c r="GF51" s="152"/>
      <c r="GG51" s="153"/>
    </row>
    <row r="52" spans="1:189">
      <c r="A52" s="45"/>
      <c r="B52" s="133"/>
      <c r="C52" s="133"/>
      <c r="D52" s="46"/>
      <c r="E52" s="4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9"/>
      <c r="U52" s="48"/>
      <c r="V52" s="49"/>
      <c r="W52" s="48"/>
      <c r="X52" s="48"/>
      <c r="Y52" s="48"/>
      <c r="Z52" s="48"/>
      <c r="AA52" s="49"/>
      <c r="AB52" s="48"/>
      <c r="AC52" s="50"/>
      <c r="AD52" s="48"/>
      <c r="AE52" s="48"/>
      <c r="AF52" s="48"/>
      <c r="AG52" s="48"/>
      <c r="AH52" s="48"/>
      <c r="AI52" s="48"/>
      <c r="AJ52" s="48"/>
      <c r="AK52" s="48"/>
      <c r="AL52" s="51"/>
      <c r="AM52" s="37"/>
      <c r="AN52" s="38"/>
      <c r="AO52" s="39"/>
      <c r="AP52" s="52"/>
      <c r="AQ52" s="53"/>
      <c r="AR52" s="64"/>
      <c r="AS52" s="65"/>
      <c r="AT52" s="54"/>
      <c r="AU52" s="54"/>
      <c r="AV52" s="54"/>
      <c r="AW52" s="54"/>
      <c r="AX52" s="70"/>
      <c r="AY52" s="71"/>
      <c r="AZ52" s="72"/>
      <c r="BA52" s="73"/>
      <c r="BB52" s="55"/>
      <c r="BC52" s="56"/>
      <c r="BD52" s="27" t="str">
        <f t="shared" si="22"/>
        <v/>
      </c>
      <c r="BE52" s="58"/>
      <c r="BF52" s="3" t="str">
        <f>IF(BE52=0,"",IF(BE52=VLOOKUP("FIXO",ARBOR!$A:$C,3,0),0.0001,IF(BE52&gt;VLOOKUP("FIXO",ARBOR!$A:$C,3,0),"Maior que CAP!",IF((DOLLAR(BE52+(VLOOKUP("FIXO",ARBOR!$A:$C,3,0)*-TRUNC(BE52/VLOOKUP("FIXO",ARBOR!$A:$C,3,0)-1,4)),6))&lt;&gt;(DOLLAR(VLOOKUP("FIXO",ARBOR!$A:$C,3,0),6)),-TRUNC(BE52/VLOOKUP("FIXO",ARBOR!$A:$C,3,0)-1,4)+0.0001,-TRUNC(BE52/VLOOKUP("FIXO",ARBOR!$A:$C,3,0)-1,4)))))</f>
        <v/>
      </c>
      <c r="BG52" s="10" t="str">
        <f>IF(ISERROR(IF(BF52="","",VLOOKUP(($BC52&amp;BF52&amp;"Template de desconto FLAT bundle - Fixo - Varejo - Ganho Tributário Cross"),BENEFICIOS!$A:$G,5,0))),"Criar",IF(BF52="","",VLOOKUP(($BC52&amp;BF52&amp;"Template de desconto FLAT bundle - Fixo - Varejo - Ganho Tributário Cross"),BENEFICIOS!$A:$G,5,0)))</f>
        <v/>
      </c>
      <c r="BH52" s="8"/>
      <c r="BI52" s="3" t="str">
        <f>IF(BH52=0,"",IF(BH52=VLOOKUP("PCS-OzTL40",ARBOR!$A:$C,3,0),0.0001,IF(BH52&gt;VLOOKUP("PCS-OzTL40",ARBOR!$A:$C,3,0),"Maior que CAP!",IF((DOLLAR(BH52+(VLOOKUP("PCS-OzTL40",ARBOR!$A:$C,3,0)*-TRUNC(BH52/VLOOKUP("PCS-OzTL40",ARBOR!$A:$C,3,0)-1,4)),6))&lt;&gt;(DOLLAR(VLOOKUP("PCS-OzTL40",ARBOR!$A:$C,3,0),6)),-TRUNC(BH52/VLOOKUP("PCS-OzTL40",ARBOR!$A:$C,3,0)-1,4)+0.0001,-TRUNC(BH52/VLOOKUP("PCS-OzTL40",ARBOR!$A:$C,3,0)-1,4)))))</f>
        <v/>
      </c>
      <c r="BJ52" s="10" t="str">
        <f>IF(ISERROR(IF(BI52="","",VLOOKUP((BC52&amp;BI52&amp;"Template desconto FLAT Plano Principal Oi TV nível conta"),BENEFICIOS!$A:$G,5,0))),"Criar",IF(BI52="","",VLOOKUP((BC52&amp;BI52&amp;"Template desconto FLAT Plano Principal Oi TV nível conta"),BENEFICIOS!$A:$G,5,0)))</f>
        <v/>
      </c>
      <c r="BK52" s="8"/>
      <c r="BL52" s="3" t="str">
        <f>IF(BK52=0,"",IF(BK52=VLOOKUP("PCS-OzTL41",ARBOR!$A:$C,3,0),0.0001,IF(BK52&gt;VLOOKUP("PCS-OzTL41",ARBOR!$A:$C,3,0),"Maior que CAP!",IF((DOLLAR(BK52+(VLOOKUP("PCS-OzTL41",ARBOR!$A:$C,3,0)*-TRUNC(BK52/VLOOKUP("PCS-OzTL41",ARBOR!$A:$C,3,0)-1,4)),6))&lt;&gt;(DOLLAR(VLOOKUP("PCS-OzTL41",ARBOR!$A:$C,3,0),6)),-TRUNC(BK52/VLOOKUP("PCS-OzTL41",ARBOR!$A:$C,3,0)-1,4)+0.0001,-TRUNC(BK52/VLOOKUP("PCS-OzTL41",ARBOR!$A:$C,3,0)-1,4)))))</f>
        <v/>
      </c>
      <c r="BM52" s="28" t="str">
        <f>IF(ISERROR(IF(BL52="","",VLOOKUP((BC52&amp;BL52&amp;"Template desconto FLAT Plano Principal Oi TV nível conta"),BENEFICIOS!$A:$G,5,0))),"Criar",IF(BL52="","",VLOOKUP((BC52&amp;BL52&amp;"Template desconto FLAT Plano Principal Oi TV nível conta"),BENEFICIOS!$A:$G,5,0)))</f>
        <v/>
      </c>
      <c r="BN52" s="8"/>
      <c r="BO52" s="3" t="str">
        <f>IF(BN52=0,"",IF(BN52=VLOOKUP("PCS-OzTL44",ARBOR!$A:$C,3,0),0.0001,IF(BN52&gt;VLOOKUP("PCS-OzTL44",ARBOR!$A:$C,3,0),"Maior que CAP!",IF((DOLLAR(BN52+(VLOOKUP("PCS-OzTL44",ARBOR!$A:$C,3,0)*-TRUNC(BN52/VLOOKUP("PCS-OzTL44",ARBOR!$A:$C,3,0)-1,4)),6))&lt;&gt;(DOLLAR(VLOOKUP("PCS-OzTL44",ARBOR!$A:$C,3,0),6)),-TRUNC(BN52/VLOOKUP("PCS-OzTL44",ARBOR!$A:$C,3,0)-1,4)+0.0001,-TRUNC(BN52/VLOOKUP("PCS-OzTL44",ARBOR!$A:$C,3,0)-1,4)))))</f>
        <v/>
      </c>
      <c r="BP52" s="28" t="str">
        <f>IF(ISERROR(IF(BO52="","",VLOOKUP((BC52&amp;BO52&amp;"Template desconto FLAT Plano Principal Oi TV nível conta"),BENEFICIOS!$A:$G,5,0))),"Criar",IF(BO52="","",VLOOKUP((BC52&amp;BO52&amp;"Template desconto FLAT Plano Principal Oi TV nível conta"),BENEFICIOS!$A:$G,5,0)))</f>
        <v/>
      </c>
      <c r="BQ52" s="8"/>
      <c r="BR52" s="3" t="str">
        <f>IF(BQ52=0,"",IF(BQ52=VLOOKUP("PCS-OzTL43",ARBOR!$A:$C,3,0),0.0001,IF(BQ52&gt;VLOOKUP("PCS-OzTL43",ARBOR!$A:$C,3,0),"Maior que CAP!",IF((DOLLAR(BQ52+(VLOOKUP("PCS-OzTL43",ARBOR!$A:$C,3,0)*-TRUNC(BQ52/VLOOKUP("PCS-OzTL43",ARBOR!$A:$C,3,0)-1,4)),6))&lt;&gt;(DOLLAR(VLOOKUP("PCS-OzTL43",ARBOR!$A:$C,3,0),6)),-TRUNC(BQ52/VLOOKUP("PCS-OzTL43",ARBOR!$A:$C,3,0)-1,4)+0.0001,-TRUNC(BQ52/VLOOKUP("PCS-OzTL43",ARBOR!$A:$C,3,0)-1,4)))))</f>
        <v/>
      </c>
      <c r="BS52" s="28" t="str">
        <f>IF(ISERROR(IF(BR52="","",VLOOKUP((BC52&amp;BR52&amp;"Template desconto FLAT Plano Principal Oi TV nível conta"),BENEFICIOS!$A:$G,5,0))),"Criar",IF(BR52="","",VLOOKUP((BC52&amp;BR52&amp;"Template desconto FLAT Plano Principal Oi TV nível conta"),BENEFICIOS!$A:$G,5,0)))</f>
        <v/>
      </c>
      <c r="BT52" s="8"/>
      <c r="BU52" s="3" t="str">
        <f>IF(BT52=0,"",IF(BT52=VLOOKUP("PCS-OzTL45",ARBOR!$A:$C,3,0),0.0001,IF(BT52&gt;VLOOKUP("PCS-OzTL45",ARBOR!$A:$C,3,0),"Maior que CAP!",IF((DOLLAR(BT52+(VLOOKUP("PCS-OzTL45",ARBOR!$A:$C,3,0)*-TRUNC(BT52/VLOOKUP("PCS-OzTL45",ARBOR!$A:$C,3,0)-1,4)),6))&lt;&gt;(DOLLAR(VLOOKUP("PCS-OzTL45",ARBOR!$A:$C,3,0),6)),-TRUNC(BT52/VLOOKUP("PCS-OzTL45",ARBOR!$A:$C,3,0)-1,4)+0.0001,-TRUNC(BT52/VLOOKUP("PCS-OzTL45",ARBOR!$A:$C,3,0)-1,4)))))</f>
        <v/>
      </c>
      <c r="BV52" s="28" t="str">
        <f>IF(ISERROR(IF(BU52="","",VLOOKUP((BC52&amp;BU52&amp;"Template desconto FLAT Plano Principal Oi TV nível conta"),BENEFICIOS!$A:$G,5,0))),"Criar",IF(BU52="","",VLOOKUP((BC52&amp;BU52&amp;"Template desconto FLAT Plano Principal Oi TV nível conta"),BENEFICIOS!$A:$G,5,0)))</f>
        <v/>
      </c>
      <c r="BW52" s="8"/>
      <c r="BX52" s="3" t="str">
        <f>IF(BW52=0,"",IF(BW52=VLOOKUP("PCS-OzTL741",ARBOR!$A:$C,3,0),0.0001,IF(BW52&gt;VLOOKUP("PCS-OzTL741",ARBOR!$A:$C,3,0),"Maior que CAP!",IF((DOLLAR(BW52+(VLOOKUP("PCS-OzTL741",ARBOR!$A:$C,3,0)*-TRUNC(BW52/VLOOKUP("PCS-OzTL741",ARBOR!$A:$C,3,0)-1,4)),6))&lt;&gt;(DOLLAR(VLOOKUP("PCS-OzTL741",ARBOR!$A:$C,3,0),6)),-TRUNC(BW52/VLOOKUP("PCS-OzTL741",ARBOR!$A:$C,3,0)-1,4)+0.0001,-TRUNC(BW52/VLOOKUP("PCS-OzTL741",ARBOR!$A:$C,3,0)-1,4)))))</f>
        <v/>
      </c>
      <c r="BY52" s="28" t="str">
        <f>IF(ISERROR(IF(BX52="","",VLOOKUP((BC52&amp;BX52&amp;"Template desconto FLAT Plano Principal Oi TV nível conta"),BENEFICIOS!$A:$G,5,0))),"Criar",IF(BX52="","",VLOOKUP((BC52&amp;BX52&amp;"Template desconto FLAT Plano Principal Oi TV nível conta"),BENEFICIOS!$A:$G,5,0)))</f>
        <v/>
      </c>
      <c r="BZ52" s="8"/>
      <c r="CA52" s="3" t="str">
        <f>IF(BZ52=0,"",IF(BZ52=VLOOKUP("PCS-OzTL744",ARBOR!$A:$C,3,0),0.0001,IF(BZ52&gt;VLOOKUP("PCS-OzTL744",ARBOR!$A:$C,3,0),"Maior que CAP!",IF((DOLLAR(BZ52+(VLOOKUP("PCS-OzTL744",ARBOR!$A:$C,3,0)*-TRUNC(BZ52/VLOOKUP("PCS-OzTL744",ARBOR!$A:$C,3,0)-1,4)),6))&lt;&gt;(DOLLAR(VLOOKUP("PCS-OzTL744",ARBOR!$A:$C,3,0),6)),-TRUNC(BZ52/VLOOKUP("PCS-OzTL744",ARBOR!$A:$C,3,0)-1,4)+0.0001,-TRUNC(BZ52/VLOOKUP("PCS-OzTL744",ARBOR!$A:$C,3,0)-1,4)))))</f>
        <v/>
      </c>
      <c r="CB52" s="28" t="str">
        <f>IF(ISERROR(IF(CA52="","",VLOOKUP(($BC52&amp;CA52&amp;"Template desconto FLAT Plano Principal Oi TV nível conta"),BENEFICIOS!$A:$G,5,0))),"Criar",IF(CA52="","",VLOOKUP(($BC52&amp;CA52&amp;"Template desconto FLAT Plano Principal Oi TV nível conta"),BENEFICIOS!$A:$G,5,0)))</f>
        <v/>
      </c>
      <c r="CC52" s="8"/>
      <c r="CD52" s="3" t="str">
        <f>IF(CC52=0,"",IF(CC52=VLOOKUP("PCS-OzTL743",ARBOR!$A:$C,3,0),0.0001,IF(CC52&gt;VLOOKUP("PCS-OzTL743",ARBOR!$A:$C,3,0),"Maior que CAP!",IF((DOLLAR(CC52+(VLOOKUP("PCS-OzTL743",ARBOR!$A:$C,3,0)*-TRUNC(CC52/VLOOKUP("PCS-OzTL743",ARBOR!$A:$C,3,0)-1,4)),6))&lt;&gt;(DOLLAR(VLOOKUP("PCS-OzTL743",ARBOR!$A:$C,3,0),6)),-TRUNC(CC52/VLOOKUP("PCS-OzTL743",ARBOR!$A:$C,3,0)-1,4)+0.0001,-TRUNC(CC52/VLOOKUP("PCS-OzTL743",ARBOR!$A:$C,3,0)-1,4)))))</f>
        <v/>
      </c>
      <c r="CE52" s="28" t="str">
        <f>IF(ISERROR(IF(CD52="","",VLOOKUP(($BC52&amp;CD52&amp;"Template desconto FLAT Plano Principal Oi TV nível conta"),BENEFICIOS!$A:$G,5,0))),"Criar",IF(CD52="","",VLOOKUP(($BC52&amp;CD52&amp;"Template desconto FLAT Plano Principal Oi TV nível conta"),BENEFICIOS!$A:$G,5,0)))</f>
        <v/>
      </c>
      <c r="CF52" s="8"/>
      <c r="CG52" s="3" t="str">
        <f>IF(CF52=0,"",IF(CF52=VLOOKUP("PCS-OzTL745",ARBOR!$A:$C,3,0),0.0001,IF(CF52&gt;VLOOKUP("PCS-OzTL745",ARBOR!$A:$C,3,0),"Maior que CAP!",IF((DOLLAR(CF52+(VLOOKUP("PCS-OzTL745",ARBOR!$A:$C,3,0)*-TRUNC(CF52/VLOOKUP("PCS-OzTL745",ARBOR!$A:$C,3,0)-1,4)),6))&lt;&gt;(DOLLAR(VLOOKUP("PCS-OzTL745",ARBOR!$A:$C,3,0),6)),-TRUNC(CF52/VLOOKUP("PCS-OzTL745",ARBOR!$A:$C,3,0)-1,4)+0.0001,-TRUNC(CF52/VLOOKUP("PCS-OzTL745",ARBOR!$A:$C,3,0)-1,4)))))</f>
        <v/>
      </c>
      <c r="CH52" s="28" t="str">
        <f>IF(ISERROR(IF(CG52="","",VLOOKUP(($BC52&amp;CG52&amp;"Template desconto FLAT Plano Principal Oi TV nível conta"),BENEFICIOS!$A:$G,5,0))),"Criar",IF(CG52="","",VLOOKUP(($BC52&amp;CG52&amp;"Template desconto FLAT Plano Principal Oi TV nível conta"),BENEFICIOS!$A:$G,5,0)))</f>
        <v/>
      </c>
      <c r="CI52" s="8"/>
      <c r="CJ52" s="3" t="str">
        <f>IF(CI52=0,"",IF(CI52=VLOOKUP("PCS-OzTL42",ARBOR!$A:$C,3,0),0.0001,IF(CI52&gt;VLOOKUP("PCS-OzTL42",ARBOR!$A:$C,3,0),"Maior que CAP!",IF((DOLLAR(CI52+(VLOOKUP("PCS-OzTL42",ARBOR!$A:$C,3,0)*-TRUNC(CI52/VLOOKUP("PCS-OzTL42",ARBOR!$A:$C,3,0)-1,4)),6))&lt;&gt;(DOLLAR(VLOOKUP("PCS-OzTL42",ARBOR!$A:$C,3,0),6)),-TRUNC(CI52/VLOOKUP("PCS-OzTL42",ARBOR!$A:$C,3,0)-1,4)+0.0001,-TRUNC(CI52/VLOOKUP("PCS-OzTL42",ARBOR!$A:$C,3,0)-1,4)))))</f>
        <v/>
      </c>
      <c r="CK52" s="28" t="str">
        <f>IF(ISERROR(IF(CJ52="","",VLOOKUP(($BC52&amp;CJ52&amp;"Template desconto FLAT Plano Principal Oi TV nível conta"),BENEFICIOS!$A:$G,5,0))),"Criar",IF(CJ52="","",VLOOKUP(($BC52&amp;CJ52&amp;"Template desconto FLAT Plano Principal Oi TV nível conta"),BENEFICIOS!$A:$G,5,0)))</f>
        <v/>
      </c>
      <c r="CL52" s="8"/>
      <c r="CM52" s="3" t="str">
        <f>IF(CL52=0,"",IF(CL52=VLOOKUP("PCS-OzTL47",ARBOR!$A:$C,3,0),0.0001,IF(CL52&gt;VLOOKUP("PCS-OzTL47",ARBOR!$A:$C,3,0),"Maior que CAP!",IF((DOLLAR(CL52+(VLOOKUP("PCS-OzTL47",ARBOR!$A:$C,3,0)*-TRUNC(CL52/VLOOKUP("PCS-OzTL47",ARBOR!$A:$C,3,0)-1,4)),6))&lt;&gt;(DOLLAR(VLOOKUP("PCS-OzTL47",ARBOR!$A:$C,3,0),6)),-TRUNC(CL52/VLOOKUP("PCS-OzTL47",ARBOR!$A:$C,3,0)-1,4)+0.0001,-TRUNC(CL52/VLOOKUP("PCS-OzTL47",ARBOR!$A:$C,3,0)-1,4)))))</f>
        <v/>
      </c>
      <c r="CN52" s="28" t="str">
        <f>IF(ISERROR(IF(CM52="","",VLOOKUP(($BC52&amp;CM52&amp;"Template desconto FLAT Plano Principal Oi TV nível conta"),BENEFICIOS!$A:$G,5,0))),"Criar",IF(CM52="","",VLOOKUP(($BC52&amp;CM52&amp;"Template desconto FLAT Plano Principal Oi TV nível conta"),BENEFICIOS!$A:$G,5,0)))</f>
        <v/>
      </c>
      <c r="CO52" s="8"/>
      <c r="CP52" s="3" t="str">
        <f>IF(CO52=0,"",IF(CO52=VLOOKUP("PCS-OzTL46",ARBOR!$A:$C,3,0),0.0001,IF(CO52&gt;VLOOKUP("PCS-OzTL46",ARBOR!$A:$C,3,0),"Maior que CAP!",IF((DOLLAR(CO52+(VLOOKUP("PCS-OzTL46",ARBOR!$A:$C,3,0)*-TRUNC(CO52/VLOOKUP("PCS-OzTL46",ARBOR!$A:$C,3,0)-1,4)),6))&lt;&gt;(DOLLAR(VLOOKUP("PCS-OzTL46",ARBOR!$A:$C,3,0),6)),-TRUNC(CO52/VLOOKUP("PCS-OzTL46",ARBOR!$A:$C,3,0)-1,4)+0.0001,-TRUNC(CO52/VLOOKUP("PCS-OzTL46",ARBOR!$A:$C,3,0)-1,4)))))</f>
        <v/>
      </c>
      <c r="CQ52" s="28" t="str">
        <f>IF(ISERROR(IF(CP52="","",VLOOKUP(($BC52&amp;CP52&amp;"Template desconto FLAT Plano Principal Oi TV nível conta"),BENEFICIOS!$A:$G,5,0))),"Criar",IF(CP52="","",VLOOKUP(($BC52&amp;CP52&amp;"Template desconto FLAT Plano Principal Oi TV nível conta"),BENEFICIOS!$A:$G,5,0)))</f>
        <v/>
      </c>
      <c r="CR52" s="8"/>
      <c r="CS52" s="3" t="str">
        <f>IF(CR52=0,"",IF(CR52=VLOOKUP("PCS-OzTL48",ARBOR!$A:$C,3,0),0.0001,IF(CR52&gt;VLOOKUP("PCS-OzTL48",ARBOR!$A:$C,3,0),"Maior que CAP!",IF((DOLLAR(CR52+(VLOOKUP("PCS-OzTL48",ARBOR!$A:$C,3,0)*-TRUNC(CR52/VLOOKUP("PCS-OzTL48",ARBOR!$A:$C,3,0)-1,4)),6))&lt;&gt;(DOLLAR(VLOOKUP("PCS-OzTL48",ARBOR!$A:$C,3,0),6)),-TRUNC(CR52/VLOOKUP("PCS-OzTL48",ARBOR!$A:$C,3,0)-1,4)+0.0001,-TRUNC(CR52/VLOOKUP("PCS-OzTL48",ARBOR!$A:$C,3,0)-1,4)))))</f>
        <v/>
      </c>
      <c r="CT52" s="28" t="str">
        <f>IF(ISERROR(IF(CS52="","",VLOOKUP(($BC52&amp;CS52&amp;"Template desconto FLAT Plano Principal Oi TV nível conta"),BENEFICIOS!$A:$G,5,0))),"Criar",IF(CS52="","",VLOOKUP(($BC52&amp;CS52&amp;"Template desconto FLAT Plano Principal Oi TV nível conta"),BENEFICIOS!$A:$G,5,0)))</f>
        <v/>
      </c>
      <c r="CU52" s="8"/>
      <c r="CV52" s="3" t="str">
        <f>IF(CU52=0,"",IF(CU52=VLOOKUP("PCS-OzTL742",ARBOR!$A:$C,3,0),0.0001,IF(CU52&gt;VLOOKUP("PCS-OzTL742",ARBOR!$A:$C,3,0),"Maior que CAP!",IF((DOLLAR(CU52+(VLOOKUP("PCS-OzTL742",ARBOR!$A:$C,3,0)*-TRUNC(CU52/VLOOKUP("PCS-OzTL742",ARBOR!$A:$C,3,0)-1,4)),6))&lt;&gt;(DOLLAR(VLOOKUP("PCS-OzTL742",ARBOR!$A:$C,3,0),6)),-TRUNC(CU52/VLOOKUP("PCS-OzTL742",ARBOR!$A:$C,3,0)-1,4)+0.0001,-TRUNC(CU52/VLOOKUP("PCS-OzTL742",ARBOR!$A:$C,3,0)-1,4)))))</f>
        <v/>
      </c>
      <c r="CW52" s="28" t="str">
        <f>IF(ISERROR(IF(CV52="","",VLOOKUP(($BC52&amp;CV52&amp;"Template desconto FLAT Plano Principal Oi TV nível conta"),BENEFICIOS!$A:$G,5,0))),"Criar",IF(CV52="","",VLOOKUP(($BC52&amp;CV52&amp;"Template desconto FLAT Plano Principal Oi TV nível conta"),BENEFICIOS!$A:$G,5,0)))</f>
        <v/>
      </c>
      <c r="CX52" s="8"/>
      <c r="CY52" s="3" t="str">
        <f>IF(CX52=0,"",IF(CX52=VLOOKUP("PCS-OzTL747",ARBOR!$A:$C,3,0),0.0001,IF(CX52&gt;VLOOKUP("PCS-OzTL747",ARBOR!$A:$C,3,0),"Maior que CAP!",IF((DOLLAR(CX52+(VLOOKUP("PCS-OzTL747",ARBOR!$A:$C,3,0)*-TRUNC(CX52/VLOOKUP("PCS-OzTL747",ARBOR!$A:$C,3,0)-1,4)),6))&lt;&gt;(DOLLAR(VLOOKUP("PCS-OzTL747",ARBOR!$A:$C,3,0),6)),-TRUNC(CX52/VLOOKUP("PCS-OzTL747",ARBOR!$A:$C,3,0)-1,4)+0.0001,-TRUNC(CX52/VLOOKUP("PCS-OzTL747",ARBOR!$A:$C,3,0)-1,4)))))</f>
        <v/>
      </c>
      <c r="CZ52" s="28" t="str">
        <f>IF(ISERROR(IF(CY52="","",VLOOKUP(($BC52&amp;CY52&amp;"Template desconto FLAT Plano Principal Oi TV nível conta"),BENEFICIOS!$A:$G,5,0))),"Criar",IF(CY52="","",VLOOKUP(($BC52&amp;CY52&amp;"Template desconto FLAT Plano Principal Oi TV nível conta"),BENEFICIOS!$A:$G,5,0)))</f>
        <v/>
      </c>
      <c r="DA52" s="8"/>
      <c r="DB52" s="3" t="str">
        <f>IF(DA52=0,"",IF(DA52=VLOOKUP("PCS-OzTL746",ARBOR!$A:$C,3,0),0.0001,IF(DA52&gt;VLOOKUP("PCS-OzTL746",ARBOR!$A:$C,3,0),"Maior que CAP!",IF((DOLLAR(DA52+(VLOOKUP("PCS-OzTL746",ARBOR!$A:$C,3,0)*-TRUNC(DA52/VLOOKUP("PCS-OzTL746",ARBOR!$A:$C,3,0)-1,4)),6))&lt;&gt;(DOLLAR(VLOOKUP("PCS-OzTL746",ARBOR!$A:$C,3,0),6)),-TRUNC(DA52/VLOOKUP("PCS-OzTL746",ARBOR!$A:$C,3,0)-1,4)+0.0001,-TRUNC(DA52/VLOOKUP("PCS-OzTL746",ARBOR!$A:$C,3,0)-1,4)))))</f>
        <v/>
      </c>
      <c r="DC52" s="28" t="str">
        <f>IF(ISERROR(IF(DB52="","",VLOOKUP(($BC52&amp;DB52&amp;"Template desconto FLAT Plano Principal Oi TV nível conta"),BENEFICIOS!$A:$G,5,0))),"Criar",IF(DB52="","",VLOOKUP(($BC52&amp;DB52&amp;"Template desconto FLAT Plano Principal Oi TV nível conta"),BENEFICIOS!$A:$G,5,0)))</f>
        <v/>
      </c>
      <c r="DD52" s="8"/>
      <c r="DE52" s="3" t="str">
        <f>IF(DD52=0,"",IF(DD52=VLOOKUP("PCS-OzTL748",ARBOR!$A:$C,3,0),0.0001,IF(DD52&gt;VLOOKUP("PCS-OzTL748",ARBOR!$A:$C,3,0),"Maior que CAP!",IF((DOLLAR(DD52+(VLOOKUP("PCS-OzTL748",ARBOR!$A:$C,3,0)*-TRUNC(DD52/VLOOKUP("PCS-OzTL748",ARBOR!$A:$C,3,0)-1,4)),6))&lt;&gt;(DOLLAR(VLOOKUP("PCS-OzTL748",ARBOR!$A:$C,3,0),6)),-TRUNC(DD52/VLOOKUP("PCS-OzTL748",ARBOR!$A:$C,3,0)-1,4)+0.0001,-TRUNC(DD52/VLOOKUP("PCS-OzTL748",ARBOR!$A:$C,3,0)-1,4)))))</f>
        <v/>
      </c>
      <c r="DF52" s="28" t="str">
        <f>IF(ISERROR(IF(DE52="","",VLOOKUP(($BC52&amp;DE52&amp;"Template desconto FLAT Plano Principal Oi TV nível conta"),BENEFICIOS!$A:$G,5,0))),"Criar",IF(DE52="","",VLOOKUP(($BC52&amp;DE52&amp;"Template desconto FLAT Plano Principal Oi TV nível conta"),BENEFICIOS!$A:$G,5,0)))</f>
        <v/>
      </c>
      <c r="DG52" s="8"/>
      <c r="DH52" s="3" t="str">
        <f>IF(DG52=0,"",IF(DG52=VLOOKUP("PCS-OzTL34",ARBOR!$A:$C,3,0),0.0001,IF(DG52&gt;VLOOKUP("PCS-OzTL34",ARBOR!$A:$C,3,0),"Maior que CAP!",IF((DOLLAR(DG52+(VLOOKUP("PCS-OzTL34",ARBOR!$A:$C,3,0)*-TRUNC(DG52/VLOOKUP("PCS-OzTL34",ARBOR!$A:$C,3,0)-1,4)),6))&lt;&gt;(DOLLAR(VLOOKUP("PCS-OzTL34",ARBOR!$A:$C,3,0),6)),-TRUNC(DG52/VLOOKUP("PCS-OzTL34",ARBOR!$A:$C,3,0)-1,4)+0.0001,-TRUNC(DG52/VLOOKUP("PCS-OzTL34",ARBOR!$A:$C,3,0)-1,4)))))</f>
        <v/>
      </c>
      <c r="DI52" s="28" t="str">
        <f>IF(DH52="S/Desc","S/Desc",IF(ISERROR(IF(DH52="","",VLOOKUP(($BC52&amp;DH52&amp;"Template desconto % Combate nível conta"),BENEFICIOS!$A:$G,5,0))),"Criar",IF(DH52="","",VLOOKUP(($BC52&amp;DH52&amp;"Template desconto % Combate nível conta"),BENEFICIOS!$A:$G,5,0))))</f>
        <v/>
      </c>
      <c r="DJ52" s="8"/>
      <c r="DK52" s="3" t="str">
        <f>IF(DJ52=0,"",IF(DJ52=VLOOKUP("PCS-OzTL31",ARBOR!$A:$C,3,0),0.0001,IF(DJ52&gt;VLOOKUP("PCS-OzTL31",ARBOR!$A:$C,3,0),"Maior que CAP!",IF((DOLLAR(DJ52+(VLOOKUP("PCS-OzTL31",ARBOR!$A:$C,3,0)*-TRUNC(DJ52/VLOOKUP("PCS-OzTL31",ARBOR!$A:$C,3,0)-1,4)),6))&lt;&gt;(DOLLAR(VLOOKUP("PCS-OzTL31",ARBOR!$A:$C,3,0),6)),-TRUNC(DJ52/VLOOKUP("PCS-OzTL31",ARBOR!$A:$C,3,0)-1,4)+0.0001,-TRUNC(DJ52/VLOOKUP("PCS-OzTL31",ARBOR!$A:$C,3,0)-1,4)))))</f>
        <v/>
      </c>
      <c r="DL52" s="28" t="str">
        <f>IF(DK52="S/Desc","S/Desc",IF(ISERROR(IF(DK52="","",VLOOKUP(($BC52&amp;DK52&amp;"Template desconto % Sexy Hot nível conta"),BENEFICIOS!$A:$G,5,0))),"Criar",IF(DK52="","",VLOOKUP(($BC52&amp;DK52&amp;"Template desconto % Sexy Hot nível conta"),BENEFICIOS!$A:$G,5,0))))</f>
        <v/>
      </c>
      <c r="DM52" s="8"/>
      <c r="DN52" s="3" t="str">
        <f>IF(DM52=0,"",IF(DM52=VLOOKUP("PCS-OzTL32",ARBOR!$A:$C,3,0),0.0001,IF(DM52&gt;VLOOKUP("PCS-OzTL32",ARBOR!$A:$C,3,0),"Maior que CAP!",IF((DOLLAR(DM52+(VLOOKUP("PCS-OzTL32",ARBOR!$A:$C,3,0)*-TRUNC(DM52/VLOOKUP("PCS-OzTL32",ARBOR!$A:$C,3,0)-1,4)),6))&lt;&gt;(DOLLAR(VLOOKUP("PCS-OzTL32",ARBOR!$A:$C,3,0),6)),-TRUNC(DM52/VLOOKUP("PCS-OzTL32",ARBOR!$A:$C,3,0)-1,4)+0.0001,-TRUNC(DM52/VLOOKUP("PCS-OzTL32",ARBOR!$A:$C,3,0)-1,4)))))</f>
        <v/>
      </c>
      <c r="DO52" s="28" t="str">
        <f>IF(DN52="S/Desc","S/Desc",IF(ISERROR(IF(DN52="","",VLOOKUP(($BC52&amp;DN52&amp;"Template desconto % Playboy nível conta"),BENEFICIOS!$A:$G,5,0))),"Criar",IF(DN52="","",VLOOKUP(($BC52&amp;DN52&amp;"Template desconto % Playboy nível conta"),BENEFICIOS!$A:$G,5,0))))</f>
        <v/>
      </c>
      <c r="DP52" s="8"/>
      <c r="DQ52" s="3" t="str">
        <f>IF(DP52=0,"",IF(DP52=VLOOKUP("PCS-OzTL33",ARBOR!$A:$C,3,0),0.0001,IF(DP52&gt;VLOOKUP("PCS-OzTL33",ARBOR!$A:$C,3,0),"Maior que CAP!",IF((DOLLAR(DP52+(VLOOKUP("PCS-OzTL33",ARBOR!$A:$C,3,0)*-TRUNC(DP52/VLOOKUP("PCS-OzTL33",ARBOR!$A:$C,3,0)-1,4)),6))&lt;&gt;(DOLLAR(VLOOKUP("PCS-OzTL33",ARBOR!$A:$C,3,0),6)),-TRUNC(DP52/VLOOKUP("PCS-OzTL33",ARBOR!$A:$C,3,0)-1,4)+0.0001,-TRUNC(DP52/VLOOKUP("PCS-OzTL33",ARBOR!$A:$C,3,0)-1,4)))))</f>
        <v/>
      </c>
      <c r="DR52" s="28" t="str">
        <f>IF(DQ52="S/Desc","S/Desc",IF(ISERROR(IF(DQ52="","",VLOOKUP(($BC52&amp;DQ52&amp;"Template desconto % Sexy Hot + Playboy nível conta"),BENEFICIOS!$A:$G,5,0))),"Criar",IF(DQ52="","",VLOOKUP(($BC52&amp;DQ52&amp;"Template desconto % Sexy Hot + Playboy nível conta"),BENEFICIOS!$A:$G,5,0))))</f>
        <v/>
      </c>
      <c r="DS52" s="8"/>
      <c r="DT52" s="3" t="str">
        <f>IF(DS52=0,"",IF(DS52=VLOOKUP("PCS-OzTL503",ARBOR!$A:$C,3,0),0.0001,IF(DS52&gt;VLOOKUP("PCS-OzTL503",ARBOR!$A:$C,3,0),"Maior que CAP!",IF((DOLLAR(DS52+(VLOOKUP("PCS-OzTL503",ARBOR!$A:$C,3,0)*-TRUNC(DS52/VLOOKUP("PCS-OzTL503",ARBOR!$A:$C,3,0)-1,4)),6))&lt;&gt;(DOLLAR(VLOOKUP("PCS-OzTL503",ARBOR!$A:$C,3,0),6)),-TRUNC(DS52/VLOOKUP("PCS-OzTL503",ARBOR!$A:$C,3,0)-1,4)+0.0001,-TRUNC(DS52/VLOOKUP("PCS-OzTL503",ARBOR!$A:$C,3,0)-1,4)))))</f>
        <v/>
      </c>
      <c r="DU52" s="28" t="str">
        <f>IF(DT52="S/Desc","S/Desc",IF(ISERROR(IF(DT52="","",VLOOKUP(($BC52&amp;DT52&amp;"Template desconto % SexPrivê nível conta"),BENEFICIOS!$A:$G,5,0))),"Criar",IF(DT52="","",VLOOKUP(($BC52&amp;DT52&amp;"Template desconto % SexPrivê nível conta"),BENEFICIOS!$A:$G,5,0))))</f>
        <v/>
      </c>
      <c r="DV52" s="8"/>
      <c r="DW52" s="3" t="str">
        <f>IF(DV52=0,"",IF(DV52=VLOOKUP("PCS-OzTL500",ARBOR!$A:$C,3,0),0.0001,IF(DV52&gt;VLOOKUP("PCS-OzTL500",ARBOR!$A:$C,3,0),"Maior que CAP!",IF((DOLLAR(DV52+(VLOOKUP("PCS-OzTL500",ARBOR!$A:$C,3,0)*-TRUNC(DV52/VLOOKUP("PCS-OzTL500",ARBOR!$A:$C,3,0)-1,4)),6))&lt;&gt;(DOLLAR(VLOOKUP("PCS-OzTL500",ARBOR!$A:$C,3,0),6)),-TRUNC(DV52/VLOOKUP("PCS-OzTL500",ARBOR!$A:$C,3,0)-1,4)+0.0001,-TRUNC(DV52/VLOOKUP("PCS-OzTL500",ARBOR!$A:$C,3,0)-1,4)))))</f>
        <v/>
      </c>
      <c r="DX52" s="28" t="str">
        <f>IF(DW52="S/Desc","S/Desc",IF(ISERROR(IF(DW52="","",VLOOKUP(($BC52&amp;DW52&amp;"Template desconto % Étnico nível conta"),BENEFICIOS!$A:$G,5,0))),"Criar",IF(DW52="","",VLOOKUP(($BC52&amp;DW52&amp;"Template desconto % Étnico nível conta"),BENEFICIOS!$A:$G,5,0))))</f>
        <v/>
      </c>
      <c r="DY52" s="8"/>
      <c r="DZ52" s="181" t="str">
        <f>IF(DY52=0,"",IF(DY52=VLOOKUP("PCS-OzTL50",ARBOR!$A:$C,3,0),0.0001,IF(DY52&gt;VLOOKUP("PCS-OzTL50",ARBOR!$A:$C,3,0),"Maior que CAP!",IF((DOLLAR(DY52+(VLOOKUP("PCS-OzTL50",ARBOR!$A:$C,3,0)*-TRUNC(DY52/VLOOKUP("PCS-OzTL50",ARBOR!$A:$C,3,0)-1,4)),6))&lt;&gt;(DOLLAR(VLOOKUP("PCS-OzTL50",ARBOR!$A:$C,3,0),6)),-TRUNC(DY52/VLOOKUP("PCS-OzTL50",ARBOR!$A:$C,3,0)-1,4)+0.0001,-TRUNC(DY52/VLOOKUP("PCS-OzTL50",ARBOR!$A:$C,3,0)-1,4)))))</f>
        <v/>
      </c>
      <c r="EA52" s="28"/>
      <c r="EB52" s="8"/>
      <c r="EC52" s="181" t="str">
        <f>IF(EB52=0,"",IF(EB52=VLOOKUP("PCS-OzTL51",ARBOR!$A:$C,3,0),0.0001,IF(EB52&gt;VLOOKUP("PCS-OzTL51",ARBOR!$A:$C,3,0),"Maior que CAP!",IF((DOLLAR(EB52+(VLOOKUP("PCS-OzTL51",ARBOR!$A:$C,3,0)*-TRUNC(EB52/VLOOKUP("PCS-OzTL51",ARBOR!$A:$C,3,0)-1,4)),6))&lt;&gt;(DOLLAR(VLOOKUP("PCS-OzTL51",ARBOR!$A:$C,3,0),6)),-TRUNC(EB52/VLOOKUP("PCS-OzTL51",ARBOR!$A:$C,3,0)-1,4)+0.0001,-TRUNC(EB52/VLOOKUP("PCS-OzTL51",ARBOR!$A:$C,3,0)-1,4)))))</f>
        <v/>
      </c>
      <c r="ED52" s="28"/>
      <c r="EE52" s="8"/>
      <c r="EF52" s="181" t="str">
        <f>IF(EE52=0,"",IF(EE52=VLOOKUP("PCS-OzTL52",ARBOR!$A:$C,3,0),0.0001,IF(EE52&gt;VLOOKUP("PCS-OzTL52",ARBOR!$A:$C,3,0),"Maior que CAP!",IF((DOLLAR(EE52+(VLOOKUP("PCS-OzTL52",ARBOR!$A:$C,3,0)*-TRUNC(EE52/VLOOKUP("PCS-OzTL52",ARBOR!$A:$C,3,0)-1,4)),6))&lt;&gt;(DOLLAR(VLOOKUP("PCS-OzTL52",ARBOR!$A:$C,3,0),6)),-TRUNC(EE52/VLOOKUP("PCS-OzTL52",ARBOR!$A:$C,3,0)-1,4)+0.0001,-TRUNC(EE52/VLOOKUP("PCS-OzTL52",ARBOR!$A:$C,3,0)-1,4)))))</f>
        <v/>
      </c>
      <c r="EG52" s="28"/>
      <c r="EH52" s="8"/>
      <c r="EI52" s="181" t="str">
        <f>IF(EH52=0,"",IF(EH52=VLOOKUP("PCS-OzTL53",ARBOR!$A:$C,3,0),0.0001,IF(EH52&gt;VLOOKUP("PCS-OzTL53",ARBOR!$A:$C,3,0),"Maior que CAP!",IF((DOLLAR(EH52+(VLOOKUP("PCS-OzTL53",ARBOR!$A:$C,3,0)*-TRUNC(EH52/VLOOKUP("PCS-OzTL53",ARBOR!$A:$C,3,0)-1,4)),6))&lt;&gt;(DOLLAR(VLOOKUP("PCS-OzTL53",ARBOR!$A:$C,3,0),6)),-TRUNC(EH52/VLOOKUP("PCS-OzTL53",ARBOR!$A:$C,3,0)-1,4)+0.0001,-TRUNC(EH52/VLOOKUP("PCS-OzTL53",ARBOR!$A:$C,3,0)-1,4)))))</f>
        <v/>
      </c>
      <c r="EJ52" s="28"/>
      <c r="EK52" s="8"/>
      <c r="EL52" s="181" t="str">
        <f>IF(EK52=0,"",IF(EK52=VLOOKUP("PCS-OzTL54",ARBOR!$A:$C,3,0),0.0001,IF(EK52&gt;VLOOKUP("PCS-OzTL54",ARBOR!$A:$C,3,0),"Maior que CAP!",IF((DOLLAR(EK52+(VLOOKUP("PCS-OzTL54",ARBOR!$A:$C,3,0)*-TRUNC(EK52/VLOOKUP("PCS-OzTL54",ARBOR!$A:$C,3,0)-1,4)),6))&lt;&gt;(DOLLAR(VLOOKUP("PCS-OzTL54",ARBOR!$A:$C,3,0),6)),-TRUNC(EK52/VLOOKUP("PCS-OzTL54",ARBOR!$A:$C,3,0)-1,4)+0.0001,-TRUNC(EK52/VLOOKUP("PCS-OzTL54",ARBOR!$A:$C,3,0)-1,4)))))</f>
        <v/>
      </c>
      <c r="EM52" s="28"/>
      <c r="EN52" s="8"/>
      <c r="EO52" s="3" t="str">
        <f>IF(EN52=0,"",IF(EN52=VLOOKUP("PCS-OzTL99",ARBOR!$A:$C,3,0),0.0001,IF(EN52&gt;VLOOKUP("PCS-OzTL99",ARBOR!$A:$C,3,0),"Maior que CAP!",IF((DOLLAR(EN52+(VLOOKUP("PCS-OzTL99",ARBOR!$A:$C,3,0)*-TRUNC(EN52/VLOOKUP("PCS-OzTL99",ARBOR!$A:$C,3,0)-1,4)),6))&lt;&gt;(DOLLAR(VLOOKUP("PCS-OzTL99",ARBOR!$A:$C,3,0),6)),-TRUNC(EN52/VLOOKUP("PCS-OzTL99",ARBOR!$A:$C,3,0)-1,4)+0.0001,-TRUNC(EN52/VLOOKUP("PCS-OzTL99",ARBOR!$A:$C,3,0)-1,4)))))</f>
        <v/>
      </c>
      <c r="EP52" s="28" t="str">
        <f>IF(EO52="S/Desc","S/Desc",IF(ISERROR(IF(EO52="","",VLOOKUP(($BC52&amp;EO52&amp;"Template desconto % Ponto adicional nível conta"),BENEFICIOS!$A:$G,5,0))),"Criar",IF(EO52="","",VLOOKUP(($BC52&amp;EO52&amp;"Template desconto % Ponto adicional nível conta"),BENEFICIOS!$A:$G,5,0))))</f>
        <v/>
      </c>
      <c r="EQ52" s="8"/>
      <c r="ER52" s="28" t="str">
        <f t="shared" si="23"/>
        <v/>
      </c>
      <c r="ES52" s="62"/>
      <c r="ET52" s="126"/>
      <c r="EU52" s="127"/>
      <c r="EV52" s="126"/>
      <c r="EW52" s="128" t="str">
        <f t="shared" si="24"/>
        <v/>
      </c>
      <c r="EX52" s="129" t="str">
        <f t="shared" si="25"/>
        <v/>
      </c>
      <c r="EY52" s="91" t="str">
        <f t="shared" si="26"/>
        <v/>
      </c>
      <c r="EZ52" s="85"/>
      <c r="FA52" s="97"/>
      <c r="FB52" s="91"/>
      <c r="FC52" s="85"/>
      <c r="FD52" s="97"/>
      <c r="FE52" s="91"/>
      <c r="FF52" s="87"/>
      <c r="FG52" s="144" t="str">
        <f t="shared" si="5"/>
        <v/>
      </c>
      <c r="FH52" s="144" t="str">
        <f t="shared" si="6"/>
        <v/>
      </c>
      <c r="FI52" s="144" t="str">
        <f t="shared" si="7"/>
        <v/>
      </c>
      <c r="FJ52" s="144" t="str">
        <f t="shared" si="8"/>
        <v/>
      </c>
      <c r="FK52" s="144" t="str">
        <f t="shared" si="9"/>
        <v/>
      </c>
      <c r="FL52" s="144" t="str">
        <f t="shared" si="10"/>
        <v/>
      </c>
      <c r="FM52" s="144" t="str">
        <f t="shared" si="11"/>
        <v/>
      </c>
      <c r="FN52" s="144" t="str">
        <f t="shared" si="12"/>
        <v/>
      </c>
      <c r="FO52" s="144" t="str">
        <f t="shared" si="13"/>
        <v/>
      </c>
      <c r="FP52" s="144" t="str">
        <f t="shared" si="14"/>
        <v/>
      </c>
      <c r="FQ52" s="144" t="str">
        <f t="shared" si="15"/>
        <v/>
      </c>
      <c r="FR52" s="144" t="str">
        <f t="shared" si="16"/>
        <v/>
      </c>
      <c r="FS52" s="144" t="str">
        <f t="shared" si="17"/>
        <v/>
      </c>
      <c r="FT52" s="144" t="str">
        <f t="shared" si="18"/>
        <v/>
      </c>
      <c r="FU52" s="144" t="str">
        <f t="shared" si="19"/>
        <v/>
      </c>
      <c r="FV52" s="144" t="str">
        <f t="shared" si="20"/>
        <v/>
      </c>
      <c r="FW52" s="144" t="str">
        <f t="shared" si="21"/>
        <v/>
      </c>
      <c r="FX52" s="151"/>
      <c r="FY52" s="152"/>
      <c r="FZ52" s="152"/>
      <c r="GA52" s="152"/>
      <c r="GB52" s="152"/>
      <c r="GC52" s="152"/>
      <c r="GD52" s="152"/>
      <c r="GE52" s="152"/>
      <c r="GF52" s="152"/>
      <c r="GG52" s="153"/>
    </row>
    <row r="53" spans="1:189">
      <c r="A53" s="45"/>
      <c r="B53" s="133"/>
      <c r="C53" s="133"/>
      <c r="D53" s="46"/>
      <c r="E53" s="4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9"/>
      <c r="U53" s="48"/>
      <c r="V53" s="49"/>
      <c r="W53" s="48"/>
      <c r="X53" s="48"/>
      <c r="Y53" s="48"/>
      <c r="Z53" s="48"/>
      <c r="AA53" s="49"/>
      <c r="AB53" s="48"/>
      <c r="AC53" s="50"/>
      <c r="AD53" s="48"/>
      <c r="AE53" s="48"/>
      <c r="AF53" s="48"/>
      <c r="AG53" s="48"/>
      <c r="AH53" s="48"/>
      <c r="AI53" s="48"/>
      <c r="AJ53" s="48"/>
      <c r="AK53" s="48"/>
      <c r="AL53" s="51"/>
      <c r="AM53" s="37"/>
      <c r="AN53" s="38"/>
      <c r="AO53" s="39"/>
      <c r="AP53" s="52"/>
      <c r="AQ53" s="53"/>
      <c r="AR53" s="64"/>
      <c r="AS53" s="65"/>
      <c r="AT53" s="54"/>
      <c r="AU53" s="54"/>
      <c r="AV53" s="54"/>
      <c r="AW53" s="54"/>
      <c r="AX53" s="70"/>
      <c r="AY53" s="71"/>
      <c r="AZ53" s="72"/>
      <c r="BA53" s="73"/>
      <c r="BB53" s="55"/>
      <c r="BC53" s="56"/>
      <c r="BD53" s="27" t="str">
        <f t="shared" si="22"/>
        <v/>
      </c>
      <c r="BE53" s="58"/>
      <c r="BF53" s="3" t="str">
        <f>IF(BE53=0,"",IF(BE53=VLOOKUP("FIXO",ARBOR!$A:$C,3,0),0.0001,IF(BE53&gt;VLOOKUP("FIXO",ARBOR!$A:$C,3,0),"Maior que CAP!",IF((DOLLAR(BE53+(VLOOKUP("FIXO",ARBOR!$A:$C,3,0)*-TRUNC(BE53/VLOOKUP("FIXO",ARBOR!$A:$C,3,0)-1,4)),6))&lt;&gt;(DOLLAR(VLOOKUP("FIXO",ARBOR!$A:$C,3,0),6)),-TRUNC(BE53/VLOOKUP("FIXO",ARBOR!$A:$C,3,0)-1,4)+0.0001,-TRUNC(BE53/VLOOKUP("FIXO",ARBOR!$A:$C,3,0)-1,4)))))</f>
        <v/>
      </c>
      <c r="BG53" s="10" t="str">
        <f>IF(ISERROR(IF(BF53="","",VLOOKUP(($BC53&amp;BF53&amp;"Template de desconto FLAT bundle - Fixo - Varejo - Ganho Tributário Cross"),BENEFICIOS!$A:$G,5,0))),"Criar",IF(BF53="","",VLOOKUP(($BC53&amp;BF53&amp;"Template de desconto FLAT bundle - Fixo - Varejo - Ganho Tributário Cross"),BENEFICIOS!$A:$G,5,0)))</f>
        <v/>
      </c>
      <c r="BH53" s="8"/>
      <c r="BI53" s="3" t="str">
        <f>IF(BH53=0,"",IF(BH53=VLOOKUP("PCS-OzTL40",ARBOR!$A:$C,3,0),0.0001,IF(BH53&gt;VLOOKUP("PCS-OzTL40",ARBOR!$A:$C,3,0),"Maior que CAP!",IF((DOLLAR(BH53+(VLOOKUP("PCS-OzTL40",ARBOR!$A:$C,3,0)*-TRUNC(BH53/VLOOKUP("PCS-OzTL40",ARBOR!$A:$C,3,0)-1,4)),6))&lt;&gt;(DOLLAR(VLOOKUP("PCS-OzTL40",ARBOR!$A:$C,3,0),6)),-TRUNC(BH53/VLOOKUP("PCS-OzTL40",ARBOR!$A:$C,3,0)-1,4)+0.0001,-TRUNC(BH53/VLOOKUP("PCS-OzTL40",ARBOR!$A:$C,3,0)-1,4)))))</f>
        <v/>
      </c>
      <c r="BJ53" s="10" t="str">
        <f>IF(ISERROR(IF(BI53="","",VLOOKUP((BC53&amp;BI53&amp;"Template desconto FLAT Plano Principal Oi TV nível conta"),BENEFICIOS!$A:$G,5,0))),"Criar",IF(BI53="","",VLOOKUP((BC53&amp;BI53&amp;"Template desconto FLAT Plano Principal Oi TV nível conta"),BENEFICIOS!$A:$G,5,0)))</f>
        <v/>
      </c>
      <c r="BK53" s="8"/>
      <c r="BL53" s="3" t="str">
        <f>IF(BK53=0,"",IF(BK53=VLOOKUP("PCS-OzTL41",ARBOR!$A:$C,3,0),0.0001,IF(BK53&gt;VLOOKUP("PCS-OzTL41",ARBOR!$A:$C,3,0),"Maior que CAP!",IF((DOLLAR(BK53+(VLOOKUP("PCS-OzTL41",ARBOR!$A:$C,3,0)*-TRUNC(BK53/VLOOKUP("PCS-OzTL41",ARBOR!$A:$C,3,0)-1,4)),6))&lt;&gt;(DOLLAR(VLOOKUP("PCS-OzTL41",ARBOR!$A:$C,3,0),6)),-TRUNC(BK53/VLOOKUP("PCS-OzTL41",ARBOR!$A:$C,3,0)-1,4)+0.0001,-TRUNC(BK53/VLOOKUP("PCS-OzTL41",ARBOR!$A:$C,3,0)-1,4)))))</f>
        <v/>
      </c>
      <c r="BM53" s="28" t="str">
        <f>IF(ISERROR(IF(BL53="","",VLOOKUP((BC53&amp;BL53&amp;"Template desconto FLAT Plano Principal Oi TV nível conta"),BENEFICIOS!$A:$G,5,0))),"Criar",IF(BL53="","",VLOOKUP((BC53&amp;BL53&amp;"Template desconto FLAT Plano Principal Oi TV nível conta"),BENEFICIOS!$A:$G,5,0)))</f>
        <v/>
      </c>
      <c r="BN53" s="8"/>
      <c r="BO53" s="3" t="str">
        <f>IF(BN53=0,"",IF(BN53=VLOOKUP("PCS-OzTL44",ARBOR!$A:$C,3,0),0.0001,IF(BN53&gt;VLOOKUP("PCS-OzTL44",ARBOR!$A:$C,3,0),"Maior que CAP!",IF((DOLLAR(BN53+(VLOOKUP("PCS-OzTL44",ARBOR!$A:$C,3,0)*-TRUNC(BN53/VLOOKUP("PCS-OzTL44",ARBOR!$A:$C,3,0)-1,4)),6))&lt;&gt;(DOLLAR(VLOOKUP("PCS-OzTL44",ARBOR!$A:$C,3,0),6)),-TRUNC(BN53/VLOOKUP("PCS-OzTL44",ARBOR!$A:$C,3,0)-1,4)+0.0001,-TRUNC(BN53/VLOOKUP("PCS-OzTL44",ARBOR!$A:$C,3,0)-1,4)))))</f>
        <v/>
      </c>
      <c r="BP53" s="28" t="str">
        <f>IF(ISERROR(IF(BO53="","",VLOOKUP((BC53&amp;BO53&amp;"Template desconto FLAT Plano Principal Oi TV nível conta"),BENEFICIOS!$A:$G,5,0))),"Criar",IF(BO53="","",VLOOKUP((BC53&amp;BO53&amp;"Template desconto FLAT Plano Principal Oi TV nível conta"),BENEFICIOS!$A:$G,5,0)))</f>
        <v/>
      </c>
      <c r="BQ53" s="8"/>
      <c r="BR53" s="3" t="str">
        <f>IF(BQ53=0,"",IF(BQ53=VLOOKUP("PCS-OzTL43",ARBOR!$A:$C,3,0),0.0001,IF(BQ53&gt;VLOOKUP("PCS-OzTL43",ARBOR!$A:$C,3,0),"Maior que CAP!",IF((DOLLAR(BQ53+(VLOOKUP("PCS-OzTL43",ARBOR!$A:$C,3,0)*-TRUNC(BQ53/VLOOKUP("PCS-OzTL43",ARBOR!$A:$C,3,0)-1,4)),6))&lt;&gt;(DOLLAR(VLOOKUP("PCS-OzTL43",ARBOR!$A:$C,3,0),6)),-TRUNC(BQ53/VLOOKUP("PCS-OzTL43",ARBOR!$A:$C,3,0)-1,4)+0.0001,-TRUNC(BQ53/VLOOKUP("PCS-OzTL43",ARBOR!$A:$C,3,0)-1,4)))))</f>
        <v/>
      </c>
      <c r="BS53" s="28" t="str">
        <f>IF(ISERROR(IF(BR53="","",VLOOKUP((BC53&amp;BR53&amp;"Template desconto FLAT Plano Principal Oi TV nível conta"),BENEFICIOS!$A:$G,5,0))),"Criar",IF(BR53="","",VLOOKUP((BC53&amp;BR53&amp;"Template desconto FLAT Plano Principal Oi TV nível conta"),BENEFICIOS!$A:$G,5,0)))</f>
        <v/>
      </c>
      <c r="BT53" s="8"/>
      <c r="BU53" s="3" t="str">
        <f>IF(BT53=0,"",IF(BT53=VLOOKUP("PCS-OzTL45",ARBOR!$A:$C,3,0),0.0001,IF(BT53&gt;VLOOKUP("PCS-OzTL45",ARBOR!$A:$C,3,0),"Maior que CAP!",IF((DOLLAR(BT53+(VLOOKUP("PCS-OzTL45",ARBOR!$A:$C,3,0)*-TRUNC(BT53/VLOOKUP("PCS-OzTL45",ARBOR!$A:$C,3,0)-1,4)),6))&lt;&gt;(DOLLAR(VLOOKUP("PCS-OzTL45",ARBOR!$A:$C,3,0),6)),-TRUNC(BT53/VLOOKUP("PCS-OzTL45",ARBOR!$A:$C,3,0)-1,4)+0.0001,-TRUNC(BT53/VLOOKUP("PCS-OzTL45",ARBOR!$A:$C,3,0)-1,4)))))</f>
        <v/>
      </c>
      <c r="BV53" s="28" t="str">
        <f>IF(ISERROR(IF(BU53="","",VLOOKUP((BC53&amp;BU53&amp;"Template desconto FLAT Plano Principal Oi TV nível conta"),BENEFICIOS!$A:$G,5,0))),"Criar",IF(BU53="","",VLOOKUP((BC53&amp;BU53&amp;"Template desconto FLAT Plano Principal Oi TV nível conta"),BENEFICIOS!$A:$G,5,0)))</f>
        <v/>
      </c>
      <c r="BW53" s="8"/>
      <c r="BX53" s="3" t="str">
        <f>IF(BW53=0,"",IF(BW53=VLOOKUP("PCS-OzTL741",ARBOR!$A:$C,3,0),0.0001,IF(BW53&gt;VLOOKUP("PCS-OzTL741",ARBOR!$A:$C,3,0),"Maior que CAP!",IF((DOLLAR(BW53+(VLOOKUP("PCS-OzTL741",ARBOR!$A:$C,3,0)*-TRUNC(BW53/VLOOKUP("PCS-OzTL741",ARBOR!$A:$C,3,0)-1,4)),6))&lt;&gt;(DOLLAR(VLOOKUP("PCS-OzTL741",ARBOR!$A:$C,3,0),6)),-TRUNC(BW53/VLOOKUP("PCS-OzTL741",ARBOR!$A:$C,3,0)-1,4)+0.0001,-TRUNC(BW53/VLOOKUP("PCS-OzTL741",ARBOR!$A:$C,3,0)-1,4)))))</f>
        <v/>
      </c>
      <c r="BY53" s="28" t="str">
        <f>IF(ISERROR(IF(BX53="","",VLOOKUP((BC53&amp;BX53&amp;"Template desconto FLAT Plano Principal Oi TV nível conta"),BENEFICIOS!$A:$G,5,0))),"Criar",IF(BX53="","",VLOOKUP((BC53&amp;BX53&amp;"Template desconto FLAT Plano Principal Oi TV nível conta"),BENEFICIOS!$A:$G,5,0)))</f>
        <v/>
      </c>
      <c r="BZ53" s="8"/>
      <c r="CA53" s="3" t="str">
        <f>IF(BZ53=0,"",IF(BZ53=VLOOKUP("PCS-OzTL744",ARBOR!$A:$C,3,0),0.0001,IF(BZ53&gt;VLOOKUP("PCS-OzTL744",ARBOR!$A:$C,3,0),"Maior que CAP!",IF((DOLLAR(BZ53+(VLOOKUP("PCS-OzTL744",ARBOR!$A:$C,3,0)*-TRUNC(BZ53/VLOOKUP("PCS-OzTL744",ARBOR!$A:$C,3,0)-1,4)),6))&lt;&gt;(DOLLAR(VLOOKUP("PCS-OzTL744",ARBOR!$A:$C,3,0),6)),-TRUNC(BZ53/VLOOKUP("PCS-OzTL744",ARBOR!$A:$C,3,0)-1,4)+0.0001,-TRUNC(BZ53/VLOOKUP("PCS-OzTL744",ARBOR!$A:$C,3,0)-1,4)))))</f>
        <v/>
      </c>
      <c r="CB53" s="28" t="str">
        <f>IF(ISERROR(IF(CA53="","",VLOOKUP(($BC53&amp;CA53&amp;"Template desconto FLAT Plano Principal Oi TV nível conta"),BENEFICIOS!$A:$G,5,0))),"Criar",IF(CA53="","",VLOOKUP(($BC53&amp;CA53&amp;"Template desconto FLAT Plano Principal Oi TV nível conta"),BENEFICIOS!$A:$G,5,0)))</f>
        <v/>
      </c>
      <c r="CC53" s="8"/>
      <c r="CD53" s="3" t="str">
        <f>IF(CC53=0,"",IF(CC53=VLOOKUP("PCS-OzTL743",ARBOR!$A:$C,3,0),0.0001,IF(CC53&gt;VLOOKUP("PCS-OzTL743",ARBOR!$A:$C,3,0),"Maior que CAP!",IF((DOLLAR(CC53+(VLOOKUP("PCS-OzTL743",ARBOR!$A:$C,3,0)*-TRUNC(CC53/VLOOKUP("PCS-OzTL743",ARBOR!$A:$C,3,0)-1,4)),6))&lt;&gt;(DOLLAR(VLOOKUP("PCS-OzTL743",ARBOR!$A:$C,3,0),6)),-TRUNC(CC53/VLOOKUP("PCS-OzTL743",ARBOR!$A:$C,3,0)-1,4)+0.0001,-TRUNC(CC53/VLOOKUP("PCS-OzTL743",ARBOR!$A:$C,3,0)-1,4)))))</f>
        <v/>
      </c>
      <c r="CE53" s="28" t="str">
        <f>IF(ISERROR(IF(CD53="","",VLOOKUP(($BC53&amp;CD53&amp;"Template desconto FLAT Plano Principal Oi TV nível conta"),BENEFICIOS!$A:$G,5,0))),"Criar",IF(CD53="","",VLOOKUP(($BC53&amp;CD53&amp;"Template desconto FLAT Plano Principal Oi TV nível conta"),BENEFICIOS!$A:$G,5,0)))</f>
        <v/>
      </c>
      <c r="CF53" s="8"/>
      <c r="CG53" s="3" t="str">
        <f>IF(CF53=0,"",IF(CF53=VLOOKUP("PCS-OzTL745",ARBOR!$A:$C,3,0),0.0001,IF(CF53&gt;VLOOKUP("PCS-OzTL745",ARBOR!$A:$C,3,0),"Maior que CAP!",IF((DOLLAR(CF53+(VLOOKUP("PCS-OzTL745",ARBOR!$A:$C,3,0)*-TRUNC(CF53/VLOOKUP("PCS-OzTL745",ARBOR!$A:$C,3,0)-1,4)),6))&lt;&gt;(DOLLAR(VLOOKUP("PCS-OzTL745",ARBOR!$A:$C,3,0),6)),-TRUNC(CF53/VLOOKUP("PCS-OzTL745",ARBOR!$A:$C,3,0)-1,4)+0.0001,-TRUNC(CF53/VLOOKUP("PCS-OzTL745",ARBOR!$A:$C,3,0)-1,4)))))</f>
        <v/>
      </c>
      <c r="CH53" s="28" t="str">
        <f>IF(ISERROR(IF(CG53="","",VLOOKUP(($BC53&amp;CG53&amp;"Template desconto FLAT Plano Principal Oi TV nível conta"),BENEFICIOS!$A:$G,5,0))),"Criar",IF(CG53="","",VLOOKUP(($BC53&amp;CG53&amp;"Template desconto FLAT Plano Principal Oi TV nível conta"),BENEFICIOS!$A:$G,5,0)))</f>
        <v/>
      </c>
      <c r="CI53" s="8"/>
      <c r="CJ53" s="3" t="str">
        <f>IF(CI53=0,"",IF(CI53=VLOOKUP("PCS-OzTL42",ARBOR!$A:$C,3,0),0.0001,IF(CI53&gt;VLOOKUP("PCS-OzTL42",ARBOR!$A:$C,3,0),"Maior que CAP!",IF((DOLLAR(CI53+(VLOOKUP("PCS-OzTL42",ARBOR!$A:$C,3,0)*-TRUNC(CI53/VLOOKUP("PCS-OzTL42",ARBOR!$A:$C,3,0)-1,4)),6))&lt;&gt;(DOLLAR(VLOOKUP("PCS-OzTL42",ARBOR!$A:$C,3,0),6)),-TRUNC(CI53/VLOOKUP("PCS-OzTL42",ARBOR!$A:$C,3,0)-1,4)+0.0001,-TRUNC(CI53/VLOOKUP("PCS-OzTL42",ARBOR!$A:$C,3,0)-1,4)))))</f>
        <v/>
      </c>
      <c r="CK53" s="28" t="str">
        <f>IF(ISERROR(IF(CJ53="","",VLOOKUP(($BC53&amp;CJ53&amp;"Template desconto FLAT Plano Principal Oi TV nível conta"),BENEFICIOS!$A:$G,5,0))),"Criar",IF(CJ53="","",VLOOKUP(($BC53&amp;CJ53&amp;"Template desconto FLAT Plano Principal Oi TV nível conta"),BENEFICIOS!$A:$G,5,0)))</f>
        <v/>
      </c>
      <c r="CL53" s="8"/>
      <c r="CM53" s="3" t="str">
        <f>IF(CL53=0,"",IF(CL53=VLOOKUP("PCS-OzTL47",ARBOR!$A:$C,3,0),0.0001,IF(CL53&gt;VLOOKUP("PCS-OzTL47",ARBOR!$A:$C,3,0),"Maior que CAP!",IF((DOLLAR(CL53+(VLOOKUP("PCS-OzTL47",ARBOR!$A:$C,3,0)*-TRUNC(CL53/VLOOKUP("PCS-OzTL47",ARBOR!$A:$C,3,0)-1,4)),6))&lt;&gt;(DOLLAR(VLOOKUP("PCS-OzTL47",ARBOR!$A:$C,3,0),6)),-TRUNC(CL53/VLOOKUP("PCS-OzTL47",ARBOR!$A:$C,3,0)-1,4)+0.0001,-TRUNC(CL53/VLOOKUP("PCS-OzTL47",ARBOR!$A:$C,3,0)-1,4)))))</f>
        <v/>
      </c>
      <c r="CN53" s="28" t="str">
        <f>IF(ISERROR(IF(CM53="","",VLOOKUP(($BC53&amp;CM53&amp;"Template desconto FLAT Plano Principal Oi TV nível conta"),BENEFICIOS!$A:$G,5,0))),"Criar",IF(CM53="","",VLOOKUP(($BC53&amp;CM53&amp;"Template desconto FLAT Plano Principal Oi TV nível conta"),BENEFICIOS!$A:$G,5,0)))</f>
        <v/>
      </c>
      <c r="CO53" s="8"/>
      <c r="CP53" s="3" t="str">
        <f>IF(CO53=0,"",IF(CO53=VLOOKUP("PCS-OzTL46",ARBOR!$A:$C,3,0),0.0001,IF(CO53&gt;VLOOKUP("PCS-OzTL46",ARBOR!$A:$C,3,0),"Maior que CAP!",IF((DOLLAR(CO53+(VLOOKUP("PCS-OzTL46",ARBOR!$A:$C,3,0)*-TRUNC(CO53/VLOOKUP("PCS-OzTL46",ARBOR!$A:$C,3,0)-1,4)),6))&lt;&gt;(DOLLAR(VLOOKUP("PCS-OzTL46",ARBOR!$A:$C,3,0),6)),-TRUNC(CO53/VLOOKUP("PCS-OzTL46",ARBOR!$A:$C,3,0)-1,4)+0.0001,-TRUNC(CO53/VLOOKUP("PCS-OzTL46",ARBOR!$A:$C,3,0)-1,4)))))</f>
        <v/>
      </c>
      <c r="CQ53" s="28" t="str">
        <f>IF(ISERROR(IF(CP53="","",VLOOKUP(($BC53&amp;CP53&amp;"Template desconto FLAT Plano Principal Oi TV nível conta"),BENEFICIOS!$A:$G,5,0))),"Criar",IF(CP53="","",VLOOKUP(($BC53&amp;CP53&amp;"Template desconto FLAT Plano Principal Oi TV nível conta"),BENEFICIOS!$A:$G,5,0)))</f>
        <v/>
      </c>
      <c r="CR53" s="8"/>
      <c r="CS53" s="3" t="str">
        <f>IF(CR53=0,"",IF(CR53=VLOOKUP("PCS-OzTL48",ARBOR!$A:$C,3,0),0.0001,IF(CR53&gt;VLOOKUP("PCS-OzTL48",ARBOR!$A:$C,3,0),"Maior que CAP!",IF((DOLLAR(CR53+(VLOOKUP("PCS-OzTL48",ARBOR!$A:$C,3,0)*-TRUNC(CR53/VLOOKUP("PCS-OzTL48",ARBOR!$A:$C,3,0)-1,4)),6))&lt;&gt;(DOLLAR(VLOOKUP("PCS-OzTL48",ARBOR!$A:$C,3,0),6)),-TRUNC(CR53/VLOOKUP("PCS-OzTL48",ARBOR!$A:$C,3,0)-1,4)+0.0001,-TRUNC(CR53/VLOOKUP("PCS-OzTL48",ARBOR!$A:$C,3,0)-1,4)))))</f>
        <v/>
      </c>
      <c r="CT53" s="28" t="str">
        <f>IF(ISERROR(IF(CS53="","",VLOOKUP(($BC53&amp;CS53&amp;"Template desconto FLAT Plano Principal Oi TV nível conta"),BENEFICIOS!$A:$G,5,0))),"Criar",IF(CS53="","",VLOOKUP(($BC53&amp;CS53&amp;"Template desconto FLAT Plano Principal Oi TV nível conta"),BENEFICIOS!$A:$G,5,0)))</f>
        <v/>
      </c>
      <c r="CU53" s="8"/>
      <c r="CV53" s="3" t="str">
        <f>IF(CU53=0,"",IF(CU53=VLOOKUP("PCS-OzTL742",ARBOR!$A:$C,3,0),0.0001,IF(CU53&gt;VLOOKUP("PCS-OzTL742",ARBOR!$A:$C,3,0),"Maior que CAP!",IF((DOLLAR(CU53+(VLOOKUP("PCS-OzTL742",ARBOR!$A:$C,3,0)*-TRUNC(CU53/VLOOKUP("PCS-OzTL742",ARBOR!$A:$C,3,0)-1,4)),6))&lt;&gt;(DOLLAR(VLOOKUP("PCS-OzTL742",ARBOR!$A:$C,3,0),6)),-TRUNC(CU53/VLOOKUP("PCS-OzTL742",ARBOR!$A:$C,3,0)-1,4)+0.0001,-TRUNC(CU53/VLOOKUP("PCS-OzTL742",ARBOR!$A:$C,3,0)-1,4)))))</f>
        <v/>
      </c>
      <c r="CW53" s="28" t="str">
        <f>IF(ISERROR(IF(CV53="","",VLOOKUP(($BC53&amp;CV53&amp;"Template desconto FLAT Plano Principal Oi TV nível conta"),BENEFICIOS!$A:$G,5,0))),"Criar",IF(CV53="","",VLOOKUP(($BC53&amp;CV53&amp;"Template desconto FLAT Plano Principal Oi TV nível conta"),BENEFICIOS!$A:$G,5,0)))</f>
        <v/>
      </c>
      <c r="CX53" s="8"/>
      <c r="CY53" s="3" t="str">
        <f>IF(CX53=0,"",IF(CX53=VLOOKUP("PCS-OzTL747",ARBOR!$A:$C,3,0),0.0001,IF(CX53&gt;VLOOKUP("PCS-OzTL747",ARBOR!$A:$C,3,0),"Maior que CAP!",IF((DOLLAR(CX53+(VLOOKUP("PCS-OzTL747",ARBOR!$A:$C,3,0)*-TRUNC(CX53/VLOOKUP("PCS-OzTL747",ARBOR!$A:$C,3,0)-1,4)),6))&lt;&gt;(DOLLAR(VLOOKUP("PCS-OzTL747",ARBOR!$A:$C,3,0),6)),-TRUNC(CX53/VLOOKUP("PCS-OzTL747",ARBOR!$A:$C,3,0)-1,4)+0.0001,-TRUNC(CX53/VLOOKUP("PCS-OzTL747",ARBOR!$A:$C,3,0)-1,4)))))</f>
        <v/>
      </c>
      <c r="CZ53" s="28" t="str">
        <f>IF(ISERROR(IF(CY53="","",VLOOKUP(($BC53&amp;CY53&amp;"Template desconto FLAT Plano Principal Oi TV nível conta"),BENEFICIOS!$A:$G,5,0))),"Criar",IF(CY53="","",VLOOKUP(($BC53&amp;CY53&amp;"Template desconto FLAT Plano Principal Oi TV nível conta"),BENEFICIOS!$A:$G,5,0)))</f>
        <v/>
      </c>
      <c r="DA53" s="8"/>
      <c r="DB53" s="3" t="str">
        <f>IF(DA53=0,"",IF(DA53=VLOOKUP("PCS-OzTL746",ARBOR!$A:$C,3,0),0.0001,IF(DA53&gt;VLOOKUP("PCS-OzTL746",ARBOR!$A:$C,3,0),"Maior que CAP!",IF((DOLLAR(DA53+(VLOOKUP("PCS-OzTL746",ARBOR!$A:$C,3,0)*-TRUNC(DA53/VLOOKUP("PCS-OzTL746",ARBOR!$A:$C,3,0)-1,4)),6))&lt;&gt;(DOLLAR(VLOOKUP("PCS-OzTL746",ARBOR!$A:$C,3,0),6)),-TRUNC(DA53/VLOOKUP("PCS-OzTL746",ARBOR!$A:$C,3,0)-1,4)+0.0001,-TRUNC(DA53/VLOOKUP("PCS-OzTL746",ARBOR!$A:$C,3,0)-1,4)))))</f>
        <v/>
      </c>
      <c r="DC53" s="28" t="str">
        <f>IF(ISERROR(IF(DB53="","",VLOOKUP(($BC53&amp;DB53&amp;"Template desconto FLAT Plano Principal Oi TV nível conta"),BENEFICIOS!$A:$G,5,0))),"Criar",IF(DB53="","",VLOOKUP(($BC53&amp;DB53&amp;"Template desconto FLAT Plano Principal Oi TV nível conta"),BENEFICIOS!$A:$G,5,0)))</f>
        <v/>
      </c>
      <c r="DD53" s="8"/>
      <c r="DE53" s="3" t="str">
        <f>IF(DD53=0,"",IF(DD53=VLOOKUP("PCS-OzTL748",ARBOR!$A:$C,3,0),0.0001,IF(DD53&gt;VLOOKUP("PCS-OzTL748",ARBOR!$A:$C,3,0),"Maior que CAP!",IF((DOLLAR(DD53+(VLOOKUP("PCS-OzTL748",ARBOR!$A:$C,3,0)*-TRUNC(DD53/VLOOKUP("PCS-OzTL748",ARBOR!$A:$C,3,0)-1,4)),6))&lt;&gt;(DOLLAR(VLOOKUP("PCS-OzTL748",ARBOR!$A:$C,3,0),6)),-TRUNC(DD53/VLOOKUP("PCS-OzTL748",ARBOR!$A:$C,3,0)-1,4)+0.0001,-TRUNC(DD53/VLOOKUP("PCS-OzTL748",ARBOR!$A:$C,3,0)-1,4)))))</f>
        <v/>
      </c>
      <c r="DF53" s="28" t="str">
        <f>IF(ISERROR(IF(DE53="","",VLOOKUP(($BC53&amp;DE53&amp;"Template desconto FLAT Plano Principal Oi TV nível conta"),BENEFICIOS!$A:$G,5,0))),"Criar",IF(DE53="","",VLOOKUP(($BC53&amp;DE53&amp;"Template desconto FLAT Plano Principal Oi TV nível conta"),BENEFICIOS!$A:$G,5,0)))</f>
        <v/>
      </c>
      <c r="DG53" s="8"/>
      <c r="DH53" s="3" t="str">
        <f>IF(DG53=0,"",IF(DG53=VLOOKUP("PCS-OzTL34",ARBOR!$A:$C,3,0),0.0001,IF(DG53&gt;VLOOKUP("PCS-OzTL34",ARBOR!$A:$C,3,0),"Maior que CAP!",IF((DOLLAR(DG53+(VLOOKUP("PCS-OzTL34",ARBOR!$A:$C,3,0)*-TRUNC(DG53/VLOOKUP("PCS-OzTL34",ARBOR!$A:$C,3,0)-1,4)),6))&lt;&gt;(DOLLAR(VLOOKUP("PCS-OzTL34",ARBOR!$A:$C,3,0),6)),-TRUNC(DG53/VLOOKUP("PCS-OzTL34",ARBOR!$A:$C,3,0)-1,4)+0.0001,-TRUNC(DG53/VLOOKUP("PCS-OzTL34",ARBOR!$A:$C,3,0)-1,4)))))</f>
        <v/>
      </c>
      <c r="DI53" s="28" t="str">
        <f>IF(DH53="S/Desc","S/Desc",IF(ISERROR(IF(DH53="","",VLOOKUP(($BC53&amp;DH53&amp;"Template desconto % Combate nível conta"),BENEFICIOS!$A:$G,5,0))),"Criar",IF(DH53="","",VLOOKUP(($BC53&amp;DH53&amp;"Template desconto % Combate nível conta"),BENEFICIOS!$A:$G,5,0))))</f>
        <v/>
      </c>
      <c r="DJ53" s="8"/>
      <c r="DK53" s="3" t="str">
        <f>IF(DJ53=0,"",IF(DJ53=VLOOKUP("PCS-OzTL31",ARBOR!$A:$C,3,0),0.0001,IF(DJ53&gt;VLOOKUP("PCS-OzTL31",ARBOR!$A:$C,3,0),"Maior que CAP!",IF((DOLLAR(DJ53+(VLOOKUP("PCS-OzTL31",ARBOR!$A:$C,3,0)*-TRUNC(DJ53/VLOOKUP("PCS-OzTL31",ARBOR!$A:$C,3,0)-1,4)),6))&lt;&gt;(DOLLAR(VLOOKUP("PCS-OzTL31",ARBOR!$A:$C,3,0),6)),-TRUNC(DJ53/VLOOKUP("PCS-OzTL31",ARBOR!$A:$C,3,0)-1,4)+0.0001,-TRUNC(DJ53/VLOOKUP("PCS-OzTL31",ARBOR!$A:$C,3,0)-1,4)))))</f>
        <v/>
      </c>
      <c r="DL53" s="28" t="str">
        <f>IF(DK53="S/Desc","S/Desc",IF(ISERROR(IF(DK53="","",VLOOKUP(($BC53&amp;DK53&amp;"Template desconto % Sexy Hot nível conta"),BENEFICIOS!$A:$G,5,0))),"Criar",IF(DK53="","",VLOOKUP(($BC53&amp;DK53&amp;"Template desconto % Sexy Hot nível conta"),BENEFICIOS!$A:$G,5,0))))</f>
        <v/>
      </c>
      <c r="DM53" s="8"/>
      <c r="DN53" s="3" t="str">
        <f>IF(DM53=0,"",IF(DM53=VLOOKUP("PCS-OzTL32",ARBOR!$A:$C,3,0),0.0001,IF(DM53&gt;VLOOKUP("PCS-OzTL32",ARBOR!$A:$C,3,0),"Maior que CAP!",IF((DOLLAR(DM53+(VLOOKUP("PCS-OzTL32",ARBOR!$A:$C,3,0)*-TRUNC(DM53/VLOOKUP("PCS-OzTL32",ARBOR!$A:$C,3,0)-1,4)),6))&lt;&gt;(DOLLAR(VLOOKUP("PCS-OzTL32",ARBOR!$A:$C,3,0),6)),-TRUNC(DM53/VLOOKUP("PCS-OzTL32",ARBOR!$A:$C,3,0)-1,4)+0.0001,-TRUNC(DM53/VLOOKUP("PCS-OzTL32",ARBOR!$A:$C,3,0)-1,4)))))</f>
        <v/>
      </c>
      <c r="DO53" s="28" t="str">
        <f>IF(DN53="S/Desc","S/Desc",IF(ISERROR(IF(DN53="","",VLOOKUP(($BC53&amp;DN53&amp;"Template desconto % Playboy nível conta"),BENEFICIOS!$A:$G,5,0))),"Criar",IF(DN53="","",VLOOKUP(($BC53&amp;DN53&amp;"Template desconto % Playboy nível conta"),BENEFICIOS!$A:$G,5,0))))</f>
        <v/>
      </c>
      <c r="DP53" s="8"/>
      <c r="DQ53" s="3" t="str">
        <f>IF(DP53=0,"",IF(DP53=VLOOKUP("PCS-OzTL33",ARBOR!$A:$C,3,0),0.0001,IF(DP53&gt;VLOOKUP("PCS-OzTL33",ARBOR!$A:$C,3,0),"Maior que CAP!",IF((DOLLAR(DP53+(VLOOKUP("PCS-OzTL33",ARBOR!$A:$C,3,0)*-TRUNC(DP53/VLOOKUP("PCS-OzTL33",ARBOR!$A:$C,3,0)-1,4)),6))&lt;&gt;(DOLLAR(VLOOKUP("PCS-OzTL33",ARBOR!$A:$C,3,0),6)),-TRUNC(DP53/VLOOKUP("PCS-OzTL33",ARBOR!$A:$C,3,0)-1,4)+0.0001,-TRUNC(DP53/VLOOKUP("PCS-OzTL33",ARBOR!$A:$C,3,0)-1,4)))))</f>
        <v/>
      </c>
      <c r="DR53" s="28" t="str">
        <f>IF(DQ53="S/Desc","S/Desc",IF(ISERROR(IF(DQ53="","",VLOOKUP(($BC53&amp;DQ53&amp;"Template desconto % Sexy Hot + Playboy nível conta"),BENEFICIOS!$A:$G,5,0))),"Criar",IF(DQ53="","",VLOOKUP(($BC53&amp;DQ53&amp;"Template desconto % Sexy Hot + Playboy nível conta"),BENEFICIOS!$A:$G,5,0))))</f>
        <v/>
      </c>
      <c r="DS53" s="8"/>
      <c r="DT53" s="3" t="str">
        <f>IF(DS53=0,"",IF(DS53=VLOOKUP("PCS-OzTL503",ARBOR!$A:$C,3,0),0.0001,IF(DS53&gt;VLOOKUP("PCS-OzTL503",ARBOR!$A:$C,3,0),"Maior que CAP!",IF((DOLLAR(DS53+(VLOOKUP("PCS-OzTL503",ARBOR!$A:$C,3,0)*-TRUNC(DS53/VLOOKUP("PCS-OzTL503",ARBOR!$A:$C,3,0)-1,4)),6))&lt;&gt;(DOLLAR(VLOOKUP("PCS-OzTL503",ARBOR!$A:$C,3,0),6)),-TRUNC(DS53/VLOOKUP("PCS-OzTL503",ARBOR!$A:$C,3,0)-1,4)+0.0001,-TRUNC(DS53/VLOOKUP("PCS-OzTL503",ARBOR!$A:$C,3,0)-1,4)))))</f>
        <v/>
      </c>
      <c r="DU53" s="28" t="str">
        <f>IF(DT53="S/Desc","S/Desc",IF(ISERROR(IF(DT53="","",VLOOKUP(($BC53&amp;DT53&amp;"Template desconto % SexPrivê nível conta"),BENEFICIOS!$A:$G,5,0))),"Criar",IF(DT53="","",VLOOKUP(($BC53&amp;DT53&amp;"Template desconto % SexPrivê nível conta"),BENEFICIOS!$A:$G,5,0))))</f>
        <v/>
      </c>
      <c r="DV53" s="8"/>
      <c r="DW53" s="3" t="str">
        <f>IF(DV53=0,"",IF(DV53=VLOOKUP("PCS-OzTL500",ARBOR!$A:$C,3,0),0.0001,IF(DV53&gt;VLOOKUP("PCS-OzTL500",ARBOR!$A:$C,3,0),"Maior que CAP!",IF((DOLLAR(DV53+(VLOOKUP("PCS-OzTL500",ARBOR!$A:$C,3,0)*-TRUNC(DV53/VLOOKUP("PCS-OzTL500",ARBOR!$A:$C,3,0)-1,4)),6))&lt;&gt;(DOLLAR(VLOOKUP("PCS-OzTL500",ARBOR!$A:$C,3,0),6)),-TRUNC(DV53/VLOOKUP("PCS-OzTL500",ARBOR!$A:$C,3,0)-1,4)+0.0001,-TRUNC(DV53/VLOOKUP("PCS-OzTL500",ARBOR!$A:$C,3,0)-1,4)))))</f>
        <v/>
      </c>
      <c r="DX53" s="28" t="str">
        <f>IF(DW53="S/Desc","S/Desc",IF(ISERROR(IF(DW53="","",VLOOKUP(($BC53&amp;DW53&amp;"Template desconto % Étnico nível conta"),BENEFICIOS!$A:$G,5,0))),"Criar",IF(DW53="","",VLOOKUP(($BC53&amp;DW53&amp;"Template desconto % Étnico nível conta"),BENEFICIOS!$A:$G,5,0))))</f>
        <v/>
      </c>
      <c r="DY53" s="8"/>
      <c r="DZ53" s="181" t="str">
        <f>IF(DY53=0,"",IF(DY53=VLOOKUP("PCS-OzTL50",ARBOR!$A:$C,3,0),0.0001,IF(DY53&gt;VLOOKUP("PCS-OzTL50",ARBOR!$A:$C,3,0),"Maior que CAP!",IF((DOLLAR(DY53+(VLOOKUP("PCS-OzTL50",ARBOR!$A:$C,3,0)*-TRUNC(DY53/VLOOKUP("PCS-OzTL50",ARBOR!$A:$C,3,0)-1,4)),6))&lt;&gt;(DOLLAR(VLOOKUP("PCS-OzTL50",ARBOR!$A:$C,3,0),6)),-TRUNC(DY53/VLOOKUP("PCS-OzTL50",ARBOR!$A:$C,3,0)-1,4)+0.0001,-TRUNC(DY53/VLOOKUP("PCS-OzTL50",ARBOR!$A:$C,3,0)-1,4)))))</f>
        <v/>
      </c>
      <c r="EA53" s="28"/>
      <c r="EB53" s="8"/>
      <c r="EC53" s="181" t="str">
        <f>IF(EB53=0,"",IF(EB53=VLOOKUP("PCS-OzTL51",ARBOR!$A:$C,3,0),0.0001,IF(EB53&gt;VLOOKUP("PCS-OzTL51",ARBOR!$A:$C,3,0),"Maior que CAP!",IF((DOLLAR(EB53+(VLOOKUP("PCS-OzTL51",ARBOR!$A:$C,3,0)*-TRUNC(EB53/VLOOKUP("PCS-OzTL51",ARBOR!$A:$C,3,0)-1,4)),6))&lt;&gt;(DOLLAR(VLOOKUP("PCS-OzTL51",ARBOR!$A:$C,3,0),6)),-TRUNC(EB53/VLOOKUP("PCS-OzTL51",ARBOR!$A:$C,3,0)-1,4)+0.0001,-TRUNC(EB53/VLOOKUP("PCS-OzTL51",ARBOR!$A:$C,3,0)-1,4)))))</f>
        <v/>
      </c>
      <c r="ED53" s="28"/>
      <c r="EE53" s="8"/>
      <c r="EF53" s="181" t="str">
        <f>IF(EE53=0,"",IF(EE53=VLOOKUP("PCS-OzTL52",ARBOR!$A:$C,3,0),0.0001,IF(EE53&gt;VLOOKUP("PCS-OzTL52",ARBOR!$A:$C,3,0),"Maior que CAP!",IF((DOLLAR(EE53+(VLOOKUP("PCS-OzTL52",ARBOR!$A:$C,3,0)*-TRUNC(EE53/VLOOKUP("PCS-OzTL52",ARBOR!$A:$C,3,0)-1,4)),6))&lt;&gt;(DOLLAR(VLOOKUP("PCS-OzTL52",ARBOR!$A:$C,3,0),6)),-TRUNC(EE53/VLOOKUP("PCS-OzTL52",ARBOR!$A:$C,3,0)-1,4)+0.0001,-TRUNC(EE53/VLOOKUP("PCS-OzTL52",ARBOR!$A:$C,3,0)-1,4)))))</f>
        <v/>
      </c>
      <c r="EG53" s="28"/>
      <c r="EH53" s="8"/>
      <c r="EI53" s="181" t="str">
        <f>IF(EH53=0,"",IF(EH53=VLOOKUP("PCS-OzTL53",ARBOR!$A:$C,3,0),0.0001,IF(EH53&gt;VLOOKUP("PCS-OzTL53",ARBOR!$A:$C,3,0),"Maior que CAP!",IF((DOLLAR(EH53+(VLOOKUP("PCS-OzTL53",ARBOR!$A:$C,3,0)*-TRUNC(EH53/VLOOKUP("PCS-OzTL53",ARBOR!$A:$C,3,0)-1,4)),6))&lt;&gt;(DOLLAR(VLOOKUP("PCS-OzTL53",ARBOR!$A:$C,3,0),6)),-TRUNC(EH53/VLOOKUP("PCS-OzTL53",ARBOR!$A:$C,3,0)-1,4)+0.0001,-TRUNC(EH53/VLOOKUP("PCS-OzTL53",ARBOR!$A:$C,3,0)-1,4)))))</f>
        <v/>
      </c>
      <c r="EJ53" s="28"/>
      <c r="EK53" s="8"/>
      <c r="EL53" s="181" t="str">
        <f>IF(EK53=0,"",IF(EK53=VLOOKUP("PCS-OzTL54",ARBOR!$A:$C,3,0),0.0001,IF(EK53&gt;VLOOKUP("PCS-OzTL54",ARBOR!$A:$C,3,0),"Maior que CAP!",IF((DOLLAR(EK53+(VLOOKUP("PCS-OzTL54",ARBOR!$A:$C,3,0)*-TRUNC(EK53/VLOOKUP("PCS-OzTL54",ARBOR!$A:$C,3,0)-1,4)),6))&lt;&gt;(DOLLAR(VLOOKUP("PCS-OzTL54",ARBOR!$A:$C,3,0),6)),-TRUNC(EK53/VLOOKUP("PCS-OzTL54",ARBOR!$A:$C,3,0)-1,4)+0.0001,-TRUNC(EK53/VLOOKUP("PCS-OzTL54",ARBOR!$A:$C,3,0)-1,4)))))</f>
        <v/>
      </c>
      <c r="EM53" s="28"/>
      <c r="EN53" s="8"/>
      <c r="EO53" s="3" t="str">
        <f>IF(EN53=0,"",IF(EN53=VLOOKUP("PCS-OzTL99",ARBOR!$A:$C,3,0),0.0001,IF(EN53&gt;VLOOKUP("PCS-OzTL99",ARBOR!$A:$C,3,0),"Maior que CAP!",IF((DOLLAR(EN53+(VLOOKUP("PCS-OzTL99",ARBOR!$A:$C,3,0)*-TRUNC(EN53/VLOOKUP("PCS-OzTL99",ARBOR!$A:$C,3,0)-1,4)),6))&lt;&gt;(DOLLAR(VLOOKUP("PCS-OzTL99",ARBOR!$A:$C,3,0),6)),-TRUNC(EN53/VLOOKUP("PCS-OzTL99",ARBOR!$A:$C,3,0)-1,4)+0.0001,-TRUNC(EN53/VLOOKUP("PCS-OzTL99",ARBOR!$A:$C,3,0)-1,4)))))</f>
        <v/>
      </c>
      <c r="EP53" s="28" t="str">
        <f>IF(EO53="S/Desc","S/Desc",IF(ISERROR(IF(EO53="","",VLOOKUP(($BC53&amp;EO53&amp;"Template desconto % Ponto adicional nível conta"),BENEFICIOS!$A:$G,5,0))),"Criar",IF(EO53="","",VLOOKUP(($BC53&amp;EO53&amp;"Template desconto % Ponto adicional nível conta"),BENEFICIOS!$A:$G,5,0))))</f>
        <v/>
      </c>
      <c r="EQ53" s="8"/>
      <c r="ER53" s="28" t="str">
        <f t="shared" si="23"/>
        <v/>
      </c>
      <c r="ES53" s="62"/>
      <c r="ET53" s="126"/>
      <c r="EU53" s="127"/>
      <c r="EV53" s="126"/>
      <c r="EW53" s="128" t="str">
        <f t="shared" si="24"/>
        <v/>
      </c>
      <c r="EX53" s="129" t="str">
        <f t="shared" si="25"/>
        <v/>
      </c>
      <c r="EY53" s="91" t="str">
        <f t="shared" si="26"/>
        <v/>
      </c>
      <c r="EZ53" s="85"/>
      <c r="FA53" s="97"/>
      <c r="FB53" s="91"/>
      <c r="FC53" s="85"/>
      <c r="FD53" s="97"/>
      <c r="FE53" s="91"/>
      <c r="FF53" s="87"/>
      <c r="FG53" s="144" t="str">
        <f t="shared" si="5"/>
        <v/>
      </c>
      <c r="FH53" s="144" t="str">
        <f t="shared" si="6"/>
        <v/>
      </c>
      <c r="FI53" s="144" t="str">
        <f t="shared" si="7"/>
        <v/>
      </c>
      <c r="FJ53" s="144" t="str">
        <f t="shared" si="8"/>
        <v/>
      </c>
      <c r="FK53" s="144" t="str">
        <f t="shared" si="9"/>
        <v/>
      </c>
      <c r="FL53" s="144" t="str">
        <f t="shared" si="10"/>
        <v/>
      </c>
      <c r="FM53" s="144" t="str">
        <f t="shared" si="11"/>
        <v/>
      </c>
      <c r="FN53" s="144" t="str">
        <f t="shared" si="12"/>
        <v/>
      </c>
      <c r="FO53" s="144" t="str">
        <f t="shared" si="13"/>
        <v/>
      </c>
      <c r="FP53" s="144" t="str">
        <f t="shared" si="14"/>
        <v/>
      </c>
      <c r="FQ53" s="144" t="str">
        <f t="shared" si="15"/>
        <v/>
      </c>
      <c r="FR53" s="144" t="str">
        <f t="shared" si="16"/>
        <v/>
      </c>
      <c r="FS53" s="144" t="str">
        <f t="shared" si="17"/>
        <v/>
      </c>
      <c r="FT53" s="144" t="str">
        <f t="shared" si="18"/>
        <v/>
      </c>
      <c r="FU53" s="144" t="str">
        <f t="shared" si="19"/>
        <v/>
      </c>
      <c r="FV53" s="144" t="str">
        <f t="shared" si="20"/>
        <v/>
      </c>
      <c r="FW53" s="144" t="str">
        <f t="shared" si="21"/>
        <v/>
      </c>
      <c r="FX53" s="151"/>
      <c r="FY53" s="152"/>
      <c r="FZ53" s="152"/>
      <c r="GA53" s="152"/>
      <c r="GB53" s="152"/>
      <c r="GC53" s="152"/>
      <c r="GD53" s="152"/>
      <c r="GE53" s="152"/>
      <c r="GF53" s="152"/>
      <c r="GG53" s="153"/>
    </row>
    <row r="54" spans="1:189">
      <c r="A54" s="45"/>
      <c r="B54" s="133"/>
      <c r="C54" s="133"/>
      <c r="D54" s="46"/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9"/>
      <c r="U54" s="48"/>
      <c r="V54" s="49"/>
      <c r="W54" s="48"/>
      <c r="X54" s="48"/>
      <c r="Y54" s="48"/>
      <c r="Z54" s="48"/>
      <c r="AA54" s="49"/>
      <c r="AB54" s="48"/>
      <c r="AC54" s="50"/>
      <c r="AD54" s="48"/>
      <c r="AE54" s="48"/>
      <c r="AF54" s="48"/>
      <c r="AG54" s="48"/>
      <c r="AH54" s="48"/>
      <c r="AI54" s="48"/>
      <c r="AJ54" s="48"/>
      <c r="AK54" s="48"/>
      <c r="AL54" s="51"/>
      <c r="AM54" s="37"/>
      <c r="AN54" s="38"/>
      <c r="AO54" s="39"/>
      <c r="AP54" s="52"/>
      <c r="AQ54" s="53"/>
      <c r="AR54" s="64"/>
      <c r="AS54" s="65"/>
      <c r="AT54" s="54"/>
      <c r="AU54" s="54"/>
      <c r="AV54" s="54"/>
      <c r="AW54" s="54"/>
      <c r="AX54" s="70"/>
      <c r="AY54" s="71"/>
      <c r="AZ54" s="72"/>
      <c r="BA54" s="73"/>
      <c r="BB54" s="55"/>
      <c r="BC54" s="56"/>
      <c r="BD54" s="27" t="str">
        <f t="shared" si="22"/>
        <v/>
      </c>
      <c r="BE54" s="58"/>
      <c r="BF54" s="3" t="str">
        <f>IF(BE54=0,"",IF(BE54=VLOOKUP("FIXO",ARBOR!$A:$C,3,0),0.0001,IF(BE54&gt;VLOOKUP("FIXO",ARBOR!$A:$C,3,0),"Maior que CAP!",IF((DOLLAR(BE54+(VLOOKUP("FIXO",ARBOR!$A:$C,3,0)*-TRUNC(BE54/VLOOKUP("FIXO",ARBOR!$A:$C,3,0)-1,4)),6))&lt;&gt;(DOLLAR(VLOOKUP("FIXO",ARBOR!$A:$C,3,0),6)),-TRUNC(BE54/VLOOKUP("FIXO",ARBOR!$A:$C,3,0)-1,4)+0.0001,-TRUNC(BE54/VLOOKUP("FIXO",ARBOR!$A:$C,3,0)-1,4)))))</f>
        <v/>
      </c>
      <c r="BG54" s="10" t="str">
        <f>IF(ISERROR(IF(BF54="","",VLOOKUP(($BC54&amp;BF54&amp;"Template de desconto FLAT bundle - Fixo - Varejo - Ganho Tributário Cross"),BENEFICIOS!$A:$G,5,0))),"Criar",IF(BF54="","",VLOOKUP(($BC54&amp;BF54&amp;"Template de desconto FLAT bundle - Fixo - Varejo - Ganho Tributário Cross"),BENEFICIOS!$A:$G,5,0)))</f>
        <v/>
      </c>
      <c r="BH54" s="8"/>
      <c r="BI54" s="3" t="str">
        <f>IF(BH54=0,"",IF(BH54=VLOOKUP("PCS-OzTL40",ARBOR!$A:$C,3,0),0.0001,IF(BH54&gt;VLOOKUP("PCS-OzTL40",ARBOR!$A:$C,3,0),"Maior que CAP!",IF((DOLLAR(BH54+(VLOOKUP("PCS-OzTL40",ARBOR!$A:$C,3,0)*-TRUNC(BH54/VLOOKUP("PCS-OzTL40",ARBOR!$A:$C,3,0)-1,4)),6))&lt;&gt;(DOLLAR(VLOOKUP("PCS-OzTL40",ARBOR!$A:$C,3,0),6)),-TRUNC(BH54/VLOOKUP("PCS-OzTL40",ARBOR!$A:$C,3,0)-1,4)+0.0001,-TRUNC(BH54/VLOOKUP("PCS-OzTL40",ARBOR!$A:$C,3,0)-1,4)))))</f>
        <v/>
      </c>
      <c r="BJ54" s="10" t="str">
        <f>IF(ISERROR(IF(BI54="","",VLOOKUP((BC54&amp;BI54&amp;"Template desconto FLAT Plano Principal Oi TV nível conta"),BENEFICIOS!$A:$G,5,0))),"Criar",IF(BI54="","",VLOOKUP((BC54&amp;BI54&amp;"Template desconto FLAT Plano Principal Oi TV nível conta"),BENEFICIOS!$A:$G,5,0)))</f>
        <v/>
      </c>
      <c r="BK54" s="8"/>
      <c r="BL54" s="3" t="str">
        <f>IF(BK54=0,"",IF(BK54=VLOOKUP("PCS-OzTL41",ARBOR!$A:$C,3,0),0.0001,IF(BK54&gt;VLOOKUP("PCS-OzTL41",ARBOR!$A:$C,3,0),"Maior que CAP!",IF((DOLLAR(BK54+(VLOOKUP("PCS-OzTL41",ARBOR!$A:$C,3,0)*-TRUNC(BK54/VLOOKUP("PCS-OzTL41",ARBOR!$A:$C,3,0)-1,4)),6))&lt;&gt;(DOLLAR(VLOOKUP("PCS-OzTL41",ARBOR!$A:$C,3,0),6)),-TRUNC(BK54/VLOOKUP("PCS-OzTL41",ARBOR!$A:$C,3,0)-1,4)+0.0001,-TRUNC(BK54/VLOOKUP("PCS-OzTL41",ARBOR!$A:$C,3,0)-1,4)))))</f>
        <v/>
      </c>
      <c r="BM54" s="28" t="str">
        <f>IF(ISERROR(IF(BL54="","",VLOOKUP((BC54&amp;BL54&amp;"Template desconto FLAT Plano Principal Oi TV nível conta"),BENEFICIOS!$A:$G,5,0))),"Criar",IF(BL54="","",VLOOKUP((BC54&amp;BL54&amp;"Template desconto FLAT Plano Principal Oi TV nível conta"),BENEFICIOS!$A:$G,5,0)))</f>
        <v/>
      </c>
      <c r="BN54" s="8"/>
      <c r="BO54" s="3" t="str">
        <f>IF(BN54=0,"",IF(BN54=VLOOKUP("PCS-OzTL44",ARBOR!$A:$C,3,0),0.0001,IF(BN54&gt;VLOOKUP("PCS-OzTL44",ARBOR!$A:$C,3,0),"Maior que CAP!",IF((DOLLAR(BN54+(VLOOKUP("PCS-OzTL44",ARBOR!$A:$C,3,0)*-TRUNC(BN54/VLOOKUP("PCS-OzTL44",ARBOR!$A:$C,3,0)-1,4)),6))&lt;&gt;(DOLLAR(VLOOKUP("PCS-OzTL44",ARBOR!$A:$C,3,0),6)),-TRUNC(BN54/VLOOKUP("PCS-OzTL44",ARBOR!$A:$C,3,0)-1,4)+0.0001,-TRUNC(BN54/VLOOKUP("PCS-OzTL44",ARBOR!$A:$C,3,0)-1,4)))))</f>
        <v/>
      </c>
      <c r="BP54" s="28" t="str">
        <f>IF(ISERROR(IF(BO54="","",VLOOKUP((BC54&amp;BO54&amp;"Template desconto FLAT Plano Principal Oi TV nível conta"),BENEFICIOS!$A:$G,5,0))),"Criar",IF(BO54="","",VLOOKUP((BC54&amp;BO54&amp;"Template desconto FLAT Plano Principal Oi TV nível conta"),BENEFICIOS!$A:$G,5,0)))</f>
        <v/>
      </c>
      <c r="BQ54" s="8"/>
      <c r="BR54" s="3" t="str">
        <f>IF(BQ54=0,"",IF(BQ54=VLOOKUP("PCS-OzTL43",ARBOR!$A:$C,3,0),0.0001,IF(BQ54&gt;VLOOKUP("PCS-OzTL43",ARBOR!$A:$C,3,0),"Maior que CAP!",IF((DOLLAR(BQ54+(VLOOKUP("PCS-OzTL43",ARBOR!$A:$C,3,0)*-TRUNC(BQ54/VLOOKUP("PCS-OzTL43",ARBOR!$A:$C,3,0)-1,4)),6))&lt;&gt;(DOLLAR(VLOOKUP("PCS-OzTL43",ARBOR!$A:$C,3,0),6)),-TRUNC(BQ54/VLOOKUP("PCS-OzTL43",ARBOR!$A:$C,3,0)-1,4)+0.0001,-TRUNC(BQ54/VLOOKUP("PCS-OzTL43",ARBOR!$A:$C,3,0)-1,4)))))</f>
        <v/>
      </c>
      <c r="BS54" s="28" t="str">
        <f>IF(ISERROR(IF(BR54="","",VLOOKUP((BC54&amp;BR54&amp;"Template desconto FLAT Plano Principal Oi TV nível conta"),BENEFICIOS!$A:$G,5,0))),"Criar",IF(BR54="","",VLOOKUP((BC54&amp;BR54&amp;"Template desconto FLAT Plano Principal Oi TV nível conta"),BENEFICIOS!$A:$G,5,0)))</f>
        <v/>
      </c>
      <c r="BT54" s="8"/>
      <c r="BU54" s="3" t="str">
        <f>IF(BT54=0,"",IF(BT54=VLOOKUP("PCS-OzTL45",ARBOR!$A:$C,3,0),0.0001,IF(BT54&gt;VLOOKUP("PCS-OzTL45",ARBOR!$A:$C,3,0),"Maior que CAP!",IF((DOLLAR(BT54+(VLOOKUP("PCS-OzTL45",ARBOR!$A:$C,3,0)*-TRUNC(BT54/VLOOKUP("PCS-OzTL45",ARBOR!$A:$C,3,0)-1,4)),6))&lt;&gt;(DOLLAR(VLOOKUP("PCS-OzTL45",ARBOR!$A:$C,3,0),6)),-TRUNC(BT54/VLOOKUP("PCS-OzTL45",ARBOR!$A:$C,3,0)-1,4)+0.0001,-TRUNC(BT54/VLOOKUP("PCS-OzTL45",ARBOR!$A:$C,3,0)-1,4)))))</f>
        <v/>
      </c>
      <c r="BV54" s="28" t="str">
        <f>IF(ISERROR(IF(BU54="","",VLOOKUP((BC54&amp;BU54&amp;"Template desconto FLAT Plano Principal Oi TV nível conta"),BENEFICIOS!$A:$G,5,0))),"Criar",IF(BU54="","",VLOOKUP((BC54&amp;BU54&amp;"Template desconto FLAT Plano Principal Oi TV nível conta"),BENEFICIOS!$A:$G,5,0)))</f>
        <v/>
      </c>
      <c r="BW54" s="8"/>
      <c r="BX54" s="3" t="str">
        <f>IF(BW54=0,"",IF(BW54=VLOOKUP("PCS-OzTL741",ARBOR!$A:$C,3,0),0.0001,IF(BW54&gt;VLOOKUP("PCS-OzTL741",ARBOR!$A:$C,3,0),"Maior que CAP!",IF((DOLLAR(BW54+(VLOOKUP("PCS-OzTL741",ARBOR!$A:$C,3,0)*-TRUNC(BW54/VLOOKUP("PCS-OzTL741",ARBOR!$A:$C,3,0)-1,4)),6))&lt;&gt;(DOLLAR(VLOOKUP("PCS-OzTL741",ARBOR!$A:$C,3,0),6)),-TRUNC(BW54/VLOOKUP("PCS-OzTL741",ARBOR!$A:$C,3,0)-1,4)+0.0001,-TRUNC(BW54/VLOOKUP("PCS-OzTL741",ARBOR!$A:$C,3,0)-1,4)))))</f>
        <v/>
      </c>
      <c r="BY54" s="28" t="str">
        <f>IF(ISERROR(IF(BX54="","",VLOOKUP((BC54&amp;BX54&amp;"Template desconto FLAT Plano Principal Oi TV nível conta"),BENEFICIOS!$A:$G,5,0))),"Criar",IF(BX54="","",VLOOKUP((BC54&amp;BX54&amp;"Template desconto FLAT Plano Principal Oi TV nível conta"),BENEFICIOS!$A:$G,5,0)))</f>
        <v/>
      </c>
      <c r="BZ54" s="8"/>
      <c r="CA54" s="3" t="str">
        <f>IF(BZ54=0,"",IF(BZ54=VLOOKUP("PCS-OzTL744",ARBOR!$A:$C,3,0),0.0001,IF(BZ54&gt;VLOOKUP("PCS-OzTL744",ARBOR!$A:$C,3,0),"Maior que CAP!",IF((DOLLAR(BZ54+(VLOOKUP("PCS-OzTL744",ARBOR!$A:$C,3,0)*-TRUNC(BZ54/VLOOKUP("PCS-OzTL744",ARBOR!$A:$C,3,0)-1,4)),6))&lt;&gt;(DOLLAR(VLOOKUP("PCS-OzTL744",ARBOR!$A:$C,3,0),6)),-TRUNC(BZ54/VLOOKUP("PCS-OzTL744",ARBOR!$A:$C,3,0)-1,4)+0.0001,-TRUNC(BZ54/VLOOKUP("PCS-OzTL744",ARBOR!$A:$C,3,0)-1,4)))))</f>
        <v/>
      </c>
      <c r="CB54" s="28" t="str">
        <f>IF(ISERROR(IF(CA54="","",VLOOKUP(($BC54&amp;CA54&amp;"Template desconto FLAT Plano Principal Oi TV nível conta"),BENEFICIOS!$A:$G,5,0))),"Criar",IF(CA54="","",VLOOKUP(($BC54&amp;CA54&amp;"Template desconto FLAT Plano Principal Oi TV nível conta"),BENEFICIOS!$A:$G,5,0)))</f>
        <v/>
      </c>
      <c r="CC54" s="8"/>
      <c r="CD54" s="3" t="str">
        <f>IF(CC54=0,"",IF(CC54=VLOOKUP("PCS-OzTL743",ARBOR!$A:$C,3,0),0.0001,IF(CC54&gt;VLOOKUP("PCS-OzTL743",ARBOR!$A:$C,3,0),"Maior que CAP!",IF((DOLLAR(CC54+(VLOOKUP("PCS-OzTL743",ARBOR!$A:$C,3,0)*-TRUNC(CC54/VLOOKUP("PCS-OzTL743",ARBOR!$A:$C,3,0)-1,4)),6))&lt;&gt;(DOLLAR(VLOOKUP("PCS-OzTL743",ARBOR!$A:$C,3,0),6)),-TRUNC(CC54/VLOOKUP("PCS-OzTL743",ARBOR!$A:$C,3,0)-1,4)+0.0001,-TRUNC(CC54/VLOOKUP("PCS-OzTL743",ARBOR!$A:$C,3,0)-1,4)))))</f>
        <v/>
      </c>
      <c r="CE54" s="28" t="str">
        <f>IF(ISERROR(IF(CD54="","",VLOOKUP(($BC54&amp;CD54&amp;"Template desconto FLAT Plano Principal Oi TV nível conta"),BENEFICIOS!$A:$G,5,0))),"Criar",IF(CD54="","",VLOOKUP(($BC54&amp;CD54&amp;"Template desconto FLAT Plano Principal Oi TV nível conta"),BENEFICIOS!$A:$G,5,0)))</f>
        <v/>
      </c>
      <c r="CF54" s="8"/>
      <c r="CG54" s="3" t="str">
        <f>IF(CF54=0,"",IF(CF54=VLOOKUP("PCS-OzTL745",ARBOR!$A:$C,3,0),0.0001,IF(CF54&gt;VLOOKUP("PCS-OzTL745",ARBOR!$A:$C,3,0),"Maior que CAP!",IF((DOLLAR(CF54+(VLOOKUP("PCS-OzTL745",ARBOR!$A:$C,3,0)*-TRUNC(CF54/VLOOKUP("PCS-OzTL745",ARBOR!$A:$C,3,0)-1,4)),6))&lt;&gt;(DOLLAR(VLOOKUP("PCS-OzTL745",ARBOR!$A:$C,3,0),6)),-TRUNC(CF54/VLOOKUP("PCS-OzTL745",ARBOR!$A:$C,3,0)-1,4)+0.0001,-TRUNC(CF54/VLOOKUP("PCS-OzTL745",ARBOR!$A:$C,3,0)-1,4)))))</f>
        <v/>
      </c>
      <c r="CH54" s="28" t="str">
        <f>IF(ISERROR(IF(CG54="","",VLOOKUP(($BC54&amp;CG54&amp;"Template desconto FLAT Plano Principal Oi TV nível conta"),BENEFICIOS!$A:$G,5,0))),"Criar",IF(CG54="","",VLOOKUP(($BC54&amp;CG54&amp;"Template desconto FLAT Plano Principal Oi TV nível conta"),BENEFICIOS!$A:$G,5,0)))</f>
        <v/>
      </c>
      <c r="CI54" s="8"/>
      <c r="CJ54" s="3" t="str">
        <f>IF(CI54=0,"",IF(CI54=VLOOKUP("PCS-OzTL42",ARBOR!$A:$C,3,0),0.0001,IF(CI54&gt;VLOOKUP("PCS-OzTL42",ARBOR!$A:$C,3,0),"Maior que CAP!",IF((DOLLAR(CI54+(VLOOKUP("PCS-OzTL42",ARBOR!$A:$C,3,0)*-TRUNC(CI54/VLOOKUP("PCS-OzTL42",ARBOR!$A:$C,3,0)-1,4)),6))&lt;&gt;(DOLLAR(VLOOKUP("PCS-OzTL42",ARBOR!$A:$C,3,0),6)),-TRUNC(CI54/VLOOKUP("PCS-OzTL42",ARBOR!$A:$C,3,0)-1,4)+0.0001,-TRUNC(CI54/VLOOKUP("PCS-OzTL42",ARBOR!$A:$C,3,0)-1,4)))))</f>
        <v/>
      </c>
      <c r="CK54" s="28" t="str">
        <f>IF(ISERROR(IF(CJ54="","",VLOOKUP(($BC54&amp;CJ54&amp;"Template desconto FLAT Plano Principal Oi TV nível conta"),BENEFICIOS!$A:$G,5,0))),"Criar",IF(CJ54="","",VLOOKUP(($BC54&amp;CJ54&amp;"Template desconto FLAT Plano Principal Oi TV nível conta"),BENEFICIOS!$A:$G,5,0)))</f>
        <v/>
      </c>
      <c r="CL54" s="8"/>
      <c r="CM54" s="3" t="str">
        <f>IF(CL54=0,"",IF(CL54=VLOOKUP("PCS-OzTL47",ARBOR!$A:$C,3,0),0.0001,IF(CL54&gt;VLOOKUP("PCS-OzTL47",ARBOR!$A:$C,3,0),"Maior que CAP!",IF((DOLLAR(CL54+(VLOOKUP("PCS-OzTL47",ARBOR!$A:$C,3,0)*-TRUNC(CL54/VLOOKUP("PCS-OzTL47",ARBOR!$A:$C,3,0)-1,4)),6))&lt;&gt;(DOLLAR(VLOOKUP("PCS-OzTL47",ARBOR!$A:$C,3,0),6)),-TRUNC(CL54/VLOOKUP("PCS-OzTL47",ARBOR!$A:$C,3,0)-1,4)+0.0001,-TRUNC(CL54/VLOOKUP("PCS-OzTL47",ARBOR!$A:$C,3,0)-1,4)))))</f>
        <v/>
      </c>
      <c r="CN54" s="28" t="str">
        <f>IF(ISERROR(IF(CM54="","",VLOOKUP(($BC54&amp;CM54&amp;"Template desconto FLAT Plano Principal Oi TV nível conta"),BENEFICIOS!$A:$G,5,0))),"Criar",IF(CM54="","",VLOOKUP(($BC54&amp;CM54&amp;"Template desconto FLAT Plano Principal Oi TV nível conta"),BENEFICIOS!$A:$G,5,0)))</f>
        <v/>
      </c>
      <c r="CO54" s="8"/>
      <c r="CP54" s="3" t="str">
        <f>IF(CO54=0,"",IF(CO54=VLOOKUP("PCS-OzTL46",ARBOR!$A:$C,3,0),0.0001,IF(CO54&gt;VLOOKUP("PCS-OzTL46",ARBOR!$A:$C,3,0),"Maior que CAP!",IF((DOLLAR(CO54+(VLOOKUP("PCS-OzTL46",ARBOR!$A:$C,3,0)*-TRUNC(CO54/VLOOKUP("PCS-OzTL46",ARBOR!$A:$C,3,0)-1,4)),6))&lt;&gt;(DOLLAR(VLOOKUP("PCS-OzTL46",ARBOR!$A:$C,3,0),6)),-TRUNC(CO54/VLOOKUP("PCS-OzTL46",ARBOR!$A:$C,3,0)-1,4)+0.0001,-TRUNC(CO54/VLOOKUP("PCS-OzTL46",ARBOR!$A:$C,3,0)-1,4)))))</f>
        <v/>
      </c>
      <c r="CQ54" s="28" t="str">
        <f>IF(ISERROR(IF(CP54="","",VLOOKUP(($BC54&amp;CP54&amp;"Template desconto FLAT Plano Principal Oi TV nível conta"),BENEFICIOS!$A:$G,5,0))),"Criar",IF(CP54="","",VLOOKUP(($BC54&amp;CP54&amp;"Template desconto FLAT Plano Principal Oi TV nível conta"),BENEFICIOS!$A:$G,5,0)))</f>
        <v/>
      </c>
      <c r="CR54" s="8"/>
      <c r="CS54" s="3" t="str">
        <f>IF(CR54=0,"",IF(CR54=VLOOKUP("PCS-OzTL48",ARBOR!$A:$C,3,0),0.0001,IF(CR54&gt;VLOOKUP("PCS-OzTL48",ARBOR!$A:$C,3,0),"Maior que CAP!",IF((DOLLAR(CR54+(VLOOKUP("PCS-OzTL48",ARBOR!$A:$C,3,0)*-TRUNC(CR54/VLOOKUP("PCS-OzTL48",ARBOR!$A:$C,3,0)-1,4)),6))&lt;&gt;(DOLLAR(VLOOKUP("PCS-OzTL48",ARBOR!$A:$C,3,0),6)),-TRUNC(CR54/VLOOKUP("PCS-OzTL48",ARBOR!$A:$C,3,0)-1,4)+0.0001,-TRUNC(CR54/VLOOKUP("PCS-OzTL48",ARBOR!$A:$C,3,0)-1,4)))))</f>
        <v/>
      </c>
      <c r="CT54" s="28" t="str">
        <f>IF(ISERROR(IF(CS54="","",VLOOKUP(($BC54&amp;CS54&amp;"Template desconto FLAT Plano Principal Oi TV nível conta"),BENEFICIOS!$A:$G,5,0))),"Criar",IF(CS54="","",VLOOKUP(($BC54&amp;CS54&amp;"Template desconto FLAT Plano Principal Oi TV nível conta"),BENEFICIOS!$A:$G,5,0)))</f>
        <v/>
      </c>
      <c r="CU54" s="8"/>
      <c r="CV54" s="3" t="str">
        <f>IF(CU54=0,"",IF(CU54=VLOOKUP("PCS-OzTL742",ARBOR!$A:$C,3,0),0.0001,IF(CU54&gt;VLOOKUP("PCS-OzTL742",ARBOR!$A:$C,3,0),"Maior que CAP!",IF((DOLLAR(CU54+(VLOOKUP("PCS-OzTL742",ARBOR!$A:$C,3,0)*-TRUNC(CU54/VLOOKUP("PCS-OzTL742",ARBOR!$A:$C,3,0)-1,4)),6))&lt;&gt;(DOLLAR(VLOOKUP("PCS-OzTL742",ARBOR!$A:$C,3,0),6)),-TRUNC(CU54/VLOOKUP("PCS-OzTL742",ARBOR!$A:$C,3,0)-1,4)+0.0001,-TRUNC(CU54/VLOOKUP("PCS-OzTL742",ARBOR!$A:$C,3,0)-1,4)))))</f>
        <v/>
      </c>
      <c r="CW54" s="28" t="str">
        <f>IF(ISERROR(IF(CV54="","",VLOOKUP(($BC54&amp;CV54&amp;"Template desconto FLAT Plano Principal Oi TV nível conta"),BENEFICIOS!$A:$G,5,0))),"Criar",IF(CV54="","",VLOOKUP(($BC54&amp;CV54&amp;"Template desconto FLAT Plano Principal Oi TV nível conta"),BENEFICIOS!$A:$G,5,0)))</f>
        <v/>
      </c>
      <c r="CX54" s="8"/>
      <c r="CY54" s="3" t="str">
        <f>IF(CX54=0,"",IF(CX54=VLOOKUP("PCS-OzTL747",ARBOR!$A:$C,3,0),0.0001,IF(CX54&gt;VLOOKUP("PCS-OzTL747",ARBOR!$A:$C,3,0),"Maior que CAP!",IF((DOLLAR(CX54+(VLOOKUP("PCS-OzTL747",ARBOR!$A:$C,3,0)*-TRUNC(CX54/VLOOKUP("PCS-OzTL747",ARBOR!$A:$C,3,0)-1,4)),6))&lt;&gt;(DOLLAR(VLOOKUP("PCS-OzTL747",ARBOR!$A:$C,3,0),6)),-TRUNC(CX54/VLOOKUP("PCS-OzTL747",ARBOR!$A:$C,3,0)-1,4)+0.0001,-TRUNC(CX54/VLOOKUP("PCS-OzTL747",ARBOR!$A:$C,3,0)-1,4)))))</f>
        <v/>
      </c>
      <c r="CZ54" s="28" t="str">
        <f>IF(ISERROR(IF(CY54="","",VLOOKUP(($BC54&amp;CY54&amp;"Template desconto FLAT Plano Principal Oi TV nível conta"),BENEFICIOS!$A:$G,5,0))),"Criar",IF(CY54="","",VLOOKUP(($BC54&amp;CY54&amp;"Template desconto FLAT Plano Principal Oi TV nível conta"),BENEFICIOS!$A:$G,5,0)))</f>
        <v/>
      </c>
      <c r="DA54" s="8"/>
      <c r="DB54" s="3" t="str">
        <f>IF(DA54=0,"",IF(DA54=VLOOKUP("PCS-OzTL746",ARBOR!$A:$C,3,0),0.0001,IF(DA54&gt;VLOOKUP("PCS-OzTL746",ARBOR!$A:$C,3,0),"Maior que CAP!",IF((DOLLAR(DA54+(VLOOKUP("PCS-OzTL746",ARBOR!$A:$C,3,0)*-TRUNC(DA54/VLOOKUP("PCS-OzTL746",ARBOR!$A:$C,3,0)-1,4)),6))&lt;&gt;(DOLLAR(VLOOKUP("PCS-OzTL746",ARBOR!$A:$C,3,0),6)),-TRUNC(DA54/VLOOKUP("PCS-OzTL746",ARBOR!$A:$C,3,0)-1,4)+0.0001,-TRUNC(DA54/VLOOKUP("PCS-OzTL746",ARBOR!$A:$C,3,0)-1,4)))))</f>
        <v/>
      </c>
      <c r="DC54" s="28" t="str">
        <f>IF(ISERROR(IF(DB54="","",VLOOKUP(($BC54&amp;DB54&amp;"Template desconto FLAT Plano Principal Oi TV nível conta"),BENEFICIOS!$A:$G,5,0))),"Criar",IF(DB54="","",VLOOKUP(($BC54&amp;DB54&amp;"Template desconto FLAT Plano Principal Oi TV nível conta"),BENEFICIOS!$A:$G,5,0)))</f>
        <v/>
      </c>
      <c r="DD54" s="8"/>
      <c r="DE54" s="3" t="str">
        <f>IF(DD54=0,"",IF(DD54=VLOOKUP("PCS-OzTL748",ARBOR!$A:$C,3,0),0.0001,IF(DD54&gt;VLOOKUP("PCS-OzTL748",ARBOR!$A:$C,3,0),"Maior que CAP!",IF((DOLLAR(DD54+(VLOOKUP("PCS-OzTL748",ARBOR!$A:$C,3,0)*-TRUNC(DD54/VLOOKUP("PCS-OzTL748",ARBOR!$A:$C,3,0)-1,4)),6))&lt;&gt;(DOLLAR(VLOOKUP("PCS-OzTL748",ARBOR!$A:$C,3,0),6)),-TRUNC(DD54/VLOOKUP("PCS-OzTL748",ARBOR!$A:$C,3,0)-1,4)+0.0001,-TRUNC(DD54/VLOOKUP("PCS-OzTL748",ARBOR!$A:$C,3,0)-1,4)))))</f>
        <v/>
      </c>
      <c r="DF54" s="28" t="str">
        <f>IF(ISERROR(IF(DE54="","",VLOOKUP(($BC54&amp;DE54&amp;"Template desconto FLAT Plano Principal Oi TV nível conta"),BENEFICIOS!$A:$G,5,0))),"Criar",IF(DE54="","",VLOOKUP(($BC54&amp;DE54&amp;"Template desconto FLAT Plano Principal Oi TV nível conta"),BENEFICIOS!$A:$G,5,0)))</f>
        <v/>
      </c>
      <c r="DG54" s="8"/>
      <c r="DH54" s="3" t="str">
        <f>IF(DG54=0,"",IF(DG54=VLOOKUP("PCS-OzTL34",ARBOR!$A:$C,3,0),0.0001,IF(DG54&gt;VLOOKUP("PCS-OzTL34",ARBOR!$A:$C,3,0),"Maior que CAP!",IF((DOLLAR(DG54+(VLOOKUP("PCS-OzTL34",ARBOR!$A:$C,3,0)*-TRUNC(DG54/VLOOKUP("PCS-OzTL34",ARBOR!$A:$C,3,0)-1,4)),6))&lt;&gt;(DOLLAR(VLOOKUP("PCS-OzTL34",ARBOR!$A:$C,3,0),6)),-TRUNC(DG54/VLOOKUP("PCS-OzTL34",ARBOR!$A:$C,3,0)-1,4)+0.0001,-TRUNC(DG54/VLOOKUP("PCS-OzTL34",ARBOR!$A:$C,3,0)-1,4)))))</f>
        <v/>
      </c>
      <c r="DI54" s="28" t="str">
        <f>IF(DH54="S/Desc","S/Desc",IF(ISERROR(IF(DH54="","",VLOOKUP(($BC54&amp;DH54&amp;"Template desconto % Combate nível conta"),BENEFICIOS!$A:$G,5,0))),"Criar",IF(DH54="","",VLOOKUP(($BC54&amp;DH54&amp;"Template desconto % Combate nível conta"),BENEFICIOS!$A:$G,5,0))))</f>
        <v/>
      </c>
      <c r="DJ54" s="8"/>
      <c r="DK54" s="3" t="str">
        <f>IF(DJ54=0,"",IF(DJ54=VLOOKUP("PCS-OzTL31",ARBOR!$A:$C,3,0),0.0001,IF(DJ54&gt;VLOOKUP("PCS-OzTL31",ARBOR!$A:$C,3,0),"Maior que CAP!",IF((DOLLAR(DJ54+(VLOOKUP("PCS-OzTL31",ARBOR!$A:$C,3,0)*-TRUNC(DJ54/VLOOKUP("PCS-OzTL31",ARBOR!$A:$C,3,0)-1,4)),6))&lt;&gt;(DOLLAR(VLOOKUP("PCS-OzTL31",ARBOR!$A:$C,3,0),6)),-TRUNC(DJ54/VLOOKUP("PCS-OzTL31",ARBOR!$A:$C,3,0)-1,4)+0.0001,-TRUNC(DJ54/VLOOKUP("PCS-OzTL31",ARBOR!$A:$C,3,0)-1,4)))))</f>
        <v/>
      </c>
      <c r="DL54" s="28" t="str">
        <f>IF(DK54="S/Desc","S/Desc",IF(ISERROR(IF(DK54="","",VLOOKUP(($BC54&amp;DK54&amp;"Template desconto % Sexy Hot nível conta"),BENEFICIOS!$A:$G,5,0))),"Criar",IF(DK54="","",VLOOKUP(($BC54&amp;DK54&amp;"Template desconto % Sexy Hot nível conta"),BENEFICIOS!$A:$G,5,0))))</f>
        <v/>
      </c>
      <c r="DM54" s="8"/>
      <c r="DN54" s="3" t="str">
        <f>IF(DM54=0,"",IF(DM54=VLOOKUP("PCS-OzTL32",ARBOR!$A:$C,3,0),0.0001,IF(DM54&gt;VLOOKUP("PCS-OzTL32",ARBOR!$A:$C,3,0),"Maior que CAP!",IF((DOLLAR(DM54+(VLOOKUP("PCS-OzTL32",ARBOR!$A:$C,3,0)*-TRUNC(DM54/VLOOKUP("PCS-OzTL32",ARBOR!$A:$C,3,0)-1,4)),6))&lt;&gt;(DOLLAR(VLOOKUP("PCS-OzTL32",ARBOR!$A:$C,3,0),6)),-TRUNC(DM54/VLOOKUP("PCS-OzTL32",ARBOR!$A:$C,3,0)-1,4)+0.0001,-TRUNC(DM54/VLOOKUP("PCS-OzTL32",ARBOR!$A:$C,3,0)-1,4)))))</f>
        <v/>
      </c>
      <c r="DO54" s="28" t="str">
        <f>IF(DN54="S/Desc","S/Desc",IF(ISERROR(IF(DN54="","",VLOOKUP(($BC54&amp;DN54&amp;"Template desconto % Playboy nível conta"),BENEFICIOS!$A:$G,5,0))),"Criar",IF(DN54="","",VLOOKUP(($BC54&amp;DN54&amp;"Template desconto % Playboy nível conta"),BENEFICIOS!$A:$G,5,0))))</f>
        <v/>
      </c>
      <c r="DP54" s="8"/>
      <c r="DQ54" s="3" t="str">
        <f>IF(DP54=0,"",IF(DP54=VLOOKUP("PCS-OzTL33",ARBOR!$A:$C,3,0),0.0001,IF(DP54&gt;VLOOKUP("PCS-OzTL33",ARBOR!$A:$C,3,0),"Maior que CAP!",IF((DOLLAR(DP54+(VLOOKUP("PCS-OzTL33",ARBOR!$A:$C,3,0)*-TRUNC(DP54/VLOOKUP("PCS-OzTL33",ARBOR!$A:$C,3,0)-1,4)),6))&lt;&gt;(DOLLAR(VLOOKUP("PCS-OzTL33",ARBOR!$A:$C,3,0),6)),-TRUNC(DP54/VLOOKUP("PCS-OzTL33",ARBOR!$A:$C,3,0)-1,4)+0.0001,-TRUNC(DP54/VLOOKUP("PCS-OzTL33",ARBOR!$A:$C,3,0)-1,4)))))</f>
        <v/>
      </c>
      <c r="DR54" s="28" t="str">
        <f>IF(DQ54="S/Desc","S/Desc",IF(ISERROR(IF(DQ54="","",VLOOKUP(($BC54&amp;DQ54&amp;"Template desconto % Sexy Hot + Playboy nível conta"),BENEFICIOS!$A:$G,5,0))),"Criar",IF(DQ54="","",VLOOKUP(($BC54&amp;DQ54&amp;"Template desconto % Sexy Hot + Playboy nível conta"),BENEFICIOS!$A:$G,5,0))))</f>
        <v/>
      </c>
      <c r="DS54" s="8"/>
      <c r="DT54" s="3" t="str">
        <f>IF(DS54=0,"",IF(DS54=VLOOKUP("PCS-OzTL503",ARBOR!$A:$C,3,0),0.0001,IF(DS54&gt;VLOOKUP("PCS-OzTL503",ARBOR!$A:$C,3,0),"Maior que CAP!",IF((DOLLAR(DS54+(VLOOKUP("PCS-OzTL503",ARBOR!$A:$C,3,0)*-TRUNC(DS54/VLOOKUP("PCS-OzTL503",ARBOR!$A:$C,3,0)-1,4)),6))&lt;&gt;(DOLLAR(VLOOKUP("PCS-OzTL503",ARBOR!$A:$C,3,0),6)),-TRUNC(DS54/VLOOKUP("PCS-OzTL503",ARBOR!$A:$C,3,0)-1,4)+0.0001,-TRUNC(DS54/VLOOKUP("PCS-OzTL503",ARBOR!$A:$C,3,0)-1,4)))))</f>
        <v/>
      </c>
      <c r="DU54" s="28" t="str">
        <f>IF(DT54="S/Desc","S/Desc",IF(ISERROR(IF(DT54="","",VLOOKUP(($BC54&amp;DT54&amp;"Template desconto % SexPrivê nível conta"),BENEFICIOS!$A:$G,5,0))),"Criar",IF(DT54="","",VLOOKUP(($BC54&amp;DT54&amp;"Template desconto % SexPrivê nível conta"),BENEFICIOS!$A:$G,5,0))))</f>
        <v/>
      </c>
      <c r="DV54" s="8"/>
      <c r="DW54" s="3" t="str">
        <f>IF(DV54=0,"",IF(DV54=VLOOKUP("PCS-OzTL500",ARBOR!$A:$C,3,0),0.0001,IF(DV54&gt;VLOOKUP("PCS-OzTL500",ARBOR!$A:$C,3,0),"Maior que CAP!",IF((DOLLAR(DV54+(VLOOKUP("PCS-OzTL500",ARBOR!$A:$C,3,0)*-TRUNC(DV54/VLOOKUP("PCS-OzTL500",ARBOR!$A:$C,3,0)-1,4)),6))&lt;&gt;(DOLLAR(VLOOKUP("PCS-OzTL500",ARBOR!$A:$C,3,0),6)),-TRUNC(DV54/VLOOKUP("PCS-OzTL500",ARBOR!$A:$C,3,0)-1,4)+0.0001,-TRUNC(DV54/VLOOKUP("PCS-OzTL500",ARBOR!$A:$C,3,0)-1,4)))))</f>
        <v/>
      </c>
      <c r="DX54" s="28" t="str">
        <f>IF(DW54="S/Desc","S/Desc",IF(ISERROR(IF(DW54="","",VLOOKUP(($BC54&amp;DW54&amp;"Template desconto % Étnico nível conta"),BENEFICIOS!$A:$G,5,0))),"Criar",IF(DW54="","",VLOOKUP(($BC54&amp;DW54&amp;"Template desconto % Étnico nível conta"),BENEFICIOS!$A:$G,5,0))))</f>
        <v/>
      </c>
      <c r="DY54" s="8"/>
      <c r="DZ54" s="181" t="str">
        <f>IF(DY54=0,"",IF(DY54=VLOOKUP("PCS-OzTL50",ARBOR!$A:$C,3,0),0.0001,IF(DY54&gt;VLOOKUP("PCS-OzTL50",ARBOR!$A:$C,3,0),"Maior que CAP!",IF((DOLLAR(DY54+(VLOOKUP("PCS-OzTL50",ARBOR!$A:$C,3,0)*-TRUNC(DY54/VLOOKUP("PCS-OzTL50",ARBOR!$A:$C,3,0)-1,4)),6))&lt;&gt;(DOLLAR(VLOOKUP("PCS-OzTL50",ARBOR!$A:$C,3,0),6)),-TRUNC(DY54/VLOOKUP("PCS-OzTL50",ARBOR!$A:$C,3,0)-1,4)+0.0001,-TRUNC(DY54/VLOOKUP("PCS-OzTL50",ARBOR!$A:$C,3,0)-1,4)))))</f>
        <v/>
      </c>
      <c r="EA54" s="28"/>
      <c r="EB54" s="8"/>
      <c r="EC54" s="181" t="str">
        <f>IF(EB54=0,"",IF(EB54=VLOOKUP("PCS-OzTL51",ARBOR!$A:$C,3,0),0.0001,IF(EB54&gt;VLOOKUP("PCS-OzTL51",ARBOR!$A:$C,3,0),"Maior que CAP!",IF((DOLLAR(EB54+(VLOOKUP("PCS-OzTL51",ARBOR!$A:$C,3,0)*-TRUNC(EB54/VLOOKUP("PCS-OzTL51",ARBOR!$A:$C,3,0)-1,4)),6))&lt;&gt;(DOLLAR(VLOOKUP("PCS-OzTL51",ARBOR!$A:$C,3,0),6)),-TRUNC(EB54/VLOOKUP("PCS-OzTL51",ARBOR!$A:$C,3,0)-1,4)+0.0001,-TRUNC(EB54/VLOOKUP("PCS-OzTL51",ARBOR!$A:$C,3,0)-1,4)))))</f>
        <v/>
      </c>
      <c r="ED54" s="28"/>
      <c r="EE54" s="8"/>
      <c r="EF54" s="181" t="str">
        <f>IF(EE54=0,"",IF(EE54=VLOOKUP("PCS-OzTL52",ARBOR!$A:$C,3,0),0.0001,IF(EE54&gt;VLOOKUP("PCS-OzTL52",ARBOR!$A:$C,3,0),"Maior que CAP!",IF((DOLLAR(EE54+(VLOOKUP("PCS-OzTL52",ARBOR!$A:$C,3,0)*-TRUNC(EE54/VLOOKUP("PCS-OzTL52",ARBOR!$A:$C,3,0)-1,4)),6))&lt;&gt;(DOLLAR(VLOOKUP("PCS-OzTL52",ARBOR!$A:$C,3,0),6)),-TRUNC(EE54/VLOOKUP("PCS-OzTL52",ARBOR!$A:$C,3,0)-1,4)+0.0001,-TRUNC(EE54/VLOOKUP("PCS-OzTL52",ARBOR!$A:$C,3,0)-1,4)))))</f>
        <v/>
      </c>
      <c r="EG54" s="28"/>
      <c r="EH54" s="8"/>
      <c r="EI54" s="181" t="str">
        <f>IF(EH54=0,"",IF(EH54=VLOOKUP("PCS-OzTL53",ARBOR!$A:$C,3,0),0.0001,IF(EH54&gt;VLOOKUP("PCS-OzTL53",ARBOR!$A:$C,3,0),"Maior que CAP!",IF((DOLLAR(EH54+(VLOOKUP("PCS-OzTL53",ARBOR!$A:$C,3,0)*-TRUNC(EH54/VLOOKUP("PCS-OzTL53",ARBOR!$A:$C,3,0)-1,4)),6))&lt;&gt;(DOLLAR(VLOOKUP("PCS-OzTL53",ARBOR!$A:$C,3,0),6)),-TRUNC(EH54/VLOOKUP("PCS-OzTL53",ARBOR!$A:$C,3,0)-1,4)+0.0001,-TRUNC(EH54/VLOOKUP("PCS-OzTL53",ARBOR!$A:$C,3,0)-1,4)))))</f>
        <v/>
      </c>
      <c r="EJ54" s="28"/>
      <c r="EK54" s="8"/>
      <c r="EL54" s="181" t="str">
        <f>IF(EK54=0,"",IF(EK54=VLOOKUP("PCS-OzTL54",ARBOR!$A:$C,3,0),0.0001,IF(EK54&gt;VLOOKUP("PCS-OzTL54",ARBOR!$A:$C,3,0),"Maior que CAP!",IF((DOLLAR(EK54+(VLOOKUP("PCS-OzTL54",ARBOR!$A:$C,3,0)*-TRUNC(EK54/VLOOKUP("PCS-OzTL54",ARBOR!$A:$C,3,0)-1,4)),6))&lt;&gt;(DOLLAR(VLOOKUP("PCS-OzTL54",ARBOR!$A:$C,3,0),6)),-TRUNC(EK54/VLOOKUP("PCS-OzTL54",ARBOR!$A:$C,3,0)-1,4)+0.0001,-TRUNC(EK54/VLOOKUP("PCS-OzTL54",ARBOR!$A:$C,3,0)-1,4)))))</f>
        <v/>
      </c>
      <c r="EM54" s="28"/>
      <c r="EN54" s="8"/>
      <c r="EO54" s="3" t="str">
        <f>IF(EN54=0,"",IF(EN54=VLOOKUP("PCS-OzTL99",ARBOR!$A:$C,3,0),0.0001,IF(EN54&gt;VLOOKUP("PCS-OzTL99",ARBOR!$A:$C,3,0),"Maior que CAP!",IF((DOLLAR(EN54+(VLOOKUP("PCS-OzTL99",ARBOR!$A:$C,3,0)*-TRUNC(EN54/VLOOKUP("PCS-OzTL99",ARBOR!$A:$C,3,0)-1,4)),6))&lt;&gt;(DOLLAR(VLOOKUP("PCS-OzTL99",ARBOR!$A:$C,3,0),6)),-TRUNC(EN54/VLOOKUP("PCS-OzTL99",ARBOR!$A:$C,3,0)-1,4)+0.0001,-TRUNC(EN54/VLOOKUP("PCS-OzTL99",ARBOR!$A:$C,3,0)-1,4)))))</f>
        <v/>
      </c>
      <c r="EP54" s="28" t="str">
        <f>IF(EO54="S/Desc","S/Desc",IF(ISERROR(IF(EO54="","",VLOOKUP(($BC54&amp;EO54&amp;"Template desconto % Ponto adicional nível conta"),BENEFICIOS!$A:$G,5,0))),"Criar",IF(EO54="","",VLOOKUP(($BC54&amp;EO54&amp;"Template desconto % Ponto adicional nível conta"),BENEFICIOS!$A:$G,5,0))))</f>
        <v/>
      </c>
      <c r="EQ54" s="8"/>
      <c r="ER54" s="28" t="str">
        <f t="shared" si="23"/>
        <v/>
      </c>
      <c r="ES54" s="62"/>
      <c r="ET54" s="126"/>
      <c r="EU54" s="127"/>
      <c r="EV54" s="126"/>
      <c r="EW54" s="128" t="str">
        <f t="shared" si="24"/>
        <v/>
      </c>
      <c r="EX54" s="129" t="str">
        <f t="shared" si="25"/>
        <v/>
      </c>
      <c r="EY54" s="91" t="str">
        <f t="shared" si="26"/>
        <v/>
      </c>
      <c r="EZ54" s="85"/>
      <c r="FA54" s="97"/>
      <c r="FB54" s="91"/>
      <c r="FC54" s="85"/>
      <c r="FD54" s="97"/>
      <c r="FE54" s="91"/>
      <c r="FF54" s="87"/>
      <c r="FG54" s="144" t="str">
        <f t="shared" si="5"/>
        <v/>
      </c>
      <c r="FH54" s="144" t="str">
        <f t="shared" si="6"/>
        <v/>
      </c>
      <c r="FI54" s="144" t="str">
        <f t="shared" si="7"/>
        <v/>
      </c>
      <c r="FJ54" s="144" t="str">
        <f t="shared" si="8"/>
        <v/>
      </c>
      <c r="FK54" s="144" t="str">
        <f t="shared" si="9"/>
        <v/>
      </c>
      <c r="FL54" s="144" t="str">
        <f t="shared" si="10"/>
        <v/>
      </c>
      <c r="FM54" s="144" t="str">
        <f t="shared" si="11"/>
        <v/>
      </c>
      <c r="FN54" s="144" t="str">
        <f t="shared" si="12"/>
        <v/>
      </c>
      <c r="FO54" s="144" t="str">
        <f t="shared" si="13"/>
        <v/>
      </c>
      <c r="FP54" s="144" t="str">
        <f t="shared" si="14"/>
        <v/>
      </c>
      <c r="FQ54" s="144" t="str">
        <f t="shared" si="15"/>
        <v/>
      </c>
      <c r="FR54" s="144" t="str">
        <f t="shared" si="16"/>
        <v/>
      </c>
      <c r="FS54" s="144" t="str">
        <f t="shared" si="17"/>
        <v/>
      </c>
      <c r="FT54" s="144" t="str">
        <f t="shared" si="18"/>
        <v/>
      </c>
      <c r="FU54" s="144" t="str">
        <f t="shared" si="19"/>
        <v/>
      </c>
      <c r="FV54" s="144" t="str">
        <f t="shared" si="20"/>
        <v/>
      </c>
      <c r="FW54" s="144" t="str">
        <f t="shared" si="21"/>
        <v/>
      </c>
      <c r="FX54" s="151"/>
      <c r="FY54" s="152"/>
      <c r="FZ54" s="152"/>
      <c r="GA54" s="152"/>
      <c r="GB54" s="152"/>
      <c r="GC54" s="152"/>
      <c r="GD54" s="152"/>
      <c r="GE54" s="152"/>
      <c r="GF54" s="152"/>
      <c r="GG54" s="153"/>
    </row>
    <row r="55" spans="1:189">
      <c r="A55" s="45"/>
      <c r="B55" s="133"/>
      <c r="C55" s="133"/>
      <c r="D55" s="46"/>
      <c r="E55" s="4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9"/>
      <c r="U55" s="48"/>
      <c r="V55" s="49"/>
      <c r="W55" s="48"/>
      <c r="X55" s="48"/>
      <c r="Y55" s="48"/>
      <c r="Z55" s="48"/>
      <c r="AA55" s="49"/>
      <c r="AB55" s="48"/>
      <c r="AC55" s="50"/>
      <c r="AD55" s="48"/>
      <c r="AE55" s="48"/>
      <c r="AF55" s="48"/>
      <c r="AG55" s="48"/>
      <c r="AH55" s="48"/>
      <c r="AI55" s="48"/>
      <c r="AJ55" s="48"/>
      <c r="AK55" s="48"/>
      <c r="AL55" s="51"/>
      <c r="AM55" s="37"/>
      <c r="AN55" s="38"/>
      <c r="AO55" s="39"/>
      <c r="AP55" s="52"/>
      <c r="AQ55" s="53"/>
      <c r="AR55" s="64"/>
      <c r="AS55" s="65"/>
      <c r="AT55" s="54"/>
      <c r="AU55" s="54"/>
      <c r="AV55" s="54"/>
      <c r="AW55" s="54"/>
      <c r="AX55" s="70"/>
      <c r="AY55" s="71"/>
      <c r="AZ55" s="72"/>
      <c r="BA55" s="73"/>
      <c r="BB55" s="55"/>
      <c r="BC55" s="56"/>
      <c r="BD55" s="27" t="str">
        <f t="shared" si="22"/>
        <v/>
      </c>
      <c r="BE55" s="58"/>
      <c r="BF55" s="3" t="str">
        <f>IF(BE55=0,"",IF(BE55=VLOOKUP("FIXO",ARBOR!$A:$C,3,0),0.0001,IF(BE55&gt;VLOOKUP("FIXO",ARBOR!$A:$C,3,0),"Maior que CAP!",IF((DOLLAR(BE55+(VLOOKUP("FIXO",ARBOR!$A:$C,3,0)*-TRUNC(BE55/VLOOKUP("FIXO",ARBOR!$A:$C,3,0)-1,4)),6))&lt;&gt;(DOLLAR(VLOOKUP("FIXO",ARBOR!$A:$C,3,0),6)),-TRUNC(BE55/VLOOKUP("FIXO",ARBOR!$A:$C,3,0)-1,4)+0.0001,-TRUNC(BE55/VLOOKUP("FIXO",ARBOR!$A:$C,3,0)-1,4)))))</f>
        <v/>
      </c>
      <c r="BG55" s="10" t="str">
        <f>IF(ISERROR(IF(BF55="","",VLOOKUP(($BC55&amp;BF55&amp;"Template de desconto FLAT bundle - Fixo - Varejo - Ganho Tributário Cross"),BENEFICIOS!$A:$G,5,0))),"Criar",IF(BF55="","",VLOOKUP(($BC55&amp;BF55&amp;"Template de desconto FLAT bundle - Fixo - Varejo - Ganho Tributário Cross"),BENEFICIOS!$A:$G,5,0)))</f>
        <v/>
      </c>
      <c r="BH55" s="8"/>
      <c r="BI55" s="3" t="str">
        <f>IF(BH55=0,"",IF(BH55=VLOOKUP("PCS-OzTL40",ARBOR!$A:$C,3,0),0.0001,IF(BH55&gt;VLOOKUP("PCS-OzTL40",ARBOR!$A:$C,3,0),"Maior que CAP!",IF((DOLLAR(BH55+(VLOOKUP("PCS-OzTL40",ARBOR!$A:$C,3,0)*-TRUNC(BH55/VLOOKUP("PCS-OzTL40",ARBOR!$A:$C,3,0)-1,4)),6))&lt;&gt;(DOLLAR(VLOOKUP("PCS-OzTL40",ARBOR!$A:$C,3,0),6)),-TRUNC(BH55/VLOOKUP("PCS-OzTL40",ARBOR!$A:$C,3,0)-1,4)+0.0001,-TRUNC(BH55/VLOOKUP("PCS-OzTL40",ARBOR!$A:$C,3,0)-1,4)))))</f>
        <v/>
      </c>
      <c r="BJ55" s="10" t="str">
        <f>IF(ISERROR(IF(BI55="","",VLOOKUP((BC55&amp;BI55&amp;"Template desconto FLAT Plano Principal Oi TV nível conta"),BENEFICIOS!$A:$G,5,0))),"Criar",IF(BI55="","",VLOOKUP((BC55&amp;BI55&amp;"Template desconto FLAT Plano Principal Oi TV nível conta"),BENEFICIOS!$A:$G,5,0)))</f>
        <v/>
      </c>
      <c r="BK55" s="8"/>
      <c r="BL55" s="3" t="str">
        <f>IF(BK55=0,"",IF(BK55=VLOOKUP("PCS-OzTL41",ARBOR!$A:$C,3,0),0.0001,IF(BK55&gt;VLOOKUP("PCS-OzTL41",ARBOR!$A:$C,3,0),"Maior que CAP!",IF((DOLLAR(BK55+(VLOOKUP("PCS-OzTL41",ARBOR!$A:$C,3,0)*-TRUNC(BK55/VLOOKUP("PCS-OzTL41",ARBOR!$A:$C,3,0)-1,4)),6))&lt;&gt;(DOLLAR(VLOOKUP("PCS-OzTL41",ARBOR!$A:$C,3,0),6)),-TRUNC(BK55/VLOOKUP("PCS-OzTL41",ARBOR!$A:$C,3,0)-1,4)+0.0001,-TRUNC(BK55/VLOOKUP("PCS-OzTL41",ARBOR!$A:$C,3,0)-1,4)))))</f>
        <v/>
      </c>
      <c r="BM55" s="28" t="str">
        <f>IF(ISERROR(IF(BL55="","",VLOOKUP((BC55&amp;BL55&amp;"Template desconto FLAT Plano Principal Oi TV nível conta"),BENEFICIOS!$A:$G,5,0))),"Criar",IF(BL55="","",VLOOKUP((BC55&amp;BL55&amp;"Template desconto FLAT Plano Principal Oi TV nível conta"),BENEFICIOS!$A:$G,5,0)))</f>
        <v/>
      </c>
      <c r="BN55" s="8"/>
      <c r="BO55" s="3" t="str">
        <f>IF(BN55=0,"",IF(BN55=VLOOKUP("PCS-OzTL44",ARBOR!$A:$C,3,0),0.0001,IF(BN55&gt;VLOOKUP("PCS-OzTL44",ARBOR!$A:$C,3,0),"Maior que CAP!",IF((DOLLAR(BN55+(VLOOKUP("PCS-OzTL44",ARBOR!$A:$C,3,0)*-TRUNC(BN55/VLOOKUP("PCS-OzTL44",ARBOR!$A:$C,3,0)-1,4)),6))&lt;&gt;(DOLLAR(VLOOKUP("PCS-OzTL44",ARBOR!$A:$C,3,0),6)),-TRUNC(BN55/VLOOKUP("PCS-OzTL44",ARBOR!$A:$C,3,0)-1,4)+0.0001,-TRUNC(BN55/VLOOKUP("PCS-OzTL44",ARBOR!$A:$C,3,0)-1,4)))))</f>
        <v/>
      </c>
      <c r="BP55" s="28" t="str">
        <f>IF(ISERROR(IF(BO55="","",VLOOKUP((BC55&amp;BO55&amp;"Template desconto FLAT Plano Principal Oi TV nível conta"),BENEFICIOS!$A:$G,5,0))),"Criar",IF(BO55="","",VLOOKUP((BC55&amp;BO55&amp;"Template desconto FLAT Plano Principal Oi TV nível conta"),BENEFICIOS!$A:$G,5,0)))</f>
        <v/>
      </c>
      <c r="BQ55" s="8"/>
      <c r="BR55" s="3" t="str">
        <f>IF(BQ55=0,"",IF(BQ55=VLOOKUP("PCS-OzTL43",ARBOR!$A:$C,3,0),0.0001,IF(BQ55&gt;VLOOKUP("PCS-OzTL43",ARBOR!$A:$C,3,0),"Maior que CAP!",IF((DOLLAR(BQ55+(VLOOKUP("PCS-OzTL43",ARBOR!$A:$C,3,0)*-TRUNC(BQ55/VLOOKUP("PCS-OzTL43",ARBOR!$A:$C,3,0)-1,4)),6))&lt;&gt;(DOLLAR(VLOOKUP("PCS-OzTL43",ARBOR!$A:$C,3,0),6)),-TRUNC(BQ55/VLOOKUP("PCS-OzTL43",ARBOR!$A:$C,3,0)-1,4)+0.0001,-TRUNC(BQ55/VLOOKUP("PCS-OzTL43",ARBOR!$A:$C,3,0)-1,4)))))</f>
        <v/>
      </c>
      <c r="BS55" s="28" t="str">
        <f>IF(ISERROR(IF(BR55="","",VLOOKUP((BC55&amp;BR55&amp;"Template desconto FLAT Plano Principal Oi TV nível conta"),BENEFICIOS!$A:$G,5,0))),"Criar",IF(BR55="","",VLOOKUP((BC55&amp;BR55&amp;"Template desconto FLAT Plano Principal Oi TV nível conta"),BENEFICIOS!$A:$G,5,0)))</f>
        <v/>
      </c>
      <c r="BT55" s="8"/>
      <c r="BU55" s="3" t="str">
        <f>IF(BT55=0,"",IF(BT55=VLOOKUP("PCS-OzTL45",ARBOR!$A:$C,3,0),0.0001,IF(BT55&gt;VLOOKUP("PCS-OzTL45",ARBOR!$A:$C,3,0),"Maior que CAP!",IF((DOLLAR(BT55+(VLOOKUP("PCS-OzTL45",ARBOR!$A:$C,3,0)*-TRUNC(BT55/VLOOKUP("PCS-OzTL45",ARBOR!$A:$C,3,0)-1,4)),6))&lt;&gt;(DOLLAR(VLOOKUP("PCS-OzTL45",ARBOR!$A:$C,3,0),6)),-TRUNC(BT55/VLOOKUP("PCS-OzTL45",ARBOR!$A:$C,3,0)-1,4)+0.0001,-TRUNC(BT55/VLOOKUP("PCS-OzTL45",ARBOR!$A:$C,3,0)-1,4)))))</f>
        <v/>
      </c>
      <c r="BV55" s="28" t="str">
        <f>IF(ISERROR(IF(BU55="","",VLOOKUP((BC55&amp;BU55&amp;"Template desconto FLAT Plano Principal Oi TV nível conta"),BENEFICIOS!$A:$G,5,0))),"Criar",IF(BU55="","",VLOOKUP((BC55&amp;BU55&amp;"Template desconto FLAT Plano Principal Oi TV nível conta"),BENEFICIOS!$A:$G,5,0)))</f>
        <v/>
      </c>
      <c r="BW55" s="8"/>
      <c r="BX55" s="3" t="str">
        <f>IF(BW55=0,"",IF(BW55=VLOOKUP("PCS-OzTL741",ARBOR!$A:$C,3,0),0.0001,IF(BW55&gt;VLOOKUP("PCS-OzTL741",ARBOR!$A:$C,3,0),"Maior que CAP!",IF((DOLLAR(BW55+(VLOOKUP("PCS-OzTL741",ARBOR!$A:$C,3,0)*-TRUNC(BW55/VLOOKUP("PCS-OzTL741",ARBOR!$A:$C,3,0)-1,4)),6))&lt;&gt;(DOLLAR(VLOOKUP("PCS-OzTL741",ARBOR!$A:$C,3,0),6)),-TRUNC(BW55/VLOOKUP("PCS-OzTL741",ARBOR!$A:$C,3,0)-1,4)+0.0001,-TRUNC(BW55/VLOOKUP("PCS-OzTL741",ARBOR!$A:$C,3,0)-1,4)))))</f>
        <v/>
      </c>
      <c r="BY55" s="28" t="str">
        <f>IF(ISERROR(IF(BX55="","",VLOOKUP((BC55&amp;BX55&amp;"Template desconto FLAT Plano Principal Oi TV nível conta"),BENEFICIOS!$A:$G,5,0))),"Criar",IF(BX55="","",VLOOKUP((BC55&amp;BX55&amp;"Template desconto FLAT Plano Principal Oi TV nível conta"),BENEFICIOS!$A:$G,5,0)))</f>
        <v/>
      </c>
      <c r="BZ55" s="8"/>
      <c r="CA55" s="3" t="str">
        <f>IF(BZ55=0,"",IF(BZ55=VLOOKUP("PCS-OzTL744",ARBOR!$A:$C,3,0),0.0001,IF(BZ55&gt;VLOOKUP("PCS-OzTL744",ARBOR!$A:$C,3,0),"Maior que CAP!",IF((DOLLAR(BZ55+(VLOOKUP("PCS-OzTL744",ARBOR!$A:$C,3,0)*-TRUNC(BZ55/VLOOKUP("PCS-OzTL744",ARBOR!$A:$C,3,0)-1,4)),6))&lt;&gt;(DOLLAR(VLOOKUP("PCS-OzTL744",ARBOR!$A:$C,3,0),6)),-TRUNC(BZ55/VLOOKUP("PCS-OzTL744",ARBOR!$A:$C,3,0)-1,4)+0.0001,-TRUNC(BZ55/VLOOKUP("PCS-OzTL744",ARBOR!$A:$C,3,0)-1,4)))))</f>
        <v/>
      </c>
      <c r="CB55" s="28" t="str">
        <f>IF(ISERROR(IF(CA55="","",VLOOKUP(($BC55&amp;CA55&amp;"Template desconto FLAT Plano Principal Oi TV nível conta"),BENEFICIOS!$A:$G,5,0))),"Criar",IF(CA55="","",VLOOKUP(($BC55&amp;CA55&amp;"Template desconto FLAT Plano Principal Oi TV nível conta"),BENEFICIOS!$A:$G,5,0)))</f>
        <v/>
      </c>
      <c r="CC55" s="8"/>
      <c r="CD55" s="3" t="str">
        <f>IF(CC55=0,"",IF(CC55=VLOOKUP("PCS-OzTL743",ARBOR!$A:$C,3,0),0.0001,IF(CC55&gt;VLOOKUP("PCS-OzTL743",ARBOR!$A:$C,3,0),"Maior que CAP!",IF((DOLLAR(CC55+(VLOOKUP("PCS-OzTL743",ARBOR!$A:$C,3,0)*-TRUNC(CC55/VLOOKUP("PCS-OzTL743",ARBOR!$A:$C,3,0)-1,4)),6))&lt;&gt;(DOLLAR(VLOOKUP("PCS-OzTL743",ARBOR!$A:$C,3,0),6)),-TRUNC(CC55/VLOOKUP("PCS-OzTL743",ARBOR!$A:$C,3,0)-1,4)+0.0001,-TRUNC(CC55/VLOOKUP("PCS-OzTL743",ARBOR!$A:$C,3,0)-1,4)))))</f>
        <v/>
      </c>
      <c r="CE55" s="28" t="str">
        <f>IF(ISERROR(IF(CD55="","",VLOOKUP(($BC55&amp;CD55&amp;"Template desconto FLAT Plano Principal Oi TV nível conta"),BENEFICIOS!$A:$G,5,0))),"Criar",IF(CD55="","",VLOOKUP(($BC55&amp;CD55&amp;"Template desconto FLAT Plano Principal Oi TV nível conta"),BENEFICIOS!$A:$G,5,0)))</f>
        <v/>
      </c>
      <c r="CF55" s="8"/>
      <c r="CG55" s="3" t="str">
        <f>IF(CF55=0,"",IF(CF55=VLOOKUP("PCS-OzTL745",ARBOR!$A:$C,3,0),0.0001,IF(CF55&gt;VLOOKUP("PCS-OzTL745",ARBOR!$A:$C,3,0),"Maior que CAP!",IF((DOLLAR(CF55+(VLOOKUP("PCS-OzTL745",ARBOR!$A:$C,3,0)*-TRUNC(CF55/VLOOKUP("PCS-OzTL745",ARBOR!$A:$C,3,0)-1,4)),6))&lt;&gt;(DOLLAR(VLOOKUP("PCS-OzTL745",ARBOR!$A:$C,3,0),6)),-TRUNC(CF55/VLOOKUP("PCS-OzTL745",ARBOR!$A:$C,3,0)-1,4)+0.0001,-TRUNC(CF55/VLOOKUP("PCS-OzTL745",ARBOR!$A:$C,3,0)-1,4)))))</f>
        <v/>
      </c>
      <c r="CH55" s="28" t="str">
        <f>IF(ISERROR(IF(CG55="","",VLOOKUP(($BC55&amp;CG55&amp;"Template desconto FLAT Plano Principal Oi TV nível conta"),BENEFICIOS!$A:$G,5,0))),"Criar",IF(CG55="","",VLOOKUP(($BC55&amp;CG55&amp;"Template desconto FLAT Plano Principal Oi TV nível conta"),BENEFICIOS!$A:$G,5,0)))</f>
        <v/>
      </c>
      <c r="CI55" s="8"/>
      <c r="CJ55" s="3" t="str">
        <f>IF(CI55=0,"",IF(CI55=VLOOKUP("PCS-OzTL42",ARBOR!$A:$C,3,0),0.0001,IF(CI55&gt;VLOOKUP("PCS-OzTL42",ARBOR!$A:$C,3,0),"Maior que CAP!",IF((DOLLAR(CI55+(VLOOKUP("PCS-OzTL42",ARBOR!$A:$C,3,0)*-TRUNC(CI55/VLOOKUP("PCS-OzTL42",ARBOR!$A:$C,3,0)-1,4)),6))&lt;&gt;(DOLLAR(VLOOKUP("PCS-OzTL42",ARBOR!$A:$C,3,0),6)),-TRUNC(CI55/VLOOKUP("PCS-OzTL42",ARBOR!$A:$C,3,0)-1,4)+0.0001,-TRUNC(CI55/VLOOKUP("PCS-OzTL42",ARBOR!$A:$C,3,0)-1,4)))))</f>
        <v/>
      </c>
      <c r="CK55" s="28" t="str">
        <f>IF(ISERROR(IF(CJ55="","",VLOOKUP(($BC55&amp;CJ55&amp;"Template desconto FLAT Plano Principal Oi TV nível conta"),BENEFICIOS!$A:$G,5,0))),"Criar",IF(CJ55="","",VLOOKUP(($BC55&amp;CJ55&amp;"Template desconto FLAT Plano Principal Oi TV nível conta"),BENEFICIOS!$A:$G,5,0)))</f>
        <v/>
      </c>
      <c r="CL55" s="8"/>
      <c r="CM55" s="3" t="str">
        <f>IF(CL55=0,"",IF(CL55=VLOOKUP("PCS-OzTL47",ARBOR!$A:$C,3,0),0.0001,IF(CL55&gt;VLOOKUP("PCS-OzTL47",ARBOR!$A:$C,3,0),"Maior que CAP!",IF((DOLLAR(CL55+(VLOOKUP("PCS-OzTL47",ARBOR!$A:$C,3,0)*-TRUNC(CL55/VLOOKUP("PCS-OzTL47",ARBOR!$A:$C,3,0)-1,4)),6))&lt;&gt;(DOLLAR(VLOOKUP("PCS-OzTL47",ARBOR!$A:$C,3,0),6)),-TRUNC(CL55/VLOOKUP("PCS-OzTL47",ARBOR!$A:$C,3,0)-1,4)+0.0001,-TRUNC(CL55/VLOOKUP("PCS-OzTL47",ARBOR!$A:$C,3,0)-1,4)))))</f>
        <v/>
      </c>
      <c r="CN55" s="28" t="str">
        <f>IF(ISERROR(IF(CM55="","",VLOOKUP(($BC55&amp;CM55&amp;"Template desconto FLAT Plano Principal Oi TV nível conta"),BENEFICIOS!$A:$G,5,0))),"Criar",IF(CM55="","",VLOOKUP(($BC55&amp;CM55&amp;"Template desconto FLAT Plano Principal Oi TV nível conta"),BENEFICIOS!$A:$G,5,0)))</f>
        <v/>
      </c>
      <c r="CO55" s="8"/>
      <c r="CP55" s="3" t="str">
        <f>IF(CO55=0,"",IF(CO55=VLOOKUP("PCS-OzTL46",ARBOR!$A:$C,3,0),0.0001,IF(CO55&gt;VLOOKUP("PCS-OzTL46",ARBOR!$A:$C,3,0),"Maior que CAP!",IF((DOLLAR(CO55+(VLOOKUP("PCS-OzTL46",ARBOR!$A:$C,3,0)*-TRUNC(CO55/VLOOKUP("PCS-OzTL46",ARBOR!$A:$C,3,0)-1,4)),6))&lt;&gt;(DOLLAR(VLOOKUP("PCS-OzTL46",ARBOR!$A:$C,3,0),6)),-TRUNC(CO55/VLOOKUP("PCS-OzTL46",ARBOR!$A:$C,3,0)-1,4)+0.0001,-TRUNC(CO55/VLOOKUP("PCS-OzTL46",ARBOR!$A:$C,3,0)-1,4)))))</f>
        <v/>
      </c>
      <c r="CQ55" s="28" t="str">
        <f>IF(ISERROR(IF(CP55="","",VLOOKUP(($BC55&amp;CP55&amp;"Template desconto FLAT Plano Principal Oi TV nível conta"),BENEFICIOS!$A:$G,5,0))),"Criar",IF(CP55="","",VLOOKUP(($BC55&amp;CP55&amp;"Template desconto FLAT Plano Principal Oi TV nível conta"),BENEFICIOS!$A:$G,5,0)))</f>
        <v/>
      </c>
      <c r="CR55" s="8"/>
      <c r="CS55" s="3" t="str">
        <f>IF(CR55=0,"",IF(CR55=VLOOKUP("PCS-OzTL48",ARBOR!$A:$C,3,0),0.0001,IF(CR55&gt;VLOOKUP("PCS-OzTL48",ARBOR!$A:$C,3,0),"Maior que CAP!",IF((DOLLAR(CR55+(VLOOKUP("PCS-OzTL48",ARBOR!$A:$C,3,0)*-TRUNC(CR55/VLOOKUP("PCS-OzTL48",ARBOR!$A:$C,3,0)-1,4)),6))&lt;&gt;(DOLLAR(VLOOKUP("PCS-OzTL48",ARBOR!$A:$C,3,0),6)),-TRUNC(CR55/VLOOKUP("PCS-OzTL48",ARBOR!$A:$C,3,0)-1,4)+0.0001,-TRUNC(CR55/VLOOKUP("PCS-OzTL48",ARBOR!$A:$C,3,0)-1,4)))))</f>
        <v/>
      </c>
      <c r="CT55" s="28" t="str">
        <f>IF(ISERROR(IF(CS55="","",VLOOKUP(($BC55&amp;CS55&amp;"Template desconto FLAT Plano Principal Oi TV nível conta"),BENEFICIOS!$A:$G,5,0))),"Criar",IF(CS55="","",VLOOKUP(($BC55&amp;CS55&amp;"Template desconto FLAT Plano Principal Oi TV nível conta"),BENEFICIOS!$A:$G,5,0)))</f>
        <v/>
      </c>
      <c r="CU55" s="8"/>
      <c r="CV55" s="3" t="str">
        <f>IF(CU55=0,"",IF(CU55=VLOOKUP("PCS-OzTL742",ARBOR!$A:$C,3,0),0.0001,IF(CU55&gt;VLOOKUP("PCS-OzTL742",ARBOR!$A:$C,3,0),"Maior que CAP!",IF((DOLLAR(CU55+(VLOOKUP("PCS-OzTL742",ARBOR!$A:$C,3,0)*-TRUNC(CU55/VLOOKUP("PCS-OzTL742",ARBOR!$A:$C,3,0)-1,4)),6))&lt;&gt;(DOLLAR(VLOOKUP("PCS-OzTL742",ARBOR!$A:$C,3,0),6)),-TRUNC(CU55/VLOOKUP("PCS-OzTL742",ARBOR!$A:$C,3,0)-1,4)+0.0001,-TRUNC(CU55/VLOOKUP("PCS-OzTL742",ARBOR!$A:$C,3,0)-1,4)))))</f>
        <v/>
      </c>
      <c r="CW55" s="28" t="str">
        <f>IF(ISERROR(IF(CV55="","",VLOOKUP(($BC55&amp;CV55&amp;"Template desconto FLAT Plano Principal Oi TV nível conta"),BENEFICIOS!$A:$G,5,0))),"Criar",IF(CV55="","",VLOOKUP(($BC55&amp;CV55&amp;"Template desconto FLAT Plano Principal Oi TV nível conta"),BENEFICIOS!$A:$G,5,0)))</f>
        <v/>
      </c>
      <c r="CX55" s="8"/>
      <c r="CY55" s="3" t="str">
        <f>IF(CX55=0,"",IF(CX55=VLOOKUP("PCS-OzTL747",ARBOR!$A:$C,3,0),0.0001,IF(CX55&gt;VLOOKUP("PCS-OzTL747",ARBOR!$A:$C,3,0),"Maior que CAP!",IF((DOLLAR(CX55+(VLOOKUP("PCS-OzTL747",ARBOR!$A:$C,3,0)*-TRUNC(CX55/VLOOKUP("PCS-OzTL747",ARBOR!$A:$C,3,0)-1,4)),6))&lt;&gt;(DOLLAR(VLOOKUP("PCS-OzTL747",ARBOR!$A:$C,3,0),6)),-TRUNC(CX55/VLOOKUP("PCS-OzTL747",ARBOR!$A:$C,3,0)-1,4)+0.0001,-TRUNC(CX55/VLOOKUP("PCS-OzTL747",ARBOR!$A:$C,3,0)-1,4)))))</f>
        <v/>
      </c>
      <c r="CZ55" s="28" t="str">
        <f>IF(ISERROR(IF(CY55="","",VLOOKUP(($BC55&amp;CY55&amp;"Template desconto FLAT Plano Principal Oi TV nível conta"),BENEFICIOS!$A:$G,5,0))),"Criar",IF(CY55="","",VLOOKUP(($BC55&amp;CY55&amp;"Template desconto FLAT Plano Principal Oi TV nível conta"),BENEFICIOS!$A:$G,5,0)))</f>
        <v/>
      </c>
      <c r="DA55" s="8"/>
      <c r="DB55" s="3" t="str">
        <f>IF(DA55=0,"",IF(DA55=VLOOKUP("PCS-OzTL746",ARBOR!$A:$C,3,0),0.0001,IF(DA55&gt;VLOOKUP("PCS-OzTL746",ARBOR!$A:$C,3,0),"Maior que CAP!",IF((DOLLAR(DA55+(VLOOKUP("PCS-OzTL746",ARBOR!$A:$C,3,0)*-TRUNC(DA55/VLOOKUP("PCS-OzTL746",ARBOR!$A:$C,3,0)-1,4)),6))&lt;&gt;(DOLLAR(VLOOKUP("PCS-OzTL746",ARBOR!$A:$C,3,0),6)),-TRUNC(DA55/VLOOKUP("PCS-OzTL746",ARBOR!$A:$C,3,0)-1,4)+0.0001,-TRUNC(DA55/VLOOKUP("PCS-OzTL746",ARBOR!$A:$C,3,0)-1,4)))))</f>
        <v/>
      </c>
      <c r="DC55" s="28" t="str">
        <f>IF(ISERROR(IF(DB55="","",VLOOKUP(($BC55&amp;DB55&amp;"Template desconto FLAT Plano Principal Oi TV nível conta"),BENEFICIOS!$A:$G,5,0))),"Criar",IF(DB55="","",VLOOKUP(($BC55&amp;DB55&amp;"Template desconto FLAT Plano Principal Oi TV nível conta"),BENEFICIOS!$A:$G,5,0)))</f>
        <v/>
      </c>
      <c r="DD55" s="8"/>
      <c r="DE55" s="3" t="str">
        <f>IF(DD55=0,"",IF(DD55=VLOOKUP("PCS-OzTL748",ARBOR!$A:$C,3,0),0.0001,IF(DD55&gt;VLOOKUP("PCS-OzTL748",ARBOR!$A:$C,3,0),"Maior que CAP!",IF((DOLLAR(DD55+(VLOOKUP("PCS-OzTL748",ARBOR!$A:$C,3,0)*-TRUNC(DD55/VLOOKUP("PCS-OzTL748",ARBOR!$A:$C,3,0)-1,4)),6))&lt;&gt;(DOLLAR(VLOOKUP("PCS-OzTL748",ARBOR!$A:$C,3,0),6)),-TRUNC(DD55/VLOOKUP("PCS-OzTL748",ARBOR!$A:$C,3,0)-1,4)+0.0001,-TRUNC(DD55/VLOOKUP("PCS-OzTL748",ARBOR!$A:$C,3,0)-1,4)))))</f>
        <v/>
      </c>
      <c r="DF55" s="28" t="str">
        <f>IF(ISERROR(IF(DE55="","",VLOOKUP(($BC55&amp;DE55&amp;"Template desconto FLAT Plano Principal Oi TV nível conta"),BENEFICIOS!$A:$G,5,0))),"Criar",IF(DE55="","",VLOOKUP(($BC55&amp;DE55&amp;"Template desconto FLAT Plano Principal Oi TV nível conta"),BENEFICIOS!$A:$G,5,0)))</f>
        <v/>
      </c>
      <c r="DG55" s="8"/>
      <c r="DH55" s="3" t="str">
        <f>IF(DG55=0,"",IF(DG55=VLOOKUP("PCS-OzTL34",ARBOR!$A:$C,3,0),0.0001,IF(DG55&gt;VLOOKUP("PCS-OzTL34",ARBOR!$A:$C,3,0),"Maior que CAP!",IF((DOLLAR(DG55+(VLOOKUP("PCS-OzTL34",ARBOR!$A:$C,3,0)*-TRUNC(DG55/VLOOKUP("PCS-OzTL34",ARBOR!$A:$C,3,0)-1,4)),6))&lt;&gt;(DOLLAR(VLOOKUP("PCS-OzTL34",ARBOR!$A:$C,3,0),6)),-TRUNC(DG55/VLOOKUP("PCS-OzTL34",ARBOR!$A:$C,3,0)-1,4)+0.0001,-TRUNC(DG55/VLOOKUP("PCS-OzTL34",ARBOR!$A:$C,3,0)-1,4)))))</f>
        <v/>
      </c>
      <c r="DI55" s="28" t="str">
        <f>IF(DH55="S/Desc","S/Desc",IF(ISERROR(IF(DH55="","",VLOOKUP(($BC55&amp;DH55&amp;"Template desconto % Combate nível conta"),BENEFICIOS!$A:$G,5,0))),"Criar",IF(DH55="","",VLOOKUP(($BC55&amp;DH55&amp;"Template desconto % Combate nível conta"),BENEFICIOS!$A:$G,5,0))))</f>
        <v/>
      </c>
      <c r="DJ55" s="8"/>
      <c r="DK55" s="3" t="str">
        <f>IF(DJ55=0,"",IF(DJ55=VLOOKUP("PCS-OzTL31",ARBOR!$A:$C,3,0),0.0001,IF(DJ55&gt;VLOOKUP("PCS-OzTL31",ARBOR!$A:$C,3,0),"Maior que CAP!",IF((DOLLAR(DJ55+(VLOOKUP("PCS-OzTL31",ARBOR!$A:$C,3,0)*-TRUNC(DJ55/VLOOKUP("PCS-OzTL31",ARBOR!$A:$C,3,0)-1,4)),6))&lt;&gt;(DOLLAR(VLOOKUP("PCS-OzTL31",ARBOR!$A:$C,3,0),6)),-TRUNC(DJ55/VLOOKUP("PCS-OzTL31",ARBOR!$A:$C,3,0)-1,4)+0.0001,-TRUNC(DJ55/VLOOKUP("PCS-OzTL31",ARBOR!$A:$C,3,0)-1,4)))))</f>
        <v/>
      </c>
      <c r="DL55" s="28" t="str">
        <f>IF(DK55="S/Desc","S/Desc",IF(ISERROR(IF(DK55="","",VLOOKUP(($BC55&amp;DK55&amp;"Template desconto % Sexy Hot nível conta"),BENEFICIOS!$A:$G,5,0))),"Criar",IF(DK55="","",VLOOKUP(($BC55&amp;DK55&amp;"Template desconto % Sexy Hot nível conta"),BENEFICIOS!$A:$G,5,0))))</f>
        <v/>
      </c>
      <c r="DM55" s="8"/>
      <c r="DN55" s="3" t="str">
        <f>IF(DM55=0,"",IF(DM55=VLOOKUP("PCS-OzTL32",ARBOR!$A:$C,3,0),0.0001,IF(DM55&gt;VLOOKUP("PCS-OzTL32",ARBOR!$A:$C,3,0),"Maior que CAP!",IF((DOLLAR(DM55+(VLOOKUP("PCS-OzTL32",ARBOR!$A:$C,3,0)*-TRUNC(DM55/VLOOKUP("PCS-OzTL32",ARBOR!$A:$C,3,0)-1,4)),6))&lt;&gt;(DOLLAR(VLOOKUP("PCS-OzTL32",ARBOR!$A:$C,3,0),6)),-TRUNC(DM55/VLOOKUP("PCS-OzTL32",ARBOR!$A:$C,3,0)-1,4)+0.0001,-TRUNC(DM55/VLOOKUP("PCS-OzTL32",ARBOR!$A:$C,3,0)-1,4)))))</f>
        <v/>
      </c>
      <c r="DO55" s="28" t="str">
        <f>IF(DN55="S/Desc","S/Desc",IF(ISERROR(IF(DN55="","",VLOOKUP(($BC55&amp;DN55&amp;"Template desconto % Playboy nível conta"),BENEFICIOS!$A:$G,5,0))),"Criar",IF(DN55="","",VLOOKUP(($BC55&amp;DN55&amp;"Template desconto % Playboy nível conta"),BENEFICIOS!$A:$G,5,0))))</f>
        <v/>
      </c>
      <c r="DP55" s="8"/>
      <c r="DQ55" s="3" t="str">
        <f>IF(DP55=0,"",IF(DP55=VLOOKUP("PCS-OzTL33",ARBOR!$A:$C,3,0),0.0001,IF(DP55&gt;VLOOKUP("PCS-OzTL33",ARBOR!$A:$C,3,0),"Maior que CAP!",IF((DOLLAR(DP55+(VLOOKUP("PCS-OzTL33",ARBOR!$A:$C,3,0)*-TRUNC(DP55/VLOOKUP("PCS-OzTL33",ARBOR!$A:$C,3,0)-1,4)),6))&lt;&gt;(DOLLAR(VLOOKUP("PCS-OzTL33",ARBOR!$A:$C,3,0),6)),-TRUNC(DP55/VLOOKUP("PCS-OzTL33",ARBOR!$A:$C,3,0)-1,4)+0.0001,-TRUNC(DP55/VLOOKUP("PCS-OzTL33",ARBOR!$A:$C,3,0)-1,4)))))</f>
        <v/>
      </c>
      <c r="DR55" s="28" t="str">
        <f>IF(DQ55="S/Desc","S/Desc",IF(ISERROR(IF(DQ55="","",VLOOKUP(($BC55&amp;DQ55&amp;"Template desconto % Sexy Hot + Playboy nível conta"),BENEFICIOS!$A:$G,5,0))),"Criar",IF(DQ55="","",VLOOKUP(($BC55&amp;DQ55&amp;"Template desconto % Sexy Hot + Playboy nível conta"),BENEFICIOS!$A:$G,5,0))))</f>
        <v/>
      </c>
      <c r="DS55" s="8"/>
      <c r="DT55" s="3" t="str">
        <f>IF(DS55=0,"",IF(DS55=VLOOKUP("PCS-OzTL503",ARBOR!$A:$C,3,0),0.0001,IF(DS55&gt;VLOOKUP("PCS-OzTL503",ARBOR!$A:$C,3,0),"Maior que CAP!",IF((DOLLAR(DS55+(VLOOKUP("PCS-OzTL503",ARBOR!$A:$C,3,0)*-TRUNC(DS55/VLOOKUP("PCS-OzTL503",ARBOR!$A:$C,3,0)-1,4)),6))&lt;&gt;(DOLLAR(VLOOKUP("PCS-OzTL503",ARBOR!$A:$C,3,0),6)),-TRUNC(DS55/VLOOKUP("PCS-OzTL503",ARBOR!$A:$C,3,0)-1,4)+0.0001,-TRUNC(DS55/VLOOKUP("PCS-OzTL503",ARBOR!$A:$C,3,0)-1,4)))))</f>
        <v/>
      </c>
      <c r="DU55" s="28" t="str">
        <f>IF(DT55="S/Desc","S/Desc",IF(ISERROR(IF(DT55="","",VLOOKUP(($BC55&amp;DT55&amp;"Template desconto % SexPrivê nível conta"),BENEFICIOS!$A:$G,5,0))),"Criar",IF(DT55="","",VLOOKUP(($BC55&amp;DT55&amp;"Template desconto % SexPrivê nível conta"),BENEFICIOS!$A:$G,5,0))))</f>
        <v/>
      </c>
      <c r="DV55" s="8"/>
      <c r="DW55" s="3" t="str">
        <f>IF(DV55=0,"",IF(DV55=VLOOKUP("PCS-OzTL500",ARBOR!$A:$C,3,0),0.0001,IF(DV55&gt;VLOOKUP("PCS-OzTL500",ARBOR!$A:$C,3,0),"Maior que CAP!",IF((DOLLAR(DV55+(VLOOKUP("PCS-OzTL500",ARBOR!$A:$C,3,0)*-TRUNC(DV55/VLOOKUP("PCS-OzTL500",ARBOR!$A:$C,3,0)-1,4)),6))&lt;&gt;(DOLLAR(VLOOKUP("PCS-OzTL500",ARBOR!$A:$C,3,0),6)),-TRUNC(DV55/VLOOKUP("PCS-OzTL500",ARBOR!$A:$C,3,0)-1,4)+0.0001,-TRUNC(DV55/VLOOKUP("PCS-OzTL500",ARBOR!$A:$C,3,0)-1,4)))))</f>
        <v/>
      </c>
      <c r="DX55" s="28" t="str">
        <f>IF(DW55="S/Desc","S/Desc",IF(ISERROR(IF(DW55="","",VLOOKUP(($BC55&amp;DW55&amp;"Template desconto % Étnico nível conta"),BENEFICIOS!$A:$G,5,0))),"Criar",IF(DW55="","",VLOOKUP(($BC55&amp;DW55&amp;"Template desconto % Étnico nível conta"),BENEFICIOS!$A:$G,5,0))))</f>
        <v/>
      </c>
      <c r="DY55" s="8"/>
      <c r="DZ55" s="181" t="str">
        <f>IF(DY55=0,"",IF(DY55=VLOOKUP("PCS-OzTL50",ARBOR!$A:$C,3,0),0.0001,IF(DY55&gt;VLOOKUP("PCS-OzTL50",ARBOR!$A:$C,3,0),"Maior que CAP!",IF((DOLLAR(DY55+(VLOOKUP("PCS-OzTL50",ARBOR!$A:$C,3,0)*-TRUNC(DY55/VLOOKUP("PCS-OzTL50",ARBOR!$A:$C,3,0)-1,4)),6))&lt;&gt;(DOLLAR(VLOOKUP("PCS-OzTL50",ARBOR!$A:$C,3,0),6)),-TRUNC(DY55/VLOOKUP("PCS-OzTL50",ARBOR!$A:$C,3,0)-1,4)+0.0001,-TRUNC(DY55/VLOOKUP("PCS-OzTL50",ARBOR!$A:$C,3,0)-1,4)))))</f>
        <v/>
      </c>
      <c r="EA55" s="28"/>
      <c r="EB55" s="8"/>
      <c r="EC55" s="181" t="str">
        <f>IF(EB55=0,"",IF(EB55=VLOOKUP("PCS-OzTL51",ARBOR!$A:$C,3,0),0.0001,IF(EB55&gt;VLOOKUP("PCS-OzTL51",ARBOR!$A:$C,3,0),"Maior que CAP!",IF((DOLLAR(EB55+(VLOOKUP("PCS-OzTL51",ARBOR!$A:$C,3,0)*-TRUNC(EB55/VLOOKUP("PCS-OzTL51",ARBOR!$A:$C,3,0)-1,4)),6))&lt;&gt;(DOLLAR(VLOOKUP("PCS-OzTL51",ARBOR!$A:$C,3,0),6)),-TRUNC(EB55/VLOOKUP("PCS-OzTL51",ARBOR!$A:$C,3,0)-1,4)+0.0001,-TRUNC(EB55/VLOOKUP("PCS-OzTL51",ARBOR!$A:$C,3,0)-1,4)))))</f>
        <v/>
      </c>
      <c r="ED55" s="28"/>
      <c r="EE55" s="8"/>
      <c r="EF55" s="181" t="str">
        <f>IF(EE55=0,"",IF(EE55=VLOOKUP("PCS-OzTL52",ARBOR!$A:$C,3,0),0.0001,IF(EE55&gt;VLOOKUP("PCS-OzTL52",ARBOR!$A:$C,3,0),"Maior que CAP!",IF((DOLLAR(EE55+(VLOOKUP("PCS-OzTL52",ARBOR!$A:$C,3,0)*-TRUNC(EE55/VLOOKUP("PCS-OzTL52",ARBOR!$A:$C,3,0)-1,4)),6))&lt;&gt;(DOLLAR(VLOOKUP("PCS-OzTL52",ARBOR!$A:$C,3,0),6)),-TRUNC(EE55/VLOOKUP("PCS-OzTL52",ARBOR!$A:$C,3,0)-1,4)+0.0001,-TRUNC(EE55/VLOOKUP("PCS-OzTL52",ARBOR!$A:$C,3,0)-1,4)))))</f>
        <v/>
      </c>
      <c r="EG55" s="28"/>
      <c r="EH55" s="8"/>
      <c r="EI55" s="181" t="str">
        <f>IF(EH55=0,"",IF(EH55=VLOOKUP("PCS-OzTL53",ARBOR!$A:$C,3,0),0.0001,IF(EH55&gt;VLOOKUP("PCS-OzTL53",ARBOR!$A:$C,3,0),"Maior que CAP!",IF((DOLLAR(EH55+(VLOOKUP("PCS-OzTL53",ARBOR!$A:$C,3,0)*-TRUNC(EH55/VLOOKUP("PCS-OzTL53",ARBOR!$A:$C,3,0)-1,4)),6))&lt;&gt;(DOLLAR(VLOOKUP("PCS-OzTL53",ARBOR!$A:$C,3,0),6)),-TRUNC(EH55/VLOOKUP("PCS-OzTL53",ARBOR!$A:$C,3,0)-1,4)+0.0001,-TRUNC(EH55/VLOOKUP("PCS-OzTL53",ARBOR!$A:$C,3,0)-1,4)))))</f>
        <v/>
      </c>
      <c r="EJ55" s="28"/>
      <c r="EK55" s="8"/>
      <c r="EL55" s="181" t="str">
        <f>IF(EK55=0,"",IF(EK55=VLOOKUP("PCS-OzTL54",ARBOR!$A:$C,3,0),0.0001,IF(EK55&gt;VLOOKUP("PCS-OzTL54",ARBOR!$A:$C,3,0),"Maior que CAP!",IF((DOLLAR(EK55+(VLOOKUP("PCS-OzTL54",ARBOR!$A:$C,3,0)*-TRUNC(EK55/VLOOKUP("PCS-OzTL54",ARBOR!$A:$C,3,0)-1,4)),6))&lt;&gt;(DOLLAR(VLOOKUP("PCS-OzTL54",ARBOR!$A:$C,3,0),6)),-TRUNC(EK55/VLOOKUP("PCS-OzTL54",ARBOR!$A:$C,3,0)-1,4)+0.0001,-TRUNC(EK55/VLOOKUP("PCS-OzTL54",ARBOR!$A:$C,3,0)-1,4)))))</f>
        <v/>
      </c>
      <c r="EM55" s="28"/>
      <c r="EN55" s="8"/>
      <c r="EO55" s="3" t="str">
        <f>IF(EN55=0,"",IF(EN55=VLOOKUP("PCS-OzTL99",ARBOR!$A:$C,3,0),0.0001,IF(EN55&gt;VLOOKUP("PCS-OzTL99",ARBOR!$A:$C,3,0),"Maior que CAP!",IF((DOLLAR(EN55+(VLOOKUP("PCS-OzTL99",ARBOR!$A:$C,3,0)*-TRUNC(EN55/VLOOKUP("PCS-OzTL99",ARBOR!$A:$C,3,0)-1,4)),6))&lt;&gt;(DOLLAR(VLOOKUP("PCS-OzTL99",ARBOR!$A:$C,3,0),6)),-TRUNC(EN55/VLOOKUP("PCS-OzTL99",ARBOR!$A:$C,3,0)-1,4)+0.0001,-TRUNC(EN55/VLOOKUP("PCS-OzTL99",ARBOR!$A:$C,3,0)-1,4)))))</f>
        <v/>
      </c>
      <c r="EP55" s="28" t="str">
        <f>IF(EO55="S/Desc","S/Desc",IF(ISERROR(IF(EO55="","",VLOOKUP(($BC55&amp;EO55&amp;"Template desconto % Ponto adicional nível conta"),BENEFICIOS!$A:$G,5,0))),"Criar",IF(EO55="","",VLOOKUP(($BC55&amp;EO55&amp;"Template desconto % Ponto adicional nível conta"),BENEFICIOS!$A:$G,5,0))))</f>
        <v/>
      </c>
      <c r="EQ55" s="8"/>
      <c r="ER55" s="28" t="str">
        <f t="shared" si="23"/>
        <v/>
      </c>
      <c r="ES55" s="62"/>
      <c r="ET55" s="126"/>
      <c r="EU55" s="127"/>
      <c r="EV55" s="126"/>
      <c r="EW55" s="128" t="str">
        <f t="shared" si="24"/>
        <v/>
      </c>
      <c r="EX55" s="129" t="str">
        <f t="shared" si="25"/>
        <v/>
      </c>
      <c r="EY55" s="91" t="str">
        <f t="shared" si="26"/>
        <v/>
      </c>
      <c r="EZ55" s="85"/>
      <c r="FA55" s="97"/>
      <c r="FB55" s="91"/>
      <c r="FC55" s="85"/>
      <c r="FD55" s="97"/>
      <c r="FE55" s="91"/>
      <c r="FF55" s="87"/>
      <c r="FG55" s="144" t="str">
        <f t="shared" si="5"/>
        <v/>
      </c>
      <c r="FH55" s="144" t="str">
        <f t="shared" si="6"/>
        <v/>
      </c>
      <c r="FI55" s="144" t="str">
        <f t="shared" si="7"/>
        <v/>
      </c>
      <c r="FJ55" s="144" t="str">
        <f t="shared" si="8"/>
        <v/>
      </c>
      <c r="FK55" s="144" t="str">
        <f t="shared" si="9"/>
        <v/>
      </c>
      <c r="FL55" s="144" t="str">
        <f t="shared" si="10"/>
        <v/>
      </c>
      <c r="FM55" s="144" t="str">
        <f t="shared" si="11"/>
        <v/>
      </c>
      <c r="FN55" s="144" t="str">
        <f t="shared" si="12"/>
        <v/>
      </c>
      <c r="FO55" s="144" t="str">
        <f t="shared" si="13"/>
        <v/>
      </c>
      <c r="FP55" s="144" t="str">
        <f t="shared" si="14"/>
        <v/>
      </c>
      <c r="FQ55" s="144" t="str">
        <f t="shared" si="15"/>
        <v/>
      </c>
      <c r="FR55" s="144" t="str">
        <f t="shared" si="16"/>
        <v/>
      </c>
      <c r="FS55" s="144" t="str">
        <f t="shared" si="17"/>
        <v/>
      </c>
      <c r="FT55" s="144" t="str">
        <f t="shared" si="18"/>
        <v/>
      </c>
      <c r="FU55" s="144" t="str">
        <f t="shared" si="19"/>
        <v/>
      </c>
      <c r="FV55" s="144" t="str">
        <f t="shared" si="20"/>
        <v/>
      </c>
      <c r="FW55" s="144" t="str">
        <f t="shared" si="21"/>
        <v/>
      </c>
      <c r="FX55" s="151"/>
      <c r="FY55" s="152"/>
      <c r="FZ55" s="152"/>
      <c r="GA55" s="152"/>
      <c r="GB55" s="152"/>
      <c r="GC55" s="152"/>
      <c r="GD55" s="152"/>
      <c r="GE55" s="152"/>
      <c r="GF55" s="152"/>
      <c r="GG55" s="153"/>
    </row>
    <row r="56" spans="1:189">
      <c r="A56" s="45"/>
      <c r="B56" s="133"/>
      <c r="C56" s="133"/>
      <c r="D56" s="46"/>
      <c r="E56" s="4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9"/>
      <c r="U56" s="48"/>
      <c r="V56" s="49"/>
      <c r="W56" s="48"/>
      <c r="X56" s="48"/>
      <c r="Y56" s="48"/>
      <c r="Z56" s="48"/>
      <c r="AA56" s="49"/>
      <c r="AB56" s="48"/>
      <c r="AC56" s="50"/>
      <c r="AD56" s="48"/>
      <c r="AE56" s="48"/>
      <c r="AF56" s="48"/>
      <c r="AG56" s="48"/>
      <c r="AH56" s="48"/>
      <c r="AI56" s="48"/>
      <c r="AJ56" s="48"/>
      <c r="AK56" s="48"/>
      <c r="AL56" s="51"/>
      <c r="AM56" s="37"/>
      <c r="AN56" s="38"/>
      <c r="AO56" s="39"/>
      <c r="AP56" s="52"/>
      <c r="AQ56" s="53"/>
      <c r="AR56" s="64"/>
      <c r="AS56" s="65"/>
      <c r="AT56" s="54"/>
      <c r="AU56" s="54"/>
      <c r="AV56" s="54"/>
      <c r="AW56" s="54"/>
      <c r="AX56" s="70"/>
      <c r="AY56" s="71"/>
      <c r="AZ56" s="72"/>
      <c r="BA56" s="73"/>
      <c r="BB56" s="55"/>
      <c r="BC56" s="56"/>
      <c r="BD56" s="27" t="str">
        <f t="shared" si="22"/>
        <v/>
      </c>
      <c r="BE56" s="58"/>
      <c r="BF56" s="3" t="str">
        <f>IF(BE56=0,"",IF(BE56=VLOOKUP("FIXO",ARBOR!$A:$C,3,0),0.0001,IF(BE56&gt;VLOOKUP("FIXO",ARBOR!$A:$C,3,0),"Maior que CAP!",IF((DOLLAR(BE56+(VLOOKUP("FIXO",ARBOR!$A:$C,3,0)*-TRUNC(BE56/VLOOKUP("FIXO",ARBOR!$A:$C,3,0)-1,4)),6))&lt;&gt;(DOLLAR(VLOOKUP("FIXO",ARBOR!$A:$C,3,0),6)),-TRUNC(BE56/VLOOKUP("FIXO",ARBOR!$A:$C,3,0)-1,4)+0.0001,-TRUNC(BE56/VLOOKUP("FIXO",ARBOR!$A:$C,3,0)-1,4)))))</f>
        <v/>
      </c>
      <c r="BG56" s="10" t="str">
        <f>IF(ISERROR(IF(BF56="","",VLOOKUP(($BC56&amp;BF56&amp;"Template de desconto FLAT bundle - Fixo - Varejo - Ganho Tributário Cross"),BENEFICIOS!$A:$G,5,0))),"Criar",IF(BF56="","",VLOOKUP(($BC56&amp;BF56&amp;"Template de desconto FLAT bundle - Fixo - Varejo - Ganho Tributário Cross"),BENEFICIOS!$A:$G,5,0)))</f>
        <v/>
      </c>
      <c r="BH56" s="8"/>
      <c r="BI56" s="3" t="str">
        <f>IF(BH56=0,"",IF(BH56=VLOOKUP("PCS-OzTL40",ARBOR!$A:$C,3,0),0.0001,IF(BH56&gt;VLOOKUP("PCS-OzTL40",ARBOR!$A:$C,3,0),"Maior que CAP!",IF((DOLLAR(BH56+(VLOOKUP("PCS-OzTL40",ARBOR!$A:$C,3,0)*-TRUNC(BH56/VLOOKUP("PCS-OzTL40",ARBOR!$A:$C,3,0)-1,4)),6))&lt;&gt;(DOLLAR(VLOOKUP("PCS-OzTL40",ARBOR!$A:$C,3,0),6)),-TRUNC(BH56/VLOOKUP("PCS-OzTL40",ARBOR!$A:$C,3,0)-1,4)+0.0001,-TRUNC(BH56/VLOOKUP("PCS-OzTL40",ARBOR!$A:$C,3,0)-1,4)))))</f>
        <v/>
      </c>
      <c r="BJ56" s="10" t="str">
        <f>IF(ISERROR(IF(BI56="","",VLOOKUP((BC56&amp;BI56&amp;"Template desconto FLAT Plano Principal Oi TV nível conta"),BENEFICIOS!$A:$G,5,0))),"Criar",IF(BI56="","",VLOOKUP((BC56&amp;BI56&amp;"Template desconto FLAT Plano Principal Oi TV nível conta"),BENEFICIOS!$A:$G,5,0)))</f>
        <v/>
      </c>
      <c r="BK56" s="8"/>
      <c r="BL56" s="3" t="str">
        <f>IF(BK56=0,"",IF(BK56=VLOOKUP("PCS-OzTL41",ARBOR!$A:$C,3,0),0.0001,IF(BK56&gt;VLOOKUP("PCS-OzTL41",ARBOR!$A:$C,3,0),"Maior que CAP!",IF((DOLLAR(BK56+(VLOOKUP("PCS-OzTL41",ARBOR!$A:$C,3,0)*-TRUNC(BK56/VLOOKUP("PCS-OzTL41",ARBOR!$A:$C,3,0)-1,4)),6))&lt;&gt;(DOLLAR(VLOOKUP("PCS-OzTL41",ARBOR!$A:$C,3,0),6)),-TRUNC(BK56/VLOOKUP("PCS-OzTL41",ARBOR!$A:$C,3,0)-1,4)+0.0001,-TRUNC(BK56/VLOOKUP("PCS-OzTL41",ARBOR!$A:$C,3,0)-1,4)))))</f>
        <v/>
      </c>
      <c r="BM56" s="28" t="str">
        <f>IF(ISERROR(IF(BL56="","",VLOOKUP((BC56&amp;BL56&amp;"Template desconto FLAT Plano Principal Oi TV nível conta"),BENEFICIOS!$A:$G,5,0))),"Criar",IF(BL56="","",VLOOKUP((BC56&amp;BL56&amp;"Template desconto FLAT Plano Principal Oi TV nível conta"),BENEFICIOS!$A:$G,5,0)))</f>
        <v/>
      </c>
      <c r="BN56" s="8"/>
      <c r="BO56" s="3" t="str">
        <f>IF(BN56=0,"",IF(BN56=VLOOKUP("PCS-OzTL44",ARBOR!$A:$C,3,0),0.0001,IF(BN56&gt;VLOOKUP("PCS-OzTL44",ARBOR!$A:$C,3,0),"Maior que CAP!",IF((DOLLAR(BN56+(VLOOKUP("PCS-OzTL44",ARBOR!$A:$C,3,0)*-TRUNC(BN56/VLOOKUP("PCS-OzTL44",ARBOR!$A:$C,3,0)-1,4)),6))&lt;&gt;(DOLLAR(VLOOKUP("PCS-OzTL44",ARBOR!$A:$C,3,0),6)),-TRUNC(BN56/VLOOKUP("PCS-OzTL44",ARBOR!$A:$C,3,0)-1,4)+0.0001,-TRUNC(BN56/VLOOKUP("PCS-OzTL44",ARBOR!$A:$C,3,0)-1,4)))))</f>
        <v/>
      </c>
      <c r="BP56" s="28" t="str">
        <f>IF(ISERROR(IF(BO56="","",VLOOKUP((BC56&amp;BO56&amp;"Template desconto FLAT Plano Principal Oi TV nível conta"),BENEFICIOS!$A:$G,5,0))),"Criar",IF(BO56="","",VLOOKUP((BC56&amp;BO56&amp;"Template desconto FLAT Plano Principal Oi TV nível conta"),BENEFICIOS!$A:$G,5,0)))</f>
        <v/>
      </c>
      <c r="BQ56" s="8"/>
      <c r="BR56" s="3" t="str">
        <f>IF(BQ56=0,"",IF(BQ56=VLOOKUP("PCS-OzTL43",ARBOR!$A:$C,3,0),0.0001,IF(BQ56&gt;VLOOKUP("PCS-OzTL43",ARBOR!$A:$C,3,0),"Maior que CAP!",IF((DOLLAR(BQ56+(VLOOKUP("PCS-OzTL43",ARBOR!$A:$C,3,0)*-TRUNC(BQ56/VLOOKUP("PCS-OzTL43",ARBOR!$A:$C,3,0)-1,4)),6))&lt;&gt;(DOLLAR(VLOOKUP("PCS-OzTL43",ARBOR!$A:$C,3,0),6)),-TRUNC(BQ56/VLOOKUP("PCS-OzTL43",ARBOR!$A:$C,3,0)-1,4)+0.0001,-TRUNC(BQ56/VLOOKUP("PCS-OzTL43",ARBOR!$A:$C,3,0)-1,4)))))</f>
        <v/>
      </c>
      <c r="BS56" s="28" t="str">
        <f>IF(ISERROR(IF(BR56="","",VLOOKUP((BC56&amp;BR56&amp;"Template desconto FLAT Plano Principal Oi TV nível conta"),BENEFICIOS!$A:$G,5,0))),"Criar",IF(BR56="","",VLOOKUP((BC56&amp;BR56&amp;"Template desconto FLAT Plano Principal Oi TV nível conta"),BENEFICIOS!$A:$G,5,0)))</f>
        <v/>
      </c>
      <c r="BT56" s="8"/>
      <c r="BU56" s="3" t="str">
        <f>IF(BT56=0,"",IF(BT56=VLOOKUP("PCS-OzTL45",ARBOR!$A:$C,3,0),0.0001,IF(BT56&gt;VLOOKUP("PCS-OzTL45",ARBOR!$A:$C,3,0),"Maior que CAP!",IF((DOLLAR(BT56+(VLOOKUP("PCS-OzTL45",ARBOR!$A:$C,3,0)*-TRUNC(BT56/VLOOKUP("PCS-OzTL45",ARBOR!$A:$C,3,0)-1,4)),6))&lt;&gt;(DOLLAR(VLOOKUP("PCS-OzTL45",ARBOR!$A:$C,3,0),6)),-TRUNC(BT56/VLOOKUP("PCS-OzTL45",ARBOR!$A:$C,3,0)-1,4)+0.0001,-TRUNC(BT56/VLOOKUP("PCS-OzTL45",ARBOR!$A:$C,3,0)-1,4)))))</f>
        <v/>
      </c>
      <c r="BV56" s="28" t="str">
        <f>IF(ISERROR(IF(BU56="","",VLOOKUP((BC56&amp;BU56&amp;"Template desconto FLAT Plano Principal Oi TV nível conta"),BENEFICIOS!$A:$G,5,0))),"Criar",IF(BU56="","",VLOOKUP((BC56&amp;BU56&amp;"Template desconto FLAT Plano Principal Oi TV nível conta"),BENEFICIOS!$A:$G,5,0)))</f>
        <v/>
      </c>
      <c r="BW56" s="8"/>
      <c r="BX56" s="3" t="str">
        <f>IF(BW56=0,"",IF(BW56=VLOOKUP("PCS-OzTL741",ARBOR!$A:$C,3,0),0.0001,IF(BW56&gt;VLOOKUP("PCS-OzTL741",ARBOR!$A:$C,3,0),"Maior que CAP!",IF((DOLLAR(BW56+(VLOOKUP("PCS-OzTL741",ARBOR!$A:$C,3,0)*-TRUNC(BW56/VLOOKUP("PCS-OzTL741",ARBOR!$A:$C,3,0)-1,4)),6))&lt;&gt;(DOLLAR(VLOOKUP("PCS-OzTL741",ARBOR!$A:$C,3,0),6)),-TRUNC(BW56/VLOOKUP("PCS-OzTL741",ARBOR!$A:$C,3,0)-1,4)+0.0001,-TRUNC(BW56/VLOOKUP("PCS-OzTL741",ARBOR!$A:$C,3,0)-1,4)))))</f>
        <v/>
      </c>
      <c r="BY56" s="28" t="str">
        <f>IF(ISERROR(IF(BX56="","",VLOOKUP((BC56&amp;BX56&amp;"Template desconto FLAT Plano Principal Oi TV nível conta"),BENEFICIOS!$A:$G,5,0))),"Criar",IF(BX56="","",VLOOKUP((BC56&amp;BX56&amp;"Template desconto FLAT Plano Principal Oi TV nível conta"),BENEFICIOS!$A:$G,5,0)))</f>
        <v/>
      </c>
      <c r="BZ56" s="8"/>
      <c r="CA56" s="3" t="str">
        <f>IF(BZ56=0,"",IF(BZ56=VLOOKUP("PCS-OzTL744",ARBOR!$A:$C,3,0),0.0001,IF(BZ56&gt;VLOOKUP("PCS-OzTL744",ARBOR!$A:$C,3,0),"Maior que CAP!",IF((DOLLAR(BZ56+(VLOOKUP("PCS-OzTL744",ARBOR!$A:$C,3,0)*-TRUNC(BZ56/VLOOKUP("PCS-OzTL744",ARBOR!$A:$C,3,0)-1,4)),6))&lt;&gt;(DOLLAR(VLOOKUP("PCS-OzTL744",ARBOR!$A:$C,3,0),6)),-TRUNC(BZ56/VLOOKUP("PCS-OzTL744",ARBOR!$A:$C,3,0)-1,4)+0.0001,-TRUNC(BZ56/VLOOKUP("PCS-OzTL744",ARBOR!$A:$C,3,0)-1,4)))))</f>
        <v/>
      </c>
      <c r="CB56" s="28" t="str">
        <f>IF(ISERROR(IF(CA56="","",VLOOKUP(($BC56&amp;CA56&amp;"Template desconto FLAT Plano Principal Oi TV nível conta"),BENEFICIOS!$A:$G,5,0))),"Criar",IF(CA56="","",VLOOKUP(($BC56&amp;CA56&amp;"Template desconto FLAT Plano Principal Oi TV nível conta"),BENEFICIOS!$A:$G,5,0)))</f>
        <v/>
      </c>
      <c r="CC56" s="8"/>
      <c r="CD56" s="3" t="str">
        <f>IF(CC56=0,"",IF(CC56=VLOOKUP("PCS-OzTL743",ARBOR!$A:$C,3,0),0.0001,IF(CC56&gt;VLOOKUP("PCS-OzTL743",ARBOR!$A:$C,3,0),"Maior que CAP!",IF((DOLLAR(CC56+(VLOOKUP("PCS-OzTL743",ARBOR!$A:$C,3,0)*-TRUNC(CC56/VLOOKUP("PCS-OzTL743",ARBOR!$A:$C,3,0)-1,4)),6))&lt;&gt;(DOLLAR(VLOOKUP("PCS-OzTL743",ARBOR!$A:$C,3,0),6)),-TRUNC(CC56/VLOOKUP("PCS-OzTL743",ARBOR!$A:$C,3,0)-1,4)+0.0001,-TRUNC(CC56/VLOOKUP("PCS-OzTL743",ARBOR!$A:$C,3,0)-1,4)))))</f>
        <v/>
      </c>
      <c r="CE56" s="28" t="str">
        <f>IF(ISERROR(IF(CD56="","",VLOOKUP(($BC56&amp;CD56&amp;"Template desconto FLAT Plano Principal Oi TV nível conta"),BENEFICIOS!$A:$G,5,0))),"Criar",IF(CD56="","",VLOOKUP(($BC56&amp;CD56&amp;"Template desconto FLAT Plano Principal Oi TV nível conta"),BENEFICIOS!$A:$G,5,0)))</f>
        <v/>
      </c>
      <c r="CF56" s="8"/>
      <c r="CG56" s="3" t="str">
        <f>IF(CF56=0,"",IF(CF56=VLOOKUP("PCS-OzTL745",ARBOR!$A:$C,3,0),0.0001,IF(CF56&gt;VLOOKUP("PCS-OzTL745",ARBOR!$A:$C,3,0),"Maior que CAP!",IF((DOLLAR(CF56+(VLOOKUP("PCS-OzTL745",ARBOR!$A:$C,3,0)*-TRUNC(CF56/VLOOKUP("PCS-OzTL745",ARBOR!$A:$C,3,0)-1,4)),6))&lt;&gt;(DOLLAR(VLOOKUP("PCS-OzTL745",ARBOR!$A:$C,3,0),6)),-TRUNC(CF56/VLOOKUP("PCS-OzTL745",ARBOR!$A:$C,3,0)-1,4)+0.0001,-TRUNC(CF56/VLOOKUP("PCS-OzTL745",ARBOR!$A:$C,3,0)-1,4)))))</f>
        <v/>
      </c>
      <c r="CH56" s="28" t="str">
        <f>IF(ISERROR(IF(CG56="","",VLOOKUP(($BC56&amp;CG56&amp;"Template desconto FLAT Plano Principal Oi TV nível conta"),BENEFICIOS!$A:$G,5,0))),"Criar",IF(CG56="","",VLOOKUP(($BC56&amp;CG56&amp;"Template desconto FLAT Plano Principal Oi TV nível conta"),BENEFICIOS!$A:$G,5,0)))</f>
        <v/>
      </c>
      <c r="CI56" s="8"/>
      <c r="CJ56" s="3" t="str">
        <f>IF(CI56=0,"",IF(CI56=VLOOKUP("PCS-OzTL42",ARBOR!$A:$C,3,0),0.0001,IF(CI56&gt;VLOOKUP("PCS-OzTL42",ARBOR!$A:$C,3,0),"Maior que CAP!",IF((DOLLAR(CI56+(VLOOKUP("PCS-OzTL42",ARBOR!$A:$C,3,0)*-TRUNC(CI56/VLOOKUP("PCS-OzTL42",ARBOR!$A:$C,3,0)-1,4)),6))&lt;&gt;(DOLLAR(VLOOKUP("PCS-OzTL42",ARBOR!$A:$C,3,0),6)),-TRUNC(CI56/VLOOKUP("PCS-OzTL42",ARBOR!$A:$C,3,0)-1,4)+0.0001,-TRUNC(CI56/VLOOKUP("PCS-OzTL42",ARBOR!$A:$C,3,0)-1,4)))))</f>
        <v/>
      </c>
      <c r="CK56" s="28" t="str">
        <f>IF(ISERROR(IF(CJ56="","",VLOOKUP(($BC56&amp;CJ56&amp;"Template desconto FLAT Plano Principal Oi TV nível conta"),BENEFICIOS!$A:$G,5,0))),"Criar",IF(CJ56="","",VLOOKUP(($BC56&amp;CJ56&amp;"Template desconto FLAT Plano Principal Oi TV nível conta"),BENEFICIOS!$A:$G,5,0)))</f>
        <v/>
      </c>
      <c r="CL56" s="8"/>
      <c r="CM56" s="3" t="str">
        <f>IF(CL56=0,"",IF(CL56=VLOOKUP("PCS-OzTL47",ARBOR!$A:$C,3,0),0.0001,IF(CL56&gt;VLOOKUP("PCS-OzTL47",ARBOR!$A:$C,3,0),"Maior que CAP!",IF((DOLLAR(CL56+(VLOOKUP("PCS-OzTL47",ARBOR!$A:$C,3,0)*-TRUNC(CL56/VLOOKUP("PCS-OzTL47",ARBOR!$A:$C,3,0)-1,4)),6))&lt;&gt;(DOLLAR(VLOOKUP("PCS-OzTL47",ARBOR!$A:$C,3,0),6)),-TRUNC(CL56/VLOOKUP("PCS-OzTL47",ARBOR!$A:$C,3,0)-1,4)+0.0001,-TRUNC(CL56/VLOOKUP("PCS-OzTL47",ARBOR!$A:$C,3,0)-1,4)))))</f>
        <v/>
      </c>
      <c r="CN56" s="28" t="str">
        <f>IF(ISERROR(IF(CM56="","",VLOOKUP(($BC56&amp;CM56&amp;"Template desconto FLAT Plano Principal Oi TV nível conta"),BENEFICIOS!$A:$G,5,0))),"Criar",IF(CM56="","",VLOOKUP(($BC56&amp;CM56&amp;"Template desconto FLAT Plano Principal Oi TV nível conta"),BENEFICIOS!$A:$G,5,0)))</f>
        <v/>
      </c>
      <c r="CO56" s="8"/>
      <c r="CP56" s="3" t="str">
        <f>IF(CO56=0,"",IF(CO56=VLOOKUP("PCS-OzTL46",ARBOR!$A:$C,3,0),0.0001,IF(CO56&gt;VLOOKUP("PCS-OzTL46",ARBOR!$A:$C,3,0),"Maior que CAP!",IF((DOLLAR(CO56+(VLOOKUP("PCS-OzTL46",ARBOR!$A:$C,3,0)*-TRUNC(CO56/VLOOKUP("PCS-OzTL46",ARBOR!$A:$C,3,0)-1,4)),6))&lt;&gt;(DOLLAR(VLOOKUP("PCS-OzTL46",ARBOR!$A:$C,3,0),6)),-TRUNC(CO56/VLOOKUP("PCS-OzTL46",ARBOR!$A:$C,3,0)-1,4)+0.0001,-TRUNC(CO56/VLOOKUP("PCS-OzTL46",ARBOR!$A:$C,3,0)-1,4)))))</f>
        <v/>
      </c>
      <c r="CQ56" s="28" t="str">
        <f>IF(ISERROR(IF(CP56="","",VLOOKUP(($BC56&amp;CP56&amp;"Template desconto FLAT Plano Principal Oi TV nível conta"),BENEFICIOS!$A:$G,5,0))),"Criar",IF(CP56="","",VLOOKUP(($BC56&amp;CP56&amp;"Template desconto FLAT Plano Principal Oi TV nível conta"),BENEFICIOS!$A:$G,5,0)))</f>
        <v/>
      </c>
      <c r="CR56" s="8"/>
      <c r="CS56" s="3" t="str">
        <f>IF(CR56=0,"",IF(CR56=VLOOKUP("PCS-OzTL48",ARBOR!$A:$C,3,0),0.0001,IF(CR56&gt;VLOOKUP("PCS-OzTL48",ARBOR!$A:$C,3,0),"Maior que CAP!",IF((DOLLAR(CR56+(VLOOKUP("PCS-OzTL48",ARBOR!$A:$C,3,0)*-TRUNC(CR56/VLOOKUP("PCS-OzTL48",ARBOR!$A:$C,3,0)-1,4)),6))&lt;&gt;(DOLLAR(VLOOKUP("PCS-OzTL48",ARBOR!$A:$C,3,0),6)),-TRUNC(CR56/VLOOKUP("PCS-OzTL48",ARBOR!$A:$C,3,0)-1,4)+0.0001,-TRUNC(CR56/VLOOKUP("PCS-OzTL48",ARBOR!$A:$C,3,0)-1,4)))))</f>
        <v/>
      </c>
      <c r="CT56" s="28" t="str">
        <f>IF(ISERROR(IF(CS56="","",VLOOKUP(($BC56&amp;CS56&amp;"Template desconto FLAT Plano Principal Oi TV nível conta"),BENEFICIOS!$A:$G,5,0))),"Criar",IF(CS56="","",VLOOKUP(($BC56&amp;CS56&amp;"Template desconto FLAT Plano Principal Oi TV nível conta"),BENEFICIOS!$A:$G,5,0)))</f>
        <v/>
      </c>
      <c r="CU56" s="8"/>
      <c r="CV56" s="3" t="str">
        <f>IF(CU56=0,"",IF(CU56=VLOOKUP("PCS-OzTL742",ARBOR!$A:$C,3,0),0.0001,IF(CU56&gt;VLOOKUP("PCS-OzTL742",ARBOR!$A:$C,3,0),"Maior que CAP!",IF((DOLLAR(CU56+(VLOOKUP("PCS-OzTL742",ARBOR!$A:$C,3,0)*-TRUNC(CU56/VLOOKUP("PCS-OzTL742",ARBOR!$A:$C,3,0)-1,4)),6))&lt;&gt;(DOLLAR(VLOOKUP("PCS-OzTL742",ARBOR!$A:$C,3,0),6)),-TRUNC(CU56/VLOOKUP("PCS-OzTL742",ARBOR!$A:$C,3,0)-1,4)+0.0001,-TRUNC(CU56/VLOOKUP("PCS-OzTL742",ARBOR!$A:$C,3,0)-1,4)))))</f>
        <v/>
      </c>
      <c r="CW56" s="28" t="str">
        <f>IF(ISERROR(IF(CV56="","",VLOOKUP(($BC56&amp;CV56&amp;"Template desconto FLAT Plano Principal Oi TV nível conta"),BENEFICIOS!$A:$G,5,0))),"Criar",IF(CV56="","",VLOOKUP(($BC56&amp;CV56&amp;"Template desconto FLAT Plano Principal Oi TV nível conta"),BENEFICIOS!$A:$G,5,0)))</f>
        <v/>
      </c>
      <c r="CX56" s="8"/>
      <c r="CY56" s="3" t="str">
        <f>IF(CX56=0,"",IF(CX56=VLOOKUP("PCS-OzTL747",ARBOR!$A:$C,3,0),0.0001,IF(CX56&gt;VLOOKUP("PCS-OzTL747",ARBOR!$A:$C,3,0),"Maior que CAP!",IF((DOLLAR(CX56+(VLOOKUP("PCS-OzTL747",ARBOR!$A:$C,3,0)*-TRUNC(CX56/VLOOKUP("PCS-OzTL747",ARBOR!$A:$C,3,0)-1,4)),6))&lt;&gt;(DOLLAR(VLOOKUP("PCS-OzTL747",ARBOR!$A:$C,3,0),6)),-TRUNC(CX56/VLOOKUP("PCS-OzTL747",ARBOR!$A:$C,3,0)-1,4)+0.0001,-TRUNC(CX56/VLOOKUP("PCS-OzTL747",ARBOR!$A:$C,3,0)-1,4)))))</f>
        <v/>
      </c>
      <c r="CZ56" s="28" t="str">
        <f>IF(ISERROR(IF(CY56="","",VLOOKUP(($BC56&amp;CY56&amp;"Template desconto FLAT Plano Principal Oi TV nível conta"),BENEFICIOS!$A:$G,5,0))),"Criar",IF(CY56="","",VLOOKUP(($BC56&amp;CY56&amp;"Template desconto FLAT Plano Principal Oi TV nível conta"),BENEFICIOS!$A:$G,5,0)))</f>
        <v/>
      </c>
      <c r="DA56" s="8"/>
      <c r="DB56" s="3" t="str">
        <f>IF(DA56=0,"",IF(DA56=VLOOKUP("PCS-OzTL746",ARBOR!$A:$C,3,0),0.0001,IF(DA56&gt;VLOOKUP("PCS-OzTL746",ARBOR!$A:$C,3,0),"Maior que CAP!",IF((DOLLAR(DA56+(VLOOKUP("PCS-OzTL746",ARBOR!$A:$C,3,0)*-TRUNC(DA56/VLOOKUP("PCS-OzTL746",ARBOR!$A:$C,3,0)-1,4)),6))&lt;&gt;(DOLLAR(VLOOKUP("PCS-OzTL746",ARBOR!$A:$C,3,0),6)),-TRUNC(DA56/VLOOKUP("PCS-OzTL746",ARBOR!$A:$C,3,0)-1,4)+0.0001,-TRUNC(DA56/VLOOKUP("PCS-OzTL746",ARBOR!$A:$C,3,0)-1,4)))))</f>
        <v/>
      </c>
      <c r="DC56" s="28" t="str">
        <f>IF(ISERROR(IF(DB56="","",VLOOKUP(($BC56&amp;DB56&amp;"Template desconto FLAT Plano Principal Oi TV nível conta"),BENEFICIOS!$A:$G,5,0))),"Criar",IF(DB56="","",VLOOKUP(($BC56&amp;DB56&amp;"Template desconto FLAT Plano Principal Oi TV nível conta"),BENEFICIOS!$A:$G,5,0)))</f>
        <v/>
      </c>
      <c r="DD56" s="8"/>
      <c r="DE56" s="3" t="str">
        <f>IF(DD56=0,"",IF(DD56=VLOOKUP("PCS-OzTL748",ARBOR!$A:$C,3,0),0.0001,IF(DD56&gt;VLOOKUP("PCS-OzTL748",ARBOR!$A:$C,3,0),"Maior que CAP!",IF((DOLLAR(DD56+(VLOOKUP("PCS-OzTL748",ARBOR!$A:$C,3,0)*-TRUNC(DD56/VLOOKUP("PCS-OzTL748",ARBOR!$A:$C,3,0)-1,4)),6))&lt;&gt;(DOLLAR(VLOOKUP("PCS-OzTL748",ARBOR!$A:$C,3,0),6)),-TRUNC(DD56/VLOOKUP("PCS-OzTL748",ARBOR!$A:$C,3,0)-1,4)+0.0001,-TRUNC(DD56/VLOOKUP("PCS-OzTL748",ARBOR!$A:$C,3,0)-1,4)))))</f>
        <v/>
      </c>
      <c r="DF56" s="28" t="str">
        <f>IF(ISERROR(IF(DE56="","",VLOOKUP(($BC56&amp;DE56&amp;"Template desconto FLAT Plano Principal Oi TV nível conta"),BENEFICIOS!$A:$G,5,0))),"Criar",IF(DE56="","",VLOOKUP(($BC56&amp;DE56&amp;"Template desconto FLAT Plano Principal Oi TV nível conta"),BENEFICIOS!$A:$G,5,0)))</f>
        <v/>
      </c>
      <c r="DG56" s="8"/>
      <c r="DH56" s="3" t="str">
        <f>IF(DG56=0,"",IF(DG56=VLOOKUP("PCS-OzTL34",ARBOR!$A:$C,3,0),0.0001,IF(DG56&gt;VLOOKUP("PCS-OzTL34",ARBOR!$A:$C,3,0),"Maior que CAP!",IF((DOLLAR(DG56+(VLOOKUP("PCS-OzTL34",ARBOR!$A:$C,3,0)*-TRUNC(DG56/VLOOKUP("PCS-OzTL34",ARBOR!$A:$C,3,0)-1,4)),6))&lt;&gt;(DOLLAR(VLOOKUP("PCS-OzTL34",ARBOR!$A:$C,3,0),6)),-TRUNC(DG56/VLOOKUP("PCS-OzTL34",ARBOR!$A:$C,3,0)-1,4)+0.0001,-TRUNC(DG56/VLOOKUP("PCS-OzTL34",ARBOR!$A:$C,3,0)-1,4)))))</f>
        <v/>
      </c>
      <c r="DI56" s="28" t="str">
        <f>IF(DH56="S/Desc","S/Desc",IF(ISERROR(IF(DH56="","",VLOOKUP(($BC56&amp;DH56&amp;"Template desconto % Combate nível conta"),BENEFICIOS!$A:$G,5,0))),"Criar",IF(DH56="","",VLOOKUP(($BC56&amp;DH56&amp;"Template desconto % Combate nível conta"),BENEFICIOS!$A:$G,5,0))))</f>
        <v/>
      </c>
      <c r="DJ56" s="8"/>
      <c r="DK56" s="3" t="str">
        <f>IF(DJ56=0,"",IF(DJ56=VLOOKUP("PCS-OzTL31",ARBOR!$A:$C,3,0),0.0001,IF(DJ56&gt;VLOOKUP("PCS-OzTL31",ARBOR!$A:$C,3,0),"Maior que CAP!",IF((DOLLAR(DJ56+(VLOOKUP("PCS-OzTL31",ARBOR!$A:$C,3,0)*-TRUNC(DJ56/VLOOKUP("PCS-OzTL31",ARBOR!$A:$C,3,0)-1,4)),6))&lt;&gt;(DOLLAR(VLOOKUP("PCS-OzTL31",ARBOR!$A:$C,3,0),6)),-TRUNC(DJ56/VLOOKUP("PCS-OzTL31",ARBOR!$A:$C,3,0)-1,4)+0.0001,-TRUNC(DJ56/VLOOKUP("PCS-OzTL31",ARBOR!$A:$C,3,0)-1,4)))))</f>
        <v/>
      </c>
      <c r="DL56" s="28" t="str">
        <f>IF(DK56="S/Desc","S/Desc",IF(ISERROR(IF(DK56="","",VLOOKUP(($BC56&amp;DK56&amp;"Template desconto % Sexy Hot nível conta"),BENEFICIOS!$A:$G,5,0))),"Criar",IF(DK56="","",VLOOKUP(($BC56&amp;DK56&amp;"Template desconto % Sexy Hot nível conta"),BENEFICIOS!$A:$G,5,0))))</f>
        <v/>
      </c>
      <c r="DM56" s="8"/>
      <c r="DN56" s="3" t="str">
        <f>IF(DM56=0,"",IF(DM56=VLOOKUP("PCS-OzTL32",ARBOR!$A:$C,3,0),0.0001,IF(DM56&gt;VLOOKUP("PCS-OzTL32",ARBOR!$A:$C,3,0),"Maior que CAP!",IF((DOLLAR(DM56+(VLOOKUP("PCS-OzTL32",ARBOR!$A:$C,3,0)*-TRUNC(DM56/VLOOKUP("PCS-OzTL32",ARBOR!$A:$C,3,0)-1,4)),6))&lt;&gt;(DOLLAR(VLOOKUP("PCS-OzTL32",ARBOR!$A:$C,3,0),6)),-TRUNC(DM56/VLOOKUP("PCS-OzTL32",ARBOR!$A:$C,3,0)-1,4)+0.0001,-TRUNC(DM56/VLOOKUP("PCS-OzTL32",ARBOR!$A:$C,3,0)-1,4)))))</f>
        <v/>
      </c>
      <c r="DO56" s="28" t="str">
        <f>IF(DN56="S/Desc","S/Desc",IF(ISERROR(IF(DN56="","",VLOOKUP(($BC56&amp;DN56&amp;"Template desconto % Playboy nível conta"),BENEFICIOS!$A:$G,5,0))),"Criar",IF(DN56="","",VLOOKUP(($BC56&amp;DN56&amp;"Template desconto % Playboy nível conta"),BENEFICIOS!$A:$G,5,0))))</f>
        <v/>
      </c>
      <c r="DP56" s="8"/>
      <c r="DQ56" s="3" t="str">
        <f>IF(DP56=0,"",IF(DP56=VLOOKUP("PCS-OzTL33",ARBOR!$A:$C,3,0),0.0001,IF(DP56&gt;VLOOKUP("PCS-OzTL33",ARBOR!$A:$C,3,0),"Maior que CAP!",IF((DOLLAR(DP56+(VLOOKUP("PCS-OzTL33",ARBOR!$A:$C,3,0)*-TRUNC(DP56/VLOOKUP("PCS-OzTL33",ARBOR!$A:$C,3,0)-1,4)),6))&lt;&gt;(DOLLAR(VLOOKUP("PCS-OzTL33",ARBOR!$A:$C,3,0),6)),-TRUNC(DP56/VLOOKUP("PCS-OzTL33",ARBOR!$A:$C,3,0)-1,4)+0.0001,-TRUNC(DP56/VLOOKUP("PCS-OzTL33",ARBOR!$A:$C,3,0)-1,4)))))</f>
        <v/>
      </c>
      <c r="DR56" s="28" t="str">
        <f>IF(DQ56="S/Desc","S/Desc",IF(ISERROR(IF(DQ56="","",VLOOKUP(($BC56&amp;DQ56&amp;"Template desconto % Sexy Hot + Playboy nível conta"),BENEFICIOS!$A:$G,5,0))),"Criar",IF(DQ56="","",VLOOKUP(($BC56&amp;DQ56&amp;"Template desconto % Sexy Hot + Playboy nível conta"),BENEFICIOS!$A:$G,5,0))))</f>
        <v/>
      </c>
      <c r="DS56" s="8"/>
      <c r="DT56" s="3" t="str">
        <f>IF(DS56=0,"",IF(DS56=VLOOKUP("PCS-OzTL503",ARBOR!$A:$C,3,0),0.0001,IF(DS56&gt;VLOOKUP("PCS-OzTL503",ARBOR!$A:$C,3,0),"Maior que CAP!",IF((DOLLAR(DS56+(VLOOKUP("PCS-OzTL503",ARBOR!$A:$C,3,0)*-TRUNC(DS56/VLOOKUP("PCS-OzTL503",ARBOR!$A:$C,3,0)-1,4)),6))&lt;&gt;(DOLLAR(VLOOKUP("PCS-OzTL503",ARBOR!$A:$C,3,0),6)),-TRUNC(DS56/VLOOKUP("PCS-OzTL503",ARBOR!$A:$C,3,0)-1,4)+0.0001,-TRUNC(DS56/VLOOKUP("PCS-OzTL503",ARBOR!$A:$C,3,0)-1,4)))))</f>
        <v/>
      </c>
      <c r="DU56" s="28" t="str">
        <f>IF(DT56="S/Desc","S/Desc",IF(ISERROR(IF(DT56="","",VLOOKUP(($BC56&amp;DT56&amp;"Template desconto % SexPrivê nível conta"),BENEFICIOS!$A:$G,5,0))),"Criar",IF(DT56="","",VLOOKUP(($BC56&amp;DT56&amp;"Template desconto % SexPrivê nível conta"),BENEFICIOS!$A:$G,5,0))))</f>
        <v/>
      </c>
      <c r="DV56" s="8"/>
      <c r="DW56" s="3" t="str">
        <f>IF(DV56=0,"",IF(DV56=VLOOKUP("PCS-OzTL500",ARBOR!$A:$C,3,0),0.0001,IF(DV56&gt;VLOOKUP("PCS-OzTL500",ARBOR!$A:$C,3,0),"Maior que CAP!",IF((DOLLAR(DV56+(VLOOKUP("PCS-OzTL500",ARBOR!$A:$C,3,0)*-TRUNC(DV56/VLOOKUP("PCS-OzTL500",ARBOR!$A:$C,3,0)-1,4)),6))&lt;&gt;(DOLLAR(VLOOKUP("PCS-OzTL500",ARBOR!$A:$C,3,0),6)),-TRUNC(DV56/VLOOKUP("PCS-OzTL500",ARBOR!$A:$C,3,0)-1,4)+0.0001,-TRUNC(DV56/VLOOKUP("PCS-OzTL500",ARBOR!$A:$C,3,0)-1,4)))))</f>
        <v/>
      </c>
      <c r="DX56" s="28" t="str">
        <f>IF(DW56="S/Desc","S/Desc",IF(ISERROR(IF(DW56="","",VLOOKUP(($BC56&amp;DW56&amp;"Template desconto % Étnico nível conta"),BENEFICIOS!$A:$G,5,0))),"Criar",IF(DW56="","",VLOOKUP(($BC56&amp;DW56&amp;"Template desconto % Étnico nível conta"),BENEFICIOS!$A:$G,5,0))))</f>
        <v/>
      </c>
      <c r="DY56" s="8"/>
      <c r="DZ56" s="181" t="str">
        <f>IF(DY56=0,"",IF(DY56=VLOOKUP("PCS-OzTL50",ARBOR!$A:$C,3,0),0.0001,IF(DY56&gt;VLOOKUP("PCS-OzTL50",ARBOR!$A:$C,3,0),"Maior que CAP!",IF((DOLLAR(DY56+(VLOOKUP("PCS-OzTL50",ARBOR!$A:$C,3,0)*-TRUNC(DY56/VLOOKUP("PCS-OzTL50",ARBOR!$A:$C,3,0)-1,4)),6))&lt;&gt;(DOLLAR(VLOOKUP("PCS-OzTL50",ARBOR!$A:$C,3,0),6)),-TRUNC(DY56/VLOOKUP("PCS-OzTL50",ARBOR!$A:$C,3,0)-1,4)+0.0001,-TRUNC(DY56/VLOOKUP("PCS-OzTL50",ARBOR!$A:$C,3,0)-1,4)))))</f>
        <v/>
      </c>
      <c r="EA56" s="28"/>
      <c r="EB56" s="8"/>
      <c r="EC56" s="181" t="str">
        <f>IF(EB56=0,"",IF(EB56=VLOOKUP("PCS-OzTL51",ARBOR!$A:$C,3,0),0.0001,IF(EB56&gt;VLOOKUP("PCS-OzTL51",ARBOR!$A:$C,3,0),"Maior que CAP!",IF((DOLLAR(EB56+(VLOOKUP("PCS-OzTL51",ARBOR!$A:$C,3,0)*-TRUNC(EB56/VLOOKUP("PCS-OzTL51",ARBOR!$A:$C,3,0)-1,4)),6))&lt;&gt;(DOLLAR(VLOOKUP("PCS-OzTL51",ARBOR!$A:$C,3,0),6)),-TRUNC(EB56/VLOOKUP("PCS-OzTL51",ARBOR!$A:$C,3,0)-1,4)+0.0001,-TRUNC(EB56/VLOOKUP("PCS-OzTL51",ARBOR!$A:$C,3,0)-1,4)))))</f>
        <v/>
      </c>
      <c r="ED56" s="28"/>
      <c r="EE56" s="8"/>
      <c r="EF56" s="181" t="str">
        <f>IF(EE56=0,"",IF(EE56=VLOOKUP("PCS-OzTL52",ARBOR!$A:$C,3,0),0.0001,IF(EE56&gt;VLOOKUP("PCS-OzTL52",ARBOR!$A:$C,3,0),"Maior que CAP!",IF((DOLLAR(EE56+(VLOOKUP("PCS-OzTL52",ARBOR!$A:$C,3,0)*-TRUNC(EE56/VLOOKUP("PCS-OzTL52",ARBOR!$A:$C,3,0)-1,4)),6))&lt;&gt;(DOLLAR(VLOOKUP("PCS-OzTL52",ARBOR!$A:$C,3,0),6)),-TRUNC(EE56/VLOOKUP("PCS-OzTL52",ARBOR!$A:$C,3,0)-1,4)+0.0001,-TRUNC(EE56/VLOOKUP("PCS-OzTL52",ARBOR!$A:$C,3,0)-1,4)))))</f>
        <v/>
      </c>
      <c r="EG56" s="28"/>
      <c r="EH56" s="8"/>
      <c r="EI56" s="181" t="str">
        <f>IF(EH56=0,"",IF(EH56=VLOOKUP("PCS-OzTL53",ARBOR!$A:$C,3,0),0.0001,IF(EH56&gt;VLOOKUP("PCS-OzTL53",ARBOR!$A:$C,3,0),"Maior que CAP!",IF((DOLLAR(EH56+(VLOOKUP("PCS-OzTL53",ARBOR!$A:$C,3,0)*-TRUNC(EH56/VLOOKUP("PCS-OzTL53",ARBOR!$A:$C,3,0)-1,4)),6))&lt;&gt;(DOLLAR(VLOOKUP("PCS-OzTL53",ARBOR!$A:$C,3,0),6)),-TRUNC(EH56/VLOOKUP("PCS-OzTL53",ARBOR!$A:$C,3,0)-1,4)+0.0001,-TRUNC(EH56/VLOOKUP("PCS-OzTL53",ARBOR!$A:$C,3,0)-1,4)))))</f>
        <v/>
      </c>
      <c r="EJ56" s="28"/>
      <c r="EK56" s="8"/>
      <c r="EL56" s="181" t="str">
        <f>IF(EK56=0,"",IF(EK56=VLOOKUP("PCS-OzTL54",ARBOR!$A:$C,3,0),0.0001,IF(EK56&gt;VLOOKUP("PCS-OzTL54",ARBOR!$A:$C,3,0),"Maior que CAP!",IF((DOLLAR(EK56+(VLOOKUP("PCS-OzTL54",ARBOR!$A:$C,3,0)*-TRUNC(EK56/VLOOKUP("PCS-OzTL54",ARBOR!$A:$C,3,0)-1,4)),6))&lt;&gt;(DOLLAR(VLOOKUP("PCS-OzTL54",ARBOR!$A:$C,3,0),6)),-TRUNC(EK56/VLOOKUP("PCS-OzTL54",ARBOR!$A:$C,3,0)-1,4)+0.0001,-TRUNC(EK56/VLOOKUP("PCS-OzTL54",ARBOR!$A:$C,3,0)-1,4)))))</f>
        <v/>
      </c>
      <c r="EM56" s="28"/>
      <c r="EN56" s="8"/>
      <c r="EO56" s="3" t="str">
        <f>IF(EN56=0,"",IF(EN56=VLOOKUP("PCS-OzTL99",ARBOR!$A:$C,3,0),0.0001,IF(EN56&gt;VLOOKUP("PCS-OzTL99",ARBOR!$A:$C,3,0),"Maior que CAP!",IF((DOLLAR(EN56+(VLOOKUP("PCS-OzTL99",ARBOR!$A:$C,3,0)*-TRUNC(EN56/VLOOKUP("PCS-OzTL99",ARBOR!$A:$C,3,0)-1,4)),6))&lt;&gt;(DOLLAR(VLOOKUP("PCS-OzTL99",ARBOR!$A:$C,3,0),6)),-TRUNC(EN56/VLOOKUP("PCS-OzTL99",ARBOR!$A:$C,3,0)-1,4)+0.0001,-TRUNC(EN56/VLOOKUP("PCS-OzTL99",ARBOR!$A:$C,3,0)-1,4)))))</f>
        <v/>
      </c>
      <c r="EP56" s="28" t="str">
        <f>IF(EO56="S/Desc","S/Desc",IF(ISERROR(IF(EO56="","",VLOOKUP(($BC56&amp;EO56&amp;"Template desconto % Ponto adicional nível conta"),BENEFICIOS!$A:$G,5,0))),"Criar",IF(EO56="","",VLOOKUP(($BC56&amp;EO56&amp;"Template desconto % Ponto adicional nível conta"),BENEFICIOS!$A:$G,5,0))))</f>
        <v/>
      </c>
      <c r="EQ56" s="8"/>
      <c r="ER56" s="28" t="str">
        <f t="shared" si="23"/>
        <v/>
      </c>
      <c r="ES56" s="62"/>
      <c r="ET56" s="126"/>
      <c r="EU56" s="127"/>
      <c r="EV56" s="126"/>
      <c r="EW56" s="128" t="str">
        <f t="shared" si="24"/>
        <v/>
      </c>
      <c r="EX56" s="129" t="str">
        <f t="shared" si="25"/>
        <v/>
      </c>
      <c r="EY56" s="91" t="str">
        <f t="shared" si="26"/>
        <v/>
      </c>
      <c r="EZ56" s="85"/>
      <c r="FA56" s="97"/>
      <c r="FB56" s="91"/>
      <c r="FC56" s="85"/>
      <c r="FD56" s="97"/>
      <c r="FE56" s="91"/>
      <c r="FF56" s="87"/>
      <c r="FG56" s="144" t="str">
        <f t="shared" si="5"/>
        <v/>
      </c>
      <c r="FH56" s="144" t="str">
        <f t="shared" si="6"/>
        <v/>
      </c>
      <c r="FI56" s="144" t="str">
        <f t="shared" si="7"/>
        <v/>
      </c>
      <c r="FJ56" s="144" t="str">
        <f t="shared" si="8"/>
        <v/>
      </c>
      <c r="FK56" s="144" t="str">
        <f t="shared" si="9"/>
        <v/>
      </c>
      <c r="FL56" s="144" t="str">
        <f t="shared" si="10"/>
        <v/>
      </c>
      <c r="FM56" s="144" t="str">
        <f t="shared" si="11"/>
        <v/>
      </c>
      <c r="FN56" s="144" t="str">
        <f t="shared" si="12"/>
        <v/>
      </c>
      <c r="FO56" s="144" t="str">
        <f t="shared" si="13"/>
        <v/>
      </c>
      <c r="FP56" s="144" t="str">
        <f t="shared" si="14"/>
        <v/>
      </c>
      <c r="FQ56" s="144" t="str">
        <f t="shared" si="15"/>
        <v/>
      </c>
      <c r="FR56" s="144" t="str">
        <f t="shared" si="16"/>
        <v/>
      </c>
      <c r="FS56" s="144" t="str">
        <f t="shared" si="17"/>
        <v/>
      </c>
      <c r="FT56" s="144" t="str">
        <f t="shared" si="18"/>
        <v/>
      </c>
      <c r="FU56" s="144" t="str">
        <f t="shared" si="19"/>
        <v/>
      </c>
      <c r="FV56" s="144" t="str">
        <f t="shared" si="20"/>
        <v/>
      </c>
      <c r="FW56" s="144" t="str">
        <f t="shared" si="21"/>
        <v/>
      </c>
      <c r="FX56" s="151"/>
      <c r="FY56" s="152"/>
      <c r="FZ56" s="152"/>
      <c r="GA56" s="152"/>
      <c r="GB56" s="152"/>
      <c r="GC56" s="152"/>
      <c r="GD56" s="152"/>
      <c r="GE56" s="152"/>
      <c r="GF56" s="152"/>
      <c r="GG56" s="153"/>
    </row>
    <row r="57" spans="1:189">
      <c r="A57" s="45"/>
      <c r="B57" s="133"/>
      <c r="C57" s="133"/>
      <c r="D57" s="46"/>
      <c r="E57" s="4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9"/>
      <c r="U57" s="48"/>
      <c r="V57" s="49"/>
      <c r="W57" s="48"/>
      <c r="X57" s="48"/>
      <c r="Y57" s="48"/>
      <c r="Z57" s="48"/>
      <c r="AA57" s="49"/>
      <c r="AB57" s="48"/>
      <c r="AC57" s="50"/>
      <c r="AD57" s="48"/>
      <c r="AE57" s="48"/>
      <c r="AF57" s="48"/>
      <c r="AG57" s="48"/>
      <c r="AH57" s="48"/>
      <c r="AI57" s="48"/>
      <c r="AJ57" s="48"/>
      <c r="AK57" s="48"/>
      <c r="AL57" s="51"/>
      <c r="AM57" s="37"/>
      <c r="AN57" s="38"/>
      <c r="AO57" s="39"/>
      <c r="AP57" s="52"/>
      <c r="AQ57" s="53"/>
      <c r="AR57" s="64"/>
      <c r="AS57" s="65"/>
      <c r="AT57" s="54"/>
      <c r="AU57" s="54"/>
      <c r="AV57" s="54"/>
      <c r="AW57" s="54"/>
      <c r="AX57" s="70"/>
      <c r="AY57" s="71"/>
      <c r="AZ57" s="72"/>
      <c r="BA57" s="73"/>
      <c r="BB57" s="55"/>
      <c r="BC57" s="56"/>
      <c r="BD57" s="27" t="str">
        <f t="shared" si="22"/>
        <v/>
      </c>
      <c r="BE57" s="58"/>
      <c r="BF57" s="3" t="str">
        <f>IF(BE57=0,"",IF(BE57=VLOOKUP("FIXO",ARBOR!$A:$C,3,0),0.0001,IF(BE57&gt;VLOOKUP("FIXO",ARBOR!$A:$C,3,0),"Maior que CAP!",IF((DOLLAR(BE57+(VLOOKUP("FIXO",ARBOR!$A:$C,3,0)*-TRUNC(BE57/VLOOKUP("FIXO",ARBOR!$A:$C,3,0)-1,4)),6))&lt;&gt;(DOLLAR(VLOOKUP("FIXO",ARBOR!$A:$C,3,0),6)),-TRUNC(BE57/VLOOKUP("FIXO",ARBOR!$A:$C,3,0)-1,4)+0.0001,-TRUNC(BE57/VLOOKUP("FIXO",ARBOR!$A:$C,3,0)-1,4)))))</f>
        <v/>
      </c>
      <c r="BG57" s="10" t="str">
        <f>IF(ISERROR(IF(BF57="","",VLOOKUP(($BC57&amp;BF57&amp;"Template de desconto FLAT bundle - Fixo - Varejo - Ganho Tributário Cross"),BENEFICIOS!$A:$G,5,0))),"Criar",IF(BF57="","",VLOOKUP(($BC57&amp;BF57&amp;"Template de desconto FLAT bundle - Fixo - Varejo - Ganho Tributário Cross"),BENEFICIOS!$A:$G,5,0)))</f>
        <v/>
      </c>
      <c r="BH57" s="8"/>
      <c r="BI57" s="3" t="str">
        <f>IF(BH57=0,"",IF(BH57=VLOOKUP("PCS-OzTL40",ARBOR!$A:$C,3,0),0.0001,IF(BH57&gt;VLOOKUP("PCS-OzTL40",ARBOR!$A:$C,3,0),"Maior que CAP!",IF((DOLLAR(BH57+(VLOOKUP("PCS-OzTL40",ARBOR!$A:$C,3,0)*-TRUNC(BH57/VLOOKUP("PCS-OzTL40",ARBOR!$A:$C,3,0)-1,4)),6))&lt;&gt;(DOLLAR(VLOOKUP("PCS-OzTL40",ARBOR!$A:$C,3,0),6)),-TRUNC(BH57/VLOOKUP("PCS-OzTL40",ARBOR!$A:$C,3,0)-1,4)+0.0001,-TRUNC(BH57/VLOOKUP("PCS-OzTL40",ARBOR!$A:$C,3,0)-1,4)))))</f>
        <v/>
      </c>
      <c r="BJ57" s="10" t="str">
        <f>IF(ISERROR(IF(BI57="","",VLOOKUP((BC57&amp;BI57&amp;"Template desconto FLAT Plano Principal Oi TV nível conta"),BENEFICIOS!$A:$G,5,0))),"Criar",IF(BI57="","",VLOOKUP((BC57&amp;BI57&amp;"Template desconto FLAT Plano Principal Oi TV nível conta"),BENEFICIOS!$A:$G,5,0)))</f>
        <v/>
      </c>
      <c r="BK57" s="8"/>
      <c r="BL57" s="3" t="str">
        <f>IF(BK57=0,"",IF(BK57=VLOOKUP("PCS-OzTL41",ARBOR!$A:$C,3,0),0.0001,IF(BK57&gt;VLOOKUP("PCS-OzTL41",ARBOR!$A:$C,3,0),"Maior que CAP!",IF((DOLLAR(BK57+(VLOOKUP("PCS-OzTL41",ARBOR!$A:$C,3,0)*-TRUNC(BK57/VLOOKUP("PCS-OzTL41",ARBOR!$A:$C,3,0)-1,4)),6))&lt;&gt;(DOLLAR(VLOOKUP("PCS-OzTL41",ARBOR!$A:$C,3,0),6)),-TRUNC(BK57/VLOOKUP("PCS-OzTL41",ARBOR!$A:$C,3,0)-1,4)+0.0001,-TRUNC(BK57/VLOOKUP("PCS-OzTL41",ARBOR!$A:$C,3,0)-1,4)))))</f>
        <v/>
      </c>
      <c r="BM57" s="28" t="str">
        <f>IF(ISERROR(IF(BL57="","",VLOOKUP((BC57&amp;BL57&amp;"Template desconto FLAT Plano Principal Oi TV nível conta"),BENEFICIOS!$A:$G,5,0))),"Criar",IF(BL57="","",VLOOKUP((BC57&amp;BL57&amp;"Template desconto FLAT Plano Principal Oi TV nível conta"),BENEFICIOS!$A:$G,5,0)))</f>
        <v/>
      </c>
      <c r="BN57" s="8"/>
      <c r="BO57" s="3" t="str">
        <f>IF(BN57=0,"",IF(BN57=VLOOKUP("PCS-OzTL44",ARBOR!$A:$C,3,0),0.0001,IF(BN57&gt;VLOOKUP("PCS-OzTL44",ARBOR!$A:$C,3,0),"Maior que CAP!",IF((DOLLAR(BN57+(VLOOKUP("PCS-OzTL44",ARBOR!$A:$C,3,0)*-TRUNC(BN57/VLOOKUP("PCS-OzTL44",ARBOR!$A:$C,3,0)-1,4)),6))&lt;&gt;(DOLLAR(VLOOKUP("PCS-OzTL44",ARBOR!$A:$C,3,0),6)),-TRUNC(BN57/VLOOKUP("PCS-OzTL44",ARBOR!$A:$C,3,0)-1,4)+0.0001,-TRUNC(BN57/VLOOKUP("PCS-OzTL44",ARBOR!$A:$C,3,0)-1,4)))))</f>
        <v/>
      </c>
      <c r="BP57" s="28" t="str">
        <f>IF(ISERROR(IF(BO57="","",VLOOKUP((BC57&amp;BO57&amp;"Template desconto FLAT Plano Principal Oi TV nível conta"),BENEFICIOS!$A:$G,5,0))),"Criar",IF(BO57="","",VLOOKUP((BC57&amp;BO57&amp;"Template desconto FLAT Plano Principal Oi TV nível conta"),BENEFICIOS!$A:$G,5,0)))</f>
        <v/>
      </c>
      <c r="BQ57" s="8"/>
      <c r="BR57" s="3" t="str">
        <f>IF(BQ57=0,"",IF(BQ57=VLOOKUP("PCS-OzTL43",ARBOR!$A:$C,3,0),0.0001,IF(BQ57&gt;VLOOKUP("PCS-OzTL43",ARBOR!$A:$C,3,0),"Maior que CAP!",IF((DOLLAR(BQ57+(VLOOKUP("PCS-OzTL43",ARBOR!$A:$C,3,0)*-TRUNC(BQ57/VLOOKUP("PCS-OzTL43",ARBOR!$A:$C,3,0)-1,4)),6))&lt;&gt;(DOLLAR(VLOOKUP("PCS-OzTL43",ARBOR!$A:$C,3,0),6)),-TRUNC(BQ57/VLOOKUP("PCS-OzTL43",ARBOR!$A:$C,3,0)-1,4)+0.0001,-TRUNC(BQ57/VLOOKUP("PCS-OzTL43",ARBOR!$A:$C,3,0)-1,4)))))</f>
        <v/>
      </c>
      <c r="BS57" s="28" t="str">
        <f>IF(ISERROR(IF(BR57="","",VLOOKUP((BC57&amp;BR57&amp;"Template desconto FLAT Plano Principal Oi TV nível conta"),BENEFICIOS!$A:$G,5,0))),"Criar",IF(BR57="","",VLOOKUP((BC57&amp;BR57&amp;"Template desconto FLAT Plano Principal Oi TV nível conta"),BENEFICIOS!$A:$G,5,0)))</f>
        <v/>
      </c>
      <c r="BT57" s="8"/>
      <c r="BU57" s="3" t="str">
        <f>IF(BT57=0,"",IF(BT57=VLOOKUP("PCS-OzTL45",ARBOR!$A:$C,3,0),0.0001,IF(BT57&gt;VLOOKUP("PCS-OzTL45",ARBOR!$A:$C,3,0),"Maior que CAP!",IF((DOLLAR(BT57+(VLOOKUP("PCS-OzTL45",ARBOR!$A:$C,3,0)*-TRUNC(BT57/VLOOKUP("PCS-OzTL45",ARBOR!$A:$C,3,0)-1,4)),6))&lt;&gt;(DOLLAR(VLOOKUP("PCS-OzTL45",ARBOR!$A:$C,3,0),6)),-TRUNC(BT57/VLOOKUP("PCS-OzTL45",ARBOR!$A:$C,3,0)-1,4)+0.0001,-TRUNC(BT57/VLOOKUP("PCS-OzTL45",ARBOR!$A:$C,3,0)-1,4)))))</f>
        <v/>
      </c>
      <c r="BV57" s="28" t="str">
        <f>IF(ISERROR(IF(BU57="","",VLOOKUP((BC57&amp;BU57&amp;"Template desconto FLAT Plano Principal Oi TV nível conta"),BENEFICIOS!$A:$G,5,0))),"Criar",IF(BU57="","",VLOOKUP((BC57&amp;BU57&amp;"Template desconto FLAT Plano Principal Oi TV nível conta"),BENEFICIOS!$A:$G,5,0)))</f>
        <v/>
      </c>
      <c r="BW57" s="8"/>
      <c r="BX57" s="3" t="str">
        <f>IF(BW57=0,"",IF(BW57=VLOOKUP("PCS-OzTL741",ARBOR!$A:$C,3,0),0.0001,IF(BW57&gt;VLOOKUP("PCS-OzTL741",ARBOR!$A:$C,3,0),"Maior que CAP!",IF((DOLLAR(BW57+(VLOOKUP("PCS-OzTL741",ARBOR!$A:$C,3,0)*-TRUNC(BW57/VLOOKUP("PCS-OzTL741",ARBOR!$A:$C,3,0)-1,4)),6))&lt;&gt;(DOLLAR(VLOOKUP("PCS-OzTL741",ARBOR!$A:$C,3,0),6)),-TRUNC(BW57/VLOOKUP("PCS-OzTL741",ARBOR!$A:$C,3,0)-1,4)+0.0001,-TRUNC(BW57/VLOOKUP("PCS-OzTL741",ARBOR!$A:$C,3,0)-1,4)))))</f>
        <v/>
      </c>
      <c r="BY57" s="28" t="str">
        <f>IF(ISERROR(IF(BX57="","",VLOOKUP((BC57&amp;BX57&amp;"Template desconto FLAT Plano Principal Oi TV nível conta"),BENEFICIOS!$A:$G,5,0))),"Criar",IF(BX57="","",VLOOKUP((BC57&amp;BX57&amp;"Template desconto FLAT Plano Principal Oi TV nível conta"),BENEFICIOS!$A:$G,5,0)))</f>
        <v/>
      </c>
      <c r="BZ57" s="8"/>
      <c r="CA57" s="3" t="str">
        <f>IF(BZ57=0,"",IF(BZ57=VLOOKUP("PCS-OzTL744",ARBOR!$A:$C,3,0),0.0001,IF(BZ57&gt;VLOOKUP("PCS-OzTL744",ARBOR!$A:$C,3,0),"Maior que CAP!",IF((DOLLAR(BZ57+(VLOOKUP("PCS-OzTL744",ARBOR!$A:$C,3,0)*-TRUNC(BZ57/VLOOKUP("PCS-OzTL744",ARBOR!$A:$C,3,0)-1,4)),6))&lt;&gt;(DOLLAR(VLOOKUP("PCS-OzTL744",ARBOR!$A:$C,3,0),6)),-TRUNC(BZ57/VLOOKUP("PCS-OzTL744",ARBOR!$A:$C,3,0)-1,4)+0.0001,-TRUNC(BZ57/VLOOKUP("PCS-OzTL744",ARBOR!$A:$C,3,0)-1,4)))))</f>
        <v/>
      </c>
      <c r="CB57" s="28" t="str">
        <f>IF(ISERROR(IF(CA57="","",VLOOKUP(($BC57&amp;CA57&amp;"Template desconto FLAT Plano Principal Oi TV nível conta"),BENEFICIOS!$A:$G,5,0))),"Criar",IF(CA57="","",VLOOKUP(($BC57&amp;CA57&amp;"Template desconto FLAT Plano Principal Oi TV nível conta"),BENEFICIOS!$A:$G,5,0)))</f>
        <v/>
      </c>
      <c r="CC57" s="8"/>
      <c r="CD57" s="3" t="str">
        <f>IF(CC57=0,"",IF(CC57=VLOOKUP("PCS-OzTL743",ARBOR!$A:$C,3,0),0.0001,IF(CC57&gt;VLOOKUP("PCS-OzTL743",ARBOR!$A:$C,3,0),"Maior que CAP!",IF((DOLLAR(CC57+(VLOOKUP("PCS-OzTL743",ARBOR!$A:$C,3,0)*-TRUNC(CC57/VLOOKUP("PCS-OzTL743",ARBOR!$A:$C,3,0)-1,4)),6))&lt;&gt;(DOLLAR(VLOOKUP("PCS-OzTL743",ARBOR!$A:$C,3,0),6)),-TRUNC(CC57/VLOOKUP("PCS-OzTL743",ARBOR!$A:$C,3,0)-1,4)+0.0001,-TRUNC(CC57/VLOOKUP("PCS-OzTL743",ARBOR!$A:$C,3,0)-1,4)))))</f>
        <v/>
      </c>
      <c r="CE57" s="28" t="str">
        <f>IF(ISERROR(IF(CD57="","",VLOOKUP(($BC57&amp;CD57&amp;"Template desconto FLAT Plano Principal Oi TV nível conta"),BENEFICIOS!$A:$G,5,0))),"Criar",IF(CD57="","",VLOOKUP(($BC57&amp;CD57&amp;"Template desconto FLAT Plano Principal Oi TV nível conta"),BENEFICIOS!$A:$G,5,0)))</f>
        <v/>
      </c>
      <c r="CF57" s="8"/>
      <c r="CG57" s="3" t="str">
        <f>IF(CF57=0,"",IF(CF57=VLOOKUP("PCS-OzTL745",ARBOR!$A:$C,3,0),0.0001,IF(CF57&gt;VLOOKUP("PCS-OzTL745",ARBOR!$A:$C,3,0),"Maior que CAP!",IF((DOLLAR(CF57+(VLOOKUP("PCS-OzTL745",ARBOR!$A:$C,3,0)*-TRUNC(CF57/VLOOKUP("PCS-OzTL745",ARBOR!$A:$C,3,0)-1,4)),6))&lt;&gt;(DOLLAR(VLOOKUP("PCS-OzTL745",ARBOR!$A:$C,3,0),6)),-TRUNC(CF57/VLOOKUP("PCS-OzTL745",ARBOR!$A:$C,3,0)-1,4)+0.0001,-TRUNC(CF57/VLOOKUP("PCS-OzTL745",ARBOR!$A:$C,3,0)-1,4)))))</f>
        <v/>
      </c>
      <c r="CH57" s="28" t="str">
        <f>IF(ISERROR(IF(CG57="","",VLOOKUP(($BC57&amp;CG57&amp;"Template desconto FLAT Plano Principal Oi TV nível conta"),BENEFICIOS!$A:$G,5,0))),"Criar",IF(CG57="","",VLOOKUP(($BC57&amp;CG57&amp;"Template desconto FLAT Plano Principal Oi TV nível conta"),BENEFICIOS!$A:$G,5,0)))</f>
        <v/>
      </c>
      <c r="CI57" s="8"/>
      <c r="CJ57" s="3" t="str">
        <f>IF(CI57=0,"",IF(CI57=VLOOKUP("PCS-OzTL42",ARBOR!$A:$C,3,0),0.0001,IF(CI57&gt;VLOOKUP("PCS-OzTL42",ARBOR!$A:$C,3,0),"Maior que CAP!",IF((DOLLAR(CI57+(VLOOKUP("PCS-OzTL42",ARBOR!$A:$C,3,0)*-TRUNC(CI57/VLOOKUP("PCS-OzTL42",ARBOR!$A:$C,3,0)-1,4)),6))&lt;&gt;(DOLLAR(VLOOKUP("PCS-OzTL42",ARBOR!$A:$C,3,0),6)),-TRUNC(CI57/VLOOKUP("PCS-OzTL42",ARBOR!$A:$C,3,0)-1,4)+0.0001,-TRUNC(CI57/VLOOKUP("PCS-OzTL42",ARBOR!$A:$C,3,0)-1,4)))))</f>
        <v/>
      </c>
      <c r="CK57" s="28" t="str">
        <f>IF(ISERROR(IF(CJ57="","",VLOOKUP(($BC57&amp;CJ57&amp;"Template desconto FLAT Plano Principal Oi TV nível conta"),BENEFICIOS!$A:$G,5,0))),"Criar",IF(CJ57="","",VLOOKUP(($BC57&amp;CJ57&amp;"Template desconto FLAT Plano Principal Oi TV nível conta"),BENEFICIOS!$A:$G,5,0)))</f>
        <v/>
      </c>
      <c r="CL57" s="8"/>
      <c r="CM57" s="3" t="str">
        <f>IF(CL57=0,"",IF(CL57=VLOOKUP("PCS-OzTL47",ARBOR!$A:$C,3,0),0.0001,IF(CL57&gt;VLOOKUP("PCS-OzTL47",ARBOR!$A:$C,3,0),"Maior que CAP!",IF((DOLLAR(CL57+(VLOOKUP("PCS-OzTL47",ARBOR!$A:$C,3,0)*-TRUNC(CL57/VLOOKUP("PCS-OzTL47",ARBOR!$A:$C,3,0)-1,4)),6))&lt;&gt;(DOLLAR(VLOOKUP("PCS-OzTL47",ARBOR!$A:$C,3,0),6)),-TRUNC(CL57/VLOOKUP("PCS-OzTL47",ARBOR!$A:$C,3,0)-1,4)+0.0001,-TRUNC(CL57/VLOOKUP("PCS-OzTL47",ARBOR!$A:$C,3,0)-1,4)))))</f>
        <v/>
      </c>
      <c r="CN57" s="28" t="str">
        <f>IF(ISERROR(IF(CM57="","",VLOOKUP(($BC57&amp;CM57&amp;"Template desconto FLAT Plano Principal Oi TV nível conta"),BENEFICIOS!$A:$G,5,0))),"Criar",IF(CM57="","",VLOOKUP(($BC57&amp;CM57&amp;"Template desconto FLAT Plano Principal Oi TV nível conta"),BENEFICIOS!$A:$G,5,0)))</f>
        <v/>
      </c>
      <c r="CO57" s="8"/>
      <c r="CP57" s="3" t="str">
        <f>IF(CO57=0,"",IF(CO57=VLOOKUP("PCS-OzTL46",ARBOR!$A:$C,3,0),0.0001,IF(CO57&gt;VLOOKUP("PCS-OzTL46",ARBOR!$A:$C,3,0),"Maior que CAP!",IF((DOLLAR(CO57+(VLOOKUP("PCS-OzTL46",ARBOR!$A:$C,3,0)*-TRUNC(CO57/VLOOKUP("PCS-OzTL46",ARBOR!$A:$C,3,0)-1,4)),6))&lt;&gt;(DOLLAR(VLOOKUP("PCS-OzTL46",ARBOR!$A:$C,3,0),6)),-TRUNC(CO57/VLOOKUP("PCS-OzTL46",ARBOR!$A:$C,3,0)-1,4)+0.0001,-TRUNC(CO57/VLOOKUP("PCS-OzTL46",ARBOR!$A:$C,3,0)-1,4)))))</f>
        <v/>
      </c>
      <c r="CQ57" s="28" t="str">
        <f>IF(ISERROR(IF(CP57="","",VLOOKUP(($BC57&amp;CP57&amp;"Template desconto FLAT Plano Principal Oi TV nível conta"),BENEFICIOS!$A:$G,5,0))),"Criar",IF(CP57="","",VLOOKUP(($BC57&amp;CP57&amp;"Template desconto FLAT Plano Principal Oi TV nível conta"),BENEFICIOS!$A:$G,5,0)))</f>
        <v/>
      </c>
      <c r="CR57" s="8"/>
      <c r="CS57" s="3" t="str">
        <f>IF(CR57=0,"",IF(CR57=VLOOKUP("PCS-OzTL48",ARBOR!$A:$C,3,0),0.0001,IF(CR57&gt;VLOOKUP("PCS-OzTL48",ARBOR!$A:$C,3,0),"Maior que CAP!",IF((DOLLAR(CR57+(VLOOKUP("PCS-OzTL48",ARBOR!$A:$C,3,0)*-TRUNC(CR57/VLOOKUP("PCS-OzTL48",ARBOR!$A:$C,3,0)-1,4)),6))&lt;&gt;(DOLLAR(VLOOKUP("PCS-OzTL48",ARBOR!$A:$C,3,0),6)),-TRUNC(CR57/VLOOKUP("PCS-OzTL48",ARBOR!$A:$C,3,0)-1,4)+0.0001,-TRUNC(CR57/VLOOKUP("PCS-OzTL48",ARBOR!$A:$C,3,0)-1,4)))))</f>
        <v/>
      </c>
      <c r="CT57" s="28" t="str">
        <f>IF(ISERROR(IF(CS57="","",VLOOKUP(($BC57&amp;CS57&amp;"Template desconto FLAT Plano Principal Oi TV nível conta"),BENEFICIOS!$A:$G,5,0))),"Criar",IF(CS57="","",VLOOKUP(($BC57&amp;CS57&amp;"Template desconto FLAT Plano Principal Oi TV nível conta"),BENEFICIOS!$A:$G,5,0)))</f>
        <v/>
      </c>
      <c r="CU57" s="8"/>
      <c r="CV57" s="3" t="str">
        <f>IF(CU57=0,"",IF(CU57=VLOOKUP("PCS-OzTL742",ARBOR!$A:$C,3,0),0.0001,IF(CU57&gt;VLOOKUP("PCS-OzTL742",ARBOR!$A:$C,3,0),"Maior que CAP!",IF((DOLLAR(CU57+(VLOOKUP("PCS-OzTL742",ARBOR!$A:$C,3,0)*-TRUNC(CU57/VLOOKUP("PCS-OzTL742",ARBOR!$A:$C,3,0)-1,4)),6))&lt;&gt;(DOLLAR(VLOOKUP("PCS-OzTL742",ARBOR!$A:$C,3,0),6)),-TRUNC(CU57/VLOOKUP("PCS-OzTL742",ARBOR!$A:$C,3,0)-1,4)+0.0001,-TRUNC(CU57/VLOOKUP("PCS-OzTL742",ARBOR!$A:$C,3,0)-1,4)))))</f>
        <v/>
      </c>
      <c r="CW57" s="28" t="str">
        <f>IF(ISERROR(IF(CV57="","",VLOOKUP(($BC57&amp;CV57&amp;"Template desconto FLAT Plano Principal Oi TV nível conta"),BENEFICIOS!$A:$G,5,0))),"Criar",IF(CV57="","",VLOOKUP(($BC57&amp;CV57&amp;"Template desconto FLAT Plano Principal Oi TV nível conta"),BENEFICIOS!$A:$G,5,0)))</f>
        <v/>
      </c>
      <c r="CX57" s="8"/>
      <c r="CY57" s="3" t="str">
        <f>IF(CX57=0,"",IF(CX57=VLOOKUP("PCS-OzTL747",ARBOR!$A:$C,3,0),0.0001,IF(CX57&gt;VLOOKUP("PCS-OzTL747",ARBOR!$A:$C,3,0),"Maior que CAP!",IF((DOLLAR(CX57+(VLOOKUP("PCS-OzTL747",ARBOR!$A:$C,3,0)*-TRUNC(CX57/VLOOKUP("PCS-OzTL747",ARBOR!$A:$C,3,0)-1,4)),6))&lt;&gt;(DOLLAR(VLOOKUP("PCS-OzTL747",ARBOR!$A:$C,3,0),6)),-TRUNC(CX57/VLOOKUP("PCS-OzTL747",ARBOR!$A:$C,3,0)-1,4)+0.0001,-TRUNC(CX57/VLOOKUP("PCS-OzTL747",ARBOR!$A:$C,3,0)-1,4)))))</f>
        <v/>
      </c>
      <c r="CZ57" s="28" t="str">
        <f>IF(ISERROR(IF(CY57="","",VLOOKUP(($BC57&amp;CY57&amp;"Template desconto FLAT Plano Principal Oi TV nível conta"),BENEFICIOS!$A:$G,5,0))),"Criar",IF(CY57="","",VLOOKUP(($BC57&amp;CY57&amp;"Template desconto FLAT Plano Principal Oi TV nível conta"),BENEFICIOS!$A:$G,5,0)))</f>
        <v/>
      </c>
      <c r="DA57" s="8"/>
      <c r="DB57" s="3" t="str">
        <f>IF(DA57=0,"",IF(DA57=VLOOKUP("PCS-OzTL746",ARBOR!$A:$C,3,0),0.0001,IF(DA57&gt;VLOOKUP("PCS-OzTL746",ARBOR!$A:$C,3,0),"Maior que CAP!",IF((DOLLAR(DA57+(VLOOKUP("PCS-OzTL746",ARBOR!$A:$C,3,0)*-TRUNC(DA57/VLOOKUP("PCS-OzTL746",ARBOR!$A:$C,3,0)-1,4)),6))&lt;&gt;(DOLLAR(VLOOKUP("PCS-OzTL746",ARBOR!$A:$C,3,0),6)),-TRUNC(DA57/VLOOKUP("PCS-OzTL746",ARBOR!$A:$C,3,0)-1,4)+0.0001,-TRUNC(DA57/VLOOKUP("PCS-OzTL746",ARBOR!$A:$C,3,0)-1,4)))))</f>
        <v/>
      </c>
      <c r="DC57" s="28" t="str">
        <f>IF(ISERROR(IF(DB57="","",VLOOKUP(($BC57&amp;DB57&amp;"Template desconto FLAT Plano Principal Oi TV nível conta"),BENEFICIOS!$A:$G,5,0))),"Criar",IF(DB57="","",VLOOKUP(($BC57&amp;DB57&amp;"Template desconto FLAT Plano Principal Oi TV nível conta"),BENEFICIOS!$A:$G,5,0)))</f>
        <v/>
      </c>
      <c r="DD57" s="8"/>
      <c r="DE57" s="3" t="str">
        <f>IF(DD57=0,"",IF(DD57=VLOOKUP("PCS-OzTL748",ARBOR!$A:$C,3,0),0.0001,IF(DD57&gt;VLOOKUP("PCS-OzTL748",ARBOR!$A:$C,3,0),"Maior que CAP!",IF((DOLLAR(DD57+(VLOOKUP("PCS-OzTL748",ARBOR!$A:$C,3,0)*-TRUNC(DD57/VLOOKUP("PCS-OzTL748",ARBOR!$A:$C,3,0)-1,4)),6))&lt;&gt;(DOLLAR(VLOOKUP("PCS-OzTL748",ARBOR!$A:$C,3,0),6)),-TRUNC(DD57/VLOOKUP("PCS-OzTL748",ARBOR!$A:$C,3,0)-1,4)+0.0001,-TRUNC(DD57/VLOOKUP("PCS-OzTL748",ARBOR!$A:$C,3,0)-1,4)))))</f>
        <v/>
      </c>
      <c r="DF57" s="28" t="str">
        <f>IF(ISERROR(IF(DE57="","",VLOOKUP(($BC57&amp;DE57&amp;"Template desconto FLAT Plano Principal Oi TV nível conta"),BENEFICIOS!$A:$G,5,0))),"Criar",IF(DE57="","",VLOOKUP(($BC57&amp;DE57&amp;"Template desconto FLAT Plano Principal Oi TV nível conta"),BENEFICIOS!$A:$G,5,0)))</f>
        <v/>
      </c>
      <c r="DG57" s="8"/>
      <c r="DH57" s="3" t="str">
        <f>IF(DG57=0,"",IF(DG57=VLOOKUP("PCS-OzTL34",ARBOR!$A:$C,3,0),0.0001,IF(DG57&gt;VLOOKUP("PCS-OzTL34",ARBOR!$A:$C,3,0),"Maior que CAP!",IF((DOLLAR(DG57+(VLOOKUP("PCS-OzTL34",ARBOR!$A:$C,3,0)*-TRUNC(DG57/VLOOKUP("PCS-OzTL34",ARBOR!$A:$C,3,0)-1,4)),6))&lt;&gt;(DOLLAR(VLOOKUP("PCS-OzTL34",ARBOR!$A:$C,3,0),6)),-TRUNC(DG57/VLOOKUP("PCS-OzTL34",ARBOR!$A:$C,3,0)-1,4)+0.0001,-TRUNC(DG57/VLOOKUP("PCS-OzTL34",ARBOR!$A:$C,3,0)-1,4)))))</f>
        <v/>
      </c>
      <c r="DI57" s="28" t="str">
        <f>IF(DH57="S/Desc","S/Desc",IF(ISERROR(IF(DH57="","",VLOOKUP(($BC57&amp;DH57&amp;"Template desconto % Combate nível conta"),BENEFICIOS!$A:$G,5,0))),"Criar",IF(DH57="","",VLOOKUP(($BC57&amp;DH57&amp;"Template desconto % Combate nível conta"),BENEFICIOS!$A:$G,5,0))))</f>
        <v/>
      </c>
      <c r="DJ57" s="8"/>
      <c r="DK57" s="3" t="str">
        <f>IF(DJ57=0,"",IF(DJ57=VLOOKUP("PCS-OzTL31",ARBOR!$A:$C,3,0),0.0001,IF(DJ57&gt;VLOOKUP("PCS-OzTL31",ARBOR!$A:$C,3,0),"Maior que CAP!",IF((DOLLAR(DJ57+(VLOOKUP("PCS-OzTL31",ARBOR!$A:$C,3,0)*-TRUNC(DJ57/VLOOKUP("PCS-OzTL31",ARBOR!$A:$C,3,0)-1,4)),6))&lt;&gt;(DOLLAR(VLOOKUP("PCS-OzTL31",ARBOR!$A:$C,3,0),6)),-TRUNC(DJ57/VLOOKUP("PCS-OzTL31",ARBOR!$A:$C,3,0)-1,4)+0.0001,-TRUNC(DJ57/VLOOKUP("PCS-OzTL31",ARBOR!$A:$C,3,0)-1,4)))))</f>
        <v/>
      </c>
      <c r="DL57" s="28" t="str">
        <f>IF(DK57="S/Desc","S/Desc",IF(ISERROR(IF(DK57="","",VLOOKUP(($BC57&amp;DK57&amp;"Template desconto % Sexy Hot nível conta"),BENEFICIOS!$A:$G,5,0))),"Criar",IF(DK57="","",VLOOKUP(($BC57&amp;DK57&amp;"Template desconto % Sexy Hot nível conta"),BENEFICIOS!$A:$G,5,0))))</f>
        <v/>
      </c>
      <c r="DM57" s="8"/>
      <c r="DN57" s="3" t="str">
        <f>IF(DM57=0,"",IF(DM57=VLOOKUP("PCS-OzTL32",ARBOR!$A:$C,3,0),0.0001,IF(DM57&gt;VLOOKUP("PCS-OzTL32",ARBOR!$A:$C,3,0),"Maior que CAP!",IF((DOLLAR(DM57+(VLOOKUP("PCS-OzTL32",ARBOR!$A:$C,3,0)*-TRUNC(DM57/VLOOKUP("PCS-OzTL32",ARBOR!$A:$C,3,0)-1,4)),6))&lt;&gt;(DOLLAR(VLOOKUP("PCS-OzTL32",ARBOR!$A:$C,3,0),6)),-TRUNC(DM57/VLOOKUP("PCS-OzTL32",ARBOR!$A:$C,3,0)-1,4)+0.0001,-TRUNC(DM57/VLOOKUP("PCS-OzTL32",ARBOR!$A:$C,3,0)-1,4)))))</f>
        <v/>
      </c>
      <c r="DO57" s="28" t="str">
        <f>IF(DN57="S/Desc","S/Desc",IF(ISERROR(IF(DN57="","",VLOOKUP(($BC57&amp;DN57&amp;"Template desconto % Playboy nível conta"),BENEFICIOS!$A:$G,5,0))),"Criar",IF(DN57="","",VLOOKUP(($BC57&amp;DN57&amp;"Template desconto % Playboy nível conta"),BENEFICIOS!$A:$G,5,0))))</f>
        <v/>
      </c>
      <c r="DP57" s="8"/>
      <c r="DQ57" s="3" t="str">
        <f>IF(DP57=0,"",IF(DP57=VLOOKUP("PCS-OzTL33",ARBOR!$A:$C,3,0),0.0001,IF(DP57&gt;VLOOKUP("PCS-OzTL33",ARBOR!$A:$C,3,0),"Maior que CAP!",IF((DOLLAR(DP57+(VLOOKUP("PCS-OzTL33",ARBOR!$A:$C,3,0)*-TRUNC(DP57/VLOOKUP("PCS-OzTL33",ARBOR!$A:$C,3,0)-1,4)),6))&lt;&gt;(DOLLAR(VLOOKUP("PCS-OzTL33",ARBOR!$A:$C,3,0),6)),-TRUNC(DP57/VLOOKUP("PCS-OzTL33",ARBOR!$A:$C,3,0)-1,4)+0.0001,-TRUNC(DP57/VLOOKUP("PCS-OzTL33",ARBOR!$A:$C,3,0)-1,4)))))</f>
        <v/>
      </c>
      <c r="DR57" s="28" t="str">
        <f>IF(DQ57="S/Desc","S/Desc",IF(ISERROR(IF(DQ57="","",VLOOKUP(($BC57&amp;DQ57&amp;"Template desconto % Sexy Hot + Playboy nível conta"),BENEFICIOS!$A:$G,5,0))),"Criar",IF(DQ57="","",VLOOKUP(($BC57&amp;DQ57&amp;"Template desconto % Sexy Hot + Playboy nível conta"),BENEFICIOS!$A:$G,5,0))))</f>
        <v/>
      </c>
      <c r="DS57" s="8"/>
      <c r="DT57" s="3" t="str">
        <f>IF(DS57=0,"",IF(DS57=VLOOKUP("PCS-OzTL503",ARBOR!$A:$C,3,0),0.0001,IF(DS57&gt;VLOOKUP("PCS-OzTL503",ARBOR!$A:$C,3,0),"Maior que CAP!",IF((DOLLAR(DS57+(VLOOKUP("PCS-OzTL503",ARBOR!$A:$C,3,0)*-TRUNC(DS57/VLOOKUP("PCS-OzTL503",ARBOR!$A:$C,3,0)-1,4)),6))&lt;&gt;(DOLLAR(VLOOKUP("PCS-OzTL503",ARBOR!$A:$C,3,0),6)),-TRUNC(DS57/VLOOKUP("PCS-OzTL503",ARBOR!$A:$C,3,0)-1,4)+0.0001,-TRUNC(DS57/VLOOKUP("PCS-OzTL503",ARBOR!$A:$C,3,0)-1,4)))))</f>
        <v/>
      </c>
      <c r="DU57" s="28" t="str">
        <f>IF(DT57="S/Desc","S/Desc",IF(ISERROR(IF(DT57="","",VLOOKUP(($BC57&amp;DT57&amp;"Template desconto % SexPrivê nível conta"),BENEFICIOS!$A:$G,5,0))),"Criar",IF(DT57="","",VLOOKUP(($BC57&amp;DT57&amp;"Template desconto % SexPrivê nível conta"),BENEFICIOS!$A:$G,5,0))))</f>
        <v/>
      </c>
      <c r="DV57" s="8"/>
      <c r="DW57" s="3" t="str">
        <f>IF(DV57=0,"",IF(DV57=VLOOKUP("PCS-OzTL500",ARBOR!$A:$C,3,0),0.0001,IF(DV57&gt;VLOOKUP("PCS-OzTL500",ARBOR!$A:$C,3,0),"Maior que CAP!",IF((DOLLAR(DV57+(VLOOKUP("PCS-OzTL500",ARBOR!$A:$C,3,0)*-TRUNC(DV57/VLOOKUP("PCS-OzTL500",ARBOR!$A:$C,3,0)-1,4)),6))&lt;&gt;(DOLLAR(VLOOKUP("PCS-OzTL500",ARBOR!$A:$C,3,0),6)),-TRUNC(DV57/VLOOKUP("PCS-OzTL500",ARBOR!$A:$C,3,0)-1,4)+0.0001,-TRUNC(DV57/VLOOKUP("PCS-OzTL500",ARBOR!$A:$C,3,0)-1,4)))))</f>
        <v/>
      </c>
      <c r="DX57" s="28" t="str">
        <f>IF(DW57="S/Desc","S/Desc",IF(ISERROR(IF(DW57="","",VLOOKUP(($BC57&amp;DW57&amp;"Template desconto % Étnico nível conta"),BENEFICIOS!$A:$G,5,0))),"Criar",IF(DW57="","",VLOOKUP(($BC57&amp;DW57&amp;"Template desconto % Étnico nível conta"),BENEFICIOS!$A:$G,5,0))))</f>
        <v/>
      </c>
      <c r="DY57" s="8"/>
      <c r="DZ57" s="181" t="str">
        <f>IF(DY57=0,"",IF(DY57=VLOOKUP("PCS-OzTL50",ARBOR!$A:$C,3,0),0.0001,IF(DY57&gt;VLOOKUP("PCS-OzTL50",ARBOR!$A:$C,3,0),"Maior que CAP!",IF((DOLLAR(DY57+(VLOOKUP("PCS-OzTL50",ARBOR!$A:$C,3,0)*-TRUNC(DY57/VLOOKUP("PCS-OzTL50",ARBOR!$A:$C,3,0)-1,4)),6))&lt;&gt;(DOLLAR(VLOOKUP("PCS-OzTL50",ARBOR!$A:$C,3,0),6)),-TRUNC(DY57/VLOOKUP("PCS-OzTL50",ARBOR!$A:$C,3,0)-1,4)+0.0001,-TRUNC(DY57/VLOOKUP("PCS-OzTL50",ARBOR!$A:$C,3,0)-1,4)))))</f>
        <v/>
      </c>
      <c r="EA57" s="28"/>
      <c r="EB57" s="8"/>
      <c r="EC57" s="181" t="str">
        <f>IF(EB57=0,"",IF(EB57=VLOOKUP("PCS-OzTL51",ARBOR!$A:$C,3,0),0.0001,IF(EB57&gt;VLOOKUP("PCS-OzTL51",ARBOR!$A:$C,3,0),"Maior que CAP!",IF((DOLLAR(EB57+(VLOOKUP("PCS-OzTL51",ARBOR!$A:$C,3,0)*-TRUNC(EB57/VLOOKUP("PCS-OzTL51",ARBOR!$A:$C,3,0)-1,4)),6))&lt;&gt;(DOLLAR(VLOOKUP("PCS-OzTL51",ARBOR!$A:$C,3,0),6)),-TRUNC(EB57/VLOOKUP("PCS-OzTL51",ARBOR!$A:$C,3,0)-1,4)+0.0001,-TRUNC(EB57/VLOOKUP("PCS-OzTL51",ARBOR!$A:$C,3,0)-1,4)))))</f>
        <v/>
      </c>
      <c r="ED57" s="28"/>
      <c r="EE57" s="8"/>
      <c r="EF57" s="181" t="str">
        <f>IF(EE57=0,"",IF(EE57=VLOOKUP("PCS-OzTL52",ARBOR!$A:$C,3,0),0.0001,IF(EE57&gt;VLOOKUP("PCS-OzTL52",ARBOR!$A:$C,3,0),"Maior que CAP!",IF((DOLLAR(EE57+(VLOOKUP("PCS-OzTL52",ARBOR!$A:$C,3,0)*-TRUNC(EE57/VLOOKUP("PCS-OzTL52",ARBOR!$A:$C,3,0)-1,4)),6))&lt;&gt;(DOLLAR(VLOOKUP("PCS-OzTL52",ARBOR!$A:$C,3,0),6)),-TRUNC(EE57/VLOOKUP("PCS-OzTL52",ARBOR!$A:$C,3,0)-1,4)+0.0001,-TRUNC(EE57/VLOOKUP("PCS-OzTL52",ARBOR!$A:$C,3,0)-1,4)))))</f>
        <v/>
      </c>
      <c r="EG57" s="28"/>
      <c r="EH57" s="8"/>
      <c r="EI57" s="181" t="str">
        <f>IF(EH57=0,"",IF(EH57=VLOOKUP("PCS-OzTL53",ARBOR!$A:$C,3,0),0.0001,IF(EH57&gt;VLOOKUP("PCS-OzTL53",ARBOR!$A:$C,3,0),"Maior que CAP!",IF((DOLLAR(EH57+(VLOOKUP("PCS-OzTL53",ARBOR!$A:$C,3,0)*-TRUNC(EH57/VLOOKUP("PCS-OzTL53",ARBOR!$A:$C,3,0)-1,4)),6))&lt;&gt;(DOLLAR(VLOOKUP("PCS-OzTL53",ARBOR!$A:$C,3,0),6)),-TRUNC(EH57/VLOOKUP("PCS-OzTL53",ARBOR!$A:$C,3,0)-1,4)+0.0001,-TRUNC(EH57/VLOOKUP("PCS-OzTL53",ARBOR!$A:$C,3,0)-1,4)))))</f>
        <v/>
      </c>
      <c r="EJ57" s="28"/>
      <c r="EK57" s="8"/>
      <c r="EL57" s="181" t="str">
        <f>IF(EK57=0,"",IF(EK57=VLOOKUP("PCS-OzTL54",ARBOR!$A:$C,3,0),0.0001,IF(EK57&gt;VLOOKUP("PCS-OzTL54",ARBOR!$A:$C,3,0),"Maior que CAP!",IF((DOLLAR(EK57+(VLOOKUP("PCS-OzTL54",ARBOR!$A:$C,3,0)*-TRUNC(EK57/VLOOKUP("PCS-OzTL54",ARBOR!$A:$C,3,0)-1,4)),6))&lt;&gt;(DOLLAR(VLOOKUP("PCS-OzTL54",ARBOR!$A:$C,3,0),6)),-TRUNC(EK57/VLOOKUP("PCS-OzTL54",ARBOR!$A:$C,3,0)-1,4)+0.0001,-TRUNC(EK57/VLOOKUP("PCS-OzTL54",ARBOR!$A:$C,3,0)-1,4)))))</f>
        <v/>
      </c>
      <c r="EM57" s="28"/>
      <c r="EN57" s="8"/>
      <c r="EO57" s="3" t="str">
        <f>IF(EN57=0,"",IF(EN57=VLOOKUP("PCS-OzTL99",ARBOR!$A:$C,3,0),0.0001,IF(EN57&gt;VLOOKUP("PCS-OzTL99",ARBOR!$A:$C,3,0),"Maior que CAP!",IF((DOLLAR(EN57+(VLOOKUP("PCS-OzTL99",ARBOR!$A:$C,3,0)*-TRUNC(EN57/VLOOKUP("PCS-OzTL99",ARBOR!$A:$C,3,0)-1,4)),6))&lt;&gt;(DOLLAR(VLOOKUP("PCS-OzTL99",ARBOR!$A:$C,3,0),6)),-TRUNC(EN57/VLOOKUP("PCS-OzTL99",ARBOR!$A:$C,3,0)-1,4)+0.0001,-TRUNC(EN57/VLOOKUP("PCS-OzTL99",ARBOR!$A:$C,3,0)-1,4)))))</f>
        <v/>
      </c>
      <c r="EP57" s="28" t="str">
        <f>IF(EO57="S/Desc","S/Desc",IF(ISERROR(IF(EO57="","",VLOOKUP(($BC57&amp;EO57&amp;"Template desconto % Ponto adicional nível conta"),BENEFICIOS!$A:$G,5,0))),"Criar",IF(EO57="","",VLOOKUP(($BC57&amp;EO57&amp;"Template desconto % Ponto adicional nível conta"),BENEFICIOS!$A:$G,5,0))))</f>
        <v/>
      </c>
      <c r="EQ57" s="8"/>
      <c r="ER57" s="28" t="str">
        <f t="shared" si="23"/>
        <v/>
      </c>
      <c r="ES57" s="62"/>
      <c r="ET57" s="126"/>
      <c r="EU57" s="127"/>
      <c r="EV57" s="126"/>
      <c r="EW57" s="128" t="str">
        <f t="shared" si="24"/>
        <v/>
      </c>
      <c r="EX57" s="129" t="str">
        <f t="shared" si="25"/>
        <v/>
      </c>
      <c r="EY57" s="91" t="str">
        <f t="shared" si="26"/>
        <v/>
      </c>
      <c r="EZ57" s="85"/>
      <c r="FA57" s="97"/>
      <c r="FB57" s="91"/>
      <c r="FC57" s="85"/>
      <c r="FD57" s="97"/>
      <c r="FE57" s="91"/>
      <c r="FF57" s="87"/>
      <c r="FG57" s="144" t="str">
        <f t="shared" si="5"/>
        <v/>
      </c>
      <c r="FH57" s="144" t="str">
        <f t="shared" si="6"/>
        <v/>
      </c>
      <c r="FI57" s="144" t="str">
        <f t="shared" si="7"/>
        <v/>
      </c>
      <c r="FJ57" s="144" t="str">
        <f t="shared" si="8"/>
        <v/>
      </c>
      <c r="FK57" s="144" t="str">
        <f t="shared" si="9"/>
        <v/>
      </c>
      <c r="FL57" s="144" t="str">
        <f t="shared" si="10"/>
        <v/>
      </c>
      <c r="FM57" s="144" t="str">
        <f t="shared" si="11"/>
        <v/>
      </c>
      <c r="FN57" s="144" t="str">
        <f t="shared" si="12"/>
        <v/>
      </c>
      <c r="FO57" s="144" t="str">
        <f t="shared" si="13"/>
        <v/>
      </c>
      <c r="FP57" s="144" t="str">
        <f t="shared" si="14"/>
        <v/>
      </c>
      <c r="FQ57" s="144" t="str">
        <f t="shared" si="15"/>
        <v/>
      </c>
      <c r="FR57" s="144" t="str">
        <f t="shared" si="16"/>
        <v/>
      </c>
      <c r="FS57" s="144" t="str">
        <f t="shared" si="17"/>
        <v/>
      </c>
      <c r="FT57" s="144" t="str">
        <f t="shared" si="18"/>
        <v/>
      </c>
      <c r="FU57" s="144" t="str">
        <f t="shared" si="19"/>
        <v/>
      </c>
      <c r="FV57" s="144" t="str">
        <f t="shared" si="20"/>
        <v/>
      </c>
      <c r="FW57" s="144" t="str">
        <f t="shared" si="21"/>
        <v/>
      </c>
      <c r="FX57" s="151"/>
      <c r="FY57" s="152"/>
      <c r="FZ57" s="152"/>
      <c r="GA57" s="152"/>
      <c r="GB57" s="152"/>
      <c r="GC57" s="152"/>
      <c r="GD57" s="152"/>
      <c r="GE57" s="152"/>
      <c r="GF57" s="152"/>
      <c r="GG57" s="153"/>
    </row>
    <row r="58" spans="1:189">
      <c r="A58" s="45"/>
      <c r="B58" s="133"/>
      <c r="C58" s="133"/>
      <c r="D58" s="46"/>
      <c r="E58" s="4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9"/>
      <c r="U58" s="48"/>
      <c r="V58" s="49"/>
      <c r="W58" s="48"/>
      <c r="X58" s="48"/>
      <c r="Y58" s="48"/>
      <c r="Z58" s="48"/>
      <c r="AA58" s="49"/>
      <c r="AB58" s="48"/>
      <c r="AC58" s="50"/>
      <c r="AD58" s="48"/>
      <c r="AE58" s="48"/>
      <c r="AF58" s="48"/>
      <c r="AG58" s="48"/>
      <c r="AH58" s="48"/>
      <c r="AI58" s="48"/>
      <c r="AJ58" s="48"/>
      <c r="AK58" s="48"/>
      <c r="AL58" s="51"/>
      <c r="AM58" s="37"/>
      <c r="AN58" s="38"/>
      <c r="AO58" s="39"/>
      <c r="AP58" s="52"/>
      <c r="AQ58" s="53"/>
      <c r="AR58" s="64"/>
      <c r="AS58" s="65"/>
      <c r="AT58" s="54"/>
      <c r="AU58" s="54"/>
      <c r="AV58" s="54"/>
      <c r="AW58" s="54"/>
      <c r="AX58" s="70"/>
      <c r="AY58" s="71"/>
      <c r="AZ58" s="72"/>
      <c r="BA58" s="73"/>
      <c r="BB58" s="55"/>
      <c r="BC58" s="56"/>
      <c r="BD58" s="27" t="str">
        <f t="shared" si="22"/>
        <v/>
      </c>
      <c r="BE58" s="58"/>
      <c r="BF58" s="3" t="str">
        <f>IF(BE58=0,"",IF(BE58=VLOOKUP("FIXO",ARBOR!$A:$C,3,0),0.0001,IF(BE58&gt;VLOOKUP("FIXO",ARBOR!$A:$C,3,0),"Maior que CAP!",IF((DOLLAR(BE58+(VLOOKUP("FIXO",ARBOR!$A:$C,3,0)*-TRUNC(BE58/VLOOKUP("FIXO",ARBOR!$A:$C,3,0)-1,4)),6))&lt;&gt;(DOLLAR(VLOOKUP("FIXO",ARBOR!$A:$C,3,0),6)),-TRUNC(BE58/VLOOKUP("FIXO",ARBOR!$A:$C,3,0)-1,4)+0.0001,-TRUNC(BE58/VLOOKUP("FIXO",ARBOR!$A:$C,3,0)-1,4)))))</f>
        <v/>
      </c>
      <c r="BG58" s="10" t="str">
        <f>IF(ISERROR(IF(BF58="","",VLOOKUP(($BC58&amp;BF58&amp;"Template de desconto FLAT bundle - Fixo - Varejo - Ganho Tributário Cross"),BENEFICIOS!$A:$G,5,0))),"Criar",IF(BF58="","",VLOOKUP(($BC58&amp;BF58&amp;"Template de desconto FLAT bundle - Fixo - Varejo - Ganho Tributário Cross"),BENEFICIOS!$A:$G,5,0)))</f>
        <v/>
      </c>
      <c r="BH58" s="8"/>
      <c r="BI58" s="3" t="str">
        <f>IF(BH58=0,"",IF(BH58=VLOOKUP("PCS-OzTL40",ARBOR!$A:$C,3,0),0.0001,IF(BH58&gt;VLOOKUP("PCS-OzTL40",ARBOR!$A:$C,3,0),"Maior que CAP!",IF((DOLLAR(BH58+(VLOOKUP("PCS-OzTL40",ARBOR!$A:$C,3,0)*-TRUNC(BH58/VLOOKUP("PCS-OzTL40",ARBOR!$A:$C,3,0)-1,4)),6))&lt;&gt;(DOLLAR(VLOOKUP("PCS-OzTL40",ARBOR!$A:$C,3,0),6)),-TRUNC(BH58/VLOOKUP("PCS-OzTL40",ARBOR!$A:$C,3,0)-1,4)+0.0001,-TRUNC(BH58/VLOOKUP("PCS-OzTL40",ARBOR!$A:$C,3,0)-1,4)))))</f>
        <v/>
      </c>
      <c r="BJ58" s="10" t="str">
        <f>IF(ISERROR(IF(BI58="","",VLOOKUP((BC58&amp;BI58&amp;"Template desconto FLAT Plano Principal Oi TV nível conta"),BENEFICIOS!$A:$G,5,0))),"Criar",IF(BI58="","",VLOOKUP((BC58&amp;BI58&amp;"Template desconto FLAT Plano Principal Oi TV nível conta"),BENEFICIOS!$A:$G,5,0)))</f>
        <v/>
      </c>
      <c r="BK58" s="8"/>
      <c r="BL58" s="3" t="str">
        <f>IF(BK58=0,"",IF(BK58=VLOOKUP("PCS-OzTL41",ARBOR!$A:$C,3,0),0.0001,IF(BK58&gt;VLOOKUP("PCS-OzTL41",ARBOR!$A:$C,3,0),"Maior que CAP!",IF((DOLLAR(BK58+(VLOOKUP("PCS-OzTL41",ARBOR!$A:$C,3,0)*-TRUNC(BK58/VLOOKUP("PCS-OzTL41",ARBOR!$A:$C,3,0)-1,4)),6))&lt;&gt;(DOLLAR(VLOOKUP("PCS-OzTL41",ARBOR!$A:$C,3,0),6)),-TRUNC(BK58/VLOOKUP("PCS-OzTL41",ARBOR!$A:$C,3,0)-1,4)+0.0001,-TRUNC(BK58/VLOOKUP("PCS-OzTL41",ARBOR!$A:$C,3,0)-1,4)))))</f>
        <v/>
      </c>
      <c r="BM58" s="28" t="str">
        <f>IF(ISERROR(IF(BL58="","",VLOOKUP((BC58&amp;BL58&amp;"Template desconto FLAT Plano Principal Oi TV nível conta"),BENEFICIOS!$A:$G,5,0))),"Criar",IF(BL58="","",VLOOKUP((BC58&amp;BL58&amp;"Template desconto FLAT Plano Principal Oi TV nível conta"),BENEFICIOS!$A:$G,5,0)))</f>
        <v/>
      </c>
      <c r="BN58" s="8"/>
      <c r="BO58" s="3" t="str">
        <f>IF(BN58=0,"",IF(BN58=VLOOKUP("PCS-OzTL44",ARBOR!$A:$C,3,0),0.0001,IF(BN58&gt;VLOOKUP("PCS-OzTL44",ARBOR!$A:$C,3,0),"Maior que CAP!",IF((DOLLAR(BN58+(VLOOKUP("PCS-OzTL44",ARBOR!$A:$C,3,0)*-TRUNC(BN58/VLOOKUP("PCS-OzTL44",ARBOR!$A:$C,3,0)-1,4)),6))&lt;&gt;(DOLLAR(VLOOKUP("PCS-OzTL44",ARBOR!$A:$C,3,0),6)),-TRUNC(BN58/VLOOKUP("PCS-OzTL44",ARBOR!$A:$C,3,0)-1,4)+0.0001,-TRUNC(BN58/VLOOKUP("PCS-OzTL44",ARBOR!$A:$C,3,0)-1,4)))))</f>
        <v/>
      </c>
      <c r="BP58" s="28" t="str">
        <f>IF(ISERROR(IF(BO58="","",VLOOKUP((BC58&amp;BO58&amp;"Template desconto FLAT Plano Principal Oi TV nível conta"),BENEFICIOS!$A:$G,5,0))),"Criar",IF(BO58="","",VLOOKUP((BC58&amp;BO58&amp;"Template desconto FLAT Plano Principal Oi TV nível conta"),BENEFICIOS!$A:$G,5,0)))</f>
        <v/>
      </c>
      <c r="BQ58" s="8"/>
      <c r="BR58" s="3" t="str">
        <f>IF(BQ58=0,"",IF(BQ58=VLOOKUP("PCS-OzTL43",ARBOR!$A:$C,3,0),0.0001,IF(BQ58&gt;VLOOKUP("PCS-OzTL43",ARBOR!$A:$C,3,0),"Maior que CAP!",IF((DOLLAR(BQ58+(VLOOKUP("PCS-OzTL43",ARBOR!$A:$C,3,0)*-TRUNC(BQ58/VLOOKUP("PCS-OzTL43",ARBOR!$A:$C,3,0)-1,4)),6))&lt;&gt;(DOLLAR(VLOOKUP("PCS-OzTL43",ARBOR!$A:$C,3,0),6)),-TRUNC(BQ58/VLOOKUP("PCS-OzTL43",ARBOR!$A:$C,3,0)-1,4)+0.0001,-TRUNC(BQ58/VLOOKUP("PCS-OzTL43",ARBOR!$A:$C,3,0)-1,4)))))</f>
        <v/>
      </c>
      <c r="BS58" s="28" t="str">
        <f>IF(ISERROR(IF(BR58="","",VLOOKUP((BC58&amp;BR58&amp;"Template desconto FLAT Plano Principal Oi TV nível conta"),BENEFICIOS!$A:$G,5,0))),"Criar",IF(BR58="","",VLOOKUP((BC58&amp;BR58&amp;"Template desconto FLAT Plano Principal Oi TV nível conta"),BENEFICIOS!$A:$G,5,0)))</f>
        <v/>
      </c>
      <c r="BT58" s="8"/>
      <c r="BU58" s="3" t="str">
        <f>IF(BT58=0,"",IF(BT58=VLOOKUP("PCS-OzTL45",ARBOR!$A:$C,3,0),0.0001,IF(BT58&gt;VLOOKUP("PCS-OzTL45",ARBOR!$A:$C,3,0),"Maior que CAP!",IF((DOLLAR(BT58+(VLOOKUP("PCS-OzTL45",ARBOR!$A:$C,3,0)*-TRUNC(BT58/VLOOKUP("PCS-OzTL45",ARBOR!$A:$C,3,0)-1,4)),6))&lt;&gt;(DOLLAR(VLOOKUP("PCS-OzTL45",ARBOR!$A:$C,3,0),6)),-TRUNC(BT58/VLOOKUP("PCS-OzTL45",ARBOR!$A:$C,3,0)-1,4)+0.0001,-TRUNC(BT58/VLOOKUP("PCS-OzTL45",ARBOR!$A:$C,3,0)-1,4)))))</f>
        <v/>
      </c>
      <c r="BV58" s="28" t="str">
        <f>IF(ISERROR(IF(BU58="","",VLOOKUP((BC58&amp;BU58&amp;"Template desconto FLAT Plano Principal Oi TV nível conta"),BENEFICIOS!$A:$G,5,0))),"Criar",IF(BU58="","",VLOOKUP((BC58&amp;BU58&amp;"Template desconto FLAT Plano Principal Oi TV nível conta"),BENEFICIOS!$A:$G,5,0)))</f>
        <v/>
      </c>
      <c r="BW58" s="8"/>
      <c r="BX58" s="3" t="str">
        <f>IF(BW58=0,"",IF(BW58=VLOOKUP("PCS-OzTL741",ARBOR!$A:$C,3,0),0.0001,IF(BW58&gt;VLOOKUP("PCS-OzTL741",ARBOR!$A:$C,3,0),"Maior que CAP!",IF((DOLLAR(BW58+(VLOOKUP("PCS-OzTL741",ARBOR!$A:$C,3,0)*-TRUNC(BW58/VLOOKUP("PCS-OzTL741",ARBOR!$A:$C,3,0)-1,4)),6))&lt;&gt;(DOLLAR(VLOOKUP("PCS-OzTL741",ARBOR!$A:$C,3,0),6)),-TRUNC(BW58/VLOOKUP("PCS-OzTL741",ARBOR!$A:$C,3,0)-1,4)+0.0001,-TRUNC(BW58/VLOOKUP("PCS-OzTL741",ARBOR!$A:$C,3,0)-1,4)))))</f>
        <v/>
      </c>
      <c r="BY58" s="28" t="str">
        <f>IF(ISERROR(IF(BX58="","",VLOOKUP((BC58&amp;BX58&amp;"Template desconto FLAT Plano Principal Oi TV nível conta"),BENEFICIOS!$A:$G,5,0))),"Criar",IF(BX58="","",VLOOKUP((BC58&amp;BX58&amp;"Template desconto FLAT Plano Principal Oi TV nível conta"),BENEFICIOS!$A:$G,5,0)))</f>
        <v/>
      </c>
      <c r="BZ58" s="8"/>
      <c r="CA58" s="3" t="str">
        <f>IF(BZ58=0,"",IF(BZ58=VLOOKUP("PCS-OzTL744",ARBOR!$A:$C,3,0),0.0001,IF(BZ58&gt;VLOOKUP("PCS-OzTL744",ARBOR!$A:$C,3,0),"Maior que CAP!",IF((DOLLAR(BZ58+(VLOOKUP("PCS-OzTL744",ARBOR!$A:$C,3,0)*-TRUNC(BZ58/VLOOKUP("PCS-OzTL744",ARBOR!$A:$C,3,0)-1,4)),6))&lt;&gt;(DOLLAR(VLOOKUP("PCS-OzTL744",ARBOR!$A:$C,3,0),6)),-TRUNC(BZ58/VLOOKUP("PCS-OzTL744",ARBOR!$A:$C,3,0)-1,4)+0.0001,-TRUNC(BZ58/VLOOKUP("PCS-OzTL744",ARBOR!$A:$C,3,0)-1,4)))))</f>
        <v/>
      </c>
      <c r="CB58" s="28" t="str">
        <f>IF(ISERROR(IF(CA58="","",VLOOKUP(($BC58&amp;CA58&amp;"Template desconto FLAT Plano Principal Oi TV nível conta"),BENEFICIOS!$A:$G,5,0))),"Criar",IF(CA58="","",VLOOKUP(($BC58&amp;CA58&amp;"Template desconto FLAT Plano Principal Oi TV nível conta"),BENEFICIOS!$A:$G,5,0)))</f>
        <v/>
      </c>
      <c r="CC58" s="8"/>
      <c r="CD58" s="3" t="str">
        <f>IF(CC58=0,"",IF(CC58=VLOOKUP("PCS-OzTL743",ARBOR!$A:$C,3,0),0.0001,IF(CC58&gt;VLOOKUP("PCS-OzTL743",ARBOR!$A:$C,3,0),"Maior que CAP!",IF((DOLLAR(CC58+(VLOOKUP("PCS-OzTL743",ARBOR!$A:$C,3,0)*-TRUNC(CC58/VLOOKUP("PCS-OzTL743",ARBOR!$A:$C,3,0)-1,4)),6))&lt;&gt;(DOLLAR(VLOOKUP("PCS-OzTL743",ARBOR!$A:$C,3,0),6)),-TRUNC(CC58/VLOOKUP("PCS-OzTL743",ARBOR!$A:$C,3,0)-1,4)+0.0001,-TRUNC(CC58/VLOOKUP("PCS-OzTL743",ARBOR!$A:$C,3,0)-1,4)))))</f>
        <v/>
      </c>
      <c r="CE58" s="28" t="str">
        <f>IF(ISERROR(IF(CD58="","",VLOOKUP(($BC58&amp;CD58&amp;"Template desconto FLAT Plano Principal Oi TV nível conta"),BENEFICIOS!$A:$G,5,0))),"Criar",IF(CD58="","",VLOOKUP(($BC58&amp;CD58&amp;"Template desconto FLAT Plano Principal Oi TV nível conta"),BENEFICIOS!$A:$G,5,0)))</f>
        <v/>
      </c>
      <c r="CF58" s="8"/>
      <c r="CG58" s="3" t="str">
        <f>IF(CF58=0,"",IF(CF58=VLOOKUP("PCS-OzTL745",ARBOR!$A:$C,3,0),0.0001,IF(CF58&gt;VLOOKUP("PCS-OzTL745",ARBOR!$A:$C,3,0),"Maior que CAP!",IF((DOLLAR(CF58+(VLOOKUP("PCS-OzTL745",ARBOR!$A:$C,3,0)*-TRUNC(CF58/VLOOKUP("PCS-OzTL745",ARBOR!$A:$C,3,0)-1,4)),6))&lt;&gt;(DOLLAR(VLOOKUP("PCS-OzTL745",ARBOR!$A:$C,3,0),6)),-TRUNC(CF58/VLOOKUP("PCS-OzTL745",ARBOR!$A:$C,3,0)-1,4)+0.0001,-TRUNC(CF58/VLOOKUP("PCS-OzTL745",ARBOR!$A:$C,3,0)-1,4)))))</f>
        <v/>
      </c>
      <c r="CH58" s="28" t="str">
        <f>IF(ISERROR(IF(CG58="","",VLOOKUP(($BC58&amp;CG58&amp;"Template desconto FLAT Plano Principal Oi TV nível conta"),BENEFICIOS!$A:$G,5,0))),"Criar",IF(CG58="","",VLOOKUP(($BC58&amp;CG58&amp;"Template desconto FLAT Plano Principal Oi TV nível conta"),BENEFICIOS!$A:$G,5,0)))</f>
        <v/>
      </c>
      <c r="CI58" s="8"/>
      <c r="CJ58" s="3" t="str">
        <f>IF(CI58=0,"",IF(CI58=VLOOKUP("PCS-OzTL42",ARBOR!$A:$C,3,0),0.0001,IF(CI58&gt;VLOOKUP("PCS-OzTL42",ARBOR!$A:$C,3,0),"Maior que CAP!",IF((DOLLAR(CI58+(VLOOKUP("PCS-OzTL42",ARBOR!$A:$C,3,0)*-TRUNC(CI58/VLOOKUP("PCS-OzTL42",ARBOR!$A:$C,3,0)-1,4)),6))&lt;&gt;(DOLLAR(VLOOKUP("PCS-OzTL42",ARBOR!$A:$C,3,0),6)),-TRUNC(CI58/VLOOKUP("PCS-OzTL42",ARBOR!$A:$C,3,0)-1,4)+0.0001,-TRUNC(CI58/VLOOKUP("PCS-OzTL42",ARBOR!$A:$C,3,0)-1,4)))))</f>
        <v/>
      </c>
      <c r="CK58" s="28" t="str">
        <f>IF(ISERROR(IF(CJ58="","",VLOOKUP(($BC58&amp;CJ58&amp;"Template desconto FLAT Plano Principal Oi TV nível conta"),BENEFICIOS!$A:$G,5,0))),"Criar",IF(CJ58="","",VLOOKUP(($BC58&amp;CJ58&amp;"Template desconto FLAT Plano Principal Oi TV nível conta"),BENEFICIOS!$A:$G,5,0)))</f>
        <v/>
      </c>
      <c r="CL58" s="8"/>
      <c r="CM58" s="3" t="str">
        <f>IF(CL58=0,"",IF(CL58=VLOOKUP("PCS-OzTL47",ARBOR!$A:$C,3,0),0.0001,IF(CL58&gt;VLOOKUP("PCS-OzTL47",ARBOR!$A:$C,3,0),"Maior que CAP!",IF((DOLLAR(CL58+(VLOOKUP("PCS-OzTL47",ARBOR!$A:$C,3,0)*-TRUNC(CL58/VLOOKUP("PCS-OzTL47",ARBOR!$A:$C,3,0)-1,4)),6))&lt;&gt;(DOLLAR(VLOOKUP("PCS-OzTL47",ARBOR!$A:$C,3,0),6)),-TRUNC(CL58/VLOOKUP("PCS-OzTL47",ARBOR!$A:$C,3,0)-1,4)+0.0001,-TRUNC(CL58/VLOOKUP("PCS-OzTL47",ARBOR!$A:$C,3,0)-1,4)))))</f>
        <v/>
      </c>
      <c r="CN58" s="28" t="str">
        <f>IF(ISERROR(IF(CM58="","",VLOOKUP(($BC58&amp;CM58&amp;"Template desconto FLAT Plano Principal Oi TV nível conta"),BENEFICIOS!$A:$G,5,0))),"Criar",IF(CM58="","",VLOOKUP(($BC58&amp;CM58&amp;"Template desconto FLAT Plano Principal Oi TV nível conta"),BENEFICIOS!$A:$G,5,0)))</f>
        <v/>
      </c>
      <c r="CO58" s="8"/>
      <c r="CP58" s="3" t="str">
        <f>IF(CO58=0,"",IF(CO58=VLOOKUP("PCS-OzTL46",ARBOR!$A:$C,3,0),0.0001,IF(CO58&gt;VLOOKUP("PCS-OzTL46",ARBOR!$A:$C,3,0),"Maior que CAP!",IF((DOLLAR(CO58+(VLOOKUP("PCS-OzTL46",ARBOR!$A:$C,3,0)*-TRUNC(CO58/VLOOKUP("PCS-OzTL46",ARBOR!$A:$C,3,0)-1,4)),6))&lt;&gt;(DOLLAR(VLOOKUP("PCS-OzTL46",ARBOR!$A:$C,3,0),6)),-TRUNC(CO58/VLOOKUP("PCS-OzTL46",ARBOR!$A:$C,3,0)-1,4)+0.0001,-TRUNC(CO58/VLOOKUP("PCS-OzTL46",ARBOR!$A:$C,3,0)-1,4)))))</f>
        <v/>
      </c>
      <c r="CQ58" s="28" t="str">
        <f>IF(ISERROR(IF(CP58="","",VLOOKUP(($BC58&amp;CP58&amp;"Template desconto FLAT Plano Principal Oi TV nível conta"),BENEFICIOS!$A:$G,5,0))),"Criar",IF(CP58="","",VLOOKUP(($BC58&amp;CP58&amp;"Template desconto FLAT Plano Principal Oi TV nível conta"),BENEFICIOS!$A:$G,5,0)))</f>
        <v/>
      </c>
      <c r="CR58" s="8"/>
      <c r="CS58" s="3" t="str">
        <f>IF(CR58=0,"",IF(CR58=VLOOKUP("PCS-OzTL48",ARBOR!$A:$C,3,0),0.0001,IF(CR58&gt;VLOOKUP("PCS-OzTL48",ARBOR!$A:$C,3,0),"Maior que CAP!",IF((DOLLAR(CR58+(VLOOKUP("PCS-OzTL48",ARBOR!$A:$C,3,0)*-TRUNC(CR58/VLOOKUP("PCS-OzTL48",ARBOR!$A:$C,3,0)-1,4)),6))&lt;&gt;(DOLLAR(VLOOKUP("PCS-OzTL48",ARBOR!$A:$C,3,0),6)),-TRUNC(CR58/VLOOKUP("PCS-OzTL48",ARBOR!$A:$C,3,0)-1,4)+0.0001,-TRUNC(CR58/VLOOKUP("PCS-OzTL48",ARBOR!$A:$C,3,0)-1,4)))))</f>
        <v/>
      </c>
      <c r="CT58" s="28" t="str">
        <f>IF(ISERROR(IF(CS58="","",VLOOKUP(($BC58&amp;CS58&amp;"Template desconto FLAT Plano Principal Oi TV nível conta"),BENEFICIOS!$A:$G,5,0))),"Criar",IF(CS58="","",VLOOKUP(($BC58&amp;CS58&amp;"Template desconto FLAT Plano Principal Oi TV nível conta"),BENEFICIOS!$A:$G,5,0)))</f>
        <v/>
      </c>
      <c r="CU58" s="8"/>
      <c r="CV58" s="3" t="str">
        <f>IF(CU58=0,"",IF(CU58=VLOOKUP("PCS-OzTL742",ARBOR!$A:$C,3,0),0.0001,IF(CU58&gt;VLOOKUP("PCS-OzTL742",ARBOR!$A:$C,3,0),"Maior que CAP!",IF((DOLLAR(CU58+(VLOOKUP("PCS-OzTL742",ARBOR!$A:$C,3,0)*-TRUNC(CU58/VLOOKUP("PCS-OzTL742",ARBOR!$A:$C,3,0)-1,4)),6))&lt;&gt;(DOLLAR(VLOOKUP("PCS-OzTL742",ARBOR!$A:$C,3,0),6)),-TRUNC(CU58/VLOOKUP("PCS-OzTL742",ARBOR!$A:$C,3,0)-1,4)+0.0001,-TRUNC(CU58/VLOOKUP("PCS-OzTL742",ARBOR!$A:$C,3,0)-1,4)))))</f>
        <v/>
      </c>
      <c r="CW58" s="28" t="str">
        <f>IF(ISERROR(IF(CV58="","",VLOOKUP(($BC58&amp;CV58&amp;"Template desconto FLAT Plano Principal Oi TV nível conta"),BENEFICIOS!$A:$G,5,0))),"Criar",IF(CV58="","",VLOOKUP(($BC58&amp;CV58&amp;"Template desconto FLAT Plano Principal Oi TV nível conta"),BENEFICIOS!$A:$G,5,0)))</f>
        <v/>
      </c>
      <c r="CX58" s="8"/>
      <c r="CY58" s="3" t="str">
        <f>IF(CX58=0,"",IF(CX58=VLOOKUP("PCS-OzTL747",ARBOR!$A:$C,3,0),0.0001,IF(CX58&gt;VLOOKUP("PCS-OzTL747",ARBOR!$A:$C,3,0),"Maior que CAP!",IF((DOLLAR(CX58+(VLOOKUP("PCS-OzTL747",ARBOR!$A:$C,3,0)*-TRUNC(CX58/VLOOKUP("PCS-OzTL747",ARBOR!$A:$C,3,0)-1,4)),6))&lt;&gt;(DOLLAR(VLOOKUP("PCS-OzTL747",ARBOR!$A:$C,3,0),6)),-TRUNC(CX58/VLOOKUP("PCS-OzTL747",ARBOR!$A:$C,3,0)-1,4)+0.0001,-TRUNC(CX58/VLOOKUP("PCS-OzTL747",ARBOR!$A:$C,3,0)-1,4)))))</f>
        <v/>
      </c>
      <c r="CZ58" s="28" t="str">
        <f>IF(ISERROR(IF(CY58="","",VLOOKUP(($BC58&amp;CY58&amp;"Template desconto FLAT Plano Principal Oi TV nível conta"),BENEFICIOS!$A:$G,5,0))),"Criar",IF(CY58="","",VLOOKUP(($BC58&amp;CY58&amp;"Template desconto FLAT Plano Principal Oi TV nível conta"),BENEFICIOS!$A:$G,5,0)))</f>
        <v/>
      </c>
      <c r="DA58" s="8"/>
      <c r="DB58" s="3" t="str">
        <f>IF(DA58=0,"",IF(DA58=VLOOKUP("PCS-OzTL746",ARBOR!$A:$C,3,0),0.0001,IF(DA58&gt;VLOOKUP("PCS-OzTL746",ARBOR!$A:$C,3,0),"Maior que CAP!",IF((DOLLAR(DA58+(VLOOKUP("PCS-OzTL746",ARBOR!$A:$C,3,0)*-TRUNC(DA58/VLOOKUP("PCS-OzTL746",ARBOR!$A:$C,3,0)-1,4)),6))&lt;&gt;(DOLLAR(VLOOKUP("PCS-OzTL746",ARBOR!$A:$C,3,0),6)),-TRUNC(DA58/VLOOKUP("PCS-OzTL746",ARBOR!$A:$C,3,0)-1,4)+0.0001,-TRUNC(DA58/VLOOKUP("PCS-OzTL746",ARBOR!$A:$C,3,0)-1,4)))))</f>
        <v/>
      </c>
      <c r="DC58" s="28" t="str">
        <f>IF(ISERROR(IF(DB58="","",VLOOKUP(($BC58&amp;DB58&amp;"Template desconto FLAT Plano Principal Oi TV nível conta"),BENEFICIOS!$A:$G,5,0))),"Criar",IF(DB58="","",VLOOKUP(($BC58&amp;DB58&amp;"Template desconto FLAT Plano Principal Oi TV nível conta"),BENEFICIOS!$A:$G,5,0)))</f>
        <v/>
      </c>
      <c r="DD58" s="8"/>
      <c r="DE58" s="3" t="str">
        <f>IF(DD58=0,"",IF(DD58=VLOOKUP("PCS-OzTL748",ARBOR!$A:$C,3,0),0.0001,IF(DD58&gt;VLOOKUP("PCS-OzTL748",ARBOR!$A:$C,3,0),"Maior que CAP!",IF((DOLLAR(DD58+(VLOOKUP("PCS-OzTL748",ARBOR!$A:$C,3,0)*-TRUNC(DD58/VLOOKUP("PCS-OzTL748",ARBOR!$A:$C,3,0)-1,4)),6))&lt;&gt;(DOLLAR(VLOOKUP("PCS-OzTL748",ARBOR!$A:$C,3,0),6)),-TRUNC(DD58/VLOOKUP("PCS-OzTL748",ARBOR!$A:$C,3,0)-1,4)+0.0001,-TRUNC(DD58/VLOOKUP("PCS-OzTL748",ARBOR!$A:$C,3,0)-1,4)))))</f>
        <v/>
      </c>
      <c r="DF58" s="28" t="str">
        <f>IF(ISERROR(IF(DE58="","",VLOOKUP(($BC58&amp;DE58&amp;"Template desconto FLAT Plano Principal Oi TV nível conta"),BENEFICIOS!$A:$G,5,0))),"Criar",IF(DE58="","",VLOOKUP(($BC58&amp;DE58&amp;"Template desconto FLAT Plano Principal Oi TV nível conta"),BENEFICIOS!$A:$G,5,0)))</f>
        <v/>
      </c>
      <c r="DG58" s="8"/>
      <c r="DH58" s="3" t="str">
        <f>IF(DG58=0,"",IF(DG58=VLOOKUP("PCS-OzTL34",ARBOR!$A:$C,3,0),0.0001,IF(DG58&gt;VLOOKUP("PCS-OzTL34",ARBOR!$A:$C,3,0),"Maior que CAP!",IF((DOLLAR(DG58+(VLOOKUP("PCS-OzTL34",ARBOR!$A:$C,3,0)*-TRUNC(DG58/VLOOKUP("PCS-OzTL34",ARBOR!$A:$C,3,0)-1,4)),6))&lt;&gt;(DOLLAR(VLOOKUP("PCS-OzTL34",ARBOR!$A:$C,3,0),6)),-TRUNC(DG58/VLOOKUP("PCS-OzTL34",ARBOR!$A:$C,3,0)-1,4)+0.0001,-TRUNC(DG58/VLOOKUP("PCS-OzTL34",ARBOR!$A:$C,3,0)-1,4)))))</f>
        <v/>
      </c>
      <c r="DI58" s="28" t="str">
        <f>IF(DH58="S/Desc","S/Desc",IF(ISERROR(IF(DH58="","",VLOOKUP(($BC58&amp;DH58&amp;"Template desconto % Combate nível conta"),BENEFICIOS!$A:$G,5,0))),"Criar",IF(DH58="","",VLOOKUP(($BC58&amp;DH58&amp;"Template desconto % Combate nível conta"),BENEFICIOS!$A:$G,5,0))))</f>
        <v/>
      </c>
      <c r="DJ58" s="8"/>
      <c r="DK58" s="3" t="str">
        <f>IF(DJ58=0,"",IF(DJ58=VLOOKUP("PCS-OzTL31",ARBOR!$A:$C,3,0),0.0001,IF(DJ58&gt;VLOOKUP("PCS-OzTL31",ARBOR!$A:$C,3,0),"Maior que CAP!",IF((DOLLAR(DJ58+(VLOOKUP("PCS-OzTL31",ARBOR!$A:$C,3,0)*-TRUNC(DJ58/VLOOKUP("PCS-OzTL31",ARBOR!$A:$C,3,0)-1,4)),6))&lt;&gt;(DOLLAR(VLOOKUP("PCS-OzTL31",ARBOR!$A:$C,3,0),6)),-TRUNC(DJ58/VLOOKUP("PCS-OzTL31",ARBOR!$A:$C,3,0)-1,4)+0.0001,-TRUNC(DJ58/VLOOKUP("PCS-OzTL31",ARBOR!$A:$C,3,0)-1,4)))))</f>
        <v/>
      </c>
      <c r="DL58" s="28" t="str">
        <f>IF(DK58="S/Desc","S/Desc",IF(ISERROR(IF(DK58="","",VLOOKUP(($BC58&amp;DK58&amp;"Template desconto % Sexy Hot nível conta"),BENEFICIOS!$A:$G,5,0))),"Criar",IF(DK58="","",VLOOKUP(($BC58&amp;DK58&amp;"Template desconto % Sexy Hot nível conta"),BENEFICIOS!$A:$G,5,0))))</f>
        <v/>
      </c>
      <c r="DM58" s="8"/>
      <c r="DN58" s="3" t="str">
        <f>IF(DM58=0,"",IF(DM58=VLOOKUP("PCS-OzTL32",ARBOR!$A:$C,3,0),0.0001,IF(DM58&gt;VLOOKUP("PCS-OzTL32",ARBOR!$A:$C,3,0),"Maior que CAP!",IF((DOLLAR(DM58+(VLOOKUP("PCS-OzTL32",ARBOR!$A:$C,3,0)*-TRUNC(DM58/VLOOKUP("PCS-OzTL32",ARBOR!$A:$C,3,0)-1,4)),6))&lt;&gt;(DOLLAR(VLOOKUP("PCS-OzTL32",ARBOR!$A:$C,3,0),6)),-TRUNC(DM58/VLOOKUP("PCS-OzTL32",ARBOR!$A:$C,3,0)-1,4)+0.0001,-TRUNC(DM58/VLOOKUP("PCS-OzTL32",ARBOR!$A:$C,3,0)-1,4)))))</f>
        <v/>
      </c>
      <c r="DO58" s="28" t="str">
        <f>IF(DN58="S/Desc","S/Desc",IF(ISERROR(IF(DN58="","",VLOOKUP(($BC58&amp;DN58&amp;"Template desconto % Playboy nível conta"),BENEFICIOS!$A:$G,5,0))),"Criar",IF(DN58="","",VLOOKUP(($BC58&amp;DN58&amp;"Template desconto % Playboy nível conta"),BENEFICIOS!$A:$G,5,0))))</f>
        <v/>
      </c>
      <c r="DP58" s="8"/>
      <c r="DQ58" s="3" t="str">
        <f>IF(DP58=0,"",IF(DP58=VLOOKUP("PCS-OzTL33",ARBOR!$A:$C,3,0),0.0001,IF(DP58&gt;VLOOKUP("PCS-OzTL33",ARBOR!$A:$C,3,0),"Maior que CAP!",IF((DOLLAR(DP58+(VLOOKUP("PCS-OzTL33",ARBOR!$A:$C,3,0)*-TRUNC(DP58/VLOOKUP("PCS-OzTL33",ARBOR!$A:$C,3,0)-1,4)),6))&lt;&gt;(DOLLAR(VLOOKUP("PCS-OzTL33",ARBOR!$A:$C,3,0),6)),-TRUNC(DP58/VLOOKUP("PCS-OzTL33",ARBOR!$A:$C,3,0)-1,4)+0.0001,-TRUNC(DP58/VLOOKUP("PCS-OzTL33",ARBOR!$A:$C,3,0)-1,4)))))</f>
        <v/>
      </c>
      <c r="DR58" s="28" t="str">
        <f>IF(DQ58="S/Desc","S/Desc",IF(ISERROR(IF(DQ58="","",VLOOKUP(($BC58&amp;DQ58&amp;"Template desconto % Sexy Hot + Playboy nível conta"),BENEFICIOS!$A:$G,5,0))),"Criar",IF(DQ58="","",VLOOKUP(($BC58&amp;DQ58&amp;"Template desconto % Sexy Hot + Playboy nível conta"),BENEFICIOS!$A:$G,5,0))))</f>
        <v/>
      </c>
      <c r="DS58" s="8"/>
      <c r="DT58" s="3" t="str">
        <f>IF(DS58=0,"",IF(DS58=VLOOKUP("PCS-OzTL503",ARBOR!$A:$C,3,0),0.0001,IF(DS58&gt;VLOOKUP("PCS-OzTL503",ARBOR!$A:$C,3,0),"Maior que CAP!",IF((DOLLAR(DS58+(VLOOKUP("PCS-OzTL503",ARBOR!$A:$C,3,0)*-TRUNC(DS58/VLOOKUP("PCS-OzTL503",ARBOR!$A:$C,3,0)-1,4)),6))&lt;&gt;(DOLLAR(VLOOKUP("PCS-OzTL503",ARBOR!$A:$C,3,0),6)),-TRUNC(DS58/VLOOKUP("PCS-OzTL503",ARBOR!$A:$C,3,0)-1,4)+0.0001,-TRUNC(DS58/VLOOKUP("PCS-OzTL503",ARBOR!$A:$C,3,0)-1,4)))))</f>
        <v/>
      </c>
      <c r="DU58" s="28" t="str">
        <f>IF(DT58="S/Desc","S/Desc",IF(ISERROR(IF(DT58="","",VLOOKUP(($BC58&amp;DT58&amp;"Template desconto % SexPrivê nível conta"),BENEFICIOS!$A:$G,5,0))),"Criar",IF(DT58="","",VLOOKUP(($BC58&amp;DT58&amp;"Template desconto % SexPrivê nível conta"),BENEFICIOS!$A:$G,5,0))))</f>
        <v/>
      </c>
      <c r="DV58" s="8"/>
      <c r="DW58" s="3" t="str">
        <f>IF(DV58=0,"",IF(DV58=VLOOKUP("PCS-OzTL500",ARBOR!$A:$C,3,0),0.0001,IF(DV58&gt;VLOOKUP("PCS-OzTL500",ARBOR!$A:$C,3,0),"Maior que CAP!",IF((DOLLAR(DV58+(VLOOKUP("PCS-OzTL500",ARBOR!$A:$C,3,0)*-TRUNC(DV58/VLOOKUP("PCS-OzTL500",ARBOR!$A:$C,3,0)-1,4)),6))&lt;&gt;(DOLLAR(VLOOKUP("PCS-OzTL500",ARBOR!$A:$C,3,0),6)),-TRUNC(DV58/VLOOKUP("PCS-OzTL500",ARBOR!$A:$C,3,0)-1,4)+0.0001,-TRUNC(DV58/VLOOKUP("PCS-OzTL500",ARBOR!$A:$C,3,0)-1,4)))))</f>
        <v/>
      </c>
      <c r="DX58" s="28" t="str">
        <f>IF(DW58="S/Desc","S/Desc",IF(ISERROR(IF(DW58="","",VLOOKUP(($BC58&amp;DW58&amp;"Template desconto % Étnico nível conta"),BENEFICIOS!$A:$G,5,0))),"Criar",IF(DW58="","",VLOOKUP(($BC58&amp;DW58&amp;"Template desconto % Étnico nível conta"),BENEFICIOS!$A:$G,5,0))))</f>
        <v/>
      </c>
      <c r="DY58" s="8"/>
      <c r="DZ58" s="181" t="str">
        <f>IF(DY58=0,"",IF(DY58=VLOOKUP("PCS-OzTL50",ARBOR!$A:$C,3,0),0.0001,IF(DY58&gt;VLOOKUP("PCS-OzTL50",ARBOR!$A:$C,3,0),"Maior que CAP!",IF((DOLLAR(DY58+(VLOOKUP("PCS-OzTL50",ARBOR!$A:$C,3,0)*-TRUNC(DY58/VLOOKUP("PCS-OzTL50",ARBOR!$A:$C,3,0)-1,4)),6))&lt;&gt;(DOLLAR(VLOOKUP("PCS-OzTL50",ARBOR!$A:$C,3,0),6)),-TRUNC(DY58/VLOOKUP("PCS-OzTL50",ARBOR!$A:$C,3,0)-1,4)+0.0001,-TRUNC(DY58/VLOOKUP("PCS-OzTL50",ARBOR!$A:$C,3,0)-1,4)))))</f>
        <v/>
      </c>
      <c r="EA58" s="28"/>
      <c r="EB58" s="8"/>
      <c r="EC58" s="181" t="str">
        <f>IF(EB58=0,"",IF(EB58=VLOOKUP("PCS-OzTL51",ARBOR!$A:$C,3,0),0.0001,IF(EB58&gt;VLOOKUP("PCS-OzTL51",ARBOR!$A:$C,3,0),"Maior que CAP!",IF((DOLLAR(EB58+(VLOOKUP("PCS-OzTL51",ARBOR!$A:$C,3,0)*-TRUNC(EB58/VLOOKUP("PCS-OzTL51",ARBOR!$A:$C,3,0)-1,4)),6))&lt;&gt;(DOLLAR(VLOOKUP("PCS-OzTL51",ARBOR!$A:$C,3,0),6)),-TRUNC(EB58/VLOOKUP("PCS-OzTL51",ARBOR!$A:$C,3,0)-1,4)+0.0001,-TRUNC(EB58/VLOOKUP("PCS-OzTL51",ARBOR!$A:$C,3,0)-1,4)))))</f>
        <v/>
      </c>
      <c r="ED58" s="28"/>
      <c r="EE58" s="8"/>
      <c r="EF58" s="181" t="str">
        <f>IF(EE58=0,"",IF(EE58=VLOOKUP("PCS-OzTL52",ARBOR!$A:$C,3,0),0.0001,IF(EE58&gt;VLOOKUP("PCS-OzTL52",ARBOR!$A:$C,3,0),"Maior que CAP!",IF((DOLLAR(EE58+(VLOOKUP("PCS-OzTL52",ARBOR!$A:$C,3,0)*-TRUNC(EE58/VLOOKUP("PCS-OzTL52",ARBOR!$A:$C,3,0)-1,4)),6))&lt;&gt;(DOLLAR(VLOOKUP("PCS-OzTL52",ARBOR!$A:$C,3,0),6)),-TRUNC(EE58/VLOOKUP("PCS-OzTL52",ARBOR!$A:$C,3,0)-1,4)+0.0001,-TRUNC(EE58/VLOOKUP("PCS-OzTL52",ARBOR!$A:$C,3,0)-1,4)))))</f>
        <v/>
      </c>
      <c r="EG58" s="28"/>
      <c r="EH58" s="8"/>
      <c r="EI58" s="181" t="str">
        <f>IF(EH58=0,"",IF(EH58=VLOOKUP("PCS-OzTL53",ARBOR!$A:$C,3,0),0.0001,IF(EH58&gt;VLOOKUP("PCS-OzTL53",ARBOR!$A:$C,3,0),"Maior que CAP!",IF((DOLLAR(EH58+(VLOOKUP("PCS-OzTL53",ARBOR!$A:$C,3,0)*-TRUNC(EH58/VLOOKUP("PCS-OzTL53",ARBOR!$A:$C,3,0)-1,4)),6))&lt;&gt;(DOLLAR(VLOOKUP("PCS-OzTL53",ARBOR!$A:$C,3,0),6)),-TRUNC(EH58/VLOOKUP("PCS-OzTL53",ARBOR!$A:$C,3,0)-1,4)+0.0001,-TRUNC(EH58/VLOOKUP("PCS-OzTL53",ARBOR!$A:$C,3,0)-1,4)))))</f>
        <v/>
      </c>
      <c r="EJ58" s="28"/>
      <c r="EK58" s="8"/>
      <c r="EL58" s="181" t="str">
        <f>IF(EK58=0,"",IF(EK58=VLOOKUP("PCS-OzTL54",ARBOR!$A:$C,3,0),0.0001,IF(EK58&gt;VLOOKUP("PCS-OzTL54",ARBOR!$A:$C,3,0),"Maior que CAP!",IF((DOLLAR(EK58+(VLOOKUP("PCS-OzTL54",ARBOR!$A:$C,3,0)*-TRUNC(EK58/VLOOKUP("PCS-OzTL54",ARBOR!$A:$C,3,0)-1,4)),6))&lt;&gt;(DOLLAR(VLOOKUP("PCS-OzTL54",ARBOR!$A:$C,3,0),6)),-TRUNC(EK58/VLOOKUP("PCS-OzTL54",ARBOR!$A:$C,3,0)-1,4)+0.0001,-TRUNC(EK58/VLOOKUP("PCS-OzTL54",ARBOR!$A:$C,3,0)-1,4)))))</f>
        <v/>
      </c>
      <c r="EM58" s="28"/>
      <c r="EN58" s="8"/>
      <c r="EO58" s="3" t="str">
        <f>IF(EN58=0,"",IF(EN58=VLOOKUP("PCS-OzTL99",ARBOR!$A:$C,3,0),0.0001,IF(EN58&gt;VLOOKUP("PCS-OzTL99",ARBOR!$A:$C,3,0),"Maior que CAP!",IF((DOLLAR(EN58+(VLOOKUP("PCS-OzTL99",ARBOR!$A:$C,3,0)*-TRUNC(EN58/VLOOKUP("PCS-OzTL99",ARBOR!$A:$C,3,0)-1,4)),6))&lt;&gt;(DOLLAR(VLOOKUP("PCS-OzTL99",ARBOR!$A:$C,3,0),6)),-TRUNC(EN58/VLOOKUP("PCS-OzTL99",ARBOR!$A:$C,3,0)-1,4)+0.0001,-TRUNC(EN58/VLOOKUP("PCS-OzTL99",ARBOR!$A:$C,3,0)-1,4)))))</f>
        <v/>
      </c>
      <c r="EP58" s="28" t="str">
        <f>IF(EO58="S/Desc","S/Desc",IF(ISERROR(IF(EO58="","",VLOOKUP(($BC58&amp;EO58&amp;"Template desconto % Ponto adicional nível conta"),BENEFICIOS!$A:$G,5,0))),"Criar",IF(EO58="","",VLOOKUP(($BC58&amp;EO58&amp;"Template desconto % Ponto adicional nível conta"),BENEFICIOS!$A:$G,5,0))))</f>
        <v/>
      </c>
      <c r="EQ58" s="8"/>
      <c r="ER58" s="28" t="str">
        <f t="shared" si="23"/>
        <v/>
      </c>
      <c r="ES58" s="62"/>
      <c r="ET58" s="126"/>
      <c r="EU58" s="127"/>
      <c r="EV58" s="126"/>
      <c r="EW58" s="128" t="str">
        <f t="shared" si="24"/>
        <v/>
      </c>
      <c r="EX58" s="129" t="str">
        <f t="shared" si="25"/>
        <v/>
      </c>
      <c r="EY58" s="91" t="str">
        <f t="shared" si="26"/>
        <v/>
      </c>
      <c r="EZ58" s="85"/>
      <c r="FA58" s="97"/>
      <c r="FB58" s="91"/>
      <c r="FC58" s="85"/>
      <c r="FD58" s="97"/>
      <c r="FE58" s="91"/>
      <c r="FF58" s="87"/>
      <c r="FG58" s="144" t="str">
        <f t="shared" si="5"/>
        <v/>
      </c>
      <c r="FH58" s="144" t="str">
        <f t="shared" si="6"/>
        <v/>
      </c>
      <c r="FI58" s="144" t="str">
        <f t="shared" si="7"/>
        <v/>
      </c>
      <c r="FJ58" s="144" t="str">
        <f t="shared" si="8"/>
        <v/>
      </c>
      <c r="FK58" s="144" t="str">
        <f t="shared" si="9"/>
        <v/>
      </c>
      <c r="FL58" s="144" t="str">
        <f t="shared" si="10"/>
        <v/>
      </c>
      <c r="FM58" s="144" t="str">
        <f t="shared" si="11"/>
        <v/>
      </c>
      <c r="FN58" s="144" t="str">
        <f t="shared" si="12"/>
        <v/>
      </c>
      <c r="FO58" s="144" t="str">
        <f t="shared" si="13"/>
        <v/>
      </c>
      <c r="FP58" s="144" t="str">
        <f t="shared" si="14"/>
        <v/>
      </c>
      <c r="FQ58" s="144" t="str">
        <f t="shared" si="15"/>
        <v/>
      </c>
      <c r="FR58" s="144" t="str">
        <f t="shared" si="16"/>
        <v/>
      </c>
      <c r="FS58" s="144" t="str">
        <f t="shared" si="17"/>
        <v/>
      </c>
      <c r="FT58" s="144" t="str">
        <f t="shared" si="18"/>
        <v/>
      </c>
      <c r="FU58" s="144" t="str">
        <f t="shared" si="19"/>
        <v/>
      </c>
      <c r="FV58" s="144" t="str">
        <f t="shared" si="20"/>
        <v/>
      </c>
      <c r="FW58" s="144" t="str">
        <f t="shared" si="21"/>
        <v/>
      </c>
      <c r="FX58" s="151"/>
      <c r="FY58" s="152"/>
      <c r="FZ58" s="152"/>
      <c r="GA58" s="152"/>
      <c r="GB58" s="152"/>
      <c r="GC58" s="152"/>
      <c r="GD58" s="152"/>
      <c r="GE58" s="152"/>
      <c r="GF58" s="152"/>
      <c r="GG58" s="153"/>
    </row>
    <row r="59" spans="1:189">
      <c r="A59" s="45"/>
      <c r="B59" s="133"/>
      <c r="C59" s="133"/>
      <c r="D59" s="46"/>
      <c r="E59" s="4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9"/>
      <c r="U59" s="48"/>
      <c r="V59" s="49"/>
      <c r="W59" s="48"/>
      <c r="X59" s="48"/>
      <c r="Y59" s="48"/>
      <c r="Z59" s="48"/>
      <c r="AA59" s="49"/>
      <c r="AB59" s="48"/>
      <c r="AC59" s="50"/>
      <c r="AD59" s="48"/>
      <c r="AE59" s="48"/>
      <c r="AF59" s="48"/>
      <c r="AG59" s="48"/>
      <c r="AH59" s="48"/>
      <c r="AI59" s="48"/>
      <c r="AJ59" s="48"/>
      <c r="AK59" s="48"/>
      <c r="AL59" s="51"/>
      <c r="AM59" s="37"/>
      <c r="AN59" s="38"/>
      <c r="AO59" s="39"/>
      <c r="AP59" s="52"/>
      <c r="AQ59" s="53"/>
      <c r="AR59" s="64"/>
      <c r="AS59" s="65"/>
      <c r="AT59" s="54"/>
      <c r="AU59" s="54"/>
      <c r="AV59" s="54"/>
      <c r="AW59" s="54"/>
      <c r="AX59" s="70"/>
      <c r="AY59" s="71"/>
      <c r="AZ59" s="72"/>
      <c r="BA59" s="73"/>
      <c r="BB59" s="55"/>
      <c r="BC59" s="56"/>
      <c r="BD59" s="27" t="str">
        <f t="shared" si="22"/>
        <v/>
      </c>
      <c r="BE59" s="58"/>
      <c r="BF59" s="3" t="str">
        <f>IF(BE59=0,"",IF(BE59=VLOOKUP("FIXO",ARBOR!$A:$C,3,0),0.0001,IF(BE59&gt;VLOOKUP("FIXO",ARBOR!$A:$C,3,0),"Maior que CAP!",IF((DOLLAR(BE59+(VLOOKUP("FIXO",ARBOR!$A:$C,3,0)*-TRUNC(BE59/VLOOKUP("FIXO",ARBOR!$A:$C,3,0)-1,4)),6))&lt;&gt;(DOLLAR(VLOOKUP("FIXO",ARBOR!$A:$C,3,0),6)),-TRUNC(BE59/VLOOKUP("FIXO",ARBOR!$A:$C,3,0)-1,4)+0.0001,-TRUNC(BE59/VLOOKUP("FIXO",ARBOR!$A:$C,3,0)-1,4)))))</f>
        <v/>
      </c>
      <c r="BG59" s="10" t="str">
        <f>IF(ISERROR(IF(BF59="","",VLOOKUP(($BC59&amp;BF59&amp;"Template de desconto FLAT bundle - Fixo - Varejo - Ganho Tributário Cross"),BENEFICIOS!$A:$G,5,0))),"Criar",IF(BF59="","",VLOOKUP(($BC59&amp;BF59&amp;"Template de desconto FLAT bundle - Fixo - Varejo - Ganho Tributário Cross"),BENEFICIOS!$A:$G,5,0)))</f>
        <v/>
      </c>
      <c r="BH59" s="8"/>
      <c r="BI59" s="3" t="str">
        <f>IF(BH59=0,"",IF(BH59=VLOOKUP("PCS-OzTL40",ARBOR!$A:$C,3,0),0.0001,IF(BH59&gt;VLOOKUP("PCS-OzTL40",ARBOR!$A:$C,3,0),"Maior que CAP!",IF((DOLLAR(BH59+(VLOOKUP("PCS-OzTL40",ARBOR!$A:$C,3,0)*-TRUNC(BH59/VLOOKUP("PCS-OzTL40",ARBOR!$A:$C,3,0)-1,4)),6))&lt;&gt;(DOLLAR(VLOOKUP("PCS-OzTL40",ARBOR!$A:$C,3,0),6)),-TRUNC(BH59/VLOOKUP("PCS-OzTL40",ARBOR!$A:$C,3,0)-1,4)+0.0001,-TRUNC(BH59/VLOOKUP("PCS-OzTL40",ARBOR!$A:$C,3,0)-1,4)))))</f>
        <v/>
      </c>
      <c r="BJ59" s="10" t="str">
        <f>IF(ISERROR(IF(BI59="","",VLOOKUP((BC59&amp;BI59&amp;"Template desconto FLAT Plano Principal Oi TV nível conta"),BENEFICIOS!$A:$G,5,0))),"Criar",IF(BI59="","",VLOOKUP((BC59&amp;BI59&amp;"Template desconto FLAT Plano Principal Oi TV nível conta"),BENEFICIOS!$A:$G,5,0)))</f>
        <v/>
      </c>
      <c r="BK59" s="8"/>
      <c r="BL59" s="3" t="str">
        <f>IF(BK59=0,"",IF(BK59=VLOOKUP("PCS-OzTL41",ARBOR!$A:$C,3,0),0.0001,IF(BK59&gt;VLOOKUP("PCS-OzTL41",ARBOR!$A:$C,3,0),"Maior que CAP!",IF((DOLLAR(BK59+(VLOOKUP("PCS-OzTL41",ARBOR!$A:$C,3,0)*-TRUNC(BK59/VLOOKUP("PCS-OzTL41",ARBOR!$A:$C,3,0)-1,4)),6))&lt;&gt;(DOLLAR(VLOOKUP("PCS-OzTL41",ARBOR!$A:$C,3,0),6)),-TRUNC(BK59/VLOOKUP("PCS-OzTL41",ARBOR!$A:$C,3,0)-1,4)+0.0001,-TRUNC(BK59/VLOOKUP("PCS-OzTL41",ARBOR!$A:$C,3,0)-1,4)))))</f>
        <v/>
      </c>
      <c r="BM59" s="28" t="str">
        <f>IF(ISERROR(IF(BL59="","",VLOOKUP((BC59&amp;BL59&amp;"Template desconto FLAT Plano Principal Oi TV nível conta"),BENEFICIOS!$A:$G,5,0))),"Criar",IF(BL59="","",VLOOKUP((BC59&amp;BL59&amp;"Template desconto FLAT Plano Principal Oi TV nível conta"),BENEFICIOS!$A:$G,5,0)))</f>
        <v/>
      </c>
      <c r="BN59" s="8"/>
      <c r="BO59" s="3" t="str">
        <f>IF(BN59=0,"",IF(BN59=VLOOKUP("PCS-OzTL44",ARBOR!$A:$C,3,0),0.0001,IF(BN59&gt;VLOOKUP("PCS-OzTL44",ARBOR!$A:$C,3,0),"Maior que CAP!",IF((DOLLAR(BN59+(VLOOKUP("PCS-OzTL44",ARBOR!$A:$C,3,0)*-TRUNC(BN59/VLOOKUP("PCS-OzTL44",ARBOR!$A:$C,3,0)-1,4)),6))&lt;&gt;(DOLLAR(VLOOKUP("PCS-OzTL44",ARBOR!$A:$C,3,0),6)),-TRUNC(BN59/VLOOKUP("PCS-OzTL44",ARBOR!$A:$C,3,0)-1,4)+0.0001,-TRUNC(BN59/VLOOKUP("PCS-OzTL44",ARBOR!$A:$C,3,0)-1,4)))))</f>
        <v/>
      </c>
      <c r="BP59" s="28" t="str">
        <f>IF(ISERROR(IF(BO59="","",VLOOKUP((BC59&amp;BO59&amp;"Template desconto FLAT Plano Principal Oi TV nível conta"),BENEFICIOS!$A:$G,5,0))),"Criar",IF(BO59="","",VLOOKUP((BC59&amp;BO59&amp;"Template desconto FLAT Plano Principal Oi TV nível conta"),BENEFICIOS!$A:$G,5,0)))</f>
        <v/>
      </c>
      <c r="BQ59" s="8"/>
      <c r="BR59" s="3" t="str">
        <f>IF(BQ59=0,"",IF(BQ59=VLOOKUP("PCS-OzTL43",ARBOR!$A:$C,3,0),0.0001,IF(BQ59&gt;VLOOKUP("PCS-OzTL43",ARBOR!$A:$C,3,0),"Maior que CAP!",IF((DOLLAR(BQ59+(VLOOKUP("PCS-OzTL43",ARBOR!$A:$C,3,0)*-TRUNC(BQ59/VLOOKUP("PCS-OzTL43",ARBOR!$A:$C,3,0)-1,4)),6))&lt;&gt;(DOLLAR(VLOOKUP("PCS-OzTL43",ARBOR!$A:$C,3,0),6)),-TRUNC(BQ59/VLOOKUP("PCS-OzTL43",ARBOR!$A:$C,3,0)-1,4)+0.0001,-TRUNC(BQ59/VLOOKUP("PCS-OzTL43",ARBOR!$A:$C,3,0)-1,4)))))</f>
        <v/>
      </c>
      <c r="BS59" s="28" t="str">
        <f>IF(ISERROR(IF(BR59="","",VLOOKUP((BC59&amp;BR59&amp;"Template desconto FLAT Plano Principal Oi TV nível conta"),BENEFICIOS!$A:$G,5,0))),"Criar",IF(BR59="","",VLOOKUP((BC59&amp;BR59&amp;"Template desconto FLAT Plano Principal Oi TV nível conta"),BENEFICIOS!$A:$G,5,0)))</f>
        <v/>
      </c>
      <c r="BT59" s="8"/>
      <c r="BU59" s="3" t="str">
        <f>IF(BT59=0,"",IF(BT59=VLOOKUP("PCS-OzTL45",ARBOR!$A:$C,3,0),0.0001,IF(BT59&gt;VLOOKUP("PCS-OzTL45",ARBOR!$A:$C,3,0),"Maior que CAP!",IF((DOLLAR(BT59+(VLOOKUP("PCS-OzTL45",ARBOR!$A:$C,3,0)*-TRUNC(BT59/VLOOKUP("PCS-OzTL45",ARBOR!$A:$C,3,0)-1,4)),6))&lt;&gt;(DOLLAR(VLOOKUP("PCS-OzTL45",ARBOR!$A:$C,3,0),6)),-TRUNC(BT59/VLOOKUP("PCS-OzTL45",ARBOR!$A:$C,3,0)-1,4)+0.0001,-TRUNC(BT59/VLOOKUP("PCS-OzTL45",ARBOR!$A:$C,3,0)-1,4)))))</f>
        <v/>
      </c>
      <c r="BV59" s="28" t="str">
        <f>IF(ISERROR(IF(BU59="","",VLOOKUP((BC59&amp;BU59&amp;"Template desconto FLAT Plano Principal Oi TV nível conta"),BENEFICIOS!$A:$G,5,0))),"Criar",IF(BU59="","",VLOOKUP((BC59&amp;BU59&amp;"Template desconto FLAT Plano Principal Oi TV nível conta"),BENEFICIOS!$A:$G,5,0)))</f>
        <v/>
      </c>
      <c r="BW59" s="8"/>
      <c r="BX59" s="3" t="str">
        <f>IF(BW59=0,"",IF(BW59=VLOOKUP("PCS-OzTL741",ARBOR!$A:$C,3,0),0.0001,IF(BW59&gt;VLOOKUP("PCS-OzTL741",ARBOR!$A:$C,3,0),"Maior que CAP!",IF((DOLLAR(BW59+(VLOOKUP("PCS-OzTL741",ARBOR!$A:$C,3,0)*-TRUNC(BW59/VLOOKUP("PCS-OzTL741",ARBOR!$A:$C,3,0)-1,4)),6))&lt;&gt;(DOLLAR(VLOOKUP("PCS-OzTL741",ARBOR!$A:$C,3,0),6)),-TRUNC(BW59/VLOOKUP("PCS-OzTL741",ARBOR!$A:$C,3,0)-1,4)+0.0001,-TRUNC(BW59/VLOOKUP("PCS-OzTL741",ARBOR!$A:$C,3,0)-1,4)))))</f>
        <v/>
      </c>
      <c r="BY59" s="28" t="str">
        <f>IF(ISERROR(IF(BX59="","",VLOOKUP((BC59&amp;BX59&amp;"Template desconto FLAT Plano Principal Oi TV nível conta"),BENEFICIOS!$A:$G,5,0))),"Criar",IF(BX59="","",VLOOKUP((BC59&amp;BX59&amp;"Template desconto FLAT Plano Principal Oi TV nível conta"),BENEFICIOS!$A:$G,5,0)))</f>
        <v/>
      </c>
      <c r="BZ59" s="8"/>
      <c r="CA59" s="3" t="str">
        <f>IF(BZ59=0,"",IF(BZ59=VLOOKUP("PCS-OzTL744",ARBOR!$A:$C,3,0),0.0001,IF(BZ59&gt;VLOOKUP("PCS-OzTL744",ARBOR!$A:$C,3,0),"Maior que CAP!",IF((DOLLAR(BZ59+(VLOOKUP("PCS-OzTL744",ARBOR!$A:$C,3,0)*-TRUNC(BZ59/VLOOKUP("PCS-OzTL744",ARBOR!$A:$C,3,0)-1,4)),6))&lt;&gt;(DOLLAR(VLOOKUP("PCS-OzTL744",ARBOR!$A:$C,3,0),6)),-TRUNC(BZ59/VLOOKUP("PCS-OzTL744",ARBOR!$A:$C,3,0)-1,4)+0.0001,-TRUNC(BZ59/VLOOKUP("PCS-OzTL744",ARBOR!$A:$C,3,0)-1,4)))))</f>
        <v/>
      </c>
      <c r="CB59" s="28" t="str">
        <f>IF(ISERROR(IF(CA59="","",VLOOKUP(($BC59&amp;CA59&amp;"Template desconto FLAT Plano Principal Oi TV nível conta"),BENEFICIOS!$A:$G,5,0))),"Criar",IF(CA59="","",VLOOKUP(($BC59&amp;CA59&amp;"Template desconto FLAT Plano Principal Oi TV nível conta"),BENEFICIOS!$A:$G,5,0)))</f>
        <v/>
      </c>
      <c r="CC59" s="8"/>
      <c r="CD59" s="3" t="str">
        <f>IF(CC59=0,"",IF(CC59=VLOOKUP("PCS-OzTL743",ARBOR!$A:$C,3,0),0.0001,IF(CC59&gt;VLOOKUP("PCS-OzTL743",ARBOR!$A:$C,3,0),"Maior que CAP!",IF((DOLLAR(CC59+(VLOOKUP("PCS-OzTL743",ARBOR!$A:$C,3,0)*-TRUNC(CC59/VLOOKUP("PCS-OzTL743",ARBOR!$A:$C,3,0)-1,4)),6))&lt;&gt;(DOLLAR(VLOOKUP("PCS-OzTL743",ARBOR!$A:$C,3,0),6)),-TRUNC(CC59/VLOOKUP("PCS-OzTL743",ARBOR!$A:$C,3,0)-1,4)+0.0001,-TRUNC(CC59/VLOOKUP("PCS-OzTL743",ARBOR!$A:$C,3,0)-1,4)))))</f>
        <v/>
      </c>
      <c r="CE59" s="28" t="str">
        <f>IF(ISERROR(IF(CD59="","",VLOOKUP(($BC59&amp;CD59&amp;"Template desconto FLAT Plano Principal Oi TV nível conta"),BENEFICIOS!$A:$G,5,0))),"Criar",IF(CD59="","",VLOOKUP(($BC59&amp;CD59&amp;"Template desconto FLAT Plano Principal Oi TV nível conta"),BENEFICIOS!$A:$G,5,0)))</f>
        <v/>
      </c>
      <c r="CF59" s="8"/>
      <c r="CG59" s="3" t="str">
        <f>IF(CF59=0,"",IF(CF59=VLOOKUP("PCS-OzTL745",ARBOR!$A:$C,3,0),0.0001,IF(CF59&gt;VLOOKUP("PCS-OzTL745",ARBOR!$A:$C,3,0),"Maior que CAP!",IF((DOLLAR(CF59+(VLOOKUP("PCS-OzTL745",ARBOR!$A:$C,3,0)*-TRUNC(CF59/VLOOKUP("PCS-OzTL745",ARBOR!$A:$C,3,0)-1,4)),6))&lt;&gt;(DOLLAR(VLOOKUP("PCS-OzTL745",ARBOR!$A:$C,3,0),6)),-TRUNC(CF59/VLOOKUP("PCS-OzTL745",ARBOR!$A:$C,3,0)-1,4)+0.0001,-TRUNC(CF59/VLOOKUP("PCS-OzTL745",ARBOR!$A:$C,3,0)-1,4)))))</f>
        <v/>
      </c>
      <c r="CH59" s="28" t="str">
        <f>IF(ISERROR(IF(CG59="","",VLOOKUP(($BC59&amp;CG59&amp;"Template desconto FLAT Plano Principal Oi TV nível conta"),BENEFICIOS!$A:$G,5,0))),"Criar",IF(CG59="","",VLOOKUP(($BC59&amp;CG59&amp;"Template desconto FLAT Plano Principal Oi TV nível conta"),BENEFICIOS!$A:$G,5,0)))</f>
        <v/>
      </c>
      <c r="CI59" s="8"/>
      <c r="CJ59" s="3" t="str">
        <f>IF(CI59=0,"",IF(CI59=VLOOKUP("PCS-OzTL42",ARBOR!$A:$C,3,0),0.0001,IF(CI59&gt;VLOOKUP("PCS-OzTL42",ARBOR!$A:$C,3,0),"Maior que CAP!",IF((DOLLAR(CI59+(VLOOKUP("PCS-OzTL42",ARBOR!$A:$C,3,0)*-TRUNC(CI59/VLOOKUP("PCS-OzTL42",ARBOR!$A:$C,3,0)-1,4)),6))&lt;&gt;(DOLLAR(VLOOKUP("PCS-OzTL42",ARBOR!$A:$C,3,0),6)),-TRUNC(CI59/VLOOKUP("PCS-OzTL42",ARBOR!$A:$C,3,0)-1,4)+0.0001,-TRUNC(CI59/VLOOKUP("PCS-OzTL42",ARBOR!$A:$C,3,0)-1,4)))))</f>
        <v/>
      </c>
      <c r="CK59" s="28" t="str">
        <f>IF(ISERROR(IF(CJ59="","",VLOOKUP(($BC59&amp;CJ59&amp;"Template desconto FLAT Plano Principal Oi TV nível conta"),BENEFICIOS!$A:$G,5,0))),"Criar",IF(CJ59="","",VLOOKUP(($BC59&amp;CJ59&amp;"Template desconto FLAT Plano Principal Oi TV nível conta"),BENEFICIOS!$A:$G,5,0)))</f>
        <v/>
      </c>
      <c r="CL59" s="8"/>
      <c r="CM59" s="3" t="str">
        <f>IF(CL59=0,"",IF(CL59=VLOOKUP("PCS-OzTL47",ARBOR!$A:$C,3,0),0.0001,IF(CL59&gt;VLOOKUP("PCS-OzTL47",ARBOR!$A:$C,3,0),"Maior que CAP!",IF((DOLLAR(CL59+(VLOOKUP("PCS-OzTL47",ARBOR!$A:$C,3,0)*-TRUNC(CL59/VLOOKUP("PCS-OzTL47",ARBOR!$A:$C,3,0)-1,4)),6))&lt;&gt;(DOLLAR(VLOOKUP("PCS-OzTL47",ARBOR!$A:$C,3,0),6)),-TRUNC(CL59/VLOOKUP("PCS-OzTL47",ARBOR!$A:$C,3,0)-1,4)+0.0001,-TRUNC(CL59/VLOOKUP("PCS-OzTL47",ARBOR!$A:$C,3,0)-1,4)))))</f>
        <v/>
      </c>
      <c r="CN59" s="28" t="str">
        <f>IF(ISERROR(IF(CM59="","",VLOOKUP(($BC59&amp;CM59&amp;"Template desconto FLAT Plano Principal Oi TV nível conta"),BENEFICIOS!$A:$G,5,0))),"Criar",IF(CM59="","",VLOOKUP(($BC59&amp;CM59&amp;"Template desconto FLAT Plano Principal Oi TV nível conta"),BENEFICIOS!$A:$G,5,0)))</f>
        <v/>
      </c>
      <c r="CO59" s="8"/>
      <c r="CP59" s="3" t="str">
        <f>IF(CO59=0,"",IF(CO59=VLOOKUP("PCS-OzTL46",ARBOR!$A:$C,3,0),0.0001,IF(CO59&gt;VLOOKUP("PCS-OzTL46",ARBOR!$A:$C,3,0),"Maior que CAP!",IF((DOLLAR(CO59+(VLOOKUP("PCS-OzTL46",ARBOR!$A:$C,3,0)*-TRUNC(CO59/VLOOKUP("PCS-OzTL46",ARBOR!$A:$C,3,0)-1,4)),6))&lt;&gt;(DOLLAR(VLOOKUP("PCS-OzTL46",ARBOR!$A:$C,3,0),6)),-TRUNC(CO59/VLOOKUP("PCS-OzTL46",ARBOR!$A:$C,3,0)-1,4)+0.0001,-TRUNC(CO59/VLOOKUP("PCS-OzTL46",ARBOR!$A:$C,3,0)-1,4)))))</f>
        <v/>
      </c>
      <c r="CQ59" s="28" t="str">
        <f>IF(ISERROR(IF(CP59="","",VLOOKUP(($BC59&amp;CP59&amp;"Template desconto FLAT Plano Principal Oi TV nível conta"),BENEFICIOS!$A:$G,5,0))),"Criar",IF(CP59="","",VLOOKUP(($BC59&amp;CP59&amp;"Template desconto FLAT Plano Principal Oi TV nível conta"),BENEFICIOS!$A:$G,5,0)))</f>
        <v/>
      </c>
      <c r="CR59" s="8"/>
      <c r="CS59" s="3" t="str">
        <f>IF(CR59=0,"",IF(CR59=VLOOKUP("PCS-OzTL48",ARBOR!$A:$C,3,0),0.0001,IF(CR59&gt;VLOOKUP("PCS-OzTL48",ARBOR!$A:$C,3,0),"Maior que CAP!",IF((DOLLAR(CR59+(VLOOKUP("PCS-OzTL48",ARBOR!$A:$C,3,0)*-TRUNC(CR59/VLOOKUP("PCS-OzTL48",ARBOR!$A:$C,3,0)-1,4)),6))&lt;&gt;(DOLLAR(VLOOKUP("PCS-OzTL48",ARBOR!$A:$C,3,0),6)),-TRUNC(CR59/VLOOKUP("PCS-OzTL48",ARBOR!$A:$C,3,0)-1,4)+0.0001,-TRUNC(CR59/VLOOKUP("PCS-OzTL48",ARBOR!$A:$C,3,0)-1,4)))))</f>
        <v/>
      </c>
      <c r="CT59" s="28" t="str">
        <f>IF(ISERROR(IF(CS59="","",VLOOKUP(($BC59&amp;CS59&amp;"Template desconto FLAT Plano Principal Oi TV nível conta"),BENEFICIOS!$A:$G,5,0))),"Criar",IF(CS59="","",VLOOKUP(($BC59&amp;CS59&amp;"Template desconto FLAT Plano Principal Oi TV nível conta"),BENEFICIOS!$A:$G,5,0)))</f>
        <v/>
      </c>
      <c r="CU59" s="8"/>
      <c r="CV59" s="3" t="str">
        <f>IF(CU59=0,"",IF(CU59=VLOOKUP("PCS-OzTL742",ARBOR!$A:$C,3,0),0.0001,IF(CU59&gt;VLOOKUP("PCS-OzTL742",ARBOR!$A:$C,3,0),"Maior que CAP!",IF((DOLLAR(CU59+(VLOOKUP("PCS-OzTL742",ARBOR!$A:$C,3,0)*-TRUNC(CU59/VLOOKUP("PCS-OzTL742",ARBOR!$A:$C,3,0)-1,4)),6))&lt;&gt;(DOLLAR(VLOOKUP("PCS-OzTL742",ARBOR!$A:$C,3,0),6)),-TRUNC(CU59/VLOOKUP("PCS-OzTL742",ARBOR!$A:$C,3,0)-1,4)+0.0001,-TRUNC(CU59/VLOOKUP("PCS-OzTL742",ARBOR!$A:$C,3,0)-1,4)))))</f>
        <v/>
      </c>
      <c r="CW59" s="28" t="str">
        <f>IF(ISERROR(IF(CV59="","",VLOOKUP(($BC59&amp;CV59&amp;"Template desconto FLAT Plano Principal Oi TV nível conta"),BENEFICIOS!$A:$G,5,0))),"Criar",IF(CV59="","",VLOOKUP(($BC59&amp;CV59&amp;"Template desconto FLAT Plano Principal Oi TV nível conta"),BENEFICIOS!$A:$G,5,0)))</f>
        <v/>
      </c>
      <c r="CX59" s="8"/>
      <c r="CY59" s="3" t="str">
        <f>IF(CX59=0,"",IF(CX59=VLOOKUP("PCS-OzTL747",ARBOR!$A:$C,3,0),0.0001,IF(CX59&gt;VLOOKUP("PCS-OzTL747",ARBOR!$A:$C,3,0),"Maior que CAP!",IF((DOLLAR(CX59+(VLOOKUP("PCS-OzTL747",ARBOR!$A:$C,3,0)*-TRUNC(CX59/VLOOKUP("PCS-OzTL747",ARBOR!$A:$C,3,0)-1,4)),6))&lt;&gt;(DOLLAR(VLOOKUP("PCS-OzTL747",ARBOR!$A:$C,3,0),6)),-TRUNC(CX59/VLOOKUP("PCS-OzTL747",ARBOR!$A:$C,3,0)-1,4)+0.0001,-TRUNC(CX59/VLOOKUP("PCS-OzTL747",ARBOR!$A:$C,3,0)-1,4)))))</f>
        <v/>
      </c>
      <c r="CZ59" s="28" t="str">
        <f>IF(ISERROR(IF(CY59="","",VLOOKUP(($BC59&amp;CY59&amp;"Template desconto FLAT Plano Principal Oi TV nível conta"),BENEFICIOS!$A:$G,5,0))),"Criar",IF(CY59="","",VLOOKUP(($BC59&amp;CY59&amp;"Template desconto FLAT Plano Principal Oi TV nível conta"),BENEFICIOS!$A:$G,5,0)))</f>
        <v/>
      </c>
      <c r="DA59" s="8"/>
      <c r="DB59" s="3" t="str">
        <f>IF(DA59=0,"",IF(DA59=VLOOKUP("PCS-OzTL746",ARBOR!$A:$C,3,0),0.0001,IF(DA59&gt;VLOOKUP("PCS-OzTL746",ARBOR!$A:$C,3,0),"Maior que CAP!",IF((DOLLAR(DA59+(VLOOKUP("PCS-OzTL746",ARBOR!$A:$C,3,0)*-TRUNC(DA59/VLOOKUP("PCS-OzTL746",ARBOR!$A:$C,3,0)-1,4)),6))&lt;&gt;(DOLLAR(VLOOKUP("PCS-OzTL746",ARBOR!$A:$C,3,0),6)),-TRUNC(DA59/VLOOKUP("PCS-OzTL746",ARBOR!$A:$C,3,0)-1,4)+0.0001,-TRUNC(DA59/VLOOKUP("PCS-OzTL746",ARBOR!$A:$C,3,0)-1,4)))))</f>
        <v/>
      </c>
      <c r="DC59" s="28" t="str">
        <f>IF(ISERROR(IF(DB59="","",VLOOKUP(($BC59&amp;DB59&amp;"Template desconto FLAT Plano Principal Oi TV nível conta"),BENEFICIOS!$A:$G,5,0))),"Criar",IF(DB59="","",VLOOKUP(($BC59&amp;DB59&amp;"Template desconto FLAT Plano Principal Oi TV nível conta"),BENEFICIOS!$A:$G,5,0)))</f>
        <v/>
      </c>
      <c r="DD59" s="8"/>
      <c r="DE59" s="3" t="str">
        <f>IF(DD59=0,"",IF(DD59=VLOOKUP("PCS-OzTL748",ARBOR!$A:$C,3,0),0.0001,IF(DD59&gt;VLOOKUP("PCS-OzTL748",ARBOR!$A:$C,3,0),"Maior que CAP!",IF((DOLLAR(DD59+(VLOOKUP("PCS-OzTL748",ARBOR!$A:$C,3,0)*-TRUNC(DD59/VLOOKUP("PCS-OzTL748",ARBOR!$A:$C,3,0)-1,4)),6))&lt;&gt;(DOLLAR(VLOOKUP("PCS-OzTL748",ARBOR!$A:$C,3,0),6)),-TRUNC(DD59/VLOOKUP("PCS-OzTL748",ARBOR!$A:$C,3,0)-1,4)+0.0001,-TRUNC(DD59/VLOOKUP("PCS-OzTL748",ARBOR!$A:$C,3,0)-1,4)))))</f>
        <v/>
      </c>
      <c r="DF59" s="28" t="str">
        <f>IF(ISERROR(IF(DE59="","",VLOOKUP(($BC59&amp;DE59&amp;"Template desconto FLAT Plano Principal Oi TV nível conta"),BENEFICIOS!$A:$G,5,0))),"Criar",IF(DE59="","",VLOOKUP(($BC59&amp;DE59&amp;"Template desconto FLAT Plano Principal Oi TV nível conta"),BENEFICIOS!$A:$G,5,0)))</f>
        <v/>
      </c>
      <c r="DG59" s="8"/>
      <c r="DH59" s="3" t="str">
        <f>IF(DG59=0,"",IF(DG59=VLOOKUP("PCS-OzTL34",ARBOR!$A:$C,3,0),0.0001,IF(DG59&gt;VLOOKUP("PCS-OzTL34",ARBOR!$A:$C,3,0),"Maior que CAP!",IF((DOLLAR(DG59+(VLOOKUP("PCS-OzTL34",ARBOR!$A:$C,3,0)*-TRUNC(DG59/VLOOKUP("PCS-OzTL34",ARBOR!$A:$C,3,0)-1,4)),6))&lt;&gt;(DOLLAR(VLOOKUP("PCS-OzTL34",ARBOR!$A:$C,3,0),6)),-TRUNC(DG59/VLOOKUP("PCS-OzTL34",ARBOR!$A:$C,3,0)-1,4)+0.0001,-TRUNC(DG59/VLOOKUP("PCS-OzTL34",ARBOR!$A:$C,3,0)-1,4)))))</f>
        <v/>
      </c>
      <c r="DI59" s="28" t="str">
        <f>IF(DH59="S/Desc","S/Desc",IF(ISERROR(IF(DH59="","",VLOOKUP(($BC59&amp;DH59&amp;"Template desconto % Combate nível conta"),BENEFICIOS!$A:$G,5,0))),"Criar",IF(DH59="","",VLOOKUP(($BC59&amp;DH59&amp;"Template desconto % Combate nível conta"),BENEFICIOS!$A:$G,5,0))))</f>
        <v/>
      </c>
      <c r="DJ59" s="8"/>
      <c r="DK59" s="3" t="str">
        <f>IF(DJ59=0,"",IF(DJ59=VLOOKUP("PCS-OzTL31",ARBOR!$A:$C,3,0),0.0001,IF(DJ59&gt;VLOOKUP("PCS-OzTL31",ARBOR!$A:$C,3,0),"Maior que CAP!",IF((DOLLAR(DJ59+(VLOOKUP("PCS-OzTL31",ARBOR!$A:$C,3,0)*-TRUNC(DJ59/VLOOKUP("PCS-OzTL31",ARBOR!$A:$C,3,0)-1,4)),6))&lt;&gt;(DOLLAR(VLOOKUP("PCS-OzTL31",ARBOR!$A:$C,3,0),6)),-TRUNC(DJ59/VLOOKUP("PCS-OzTL31",ARBOR!$A:$C,3,0)-1,4)+0.0001,-TRUNC(DJ59/VLOOKUP("PCS-OzTL31",ARBOR!$A:$C,3,0)-1,4)))))</f>
        <v/>
      </c>
      <c r="DL59" s="28" t="str">
        <f>IF(DK59="S/Desc","S/Desc",IF(ISERROR(IF(DK59="","",VLOOKUP(($BC59&amp;DK59&amp;"Template desconto % Sexy Hot nível conta"),BENEFICIOS!$A:$G,5,0))),"Criar",IF(DK59="","",VLOOKUP(($BC59&amp;DK59&amp;"Template desconto % Sexy Hot nível conta"),BENEFICIOS!$A:$G,5,0))))</f>
        <v/>
      </c>
      <c r="DM59" s="8"/>
      <c r="DN59" s="3" t="str">
        <f>IF(DM59=0,"",IF(DM59=VLOOKUP("PCS-OzTL32",ARBOR!$A:$C,3,0),0.0001,IF(DM59&gt;VLOOKUP("PCS-OzTL32",ARBOR!$A:$C,3,0),"Maior que CAP!",IF((DOLLAR(DM59+(VLOOKUP("PCS-OzTL32",ARBOR!$A:$C,3,0)*-TRUNC(DM59/VLOOKUP("PCS-OzTL32",ARBOR!$A:$C,3,0)-1,4)),6))&lt;&gt;(DOLLAR(VLOOKUP("PCS-OzTL32",ARBOR!$A:$C,3,0),6)),-TRUNC(DM59/VLOOKUP("PCS-OzTL32",ARBOR!$A:$C,3,0)-1,4)+0.0001,-TRUNC(DM59/VLOOKUP("PCS-OzTL32",ARBOR!$A:$C,3,0)-1,4)))))</f>
        <v/>
      </c>
      <c r="DO59" s="28" t="str">
        <f>IF(DN59="S/Desc","S/Desc",IF(ISERROR(IF(DN59="","",VLOOKUP(($BC59&amp;DN59&amp;"Template desconto % Playboy nível conta"),BENEFICIOS!$A:$G,5,0))),"Criar",IF(DN59="","",VLOOKUP(($BC59&amp;DN59&amp;"Template desconto % Playboy nível conta"),BENEFICIOS!$A:$G,5,0))))</f>
        <v/>
      </c>
      <c r="DP59" s="8"/>
      <c r="DQ59" s="3" t="str">
        <f>IF(DP59=0,"",IF(DP59=VLOOKUP("PCS-OzTL33",ARBOR!$A:$C,3,0),0.0001,IF(DP59&gt;VLOOKUP("PCS-OzTL33",ARBOR!$A:$C,3,0),"Maior que CAP!",IF((DOLLAR(DP59+(VLOOKUP("PCS-OzTL33",ARBOR!$A:$C,3,0)*-TRUNC(DP59/VLOOKUP("PCS-OzTL33",ARBOR!$A:$C,3,0)-1,4)),6))&lt;&gt;(DOLLAR(VLOOKUP("PCS-OzTL33",ARBOR!$A:$C,3,0),6)),-TRUNC(DP59/VLOOKUP("PCS-OzTL33",ARBOR!$A:$C,3,0)-1,4)+0.0001,-TRUNC(DP59/VLOOKUP("PCS-OzTL33",ARBOR!$A:$C,3,0)-1,4)))))</f>
        <v/>
      </c>
      <c r="DR59" s="28" t="str">
        <f>IF(DQ59="S/Desc","S/Desc",IF(ISERROR(IF(DQ59="","",VLOOKUP(($BC59&amp;DQ59&amp;"Template desconto % Sexy Hot + Playboy nível conta"),BENEFICIOS!$A:$G,5,0))),"Criar",IF(DQ59="","",VLOOKUP(($BC59&amp;DQ59&amp;"Template desconto % Sexy Hot + Playboy nível conta"),BENEFICIOS!$A:$G,5,0))))</f>
        <v/>
      </c>
      <c r="DS59" s="8"/>
      <c r="DT59" s="3" t="str">
        <f>IF(DS59=0,"",IF(DS59=VLOOKUP("PCS-OzTL503",ARBOR!$A:$C,3,0),0.0001,IF(DS59&gt;VLOOKUP("PCS-OzTL503",ARBOR!$A:$C,3,0),"Maior que CAP!",IF((DOLLAR(DS59+(VLOOKUP("PCS-OzTL503",ARBOR!$A:$C,3,0)*-TRUNC(DS59/VLOOKUP("PCS-OzTL503",ARBOR!$A:$C,3,0)-1,4)),6))&lt;&gt;(DOLLAR(VLOOKUP("PCS-OzTL503",ARBOR!$A:$C,3,0),6)),-TRUNC(DS59/VLOOKUP("PCS-OzTL503",ARBOR!$A:$C,3,0)-1,4)+0.0001,-TRUNC(DS59/VLOOKUP("PCS-OzTL503",ARBOR!$A:$C,3,0)-1,4)))))</f>
        <v/>
      </c>
      <c r="DU59" s="28" t="str">
        <f>IF(DT59="S/Desc","S/Desc",IF(ISERROR(IF(DT59="","",VLOOKUP(($BC59&amp;DT59&amp;"Template desconto % SexPrivê nível conta"),BENEFICIOS!$A:$G,5,0))),"Criar",IF(DT59="","",VLOOKUP(($BC59&amp;DT59&amp;"Template desconto % SexPrivê nível conta"),BENEFICIOS!$A:$G,5,0))))</f>
        <v/>
      </c>
      <c r="DV59" s="8"/>
      <c r="DW59" s="3" t="str">
        <f>IF(DV59=0,"",IF(DV59=VLOOKUP("PCS-OzTL500",ARBOR!$A:$C,3,0),0.0001,IF(DV59&gt;VLOOKUP("PCS-OzTL500",ARBOR!$A:$C,3,0),"Maior que CAP!",IF((DOLLAR(DV59+(VLOOKUP("PCS-OzTL500",ARBOR!$A:$C,3,0)*-TRUNC(DV59/VLOOKUP("PCS-OzTL500",ARBOR!$A:$C,3,0)-1,4)),6))&lt;&gt;(DOLLAR(VLOOKUP("PCS-OzTL500",ARBOR!$A:$C,3,0),6)),-TRUNC(DV59/VLOOKUP("PCS-OzTL500",ARBOR!$A:$C,3,0)-1,4)+0.0001,-TRUNC(DV59/VLOOKUP("PCS-OzTL500",ARBOR!$A:$C,3,0)-1,4)))))</f>
        <v/>
      </c>
      <c r="DX59" s="28" t="str">
        <f>IF(DW59="S/Desc","S/Desc",IF(ISERROR(IF(DW59="","",VLOOKUP(($BC59&amp;DW59&amp;"Template desconto % Étnico nível conta"),BENEFICIOS!$A:$G,5,0))),"Criar",IF(DW59="","",VLOOKUP(($BC59&amp;DW59&amp;"Template desconto % Étnico nível conta"),BENEFICIOS!$A:$G,5,0))))</f>
        <v/>
      </c>
      <c r="DY59" s="8"/>
      <c r="DZ59" s="181" t="str">
        <f>IF(DY59=0,"",IF(DY59=VLOOKUP("PCS-OzTL50",ARBOR!$A:$C,3,0),0.0001,IF(DY59&gt;VLOOKUP("PCS-OzTL50",ARBOR!$A:$C,3,0),"Maior que CAP!",IF((DOLLAR(DY59+(VLOOKUP("PCS-OzTL50",ARBOR!$A:$C,3,0)*-TRUNC(DY59/VLOOKUP("PCS-OzTL50",ARBOR!$A:$C,3,0)-1,4)),6))&lt;&gt;(DOLLAR(VLOOKUP("PCS-OzTL50",ARBOR!$A:$C,3,0),6)),-TRUNC(DY59/VLOOKUP("PCS-OzTL50",ARBOR!$A:$C,3,0)-1,4)+0.0001,-TRUNC(DY59/VLOOKUP("PCS-OzTL50",ARBOR!$A:$C,3,0)-1,4)))))</f>
        <v/>
      </c>
      <c r="EA59" s="28"/>
      <c r="EB59" s="8"/>
      <c r="EC59" s="181" t="str">
        <f>IF(EB59=0,"",IF(EB59=VLOOKUP("PCS-OzTL51",ARBOR!$A:$C,3,0),0.0001,IF(EB59&gt;VLOOKUP("PCS-OzTL51",ARBOR!$A:$C,3,0),"Maior que CAP!",IF((DOLLAR(EB59+(VLOOKUP("PCS-OzTL51",ARBOR!$A:$C,3,0)*-TRUNC(EB59/VLOOKUP("PCS-OzTL51",ARBOR!$A:$C,3,0)-1,4)),6))&lt;&gt;(DOLLAR(VLOOKUP("PCS-OzTL51",ARBOR!$A:$C,3,0),6)),-TRUNC(EB59/VLOOKUP("PCS-OzTL51",ARBOR!$A:$C,3,0)-1,4)+0.0001,-TRUNC(EB59/VLOOKUP("PCS-OzTL51",ARBOR!$A:$C,3,0)-1,4)))))</f>
        <v/>
      </c>
      <c r="ED59" s="28"/>
      <c r="EE59" s="8"/>
      <c r="EF59" s="181" t="str">
        <f>IF(EE59=0,"",IF(EE59=VLOOKUP("PCS-OzTL52",ARBOR!$A:$C,3,0),0.0001,IF(EE59&gt;VLOOKUP("PCS-OzTL52",ARBOR!$A:$C,3,0),"Maior que CAP!",IF((DOLLAR(EE59+(VLOOKUP("PCS-OzTL52",ARBOR!$A:$C,3,0)*-TRUNC(EE59/VLOOKUP("PCS-OzTL52",ARBOR!$A:$C,3,0)-1,4)),6))&lt;&gt;(DOLLAR(VLOOKUP("PCS-OzTL52",ARBOR!$A:$C,3,0),6)),-TRUNC(EE59/VLOOKUP("PCS-OzTL52",ARBOR!$A:$C,3,0)-1,4)+0.0001,-TRUNC(EE59/VLOOKUP("PCS-OzTL52",ARBOR!$A:$C,3,0)-1,4)))))</f>
        <v/>
      </c>
      <c r="EG59" s="28"/>
      <c r="EH59" s="8"/>
      <c r="EI59" s="181" t="str">
        <f>IF(EH59=0,"",IF(EH59=VLOOKUP("PCS-OzTL53",ARBOR!$A:$C,3,0),0.0001,IF(EH59&gt;VLOOKUP("PCS-OzTL53",ARBOR!$A:$C,3,0),"Maior que CAP!",IF((DOLLAR(EH59+(VLOOKUP("PCS-OzTL53",ARBOR!$A:$C,3,0)*-TRUNC(EH59/VLOOKUP("PCS-OzTL53",ARBOR!$A:$C,3,0)-1,4)),6))&lt;&gt;(DOLLAR(VLOOKUP("PCS-OzTL53",ARBOR!$A:$C,3,0),6)),-TRUNC(EH59/VLOOKUP("PCS-OzTL53",ARBOR!$A:$C,3,0)-1,4)+0.0001,-TRUNC(EH59/VLOOKUP("PCS-OzTL53",ARBOR!$A:$C,3,0)-1,4)))))</f>
        <v/>
      </c>
      <c r="EJ59" s="28"/>
      <c r="EK59" s="8"/>
      <c r="EL59" s="181" t="str">
        <f>IF(EK59=0,"",IF(EK59=VLOOKUP("PCS-OzTL54",ARBOR!$A:$C,3,0),0.0001,IF(EK59&gt;VLOOKUP("PCS-OzTL54",ARBOR!$A:$C,3,0),"Maior que CAP!",IF((DOLLAR(EK59+(VLOOKUP("PCS-OzTL54",ARBOR!$A:$C,3,0)*-TRUNC(EK59/VLOOKUP("PCS-OzTL54",ARBOR!$A:$C,3,0)-1,4)),6))&lt;&gt;(DOLLAR(VLOOKUP("PCS-OzTL54",ARBOR!$A:$C,3,0),6)),-TRUNC(EK59/VLOOKUP("PCS-OzTL54",ARBOR!$A:$C,3,0)-1,4)+0.0001,-TRUNC(EK59/VLOOKUP("PCS-OzTL54",ARBOR!$A:$C,3,0)-1,4)))))</f>
        <v/>
      </c>
      <c r="EM59" s="28"/>
      <c r="EN59" s="8"/>
      <c r="EO59" s="3" t="str">
        <f>IF(EN59=0,"",IF(EN59=VLOOKUP("PCS-OzTL99",ARBOR!$A:$C,3,0),0.0001,IF(EN59&gt;VLOOKUP("PCS-OzTL99",ARBOR!$A:$C,3,0),"Maior que CAP!",IF((DOLLAR(EN59+(VLOOKUP("PCS-OzTL99",ARBOR!$A:$C,3,0)*-TRUNC(EN59/VLOOKUP("PCS-OzTL99",ARBOR!$A:$C,3,0)-1,4)),6))&lt;&gt;(DOLLAR(VLOOKUP("PCS-OzTL99",ARBOR!$A:$C,3,0),6)),-TRUNC(EN59/VLOOKUP("PCS-OzTL99",ARBOR!$A:$C,3,0)-1,4)+0.0001,-TRUNC(EN59/VLOOKUP("PCS-OzTL99",ARBOR!$A:$C,3,0)-1,4)))))</f>
        <v/>
      </c>
      <c r="EP59" s="28" t="str">
        <f>IF(EO59="S/Desc","S/Desc",IF(ISERROR(IF(EO59="","",VLOOKUP(($BC59&amp;EO59&amp;"Template desconto % Ponto adicional nível conta"),BENEFICIOS!$A:$G,5,0))),"Criar",IF(EO59="","",VLOOKUP(($BC59&amp;EO59&amp;"Template desconto % Ponto adicional nível conta"),BENEFICIOS!$A:$G,5,0))))</f>
        <v/>
      </c>
      <c r="EQ59" s="8"/>
      <c r="ER59" s="28" t="str">
        <f t="shared" si="23"/>
        <v/>
      </c>
      <c r="ES59" s="62"/>
      <c r="ET59" s="126"/>
      <c r="EU59" s="127"/>
      <c r="EV59" s="126"/>
      <c r="EW59" s="128" t="str">
        <f t="shared" si="24"/>
        <v/>
      </c>
      <c r="EX59" s="129" t="str">
        <f t="shared" si="25"/>
        <v/>
      </c>
      <c r="EY59" s="91" t="str">
        <f t="shared" si="26"/>
        <v/>
      </c>
      <c r="EZ59" s="85"/>
      <c r="FA59" s="97"/>
      <c r="FB59" s="91"/>
      <c r="FC59" s="85"/>
      <c r="FD59" s="97"/>
      <c r="FE59" s="91"/>
      <c r="FF59" s="87"/>
      <c r="FG59" s="144" t="str">
        <f t="shared" si="5"/>
        <v/>
      </c>
      <c r="FH59" s="144" t="str">
        <f t="shared" si="6"/>
        <v/>
      </c>
      <c r="FI59" s="144" t="str">
        <f t="shared" si="7"/>
        <v/>
      </c>
      <c r="FJ59" s="144" t="str">
        <f t="shared" si="8"/>
        <v/>
      </c>
      <c r="FK59" s="144" t="str">
        <f t="shared" si="9"/>
        <v/>
      </c>
      <c r="FL59" s="144" t="str">
        <f t="shared" si="10"/>
        <v/>
      </c>
      <c r="FM59" s="144" t="str">
        <f t="shared" si="11"/>
        <v/>
      </c>
      <c r="FN59" s="144" t="str">
        <f t="shared" si="12"/>
        <v/>
      </c>
      <c r="FO59" s="144" t="str">
        <f t="shared" si="13"/>
        <v/>
      </c>
      <c r="FP59" s="144" t="str">
        <f t="shared" si="14"/>
        <v/>
      </c>
      <c r="FQ59" s="144" t="str">
        <f t="shared" si="15"/>
        <v/>
      </c>
      <c r="FR59" s="144" t="str">
        <f t="shared" si="16"/>
        <v/>
      </c>
      <c r="FS59" s="144" t="str">
        <f t="shared" si="17"/>
        <v/>
      </c>
      <c r="FT59" s="144" t="str">
        <f t="shared" si="18"/>
        <v/>
      </c>
      <c r="FU59" s="144" t="str">
        <f t="shared" si="19"/>
        <v/>
      </c>
      <c r="FV59" s="144" t="str">
        <f t="shared" si="20"/>
        <v/>
      </c>
      <c r="FW59" s="144" t="str">
        <f t="shared" si="21"/>
        <v/>
      </c>
      <c r="FX59" s="151"/>
      <c r="FY59" s="152"/>
      <c r="FZ59" s="152"/>
      <c r="GA59" s="152"/>
      <c r="GB59" s="152"/>
      <c r="GC59" s="152"/>
      <c r="GD59" s="152"/>
      <c r="GE59" s="152"/>
      <c r="GF59" s="152"/>
      <c r="GG59" s="153"/>
    </row>
    <row r="60" spans="1:189">
      <c r="A60" s="45"/>
      <c r="B60" s="133"/>
      <c r="C60" s="133"/>
      <c r="D60" s="46"/>
      <c r="E60" s="4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9"/>
      <c r="U60" s="48"/>
      <c r="V60" s="49"/>
      <c r="W60" s="48"/>
      <c r="X60" s="48"/>
      <c r="Y60" s="48"/>
      <c r="Z60" s="48"/>
      <c r="AA60" s="49"/>
      <c r="AB60" s="48"/>
      <c r="AC60" s="50"/>
      <c r="AD60" s="48"/>
      <c r="AE60" s="48"/>
      <c r="AF60" s="48"/>
      <c r="AG60" s="48"/>
      <c r="AH60" s="48"/>
      <c r="AI60" s="48"/>
      <c r="AJ60" s="48"/>
      <c r="AK60" s="48"/>
      <c r="AL60" s="51"/>
      <c r="AM60" s="37"/>
      <c r="AN60" s="38"/>
      <c r="AO60" s="39"/>
      <c r="AP60" s="52"/>
      <c r="AQ60" s="53"/>
      <c r="AR60" s="64"/>
      <c r="AS60" s="65"/>
      <c r="AT60" s="54"/>
      <c r="AU60" s="54"/>
      <c r="AV60" s="54"/>
      <c r="AW60" s="54"/>
      <c r="AX60" s="70"/>
      <c r="AY60" s="71"/>
      <c r="AZ60" s="72"/>
      <c r="BA60" s="73"/>
      <c r="BB60" s="55"/>
      <c r="BC60" s="56"/>
      <c r="BD60" s="27" t="str">
        <f t="shared" si="22"/>
        <v/>
      </c>
      <c r="BE60" s="58"/>
      <c r="BF60" s="3" t="str">
        <f>IF(BE60=0,"",IF(BE60=VLOOKUP("FIXO",ARBOR!$A:$C,3,0),0.0001,IF(BE60&gt;VLOOKUP("FIXO",ARBOR!$A:$C,3,0),"Maior que CAP!",IF((DOLLAR(BE60+(VLOOKUP("FIXO",ARBOR!$A:$C,3,0)*-TRUNC(BE60/VLOOKUP("FIXO",ARBOR!$A:$C,3,0)-1,4)),6))&lt;&gt;(DOLLAR(VLOOKUP("FIXO",ARBOR!$A:$C,3,0),6)),-TRUNC(BE60/VLOOKUP("FIXO",ARBOR!$A:$C,3,0)-1,4)+0.0001,-TRUNC(BE60/VLOOKUP("FIXO",ARBOR!$A:$C,3,0)-1,4)))))</f>
        <v/>
      </c>
      <c r="BG60" s="10" t="str">
        <f>IF(ISERROR(IF(BF60="","",VLOOKUP(($BC60&amp;BF60&amp;"Template de desconto FLAT bundle - Fixo - Varejo - Ganho Tributário Cross"),BENEFICIOS!$A:$G,5,0))),"Criar",IF(BF60="","",VLOOKUP(($BC60&amp;BF60&amp;"Template de desconto FLAT bundle - Fixo - Varejo - Ganho Tributário Cross"),BENEFICIOS!$A:$G,5,0)))</f>
        <v/>
      </c>
      <c r="BH60" s="8"/>
      <c r="BI60" s="3" t="str">
        <f>IF(BH60=0,"",IF(BH60=VLOOKUP("PCS-OzTL40",ARBOR!$A:$C,3,0),0.0001,IF(BH60&gt;VLOOKUP("PCS-OzTL40",ARBOR!$A:$C,3,0),"Maior que CAP!",IF((DOLLAR(BH60+(VLOOKUP("PCS-OzTL40",ARBOR!$A:$C,3,0)*-TRUNC(BH60/VLOOKUP("PCS-OzTL40",ARBOR!$A:$C,3,0)-1,4)),6))&lt;&gt;(DOLLAR(VLOOKUP("PCS-OzTL40",ARBOR!$A:$C,3,0),6)),-TRUNC(BH60/VLOOKUP("PCS-OzTL40",ARBOR!$A:$C,3,0)-1,4)+0.0001,-TRUNC(BH60/VLOOKUP("PCS-OzTL40",ARBOR!$A:$C,3,0)-1,4)))))</f>
        <v/>
      </c>
      <c r="BJ60" s="10" t="str">
        <f>IF(ISERROR(IF(BI60="","",VLOOKUP((BC60&amp;BI60&amp;"Template desconto FLAT Plano Principal Oi TV nível conta"),BENEFICIOS!$A:$G,5,0))),"Criar",IF(BI60="","",VLOOKUP((BC60&amp;BI60&amp;"Template desconto FLAT Plano Principal Oi TV nível conta"),BENEFICIOS!$A:$G,5,0)))</f>
        <v/>
      </c>
      <c r="BK60" s="8"/>
      <c r="BL60" s="3" t="str">
        <f>IF(BK60=0,"",IF(BK60=VLOOKUP("PCS-OzTL41",ARBOR!$A:$C,3,0),0.0001,IF(BK60&gt;VLOOKUP("PCS-OzTL41",ARBOR!$A:$C,3,0),"Maior que CAP!",IF((DOLLAR(BK60+(VLOOKUP("PCS-OzTL41",ARBOR!$A:$C,3,0)*-TRUNC(BK60/VLOOKUP("PCS-OzTL41",ARBOR!$A:$C,3,0)-1,4)),6))&lt;&gt;(DOLLAR(VLOOKUP("PCS-OzTL41",ARBOR!$A:$C,3,0),6)),-TRUNC(BK60/VLOOKUP("PCS-OzTL41",ARBOR!$A:$C,3,0)-1,4)+0.0001,-TRUNC(BK60/VLOOKUP("PCS-OzTL41",ARBOR!$A:$C,3,0)-1,4)))))</f>
        <v/>
      </c>
      <c r="BM60" s="28" t="str">
        <f>IF(ISERROR(IF(BL60="","",VLOOKUP((BC60&amp;BL60&amp;"Template desconto FLAT Plano Principal Oi TV nível conta"),BENEFICIOS!$A:$G,5,0))),"Criar",IF(BL60="","",VLOOKUP((BC60&amp;BL60&amp;"Template desconto FLAT Plano Principal Oi TV nível conta"),BENEFICIOS!$A:$G,5,0)))</f>
        <v/>
      </c>
      <c r="BN60" s="8"/>
      <c r="BO60" s="3" t="str">
        <f>IF(BN60=0,"",IF(BN60=VLOOKUP("PCS-OzTL44",ARBOR!$A:$C,3,0),0.0001,IF(BN60&gt;VLOOKUP("PCS-OzTL44",ARBOR!$A:$C,3,0),"Maior que CAP!",IF((DOLLAR(BN60+(VLOOKUP("PCS-OzTL44",ARBOR!$A:$C,3,0)*-TRUNC(BN60/VLOOKUP("PCS-OzTL44",ARBOR!$A:$C,3,0)-1,4)),6))&lt;&gt;(DOLLAR(VLOOKUP("PCS-OzTL44",ARBOR!$A:$C,3,0),6)),-TRUNC(BN60/VLOOKUP("PCS-OzTL44",ARBOR!$A:$C,3,0)-1,4)+0.0001,-TRUNC(BN60/VLOOKUP("PCS-OzTL44",ARBOR!$A:$C,3,0)-1,4)))))</f>
        <v/>
      </c>
      <c r="BP60" s="28" t="str">
        <f>IF(ISERROR(IF(BO60="","",VLOOKUP((BC60&amp;BO60&amp;"Template desconto FLAT Plano Principal Oi TV nível conta"),BENEFICIOS!$A:$G,5,0))),"Criar",IF(BO60="","",VLOOKUP((BC60&amp;BO60&amp;"Template desconto FLAT Plano Principal Oi TV nível conta"),BENEFICIOS!$A:$G,5,0)))</f>
        <v/>
      </c>
      <c r="BQ60" s="8"/>
      <c r="BR60" s="3" t="str">
        <f>IF(BQ60=0,"",IF(BQ60=VLOOKUP("PCS-OzTL43",ARBOR!$A:$C,3,0),0.0001,IF(BQ60&gt;VLOOKUP("PCS-OzTL43",ARBOR!$A:$C,3,0),"Maior que CAP!",IF((DOLLAR(BQ60+(VLOOKUP("PCS-OzTL43",ARBOR!$A:$C,3,0)*-TRUNC(BQ60/VLOOKUP("PCS-OzTL43",ARBOR!$A:$C,3,0)-1,4)),6))&lt;&gt;(DOLLAR(VLOOKUP("PCS-OzTL43",ARBOR!$A:$C,3,0),6)),-TRUNC(BQ60/VLOOKUP("PCS-OzTL43",ARBOR!$A:$C,3,0)-1,4)+0.0001,-TRUNC(BQ60/VLOOKUP("PCS-OzTL43",ARBOR!$A:$C,3,0)-1,4)))))</f>
        <v/>
      </c>
      <c r="BS60" s="28" t="str">
        <f>IF(ISERROR(IF(BR60="","",VLOOKUP((BC60&amp;BR60&amp;"Template desconto FLAT Plano Principal Oi TV nível conta"),BENEFICIOS!$A:$G,5,0))),"Criar",IF(BR60="","",VLOOKUP((BC60&amp;BR60&amp;"Template desconto FLAT Plano Principal Oi TV nível conta"),BENEFICIOS!$A:$G,5,0)))</f>
        <v/>
      </c>
      <c r="BT60" s="8"/>
      <c r="BU60" s="3" t="str">
        <f>IF(BT60=0,"",IF(BT60=VLOOKUP("PCS-OzTL45",ARBOR!$A:$C,3,0),0.0001,IF(BT60&gt;VLOOKUP("PCS-OzTL45",ARBOR!$A:$C,3,0),"Maior que CAP!",IF((DOLLAR(BT60+(VLOOKUP("PCS-OzTL45",ARBOR!$A:$C,3,0)*-TRUNC(BT60/VLOOKUP("PCS-OzTL45",ARBOR!$A:$C,3,0)-1,4)),6))&lt;&gt;(DOLLAR(VLOOKUP("PCS-OzTL45",ARBOR!$A:$C,3,0),6)),-TRUNC(BT60/VLOOKUP("PCS-OzTL45",ARBOR!$A:$C,3,0)-1,4)+0.0001,-TRUNC(BT60/VLOOKUP("PCS-OzTL45",ARBOR!$A:$C,3,0)-1,4)))))</f>
        <v/>
      </c>
      <c r="BV60" s="28" t="str">
        <f>IF(ISERROR(IF(BU60="","",VLOOKUP((BC60&amp;BU60&amp;"Template desconto FLAT Plano Principal Oi TV nível conta"),BENEFICIOS!$A:$G,5,0))),"Criar",IF(BU60="","",VLOOKUP((BC60&amp;BU60&amp;"Template desconto FLAT Plano Principal Oi TV nível conta"),BENEFICIOS!$A:$G,5,0)))</f>
        <v/>
      </c>
      <c r="BW60" s="8"/>
      <c r="BX60" s="3" t="str">
        <f>IF(BW60=0,"",IF(BW60=VLOOKUP("PCS-OzTL741",ARBOR!$A:$C,3,0),0.0001,IF(BW60&gt;VLOOKUP("PCS-OzTL741",ARBOR!$A:$C,3,0),"Maior que CAP!",IF((DOLLAR(BW60+(VLOOKUP("PCS-OzTL741",ARBOR!$A:$C,3,0)*-TRUNC(BW60/VLOOKUP("PCS-OzTL741",ARBOR!$A:$C,3,0)-1,4)),6))&lt;&gt;(DOLLAR(VLOOKUP("PCS-OzTL741",ARBOR!$A:$C,3,0),6)),-TRUNC(BW60/VLOOKUP("PCS-OzTL741",ARBOR!$A:$C,3,0)-1,4)+0.0001,-TRUNC(BW60/VLOOKUP("PCS-OzTL741",ARBOR!$A:$C,3,0)-1,4)))))</f>
        <v/>
      </c>
      <c r="BY60" s="28" t="str">
        <f>IF(ISERROR(IF(BX60="","",VLOOKUP((BC60&amp;BX60&amp;"Template desconto FLAT Plano Principal Oi TV nível conta"),BENEFICIOS!$A:$G,5,0))),"Criar",IF(BX60="","",VLOOKUP((BC60&amp;BX60&amp;"Template desconto FLAT Plano Principal Oi TV nível conta"),BENEFICIOS!$A:$G,5,0)))</f>
        <v/>
      </c>
      <c r="BZ60" s="8"/>
      <c r="CA60" s="3" t="str">
        <f>IF(BZ60=0,"",IF(BZ60=VLOOKUP("PCS-OzTL744",ARBOR!$A:$C,3,0),0.0001,IF(BZ60&gt;VLOOKUP("PCS-OzTL744",ARBOR!$A:$C,3,0),"Maior que CAP!",IF((DOLLAR(BZ60+(VLOOKUP("PCS-OzTL744",ARBOR!$A:$C,3,0)*-TRUNC(BZ60/VLOOKUP("PCS-OzTL744",ARBOR!$A:$C,3,0)-1,4)),6))&lt;&gt;(DOLLAR(VLOOKUP("PCS-OzTL744",ARBOR!$A:$C,3,0),6)),-TRUNC(BZ60/VLOOKUP("PCS-OzTL744",ARBOR!$A:$C,3,0)-1,4)+0.0001,-TRUNC(BZ60/VLOOKUP("PCS-OzTL744",ARBOR!$A:$C,3,0)-1,4)))))</f>
        <v/>
      </c>
      <c r="CB60" s="28" t="str">
        <f>IF(ISERROR(IF(CA60="","",VLOOKUP(($BC60&amp;CA60&amp;"Template desconto FLAT Plano Principal Oi TV nível conta"),BENEFICIOS!$A:$G,5,0))),"Criar",IF(CA60="","",VLOOKUP(($BC60&amp;CA60&amp;"Template desconto FLAT Plano Principal Oi TV nível conta"),BENEFICIOS!$A:$G,5,0)))</f>
        <v/>
      </c>
      <c r="CC60" s="8"/>
      <c r="CD60" s="3" t="str">
        <f>IF(CC60=0,"",IF(CC60=VLOOKUP("PCS-OzTL743",ARBOR!$A:$C,3,0),0.0001,IF(CC60&gt;VLOOKUP("PCS-OzTL743",ARBOR!$A:$C,3,0),"Maior que CAP!",IF((DOLLAR(CC60+(VLOOKUP("PCS-OzTL743",ARBOR!$A:$C,3,0)*-TRUNC(CC60/VLOOKUP("PCS-OzTL743",ARBOR!$A:$C,3,0)-1,4)),6))&lt;&gt;(DOLLAR(VLOOKUP("PCS-OzTL743",ARBOR!$A:$C,3,0),6)),-TRUNC(CC60/VLOOKUP("PCS-OzTL743",ARBOR!$A:$C,3,0)-1,4)+0.0001,-TRUNC(CC60/VLOOKUP("PCS-OzTL743",ARBOR!$A:$C,3,0)-1,4)))))</f>
        <v/>
      </c>
      <c r="CE60" s="28" t="str">
        <f>IF(ISERROR(IF(CD60="","",VLOOKUP(($BC60&amp;CD60&amp;"Template desconto FLAT Plano Principal Oi TV nível conta"),BENEFICIOS!$A:$G,5,0))),"Criar",IF(CD60="","",VLOOKUP(($BC60&amp;CD60&amp;"Template desconto FLAT Plano Principal Oi TV nível conta"),BENEFICIOS!$A:$G,5,0)))</f>
        <v/>
      </c>
      <c r="CF60" s="8"/>
      <c r="CG60" s="3" t="str">
        <f>IF(CF60=0,"",IF(CF60=VLOOKUP("PCS-OzTL745",ARBOR!$A:$C,3,0),0.0001,IF(CF60&gt;VLOOKUP("PCS-OzTL745",ARBOR!$A:$C,3,0),"Maior que CAP!",IF((DOLLAR(CF60+(VLOOKUP("PCS-OzTL745",ARBOR!$A:$C,3,0)*-TRUNC(CF60/VLOOKUP("PCS-OzTL745",ARBOR!$A:$C,3,0)-1,4)),6))&lt;&gt;(DOLLAR(VLOOKUP("PCS-OzTL745",ARBOR!$A:$C,3,0),6)),-TRUNC(CF60/VLOOKUP("PCS-OzTL745",ARBOR!$A:$C,3,0)-1,4)+0.0001,-TRUNC(CF60/VLOOKUP("PCS-OzTL745",ARBOR!$A:$C,3,0)-1,4)))))</f>
        <v/>
      </c>
      <c r="CH60" s="28" t="str">
        <f>IF(ISERROR(IF(CG60="","",VLOOKUP(($BC60&amp;CG60&amp;"Template desconto FLAT Plano Principal Oi TV nível conta"),BENEFICIOS!$A:$G,5,0))),"Criar",IF(CG60="","",VLOOKUP(($BC60&amp;CG60&amp;"Template desconto FLAT Plano Principal Oi TV nível conta"),BENEFICIOS!$A:$G,5,0)))</f>
        <v/>
      </c>
      <c r="CI60" s="8"/>
      <c r="CJ60" s="3" t="str">
        <f>IF(CI60=0,"",IF(CI60=VLOOKUP("PCS-OzTL42",ARBOR!$A:$C,3,0),0.0001,IF(CI60&gt;VLOOKUP("PCS-OzTL42",ARBOR!$A:$C,3,0),"Maior que CAP!",IF((DOLLAR(CI60+(VLOOKUP("PCS-OzTL42",ARBOR!$A:$C,3,0)*-TRUNC(CI60/VLOOKUP("PCS-OzTL42",ARBOR!$A:$C,3,0)-1,4)),6))&lt;&gt;(DOLLAR(VLOOKUP("PCS-OzTL42",ARBOR!$A:$C,3,0),6)),-TRUNC(CI60/VLOOKUP("PCS-OzTL42",ARBOR!$A:$C,3,0)-1,4)+0.0001,-TRUNC(CI60/VLOOKUP("PCS-OzTL42",ARBOR!$A:$C,3,0)-1,4)))))</f>
        <v/>
      </c>
      <c r="CK60" s="28" t="str">
        <f>IF(ISERROR(IF(CJ60="","",VLOOKUP(($BC60&amp;CJ60&amp;"Template desconto FLAT Plano Principal Oi TV nível conta"),BENEFICIOS!$A:$G,5,0))),"Criar",IF(CJ60="","",VLOOKUP(($BC60&amp;CJ60&amp;"Template desconto FLAT Plano Principal Oi TV nível conta"),BENEFICIOS!$A:$G,5,0)))</f>
        <v/>
      </c>
      <c r="CL60" s="8"/>
      <c r="CM60" s="3" t="str">
        <f>IF(CL60=0,"",IF(CL60=VLOOKUP("PCS-OzTL47",ARBOR!$A:$C,3,0),0.0001,IF(CL60&gt;VLOOKUP("PCS-OzTL47",ARBOR!$A:$C,3,0),"Maior que CAP!",IF((DOLLAR(CL60+(VLOOKUP("PCS-OzTL47",ARBOR!$A:$C,3,0)*-TRUNC(CL60/VLOOKUP("PCS-OzTL47",ARBOR!$A:$C,3,0)-1,4)),6))&lt;&gt;(DOLLAR(VLOOKUP("PCS-OzTL47",ARBOR!$A:$C,3,0),6)),-TRUNC(CL60/VLOOKUP("PCS-OzTL47",ARBOR!$A:$C,3,0)-1,4)+0.0001,-TRUNC(CL60/VLOOKUP("PCS-OzTL47",ARBOR!$A:$C,3,0)-1,4)))))</f>
        <v/>
      </c>
      <c r="CN60" s="28" t="str">
        <f>IF(ISERROR(IF(CM60="","",VLOOKUP(($BC60&amp;CM60&amp;"Template desconto FLAT Plano Principal Oi TV nível conta"),BENEFICIOS!$A:$G,5,0))),"Criar",IF(CM60="","",VLOOKUP(($BC60&amp;CM60&amp;"Template desconto FLAT Plano Principal Oi TV nível conta"),BENEFICIOS!$A:$G,5,0)))</f>
        <v/>
      </c>
      <c r="CO60" s="8"/>
      <c r="CP60" s="3" t="str">
        <f>IF(CO60=0,"",IF(CO60=VLOOKUP("PCS-OzTL46",ARBOR!$A:$C,3,0),0.0001,IF(CO60&gt;VLOOKUP("PCS-OzTL46",ARBOR!$A:$C,3,0),"Maior que CAP!",IF((DOLLAR(CO60+(VLOOKUP("PCS-OzTL46",ARBOR!$A:$C,3,0)*-TRUNC(CO60/VLOOKUP("PCS-OzTL46",ARBOR!$A:$C,3,0)-1,4)),6))&lt;&gt;(DOLLAR(VLOOKUP("PCS-OzTL46",ARBOR!$A:$C,3,0),6)),-TRUNC(CO60/VLOOKUP("PCS-OzTL46",ARBOR!$A:$C,3,0)-1,4)+0.0001,-TRUNC(CO60/VLOOKUP("PCS-OzTL46",ARBOR!$A:$C,3,0)-1,4)))))</f>
        <v/>
      </c>
      <c r="CQ60" s="28" t="str">
        <f>IF(ISERROR(IF(CP60="","",VLOOKUP(($BC60&amp;CP60&amp;"Template desconto FLAT Plano Principal Oi TV nível conta"),BENEFICIOS!$A:$G,5,0))),"Criar",IF(CP60="","",VLOOKUP(($BC60&amp;CP60&amp;"Template desconto FLAT Plano Principal Oi TV nível conta"),BENEFICIOS!$A:$G,5,0)))</f>
        <v/>
      </c>
      <c r="CR60" s="8"/>
      <c r="CS60" s="3" t="str">
        <f>IF(CR60=0,"",IF(CR60=VLOOKUP("PCS-OzTL48",ARBOR!$A:$C,3,0),0.0001,IF(CR60&gt;VLOOKUP("PCS-OzTL48",ARBOR!$A:$C,3,0),"Maior que CAP!",IF((DOLLAR(CR60+(VLOOKUP("PCS-OzTL48",ARBOR!$A:$C,3,0)*-TRUNC(CR60/VLOOKUP("PCS-OzTL48",ARBOR!$A:$C,3,0)-1,4)),6))&lt;&gt;(DOLLAR(VLOOKUP("PCS-OzTL48",ARBOR!$A:$C,3,0),6)),-TRUNC(CR60/VLOOKUP("PCS-OzTL48",ARBOR!$A:$C,3,0)-1,4)+0.0001,-TRUNC(CR60/VLOOKUP("PCS-OzTL48",ARBOR!$A:$C,3,0)-1,4)))))</f>
        <v/>
      </c>
      <c r="CT60" s="28" t="str">
        <f>IF(ISERROR(IF(CS60="","",VLOOKUP(($BC60&amp;CS60&amp;"Template desconto FLAT Plano Principal Oi TV nível conta"),BENEFICIOS!$A:$G,5,0))),"Criar",IF(CS60="","",VLOOKUP(($BC60&amp;CS60&amp;"Template desconto FLAT Plano Principal Oi TV nível conta"),BENEFICIOS!$A:$G,5,0)))</f>
        <v/>
      </c>
      <c r="CU60" s="8"/>
      <c r="CV60" s="3" t="str">
        <f>IF(CU60=0,"",IF(CU60=VLOOKUP("PCS-OzTL742",ARBOR!$A:$C,3,0),0.0001,IF(CU60&gt;VLOOKUP("PCS-OzTL742",ARBOR!$A:$C,3,0),"Maior que CAP!",IF((DOLLAR(CU60+(VLOOKUP("PCS-OzTL742",ARBOR!$A:$C,3,0)*-TRUNC(CU60/VLOOKUP("PCS-OzTL742",ARBOR!$A:$C,3,0)-1,4)),6))&lt;&gt;(DOLLAR(VLOOKUP("PCS-OzTL742",ARBOR!$A:$C,3,0),6)),-TRUNC(CU60/VLOOKUP("PCS-OzTL742",ARBOR!$A:$C,3,0)-1,4)+0.0001,-TRUNC(CU60/VLOOKUP("PCS-OzTL742",ARBOR!$A:$C,3,0)-1,4)))))</f>
        <v/>
      </c>
      <c r="CW60" s="28" t="str">
        <f>IF(ISERROR(IF(CV60="","",VLOOKUP(($BC60&amp;CV60&amp;"Template desconto FLAT Plano Principal Oi TV nível conta"),BENEFICIOS!$A:$G,5,0))),"Criar",IF(CV60="","",VLOOKUP(($BC60&amp;CV60&amp;"Template desconto FLAT Plano Principal Oi TV nível conta"),BENEFICIOS!$A:$G,5,0)))</f>
        <v/>
      </c>
      <c r="CX60" s="8"/>
      <c r="CY60" s="3" t="str">
        <f>IF(CX60=0,"",IF(CX60=VLOOKUP("PCS-OzTL747",ARBOR!$A:$C,3,0),0.0001,IF(CX60&gt;VLOOKUP("PCS-OzTL747",ARBOR!$A:$C,3,0),"Maior que CAP!",IF((DOLLAR(CX60+(VLOOKUP("PCS-OzTL747",ARBOR!$A:$C,3,0)*-TRUNC(CX60/VLOOKUP("PCS-OzTL747",ARBOR!$A:$C,3,0)-1,4)),6))&lt;&gt;(DOLLAR(VLOOKUP("PCS-OzTL747",ARBOR!$A:$C,3,0),6)),-TRUNC(CX60/VLOOKUP("PCS-OzTL747",ARBOR!$A:$C,3,0)-1,4)+0.0001,-TRUNC(CX60/VLOOKUP("PCS-OzTL747",ARBOR!$A:$C,3,0)-1,4)))))</f>
        <v/>
      </c>
      <c r="CZ60" s="28" t="str">
        <f>IF(ISERROR(IF(CY60="","",VLOOKUP(($BC60&amp;CY60&amp;"Template desconto FLAT Plano Principal Oi TV nível conta"),BENEFICIOS!$A:$G,5,0))),"Criar",IF(CY60="","",VLOOKUP(($BC60&amp;CY60&amp;"Template desconto FLAT Plano Principal Oi TV nível conta"),BENEFICIOS!$A:$G,5,0)))</f>
        <v/>
      </c>
      <c r="DA60" s="8"/>
      <c r="DB60" s="3" t="str">
        <f>IF(DA60=0,"",IF(DA60=VLOOKUP("PCS-OzTL746",ARBOR!$A:$C,3,0),0.0001,IF(DA60&gt;VLOOKUP("PCS-OzTL746",ARBOR!$A:$C,3,0),"Maior que CAP!",IF((DOLLAR(DA60+(VLOOKUP("PCS-OzTL746",ARBOR!$A:$C,3,0)*-TRUNC(DA60/VLOOKUP("PCS-OzTL746",ARBOR!$A:$C,3,0)-1,4)),6))&lt;&gt;(DOLLAR(VLOOKUP("PCS-OzTL746",ARBOR!$A:$C,3,0),6)),-TRUNC(DA60/VLOOKUP("PCS-OzTL746",ARBOR!$A:$C,3,0)-1,4)+0.0001,-TRUNC(DA60/VLOOKUP("PCS-OzTL746",ARBOR!$A:$C,3,0)-1,4)))))</f>
        <v/>
      </c>
      <c r="DC60" s="28" t="str">
        <f>IF(ISERROR(IF(DB60="","",VLOOKUP(($BC60&amp;DB60&amp;"Template desconto FLAT Plano Principal Oi TV nível conta"),BENEFICIOS!$A:$G,5,0))),"Criar",IF(DB60="","",VLOOKUP(($BC60&amp;DB60&amp;"Template desconto FLAT Plano Principal Oi TV nível conta"),BENEFICIOS!$A:$G,5,0)))</f>
        <v/>
      </c>
      <c r="DD60" s="8"/>
      <c r="DE60" s="3" t="str">
        <f>IF(DD60=0,"",IF(DD60=VLOOKUP("PCS-OzTL748",ARBOR!$A:$C,3,0),0.0001,IF(DD60&gt;VLOOKUP("PCS-OzTL748",ARBOR!$A:$C,3,0),"Maior que CAP!",IF((DOLLAR(DD60+(VLOOKUP("PCS-OzTL748",ARBOR!$A:$C,3,0)*-TRUNC(DD60/VLOOKUP("PCS-OzTL748",ARBOR!$A:$C,3,0)-1,4)),6))&lt;&gt;(DOLLAR(VLOOKUP("PCS-OzTL748",ARBOR!$A:$C,3,0),6)),-TRUNC(DD60/VLOOKUP("PCS-OzTL748",ARBOR!$A:$C,3,0)-1,4)+0.0001,-TRUNC(DD60/VLOOKUP("PCS-OzTL748",ARBOR!$A:$C,3,0)-1,4)))))</f>
        <v/>
      </c>
      <c r="DF60" s="28" t="str">
        <f>IF(ISERROR(IF(DE60="","",VLOOKUP(($BC60&amp;DE60&amp;"Template desconto FLAT Plano Principal Oi TV nível conta"),BENEFICIOS!$A:$G,5,0))),"Criar",IF(DE60="","",VLOOKUP(($BC60&amp;DE60&amp;"Template desconto FLAT Plano Principal Oi TV nível conta"),BENEFICIOS!$A:$G,5,0)))</f>
        <v/>
      </c>
      <c r="DG60" s="8"/>
      <c r="DH60" s="3" t="str">
        <f>IF(DG60=0,"",IF(DG60=VLOOKUP("PCS-OzTL34",ARBOR!$A:$C,3,0),0.0001,IF(DG60&gt;VLOOKUP("PCS-OzTL34",ARBOR!$A:$C,3,0),"Maior que CAP!",IF((DOLLAR(DG60+(VLOOKUP("PCS-OzTL34",ARBOR!$A:$C,3,0)*-TRUNC(DG60/VLOOKUP("PCS-OzTL34",ARBOR!$A:$C,3,0)-1,4)),6))&lt;&gt;(DOLLAR(VLOOKUP("PCS-OzTL34",ARBOR!$A:$C,3,0),6)),-TRUNC(DG60/VLOOKUP("PCS-OzTL34",ARBOR!$A:$C,3,0)-1,4)+0.0001,-TRUNC(DG60/VLOOKUP("PCS-OzTL34",ARBOR!$A:$C,3,0)-1,4)))))</f>
        <v/>
      </c>
      <c r="DI60" s="28" t="str">
        <f>IF(DH60="S/Desc","S/Desc",IF(ISERROR(IF(DH60="","",VLOOKUP(($BC60&amp;DH60&amp;"Template desconto % Combate nível conta"),BENEFICIOS!$A:$G,5,0))),"Criar",IF(DH60="","",VLOOKUP(($BC60&amp;DH60&amp;"Template desconto % Combate nível conta"),BENEFICIOS!$A:$G,5,0))))</f>
        <v/>
      </c>
      <c r="DJ60" s="8"/>
      <c r="DK60" s="3" t="str">
        <f>IF(DJ60=0,"",IF(DJ60=VLOOKUP("PCS-OzTL31",ARBOR!$A:$C,3,0),0.0001,IF(DJ60&gt;VLOOKUP("PCS-OzTL31",ARBOR!$A:$C,3,0),"Maior que CAP!",IF((DOLLAR(DJ60+(VLOOKUP("PCS-OzTL31",ARBOR!$A:$C,3,0)*-TRUNC(DJ60/VLOOKUP("PCS-OzTL31",ARBOR!$A:$C,3,0)-1,4)),6))&lt;&gt;(DOLLAR(VLOOKUP("PCS-OzTL31",ARBOR!$A:$C,3,0),6)),-TRUNC(DJ60/VLOOKUP("PCS-OzTL31",ARBOR!$A:$C,3,0)-1,4)+0.0001,-TRUNC(DJ60/VLOOKUP("PCS-OzTL31",ARBOR!$A:$C,3,0)-1,4)))))</f>
        <v/>
      </c>
      <c r="DL60" s="28" t="str">
        <f>IF(DK60="S/Desc","S/Desc",IF(ISERROR(IF(DK60="","",VLOOKUP(($BC60&amp;DK60&amp;"Template desconto % Sexy Hot nível conta"),BENEFICIOS!$A:$G,5,0))),"Criar",IF(DK60="","",VLOOKUP(($BC60&amp;DK60&amp;"Template desconto % Sexy Hot nível conta"),BENEFICIOS!$A:$G,5,0))))</f>
        <v/>
      </c>
      <c r="DM60" s="8"/>
      <c r="DN60" s="3" t="str">
        <f>IF(DM60=0,"",IF(DM60=VLOOKUP("PCS-OzTL32",ARBOR!$A:$C,3,0),0.0001,IF(DM60&gt;VLOOKUP("PCS-OzTL32",ARBOR!$A:$C,3,0),"Maior que CAP!",IF((DOLLAR(DM60+(VLOOKUP("PCS-OzTL32",ARBOR!$A:$C,3,0)*-TRUNC(DM60/VLOOKUP("PCS-OzTL32",ARBOR!$A:$C,3,0)-1,4)),6))&lt;&gt;(DOLLAR(VLOOKUP("PCS-OzTL32",ARBOR!$A:$C,3,0),6)),-TRUNC(DM60/VLOOKUP("PCS-OzTL32",ARBOR!$A:$C,3,0)-1,4)+0.0001,-TRUNC(DM60/VLOOKUP("PCS-OzTL32",ARBOR!$A:$C,3,0)-1,4)))))</f>
        <v/>
      </c>
      <c r="DO60" s="28" t="str">
        <f>IF(DN60="S/Desc","S/Desc",IF(ISERROR(IF(DN60="","",VLOOKUP(($BC60&amp;DN60&amp;"Template desconto % Playboy nível conta"),BENEFICIOS!$A:$G,5,0))),"Criar",IF(DN60="","",VLOOKUP(($BC60&amp;DN60&amp;"Template desconto % Playboy nível conta"),BENEFICIOS!$A:$G,5,0))))</f>
        <v/>
      </c>
      <c r="DP60" s="8"/>
      <c r="DQ60" s="3" t="str">
        <f>IF(DP60=0,"",IF(DP60=VLOOKUP("PCS-OzTL33",ARBOR!$A:$C,3,0),0.0001,IF(DP60&gt;VLOOKUP("PCS-OzTL33",ARBOR!$A:$C,3,0),"Maior que CAP!",IF((DOLLAR(DP60+(VLOOKUP("PCS-OzTL33",ARBOR!$A:$C,3,0)*-TRUNC(DP60/VLOOKUP("PCS-OzTL33",ARBOR!$A:$C,3,0)-1,4)),6))&lt;&gt;(DOLLAR(VLOOKUP("PCS-OzTL33",ARBOR!$A:$C,3,0),6)),-TRUNC(DP60/VLOOKUP("PCS-OzTL33",ARBOR!$A:$C,3,0)-1,4)+0.0001,-TRUNC(DP60/VLOOKUP("PCS-OzTL33",ARBOR!$A:$C,3,0)-1,4)))))</f>
        <v/>
      </c>
      <c r="DR60" s="28" t="str">
        <f>IF(DQ60="S/Desc","S/Desc",IF(ISERROR(IF(DQ60="","",VLOOKUP(($BC60&amp;DQ60&amp;"Template desconto % Sexy Hot + Playboy nível conta"),BENEFICIOS!$A:$G,5,0))),"Criar",IF(DQ60="","",VLOOKUP(($BC60&amp;DQ60&amp;"Template desconto % Sexy Hot + Playboy nível conta"),BENEFICIOS!$A:$G,5,0))))</f>
        <v/>
      </c>
      <c r="DS60" s="8"/>
      <c r="DT60" s="3" t="str">
        <f>IF(DS60=0,"",IF(DS60=VLOOKUP("PCS-OzTL503",ARBOR!$A:$C,3,0),0.0001,IF(DS60&gt;VLOOKUP("PCS-OzTL503",ARBOR!$A:$C,3,0),"Maior que CAP!",IF((DOLLAR(DS60+(VLOOKUP("PCS-OzTL503",ARBOR!$A:$C,3,0)*-TRUNC(DS60/VLOOKUP("PCS-OzTL503",ARBOR!$A:$C,3,0)-1,4)),6))&lt;&gt;(DOLLAR(VLOOKUP("PCS-OzTL503",ARBOR!$A:$C,3,0),6)),-TRUNC(DS60/VLOOKUP("PCS-OzTL503",ARBOR!$A:$C,3,0)-1,4)+0.0001,-TRUNC(DS60/VLOOKUP("PCS-OzTL503",ARBOR!$A:$C,3,0)-1,4)))))</f>
        <v/>
      </c>
      <c r="DU60" s="28" t="str">
        <f>IF(DT60="S/Desc","S/Desc",IF(ISERROR(IF(DT60="","",VLOOKUP(($BC60&amp;DT60&amp;"Template desconto % SexPrivê nível conta"),BENEFICIOS!$A:$G,5,0))),"Criar",IF(DT60="","",VLOOKUP(($BC60&amp;DT60&amp;"Template desconto % SexPrivê nível conta"),BENEFICIOS!$A:$G,5,0))))</f>
        <v/>
      </c>
      <c r="DV60" s="8"/>
      <c r="DW60" s="3" t="str">
        <f>IF(DV60=0,"",IF(DV60=VLOOKUP("PCS-OzTL500",ARBOR!$A:$C,3,0),0.0001,IF(DV60&gt;VLOOKUP("PCS-OzTL500",ARBOR!$A:$C,3,0),"Maior que CAP!",IF((DOLLAR(DV60+(VLOOKUP("PCS-OzTL500",ARBOR!$A:$C,3,0)*-TRUNC(DV60/VLOOKUP("PCS-OzTL500",ARBOR!$A:$C,3,0)-1,4)),6))&lt;&gt;(DOLLAR(VLOOKUP("PCS-OzTL500",ARBOR!$A:$C,3,0),6)),-TRUNC(DV60/VLOOKUP("PCS-OzTL500",ARBOR!$A:$C,3,0)-1,4)+0.0001,-TRUNC(DV60/VLOOKUP("PCS-OzTL500",ARBOR!$A:$C,3,0)-1,4)))))</f>
        <v/>
      </c>
      <c r="DX60" s="28" t="str">
        <f>IF(DW60="S/Desc","S/Desc",IF(ISERROR(IF(DW60="","",VLOOKUP(($BC60&amp;DW60&amp;"Template desconto % Étnico nível conta"),BENEFICIOS!$A:$G,5,0))),"Criar",IF(DW60="","",VLOOKUP(($BC60&amp;DW60&amp;"Template desconto % Étnico nível conta"),BENEFICIOS!$A:$G,5,0))))</f>
        <v/>
      </c>
      <c r="DY60" s="8"/>
      <c r="DZ60" s="181" t="str">
        <f>IF(DY60=0,"",IF(DY60=VLOOKUP("PCS-OzTL50",ARBOR!$A:$C,3,0),0.0001,IF(DY60&gt;VLOOKUP("PCS-OzTL50",ARBOR!$A:$C,3,0),"Maior que CAP!",IF((DOLLAR(DY60+(VLOOKUP("PCS-OzTL50",ARBOR!$A:$C,3,0)*-TRUNC(DY60/VLOOKUP("PCS-OzTL50",ARBOR!$A:$C,3,0)-1,4)),6))&lt;&gt;(DOLLAR(VLOOKUP("PCS-OzTL50",ARBOR!$A:$C,3,0),6)),-TRUNC(DY60/VLOOKUP("PCS-OzTL50",ARBOR!$A:$C,3,0)-1,4)+0.0001,-TRUNC(DY60/VLOOKUP("PCS-OzTL50",ARBOR!$A:$C,3,0)-1,4)))))</f>
        <v/>
      </c>
      <c r="EA60" s="28"/>
      <c r="EB60" s="8"/>
      <c r="EC60" s="181" t="str">
        <f>IF(EB60=0,"",IF(EB60=VLOOKUP("PCS-OzTL51",ARBOR!$A:$C,3,0),0.0001,IF(EB60&gt;VLOOKUP("PCS-OzTL51",ARBOR!$A:$C,3,0),"Maior que CAP!",IF((DOLLAR(EB60+(VLOOKUP("PCS-OzTL51",ARBOR!$A:$C,3,0)*-TRUNC(EB60/VLOOKUP("PCS-OzTL51",ARBOR!$A:$C,3,0)-1,4)),6))&lt;&gt;(DOLLAR(VLOOKUP("PCS-OzTL51",ARBOR!$A:$C,3,0),6)),-TRUNC(EB60/VLOOKUP("PCS-OzTL51",ARBOR!$A:$C,3,0)-1,4)+0.0001,-TRUNC(EB60/VLOOKUP("PCS-OzTL51",ARBOR!$A:$C,3,0)-1,4)))))</f>
        <v/>
      </c>
      <c r="ED60" s="28"/>
      <c r="EE60" s="8"/>
      <c r="EF60" s="181" t="str">
        <f>IF(EE60=0,"",IF(EE60=VLOOKUP("PCS-OzTL52",ARBOR!$A:$C,3,0),0.0001,IF(EE60&gt;VLOOKUP("PCS-OzTL52",ARBOR!$A:$C,3,0),"Maior que CAP!",IF((DOLLAR(EE60+(VLOOKUP("PCS-OzTL52",ARBOR!$A:$C,3,0)*-TRUNC(EE60/VLOOKUP("PCS-OzTL52",ARBOR!$A:$C,3,0)-1,4)),6))&lt;&gt;(DOLLAR(VLOOKUP("PCS-OzTL52",ARBOR!$A:$C,3,0),6)),-TRUNC(EE60/VLOOKUP("PCS-OzTL52",ARBOR!$A:$C,3,0)-1,4)+0.0001,-TRUNC(EE60/VLOOKUP("PCS-OzTL52",ARBOR!$A:$C,3,0)-1,4)))))</f>
        <v/>
      </c>
      <c r="EG60" s="28"/>
      <c r="EH60" s="8"/>
      <c r="EI60" s="181" t="str">
        <f>IF(EH60=0,"",IF(EH60=VLOOKUP("PCS-OzTL53",ARBOR!$A:$C,3,0),0.0001,IF(EH60&gt;VLOOKUP("PCS-OzTL53",ARBOR!$A:$C,3,0),"Maior que CAP!",IF((DOLLAR(EH60+(VLOOKUP("PCS-OzTL53",ARBOR!$A:$C,3,0)*-TRUNC(EH60/VLOOKUP("PCS-OzTL53",ARBOR!$A:$C,3,0)-1,4)),6))&lt;&gt;(DOLLAR(VLOOKUP("PCS-OzTL53",ARBOR!$A:$C,3,0),6)),-TRUNC(EH60/VLOOKUP("PCS-OzTL53",ARBOR!$A:$C,3,0)-1,4)+0.0001,-TRUNC(EH60/VLOOKUP("PCS-OzTL53",ARBOR!$A:$C,3,0)-1,4)))))</f>
        <v/>
      </c>
      <c r="EJ60" s="28"/>
      <c r="EK60" s="8"/>
      <c r="EL60" s="181" t="str">
        <f>IF(EK60=0,"",IF(EK60=VLOOKUP("PCS-OzTL54",ARBOR!$A:$C,3,0),0.0001,IF(EK60&gt;VLOOKUP("PCS-OzTL54",ARBOR!$A:$C,3,0),"Maior que CAP!",IF((DOLLAR(EK60+(VLOOKUP("PCS-OzTL54",ARBOR!$A:$C,3,0)*-TRUNC(EK60/VLOOKUP("PCS-OzTL54",ARBOR!$A:$C,3,0)-1,4)),6))&lt;&gt;(DOLLAR(VLOOKUP("PCS-OzTL54",ARBOR!$A:$C,3,0),6)),-TRUNC(EK60/VLOOKUP("PCS-OzTL54",ARBOR!$A:$C,3,0)-1,4)+0.0001,-TRUNC(EK60/VLOOKUP("PCS-OzTL54",ARBOR!$A:$C,3,0)-1,4)))))</f>
        <v/>
      </c>
      <c r="EM60" s="28"/>
      <c r="EN60" s="8"/>
      <c r="EO60" s="3" t="str">
        <f>IF(EN60=0,"",IF(EN60=VLOOKUP("PCS-OzTL99",ARBOR!$A:$C,3,0),0.0001,IF(EN60&gt;VLOOKUP("PCS-OzTL99",ARBOR!$A:$C,3,0),"Maior que CAP!",IF((DOLLAR(EN60+(VLOOKUP("PCS-OzTL99",ARBOR!$A:$C,3,0)*-TRUNC(EN60/VLOOKUP("PCS-OzTL99",ARBOR!$A:$C,3,0)-1,4)),6))&lt;&gt;(DOLLAR(VLOOKUP("PCS-OzTL99",ARBOR!$A:$C,3,0),6)),-TRUNC(EN60/VLOOKUP("PCS-OzTL99",ARBOR!$A:$C,3,0)-1,4)+0.0001,-TRUNC(EN60/VLOOKUP("PCS-OzTL99",ARBOR!$A:$C,3,0)-1,4)))))</f>
        <v/>
      </c>
      <c r="EP60" s="28" t="str">
        <f>IF(EO60="S/Desc","S/Desc",IF(ISERROR(IF(EO60="","",VLOOKUP(($BC60&amp;EO60&amp;"Template desconto % Ponto adicional nível conta"),BENEFICIOS!$A:$G,5,0))),"Criar",IF(EO60="","",VLOOKUP(($BC60&amp;EO60&amp;"Template desconto % Ponto adicional nível conta"),BENEFICIOS!$A:$G,5,0))))</f>
        <v/>
      </c>
      <c r="EQ60" s="8"/>
      <c r="ER60" s="28" t="str">
        <f t="shared" si="23"/>
        <v/>
      </c>
      <c r="ES60" s="62"/>
      <c r="ET60" s="126"/>
      <c r="EU60" s="127"/>
      <c r="EV60" s="126"/>
      <c r="EW60" s="128" t="str">
        <f t="shared" si="24"/>
        <v/>
      </c>
      <c r="EX60" s="129" t="str">
        <f t="shared" si="25"/>
        <v/>
      </c>
      <c r="EY60" s="91" t="str">
        <f t="shared" si="26"/>
        <v/>
      </c>
      <c r="EZ60" s="85"/>
      <c r="FA60" s="97"/>
      <c r="FB60" s="91"/>
      <c r="FC60" s="85"/>
      <c r="FD60" s="97"/>
      <c r="FE60" s="91"/>
      <c r="FF60" s="87"/>
      <c r="FG60" s="144" t="str">
        <f t="shared" si="5"/>
        <v/>
      </c>
      <c r="FH60" s="144" t="str">
        <f t="shared" si="6"/>
        <v/>
      </c>
      <c r="FI60" s="144" t="str">
        <f t="shared" si="7"/>
        <v/>
      </c>
      <c r="FJ60" s="144" t="str">
        <f t="shared" si="8"/>
        <v/>
      </c>
      <c r="FK60" s="144" t="str">
        <f t="shared" si="9"/>
        <v/>
      </c>
      <c r="FL60" s="144" t="str">
        <f t="shared" si="10"/>
        <v/>
      </c>
      <c r="FM60" s="144" t="str">
        <f t="shared" si="11"/>
        <v/>
      </c>
      <c r="FN60" s="144" t="str">
        <f t="shared" si="12"/>
        <v/>
      </c>
      <c r="FO60" s="144" t="str">
        <f t="shared" si="13"/>
        <v/>
      </c>
      <c r="FP60" s="144" t="str">
        <f t="shared" si="14"/>
        <v/>
      </c>
      <c r="FQ60" s="144" t="str">
        <f t="shared" si="15"/>
        <v/>
      </c>
      <c r="FR60" s="144" t="str">
        <f t="shared" si="16"/>
        <v/>
      </c>
      <c r="FS60" s="144" t="str">
        <f t="shared" si="17"/>
        <v/>
      </c>
      <c r="FT60" s="144" t="str">
        <f t="shared" si="18"/>
        <v/>
      </c>
      <c r="FU60" s="144" t="str">
        <f t="shared" si="19"/>
        <v/>
      </c>
      <c r="FV60" s="144" t="str">
        <f t="shared" si="20"/>
        <v/>
      </c>
      <c r="FW60" s="144" t="str">
        <f t="shared" si="21"/>
        <v/>
      </c>
      <c r="FX60" s="151"/>
      <c r="FY60" s="152"/>
      <c r="FZ60" s="152"/>
      <c r="GA60" s="152"/>
      <c r="GB60" s="152"/>
      <c r="GC60" s="152"/>
      <c r="GD60" s="152"/>
      <c r="GE60" s="152"/>
      <c r="GF60" s="152"/>
      <c r="GG60" s="153"/>
    </row>
    <row r="61" spans="1:189">
      <c r="A61" s="45"/>
      <c r="B61" s="133"/>
      <c r="C61" s="133"/>
      <c r="D61" s="46"/>
      <c r="E61" s="4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9"/>
      <c r="U61" s="48"/>
      <c r="V61" s="49"/>
      <c r="W61" s="48"/>
      <c r="X61" s="48"/>
      <c r="Y61" s="48"/>
      <c r="Z61" s="48"/>
      <c r="AA61" s="49"/>
      <c r="AB61" s="48"/>
      <c r="AC61" s="50"/>
      <c r="AD61" s="48"/>
      <c r="AE61" s="48"/>
      <c r="AF61" s="48"/>
      <c r="AG61" s="48"/>
      <c r="AH61" s="48"/>
      <c r="AI61" s="48"/>
      <c r="AJ61" s="48"/>
      <c r="AK61" s="48"/>
      <c r="AL61" s="51"/>
      <c r="AM61" s="37"/>
      <c r="AN61" s="38"/>
      <c r="AO61" s="39"/>
      <c r="AP61" s="52"/>
      <c r="AQ61" s="53"/>
      <c r="AR61" s="64"/>
      <c r="AS61" s="65"/>
      <c r="AT61" s="54"/>
      <c r="AU61" s="54"/>
      <c r="AV61" s="54"/>
      <c r="AW61" s="54"/>
      <c r="AX61" s="70"/>
      <c r="AY61" s="71"/>
      <c r="AZ61" s="72"/>
      <c r="BA61" s="73"/>
      <c r="BB61" s="55"/>
      <c r="BC61" s="56"/>
      <c r="BD61" s="27" t="str">
        <f t="shared" si="22"/>
        <v/>
      </c>
      <c r="BE61" s="58"/>
      <c r="BF61" s="3" t="str">
        <f>IF(BE61=0,"",IF(BE61=VLOOKUP("FIXO",ARBOR!$A:$C,3,0),0.0001,IF(BE61&gt;VLOOKUP("FIXO",ARBOR!$A:$C,3,0),"Maior que CAP!",IF((DOLLAR(BE61+(VLOOKUP("FIXO",ARBOR!$A:$C,3,0)*-TRUNC(BE61/VLOOKUP("FIXO",ARBOR!$A:$C,3,0)-1,4)),6))&lt;&gt;(DOLLAR(VLOOKUP("FIXO",ARBOR!$A:$C,3,0),6)),-TRUNC(BE61/VLOOKUP("FIXO",ARBOR!$A:$C,3,0)-1,4)+0.0001,-TRUNC(BE61/VLOOKUP("FIXO",ARBOR!$A:$C,3,0)-1,4)))))</f>
        <v/>
      </c>
      <c r="BG61" s="10" t="str">
        <f>IF(ISERROR(IF(BF61="","",VLOOKUP(($BC61&amp;BF61&amp;"Template de desconto FLAT bundle - Fixo - Varejo - Ganho Tributário Cross"),BENEFICIOS!$A:$G,5,0))),"Criar",IF(BF61="","",VLOOKUP(($BC61&amp;BF61&amp;"Template de desconto FLAT bundle - Fixo - Varejo - Ganho Tributário Cross"),BENEFICIOS!$A:$G,5,0)))</f>
        <v/>
      </c>
      <c r="BH61" s="8"/>
      <c r="BI61" s="3" t="str">
        <f>IF(BH61=0,"",IF(BH61=VLOOKUP("PCS-OzTL40",ARBOR!$A:$C,3,0),0.0001,IF(BH61&gt;VLOOKUP("PCS-OzTL40",ARBOR!$A:$C,3,0),"Maior que CAP!",IF((DOLLAR(BH61+(VLOOKUP("PCS-OzTL40",ARBOR!$A:$C,3,0)*-TRUNC(BH61/VLOOKUP("PCS-OzTL40",ARBOR!$A:$C,3,0)-1,4)),6))&lt;&gt;(DOLLAR(VLOOKUP("PCS-OzTL40",ARBOR!$A:$C,3,0),6)),-TRUNC(BH61/VLOOKUP("PCS-OzTL40",ARBOR!$A:$C,3,0)-1,4)+0.0001,-TRUNC(BH61/VLOOKUP("PCS-OzTL40",ARBOR!$A:$C,3,0)-1,4)))))</f>
        <v/>
      </c>
      <c r="BJ61" s="10" t="str">
        <f>IF(ISERROR(IF(BI61="","",VLOOKUP((BC61&amp;BI61&amp;"Template desconto FLAT Plano Principal Oi TV nível conta"),BENEFICIOS!$A:$G,5,0))),"Criar",IF(BI61="","",VLOOKUP((BC61&amp;BI61&amp;"Template desconto FLAT Plano Principal Oi TV nível conta"),BENEFICIOS!$A:$G,5,0)))</f>
        <v/>
      </c>
      <c r="BK61" s="8"/>
      <c r="BL61" s="3" t="str">
        <f>IF(BK61=0,"",IF(BK61=VLOOKUP("PCS-OzTL41",ARBOR!$A:$C,3,0),0.0001,IF(BK61&gt;VLOOKUP("PCS-OzTL41",ARBOR!$A:$C,3,0),"Maior que CAP!",IF((DOLLAR(BK61+(VLOOKUP("PCS-OzTL41",ARBOR!$A:$C,3,0)*-TRUNC(BK61/VLOOKUP("PCS-OzTL41",ARBOR!$A:$C,3,0)-1,4)),6))&lt;&gt;(DOLLAR(VLOOKUP("PCS-OzTL41",ARBOR!$A:$C,3,0),6)),-TRUNC(BK61/VLOOKUP("PCS-OzTL41",ARBOR!$A:$C,3,0)-1,4)+0.0001,-TRUNC(BK61/VLOOKUP("PCS-OzTL41",ARBOR!$A:$C,3,0)-1,4)))))</f>
        <v/>
      </c>
      <c r="BM61" s="28" t="str">
        <f>IF(ISERROR(IF(BL61="","",VLOOKUP((BC61&amp;BL61&amp;"Template desconto FLAT Plano Principal Oi TV nível conta"),BENEFICIOS!$A:$G,5,0))),"Criar",IF(BL61="","",VLOOKUP((BC61&amp;BL61&amp;"Template desconto FLAT Plano Principal Oi TV nível conta"),BENEFICIOS!$A:$G,5,0)))</f>
        <v/>
      </c>
      <c r="BN61" s="8"/>
      <c r="BO61" s="3" t="str">
        <f>IF(BN61=0,"",IF(BN61=VLOOKUP("PCS-OzTL44",ARBOR!$A:$C,3,0),0.0001,IF(BN61&gt;VLOOKUP("PCS-OzTL44",ARBOR!$A:$C,3,0),"Maior que CAP!",IF((DOLLAR(BN61+(VLOOKUP("PCS-OzTL44",ARBOR!$A:$C,3,0)*-TRUNC(BN61/VLOOKUP("PCS-OzTL44",ARBOR!$A:$C,3,0)-1,4)),6))&lt;&gt;(DOLLAR(VLOOKUP("PCS-OzTL44",ARBOR!$A:$C,3,0),6)),-TRUNC(BN61/VLOOKUP("PCS-OzTL44",ARBOR!$A:$C,3,0)-1,4)+0.0001,-TRUNC(BN61/VLOOKUP("PCS-OzTL44",ARBOR!$A:$C,3,0)-1,4)))))</f>
        <v/>
      </c>
      <c r="BP61" s="28" t="str">
        <f>IF(ISERROR(IF(BO61="","",VLOOKUP((BC61&amp;BO61&amp;"Template desconto FLAT Plano Principal Oi TV nível conta"),BENEFICIOS!$A:$G,5,0))),"Criar",IF(BO61="","",VLOOKUP((BC61&amp;BO61&amp;"Template desconto FLAT Plano Principal Oi TV nível conta"),BENEFICIOS!$A:$G,5,0)))</f>
        <v/>
      </c>
      <c r="BQ61" s="8"/>
      <c r="BR61" s="3" t="str">
        <f>IF(BQ61=0,"",IF(BQ61=VLOOKUP("PCS-OzTL43",ARBOR!$A:$C,3,0),0.0001,IF(BQ61&gt;VLOOKUP("PCS-OzTL43",ARBOR!$A:$C,3,0),"Maior que CAP!",IF((DOLLAR(BQ61+(VLOOKUP("PCS-OzTL43",ARBOR!$A:$C,3,0)*-TRUNC(BQ61/VLOOKUP("PCS-OzTL43",ARBOR!$A:$C,3,0)-1,4)),6))&lt;&gt;(DOLLAR(VLOOKUP("PCS-OzTL43",ARBOR!$A:$C,3,0),6)),-TRUNC(BQ61/VLOOKUP("PCS-OzTL43",ARBOR!$A:$C,3,0)-1,4)+0.0001,-TRUNC(BQ61/VLOOKUP("PCS-OzTL43",ARBOR!$A:$C,3,0)-1,4)))))</f>
        <v/>
      </c>
      <c r="BS61" s="28" t="str">
        <f>IF(ISERROR(IF(BR61="","",VLOOKUP((BC61&amp;BR61&amp;"Template desconto FLAT Plano Principal Oi TV nível conta"),BENEFICIOS!$A:$G,5,0))),"Criar",IF(BR61="","",VLOOKUP((BC61&amp;BR61&amp;"Template desconto FLAT Plano Principal Oi TV nível conta"),BENEFICIOS!$A:$G,5,0)))</f>
        <v/>
      </c>
      <c r="BT61" s="8"/>
      <c r="BU61" s="3" t="str">
        <f>IF(BT61=0,"",IF(BT61=VLOOKUP("PCS-OzTL45",ARBOR!$A:$C,3,0),0.0001,IF(BT61&gt;VLOOKUP("PCS-OzTL45",ARBOR!$A:$C,3,0),"Maior que CAP!",IF((DOLLAR(BT61+(VLOOKUP("PCS-OzTL45",ARBOR!$A:$C,3,0)*-TRUNC(BT61/VLOOKUP("PCS-OzTL45",ARBOR!$A:$C,3,0)-1,4)),6))&lt;&gt;(DOLLAR(VLOOKUP("PCS-OzTL45",ARBOR!$A:$C,3,0),6)),-TRUNC(BT61/VLOOKUP("PCS-OzTL45",ARBOR!$A:$C,3,0)-1,4)+0.0001,-TRUNC(BT61/VLOOKUP("PCS-OzTL45",ARBOR!$A:$C,3,0)-1,4)))))</f>
        <v/>
      </c>
      <c r="BV61" s="28" t="str">
        <f>IF(ISERROR(IF(BU61="","",VLOOKUP((BC61&amp;BU61&amp;"Template desconto FLAT Plano Principal Oi TV nível conta"),BENEFICIOS!$A:$G,5,0))),"Criar",IF(BU61="","",VLOOKUP((BC61&amp;BU61&amp;"Template desconto FLAT Plano Principal Oi TV nível conta"),BENEFICIOS!$A:$G,5,0)))</f>
        <v/>
      </c>
      <c r="BW61" s="8"/>
      <c r="BX61" s="3" t="str">
        <f>IF(BW61=0,"",IF(BW61=VLOOKUP("PCS-OzTL741",ARBOR!$A:$C,3,0),0.0001,IF(BW61&gt;VLOOKUP("PCS-OzTL741",ARBOR!$A:$C,3,0),"Maior que CAP!",IF((DOLLAR(BW61+(VLOOKUP("PCS-OzTL741",ARBOR!$A:$C,3,0)*-TRUNC(BW61/VLOOKUP("PCS-OzTL741",ARBOR!$A:$C,3,0)-1,4)),6))&lt;&gt;(DOLLAR(VLOOKUP("PCS-OzTL741",ARBOR!$A:$C,3,0),6)),-TRUNC(BW61/VLOOKUP("PCS-OzTL741",ARBOR!$A:$C,3,0)-1,4)+0.0001,-TRUNC(BW61/VLOOKUP("PCS-OzTL741",ARBOR!$A:$C,3,0)-1,4)))))</f>
        <v/>
      </c>
      <c r="BY61" s="28" t="str">
        <f>IF(ISERROR(IF(BX61="","",VLOOKUP((BC61&amp;BX61&amp;"Template desconto FLAT Plano Principal Oi TV nível conta"),BENEFICIOS!$A:$G,5,0))),"Criar",IF(BX61="","",VLOOKUP((BC61&amp;BX61&amp;"Template desconto FLAT Plano Principal Oi TV nível conta"),BENEFICIOS!$A:$G,5,0)))</f>
        <v/>
      </c>
      <c r="BZ61" s="8"/>
      <c r="CA61" s="3" t="str">
        <f>IF(BZ61=0,"",IF(BZ61=VLOOKUP("PCS-OzTL744",ARBOR!$A:$C,3,0),0.0001,IF(BZ61&gt;VLOOKUP("PCS-OzTL744",ARBOR!$A:$C,3,0),"Maior que CAP!",IF((DOLLAR(BZ61+(VLOOKUP("PCS-OzTL744",ARBOR!$A:$C,3,0)*-TRUNC(BZ61/VLOOKUP("PCS-OzTL744",ARBOR!$A:$C,3,0)-1,4)),6))&lt;&gt;(DOLLAR(VLOOKUP("PCS-OzTL744",ARBOR!$A:$C,3,0),6)),-TRUNC(BZ61/VLOOKUP("PCS-OzTL744",ARBOR!$A:$C,3,0)-1,4)+0.0001,-TRUNC(BZ61/VLOOKUP("PCS-OzTL744",ARBOR!$A:$C,3,0)-1,4)))))</f>
        <v/>
      </c>
      <c r="CB61" s="28" t="str">
        <f>IF(ISERROR(IF(CA61="","",VLOOKUP(($BC61&amp;CA61&amp;"Template desconto FLAT Plano Principal Oi TV nível conta"),BENEFICIOS!$A:$G,5,0))),"Criar",IF(CA61="","",VLOOKUP(($BC61&amp;CA61&amp;"Template desconto FLAT Plano Principal Oi TV nível conta"),BENEFICIOS!$A:$G,5,0)))</f>
        <v/>
      </c>
      <c r="CC61" s="8"/>
      <c r="CD61" s="3" t="str">
        <f>IF(CC61=0,"",IF(CC61=VLOOKUP("PCS-OzTL743",ARBOR!$A:$C,3,0),0.0001,IF(CC61&gt;VLOOKUP("PCS-OzTL743",ARBOR!$A:$C,3,0),"Maior que CAP!",IF((DOLLAR(CC61+(VLOOKUP("PCS-OzTL743",ARBOR!$A:$C,3,0)*-TRUNC(CC61/VLOOKUP("PCS-OzTL743",ARBOR!$A:$C,3,0)-1,4)),6))&lt;&gt;(DOLLAR(VLOOKUP("PCS-OzTL743",ARBOR!$A:$C,3,0),6)),-TRUNC(CC61/VLOOKUP("PCS-OzTL743",ARBOR!$A:$C,3,0)-1,4)+0.0001,-TRUNC(CC61/VLOOKUP("PCS-OzTL743",ARBOR!$A:$C,3,0)-1,4)))))</f>
        <v/>
      </c>
      <c r="CE61" s="28" t="str">
        <f>IF(ISERROR(IF(CD61="","",VLOOKUP(($BC61&amp;CD61&amp;"Template desconto FLAT Plano Principal Oi TV nível conta"),BENEFICIOS!$A:$G,5,0))),"Criar",IF(CD61="","",VLOOKUP(($BC61&amp;CD61&amp;"Template desconto FLAT Plano Principal Oi TV nível conta"),BENEFICIOS!$A:$G,5,0)))</f>
        <v/>
      </c>
      <c r="CF61" s="8"/>
      <c r="CG61" s="3" t="str">
        <f>IF(CF61=0,"",IF(CF61=VLOOKUP("PCS-OzTL745",ARBOR!$A:$C,3,0),0.0001,IF(CF61&gt;VLOOKUP("PCS-OzTL745",ARBOR!$A:$C,3,0),"Maior que CAP!",IF((DOLLAR(CF61+(VLOOKUP("PCS-OzTL745",ARBOR!$A:$C,3,0)*-TRUNC(CF61/VLOOKUP("PCS-OzTL745",ARBOR!$A:$C,3,0)-1,4)),6))&lt;&gt;(DOLLAR(VLOOKUP("PCS-OzTL745",ARBOR!$A:$C,3,0),6)),-TRUNC(CF61/VLOOKUP("PCS-OzTL745",ARBOR!$A:$C,3,0)-1,4)+0.0001,-TRUNC(CF61/VLOOKUP("PCS-OzTL745",ARBOR!$A:$C,3,0)-1,4)))))</f>
        <v/>
      </c>
      <c r="CH61" s="28" t="str">
        <f>IF(ISERROR(IF(CG61="","",VLOOKUP(($BC61&amp;CG61&amp;"Template desconto FLAT Plano Principal Oi TV nível conta"),BENEFICIOS!$A:$G,5,0))),"Criar",IF(CG61="","",VLOOKUP(($BC61&amp;CG61&amp;"Template desconto FLAT Plano Principal Oi TV nível conta"),BENEFICIOS!$A:$G,5,0)))</f>
        <v/>
      </c>
      <c r="CI61" s="8"/>
      <c r="CJ61" s="3" t="str">
        <f>IF(CI61=0,"",IF(CI61=VLOOKUP("PCS-OzTL42",ARBOR!$A:$C,3,0),0.0001,IF(CI61&gt;VLOOKUP("PCS-OzTL42",ARBOR!$A:$C,3,0),"Maior que CAP!",IF((DOLLAR(CI61+(VLOOKUP("PCS-OzTL42",ARBOR!$A:$C,3,0)*-TRUNC(CI61/VLOOKUP("PCS-OzTL42",ARBOR!$A:$C,3,0)-1,4)),6))&lt;&gt;(DOLLAR(VLOOKUP("PCS-OzTL42",ARBOR!$A:$C,3,0),6)),-TRUNC(CI61/VLOOKUP("PCS-OzTL42",ARBOR!$A:$C,3,0)-1,4)+0.0001,-TRUNC(CI61/VLOOKUP("PCS-OzTL42",ARBOR!$A:$C,3,0)-1,4)))))</f>
        <v/>
      </c>
      <c r="CK61" s="28" t="str">
        <f>IF(ISERROR(IF(CJ61="","",VLOOKUP(($BC61&amp;CJ61&amp;"Template desconto FLAT Plano Principal Oi TV nível conta"),BENEFICIOS!$A:$G,5,0))),"Criar",IF(CJ61="","",VLOOKUP(($BC61&amp;CJ61&amp;"Template desconto FLAT Plano Principal Oi TV nível conta"),BENEFICIOS!$A:$G,5,0)))</f>
        <v/>
      </c>
      <c r="CL61" s="8"/>
      <c r="CM61" s="3" t="str">
        <f>IF(CL61=0,"",IF(CL61=VLOOKUP("PCS-OzTL47",ARBOR!$A:$C,3,0),0.0001,IF(CL61&gt;VLOOKUP("PCS-OzTL47",ARBOR!$A:$C,3,0),"Maior que CAP!",IF((DOLLAR(CL61+(VLOOKUP("PCS-OzTL47",ARBOR!$A:$C,3,0)*-TRUNC(CL61/VLOOKUP("PCS-OzTL47",ARBOR!$A:$C,3,0)-1,4)),6))&lt;&gt;(DOLLAR(VLOOKUP("PCS-OzTL47",ARBOR!$A:$C,3,0),6)),-TRUNC(CL61/VLOOKUP("PCS-OzTL47",ARBOR!$A:$C,3,0)-1,4)+0.0001,-TRUNC(CL61/VLOOKUP("PCS-OzTL47",ARBOR!$A:$C,3,0)-1,4)))))</f>
        <v/>
      </c>
      <c r="CN61" s="28" t="str">
        <f>IF(ISERROR(IF(CM61="","",VLOOKUP(($BC61&amp;CM61&amp;"Template desconto FLAT Plano Principal Oi TV nível conta"),BENEFICIOS!$A:$G,5,0))),"Criar",IF(CM61="","",VLOOKUP(($BC61&amp;CM61&amp;"Template desconto FLAT Plano Principal Oi TV nível conta"),BENEFICIOS!$A:$G,5,0)))</f>
        <v/>
      </c>
      <c r="CO61" s="8"/>
      <c r="CP61" s="3" t="str">
        <f>IF(CO61=0,"",IF(CO61=VLOOKUP("PCS-OzTL46",ARBOR!$A:$C,3,0),0.0001,IF(CO61&gt;VLOOKUP("PCS-OzTL46",ARBOR!$A:$C,3,0),"Maior que CAP!",IF((DOLLAR(CO61+(VLOOKUP("PCS-OzTL46",ARBOR!$A:$C,3,0)*-TRUNC(CO61/VLOOKUP("PCS-OzTL46",ARBOR!$A:$C,3,0)-1,4)),6))&lt;&gt;(DOLLAR(VLOOKUP("PCS-OzTL46",ARBOR!$A:$C,3,0),6)),-TRUNC(CO61/VLOOKUP("PCS-OzTL46",ARBOR!$A:$C,3,0)-1,4)+0.0001,-TRUNC(CO61/VLOOKUP("PCS-OzTL46",ARBOR!$A:$C,3,0)-1,4)))))</f>
        <v/>
      </c>
      <c r="CQ61" s="28" t="str">
        <f>IF(ISERROR(IF(CP61="","",VLOOKUP(($BC61&amp;CP61&amp;"Template desconto FLAT Plano Principal Oi TV nível conta"),BENEFICIOS!$A:$G,5,0))),"Criar",IF(CP61="","",VLOOKUP(($BC61&amp;CP61&amp;"Template desconto FLAT Plano Principal Oi TV nível conta"),BENEFICIOS!$A:$G,5,0)))</f>
        <v/>
      </c>
      <c r="CR61" s="8"/>
      <c r="CS61" s="3" t="str">
        <f>IF(CR61=0,"",IF(CR61=VLOOKUP("PCS-OzTL48",ARBOR!$A:$C,3,0),0.0001,IF(CR61&gt;VLOOKUP("PCS-OzTL48",ARBOR!$A:$C,3,0),"Maior que CAP!",IF((DOLLAR(CR61+(VLOOKUP("PCS-OzTL48",ARBOR!$A:$C,3,0)*-TRUNC(CR61/VLOOKUP("PCS-OzTL48",ARBOR!$A:$C,3,0)-1,4)),6))&lt;&gt;(DOLLAR(VLOOKUP("PCS-OzTL48",ARBOR!$A:$C,3,0),6)),-TRUNC(CR61/VLOOKUP("PCS-OzTL48",ARBOR!$A:$C,3,0)-1,4)+0.0001,-TRUNC(CR61/VLOOKUP("PCS-OzTL48",ARBOR!$A:$C,3,0)-1,4)))))</f>
        <v/>
      </c>
      <c r="CT61" s="28" t="str">
        <f>IF(ISERROR(IF(CS61="","",VLOOKUP(($BC61&amp;CS61&amp;"Template desconto FLAT Plano Principal Oi TV nível conta"),BENEFICIOS!$A:$G,5,0))),"Criar",IF(CS61="","",VLOOKUP(($BC61&amp;CS61&amp;"Template desconto FLAT Plano Principal Oi TV nível conta"),BENEFICIOS!$A:$G,5,0)))</f>
        <v/>
      </c>
      <c r="CU61" s="8"/>
      <c r="CV61" s="3" t="str">
        <f>IF(CU61=0,"",IF(CU61=VLOOKUP("PCS-OzTL742",ARBOR!$A:$C,3,0),0.0001,IF(CU61&gt;VLOOKUP("PCS-OzTL742",ARBOR!$A:$C,3,0),"Maior que CAP!",IF((DOLLAR(CU61+(VLOOKUP("PCS-OzTL742",ARBOR!$A:$C,3,0)*-TRUNC(CU61/VLOOKUP("PCS-OzTL742",ARBOR!$A:$C,3,0)-1,4)),6))&lt;&gt;(DOLLAR(VLOOKUP("PCS-OzTL742",ARBOR!$A:$C,3,0),6)),-TRUNC(CU61/VLOOKUP("PCS-OzTL742",ARBOR!$A:$C,3,0)-1,4)+0.0001,-TRUNC(CU61/VLOOKUP("PCS-OzTL742",ARBOR!$A:$C,3,0)-1,4)))))</f>
        <v/>
      </c>
      <c r="CW61" s="28" t="str">
        <f>IF(ISERROR(IF(CV61="","",VLOOKUP(($BC61&amp;CV61&amp;"Template desconto FLAT Plano Principal Oi TV nível conta"),BENEFICIOS!$A:$G,5,0))),"Criar",IF(CV61="","",VLOOKUP(($BC61&amp;CV61&amp;"Template desconto FLAT Plano Principal Oi TV nível conta"),BENEFICIOS!$A:$G,5,0)))</f>
        <v/>
      </c>
      <c r="CX61" s="8"/>
      <c r="CY61" s="3" t="str">
        <f>IF(CX61=0,"",IF(CX61=VLOOKUP("PCS-OzTL747",ARBOR!$A:$C,3,0),0.0001,IF(CX61&gt;VLOOKUP("PCS-OzTL747",ARBOR!$A:$C,3,0),"Maior que CAP!",IF((DOLLAR(CX61+(VLOOKUP("PCS-OzTL747",ARBOR!$A:$C,3,0)*-TRUNC(CX61/VLOOKUP("PCS-OzTL747",ARBOR!$A:$C,3,0)-1,4)),6))&lt;&gt;(DOLLAR(VLOOKUP("PCS-OzTL747",ARBOR!$A:$C,3,0),6)),-TRUNC(CX61/VLOOKUP("PCS-OzTL747",ARBOR!$A:$C,3,0)-1,4)+0.0001,-TRUNC(CX61/VLOOKUP("PCS-OzTL747",ARBOR!$A:$C,3,0)-1,4)))))</f>
        <v/>
      </c>
      <c r="CZ61" s="28" t="str">
        <f>IF(ISERROR(IF(CY61="","",VLOOKUP(($BC61&amp;CY61&amp;"Template desconto FLAT Plano Principal Oi TV nível conta"),BENEFICIOS!$A:$G,5,0))),"Criar",IF(CY61="","",VLOOKUP(($BC61&amp;CY61&amp;"Template desconto FLAT Plano Principal Oi TV nível conta"),BENEFICIOS!$A:$G,5,0)))</f>
        <v/>
      </c>
      <c r="DA61" s="8"/>
      <c r="DB61" s="3" t="str">
        <f>IF(DA61=0,"",IF(DA61=VLOOKUP("PCS-OzTL746",ARBOR!$A:$C,3,0),0.0001,IF(DA61&gt;VLOOKUP("PCS-OzTL746",ARBOR!$A:$C,3,0),"Maior que CAP!",IF((DOLLAR(DA61+(VLOOKUP("PCS-OzTL746",ARBOR!$A:$C,3,0)*-TRUNC(DA61/VLOOKUP("PCS-OzTL746",ARBOR!$A:$C,3,0)-1,4)),6))&lt;&gt;(DOLLAR(VLOOKUP("PCS-OzTL746",ARBOR!$A:$C,3,0),6)),-TRUNC(DA61/VLOOKUP("PCS-OzTL746",ARBOR!$A:$C,3,0)-1,4)+0.0001,-TRUNC(DA61/VLOOKUP("PCS-OzTL746",ARBOR!$A:$C,3,0)-1,4)))))</f>
        <v/>
      </c>
      <c r="DC61" s="28" t="str">
        <f>IF(ISERROR(IF(DB61="","",VLOOKUP(($BC61&amp;DB61&amp;"Template desconto FLAT Plano Principal Oi TV nível conta"),BENEFICIOS!$A:$G,5,0))),"Criar",IF(DB61="","",VLOOKUP(($BC61&amp;DB61&amp;"Template desconto FLAT Plano Principal Oi TV nível conta"),BENEFICIOS!$A:$G,5,0)))</f>
        <v/>
      </c>
      <c r="DD61" s="8"/>
      <c r="DE61" s="3" t="str">
        <f>IF(DD61=0,"",IF(DD61=VLOOKUP("PCS-OzTL748",ARBOR!$A:$C,3,0),0.0001,IF(DD61&gt;VLOOKUP("PCS-OzTL748",ARBOR!$A:$C,3,0),"Maior que CAP!",IF((DOLLAR(DD61+(VLOOKUP("PCS-OzTL748",ARBOR!$A:$C,3,0)*-TRUNC(DD61/VLOOKUP("PCS-OzTL748",ARBOR!$A:$C,3,0)-1,4)),6))&lt;&gt;(DOLLAR(VLOOKUP("PCS-OzTL748",ARBOR!$A:$C,3,0),6)),-TRUNC(DD61/VLOOKUP("PCS-OzTL748",ARBOR!$A:$C,3,0)-1,4)+0.0001,-TRUNC(DD61/VLOOKUP("PCS-OzTL748",ARBOR!$A:$C,3,0)-1,4)))))</f>
        <v/>
      </c>
      <c r="DF61" s="28" t="str">
        <f>IF(ISERROR(IF(DE61="","",VLOOKUP(($BC61&amp;DE61&amp;"Template desconto FLAT Plano Principal Oi TV nível conta"),BENEFICIOS!$A:$G,5,0))),"Criar",IF(DE61="","",VLOOKUP(($BC61&amp;DE61&amp;"Template desconto FLAT Plano Principal Oi TV nível conta"),BENEFICIOS!$A:$G,5,0)))</f>
        <v/>
      </c>
      <c r="DG61" s="8"/>
      <c r="DH61" s="3" t="str">
        <f>IF(DG61=0,"",IF(DG61=VLOOKUP("PCS-OzTL34",ARBOR!$A:$C,3,0),0.0001,IF(DG61&gt;VLOOKUP("PCS-OzTL34",ARBOR!$A:$C,3,0),"Maior que CAP!",IF((DOLLAR(DG61+(VLOOKUP("PCS-OzTL34",ARBOR!$A:$C,3,0)*-TRUNC(DG61/VLOOKUP("PCS-OzTL34",ARBOR!$A:$C,3,0)-1,4)),6))&lt;&gt;(DOLLAR(VLOOKUP("PCS-OzTL34",ARBOR!$A:$C,3,0),6)),-TRUNC(DG61/VLOOKUP("PCS-OzTL34",ARBOR!$A:$C,3,0)-1,4)+0.0001,-TRUNC(DG61/VLOOKUP("PCS-OzTL34",ARBOR!$A:$C,3,0)-1,4)))))</f>
        <v/>
      </c>
      <c r="DI61" s="28" t="str">
        <f>IF(DH61="S/Desc","S/Desc",IF(ISERROR(IF(DH61="","",VLOOKUP(($BC61&amp;DH61&amp;"Template desconto % Combate nível conta"),BENEFICIOS!$A:$G,5,0))),"Criar",IF(DH61="","",VLOOKUP(($BC61&amp;DH61&amp;"Template desconto % Combate nível conta"),BENEFICIOS!$A:$G,5,0))))</f>
        <v/>
      </c>
      <c r="DJ61" s="8"/>
      <c r="DK61" s="3" t="str">
        <f>IF(DJ61=0,"",IF(DJ61=VLOOKUP("PCS-OzTL31",ARBOR!$A:$C,3,0),0.0001,IF(DJ61&gt;VLOOKUP("PCS-OzTL31",ARBOR!$A:$C,3,0),"Maior que CAP!",IF((DOLLAR(DJ61+(VLOOKUP("PCS-OzTL31",ARBOR!$A:$C,3,0)*-TRUNC(DJ61/VLOOKUP("PCS-OzTL31",ARBOR!$A:$C,3,0)-1,4)),6))&lt;&gt;(DOLLAR(VLOOKUP("PCS-OzTL31",ARBOR!$A:$C,3,0),6)),-TRUNC(DJ61/VLOOKUP("PCS-OzTL31",ARBOR!$A:$C,3,0)-1,4)+0.0001,-TRUNC(DJ61/VLOOKUP("PCS-OzTL31",ARBOR!$A:$C,3,0)-1,4)))))</f>
        <v/>
      </c>
      <c r="DL61" s="28" t="str">
        <f>IF(DK61="S/Desc","S/Desc",IF(ISERROR(IF(DK61="","",VLOOKUP(($BC61&amp;DK61&amp;"Template desconto % Sexy Hot nível conta"),BENEFICIOS!$A:$G,5,0))),"Criar",IF(DK61="","",VLOOKUP(($BC61&amp;DK61&amp;"Template desconto % Sexy Hot nível conta"),BENEFICIOS!$A:$G,5,0))))</f>
        <v/>
      </c>
      <c r="DM61" s="8"/>
      <c r="DN61" s="3" t="str">
        <f>IF(DM61=0,"",IF(DM61=VLOOKUP("PCS-OzTL32",ARBOR!$A:$C,3,0),0.0001,IF(DM61&gt;VLOOKUP("PCS-OzTL32",ARBOR!$A:$C,3,0),"Maior que CAP!",IF((DOLLAR(DM61+(VLOOKUP("PCS-OzTL32",ARBOR!$A:$C,3,0)*-TRUNC(DM61/VLOOKUP("PCS-OzTL32",ARBOR!$A:$C,3,0)-1,4)),6))&lt;&gt;(DOLLAR(VLOOKUP("PCS-OzTL32",ARBOR!$A:$C,3,0),6)),-TRUNC(DM61/VLOOKUP("PCS-OzTL32",ARBOR!$A:$C,3,0)-1,4)+0.0001,-TRUNC(DM61/VLOOKUP("PCS-OzTL32",ARBOR!$A:$C,3,0)-1,4)))))</f>
        <v/>
      </c>
      <c r="DO61" s="28" t="str">
        <f>IF(DN61="S/Desc","S/Desc",IF(ISERROR(IF(DN61="","",VLOOKUP(($BC61&amp;DN61&amp;"Template desconto % Playboy nível conta"),BENEFICIOS!$A:$G,5,0))),"Criar",IF(DN61="","",VLOOKUP(($BC61&amp;DN61&amp;"Template desconto % Playboy nível conta"),BENEFICIOS!$A:$G,5,0))))</f>
        <v/>
      </c>
      <c r="DP61" s="8"/>
      <c r="DQ61" s="3" t="str">
        <f>IF(DP61=0,"",IF(DP61=VLOOKUP("PCS-OzTL33",ARBOR!$A:$C,3,0),0.0001,IF(DP61&gt;VLOOKUP("PCS-OzTL33",ARBOR!$A:$C,3,0),"Maior que CAP!",IF((DOLLAR(DP61+(VLOOKUP("PCS-OzTL33",ARBOR!$A:$C,3,0)*-TRUNC(DP61/VLOOKUP("PCS-OzTL33",ARBOR!$A:$C,3,0)-1,4)),6))&lt;&gt;(DOLLAR(VLOOKUP("PCS-OzTL33",ARBOR!$A:$C,3,0),6)),-TRUNC(DP61/VLOOKUP("PCS-OzTL33",ARBOR!$A:$C,3,0)-1,4)+0.0001,-TRUNC(DP61/VLOOKUP("PCS-OzTL33",ARBOR!$A:$C,3,0)-1,4)))))</f>
        <v/>
      </c>
      <c r="DR61" s="28" t="str">
        <f>IF(DQ61="S/Desc","S/Desc",IF(ISERROR(IF(DQ61="","",VLOOKUP(($BC61&amp;DQ61&amp;"Template desconto % Sexy Hot + Playboy nível conta"),BENEFICIOS!$A:$G,5,0))),"Criar",IF(DQ61="","",VLOOKUP(($BC61&amp;DQ61&amp;"Template desconto % Sexy Hot + Playboy nível conta"),BENEFICIOS!$A:$G,5,0))))</f>
        <v/>
      </c>
      <c r="DS61" s="8"/>
      <c r="DT61" s="3" t="str">
        <f>IF(DS61=0,"",IF(DS61=VLOOKUP("PCS-OzTL503",ARBOR!$A:$C,3,0),0.0001,IF(DS61&gt;VLOOKUP("PCS-OzTL503",ARBOR!$A:$C,3,0),"Maior que CAP!",IF((DOLLAR(DS61+(VLOOKUP("PCS-OzTL503",ARBOR!$A:$C,3,0)*-TRUNC(DS61/VLOOKUP("PCS-OzTL503",ARBOR!$A:$C,3,0)-1,4)),6))&lt;&gt;(DOLLAR(VLOOKUP("PCS-OzTL503",ARBOR!$A:$C,3,0),6)),-TRUNC(DS61/VLOOKUP("PCS-OzTL503",ARBOR!$A:$C,3,0)-1,4)+0.0001,-TRUNC(DS61/VLOOKUP("PCS-OzTL503",ARBOR!$A:$C,3,0)-1,4)))))</f>
        <v/>
      </c>
      <c r="DU61" s="28" t="str">
        <f>IF(DT61="S/Desc","S/Desc",IF(ISERROR(IF(DT61="","",VLOOKUP(($BC61&amp;DT61&amp;"Template desconto % SexPrivê nível conta"),BENEFICIOS!$A:$G,5,0))),"Criar",IF(DT61="","",VLOOKUP(($BC61&amp;DT61&amp;"Template desconto % SexPrivê nível conta"),BENEFICIOS!$A:$G,5,0))))</f>
        <v/>
      </c>
      <c r="DV61" s="8"/>
      <c r="DW61" s="3" t="str">
        <f>IF(DV61=0,"",IF(DV61=VLOOKUP("PCS-OzTL500",ARBOR!$A:$C,3,0),0.0001,IF(DV61&gt;VLOOKUP("PCS-OzTL500",ARBOR!$A:$C,3,0),"Maior que CAP!",IF((DOLLAR(DV61+(VLOOKUP("PCS-OzTL500",ARBOR!$A:$C,3,0)*-TRUNC(DV61/VLOOKUP("PCS-OzTL500",ARBOR!$A:$C,3,0)-1,4)),6))&lt;&gt;(DOLLAR(VLOOKUP("PCS-OzTL500",ARBOR!$A:$C,3,0),6)),-TRUNC(DV61/VLOOKUP("PCS-OzTL500",ARBOR!$A:$C,3,0)-1,4)+0.0001,-TRUNC(DV61/VLOOKUP("PCS-OzTL500",ARBOR!$A:$C,3,0)-1,4)))))</f>
        <v/>
      </c>
      <c r="DX61" s="28" t="str">
        <f>IF(DW61="S/Desc","S/Desc",IF(ISERROR(IF(DW61="","",VLOOKUP(($BC61&amp;DW61&amp;"Template desconto % Étnico nível conta"),BENEFICIOS!$A:$G,5,0))),"Criar",IF(DW61="","",VLOOKUP(($BC61&amp;DW61&amp;"Template desconto % Étnico nível conta"),BENEFICIOS!$A:$G,5,0))))</f>
        <v/>
      </c>
      <c r="DY61" s="8"/>
      <c r="DZ61" s="181" t="str">
        <f>IF(DY61=0,"",IF(DY61=VLOOKUP("PCS-OzTL50",ARBOR!$A:$C,3,0),0.0001,IF(DY61&gt;VLOOKUP("PCS-OzTL50",ARBOR!$A:$C,3,0),"Maior que CAP!",IF((DOLLAR(DY61+(VLOOKUP("PCS-OzTL50",ARBOR!$A:$C,3,0)*-TRUNC(DY61/VLOOKUP("PCS-OzTL50",ARBOR!$A:$C,3,0)-1,4)),6))&lt;&gt;(DOLLAR(VLOOKUP("PCS-OzTL50",ARBOR!$A:$C,3,0),6)),-TRUNC(DY61/VLOOKUP("PCS-OzTL50",ARBOR!$A:$C,3,0)-1,4)+0.0001,-TRUNC(DY61/VLOOKUP("PCS-OzTL50",ARBOR!$A:$C,3,0)-1,4)))))</f>
        <v/>
      </c>
      <c r="EA61" s="28"/>
      <c r="EB61" s="8"/>
      <c r="EC61" s="181" t="str">
        <f>IF(EB61=0,"",IF(EB61=VLOOKUP("PCS-OzTL51",ARBOR!$A:$C,3,0),0.0001,IF(EB61&gt;VLOOKUP("PCS-OzTL51",ARBOR!$A:$C,3,0),"Maior que CAP!",IF((DOLLAR(EB61+(VLOOKUP("PCS-OzTL51",ARBOR!$A:$C,3,0)*-TRUNC(EB61/VLOOKUP("PCS-OzTL51",ARBOR!$A:$C,3,0)-1,4)),6))&lt;&gt;(DOLLAR(VLOOKUP("PCS-OzTL51",ARBOR!$A:$C,3,0),6)),-TRUNC(EB61/VLOOKUP("PCS-OzTL51",ARBOR!$A:$C,3,0)-1,4)+0.0001,-TRUNC(EB61/VLOOKUP("PCS-OzTL51",ARBOR!$A:$C,3,0)-1,4)))))</f>
        <v/>
      </c>
      <c r="ED61" s="28"/>
      <c r="EE61" s="8"/>
      <c r="EF61" s="181" t="str">
        <f>IF(EE61=0,"",IF(EE61=VLOOKUP("PCS-OzTL52",ARBOR!$A:$C,3,0),0.0001,IF(EE61&gt;VLOOKUP("PCS-OzTL52",ARBOR!$A:$C,3,0),"Maior que CAP!",IF((DOLLAR(EE61+(VLOOKUP("PCS-OzTL52",ARBOR!$A:$C,3,0)*-TRUNC(EE61/VLOOKUP("PCS-OzTL52",ARBOR!$A:$C,3,0)-1,4)),6))&lt;&gt;(DOLLAR(VLOOKUP("PCS-OzTL52",ARBOR!$A:$C,3,0),6)),-TRUNC(EE61/VLOOKUP("PCS-OzTL52",ARBOR!$A:$C,3,0)-1,4)+0.0001,-TRUNC(EE61/VLOOKUP("PCS-OzTL52",ARBOR!$A:$C,3,0)-1,4)))))</f>
        <v/>
      </c>
      <c r="EG61" s="28"/>
      <c r="EH61" s="8"/>
      <c r="EI61" s="181" t="str">
        <f>IF(EH61=0,"",IF(EH61=VLOOKUP("PCS-OzTL53",ARBOR!$A:$C,3,0),0.0001,IF(EH61&gt;VLOOKUP("PCS-OzTL53",ARBOR!$A:$C,3,0),"Maior que CAP!",IF((DOLLAR(EH61+(VLOOKUP("PCS-OzTL53",ARBOR!$A:$C,3,0)*-TRUNC(EH61/VLOOKUP("PCS-OzTL53",ARBOR!$A:$C,3,0)-1,4)),6))&lt;&gt;(DOLLAR(VLOOKUP("PCS-OzTL53",ARBOR!$A:$C,3,0),6)),-TRUNC(EH61/VLOOKUP("PCS-OzTL53",ARBOR!$A:$C,3,0)-1,4)+0.0001,-TRUNC(EH61/VLOOKUP("PCS-OzTL53",ARBOR!$A:$C,3,0)-1,4)))))</f>
        <v/>
      </c>
      <c r="EJ61" s="28"/>
      <c r="EK61" s="8"/>
      <c r="EL61" s="181" t="str">
        <f>IF(EK61=0,"",IF(EK61=VLOOKUP("PCS-OzTL54",ARBOR!$A:$C,3,0),0.0001,IF(EK61&gt;VLOOKUP("PCS-OzTL54",ARBOR!$A:$C,3,0),"Maior que CAP!",IF((DOLLAR(EK61+(VLOOKUP("PCS-OzTL54",ARBOR!$A:$C,3,0)*-TRUNC(EK61/VLOOKUP("PCS-OzTL54",ARBOR!$A:$C,3,0)-1,4)),6))&lt;&gt;(DOLLAR(VLOOKUP("PCS-OzTL54",ARBOR!$A:$C,3,0),6)),-TRUNC(EK61/VLOOKUP("PCS-OzTL54",ARBOR!$A:$C,3,0)-1,4)+0.0001,-TRUNC(EK61/VLOOKUP("PCS-OzTL54",ARBOR!$A:$C,3,0)-1,4)))))</f>
        <v/>
      </c>
      <c r="EM61" s="28"/>
      <c r="EN61" s="8"/>
      <c r="EO61" s="3" t="str">
        <f>IF(EN61=0,"",IF(EN61=VLOOKUP("PCS-OzTL99",ARBOR!$A:$C,3,0),0.0001,IF(EN61&gt;VLOOKUP("PCS-OzTL99",ARBOR!$A:$C,3,0),"Maior que CAP!",IF((DOLLAR(EN61+(VLOOKUP("PCS-OzTL99",ARBOR!$A:$C,3,0)*-TRUNC(EN61/VLOOKUP("PCS-OzTL99",ARBOR!$A:$C,3,0)-1,4)),6))&lt;&gt;(DOLLAR(VLOOKUP("PCS-OzTL99",ARBOR!$A:$C,3,0),6)),-TRUNC(EN61/VLOOKUP("PCS-OzTL99",ARBOR!$A:$C,3,0)-1,4)+0.0001,-TRUNC(EN61/VLOOKUP("PCS-OzTL99",ARBOR!$A:$C,3,0)-1,4)))))</f>
        <v/>
      </c>
      <c r="EP61" s="28" t="str">
        <f>IF(EO61="S/Desc","S/Desc",IF(ISERROR(IF(EO61="","",VLOOKUP(($BC61&amp;EO61&amp;"Template desconto % Ponto adicional nível conta"),BENEFICIOS!$A:$G,5,0))),"Criar",IF(EO61="","",VLOOKUP(($BC61&amp;EO61&amp;"Template desconto % Ponto adicional nível conta"),BENEFICIOS!$A:$G,5,0))))</f>
        <v/>
      </c>
      <c r="EQ61" s="8"/>
      <c r="ER61" s="28" t="str">
        <f t="shared" si="23"/>
        <v/>
      </c>
      <c r="ES61" s="62"/>
      <c r="ET61" s="126"/>
      <c r="EU61" s="127"/>
      <c r="EV61" s="126"/>
      <c r="EW61" s="128" t="str">
        <f t="shared" si="24"/>
        <v/>
      </c>
      <c r="EX61" s="129" t="str">
        <f t="shared" si="25"/>
        <v/>
      </c>
      <c r="EY61" s="91" t="str">
        <f t="shared" si="26"/>
        <v/>
      </c>
      <c r="EZ61" s="85"/>
      <c r="FA61" s="97"/>
      <c r="FB61" s="91"/>
      <c r="FC61" s="85"/>
      <c r="FD61" s="97"/>
      <c r="FE61" s="91"/>
      <c r="FF61" s="87"/>
      <c r="FG61" s="144" t="str">
        <f t="shared" si="5"/>
        <v/>
      </c>
      <c r="FH61" s="144" t="str">
        <f t="shared" si="6"/>
        <v/>
      </c>
      <c r="FI61" s="144" t="str">
        <f t="shared" si="7"/>
        <v/>
      </c>
      <c r="FJ61" s="144" t="str">
        <f t="shared" si="8"/>
        <v/>
      </c>
      <c r="FK61" s="144" t="str">
        <f t="shared" si="9"/>
        <v/>
      </c>
      <c r="FL61" s="144" t="str">
        <f t="shared" si="10"/>
        <v/>
      </c>
      <c r="FM61" s="144" t="str">
        <f t="shared" si="11"/>
        <v/>
      </c>
      <c r="FN61" s="144" t="str">
        <f t="shared" si="12"/>
        <v/>
      </c>
      <c r="FO61" s="144" t="str">
        <f t="shared" si="13"/>
        <v/>
      </c>
      <c r="FP61" s="144" t="str">
        <f t="shared" si="14"/>
        <v/>
      </c>
      <c r="FQ61" s="144" t="str">
        <f t="shared" si="15"/>
        <v/>
      </c>
      <c r="FR61" s="144" t="str">
        <f t="shared" si="16"/>
        <v/>
      </c>
      <c r="FS61" s="144" t="str">
        <f t="shared" si="17"/>
        <v/>
      </c>
      <c r="FT61" s="144" t="str">
        <f t="shared" si="18"/>
        <v/>
      </c>
      <c r="FU61" s="144" t="str">
        <f t="shared" si="19"/>
        <v/>
      </c>
      <c r="FV61" s="144" t="str">
        <f t="shared" si="20"/>
        <v/>
      </c>
      <c r="FW61" s="144" t="str">
        <f t="shared" si="21"/>
        <v/>
      </c>
      <c r="FX61" s="151"/>
      <c r="FY61" s="152"/>
      <c r="FZ61" s="152"/>
      <c r="GA61" s="152"/>
      <c r="GB61" s="152"/>
      <c r="GC61" s="152"/>
      <c r="GD61" s="152"/>
      <c r="GE61" s="152"/>
      <c r="GF61" s="152"/>
      <c r="GG61" s="153"/>
    </row>
    <row r="62" spans="1:189">
      <c r="A62" s="45"/>
      <c r="B62" s="133"/>
      <c r="C62" s="133"/>
      <c r="D62" s="46"/>
      <c r="E62" s="4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9"/>
      <c r="U62" s="48"/>
      <c r="V62" s="49"/>
      <c r="W62" s="48"/>
      <c r="X62" s="48"/>
      <c r="Y62" s="48"/>
      <c r="Z62" s="48"/>
      <c r="AA62" s="49"/>
      <c r="AB62" s="48"/>
      <c r="AC62" s="50"/>
      <c r="AD62" s="48"/>
      <c r="AE62" s="48"/>
      <c r="AF62" s="48"/>
      <c r="AG62" s="48"/>
      <c r="AH62" s="48"/>
      <c r="AI62" s="48"/>
      <c r="AJ62" s="48"/>
      <c r="AK62" s="48"/>
      <c r="AL62" s="51"/>
      <c r="AM62" s="37"/>
      <c r="AN62" s="38"/>
      <c r="AO62" s="39"/>
      <c r="AP62" s="52"/>
      <c r="AQ62" s="53"/>
      <c r="AR62" s="64"/>
      <c r="AS62" s="65"/>
      <c r="AT62" s="54"/>
      <c r="AU62" s="54"/>
      <c r="AV62" s="54"/>
      <c r="AW62" s="54"/>
      <c r="AX62" s="70"/>
      <c r="AY62" s="71"/>
      <c r="AZ62" s="72"/>
      <c r="BA62" s="73"/>
      <c r="BB62" s="55"/>
      <c r="BC62" s="56"/>
      <c r="BD62" s="27" t="str">
        <f t="shared" si="22"/>
        <v/>
      </c>
      <c r="BE62" s="58"/>
      <c r="BF62" s="3" t="str">
        <f>IF(BE62=0,"",IF(BE62=VLOOKUP("FIXO",ARBOR!$A:$C,3,0),0.0001,IF(BE62&gt;VLOOKUP("FIXO",ARBOR!$A:$C,3,0),"Maior que CAP!",IF((DOLLAR(BE62+(VLOOKUP("FIXO",ARBOR!$A:$C,3,0)*-TRUNC(BE62/VLOOKUP("FIXO",ARBOR!$A:$C,3,0)-1,4)),6))&lt;&gt;(DOLLAR(VLOOKUP("FIXO",ARBOR!$A:$C,3,0),6)),-TRUNC(BE62/VLOOKUP("FIXO",ARBOR!$A:$C,3,0)-1,4)+0.0001,-TRUNC(BE62/VLOOKUP("FIXO",ARBOR!$A:$C,3,0)-1,4)))))</f>
        <v/>
      </c>
      <c r="BG62" s="10" t="str">
        <f>IF(ISERROR(IF(BF62="","",VLOOKUP(($BC62&amp;BF62&amp;"Template de desconto FLAT bundle - Fixo - Varejo - Ganho Tributário Cross"),BENEFICIOS!$A:$G,5,0))),"Criar",IF(BF62="","",VLOOKUP(($BC62&amp;BF62&amp;"Template de desconto FLAT bundle - Fixo - Varejo - Ganho Tributário Cross"),BENEFICIOS!$A:$G,5,0)))</f>
        <v/>
      </c>
      <c r="BH62" s="8"/>
      <c r="BI62" s="3" t="str">
        <f>IF(BH62=0,"",IF(BH62=VLOOKUP("PCS-OzTL40",ARBOR!$A:$C,3,0),0.0001,IF(BH62&gt;VLOOKUP("PCS-OzTL40",ARBOR!$A:$C,3,0),"Maior que CAP!",IF((DOLLAR(BH62+(VLOOKUP("PCS-OzTL40",ARBOR!$A:$C,3,0)*-TRUNC(BH62/VLOOKUP("PCS-OzTL40",ARBOR!$A:$C,3,0)-1,4)),6))&lt;&gt;(DOLLAR(VLOOKUP("PCS-OzTL40",ARBOR!$A:$C,3,0),6)),-TRUNC(BH62/VLOOKUP("PCS-OzTL40",ARBOR!$A:$C,3,0)-1,4)+0.0001,-TRUNC(BH62/VLOOKUP("PCS-OzTL40",ARBOR!$A:$C,3,0)-1,4)))))</f>
        <v/>
      </c>
      <c r="BJ62" s="10" t="str">
        <f>IF(ISERROR(IF(BI62="","",VLOOKUP((BC62&amp;BI62&amp;"Template desconto FLAT Plano Principal Oi TV nível conta"),BENEFICIOS!$A:$G,5,0))),"Criar",IF(BI62="","",VLOOKUP((BC62&amp;BI62&amp;"Template desconto FLAT Plano Principal Oi TV nível conta"),BENEFICIOS!$A:$G,5,0)))</f>
        <v/>
      </c>
      <c r="BK62" s="8"/>
      <c r="BL62" s="3" t="str">
        <f>IF(BK62=0,"",IF(BK62=VLOOKUP("PCS-OzTL41",ARBOR!$A:$C,3,0),0.0001,IF(BK62&gt;VLOOKUP("PCS-OzTL41",ARBOR!$A:$C,3,0),"Maior que CAP!",IF((DOLLAR(BK62+(VLOOKUP("PCS-OzTL41",ARBOR!$A:$C,3,0)*-TRUNC(BK62/VLOOKUP("PCS-OzTL41",ARBOR!$A:$C,3,0)-1,4)),6))&lt;&gt;(DOLLAR(VLOOKUP("PCS-OzTL41",ARBOR!$A:$C,3,0),6)),-TRUNC(BK62/VLOOKUP("PCS-OzTL41",ARBOR!$A:$C,3,0)-1,4)+0.0001,-TRUNC(BK62/VLOOKUP("PCS-OzTL41",ARBOR!$A:$C,3,0)-1,4)))))</f>
        <v/>
      </c>
      <c r="BM62" s="28" t="str">
        <f>IF(ISERROR(IF(BL62="","",VLOOKUP((BC62&amp;BL62&amp;"Template desconto FLAT Plano Principal Oi TV nível conta"),BENEFICIOS!$A:$G,5,0))),"Criar",IF(BL62="","",VLOOKUP((BC62&amp;BL62&amp;"Template desconto FLAT Plano Principal Oi TV nível conta"),BENEFICIOS!$A:$G,5,0)))</f>
        <v/>
      </c>
      <c r="BN62" s="8"/>
      <c r="BO62" s="3" t="str">
        <f>IF(BN62=0,"",IF(BN62=VLOOKUP("PCS-OzTL44",ARBOR!$A:$C,3,0),0.0001,IF(BN62&gt;VLOOKUP("PCS-OzTL44",ARBOR!$A:$C,3,0),"Maior que CAP!",IF((DOLLAR(BN62+(VLOOKUP("PCS-OzTL44",ARBOR!$A:$C,3,0)*-TRUNC(BN62/VLOOKUP("PCS-OzTL44",ARBOR!$A:$C,3,0)-1,4)),6))&lt;&gt;(DOLLAR(VLOOKUP("PCS-OzTL44",ARBOR!$A:$C,3,0),6)),-TRUNC(BN62/VLOOKUP("PCS-OzTL44",ARBOR!$A:$C,3,0)-1,4)+0.0001,-TRUNC(BN62/VLOOKUP("PCS-OzTL44",ARBOR!$A:$C,3,0)-1,4)))))</f>
        <v/>
      </c>
      <c r="BP62" s="28" t="str">
        <f>IF(ISERROR(IF(BO62="","",VLOOKUP((BC62&amp;BO62&amp;"Template desconto FLAT Plano Principal Oi TV nível conta"),BENEFICIOS!$A:$G,5,0))),"Criar",IF(BO62="","",VLOOKUP((BC62&amp;BO62&amp;"Template desconto FLAT Plano Principal Oi TV nível conta"),BENEFICIOS!$A:$G,5,0)))</f>
        <v/>
      </c>
      <c r="BQ62" s="8"/>
      <c r="BR62" s="3" t="str">
        <f>IF(BQ62=0,"",IF(BQ62=VLOOKUP("PCS-OzTL43",ARBOR!$A:$C,3,0),0.0001,IF(BQ62&gt;VLOOKUP("PCS-OzTL43",ARBOR!$A:$C,3,0),"Maior que CAP!",IF((DOLLAR(BQ62+(VLOOKUP("PCS-OzTL43",ARBOR!$A:$C,3,0)*-TRUNC(BQ62/VLOOKUP("PCS-OzTL43",ARBOR!$A:$C,3,0)-1,4)),6))&lt;&gt;(DOLLAR(VLOOKUP("PCS-OzTL43",ARBOR!$A:$C,3,0),6)),-TRUNC(BQ62/VLOOKUP("PCS-OzTL43",ARBOR!$A:$C,3,0)-1,4)+0.0001,-TRUNC(BQ62/VLOOKUP("PCS-OzTL43",ARBOR!$A:$C,3,0)-1,4)))))</f>
        <v/>
      </c>
      <c r="BS62" s="28" t="str">
        <f>IF(ISERROR(IF(BR62="","",VLOOKUP((BC62&amp;BR62&amp;"Template desconto FLAT Plano Principal Oi TV nível conta"),BENEFICIOS!$A:$G,5,0))),"Criar",IF(BR62="","",VLOOKUP((BC62&amp;BR62&amp;"Template desconto FLAT Plano Principal Oi TV nível conta"),BENEFICIOS!$A:$G,5,0)))</f>
        <v/>
      </c>
      <c r="BT62" s="8"/>
      <c r="BU62" s="3" t="str">
        <f>IF(BT62=0,"",IF(BT62=VLOOKUP("PCS-OzTL45",ARBOR!$A:$C,3,0),0.0001,IF(BT62&gt;VLOOKUP("PCS-OzTL45",ARBOR!$A:$C,3,0),"Maior que CAP!",IF((DOLLAR(BT62+(VLOOKUP("PCS-OzTL45",ARBOR!$A:$C,3,0)*-TRUNC(BT62/VLOOKUP("PCS-OzTL45",ARBOR!$A:$C,3,0)-1,4)),6))&lt;&gt;(DOLLAR(VLOOKUP("PCS-OzTL45",ARBOR!$A:$C,3,0),6)),-TRUNC(BT62/VLOOKUP("PCS-OzTL45",ARBOR!$A:$C,3,0)-1,4)+0.0001,-TRUNC(BT62/VLOOKUP("PCS-OzTL45",ARBOR!$A:$C,3,0)-1,4)))))</f>
        <v/>
      </c>
      <c r="BV62" s="28" t="str">
        <f>IF(ISERROR(IF(BU62="","",VLOOKUP((BC62&amp;BU62&amp;"Template desconto FLAT Plano Principal Oi TV nível conta"),BENEFICIOS!$A:$G,5,0))),"Criar",IF(BU62="","",VLOOKUP((BC62&amp;BU62&amp;"Template desconto FLAT Plano Principal Oi TV nível conta"),BENEFICIOS!$A:$G,5,0)))</f>
        <v/>
      </c>
      <c r="BW62" s="8"/>
      <c r="BX62" s="3" t="str">
        <f>IF(BW62=0,"",IF(BW62=VLOOKUP("PCS-OzTL741",ARBOR!$A:$C,3,0),0.0001,IF(BW62&gt;VLOOKUP("PCS-OzTL741",ARBOR!$A:$C,3,0),"Maior que CAP!",IF((DOLLAR(BW62+(VLOOKUP("PCS-OzTL741",ARBOR!$A:$C,3,0)*-TRUNC(BW62/VLOOKUP("PCS-OzTL741",ARBOR!$A:$C,3,0)-1,4)),6))&lt;&gt;(DOLLAR(VLOOKUP("PCS-OzTL741",ARBOR!$A:$C,3,0),6)),-TRUNC(BW62/VLOOKUP("PCS-OzTL741",ARBOR!$A:$C,3,0)-1,4)+0.0001,-TRUNC(BW62/VLOOKUP("PCS-OzTL741",ARBOR!$A:$C,3,0)-1,4)))))</f>
        <v/>
      </c>
      <c r="BY62" s="28" t="str">
        <f>IF(ISERROR(IF(BX62="","",VLOOKUP((BC62&amp;BX62&amp;"Template desconto FLAT Plano Principal Oi TV nível conta"),BENEFICIOS!$A:$G,5,0))),"Criar",IF(BX62="","",VLOOKUP((BC62&amp;BX62&amp;"Template desconto FLAT Plano Principal Oi TV nível conta"),BENEFICIOS!$A:$G,5,0)))</f>
        <v/>
      </c>
      <c r="BZ62" s="8"/>
      <c r="CA62" s="3" t="str">
        <f>IF(BZ62=0,"",IF(BZ62=VLOOKUP("PCS-OzTL744",ARBOR!$A:$C,3,0),0.0001,IF(BZ62&gt;VLOOKUP("PCS-OzTL744",ARBOR!$A:$C,3,0),"Maior que CAP!",IF((DOLLAR(BZ62+(VLOOKUP("PCS-OzTL744",ARBOR!$A:$C,3,0)*-TRUNC(BZ62/VLOOKUP("PCS-OzTL744",ARBOR!$A:$C,3,0)-1,4)),6))&lt;&gt;(DOLLAR(VLOOKUP("PCS-OzTL744",ARBOR!$A:$C,3,0),6)),-TRUNC(BZ62/VLOOKUP("PCS-OzTL744",ARBOR!$A:$C,3,0)-1,4)+0.0001,-TRUNC(BZ62/VLOOKUP("PCS-OzTL744",ARBOR!$A:$C,3,0)-1,4)))))</f>
        <v/>
      </c>
      <c r="CB62" s="28" t="str">
        <f>IF(ISERROR(IF(CA62="","",VLOOKUP(($BC62&amp;CA62&amp;"Template desconto FLAT Plano Principal Oi TV nível conta"),BENEFICIOS!$A:$G,5,0))),"Criar",IF(CA62="","",VLOOKUP(($BC62&amp;CA62&amp;"Template desconto FLAT Plano Principal Oi TV nível conta"),BENEFICIOS!$A:$G,5,0)))</f>
        <v/>
      </c>
      <c r="CC62" s="8"/>
      <c r="CD62" s="3" t="str">
        <f>IF(CC62=0,"",IF(CC62=VLOOKUP("PCS-OzTL743",ARBOR!$A:$C,3,0),0.0001,IF(CC62&gt;VLOOKUP("PCS-OzTL743",ARBOR!$A:$C,3,0),"Maior que CAP!",IF((DOLLAR(CC62+(VLOOKUP("PCS-OzTL743",ARBOR!$A:$C,3,0)*-TRUNC(CC62/VLOOKUP("PCS-OzTL743",ARBOR!$A:$C,3,0)-1,4)),6))&lt;&gt;(DOLLAR(VLOOKUP("PCS-OzTL743",ARBOR!$A:$C,3,0),6)),-TRUNC(CC62/VLOOKUP("PCS-OzTL743",ARBOR!$A:$C,3,0)-1,4)+0.0001,-TRUNC(CC62/VLOOKUP("PCS-OzTL743",ARBOR!$A:$C,3,0)-1,4)))))</f>
        <v/>
      </c>
      <c r="CE62" s="28" t="str">
        <f>IF(ISERROR(IF(CD62="","",VLOOKUP(($BC62&amp;CD62&amp;"Template desconto FLAT Plano Principal Oi TV nível conta"),BENEFICIOS!$A:$G,5,0))),"Criar",IF(CD62="","",VLOOKUP(($BC62&amp;CD62&amp;"Template desconto FLAT Plano Principal Oi TV nível conta"),BENEFICIOS!$A:$G,5,0)))</f>
        <v/>
      </c>
      <c r="CF62" s="8"/>
      <c r="CG62" s="3" t="str">
        <f>IF(CF62=0,"",IF(CF62=VLOOKUP("PCS-OzTL745",ARBOR!$A:$C,3,0),0.0001,IF(CF62&gt;VLOOKUP("PCS-OzTL745",ARBOR!$A:$C,3,0),"Maior que CAP!",IF((DOLLAR(CF62+(VLOOKUP("PCS-OzTL745",ARBOR!$A:$C,3,0)*-TRUNC(CF62/VLOOKUP("PCS-OzTL745",ARBOR!$A:$C,3,0)-1,4)),6))&lt;&gt;(DOLLAR(VLOOKUP("PCS-OzTL745",ARBOR!$A:$C,3,0),6)),-TRUNC(CF62/VLOOKUP("PCS-OzTL745",ARBOR!$A:$C,3,0)-1,4)+0.0001,-TRUNC(CF62/VLOOKUP("PCS-OzTL745",ARBOR!$A:$C,3,0)-1,4)))))</f>
        <v/>
      </c>
      <c r="CH62" s="28" t="str">
        <f>IF(ISERROR(IF(CG62="","",VLOOKUP(($BC62&amp;CG62&amp;"Template desconto FLAT Plano Principal Oi TV nível conta"),BENEFICIOS!$A:$G,5,0))),"Criar",IF(CG62="","",VLOOKUP(($BC62&amp;CG62&amp;"Template desconto FLAT Plano Principal Oi TV nível conta"),BENEFICIOS!$A:$G,5,0)))</f>
        <v/>
      </c>
      <c r="CI62" s="8"/>
      <c r="CJ62" s="3" t="str">
        <f>IF(CI62=0,"",IF(CI62=VLOOKUP("PCS-OzTL42",ARBOR!$A:$C,3,0),0.0001,IF(CI62&gt;VLOOKUP("PCS-OzTL42",ARBOR!$A:$C,3,0),"Maior que CAP!",IF((DOLLAR(CI62+(VLOOKUP("PCS-OzTL42",ARBOR!$A:$C,3,0)*-TRUNC(CI62/VLOOKUP("PCS-OzTL42",ARBOR!$A:$C,3,0)-1,4)),6))&lt;&gt;(DOLLAR(VLOOKUP("PCS-OzTL42",ARBOR!$A:$C,3,0),6)),-TRUNC(CI62/VLOOKUP("PCS-OzTL42",ARBOR!$A:$C,3,0)-1,4)+0.0001,-TRUNC(CI62/VLOOKUP("PCS-OzTL42",ARBOR!$A:$C,3,0)-1,4)))))</f>
        <v/>
      </c>
      <c r="CK62" s="28" t="str">
        <f>IF(ISERROR(IF(CJ62="","",VLOOKUP(($BC62&amp;CJ62&amp;"Template desconto FLAT Plano Principal Oi TV nível conta"),BENEFICIOS!$A:$G,5,0))),"Criar",IF(CJ62="","",VLOOKUP(($BC62&amp;CJ62&amp;"Template desconto FLAT Plano Principal Oi TV nível conta"),BENEFICIOS!$A:$G,5,0)))</f>
        <v/>
      </c>
      <c r="CL62" s="8"/>
      <c r="CM62" s="3" t="str">
        <f>IF(CL62=0,"",IF(CL62=VLOOKUP("PCS-OzTL47",ARBOR!$A:$C,3,0),0.0001,IF(CL62&gt;VLOOKUP("PCS-OzTL47",ARBOR!$A:$C,3,0),"Maior que CAP!",IF((DOLLAR(CL62+(VLOOKUP("PCS-OzTL47",ARBOR!$A:$C,3,0)*-TRUNC(CL62/VLOOKUP("PCS-OzTL47",ARBOR!$A:$C,3,0)-1,4)),6))&lt;&gt;(DOLLAR(VLOOKUP("PCS-OzTL47",ARBOR!$A:$C,3,0),6)),-TRUNC(CL62/VLOOKUP("PCS-OzTL47",ARBOR!$A:$C,3,0)-1,4)+0.0001,-TRUNC(CL62/VLOOKUP("PCS-OzTL47",ARBOR!$A:$C,3,0)-1,4)))))</f>
        <v/>
      </c>
      <c r="CN62" s="28" t="str">
        <f>IF(ISERROR(IF(CM62="","",VLOOKUP(($BC62&amp;CM62&amp;"Template desconto FLAT Plano Principal Oi TV nível conta"),BENEFICIOS!$A:$G,5,0))),"Criar",IF(CM62="","",VLOOKUP(($BC62&amp;CM62&amp;"Template desconto FLAT Plano Principal Oi TV nível conta"),BENEFICIOS!$A:$G,5,0)))</f>
        <v/>
      </c>
      <c r="CO62" s="8"/>
      <c r="CP62" s="3" t="str">
        <f>IF(CO62=0,"",IF(CO62=VLOOKUP("PCS-OzTL46",ARBOR!$A:$C,3,0),0.0001,IF(CO62&gt;VLOOKUP("PCS-OzTL46",ARBOR!$A:$C,3,0),"Maior que CAP!",IF((DOLLAR(CO62+(VLOOKUP("PCS-OzTL46",ARBOR!$A:$C,3,0)*-TRUNC(CO62/VLOOKUP("PCS-OzTL46",ARBOR!$A:$C,3,0)-1,4)),6))&lt;&gt;(DOLLAR(VLOOKUP("PCS-OzTL46",ARBOR!$A:$C,3,0),6)),-TRUNC(CO62/VLOOKUP("PCS-OzTL46",ARBOR!$A:$C,3,0)-1,4)+0.0001,-TRUNC(CO62/VLOOKUP("PCS-OzTL46",ARBOR!$A:$C,3,0)-1,4)))))</f>
        <v/>
      </c>
      <c r="CQ62" s="28" t="str">
        <f>IF(ISERROR(IF(CP62="","",VLOOKUP(($BC62&amp;CP62&amp;"Template desconto FLAT Plano Principal Oi TV nível conta"),BENEFICIOS!$A:$G,5,0))),"Criar",IF(CP62="","",VLOOKUP(($BC62&amp;CP62&amp;"Template desconto FLAT Plano Principal Oi TV nível conta"),BENEFICIOS!$A:$G,5,0)))</f>
        <v/>
      </c>
      <c r="CR62" s="8"/>
      <c r="CS62" s="3" t="str">
        <f>IF(CR62=0,"",IF(CR62=VLOOKUP("PCS-OzTL48",ARBOR!$A:$C,3,0),0.0001,IF(CR62&gt;VLOOKUP("PCS-OzTL48",ARBOR!$A:$C,3,0),"Maior que CAP!",IF((DOLLAR(CR62+(VLOOKUP("PCS-OzTL48",ARBOR!$A:$C,3,0)*-TRUNC(CR62/VLOOKUP("PCS-OzTL48",ARBOR!$A:$C,3,0)-1,4)),6))&lt;&gt;(DOLLAR(VLOOKUP("PCS-OzTL48",ARBOR!$A:$C,3,0),6)),-TRUNC(CR62/VLOOKUP("PCS-OzTL48",ARBOR!$A:$C,3,0)-1,4)+0.0001,-TRUNC(CR62/VLOOKUP("PCS-OzTL48",ARBOR!$A:$C,3,0)-1,4)))))</f>
        <v/>
      </c>
      <c r="CT62" s="28" t="str">
        <f>IF(ISERROR(IF(CS62="","",VLOOKUP(($BC62&amp;CS62&amp;"Template desconto FLAT Plano Principal Oi TV nível conta"),BENEFICIOS!$A:$G,5,0))),"Criar",IF(CS62="","",VLOOKUP(($BC62&amp;CS62&amp;"Template desconto FLAT Plano Principal Oi TV nível conta"),BENEFICIOS!$A:$G,5,0)))</f>
        <v/>
      </c>
      <c r="CU62" s="8"/>
      <c r="CV62" s="3" t="str">
        <f>IF(CU62=0,"",IF(CU62=VLOOKUP("PCS-OzTL742",ARBOR!$A:$C,3,0),0.0001,IF(CU62&gt;VLOOKUP("PCS-OzTL742",ARBOR!$A:$C,3,0),"Maior que CAP!",IF((DOLLAR(CU62+(VLOOKUP("PCS-OzTL742",ARBOR!$A:$C,3,0)*-TRUNC(CU62/VLOOKUP("PCS-OzTL742",ARBOR!$A:$C,3,0)-1,4)),6))&lt;&gt;(DOLLAR(VLOOKUP("PCS-OzTL742",ARBOR!$A:$C,3,0),6)),-TRUNC(CU62/VLOOKUP("PCS-OzTL742",ARBOR!$A:$C,3,0)-1,4)+0.0001,-TRUNC(CU62/VLOOKUP("PCS-OzTL742",ARBOR!$A:$C,3,0)-1,4)))))</f>
        <v/>
      </c>
      <c r="CW62" s="28" t="str">
        <f>IF(ISERROR(IF(CV62="","",VLOOKUP(($BC62&amp;CV62&amp;"Template desconto FLAT Plano Principal Oi TV nível conta"),BENEFICIOS!$A:$G,5,0))),"Criar",IF(CV62="","",VLOOKUP(($BC62&amp;CV62&amp;"Template desconto FLAT Plano Principal Oi TV nível conta"),BENEFICIOS!$A:$G,5,0)))</f>
        <v/>
      </c>
      <c r="CX62" s="8"/>
      <c r="CY62" s="3" t="str">
        <f>IF(CX62=0,"",IF(CX62=VLOOKUP("PCS-OzTL747",ARBOR!$A:$C,3,0),0.0001,IF(CX62&gt;VLOOKUP("PCS-OzTL747",ARBOR!$A:$C,3,0),"Maior que CAP!",IF((DOLLAR(CX62+(VLOOKUP("PCS-OzTL747",ARBOR!$A:$C,3,0)*-TRUNC(CX62/VLOOKUP("PCS-OzTL747",ARBOR!$A:$C,3,0)-1,4)),6))&lt;&gt;(DOLLAR(VLOOKUP("PCS-OzTL747",ARBOR!$A:$C,3,0),6)),-TRUNC(CX62/VLOOKUP("PCS-OzTL747",ARBOR!$A:$C,3,0)-1,4)+0.0001,-TRUNC(CX62/VLOOKUP("PCS-OzTL747",ARBOR!$A:$C,3,0)-1,4)))))</f>
        <v/>
      </c>
      <c r="CZ62" s="28" t="str">
        <f>IF(ISERROR(IF(CY62="","",VLOOKUP(($BC62&amp;CY62&amp;"Template desconto FLAT Plano Principal Oi TV nível conta"),BENEFICIOS!$A:$G,5,0))),"Criar",IF(CY62="","",VLOOKUP(($BC62&amp;CY62&amp;"Template desconto FLAT Plano Principal Oi TV nível conta"),BENEFICIOS!$A:$G,5,0)))</f>
        <v/>
      </c>
      <c r="DA62" s="8"/>
      <c r="DB62" s="3" t="str">
        <f>IF(DA62=0,"",IF(DA62=VLOOKUP("PCS-OzTL746",ARBOR!$A:$C,3,0),0.0001,IF(DA62&gt;VLOOKUP("PCS-OzTL746",ARBOR!$A:$C,3,0),"Maior que CAP!",IF((DOLLAR(DA62+(VLOOKUP("PCS-OzTL746",ARBOR!$A:$C,3,0)*-TRUNC(DA62/VLOOKUP("PCS-OzTL746",ARBOR!$A:$C,3,0)-1,4)),6))&lt;&gt;(DOLLAR(VLOOKUP("PCS-OzTL746",ARBOR!$A:$C,3,0),6)),-TRUNC(DA62/VLOOKUP("PCS-OzTL746",ARBOR!$A:$C,3,0)-1,4)+0.0001,-TRUNC(DA62/VLOOKUP("PCS-OzTL746",ARBOR!$A:$C,3,0)-1,4)))))</f>
        <v/>
      </c>
      <c r="DC62" s="28" t="str">
        <f>IF(ISERROR(IF(DB62="","",VLOOKUP(($BC62&amp;DB62&amp;"Template desconto FLAT Plano Principal Oi TV nível conta"),BENEFICIOS!$A:$G,5,0))),"Criar",IF(DB62="","",VLOOKUP(($BC62&amp;DB62&amp;"Template desconto FLAT Plano Principal Oi TV nível conta"),BENEFICIOS!$A:$G,5,0)))</f>
        <v/>
      </c>
      <c r="DD62" s="8"/>
      <c r="DE62" s="3" t="str">
        <f>IF(DD62=0,"",IF(DD62=VLOOKUP("PCS-OzTL748",ARBOR!$A:$C,3,0),0.0001,IF(DD62&gt;VLOOKUP("PCS-OzTL748",ARBOR!$A:$C,3,0),"Maior que CAP!",IF((DOLLAR(DD62+(VLOOKUP("PCS-OzTL748",ARBOR!$A:$C,3,0)*-TRUNC(DD62/VLOOKUP("PCS-OzTL748",ARBOR!$A:$C,3,0)-1,4)),6))&lt;&gt;(DOLLAR(VLOOKUP("PCS-OzTL748",ARBOR!$A:$C,3,0),6)),-TRUNC(DD62/VLOOKUP("PCS-OzTL748",ARBOR!$A:$C,3,0)-1,4)+0.0001,-TRUNC(DD62/VLOOKUP("PCS-OzTL748",ARBOR!$A:$C,3,0)-1,4)))))</f>
        <v/>
      </c>
      <c r="DF62" s="28" t="str">
        <f>IF(ISERROR(IF(DE62="","",VLOOKUP(($BC62&amp;DE62&amp;"Template desconto FLAT Plano Principal Oi TV nível conta"),BENEFICIOS!$A:$G,5,0))),"Criar",IF(DE62="","",VLOOKUP(($BC62&amp;DE62&amp;"Template desconto FLAT Plano Principal Oi TV nível conta"),BENEFICIOS!$A:$G,5,0)))</f>
        <v/>
      </c>
      <c r="DG62" s="8"/>
      <c r="DH62" s="3" t="str">
        <f>IF(DG62=0,"",IF(DG62=VLOOKUP("PCS-OzTL34",ARBOR!$A:$C,3,0),0.0001,IF(DG62&gt;VLOOKUP("PCS-OzTL34",ARBOR!$A:$C,3,0),"Maior que CAP!",IF((DOLLAR(DG62+(VLOOKUP("PCS-OzTL34",ARBOR!$A:$C,3,0)*-TRUNC(DG62/VLOOKUP("PCS-OzTL34",ARBOR!$A:$C,3,0)-1,4)),6))&lt;&gt;(DOLLAR(VLOOKUP("PCS-OzTL34",ARBOR!$A:$C,3,0),6)),-TRUNC(DG62/VLOOKUP("PCS-OzTL34",ARBOR!$A:$C,3,0)-1,4)+0.0001,-TRUNC(DG62/VLOOKUP("PCS-OzTL34",ARBOR!$A:$C,3,0)-1,4)))))</f>
        <v/>
      </c>
      <c r="DI62" s="28" t="str">
        <f>IF(DH62="S/Desc","S/Desc",IF(ISERROR(IF(DH62="","",VLOOKUP(($BC62&amp;DH62&amp;"Template desconto % Combate nível conta"),BENEFICIOS!$A:$G,5,0))),"Criar",IF(DH62="","",VLOOKUP(($BC62&amp;DH62&amp;"Template desconto % Combate nível conta"),BENEFICIOS!$A:$G,5,0))))</f>
        <v/>
      </c>
      <c r="DJ62" s="8"/>
      <c r="DK62" s="3" t="str">
        <f>IF(DJ62=0,"",IF(DJ62=VLOOKUP("PCS-OzTL31",ARBOR!$A:$C,3,0),0.0001,IF(DJ62&gt;VLOOKUP("PCS-OzTL31",ARBOR!$A:$C,3,0),"Maior que CAP!",IF((DOLLAR(DJ62+(VLOOKUP("PCS-OzTL31",ARBOR!$A:$C,3,0)*-TRUNC(DJ62/VLOOKUP("PCS-OzTL31",ARBOR!$A:$C,3,0)-1,4)),6))&lt;&gt;(DOLLAR(VLOOKUP("PCS-OzTL31",ARBOR!$A:$C,3,0),6)),-TRUNC(DJ62/VLOOKUP("PCS-OzTL31",ARBOR!$A:$C,3,0)-1,4)+0.0001,-TRUNC(DJ62/VLOOKUP("PCS-OzTL31",ARBOR!$A:$C,3,0)-1,4)))))</f>
        <v/>
      </c>
      <c r="DL62" s="28" t="str">
        <f>IF(DK62="S/Desc","S/Desc",IF(ISERROR(IF(DK62="","",VLOOKUP(($BC62&amp;DK62&amp;"Template desconto % Sexy Hot nível conta"),BENEFICIOS!$A:$G,5,0))),"Criar",IF(DK62="","",VLOOKUP(($BC62&amp;DK62&amp;"Template desconto % Sexy Hot nível conta"),BENEFICIOS!$A:$G,5,0))))</f>
        <v/>
      </c>
      <c r="DM62" s="8"/>
      <c r="DN62" s="3" t="str">
        <f>IF(DM62=0,"",IF(DM62=VLOOKUP("PCS-OzTL32",ARBOR!$A:$C,3,0),0.0001,IF(DM62&gt;VLOOKUP("PCS-OzTL32",ARBOR!$A:$C,3,0),"Maior que CAP!",IF((DOLLAR(DM62+(VLOOKUP("PCS-OzTL32",ARBOR!$A:$C,3,0)*-TRUNC(DM62/VLOOKUP("PCS-OzTL32",ARBOR!$A:$C,3,0)-1,4)),6))&lt;&gt;(DOLLAR(VLOOKUP("PCS-OzTL32",ARBOR!$A:$C,3,0),6)),-TRUNC(DM62/VLOOKUP("PCS-OzTL32",ARBOR!$A:$C,3,0)-1,4)+0.0001,-TRUNC(DM62/VLOOKUP("PCS-OzTL32",ARBOR!$A:$C,3,0)-1,4)))))</f>
        <v/>
      </c>
      <c r="DO62" s="28" t="str">
        <f>IF(DN62="S/Desc","S/Desc",IF(ISERROR(IF(DN62="","",VLOOKUP(($BC62&amp;DN62&amp;"Template desconto % Playboy nível conta"),BENEFICIOS!$A:$G,5,0))),"Criar",IF(DN62="","",VLOOKUP(($BC62&amp;DN62&amp;"Template desconto % Playboy nível conta"),BENEFICIOS!$A:$G,5,0))))</f>
        <v/>
      </c>
      <c r="DP62" s="8"/>
      <c r="DQ62" s="3" t="str">
        <f>IF(DP62=0,"",IF(DP62=VLOOKUP("PCS-OzTL33",ARBOR!$A:$C,3,0),0.0001,IF(DP62&gt;VLOOKUP("PCS-OzTL33",ARBOR!$A:$C,3,0),"Maior que CAP!",IF((DOLLAR(DP62+(VLOOKUP("PCS-OzTL33",ARBOR!$A:$C,3,0)*-TRUNC(DP62/VLOOKUP("PCS-OzTL33",ARBOR!$A:$C,3,0)-1,4)),6))&lt;&gt;(DOLLAR(VLOOKUP("PCS-OzTL33",ARBOR!$A:$C,3,0),6)),-TRUNC(DP62/VLOOKUP("PCS-OzTL33",ARBOR!$A:$C,3,0)-1,4)+0.0001,-TRUNC(DP62/VLOOKUP("PCS-OzTL33",ARBOR!$A:$C,3,0)-1,4)))))</f>
        <v/>
      </c>
      <c r="DR62" s="28" t="str">
        <f>IF(DQ62="S/Desc","S/Desc",IF(ISERROR(IF(DQ62="","",VLOOKUP(($BC62&amp;DQ62&amp;"Template desconto % Sexy Hot + Playboy nível conta"),BENEFICIOS!$A:$G,5,0))),"Criar",IF(DQ62="","",VLOOKUP(($BC62&amp;DQ62&amp;"Template desconto % Sexy Hot + Playboy nível conta"),BENEFICIOS!$A:$G,5,0))))</f>
        <v/>
      </c>
      <c r="DS62" s="8"/>
      <c r="DT62" s="3" t="str">
        <f>IF(DS62=0,"",IF(DS62=VLOOKUP("PCS-OzTL503",ARBOR!$A:$C,3,0),0.0001,IF(DS62&gt;VLOOKUP("PCS-OzTL503",ARBOR!$A:$C,3,0),"Maior que CAP!",IF((DOLLAR(DS62+(VLOOKUP("PCS-OzTL503",ARBOR!$A:$C,3,0)*-TRUNC(DS62/VLOOKUP("PCS-OzTL503",ARBOR!$A:$C,3,0)-1,4)),6))&lt;&gt;(DOLLAR(VLOOKUP("PCS-OzTL503",ARBOR!$A:$C,3,0),6)),-TRUNC(DS62/VLOOKUP("PCS-OzTL503",ARBOR!$A:$C,3,0)-1,4)+0.0001,-TRUNC(DS62/VLOOKUP("PCS-OzTL503",ARBOR!$A:$C,3,0)-1,4)))))</f>
        <v/>
      </c>
      <c r="DU62" s="28" t="str">
        <f>IF(DT62="S/Desc","S/Desc",IF(ISERROR(IF(DT62="","",VLOOKUP(($BC62&amp;DT62&amp;"Template desconto % SexPrivê nível conta"),BENEFICIOS!$A:$G,5,0))),"Criar",IF(DT62="","",VLOOKUP(($BC62&amp;DT62&amp;"Template desconto % SexPrivê nível conta"),BENEFICIOS!$A:$G,5,0))))</f>
        <v/>
      </c>
      <c r="DV62" s="8"/>
      <c r="DW62" s="3" t="str">
        <f>IF(DV62=0,"",IF(DV62=VLOOKUP("PCS-OzTL500",ARBOR!$A:$C,3,0),0.0001,IF(DV62&gt;VLOOKUP("PCS-OzTL500",ARBOR!$A:$C,3,0),"Maior que CAP!",IF((DOLLAR(DV62+(VLOOKUP("PCS-OzTL500",ARBOR!$A:$C,3,0)*-TRUNC(DV62/VLOOKUP("PCS-OzTL500",ARBOR!$A:$C,3,0)-1,4)),6))&lt;&gt;(DOLLAR(VLOOKUP("PCS-OzTL500",ARBOR!$A:$C,3,0),6)),-TRUNC(DV62/VLOOKUP("PCS-OzTL500",ARBOR!$A:$C,3,0)-1,4)+0.0001,-TRUNC(DV62/VLOOKUP("PCS-OzTL500",ARBOR!$A:$C,3,0)-1,4)))))</f>
        <v/>
      </c>
      <c r="DX62" s="28" t="str">
        <f>IF(DW62="S/Desc","S/Desc",IF(ISERROR(IF(DW62="","",VLOOKUP(($BC62&amp;DW62&amp;"Template desconto % Étnico nível conta"),BENEFICIOS!$A:$G,5,0))),"Criar",IF(DW62="","",VLOOKUP(($BC62&amp;DW62&amp;"Template desconto % Étnico nível conta"),BENEFICIOS!$A:$G,5,0))))</f>
        <v/>
      </c>
      <c r="DY62" s="8"/>
      <c r="DZ62" s="181" t="str">
        <f>IF(DY62=0,"",IF(DY62=VLOOKUP("PCS-OzTL50",ARBOR!$A:$C,3,0),0.0001,IF(DY62&gt;VLOOKUP("PCS-OzTL50",ARBOR!$A:$C,3,0),"Maior que CAP!",IF((DOLLAR(DY62+(VLOOKUP("PCS-OzTL50",ARBOR!$A:$C,3,0)*-TRUNC(DY62/VLOOKUP("PCS-OzTL50",ARBOR!$A:$C,3,0)-1,4)),6))&lt;&gt;(DOLLAR(VLOOKUP("PCS-OzTL50",ARBOR!$A:$C,3,0),6)),-TRUNC(DY62/VLOOKUP("PCS-OzTL50",ARBOR!$A:$C,3,0)-1,4)+0.0001,-TRUNC(DY62/VLOOKUP("PCS-OzTL50",ARBOR!$A:$C,3,0)-1,4)))))</f>
        <v/>
      </c>
      <c r="EA62" s="28"/>
      <c r="EB62" s="8"/>
      <c r="EC62" s="181" t="str">
        <f>IF(EB62=0,"",IF(EB62=VLOOKUP("PCS-OzTL51",ARBOR!$A:$C,3,0),0.0001,IF(EB62&gt;VLOOKUP("PCS-OzTL51",ARBOR!$A:$C,3,0),"Maior que CAP!",IF((DOLLAR(EB62+(VLOOKUP("PCS-OzTL51",ARBOR!$A:$C,3,0)*-TRUNC(EB62/VLOOKUP("PCS-OzTL51",ARBOR!$A:$C,3,0)-1,4)),6))&lt;&gt;(DOLLAR(VLOOKUP("PCS-OzTL51",ARBOR!$A:$C,3,0),6)),-TRUNC(EB62/VLOOKUP("PCS-OzTL51",ARBOR!$A:$C,3,0)-1,4)+0.0001,-TRUNC(EB62/VLOOKUP("PCS-OzTL51",ARBOR!$A:$C,3,0)-1,4)))))</f>
        <v/>
      </c>
      <c r="ED62" s="28"/>
      <c r="EE62" s="8"/>
      <c r="EF62" s="181" t="str">
        <f>IF(EE62=0,"",IF(EE62=VLOOKUP("PCS-OzTL52",ARBOR!$A:$C,3,0),0.0001,IF(EE62&gt;VLOOKUP("PCS-OzTL52",ARBOR!$A:$C,3,0),"Maior que CAP!",IF((DOLLAR(EE62+(VLOOKUP("PCS-OzTL52",ARBOR!$A:$C,3,0)*-TRUNC(EE62/VLOOKUP("PCS-OzTL52",ARBOR!$A:$C,3,0)-1,4)),6))&lt;&gt;(DOLLAR(VLOOKUP("PCS-OzTL52",ARBOR!$A:$C,3,0),6)),-TRUNC(EE62/VLOOKUP("PCS-OzTL52",ARBOR!$A:$C,3,0)-1,4)+0.0001,-TRUNC(EE62/VLOOKUP("PCS-OzTL52",ARBOR!$A:$C,3,0)-1,4)))))</f>
        <v/>
      </c>
      <c r="EG62" s="28"/>
      <c r="EH62" s="8"/>
      <c r="EI62" s="181" t="str">
        <f>IF(EH62=0,"",IF(EH62=VLOOKUP("PCS-OzTL53",ARBOR!$A:$C,3,0),0.0001,IF(EH62&gt;VLOOKUP("PCS-OzTL53",ARBOR!$A:$C,3,0),"Maior que CAP!",IF((DOLLAR(EH62+(VLOOKUP("PCS-OzTL53",ARBOR!$A:$C,3,0)*-TRUNC(EH62/VLOOKUP("PCS-OzTL53",ARBOR!$A:$C,3,0)-1,4)),6))&lt;&gt;(DOLLAR(VLOOKUP("PCS-OzTL53",ARBOR!$A:$C,3,0),6)),-TRUNC(EH62/VLOOKUP("PCS-OzTL53",ARBOR!$A:$C,3,0)-1,4)+0.0001,-TRUNC(EH62/VLOOKUP("PCS-OzTL53",ARBOR!$A:$C,3,0)-1,4)))))</f>
        <v/>
      </c>
      <c r="EJ62" s="28"/>
      <c r="EK62" s="8"/>
      <c r="EL62" s="181" t="str">
        <f>IF(EK62=0,"",IF(EK62=VLOOKUP("PCS-OzTL54",ARBOR!$A:$C,3,0),0.0001,IF(EK62&gt;VLOOKUP("PCS-OzTL54",ARBOR!$A:$C,3,0),"Maior que CAP!",IF((DOLLAR(EK62+(VLOOKUP("PCS-OzTL54",ARBOR!$A:$C,3,0)*-TRUNC(EK62/VLOOKUP("PCS-OzTL54",ARBOR!$A:$C,3,0)-1,4)),6))&lt;&gt;(DOLLAR(VLOOKUP("PCS-OzTL54",ARBOR!$A:$C,3,0),6)),-TRUNC(EK62/VLOOKUP("PCS-OzTL54",ARBOR!$A:$C,3,0)-1,4)+0.0001,-TRUNC(EK62/VLOOKUP("PCS-OzTL54",ARBOR!$A:$C,3,0)-1,4)))))</f>
        <v/>
      </c>
      <c r="EM62" s="28"/>
      <c r="EN62" s="8"/>
      <c r="EO62" s="3" t="str">
        <f>IF(EN62=0,"",IF(EN62=VLOOKUP("PCS-OzTL99",ARBOR!$A:$C,3,0),0.0001,IF(EN62&gt;VLOOKUP("PCS-OzTL99",ARBOR!$A:$C,3,0),"Maior que CAP!",IF((DOLLAR(EN62+(VLOOKUP("PCS-OzTL99",ARBOR!$A:$C,3,0)*-TRUNC(EN62/VLOOKUP("PCS-OzTL99",ARBOR!$A:$C,3,0)-1,4)),6))&lt;&gt;(DOLLAR(VLOOKUP("PCS-OzTL99",ARBOR!$A:$C,3,0),6)),-TRUNC(EN62/VLOOKUP("PCS-OzTL99",ARBOR!$A:$C,3,0)-1,4)+0.0001,-TRUNC(EN62/VLOOKUP("PCS-OzTL99",ARBOR!$A:$C,3,0)-1,4)))))</f>
        <v/>
      </c>
      <c r="EP62" s="28" t="str">
        <f>IF(EO62="S/Desc","S/Desc",IF(ISERROR(IF(EO62="","",VLOOKUP(($BC62&amp;EO62&amp;"Template desconto % Ponto adicional nível conta"),BENEFICIOS!$A:$G,5,0))),"Criar",IF(EO62="","",VLOOKUP(($BC62&amp;EO62&amp;"Template desconto % Ponto adicional nível conta"),BENEFICIOS!$A:$G,5,0))))</f>
        <v/>
      </c>
      <c r="EQ62" s="8"/>
      <c r="ER62" s="28" t="str">
        <f t="shared" si="23"/>
        <v/>
      </c>
      <c r="ES62" s="62"/>
      <c r="ET62" s="126"/>
      <c r="EU62" s="127"/>
      <c r="EV62" s="126"/>
      <c r="EW62" s="128" t="str">
        <f t="shared" si="24"/>
        <v/>
      </c>
      <c r="EX62" s="129" t="str">
        <f t="shared" si="25"/>
        <v/>
      </c>
      <c r="EY62" s="91" t="str">
        <f t="shared" si="26"/>
        <v/>
      </c>
      <c r="EZ62" s="85"/>
      <c r="FA62" s="97"/>
      <c r="FB62" s="91"/>
      <c r="FC62" s="85"/>
      <c r="FD62" s="97"/>
      <c r="FE62" s="91"/>
      <c r="FF62" s="87"/>
      <c r="FG62" s="144" t="str">
        <f t="shared" si="5"/>
        <v/>
      </c>
      <c r="FH62" s="144" t="str">
        <f t="shared" si="6"/>
        <v/>
      </c>
      <c r="FI62" s="144" t="str">
        <f t="shared" si="7"/>
        <v/>
      </c>
      <c r="FJ62" s="144" t="str">
        <f t="shared" si="8"/>
        <v/>
      </c>
      <c r="FK62" s="144" t="str">
        <f t="shared" si="9"/>
        <v/>
      </c>
      <c r="FL62" s="144" t="str">
        <f t="shared" si="10"/>
        <v/>
      </c>
      <c r="FM62" s="144" t="str">
        <f t="shared" si="11"/>
        <v/>
      </c>
      <c r="FN62" s="144" t="str">
        <f t="shared" si="12"/>
        <v/>
      </c>
      <c r="FO62" s="144" t="str">
        <f t="shared" si="13"/>
        <v/>
      </c>
      <c r="FP62" s="144" t="str">
        <f t="shared" si="14"/>
        <v/>
      </c>
      <c r="FQ62" s="144" t="str">
        <f t="shared" si="15"/>
        <v/>
      </c>
      <c r="FR62" s="144" t="str">
        <f t="shared" si="16"/>
        <v/>
      </c>
      <c r="FS62" s="144" t="str">
        <f t="shared" si="17"/>
        <v/>
      </c>
      <c r="FT62" s="144" t="str">
        <f t="shared" si="18"/>
        <v/>
      </c>
      <c r="FU62" s="144" t="str">
        <f t="shared" si="19"/>
        <v/>
      </c>
      <c r="FV62" s="144" t="str">
        <f t="shared" si="20"/>
        <v/>
      </c>
      <c r="FW62" s="144" t="str">
        <f t="shared" si="21"/>
        <v/>
      </c>
      <c r="FX62" s="151"/>
      <c r="FY62" s="152"/>
      <c r="FZ62" s="152"/>
      <c r="GA62" s="152"/>
      <c r="GB62" s="152"/>
      <c r="GC62" s="152"/>
      <c r="GD62" s="152"/>
      <c r="GE62" s="152"/>
      <c r="GF62" s="152"/>
      <c r="GG62" s="153"/>
    </row>
    <row r="63" spans="1:189">
      <c r="A63" s="45"/>
      <c r="B63" s="133"/>
      <c r="C63" s="133"/>
      <c r="D63" s="46"/>
      <c r="E63" s="4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9"/>
      <c r="U63" s="48"/>
      <c r="V63" s="49"/>
      <c r="W63" s="48"/>
      <c r="X63" s="48"/>
      <c r="Y63" s="48"/>
      <c r="Z63" s="48"/>
      <c r="AA63" s="49"/>
      <c r="AB63" s="48"/>
      <c r="AC63" s="50"/>
      <c r="AD63" s="48"/>
      <c r="AE63" s="48"/>
      <c r="AF63" s="48"/>
      <c r="AG63" s="48"/>
      <c r="AH63" s="48"/>
      <c r="AI63" s="48"/>
      <c r="AJ63" s="48"/>
      <c r="AK63" s="48"/>
      <c r="AL63" s="51"/>
      <c r="AM63" s="37"/>
      <c r="AN63" s="38"/>
      <c r="AO63" s="39"/>
      <c r="AP63" s="52"/>
      <c r="AQ63" s="53"/>
      <c r="AR63" s="64"/>
      <c r="AS63" s="65"/>
      <c r="AT63" s="54"/>
      <c r="AU63" s="54"/>
      <c r="AV63" s="54"/>
      <c r="AW63" s="54"/>
      <c r="AX63" s="70"/>
      <c r="AY63" s="71"/>
      <c r="AZ63" s="72"/>
      <c r="BA63" s="73"/>
      <c r="BB63" s="55"/>
      <c r="BC63" s="56"/>
      <c r="BD63" s="27" t="str">
        <f t="shared" si="22"/>
        <v/>
      </c>
      <c r="BE63" s="58"/>
      <c r="BF63" s="3" t="str">
        <f>IF(BE63=0,"",IF(BE63=VLOOKUP("FIXO",ARBOR!$A:$C,3,0),0.0001,IF(BE63&gt;VLOOKUP("FIXO",ARBOR!$A:$C,3,0),"Maior que CAP!",IF((DOLLAR(BE63+(VLOOKUP("FIXO",ARBOR!$A:$C,3,0)*-TRUNC(BE63/VLOOKUP("FIXO",ARBOR!$A:$C,3,0)-1,4)),6))&lt;&gt;(DOLLAR(VLOOKUP("FIXO",ARBOR!$A:$C,3,0),6)),-TRUNC(BE63/VLOOKUP("FIXO",ARBOR!$A:$C,3,0)-1,4)+0.0001,-TRUNC(BE63/VLOOKUP("FIXO",ARBOR!$A:$C,3,0)-1,4)))))</f>
        <v/>
      </c>
      <c r="BG63" s="10" t="str">
        <f>IF(ISERROR(IF(BF63="","",VLOOKUP(($BC63&amp;BF63&amp;"Template de desconto FLAT bundle - Fixo - Varejo - Ganho Tributário Cross"),BENEFICIOS!$A:$G,5,0))),"Criar",IF(BF63="","",VLOOKUP(($BC63&amp;BF63&amp;"Template de desconto FLAT bundle - Fixo - Varejo - Ganho Tributário Cross"),BENEFICIOS!$A:$G,5,0)))</f>
        <v/>
      </c>
      <c r="BH63" s="8"/>
      <c r="BI63" s="3" t="str">
        <f>IF(BH63=0,"",IF(BH63=VLOOKUP("PCS-OzTL40",ARBOR!$A:$C,3,0),0.0001,IF(BH63&gt;VLOOKUP("PCS-OzTL40",ARBOR!$A:$C,3,0),"Maior que CAP!",IF((DOLLAR(BH63+(VLOOKUP("PCS-OzTL40",ARBOR!$A:$C,3,0)*-TRUNC(BH63/VLOOKUP("PCS-OzTL40",ARBOR!$A:$C,3,0)-1,4)),6))&lt;&gt;(DOLLAR(VLOOKUP("PCS-OzTL40",ARBOR!$A:$C,3,0),6)),-TRUNC(BH63/VLOOKUP("PCS-OzTL40",ARBOR!$A:$C,3,0)-1,4)+0.0001,-TRUNC(BH63/VLOOKUP("PCS-OzTL40",ARBOR!$A:$C,3,0)-1,4)))))</f>
        <v/>
      </c>
      <c r="BJ63" s="10" t="str">
        <f>IF(ISERROR(IF(BI63="","",VLOOKUP((BC63&amp;BI63&amp;"Template desconto FLAT Plano Principal Oi TV nível conta"),BENEFICIOS!$A:$G,5,0))),"Criar",IF(BI63="","",VLOOKUP((BC63&amp;BI63&amp;"Template desconto FLAT Plano Principal Oi TV nível conta"),BENEFICIOS!$A:$G,5,0)))</f>
        <v/>
      </c>
      <c r="BK63" s="8"/>
      <c r="BL63" s="3" t="str">
        <f>IF(BK63=0,"",IF(BK63=VLOOKUP("PCS-OzTL41",ARBOR!$A:$C,3,0),0.0001,IF(BK63&gt;VLOOKUP("PCS-OzTL41",ARBOR!$A:$C,3,0),"Maior que CAP!",IF((DOLLAR(BK63+(VLOOKUP("PCS-OzTL41",ARBOR!$A:$C,3,0)*-TRUNC(BK63/VLOOKUP("PCS-OzTL41",ARBOR!$A:$C,3,0)-1,4)),6))&lt;&gt;(DOLLAR(VLOOKUP("PCS-OzTL41",ARBOR!$A:$C,3,0),6)),-TRUNC(BK63/VLOOKUP("PCS-OzTL41",ARBOR!$A:$C,3,0)-1,4)+0.0001,-TRUNC(BK63/VLOOKUP("PCS-OzTL41",ARBOR!$A:$C,3,0)-1,4)))))</f>
        <v/>
      </c>
      <c r="BM63" s="28" t="str">
        <f>IF(ISERROR(IF(BL63="","",VLOOKUP((BC63&amp;BL63&amp;"Template desconto FLAT Plano Principal Oi TV nível conta"),BENEFICIOS!$A:$G,5,0))),"Criar",IF(BL63="","",VLOOKUP((BC63&amp;BL63&amp;"Template desconto FLAT Plano Principal Oi TV nível conta"),BENEFICIOS!$A:$G,5,0)))</f>
        <v/>
      </c>
      <c r="BN63" s="8"/>
      <c r="BO63" s="3" t="str">
        <f>IF(BN63=0,"",IF(BN63=VLOOKUP("PCS-OzTL44",ARBOR!$A:$C,3,0),0.0001,IF(BN63&gt;VLOOKUP("PCS-OzTL44",ARBOR!$A:$C,3,0),"Maior que CAP!",IF((DOLLAR(BN63+(VLOOKUP("PCS-OzTL44",ARBOR!$A:$C,3,0)*-TRUNC(BN63/VLOOKUP("PCS-OzTL44",ARBOR!$A:$C,3,0)-1,4)),6))&lt;&gt;(DOLLAR(VLOOKUP("PCS-OzTL44",ARBOR!$A:$C,3,0),6)),-TRUNC(BN63/VLOOKUP("PCS-OzTL44",ARBOR!$A:$C,3,0)-1,4)+0.0001,-TRUNC(BN63/VLOOKUP("PCS-OzTL44",ARBOR!$A:$C,3,0)-1,4)))))</f>
        <v/>
      </c>
      <c r="BP63" s="28" t="str">
        <f>IF(ISERROR(IF(BO63="","",VLOOKUP((BC63&amp;BO63&amp;"Template desconto FLAT Plano Principal Oi TV nível conta"),BENEFICIOS!$A:$G,5,0))),"Criar",IF(BO63="","",VLOOKUP((BC63&amp;BO63&amp;"Template desconto FLAT Plano Principal Oi TV nível conta"),BENEFICIOS!$A:$G,5,0)))</f>
        <v/>
      </c>
      <c r="BQ63" s="8"/>
      <c r="BR63" s="3" t="str">
        <f>IF(BQ63=0,"",IF(BQ63=VLOOKUP("PCS-OzTL43",ARBOR!$A:$C,3,0),0.0001,IF(BQ63&gt;VLOOKUP("PCS-OzTL43",ARBOR!$A:$C,3,0),"Maior que CAP!",IF((DOLLAR(BQ63+(VLOOKUP("PCS-OzTL43",ARBOR!$A:$C,3,0)*-TRUNC(BQ63/VLOOKUP("PCS-OzTL43",ARBOR!$A:$C,3,0)-1,4)),6))&lt;&gt;(DOLLAR(VLOOKUP("PCS-OzTL43",ARBOR!$A:$C,3,0),6)),-TRUNC(BQ63/VLOOKUP("PCS-OzTL43",ARBOR!$A:$C,3,0)-1,4)+0.0001,-TRUNC(BQ63/VLOOKUP("PCS-OzTL43",ARBOR!$A:$C,3,0)-1,4)))))</f>
        <v/>
      </c>
      <c r="BS63" s="28" t="str">
        <f>IF(ISERROR(IF(BR63="","",VLOOKUP((BC63&amp;BR63&amp;"Template desconto FLAT Plano Principal Oi TV nível conta"),BENEFICIOS!$A:$G,5,0))),"Criar",IF(BR63="","",VLOOKUP((BC63&amp;BR63&amp;"Template desconto FLAT Plano Principal Oi TV nível conta"),BENEFICIOS!$A:$G,5,0)))</f>
        <v/>
      </c>
      <c r="BT63" s="8"/>
      <c r="BU63" s="3" t="str">
        <f>IF(BT63=0,"",IF(BT63=VLOOKUP("PCS-OzTL45",ARBOR!$A:$C,3,0),0.0001,IF(BT63&gt;VLOOKUP("PCS-OzTL45",ARBOR!$A:$C,3,0),"Maior que CAP!",IF((DOLLAR(BT63+(VLOOKUP("PCS-OzTL45",ARBOR!$A:$C,3,0)*-TRUNC(BT63/VLOOKUP("PCS-OzTL45",ARBOR!$A:$C,3,0)-1,4)),6))&lt;&gt;(DOLLAR(VLOOKUP("PCS-OzTL45",ARBOR!$A:$C,3,0),6)),-TRUNC(BT63/VLOOKUP("PCS-OzTL45",ARBOR!$A:$C,3,0)-1,4)+0.0001,-TRUNC(BT63/VLOOKUP("PCS-OzTL45",ARBOR!$A:$C,3,0)-1,4)))))</f>
        <v/>
      </c>
      <c r="BV63" s="28" t="str">
        <f>IF(ISERROR(IF(BU63="","",VLOOKUP((BC63&amp;BU63&amp;"Template desconto FLAT Plano Principal Oi TV nível conta"),BENEFICIOS!$A:$G,5,0))),"Criar",IF(BU63="","",VLOOKUP((BC63&amp;BU63&amp;"Template desconto FLAT Plano Principal Oi TV nível conta"),BENEFICIOS!$A:$G,5,0)))</f>
        <v/>
      </c>
      <c r="BW63" s="8"/>
      <c r="BX63" s="3" t="str">
        <f>IF(BW63=0,"",IF(BW63=VLOOKUP("PCS-OzTL741",ARBOR!$A:$C,3,0),0.0001,IF(BW63&gt;VLOOKUP("PCS-OzTL741",ARBOR!$A:$C,3,0),"Maior que CAP!",IF((DOLLAR(BW63+(VLOOKUP("PCS-OzTL741",ARBOR!$A:$C,3,0)*-TRUNC(BW63/VLOOKUP("PCS-OzTL741",ARBOR!$A:$C,3,0)-1,4)),6))&lt;&gt;(DOLLAR(VLOOKUP("PCS-OzTL741",ARBOR!$A:$C,3,0),6)),-TRUNC(BW63/VLOOKUP("PCS-OzTL741",ARBOR!$A:$C,3,0)-1,4)+0.0001,-TRUNC(BW63/VLOOKUP("PCS-OzTL741",ARBOR!$A:$C,3,0)-1,4)))))</f>
        <v/>
      </c>
      <c r="BY63" s="28" t="str">
        <f>IF(ISERROR(IF(BX63="","",VLOOKUP((BC63&amp;BX63&amp;"Template desconto FLAT Plano Principal Oi TV nível conta"),BENEFICIOS!$A:$G,5,0))),"Criar",IF(BX63="","",VLOOKUP((BC63&amp;BX63&amp;"Template desconto FLAT Plano Principal Oi TV nível conta"),BENEFICIOS!$A:$G,5,0)))</f>
        <v/>
      </c>
      <c r="BZ63" s="8"/>
      <c r="CA63" s="3" t="str">
        <f>IF(BZ63=0,"",IF(BZ63=VLOOKUP("PCS-OzTL744",ARBOR!$A:$C,3,0),0.0001,IF(BZ63&gt;VLOOKUP("PCS-OzTL744",ARBOR!$A:$C,3,0),"Maior que CAP!",IF((DOLLAR(BZ63+(VLOOKUP("PCS-OzTL744",ARBOR!$A:$C,3,0)*-TRUNC(BZ63/VLOOKUP("PCS-OzTL744",ARBOR!$A:$C,3,0)-1,4)),6))&lt;&gt;(DOLLAR(VLOOKUP("PCS-OzTL744",ARBOR!$A:$C,3,0),6)),-TRUNC(BZ63/VLOOKUP("PCS-OzTL744",ARBOR!$A:$C,3,0)-1,4)+0.0001,-TRUNC(BZ63/VLOOKUP("PCS-OzTL744",ARBOR!$A:$C,3,0)-1,4)))))</f>
        <v/>
      </c>
      <c r="CB63" s="28" t="str">
        <f>IF(ISERROR(IF(CA63="","",VLOOKUP(($BC63&amp;CA63&amp;"Template desconto FLAT Plano Principal Oi TV nível conta"),BENEFICIOS!$A:$G,5,0))),"Criar",IF(CA63="","",VLOOKUP(($BC63&amp;CA63&amp;"Template desconto FLAT Plano Principal Oi TV nível conta"),BENEFICIOS!$A:$G,5,0)))</f>
        <v/>
      </c>
      <c r="CC63" s="8"/>
      <c r="CD63" s="3" t="str">
        <f>IF(CC63=0,"",IF(CC63=VLOOKUP("PCS-OzTL743",ARBOR!$A:$C,3,0),0.0001,IF(CC63&gt;VLOOKUP("PCS-OzTL743",ARBOR!$A:$C,3,0),"Maior que CAP!",IF((DOLLAR(CC63+(VLOOKUP("PCS-OzTL743",ARBOR!$A:$C,3,0)*-TRUNC(CC63/VLOOKUP("PCS-OzTL743",ARBOR!$A:$C,3,0)-1,4)),6))&lt;&gt;(DOLLAR(VLOOKUP("PCS-OzTL743",ARBOR!$A:$C,3,0),6)),-TRUNC(CC63/VLOOKUP("PCS-OzTL743",ARBOR!$A:$C,3,0)-1,4)+0.0001,-TRUNC(CC63/VLOOKUP("PCS-OzTL743",ARBOR!$A:$C,3,0)-1,4)))))</f>
        <v/>
      </c>
      <c r="CE63" s="28" t="str">
        <f>IF(ISERROR(IF(CD63="","",VLOOKUP(($BC63&amp;CD63&amp;"Template desconto FLAT Plano Principal Oi TV nível conta"),BENEFICIOS!$A:$G,5,0))),"Criar",IF(CD63="","",VLOOKUP(($BC63&amp;CD63&amp;"Template desconto FLAT Plano Principal Oi TV nível conta"),BENEFICIOS!$A:$G,5,0)))</f>
        <v/>
      </c>
      <c r="CF63" s="8"/>
      <c r="CG63" s="3" t="str">
        <f>IF(CF63=0,"",IF(CF63=VLOOKUP("PCS-OzTL745",ARBOR!$A:$C,3,0),0.0001,IF(CF63&gt;VLOOKUP("PCS-OzTL745",ARBOR!$A:$C,3,0),"Maior que CAP!",IF((DOLLAR(CF63+(VLOOKUP("PCS-OzTL745",ARBOR!$A:$C,3,0)*-TRUNC(CF63/VLOOKUP("PCS-OzTL745",ARBOR!$A:$C,3,0)-1,4)),6))&lt;&gt;(DOLLAR(VLOOKUP("PCS-OzTL745",ARBOR!$A:$C,3,0),6)),-TRUNC(CF63/VLOOKUP("PCS-OzTL745",ARBOR!$A:$C,3,0)-1,4)+0.0001,-TRUNC(CF63/VLOOKUP("PCS-OzTL745",ARBOR!$A:$C,3,0)-1,4)))))</f>
        <v/>
      </c>
      <c r="CH63" s="28" t="str">
        <f>IF(ISERROR(IF(CG63="","",VLOOKUP(($BC63&amp;CG63&amp;"Template desconto FLAT Plano Principal Oi TV nível conta"),BENEFICIOS!$A:$G,5,0))),"Criar",IF(CG63="","",VLOOKUP(($BC63&amp;CG63&amp;"Template desconto FLAT Plano Principal Oi TV nível conta"),BENEFICIOS!$A:$G,5,0)))</f>
        <v/>
      </c>
      <c r="CI63" s="8"/>
      <c r="CJ63" s="3" t="str">
        <f>IF(CI63=0,"",IF(CI63=VLOOKUP("PCS-OzTL42",ARBOR!$A:$C,3,0),0.0001,IF(CI63&gt;VLOOKUP("PCS-OzTL42",ARBOR!$A:$C,3,0),"Maior que CAP!",IF((DOLLAR(CI63+(VLOOKUP("PCS-OzTL42",ARBOR!$A:$C,3,0)*-TRUNC(CI63/VLOOKUP("PCS-OzTL42",ARBOR!$A:$C,3,0)-1,4)),6))&lt;&gt;(DOLLAR(VLOOKUP("PCS-OzTL42",ARBOR!$A:$C,3,0),6)),-TRUNC(CI63/VLOOKUP("PCS-OzTL42",ARBOR!$A:$C,3,0)-1,4)+0.0001,-TRUNC(CI63/VLOOKUP("PCS-OzTL42",ARBOR!$A:$C,3,0)-1,4)))))</f>
        <v/>
      </c>
      <c r="CK63" s="28" t="str">
        <f>IF(ISERROR(IF(CJ63="","",VLOOKUP(($BC63&amp;CJ63&amp;"Template desconto FLAT Plano Principal Oi TV nível conta"),BENEFICIOS!$A:$G,5,0))),"Criar",IF(CJ63="","",VLOOKUP(($BC63&amp;CJ63&amp;"Template desconto FLAT Plano Principal Oi TV nível conta"),BENEFICIOS!$A:$G,5,0)))</f>
        <v/>
      </c>
      <c r="CL63" s="8"/>
      <c r="CM63" s="3" t="str">
        <f>IF(CL63=0,"",IF(CL63=VLOOKUP("PCS-OzTL47",ARBOR!$A:$C,3,0),0.0001,IF(CL63&gt;VLOOKUP("PCS-OzTL47",ARBOR!$A:$C,3,0),"Maior que CAP!",IF((DOLLAR(CL63+(VLOOKUP("PCS-OzTL47",ARBOR!$A:$C,3,0)*-TRUNC(CL63/VLOOKUP("PCS-OzTL47",ARBOR!$A:$C,3,0)-1,4)),6))&lt;&gt;(DOLLAR(VLOOKUP("PCS-OzTL47",ARBOR!$A:$C,3,0),6)),-TRUNC(CL63/VLOOKUP("PCS-OzTL47",ARBOR!$A:$C,3,0)-1,4)+0.0001,-TRUNC(CL63/VLOOKUP("PCS-OzTL47",ARBOR!$A:$C,3,0)-1,4)))))</f>
        <v/>
      </c>
      <c r="CN63" s="28" t="str">
        <f>IF(ISERROR(IF(CM63="","",VLOOKUP(($BC63&amp;CM63&amp;"Template desconto FLAT Plano Principal Oi TV nível conta"),BENEFICIOS!$A:$G,5,0))),"Criar",IF(CM63="","",VLOOKUP(($BC63&amp;CM63&amp;"Template desconto FLAT Plano Principal Oi TV nível conta"),BENEFICIOS!$A:$G,5,0)))</f>
        <v/>
      </c>
      <c r="CO63" s="8"/>
      <c r="CP63" s="3" t="str">
        <f>IF(CO63=0,"",IF(CO63=VLOOKUP("PCS-OzTL46",ARBOR!$A:$C,3,0),0.0001,IF(CO63&gt;VLOOKUP("PCS-OzTL46",ARBOR!$A:$C,3,0),"Maior que CAP!",IF((DOLLAR(CO63+(VLOOKUP("PCS-OzTL46",ARBOR!$A:$C,3,0)*-TRUNC(CO63/VLOOKUP("PCS-OzTL46",ARBOR!$A:$C,3,0)-1,4)),6))&lt;&gt;(DOLLAR(VLOOKUP("PCS-OzTL46",ARBOR!$A:$C,3,0),6)),-TRUNC(CO63/VLOOKUP("PCS-OzTL46",ARBOR!$A:$C,3,0)-1,4)+0.0001,-TRUNC(CO63/VLOOKUP("PCS-OzTL46",ARBOR!$A:$C,3,0)-1,4)))))</f>
        <v/>
      </c>
      <c r="CQ63" s="28" t="str">
        <f>IF(ISERROR(IF(CP63="","",VLOOKUP(($BC63&amp;CP63&amp;"Template desconto FLAT Plano Principal Oi TV nível conta"),BENEFICIOS!$A:$G,5,0))),"Criar",IF(CP63="","",VLOOKUP(($BC63&amp;CP63&amp;"Template desconto FLAT Plano Principal Oi TV nível conta"),BENEFICIOS!$A:$G,5,0)))</f>
        <v/>
      </c>
      <c r="CR63" s="8"/>
      <c r="CS63" s="3" t="str">
        <f>IF(CR63=0,"",IF(CR63=VLOOKUP("PCS-OzTL48",ARBOR!$A:$C,3,0),0.0001,IF(CR63&gt;VLOOKUP("PCS-OzTL48",ARBOR!$A:$C,3,0),"Maior que CAP!",IF((DOLLAR(CR63+(VLOOKUP("PCS-OzTL48",ARBOR!$A:$C,3,0)*-TRUNC(CR63/VLOOKUP("PCS-OzTL48",ARBOR!$A:$C,3,0)-1,4)),6))&lt;&gt;(DOLLAR(VLOOKUP("PCS-OzTL48",ARBOR!$A:$C,3,0),6)),-TRUNC(CR63/VLOOKUP("PCS-OzTL48",ARBOR!$A:$C,3,0)-1,4)+0.0001,-TRUNC(CR63/VLOOKUP("PCS-OzTL48",ARBOR!$A:$C,3,0)-1,4)))))</f>
        <v/>
      </c>
      <c r="CT63" s="28" t="str">
        <f>IF(ISERROR(IF(CS63="","",VLOOKUP(($BC63&amp;CS63&amp;"Template desconto FLAT Plano Principal Oi TV nível conta"),BENEFICIOS!$A:$G,5,0))),"Criar",IF(CS63="","",VLOOKUP(($BC63&amp;CS63&amp;"Template desconto FLAT Plano Principal Oi TV nível conta"),BENEFICIOS!$A:$G,5,0)))</f>
        <v/>
      </c>
      <c r="CU63" s="8"/>
      <c r="CV63" s="3" t="str">
        <f>IF(CU63=0,"",IF(CU63=VLOOKUP("PCS-OzTL742",ARBOR!$A:$C,3,0),0.0001,IF(CU63&gt;VLOOKUP("PCS-OzTL742",ARBOR!$A:$C,3,0),"Maior que CAP!",IF((DOLLAR(CU63+(VLOOKUP("PCS-OzTL742",ARBOR!$A:$C,3,0)*-TRUNC(CU63/VLOOKUP("PCS-OzTL742",ARBOR!$A:$C,3,0)-1,4)),6))&lt;&gt;(DOLLAR(VLOOKUP("PCS-OzTL742",ARBOR!$A:$C,3,0),6)),-TRUNC(CU63/VLOOKUP("PCS-OzTL742",ARBOR!$A:$C,3,0)-1,4)+0.0001,-TRUNC(CU63/VLOOKUP("PCS-OzTL742",ARBOR!$A:$C,3,0)-1,4)))))</f>
        <v/>
      </c>
      <c r="CW63" s="28" t="str">
        <f>IF(ISERROR(IF(CV63="","",VLOOKUP(($BC63&amp;CV63&amp;"Template desconto FLAT Plano Principal Oi TV nível conta"),BENEFICIOS!$A:$G,5,0))),"Criar",IF(CV63="","",VLOOKUP(($BC63&amp;CV63&amp;"Template desconto FLAT Plano Principal Oi TV nível conta"),BENEFICIOS!$A:$G,5,0)))</f>
        <v/>
      </c>
      <c r="CX63" s="8"/>
      <c r="CY63" s="3" t="str">
        <f>IF(CX63=0,"",IF(CX63=VLOOKUP("PCS-OzTL747",ARBOR!$A:$C,3,0),0.0001,IF(CX63&gt;VLOOKUP("PCS-OzTL747",ARBOR!$A:$C,3,0),"Maior que CAP!",IF((DOLLAR(CX63+(VLOOKUP("PCS-OzTL747",ARBOR!$A:$C,3,0)*-TRUNC(CX63/VLOOKUP("PCS-OzTL747",ARBOR!$A:$C,3,0)-1,4)),6))&lt;&gt;(DOLLAR(VLOOKUP("PCS-OzTL747",ARBOR!$A:$C,3,0),6)),-TRUNC(CX63/VLOOKUP("PCS-OzTL747",ARBOR!$A:$C,3,0)-1,4)+0.0001,-TRUNC(CX63/VLOOKUP("PCS-OzTL747",ARBOR!$A:$C,3,0)-1,4)))))</f>
        <v/>
      </c>
      <c r="CZ63" s="28" t="str">
        <f>IF(ISERROR(IF(CY63="","",VLOOKUP(($BC63&amp;CY63&amp;"Template desconto FLAT Plano Principal Oi TV nível conta"),BENEFICIOS!$A:$G,5,0))),"Criar",IF(CY63="","",VLOOKUP(($BC63&amp;CY63&amp;"Template desconto FLAT Plano Principal Oi TV nível conta"),BENEFICIOS!$A:$G,5,0)))</f>
        <v/>
      </c>
      <c r="DA63" s="8"/>
      <c r="DB63" s="3" t="str">
        <f>IF(DA63=0,"",IF(DA63=VLOOKUP("PCS-OzTL746",ARBOR!$A:$C,3,0),0.0001,IF(DA63&gt;VLOOKUP("PCS-OzTL746",ARBOR!$A:$C,3,0),"Maior que CAP!",IF((DOLLAR(DA63+(VLOOKUP("PCS-OzTL746",ARBOR!$A:$C,3,0)*-TRUNC(DA63/VLOOKUP("PCS-OzTL746",ARBOR!$A:$C,3,0)-1,4)),6))&lt;&gt;(DOLLAR(VLOOKUP("PCS-OzTL746",ARBOR!$A:$C,3,0),6)),-TRUNC(DA63/VLOOKUP("PCS-OzTL746",ARBOR!$A:$C,3,0)-1,4)+0.0001,-TRUNC(DA63/VLOOKUP("PCS-OzTL746",ARBOR!$A:$C,3,0)-1,4)))))</f>
        <v/>
      </c>
      <c r="DC63" s="28" t="str">
        <f>IF(ISERROR(IF(DB63="","",VLOOKUP(($BC63&amp;DB63&amp;"Template desconto FLAT Plano Principal Oi TV nível conta"),BENEFICIOS!$A:$G,5,0))),"Criar",IF(DB63="","",VLOOKUP(($BC63&amp;DB63&amp;"Template desconto FLAT Plano Principal Oi TV nível conta"),BENEFICIOS!$A:$G,5,0)))</f>
        <v/>
      </c>
      <c r="DD63" s="8"/>
      <c r="DE63" s="3" t="str">
        <f>IF(DD63=0,"",IF(DD63=VLOOKUP("PCS-OzTL748",ARBOR!$A:$C,3,0),0.0001,IF(DD63&gt;VLOOKUP("PCS-OzTL748",ARBOR!$A:$C,3,0),"Maior que CAP!",IF((DOLLAR(DD63+(VLOOKUP("PCS-OzTL748",ARBOR!$A:$C,3,0)*-TRUNC(DD63/VLOOKUP("PCS-OzTL748",ARBOR!$A:$C,3,0)-1,4)),6))&lt;&gt;(DOLLAR(VLOOKUP("PCS-OzTL748",ARBOR!$A:$C,3,0),6)),-TRUNC(DD63/VLOOKUP("PCS-OzTL748",ARBOR!$A:$C,3,0)-1,4)+0.0001,-TRUNC(DD63/VLOOKUP("PCS-OzTL748",ARBOR!$A:$C,3,0)-1,4)))))</f>
        <v/>
      </c>
      <c r="DF63" s="28" t="str">
        <f>IF(ISERROR(IF(DE63="","",VLOOKUP(($BC63&amp;DE63&amp;"Template desconto FLAT Plano Principal Oi TV nível conta"),BENEFICIOS!$A:$G,5,0))),"Criar",IF(DE63="","",VLOOKUP(($BC63&amp;DE63&amp;"Template desconto FLAT Plano Principal Oi TV nível conta"),BENEFICIOS!$A:$G,5,0)))</f>
        <v/>
      </c>
      <c r="DG63" s="8"/>
      <c r="DH63" s="3" t="str">
        <f>IF(DG63=0,"",IF(DG63=VLOOKUP("PCS-OzTL34",ARBOR!$A:$C,3,0),0.0001,IF(DG63&gt;VLOOKUP("PCS-OzTL34",ARBOR!$A:$C,3,0),"Maior que CAP!",IF((DOLLAR(DG63+(VLOOKUP("PCS-OzTL34",ARBOR!$A:$C,3,0)*-TRUNC(DG63/VLOOKUP("PCS-OzTL34",ARBOR!$A:$C,3,0)-1,4)),6))&lt;&gt;(DOLLAR(VLOOKUP("PCS-OzTL34",ARBOR!$A:$C,3,0),6)),-TRUNC(DG63/VLOOKUP("PCS-OzTL34",ARBOR!$A:$C,3,0)-1,4)+0.0001,-TRUNC(DG63/VLOOKUP("PCS-OzTL34",ARBOR!$A:$C,3,0)-1,4)))))</f>
        <v/>
      </c>
      <c r="DI63" s="28" t="str">
        <f>IF(DH63="S/Desc","S/Desc",IF(ISERROR(IF(DH63="","",VLOOKUP(($BC63&amp;DH63&amp;"Template desconto % Combate nível conta"),BENEFICIOS!$A:$G,5,0))),"Criar",IF(DH63="","",VLOOKUP(($BC63&amp;DH63&amp;"Template desconto % Combate nível conta"),BENEFICIOS!$A:$G,5,0))))</f>
        <v/>
      </c>
      <c r="DJ63" s="8"/>
      <c r="DK63" s="3" t="str">
        <f>IF(DJ63=0,"",IF(DJ63=VLOOKUP("PCS-OzTL31",ARBOR!$A:$C,3,0),0.0001,IF(DJ63&gt;VLOOKUP("PCS-OzTL31",ARBOR!$A:$C,3,0),"Maior que CAP!",IF((DOLLAR(DJ63+(VLOOKUP("PCS-OzTL31",ARBOR!$A:$C,3,0)*-TRUNC(DJ63/VLOOKUP("PCS-OzTL31",ARBOR!$A:$C,3,0)-1,4)),6))&lt;&gt;(DOLLAR(VLOOKUP("PCS-OzTL31",ARBOR!$A:$C,3,0),6)),-TRUNC(DJ63/VLOOKUP("PCS-OzTL31",ARBOR!$A:$C,3,0)-1,4)+0.0001,-TRUNC(DJ63/VLOOKUP("PCS-OzTL31",ARBOR!$A:$C,3,0)-1,4)))))</f>
        <v/>
      </c>
      <c r="DL63" s="28" t="str">
        <f>IF(DK63="S/Desc","S/Desc",IF(ISERROR(IF(DK63="","",VLOOKUP(($BC63&amp;DK63&amp;"Template desconto % Sexy Hot nível conta"),BENEFICIOS!$A:$G,5,0))),"Criar",IF(DK63="","",VLOOKUP(($BC63&amp;DK63&amp;"Template desconto % Sexy Hot nível conta"),BENEFICIOS!$A:$G,5,0))))</f>
        <v/>
      </c>
      <c r="DM63" s="8"/>
      <c r="DN63" s="3" t="str">
        <f>IF(DM63=0,"",IF(DM63=VLOOKUP("PCS-OzTL32",ARBOR!$A:$C,3,0),0.0001,IF(DM63&gt;VLOOKUP("PCS-OzTL32",ARBOR!$A:$C,3,0),"Maior que CAP!",IF((DOLLAR(DM63+(VLOOKUP("PCS-OzTL32",ARBOR!$A:$C,3,0)*-TRUNC(DM63/VLOOKUP("PCS-OzTL32",ARBOR!$A:$C,3,0)-1,4)),6))&lt;&gt;(DOLLAR(VLOOKUP("PCS-OzTL32",ARBOR!$A:$C,3,0),6)),-TRUNC(DM63/VLOOKUP("PCS-OzTL32",ARBOR!$A:$C,3,0)-1,4)+0.0001,-TRUNC(DM63/VLOOKUP("PCS-OzTL32",ARBOR!$A:$C,3,0)-1,4)))))</f>
        <v/>
      </c>
      <c r="DO63" s="28" t="str">
        <f>IF(DN63="S/Desc","S/Desc",IF(ISERROR(IF(DN63="","",VLOOKUP(($BC63&amp;DN63&amp;"Template desconto % Playboy nível conta"),BENEFICIOS!$A:$G,5,0))),"Criar",IF(DN63="","",VLOOKUP(($BC63&amp;DN63&amp;"Template desconto % Playboy nível conta"),BENEFICIOS!$A:$G,5,0))))</f>
        <v/>
      </c>
      <c r="DP63" s="8"/>
      <c r="DQ63" s="3" t="str">
        <f>IF(DP63=0,"",IF(DP63=VLOOKUP("PCS-OzTL33",ARBOR!$A:$C,3,0),0.0001,IF(DP63&gt;VLOOKUP("PCS-OzTL33",ARBOR!$A:$C,3,0),"Maior que CAP!",IF((DOLLAR(DP63+(VLOOKUP("PCS-OzTL33",ARBOR!$A:$C,3,0)*-TRUNC(DP63/VLOOKUP("PCS-OzTL33",ARBOR!$A:$C,3,0)-1,4)),6))&lt;&gt;(DOLLAR(VLOOKUP("PCS-OzTL33",ARBOR!$A:$C,3,0),6)),-TRUNC(DP63/VLOOKUP("PCS-OzTL33",ARBOR!$A:$C,3,0)-1,4)+0.0001,-TRUNC(DP63/VLOOKUP("PCS-OzTL33",ARBOR!$A:$C,3,0)-1,4)))))</f>
        <v/>
      </c>
      <c r="DR63" s="28" t="str">
        <f>IF(DQ63="S/Desc","S/Desc",IF(ISERROR(IF(DQ63="","",VLOOKUP(($BC63&amp;DQ63&amp;"Template desconto % Sexy Hot + Playboy nível conta"),BENEFICIOS!$A:$G,5,0))),"Criar",IF(DQ63="","",VLOOKUP(($BC63&amp;DQ63&amp;"Template desconto % Sexy Hot + Playboy nível conta"),BENEFICIOS!$A:$G,5,0))))</f>
        <v/>
      </c>
      <c r="DS63" s="8"/>
      <c r="DT63" s="3" t="str">
        <f>IF(DS63=0,"",IF(DS63=VLOOKUP("PCS-OzTL503",ARBOR!$A:$C,3,0),0.0001,IF(DS63&gt;VLOOKUP("PCS-OzTL503",ARBOR!$A:$C,3,0),"Maior que CAP!",IF((DOLLAR(DS63+(VLOOKUP("PCS-OzTL503",ARBOR!$A:$C,3,0)*-TRUNC(DS63/VLOOKUP("PCS-OzTL503",ARBOR!$A:$C,3,0)-1,4)),6))&lt;&gt;(DOLLAR(VLOOKUP("PCS-OzTL503",ARBOR!$A:$C,3,0),6)),-TRUNC(DS63/VLOOKUP("PCS-OzTL503",ARBOR!$A:$C,3,0)-1,4)+0.0001,-TRUNC(DS63/VLOOKUP("PCS-OzTL503",ARBOR!$A:$C,3,0)-1,4)))))</f>
        <v/>
      </c>
      <c r="DU63" s="28" t="str">
        <f>IF(DT63="S/Desc","S/Desc",IF(ISERROR(IF(DT63="","",VLOOKUP(($BC63&amp;DT63&amp;"Template desconto % SexPrivê nível conta"),BENEFICIOS!$A:$G,5,0))),"Criar",IF(DT63="","",VLOOKUP(($BC63&amp;DT63&amp;"Template desconto % SexPrivê nível conta"),BENEFICIOS!$A:$G,5,0))))</f>
        <v/>
      </c>
      <c r="DV63" s="8"/>
      <c r="DW63" s="3" t="str">
        <f>IF(DV63=0,"",IF(DV63=VLOOKUP("PCS-OzTL500",ARBOR!$A:$C,3,0),0.0001,IF(DV63&gt;VLOOKUP("PCS-OzTL500",ARBOR!$A:$C,3,0),"Maior que CAP!",IF((DOLLAR(DV63+(VLOOKUP("PCS-OzTL500",ARBOR!$A:$C,3,0)*-TRUNC(DV63/VLOOKUP("PCS-OzTL500",ARBOR!$A:$C,3,0)-1,4)),6))&lt;&gt;(DOLLAR(VLOOKUP("PCS-OzTL500",ARBOR!$A:$C,3,0),6)),-TRUNC(DV63/VLOOKUP("PCS-OzTL500",ARBOR!$A:$C,3,0)-1,4)+0.0001,-TRUNC(DV63/VLOOKUP("PCS-OzTL500",ARBOR!$A:$C,3,0)-1,4)))))</f>
        <v/>
      </c>
      <c r="DX63" s="28" t="str">
        <f>IF(DW63="S/Desc","S/Desc",IF(ISERROR(IF(DW63="","",VLOOKUP(($BC63&amp;DW63&amp;"Template desconto % Étnico nível conta"),BENEFICIOS!$A:$G,5,0))),"Criar",IF(DW63="","",VLOOKUP(($BC63&amp;DW63&amp;"Template desconto % Étnico nível conta"),BENEFICIOS!$A:$G,5,0))))</f>
        <v/>
      </c>
      <c r="DY63" s="8"/>
      <c r="DZ63" s="181" t="str">
        <f>IF(DY63=0,"",IF(DY63=VLOOKUP("PCS-OzTL50",ARBOR!$A:$C,3,0),0.0001,IF(DY63&gt;VLOOKUP("PCS-OzTL50",ARBOR!$A:$C,3,0),"Maior que CAP!",IF((DOLLAR(DY63+(VLOOKUP("PCS-OzTL50",ARBOR!$A:$C,3,0)*-TRUNC(DY63/VLOOKUP("PCS-OzTL50",ARBOR!$A:$C,3,0)-1,4)),6))&lt;&gt;(DOLLAR(VLOOKUP("PCS-OzTL50",ARBOR!$A:$C,3,0),6)),-TRUNC(DY63/VLOOKUP("PCS-OzTL50",ARBOR!$A:$C,3,0)-1,4)+0.0001,-TRUNC(DY63/VLOOKUP("PCS-OzTL50",ARBOR!$A:$C,3,0)-1,4)))))</f>
        <v/>
      </c>
      <c r="EA63" s="28"/>
      <c r="EB63" s="8"/>
      <c r="EC63" s="181" t="str">
        <f>IF(EB63=0,"",IF(EB63=VLOOKUP("PCS-OzTL51",ARBOR!$A:$C,3,0),0.0001,IF(EB63&gt;VLOOKUP("PCS-OzTL51",ARBOR!$A:$C,3,0),"Maior que CAP!",IF((DOLLAR(EB63+(VLOOKUP("PCS-OzTL51",ARBOR!$A:$C,3,0)*-TRUNC(EB63/VLOOKUP("PCS-OzTL51",ARBOR!$A:$C,3,0)-1,4)),6))&lt;&gt;(DOLLAR(VLOOKUP("PCS-OzTL51",ARBOR!$A:$C,3,0),6)),-TRUNC(EB63/VLOOKUP("PCS-OzTL51",ARBOR!$A:$C,3,0)-1,4)+0.0001,-TRUNC(EB63/VLOOKUP("PCS-OzTL51",ARBOR!$A:$C,3,0)-1,4)))))</f>
        <v/>
      </c>
      <c r="ED63" s="28"/>
      <c r="EE63" s="8"/>
      <c r="EF63" s="181" t="str">
        <f>IF(EE63=0,"",IF(EE63=VLOOKUP("PCS-OzTL52",ARBOR!$A:$C,3,0),0.0001,IF(EE63&gt;VLOOKUP("PCS-OzTL52",ARBOR!$A:$C,3,0),"Maior que CAP!",IF((DOLLAR(EE63+(VLOOKUP("PCS-OzTL52",ARBOR!$A:$C,3,0)*-TRUNC(EE63/VLOOKUP("PCS-OzTL52",ARBOR!$A:$C,3,0)-1,4)),6))&lt;&gt;(DOLLAR(VLOOKUP("PCS-OzTL52",ARBOR!$A:$C,3,0),6)),-TRUNC(EE63/VLOOKUP("PCS-OzTL52",ARBOR!$A:$C,3,0)-1,4)+0.0001,-TRUNC(EE63/VLOOKUP("PCS-OzTL52",ARBOR!$A:$C,3,0)-1,4)))))</f>
        <v/>
      </c>
      <c r="EG63" s="28"/>
      <c r="EH63" s="8"/>
      <c r="EI63" s="181" t="str">
        <f>IF(EH63=0,"",IF(EH63=VLOOKUP("PCS-OzTL53",ARBOR!$A:$C,3,0),0.0001,IF(EH63&gt;VLOOKUP("PCS-OzTL53",ARBOR!$A:$C,3,0),"Maior que CAP!",IF((DOLLAR(EH63+(VLOOKUP("PCS-OzTL53",ARBOR!$A:$C,3,0)*-TRUNC(EH63/VLOOKUP("PCS-OzTL53",ARBOR!$A:$C,3,0)-1,4)),6))&lt;&gt;(DOLLAR(VLOOKUP("PCS-OzTL53",ARBOR!$A:$C,3,0),6)),-TRUNC(EH63/VLOOKUP("PCS-OzTL53",ARBOR!$A:$C,3,0)-1,4)+0.0001,-TRUNC(EH63/VLOOKUP("PCS-OzTL53",ARBOR!$A:$C,3,0)-1,4)))))</f>
        <v/>
      </c>
      <c r="EJ63" s="28"/>
      <c r="EK63" s="8"/>
      <c r="EL63" s="181" t="str">
        <f>IF(EK63=0,"",IF(EK63=VLOOKUP("PCS-OzTL54",ARBOR!$A:$C,3,0),0.0001,IF(EK63&gt;VLOOKUP("PCS-OzTL54",ARBOR!$A:$C,3,0),"Maior que CAP!",IF((DOLLAR(EK63+(VLOOKUP("PCS-OzTL54",ARBOR!$A:$C,3,0)*-TRUNC(EK63/VLOOKUP("PCS-OzTL54",ARBOR!$A:$C,3,0)-1,4)),6))&lt;&gt;(DOLLAR(VLOOKUP("PCS-OzTL54",ARBOR!$A:$C,3,0),6)),-TRUNC(EK63/VLOOKUP("PCS-OzTL54",ARBOR!$A:$C,3,0)-1,4)+0.0001,-TRUNC(EK63/VLOOKUP("PCS-OzTL54",ARBOR!$A:$C,3,0)-1,4)))))</f>
        <v/>
      </c>
      <c r="EM63" s="28"/>
      <c r="EN63" s="8"/>
      <c r="EO63" s="3" t="str">
        <f>IF(EN63=0,"",IF(EN63=VLOOKUP("PCS-OzTL99",ARBOR!$A:$C,3,0),0.0001,IF(EN63&gt;VLOOKUP("PCS-OzTL99",ARBOR!$A:$C,3,0),"Maior que CAP!",IF((DOLLAR(EN63+(VLOOKUP("PCS-OzTL99",ARBOR!$A:$C,3,0)*-TRUNC(EN63/VLOOKUP("PCS-OzTL99",ARBOR!$A:$C,3,0)-1,4)),6))&lt;&gt;(DOLLAR(VLOOKUP("PCS-OzTL99",ARBOR!$A:$C,3,0),6)),-TRUNC(EN63/VLOOKUP("PCS-OzTL99",ARBOR!$A:$C,3,0)-1,4)+0.0001,-TRUNC(EN63/VLOOKUP("PCS-OzTL99",ARBOR!$A:$C,3,0)-1,4)))))</f>
        <v/>
      </c>
      <c r="EP63" s="28" t="str">
        <f>IF(EO63="S/Desc","S/Desc",IF(ISERROR(IF(EO63="","",VLOOKUP(($BC63&amp;EO63&amp;"Template desconto % Ponto adicional nível conta"),BENEFICIOS!$A:$G,5,0))),"Criar",IF(EO63="","",VLOOKUP(($BC63&amp;EO63&amp;"Template desconto % Ponto adicional nível conta"),BENEFICIOS!$A:$G,5,0))))</f>
        <v/>
      </c>
      <c r="EQ63" s="8"/>
      <c r="ER63" s="28" t="str">
        <f t="shared" si="23"/>
        <v/>
      </c>
      <c r="ES63" s="62"/>
      <c r="ET63" s="126"/>
      <c r="EU63" s="127"/>
      <c r="EV63" s="126"/>
      <c r="EW63" s="128" t="str">
        <f t="shared" si="24"/>
        <v/>
      </c>
      <c r="EX63" s="129" t="str">
        <f t="shared" si="25"/>
        <v/>
      </c>
      <c r="EY63" s="91" t="str">
        <f t="shared" si="26"/>
        <v/>
      </c>
      <c r="EZ63" s="85"/>
      <c r="FA63" s="97"/>
      <c r="FB63" s="91"/>
      <c r="FC63" s="85"/>
      <c r="FD63" s="97"/>
      <c r="FE63" s="91"/>
      <c r="FF63" s="87"/>
      <c r="FG63" s="144" t="str">
        <f t="shared" si="5"/>
        <v/>
      </c>
      <c r="FH63" s="144" t="str">
        <f t="shared" si="6"/>
        <v/>
      </c>
      <c r="FI63" s="144" t="str">
        <f t="shared" si="7"/>
        <v/>
      </c>
      <c r="FJ63" s="144" t="str">
        <f t="shared" si="8"/>
        <v/>
      </c>
      <c r="FK63" s="144" t="str">
        <f t="shared" si="9"/>
        <v/>
      </c>
      <c r="FL63" s="144" t="str">
        <f t="shared" si="10"/>
        <v/>
      </c>
      <c r="FM63" s="144" t="str">
        <f t="shared" si="11"/>
        <v/>
      </c>
      <c r="FN63" s="144" t="str">
        <f t="shared" si="12"/>
        <v/>
      </c>
      <c r="FO63" s="144" t="str">
        <f t="shared" si="13"/>
        <v/>
      </c>
      <c r="FP63" s="144" t="str">
        <f t="shared" si="14"/>
        <v/>
      </c>
      <c r="FQ63" s="144" t="str">
        <f t="shared" si="15"/>
        <v/>
      </c>
      <c r="FR63" s="144" t="str">
        <f t="shared" si="16"/>
        <v/>
      </c>
      <c r="FS63" s="144" t="str">
        <f t="shared" si="17"/>
        <v/>
      </c>
      <c r="FT63" s="144" t="str">
        <f t="shared" si="18"/>
        <v/>
      </c>
      <c r="FU63" s="144" t="str">
        <f t="shared" si="19"/>
        <v/>
      </c>
      <c r="FV63" s="144" t="str">
        <f t="shared" si="20"/>
        <v/>
      </c>
      <c r="FW63" s="144" t="str">
        <f t="shared" si="21"/>
        <v/>
      </c>
      <c r="FX63" s="151"/>
      <c r="FY63" s="152"/>
      <c r="FZ63" s="152"/>
      <c r="GA63" s="152"/>
      <c r="GB63" s="152"/>
      <c r="GC63" s="152"/>
      <c r="GD63" s="152"/>
      <c r="GE63" s="152"/>
      <c r="GF63" s="152"/>
      <c r="GG63" s="153"/>
    </row>
    <row r="64" spans="1:189">
      <c r="A64" s="45"/>
      <c r="B64" s="133"/>
      <c r="C64" s="133"/>
      <c r="D64" s="46"/>
      <c r="E64" s="4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9"/>
      <c r="U64" s="48"/>
      <c r="V64" s="49"/>
      <c r="W64" s="48"/>
      <c r="X64" s="48"/>
      <c r="Y64" s="48"/>
      <c r="Z64" s="48"/>
      <c r="AA64" s="49"/>
      <c r="AB64" s="48"/>
      <c r="AC64" s="50"/>
      <c r="AD64" s="48"/>
      <c r="AE64" s="48"/>
      <c r="AF64" s="48"/>
      <c r="AG64" s="48"/>
      <c r="AH64" s="48"/>
      <c r="AI64" s="48"/>
      <c r="AJ64" s="48"/>
      <c r="AK64" s="48"/>
      <c r="AL64" s="51"/>
      <c r="AM64" s="37"/>
      <c r="AN64" s="38"/>
      <c r="AO64" s="39"/>
      <c r="AP64" s="52"/>
      <c r="AQ64" s="53"/>
      <c r="AR64" s="64"/>
      <c r="AS64" s="65"/>
      <c r="AT64" s="54"/>
      <c r="AU64" s="54"/>
      <c r="AV64" s="54"/>
      <c r="AW64" s="54"/>
      <c r="AX64" s="70"/>
      <c r="AY64" s="71"/>
      <c r="AZ64" s="72"/>
      <c r="BA64" s="73"/>
      <c r="BB64" s="55"/>
      <c r="BC64" s="56"/>
      <c r="BD64" s="27" t="str">
        <f t="shared" si="22"/>
        <v/>
      </c>
      <c r="BE64" s="58"/>
      <c r="BF64" s="3" t="str">
        <f>IF(BE64=0,"",IF(BE64=VLOOKUP("FIXO",ARBOR!$A:$C,3,0),0.0001,IF(BE64&gt;VLOOKUP("FIXO",ARBOR!$A:$C,3,0),"Maior que CAP!",IF((DOLLAR(BE64+(VLOOKUP("FIXO",ARBOR!$A:$C,3,0)*-TRUNC(BE64/VLOOKUP("FIXO",ARBOR!$A:$C,3,0)-1,4)),6))&lt;&gt;(DOLLAR(VLOOKUP("FIXO",ARBOR!$A:$C,3,0),6)),-TRUNC(BE64/VLOOKUP("FIXO",ARBOR!$A:$C,3,0)-1,4)+0.0001,-TRUNC(BE64/VLOOKUP("FIXO",ARBOR!$A:$C,3,0)-1,4)))))</f>
        <v/>
      </c>
      <c r="BG64" s="10" t="str">
        <f>IF(ISERROR(IF(BF64="","",VLOOKUP(($BC64&amp;BF64&amp;"Template de desconto FLAT bundle - Fixo - Varejo - Ganho Tributário Cross"),BENEFICIOS!$A:$G,5,0))),"Criar",IF(BF64="","",VLOOKUP(($BC64&amp;BF64&amp;"Template de desconto FLAT bundle - Fixo - Varejo - Ganho Tributário Cross"),BENEFICIOS!$A:$G,5,0)))</f>
        <v/>
      </c>
      <c r="BH64" s="8"/>
      <c r="BI64" s="3" t="str">
        <f>IF(BH64=0,"",IF(BH64=VLOOKUP("PCS-OzTL40",ARBOR!$A:$C,3,0),0.0001,IF(BH64&gt;VLOOKUP("PCS-OzTL40",ARBOR!$A:$C,3,0),"Maior que CAP!",IF((DOLLAR(BH64+(VLOOKUP("PCS-OzTL40",ARBOR!$A:$C,3,0)*-TRUNC(BH64/VLOOKUP("PCS-OzTL40",ARBOR!$A:$C,3,0)-1,4)),6))&lt;&gt;(DOLLAR(VLOOKUP("PCS-OzTL40",ARBOR!$A:$C,3,0),6)),-TRUNC(BH64/VLOOKUP("PCS-OzTL40",ARBOR!$A:$C,3,0)-1,4)+0.0001,-TRUNC(BH64/VLOOKUP("PCS-OzTL40",ARBOR!$A:$C,3,0)-1,4)))))</f>
        <v/>
      </c>
      <c r="BJ64" s="10" t="str">
        <f>IF(ISERROR(IF(BI64="","",VLOOKUP((BC64&amp;BI64&amp;"Template desconto FLAT Plano Principal Oi TV nível conta"),BENEFICIOS!$A:$G,5,0))),"Criar",IF(BI64="","",VLOOKUP((BC64&amp;BI64&amp;"Template desconto FLAT Plano Principal Oi TV nível conta"),BENEFICIOS!$A:$G,5,0)))</f>
        <v/>
      </c>
      <c r="BK64" s="8"/>
      <c r="BL64" s="3" t="str">
        <f>IF(BK64=0,"",IF(BK64=VLOOKUP("PCS-OzTL41",ARBOR!$A:$C,3,0),0.0001,IF(BK64&gt;VLOOKUP("PCS-OzTL41",ARBOR!$A:$C,3,0),"Maior que CAP!",IF((DOLLAR(BK64+(VLOOKUP("PCS-OzTL41",ARBOR!$A:$C,3,0)*-TRUNC(BK64/VLOOKUP("PCS-OzTL41",ARBOR!$A:$C,3,0)-1,4)),6))&lt;&gt;(DOLLAR(VLOOKUP("PCS-OzTL41",ARBOR!$A:$C,3,0),6)),-TRUNC(BK64/VLOOKUP("PCS-OzTL41",ARBOR!$A:$C,3,0)-1,4)+0.0001,-TRUNC(BK64/VLOOKUP("PCS-OzTL41",ARBOR!$A:$C,3,0)-1,4)))))</f>
        <v/>
      </c>
      <c r="BM64" s="28" t="str">
        <f>IF(ISERROR(IF(BL64="","",VLOOKUP((BC64&amp;BL64&amp;"Template desconto FLAT Plano Principal Oi TV nível conta"),BENEFICIOS!$A:$G,5,0))),"Criar",IF(BL64="","",VLOOKUP((BC64&amp;BL64&amp;"Template desconto FLAT Plano Principal Oi TV nível conta"),BENEFICIOS!$A:$G,5,0)))</f>
        <v/>
      </c>
      <c r="BN64" s="8"/>
      <c r="BO64" s="3" t="str">
        <f>IF(BN64=0,"",IF(BN64=VLOOKUP("PCS-OzTL44",ARBOR!$A:$C,3,0),0.0001,IF(BN64&gt;VLOOKUP("PCS-OzTL44",ARBOR!$A:$C,3,0),"Maior que CAP!",IF((DOLLAR(BN64+(VLOOKUP("PCS-OzTL44",ARBOR!$A:$C,3,0)*-TRUNC(BN64/VLOOKUP("PCS-OzTL44",ARBOR!$A:$C,3,0)-1,4)),6))&lt;&gt;(DOLLAR(VLOOKUP("PCS-OzTL44",ARBOR!$A:$C,3,0),6)),-TRUNC(BN64/VLOOKUP("PCS-OzTL44",ARBOR!$A:$C,3,0)-1,4)+0.0001,-TRUNC(BN64/VLOOKUP("PCS-OzTL44",ARBOR!$A:$C,3,0)-1,4)))))</f>
        <v/>
      </c>
      <c r="BP64" s="28" t="str">
        <f>IF(ISERROR(IF(BO64="","",VLOOKUP((BC64&amp;BO64&amp;"Template desconto FLAT Plano Principal Oi TV nível conta"),BENEFICIOS!$A:$G,5,0))),"Criar",IF(BO64="","",VLOOKUP((BC64&amp;BO64&amp;"Template desconto FLAT Plano Principal Oi TV nível conta"),BENEFICIOS!$A:$G,5,0)))</f>
        <v/>
      </c>
      <c r="BQ64" s="8"/>
      <c r="BR64" s="3" t="str">
        <f>IF(BQ64=0,"",IF(BQ64=VLOOKUP("PCS-OzTL43",ARBOR!$A:$C,3,0),0.0001,IF(BQ64&gt;VLOOKUP("PCS-OzTL43",ARBOR!$A:$C,3,0),"Maior que CAP!",IF((DOLLAR(BQ64+(VLOOKUP("PCS-OzTL43",ARBOR!$A:$C,3,0)*-TRUNC(BQ64/VLOOKUP("PCS-OzTL43",ARBOR!$A:$C,3,0)-1,4)),6))&lt;&gt;(DOLLAR(VLOOKUP("PCS-OzTL43",ARBOR!$A:$C,3,0),6)),-TRUNC(BQ64/VLOOKUP("PCS-OzTL43",ARBOR!$A:$C,3,0)-1,4)+0.0001,-TRUNC(BQ64/VLOOKUP("PCS-OzTL43",ARBOR!$A:$C,3,0)-1,4)))))</f>
        <v/>
      </c>
      <c r="BS64" s="28" t="str">
        <f>IF(ISERROR(IF(BR64="","",VLOOKUP((BC64&amp;BR64&amp;"Template desconto FLAT Plano Principal Oi TV nível conta"),BENEFICIOS!$A:$G,5,0))),"Criar",IF(BR64="","",VLOOKUP((BC64&amp;BR64&amp;"Template desconto FLAT Plano Principal Oi TV nível conta"),BENEFICIOS!$A:$G,5,0)))</f>
        <v/>
      </c>
      <c r="BT64" s="8"/>
      <c r="BU64" s="3" t="str">
        <f>IF(BT64=0,"",IF(BT64=VLOOKUP("PCS-OzTL45",ARBOR!$A:$C,3,0),0.0001,IF(BT64&gt;VLOOKUP("PCS-OzTL45",ARBOR!$A:$C,3,0),"Maior que CAP!",IF((DOLLAR(BT64+(VLOOKUP("PCS-OzTL45",ARBOR!$A:$C,3,0)*-TRUNC(BT64/VLOOKUP("PCS-OzTL45",ARBOR!$A:$C,3,0)-1,4)),6))&lt;&gt;(DOLLAR(VLOOKUP("PCS-OzTL45",ARBOR!$A:$C,3,0),6)),-TRUNC(BT64/VLOOKUP("PCS-OzTL45",ARBOR!$A:$C,3,0)-1,4)+0.0001,-TRUNC(BT64/VLOOKUP("PCS-OzTL45",ARBOR!$A:$C,3,0)-1,4)))))</f>
        <v/>
      </c>
      <c r="BV64" s="28" t="str">
        <f>IF(ISERROR(IF(BU64="","",VLOOKUP((BC64&amp;BU64&amp;"Template desconto FLAT Plano Principal Oi TV nível conta"),BENEFICIOS!$A:$G,5,0))),"Criar",IF(BU64="","",VLOOKUP((BC64&amp;BU64&amp;"Template desconto FLAT Plano Principal Oi TV nível conta"),BENEFICIOS!$A:$G,5,0)))</f>
        <v/>
      </c>
      <c r="BW64" s="8"/>
      <c r="BX64" s="3" t="str">
        <f>IF(BW64=0,"",IF(BW64=VLOOKUP("PCS-OzTL741",ARBOR!$A:$C,3,0),0.0001,IF(BW64&gt;VLOOKUP("PCS-OzTL741",ARBOR!$A:$C,3,0),"Maior que CAP!",IF((DOLLAR(BW64+(VLOOKUP("PCS-OzTL741",ARBOR!$A:$C,3,0)*-TRUNC(BW64/VLOOKUP("PCS-OzTL741",ARBOR!$A:$C,3,0)-1,4)),6))&lt;&gt;(DOLLAR(VLOOKUP("PCS-OzTL741",ARBOR!$A:$C,3,0),6)),-TRUNC(BW64/VLOOKUP("PCS-OzTL741",ARBOR!$A:$C,3,0)-1,4)+0.0001,-TRUNC(BW64/VLOOKUP("PCS-OzTL741",ARBOR!$A:$C,3,0)-1,4)))))</f>
        <v/>
      </c>
      <c r="BY64" s="28" t="str">
        <f>IF(ISERROR(IF(BX64="","",VLOOKUP((BC64&amp;BX64&amp;"Template desconto FLAT Plano Principal Oi TV nível conta"),BENEFICIOS!$A:$G,5,0))),"Criar",IF(BX64="","",VLOOKUP((BC64&amp;BX64&amp;"Template desconto FLAT Plano Principal Oi TV nível conta"),BENEFICIOS!$A:$G,5,0)))</f>
        <v/>
      </c>
      <c r="BZ64" s="8"/>
      <c r="CA64" s="3" t="str">
        <f>IF(BZ64=0,"",IF(BZ64=VLOOKUP("PCS-OzTL744",ARBOR!$A:$C,3,0),0.0001,IF(BZ64&gt;VLOOKUP("PCS-OzTL744",ARBOR!$A:$C,3,0),"Maior que CAP!",IF((DOLLAR(BZ64+(VLOOKUP("PCS-OzTL744",ARBOR!$A:$C,3,0)*-TRUNC(BZ64/VLOOKUP("PCS-OzTL744",ARBOR!$A:$C,3,0)-1,4)),6))&lt;&gt;(DOLLAR(VLOOKUP("PCS-OzTL744",ARBOR!$A:$C,3,0),6)),-TRUNC(BZ64/VLOOKUP("PCS-OzTL744",ARBOR!$A:$C,3,0)-1,4)+0.0001,-TRUNC(BZ64/VLOOKUP("PCS-OzTL744",ARBOR!$A:$C,3,0)-1,4)))))</f>
        <v/>
      </c>
      <c r="CB64" s="28" t="str">
        <f>IF(ISERROR(IF(CA64="","",VLOOKUP(($BC64&amp;CA64&amp;"Template desconto FLAT Plano Principal Oi TV nível conta"),BENEFICIOS!$A:$G,5,0))),"Criar",IF(CA64="","",VLOOKUP(($BC64&amp;CA64&amp;"Template desconto FLAT Plano Principal Oi TV nível conta"),BENEFICIOS!$A:$G,5,0)))</f>
        <v/>
      </c>
      <c r="CC64" s="8"/>
      <c r="CD64" s="3" t="str">
        <f>IF(CC64=0,"",IF(CC64=VLOOKUP("PCS-OzTL743",ARBOR!$A:$C,3,0),0.0001,IF(CC64&gt;VLOOKUP("PCS-OzTL743",ARBOR!$A:$C,3,0),"Maior que CAP!",IF((DOLLAR(CC64+(VLOOKUP("PCS-OzTL743",ARBOR!$A:$C,3,0)*-TRUNC(CC64/VLOOKUP("PCS-OzTL743",ARBOR!$A:$C,3,0)-1,4)),6))&lt;&gt;(DOLLAR(VLOOKUP("PCS-OzTL743",ARBOR!$A:$C,3,0),6)),-TRUNC(CC64/VLOOKUP("PCS-OzTL743",ARBOR!$A:$C,3,0)-1,4)+0.0001,-TRUNC(CC64/VLOOKUP("PCS-OzTL743",ARBOR!$A:$C,3,0)-1,4)))))</f>
        <v/>
      </c>
      <c r="CE64" s="28" t="str">
        <f>IF(ISERROR(IF(CD64="","",VLOOKUP(($BC64&amp;CD64&amp;"Template desconto FLAT Plano Principal Oi TV nível conta"),BENEFICIOS!$A:$G,5,0))),"Criar",IF(CD64="","",VLOOKUP(($BC64&amp;CD64&amp;"Template desconto FLAT Plano Principal Oi TV nível conta"),BENEFICIOS!$A:$G,5,0)))</f>
        <v/>
      </c>
      <c r="CF64" s="8"/>
      <c r="CG64" s="3" t="str">
        <f>IF(CF64=0,"",IF(CF64=VLOOKUP("PCS-OzTL745",ARBOR!$A:$C,3,0),0.0001,IF(CF64&gt;VLOOKUP("PCS-OzTL745",ARBOR!$A:$C,3,0),"Maior que CAP!",IF((DOLLAR(CF64+(VLOOKUP("PCS-OzTL745",ARBOR!$A:$C,3,0)*-TRUNC(CF64/VLOOKUP("PCS-OzTL745",ARBOR!$A:$C,3,0)-1,4)),6))&lt;&gt;(DOLLAR(VLOOKUP("PCS-OzTL745",ARBOR!$A:$C,3,0),6)),-TRUNC(CF64/VLOOKUP("PCS-OzTL745",ARBOR!$A:$C,3,0)-1,4)+0.0001,-TRUNC(CF64/VLOOKUP("PCS-OzTL745",ARBOR!$A:$C,3,0)-1,4)))))</f>
        <v/>
      </c>
      <c r="CH64" s="28" t="str">
        <f>IF(ISERROR(IF(CG64="","",VLOOKUP(($BC64&amp;CG64&amp;"Template desconto FLAT Plano Principal Oi TV nível conta"),BENEFICIOS!$A:$G,5,0))),"Criar",IF(CG64="","",VLOOKUP(($BC64&amp;CG64&amp;"Template desconto FLAT Plano Principal Oi TV nível conta"),BENEFICIOS!$A:$G,5,0)))</f>
        <v/>
      </c>
      <c r="CI64" s="8"/>
      <c r="CJ64" s="3" t="str">
        <f>IF(CI64=0,"",IF(CI64=VLOOKUP("PCS-OzTL42",ARBOR!$A:$C,3,0),0.0001,IF(CI64&gt;VLOOKUP("PCS-OzTL42",ARBOR!$A:$C,3,0),"Maior que CAP!",IF((DOLLAR(CI64+(VLOOKUP("PCS-OzTL42",ARBOR!$A:$C,3,0)*-TRUNC(CI64/VLOOKUP("PCS-OzTL42",ARBOR!$A:$C,3,0)-1,4)),6))&lt;&gt;(DOLLAR(VLOOKUP("PCS-OzTL42",ARBOR!$A:$C,3,0),6)),-TRUNC(CI64/VLOOKUP("PCS-OzTL42",ARBOR!$A:$C,3,0)-1,4)+0.0001,-TRUNC(CI64/VLOOKUP("PCS-OzTL42",ARBOR!$A:$C,3,0)-1,4)))))</f>
        <v/>
      </c>
      <c r="CK64" s="28" t="str">
        <f>IF(ISERROR(IF(CJ64="","",VLOOKUP(($BC64&amp;CJ64&amp;"Template desconto FLAT Plano Principal Oi TV nível conta"),BENEFICIOS!$A:$G,5,0))),"Criar",IF(CJ64="","",VLOOKUP(($BC64&amp;CJ64&amp;"Template desconto FLAT Plano Principal Oi TV nível conta"),BENEFICIOS!$A:$G,5,0)))</f>
        <v/>
      </c>
      <c r="CL64" s="8"/>
      <c r="CM64" s="3" t="str">
        <f>IF(CL64=0,"",IF(CL64=VLOOKUP("PCS-OzTL47",ARBOR!$A:$C,3,0),0.0001,IF(CL64&gt;VLOOKUP("PCS-OzTL47",ARBOR!$A:$C,3,0),"Maior que CAP!",IF((DOLLAR(CL64+(VLOOKUP("PCS-OzTL47",ARBOR!$A:$C,3,0)*-TRUNC(CL64/VLOOKUP("PCS-OzTL47",ARBOR!$A:$C,3,0)-1,4)),6))&lt;&gt;(DOLLAR(VLOOKUP("PCS-OzTL47",ARBOR!$A:$C,3,0),6)),-TRUNC(CL64/VLOOKUP("PCS-OzTL47",ARBOR!$A:$C,3,0)-1,4)+0.0001,-TRUNC(CL64/VLOOKUP("PCS-OzTL47",ARBOR!$A:$C,3,0)-1,4)))))</f>
        <v/>
      </c>
      <c r="CN64" s="28" t="str">
        <f>IF(ISERROR(IF(CM64="","",VLOOKUP(($BC64&amp;CM64&amp;"Template desconto FLAT Plano Principal Oi TV nível conta"),BENEFICIOS!$A:$G,5,0))),"Criar",IF(CM64="","",VLOOKUP(($BC64&amp;CM64&amp;"Template desconto FLAT Plano Principal Oi TV nível conta"),BENEFICIOS!$A:$G,5,0)))</f>
        <v/>
      </c>
      <c r="CO64" s="8"/>
      <c r="CP64" s="3" t="str">
        <f>IF(CO64=0,"",IF(CO64=VLOOKUP("PCS-OzTL46",ARBOR!$A:$C,3,0),0.0001,IF(CO64&gt;VLOOKUP("PCS-OzTL46",ARBOR!$A:$C,3,0),"Maior que CAP!",IF((DOLLAR(CO64+(VLOOKUP("PCS-OzTL46",ARBOR!$A:$C,3,0)*-TRUNC(CO64/VLOOKUP("PCS-OzTL46",ARBOR!$A:$C,3,0)-1,4)),6))&lt;&gt;(DOLLAR(VLOOKUP("PCS-OzTL46",ARBOR!$A:$C,3,0),6)),-TRUNC(CO64/VLOOKUP("PCS-OzTL46",ARBOR!$A:$C,3,0)-1,4)+0.0001,-TRUNC(CO64/VLOOKUP("PCS-OzTL46",ARBOR!$A:$C,3,0)-1,4)))))</f>
        <v/>
      </c>
      <c r="CQ64" s="28" t="str">
        <f>IF(ISERROR(IF(CP64="","",VLOOKUP(($BC64&amp;CP64&amp;"Template desconto FLAT Plano Principal Oi TV nível conta"),BENEFICIOS!$A:$G,5,0))),"Criar",IF(CP64="","",VLOOKUP(($BC64&amp;CP64&amp;"Template desconto FLAT Plano Principal Oi TV nível conta"),BENEFICIOS!$A:$G,5,0)))</f>
        <v/>
      </c>
      <c r="CR64" s="8"/>
      <c r="CS64" s="3" t="str">
        <f>IF(CR64=0,"",IF(CR64=VLOOKUP("PCS-OzTL48",ARBOR!$A:$C,3,0),0.0001,IF(CR64&gt;VLOOKUP("PCS-OzTL48",ARBOR!$A:$C,3,0),"Maior que CAP!",IF((DOLLAR(CR64+(VLOOKUP("PCS-OzTL48",ARBOR!$A:$C,3,0)*-TRUNC(CR64/VLOOKUP("PCS-OzTL48",ARBOR!$A:$C,3,0)-1,4)),6))&lt;&gt;(DOLLAR(VLOOKUP("PCS-OzTL48",ARBOR!$A:$C,3,0),6)),-TRUNC(CR64/VLOOKUP("PCS-OzTL48",ARBOR!$A:$C,3,0)-1,4)+0.0001,-TRUNC(CR64/VLOOKUP("PCS-OzTL48",ARBOR!$A:$C,3,0)-1,4)))))</f>
        <v/>
      </c>
      <c r="CT64" s="28" t="str">
        <f>IF(ISERROR(IF(CS64="","",VLOOKUP(($BC64&amp;CS64&amp;"Template desconto FLAT Plano Principal Oi TV nível conta"),BENEFICIOS!$A:$G,5,0))),"Criar",IF(CS64="","",VLOOKUP(($BC64&amp;CS64&amp;"Template desconto FLAT Plano Principal Oi TV nível conta"),BENEFICIOS!$A:$G,5,0)))</f>
        <v/>
      </c>
      <c r="CU64" s="8"/>
      <c r="CV64" s="3" t="str">
        <f>IF(CU64=0,"",IF(CU64=VLOOKUP("PCS-OzTL742",ARBOR!$A:$C,3,0),0.0001,IF(CU64&gt;VLOOKUP("PCS-OzTL742",ARBOR!$A:$C,3,0),"Maior que CAP!",IF((DOLLAR(CU64+(VLOOKUP("PCS-OzTL742",ARBOR!$A:$C,3,0)*-TRUNC(CU64/VLOOKUP("PCS-OzTL742",ARBOR!$A:$C,3,0)-1,4)),6))&lt;&gt;(DOLLAR(VLOOKUP("PCS-OzTL742",ARBOR!$A:$C,3,0),6)),-TRUNC(CU64/VLOOKUP("PCS-OzTL742",ARBOR!$A:$C,3,0)-1,4)+0.0001,-TRUNC(CU64/VLOOKUP("PCS-OzTL742",ARBOR!$A:$C,3,0)-1,4)))))</f>
        <v/>
      </c>
      <c r="CW64" s="28" t="str">
        <f>IF(ISERROR(IF(CV64="","",VLOOKUP(($BC64&amp;CV64&amp;"Template desconto FLAT Plano Principal Oi TV nível conta"),BENEFICIOS!$A:$G,5,0))),"Criar",IF(CV64="","",VLOOKUP(($BC64&amp;CV64&amp;"Template desconto FLAT Plano Principal Oi TV nível conta"),BENEFICIOS!$A:$G,5,0)))</f>
        <v/>
      </c>
      <c r="CX64" s="8"/>
      <c r="CY64" s="3" t="str">
        <f>IF(CX64=0,"",IF(CX64=VLOOKUP("PCS-OzTL747",ARBOR!$A:$C,3,0),0.0001,IF(CX64&gt;VLOOKUP("PCS-OzTL747",ARBOR!$A:$C,3,0),"Maior que CAP!",IF((DOLLAR(CX64+(VLOOKUP("PCS-OzTL747",ARBOR!$A:$C,3,0)*-TRUNC(CX64/VLOOKUP("PCS-OzTL747",ARBOR!$A:$C,3,0)-1,4)),6))&lt;&gt;(DOLLAR(VLOOKUP("PCS-OzTL747",ARBOR!$A:$C,3,0),6)),-TRUNC(CX64/VLOOKUP("PCS-OzTL747",ARBOR!$A:$C,3,0)-1,4)+0.0001,-TRUNC(CX64/VLOOKUP("PCS-OzTL747",ARBOR!$A:$C,3,0)-1,4)))))</f>
        <v/>
      </c>
      <c r="CZ64" s="28" t="str">
        <f>IF(ISERROR(IF(CY64="","",VLOOKUP(($BC64&amp;CY64&amp;"Template desconto FLAT Plano Principal Oi TV nível conta"),BENEFICIOS!$A:$G,5,0))),"Criar",IF(CY64="","",VLOOKUP(($BC64&amp;CY64&amp;"Template desconto FLAT Plano Principal Oi TV nível conta"),BENEFICIOS!$A:$G,5,0)))</f>
        <v/>
      </c>
      <c r="DA64" s="8"/>
      <c r="DB64" s="3" t="str">
        <f>IF(DA64=0,"",IF(DA64=VLOOKUP("PCS-OzTL746",ARBOR!$A:$C,3,0),0.0001,IF(DA64&gt;VLOOKUP("PCS-OzTL746",ARBOR!$A:$C,3,0),"Maior que CAP!",IF((DOLLAR(DA64+(VLOOKUP("PCS-OzTL746",ARBOR!$A:$C,3,0)*-TRUNC(DA64/VLOOKUP("PCS-OzTL746",ARBOR!$A:$C,3,0)-1,4)),6))&lt;&gt;(DOLLAR(VLOOKUP("PCS-OzTL746",ARBOR!$A:$C,3,0),6)),-TRUNC(DA64/VLOOKUP("PCS-OzTL746",ARBOR!$A:$C,3,0)-1,4)+0.0001,-TRUNC(DA64/VLOOKUP("PCS-OzTL746",ARBOR!$A:$C,3,0)-1,4)))))</f>
        <v/>
      </c>
      <c r="DC64" s="28" t="str">
        <f>IF(ISERROR(IF(DB64="","",VLOOKUP(($BC64&amp;DB64&amp;"Template desconto FLAT Plano Principal Oi TV nível conta"),BENEFICIOS!$A:$G,5,0))),"Criar",IF(DB64="","",VLOOKUP(($BC64&amp;DB64&amp;"Template desconto FLAT Plano Principal Oi TV nível conta"),BENEFICIOS!$A:$G,5,0)))</f>
        <v/>
      </c>
      <c r="DD64" s="8"/>
      <c r="DE64" s="3" t="str">
        <f>IF(DD64=0,"",IF(DD64=VLOOKUP("PCS-OzTL748",ARBOR!$A:$C,3,0),0.0001,IF(DD64&gt;VLOOKUP("PCS-OzTL748",ARBOR!$A:$C,3,0),"Maior que CAP!",IF((DOLLAR(DD64+(VLOOKUP("PCS-OzTL748",ARBOR!$A:$C,3,0)*-TRUNC(DD64/VLOOKUP("PCS-OzTL748",ARBOR!$A:$C,3,0)-1,4)),6))&lt;&gt;(DOLLAR(VLOOKUP("PCS-OzTL748",ARBOR!$A:$C,3,0),6)),-TRUNC(DD64/VLOOKUP("PCS-OzTL748",ARBOR!$A:$C,3,0)-1,4)+0.0001,-TRUNC(DD64/VLOOKUP("PCS-OzTL748",ARBOR!$A:$C,3,0)-1,4)))))</f>
        <v/>
      </c>
      <c r="DF64" s="28" t="str">
        <f>IF(ISERROR(IF(DE64="","",VLOOKUP(($BC64&amp;DE64&amp;"Template desconto FLAT Plano Principal Oi TV nível conta"),BENEFICIOS!$A:$G,5,0))),"Criar",IF(DE64="","",VLOOKUP(($BC64&amp;DE64&amp;"Template desconto FLAT Plano Principal Oi TV nível conta"),BENEFICIOS!$A:$G,5,0)))</f>
        <v/>
      </c>
      <c r="DG64" s="8"/>
      <c r="DH64" s="3" t="str">
        <f>IF(DG64=0,"",IF(DG64=VLOOKUP("PCS-OzTL34",ARBOR!$A:$C,3,0),0.0001,IF(DG64&gt;VLOOKUP("PCS-OzTL34",ARBOR!$A:$C,3,0),"Maior que CAP!",IF((DOLLAR(DG64+(VLOOKUP("PCS-OzTL34",ARBOR!$A:$C,3,0)*-TRUNC(DG64/VLOOKUP("PCS-OzTL34",ARBOR!$A:$C,3,0)-1,4)),6))&lt;&gt;(DOLLAR(VLOOKUP("PCS-OzTL34",ARBOR!$A:$C,3,0),6)),-TRUNC(DG64/VLOOKUP("PCS-OzTL34",ARBOR!$A:$C,3,0)-1,4)+0.0001,-TRUNC(DG64/VLOOKUP("PCS-OzTL34",ARBOR!$A:$C,3,0)-1,4)))))</f>
        <v/>
      </c>
      <c r="DI64" s="28" t="str">
        <f>IF(DH64="S/Desc","S/Desc",IF(ISERROR(IF(DH64="","",VLOOKUP(($BC64&amp;DH64&amp;"Template desconto % Combate nível conta"),BENEFICIOS!$A:$G,5,0))),"Criar",IF(DH64="","",VLOOKUP(($BC64&amp;DH64&amp;"Template desconto % Combate nível conta"),BENEFICIOS!$A:$G,5,0))))</f>
        <v/>
      </c>
      <c r="DJ64" s="8"/>
      <c r="DK64" s="3" t="str">
        <f>IF(DJ64=0,"",IF(DJ64=VLOOKUP("PCS-OzTL31",ARBOR!$A:$C,3,0),0.0001,IF(DJ64&gt;VLOOKUP("PCS-OzTL31",ARBOR!$A:$C,3,0),"Maior que CAP!",IF((DOLLAR(DJ64+(VLOOKUP("PCS-OzTL31",ARBOR!$A:$C,3,0)*-TRUNC(DJ64/VLOOKUP("PCS-OzTL31",ARBOR!$A:$C,3,0)-1,4)),6))&lt;&gt;(DOLLAR(VLOOKUP("PCS-OzTL31",ARBOR!$A:$C,3,0),6)),-TRUNC(DJ64/VLOOKUP("PCS-OzTL31",ARBOR!$A:$C,3,0)-1,4)+0.0001,-TRUNC(DJ64/VLOOKUP("PCS-OzTL31",ARBOR!$A:$C,3,0)-1,4)))))</f>
        <v/>
      </c>
      <c r="DL64" s="28" t="str">
        <f>IF(DK64="S/Desc","S/Desc",IF(ISERROR(IF(DK64="","",VLOOKUP(($BC64&amp;DK64&amp;"Template desconto % Sexy Hot nível conta"),BENEFICIOS!$A:$G,5,0))),"Criar",IF(DK64="","",VLOOKUP(($BC64&amp;DK64&amp;"Template desconto % Sexy Hot nível conta"),BENEFICIOS!$A:$G,5,0))))</f>
        <v/>
      </c>
      <c r="DM64" s="8"/>
      <c r="DN64" s="3" t="str">
        <f>IF(DM64=0,"",IF(DM64=VLOOKUP("PCS-OzTL32",ARBOR!$A:$C,3,0),0.0001,IF(DM64&gt;VLOOKUP("PCS-OzTL32",ARBOR!$A:$C,3,0),"Maior que CAP!",IF((DOLLAR(DM64+(VLOOKUP("PCS-OzTL32",ARBOR!$A:$C,3,0)*-TRUNC(DM64/VLOOKUP("PCS-OzTL32",ARBOR!$A:$C,3,0)-1,4)),6))&lt;&gt;(DOLLAR(VLOOKUP("PCS-OzTL32",ARBOR!$A:$C,3,0),6)),-TRUNC(DM64/VLOOKUP("PCS-OzTL32",ARBOR!$A:$C,3,0)-1,4)+0.0001,-TRUNC(DM64/VLOOKUP("PCS-OzTL32",ARBOR!$A:$C,3,0)-1,4)))))</f>
        <v/>
      </c>
      <c r="DO64" s="28" t="str">
        <f>IF(DN64="S/Desc","S/Desc",IF(ISERROR(IF(DN64="","",VLOOKUP(($BC64&amp;DN64&amp;"Template desconto % Playboy nível conta"),BENEFICIOS!$A:$G,5,0))),"Criar",IF(DN64="","",VLOOKUP(($BC64&amp;DN64&amp;"Template desconto % Playboy nível conta"),BENEFICIOS!$A:$G,5,0))))</f>
        <v/>
      </c>
      <c r="DP64" s="8"/>
      <c r="DQ64" s="3" t="str">
        <f>IF(DP64=0,"",IF(DP64=VLOOKUP("PCS-OzTL33",ARBOR!$A:$C,3,0),0.0001,IF(DP64&gt;VLOOKUP("PCS-OzTL33",ARBOR!$A:$C,3,0),"Maior que CAP!",IF((DOLLAR(DP64+(VLOOKUP("PCS-OzTL33",ARBOR!$A:$C,3,0)*-TRUNC(DP64/VLOOKUP("PCS-OzTL33",ARBOR!$A:$C,3,0)-1,4)),6))&lt;&gt;(DOLLAR(VLOOKUP("PCS-OzTL33",ARBOR!$A:$C,3,0),6)),-TRUNC(DP64/VLOOKUP("PCS-OzTL33",ARBOR!$A:$C,3,0)-1,4)+0.0001,-TRUNC(DP64/VLOOKUP("PCS-OzTL33",ARBOR!$A:$C,3,0)-1,4)))))</f>
        <v/>
      </c>
      <c r="DR64" s="28" t="str">
        <f>IF(DQ64="S/Desc","S/Desc",IF(ISERROR(IF(DQ64="","",VLOOKUP(($BC64&amp;DQ64&amp;"Template desconto % Sexy Hot + Playboy nível conta"),BENEFICIOS!$A:$G,5,0))),"Criar",IF(DQ64="","",VLOOKUP(($BC64&amp;DQ64&amp;"Template desconto % Sexy Hot + Playboy nível conta"),BENEFICIOS!$A:$G,5,0))))</f>
        <v/>
      </c>
      <c r="DS64" s="8"/>
      <c r="DT64" s="3" t="str">
        <f>IF(DS64=0,"",IF(DS64=VLOOKUP("PCS-OzTL503",ARBOR!$A:$C,3,0),0.0001,IF(DS64&gt;VLOOKUP("PCS-OzTL503",ARBOR!$A:$C,3,0),"Maior que CAP!",IF((DOLLAR(DS64+(VLOOKUP("PCS-OzTL503",ARBOR!$A:$C,3,0)*-TRUNC(DS64/VLOOKUP("PCS-OzTL503",ARBOR!$A:$C,3,0)-1,4)),6))&lt;&gt;(DOLLAR(VLOOKUP("PCS-OzTL503",ARBOR!$A:$C,3,0),6)),-TRUNC(DS64/VLOOKUP("PCS-OzTL503",ARBOR!$A:$C,3,0)-1,4)+0.0001,-TRUNC(DS64/VLOOKUP("PCS-OzTL503",ARBOR!$A:$C,3,0)-1,4)))))</f>
        <v/>
      </c>
      <c r="DU64" s="28" t="str">
        <f>IF(DT64="S/Desc","S/Desc",IF(ISERROR(IF(DT64="","",VLOOKUP(($BC64&amp;DT64&amp;"Template desconto % SexPrivê nível conta"),BENEFICIOS!$A:$G,5,0))),"Criar",IF(DT64="","",VLOOKUP(($BC64&amp;DT64&amp;"Template desconto % SexPrivê nível conta"),BENEFICIOS!$A:$G,5,0))))</f>
        <v/>
      </c>
      <c r="DV64" s="8"/>
      <c r="DW64" s="3" t="str">
        <f>IF(DV64=0,"",IF(DV64=VLOOKUP("PCS-OzTL500",ARBOR!$A:$C,3,0),0.0001,IF(DV64&gt;VLOOKUP("PCS-OzTL500",ARBOR!$A:$C,3,0),"Maior que CAP!",IF((DOLLAR(DV64+(VLOOKUP("PCS-OzTL500",ARBOR!$A:$C,3,0)*-TRUNC(DV64/VLOOKUP("PCS-OzTL500",ARBOR!$A:$C,3,0)-1,4)),6))&lt;&gt;(DOLLAR(VLOOKUP("PCS-OzTL500",ARBOR!$A:$C,3,0),6)),-TRUNC(DV64/VLOOKUP("PCS-OzTL500",ARBOR!$A:$C,3,0)-1,4)+0.0001,-TRUNC(DV64/VLOOKUP("PCS-OzTL500",ARBOR!$A:$C,3,0)-1,4)))))</f>
        <v/>
      </c>
      <c r="DX64" s="28" t="str">
        <f>IF(DW64="S/Desc","S/Desc",IF(ISERROR(IF(DW64="","",VLOOKUP(($BC64&amp;DW64&amp;"Template desconto % Étnico nível conta"),BENEFICIOS!$A:$G,5,0))),"Criar",IF(DW64="","",VLOOKUP(($BC64&amp;DW64&amp;"Template desconto % Étnico nível conta"),BENEFICIOS!$A:$G,5,0))))</f>
        <v/>
      </c>
      <c r="DY64" s="8"/>
      <c r="DZ64" s="181" t="str">
        <f>IF(DY64=0,"",IF(DY64=VLOOKUP("PCS-OzTL50",ARBOR!$A:$C,3,0),0.0001,IF(DY64&gt;VLOOKUP("PCS-OzTL50",ARBOR!$A:$C,3,0),"Maior que CAP!",IF((DOLLAR(DY64+(VLOOKUP("PCS-OzTL50",ARBOR!$A:$C,3,0)*-TRUNC(DY64/VLOOKUP("PCS-OzTL50",ARBOR!$A:$C,3,0)-1,4)),6))&lt;&gt;(DOLLAR(VLOOKUP("PCS-OzTL50",ARBOR!$A:$C,3,0),6)),-TRUNC(DY64/VLOOKUP("PCS-OzTL50",ARBOR!$A:$C,3,0)-1,4)+0.0001,-TRUNC(DY64/VLOOKUP("PCS-OzTL50",ARBOR!$A:$C,3,0)-1,4)))))</f>
        <v/>
      </c>
      <c r="EA64" s="28"/>
      <c r="EB64" s="8"/>
      <c r="EC64" s="181" t="str">
        <f>IF(EB64=0,"",IF(EB64=VLOOKUP("PCS-OzTL51",ARBOR!$A:$C,3,0),0.0001,IF(EB64&gt;VLOOKUP("PCS-OzTL51",ARBOR!$A:$C,3,0),"Maior que CAP!",IF((DOLLAR(EB64+(VLOOKUP("PCS-OzTL51",ARBOR!$A:$C,3,0)*-TRUNC(EB64/VLOOKUP("PCS-OzTL51",ARBOR!$A:$C,3,0)-1,4)),6))&lt;&gt;(DOLLAR(VLOOKUP("PCS-OzTL51",ARBOR!$A:$C,3,0),6)),-TRUNC(EB64/VLOOKUP("PCS-OzTL51",ARBOR!$A:$C,3,0)-1,4)+0.0001,-TRUNC(EB64/VLOOKUP("PCS-OzTL51",ARBOR!$A:$C,3,0)-1,4)))))</f>
        <v/>
      </c>
      <c r="ED64" s="28"/>
      <c r="EE64" s="8"/>
      <c r="EF64" s="181" t="str">
        <f>IF(EE64=0,"",IF(EE64=VLOOKUP("PCS-OzTL52",ARBOR!$A:$C,3,0),0.0001,IF(EE64&gt;VLOOKUP("PCS-OzTL52",ARBOR!$A:$C,3,0),"Maior que CAP!",IF((DOLLAR(EE64+(VLOOKUP("PCS-OzTL52",ARBOR!$A:$C,3,0)*-TRUNC(EE64/VLOOKUP("PCS-OzTL52",ARBOR!$A:$C,3,0)-1,4)),6))&lt;&gt;(DOLLAR(VLOOKUP("PCS-OzTL52",ARBOR!$A:$C,3,0),6)),-TRUNC(EE64/VLOOKUP("PCS-OzTL52",ARBOR!$A:$C,3,0)-1,4)+0.0001,-TRUNC(EE64/VLOOKUP("PCS-OzTL52",ARBOR!$A:$C,3,0)-1,4)))))</f>
        <v/>
      </c>
      <c r="EG64" s="28"/>
      <c r="EH64" s="8"/>
      <c r="EI64" s="181" t="str">
        <f>IF(EH64=0,"",IF(EH64=VLOOKUP("PCS-OzTL53",ARBOR!$A:$C,3,0),0.0001,IF(EH64&gt;VLOOKUP("PCS-OzTL53",ARBOR!$A:$C,3,0),"Maior que CAP!",IF((DOLLAR(EH64+(VLOOKUP("PCS-OzTL53",ARBOR!$A:$C,3,0)*-TRUNC(EH64/VLOOKUP("PCS-OzTL53",ARBOR!$A:$C,3,0)-1,4)),6))&lt;&gt;(DOLLAR(VLOOKUP("PCS-OzTL53",ARBOR!$A:$C,3,0),6)),-TRUNC(EH64/VLOOKUP("PCS-OzTL53",ARBOR!$A:$C,3,0)-1,4)+0.0001,-TRUNC(EH64/VLOOKUP("PCS-OzTL53",ARBOR!$A:$C,3,0)-1,4)))))</f>
        <v/>
      </c>
      <c r="EJ64" s="28"/>
      <c r="EK64" s="8"/>
      <c r="EL64" s="181" t="str">
        <f>IF(EK64=0,"",IF(EK64=VLOOKUP("PCS-OzTL54",ARBOR!$A:$C,3,0),0.0001,IF(EK64&gt;VLOOKUP("PCS-OzTL54",ARBOR!$A:$C,3,0),"Maior que CAP!",IF((DOLLAR(EK64+(VLOOKUP("PCS-OzTL54",ARBOR!$A:$C,3,0)*-TRUNC(EK64/VLOOKUP("PCS-OzTL54",ARBOR!$A:$C,3,0)-1,4)),6))&lt;&gt;(DOLLAR(VLOOKUP("PCS-OzTL54",ARBOR!$A:$C,3,0),6)),-TRUNC(EK64/VLOOKUP("PCS-OzTL54",ARBOR!$A:$C,3,0)-1,4)+0.0001,-TRUNC(EK64/VLOOKUP("PCS-OzTL54",ARBOR!$A:$C,3,0)-1,4)))))</f>
        <v/>
      </c>
      <c r="EM64" s="28"/>
      <c r="EN64" s="8"/>
      <c r="EO64" s="3" t="str">
        <f>IF(EN64=0,"",IF(EN64=VLOOKUP("PCS-OzTL99",ARBOR!$A:$C,3,0),0.0001,IF(EN64&gt;VLOOKUP("PCS-OzTL99",ARBOR!$A:$C,3,0),"Maior que CAP!",IF((DOLLAR(EN64+(VLOOKUP("PCS-OzTL99",ARBOR!$A:$C,3,0)*-TRUNC(EN64/VLOOKUP("PCS-OzTL99",ARBOR!$A:$C,3,0)-1,4)),6))&lt;&gt;(DOLLAR(VLOOKUP("PCS-OzTL99",ARBOR!$A:$C,3,0),6)),-TRUNC(EN64/VLOOKUP("PCS-OzTL99",ARBOR!$A:$C,3,0)-1,4)+0.0001,-TRUNC(EN64/VLOOKUP("PCS-OzTL99",ARBOR!$A:$C,3,0)-1,4)))))</f>
        <v/>
      </c>
      <c r="EP64" s="28" t="str">
        <f>IF(EO64="S/Desc","S/Desc",IF(ISERROR(IF(EO64="","",VLOOKUP(($BC64&amp;EO64&amp;"Template desconto % Ponto adicional nível conta"),BENEFICIOS!$A:$G,5,0))),"Criar",IF(EO64="","",VLOOKUP(($BC64&amp;EO64&amp;"Template desconto % Ponto adicional nível conta"),BENEFICIOS!$A:$G,5,0))))</f>
        <v/>
      </c>
      <c r="EQ64" s="8"/>
      <c r="ER64" s="28" t="str">
        <f t="shared" si="23"/>
        <v/>
      </c>
      <c r="ES64" s="62"/>
      <c r="ET64" s="126"/>
      <c r="EU64" s="127"/>
      <c r="EV64" s="126"/>
      <c r="EW64" s="128" t="str">
        <f t="shared" si="24"/>
        <v/>
      </c>
      <c r="EX64" s="129" t="str">
        <f t="shared" si="25"/>
        <v/>
      </c>
      <c r="EY64" s="91" t="str">
        <f t="shared" si="26"/>
        <v/>
      </c>
      <c r="EZ64" s="85"/>
      <c r="FA64" s="97"/>
      <c r="FB64" s="91"/>
      <c r="FC64" s="85"/>
      <c r="FD64" s="97"/>
      <c r="FE64" s="91"/>
      <c r="FF64" s="87"/>
      <c r="FG64" s="144" t="str">
        <f t="shared" si="5"/>
        <v/>
      </c>
      <c r="FH64" s="144" t="str">
        <f t="shared" si="6"/>
        <v/>
      </c>
      <c r="FI64" s="144" t="str">
        <f t="shared" si="7"/>
        <v/>
      </c>
      <c r="FJ64" s="144" t="str">
        <f t="shared" si="8"/>
        <v/>
      </c>
      <c r="FK64" s="144" t="str">
        <f t="shared" si="9"/>
        <v/>
      </c>
      <c r="FL64" s="144" t="str">
        <f t="shared" si="10"/>
        <v/>
      </c>
      <c r="FM64" s="144" t="str">
        <f t="shared" si="11"/>
        <v/>
      </c>
      <c r="FN64" s="144" t="str">
        <f t="shared" si="12"/>
        <v/>
      </c>
      <c r="FO64" s="144" t="str">
        <f t="shared" si="13"/>
        <v/>
      </c>
      <c r="FP64" s="144" t="str">
        <f t="shared" si="14"/>
        <v/>
      </c>
      <c r="FQ64" s="144" t="str">
        <f t="shared" si="15"/>
        <v/>
      </c>
      <c r="FR64" s="144" t="str">
        <f t="shared" si="16"/>
        <v/>
      </c>
      <c r="FS64" s="144" t="str">
        <f t="shared" si="17"/>
        <v/>
      </c>
      <c r="FT64" s="144" t="str">
        <f t="shared" si="18"/>
        <v/>
      </c>
      <c r="FU64" s="144" t="str">
        <f t="shared" si="19"/>
        <v/>
      </c>
      <c r="FV64" s="144" t="str">
        <f t="shared" si="20"/>
        <v/>
      </c>
      <c r="FW64" s="144" t="str">
        <f t="shared" si="21"/>
        <v/>
      </c>
      <c r="FX64" s="151"/>
      <c r="FY64" s="152"/>
      <c r="FZ64" s="152"/>
      <c r="GA64" s="152"/>
      <c r="GB64" s="152"/>
      <c r="GC64" s="152"/>
      <c r="GD64" s="152"/>
      <c r="GE64" s="152"/>
      <c r="GF64" s="152"/>
      <c r="GG64" s="153"/>
    </row>
    <row r="65" spans="1:189">
      <c r="A65" s="45"/>
      <c r="B65" s="133"/>
      <c r="C65" s="133"/>
      <c r="D65" s="46"/>
      <c r="E65" s="4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9"/>
      <c r="U65" s="48"/>
      <c r="V65" s="49"/>
      <c r="W65" s="48"/>
      <c r="X65" s="48"/>
      <c r="Y65" s="48"/>
      <c r="Z65" s="48"/>
      <c r="AA65" s="49"/>
      <c r="AB65" s="48"/>
      <c r="AC65" s="50"/>
      <c r="AD65" s="48"/>
      <c r="AE65" s="48"/>
      <c r="AF65" s="48"/>
      <c r="AG65" s="48"/>
      <c r="AH65" s="48"/>
      <c r="AI65" s="48"/>
      <c r="AJ65" s="48"/>
      <c r="AK65" s="48"/>
      <c r="AL65" s="51"/>
      <c r="AM65" s="37"/>
      <c r="AN65" s="38"/>
      <c r="AO65" s="39"/>
      <c r="AP65" s="52"/>
      <c r="AQ65" s="53"/>
      <c r="AR65" s="64"/>
      <c r="AS65" s="65"/>
      <c r="AT65" s="54"/>
      <c r="AU65" s="54"/>
      <c r="AV65" s="54"/>
      <c r="AW65" s="54"/>
      <c r="AX65" s="70"/>
      <c r="AY65" s="71"/>
      <c r="AZ65" s="72"/>
      <c r="BA65" s="73"/>
      <c r="BB65" s="55"/>
      <c r="BC65" s="56"/>
      <c r="BD65" s="27" t="str">
        <f t="shared" si="22"/>
        <v/>
      </c>
      <c r="BE65" s="58"/>
      <c r="BF65" s="3" t="str">
        <f>IF(BE65=0,"",IF(BE65=VLOOKUP("FIXO",ARBOR!$A:$C,3,0),0.0001,IF(BE65&gt;VLOOKUP("FIXO",ARBOR!$A:$C,3,0),"Maior que CAP!",IF((DOLLAR(BE65+(VLOOKUP("FIXO",ARBOR!$A:$C,3,0)*-TRUNC(BE65/VLOOKUP("FIXO",ARBOR!$A:$C,3,0)-1,4)),6))&lt;&gt;(DOLLAR(VLOOKUP("FIXO",ARBOR!$A:$C,3,0),6)),-TRUNC(BE65/VLOOKUP("FIXO",ARBOR!$A:$C,3,0)-1,4)+0.0001,-TRUNC(BE65/VLOOKUP("FIXO",ARBOR!$A:$C,3,0)-1,4)))))</f>
        <v/>
      </c>
      <c r="BG65" s="10" t="str">
        <f>IF(ISERROR(IF(BF65="","",VLOOKUP(($BC65&amp;BF65&amp;"Template de desconto FLAT bundle - Fixo - Varejo - Ganho Tributário Cross"),BENEFICIOS!$A:$G,5,0))),"Criar",IF(BF65="","",VLOOKUP(($BC65&amp;BF65&amp;"Template de desconto FLAT bundle - Fixo - Varejo - Ganho Tributário Cross"),BENEFICIOS!$A:$G,5,0)))</f>
        <v/>
      </c>
      <c r="BH65" s="8"/>
      <c r="BI65" s="3" t="str">
        <f>IF(BH65=0,"",IF(BH65=VLOOKUP("PCS-OzTL40",ARBOR!$A:$C,3,0),0.0001,IF(BH65&gt;VLOOKUP("PCS-OzTL40",ARBOR!$A:$C,3,0),"Maior que CAP!",IF((DOLLAR(BH65+(VLOOKUP("PCS-OzTL40",ARBOR!$A:$C,3,0)*-TRUNC(BH65/VLOOKUP("PCS-OzTL40",ARBOR!$A:$C,3,0)-1,4)),6))&lt;&gt;(DOLLAR(VLOOKUP("PCS-OzTL40",ARBOR!$A:$C,3,0),6)),-TRUNC(BH65/VLOOKUP("PCS-OzTL40",ARBOR!$A:$C,3,0)-1,4)+0.0001,-TRUNC(BH65/VLOOKUP("PCS-OzTL40",ARBOR!$A:$C,3,0)-1,4)))))</f>
        <v/>
      </c>
      <c r="BJ65" s="10" t="str">
        <f>IF(ISERROR(IF(BI65="","",VLOOKUP((BC65&amp;BI65&amp;"Template desconto FLAT Plano Principal Oi TV nível conta"),BENEFICIOS!$A:$G,5,0))),"Criar",IF(BI65="","",VLOOKUP((BC65&amp;BI65&amp;"Template desconto FLAT Plano Principal Oi TV nível conta"),BENEFICIOS!$A:$G,5,0)))</f>
        <v/>
      </c>
      <c r="BK65" s="8"/>
      <c r="BL65" s="3" t="str">
        <f>IF(BK65=0,"",IF(BK65=VLOOKUP("PCS-OzTL41",ARBOR!$A:$C,3,0),0.0001,IF(BK65&gt;VLOOKUP("PCS-OzTL41",ARBOR!$A:$C,3,0),"Maior que CAP!",IF((DOLLAR(BK65+(VLOOKUP("PCS-OzTL41",ARBOR!$A:$C,3,0)*-TRUNC(BK65/VLOOKUP("PCS-OzTL41",ARBOR!$A:$C,3,0)-1,4)),6))&lt;&gt;(DOLLAR(VLOOKUP("PCS-OzTL41",ARBOR!$A:$C,3,0),6)),-TRUNC(BK65/VLOOKUP("PCS-OzTL41",ARBOR!$A:$C,3,0)-1,4)+0.0001,-TRUNC(BK65/VLOOKUP("PCS-OzTL41",ARBOR!$A:$C,3,0)-1,4)))))</f>
        <v/>
      </c>
      <c r="BM65" s="28" t="str">
        <f>IF(ISERROR(IF(BL65="","",VLOOKUP((BC65&amp;BL65&amp;"Template desconto FLAT Plano Principal Oi TV nível conta"),BENEFICIOS!$A:$G,5,0))),"Criar",IF(BL65="","",VLOOKUP((BC65&amp;BL65&amp;"Template desconto FLAT Plano Principal Oi TV nível conta"),BENEFICIOS!$A:$G,5,0)))</f>
        <v/>
      </c>
      <c r="BN65" s="8"/>
      <c r="BO65" s="3" t="str">
        <f>IF(BN65=0,"",IF(BN65=VLOOKUP("PCS-OzTL44",ARBOR!$A:$C,3,0),0.0001,IF(BN65&gt;VLOOKUP("PCS-OzTL44",ARBOR!$A:$C,3,0),"Maior que CAP!",IF((DOLLAR(BN65+(VLOOKUP("PCS-OzTL44",ARBOR!$A:$C,3,0)*-TRUNC(BN65/VLOOKUP("PCS-OzTL44",ARBOR!$A:$C,3,0)-1,4)),6))&lt;&gt;(DOLLAR(VLOOKUP("PCS-OzTL44",ARBOR!$A:$C,3,0),6)),-TRUNC(BN65/VLOOKUP("PCS-OzTL44",ARBOR!$A:$C,3,0)-1,4)+0.0001,-TRUNC(BN65/VLOOKUP("PCS-OzTL44",ARBOR!$A:$C,3,0)-1,4)))))</f>
        <v/>
      </c>
      <c r="BP65" s="28" t="str">
        <f>IF(ISERROR(IF(BO65="","",VLOOKUP((BC65&amp;BO65&amp;"Template desconto FLAT Plano Principal Oi TV nível conta"),BENEFICIOS!$A:$G,5,0))),"Criar",IF(BO65="","",VLOOKUP((BC65&amp;BO65&amp;"Template desconto FLAT Plano Principal Oi TV nível conta"),BENEFICIOS!$A:$G,5,0)))</f>
        <v/>
      </c>
      <c r="BQ65" s="8"/>
      <c r="BR65" s="3" t="str">
        <f>IF(BQ65=0,"",IF(BQ65=VLOOKUP("PCS-OzTL43",ARBOR!$A:$C,3,0),0.0001,IF(BQ65&gt;VLOOKUP("PCS-OzTL43",ARBOR!$A:$C,3,0),"Maior que CAP!",IF((DOLLAR(BQ65+(VLOOKUP("PCS-OzTL43",ARBOR!$A:$C,3,0)*-TRUNC(BQ65/VLOOKUP("PCS-OzTL43",ARBOR!$A:$C,3,0)-1,4)),6))&lt;&gt;(DOLLAR(VLOOKUP("PCS-OzTL43",ARBOR!$A:$C,3,0),6)),-TRUNC(BQ65/VLOOKUP("PCS-OzTL43",ARBOR!$A:$C,3,0)-1,4)+0.0001,-TRUNC(BQ65/VLOOKUP("PCS-OzTL43",ARBOR!$A:$C,3,0)-1,4)))))</f>
        <v/>
      </c>
      <c r="BS65" s="28" t="str">
        <f>IF(ISERROR(IF(BR65="","",VLOOKUP((BC65&amp;BR65&amp;"Template desconto FLAT Plano Principal Oi TV nível conta"),BENEFICIOS!$A:$G,5,0))),"Criar",IF(BR65="","",VLOOKUP((BC65&amp;BR65&amp;"Template desconto FLAT Plano Principal Oi TV nível conta"),BENEFICIOS!$A:$G,5,0)))</f>
        <v/>
      </c>
      <c r="BT65" s="8"/>
      <c r="BU65" s="3" t="str">
        <f>IF(BT65=0,"",IF(BT65=VLOOKUP("PCS-OzTL45",ARBOR!$A:$C,3,0),0.0001,IF(BT65&gt;VLOOKUP("PCS-OzTL45",ARBOR!$A:$C,3,0),"Maior que CAP!",IF((DOLLAR(BT65+(VLOOKUP("PCS-OzTL45",ARBOR!$A:$C,3,0)*-TRUNC(BT65/VLOOKUP("PCS-OzTL45",ARBOR!$A:$C,3,0)-1,4)),6))&lt;&gt;(DOLLAR(VLOOKUP("PCS-OzTL45",ARBOR!$A:$C,3,0),6)),-TRUNC(BT65/VLOOKUP("PCS-OzTL45",ARBOR!$A:$C,3,0)-1,4)+0.0001,-TRUNC(BT65/VLOOKUP("PCS-OzTL45",ARBOR!$A:$C,3,0)-1,4)))))</f>
        <v/>
      </c>
      <c r="BV65" s="28" t="str">
        <f>IF(ISERROR(IF(BU65="","",VLOOKUP((BC65&amp;BU65&amp;"Template desconto FLAT Plano Principal Oi TV nível conta"),BENEFICIOS!$A:$G,5,0))),"Criar",IF(BU65="","",VLOOKUP((BC65&amp;BU65&amp;"Template desconto FLAT Plano Principal Oi TV nível conta"),BENEFICIOS!$A:$G,5,0)))</f>
        <v/>
      </c>
      <c r="BW65" s="8"/>
      <c r="BX65" s="3" t="str">
        <f>IF(BW65=0,"",IF(BW65=VLOOKUP("PCS-OzTL741",ARBOR!$A:$C,3,0),0.0001,IF(BW65&gt;VLOOKUP("PCS-OzTL741",ARBOR!$A:$C,3,0),"Maior que CAP!",IF((DOLLAR(BW65+(VLOOKUP("PCS-OzTL741",ARBOR!$A:$C,3,0)*-TRUNC(BW65/VLOOKUP("PCS-OzTL741",ARBOR!$A:$C,3,0)-1,4)),6))&lt;&gt;(DOLLAR(VLOOKUP("PCS-OzTL741",ARBOR!$A:$C,3,0),6)),-TRUNC(BW65/VLOOKUP("PCS-OzTL741",ARBOR!$A:$C,3,0)-1,4)+0.0001,-TRUNC(BW65/VLOOKUP("PCS-OzTL741",ARBOR!$A:$C,3,0)-1,4)))))</f>
        <v/>
      </c>
      <c r="BY65" s="28" t="str">
        <f>IF(ISERROR(IF(BX65="","",VLOOKUP((BC65&amp;BX65&amp;"Template desconto FLAT Plano Principal Oi TV nível conta"),BENEFICIOS!$A:$G,5,0))),"Criar",IF(BX65="","",VLOOKUP((BC65&amp;BX65&amp;"Template desconto FLAT Plano Principal Oi TV nível conta"),BENEFICIOS!$A:$G,5,0)))</f>
        <v/>
      </c>
      <c r="BZ65" s="8"/>
      <c r="CA65" s="3" t="str">
        <f>IF(BZ65=0,"",IF(BZ65=VLOOKUP("PCS-OzTL744",ARBOR!$A:$C,3,0),0.0001,IF(BZ65&gt;VLOOKUP("PCS-OzTL744",ARBOR!$A:$C,3,0),"Maior que CAP!",IF((DOLLAR(BZ65+(VLOOKUP("PCS-OzTL744",ARBOR!$A:$C,3,0)*-TRUNC(BZ65/VLOOKUP("PCS-OzTL744",ARBOR!$A:$C,3,0)-1,4)),6))&lt;&gt;(DOLLAR(VLOOKUP("PCS-OzTL744",ARBOR!$A:$C,3,0),6)),-TRUNC(BZ65/VLOOKUP("PCS-OzTL744",ARBOR!$A:$C,3,0)-1,4)+0.0001,-TRUNC(BZ65/VLOOKUP("PCS-OzTL744",ARBOR!$A:$C,3,0)-1,4)))))</f>
        <v/>
      </c>
      <c r="CB65" s="28" t="str">
        <f>IF(ISERROR(IF(CA65="","",VLOOKUP(($BC65&amp;CA65&amp;"Template desconto FLAT Plano Principal Oi TV nível conta"),BENEFICIOS!$A:$G,5,0))),"Criar",IF(CA65="","",VLOOKUP(($BC65&amp;CA65&amp;"Template desconto FLAT Plano Principal Oi TV nível conta"),BENEFICIOS!$A:$G,5,0)))</f>
        <v/>
      </c>
      <c r="CC65" s="8"/>
      <c r="CD65" s="3" t="str">
        <f>IF(CC65=0,"",IF(CC65=VLOOKUP("PCS-OzTL743",ARBOR!$A:$C,3,0),0.0001,IF(CC65&gt;VLOOKUP("PCS-OzTL743",ARBOR!$A:$C,3,0),"Maior que CAP!",IF((DOLLAR(CC65+(VLOOKUP("PCS-OzTL743",ARBOR!$A:$C,3,0)*-TRUNC(CC65/VLOOKUP("PCS-OzTL743",ARBOR!$A:$C,3,0)-1,4)),6))&lt;&gt;(DOLLAR(VLOOKUP("PCS-OzTL743",ARBOR!$A:$C,3,0),6)),-TRUNC(CC65/VLOOKUP("PCS-OzTL743",ARBOR!$A:$C,3,0)-1,4)+0.0001,-TRUNC(CC65/VLOOKUP("PCS-OzTL743",ARBOR!$A:$C,3,0)-1,4)))))</f>
        <v/>
      </c>
      <c r="CE65" s="28" t="str">
        <f>IF(ISERROR(IF(CD65="","",VLOOKUP(($BC65&amp;CD65&amp;"Template desconto FLAT Plano Principal Oi TV nível conta"),BENEFICIOS!$A:$G,5,0))),"Criar",IF(CD65="","",VLOOKUP(($BC65&amp;CD65&amp;"Template desconto FLAT Plano Principal Oi TV nível conta"),BENEFICIOS!$A:$G,5,0)))</f>
        <v/>
      </c>
      <c r="CF65" s="8"/>
      <c r="CG65" s="3" t="str">
        <f>IF(CF65=0,"",IF(CF65=VLOOKUP("PCS-OzTL745",ARBOR!$A:$C,3,0),0.0001,IF(CF65&gt;VLOOKUP("PCS-OzTL745",ARBOR!$A:$C,3,0),"Maior que CAP!",IF((DOLLAR(CF65+(VLOOKUP("PCS-OzTL745",ARBOR!$A:$C,3,0)*-TRUNC(CF65/VLOOKUP("PCS-OzTL745",ARBOR!$A:$C,3,0)-1,4)),6))&lt;&gt;(DOLLAR(VLOOKUP("PCS-OzTL745",ARBOR!$A:$C,3,0),6)),-TRUNC(CF65/VLOOKUP("PCS-OzTL745",ARBOR!$A:$C,3,0)-1,4)+0.0001,-TRUNC(CF65/VLOOKUP("PCS-OzTL745",ARBOR!$A:$C,3,0)-1,4)))))</f>
        <v/>
      </c>
      <c r="CH65" s="28" t="str">
        <f>IF(ISERROR(IF(CG65="","",VLOOKUP(($BC65&amp;CG65&amp;"Template desconto FLAT Plano Principal Oi TV nível conta"),BENEFICIOS!$A:$G,5,0))),"Criar",IF(CG65="","",VLOOKUP(($BC65&amp;CG65&amp;"Template desconto FLAT Plano Principal Oi TV nível conta"),BENEFICIOS!$A:$G,5,0)))</f>
        <v/>
      </c>
      <c r="CI65" s="8"/>
      <c r="CJ65" s="3" t="str">
        <f>IF(CI65=0,"",IF(CI65=VLOOKUP("PCS-OzTL42",ARBOR!$A:$C,3,0),0.0001,IF(CI65&gt;VLOOKUP("PCS-OzTL42",ARBOR!$A:$C,3,0),"Maior que CAP!",IF((DOLLAR(CI65+(VLOOKUP("PCS-OzTL42",ARBOR!$A:$C,3,0)*-TRUNC(CI65/VLOOKUP("PCS-OzTL42",ARBOR!$A:$C,3,0)-1,4)),6))&lt;&gt;(DOLLAR(VLOOKUP("PCS-OzTL42",ARBOR!$A:$C,3,0),6)),-TRUNC(CI65/VLOOKUP("PCS-OzTL42",ARBOR!$A:$C,3,0)-1,4)+0.0001,-TRUNC(CI65/VLOOKUP("PCS-OzTL42",ARBOR!$A:$C,3,0)-1,4)))))</f>
        <v/>
      </c>
      <c r="CK65" s="28" t="str">
        <f>IF(ISERROR(IF(CJ65="","",VLOOKUP(($BC65&amp;CJ65&amp;"Template desconto FLAT Plano Principal Oi TV nível conta"),BENEFICIOS!$A:$G,5,0))),"Criar",IF(CJ65="","",VLOOKUP(($BC65&amp;CJ65&amp;"Template desconto FLAT Plano Principal Oi TV nível conta"),BENEFICIOS!$A:$G,5,0)))</f>
        <v/>
      </c>
      <c r="CL65" s="8"/>
      <c r="CM65" s="3" t="str">
        <f>IF(CL65=0,"",IF(CL65=VLOOKUP("PCS-OzTL47",ARBOR!$A:$C,3,0),0.0001,IF(CL65&gt;VLOOKUP("PCS-OzTL47",ARBOR!$A:$C,3,0),"Maior que CAP!",IF((DOLLAR(CL65+(VLOOKUP("PCS-OzTL47",ARBOR!$A:$C,3,0)*-TRUNC(CL65/VLOOKUP("PCS-OzTL47",ARBOR!$A:$C,3,0)-1,4)),6))&lt;&gt;(DOLLAR(VLOOKUP("PCS-OzTL47",ARBOR!$A:$C,3,0),6)),-TRUNC(CL65/VLOOKUP("PCS-OzTL47",ARBOR!$A:$C,3,0)-1,4)+0.0001,-TRUNC(CL65/VLOOKUP("PCS-OzTL47",ARBOR!$A:$C,3,0)-1,4)))))</f>
        <v/>
      </c>
      <c r="CN65" s="28" t="str">
        <f>IF(ISERROR(IF(CM65="","",VLOOKUP(($BC65&amp;CM65&amp;"Template desconto FLAT Plano Principal Oi TV nível conta"),BENEFICIOS!$A:$G,5,0))),"Criar",IF(CM65="","",VLOOKUP(($BC65&amp;CM65&amp;"Template desconto FLAT Plano Principal Oi TV nível conta"),BENEFICIOS!$A:$G,5,0)))</f>
        <v/>
      </c>
      <c r="CO65" s="8"/>
      <c r="CP65" s="3" t="str">
        <f>IF(CO65=0,"",IF(CO65=VLOOKUP("PCS-OzTL46",ARBOR!$A:$C,3,0),0.0001,IF(CO65&gt;VLOOKUP("PCS-OzTL46",ARBOR!$A:$C,3,0),"Maior que CAP!",IF((DOLLAR(CO65+(VLOOKUP("PCS-OzTL46",ARBOR!$A:$C,3,0)*-TRUNC(CO65/VLOOKUP("PCS-OzTL46",ARBOR!$A:$C,3,0)-1,4)),6))&lt;&gt;(DOLLAR(VLOOKUP("PCS-OzTL46",ARBOR!$A:$C,3,0),6)),-TRUNC(CO65/VLOOKUP("PCS-OzTL46",ARBOR!$A:$C,3,0)-1,4)+0.0001,-TRUNC(CO65/VLOOKUP("PCS-OzTL46",ARBOR!$A:$C,3,0)-1,4)))))</f>
        <v/>
      </c>
      <c r="CQ65" s="28" t="str">
        <f>IF(ISERROR(IF(CP65="","",VLOOKUP(($BC65&amp;CP65&amp;"Template desconto FLAT Plano Principal Oi TV nível conta"),BENEFICIOS!$A:$G,5,0))),"Criar",IF(CP65="","",VLOOKUP(($BC65&amp;CP65&amp;"Template desconto FLAT Plano Principal Oi TV nível conta"),BENEFICIOS!$A:$G,5,0)))</f>
        <v/>
      </c>
      <c r="CR65" s="8"/>
      <c r="CS65" s="3" t="str">
        <f>IF(CR65=0,"",IF(CR65=VLOOKUP("PCS-OzTL48",ARBOR!$A:$C,3,0),0.0001,IF(CR65&gt;VLOOKUP("PCS-OzTL48",ARBOR!$A:$C,3,0),"Maior que CAP!",IF((DOLLAR(CR65+(VLOOKUP("PCS-OzTL48",ARBOR!$A:$C,3,0)*-TRUNC(CR65/VLOOKUP("PCS-OzTL48",ARBOR!$A:$C,3,0)-1,4)),6))&lt;&gt;(DOLLAR(VLOOKUP("PCS-OzTL48",ARBOR!$A:$C,3,0),6)),-TRUNC(CR65/VLOOKUP("PCS-OzTL48",ARBOR!$A:$C,3,0)-1,4)+0.0001,-TRUNC(CR65/VLOOKUP("PCS-OzTL48",ARBOR!$A:$C,3,0)-1,4)))))</f>
        <v/>
      </c>
      <c r="CT65" s="28" t="str">
        <f>IF(ISERROR(IF(CS65="","",VLOOKUP(($BC65&amp;CS65&amp;"Template desconto FLAT Plano Principal Oi TV nível conta"),BENEFICIOS!$A:$G,5,0))),"Criar",IF(CS65="","",VLOOKUP(($BC65&amp;CS65&amp;"Template desconto FLAT Plano Principal Oi TV nível conta"),BENEFICIOS!$A:$G,5,0)))</f>
        <v/>
      </c>
      <c r="CU65" s="8"/>
      <c r="CV65" s="3" t="str">
        <f>IF(CU65=0,"",IF(CU65=VLOOKUP("PCS-OzTL742",ARBOR!$A:$C,3,0),0.0001,IF(CU65&gt;VLOOKUP("PCS-OzTL742",ARBOR!$A:$C,3,0),"Maior que CAP!",IF((DOLLAR(CU65+(VLOOKUP("PCS-OzTL742",ARBOR!$A:$C,3,0)*-TRUNC(CU65/VLOOKUP("PCS-OzTL742",ARBOR!$A:$C,3,0)-1,4)),6))&lt;&gt;(DOLLAR(VLOOKUP("PCS-OzTL742",ARBOR!$A:$C,3,0),6)),-TRUNC(CU65/VLOOKUP("PCS-OzTL742",ARBOR!$A:$C,3,0)-1,4)+0.0001,-TRUNC(CU65/VLOOKUP("PCS-OzTL742",ARBOR!$A:$C,3,0)-1,4)))))</f>
        <v/>
      </c>
      <c r="CW65" s="28" t="str">
        <f>IF(ISERROR(IF(CV65="","",VLOOKUP(($BC65&amp;CV65&amp;"Template desconto FLAT Plano Principal Oi TV nível conta"),BENEFICIOS!$A:$G,5,0))),"Criar",IF(CV65="","",VLOOKUP(($BC65&amp;CV65&amp;"Template desconto FLAT Plano Principal Oi TV nível conta"),BENEFICIOS!$A:$G,5,0)))</f>
        <v/>
      </c>
      <c r="CX65" s="8"/>
      <c r="CY65" s="3" t="str">
        <f>IF(CX65=0,"",IF(CX65=VLOOKUP("PCS-OzTL747",ARBOR!$A:$C,3,0),0.0001,IF(CX65&gt;VLOOKUP("PCS-OzTL747",ARBOR!$A:$C,3,0),"Maior que CAP!",IF((DOLLAR(CX65+(VLOOKUP("PCS-OzTL747",ARBOR!$A:$C,3,0)*-TRUNC(CX65/VLOOKUP("PCS-OzTL747",ARBOR!$A:$C,3,0)-1,4)),6))&lt;&gt;(DOLLAR(VLOOKUP("PCS-OzTL747",ARBOR!$A:$C,3,0),6)),-TRUNC(CX65/VLOOKUP("PCS-OzTL747",ARBOR!$A:$C,3,0)-1,4)+0.0001,-TRUNC(CX65/VLOOKUP("PCS-OzTL747",ARBOR!$A:$C,3,0)-1,4)))))</f>
        <v/>
      </c>
      <c r="CZ65" s="28" t="str">
        <f>IF(ISERROR(IF(CY65="","",VLOOKUP(($BC65&amp;CY65&amp;"Template desconto FLAT Plano Principal Oi TV nível conta"),BENEFICIOS!$A:$G,5,0))),"Criar",IF(CY65="","",VLOOKUP(($BC65&amp;CY65&amp;"Template desconto FLAT Plano Principal Oi TV nível conta"),BENEFICIOS!$A:$G,5,0)))</f>
        <v/>
      </c>
      <c r="DA65" s="8"/>
      <c r="DB65" s="3" t="str">
        <f>IF(DA65=0,"",IF(DA65=VLOOKUP("PCS-OzTL746",ARBOR!$A:$C,3,0),0.0001,IF(DA65&gt;VLOOKUP("PCS-OzTL746",ARBOR!$A:$C,3,0),"Maior que CAP!",IF((DOLLAR(DA65+(VLOOKUP("PCS-OzTL746",ARBOR!$A:$C,3,0)*-TRUNC(DA65/VLOOKUP("PCS-OzTL746",ARBOR!$A:$C,3,0)-1,4)),6))&lt;&gt;(DOLLAR(VLOOKUP("PCS-OzTL746",ARBOR!$A:$C,3,0),6)),-TRUNC(DA65/VLOOKUP("PCS-OzTL746",ARBOR!$A:$C,3,0)-1,4)+0.0001,-TRUNC(DA65/VLOOKUP("PCS-OzTL746",ARBOR!$A:$C,3,0)-1,4)))))</f>
        <v/>
      </c>
      <c r="DC65" s="28" t="str">
        <f>IF(ISERROR(IF(DB65="","",VLOOKUP(($BC65&amp;DB65&amp;"Template desconto FLAT Plano Principal Oi TV nível conta"),BENEFICIOS!$A:$G,5,0))),"Criar",IF(DB65="","",VLOOKUP(($BC65&amp;DB65&amp;"Template desconto FLAT Plano Principal Oi TV nível conta"),BENEFICIOS!$A:$G,5,0)))</f>
        <v/>
      </c>
      <c r="DD65" s="8"/>
      <c r="DE65" s="3" t="str">
        <f>IF(DD65=0,"",IF(DD65=VLOOKUP("PCS-OzTL748",ARBOR!$A:$C,3,0),0.0001,IF(DD65&gt;VLOOKUP("PCS-OzTL748",ARBOR!$A:$C,3,0),"Maior que CAP!",IF((DOLLAR(DD65+(VLOOKUP("PCS-OzTL748",ARBOR!$A:$C,3,0)*-TRUNC(DD65/VLOOKUP("PCS-OzTL748",ARBOR!$A:$C,3,0)-1,4)),6))&lt;&gt;(DOLLAR(VLOOKUP("PCS-OzTL748",ARBOR!$A:$C,3,0),6)),-TRUNC(DD65/VLOOKUP("PCS-OzTL748",ARBOR!$A:$C,3,0)-1,4)+0.0001,-TRUNC(DD65/VLOOKUP("PCS-OzTL748",ARBOR!$A:$C,3,0)-1,4)))))</f>
        <v/>
      </c>
      <c r="DF65" s="28" t="str">
        <f>IF(ISERROR(IF(DE65="","",VLOOKUP(($BC65&amp;DE65&amp;"Template desconto FLAT Plano Principal Oi TV nível conta"),BENEFICIOS!$A:$G,5,0))),"Criar",IF(DE65="","",VLOOKUP(($BC65&amp;DE65&amp;"Template desconto FLAT Plano Principal Oi TV nível conta"),BENEFICIOS!$A:$G,5,0)))</f>
        <v/>
      </c>
      <c r="DG65" s="8"/>
      <c r="DH65" s="3" t="str">
        <f>IF(DG65=0,"",IF(DG65=VLOOKUP("PCS-OzTL34",ARBOR!$A:$C,3,0),0.0001,IF(DG65&gt;VLOOKUP("PCS-OzTL34",ARBOR!$A:$C,3,0),"Maior que CAP!",IF((DOLLAR(DG65+(VLOOKUP("PCS-OzTL34",ARBOR!$A:$C,3,0)*-TRUNC(DG65/VLOOKUP("PCS-OzTL34",ARBOR!$A:$C,3,0)-1,4)),6))&lt;&gt;(DOLLAR(VLOOKUP("PCS-OzTL34",ARBOR!$A:$C,3,0),6)),-TRUNC(DG65/VLOOKUP("PCS-OzTL34",ARBOR!$A:$C,3,0)-1,4)+0.0001,-TRUNC(DG65/VLOOKUP("PCS-OzTL34",ARBOR!$A:$C,3,0)-1,4)))))</f>
        <v/>
      </c>
      <c r="DI65" s="28" t="str">
        <f>IF(DH65="S/Desc","S/Desc",IF(ISERROR(IF(DH65="","",VLOOKUP(($BC65&amp;DH65&amp;"Template desconto % Combate nível conta"),BENEFICIOS!$A:$G,5,0))),"Criar",IF(DH65="","",VLOOKUP(($BC65&amp;DH65&amp;"Template desconto % Combate nível conta"),BENEFICIOS!$A:$G,5,0))))</f>
        <v/>
      </c>
      <c r="DJ65" s="8"/>
      <c r="DK65" s="3" t="str">
        <f>IF(DJ65=0,"",IF(DJ65=VLOOKUP("PCS-OzTL31",ARBOR!$A:$C,3,0),0.0001,IF(DJ65&gt;VLOOKUP("PCS-OzTL31",ARBOR!$A:$C,3,0),"Maior que CAP!",IF((DOLLAR(DJ65+(VLOOKUP("PCS-OzTL31",ARBOR!$A:$C,3,0)*-TRUNC(DJ65/VLOOKUP("PCS-OzTL31",ARBOR!$A:$C,3,0)-1,4)),6))&lt;&gt;(DOLLAR(VLOOKUP("PCS-OzTL31",ARBOR!$A:$C,3,0),6)),-TRUNC(DJ65/VLOOKUP("PCS-OzTL31",ARBOR!$A:$C,3,0)-1,4)+0.0001,-TRUNC(DJ65/VLOOKUP("PCS-OzTL31",ARBOR!$A:$C,3,0)-1,4)))))</f>
        <v/>
      </c>
      <c r="DL65" s="28" t="str">
        <f>IF(DK65="S/Desc","S/Desc",IF(ISERROR(IF(DK65="","",VLOOKUP(($BC65&amp;DK65&amp;"Template desconto % Sexy Hot nível conta"),BENEFICIOS!$A:$G,5,0))),"Criar",IF(DK65="","",VLOOKUP(($BC65&amp;DK65&amp;"Template desconto % Sexy Hot nível conta"),BENEFICIOS!$A:$G,5,0))))</f>
        <v/>
      </c>
      <c r="DM65" s="8"/>
      <c r="DN65" s="3" t="str">
        <f>IF(DM65=0,"",IF(DM65=VLOOKUP("PCS-OzTL32",ARBOR!$A:$C,3,0),0.0001,IF(DM65&gt;VLOOKUP("PCS-OzTL32",ARBOR!$A:$C,3,0),"Maior que CAP!",IF((DOLLAR(DM65+(VLOOKUP("PCS-OzTL32",ARBOR!$A:$C,3,0)*-TRUNC(DM65/VLOOKUP("PCS-OzTL32",ARBOR!$A:$C,3,0)-1,4)),6))&lt;&gt;(DOLLAR(VLOOKUP("PCS-OzTL32",ARBOR!$A:$C,3,0),6)),-TRUNC(DM65/VLOOKUP("PCS-OzTL32",ARBOR!$A:$C,3,0)-1,4)+0.0001,-TRUNC(DM65/VLOOKUP("PCS-OzTL32",ARBOR!$A:$C,3,0)-1,4)))))</f>
        <v/>
      </c>
      <c r="DO65" s="28" t="str">
        <f>IF(DN65="S/Desc","S/Desc",IF(ISERROR(IF(DN65="","",VLOOKUP(($BC65&amp;DN65&amp;"Template desconto % Playboy nível conta"),BENEFICIOS!$A:$G,5,0))),"Criar",IF(DN65="","",VLOOKUP(($BC65&amp;DN65&amp;"Template desconto % Playboy nível conta"),BENEFICIOS!$A:$G,5,0))))</f>
        <v/>
      </c>
      <c r="DP65" s="8"/>
      <c r="DQ65" s="3" t="str">
        <f>IF(DP65=0,"",IF(DP65=VLOOKUP("PCS-OzTL33",ARBOR!$A:$C,3,0),0.0001,IF(DP65&gt;VLOOKUP("PCS-OzTL33",ARBOR!$A:$C,3,0),"Maior que CAP!",IF((DOLLAR(DP65+(VLOOKUP("PCS-OzTL33",ARBOR!$A:$C,3,0)*-TRUNC(DP65/VLOOKUP("PCS-OzTL33",ARBOR!$A:$C,3,0)-1,4)),6))&lt;&gt;(DOLLAR(VLOOKUP("PCS-OzTL33",ARBOR!$A:$C,3,0),6)),-TRUNC(DP65/VLOOKUP("PCS-OzTL33",ARBOR!$A:$C,3,0)-1,4)+0.0001,-TRUNC(DP65/VLOOKUP("PCS-OzTL33",ARBOR!$A:$C,3,0)-1,4)))))</f>
        <v/>
      </c>
      <c r="DR65" s="28" t="str">
        <f>IF(DQ65="S/Desc","S/Desc",IF(ISERROR(IF(DQ65="","",VLOOKUP(($BC65&amp;DQ65&amp;"Template desconto % Sexy Hot + Playboy nível conta"),BENEFICIOS!$A:$G,5,0))),"Criar",IF(DQ65="","",VLOOKUP(($BC65&amp;DQ65&amp;"Template desconto % Sexy Hot + Playboy nível conta"),BENEFICIOS!$A:$G,5,0))))</f>
        <v/>
      </c>
      <c r="DS65" s="8"/>
      <c r="DT65" s="3" t="str">
        <f>IF(DS65=0,"",IF(DS65=VLOOKUP("PCS-OzTL503",ARBOR!$A:$C,3,0),0.0001,IF(DS65&gt;VLOOKUP("PCS-OzTL503",ARBOR!$A:$C,3,0),"Maior que CAP!",IF((DOLLAR(DS65+(VLOOKUP("PCS-OzTL503",ARBOR!$A:$C,3,0)*-TRUNC(DS65/VLOOKUP("PCS-OzTL503",ARBOR!$A:$C,3,0)-1,4)),6))&lt;&gt;(DOLLAR(VLOOKUP("PCS-OzTL503",ARBOR!$A:$C,3,0),6)),-TRUNC(DS65/VLOOKUP("PCS-OzTL503",ARBOR!$A:$C,3,0)-1,4)+0.0001,-TRUNC(DS65/VLOOKUP("PCS-OzTL503",ARBOR!$A:$C,3,0)-1,4)))))</f>
        <v/>
      </c>
      <c r="DU65" s="28" t="str">
        <f>IF(DT65="S/Desc","S/Desc",IF(ISERROR(IF(DT65="","",VLOOKUP(($BC65&amp;DT65&amp;"Template desconto % SexPrivê nível conta"),BENEFICIOS!$A:$G,5,0))),"Criar",IF(DT65="","",VLOOKUP(($BC65&amp;DT65&amp;"Template desconto % SexPrivê nível conta"),BENEFICIOS!$A:$G,5,0))))</f>
        <v/>
      </c>
      <c r="DV65" s="8"/>
      <c r="DW65" s="3" t="str">
        <f>IF(DV65=0,"",IF(DV65=VLOOKUP("PCS-OzTL500",ARBOR!$A:$C,3,0),0.0001,IF(DV65&gt;VLOOKUP("PCS-OzTL500",ARBOR!$A:$C,3,0),"Maior que CAP!",IF((DOLLAR(DV65+(VLOOKUP("PCS-OzTL500",ARBOR!$A:$C,3,0)*-TRUNC(DV65/VLOOKUP("PCS-OzTL500",ARBOR!$A:$C,3,0)-1,4)),6))&lt;&gt;(DOLLAR(VLOOKUP("PCS-OzTL500",ARBOR!$A:$C,3,0),6)),-TRUNC(DV65/VLOOKUP("PCS-OzTL500",ARBOR!$A:$C,3,0)-1,4)+0.0001,-TRUNC(DV65/VLOOKUP("PCS-OzTL500",ARBOR!$A:$C,3,0)-1,4)))))</f>
        <v/>
      </c>
      <c r="DX65" s="28" t="str">
        <f>IF(DW65="S/Desc","S/Desc",IF(ISERROR(IF(DW65="","",VLOOKUP(($BC65&amp;DW65&amp;"Template desconto % Étnico nível conta"),BENEFICIOS!$A:$G,5,0))),"Criar",IF(DW65="","",VLOOKUP(($BC65&amp;DW65&amp;"Template desconto % Étnico nível conta"),BENEFICIOS!$A:$G,5,0))))</f>
        <v/>
      </c>
      <c r="DY65" s="8"/>
      <c r="DZ65" s="181" t="str">
        <f>IF(DY65=0,"",IF(DY65=VLOOKUP("PCS-OzTL50",ARBOR!$A:$C,3,0),0.0001,IF(DY65&gt;VLOOKUP("PCS-OzTL50",ARBOR!$A:$C,3,0),"Maior que CAP!",IF((DOLLAR(DY65+(VLOOKUP("PCS-OzTL50",ARBOR!$A:$C,3,0)*-TRUNC(DY65/VLOOKUP("PCS-OzTL50",ARBOR!$A:$C,3,0)-1,4)),6))&lt;&gt;(DOLLAR(VLOOKUP("PCS-OzTL50",ARBOR!$A:$C,3,0),6)),-TRUNC(DY65/VLOOKUP("PCS-OzTL50",ARBOR!$A:$C,3,0)-1,4)+0.0001,-TRUNC(DY65/VLOOKUP("PCS-OzTL50",ARBOR!$A:$C,3,0)-1,4)))))</f>
        <v/>
      </c>
      <c r="EA65" s="28"/>
      <c r="EB65" s="8"/>
      <c r="EC65" s="181" t="str">
        <f>IF(EB65=0,"",IF(EB65=VLOOKUP("PCS-OzTL51",ARBOR!$A:$C,3,0),0.0001,IF(EB65&gt;VLOOKUP("PCS-OzTL51",ARBOR!$A:$C,3,0),"Maior que CAP!",IF((DOLLAR(EB65+(VLOOKUP("PCS-OzTL51",ARBOR!$A:$C,3,0)*-TRUNC(EB65/VLOOKUP("PCS-OzTL51",ARBOR!$A:$C,3,0)-1,4)),6))&lt;&gt;(DOLLAR(VLOOKUP("PCS-OzTL51",ARBOR!$A:$C,3,0),6)),-TRUNC(EB65/VLOOKUP("PCS-OzTL51",ARBOR!$A:$C,3,0)-1,4)+0.0001,-TRUNC(EB65/VLOOKUP("PCS-OzTL51",ARBOR!$A:$C,3,0)-1,4)))))</f>
        <v/>
      </c>
      <c r="ED65" s="28"/>
      <c r="EE65" s="8"/>
      <c r="EF65" s="181" t="str">
        <f>IF(EE65=0,"",IF(EE65=VLOOKUP("PCS-OzTL52",ARBOR!$A:$C,3,0),0.0001,IF(EE65&gt;VLOOKUP("PCS-OzTL52",ARBOR!$A:$C,3,0),"Maior que CAP!",IF((DOLLAR(EE65+(VLOOKUP("PCS-OzTL52",ARBOR!$A:$C,3,0)*-TRUNC(EE65/VLOOKUP("PCS-OzTL52",ARBOR!$A:$C,3,0)-1,4)),6))&lt;&gt;(DOLLAR(VLOOKUP("PCS-OzTL52",ARBOR!$A:$C,3,0),6)),-TRUNC(EE65/VLOOKUP("PCS-OzTL52",ARBOR!$A:$C,3,0)-1,4)+0.0001,-TRUNC(EE65/VLOOKUP("PCS-OzTL52",ARBOR!$A:$C,3,0)-1,4)))))</f>
        <v/>
      </c>
      <c r="EG65" s="28"/>
      <c r="EH65" s="8"/>
      <c r="EI65" s="181" t="str">
        <f>IF(EH65=0,"",IF(EH65=VLOOKUP("PCS-OzTL53",ARBOR!$A:$C,3,0),0.0001,IF(EH65&gt;VLOOKUP("PCS-OzTL53",ARBOR!$A:$C,3,0),"Maior que CAP!",IF((DOLLAR(EH65+(VLOOKUP("PCS-OzTL53",ARBOR!$A:$C,3,0)*-TRUNC(EH65/VLOOKUP("PCS-OzTL53",ARBOR!$A:$C,3,0)-1,4)),6))&lt;&gt;(DOLLAR(VLOOKUP("PCS-OzTL53",ARBOR!$A:$C,3,0),6)),-TRUNC(EH65/VLOOKUP("PCS-OzTL53",ARBOR!$A:$C,3,0)-1,4)+0.0001,-TRUNC(EH65/VLOOKUP("PCS-OzTL53",ARBOR!$A:$C,3,0)-1,4)))))</f>
        <v/>
      </c>
      <c r="EJ65" s="28"/>
      <c r="EK65" s="8"/>
      <c r="EL65" s="181" t="str">
        <f>IF(EK65=0,"",IF(EK65=VLOOKUP("PCS-OzTL54",ARBOR!$A:$C,3,0),0.0001,IF(EK65&gt;VLOOKUP("PCS-OzTL54",ARBOR!$A:$C,3,0),"Maior que CAP!",IF((DOLLAR(EK65+(VLOOKUP("PCS-OzTL54",ARBOR!$A:$C,3,0)*-TRUNC(EK65/VLOOKUP("PCS-OzTL54",ARBOR!$A:$C,3,0)-1,4)),6))&lt;&gt;(DOLLAR(VLOOKUP("PCS-OzTL54",ARBOR!$A:$C,3,0),6)),-TRUNC(EK65/VLOOKUP("PCS-OzTL54",ARBOR!$A:$C,3,0)-1,4)+0.0001,-TRUNC(EK65/VLOOKUP("PCS-OzTL54",ARBOR!$A:$C,3,0)-1,4)))))</f>
        <v/>
      </c>
      <c r="EM65" s="28"/>
      <c r="EN65" s="8"/>
      <c r="EO65" s="3" t="str">
        <f>IF(EN65=0,"",IF(EN65=VLOOKUP("PCS-OzTL99",ARBOR!$A:$C,3,0),0.0001,IF(EN65&gt;VLOOKUP("PCS-OzTL99",ARBOR!$A:$C,3,0),"Maior que CAP!",IF((DOLLAR(EN65+(VLOOKUP("PCS-OzTL99",ARBOR!$A:$C,3,0)*-TRUNC(EN65/VLOOKUP("PCS-OzTL99",ARBOR!$A:$C,3,0)-1,4)),6))&lt;&gt;(DOLLAR(VLOOKUP("PCS-OzTL99",ARBOR!$A:$C,3,0),6)),-TRUNC(EN65/VLOOKUP("PCS-OzTL99",ARBOR!$A:$C,3,0)-1,4)+0.0001,-TRUNC(EN65/VLOOKUP("PCS-OzTL99",ARBOR!$A:$C,3,0)-1,4)))))</f>
        <v/>
      </c>
      <c r="EP65" s="28" t="str">
        <f>IF(EO65="S/Desc","S/Desc",IF(ISERROR(IF(EO65="","",VLOOKUP(($BC65&amp;EO65&amp;"Template desconto % Ponto adicional nível conta"),BENEFICIOS!$A:$G,5,0))),"Criar",IF(EO65="","",VLOOKUP(($BC65&amp;EO65&amp;"Template desconto % Ponto adicional nível conta"),BENEFICIOS!$A:$G,5,0))))</f>
        <v/>
      </c>
      <c r="EQ65" s="8"/>
      <c r="ER65" s="28" t="str">
        <f t="shared" si="23"/>
        <v/>
      </c>
      <c r="ES65" s="62"/>
      <c r="ET65" s="126"/>
      <c r="EU65" s="127"/>
      <c r="EV65" s="126"/>
      <c r="EW65" s="128" t="str">
        <f t="shared" si="24"/>
        <v/>
      </c>
      <c r="EX65" s="129" t="str">
        <f t="shared" si="25"/>
        <v/>
      </c>
      <c r="EY65" s="91" t="str">
        <f t="shared" si="26"/>
        <v/>
      </c>
      <c r="EZ65" s="85"/>
      <c r="FA65" s="97"/>
      <c r="FB65" s="91"/>
      <c r="FC65" s="85"/>
      <c r="FD65" s="97"/>
      <c r="FE65" s="91"/>
      <c r="FF65" s="87"/>
      <c r="FG65" s="144" t="str">
        <f t="shared" si="5"/>
        <v/>
      </c>
      <c r="FH65" s="144" t="str">
        <f t="shared" si="6"/>
        <v/>
      </c>
      <c r="FI65" s="144" t="str">
        <f t="shared" si="7"/>
        <v/>
      </c>
      <c r="FJ65" s="144" t="str">
        <f t="shared" si="8"/>
        <v/>
      </c>
      <c r="FK65" s="144" t="str">
        <f t="shared" si="9"/>
        <v/>
      </c>
      <c r="FL65" s="144" t="str">
        <f t="shared" si="10"/>
        <v/>
      </c>
      <c r="FM65" s="144" t="str">
        <f t="shared" si="11"/>
        <v/>
      </c>
      <c r="FN65" s="144" t="str">
        <f t="shared" si="12"/>
        <v/>
      </c>
      <c r="FO65" s="144" t="str">
        <f t="shared" si="13"/>
        <v/>
      </c>
      <c r="FP65" s="144" t="str">
        <f t="shared" si="14"/>
        <v/>
      </c>
      <c r="FQ65" s="144" t="str">
        <f t="shared" si="15"/>
        <v/>
      </c>
      <c r="FR65" s="144" t="str">
        <f t="shared" si="16"/>
        <v/>
      </c>
      <c r="FS65" s="144" t="str">
        <f t="shared" si="17"/>
        <v/>
      </c>
      <c r="FT65" s="144" t="str">
        <f t="shared" si="18"/>
        <v/>
      </c>
      <c r="FU65" s="144" t="str">
        <f t="shared" si="19"/>
        <v/>
      </c>
      <c r="FV65" s="144" t="str">
        <f t="shared" si="20"/>
        <v/>
      </c>
      <c r="FW65" s="144" t="str">
        <f t="shared" si="21"/>
        <v/>
      </c>
      <c r="FX65" s="151"/>
      <c r="FY65" s="152"/>
      <c r="FZ65" s="152"/>
      <c r="GA65" s="152"/>
      <c r="GB65" s="152"/>
      <c r="GC65" s="152"/>
      <c r="GD65" s="152"/>
      <c r="GE65" s="152"/>
      <c r="GF65" s="152"/>
      <c r="GG65" s="153"/>
    </row>
    <row r="66" spans="1:189">
      <c r="A66" s="45"/>
      <c r="B66" s="133"/>
      <c r="C66" s="133"/>
      <c r="D66" s="46"/>
      <c r="E66" s="4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9"/>
      <c r="U66" s="48"/>
      <c r="V66" s="49"/>
      <c r="W66" s="48"/>
      <c r="X66" s="48"/>
      <c r="Y66" s="48"/>
      <c r="Z66" s="48"/>
      <c r="AA66" s="49"/>
      <c r="AB66" s="48"/>
      <c r="AC66" s="50"/>
      <c r="AD66" s="48"/>
      <c r="AE66" s="48"/>
      <c r="AF66" s="48"/>
      <c r="AG66" s="48"/>
      <c r="AH66" s="48"/>
      <c r="AI66" s="48"/>
      <c r="AJ66" s="48"/>
      <c r="AK66" s="48"/>
      <c r="AL66" s="51"/>
      <c r="AM66" s="37"/>
      <c r="AN66" s="38"/>
      <c r="AO66" s="39"/>
      <c r="AP66" s="52"/>
      <c r="AQ66" s="53"/>
      <c r="AR66" s="64"/>
      <c r="AS66" s="65"/>
      <c r="AT66" s="54"/>
      <c r="AU66" s="54"/>
      <c r="AV66" s="54"/>
      <c r="AW66" s="54"/>
      <c r="AX66" s="70"/>
      <c r="AY66" s="71"/>
      <c r="AZ66" s="72"/>
      <c r="BA66" s="73"/>
      <c r="BB66" s="55"/>
      <c r="BC66" s="56"/>
      <c r="BD66" s="27" t="str">
        <f t="shared" si="22"/>
        <v/>
      </c>
      <c r="BE66" s="58"/>
      <c r="BF66" s="3" t="str">
        <f>IF(BE66=0,"",IF(BE66=VLOOKUP("FIXO",ARBOR!$A:$C,3,0),0.0001,IF(BE66&gt;VLOOKUP("FIXO",ARBOR!$A:$C,3,0),"Maior que CAP!",IF((DOLLAR(BE66+(VLOOKUP("FIXO",ARBOR!$A:$C,3,0)*-TRUNC(BE66/VLOOKUP("FIXO",ARBOR!$A:$C,3,0)-1,4)),6))&lt;&gt;(DOLLAR(VLOOKUP("FIXO",ARBOR!$A:$C,3,0),6)),-TRUNC(BE66/VLOOKUP("FIXO",ARBOR!$A:$C,3,0)-1,4)+0.0001,-TRUNC(BE66/VLOOKUP("FIXO",ARBOR!$A:$C,3,0)-1,4)))))</f>
        <v/>
      </c>
      <c r="BG66" s="10" t="str">
        <f>IF(ISERROR(IF(BF66="","",VLOOKUP(($BC66&amp;BF66&amp;"Template de desconto FLAT bundle - Fixo - Varejo - Ganho Tributário Cross"),BENEFICIOS!$A:$G,5,0))),"Criar",IF(BF66="","",VLOOKUP(($BC66&amp;BF66&amp;"Template de desconto FLAT bundle - Fixo - Varejo - Ganho Tributário Cross"),BENEFICIOS!$A:$G,5,0)))</f>
        <v/>
      </c>
      <c r="BH66" s="8"/>
      <c r="BI66" s="3" t="str">
        <f>IF(BH66=0,"",IF(BH66=VLOOKUP("PCS-OzTL40",ARBOR!$A:$C,3,0),0.0001,IF(BH66&gt;VLOOKUP("PCS-OzTL40",ARBOR!$A:$C,3,0),"Maior que CAP!",IF((DOLLAR(BH66+(VLOOKUP("PCS-OzTL40",ARBOR!$A:$C,3,0)*-TRUNC(BH66/VLOOKUP("PCS-OzTL40",ARBOR!$A:$C,3,0)-1,4)),6))&lt;&gt;(DOLLAR(VLOOKUP("PCS-OzTL40",ARBOR!$A:$C,3,0),6)),-TRUNC(BH66/VLOOKUP("PCS-OzTL40",ARBOR!$A:$C,3,0)-1,4)+0.0001,-TRUNC(BH66/VLOOKUP("PCS-OzTL40",ARBOR!$A:$C,3,0)-1,4)))))</f>
        <v/>
      </c>
      <c r="BJ66" s="10" t="str">
        <f>IF(ISERROR(IF(BI66="","",VLOOKUP((BC66&amp;BI66&amp;"Template desconto FLAT Plano Principal Oi TV nível conta"),BENEFICIOS!$A:$G,5,0))),"Criar",IF(BI66="","",VLOOKUP((BC66&amp;BI66&amp;"Template desconto FLAT Plano Principal Oi TV nível conta"),BENEFICIOS!$A:$G,5,0)))</f>
        <v/>
      </c>
      <c r="BK66" s="8"/>
      <c r="BL66" s="3" t="str">
        <f>IF(BK66=0,"",IF(BK66=VLOOKUP("PCS-OzTL41",ARBOR!$A:$C,3,0),0.0001,IF(BK66&gt;VLOOKUP("PCS-OzTL41",ARBOR!$A:$C,3,0),"Maior que CAP!",IF((DOLLAR(BK66+(VLOOKUP("PCS-OzTL41",ARBOR!$A:$C,3,0)*-TRUNC(BK66/VLOOKUP("PCS-OzTL41",ARBOR!$A:$C,3,0)-1,4)),6))&lt;&gt;(DOLLAR(VLOOKUP("PCS-OzTL41",ARBOR!$A:$C,3,0),6)),-TRUNC(BK66/VLOOKUP("PCS-OzTL41",ARBOR!$A:$C,3,0)-1,4)+0.0001,-TRUNC(BK66/VLOOKUP("PCS-OzTL41",ARBOR!$A:$C,3,0)-1,4)))))</f>
        <v/>
      </c>
      <c r="BM66" s="28" t="str">
        <f>IF(ISERROR(IF(BL66="","",VLOOKUP((BC66&amp;BL66&amp;"Template desconto FLAT Plano Principal Oi TV nível conta"),BENEFICIOS!$A:$G,5,0))),"Criar",IF(BL66="","",VLOOKUP((BC66&amp;BL66&amp;"Template desconto FLAT Plano Principal Oi TV nível conta"),BENEFICIOS!$A:$G,5,0)))</f>
        <v/>
      </c>
      <c r="BN66" s="8"/>
      <c r="BO66" s="3" t="str">
        <f>IF(BN66=0,"",IF(BN66=VLOOKUP("PCS-OzTL44",ARBOR!$A:$C,3,0),0.0001,IF(BN66&gt;VLOOKUP("PCS-OzTL44",ARBOR!$A:$C,3,0),"Maior que CAP!",IF((DOLLAR(BN66+(VLOOKUP("PCS-OzTL44",ARBOR!$A:$C,3,0)*-TRUNC(BN66/VLOOKUP("PCS-OzTL44",ARBOR!$A:$C,3,0)-1,4)),6))&lt;&gt;(DOLLAR(VLOOKUP("PCS-OzTL44",ARBOR!$A:$C,3,0),6)),-TRUNC(BN66/VLOOKUP("PCS-OzTL44",ARBOR!$A:$C,3,0)-1,4)+0.0001,-TRUNC(BN66/VLOOKUP("PCS-OzTL44",ARBOR!$A:$C,3,0)-1,4)))))</f>
        <v/>
      </c>
      <c r="BP66" s="28" t="str">
        <f>IF(ISERROR(IF(BO66="","",VLOOKUP((BC66&amp;BO66&amp;"Template desconto FLAT Plano Principal Oi TV nível conta"),BENEFICIOS!$A:$G,5,0))),"Criar",IF(BO66="","",VLOOKUP((BC66&amp;BO66&amp;"Template desconto FLAT Plano Principal Oi TV nível conta"),BENEFICIOS!$A:$G,5,0)))</f>
        <v/>
      </c>
      <c r="BQ66" s="8"/>
      <c r="BR66" s="3" t="str">
        <f>IF(BQ66=0,"",IF(BQ66=VLOOKUP("PCS-OzTL43",ARBOR!$A:$C,3,0),0.0001,IF(BQ66&gt;VLOOKUP("PCS-OzTL43",ARBOR!$A:$C,3,0),"Maior que CAP!",IF((DOLLAR(BQ66+(VLOOKUP("PCS-OzTL43",ARBOR!$A:$C,3,0)*-TRUNC(BQ66/VLOOKUP("PCS-OzTL43",ARBOR!$A:$C,3,0)-1,4)),6))&lt;&gt;(DOLLAR(VLOOKUP("PCS-OzTL43",ARBOR!$A:$C,3,0),6)),-TRUNC(BQ66/VLOOKUP("PCS-OzTL43",ARBOR!$A:$C,3,0)-1,4)+0.0001,-TRUNC(BQ66/VLOOKUP("PCS-OzTL43",ARBOR!$A:$C,3,0)-1,4)))))</f>
        <v/>
      </c>
      <c r="BS66" s="28" t="str">
        <f>IF(ISERROR(IF(BR66="","",VLOOKUP((BC66&amp;BR66&amp;"Template desconto FLAT Plano Principal Oi TV nível conta"),BENEFICIOS!$A:$G,5,0))),"Criar",IF(BR66="","",VLOOKUP((BC66&amp;BR66&amp;"Template desconto FLAT Plano Principal Oi TV nível conta"),BENEFICIOS!$A:$G,5,0)))</f>
        <v/>
      </c>
      <c r="BT66" s="8"/>
      <c r="BU66" s="3" t="str">
        <f>IF(BT66=0,"",IF(BT66=VLOOKUP("PCS-OzTL45",ARBOR!$A:$C,3,0),0.0001,IF(BT66&gt;VLOOKUP("PCS-OzTL45",ARBOR!$A:$C,3,0),"Maior que CAP!",IF((DOLLAR(BT66+(VLOOKUP("PCS-OzTL45",ARBOR!$A:$C,3,0)*-TRUNC(BT66/VLOOKUP("PCS-OzTL45",ARBOR!$A:$C,3,0)-1,4)),6))&lt;&gt;(DOLLAR(VLOOKUP("PCS-OzTL45",ARBOR!$A:$C,3,0),6)),-TRUNC(BT66/VLOOKUP("PCS-OzTL45",ARBOR!$A:$C,3,0)-1,4)+0.0001,-TRUNC(BT66/VLOOKUP("PCS-OzTL45",ARBOR!$A:$C,3,0)-1,4)))))</f>
        <v/>
      </c>
      <c r="BV66" s="28" t="str">
        <f>IF(ISERROR(IF(BU66="","",VLOOKUP((BC66&amp;BU66&amp;"Template desconto FLAT Plano Principal Oi TV nível conta"),BENEFICIOS!$A:$G,5,0))),"Criar",IF(BU66="","",VLOOKUP((BC66&amp;BU66&amp;"Template desconto FLAT Plano Principal Oi TV nível conta"),BENEFICIOS!$A:$G,5,0)))</f>
        <v/>
      </c>
      <c r="BW66" s="8"/>
      <c r="BX66" s="3" t="str">
        <f>IF(BW66=0,"",IF(BW66=VLOOKUP("PCS-OzTL741",ARBOR!$A:$C,3,0),0.0001,IF(BW66&gt;VLOOKUP("PCS-OzTL741",ARBOR!$A:$C,3,0),"Maior que CAP!",IF((DOLLAR(BW66+(VLOOKUP("PCS-OzTL741",ARBOR!$A:$C,3,0)*-TRUNC(BW66/VLOOKUP("PCS-OzTL741",ARBOR!$A:$C,3,0)-1,4)),6))&lt;&gt;(DOLLAR(VLOOKUP("PCS-OzTL741",ARBOR!$A:$C,3,0),6)),-TRUNC(BW66/VLOOKUP("PCS-OzTL741",ARBOR!$A:$C,3,0)-1,4)+0.0001,-TRUNC(BW66/VLOOKUP("PCS-OzTL741",ARBOR!$A:$C,3,0)-1,4)))))</f>
        <v/>
      </c>
      <c r="BY66" s="28" t="str">
        <f>IF(ISERROR(IF(BX66="","",VLOOKUP((BC66&amp;BX66&amp;"Template desconto FLAT Plano Principal Oi TV nível conta"),BENEFICIOS!$A:$G,5,0))),"Criar",IF(BX66="","",VLOOKUP((BC66&amp;BX66&amp;"Template desconto FLAT Plano Principal Oi TV nível conta"),BENEFICIOS!$A:$G,5,0)))</f>
        <v/>
      </c>
      <c r="BZ66" s="8"/>
      <c r="CA66" s="3" t="str">
        <f>IF(BZ66=0,"",IF(BZ66=VLOOKUP("PCS-OzTL744",ARBOR!$A:$C,3,0),0.0001,IF(BZ66&gt;VLOOKUP("PCS-OzTL744",ARBOR!$A:$C,3,0),"Maior que CAP!",IF((DOLLAR(BZ66+(VLOOKUP("PCS-OzTL744",ARBOR!$A:$C,3,0)*-TRUNC(BZ66/VLOOKUP("PCS-OzTL744",ARBOR!$A:$C,3,0)-1,4)),6))&lt;&gt;(DOLLAR(VLOOKUP("PCS-OzTL744",ARBOR!$A:$C,3,0),6)),-TRUNC(BZ66/VLOOKUP("PCS-OzTL744",ARBOR!$A:$C,3,0)-1,4)+0.0001,-TRUNC(BZ66/VLOOKUP("PCS-OzTL744",ARBOR!$A:$C,3,0)-1,4)))))</f>
        <v/>
      </c>
      <c r="CB66" s="28" t="str">
        <f>IF(ISERROR(IF(CA66="","",VLOOKUP(($BC66&amp;CA66&amp;"Template desconto FLAT Plano Principal Oi TV nível conta"),BENEFICIOS!$A:$G,5,0))),"Criar",IF(CA66="","",VLOOKUP(($BC66&amp;CA66&amp;"Template desconto FLAT Plano Principal Oi TV nível conta"),BENEFICIOS!$A:$G,5,0)))</f>
        <v/>
      </c>
      <c r="CC66" s="8"/>
      <c r="CD66" s="3" t="str">
        <f>IF(CC66=0,"",IF(CC66=VLOOKUP("PCS-OzTL743",ARBOR!$A:$C,3,0),0.0001,IF(CC66&gt;VLOOKUP("PCS-OzTL743",ARBOR!$A:$C,3,0),"Maior que CAP!",IF((DOLLAR(CC66+(VLOOKUP("PCS-OzTL743",ARBOR!$A:$C,3,0)*-TRUNC(CC66/VLOOKUP("PCS-OzTL743",ARBOR!$A:$C,3,0)-1,4)),6))&lt;&gt;(DOLLAR(VLOOKUP("PCS-OzTL743",ARBOR!$A:$C,3,0),6)),-TRUNC(CC66/VLOOKUP("PCS-OzTL743",ARBOR!$A:$C,3,0)-1,4)+0.0001,-TRUNC(CC66/VLOOKUP("PCS-OzTL743",ARBOR!$A:$C,3,0)-1,4)))))</f>
        <v/>
      </c>
      <c r="CE66" s="28" t="str">
        <f>IF(ISERROR(IF(CD66="","",VLOOKUP(($BC66&amp;CD66&amp;"Template desconto FLAT Plano Principal Oi TV nível conta"),BENEFICIOS!$A:$G,5,0))),"Criar",IF(CD66="","",VLOOKUP(($BC66&amp;CD66&amp;"Template desconto FLAT Plano Principal Oi TV nível conta"),BENEFICIOS!$A:$G,5,0)))</f>
        <v/>
      </c>
      <c r="CF66" s="8"/>
      <c r="CG66" s="3" t="str">
        <f>IF(CF66=0,"",IF(CF66=VLOOKUP("PCS-OzTL745",ARBOR!$A:$C,3,0),0.0001,IF(CF66&gt;VLOOKUP("PCS-OzTL745",ARBOR!$A:$C,3,0),"Maior que CAP!",IF((DOLLAR(CF66+(VLOOKUP("PCS-OzTL745",ARBOR!$A:$C,3,0)*-TRUNC(CF66/VLOOKUP("PCS-OzTL745",ARBOR!$A:$C,3,0)-1,4)),6))&lt;&gt;(DOLLAR(VLOOKUP("PCS-OzTL745",ARBOR!$A:$C,3,0),6)),-TRUNC(CF66/VLOOKUP("PCS-OzTL745",ARBOR!$A:$C,3,0)-1,4)+0.0001,-TRUNC(CF66/VLOOKUP("PCS-OzTL745",ARBOR!$A:$C,3,0)-1,4)))))</f>
        <v/>
      </c>
      <c r="CH66" s="28" t="str">
        <f>IF(ISERROR(IF(CG66="","",VLOOKUP(($BC66&amp;CG66&amp;"Template desconto FLAT Plano Principal Oi TV nível conta"),BENEFICIOS!$A:$G,5,0))),"Criar",IF(CG66="","",VLOOKUP(($BC66&amp;CG66&amp;"Template desconto FLAT Plano Principal Oi TV nível conta"),BENEFICIOS!$A:$G,5,0)))</f>
        <v/>
      </c>
      <c r="CI66" s="8"/>
      <c r="CJ66" s="3" t="str">
        <f>IF(CI66=0,"",IF(CI66=VLOOKUP("PCS-OzTL42",ARBOR!$A:$C,3,0),0.0001,IF(CI66&gt;VLOOKUP("PCS-OzTL42",ARBOR!$A:$C,3,0),"Maior que CAP!",IF((DOLLAR(CI66+(VLOOKUP("PCS-OzTL42",ARBOR!$A:$C,3,0)*-TRUNC(CI66/VLOOKUP("PCS-OzTL42",ARBOR!$A:$C,3,0)-1,4)),6))&lt;&gt;(DOLLAR(VLOOKUP("PCS-OzTL42",ARBOR!$A:$C,3,0),6)),-TRUNC(CI66/VLOOKUP("PCS-OzTL42",ARBOR!$A:$C,3,0)-1,4)+0.0001,-TRUNC(CI66/VLOOKUP("PCS-OzTL42",ARBOR!$A:$C,3,0)-1,4)))))</f>
        <v/>
      </c>
      <c r="CK66" s="28" t="str">
        <f>IF(ISERROR(IF(CJ66="","",VLOOKUP(($BC66&amp;CJ66&amp;"Template desconto FLAT Plano Principal Oi TV nível conta"),BENEFICIOS!$A:$G,5,0))),"Criar",IF(CJ66="","",VLOOKUP(($BC66&amp;CJ66&amp;"Template desconto FLAT Plano Principal Oi TV nível conta"),BENEFICIOS!$A:$G,5,0)))</f>
        <v/>
      </c>
      <c r="CL66" s="8"/>
      <c r="CM66" s="3" t="str">
        <f>IF(CL66=0,"",IF(CL66=VLOOKUP("PCS-OzTL47",ARBOR!$A:$C,3,0),0.0001,IF(CL66&gt;VLOOKUP("PCS-OzTL47",ARBOR!$A:$C,3,0),"Maior que CAP!",IF((DOLLAR(CL66+(VLOOKUP("PCS-OzTL47",ARBOR!$A:$C,3,0)*-TRUNC(CL66/VLOOKUP("PCS-OzTL47",ARBOR!$A:$C,3,0)-1,4)),6))&lt;&gt;(DOLLAR(VLOOKUP("PCS-OzTL47",ARBOR!$A:$C,3,0),6)),-TRUNC(CL66/VLOOKUP("PCS-OzTL47",ARBOR!$A:$C,3,0)-1,4)+0.0001,-TRUNC(CL66/VLOOKUP("PCS-OzTL47",ARBOR!$A:$C,3,0)-1,4)))))</f>
        <v/>
      </c>
      <c r="CN66" s="28" t="str">
        <f>IF(ISERROR(IF(CM66="","",VLOOKUP(($BC66&amp;CM66&amp;"Template desconto FLAT Plano Principal Oi TV nível conta"),BENEFICIOS!$A:$G,5,0))),"Criar",IF(CM66="","",VLOOKUP(($BC66&amp;CM66&amp;"Template desconto FLAT Plano Principal Oi TV nível conta"),BENEFICIOS!$A:$G,5,0)))</f>
        <v/>
      </c>
      <c r="CO66" s="8"/>
      <c r="CP66" s="3" t="str">
        <f>IF(CO66=0,"",IF(CO66=VLOOKUP("PCS-OzTL46",ARBOR!$A:$C,3,0),0.0001,IF(CO66&gt;VLOOKUP("PCS-OzTL46",ARBOR!$A:$C,3,0),"Maior que CAP!",IF((DOLLAR(CO66+(VLOOKUP("PCS-OzTL46",ARBOR!$A:$C,3,0)*-TRUNC(CO66/VLOOKUP("PCS-OzTL46",ARBOR!$A:$C,3,0)-1,4)),6))&lt;&gt;(DOLLAR(VLOOKUP("PCS-OzTL46",ARBOR!$A:$C,3,0),6)),-TRUNC(CO66/VLOOKUP("PCS-OzTL46",ARBOR!$A:$C,3,0)-1,4)+0.0001,-TRUNC(CO66/VLOOKUP("PCS-OzTL46",ARBOR!$A:$C,3,0)-1,4)))))</f>
        <v/>
      </c>
      <c r="CQ66" s="28" t="str">
        <f>IF(ISERROR(IF(CP66="","",VLOOKUP(($BC66&amp;CP66&amp;"Template desconto FLAT Plano Principal Oi TV nível conta"),BENEFICIOS!$A:$G,5,0))),"Criar",IF(CP66="","",VLOOKUP(($BC66&amp;CP66&amp;"Template desconto FLAT Plano Principal Oi TV nível conta"),BENEFICIOS!$A:$G,5,0)))</f>
        <v/>
      </c>
      <c r="CR66" s="8"/>
      <c r="CS66" s="3" t="str">
        <f>IF(CR66=0,"",IF(CR66=VLOOKUP("PCS-OzTL48",ARBOR!$A:$C,3,0),0.0001,IF(CR66&gt;VLOOKUP("PCS-OzTL48",ARBOR!$A:$C,3,0),"Maior que CAP!",IF((DOLLAR(CR66+(VLOOKUP("PCS-OzTL48",ARBOR!$A:$C,3,0)*-TRUNC(CR66/VLOOKUP("PCS-OzTL48",ARBOR!$A:$C,3,0)-1,4)),6))&lt;&gt;(DOLLAR(VLOOKUP("PCS-OzTL48",ARBOR!$A:$C,3,0),6)),-TRUNC(CR66/VLOOKUP("PCS-OzTL48",ARBOR!$A:$C,3,0)-1,4)+0.0001,-TRUNC(CR66/VLOOKUP("PCS-OzTL48",ARBOR!$A:$C,3,0)-1,4)))))</f>
        <v/>
      </c>
      <c r="CT66" s="28" t="str">
        <f>IF(ISERROR(IF(CS66="","",VLOOKUP(($BC66&amp;CS66&amp;"Template desconto FLAT Plano Principal Oi TV nível conta"),BENEFICIOS!$A:$G,5,0))),"Criar",IF(CS66="","",VLOOKUP(($BC66&amp;CS66&amp;"Template desconto FLAT Plano Principal Oi TV nível conta"),BENEFICIOS!$A:$G,5,0)))</f>
        <v/>
      </c>
      <c r="CU66" s="8"/>
      <c r="CV66" s="3" t="str">
        <f>IF(CU66=0,"",IF(CU66=VLOOKUP("PCS-OzTL742",ARBOR!$A:$C,3,0),0.0001,IF(CU66&gt;VLOOKUP("PCS-OzTL742",ARBOR!$A:$C,3,0),"Maior que CAP!",IF((DOLLAR(CU66+(VLOOKUP("PCS-OzTL742",ARBOR!$A:$C,3,0)*-TRUNC(CU66/VLOOKUP("PCS-OzTL742",ARBOR!$A:$C,3,0)-1,4)),6))&lt;&gt;(DOLLAR(VLOOKUP("PCS-OzTL742",ARBOR!$A:$C,3,0),6)),-TRUNC(CU66/VLOOKUP("PCS-OzTL742",ARBOR!$A:$C,3,0)-1,4)+0.0001,-TRUNC(CU66/VLOOKUP("PCS-OzTL742",ARBOR!$A:$C,3,0)-1,4)))))</f>
        <v/>
      </c>
      <c r="CW66" s="28" t="str">
        <f>IF(ISERROR(IF(CV66="","",VLOOKUP(($BC66&amp;CV66&amp;"Template desconto FLAT Plano Principal Oi TV nível conta"),BENEFICIOS!$A:$G,5,0))),"Criar",IF(CV66="","",VLOOKUP(($BC66&amp;CV66&amp;"Template desconto FLAT Plano Principal Oi TV nível conta"),BENEFICIOS!$A:$G,5,0)))</f>
        <v/>
      </c>
      <c r="CX66" s="8"/>
      <c r="CY66" s="3" t="str">
        <f>IF(CX66=0,"",IF(CX66=VLOOKUP("PCS-OzTL747",ARBOR!$A:$C,3,0),0.0001,IF(CX66&gt;VLOOKUP("PCS-OzTL747",ARBOR!$A:$C,3,0),"Maior que CAP!",IF((DOLLAR(CX66+(VLOOKUP("PCS-OzTL747",ARBOR!$A:$C,3,0)*-TRUNC(CX66/VLOOKUP("PCS-OzTL747",ARBOR!$A:$C,3,0)-1,4)),6))&lt;&gt;(DOLLAR(VLOOKUP("PCS-OzTL747",ARBOR!$A:$C,3,0),6)),-TRUNC(CX66/VLOOKUP("PCS-OzTL747",ARBOR!$A:$C,3,0)-1,4)+0.0001,-TRUNC(CX66/VLOOKUP("PCS-OzTL747",ARBOR!$A:$C,3,0)-1,4)))))</f>
        <v/>
      </c>
      <c r="CZ66" s="28" t="str">
        <f>IF(ISERROR(IF(CY66="","",VLOOKUP(($BC66&amp;CY66&amp;"Template desconto FLAT Plano Principal Oi TV nível conta"),BENEFICIOS!$A:$G,5,0))),"Criar",IF(CY66="","",VLOOKUP(($BC66&amp;CY66&amp;"Template desconto FLAT Plano Principal Oi TV nível conta"),BENEFICIOS!$A:$G,5,0)))</f>
        <v/>
      </c>
      <c r="DA66" s="8"/>
      <c r="DB66" s="3" t="str">
        <f>IF(DA66=0,"",IF(DA66=VLOOKUP("PCS-OzTL746",ARBOR!$A:$C,3,0),0.0001,IF(DA66&gt;VLOOKUP("PCS-OzTL746",ARBOR!$A:$C,3,0),"Maior que CAP!",IF((DOLLAR(DA66+(VLOOKUP("PCS-OzTL746",ARBOR!$A:$C,3,0)*-TRUNC(DA66/VLOOKUP("PCS-OzTL746",ARBOR!$A:$C,3,0)-1,4)),6))&lt;&gt;(DOLLAR(VLOOKUP("PCS-OzTL746",ARBOR!$A:$C,3,0),6)),-TRUNC(DA66/VLOOKUP("PCS-OzTL746",ARBOR!$A:$C,3,0)-1,4)+0.0001,-TRUNC(DA66/VLOOKUP("PCS-OzTL746",ARBOR!$A:$C,3,0)-1,4)))))</f>
        <v/>
      </c>
      <c r="DC66" s="28" t="str">
        <f>IF(ISERROR(IF(DB66="","",VLOOKUP(($BC66&amp;DB66&amp;"Template desconto FLAT Plano Principal Oi TV nível conta"),BENEFICIOS!$A:$G,5,0))),"Criar",IF(DB66="","",VLOOKUP(($BC66&amp;DB66&amp;"Template desconto FLAT Plano Principal Oi TV nível conta"),BENEFICIOS!$A:$G,5,0)))</f>
        <v/>
      </c>
      <c r="DD66" s="8"/>
      <c r="DE66" s="3" t="str">
        <f>IF(DD66=0,"",IF(DD66=VLOOKUP("PCS-OzTL748",ARBOR!$A:$C,3,0),0.0001,IF(DD66&gt;VLOOKUP("PCS-OzTL748",ARBOR!$A:$C,3,0),"Maior que CAP!",IF((DOLLAR(DD66+(VLOOKUP("PCS-OzTL748",ARBOR!$A:$C,3,0)*-TRUNC(DD66/VLOOKUP("PCS-OzTL748",ARBOR!$A:$C,3,0)-1,4)),6))&lt;&gt;(DOLLAR(VLOOKUP("PCS-OzTL748",ARBOR!$A:$C,3,0),6)),-TRUNC(DD66/VLOOKUP("PCS-OzTL748",ARBOR!$A:$C,3,0)-1,4)+0.0001,-TRUNC(DD66/VLOOKUP("PCS-OzTL748",ARBOR!$A:$C,3,0)-1,4)))))</f>
        <v/>
      </c>
      <c r="DF66" s="28" t="str">
        <f>IF(ISERROR(IF(DE66="","",VLOOKUP(($BC66&amp;DE66&amp;"Template desconto FLAT Plano Principal Oi TV nível conta"),BENEFICIOS!$A:$G,5,0))),"Criar",IF(DE66="","",VLOOKUP(($BC66&amp;DE66&amp;"Template desconto FLAT Plano Principal Oi TV nível conta"),BENEFICIOS!$A:$G,5,0)))</f>
        <v/>
      </c>
      <c r="DG66" s="8"/>
      <c r="DH66" s="3" t="str">
        <f>IF(DG66=0,"",IF(DG66=VLOOKUP("PCS-OzTL34",ARBOR!$A:$C,3,0),0.0001,IF(DG66&gt;VLOOKUP("PCS-OzTL34",ARBOR!$A:$C,3,0),"Maior que CAP!",IF((DOLLAR(DG66+(VLOOKUP("PCS-OzTL34",ARBOR!$A:$C,3,0)*-TRUNC(DG66/VLOOKUP("PCS-OzTL34",ARBOR!$A:$C,3,0)-1,4)),6))&lt;&gt;(DOLLAR(VLOOKUP("PCS-OzTL34",ARBOR!$A:$C,3,0),6)),-TRUNC(DG66/VLOOKUP("PCS-OzTL34",ARBOR!$A:$C,3,0)-1,4)+0.0001,-TRUNC(DG66/VLOOKUP("PCS-OzTL34",ARBOR!$A:$C,3,0)-1,4)))))</f>
        <v/>
      </c>
      <c r="DI66" s="28" t="str">
        <f>IF(DH66="S/Desc","S/Desc",IF(ISERROR(IF(DH66="","",VLOOKUP(($BC66&amp;DH66&amp;"Template desconto % Combate nível conta"),BENEFICIOS!$A:$G,5,0))),"Criar",IF(DH66="","",VLOOKUP(($BC66&amp;DH66&amp;"Template desconto % Combate nível conta"),BENEFICIOS!$A:$G,5,0))))</f>
        <v/>
      </c>
      <c r="DJ66" s="8"/>
      <c r="DK66" s="3" t="str">
        <f>IF(DJ66=0,"",IF(DJ66=VLOOKUP("PCS-OzTL31",ARBOR!$A:$C,3,0),0.0001,IF(DJ66&gt;VLOOKUP("PCS-OzTL31",ARBOR!$A:$C,3,0),"Maior que CAP!",IF((DOLLAR(DJ66+(VLOOKUP("PCS-OzTL31",ARBOR!$A:$C,3,0)*-TRUNC(DJ66/VLOOKUP("PCS-OzTL31",ARBOR!$A:$C,3,0)-1,4)),6))&lt;&gt;(DOLLAR(VLOOKUP("PCS-OzTL31",ARBOR!$A:$C,3,0),6)),-TRUNC(DJ66/VLOOKUP("PCS-OzTL31",ARBOR!$A:$C,3,0)-1,4)+0.0001,-TRUNC(DJ66/VLOOKUP("PCS-OzTL31",ARBOR!$A:$C,3,0)-1,4)))))</f>
        <v/>
      </c>
      <c r="DL66" s="28" t="str">
        <f>IF(DK66="S/Desc","S/Desc",IF(ISERROR(IF(DK66="","",VLOOKUP(($BC66&amp;DK66&amp;"Template desconto % Sexy Hot nível conta"),BENEFICIOS!$A:$G,5,0))),"Criar",IF(DK66="","",VLOOKUP(($BC66&amp;DK66&amp;"Template desconto % Sexy Hot nível conta"),BENEFICIOS!$A:$G,5,0))))</f>
        <v/>
      </c>
      <c r="DM66" s="8"/>
      <c r="DN66" s="3" t="str">
        <f>IF(DM66=0,"",IF(DM66=VLOOKUP("PCS-OzTL32",ARBOR!$A:$C,3,0),0.0001,IF(DM66&gt;VLOOKUP("PCS-OzTL32",ARBOR!$A:$C,3,0),"Maior que CAP!",IF((DOLLAR(DM66+(VLOOKUP("PCS-OzTL32",ARBOR!$A:$C,3,0)*-TRUNC(DM66/VLOOKUP("PCS-OzTL32",ARBOR!$A:$C,3,0)-1,4)),6))&lt;&gt;(DOLLAR(VLOOKUP("PCS-OzTL32",ARBOR!$A:$C,3,0),6)),-TRUNC(DM66/VLOOKUP("PCS-OzTL32",ARBOR!$A:$C,3,0)-1,4)+0.0001,-TRUNC(DM66/VLOOKUP("PCS-OzTL32",ARBOR!$A:$C,3,0)-1,4)))))</f>
        <v/>
      </c>
      <c r="DO66" s="28" t="str">
        <f>IF(DN66="S/Desc","S/Desc",IF(ISERROR(IF(DN66="","",VLOOKUP(($BC66&amp;DN66&amp;"Template desconto % Playboy nível conta"),BENEFICIOS!$A:$G,5,0))),"Criar",IF(DN66="","",VLOOKUP(($BC66&amp;DN66&amp;"Template desconto % Playboy nível conta"),BENEFICIOS!$A:$G,5,0))))</f>
        <v/>
      </c>
      <c r="DP66" s="8"/>
      <c r="DQ66" s="3" t="str">
        <f>IF(DP66=0,"",IF(DP66=VLOOKUP("PCS-OzTL33",ARBOR!$A:$C,3,0),0.0001,IF(DP66&gt;VLOOKUP("PCS-OzTL33",ARBOR!$A:$C,3,0),"Maior que CAP!",IF((DOLLAR(DP66+(VLOOKUP("PCS-OzTL33",ARBOR!$A:$C,3,0)*-TRUNC(DP66/VLOOKUP("PCS-OzTL33",ARBOR!$A:$C,3,0)-1,4)),6))&lt;&gt;(DOLLAR(VLOOKUP("PCS-OzTL33",ARBOR!$A:$C,3,0),6)),-TRUNC(DP66/VLOOKUP("PCS-OzTL33",ARBOR!$A:$C,3,0)-1,4)+0.0001,-TRUNC(DP66/VLOOKUP("PCS-OzTL33",ARBOR!$A:$C,3,0)-1,4)))))</f>
        <v/>
      </c>
      <c r="DR66" s="28" t="str">
        <f>IF(DQ66="S/Desc","S/Desc",IF(ISERROR(IF(DQ66="","",VLOOKUP(($BC66&amp;DQ66&amp;"Template desconto % Sexy Hot + Playboy nível conta"),BENEFICIOS!$A:$G,5,0))),"Criar",IF(DQ66="","",VLOOKUP(($BC66&amp;DQ66&amp;"Template desconto % Sexy Hot + Playboy nível conta"),BENEFICIOS!$A:$G,5,0))))</f>
        <v/>
      </c>
      <c r="DS66" s="8"/>
      <c r="DT66" s="3" t="str">
        <f>IF(DS66=0,"",IF(DS66=VLOOKUP("PCS-OzTL503",ARBOR!$A:$C,3,0),0.0001,IF(DS66&gt;VLOOKUP("PCS-OzTL503",ARBOR!$A:$C,3,0),"Maior que CAP!",IF((DOLLAR(DS66+(VLOOKUP("PCS-OzTL503",ARBOR!$A:$C,3,0)*-TRUNC(DS66/VLOOKUP("PCS-OzTL503",ARBOR!$A:$C,3,0)-1,4)),6))&lt;&gt;(DOLLAR(VLOOKUP("PCS-OzTL503",ARBOR!$A:$C,3,0),6)),-TRUNC(DS66/VLOOKUP("PCS-OzTL503",ARBOR!$A:$C,3,0)-1,4)+0.0001,-TRUNC(DS66/VLOOKUP("PCS-OzTL503",ARBOR!$A:$C,3,0)-1,4)))))</f>
        <v/>
      </c>
      <c r="DU66" s="28" t="str">
        <f>IF(DT66="S/Desc","S/Desc",IF(ISERROR(IF(DT66="","",VLOOKUP(($BC66&amp;DT66&amp;"Template desconto % SexPrivê nível conta"),BENEFICIOS!$A:$G,5,0))),"Criar",IF(DT66="","",VLOOKUP(($BC66&amp;DT66&amp;"Template desconto % SexPrivê nível conta"),BENEFICIOS!$A:$G,5,0))))</f>
        <v/>
      </c>
      <c r="DV66" s="8"/>
      <c r="DW66" s="3" t="str">
        <f>IF(DV66=0,"",IF(DV66=VLOOKUP("PCS-OzTL500",ARBOR!$A:$C,3,0),0.0001,IF(DV66&gt;VLOOKUP("PCS-OzTL500",ARBOR!$A:$C,3,0),"Maior que CAP!",IF((DOLLAR(DV66+(VLOOKUP("PCS-OzTL500",ARBOR!$A:$C,3,0)*-TRUNC(DV66/VLOOKUP("PCS-OzTL500",ARBOR!$A:$C,3,0)-1,4)),6))&lt;&gt;(DOLLAR(VLOOKUP("PCS-OzTL500",ARBOR!$A:$C,3,0),6)),-TRUNC(DV66/VLOOKUP("PCS-OzTL500",ARBOR!$A:$C,3,0)-1,4)+0.0001,-TRUNC(DV66/VLOOKUP("PCS-OzTL500",ARBOR!$A:$C,3,0)-1,4)))))</f>
        <v/>
      </c>
      <c r="DX66" s="28" t="str">
        <f>IF(DW66="S/Desc","S/Desc",IF(ISERROR(IF(DW66="","",VLOOKUP(($BC66&amp;DW66&amp;"Template desconto % Étnico nível conta"),BENEFICIOS!$A:$G,5,0))),"Criar",IF(DW66="","",VLOOKUP(($BC66&amp;DW66&amp;"Template desconto % Étnico nível conta"),BENEFICIOS!$A:$G,5,0))))</f>
        <v/>
      </c>
      <c r="DY66" s="8"/>
      <c r="DZ66" s="181" t="str">
        <f>IF(DY66=0,"",IF(DY66=VLOOKUP("PCS-OzTL50",ARBOR!$A:$C,3,0),0.0001,IF(DY66&gt;VLOOKUP("PCS-OzTL50",ARBOR!$A:$C,3,0),"Maior que CAP!",IF((DOLLAR(DY66+(VLOOKUP("PCS-OzTL50",ARBOR!$A:$C,3,0)*-TRUNC(DY66/VLOOKUP("PCS-OzTL50",ARBOR!$A:$C,3,0)-1,4)),6))&lt;&gt;(DOLLAR(VLOOKUP("PCS-OzTL50",ARBOR!$A:$C,3,0),6)),-TRUNC(DY66/VLOOKUP("PCS-OzTL50",ARBOR!$A:$C,3,0)-1,4)+0.0001,-TRUNC(DY66/VLOOKUP("PCS-OzTL50",ARBOR!$A:$C,3,0)-1,4)))))</f>
        <v/>
      </c>
      <c r="EA66" s="28"/>
      <c r="EB66" s="8"/>
      <c r="EC66" s="181" t="str">
        <f>IF(EB66=0,"",IF(EB66=VLOOKUP("PCS-OzTL51",ARBOR!$A:$C,3,0),0.0001,IF(EB66&gt;VLOOKUP("PCS-OzTL51",ARBOR!$A:$C,3,0),"Maior que CAP!",IF((DOLLAR(EB66+(VLOOKUP("PCS-OzTL51",ARBOR!$A:$C,3,0)*-TRUNC(EB66/VLOOKUP("PCS-OzTL51",ARBOR!$A:$C,3,0)-1,4)),6))&lt;&gt;(DOLLAR(VLOOKUP("PCS-OzTL51",ARBOR!$A:$C,3,0),6)),-TRUNC(EB66/VLOOKUP("PCS-OzTL51",ARBOR!$A:$C,3,0)-1,4)+0.0001,-TRUNC(EB66/VLOOKUP("PCS-OzTL51",ARBOR!$A:$C,3,0)-1,4)))))</f>
        <v/>
      </c>
      <c r="ED66" s="28"/>
      <c r="EE66" s="8"/>
      <c r="EF66" s="181" t="str">
        <f>IF(EE66=0,"",IF(EE66=VLOOKUP("PCS-OzTL52",ARBOR!$A:$C,3,0),0.0001,IF(EE66&gt;VLOOKUP("PCS-OzTL52",ARBOR!$A:$C,3,0),"Maior que CAP!",IF((DOLLAR(EE66+(VLOOKUP("PCS-OzTL52",ARBOR!$A:$C,3,0)*-TRUNC(EE66/VLOOKUP("PCS-OzTL52",ARBOR!$A:$C,3,0)-1,4)),6))&lt;&gt;(DOLLAR(VLOOKUP("PCS-OzTL52",ARBOR!$A:$C,3,0),6)),-TRUNC(EE66/VLOOKUP("PCS-OzTL52",ARBOR!$A:$C,3,0)-1,4)+0.0001,-TRUNC(EE66/VLOOKUP("PCS-OzTL52",ARBOR!$A:$C,3,0)-1,4)))))</f>
        <v/>
      </c>
      <c r="EG66" s="28"/>
      <c r="EH66" s="8"/>
      <c r="EI66" s="181" t="str">
        <f>IF(EH66=0,"",IF(EH66=VLOOKUP("PCS-OzTL53",ARBOR!$A:$C,3,0),0.0001,IF(EH66&gt;VLOOKUP("PCS-OzTL53",ARBOR!$A:$C,3,0),"Maior que CAP!",IF((DOLLAR(EH66+(VLOOKUP("PCS-OzTL53",ARBOR!$A:$C,3,0)*-TRUNC(EH66/VLOOKUP("PCS-OzTL53",ARBOR!$A:$C,3,0)-1,4)),6))&lt;&gt;(DOLLAR(VLOOKUP("PCS-OzTL53",ARBOR!$A:$C,3,0),6)),-TRUNC(EH66/VLOOKUP("PCS-OzTL53",ARBOR!$A:$C,3,0)-1,4)+0.0001,-TRUNC(EH66/VLOOKUP("PCS-OzTL53",ARBOR!$A:$C,3,0)-1,4)))))</f>
        <v/>
      </c>
      <c r="EJ66" s="28"/>
      <c r="EK66" s="8"/>
      <c r="EL66" s="181" t="str">
        <f>IF(EK66=0,"",IF(EK66=VLOOKUP("PCS-OzTL54",ARBOR!$A:$C,3,0),0.0001,IF(EK66&gt;VLOOKUP("PCS-OzTL54",ARBOR!$A:$C,3,0),"Maior que CAP!",IF((DOLLAR(EK66+(VLOOKUP("PCS-OzTL54",ARBOR!$A:$C,3,0)*-TRUNC(EK66/VLOOKUP("PCS-OzTL54",ARBOR!$A:$C,3,0)-1,4)),6))&lt;&gt;(DOLLAR(VLOOKUP("PCS-OzTL54",ARBOR!$A:$C,3,0),6)),-TRUNC(EK66/VLOOKUP("PCS-OzTL54",ARBOR!$A:$C,3,0)-1,4)+0.0001,-TRUNC(EK66/VLOOKUP("PCS-OzTL54",ARBOR!$A:$C,3,0)-1,4)))))</f>
        <v/>
      </c>
      <c r="EM66" s="28"/>
      <c r="EN66" s="8"/>
      <c r="EO66" s="3" t="str">
        <f>IF(EN66=0,"",IF(EN66=VLOOKUP("PCS-OzTL99",ARBOR!$A:$C,3,0),0.0001,IF(EN66&gt;VLOOKUP("PCS-OzTL99",ARBOR!$A:$C,3,0),"Maior que CAP!",IF((DOLLAR(EN66+(VLOOKUP("PCS-OzTL99",ARBOR!$A:$C,3,0)*-TRUNC(EN66/VLOOKUP("PCS-OzTL99",ARBOR!$A:$C,3,0)-1,4)),6))&lt;&gt;(DOLLAR(VLOOKUP("PCS-OzTL99",ARBOR!$A:$C,3,0),6)),-TRUNC(EN66/VLOOKUP("PCS-OzTL99",ARBOR!$A:$C,3,0)-1,4)+0.0001,-TRUNC(EN66/VLOOKUP("PCS-OzTL99",ARBOR!$A:$C,3,0)-1,4)))))</f>
        <v/>
      </c>
      <c r="EP66" s="28" t="str">
        <f>IF(EO66="S/Desc","S/Desc",IF(ISERROR(IF(EO66="","",VLOOKUP(($BC66&amp;EO66&amp;"Template desconto % Ponto adicional nível conta"),BENEFICIOS!$A:$G,5,0))),"Criar",IF(EO66="","",VLOOKUP(($BC66&amp;EO66&amp;"Template desconto % Ponto adicional nível conta"),BENEFICIOS!$A:$G,5,0))))</f>
        <v/>
      </c>
      <c r="EQ66" s="8"/>
      <c r="ER66" s="28" t="str">
        <f t="shared" si="23"/>
        <v/>
      </c>
      <c r="ES66" s="62"/>
      <c r="ET66" s="126"/>
      <c r="EU66" s="127"/>
      <c r="EV66" s="126"/>
      <c r="EW66" s="128" t="str">
        <f t="shared" si="24"/>
        <v/>
      </c>
      <c r="EX66" s="129" t="str">
        <f t="shared" si="25"/>
        <v/>
      </c>
      <c r="EY66" s="91" t="str">
        <f t="shared" si="26"/>
        <v/>
      </c>
      <c r="EZ66" s="85"/>
      <c r="FA66" s="97"/>
      <c r="FB66" s="91"/>
      <c r="FC66" s="85"/>
      <c r="FD66" s="97"/>
      <c r="FE66" s="91"/>
      <c r="FF66" s="87"/>
      <c r="FG66" s="144" t="str">
        <f t="shared" si="5"/>
        <v/>
      </c>
      <c r="FH66" s="144" t="str">
        <f t="shared" si="6"/>
        <v/>
      </c>
      <c r="FI66" s="144" t="str">
        <f t="shared" si="7"/>
        <v/>
      </c>
      <c r="FJ66" s="144" t="str">
        <f t="shared" si="8"/>
        <v/>
      </c>
      <c r="FK66" s="144" t="str">
        <f t="shared" si="9"/>
        <v/>
      </c>
      <c r="FL66" s="144" t="str">
        <f t="shared" si="10"/>
        <v/>
      </c>
      <c r="FM66" s="144" t="str">
        <f t="shared" si="11"/>
        <v/>
      </c>
      <c r="FN66" s="144" t="str">
        <f t="shared" si="12"/>
        <v/>
      </c>
      <c r="FO66" s="144" t="str">
        <f t="shared" si="13"/>
        <v/>
      </c>
      <c r="FP66" s="144" t="str">
        <f t="shared" si="14"/>
        <v/>
      </c>
      <c r="FQ66" s="144" t="str">
        <f t="shared" si="15"/>
        <v/>
      </c>
      <c r="FR66" s="144" t="str">
        <f t="shared" si="16"/>
        <v/>
      </c>
      <c r="FS66" s="144" t="str">
        <f t="shared" si="17"/>
        <v/>
      </c>
      <c r="FT66" s="144" t="str">
        <f t="shared" si="18"/>
        <v/>
      </c>
      <c r="FU66" s="144" t="str">
        <f t="shared" si="19"/>
        <v/>
      </c>
      <c r="FV66" s="144" t="str">
        <f t="shared" si="20"/>
        <v/>
      </c>
      <c r="FW66" s="144" t="str">
        <f t="shared" si="21"/>
        <v/>
      </c>
      <c r="FX66" s="151"/>
      <c r="FY66" s="152"/>
      <c r="FZ66" s="152"/>
      <c r="GA66" s="152"/>
      <c r="GB66" s="152"/>
      <c r="GC66" s="152"/>
      <c r="GD66" s="152"/>
      <c r="GE66" s="152"/>
      <c r="GF66" s="152"/>
      <c r="GG66" s="153"/>
    </row>
    <row r="67" spans="1:189">
      <c r="A67" s="45"/>
      <c r="B67" s="133"/>
      <c r="C67" s="133"/>
      <c r="D67" s="46"/>
      <c r="E67" s="4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9"/>
      <c r="U67" s="48"/>
      <c r="V67" s="49"/>
      <c r="W67" s="48"/>
      <c r="X67" s="48"/>
      <c r="Y67" s="48"/>
      <c r="Z67" s="48"/>
      <c r="AA67" s="49"/>
      <c r="AB67" s="48"/>
      <c r="AC67" s="50"/>
      <c r="AD67" s="48"/>
      <c r="AE67" s="48"/>
      <c r="AF67" s="48"/>
      <c r="AG67" s="48"/>
      <c r="AH67" s="48"/>
      <c r="AI67" s="48"/>
      <c r="AJ67" s="48"/>
      <c r="AK67" s="48"/>
      <c r="AL67" s="51"/>
      <c r="AM67" s="37"/>
      <c r="AN67" s="38"/>
      <c r="AO67" s="39"/>
      <c r="AP67" s="52"/>
      <c r="AQ67" s="53"/>
      <c r="AR67" s="64"/>
      <c r="AS67" s="65"/>
      <c r="AT67" s="54"/>
      <c r="AU67" s="54"/>
      <c r="AV67" s="54"/>
      <c r="AW67" s="54"/>
      <c r="AX67" s="70"/>
      <c r="AY67" s="71"/>
      <c r="AZ67" s="72"/>
      <c r="BA67" s="73"/>
      <c r="BB67" s="55"/>
      <c r="BC67" s="56"/>
      <c r="BD67" s="27" t="str">
        <f t="shared" si="22"/>
        <v/>
      </c>
      <c r="BE67" s="58"/>
      <c r="BF67" s="3" t="str">
        <f>IF(BE67=0,"",IF(BE67=VLOOKUP("FIXO",ARBOR!$A:$C,3,0),0.0001,IF(BE67&gt;VLOOKUP("FIXO",ARBOR!$A:$C,3,0),"Maior que CAP!",IF((DOLLAR(BE67+(VLOOKUP("FIXO",ARBOR!$A:$C,3,0)*-TRUNC(BE67/VLOOKUP("FIXO",ARBOR!$A:$C,3,0)-1,4)),6))&lt;&gt;(DOLLAR(VLOOKUP("FIXO",ARBOR!$A:$C,3,0),6)),-TRUNC(BE67/VLOOKUP("FIXO",ARBOR!$A:$C,3,0)-1,4)+0.0001,-TRUNC(BE67/VLOOKUP("FIXO",ARBOR!$A:$C,3,0)-1,4)))))</f>
        <v/>
      </c>
      <c r="BG67" s="10" t="str">
        <f>IF(ISERROR(IF(BF67="","",VLOOKUP(($BC67&amp;BF67&amp;"Template de desconto FLAT bundle - Fixo - Varejo - Ganho Tributário Cross"),BENEFICIOS!$A:$G,5,0))),"Criar",IF(BF67="","",VLOOKUP(($BC67&amp;BF67&amp;"Template de desconto FLAT bundle - Fixo - Varejo - Ganho Tributário Cross"),BENEFICIOS!$A:$G,5,0)))</f>
        <v/>
      </c>
      <c r="BH67" s="8"/>
      <c r="BI67" s="3" t="str">
        <f>IF(BH67=0,"",IF(BH67=VLOOKUP("PCS-OzTL40",ARBOR!$A:$C,3,0),0.0001,IF(BH67&gt;VLOOKUP("PCS-OzTL40",ARBOR!$A:$C,3,0),"Maior que CAP!",IF((DOLLAR(BH67+(VLOOKUP("PCS-OzTL40",ARBOR!$A:$C,3,0)*-TRUNC(BH67/VLOOKUP("PCS-OzTL40",ARBOR!$A:$C,3,0)-1,4)),6))&lt;&gt;(DOLLAR(VLOOKUP("PCS-OzTL40",ARBOR!$A:$C,3,0),6)),-TRUNC(BH67/VLOOKUP("PCS-OzTL40",ARBOR!$A:$C,3,0)-1,4)+0.0001,-TRUNC(BH67/VLOOKUP("PCS-OzTL40",ARBOR!$A:$C,3,0)-1,4)))))</f>
        <v/>
      </c>
      <c r="BJ67" s="10" t="str">
        <f>IF(ISERROR(IF(BI67="","",VLOOKUP((BC67&amp;BI67&amp;"Template desconto FLAT Plano Principal Oi TV nível conta"),BENEFICIOS!$A:$G,5,0))),"Criar",IF(BI67="","",VLOOKUP((BC67&amp;BI67&amp;"Template desconto FLAT Plano Principal Oi TV nível conta"),BENEFICIOS!$A:$G,5,0)))</f>
        <v/>
      </c>
      <c r="BK67" s="8"/>
      <c r="BL67" s="3" t="str">
        <f>IF(BK67=0,"",IF(BK67=VLOOKUP("PCS-OzTL41",ARBOR!$A:$C,3,0),0.0001,IF(BK67&gt;VLOOKUP("PCS-OzTL41",ARBOR!$A:$C,3,0),"Maior que CAP!",IF((DOLLAR(BK67+(VLOOKUP("PCS-OzTL41",ARBOR!$A:$C,3,0)*-TRUNC(BK67/VLOOKUP("PCS-OzTL41",ARBOR!$A:$C,3,0)-1,4)),6))&lt;&gt;(DOLLAR(VLOOKUP("PCS-OzTL41",ARBOR!$A:$C,3,0),6)),-TRUNC(BK67/VLOOKUP("PCS-OzTL41",ARBOR!$A:$C,3,0)-1,4)+0.0001,-TRUNC(BK67/VLOOKUP("PCS-OzTL41",ARBOR!$A:$C,3,0)-1,4)))))</f>
        <v/>
      </c>
      <c r="BM67" s="28" t="str">
        <f>IF(ISERROR(IF(BL67="","",VLOOKUP((BC67&amp;BL67&amp;"Template desconto FLAT Plano Principal Oi TV nível conta"),BENEFICIOS!$A:$G,5,0))),"Criar",IF(BL67="","",VLOOKUP((BC67&amp;BL67&amp;"Template desconto FLAT Plano Principal Oi TV nível conta"),BENEFICIOS!$A:$G,5,0)))</f>
        <v/>
      </c>
      <c r="BN67" s="8"/>
      <c r="BO67" s="3" t="str">
        <f>IF(BN67=0,"",IF(BN67=VLOOKUP("PCS-OzTL44",ARBOR!$A:$C,3,0),0.0001,IF(BN67&gt;VLOOKUP("PCS-OzTL44",ARBOR!$A:$C,3,0),"Maior que CAP!",IF((DOLLAR(BN67+(VLOOKUP("PCS-OzTL44",ARBOR!$A:$C,3,0)*-TRUNC(BN67/VLOOKUP("PCS-OzTL44",ARBOR!$A:$C,3,0)-1,4)),6))&lt;&gt;(DOLLAR(VLOOKUP("PCS-OzTL44",ARBOR!$A:$C,3,0),6)),-TRUNC(BN67/VLOOKUP("PCS-OzTL44",ARBOR!$A:$C,3,0)-1,4)+0.0001,-TRUNC(BN67/VLOOKUP("PCS-OzTL44",ARBOR!$A:$C,3,0)-1,4)))))</f>
        <v/>
      </c>
      <c r="BP67" s="28" t="str">
        <f>IF(ISERROR(IF(BO67="","",VLOOKUP((BC67&amp;BO67&amp;"Template desconto FLAT Plano Principal Oi TV nível conta"),BENEFICIOS!$A:$G,5,0))),"Criar",IF(BO67="","",VLOOKUP((BC67&amp;BO67&amp;"Template desconto FLAT Plano Principal Oi TV nível conta"),BENEFICIOS!$A:$G,5,0)))</f>
        <v/>
      </c>
      <c r="BQ67" s="8"/>
      <c r="BR67" s="3" t="str">
        <f>IF(BQ67=0,"",IF(BQ67=VLOOKUP("PCS-OzTL43",ARBOR!$A:$C,3,0),0.0001,IF(BQ67&gt;VLOOKUP("PCS-OzTL43",ARBOR!$A:$C,3,0),"Maior que CAP!",IF((DOLLAR(BQ67+(VLOOKUP("PCS-OzTL43",ARBOR!$A:$C,3,0)*-TRUNC(BQ67/VLOOKUP("PCS-OzTL43",ARBOR!$A:$C,3,0)-1,4)),6))&lt;&gt;(DOLLAR(VLOOKUP("PCS-OzTL43",ARBOR!$A:$C,3,0),6)),-TRUNC(BQ67/VLOOKUP("PCS-OzTL43",ARBOR!$A:$C,3,0)-1,4)+0.0001,-TRUNC(BQ67/VLOOKUP("PCS-OzTL43",ARBOR!$A:$C,3,0)-1,4)))))</f>
        <v/>
      </c>
      <c r="BS67" s="28" t="str">
        <f>IF(ISERROR(IF(BR67="","",VLOOKUP((BC67&amp;BR67&amp;"Template desconto FLAT Plano Principal Oi TV nível conta"),BENEFICIOS!$A:$G,5,0))),"Criar",IF(BR67="","",VLOOKUP((BC67&amp;BR67&amp;"Template desconto FLAT Plano Principal Oi TV nível conta"),BENEFICIOS!$A:$G,5,0)))</f>
        <v/>
      </c>
      <c r="BT67" s="8"/>
      <c r="BU67" s="3" t="str">
        <f>IF(BT67=0,"",IF(BT67=VLOOKUP("PCS-OzTL45",ARBOR!$A:$C,3,0),0.0001,IF(BT67&gt;VLOOKUP("PCS-OzTL45",ARBOR!$A:$C,3,0),"Maior que CAP!",IF((DOLLAR(BT67+(VLOOKUP("PCS-OzTL45",ARBOR!$A:$C,3,0)*-TRUNC(BT67/VLOOKUP("PCS-OzTL45",ARBOR!$A:$C,3,0)-1,4)),6))&lt;&gt;(DOLLAR(VLOOKUP("PCS-OzTL45",ARBOR!$A:$C,3,0),6)),-TRUNC(BT67/VLOOKUP("PCS-OzTL45",ARBOR!$A:$C,3,0)-1,4)+0.0001,-TRUNC(BT67/VLOOKUP("PCS-OzTL45",ARBOR!$A:$C,3,0)-1,4)))))</f>
        <v/>
      </c>
      <c r="BV67" s="28" t="str">
        <f>IF(ISERROR(IF(BU67="","",VLOOKUP((BC67&amp;BU67&amp;"Template desconto FLAT Plano Principal Oi TV nível conta"),BENEFICIOS!$A:$G,5,0))),"Criar",IF(BU67="","",VLOOKUP((BC67&amp;BU67&amp;"Template desconto FLAT Plano Principal Oi TV nível conta"),BENEFICIOS!$A:$G,5,0)))</f>
        <v/>
      </c>
      <c r="BW67" s="8"/>
      <c r="BX67" s="3" t="str">
        <f>IF(BW67=0,"",IF(BW67=VLOOKUP("PCS-OzTL741",ARBOR!$A:$C,3,0),0.0001,IF(BW67&gt;VLOOKUP("PCS-OzTL741",ARBOR!$A:$C,3,0),"Maior que CAP!",IF((DOLLAR(BW67+(VLOOKUP("PCS-OzTL741",ARBOR!$A:$C,3,0)*-TRUNC(BW67/VLOOKUP("PCS-OzTL741",ARBOR!$A:$C,3,0)-1,4)),6))&lt;&gt;(DOLLAR(VLOOKUP("PCS-OzTL741",ARBOR!$A:$C,3,0),6)),-TRUNC(BW67/VLOOKUP("PCS-OzTL741",ARBOR!$A:$C,3,0)-1,4)+0.0001,-TRUNC(BW67/VLOOKUP("PCS-OzTL741",ARBOR!$A:$C,3,0)-1,4)))))</f>
        <v/>
      </c>
      <c r="BY67" s="28" t="str">
        <f>IF(ISERROR(IF(BX67="","",VLOOKUP((BC67&amp;BX67&amp;"Template desconto FLAT Plano Principal Oi TV nível conta"),BENEFICIOS!$A:$G,5,0))),"Criar",IF(BX67="","",VLOOKUP((BC67&amp;BX67&amp;"Template desconto FLAT Plano Principal Oi TV nível conta"),BENEFICIOS!$A:$G,5,0)))</f>
        <v/>
      </c>
      <c r="BZ67" s="8"/>
      <c r="CA67" s="3" t="str">
        <f>IF(BZ67=0,"",IF(BZ67=VLOOKUP("PCS-OzTL744",ARBOR!$A:$C,3,0),0.0001,IF(BZ67&gt;VLOOKUP("PCS-OzTL744",ARBOR!$A:$C,3,0),"Maior que CAP!",IF((DOLLAR(BZ67+(VLOOKUP("PCS-OzTL744",ARBOR!$A:$C,3,0)*-TRUNC(BZ67/VLOOKUP("PCS-OzTL744",ARBOR!$A:$C,3,0)-1,4)),6))&lt;&gt;(DOLLAR(VLOOKUP("PCS-OzTL744",ARBOR!$A:$C,3,0),6)),-TRUNC(BZ67/VLOOKUP("PCS-OzTL744",ARBOR!$A:$C,3,0)-1,4)+0.0001,-TRUNC(BZ67/VLOOKUP("PCS-OzTL744",ARBOR!$A:$C,3,0)-1,4)))))</f>
        <v/>
      </c>
      <c r="CB67" s="28" t="str">
        <f>IF(ISERROR(IF(CA67="","",VLOOKUP(($BC67&amp;CA67&amp;"Template desconto FLAT Plano Principal Oi TV nível conta"),BENEFICIOS!$A:$G,5,0))),"Criar",IF(CA67="","",VLOOKUP(($BC67&amp;CA67&amp;"Template desconto FLAT Plano Principal Oi TV nível conta"),BENEFICIOS!$A:$G,5,0)))</f>
        <v/>
      </c>
      <c r="CC67" s="8"/>
      <c r="CD67" s="3" t="str">
        <f>IF(CC67=0,"",IF(CC67=VLOOKUP("PCS-OzTL743",ARBOR!$A:$C,3,0),0.0001,IF(CC67&gt;VLOOKUP("PCS-OzTL743",ARBOR!$A:$C,3,0),"Maior que CAP!",IF((DOLLAR(CC67+(VLOOKUP("PCS-OzTL743",ARBOR!$A:$C,3,0)*-TRUNC(CC67/VLOOKUP("PCS-OzTL743",ARBOR!$A:$C,3,0)-1,4)),6))&lt;&gt;(DOLLAR(VLOOKUP("PCS-OzTL743",ARBOR!$A:$C,3,0),6)),-TRUNC(CC67/VLOOKUP("PCS-OzTL743",ARBOR!$A:$C,3,0)-1,4)+0.0001,-TRUNC(CC67/VLOOKUP("PCS-OzTL743",ARBOR!$A:$C,3,0)-1,4)))))</f>
        <v/>
      </c>
      <c r="CE67" s="28" t="str">
        <f>IF(ISERROR(IF(CD67="","",VLOOKUP(($BC67&amp;CD67&amp;"Template desconto FLAT Plano Principal Oi TV nível conta"),BENEFICIOS!$A:$G,5,0))),"Criar",IF(CD67="","",VLOOKUP(($BC67&amp;CD67&amp;"Template desconto FLAT Plano Principal Oi TV nível conta"),BENEFICIOS!$A:$G,5,0)))</f>
        <v/>
      </c>
      <c r="CF67" s="8"/>
      <c r="CG67" s="3" t="str">
        <f>IF(CF67=0,"",IF(CF67=VLOOKUP("PCS-OzTL745",ARBOR!$A:$C,3,0),0.0001,IF(CF67&gt;VLOOKUP("PCS-OzTL745",ARBOR!$A:$C,3,0),"Maior que CAP!",IF((DOLLAR(CF67+(VLOOKUP("PCS-OzTL745",ARBOR!$A:$C,3,0)*-TRUNC(CF67/VLOOKUP("PCS-OzTL745",ARBOR!$A:$C,3,0)-1,4)),6))&lt;&gt;(DOLLAR(VLOOKUP("PCS-OzTL745",ARBOR!$A:$C,3,0),6)),-TRUNC(CF67/VLOOKUP("PCS-OzTL745",ARBOR!$A:$C,3,0)-1,4)+0.0001,-TRUNC(CF67/VLOOKUP("PCS-OzTL745",ARBOR!$A:$C,3,0)-1,4)))))</f>
        <v/>
      </c>
      <c r="CH67" s="28" t="str">
        <f>IF(ISERROR(IF(CG67="","",VLOOKUP(($BC67&amp;CG67&amp;"Template desconto FLAT Plano Principal Oi TV nível conta"),BENEFICIOS!$A:$G,5,0))),"Criar",IF(CG67="","",VLOOKUP(($BC67&amp;CG67&amp;"Template desconto FLAT Plano Principal Oi TV nível conta"),BENEFICIOS!$A:$G,5,0)))</f>
        <v/>
      </c>
      <c r="CI67" s="8"/>
      <c r="CJ67" s="3" t="str">
        <f>IF(CI67=0,"",IF(CI67=VLOOKUP("PCS-OzTL42",ARBOR!$A:$C,3,0),0.0001,IF(CI67&gt;VLOOKUP("PCS-OzTL42",ARBOR!$A:$C,3,0),"Maior que CAP!",IF((DOLLAR(CI67+(VLOOKUP("PCS-OzTL42",ARBOR!$A:$C,3,0)*-TRUNC(CI67/VLOOKUP("PCS-OzTL42",ARBOR!$A:$C,3,0)-1,4)),6))&lt;&gt;(DOLLAR(VLOOKUP("PCS-OzTL42",ARBOR!$A:$C,3,0),6)),-TRUNC(CI67/VLOOKUP("PCS-OzTL42",ARBOR!$A:$C,3,0)-1,4)+0.0001,-TRUNC(CI67/VLOOKUP("PCS-OzTL42",ARBOR!$A:$C,3,0)-1,4)))))</f>
        <v/>
      </c>
      <c r="CK67" s="28" t="str">
        <f>IF(ISERROR(IF(CJ67="","",VLOOKUP(($BC67&amp;CJ67&amp;"Template desconto FLAT Plano Principal Oi TV nível conta"),BENEFICIOS!$A:$G,5,0))),"Criar",IF(CJ67="","",VLOOKUP(($BC67&amp;CJ67&amp;"Template desconto FLAT Plano Principal Oi TV nível conta"),BENEFICIOS!$A:$G,5,0)))</f>
        <v/>
      </c>
      <c r="CL67" s="8"/>
      <c r="CM67" s="3" t="str">
        <f>IF(CL67=0,"",IF(CL67=VLOOKUP("PCS-OzTL47",ARBOR!$A:$C,3,0),0.0001,IF(CL67&gt;VLOOKUP("PCS-OzTL47",ARBOR!$A:$C,3,0),"Maior que CAP!",IF((DOLLAR(CL67+(VLOOKUP("PCS-OzTL47",ARBOR!$A:$C,3,0)*-TRUNC(CL67/VLOOKUP("PCS-OzTL47",ARBOR!$A:$C,3,0)-1,4)),6))&lt;&gt;(DOLLAR(VLOOKUP("PCS-OzTL47",ARBOR!$A:$C,3,0),6)),-TRUNC(CL67/VLOOKUP("PCS-OzTL47",ARBOR!$A:$C,3,0)-1,4)+0.0001,-TRUNC(CL67/VLOOKUP("PCS-OzTL47",ARBOR!$A:$C,3,0)-1,4)))))</f>
        <v/>
      </c>
      <c r="CN67" s="28" t="str">
        <f>IF(ISERROR(IF(CM67="","",VLOOKUP(($BC67&amp;CM67&amp;"Template desconto FLAT Plano Principal Oi TV nível conta"),BENEFICIOS!$A:$G,5,0))),"Criar",IF(CM67="","",VLOOKUP(($BC67&amp;CM67&amp;"Template desconto FLAT Plano Principal Oi TV nível conta"),BENEFICIOS!$A:$G,5,0)))</f>
        <v/>
      </c>
      <c r="CO67" s="8"/>
      <c r="CP67" s="3" t="str">
        <f>IF(CO67=0,"",IF(CO67=VLOOKUP("PCS-OzTL46",ARBOR!$A:$C,3,0),0.0001,IF(CO67&gt;VLOOKUP("PCS-OzTL46",ARBOR!$A:$C,3,0),"Maior que CAP!",IF((DOLLAR(CO67+(VLOOKUP("PCS-OzTL46",ARBOR!$A:$C,3,0)*-TRUNC(CO67/VLOOKUP("PCS-OzTL46",ARBOR!$A:$C,3,0)-1,4)),6))&lt;&gt;(DOLLAR(VLOOKUP("PCS-OzTL46",ARBOR!$A:$C,3,0),6)),-TRUNC(CO67/VLOOKUP("PCS-OzTL46",ARBOR!$A:$C,3,0)-1,4)+0.0001,-TRUNC(CO67/VLOOKUP("PCS-OzTL46",ARBOR!$A:$C,3,0)-1,4)))))</f>
        <v/>
      </c>
      <c r="CQ67" s="28" t="str">
        <f>IF(ISERROR(IF(CP67="","",VLOOKUP(($BC67&amp;CP67&amp;"Template desconto FLAT Plano Principal Oi TV nível conta"),BENEFICIOS!$A:$G,5,0))),"Criar",IF(CP67="","",VLOOKUP(($BC67&amp;CP67&amp;"Template desconto FLAT Plano Principal Oi TV nível conta"),BENEFICIOS!$A:$G,5,0)))</f>
        <v/>
      </c>
      <c r="CR67" s="8"/>
      <c r="CS67" s="3" t="str">
        <f>IF(CR67=0,"",IF(CR67=VLOOKUP("PCS-OzTL48",ARBOR!$A:$C,3,0),0.0001,IF(CR67&gt;VLOOKUP("PCS-OzTL48",ARBOR!$A:$C,3,0),"Maior que CAP!",IF((DOLLAR(CR67+(VLOOKUP("PCS-OzTL48",ARBOR!$A:$C,3,0)*-TRUNC(CR67/VLOOKUP("PCS-OzTL48",ARBOR!$A:$C,3,0)-1,4)),6))&lt;&gt;(DOLLAR(VLOOKUP("PCS-OzTL48",ARBOR!$A:$C,3,0),6)),-TRUNC(CR67/VLOOKUP("PCS-OzTL48",ARBOR!$A:$C,3,0)-1,4)+0.0001,-TRUNC(CR67/VLOOKUP("PCS-OzTL48",ARBOR!$A:$C,3,0)-1,4)))))</f>
        <v/>
      </c>
      <c r="CT67" s="28" t="str">
        <f>IF(ISERROR(IF(CS67="","",VLOOKUP(($BC67&amp;CS67&amp;"Template desconto FLAT Plano Principal Oi TV nível conta"),BENEFICIOS!$A:$G,5,0))),"Criar",IF(CS67="","",VLOOKUP(($BC67&amp;CS67&amp;"Template desconto FLAT Plano Principal Oi TV nível conta"),BENEFICIOS!$A:$G,5,0)))</f>
        <v/>
      </c>
      <c r="CU67" s="8"/>
      <c r="CV67" s="3" t="str">
        <f>IF(CU67=0,"",IF(CU67=VLOOKUP("PCS-OzTL742",ARBOR!$A:$C,3,0),0.0001,IF(CU67&gt;VLOOKUP("PCS-OzTL742",ARBOR!$A:$C,3,0),"Maior que CAP!",IF((DOLLAR(CU67+(VLOOKUP("PCS-OzTL742",ARBOR!$A:$C,3,0)*-TRUNC(CU67/VLOOKUP("PCS-OzTL742",ARBOR!$A:$C,3,0)-1,4)),6))&lt;&gt;(DOLLAR(VLOOKUP("PCS-OzTL742",ARBOR!$A:$C,3,0),6)),-TRUNC(CU67/VLOOKUP("PCS-OzTL742",ARBOR!$A:$C,3,0)-1,4)+0.0001,-TRUNC(CU67/VLOOKUP("PCS-OzTL742",ARBOR!$A:$C,3,0)-1,4)))))</f>
        <v/>
      </c>
      <c r="CW67" s="28" t="str">
        <f>IF(ISERROR(IF(CV67="","",VLOOKUP(($BC67&amp;CV67&amp;"Template desconto FLAT Plano Principal Oi TV nível conta"),BENEFICIOS!$A:$G,5,0))),"Criar",IF(CV67="","",VLOOKUP(($BC67&amp;CV67&amp;"Template desconto FLAT Plano Principal Oi TV nível conta"),BENEFICIOS!$A:$G,5,0)))</f>
        <v/>
      </c>
      <c r="CX67" s="8"/>
      <c r="CY67" s="3" t="str">
        <f>IF(CX67=0,"",IF(CX67=VLOOKUP("PCS-OzTL747",ARBOR!$A:$C,3,0),0.0001,IF(CX67&gt;VLOOKUP("PCS-OzTL747",ARBOR!$A:$C,3,0),"Maior que CAP!",IF((DOLLAR(CX67+(VLOOKUP("PCS-OzTL747",ARBOR!$A:$C,3,0)*-TRUNC(CX67/VLOOKUP("PCS-OzTL747",ARBOR!$A:$C,3,0)-1,4)),6))&lt;&gt;(DOLLAR(VLOOKUP("PCS-OzTL747",ARBOR!$A:$C,3,0),6)),-TRUNC(CX67/VLOOKUP("PCS-OzTL747",ARBOR!$A:$C,3,0)-1,4)+0.0001,-TRUNC(CX67/VLOOKUP("PCS-OzTL747",ARBOR!$A:$C,3,0)-1,4)))))</f>
        <v/>
      </c>
      <c r="CZ67" s="28" t="str">
        <f>IF(ISERROR(IF(CY67="","",VLOOKUP(($BC67&amp;CY67&amp;"Template desconto FLAT Plano Principal Oi TV nível conta"),BENEFICIOS!$A:$G,5,0))),"Criar",IF(CY67="","",VLOOKUP(($BC67&amp;CY67&amp;"Template desconto FLAT Plano Principal Oi TV nível conta"),BENEFICIOS!$A:$G,5,0)))</f>
        <v/>
      </c>
      <c r="DA67" s="8"/>
      <c r="DB67" s="3" t="str">
        <f>IF(DA67=0,"",IF(DA67=VLOOKUP("PCS-OzTL746",ARBOR!$A:$C,3,0),0.0001,IF(DA67&gt;VLOOKUP("PCS-OzTL746",ARBOR!$A:$C,3,0),"Maior que CAP!",IF((DOLLAR(DA67+(VLOOKUP("PCS-OzTL746",ARBOR!$A:$C,3,0)*-TRUNC(DA67/VLOOKUP("PCS-OzTL746",ARBOR!$A:$C,3,0)-1,4)),6))&lt;&gt;(DOLLAR(VLOOKUP("PCS-OzTL746",ARBOR!$A:$C,3,0),6)),-TRUNC(DA67/VLOOKUP("PCS-OzTL746",ARBOR!$A:$C,3,0)-1,4)+0.0001,-TRUNC(DA67/VLOOKUP("PCS-OzTL746",ARBOR!$A:$C,3,0)-1,4)))))</f>
        <v/>
      </c>
      <c r="DC67" s="28" t="str">
        <f>IF(ISERROR(IF(DB67="","",VLOOKUP(($BC67&amp;DB67&amp;"Template desconto FLAT Plano Principal Oi TV nível conta"),BENEFICIOS!$A:$G,5,0))),"Criar",IF(DB67="","",VLOOKUP(($BC67&amp;DB67&amp;"Template desconto FLAT Plano Principal Oi TV nível conta"),BENEFICIOS!$A:$G,5,0)))</f>
        <v/>
      </c>
      <c r="DD67" s="8"/>
      <c r="DE67" s="3" t="str">
        <f>IF(DD67=0,"",IF(DD67=VLOOKUP("PCS-OzTL748",ARBOR!$A:$C,3,0),0.0001,IF(DD67&gt;VLOOKUP("PCS-OzTL748",ARBOR!$A:$C,3,0),"Maior que CAP!",IF((DOLLAR(DD67+(VLOOKUP("PCS-OzTL748",ARBOR!$A:$C,3,0)*-TRUNC(DD67/VLOOKUP("PCS-OzTL748",ARBOR!$A:$C,3,0)-1,4)),6))&lt;&gt;(DOLLAR(VLOOKUP("PCS-OzTL748",ARBOR!$A:$C,3,0),6)),-TRUNC(DD67/VLOOKUP("PCS-OzTL748",ARBOR!$A:$C,3,0)-1,4)+0.0001,-TRUNC(DD67/VLOOKUP("PCS-OzTL748",ARBOR!$A:$C,3,0)-1,4)))))</f>
        <v/>
      </c>
      <c r="DF67" s="28" t="str">
        <f>IF(ISERROR(IF(DE67="","",VLOOKUP(($BC67&amp;DE67&amp;"Template desconto FLAT Plano Principal Oi TV nível conta"),BENEFICIOS!$A:$G,5,0))),"Criar",IF(DE67="","",VLOOKUP(($BC67&amp;DE67&amp;"Template desconto FLAT Plano Principal Oi TV nível conta"),BENEFICIOS!$A:$G,5,0)))</f>
        <v/>
      </c>
      <c r="DG67" s="8"/>
      <c r="DH67" s="3" t="str">
        <f>IF(DG67=0,"",IF(DG67=VLOOKUP("PCS-OzTL34",ARBOR!$A:$C,3,0),0.0001,IF(DG67&gt;VLOOKUP("PCS-OzTL34",ARBOR!$A:$C,3,0),"Maior que CAP!",IF((DOLLAR(DG67+(VLOOKUP("PCS-OzTL34",ARBOR!$A:$C,3,0)*-TRUNC(DG67/VLOOKUP("PCS-OzTL34",ARBOR!$A:$C,3,0)-1,4)),6))&lt;&gt;(DOLLAR(VLOOKUP("PCS-OzTL34",ARBOR!$A:$C,3,0),6)),-TRUNC(DG67/VLOOKUP("PCS-OzTL34",ARBOR!$A:$C,3,0)-1,4)+0.0001,-TRUNC(DG67/VLOOKUP("PCS-OzTL34",ARBOR!$A:$C,3,0)-1,4)))))</f>
        <v/>
      </c>
      <c r="DI67" s="28" t="str">
        <f>IF(DH67="S/Desc","S/Desc",IF(ISERROR(IF(DH67="","",VLOOKUP(($BC67&amp;DH67&amp;"Template desconto % Combate nível conta"),BENEFICIOS!$A:$G,5,0))),"Criar",IF(DH67="","",VLOOKUP(($BC67&amp;DH67&amp;"Template desconto % Combate nível conta"),BENEFICIOS!$A:$G,5,0))))</f>
        <v/>
      </c>
      <c r="DJ67" s="8"/>
      <c r="DK67" s="3" t="str">
        <f>IF(DJ67=0,"",IF(DJ67=VLOOKUP("PCS-OzTL31",ARBOR!$A:$C,3,0),0.0001,IF(DJ67&gt;VLOOKUP("PCS-OzTL31",ARBOR!$A:$C,3,0),"Maior que CAP!",IF((DOLLAR(DJ67+(VLOOKUP("PCS-OzTL31",ARBOR!$A:$C,3,0)*-TRUNC(DJ67/VLOOKUP("PCS-OzTL31",ARBOR!$A:$C,3,0)-1,4)),6))&lt;&gt;(DOLLAR(VLOOKUP("PCS-OzTL31",ARBOR!$A:$C,3,0),6)),-TRUNC(DJ67/VLOOKUP("PCS-OzTL31",ARBOR!$A:$C,3,0)-1,4)+0.0001,-TRUNC(DJ67/VLOOKUP("PCS-OzTL31",ARBOR!$A:$C,3,0)-1,4)))))</f>
        <v/>
      </c>
      <c r="DL67" s="28" t="str">
        <f>IF(DK67="S/Desc","S/Desc",IF(ISERROR(IF(DK67="","",VLOOKUP(($BC67&amp;DK67&amp;"Template desconto % Sexy Hot nível conta"),BENEFICIOS!$A:$G,5,0))),"Criar",IF(DK67="","",VLOOKUP(($BC67&amp;DK67&amp;"Template desconto % Sexy Hot nível conta"),BENEFICIOS!$A:$G,5,0))))</f>
        <v/>
      </c>
      <c r="DM67" s="8"/>
      <c r="DN67" s="3" t="str">
        <f>IF(DM67=0,"",IF(DM67=VLOOKUP("PCS-OzTL32",ARBOR!$A:$C,3,0),0.0001,IF(DM67&gt;VLOOKUP("PCS-OzTL32",ARBOR!$A:$C,3,0),"Maior que CAP!",IF((DOLLAR(DM67+(VLOOKUP("PCS-OzTL32",ARBOR!$A:$C,3,0)*-TRUNC(DM67/VLOOKUP("PCS-OzTL32",ARBOR!$A:$C,3,0)-1,4)),6))&lt;&gt;(DOLLAR(VLOOKUP("PCS-OzTL32",ARBOR!$A:$C,3,0),6)),-TRUNC(DM67/VLOOKUP("PCS-OzTL32",ARBOR!$A:$C,3,0)-1,4)+0.0001,-TRUNC(DM67/VLOOKUP("PCS-OzTL32",ARBOR!$A:$C,3,0)-1,4)))))</f>
        <v/>
      </c>
      <c r="DO67" s="28" t="str">
        <f>IF(DN67="S/Desc","S/Desc",IF(ISERROR(IF(DN67="","",VLOOKUP(($BC67&amp;DN67&amp;"Template desconto % Playboy nível conta"),BENEFICIOS!$A:$G,5,0))),"Criar",IF(DN67="","",VLOOKUP(($BC67&amp;DN67&amp;"Template desconto % Playboy nível conta"),BENEFICIOS!$A:$G,5,0))))</f>
        <v/>
      </c>
      <c r="DP67" s="8"/>
      <c r="DQ67" s="3" t="str">
        <f>IF(DP67=0,"",IF(DP67=VLOOKUP("PCS-OzTL33",ARBOR!$A:$C,3,0),0.0001,IF(DP67&gt;VLOOKUP("PCS-OzTL33",ARBOR!$A:$C,3,0),"Maior que CAP!",IF((DOLLAR(DP67+(VLOOKUP("PCS-OzTL33",ARBOR!$A:$C,3,0)*-TRUNC(DP67/VLOOKUP("PCS-OzTL33",ARBOR!$A:$C,3,0)-1,4)),6))&lt;&gt;(DOLLAR(VLOOKUP("PCS-OzTL33",ARBOR!$A:$C,3,0),6)),-TRUNC(DP67/VLOOKUP("PCS-OzTL33",ARBOR!$A:$C,3,0)-1,4)+0.0001,-TRUNC(DP67/VLOOKUP("PCS-OzTL33",ARBOR!$A:$C,3,0)-1,4)))))</f>
        <v/>
      </c>
      <c r="DR67" s="28" t="str">
        <f>IF(DQ67="S/Desc","S/Desc",IF(ISERROR(IF(DQ67="","",VLOOKUP(($BC67&amp;DQ67&amp;"Template desconto % Sexy Hot + Playboy nível conta"),BENEFICIOS!$A:$G,5,0))),"Criar",IF(DQ67="","",VLOOKUP(($BC67&amp;DQ67&amp;"Template desconto % Sexy Hot + Playboy nível conta"),BENEFICIOS!$A:$G,5,0))))</f>
        <v/>
      </c>
      <c r="DS67" s="8"/>
      <c r="DT67" s="3" t="str">
        <f>IF(DS67=0,"",IF(DS67=VLOOKUP("PCS-OzTL503",ARBOR!$A:$C,3,0),0.0001,IF(DS67&gt;VLOOKUP("PCS-OzTL503",ARBOR!$A:$C,3,0),"Maior que CAP!",IF((DOLLAR(DS67+(VLOOKUP("PCS-OzTL503",ARBOR!$A:$C,3,0)*-TRUNC(DS67/VLOOKUP("PCS-OzTL503",ARBOR!$A:$C,3,0)-1,4)),6))&lt;&gt;(DOLLAR(VLOOKUP("PCS-OzTL503",ARBOR!$A:$C,3,0),6)),-TRUNC(DS67/VLOOKUP("PCS-OzTL503",ARBOR!$A:$C,3,0)-1,4)+0.0001,-TRUNC(DS67/VLOOKUP("PCS-OzTL503",ARBOR!$A:$C,3,0)-1,4)))))</f>
        <v/>
      </c>
      <c r="DU67" s="28" t="str">
        <f>IF(DT67="S/Desc","S/Desc",IF(ISERROR(IF(DT67="","",VLOOKUP(($BC67&amp;DT67&amp;"Template desconto % SexPrivê nível conta"),BENEFICIOS!$A:$G,5,0))),"Criar",IF(DT67="","",VLOOKUP(($BC67&amp;DT67&amp;"Template desconto % SexPrivê nível conta"),BENEFICIOS!$A:$G,5,0))))</f>
        <v/>
      </c>
      <c r="DV67" s="8"/>
      <c r="DW67" s="3" t="str">
        <f>IF(DV67=0,"",IF(DV67=VLOOKUP("PCS-OzTL500",ARBOR!$A:$C,3,0),0.0001,IF(DV67&gt;VLOOKUP("PCS-OzTL500",ARBOR!$A:$C,3,0),"Maior que CAP!",IF((DOLLAR(DV67+(VLOOKUP("PCS-OzTL500",ARBOR!$A:$C,3,0)*-TRUNC(DV67/VLOOKUP("PCS-OzTL500",ARBOR!$A:$C,3,0)-1,4)),6))&lt;&gt;(DOLLAR(VLOOKUP("PCS-OzTL500",ARBOR!$A:$C,3,0),6)),-TRUNC(DV67/VLOOKUP("PCS-OzTL500",ARBOR!$A:$C,3,0)-1,4)+0.0001,-TRUNC(DV67/VLOOKUP("PCS-OzTL500",ARBOR!$A:$C,3,0)-1,4)))))</f>
        <v/>
      </c>
      <c r="DX67" s="28" t="str">
        <f>IF(DW67="S/Desc","S/Desc",IF(ISERROR(IF(DW67="","",VLOOKUP(($BC67&amp;DW67&amp;"Template desconto % Étnico nível conta"),BENEFICIOS!$A:$G,5,0))),"Criar",IF(DW67="","",VLOOKUP(($BC67&amp;DW67&amp;"Template desconto % Étnico nível conta"),BENEFICIOS!$A:$G,5,0))))</f>
        <v/>
      </c>
      <c r="DY67" s="8"/>
      <c r="DZ67" s="181" t="str">
        <f>IF(DY67=0,"",IF(DY67=VLOOKUP("PCS-OzTL50",ARBOR!$A:$C,3,0),0.0001,IF(DY67&gt;VLOOKUP("PCS-OzTL50",ARBOR!$A:$C,3,0),"Maior que CAP!",IF((DOLLAR(DY67+(VLOOKUP("PCS-OzTL50",ARBOR!$A:$C,3,0)*-TRUNC(DY67/VLOOKUP("PCS-OzTL50",ARBOR!$A:$C,3,0)-1,4)),6))&lt;&gt;(DOLLAR(VLOOKUP("PCS-OzTL50",ARBOR!$A:$C,3,0),6)),-TRUNC(DY67/VLOOKUP("PCS-OzTL50",ARBOR!$A:$C,3,0)-1,4)+0.0001,-TRUNC(DY67/VLOOKUP("PCS-OzTL50",ARBOR!$A:$C,3,0)-1,4)))))</f>
        <v/>
      </c>
      <c r="EA67" s="28"/>
      <c r="EB67" s="8"/>
      <c r="EC67" s="181" t="str">
        <f>IF(EB67=0,"",IF(EB67=VLOOKUP("PCS-OzTL51",ARBOR!$A:$C,3,0),0.0001,IF(EB67&gt;VLOOKUP("PCS-OzTL51",ARBOR!$A:$C,3,0),"Maior que CAP!",IF((DOLLAR(EB67+(VLOOKUP("PCS-OzTL51",ARBOR!$A:$C,3,0)*-TRUNC(EB67/VLOOKUP("PCS-OzTL51",ARBOR!$A:$C,3,0)-1,4)),6))&lt;&gt;(DOLLAR(VLOOKUP("PCS-OzTL51",ARBOR!$A:$C,3,0),6)),-TRUNC(EB67/VLOOKUP("PCS-OzTL51",ARBOR!$A:$C,3,0)-1,4)+0.0001,-TRUNC(EB67/VLOOKUP("PCS-OzTL51",ARBOR!$A:$C,3,0)-1,4)))))</f>
        <v/>
      </c>
      <c r="ED67" s="28"/>
      <c r="EE67" s="8"/>
      <c r="EF67" s="181" t="str">
        <f>IF(EE67=0,"",IF(EE67=VLOOKUP("PCS-OzTL52",ARBOR!$A:$C,3,0),0.0001,IF(EE67&gt;VLOOKUP("PCS-OzTL52",ARBOR!$A:$C,3,0),"Maior que CAP!",IF((DOLLAR(EE67+(VLOOKUP("PCS-OzTL52",ARBOR!$A:$C,3,0)*-TRUNC(EE67/VLOOKUP("PCS-OzTL52",ARBOR!$A:$C,3,0)-1,4)),6))&lt;&gt;(DOLLAR(VLOOKUP("PCS-OzTL52",ARBOR!$A:$C,3,0),6)),-TRUNC(EE67/VLOOKUP("PCS-OzTL52",ARBOR!$A:$C,3,0)-1,4)+0.0001,-TRUNC(EE67/VLOOKUP("PCS-OzTL52",ARBOR!$A:$C,3,0)-1,4)))))</f>
        <v/>
      </c>
      <c r="EG67" s="28"/>
      <c r="EH67" s="8"/>
      <c r="EI67" s="181" t="str">
        <f>IF(EH67=0,"",IF(EH67=VLOOKUP("PCS-OzTL53",ARBOR!$A:$C,3,0),0.0001,IF(EH67&gt;VLOOKUP("PCS-OzTL53",ARBOR!$A:$C,3,0),"Maior que CAP!",IF((DOLLAR(EH67+(VLOOKUP("PCS-OzTL53",ARBOR!$A:$C,3,0)*-TRUNC(EH67/VLOOKUP("PCS-OzTL53",ARBOR!$A:$C,3,0)-1,4)),6))&lt;&gt;(DOLLAR(VLOOKUP("PCS-OzTL53",ARBOR!$A:$C,3,0),6)),-TRUNC(EH67/VLOOKUP("PCS-OzTL53",ARBOR!$A:$C,3,0)-1,4)+0.0001,-TRUNC(EH67/VLOOKUP("PCS-OzTL53",ARBOR!$A:$C,3,0)-1,4)))))</f>
        <v/>
      </c>
      <c r="EJ67" s="28"/>
      <c r="EK67" s="8"/>
      <c r="EL67" s="181" t="str">
        <f>IF(EK67=0,"",IF(EK67=VLOOKUP("PCS-OzTL54",ARBOR!$A:$C,3,0),0.0001,IF(EK67&gt;VLOOKUP("PCS-OzTL54",ARBOR!$A:$C,3,0),"Maior que CAP!",IF((DOLLAR(EK67+(VLOOKUP("PCS-OzTL54",ARBOR!$A:$C,3,0)*-TRUNC(EK67/VLOOKUP("PCS-OzTL54",ARBOR!$A:$C,3,0)-1,4)),6))&lt;&gt;(DOLLAR(VLOOKUP("PCS-OzTL54",ARBOR!$A:$C,3,0),6)),-TRUNC(EK67/VLOOKUP("PCS-OzTL54",ARBOR!$A:$C,3,0)-1,4)+0.0001,-TRUNC(EK67/VLOOKUP("PCS-OzTL54",ARBOR!$A:$C,3,0)-1,4)))))</f>
        <v/>
      </c>
      <c r="EM67" s="28"/>
      <c r="EN67" s="8"/>
      <c r="EO67" s="3" t="str">
        <f>IF(EN67=0,"",IF(EN67=VLOOKUP("PCS-OzTL99",ARBOR!$A:$C,3,0),0.0001,IF(EN67&gt;VLOOKUP("PCS-OzTL99",ARBOR!$A:$C,3,0),"Maior que CAP!",IF((DOLLAR(EN67+(VLOOKUP("PCS-OzTL99",ARBOR!$A:$C,3,0)*-TRUNC(EN67/VLOOKUP("PCS-OzTL99",ARBOR!$A:$C,3,0)-1,4)),6))&lt;&gt;(DOLLAR(VLOOKUP("PCS-OzTL99",ARBOR!$A:$C,3,0),6)),-TRUNC(EN67/VLOOKUP("PCS-OzTL99",ARBOR!$A:$C,3,0)-1,4)+0.0001,-TRUNC(EN67/VLOOKUP("PCS-OzTL99",ARBOR!$A:$C,3,0)-1,4)))))</f>
        <v/>
      </c>
      <c r="EP67" s="28" t="str">
        <f>IF(EO67="S/Desc","S/Desc",IF(ISERROR(IF(EO67="","",VLOOKUP(($BC67&amp;EO67&amp;"Template desconto % Ponto adicional nível conta"),BENEFICIOS!$A:$G,5,0))),"Criar",IF(EO67="","",VLOOKUP(($BC67&amp;EO67&amp;"Template desconto % Ponto adicional nível conta"),BENEFICIOS!$A:$G,5,0))))</f>
        <v/>
      </c>
      <c r="EQ67" s="8"/>
      <c r="ER67" s="28" t="str">
        <f t="shared" si="23"/>
        <v/>
      </c>
      <c r="ES67" s="62"/>
      <c r="ET67" s="126"/>
      <c r="EU67" s="127"/>
      <c r="EV67" s="126"/>
      <c r="EW67" s="128" t="str">
        <f t="shared" si="24"/>
        <v/>
      </c>
      <c r="EX67" s="129" t="str">
        <f t="shared" si="25"/>
        <v/>
      </c>
      <c r="EY67" s="91" t="str">
        <f t="shared" si="26"/>
        <v/>
      </c>
      <c r="EZ67" s="85"/>
      <c r="FA67" s="97"/>
      <c r="FB67" s="91"/>
      <c r="FC67" s="85"/>
      <c r="FD67" s="97"/>
      <c r="FE67" s="91"/>
      <c r="FF67" s="87"/>
      <c r="FG67" s="144" t="str">
        <f t="shared" si="5"/>
        <v/>
      </c>
      <c r="FH67" s="144" t="str">
        <f t="shared" si="6"/>
        <v/>
      </c>
      <c r="FI67" s="144" t="str">
        <f t="shared" si="7"/>
        <v/>
      </c>
      <c r="FJ67" s="144" t="str">
        <f t="shared" si="8"/>
        <v/>
      </c>
      <c r="FK67" s="144" t="str">
        <f t="shared" si="9"/>
        <v/>
      </c>
      <c r="FL67" s="144" t="str">
        <f t="shared" si="10"/>
        <v/>
      </c>
      <c r="FM67" s="144" t="str">
        <f t="shared" si="11"/>
        <v/>
      </c>
      <c r="FN67" s="144" t="str">
        <f t="shared" si="12"/>
        <v/>
      </c>
      <c r="FO67" s="144" t="str">
        <f t="shared" si="13"/>
        <v/>
      </c>
      <c r="FP67" s="144" t="str">
        <f t="shared" si="14"/>
        <v/>
      </c>
      <c r="FQ67" s="144" t="str">
        <f t="shared" si="15"/>
        <v/>
      </c>
      <c r="FR67" s="144" t="str">
        <f t="shared" si="16"/>
        <v/>
      </c>
      <c r="FS67" s="144" t="str">
        <f t="shared" si="17"/>
        <v/>
      </c>
      <c r="FT67" s="144" t="str">
        <f t="shared" si="18"/>
        <v/>
      </c>
      <c r="FU67" s="144" t="str">
        <f t="shared" si="19"/>
        <v/>
      </c>
      <c r="FV67" s="144" t="str">
        <f t="shared" si="20"/>
        <v/>
      </c>
      <c r="FW67" s="144" t="str">
        <f t="shared" si="21"/>
        <v/>
      </c>
      <c r="FX67" s="151"/>
      <c r="FY67" s="152"/>
      <c r="FZ67" s="152"/>
      <c r="GA67" s="152"/>
      <c r="GB67" s="152"/>
      <c r="GC67" s="152"/>
      <c r="GD67" s="152"/>
      <c r="GE67" s="152"/>
      <c r="GF67" s="152"/>
      <c r="GG67" s="153"/>
    </row>
    <row r="68" spans="1:189">
      <c r="A68" s="45"/>
      <c r="B68" s="133"/>
      <c r="C68" s="133"/>
      <c r="D68" s="46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9"/>
      <c r="U68" s="48"/>
      <c r="V68" s="49"/>
      <c r="W68" s="48"/>
      <c r="X68" s="48"/>
      <c r="Y68" s="48"/>
      <c r="Z68" s="48"/>
      <c r="AA68" s="49"/>
      <c r="AB68" s="48"/>
      <c r="AC68" s="50"/>
      <c r="AD68" s="48"/>
      <c r="AE68" s="48"/>
      <c r="AF68" s="48"/>
      <c r="AG68" s="48"/>
      <c r="AH68" s="48"/>
      <c r="AI68" s="48"/>
      <c r="AJ68" s="48"/>
      <c r="AK68" s="48"/>
      <c r="AL68" s="51"/>
      <c r="AM68" s="37"/>
      <c r="AN68" s="38"/>
      <c r="AO68" s="39"/>
      <c r="AP68" s="52"/>
      <c r="AQ68" s="53"/>
      <c r="AR68" s="64"/>
      <c r="AS68" s="65"/>
      <c r="AT68" s="54"/>
      <c r="AU68" s="54"/>
      <c r="AV68" s="54"/>
      <c r="AW68" s="54"/>
      <c r="AX68" s="70"/>
      <c r="AY68" s="71"/>
      <c r="AZ68" s="72"/>
      <c r="BA68" s="73"/>
      <c r="BB68" s="55"/>
      <c r="BC68" s="56"/>
      <c r="BD68" s="27" t="str">
        <f t="shared" si="22"/>
        <v/>
      </c>
      <c r="BE68" s="58"/>
      <c r="BF68" s="3" t="str">
        <f>IF(BE68=0,"",IF(BE68=VLOOKUP("FIXO",ARBOR!$A:$C,3,0),0.0001,IF(BE68&gt;VLOOKUP("FIXO",ARBOR!$A:$C,3,0),"Maior que CAP!",IF((DOLLAR(BE68+(VLOOKUP("FIXO",ARBOR!$A:$C,3,0)*-TRUNC(BE68/VLOOKUP("FIXO",ARBOR!$A:$C,3,0)-1,4)),6))&lt;&gt;(DOLLAR(VLOOKUP("FIXO",ARBOR!$A:$C,3,0),6)),-TRUNC(BE68/VLOOKUP("FIXO",ARBOR!$A:$C,3,0)-1,4)+0.0001,-TRUNC(BE68/VLOOKUP("FIXO",ARBOR!$A:$C,3,0)-1,4)))))</f>
        <v/>
      </c>
      <c r="BG68" s="10" t="str">
        <f>IF(ISERROR(IF(BF68="","",VLOOKUP(($BC68&amp;BF68&amp;"Template de desconto FLAT bundle - Fixo - Varejo - Ganho Tributário Cross"),BENEFICIOS!$A:$G,5,0))),"Criar",IF(BF68="","",VLOOKUP(($BC68&amp;BF68&amp;"Template de desconto FLAT bundle - Fixo - Varejo - Ganho Tributário Cross"),BENEFICIOS!$A:$G,5,0)))</f>
        <v/>
      </c>
      <c r="BH68" s="8"/>
      <c r="BI68" s="3" t="str">
        <f>IF(BH68=0,"",IF(BH68=VLOOKUP("PCS-OzTL40",ARBOR!$A:$C,3,0),0.0001,IF(BH68&gt;VLOOKUP("PCS-OzTL40",ARBOR!$A:$C,3,0),"Maior que CAP!",IF((DOLLAR(BH68+(VLOOKUP("PCS-OzTL40",ARBOR!$A:$C,3,0)*-TRUNC(BH68/VLOOKUP("PCS-OzTL40",ARBOR!$A:$C,3,0)-1,4)),6))&lt;&gt;(DOLLAR(VLOOKUP("PCS-OzTL40",ARBOR!$A:$C,3,0),6)),-TRUNC(BH68/VLOOKUP("PCS-OzTL40",ARBOR!$A:$C,3,0)-1,4)+0.0001,-TRUNC(BH68/VLOOKUP("PCS-OzTL40",ARBOR!$A:$C,3,0)-1,4)))))</f>
        <v/>
      </c>
      <c r="BJ68" s="10" t="str">
        <f>IF(ISERROR(IF(BI68="","",VLOOKUP((BC68&amp;BI68&amp;"Template desconto FLAT Plano Principal Oi TV nível conta"),BENEFICIOS!$A:$G,5,0))),"Criar",IF(BI68="","",VLOOKUP((BC68&amp;BI68&amp;"Template desconto FLAT Plano Principal Oi TV nível conta"),BENEFICIOS!$A:$G,5,0)))</f>
        <v/>
      </c>
      <c r="BK68" s="8"/>
      <c r="BL68" s="3" t="str">
        <f>IF(BK68=0,"",IF(BK68=VLOOKUP("PCS-OzTL41",ARBOR!$A:$C,3,0),0.0001,IF(BK68&gt;VLOOKUP("PCS-OzTL41",ARBOR!$A:$C,3,0),"Maior que CAP!",IF((DOLLAR(BK68+(VLOOKUP("PCS-OzTL41",ARBOR!$A:$C,3,0)*-TRUNC(BK68/VLOOKUP("PCS-OzTL41",ARBOR!$A:$C,3,0)-1,4)),6))&lt;&gt;(DOLLAR(VLOOKUP("PCS-OzTL41",ARBOR!$A:$C,3,0),6)),-TRUNC(BK68/VLOOKUP("PCS-OzTL41",ARBOR!$A:$C,3,0)-1,4)+0.0001,-TRUNC(BK68/VLOOKUP("PCS-OzTL41",ARBOR!$A:$C,3,0)-1,4)))))</f>
        <v/>
      </c>
      <c r="BM68" s="28" t="str">
        <f>IF(ISERROR(IF(BL68="","",VLOOKUP((BC68&amp;BL68&amp;"Template desconto FLAT Plano Principal Oi TV nível conta"),BENEFICIOS!$A:$G,5,0))),"Criar",IF(BL68="","",VLOOKUP((BC68&amp;BL68&amp;"Template desconto FLAT Plano Principal Oi TV nível conta"),BENEFICIOS!$A:$G,5,0)))</f>
        <v/>
      </c>
      <c r="BN68" s="8"/>
      <c r="BO68" s="3" t="str">
        <f>IF(BN68=0,"",IF(BN68=VLOOKUP("PCS-OzTL44",ARBOR!$A:$C,3,0),0.0001,IF(BN68&gt;VLOOKUP("PCS-OzTL44",ARBOR!$A:$C,3,0),"Maior que CAP!",IF((DOLLAR(BN68+(VLOOKUP("PCS-OzTL44",ARBOR!$A:$C,3,0)*-TRUNC(BN68/VLOOKUP("PCS-OzTL44",ARBOR!$A:$C,3,0)-1,4)),6))&lt;&gt;(DOLLAR(VLOOKUP("PCS-OzTL44",ARBOR!$A:$C,3,0),6)),-TRUNC(BN68/VLOOKUP("PCS-OzTL44",ARBOR!$A:$C,3,0)-1,4)+0.0001,-TRUNC(BN68/VLOOKUP("PCS-OzTL44",ARBOR!$A:$C,3,0)-1,4)))))</f>
        <v/>
      </c>
      <c r="BP68" s="28" t="str">
        <f>IF(ISERROR(IF(BO68="","",VLOOKUP((BC68&amp;BO68&amp;"Template desconto FLAT Plano Principal Oi TV nível conta"),BENEFICIOS!$A:$G,5,0))),"Criar",IF(BO68="","",VLOOKUP((BC68&amp;BO68&amp;"Template desconto FLAT Plano Principal Oi TV nível conta"),BENEFICIOS!$A:$G,5,0)))</f>
        <v/>
      </c>
      <c r="BQ68" s="8"/>
      <c r="BR68" s="3" t="str">
        <f>IF(BQ68=0,"",IF(BQ68=VLOOKUP("PCS-OzTL43",ARBOR!$A:$C,3,0),0.0001,IF(BQ68&gt;VLOOKUP("PCS-OzTL43",ARBOR!$A:$C,3,0),"Maior que CAP!",IF((DOLLAR(BQ68+(VLOOKUP("PCS-OzTL43",ARBOR!$A:$C,3,0)*-TRUNC(BQ68/VLOOKUP("PCS-OzTL43",ARBOR!$A:$C,3,0)-1,4)),6))&lt;&gt;(DOLLAR(VLOOKUP("PCS-OzTL43",ARBOR!$A:$C,3,0),6)),-TRUNC(BQ68/VLOOKUP("PCS-OzTL43",ARBOR!$A:$C,3,0)-1,4)+0.0001,-TRUNC(BQ68/VLOOKUP("PCS-OzTL43",ARBOR!$A:$C,3,0)-1,4)))))</f>
        <v/>
      </c>
      <c r="BS68" s="28" t="str">
        <f>IF(ISERROR(IF(BR68="","",VLOOKUP((BC68&amp;BR68&amp;"Template desconto FLAT Plano Principal Oi TV nível conta"),BENEFICIOS!$A:$G,5,0))),"Criar",IF(BR68="","",VLOOKUP((BC68&amp;BR68&amp;"Template desconto FLAT Plano Principal Oi TV nível conta"),BENEFICIOS!$A:$G,5,0)))</f>
        <v/>
      </c>
      <c r="BT68" s="8"/>
      <c r="BU68" s="3" t="str">
        <f>IF(BT68=0,"",IF(BT68=VLOOKUP("PCS-OzTL45",ARBOR!$A:$C,3,0),0.0001,IF(BT68&gt;VLOOKUP("PCS-OzTL45",ARBOR!$A:$C,3,0),"Maior que CAP!",IF((DOLLAR(BT68+(VLOOKUP("PCS-OzTL45",ARBOR!$A:$C,3,0)*-TRUNC(BT68/VLOOKUP("PCS-OzTL45",ARBOR!$A:$C,3,0)-1,4)),6))&lt;&gt;(DOLLAR(VLOOKUP("PCS-OzTL45",ARBOR!$A:$C,3,0),6)),-TRUNC(BT68/VLOOKUP("PCS-OzTL45",ARBOR!$A:$C,3,0)-1,4)+0.0001,-TRUNC(BT68/VLOOKUP("PCS-OzTL45",ARBOR!$A:$C,3,0)-1,4)))))</f>
        <v/>
      </c>
      <c r="BV68" s="28" t="str">
        <f>IF(ISERROR(IF(BU68="","",VLOOKUP((BC68&amp;BU68&amp;"Template desconto FLAT Plano Principal Oi TV nível conta"),BENEFICIOS!$A:$G,5,0))),"Criar",IF(BU68="","",VLOOKUP((BC68&amp;BU68&amp;"Template desconto FLAT Plano Principal Oi TV nível conta"),BENEFICIOS!$A:$G,5,0)))</f>
        <v/>
      </c>
      <c r="BW68" s="8"/>
      <c r="BX68" s="3" t="str">
        <f>IF(BW68=0,"",IF(BW68=VLOOKUP("PCS-OzTL741",ARBOR!$A:$C,3,0),0.0001,IF(BW68&gt;VLOOKUP("PCS-OzTL741",ARBOR!$A:$C,3,0),"Maior que CAP!",IF((DOLLAR(BW68+(VLOOKUP("PCS-OzTL741",ARBOR!$A:$C,3,0)*-TRUNC(BW68/VLOOKUP("PCS-OzTL741",ARBOR!$A:$C,3,0)-1,4)),6))&lt;&gt;(DOLLAR(VLOOKUP("PCS-OzTL741",ARBOR!$A:$C,3,0),6)),-TRUNC(BW68/VLOOKUP("PCS-OzTL741",ARBOR!$A:$C,3,0)-1,4)+0.0001,-TRUNC(BW68/VLOOKUP("PCS-OzTL741",ARBOR!$A:$C,3,0)-1,4)))))</f>
        <v/>
      </c>
      <c r="BY68" s="28" t="str">
        <f>IF(ISERROR(IF(BX68="","",VLOOKUP((BC68&amp;BX68&amp;"Template desconto FLAT Plano Principal Oi TV nível conta"),BENEFICIOS!$A:$G,5,0))),"Criar",IF(BX68="","",VLOOKUP((BC68&amp;BX68&amp;"Template desconto FLAT Plano Principal Oi TV nível conta"),BENEFICIOS!$A:$G,5,0)))</f>
        <v/>
      </c>
      <c r="BZ68" s="8"/>
      <c r="CA68" s="3" t="str">
        <f>IF(BZ68=0,"",IF(BZ68=VLOOKUP("PCS-OzTL744",ARBOR!$A:$C,3,0),0.0001,IF(BZ68&gt;VLOOKUP("PCS-OzTL744",ARBOR!$A:$C,3,0),"Maior que CAP!",IF((DOLLAR(BZ68+(VLOOKUP("PCS-OzTL744",ARBOR!$A:$C,3,0)*-TRUNC(BZ68/VLOOKUP("PCS-OzTL744",ARBOR!$A:$C,3,0)-1,4)),6))&lt;&gt;(DOLLAR(VLOOKUP("PCS-OzTL744",ARBOR!$A:$C,3,0),6)),-TRUNC(BZ68/VLOOKUP("PCS-OzTL744",ARBOR!$A:$C,3,0)-1,4)+0.0001,-TRUNC(BZ68/VLOOKUP("PCS-OzTL744",ARBOR!$A:$C,3,0)-1,4)))))</f>
        <v/>
      </c>
      <c r="CB68" s="28" t="str">
        <f>IF(ISERROR(IF(CA68="","",VLOOKUP(($BC68&amp;CA68&amp;"Template desconto FLAT Plano Principal Oi TV nível conta"),BENEFICIOS!$A:$G,5,0))),"Criar",IF(CA68="","",VLOOKUP(($BC68&amp;CA68&amp;"Template desconto FLAT Plano Principal Oi TV nível conta"),BENEFICIOS!$A:$G,5,0)))</f>
        <v/>
      </c>
      <c r="CC68" s="8"/>
      <c r="CD68" s="3" t="str">
        <f>IF(CC68=0,"",IF(CC68=VLOOKUP("PCS-OzTL743",ARBOR!$A:$C,3,0),0.0001,IF(CC68&gt;VLOOKUP("PCS-OzTL743",ARBOR!$A:$C,3,0),"Maior que CAP!",IF((DOLLAR(CC68+(VLOOKUP("PCS-OzTL743",ARBOR!$A:$C,3,0)*-TRUNC(CC68/VLOOKUP("PCS-OzTL743",ARBOR!$A:$C,3,0)-1,4)),6))&lt;&gt;(DOLLAR(VLOOKUP("PCS-OzTL743",ARBOR!$A:$C,3,0),6)),-TRUNC(CC68/VLOOKUP("PCS-OzTL743",ARBOR!$A:$C,3,0)-1,4)+0.0001,-TRUNC(CC68/VLOOKUP("PCS-OzTL743",ARBOR!$A:$C,3,0)-1,4)))))</f>
        <v/>
      </c>
      <c r="CE68" s="28" t="str">
        <f>IF(ISERROR(IF(CD68="","",VLOOKUP(($BC68&amp;CD68&amp;"Template desconto FLAT Plano Principal Oi TV nível conta"),BENEFICIOS!$A:$G,5,0))),"Criar",IF(CD68="","",VLOOKUP(($BC68&amp;CD68&amp;"Template desconto FLAT Plano Principal Oi TV nível conta"),BENEFICIOS!$A:$G,5,0)))</f>
        <v/>
      </c>
      <c r="CF68" s="8"/>
      <c r="CG68" s="3" t="str">
        <f>IF(CF68=0,"",IF(CF68=VLOOKUP("PCS-OzTL745",ARBOR!$A:$C,3,0),0.0001,IF(CF68&gt;VLOOKUP("PCS-OzTL745",ARBOR!$A:$C,3,0),"Maior que CAP!",IF((DOLLAR(CF68+(VLOOKUP("PCS-OzTL745",ARBOR!$A:$C,3,0)*-TRUNC(CF68/VLOOKUP("PCS-OzTL745",ARBOR!$A:$C,3,0)-1,4)),6))&lt;&gt;(DOLLAR(VLOOKUP("PCS-OzTL745",ARBOR!$A:$C,3,0),6)),-TRUNC(CF68/VLOOKUP("PCS-OzTL745",ARBOR!$A:$C,3,0)-1,4)+0.0001,-TRUNC(CF68/VLOOKUP("PCS-OzTL745",ARBOR!$A:$C,3,0)-1,4)))))</f>
        <v/>
      </c>
      <c r="CH68" s="28" t="str">
        <f>IF(ISERROR(IF(CG68="","",VLOOKUP(($BC68&amp;CG68&amp;"Template desconto FLAT Plano Principal Oi TV nível conta"),BENEFICIOS!$A:$G,5,0))),"Criar",IF(CG68="","",VLOOKUP(($BC68&amp;CG68&amp;"Template desconto FLAT Plano Principal Oi TV nível conta"),BENEFICIOS!$A:$G,5,0)))</f>
        <v/>
      </c>
      <c r="CI68" s="8"/>
      <c r="CJ68" s="3" t="str">
        <f>IF(CI68=0,"",IF(CI68=VLOOKUP("PCS-OzTL42",ARBOR!$A:$C,3,0),0.0001,IF(CI68&gt;VLOOKUP("PCS-OzTL42",ARBOR!$A:$C,3,0),"Maior que CAP!",IF((DOLLAR(CI68+(VLOOKUP("PCS-OzTL42",ARBOR!$A:$C,3,0)*-TRUNC(CI68/VLOOKUP("PCS-OzTL42",ARBOR!$A:$C,3,0)-1,4)),6))&lt;&gt;(DOLLAR(VLOOKUP("PCS-OzTL42",ARBOR!$A:$C,3,0),6)),-TRUNC(CI68/VLOOKUP("PCS-OzTL42",ARBOR!$A:$C,3,0)-1,4)+0.0001,-TRUNC(CI68/VLOOKUP("PCS-OzTL42",ARBOR!$A:$C,3,0)-1,4)))))</f>
        <v/>
      </c>
      <c r="CK68" s="28" t="str">
        <f>IF(ISERROR(IF(CJ68="","",VLOOKUP(($BC68&amp;CJ68&amp;"Template desconto FLAT Plano Principal Oi TV nível conta"),BENEFICIOS!$A:$G,5,0))),"Criar",IF(CJ68="","",VLOOKUP(($BC68&amp;CJ68&amp;"Template desconto FLAT Plano Principal Oi TV nível conta"),BENEFICIOS!$A:$G,5,0)))</f>
        <v/>
      </c>
      <c r="CL68" s="8"/>
      <c r="CM68" s="3" t="str">
        <f>IF(CL68=0,"",IF(CL68=VLOOKUP("PCS-OzTL47",ARBOR!$A:$C,3,0),0.0001,IF(CL68&gt;VLOOKUP("PCS-OzTL47",ARBOR!$A:$C,3,0),"Maior que CAP!",IF((DOLLAR(CL68+(VLOOKUP("PCS-OzTL47",ARBOR!$A:$C,3,0)*-TRUNC(CL68/VLOOKUP("PCS-OzTL47",ARBOR!$A:$C,3,0)-1,4)),6))&lt;&gt;(DOLLAR(VLOOKUP("PCS-OzTL47",ARBOR!$A:$C,3,0),6)),-TRUNC(CL68/VLOOKUP("PCS-OzTL47",ARBOR!$A:$C,3,0)-1,4)+0.0001,-TRUNC(CL68/VLOOKUP("PCS-OzTL47",ARBOR!$A:$C,3,0)-1,4)))))</f>
        <v/>
      </c>
      <c r="CN68" s="28" t="str">
        <f>IF(ISERROR(IF(CM68="","",VLOOKUP(($BC68&amp;CM68&amp;"Template desconto FLAT Plano Principal Oi TV nível conta"),BENEFICIOS!$A:$G,5,0))),"Criar",IF(CM68="","",VLOOKUP(($BC68&amp;CM68&amp;"Template desconto FLAT Plano Principal Oi TV nível conta"),BENEFICIOS!$A:$G,5,0)))</f>
        <v/>
      </c>
      <c r="CO68" s="8"/>
      <c r="CP68" s="3" t="str">
        <f>IF(CO68=0,"",IF(CO68=VLOOKUP("PCS-OzTL46",ARBOR!$A:$C,3,0),0.0001,IF(CO68&gt;VLOOKUP("PCS-OzTL46",ARBOR!$A:$C,3,0),"Maior que CAP!",IF((DOLLAR(CO68+(VLOOKUP("PCS-OzTL46",ARBOR!$A:$C,3,0)*-TRUNC(CO68/VLOOKUP("PCS-OzTL46",ARBOR!$A:$C,3,0)-1,4)),6))&lt;&gt;(DOLLAR(VLOOKUP("PCS-OzTL46",ARBOR!$A:$C,3,0),6)),-TRUNC(CO68/VLOOKUP("PCS-OzTL46",ARBOR!$A:$C,3,0)-1,4)+0.0001,-TRUNC(CO68/VLOOKUP("PCS-OzTL46",ARBOR!$A:$C,3,0)-1,4)))))</f>
        <v/>
      </c>
      <c r="CQ68" s="28" t="str">
        <f>IF(ISERROR(IF(CP68="","",VLOOKUP(($BC68&amp;CP68&amp;"Template desconto FLAT Plano Principal Oi TV nível conta"),BENEFICIOS!$A:$G,5,0))),"Criar",IF(CP68="","",VLOOKUP(($BC68&amp;CP68&amp;"Template desconto FLAT Plano Principal Oi TV nível conta"),BENEFICIOS!$A:$G,5,0)))</f>
        <v/>
      </c>
      <c r="CR68" s="8"/>
      <c r="CS68" s="3" t="str">
        <f>IF(CR68=0,"",IF(CR68=VLOOKUP("PCS-OzTL48",ARBOR!$A:$C,3,0),0.0001,IF(CR68&gt;VLOOKUP("PCS-OzTL48",ARBOR!$A:$C,3,0),"Maior que CAP!",IF((DOLLAR(CR68+(VLOOKUP("PCS-OzTL48",ARBOR!$A:$C,3,0)*-TRUNC(CR68/VLOOKUP("PCS-OzTL48",ARBOR!$A:$C,3,0)-1,4)),6))&lt;&gt;(DOLLAR(VLOOKUP("PCS-OzTL48",ARBOR!$A:$C,3,0),6)),-TRUNC(CR68/VLOOKUP("PCS-OzTL48",ARBOR!$A:$C,3,0)-1,4)+0.0001,-TRUNC(CR68/VLOOKUP("PCS-OzTL48",ARBOR!$A:$C,3,0)-1,4)))))</f>
        <v/>
      </c>
      <c r="CT68" s="28" t="str">
        <f>IF(ISERROR(IF(CS68="","",VLOOKUP(($BC68&amp;CS68&amp;"Template desconto FLAT Plano Principal Oi TV nível conta"),BENEFICIOS!$A:$G,5,0))),"Criar",IF(CS68="","",VLOOKUP(($BC68&amp;CS68&amp;"Template desconto FLAT Plano Principal Oi TV nível conta"),BENEFICIOS!$A:$G,5,0)))</f>
        <v/>
      </c>
      <c r="CU68" s="8"/>
      <c r="CV68" s="3" t="str">
        <f>IF(CU68=0,"",IF(CU68=VLOOKUP("PCS-OzTL742",ARBOR!$A:$C,3,0),0.0001,IF(CU68&gt;VLOOKUP("PCS-OzTL742",ARBOR!$A:$C,3,0),"Maior que CAP!",IF((DOLLAR(CU68+(VLOOKUP("PCS-OzTL742",ARBOR!$A:$C,3,0)*-TRUNC(CU68/VLOOKUP("PCS-OzTL742",ARBOR!$A:$C,3,0)-1,4)),6))&lt;&gt;(DOLLAR(VLOOKUP("PCS-OzTL742",ARBOR!$A:$C,3,0),6)),-TRUNC(CU68/VLOOKUP("PCS-OzTL742",ARBOR!$A:$C,3,0)-1,4)+0.0001,-TRUNC(CU68/VLOOKUP("PCS-OzTL742",ARBOR!$A:$C,3,0)-1,4)))))</f>
        <v/>
      </c>
      <c r="CW68" s="28" t="str">
        <f>IF(ISERROR(IF(CV68="","",VLOOKUP(($BC68&amp;CV68&amp;"Template desconto FLAT Plano Principal Oi TV nível conta"),BENEFICIOS!$A:$G,5,0))),"Criar",IF(CV68="","",VLOOKUP(($BC68&amp;CV68&amp;"Template desconto FLAT Plano Principal Oi TV nível conta"),BENEFICIOS!$A:$G,5,0)))</f>
        <v/>
      </c>
      <c r="CX68" s="8"/>
      <c r="CY68" s="3" t="str">
        <f>IF(CX68=0,"",IF(CX68=VLOOKUP("PCS-OzTL747",ARBOR!$A:$C,3,0),0.0001,IF(CX68&gt;VLOOKUP("PCS-OzTL747",ARBOR!$A:$C,3,0),"Maior que CAP!",IF((DOLLAR(CX68+(VLOOKUP("PCS-OzTL747",ARBOR!$A:$C,3,0)*-TRUNC(CX68/VLOOKUP("PCS-OzTL747",ARBOR!$A:$C,3,0)-1,4)),6))&lt;&gt;(DOLLAR(VLOOKUP("PCS-OzTL747",ARBOR!$A:$C,3,0),6)),-TRUNC(CX68/VLOOKUP("PCS-OzTL747",ARBOR!$A:$C,3,0)-1,4)+0.0001,-TRUNC(CX68/VLOOKUP("PCS-OzTL747",ARBOR!$A:$C,3,0)-1,4)))))</f>
        <v/>
      </c>
      <c r="CZ68" s="28" t="str">
        <f>IF(ISERROR(IF(CY68="","",VLOOKUP(($BC68&amp;CY68&amp;"Template desconto FLAT Plano Principal Oi TV nível conta"),BENEFICIOS!$A:$G,5,0))),"Criar",IF(CY68="","",VLOOKUP(($BC68&amp;CY68&amp;"Template desconto FLAT Plano Principal Oi TV nível conta"),BENEFICIOS!$A:$G,5,0)))</f>
        <v/>
      </c>
      <c r="DA68" s="8"/>
      <c r="DB68" s="3" t="str">
        <f>IF(DA68=0,"",IF(DA68=VLOOKUP("PCS-OzTL746",ARBOR!$A:$C,3,0),0.0001,IF(DA68&gt;VLOOKUP("PCS-OzTL746",ARBOR!$A:$C,3,0),"Maior que CAP!",IF((DOLLAR(DA68+(VLOOKUP("PCS-OzTL746",ARBOR!$A:$C,3,0)*-TRUNC(DA68/VLOOKUP("PCS-OzTL746",ARBOR!$A:$C,3,0)-1,4)),6))&lt;&gt;(DOLLAR(VLOOKUP("PCS-OzTL746",ARBOR!$A:$C,3,0),6)),-TRUNC(DA68/VLOOKUP("PCS-OzTL746",ARBOR!$A:$C,3,0)-1,4)+0.0001,-TRUNC(DA68/VLOOKUP("PCS-OzTL746",ARBOR!$A:$C,3,0)-1,4)))))</f>
        <v/>
      </c>
      <c r="DC68" s="28" t="str">
        <f>IF(ISERROR(IF(DB68="","",VLOOKUP(($BC68&amp;DB68&amp;"Template desconto FLAT Plano Principal Oi TV nível conta"),BENEFICIOS!$A:$G,5,0))),"Criar",IF(DB68="","",VLOOKUP(($BC68&amp;DB68&amp;"Template desconto FLAT Plano Principal Oi TV nível conta"),BENEFICIOS!$A:$G,5,0)))</f>
        <v/>
      </c>
      <c r="DD68" s="8"/>
      <c r="DE68" s="3" t="str">
        <f>IF(DD68=0,"",IF(DD68=VLOOKUP("PCS-OzTL748",ARBOR!$A:$C,3,0),0.0001,IF(DD68&gt;VLOOKUP("PCS-OzTL748",ARBOR!$A:$C,3,0),"Maior que CAP!",IF((DOLLAR(DD68+(VLOOKUP("PCS-OzTL748",ARBOR!$A:$C,3,0)*-TRUNC(DD68/VLOOKUP("PCS-OzTL748",ARBOR!$A:$C,3,0)-1,4)),6))&lt;&gt;(DOLLAR(VLOOKUP("PCS-OzTL748",ARBOR!$A:$C,3,0),6)),-TRUNC(DD68/VLOOKUP("PCS-OzTL748",ARBOR!$A:$C,3,0)-1,4)+0.0001,-TRUNC(DD68/VLOOKUP("PCS-OzTL748",ARBOR!$A:$C,3,0)-1,4)))))</f>
        <v/>
      </c>
      <c r="DF68" s="28" t="str">
        <f>IF(ISERROR(IF(DE68="","",VLOOKUP(($BC68&amp;DE68&amp;"Template desconto FLAT Plano Principal Oi TV nível conta"),BENEFICIOS!$A:$G,5,0))),"Criar",IF(DE68="","",VLOOKUP(($BC68&amp;DE68&amp;"Template desconto FLAT Plano Principal Oi TV nível conta"),BENEFICIOS!$A:$G,5,0)))</f>
        <v/>
      </c>
      <c r="DG68" s="8"/>
      <c r="DH68" s="3" t="str">
        <f>IF(DG68=0,"",IF(DG68=VLOOKUP("PCS-OzTL34",ARBOR!$A:$C,3,0),0.0001,IF(DG68&gt;VLOOKUP("PCS-OzTL34",ARBOR!$A:$C,3,0),"Maior que CAP!",IF((DOLLAR(DG68+(VLOOKUP("PCS-OzTL34",ARBOR!$A:$C,3,0)*-TRUNC(DG68/VLOOKUP("PCS-OzTL34",ARBOR!$A:$C,3,0)-1,4)),6))&lt;&gt;(DOLLAR(VLOOKUP("PCS-OzTL34",ARBOR!$A:$C,3,0),6)),-TRUNC(DG68/VLOOKUP("PCS-OzTL34",ARBOR!$A:$C,3,0)-1,4)+0.0001,-TRUNC(DG68/VLOOKUP("PCS-OzTL34",ARBOR!$A:$C,3,0)-1,4)))))</f>
        <v/>
      </c>
      <c r="DI68" s="28" t="str">
        <f>IF(DH68="S/Desc","S/Desc",IF(ISERROR(IF(DH68="","",VLOOKUP(($BC68&amp;DH68&amp;"Template desconto % Combate nível conta"),BENEFICIOS!$A:$G,5,0))),"Criar",IF(DH68="","",VLOOKUP(($BC68&amp;DH68&amp;"Template desconto % Combate nível conta"),BENEFICIOS!$A:$G,5,0))))</f>
        <v/>
      </c>
      <c r="DJ68" s="8"/>
      <c r="DK68" s="3" t="str">
        <f>IF(DJ68=0,"",IF(DJ68=VLOOKUP("PCS-OzTL31",ARBOR!$A:$C,3,0),0.0001,IF(DJ68&gt;VLOOKUP("PCS-OzTL31",ARBOR!$A:$C,3,0),"Maior que CAP!",IF((DOLLAR(DJ68+(VLOOKUP("PCS-OzTL31",ARBOR!$A:$C,3,0)*-TRUNC(DJ68/VLOOKUP("PCS-OzTL31",ARBOR!$A:$C,3,0)-1,4)),6))&lt;&gt;(DOLLAR(VLOOKUP("PCS-OzTL31",ARBOR!$A:$C,3,0),6)),-TRUNC(DJ68/VLOOKUP("PCS-OzTL31",ARBOR!$A:$C,3,0)-1,4)+0.0001,-TRUNC(DJ68/VLOOKUP("PCS-OzTL31",ARBOR!$A:$C,3,0)-1,4)))))</f>
        <v/>
      </c>
      <c r="DL68" s="28" t="str">
        <f>IF(DK68="S/Desc","S/Desc",IF(ISERROR(IF(DK68="","",VLOOKUP(($BC68&amp;DK68&amp;"Template desconto % Sexy Hot nível conta"),BENEFICIOS!$A:$G,5,0))),"Criar",IF(DK68="","",VLOOKUP(($BC68&amp;DK68&amp;"Template desconto % Sexy Hot nível conta"),BENEFICIOS!$A:$G,5,0))))</f>
        <v/>
      </c>
      <c r="DM68" s="8"/>
      <c r="DN68" s="3" t="str">
        <f>IF(DM68=0,"",IF(DM68=VLOOKUP("PCS-OzTL32",ARBOR!$A:$C,3,0),0.0001,IF(DM68&gt;VLOOKUP("PCS-OzTL32",ARBOR!$A:$C,3,0),"Maior que CAP!",IF((DOLLAR(DM68+(VLOOKUP("PCS-OzTL32",ARBOR!$A:$C,3,0)*-TRUNC(DM68/VLOOKUP("PCS-OzTL32",ARBOR!$A:$C,3,0)-1,4)),6))&lt;&gt;(DOLLAR(VLOOKUP("PCS-OzTL32",ARBOR!$A:$C,3,0),6)),-TRUNC(DM68/VLOOKUP("PCS-OzTL32",ARBOR!$A:$C,3,0)-1,4)+0.0001,-TRUNC(DM68/VLOOKUP("PCS-OzTL32",ARBOR!$A:$C,3,0)-1,4)))))</f>
        <v/>
      </c>
      <c r="DO68" s="28" t="str">
        <f>IF(DN68="S/Desc","S/Desc",IF(ISERROR(IF(DN68="","",VLOOKUP(($BC68&amp;DN68&amp;"Template desconto % Playboy nível conta"),BENEFICIOS!$A:$G,5,0))),"Criar",IF(DN68="","",VLOOKUP(($BC68&amp;DN68&amp;"Template desconto % Playboy nível conta"),BENEFICIOS!$A:$G,5,0))))</f>
        <v/>
      </c>
      <c r="DP68" s="8"/>
      <c r="DQ68" s="3" t="str">
        <f>IF(DP68=0,"",IF(DP68=VLOOKUP("PCS-OzTL33",ARBOR!$A:$C,3,0),0.0001,IF(DP68&gt;VLOOKUP("PCS-OzTL33",ARBOR!$A:$C,3,0),"Maior que CAP!",IF((DOLLAR(DP68+(VLOOKUP("PCS-OzTL33",ARBOR!$A:$C,3,0)*-TRUNC(DP68/VLOOKUP("PCS-OzTL33",ARBOR!$A:$C,3,0)-1,4)),6))&lt;&gt;(DOLLAR(VLOOKUP("PCS-OzTL33",ARBOR!$A:$C,3,0),6)),-TRUNC(DP68/VLOOKUP("PCS-OzTL33",ARBOR!$A:$C,3,0)-1,4)+0.0001,-TRUNC(DP68/VLOOKUP("PCS-OzTL33",ARBOR!$A:$C,3,0)-1,4)))))</f>
        <v/>
      </c>
      <c r="DR68" s="28" t="str">
        <f>IF(DQ68="S/Desc","S/Desc",IF(ISERROR(IF(DQ68="","",VLOOKUP(($BC68&amp;DQ68&amp;"Template desconto % Sexy Hot + Playboy nível conta"),BENEFICIOS!$A:$G,5,0))),"Criar",IF(DQ68="","",VLOOKUP(($BC68&amp;DQ68&amp;"Template desconto % Sexy Hot + Playboy nível conta"),BENEFICIOS!$A:$G,5,0))))</f>
        <v/>
      </c>
      <c r="DS68" s="8"/>
      <c r="DT68" s="3" t="str">
        <f>IF(DS68=0,"",IF(DS68=VLOOKUP("PCS-OzTL503",ARBOR!$A:$C,3,0),0.0001,IF(DS68&gt;VLOOKUP("PCS-OzTL503",ARBOR!$A:$C,3,0),"Maior que CAP!",IF((DOLLAR(DS68+(VLOOKUP("PCS-OzTL503",ARBOR!$A:$C,3,0)*-TRUNC(DS68/VLOOKUP("PCS-OzTL503",ARBOR!$A:$C,3,0)-1,4)),6))&lt;&gt;(DOLLAR(VLOOKUP("PCS-OzTL503",ARBOR!$A:$C,3,0),6)),-TRUNC(DS68/VLOOKUP("PCS-OzTL503",ARBOR!$A:$C,3,0)-1,4)+0.0001,-TRUNC(DS68/VLOOKUP("PCS-OzTL503",ARBOR!$A:$C,3,0)-1,4)))))</f>
        <v/>
      </c>
      <c r="DU68" s="28" t="str">
        <f>IF(DT68="S/Desc","S/Desc",IF(ISERROR(IF(DT68="","",VLOOKUP(($BC68&amp;DT68&amp;"Template desconto % SexPrivê nível conta"),BENEFICIOS!$A:$G,5,0))),"Criar",IF(DT68="","",VLOOKUP(($BC68&amp;DT68&amp;"Template desconto % SexPrivê nível conta"),BENEFICIOS!$A:$G,5,0))))</f>
        <v/>
      </c>
      <c r="DV68" s="8"/>
      <c r="DW68" s="3" t="str">
        <f>IF(DV68=0,"",IF(DV68=VLOOKUP("PCS-OzTL500",ARBOR!$A:$C,3,0),0.0001,IF(DV68&gt;VLOOKUP("PCS-OzTL500",ARBOR!$A:$C,3,0),"Maior que CAP!",IF((DOLLAR(DV68+(VLOOKUP("PCS-OzTL500",ARBOR!$A:$C,3,0)*-TRUNC(DV68/VLOOKUP("PCS-OzTL500",ARBOR!$A:$C,3,0)-1,4)),6))&lt;&gt;(DOLLAR(VLOOKUP("PCS-OzTL500",ARBOR!$A:$C,3,0),6)),-TRUNC(DV68/VLOOKUP("PCS-OzTL500",ARBOR!$A:$C,3,0)-1,4)+0.0001,-TRUNC(DV68/VLOOKUP("PCS-OzTL500",ARBOR!$A:$C,3,0)-1,4)))))</f>
        <v/>
      </c>
      <c r="DX68" s="28" t="str">
        <f>IF(DW68="S/Desc","S/Desc",IF(ISERROR(IF(DW68="","",VLOOKUP(($BC68&amp;DW68&amp;"Template desconto % Étnico nível conta"),BENEFICIOS!$A:$G,5,0))),"Criar",IF(DW68="","",VLOOKUP(($BC68&amp;DW68&amp;"Template desconto % Étnico nível conta"),BENEFICIOS!$A:$G,5,0))))</f>
        <v/>
      </c>
      <c r="DY68" s="8"/>
      <c r="DZ68" s="181" t="str">
        <f>IF(DY68=0,"",IF(DY68=VLOOKUP("PCS-OzTL50",ARBOR!$A:$C,3,0),0.0001,IF(DY68&gt;VLOOKUP("PCS-OzTL50",ARBOR!$A:$C,3,0),"Maior que CAP!",IF((DOLLAR(DY68+(VLOOKUP("PCS-OzTL50",ARBOR!$A:$C,3,0)*-TRUNC(DY68/VLOOKUP("PCS-OzTL50",ARBOR!$A:$C,3,0)-1,4)),6))&lt;&gt;(DOLLAR(VLOOKUP("PCS-OzTL50",ARBOR!$A:$C,3,0),6)),-TRUNC(DY68/VLOOKUP("PCS-OzTL50",ARBOR!$A:$C,3,0)-1,4)+0.0001,-TRUNC(DY68/VLOOKUP("PCS-OzTL50",ARBOR!$A:$C,3,0)-1,4)))))</f>
        <v/>
      </c>
      <c r="EA68" s="28"/>
      <c r="EB68" s="8"/>
      <c r="EC68" s="181" t="str">
        <f>IF(EB68=0,"",IF(EB68=VLOOKUP("PCS-OzTL51",ARBOR!$A:$C,3,0),0.0001,IF(EB68&gt;VLOOKUP("PCS-OzTL51",ARBOR!$A:$C,3,0),"Maior que CAP!",IF((DOLLAR(EB68+(VLOOKUP("PCS-OzTL51",ARBOR!$A:$C,3,0)*-TRUNC(EB68/VLOOKUP("PCS-OzTL51",ARBOR!$A:$C,3,0)-1,4)),6))&lt;&gt;(DOLLAR(VLOOKUP("PCS-OzTL51",ARBOR!$A:$C,3,0),6)),-TRUNC(EB68/VLOOKUP("PCS-OzTL51",ARBOR!$A:$C,3,0)-1,4)+0.0001,-TRUNC(EB68/VLOOKUP("PCS-OzTL51",ARBOR!$A:$C,3,0)-1,4)))))</f>
        <v/>
      </c>
      <c r="ED68" s="28"/>
      <c r="EE68" s="8"/>
      <c r="EF68" s="181" t="str">
        <f>IF(EE68=0,"",IF(EE68=VLOOKUP("PCS-OzTL52",ARBOR!$A:$C,3,0),0.0001,IF(EE68&gt;VLOOKUP("PCS-OzTL52",ARBOR!$A:$C,3,0),"Maior que CAP!",IF((DOLLAR(EE68+(VLOOKUP("PCS-OzTL52",ARBOR!$A:$C,3,0)*-TRUNC(EE68/VLOOKUP("PCS-OzTL52",ARBOR!$A:$C,3,0)-1,4)),6))&lt;&gt;(DOLLAR(VLOOKUP("PCS-OzTL52",ARBOR!$A:$C,3,0),6)),-TRUNC(EE68/VLOOKUP("PCS-OzTL52",ARBOR!$A:$C,3,0)-1,4)+0.0001,-TRUNC(EE68/VLOOKUP("PCS-OzTL52",ARBOR!$A:$C,3,0)-1,4)))))</f>
        <v/>
      </c>
      <c r="EG68" s="28"/>
      <c r="EH68" s="8"/>
      <c r="EI68" s="181" t="str">
        <f>IF(EH68=0,"",IF(EH68=VLOOKUP("PCS-OzTL53",ARBOR!$A:$C,3,0),0.0001,IF(EH68&gt;VLOOKUP("PCS-OzTL53",ARBOR!$A:$C,3,0),"Maior que CAP!",IF((DOLLAR(EH68+(VLOOKUP("PCS-OzTL53",ARBOR!$A:$C,3,0)*-TRUNC(EH68/VLOOKUP("PCS-OzTL53",ARBOR!$A:$C,3,0)-1,4)),6))&lt;&gt;(DOLLAR(VLOOKUP("PCS-OzTL53",ARBOR!$A:$C,3,0),6)),-TRUNC(EH68/VLOOKUP("PCS-OzTL53",ARBOR!$A:$C,3,0)-1,4)+0.0001,-TRUNC(EH68/VLOOKUP("PCS-OzTL53",ARBOR!$A:$C,3,0)-1,4)))))</f>
        <v/>
      </c>
      <c r="EJ68" s="28"/>
      <c r="EK68" s="8"/>
      <c r="EL68" s="181" t="str">
        <f>IF(EK68=0,"",IF(EK68=VLOOKUP("PCS-OzTL54",ARBOR!$A:$C,3,0),0.0001,IF(EK68&gt;VLOOKUP("PCS-OzTL54",ARBOR!$A:$C,3,0),"Maior que CAP!",IF((DOLLAR(EK68+(VLOOKUP("PCS-OzTL54",ARBOR!$A:$C,3,0)*-TRUNC(EK68/VLOOKUP("PCS-OzTL54",ARBOR!$A:$C,3,0)-1,4)),6))&lt;&gt;(DOLLAR(VLOOKUP("PCS-OzTL54",ARBOR!$A:$C,3,0),6)),-TRUNC(EK68/VLOOKUP("PCS-OzTL54",ARBOR!$A:$C,3,0)-1,4)+0.0001,-TRUNC(EK68/VLOOKUP("PCS-OzTL54",ARBOR!$A:$C,3,0)-1,4)))))</f>
        <v/>
      </c>
      <c r="EM68" s="28"/>
      <c r="EN68" s="8"/>
      <c r="EO68" s="3" t="str">
        <f>IF(EN68=0,"",IF(EN68=VLOOKUP("PCS-OzTL99",ARBOR!$A:$C,3,0),0.0001,IF(EN68&gt;VLOOKUP("PCS-OzTL99",ARBOR!$A:$C,3,0),"Maior que CAP!",IF((DOLLAR(EN68+(VLOOKUP("PCS-OzTL99",ARBOR!$A:$C,3,0)*-TRUNC(EN68/VLOOKUP("PCS-OzTL99",ARBOR!$A:$C,3,0)-1,4)),6))&lt;&gt;(DOLLAR(VLOOKUP("PCS-OzTL99",ARBOR!$A:$C,3,0),6)),-TRUNC(EN68/VLOOKUP("PCS-OzTL99",ARBOR!$A:$C,3,0)-1,4)+0.0001,-TRUNC(EN68/VLOOKUP("PCS-OzTL99",ARBOR!$A:$C,3,0)-1,4)))))</f>
        <v/>
      </c>
      <c r="EP68" s="28" t="str">
        <f>IF(EO68="S/Desc","S/Desc",IF(ISERROR(IF(EO68="","",VLOOKUP(($BC68&amp;EO68&amp;"Template desconto % Ponto adicional nível conta"),BENEFICIOS!$A:$G,5,0))),"Criar",IF(EO68="","",VLOOKUP(($BC68&amp;EO68&amp;"Template desconto % Ponto adicional nível conta"),BENEFICIOS!$A:$G,5,0))))</f>
        <v/>
      </c>
      <c r="EQ68" s="8"/>
      <c r="ER68" s="28" t="str">
        <f t="shared" si="23"/>
        <v/>
      </c>
      <c r="ES68" s="62"/>
      <c r="ET68" s="126"/>
      <c r="EU68" s="127"/>
      <c r="EV68" s="126"/>
      <c r="EW68" s="128" t="str">
        <f t="shared" si="24"/>
        <v/>
      </c>
      <c r="EX68" s="129" t="str">
        <f t="shared" si="25"/>
        <v/>
      </c>
      <c r="EY68" s="91" t="str">
        <f t="shared" si="26"/>
        <v/>
      </c>
      <c r="EZ68" s="85"/>
      <c r="FA68" s="97"/>
      <c r="FB68" s="91"/>
      <c r="FC68" s="85"/>
      <c r="FD68" s="97"/>
      <c r="FE68" s="91"/>
      <c r="FF68" s="87"/>
      <c r="FG68" s="144" t="str">
        <f t="shared" ref="FG68:FG82" si="27">IF($BH68="","",$BH68+$BE68)</f>
        <v/>
      </c>
      <c r="FH68" s="144" t="str">
        <f t="shared" ref="FH68:FH82" si="28">IF($BK68="","",$BK68+$BE68)</f>
        <v/>
      </c>
      <c r="FI68" s="144" t="str">
        <f t="shared" ref="FI68:FI82" si="29">IF($BN68="","",$BN68+$BE68)</f>
        <v/>
      </c>
      <c r="FJ68" s="144" t="str">
        <f t="shared" ref="FJ68:FJ82" si="30">IF($BQ68="","",$BQ68+$BE68)</f>
        <v/>
      </c>
      <c r="FK68" s="144" t="str">
        <f t="shared" ref="FK68:FK82" si="31">IF($BT68="","",$BT68+$BE68)</f>
        <v/>
      </c>
      <c r="FL68" s="144" t="str">
        <f t="shared" ref="FL68:FL82" si="32">IF($BW68="","",$BW68+$BE68)</f>
        <v/>
      </c>
      <c r="FM68" s="144" t="str">
        <f t="shared" ref="FM68:FM82" si="33">IF($BZ68="","",$BZ68+$BE68)</f>
        <v/>
      </c>
      <c r="FN68" s="144" t="str">
        <f t="shared" ref="FN68:FN82" si="34">IF($CC68="","",$CC68+$BE68)</f>
        <v/>
      </c>
      <c r="FO68" s="144" t="str">
        <f t="shared" ref="FO68:FO82" si="35">IF($CF68="","",$CF68+$BE68)</f>
        <v/>
      </c>
      <c r="FP68" s="144" t="str">
        <f t="shared" ref="FP68:FP82" si="36">IF($CI68="","",$CI68+$BE68)</f>
        <v/>
      </c>
      <c r="FQ68" s="144" t="str">
        <f t="shared" ref="FQ68:FQ82" si="37">IF($CL68="","",$CL68+$BE68)</f>
        <v/>
      </c>
      <c r="FR68" s="144" t="str">
        <f t="shared" ref="FR68:FR82" si="38">IF($CO68="","",$CO68+$BE68)</f>
        <v/>
      </c>
      <c r="FS68" s="144" t="str">
        <f t="shared" ref="FS68:FS82" si="39">IF($CR68="","",$CR68+$BE68)</f>
        <v/>
      </c>
      <c r="FT68" s="144" t="str">
        <f t="shared" ref="FT68:FT82" si="40">IF($CU68="","",$CU68+$BE68)</f>
        <v/>
      </c>
      <c r="FU68" s="144" t="str">
        <f t="shared" ref="FU68:FU82" si="41">IF($CX68="","",$CX68+$BE68)</f>
        <v/>
      </c>
      <c r="FV68" s="144" t="str">
        <f t="shared" ref="FV68:FV82" si="42">IF($DA68="","",$DA68+$BE68)</f>
        <v/>
      </c>
      <c r="FW68" s="144" t="str">
        <f t="shared" ref="FW68:FW82" si="43">IF($DD68="","",$DD68+$BE68)</f>
        <v/>
      </c>
      <c r="FX68" s="151"/>
      <c r="FY68" s="152"/>
      <c r="FZ68" s="152"/>
      <c r="GA68" s="152"/>
      <c r="GB68" s="152"/>
      <c r="GC68" s="152"/>
      <c r="GD68" s="152"/>
      <c r="GE68" s="152"/>
      <c r="GF68" s="152"/>
      <c r="GG68" s="153"/>
    </row>
    <row r="69" spans="1:189">
      <c r="A69" s="45"/>
      <c r="B69" s="133"/>
      <c r="C69" s="133"/>
      <c r="D69" s="46"/>
      <c r="E69" s="4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9"/>
      <c r="U69" s="48"/>
      <c r="V69" s="49"/>
      <c r="W69" s="48"/>
      <c r="X69" s="48"/>
      <c r="Y69" s="48"/>
      <c r="Z69" s="48"/>
      <c r="AA69" s="49"/>
      <c r="AB69" s="48"/>
      <c r="AC69" s="50"/>
      <c r="AD69" s="48"/>
      <c r="AE69" s="48"/>
      <c r="AF69" s="48"/>
      <c r="AG69" s="48"/>
      <c r="AH69" s="48"/>
      <c r="AI69" s="48"/>
      <c r="AJ69" s="48"/>
      <c r="AK69" s="48"/>
      <c r="AL69" s="51"/>
      <c r="AM69" s="37"/>
      <c r="AN69" s="38"/>
      <c r="AO69" s="39"/>
      <c r="AP69" s="52"/>
      <c r="AQ69" s="53"/>
      <c r="AR69" s="64"/>
      <c r="AS69" s="65"/>
      <c r="AT69" s="54"/>
      <c r="AU69" s="54"/>
      <c r="AV69" s="54"/>
      <c r="AW69" s="54"/>
      <c r="AX69" s="70"/>
      <c r="AY69" s="71"/>
      <c r="AZ69" s="72"/>
      <c r="BA69" s="73"/>
      <c r="BB69" s="55"/>
      <c r="BC69" s="56"/>
      <c r="BD69" s="27" t="str">
        <f t="shared" si="22"/>
        <v/>
      </c>
      <c r="BE69" s="58"/>
      <c r="BF69" s="3" t="str">
        <f>IF(BE69=0,"",IF(BE69=VLOOKUP("FIXO",ARBOR!$A:$C,3,0),0.0001,IF(BE69&gt;VLOOKUP("FIXO",ARBOR!$A:$C,3,0),"Maior que CAP!",IF((DOLLAR(BE69+(VLOOKUP("FIXO",ARBOR!$A:$C,3,0)*-TRUNC(BE69/VLOOKUP("FIXO",ARBOR!$A:$C,3,0)-1,4)),6))&lt;&gt;(DOLLAR(VLOOKUP("FIXO",ARBOR!$A:$C,3,0),6)),-TRUNC(BE69/VLOOKUP("FIXO",ARBOR!$A:$C,3,0)-1,4)+0.0001,-TRUNC(BE69/VLOOKUP("FIXO",ARBOR!$A:$C,3,0)-1,4)))))</f>
        <v/>
      </c>
      <c r="BG69" s="10" t="str">
        <f>IF(ISERROR(IF(BF69="","",VLOOKUP(($BC69&amp;BF69&amp;"Template de desconto FLAT bundle - Fixo - Varejo - Ganho Tributário Cross"),BENEFICIOS!$A:$G,5,0))),"Criar",IF(BF69="","",VLOOKUP(($BC69&amp;BF69&amp;"Template de desconto FLAT bundle - Fixo - Varejo - Ganho Tributário Cross"),BENEFICIOS!$A:$G,5,0)))</f>
        <v/>
      </c>
      <c r="BH69" s="8"/>
      <c r="BI69" s="3" t="str">
        <f>IF(BH69=0,"",IF(BH69=VLOOKUP("PCS-OzTL40",ARBOR!$A:$C,3,0),0.0001,IF(BH69&gt;VLOOKUP("PCS-OzTL40",ARBOR!$A:$C,3,0),"Maior que CAP!",IF((DOLLAR(BH69+(VLOOKUP("PCS-OzTL40",ARBOR!$A:$C,3,0)*-TRUNC(BH69/VLOOKUP("PCS-OzTL40",ARBOR!$A:$C,3,0)-1,4)),6))&lt;&gt;(DOLLAR(VLOOKUP("PCS-OzTL40",ARBOR!$A:$C,3,0),6)),-TRUNC(BH69/VLOOKUP("PCS-OzTL40",ARBOR!$A:$C,3,0)-1,4)+0.0001,-TRUNC(BH69/VLOOKUP("PCS-OzTL40",ARBOR!$A:$C,3,0)-1,4)))))</f>
        <v/>
      </c>
      <c r="BJ69" s="10" t="str">
        <f>IF(ISERROR(IF(BI69="","",VLOOKUP((BC69&amp;BI69&amp;"Template desconto FLAT Plano Principal Oi TV nível conta"),BENEFICIOS!$A:$G,5,0))),"Criar",IF(BI69="","",VLOOKUP((BC69&amp;BI69&amp;"Template desconto FLAT Plano Principal Oi TV nível conta"),BENEFICIOS!$A:$G,5,0)))</f>
        <v/>
      </c>
      <c r="BK69" s="8"/>
      <c r="BL69" s="3" t="str">
        <f>IF(BK69=0,"",IF(BK69=VLOOKUP("PCS-OzTL41",ARBOR!$A:$C,3,0),0.0001,IF(BK69&gt;VLOOKUP("PCS-OzTL41",ARBOR!$A:$C,3,0),"Maior que CAP!",IF((DOLLAR(BK69+(VLOOKUP("PCS-OzTL41",ARBOR!$A:$C,3,0)*-TRUNC(BK69/VLOOKUP("PCS-OzTL41",ARBOR!$A:$C,3,0)-1,4)),6))&lt;&gt;(DOLLAR(VLOOKUP("PCS-OzTL41",ARBOR!$A:$C,3,0),6)),-TRUNC(BK69/VLOOKUP("PCS-OzTL41",ARBOR!$A:$C,3,0)-1,4)+0.0001,-TRUNC(BK69/VLOOKUP("PCS-OzTL41",ARBOR!$A:$C,3,0)-1,4)))))</f>
        <v/>
      </c>
      <c r="BM69" s="28" t="str">
        <f>IF(ISERROR(IF(BL69="","",VLOOKUP((BC69&amp;BL69&amp;"Template desconto FLAT Plano Principal Oi TV nível conta"),BENEFICIOS!$A:$G,5,0))),"Criar",IF(BL69="","",VLOOKUP((BC69&amp;BL69&amp;"Template desconto FLAT Plano Principal Oi TV nível conta"),BENEFICIOS!$A:$G,5,0)))</f>
        <v/>
      </c>
      <c r="BN69" s="8"/>
      <c r="BO69" s="3" t="str">
        <f>IF(BN69=0,"",IF(BN69=VLOOKUP("PCS-OzTL44",ARBOR!$A:$C,3,0),0.0001,IF(BN69&gt;VLOOKUP("PCS-OzTL44",ARBOR!$A:$C,3,0),"Maior que CAP!",IF((DOLLAR(BN69+(VLOOKUP("PCS-OzTL44",ARBOR!$A:$C,3,0)*-TRUNC(BN69/VLOOKUP("PCS-OzTL44",ARBOR!$A:$C,3,0)-1,4)),6))&lt;&gt;(DOLLAR(VLOOKUP("PCS-OzTL44",ARBOR!$A:$C,3,0),6)),-TRUNC(BN69/VLOOKUP("PCS-OzTL44",ARBOR!$A:$C,3,0)-1,4)+0.0001,-TRUNC(BN69/VLOOKUP("PCS-OzTL44",ARBOR!$A:$C,3,0)-1,4)))))</f>
        <v/>
      </c>
      <c r="BP69" s="28" t="str">
        <f>IF(ISERROR(IF(BO69="","",VLOOKUP((BC69&amp;BO69&amp;"Template desconto FLAT Plano Principal Oi TV nível conta"),BENEFICIOS!$A:$G,5,0))),"Criar",IF(BO69="","",VLOOKUP((BC69&amp;BO69&amp;"Template desconto FLAT Plano Principal Oi TV nível conta"),BENEFICIOS!$A:$G,5,0)))</f>
        <v/>
      </c>
      <c r="BQ69" s="8"/>
      <c r="BR69" s="3" t="str">
        <f>IF(BQ69=0,"",IF(BQ69=VLOOKUP("PCS-OzTL43",ARBOR!$A:$C,3,0),0.0001,IF(BQ69&gt;VLOOKUP("PCS-OzTL43",ARBOR!$A:$C,3,0),"Maior que CAP!",IF((DOLLAR(BQ69+(VLOOKUP("PCS-OzTL43",ARBOR!$A:$C,3,0)*-TRUNC(BQ69/VLOOKUP("PCS-OzTL43",ARBOR!$A:$C,3,0)-1,4)),6))&lt;&gt;(DOLLAR(VLOOKUP("PCS-OzTL43",ARBOR!$A:$C,3,0),6)),-TRUNC(BQ69/VLOOKUP("PCS-OzTL43",ARBOR!$A:$C,3,0)-1,4)+0.0001,-TRUNC(BQ69/VLOOKUP("PCS-OzTL43",ARBOR!$A:$C,3,0)-1,4)))))</f>
        <v/>
      </c>
      <c r="BS69" s="28" t="str">
        <f>IF(ISERROR(IF(BR69="","",VLOOKUP((BC69&amp;BR69&amp;"Template desconto FLAT Plano Principal Oi TV nível conta"),BENEFICIOS!$A:$G,5,0))),"Criar",IF(BR69="","",VLOOKUP((BC69&amp;BR69&amp;"Template desconto FLAT Plano Principal Oi TV nível conta"),BENEFICIOS!$A:$G,5,0)))</f>
        <v/>
      </c>
      <c r="BT69" s="8"/>
      <c r="BU69" s="3" t="str">
        <f>IF(BT69=0,"",IF(BT69=VLOOKUP("PCS-OzTL45",ARBOR!$A:$C,3,0),0.0001,IF(BT69&gt;VLOOKUP("PCS-OzTL45",ARBOR!$A:$C,3,0),"Maior que CAP!",IF((DOLLAR(BT69+(VLOOKUP("PCS-OzTL45",ARBOR!$A:$C,3,0)*-TRUNC(BT69/VLOOKUP("PCS-OzTL45",ARBOR!$A:$C,3,0)-1,4)),6))&lt;&gt;(DOLLAR(VLOOKUP("PCS-OzTL45",ARBOR!$A:$C,3,0),6)),-TRUNC(BT69/VLOOKUP("PCS-OzTL45",ARBOR!$A:$C,3,0)-1,4)+0.0001,-TRUNC(BT69/VLOOKUP("PCS-OzTL45",ARBOR!$A:$C,3,0)-1,4)))))</f>
        <v/>
      </c>
      <c r="BV69" s="28" t="str">
        <f>IF(ISERROR(IF(BU69="","",VLOOKUP((BC69&amp;BU69&amp;"Template desconto FLAT Plano Principal Oi TV nível conta"),BENEFICIOS!$A:$G,5,0))),"Criar",IF(BU69="","",VLOOKUP((BC69&amp;BU69&amp;"Template desconto FLAT Plano Principal Oi TV nível conta"),BENEFICIOS!$A:$G,5,0)))</f>
        <v/>
      </c>
      <c r="BW69" s="8"/>
      <c r="BX69" s="3" t="str">
        <f>IF(BW69=0,"",IF(BW69=VLOOKUP("PCS-OzTL741",ARBOR!$A:$C,3,0),0.0001,IF(BW69&gt;VLOOKUP("PCS-OzTL741",ARBOR!$A:$C,3,0),"Maior que CAP!",IF((DOLLAR(BW69+(VLOOKUP("PCS-OzTL741",ARBOR!$A:$C,3,0)*-TRUNC(BW69/VLOOKUP("PCS-OzTL741",ARBOR!$A:$C,3,0)-1,4)),6))&lt;&gt;(DOLLAR(VLOOKUP("PCS-OzTL741",ARBOR!$A:$C,3,0),6)),-TRUNC(BW69/VLOOKUP("PCS-OzTL741",ARBOR!$A:$C,3,0)-1,4)+0.0001,-TRUNC(BW69/VLOOKUP("PCS-OzTL741",ARBOR!$A:$C,3,0)-1,4)))))</f>
        <v/>
      </c>
      <c r="BY69" s="28" t="str">
        <f>IF(ISERROR(IF(BX69="","",VLOOKUP((BC69&amp;BX69&amp;"Template desconto FLAT Plano Principal Oi TV nível conta"),BENEFICIOS!$A:$G,5,0))),"Criar",IF(BX69="","",VLOOKUP((BC69&amp;BX69&amp;"Template desconto FLAT Plano Principal Oi TV nível conta"),BENEFICIOS!$A:$G,5,0)))</f>
        <v/>
      </c>
      <c r="BZ69" s="8"/>
      <c r="CA69" s="3" t="str">
        <f>IF(BZ69=0,"",IF(BZ69=VLOOKUP("PCS-OzTL744",ARBOR!$A:$C,3,0),0.0001,IF(BZ69&gt;VLOOKUP("PCS-OzTL744",ARBOR!$A:$C,3,0),"Maior que CAP!",IF((DOLLAR(BZ69+(VLOOKUP("PCS-OzTL744",ARBOR!$A:$C,3,0)*-TRUNC(BZ69/VLOOKUP("PCS-OzTL744",ARBOR!$A:$C,3,0)-1,4)),6))&lt;&gt;(DOLLAR(VLOOKUP("PCS-OzTL744",ARBOR!$A:$C,3,0),6)),-TRUNC(BZ69/VLOOKUP("PCS-OzTL744",ARBOR!$A:$C,3,0)-1,4)+0.0001,-TRUNC(BZ69/VLOOKUP("PCS-OzTL744",ARBOR!$A:$C,3,0)-1,4)))))</f>
        <v/>
      </c>
      <c r="CB69" s="28" t="str">
        <f>IF(ISERROR(IF(CA69="","",VLOOKUP(($BC69&amp;CA69&amp;"Template desconto FLAT Plano Principal Oi TV nível conta"),BENEFICIOS!$A:$G,5,0))),"Criar",IF(CA69="","",VLOOKUP(($BC69&amp;CA69&amp;"Template desconto FLAT Plano Principal Oi TV nível conta"),BENEFICIOS!$A:$G,5,0)))</f>
        <v/>
      </c>
      <c r="CC69" s="8"/>
      <c r="CD69" s="3" t="str">
        <f>IF(CC69=0,"",IF(CC69=VLOOKUP("PCS-OzTL743",ARBOR!$A:$C,3,0),0.0001,IF(CC69&gt;VLOOKUP("PCS-OzTL743",ARBOR!$A:$C,3,0),"Maior que CAP!",IF((DOLLAR(CC69+(VLOOKUP("PCS-OzTL743",ARBOR!$A:$C,3,0)*-TRUNC(CC69/VLOOKUP("PCS-OzTL743",ARBOR!$A:$C,3,0)-1,4)),6))&lt;&gt;(DOLLAR(VLOOKUP("PCS-OzTL743",ARBOR!$A:$C,3,0),6)),-TRUNC(CC69/VLOOKUP("PCS-OzTL743",ARBOR!$A:$C,3,0)-1,4)+0.0001,-TRUNC(CC69/VLOOKUP("PCS-OzTL743",ARBOR!$A:$C,3,0)-1,4)))))</f>
        <v/>
      </c>
      <c r="CE69" s="28" t="str">
        <f>IF(ISERROR(IF(CD69="","",VLOOKUP(($BC69&amp;CD69&amp;"Template desconto FLAT Plano Principal Oi TV nível conta"),BENEFICIOS!$A:$G,5,0))),"Criar",IF(CD69="","",VLOOKUP(($BC69&amp;CD69&amp;"Template desconto FLAT Plano Principal Oi TV nível conta"),BENEFICIOS!$A:$G,5,0)))</f>
        <v/>
      </c>
      <c r="CF69" s="8"/>
      <c r="CG69" s="3" t="str">
        <f>IF(CF69=0,"",IF(CF69=VLOOKUP("PCS-OzTL745",ARBOR!$A:$C,3,0),0.0001,IF(CF69&gt;VLOOKUP("PCS-OzTL745",ARBOR!$A:$C,3,0),"Maior que CAP!",IF((DOLLAR(CF69+(VLOOKUP("PCS-OzTL745",ARBOR!$A:$C,3,0)*-TRUNC(CF69/VLOOKUP("PCS-OzTL745",ARBOR!$A:$C,3,0)-1,4)),6))&lt;&gt;(DOLLAR(VLOOKUP("PCS-OzTL745",ARBOR!$A:$C,3,0),6)),-TRUNC(CF69/VLOOKUP("PCS-OzTL745",ARBOR!$A:$C,3,0)-1,4)+0.0001,-TRUNC(CF69/VLOOKUP("PCS-OzTL745",ARBOR!$A:$C,3,0)-1,4)))))</f>
        <v/>
      </c>
      <c r="CH69" s="28" t="str">
        <f>IF(ISERROR(IF(CG69="","",VLOOKUP(($BC69&amp;CG69&amp;"Template desconto FLAT Plano Principal Oi TV nível conta"),BENEFICIOS!$A:$G,5,0))),"Criar",IF(CG69="","",VLOOKUP(($BC69&amp;CG69&amp;"Template desconto FLAT Plano Principal Oi TV nível conta"),BENEFICIOS!$A:$G,5,0)))</f>
        <v/>
      </c>
      <c r="CI69" s="8"/>
      <c r="CJ69" s="3" t="str">
        <f>IF(CI69=0,"",IF(CI69=VLOOKUP("PCS-OzTL42",ARBOR!$A:$C,3,0),0.0001,IF(CI69&gt;VLOOKUP("PCS-OzTL42",ARBOR!$A:$C,3,0),"Maior que CAP!",IF((DOLLAR(CI69+(VLOOKUP("PCS-OzTL42",ARBOR!$A:$C,3,0)*-TRUNC(CI69/VLOOKUP("PCS-OzTL42",ARBOR!$A:$C,3,0)-1,4)),6))&lt;&gt;(DOLLAR(VLOOKUP("PCS-OzTL42",ARBOR!$A:$C,3,0),6)),-TRUNC(CI69/VLOOKUP("PCS-OzTL42",ARBOR!$A:$C,3,0)-1,4)+0.0001,-TRUNC(CI69/VLOOKUP("PCS-OzTL42",ARBOR!$A:$C,3,0)-1,4)))))</f>
        <v/>
      </c>
      <c r="CK69" s="28" t="str">
        <f>IF(ISERROR(IF(CJ69="","",VLOOKUP(($BC69&amp;CJ69&amp;"Template desconto FLAT Plano Principal Oi TV nível conta"),BENEFICIOS!$A:$G,5,0))),"Criar",IF(CJ69="","",VLOOKUP(($BC69&amp;CJ69&amp;"Template desconto FLAT Plano Principal Oi TV nível conta"),BENEFICIOS!$A:$G,5,0)))</f>
        <v/>
      </c>
      <c r="CL69" s="8"/>
      <c r="CM69" s="3" t="str">
        <f>IF(CL69=0,"",IF(CL69=VLOOKUP("PCS-OzTL47",ARBOR!$A:$C,3,0),0.0001,IF(CL69&gt;VLOOKUP("PCS-OzTL47",ARBOR!$A:$C,3,0),"Maior que CAP!",IF((DOLLAR(CL69+(VLOOKUP("PCS-OzTL47",ARBOR!$A:$C,3,0)*-TRUNC(CL69/VLOOKUP("PCS-OzTL47",ARBOR!$A:$C,3,0)-1,4)),6))&lt;&gt;(DOLLAR(VLOOKUP("PCS-OzTL47",ARBOR!$A:$C,3,0),6)),-TRUNC(CL69/VLOOKUP("PCS-OzTL47",ARBOR!$A:$C,3,0)-1,4)+0.0001,-TRUNC(CL69/VLOOKUP("PCS-OzTL47",ARBOR!$A:$C,3,0)-1,4)))))</f>
        <v/>
      </c>
      <c r="CN69" s="28" t="str">
        <f>IF(ISERROR(IF(CM69="","",VLOOKUP(($BC69&amp;CM69&amp;"Template desconto FLAT Plano Principal Oi TV nível conta"),BENEFICIOS!$A:$G,5,0))),"Criar",IF(CM69="","",VLOOKUP(($BC69&amp;CM69&amp;"Template desconto FLAT Plano Principal Oi TV nível conta"),BENEFICIOS!$A:$G,5,0)))</f>
        <v/>
      </c>
      <c r="CO69" s="8"/>
      <c r="CP69" s="3" t="str">
        <f>IF(CO69=0,"",IF(CO69=VLOOKUP("PCS-OzTL46",ARBOR!$A:$C,3,0),0.0001,IF(CO69&gt;VLOOKUP("PCS-OzTL46",ARBOR!$A:$C,3,0),"Maior que CAP!",IF((DOLLAR(CO69+(VLOOKUP("PCS-OzTL46",ARBOR!$A:$C,3,0)*-TRUNC(CO69/VLOOKUP("PCS-OzTL46",ARBOR!$A:$C,3,0)-1,4)),6))&lt;&gt;(DOLLAR(VLOOKUP("PCS-OzTL46",ARBOR!$A:$C,3,0),6)),-TRUNC(CO69/VLOOKUP("PCS-OzTL46",ARBOR!$A:$C,3,0)-1,4)+0.0001,-TRUNC(CO69/VLOOKUP("PCS-OzTL46",ARBOR!$A:$C,3,0)-1,4)))))</f>
        <v/>
      </c>
      <c r="CQ69" s="28" t="str">
        <f>IF(ISERROR(IF(CP69="","",VLOOKUP(($BC69&amp;CP69&amp;"Template desconto FLAT Plano Principal Oi TV nível conta"),BENEFICIOS!$A:$G,5,0))),"Criar",IF(CP69="","",VLOOKUP(($BC69&amp;CP69&amp;"Template desconto FLAT Plano Principal Oi TV nível conta"),BENEFICIOS!$A:$G,5,0)))</f>
        <v/>
      </c>
      <c r="CR69" s="8"/>
      <c r="CS69" s="3" t="str">
        <f>IF(CR69=0,"",IF(CR69=VLOOKUP("PCS-OzTL48",ARBOR!$A:$C,3,0),0.0001,IF(CR69&gt;VLOOKUP("PCS-OzTL48",ARBOR!$A:$C,3,0),"Maior que CAP!",IF((DOLLAR(CR69+(VLOOKUP("PCS-OzTL48",ARBOR!$A:$C,3,0)*-TRUNC(CR69/VLOOKUP("PCS-OzTL48",ARBOR!$A:$C,3,0)-1,4)),6))&lt;&gt;(DOLLAR(VLOOKUP("PCS-OzTL48",ARBOR!$A:$C,3,0),6)),-TRUNC(CR69/VLOOKUP("PCS-OzTL48",ARBOR!$A:$C,3,0)-1,4)+0.0001,-TRUNC(CR69/VLOOKUP("PCS-OzTL48",ARBOR!$A:$C,3,0)-1,4)))))</f>
        <v/>
      </c>
      <c r="CT69" s="28" t="str">
        <f>IF(ISERROR(IF(CS69="","",VLOOKUP(($BC69&amp;CS69&amp;"Template desconto FLAT Plano Principal Oi TV nível conta"),BENEFICIOS!$A:$G,5,0))),"Criar",IF(CS69="","",VLOOKUP(($BC69&amp;CS69&amp;"Template desconto FLAT Plano Principal Oi TV nível conta"),BENEFICIOS!$A:$G,5,0)))</f>
        <v/>
      </c>
      <c r="CU69" s="8"/>
      <c r="CV69" s="3" t="str">
        <f>IF(CU69=0,"",IF(CU69=VLOOKUP("PCS-OzTL742",ARBOR!$A:$C,3,0),0.0001,IF(CU69&gt;VLOOKUP("PCS-OzTL742",ARBOR!$A:$C,3,0),"Maior que CAP!",IF((DOLLAR(CU69+(VLOOKUP("PCS-OzTL742",ARBOR!$A:$C,3,0)*-TRUNC(CU69/VLOOKUP("PCS-OzTL742",ARBOR!$A:$C,3,0)-1,4)),6))&lt;&gt;(DOLLAR(VLOOKUP("PCS-OzTL742",ARBOR!$A:$C,3,0),6)),-TRUNC(CU69/VLOOKUP("PCS-OzTL742",ARBOR!$A:$C,3,0)-1,4)+0.0001,-TRUNC(CU69/VLOOKUP("PCS-OzTL742",ARBOR!$A:$C,3,0)-1,4)))))</f>
        <v/>
      </c>
      <c r="CW69" s="28" t="str">
        <f>IF(ISERROR(IF(CV69="","",VLOOKUP(($BC69&amp;CV69&amp;"Template desconto FLAT Plano Principal Oi TV nível conta"),BENEFICIOS!$A:$G,5,0))),"Criar",IF(CV69="","",VLOOKUP(($BC69&amp;CV69&amp;"Template desconto FLAT Plano Principal Oi TV nível conta"),BENEFICIOS!$A:$G,5,0)))</f>
        <v/>
      </c>
      <c r="CX69" s="8"/>
      <c r="CY69" s="3" t="str">
        <f>IF(CX69=0,"",IF(CX69=VLOOKUP("PCS-OzTL747",ARBOR!$A:$C,3,0),0.0001,IF(CX69&gt;VLOOKUP("PCS-OzTL747",ARBOR!$A:$C,3,0),"Maior que CAP!",IF((DOLLAR(CX69+(VLOOKUP("PCS-OzTL747",ARBOR!$A:$C,3,0)*-TRUNC(CX69/VLOOKUP("PCS-OzTL747",ARBOR!$A:$C,3,0)-1,4)),6))&lt;&gt;(DOLLAR(VLOOKUP("PCS-OzTL747",ARBOR!$A:$C,3,0),6)),-TRUNC(CX69/VLOOKUP("PCS-OzTL747",ARBOR!$A:$C,3,0)-1,4)+0.0001,-TRUNC(CX69/VLOOKUP("PCS-OzTL747",ARBOR!$A:$C,3,0)-1,4)))))</f>
        <v/>
      </c>
      <c r="CZ69" s="28" t="str">
        <f>IF(ISERROR(IF(CY69="","",VLOOKUP(($BC69&amp;CY69&amp;"Template desconto FLAT Plano Principal Oi TV nível conta"),BENEFICIOS!$A:$G,5,0))),"Criar",IF(CY69="","",VLOOKUP(($BC69&amp;CY69&amp;"Template desconto FLAT Plano Principal Oi TV nível conta"),BENEFICIOS!$A:$G,5,0)))</f>
        <v/>
      </c>
      <c r="DA69" s="8"/>
      <c r="DB69" s="3" t="str">
        <f>IF(DA69=0,"",IF(DA69=VLOOKUP("PCS-OzTL746",ARBOR!$A:$C,3,0),0.0001,IF(DA69&gt;VLOOKUP("PCS-OzTL746",ARBOR!$A:$C,3,0),"Maior que CAP!",IF((DOLLAR(DA69+(VLOOKUP("PCS-OzTL746",ARBOR!$A:$C,3,0)*-TRUNC(DA69/VLOOKUP("PCS-OzTL746",ARBOR!$A:$C,3,0)-1,4)),6))&lt;&gt;(DOLLAR(VLOOKUP("PCS-OzTL746",ARBOR!$A:$C,3,0),6)),-TRUNC(DA69/VLOOKUP("PCS-OzTL746",ARBOR!$A:$C,3,0)-1,4)+0.0001,-TRUNC(DA69/VLOOKUP("PCS-OzTL746",ARBOR!$A:$C,3,0)-1,4)))))</f>
        <v/>
      </c>
      <c r="DC69" s="28" t="str">
        <f>IF(ISERROR(IF(DB69="","",VLOOKUP(($BC69&amp;DB69&amp;"Template desconto FLAT Plano Principal Oi TV nível conta"),BENEFICIOS!$A:$G,5,0))),"Criar",IF(DB69="","",VLOOKUP(($BC69&amp;DB69&amp;"Template desconto FLAT Plano Principal Oi TV nível conta"),BENEFICIOS!$A:$G,5,0)))</f>
        <v/>
      </c>
      <c r="DD69" s="8"/>
      <c r="DE69" s="3" t="str">
        <f>IF(DD69=0,"",IF(DD69=VLOOKUP("PCS-OzTL748",ARBOR!$A:$C,3,0),0.0001,IF(DD69&gt;VLOOKUP("PCS-OzTL748",ARBOR!$A:$C,3,0),"Maior que CAP!",IF((DOLLAR(DD69+(VLOOKUP("PCS-OzTL748",ARBOR!$A:$C,3,0)*-TRUNC(DD69/VLOOKUP("PCS-OzTL748",ARBOR!$A:$C,3,0)-1,4)),6))&lt;&gt;(DOLLAR(VLOOKUP("PCS-OzTL748",ARBOR!$A:$C,3,0),6)),-TRUNC(DD69/VLOOKUP("PCS-OzTL748",ARBOR!$A:$C,3,0)-1,4)+0.0001,-TRUNC(DD69/VLOOKUP("PCS-OzTL748",ARBOR!$A:$C,3,0)-1,4)))))</f>
        <v/>
      </c>
      <c r="DF69" s="28" t="str">
        <f>IF(ISERROR(IF(DE69="","",VLOOKUP(($BC69&amp;DE69&amp;"Template desconto FLAT Plano Principal Oi TV nível conta"),BENEFICIOS!$A:$G,5,0))),"Criar",IF(DE69="","",VLOOKUP(($BC69&amp;DE69&amp;"Template desconto FLAT Plano Principal Oi TV nível conta"),BENEFICIOS!$A:$G,5,0)))</f>
        <v/>
      </c>
      <c r="DG69" s="8"/>
      <c r="DH69" s="3" t="str">
        <f>IF(DG69=0,"",IF(DG69=VLOOKUP("PCS-OzTL34",ARBOR!$A:$C,3,0),0.0001,IF(DG69&gt;VLOOKUP("PCS-OzTL34",ARBOR!$A:$C,3,0),"Maior que CAP!",IF((DOLLAR(DG69+(VLOOKUP("PCS-OzTL34",ARBOR!$A:$C,3,0)*-TRUNC(DG69/VLOOKUP("PCS-OzTL34",ARBOR!$A:$C,3,0)-1,4)),6))&lt;&gt;(DOLLAR(VLOOKUP("PCS-OzTL34",ARBOR!$A:$C,3,0),6)),-TRUNC(DG69/VLOOKUP("PCS-OzTL34",ARBOR!$A:$C,3,0)-1,4)+0.0001,-TRUNC(DG69/VLOOKUP("PCS-OzTL34",ARBOR!$A:$C,3,0)-1,4)))))</f>
        <v/>
      </c>
      <c r="DI69" s="28" t="str">
        <f>IF(DH69="S/Desc","S/Desc",IF(ISERROR(IF(DH69="","",VLOOKUP(($BC69&amp;DH69&amp;"Template desconto % Combate nível conta"),BENEFICIOS!$A:$G,5,0))),"Criar",IF(DH69="","",VLOOKUP(($BC69&amp;DH69&amp;"Template desconto % Combate nível conta"),BENEFICIOS!$A:$G,5,0))))</f>
        <v/>
      </c>
      <c r="DJ69" s="8"/>
      <c r="DK69" s="3" t="str">
        <f>IF(DJ69=0,"",IF(DJ69=VLOOKUP("PCS-OzTL31",ARBOR!$A:$C,3,0),0.0001,IF(DJ69&gt;VLOOKUP("PCS-OzTL31",ARBOR!$A:$C,3,0),"Maior que CAP!",IF((DOLLAR(DJ69+(VLOOKUP("PCS-OzTL31",ARBOR!$A:$C,3,0)*-TRUNC(DJ69/VLOOKUP("PCS-OzTL31",ARBOR!$A:$C,3,0)-1,4)),6))&lt;&gt;(DOLLAR(VLOOKUP("PCS-OzTL31",ARBOR!$A:$C,3,0),6)),-TRUNC(DJ69/VLOOKUP("PCS-OzTL31",ARBOR!$A:$C,3,0)-1,4)+0.0001,-TRUNC(DJ69/VLOOKUP("PCS-OzTL31",ARBOR!$A:$C,3,0)-1,4)))))</f>
        <v/>
      </c>
      <c r="DL69" s="28" t="str">
        <f>IF(DK69="S/Desc","S/Desc",IF(ISERROR(IF(DK69="","",VLOOKUP(($BC69&amp;DK69&amp;"Template desconto % Sexy Hot nível conta"),BENEFICIOS!$A:$G,5,0))),"Criar",IF(DK69="","",VLOOKUP(($BC69&amp;DK69&amp;"Template desconto % Sexy Hot nível conta"),BENEFICIOS!$A:$G,5,0))))</f>
        <v/>
      </c>
      <c r="DM69" s="8"/>
      <c r="DN69" s="3" t="str">
        <f>IF(DM69=0,"",IF(DM69=VLOOKUP("PCS-OzTL32",ARBOR!$A:$C,3,0),0.0001,IF(DM69&gt;VLOOKUP("PCS-OzTL32",ARBOR!$A:$C,3,0),"Maior que CAP!",IF((DOLLAR(DM69+(VLOOKUP("PCS-OzTL32",ARBOR!$A:$C,3,0)*-TRUNC(DM69/VLOOKUP("PCS-OzTL32",ARBOR!$A:$C,3,0)-1,4)),6))&lt;&gt;(DOLLAR(VLOOKUP("PCS-OzTL32",ARBOR!$A:$C,3,0),6)),-TRUNC(DM69/VLOOKUP("PCS-OzTL32",ARBOR!$A:$C,3,0)-1,4)+0.0001,-TRUNC(DM69/VLOOKUP("PCS-OzTL32",ARBOR!$A:$C,3,0)-1,4)))))</f>
        <v/>
      </c>
      <c r="DO69" s="28" t="str">
        <f>IF(DN69="S/Desc","S/Desc",IF(ISERROR(IF(DN69="","",VLOOKUP(($BC69&amp;DN69&amp;"Template desconto % Playboy nível conta"),BENEFICIOS!$A:$G,5,0))),"Criar",IF(DN69="","",VLOOKUP(($BC69&amp;DN69&amp;"Template desconto % Playboy nível conta"),BENEFICIOS!$A:$G,5,0))))</f>
        <v/>
      </c>
      <c r="DP69" s="8"/>
      <c r="DQ69" s="3" t="str">
        <f>IF(DP69=0,"",IF(DP69=VLOOKUP("PCS-OzTL33",ARBOR!$A:$C,3,0),0.0001,IF(DP69&gt;VLOOKUP("PCS-OzTL33",ARBOR!$A:$C,3,0),"Maior que CAP!",IF((DOLLAR(DP69+(VLOOKUP("PCS-OzTL33",ARBOR!$A:$C,3,0)*-TRUNC(DP69/VLOOKUP("PCS-OzTL33",ARBOR!$A:$C,3,0)-1,4)),6))&lt;&gt;(DOLLAR(VLOOKUP("PCS-OzTL33",ARBOR!$A:$C,3,0),6)),-TRUNC(DP69/VLOOKUP("PCS-OzTL33",ARBOR!$A:$C,3,0)-1,4)+0.0001,-TRUNC(DP69/VLOOKUP("PCS-OzTL33",ARBOR!$A:$C,3,0)-1,4)))))</f>
        <v/>
      </c>
      <c r="DR69" s="28" t="str">
        <f>IF(DQ69="S/Desc","S/Desc",IF(ISERROR(IF(DQ69="","",VLOOKUP(($BC69&amp;DQ69&amp;"Template desconto % Sexy Hot + Playboy nível conta"),BENEFICIOS!$A:$G,5,0))),"Criar",IF(DQ69="","",VLOOKUP(($BC69&amp;DQ69&amp;"Template desconto % Sexy Hot + Playboy nível conta"),BENEFICIOS!$A:$G,5,0))))</f>
        <v/>
      </c>
      <c r="DS69" s="8"/>
      <c r="DT69" s="3" t="str">
        <f>IF(DS69=0,"",IF(DS69=VLOOKUP("PCS-OzTL503",ARBOR!$A:$C,3,0),0.0001,IF(DS69&gt;VLOOKUP("PCS-OzTL503",ARBOR!$A:$C,3,0),"Maior que CAP!",IF((DOLLAR(DS69+(VLOOKUP("PCS-OzTL503",ARBOR!$A:$C,3,0)*-TRUNC(DS69/VLOOKUP("PCS-OzTL503",ARBOR!$A:$C,3,0)-1,4)),6))&lt;&gt;(DOLLAR(VLOOKUP("PCS-OzTL503",ARBOR!$A:$C,3,0),6)),-TRUNC(DS69/VLOOKUP("PCS-OzTL503",ARBOR!$A:$C,3,0)-1,4)+0.0001,-TRUNC(DS69/VLOOKUP("PCS-OzTL503",ARBOR!$A:$C,3,0)-1,4)))))</f>
        <v/>
      </c>
      <c r="DU69" s="28" t="str">
        <f>IF(DT69="S/Desc","S/Desc",IF(ISERROR(IF(DT69="","",VLOOKUP(($BC69&amp;DT69&amp;"Template desconto % SexPrivê nível conta"),BENEFICIOS!$A:$G,5,0))),"Criar",IF(DT69="","",VLOOKUP(($BC69&amp;DT69&amp;"Template desconto % SexPrivê nível conta"),BENEFICIOS!$A:$G,5,0))))</f>
        <v/>
      </c>
      <c r="DV69" s="8"/>
      <c r="DW69" s="3" t="str">
        <f>IF(DV69=0,"",IF(DV69=VLOOKUP("PCS-OzTL500",ARBOR!$A:$C,3,0),0.0001,IF(DV69&gt;VLOOKUP("PCS-OzTL500",ARBOR!$A:$C,3,0),"Maior que CAP!",IF((DOLLAR(DV69+(VLOOKUP("PCS-OzTL500",ARBOR!$A:$C,3,0)*-TRUNC(DV69/VLOOKUP("PCS-OzTL500",ARBOR!$A:$C,3,0)-1,4)),6))&lt;&gt;(DOLLAR(VLOOKUP("PCS-OzTL500",ARBOR!$A:$C,3,0),6)),-TRUNC(DV69/VLOOKUP("PCS-OzTL500",ARBOR!$A:$C,3,0)-1,4)+0.0001,-TRUNC(DV69/VLOOKUP("PCS-OzTL500",ARBOR!$A:$C,3,0)-1,4)))))</f>
        <v/>
      </c>
      <c r="DX69" s="28" t="str">
        <f>IF(DW69="S/Desc","S/Desc",IF(ISERROR(IF(DW69="","",VLOOKUP(($BC69&amp;DW69&amp;"Template desconto % Étnico nível conta"),BENEFICIOS!$A:$G,5,0))),"Criar",IF(DW69="","",VLOOKUP(($BC69&amp;DW69&amp;"Template desconto % Étnico nível conta"),BENEFICIOS!$A:$G,5,0))))</f>
        <v/>
      </c>
      <c r="DY69" s="8"/>
      <c r="DZ69" s="181" t="str">
        <f>IF(DY69=0,"",IF(DY69=VLOOKUP("PCS-OzTL50",ARBOR!$A:$C,3,0),0.0001,IF(DY69&gt;VLOOKUP("PCS-OzTL50",ARBOR!$A:$C,3,0),"Maior que CAP!",IF((DOLLAR(DY69+(VLOOKUP("PCS-OzTL50",ARBOR!$A:$C,3,0)*-TRUNC(DY69/VLOOKUP("PCS-OzTL50",ARBOR!$A:$C,3,0)-1,4)),6))&lt;&gt;(DOLLAR(VLOOKUP("PCS-OzTL50",ARBOR!$A:$C,3,0),6)),-TRUNC(DY69/VLOOKUP("PCS-OzTL50",ARBOR!$A:$C,3,0)-1,4)+0.0001,-TRUNC(DY69/VLOOKUP("PCS-OzTL50",ARBOR!$A:$C,3,0)-1,4)))))</f>
        <v/>
      </c>
      <c r="EA69" s="28"/>
      <c r="EB69" s="8"/>
      <c r="EC69" s="181" t="str">
        <f>IF(EB69=0,"",IF(EB69=VLOOKUP("PCS-OzTL51",ARBOR!$A:$C,3,0),0.0001,IF(EB69&gt;VLOOKUP("PCS-OzTL51",ARBOR!$A:$C,3,0),"Maior que CAP!",IF((DOLLAR(EB69+(VLOOKUP("PCS-OzTL51",ARBOR!$A:$C,3,0)*-TRUNC(EB69/VLOOKUP("PCS-OzTL51",ARBOR!$A:$C,3,0)-1,4)),6))&lt;&gt;(DOLLAR(VLOOKUP("PCS-OzTL51",ARBOR!$A:$C,3,0),6)),-TRUNC(EB69/VLOOKUP("PCS-OzTL51",ARBOR!$A:$C,3,0)-1,4)+0.0001,-TRUNC(EB69/VLOOKUP("PCS-OzTL51",ARBOR!$A:$C,3,0)-1,4)))))</f>
        <v/>
      </c>
      <c r="ED69" s="28"/>
      <c r="EE69" s="8"/>
      <c r="EF69" s="181" t="str">
        <f>IF(EE69=0,"",IF(EE69=VLOOKUP("PCS-OzTL52",ARBOR!$A:$C,3,0),0.0001,IF(EE69&gt;VLOOKUP("PCS-OzTL52",ARBOR!$A:$C,3,0),"Maior que CAP!",IF((DOLLAR(EE69+(VLOOKUP("PCS-OzTL52",ARBOR!$A:$C,3,0)*-TRUNC(EE69/VLOOKUP("PCS-OzTL52",ARBOR!$A:$C,3,0)-1,4)),6))&lt;&gt;(DOLLAR(VLOOKUP("PCS-OzTL52",ARBOR!$A:$C,3,0),6)),-TRUNC(EE69/VLOOKUP("PCS-OzTL52",ARBOR!$A:$C,3,0)-1,4)+0.0001,-TRUNC(EE69/VLOOKUP("PCS-OzTL52",ARBOR!$A:$C,3,0)-1,4)))))</f>
        <v/>
      </c>
      <c r="EG69" s="28"/>
      <c r="EH69" s="8"/>
      <c r="EI69" s="181" t="str">
        <f>IF(EH69=0,"",IF(EH69=VLOOKUP("PCS-OzTL53",ARBOR!$A:$C,3,0),0.0001,IF(EH69&gt;VLOOKUP("PCS-OzTL53",ARBOR!$A:$C,3,0),"Maior que CAP!",IF((DOLLAR(EH69+(VLOOKUP("PCS-OzTL53",ARBOR!$A:$C,3,0)*-TRUNC(EH69/VLOOKUP("PCS-OzTL53",ARBOR!$A:$C,3,0)-1,4)),6))&lt;&gt;(DOLLAR(VLOOKUP("PCS-OzTL53",ARBOR!$A:$C,3,0),6)),-TRUNC(EH69/VLOOKUP("PCS-OzTL53",ARBOR!$A:$C,3,0)-1,4)+0.0001,-TRUNC(EH69/VLOOKUP("PCS-OzTL53",ARBOR!$A:$C,3,0)-1,4)))))</f>
        <v/>
      </c>
      <c r="EJ69" s="28"/>
      <c r="EK69" s="8"/>
      <c r="EL69" s="181" t="str">
        <f>IF(EK69=0,"",IF(EK69=VLOOKUP("PCS-OzTL54",ARBOR!$A:$C,3,0),0.0001,IF(EK69&gt;VLOOKUP("PCS-OzTL54",ARBOR!$A:$C,3,0),"Maior que CAP!",IF((DOLLAR(EK69+(VLOOKUP("PCS-OzTL54",ARBOR!$A:$C,3,0)*-TRUNC(EK69/VLOOKUP("PCS-OzTL54",ARBOR!$A:$C,3,0)-1,4)),6))&lt;&gt;(DOLLAR(VLOOKUP("PCS-OzTL54",ARBOR!$A:$C,3,0),6)),-TRUNC(EK69/VLOOKUP("PCS-OzTL54",ARBOR!$A:$C,3,0)-1,4)+0.0001,-TRUNC(EK69/VLOOKUP("PCS-OzTL54",ARBOR!$A:$C,3,0)-1,4)))))</f>
        <v/>
      </c>
      <c r="EM69" s="28"/>
      <c r="EN69" s="8"/>
      <c r="EO69" s="3" t="str">
        <f>IF(EN69=0,"",IF(EN69=VLOOKUP("PCS-OzTL99",ARBOR!$A:$C,3,0),0.0001,IF(EN69&gt;VLOOKUP("PCS-OzTL99",ARBOR!$A:$C,3,0),"Maior que CAP!",IF((DOLLAR(EN69+(VLOOKUP("PCS-OzTL99",ARBOR!$A:$C,3,0)*-TRUNC(EN69/VLOOKUP("PCS-OzTL99",ARBOR!$A:$C,3,0)-1,4)),6))&lt;&gt;(DOLLAR(VLOOKUP("PCS-OzTL99",ARBOR!$A:$C,3,0),6)),-TRUNC(EN69/VLOOKUP("PCS-OzTL99",ARBOR!$A:$C,3,0)-1,4)+0.0001,-TRUNC(EN69/VLOOKUP("PCS-OzTL99",ARBOR!$A:$C,3,0)-1,4)))))</f>
        <v/>
      </c>
      <c r="EP69" s="28" t="str">
        <f>IF(EO69="S/Desc","S/Desc",IF(ISERROR(IF(EO69="","",VLOOKUP(($BC69&amp;EO69&amp;"Template desconto % Ponto adicional nível conta"),BENEFICIOS!$A:$G,5,0))),"Criar",IF(EO69="","",VLOOKUP(($BC69&amp;EO69&amp;"Template desconto % Ponto adicional nível conta"),BENEFICIOS!$A:$G,5,0))))</f>
        <v/>
      </c>
      <c r="EQ69" s="8"/>
      <c r="ER69" s="28" t="str">
        <f t="shared" si="23"/>
        <v/>
      </c>
      <c r="ES69" s="62"/>
      <c r="ET69" s="126"/>
      <c r="EU69" s="127"/>
      <c r="EV69" s="126"/>
      <c r="EW69" s="128" t="str">
        <f t="shared" si="24"/>
        <v/>
      </c>
      <c r="EX69" s="129" t="str">
        <f t="shared" si="25"/>
        <v/>
      </c>
      <c r="EY69" s="91" t="str">
        <f t="shared" si="26"/>
        <v/>
      </c>
      <c r="EZ69" s="85"/>
      <c r="FA69" s="97"/>
      <c r="FB69" s="91"/>
      <c r="FC69" s="85"/>
      <c r="FD69" s="97"/>
      <c r="FE69" s="91"/>
      <c r="FF69" s="87"/>
      <c r="FG69" s="144" t="str">
        <f t="shared" si="27"/>
        <v/>
      </c>
      <c r="FH69" s="144" t="str">
        <f t="shared" si="28"/>
        <v/>
      </c>
      <c r="FI69" s="144" t="str">
        <f t="shared" si="29"/>
        <v/>
      </c>
      <c r="FJ69" s="144" t="str">
        <f t="shared" si="30"/>
        <v/>
      </c>
      <c r="FK69" s="144" t="str">
        <f t="shared" si="31"/>
        <v/>
      </c>
      <c r="FL69" s="144" t="str">
        <f t="shared" si="32"/>
        <v/>
      </c>
      <c r="FM69" s="144" t="str">
        <f t="shared" si="33"/>
        <v/>
      </c>
      <c r="FN69" s="144" t="str">
        <f t="shared" si="34"/>
        <v/>
      </c>
      <c r="FO69" s="144" t="str">
        <f t="shared" si="35"/>
        <v/>
      </c>
      <c r="FP69" s="144" t="str">
        <f t="shared" si="36"/>
        <v/>
      </c>
      <c r="FQ69" s="144" t="str">
        <f t="shared" si="37"/>
        <v/>
      </c>
      <c r="FR69" s="144" t="str">
        <f t="shared" si="38"/>
        <v/>
      </c>
      <c r="FS69" s="144" t="str">
        <f t="shared" si="39"/>
        <v/>
      </c>
      <c r="FT69" s="144" t="str">
        <f t="shared" si="40"/>
        <v/>
      </c>
      <c r="FU69" s="144" t="str">
        <f t="shared" si="41"/>
        <v/>
      </c>
      <c r="FV69" s="144" t="str">
        <f t="shared" si="42"/>
        <v/>
      </c>
      <c r="FW69" s="144" t="str">
        <f t="shared" si="43"/>
        <v/>
      </c>
      <c r="FX69" s="151"/>
      <c r="FY69" s="152"/>
      <c r="FZ69" s="152"/>
      <c r="GA69" s="152"/>
      <c r="GB69" s="152"/>
      <c r="GC69" s="152"/>
      <c r="GD69" s="152"/>
      <c r="GE69" s="152"/>
      <c r="GF69" s="152"/>
      <c r="GG69" s="153"/>
    </row>
    <row r="70" spans="1:189">
      <c r="A70" s="45"/>
      <c r="B70" s="133"/>
      <c r="C70" s="133"/>
      <c r="D70" s="46"/>
      <c r="E70" s="4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9"/>
      <c r="U70" s="48"/>
      <c r="V70" s="49"/>
      <c r="W70" s="48"/>
      <c r="X70" s="48"/>
      <c r="Y70" s="48"/>
      <c r="Z70" s="48"/>
      <c r="AA70" s="49"/>
      <c r="AB70" s="48"/>
      <c r="AC70" s="50"/>
      <c r="AD70" s="48"/>
      <c r="AE70" s="48"/>
      <c r="AF70" s="48"/>
      <c r="AG70" s="48"/>
      <c r="AH70" s="48"/>
      <c r="AI70" s="48"/>
      <c r="AJ70" s="48"/>
      <c r="AK70" s="48"/>
      <c r="AL70" s="51"/>
      <c r="AM70" s="37"/>
      <c r="AN70" s="38"/>
      <c r="AO70" s="39"/>
      <c r="AP70" s="52"/>
      <c r="AQ70" s="53"/>
      <c r="AR70" s="64"/>
      <c r="AS70" s="65"/>
      <c r="AT70" s="54"/>
      <c r="AU70" s="54"/>
      <c r="AV70" s="54"/>
      <c r="AW70" s="54"/>
      <c r="AX70" s="70"/>
      <c r="AY70" s="71"/>
      <c r="AZ70" s="72"/>
      <c r="BA70" s="73"/>
      <c r="BB70" s="55"/>
      <c r="BC70" s="56"/>
      <c r="BD70" s="27" t="str">
        <f t="shared" si="22"/>
        <v/>
      </c>
      <c r="BE70" s="58"/>
      <c r="BF70" s="3" t="str">
        <f>IF(BE70=0,"",IF(BE70=VLOOKUP("FIXO",ARBOR!$A:$C,3,0),0.0001,IF(BE70&gt;VLOOKUP("FIXO",ARBOR!$A:$C,3,0),"Maior que CAP!",IF((DOLLAR(BE70+(VLOOKUP("FIXO",ARBOR!$A:$C,3,0)*-TRUNC(BE70/VLOOKUP("FIXO",ARBOR!$A:$C,3,0)-1,4)),6))&lt;&gt;(DOLLAR(VLOOKUP("FIXO",ARBOR!$A:$C,3,0),6)),-TRUNC(BE70/VLOOKUP("FIXO",ARBOR!$A:$C,3,0)-1,4)+0.0001,-TRUNC(BE70/VLOOKUP("FIXO",ARBOR!$A:$C,3,0)-1,4)))))</f>
        <v/>
      </c>
      <c r="BG70" s="10" t="str">
        <f>IF(ISERROR(IF(BF70="","",VLOOKUP(($BC70&amp;BF70&amp;"Template de desconto FLAT bundle - Fixo - Varejo - Ganho Tributário Cross"),BENEFICIOS!$A:$G,5,0))),"Criar",IF(BF70="","",VLOOKUP(($BC70&amp;BF70&amp;"Template de desconto FLAT bundle - Fixo - Varejo - Ganho Tributário Cross"),BENEFICIOS!$A:$G,5,0)))</f>
        <v/>
      </c>
      <c r="BH70" s="8"/>
      <c r="BI70" s="3" t="str">
        <f>IF(BH70=0,"",IF(BH70=VLOOKUP("PCS-OzTL40",ARBOR!$A:$C,3,0),0.0001,IF(BH70&gt;VLOOKUP("PCS-OzTL40",ARBOR!$A:$C,3,0),"Maior que CAP!",IF((DOLLAR(BH70+(VLOOKUP("PCS-OzTL40",ARBOR!$A:$C,3,0)*-TRUNC(BH70/VLOOKUP("PCS-OzTL40",ARBOR!$A:$C,3,0)-1,4)),6))&lt;&gt;(DOLLAR(VLOOKUP("PCS-OzTL40",ARBOR!$A:$C,3,0),6)),-TRUNC(BH70/VLOOKUP("PCS-OzTL40",ARBOR!$A:$C,3,0)-1,4)+0.0001,-TRUNC(BH70/VLOOKUP("PCS-OzTL40",ARBOR!$A:$C,3,0)-1,4)))))</f>
        <v/>
      </c>
      <c r="BJ70" s="10" t="str">
        <f>IF(ISERROR(IF(BI70="","",VLOOKUP((BC70&amp;BI70&amp;"Template desconto FLAT Plano Principal Oi TV nível conta"),BENEFICIOS!$A:$G,5,0))),"Criar",IF(BI70="","",VLOOKUP((BC70&amp;BI70&amp;"Template desconto FLAT Plano Principal Oi TV nível conta"),BENEFICIOS!$A:$G,5,0)))</f>
        <v/>
      </c>
      <c r="BK70" s="8"/>
      <c r="BL70" s="3" t="str">
        <f>IF(BK70=0,"",IF(BK70=VLOOKUP("PCS-OzTL41",ARBOR!$A:$C,3,0),0.0001,IF(BK70&gt;VLOOKUP("PCS-OzTL41",ARBOR!$A:$C,3,0),"Maior que CAP!",IF((DOLLAR(BK70+(VLOOKUP("PCS-OzTL41",ARBOR!$A:$C,3,0)*-TRUNC(BK70/VLOOKUP("PCS-OzTL41",ARBOR!$A:$C,3,0)-1,4)),6))&lt;&gt;(DOLLAR(VLOOKUP("PCS-OzTL41",ARBOR!$A:$C,3,0),6)),-TRUNC(BK70/VLOOKUP("PCS-OzTL41",ARBOR!$A:$C,3,0)-1,4)+0.0001,-TRUNC(BK70/VLOOKUP("PCS-OzTL41",ARBOR!$A:$C,3,0)-1,4)))))</f>
        <v/>
      </c>
      <c r="BM70" s="28" t="str">
        <f>IF(ISERROR(IF(BL70="","",VLOOKUP((BC70&amp;BL70&amp;"Template desconto FLAT Plano Principal Oi TV nível conta"),BENEFICIOS!$A:$G,5,0))),"Criar",IF(BL70="","",VLOOKUP((BC70&amp;BL70&amp;"Template desconto FLAT Plano Principal Oi TV nível conta"),BENEFICIOS!$A:$G,5,0)))</f>
        <v/>
      </c>
      <c r="BN70" s="8"/>
      <c r="BO70" s="3" t="str">
        <f>IF(BN70=0,"",IF(BN70=VLOOKUP("PCS-OzTL44",ARBOR!$A:$C,3,0),0.0001,IF(BN70&gt;VLOOKUP("PCS-OzTL44",ARBOR!$A:$C,3,0),"Maior que CAP!",IF((DOLLAR(BN70+(VLOOKUP("PCS-OzTL44",ARBOR!$A:$C,3,0)*-TRUNC(BN70/VLOOKUP("PCS-OzTL44",ARBOR!$A:$C,3,0)-1,4)),6))&lt;&gt;(DOLLAR(VLOOKUP("PCS-OzTL44",ARBOR!$A:$C,3,0),6)),-TRUNC(BN70/VLOOKUP("PCS-OzTL44",ARBOR!$A:$C,3,0)-1,4)+0.0001,-TRUNC(BN70/VLOOKUP("PCS-OzTL44",ARBOR!$A:$C,3,0)-1,4)))))</f>
        <v/>
      </c>
      <c r="BP70" s="28" t="str">
        <f>IF(ISERROR(IF(BO70="","",VLOOKUP((BC70&amp;BO70&amp;"Template desconto FLAT Plano Principal Oi TV nível conta"),BENEFICIOS!$A:$G,5,0))),"Criar",IF(BO70="","",VLOOKUP((BC70&amp;BO70&amp;"Template desconto FLAT Plano Principal Oi TV nível conta"),BENEFICIOS!$A:$G,5,0)))</f>
        <v/>
      </c>
      <c r="BQ70" s="8"/>
      <c r="BR70" s="3" t="str">
        <f>IF(BQ70=0,"",IF(BQ70=VLOOKUP("PCS-OzTL43",ARBOR!$A:$C,3,0),0.0001,IF(BQ70&gt;VLOOKUP("PCS-OzTL43",ARBOR!$A:$C,3,0),"Maior que CAP!",IF((DOLLAR(BQ70+(VLOOKUP("PCS-OzTL43",ARBOR!$A:$C,3,0)*-TRUNC(BQ70/VLOOKUP("PCS-OzTL43",ARBOR!$A:$C,3,0)-1,4)),6))&lt;&gt;(DOLLAR(VLOOKUP("PCS-OzTL43",ARBOR!$A:$C,3,0),6)),-TRUNC(BQ70/VLOOKUP("PCS-OzTL43",ARBOR!$A:$C,3,0)-1,4)+0.0001,-TRUNC(BQ70/VLOOKUP("PCS-OzTL43",ARBOR!$A:$C,3,0)-1,4)))))</f>
        <v/>
      </c>
      <c r="BS70" s="28" t="str">
        <f>IF(ISERROR(IF(BR70="","",VLOOKUP((BC70&amp;BR70&amp;"Template desconto FLAT Plano Principal Oi TV nível conta"),BENEFICIOS!$A:$G,5,0))),"Criar",IF(BR70="","",VLOOKUP((BC70&amp;BR70&amp;"Template desconto FLAT Plano Principal Oi TV nível conta"),BENEFICIOS!$A:$G,5,0)))</f>
        <v/>
      </c>
      <c r="BT70" s="8"/>
      <c r="BU70" s="3" t="str">
        <f>IF(BT70=0,"",IF(BT70=VLOOKUP("PCS-OzTL45",ARBOR!$A:$C,3,0),0.0001,IF(BT70&gt;VLOOKUP("PCS-OzTL45",ARBOR!$A:$C,3,0),"Maior que CAP!",IF((DOLLAR(BT70+(VLOOKUP("PCS-OzTL45",ARBOR!$A:$C,3,0)*-TRUNC(BT70/VLOOKUP("PCS-OzTL45",ARBOR!$A:$C,3,0)-1,4)),6))&lt;&gt;(DOLLAR(VLOOKUP("PCS-OzTL45",ARBOR!$A:$C,3,0),6)),-TRUNC(BT70/VLOOKUP("PCS-OzTL45",ARBOR!$A:$C,3,0)-1,4)+0.0001,-TRUNC(BT70/VLOOKUP("PCS-OzTL45",ARBOR!$A:$C,3,0)-1,4)))))</f>
        <v/>
      </c>
      <c r="BV70" s="28" t="str">
        <f>IF(ISERROR(IF(BU70="","",VLOOKUP((BC70&amp;BU70&amp;"Template desconto FLAT Plano Principal Oi TV nível conta"),BENEFICIOS!$A:$G,5,0))),"Criar",IF(BU70="","",VLOOKUP((BC70&amp;BU70&amp;"Template desconto FLAT Plano Principal Oi TV nível conta"),BENEFICIOS!$A:$G,5,0)))</f>
        <v/>
      </c>
      <c r="BW70" s="8"/>
      <c r="BX70" s="3" t="str">
        <f>IF(BW70=0,"",IF(BW70=VLOOKUP("PCS-OzTL741",ARBOR!$A:$C,3,0),0.0001,IF(BW70&gt;VLOOKUP("PCS-OzTL741",ARBOR!$A:$C,3,0),"Maior que CAP!",IF((DOLLAR(BW70+(VLOOKUP("PCS-OzTL741",ARBOR!$A:$C,3,0)*-TRUNC(BW70/VLOOKUP("PCS-OzTL741",ARBOR!$A:$C,3,0)-1,4)),6))&lt;&gt;(DOLLAR(VLOOKUP("PCS-OzTL741",ARBOR!$A:$C,3,0),6)),-TRUNC(BW70/VLOOKUP("PCS-OzTL741",ARBOR!$A:$C,3,0)-1,4)+0.0001,-TRUNC(BW70/VLOOKUP("PCS-OzTL741",ARBOR!$A:$C,3,0)-1,4)))))</f>
        <v/>
      </c>
      <c r="BY70" s="28" t="str">
        <f>IF(ISERROR(IF(BX70="","",VLOOKUP((BC70&amp;BX70&amp;"Template desconto FLAT Plano Principal Oi TV nível conta"),BENEFICIOS!$A:$G,5,0))),"Criar",IF(BX70="","",VLOOKUP((BC70&amp;BX70&amp;"Template desconto FLAT Plano Principal Oi TV nível conta"),BENEFICIOS!$A:$G,5,0)))</f>
        <v/>
      </c>
      <c r="BZ70" s="8"/>
      <c r="CA70" s="3" t="str">
        <f>IF(BZ70=0,"",IF(BZ70=VLOOKUP("PCS-OzTL744",ARBOR!$A:$C,3,0),0.0001,IF(BZ70&gt;VLOOKUP("PCS-OzTL744",ARBOR!$A:$C,3,0),"Maior que CAP!",IF((DOLLAR(BZ70+(VLOOKUP("PCS-OzTL744",ARBOR!$A:$C,3,0)*-TRUNC(BZ70/VLOOKUP("PCS-OzTL744",ARBOR!$A:$C,3,0)-1,4)),6))&lt;&gt;(DOLLAR(VLOOKUP("PCS-OzTL744",ARBOR!$A:$C,3,0),6)),-TRUNC(BZ70/VLOOKUP("PCS-OzTL744",ARBOR!$A:$C,3,0)-1,4)+0.0001,-TRUNC(BZ70/VLOOKUP("PCS-OzTL744",ARBOR!$A:$C,3,0)-1,4)))))</f>
        <v/>
      </c>
      <c r="CB70" s="28" t="str">
        <f>IF(ISERROR(IF(CA70="","",VLOOKUP(($BC70&amp;CA70&amp;"Template desconto FLAT Plano Principal Oi TV nível conta"),BENEFICIOS!$A:$G,5,0))),"Criar",IF(CA70="","",VLOOKUP(($BC70&amp;CA70&amp;"Template desconto FLAT Plano Principal Oi TV nível conta"),BENEFICIOS!$A:$G,5,0)))</f>
        <v/>
      </c>
      <c r="CC70" s="8"/>
      <c r="CD70" s="3" t="str">
        <f>IF(CC70=0,"",IF(CC70=VLOOKUP("PCS-OzTL743",ARBOR!$A:$C,3,0),0.0001,IF(CC70&gt;VLOOKUP("PCS-OzTL743",ARBOR!$A:$C,3,0),"Maior que CAP!",IF((DOLLAR(CC70+(VLOOKUP("PCS-OzTL743",ARBOR!$A:$C,3,0)*-TRUNC(CC70/VLOOKUP("PCS-OzTL743",ARBOR!$A:$C,3,0)-1,4)),6))&lt;&gt;(DOLLAR(VLOOKUP("PCS-OzTL743",ARBOR!$A:$C,3,0),6)),-TRUNC(CC70/VLOOKUP("PCS-OzTL743",ARBOR!$A:$C,3,0)-1,4)+0.0001,-TRUNC(CC70/VLOOKUP("PCS-OzTL743",ARBOR!$A:$C,3,0)-1,4)))))</f>
        <v/>
      </c>
      <c r="CE70" s="28" t="str">
        <f>IF(ISERROR(IF(CD70="","",VLOOKUP(($BC70&amp;CD70&amp;"Template desconto FLAT Plano Principal Oi TV nível conta"),BENEFICIOS!$A:$G,5,0))),"Criar",IF(CD70="","",VLOOKUP(($BC70&amp;CD70&amp;"Template desconto FLAT Plano Principal Oi TV nível conta"),BENEFICIOS!$A:$G,5,0)))</f>
        <v/>
      </c>
      <c r="CF70" s="8"/>
      <c r="CG70" s="3" t="str">
        <f>IF(CF70=0,"",IF(CF70=VLOOKUP("PCS-OzTL745",ARBOR!$A:$C,3,0),0.0001,IF(CF70&gt;VLOOKUP("PCS-OzTL745",ARBOR!$A:$C,3,0),"Maior que CAP!",IF((DOLLAR(CF70+(VLOOKUP("PCS-OzTL745",ARBOR!$A:$C,3,0)*-TRUNC(CF70/VLOOKUP("PCS-OzTL745",ARBOR!$A:$C,3,0)-1,4)),6))&lt;&gt;(DOLLAR(VLOOKUP("PCS-OzTL745",ARBOR!$A:$C,3,0),6)),-TRUNC(CF70/VLOOKUP("PCS-OzTL745",ARBOR!$A:$C,3,0)-1,4)+0.0001,-TRUNC(CF70/VLOOKUP("PCS-OzTL745",ARBOR!$A:$C,3,0)-1,4)))))</f>
        <v/>
      </c>
      <c r="CH70" s="28" t="str">
        <f>IF(ISERROR(IF(CG70="","",VLOOKUP(($BC70&amp;CG70&amp;"Template desconto FLAT Plano Principal Oi TV nível conta"),BENEFICIOS!$A:$G,5,0))),"Criar",IF(CG70="","",VLOOKUP(($BC70&amp;CG70&amp;"Template desconto FLAT Plano Principal Oi TV nível conta"),BENEFICIOS!$A:$G,5,0)))</f>
        <v/>
      </c>
      <c r="CI70" s="8"/>
      <c r="CJ70" s="3" t="str">
        <f>IF(CI70=0,"",IF(CI70=VLOOKUP("PCS-OzTL42",ARBOR!$A:$C,3,0),0.0001,IF(CI70&gt;VLOOKUP("PCS-OzTL42",ARBOR!$A:$C,3,0),"Maior que CAP!",IF((DOLLAR(CI70+(VLOOKUP("PCS-OzTL42",ARBOR!$A:$C,3,0)*-TRUNC(CI70/VLOOKUP("PCS-OzTL42",ARBOR!$A:$C,3,0)-1,4)),6))&lt;&gt;(DOLLAR(VLOOKUP("PCS-OzTL42",ARBOR!$A:$C,3,0),6)),-TRUNC(CI70/VLOOKUP("PCS-OzTL42",ARBOR!$A:$C,3,0)-1,4)+0.0001,-TRUNC(CI70/VLOOKUP("PCS-OzTL42",ARBOR!$A:$C,3,0)-1,4)))))</f>
        <v/>
      </c>
      <c r="CK70" s="28" t="str">
        <f>IF(ISERROR(IF(CJ70="","",VLOOKUP(($BC70&amp;CJ70&amp;"Template desconto FLAT Plano Principal Oi TV nível conta"),BENEFICIOS!$A:$G,5,0))),"Criar",IF(CJ70="","",VLOOKUP(($BC70&amp;CJ70&amp;"Template desconto FLAT Plano Principal Oi TV nível conta"),BENEFICIOS!$A:$G,5,0)))</f>
        <v/>
      </c>
      <c r="CL70" s="8"/>
      <c r="CM70" s="3" t="str">
        <f>IF(CL70=0,"",IF(CL70=VLOOKUP("PCS-OzTL47",ARBOR!$A:$C,3,0),0.0001,IF(CL70&gt;VLOOKUP("PCS-OzTL47",ARBOR!$A:$C,3,0),"Maior que CAP!",IF((DOLLAR(CL70+(VLOOKUP("PCS-OzTL47",ARBOR!$A:$C,3,0)*-TRUNC(CL70/VLOOKUP("PCS-OzTL47",ARBOR!$A:$C,3,0)-1,4)),6))&lt;&gt;(DOLLAR(VLOOKUP("PCS-OzTL47",ARBOR!$A:$C,3,0),6)),-TRUNC(CL70/VLOOKUP("PCS-OzTL47",ARBOR!$A:$C,3,0)-1,4)+0.0001,-TRUNC(CL70/VLOOKUP("PCS-OzTL47",ARBOR!$A:$C,3,0)-1,4)))))</f>
        <v/>
      </c>
      <c r="CN70" s="28" t="str">
        <f>IF(ISERROR(IF(CM70="","",VLOOKUP(($BC70&amp;CM70&amp;"Template desconto FLAT Plano Principal Oi TV nível conta"),BENEFICIOS!$A:$G,5,0))),"Criar",IF(CM70="","",VLOOKUP(($BC70&amp;CM70&amp;"Template desconto FLAT Plano Principal Oi TV nível conta"),BENEFICIOS!$A:$G,5,0)))</f>
        <v/>
      </c>
      <c r="CO70" s="8"/>
      <c r="CP70" s="3" t="str">
        <f>IF(CO70=0,"",IF(CO70=VLOOKUP("PCS-OzTL46",ARBOR!$A:$C,3,0),0.0001,IF(CO70&gt;VLOOKUP("PCS-OzTL46",ARBOR!$A:$C,3,0),"Maior que CAP!",IF((DOLLAR(CO70+(VLOOKUP("PCS-OzTL46",ARBOR!$A:$C,3,0)*-TRUNC(CO70/VLOOKUP("PCS-OzTL46",ARBOR!$A:$C,3,0)-1,4)),6))&lt;&gt;(DOLLAR(VLOOKUP("PCS-OzTL46",ARBOR!$A:$C,3,0),6)),-TRUNC(CO70/VLOOKUP("PCS-OzTL46",ARBOR!$A:$C,3,0)-1,4)+0.0001,-TRUNC(CO70/VLOOKUP("PCS-OzTL46",ARBOR!$A:$C,3,0)-1,4)))))</f>
        <v/>
      </c>
      <c r="CQ70" s="28" t="str">
        <f>IF(ISERROR(IF(CP70="","",VLOOKUP(($BC70&amp;CP70&amp;"Template desconto FLAT Plano Principal Oi TV nível conta"),BENEFICIOS!$A:$G,5,0))),"Criar",IF(CP70="","",VLOOKUP(($BC70&amp;CP70&amp;"Template desconto FLAT Plano Principal Oi TV nível conta"),BENEFICIOS!$A:$G,5,0)))</f>
        <v/>
      </c>
      <c r="CR70" s="8"/>
      <c r="CS70" s="3" t="str">
        <f>IF(CR70=0,"",IF(CR70=VLOOKUP("PCS-OzTL48",ARBOR!$A:$C,3,0),0.0001,IF(CR70&gt;VLOOKUP("PCS-OzTL48",ARBOR!$A:$C,3,0),"Maior que CAP!",IF((DOLLAR(CR70+(VLOOKUP("PCS-OzTL48",ARBOR!$A:$C,3,0)*-TRUNC(CR70/VLOOKUP("PCS-OzTL48",ARBOR!$A:$C,3,0)-1,4)),6))&lt;&gt;(DOLLAR(VLOOKUP("PCS-OzTL48",ARBOR!$A:$C,3,0),6)),-TRUNC(CR70/VLOOKUP("PCS-OzTL48",ARBOR!$A:$C,3,0)-1,4)+0.0001,-TRUNC(CR70/VLOOKUP("PCS-OzTL48",ARBOR!$A:$C,3,0)-1,4)))))</f>
        <v/>
      </c>
      <c r="CT70" s="28" t="str">
        <f>IF(ISERROR(IF(CS70="","",VLOOKUP(($BC70&amp;CS70&amp;"Template desconto FLAT Plano Principal Oi TV nível conta"),BENEFICIOS!$A:$G,5,0))),"Criar",IF(CS70="","",VLOOKUP(($BC70&amp;CS70&amp;"Template desconto FLAT Plano Principal Oi TV nível conta"),BENEFICIOS!$A:$G,5,0)))</f>
        <v/>
      </c>
      <c r="CU70" s="8"/>
      <c r="CV70" s="3" t="str">
        <f>IF(CU70=0,"",IF(CU70=VLOOKUP("PCS-OzTL742",ARBOR!$A:$C,3,0),0.0001,IF(CU70&gt;VLOOKUP("PCS-OzTL742",ARBOR!$A:$C,3,0),"Maior que CAP!",IF((DOLLAR(CU70+(VLOOKUP("PCS-OzTL742",ARBOR!$A:$C,3,0)*-TRUNC(CU70/VLOOKUP("PCS-OzTL742",ARBOR!$A:$C,3,0)-1,4)),6))&lt;&gt;(DOLLAR(VLOOKUP("PCS-OzTL742",ARBOR!$A:$C,3,0),6)),-TRUNC(CU70/VLOOKUP("PCS-OzTL742",ARBOR!$A:$C,3,0)-1,4)+0.0001,-TRUNC(CU70/VLOOKUP("PCS-OzTL742",ARBOR!$A:$C,3,0)-1,4)))))</f>
        <v/>
      </c>
      <c r="CW70" s="28" t="str">
        <f>IF(ISERROR(IF(CV70="","",VLOOKUP(($BC70&amp;CV70&amp;"Template desconto FLAT Plano Principal Oi TV nível conta"),BENEFICIOS!$A:$G,5,0))),"Criar",IF(CV70="","",VLOOKUP(($BC70&amp;CV70&amp;"Template desconto FLAT Plano Principal Oi TV nível conta"),BENEFICIOS!$A:$G,5,0)))</f>
        <v/>
      </c>
      <c r="CX70" s="8"/>
      <c r="CY70" s="3" t="str">
        <f>IF(CX70=0,"",IF(CX70=VLOOKUP("PCS-OzTL747",ARBOR!$A:$C,3,0),0.0001,IF(CX70&gt;VLOOKUP("PCS-OzTL747",ARBOR!$A:$C,3,0),"Maior que CAP!",IF((DOLLAR(CX70+(VLOOKUP("PCS-OzTL747",ARBOR!$A:$C,3,0)*-TRUNC(CX70/VLOOKUP("PCS-OzTL747",ARBOR!$A:$C,3,0)-1,4)),6))&lt;&gt;(DOLLAR(VLOOKUP("PCS-OzTL747",ARBOR!$A:$C,3,0),6)),-TRUNC(CX70/VLOOKUP("PCS-OzTL747",ARBOR!$A:$C,3,0)-1,4)+0.0001,-TRUNC(CX70/VLOOKUP("PCS-OzTL747",ARBOR!$A:$C,3,0)-1,4)))))</f>
        <v/>
      </c>
      <c r="CZ70" s="28" t="str">
        <f>IF(ISERROR(IF(CY70="","",VLOOKUP(($BC70&amp;CY70&amp;"Template desconto FLAT Plano Principal Oi TV nível conta"),BENEFICIOS!$A:$G,5,0))),"Criar",IF(CY70="","",VLOOKUP(($BC70&amp;CY70&amp;"Template desconto FLAT Plano Principal Oi TV nível conta"),BENEFICIOS!$A:$G,5,0)))</f>
        <v/>
      </c>
      <c r="DA70" s="8"/>
      <c r="DB70" s="3" t="str">
        <f>IF(DA70=0,"",IF(DA70=VLOOKUP("PCS-OzTL746",ARBOR!$A:$C,3,0),0.0001,IF(DA70&gt;VLOOKUP("PCS-OzTL746",ARBOR!$A:$C,3,0),"Maior que CAP!",IF((DOLLAR(DA70+(VLOOKUP("PCS-OzTL746",ARBOR!$A:$C,3,0)*-TRUNC(DA70/VLOOKUP("PCS-OzTL746",ARBOR!$A:$C,3,0)-1,4)),6))&lt;&gt;(DOLLAR(VLOOKUP("PCS-OzTL746",ARBOR!$A:$C,3,0),6)),-TRUNC(DA70/VLOOKUP("PCS-OzTL746",ARBOR!$A:$C,3,0)-1,4)+0.0001,-TRUNC(DA70/VLOOKUP("PCS-OzTL746",ARBOR!$A:$C,3,0)-1,4)))))</f>
        <v/>
      </c>
      <c r="DC70" s="28" t="str">
        <f>IF(ISERROR(IF(DB70="","",VLOOKUP(($BC70&amp;DB70&amp;"Template desconto FLAT Plano Principal Oi TV nível conta"),BENEFICIOS!$A:$G,5,0))),"Criar",IF(DB70="","",VLOOKUP(($BC70&amp;DB70&amp;"Template desconto FLAT Plano Principal Oi TV nível conta"),BENEFICIOS!$A:$G,5,0)))</f>
        <v/>
      </c>
      <c r="DD70" s="8"/>
      <c r="DE70" s="3" t="str">
        <f>IF(DD70=0,"",IF(DD70=VLOOKUP("PCS-OzTL748",ARBOR!$A:$C,3,0),0.0001,IF(DD70&gt;VLOOKUP("PCS-OzTL748",ARBOR!$A:$C,3,0),"Maior que CAP!",IF((DOLLAR(DD70+(VLOOKUP("PCS-OzTL748",ARBOR!$A:$C,3,0)*-TRUNC(DD70/VLOOKUP("PCS-OzTL748",ARBOR!$A:$C,3,0)-1,4)),6))&lt;&gt;(DOLLAR(VLOOKUP("PCS-OzTL748",ARBOR!$A:$C,3,0),6)),-TRUNC(DD70/VLOOKUP("PCS-OzTL748",ARBOR!$A:$C,3,0)-1,4)+0.0001,-TRUNC(DD70/VLOOKUP("PCS-OzTL748",ARBOR!$A:$C,3,0)-1,4)))))</f>
        <v/>
      </c>
      <c r="DF70" s="28" t="str">
        <f>IF(ISERROR(IF(DE70="","",VLOOKUP(($BC70&amp;DE70&amp;"Template desconto FLAT Plano Principal Oi TV nível conta"),BENEFICIOS!$A:$G,5,0))),"Criar",IF(DE70="","",VLOOKUP(($BC70&amp;DE70&amp;"Template desconto FLAT Plano Principal Oi TV nível conta"),BENEFICIOS!$A:$G,5,0)))</f>
        <v/>
      </c>
      <c r="DG70" s="8"/>
      <c r="DH70" s="3" t="str">
        <f>IF(DG70=0,"",IF(DG70=VLOOKUP("PCS-OzTL34",ARBOR!$A:$C,3,0),0.0001,IF(DG70&gt;VLOOKUP("PCS-OzTL34",ARBOR!$A:$C,3,0),"Maior que CAP!",IF((DOLLAR(DG70+(VLOOKUP("PCS-OzTL34",ARBOR!$A:$C,3,0)*-TRUNC(DG70/VLOOKUP("PCS-OzTL34",ARBOR!$A:$C,3,0)-1,4)),6))&lt;&gt;(DOLLAR(VLOOKUP("PCS-OzTL34",ARBOR!$A:$C,3,0),6)),-TRUNC(DG70/VLOOKUP("PCS-OzTL34",ARBOR!$A:$C,3,0)-1,4)+0.0001,-TRUNC(DG70/VLOOKUP("PCS-OzTL34",ARBOR!$A:$C,3,0)-1,4)))))</f>
        <v/>
      </c>
      <c r="DI70" s="28" t="str">
        <f>IF(DH70="S/Desc","S/Desc",IF(ISERROR(IF(DH70="","",VLOOKUP(($BC70&amp;DH70&amp;"Template desconto % Combate nível conta"),BENEFICIOS!$A:$G,5,0))),"Criar",IF(DH70="","",VLOOKUP(($BC70&amp;DH70&amp;"Template desconto % Combate nível conta"),BENEFICIOS!$A:$G,5,0))))</f>
        <v/>
      </c>
      <c r="DJ70" s="8"/>
      <c r="DK70" s="3" t="str">
        <f>IF(DJ70=0,"",IF(DJ70=VLOOKUP("PCS-OzTL31",ARBOR!$A:$C,3,0),0.0001,IF(DJ70&gt;VLOOKUP("PCS-OzTL31",ARBOR!$A:$C,3,0),"Maior que CAP!",IF((DOLLAR(DJ70+(VLOOKUP("PCS-OzTL31",ARBOR!$A:$C,3,0)*-TRUNC(DJ70/VLOOKUP("PCS-OzTL31",ARBOR!$A:$C,3,0)-1,4)),6))&lt;&gt;(DOLLAR(VLOOKUP("PCS-OzTL31",ARBOR!$A:$C,3,0),6)),-TRUNC(DJ70/VLOOKUP("PCS-OzTL31",ARBOR!$A:$C,3,0)-1,4)+0.0001,-TRUNC(DJ70/VLOOKUP("PCS-OzTL31",ARBOR!$A:$C,3,0)-1,4)))))</f>
        <v/>
      </c>
      <c r="DL70" s="28" t="str">
        <f>IF(DK70="S/Desc","S/Desc",IF(ISERROR(IF(DK70="","",VLOOKUP(($BC70&amp;DK70&amp;"Template desconto % Sexy Hot nível conta"),BENEFICIOS!$A:$G,5,0))),"Criar",IF(DK70="","",VLOOKUP(($BC70&amp;DK70&amp;"Template desconto % Sexy Hot nível conta"),BENEFICIOS!$A:$G,5,0))))</f>
        <v/>
      </c>
      <c r="DM70" s="8"/>
      <c r="DN70" s="3" t="str">
        <f>IF(DM70=0,"",IF(DM70=VLOOKUP("PCS-OzTL32",ARBOR!$A:$C,3,0),0.0001,IF(DM70&gt;VLOOKUP("PCS-OzTL32",ARBOR!$A:$C,3,0),"Maior que CAP!",IF((DOLLAR(DM70+(VLOOKUP("PCS-OzTL32",ARBOR!$A:$C,3,0)*-TRUNC(DM70/VLOOKUP("PCS-OzTL32",ARBOR!$A:$C,3,0)-1,4)),6))&lt;&gt;(DOLLAR(VLOOKUP("PCS-OzTL32",ARBOR!$A:$C,3,0),6)),-TRUNC(DM70/VLOOKUP("PCS-OzTL32",ARBOR!$A:$C,3,0)-1,4)+0.0001,-TRUNC(DM70/VLOOKUP("PCS-OzTL32",ARBOR!$A:$C,3,0)-1,4)))))</f>
        <v/>
      </c>
      <c r="DO70" s="28" t="str">
        <f>IF(DN70="S/Desc","S/Desc",IF(ISERROR(IF(DN70="","",VLOOKUP(($BC70&amp;DN70&amp;"Template desconto % Playboy nível conta"),BENEFICIOS!$A:$G,5,0))),"Criar",IF(DN70="","",VLOOKUP(($BC70&amp;DN70&amp;"Template desconto % Playboy nível conta"),BENEFICIOS!$A:$G,5,0))))</f>
        <v/>
      </c>
      <c r="DP70" s="8"/>
      <c r="DQ70" s="3" t="str">
        <f>IF(DP70=0,"",IF(DP70=VLOOKUP("PCS-OzTL33",ARBOR!$A:$C,3,0),0.0001,IF(DP70&gt;VLOOKUP("PCS-OzTL33",ARBOR!$A:$C,3,0),"Maior que CAP!",IF((DOLLAR(DP70+(VLOOKUP("PCS-OzTL33",ARBOR!$A:$C,3,0)*-TRUNC(DP70/VLOOKUP("PCS-OzTL33",ARBOR!$A:$C,3,0)-1,4)),6))&lt;&gt;(DOLLAR(VLOOKUP("PCS-OzTL33",ARBOR!$A:$C,3,0),6)),-TRUNC(DP70/VLOOKUP("PCS-OzTL33",ARBOR!$A:$C,3,0)-1,4)+0.0001,-TRUNC(DP70/VLOOKUP("PCS-OzTL33",ARBOR!$A:$C,3,0)-1,4)))))</f>
        <v/>
      </c>
      <c r="DR70" s="28" t="str">
        <f>IF(DQ70="S/Desc","S/Desc",IF(ISERROR(IF(DQ70="","",VLOOKUP(($BC70&amp;DQ70&amp;"Template desconto % Sexy Hot + Playboy nível conta"),BENEFICIOS!$A:$G,5,0))),"Criar",IF(DQ70="","",VLOOKUP(($BC70&amp;DQ70&amp;"Template desconto % Sexy Hot + Playboy nível conta"),BENEFICIOS!$A:$G,5,0))))</f>
        <v/>
      </c>
      <c r="DS70" s="8"/>
      <c r="DT70" s="3" t="str">
        <f>IF(DS70=0,"",IF(DS70=VLOOKUP("PCS-OzTL503",ARBOR!$A:$C,3,0),0.0001,IF(DS70&gt;VLOOKUP("PCS-OzTL503",ARBOR!$A:$C,3,0),"Maior que CAP!",IF((DOLLAR(DS70+(VLOOKUP("PCS-OzTL503",ARBOR!$A:$C,3,0)*-TRUNC(DS70/VLOOKUP("PCS-OzTL503",ARBOR!$A:$C,3,0)-1,4)),6))&lt;&gt;(DOLLAR(VLOOKUP("PCS-OzTL503",ARBOR!$A:$C,3,0),6)),-TRUNC(DS70/VLOOKUP("PCS-OzTL503",ARBOR!$A:$C,3,0)-1,4)+0.0001,-TRUNC(DS70/VLOOKUP("PCS-OzTL503",ARBOR!$A:$C,3,0)-1,4)))))</f>
        <v/>
      </c>
      <c r="DU70" s="28" t="str">
        <f>IF(DT70="S/Desc","S/Desc",IF(ISERROR(IF(DT70="","",VLOOKUP(($BC70&amp;DT70&amp;"Template desconto % SexPrivê nível conta"),BENEFICIOS!$A:$G,5,0))),"Criar",IF(DT70="","",VLOOKUP(($BC70&amp;DT70&amp;"Template desconto % SexPrivê nível conta"),BENEFICIOS!$A:$G,5,0))))</f>
        <v/>
      </c>
      <c r="DV70" s="8"/>
      <c r="DW70" s="3" t="str">
        <f>IF(DV70=0,"",IF(DV70=VLOOKUP("PCS-OzTL500",ARBOR!$A:$C,3,0),0.0001,IF(DV70&gt;VLOOKUP("PCS-OzTL500",ARBOR!$A:$C,3,0),"Maior que CAP!",IF((DOLLAR(DV70+(VLOOKUP("PCS-OzTL500",ARBOR!$A:$C,3,0)*-TRUNC(DV70/VLOOKUP("PCS-OzTL500",ARBOR!$A:$C,3,0)-1,4)),6))&lt;&gt;(DOLLAR(VLOOKUP("PCS-OzTL500",ARBOR!$A:$C,3,0),6)),-TRUNC(DV70/VLOOKUP("PCS-OzTL500",ARBOR!$A:$C,3,0)-1,4)+0.0001,-TRUNC(DV70/VLOOKUP("PCS-OzTL500",ARBOR!$A:$C,3,0)-1,4)))))</f>
        <v/>
      </c>
      <c r="DX70" s="28" t="str">
        <f>IF(DW70="S/Desc","S/Desc",IF(ISERROR(IF(DW70="","",VLOOKUP(($BC70&amp;DW70&amp;"Template desconto % Étnico nível conta"),BENEFICIOS!$A:$G,5,0))),"Criar",IF(DW70="","",VLOOKUP(($BC70&amp;DW70&amp;"Template desconto % Étnico nível conta"),BENEFICIOS!$A:$G,5,0))))</f>
        <v/>
      </c>
      <c r="DY70" s="8"/>
      <c r="DZ70" s="181" t="str">
        <f>IF(DY70=0,"",IF(DY70=VLOOKUP("PCS-OzTL50",ARBOR!$A:$C,3,0),0.0001,IF(DY70&gt;VLOOKUP("PCS-OzTL50",ARBOR!$A:$C,3,0),"Maior que CAP!",IF((DOLLAR(DY70+(VLOOKUP("PCS-OzTL50",ARBOR!$A:$C,3,0)*-TRUNC(DY70/VLOOKUP("PCS-OzTL50",ARBOR!$A:$C,3,0)-1,4)),6))&lt;&gt;(DOLLAR(VLOOKUP("PCS-OzTL50",ARBOR!$A:$C,3,0),6)),-TRUNC(DY70/VLOOKUP("PCS-OzTL50",ARBOR!$A:$C,3,0)-1,4)+0.0001,-TRUNC(DY70/VLOOKUP("PCS-OzTL50",ARBOR!$A:$C,3,0)-1,4)))))</f>
        <v/>
      </c>
      <c r="EA70" s="28"/>
      <c r="EB70" s="8"/>
      <c r="EC70" s="181" t="str">
        <f>IF(EB70=0,"",IF(EB70=VLOOKUP("PCS-OzTL51",ARBOR!$A:$C,3,0),0.0001,IF(EB70&gt;VLOOKUP("PCS-OzTL51",ARBOR!$A:$C,3,0),"Maior que CAP!",IF((DOLLAR(EB70+(VLOOKUP("PCS-OzTL51",ARBOR!$A:$C,3,0)*-TRUNC(EB70/VLOOKUP("PCS-OzTL51",ARBOR!$A:$C,3,0)-1,4)),6))&lt;&gt;(DOLLAR(VLOOKUP("PCS-OzTL51",ARBOR!$A:$C,3,0),6)),-TRUNC(EB70/VLOOKUP("PCS-OzTL51",ARBOR!$A:$C,3,0)-1,4)+0.0001,-TRUNC(EB70/VLOOKUP("PCS-OzTL51",ARBOR!$A:$C,3,0)-1,4)))))</f>
        <v/>
      </c>
      <c r="ED70" s="28"/>
      <c r="EE70" s="8"/>
      <c r="EF70" s="181" t="str">
        <f>IF(EE70=0,"",IF(EE70=VLOOKUP("PCS-OzTL52",ARBOR!$A:$C,3,0),0.0001,IF(EE70&gt;VLOOKUP("PCS-OzTL52",ARBOR!$A:$C,3,0),"Maior que CAP!",IF((DOLLAR(EE70+(VLOOKUP("PCS-OzTL52",ARBOR!$A:$C,3,0)*-TRUNC(EE70/VLOOKUP("PCS-OzTL52",ARBOR!$A:$C,3,0)-1,4)),6))&lt;&gt;(DOLLAR(VLOOKUP("PCS-OzTL52",ARBOR!$A:$C,3,0),6)),-TRUNC(EE70/VLOOKUP("PCS-OzTL52",ARBOR!$A:$C,3,0)-1,4)+0.0001,-TRUNC(EE70/VLOOKUP("PCS-OzTL52",ARBOR!$A:$C,3,0)-1,4)))))</f>
        <v/>
      </c>
      <c r="EG70" s="28"/>
      <c r="EH70" s="8"/>
      <c r="EI70" s="181" t="str">
        <f>IF(EH70=0,"",IF(EH70=VLOOKUP("PCS-OzTL53",ARBOR!$A:$C,3,0),0.0001,IF(EH70&gt;VLOOKUP("PCS-OzTL53",ARBOR!$A:$C,3,0),"Maior que CAP!",IF((DOLLAR(EH70+(VLOOKUP("PCS-OzTL53",ARBOR!$A:$C,3,0)*-TRUNC(EH70/VLOOKUP("PCS-OzTL53",ARBOR!$A:$C,3,0)-1,4)),6))&lt;&gt;(DOLLAR(VLOOKUP("PCS-OzTL53",ARBOR!$A:$C,3,0),6)),-TRUNC(EH70/VLOOKUP("PCS-OzTL53",ARBOR!$A:$C,3,0)-1,4)+0.0001,-TRUNC(EH70/VLOOKUP("PCS-OzTL53",ARBOR!$A:$C,3,0)-1,4)))))</f>
        <v/>
      </c>
      <c r="EJ70" s="28"/>
      <c r="EK70" s="8"/>
      <c r="EL70" s="181" t="str">
        <f>IF(EK70=0,"",IF(EK70=VLOOKUP("PCS-OzTL54",ARBOR!$A:$C,3,0),0.0001,IF(EK70&gt;VLOOKUP("PCS-OzTL54",ARBOR!$A:$C,3,0),"Maior que CAP!",IF((DOLLAR(EK70+(VLOOKUP("PCS-OzTL54",ARBOR!$A:$C,3,0)*-TRUNC(EK70/VLOOKUP("PCS-OzTL54",ARBOR!$A:$C,3,0)-1,4)),6))&lt;&gt;(DOLLAR(VLOOKUP("PCS-OzTL54",ARBOR!$A:$C,3,0),6)),-TRUNC(EK70/VLOOKUP("PCS-OzTL54",ARBOR!$A:$C,3,0)-1,4)+0.0001,-TRUNC(EK70/VLOOKUP("PCS-OzTL54",ARBOR!$A:$C,3,0)-1,4)))))</f>
        <v/>
      </c>
      <c r="EM70" s="28"/>
      <c r="EN70" s="8"/>
      <c r="EO70" s="3" t="str">
        <f>IF(EN70=0,"",IF(EN70=VLOOKUP("PCS-OzTL99",ARBOR!$A:$C,3,0),0.0001,IF(EN70&gt;VLOOKUP("PCS-OzTL99",ARBOR!$A:$C,3,0),"Maior que CAP!",IF((DOLLAR(EN70+(VLOOKUP("PCS-OzTL99",ARBOR!$A:$C,3,0)*-TRUNC(EN70/VLOOKUP("PCS-OzTL99",ARBOR!$A:$C,3,0)-1,4)),6))&lt;&gt;(DOLLAR(VLOOKUP("PCS-OzTL99",ARBOR!$A:$C,3,0),6)),-TRUNC(EN70/VLOOKUP("PCS-OzTL99",ARBOR!$A:$C,3,0)-1,4)+0.0001,-TRUNC(EN70/VLOOKUP("PCS-OzTL99",ARBOR!$A:$C,3,0)-1,4)))))</f>
        <v/>
      </c>
      <c r="EP70" s="28" t="str">
        <f>IF(EO70="S/Desc","S/Desc",IF(ISERROR(IF(EO70="","",VLOOKUP(($BC70&amp;EO70&amp;"Template desconto % Ponto adicional nível conta"),BENEFICIOS!$A:$G,5,0))),"Criar",IF(EO70="","",VLOOKUP(($BC70&amp;EO70&amp;"Template desconto % Ponto adicional nível conta"),BENEFICIOS!$A:$G,5,0))))</f>
        <v/>
      </c>
      <c r="EQ70" s="8"/>
      <c r="ER70" s="28" t="str">
        <f t="shared" si="23"/>
        <v/>
      </c>
      <c r="ES70" s="62"/>
      <c r="ET70" s="126"/>
      <c r="EU70" s="127"/>
      <c r="EV70" s="126"/>
      <c r="EW70" s="128" t="str">
        <f t="shared" si="24"/>
        <v/>
      </c>
      <c r="EX70" s="129" t="str">
        <f t="shared" si="25"/>
        <v/>
      </c>
      <c r="EY70" s="91" t="str">
        <f t="shared" si="26"/>
        <v/>
      </c>
      <c r="EZ70" s="85"/>
      <c r="FA70" s="97"/>
      <c r="FB70" s="91"/>
      <c r="FC70" s="85"/>
      <c r="FD70" s="97"/>
      <c r="FE70" s="91"/>
      <c r="FF70" s="87"/>
      <c r="FG70" s="144" t="str">
        <f t="shared" si="27"/>
        <v/>
      </c>
      <c r="FH70" s="144" t="str">
        <f t="shared" si="28"/>
        <v/>
      </c>
      <c r="FI70" s="144" t="str">
        <f t="shared" si="29"/>
        <v/>
      </c>
      <c r="FJ70" s="144" t="str">
        <f t="shared" si="30"/>
        <v/>
      </c>
      <c r="FK70" s="144" t="str">
        <f t="shared" si="31"/>
        <v/>
      </c>
      <c r="FL70" s="144" t="str">
        <f t="shared" si="32"/>
        <v/>
      </c>
      <c r="FM70" s="144" t="str">
        <f t="shared" si="33"/>
        <v/>
      </c>
      <c r="FN70" s="144" t="str">
        <f t="shared" si="34"/>
        <v/>
      </c>
      <c r="FO70" s="144" t="str">
        <f t="shared" si="35"/>
        <v/>
      </c>
      <c r="FP70" s="144" t="str">
        <f t="shared" si="36"/>
        <v/>
      </c>
      <c r="FQ70" s="144" t="str">
        <f t="shared" si="37"/>
        <v/>
      </c>
      <c r="FR70" s="144" t="str">
        <f t="shared" si="38"/>
        <v/>
      </c>
      <c r="FS70" s="144" t="str">
        <f t="shared" si="39"/>
        <v/>
      </c>
      <c r="FT70" s="144" t="str">
        <f t="shared" si="40"/>
        <v/>
      </c>
      <c r="FU70" s="144" t="str">
        <f t="shared" si="41"/>
        <v/>
      </c>
      <c r="FV70" s="144" t="str">
        <f t="shared" si="42"/>
        <v/>
      </c>
      <c r="FW70" s="144" t="str">
        <f t="shared" si="43"/>
        <v/>
      </c>
      <c r="FX70" s="151"/>
      <c r="FY70" s="152"/>
      <c r="FZ70" s="152"/>
      <c r="GA70" s="152"/>
      <c r="GB70" s="152"/>
      <c r="GC70" s="152"/>
      <c r="GD70" s="152"/>
      <c r="GE70" s="152"/>
      <c r="GF70" s="152"/>
      <c r="GG70" s="153"/>
    </row>
    <row r="71" spans="1:189">
      <c r="A71" s="45"/>
      <c r="B71" s="133"/>
      <c r="C71" s="133"/>
      <c r="D71" s="46"/>
      <c r="E71" s="4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9"/>
      <c r="U71" s="48"/>
      <c r="V71" s="49"/>
      <c r="W71" s="48"/>
      <c r="X71" s="48"/>
      <c r="Y71" s="48"/>
      <c r="Z71" s="48"/>
      <c r="AA71" s="49"/>
      <c r="AB71" s="48"/>
      <c r="AC71" s="50"/>
      <c r="AD71" s="48"/>
      <c r="AE71" s="48"/>
      <c r="AF71" s="48"/>
      <c r="AG71" s="48"/>
      <c r="AH71" s="48"/>
      <c r="AI71" s="48"/>
      <c r="AJ71" s="48"/>
      <c r="AK71" s="48"/>
      <c r="AL71" s="51"/>
      <c r="AM71" s="37"/>
      <c r="AN71" s="38"/>
      <c r="AO71" s="39"/>
      <c r="AP71" s="52"/>
      <c r="AQ71" s="53"/>
      <c r="AR71" s="64"/>
      <c r="AS71" s="65"/>
      <c r="AT71" s="54"/>
      <c r="AU71" s="54"/>
      <c r="AV71" s="54"/>
      <c r="AW71" s="54"/>
      <c r="AX71" s="70"/>
      <c r="AY71" s="71"/>
      <c r="AZ71" s="72"/>
      <c r="BA71" s="73"/>
      <c r="BB71" s="55"/>
      <c r="BC71" s="56"/>
      <c r="BD71" s="27" t="str">
        <f t="shared" si="22"/>
        <v/>
      </c>
      <c r="BE71" s="58"/>
      <c r="BF71" s="3" t="str">
        <f>IF(BE71=0,"",IF(BE71=VLOOKUP("FIXO",ARBOR!$A:$C,3,0),0.0001,IF(BE71&gt;VLOOKUP("FIXO",ARBOR!$A:$C,3,0),"Maior que CAP!",IF((DOLLAR(BE71+(VLOOKUP("FIXO",ARBOR!$A:$C,3,0)*-TRUNC(BE71/VLOOKUP("FIXO",ARBOR!$A:$C,3,0)-1,4)),6))&lt;&gt;(DOLLAR(VLOOKUP("FIXO",ARBOR!$A:$C,3,0),6)),-TRUNC(BE71/VLOOKUP("FIXO",ARBOR!$A:$C,3,0)-1,4)+0.0001,-TRUNC(BE71/VLOOKUP("FIXO",ARBOR!$A:$C,3,0)-1,4)))))</f>
        <v/>
      </c>
      <c r="BG71" s="10" t="str">
        <f>IF(ISERROR(IF(BF71="","",VLOOKUP(($BC71&amp;BF71&amp;"Template de desconto FLAT bundle - Fixo - Varejo - Ganho Tributário Cross"),BENEFICIOS!$A:$G,5,0))),"Criar",IF(BF71="","",VLOOKUP(($BC71&amp;BF71&amp;"Template de desconto FLAT bundle - Fixo - Varejo - Ganho Tributário Cross"),BENEFICIOS!$A:$G,5,0)))</f>
        <v/>
      </c>
      <c r="BH71" s="8"/>
      <c r="BI71" s="3" t="str">
        <f>IF(BH71=0,"",IF(BH71=VLOOKUP("PCS-OzTL40",ARBOR!$A:$C,3,0),0.0001,IF(BH71&gt;VLOOKUP("PCS-OzTL40",ARBOR!$A:$C,3,0),"Maior que CAP!",IF((DOLLAR(BH71+(VLOOKUP("PCS-OzTL40",ARBOR!$A:$C,3,0)*-TRUNC(BH71/VLOOKUP("PCS-OzTL40",ARBOR!$A:$C,3,0)-1,4)),6))&lt;&gt;(DOLLAR(VLOOKUP("PCS-OzTL40",ARBOR!$A:$C,3,0),6)),-TRUNC(BH71/VLOOKUP("PCS-OzTL40",ARBOR!$A:$C,3,0)-1,4)+0.0001,-TRUNC(BH71/VLOOKUP("PCS-OzTL40",ARBOR!$A:$C,3,0)-1,4)))))</f>
        <v/>
      </c>
      <c r="BJ71" s="10" t="str">
        <f>IF(ISERROR(IF(BI71="","",VLOOKUP((BC71&amp;BI71&amp;"Template desconto FLAT Plano Principal Oi TV nível conta"),BENEFICIOS!$A:$G,5,0))),"Criar",IF(BI71="","",VLOOKUP((BC71&amp;BI71&amp;"Template desconto FLAT Plano Principal Oi TV nível conta"),BENEFICIOS!$A:$G,5,0)))</f>
        <v/>
      </c>
      <c r="BK71" s="8"/>
      <c r="BL71" s="3" t="str">
        <f>IF(BK71=0,"",IF(BK71=VLOOKUP("PCS-OzTL41",ARBOR!$A:$C,3,0),0.0001,IF(BK71&gt;VLOOKUP("PCS-OzTL41",ARBOR!$A:$C,3,0),"Maior que CAP!",IF((DOLLAR(BK71+(VLOOKUP("PCS-OzTL41",ARBOR!$A:$C,3,0)*-TRUNC(BK71/VLOOKUP("PCS-OzTL41",ARBOR!$A:$C,3,0)-1,4)),6))&lt;&gt;(DOLLAR(VLOOKUP("PCS-OzTL41",ARBOR!$A:$C,3,0),6)),-TRUNC(BK71/VLOOKUP("PCS-OzTL41",ARBOR!$A:$C,3,0)-1,4)+0.0001,-TRUNC(BK71/VLOOKUP("PCS-OzTL41",ARBOR!$A:$C,3,0)-1,4)))))</f>
        <v/>
      </c>
      <c r="BM71" s="28" t="str">
        <f>IF(ISERROR(IF(BL71="","",VLOOKUP((BC71&amp;BL71&amp;"Template desconto FLAT Plano Principal Oi TV nível conta"),BENEFICIOS!$A:$G,5,0))),"Criar",IF(BL71="","",VLOOKUP((BC71&amp;BL71&amp;"Template desconto FLAT Plano Principal Oi TV nível conta"),BENEFICIOS!$A:$G,5,0)))</f>
        <v/>
      </c>
      <c r="BN71" s="8"/>
      <c r="BO71" s="3" t="str">
        <f>IF(BN71=0,"",IF(BN71=VLOOKUP("PCS-OzTL44",ARBOR!$A:$C,3,0),0.0001,IF(BN71&gt;VLOOKUP("PCS-OzTL44",ARBOR!$A:$C,3,0),"Maior que CAP!",IF((DOLLAR(BN71+(VLOOKUP("PCS-OzTL44",ARBOR!$A:$C,3,0)*-TRUNC(BN71/VLOOKUP("PCS-OzTL44",ARBOR!$A:$C,3,0)-1,4)),6))&lt;&gt;(DOLLAR(VLOOKUP("PCS-OzTL44",ARBOR!$A:$C,3,0),6)),-TRUNC(BN71/VLOOKUP("PCS-OzTL44",ARBOR!$A:$C,3,0)-1,4)+0.0001,-TRUNC(BN71/VLOOKUP("PCS-OzTL44",ARBOR!$A:$C,3,0)-1,4)))))</f>
        <v/>
      </c>
      <c r="BP71" s="28" t="str">
        <f>IF(ISERROR(IF(BO71="","",VLOOKUP((BC71&amp;BO71&amp;"Template desconto FLAT Plano Principal Oi TV nível conta"),BENEFICIOS!$A:$G,5,0))),"Criar",IF(BO71="","",VLOOKUP((BC71&amp;BO71&amp;"Template desconto FLAT Plano Principal Oi TV nível conta"),BENEFICIOS!$A:$G,5,0)))</f>
        <v/>
      </c>
      <c r="BQ71" s="8"/>
      <c r="BR71" s="3" t="str">
        <f>IF(BQ71=0,"",IF(BQ71=VLOOKUP("PCS-OzTL43",ARBOR!$A:$C,3,0),0.0001,IF(BQ71&gt;VLOOKUP("PCS-OzTL43",ARBOR!$A:$C,3,0),"Maior que CAP!",IF((DOLLAR(BQ71+(VLOOKUP("PCS-OzTL43",ARBOR!$A:$C,3,0)*-TRUNC(BQ71/VLOOKUP("PCS-OzTL43",ARBOR!$A:$C,3,0)-1,4)),6))&lt;&gt;(DOLLAR(VLOOKUP("PCS-OzTL43",ARBOR!$A:$C,3,0),6)),-TRUNC(BQ71/VLOOKUP("PCS-OzTL43",ARBOR!$A:$C,3,0)-1,4)+0.0001,-TRUNC(BQ71/VLOOKUP("PCS-OzTL43",ARBOR!$A:$C,3,0)-1,4)))))</f>
        <v/>
      </c>
      <c r="BS71" s="28" t="str">
        <f>IF(ISERROR(IF(BR71="","",VLOOKUP((BC71&amp;BR71&amp;"Template desconto FLAT Plano Principal Oi TV nível conta"),BENEFICIOS!$A:$G,5,0))),"Criar",IF(BR71="","",VLOOKUP((BC71&amp;BR71&amp;"Template desconto FLAT Plano Principal Oi TV nível conta"),BENEFICIOS!$A:$G,5,0)))</f>
        <v/>
      </c>
      <c r="BT71" s="8"/>
      <c r="BU71" s="3" t="str">
        <f>IF(BT71=0,"",IF(BT71=VLOOKUP("PCS-OzTL45",ARBOR!$A:$C,3,0),0.0001,IF(BT71&gt;VLOOKUP("PCS-OzTL45",ARBOR!$A:$C,3,0),"Maior que CAP!",IF((DOLLAR(BT71+(VLOOKUP("PCS-OzTL45",ARBOR!$A:$C,3,0)*-TRUNC(BT71/VLOOKUP("PCS-OzTL45",ARBOR!$A:$C,3,0)-1,4)),6))&lt;&gt;(DOLLAR(VLOOKUP("PCS-OzTL45",ARBOR!$A:$C,3,0),6)),-TRUNC(BT71/VLOOKUP("PCS-OzTL45",ARBOR!$A:$C,3,0)-1,4)+0.0001,-TRUNC(BT71/VLOOKUP("PCS-OzTL45",ARBOR!$A:$C,3,0)-1,4)))))</f>
        <v/>
      </c>
      <c r="BV71" s="28" t="str">
        <f>IF(ISERROR(IF(BU71="","",VLOOKUP((BC71&amp;BU71&amp;"Template desconto FLAT Plano Principal Oi TV nível conta"),BENEFICIOS!$A:$G,5,0))),"Criar",IF(BU71="","",VLOOKUP((BC71&amp;BU71&amp;"Template desconto FLAT Plano Principal Oi TV nível conta"),BENEFICIOS!$A:$G,5,0)))</f>
        <v/>
      </c>
      <c r="BW71" s="8"/>
      <c r="BX71" s="3" t="str">
        <f>IF(BW71=0,"",IF(BW71=VLOOKUP("PCS-OzTL741",ARBOR!$A:$C,3,0),0.0001,IF(BW71&gt;VLOOKUP("PCS-OzTL741",ARBOR!$A:$C,3,0),"Maior que CAP!",IF((DOLLAR(BW71+(VLOOKUP("PCS-OzTL741",ARBOR!$A:$C,3,0)*-TRUNC(BW71/VLOOKUP("PCS-OzTL741",ARBOR!$A:$C,3,0)-1,4)),6))&lt;&gt;(DOLLAR(VLOOKUP("PCS-OzTL741",ARBOR!$A:$C,3,0),6)),-TRUNC(BW71/VLOOKUP("PCS-OzTL741",ARBOR!$A:$C,3,0)-1,4)+0.0001,-TRUNC(BW71/VLOOKUP("PCS-OzTL741",ARBOR!$A:$C,3,0)-1,4)))))</f>
        <v/>
      </c>
      <c r="BY71" s="28" t="str">
        <f>IF(ISERROR(IF(BX71="","",VLOOKUP((BC71&amp;BX71&amp;"Template desconto FLAT Plano Principal Oi TV nível conta"),BENEFICIOS!$A:$G,5,0))),"Criar",IF(BX71="","",VLOOKUP((BC71&amp;BX71&amp;"Template desconto FLAT Plano Principal Oi TV nível conta"),BENEFICIOS!$A:$G,5,0)))</f>
        <v/>
      </c>
      <c r="BZ71" s="8"/>
      <c r="CA71" s="3" t="str">
        <f>IF(BZ71=0,"",IF(BZ71=VLOOKUP("PCS-OzTL744",ARBOR!$A:$C,3,0),0.0001,IF(BZ71&gt;VLOOKUP("PCS-OzTL744",ARBOR!$A:$C,3,0),"Maior que CAP!",IF((DOLLAR(BZ71+(VLOOKUP("PCS-OzTL744",ARBOR!$A:$C,3,0)*-TRUNC(BZ71/VLOOKUP("PCS-OzTL744",ARBOR!$A:$C,3,0)-1,4)),6))&lt;&gt;(DOLLAR(VLOOKUP("PCS-OzTL744",ARBOR!$A:$C,3,0),6)),-TRUNC(BZ71/VLOOKUP("PCS-OzTL744",ARBOR!$A:$C,3,0)-1,4)+0.0001,-TRUNC(BZ71/VLOOKUP("PCS-OzTL744",ARBOR!$A:$C,3,0)-1,4)))))</f>
        <v/>
      </c>
      <c r="CB71" s="28" t="str">
        <f>IF(ISERROR(IF(CA71="","",VLOOKUP(($BC71&amp;CA71&amp;"Template desconto FLAT Plano Principal Oi TV nível conta"),BENEFICIOS!$A:$G,5,0))),"Criar",IF(CA71="","",VLOOKUP(($BC71&amp;CA71&amp;"Template desconto FLAT Plano Principal Oi TV nível conta"),BENEFICIOS!$A:$G,5,0)))</f>
        <v/>
      </c>
      <c r="CC71" s="8"/>
      <c r="CD71" s="3" t="str">
        <f>IF(CC71=0,"",IF(CC71=VLOOKUP("PCS-OzTL743",ARBOR!$A:$C,3,0),0.0001,IF(CC71&gt;VLOOKUP("PCS-OzTL743",ARBOR!$A:$C,3,0),"Maior que CAP!",IF((DOLLAR(CC71+(VLOOKUP("PCS-OzTL743",ARBOR!$A:$C,3,0)*-TRUNC(CC71/VLOOKUP("PCS-OzTL743",ARBOR!$A:$C,3,0)-1,4)),6))&lt;&gt;(DOLLAR(VLOOKUP("PCS-OzTL743",ARBOR!$A:$C,3,0),6)),-TRUNC(CC71/VLOOKUP("PCS-OzTL743",ARBOR!$A:$C,3,0)-1,4)+0.0001,-TRUNC(CC71/VLOOKUP("PCS-OzTL743",ARBOR!$A:$C,3,0)-1,4)))))</f>
        <v/>
      </c>
      <c r="CE71" s="28" t="str">
        <f>IF(ISERROR(IF(CD71="","",VLOOKUP(($BC71&amp;CD71&amp;"Template desconto FLAT Plano Principal Oi TV nível conta"),BENEFICIOS!$A:$G,5,0))),"Criar",IF(CD71="","",VLOOKUP(($BC71&amp;CD71&amp;"Template desconto FLAT Plano Principal Oi TV nível conta"),BENEFICIOS!$A:$G,5,0)))</f>
        <v/>
      </c>
      <c r="CF71" s="8"/>
      <c r="CG71" s="3" t="str">
        <f>IF(CF71=0,"",IF(CF71=VLOOKUP("PCS-OzTL745",ARBOR!$A:$C,3,0),0.0001,IF(CF71&gt;VLOOKUP("PCS-OzTL745",ARBOR!$A:$C,3,0),"Maior que CAP!",IF((DOLLAR(CF71+(VLOOKUP("PCS-OzTL745",ARBOR!$A:$C,3,0)*-TRUNC(CF71/VLOOKUP("PCS-OzTL745",ARBOR!$A:$C,3,0)-1,4)),6))&lt;&gt;(DOLLAR(VLOOKUP("PCS-OzTL745",ARBOR!$A:$C,3,0),6)),-TRUNC(CF71/VLOOKUP("PCS-OzTL745",ARBOR!$A:$C,3,0)-1,4)+0.0001,-TRUNC(CF71/VLOOKUP("PCS-OzTL745",ARBOR!$A:$C,3,0)-1,4)))))</f>
        <v/>
      </c>
      <c r="CH71" s="28" t="str">
        <f>IF(ISERROR(IF(CG71="","",VLOOKUP(($BC71&amp;CG71&amp;"Template desconto FLAT Plano Principal Oi TV nível conta"),BENEFICIOS!$A:$G,5,0))),"Criar",IF(CG71="","",VLOOKUP(($BC71&amp;CG71&amp;"Template desconto FLAT Plano Principal Oi TV nível conta"),BENEFICIOS!$A:$G,5,0)))</f>
        <v/>
      </c>
      <c r="CI71" s="8"/>
      <c r="CJ71" s="3" t="str">
        <f>IF(CI71=0,"",IF(CI71=VLOOKUP("PCS-OzTL42",ARBOR!$A:$C,3,0),0.0001,IF(CI71&gt;VLOOKUP("PCS-OzTL42",ARBOR!$A:$C,3,0),"Maior que CAP!",IF((DOLLAR(CI71+(VLOOKUP("PCS-OzTL42",ARBOR!$A:$C,3,0)*-TRUNC(CI71/VLOOKUP("PCS-OzTL42",ARBOR!$A:$C,3,0)-1,4)),6))&lt;&gt;(DOLLAR(VLOOKUP("PCS-OzTL42",ARBOR!$A:$C,3,0),6)),-TRUNC(CI71/VLOOKUP("PCS-OzTL42",ARBOR!$A:$C,3,0)-1,4)+0.0001,-TRUNC(CI71/VLOOKUP("PCS-OzTL42",ARBOR!$A:$C,3,0)-1,4)))))</f>
        <v/>
      </c>
      <c r="CK71" s="28" t="str">
        <f>IF(ISERROR(IF(CJ71="","",VLOOKUP(($BC71&amp;CJ71&amp;"Template desconto FLAT Plano Principal Oi TV nível conta"),BENEFICIOS!$A:$G,5,0))),"Criar",IF(CJ71="","",VLOOKUP(($BC71&amp;CJ71&amp;"Template desconto FLAT Plano Principal Oi TV nível conta"),BENEFICIOS!$A:$G,5,0)))</f>
        <v/>
      </c>
      <c r="CL71" s="8"/>
      <c r="CM71" s="3" t="str">
        <f>IF(CL71=0,"",IF(CL71=VLOOKUP("PCS-OzTL47",ARBOR!$A:$C,3,0),0.0001,IF(CL71&gt;VLOOKUP("PCS-OzTL47",ARBOR!$A:$C,3,0),"Maior que CAP!",IF((DOLLAR(CL71+(VLOOKUP("PCS-OzTL47",ARBOR!$A:$C,3,0)*-TRUNC(CL71/VLOOKUP("PCS-OzTL47",ARBOR!$A:$C,3,0)-1,4)),6))&lt;&gt;(DOLLAR(VLOOKUP("PCS-OzTL47",ARBOR!$A:$C,3,0),6)),-TRUNC(CL71/VLOOKUP("PCS-OzTL47",ARBOR!$A:$C,3,0)-1,4)+0.0001,-TRUNC(CL71/VLOOKUP("PCS-OzTL47",ARBOR!$A:$C,3,0)-1,4)))))</f>
        <v/>
      </c>
      <c r="CN71" s="28" t="str">
        <f>IF(ISERROR(IF(CM71="","",VLOOKUP(($BC71&amp;CM71&amp;"Template desconto FLAT Plano Principal Oi TV nível conta"),BENEFICIOS!$A:$G,5,0))),"Criar",IF(CM71="","",VLOOKUP(($BC71&amp;CM71&amp;"Template desconto FLAT Plano Principal Oi TV nível conta"),BENEFICIOS!$A:$G,5,0)))</f>
        <v/>
      </c>
      <c r="CO71" s="8"/>
      <c r="CP71" s="3" t="str">
        <f>IF(CO71=0,"",IF(CO71=VLOOKUP("PCS-OzTL46",ARBOR!$A:$C,3,0),0.0001,IF(CO71&gt;VLOOKUP("PCS-OzTL46",ARBOR!$A:$C,3,0),"Maior que CAP!",IF((DOLLAR(CO71+(VLOOKUP("PCS-OzTL46",ARBOR!$A:$C,3,0)*-TRUNC(CO71/VLOOKUP("PCS-OzTL46",ARBOR!$A:$C,3,0)-1,4)),6))&lt;&gt;(DOLLAR(VLOOKUP("PCS-OzTL46",ARBOR!$A:$C,3,0),6)),-TRUNC(CO71/VLOOKUP("PCS-OzTL46",ARBOR!$A:$C,3,0)-1,4)+0.0001,-TRUNC(CO71/VLOOKUP("PCS-OzTL46",ARBOR!$A:$C,3,0)-1,4)))))</f>
        <v/>
      </c>
      <c r="CQ71" s="28" t="str">
        <f>IF(ISERROR(IF(CP71="","",VLOOKUP(($BC71&amp;CP71&amp;"Template desconto FLAT Plano Principal Oi TV nível conta"),BENEFICIOS!$A:$G,5,0))),"Criar",IF(CP71="","",VLOOKUP(($BC71&amp;CP71&amp;"Template desconto FLAT Plano Principal Oi TV nível conta"),BENEFICIOS!$A:$G,5,0)))</f>
        <v/>
      </c>
      <c r="CR71" s="8"/>
      <c r="CS71" s="3" t="str">
        <f>IF(CR71=0,"",IF(CR71=VLOOKUP("PCS-OzTL48",ARBOR!$A:$C,3,0),0.0001,IF(CR71&gt;VLOOKUP("PCS-OzTL48",ARBOR!$A:$C,3,0),"Maior que CAP!",IF((DOLLAR(CR71+(VLOOKUP("PCS-OzTL48",ARBOR!$A:$C,3,0)*-TRUNC(CR71/VLOOKUP("PCS-OzTL48",ARBOR!$A:$C,3,0)-1,4)),6))&lt;&gt;(DOLLAR(VLOOKUP("PCS-OzTL48",ARBOR!$A:$C,3,0),6)),-TRUNC(CR71/VLOOKUP("PCS-OzTL48",ARBOR!$A:$C,3,0)-1,4)+0.0001,-TRUNC(CR71/VLOOKUP("PCS-OzTL48",ARBOR!$A:$C,3,0)-1,4)))))</f>
        <v/>
      </c>
      <c r="CT71" s="28" t="str">
        <f>IF(ISERROR(IF(CS71="","",VLOOKUP(($BC71&amp;CS71&amp;"Template desconto FLAT Plano Principal Oi TV nível conta"),BENEFICIOS!$A:$G,5,0))),"Criar",IF(CS71="","",VLOOKUP(($BC71&amp;CS71&amp;"Template desconto FLAT Plano Principal Oi TV nível conta"),BENEFICIOS!$A:$G,5,0)))</f>
        <v/>
      </c>
      <c r="CU71" s="8"/>
      <c r="CV71" s="3" t="str">
        <f>IF(CU71=0,"",IF(CU71=VLOOKUP("PCS-OzTL742",ARBOR!$A:$C,3,0),0.0001,IF(CU71&gt;VLOOKUP("PCS-OzTL742",ARBOR!$A:$C,3,0),"Maior que CAP!",IF((DOLLAR(CU71+(VLOOKUP("PCS-OzTL742",ARBOR!$A:$C,3,0)*-TRUNC(CU71/VLOOKUP("PCS-OzTL742",ARBOR!$A:$C,3,0)-1,4)),6))&lt;&gt;(DOLLAR(VLOOKUP("PCS-OzTL742",ARBOR!$A:$C,3,0),6)),-TRUNC(CU71/VLOOKUP("PCS-OzTL742",ARBOR!$A:$C,3,0)-1,4)+0.0001,-TRUNC(CU71/VLOOKUP("PCS-OzTL742",ARBOR!$A:$C,3,0)-1,4)))))</f>
        <v/>
      </c>
      <c r="CW71" s="28" t="str">
        <f>IF(ISERROR(IF(CV71="","",VLOOKUP(($BC71&amp;CV71&amp;"Template desconto FLAT Plano Principal Oi TV nível conta"),BENEFICIOS!$A:$G,5,0))),"Criar",IF(CV71="","",VLOOKUP(($BC71&amp;CV71&amp;"Template desconto FLAT Plano Principal Oi TV nível conta"),BENEFICIOS!$A:$G,5,0)))</f>
        <v/>
      </c>
      <c r="CX71" s="8"/>
      <c r="CY71" s="3" t="str">
        <f>IF(CX71=0,"",IF(CX71=VLOOKUP("PCS-OzTL747",ARBOR!$A:$C,3,0),0.0001,IF(CX71&gt;VLOOKUP("PCS-OzTL747",ARBOR!$A:$C,3,0),"Maior que CAP!",IF((DOLLAR(CX71+(VLOOKUP("PCS-OzTL747",ARBOR!$A:$C,3,0)*-TRUNC(CX71/VLOOKUP("PCS-OzTL747",ARBOR!$A:$C,3,0)-1,4)),6))&lt;&gt;(DOLLAR(VLOOKUP("PCS-OzTL747",ARBOR!$A:$C,3,0),6)),-TRUNC(CX71/VLOOKUP("PCS-OzTL747",ARBOR!$A:$C,3,0)-1,4)+0.0001,-TRUNC(CX71/VLOOKUP("PCS-OzTL747",ARBOR!$A:$C,3,0)-1,4)))))</f>
        <v/>
      </c>
      <c r="CZ71" s="28" t="str">
        <f>IF(ISERROR(IF(CY71="","",VLOOKUP(($BC71&amp;CY71&amp;"Template desconto FLAT Plano Principal Oi TV nível conta"),BENEFICIOS!$A:$G,5,0))),"Criar",IF(CY71="","",VLOOKUP(($BC71&amp;CY71&amp;"Template desconto FLAT Plano Principal Oi TV nível conta"),BENEFICIOS!$A:$G,5,0)))</f>
        <v/>
      </c>
      <c r="DA71" s="8"/>
      <c r="DB71" s="3" t="str">
        <f>IF(DA71=0,"",IF(DA71=VLOOKUP("PCS-OzTL746",ARBOR!$A:$C,3,0),0.0001,IF(DA71&gt;VLOOKUP("PCS-OzTL746",ARBOR!$A:$C,3,0),"Maior que CAP!",IF((DOLLAR(DA71+(VLOOKUP("PCS-OzTL746",ARBOR!$A:$C,3,0)*-TRUNC(DA71/VLOOKUP("PCS-OzTL746",ARBOR!$A:$C,3,0)-1,4)),6))&lt;&gt;(DOLLAR(VLOOKUP("PCS-OzTL746",ARBOR!$A:$C,3,0),6)),-TRUNC(DA71/VLOOKUP("PCS-OzTL746",ARBOR!$A:$C,3,0)-1,4)+0.0001,-TRUNC(DA71/VLOOKUP("PCS-OzTL746",ARBOR!$A:$C,3,0)-1,4)))))</f>
        <v/>
      </c>
      <c r="DC71" s="28" t="str">
        <f>IF(ISERROR(IF(DB71="","",VLOOKUP(($BC71&amp;DB71&amp;"Template desconto FLAT Plano Principal Oi TV nível conta"),BENEFICIOS!$A:$G,5,0))),"Criar",IF(DB71="","",VLOOKUP(($BC71&amp;DB71&amp;"Template desconto FLAT Plano Principal Oi TV nível conta"),BENEFICIOS!$A:$G,5,0)))</f>
        <v/>
      </c>
      <c r="DD71" s="8"/>
      <c r="DE71" s="3" t="str">
        <f>IF(DD71=0,"",IF(DD71=VLOOKUP("PCS-OzTL748",ARBOR!$A:$C,3,0),0.0001,IF(DD71&gt;VLOOKUP("PCS-OzTL748",ARBOR!$A:$C,3,0),"Maior que CAP!",IF((DOLLAR(DD71+(VLOOKUP("PCS-OzTL748",ARBOR!$A:$C,3,0)*-TRUNC(DD71/VLOOKUP("PCS-OzTL748",ARBOR!$A:$C,3,0)-1,4)),6))&lt;&gt;(DOLLAR(VLOOKUP("PCS-OzTL748",ARBOR!$A:$C,3,0),6)),-TRUNC(DD71/VLOOKUP("PCS-OzTL748",ARBOR!$A:$C,3,0)-1,4)+0.0001,-TRUNC(DD71/VLOOKUP("PCS-OzTL748",ARBOR!$A:$C,3,0)-1,4)))))</f>
        <v/>
      </c>
      <c r="DF71" s="28" t="str">
        <f>IF(ISERROR(IF(DE71="","",VLOOKUP(($BC71&amp;DE71&amp;"Template desconto FLAT Plano Principal Oi TV nível conta"),BENEFICIOS!$A:$G,5,0))),"Criar",IF(DE71="","",VLOOKUP(($BC71&amp;DE71&amp;"Template desconto FLAT Plano Principal Oi TV nível conta"),BENEFICIOS!$A:$G,5,0)))</f>
        <v/>
      </c>
      <c r="DG71" s="8"/>
      <c r="DH71" s="3" t="str">
        <f>IF(DG71=0,"",IF(DG71=VLOOKUP("PCS-OzTL34",ARBOR!$A:$C,3,0),0.0001,IF(DG71&gt;VLOOKUP("PCS-OzTL34",ARBOR!$A:$C,3,0),"Maior que CAP!",IF((DOLLAR(DG71+(VLOOKUP("PCS-OzTL34",ARBOR!$A:$C,3,0)*-TRUNC(DG71/VLOOKUP("PCS-OzTL34",ARBOR!$A:$C,3,0)-1,4)),6))&lt;&gt;(DOLLAR(VLOOKUP("PCS-OzTL34",ARBOR!$A:$C,3,0),6)),-TRUNC(DG71/VLOOKUP("PCS-OzTL34",ARBOR!$A:$C,3,0)-1,4)+0.0001,-TRUNC(DG71/VLOOKUP("PCS-OzTL34",ARBOR!$A:$C,3,0)-1,4)))))</f>
        <v/>
      </c>
      <c r="DI71" s="28" t="str">
        <f>IF(DH71="S/Desc","S/Desc",IF(ISERROR(IF(DH71="","",VLOOKUP(($BC71&amp;DH71&amp;"Template desconto % Combate nível conta"),BENEFICIOS!$A:$G,5,0))),"Criar",IF(DH71="","",VLOOKUP(($BC71&amp;DH71&amp;"Template desconto % Combate nível conta"),BENEFICIOS!$A:$G,5,0))))</f>
        <v/>
      </c>
      <c r="DJ71" s="8"/>
      <c r="DK71" s="3" t="str">
        <f>IF(DJ71=0,"",IF(DJ71=VLOOKUP("PCS-OzTL31",ARBOR!$A:$C,3,0),0.0001,IF(DJ71&gt;VLOOKUP("PCS-OzTL31",ARBOR!$A:$C,3,0),"Maior que CAP!",IF((DOLLAR(DJ71+(VLOOKUP("PCS-OzTL31",ARBOR!$A:$C,3,0)*-TRUNC(DJ71/VLOOKUP("PCS-OzTL31",ARBOR!$A:$C,3,0)-1,4)),6))&lt;&gt;(DOLLAR(VLOOKUP("PCS-OzTL31",ARBOR!$A:$C,3,0),6)),-TRUNC(DJ71/VLOOKUP("PCS-OzTL31",ARBOR!$A:$C,3,0)-1,4)+0.0001,-TRUNC(DJ71/VLOOKUP("PCS-OzTL31",ARBOR!$A:$C,3,0)-1,4)))))</f>
        <v/>
      </c>
      <c r="DL71" s="28" t="str">
        <f>IF(DK71="S/Desc","S/Desc",IF(ISERROR(IF(DK71="","",VLOOKUP(($BC71&amp;DK71&amp;"Template desconto % Sexy Hot nível conta"),BENEFICIOS!$A:$G,5,0))),"Criar",IF(DK71="","",VLOOKUP(($BC71&amp;DK71&amp;"Template desconto % Sexy Hot nível conta"),BENEFICIOS!$A:$G,5,0))))</f>
        <v/>
      </c>
      <c r="DM71" s="8"/>
      <c r="DN71" s="3" t="str">
        <f>IF(DM71=0,"",IF(DM71=VLOOKUP("PCS-OzTL32",ARBOR!$A:$C,3,0),0.0001,IF(DM71&gt;VLOOKUP("PCS-OzTL32",ARBOR!$A:$C,3,0),"Maior que CAP!",IF((DOLLAR(DM71+(VLOOKUP("PCS-OzTL32",ARBOR!$A:$C,3,0)*-TRUNC(DM71/VLOOKUP("PCS-OzTL32",ARBOR!$A:$C,3,0)-1,4)),6))&lt;&gt;(DOLLAR(VLOOKUP("PCS-OzTL32",ARBOR!$A:$C,3,0),6)),-TRUNC(DM71/VLOOKUP("PCS-OzTL32",ARBOR!$A:$C,3,0)-1,4)+0.0001,-TRUNC(DM71/VLOOKUP("PCS-OzTL32",ARBOR!$A:$C,3,0)-1,4)))))</f>
        <v/>
      </c>
      <c r="DO71" s="28" t="str">
        <f>IF(DN71="S/Desc","S/Desc",IF(ISERROR(IF(DN71="","",VLOOKUP(($BC71&amp;DN71&amp;"Template desconto % Playboy nível conta"),BENEFICIOS!$A:$G,5,0))),"Criar",IF(DN71="","",VLOOKUP(($BC71&amp;DN71&amp;"Template desconto % Playboy nível conta"),BENEFICIOS!$A:$G,5,0))))</f>
        <v/>
      </c>
      <c r="DP71" s="8"/>
      <c r="DQ71" s="3" t="str">
        <f>IF(DP71=0,"",IF(DP71=VLOOKUP("PCS-OzTL33",ARBOR!$A:$C,3,0),0.0001,IF(DP71&gt;VLOOKUP("PCS-OzTL33",ARBOR!$A:$C,3,0),"Maior que CAP!",IF((DOLLAR(DP71+(VLOOKUP("PCS-OzTL33",ARBOR!$A:$C,3,0)*-TRUNC(DP71/VLOOKUP("PCS-OzTL33",ARBOR!$A:$C,3,0)-1,4)),6))&lt;&gt;(DOLLAR(VLOOKUP("PCS-OzTL33",ARBOR!$A:$C,3,0),6)),-TRUNC(DP71/VLOOKUP("PCS-OzTL33",ARBOR!$A:$C,3,0)-1,4)+0.0001,-TRUNC(DP71/VLOOKUP("PCS-OzTL33",ARBOR!$A:$C,3,0)-1,4)))))</f>
        <v/>
      </c>
      <c r="DR71" s="28" t="str">
        <f>IF(DQ71="S/Desc","S/Desc",IF(ISERROR(IF(DQ71="","",VLOOKUP(($BC71&amp;DQ71&amp;"Template desconto % Sexy Hot + Playboy nível conta"),BENEFICIOS!$A:$G,5,0))),"Criar",IF(DQ71="","",VLOOKUP(($BC71&amp;DQ71&amp;"Template desconto % Sexy Hot + Playboy nível conta"),BENEFICIOS!$A:$G,5,0))))</f>
        <v/>
      </c>
      <c r="DS71" s="8"/>
      <c r="DT71" s="3" t="str">
        <f>IF(DS71=0,"",IF(DS71=VLOOKUP("PCS-OzTL503",ARBOR!$A:$C,3,0),0.0001,IF(DS71&gt;VLOOKUP("PCS-OzTL503",ARBOR!$A:$C,3,0),"Maior que CAP!",IF((DOLLAR(DS71+(VLOOKUP("PCS-OzTL503",ARBOR!$A:$C,3,0)*-TRUNC(DS71/VLOOKUP("PCS-OzTL503",ARBOR!$A:$C,3,0)-1,4)),6))&lt;&gt;(DOLLAR(VLOOKUP("PCS-OzTL503",ARBOR!$A:$C,3,0),6)),-TRUNC(DS71/VLOOKUP("PCS-OzTL503",ARBOR!$A:$C,3,0)-1,4)+0.0001,-TRUNC(DS71/VLOOKUP("PCS-OzTL503",ARBOR!$A:$C,3,0)-1,4)))))</f>
        <v/>
      </c>
      <c r="DU71" s="28" t="str">
        <f>IF(DT71="S/Desc","S/Desc",IF(ISERROR(IF(DT71="","",VLOOKUP(($BC71&amp;DT71&amp;"Template desconto % SexPrivê nível conta"),BENEFICIOS!$A:$G,5,0))),"Criar",IF(DT71="","",VLOOKUP(($BC71&amp;DT71&amp;"Template desconto % SexPrivê nível conta"),BENEFICIOS!$A:$G,5,0))))</f>
        <v/>
      </c>
      <c r="DV71" s="8"/>
      <c r="DW71" s="3" t="str">
        <f>IF(DV71=0,"",IF(DV71=VLOOKUP("PCS-OzTL500",ARBOR!$A:$C,3,0),0.0001,IF(DV71&gt;VLOOKUP("PCS-OzTL500",ARBOR!$A:$C,3,0),"Maior que CAP!",IF((DOLLAR(DV71+(VLOOKUP("PCS-OzTL500",ARBOR!$A:$C,3,0)*-TRUNC(DV71/VLOOKUP("PCS-OzTL500",ARBOR!$A:$C,3,0)-1,4)),6))&lt;&gt;(DOLLAR(VLOOKUP("PCS-OzTL500",ARBOR!$A:$C,3,0),6)),-TRUNC(DV71/VLOOKUP("PCS-OzTL500",ARBOR!$A:$C,3,0)-1,4)+0.0001,-TRUNC(DV71/VLOOKUP("PCS-OzTL500",ARBOR!$A:$C,3,0)-1,4)))))</f>
        <v/>
      </c>
      <c r="DX71" s="28" t="str">
        <f>IF(DW71="S/Desc","S/Desc",IF(ISERROR(IF(DW71="","",VLOOKUP(($BC71&amp;DW71&amp;"Template desconto % Étnico nível conta"),BENEFICIOS!$A:$G,5,0))),"Criar",IF(DW71="","",VLOOKUP(($BC71&amp;DW71&amp;"Template desconto % Étnico nível conta"),BENEFICIOS!$A:$G,5,0))))</f>
        <v/>
      </c>
      <c r="DY71" s="8"/>
      <c r="DZ71" s="181" t="str">
        <f>IF(DY71=0,"",IF(DY71=VLOOKUP("PCS-OzTL50",ARBOR!$A:$C,3,0),0.0001,IF(DY71&gt;VLOOKUP("PCS-OzTL50",ARBOR!$A:$C,3,0),"Maior que CAP!",IF((DOLLAR(DY71+(VLOOKUP("PCS-OzTL50",ARBOR!$A:$C,3,0)*-TRUNC(DY71/VLOOKUP("PCS-OzTL50",ARBOR!$A:$C,3,0)-1,4)),6))&lt;&gt;(DOLLAR(VLOOKUP("PCS-OzTL50",ARBOR!$A:$C,3,0),6)),-TRUNC(DY71/VLOOKUP("PCS-OzTL50",ARBOR!$A:$C,3,0)-1,4)+0.0001,-TRUNC(DY71/VLOOKUP("PCS-OzTL50",ARBOR!$A:$C,3,0)-1,4)))))</f>
        <v/>
      </c>
      <c r="EA71" s="28"/>
      <c r="EB71" s="8"/>
      <c r="EC71" s="181" t="str">
        <f>IF(EB71=0,"",IF(EB71=VLOOKUP("PCS-OzTL51",ARBOR!$A:$C,3,0),0.0001,IF(EB71&gt;VLOOKUP("PCS-OzTL51",ARBOR!$A:$C,3,0),"Maior que CAP!",IF((DOLLAR(EB71+(VLOOKUP("PCS-OzTL51",ARBOR!$A:$C,3,0)*-TRUNC(EB71/VLOOKUP("PCS-OzTL51",ARBOR!$A:$C,3,0)-1,4)),6))&lt;&gt;(DOLLAR(VLOOKUP("PCS-OzTL51",ARBOR!$A:$C,3,0),6)),-TRUNC(EB71/VLOOKUP("PCS-OzTL51",ARBOR!$A:$C,3,0)-1,4)+0.0001,-TRUNC(EB71/VLOOKUP("PCS-OzTL51",ARBOR!$A:$C,3,0)-1,4)))))</f>
        <v/>
      </c>
      <c r="ED71" s="28"/>
      <c r="EE71" s="8"/>
      <c r="EF71" s="181" t="str">
        <f>IF(EE71=0,"",IF(EE71=VLOOKUP("PCS-OzTL52",ARBOR!$A:$C,3,0),0.0001,IF(EE71&gt;VLOOKUP("PCS-OzTL52",ARBOR!$A:$C,3,0),"Maior que CAP!",IF((DOLLAR(EE71+(VLOOKUP("PCS-OzTL52",ARBOR!$A:$C,3,0)*-TRUNC(EE71/VLOOKUP("PCS-OzTL52",ARBOR!$A:$C,3,0)-1,4)),6))&lt;&gt;(DOLLAR(VLOOKUP("PCS-OzTL52",ARBOR!$A:$C,3,0),6)),-TRUNC(EE71/VLOOKUP("PCS-OzTL52",ARBOR!$A:$C,3,0)-1,4)+0.0001,-TRUNC(EE71/VLOOKUP("PCS-OzTL52",ARBOR!$A:$C,3,0)-1,4)))))</f>
        <v/>
      </c>
      <c r="EG71" s="28"/>
      <c r="EH71" s="8"/>
      <c r="EI71" s="181" t="str">
        <f>IF(EH71=0,"",IF(EH71=VLOOKUP("PCS-OzTL53",ARBOR!$A:$C,3,0),0.0001,IF(EH71&gt;VLOOKUP("PCS-OzTL53",ARBOR!$A:$C,3,0),"Maior que CAP!",IF((DOLLAR(EH71+(VLOOKUP("PCS-OzTL53",ARBOR!$A:$C,3,0)*-TRUNC(EH71/VLOOKUP("PCS-OzTL53",ARBOR!$A:$C,3,0)-1,4)),6))&lt;&gt;(DOLLAR(VLOOKUP("PCS-OzTL53",ARBOR!$A:$C,3,0),6)),-TRUNC(EH71/VLOOKUP("PCS-OzTL53",ARBOR!$A:$C,3,0)-1,4)+0.0001,-TRUNC(EH71/VLOOKUP("PCS-OzTL53",ARBOR!$A:$C,3,0)-1,4)))))</f>
        <v/>
      </c>
      <c r="EJ71" s="28"/>
      <c r="EK71" s="8"/>
      <c r="EL71" s="181" t="str">
        <f>IF(EK71=0,"",IF(EK71=VLOOKUP("PCS-OzTL54",ARBOR!$A:$C,3,0),0.0001,IF(EK71&gt;VLOOKUP("PCS-OzTL54",ARBOR!$A:$C,3,0),"Maior que CAP!",IF((DOLLAR(EK71+(VLOOKUP("PCS-OzTL54",ARBOR!$A:$C,3,0)*-TRUNC(EK71/VLOOKUP("PCS-OzTL54",ARBOR!$A:$C,3,0)-1,4)),6))&lt;&gt;(DOLLAR(VLOOKUP("PCS-OzTL54",ARBOR!$A:$C,3,0),6)),-TRUNC(EK71/VLOOKUP("PCS-OzTL54",ARBOR!$A:$C,3,0)-1,4)+0.0001,-TRUNC(EK71/VLOOKUP("PCS-OzTL54",ARBOR!$A:$C,3,0)-1,4)))))</f>
        <v/>
      </c>
      <c r="EM71" s="28"/>
      <c r="EN71" s="8"/>
      <c r="EO71" s="3" t="str">
        <f>IF(EN71=0,"",IF(EN71=VLOOKUP("PCS-OzTL99",ARBOR!$A:$C,3,0),0.0001,IF(EN71&gt;VLOOKUP("PCS-OzTL99",ARBOR!$A:$C,3,0),"Maior que CAP!",IF((DOLLAR(EN71+(VLOOKUP("PCS-OzTL99",ARBOR!$A:$C,3,0)*-TRUNC(EN71/VLOOKUP("PCS-OzTL99",ARBOR!$A:$C,3,0)-1,4)),6))&lt;&gt;(DOLLAR(VLOOKUP("PCS-OzTL99",ARBOR!$A:$C,3,0),6)),-TRUNC(EN71/VLOOKUP("PCS-OzTL99",ARBOR!$A:$C,3,0)-1,4)+0.0001,-TRUNC(EN71/VLOOKUP("PCS-OzTL99",ARBOR!$A:$C,3,0)-1,4)))))</f>
        <v/>
      </c>
      <c r="EP71" s="28" t="str">
        <f>IF(EO71="S/Desc","S/Desc",IF(ISERROR(IF(EO71="","",VLOOKUP(($BC71&amp;EO71&amp;"Template desconto % Ponto adicional nível conta"),BENEFICIOS!$A:$G,5,0))),"Criar",IF(EO71="","",VLOOKUP(($BC71&amp;EO71&amp;"Template desconto % Ponto adicional nível conta"),BENEFICIOS!$A:$G,5,0))))</f>
        <v/>
      </c>
      <c r="EQ71" s="8"/>
      <c r="ER71" s="28" t="str">
        <f t="shared" si="23"/>
        <v/>
      </c>
      <c r="ES71" s="62"/>
      <c r="ET71" s="126"/>
      <c r="EU71" s="127"/>
      <c r="EV71" s="126"/>
      <c r="EW71" s="128" t="str">
        <f t="shared" si="24"/>
        <v/>
      </c>
      <c r="EX71" s="129" t="str">
        <f t="shared" si="25"/>
        <v/>
      </c>
      <c r="EY71" s="91" t="str">
        <f t="shared" si="26"/>
        <v/>
      </c>
      <c r="EZ71" s="85"/>
      <c r="FA71" s="97"/>
      <c r="FB71" s="91"/>
      <c r="FC71" s="85"/>
      <c r="FD71" s="97"/>
      <c r="FE71" s="91"/>
      <c r="FF71" s="87"/>
      <c r="FG71" s="144" t="str">
        <f t="shared" si="27"/>
        <v/>
      </c>
      <c r="FH71" s="144" t="str">
        <f t="shared" si="28"/>
        <v/>
      </c>
      <c r="FI71" s="144" t="str">
        <f t="shared" si="29"/>
        <v/>
      </c>
      <c r="FJ71" s="144" t="str">
        <f t="shared" si="30"/>
        <v/>
      </c>
      <c r="FK71" s="144" t="str">
        <f t="shared" si="31"/>
        <v/>
      </c>
      <c r="FL71" s="144" t="str">
        <f t="shared" si="32"/>
        <v/>
      </c>
      <c r="FM71" s="144" t="str">
        <f t="shared" si="33"/>
        <v/>
      </c>
      <c r="FN71" s="144" t="str">
        <f t="shared" si="34"/>
        <v/>
      </c>
      <c r="FO71" s="144" t="str">
        <f t="shared" si="35"/>
        <v/>
      </c>
      <c r="FP71" s="144" t="str">
        <f t="shared" si="36"/>
        <v/>
      </c>
      <c r="FQ71" s="144" t="str">
        <f t="shared" si="37"/>
        <v/>
      </c>
      <c r="FR71" s="144" t="str">
        <f t="shared" si="38"/>
        <v/>
      </c>
      <c r="FS71" s="144" t="str">
        <f t="shared" si="39"/>
        <v/>
      </c>
      <c r="FT71" s="144" t="str">
        <f t="shared" si="40"/>
        <v/>
      </c>
      <c r="FU71" s="144" t="str">
        <f t="shared" si="41"/>
        <v/>
      </c>
      <c r="FV71" s="144" t="str">
        <f t="shared" si="42"/>
        <v/>
      </c>
      <c r="FW71" s="144" t="str">
        <f t="shared" si="43"/>
        <v/>
      </c>
      <c r="FX71" s="151"/>
      <c r="FY71" s="152"/>
      <c r="FZ71" s="152"/>
      <c r="GA71" s="152"/>
      <c r="GB71" s="152"/>
      <c r="GC71" s="152"/>
      <c r="GD71" s="152"/>
      <c r="GE71" s="152"/>
      <c r="GF71" s="152"/>
      <c r="GG71" s="153"/>
    </row>
    <row r="72" spans="1:189">
      <c r="A72" s="45"/>
      <c r="B72" s="133"/>
      <c r="C72" s="133"/>
      <c r="D72" s="46"/>
      <c r="E72" s="4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9"/>
      <c r="U72" s="48"/>
      <c r="V72" s="49"/>
      <c r="W72" s="48"/>
      <c r="X72" s="48"/>
      <c r="Y72" s="48"/>
      <c r="Z72" s="48"/>
      <c r="AA72" s="49"/>
      <c r="AB72" s="48"/>
      <c r="AC72" s="50"/>
      <c r="AD72" s="48"/>
      <c r="AE72" s="48"/>
      <c r="AF72" s="48"/>
      <c r="AG72" s="48"/>
      <c r="AH72" s="48"/>
      <c r="AI72" s="48"/>
      <c r="AJ72" s="48"/>
      <c r="AK72" s="48"/>
      <c r="AL72" s="51"/>
      <c r="AM72" s="37"/>
      <c r="AN72" s="38"/>
      <c r="AO72" s="39"/>
      <c r="AP72" s="52"/>
      <c r="AQ72" s="53"/>
      <c r="AR72" s="64"/>
      <c r="AS72" s="65"/>
      <c r="AT72" s="54"/>
      <c r="AU72" s="54"/>
      <c r="AV72" s="54"/>
      <c r="AW72" s="54"/>
      <c r="AX72" s="70"/>
      <c r="AY72" s="71"/>
      <c r="AZ72" s="72"/>
      <c r="BA72" s="73"/>
      <c r="BB72" s="55"/>
      <c r="BC72" s="56"/>
      <c r="BD72" s="27" t="str">
        <f t="shared" si="22"/>
        <v/>
      </c>
      <c r="BE72" s="58"/>
      <c r="BF72" s="3" t="str">
        <f>IF(BE72=0,"",IF(BE72=VLOOKUP("FIXO",ARBOR!$A:$C,3,0),0.0001,IF(BE72&gt;VLOOKUP("FIXO",ARBOR!$A:$C,3,0),"Maior que CAP!",IF((DOLLAR(BE72+(VLOOKUP("FIXO",ARBOR!$A:$C,3,0)*-TRUNC(BE72/VLOOKUP("FIXO",ARBOR!$A:$C,3,0)-1,4)),6))&lt;&gt;(DOLLAR(VLOOKUP("FIXO",ARBOR!$A:$C,3,0),6)),-TRUNC(BE72/VLOOKUP("FIXO",ARBOR!$A:$C,3,0)-1,4)+0.0001,-TRUNC(BE72/VLOOKUP("FIXO",ARBOR!$A:$C,3,0)-1,4)))))</f>
        <v/>
      </c>
      <c r="BG72" s="10" t="str">
        <f>IF(ISERROR(IF(BF72="","",VLOOKUP(($BC72&amp;BF72&amp;"Template de desconto FLAT bundle - Fixo - Varejo - Ganho Tributário Cross"),BENEFICIOS!$A:$G,5,0))),"Criar",IF(BF72="","",VLOOKUP(($BC72&amp;BF72&amp;"Template de desconto FLAT bundle - Fixo - Varejo - Ganho Tributário Cross"),BENEFICIOS!$A:$G,5,0)))</f>
        <v/>
      </c>
      <c r="BH72" s="8"/>
      <c r="BI72" s="3" t="str">
        <f>IF(BH72=0,"",IF(BH72=VLOOKUP("PCS-OzTL40",ARBOR!$A:$C,3,0),0.0001,IF(BH72&gt;VLOOKUP("PCS-OzTL40",ARBOR!$A:$C,3,0),"Maior que CAP!",IF((DOLLAR(BH72+(VLOOKUP("PCS-OzTL40",ARBOR!$A:$C,3,0)*-TRUNC(BH72/VLOOKUP("PCS-OzTL40",ARBOR!$A:$C,3,0)-1,4)),6))&lt;&gt;(DOLLAR(VLOOKUP("PCS-OzTL40",ARBOR!$A:$C,3,0),6)),-TRUNC(BH72/VLOOKUP("PCS-OzTL40",ARBOR!$A:$C,3,0)-1,4)+0.0001,-TRUNC(BH72/VLOOKUP("PCS-OzTL40",ARBOR!$A:$C,3,0)-1,4)))))</f>
        <v/>
      </c>
      <c r="BJ72" s="10" t="str">
        <f>IF(ISERROR(IF(BI72="","",VLOOKUP((BC72&amp;BI72&amp;"Template desconto FLAT Plano Principal Oi TV nível conta"),BENEFICIOS!$A:$G,5,0))),"Criar",IF(BI72="","",VLOOKUP((BC72&amp;BI72&amp;"Template desconto FLAT Plano Principal Oi TV nível conta"),BENEFICIOS!$A:$G,5,0)))</f>
        <v/>
      </c>
      <c r="BK72" s="8"/>
      <c r="BL72" s="3" t="str">
        <f>IF(BK72=0,"",IF(BK72=VLOOKUP("PCS-OzTL41",ARBOR!$A:$C,3,0),0.0001,IF(BK72&gt;VLOOKUP("PCS-OzTL41",ARBOR!$A:$C,3,0),"Maior que CAP!",IF((DOLLAR(BK72+(VLOOKUP("PCS-OzTL41",ARBOR!$A:$C,3,0)*-TRUNC(BK72/VLOOKUP("PCS-OzTL41",ARBOR!$A:$C,3,0)-1,4)),6))&lt;&gt;(DOLLAR(VLOOKUP("PCS-OzTL41",ARBOR!$A:$C,3,0),6)),-TRUNC(BK72/VLOOKUP("PCS-OzTL41",ARBOR!$A:$C,3,0)-1,4)+0.0001,-TRUNC(BK72/VLOOKUP("PCS-OzTL41",ARBOR!$A:$C,3,0)-1,4)))))</f>
        <v/>
      </c>
      <c r="BM72" s="28" t="str">
        <f>IF(ISERROR(IF(BL72="","",VLOOKUP((BC72&amp;BL72&amp;"Template desconto FLAT Plano Principal Oi TV nível conta"),BENEFICIOS!$A:$G,5,0))),"Criar",IF(BL72="","",VLOOKUP((BC72&amp;BL72&amp;"Template desconto FLAT Plano Principal Oi TV nível conta"),BENEFICIOS!$A:$G,5,0)))</f>
        <v/>
      </c>
      <c r="BN72" s="8"/>
      <c r="BO72" s="3" t="str">
        <f>IF(BN72=0,"",IF(BN72=VLOOKUP("PCS-OzTL44",ARBOR!$A:$C,3,0),0.0001,IF(BN72&gt;VLOOKUP("PCS-OzTL44",ARBOR!$A:$C,3,0),"Maior que CAP!",IF((DOLLAR(BN72+(VLOOKUP("PCS-OzTL44",ARBOR!$A:$C,3,0)*-TRUNC(BN72/VLOOKUP("PCS-OzTL44",ARBOR!$A:$C,3,0)-1,4)),6))&lt;&gt;(DOLLAR(VLOOKUP("PCS-OzTL44",ARBOR!$A:$C,3,0),6)),-TRUNC(BN72/VLOOKUP("PCS-OzTL44",ARBOR!$A:$C,3,0)-1,4)+0.0001,-TRUNC(BN72/VLOOKUP("PCS-OzTL44",ARBOR!$A:$C,3,0)-1,4)))))</f>
        <v/>
      </c>
      <c r="BP72" s="28" t="str">
        <f>IF(ISERROR(IF(BO72="","",VLOOKUP((BC72&amp;BO72&amp;"Template desconto FLAT Plano Principal Oi TV nível conta"),BENEFICIOS!$A:$G,5,0))),"Criar",IF(BO72="","",VLOOKUP((BC72&amp;BO72&amp;"Template desconto FLAT Plano Principal Oi TV nível conta"),BENEFICIOS!$A:$G,5,0)))</f>
        <v/>
      </c>
      <c r="BQ72" s="8"/>
      <c r="BR72" s="3" t="str">
        <f>IF(BQ72=0,"",IF(BQ72=VLOOKUP("PCS-OzTL43",ARBOR!$A:$C,3,0),0.0001,IF(BQ72&gt;VLOOKUP("PCS-OzTL43",ARBOR!$A:$C,3,0),"Maior que CAP!",IF((DOLLAR(BQ72+(VLOOKUP("PCS-OzTL43",ARBOR!$A:$C,3,0)*-TRUNC(BQ72/VLOOKUP("PCS-OzTL43",ARBOR!$A:$C,3,0)-1,4)),6))&lt;&gt;(DOLLAR(VLOOKUP("PCS-OzTL43",ARBOR!$A:$C,3,0),6)),-TRUNC(BQ72/VLOOKUP("PCS-OzTL43",ARBOR!$A:$C,3,0)-1,4)+0.0001,-TRUNC(BQ72/VLOOKUP("PCS-OzTL43",ARBOR!$A:$C,3,0)-1,4)))))</f>
        <v/>
      </c>
      <c r="BS72" s="28" t="str">
        <f>IF(ISERROR(IF(BR72="","",VLOOKUP((BC72&amp;BR72&amp;"Template desconto FLAT Plano Principal Oi TV nível conta"),BENEFICIOS!$A:$G,5,0))),"Criar",IF(BR72="","",VLOOKUP((BC72&amp;BR72&amp;"Template desconto FLAT Plano Principal Oi TV nível conta"),BENEFICIOS!$A:$G,5,0)))</f>
        <v/>
      </c>
      <c r="BT72" s="8"/>
      <c r="BU72" s="3" t="str">
        <f>IF(BT72=0,"",IF(BT72=VLOOKUP("PCS-OzTL45",ARBOR!$A:$C,3,0),0.0001,IF(BT72&gt;VLOOKUP("PCS-OzTL45",ARBOR!$A:$C,3,0),"Maior que CAP!",IF((DOLLAR(BT72+(VLOOKUP("PCS-OzTL45",ARBOR!$A:$C,3,0)*-TRUNC(BT72/VLOOKUP("PCS-OzTL45",ARBOR!$A:$C,3,0)-1,4)),6))&lt;&gt;(DOLLAR(VLOOKUP("PCS-OzTL45",ARBOR!$A:$C,3,0),6)),-TRUNC(BT72/VLOOKUP("PCS-OzTL45",ARBOR!$A:$C,3,0)-1,4)+0.0001,-TRUNC(BT72/VLOOKUP("PCS-OzTL45",ARBOR!$A:$C,3,0)-1,4)))))</f>
        <v/>
      </c>
      <c r="BV72" s="28" t="str">
        <f>IF(ISERROR(IF(BU72="","",VLOOKUP((BC72&amp;BU72&amp;"Template desconto FLAT Plano Principal Oi TV nível conta"),BENEFICIOS!$A:$G,5,0))),"Criar",IF(BU72="","",VLOOKUP((BC72&amp;BU72&amp;"Template desconto FLAT Plano Principal Oi TV nível conta"),BENEFICIOS!$A:$G,5,0)))</f>
        <v/>
      </c>
      <c r="BW72" s="8"/>
      <c r="BX72" s="3" t="str">
        <f>IF(BW72=0,"",IF(BW72=VLOOKUP("PCS-OzTL741",ARBOR!$A:$C,3,0),0.0001,IF(BW72&gt;VLOOKUP("PCS-OzTL741",ARBOR!$A:$C,3,0),"Maior que CAP!",IF((DOLLAR(BW72+(VLOOKUP("PCS-OzTL741",ARBOR!$A:$C,3,0)*-TRUNC(BW72/VLOOKUP("PCS-OzTL741",ARBOR!$A:$C,3,0)-1,4)),6))&lt;&gt;(DOLLAR(VLOOKUP("PCS-OzTL741",ARBOR!$A:$C,3,0),6)),-TRUNC(BW72/VLOOKUP("PCS-OzTL741",ARBOR!$A:$C,3,0)-1,4)+0.0001,-TRUNC(BW72/VLOOKUP("PCS-OzTL741",ARBOR!$A:$C,3,0)-1,4)))))</f>
        <v/>
      </c>
      <c r="BY72" s="28" t="str">
        <f>IF(ISERROR(IF(BX72="","",VLOOKUP((BC72&amp;BX72&amp;"Template desconto FLAT Plano Principal Oi TV nível conta"),BENEFICIOS!$A:$G,5,0))),"Criar",IF(BX72="","",VLOOKUP((BC72&amp;BX72&amp;"Template desconto FLAT Plano Principal Oi TV nível conta"),BENEFICIOS!$A:$G,5,0)))</f>
        <v/>
      </c>
      <c r="BZ72" s="8"/>
      <c r="CA72" s="3" t="str">
        <f>IF(BZ72=0,"",IF(BZ72=VLOOKUP("PCS-OzTL744",ARBOR!$A:$C,3,0),0.0001,IF(BZ72&gt;VLOOKUP("PCS-OzTL744",ARBOR!$A:$C,3,0),"Maior que CAP!",IF((DOLLAR(BZ72+(VLOOKUP("PCS-OzTL744",ARBOR!$A:$C,3,0)*-TRUNC(BZ72/VLOOKUP("PCS-OzTL744",ARBOR!$A:$C,3,0)-1,4)),6))&lt;&gt;(DOLLAR(VLOOKUP("PCS-OzTL744",ARBOR!$A:$C,3,0),6)),-TRUNC(BZ72/VLOOKUP("PCS-OzTL744",ARBOR!$A:$C,3,0)-1,4)+0.0001,-TRUNC(BZ72/VLOOKUP("PCS-OzTL744",ARBOR!$A:$C,3,0)-1,4)))))</f>
        <v/>
      </c>
      <c r="CB72" s="28" t="str">
        <f>IF(ISERROR(IF(CA72="","",VLOOKUP(($BC72&amp;CA72&amp;"Template desconto FLAT Plano Principal Oi TV nível conta"),BENEFICIOS!$A:$G,5,0))),"Criar",IF(CA72="","",VLOOKUP(($BC72&amp;CA72&amp;"Template desconto FLAT Plano Principal Oi TV nível conta"),BENEFICIOS!$A:$G,5,0)))</f>
        <v/>
      </c>
      <c r="CC72" s="8"/>
      <c r="CD72" s="3" t="str">
        <f>IF(CC72=0,"",IF(CC72=VLOOKUP("PCS-OzTL743",ARBOR!$A:$C,3,0),0.0001,IF(CC72&gt;VLOOKUP("PCS-OzTL743",ARBOR!$A:$C,3,0),"Maior que CAP!",IF((DOLLAR(CC72+(VLOOKUP("PCS-OzTL743",ARBOR!$A:$C,3,0)*-TRUNC(CC72/VLOOKUP("PCS-OzTL743",ARBOR!$A:$C,3,0)-1,4)),6))&lt;&gt;(DOLLAR(VLOOKUP("PCS-OzTL743",ARBOR!$A:$C,3,0),6)),-TRUNC(CC72/VLOOKUP("PCS-OzTL743",ARBOR!$A:$C,3,0)-1,4)+0.0001,-TRUNC(CC72/VLOOKUP("PCS-OzTL743",ARBOR!$A:$C,3,0)-1,4)))))</f>
        <v/>
      </c>
      <c r="CE72" s="28" t="str">
        <f>IF(ISERROR(IF(CD72="","",VLOOKUP(($BC72&amp;CD72&amp;"Template desconto FLAT Plano Principal Oi TV nível conta"),BENEFICIOS!$A:$G,5,0))),"Criar",IF(CD72="","",VLOOKUP(($BC72&amp;CD72&amp;"Template desconto FLAT Plano Principal Oi TV nível conta"),BENEFICIOS!$A:$G,5,0)))</f>
        <v/>
      </c>
      <c r="CF72" s="8"/>
      <c r="CG72" s="3" t="str">
        <f>IF(CF72=0,"",IF(CF72=VLOOKUP("PCS-OzTL745",ARBOR!$A:$C,3,0),0.0001,IF(CF72&gt;VLOOKUP("PCS-OzTL745",ARBOR!$A:$C,3,0),"Maior que CAP!",IF((DOLLAR(CF72+(VLOOKUP("PCS-OzTL745",ARBOR!$A:$C,3,0)*-TRUNC(CF72/VLOOKUP("PCS-OzTL745",ARBOR!$A:$C,3,0)-1,4)),6))&lt;&gt;(DOLLAR(VLOOKUP("PCS-OzTL745",ARBOR!$A:$C,3,0),6)),-TRUNC(CF72/VLOOKUP("PCS-OzTL745",ARBOR!$A:$C,3,0)-1,4)+0.0001,-TRUNC(CF72/VLOOKUP("PCS-OzTL745",ARBOR!$A:$C,3,0)-1,4)))))</f>
        <v/>
      </c>
      <c r="CH72" s="28" t="str">
        <f>IF(ISERROR(IF(CG72="","",VLOOKUP(($BC72&amp;CG72&amp;"Template desconto FLAT Plano Principal Oi TV nível conta"),BENEFICIOS!$A:$G,5,0))),"Criar",IF(CG72="","",VLOOKUP(($BC72&amp;CG72&amp;"Template desconto FLAT Plano Principal Oi TV nível conta"),BENEFICIOS!$A:$G,5,0)))</f>
        <v/>
      </c>
      <c r="CI72" s="8"/>
      <c r="CJ72" s="3" t="str">
        <f>IF(CI72=0,"",IF(CI72=VLOOKUP("PCS-OzTL42",ARBOR!$A:$C,3,0),0.0001,IF(CI72&gt;VLOOKUP("PCS-OzTL42",ARBOR!$A:$C,3,0),"Maior que CAP!",IF((DOLLAR(CI72+(VLOOKUP("PCS-OzTL42",ARBOR!$A:$C,3,0)*-TRUNC(CI72/VLOOKUP("PCS-OzTL42",ARBOR!$A:$C,3,0)-1,4)),6))&lt;&gt;(DOLLAR(VLOOKUP("PCS-OzTL42",ARBOR!$A:$C,3,0),6)),-TRUNC(CI72/VLOOKUP("PCS-OzTL42",ARBOR!$A:$C,3,0)-1,4)+0.0001,-TRUNC(CI72/VLOOKUP("PCS-OzTL42",ARBOR!$A:$C,3,0)-1,4)))))</f>
        <v/>
      </c>
      <c r="CK72" s="28" t="str">
        <f>IF(ISERROR(IF(CJ72="","",VLOOKUP(($BC72&amp;CJ72&amp;"Template desconto FLAT Plano Principal Oi TV nível conta"),BENEFICIOS!$A:$G,5,0))),"Criar",IF(CJ72="","",VLOOKUP(($BC72&amp;CJ72&amp;"Template desconto FLAT Plano Principal Oi TV nível conta"),BENEFICIOS!$A:$G,5,0)))</f>
        <v/>
      </c>
      <c r="CL72" s="8"/>
      <c r="CM72" s="3" t="str">
        <f>IF(CL72=0,"",IF(CL72=VLOOKUP("PCS-OzTL47",ARBOR!$A:$C,3,0),0.0001,IF(CL72&gt;VLOOKUP("PCS-OzTL47",ARBOR!$A:$C,3,0),"Maior que CAP!",IF((DOLLAR(CL72+(VLOOKUP("PCS-OzTL47",ARBOR!$A:$C,3,0)*-TRUNC(CL72/VLOOKUP("PCS-OzTL47",ARBOR!$A:$C,3,0)-1,4)),6))&lt;&gt;(DOLLAR(VLOOKUP("PCS-OzTL47",ARBOR!$A:$C,3,0),6)),-TRUNC(CL72/VLOOKUP("PCS-OzTL47",ARBOR!$A:$C,3,0)-1,4)+0.0001,-TRUNC(CL72/VLOOKUP("PCS-OzTL47",ARBOR!$A:$C,3,0)-1,4)))))</f>
        <v/>
      </c>
      <c r="CN72" s="28" t="str">
        <f>IF(ISERROR(IF(CM72="","",VLOOKUP(($BC72&amp;CM72&amp;"Template desconto FLAT Plano Principal Oi TV nível conta"),BENEFICIOS!$A:$G,5,0))),"Criar",IF(CM72="","",VLOOKUP(($BC72&amp;CM72&amp;"Template desconto FLAT Plano Principal Oi TV nível conta"),BENEFICIOS!$A:$G,5,0)))</f>
        <v/>
      </c>
      <c r="CO72" s="8"/>
      <c r="CP72" s="3" t="str">
        <f>IF(CO72=0,"",IF(CO72=VLOOKUP("PCS-OzTL46",ARBOR!$A:$C,3,0),0.0001,IF(CO72&gt;VLOOKUP("PCS-OzTL46",ARBOR!$A:$C,3,0),"Maior que CAP!",IF((DOLLAR(CO72+(VLOOKUP("PCS-OzTL46",ARBOR!$A:$C,3,0)*-TRUNC(CO72/VLOOKUP("PCS-OzTL46",ARBOR!$A:$C,3,0)-1,4)),6))&lt;&gt;(DOLLAR(VLOOKUP("PCS-OzTL46",ARBOR!$A:$C,3,0),6)),-TRUNC(CO72/VLOOKUP("PCS-OzTL46",ARBOR!$A:$C,3,0)-1,4)+0.0001,-TRUNC(CO72/VLOOKUP("PCS-OzTL46",ARBOR!$A:$C,3,0)-1,4)))))</f>
        <v/>
      </c>
      <c r="CQ72" s="28" t="str">
        <f>IF(ISERROR(IF(CP72="","",VLOOKUP(($BC72&amp;CP72&amp;"Template desconto FLAT Plano Principal Oi TV nível conta"),BENEFICIOS!$A:$G,5,0))),"Criar",IF(CP72="","",VLOOKUP(($BC72&amp;CP72&amp;"Template desconto FLAT Plano Principal Oi TV nível conta"),BENEFICIOS!$A:$G,5,0)))</f>
        <v/>
      </c>
      <c r="CR72" s="8"/>
      <c r="CS72" s="3" t="str">
        <f>IF(CR72=0,"",IF(CR72=VLOOKUP("PCS-OzTL48",ARBOR!$A:$C,3,0),0.0001,IF(CR72&gt;VLOOKUP("PCS-OzTL48",ARBOR!$A:$C,3,0),"Maior que CAP!",IF((DOLLAR(CR72+(VLOOKUP("PCS-OzTL48",ARBOR!$A:$C,3,0)*-TRUNC(CR72/VLOOKUP("PCS-OzTL48",ARBOR!$A:$C,3,0)-1,4)),6))&lt;&gt;(DOLLAR(VLOOKUP("PCS-OzTL48",ARBOR!$A:$C,3,0),6)),-TRUNC(CR72/VLOOKUP("PCS-OzTL48",ARBOR!$A:$C,3,0)-1,4)+0.0001,-TRUNC(CR72/VLOOKUP("PCS-OzTL48",ARBOR!$A:$C,3,0)-1,4)))))</f>
        <v/>
      </c>
      <c r="CT72" s="28" t="str">
        <f>IF(ISERROR(IF(CS72="","",VLOOKUP(($BC72&amp;CS72&amp;"Template desconto FLAT Plano Principal Oi TV nível conta"),BENEFICIOS!$A:$G,5,0))),"Criar",IF(CS72="","",VLOOKUP(($BC72&amp;CS72&amp;"Template desconto FLAT Plano Principal Oi TV nível conta"),BENEFICIOS!$A:$G,5,0)))</f>
        <v/>
      </c>
      <c r="CU72" s="8"/>
      <c r="CV72" s="3" t="str">
        <f>IF(CU72=0,"",IF(CU72=VLOOKUP("PCS-OzTL742",ARBOR!$A:$C,3,0),0.0001,IF(CU72&gt;VLOOKUP("PCS-OzTL742",ARBOR!$A:$C,3,0),"Maior que CAP!",IF((DOLLAR(CU72+(VLOOKUP("PCS-OzTL742",ARBOR!$A:$C,3,0)*-TRUNC(CU72/VLOOKUP("PCS-OzTL742",ARBOR!$A:$C,3,0)-1,4)),6))&lt;&gt;(DOLLAR(VLOOKUP("PCS-OzTL742",ARBOR!$A:$C,3,0),6)),-TRUNC(CU72/VLOOKUP("PCS-OzTL742",ARBOR!$A:$C,3,0)-1,4)+0.0001,-TRUNC(CU72/VLOOKUP("PCS-OzTL742",ARBOR!$A:$C,3,0)-1,4)))))</f>
        <v/>
      </c>
      <c r="CW72" s="28" t="str">
        <f>IF(ISERROR(IF(CV72="","",VLOOKUP(($BC72&amp;CV72&amp;"Template desconto FLAT Plano Principal Oi TV nível conta"),BENEFICIOS!$A:$G,5,0))),"Criar",IF(CV72="","",VLOOKUP(($BC72&amp;CV72&amp;"Template desconto FLAT Plano Principal Oi TV nível conta"),BENEFICIOS!$A:$G,5,0)))</f>
        <v/>
      </c>
      <c r="CX72" s="8"/>
      <c r="CY72" s="3" t="str">
        <f>IF(CX72=0,"",IF(CX72=VLOOKUP("PCS-OzTL747",ARBOR!$A:$C,3,0),0.0001,IF(CX72&gt;VLOOKUP("PCS-OzTL747",ARBOR!$A:$C,3,0),"Maior que CAP!",IF((DOLLAR(CX72+(VLOOKUP("PCS-OzTL747",ARBOR!$A:$C,3,0)*-TRUNC(CX72/VLOOKUP("PCS-OzTL747",ARBOR!$A:$C,3,0)-1,4)),6))&lt;&gt;(DOLLAR(VLOOKUP("PCS-OzTL747",ARBOR!$A:$C,3,0),6)),-TRUNC(CX72/VLOOKUP("PCS-OzTL747",ARBOR!$A:$C,3,0)-1,4)+0.0001,-TRUNC(CX72/VLOOKUP("PCS-OzTL747",ARBOR!$A:$C,3,0)-1,4)))))</f>
        <v/>
      </c>
      <c r="CZ72" s="28" t="str">
        <f>IF(ISERROR(IF(CY72="","",VLOOKUP(($BC72&amp;CY72&amp;"Template desconto FLAT Plano Principal Oi TV nível conta"),BENEFICIOS!$A:$G,5,0))),"Criar",IF(CY72="","",VLOOKUP(($BC72&amp;CY72&amp;"Template desconto FLAT Plano Principal Oi TV nível conta"),BENEFICIOS!$A:$G,5,0)))</f>
        <v/>
      </c>
      <c r="DA72" s="8"/>
      <c r="DB72" s="3" t="str">
        <f>IF(DA72=0,"",IF(DA72=VLOOKUP("PCS-OzTL746",ARBOR!$A:$C,3,0),0.0001,IF(DA72&gt;VLOOKUP("PCS-OzTL746",ARBOR!$A:$C,3,0),"Maior que CAP!",IF((DOLLAR(DA72+(VLOOKUP("PCS-OzTL746",ARBOR!$A:$C,3,0)*-TRUNC(DA72/VLOOKUP("PCS-OzTL746",ARBOR!$A:$C,3,0)-1,4)),6))&lt;&gt;(DOLLAR(VLOOKUP("PCS-OzTL746",ARBOR!$A:$C,3,0),6)),-TRUNC(DA72/VLOOKUP("PCS-OzTL746",ARBOR!$A:$C,3,0)-1,4)+0.0001,-TRUNC(DA72/VLOOKUP("PCS-OzTL746",ARBOR!$A:$C,3,0)-1,4)))))</f>
        <v/>
      </c>
      <c r="DC72" s="28" t="str">
        <f>IF(ISERROR(IF(DB72="","",VLOOKUP(($BC72&amp;DB72&amp;"Template desconto FLAT Plano Principal Oi TV nível conta"),BENEFICIOS!$A:$G,5,0))),"Criar",IF(DB72="","",VLOOKUP(($BC72&amp;DB72&amp;"Template desconto FLAT Plano Principal Oi TV nível conta"),BENEFICIOS!$A:$G,5,0)))</f>
        <v/>
      </c>
      <c r="DD72" s="8"/>
      <c r="DE72" s="3" t="str">
        <f>IF(DD72=0,"",IF(DD72=VLOOKUP("PCS-OzTL748",ARBOR!$A:$C,3,0),0.0001,IF(DD72&gt;VLOOKUP("PCS-OzTL748",ARBOR!$A:$C,3,0),"Maior que CAP!",IF((DOLLAR(DD72+(VLOOKUP("PCS-OzTL748",ARBOR!$A:$C,3,0)*-TRUNC(DD72/VLOOKUP("PCS-OzTL748",ARBOR!$A:$C,3,0)-1,4)),6))&lt;&gt;(DOLLAR(VLOOKUP("PCS-OzTL748",ARBOR!$A:$C,3,0),6)),-TRUNC(DD72/VLOOKUP("PCS-OzTL748",ARBOR!$A:$C,3,0)-1,4)+0.0001,-TRUNC(DD72/VLOOKUP("PCS-OzTL748",ARBOR!$A:$C,3,0)-1,4)))))</f>
        <v/>
      </c>
      <c r="DF72" s="28" t="str">
        <f>IF(ISERROR(IF(DE72="","",VLOOKUP(($BC72&amp;DE72&amp;"Template desconto FLAT Plano Principal Oi TV nível conta"),BENEFICIOS!$A:$G,5,0))),"Criar",IF(DE72="","",VLOOKUP(($BC72&amp;DE72&amp;"Template desconto FLAT Plano Principal Oi TV nível conta"),BENEFICIOS!$A:$G,5,0)))</f>
        <v/>
      </c>
      <c r="DG72" s="8"/>
      <c r="DH72" s="3" t="str">
        <f>IF(DG72=0,"",IF(DG72=VLOOKUP("PCS-OzTL34",ARBOR!$A:$C,3,0),0.0001,IF(DG72&gt;VLOOKUP("PCS-OzTL34",ARBOR!$A:$C,3,0),"Maior que CAP!",IF((DOLLAR(DG72+(VLOOKUP("PCS-OzTL34",ARBOR!$A:$C,3,0)*-TRUNC(DG72/VLOOKUP("PCS-OzTL34",ARBOR!$A:$C,3,0)-1,4)),6))&lt;&gt;(DOLLAR(VLOOKUP("PCS-OzTL34",ARBOR!$A:$C,3,0),6)),-TRUNC(DG72/VLOOKUP("PCS-OzTL34",ARBOR!$A:$C,3,0)-1,4)+0.0001,-TRUNC(DG72/VLOOKUP("PCS-OzTL34",ARBOR!$A:$C,3,0)-1,4)))))</f>
        <v/>
      </c>
      <c r="DI72" s="28" t="str">
        <f>IF(DH72="S/Desc","S/Desc",IF(ISERROR(IF(DH72="","",VLOOKUP(($BC72&amp;DH72&amp;"Template desconto % Combate nível conta"),BENEFICIOS!$A:$G,5,0))),"Criar",IF(DH72="","",VLOOKUP(($BC72&amp;DH72&amp;"Template desconto % Combate nível conta"),BENEFICIOS!$A:$G,5,0))))</f>
        <v/>
      </c>
      <c r="DJ72" s="8"/>
      <c r="DK72" s="3" t="str">
        <f>IF(DJ72=0,"",IF(DJ72=VLOOKUP("PCS-OzTL31",ARBOR!$A:$C,3,0),0.0001,IF(DJ72&gt;VLOOKUP("PCS-OzTL31",ARBOR!$A:$C,3,0),"Maior que CAP!",IF((DOLLAR(DJ72+(VLOOKUP("PCS-OzTL31",ARBOR!$A:$C,3,0)*-TRUNC(DJ72/VLOOKUP("PCS-OzTL31",ARBOR!$A:$C,3,0)-1,4)),6))&lt;&gt;(DOLLAR(VLOOKUP("PCS-OzTL31",ARBOR!$A:$C,3,0),6)),-TRUNC(DJ72/VLOOKUP("PCS-OzTL31",ARBOR!$A:$C,3,0)-1,4)+0.0001,-TRUNC(DJ72/VLOOKUP("PCS-OzTL31",ARBOR!$A:$C,3,0)-1,4)))))</f>
        <v/>
      </c>
      <c r="DL72" s="28" t="str">
        <f>IF(DK72="S/Desc","S/Desc",IF(ISERROR(IF(DK72="","",VLOOKUP(($BC72&amp;DK72&amp;"Template desconto % Sexy Hot nível conta"),BENEFICIOS!$A:$G,5,0))),"Criar",IF(DK72="","",VLOOKUP(($BC72&amp;DK72&amp;"Template desconto % Sexy Hot nível conta"),BENEFICIOS!$A:$G,5,0))))</f>
        <v/>
      </c>
      <c r="DM72" s="8"/>
      <c r="DN72" s="3" t="str">
        <f>IF(DM72=0,"",IF(DM72=VLOOKUP("PCS-OzTL32",ARBOR!$A:$C,3,0),0.0001,IF(DM72&gt;VLOOKUP("PCS-OzTL32",ARBOR!$A:$C,3,0),"Maior que CAP!",IF((DOLLAR(DM72+(VLOOKUP("PCS-OzTL32",ARBOR!$A:$C,3,0)*-TRUNC(DM72/VLOOKUP("PCS-OzTL32",ARBOR!$A:$C,3,0)-1,4)),6))&lt;&gt;(DOLLAR(VLOOKUP("PCS-OzTL32",ARBOR!$A:$C,3,0),6)),-TRUNC(DM72/VLOOKUP("PCS-OzTL32",ARBOR!$A:$C,3,0)-1,4)+0.0001,-TRUNC(DM72/VLOOKUP("PCS-OzTL32",ARBOR!$A:$C,3,0)-1,4)))))</f>
        <v/>
      </c>
      <c r="DO72" s="28" t="str">
        <f>IF(DN72="S/Desc","S/Desc",IF(ISERROR(IF(DN72="","",VLOOKUP(($BC72&amp;DN72&amp;"Template desconto % Playboy nível conta"),BENEFICIOS!$A:$G,5,0))),"Criar",IF(DN72="","",VLOOKUP(($BC72&amp;DN72&amp;"Template desconto % Playboy nível conta"),BENEFICIOS!$A:$G,5,0))))</f>
        <v/>
      </c>
      <c r="DP72" s="8"/>
      <c r="DQ72" s="3" t="str">
        <f>IF(DP72=0,"",IF(DP72=VLOOKUP("PCS-OzTL33",ARBOR!$A:$C,3,0),0.0001,IF(DP72&gt;VLOOKUP("PCS-OzTL33",ARBOR!$A:$C,3,0),"Maior que CAP!",IF((DOLLAR(DP72+(VLOOKUP("PCS-OzTL33",ARBOR!$A:$C,3,0)*-TRUNC(DP72/VLOOKUP("PCS-OzTL33",ARBOR!$A:$C,3,0)-1,4)),6))&lt;&gt;(DOLLAR(VLOOKUP("PCS-OzTL33",ARBOR!$A:$C,3,0),6)),-TRUNC(DP72/VLOOKUP("PCS-OzTL33",ARBOR!$A:$C,3,0)-1,4)+0.0001,-TRUNC(DP72/VLOOKUP("PCS-OzTL33",ARBOR!$A:$C,3,0)-1,4)))))</f>
        <v/>
      </c>
      <c r="DR72" s="28" t="str">
        <f>IF(DQ72="S/Desc","S/Desc",IF(ISERROR(IF(DQ72="","",VLOOKUP(($BC72&amp;DQ72&amp;"Template desconto % Sexy Hot + Playboy nível conta"),BENEFICIOS!$A:$G,5,0))),"Criar",IF(DQ72="","",VLOOKUP(($BC72&amp;DQ72&amp;"Template desconto % Sexy Hot + Playboy nível conta"),BENEFICIOS!$A:$G,5,0))))</f>
        <v/>
      </c>
      <c r="DS72" s="8"/>
      <c r="DT72" s="3" t="str">
        <f>IF(DS72=0,"",IF(DS72=VLOOKUP("PCS-OzTL503",ARBOR!$A:$C,3,0),0.0001,IF(DS72&gt;VLOOKUP("PCS-OzTL503",ARBOR!$A:$C,3,0),"Maior que CAP!",IF((DOLLAR(DS72+(VLOOKUP("PCS-OzTL503",ARBOR!$A:$C,3,0)*-TRUNC(DS72/VLOOKUP("PCS-OzTL503",ARBOR!$A:$C,3,0)-1,4)),6))&lt;&gt;(DOLLAR(VLOOKUP("PCS-OzTL503",ARBOR!$A:$C,3,0),6)),-TRUNC(DS72/VLOOKUP("PCS-OzTL503",ARBOR!$A:$C,3,0)-1,4)+0.0001,-TRUNC(DS72/VLOOKUP("PCS-OzTL503",ARBOR!$A:$C,3,0)-1,4)))))</f>
        <v/>
      </c>
      <c r="DU72" s="28" t="str">
        <f>IF(DT72="S/Desc","S/Desc",IF(ISERROR(IF(DT72="","",VLOOKUP(($BC72&amp;DT72&amp;"Template desconto % SexPrivê nível conta"),BENEFICIOS!$A:$G,5,0))),"Criar",IF(DT72="","",VLOOKUP(($BC72&amp;DT72&amp;"Template desconto % SexPrivê nível conta"),BENEFICIOS!$A:$G,5,0))))</f>
        <v/>
      </c>
      <c r="DV72" s="8"/>
      <c r="DW72" s="3" t="str">
        <f>IF(DV72=0,"",IF(DV72=VLOOKUP("PCS-OzTL500",ARBOR!$A:$C,3,0),0.0001,IF(DV72&gt;VLOOKUP("PCS-OzTL500",ARBOR!$A:$C,3,0),"Maior que CAP!",IF((DOLLAR(DV72+(VLOOKUP("PCS-OzTL500",ARBOR!$A:$C,3,0)*-TRUNC(DV72/VLOOKUP("PCS-OzTL500",ARBOR!$A:$C,3,0)-1,4)),6))&lt;&gt;(DOLLAR(VLOOKUP("PCS-OzTL500",ARBOR!$A:$C,3,0),6)),-TRUNC(DV72/VLOOKUP("PCS-OzTL500",ARBOR!$A:$C,3,0)-1,4)+0.0001,-TRUNC(DV72/VLOOKUP("PCS-OzTL500",ARBOR!$A:$C,3,0)-1,4)))))</f>
        <v/>
      </c>
      <c r="DX72" s="28" t="str">
        <f>IF(DW72="S/Desc","S/Desc",IF(ISERROR(IF(DW72="","",VLOOKUP(($BC72&amp;DW72&amp;"Template desconto % Étnico nível conta"),BENEFICIOS!$A:$G,5,0))),"Criar",IF(DW72="","",VLOOKUP(($BC72&amp;DW72&amp;"Template desconto % Étnico nível conta"),BENEFICIOS!$A:$G,5,0))))</f>
        <v/>
      </c>
      <c r="DY72" s="8"/>
      <c r="DZ72" s="181" t="str">
        <f>IF(DY72=0,"",IF(DY72=VLOOKUP("PCS-OzTL50",ARBOR!$A:$C,3,0),0.0001,IF(DY72&gt;VLOOKUP("PCS-OzTL50",ARBOR!$A:$C,3,0),"Maior que CAP!",IF((DOLLAR(DY72+(VLOOKUP("PCS-OzTL50",ARBOR!$A:$C,3,0)*-TRUNC(DY72/VLOOKUP("PCS-OzTL50",ARBOR!$A:$C,3,0)-1,4)),6))&lt;&gt;(DOLLAR(VLOOKUP("PCS-OzTL50",ARBOR!$A:$C,3,0),6)),-TRUNC(DY72/VLOOKUP("PCS-OzTL50",ARBOR!$A:$C,3,0)-1,4)+0.0001,-TRUNC(DY72/VLOOKUP("PCS-OzTL50",ARBOR!$A:$C,3,0)-1,4)))))</f>
        <v/>
      </c>
      <c r="EA72" s="28"/>
      <c r="EB72" s="8"/>
      <c r="EC72" s="181" t="str">
        <f>IF(EB72=0,"",IF(EB72=VLOOKUP("PCS-OzTL51",ARBOR!$A:$C,3,0),0.0001,IF(EB72&gt;VLOOKUP("PCS-OzTL51",ARBOR!$A:$C,3,0),"Maior que CAP!",IF((DOLLAR(EB72+(VLOOKUP("PCS-OzTL51",ARBOR!$A:$C,3,0)*-TRUNC(EB72/VLOOKUP("PCS-OzTL51",ARBOR!$A:$C,3,0)-1,4)),6))&lt;&gt;(DOLLAR(VLOOKUP("PCS-OzTL51",ARBOR!$A:$C,3,0),6)),-TRUNC(EB72/VLOOKUP("PCS-OzTL51",ARBOR!$A:$C,3,0)-1,4)+0.0001,-TRUNC(EB72/VLOOKUP("PCS-OzTL51",ARBOR!$A:$C,3,0)-1,4)))))</f>
        <v/>
      </c>
      <c r="ED72" s="28"/>
      <c r="EE72" s="8"/>
      <c r="EF72" s="181" t="str">
        <f>IF(EE72=0,"",IF(EE72=VLOOKUP("PCS-OzTL52",ARBOR!$A:$C,3,0),0.0001,IF(EE72&gt;VLOOKUP("PCS-OzTL52",ARBOR!$A:$C,3,0),"Maior que CAP!",IF((DOLLAR(EE72+(VLOOKUP("PCS-OzTL52",ARBOR!$A:$C,3,0)*-TRUNC(EE72/VLOOKUP("PCS-OzTL52",ARBOR!$A:$C,3,0)-1,4)),6))&lt;&gt;(DOLLAR(VLOOKUP("PCS-OzTL52",ARBOR!$A:$C,3,0),6)),-TRUNC(EE72/VLOOKUP("PCS-OzTL52",ARBOR!$A:$C,3,0)-1,4)+0.0001,-TRUNC(EE72/VLOOKUP("PCS-OzTL52",ARBOR!$A:$C,3,0)-1,4)))))</f>
        <v/>
      </c>
      <c r="EG72" s="28"/>
      <c r="EH72" s="8"/>
      <c r="EI72" s="181" t="str">
        <f>IF(EH72=0,"",IF(EH72=VLOOKUP("PCS-OzTL53",ARBOR!$A:$C,3,0),0.0001,IF(EH72&gt;VLOOKUP("PCS-OzTL53",ARBOR!$A:$C,3,0),"Maior que CAP!",IF((DOLLAR(EH72+(VLOOKUP("PCS-OzTL53",ARBOR!$A:$C,3,0)*-TRUNC(EH72/VLOOKUP("PCS-OzTL53",ARBOR!$A:$C,3,0)-1,4)),6))&lt;&gt;(DOLLAR(VLOOKUP("PCS-OzTL53",ARBOR!$A:$C,3,0),6)),-TRUNC(EH72/VLOOKUP("PCS-OzTL53",ARBOR!$A:$C,3,0)-1,4)+0.0001,-TRUNC(EH72/VLOOKUP("PCS-OzTL53",ARBOR!$A:$C,3,0)-1,4)))))</f>
        <v/>
      </c>
      <c r="EJ72" s="28"/>
      <c r="EK72" s="8"/>
      <c r="EL72" s="181" t="str">
        <f>IF(EK72=0,"",IF(EK72=VLOOKUP("PCS-OzTL54",ARBOR!$A:$C,3,0),0.0001,IF(EK72&gt;VLOOKUP("PCS-OzTL54",ARBOR!$A:$C,3,0),"Maior que CAP!",IF((DOLLAR(EK72+(VLOOKUP("PCS-OzTL54",ARBOR!$A:$C,3,0)*-TRUNC(EK72/VLOOKUP("PCS-OzTL54",ARBOR!$A:$C,3,0)-1,4)),6))&lt;&gt;(DOLLAR(VLOOKUP("PCS-OzTL54",ARBOR!$A:$C,3,0),6)),-TRUNC(EK72/VLOOKUP("PCS-OzTL54",ARBOR!$A:$C,3,0)-1,4)+0.0001,-TRUNC(EK72/VLOOKUP("PCS-OzTL54",ARBOR!$A:$C,3,0)-1,4)))))</f>
        <v/>
      </c>
      <c r="EM72" s="28"/>
      <c r="EN72" s="8"/>
      <c r="EO72" s="3" t="str">
        <f>IF(EN72=0,"",IF(EN72=VLOOKUP("PCS-OzTL99",ARBOR!$A:$C,3,0),0.0001,IF(EN72&gt;VLOOKUP("PCS-OzTL99",ARBOR!$A:$C,3,0),"Maior que CAP!",IF((DOLLAR(EN72+(VLOOKUP("PCS-OzTL99",ARBOR!$A:$C,3,0)*-TRUNC(EN72/VLOOKUP("PCS-OzTL99",ARBOR!$A:$C,3,0)-1,4)),6))&lt;&gt;(DOLLAR(VLOOKUP("PCS-OzTL99",ARBOR!$A:$C,3,0),6)),-TRUNC(EN72/VLOOKUP("PCS-OzTL99",ARBOR!$A:$C,3,0)-1,4)+0.0001,-TRUNC(EN72/VLOOKUP("PCS-OzTL99",ARBOR!$A:$C,3,0)-1,4)))))</f>
        <v/>
      </c>
      <c r="EP72" s="28" t="str">
        <f>IF(EO72="S/Desc","S/Desc",IF(ISERROR(IF(EO72="","",VLOOKUP(($BC72&amp;EO72&amp;"Template desconto % Ponto adicional nível conta"),BENEFICIOS!$A:$G,5,0))),"Criar",IF(EO72="","",VLOOKUP(($BC72&amp;EO72&amp;"Template desconto % Ponto adicional nível conta"),BENEFICIOS!$A:$G,5,0))))</f>
        <v/>
      </c>
      <c r="EQ72" s="8"/>
      <c r="ER72" s="28" t="str">
        <f t="shared" si="23"/>
        <v/>
      </c>
      <c r="ES72" s="62"/>
      <c r="ET72" s="126"/>
      <c r="EU72" s="127"/>
      <c r="EV72" s="126"/>
      <c r="EW72" s="128" t="str">
        <f t="shared" si="24"/>
        <v/>
      </c>
      <c r="EX72" s="129" t="str">
        <f t="shared" si="25"/>
        <v/>
      </c>
      <c r="EY72" s="91" t="str">
        <f t="shared" si="26"/>
        <v/>
      </c>
      <c r="EZ72" s="85"/>
      <c r="FA72" s="97"/>
      <c r="FB72" s="91"/>
      <c r="FC72" s="85"/>
      <c r="FD72" s="97"/>
      <c r="FE72" s="91"/>
      <c r="FF72" s="87"/>
      <c r="FG72" s="144" t="str">
        <f t="shared" si="27"/>
        <v/>
      </c>
      <c r="FH72" s="144" t="str">
        <f t="shared" si="28"/>
        <v/>
      </c>
      <c r="FI72" s="144" t="str">
        <f t="shared" si="29"/>
        <v/>
      </c>
      <c r="FJ72" s="144" t="str">
        <f t="shared" si="30"/>
        <v/>
      </c>
      <c r="FK72" s="144" t="str">
        <f t="shared" si="31"/>
        <v/>
      </c>
      <c r="FL72" s="144" t="str">
        <f t="shared" si="32"/>
        <v/>
      </c>
      <c r="FM72" s="144" t="str">
        <f t="shared" si="33"/>
        <v/>
      </c>
      <c r="FN72" s="144" t="str">
        <f t="shared" si="34"/>
        <v/>
      </c>
      <c r="FO72" s="144" t="str">
        <f t="shared" si="35"/>
        <v/>
      </c>
      <c r="FP72" s="144" t="str">
        <f t="shared" si="36"/>
        <v/>
      </c>
      <c r="FQ72" s="144" t="str">
        <f t="shared" si="37"/>
        <v/>
      </c>
      <c r="FR72" s="144" t="str">
        <f t="shared" si="38"/>
        <v/>
      </c>
      <c r="FS72" s="144" t="str">
        <f t="shared" si="39"/>
        <v/>
      </c>
      <c r="FT72" s="144" t="str">
        <f t="shared" si="40"/>
        <v/>
      </c>
      <c r="FU72" s="144" t="str">
        <f t="shared" si="41"/>
        <v/>
      </c>
      <c r="FV72" s="144" t="str">
        <f t="shared" si="42"/>
        <v/>
      </c>
      <c r="FW72" s="144" t="str">
        <f t="shared" si="43"/>
        <v/>
      </c>
      <c r="FX72" s="151"/>
      <c r="FY72" s="152"/>
      <c r="FZ72" s="152"/>
      <c r="GA72" s="152"/>
      <c r="GB72" s="152"/>
      <c r="GC72" s="152"/>
      <c r="GD72" s="152"/>
      <c r="GE72" s="152"/>
      <c r="GF72" s="152"/>
      <c r="GG72" s="153"/>
    </row>
    <row r="73" spans="1:189">
      <c r="A73" s="45"/>
      <c r="B73" s="133"/>
      <c r="C73" s="133"/>
      <c r="D73" s="46"/>
      <c r="E73" s="4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9"/>
      <c r="U73" s="48"/>
      <c r="V73" s="49"/>
      <c r="W73" s="48"/>
      <c r="X73" s="48"/>
      <c r="Y73" s="48"/>
      <c r="Z73" s="48"/>
      <c r="AA73" s="49"/>
      <c r="AB73" s="48"/>
      <c r="AC73" s="50"/>
      <c r="AD73" s="48"/>
      <c r="AE73" s="48"/>
      <c r="AF73" s="48"/>
      <c r="AG73" s="48"/>
      <c r="AH73" s="48"/>
      <c r="AI73" s="48"/>
      <c r="AJ73" s="48"/>
      <c r="AK73" s="48"/>
      <c r="AL73" s="51"/>
      <c r="AM73" s="37"/>
      <c r="AN73" s="38"/>
      <c r="AO73" s="39"/>
      <c r="AP73" s="52"/>
      <c r="AQ73" s="53"/>
      <c r="AR73" s="64"/>
      <c r="AS73" s="65"/>
      <c r="AT73" s="54"/>
      <c r="AU73" s="54"/>
      <c r="AV73" s="54"/>
      <c r="AW73" s="54"/>
      <c r="AX73" s="70"/>
      <c r="AY73" s="71"/>
      <c r="AZ73" s="72"/>
      <c r="BA73" s="73"/>
      <c r="BB73" s="55"/>
      <c r="BC73" s="56"/>
      <c r="BD73" s="27" t="str">
        <f t="shared" si="22"/>
        <v/>
      </c>
      <c r="BE73" s="58"/>
      <c r="BF73" s="3" t="str">
        <f>IF(BE73=0,"",IF(BE73=VLOOKUP("FIXO",ARBOR!$A:$C,3,0),0.0001,IF(BE73&gt;VLOOKUP("FIXO",ARBOR!$A:$C,3,0),"Maior que CAP!",IF((DOLLAR(BE73+(VLOOKUP("FIXO",ARBOR!$A:$C,3,0)*-TRUNC(BE73/VLOOKUP("FIXO",ARBOR!$A:$C,3,0)-1,4)),6))&lt;&gt;(DOLLAR(VLOOKUP("FIXO",ARBOR!$A:$C,3,0),6)),-TRUNC(BE73/VLOOKUP("FIXO",ARBOR!$A:$C,3,0)-1,4)+0.0001,-TRUNC(BE73/VLOOKUP("FIXO",ARBOR!$A:$C,3,0)-1,4)))))</f>
        <v/>
      </c>
      <c r="BG73" s="10" t="str">
        <f>IF(ISERROR(IF(BF73="","",VLOOKUP(($BC73&amp;BF73&amp;"Template de desconto FLAT bundle - Fixo - Varejo - Ganho Tributário Cross"),BENEFICIOS!$A:$G,5,0))),"Criar",IF(BF73="","",VLOOKUP(($BC73&amp;BF73&amp;"Template de desconto FLAT bundle - Fixo - Varejo - Ganho Tributário Cross"),BENEFICIOS!$A:$G,5,0)))</f>
        <v/>
      </c>
      <c r="BH73" s="8"/>
      <c r="BI73" s="3" t="str">
        <f>IF(BH73=0,"",IF(BH73=VLOOKUP("PCS-OzTL40",ARBOR!$A:$C,3,0),0.0001,IF(BH73&gt;VLOOKUP("PCS-OzTL40",ARBOR!$A:$C,3,0),"Maior que CAP!",IF((DOLLAR(BH73+(VLOOKUP("PCS-OzTL40",ARBOR!$A:$C,3,0)*-TRUNC(BH73/VLOOKUP("PCS-OzTL40",ARBOR!$A:$C,3,0)-1,4)),6))&lt;&gt;(DOLLAR(VLOOKUP("PCS-OzTL40",ARBOR!$A:$C,3,0),6)),-TRUNC(BH73/VLOOKUP("PCS-OzTL40",ARBOR!$A:$C,3,0)-1,4)+0.0001,-TRUNC(BH73/VLOOKUP("PCS-OzTL40",ARBOR!$A:$C,3,0)-1,4)))))</f>
        <v/>
      </c>
      <c r="BJ73" s="10" t="str">
        <f>IF(ISERROR(IF(BI73="","",VLOOKUP((BC73&amp;BI73&amp;"Template desconto FLAT Plano Principal Oi TV nível conta"),BENEFICIOS!$A:$G,5,0))),"Criar",IF(BI73="","",VLOOKUP((BC73&amp;BI73&amp;"Template desconto FLAT Plano Principal Oi TV nível conta"),BENEFICIOS!$A:$G,5,0)))</f>
        <v/>
      </c>
      <c r="BK73" s="8"/>
      <c r="BL73" s="3" t="str">
        <f>IF(BK73=0,"",IF(BK73=VLOOKUP("PCS-OzTL41",ARBOR!$A:$C,3,0),0.0001,IF(BK73&gt;VLOOKUP("PCS-OzTL41",ARBOR!$A:$C,3,0),"Maior que CAP!",IF((DOLLAR(BK73+(VLOOKUP("PCS-OzTL41",ARBOR!$A:$C,3,0)*-TRUNC(BK73/VLOOKUP("PCS-OzTL41",ARBOR!$A:$C,3,0)-1,4)),6))&lt;&gt;(DOLLAR(VLOOKUP("PCS-OzTL41",ARBOR!$A:$C,3,0),6)),-TRUNC(BK73/VLOOKUP("PCS-OzTL41",ARBOR!$A:$C,3,0)-1,4)+0.0001,-TRUNC(BK73/VLOOKUP("PCS-OzTL41",ARBOR!$A:$C,3,0)-1,4)))))</f>
        <v/>
      </c>
      <c r="BM73" s="28" t="str">
        <f>IF(ISERROR(IF(BL73="","",VLOOKUP((BC73&amp;BL73&amp;"Template desconto FLAT Plano Principal Oi TV nível conta"),BENEFICIOS!$A:$G,5,0))),"Criar",IF(BL73="","",VLOOKUP((BC73&amp;BL73&amp;"Template desconto FLAT Plano Principal Oi TV nível conta"),BENEFICIOS!$A:$G,5,0)))</f>
        <v/>
      </c>
      <c r="BN73" s="8"/>
      <c r="BO73" s="3" t="str">
        <f>IF(BN73=0,"",IF(BN73=VLOOKUP("PCS-OzTL44",ARBOR!$A:$C,3,0),0.0001,IF(BN73&gt;VLOOKUP("PCS-OzTL44",ARBOR!$A:$C,3,0),"Maior que CAP!",IF((DOLLAR(BN73+(VLOOKUP("PCS-OzTL44",ARBOR!$A:$C,3,0)*-TRUNC(BN73/VLOOKUP("PCS-OzTL44",ARBOR!$A:$C,3,0)-1,4)),6))&lt;&gt;(DOLLAR(VLOOKUP("PCS-OzTL44",ARBOR!$A:$C,3,0),6)),-TRUNC(BN73/VLOOKUP("PCS-OzTL44",ARBOR!$A:$C,3,0)-1,4)+0.0001,-TRUNC(BN73/VLOOKUP("PCS-OzTL44",ARBOR!$A:$C,3,0)-1,4)))))</f>
        <v/>
      </c>
      <c r="BP73" s="28" t="str">
        <f>IF(ISERROR(IF(BO73="","",VLOOKUP((BC73&amp;BO73&amp;"Template desconto FLAT Plano Principal Oi TV nível conta"),BENEFICIOS!$A:$G,5,0))),"Criar",IF(BO73="","",VLOOKUP((BC73&amp;BO73&amp;"Template desconto FLAT Plano Principal Oi TV nível conta"),BENEFICIOS!$A:$G,5,0)))</f>
        <v/>
      </c>
      <c r="BQ73" s="8"/>
      <c r="BR73" s="3" t="str">
        <f>IF(BQ73=0,"",IF(BQ73=VLOOKUP("PCS-OzTL43",ARBOR!$A:$C,3,0),0.0001,IF(BQ73&gt;VLOOKUP("PCS-OzTL43",ARBOR!$A:$C,3,0),"Maior que CAP!",IF((DOLLAR(BQ73+(VLOOKUP("PCS-OzTL43",ARBOR!$A:$C,3,0)*-TRUNC(BQ73/VLOOKUP("PCS-OzTL43",ARBOR!$A:$C,3,0)-1,4)),6))&lt;&gt;(DOLLAR(VLOOKUP("PCS-OzTL43",ARBOR!$A:$C,3,0),6)),-TRUNC(BQ73/VLOOKUP("PCS-OzTL43",ARBOR!$A:$C,3,0)-1,4)+0.0001,-TRUNC(BQ73/VLOOKUP("PCS-OzTL43",ARBOR!$A:$C,3,0)-1,4)))))</f>
        <v/>
      </c>
      <c r="BS73" s="28" t="str">
        <f>IF(ISERROR(IF(BR73="","",VLOOKUP((BC73&amp;BR73&amp;"Template desconto FLAT Plano Principal Oi TV nível conta"),BENEFICIOS!$A:$G,5,0))),"Criar",IF(BR73="","",VLOOKUP((BC73&amp;BR73&amp;"Template desconto FLAT Plano Principal Oi TV nível conta"),BENEFICIOS!$A:$G,5,0)))</f>
        <v/>
      </c>
      <c r="BT73" s="8"/>
      <c r="BU73" s="3" t="str">
        <f>IF(BT73=0,"",IF(BT73=VLOOKUP("PCS-OzTL45",ARBOR!$A:$C,3,0),0.0001,IF(BT73&gt;VLOOKUP("PCS-OzTL45",ARBOR!$A:$C,3,0),"Maior que CAP!",IF((DOLLAR(BT73+(VLOOKUP("PCS-OzTL45",ARBOR!$A:$C,3,0)*-TRUNC(BT73/VLOOKUP("PCS-OzTL45",ARBOR!$A:$C,3,0)-1,4)),6))&lt;&gt;(DOLLAR(VLOOKUP("PCS-OzTL45",ARBOR!$A:$C,3,0),6)),-TRUNC(BT73/VLOOKUP("PCS-OzTL45",ARBOR!$A:$C,3,0)-1,4)+0.0001,-TRUNC(BT73/VLOOKUP("PCS-OzTL45",ARBOR!$A:$C,3,0)-1,4)))))</f>
        <v/>
      </c>
      <c r="BV73" s="28" t="str">
        <f>IF(ISERROR(IF(BU73="","",VLOOKUP((BC73&amp;BU73&amp;"Template desconto FLAT Plano Principal Oi TV nível conta"),BENEFICIOS!$A:$G,5,0))),"Criar",IF(BU73="","",VLOOKUP((BC73&amp;BU73&amp;"Template desconto FLAT Plano Principal Oi TV nível conta"),BENEFICIOS!$A:$G,5,0)))</f>
        <v/>
      </c>
      <c r="BW73" s="8"/>
      <c r="BX73" s="3" t="str">
        <f>IF(BW73=0,"",IF(BW73=VLOOKUP("PCS-OzTL741",ARBOR!$A:$C,3,0),0.0001,IF(BW73&gt;VLOOKUP("PCS-OzTL741",ARBOR!$A:$C,3,0),"Maior que CAP!",IF((DOLLAR(BW73+(VLOOKUP("PCS-OzTL741",ARBOR!$A:$C,3,0)*-TRUNC(BW73/VLOOKUP("PCS-OzTL741",ARBOR!$A:$C,3,0)-1,4)),6))&lt;&gt;(DOLLAR(VLOOKUP("PCS-OzTL741",ARBOR!$A:$C,3,0),6)),-TRUNC(BW73/VLOOKUP("PCS-OzTL741",ARBOR!$A:$C,3,0)-1,4)+0.0001,-TRUNC(BW73/VLOOKUP("PCS-OzTL741",ARBOR!$A:$C,3,0)-1,4)))))</f>
        <v/>
      </c>
      <c r="BY73" s="28" t="str">
        <f>IF(ISERROR(IF(BX73="","",VLOOKUP((BC73&amp;BX73&amp;"Template desconto FLAT Plano Principal Oi TV nível conta"),BENEFICIOS!$A:$G,5,0))),"Criar",IF(BX73="","",VLOOKUP((BC73&amp;BX73&amp;"Template desconto FLAT Plano Principal Oi TV nível conta"),BENEFICIOS!$A:$G,5,0)))</f>
        <v/>
      </c>
      <c r="BZ73" s="8"/>
      <c r="CA73" s="3" t="str">
        <f>IF(BZ73=0,"",IF(BZ73=VLOOKUP("PCS-OzTL744",ARBOR!$A:$C,3,0),0.0001,IF(BZ73&gt;VLOOKUP("PCS-OzTL744",ARBOR!$A:$C,3,0),"Maior que CAP!",IF((DOLLAR(BZ73+(VLOOKUP("PCS-OzTL744",ARBOR!$A:$C,3,0)*-TRUNC(BZ73/VLOOKUP("PCS-OzTL744",ARBOR!$A:$C,3,0)-1,4)),6))&lt;&gt;(DOLLAR(VLOOKUP("PCS-OzTL744",ARBOR!$A:$C,3,0),6)),-TRUNC(BZ73/VLOOKUP("PCS-OzTL744",ARBOR!$A:$C,3,0)-1,4)+0.0001,-TRUNC(BZ73/VLOOKUP("PCS-OzTL744",ARBOR!$A:$C,3,0)-1,4)))))</f>
        <v/>
      </c>
      <c r="CB73" s="28" t="str">
        <f>IF(ISERROR(IF(CA73="","",VLOOKUP(($BC73&amp;CA73&amp;"Template desconto FLAT Plano Principal Oi TV nível conta"),BENEFICIOS!$A:$G,5,0))),"Criar",IF(CA73="","",VLOOKUP(($BC73&amp;CA73&amp;"Template desconto FLAT Plano Principal Oi TV nível conta"),BENEFICIOS!$A:$G,5,0)))</f>
        <v/>
      </c>
      <c r="CC73" s="8"/>
      <c r="CD73" s="3" t="str">
        <f>IF(CC73=0,"",IF(CC73=VLOOKUP("PCS-OzTL743",ARBOR!$A:$C,3,0),0.0001,IF(CC73&gt;VLOOKUP("PCS-OzTL743",ARBOR!$A:$C,3,0),"Maior que CAP!",IF((DOLLAR(CC73+(VLOOKUP("PCS-OzTL743",ARBOR!$A:$C,3,0)*-TRUNC(CC73/VLOOKUP("PCS-OzTL743",ARBOR!$A:$C,3,0)-1,4)),6))&lt;&gt;(DOLLAR(VLOOKUP("PCS-OzTL743",ARBOR!$A:$C,3,0),6)),-TRUNC(CC73/VLOOKUP("PCS-OzTL743",ARBOR!$A:$C,3,0)-1,4)+0.0001,-TRUNC(CC73/VLOOKUP("PCS-OzTL743",ARBOR!$A:$C,3,0)-1,4)))))</f>
        <v/>
      </c>
      <c r="CE73" s="28" t="str">
        <f>IF(ISERROR(IF(CD73="","",VLOOKUP(($BC73&amp;CD73&amp;"Template desconto FLAT Plano Principal Oi TV nível conta"),BENEFICIOS!$A:$G,5,0))),"Criar",IF(CD73="","",VLOOKUP(($BC73&amp;CD73&amp;"Template desconto FLAT Plano Principal Oi TV nível conta"),BENEFICIOS!$A:$G,5,0)))</f>
        <v/>
      </c>
      <c r="CF73" s="8"/>
      <c r="CG73" s="3" t="str">
        <f>IF(CF73=0,"",IF(CF73=VLOOKUP("PCS-OzTL745",ARBOR!$A:$C,3,0),0.0001,IF(CF73&gt;VLOOKUP("PCS-OzTL745",ARBOR!$A:$C,3,0),"Maior que CAP!",IF((DOLLAR(CF73+(VLOOKUP("PCS-OzTL745",ARBOR!$A:$C,3,0)*-TRUNC(CF73/VLOOKUP("PCS-OzTL745",ARBOR!$A:$C,3,0)-1,4)),6))&lt;&gt;(DOLLAR(VLOOKUP("PCS-OzTL745",ARBOR!$A:$C,3,0),6)),-TRUNC(CF73/VLOOKUP("PCS-OzTL745",ARBOR!$A:$C,3,0)-1,4)+0.0001,-TRUNC(CF73/VLOOKUP("PCS-OzTL745",ARBOR!$A:$C,3,0)-1,4)))))</f>
        <v/>
      </c>
      <c r="CH73" s="28" t="str">
        <f>IF(ISERROR(IF(CG73="","",VLOOKUP(($BC73&amp;CG73&amp;"Template desconto FLAT Plano Principal Oi TV nível conta"),BENEFICIOS!$A:$G,5,0))),"Criar",IF(CG73="","",VLOOKUP(($BC73&amp;CG73&amp;"Template desconto FLAT Plano Principal Oi TV nível conta"),BENEFICIOS!$A:$G,5,0)))</f>
        <v/>
      </c>
      <c r="CI73" s="8"/>
      <c r="CJ73" s="3" t="str">
        <f>IF(CI73=0,"",IF(CI73=VLOOKUP("PCS-OzTL42",ARBOR!$A:$C,3,0),0.0001,IF(CI73&gt;VLOOKUP("PCS-OzTL42",ARBOR!$A:$C,3,0),"Maior que CAP!",IF((DOLLAR(CI73+(VLOOKUP("PCS-OzTL42",ARBOR!$A:$C,3,0)*-TRUNC(CI73/VLOOKUP("PCS-OzTL42",ARBOR!$A:$C,3,0)-1,4)),6))&lt;&gt;(DOLLAR(VLOOKUP("PCS-OzTL42",ARBOR!$A:$C,3,0),6)),-TRUNC(CI73/VLOOKUP("PCS-OzTL42",ARBOR!$A:$C,3,0)-1,4)+0.0001,-TRUNC(CI73/VLOOKUP("PCS-OzTL42",ARBOR!$A:$C,3,0)-1,4)))))</f>
        <v/>
      </c>
      <c r="CK73" s="28" t="str">
        <f>IF(ISERROR(IF(CJ73="","",VLOOKUP(($BC73&amp;CJ73&amp;"Template desconto FLAT Plano Principal Oi TV nível conta"),BENEFICIOS!$A:$G,5,0))),"Criar",IF(CJ73="","",VLOOKUP(($BC73&amp;CJ73&amp;"Template desconto FLAT Plano Principal Oi TV nível conta"),BENEFICIOS!$A:$G,5,0)))</f>
        <v/>
      </c>
      <c r="CL73" s="8"/>
      <c r="CM73" s="3" t="str">
        <f>IF(CL73=0,"",IF(CL73=VLOOKUP("PCS-OzTL47",ARBOR!$A:$C,3,0),0.0001,IF(CL73&gt;VLOOKUP("PCS-OzTL47",ARBOR!$A:$C,3,0),"Maior que CAP!",IF((DOLLAR(CL73+(VLOOKUP("PCS-OzTL47",ARBOR!$A:$C,3,0)*-TRUNC(CL73/VLOOKUP("PCS-OzTL47",ARBOR!$A:$C,3,0)-1,4)),6))&lt;&gt;(DOLLAR(VLOOKUP("PCS-OzTL47",ARBOR!$A:$C,3,0),6)),-TRUNC(CL73/VLOOKUP("PCS-OzTL47",ARBOR!$A:$C,3,0)-1,4)+0.0001,-TRUNC(CL73/VLOOKUP("PCS-OzTL47",ARBOR!$A:$C,3,0)-1,4)))))</f>
        <v/>
      </c>
      <c r="CN73" s="28" t="str">
        <f>IF(ISERROR(IF(CM73="","",VLOOKUP(($BC73&amp;CM73&amp;"Template desconto FLAT Plano Principal Oi TV nível conta"),BENEFICIOS!$A:$G,5,0))),"Criar",IF(CM73="","",VLOOKUP(($BC73&amp;CM73&amp;"Template desconto FLAT Plano Principal Oi TV nível conta"),BENEFICIOS!$A:$G,5,0)))</f>
        <v/>
      </c>
      <c r="CO73" s="8"/>
      <c r="CP73" s="3" t="str">
        <f>IF(CO73=0,"",IF(CO73=VLOOKUP("PCS-OzTL46",ARBOR!$A:$C,3,0),0.0001,IF(CO73&gt;VLOOKUP("PCS-OzTL46",ARBOR!$A:$C,3,0),"Maior que CAP!",IF((DOLLAR(CO73+(VLOOKUP("PCS-OzTL46",ARBOR!$A:$C,3,0)*-TRUNC(CO73/VLOOKUP("PCS-OzTL46",ARBOR!$A:$C,3,0)-1,4)),6))&lt;&gt;(DOLLAR(VLOOKUP("PCS-OzTL46",ARBOR!$A:$C,3,0),6)),-TRUNC(CO73/VLOOKUP("PCS-OzTL46",ARBOR!$A:$C,3,0)-1,4)+0.0001,-TRUNC(CO73/VLOOKUP("PCS-OzTL46",ARBOR!$A:$C,3,0)-1,4)))))</f>
        <v/>
      </c>
      <c r="CQ73" s="28" t="str">
        <f>IF(ISERROR(IF(CP73="","",VLOOKUP(($BC73&amp;CP73&amp;"Template desconto FLAT Plano Principal Oi TV nível conta"),BENEFICIOS!$A:$G,5,0))),"Criar",IF(CP73="","",VLOOKUP(($BC73&amp;CP73&amp;"Template desconto FLAT Plano Principal Oi TV nível conta"),BENEFICIOS!$A:$G,5,0)))</f>
        <v/>
      </c>
      <c r="CR73" s="8"/>
      <c r="CS73" s="3" t="str">
        <f>IF(CR73=0,"",IF(CR73=VLOOKUP("PCS-OzTL48",ARBOR!$A:$C,3,0),0.0001,IF(CR73&gt;VLOOKUP("PCS-OzTL48",ARBOR!$A:$C,3,0),"Maior que CAP!",IF((DOLLAR(CR73+(VLOOKUP("PCS-OzTL48",ARBOR!$A:$C,3,0)*-TRUNC(CR73/VLOOKUP("PCS-OzTL48",ARBOR!$A:$C,3,0)-1,4)),6))&lt;&gt;(DOLLAR(VLOOKUP("PCS-OzTL48",ARBOR!$A:$C,3,0),6)),-TRUNC(CR73/VLOOKUP("PCS-OzTL48",ARBOR!$A:$C,3,0)-1,4)+0.0001,-TRUNC(CR73/VLOOKUP("PCS-OzTL48",ARBOR!$A:$C,3,0)-1,4)))))</f>
        <v/>
      </c>
      <c r="CT73" s="28" t="str">
        <f>IF(ISERROR(IF(CS73="","",VLOOKUP(($BC73&amp;CS73&amp;"Template desconto FLAT Plano Principal Oi TV nível conta"),BENEFICIOS!$A:$G,5,0))),"Criar",IF(CS73="","",VLOOKUP(($BC73&amp;CS73&amp;"Template desconto FLAT Plano Principal Oi TV nível conta"),BENEFICIOS!$A:$G,5,0)))</f>
        <v/>
      </c>
      <c r="CU73" s="8"/>
      <c r="CV73" s="3" t="str">
        <f>IF(CU73=0,"",IF(CU73=VLOOKUP("PCS-OzTL742",ARBOR!$A:$C,3,0),0.0001,IF(CU73&gt;VLOOKUP("PCS-OzTL742",ARBOR!$A:$C,3,0),"Maior que CAP!",IF((DOLLAR(CU73+(VLOOKUP("PCS-OzTL742",ARBOR!$A:$C,3,0)*-TRUNC(CU73/VLOOKUP("PCS-OzTL742",ARBOR!$A:$C,3,0)-1,4)),6))&lt;&gt;(DOLLAR(VLOOKUP("PCS-OzTL742",ARBOR!$A:$C,3,0),6)),-TRUNC(CU73/VLOOKUP("PCS-OzTL742",ARBOR!$A:$C,3,0)-1,4)+0.0001,-TRUNC(CU73/VLOOKUP("PCS-OzTL742",ARBOR!$A:$C,3,0)-1,4)))))</f>
        <v/>
      </c>
      <c r="CW73" s="28" t="str">
        <f>IF(ISERROR(IF(CV73="","",VLOOKUP(($BC73&amp;CV73&amp;"Template desconto FLAT Plano Principal Oi TV nível conta"),BENEFICIOS!$A:$G,5,0))),"Criar",IF(CV73="","",VLOOKUP(($BC73&amp;CV73&amp;"Template desconto FLAT Plano Principal Oi TV nível conta"),BENEFICIOS!$A:$G,5,0)))</f>
        <v/>
      </c>
      <c r="CX73" s="8"/>
      <c r="CY73" s="3" t="str">
        <f>IF(CX73=0,"",IF(CX73=VLOOKUP("PCS-OzTL747",ARBOR!$A:$C,3,0),0.0001,IF(CX73&gt;VLOOKUP("PCS-OzTL747",ARBOR!$A:$C,3,0),"Maior que CAP!",IF((DOLLAR(CX73+(VLOOKUP("PCS-OzTL747",ARBOR!$A:$C,3,0)*-TRUNC(CX73/VLOOKUP("PCS-OzTL747",ARBOR!$A:$C,3,0)-1,4)),6))&lt;&gt;(DOLLAR(VLOOKUP("PCS-OzTL747",ARBOR!$A:$C,3,0),6)),-TRUNC(CX73/VLOOKUP("PCS-OzTL747",ARBOR!$A:$C,3,0)-1,4)+0.0001,-TRUNC(CX73/VLOOKUP("PCS-OzTL747",ARBOR!$A:$C,3,0)-1,4)))))</f>
        <v/>
      </c>
      <c r="CZ73" s="28" t="str">
        <f>IF(ISERROR(IF(CY73="","",VLOOKUP(($BC73&amp;CY73&amp;"Template desconto FLAT Plano Principal Oi TV nível conta"),BENEFICIOS!$A:$G,5,0))),"Criar",IF(CY73="","",VLOOKUP(($BC73&amp;CY73&amp;"Template desconto FLAT Plano Principal Oi TV nível conta"),BENEFICIOS!$A:$G,5,0)))</f>
        <v/>
      </c>
      <c r="DA73" s="8"/>
      <c r="DB73" s="3" t="str">
        <f>IF(DA73=0,"",IF(DA73=VLOOKUP("PCS-OzTL746",ARBOR!$A:$C,3,0),0.0001,IF(DA73&gt;VLOOKUP("PCS-OzTL746",ARBOR!$A:$C,3,0),"Maior que CAP!",IF((DOLLAR(DA73+(VLOOKUP("PCS-OzTL746",ARBOR!$A:$C,3,0)*-TRUNC(DA73/VLOOKUP("PCS-OzTL746",ARBOR!$A:$C,3,0)-1,4)),6))&lt;&gt;(DOLLAR(VLOOKUP("PCS-OzTL746",ARBOR!$A:$C,3,0),6)),-TRUNC(DA73/VLOOKUP("PCS-OzTL746",ARBOR!$A:$C,3,0)-1,4)+0.0001,-TRUNC(DA73/VLOOKUP("PCS-OzTL746",ARBOR!$A:$C,3,0)-1,4)))))</f>
        <v/>
      </c>
      <c r="DC73" s="28" t="str">
        <f>IF(ISERROR(IF(DB73="","",VLOOKUP(($BC73&amp;DB73&amp;"Template desconto FLAT Plano Principal Oi TV nível conta"),BENEFICIOS!$A:$G,5,0))),"Criar",IF(DB73="","",VLOOKUP(($BC73&amp;DB73&amp;"Template desconto FLAT Plano Principal Oi TV nível conta"),BENEFICIOS!$A:$G,5,0)))</f>
        <v/>
      </c>
      <c r="DD73" s="8"/>
      <c r="DE73" s="3" t="str">
        <f>IF(DD73=0,"",IF(DD73=VLOOKUP("PCS-OzTL748",ARBOR!$A:$C,3,0),0.0001,IF(DD73&gt;VLOOKUP("PCS-OzTL748",ARBOR!$A:$C,3,0),"Maior que CAP!",IF((DOLLAR(DD73+(VLOOKUP("PCS-OzTL748",ARBOR!$A:$C,3,0)*-TRUNC(DD73/VLOOKUP("PCS-OzTL748",ARBOR!$A:$C,3,0)-1,4)),6))&lt;&gt;(DOLLAR(VLOOKUP("PCS-OzTL748",ARBOR!$A:$C,3,0),6)),-TRUNC(DD73/VLOOKUP("PCS-OzTL748",ARBOR!$A:$C,3,0)-1,4)+0.0001,-TRUNC(DD73/VLOOKUP("PCS-OzTL748",ARBOR!$A:$C,3,0)-1,4)))))</f>
        <v/>
      </c>
      <c r="DF73" s="28" t="str">
        <f>IF(ISERROR(IF(DE73="","",VLOOKUP(($BC73&amp;DE73&amp;"Template desconto FLAT Plano Principal Oi TV nível conta"),BENEFICIOS!$A:$G,5,0))),"Criar",IF(DE73="","",VLOOKUP(($BC73&amp;DE73&amp;"Template desconto FLAT Plano Principal Oi TV nível conta"),BENEFICIOS!$A:$G,5,0)))</f>
        <v/>
      </c>
      <c r="DG73" s="8"/>
      <c r="DH73" s="3" t="str">
        <f>IF(DG73=0,"",IF(DG73=VLOOKUP("PCS-OzTL34",ARBOR!$A:$C,3,0),0.0001,IF(DG73&gt;VLOOKUP("PCS-OzTL34",ARBOR!$A:$C,3,0),"Maior que CAP!",IF((DOLLAR(DG73+(VLOOKUP("PCS-OzTL34",ARBOR!$A:$C,3,0)*-TRUNC(DG73/VLOOKUP("PCS-OzTL34",ARBOR!$A:$C,3,0)-1,4)),6))&lt;&gt;(DOLLAR(VLOOKUP("PCS-OzTL34",ARBOR!$A:$C,3,0),6)),-TRUNC(DG73/VLOOKUP("PCS-OzTL34",ARBOR!$A:$C,3,0)-1,4)+0.0001,-TRUNC(DG73/VLOOKUP("PCS-OzTL34",ARBOR!$A:$C,3,0)-1,4)))))</f>
        <v/>
      </c>
      <c r="DI73" s="28" t="str">
        <f>IF(DH73="S/Desc","S/Desc",IF(ISERROR(IF(DH73="","",VLOOKUP(($BC73&amp;DH73&amp;"Template desconto % Combate nível conta"),BENEFICIOS!$A:$G,5,0))),"Criar",IF(DH73="","",VLOOKUP(($BC73&amp;DH73&amp;"Template desconto % Combate nível conta"),BENEFICIOS!$A:$G,5,0))))</f>
        <v/>
      </c>
      <c r="DJ73" s="8"/>
      <c r="DK73" s="3" t="str">
        <f>IF(DJ73=0,"",IF(DJ73=VLOOKUP("PCS-OzTL31",ARBOR!$A:$C,3,0),0.0001,IF(DJ73&gt;VLOOKUP("PCS-OzTL31",ARBOR!$A:$C,3,0),"Maior que CAP!",IF((DOLLAR(DJ73+(VLOOKUP("PCS-OzTL31",ARBOR!$A:$C,3,0)*-TRUNC(DJ73/VLOOKUP("PCS-OzTL31",ARBOR!$A:$C,3,0)-1,4)),6))&lt;&gt;(DOLLAR(VLOOKUP("PCS-OzTL31",ARBOR!$A:$C,3,0),6)),-TRUNC(DJ73/VLOOKUP("PCS-OzTL31",ARBOR!$A:$C,3,0)-1,4)+0.0001,-TRUNC(DJ73/VLOOKUP("PCS-OzTL31",ARBOR!$A:$C,3,0)-1,4)))))</f>
        <v/>
      </c>
      <c r="DL73" s="28" t="str">
        <f>IF(DK73="S/Desc","S/Desc",IF(ISERROR(IF(DK73="","",VLOOKUP(($BC73&amp;DK73&amp;"Template desconto % Sexy Hot nível conta"),BENEFICIOS!$A:$G,5,0))),"Criar",IF(DK73="","",VLOOKUP(($BC73&amp;DK73&amp;"Template desconto % Sexy Hot nível conta"),BENEFICIOS!$A:$G,5,0))))</f>
        <v/>
      </c>
      <c r="DM73" s="8"/>
      <c r="DN73" s="3" t="str">
        <f>IF(DM73=0,"",IF(DM73=VLOOKUP("PCS-OzTL32",ARBOR!$A:$C,3,0),0.0001,IF(DM73&gt;VLOOKUP("PCS-OzTL32",ARBOR!$A:$C,3,0),"Maior que CAP!",IF((DOLLAR(DM73+(VLOOKUP("PCS-OzTL32",ARBOR!$A:$C,3,0)*-TRUNC(DM73/VLOOKUP("PCS-OzTL32",ARBOR!$A:$C,3,0)-1,4)),6))&lt;&gt;(DOLLAR(VLOOKUP("PCS-OzTL32",ARBOR!$A:$C,3,0),6)),-TRUNC(DM73/VLOOKUP("PCS-OzTL32",ARBOR!$A:$C,3,0)-1,4)+0.0001,-TRUNC(DM73/VLOOKUP("PCS-OzTL32",ARBOR!$A:$C,3,0)-1,4)))))</f>
        <v/>
      </c>
      <c r="DO73" s="28" t="str">
        <f>IF(DN73="S/Desc","S/Desc",IF(ISERROR(IF(DN73="","",VLOOKUP(($BC73&amp;DN73&amp;"Template desconto % Playboy nível conta"),BENEFICIOS!$A:$G,5,0))),"Criar",IF(DN73="","",VLOOKUP(($BC73&amp;DN73&amp;"Template desconto % Playboy nível conta"),BENEFICIOS!$A:$G,5,0))))</f>
        <v/>
      </c>
      <c r="DP73" s="8"/>
      <c r="DQ73" s="3" t="str">
        <f>IF(DP73=0,"",IF(DP73=VLOOKUP("PCS-OzTL33",ARBOR!$A:$C,3,0),0.0001,IF(DP73&gt;VLOOKUP("PCS-OzTL33",ARBOR!$A:$C,3,0),"Maior que CAP!",IF((DOLLAR(DP73+(VLOOKUP("PCS-OzTL33",ARBOR!$A:$C,3,0)*-TRUNC(DP73/VLOOKUP("PCS-OzTL33",ARBOR!$A:$C,3,0)-1,4)),6))&lt;&gt;(DOLLAR(VLOOKUP("PCS-OzTL33",ARBOR!$A:$C,3,0),6)),-TRUNC(DP73/VLOOKUP("PCS-OzTL33",ARBOR!$A:$C,3,0)-1,4)+0.0001,-TRUNC(DP73/VLOOKUP("PCS-OzTL33",ARBOR!$A:$C,3,0)-1,4)))))</f>
        <v/>
      </c>
      <c r="DR73" s="28" t="str">
        <f>IF(DQ73="S/Desc","S/Desc",IF(ISERROR(IF(DQ73="","",VLOOKUP(($BC73&amp;DQ73&amp;"Template desconto % Sexy Hot + Playboy nível conta"),BENEFICIOS!$A:$G,5,0))),"Criar",IF(DQ73="","",VLOOKUP(($BC73&amp;DQ73&amp;"Template desconto % Sexy Hot + Playboy nível conta"),BENEFICIOS!$A:$G,5,0))))</f>
        <v/>
      </c>
      <c r="DS73" s="8"/>
      <c r="DT73" s="3" t="str">
        <f>IF(DS73=0,"",IF(DS73=VLOOKUP("PCS-OzTL503",ARBOR!$A:$C,3,0),0.0001,IF(DS73&gt;VLOOKUP("PCS-OzTL503",ARBOR!$A:$C,3,0),"Maior que CAP!",IF((DOLLAR(DS73+(VLOOKUP("PCS-OzTL503",ARBOR!$A:$C,3,0)*-TRUNC(DS73/VLOOKUP("PCS-OzTL503",ARBOR!$A:$C,3,0)-1,4)),6))&lt;&gt;(DOLLAR(VLOOKUP("PCS-OzTL503",ARBOR!$A:$C,3,0),6)),-TRUNC(DS73/VLOOKUP("PCS-OzTL503",ARBOR!$A:$C,3,0)-1,4)+0.0001,-TRUNC(DS73/VLOOKUP("PCS-OzTL503",ARBOR!$A:$C,3,0)-1,4)))))</f>
        <v/>
      </c>
      <c r="DU73" s="28" t="str">
        <f>IF(DT73="S/Desc","S/Desc",IF(ISERROR(IF(DT73="","",VLOOKUP(($BC73&amp;DT73&amp;"Template desconto % SexPrivê nível conta"),BENEFICIOS!$A:$G,5,0))),"Criar",IF(DT73="","",VLOOKUP(($BC73&amp;DT73&amp;"Template desconto % SexPrivê nível conta"),BENEFICIOS!$A:$G,5,0))))</f>
        <v/>
      </c>
      <c r="DV73" s="8"/>
      <c r="DW73" s="3" t="str">
        <f>IF(DV73=0,"",IF(DV73=VLOOKUP("PCS-OzTL500",ARBOR!$A:$C,3,0),0.0001,IF(DV73&gt;VLOOKUP("PCS-OzTL500",ARBOR!$A:$C,3,0),"Maior que CAP!",IF((DOLLAR(DV73+(VLOOKUP("PCS-OzTL500",ARBOR!$A:$C,3,0)*-TRUNC(DV73/VLOOKUP("PCS-OzTL500",ARBOR!$A:$C,3,0)-1,4)),6))&lt;&gt;(DOLLAR(VLOOKUP("PCS-OzTL500",ARBOR!$A:$C,3,0),6)),-TRUNC(DV73/VLOOKUP("PCS-OzTL500",ARBOR!$A:$C,3,0)-1,4)+0.0001,-TRUNC(DV73/VLOOKUP("PCS-OzTL500",ARBOR!$A:$C,3,0)-1,4)))))</f>
        <v/>
      </c>
      <c r="DX73" s="28" t="str">
        <f>IF(DW73="S/Desc","S/Desc",IF(ISERROR(IF(DW73="","",VLOOKUP(($BC73&amp;DW73&amp;"Template desconto % Étnico nível conta"),BENEFICIOS!$A:$G,5,0))),"Criar",IF(DW73="","",VLOOKUP(($BC73&amp;DW73&amp;"Template desconto % Étnico nível conta"),BENEFICIOS!$A:$G,5,0))))</f>
        <v/>
      </c>
      <c r="DY73" s="8"/>
      <c r="DZ73" s="181" t="str">
        <f>IF(DY73=0,"",IF(DY73=VLOOKUP("PCS-OzTL50",ARBOR!$A:$C,3,0),0.0001,IF(DY73&gt;VLOOKUP("PCS-OzTL50",ARBOR!$A:$C,3,0),"Maior que CAP!",IF((DOLLAR(DY73+(VLOOKUP("PCS-OzTL50",ARBOR!$A:$C,3,0)*-TRUNC(DY73/VLOOKUP("PCS-OzTL50",ARBOR!$A:$C,3,0)-1,4)),6))&lt;&gt;(DOLLAR(VLOOKUP("PCS-OzTL50",ARBOR!$A:$C,3,0),6)),-TRUNC(DY73/VLOOKUP("PCS-OzTL50",ARBOR!$A:$C,3,0)-1,4)+0.0001,-TRUNC(DY73/VLOOKUP("PCS-OzTL50",ARBOR!$A:$C,3,0)-1,4)))))</f>
        <v/>
      </c>
      <c r="EA73" s="28"/>
      <c r="EB73" s="8"/>
      <c r="EC73" s="181" t="str">
        <f>IF(EB73=0,"",IF(EB73=VLOOKUP("PCS-OzTL51",ARBOR!$A:$C,3,0),0.0001,IF(EB73&gt;VLOOKUP("PCS-OzTL51",ARBOR!$A:$C,3,0),"Maior que CAP!",IF((DOLLAR(EB73+(VLOOKUP("PCS-OzTL51",ARBOR!$A:$C,3,0)*-TRUNC(EB73/VLOOKUP("PCS-OzTL51",ARBOR!$A:$C,3,0)-1,4)),6))&lt;&gt;(DOLLAR(VLOOKUP("PCS-OzTL51",ARBOR!$A:$C,3,0),6)),-TRUNC(EB73/VLOOKUP("PCS-OzTL51",ARBOR!$A:$C,3,0)-1,4)+0.0001,-TRUNC(EB73/VLOOKUP("PCS-OzTL51",ARBOR!$A:$C,3,0)-1,4)))))</f>
        <v/>
      </c>
      <c r="ED73" s="28"/>
      <c r="EE73" s="8"/>
      <c r="EF73" s="181" t="str">
        <f>IF(EE73=0,"",IF(EE73=VLOOKUP("PCS-OzTL52",ARBOR!$A:$C,3,0),0.0001,IF(EE73&gt;VLOOKUP("PCS-OzTL52",ARBOR!$A:$C,3,0),"Maior que CAP!",IF((DOLLAR(EE73+(VLOOKUP("PCS-OzTL52",ARBOR!$A:$C,3,0)*-TRUNC(EE73/VLOOKUP("PCS-OzTL52",ARBOR!$A:$C,3,0)-1,4)),6))&lt;&gt;(DOLLAR(VLOOKUP("PCS-OzTL52",ARBOR!$A:$C,3,0),6)),-TRUNC(EE73/VLOOKUP("PCS-OzTL52",ARBOR!$A:$C,3,0)-1,4)+0.0001,-TRUNC(EE73/VLOOKUP("PCS-OzTL52",ARBOR!$A:$C,3,0)-1,4)))))</f>
        <v/>
      </c>
      <c r="EG73" s="28"/>
      <c r="EH73" s="8"/>
      <c r="EI73" s="181" t="str">
        <f>IF(EH73=0,"",IF(EH73=VLOOKUP("PCS-OzTL53",ARBOR!$A:$C,3,0),0.0001,IF(EH73&gt;VLOOKUP("PCS-OzTL53",ARBOR!$A:$C,3,0),"Maior que CAP!",IF((DOLLAR(EH73+(VLOOKUP("PCS-OzTL53",ARBOR!$A:$C,3,0)*-TRUNC(EH73/VLOOKUP("PCS-OzTL53",ARBOR!$A:$C,3,0)-1,4)),6))&lt;&gt;(DOLLAR(VLOOKUP("PCS-OzTL53",ARBOR!$A:$C,3,0),6)),-TRUNC(EH73/VLOOKUP("PCS-OzTL53",ARBOR!$A:$C,3,0)-1,4)+0.0001,-TRUNC(EH73/VLOOKUP("PCS-OzTL53",ARBOR!$A:$C,3,0)-1,4)))))</f>
        <v/>
      </c>
      <c r="EJ73" s="28"/>
      <c r="EK73" s="8"/>
      <c r="EL73" s="181" t="str">
        <f>IF(EK73=0,"",IF(EK73=VLOOKUP("PCS-OzTL54",ARBOR!$A:$C,3,0),0.0001,IF(EK73&gt;VLOOKUP("PCS-OzTL54",ARBOR!$A:$C,3,0),"Maior que CAP!",IF((DOLLAR(EK73+(VLOOKUP("PCS-OzTL54",ARBOR!$A:$C,3,0)*-TRUNC(EK73/VLOOKUP("PCS-OzTL54",ARBOR!$A:$C,3,0)-1,4)),6))&lt;&gt;(DOLLAR(VLOOKUP("PCS-OzTL54",ARBOR!$A:$C,3,0),6)),-TRUNC(EK73/VLOOKUP("PCS-OzTL54",ARBOR!$A:$C,3,0)-1,4)+0.0001,-TRUNC(EK73/VLOOKUP("PCS-OzTL54",ARBOR!$A:$C,3,0)-1,4)))))</f>
        <v/>
      </c>
      <c r="EM73" s="28"/>
      <c r="EN73" s="8"/>
      <c r="EO73" s="3" t="str">
        <f>IF(EN73=0,"",IF(EN73=VLOOKUP("PCS-OzTL99",ARBOR!$A:$C,3,0),0.0001,IF(EN73&gt;VLOOKUP("PCS-OzTL99",ARBOR!$A:$C,3,0),"Maior que CAP!",IF((DOLLAR(EN73+(VLOOKUP("PCS-OzTL99",ARBOR!$A:$C,3,0)*-TRUNC(EN73/VLOOKUP("PCS-OzTL99",ARBOR!$A:$C,3,0)-1,4)),6))&lt;&gt;(DOLLAR(VLOOKUP("PCS-OzTL99",ARBOR!$A:$C,3,0),6)),-TRUNC(EN73/VLOOKUP("PCS-OzTL99",ARBOR!$A:$C,3,0)-1,4)+0.0001,-TRUNC(EN73/VLOOKUP("PCS-OzTL99",ARBOR!$A:$C,3,0)-1,4)))))</f>
        <v/>
      </c>
      <c r="EP73" s="28" t="str">
        <f>IF(EO73="S/Desc","S/Desc",IF(ISERROR(IF(EO73="","",VLOOKUP(($BC73&amp;EO73&amp;"Template desconto % Ponto adicional nível conta"),BENEFICIOS!$A:$G,5,0))),"Criar",IF(EO73="","",VLOOKUP(($BC73&amp;EO73&amp;"Template desconto % Ponto adicional nível conta"),BENEFICIOS!$A:$G,5,0))))</f>
        <v/>
      </c>
      <c r="EQ73" s="8"/>
      <c r="ER73" s="28" t="str">
        <f t="shared" si="23"/>
        <v/>
      </c>
      <c r="ES73" s="62"/>
      <c r="ET73" s="126"/>
      <c r="EU73" s="127"/>
      <c r="EV73" s="126"/>
      <c r="EW73" s="128" t="str">
        <f t="shared" si="24"/>
        <v/>
      </c>
      <c r="EX73" s="129" t="str">
        <f t="shared" si="25"/>
        <v/>
      </c>
      <c r="EY73" s="91" t="str">
        <f t="shared" si="26"/>
        <v/>
      </c>
      <c r="EZ73" s="85"/>
      <c r="FA73" s="97"/>
      <c r="FB73" s="91"/>
      <c r="FC73" s="85"/>
      <c r="FD73" s="97"/>
      <c r="FE73" s="91"/>
      <c r="FF73" s="87"/>
      <c r="FG73" s="144" t="str">
        <f t="shared" si="27"/>
        <v/>
      </c>
      <c r="FH73" s="144" t="str">
        <f t="shared" si="28"/>
        <v/>
      </c>
      <c r="FI73" s="144" t="str">
        <f t="shared" si="29"/>
        <v/>
      </c>
      <c r="FJ73" s="144" t="str">
        <f t="shared" si="30"/>
        <v/>
      </c>
      <c r="FK73" s="144" t="str">
        <f t="shared" si="31"/>
        <v/>
      </c>
      <c r="FL73" s="144" t="str">
        <f t="shared" si="32"/>
        <v/>
      </c>
      <c r="FM73" s="144" t="str">
        <f t="shared" si="33"/>
        <v/>
      </c>
      <c r="FN73" s="144" t="str">
        <f t="shared" si="34"/>
        <v/>
      </c>
      <c r="FO73" s="144" t="str">
        <f t="shared" si="35"/>
        <v/>
      </c>
      <c r="FP73" s="144" t="str">
        <f t="shared" si="36"/>
        <v/>
      </c>
      <c r="FQ73" s="144" t="str">
        <f t="shared" si="37"/>
        <v/>
      </c>
      <c r="FR73" s="144" t="str">
        <f t="shared" si="38"/>
        <v/>
      </c>
      <c r="FS73" s="144" t="str">
        <f t="shared" si="39"/>
        <v/>
      </c>
      <c r="FT73" s="144" t="str">
        <f t="shared" si="40"/>
        <v/>
      </c>
      <c r="FU73" s="144" t="str">
        <f t="shared" si="41"/>
        <v/>
      </c>
      <c r="FV73" s="144" t="str">
        <f t="shared" si="42"/>
        <v/>
      </c>
      <c r="FW73" s="144" t="str">
        <f t="shared" si="43"/>
        <v/>
      </c>
      <c r="FX73" s="151"/>
      <c r="FY73" s="152"/>
      <c r="FZ73" s="152"/>
      <c r="GA73" s="152"/>
      <c r="GB73" s="152"/>
      <c r="GC73" s="152"/>
      <c r="GD73" s="152"/>
      <c r="GE73" s="152"/>
      <c r="GF73" s="152"/>
      <c r="GG73" s="153"/>
    </row>
    <row r="74" spans="1:189">
      <c r="A74" s="45"/>
      <c r="B74" s="133"/>
      <c r="C74" s="133"/>
      <c r="D74" s="46"/>
      <c r="E74" s="4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9"/>
      <c r="U74" s="48"/>
      <c r="V74" s="49"/>
      <c r="W74" s="48"/>
      <c r="X74" s="48"/>
      <c r="Y74" s="48"/>
      <c r="Z74" s="48"/>
      <c r="AA74" s="49"/>
      <c r="AB74" s="48"/>
      <c r="AC74" s="50"/>
      <c r="AD74" s="48"/>
      <c r="AE74" s="48"/>
      <c r="AF74" s="48"/>
      <c r="AG74" s="48"/>
      <c r="AH74" s="48"/>
      <c r="AI74" s="48"/>
      <c r="AJ74" s="48"/>
      <c r="AK74" s="48"/>
      <c r="AL74" s="51"/>
      <c r="AM74" s="37"/>
      <c r="AN74" s="38"/>
      <c r="AO74" s="39"/>
      <c r="AP74" s="52"/>
      <c r="AQ74" s="53"/>
      <c r="AR74" s="64"/>
      <c r="AS74" s="65"/>
      <c r="AT74" s="54"/>
      <c r="AU74" s="54"/>
      <c r="AV74" s="54"/>
      <c r="AW74" s="54"/>
      <c r="AX74" s="70"/>
      <c r="AY74" s="71"/>
      <c r="AZ74" s="72"/>
      <c r="BA74" s="73"/>
      <c r="BB74" s="55"/>
      <c r="BC74" s="56"/>
      <c r="BD74" s="27" t="str">
        <f t="shared" si="22"/>
        <v/>
      </c>
      <c r="BE74" s="58"/>
      <c r="BF74" s="3" t="str">
        <f>IF(BE74=0,"",IF(BE74=VLOOKUP("FIXO",ARBOR!$A:$C,3,0),0.0001,IF(BE74&gt;VLOOKUP("FIXO",ARBOR!$A:$C,3,0),"Maior que CAP!",IF((DOLLAR(BE74+(VLOOKUP("FIXO",ARBOR!$A:$C,3,0)*-TRUNC(BE74/VLOOKUP("FIXO",ARBOR!$A:$C,3,0)-1,4)),6))&lt;&gt;(DOLLAR(VLOOKUP("FIXO",ARBOR!$A:$C,3,0),6)),-TRUNC(BE74/VLOOKUP("FIXO",ARBOR!$A:$C,3,0)-1,4)+0.0001,-TRUNC(BE74/VLOOKUP("FIXO",ARBOR!$A:$C,3,0)-1,4)))))</f>
        <v/>
      </c>
      <c r="BG74" s="10" t="str">
        <f>IF(ISERROR(IF(BF74="","",VLOOKUP(($BC74&amp;BF74&amp;"Template de desconto FLAT bundle - Fixo - Varejo - Ganho Tributário Cross"),BENEFICIOS!$A:$G,5,0))),"Criar",IF(BF74="","",VLOOKUP(($BC74&amp;BF74&amp;"Template de desconto FLAT bundle - Fixo - Varejo - Ganho Tributário Cross"),BENEFICIOS!$A:$G,5,0)))</f>
        <v/>
      </c>
      <c r="BH74" s="8"/>
      <c r="BI74" s="3" t="str">
        <f>IF(BH74=0,"",IF(BH74=VLOOKUP("PCS-OzTL40",ARBOR!$A:$C,3,0),0.0001,IF(BH74&gt;VLOOKUP("PCS-OzTL40",ARBOR!$A:$C,3,0),"Maior que CAP!",IF((DOLLAR(BH74+(VLOOKUP("PCS-OzTL40",ARBOR!$A:$C,3,0)*-TRUNC(BH74/VLOOKUP("PCS-OzTL40",ARBOR!$A:$C,3,0)-1,4)),6))&lt;&gt;(DOLLAR(VLOOKUP("PCS-OzTL40",ARBOR!$A:$C,3,0),6)),-TRUNC(BH74/VLOOKUP("PCS-OzTL40",ARBOR!$A:$C,3,0)-1,4)+0.0001,-TRUNC(BH74/VLOOKUP("PCS-OzTL40",ARBOR!$A:$C,3,0)-1,4)))))</f>
        <v/>
      </c>
      <c r="BJ74" s="10" t="str">
        <f>IF(ISERROR(IF(BI74="","",VLOOKUP((BC74&amp;BI74&amp;"Template desconto FLAT Plano Principal Oi TV nível conta"),BENEFICIOS!$A:$G,5,0))),"Criar",IF(BI74="","",VLOOKUP((BC74&amp;BI74&amp;"Template desconto FLAT Plano Principal Oi TV nível conta"),BENEFICIOS!$A:$G,5,0)))</f>
        <v/>
      </c>
      <c r="BK74" s="8"/>
      <c r="BL74" s="3" t="str">
        <f>IF(BK74=0,"",IF(BK74=VLOOKUP("PCS-OzTL41",ARBOR!$A:$C,3,0),0.0001,IF(BK74&gt;VLOOKUP("PCS-OzTL41",ARBOR!$A:$C,3,0),"Maior que CAP!",IF((DOLLAR(BK74+(VLOOKUP("PCS-OzTL41",ARBOR!$A:$C,3,0)*-TRUNC(BK74/VLOOKUP("PCS-OzTL41",ARBOR!$A:$C,3,0)-1,4)),6))&lt;&gt;(DOLLAR(VLOOKUP("PCS-OzTL41",ARBOR!$A:$C,3,0),6)),-TRUNC(BK74/VLOOKUP("PCS-OzTL41",ARBOR!$A:$C,3,0)-1,4)+0.0001,-TRUNC(BK74/VLOOKUP("PCS-OzTL41",ARBOR!$A:$C,3,0)-1,4)))))</f>
        <v/>
      </c>
      <c r="BM74" s="28" t="str">
        <f>IF(ISERROR(IF(BL74="","",VLOOKUP((BC74&amp;BL74&amp;"Template desconto FLAT Plano Principal Oi TV nível conta"),BENEFICIOS!$A:$G,5,0))),"Criar",IF(BL74="","",VLOOKUP((BC74&amp;BL74&amp;"Template desconto FLAT Plano Principal Oi TV nível conta"),BENEFICIOS!$A:$G,5,0)))</f>
        <v/>
      </c>
      <c r="BN74" s="8"/>
      <c r="BO74" s="3" t="str">
        <f>IF(BN74=0,"",IF(BN74=VLOOKUP("PCS-OzTL44",ARBOR!$A:$C,3,0),0.0001,IF(BN74&gt;VLOOKUP("PCS-OzTL44",ARBOR!$A:$C,3,0),"Maior que CAP!",IF((DOLLAR(BN74+(VLOOKUP("PCS-OzTL44",ARBOR!$A:$C,3,0)*-TRUNC(BN74/VLOOKUP("PCS-OzTL44",ARBOR!$A:$C,3,0)-1,4)),6))&lt;&gt;(DOLLAR(VLOOKUP("PCS-OzTL44",ARBOR!$A:$C,3,0),6)),-TRUNC(BN74/VLOOKUP("PCS-OzTL44",ARBOR!$A:$C,3,0)-1,4)+0.0001,-TRUNC(BN74/VLOOKUP("PCS-OzTL44",ARBOR!$A:$C,3,0)-1,4)))))</f>
        <v/>
      </c>
      <c r="BP74" s="28" t="str">
        <f>IF(ISERROR(IF(BO74="","",VLOOKUP((BC74&amp;BO74&amp;"Template desconto FLAT Plano Principal Oi TV nível conta"),BENEFICIOS!$A:$G,5,0))),"Criar",IF(BO74="","",VLOOKUP((BC74&amp;BO74&amp;"Template desconto FLAT Plano Principal Oi TV nível conta"),BENEFICIOS!$A:$G,5,0)))</f>
        <v/>
      </c>
      <c r="BQ74" s="8"/>
      <c r="BR74" s="3" t="str">
        <f>IF(BQ74=0,"",IF(BQ74=VLOOKUP("PCS-OzTL43",ARBOR!$A:$C,3,0),0.0001,IF(BQ74&gt;VLOOKUP("PCS-OzTL43",ARBOR!$A:$C,3,0),"Maior que CAP!",IF((DOLLAR(BQ74+(VLOOKUP("PCS-OzTL43",ARBOR!$A:$C,3,0)*-TRUNC(BQ74/VLOOKUP("PCS-OzTL43",ARBOR!$A:$C,3,0)-1,4)),6))&lt;&gt;(DOLLAR(VLOOKUP("PCS-OzTL43",ARBOR!$A:$C,3,0),6)),-TRUNC(BQ74/VLOOKUP("PCS-OzTL43",ARBOR!$A:$C,3,0)-1,4)+0.0001,-TRUNC(BQ74/VLOOKUP("PCS-OzTL43",ARBOR!$A:$C,3,0)-1,4)))))</f>
        <v/>
      </c>
      <c r="BS74" s="28" t="str">
        <f>IF(ISERROR(IF(BR74="","",VLOOKUP((BC74&amp;BR74&amp;"Template desconto FLAT Plano Principal Oi TV nível conta"),BENEFICIOS!$A:$G,5,0))),"Criar",IF(BR74="","",VLOOKUP((BC74&amp;BR74&amp;"Template desconto FLAT Plano Principal Oi TV nível conta"),BENEFICIOS!$A:$G,5,0)))</f>
        <v/>
      </c>
      <c r="BT74" s="8"/>
      <c r="BU74" s="3" t="str">
        <f>IF(BT74=0,"",IF(BT74=VLOOKUP("PCS-OzTL45",ARBOR!$A:$C,3,0),0.0001,IF(BT74&gt;VLOOKUP("PCS-OzTL45",ARBOR!$A:$C,3,0),"Maior que CAP!",IF((DOLLAR(BT74+(VLOOKUP("PCS-OzTL45",ARBOR!$A:$C,3,0)*-TRUNC(BT74/VLOOKUP("PCS-OzTL45",ARBOR!$A:$C,3,0)-1,4)),6))&lt;&gt;(DOLLAR(VLOOKUP("PCS-OzTL45",ARBOR!$A:$C,3,0),6)),-TRUNC(BT74/VLOOKUP("PCS-OzTL45",ARBOR!$A:$C,3,0)-1,4)+0.0001,-TRUNC(BT74/VLOOKUP("PCS-OzTL45",ARBOR!$A:$C,3,0)-1,4)))))</f>
        <v/>
      </c>
      <c r="BV74" s="28" t="str">
        <f>IF(ISERROR(IF(BU74="","",VLOOKUP((BC74&amp;BU74&amp;"Template desconto FLAT Plano Principal Oi TV nível conta"),BENEFICIOS!$A:$G,5,0))),"Criar",IF(BU74="","",VLOOKUP((BC74&amp;BU74&amp;"Template desconto FLAT Plano Principal Oi TV nível conta"),BENEFICIOS!$A:$G,5,0)))</f>
        <v/>
      </c>
      <c r="BW74" s="8"/>
      <c r="BX74" s="3" t="str">
        <f>IF(BW74=0,"",IF(BW74=VLOOKUP("PCS-OzTL741",ARBOR!$A:$C,3,0),0.0001,IF(BW74&gt;VLOOKUP("PCS-OzTL741",ARBOR!$A:$C,3,0),"Maior que CAP!",IF((DOLLAR(BW74+(VLOOKUP("PCS-OzTL741",ARBOR!$A:$C,3,0)*-TRUNC(BW74/VLOOKUP("PCS-OzTL741",ARBOR!$A:$C,3,0)-1,4)),6))&lt;&gt;(DOLLAR(VLOOKUP("PCS-OzTL741",ARBOR!$A:$C,3,0),6)),-TRUNC(BW74/VLOOKUP("PCS-OzTL741",ARBOR!$A:$C,3,0)-1,4)+0.0001,-TRUNC(BW74/VLOOKUP("PCS-OzTL741",ARBOR!$A:$C,3,0)-1,4)))))</f>
        <v/>
      </c>
      <c r="BY74" s="28" t="str">
        <f>IF(ISERROR(IF(BX74="","",VLOOKUP((BC74&amp;BX74&amp;"Template desconto FLAT Plano Principal Oi TV nível conta"),BENEFICIOS!$A:$G,5,0))),"Criar",IF(BX74="","",VLOOKUP((BC74&amp;BX74&amp;"Template desconto FLAT Plano Principal Oi TV nível conta"),BENEFICIOS!$A:$G,5,0)))</f>
        <v/>
      </c>
      <c r="BZ74" s="8"/>
      <c r="CA74" s="3" t="str">
        <f>IF(BZ74=0,"",IF(BZ74=VLOOKUP("PCS-OzTL744",ARBOR!$A:$C,3,0),0.0001,IF(BZ74&gt;VLOOKUP("PCS-OzTL744",ARBOR!$A:$C,3,0),"Maior que CAP!",IF((DOLLAR(BZ74+(VLOOKUP("PCS-OzTL744",ARBOR!$A:$C,3,0)*-TRUNC(BZ74/VLOOKUP("PCS-OzTL744",ARBOR!$A:$C,3,0)-1,4)),6))&lt;&gt;(DOLLAR(VLOOKUP("PCS-OzTL744",ARBOR!$A:$C,3,0),6)),-TRUNC(BZ74/VLOOKUP("PCS-OzTL744",ARBOR!$A:$C,3,0)-1,4)+0.0001,-TRUNC(BZ74/VLOOKUP("PCS-OzTL744",ARBOR!$A:$C,3,0)-1,4)))))</f>
        <v/>
      </c>
      <c r="CB74" s="28" t="str">
        <f>IF(ISERROR(IF(CA74="","",VLOOKUP(($BC74&amp;CA74&amp;"Template desconto FLAT Plano Principal Oi TV nível conta"),BENEFICIOS!$A:$G,5,0))),"Criar",IF(CA74="","",VLOOKUP(($BC74&amp;CA74&amp;"Template desconto FLAT Plano Principal Oi TV nível conta"),BENEFICIOS!$A:$G,5,0)))</f>
        <v/>
      </c>
      <c r="CC74" s="8"/>
      <c r="CD74" s="3" t="str">
        <f>IF(CC74=0,"",IF(CC74=VLOOKUP("PCS-OzTL743",ARBOR!$A:$C,3,0),0.0001,IF(CC74&gt;VLOOKUP("PCS-OzTL743",ARBOR!$A:$C,3,0),"Maior que CAP!",IF((DOLLAR(CC74+(VLOOKUP("PCS-OzTL743",ARBOR!$A:$C,3,0)*-TRUNC(CC74/VLOOKUP("PCS-OzTL743",ARBOR!$A:$C,3,0)-1,4)),6))&lt;&gt;(DOLLAR(VLOOKUP("PCS-OzTL743",ARBOR!$A:$C,3,0),6)),-TRUNC(CC74/VLOOKUP("PCS-OzTL743",ARBOR!$A:$C,3,0)-1,4)+0.0001,-TRUNC(CC74/VLOOKUP("PCS-OzTL743",ARBOR!$A:$C,3,0)-1,4)))))</f>
        <v/>
      </c>
      <c r="CE74" s="28" t="str">
        <f>IF(ISERROR(IF(CD74="","",VLOOKUP(($BC74&amp;CD74&amp;"Template desconto FLAT Plano Principal Oi TV nível conta"),BENEFICIOS!$A:$G,5,0))),"Criar",IF(CD74="","",VLOOKUP(($BC74&amp;CD74&amp;"Template desconto FLAT Plano Principal Oi TV nível conta"),BENEFICIOS!$A:$G,5,0)))</f>
        <v/>
      </c>
      <c r="CF74" s="8"/>
      <c r="CG74" s="3" t="str">
        <f>IF(CF74=0,"",IF(CF74=VLOOKUP("PCS-OzTL745",ARBOR!$A:$C,3,0),0.0001,IF(CF74&gt;VLOOKUP("PCS-OzTL745",ARBOR!$A:$C,3,0),"Maior que CAP!",IF((DOLLAR(CF74+(VLOOKUP("PCS-OzTL745",ARBOR!$A:$C,3,0)*-TRUNC(CF74/VLOOKUP("PCS-OzTL745",ARBOR!$A:$C,3,0)-1,4)),6))&lt;&gt;(DOLLAR(VLOOKUP("PCS-OzTL745",ARBOR!$A:$C,3,0),6)),-TRUNC(CF74/VLOOKUP("PCS-OzTL745",ARBOR!$A:$C,3,0)-1,4)+0.0001,-TRUNC(CF74/VLOOKUP("PCS-OzTL745",ARBOR!$A:$C,3,0)-1,4)))))</f>
        <v/>
      </c>
      <c r="CH74" s="28" t="str">
        <f>IF(ISERROR(IF(CG74="","",VLOOKUP(($BC74&amp;CG74&amp;"Template desconto FLAT Plano Principal Oi TV nível conta"),BENEFICIOS!$A:$G,5,0))),"Criar",IF(CG74="","",VLOOKUP(($BC74&amp;CG74&amp;"Template desconto FLAT Plano Principal Oi TV nível conta"),BENEFICIOS!$A:$G,5,0)))</f>
        <v/>
      </c>
      <c r="CI74" s="8"/>
      <c r="CJ74" s="3" t="str">
        <f>IF(CI74=0,"",IF(CI74=VLOOKUP("PCS-OzTL42",ARBOR!$A:$C,3,0),0.0001,IF(CI74&gt;VLOOKUP("PCS-OzTL42",ARBOR!$A:$C,3,0),"Maior que CAP!",IF((DOLLAR(CI74+(VLOOKUP("PCS-OzTL42",ARBOR!$A:$C,3,0)*-TRUNC(CI74/VLOOKUP("PCS-OzTL42",ARBOR!$A:$C,3,0)-1,4)),6))&lt;&gt;(DOLLAR(VLOOKUP("PCS-OzTL42",ARBOR!$A:$C,3,0),6)),-TRUNC(CI74/VLOOKUP("PCS-OzTL42",ARBOR!$A:$C,3,0)-1,4)+0.0001,-TRUNC(CI74/VLOOKUP("PCS-OzTL42",ARBOR!$A:$C,3,0)-1,4)))))</f>
        <v/>
      </c>
      <c r="CK74" s="28" t="str">
        <f>IF(ISERROR(IF(CJ74="","",VLOOKUP(($BC74&amp;CJ74&amp;"Template desconto FLAT Plano Principal Oi TV nível conta"),BENEFICIOS!$A:$G,5,0))),"Criar",IF(CJ74="","",VLOOKUP(($BC74&amp;CJ74&amp;"Template desconto FLAT Plano Principal Oi TV nível conta"),BENEFICIOS!$A:$G,5,0)))</f>
        <v/>
      </c>
      <c r="CL74" s="8"/>
      <c r="CM74" s="3" t="str">
        <f>IF(CL74=0,"",IF(CL74=VLOOKUP("PCS-OzTL47",ARBOR!$A:$C,3,0),0.0001,IF(CL74&gt;VLOOKUP("PCS-OzTL47",ARBOR!$A:$C,3,0),"Maior que CAP!",IF((DOLLAR(CL74+(VLOOKUP("PCS-OzTL47",ARBOR!$A:$C,3,0)*-TRUNC(CL74/VLOOKUP("PCS-OzTL47",ARBOR!$A:$C,3,0)-1,4)),6))&lt;&gt;(DOLLAR(VLOOKUP("PCS-OzTL47",ARBOR!$A:$C,3,0),6)),-TRUNC(CL74/VLOOKUP("PCS-OzTL47",ARBOR!$A:$C,3,0)-1,4)+0.0001,-TRUNC(CL74/VLOOKUP("PCS-OzTL47",ARBOR!$A:$C,3,0)-1,4)))))</f>
        <v/>
      </c>
      <c r="CN74" s="28" t="str">
        <f>IF(ISERROR(IF(CM74="","",VLOOKUP(($BC74&amp;CM74&amp;"Template desconto FLAT Plano Principal Oi TV nível conta"),BENEFICIOS!$A:$G,5,0))),"Criar",IF(CM74="","",VLOOKUP(($BC74&amp;CM74&amp;"Template desconto FLAT Plano Principal Oi TV nível conta"),BENEFICIOS!$A:$G,5,0)))</f>
        <v/>
      </c>
      <c r="CO74" s="8"/>
      <c r="CP74" s="3" t="str">
        <f>IF(CO74=0,"",IF(CO74=VLOOKUP("PCS-OzTL46",ARBOR!$A:$C,3,0),0.0001,IF(CO74&gt;VLOOKUP("PCS-OzTL46",ARBOR!$A:$C,3,0),"Maior que CAP!",IF((DOLLAR(CO74+(VLOOKUP("PCS-OzTL46",ARBOR!$A:$C,3,0)*-TRUNC(CO74/VLOOKUP("PCS-OzTL46",ARBOR!$A:$C,3,0)-1,4)),6))&lt;&gt;(DOLLAR(VLOOKUP("PCS-OzTL46",ARBOR!$A:$C,3,0),6)),-TRUNC(CO74/VLOOKUP("PCS-OzTL46",ARBOR!$A:$C,3,0)-1,4)+0.0001,-TRUNC(CO74/VLOOKUP("PCS-OzTL46",ARBOR!$A:$C,3,0)-1,4)))))</f>
        <v/>
      </c>
      <c r="CQ74" s="28" t="str">
        <f>IF(ISERROR(IF(CP74="","",VLOOKUP(($BC74&amp;CP74&amp;"Template desconto FLAT Plano Principal Oi TV nível conta"),BENEFICIOS!$A:$G,5,0))),"Criar",IF(CP74="","",VLOOKUP(($BC74&amp;CP74&amp;"Template desconto FLAT Plano Principal Oi TV nível conta"),BENEFICIOS!$A:$G,5,0)))</f>
        <v/>
      </c>
      <c r="CR74" s="8"/>
      <c r="CS74" s="3" t="str">
        <f>IF(CR74=0,"",IF(CR74=VLOOKUP("PCS-OzTL48",ARBOR!$A:$C,3,0),0.0001,IF(CR74&gt;VLOOKUP("PCS-OzTL48",ARBOR!$A:$C,3,0),"Maior que CAP!",IF((DOLLAR(CR74+(VLOOKUP("PCS-OzTL48",ARBOR!$A:$C,3,0)*-TRUNC(CR74/VLOOKUP("PCS-OzTL48",ARBOR!$A:$C,3,0)-1,4)),6))&lt;&gt;(DOLLAR(VLOOKUP("PCS-OzTL48",ARBOR!$A:$C,3,0),6)),-TRUNC(CR74/VLOOKUP("PCS-OzTL48",ARBOR!$A:$C,3,0)-1,4)+0.0001,-TRUNC(CR74/VLOOKUP("PCS-OzTL48",ARBOR!$A:$C,3,0)-1,4)))))</f>
        <v/>
      </c>
      <c r="CT74" s="28" t="str">
        <f>IF(ISERROR(IF(CS74="","",VLOOKUP(($BC74&amp;CS74&amp;"Template desconto FLAT Plano Principal Oi TV nível conta"),BENEFICIOS!$A:$G,5,0))),"Criar",IF(CS74="","",VLOOKUP(($BC74&amp;CS74&amp;"Template desconto FLAT Plano Principal Oi TV nível conta"),BENEFICIOS!$A:$G,5,0)))</f>
        <v/>
      </c>
      <c r="CU74" s="8"/>
      <c r="CV74" s="3" t="str">
        <f>IF(CU74=0,"",IF(CU74=VLOOKUP("PCS-OzTL742",ARBOR!$A:$C,3,0),0.0001,IF(CU74&gt;VLOOKUP("PCS-OzTL742",ARBOR!$A:$C,3,0),"Maior que CAP!",IF((DOLLAR(CU74+(VLOOKUP("PCS-OzTL742",ARBOR!$A:$C,3,0)*-TRUNC(CU74/VLOOKUP("PCS-OzTL742",ARBOR!$A:$C,3,0)-1,4)),6))&lt;&gt;(DOLLAR(VLOOKUP("PCS-OzTL742",ARBOR!$A:$C,3,0),6)),-TRUNC(CU74/VLOOKUP("PCS-OzTL742",ARBOR!$A:$C,3,0)-1,4)+0.0001,-TRUNC(CU74/VLOOKUP("PCS-OzTL742",ARBOR!$A:$C,3,0)-1,4)))))</f>
        <v/>
      </c>
      <c r="CW74" s="28" t="str">
        <f>IF(ISERROR(IF(CV74="","",VLOOKUP(($BC74&amp;CV74&amp;"Template desconto FLAT Plano Principal Oi TV nível conta"),BENEFICIOS!$A:$G,5,0))),"Criar",IF(CV74="","",VLOOKUP(($BC74&amp;CV74&amp;"Template desconto FLAT Plano Principal Oi TV nível conta"),BENEFICIOS!$A:$G,5,0)))</f>
        <v/>
      </c>
      <c r="CX74" s="8"/>
      <c r="CY74" s="3" t="str">
        <f>IF(CX74=0,"",IF(CX74=VLOOKUP("PCS-OzTL747",ARBOR!$A:$C,3,0),0.0001,IF(CX74&gt;VLOOKUP("PCS-OzTL747",ARBOR!$A:$C,3,0),"Maior que CAP!",IF((DOLLAR(CX74+(VLOOKUP("PCS-OzTL747",ARBOR!$A:$C,3,0)*-TRUNC(CX74/VLOOKUP("PCS-OzTL747",ARBOR!$A:$C,3,0)-1,4)),6))&lt;&gt;(DOLLAR(VLOOKUP("PCS-OzTL747",ARBOR!$A:$C,3,0),6)),-TRUNC(CX74/VLOOKUP("PCS-OzTL747",ARBOR!$A:$C,3,0)-1,4)+0.0001,-TRUNC(CX74/VLOOKUP("PCS-OzTL747",ARBOR!$A:$C,3,0)-1,4)))))</f>
        <v/>
      </c>
      <c r="CZ74" s="28" t="str">
        <f>IF(ISERROR(IF(CY74="","",VLOOKUP(($BC74&amp;CY74&amp;"Template desconto FLAT Plano Principal Oi TV nível conta"),BENEFICIOS!$A:$G,5,0))),"Criar",IF(CY74="","",VLOOKUP(($BC74&amp;CY74&amp;"Template desconto FLAT Plano Principal Oi TV nível conta"),BENEFICIOS!$A:$G,5,0)))</f>
        <v/>
      </c>
      <c r="DA74" s="8"/>
      <c r="DB74" s="3" t="str">
        <f>IF(DA74=0,"",IF(DA74=VLOOKUP("PCS-OzTL746",ARBOR!$A:$C,3,0),0.0001,IF(DA74&gt;VLOOKUP("PCS-OzTL746",ARBOR!$A:$C,3,0),"Maior que CAP!",IF((DOLLAR(DA74+(VLOOKUP("PCS-OzTL746",ARBOR!$A:$C,3,0)*-TRUNC(DA74/VLOOKUP("PCS-OzTL746",ARBOR!$A:$C,3,0)-1,4)),6))&lt;&gt;(DOLLAR(VLOOKUP("PCS-OzTL746",ARBOR!$A:$C,3,0),6)),-TRUNC(DA74/VLOOKUP("PCS-OzTL746",ARBOR!$A:$C,3,0)-1,4)+0.0001,-TRUNC(DA74/VLOOKUP("PCS-OzTL746",ARBOR!$A:$C,3,0)-1,4)))))</f>
        <v/>
      </c>
      <c r="DC74" s="28" t="str">
        <f>IF(ISERROR(IF(DB74="","",VLOOKUP(($BC74&amp;DB74&amp;"Template desconto FLAT Plano Principal Oi TV nível conta"),BENEFICIOS!$A:$G,5,0))),"Criar",IF(DB74="","",VLOOKUP(($BC74&amp;DB74&amp;"Template desconto FLAT Plano Principal Oi TV nível conta"),BENEFICIOS!$A:$G,5,0)))</f>
        <v/>
      </c>
      <c r="DD74" s="8"/>
      <c r="DE74" s="3" t="str">
        <f>IF(DD74=0,"",IF(DD74=VLOOKUP("PCS-OzTL748",ARBOR!$A:$C,3,0),0.0001,IF(DD74&gt;VLOOKUP("PCS-OzTL748",ARBOR!$A:$C,3,0),"Maior que CAP!",IF((DOLLAR(DD74+(VLOOKUP("PCS-OzTL748",ARBOR!$A:$C,3,0)*-TRUNC(DD74/VLOOKUP("PCS-OzTL748",ARBOR!$A:$C,3,0)-1,4)),6))&lt;&gt;(DOLLAR(VLOOKUP("PCS-OzTL748",ARBOR!$A:$C,3,0),6)),-TRUNC(DD74/VLOOKUP("PCS-OzTL748",ARBOR!$A:$C,3,0)-1,4)+0.0001,-TRUNC(DD74/VLOOKUP("PCS-OzTL748",ARBOR!$A:$C,3,0)-1,4)))))</f>
        <v/>
      </c>
      <c r="DF74" s="28" t="str">
        <f>IF(ISERROR(IF(DE74="","",VLOOKUP(($BC74&amp;DE74&amp;"Template desconto FLAT Plano Principal Oi TV nível conta"),BENEFICIOS!$A:$G,5,0))),"Criar",IF(DE74="","",VLOOKUP(($BC74&amp;DE74&amp;"Template desconto FLAT Plano Principal Oi TV nível conta"),BENEFICIOS!$A:$G,5,0)))</f>
        <v/>
      </c>
      <c r="DG74" s="8"/>
      <c r="DH74" s="3" t="str">
        <f>IF(DG74=0,"",IF(DG74=VLOOKUP("PCS-OzTL34",ARBOR!$A:$C,3,0),0.0001,IF(DG74&gt;VLOOKUP("PCS-OzTL34",ARBOR!$A:$C,3,0),"Maior que CAP!",IF((DOLLAR(DG74+(VLOOKUP("PCS-OzTL34",ARBOR!$A:$C,3,0)*-TRUNC(DG74/VLOOKUP("PCS-OzTL34",ARBOR!$A:$C,3,0)-1,4)),6))&lt;&gt;(DOLLAR(VLOOKUP("PCS-OzTL34",ARBOR!$A:$C,3,0),6)),-TRUNC(DG74/VLOOKUP("PCS-OzTL34",ARBOR!$A:$C,3,0)-1,4)+0.0001,-TRUNC(DG74/VLOOKUP("PCS-OzTL34",ARBOR!$A:$C,3,0)-1,4)))))</f>
        <v/>
      </c>
      <c r="DI74" s="28" t="str">
        <f>IF(DH74="S/Desc","S/Desc",IF(ISERROR(IF(DH74="","",VLOOKUP(($BC74&amp;DH74&amp;"Template desconto % Combate nível conta"),BENEFICIOS!$A:$G,5,0))),"Criar",IF(DH74="","",VLOOKUP(($BC74&amp;DH74&amp;"Template desconto % Combate nível conta"),BENEFICIOS!$A:$G,5,0))))</f>
        <v/>
      </c>
      <c r="DJ74" s="8"/>
      <c r="DK74" s="3" t="str">
        <f>IF(DJ74=0,"",IF(DJ74=VLOOKUP("PCS-OzTL31",ARBOR!$A:$C,3,0),0.0001,IF(DJ74&gt;VLOOKUP("PCS-OzTL31",ARBOR!$A:$C,3,0),"Maior que CAP!",IF((DOLLAR(DJ74+(VLOOKUP("PCS-OzTL31",ARBOR!$A:$C,3,0)*-TRUNC(DJ74/VLOOKUP("PCS-OzTL31",ARBOR!$A:$C,3,0)-1,4)),6))&lt;&gt;(DOLLAR(VLOOKUP("PCS-OzTL31",ARBOR!$A:$C,3,0),6)),-TRUNC(DJ74/VLOOKUP("PCS-OzTL31",ARBOR!$A:$C,3,0)-1,4)+0.0001,-TRUNC(DJ74/VLOOKUP("PCS-OzTL31",ARBOR!$A:$C,3,0)-1,4)))))</f>
        <v/>
      </c>
      <c r="DL74" s="28" t="str">
        <f>IF(DK74="S/Desc","S/Desc",IF(ISERROR(IF(DK74="","",VLOOKUP(($BC74&amp;DK74&amp;"Template desconto % Sexy Hot nível conta"),BENEFICIOS!$A:$G,5,0))),"Criar",IF(DK74="","",VLOOKUP(($BC74&amp;DK74&amp;"Template desconto % Sexy Hot nível conta"),BENEFICIOS!$A:$G,5,0))))</f>
        <v/>
      </c>
      <c r="DM74" s="8"/>
      <c r="DN74" s="3" t="str">
        <f>IF(DM74=0,"",IF(DM74=VLOOKUP("PCS-OzTL32",ARBOR!$A:$C,3,0),0.0001,IF(DM74&gt;VLOOKUP("PCS-OzTL32",ARBOR!$A:$C,3,0),"Maior que CAP!",IF((DOLLAR(DM74+(VLOOKUP("PCS-OzTL32",ARBOR!$A:$C,3,0)*-TRUNC(DM74/VLOOKUP("PCS-OzTL32",ARBOR!$A:$C,3,0)-1,4)),6))&lt;&gt;(DOLLAR(VLOOKUP("PCS-OzTL32",ARBOR!$A:$C,3,0),6)),-TRUNC(DM74/VLOOKUP("PCS-OzTL32",ARBOR!$A:$C,3,0)-1,4)+0.0001,-TRUNC(DM74/VLOOKUP("PCS-OzTL32",ARBOR!$A:$C,3,0)-1,4)))))</f>
        <v/>
      </c>
      <c r="DO74" s="28" t="str">
        <f>IF(DN74="S/Desc","S/Desc",IF(ISERROR(IF(DN74="","",VLOOKUP(($BC74&amp;DN74&amp;"Template desconto % Playboy nível conta"),BENEFICIOS!$A:$G,5,0))),"Criar",IF(DN74="","",VLOOKUP(($BC74&amp;DN74&amp;"Template desconto % Playboy nível conta"),BENEFICIOS!$A:$G,5,0))))</f>
        <v/>
      </c>
      <c r="DP74" s="8"/>
      <c r="DQ74" s="3" t="str">
        <f>IF(DP74=0,"",IF(DP74=VLOOKUP("PCS-OzTL33",ARBOR!$A:$C,3,0),0.0001,IF(DP74&gt;VLOOKUP("PCS-OzTL33",ARBOR!$A:$C,3,0),"Maior que CAP!",IF((DOLLAR(DP74+(VLOOKUP("PCS-OzTL33",ARBOR!$A:$C,3,0)*-TRUNC(DP74/VLOOKUP("PCS-OzTL33",ARBOR!$A:$C,3,0)-1,4)),6))&lt;&gt;(DOLLAR(VLOOKUP("PCS-OzTL33",ARBOR!$A:$C,3,0),6)),-TRUNC(DP74/VLOOKUP("PCS-OzTL33",ARBOR!$A:$C,3,0)-1,4)+0.0001,-TRUNC(DP74/VLOOKUP("PCS-OzTL33",ARBOR!$A:$C,3,0)-1,4)))))</f>
        <v/>
      </c>
      <c r="DR74" s="28" t="str">
        <f>IF(DQ74="S/Desc","S/Desc",IF(ISERROR(IF(DQ74="","",VLOOKUP(($BC74&amp;DQ74&amp;"Template desconto % Sexy Hot + Playboy nível conta"),BENEFICIOS!$A:$G,5,0))),"Criar",IF(DQ74="","",VLOOKUP(($BC74&amp;DQ74&amp;"Template desconto % Sexy Hot + Playboy nível conta"),BENEFICIOS!$A:$G,5,0))))</f>
        <v/>
      </c>
      <c r="DS74" s="8"/>
      <c r="DT74" s="3" t="str">
        <f>IF(DS74=0,"",IF(DS74=VLOOKUP("PCS-OzTL503",ARBOR!$A:$C,3,0),0.0001,IF(DS74&gt;VLOOKUP("PCS-OzTL503",ARBOR!$A:$C,3,0),"Maior que CAP!",IF((DOLLAR(DS74+(VLOOKUP("PCS-OzTL503",ARBOR!$A:$C,3,0)*-TRUNC(DS74/VLOOKUP("PCS-OzTL503",ARBOR!$A:$C,3,0)-1,4)),6))&lt;&gt;(DOLLAR(VLOOKUP("PCS-OzTL503",ARBOR!$A:$C,3,0),6)),-TRUNC(DS74/VLOOKUP("PCS-OzTL503",ARBOR!$A:$C,3,0)-1,4)+0.0001,-TRUNC(DS74/VLOOKUP("PCS-OzTL503",ARBOR!$A:$C,3,0)-1,4)))))</f>
        <v/>
      </c>
      <c r="DU74" s="28" t="str">
        <f>IF(DT74="S/Desc","S/Desc",IF(ISERROR(IF(DT74="","",VLOOKUP(($BC74&amp;DT74&amp;"Template desconto % SexPrivê nível conta"),BENEFICIOS!$A:$G,5,0))),"Criar",IF(DT74="","",VLOOKUP(($BC74&amp;DT74&amp;"Template desconto % SexPrivê nível conta"),BENEFICIOS!$A:$G,5,0))))</f>
        <v/>
      </c>
      <c r="DV74" s="8"/>
      <c r="DW74" s="3" t="str">
        <f>IF(DV74=0,"",IF(DV74=VLOOKUP("PCS-OzTL500",ARBOR!$A:$C,3,0),0.0001,IF(DV74&gt;VLOOKUP("PCS-OzTL500",ARBOR!$A:$C,3,0),"Maior que CAP!",IF((DOLLAR(DV74+(VLOOKUP("PCS-OzTL500",ARBOR!$A:$C,3,0)*-TRUNC(DV74/VLOOKUP("PCS-OzTL500",ARBOR!$A:$C,3,0)-1,4)),6))&lt;&gt;(DOLLAR(VLOOKUP("PCS-OzTL500",ARBOR!$A:$C,3,0),6)),-TRUNC(DV74/VLOOKUP("PCS-OzTL500",ARBOR!$A:$C,3,0)-1,4)+0.0001,-TRUNC(DV74/VLOOKUP("PCS-OzTL500",ARBOR!$A:$C,3,0)-1,4)))))</f>
        <v/>
      </c>
      <c r="DX74" s="28" t="str">
        <f>IF(DW74="S/Desc","S/Desc",IF(ISERROR(IF(DW74="","",VLOOKUP(($BC74&amp;DW74&amp;"Template desconto % Étnico nível conta"),BENEFICIOS!$A:$G,5,0))),"Criar",IF(DW74="","",VLOOKUP(($BC74&amp;DW74&amp;"Template desconto % Étnico nível conta"),BENEFICIOS!$A:$G,5,0))))</f>
        <v/>
      </c>
      <c r="DY74" s="8"/>
      <c r="DZ74" s="181" t="str">
        <f>IF(DY74=0,"",IF(DY74=VLOOKUP("PCS-OzTL50",ARBOR!$A:$C,3,0),0.0001,IF(DY74&gt;VLOOKUP("PCS-OzTL50",ARBOR!$A:$C,3,0),"Maior que CAP!",IF((DOLLAR(DY74+(VLOOKUP("PCS-OzTL50",ARBOR!$A:$C,3,0)*-TRUNC(DY74/VLOOKUP("PCS-OzTL50",ARBOR!$A:$C,3,0)-1,4)),6))&lt;&gt;(DOLLAR(VLOOKUP("PCS-OzTL50",ARBOR!$A:$C,3,0),6)),-TRUNC(DY74/VLOOKUP("PCS-OzTL50",ARBOR!$A:$C,3,0)-1,4)+0.0001,-TRUNC(DY74/VLOOKUP("PCS-OzTL50",ARBOR!$A:$C,3,0)-1,4)))))</f>
        <v/>
      </c>
      <c r="EA74" s="28"/>
      <c r="EB74" s="8"/>
      <c r="EC74" s="181" t="str">
        <f>IF(EB74=0,"",IF(EB74=VLOOKUP("PCS-OzTL51",ARBOR!$A:$C,3,0),0.0001,IF(EB74&gt;VLOOKUP("PCS-OzTL51",ARBOR!$A:$C,3,0),"Maior que CAP!",IF((DOLLAR(EB74+(VLOOKUP("PCS-OzTL51",ARBOR!$A:$C,3,0)*-TRUNC(EB74/VLOOKUP("PCS-OzTL51",ARBOR!$A:$C,3,0)-1,4)),6))&lt;&gt;(DOLLAR(VLOOKUP("PCS-OzTL51",ARBOR!$A:$C,3,0),6)),-TRUNC(EB74/VLOOKUP("PCS-OzTL51",ARBOR!$A:$C,3,0)-1,4)+0.0001,-TRUNC(EB74/VLOOKUP("PCS-OzTL51",ARBOR!$A:$C,3,0)-1,4)))))</f>
        <v/>
      </c>
      <c r="ED74" s="28"/>
      <c r="EE74" s="8"/>
      <c r="EF74" s="181" t="str">
        <f>IF(EE74=0,"",IF(EE74=VLOOKUP("PCS-OzTL52",ARBOR!$A:$C,3,0),0.0001,IF(EE74&gt;VLOOKUP("PCS-OzTL52",ARBOR!$A:$C,3,0),"Maior que CAP!",IF((DOLLAR(EE74+(VLOOKUP("PCS-OzTL52",ARBOR!$A:$C,3,0)*-TRUNC(EE74/VLOOKUP("PCS-OzTL52",ARBOR!$A:$C,3,0)-1,4)),6))&lt;&gt;(DOLLAR(VLOOKUP("PCS-OzTL52",ARBOR!$A:$C,3,0),6)),-TRUNC(EE74/VLOOKUP("PCS-OzTL52",ARBOR!$A:$C,3,0)-1,4)+0.0001,-TRUNC(EE74/VLOOKUP("PCS-OzTL52",ARBOR!$A:$C,3,0)-1,4)))))</f>
        <v/>
      </c>
      <c r="EG74" s="28"/>
      <c r="EH74" s="8"/>
      <c r="EI74" s="181" t="str">
        <f>IF(EH74=0,"",IF(EH74=VLOOKUP("PCS-OzTL53",ARBOR!$A:$C,3,0),0.0001,IF(EH74&gt;VLOOKUP("PCS-OzTL53",ARBOR!$A:$C,3,0),"Maior que CAP!",IF((DOLLAR(EH74+(VLOOKUP("PCS-OzTL53",ARBOR!$A:$C,3,0)*-TRUNC(EH74/VLOOKUP("PCS-OzTL53",ARBOR!$A:$C,3,0)-1,4)),6))&lt;&gt;(DOLLAR(VLOOKUP("PCS-OzTL53",ARBOR!$A:$C,3,0),6)),-TRUNC(EH74/VLOOKUP("PCS-OzTL53",ARBOR!$A:$C,3,0)-1,4)+0.0001,-TRUNC(EH74/VLOOKUP("PCS-OzTL53",ARBOR!$A:$C,3,0)-1,4)))))</f>
        <v/>
      </c>
      <c r="EJ74" s="28"/>
      <c r="EK74" s="8"/>
      <c r="EL74" s="181" t="str">
        <f>IF(EK74=0,"",IF(EK74=VLOOKUP("PCS-OzTL54",ARBOR!$A:$C,3,0),0.0001,IF(EK74&gt;VLOOKUP("PCS-OzTL54",ARBOR!$A:$C,3,0),"Maior que CAP!",IF((DOLLAR(EK74+(VLOOKUP("PCS-OzTL54",ARBOR!$A:$C,3,0)*-TRUNC(EK74/VLOOKUP("PCS-OzTL54",ARBOR!$A:$C,3,0)-1,4)),6))&lt;&gt;(DOLLAR(VLOOKUP("PCS-OzTL54",ARBOR!$A:$C,3,0),6)),-TRUNC(EK74/VLOOKUP("PCS-OzTL54",ARBOR!$A:$C,3,0)-1,4)+0.0001,-TRUNC(EK74/VLOOKUP("PCS-OzTL54",ARBOR!$A:$C,3,0)-1,4)))))</f>
        <v/>
      </c>
      <c r="EM74" s="28"/>
      <c r="EN74" s="8"/>
      <c r="EO74" s="3" t="str">
        <f>IF(EN74=0,"",IF(EN74=VLOOKUP("PCS-OzTL99",ARBOR!$A:$C,3,0),0.0001,IF(EN74&gt;VLOOKUP("PCS-OzTL99",ARBOR!$A:$C,3,0),"Maior que CAP!",IF((DOLLAR(EN74+(VLOOKUP("PCS-OzTL99",ARBOR!$A:$C,3,0)*-TRUNC(EN74/VLOOKUP("PCS-OzTL99",ARBOR!$A:$C,3,0)-1,4)),6))&lt;&gt;(DOLLAR(VLOOKUP("PCS-OzTL99",ARBOR!$A:$C,3,0),6)),-TRUNC(EN74/VLOOKUP("PCS-OzTL99",ARBOR!$A:$C,3,0)-1,4)+0.0001,-TRUNC(EN74/VLOOKUP("PCS-OzTL99",ARBOR!$A:$C,3,0)-1,4)))))</f>
        <v/>
      </c>
      <c r="EP74" s="28" t="str">
        <f>IF(EO74="S/Desc","S/Desc",IF(ISERROR(IF(EO74="","",VLOOKUP(($BC74&amp;EO74&amp;"Template desconto % Ponto adicional nível conta"),BENEFICIOS!$A:$G,5,0))),"Criar",IF(EO74="","",VLOOKUP(($BC74&amp;EO74&amp;"Template desconto % Ponto adicional nível conta"),BENEFICIOS!$A:$G,5,0))))</f>
        <v/>
      </c>
      <c r="EQ74" s="8"/>
      <c r="ER74" s="28" t="str">
        <f t="shared" si="23"/>
        <v/>
      </c>
      <c r="ES74" s="62"/>
      <c r="ET74" s="126"/>
      <c r="EU74" s="127"/>
      <c r="EV74" s="126"/>
      <c r="EW74" s="128" t="str">
        <f t="shared" si="24"/>
        <v/>
      </c>
      <c r="EX74" s="129" t="str">
        <f t="shared" si="25"/>
        <v/>
      </c>
      <c r="EY74" s="91" t="str">
        <f t="shared" si="26"/>
        <v/>
      </c>
      <c r="EZ74" s="85"/>
      <c r="FA74" s="97"/>
      <c r="FB74" s="91"/>
      <c r="FC74" s="85"/>
      <c r="FD74" s="97"/>
      <c r="FE74" s="91"/>
      <c r="FF74" s="87"/>
      <c r="FG74" s="144" t="str">
        <f t="shared" si="27"/>
        <v/>
      </c>
      <c r="FH74" s="144" t="str">
        <f t="shared" si="28"/>
        <v/>
      </c>
      <c r="FI74" s="144" t="str">
        <f t="shared" si="29"/>
        <v/>
      </c>
      <c r="FJ74" s="144" t="str">
        <f t="shared" si="30"/>
        <v/>
      </c>
      <c r="FK74" s="144" t="str">
        <f t="shared" si="31"/>
        <v/>
      </c>
      <c r="FL74" s="144" t="str">
        <f t="shared" si="32"/>
        <v/>
      </c>
      <c r="FM74" s="144" t="str">
        <f t="shared" si="33"/>
        <v/>
      </c>
      <c r="FN74" s="144" t="str">
        <f t="shared" si="34"/>
        <v/>
      </c>
      <c r="FO74" s="144" t="str">
        <f t="shared" si="35"/>
        <v/>
      </c>
      <c r="FP74" s="144" t="str">
        <f t="shared" si="36"/>
        <v/>
      </c>
      <c r="FQ74" s="144" t="str">
        <f t="shared" si="37"/>
        <v/>
      </c>
      <c r="FR74" s="144" t="str">
        <f t="shared" si="38"/>
        <v/>
      </c>
      <c r="FS74" s="144" t="str">
        <f t="shared" si="39"/>
        <v/>
      </c>
      <c r="FT74" s="144" t="str">
        <f t="shared" si="40"/>
        <v/>
      </c>
      <c r="FU74" s="144" t="str">
        <f t="shared" si="41"/>
        <v/>
      </c>
      <c r="FV74" s="144" t="str">
        <f t="shared" si="42"/>
        <v/>
      </c>
      <c r="FW74" s="144" t="str">
        <f t="shared" si="43"/>
        <v/>
      </c>
      <c r="FX74" s="151"/>
      <c r="FY74" s="152"/>
      <c r="FZ74" s="152"/>
      <c r="GA74" s="152"/>
      <c r="GB74" s="152"/>
      <c r="GC74" s="152"/>
      <c r="GD74" s="152"/>
      <c r="GE74" s="152"/>
      <c r="GF74" s="152"/>
      <c r="GG74" s="153"/>
    </row>
    <row r="75" spans="1:189">
      <c r="A75" s="45"/>
      <c r="B75" s="133"/>
      <c r="C75" s="133"/>
      <c r="D75" s="46"/>
      <c r="E75" s="4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9"/>
      <c r="U75" s="48"/>
      <c r="V75" s="49"/>
      <c r="W75" s="48"/>
      <c r="X75" s="48"/>
      <c r="Y75" s="48"/>
      <c r="Z75" s="48"/>
      <c r="AA75" s="49"/>
      <c r="AB75" s="48"/>
      <c r="AC75" s="50"/>
      <c r="AD75" s="48"/>
      <c r="AE75" s="48"/>
      <c r="AF75" s="48"/>
      <c r="AG75" s="48"/>
      <c r="AH75" s="48"/>
      <c r="AI75" s="48"/>
      <c r="AJ75" s="48"/>
      <c r="AK75" s="48"/>
      <c r="AL75" s="51"/>
      <c r="AM75" s="37"/>
      <c r="AN75" s="38"/>
      <c r="AO75" s="39"/>
      <c r="AP75" s="52"/>
      <c r="AQ75" s="53"/>
      <c r="AR75" s="64"/>
      <c r="AS75" s="65"/>
      <c r="AT75" s="54"/>
      <c r="AU75" s="54"/>
      <c r="AV75" s="54"/>
      <c r="AW75" s="54"/>
      <c r="AX75" s="70"/>
      <c r="AY75" s="71"/>
      <c r="AZ75" s="72"/>
      <c r="BA75" s="73"/>
      <c r="BB75" s="55"/>
      <c r="BC75" s="56"/>
      <c r="BD75" s="27" t="str">
        <f t="shared" si="22"/>
        <v/>
      </c>
      <c r="BE75" s="58"/>
      <c r="BF75" s="3" t="str">
        <f>IF(BE75=0,"",IF(BE75=VLOOKUP("FIXO",ARBOR!$A:$C,3,0),0.0001,IF(BE75&gt;VLOOKUP("FIXO",ARBOR!$A:$C,3,0),"Maior que CAP!",IF((DOLLAR(BE75+(VLOOKUP("FIXO",ARBOR!$A:$C,3,0)*-TRUNC(BE75/VLOOKUP("FIXO",ARBOR!$A:$C,3,0)-1,4)),6))&lt;&gt;(DOLLAR(VLOOKUP("FIXO",ARBOR!$A:$C,3,0),6)),-TRUNC(BE75/VLOOKUP("FIXO",ARBOR!$A:$C,3,0)-1,4)+0.0001,-TRUNC(BE75/VLOOKUP("FIXO",ARBOR!$A:$C,3,0)-1,4)))))</f>
        <v/>
      </c>
      <c r="BG75" s="10" t="str">
        <f>IF(ISERROR(IF(BF75="","",VLOOKUP(($BC75&amp;BF75&amp;"Template de desconto FLAT bundle - Fixo - Varejo - Ganho Tributário Cross"),BENEFICIOS!$A:$G,5,0))),"Criar",IF(BF75="","",VLOOKUP(($BC75&amp;BF75&amp;"Template de desconto FLAT bundle - Fixo - Varejo - Ganho Tributário Cross"),BENEFICIOS!$A:$G,5,0)))</f>
        <v/>
      </c>
      <c r="BH75" s="8"/>
      <c r="BI75" s="3" t="str">
        <f>IF(BH75=0,"",IF(BH75=VLOOKUP("PCS-OzTL40",ARBOR!$A:$C,3,0),0.0001,IF(BH75&gt;VLOOKUP("PCS-OzTL40",ARBOR!$A:$C,3,0),"Maior que CAP!",IF((DOLLAR(BH75+(VLOOKUP("PCS-OzTL40",ARBOR!$A:$C,3,0)*-TRUNC(BH75/VLOOKUP("PCS-OzTL40",ARBOR!$A:$C,3,0)-1,4)),6))&lt;&gt;(DOLLAR(VLOOKUP("PCS-OzTL40",ARBOR!$A:$C,3,0),6)),-TRUNC(BH75/VLOOKUP("PCS-OzTL40",ARBOR!$A:$C,3,0)-1,4)+0.0001,-TRUNC(BH75/VLOOKUP("PCS-OzTL40",ARBOR!$A:$C,3,0)-1,4)))))</f>
        <v/>
      </c>
      <c r="BJ75" s="10" t="str">
        <f>IF(ISERROR(IF(BI75="","",VLOOKUP((BC75&amp;BI75&amp;"Template desconto FLAT Plano Principal Oi TV nível conta"),BENEFICIOS!$A:$G,5,0))),"Criar",IF(BI75="","",VLOOKUP((BC75&amp;BI75&amp;"Template desconto FLAT Plano Principal Oi TV nível conta"),BENEFICIOS!$A:$G,5,0)))</f>
        <v/>
      </c>
      <c r="BK75" s="8"/>
      <c r="BL75" s="3" t="str">
        <f>IF(BK75=0,"",IF(BK75=VLOOKUP("PCS-OzTL41",ARBOR!$A:$C,3,0),0.0001,IF(BK75&gt;VLOOKUP("PCS-OzTL41",ARBOR!$A:$C,3,0),"Maior que CAP!",IF((DOLLAR(BK75+(VLOOKUP("PCS-OzTL41",ARBOR!$A:$C,3,0)*-TRUNC(BK75/VLOOKUP("PCS-OzTL41",ARBOR!$A:$C,3,0)-1,4)),6))&lt;&gt;(DOLLAR(VLOOKUP("PCS-OzTL41",ARBOR!$A:$C,3,0),6)),-TRUNC(BK75/VLOOKUP("PCS-OzTL41",ARBOR!$A:$C,3,0)-1,4)+0.0001,-TRUNC(BK75/VLOOKUP("PCS-OzTL41",ARBOR!$A:$C,3,0)-1,4)))))</f>
        <v/>
      </c>
      <c r="BM75" s="28" t="str">
        <f>IF(ISERROR(IF(BL75="","",VLOOKUP((BC75&amp;BL75&amp;"Template desconto FLAT Plano Principal Oi TV nível conta"),BENEFICIOS!$A:$G,5,0))),"Criar",IF(BL75="","",VLOOKUP((BC75&amp;BL75&amp;"Template desconto FLAT Plano Principal Oi TV nível conta"),BENEFICIOS!$A:$G,5,0)))</f>
        <v/>
      </c>
      <c r="BN75" s="8"/>
      <c r="BO75" s="3" t="str">
        <f>IF(BN75=0,"",IF(BN75=VLOOKUP("PCS-OzTL44",ARBOR!$A:$C,3,0),0.0001,IF(BN75&gt;VLOOKUP("PCS-OzTL44",ARBOR!$A:$C,3,0),"Maior que CAP!",IF((DOLLAR(BN75+(VLOOKUP("PCS-OzTL44",ARBOR!$A:$C,3,0)*-TRUNC(BN75/VLOOKUP("PCS-OzTL44",ARBOR!$A:$C,3,0)-1,4)),6))&lt;&gt;(DOLLAR(VLOOKUP("PCS-OzTL44",ARBOR!$A:$C,3,0),6)),-TRUNC(BN75/VLOOKUP("PCS-OzTL44",ARBOR!$A:$C,3,0)-1,4)+0.0001,-TRUNC(BN75/VLOOKUP("PCS-OzTL44",ARBOR!$A:$C,3,0)-1,4)))))</f>
        <v/>
      </c>
      <c r="BP75" s="28" t="str">
        <f>IF(ISERROR(IF(BO75="","",VLOOKUP((BC75&amp;BO75&amp;"Template desconto FLAT Plano Principal Oi TV nível conta"),BENEFICIOS!$A:$G,5,0))),"Criar",IF(BO75="","",VLOOKUP((BC75&amp;BO75&amp;"Template desconto FLAT Plano Principal Oi TV nível conta"),BENEFICIOS!$A:$G,5,0)))</f>
        <v/>
      </c>
      <c r="BQ75" s="8"/>
      <c r="BR75" s="3" t="str">
        <f>IF(BQ75=0,"",IF(BQ75=VLOOKUP("PCS-OzTL43",ARBOR!$A:$C,3,0),0.0001,IF(BQ75&gt;VLOOKUP("PCS-OzTL43",ARBOR!$A:$C,3,0),"Maior que CAP!",IF((DOLLAR(BQ75+(VLOOKUP("PCS-OzTL43",ARBOR!$A:$C,3,0)*-TRUNC(BQ75/VLOOKUP("PCS-OzTL43",ARBOR!$A:$C,3,0)-1,4)),6))&lt;&gt;(DOLLAR(VLOOKUP("PCS-OzTL43",ARBOR!$A:$C,3,0),6)),-TRUNC(BQ75/VLOOKUP("PCS-OzTL43",ARBOR!$A:$C,3,0)-1,4)+0.0001,-TRUNC(BQ75/VLOOKUP("PCS-OzTL43",ARBOR!$A:$C,3,0)-1,4)))))</f>
        <v/>
      </c>
      <c r="BS75" s="28" t="str">
        <f>IF(ISERROR(IF(BR75="","",VLOOKUP((BC75&amp;BR75&amp;"Template desconto FLAT Plano Principal Oi TV nível conta"),BENEFICIOS!$A:$G,5,0))),"Criar",IF(BR75="","",VLOOKUP((BC75&amp;BR75&amp;"Template desconto FLAT Plano Principal Oi TV nível conta"),BENEFICIOS!$A:$G,5,0)))</f>
        <v/>
      </c>
      <c r="BT75" s="8"/>
      <c r="BU75" s="3" t="str">
        <f>IF(BT75=0,"",IF(BT75=VLOOKUP("PCS-OzTL45",ARBOR!$A:$C,3,0),0.0001,IF(BT75&gt;VLOOKUP("PCS-OzTL45",ARBOR!$A:$C,3,0),"Maior que CAP!",IF((DOLLAR(BT75+(VLOOKUP("PCS-OzTL45",ARBOR!$A:$C,3,0)*-TRUNC(BT75/VLOOKUP("PCS-OzTL45",ARBOR!$A:$C,3,0)-1,4)),6))&lt;&gt;(DOLLAR(VLOOKUP("PCS-OzTL45",ARBOR!$A:$C,3,0),6)),-TRUNC(BT75/VLOOKUP("PCS-OzTL45",ARBOR!$A:$C,3,0)-1,4)+0.0001,-TRUNC(BT75/VLOOKUP("PCS-OzTL45",ARBOR!$A:$C,3,0)-1,4)))))</f>
        <v/>
      </c>
      <c r="BV75" s="28" t="str">
        <f>IF(ISERROR(IF(BU75="","",VLOOKUP((BC75&amp;BU75&amp;"Template desconto FLAT Plano Principal Oi TV nível conta"),BENEFICIOS!$A:$G,5,0))),"Criar",IF(BU75="","",VLOOKUP((BC75&amp;BU75&amp;"Template desconto FLAT Plano Principal Oi TV nível conta"),BENEFICIOS!$A:$G,5,0)))</f>
        <v/>
      </c>
      <c r="BW75" s="8"/>
      <c r="BX75" s="3" t="str">
        <f>IF(BW75=0,"",IF(BW75=VLOOKUP("PCS-OzTL741",ARBOR!$A:$C,3,0),0.0001,IF(BW75&gt;VLOOKUP("PCS-OzTL741",ARBOR!$A:$C,3,0),"Maior que CAP!",IF((DOLLAR(BW75+(VLOOKUP("PCS-OzTL741",ARBOR!$A:$C,3,0)*-TRUNC(BW75/VLOOKUP("PCS-OzTL741",ARBOR!$A:$C,3,0)-1,4)),6))&lt;&gt;(DOLLAR(VLOOKUP("PCS-OzTL741",ARBOR!$A:$C,3,0),6)),-TRUNC(BW75/VLOOKUP("PCS-OzTL741",ARBOR!$A:$C,3,0)-1,4)+0.0001,-TRUNC(BW75/VLOOKUP("PCS-OzTL741",ARBOR!$A:$C,3,0)-1,4)))))</f>
        <v/>
      </c>
      <c r="BY75" s="28" t="str">
        <f>IF(ISERROR(IF(BX75="","",VLOOKUP((BC75&amp;BX75&amp;"Template desconto FLAT Plano Principal Oi TV nível conta"),BENEFICIOS!$A:$G,5,0))),"Criar",IF(BX75="","",VLOOKUP((BC75&amp;BX75&amp;"Template desconto FLAT Plano Principal Oi TV nível conta"),BENEFICIOS!$A:$G,5,0)))</f>
        <v/>
      </c>
      <c r="BZ75" s="8"/>
      <c r="CA75" s="3" t="str">
        <f>IF(BZ75=0,"",IF(BZ75=VLOOKUP("PCS-OzTL744",ARBOR!$A:$C,3,0),0.0001,IF(BZ75&gt;VLOOKUP("PCS-OzTL744",ARBOR!$A:$C,3,0),"Maior que CAP!",IF((DOLLAR(BZ75+(VLOOKUP("PCS-OzTL744",ARBOR!$A:$C,3,0)*-TRUNC(BZ75/VLOOKUP("PCS-OzTL744",ARBOR!$A:$C,3,0)-1,4)),6))&lt;&gt;(DOLLAR(VLOOKUP("PCS-OzTL744",ARBOR!$A:$C,3,0),6)),-TRUNC(BZ75/VLOOKUP("PCS-OzTL744",ARBOR!$A:$C,3,0)-1,4)+0.0001,-TRUNC(BZ75/VLOOKUP("PCS-OzTL744",ARBOR!$A:$C,3,0)-1,4)))))</f>
        <v/>
      </c>
      <c r="CB75" s="28" t="str">
        <f>IF(ISERROR(IF(CA75="","",VLOOKUP(($BC75&amp;CA75&amp;"Template desconto FLAT Plano Principal Oi TV nível conta"),BENEFICIOS!$A:$G,5,0))),"Criar",IF(CA75="","",VLOOKUP(($BC75&amp;CA75&amp;"Template desconto FLAT Plano Principal Oi TV nível conta"),BENEFICIOS!$A:$G,5,0)))</f>
        <v/>
      </c>
      <c r="CC75" s="8"/>
      <c r="CD75" s="3" t="str">
        <f>IF(CC75=0,"",IF(CC75=VLOOKUP("PCS-OzTL743",ARBOR!$A:$C,3,0),0.0001,IF(CC75&gt;VLOOKUP("PCS-OzTL743",ARBOR!$A:$C,3,0),"Maior que CAP!",IF((DOLLAR(CC75+(VLOOKUP("PCS-OzTL743",ARBOR!$A:$C,3,0)*-TRUNC(CC75/VLOOKUP("PCS-OzTL743",ARBOR!$A:$C,3,0)-1,4)),6))&lt;&gt;(DOLLAR(VLOOKUP("PCS-OzTL743",ARBOR!$A:$C,3,0),6)),-TRUNC(CC75/VLOOKUP("PCS-OzTL743",ARBOR!$A:$C,3,0)-1,4)+0.0001,-TRUNC(CC75/VLOOKUP("PCS-OzTL743",ARBOR!$A:$C,3,0)-1,4)))))</f>
        <v/>
      </c>
      <c r="CE75" s="28" t="str">
        <f>IF(ISERROR(IF(CD75="","",VLOOKUP(($BC75&amp;CD75&amp;"Template desconto FLAT Plano Principal Oi TV nível conta"),BENEFICIOS!$A:$G,5,0))),"Criar",IF(CD75="","",VLOOKUP(($BC75&amp;CD75&amp;"Template desconto FLAT Plano Principal Oi TV nível conta"),BENEFICIOS!$A:$G,5,0)))</f>
        <v/>
      </c>
      <c r="CF75" s="8"/>
      <c r="CG75" s="3" t="str">
        <f>IF(CF75=0,"",IF(CF75=VLOOKUP("PCS-OzTL745",ARBOR!$A:$C,3,0),0.0001,IF(CF75&gt;VLOOKUP("PCS-OzTL745",ARBOR!$A:$C,3,0),"Maior que CAP!",IF((DOLLAR(CF75+(VLOOKUP("PCS-OzTL745",ARBOR!$A:$C,3,0)*-TRUNC(CF75/VLOOKUP("PCS-OzTL745",ARBOR!$A:$C,3,0)-1,4)),6))&lt;&gt;(DOLLAR(VLOOKUP("PCS-OzTL745",ARBOR!$A:$C,3,0),6)),-TRUNC(CF75/VLOOKUP("PCS-OzTL745",ARBOR!$A:$C,3,0)-1,4)+0.0001,-TRUNC(CF75/VLOOKUP("PCS-OzTL745",ARBOR!$A:$C,3,0)-1,4)))))</f>
        <v/>
      </c>
      <c r="CH75" s="28" t="str">
        <f>IF(ISERROR(IF(CG75="","",VLOOKUP(($BC75&amp;CG75&amp;"Template desconto FLAT Plano Principal Oi TV nível conta"),BENEFICIOS!$A:$G,5,0))),"Criar",IF(CG75="","",VLOOKUP(($BC75&amp;CG75&amp;"Template desconto FLAT Plano Principal Oi TV nível conta"),BENEFICIOS!$A:$G,5,0)))</f>
        <v/>
      </c>
      <c r="CI75" s="8"/>
      <c r="CJ75" s="3" t="str">
        <f>IF(CI75=0,"",IF(CI75=VLOOKUP("PCS-OzTL42",ARBOR!$A:$C,3,0),0.0001,IF(CI75&gt;VLOOKUP("PCS-OzTL42",ARBOR!$A:$C,3,0),"Maior que CAP!",IF((DOLLAR(CI75+(VLOOKUP("PCS-OzTL42",ARBOR!$A:$C,3,0)*-TRUNC(CI75/VLOOKUP("PCS-OzTL42",ARBOR!$A:$C,3,0)-1,4)),6))&lt;&gt;(DOLLAR(VLOOKUP("PCS-OzTL42",ARBOR!$A:$C,3,0),6)),-TRUNC(CI75/VLOOKUP("PCS-OzTL42",ARBOR!$A:$C,3,0)-1,4)+0.0001,-TRUNC(CI75/VLOOKUP("PCS-OzTL42",ARBOR!$A:$C,3,0)-1,4)))))</f>
        <v/>
      </c>
      <c r="CK75" s="28" t="str">
        <f>IF(ISERROR(IF(CJ75="","",VLOOKUP(($BC75&amp;CJ75&amp;"Template desconto FLAT Plano Principal Oi TV nível conta"),BENEFICIOS!$A:$G,5,0))),"Criar",IF(CJ75="","",VLOOKUP(($BC75&amp;CJ75&amp;"Template desconto FLAT Plano Principal Oi TV nível conta"),BENEFICIOS!$A:$G,5,0)))</f>
        <v/>
      </c>
      <c r="CL75" s="8"/>
      <c r="CM75" s="3" t="str">
        <f>IF(CL75=0,"",IF(CL75=VLOOKUP("PCS-OzTL47",ARBOR!$A:$C,3,0),0.0001,IF(CL75&gt;VLOOKUP("PCS-OzTL47",ARBOR!$A:$C,3,0),"Maior que CAP!",IF((DOLLAR(CL75+(VLOOKUP("PCS-OzTL47",ARBOR!$A:$C,3,0)*-TRUNC(CL75/VLOOKUP("PCS-OzTL47",ARBOR!$A:$C,3,0)-1,4)),6))&lt;&gt;(DOLLAR(VLOOKUP("PCS-OzTL47",ARBOR!$A:$C,3,0),6)),-TRUNC(CL75/VLOOKUP("PCS-OzTL47",ARBOR!$A:$C,3,0)-1,4)+0.0001,-TRUNC(CL75/VLOOKUP("PCS-OzTL47",ARBOR!$A:$C,3,0)-1,4)))))</f>
        <v/>
      </c>
      <c r="CN75" s="28" t="str">
        <f>IF(ISERROR(IF(CM75="","",VLOOKUP(($BC75&amp;CM75&amp;"Template desconto FLAT Plano Principal Oi TV nível conta"),BENEFICIOS!$A:$G,5,0))),"Criar",IF(CM75="","",VLOOKUP(($BC75&amp;CM75&amp;"Template desconto FLAT Plano Principal Oi TV nível conta"),BENEFICIOS!$A:$G,5,0)))</f>
        <v/>
      </c>
      <c r="CO75" s="8"/>
      <c r="CP75" s="3" t="str">
        <f>IF(CO75=0,"",IF(CO75=VLOOKUP("PCS-OzTL46",ARBOR!$A:$C,3,0),0.0001,IF(CO75&gt;VLOOKUP("PCS-OzTL46",ARBOR!$A:$C,3,0),"Maior que CAP!",IF((DOLLAR(CO75+(VLOOKUP("PCS-OzTL46",ARBOR!$A:$C,3,0)*-TRUNC(CO75/VLOOKUP("PCS-OzTL46",ARBOR!$A:$C,3,0)-1,4)),6))&lt;&gt;(DOLLAR(VLOOKUP("PCS-OzTL46",ARBOR!$A:$C,3,0),6)),-TRUNC(CO75/VLOOKUP("PCS-OzTL46",ARBOR!$A:$C,3,0)-1,4)+0.0001,-TRUNC(CO75/VLOOKUP("PCS-OzTL46",ARBOR!$A:$C,3,0)-1,4)))))</f>
        <v/>
      </c>
      <c r="CQ75" s="28" t="str">
        <f>IF(ISERROR(IF(CP75="","",VLOOKUP(($BC75&amp;CP75&amp;"Template desconto FLAT Plano Principal Oi TV nível conta"),BENEFICIOS!$A:$G,5,0))),"Criar",IF(CP75="","",VLOOKUP(($BC75&amp;CP75&amp;"Template desconto FLAT Plano Principal Oi TV nível conta"),BENEFICIOS!$A:$G,5,0)))</f>
        <v/>
      </c>
      <c r="CR75" s="8"/>
      <c r="CS75" s="3" t="str">
        <f>IF(CR75=0,"",IF(CR75=VLOOKUP("PCS-OzTL48",ARBOR!$A:$C,3,0),0.0001,IF(CR75&gt;VLOOKUP("PCS-OzTL48",ARBOR!$A:$C,3,0),"Maior que CAP!",IF((DOLLAR(CR75+(VLOOKUP("PCS-OzTL48",ARBOR!$A:$C,3,0)*-TRUNC(CR75/VLOOKUP("PCS-OzTL48",ARBOR!$A:$C,3,0)-1,4)),6))&lt;&gt;(DOLLAR(VLOOKUP("PCS-OzTL48",ARBOR!$A:$C,3,0),6)),-TRUNC(CR75/VLOOKUP("PCS-OzTL48",ARBOR!$A:$C,3,0)-1,4)+0.0001,-TRUNC(CR75/VLOOKUP("PCS-OzTL48",ARBOR!$A:$C,3,0)-1,4)))))</f>
        <v/>
      </c>
      <c r="CT75" s="28" t="str">
        <f>IF(ISERROR(IF(CS75="","",VLOOKUP(($BC75&amp;CS75&amp;"Template desconto FLAT Plano Principal Oi TV nível conta"),BENEFICIOS!$A:$G,5,0))),"Criar",IF(CS75="","",VLOOKUP(($BC75&amp;CS75&amp;"Template desconto FLAT Plano Principal Oi TV nível conta"),BENEFICIOS!$A:$G,5,0)))</f>
        <v/>
      </c>
      <c r="CU75" s="8"/>
      <c r="CV75" s="3" t="str">
        <f>IF(CU75=0,"",IF(CU75=VLOOKUP("PCS-OzTL742",ARBOR!$A:$C,3,0),0.0001,IF(CU75&gt;VLOOKUP("PCS-OzTL742",ARBOR!$A:$C,3,0),"Maior que CAP!",IF((DOLLAR(CU75+(VLOOKUP("PCS-OzTL742",ARBOR!$A:$C,3,0)*-TRUNC(CU75/VLOOKUP("PCS-OzTL742",ARBOR!$A:$C,3,0)-1,4)),6))&lt;&gt;(DOLLAR(VLOOKUP("PCS-OzTL742",ARBOR!$A:$C,3,0),6)),-TRUNC(CU75/VLOOKUP("PCS-OzTL742",ARBOR!$A:$C,3,0)-1,4)+0.0001,-TRUNC(CU75/VLOOKUP("PCS-OzTL742",ARBOR!$A:$C,3,0)-1,4)))))</f>
        <v/>
      </c>
      <c r="CW75" s="28" t="str">
        <f>IF(ISERROR(IF(CV75="","",VLOOKUP(($BC75&amp;CV75&amp;"Template desconto FLAT Plano Principal Oi TV nível conta"),BENEFICIOS!$A:$G,5,0))),"Criar",IF(CV75="","",VLOOKUP(($BC75&amp;CV75&amp;"Template desconto FLAT Plano Principal Oi TV nível conta"),BENEFICIOS!$A:$G,5,0)))</f>
        <v/>
      </c>
      <c r="CX75" s="8"/>
      <c r="CY75" s="3" t="str">
        <f>IF(CX75=0,"",IF(CX75=VLOOKUP("PCS-OzTL747",ARBOR!$A:$C,3,0),0.0001,IF(CX75&gt;VLOOKUP("PCS-OzTL747",ARBOR!$A:$C,3,0),"Maior que CAP!",IF((DOLLAR(CX75+(VLOOKUP("PCS-OzTL747",ARBOR!$A:$C,3,0)*-TRUNC(CX75/VLOOKUP("PCS-OzTL747",ARBOR!$A:$C,3,0)-1,4)),6))&lt;&gt;(DOLLAR(VLOOKUP("PCS-OzTL747",ARBOR!$A:$C,3,0),6)),-TRUNC(CX75/VLOOKUP("PCS-OzTL747",ARBOR!$A:$C,3,0)-1,4)+0.0001,-TRUNC(CX75/VLOOKUP("PCS-OzTL747",ARBOR!$A:$C,3,0)-1,4)))))</f>
        <v/>
      </c>
      <c r="CZ75" s="28" t="str">
        <f>IF(ISERROR(IF(CY75="","",VLOOKUP(($BC75&amp;CY75&amp;"Template desconto FLAT Plano Principal Oi TV nível conta"),BENEFICIOS!$A:$G,5,0))),"Criar",IF(CY75="","",VLOOKUP(($BC75&amp;CY75&amp;"Template desconto FLAT Plano Principal Oi TV nível conta"),BENEFICIOS!$A:$G,5,0)))</f>
        <v/>
      </c>
      <c r="DA75" s="8"/>
      <c r="DB75" s="3" t="str">
        <f>IF(DA75=0,"",IF(DA75=VLOOKUP("PCS-OzTL746",ARBOR!$A:$C,3,0),0.0001,IF(DA75&gt;VLOOKUP("PCS-OzTL746",ARBOR!$A:$C,3,0),"Maior que CAP!",IF((DOLLAR(DA75+(VLOOKUP("PCS-OzTL746",ARBOR!$A:$C,3,0)*-TRUNC(DA75/VLOOKUP("PCS-OzTL746",ARBOR!$A:$C,3,0)-1,4)),6))&lt;&gt;(DOLLAR(VLOOKUP("PCS-OzTL746",ARBOR!$A:$C,3,0),6)),-TRUNC(DA75/VLOOKUP("PCS-OzTL746",ARBOR!$A:$C,3,0)-1,4)+0.0001,-TRUNC(DA75/VLOOKUP("PCS-OzTL746",ARBOR!$A:$C,3,0)-1,4)))))</f>
        <v/>
      </c>
      <c r="DC75" s="28" t="str">
        <f>IF(ISERROR(IF(DB75="","",VLOOKUP(($BC75&amp;DB75&amp;"Template desconto FLAT Plano Principal Oi TV nível conta"),BENEFICIOS!$A:$G,5,0))),"Criar",IF(DB75="","",VLOOKUP(($BC75&amp;DB75&amp;"Template desconto FLAT Plano Principal Oi TV nível conta"),BENEFICIOS!$A:$G,5,0)))</f>
        <v/>
      </c>
      <c r="DD75" s="8"/>
      <c r="DE75" s="3" t="str">
        <f>IF(DD75=0,"",IF(DD75=VLOOKUP("PCS-OzTL748",ARBOR!$A:$C,3,0),0.0001,IF(DD75&gt;VLOOKUP("PCS-OzTL748",ARBOR!$A:$C,3,0),"Maior que CAP!",IF((DOLLAR(DD75+(VLOOKUP("PCS-OzTL748",ARBOR!$A:$C,3,0)*-TRUNC(DD75/VLOOKUP("PCS-OzTL748",ARBOR!$A:$C,3,0)-1,4)),6))&lt;&gt;(DOLLAR(VLOOKUP("PCS-OzTL748",ARBOR!$A:$C,3,0),6)),-TRUNC(DD75/VLOOKUP("PCS-OzTL748",ARBOR!$A:$C,3,0)-1,4)+0.0001,-TRUNC(DD75/VLOOKUP("PCS-OzTL748",ARBOR!$A:$C,3,0)-1,4)))))</f>
        <v/>
      </c>
      <c r="DF75" s="28" t="str">
        <f>IF(ISERROR(IF(DE75="","",VLOOKUP(($BC75&amp;DE75&amp;"Template desconto FLAT Plano Principal Oi TV nível conta"),BENEFICIOS!$A:$G,5,0))),"Criar",IF(DE75="","",VLOOKUP(($BC75&amp;DE75&amp;"Template desconto FLAT Plano Principal Oi TV nível conta"),BENEFICIOS!$A:$G,5,0)))</f>
        <v/>
      </c>
      <c r="DG75" s="8"/>
      <c r="DH75" s="3" t="str">
        <f>IF(DG75=0,"",IF(DG75=VLOOKUP("PCS-OzTL34",ARBOR!$A:$C,3,0),0.0001,IF(DG75&gt;VLOOKUP("PCS-OzTL34",ARBOR!$A:$C,3,0),"Maior que CAP!",IF((DOLLAR(DG75+(VLOOKUP("PCS-OzTL34",ARBOR!$A:$C,3,0)*-TRUNC(DG75/VLOOKUP("PCS-OzTL34",ARBOR!$A:$C,3,0)-1,4)),6))&lt;&gt;(DOLLAR(VLOOKUP("PCS-OzTL34",ARBOR!$A:$C,3,0),6)),-TRUNC(DG75/VLOOKUP("PCS-OzTL34",ARBOR!$A:$C,3,0)-1,4)+0.0001,-TRUNC(DG75/VLOOKUP("PCS-OzTL34",ARBOR!$A:$C,3,0)-1,4)))))</f>
        <v/>
      </c>
      <c r="DI75" s="28" t="str">
        <f>IF(DH75="S/Desc","S/Desc",IF(ISERROR(IF(DH75="","",VLOOKUP(($BC75&amp;DH75&amp;"Template desconto % Combate nível conta"),BENEFICIOS!$A:$G,5,0))),"Criar",IF(DH75="","",VLOOKUP(($BC75&amp;DH75&amp;"Template desconto % Combate nível conta"),BENEFICIOS!$A:$G,5,0))))</f>
        <v/>
      </c>
      <c r="DJ75" s="8"/>
      <c r="DK75" s="3" t="str">
        <f>IF(DJ75=0,"",IF(DJ75=VLOOKUP("PCS-OzTL31",ARBOR!$A:$C,3,0),0.0001,IF(DJ75&gt;VLOOKUP("PCS-OzTL31",ARBOR!$A:$C,3,0),"Maior que CAP!",IF((DOLLAR(DJ75+(VLOOKUP("PCS-OzTL31",ARBOR!$A:$C,3,0)*-TRUNC(DJ75/VLOOKUP("PCS-OzTL31",ARBOR!$A:$C,3,0)-1,4)),6))&lt;&gt;(DOLLAR(VLOOKUP("PCS-OzTL31",ARBOR!$A:$C,3,0),6)),-TRUNC(DJ75/VLOOKUP("PCS-OzTL31",ARBOR!$A:$C,3,0)-1,4)+0.0001,-TRUNC(DJ75/VLOOKUP("PCS-OzTL31",ARBOR!$A:$C,3,0)-1,4)))))</f>
        <v/>
      </c>
      <c r="DL75" s="28" t="str">
        <f>IF(DK75="S/Desc","S/Desc",IF(ISERROR(IF(DK75="","",VLOOKUP(($BC75&amp;DK75&amp;"Template desconto % Sexy Hot nível conta"),BENEFICIOS!$A:$G,5,0))),"Criar",IF(DK75="","",VLOOKUP(($BC75&amp;DK75&amp;"Template desconto % Sexy Hot nível conta"),BENEFICIOS!$A:$G,5,0))))</f>
        <v/>
      </c>
      <c r="DM75" s="8"/>
      <c r="DN75" s="3" t="str">
        <f>IF(DM75=0,"",IF(DM75=VLOOKUP("PCS-OzTL32",ARBOR!$A:$C,3,0),0.0001,IF(DM75&gt;VLOOKUP("PCS-OzTL32",ARBOR!$A:$C,3,0),"Maior que CAP!",IF((DOLLAR(DM75+(VLOOKUP("PCS-OzTL32",ARBOR!$A:$C,3,0)*-TRUNC(DM75/VLOOKUP("PCS-OzTL32",ARBOR!$A:$C,3,0)-1,4)),6))&lt;&gt;(DOLLAR(VLOOKUP("PCS-OzTL32",ARBOR!$A:$C,3,0),6)),-TRUNC(DM75/VLOOKUP("PCS-OzTL32",ARBOR!$A:$C,3,0)-1,4)+0.0001,-TRUNC(DM75/VLOOKUP("PCS-OzTL32",ARBOR!$A:$C,3,0)-1,4)))))</f>
        <v/>
      </c>
      <c r="DO75" s="28" t="str">
        <f>IF(DN75="S/Desc","S/Desc",IF(ISERROR(IF(DN75="","",VLOOKUP(($BC75&amp;DN75&amp;"Template desconto % Playboy nível conta"),BENEFICIOS!$A:$G,5,0))),"Criar",IF(DN75="","",VLOOKUP(($BC75&amp;DN75&amp;"Template desconto % Playboy nível conta"),BENEFICIOS!$A:$G,5,0))))</f>
        <v/>
      </c>
      <c r="DP75" s="8"/>
      <c r="DQ75" s="3" t="str">
        <f>IF(DP75=0,"",IF(DP75=VLOOKUP("PCS-OzTL33",ARBOR!$A:$C,3,0),0.0001,IF(DP75&gt;VLOOKUP("PCS-OzTL33",ARBOR!$A:$C,3,0),"Maior que CAP!",IF((DOLLAR(DP75+(VLOOKUP("PCS-OzTL33",ARBOR!$A:$C,3,0)*-TRUNC(DP75/VLOOKUP("PCS-OzTL33",ARBOR!$A:$C,3,0)-1,4)),6))&lt;&gt;(DOLLAR(VLOOKUP("PCS-OzTL33",ARBOR!$A:$C,3,0),6)),-TRUNC(DP75/VLOOKUP("PCS-OzTL33",ARBOR!$A:$C,3,0)-1,4)+0.0001,-TRUNC(DP75/VLOOKUP("PCS-OzTL33",ARBOR!$A:$C,3,0)-1,4)))))</f>
        <v/>
      </c>
      <c r="DR75" s="28" t="str">
        <f>IF(DQ75="S/Desc","S/Desc",IF(ISERROR(IF(DQ75="","",VLOOKUP(($BC75&amp;DQ75&amp;"Template desconto % Sexy Hot + Playboy nível conta"),BENEFICIOS!$A:$G,5,0))),"Criar",IF(DQ75="","",VLOOKUP(($BC75&amp;DQ75&amp;"Template desconto % Sexy Hot + Playboy nível conta"),BENEFICIOS!$A:$G,5,0))))</f>
        <v/>
      </c>
      <c r="DS75" s="8"/>
      <c r="DT75" s="3" t="str">
        <f>IF(DS75=0,"",IF(DS75=VLOOKUP("PCS-OzTL503",ARBOR!$A:$C,3,0),0.0001,IF(DS75&gt;VLOOKUP("PCS-OzTL503",ARBOR!$A:$C,3,0),"Maior que CAP!",IF((DOLLAR(DS75+(VLOOKUP("PCS-OzTL503",ARBOR!$A:$C,3,0)*-TRUNC(DS75/VLOOKUP("PCS-OzTL503",ARBOR!$A:$C,3,0)-1,4)),6))&lt;&gt;(DOLLAR(VLOOKUP("PCS-OzTL503",ARBOR!$A:$C,3,0),6)),-TRUNC(DS75/VLOOKUP("PCS-OzTL503",ARBOR!$A:$C,3,0)-1,4)+0.0001,-TRUNC(DS75/VLOOKUP("PCS-OzTL503",ARBOR!$A:$C,3,0)-1,4)))))</f>
        <v/>
      </c>
      <c r="DU75" s="28" t="str">
        <f>IF(DT75="S/Desc","S/Desc",IF(ISERROR(IF(DT75="","",VLOOKUP(($BC75&amp;DT75&amp;"Template desconto % SexPrivê nível conta"),BENEFICIOS!$A:$G,5,0))),"Criar",IF(DT75="","",VLOOKUP(($BC75&amp;DT75&amp;"Template desconto % SexPrivê nível conta"),BENEFICIOS!$A:$G,5,0))))</f>
        <v/>
      </c>
      <c r="DV75" s="8"/>
      <c r="DW75" s="3" t="str">
        <f>IF(DV75=0,"",IF(DV75=VLOOKUP("PCS-OzTL500",ARBOR!$A:$C,3,0),0.0001,IF(DV75&gt;VLOOKUP("PCS-OzTL500",ARBOR!$A:$C,3,0),"Maior que CAP!",IF((DOLLAR(DV75+(VLOOKUP("PCS-OzTL500",ARBOR!$A:$C,3,0)*-TRUNC(DV75/VLOOKUP("PCS-OzTL500",ARBOR!$A:$C,3,0)-1,4)),6))&lt;&gt;(DOLLAR(VLOOKUP("PCS-OzTL500",ARBOR!$A:$C,3,0),6)),-TRUNC(DV75/VLOOKUP("PCS-OzTL500",ARBOR!$A:$C,3,0)-1,4)+0.0001,-TRUNC(DV75/VLOOKUP("PCS-OzTL500",ARBOR!$A:$C,3,0)-1,4)))))</f>
        <v/>
      </c>
      <c r="DX75" s="28" t="str">
        <f>IF(DW75="S/Desc","S/Desc",IF(ISERROR(IF(DW75="","",VLOOKUP(($BC75&amp;DW75&amp;"Template desconto % Étnico nível conta"),BENEFICIOS!$A:$G,5,0))),"Criar",IF(DW75="","",VLOOKUP(($BC75&amp;DW75&amp;"Template desconto % Étnico nível conta"),BENEFICIOS!$A:$G,5,0))))</f>
        <v/>
      </c>
      <c r="DY75" s="8"/>
      <c r="DZ75" s="181" t="str">
        <f>IF(DY75=0,"",IF(DY75=VLOOKUP("PCS-OzTL50",ARBOR!$A:$C,3,0),0.0001,IF(DY75&gt;VLOOKUP("PCS-OzTL50",ARBOR!$A:$C,3,0),"Maior que CAP!",IF((DOLLAR(DY75+(VLOOKUP("PCS-OzTL50",ARBOR!$A:$C,3,0)*-TRUNC(DY75/VLOOKUP("PCS-OzTL50",ARBOR!$A:$C,3,0)-1,4)),6))&lt;&gt;(DOLLAR(VLOOKUP("PCS-OzTL50",ARBOR!$A:$C,3,0),6)),-TRUNC(DY75/VLOOKUP("PCS-OzTL50",ARBOR!$A:$C,3,0)-1,4)+0.0001,-TRUNC(DY75/VLOOKUP("PCS-OzTL50",ARBOR!$A:$C,3,0)-1,4)))))</f>
        <v/>
      </c>
      <c r="EA75" s="28"/>
      <c r="EB75" s="8"/>
      <c r="EC75" s="181" t="str">
        <f>IF(EB75=0,"",IF(EB75=VLOOKUP("PCS-OzTL51",ARBOR!$A:$C,3,0),0.0001,IF(EB75&gt;VLOOKUP("PCS-OzTL51",ARBOR!$A:$C,3,0),"Maior que CAP!",IF((DOLLAR(EB75+(VLOOKUP("PCS-OzTL51",ARBOR!$A:$C,3,0)*-TRUNC(EB75/VLOOKUP("PCS-OzTL51",ARBOR!$A:$C,3,0)-1,4)),6))&lt;&gt;(DOLLAR(VLOOKUP("PCS-OzTL51",ARBOR!$A:$C,3,0),6)),-TRUNC(EB75/VLOOKUP("PCS-OzTL51",ARBOR!$A:$C,3,0)-1,4)+0.0001,-TRUNC(EB75/VLOOKUP("PCS-OzTL51",ARBOR!$A:$C,3,0)-1,4)))))</f>
        <v/>
      </c>
      <c r="ED75" s="28"/>
      <c r="EE75" s="8"/>
      <c r="EF75" s="181" t="str">
        <f>IF(EE75=0,"",IF(EE75=VLOOKUP("PCS-OzTL52",ARBOR!$A:$C,3,0),0.0001,IF(EE75&gt;VLOOKUP("PCS-OzTL52",ARBOR!$A:$C,3,0),"Maior que CAP!",IF((DOLLAR(EE75+(VLOOKUP("PCS-OzTL52",ARBOR!$A:$C,3,0)*-TRUNC(EE75/VLOOKUP("PCS-OzTL52",ARBOR!$A:$C,3,0)-1,4)),6))&lt;&gt;(DOLLAR(VLOOKUP("PCS-OzTL52",ARBOR!$A:$C,3,0),6)),-TRUNC(EE75/VLOOKUP("PCS-OzTL52",ARBOR!$A:$C,3,0)-1,4)+0.0001,-TRUNC(EE75/VLOOKUP("PCS-OzTL52",ARBOR!$A:$C,3,0)-1,4)))))</f>
        <v/>
      </c>
      <c r="EG75" s="28"/>
      <c r="EH75" s="8"/>
      <c r="EI75" s="181" t="str">
        <f>IF(EH75=0,"",IF(EH75=VLOOKUP("PCS-OzTL53",ARBOR!$A:$C,3,0),0.0001,IF(EH75&gt;VLOOKUP("PCS-OzTL53",ARBOR!$A:$C,3,0),"Maior que CAP!",IF((DOLLAR(EH75+(VLOOKUP("PCS-OzTL53",ARBOR!$A:$C,3,0)*-TRUNC(EH75/VLOOKUP("PCS-OzTL53",ARBOR!$A:$C,3,0)-1,4)),6))&lt;&gt;(DOLLAR(VLOOKUP("PCS-OzTL53",ARBOR!$A:$C,3,0),6)),-TRUNC(EH75/VLOOKUP("PCS-OzTL53",ARBOR!$A:$C,3,0)-1,4)+0.0001,-TRUNC(EH75/VLOOKUP("PCS-OzTL53",ARBOR!$A:$C,3,0)-1,4)))))</f>
        <v/>
      </c>
      <c r="EJ75" s="28"/>
      <c r="EK75" s="8"/>
      <c r="EL75" s="181" t="str">
        <f>IF(EK75=0,"",IF(EK75=VLOOKUP("PCS-OzTL54",ARBOR!$A:$C,3,0),0.0001,IF(EK75&gt;VLOOKUP("PCS-OzTL54",ARBOR!$A:$C,3,0),"Maior que CAP!",IF((DOLLAR(EK75+(VLOOKUP("PCS-OzTL54",ARBOR!$A:$C,3,0)*-TRUNC(EK75/VLOOKUP("PCS-OzTL54",ARBOR!$A:$C,3,0)-1,4)),6))&lt;&gt;(DOLLAR(VLOOKUP("PCS-OzTL54",ARBOR!$A:$C,3,0),6)),-TRUNC(EK75/VLOOKUP("PCS-OzTL54",ARBOR!$A:$C,3,0)-1,4)+0.0001,-TRUNC(EK75/VLOOKUP("PCS-OzTL54",ARBOR!$A:$C,3,0)-1,4)))))</f>
        <v/>
      </c>
      <c r="EM75" s="28"/>
      <c r="EN75" s="8"/>
      <c r="EO75" s="3" t="str">
        <f>IF(EN75=0,"",IF(EN75=VLOOKUP("PCS-OzTL99",ARBOR!$A:$C,3,0),0.0001,IF(EN75&gt;VLOOKUP("PCS-OzTL99",ARBOR!$A:$C,3,0),"Maior que CAP!",IF((DOLLAR(EN75+(VLOOKUP("PCS-OzTL99",ARBOR!$A:$C,3,0)*-TRUNC(EN75/VLOOKUP("PCS-OzTL99",ARBOR!$A:$C,3,0)-1,4)),6))&lt;&gt;(DOLLAR(VLOOKUP("PCS-OzTL99",ARBOR!$A:$C,3,0),6)),-TRUNC(EN75/VLOOKUP("PCS-OzTL99",ARBOR!$A:$C,3,0)-1,4)+0.0001,-TRUNC(EN75/VLOOKUP("PCS-OzTL99",ARBOR!$A:$C,3,0)-1,4)))))</f>
        <v/>
      </c>
      <c r="EP75" s="28" t="str">
        <f>IF(EO75="S/Desc","S/Desc",IF(ISERROR(IF(EO75="","",VLOOKUP(($BC75&amp;EO75&amp;"Template desconto % Ponto adicional nível conta"),BENEFICIOS!$A:$G,5,0))),"Criar",IF(EO75="","",VLOOKUP(($BC75&amp;EO75&amp;"Template desconto % Ponto adicional nível conta"),BENEFICIOS!$A:$G,5,0))))</f>
        <v/>
      </c>
      <c r="EQ75" s="8"/>
      <c r="ER75" s="28" t="str">
        <f t="shared" si="23"/>
        <v/>
      </c>
      <c r="ES75" s="62"/>
      <c r="ET75" s="126"/>
      <c r="EU75" s="127"/>
      <c r="EV75" s="126"/>
      <c r="EW75" s="128" t="str">
        <f t="shared" si="24"/>
        <v/>
      </c>
      <c r="EX75" s="129" t="str">
        <f t="shared" si="25"/>
        <v/>
      </c>
      <c r="EY75" s="91" t="str">
        <f t="shared" si="26"/>
        <v/>
      </c>
      <c r="EZ75" s="85"/>
      <c r="FA75" s="97"/>
      <c r="FB75" s="91"/>
      <c r="FC75" s="85"/>
      <c r="FD75" s="97"/>
      <c r="FE75" s="91"/>
      <c r="FF75" s="87"/>
      <c r="FG75" s="144" t="str">
        <f t="shared" si="27"/>
        <v/>
      </c>
      <c r="FH75" s="144" t="str">
        <f t="shared" si="28"/>
        <v/>
      </c>
      <c r="FI75" s="144" t="str">
        <f t="shared" si="29"/>
        <v/>
      </c>
      <c r="FJ75" s="144" t="str">
        <f t="shared" si="30"/>
        <v/>
      </c>
      <c r="FK75" s="144" t="str">
        <f t="shared" si="31"/>
        <v/>
      </c>
      <c r="FL75" s="144" t="str">
        <f t="shared" si="32"/>
        <v/>
      </c>
      <c r="FM75" s="144" t="str">
        <f t="shared" si="33"/>
        <v/>
      </c>
      <c r="FN75" s="144" t="str">
        <f t="shared" si="34"/>
        <v/>
      </c>
      <c r="FO75" s="144" t="str">
        <f t="shared" si="35"/>
        <v/>
      </c>
      <c r="FP75" s="144" t="str">
        <f t="shared" si="36"/>
        <v/>
      </c>
      <c r="FQ75" s="144" t="str">
        <f t="shared" si="37"/>
        <v/>
      </c>
      <c r="FR75" s="144" t="str">
        <f t="shared" si="38"/>
        <v/>
      </c>
      <c r="FS75" s="144" t="str">
        <f t="shared" si="39"/>
        <v/>
      </c>
      <c r="FT75" s="144" t="str">
        <f t="shared" si="40"/>
        <v/>
      </c>
      <c r="FU75" s="144" t="str">
        <f t="shared" si="41"/>
        <v/>
      </c>
      <c r="FV75" s="144" t="str">
        <f t="shared" si="42"/>
        <v/>
      </c>
      <c r="FW75" s="144" t="str">
        <f t="shared" si="43"/>
        <v/>
      </c>
      <c r="FX75" s="151"/>
      <c r="FY75" s="152"/>
      <c r="FZ75" s="152"/>
      <c r="GA75" s="152"/>
      <c r="GB75" s="152"/>
      <c r="GC75" s="152"/>
      <c r="GD75" s="152"/>
      <c r="GE75" s="152"/>
      <c r="GF75" s="152"/>
      <c r="GG75" s="153"/>
    </row>
    <row r="76" spans="1:189">
      <c r="A76" s="45"/>
      <c r="B76" s="133"/>
      <c r="C76" s="133"/>
      <c r="D76" s="46"/>
      <c r="E76" s="4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9"/>
      <c r="U76" s="48"/>
      <c r="V76" s="49"/>
      <c r="W76" s="48"/>
      <c r="X76" s="48"/>
      <c r="Y76" s="48"/>
      <c r="Z76" s="48"/>
      <c r="AA76" s="49"/>
      <c r="AB76" s="48"/>
      <c r="AC76" s="50"/>
      <c r="AD76" s="48"/>
      <c r="AE76" s="48"/>
      <c r="AF76" s="48"/>
      <c r="AG76" s="48"/>
      <c r="AH76" s="48"/>
      <c r="AI76" s="48"/>
      <c r="AJ76" s="48"/>
      <c r="AK76" s="48"/>
      <c r="AL76" s="51"/>
      <c r="AM76" s="37"/>
      <c r="AN76" s="38"/>
      <c r="AO76" s="39"/>
      <c r="AP76" s="52"/>
      <c r="AQ76" s="53"/>
      <c r="AR76" s="64"/>
      <c r="AS76" s="65"/>
      <c r="AT76" s="54"/>
      <c r="AU76" s="54"/>
      <c r="AV76" s="54"/>
      <c r="AW76" s="54"/>
      <c r="AX76" s="70"/>
      <c r="AY76" s="71"/>
      <c r="AZ76" s="72"/>
      <c r="BA76" s="73"/>
      <c r="BB76" s="55"/>
      <c r="BC76" s="56"/>
      <c r="BD76" s="27" t="str">
        <f t="shared" si="22"/>
        <v/>
      </c>
      <c r="BE76" s="58"/>
      <c r="BF76" s="3" t="str">
        <f>IF(BE76=0,"",IF(BE76=VLOOKUP("FIXO",ARBOR!$A:$C,3,0),0.0001,IF(BE76&gt;VLOOKUP("FIXO",ARBOR!$A:$C,3,0),"Maior que CAP!",IF((DOLLAR(BE76+(VLOOKUP("FIXO",ARBOR!$A:$C,3,0)*-TRUNC(BE76/VLOOKUP("FIXO",ARBOR!$A:$C,3,0)-1,4)),6))&lt;&gt;(DOLLAR(VLOOKUP("FIXO",ARBOR!$A:$C,3,0),6)),-TRUNC(BE76/VLOOKUP("FIXO",ARBOR!$A:$C,3,0)-1,4)+0.0001,-TRUNC(BE76/VLOOKUP("FIXO",ARBOR!$A:$C,3,0)-1,4)))))</f>
        <v/>
      </c>
      <c r="BG76" s="10" t="str">
        <f>IF(ISERROR(IF(BF76="","",VLOOKUP(($BC76&amp;BF76&amp;"Template de desconto FLAT bundle - Fixo - Varejo - Ganho Tributário Cross"),BENEFICIOS!$A:$G,5,0))),"Criar",IF(BF76="","",VLOOKUP(($BC76&amp;BF76&amp;"Template de desconto FLAT bundle - Fixo - Varejo - Ganho Tributário Cross"),BENEFICIOS!$A:$G,5,0)))</f>
        <v/>
      </c>
      <c r="BH76" s="8"/>
      <c r="BI76" s="3" t="str">
        <f>IF(BH76=0,"",IF(BH76=VLOOKUP("PCS-OzTL40",ARBOR!$A:$C,3,0),0.0001,IF(BH76&gt;VLOOKUP("PCS-OzTL40",ARBOR!$A:$C,3,0),"Maior que CAP!",IF((DOLLAR(BH76+(VLOOKUP("PCS-OzTL40",ARBOR!$A:$C,3,0)*-TRUNC(BH76/VLOOKUP("PCS-OzTL40",ARBOR!$A:$C,3,0)-1,4)),6))&lt;&gt;(DOLLAR(VLOOKUP("PCS-OzTL40",ARBOR!$A:$C,3,0),6)),-TRUNC(BH76/VLOOKUP("PCS-OzTL40",ARBOR!$A:$C,3,0)-1,4)+0.0001,-TRUNC(BH76/VLOOKUP("PCS-OzTL40",ARBOR!$A:$C,3,0)-1,4)))))</f>
        <v/>
      </c>
      <c r="BJ76" s="10" t="str">
        <f>IF(ISERROR(IF(BI76="","",VLOOKUP((BC76&amp;BI76&amp;"Template desconto FLAT Plano Principal Oi TV nível conta"),BENEFICIOS!$A:$G,5,0))),"Criar",IF(BI76="","",VLOOKUP((BC76&amp;BI76&amp;"Template desconto FLAT Plano Principal Oi TV nível conta"),BENEFICIOS!$A:$G,5,0)))</f>
        <v/>
      </c>
      <c r="BK76" s="8"/>
      <c r="BL76" s="3" t="str">
        <f>IF(BK76=0,"",IF(BK76=VLOOKUP("PCS-OzTL41",ARBOR!$A:$C,3,0),0.0001,IF(BK76&gt;VLOOKUP("PCS-OzTL41",ARBOR!$A:$C,3,0),"Maior que CAP!",IF((DOLLAR(BK76+(VLOOKUP("PCS-OzTL41",ARBOR!$A:$C,3,0)*-TRUNC(BK76/VLOOKUP("PCS-OzTL41",ARBOR!$A:$C,3,0)-1,4)),6))&lt;&gt;(DOLLAR(VLOOKUP("PCS-OzTL41",ARBOR!$A:$C,3,0),6)),-TRUNC(BK76/VLOOKUP("PCS-OzTL41",ARBOR!$A:$C,3,0)-1,4)+0.0001,-TRUNC(BK76/VLOOKUP("PCS-OzTL41",ARBOR!$A:$C,3,0)-1,4)))))</f>
        <v/>
      </c>
      <c r="BM76" s="28" t="str">
        <f>IF(ISERROR(IF(BL76="","",VLOOKUP((BC76&amp;BL76&amp;"Template desconto FLAT Plano Principal Oi TV nível conta"),BENEFICIOS!$A:$G,5,0))),"Criar",IF(BL76="","",VLOOKUP((BC76&amp;BL76&amp;"Template desconto FLAT Plano Principal Oi TV nível conta"),BENEFICIOS!$A:$G,5,0)))</f>
        <v/>
      </c>
      <c r="BN76" s="8"/>
      <c r="BO76" s="3" t="str">
        <f>IF(BN76=0,"",IF(BN76=VLOOKUP("PCS-OzTL44",ARBOR!$A:$C,3,0),0.0001,IF(BN76&gt;VLOOKUP("PCS-OzTL44",ARBOR!$A:$C,3,0),"Maior que CAP!",IF((DOLLAR(BN76+(VLOOKUP("PCS-OzTL44",ARBOR!$A:$C,3,0)*-TRUNC(BN76/VLOOKUP("PCS-OzTL44",ARBOR!$A:$C,3,0)-1,4)),6))&lt;&gt;(DOLLAR(VLOOKUP("PCS-OzTL44",ARBOR!$A:$C,3,0),6)),-TRUNC(BN76/VLOOKUP("PCS-OzTL44",ARBOR!$A:$C,3,0)-1,4)+0.0001,-TRUNC(BN76/VLOOKUP("PCS-OzTL44",ARBOR!$A:$C,3,0)-1,4)))))</f>
        <v/>
      </c>
      <c r="BP76" s="28" t="str">
        <f>IF(ISERROR(IF(BO76="","",VLOOKUP((BC76&amp;BO76&amp;"Template desconto FLAT Plano Principal Oi TV nível conta"),BENEFICIOS!$A:$G,5,0))),"Criar",IF(BO76="","",VLOOKUP((BC76&amp;BO76&amp;"Template desconto FLAT Plano Principal Oi TV nível conta"),BENEFICIOS!$A:$G,5,0)))</f>
        <v/>
      </c>
      <c r="BQ76" s="8"/>
      <c r="BR76" s="3" t="str">
        <f>IF(BQ76=0,"",IF(BQ76=VLOOKUP("PCS-OzTL43",ARBOR!$A:$C,3,0),0.0001,IF(BQ76&gt;VLOOKUP("PCS-OzTL43",ARBOR!$A:$C,3,0),"Maior que CAP!",IF((DOLLAR(BQ76+(VLOOKUP("PCS-OzTL43",ARBOR!$A:$C,3,0)*-TRUNC(BQ76/VLOOKUP("PCS-OzTL43",ARBOR!$A:$C,3,0)-1,4)),6))&lt;&gt;(DOLLAR(VLOOKUP("PCS-OzTL43",ARBOR!$A:$C,3,0),6)),-TRUNC(BQ76/VLOOKUP("PCS-OzTL43",ARBOR!$A:$C,3,0)-1,4)+0.0001,-TRUNC(BQ76/VLOOKUP("PCS-OzTL43",ARBOR!$A:$C,3,0)-1,4)))))</f>
        <v/>
      </c>
      <c r="BS76" s="28" t="str">
        <f>IF(ISERROR(IF(BR76="","",VLOOKUP((BC76&amp;BR76&amp;"Template desconto FLAT Plano Principal Oi TV nível conta"),BENEFICIOS!$A:$G,5,0))),"Criar",IF(BR76="","",VLOOKUP((BC76&amp;BR76&amp;"Template desconto FLAT Plano Principal Oi TV nível conta"),BENEFICIOS!$A:$G,5,0)))</f>
        <v/>
      </c>
      <c r="BT76" s="8"/>
      <c r="BU76" s="3" t="str">
        <f>IF(BT76=0,"",IF(BT76=VLOOKUP("PCS-OzTL45",ARBOR!$A:$C,3,0),0.0001,IF(BT76&gt;VLOOKUP("PCS-OzTL45",ARBOR!$A:$C,3,0),"Maior que CAP!",IF((DOLLAR(BT76+(VLOOKUP("PCS-OzTL45",ARBOR!$A:$C,3,0)*-TRUNC(BT76/VLOOKUP("PCS-OzTL45",ARBOR!$A:$C,3,0)-1,4)),6))&lt;&gt;(DOLLAR(VLOOKUP("PCS-OzTL45",ARBOR!$A:$C,3,0),6)),-TRUNC(BT76/VLOOKUP("PCS-OzTL45",ARBOR!$A:$C,3,0)-1,4)+0.0001,-TRUNC(BT76/VLOOKUP("PCS-OzTL45",ARBOR!$A:$C,3,0)-1,4)))))</f>
        <v/>
      </c>
      <c r="BV76" s="28" t="str">
        <f>IF(ISERROR(IF(BU76="","",VLOOKUP((BC76&amp;BU76&amp;"Template desconto FLAT Plano Principal Oi TV nível conta"),BENEFICIOS!$A:$G,5,0))),"Criar",IF(BU76="","",VLOOKUP((BC76&amp;BU76&amp;"Template desconto FLAT Plano Principal Oi TV nível conta"),BENEFICIOS!$A:$G,5,0)))</f>
        <v/>
      </c>
      <c r="BW76" s="8"/>
      <c r="BX76" s="3" t="str">
        <f>IF(BW76=0,"",IF(BW76=VLOOKUP("PCS-OzTL741",ARBOR!$A:$C,3,0),0.0001,IF(BW76&gt;VLOOKUP("PCS-OzTL741",ARBOR!$A:$C,3,0),"Maior que CAP!",IF((DOLLAR(BW76+(VLOOKUP("PCS-OzTL741",ARBOR!$A:$C,3,0)*-TRUNC(BW76/VLOOKUP("PCS-OzTL741",ARBOR!$A:$C,3,0)-1,4)),6))&lt;&gt;(DOLLAR(VLOOKUP("PCS-OzTL741",ARBOR!$A:$C,3,0),6)),-TRUNC(BW76/VLOOKUP("PCS-OzTL741",ARBOR!$A:$C,3,0)-1,4)+0.0001,-TRUNC(BW76/VLOOKUP("PCS-OzTL741",ARBOR!$A:$C,3,0)-1,4)))))</f>
        <v/>
      </c>
      <c r="BY76" s="28" t="str">
        <f>IF(ISERROR(IF(BX76="","",VLOOKUP((BC76&amp;BX76&amp;"Template desconto FLAT Plano Principal Oi TV nível conta"),BENEFICIOS!$A:$G,5,0))),"Criar",IF(BX76="","",VLOOKUP((BC76&amp;BX76&amp;"Template desconto FLAT Plano Principal Oi TV nível conta"),BENEFICIOS!$A:$G,5,0)))</f>
        <v/>
      </c>
      <c r="BZ76" s="8"/>
      <c r="CA76" s="3" t="str">
        <f>IF(BZ76=0,"",IF(BZ76=VLOOKUP("PCS-OzTL744",ARBOR!$A:$C,3,0),0.0001,IF(BZ76&gt;VLOOKUP("PCS-OzTL744",ARBOR!$A:$C,3,0),"Maior que CAP!",IF((DOLLAR(BZ76+(VLOOKUP("PCS-OzTL744",ARBOR!$A:$C,3,0)*-TRUNC(BZ76/VLOOKUP("PCS-OzTL744",ARBOR!$A:$C,3,0)-1,4)),6))&lt;&gt;(DOLLAR(VLOOKUP("PCS-OzTL744",ARBOR!$A:$C,3,0),6)),-TRUNC(BZ76/VLOOKUP("PCS-OzTL744",ARBOR!$A:$C,3,0)-1,4)+0.0001,-TRUNC(BZ76/VLOOKUP("PCS-OzTL744",ARBOR!$A:$C,3,0)-1,4)))))</f>
        <v/>
      </c>
      <c r="CB76" s="28" t="str">
        <f>IF(ISERROR(IF(CA76="","",VLOOKUP(($BC76&amp;CA76&amp;"Template desconto FLAT Plano Principal Oi TV nível conta"),BENEFICIOS!$A:$G,5,0))),"Criar",IF(CA76="","",VLOOKUP(($BC76&amp;CA76&amp;"Template desconto FLAT Plano Principal Oi TV nível conta"),BENEFICIOS!$A:$G,5,0)))</f>
        <v/>
      </c>
      <c r="CC76" s="8"/>
      <c r="CD76" s="3" t="str">
        <f>IF(CC76=0,"",IF(CC76=VLOOKUP("PCS-OzTL743",ARBOR!$A:$C,3,0),0.0001,IF(CC76&gt;VLOOKUP("PCS-OzTL743",ARBOR!$A:$C,3,0),"Maior que CAP!",IF((DOLLAR(CC76+(VLOOKUP("PCS-OzTL743",ARBOR!$A:$C,3,0)*-TRUNC(CC76/VLOOKUP("PCS-OzTL743",ARBOR!$A:$C,3,0)-1,4)),6))&lt;&gt;(DOLLAR(VLOOKUP("PCS-OzTL743",ARBOR!$A:$C,3,0),6)),-TRUNC(CC76/VLOOKUP("PCS-OzTL743",ARBOR!$A:$C,3,0)-1,4)+0.0001,-TRUNC(CC76/VLOOKUP("PCS-OzTL743",ARBOR!$A:$C,3,0)-1,4)))))</f>
        <v/>
      </c>
      <c r="CE76" s="28" t="str">
        <f>IF(ISERROR(IF(CD76="","",VLOOKUP(($BC76&amp;CD76&amp;"Template desconto FLAT Plano Principal Oi TV nível conta"),BENEFICIOS!$A:$G,5,0))),"Criar",IF(CD76="","",VLOOKUP(($BC76&amp;CD76&amp;"Template desconto FLAT Plano Principal Oi TV nível conta"),BENEFICIOS!$A:$G,5,0)))</f>
        <v/>
      </c>
      <c r="CF76" s="8"/>
      <c r="CG76" s="3" t="str">
        <f>IF(CF76=0,"",IF(CF76=VLOOKUP("PCS-OzTL745",ARBOR!$A:$C,3,0),0.0001,IF(CF76&gt;VLOOKUP("PCS-OzTL745",ARBOR!$A:$C,3,0),"Maior que CAP!",IF((DOLLAR(CF76+(VLOOKUP("PCS-OzTL745",ARBOR!$A:$C,3,0)*-TRUNC(CF76/VLOOKUP("PCS-OzTL745",ARBOR!$A:$C,3,0)-1,4)),6))&lt;&gt;(DOLLAR(VLOOKUP("PCS-OzTL745",ARBOR!$A:$C,3,0),6)),-TRUNC(CF76/VLOOKUP("PCS-OzTL745",ARBOR!$A:$C,3,0)-1,4)+0.0001,-TRUNC(CF76/VLOOKUP("PCS-OzTL745",ARBOR!$A:$C,3,0)-1,4)))))</f>
        <v/>
      </c>
      <c r="CH76" s="28" t="str">
        <f>IF(ISERROR(IF(CG76="","",VLOOKUP(($BC76&amp;CG76&amp;"Template desconto FLAT Plano Principal Oi TV nível conta"),BENEFICIOS!$A:$G,5,0))),"Criar",IF(CG76="","",VLOOKUP(($BC76&amp;CG76&amp;"Template desconto FLAT Plano Principal Oi TV nível conta"),BENEFICIOS!$A:$G,5,0)))</f>
        <v/>
      </c>
      <c r="CI76" s="8"/>
      <c r="CJ76" s="3" t="str">
        <f>IF(CI76=0,"",IF(CI76=VLOOKUP("PCS-OzTL42",ARBOR!$A:$C,3,0),0.0001,IF(CI76&gt;VLOOKUP("PCS-OzTL42",ARBOR!$A:$C,3,0),"Maior que CAP!",IF((DOLLAR(CI76+(VLOOKUP("PCS-OzTL42",ARBOR!$A:$C,3,0)*-TRUNC(CI76/VLOOKUP("PCS-OzTL42",ARBOR!$A:$C,3,0)-1,4)),6))&lt;&gt;(DOLLAR(VLOOKUP("PCS-OzTL42",ARBOR!$A:$C,3,0),6)),-TRUNC(CI76/VLOOKUP("PCS-OzTL42",ARBOR!$A:$C,3,0)-1,4)+0.0001,-TRUNC(CI76/VLOOKUP("PCS-OzTL42",ARBOR!$A:$C,3,0)-1,4)))))</f>
        <v/>
      </c>
      <c r="CK76" s="28" t="str">
        <f>IF(ISERROR(IF(CJ76="","",VLOOKUP(($BC76&amp;CJ76&amp;"Template desconto FLAT Plano Principal Oi TV nível conta"),BENEFICIOS!$A:$G,5,0))),"Criar",IF(CJ76="","",VLOOKUP(($BC76&amp;CJ76&amp;"Template desconto FLAT Plano Principal Oi TV nível conta"),BENEFICIOS!$A:$G,5,0)))</f>
        <v/>
      </c>
      <c r="CL76" s="8"/>
      <c r="CM76" s="3" t="str">
        <f>IF(CL76=0,"",IF(CL76=VLOOKUP("PCS-OzTL47",ARBOR!$A:$C,3,0),0.0001,IF(CL76&gt;VLOOKUP("PCS-OzTL47",ARBOR!$A:$C,3,0),"Maior que CAP!",IF((DOLLAR(CL76+(VLOOKUP("PCS-OzTL47",ARBOR!$A:$C,3,0)*-TRUNC(CL76/VLOOKUP("PCS-OzTL47",ARBOR!$A:$C,3,0)-1,4)),6))&lt;&gt;(DOLLAR(VLOOKUP("PCS-OzTL47",ARBOR!$A:$C,3,0),6)),-TRUNC(CL76/VLOOKUP("PCS-OzTL47",ARBOR!$A:$C,3,0)-1,4)+0.0001,-TRUNC(CL76/VLOOKUP("PCS-OzTL47",ARBOR!$A:$C,3,0)-1,4)))))</f>
        <v/>
      </c>
      <c r="CN76" s="28" t="str">
        <f>IF(ISERROR(IF(CM76="","",VLOOKUP(($BC76&amp;CM76&amp;"Template desconto FLAT Plano Principal Oi TV nível conta"),BENEFICIOS!$A:$G,5,0))),"Criar",IF(CM76="","",VLOOKUP(($BC76&amp;CM76&amp;"Template desconto FLAT Plano Principal Oi TV nível conta"),BENEFICIOS!$A:$G,5,0)))</f>
        <v/>
      </c>
      <c r="CO76" s="8"/>
      <c r="CP76" s="3" t="str">
        <f>IF(CO76=0,"",IF(CO76=VLOOKUP("PCS-OzTL46",ARBOR!$A:$C,3,0),0.0001,IF(CO76&gt;VLOOKUP("PCS-OzTL46",ARBOR!$A:$C,3,0),"Maior que CAP!",IF((DOLLAR(CO76+(VLOOKUP("PCS-OzTL46",ARBOR!$A:$C,3,0)*-TRUNC(CO76/VLOOKUP("PCS-OzTL46",ARBOR!$A:$C,3,0)-1,4)),6))&lt;&gt;(DOLLAR(VLOOKUP("PCS-OzTL46",ARBOR!$A:$C,3,0),6)),-TRUNC(CO76/VLOOKUP("PCS-OzTL46",ARBOR!$A:$C,3,0)-1,4)+0.0001,-TRUNC(CO76/VLOOKUP("PCS-OzTL46",ARBOR!$A:$C,3,0)-1,4)))))</f>
        <v/>
      </c>
      <c r="CQ76" s="28" t="str">
        <f>IF(ISERROR(IF(CP76="","",VLOOKUP(($BC76&amp;CP76&amp;"Template desconto FLAT Plano Principal Oi TV nível conta"),BENEFICIOS!$A:$G,5,0))),"Criar",IF(CP76="","",VLOOKUP(($BC76&amp;CP76&amp;"Template desconto FLAT Plano Principal Oi TV nível conta"),BENEFICIOS!$A:$G,5,0)))</f>
        <v/>
      </c>
      <c r="CR76" s="8"/>
      <c r="CS76" s="3" t="str">
        <f>IF(CR76=0,"",IF(CR76=VLOOKUP("PCS-OzTL48",ARBOR!$A:$C,3,0),0.0001,IF(CR76&gt;VLOOKUP("PCS-OzTL48",ARBOR!$A:$C,3,0),"Maior que CAP!",IF((DOLLAR(CR76+(VLOOKUP("PCS-OzTL48",ARBOR!$A:$C,3,0)*-TRUNC(CR76/VLOOKUP("PCS-OzTL48",ARBOR!$A:$C,3,0)-1,4)),6))&lt;&gt;(DOLLAR(VLOOKUP("PCS-OzTL48",ARBOR!$A:$C,3,0),6)),-TRUNC(CR76/VLOOKUP("PCS-OzTL48",ARBOR!$A:$C,3,0)-1,4)+0.0001,-TRUNC(CR76/VLOOKUP("PCS-OzTL48",ARBOR!$A:$C,3,0)-1,4)))))</f>
        <v/>
      </c>
      <c r="CT76" s="28" t="str">
        <f>IF(ISERROR(IF(CS76="","",VLOOKUP(($BC76&amp;CS76&amp;"Template desconto FLAT Plano Principal Oi TV nível conta"),BENEFICIOS!$A:$G,5,0))),"Criar",IF(CS76="","",VLOOKUP(($BC76&amp;CS76&amp;"Template desconto FLAT Plano Principal Oi TV nível conta"),BENEFICIOS!$A:$G,5,0)))</f>
        <v/>
      </c>
      <c r="CU76" s="8"/>
      <c r="CV76" s="3" t="str">
        <f>IF(CU76=0,"",IF(CU76=VLOOKUP("PCS-OzTL742",ARBOR!$A:$C,3,0),0.0001,IF(CU76&gt;VLOOKUP("PCS-OzTL742",ARBOR!$A:$C,3,0),"Maior que CAP!",IF((DOLLAR(CU76+(VLOOKUP("PCS-OzTL742",ARBOR!$A:$C,3,0)*-TRUNC(CU76/VLOOKUP("PCS-OzTL742",ARBOR!$A:$C,3,0)-1,4)),6))&lt;&gt;(DOLLAR(VLOOKUP("PCS-OzTL742",ARBOR!$A:$C,3,0),6)),-TRUNC(CU76/VLOOKUP("PCS-OzTL742",ARBOR!$A:$C,3,0)-1,4)+0.0001,-TRUNC(CU76/VLOOKUP("PCS-OzTL742",ARBOR!$A:$C,3,0)-1,4)))))</f>
        <v/>
      </c>
      <c r="CW76" s="28" t="str">
        <f>IF(ISERROR(IF(CV76="","",VLOOKUP(($BC76&amp;CV76&amp;"Template desconto FLAT Plano Principal Oi TV nível conta"),BENEFICIOS!$A:$G,5,0))),"Criar",IF(CV76="","",VLOOKUP(($BC76&amp;CV76&amp;"Template desconto FLAT Plano Principal Oi TV nível conta"),BENEFICIOS!$A:$G,5,0)))</f>
        <v/>
      </c>
      <c r="CX76" s="8"/>
      <c r="CY76" s="3" t="str">
        <f>IF(CX76=0,"",IF(CX76=VLOOKUP("PCS-OzTL747",ARBOR!$A:$C,3,0),0.0001,IF(CX76&gt;VLOOKUP("PCS-OzTL747",ARBOR!$A:$C,3,0),"Maior que CAP!",IF((DOLLAR(CX76+(VLOOKUP("PCS-OzTL747",ARBOR!$A:$C,3,0)*-TRUNC(CX76/VLOOKUP("PCS-OzTL747",ARBOR!$A:$C,3,0)-1,4)),6))&lt;&gt;(DOLLAR(VLOOKUP("PCS-OzTL747",ARBOR!$A:$C,3,0),6)),-TRUNC(CX76/VLOOKUP("PCS-OzTL747",ARBOR!$A:$C,3,0)-1,4)+0.0001,-TRUNC(CX76/VLOOKUP("PCS-OzTL747",ARBOR!$A:$C,3,0)-1,4)))))</f>
        <v/>
      </c>
      <c r="CZ76" s="28" t="str">
        <f>IF(ISERROR(IF(CY76="","",VLOOKUP(($BC76&amp;CY76&amp;"Template desconto FLAT Plano Principal Oi TV nível conta"),BENEFICIOS!$A:$G,5,0))),"Criar",IF(CY76="","",VLOOKUP(($BC76&amp;CY76&amp;"Template desconto FLAT Plano Principal Oi TV nível conta"),BENEFICIOS!$A:$G,5,0)))</f>
        <v/>
      </c>
      <c r="DA76" s="8"/>
      <c r="DB76" s="3" t="str">
        <f>IF(DA76=0,"",IF(DA76=VLOOKUP("PCS-OzTL746",ARBOR!$A:$C,3,0),0.0001,IF(DA76&gt;VLOOKUP("PCS-OzTL746",ARBOR!$A:$C,3,0),"Maior que CAP!",IF((DOLLAR(DA76+(VLOOKUP("PCS-OzTL746",ARBOR!$A:$C,3,0)*-TRUNC(DA76/VLOOKUP("PCS-OzTL746",ARBOR!$A:$C,3,0)-1,4)),6))&lt;&gt;(DOLLAR(VLOOKUP("PCS-OzTL746",ARBOR!$A:$C,3,0),6)),-TRUNC(DA76/VLOOKUP("PCS-OzTL746",ARBOR!$A:$C,3,0)-1,4)+0.0001,-TRUNC(DA76/VLOOKUP("PCS-OzTL746",ARBOR!$A:$C,3,0)-1,4)))))</f>
        <v/>
      </c>
      <c r="DC76" s="28" t="str">
        <f>IF(ISERROR(IF(DB76="","",VLOOKUP(($BC76&amp;DB76&amp;"Template desconto FLAT Plano Principal Oi TV nível conta"),BENEFICIOS!$A:$G,5,0))),"Criar",IF(DB76="","",VLOOKUP(($BC76&amp;DB76&amp;"Template desconto FLAT Plano Principal Oi TV nível conta"),BENEFICIOS!$A:$G,5,0)))</f>
        <v/>
      </c>
      <c r="DD76" s="8"/>
      <c r="DE76" s="3" t="str">
        <f>IF(DD76=0,"",IF(DD76=VLOOKUP("PCS-OzTL748",ARBOR!$A:$C,3,0),0.0001,IF(DD76&gt;VLOOKUP("PCS-OzTL748",ARBOR!$A:$C,3,0),"Maior que CAP!",IF((DOLLAR(DD76+(VLOOKUP("PCS-OzTL748",ARBOR!$A:$C,3,0)*-TRUNC(DD76/VLOOKUP("PCS-OzTL748",ARBOR!$A:$C,3,0)-1,4)),6))&lt;&gt;(DOLLAR(VLOOKUP("PCS-OzTL748",ARBOR!$A:$C,3,0),6)),-TRUNC(DD76/VLOOKUP("PCS-OzTL748",ARBOR!$A:$C,3,0)-1,4)+0.0001,-TRUNC(DD76/VLOOKUP("PCS-OzTL748",ARBOR!$A:$C,3,0)-1,4)))))</f>
        <v/>
      </c>
      <c r="DF76" s="28" t="str">
        <f>IF(ISERROR(IF(DE76="","",VLOOKUP(($BC76&amp;DE76&amp;"Template desconto FLAT Plano Principal Oi TV nível conta"),BENEFICIOS!$A:$G,5,0))),"Criar",IF(DE76="","",VLOOKUP(($BC76&amp;DE76&amp;"Template desconto FLAT Plano Principal Oi TV nível conta"),BENEFICIOS!$A:$G,5,0)))</f>
        <v/>
      </c>
      <c r="DG76" s="8"/>
      <c r="DH76" s="3" t="str">
        <f>IF(DG76=0,"",IF(DG76=VLOOKUP("PCS-OzTL34",ARBOR!$A:$C,3,0),0.0001,IF(DG76&gt;VLOOKUP("PCS-OzTL34",ARBOR!$A:$C,3,0),"Maior que CAP!",IF((DOLLAR(DG76+(VLOOKUP("PCS-OzTL34",ARBOR!$A:$C,3,0)*-TRUNC(DG76/VLOOKUP("PCS-OzTL34",ARBOR!$A:$C,3,0)-1,4)),6))&lt;&gt;(DOLLAR(VLOOKUP("PCS-OzTL34",ARBOR!$A:$C,3,0),6)),-TRUNC(DG76/VLOOKUP("PCS-OzTL34",ARBOR!$A:$C,3,0)-1,4)+0.0001,-TRUNC(DG76/VLOOKUP("PCS-OzTL34",ARBOR!$A:$C,3,0)-1,4)))))</f>
        <v/>
      </c>
      <c r="DI76" s="28" t="str">
        <f>IF(DH76="S/Desc","S/Desc",IF(ISERROR(IF(DH76="","",VLOOKUP(($BC76&amp;DH76&amp;"Template desconto % Combate nível conta"),BENEFICIOS!$A:$G,5,0))),"Criar",IF(DH76="","",VLOOKUP(($BC76&amp;DH76&amp;"Template desconto % Combate nível conta"),BENEFICIOS!$A:$G,5,0))))</f>
        <v/>
      </c>
      <c r="DJ76" s="8"/>
      <c r="DK76" s="3" t="str">
        <f>IF(DJ76=0,"",IF(DJ76=VLOOKUP("PCS-OzTL31",ARBOR!$A:$C,3,0),0.0001,IF(DJ76&gt;VLOOKUP("PCS-OzTL31",ARBOR!$A:$C,3,0),"Maior que CAP!",IF((DOLLAR(DJ76+(VLOOKUP("PCS-OzTL31",ARBOR!$A:$C,3,0)*-TRUNC(DJ76/VLOOKUP("PCS-OzTL31",ARBOR!$A:$C,3,0)-1,4)),6))&lt;&gt;(DOLLAR(VLOOKUP("PCS-OzTL31",ARBOR!$A:$C,3,0),6)),-TRUNC(DJ76/VLOOKUP("PCS-OzTL31",ARBOR!$A:$C,3,0)-1,4)+0.0001,-TRUNC(DJ76/VLOOKUP("PCS-OzTL31",ARBOR!$A:$C,3,0)-1,4)))))</f>
        <v/>
      </c>
      <c r="DL76" s="28" t="str">
        <f>IF(DK76="S/Desc","S/Desc",IF(ISERROR(IF(DK76="","",VLOOKUP(($BC76&amp;DK76&amp;"Template desconto % Sexy Hot nível conta"),BENEFICIOS!$A:$G,5,0))),"Criar",IF(DK76="","",VLOOKUP(($BC76&amp;DK76&amp;"Template desconto % Sexy Hot nível conta"),BENEFICIOS!$A:$G,5,0))))</f>
        <v/>
      </c>
      <c r="DM76" s="8"/>
      <c r="DN76" s="3" t="str">
        <f>IF(DM76=0,"",IF(DM76=VLOOKUP("PCS-OzTL32",ARBOR!$A:$C,3,0),0.0001,IF(DM76&gt;VLOOKUP("PCS-OzTL32",ARBOR!$A:$C,3,0),"Maior que CAP!",IF((DOLLAR(DM76+(VLOOKUP("PCS-OzTL32",ARBOR!$A:$C,3,0)*-TRUNC(DM76/VLOOKUP("PCS-OzTL32",ARBOR!$A:$C,3,0)-1,4)),6))&lt;&gt;(DOLLAR(VLOOKUP("PCS-OzTL32",ARBOR!$A:$C,3,0),6)),-TRUNC(DM76/VLOOKUP("PCS-OzTL32",ARBOR!$A:$C,3,0)-1,4)+0.0001,-TRUNC(DM76/VLOOKUP("PCS-OzTL32",ARBOR!$A:$C,3,0)-1,4)))))</f>
        <v/>
      </c>
      <c r="DO76" s="28" t="str">
        <f>IF(DN76="S/Desc","S/Desc",IF(ISERROR(IF(DN76="","",VLOOKUP(($BC76&amp;DN76&amp;"Template desconto % Playboy nível conta"),BENEFICIOS!$A:$G,5,0))),"Criar",IF(DN76="","",VLOOKUP(($BC76&amp;DN76&amp;"Template desconto % Playboy nível conta"),BENEFICIOS!$A:$G,5,0))))</f>
        <v/>
      </c>
      <c r="DP76" s="8"/>
      <c r="DQ76" s="3" t="str">
        <f>IF(DP76=0,"",IF(DP76=VLOOKUP("PCS-OzTL33",ARBOR!$A:$C,3,0),0.0001,IF(DP76&gt;VLOOKUP("PCS-OzTL33",ARBOR!$A:$C,3,0),"Maior que CAP!",IF((DOLLAR(DP76+(VLOOKUP("PCS-OzTL33",ARBOR!$A:$C,3,0)*-TRUNC(DP76/VLOOKUP("PCS-OzTL33",ARBOR!$A:$C,3,0)-1,4)),6))&lt;&gt;(DOLLAR(VLOOKUP("PCS-OzTL33",ARBOR!$A:$C,3,0),6)),-TRUNC(DP76/VLOOKUP("PCS-OzTL33",ARBOR!$A:$C,3,0)-1,4)+0.0001,-TRUNC(DP76/VLOOKUP("PCS-OzTL33",ARBOR!$A:$C,3,0)-1,4)))))</f>
        <v/>
      </c>
      <c r="DR76" s="28" t="str">
        <f>IF(DQ76="S/Desc","S/Desc",IF(ISERROR(IF(DQ76="","",VLOOKUP(($BC76&amp;DQ76&amp;"Template desconto % Sexy Hot + Playboy nível conta"),BENEFICIOS!$A:$G,5,0))),"Criar",IF(DQ76="","",VLOOKUP(($BC76&amp;DQ76&amp;"Template desconto % Sexy Hot + Playboy nível conta"),BENEFICIOS!$A:$G,5,0))))</f>
        <v/>
      </c>
      <c r="DS76" s="8"/>
      <c r="DT76" s="3" t="str">
        <f>IF(DS76=0,"",IF(DS76=VLOOKUP("PCS-OzTL503",ARBOR!$A:$C,3,0),0.0001,IF(DS76&gt;VLOOKUP("PCS-OzTL503",ARBOR!$A:$C,3,0),"Maior que CAP!",IF((DOLLAR(DS76+(VLOOKUP("PCS-OzTL503",ARBOR!$A:$C,3,0)*-TRUNC(DS76/VLOOKUP("PCS-OzTL503",ARBOR!$A:$C,3,0)-1,4)),6))&lt;&gt;(DOLLAR(VLOOKUP("PCS-OzTL503",ARBOR!$A:$C,3,0),6)),-TRUNC(DS76/VLOOKUP("PCS-OzTL503",ARBOR!$A:$C,3,0)-1,4)+0.0001,-TRUNC(DS76/VLOOKUP("PCS-OzTL503",ARBOR!$A:$C,3,0)-1,4)))))</f>
        <v/>
      </c>
      <c r="DU76" s="28" t="str">
        <f>IF(DT76="S/Desc","S/Desc",IF(ISERROR(IF(DT76="","",VLOOKUP(($BC76&amp;DT76&amp;"Template desconto % SexPrivê nível conta"),BENEFICIOS!$A:$G,5,0))),"Criar",IF(DT76="","",VLOOKUP(($BC76&amp;DT76&amp;"Template desconto % SexPrivê nível conta"),BENEFICIOS!$A:$G,5,0))))</f>
        <v/>
      </c>
      <c r="DV76" s="8"/>
      <c r="DW76" s="3" t="str">
        <f>IF(DV76=0,"",IF(DV76=VLOOKUP("PCS-OzTL500",ARBOR!$A:$C,3,0),0.0001,IF(DV76&gt;VLOOKUP("PCS-OzTL500",ARBOR!$A:$C,3,0),"Maior que CAP!",IF((DOLLAR(DV76+(VLOOKUP("PCS-OzTL500",ARBOR!$A:$C,3,0)*-TRUNC(DV76/VLOOKUP("PCS-OzTL500",ARBOR!$A:$C,3,0)-1,4)),6))&lt;&gt;(DOLLAR(VLOOKUP("PCS-OzTL500",ARBOR!$A:$C,3,0),6)),-TRUNC(DV76/VLOOKUP("PCS-OzTL500",ARBOR!$A:$C,3,0)-1,4)+0.0001,-TRUNC(DV76/VLOOKUP("PCS-OzTL500",ARBOR!$A:$C,3,0)-1,4)))))</f>
        <v/>
      </c>
      <c r="DX76" s="28" t="str">
        <f>IF(DW76="S/Desc","S/Desc",IF(ISERROR(IF(DW76="","",VLOOKUP(($BC76&amp;DW76&amp;"Template desconto % Étnico nível conta"),BENEFICIOS!$A:$G,5,0))),"Criar",IF(DW76="","",VLOOKUP(($BC76&amp;DW76&amp;"Template desconto % Étnico nível conta"),BENEFICIOS!$A:$G,5,0))))</f>
        <v/>
      </c>
      <c r="DY76" s="8"/>
      <c r="DZ76" s="181" t="str">
        <f>IF(DY76=0,"",IF(DY76=VLOOKUP("PCS-OzTL50",ARBOR!$A:$C,3,0),0.0001,IF(DY76&gt;VLOOKUP("PCS-OzTL50",ARBOR!$A:$C,3,0),"Maior que CAP!",IF((DOLLAR(DY76+(VLOOKUP("PCS-OzTL50",ARBOR!$A:$C,3,0)*-TRUNC(DY76/VLOOKUP("PCS-OzTL50",ARBOR!$A:$C,3,0)-1,4)),6))&lt;&gt;(DOLLAR(VLOOKUP("PCS-OzTL50",ARBOR!$A:$C,3,0),6)),-TRUNC(DY76/VLOOKUP("PCS-OzTL50",ARBOR!$A:$C,3,0)-1,4)+0.0001,-TRUNC(DY76/VLOOKUP("PCS-OzTL50",ARBOR!$A:$C,3,0)-1,4)))))</f>
        <v/>
      </c>
      <c r="EA76" s="28"/>
      <c r="EB76" s="8"/>
      <c r="EC76" s="181" t="str">
        <f>IF(EB76=0,"",IF(EB76=VLOOKUP("PCS-OzTL51",ARBOR!$A:$C,3,0),0.0001,IF(EB76&gt;VLOOKUP("PCS-OzTL51",ARBOR!$A:$C,3,0),"Maior que CAP!",IF((DOLLAR(EB76+(VLOOKUP("PCS-OzTL51",ARBOR!$A:$C,3,0)*-TRUNC(EB76/VLOOKUP("PCS-OzTL51",ARBOR!$A:$C,3,0)-1,4)),6))&lt;&gt;(DOLLAR(VLOOKUP("PCS-OzTL51",ARBOR!$A:$C,3,0),6)),-TRUNC(EB76/VLOOKUP("PCS-OzTL51",ARBOR!$A:$C,3,0)-1,4)+0.0001,-TRUNC(EB76/VLOOKUP("PCS-OzTL51",ARBOR!$A:$C,3,0)-1,4)))))</f>
        <v/>
      </c>
      <c r="ED76" s="28"/>
      <c r="EE76" s="8"/>
      <c r="EF76" s="181" t="str">
        <f>IF(EE76=0,"",IF(EE76=VLOOKUP("PCS-OzTL52",ARBOR!$A:$C,3,0),0.0001,IF(EE76&gt;VLOOKUP("PCS-OzTL52",ARBOR!$A:$C,3,0),"Maior que CAP!",IF((DOLLAR(EE76+(VLOOKUP("PCS-OzTL52",ARBOR!$A:$C,3,0)*-TRUNC(EE76/VLOOKUP("PCS-OzTL52",ARBOR!$A:$C,3,0)-1,4)),6))&lt;&gt;(DOLLAR(VLOOKUP("PCS-OzTL52",ARBOR!$A:$C,3,0),6)),-TRUNC(EE76/VLOOKUP("PCS-OzTL52",ARBOR!$A:$C,3,0)-1,4)+0.0001,-TRUNC(EE76/VLOOKUP("PCS-OzTL52",ARBOR!$A:$C,3,0)-1,4)))))</f>
        <v/>
      </c>
      <c r="EG76" s="28"/>
      <c r="EH76" s="8"/>
      <c r="EI76" s="181" t="str">
        <f>IF(EH76=0,"",IF(EH76=VLOOKUP("PCS-OzTL53",ARBOR!$A:$C,3,0),0.0001,IF(EH76&gt;VLOOKUP("PCS-OzTL53",ARBOR!$A:$C,3,0),"Maior que CAP!",IF((DOLLAR(EH76+(VLOOKUP("PCS-OzTL53",ARBOR!$A:$C,3,0)*-TRUNC(EH76/VLOOKUP("PCS-OzTL53",ARBOR!$A:$C,3,0)-1,4)),6))&lt;&gt;(DOLLAR(VLOOKUP("PCS-OzTL53",ARBOR!$A:$C,3,0),6)),-TRUNC(EH76/VLOOKUP("PCS-OzTL53",ARBOR!$A:$C,3,0)-1,4)+0.0001,-TRUNC(EH76/VLOOKUP("PCS-OzTL53",ARBOR!$A:$C,3,0)-1,4)))))</f>
        <v/>
      </c>
      <c r="EJ76" s="28"/>
      <c r="EK76" s="8"/>
      <c r="EL76" s="181" t="str">
        <f>IF(EK76=0,"",IF(EK76=VLOOKUP("PCS-OzTL54",ARBOR!$A:$C,3,0),0.0001,IF(EK76&gt;VLOOKUP("PCS-OzTL54",ARBOR!$A:$C,3,0),"Maior que CAP!",IF((DOLLAR(EK76+(VLOOKUP("PCS-OzTL54",ARBOR!$A:$C,3,0)*-TRUNC(EK76/VLOOKUP("PCS-OzTL54",ARBOR!$A:$C,3,0)-1,4)),6))&lt;&gt;(DOLLAR(VLOOKUP("PCS-OzTL54",ARBOR!$A:$C,3,0),6)),-TRUNC(EK76/VLOOKUP("PCS-OzTL54",ARBOR!$A:$C,3,0)-1,4)+0.0001,-TRUNC(EK76/VLOOKUP("PCS-OzTL54",ARBOR!$A:$C,3,0)-1,4)))))</f>
        <v/>
      </c>
      <c r="EM76" s="28"/>
      <c r="EN76" s="8"/>
      <c r="EO76" s="3" t="str">
        <f>IF(EN76=0,"",IF(EN76=VLOOKUP("PCS-OzTL99",ARBOR!$A:$C,3,0),0.0001,IF(EN76&gt;VLOOKUP("PCS-OzTL99",ARBOR!$A:$C,3,0),"Maior que CAP!",IF((DOLLAR(EN76+(VLOOKUP("PCS-OzTL99",ARBOR!$A:$C,3,0)*-TRUNC(EN76/VLOOKUP("PCS-OzTL99",ARBOR!$A:$C,3,0)-1,4)),6))&lt;&gt;(DOLLAR(VLOOKUP("PCS-OzTL99",ARBOR!$A:$C,3,0),6)),-TRUNC(EN76/VLOOKUP("PCS-OzTL99",ARBOR!$A:$C,3,0)-1,4)+0.0001,-TRUNC(EN76/VLOOKUP("PCS-OzTL99",ARBOR!$A:$C,3,0)-1,4)))))</f>
        <v/>
      </c>
      <c r="EP76" s="28" t="str">
        <f>IF(EO76="S/Desc","S/Desc",IF(ISERROR(IF(EO76="","",VLOOKUP(($BC76&amp;EO76&amp;"Template desconto % Ponto adicional nível conta"),BENEFICIOS!$A:$G,5,0))),"Criar",IF(EO76="","",VLOOKUP(($BC76&amp;EO76&amp;"Template desconto % Ponto adicional nível conta"),BENEFICIOS!$A:$G,5,0))))</f>
        <v/>
      </c>
      <c r="EQ76" s="8"/>
      <c r="ER76" s="28" t="str">
        <f t="shared" si="23"/>
        <v/>
      </c>
      <c r="ES76" s="62"/>
      <c r="ET76" s="126"/>
      <c r="EU76" s="127"/>
      <c r="EV76" s="126"/>
      <c r="EW76" s="128" t="str">
        <f t="shared" si="24"/>
        <v/>
      </c>
      <c r="EX76" s="129" t="str">
        <f t="shared" si="25"/>
        <v/>
      </c>
      <c r="EY76" s="91" t="str">
        <f t="shared" si="26"/>
        <v/>
      </c>
      <c r="EZ76" s="85"/>
      <c r="FA76" s="97"/>
      <c r="FB76" s="91"/>
      <c r="FC76" s="85"/>
      <c r="FD76" s="97"/>
      <c r="FE76" s="91"/>
      <c r="FF76" s="87"/>
      <c r="FG76" s="144" t="str">
        <f t="shared" si="27"/>
        <v/>
      </c>
      <c r="FH76" s="144" t="str">
        <f t="shared" si="28"/>
        <v/>
      </c>
      <c r="FI76" s="144" t="str">
        <f t="shared" si="29"/>
        <v/>
      </c>
      <c r="FJ76" s="144" t="str">
        <f t="shared" si="30"/>
        <v/>
      </c>
      <c r="FK76" s="144" t="str">
        <f t="shared" si="31"/>
        <v/>
      </c>
      <c r="FL76" s="144" t="str">
        <f t="shared" si="32"/>
        <v/>
      </c>
      <c r="FM76" s="144" t="str">
        <f t="shared" si="33"/>
        <v/>
      </c>
      <c r="FN76" s="144" t="str">
        <f t="shared" si="34"/>
        <v/>
      </c>
      <c r="FO76" s="144" t="str">
        <f t="shared" si="35"/>
        <v/>
      </c>
      <c r="FP76" s="144" t="str">
        <f t="shared" si="36"/>
        <v/>
      </c>
      <c r="FQ76" s="144" t="str">
        <f t="shared" si="37"/>
        <v/>
      </c>
      <c r="FR76" s="144" t="str">
        <f t="shared" si="38"/>
        <v/>
      </c>
      <c r="FS76" s="144" t="str">
        <f t="shared" si="39"/>
        <v/>
      </c>
      <c r="FT76" s="144" t="str">
        <f t="shared" si="40"/>
        <v/>
      </c>
      <c r="FU76" s="144" t="str">
        <f t="shared" si="41"/>
        <v/>
      </c>
      <c r="FV76" s="144" t="str">
        <f t="shared" si="42"/>
        <v/>
      </c>
      <c r="FW76" s="144" t="str">
        <f t="shared" si="43"/>
        <v/>
      </c>
      <c r="FX76" s="151"/>
      <c r="FY76" s="152"/>
      <c r="FZ76" s="152"/>
      <c r="GA76" s="152"/>
      <c r="GB76" s="152"/>
      <c r="GC76" s="152"/>
      <c r="GD76" s="152"/>
      <c r="GE76" s="152"/>
      <c r="GF76" s="152"/>
      <c r="GG76" s="153"/>
    </row>
    <row r="77" spans="1:189">
      <c r="A77" s="45"/>
      <c r="B77" s="133"/>
      <c r="C77" s="133"/>
      <c r="D77" s="46"/>
      <c r="E77" s="4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9"/>
      <c r="U77" s="48"/>
      <c r="V77" s="49"/>
      <c r="W77" s="48"/>
      <c r="X77" s="48"/>
      <c r="Y77" s="48"/>
      <c r="Z77" s="48"/>
      <c r="AA77" s="49"/>
      <c r="AB77" s="48"/>
      <c r="AC77" s="50"/>
      <c r="AD77" s="48"/>
      <c r="AE77" s="48"/>
      <c r="AF77" s="48"/>
      <c r="AG77" s="48"/>
      <c r="AH77" s="48"/>
      <c r="AI77" s="48"/>
      <c r="AJ77" s="48"/>
      <c r="AK77" s="48"/>
      <c r="AL77" s="51"/>
      <c r="AM77" s="37"/>
      <c r="AN77" s="38"/>
      <c r="AO77" s="39"/>
      <c r="AP77" s="52"/>
      <c r="AQ77" s="53"/>
      <c r="AR77" s="64"/>
      <c r="AS77" s="65"/>
      <c r="AT77" s="54"/>
      <c r="AU77" s="54"/>
      <c r="AV77" s="54"/>
      <c r="AW77" s="54"/>
      <c r="AX77" s="70"/>
      <c r="AY77" s="71"/>
      <c r="AZ77" s="72"/>
      <c r="BA77" s="73"/>
      <c r="BB77" s="55"/>
      <c r="BC77" s="56"/>
      <c r="BD77" s="27" t="str">
        <f t="shared" si="22"/>
        <v/>
      </c>
      <c r="BE77" s="58"/>
      <c r="BF77" s="3" t="str">
        <f>IF(BE77=0,"",IF(BE77=VLOOKUP("FIXO",ARBOR!$A:$C,3,0),0.0001,IF(BE77&gt;VLOOKUP("FIXO",ARBOR!$A:$C,3,0),"Maior que CAP!",IF((DOLLAR(BE77+(VLOOKUP("FIXO",ARBOR!$A:$C,3,0)*-TRUNC(BE77/VLOOKUP("FIXO",ARBOR!$A:$C,3,0)-1,4)),6))&lt;&gt;(DOLLAR(VLOOKUP("FIXO",ARBOR!$A:$C,3,0),6)),-TRUNC(BE77/VLOOKUP("FIXO",ARBOR!$A:$C,3,0)-1,4)+0.0001,-TRUNC(BE77/VLOOKUP("FIXO",ARBOR!$A:$C,3,0)-1,4)))))</f>
        <v/>
      </c>
      <c r="BG77" s="10" t="str">
        <f>IF(ISERROR(IF(BF77="","",VLOOKUP(($BC77&amp;BF77&amp;"Template de desconto FLAT bundle - Fixo - Varejo - Ganho Tributário Cross"),BENEFICIOS!$A:$G,5,0))),"Criar",IF(BF77="","",VLOOKUP(($BC77&amp;BF77&amp;"Template de desconto FLAT bundle - Fixo - Varejo - Ganho Tributário Cross"),BENEFICIOS!$A:$G,5,0)))</f>
        <v/>
      </c>
      <c r="BH77" s="8"/>
      <c r="BI77" s="3" t="str">
        <f>IF(BH77=0,"",IF(BH77=VLOOKUP("PCS-OzTL40",ARBOR!$A:$C,3,0),0.0001,IF(BH77&gt;VLOOKUP("PCS-OzTL40",ARBOR!$A:$C,3,0),"Maior que CAP!",IF((DOLLAR(BH77+(VLOOKUP("PCS-OzTL40",ARBOR!$A:$C,3,0)*-TRUNC(BH77/VLOOKUP("PCS-OzTL40",ARBOR!$A:$C,3,0)-1,4)),6))&lt;&gt;(DOLLAR(VLOOKUP("PCS-OzTL40",ARBOR!$A:$C,3,0),6)),-TRUNC(BH77/VLOOKUP("PCS-OzTL40",ARBOR!$A:$C,3,0)-1,4)+0.0001,-TRUNC(BH77/VLOOKUP("PCS-OzTL40",ARBOR!$A:$C,3,0)-1,4)))))</f>
        <v/>
      </c>
      <c r="BJ77" s="10" t="str">
        <f>IF(ISERROR(IF(BI77="","",VLOOKUP((BC77&amp;BI77&amp;"Template desconto FLAT Plano Principal Oi TV nível conta"),BENEFICIOS!$A:$G,5,0))),"Criar",IF(BI77="","",VLOOKUP((BC77&amp;BI77&amp;"Template desconto FLAT Plano Principal Oi TV nível conta"),BENEFICIOS!$A:$G,5,0)))</f>
        <v/>
      </c>
      <c r="BK77" s="8"/>
      <c r="BL77" s="3" t="str">
        <f>IF(BK77=0,"",IF(BK77=VLOOKUP("PCS-OzTL41",ARBOR!$A:$C,3,0),0.0001,IF(BK77&gt;VLOOKUP("PCS-OzTL41",ARBOR!$A:$C,3,0),"Maior que CAP!",IF((DOLLAR(BK77+(VLOOKUP("PCS-OzTL41",ARBOR!$A:$C,3,0)*-TRUNC(BK77/VLOOKUP("PCS-OzTL41",ARBOR!$A:$C,3,0)-1,4)),6))&lt;&gt;(DOLLAR(VLOOKUP("PCS-OzTL41",ARBOR!$A:$C,3,0),6)),-TRUNC(BK77/VLOOKUP("PCS-OzTL41",ARBOR!$A:$C,3,0)-1,4)+0.0001,-TRUNC(BK77/VLOOKUP("PCS-OzTL41",ARBOR!$A:$C,3,0)-1,4)))))</f>
        <v/>
      </c>
      <c r="BM77" s="28" t="str">
        <f>IF(ISERROR(IF(BL77="","",VLOOKUP((BC77&amp;BL77&amp;"Template desconto FLAT Plano Principal Oi TV nível conta"),BENEFICIOS!$A:$G,5,0))),"Criar",IF(BL77="","",VLOOKUP((BC77&amp;BL77&amp;"Template desconto FLAT Plano Principal Oi TV nível conta"),BENEFICIOS!$A:$G,5,0)))</f>
        <v/>
      </c>
      <c r="BN77" s="8"/>
      <c r="BO77" s="3" t="str">
        <f>IF(BN77=0,"",IF(BN77=VLOOKUP("PCS-OzTL44",ARBOR!$A:$C,3,0),0.0001,IF(BN77&gt;VLOOKUP("PCS-OzTL44",ARBOR!$A:$C,3,0),"Maior que CAP!",IF((DOLLAR(BN77+(VLOOKUP("PCS-OzTL44",ARBOR!$A:$C,3,0)*-TRUNC(BN77/VLOOKUP("PCS-OzTL44",ARBOR!$A:$C,3,0)-1,4)),6))&lt;&gt;(DOLLAR(VLOOKUP("PCS-OzTL44",ARBOR!$A:$C,3,0),6)),-TRUNC(BN77/VLOOKUP("PCS-OzTL44",ARBOR!$A:$C,3,0)-1,4)+0.0001,-TRUNC(BN77/VLOOKUP("PCS-OzTL44",ARBOR!$A:$C,3,0)-1,4)))))</f>
        <v/>
      </c>
      <c r="BP77" s="28" t="str">
        <f>IF(ISERROR(IF(BO77="","",VLOOKUP((BC77&amp;BO77&amp;"Template desconto FLAT Plano Principal Oi TV nível conta"),BENEFICIOS!$A:$G,5,0))),"Criar",IF(BO77="","",VLOOKUP((BC77&amp;BO77&amp;"Template desconto FLAT Plano Principal Oi TV nível conta"),BENEFICIOS!$A:$G,5,0)))</f>
        <v/>
      </c>
      <c r="BQ77" s="8"/>
      <c r="BR77" s="3" t="str">
        <f>IF(BQ77=0,"",IF(BQ77=VLOOKUP("PCS-OzTL43",ARBOR!$A:$C,3,0),0.0001,IF(BQ77&gt;VLOOKUP("PCS-OzTL43",ARBOR!$A:$C,3,0),"Maior que CAP!",IF((DOLLAR(BQ77+(VLOOKUP("PCS-OzTL43",ARBOR!$A:$C,3,0)*-TRUNC(BQ77/VLOOKUP("PCS-OzTL43",ARBOR!$A:$C,3,0)-1,4)),6))&lt;&gt;(DOLLAR(VLOOKUP("PCS-OzTL43",ARBOR!$A:$C,3,0),6)),-TRUNC(BQ77/VLOOKUP("PCS-OzTL43",ARBOR!$A:$C,3,0)-1,4)+0.0001,-TRUNC(BQ77/VLOOKUP("PCS-OzTL43",ARBOR!$A:$C,3,0)-1,4)))))</f>
        <v/>
      </c>
      <c r="BS77" s="28" t="str">
        <f>IF(ISERROR(IF(BR77="","",VLOOKUP((BC77&amp;BR77&amp;"Template desconto FLAT Plano Principal Oi TV nível conta"),BENEFICIOS!$A:$G,5,0))),"Criar",IF(BR77="","",VLOOKUP((BC77&amp;BR77&amp;"Template desconto FLAT Plano Principal Oi TV nível conta"),BENEFICIOS!$A:$G,5,0)))</f>
        <v/>
      </c>
      <c r="BT77" s="8"/>
      <c r="BU77" s="3" t="str">
        <f>IF(BT77=0,"",IF(BT77=VLOOKUP("PCS-OzTL45",ARBOR!$A:$C,3,0),0.0001,IF(BT77&gt;VLOOKUP("PCS-OzTL45",ARBOR!$A:$C,3,0),"Maior que CAP!",IF((DOLLAR(BT77+(VLOOKUP("PCS-OzTL45",ARBOR!$A:$C,3,0)*-TRUNC(BT77/VLOOKUP("PCS-OzTL45",ARBOR!$A:$C,3,0)-1,4)),6))&lt;&gt;(DOLLAR(VLOOKUP("PCS-OzTL45",ARBOR!$A:$C,3,0),6)),-TRUNC(BT77/VLOOKUP("PCS-OzTL45",ARBOR!$A:$C,3,0)-1,4)+0.0001,-TRUNC(BT77/VLOOKUP("PCS-OzTL45",ARBOR!$A:$C,3,0)-1,4)))))</f>
        <v/>
      </c>
      <c r="BV77" s="28" t="str">
        <f>IF(ISERROR(IF(BU77="","",VLOOKUP((BC77&amp;BU77&amp;"Template desconto FLAT Plano Principal Oi TV nível conta"),BENEFICIOS!$A:$G,5,0))),"Criar",IF(BU77="","",VLOOKUP((BC77&amp;BU77&amp;"Template desconto FLAT Plano Principal Oi TV nível conta"),BENEFICIOS!$A:$G,5,0)))</f>
        <v/>
      </c>
      <c r="BW77" s="8"/>
      <c r="BX77" s="3" t="str">
        <f>IF(BW77=0,"",IF(BW77=VLOOKUP("PCS-OzTL741",ARBOR!$A:$C,3,0),0.0001,IF(BW77&gt;VLOOKUP("PCS-OzTL741",ARBOR!$A:$C,3,0),"Maior que CAP!",IF((DOLLAR(BW77+(VLOOKUP("PCS-OzTL741",ARBOR!$A:$C,3,0)*-TRUNC(BW77/VLOOKUP("PCS-OzTL741",ARBOR!$A:$C,3,0)-1,4)),6))&lt;&gt;(DOLLAR(VLOOKUP("PCS-OzTL741",ARBOR!$A:$C,3,0),6)),-TRUNC(BW77/VLOOKUP("PCS-OzTL741",ARBOR!$A:$C,3,0)-1,4)+0.0001,-TRUNC(BW77/VLOOKUP("PCS-OzTL741",ARBOR!$A:$C,3,0)-1,4)))))</f>
        <v/>
      </c>
      <c r="BY77" s="28" t="str">
        <f>IF(ISERROR(IF(BX77="","",VLOOKUP((BC77&amp;BX77&amp;"Template desconto FLAT Plano Principal Oi TV nível conta"),BENEFICIOS!$A:$G,5,0))),"Criar",IF(BX77="","",VLOOKUP((BC77&amp;BX77&amp;"Template desconto FLAT Plano Principal Oi TV nível conta"),BENEFICIOS!$A:$G,5,0)))</f>
        <v/>
      </c>
      <c r="BZ77" s="8"/>
      <c r="CA77" s="3" t="str">
        <f>IF(BZ77=0,"",IF(BZ77=VLOOKUP("PCS-OzTL744",ARBOR!$A:$C,3,0),0.0001,IF(BZ77&gt;VLOOKUP("PCS-OzTL744",ARBOR!$A:$C,3,0),"Maior que CAP!",IF((DOLLAR(BZ77+(VLOOKUP("PCS-OzTL744",ARBOR!$A:$C,3,0)*-TRUNC(BZ77/VLOOKUP("PCS-OzTL744",ARBOR!$A:$C,3,0)-1,4)),6))&lt;&gt;(DOLLAR(VLOOKUP("PCS-OzTL744",ARBOR!$A:$C,3,0),6)),-TRUNC(BZ77/VLOOKUP("PCS-OzTL744",ARBOR!$A:$C,3,0)-1,4)+0.0001,-TRUNC(BZ77/VLOOKUP("PCS-OzTL744",ARBOR!$A:$C,3,0)-1,4)))))</f>
        <v/>
      </c>
      <c r="CB77" s="28" t="str">
        <f>IF(ISERROR(IF(CA77="","",VLOOKUP(($BC77&amp;CA77&amp;"Template desconto FLAT Plano Principal Oi TV nível conta"),BENEFICIOS!$A:$G,5,0))),"Criar",IF(CA77="","",VLOOKUP(($BC77&amp;CA77&amp;"Template desconto FLAT Plano Principal Oi TV nível conta"),BENEFICIOS!$A:$G,5,0)))</f>
        <v/>
      </c>
      <c r="CC77" s="8"/>
      <c r="CD77" s="3" t="str">
        <f>IF(CC77=0,"",IF(CC77=VLOOKUP("PCS-OzTL743",ARBOR!$A:$C,3,0),0.0001,IF(CC77&gt;VLOOKUP("PCS-OzTL743",ARBOR!$A:$C,3,0),"Maior que CAP!",IF((DOLLAR(CC77+(VLOOKUP("PCS-OzTL743",ARBOR!$A:$C,3,0)*-TRUNC(CC77/VLOOKUP("PCS-OzTL743",ARBOR!$A:$C,3,0)-1,4)),6))&lt;&gt;(DOLLAR(VLOOKUP("PCS-OzTL743",ARBOR!$A:$C,3,0),6)),-TRUNC(CC77/VLOOKUP("PCS-OzTL743",ARBOR!$A:$C,3,0)-1,4)+0.0001,-TRUNC(CC77/VLOOKUP("PCS-OzTL743",ARBOR!$A:$C,3,0)-1,4)))))</f>
        <v/>
      </c>
      <c r="CE77" s="28" t="str">
        <f>IF(ISERROR(IF(CD77="","",VLOOKUP(($BC77&amp;CD77&amp;"Template desconto FLAT Plano Principal Oi TV nível conta"),BENEFICIOS!$A:$G,5,0))),"Criar",IF(CD77="","",VLOOKUP(($BC77&amp;CD77&amp;"Template desconto FLAT Plano Principal Oi TV nível conta"),BENEFICIOS!$A:$G,5,0)))</f>
        <v/>
      </c>
      <c r="CF77" s="8"/>
      <c r="CG77" s="3" t="str">
        <f>IF(CF77=0,"",IF(CF77=VLOOKUP("PCS-OzTL745",ARBOR!$A:$C,3,0),0.0001,IF(CF77&gt;VLOOKUP("PCS-OzTL745",ARBOR!$A:$C,3,0),"Maior que CAP!",IF((DOLLAR(CF77+(VLOOKUP("PCS-OzTL745",ARBOR!$A:$C,3,0)*-TRUNC(CF77/VLOOKUP("PCS-OzTL745",ARBOR!$A:$C,3,0)-1,4)),6))&lt;&gt;(DOLLAR(VLOOKUP("PCS-OzTL745",ARBOR!$A:$C,3,0),6)),-TRUNC(CF77/VLOOKUP("PCS-OzTL745",ARBOR!$A:$C,3,0)-1,4)+0.0001,-TRUNC(CF77/VLOOKUP("PCS-OzTL745",ARBOR!$A:$C,3,0)-1,4)))))</f>
        <v/>
      </c>
      <c r="CH77" s="28" t="str">
        <f>IF(ISERROR(IF(CG77="","",VLOOKUP(($BC77&amp;CG77&amp;"Template desconto FLAT Plano Principal Oi TV nível conta"),BENEFICIOS!$A:$G,5,0))),"Criar",IF(CG77="","",VLOOKUP(($BC77&amp;CG77&amp;"Template desconto FLAT Plano Principal Oi TV nível conta"),BENEFICIOS!$A:$G,5,0)))</f>
        <v/>
      </c>
      <c r="CI77" s="8"/>
      <c r="CJ77" s="3" t="str">
        <f>IF(CI77=0,"",IF(CI77=VLOOKUP("PCS-OzTL42",ARBOR!$A:$C,3,0),0.0001,IF(CI77&gt;VLOOKUP("PCS-OzTL42",ARBOR!$A:$C,3,0),"Maior que CAP!",IF((DOLLAR(CI77+(VLOOKUP("PCS-OzTL42",ARBOR!$A:$C,3,0)*-TRUNC(CI77/VLOOKUP("PCS-OzTL42",ARBOR!$A:$C,3,0)-1,4)),6))&lt;&gt;(DOLLAR(VLOOKUP("PCS-OzTL42",ARBOR!$A:$C,3,0),6)),-TRUNC(CI77/VLOOKUP("PCS-OzTL42",ARBOR!$A:$C,3,0)-1,4)+0.0001,-TRUNC(CI77/VLOOKUP("PCS-OzTL42",ARBOR!$A:$C,3,0)-1,4)))))</f>
        <v/>
      </c>
      <c r="CK77" s="28" t="str">
        <f>IF(ISERROR(IF(CJ77="","",VLOOKUP(($BC77&amp;CJ77&amp;"Template desconto FLAT Plano Principal Oi TV nível conta"),BENEFICIOS!$A:$G,5,0))),"Criar",IF(CJ77="","",VLOOKUP(($BC77&amp;CJ77&amp;"Template desconto FLAT Plano Principal Oi TV nível conta"),BENEFICIOS!$A:$G,5,0)))</f>
        <v/>
      </c>
      <c r="CL77" s="8"/>
      <c r="CM77" s="3" t="str">
        <f>IF(CL77=0,"",IF(CL77=VLOOKUP("PCS-OzTL47",ARBOR!$A:$C,3,0),0.0001,IF(CL77&gt;VLOOKUP("PCS-OzTL47",ARBOR!$A:$C,3,0),"Maior que CAP!",IF((DOLLAR(CL77+(VLOOKUP("PCS-OzTL47",ARBOR!$A:$C,3,0)*-TRUNC(CL77/VLOOKUP("PCS-OzTL47",ARBOR!$A:$C,3,0)-1,4)),6))&lt;&gt;(DOLLAR(VLOOKUP("PCS-OzTL47",ARBOR!$A:$C,3,0),6)),-TRUNC(CL77/VLOOKUP("PCS-OzTL47",ARBOR!$A:$C,3,0)-1,4)+0.0001,-TRUNC(CL77/VLOOKUP("PCS-OzTL47",ARBOR!$A:$C,3,0)-1,4)))))</f>
        <v/>
      </c>
      <c r="CN77" s="28" t="str">
        <f>IF(ISERROR(IF(CM77="","",VLOOKUP(($BC77&amp;CM77&amp;"Template desconto FLAT Plano Principal Oi TV nível conta"),BENEFICIOS!$A:$G,5,0))),"Criar",IF(CM77="","",VLOOKUP(($BC77&amp;CM77&amp;"Template desconto FLAT Plano Principal Oi TV nível conta"),BENEFICIOS!$A:$G,5,0)))</f>
        <v/>
      </c>
      <c r="CO77" s="8"/>
      <c r="CP77" s="3" t="str">
        <f>IF(CO77=0,"",IF(CO77=VLOOKUP("PCS-OzTL46",ARBOR!$A:$C,3,0),0.0001,IF(CO77&gt;VLOOKUP("PCS-OzTL46",ARBOR!$A:$C,3,0),"Maior que CAP!",IF((DOLLAR(CO77+(VLOOKUP("PCS-OzTL46",ARBOR!$A:$C,3,0)*-TRUNC(CO77/VLOOKUP("PCS-OzTL46",ARBOR!$A:$C,3,0)-1,4)),6))&lt;&gt;(DOLLAR(VLOOKUP("PCS-OzTL46",ARBOR!$A:$C,3,0),6)),-TRUNC(CO77/VLOOKUP("PCS-OzTL46",ARBOR!$A:$C,3,0)-1,4)+0.0001,-TRUNC(CO77/VLOOKUP("PCS-OzTL46",ARBOR!$A:$C,3,0)-1,4)))))</f>
        <v/>
      </c>
      <c r="CQ77" s="28" t="str">
        <f>IF(ISERROR(IF(CP77="","",VLOOKUP(($BC77&amp;CP77&amp;"Template desconto FLAT Plano Principal Oi TV nível conta"),BENEFICIOS!$A:$G,5,0))),"Criar",IF(CP77="","",VLOOKUP(($BC77&amp;CP77&amp;"Template desconto FLAT Plano Principal Oi TV nível conta"),BENEFICIOS!$A:$G,5,0)))</f>
        <v/>
      </c>
      <c r="CR77" s="8"/>
      <c r="CS77" s="3" t="str">
        <f>IF(CR77=0,"",IF(CR77=VLOOKUP("PCS-OzTL48",ARBOR!$A:$C,3,0),0.0001,IF(CR77&gt;VLOOKUP("PCS-OzTL48",ARBOR!$A:$C,3,0),"Maior que CAP!",IF((DOLLAR(CR77+(VLOOKUP("PCS-OzTL48",ARBOR!$A:$C,3,0)*-TRUNC(CR77/VLOOKUP("PCS-OzTL48",ARBOR!$A:$C,3,0)-1,4)),6))&lt;&gt;(DOLLAR(VLOOKUP("PCS-OzTL48",ARBOR!$A:$C,3,0),6)),-TRUNC(CR77/VLOOKUP("PCS-OzTL48",ARBOR!$A:$C,3,0)-1,4)+0.0001,-TRUNC(CR77/VLOOKUP("PCS-OzTL48",ARBOR!$A:$C,3,0)-1,4)))))</f>
        <v/>
      </c>
      <c r="CT77" s="28" t="str">
        <f>IF(ISERROR(IF(CS77="","",VLOOKUP(($BC77&amp;CS77&amp;"Template desconto FLAT Plano Principal Oi TV nível conta"),BENEFICIOS!$A:$G,5,0))),"Criar",IF(CS77="","",VLOOKUP(($BC77&amp;CS77&amp;"Template desconto FLAT Plano Principal Oi TV nível conta"),BENEFICIOS!$A:$G,5,0)))</f>
        <v/>
      </c>
      <c r="CU77" s="8"/>
      <c r="CV77" s="3" t="str">
        <f>IF(CU77=0,"",IF(CU77=VLOOKUP("PCS-OzTL742",ARBOR!$A:$C,3,0),0.0001,IF(CU77&gt;VLOOKUP("PCS-OzTL742",ARBOR!$A:$C,3,0),"Maior que CAP!",IF((DOLLAR(CU77+(VLOOKUP("PCS-OzTL742",ARBOR!$A:$C,3,0)*-TRUNC(CU77/VLOOKUP("PCS-OzTL742",ARBOR!$A:$C,3,0)-1,4)),6))&lt;&gt;(DOLLAR(VLOOKUP("PCS-OzTL742",ARBOR!$A:$C,3,0),6)),-TRUNC(CU77/VLOOKUP("PCS-OzTL742",ARBOR!$A:$C,3,0)-1,4)+0.0001,-TRUNC(CU77/VLOOKUP("PCS-OzTL742",ARBOR!$A:$C,3,0)-1,4)))))</f>
        <v/>
      </c>
      <c r="CW77" s="28" t="str">
        <f>IF(ISERROR(IF(CV77="","",VLOOKUP(($BC77&amp;CV77&amp;"Template desconto FLAT Plano Principal Oi TV nível conta"),BENEFICIOS!$A:$G,5,0))),"Criar",IF(CV77="","",VLOOKUP(($BC77&amp;CV77&amp;"Template desconto FLAT Plano Principal Oi TV nível conta"),BENEFICIOS!$A:$G,5,0)))</f>
        <v/>
      </c>
      <c r="CX77" s="8"/>
      <c r="CY77" s="3" t="str">
        <f>IF(CX77=0,"",IF(CX77=VLOOKUP("PCS-OzTL747",ARBOR!$A:$C,3,0),0.0001,IF(CX77&gt;VLOOKUP("PCS-OzTL747",ARBOR!$A:$C,3,0),"Maior que CAP!",IF((DOLLAR(CX77+(VLOOKUP("PCS-OzTL747",ARBOR!$A:$C,3,0)*-TRUNC(CX77/VLOOKUP("PCS-OzTL747",ARBOR!$A:$C,3,0)-1,4)),6))&lt;&gt;(DOLLAR(VLOOKUP("PCS-OzTL747",ARBOR!$A:$C,3,0),6)),-TRUNC(CX77/VLOOKUP("PCS-OzTL747",ARBOR!$A:$C,3,0)-1,4)+0.0001,-TRUNC(CX77/VLOOKUP("PCS-OzTL747",ARBOR!$A:$C,3,0)-1,4)))))</f>
        <v/>
      </c>
      <c r="CZ77" s="28" t="str">
        <f>IF(ISERROR(IF(CY77="","",VLOOKUP(($BC77&amp;CY77&amp;"Template desconto FLAT Plano Principal Oi TV nível conta"),BENEFICIOS!$A:$G,5,0))),"Criar",IF(CY77="","",VLOOKUP(($BC77&amp;CY77&amp;"Template desconto FLAT Plano Principal Oi TV nível conta"),BENEFICIOS!$A:$G,5,0)))</f>
        <v/>
      </c>
      <c r="DA77" s="8"/>
      <c r="DB77" s="3" t="str">
        <f>IF(DA77=0,"",IF(DA77=VLOOKUP("PCS-OzTL746",ARBOR!$A:$C,3,0),0.0001,IF(DA77&gt;VLOOKUP("PCS-OzTL746",ARBOR!$A:$C,3,0),"Maior que CAP!",IF((DOLLAR(DA77+(VLOOKUP("PCS-OzTL746",ARBOR!$A:$C,3,0)*-TRUNC(DA77/VLOOKUP("PCS-OzTL746",ARBOR!$A:$C,3,0)-1,4)),6))&lt;&gt;(DOLLAR(VLOOKUP("PCS-OzTL746",ARBOR!$A:$C,3,0),6)),-TRUNC(DA77/VLOOKUP("PCS-OzTL746",ARBOR!$A:$C,3,0)-1,4)+0.0001,-TRUNC(DA77/VLOOKUP("PCS-OzTL746",ARBOR!$A:$C,3,0)-1,4)))))</f>
        <v/>
      </c>
      <c r="DC77" s="28" t="str">
        <f>IF(ISERROR(IF(DB77="","",VLOOKUP(($BC77&amp;DB77&amp;"Template desconto FLAT Plano Principal Oi TV nível conta"),BENEFICIOS!$A:$G,5,0))),"Criar",IF(DB77="","",VLOOKUP(($BC77&amp;DB77&amp;"Template desconto FLAT Plano Principal Oi TV nível conta"),BENEFICIOS!$A:$G,5,0)))</f>
        <v/>
      </c>
      <c r="DD77" s="8"/>
      <c r="DE77" s="3" t="str">
        <f>IF(DD77=0,"",IF(DD77=VLOOKUP("PCS-OzTL748",ARBOR!$A:$C,3,0),0.0001,IF(DD77&gt;VLOOKUP("PCS-OzTL748",ARBOR!$A:$C,3,0),"Maior que CAP!",IF((DOLLAR(DD77+(VLOOKUP("PCS-OzTL748",ARBOR!$A:$C,3,0)*-TRUNC(DD77/VLOOKUP("PCS-OzTL748",ARBOR!$A:$C,3,0)-1,4)),6))&lt;&gt;(DOLLAR(VLOOKUP("PCS-OzTL748",ARBOR!$A:$C,3,0),6)),-TRUNC(DD77/VLOOKUP("PCS-OzTL748",ARBOR!$A:$C,3,0)-1,4)+0.0001,-TRUNC(DD77/VLOOKUP("PCS-OzTL748",ARBOR!$A:$C,3,0)-1,4)))))</f>
        <v/>
      </c>
      <c r="DF77" s="28" t="str">
        <f>IF(ISERROR(IF(DE77="","",VLOOKUP(($BC77&amp;DE77&amp;"Template desconto FLAT Plano Principal Oi TV nível conta"),BENEFICIOS!$A:$G,5,0))),"Criar",IF(DE77="","",VLOOKUP(($BC77&amp;DE77&amp;"Template desconto FLAT Plano Principal Oi TV nível conta"),BENEFICIOS!$A:$G,5,0)))</f>
        <v/>
      </c>
      <c r="DG77" s="8"/>
      <c r="DH77" s="3" t="str">
        <f>IF(DG77=0,"",IF(DG77=VLOOKUP("PCS-OzTL34",ARBOR!$A:$C,3,0),0.0001,IF(DG77&gt;VLOOKUP("PCS-OzTL34",ARBOR!$A:$C,3,0),"Maior que CAP!",IF((DOLLAR(DG77+(VLOOKUP("PCS-OzTL34",ARBOR!$A:$C,3,0)*-TRUNC(DG77/VLOOKUP("PCS-OzTL34",ARBOR!$A:$C,3,0)-1,4)),6))&lt;&gt;(DOLLAR(VLOOKUP("PCS-OzTL34",ARBOR!$A:$C,3,0),6)),-TRUNC(DG77/VLOOKUP("PCS-OzTL34",ARBOR!$A:$C,3,0)-1,4)+0.0001,-TRUNC(DG77/VLOOKUP("PCS-OzTL34",ARBOR!$A:$C,3,0)-1,4)))))</f>
        <v/>
      </c>
      <c r="DI77" s="28" t="str">
        <f>IF(DH77="S/Desc","S/Desc",IF(ISERROR(IF(DH77="","",VLOOKUP(($BC77&amp;DH77&amp;"Template desconto % Combate nível conta"),BENEFICIOS!$A:$G,5,0))),"Criar",IF(DH77="","",VLOOKUP(($BC77&amp;DH77&amp;"Template desconto % Combate nível conta"),BENEFICIOS!$A:$G,5,0))))</f>
        <v/>
      </c>
      <c r="DJ77" s="8"/>
      <c r="DK77" s="3" t="str">
        <f>IF(DJ77=0,"",IF(DJ77=VLOOKUP("PCS-OzTL31",ARBOR!$A:$C,3,0),0.0001,IF(DJ77&gt;VLOOKUP("PCS-OzTL31",ARBOR!$A:$C,3,0),"Maior que CAP!",IF((DOLLAR(DJ77+(VLOOKUP("PCS-OzTL31",ARBOR!$A:$C,3,0)*-TRUNC(DJ77/VLOOKUP("PCS-OzTL31",ARBOR!$A:$C,3,0)-1,4)),6))&lt;&gt;(DOLLAR(VLOOKUP("PCS-OzTL31",ARBOR!$A:$C,3,0),6)),-TRUNC(DJ77/VLOOKUP("PCS-OzTL31",ARBOR!$A:$C,3,0)-1,4)+0.0001,-TRUNC(DJ77/VLOOKUP("PCS-OzTL31",ARBOR!$A:$C,3,0)-1,4)))))</f>
        <v/>
      </c>
      <c r="DL77" s="28" t="str">
        <f>IF(DK77="S/Desc","S/Desc",IF(ISERROR(IF(DK77="","",VLOOKUP(($BC77&amp;DK77&amp;"Template desconto % Sexy Hot nível conta"),BENEFICIOS!$A:$G,5,0))),"Criar",IF(DK77="","",VLOOKUP(($BC77&amp;DK77&amp;"Template desconto % Sexy Hot nível conta"),BENEFICIOS!$A:$G,5,0))))</f>
        <v/>
      </c>
      <c r="DM77" s="8"/>
      <c r="DN77" s="3" t="str">
        <f>IF(DM77=0,"",IF(DM77=VLOOKUP("PCS-OzTL32",ARBOR!$A:$C,3,0),0.0001,IF(DM77&gt;VLOOKUP("PCS-OzTL32",ARBOR!$A:$C,3,0),"Maior que CAP!",IF((DOLLAR(DM77+(VLOOKUP("PCS-OzTL32",ARBOR!$A:$C,3,0)*-TRUNC(DM77/VLOOKUP("PCS-OzTL32",ARBOR!$A:$C,3,0)-1,4)),6))&lt;&gt;(DOLLAR(VLOOKUP("PCS-OzTL32",ARBOR!$A:$C,3,0),6)),-TRUNC(DM77/VLOOKUP("PCS-OzTL32",ARBOR!$A:$C,3,0)-1,4)+0.0001,-TRUNC(DM77/VLOOKUP("PCS-OzTL32",ARBOR!$A:$C,3,0)-1,4)))))</f>
        <v/>
      </c>
      <c r="DO77" s="28" t="str">
        <f>IF(DN77="S/Desc","S/Desc",IF(ISERROR(IF(DN77="","",VLOOKUP(($BC77&amp;DN77&amp;"Template desconto % Playboy nível conta"),BENEFICIOS!$A:$G,5,0))),"Criar",IF(DN77="","",VLOOKUP(($BC77&amp;DN77&amp;"Template desconto % Playboy nível conta"),BENEFICIOS!$A:$G,5,0))))</f>
        <v/>
      </c>
      <c r="DP77" s="8"/>
      <c r="DQ77" s="3" t="str">
        <f>IF(DP77=0,"",IF(DP77=VLOOKUP("PCS-OzTL33",ARBOR!$A:$C,3,0),0.0001,IF(DP77&gt;VLOOKUP("PCS-OzTL33",ARBOR!$A:$C,3,0),"Maior que CAP!",IF((DOLLAR(DP77+(VLOOKUP("PCS-OzTL33",ARBOR!$A:$C,3,0)*-TRUNC(DP77/VLOOKUP("PCS-OzTL33",ARBOR!$A:$C,3,0)-1,4)),6))&lt;&gt;(DOLLAR(VLOOKUP("PCS-OzTL33",ARBOR!$A:$C,3,0),6)),-TRUNC(DP77/VLOOKUP("PCS-OzTL33",ARBOR!$A:$C,3,0)-1,4)+0.0001,-TRUNC(DP77/VLOOKUP("PCS-OzTL33",ARBOR!$A:$C,3,0)-1,4)))))</f>
        <v/>
      </c>
      <c r="DR77" s="28" t="str">
        <f>IF(DQ77="S/Desc","S/Desc",IF(ISERROR(IF(DQ77="","",VLOOKUP(($BC77&amp;DQ77&amp;"Template desconto % Sexy Hot + Playboy nível conta"),BENEFICIOS!$A:$G,5,0))),"Criar",IF(DQ77="","",VLOOKUP(($BC77&amp;DQ77&amp;"Template desconto % Sexy Hot + Playboy nível conta"),BENEFICIOS!$A:$G,5,0))))</f>
        <v/>
      </c>
      <c r="DS77" s="8"/>
      <c r="DT77" s="3" t="str">
        <f>IF(DS77=0,"",IF(DS77=VLOOKUP("PCS-OzTL503",ARBOR!$A:$C,3,0),0.0001,IF(DS77&gt;VLOOKUP("PCS-OzTL503",ARBOR!$A:$C,3,0),"Maior que CAP!",IF((DOLLAR(DS77+(VLOOKUP("PCS-OzTL503",ARBOR!$A:$C,3,0)*-TRUNC(DS77/VLOOKUP("PCS-OzTL503",ARBOR!$A:$C,3,0)-1,4)),6))&lt;&gt;(DOLLAR(VLOOKUP("PCS-OzTL503",ARBOR!$A:$C,3,0),6)),-TRUNC(DS77/VLOOKUP("PCS-OzTL503",ARBOR!$A:$C,3,0)-1,4)+0.0001,-TRUNC(DS77/VLOOKUP("PCS-OzTL503",ARBOR!$A:$C,3,0)-1,4)))))</f>
        <v/>
      </c>
      <c r="DU77" s="28" t="str">
        <f>IF(DT77="S/Desc","S/Desc",IF(ISERROR(IF(DT77="","",VLOOKUP(($BC77&amp;DT77&amp;"Template desconto % SexPrivê nível conta"),BENEFICIOS!$A:$G,5,0))),"Criar",IF(DT77="","",VLOOKUP(($BC77&amp;DT77&amp;"Template desconto % SexPrivê nível conta"),BENEFICIOS!$A:$G,5,0))))</f>
        <v/>
      </c>
      <c r="DV77" s="8"/>
      <c r="DW77" s="3" t="str">
        <f>IF(DV77=0,"",IF(DV77=VLOOKUP("PCS-OzTL500",ARBOR!$A:$C,3,0),0.0001,IF(DV77&gt;VLOOKUP("PCS-OzTL500",ARBOR!$A:$C,3,0),"Maior que CAP!",IF((DOLLAR(DV77+(VLOOKUP("PCS-OzTL500",ARBOR!$A:$C,3,0)*-TRUNC(DV77/VLOOKUP("PCS-OzTL500",ARBOR!$A:$C,3,0)-1,4)),6))&lt;&gt;(DOLLAR(VLOOKUP("PCS-OzTL500",ARBOR!$A:$C,3,0),6)),-TRUNC(DV77/VLOOKUP("PCS-OzTL500",ARBOR!$A:$C,3,0)-1,4)+0.0001,-TRUNC(DV77/VLOOKUP("PCS-OzTL500",ARBOR!$A:$C,3,0)-1,4)))))</f>
        <v/>
      </c>
      <c r="DX77" s="28" t="str">
        <f>IF(DW77="S/Desc","S/Desc",IF(ISERROR(IF(DW77="","",VLOOKUP(($BC77&amp;DW77&amp;"Template desconto % Étnico nível conta"),BENEFICIOS!$A:$G,5,0))),"Criar",IF(DW77="","",VLOOKUP(($BC77&amp;DW77&amp;"Template desconto % Étnico nível conta"),BENEFICIOS!$A:$G,5,0))))</f>
        <v/>
      </c>
      <c r="DY77" s="8"/>
      <c r="DZ77" s="181" t="str">
        <f>IF(DY77=0,"",IF(DY77=VLOOKUP("PCS-OzTL50",ARBOR!$A:$C,3,0),0.0001,IF(DY77&gt;VLOOKUP("PCS-OzTL50",ARBOR!$A:$C,3,0),"Maior que CAP!",IF((DOLLAR(DY77+(VLOOKUP("PCS-OzTL50",ARBOR!$A:$C,3,0)*-TRUNC(DY77/VLOOKUP("PCS-OzTL50",ARBOR!$A:$C,3,0)-1,4)),6))&lt;&gt;(DOLLAR(VLOOKUP("PCS-OzTL50",ARBOR!$A:$C,3,0),6)),-TRUNC(DY77/VLOOKUP("PCS-OzTL50",ARBOR!$A:$C,3,0)-1,4)+0.0001,-TRUNC(DY77/VLOOKUP("PCS-OzTL50",ARBOR!$A:$C,3,0)-1,4)))))</f>
        <v/>
      </c>
      <c r="EA77" s="28"/>
      <c r="EB77" s="8"/>
      <c r="EC77" s="181" t="str">
        <f>IF(EB77=0,"",IF(EB77=VLOOKUP("PCS-OzTL51",ARBOR!$A:$C,3,0),0.0001,IF(EB77&gt;VLOOKUP("PCS-OzTL51",ARBOR!$A:$C,3,0),"Maior que CAP!",IF((DOLLAR(EB77+(VLOOKUP("PCS-OzTL51",ARBOR!$A:$C,3,0)*-TRUNC(EB77/VLOOKUP("PCS-OzTL51",ARBOR!$A:$C,3,0)-1,4)),6))&lt;&gt;(DOLLAR(VLOOKUP("PCS-OzTL51",ARBOR!$A:$C,3,0),6)),-TRUNC(EB77/VLOOKUP("PCS-OzTL51",ARBOR!$A:$C,3,0)-1,4)+0.0001,-TRUNC(EB77/VLOOKUP("PCS-OzTL51",ARBOR!$A:$C,3,0)-1,4)))))</f>
        <v/>
      </c>
      <c r="ED77" s="28"/>
      <c r="EE77" s="8"/>
      <c r="EF77" s="181" t="str">
        <f>IF(EE77=0,"",IF(EE77=VLOOKUP("PCS-OzTL52",ARBOR!$A:$C,3,0),0.0001,IF(EE77&gt;VLOOKUP("PCS-OzTL52",ARBOR!$A:$C,3,0),"Maior que CAP!",IF((DOLLAR(EE77+(VLOOKUP("PCS-OzTL52",ARBOR!$A:$C,3,0)*-TRUNC(EE77/VLOOKUP("PCS-OzTL52",ARBOR!$A:$C,3,0)-1,4)),6))&lt;&gt;(DOLLAR(VLOOKUP("PCS-OzTL52",ARBOR!$A:$C,3,0),6)),-TRUNC(EE77/VLOOKUP("PCS-OzTL52",ARBOR!$A:$C,3,0)-1,4)+0.0001,-TRUNC(EE77/VLOOKUP("PCS-OzTL52",ARBOR!$A:$C,3,0)-1,4)))))</f>
        <v/>
      </c>
      <c r="EG77" s="28"/>
      <c r="EH77" s="8"/>
      <c r="EI77" s="181" t="str">
        <f>IF(EH77=0,"",IF(EH77=VLOOKUP("PCS-OzTL53",ARBOR!$A:$C,3,0),0.0001,IF(EH77&gt;VLOOKUP("PCS-OzTL53",ARBOR!$A:$C,3,0),"Maior que CAP!",IF((DOLLAR(EH77+(VLOOKUP("PCS-OzTL53",ARBOR!$A:$C,3,0)*-TRUNC(EH77/VLOOKUP("PCS-OzTL53",ARBOR!$A:$C,3,0)-1,4)),6))&lt;&gt;(DOLLAR(VLOOKUP("PCS-OzTL53",ARBOR!$A:$C,3,0),6)),-TRUNC(EH77/VLOOKUP("PCS-OzTL53",ARBOR!$A:$C,3,0)-1,4)+0.0001,-TRUNC(EH77/VLOOKUP("PCS-OzTL53",ARBOR!$A:$C,3,0)-1,4)))))</f>
        <v/>
      </c>
      <c r="EJ77" s="28"/>
      <c r="EK77" s="8"/>
      <c r="EL77" s="181" t="str">
        <f>IF(EK77=0,"",IF(EK77=VLOOKUP("PCS-OzTL54",ARBOR!$A:$C,3,0),0.0001,IF(EK77&gt;VLOOKUP("PCS-OzTL54",ARBOR!$A:$C,3,0),"Maior que CAP!",IF((DOLLAR(EK77+(VLOOKUP("PCS-OzTL54",ARBOR!$A:$C,3,0)*-TRUNC(EK77/VLOOKUP("PCS-OzTL54",ARBOR!$A:$C,3,0)-1,4)),6))&lt;&gt;(DOLLAR(VLOOKUP("PCS-OzTL54",ARBOR!$A:$C,3,0),6)),-TRUNC(EK77/VLOOKUP("PCS-OzTL54",ARBOR!$A:$C,3,0)-1,4)+0.0001,-TRUNC(EK77/VLOOKUP("PCS-OzTL54",ARBOR!$A:$C,3,0)-1,4)))))</f>
        <v/>
      </c>
      <c r="EM77" s="28"/>
      <c r="EN77" s="8"/>
      <c r="EO77" s="3" t="str">
        <f>IF(EN77=0,"",IF(EN77=VLOOKUP("PCS-OzTL99",ARBOR!$A:$C,3,0),0.0001,IF(EN77&gt;VLOOKUP("PCS-OzTL99",ARBOR!$A:$C,3,0),"Maior que CAP!",IF((DOLLAR(EN77+(VLOOKUP("PCS-OzTL99",ARBOR!$A:$C,3,0)*-TRUNC(EN77/VLOOKUP("PCS-OzTL99",ARBOR!$A:$C,3,0)-1,4)),6))&lt;&gt;(DOLLAR(VLOOKUP("PCS-OzTL99",ARBOR!$A:$C,3,0),6)),-TRUNC(EN77/VLOOKUP("PCS-OzTL99",ARBOR!$A:$C,3,0)-1,4)+0.0001,-TRUNC(EN77/VLOOKUP("PCS-OzTL99",ARBOR!$A:$C,3,0)-1,4)))))</f>
        <v/>
      </c>
      <c r="EP77" s="28" t="str">
        <f>IF(EO77="S/Desc","S/Desc",IF(ISERROR(IF(EO77="","",VLOOKUP(($BC77&amp;EO77&amp;"Template desconto % Ponto adicional nível conta"),BENEFICIOS!$A:$G,5,0))),"Criar",IF(EO77="","",VLOOKUP(($BC77&amp;EO77&amp;"Template desconto % Ponto adicional nível conta"),BENEFICIOS!$A:$G,5,0))))</f>
        <v/>
      </c>
      <c r="EQ77" s="8"/>
      <c r="ER77" s="28" t="str">
        <f t="shared" si="23"/>
        <v/>
      </c>
      <c r="ES77" s="62"/>
      <c r="ET77" s="126"/>
      <c r="EU77" s="127"/>
      <c r="EV77" s="126"/>
      <c r="EW77" s="128" t="str">
        <f t="shared" si="24"/>
        <v/>
      </c>
      <c r="EX77" s="129" t="str">
        <f t="shared" si="25"/>
        <v/>
      </c>
      <c r="EY77" s="91" t="str">
        <f t="shared" si="26"/>
        <v/>
      </c>
      <c r="EZ77" s="85"/>
      <c r="FA77" s="97"/>
      <c r="FB77" s="91"/>
      <c r="FC77" s="85"/>
      <c r="FD77" s="97"/>
      <c r="FE77" s="91"/>
      <c r="FF77" s="87"/>
      <c r="FG77" s="144" t="str">
        <f t="shared" si="27"/>
        <v/>
      </c>
      <c r="FH77" s="144" t="str">
        <f t="shared" si="28"/>
        <v/>
      </c>
      <c r="FI77" s="144" t="str">
        <f t="shared" si="29"/>
        <v/>
      </c>
      <c r="FJ77" s="144" t="str">
        <f t="shared" si="30"/>
        <v/>
      </c>
      <c r="FK77" s="144" t="str">
        <f t="shared" si="31"/>
        <v/>
      </c>
      <c r="FL77" s="144" t="str">
        <f t="shared" si="32"/>
        <v/>
      </c>
      <c r="FM77" s="144" t="str">
        <f t="shared" si="33"/>
        <v/>
      </c>
      <c r="FN77" s="144" t="str">
        <f t="shared" si="34"/>
        <v/>
      </c>
      <c r="FO77" s="144" t="str">
        <f t="shared" si="35"/>
        <v/>
      </c>
      <c r="FP77" s="144" t="str">
        <f t="shared" si="36"/>
        <v/>
      </c>
      <c r="FQ77" s="144" t="str">
        <f t="shared" si="37"/>
        <v/>
      </c>
      <c r="FR77" s="144" t="str">
        <f t="shared" si="38"/>
        <v/>
      </c>
      <c r="FS77" s="144" t="str">
        <f t="shared" si="39"/>
        <v/>
      </c>
      <c r="FT77" s="144" t="str">
        <f t="shared" si="40"/>
        <v/>
      </c>
      <c r="FU77" s="144" t="str">
        <f t="shared" si="41"/>
        <v/>
      </c>
      <c r="FV77" s="144" t="str">
        <f t="shared" si="42"/>
        <v/>
      </c>
      <c r="FW77" s="144" t="str">
        <f t="shared" si="43"/>
        <v/>
      </c>
      <c r="FX77" s="151"/>
      <c r="FY77" s="152"/>
      <c r="FZ77" s="152"/>
      <c r="GA77" s="152"/>
      <c r="GB77" s="152"/>
      <c r="GC77" s="152"/>
      <c r="GD77" s="152"/>
      <c r="GE77" s="152"/>
      <c r="GF77" s="152"/>
      <c r="GG77" s="153"/>
    </row>
    <row r="78" spans="1:189">
      <c r="A78" s="45"/>
      <c r="B78" s="133"/>
      <c r="C78" s="133"/>
      <c r="D78" s="46"/>
      <c r="E78" s="4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9"/>
      <c r="U78" s="48"/>
      <c r="V78" s="49"/>
      <c r="W78" s="48"/>
      <c r="X78" s="48"/>
      <c r="Y78" s="48"/>
      <c r="Z78" s="48"/>
      <c r="AA78" s="49"/>
      <c r="AB78" s="48"/>
      <c r="AC78" s="50"/>
      <c r="AD78" s="48"/>
      <c r="AE78" s="48"/>
      <c r="AF78" s="48"/>
      <c r="AG78" s="48"/>
      <c r="AH78" s="48"/>
      <c r="AI78" s="48"/>
      <c r="AJ78" s="48"/>
      <c r="AK78" s="48"/>
      <c r="AL78" s="51"/>
      <c r="AM78" s="37"/>
      <c r="AN78" s="38"/>
      <c r="AO78" s="39"/>
      <c r="AP78" s="52"/>
      <c r="AQ78" s="53"/>
      <c r="AR78" s="64"/>
      <c r="AS78" s="65"/>
      <c r="AT78" s="54"/>
      <c r="AU78" s="54"/>
      <c r="AV78" s="54"/>
      <c r="AW78" s="54"/>
      <c r="AX78" s="70"/>
      <c r="AY78" s="71"/>
      <c r="AZ78" s="72"/>
      <c r="BA78" s="73"/>
      <c r="BB78" s="55"/>
      <c r="BC78" s="56"/>
      <c r="BD78" s="27" t="str">
        <f t="shared" si="22"/>
        <v/>
      </c>
      <c r="BE78" s="58"/>
      <c r="BF78" s="3" t="str">
        <f>IF(BE78=0,"",IF(BE78=VLOOKUP("FIXO",ARBOR!$A:$C,3,0),0.0001,IF(BE78&gt;VLOOKUP("FIXO",ARBOR!$A:$C,3,0),"Maior que CAP!",IF((DOLLAR(BE78+(VLOOKUP("FIXO",ARBOR!$A:$C,3,0)*-TRUNC(BE78/VLOOKUP("FIXO",ARBOR!$A:$C,3,0)-1,4)),6))&lt;&gt;(DOLLAR(VLOOKUP("FIXO",ARBOR!$A:$C,3,0),6)),-TRUNC(BE78/VLOOKUP("FIXO",ARBOR!$A:$C,3,0)-1,4)+0.0001,-TRUNC(BE78/VLOOKUP("FIXO",ARBOR!$A:$C,3,0)-1,4)))))</f>
        <v/>
      </c>
      <c r="BG78" s="10" t="str">
        <f>IF(ISERROR(IF(BF78="","",VLOOKUP(($BC78&amp;BF78&amp;"Template de desconto FLAT bundle - Fixo - Varejo - Ganho Tributário Cross"),BENEFICIOS!$A:$G,5,0))),"Criar",IF(BF78="","",VLOOKUP(($BC78&amp;BF78&amp;"Template de desconto FLAT bundle - Fixo - Varejo - Ganho Tributário Cross"),BENEFICIOS!$A:$G,5,0)))</f>
        <v/>
      </c>
      <c r="BH78" s="8"/>
      <c r="BI78" s="3" t="str">
        <f>IF(BH78=0,"",IF(BH78=VLOOKUP("PCS-OzTL40",ARBOR!$A:$C,3,0),0.0001,IF(BH78&gt;VLOOKUP("PCS-OzTL40",ARBOR!$A:$C,3,0),"Maior que CAP!",IF((DOLLAR(BH78+(VLOOKUP("PCS-OzTL40",ARBOR!$A:$C,3,0)*-TRUNC(BH78/VLOOKUP("PCS-OzTL40",ARBOR!$A:$C,3,0)-1,4)),6))&lt;&gt;(DOLLAR(VLOOKUP("PCS-OzTL40",ARBOR!$A:$C,3,0),6)),-TRUNC(BH78/VLOOKUP("PCS-OzTL40",ARBOR!$A:$C,3,0)-1,4)+0.0001,-TRUNC(BH78/VLOOKUP("PCS-OzTL40",ARBOR!$A:$C,3,0)-1,4)))))</f>
        <v/>
      </c>
      <c r="BJ78" s="10" t="str">
        <f>IF(ISERROR(IF(BI78="","",VLOOKUP((BC78&amp;BI78&amp;"Template desconto FLAT Plano Principal Oi TV nível conta"),BENEFICIOS!$A:$G,5,0))),"Criar",IF(BI78="","",VLOOKUP((BC78&amp;BI78&amp;"Template desconto FLAT Plano Principal Oi TV nível conta"),BENEFICIOS!$A:$G,5,0)))</f>
        <v/>
      </c>
      <c r="BK78" s="8"/>
      <c r="BL78" s="3" t="str">
        <f>IF(BK78=0,"",IF(BK78=VLOOKUP("PCS-OzTL41",ARBOR!$A:$C,3,0),0.0001,IF(BK78&gt;VLOOKUP("PCS-OzTL41",ARBOR!$A:$C,3,0),"Maior que CAP!",IF((DOLLAR(BK78+(VLOOKUP("PCS-OzTL41",ARBOR!$A:$C,3,0)*-TRUNC(BK78/VLOOKUP("PCS-OzTL41",ARBOR!$A:$C,3,0)-1,4)),6))&lt;&gt;(DOLLAR(VLOOKUP("PCS-OzTL41",ARBOR!$A:$C,3,0),6)),-TRUNC(BK78/VLOOKUP("PCS-OzTL41",ARBOR!$A:$C,3,0)-1,4)+0.0001,-TRUNC(BK78/VLOOKUP("PCS-OzTL41",ARBOR!$A:$C,3,0)-1,4)))))</f>
        <v/>
      </c>
      <c r="BM78" s="28" t="str">
        <f>IF(ISERROR(IF(BL78="","",VLOOKUP((BC78&amp;BL78&amp;"Template desconto FLAT Plano Principal Oi TV nível conta"),BENEFICIOS!$A:$G,5,0))),"Criar",IF(BL78="","",VLOOKUP((BC78&amp;BL78&amp;"Template desconto FLAT Plano Principal Oi TV nível conta"),BENEFICIOS!$A:$G,5,0)))</f>
        <v/>
      </c>
      <c r="BN78" s="8"/>
      <c r="BO78" s="3" t="str">
        <f>IF(BN78=0,"",IF(BN78=VLOOKUP("PCS-OzTL44",ARBOR!$A:$C,3,0),0.0001,IF(BN78&gt;VLOOKUP("PCS-OzTL44",ARBOR!$A:$C,3,0),"Maior que CAP!",IF((DOLLAR(BN78+(VLOOKUP("PCS-OzTL44",ARBOR!$A:$C,3,0)*-TRUNC(BN78/VLOOKUP("PCS-OzTL44",ARBOR!$A:$C,3,0)-1,4)),6))&lt;&gt;(DOLLAR(VLOOKUP("PCS-OzTL44",ARBOR!$A:$C,3,0),6)),-TRUNC(BN78/VLOOKUP("PCS-OzTL44",ARBOR!$A:$C,3,0)-1,4)+0.0001,-TRUNC(BN78/VLOOKUP("PCS-OzTL44",ARBOR!$A:$C,3,0)-1,4)))))</f>
        <v/>
      </c>
      <c r="BP78" s="28" t="str">
        <f>IF(ISERROR(IF(BO78="","",VLOOKUP((BC78&amp;BO78&amp;"Template desconto FLAT Plano Principal Oi TV nível conta"),BENEFICIOS!$A:$G,5,0))),"Criar",IF(BO78="","",VLOOKUP((BC78&amp;BO78&amp;"Template desconto FLAT Plano Principal Oi TV nível conta"),BENEFICIOS!$A:$G,5,0)))</f>
        <v/>
      </c>
      <c r="BQ78" s="8"/>
      <c r="BR78" s="3" t="str">
        <f>IF(BQ78=0,"",IF(BQ78=VLOOKUP("PCS-OzTL43",ARBOR!$A:$C,3,0),0.0001,IF(BQ78&gt;VLOOKUP("PCS-OzTL43",ARBOR!$A:$C,3,0),"Maior que CAP!",IF((DOLLAR(BQ78+(VLOOKUP("PCS-OzTL43",ARBOR!$A:$C,3,0)*-TRUNC(BQ78/VLOOKUP("PCS-OzTL43",ARBOR!$A:$C,3,0)-1,4)),6))&lt;&gt;(DOLLAR(VLOOKUP("PCS-OzTL43",ARBOR!$A:$C,3,0),6)),-TRUNC(BQ78/VLOOKUP("PCS-OzTL43",ARBOR!$A:$C,3,0)-1,4)+0.0001,-TRUNC(BQ78/VLOOKUP("PCS-OzTL43",ARBOR!$A:$C,3,0)-1,4)))))</f>
        <v/>
      </c>
      <c r="BS78" s="28" t="str">
        <f>IF(ISERROR(IF(BR78="","",VLOOKUP((BC78&amp;BR78&amp;"Template desconto FLAT Plano Principal Oi TV nível conta"),BENEFICIOS!$A:$G,5,0))),"Criar",IF(BR78="","",VLOOKUP((BC78&amp;BR78&amp;"Template desconto FLAT Plano Principal Oi TV nível conta"),BENEFICIOS!$A:$G,5,0)))</f>
        <v/>
      </c>
      <c r="BT78" s="8"/>
      <c r="BU78" s="3" t="str">
        <f>IF(BT78=0,"",IF(BT78=VLOOKUP("PCS-OzTL45",ARBOR!$A:$C,3,0),0.0001,IF(BT78&gt;VLOOKUP("PCS-OzTL45",ARBOR!$A:$C,3,0),"Maior que CAP!",IF((DOLLAR(BT78+(VLOOKUP("PCS-OzTL45",ARBOR!$A:$C,3,0)*-TRUNC(BT78/VLOOKUP("PCS-OzTL45",ARBOR!$A:$C,3,0)-1,4)),6))&lt;&gt;(DOLLAR(VLOOKUP("PCS-OzTL45",ARBOR!$A:$C,3,0),6)),-TRUNC(BT78/VLOOKUP("PCS-OzTL45",ARBOR!$A:$C,3,0)-1,4)+0.0001,-TRUNC(BT78/VLOOKUP("PCS-OzTL45",ARBOR!$A:$C,3,0)-1,4)))))</f>
        <v/>
      </c>
      <c r="BV78" s="28" t="str">
        <f>IF(ISERROR(IF(BU78="","",VLOOKUP((BC78&amp;BU78&amp;"Template desconto FLAT Plano Principal Oi TV nível conta"),BENEFICIOS!$A:$G,5,0))),"Criar",IF(BU78="","",VLOOKUP((BC78&amp;BU78&amp;"Template desconto FLAT Plano Principal Oi TV nível conta"),BENEFICIOS!$A:$G,5,0)))</f>
        <v/>
      </c>
      <c r="BW78" s="8"/>
      <c r="BX78" s="3" t="str">
        <f>IF(BW78=0,"",IF(BW78=VLOOKUP("PCS-OzTL741",ARBOR!$A:$C,3,0),0.0001,IF(BW78&gt;VLOOKUP("PCS-OzTL741",ARBOR!$A:$C,3,0),"Maior que CAP!",IF((DOLLAR(BW78+(VLOOKUP("PCS-OzTL741",ARBOR!$A:$C,3,0)*-TRUNC(BW78/VLOOKUP("PCS-OzTL741",ARBOR!$A:$C,3,0)-1,4)),6))&lt;&gt;(DOLLAR(VLOOKUP("PCS-OzTL741",ARBOR!$A:$C,3,0),6)),-TRUNC(BW78/VLOOKUP("PCS-OzTL741",ARBOR!$A:$C,3,0)-1,4)+0.0001,-TRUNC(BW78/VLOOKUP("PCS-OzTL741",ARBOR!$A:$C,3,0)-1,4)))))</f>
        <v/>
      </c>
      <c r="BY78" s="28" t="str">
        <f>IF(ISERROR(IF(BX78="","",VLOOKUP((BC78&amp;BX78&amp;"Template desconto FLAT Plano Principal Oi TV nível conta"),BENEFICIOS!$A:$G,5,0))),"Criar",IF(BX78="","",VLOOKUP((BC78&amp;BX78&amp;"Template desconto FLAT Plano Principal Oi TV nível conta"),BENEFICIOS!$A:$G,5,0)))</f>
        <v/>
      </c>
      <c r="BZ78" s="8"/>
      <c r="CA78" s="3" t="str">
        <f>IF(BZ78=0,"",IF(BZ78=VLOOKUP("PCS-OzTL744",ARBOR!$A:$C,3,0),0.0001,IF(BZ78&gt;VLOOKUP("PCS-OzTL744",ARBOR!$A:$C,3,0),"Maior que CAP!",IF((DOLLAR(BZ78+(VLOOKUP("PCS-OzTL744",ARBOR!$A:$C,3,0)*-TRUNC(BZ78/VLOOKUP("PCS-OzTL744",ARBOR!$A:$C,3,0)-1,4)),6))&lt;&gt;(DOLLAR(VLOOKUP("PCS-OzTL744",ARBOR!$A:$C,3,0),6)),-TRUNC(BZ78/VLOOKUP("PCS-OzTL744",ARBOR!$A:$C,3,0)-1,4)+0.0001,-TRUNC(BZ78/VLOOKUP("PCS-OzTL744",ARBOR!$A:$C,3,0)-1,4)))))</f>
        <v/>
      </c>
      <c r="CB78" s="28" t="str">
        <f>IF(ISERROR(IF(CA78="","",VLOOKUP(($BC78&amp;CA78&amp;"Template desconto FLAT Plano Principal Oi TV nível conta"),BENEFICIOS!$A:$G,5,0))),"Criar",IF(CA78="","",VLOOKUP(($BC78&amp;CA78&amp;"Template desconto FLAT Plano Principal Oi TV nível conta"),BENEFICIOS!$A:$G,5,0)))</f>
        <v/>
      </c>
      <c r="CC78" s="8"/>
      <c r="CD78" s="3" t="str">
        <f>IF(CC78=0,"",IF(CC78=VLOOKUP("PCS-OzTL743",ARBOR!$A:$C,3,0),0.0001,IF(CC78&gt;VLOOKUP("PCS-OzTL743",ARBOR!$A:$C,3,0),"Maior que CAP!",IF((DOLLAR(CC78+(VLOOKUP("PCS-OzTL743",ARBOR!$A:$C,3,0)*-TRUNC(CC78/VLOOKUP("PCS-OzTL743",ARBOR!$A:$C,3,0)-1,4)),6))&lt;&gt;(DOLLAR(VLOOKUP("PCS-OzTL743",ARBOR!$A:$C,3,0),6)),-TRUNC(CC78/VLOOKUP("PCS-OzTL743",ARBOR!$A:$C,3,0)-1,4)+0.0001,-TRUNC(CC78/VLOOKUP("PCS-OzTL743",ARBOR!$A:$C,3,0)-1,4)))))</f>
        <v/>
      </c>
      <c r="CE78" s="28" t="str">
        <f>IF(ISERROR(IF(CD78="","",VLOOKUP(($BC78&amp;CD78&amp;"Template desconto FLAT Plano Principal Oi TV nível conta"),BENEFICIOS!$A:$G,5,0))),"Criar",IF(CD78="","",VLOOKUP(($BC78&amp;CD78&amp;"Template desconto FLAT Plano Principal Oi TV nível conta"),BENEFICIOS!$A:$G,5,0)))</f>
        <v/>
      </c>
      <c r="CF78" s="8"/>
      <c r="CG78" s="3" t="str">
        <f>IF(CF78=0,"",IF(CF78=VLOOKUP("PCS-OzTL745",ARBOR!$A:$C,3,0),0.0001,IF(CF78&gt;VLOOKUP("PCS-OzTL745",ARBOR!$A:$C,3,0),"Maior que CAP!",IF((DOLLAR(CF78+(VLOOKUP("PCS-OzTL745",ARBOR!$A:$C,3,0)*-TRUNC(CF78/VLOOKUP("PCS-OzTL745",ARBOR!$A:$C,3,0)-1,4)),6))&lt;&gt;(DOLLAR(VLOOKUP("PCS-OzTL745",ARBOR!$A:$C,3,0),6)),-TRUNC(CF78/VLOOKUP("PCS-OzTL745",ARBOR!$A:$C,3,0)-1,4)+0.0001,-TRUNC(CF78/VLOOKUP("PCS-OzTL745",ARBOR!$A:$C,3,0)-1,4)))))</f>
        <v/>
      </c>
      <c r="CH78" s="28" t="str">
        <f>IF(ISERROR(IF(CG78="","",VLOOKUP(($BC78&amp;CG78&amp;"Template desconto FLAT Plano Principal Oi TV nível conta"),BENEFICIOS!$A:$G,5,0))),"Criar",IF(CG78="","",VLOOKUP(($BC78&amp;CG78&amp;"Template desconto FLAT Plano Principal Oi TV nível conta"),BENEFICIOS!$A:$G,5,0)))</f>
        <v/>
      </c>
      <c r="CI78" s="8"/>
      <c r="CJ78" s="3" t="str">
        <f>IF(CI78=0,"",IF(CI78=VLOOKUP("PCS-OzTL42",ARBOR!$A:$C,3,0),0.0001,IF(CI78&gt;VLOOKUP("PCS-OzTL42",ARBOR!$A:$C,3,0),"Maior que CAP!",IF((DOLLAR(CI78+(VLOOKUP("PCS-OzTL42",ARBOR!$A:$C,3,0)*-TRUNC(CI78/VLOOKUP("PCS-OzTL42",ARBOR!$A:$C,3,0)-1,4)),6))&lt;&gt;(DOLLAR(VLOOKUP("PCS-OzTL42",ARBOR!$A:$C,3,0),6)),-TRUNC(CI78/VLOOKUP("PCS-OzTL42",ARBOR!$A:$C,3,0)-1,4)+0.0001,-TRUNC(CI78/VLOOKUP("PCS-OzTL42",ARBOR!$A:$C,3,0)-1,4)))))</f>
        <v/>
      </c>
      <c r="CK78" s="28" t="str">
        <f>IF(ISERROR(IF(CJ78="","",VLOOKUP(($BC78&amp;CJ78&amp;"Template desconto FLAT Plano Principal Oi TV nível conta"),BENEFICIOS!$A:$G,5,0))),"Criar",IF(CJ78="","",VLOOKUP(($BC78&amp;CJ78&amp;"Template desconto FLAT Plano Principal Oi TV nível conta"),BENEFICIOS!$A:$G,5,0)))</f>
        <v/>
      </c>
      <c r="CL78" s="8"/>
      <c r="CM78" s="3" t="str">
        <f>IF(CL78=0,"",IF(CL78=VLOOKUP("PCS-OzTL47",ARBOR!$A:$C,3,0),0.0001,IF(CL78&gt;VLOOKUP("PCS-OzTL47",ARBOR!$A:$C,3,0),"Maior que CAP!",IF((DOLLAR(CL78+(VLOOKUP("PCS-OzTL47",ARBOR!$A:$C,3,0)*-TRUNC(CL78/VLOOKUP("PCS-OzTL47",ARBOR!$A:$C,3,0)-1,4)),6))&lt;&gt;(DOLLAR(VLOOKUP("PCS-OzTL47",ARBOR!$A:$C,3,0),6)),-TRUNC(CL78/VLOOKUP("PCS-OzTL47",ARBOR!$A:$C,3,0)-1,4)+0.0001,-TRUNC(CL78/VLOOKUP("PCS-OzTL47",ARBOR!$A:$C,3,0)-1,4)))))</f>
        <v/>
      </c>
      <c r="CN78" s="28" t="str">
        <f>IF(ISERROR(IF(CM78="","",VLOOKUP(($BC78&amp;CM78&amp;"Template desconto FLAT Plano Principal Oi TV nível conta"),BENEFICIOS!$A:$G,5,0))),"Criar",IF(CM78="","",VLOOKUP(($BC78&amp;CM78&amp;"Template desconto FLAT Plano Principal Oi TV nível conta"),BENEFICIOS!$A:$G,5,0)))</f>
        <v/>
      </c>
      <c r="CO78" s="8"/>
      <c r="CP78" s="3" t="str">
        <f>IF(CO78=0,"",IF(CO78=VLOOKUP("PCS-OzTL46",ARBOR!$A:$C,3,0),0.0001,IF(CO78&gt;VLOOKUP("PCS-OzTL46",ARBOR!$A:$C,3,0),"Maior que CAP!",IF((DOLLAR(CO78+(VLOOKUP("PCS-OzTL46",ARBOR!$A:$C,3,0)*-TRUNC(CO78/VLOOKUP("PCS-OzTL46",ARBOR!$A:$C,3,0)-1,4)),6))&lt;&gt;(DOLLAR(VLOOKUP("PCS-OzTL46",ARBOR!$A:$C,3,0),6)),-TRUNC(CO78/VLOOKUP("PCS-OzTL46",ARBOR!$A:$C,3,0)-1,4)+0.0001,-TRUNC(CO78/VLOOKUP("PCS-OzTL46",ARBOR!$A:$C,3,0)-1,4)))))</f>
        <v/>
      </c>
      <c r="CQ78" s="28" t="str">
        <f>IF(ISERROR(IF(CP78="","",VLOOKUP(($BC78&amp;CP78&amp;"Template desconto FLAT Plano Principal Oi TV nível conta"),BENEFICIOS!$A:$G,5,0))),"Criar",IF(CP78="","",VLOOKUP(($BC78&amp;CP78&amp;"Template desconto FLAT Plano Principal Oi TV nível conta"),BENEFICIOS!$A:$G,5,0)))</f>
        <v/>
      </c>
      <c r="CR78" s="8"/>
      <c r="CS78" s="3" t="str">
        <f>IF(CR78=0,"",IF(CR78=VLOOKUP("PCS-OzTL48",ARBOR!$A:$C,3,0),0.0001,IF(CR78&gt;VLOOKUP("PCS-OzTL48",ARBOR!$A:$C,3,0),"Maior que CAP!",IF((DOLLAR(CR78+(VLOOKUP("PCS-OzTL48",ARBOR!$A:$C,3,0)*-TRUNC(CR78/VLOOKUP("PCS-OzTL48",ARBOR!$A:$C,3,0)-1,4)),6))&lt;&gt;(DOLLAR(VLOOKUP("PCS-OzTL48",ARBOR!$A:$C,3,0),6)),-TRUNC(CR78/VLOOKUP("PCS-OzTL48",ARBOR!$A:$C,3,0)-1,4)+0.0001,-TRUNC(CR78/VLOOKUP("PCS-OzTL48",ARBOR!$A:$C,3,0)-1,4)))))</f>
        <v/>
      </c>
      <c r="CT78" s="28" t="str">
        <f>IF(ISERROR(IF(CS78="","",VLOOKUP(($BC78&amp;CS78&amp;"Template desconto FLAT Plano Principal Oi TV nível conta"),BENEFICIOS!$A:$G,5,0))),"Criar",IF(CS78="","",VLOOKUP(($BC78&amp;CS78&amp;"Template desconto FLAT Plano Principal Oi TV nível conta"),BENEFICIOS!$A:$G,5,0)))</f>
        <v/>
      </c>
      <c r="CU78" s="8"/>
      <c r="CV78" s="3" t="str">
        <f>IF(CU78=0,"",IF(CU78=VLOOKUP("PCS-OzTL742",ARBOR!$A:$C,3,0),0.0001,IF(CU78&gt;VLOOKUP("PCS-OzTL742",ARBOR!$A:$C,3,0),"Maior que CAP!",IF((DOLLAR(CU78+(VLOOKUP("PCS-OzTL742",ARBOR!$A:$C,3,0)*-TRUNC(CU78/VLOOKUP("PCS-OzTL742",ARBOR!$A:$C,3,0)-1,4)),6))&lt;&gt;(DOLLAR(VLOOKUP("PCS-OzTL742",ARBOR!$A:$C,3,0),6)),-TRUNC(CU78/VLOOKUP("PCS-OzTL742",ARBOR!$A:$C,3,0)-1,4)+0.0001,-TRUNC(CU78/VLOOKUP("PCS-OzTL742",ARBOR!$A:$C,3,0)-1,4)))))</f>
        <v/>
      </c>
      <c r="CW78" s="28" t="str">
        <f>IF(ISERROR(IF(CV78="","",VLOOKUP(($BC78&amp;CV78&amp;"Template desconto FLAT Plano Principal Oi TV nível conta"),BENEFICIOS!$A:$G,5,0))),"Criar",IF(CV78="","",VLOOKUP(($BC78&amp;CV78&amp;"Template desconto FLAT Plano Principal Oi TV nível conta"),BENEFICIOS!$A:$G,5,0)))</f>
        <v/>
      </c>
      <c r="CX78" s="8"/>
      <c r="CY78" s="3" t="str">
        <f>IF(CX78=0,"",IF(CX78=VLOOKUP("PCS-OzTL747",ARBOR!$A:$C,3,0),0.0001,IF(CX78&gt;VLOOKUP("PCS-OzTL747",ARBOR!$A:$C,3,0),"Maior que CAP!",IF((DOLLAR(CX78+(VLOOKUP("PCS-OzTL747",ARBOR!$A:$C,3,0)*-TRUNC(CX78/VLOOKUP("PCS-OzTL747",ARBOR!$A:$C,3,0)-1,4)),6))&lt;&gt;(DOLLAR(VLOOKUP("PCS-OzTL747",ARBOR!$A:$C,3,0),6)),-TRUNC(CX78/VLOOKUP("PCS-OzTL747",ARBOR!$A:$C,3,0)-1,4)+0.0001,-TRUNC(CX78/VLOOKUP("PCS-OzTL747",ARBOR!$A:$C,3,0)-1,4)))))</f>
        <v/>
      </c>
      <c r="CZ78" s="28" t="str">
        <f>IF(ISERROR(IF(CY78="","",VLOOKUP(($BC78&amp;CY78&amp;"Template desconto FLAT Plano Principal Oi TV nível conta"),BENEFICIOS!$A:$G,5,0))),"Criar",IF(CY78="","",VLOOKUP(($BC78&amp;CY78&amp;"Template desconto FLAT Plano Principal Oi TV nível conta"),BENEFICIOS!$A:$G,5,0)))</f>
        <v/>
      </c>
      <c r="DA78" s="8"/>
      <c r="DB78" s="3" t="str">
        <f>IF(DA78=0,"",IF(DA78=VLOOKUP("PCS-OzTL746",ARBOR!$A:$C,3,0),0.0001,IF(DA78&gt;VLOOKUP("PCS-OzTL746",ARBOR!$A:$C,3,0),"Maior que CAP!",IF((DOLLAR(DA78+(VLOOKUP("PCS-OzTL746",ARBOR!$A:$C,3,0)*-TRUNC(DA78/VLOOKUP("PCS-OzTL746",ARBOR!$A:$C,3,0)-1,4)),6))&lt;&gt;(DOLLAR(VLOOKUP("PCS-OzTL746",ARBOR!$A:$C,3,0),6)),-TRUNC(DA78/VLOOKUP("PCS-OzTL746",ARBOR!$A:$C,3,0)-1,4)+0.0001,-TRUNC(DA78/VLOOKUP("PCS-OzTL746",ARBOR!$A:$C,3,0)-1,4)))))</f>
        <v/>
      </c>
      <c r="DC78" s="28" t="str">
        <f>IF(ISERROR(IF(DB78="","",VLOOKUP(($BC78&amp;DB78&amp;"Template desconto FLAT Plano Principal Oi TV nível conta"),BENEFICIOS!$A:$G,5,0))),"Criar",IF(DB78="","",VLOOKUP(($BC78&amp;DB78&amp;"Template desconto FLAT Plano Principal Oi TV nível conta"),BENEFICIOS!$A:$G,5,0)))</f>
        <v/>
      </c>
      <c r="DD78" s="8"/>
      <c r="DE78" s="3" t="str">
        <f>IF(DD78=0,"",IF(DD78=VLOOKUP("PCS-OzTL748",ARBOR!$A:$C,3,0),0.0001,IF(DD78&gt;VLOOKUP("PCS-OzTL748",ARBOR!$A:$C,3,0),"Maior que CAP!",IF((DOLLAR(DD78+(VLOOKUP("PCS-OzTL748",ARBOR!$A:$C,3,0)*-TRUNC(DD78/VLOOKUP("PCS-OzTL748",ARBOR!$A:$C,3,0)-1,4)),6))&lt;&gt;(DOLLAR(VLOOKUP("PCS-OzTL748",ARBOR!$A:$C,3,0),6)),-TRUNC(DD78/VLOOKUP("PCS-OzTL748",ARBOR!$A:$C,3,0)-1,4)+0.0001,-TRUNC(DD78/VLOOKUP("PCS-OzTL748",ARBOR!$A:$C,3,0)-1,4)))))</f>
        <v/>
      </c>
      <c r="DF78" s="28" t="str">
        <f>IF(ISERROR(IF(DE78="","",VLOOKUP(($BC78&amp;DE78&amp;"Template desconto FLAT Plano Principal Oi TV nível conta"),BENEFICIOS!$A:$G,5,0))),"Criar",IF(DE78="","",VLOOKUP(($BC78&amp;DE78&amp;"Template desconto FLAT Plano Principal Oi TV nível conta"),BENEFICIOS!$A:$G,5,0)))</f>
        <v/>
      </c>
      <c r="DG78" s="8"/>
      <c r="DH78" s="3" t="str">
        <f>IF(DG78=0,"",IF(DG78=VLOOKUP("PCS-OzTL34",ARBOR!$A:$C,3,0),0.0001,IF(DG78&gt;VLOOKUP("PCS-OzTL34",ARBOR!$A:$C,3,0),"Maior que CAP!",IF((DOLLAR(DG78+(VLOOKUP("PCS-OzTL34",ARBOR!$A:$C,3,0)*-TRUNC(DG78/VLOOKUP("PCS-OzTL34",ARBOR!$A:$C,3,0)-1,4)),6))&lt;&gt;(DOLLAR(VLOOKUP("PCS-OzTL34",ARBOR!$A:$C,3,0),6)),-TRUNC(DG78/VLOOKUP("PCS-OzTL34",ARBOR!$A:$C,3,0)-1,4)+0.0001,-TRUNC(DG78/VLOOKUP("PCS-OzTL34",ARBOR!$A:$C,3,0)-1,4)))))</f>
        <v/>
      </c>
      <c r="DI78" s="28" t="str">
        <f>IF(DH78="S/Desc","S/Desc",IF(ISERROR(IF(DH78="","",VLOOKUP(($BC78&amp;DH78&amp;"Template desconto % Combate nível conta"),BENEFICIOS!$A:$G,5,0))),"Criar",IF(DH78="","",VLOOKUP(($BC78&amp;DH78&amp;"Template desconto % Combate nível conta"),BENEFICIOS!$A:$G,5,0))))</f>
        <v/>
      </c>
      <c r="DJ78" s="8"/>
      <c r="DK78" s="3" t="str">
        <f>IF(DJ78=0,"",IF(DJ78=VLOOKUP("PCS-OzTL31",ARBOR!$A:$C,3,0),0.0001,IF(DJ78&gt;VLOOKUP("PCS-OzTL31",ARBOR!$A:$C,3,0),"Maior que CAP!",IF((DOLLAR(DJ78+(VLOOKUP("PCS-OzTL31",ARBOR!$A:$C,3,0)*-TRUNC(DJ78/VLOOKUP("PCS-OzTL31",ARBOR!$A:$C,3,0)-1,4)),6))&lt;&gt;(DOLLAR(VLOOKUP("PCS-OzTL31",ARBOR!$A:$C,3,0),6)),-TRUNC(DJ78/VLOOKUP("PCS-OzTL31",ARBOR!$A:$C,3,0)-1,4)+0.0001,-TRUNC(DJ78/VLOOKUP("PCS-OzTL31",ARBOR!$A:$C,3,0)-1,4)))))</f>
        <v/>
      </c>
      <c r="DL78" s="28" t="str">
        <f>IF(DK78="S/Desc","S/Desc",IF(ISERROR(IF(DK78="","",VLOOKUP(($BC78&amp;DK78&amp;"Template desconto % Sexy Hot nível conta"),BENEFICIOS!$A:$G,5,0))),"Criar",IF(DK78="","",VLOOKUP(($BC78&amp;DK78&amp;"Template desconto % Sexy Hot nível conta"),BENEFICIOS!$A:$G,5,0))))</f>
        <v/>
      </c>
      <c r="DM78" s="8"/>
      <c r="DN78" s="3" t="str">
        <f>IF(DM78=0,"",IF(DM78=VLOOKUP("PCS-OzTL32",ARBOR!$A:$C,3,0),0.0001,IF(DM78&gt;VLOOKUP("PCS-OzTL32",ARBOR!$A:$C,3,0),"Maior que CAP!",IF((DOLLAR(DM78+(VLOOKUP("PCS-OzTL32",ARBOR!$A:$C,3,0)*-TRUNC(DM78/VLOOKUP("PCS-OzTL32",ARBOR!$A:$C,3,0)-1,4)),6))&lt;&gt;(DOLLAR(VLOOKUP("PCS-OzTL32",ARBOR!$A:$C,3,0),6)),-TRUNC(DM78/VLOOKUP("PCS-OzTL32",ARBOR!$A:$C,3,0)-1,4)+0.0001,-TRUNC(DM78/VLOOKUP("PCS-OzTL32",ARBOR!$A:$C,3,0)-1,4)))))</f>
        <v/>
      </c>
      <c r="DO78" s="28" t="str">
        <f>IF(DN78="S/Desc","S/Desc",IF(ISERROR(IF(DN78="","",VLOOKUP(($BC78&amp;DN78&amp;"Template desconto % Playboy nível conta"),BENEFICIOS!$A:$G,5,0))),"Criar",IF(DN78="","",VLOOKUP(($BC78&amp;DN78&amp;"Template desconto % Playboy nível conta"),BENEFICIOS!$A:$G,5,0))))</f>
        <v/>
      </c>
      <c r="DP78" s="8"/>
      <c r="DQ78" s="3" t="str">
        <f>IF(DP78=0,"",IF(DP78=VLOOKUP("PCS-OzTL33",ARBOR!$A:$C,3,0),0.0001,IF(DP78&gt;VLOOKUP("PCS-OzTL33",ARBOR!$A:$C,3,0),"Maior que CAP!",IF((DOLLAR(DP78+(VLOOKUP("PCS-OzTL33",ARBOR!$A:$C,3,0)*-TRUNC(DP78/VLOOKUP("PCS-OzTL33",ARBOR!$A:$C,3,0)-1,4)),6))&lt;&gt;(DOLLAR(VLOOKUP("PCS-OzTL33",ARBOR!$A:$C,3,0),6)),-TRUNC(DP78/VLOOKUP("PCS-OzTL33",ARBOR!$A:$C,3,0)-1,4)+0.0001,-TRUNC(DP78/VLOOKUP("PCS-OzTL33",ARBOR!$A:$C,3,0)-1,4)))))</f>
        <v/>
      </c>
      <c r="DR78" s="28" t="str">
        <f>IF(DQ78="S/Desc","S/Desc",IF(ISERROR(IF(DQ78="","",VLOOKUP(($BC78&amp;DQ78&amp;"Template desconto % Sexy Hot + Playboy nível conta"),BENEFICIOS!$A:$G,5,0))),"Criar",IF(DQ78="","",VLOOKUP(($BC78&amp;DQ78&amp;"Template desconto % Sexy Hot + Playboy nível conta"),BENEFICIOS!$A:$G,5,0))))</f>
        <v/>
      </c>
      <c r="DS78" s="8"/>
      <c r="DT78" s="3" t="str">
        <f>IF(DS78=0,"",IF(DS78=VLOOKUP("PCS-OzTL503",ARBOR!$A:$C,3,0),0.0001,IF(DS78&gt;VLOOKUP("PCS-OzTL503",ARBOR!$A:$C,3,0),"Maior que CAP!",IF((DOLLAR(DS78+(VLOOKUP("PCS-OzTL503",ARBOR!$A:$C,3,0)*-TRUNC(DS78/VLOOKUP("PCS-OzTL503",ARBOR!$A:$C,3,0)-1,4)),6))&lt;&gt;(DOLLAR(VLOOKUP("PCS-OzTL503",ARBOR!$A:$C,3,0),6)),-TRUNC(DS78/VLOOKUP("PCS-OzTL503",ARBOR!$A:$C,3,0)-1,4)+0.0001,-TRUNC(DS78/VLOOKUP("PCS-OzTL503",ARBOR!$A:$C,3,0)-1,4)))))</f>
        <v/>
      </c>
      <c r="DU78" s="28" t="str">
        <f>IF(DT78="S/Desc","S/Desc",IF(ISERROR(IF(DT78="","",VLOOKUP(($BC78&amp;DT78&amp;"Template desconto % SexPrivê nível conta"),BENEFICIOS!$A:$G,5,0))),"Criar",IF(DT78="","",VLOOKUP(($BC78&amp;DT78&amp;"Template desconto % SexPrivê nível conta"),BENEFICIOS!$A:$G,5,0))))</f>
        <v/>
      </c>
      <c r="DV78" s="8"/>
      <c r="DW78" s="3" t="str">
        <f>IF(DV78=0,"",IF(DV78=VLOOKUP("PCS-OzTL500",ARBOR!$A:$C,3,0),0.0001,IF(DV78&gt;VLOOKUP("PCS-OzTL500",ARBOR!$A:$C,3,0),"Maior que CAP!",IF((DOLLAR(DV78+(VLOOKUP("PCS-OzTL500",ARBOR!$A:$C,3,0)*-TRUNC(DV78/VLOOKUP("PCS-OzTL500",ARBOR!$A:$C,3,0)-1,4)),6))&lt;&gt;(DOLLAR(VLOOKUP("PCS-OzTL500",ARBOR!$A:$C,3,0),6)),-TRUNC(DV78/VLOOKUP("PCS-OzTL500",ARBOR!$A:$C,3,0)-1,4)+0.0001,-TRUNC(DV78/VLOOKUP("PCS-OzTL500",ARBOR!$A:$C,3,0)-1,4)))))</f>
        <v/>
      </c>
      <c r="DX78" s="28" t="str">
        <f>IF(DW78="S/Desc","S/Desc",IF(ISERROR(IF(DW78="","",VLOOKUP(($BC78&amp;DW78&amp;"Template desconto % Étnico nível conta"),BENEFICIOS!$A:$G,5,0))),"Criar",IF(DW78="","",VLOOKUP(($BC78&amp;DW78&amp;"Template desconto % Étnico nível conta"),BENEFICIOS!$A:$G,5,0))))</f>
        <v/>
      </c>
      <c r="DY78" s="8"/>
      <c r="DZ78" s="181" t="str">
        <f>IF(DY78=0,"",IF(DY78=VLOOKUP("PCS-OzTL50",ARBOR!$A:$C,3,0),0.0001,IF(DY78&gt;VLOOKUP("PCS-OzTL50",ARBOR!$A:$C,3,0),"Maior que CAP!",IF((DOLLAR(DY78+(VLOOKUP("PCS-OzTL50",ARBOR!$A:$C,3,0)*-TRUNC(DY78/VLOOKUP("PCS-OzTL50",ARBOR!$A:$C,3,0)-1,4)),6))&lt;&gt;(DOLLAR(VLOOKUP("PCS-OzTL50",ARBOR!$A:$C,3,0),6)),-TRUNC(DY78/VLOOKUP("PCS-OzTL50",ARBOR!$A:$C,3,0)-1,4)+0.0001,-TRUNC(DY78/VLOOKUP("PCS-OzTL50",ARBOR!$A:$C,3,0)-1,4)))))</f>
        <v/>
      </c>
      <c r="EA78" s="28"/>
      <c r="EB78" s="8"/>
      <c r="EC78" s="181" t="str">
        <f>IF(EB78=0,"",IF(EB78=VLOOKUP("PCS-OzTL51",ARBOR!$A:$C,3,0),0.0001,IF(EB78&gt;VLOOKUP("PCS-OzTL51",ARBOR!$A:$C,3,0),"Maior que CAP!",IF((DOLLAR(EB78+(VLOOKUP("PCS-OzTL51",ARBOR!$A:$C,3,0)*-TRUNC(EB78/VLOOKUP("PCS-OzTL51",ARBOR!$A:$C,3,0)-1,4)),6))&lt;&gt;(DOLLAR(VLOOKUP("PCS-OzTL51",ARBOR!$A:$C,3,0),6)),-TRUNC(EB78/VLOOKUP("PCS-OzTL51",ARBOR!$A:$C,3,0)-1,4)+0.0001,-TRUNC(EB78/VLOOKUP("PCS-OzTL51",ARBOR!$A:$C,3,0)-1,4)))))</f>
        <v/>
      </c>
      <c r="ED78" s="28"/>
      <c r="EE78" s="8"/>
      <c r="EF78" s="181" t="str">
        <f>IF(EE78=0,"",IF(EE78=VLOOKUP("PCS-OzTL52",ARBOR!$A:$C,3,0),0.0001,IF(EE78&gt;VLOOKUP("PCS-OzTL52",ARBOR!$A:$C,3,0),"Maior que CAP!",IF((DOLLAR(EE78+(VLOOKUP("PCS-OzTL52",ARBOR!$A:$C,3,0)*-TRUNC(EE78/VLOOKUP("PCS-OzTL52",ARBOR!$A:$C,3,0)-1,4)),6))&lt;&gt;(DOLLAR(VLOOKUP("PCS-OzTL52",ARBOR!$A:$C,3,0),6)),-TRUNC(EE78/VLOOKUP("PCS-OzTL52",ARBOR!$A:$C,3,0)-1,4)+0.0001,-TRUNC(EE78/VLOOKUP("PCS-OzTL52",ARBOR!$A:$C,3,0)-1,4)))))</f>
        <v/>
      </c>
      <c r="EG78" s="28"/>
      <c r="EH78" s="8"/>
      <c r="EI78" s="181" t="str">
        <f>IF(EH78=0,"",IF(EH78=VLOOKUP("PCS-OzTL53",ARBOR!$A:$C,3,0),0.0001,IF(EH78&gt;VLOOKUP("PCS-OzTL53",ARBOR!$A:$C,3,0),"Maior que CAP!",IF((DOLLAR(EH78+(VLOOKUP("PCS-OzTL53",ARBOR!$A:$C,3,0)*-TRUNC(EH78/VLOOKUP("PCS-OzTL53",ARBOR!$A:$C,3,0)-1,4)),6))&lt;&gt;(DOLLAR(VLOOKUP("PCS-OzTL53",ARBOR!$A:$C,3,0),6)),-TRUNC(EH78/VLOOKUP("PCS-OzTL53",ARBOR!$A:$C,3,0)-1,4)+0.0001,-TRUNC(EH78/VLOOKUP("PCS-OzTL53",ARBOR!$A:$C,3,0)-1,4)))))</f>
        <v/>
      </c>
      <c r="EJ78" s="28"/>
      <c r="EK78" s="8"/>
      <c r="EL78" s="181" t="str">
        <f>IF(EK78=0,"",IF(EK78=VLOOKUP("PCS-OzTL54",ARBOR!$A:$C,3,0),0.0001,IF(EK78&gt;VLOOKUP("PCS-OzTL54",ARBOR!$A:$C,3,0),"Maior que CAP!",IF((DOLLAR(EK78+(VLOOKUP("PCS-OzTL54",ARBOR!$A:$C,3,0)*-TRUNC(EK78/VLOOKUP("PCS-OzTL54",ARBOR!$A:$C,3,0)-1,4)),6))&lt;&gt;(DOLLAR(VLOOKUP("PCS-OzTL54",ARBOR!$A:$C,3,0),6)),-TRUNC(EK78/VLOOKUP("PCS-OzTL54",ARBOR!$A:$C,3,0)-1,4)+0.0001,-TRUNC(EK78/VLOOKUP("PCS-OzTL54",ARBOR!$A:$C,3,0)-1,4)))))</f>
        <v/>
      </c>
      <c r="EM78" s="28"/>
      <c r="EN78" s="8"/>
      <c r="EO78" s="3" t="str">
        <f>IF(EN78=0,"",IF(EN78=VLOOKUP("PCS-OzTL99",ARBOR!$A:$C,3,0),0.0001,IF(EN78&gt;VLOOKUP("PCS-OzTL99",ARBOR!$A:$C,3,0),"Maior que CAP!",IF((DOLLAR(EN78+(VLOOKUP("PCS-OzTL99",ARBOR!$A:$C,3,0)*-TRUNC(EN78/VLOOKUP("PCS-OzTL99",ARBOR!$A:$C,3,0)-1,4)),6))&lt;&gt;(DOLLAR(VLOOKUP("PCS-OzTL99",ARBOR!$A:$C,3,0),6)),-TRUNC(EN78/VLOOKUP("PCS-OzTL99",ARBOR!$A:$C,3,0)-1,4)+0.0001,-TRUNC(EN78/VLOOKUP("PCS-OzTL99",ARBOR!$A:$C,3,0)-1,4)))))</f>
        <v/>
      </c>
      <c r="EP78" s="28" t="str">
        <f>IF(EO78="S/Desc","S/Desc",IF(ISERROR(IF(EO78="","",VLOOKUP(($BC78&amp;EO78&amp;"Template desconto % Ponto adicional nível conta"),BENEFICIOS!$A:$G,5,0))),"Criar",IF(EO78="","",VLOOKUP(($BC78&amp;EO78&amp;"Template desconto % Ponto adicional nível conta"),BENEFICIOS!$A:$G,5,0))))</f>
        <v/>
      </c>
      <c r="EQ78" s="8"/>
      <c r="ER78" s="28" t="str">
        <f t="shared" si="23"/>
        <v/>
      </c>
      <c r="ES78" s="62"/>
      <c r="ET78" s="126"/>
      <c r="EU78" s="127"/>
      <c r="EV78" s="126"/>
      <c r="EW78" s="128" t="str">
        <f t="shared" si="24"/>
        <v/>
      </c>
      <c r="EX78" s="129" t="str">
        <f t="shared" si="25"/>
        <v/>
      </c>
      <c r="EY78" s="91" t="str">
        <f t="shared" si="26"/>
        <v/>
      </c>
      <c r="EZ78" s="85"/>
      <c r="FA78" s="97"/>
      <c r="FB78" s="91"/>
      <c r="FC78" s="85"/>
      <c r="FD78" s="97"/>
      <c r="FE78" s="91"/>
      <c r="FF78" s="87"/>
      <c r="FG78" s="144" t="str">
        <f t="shared" si="27"/>
        <v/>
      </c>
      <c r="FH78" s="144" t="str">
        <f t="shared" si="28"/>
        <v/>
      </c>
      <c r="FI78" s="144" t="str">
        <f t="shared" si="29"/>
        <v/>
      </c>
      <c r="FJ78" s="144" t="str">
        <f t="shared" si="30"/>
        <v/>
      </c>
      <c r="FK78" s="144" t="str">
        <f t="shared" si="31"/>
        <v/>
      </c>
      <c r="FL78" s="144" t="str">
        <f t="shared" si="32"/>
        <v/>
      </c>
      <c r="FM78" s="144" t="str">
        <f t="shared" si="33"/>
        <v/>
      </c>
      <c r="FN78" s="144" t="str">
        <f t="shared" si="34"/>
        <v/>
      </c>
      <c r="FO78" s="144" t="str">
        <f t="shared" si="35"/>
        <v/>
      </c>
      <c r="FP78" s="144" t="str">
        <f t="shared" si="36"/>
        <v/>
      </c>
      <c r="FQ78" s="144" t="str">
        <f t="shared" si="37"/>
        <v/>
      </c>
      <c r="FR78" s="144" t="str">
        <f t="shared" si="38"/>
        <v/>
      </c>
      <c r="FS78" s="144" t="str">
        <f t="shared" si="39"/>
        <v/>
      </c>
      <c r="FT78" s="144" t="str">
        <f t="shared" si="40"/>
        <v/>
      </c>
      <c r="FU78" s="144" t="str">
        <f t="shared" si="41"/>
        <v/>
      </c>
      <c r="FV78" s="144" t="str">
        <f t="shared" si="42"/>
        <v/>
      </c>
      <c r="FW78" s="144" t="str">
        <f t="shared" si="43"/>
        <v/>
      </c>
      <c r="FX78" s="151"/>
      <c r="FY78" s="152"/>
      <c r="FZ78" s="152"/>
      <c r="GA78" s="152"/>
      <c r="GB78" s="152"/>
      <c r="GC78" s="152"/>
      <c r="GD78" s="152"/>
      <c r="GE78" s="152"/>
      <c r="GF78" s="152"/>
      <c r="GG78" s="153"/>
    </row>
    <row r="79" spans="1:189">
      <c r="A79" s="45"/>
      <c r="B79" s="133"/>
      <c r="C79" s="133"/>
      <c r="D79" s="46"/>
      <c r="E79" s="4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9"/>
      <c r="U79" s="48"/>
      <c r="V79" s="49"/>
      <c r="W79" s="48"/>
      <c r="X79" s="48"/>
      <c r="Y79" s="48"/>
      <c r="Z79" s="48"/>
      <c r="AA79" s="49"/>
      <c r="AB79" s="48"/>
      <c r="AC79" s="50"/>
      <c r="AD79" s="48"/>
      <c r="AE79" s="48"/>
      <c r="AF79" s="48"/>
      <c r="AG79" s="48"/>
      <c r="AH79" s="48"/>
      <c r="AI79" s="48"/>
      <c r="AJ79" s="48"/>
      <c r="AK79" s="48"/>
      <c r="AL79" s="51"/>
      <c r="AM79" s="37"/>
      <c r="AN79" s="38"/>
      <c r="AO79" s="39"/>
      <c r="AP79" s="52"/>
      <c r="AQ79" s="53"/>
      <c r="AR79" s="64"/>
      <c r="AS79" s="65"/>
      <c r="AT79" s="54"/>
      <c r="AU79" s="54"/>
      <c r="AV79" s="54"/>
      <c r="AW79" s="54"/>
      <c r="AX79" s="70"/>
      <c r="AY79" s="71"/>
      <c r="AZ79" s="72"/>
      <c r="BA79" s="73"/>
      <c r="BB79" s="55"/>
      <c r="BC79" s="56"/>
      <c r="BD79" s="27" t="str">
        <f t="shared" si="22"/>
        <v/>
      </c>
      <c r="BE79" s="58"/>
      <c r="BF79" s="3" t="str">
        <f>IF(BE79=0,"",IF(BE79=VLOOKUP("FIXO",ARBOR!$A:$C,3,0),0.0001,IF(BE79&gt;VLOOKUP("FIXO",ARBOR!$A:$C,3,0),"Maior que CAP!",IF((DOLLAR(BE79+(VLOOKUP("FIXO",ARBOR!$A:$C,3,0)*-TRUNC(BE79/VLOOKUP("FIXO",ARBOR!$A:$C,3,0)-1,4)),6))&lt;&gt;(DOLLAR(VLOOKUP("FIXO",ARBOR!$A:$C,3,0),6)),-TRUNC(BE79/VLOOKUP("FIXO",ARBOR!$A:$C,3,0)-1,4)+0.0001,-TRUNC(BE79/VLOOKUP("FIXO",ARBOR!$A:$C,3,0)-1,4)))))</f>
        <v/>
      </c>
      <c r="BG79" s="10" t="str">
        <f>IF(ISERROR(IF(BF79="","",VLOOKUP(($BC79&amp;BF79&amp;"Template de desconto FLAT bundle - Fixo - Varejo - Ganho Tributário Cross"),BENEFICIOS!$A:$G,5,0))),"Criar",IF(BF79="","",VLOOKUP(($BC79&amp;BF79&amp;"Template de desconto FLAT bundle - Fixo - Varejo - Ganho Tributário Cross"),BENEFICIOS!$A:$G,5,0)))</f>
        <v/>
      </c>
      <c r="BH79" s="8"/>
      <c r="BI79" s="3" t="str">
        <f>IF(BH79=0,"",IF(BH79=VLOOKUP("PCS-OzTL40",ARBOR!$A:$C,3,0),0.0001,IF(BH79&gt;VLOOKUP("PCS-OzTL40",ARBOR!$A:$C,3,0),"Maior que CAP!",IF((DOLLAR(BH79+(VLOOKUP("PCS-OzTL40",ARBOR!$A:$C,3,0)*-TRUNC(BH79/VLOOKUP("PCS-OzTL40",ARBOR!$A:$C,3,0)-1,4)),6))&lt;&gt;(DOLLAR(VLOOKUP("PCS-OzTL40",ARBOR!$A:$C,3,0),6)),-TRUNC(BH79/VLOOKUP("PCS-OzTL40",ARBOR!$A:$C,3,0)-1,4)+0.0001,-TRUNC(BH79/VLOOKUP("PCS-OzTL40",ARBOR!$A:$C,3,0)-1,4)))))</f>
        <v/>
      </c>
      <c r="BJ79" s="10" t="str">
        <f>IF(ISERROR(IF(BI79="","",VLOOKUP((BC79&amp;BI79&amp;"Template desconto FLAT Plano Principal Oi TV nível conta"),BENEFICIOS!$A:$G,5,0))),"Criar",IF(BI79="","",VLOOKUP((BC79&amp;BI79&amp;"Template desconto FLAT Plano Principal Oi TV nível conta"),BENEFICIOS!$A:$G,5,0)))</f>
        <v/>
      </c>
      <c r="BK79" s="8"/>
      <c r="BL79" s="3" t="str">
        <f>IF(BK79=0,"",IF(BK79=VLOOKUP("PCS-OzTL41",ARBOR!$A:$C,3,0),0.0001,IF(BK79&gt;VLOOKUP("PCS-OzTL41",ARBOR!$A:$C,3,0),"Maior que CAP!",IF((DOLLAR(BK79+(VLOOKUP("PCS-OzTL41",ARBOR!$A:$C,3,0)*-TRUNC(BK79/VLOOKUP("PCS-OzTL41",ARBOR!$A:$C,3,0)-1,4)),6))&lt;&gt;(DOLLAR(VLOOKUP("PCS-OzTL41",ARBOR!$A:$C,3,0),6)),-TRUNC(BK79/VLOOKUP("PCS-OzTL41",ARBOR!$A:$C,3,0)-1,4)+0.0001,-TRUNC(BK79/VLOOKUP("PCS-OzTL41",ARBOR!$A:$C,3,0)-1,4)))))</f>
        <v/>
      </c>
      <c r="BM79" s="28" t="str">
        <f>IF(ISERROR(IF(BL79="","",VLOOKUP((BC79&amp;BL79&amp;"Template desconto FLAT Plano Principal Oi TV nível conta"),BENEFICIOS!$A:$G,5,0))),"Criar",IF(BL79="","",VLOOKUP((BC79&amp;BL79&amp;"Template desconto FLAT Plano Principal Oi TV nível conta"),BENEFICIOS!$A:$G,5,0)))</f>
        <v/>
      </c>
      <c r="BN79" s="8"/>
      <c r="BO79" s="3" t="str">
        <f>IF(BN79=0,"",IF(BN79=VLOOKUP("PCS-OzTL44",ARBOR!$A:$C,3,0),0.0001,IF(BN79&gt;VLOOKUP("PCS-OzTL44",ARBOR!$A:$C,3,0),"Maior que CAP!",IF((DOLLAR(BN79+(VLOOKUP("PCS-OzTL44",ARBOR!$A:$C,3,0)*-TRUNC(BN79/VLOOKUP("PCS-OzTL44",ARBOR!$A:$C,3,0)-1,4)),6))&lt;&gt;(DOLLAR(VLOOKUP("PCS-OzTL44",ARBOR!$A:$C,3,0),6)),-TRUNC(BN79/VLOOKUP("PCS-OzTL44",ARBOR!$A:$C,3,0)-1,4)+0.0001,-TRUNC(BN79/VLOOKUP("PCS-OzTL44",ARBOR!$A:$C,3,0)-1,4)))))</f>
        <v/>
      </c>
      <c r="BP79" s="28" t="str">
        <f>IF(ISERROR(IF(BO79="","",VLOOKUP((BC79&amp;BO79&amp;"Template desconto FLAT Plano Principal Oi TV nível conta"),BENEFICIOS!$A:$G,5,0))),"Criar",IF(BO79="","",VLOOKUP((BC79&amp;BO79&amp;"Template desconto FLAT Plano Principal Oi TV nível conta"),BENEFICIOS!$A:$G,5,0)))</f>
        <v/>
      </c>
      <c r="BQ79" s="8"/>
      <c r="BR79" s="3" t="str">
        <f>IF(BQ79=0,"",IF(BQ79=VLOOKUP("PCS-OzTL43",ARBOR!$A:$C,3,0),0.0001,IF(BQ79&gt;VLOOKUP("PCS-OzTL43",ARBOR!$A:$C,3,0),"Maior que CAP!",IF((DOLLAR(BQ79+(VLOOKUP("PCS-OzTL43",ARBOR!$A:$C,3,0)*-TRUNC(BQ79/VLOOKUP("PCS-OzTL43",ARBOR!$A:$C,3,0)-1,4)),6))&lt;&gt;(DOLLAR(VLOOKUP("PCS-OzTL43",ARBOR!$A:$C,3,0),6)),-TRUNC(BQ79/VLOOKUP("PCS-OzTL43",ARBOR!$A:$C,3,0)-1,4)+0.0001,-TRUNC(BQ79/VLOOKUP("PCS-OzTL43",ARBOR!$A:$C,3,0)-1,4)))))</f>
        <v/>
      </c>
      <c r="BS79" s="28" t="str">
        <f>IF(ISERROR(IF(BR79="","",VLOOKUP((BC79&amp;BR79&amp;"Template desconto FLAT Plano Principal Oi TV nível conta"),BENEFICIOS!$A:$G,5,0))),"Criar",IF(BR79="","",VLOOKUP((BC79&amp;BR79&amp;"Template desconto FLAT Plano Principal Oi TV nível conta"),BENEFICIOS!$A:$G,5,0)))</f>
        <v/>
      </c>
      <c r="BT79" s="8"/>
      <c r="BU79" s="3" t="str">
        <f>IF(BT79=0,"",IF(BT79=VLOOKUP("PCS-OzTL45",ARBOR!$A:$C,3,0),0.0001,IF(BT79&gt;VLOOKUP("PCS-OzTL45",ARBOR!$A:$C,3,0),"Maior que CAP!",IF((DOLLAR(BT79+(VLOOKUP("PCS-OzTL45",ARBOR!$A:$C,3,0)*-TRUNC(BT79/VLOOKUP("PCS-OzTL45",ARBOR!$A:$C,3,0)-1,4)),6))&lt;&gt;(DOLLAR(VLOOKUP("PCS-OzTL45",ARBOR!$A:$C,3,0),6)),-TRUNC(BT79/VLOOKUP("PCS-OzTL45",ARBOR!$A:$C,3,0)-1,4)+0.0001,-TRUNC(BT79/VLOOKUP("PCS-OzTL45",ARBOR!$A:$C,3,0)-1,4)))))</f>
        <v/>
      </c>
      <c r="BV79" s="28" t="str">
        <f>IF(ISERROR(IF(BU79="","",VLOOKUP((BC79&amp;BU79&amp;"Template desconto FLAT Plano Principal Oi TV nível conta"),BENEFICIOS!$A:$G,5,0))),"Criar",IF(BU79="","",VLOOKUP((BC79&amp;BU79&amp;"Template desconto FLAT Plano Principal Oi TV nível conta"),BENEFICIOS!$A:$G,5,0)))</f>
        <v/>
      </c>
      <c r="BW79" s="8"/>
      <c r="BX79" s="3" t="str">
        <f>IF(BW79=0,"",IF(BW79=VLOOKUP("PCS-OzTL741",ARBOR!$A:$C,3,0),0.0001,IF(BW79&gt;VLOOKUP("PCS-OzTL741",ARBOR!$A:$C,3,0),"Maior que CAP!",IF((DOLLAR(BW79+(VLOOKUP("PCS-OzTL741",ARBOR!$A:$C,3,0)*-TRUNC(BW79/VLOOKUP("PCS-OzTL741",ARBOR!$A:$C,3,0)-1,4)),6))&lt;&gt;(DOLLAR(VLOOKUP("PCS-OzTL741",ARBOR!$A:$C,3,0),6)),-TRUNC(BW79/VLOOKUP("PCS-OzTL741",ARBOR!$A:$C,3,0)-1,4)+0.0001,-TRUNC(BW79/VLOOKUP("PCS-OzTL741",ARBOR!$A:$C,3,0)-1,4)))))</f>
        <v/>
      </c>
      <c r="BY79" s="28" t="str">
        <f>IF(ISERROR(IF(BX79="","",VLOOKUP((BC79&amp;BX79&amp;"Template desconto FLAT Plano Principal Oi TV nível conta"),BENEFICIOS!$A:$G,5,0))),"Criar",IF(BX79="","",VLOOKUP((BC79&amp;BX79&amp;"Template desconto FLAT Plano Principal Oi TV nível conta"),BENEFICIOS!$A:$G,5,0)))</f>
        <v/>
      </c>
      <c r="BZ79" s="8"/>
      <c r="CA79" s="3" t="str">
        <f>IF(BZ79=0,"",IF(BZ79=VLOOKUP("PCS-OzTL744",ARBOR!$A:$C,3,0),0.0001,IF(BZ79&gt;VLOOKUP("PCS-OzTL744",ARBOR!$A:$C,3,0),"Maior que CAP!",IF((DOLLAR(BZ79+(VLOOKUP("PCS-OzTL744",ARBOR!$A:$C,3,0)*-TRUNC(BZ79/VLOOKUP("PCS-OzTL744",ARBOR!$A:$C,3,0)-1,4)),6))&lt;&gt;(DOLLAR(VLOOKUP("PCS-OzTL744",ARBOR!$A:$C,3,0),6)),-TRUNC(BZ79/VLOOKUP("PCS-OzTL744",ARBOR!$A:$C,3,0)-1,4)+0.0001,-TRUNC(BZ79/VLOOKUP("PCS-OzTL744",ARBOR!$A:$C,3,0)-1,4)))))</f>
        <v/>
      </c>
      <c r="CB79" s="28" t="str">
        <f>IF(ISERROR(IF(CA79="","",VLOOKUP(($BC79&amp;CA79&amp;"Template desconto FLAT Plano Principal Oi TV nível conta"),BENEFICIOS!$A:$G,5,0))),"Criar",IF(CA79="","",VLOOKUP(($BC79&amp;CA79&amp;"Template desconto FLAT Plano Principal Oi TV nível conta"),BENEFICIOS!$A:$G,5,0)))</f>
        <v/>
      </c>
      <c r="CC79" s="8"/>
      <c r="CD79" s="3" t="str">
        <f>IF(CC79=0,"",IF(CC79=VLOOKUP("PCS-OzTL743",ARBOR!$A:$C,3,0),0.0001,IF(CC79&gt;VLOOKUP("PCS-OzTL743",ARBOR!$A:$C,3,0),"Maior que CAP!",IF((DOLLAR(CC79+(VLOOKUP("PCS-OzTL743",ARBOR!$A:$C,3,0)*-TRUNC(CC79/VLOOKUP("PCS-OzTL743",ARBOR!$A:$C,3,0)-1,4)),6))&lt;&gt;(DOLLAR(VLOOKUP("PCS-OzTL743",ARBOR!$A:$C,3,0),6)),-TRUNC(CC79/VLOOKUP("PCS-OzTL743",ARBOR!$A:$C,3,0)-1,4)+0.0001,-TRUNC(CC79/VLOOKUP("PCS-OzTL743",ARBOR!$A:$C,3,0)-1,4)))))</f>
        <v/>
      </c>
      <c r="CE79" s="28" t="str">
        <f>IF(ISERROR(IF(CD79="","",VLOOKUP(($BC79&amp;CD79&amp;"Template desconto FLAT Plano Principal Oi TV nível conta"),BENEFICIOS!$A:$G,5,0))),"Criar",IF(CD79="","",VLOOKUP(($BC79&amp;CD79&amp;"Template desconto FLAT Plano Principal Oi TV nível conta"),BENEFICIOS!$A:$G,5,0)))</f>
        <v/>
      </c>
      <c r="CF79" s="8"/>
      <c r="CG79" s="3" t="str">
        <f>IF(CF79=0,"",IF(CF79=VLOOKUP("PCS-OzTL745",ARBOR!$A:$C,3,0),0.0001,IF(CF79&gt;VLOOKUP("PCS-OzTL745",ARBOR!$A:$C,3,0),"Maior que CAP!",IF((DOLLAR(CF79+(VLOOKUP("PCS-OzTL745",ARBOR!$A:$C,3,0)*-TRUNC(CF79/VLOOKUP("PCS-OzTL745",ARBOR!$A:$C,3,0)-1,4)),6))&lt;&gt;(DOLLAR(VLOOKUP("PCS-OzTL745",ARBOR!$A:$C,3,0),6)),-TRUNC(CF79/VLOOKUP("PCS-OzTL745",ARBOR!$A:$C,3,0)-1,4)+0.0001,-TRUNC(CF79/VLOOKUP("PCS-OzTL745",ARBOR!$A:$C,3,0)-1,4)))))</f>
        <v/>
      </c>
      <c r="CH79" s="28" t="str">
        <f>IF(ISERROR(IF(CG79="","",VLOOKUP(($BC79&amp;CG79&amp;"Template desconto FLAT Plano Principal Oi TV nível conta"),BENEFICIOS!$A:$G,5,0))),"Criar",IF(CG79="","",VLOOKUP(($BC79&amp;CG79&amp;"Template desconto FLAT Plano Principal Oi TV nível conta"),BENEFICIOS!$A:$G,5,0)))</f>
        <v/>
      </c>
      <c r="CI79" s="8"/>
      <c r="CJ79" s="3" t="str">
        <f>IF(CI79=0,"",IF(CI79=VLOOKUP("PCS-OzTL42",ARBOR!$A:$C,3,0),0.0001,IF(CI79&gt;VLOOKUP("PCS-OzTL42",ARBOR!$A:$C,3,0),"Maior que CAP!",IF((DOLLAR(CI79+(VLOOKUP("PCS-OzTL42",ARBOR!$A:$C,3,0)*-TRUNC(CI79/VLOOKUP("PCS-OzTL42",ARBOR!$A:$C,3,0)-1,4)),6))&lt;&gt;(DOLLAR(VLOOKUP("PCS-OzTL42",ARBOR!$A:$C,3,0),6)),-TRUNC(CI79/VLOOKUP("PCS-OzTL42",ARBOR!$A:$C,3,0)-1,4)+0.0001,-TRUNC(CI79/VLOOKUP("PCS-OzTL42",ARBOR!$A:$C,3,0)-1,4)))))</f>
        <v/>
      </c>
      <c r="CK79" s="28" t="str">
        <f>IF(ISERROR(IF(CJ79="","",VLOOKUP(($BC79&amp;CJ79&amp;"Template desconto FLAT Plano Principal Oi TV nível conta"),BENEFICIOS!$A:$G,5,0))),"Criar",IF(CJ79="","",VLOOKUP(($BC79&amp;CJ79&amp;"Template desconto FLAT Plano Principal Oi TV nível conta"),BENEFICIOS!$A:$G,5,0)))</f>
        <v/>
      </c>
      <c r="CL79" s="8"/>
      <c r="CM79" s="3" t="str">
        <f>IF(CL79=0,"",IF(CL79=VLOOKUP("PCS-OzTL47",ARBOR!$A:$C,3,0),0.0001,IF(CL79&gt;VLOOKUP("PCS-OzTL47",ARBOR!$A:$C,3,0),"Maior que CAP!",IF((DOLLAR(CL79+(VLOOKUP("PCS-OzTL47",ARBOR!$A:$C,3,0)*-TRUNC(CL79/VLOOKUP("PCS-OzTL47",ARBOR!$A:$C,3,0)-1,4)),6))&lt;&gt;(DOLLAR(VLOOKUP("PCS-OzTL47",ARBOR!$A:$C,3,0),6)),-TRUNC(CL79/VLOOKUP("PCS-OzTL47",ARBOR!$A:$C,3,0)-1,4)+0.0001,-TRUNC(CL79/VLOOKUP("PCS-OzTL47",ARBOR!$A:$C,3,0)-1,4)))))</f>
        <v/>
      </c>
      <c r="CN79" s="28" t="str">
        <f>IF(ISERROR(IF(CM79="","",VLOOKUP(($BC79&amp;CM79&amp;"Template desconto FLAT Plano Principal Oi TV nível conta"),BENEFICIOS!$A:$G,5,0))),"Criar",IF(CM79="","",VLOOKUP(($BC79&amp;CM79&amp;"Template desconto FLAT Plano Principal Oi TV nível conta"),BENEFICIOS!$A:$G,5,0)))</f>
        <v/>
      </c>
      <c r="CO79" s="8"/>
      <c r="CP79" s="3" t="str">
        <f>IF(CO79=0,"",IF(CO79=VLOOKUP("PCS-OzTL46",ARBOR!$A:$C,3,0),0.0001,IF(CO79&gt;VLOOKUP("PCS-OzTL46",ARBOR!$A:$C,3,0),"Maior que CAP!",IF((DOLLAR(CO79+(VLOOKUP("PCS-OzTL46",ARBOR!$A:$C,3,0)*-TRUNC(CO79/VLOOKUP("PCS-OzTL46",ARBOR!$A:$C,3,0)-1,4)),6))&lt;&gt;(DOLLAR(VLOOKUP("PCS-OzTL46",ARBOR!$A:$C,3,0),6)),-TRUNC(CO79/VLOOKUP("PCS-OzTL46",ARBOR!$A:$C,3,0)-1,4)+0.0001,-TRUNC(CO79/VLOOKUP("PCS-OzTL46",ARBOR!$A:$C,3,0)-1,4)))))</f>
        <v/>
      </c>
      <c r="CQ79" s="28" t="str">
        <f>IF(ISERROR(IF(CP79="","",VLOOKUP(($BC79&amp;CP79&amp;"Template desconto FLAT Plano Principal Oi TV nível conta"),BENEFICIOS!$A:$G,5,0))),"Criar",IF(CP79="","",VLOOKUP(($BC79&amp;CP79&amp;"Template desconto FLAT Plano Principal Oi TV nível conta"),BENEFICIOS!$A:$G,5,0)))</f>
        <v/>
      </c>
      <c r="CR79" s="8"/>
      <c r="CS79" s="3" t="str">
        <f>IF(CR79=0,"",IF(CR79=VLOOKUP("PCS-OzTL48",ARBOR!$A:$C,3,0),0.0001,IF(CR79&gt;VLOOKUP("PCS-OzTL48",ARBOR!$A:$C,3,0),"Maior que CAP!",IF((DOLLAR(CR79+(VLOOKUP("PCS-OzTL48",ARBOR!$A:$C,3,0)*-TRUNC(CR79/VLOOKUP("PCS-OzTL48",ARBOR!$A:$C,3,0)-1,4)),6))&lt;&gt;(DOLLAR(VLOOKUP("PCS-OzTL48",ARBOR!$A:$C,3,0),6)),-TRUNC(CR79/VLOOKUP("PCS-OzTL48",ARBOR!$A:$C,3,0)-1,4)+0.0001,-TRUNC(CR79/VLOOKUP("PCS-OzTL48",ARBOR!$A:$C,3,0)-1,4)))))</f>
        <v/>
      </c>
      <c r="CT79" s="28" t="str">
        <f>IF(ISERROR(IF(CS79="","",VLOOKUP(($BC79&amp;CS79&amp;"Template desconto FLAT Plano Principal Oi TV nível conta"),BENEFICIOS!$A:$G,5,0))),"Criar",IF(CS79="","",VLOOKUP(($BC79&amp;CS79&amp;"Template desconto FLAT Plano Principal Oi TV nível conta"),BENEFICIOS!$A:$G,5,0)))</f>
        <v/>
      </c>
      <c r="CU79" s="8"/>
      <c r="CV79" s="3" t="str">
        <f>IF(CU79=0,"",IF(CU79=VLOOKUP("PCS-OzTL742",ARBOR!$A:$C,3,0),0.0001,IF(CU79&gt;VLOOKUP("PCS-OzTL742",ARBOR!$A:$C,3,0),"Maior que CAP!",IF((DOLLAR(CU79+(VLOOKUP("PCS-OzTL742",ARBOR!$A:$C,3,0)*-TRUNC(CU79/VLOOKUP("PCS-OzTL742",ARBOR!$A:$C,3,0)-1,4)),6))&lt;&gt;(DOLLAR(VLOOKUP("PCS-OzTL742",ARBOR!$A:$C,3,0),6)),-TRUNC(CU79/VLOOKUP("PCS-OzTL742",ARBOR!$A:$C,3,0)-1,4)+0.0001,-TRUNC(CU79/VLOOKUP("PCS-OzTL742",ARBOR!$A:$C,3,0)-1,4)))))</f>
        <v/>
      </c>
      <c r="CW79" s="28" t="str">
        <f>IF(ISERROR(IF(CV79="","",VLOOKUP(($BC79&amp;CV79&amp;"Template desconto FLAT Plano Principal Oi TV nível conta"),BENEFICIOS!$A:$G,5,0))),"Criar",IF(CV79="","",VLOOKUP(($BC79&amp;CV79&amp;"Template desconto FLAT Plano Principal Oi TV nível conta"),BENEFICIOS!$A:$G,5,0)))</f>
        <v/>
      </c>
      <c r="CX79" s="8"/>
      <c r="CY79" s="3" t="str">
        <f>IF(CX79=0,"",IF(CX79=VLOOKUP("PCS-OzTL747",ARBOR!$A:$C,3,0),0.0001,IF(CX79&gt;VLOOKUP("PCS-OzTL747",ARBOR!$A:$C,3,0),"Maior que CAP!",IF((DOLLAR(CX79+(VLOOKUP("PCS-OzTL747",ARBOR!$A:$C,3,0)*-TRUNC(CX79/VLOOKUP("PCS-OzTL747",ARBOR!$A:$C,3,0)-1,4)),6))&lt;&gt;(DOLLAR(VLOOKUP("PCS-OzTL747",ARBOR!$A:$C,3,0),6)),-TRUNC(CX79/VLOOKUP("PCS-OzTL747",ARBOR!$A:$C,3,0)-1,4)+0.0001,-TRUNC(CX79/VLOOKUP("PCS-OzTL747",ARBOR!$A:$C,3,0)-1,4)))))</f>
        <v/>
      </c>
      <c r="CZ79" s="28" t="str">
        <f>IF(ISERROR(IF(CY79="","",VLOOKUP(($BC79&amp;CY79&amp;"Template desconto FLAT Plano Principal Oi TV nível conta"),BENEFICIOS!$A:$G,5,0))),"Criar",IF(CY79="","",VLOOKUP(($BC79&amp;CY79&amp;"Template desconto FLAT Plano Principal Oi TV nível conta"),BENEFICIOS!$A:$G,5,0)))</f>
        <v/>
      </c>
      <c r="DA79" s="8"/>
      <c r="DB79" s="3" t="str">
        <f>IF(DA79=0,"",IF(DA79=VLOOKUP("PCS-OzTL746",ARBOR!$A:$C,3,0),0.0001,IF(DA79&gt;VLOOKUP("PCS-OzTL746",ARBOR!$A:$C,3,0),"Maior que CAP!",IF((DOLLAR(DA79+(VLOOKUP("PCS-OzTL746",ARBOR!$A:$C,3,0)*-TRUNC(DA79/VLOOKUP("PCS-OzTL746",ARBOR!$A:$C,3,0)-1,4)),6))&lt;&gt;(DOLLAR(VLOOKUP("PCS-OzTL746",ARBOR!$A:$C,3,0),6)),-TRUNC(DA79/VLOOKUP("PCS-OzTL746",ARBOR!$A:$C,3,0)-1,4)+0.0001,-TRUNC(DA79/VLOOKUP("PCS-OzTL746",ARBOR!$A:$C,3,0)-1,4)))))</f>
        <v/>
      </c>
      <c r="DC79" s="28" t="str">
        <f>IF(ISERROR(IF(DB79="","",VLOOKUP(($BC79&amp;DB79&amp;"Template desconto FLAT Plano Principal Oi TV nível conta"),BENEFICIOS!$A:$G,5,0))),"Criar",IF(DB79="","",VLOOKUP(($BC79&amp;DB79&amp;"Template desconto FLAT Plano Principal Oi TV nível conta"),BENEFICIOS!$A:$G,5,0)))</f>
        <v/>
      </c>
      <c r="DD79" s="8"/>
      <c r="DE79" s="3" t="str">
        <f>IF(DD79=0,"",IF(DD79=VLOOKUP("PCS-OzTL748",ARBOR!$A:$C,3,0),0.0001,IF(DD79&gt;VLOOKUP("PCS-OzTL748",ARBOR!$A:$C,3,0),"Maior que CAP!",IF((DOLLAR(DD79+(VLOOKUP("PCS-OzTL748",ARBOR!$A:$C,3,0)*-TRUNC(DD79/VLOOKUP("PCS-OzTL748",ARBOR!$A:$C,3,0)-1,4)),6))&lt;&gt;(DOLLAR(VLOOKUP("PCS-OzTL748",ARBOR!$A:$C,3,0),6)),-TRUNC(DD79/VLOOKUP("PCS-OzTL748",ARBOR!$A:$C,3,0)-1,4)+0.0001,-TRUNC(DD79/VLOOKUP("PCS-OzTL748",ARBOR!$A:$C,3,0)-1,4)))))</f>
        <v/>
      </c>
      <c r="DF79" s="28" t="str">
        <f>IF(ISERROR(IF(DE79="","",VLOOKUP(($BC79&amp;DE79&amp;"Template desconto FLAT Plano Principal Oi TV nível conta"),BENEFICIOS!$A:$G,5,0))),"Criar",IF(DE79="","",VLOOKUP(($BC79&amp;DE79&amp;"Template desconto FLAT Plano Principal Oi TV nível conta"),BENEFICIOS!$A:$G,5,0)))</f>
        <v/>
      </c>
      <c r="DG79" s="8"/>
      <c r="DH79" s="3" t="str">
        <f>IF(DG79=0,"",IF(DG79=VLOOKUP("PCS-OzTL34",ARBOR!$A:$C,3,0),0.0001,IF(DG79&gt;VLOOKUP("PCS-OzTL34",ARBOR!$A:$C,3,0),"Maior que CAP!",IF((DOLLAR(DG79+(VLOOKUP("PCS-OzTL34",ARBOR!$A:$C,3,0)*-TRUNC(DG79/VLOOKUP("PCS-OzTL34",ARBOR!$A:$C,3,0)-1,4)),6))&lt;&gt;(DOLLAR(VLOOKUP("PCS-OzTL34",ARBOR!$A:$C,3,0),6)),-TRUNC(DG79/VLOOKUP("PCS-OzTL34",ARBOR!$A:$C,3,0)-1,4)+0.0001,-TRUNC(DG79/VLOOKUP("PCS-OzTL34",ARBOR!$A:$C,3,0)-1,4)))))</f>
        <v/>
      </c>
      <c r="DI79" s="28" t="str">
        <f>IF(DH79="S/Desc","S/Desc",IF(ISERROR(IF(DH79="","",VLOOKUP(($BC79&amp;DH79&amp;"Template desconto % Combate nível conta"),BENEFICIOS!$A:$G,5,0))),"Criar",IF(DH79="","",VLOOKUP(($BC79&amp;DH79&amp;"Template desconto % Combate nível conta"),BENEFICIOS!$A:$G,5,0))))</f>
        <v/>
      </c>
      <c r="DJ79" s="8"/>
      <c r="DK79" s="3" t="str">
        <f>IF(DJ79=0,"",IF(DJ79=VLOOKUP("PCS-OzTL31",ARBOR!$A:$C,3,0),0.0001,IF(DJ79&gt;VLOOKUP("PCS-OzTL31",ARBOR!$A:$C,3,0),"Maior que CAP!",IF((DOLLAR(DJ79+(VLOOKUP("PCS-OzTL31",ARBOR!$A:$C,3,0)*-TRUNC(DJ79/VLOOKUP("PCS-OzTL31",ARBOR!$A:$C,3,0)-1,4)),6))&lt;&gt;(DOLLAR(VLOOKUP("PCS-OzTL31",ARBOR!$A:$C,3,0),6)),-TRUNC(DJ79/VLOOKUP("PCS-OzTL31",ARBOR!$A:$C,3,0)-1,4)+0.0001,-TRUNC(DJ79/VLOOKUP("PCS-OzTL31",ARBOR!$A:$C,3,0)-1,4)))))</f>
        <v/>
      </c>
      <c r="DL79" s="28" t="str">
        <f>IF(DK79="S/Desc","S/Desc",IF(ISERROR(IF(DK79="","",VLOOKUP(($BC79&amp;DK79&amp;"Template desconto % Sexy Hot nível conta"),BENEFICIOS!$A:$G,5,0))),"Criar",IF(DK79="","",VLOOKUP(($BC79&amp;DK79&amp;"Template desconto % Sexy Hot nível conta"),BENEFICIOS!$A:$G,5,0))))</f>
        <v/>
      </c>
      <c r="DM79" s="8"/>
      <c r="DN79" s="3" t="str">
        <f>IF(DM79=0,"",IF(DM79=VLOOKUP("PCS-OzTL32",ARBOR!$A:$C,3,0),0.0001,IF(DM79&gt;VLOOKUP("PCS-OzTL32",ARBOR!$A:$C,3,0),"Maior que CAP!",IF((DOLLAR(DM79+(VLOOKUP("PCS-OzTL32",ARBOR!$A:$C,3,0)*-TRUNC(DM79/VLOOKUP("PCS-OzTL32",ARBOR!$A:$C,3,0)-1,4)),6))&lt;&gt;(DOLLAR(VLOOKUP("PCS-OzTL32",ARBOR!$A:$C,3,0),6)),-TRUNC(DM79/VLOOKUP("PCS-OzTL32",ARBOR!$A:$C,3,0)-1,4)+0.0001,-TRUNC(DM79/VLOOKUP("PCS-OzTL32",ARBOR!$A:$C,3,0)-1,4)))))</f>
        <v/>
      </c>
      <c r="DO79" s="28" t="str">
        <f>IF(DN79="S/Desc","S/Desc",IF(ISERROR(IF(DN79="","",VLOOKUP(($BC79&amp;DN79&amp;"Template desconto % Playboy nível conta"),BENEFICIOS!$A:$G,5,0))),"Criar",IF(DN79="","",VLOOKUP(($BC79&amp;DN79&amp;"Template desconto % Playboy nível conta"),BENEFICIOS!$A:$G,5,0))))</f>
        <v/>
      </c>
      <c r="DP79" s="8"/>
      <c r="DQ79" s="3" t="str">
        <f>IF(DP79=0,"",IF(DP79=VLOOKUP("PCS-OzTL33",ARBOR!$A:$C,3,0),0.0001,IF(DP79&gt;VLOOKUP("PCS-OzTL33",ARBOR!$A:$C,3,0),"Maior que CAP!",IF((DOLLAR(DP79+(VLOOKUP("PCS-OzTL33",ARBOR!$A:$C,3,0)*-TRUNC(DP79/VLOOKUP("PCS-OzTL33",ARBOR!$A:$C,3,0)-1,4)),6))&lt;&gt;(DOLLAR(VLOOKUP("PCS-OzTL33",ARBOR!$A:$C,3,0),6)),-TRUNC(DP79/VLOOKUP("PCS-OzTL33",ARBOR!$A:$C,3,0)-1,4)+0.0001,-TRUNC(DP79/VLOOKUP("PCS-OzTL33",ARBOR!$A:$C,3,0)-1,4)))))</f>
        <v/>
      </c>
      <c r="DR79" s="28" t="str">
        <f>IF(DQ79="S/Desc","S/Desc",IF(ISERROR(IF(DQ79="","",VLOOKUP(($BC79&amp;DQ79&amp;"Template desconto % Sexy Hot + Playboy nível conta"),BENEFICIOS!$A:$G,5,0))),"Criar",IF(DQ79="","",VLOOKUP(($BC79&amp;DQ79&amp;"Template desconto % Sexy Hot + Playboy nível conta"),BENEFICIOS!$A:$G,5,0))))</f>
        <v/>
      </c>
      <c r="DS79" s="8"/>
      <c r="DT79" s="3" t="str">
        <f>IF(DS79=0,"",IF(DS79=VLOOKUP("PCS-OzTL503",ARBOR!$A:$C,3,0),0.0001,IF(DS79&gt;VLOOKUP("PCS-OzTL503",ARBOR!$A:$C,3,0),"Maior que CAP!",IF((DOLLAR(DS79+(VLOOKUP("PCS-OzTL503",ARBOR!$A:$C,3,0)*-TRUNC(DS79/VLOOKUP("PCS-OzTL503",ARBOR!$A:$C,3,0)-1,4)),6))&lt;&gt;(DOLLAR(VLOOKUP("PCS-OzTL503",ARBOR!$A:$C,3,0),6)),-TRUNC(DS79/VLOOKUP("PCS-OzTL503",ARBOR!$A:$C,3,0)-1,4)+0.0001,-TRUNC(DS79/VLOOKUP("PCS-OzTL503",ARBOR!$A:$C,3,0)-1,4)))))</f>
        <v/>
      </c>
      <c r="DU79" s="28" t="str">
        <f>IF(DT79="S/Desc","S/Desc",IF(ISERROR(IF(DT79="","",VLOOKUP(($BC79&amp;DT79&amp;"Template desconto % SexPrivê nível conta"),BENEFICIOS!$A:$G,5,0))),"Criar",IF(DT79="","",VLOOKUP(($BC79&amp;DT79&amp;"Template desconto % SexPrivê nível conta"),BENEFICIOS!$A:$G,5,0))))</f>
        <v/>
      </c>
      <c r="DV79" s="8"/>
      <c r="DW79" s="3" t="str">
        <f>IF(DV79=0,"",IF(DV79=VLOOKUP("PCS-OzTL500",ARBOR!$A:$C,3,0),0.0001,IF(DV79&gt;VLOOKUP("PCS-OzTL500",ARBOR!$A:$C,3,0),"Maior que CAP!",IF((DOLLAR(DV79+(VLOOKUP("PCS-OzTL500",ARBOR!$A:$C,3,0)*-TRUNC(DV79/VLOOKUP("PCS-OzTL500",ARBOR!$A:$C,3,0)-1,4)),6))&lt;&gt;(DOLLAR(VLOOKUP("PCS-OzTL500",ARBOR!$A:$C,3,0),6)),-TRUNC(DV79/VLOOKUP("PCS-OzTL500",ARBOR!$A:$C,3,0)-1,4)+0.0001,-TRUNC(DV79/VLOOKUP("PCS-OzTL500",ARBOR!$A:$C,3,0)-1,4)))))</f>
        <v/>
      </c>
      <c r="DX79" s="28" t="str">
        <f>IF(DW79="S/Desc","S/Desc",IF(ISERROR(IF(DW79="","",VLOOKUP(($BC79&amp;DW79&amp;"Template desconto % Étnico nível conta"),BENEFICIOS!$A:$G,5,0))),"Criar",IF(DW79="","",VLOOKUP(($BC79&amp;DW79&amp;"Template desconto % Étnico nível conta"),BENEFICIOS!$A:$G,5,0))))</f>
        <v/>
      </c>
      <c r="DY79" s="8"/>
      <c r="DZ79" s="181" t="str">
        <f>IF(DY79=0,"",IF(DY79=VLOOKUP("PCS-OzTL50",ARBOR!$A:$C,3,0),0.0001,IF(DY79&gt;VLOOKUP("PCS-OzTL50",ARBOR!$A:$C,3,0),"Maior que CAP!",IF((DOLLAR(DY79+(VLOOKUP("PCS-OzTL50",ARBOR!$A:$C,3,0)*-TRUNC(DY79/VLOOKUP("PCS-OzTL50",ARBOR!$A:$C,3,0)-1,4)),6))&lt;&gt;(DOLLAR(VLOOKUP("PCS-OzTL50",ARBOR!$A:$C,3,0),6)),-TRUNC(DY79/VLOOKUP("PCS-OzTL50",ARBOR!$A:$C,3,0)-1,4)+0.0001,-TRUNC(DY79/VLOOKUP("PCS-OzTL50",ARBOR!$A:$C,3,0)-1,4)))))</f>
        <v/>
      </c>
      <c r="EA79" s="28"/>
      <c r="EB79" s="8"/>
      <c r="EC79" s="181" t="str">
        <f>IF(EB79=0,"",IF(EB79=VLOOKUP("PCS-OzTL51",ARBOR!$A:$C,3,0),0.0001,IF(EB79&gt;VLOOKUP("PCS-OzTL51",ARBOR!$A:$C,3,0),"Maior que CAP!",IF((DOLLAR(EB79+(VLOOKUP("PCS-OzTL51",ARBOR!$A:$C,3,0)*-TRUNC(EB79/VLOOKUP("PCS-OzTL51",ARBOR!$A:$C,3,0)-1,4)),6))&lt;&gt;(DOLLAR(VLOOKUP("PCS-OzTL51",ARBOR!$A:$C,3,0),6)),-TRUNC(EB79/VLOOKUP("PCS-OzTL51",ARBOR!$A:$C,3,0)-1,4)+0.0001,-TRUNC(EB79/VLOOKUP("PCS-OzTL51",ARBOR!$A:$C,3,0)-1,4)))))</f>
        <v/>
      </c>
      <c r="ED79" s="28"/>
      <c r="EE79" s="8"/>
      <c r="EF79" s="181" t="str">
        <f>IF(EE79=0,"",IF(EE79=VLOOKUP("PCS-OzTL52",ARBOR!$A:$C,3,0),0.0001,IF(EE79&gt;VLOOKUP("PCS-OzTL52",ARBOR!$A:$C,3,0),"Maior que CAP!",IF((DOLLAR(EE79+(VLOOKUP("PCS-OzTL52",ARBOR!$A:$C,3,0)*-TRUNC(EE79/VLOOKUP("PCS-OzTL52",ARBOR!$A:$C,3,0)-1,4)),6))&lt;&gt;(DOLLAR(VLOOKUP("PCS-OzTL52",ARBOR!$A:$C,3,0),6)),-TRUNC(EE79/VLOOKUP("PCS-OzTL52",ARBOR!$A:$C,3,0)-1,4)+0.0001,-TRUNC(EE79/VLOOKUP("PCS-OzTL52",ARBOR!$A:$C,3,0)-1,4)))))</f>
        <v/>
      </c>
      <c r="EG79" s="28"/>
      <c r="EH79" s="8"/>
      <c r="EI79" s="181" t="str">
        <f>IF(EH79=0,"",IF(EH79=VLOOKUP("PCS-OzTL53",ARBOR!$A:$C,3,0),0.0001,IF(EH79&gt;VLOOKUP("PCS-OzTL53",ARBOR!$A:$C,3,0),"Maior que CAP!",IF((DOLLAR(EH79+(VLOOKUP("PCS-OzTL53",ARBOR!$A:$C,3,0)*-TRUNC(EH79/VLOOKUP("PCS-OzTL53",ARBOR!$A:$C,3,0)-1,4)),6))&lt;&gt;(DOLLAR(VLOOKUP("PCS-OzTL53",ARBOR!$A:$C,3,0),6)),-TRUNC(EH79/VLOOKUP("PCS-OzTL53",ARBOR!$A:$C,3,0)-1,4)+0.0001,-TRUNC(EH79/VLOOKUP("PCS-OzTL53",ARBOR!$A:$C,3,0)-1,4)))))</f>
        <v/>
      </c>
      <c r="EJ79" s="28"/>
      <c r="EK79" s="8"/>
      <c r="EL79" s="181" t="str">
        <f>IF(EK79=0,"",IF(EK79=VLOOKUP("PCS-OzTL54",ARBOR!$A:$C,3,0),0.0001,IF(EK79&gt;VLOOKUP("PCS-OzTL54",ARBOR!$A:$C,3,0),"Maior que CAP!",IF((DOLLAR(EK79+(VLOOKUP("PCS-OzTL54",ARBOR!$A:$C,3,0)*-TRUNC(EK79/VLOOKUP("PCS-OzTL54",ARBOR!$A:$C,3,0)-1,4)),6))&lt;&gt;(DOLLAR(VLOOKUP("PCS-OzTL54",ARBOR!$A:$C,3,0),6)),-TRUNC(EK79/VLOOKUP("PCS-OzTL54",ARBOR!$A:$C,3,0)-1,4)+0.0001,-TRUNC(EK79/VLOOKUP("PCS-OzTL54",ARBOR!$A:$C,3,0)-1,4)))))</f>
        <v/>
      </c>
      <c r="EM79" s="28"/>
      <c r="EN79" s="8"/>
      <c r="EO79" s="3" t="str">
        <f>IF(EN79=0,"",IF(EN79=VLOOKUP("PCS-OzTL99",ARBOR!$A:$C,3,0),0.0001,IF(EN79&gt;VLOOKUP("PCS-OzTL99",ARBOR!$A:$C,3,0),"Maior que CAP!",IF((DOLLAR(EN79+(VLOOKUP("PCS-OzTL99",ARBOR!$A:$C,3,0)*-TRUNC(EN79/VLOOKUP("PCS-OzTL99",ARBOR!$A:$C,3,0)-1,4)),6))&lt;&gt;(DOLLAR(VLOOKUP("PCS-OzTL99",ARBOR!$A:$C,3,0),6)),-TRUNC(EN79/VLOOKUP("PCS-OzTL99",ARBOR!$A:$C,3,0)-1,4)+0.0001,-TRUNC(EN79/VLOOKUP("PCS-OzTL99",ARBOR!$A:$C,3,0)-1,4)))))</f>
        <v/>
      </c>
      <c r="EP79" s="28" t="str">
        <f>IF(EO79="S/Desc","S/Desc",IF(ISERROR(IF(EO79="","",VLOOKUP(($BC79&amp;EO79&amp;"Template desconto % Ponto adicional nível conta"),BENEFICIOS!$A:$G,5,0))),"Criar",IF(EO79="","",VLOOKUP(($BC79&amp;EO79&amp;"Template desconto % Ponto adicional nível conta"),BENEFICIOS!$A:$G,5,0))))</f>
        <v/>
      </c>
      <c r="EQ79" s="8"/>
      <c r="ER79" s="28" t="str">
        <f t="shared" si="23"/>
        <v/>
      </c>
      <c r="ES79" s="62"/>
      <c r="ET79" s="126"/>
      <c r="EU79" s="127"/>
      <c r="EV79" s="126"/>
      <c r="EW79" s="128" t="str">
        <f t="shared" si="24"/>
        <v/>
      </c>
      <c r="EX79" s="129" t="str">
        <f t="shared" si="25"/>
        <v/>
      </c>
      <c r="EY79" s="91" t="str">
        <f t="shared" si="26"/>
        <v/>
      </c>
      <c r="EZ79" s="85"/>
      <c r="FA79" s="97"/>
      <c r="FB79" s="91"/>
      <c r="FC79" s="85"/>
      <c r="FD79" s="97"/>
      <c r="FE79" s="91"/>
      <c r="FF79" s="87"/>
      <c r="FG79" s="144" t="str">
        <f t="shared" si="27"/>
        <v/>
      </c>
      <c r="FH79" s="144" t="str">
        <f t="shared" si="28"/>
        <v/>
      </c>
      <c r="FI79" s="144" t="str">
        <f t="shared" si="29"/>
        <v/>
      </c>
      <c r="FJ79" s="144" t="str">
        <f t="shared" si="30"/>
        <v/>
      </c>
      <c r="FK79" s="144" t="str">
        <f t="shared" si="31"/>
        <v/>
      </c>
      <c r="FL79" s="144" t="str">
        <f t="shared" si="32"/>
        <v/>
      </c>
      <c r="FM79" s="144" t="str">
        <f t="shared" si="33"/>
        <v/>
      </c>
      <c r="FN79" s="144" t="str">
        <f t="shared" si="34"/>
        <v/>
      </c>
      <c r="FO79" s="144" t="str">
        <f t="shared" si="35"/>
        <v/>
      </c>
      <c r="FP79" s="144" t="str">
        <f t="shared" si="36"/>
        <v/>
      </c>
      <c r="FQ79" s="144" t="str">
        <f t="shared" si="37"/>
        <v/>
      </c>
      <c r="FR79" s="144" t="str">
        <f t="shared" si="38"/>
        <v/>
      </c>
      <c r="FS79" s="144" t="str">
        <f t="shared" si="39"/>
        <v/>
      </c>
      <c r="FT79" s="144" t="str">
        <f t="shared" si="40"/>
        <v/>
      </c>
      <c r="FU79" s="144" t="str">
        <f t="shared" si="41"/>
        <v/>
      </c>
      <c r="FV79" s="144" t="str">
        <f t="shared" si="42"/>
        <v/>
      </c>
      <c r="FW79" s="144" t="str">
        <f t="shared" si="43"/>
        <v/>
      </c>
      <c r="FX79" s="151"/>
      <c r="FY79" s="152"/>
      <c r="FZ79" s="152"/>
      <c r="GA79" s="152"/>
      <c r="GB79" s="152"/>
      <c r="GC79" s="152"/>
      <c r="GD79" s="152"/>
      <c r="GE79" s="152"/>
      <c r="GF79" s="152"/>
      <c r="GG79" s="153"/>
    </row>
    <row r="80" spans="1:189">
      <c r="A80" s="45"/>
      <c r="B80" s="133"/>
      <c r="C80" s="133"/>
      <c r="D80" s="46"/>
      <c r="E80" s="4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9"/>
      <c r="U80" s="48"/>
      <c r="V80" s="49"/>
      <c r="W80" s="48"/>
      <c r="X80" s="48"/>
      <c r="Y80" s="48"/>
      <c r="Z80" s="48"/>
      <c r="AA80" s="49"/>
      <c r="AB80" s="48"/>
      <c r="AC80" s="50"/>
      <c r="AD80" s="48"/>
      <c r="AE80" s="48"/>
      <c r="AF80" s="48"/>
      <c r="AG80" s="48"/>
      <c r="AH80" s="48"/>
      <c r="AI80" s="48"/>
      <c r="AJ80" s="48"/>
      <c r="AK80" s="48"/>
      <c r="AL80" s="51"/>
      <c r="AM80" s="37"/>
      <c r="AN80" s="38"/>
      <c r="AO80" s="39"/>
      <c r="AP80" s="52"/>
      <c r="AQ80" s="53"/>
      <c r="AR80" s="64"/>
      <c r="AS80" s="65"/>
      <c r="AT80" s="54"/>
      <c r="AU80" s="54"/>
      <c r="AV80" s="54"/>
      <c r="AW80" s="54"/>
      <c r="AX80" s="70"/>
      <c r="AY80" s="71"/>
      <c r="AZ80" s="72"/>
      <c r="BA80" s="73"/>
      <c r="BB80" s="55"/>
      <c r="BC80" s="56"/>
      <c r="BD80" s="27" t="str">
        <f t="shared" si="22"/>
        <v/>
      </c>
      <c r="BE80" s="58"/>
      <c r="BF80" s="3" t="str">
        <f>IF(BE80=0,"",IF(BE80=VLOOKUP("FIXO",ARBOR!$A:$C,3,0),0.0001,IF(BE80&gt;VLOOKUP("FIXO",ARBOR!$A:$C,3,0),"Maior que CAP!",IF((DOLLAR(BE80+(VLOOKUP("FIXO",ARBOR!$A:$C,3,0)*-TRUNC(BE80/VLOOKUP("FIXO",ARBOR!$A:$C,3,0)-1,4)),6))&lt;&gt;(DOLLAR(VLOOKUP("FIXO",ARBOR!$A:$C,3,0),6)),-TRUNC(BE80/VLOOKUP("FIXO",ARBOR!$A:$C,3,0)-1,4)+0.0001,-TRUNC(BE80/VLOOKUP("FIXO",ARBOR!$A:$C,3,0)-1,4)))))</f>
        <v/>
      </c>
      <c r="BG80" s="10" t="str">
        <f>IF(ISERROR(IF(BF80="","",VLOOKUP(($BC80&amp;BF80&amp;"Template de desconto FLAT bundle - Fixo - Varejo - Ganho Tributário Cross"),BENEFICIOS!$A:$G,5,0))),"Criar",IF(BF80="","",VLOOKUP(($BC80&amp;BF80&amp;"Template de desconto FLAT bundle - Fixo - Varejo - Ganho Tributário Cross"),BENEFICIOS!$A:$G,5,0)))</f>
        <v/>
      </c>
      <c r="BH80" s="8"/>
      <c r="BI80" s="3" t="str">
        <f>IF(BH80=0,"",IF(BH80=VLOOKUP("PCS-OzTL40",ARBOR!$A:$C,3,0),0.0001,IF(BH80&gt;VLOOKUP("PCS-OzTL40",ARBOR!$A:$C,3,0),"Maior que CAP!",IF((DOLLAR(BH80+(VLOOKUP("PCS-OzTL40",ARBOR!$A:$C,3,0)*-TRUNC(BH80/VLOOKUP("PCS-OzTL40",ARBOR!$A:$C,3,0)-1,4)),6))&lt;&gt;(DOLLAR(VLOOKUP("PCS-OzTL40",ARBOR!$A:$C,3,0),6)),-TRUNC(BH80/VLOOKUP("PCS-OzTL40",ARBOR!$A:$C,3,0)-1,4)+0.0001,-TRUNC(BH80/VLOOKUP("PCS-OzTL40",ARBOR!$A:$C,3,0)-1,4)))))</f>
        <v/>
      </c>
      <c r="BJ80" s="10" t="str">
        <f>IF(ISERROR(IF(BI80="","",VLOOKUP((BC80&amp;BI80&amp;"Template desconto FLAT Plano Principal Oi TV nível conta"),BENEFICIOS!$A:$G,5,0))),"Criar",IF(BI80="","",VLOOKUP((BC80&amp;BI80&amp;"Template desconto FLAT Plano Principal Oi TV nível conta"),BENEFICIOS!$A:$G,5,0)))</f>
        <v/>
      </c>
      <c r="BK80" s="8"/>
      <c r="BL80" s="3" t="str">
        <f>IF(BK80=0,"",IF(BK80=VLOOKUP("PCS-OzTL41",ARBOR!$A:$C,3,0),0.0001,IF(BK80&gt;VLOOKUP("PCS-OzTL41",ARBOR!$A:$C,3,0),"Maior que CAP!",IF((DOLLAR(BK80+(VLOOKUP("PCS-OzTL41",ARBOR!$A:$C,3,0)*-TRUNC(BK80/VLOOKUP("PCS-OzTL41",ARBOR!$A:$C,3,0)-1,4)),6))&lt;&gt;(DOLLAR(VLOOKUP("PCS-OzTL41",ARBOR!$A:$C,3,0),6)),-TRUNC(BK80/VLOOKUP("PCS-OzTL41",ARBOR!$A:$C,3,0)-1,4)+0.0001,-TRUNC(BK80/VLOOKUP("PCS-OzTL41",ARBOR!$A:$C,3,0)-1,4)))))</f>
        <v/>
      </c>
      <c r="BM80" s="28" t="str">
        <f>IF(ISERROR(IF(BL80="","",VLOOKUP((BC80&amp;BL80&amp;"Template desconto FLAT Plano Principal Oi TV nível conta"),BENEFICIOS!$A:$G,5,0))),"Criar",IF(BL80="","",VLOOKUP((BC80&amp;BL80&amp;"Template desconto FLAT Plano Principal Oi TV nível conta"),BENEFICIOS!$A:$G,5,0)))</f>
        <v/>
      </c>
      <c r="BN80" s="8"/>
      <c r="BO80" s="3" t="str">
        <f>IF(BN80=0,"",IF(BN80=VLOOKUP("PCS-OzTL44",ARBOR!$A:$C,3,0),0.0001,IF(BN80&gt;VLOOKUP("PCS-OzTL44",ARBOR!$A:$C,3,0),"Maior que CAP!",IF((DOLLAR(BN80+(VLOOKUP("PCS-OzTL44",ARBOR!$A:$C,3,0)*-TRUNC(BN80/VLOOKUP("PCS-OzTL44",ARBOR!$A:$C,3,0)-1,4)),6))&lt;&gt;(DOLLAR(VLOOKUP("PCS-OzTL44",ARBOR!$A:$C,3,0),6)),-TRUNC(BN80/VLOOKUP("PCS-OzTL44",ARBOR!$A:$C,3,0)-1,4)+0.0001,-TRUNC(BN80/VLOOKUP("PCS-OzTL44",ARBOR!$A:$C,3,0)-1,4)))))</f>
        <v/>
      </c>
      <c r="BP80" s="28" t="str">
        <f>IF(ISERROR(IF(BO80="","",VLOOKUP((BC80&amp;BO80&amp;"Template desconto FLAT Plano Principal Oi TV nível conta"),BENEFICIOS!$A:$G,5,0))),"Criar",IF(BO80="","",VLOOKUP((BC80&amp;BO80&amp;"Template desconto FLAT Plano Principal Oi TV nível conta"),BENEFICIOS!$A:$G,5,0)))</f>
        <v/>
      </c>
      <c r="BQ80" s="8"/>
      <c r="BR80" s="3" t="str">
        <f>IF(BQ80=0,"",IF(BQ80=VLOOKUP("PCS-OzTL43",ARBOR!$A:$C,3,0),0.0001,IF(BQ80&gt;VLOOKUP("PCS-OzTL43",ARBOR!$A:$C,3,0),"Maior que CAP!",IF((DOLLAR(BQ80+(VLOOKUP("PCS-OzTL43",ARBOR!$A:$C,3,0)*-TRUNC(BQ80/VLOOKUP("PCS-OzTL43",ARBOR!$A:$C,3,0)-1,4)),6))&lt;&gt;(DOLLAR(VLOOKUP("PCS-OzTL43",ARBOR!$A:$C,3,0),6)),-TRUNC(BQ80/VLOOKUP("PCS-OzTL43",ARBOR!$A:$C,3,0)-1,4)+0.0001,-TRUNC(BQ80/VLOOKUP("PCS-OzTL43",ARBOR!$A:$C,3,0)-1,4)))))</f>
        <v/>
      </c>
      <c r="BS80" s="28" t="str">
        <f>IF(ISERROR(IF(BR80="","",VLOOKUP((BC80&amp;BR80&amp;"Template desconto FLAT Plano Principal Oi TV nível conta"),BENEFICIOS!$A:$G,5,0))),"Criar",IF(BR80="","",VLOOKUP((BC80&amp;BR80&amp;"Template desconto FLAT Plano Principal Oi TV nível conta"),BENEFICIOS!$A:$G,5,0)))</f>
        <v/>
      </c>
      <c r="BT80" s="8"/>
      <c r="BU80" s="3" t="str">
        <f>IF(BT80=0,"",IF(BT80=VLOOKUP("PCS-OzTL45",ARBOR!$A:$C,3,0),0.0001,IF(BT80&gt;VLOOKUP("PCS-OzTL45",ARBOR!$A:$C,3,0),"Maior que CAP!",IF((DOLLAR(BT80+(VLOOKUP("PCS-OzTL45",ARBOR!$A:$C,3,0)*-TRUNC(BT80/VLOOKUP("PCS-OzTL45",ARBOR!$A:$C,3,0)-1,4)),6))&lt;&gt;(DOLLAR(VLOOKUP("PCS-OzTL45",ARBOR!$A:$C,3,0),6)),-TRUNC(BT80/VLOOKUP("PCS-OzTL45",ARBOR!$A:$C,3,0)-1,4)+0.0001,-TRUNC(BT80/VLOOKUP("PCS-OzTL45",ARBOR!$A:$C,3,0)-1,4)))))</f>
        <v/>
      </c>
      <c r="BV80" s="28" t="str">
        <f>IF(ISERROR(IF(BU80="","",VLOOKUP((BC80&amp;BU80&amp;"Template desconto FLAT Plano Principal Oi TV nível conta"),BENEFICIOS!$A:$G,5,0))),"Criar",IF(BU80="","",VLOOKUP((BC80&amp;BU80&amp;"Template desconto FLAT Plano Principal Oi TV nível conta"),BENEFICIOS!$A:$G,5,0)))</f>
        <v/>
      </c>
      <c r="BW80" s="8"/>
      <c r="BX80" s="3" t="str">
        <f>IF(BW80=0,"",IF(BW80=VLOOKUP("PCS-OzTL741",ARBOR!$A:$C,3,0),0.0001,IF(BW80&gt;VLOOKUP("PCS-OzTL741",ARBOR!$A:$C,3,0),"Maior que CAP!",IF((DOLLAR(BW80+(VLOOKUP("PCS-OzTL741",ARBOR!$A:$C,3,0)*-TRUNC(BW80/VLOOKUP("PCS-OzTL741",ARBOR!$A:$C,3,0)-1,4)),6))&lt;&gt;(DOLLAR(VLOOKUP("PCS-OzTL741",ARBOR!$A:$C,3,0),6)),-TRUNC(BW80/VLOOKUP("PCS-OzTL741",ARBOR!$A:$C,3,0)-1,4)+0.0001,-TRUNC(BW80/VLOOKUP("PCS-OzTL741",ARBOR!$A:$C,3,0)-1,4)))))</f>
        <v/>
      </c>
      <c r="BY80" s="28" t="str">
        <f>IF(ISERROR(IF(BX80="","",VLOOKUP((BC80&amp;BX80&amp;"Template desconto FLAT Plano Principal Oi TV nível conta"),BENEFICIOS!$A:$G,5,0))),"Criar",IF(BX80="","",VLOOKUP((BC80&amp;BX80&amp;"Template desconto FLAT Plano Principal Oi TV nível conta"),BENEFICIOS!$A:$G,5,0)))</f>
        <v/>
      </c>
      <c r="BZ80" s="8"/>
      <c r="CA80" s="3" t="str">
        <f>IF(BZ80=0,"",IF(BZ80=VLOOKUP("PCS-OzTL744",ARBOR!$A:$C,3,0),0.0001,IF(BZ80&gt;VLOOKUP("PCS-OzTL744",ARBOR!$A:$C,3,0),"Maior que CAP!",IF((DOLLAR(BZ80+(VLOOKUP("PCS-OzTL744",ARBOR!$A:$C,3,0)*-TRUNC(BZ80/VLOOKUP("PCS-OzTL744",ARBOR!$A:$C,3,0)-1,4)),6))&lt;&gt;(DOLLAR(VLOOKUP("PCS-OzTL744",ARBOR!$A:$C,3,0),6)),-TRUNC(BZ80/VLOOKUP("PCS-OzTL744",ARBOR!$A:$C,3,0)-1,4)+0.0001,-TRUNC(BZ80/VLOOKUP("PCS-OzTL744",ARBOR!$A:$C,3,0)-1,4)))))</f>
        <v/>
      </c>
      <c r="CB80" s="28" t="str">
        <f>IF(ISERROR(IF(CA80="","",VLOOKUP(($BC80&amp;CA80&amp;"Template desconto FLAT Plano Principal Oi TV nível conta"),BENEFICIOS!$A:$G,5,0))),"Criar",IF(CA80="","",VLOOKUP(($BC80&amp;CA80&amp;"Template desconto FLAT Plano Principal Oi TV nível conta"),BENEFICIOS!$A:$G,5,0)))</f>
        <v/>
      </c>
      <c r="CC80" s="8"/>
      <c r="CD80" s="3" t="str">
        <f>IF(CC80=0,"",IF(CC80=VLOOKUP("PCS-OzTL743",ARBOR!$A:$C,3,0),0.0001,IF(CC80&gt;VLOOKUP("PCS-OzTL743",ARBOR!$A:$C,3,0),"Maior que CAP!",IF((DOLLAR(CC80+(VLOOKUP("PCS-OzTL743",ARBOR!$A:$C,3,0)*-TRUNC(CC80/VLOOKUP("PCS-OzTL743",ARBOR!$A:$C,3,0)-1,4)),6))&lt;&gt;(DOLLAR(VLOOKUP("PCS-OzTL743",ARBOR!$A:$C,3,0),6)),-TRUNC(CC80/VLOOKUP("PCS-OzTL743",ARBOR!$A:$C,3,0)-1,4)+0.0001,-TRUNC(CC80/VLOOKUP("PCS-OzTL743",ARBOR!$A:$C,3,0)-1,4)))))</f>
        <v/>
      </c>
      <c r="CE80" s="28" t="str">
        <f>IF(ISERROR(IF(CD80="","",VLOOKUP(($BC80&amp;CD80&amp;"Template desconto FLAT Plano Principal Oi TV nível conta"),BENEFICIOS!$A:$G,5,0))),"Criar",IF(CD80="","",VLOOKUP(($BC80&amp;CD80&amp;"Template desconto FLAT Plano Principal Oi TV nível conta"),BENEFICIOS!$A:$G,5,0)))</f>
        <v/>
      </c>
      <c r="CF80" s="8"/>
      <c r="CG80" s="3" t="str">
        <f>IF(CF80=0,"",IF(CF80=VLOOKUP("PCS-OzTL745",ARBOR!$A:$C,3,0),0.0001,IF(CF80&gt;VLOOKUP("PCS-OzTL745",ARBOR!$A:$C,3,0),"Maior que CAP!",IF((DOLLAR(CF80+(VLOOKUP("PCS-OzTL745",ARBOR!$A:$C,3,0)*-TRUNC(CF80/VLOOKUP("PCS-OzTL745",ARBOR!$A:$C,3,0)-1,4)),6))&lt;&gt;(DOLLAR(VLOOKUP("PCS-OzTL745",ARBOR!$A:$C,3,0),6)),-TRUNC(CF80/VLOOKUP("PCS-OzTL745",ARBOR!$A:$C,3,0)-1,4)+0.0001,-TRUNC(CF80/VLOOKUP("PCS-OzTL745",ARBOR!$A:$C,3,0)-1,4)))))</f>
        <v/>
      </c>
      <c r="CH80" s="28" t="str">
        <f>IF(ISERROR(IF(CG80="","",VLOOKUP(($BC80&amp;CG80&amp;"Template desconto FLAT Plano Principal Oi TV nível conta"),BENEFICIOS!$A:$G,5,0))),"Criar",IF(CG80="","",VLOOKUP(($BC80&amp;CG80&amp;"Template desconto FLAT Plano Principal Oi TV nível conta"),BENEFICIOS!$A:$G,5,0)))</f>
        <v/>
      </c>
      <c r="CI80" s="8"/>
      <c r="CJ80" s="3" t="str">
        <f>IF(CI80=0,"",IF(CI80=VLOOKUP("PCS-OzTL42",ARBOR!$A:$C,3,0),0.0001,IF(CI80&gt;VLOOKUP("PCS-OzTL42",ARBOR!$A:$C,3,0),"Maior que CAP!",IF((DOLLAR(CI80+(VLOOKUP("PCS-OzTL42",ARBOR!$A:$C,3,0)*-TRUNC(CI80/VLOOKUP("PCS-OzTL42",ARBOR!$A:$C,3,0)-1,4)),6))&lt;&gt;(DOLLAR(VLOOKUP("PCS-OzTL42",ARBOR!$A:$C,3,0),6)),-TRUNC(CI80/VLOOKUP("PCS-OzTL42",ARBOR!$A:$C,3,0)-1,4)+0.0001,-TRUNC(CI80/VLOOKUP("PCS-OzTL42",ARBOR!$A:$C,3,0)-1,4)))))</f>
        <v/>
      </c>
      <c r="CK80" s="28" t="str">
        <f>IF(ISERROR(IF(CJ80="","",VLOOKUP(($BC80&amp;CJ80&amp;"Template desconto FLAT Plano Principal Oi TV nível conta"),BENEFICIOS!$A:$G,5,0))),"Criar",IF(CJ80="","",VLOOKUP(($BC80&amp;CJ80&amp;"Template desconto FLAT Plano Principal Oi TV nível conta"),BENEFICIOS!$A:$G,5,0)))</f>
        <v/>
      </c>
      <c r="CL80" s="8"/>
      <c r="CM80" s="3" t="str">
        <f>IF(CL80=0,"",IF(CL80=VLOOKUP("PCS-OzTL47",ARBOR!$A:$C,3,0),0.0001,IF(CL80&gt;VLOOKUP("PCS-OzTL47",ARBOR!$A:$C,3,0),"Maior que CAP!",IF((DOLLAR(CL80+(VLOOKUP("PCS-OzTL47",ARBOR!$A:$C,3,0)*-TRUNC(CL80/VLOOKUP("PCS-OzTL47",ARBOR!$A:$C,3,0)-1,4)),6))&lt;&gt;(DOLLAR(VLOOKUP("PCS-OzTL47",ARBOR!$A:$C,3,0),6)),-TRUNC(CL80/VLOOKUP("PCS-OzTL47",ARBOR!$A:$C,3,0)-1,4)+0.0001,-TRUNC(CL80/VLOOKUP("PCS-OzTL47",ARBOR!$A:$C,3,0)-1,4)))))</f>
        <v/>
      </c>
      <c r="CN80" s="28" t="str">
        <f>IF(ISERROR(IF(CM80="","",VLOOKUP(($BC80&amp;CM80&amp;"Template desconto FLAT Plano Principal Oi TV nível conta"),BENEFICIOS!$A:$G,5,0))),"Criar",IF(CM80="","",VLOOKUP(($BC80&amp;CM80&amp;"Template desconto FLAT Plano Principal Oi TV nível conta"),BENEFICIOS!$A:$G,5,0)))</f>
        <v/>
      </c>
      <c r="CO80" s="8"/>
      <c r="CP80" s="3" t="str">
        <f>IF(CO80=0,"",IF(CO80=VLOOKUP("PCS-OzTL46",ARBOR!$A:$C,3,0),0.0001,IF(CO80&gt;VLOOKUP("PCS-OzTL46",ARBOR!$A:$C,3,0),"Maior que CAP!",IF((DOLLAR(CO80+(VLOOKUP("PCS-OzTL46",ARBOR!$A:$C,3,0)*-TRUNC(CO80/VLOOKUP("PCS-OzTL46",ARBOR!$A:$C,3,0)-1,4)),6))&lt;&gt;(DOLLAR(VLOOKUP("PCS-OzTL46",ARBOR!$A:$C,3,0),6)),-TRUNC(CO80/VLOOKUP("PCS-OzTL46",ARBOR!$A:$C,3,0)-1,4)+0.0001,-TRUNC(CO80/VLOOKUP("PCS-OzTL46",ARBOR!$A:$C,3,0)-1,4)))))</f>
        <v/>
      </c>
      <c r="CQ80" s="28" t="str">
        <f>IF(ISERROR(IF(CP80="","",VLOOKUP(($BC80&amp;CP80&amp;"Template desconto FLAT Plano Principal Oi TV nível conta"),BENEFICIOS!$A:$G,5,0))),"Criar",IF(CP80="","",VLOOKUP(($BC80&amp;CP80&amp;"Template desconto FLAT Plano Principal Oi TV nível conta"),BENEFICIOS!$A:$G,5,0)))</f>
        <v/>
      </c>
      <c r="CR80" s="8"/>
      <c r="CS80" s="3" t="str">
        <f>IF(CR80=0,"",IF(CR80=VLOOKUP("PCS-OzTL48",ARBOR!$A:$C,3,0),0.0001,IF(CR80&gt;VLOOKUP("PCS-OzTL48",ARBOR!$A:$C,3,0),"Maior que CAP!",IF((DOLLAR(CR80+(VLOOKUP("PCS-OzTL48",ARBOR!$A:$C,3,0)*-TRUNC(CR80/VLOOKUP("PCS-OzTL48",ARBOR!$A:$C,3,0)-1,4)),6))&lt;&gt;(DOLLAR(VLOOKUP("PCS-OzTL48",ARBOR!$A:$C,3,0),6)),-TRUNC(CR80/VLOOKUP("PCS-OzTL48",ARBOR!$A:$C,3,0)-1,4)+0.0001,-TRUNC(CR80/VLOOKUP("PCS-OzTL48",ARBOR!$A:$C,3,0)-1,4)))))</f>
        <v/>
      </c>
      <c r="CT80" s="28" t="str">
        <f>IF(ISERROR(IF(CS80="","",VLOOKUP(($BC80&amp;CS80&amp;"Template desconto FLAT Plano Principal Oi TV nível conta"),BENEFICIOS!$A:$G,5,0))),"Criar",IF(CS80="","",VLOOKUP(($BC80&amp;CS80&amp;"Template desconto FLAT Plano Principal Oi TV nível conta"),BENEFICIOS!$A:$G,5,0)))</f>
        <v/>
      </c>
      <c r="CU80" s="8"/>
      <c r="CV80" s="3" t="str">
        <f>IF(CU80=0,"",IF(CU80=VLOOKUP("PCS-OzTL742",ARBOR!$A:$C,3,0),0.0001,IF(CU80&gt;VLOOKUP("PCS-OzTL742",ARBOR!$A:$C,3,0),"Maior que CAP!",IF((DOLLAR(CU80+(VLOOKUP("PCS-OzTL742",ARBOR!$A:$C,3,0)*-TRUNC(CU80/VLOOKUP("PCS-OzTL742",ARBOR!$A:$C,3,0)-1,4)),6))&lt;&gt;(DOLLAR(VLOOKUP("PCS-OzTL742",ARBOR!$A:$C,3,0),6)),-TRUNC(CU80/VLOOKUP("PCS-OzTL742",ARBOR!$A:$C,3,0)-1,4)+0.0001,-TRUNC(CU80/VLOOKUP("PCS-OzTL742",ARBOR!$A:$C,3,0)-1,4)))))</f>
        <v/>
      </c>
      <c r="CW80" s="28" t="str">
        <f>IF(ISERROR(IF(CV80="","",VLOOKUP(($BC80&amp;CV80&amp;"Template desconto FLAT Plano Principal Oi TV nível conta"),BENEFICIOS!$A:$G,5,0))),"Criar",IF(CV80="","",VLOOKUP(($BC80&amp;CV80&amp;"Template desconto FLAT Plano Principal Oi TV nível conta"),BENEFICIOS!$A:$G,5,0)))</f>
        <v/>
      </c>
      <c r="CX80" s="8"/>
      <c r="CY80" s="3" t="str">
        <f>IF(CX80=0,"",IF(CX80=VLOOKUP("PCS-OzTL747",ARBOR!$A:$C,3,0),0.0001,IF(CX80&gt;VLOOKUP("PCS-OzTL747",ARBOR!$A:$C,3,0),"Maior que CAP!",IF((DOLLAR(CX80+(VLOOKUP("PCS-OzTL747",ARBOR!$A:$C,3,0)*-TRUNC(CX80/VLOOKUP("PCS-OzTL747",ARBOR!$A:$C,3,0)-1,4)),6))&lt;&gt;(DOLLAR(VLOOKUP("PCS-OzTL747",ARBOR!$A:$C,3,0),6)),-TRUNC(CX80/VLOOKUP("PCS-OzTL747",ARBOR!$A:$C,3,0)-1,4)+0.0001,-TRUNC(CX80/VLOOKUP("PCS-OzTL747",ARBOR!$A:$C,3,0)-1,4)))))</f>
        <v/>
      </c>
      <c r="CZ80" s="28" t="str">
        <f>IF(ISERROR(IF(CY80="","",VLOOKUP(($BC80&amp;CY80&amp;"Template desconto FLAT Plano Principal Oi TV nível conta"),BENEFICIOS!$A:$G,5,0))),"Criar",IF(CY80="","",VLOOKUP(($BC80&amp;CY80&amp;"Template desconto FLAT Plano Principal Oi TV nível conta"),BENEFICIOS!$A:$G,5,0)))</f>
        <v/>
      </c>
      <c r="DA80" s="8"/>
      <c r="DB80" s="3" t="str">
        <f>IF(DA80=0,"",IF(DA80=VLOOKUP("PCS-OzTL746",ARBOR!$A:$C,3,0),0.0001,IF(DA80&gt;VLOOKUP("PCS-OzTL746",ARBOR!$A:$C,3,0),"Maior que CAP!",IF((DOLLAR(DA80+(VLOOKUP("PCS-OzTL746",ARBOR!$A:$C,3,0)*-TRUNC(DA80/VLOOKUP("PCS-OzTL746",ARBOR!$A:$C,3,0)-1,4)),6))&lt;&gt;(DOLLAR(VLOOKUP("PCS-OzTL746",ARBOR!$A:$C,3,0),6)),-TRUNC(DA80/VLOOKUP("PCS-OzTL746",ARBOR!$A:$C,3,0)-1,4)+0.0001,-TRUNC(DA80/VLOOKUP("PCS-OzTL746",ARBOR!$A:$C,3,0)-1,4)))))</f>
        <v/>
      </c>
      <c r="DC80" s="28" t="str">
        <f>IF(ISERROR(IF(DB80="","",VLOOKUP(($BC80&amp;DB80&amp;"Template desconto FLAT Plano Principal Oi TV nível conta"),BENEFICIOS!$A:$G,5,0))),"Criar",IF(DB80="","",VLOOKUP(($BC80&amp;DB80&amp;"Template desconto FLAT Plano Principal Oi TV nível conta"),BENEFICIOS!$A:$G,5,0)))</f>
        <v/>
      </c>
      <c r="DD80" s="8"/>
      <c r="DE80" s="3" t="str">
        <f>IF(DD80=0,"",IF(DD80=VLOOKUP("PCS-OzTL748",ARBOR!$A:$C,3,0),0.0001,IF(DD80&gt;VLOOKUP("PCS-OzTL748",ARBOR!$A:$C,3,0),"Maior que CAP!",IF((DOLLAR(DD80+(VLOOKUP("PCS-OzTL748",ARBOR!$A:$C,3,0)*-TRUNC(DD80/VLOOKUP("PCS-OzTL748",ARBOR!$A:$C,3,0)-1,4)),6))&lt;&gt;(DOLLAR(VLOOKUP("PCS-OzTL748",ARBOR!$A:$C,3,0),6)),-TRUNC(DD80/VLOOKUP("PCS-OzTL748",ARBOR!$A:$C,3,0)-1,4)+0.0001,-TRUNC(DD80/VLOOKUP("PCS-OzTL748",ARBOR!$A:$C,3,0)-1,4)))))</f>
        <v/>
      </c>
      <c r="DF80" s="28" t="str">
        <f>IF(ISERROR(IF(DE80="","",VLOOKUP(($BC80&amp;DE80&amp;"Template desconto FLAT Plano Principal Oi TV nível conta"),BENEFICIOS!$A:$G,5,0))),"Criar",IF(DE80="","",VLOOKUP(($BC80&amp;DE80&amp;"Template desconto FLAT Plano Principal Oi TV nível conta"),BENEFICIOS!$A:$G,5,0)))</f>
        <v/>
      </c>
      <c r="DG80" s="8"/>
      <c r="DH80" s="3" t="str">
        <f>IF(DG80=0,"",IF(DG80=VLOOKUP("PCS-OzTL34",ARBOR!$A:$C,3,0),0.0001,IF(DG80&gt;VLOOKUP("PCS-OzTL34",ARBOR!$A:$C,3,0),"Maior que CAP!",IF((DOLLAR(DG80+(VLOOKUP("PCS-OzTL34",ARBOR!$A:$C,3,0)*-TRUNC(DG80/VLOOKUP("PCS-OzTL34",ARBOR!$A:$C,3,0)-1,4)),6))&lt;&gt;(DOLLAR(VLOOKUP("PCS-OzTL34",ARBOR!$A:$C,3,0),6)),-TRUNC(DG80/VLOOKUP("PCS-OzTL34",ARBOR!$A:$C,3,0)-1,4)+0.0001,-TRUNC(DG80/VLOOKUP("PCS-OzTL34",ARBOR!$A:$C,3,0)-1,4)))))</f>
        <v/>
      </c>
      <c r="DI80" s="28" t="str">
        <f>IF(DH80="S/Desc","S/Desc",IF(ISERROR(IF(DH80="","",VLOOKUP(($BC80&amp;DH80&amp;"Template desconto % Combate nível conta"),BENEFICIOS!$A:$G,5,0))),"Criar",IF(DH80="","",VLOOKUP(($BC80&amp;DH80&amp;"Template desconto % Combate nível conta"),BENEFICIOS!$A:$G,5,0))))</f>
        <v/>
      </c>
      <c r="DJ80" s="8"/>
      <c r="DK80" s="3" t="str">
        <f>IF(DJ80=0,"",IF(DJ80=VLOOKUP("PCS-OzTL31",ARBOR!$A:$C,3,0),0.0001,IF(DJ80&gt;VLOOKUP("PCS-OzTL31",ARBOR!$A:$C,3,0),"Maior que CAP!",IF((DOLLAR(DJ80+(VLOOKUP("PCS-OzTL31",ARBOR!$A:$C,3,0)*-TRUNC(DJ80/VLOOKUP("PCS-OzTL31",ARBOR!$A:$C,3,0)-1,4)),6))&lt;&gt;(DOLLAR(VLOOKUP("PCS-OzTL31",ARBOR!$A:$C,3,0),6)),-TRUNC(DJ80/VLOOKUP("PCS-OzTL31",ARBOR!$A:$C,3,0)-1,4)+0.0001,-TRUNC(DJ80/VLOOKUP("PCS-OzTL31",ARBOR!$A:$C,3,0)-1,4)))))</f>
        <v/>
      </c>
      <c r="DL80" s="28" t="str">
        <f>IF(DK80="S/Desc","S/Desc",IF(ISERROR(IF(DK80="","",VLOOKUP(($BC80&amp;DK80&amp;"Template desconto % Sexy Hot nível conta"),BENEFICIOS!$A:$G,5,0))),"Criar",IF(DK80="","",VLOOKUP(($BC80&amp;DK80&amp;"Template desconto % Sexy Hot nível conta"),BENEFICIOS!$A:$G,5,0))))</f>
        <v/>
      </c>
      <c r="DM80" s="8"/>
      <c r="DN80" s="3" t="str">
        <f>IF(DM80=0,"",IF(DM80=VLOOKUP("PCS-OzTL32",ARBOR!$A:$C,3,0),0.0001,IF(DM80&gt;VLOOKUP("PCS-OzTL32",ARBOR!$A:$C,3,0),"Maior que CAP!",IF((DOLLAR(DM80+(VLOOKUP("PCS-OzTL32",ARBOR!$A:$C,3,0)*-TRUNC(DM80/VLOOKUP("PCS-OzTL32",ARBOR!$A:$C,3,0)-1,4)),6))&lt;&gt;(DOLLAR(VLOOKUP("PCS-OzTL32",ARBOR!$A:$C,3,0),6)),-TRUNC(DM80/VLOOKUP("PCS-OzTL32",ARBOR!$A:$C,3,0)-1,4)+0.0001,-TRUNC(DM80/VLOOKUP("PCS-OzTL32",ARBOR!$A:$C,3,0)-1,4)))))</f>
        <v/>
      </c>
      <c r="DO80" s="28" t="str">
        <f>IF(DN80="S/Desc","S/Desc",IF(ISERROR(IF(DN80="","",VLOOKUP(($BC80&amp;DN80&amp;"Template desconto % Playboy nível conta"),BENEFICIOS!$A:$G,5,0))),"Criar",IF(DN80="","",VLOOKUP(($BC80&amp;DN80&amp;"Template desconto % Playboy nível conta"),BENEFICIOS!$A:$G,5,0))))</f>
        <v/>
      </c>
      <c r="DP80" s="8"/>
      <c r="DQ80" s="3" t="str">
        <f>IF(DP80=0,"",IF(DP80=VLOOKUP("PCS-OzTL33",ARBOR!$A:$C,3,0),0.0001,IF(DP80&gt;VLOOKUP("PCS-OzTL33",ARBOR!$A:$C,3,0),"Maior que CAP!",IF((DOLLAR(DP80+(VLOOKUP("PCS-OzTL33",ARBOR!$A:$C,3,0)*-TRUNC(DP80/VLOOKUP("PCS-OzTL33",ARBOR!$A:$C,3,0)-1,4)),6))&lt;&gt;(DOLLAR(VLOOKUP("PCS-OzTL33",ARBOR!$A:$C,3,0),6)),-TRUNC(DP80/VLOOKUP("PCS-OzTL33",ARBOR!$A:$C,3,0)-1,4)+0.0001,-TRUNC(DP80/VLOOKUP("PCS-OzTL33",ARBOR!$A:$C,3,0)-1,4)))))</f>
        <v/>
      </c>
      <c r="DR80" s="28" t="str">
        <f>IF(DQ80="S/Desc","S/Desc",IF(ISERROR(IF(DQ80="","",VLOOKUP(($BC80&amp;DQ80&amp;"Template desconto % Sexy Hot + Playboy nível conta"),BENEFICIOS!$A:$G,5,0))),"Criar",IF(DQ80="","",VLOOKUP(($BC80&amp;DQ80&amp;"Template desconto % Sexy Hot + Playboy nível conta"),BENEFICIOS!$A:$G,5,0))))</f>
        <v/>
      </c>
      <c r="DS80" s="8"/>
      <c r="DT80" s="3" t="str">
        <f>IF(DS80=0,"",IF(DS80=VLOOKUP("PCS-OzTL503",ARBOR!$A:$C,3,0),0.0001,IF(DS80&gt;VLOOKUP("PCS-OzTL503",ARBOR!$A:$C,3,0),"Maior que CAP!",IF((DOLLAR(DS80+(VLOOKUP("PCS-OzTL503",ARBOR!$A:$C,3,0)*-TRUNC(DS80/VLOOKUP("PCS-OzTL503",ARBOR!$A:$C,3,0)-1,4)),6))&lt;&gt;(DOLLAR(VLOOKUP("PCS-OzTL503",ARBOR!$A:$C,3,0),6)),-TRUNC(DS80/VLOOKUP("PCS-OzTL503",ARBOR!$A:$C,3,0)-1,4)+0.0001,-TRUNC(DS80/VLOOKUP("PCS-OzTL503",ARBOR!$A:$C,3,0)-1,4)))))</f>
        <v/>
      </c>
      <c r="DU80" s="28" t="str">
        <f>IF(DT80="S/Desc","S/Desc",IF(ISERROR(IF(DT80="","",VLOOKUP(($BC80&amp;DT80&amp;"Template desconto % SexPrivê nível conta"),BENEFICIOS!$A:$G,5,0))),"Criar",IF(DT80="","",VLOOKUP(($BC80&amp;DT80&amp;"Template desconto % SexPrivê nível conta"),BENEFICIOS!$A:$G,5,0))))</f>
        <v/>
      </c>
      <c r="DV80" s="8"/>
      <c r="DW80" s="3" t="str">
        <f>IF(DV80=0,"",IF(DV80=VLOOKUP("PCS-OzTL500",ARBOR!$A:$C,3,0),0.0001,IF(DV80&gt;VLOOKUP("PCS-OzTL500",ARBOR!$A:$C,3,0),"Maior que CAP!",IF((DOLLAR(DV80+(VLOOKUP("PCS-OzTL500",ARBOR!$A:$C,3,0)*-TRUNC(DV80/VLOOKUP("PCS-OzTL500",ARBOR!$A:$C,3,0)-1,4)),6))&lt;&gt;(DOLLAR(VLOOKUP("PCS-OzTL500",ARBOR!$A:$C,3,0),6)),-TRUNC(DV80/VLOOKUP("PCS-OzTL500",ARBOR!$A:$C,3,0)-1,4)+0.0001,-TRUNC(DV80/VLOOKUP("PCS-OzTL500",ARBOR!$A:$C,3,0)-1,4)))))</f>
        <v/>
      </c>
      <c r="DX80" s="28" t="str">
        <f>IF(DW80="S/Desc","S/Desc",IF(ISERROR(IF(DW80="","",VLOOKUP(($BC80&amp;DW80&amp;"Template desconto % Étnico nível conta"),BENEFICIOS!$A:$G,5,0))),"Criar",IF(DW80="","",VLOOKUP(($BC80&amp;DW80&amp;"Template desconto % Étnico nível conta"),BENEFICIOS!$A:$G,5,0))))</f>
        <v/>
      </c>
      <c r="DY80" s="8"/>
      <c r="DZ80" s="181" t="str">
        <f>IF(DY80=0,"",IF(DY80=VLOOKUP("PCS-OzTL50",ARBOR!$A:$C,3,0),0.0001,IF(DY80&gt;VLOOKUP("PCS-OzTL50",ARBOR!$A:$C,3,0),"Maior que CAP!",IF((DOLLAR(DY80+(VLOOKUP("PCS-OzTL50",ARBOR!$A:$C,3,0)*-TRUNC(DY80/VLOOKUP("PCS-OzTL50",ARBOR!$A:$C,3,0)-1,4)),6))&lt;&gt;(DOLLAR(VLOOKUP("PCS-OzTL50",ARBOR!$A:$C,3,0),6)),-TRUNC(DY80/VLOOKUP("PCS-OzTL50",ARBOR!$A:$C,3,0)-1,4)+0.0001,-TRUNC(DY80/VLOOKUP("PCS-OzTL50",ARBOR!$A:$C,3,0)-1,4)))))</f>
        <v/>
      </c>
      <c r="EA80" s="28"/>
      <c r="EB80" s="8"/>
      <c r="EC80" s="181" t="str">
        <f>IF(EB80=0,"",IF(EB80=VLOOKUP("PCS-OzTL51",ARBOR!$A:$C,3,0),0.0001,IF(EB80&gt;VLOOKUP("PCS-OzTL51",ARBOR!$A:$C,3,0),"Maior que CAP!",IF((DOLLAR(EB80+(VLOOKUP("PCS-OzTL51",ARBOR!$A:$C,3,0)*-TRUNC(EB80/VLOOKUP("PCS-OzTL51",ARBOR!$A:$C,3,0)-1,4)),6))&lt;&gt;(DOLLAR(VLOOKUP("PCS-OzTL51",ARBOR!$A:$C,3,0),6)),-TRUNC(EB80/VLOOKUP("PCS-OzTL51",ARBOR!$A:$C,3,0)-1,4)+0.0001,-TRUNC(EB80/VLOOKUP("PCS-OzTL51",ARBOR!$A:$C,3,0)-1,4)))))</f>
        <v/>
      </c>
      <c r="ED80" s="28"/>
      <c r="EE80" s="8"/>
      <c r="EF80" s="181" t="str">
        <f>IF(EE80=0,"",IF(EE80=VLOOKUP("PCS-OzTL52",ARBOR!$A:$C,3,0),0.0001,IF(EE80&gt;VLOOKUP("PCS-OzTL52",ARBOR!$A:$C,3,0),"Maior que CAP!",IF((DOLLAR(EE80+(VLOOKUP("PCS-OzTL52",ARBOR!$A:$C,3,0)*-TRUNC(EE80/VLOOKUP("PCS-OzTL52",ARBOR!$A:$C,3,0)-1,4)),6))&lt;&gt;(DOLLAR(VLOOKUP("PCS-OzTL52",ARBOR!$A:$C,3,0),6)),-TRUNC(EE80/VLOOKUP("PCS-OzTL52",ARBOR!$A:$C,3,0)-1,4)+0.0001,-TRUNC(EE80/VLOOKUP("PCS-OzTL52",ARBOR!$A:$C,3,0)-1,4)))))</f>
        <v/>
      </c>
      <c r="EG80" s="28"/>
      <c r="EH80" s="8"/>
      <c r="EI80" s="181" t="str">
        <f>IF(EH80=0,"",IF(EH80=VLOOKUP("PCS-OzTL53",ARBOR!$A:$C,3,0),0.0001,IF(EH80&gt;VLOOKUP("PCS-OzTL53",ARBOR!$A:$C,3,0),"Maior que CAP!",IF((DOLLAR(EH80+(VLOOKUP("PCS-OzTL53",ARBOR!$A:$C,3,0)*-TRUNC(EH80/VLOOKUP("PCS-OzTL53",ARBOR!$A:$C,3,0)-1,4)),6))&lt;&gt;(DOLLAR(VLOOKUP("PCS-OzTL53",ARBOR!$A:$C,3,0),6)),-TRUNC(EH80/VLOOKUP("PCS-OzTL53",ARBOR!$A:$C,3,0)-1,4)+0.0001,-TRUNC(EH80/VLOOKUP("PCS-OzTL53",ARBOR!$A:$C,3,0)-1,4)))))</f>
        <v/>
      </c>
      <c r="EJ80" s="28"/>
      <c r="EK80" s="8"/>
      <c r="EL80" s="181" t="str">
        <f>IF(EK80=0,"",IF(EK80=VLOOKUP("PCS-OzTL54",ARBOR!$A:$C,3,0),0.0001,IF(EK80&gt;VLOOKUP("PCS-OzTL54",ARBOR!$A:$C,3,0),"Maior que CAP!",IF((DOLLAR(EK80+(VLOOKUP("PCS-OzTL54",ARBOR!$A:$C,3,0)*-TRUNC(EK80/VLOOKUP("PCS-OzTL54",ARBOR!$A:$C,3,0)-1,4)),6))&lt;&gt;(DOLLAR(VLOOKUP("PCS-OzTL54",ARBOR!$A:$C,3,0),6)),-TRUNC(EK80/VLOOKUP("PCS-OzTL54",ARBOR!$A:$C,3,0)-1,4)+0.0001,-TRUNC(EK80/VLOOKUP("PCS-OzTL54",ARBOR!$A:$C,3,0)-1,4)))))</f>
        <v/>
      </c>
      <c r="EM80" s="28"/>
      <c r="EN80" s="8"/>
      <c r="EO80" s="3" t="str">
        <f>IF(EN80=0,"",IF(EN80=VLOOKUP("PCS-OzTL99",ARBOR!$A:$C,3,0),0.0001,IF(EN80&gt;VLOOKUP("PCS-OzTL99",ARBOR!$A:$C,3,0),"Maior que CAP!",IF((DOLLAR(EN80+(VLOOKUP("PCS-OzTL99",ARBOR!$A:$C,3,0)*-TRUNC(EN80/VLOOKUP("PCS-OzTL99",ARBOR!$A:$C,3,0)-1,4)),6))&lt;&gt;(DOLLAR(VLOOKUP("PCS-OzTL99",ARBOR!$A:$C,3,0),6)),-TRUNC(EN80/VLOOKUP("PCS-OzTL99",ARBOR!$A:$C,3,0)-1,4)+0.0001,-TRUNC(EN80/VLOOKUP("PCS-OzTL99",ARBOR!$A:$C,3,0)-1,4)))))</f>
        <v/>
      </c>
      <c r="EP80" s="28" t="str">
        <f>IF(EO80="S/Desc","S/Desc",IF(ISERROR(IF(EO80="","",VLOOKUP(($BC80&amp;EO80&amp;"Template desconto % Ponto adicional nível conta"),BENEFICIOS!$A:$G,5,0))),"Criar",IF(EO80="","",VLOOKUP(($BC80&amp;EO80&amp;"Template desconto % Ponto adicional nível conta"),BENEFICIOS!$A:$G,5,0))))</f>
        <v/>
      </c>
      <c r="EQ80" s="8"/>
      <c r="ER80" s="28" t="str">
        <f t="shared" si="23"/>
        <v/>
      </c>
      <c r="ES80" s="62"/>
      <c r="ET80" s="126"/>
      <c r="EU80" s="127"/>
      <c r="EV80" s="126"/>
      <c r="EW80" s="128" t="str">
        <f t="shared" si="24"/>
        <v/>
      </c>
      <c r="EX80" s="129" t="str">
        <f t="shared" si="25"/>
        <v/>
      </c>
      <c r="EY80" s="91" t="str">
        <f t="shared" si="26"/>
        <v/>
      </c>
      <c r="EZ80" s="85"/>
      <c r="FA80" s="97"/>
      <c r="FB80" s="91"/>
      <c r="FC80" s="85"/>
      <c r="FD80" s="97"/>
      <c r="FE80" s="91"/>
      <c r="FF80" s="87"/>
      <c r="FG80" s="144" t="str">
        <f t="shared" si="27"/>
        <v/>
      </c>
      <c r="FH80" s="144" t="str">
        <f t="shared" si="28"/>
        <v/>
      </c>
      <c r="FI80" s="144" t="str">
        <f t="shared" si="29"/>
        <v/>
      </c>
      <c r="FJ80" s="144" t="str">
        <f t="shared" si="30"/>
        <v/>
      </c>
      <c r="FK80" s="144" t="str">
        <f t="shared" si="31"/>
        <v/>
      </c>
      <c r="FL80" s="144" t="str">
        <f t="shared" si="32"/>
        <v/>
      </c>
      <c r="FM80" s="144" t="str">
        <f t="shared" si="33"/>
        <v/>
      </c>
      <c r="FN80" s="144" t="str">
        <f t="shared" si="34"/>
        <v/>
      </c>
      <c r="FO80" s="144" t="str">
        <f t="shared" si="35"/>
        <v/>
      </c>
      <c r="FP80" s="144" t="str">
        <f t="shared" si="36"/>
        <v/>
      </c>
      <c r="FQ80" s="144" t="str">
        <f t="shared" si="37"/>
        <v/>
      </c>
      <c r="FR80" s="144" t="str">
        <f t="shared" si="38"/>
        <v/>
      </c>
      <c r="FS80" s="144" t="str">
        <f t="shared" si="39"/>
        <v/>
      </c>
      <c r="FT80" s="144" t="str">
        <f t="shared" si="40"/>
        <v/>
      </c>
      <c r="FU80" s="144" t="str">
        <f t="shared" si="41"/>
        <v/>
      </c>
      <c r="FV80" s="144" t="str">
        <f t="shared" si="42"/>
        <v/>
      </c>
      <c r="FW80" s="144" t="str">
        <f t="shared" si="43"/>
        <v/>
      </c>
      <c r="FX80" s="151"/>
      <c r="FY80" s="152"/>
      <c r="FZ80" s="152"/>
      <c r="GA80" s="152"/>
      <c r="GB80" s="152"/>
      <c r="GC80" s="152"/>
      <c r="GD80" s="152"/>
      <c r="GE80" s="152"/>
      <c r="GF80" s="152"/>
      <c r="GG80" s="153"/>
    </row>
    <row r="81" spans="1:189">
      <c r="A81" s="45"/>
      <c r="B81" s="133"/>
      <c r="C81" s="133"/>
      <c r="D81" s="46"/>
      <c r="E81" s="4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9"/>
      <c r="U81" s="48"/>
      <c r="V81" s="49"/>
      <c r="W81" s="48"/>
      <c r="X81" s="48"/>
      <c r="Y81" s="48"/>
      <c r="Z81" s="48"/>
      <c r="AA81" s="49"/>
      <c r="AB81" s="48"/>
      <c r="AC81" s="50"/>
      <c r="AD81" s="48"/>
      <c r="AE81" s="48"/>
      <c r="AF81" s="48"/>
      <c r="AG81" s="48"/>
      <c r="AH81" s="48"/>
      <c r="AI81" s="48"/>
      <c r="AJ81" s="48"/>
      <c r="AK81" s="48"/>
      <c r="AL81" s="51"/>
      <c r="AM81" s="37"/>
      <c r="AN81" s="38"/>
      <c r="AO81" s="39"/>
      <c r="AP81" s="52"/>
      <c r="AQ81" s="53"/>
      <c r="AR81" s="64"/>
      <c r="AS81" s="65"/>
      <c r="AT81" s="54"/>
      <c r="AU81" s="54"/>
      <c r="AV81" s="54"/>
      <c r="AW81" s="54"/>
      <c r="AX81" s="70"/>
      <c r="AY81" s="71"/>
      <c r="AZ81" s="72"/>
      <c r="BA81" s="73"/>
      <c r="BB81" s="55"/>
      <c r="BC81" s="56"/>
      <c r="BD81" s="27" t="str">
        <f t="shared" si="22"/>
        <v/>
      </c>
      <c r="BE81" s="58"/>
      <c r="BF81" s="3" t="str">
        <f>IF(BE81=0,"",IF(BE81=VLOOKUP("FIXO",ARBOR!$A:$C,3,0),0.0001,IF(BE81&gt;VLOOKUP("FIXO",ARBOR!$A:$C,3,0),"Maior que CAP!",IF((DOLLAR(BE81+(VLOOKUP("FIXO",ARBOR!$A:$C,3,0)*-TRUNC(BE81/VLOOKUP("FIXO",ARBOR!$A:$C,3,0)-1,4)),6))&lt;&gt;(DOLLAR(VLOOKUP("FIXO",ARBOR!$A:$C,3,0),6)),-TRUNC(BE81/VLOOKUP("FIXO",ARBOR!$A:$C,3,0)-1,4)+0.0001,-TRUNC(BE81/VLOOKUP("FIXO",ARBOR!$A:$C,3,0)-1,4)))))</f>
        <v/>
      </c>
      <c r="BG81" s="10" t="str">
        <f>IF(ISERROR(IF(BF81="","",VLOOKUP(($BC81&amp;BF81&amp;"Template de desconto FLAT bundle - Fixo - Varejo - Ganho Tributário Cross"),BENEFICIOS!$A:$G,5,0))),"Criar",IF(BF81="","",VLOOKUP(($BC81&amp;BF81&amp;"Template de desconto FLAT bundle - Fixo - Varejo - Ganho Tributário Cross"),BENEFICIOS!$A:$G,5,0)))</f>
        <v/>
      </c>
      <c r="BH81" s="8"/>
      <c r="BI81" s="3" t="str">
        <f>IF(BH81=0,"",IF(BH81=VLOOKUP("PCS-OzTL40",ARBOR!$A:$C,3,0),0.0001,IF(BH81&gt;VLOOKUP("PCS-OzTL40",ARBOR!$A:$C,3,0),"Maior que CAP!",IF((DOLLAR(BH81+(VLOOKUP("PCS-OzTL40",ARBOR!$A:$C,3,0)*-TRUNC(BH81/VLOOKUP("PCS-OzTL40",ARBOR!$A:$C,3,0)-1,4)),6))&lt;&gt;(DOLLAR(VLOOKUP("PCS-OzTL40",ARBOR!$A:$C,3,0),6)),-TRUNC(BH81/VLOOKUP("PCS-OzTL40",ARBOR!$A:$C,3,0)-1,4)+0.0001,-TRUNC(BH81/VLOOKUP("PCS-OzTL40",ARBOR!$A:$C,3,0)-1,4)))))</f>
        <v/>
      </c>
      <c r="BJ81" s="10" t="str">
        <f>IF(ISERROR(IF(BI81="","",VLOOKUP((BC81&amp;BI81&amp;"Template desconto FLAT Plano Principal Oi TV nível conta"),BENEFICIOS!$A:$G,5,0))),"Criar",IF(BI81="","",VLOOKUP((BC81&amp;BI81&amp;"Template desconto FLAT Plano Principal Oi TV nível conta"),BENEFICIOS!$A:$G,5,0)))</f>
        <v/>
      </c>
      <c r="BK81" s="8"/>
      <c r="BL81" s="3" t="str">
        <f>IF(BK81=0,"",IF(BK81=VLOOKUP("PCS-OzTL41",ARBOR!$A:$C,3,0),0.0001,IF(BK81&gt;VLOOKUP("PCS-OzTL41",ARBOR!$A:$C,3,0),"Maior que CAP!",IF((DOLLAR(BK81+(VLOOKUP("PCS-OzTL41",ARBOR!$A:$C,3,0)*-TRUNC(BK81/VLOOKUP("PCS-OzTL41",ARBOR!$A:$C,3,0)-1,4)),6))&lt;&gt;(DOLLAR(VLOOKUP("PCS-OzTL41",ARBOR!$A:$C,3,0),6)),-TRUNC(BK81/VLOOKUP("PCS-OzTL41",ARBOR!$A:$C,3,0)-1,4)+0.0001,-TRUNC(BK81/VLOOKUP("PCS-OzTL41",ARBOR!$A:$C,3,0)-1,4)))))</f>
        <v/>
      </c>
      <c r="BM81" s="28" t="str">
        <f>IF(ISERROR(IF(BL81="","",VLOOKUP((BC81&amp;BL81&amp;"Template desconto FLAT Plano Principal Oi TV nível conta"),BENEFICIOS!$A:$G,5,0))),"Criar",IF(BL81="","",VLOOKUP((BC81&amp;BL81&amp;"Template desconto FLAT Plano Principal Oi TV nível conta"),BENEFICIOS!$A:$G,5,0)))</f>
        <v/>
      </c>
      <c r="BN81" s="8"/>
      <c r="BO81" s="3" t="str">
        <f>IF(BN81=0,"",IF(BN81=VLOOKUP("PCS-OzTL44",ARBOR!$A:$C,3,0),0.0001,IF(BN81&gt;VLOOKUP("PCS-OzTL44",ARBOR!$A:$C,3,0),"Maior que CAP!",IF((DOLLAR(BN81+(VLOOKUP("PCS-OzTL44",ARBOR!$A:$C,3,0)*-TRUNC(BN81/VLOOKUP("PCS-OzTL44",ARBOR!$A:$C,3,0)-1,4)),6))&lt;&gt;(DOLLAR(VLOOKUP("PCS-OzTL44",ARBOR!$A:$C,3,0),6)),-TRUNC(BN81/VLOOKUP("PCS-OzTL44",ARBOR!$A:$C,3,0)-1,4)+0.0001,-TRUNC(BN81/VLOOKUP("PCS-OzTL44",ARBOR!$A:$C,3,0)-1,4)))))</f>
        <v/>
      </c>
      <c r="BP81" s="28" t="str">
        <f>IF(ISERROR(IF(BO81="","",VLOOKUP((BC81&amp;BO81&amp;"Template desconto FLAT Plano Principal Oi TV nível conta"),BENEFICIOS!$A:$G,5,0))),"Criar",IF(BO81="","",VLOOKUP((BC81&amp;BO81&amp;"Template desconto FLAT Plano Principal Oi TV nível conta"),BENEFICIOS!$A:$G,5,0)))</f>
        <v/>
      </c>
      <c r="BQ81" s="8"/>
      <c r="BR81" s="3" t="str">
        <f>IF(BQ81=0,"",IF(BQ81=VLOOKUP("PCS-OzTL43",ARBOR!$A:$C,3,0),0.0001,IF(BQ81&gt;VLOOKUP("PCS-OzTL43",ARBOR!$A:$C,3,0),"Maior que CAP!",IF((DOLLAR(BQ81+(VLOOKUP("PCS-OzTL43",ARBOR!$A:$C,3,0)*-TRUNC(BQ81/VLOOKUP("PCS-OzTL43",ARBOR!$A:$C,3,0)-1,4)),6))&lt;&gt;(DOLLAR(VLOOKUP("PCS-OzTL43",ARBOR!$A:$C,3,0),6)),-TRUNC(BQ81/VLOOKUP("PCS-OzTL43",ARBOR!$A:$C,3,0)-1,4)+0.0001,-TRUNC(BQ81/VLOOKUP("PCS-OzTL43",ARBOR!$A:$C,3,0)-1,4)))))</f>
        <v/>
      </c>
      <c r="BS81" s="28" t="str">
        <f>IF(ISERROR(IF(BR81="","",VLOOKUP((BC81&amp;BR81&amp;"Template desconto FLAT Plano Principal Oi TV nível conta"),BENEFICIOS!$A:$G,5,0))),"Criar",IF(BR81="","",VLOOKUP((BC81&amp;BR81&amp;"Template desconto FLAT Plano Principal Oi TV nível conta"),BENEFICIOS!$A:$G,5,0)))</f>
        <v/>
      </c>
      <c r="BT81" s="8"/>
      <c r="BU81" s="3" t="str">
        <f>IF(BT81=0,"",IF(BT81=VLOOKUP("PCS-OzTL45",ARBOR!$A:$C,3,0),0.0001,IF(BT81&gt;VLOOKUP("PCS-OzTL45",ARBOR!$A:$C,3,0),"Maior que CAP!",IF((DOLLAR(BT81+(VLOOKUP("PCS-OzTL45",ARBOR!$A:$C,3,0)*-TRUNC(BT81/VLOOKUP("PCS-OzTL45",ARBOR!$A:$C,3,0)-1,4)),6))&lt;&gt;(DOLLAR(VLOOKUP("PCS-OzTL45",ARBOR!$A:$C,3,0),6)),-TRUNC(BT81/VLOOKUP("PCS-OzTL45",ARBOR!$A:$C,3,0)-1,4)+0.0001,-TRUNC(BT81/VLOOKUP("PCS-OzTL45",ARBOR!$A:$C,3,0)-1,4)))))</f>
        <v/>
      </c>
      <c r="BV81" s="28" t="str">
        <f>IF(ISERROR(IF(BU81="","",VLOOKUP((BC81&amp;BU81&amp;"Template desconto FLAT Plano Principal Oi TV nível conta"),BENEFICIOS!$A:$G,5,0))),"Criar",IF(BU81="","",VLOOKUP((BC81&amp;BU81&amp;"Template desconto FLAT Plano Principal Oi TV nível conta"),BENEFICIOS!$A:$G,5,0)))</f>
        <v/>
      </c>
      <c r="BW81" s="8"/>
      <c r="BX81" s="3" t="str">
        <f>IF(BW81=0,"",IF(BW81=VLOOKUP("PCS-OzTL741",ARBOR!$A:$C,3,0),0.0001,IF(BW81&gt;VLOOKUP("PCS-OzTL741",ARBOR!$A:$C,3,0),"Maior que CAP!",IF((DOLLAR(BW81+(VLOOKUP("PCS-OzTL741",ARBOR!$A:$C,3,0)*-TRUNC(BW81/VLOOKUP("PCS-OzTL741",ARBOR!$A:$C,3,0)-1,4)),6))&lt;&gt;(DOLLAR(VLOOKUP("PCS-OzTL741",ARBOR!$A:$C,3,0),6)),-TRUNC(BW81/VLOOKUP("PCS-OzTL741",ARBOR!$A:$C,3,0)-1,4)+0.0001,-TRUNC(BW81/VLOOKUP("PCS-OzTL741",ARBOR!$A:$C,3,0)-1,4)))))</f>
        <v/>
      </c>
      <c r="BY81" s="28" t="str">
        <f>IF(ISERROR(IF(BX81="","",VLOOKUP((BC81&amp;BX81&amp;"Template desconto FLAT Plano Principal Oi TV nível conta"),BENEFICIOS!$A:$G,5,0))),"Criar",IF(BX81="","",VLOOKUP((BC81&amp;BX81&amp;"Template desconto FLAT Plano Principal Oi TV nível conta"),BENEFICIOS!$A:$G,5,0)))</f>
        <v/>
      </c>
      <c r="BZ81" s="8"/>
      <c r="CA81" s="3" t="str">
        <f>IF(BZ81=0,"",IF(BZ81=VLOOKUP("PCS-OzTL744",ARBOR!$A:$C,3,0),0.0001,IF(BZ81&gt;VLOOKUP("PCS-OzTL744",ARBOR!$A:$C,3,0),"Maior que CAP!",IF((DOLLAR(BZ81+(VLOOKUP("PCS-OzTL744",ARBOR!$A:$C,3,0)*-TRUNC(BZ81/VLOOKUP("PCS-OzTL744",ARBOR!$A:$C,3,0)-1,4)),6))&lt;&gt;(DOLLAR(VLOOKUP("PCS-OzTL744",ARBOR!$A:$C,3,0),6)),-TRUNC(BZ81/VLOOKUP("PCS-OzTL744",ARBOR!$A:$C,3,0)-1,4)+0.0001,-TRUNC(BZ81/VLOOKUP("PCS-OzTL744",ARBOR!$A:$C,3,0)-1,4)))))</f>
        <v/>
      </c>
      <c r="CB81" s="28" t="str">
        <f>IF(ISERROR(IF(CA81="","",VLOOKUP(($BC81&amp;CA81&amp;"Template desconto FLAT Plano Principal Oi TV nível conta"),BENEFICIOS!$A:$G,5,0))),"Criar",IF(CA81="","",VLOOKUP(($BC81&amp;CA81&amp;"Template desconto FLAT Plano Principal Oi TV nível conta"),BENEFICIOS!$A:$G,5,0)))</f>
        <v/>
      </c>
      <c r="CC81" s="8"/>
      <c r="CD81" s="3" t="str">
        <f>IF(CC81=0,"",IF(CC81=VLOOKUP("PCS-OzTL743",ARBOR!$A:$C,3,0),0.0001,IF(CC81&gt;VLOOKUP("PCS-OzTL743",ARBOR!$A:$C,3,0),"Maior que CAP!",IF((DOLLAR(CC81+(VLOOKUP("PCS-OzTL743",ARBOR!$A:$C,3,0)*-TRUNC(CC81/VLOOKUP("PCS-OzTL743",ARBOR!$A:$C,3,0)-1,4)),6))&lt;&gt;(DOLLAR(VLOOKUP("PCS-OzTL743",ARBOR!$A:$C,3,0),6)),-TRUNC(CC81/VLOOKUP("PCS-OzTL743",ARBOR!$A:$C,3,0)-1,4)+0.0001,-TRUNC(CC81/VLOOKUP("PCS-OzTL743",ARBOR!$A:$C,3,0)-1,4)))))</f>
        <v/>
      </c>
      <c r="CE81" s="28" t="str">
        <f>IF(ISERROR(IF(CD81="","",VLOOKUP(($BC81&amp;CD81&amp;"Template desconto FLAT Plano Principal Oi TV nível conta"),BENEFICIOS!$A:$G,5,0))),"Criar",IF(CD81="","",VLOOKUP(($BC81&amp;CD81&amp;"Template desconto FLAT Plano Principal Oi TV nível conta"),BENEFICIOS!$A:$G,5,0)))</f>
        <v/>
      </c>
      <c r="CF81" s="8"/>
      <c r="CG81" s="3" t="str">
        <f>IF(CF81=0,"",IF(CF81=VLOOKUP("PCS-OzTL745",ARBOR!$A:$C,3,0),0.0001,IF(CF81&gt;VLOOKUP("PCS-OzTL745",ARBOR!$A:$C,3,0),"Maior que CAP!",IF((DOLLAR(CF81+(VLOOKUP("PCS-OzTL745",ARBOR!$A:$C,3,0)*-TRUNC(CF81/VLOOKUP("PCS-OzTL745",ARBOR!$A:$C,3,0)-1,4)),6))&lt;&gt;(DOLLAR(VLOOKUP("PCS-OzTL745",ARBOR!$A:$C,3,0),6)),-TRUNC(CF81/VLOOKUP("PCS-OzTL745",ARBOR!$A:$C,3,0)-1,4)+0.0001,-TRUNC(CF81/VLOOKUP("PCS-OzTL745",ARBOR!$A:$C,3,0)-1,4)))))</f>
        <v/>
      </c>
      <c r="CH81" s="28" t="str">
        <f>IF(ISERROR(IF(CG81="","",VLOOKUP(($BC81&amp;CG81&amp;"Template desconto FLAT Plano Principal Oi TV nível conta"),BENEFICIOS!$A:$G,5,0))),"Criar",IF(CG81="","",VLOOKUP(($BC81&amp;CG81&amp;"Template desconto FLAT Plano Principal Oi TV nível conta"),BENEFICIOS!$A:$G,5,0)))</f>
        <v/>
      </c>
      <c r="CI81" s="8"/>
      <c r="CJ81" s="3" t="str">
        <f>IF(CI81=0,"",IF(CI81=VLOOKUP("PCS-OzTL42",ARBOR!$A:$C,3,0),0.0001,IF(CI81&gt;VLOOKUP("PCS-OzTL42",ARBOR!$A:$C,3,0),"Maior que CAP!",IF((DOLLAR(CI81+(VLOOKUP("PCS-OzTL42",ARBOR!$A:$C,3,0)*-TRUNC(CI81/VLOOKUP("PCS-OzTL42",ARBOR!$A:$C,3,0)-1,4)),6))&lt;&gt;(DOLLAR(VLOOKUP("PCS-OzTL42",ARBOR!$A:$C,3,0),6)),-TRUNC(CI81/VLOOKUP("PCS-OzTL42",ARBOR!$A:$C,3,0)-1,4)+0.0001,-TRUNC(CI81/VLOOKUP("PCS-OzTL42",ARBOR!$A:$C,3,0)-1,4)))))</f>
        <v/>
      </c>
      <c r="CK81" s="28" t="str">
        <f>IF(ISERROR(IF(CJ81="","",VLOOKUP(($BC81&amp;CJ81&amp;"Template desconto FLAT Plano Principal Oi TV nível conta"),BENEFICIOS!$A:$G,5,0))),"Criar",IF(CJ81="","",VLOOKUP(($BC81&amp;CJ81&amp;"Template desconto FLAT Plano Principal Oi TV nível conta"),BENEFICIOS!$A:$G,5,0)))</f>
        <v/>
      </c>
      <c r="CL81" s="8"/>
      <c r="CM81" s="3" t="str">
        <f>IF(CL81=0,"",IF(CL81=VLOOKUP("PCS-OzTL47",ARBOR!$A:$C,3,0),0.0001,IF(CL81&gt;VLOOKUP("PCS-OzTL47",ARBOR!$A:$C,3,0),"Maior que CAP!",IF((DOLLAR(CL81+(VLOOKUP("PCS-OzTL47",ARBOR!$A:$C,3,0)*-TRUNC(CL81/VLOOKUP("PCS-OzTL47",ARBOR!$A:$C,3,0)-1,4)),6))&lt;&gt;(DOLLAR(VLOOKUP("PCS-OzTL47",ARBOR!$A:$C,3,0),6)),-TRUNC(CL81/VLOOKUP("PCS-OzTL47",ARBOR!$A:$C,3,0)-1,4)+0.0001,-TRUNC(CL81/VLOOKUP("PCS-OzTL47",ARBOR!$A:$C,3,0)-1,4)))))</f>
        <v/>
      </c>
      <c r="CN81" s="28" t="str">
        <f>IF(ISERROR(IF(CM81="","",VLOOKUP(($BC81&amp;CM81&amp;"Template desconto FLAT Plano Principal Oi TV nível conta"),BENEFICIOS!$A:$G,5,0))),"Criar",IF(CM81="","",VLOOKUP(($BC81&amp;CM81&amp;"Template desconto FLAT Plano Principal Oi TV nível conta"),BENEFICIOS!$A:$G,5,0)))</f>
        <v/>
      </c>
      <c r="CO81" s="8"/>
      <c r="CP81" s="3" t="str">
        <f>IF(CO81=0,"",IF(CO81=VLOOKUP("PCS-OzTL46",ARBOR!$A:$C,3,0),0.0001,IF(CO81&gt;VLOOKUP("PCS-OzTL46",ARBOR!$A:$C,3,0),"Maior que CAP!",IF((DOLLAR(CO81+(VLOOKUP("PCS-OzTL46",ARBOR!$A:$C,3,0)*-TRUNC(CO81/VLOOKUP("PCS-OzTL46",ARBOR!$A:$C,3,0)-1,4)),6))&lt;&gt;(DOLLAR(VLOOKUP("PCS-OzTL46",ARBOR!$A:$C,3,0),6)),-TRUNC(CO81/VLOOKUP("PCS-OzTL46",ARBOR!$A:$C,3,0)-1,4)+0.0001,-TRUNC(CO81/VLOOKUP("PCS-OzTL46",ARBOR!$A:$C,3,0)-1,4)))))</f>
        <v/>
      </c>
      <c r="CQ81" s="28" t="str">
        <f>IF(ISERROR(IF(CP81="","",VLOOKUP(($BC81&amp;CP81&amp;"Template desconto FLAT Plano Principal Oi TV nível conta"),BENEFICIOS!$A:$G,5,0))),"Criar",IF(CP81="","",VLOOKUP(($BC81&amp;CP81&amp;"Template desconto FLAT Plano Principal Oi TV nível conta"),BENEFICIOS!$A:$G,5,0)))</f>
        <v/>
      </c>
      <c r="CR81" s="8"/>
      <c r="CS81" s="3" t="str">
        <f>IF(CR81=0,"",IF(CR81=VLOOKUP("PCS-OzTL48",ARBOR!$A:$C,3,0),0.0001,IF(CR81&gt;VLOOKUP("PCS-OzTL48",ARBOR!$A:$C,3,0),"Maior que CAP!",IF((DOLLAR(CR81+(VLOOKUP("PCS-OzTL48",ARBOR!$A:$C,3,0)*-TRUNC(CR81/VLOOKUP("PCS-OzTL48",ARBOR!$A:$C,3,0)-1,4)),6))&lt;&gt;(DOLLAR(VLOOKUP("PCS-OzTL48",ARBOR!$A:$C,3,0),6)),-TRUNC(CR81/VLOOKUP("PCS-OzTL48",ARBOR!$A:$C,3,0)-1,4)+0.0001,-TRUNC(CR81/VLOOKUP("PCS-OzTL48",ARBOR!$A:$C,3,0)-1,4)))))</f>
        <v/>
      </c>
      <c r="CT81" s="28" t="str">
        <f>IF(ISERROR(IF(CS81="","",VLOOKUP(($BC81&amp;CS81&amp;"Template desconto FLAT Plano Principal Oi TV nível conta"),BENEFICIOS!$A:$G,5,0))),"Criar",IF(CS81="","",VLOOKUP(($BC81&amp;CS81&amp;"Template desconto FLAT Plano Principal Oi TV nível conta"),BENEFICIOS!$A:$G,5,0)))</f>
        <v/>
      </c>
      <c r="CU81" s="8"/>
      <c r="CV81" s="3" t="str">
        <f>IF(CU81=0,"",IF(CU81=VLOOKUP("PCS-OzTL742",ARBOR!$A:$C,3,0),0.0001,IF(CU81&gt;VLOOKUP("PCS-OzTL742",ARBOR!$A:$C,3,0),"Maior que CAP!",IF((DOLLAR(CU81+(VLOOKUP("PCS-OzTL742",ARBOR!$A:$C,3,0)*-TRUNC(CU81/VLOOKUP("PCS-OzTL742",ARBOR!$A:$C,3,0)-1,4)),6))&lt;&gt;(DOLLAR(VLOOKUP("PCS-OzTL742",ARBOR!$A:$C,3,0),6)),-TRUNC(CU81/VLOOKUP("PCS-OzTL742",ARBOR!$A:$C,3,0)-1,4)+0.0001,-TRUNC(CU81/VLOOKUP("PCS-OzTL742",ARBOR!$A:$C,3,0)-1,4)))))</f>
        <v/>
      </c>
      <c r="CW81" s="28" t="str">
        <f>IF(ISERROR(IF(CV81="","",VLOOKUP(($BC81&amp;CV81&amp;"Template desconto FLAT Plano Principal Oi TV nível conta"),BENEFICIOS!$A:$G,5,0))),"Criar",IF(CV81="","",VLOOKUP(($BC81&amp;CV81&amp;"Template desconto FLAT Plano Principal Oi TV nível conta"),BENEFICIOS!$A:$G,5,0)))</f>
        <v/>
      </c>
      <c r="CX81" s="8"/>
      <c r="CY81" s="3" t="str">
        <f>IF(CX81=0,"",IF(CX81=VLOOKUP("PCS-OzTL747",ARBOR!$A:$C,3,0),0.0001,IF(CX81&gt;VLOOKUP("PCS-OzTL747",ARBOR!$A:$C,3,0),"Maior que CAP!",IF((DOLLAR(CX81+(VLOOKUP("PCS-OzTL747",ARBOR!$A:$C,3,0)*-TRUNC(CX81/VLOOKUP("PCS-OzTL747",ARBOR!$A:$C,3,0)-1,4)),6))&lt;&gt;(DOLLAR(VLOOKUP("PCS-OzTL747",ARBOR!$A:$C,3,0),6)),-TRUNC(CX81/VLOOKUP("PCS-OzTL747",ARBOR!$A:$C,3,0)-1,4)+0.0001,-TRUNC(CX81/VLOOKUP("PCS-OzTL747",ARBOR!$A:$C,3,0)-1,4)))))</f>
        <v/>
      </c>
      <c r="CZ81" s="28" t="str">
        <f>IF(ISERROR(IF(CY81="","",VLOOKUP(($BC81&amp;CY81&amp;"Template desconto FLAT Plano Principal Oi TV nível conta"),BENEFICIOS!$A:$G,5,0))),"Criar",IF(CY81="","",VLOOKUP(($BC81&amp;CY81&amp;"Template desconto FLAT Plano Principal Oi TV nível conta"),BENEFICIOS!$A:$G,5,0)))</f>
        <v/>
      </c>
      <c r="DA81" s="8"/>
      <c r="DB81" s="3" t="str">
        <f>IF(DA81=0,"",IF(DA81=VLOOKUP("PCS-OzTL746",ARBOR!$A:$C,3,0),0.0001,IF(DA81&gt;VLOOKUP("PCS-OzTL746",ARBOR!$A:$C,3,0),"Maior que CAP!",IF((DOLLAR(DA81+(VLOOKUP("PCS-OzTL746",ARBOR!$A:$C,3,0)*-TRUNC(DA81/VLOOKUP("PCS-OzTL746",ARBOR!$A:$C,3,0)-1,4)),6))&lt;&gt;(DOLLAR(VLOOKUP("PCS-OzTL746",ARBOR!$A:$C,3,0),6)),-TRUNC(DA81/VLOOKUP("PCS-OzTL746",ARBOR!$A:$C,3,0)-1,4)+0.0001,-TRUNC(DA81/VLOOKUP("PCS-OzTL746",ARBOR!$A:$C,3,0)-1,4)))))</f>
        <v/>
      </c>
      <c r="DC81" s="28" t="str">
        <f>IF(ISERROR(IF(DB81="","",VLOOKUP(($BC81&amp;DB81&amp;"Template desconto FLAT Plano Principal Oi TV nível conta"),BENEFICIOS!$A:$G,5,0))),"Criar",IF(DB81="","",VLOOKUP(($BC81&amp;DB81&amp;"Template desconto FLAT Plano Principal Oi TV nível conta"),BENEFICIOS!$A:$G,5,0)))</f>
        <v/>
      </c>
      <c r="DD81" s="8"/>
      <c r="DE81" s="3" t="str">
        <f>IF(DD81=0,"",IF(DD81=VLOOKUP("PCS-OzTL748",ARBOR!$A:$C,3,0),0.0001,IF(DD81&gt;VLOOKUP("PCS-OzTL748",ARBOR!$A:$C,3,0),"Maior que CAP!",IF((DOLLAR(DD81+(VLOOKUP("PCS-OzTL748",ARBOR!$A:$C,3,0)*-TRUNC(DD81/VLOOKUP("PCS-OzTL748",ARBOR!$A:$C,3,0)-1,4)),6))&lt;&gt;(DOLLAR(VLOOKUP("PCS-OzTL748",ARBOR!$A:$C,3,0),6)),-TRUNC(DD81/VLOOKUP("PCS-OzTL748",ARBOR!$A:$C,3,0)-1,4)+0.0001,-TRUNC(DD81/VLOOKUP("PCS-OzTL748",ARBOR!$A:$C,3,0)-1,4)))))</f>
        <v/>
      </c>
      <c r="DF81" s="28" t="str">
        <f>IF(ISERROR(IF(DE81="","",VLOOKUP(($BC81&amp;DE81&amp;"Template desconto FLAT Plano Principal Oi TV nível conta"),BENEFICIOS!$A:$G,5,0))),"Criar",IF(DE81="","",VLOOKUP(($BC81&amp;DE81&amp;"Template desconto FLAT Plano Principal Oi TV nível conta"),BENEFICIOS!$A:$G,5,0)))</f>
        <v/>
      </c>
      <c r="DG81" s="8"/>
      <c r="DH81" s="3" t="str">
        <f>IF(DG81=0,"",IF(DG81=VLOOKUP("PCS-OzTL34",ARBOR!$A:$C,3,0),0.0001,IF(DG81&gt;VLOOKUP("PCS-OzTL34",ARBOR!$A:$C,3,0),"Maior que CAP!",IF((DOLLAR(DG81+(VLOOKUP("PCS-OzTL34",ARBOR!$A:$C,3,0)*-TRUNC(DG81/VLOOKUP("PCS-OzTL34",ARBOR!$A:$C,3,0)-1,4)),6))&lt;&gt;(DOLLAR(VLOOKUP("PCS-OzTL34",ARBOR!$A:$C,3,0),6)),-TRUNC(DG81/VLOOKUP("PCS-OzTL34",ARBOR!$A:$C,3,0)-1,4)+0.0001,-TRUNC(DG81/VLOOKUP("PCS-OzTL34",ARBOR!$A:$C,3,0)-1,4)))))</f>
        <v/>
      </c>
      <c r="DI81" s="28" t="str">
        <f>IF(DH81="S/Desc","S/Desc",IF(ISERROR(IF(DH81="","",VLOOKUP(($BC81&amp;DH81&amp;"Template desconto % Combate nível conta"),BENEFICIOS!$A:$G,5,0))),"Criar",IF(DH81="","",VLOOKUP(($BC81&amp;DH81&amp;"Template desconto % Combate nível conta"),BENEFICIOS!$A:$G,5,0))))</f>
        <v/>
      </c>
      <c r="DJ81" s="8"/>
      <c r="DK81" s="3" t="str">
        <f>IF(DJ81=0,"",IF(DJ81=VLOOKUP("PCS-OzTL31",ARBOR!$A:$C,3,0),0.0001,IF(DJ81&gt;VLOOKUP("PCS-OzTL31",ARBOR!$A:$C,3,0),"Maior que CAP!",IF((DOLLAR(DJ81+(VLOOKUP("PCS-OzTL31",ARBOR!$A:$C,3,0)*-TRUNC(DJ81/VLOOKUP("PCS-OzTL31",ARBOR!$A:$C,3,0)-1,4)),6))&lt;&gt;(DOLLAR(VLOOKUP("PCS-OzTL31",ARBOR!$A:$C,3,0),6)),-TRUNC(DJ81/VLOOKUP("PCS-OzTL31",ARBOR!$A:$C,3,0)-1,4)+0.0001,-TRUNC(DJ81/VLOOKUP("PCS-OzTL31",ARBOR!$A:$C,3,0)-1,4)))))</f>
        <v/>
      </c>
      <c r="DL81" s="28" t="str">
        <f>IF(DK81="S/Desc","S/Desc",IF(ISERROR(IF(DK81="","",VLOOKUP(($BC81&amp;DK81&amp;"Template desconto % Sexy Hot nível conta"),BENEFICIOS!$A:$G,5,0))),"Criar",IF(DK81="","",VLOOKUP(($BC81&amp;DK81&amp;"Template desconto % Sexy Hot nível conta"),BENEFICIOS!$A:$G,5,0))))</f>
        <v/>
      </c>
      <c r="DM81" s="8"/>
      <c r="DN81" s="3" t="str">
        <f>IF(DM81=0,"",IF(DM81=VLOOKUP("PCS-OzTL32",ARBOR!$A:$C,3,0),0.0001,IF(DM81&gt;VLOOKUP("PCS-OzTL32",ARBOR!$A:$C,3,0),"Maior que CAP!",IF((DOLLAR(DM81+(VLOOKUP("PCS-OzTL32",ARBOR!$A:$C,3,0)*-TRUNC(DM81/VLOOKUP("PCS-OzTL32",ARBOR!$A:$C,3,0)-1,4)),6))&lt;&gt;(DOLLAR(VLOOKUP("PCS-OzTL32",ARBOR!$A:$C,3,0),6)),-TRUNC(DM81/VLOOKUP("PCS-OzTL32",ARBOR!$A:$C,3,0)-1,4)+0.0001,-TRUNC(DM81/VLOOKUP("PCS-OzTL32",ARBOR!$A:$C,3,0)-1,4)))))</f>
        <v/>
      </c>
      <c r="DO81" s="28" t="str">
        <f>IF(DN81="S/Desc","S/Desc",IF(ISERROR(IF(DN81="","",VLOOKUP(($BC81&amp;DN81&amp;"Template desconto % Playboy nível conta"),BENEFICIOS!$A:$G,5,0))),"Criar",IF(DN81="","",VLOOKUP(($BC81&amp;DN81&amp;"Template desconto % Playboy nível conta"),BENEFICIOS!$A:$G,5,0))))</f>
        <v/>
      </c>
      <c r="DP81" s="8"/>
      <c r="DQ81" s="3" t="str">
        <f>IF(DP81=0,"",IF(DP81=VLOOKUP("PCS-OzTL33",ARBOR!$A:$C,3,0),0.0001,IF(DP81&gt;VLOOKUP("PCS-OzTL33",ARBOR!$A:$C,3,0),"Maior que CAP!",IF((DOLLAR(DP81+(VLOOKUP("PCS-OzTL33",ARBOR!$A:$C,3,0)*-TRUNC(DP81/VLOOKUP("PCS-OzTL33",ARBOR!$A:$C,3,0)-1,4)),6))&lt;&gt;(DOLLAR(VLOOKUP("PCS-OzTL33",ARBOR!$A:$C,3,0),6)),-TRUNC(DP81/VLOOKUP("PCS-OzTL33",ARBOR!$A:$C,3,0)-1,4)+0.0001,-TRUNC(DP81/VLOOKUP("PCS-OzTL33",ARBOR!$A:$C,3,0)-1,4)))))</f>
        <v/>
      </c>
      <c r="DR81" s="28" t="str">
        <f>IF(DQ81="S/Desc","S/Desc",IF(ISERROR(IF(DQ81="","",VLOOKUP(($BC81&amp;DQ81&amp;"Template desconto % Sexy Hot + Playboy nível conta"),BENEFICIOS!$A:$G,5,0))),"Criar",IF(DQ81="","",VLOOKUP(($BC81&amp;DQ81&amp;"Template desconto % Sexy Hot + Playboy nível conta"),BENEFICIOS!$A:$G,5,0))))</f>
        <v/>
      </c>
      <c r="DS81" s="8"/>
      <c r="DT81" s="3" t="str">
        <f>IF(DS81=0,"",IF(DS81=VLOOKUP("PCS-OzTL503",ARBOR!$A:$C,3,0),0.0001,IF(DS81&gt;VLOOKUP("PCS-OzTL503",ARBOR!$A:$C,3,0),"Maior que CAP!",IF((DOLLAR(DS81+(VLOOKUP("PCS-OzTL503",ARBOR!$A:$C,3,0)*-TRUNC(DS81/VLOOKUP("PCS-OzTL503",ARBOR!$A:$C,3,0)-1,4)),6))&lt;&gt;(DOLLAR(VLOOKUP("PCS-OzTL503",ARBOR!$A:$C,3,0),6)),-TRUNC(DS81/VLOOKUP("PCS-OzTL503",ARBOR!$A:$C,3,0)-1,4)+0.0001,-TRUNC(DS81/VLOOKUP("PCS-OzTL503",ARBOR!$A:$C,3,0)-1,4)))))</f>
        <v/>
      </c>
      <c r="DU81" s="28" t="str">
        <f>IF(DT81="S/Desc","S/Desc",IF(ISERROR(IF(DT81="","",VLOOKUP(($BC81&amp;DT81&amp;"Template desconto % SexPrivê nível conta"),BENEFICIOS!$A:$G,5,0))),"Criar",IF(DT81="","",VLOOKUP(($BC81&amp;DT81&amp;"Template desconto % SexPrivê nível conta"),BENEFICIOS!$A:$G,5,0))))</f>
        <v/>
      </c>
      <c r="DV81" s="8"/>
      <c r="DW81" s="3" t="str">
        <f>IF(DV81=0,"",IF(DV81=VLOOKUP("PCS-OzTL500",ARBOR!$A:$C,3,0),0.0001,IF(DV81&gt;VLOOKUP("PCS-OzTL500",ARBOR!$A:$C,3,0),"Maior que CAP!",IF((DOLLAR(DV81+(VLOOKUP("PCS-OzTL500",ARBOR!$A:$C,3,0)*-TRUNC(DV81/VLOOKUP("PCS-OzTL500",ARBOR!$A:$C,3,0)-1,4)),6))&lt;&gt;(DOLLAR(VLOOKUP("PCS-OzTL500",ARBOR!$A:$C,3,0),6)),-TRUNC(DV81/VLOOKUP("PCS-OzTL500",ARBOR!$A:$C,3,0)-1,4)+0.0001,-TRUNC(DV81/VLOOKUP("PCS-OzTL500",ARBOR!$A:$C,3,0)-1,4)))))</f>
        <v/>
      </c>
      <c r="DX81" s="28" t="str">
        <f>IF(DW81="S/Desc","S/Desc",IF(ISERROR(IF(DW81="","",VLOOKUP(($BC81&amp;DW81&amp;"Template desconto % Étnico nível conta"),BENEFICIOS!$A:$G,5,0))),"Criar",IF(DW81="","",VLOOKUP(($BC81&amp;DW81&amp;"Template desconto % Étnico nível conta"),BENEFICIOS!$A:$G,5,0))))</f>
        <v/>
      </c>
      <c r="DY81" s="8"/>
      <c r="DZ81" s="181" t="str">
        <f>IF(DY81=0,"",IF(DY81=VLOOKUP("PCS-OzTL50",ARBOR!$A:$C,3,0),0.0001,IF(DY81&gt;VLOOKUP("PCS-OzTL50",ARBOR!$A:$C,3,0),"Maior que CAP!",IF((DOLLAR(DY81+(VLOOKUP("PCS-OzTL50",ARBOR!$A:$C,3,0)*-TRUNC(DY81/VLOOKUP("PCS-OzTL50",ARBOR!$A:$C,3,0)-1,4)),6))&lt;&gt;(DOLLAR(VLOOKUP("PCS-OzTL50",ARBOR!$A:$C,3,0),6)),-TRUNC(DY81/VLOOKUP("PCS-OzTL50",ARBOR!$A:$C,3,0)-1,4)+0.0001,-TRUNC(DY81/VLOOKUP("PCS-OzTL50",ARBOR!$A:$C,3,0)-1,4)))))</f>
        <v/>
      </c>
      <c r="EA81" s="28"/>
      <c r="EB81" s="8"/>
      <c r="EC81" s="181" t="str">
        <f>IF(EB81=0,"",IF(EB81=VLOOKUP("PCS-OzTL51",ARBOR!$A:$C,3,0),0.0001,IF(EB81&gt;VLOOKUP("PCS-OzTL51",ARBOR!$A:$C,3,0),"Maior que CAP!",IF((DOLLAR(EB81+(VLOOKUP("PCS-OzTL51",ARBOR!$A:$C,3,0)*-TRUNC(EB81/VLOOKUP("PCS-OzTL51",ARBOR!$A:$C,3,0)-1,4)),6))&lt;&gt;(DOLLAR(VLOOKUP("PCS-OzTL51",ARBOR!$A:$C,3,0),6)),-TRUNC(EB81/VLOOKUP("PCS-OzTL51",ARBOR!$A:$C,3,0)-1,4)+0.0001,-TRUNC(EB81/VLOOKUP("PCS-OzTL51",ARBOR!$A:$C,3,0)-1,4)))))</f>
        <v/>
      </c>
      <c r="ED81" s="28"/>
      <c r="EE81" s="8"/>
      <c r="EF81" s="181" t="str">
        <f>IF(EE81=0,"",IF(EE81=VLOOKUP("PCS-OzTL52",ARBOR!$A:$C,3,0),0.0001,IF(EE81&gt;VLOOKUP("PCS-OzTL52",ARBOR!$A:$C,3,0),"Maior que CAP!",IF((DOLLAR(EE81+(VLOOKUP("PCS-OzTL52",ARBOR!$A:$C,3,0)*-TRUNC(EE81/VLOOKUP("PCS-OzTL52",ARBOR!$A:$C,3,0)-1,4)),6))&lt;&gt;(DOLLAR(VLOOKUP("PCS-OzTL52",ARBOR!$A:$C,3,0),6)),-TRUNC(EE81/VLOOKUP("PCS-OzTL52",ARBOR!$A:$C,3,0)-1,4)+0.0001,-TRUNC(EE81/VLOOKUP("PCS-OzTL52",ARBOR!$A:$C,3,0)-1,4)))))</f>
        <v/>
      </c>
      <c r="EG81" s="28"/>
      <c r="EH81" s="8"/>
      <c r="EI81" s="181" t="str">
        <f>IF(EH81=0,"",IF(EH81=VLOOKUP("PCS-OzTL53",ARBOR!$A:$C,3,0),0.0001,IF(EH81&gt;VLOOKUP("PCS-OzTL53",ARBOR!$A:$C,3,0),"Maior que CAP!",IF((DOLLAR(EH81+(VLOOKUP("PCS-OzTL53",ARBOR!$A:$C,3,0)*-TRUNC(EH81/VLOOKUP("PCS-OzTL53",ARBOR!$A:$C,3,0)-1,4)),6))&lt;&gt;(DOLLAR(VLOOKUP("PCS-OzTL53",ARBOR!$A:$C,3,0),6)),-TRUNC(EH81/VLOOKUP("PCS-OzTL53",ARBOR!$A:$C,3,0)-1,4)+0.0001,-TRUNC(EH81/VLOOKUP("PCS-OzTL53",ARBOR!$A:$C,3,0)-1,4)))))</f>
        <v/>
      </c>
      <c r="EJ81" s="28"/>
      <c r="EK81" s="8"/>
      <c r="EL81" s="181" t="str">
        <f>IF(EK81=0,"",IF(EK81=VLOOKUP("PCS-OzTL54",ARBOR!$A:$C,3,0),0.0001,IF(EK81&gt;VLOOKUP("PCS-OzTL54",ARBOR!$A:$C,3,0),"Maior que CAP!",IF((DOLLAR(EK81+(VLOOKUP("PCS-OzTL54",ARBOR!$A:$C,3,0)*-TRUNC(EK81/VLOOKUP("PCS-OzTL54",ARBOR!$A:$C,3,0)-1,4)),6))&lt;&gt;(DOLLAR(VLOOKUP("PCS-OzTL54",ARBOR!$A:$C,3,0),6)),-TRUNC(EK81/VLOOKUP("PCS-OzTL54",ARBOR!$A:$C,3,0)-1,4)+0.0001,-TRUNC(EK81/VLOOKUP("PCS-OzTL54",ARBOR!$A:$C,3,0)-1,4)))))</f>
        <v/>
      </c>
      <c r="EM81" s="28"/>
      <c r="EN81" s="8"/>
      <c r="EO81" s="3" t="str">
        <f>IF(EN81=0,"",IF(EN81=VLOOKUP("PCS-OzTL99",ARBOR!$A:$C,3,0),0.0001,IF(EN81&gt;VLOOKUP("PCS-OzTL99",ARBOR!$A:$C,3,0),"Maior que CAP!",IF((DOLLAR(EN81+(VLOOKUP("PCS-OzTL99",ARBOR!$A:$C,3,0)*-TRUNC(EN81/VLOOKUP("PCS-OzTL99",ARBOR!$A:$C,3,0)-1,4)),6))&lt;&gt;(DOLLAR(VLOOKUP("PCS-OzTL99",ARBOR!$A:$C,3,0),6)),-TRUNC(EN81/VLOOKUP("PCS-OzTL99",ARBOR!$A:$C,3,0)-1,4)+0.0001,-TRUNC(EN81/VLOOKUP("PCS-OzTL99",ARBOR!$A:$C,3,0)-1,4)))))</f>
        <v/>
      </c>
      <c r="EP81" s="28" t="str">
        <f>IF(EO81="S/Desc","S/Desc",IF(ISERROR(IF(EO81="","",VLOOKUP(($BC81&amp;EO81&amp;"Template desconto % Ponto adicional nível conta"),BENEFICIOS!$A:$G,5,0))),"Criar",IF(EO81="","",VLOOKUP(($BC81&amp;EO81&amp;"Template desconto % Ponto adicional nível conta"),BENEFICIOS!$A:$G,5,0))))</f>
        <v/>
      </c>
      <c r="EQ81" s="8"/>
      <c r="ER81" s="28" t="str">
        <f t="shared" si="23"/>
        <v/>
      </c>
      <c r="ES81" s="62"/>
      <c r="ET81" s="126"/>
      <c r="EU81" s="127"/>
      <c r="EV81" s="126"/>
      <c r="EW81" s="128" t="str">
        <f t="shared" si="24"/>
        <v/>
      </c>
      <c r="EX81" s="129" t="str">
        <f t="shared" si="25"/>
        <v/>
      </c>
      <c r="EY81" s="91" t="str">
        <f t="shared" si="26"/>
        <v/>
      </c>
      <c r="EZ81" s="85"/>
      <c r="FA81" s="97"/>
      <c r="FB81" s="91"/>
      <c r="FC81" s="85"/>
      <c r="FD81" s="97"/>
      <c r="FE81" s="91"/>
      <c r="FF81" s="87"/>
      <c r="FG81" s="144" t="str">
        <f t="shared" si="27"/>
        <v/>
      </c>
      <c r="FH81" s="144" t="str">
        <f t="shared" si="28"/>
        <v/>
      </c>
      <c r="FI81" s="144" t="str">
        <f t="shared" si="29"/>
        <v/>
      </c>
      <c r="FJ81" s="144" t="str">
        <f t="shared" si="30"/>
        <v/>
      </c>
      <c r="FK81" s="144" t="str">
        <f t="shared" si="31"/>
        <v/>
      </c>
      <c r="FL81" s="144" t="str">
        <f t="shared" si="32"/>
        <v/>
      </c>
      <c r="FM81" s="144" t="str">
        <f t="shared" si="33"/>
        <v/>
      </c>
      <c r="FN81" s="144" t="str">
        <f t="shared" si="34"/>
        <v/>
      </c>
      <c r="FO81" s="144" t="str">
        <f t="shared" si="35"/>
        <v/>
      </c>
      <c r="FP81" s="144" t="str">
        <f t="shared" si="36"/>
        <v/>
      </c>
      <c r="FQ81" s="144" t="str">
        <f t="shared" si="37"/>
        <v/>
      </c>
      <c r="FR81" s="144" t="str">
        <f t="shared" si="38"/>
        <v/>
      </c>
      <c r="FS81" s="144" t="str">
        <f t="shared" si="39"/>
        <v/>
      </c>
      <c r="FT81" s="144" t="str">
        <f t="shared" si="40"/>
        <v/>
      </c>
      <c r="FU81" s="144" t="str">
        <f t="shared" si="41"/>
        <v/>
      </c>
      <c r="FV81" s="144" t="str">
        <f t="shared" si="42"/>
        <v/>
      </c>
      <c r="FW81" s="144" t="str">
        <f t="shared" si="43"/>
        <v/>
      </c>
      <c r="FX81" s="151"/>
      <c r="FY81" s="152"/>
      <c r="FZ81" s="152"/>
      <c r="GA81" s="152"/>
      <c r="GB81" s="152"/>
      <c r="GC81" s="152"/>
      <c r="GD81" s="152"/>
      <c r="GE81" s="152"/>
      <c r="GF81" s="152"/>
      <c r="GG81" s="153"/>
    </row>
    <row r="82" spans="1:189">
      <c r="A82" s="45"/>
      <c r="B82" s="133"/>
      <c r="C82" s="133"/>
      <c r="D82" s="46"/>
      <c r="E82" s="4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9"/>
      <c r="U82" s="48"/>
      <c r="V82" s="49"/>
      <c r="W82" s="48"/>
      <c r="X82" s="48"/>
      <c r="Y82" s="48"/>
      <c r="Z82" s="48"/>
      <c r="AA82" s="49"/>
      <c r="AB82" s="48"/>
      <c r="AC82" s="50"/>
      <c r="AD82" s="48"/>
      <c r="AE82" s="48"/>
      <c r="AF82" s="48"/>
      <c r="AG82" s="48"/>
      <c r="AH82" s="48"/>
      <c r="AI82" s="48"/>
      <c r="AJ82" s="48"/>
      <c r="AK82" s="48"/>
      <c r="AL82" s="51"/>
      <c r="AM82" s="37"/>
      <c r="AN82" s="38"/>
      <c r="AO82" s="39"/>
      <c r="AP82" s="52"/>
      <c r="AQ82" s="53"/>
      <c r="AR82" s="64"/>
      <c r="AS82" s="65"/>
      <c r="AT82" s="54"/>
      <c r="AU82" s="54"/>
      <c r="AV82" s="54"/>
      <c r="AW82" s="54"/>
      <c r="AX82" s="70"/>
      <c r="AY82" s="71"/>
      <c r="AZ82" s="72"/>
      <c r="BA82" s="73"/>
      <c r="BB82" s="55"/>
      <c r="BC82" s="56"/>
      <c r="BD82" s="27" t="str">
        <f t="shared" ref="BD82" si="44">IF(BC82="Oi Total Fixo +  TV 1","CFG-2Plowpi",IF(BC82="Oi Total Fixo +  TV 2","PCS-2PMepi",IF(BC82="Oi Total Fixo +  TV 3","PCS-2PHipi","")))</f>
        <v/>
      </c>
      <c r="BE82" s="58"/>
      <c r="BF82" s="3" t="str">
        <f>IF(BE82=0,"",IF(BE82=VLOOKUP("FIXO",ARBOR!$A:$C,3,0),0.0001,IF(BE82&gt;VLOOKUP("FIXO",ARBOR!$A:$C,3,0),"Maior que CAP!",IF((DOLLAR(BE82+(VLOOKUP("FIXO",ARBOR!$A:$C,3,0)*-TRUNC(BE82/VLOOKUP("FIXO",ARBOR!$A:$C,3,0)-1,4)),6))&lt;&gt;(DOLLAR(VLOOKUP("FIXO",ARBOR!$A:$C,3,0),6)),-TRUNC(BE82/VLOOKUP("FIXO",ARBOR!$A:$C,3,0)-1,4)+0.0001,-TRUNC(BE82/VLOOKUP("FIXO",ARBOR!$A:$C,3,0)-1,4)))))</f>
        <v/>
      </c>
      <c r="BG82" s="10" t="str">
        <f>IF(ISERROR(IF(BF82="","",VLOOKUP(($BC82&amp;BF82&amp;"Template de desconto FLAT bundle - Fixo - Varejo - Ganho Tributário Cross"),BENEFICIOS!$A:$G,5,0))),"Criar",IF(BF82="","",VLOOKUP(($BC82&amp;BF82&amp;"Template de desconto FLAT bundle - Fixo - Varejo - Ganho Tributário Cross"),BENEFICIOS!$A:$G,5,0)))</f>
        <v/>
      </c>
      <c r="BH82" s="8"/>
      <c r="BI82" s="3" t="str">
        <f>IF(BH82=0,"",IF(BH82=VLOOKUP("PCS-OzTL40",ARBOR!$A:$C,3,0),0.0001,IF(BH82&gt;VLOOKUP("PCS-OzTL40",ARBOR!$A:$C,3,0),"Maior que CAP!",IF((DOLLAR(BH82+(VLOOKUP("PCS-OzTL40",ARBOR!$A:$C,3,0)*-TRUNC(BH82/VLOOKUP("PCS-OzTL40",ARBOR!$A:$C,3,0)-1,4)),6))&lt;&gt;(DOLLAR(VLOOKUP("PCS-OzTL40",ARBOR!$A:$C,3,0),6)),-TRUNC(BH82/VLOOKUP("PCS-OzTL40",ARBOR!$A:$C,3,0)-1,4)+0.0001,-TRUNC(BH82/VLOOKUP("PCS-OzTL40",ARBOR!$A:$C,3,0)-1,4)))))</f>
        <v/>
      </c>
      <c r="BJ82" s="10" t="str">
        <f>IF(ISERROR(IF(BI82="","",VLOOKUP((BC82&amp;BI82&amp;"Template desconto FLAT Plano Principal Oi TV nível conta"),BENEFICIOS!$A:$G,5,0))),"Criar",IF(BI82="","",VLOOKUP((BC82&amp;BI82&amp;"Template desconto FLAT Plano Principal Oi TV nível conta"),BENEFICIOS!$A:$G,5,0)))</f>
        <v/>
      </c>
      <c r="BK82" s="8"/>
      <c r="BL82" s="3" t="str">
        <f>IF(BK82=0,"",IF(BK82=VLOOKUP("PCS-OzTL41",ARBOR!$A:$C,3,0),0.0001,IF(BK82&gt;VLOOKUP("PCS-OzTL41",ARBOR!$A:$C,3,0),"Maior que CAP!",IF((DOLLAR(BK82+(VLOOKUP("PCS-OzTL41",ARBOR!$A:$C,3,0)*-TRUNC(BK82/VLOOKUP("PCS-OzTL41",ARBOR!$A:$C,3,0)-1,4)),6))&lt;&gt;(DOLLAR(VLOOKUP("PCS-OzTL41",ARBOR!$A:$C,3,0),6)),-TRUNC(BK82/VLOOKUP("PCS-OzTL41",ARBOR!$A:$C,3,0)-1,4)+0.0001,-TRUNC(BK82/VLOOKUP("PCS-OzTL41",ARBOR!$A:$C,3,0)-1,4)))))</f>
        <v/>
      </c>
      <c r="BM82" s="28" t="str">
        <f>IF(ISERROR(IF(BL82="","",VLOOKUP((BC82&amp;BL82&amp;"Template desconto FLAT Plano Principal Oi TV nível conta"),BENEFICIOS!$A:$G,5,0))),"Criar",IF(BL82="","",VLOOKUP((BC82&amp;BL82&amp;"Template desconto FLAT Plano Principal Oi TV nível conta"),BENEFICIOS!$A:$G,5,0)))</f>
        <v/>
      </c>
      <c r="BN82" s="8"/>
      <c r="BO82" s="3" t="str">
        <f>IF(BN82=0,"",IF(BN82=VLOOKUP("PCS-OzTL44",ARBOR!$A:$C,3,0),0.0001,IF(BN82&gt;VLOOKUP("PCS-OzTL44",ARBOR!$A:$C,3,0),"Maior que CAP!",IF((DOLLAR(BN82+(VLOOKUP("PCS-OzTL44",ARBOR!$A:$C,3,0)*-TRUNC(BN82/VLOOKUP("PCS-OzTL44",ARBOR!$A:$C,3,0)-1,4)),6))&lt;&gt;(DOLLAR(VLOOKUP("PCS-OzTL44",ARBOR!$A:$C,3,0),6)),-TRUNC(BN82/VLOOKUP("PCS-OzTL44",ARBOR!$A:$C,3,0)-1,4)+0.0001,-TRUNC(BN82/VLOOKUP("PCS-OzTL44",ARBOR!$A:$C,3,0)-1,4)))))</f>
        <v/>
      </c>
      <c r="BP82" s="28" t="str">
        <f>IF(ISERROR(IF(BO82="","",VLOOKUP((BC82&amp;BO82&amp;"Template desconto FLAT Plano Principal Oi TV nível conta"),BENEFICIOS!$A:$G,5,0))),"Criar",IF(BO82="","",VLOOKUP((BC82&amp;BO82&amp;"Template desconto FLAT Plano Principal Oi TV nível conta"),BENEFICIOS!$A:$G,5,0)))</f>
        <v/>
      </c>
      <c r="BQ82" s="8"/>
      <c r="BR82" s="3" t="str">
        <f>IF(BQ82=0,"",IF(BQ82=VLOOKUP("PCS-OzTL43",ARBOR!$A:$C,3,0),0.0001,IF(BQ82&gt;VLOOKUP("PCS-OzTL43",ARBOR!$A:$C,3,0),"Maior que CAP!",IF((DOLLAR(BQ82+(VLOOKUP("PCS-OzTL43",ARBOR!$A:$C,3,0)*-TRUNC(BQ82/VLOOKUP("PCS-OzTL43",ARBOR!$A:$C,3,0)-1,4)),6))&lt;&gt;(DOLLAR(VLOOKUP("PCS-OzTL43",ARBOR!$A:$C,3,0),6)),-TRUNC(BQ82/VLOOKUP("PCS-OzTL43",ARBOR!$A:$C,3,0)-1,4)+0.0001,-TRUNC(BQ82/VLOOKUP("PCS-OzTL43",ARBOR!$A:$C,3,0)-1,4)))))</f>
        <v/>
      </c>
      <c r="BS82" s="28" t="str">
        <f>IF(ISERROR(IF(BR82="","",VLOOKUP((BC82&amp;BR82&amp;"Template desconto FLAT Plano Principal Oi TV nível conta"),BENEFICIOS!$A:$G,5,0))),"Criar",IF(BR82="","",VLOOKUP((BC82&amp;BR82&amp;"Template desconto FLAT Plano Principal Oi TV nível conta"),BENEFICIOS!$A:$G,5,0)))</f>
        <v/>
      </c>
      <c r="BT82" s="8"/>
      <c r="BU82" s="3" t="str">
        <f>IF(BT82=0,"",IF(BT82=VLOOKUP("PCS-OzTL45",ARBOR!$A:$C,3,0),0.0001,IF(BT82&gt;VLOOKUP("PCS-OzTL45",ARBOR!$A:$C,3,0),"Maior que CAP!",IF((DOLLAR(BT82+(VLOOKUP("PCS-OzTL45",ARBOR!$A:$C,3,0)*-TRUNC(BT82/VLOOKUP("PCS-OzTL45",ARBOR!$A:$C,3,0)-1,4)),6))&lt;&gt;(DOLLAR(VLOOKUP("PCS-OzTL45",ARBOR!$A:$C,3,0),6)),-TRUNC(BT82/VLOOKUP("PCS-OzTL45",ARBOR!$A:$C,3,0)-1,4)+0.0001,-TRUNC(BT82/VLOOKUP("PCS-OzTL45",ARBOR!$A:$C,3,0)-1,4)))))</f>
        <v/>
      </c>
      <c r="BV82" s="28" t="str">
        <f>IF(ISERROR(IF(BU82="","",VLOOKUP((BC82&amp;BU82&amp;"Template desconto FLAT Plano Principal Oi TV nível conta"),BENEFICIOS!$A:$G,5,0))),"Criar",IF(BU82="","",VLOOKUP((BC82&amp;BU82&amp;"Template desconto FLAT Plano Principal Oi TV nível conta"),BENEFICIOS!$A:$G,5,0)))</f>
        <v/>
      </c>
      <c r="BW82" s="8"/>
      <c r="BX82" s="3" t="str">
        <f>IF(BW82=0,"",IF(BW82=VLOOKUP("PCS-OzTL741",ARBOR!$A:$C,3,0),0.0001,IF(BW82&gt;VLOOKUP("PCS-OzTL741",ARBOR!$A:$C,3,0),"Maior que CAP!",IF((DOLLAR(BW82+(VLOOKUP("PCS-OzTL741",ARBOR!$A:$C,3,0)*-TRUNC(BW82/VLOOKUP("PCS-OzTL741",ARBOR!$A:$C,3,0)-1,4)),6))&lt;&gt;(DOLLAR(VLOOKUP("PCS-OzTL741",ARBOR!$A:$C,3,0),6)),-TRUNC(BW82/VLOOKUP("PCS-OzTL741",ARBOR!$A:$C,3,0)-1,4)+0.0001,-TRUNC(BW82/VLOOKUP("PCS-OzTL741",ARBOR!$A:$C,3,0)-1,4)))))</f>
        <v/>
      </c>
      <c r="BY82" s="28" t="str">
        <f>IF(ISERROR(IF(BX82="","",VLOOKUP((BC82&amp;BX82&amp;"Template desconto FLAT Plano Principal Oi TV nível conta"),BENEFICIOS!$A:$G,5,0))),"Criar",IF(BX82="","",VLOOKUP((BC82&amp;BX82&amp;"Template desconto FLAT Plano Principal Oi TV nível conta"),BENEFICIOS!$A:$G,5,0)))</f>
        <v/>
      </c>
      <c r="BZ82" s="8"/>
      <c r="CA82" s="3" t="str">
        <f>IF(BZ82=0,"",IF(BZ82=VLOOKUP("PCS-OzTL744",ARBOR!$A:$C,3,0),0.0001,IF(BZ82&gt;VLOOKUP("PCS-OzTL744",ARBOR!$A:$C,3,0),"Maior que CAP!",IF((DOLLAR(BZ82+(VLOOKUP("PCS-OzTL744",ARBOR!$A:$C,3,0)*-TRUNC(BZ82/VLOOKUP("PCS-OzTL744",ARBOR!$A:$C,3,0)-1,4)),6))&lt;&gt;(DOLLAR(VLOOKUP("PCS-OzTL744",ARBOR!$A:$C,3,0),6)),-TRUNC(BZ82/VLOOKUP("PCS-OzTL744",ARBOR!$A:$C,3,0)-1,4)+0.0001,-TRUNC(BZ82/VLOOKUP("PCS-OzTL744",ARBOR!$A:$C,3,0)-1,4)))))</f>
        <v/>
      </c>
      <c r="CB82" s="28" t="str">
        <f>IF(ISERROR(IF(CA82="","",VLOOKUP(($BC82&amp;CA82&amp;"Template desconto FLAT Plano Principal Oi TV nível conta"),BENEFICIOS!$A:$G,5,0))),"Criar",IF(CA82="","",VLOOKUP(($BC82&amp;CA82&amp;"Template desconto FLAT Plano Principal Oi TV nível conta"),BENEFICIOS!$A:$G,5,0)))</f>
        <v/>
      </c>
      <c r="CC82" s="8"/>
      <c r="CD82" s="3" t="str">
        <f>IF(CC82=0,"",IF(CC82=VLOOKUP("PCS-OzTL743",ARBOR!$A:$C,3,0),0.0001,IF(CC82&gt;VLOOKUP("PCS-OzTL743",ARBOR!$A:$C,3,0),"Maior que CAP!",IF((DOLLAR(CC82+(VLOOKUP("PCS-OzTL743",ARBOR!$A:$C,3,0)*-TRUNC(CC82/VLOOKUP("PCS-OzTL743",ARBOR!$A:$C,3,0)-1,4)),6))&lt;&gt;(DOLLAR(VLOOKUP("PCS-OzTL743",ARBOR!$A:$C,3,0),6)),-TRUNC(CC82/VLOOKUP("PCS-OzTL743",ARBOR!$A:$C,3,0)-1,4)+0.0001,-TRUNC(CC82/VLOOKUP("PCS-OzTL743",ARBOR!$A:$C,3,0)-1,4)))))</f>
        <v/>
      </c>
      <c r="CE82" s="28" t="str">
        <f>IF(ISERROR(IF(CD82="","",VLOOKUP(($BC82&amp;CD82&amp;"Template desconto FLAT Plano Principal Oi TV nível conta"),BENEFICIOS!$A:$G,5,0))),"Criar",IF(CD82="","",VLOOKUP(($BC82&amp;CD82&amp;"Template desconto FLAT Plano Principal Oi TV nível conta"),BENEFICIOS!$A:$G,5,0)))</f>
        <v/>
      </c>
      <c r="CF82" s="8"/>
      <c r="CG82" s="3" t="str">
        <f>IF(CF82=0,"",IF(CF82=VLOOKUP("PCS-OzTL745",ARBOR!$A:$C,3,0),0.0001,IF(CF82&gt;VLOOKUP("PCS-OzTL745",ARBOR!$A:$C,3,0),"Maior que CAP!",IF((DOLLAR(CF82+(VLOOKUP("PCS-OzTL745",ARBOR!$A:$C,3,0)*-TRUNC(CF82/VLOOKUP("PCS-OzTL745",ARBOR!$A:$C,3,0)-1,4)),6))&lt;&gt;(DOLLAR(VLOOKUP("PCS-OzTL745",ARBOR!$A:$C,3,0),6)),-TRUNC(CF82/VLOOKUP("PCS-OzTL745",ARBOR!$A:$C,3,0)-1,4)+0.0001,-TRUNC(CF82/VLOOKUP("PCS-OzTL745",ARBOR!$A:$C,3,0)-1,4)))))</f>
        <v/>
      </c>
      <c r="CH82" s="28" t="str">
        <f>IF(ISERROR(IF(CG82="","",VLOOKUP(($BC82&amp;CG82&amp;"Template desconto FLAT Plano Principal Oi TV nível conta"),BENEFICIOS!$A:$G,5,0))),"Criar",IF(CG82="","",VLOOKUP(($BC82&amp;CG82&amp;"Template desconto FLAT Plano Principal Oi TV nível conta"),BENEFICIOS!$A:$G,5,0)))</f>
        <v/>
      </c>
      <c r="CI82" s="8"/>
      <c r="CJ82" s="3" t="str">
        <f>IF(CI82=0,"",IF(CI82=VLOOKUP("PCS-OzTL42",ARBOR!$A:$C,3,0),0.0001,IF(CI82&gt;VLOOKUP("PCS-OzTL42",ARBOR!$A:$C,3,0),"Maior que CAP!",IF((DOLLAR(CI82+(VLOOKUP("PCS-OzTL42",ARBOR!$A:$C,3,0)*-TRUNC(CI82/VLOOKUP("PCS-OzTL42",ARBOR!$A:$C,3,0)-1,4)),6))&lt;&gt;(DOLLAR(VLOOKUP("PCS-OzTL42",ARBOR!$A:$C,3,0),6)),-TRUNC(CI82/VLOOKUP("PCS-OzTL42",ARBOR!$A:$C,3,0)-1,4)+0.0001,-TRUNC(CI82/VLOOKUP("PCS-OzTL42",ARBOR!$A:$C,3,0)-1,4)))))</f>
        <v/>
      </c>
      <c r="CK82" s="28" t="str">
        <f>IF(ISERROR(IF(CJ82="","",VLOOKUP(($BC82&amp;CJ82&amp;"Template desconto FLAT Plano Principal Oi TV nível conta"),BENEFICIOS!$A:$G,5,0))),"Criar",IF(CJ82="","",VLOOKUP(($BC82&amp;CJ82&amp;"Template desconto FLAT Plano Principal Oi TV nível conta"),BENEFICIOS!$A:$G,5,0)))</f>
        <v/>
      </c>
      <c r="CL82" s="8"/>
      <c r="CM82" s="3" t="str">
        <f>IF(CL82=0,"",IF(CL82=VLOOKUP("PCS-OzTL47",ARBOR!$A:$C,3,0),0.0001,IF(CL82&gt;VLOOKUP("PCS-OzTL47",ARBOR!$A:$C,3,0),"Maior que CAP!",IF((DOLLAR(CL82+(VLOOKUP("PCS-OzTL47",ARBOR!$A:$C,3,0)*-TRUNC(CL82/VLOOKUP("PCS-OzTL47",ARBOR!$A:$C,3,0)-1,4)),6))&lt;&gt;(DOLLAR(VLOOKUP("PCS-OzTL47",ARBOR!$A:$C,3,0),6)),-TRUNC(CL82/VLOOKUP("PCS-OzTL47",ARBOR!$A:$C,3,0)-1,4)+0.0001,-TRUNC(CL82/VLOOKUP("PCS-OzTL47",ARBOR!$A:$C,3,0)-1,4)))))</f>
        <v/>
      </c>
      <c r="CN82" s="28" t="str">
        <f>IF(ISERROR(IF(CM82="","",VLOOKUP(($BC82&amp;CM82&amp;"Template desconto FLAT Plano Principal Oi TV nível conta"),BENEFICIOS!$A:$G,5,0))),"Criar",IF(CM82="","",VLOOKUP(($BC82&amp;CM82&amp;"Template desconto FLAT Plano Principal Oi TV nível conta"),BENEFICIOS!$A:$G,5,0)))</f>
        <v/>
      </c>
      <c r="CO82" s="8"/>
      <c r="CP82" s="3" t="str">
        <f>IF(CO82=0,"",IF(CO82=VLOOKUP("PCS-OzTL46",ARBOR!$A:$C,3,0),0.0001,IF(CO82&gt;VLOOKUP("PCS-OzTL46",ARBOR!$A:$C,3,0),"Maior que CAP!",IF((DOLLAR(CO82+(VLOOKUP("PCS-OzTL46",ARBOR!$A:$C,3,0)*-TRUNC(CO82/VLOOKUP("PCS-OzTL46",ARBOR!$A:$C,3,0)-1,4)),6))&lt;&gt;(DOLLAR(VLOOKUP("PCS-OzTL46",ARBOR!$A:$C,3,0),6)),-TRUNC(CO82/VLOOKUP("PCS-OzTL46",ARBOR!$A:$C,3,0)-1,4)+0.0001,-TRUNC(CO82/VLOOKUP("PCS-OzTL46",ARBOR!$A:$C,3,0)-1,4)))))</f>
        <v/>
      </c>
      <c r="CQ82" s="28" t="str">
        <f>IF(ISERROR(IF(CP82="","",VLOOKUP(($BC82&amp;CP82&amp;"Template desconto FLAT Plano Principal Oi TV nível conta"),BENEFICIOS!$A:$G,5,0))),"Criar",IF(CP82="","",VLOOKUP(($BC82&amp;CP82&amp;"Template desconto FLAT Plano Principal Oi TV nível conta"),BENEFICIOS!$A:$G,5,0)))</f>
        <v/>
      </c>
      <c r="CR82" s="8"/>
      <c r="CS82" s="3" t="str">
        <f>IF(CR82=0,"",IF(CR82=VLOOKUP("PCS-OzTL48",ARBOR!$A:$C,3,0),0.0001,IF(CR82&gt;VLOOKUP("PCS-OzTL48",ARBOR!$A:$C,3,0),"Maior que CAP!",IF((DOLLAR(CR82+(VLOOKUP("PCS-OzTL48",ARBOR!$A:$C,3,0)*-TRUNC(CR82/VLOOKUP("PCS-OzTL48",ARBOR!$A:$C,3,0)-1,4)),6))&lt;&gt;(DOLLAR(VLOOKUP("PCS-OzTL48",ARBOR!$A:$C,3,0),6)),-TRUNC(CR82/VLOOKUP("PCS-OzTL48",ARBOR!$A:$C,3,0)-1,4)+0.0001,-TRUNC(CR82/VLOOKUP("PCS-OzTL48",ARBOR!$A:$C,3,0)-1,4)))))</f>
        <v/>
      </c>
      <c r="CT82" s="28" t="str">
        <f>IF(ISERROR(IF(CS82="","",VLOOKUP(($BC82&amp;CS82&amp;"Template desconto FLAT Plano Principal Oi TV nível conta"),BENEFICIOS!$A:$G,5,0))),"Criar",IF(CS82="","",VLOOKUP(($BC82&amp;CS82&amp;"Template desconto FLAT Plano Principal Oi TV nível conta"),BENEFICIOS!$A:$G,5,0)))</f>
        <v/>
      </c>
      <c r="CU82" s="8"/>
      <c r="CV82" s="3" t="str">
        <f>IF(CU82=0,"",IF(CU82=VLOOKUP("PCS-OzTL742",ARBOR!$A:$C,3,0),0.0001,IF(CU82&gt;VLOOKUP("PCS-OzTL742",ARBOR!$A:$C,3,0),"Maior que CAP!",IF((DOLLAR(CU82+(VLOOKUP("PCS-OzTL742",ARBOR!$A:$C,3,0)*-TRUNC(CU82/VLOOKUP("PCS-OzTL742",ARBOR!$A:$C,3,0)-1,4)),6))&lt;&gt;(DOLLAR(VLOOKUP("PCS-OzTL742",ARBOR!$A:$C,3,0),6)),-TRUNC(CU82/VLOOKUP("PCS-OzTL742",ARBOR!$A:$C,3,0)-1,4)+0.0001,-TRUNC(CU82/VLOOKUP("PCS-OzTL742",ARBOR!$A:$C,3,0)-1,4)))))</f>
        <v/>
      </c>
      <c r="CW82" s="28" t="str">
        <f>IF(ISERROR(IF(CV82="","",VLOOKUP(($BC82&amp;CV82&amp;"Template desconto FLAT Plano Principal Oi TV nível conta"),BENEFICIOS!$A:$G,5,0))),"Criar",IF(CV82="","",VLOOKUP(($BC82&amp;CV82&amp;"Template desconto FLAT Plano Principal Oi TV nível conta"),BENEFICIOS!$A:$G,5,0)))</f>
        <v/>
      </c>
      <c r="CX82" s="8"/>
      <c r="CY82" s="3" t="str">
        <f>IF(CX82=0,"",IF(CX82=VLOOKUP("PCS-OzTL747",ARBOR!$A:$C,3,0),0.0001,IF(CX82&gt;VLOOKUP("PCS-OzTL747",ARBOR!$A:$C,3,0),"Maior que CAP!",IF((DOLLAR(CX82+(VLOOKUP("PCS-OzTL747",ARBOR!$A:$C,3,0)*-TRUNC(CX82/VLOOKUP("PCS-OzTL747",ARBOR!$A:$C,3,0)-1,4)),6))&lt;&gt;(DOLLAR(VLOOKUP("PCS-OzTL747",ARBOR!$A:$C,3,0),6)),-TRUNC(CX82/VLOOKUP("PCS-OzTL747",ARBOR!$A:$C,3,0)-1,4)+0.0001,-TRUNC(CX82/VLOOKUP("PCS-OzTL747",ARBOR!$A:$C,3,0)-1,4)))))</f>
        <v/>
      </c>
      <c r="CZ82" s="28" t="str">
        <f>IF(ISERROR(IF(CY82="","",VLOOKUP(($BC82&amp;CY82&amp;"Template desconto FLAT Plano Principal Oi TV nível conta"),BENEFICIOS!$A:$G,5,0))),"Criar",IF(CY82="","",VLOOKUP(($BC82&amp;CY82&amp;"Template desconto FLAT Plano Principal Oi TV nível conta"),BENEFICIOS!$A:$G,5,0)))</f>
        <v/>
      </c>
      <c r="DA82" s="8"/>
      <c r="DB82" s="3" t="str">
        <f>IF(DA82=0,"",IF(DA82=VLOOKUP("PCS-OzTL746",ARBOR!$A:$C,3,0),0.0001,IF(DA82&gt;VLOOKUP("PCS-OzTL746",ARBOR!$A:$C,3,0),"Maior que CAP!",IF((DOLLAR(DA82+(VLOOKUP("PCS-OzTL746",ARBOR!$A:$C,3,0)*-TRUNC(DA82/VLOOKUP("PCS-OzTL746",ARBOR!$A:$C,3,0)-1,4)),6))&lt;&gt;(DOLLAR(VLOOKUP("PCS-OzTL746",ARBOR!$A:$C,3,0),6)),-TRUNC(DA82/VLOOKUP("PCS-OzTL746",ARBOR!$A:$C,3,0)-1,4)+0.0001,-TRUNC(DA82/VLOOKUP("PCS-OzTL746",ARBOR!$A:$C,3,0)-1,4)))))</f>
        <v/>
      </c>
      <c r="DC82" s="28" t="str">
        <f>IF(ISERROR(IF(DB82="","",VLOOKUP(($BC82&amp;DB82&amp;"Template desconto FLAT Plano Principal Oi TV nível conta"),BENEFICIOS!$A:$G,5,0))),"Criar",IF(DB82="","",VLOOKUP(($BC82&amp;DB82&amp;"Template desconto FLAT Plano Principal Oi TV nível conta"),BENEFICIOS!$A:$G,5,0)))</f>
        <v/>
      </c>
      <c r="DD82" s="8"/>
      <c r="DE82" s="3" t="str">
        <f>IF(DD82=0,"",IF(DD82=VLOOKUP("PCS-OzTL748",ARBOR!$A:$C,3,0),0.0001,IF(DD82&gt;VLOOKUP("PCS-OzTL748",ARBOR!$A:$C,3,0),"Maior que CAP!",IF((DOLLAR(DD82+(VLOOKUP("PCS-OzTL748",ARBOR!$A:$C,3,0)*-TRUNC(DD82/VLOOKUP("PCS-OzTL748",ARBOR!$A:$C,3,0)-1,4)),6))&lt;&gt;(DOLLAR(VLOOKUP("PCS-OzTL748",ARBOR!$A:$C,3,0),6)),-TRUNC(DD82/VLOOKUP("PCS-OzTL748",ARBOR!$A:$C,3,0)-1,4)+0.0001,-TRUNC(DD82/VLOOKUP("PCS-OzTL748",ARBOR!$A:$C,3,0)-1,4)))))</f>
        <v/>
      </c>
      <c r="DF82" s="28" t="str">
        <f>IF(ISERROR(IF(DE82="","",VLOOKUP(($BC82&amp;DE82&amp;"Template desconto FLAT Plano Principal Oi TV nível conta"),BENEFICIOS!$A:$G,5,0))),"Criar",IF(DE82="","",VLOOKUP(($BC82&amp;DE82&amp;"Template desconto FLAT Plano Principal Oi TV nível conta"),BENEFICIOS!$A:$G,5,0)))</f>
        <v/>
      </c>
      <c r="DG82" s="8"/>
      <c r="DH82" s="3" t="str">
        <f>IF(DG82=0,"",IF(DG82=VLOOKUP("PCS-OzTL34",ARBOR!$A:$C,3,0),0.0001,IF(DG82&gt;VLOOKUP("PCS-OzTL34",ARBOR!$A:$C,3,0),"Maior que CAP!",IF((DOLLAR(DG82+(VLOOKUP("PCS-OzTL34",ARBOR!$A:$C,3,0)*-TRUNC(DG82/VLOOKUP("PCS-OzTL34",ARBOR!$A:$C,3,0)-1,4)),6))&lt;&gt;(DOLLAR(VLOOKUP("PCS-OzTL34",ARBOR!$A:$C,3,0),6)),-TRUNC(DG82/VLOOKUP("PCS-OzTL34",ARBOR!$A:$C,3,0)-1,4)+0.0001,-TRUNC(DG82/VLOOKUP("PCS-OzTL34",ARBOR!$A:$C,3,0)-1,4)))))</f>
        <v/>
      </c>
      <c r="DI82" s="28" t="str">
        <f>IF(DH82="S/Desc","S/Desc",IF(ISERROR(IF(DH82="","",VLOOKUP(($BC82&amp;DH82&amp;"Template desconto % Combate nível conta"),BENEFICIOS!$A:$G,5,0))),"Criar",IF(DH82="","",VLOOKUP(($BC82&amp;DH82&amp;"Template desconto % Combate nível conta"),BENEFICIOS!$A:$G,5,0))))</f>
        <v/>
      </c>
      <c r="DJ82" s="8"/>
      <c r="DK82" s="3" t="str">
        <f>IF(DJ82=0,"",IF(DJ82=VLOOKUP("PCS-OzTL31",ARBOR!$A:$C,3,0),0.0001,IF(DJ82&gt;VLOOKUP("PCS-OzTL31",ARBOR!$A:$C,3,0),"Maior que CAP!",IF((DOLLAR(DJ82+(VLOOKUP("PCS-OzTL31",ARBOR!$A:$C,3,0)*-TRUNC(DJ82/VLOOKUP("PCS-OzTL31",ARBOR!$A:$C,3,0)-1,4)),6))&lt;&gt;(DOLLAR(VLOOKUP("PCS-OzTL31",ARBOR!$A:$C,3,0),6)),-TRUNC(DJ82/VLOOKUP("PCS-OzTL31",ARBOR!$A:$C,3,0)-1,4)+0.0001,-TRUNC(DJ82/VLOOKUP("PCS-OzTL31",ARBOR!$A:$C,3,0)-1,4)))))</f>
        <v/>
      </c>
      <c r="DL82" s="28" t="str">
        <f>IF(DK82="S/Desc","S/Desc",IF(ISERROR(IF(DK82="","",VLOOKUP(($BC82&amp;DK82&amp;"Template desconto % Sexy Hot nível conta"),BENEFICIOS!$A:$G,5,0))),"Criar",IF(DK82="","",VLOOKUP(($BC82&amp;DK82&amp;"Template desconto % Sexy Hot nível conta"),BENEFICIOS!$A:$G,5,0))))</f>
        <v/>
      </c>
      <c r="DM82" s="8"/>
      <c r="DN82" s="3" t="str">
        <f>IF(DM82=0,"",IF(DM82=VLOOKUP("PCS-OzTL32",ARBOR!$A:$C,3,0),0.0001,IF(DM82&gt;VLOOKUP("PCS-OzTL32",ARBOR!$A:$C,3,0),"Maior que CAP!",IF((DOLLAR(DM82+(VLOOKUP("PCS-OzTL32",ARBOR!$A:$C,3,0)*-TRUNC(DM82/VLOOKUP("PCS-OzTL32",ARBOR!$A:$C,3,0)-1,4)),6))&lt;&gt;(DOLLAR(VLOOKUP("PCS-OzTL32",ARBOR!$A:$C,3,0),6)),-TRUNC(DM82/VLOOKUP("PCS-OzTL32",ARBOR!$A:$C,3,0)-1,4)+0.0001,-TRUNC(DM82/VLOOKUP("PCS-OzTL32",ARBOR!$A:$C,3,0)-1,4)))))</f>
        <v/>
      </c>
      <c r="DO82" s="28" t="str">
        <f>IF(DN82="S/Desc","S/Desc",IF(ISERROR(IF(DN82="","",VLOOKUP(($BC82&amp;DN82&amp;"Template desconto % Playboy nível conta"),BENEFICIOS!$A:$G,5,0))),"Criar",IF(DN82="","",VLOOKUP(($BC82&amp;DN82&amp;"Template desconto % Playboy nível conta"),BENEFICIOS!$A:$G,5,0))))</f>
        <v/>
      </c>
      <c r="DP82" s="8"/>
      <c r="DQ82" s="3" t="str">
        <f>IF(DP82=0,"",IF(DP82=VLOOKUP("PCS-OzTL33",ARBOR!$A:$C,3,0),0.0001,IF(DP82&gt;VLOOKUP("PCS-OzTL33",ARBOR!$A:$C,3,0),"Maior que CAP!",IF((DOLLAR(DP82+(VLOOKUP("PCS-OzTL33",ARBOR!$A:$C,3,0)*-TRUNC(DP82/VLOOKUP("PCS-OzTL33",ARBOR!$A:$C,3,0)-1,4)),6))&lt;&gt;(DOLLAR(VLOOKUP("PCS-OzTL33",ARBOR!$A:$C,3,0),6)),-TRUNC(DP82/VLOOKUP("PCS-OzTL33",ARBOR!$A:$C,3,0)-1,4)+0.0001,-TRUNC(DP82/VLOOKUP("PCS-OzTL33",ARBOR!$A:$C,3,0)-1,4)))))</f>
        <v/>
      </c>
      <c r="DR82" s="28" t="str">
        <f>IF(DQ82="S/Desc","S/Desc",IF(ISERROR(IF(DQ82="","",VLOOKUP(($BC82&amp;DQ82&amp;"Template desconto % Sexy Hot + Playboy nível conta"),BENEFICIOS!$A:$G,5,0))),"Criar",IF(DQ82="","",VLOOKUP(($BC82&amp;DQ82&amp;"Template desconto % Sexy Hot + Playboy nível conta"),BENEFICIOS!$A:$G,5,0))))</f>
        <v/>
      </c>
      <c r="DS82" s="8"/>
      <c r="DT82" s="3" t="str">
        <f>IF(DS82=0,"",IF(DS82=VLOOKUP("PCS-OzTL503",ARBOR!$A:$C,3,0),0.0001,IF(DS82&gt;VLOOKUP("PCS-OzTL503",ARBOR!$A:$C,3,0),"Maior que CAP!",IF((DOLLAR(DS82+(VLOOKUP("PCS-OzTL503",ARBOR!$A:$C,3,0)*-TRUNC(DS82/VLOOKUP("PCS-OzTL503",ARBOR!$A:$C,3,0)-1,4)),6))&lt;&gt;(DOLLAR(VLOOKUP("PCS-OzTL503",ARBOR!$A:$C,3,0),6)),-TRUNC(DS82/VLOOKUP("PCS-OzTL503",ARBOR!$A:$C,3,0)-1,4)+0.0001,-TRUNC(DS82/VLOOKUP("PCS-OzTL503",ARBOR!$A:$C,3,0)-1,4)))))</f>
        <v/>
      </c>
      <c r="DU82" s="28" t="str">
        <f>IF(DT82="S/Desc","S/Desc",IF(ISERROR(IF(DT82="","",VLOOKUP(($BC82&amp;DT82&amp;"Template desconto % SexPrivê nível conta"),BENEFICIOS!$A:$G,5,0))),"Criar",IF(DT82="","",VLOOKUP(($BC82&amp;DT82&amp;"Template desconto % SexPrivê nível conta"),BENEFICIOS!$A:$G,5,0))))</f>
        <v/>
      </c>
      <c r="DV82" s="8"/>
      <c r="DW82" s="3" t="str">
        <f>IF(DV82=0,"",IF(DV82=VLOOKUP("PCS-OzTL500",ARBOR!$A:$C,3,0),0.0001,IF(DV82&gt;VLOOKUP("PCS-OzTL500",ARBOR!$A:$C,3,0),"Maior que CAP!",IF((DOLLAR(DV82+(VLOOKUP("PCS-OzTL500",ARBOR!$A:$C,3,0)*-TRUNC(DV82/VLOOKUP("PCS-OzTL500",ARBOR!$A:$C,3,0)-1,4)),6))&lt;&gt;(DOLLAR(VLOOKUP("PCS-OzTL500",ARBOR!$A:$C,3,0),6)),-TRUNC(DV82/VLOOKUP("PCS-OzTL500",ARBOR!$A:$C,3,0)-1,4)+0.0001,-TRUNC(DV82/VLOOKUP("PCS-OzTL500",ARBOR!$A:$C,3,0)-1,4)))))</f>
        <v/>
      </c>
      <c r="DX82" s="28" t="str">
        <f>IF(DW82="S/Desc","S/Desc",IF(ISERROR(IF(DW82="","",VLOOKUP(($BC82&amp;DW82&amp;"Template desconto % Étnico nível conta"),BENEFICIOS!$A:$G,5,0))),"Criar",IF(DW82="","",VLOOKUP(($BC82&amp;DW82&amp;"Template desconto % Étnico nível conta"),BENEFICIOS!$A:$G,5,0))))</f>
        <v/>
      </c>
      <c r="DY82" s="8"/>
      <c r="DZ82" s="181" t="str">
        <f>IF(DY82=0,"",IF(DY82=VLOOKUP("PCS-OzTL50",ARBOR!$A:$C,3,0),0.0001,IF(DY82&gt;VLOOKUP("PCS-OzTL50",ARBOR!$A:$C,3,0),"Maior que CAP!",IF((DOLLAR(DY82+(VLOOKUP("PCS-OzTL50",ARBOR!$A:$C,3,0)*-TRUNC(DY82/VLOOKUP("PCS-OzTL50",ARBOR!$A:$C,3,0)-1,4)),6))&lt;&gt;(DOLLAR(VLOOKUP("PCS-OzTL50",ARBOR!$A:$C,3,0),6)),-TRUNC(DY82/VLOOKUP("PCS-OzTL50",ARBOR!$A:$C,3,0)-1,4)+0.0001,-TRUNC(DY82/VLOOKUP("PCS-OzTL50",ARBOR!$A:$C,3,0)-1,4)))))</f>
        <v/>
      </c>
      <c r="EA82" s="28"/>
      <c r="EB82" s="8"/>
      <c r="EC82" s="181" t="str">
        <f>IF(EB82=0,"",IF(EB82=VLOOKUP("PCS-OzTL51",ARBOR!$A:$C,3,0),0.0001,IF(EB82&gt;VLOOKUP("PCS-OzTL51",ARBOR!$A:$C,3,0),"Maior que CAP!",IF((DOLLAR(EB82+(VLOOKUP("PCS-OzTL51",ARBOR!$A:$C,3,0)*-TRUNC(EB82/VLOOKUP("PCS-OzTL51",ARBOR!$A:$C,3,0)-1,4)),6))&lt;&gt;(DOLLAR(VLOOKUP("PCS-OzTL51",ARBOR!$A:$C,3,0),6)),-TRUNC(EB82/VLOOKUP("PCS-OzTL51",ARBOR!$A:$C,3,0)-1,4)+0.0001,-TRUNC(EB82/VLOOKUP("PCS-OzTL51",ARBOR!$A:$C,3,0)-1,4)))))</f>
        <v/>
      </c>
      <c r="ED82" s="28"/>
      <c r="EE82" s="8"/>
      <c r="EF82" s="181" t="str">
        <f>IF(EE82=0,"",IF(EE82=VLOOKUP("PCS-OzTL52",ARBOR!$A:$C,3,0),0.0001,IF(EE82&gt;VLOOKUP("PCS-OzTL52",ARBOR!$A:$C,3,0),"Maior que CAP!",IF((DOLLAR(EE82+(VLOOKUP("PCS-OzTL52",ARBOR!$A:$C,3,0)*-TRUNC(EE82/VLOOKUP("PCS-OzTL52",ARBOR!$A:$C,3,0)-1,4)),6))&lt;&gt;(DOLLAR(VLOOKUP("PCS-OzTL52",ARBOR!$A:$C,3,0),6)),-TRUNC(EE82/VLOOKUP("PCS-OzTL52",ARBOR!$A:$C,3,0)-1,4)+0.0001,-TRUNC(EE82/VLOOKUP("PCS-OzTL52",ARBOR!$A:$C,3,0)-1,4)))))</f>
        <v/>
      </c>
      <c r="EG82" s="28"/>
      <c r="EH82" s="8"/>
      <c r="EI82" s="181" t="str">
        <f>IF(EH82=0,"",IF(EH82=VLOOKUP("PCS-OzTL53",ARBOR!$A:$C,3,0),0.0001,IF(EH82&gt;VLOOKUP("PCS-OzTL53",ARBOR!$A:$C,3,0),"Maior que CAP!",IF((DOLLAR(EH82+(VLOOKUP("PCS-OzTL53",ARBOR!$A:$C,3,0)*-TRUNC(EH82/VLOOKUP("PCS-OzTL53",ARBOR!$A:$C,3,0)-1,4)),6))&lt;&gt;(DOLLAR(VLOOKUP("PCS-OzTL53",ARBOR!$A:$C,3,0),6)),-TRUNC(EH82/VLOOKUP("PCS-OzTL53",ARBOR!$A:$C,3,0)-1,4)+0.0001,-TRUNC(EH82/VLOOKUP("PCS-OzTL53",ARBOR!$A:$C,3,0)-1,4)))))</f>
        <v/>
      </c>
      <c r="EJ82" s="28"/>
      <c r="EK82" s="8"/>
      <c r="EL82" s="181" t="str">
        <f>IF(EK82=0,"",IF(EK82=VLOOKUP("PCS-OzTL54",ARBOR!$A:$C,3,0),0.0001,IF(EK82&gt;VLOOKUP("PCS-OzTL54",ARBOR!$A:$C,3,0),"Maior que CAP!",IF((DOLLAR(EK82+(VLOOKUP("PCS-OzTL54",ARBOR!$A:$C,3,0)*-TRUNC(EK82/VLOOKUP("PCS-OzTL54",ARBOR!$A:$C,3,0)-1,4)),6))&lt;&gt;(DOLLAR(VLOOKUP("PCS-OzTL54",ARBOR!$A:$C,3,0),6)),-TRUNC(EK82/VLOOKUP("PCS-OzTL54",ARBOR!$A:$C,3,0)-1,4)+0.0001,-TRUNC(EK82/VLOOKUP("PCS-OzTL54",ARBOR!$A:$C,3,0)-1,4)))))</f>
        <v/>
      </c>
      <c r="EM82" s="28"/>
      <c r="EN82" s="8"/>
      <c r="EO82" s="3" t="str">
        <f>IF(EN82=0,"",IF(EN82=VLOOKUP("PCS-OzTL99",ARBOR!$A:$C,3,0),0.0001,IF(EN82&gt;VLOOKUP("PCS-OzTL99",ARBOR!$A:$C,3,0),"Maior que CAP!",IF((DOLLAR(EN82+(VLOOKUP("PCS-OzTL99",ARBOR!$A:$C,3,0)*-TRUNC(EN82/VLOOKUP("PCS-OzTL99",ARBOR!$A:$C,3,0)-1,4)),6))&lt;&gt;(DOLLAR(VLOOKUP("PCS-OzTL99",ARBOR!$A:$C,3,0),6)),-TRUNC(EN82/VLOOKUP("PCS-OzTL99",ARBOR!$A:$C,3,0)-1,4)+0.0001,-TRUNC(EN82/VLOOKUP("PCS-OzTL99",ARBOR!$A:$C,3,0)-1,4)))))</f>
        <v/>
      </c>
      <c r="EP82" s="28" t="str">
        <f>IF(EO82="S/Desc","S/Desc",IF(ISERROR(IF(EO82="","",VLOOKUP(($BC82&amp;EO82&amp;"Template desconto % Ponto adicional nível conta"),BENEFICIOS!$A:$G,5,0))),"Criar",IF(EO82="","",VLOOKUP(($BC82&amp;EO82&amp;"Template desconto % Ponto adicional nível conta"),BENEFICIOS!$A:$G,5,0))))</f>
        <v/>
      </c>
      <c r="EQ82" s="8"/>
      <c r="ER82" s="28" t="str">
        <f t="shared" ref="ER82" si="45">IF(EQ82="Sim","PCS-34704","")</f>
        <v/>
      </c>
      <c r="ES82" s="62"/>
      <c r="ET82" s="126"/>
      <c r="EU82" s="127"/>
      <c r="EV82" s="126"/>
      <c r="EW82" s="128" t="str">
        <f t="shared" ref="EW82" si="46">IF(ET82="Benefício","Oi benefício fidelização Multiprodutos","")</f>
        <v/>
      </c>
      <c r="EX82" s="129" t="str">
        <f t="shared" ref="EX82" si="47">IF(ET82="Benefício","PCS-Fk83324","")</f>
        <v/>
      </c>
      <c r="EY82" s="91" t="str">
        <f t="shared" ref="EY82" si="48">IF(ES82="Sim","PCS-SBL553142","")</f>
        <v/>
      </c>
      <c r="EZ82" s="85"/>
      <c r="FA82" s="97"/>
      <c r="FB82" s="91"/>
      <c r="FC82" s="85"/>
      <c r="FD82" s="97"/>
      <c r="FE82" s="91"/>
      <c r="FF82" s="87"/>
      <c r="FG82" s="144" t="str">
        <f t="shared" si="27"/>
        <v/>
      </c>
      <c r="FH82" s="144" t="str">
        <f t="shared" si="28"/>
        <v/>
      </c>
      <c r="FI82" s="144" t="str">
        <f t="shared" si="29"/>
        <v/>
      </c>
      <c r="FJ82" s="144" t="str">
        <f t="shared" si="30"/>
        <v/>
      </c>
      <c r="FK82" s="144" t="str">
        <f t="shared" si="31"/>
        <v/>
      </c>
      <c r="FL82" s="144" t="str">
        <f t="shared" si="32"/>
        <v/>
      </c>
      <c r="FM82" s="144" t="str">
        <f t="shared" si="33"/>
        <v/>
      </c>
      <c r="FN82" s="144" t="str">
        <f t="shared" si="34"/>
        <v/>
      </c>
      <c r="FO82" s="144" t="str">
        <f t="shared" si="35"/>
        <v/>
      </c>
      <c r="FP82" s="144" t="str">
        <f t="shared" si="36"/>
        <v/>
      </c>
      <c r="FQ82" s="144" t="str">
        <f t="shared" si="37"/>
        <v/>
      </c>
      <c r="FR82" s="144" t="str">
        <f t="shared" si="38"/>
        <v/>
      </c>
      <c r="FS82" s="144" t="str">
        <f t="shared" si="39"/>
        <v/>
      </c>
      <c r="FT82" s="144" t="str">
        <f t="shared" si="40"/>
        <v/>
      </c>
      <c r="FU82" s="144" t="str">
        <f t="shared" si="41"/>
        <v/>
      </c>
      <c r="FV82" s="144" t="str">
        <f t="shared" si="42"/>
        <v/>
      </c>
      <c r="FW82" s="144" t="str">
        <f t="shared" si="43"/>
        <v/>
      </c>
      <c r="FX82" s="151"/>
      <c r="FY82" s="152"/>
      <c r="FZ82" s="152"/>
      <c r="GA82" s="152"/>
      <c r="GB82" s="152"/>
      <c r="GC82" s="152"/>
      <c r="GD82" s="152"/>
      <c r="GE82" s="152"/>
      <c r="GF82" s="152"/>
      <c r="GG82" s="153"/>
    </row>
  </sheetData>
  <mergeCells count="41">
    <mergeCell ref="FG1:FW1"/>
    <mergeCell ref="FX1:GG1"/>
    <mergeCell ref="ES1:EY1"/>
    <mergeCell ref="DY1:EA1"/>
    <mergeCell ref="EB1:ED1"/>
    <mergeCell ref="EH1:EJ1"/>
    <mergeCell ref="EK1:EM1"/>
    <mergeCell ref="EZ1:FB1"/>
    <mergeCell ref="FC1:FE1"/>
    <mergeCell ref="EN1:ER1"/>
    <mergeCell ref="EE1:EG1"/>
    <mergeCell ref="DJ1:DL1"/>
    <mergeCell ref="DM1:DO1"/>
    <mergeCell ref="DP1:DR1"/>
    <mergeCell ref="DS1:DU1"/>
    <mergeCell ref="DV1:DX1"/>
    <mergeCell ref="CX1:CZ1"/>
    <mergeCell ref="DA1:DC1"/>
    <mergeCell ref="DD1:DF1"/>
    <mergeCell ref="DG1:DI1"/>
    <mergeCell ref="E1:AL1"/>
    <mergeCell ref="AY1:BA1"/>
    <mergeCell ref="BE1:BG1"/>
    <mergeCell ref="AM1:AO1"/>
    <mergeCell ref="AP1:AQ1"/>
    <mergeCell ref="AR1:AX1"/>
    <mergeCell ref="BB1:BD1"/>
    <mergeCell ref="BH1:BJ1"/>
    <mergeCell ref="BK1:BM1"/>
    <mergeCell ref="BN1:BP1"/>
    <mergeCell ref="BQ1:BS1"/>
    <mergeCell ref="BT1:BV1"/>
    <mergeCell ref="CL1:CN1"/>
    <mergeCell ref="CO1:CQ1"/>
    <mergeCell ref="CR1:CT1"/>
    <mergeCell ref="CU1:CW1"/>
    <mergeCell ref="BW1:BY1"/>
    <mergeCell ref="BZ1:CB1"/>
    <mergeCell ref="CC1:CE1"/>
    <mergeCell ref="CF1:CH1"/>
    <mergeCell ref="CI1:CK1"/>
  </mergeCells>
  <conditionalFormatting sqref="BB2">
    <cfRule type="cellIs" dxfId="1" priority="87" operator="equal">
      <formula>"Falta(m) Dado(s)"</formula>
    </cfRule>
  </conditionalFormatting>
  <dataValidations count="10">
    <dataValidation type="list" allowBlank="1" showInputMessage="1" showErrorMessage="1" sqref="AZ3:BA82 EQ3:EQ82 D3:D82">
      <formula1>"Sim,Não"</formula1>
    </dataValidation>
    <dataValidation type="list" allowBlank="1" showInputMessage="1" showErrorMessage="1" sqref="ET3:ET82">
      <formula1>"Benefício,Aparelho,Oi Pontos"</formula1>
    </dataValidation>
    <dataValidation type="whole" allowBlank="1" showInputMessage="1" showErrorMessage="1" sqref="EV3:EV82">
      <formula1>1</formula1>
      <formula2>24</formula2>
    </dataValidation>
    <dataValidation type="list" errorStyle="warning" allowBlank="1" showInputMessage="1" showErrorMessage="1" sqref="B3:B82">
      <formula1>"Aquisição,Retenção,Migração,Oi Pontos"</formula1>
    </dataValidation>
    <dataValidation type="list" allowBlank="1" showInputMessage="1" showErrorMessage="1" sqref="C3:C82">
      <formula1>"Novos e Atuais,Novos,Atuais"</formula1>
    </dataValidation>
    <dataValidation type="list" allowBlank="1" showInputMessage="1" showErrorMessage="1" sqref="FC3:FC82 EZ3:EZ82">
      <formula1>"VC Oi,LD + VC Oi,LD qualquer operadora,LD fixo para qualquer fixo Brasil"</formula1>
    </dataValidation>
    <dataValidation type="list" allowBlank="1" showInputMessage="1" showErrorMessage="1" sqref="FF3:FF82">
      <formula1>"Chip Alone (PCS-SBL11111)"</formula1>
    </dataValidation>
    <dataValidation type="list" allowBlank="1" showInputMessage="1" showErrorMessage="1" sqref="AY3:AY82 ES3:ES82">
      <formula1>"Sim"</formula1>
    </dataValidation>
    <dataValidation type="list" allowBlank="1" showInputMessage="1" showErrorMessage="1" sqref="E3:AL82">
      <formula1>"X,x"</formula1>
    </dataValidation>
    <dataValidation type="list" allowBlank="1" showInputMessage="1" showErrorMessage="1" sqref="A3:A82">
      <formula1>"Oi Total"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PLANOS!$B$15:$B$17</xm:f>
          </x14:formula1>
          <xm:sqref>BC3:BC82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GA82"/>
  <sheetViews>
    <sheetView showGridLines="0" zoomScale="90" zoomScaleNormal="90" workbookViewId="0">
      <selection activeCell="DP1" sqref="DP1:DR1"/>
    </sheetView>
  </sheetViews>
  <sheetFormatPr defaultColWidth="9.140625" defaultRowHeight="15"/>
  <cols>
    <col min="1" max="1" width="15.7109375" bestFit="1" customWidth="1"/>
    <col min="2" max="2" width="16.42578125" bestFit="1" customWidth="1"/>
    <col min="3" max="3" width="15" bestFit="1" customWidth="1"/>
    <col min="4" max="4" width="19.85546875" bestFit="1" customWidth="1"/>
    <col min="5" max="38" width="5.5703125" customWidth="1"/>
    <col min="39" max="39" width="42.85546875" bestFit="1" customWidth="1"/>
    <col min="40" max="40" width="34.85546875" bestFit="1" customWidth="1"/>
    <col min="41" max="41" width="43.85546875" bestFit="1" customWidth="1"/>
    <col min="42" max="43" width="11.5703125" bestFit="1" customWidth="1"/>
    <col min="44" max="44" width="11.28515625" customWidth="1"/>
    <col min="45" max="45" width="11.28515625" bestFit="1" customWidth="1"/>
    <col min="46" max="46" width="6.7109375" customWidth="1"/>
    <col min="47" max="47" width="19.28515625" customWidth="1"/>
    <col min="48" max="48" width="14.28515625" bestFit="1" customWidth="1"/>
    <col min="49" max="49" width="14" bestFit="1" customWidth="1"/>
    <col min="50" max="50" width="17.85546875" bestFit="1" customWidth="1"/>
    <col min="51" max="53" width="6.7109375" customWidth="1"/>
    <col min="54" max="54" width="42.85546875" bestFit="1" customWidth="1"/>
    <col min="55" max="55" width="31.85546875" bestFit="1" customWidth="1"/>
    <col min="56" max="56" width="14.85546875" customWidth="1"/>
    <col min="57" max="58" width="16.7109375" customWidth="1"/>
    <col min="59" max="59" width="18.5703125" customWidth="1"/>
    <col min="60" max="61" width="14.85546875" customWidth="1"/>
    <col min="62" max="62" width="18.5703125" customWidth="1"/>
    <col min="63" max="64" width="14.85546875" customWidth="1"/>
    <col min="65" max="65" width="18.5703125" customWidth="1"/>
    <col min="66" max="67" width="14.85546875" customWidth="1"/>
    <col min="68" max="68" width="18.5703125" customWidth="1"/>
    <col min="69" max="70" width="14.85546875" customWidth="1"/>
    <col min="71" max="71" width="18.5703125" customWidth="1"/>
    <col min="72" max="73" width="14.85546875" customWidth="1"/>
    <col min="74" max="74" width="18.5703125" customWidth="1"/>
    <col min="75" max="76" width="14.85546875" customWidth="1"/>
    <col min="77" max="77" width="18.5703125" customWidth="1"/>
    <col min="78" max="79" width="14.85546875" customWidth="1"/>
    <col min="80" max="80" width="18.5703125" customWidth="1"/>
    <col min="81" max="82" width="14.85546875" customWidth="1"/>
    <col min="83" max="83" width="18.5703125" customWidth="1"/>
    <col min="84" max="85" width="14.85546875" customWidth="1"/>
    <col min="86" max="86" width="18.5703125" customWidth="1"/>
    <col min="87" max="88" width="14.85546875" customWidth="1"/>
    <col min="89" max="89" width="18.5703125" customWidth="1"/>
    <col min="90" max="91" width="14.85546875" customWidth="1"/>
    <col min="92" max="92" width="18.5703125" customWidth="1"/>
    <col min="93" max="94" width="14.85546875" customWidth="1"/>
    <col min="95" max="95" width="18.5703125" customWidth="1"/>
    <col min="96" max="97" width="14.85546875" customWidth="1"/>
    <col min="98" max="98" width="18.5703125" customWidth="1"/>
    <col min="99" max="100" width="14.85546875" customWidth="1"/>
    <col min="101" max="101" width="18.5703125" customWidth="1"/>
    <col min="102" max="103" width="14.85546875" customWidth="1"/>
    <col min="104" max="104" width="18.5703125" customWidth="1"/>
    <col min="105" max="106" width="14.85546875" customWidth="1"/>
    <col min="107" max="107" width="18.5703125" customWidth="1"/>
    <col min="108" max="109" width="14.85546875" customWidth="1"/>
    <col min="110" max="110" width="18.5703125" customWidth="1"/>
    <col min="111" max="112" width="14.85546875" customWidth="1"/>
    <col min="113" max="113" width="18.5703125" customWidth="1"/>
    <col min="114" max="115" width="14.85546875" customWidth="1"/>
    <col min="116" max="116" width="18.5703125" customWidth="1"/>
    <col min="117" max="118" width="14.85546875" customWidth="1"/>
    <col min="119" max="119" width="18.5703125" customWidth="1"/>
    <col min="120" max="121" width="14.85546875" customWidth="1"/>
    <col min="122" max="122" width="18.5703125" customWidth="1"/>
    <col min="123" max="124" width="14.85546875" customWidth="1"/>
    <col min="125" max="125" width="18.5703125" customWidth="1"/>
    <col min="126" max="127" width="14.85546875" customWidth="1"/>
    <col min="128" max="128" width="18.5703125" customWidth="1"/>
    <col min="129" max="130" width="14.85546875" customWidth="1"/>
    <col min="131" max="131" width="18.5703125" customWidth="1"/>
    <col min="132" max="133" width="14.85546875" customWidth="1"/>
    <col min="134" max="134" width="18.5703125" customWidth="1"/>
    <col min="135" max="137" width="18.5703125" style="1" customWidth="1"/>
    <col min="138" max="139" width="14.85546875" customWidth="1"/>
    <col min="140" max="140" width="18.5703125" customWidth="1"/>
    <col min="141" max="142" width="14.85546875" customWidth="1"/>
    <col min="143" max="143" width="18.5703125" customWidth="1"/>
    <col min="144" max="145" width="14.85546875" customWidth="1"/>
    <col min="146" max="146" width="18.5703125" customWidth="1"/>
    <col min="147" max="147" width="18.28515625" style="1" customWidth="1"/>
    <col min="148" max="148" width="18.5703125" style="1" customWidth="1"/>
    <col min="149" max="149" width="9" bestFit="1" customWidth="1"/>
    <col min="150" max="150" width="30.42578125" bestFit="1" customWidth="1"/>
    <col min="151" max="151" width="38" bestFit="1" customWidth="1"/>
    <col min="152" max="152" width="18.5703125" bestFit="1" customWidth="1"/>
    <col min="153" max="153" width="30.42578125" bestFit="1" customWidth="1"/>
    <col min="154" max="154" width="38" bestFit="1" customWidth="1"/>
    <col min="155" max="155" width="18.5703125" bestFit="1" customWidth="1"/>
    <col min="156" max="156" width="25" bestFit="1" customWidth="1"/>
    <col min="157" max="159" width="12" bestFit="1" customWidth="1"/>
    <col min="160" max="160" width="12.7109375" bestFit="1" customWidth="1"/>
    <col min="161" max="163" width="12" bestFit="1" customWidth="1"/>
    <col min="164" max="164" width="12.7109375" bestFit="1" customWidth="1"/>
    <col min="165" max="167" width="12" bestFit="1" customWidth="1"/>
    <col min="168" max="168" width="14" bestFit="1" customWidth="1"/>
    <col min="169" max="169" width="12.85546875" bestFit="1" customWidth="1"/>
    <col min="170" max="170" width="12.140625" bestFit="1" customWidth="1"/>
    <col min="171" max="171" width="12" bestFit="1" customWidth="1"/>
    <col min="172" max="172" width="14" bestFit="1" customWidth="1"/>
    <col min="173" max="173" width="12.85546875" bestFit="1" customWidth="1"/>
    <col min="174" max="177" width="10.28515625" customWidth="1"/>
    <col min="178" max="183" width="9.140625" customWidth="1"/>
  </cols>
  <sheetData>
    <row r="1" spans="1:183" ht="30.75" customHeight="1" thickBot="1">
      <c r="A1" s="82" t="s">
        <v>76</v>
      </c>
      <c r="B1" s="82" t="s">
        <v>77</v>
      </c>
      <c r="C1" s="82" t="s">
        <v>78</v>
      </c>
      <c r="D1" s="82" t="s">
        <v>79</v>
      </c>
      <c r="E1" s="185" t="s">
        <v>5</v>
      </c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 t="s">
        <v>80</v>
      </c>
      <c r="AN1" s="185"/>
      <c r="AO1" s="185"/>
      <c r="AP1" s="186" t="s">
        <v>81</v>
      </c>
      <c r="AQ1" s="186"/>
      <c r="AR1" s="186" t="s">
        <v>82</v>
      </c>
      <c r="AS1" s="186"/>
      <c r="AT1" s="186"/>
      <c r="AU1" s="186"/>
      <c r="AV1" s="186"/>
      <c r="AW1" s="186"/>
      <c r="AX1" s="186"/>
      <c r="AY1" s="186" t="s">
        <v>83</v>
      </c>
      <c r="AZ1" s="186"/>
      <c r="BA1" s="186"/>
      <c r="BB1" s="189" t="s">
        <v>85</v>
      </c>
      <c r="BC1" s="190"/>
      <c r="BD1" s="191"/>
      <c r="BE1" s="187" t="str">
        <f>"Preço Fixo
"&amp;DOLLAR(ARBOR!C2,2)</f>
        <v>Preço Fixo
R$ 75,84</v>
      </c>
      <c r="BF1" s="188"/>
      <c r="BG1" s="188"/>
      <c r="BH1" s="182" t="str">
        <f>"Oi TV Start HD (PCS-OzTL40)
"&amp;DOLLAR(VLOOKUP("PCS-OzTL40",ARBOR!$A:$C,3,0),2)</f>
        <v>Oi TV Start HD (PCS-OzTL40)
R$ 99,00</v>
      </c>
      <c r="BI1" s="183"/>
      <c r="BJ1" s="183"/>
      <c r="BK1" s="182" t="str">
        <f>"Oi TV Mix HD (PCS-OzTL41)
"&amp;DOLLAR(VLOOKUP("PCS-OzTL41",ARBOR!$A:$C,3,0),2)</f>
        <v>Oi TV Mix HD (PCS-OzTL41)
R$ 121,03</v>
      </c>
      <c r="BL1" s="183"/>
      <c r="BM1" s="183"/>
      <c r="BN1" s="182" t="str">
        <f>"Oi TV Mix HBO Max HD (PCS-OzTL44)
"&amp;DOLLAR(VLOOKUP("PCS-OzTL44",ARBOR!$A:$C,3,0),2)</f>
        <v>Oi TV Mix HBO Max HD (PCS-OzTL44)
R$ 192,61</v>
      </c>
      <c r="BO1" s="183"/>
      <c r="BP1" s="183"/>
      <c r="BQ1" s="182" t="str">
        <f>"Oi TV Mix Telecine HD (PCS-OzTL43)
"&amp;DOLLAR(VLOOKUP("PCS-OzTL43",ARBOR!$A:$C,3,0),2)</f>
        <v>Oi TV Mix Telecine HD (PCS-OzTL43)
R$ 203,63</v>
      </c>
      <c r="BR1" s="183"/>
      <c r="BS1" s="183"/>
      <c r="BT1" s="182" t="str">
        <f>"Oi TV Mix Cinema HD (PCS-OzTL45)
"&amp;DOLLAR(VLOOKUP("PCS-OzTL45",ARBOR!$A:$C,3,0),2)</f>
        <v>Oi TV Mix Cinema HD (PCS-OzTL45)
R$ 209,13</v>
      </c>
      <c r="BU1" s="183"/>
      <c r="BV1" s="183"/>
      <c r="BW1" s="182" t="str">
        <f>"Oi TV Mix HD DVR (PCS-OzTL741)
"&amp;DOLLAR(VLOOKUP("PCS-OzTL741",ARBOR!$A:$C,3,0),2)</f>
        <v>Oi TV Mix HD DVR (PCS-OzTL741)
R$ 176,09</v>
      </c>
      <c r="BX1" s="183"/>
      <c r="BY1" s="183"/>
      <c r="BZ1" s="182" t="str">
        <f>"Oi TV Mix HBOMax HD DVR (PCS-OzTL744)
"&amp;DOLLAR(VLOOKUP("PCS-OzTL744",ARBOR!$A:$C,3,0),2)</f>
        <v>Oi TV Mix HBOMax HD DVR (PCS-OzTL744)
R$ 209,13</v>
      </c>
      <c r="CA1" s="183"/>
      <c r="CB1" s="183"/>
      <c r="CC1" s="182" t="str">
        <f>"Oi TV Mix Telecine HD DVR (PCS-OzTL743)
"&amp;DOLLAR(VLOOKUP("PCS-OzTL743",ARBOR!$A:$C,3,0),2)</f>
        <v>Oi TV Mix Telecine HD DVR (PCS-OzTL743)
R$ 220,14</v>
      </c>
      <c r="CD1" s="183"/>
      <c r="CE1" s="183"/>
      <c r="CF1" s="182" t="str">
        <f>"Oi TV Mix Cinema HD DVR (PCS-OzTL745)
"&amp;DOLLAR(VLOOKUP("PCS-OzTL745",ARBOR!$A:$C,3,0),2)</f>
        <v>Oi TV Mix Cinema HD DVR (PCS-OzTL745)
R$ 253,18</v>
      </c>
      <c r="CG1" s="183"/>
      <c r="CH1" s="183"/>
      <c r="CI1" s="182" t="str">
        <f>"Oi TV Total HD (PCS-OzTL42)
"&amp;DOLLAR(VLOOKUP("PCS-OzTL42",ARBOR!$A:$C,3,0),2)</f>
        <v>Oi TV Total HD (PCS-OzTL42)
R$ 165,08</v>
      </c>
      <c r="CJ1" s="183"/>
      <c r="CK1" s="183"/>
      <c r="CL1" s="182" t="str">
        <f>"Oi TV Total HBO Max HD (PCS-OzTL47)
"&amp;DOLLAR(VLOOKUP("PCS-OzTL47",ARBOR!$A:$C,3,0),2)</f>
        <v>Oi TV Total HBO Max HD (PCS-OzTL47)
R$ 203,63</v>
      </c>
      <c r="CM1" s="183"/>
      <c r="CN1" s="183"/>
      <c r="CO1" s="182" t="str">
        <f>"Oi TV Total Telecine HD (PCS-OzTL46)
"&amp;DOLLAR(VLOOKUP("PCS-OzTL46",ARBOR!$A:$C,3,0),2)</f>
        <v>Oi TV Total Telecine HD (PCS-OzTL46)
R$ 214,64</v>
      </c>
      <c r="CP1" s="183"/>
      <c r="CQ1" s="183"/>
      <c r="CR1" s="182" t="str">
        <f>"Oi TV Total Cinema HD (PCS-OzTL48)
"&amp;DOLLAR(VLOOKUP("PCS-OzTL48",ARBOR!$A:$C,3,0),2)</f>
        <v>Oi TV Total Cinema HD (PCS-OzTL48)
R$ 253,18</v>
      </c>
      <c r="CS1" s="183"/>
      <c r="CT1" s="183"/>
      <c r="CU1" s="182" t="str">
        <f>"Oi TV Total HD DVR (PCS-OzTL742)
"&amp;DOLLAR(VLOOKUP("PCS-OzTL742",ARBOR!$A:$C,3,0),2)</f>
        <v>Oi TV Total HD DVR (PCS-OzTL742)
R$ 220,14</v>
      </c>
      <c r="CV1" s="183"/>
      <c r="CW1" s="183"/>
      <c r="CX1" s="182" t="str">
        <f>"Oi TV Total HBOMax HD DVR (PCS-OzTL747)
"&amp;DOLLAR(VLOOKUP("PCS-OzTL747",ARBOR!$A:$C,3,0),2)</f>
        <v>Oi TV Total HBOMax HD DVR (PCS-OzTL747)
R$ 258,69</v>
      </c>
      <c r="CY1" s="183"/>
      <c r="CZ1" s="183"/>
      <c r="DA1" s="182" t="str">
        <f>"Oi TV Total Telecine HD DVR (PCS-OzTL746)
"&amp;DOLLAR(VLOOKUP("PCS-OzTL746",ARBOR!$A:$C,3,0),2)</f>
        <v>Oi TV Total Telecine HD DVR (PCS-OzTL746)
R$ 269,70</v>
      </c>
      <c r="DB1" s="183"/>
      <c r="DC1" s="183"/>
      <c r="DD1" s="182" t="str">
        <f>"Oi TV Total Cinema HD DVR (PCS-OzTL748)
"&amp;DOLLAR(VLOOKUP("PCS-OzTL748",ARBOR!$A:$C,3,0),2)</f>
        <v>Oi TV Total Cinema HD DVR (PCS-OzTL748)
R$ 308,25</v>
      </c>
      <c r="DE1" s="183"/>
      <c r="DF1" s="183"/>
      <c r="DG1" s="182" t="str">
        <f>"Oi TV Combate (PCS-OzTL34)
"&amp;DOLLAR(VLOOKUP("PCS-OzTL34",ARBOR!$A:$C,3,0),2)</f>
        <v>Oi TV Combate (PCS-OzTL34)
R$ 110,13</v>
      </c>
      <c r="DH1" s="183"/>
      <c r="DI1" s="184"/>
      <c r="DJ1" s="182" t="str">
        <f>"Oi TV Sexy Hot (PCS-OzTL31)
"&amp;DOLLAR(VLOOKUP("PCS-OzTL31",ARBOR!$A:$C,3,0),2)</f>
        <v>Oi TV Sexy Hot (PCS-OzTL31)
R$ 21,91</v>
      </c>
      <c r="DK1" s="183"/>
      <c r="DL1" s="184"/>
      <c r="DM1" s="182" t="str">
        <f>"Oi TV Playboy (PCS-OzTL32)
"&amp;DOLLAR(VLOOKUP("PCS-OzTL32",ARBOR!$A:$C,3,0),2)</f>
        <v>Oi TV Playboy (PCS-OzTL32)
R$ 21,91</v>
      </c>
      <c r="DN1" s="183"/>
      <c r="DO1" s="184"/>
      <c r="DP1" s="182" t="str">
        <f>"Oi TV Sexy Hot + Playboy (PCS-OzTL33)
"&amp;DOLLAR(VLOOKUP("PCS-OzTL33",ARBOR!$A:$C,3,0),2)</f>
        <v>Oi TV Sexy Hot + Playboy (PCS-OzTL33)
R$ 32,92</v>
      </c>
      <c r="DQ1" s="183"/>
      <c r="DR1" s="184"/>
      <c r="DS1" s="182" t="str">
        <f>"Oi TV SexPrivê (PCS-OzTL503)
"&amp;DOLLAR(VLOOKUP("PCS-OzTL503",ARBOR!$A:$C,3,0),2)</f>
        <v>Oi TV SexPrivê (PCS-OzTL503)
R$ 16,40</v>
      </c>
      <c r="DT1" s="183"/>
      <c r="DU1" s="184"/>
      <c r="DV1" s="182" t="str">
        <f>"Oi TV Étnicos (PCS-OzTL500)
"&amp;DOLLAR(VLOOKUP("PCS-OzTL500",ARBOR!$A:$C,3,0),2)</f>
        <v>Oi TV Étnicos (PCS-OzTL500)
R$ 11,01</v>
      </c>
      <c r="DW1" s="183"/>
      <c r="DX1" s="184"/>
      <c r="DY1" s="182" t="str">
        <f>"Coleção OI (PCS-OzTL50)"</f>
        <v>Coleção OI (PCS-OzTL50)</v>
      </c>
      <c r="DZ1" s="183"/>
      <c r="EA1" s="184"/>
      <c r="EB1" s="182" t="str">
        <f>"Fox Premium (PCS-OzTL51)"</f>
        <v>Fox Premium (PCS-OzTL51)</v>
      </c>
      <c r="EC1" s="183"/>
      <c r="ED1" s="184"/>
      <c r="EE1" s="182" t="str">
        <f>"PenVr (PCS-OzTL52)"</f>
        <v>PenVr (PCS-OzTL52)</v>
      </c>
      <c r="EF1" s="183"/>
      <c r="EG1" s="184"/>
      <c r="EH1" s="182" t="str">
        <f>"PFC Completo (PCS-OzTL53)"</f>
        <v>PFC Completo (PCS-OzTL53)</v>
      </c>
      <c r="EI1" s="183"/>
      <c r="EJ1" s="184"/>
      <c r="EK1" s="182" t="str">
        <f>"PFC Básico (PCS-OzTL54)"</f>
        <v>PFC Básico (PCS-OzTL54)</v>
      </c>
      <c r="EL1" s="183"/>
      <c r="EM1" s="184"/>
      <c r="EN1" s="200" t="str">
        <f>"Oi TV Ponto Adicional (PCS-OzTL99)
"&amp;DOLLAR(VLOOKUP("PCS-OzTL99",ARBOR!$A:$C,3,0),2)</f>
        <v>Oi TV Ponto Adicional (PCS-OzTL99)
R$ 29,90</v>
      </c>
      <c r="EO1" s="201"/>
      <c r="EP1" s="201"/>
      <c r="EQ1" s="201"/>
      <c r="ER1" s="202"/>
      <c r="ES1" s="82" t="s">
        <v>38</v>
      </c>
      <c r="ET1" s="198" t="s">
        <v>49</v>
      </c>
      <c r="EU1" s="199"/>
      <c r="EV1" s="199"/>
      <c r="EW1" s="198" t="s">
        <v>49</v>
      </c>
      <c r="EX1" s="199"/>
      <c r="EY1" s="199"/>
      <c r="EZ1" s="92" t="s">
        <v>267</v>
      </c>
      <c r="FA1" s="192" t="s">
        <v>274</v>
      </c>
      <c r="FB1" s="193"/>
      <c r="FC1" s="193"/>
      <c r="FD1" s="193"/>
      <c r="FE1" s="193"/>
      <c r="FF1" s="193"/>
      <c r="FG1" s="193"/>
      <c r="FH1" s="193"/>
      <c r="FI1" s="193"/>
      <c r="FJ1" s="193"/>
      <c r="FK1" s="193"/>
      <c r="FL1" s="193"/>
      <c r="FM1" s="193"/>
      <c r="FN1" s="193"/>
      <c r="FO1" s="193"/>
      <c r="FP1" s="193"/>
      <c r="FQ1" s="194"/>
      <c r="FR1" s="195" t="s">
        <v>275</v>
      </c>
      <c r="FS1" s="196"/>
      <c r="FT1" s="196"/>
      <c r="FU1" s="196"/>
      <c r="FV1" s="196"/>
      <c r="FW1" s="196"/>
      <c r="FX1" s="196"/>
      <c r="FY1" s="196"/>
      <c r="FZ1" s="196"/>
      <c r="GA1" s="197"/>
    </row>
    <row r="2" spans="1:183" ht="157.5" customHeight="1" thickBot="1">
      <c r="A2" s="13" t="s">
        <v>0</v>
      </c>
      <c r="B2" s="13" t="s">
        <v>1</v>
      </c>
      <c r="C2" s="13" t="s">
        <v>3</v>
      </c>
      <c r="D2" s="13" t="s">
        <v>4</v>
      </c>
      <c r="E2" s="14" t="s">
        <v>47</v>
      </c>
      <c r="F2" s="14" t="s">
        <v>48</v>
      </c>
      <c r="G2" s="14" t="s">
        <v>9</v>
      </c>
      <c r="H2" s="14" t="s">
        <v>60</v>
      </c>
      <c r="I2" s="14" t="s">
        <v>268</v>
      </c>
      <c r="J2" s="14" t="s">
        <v>61</v>
      </c>
      <c r="K2" s="14" t="s">
        <v>74</v>
      </c>
      <c r="L2" s="14" t="s">
        <v>62</v>
      </c>
      <c r="M2" s="14" t="s">
        <v>13</v>
      </c>
      <c r="N2" s="14" t="s">
        <v>68</v>
      </c>
      <c r="O2" s="14" t="s">
        <v>69</v>
      </c>
      <c r="P2" s="14" t="s">
        <v>66</v>
      </c>
      <c r="Q2" s="14" t="s">
        <v>6</v>
      </c>
      <c r="R2" s="14" t="s">
        <v>63</v>
      </c>
      <c r="S2" s="14" t="s">
        <v>67</v>
      </c>
      <c r="T2" s="14" t="s">
        <v>71</v>
      </c>
      <c r="U2" s="14" t="s">
        <v>72</v>
      </c>
      <c r="V2" s="14" t="s">
        <v>73</v>
      </c>
      <c r="W2" s="15" t="s">
        <v>269</v>
      </c>
      <c r="X2" s="14" t="s">
        <v>7</v>
      </c>
      <c r="Y2" s="14" t="s">
        <v>70</v>
      </c>
      <c r="Z2" s="14" t="s">
        <v>8</v>
      </c>
      <c r="AA2" s="14" t="s">
        <v>2</v>
      </c>
      <c r="AB2" s="14" t="s">
        <v>10</v>
      </c>
      <c r="AC2" s="14" t="s">
        <v>75</v>
      </c>
      <c r="AD2" s="14" t="s">
        <v>11</v>
      </c>
      <c r="AE2" s="14" t="s">
        <v>12</v>
      </c>
      <c r="AF2" s="14" t="s">
        <v>15</v>
      </c>
      <c r="AG2" s="14" t="s">
        <v>64</v>
      </c>
      <c r="AH2" s="14" t="s">
        <v>65</v>
      </c>
      <c r="AI2" s="14" t="s">
        <v>14</v>
      </c>
      <c r="AJ2" s="15"/>
      <c r="AK2" s="15" t="s">
        <v>270</v>
      </c>
      <c r="AL2" s="14" t="s">
        <v>16</v>
      </c>
      <c r="AM2" s="16" t="s">
        <v>51</v>
      </c>
      <c r="AN2" s="13" t="s">
        <v>18</v>
      </c>
      <c r="AO2" s="13" t="s">
        <v>17</v>
      </c>
      <c r="AP2" s="13" t="s">
        <v>19</v>
      </c>
      <c r="AQ2" s="13" t="s">
        <v>20</v>
      </c>
      <c r="AR2" s="16" t="s">
        <v>21</v>
      </c>
      <c r="AS2" s="16" t="s">
        <v>22</v>
      </c>
      <c r="AT2" s="16" t="s">
        <v>23</v>
      </c>
      <c r="AU2" s="16" t="s">
        <v>24</v>
      </c>
      <c r="AV2" s="16" t="s">
        <v>25</v>
      </c>
      <c r="AW2" s="16" t="s">
        <v>26</v>
      </c>
      <c r="AX2" s="16" t="s">
        <v>27</v>
      </c>
      <c r="AY2" s="17" t="s">
        <v>84</v>
      </c>
      <c r="AZ2" s="83" t="s">
        <v>28</v>
      </c>
      <c r="BA2" s="83" t="s">
        <v>29</v>
      </c>
      <c r="BB2" s="16" t="s">
        <v>30</v>
      </c>
      <c r="BC2" s="13" t="s">
        <v>31</v>
      </c>
      <c r="BD2" s="16" t="s">
        <v>238</v>
      </c>
      <c r="BE2" s="18" t="s">
        <v>33</v>
      </c>
      <c r="BF2" s="19" t="s">
        <v>54</v>
      </c>
      <c r="BG2" s="16" t="s">
        <v>35</v>
      </c>
      <c r="BH2" s="13" t="s">
        <v>33</v>
      </c>
      <c r="BI2" s="19" t="s">
        <v>36</v>
      </c>
      <c r="BJ2" s="16" t="s">
        <v>35</v>
      </c>
      <c r="BK2" s="13" t="s">
        <v>33</v>
      </c>
      <c r="BL2" s="19" t="s">
        <v>36</v>
      </c>
      <c r="BM2" s="16" t="s">
        <v>35</v>
      </c>
      <c r="BN2" s="13" t="s">
        <v>33</v>
      </c>
      <c r="BO2" s="19" t="s">
        <v>36</v>
      </c>
      <c r="BP2" s="16" t="s">
        <v>35</v>
      </c>
      <c r="BQ2" s="13" t="s">
        <v>33</v>
      </c>
      <c r="BR2" s="19" t="s">
        <v>36</v>
      </c>
      <c r="BS2" s="16" t="s">
        <v>35</v>
      </c>
      <c r="BT2" s="18" t="s">
        <v>33</v>
      </c>
      <c r="BU2" s="13" t="s">
        <v>36</v>
      </c>
      <c r="BV2" s="16" t="s">
        <v>35</v>
      </c>
      <c r="BW2" s="18" t="s">
        <v>33</v>
      </c>
      <c r="BX2" s="13" t="s">
        <v>36</v>
      </c>
      <c r="BY2" s="16" t="s">
        <v>35</v>
      </c>
      <c r="BZ2" s="13" t="s">
        <v>33</v>
      </c>
      <c r="CA2" s="19" t="s">
        <v>36</v>
      </c>
      <c r="CB2" s="16" t="s">
        <v>35</v>
      </c>
      <c r="CC2" s="13" t="s">
        <v>33</v>
      </c>
      <c r="CD2" s="19" t="s">
        <v>36</v>
      </c>
      <c r="CE2" s="16" t="s">
        <v>35</v>
      </c>
      <c r="CF2" s="18" t="s">
        <v>33</v>
      </c>
      <c r="CG2" s="13" t="s">
        <v>36</v>
      </c>
      <c r="CH2" s="16" t="s">
        <v>35</v>
      </c>
      <c r="CI2" s="13" t="s">
        <v>33</v>
      </c>
      <c r="CJ2" s="19" t="s">
        <v>36</v>
      </c>
      <c r="CK2" s="16" t="s">
        <v>35</v>
      </c>
      <c r="CL2" s="13" t="s">
        <v>33</v>
      </c>
      <c r="CM2" s="13" t="s">
        <v>36</v>
      </c>
      <c r="CN2" s="16" t="s">
        <v>35</v>
      </c>
      <c r="CO2" s="18" t="s">
        <v>33</v>
      </c>
      <c r="CP2" s="19" t="s">
        <v>36</v>
      </c>
      <c r="CQ2" s="16" t="s">
        <v>35</v>
      </c>
      <c r="CR2" s="20" t="s">
        <v>33</v>
      </c>
      <c r="CS2" s="13" t="s">
        <v>36</v>
      </c>
      <c r="CT2" s="16" t="s">
        <v>35</v>
      </c>
      <c r="CU2" s="13" t="s">
        <v>33</v>
      </c>
      <c r="CV2" s="21" t="s">
        <v>36</v>
      </c>
      <c r="CW2" s="16" t="s">
        <v>35</v>
      </c>
      <c r="CX2" s="13" t="s">
        <v>33</v>
      </c>
      <c r="CY2" s="21" t="s">
        <v>36</v>
      </c>
      <c r="CZ2" s="16" t="s">
        <v>35</v>
      </c>
      <c r="DA2" s="13" t="s">
        <v>33</v>
      </c>
      <c r="DB2" s="21" t="s">
        <v>36</v>
      </c>
      <c r="DC2" s="16" t="s">
        <v>35</v>
      </c>
      <c r="DD2" s="13" t="s">
        <v>33</v>
      </c>
      <c r="DE2" s="21" t="s">
        <v>36</v>
      </c>
      <c r="DF2" s="16" t="s">
        <v>35</v>
      </c>
      <c r="DG2" s="13" t="s">
        <v>33</v>
      </c>
      <c r="DH2" s="13" t="s">
        <v>34</v>
      </c>
      <c r="DI2" s="16" t="s">
        <v>37</v>
      </c>
      <c r="DJ2" s="13" t="s">
        <v>33</v>
      </c>
      <c r="DK2" s="13" t="s">
        <v>34</v>
      </c>
      <c r="DL2" s="16" t="s">
        <v>37</v>
      </c>
      <c r="DM2" s="13" t="s">
        <v>33</v>
      </c>
      <c r="DN2" s="13" t="s">
        <v>34</v>
      </c>
      <c r="DO2" s="16" t="s">
        <v>37</v>
      </c>
      <c r="DP2" s="13" t="s">
        <v>33</v>
      </c>
      <c r="DQ2" s="13" t="s">
        <v>34</v>
      </c>
      <c r="DR2" s="16" t="s">
        <v>37</v>
      </c>
      <c r="DS2" s="13" t="s">
        <v>33</v>
      </c>
      <c r="DT2" s="13" t="s">
        <v>34</v>
      </c>
      <c r="DU2" s="16" t="s">
        <v>37</v>
      </c>
      <c r="DV2" s="13" t="s">
        <v>33</v>
      </c>
      <c r="DW2" s="13" t="s">
        <v>34</v>
      </c>
      <c r="DX2" s="16" t="s">
        <v>37</v>
      </c>
      <c r="DY2" s="13" t="s">
        <v>33</v>
      </c>
      <c r="DZ2" s="13" t="s">
        <v>34</v>
      </c>
      <c r="EA2" s="16" t="s">
        <v>35</v>
      </c>
      <c r="EB2" s="13" t="s">
        <v>33</v>
      </c>
      <c r="EC2" s="13" t="s">
        <v>34</v>
      </c>
      <c r="ED2" s="16" t="s">
        <v>35</v>
      </c>
      <c r="EE2" s="13" t="s">
        <v>33</v>
      </c>
      <c r="EF2" s="13" t="s">
        <v>34</v>
      </c>
      <c r="EG2" s="16" t="s">
        <v>35</v>
      </c>
      <c r="EH2" s="13" t="s">
        <v>33</v>
      </c>
      <c r="EI2" s="13" t="s">
        <v>34</v>
      </c>
      <c r="EJ2" s="16" t="s">
        <v>35</v>
      </c>
      <c r="EK2" s="13" t="s">
        <v>33</v>
      </c>
      <c r="EL2" s="13" t="s">
        <v>34</v>
      </c>
      <c r="EM2" s="16" t="s">
        <v>35</v>
      </c>
      <c r="EN2" s="13" t="s">
        <v>33</v>
      </c>
      <c r="EO2" s="13" t="s">
        <v>34</v>
      </c>
      <c r="EP2" s="16" t="s">
        <v>37</v>
      </c>
      <c r="EQ2" s="13" t="s">
        <v>306</v>
      </c>
      <c r="ER2" s="16" t="s">
        <v>37</v>
      </c>
      <c r="ES2" s="13" t="s">
        <v>39</v>
      </c>
      <c r="ET2" s="23" t="s">
        <v>266</v>
      </c>
      <c r="EU2" s="24" t="s">
        <v>43</v>
      </c>
      <c r="EV2" s="24" t="s">
        <v>35</v>
      </c>
      <c r="EW2" s="23" t="s">
        <v>266</v>
      </c>
      <c r="EX2" s="24" t="s">
        <v>43</v>
      </c>
      <c r="EY2" s="24" t="s">
        <v>35</v>
      </c>
      <c r="EZ2" s="22" t="s">
        <v>44</v>
      </c>
      <c r="FA2" s="138" t="s">
        <v>286</v>
      </c>
      <c r="FB2" s="139" t="s">
        <v>287</v>
      </c>
      <c r="FC2" s="139" t="s">
        <v>288</v>
      </c>
      <c r="FD2" s="139" t="s">
        <v>289</v>
      </c>
      <c r="FE2" s="139" t="s">
        <v>290</v>
      </c>
      <c r="FF2" s="139" t="s">
        <v>301</v>
      </c>
      <c r="FG2" s="139" t="s">
        <v>291</v>
      </c>
      <c r="FH2" s="139" t="s">
        <v>292</v>
      </c>
      <c r="FI2" s="139" t="s">
        <v>293</v>
      </c>
      <c r="FJ2" s="139" t="s">
        <v>302</v>
      </c>
      <c r="FK2" s="139" t="s">
        <v>294</v>
      </c>
      <c r="FL2" s="139" t="s">
        <v>295</v>
      </c>
      <c r="FM2" s="139" t="s">
        <v>296</v>
      </c>
      <c r="FN2" s="139" t="s">
        <v>297</v>
      </c>
      <c r="FO2" s="139" t="s">
        <v>298</v>
      </c>
      <c r="FP2" s="139" t="s">
        <v>299</v>
      </c>
      <c r="FQ2" s="140" t="s">
        <v>300</v>
      </c>
      <c r="FR2" s="141" t="s">
        <v>276</v>
      </c>
      <c r="FS2" s="142" t="s">
        <v>277</v>
      </c>
      <c r="FT2" s="142" t="s">
        <v>278</v>
      </c>
      <c r="FU2" s="142" t="s">
        <v>279</v>
      </c>
      <c r="FV2" s="142" t="s">
        <v>280</v>
      </c>
      <c r="FW2" s="142" t="s">
        <v>281</v>
      </c>
      <c r="FX2" s="142" t="s">
        <v>282</v>
      </c>
      <c r="FY2" s="142" t="s">
        <v>283</v>
      </c>
      <c r="FZ2" s="142" t="s">
        <v>284</v>
      </c>
      <c r="GA2" s="143" t="s">
        <v>285</v>
      </c>
    </row>
    <row r="3" spans="1:183">
      <c r="A3" s="134" t="str">
        <f>IF(Briefing_FID!A3="","",Briefing_FID!A3)</f>
        <v>Oi Total</v>
      </c>
      <c r="B3" s="135" t="str">
        <f>IF(Briefing_FID!B3="","",Briefing_FID!B3)</f>
        <v>Migração</v>
      </c>
      <c r="C3" s="135" t="str">
        <f>IF(Briefing_FID!C3="","",Briefing_FID!C3)</f>
        <v>Atuais</v>
      </c>
      <c r="D3" s="31"/>
      <c r="E3" s="119"/>
      <c r="F3" s="115"/>
      <c r="G3" s="115"/>
      <c r="H3" s="68"/>
      <c r="I3" s="68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21"/>
      <c r="AD3" s="115"/>
      <c r="AE3" s="115"/>
      <c r="AF3" s="115"/>
      <c r="AG3" s="115"/>
      <c r="AH3" s="115"/>
      <c r="AI3" s="115"/>
      <c r="AJ3" s="115"/>
      <c r="AK3" s="115"/>
      <c r="AL3" s="122"/>
      <c r="AM3" s="37"/>
      <c r="AN3" s="38"/>
      <c r="AO3" s="39"/>
      <c r="AP3" s="105">
        <f>IF(Briefing_FID!AP3="","",Briefing_FID!AP3)</f>
        <v>42917</v>
      </c>
      <c r="AQ3" s="106">
        <f>IF(Briefing_FID!AQ3="","",Briefing_FID!AQ3)</f>
        <v>43039</v>
      </c>
      <c r="AR3" s="107" t="str">
        <f>IF(Briefing_FID!AR3="","",Briefing_FID!AR3)</f>
        <v>20. Oi Total</v>
      </c>
      <c r="AS3" s="108" t="str">
        <f>IF(Briefing_FID!AS3="","",Briefing_FID!AS3)</f>
        <v>20. Oi Total</v>
      </c>
      <c r="AT3" s="109" t="str">
        <f>IF(Briefing_FID!AT3="","",Briefing_FID!AT3)</f>
        <v/>
      </c>
      <c r="AU3" s="109" t="str">
        <f>IF(Briefing_FID!AU3="","",Briefing_FID!AU3)</f>
        <v>Varejo</v>
      </c>
      <c r="AV3" s="109">
        <f>IF(Briefing_FID!AV3="","",Briefing_FID!AV3)</f>
        <v>20</v>
      </c>
      <c r="AW3" s="109">
        <f>IF(Briefing_FID!AW3="","",Briefing_FID!AW3)</f>
        <v>10000</v>
      </c>
      <c r="AX3" s="110" t="str">
        <f>IF(Briefing_FID!AX3="","",Briefing_FID!AX3)</f>
        <v>Campanha Restrita</v>
      </c>
      <c r="AY3" s="67"/>
      <c r="AZ3" s="115" t="str">
        <f>IF(Briefing_FID!AZ3="","",Briefing_FID!AZ3)</f>
        <v>Sim</v>
      </c>
      <c r="BA3" s="116" t="str">
        <f>IF(Briefing_FID!BA3="","",Briefing_FID!BA3)</f>
        <v>Não</v>
      </c>
      <c r="BB3" s="43"/>
      <c r="BC3" s="101" t="str">
        <f>IF(Briefing_FID!BC3="","",Briefing_FID!BC3)</f>
        <v>Oi Total Fixo +  TV 1</v>
      </c>
      <c r="BD3" s="25" t="str">
        <f>IF(Briefing_FID!BD3="","",Briefing_FID!BD3)</f>
        <v>CFG-2Plowpi</v>
      </c>
      <c r="BE3" s="99">
        <f>IF(Briefing_FID!BE3="","",Briefing_FID!BE3)</f>
        <v>60</v>
      </c>
      <c r="BF3" s="7">
        <f>IF(Briefing_FID!BF3="","",Briefing_FID!BF3)</f>
        <v>0.2089</v>
      </c>
      <c r="BG3" s="9" t="str">
        <f>IF(Briefing_FID!BG3="","",Briefing_FID!BG3)</f>
        <v>Criar</v>
      </c>
      <c r="BH3" s="99">
        <f>IF(Briefing_FID!BH3="","",Briefing_FID!BH3)</f>
        <v>74.900000000000006</v>
      </c>
      <c r="BI3" s="7">
        <f>IF(Briefing_FID!BI3="","",Briefing_FID!BI3)</f>
        <v>0.24349999999999999</v>
      </c>
      <c r="BJ3" s="9" t="str">
        <f>IF(Briefing_FID!BJ3="","",Briefing_FID!BJ3)</f>
        <v>Criar</v>
      </c>
      <c r="BK3" s="99" t="str">
        <f>IF(Briefing_FID!BK3="","",Briefing_FID!BK3)</f>
        <v/>
      </c>
      <c r="BL3" s="7" t="str">
        <f>IF(Briefing_FID!BL3="","",Briefing_FID!BL3)</f>
        <v/>
      </c>
      <c r="BM3" s="26" t="str">
        <f>IF(Briefing_FID!BM3="","",Briefing_FID!BM3)</f>
        <v/>
      </c>
      <c r="BN3" s="99" t="str">
        <f>IF(Briefing_FID!BN3="","",Briefing_FID!BN3)</f>
        <v/>
      </c>
      <c r="BO3" s="3" t="str">
        <f>IF(Briefing_FID!BO3="","",Briefing_FID!BO3)</f>
        <v/>
      </c>
      <c r="BP3" s="26" t="str">
        <f>IF(Briefing_FID!BP3="","",Briefing_FID!BP3)</f>
        <v/>
      </c>
      <c r="BQ3" s="99" t="str">
        <f>IF(Briefing_FID!BQ3="","",Briefing_FID!BQ3)</f>
        <v/>
      </c>
      <c r="BR3" s="3" t="str">
        <f>IF(Briefing_FID!BR3="","",Briefing_FID!BR3)</f>
        <v/>
      </c>
      <c r="BS3" s="26" t="str">
        <f>IF(Briefing_FID!BS3="","",Briefing_FID!BS3)</f>
        <v/>
      </c>
      <c r="BT3" s="99" t="str">
        <f>IF(Briefing_FID!BT3="","",Briefing_FID!BT3)</f>
        <v/>
      </c>
      <c r="BU3" s="3" t="str">
        <f>IF(Briefing_FID!BU3="","",Briefing_FID!BU3)</f>
        <v/>
      </c>
      <c r="BV3" s="26" t="str">
        <f>IF(Briefing_FID!BV3="","",Briefing_FID!BV3)</f>
        <v/>
      </c>
      <c r="BW3" s="99" t="str">
        <f>IF(Briefing_FID!BW3="","",Briefing_FID!BW3)</f>
        <v/>
      </c>
      <c r="BX3" s="3" t="str">
        <f>IF(Briefing_FID!BX3="","",Briefing_FID!BX3)</f>
        <v/>
      </c>
      <c r="BY3" s="26" t="str">
        <f>IF(Briefing_FID!BY3="","",Briefing_FID!BY3)</f>
        <v/>
      </c>
      <c r="BZ3" s="99" t="str">
        <f>IF(Briefing_FID!BZ3="","",Briefing_FID!BZ3)</f>
        <v/>
      </c>
      <c r="CA3" s="3" t="str">
        <f>IF(Briefing_FID!CA3="","",Briefing_FID!CA3)</f>
        <v/>
      </c>
      <c r="CB3" s="26" t="str">
        <f>IF(Briefing_FID!CB3="","",Briefing_FID!CB3)</f>
        <v/>
      </c>
      <c r="CC3" s="99" t="str">
        <f>IF(Briefing_FID!CC3="","",Briefing_FID!CC3)</f>
        <v/>
      </c>
      <c r="CD3" s="3" t="str">
        <f>IF(Briefing_FID!CD3="","",Briefing_FID!CD3)</f>
        <v/>
      </c>
      <c r="CE3" s="26" t="str">
        <f>IF(Briefing_FID!CE3="","",Briefing_FID!CE3)</f>
        <v/>
      </c>
      <c r="CF3" s="99" t="str">
        <f>IF(Briefing_FID!CF3="","",Briefing_FID!CF3)</f>
        <v/>
      </c>
      <c r="CG3" s="3" t="str">
        <f>IF(Briefing_FID!CG3="","",Briefing_FID!CG3)</f>
        <v/>
      </c>
      <c r="CH3" s="26" t="str">
        <f>IF(Briefing_FID!CH3="","",Briefing_FID!CH3)</f>
        <v/>
      </c>
      <c r="CI3" s="99" t="str">
        <f>IF(Briefing_FID!CI3="","",Briefing_FID!CI3)</f>
        <v/>
      </c>
      <c r="CJ3" s="3" t="str">
        <f>IF(Briefing_FID!CJ3="","",Briefing_FID!CJ3)</f>
        <v/>
      </c>
      <c r="CK3" s="26" t="str">
        <f>IF(Briefing_FID!CK3="","",Briefing_FID!CK3)</f>
        <v/>
      </c>
      <c r="CL3" s="99" t="str">
        <f>IF(Briefing_FID!CL3="","",Briefing_FID!CL3)</f>
        <v/>
      </c>
      <c r="CM3" s="3" t="str">
        <f>IF(Briefing_FID!CM3="","",Briefing_FID!CM3)</f>
        <v/>
      </c>
      <c r="CN3" s="26" t="str">
        <f>IF(Briefing_FID!CN3="","",Briefing_FID!CN3)</f>
        <v/>
      </c>
      <c r="CO3" s="99" t="str">
        <f>IF(Briefing_FID!CO3="","",Briefing_FID!CO3)</f>
        <v/>
      </c>
      <c r="CP3" s="3" t="str">
        <f>IF(Briefing_FID!CP3="","",Briefing_FID!CP3)</f>
        <v/>
      </c>
      <c r="CQ3" s="26" t="str">
        <f>IF(Briefing_FID!CQ3="","",Briefing_FID!CQ3)</f>
        <v/>
      </c>
      <c r="CR3" s="99" t="str">
        <f>IF(Briefing_FID!CR3="","",Briefing_FID!CR3)</f>
        <v/>
      </c>
      <c r="CS3" s="3" t="str">
        <f>IF(Briefing_FID!CS3="","",Briefing_FID!CS3)</f>
        <v/>
      </c>
      <c r="CT3" s="26" t="str">
        <f>IF(Briefing_FID!CT3="","",Briefing_FID!CT3)</f>
        <v/>
      </c>
      <c r="CU3" s="99" t="str">
        <f>IF(Briefing_FID!CU3="","",Briefing_FID!CU3)</f>
        <v/>
      </c>
      <c r="CV3" s="3" t="str">
        <f>IF(Briefing_FID!CV3="","",Briefing_FID!CV3)</f>
        <v/>
      </c>
      <c r="CW3" s="26" t="str">
        <f>IF(Briefing_FID!CW3="","",Briefing_FID!CW3)</f>
        <v/>
      </c>
      <c r="CX3" s="99" t="str">
        <f>IF(Briefing_FID!CX3="","",Briefing_FID!CX3)</f>
        <v/>
      </c>
      <c r="CY3" s="3" t="str">
        <f>IF(Briefing_FID!CY3="","",Briefing_FID!CY3)</f>
        <v/>
      </c>
      <c r="CZ3" s="26" t="str">
        <f>IF(Briefing_FID!CZ3="","",Briefing_FID!CZ3)</f>
        <v/>
      </c>
      <c r="DA3" s="99" t="str">
        <f>IF(Briefing_FID!DA3="","",Briefing_FID!DA3)</f>
        <v/>
      </c>
      <c r="DB3" s="3" t="str">
        <f>IF(Briefing_FID!DB3="","",Briefing_FID!DB3)</f>
        <v/>
      </c>
      <c r="DC3" s="26" t="str">
        <f>IF(Briefing_FID!DC3="","",Briefing_FID!DC3)</f>
        <v/>
      </c>
      <c r="DD3" s="99" t="str">
        <f>IF(Briefing_FID!DD3="","",Briefing_FID!DD3)</f>
        <v/>
      </c>
      <c r="DE3" s="3" t="str">
        <f>IF(Briefing_FID!DE3="","",Briefing_FID!DE3)</f>
        <v/>
      </c>
      <c r="DF3" s="26" t="str">
        <f>IF(Briefing_FID!DF3="","",Briefing_FID!DF3)</f>
        <v/>
      </c>
      <c r="DG3" s="99">
        <f>IF(Briefing_FID!DG3="","",Briefing_FID!DG3)</f>
        <v>75</v>
      </c>
      <c r="DH3" s="7">
        <f>IF(Briefing_FID!DH3="","",Briefing_FID!DH3)</f>
        <v>0.31900000000000001</v>
      </c>
      <c r="DI3" s="26" t="str">
        <f>IF(Briefing_FID!DI3="","",Briefing_FID!DI3)</f>
        <v>Criar</v>
      </c>
      <c r="DJ3" s="99">
        <f>IF(Briefing_FID!DJ3="","",Briefing_FID!DJ3)</f>
        <v>19.899999999999999</v>
      </c>
      <c r="DK3" s="3">
        <f>IF(Briefing_FID!DK3="","",Briefing_FID!DK3)</f>
        <v>9.1800000000000007E-2</v>
      </c>
      <c r="DL3" s="26" t="str">
        <f>IF(Briefing_FID!DL3="","",Briefing_FID!DL3)</f>
        <v>Criar</v>
      </c>
      <c r="DM3" s="99">
        <f>IF(Briefing_FID!DM3="","",Briefing_FID!DM3)</f>
        <v>19.899999999999999</v>
      </c>
      <c r="DN3" s="3">
        <f>IF(Briefing_FID!DN3="","",Briefing_FID!DN3)</f>
        <v>9.1800000000000007E-2</v>
      </c>
      <c r="DO3" s="26" t="str">
        <f>IF(Briefing_FID!DO3="","",Briefing_FID!DO3)</f>
        <v>Criar</v>
      </c>
      <c r="DP3" s="99">
        <f>IF(Briefing_FID!DP3="","",Briefing_FID!DP3)</f>
        <v>29.9</v>
      </c>
      <c r="DQ3" s="3">
        <f>IF(Briefing_FID!DQ3="","",Briefing_FID!DQ3)</f>
        <v>9.1800000000000007E-2</v>
      </c>
      <c r="DR3" s="26" t="str">
        <f>IF(Briefing_FID!DR3="","",Briefing_FID!DR3)</f>
        <v>Criar</v>
      </c>
      <c r="DS3" s="99">
        <f>IF(Briefing_FID!DS3="","",Briefing_FID!DS3)</f>
        <v>14.9</v>
      </c>
      <c r="DT3" s="3">
        <f>IF(Briefing_FID!DT3="","",Briefing_FID!DT3)</f>
        <v>9.1499999999999998E-2</v>
      </c>
      <c r="DU3" s="26" t="str">
        <f>IF(Briefing_FID!DU3="","",Briefing_FID!DU3)</f>
        <v>Criar</v>
      </c>
      <c r="DV3" s="99">
        <f>IF(Briefing_FID!DV3="","",Briefing_FID!DV3)</f>
        <v>10</v>
      </c>
      <c r="DW3" s="3">
        <f>IF(Briefing_FID!DW3="","",Briefing_FID!DW3)</f>
        <v>9.1800000000000007E-2</v>
      </c>
      <c r="DX3" s="26" t="str">
        <f>IF(Briefing_FID!DX3="","",Briefing_FID!DX3)</f>
        <v>Criar</v>
      </c>
      <c r="DY3" s="99" t="str">
        <f>IF(Briefing_FID!DY3="","",Briefing_FID!DY3)</f>
        <v/>
      </c>
      <c r="DZ3" s="3" t="str">
        <f>IF(Briefing_FID!DZ3="","",Briefing_FID!DZ3)</f>
        <v/>
      </c>
      <c r="EA3" s="26" t="str">
        <f>IF(Briefing_FID!EA3="","",Briefing_FID!EA3)</f>
        <v/>
      </c>
      <c r="EB3" s="99" t="str">
        <f>IF(Briefing_FID!EB3="","",Briefing_FID!EB3)</f>
        <v/>
      </c>
      <c r="EC3" s="3" t="str">
        <f>IF(Briefing_FID!EC3="","",Briefing_FID!EC3)</f>
        <v/>
      </c>
      <c r="ED3" s="26" t="str">
        <f>IF(Briefing_FID!ED3="","",Briefing_FID!ED3)</f>
        <v/>
      </c>
      <c r="EE3" s="99" t="str">
        <f>IF(Briefing_FID!EE3="","",Briefing_FID!EE3)</f>
        <v/>
      </c>
      <c r="EF3" s="3" t="str">
        <f>IF(Briefing_FID!EF3="","",Briefing_FID!EF3)</f>
        <v/>
      </c>
      <c r="EG3" s="26" t="str">
        <f>IF(Briefing_FID!EG3="","",Briefing_FID!EG3)</f>
        <v/>
      </c>
      <c r="EH3" s="99" t="str">
        <f>IF(Briefing_FID!EH3="","",Briefing_FID!EH3)</f>
        <v/>
      </c>
      <c r="EI3" s="3" t="str">
        <f>IF(Briefing_FID!EI3="","",Briefing_FID!EI3)</f>
        <v/>
      </c>
      <c r="EJ3" s="26" t="str">
        <f>IF(Briefing_FID!EJ3="","",Briefing_FID!EJ3)</f>
        <v/>
      </c>
      <c r="EK3" s="99" t="str">
        <f>IF(Briefing_FID!EK3="","",Briefing_FID!EK3)</f>
        <v/>
      </c>
      <c r="EL3" s="3" t="str">
        <f>IF(Briefing_FID!EL3="","",Briefing_FID!EL3)</f>
        <v/>
      </c>
      <c r="EM3" s="26" t="str">
        <f>IF(Briefing_FID!EM3="","",Briefing_FID!EM3)</f>
        <v/>
      </c>
      <c r="EN3" s="99">
        <f>IF(Briefing_FID!EN3="","",Briefing_FID!EN3)</f>
        <v>24.9</v>
      </c>
      <c r="EO3" s="3">
        <f>IF(Briefing_FID!EO3="","",Briefing_FID!EO3)</f>
        <v>0.16729999999999998</v>
      </c>
      <c r="EP3" s="26" t="str">
        <f>IF(Briefing_FID!EP3="","",Briefing_FID!EP3)</f>
        <v>Criar</v>
      </c>
      <c r="EQ3" s="26" t="str">
        <f>IF(Briefing_FID!EQ3="","",Briefing_FID!EQ3)</f>
        <v/>
      </c>
      <c r="ER3" s="26" t="str">
        <f>IF(Briefing_FID!ER3="","",Briefing_FID!ER3)</f>
        <v/>
      </c>
      <c r="ES3" s="59"/>
      <c r="ET3" s="93" t="str">
        <f>IF(Briefing_FID!EZ3="","",Briefing_FID!EZ3)</f>
        <v>LD + VC Oi</v>
      </c>
      <c r="EU3" s="94" t="str">
        <f>IF(Briefing_FID!FA3="","",Briefing_FID!FA3)</f>
        <v>0T0T_FTV_MIN_LD_270000.</v>
      </c>
      <c r="EV3" s="95" t="str">
        <f>IF(Briefing_FID!FB3="","",Briefing_FID!FB3)</f>
        <v/>
      </c>
      <c r="EW3" s="93" t="str">
        <f>IF(Briefing_FID!FC3="","",Briefing_FID!FC3)</f>
        <v/>
      </c>
      <c r="EX3" s="94" t="str">
        <f>IF(Briefing_FID!FD3="","",Briefing_FID!FD3)</f>
        <v/>
      </c>
      <c r="EY3" s="95" t="str">
        <f>IF(Briefing_FID!FE3="","",Briefing_FID!FE3)</f>
        <v/>
      </c>
      <c r="EZ3" s="103" t="str">
        <f>IF(Briefing_FID!FF3="","",Briefing_FID!FF3)</f>
        <v/>
      </c>
      <c r="FA3" s="144">
        <f>IF(Briefing_FID!FG3="","",Briefing_FID!FG3)</f>
        <v>134.9</v>
      </c>
      <c r="FB3" s="144" t="str">
        <f>IF(Briefing_FID!FH3="","",Briefing_FID!FH3)</f>
        <v/>
      </c>
      <c r="FC3" s="144" t="str">
        <f>IF(Briefing_FID!FI3="","",Briefing_FID!FI3)</f>
        <v/>
      </c>
      <c r="FD3" s="144" t="str">
        <f>IF(Briefing_FID!FJ3="","",Briefing_FID!FJ3)</f>
        <v/>
      </c>
      <c r="FE3" s="144" t="str">
        <f>IF(Briefing_FID!FK3="","",Briefing_FID!FK3)</f>
        <v/>
      </c>
      <c r="FF3" s="144" t="str">
        <f>IF(Briefing_FID!FL3="","",Briefing_FID!FL3)</f>
        <v/>
      </c>
      <c r="FG3" s="144" t="str">
        <f>IF(Briefing_FID!FM3="","",Briefing_FID!FM3)</f>
        <v/>
      </c>
      <c r="FH3" s="144" t="str">
        <f>IF(Briefing_FID!FN3="","",Briefing_FID!FN3)</f>
        <v/>
      </c>
      <c r="FI3" s="144" t="str">
        <f>IF(Briefing_FID!FO3="","",Briefing_FID!FO3)</f>
        <v/>
      </c>
      <c r="FJ3" s="144" t="str">
        <f>IF(Briefing_FID!FP3="","",Briefing_FID!FP3)</f>
        <v/>
      </c>
      <c r="FK3" s="144" t="str">
        <f>IF(Briefing_FID!FQ3="","",Briefing_FID!FQ3)</f>
        <v/>
      </c>
      <c r="FL3" s="144" t="str">
        <f>IF(Briefing_FID!FR3="","",Briefing_FID!FR3)</f>
        <v/>
      </c>
      <c r="FM3" s="144" t="str">
        <f>IF(Briefing_FID!FS3="","",Briefing_FID!FS3)</f>
        <v/>
      </c>
      <c r="FN3" s="144" t="str">
        <f>IF(Briefing_FID!FT3="","",Briefing_FID!FT3)</f>
        <v/>
      </c>
      <c r="FO3" s="144" t="str">
        <f>IF(Briefing_FID!FU3="","",Briefing_FID!FU3)</f>
        <v/>
      </c>
      <c r="FP3" s="144" t="str">
        <f>IF(Briefing_FID!FV3="","",Briefing_FID!FV3)</f>
        <v/>
      </c>
      <c r="FQ3" s="144" t="str">
        <f>IF(Briefing_FID!FW3="","",Briefing_FID!FW3)</f>
        <v/>
      </c>
      <c r="FR3" s="145"/>
      <c r="FS3" s="146"/>
      <c r="FT3" s="146"/>
      <c r="FU3" s="146"/>
      <c r="FV3" s="146"/>
      <c r="FW3" s="146"/>
      <c r="FX3" s="146"/>
      <c r="FY3" s="146"/>
      <c r="FZ3" s="146"/>
      <c r="GA3" s="147"/>
    </row>
    <row r="4" spans="1:183">
      <c r="A4" s="136" t="str">
        <f>IF(Briefing_FID!A4="","",Briefing_FID!A4)</f>
        <v>Oi Total</v>
      </c>
      <c r="B4" s="137" t="str">
        <f>IF(Briefing_FID!B4="","",Briefing_FID!B4)</f>
        <v>Migração</v>
      </c>
      <c r="C4" s="137" t="str">
        <f>IF(Briefing_FID!C4="","",Briefing_FID!C4)</f>
        <v>Atuais</v>
      </c>
      <c r="D4" s="46"/>
      <c r="E4" s="120"/>
      <c r="F4" s="117"/>
      <c r="G4" s="117"/>
      <c r="H4" s="72"/>
      <c r="I4" s="72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23"/>
      <c r="AD4" s="117"/>
      <c r="AE4" s="117"/>
      <c r="AF4" s="117"/>
      <c r="AG4" s="117"/>
      <c r="AH4" s="117"/>
      <c r="AI4" s="117"/>
      <c r="AJ4" s="117"/>
      <c r="AK4" s="117"/>
      <c r="AL4" s="124"/>
      <c r="AM4" s="37"/>
      <c r="AN4" s="38"/>
      <c r="AO4" s="39"/>
      <c r="AP4" s="111">
        <f>IF(Briefing_FID!AP4="","",Briefing_FID!AP4)</f>
        <v>42917</v>
      </c>
      <c r="AQ4" s="112">
        <f>IF(Briefing_FID!AQ4="","",Briefing_FID!AQ4)</f>
        <v>43039</v>
      </c>
      <c r="AR4" s="107" t="str">
        <f>IF(Briefing_FID!AR4="","",Briefing_FID!AR4)</f>
        <v>20. Oi Total</v>
      </c>
      <c r="AS4" s="108" t="str">
        <f>IF(Briefing_FID!AS4="","",Briefing_FID!AS4)</f>
        <v>20. Oi Total</v>
      </c>
      <c r="AT4" s="113" t="str">
        <f>IF(Briefing_FID!AT4="","",Briefing_FID!AT4)</f>
        <v/>
      </c>
      <c r="AU4" s="113" t="str">
        <f>IF(Briefing_FID!AU4="","",Briefing_FID!AU4)</f>
        <v>Varejo</v>
      </c>
      <c r="AV4" s="113">
        <f>IF(Briefing_FID!AV4="","",Briefing_FID!AV4)</f>
        <v>20</v>
      </c>
      <c r="AW4" s="113">
        <f>IF(Briefing_FID!AW4="","",Briefing_FID!AW4)</f>
        <v>10000</v>
      </c>
      <c r="AX4" s="114" t="str">
        <f>IF(Briefing_FID!AX4="","",Briefing_FID!AX4)</f>
        <v>Campanha Restrita</v>
      </c>
      <c r="AY4" s="71"/>
      <c r="AZ4" s="117" t="str">
        <f>IF(Briefing_FID!AZ4="","",Briefing_FID!AZ4)</f>
        <v>Sim</v>
      </c>
      <c r="BA4" s="118" t="str">
        <f>IF(Briefing_FID!BA4="","",Briefing_FID!BA4)</f>
        <v>Não</v>
      </c>
      <c r="BB4" s="55"/>
      <c r="BC4" s="102" t="str">
        <f>IF(Briefing_FID!BC4="","",Briefing_FID!BC4)</f>
        <v>Oi Total Fixo +  TV 2</v>
      </c>
      <c r="BD4" s="27" t="str">
        <f>IF(Briefing_FID!BD4="","",Briefing_FID!BD4)</f>
        <v>PCS-2PMepi</v>
      </c>
      <c r="BE4" s="100">
        <f>IF(Briefing_FID!BE4="","",Briefing_FID!BE4)</f>
        <v>60</v>
      </c>
      <c r="BF4" s="3">
        <f>IF(Briefing_FID!BF4="","",Briefing_FID!BF4)</f>
        <v>0.2089</v>
      </c>
      <c r="BG4" s="10" t="str">
        <f>IF(Briefing_FID!BG4="","",Briefing_FID!BG4)</f>
        <v>Criar</v>
      </c>
      <c r="BH4" s="100" t="str">
        <f>IF(Briefing_FID!BH4="","",Briefing_FID!BH4)</f>
        <v/>
      </c>
      <c r="BI4" s="3" t="str">
        <f>IF(Briefing_FID!BI4="","",Briefing_FID!BI4)</f>
        <v/>
      </c>
      <c r="BJ4" s="10" t="str">
        <f>IF(Briefing_FID!BJ4="","",Briefing_FID!BJ4)</f>
        <v/>
      </c>
      <c r="BK4" s="100">
        <f>IF(Briefing_FID!BK4="","",Briefing_FID!BK4)</f>
        <v>94.9</v>
      </c>
      <c r="BL4" s="3">
        <f>IF(Briefing_FID!BL4="","",Briefing_FID!BL4)</f>
        <v>0.21589999999999998</v>
      </c>
      <c r="BM4" s="28" t="str">
        <f>IF(Briefing_FID!BM4="","",Briefing_FID!BM4)</f>
        <v>Criar</v>
      </c>
      <c r="BN4" s="100" t="str">
        <f>IF(Briefing_FID!BN4="","",Briefing_FID!BN4)</f>
        <v/>
      </c>
      <c r="BO4" s="3" t="str">
        <f>IF(Briefing_FID!BO4="","",Briefing_FID!BO4)</f>
        <v/>
      </c>
      <c r="BP4" s="28" t="str">
        <f>IF(Briefing_FID!BP4="","",Briefing_FID!BP4)</f>
        <v/>
      </c>
      <c r="BQ4" s="100" t="str">
        <f>IF(Briefing_FID!BQ4="","",Briefing_FID!BQ4)</f>
        <v/>
      </c>
      <c r="BR4" s="3" t="str">
        <f>IF(Briefing_FID!BR4="","",Briefing_FID!BR4)</f>
        <v/>
      </c>
      <c r="BS4" s="28" t="str">
        <f>IF(Briefing_FID!BS4="","",Briefing_FID!BS4)</f>
        <v/>
      </c>
      <c r="BT4" s="100" t="str">
        <f>IF(Briefing_FID!BT4="","",Briefing_FID!BT4)</f>
        <v/>
      </c>
      <c r="BU4" s="3" t="str">
        <f>IF(Briefing_FID!BU4="","",Briefing_FID!BU4)</f>
        <v/>
      </c>
      <c r="BV4" s="28" t="str">
        <f>IF(Briefing_FID!BV4="","",Briefing_FID!BV4)</f>
        <v/>
      </c>
      <c r="BW4" s="100" t="str">
        <f>IF(Briefing_FID!BW4="","",Briefing_FID!BW4)</f>
        <v/>
      </c>
      <c r="BX4" s="3" t="str">
        <f>IF(Briefing_FID!BX4="","",Briefing_FID!BX4)</f>
        <v/>
      </c>
      <c r="BY4" s="28" t="str">
        <f>IF(Briefing_FID!BY4="","",Briefing_FID!BY4)</f>
        <v/>
      </c>
      <c r="BZ4" s="100" t="str">
        <f>IF(Briefing_FID!BZ4="","",Briefing_FID!BZ4)</f>
        <v/>
      </c>
      <c r="CA4" s="3" t="str">
        <f>IF(Briefing_FID!CA4="","",Briefing_FID!CA4)</f>
        <v/>
      </c>
      <c r="CB4" s="28" t="str">
        <f>IF(Briefing_FID!CB4="","",Briefing_FID!CB4)</f>
        <v/>
      </c>
      <c r="CC4" s="100" t="str">
        <f>IF(Briefing_FID!CC4="","",Briefing_FID!CC4)</f>
        <v/>
      </c>
      <c r="CD4" s="3" t="str">
        <f>IF(Briefing_FID!CD4="","",Briefing_FID!CD4)</f>
        <v/>
      </c>
      <c r="CE4" s="28" t="str">
        <f>IF(Briefing_FID!CE4="","",Briefing_FID!CE4)</f>
        <v/>
      </c>
      <c r="CF4" s="100" t="str">
        <f>IF(Briefing_FID!CF4="","",Briefing_FID!CF4)</f>
        <v/>
      </c>
      <c r="CG4" s="3" t="str">
        <f>IF(Briefing_FID!CG4="","",Briefing_FID!CG4)</f>
        <v/>
      </c>
      <c r="CH4" s="28" t="str">
        <f>IF(Briefing_FID!CH4="","",Briefing_FID!CH4)</f>
        <v/>
      </c>
      <c r="CI4" s="100">
        <f>IF(Briefing_FID!CI4="","",Briefing_FID!CI4)</f>
        <v>104.9</v>
      </c>
      <c r="CJ4" s="3">
        <f>IF(Briefing_FID!CJ4="","",Briefing_FID!CJ4)</f>
        <v>0.36459999999999998</v>
      </c>
      <c r="CK4" s="28" t="str">
        <f>IF(Briefing_FID!CK4="","",Briefing_FID!CK4)</f>
        <v>Criar</v>
      </c>
      <c r="CL4" s="100" t="str">
        <f>IF(Briefing_FID!CL4="","",Briefing_FID!CL4)</f>
        <v/>
      </c>
      <c r="CM4" s="3" t="str">
        <f>IF(Briefing_FID!CM4="","",Briefing_FID!CM4)</f>
        <v/>
      </c>
      <c r="CN4" s="28" t="str">
        <f>IF(Briefing_FID!CN4="","",Briefing_FID!CN4)</f>
        <v/>
      </c>
      <c r="CO4" s="100" t="str">
        <f>IF(Briefing_FID!CO4="","",Briefing_FID!CO4)</f>
        <v/>
      </c>
      <c r="CP4" s="3" t="str">
        <f>IF(Briefing_FID!CP4="","",Briefing_FID!CP4)</f>
        <v/>
      </c>
      <c r="CQ4" s="28" t="str">
        <f>IF(Briefing_FID!CQ4="","",Briefing_FID!CQ4)</f>
        <v/>
      </c>
      <c r="CR4" s="100" t="str">
        <f>IF(Briefing_FID!CR4="","",Briefing_FID!CR4)</f>
        <v/>
      </c>
      <c r="CS4" s="3" t="str">
        <f>IF(Briefing_FID!CS4="","",Briefing_FID!CS4)</f>
        <v/>
      </c>
      <c r="CT4" s="28" t="str">
        <f>IF(Briefing_FID!CT4="","",Briefing_FID!CT4)</f>
        <v/>
      </c>
      <c r="CU4" s="100">
        <f>IF(Briefing_FID!CU4="","",Briefing_FID!CU4)</f>
        <v>124.9</v>
      </c>
      <c r="CV4" s="3">
        <f>IF(Briefing_FID!CV4="","",Briefing_FID!CV4)</f>
        <v>0.43269999999999997</v>
      </c>
      <c r="CW4" s="28" t="str">
        <f>IF(Briefing_FID!CW4="","",Briefing_FID!CW4)</f>
        <v>Criar</v>
      </c>
      <c r="CX4" s="100" t="str">
        <f>IF(Briefing_FID!CX4="","",Briefing_FID!CX4)</f>
        <v/>
      </c>
      <c r="CY4" s="3" t="str">
        <f>IF(Briefing_FID!CY4="","",Briefing_FID!CY4)</f>
        <v/>
      </c>
      <c r="CZ4" s="28" t="str">
        <f>IF(Briefing_FID!CZ4="","",Briefing_FID!CZ4)</f>
        <v/>
      </c>
      <c r="DA4" s="100" t="str">
        <f>IF(Briefing_FID!DA4="","",Briefing_FID!DA4)</f>
        <v/>
      </c>
      <c r="DB4" s="3" t="str">
        <f>IF(Briefing_FID!DB4="","",Briefing_FID!DB4)</f>
        <v/>
      </c>
      <c r="DC4" s="28" t="str">
        <f>IF(Briefing_FID!DC4="","",Briefing_FID!DC4)</f>
        <v/>
      </c>
      <c r="DD4" s="100" t="str">
        <f>IF(Briefing_FID!DD4="","",Briefing_FID!DD4)</f>
        <v/>
      </c>
      <c r="DE4" s="3" t="str">
        <f>IF(Briefing_FID!DE4="","",Briefing_FID!DE4)</f>
        <v/>
      </c>
      <c r="DF4" s="28" t="str">
        <f>IF(Briefing_FID!DF4="","",Briefing_FID!DF4)</f>
        <v/>
      </c>
      <c r="DG4" s="100">
        <f>IF(Briefing_FID!DG4="","",Briefing_FID!DG4)</f>
        <v>75</v>
      </c>
      <c r="DH4" s="3">
        <f>IF(Briefing_FID!DH4="","",Briefing_FID!DH4)</f>
        <v>0.31900000000000001</v>
      </c>
      <c r="DI4" s="28" t="str">
        <f>IF(Briefing_FID!DI4="","",Briefing_FID!DI4)</f>
        <v>Criar</v>
      </c>
      <c r="DJ4" s="100">
        <f>IF(Briefing_FID!DJ4="","",Briefing_FID!DJ4)</f>
        <v>19.899999999999999</v>
      </c>
      <c r="DK4" s="3">
        <f>IF(Briefing_FID!DK4="","",Briefing_FID!DK4)</f>
        <v>9.1800000000000007E-2</v>
      </c>
      <c r="DL4" s="28" t="str">
        <f>IF(Briefing_FID!DL4="","",Briefing_FID!DL4)</f>
        <v>Criar</v>
      </c>
      <c r="DM4" s="100">
        <f>IF(Briefing_FID!DM4="","",Briefing_FID!DM4)</f>
        <v>19.899999999999999</v>
      </c>
      <c r="DN4" s="3">
        <f>IF(Briefing_FID!DN4="","",Briefing_FID!DN4)</f>
        <v>9.1800000000000007E-2</v>
      </c>
      <c r="DO4" s="28" t="str">
        <f>IF(Briefing_FID!DO4="","",Briefing_FID!DO4)</f>
        <v>Criar</v>
      </c>
      <c r="DP4" s="100">
        <f>IF(Briefing_FID!DP4="","",Briefing_FID!DP4)</f>
        <v>29.9</v>
      </c>
      <c r="DQ4" s="3">
        <f>IF(Briefing_FID!DQ4="","",Briefing_FID!DQ4)</f>
        <v>9.1800000000000007E-2</v>
      </c>
      <c r="DR4" s="28" t="str">
        <f>IF(Briefing_FID!DR4="","",Briefing_FID!DR4)</f>
        <v>Criar</v>
      </c>
      <c r="DS4" s="100">
        <f>IF(Briefing_FID!DS4="","",Briefing_FID!DS4)</f>
        <v>14.9</v>
      </c>
      <c r="DT4" s="3">
        <f>IF(Briefing_FID!DT4="","",Briefing_FID!DT4)</f>
        <v>9.1499999999999998E-2</v>
      </c>
      <c r="DU4" s="28" t="str">
        <f>IF(Briefing_FID!DU4="","",Briefing_FID!DU4)</f>
        <v>Criar</v>
      </c>
      <c r="DV4" s="100">
        <f>IF(Briefing_FID!DV4="","",Briefing_FID!DV4)</f>
        <v>10</v>
      </c>
      <c r="DW4" s="3">
        <f>IF(Briefing_FID!DW4="","",Briefing_FID!DW4)</f>
        <v>9.1800000000000007E-2</v>
      </c>
      <c r="DX4" s="28" t="str">
        <f>IF(Briefing_FID!DX4="","",Briefing_FID!DX4)</f>
        <v>Criar</v>
      </c>
      <c r="DY4" s="100" t="str">
        <f>IF(Briefing_FID!DY4="","",Briefing_FID!DY4)</f>
        <v/>
      </c>
      <c r="DZ4" s="3" t="str">
        <f>IF(Briefing_FID!DZ4="","",Briefing_FID!DZ4)</f>
        <v/>
      </c>
      <c r="EA4" s="28" t="str">
        <f>IF(Briefing_FID!EA4="","",Briefing_FID!EA4)</f>
        <v/>
      </c>
      <c r="EB4" s="100" t="str">
        <f>IF(Briefing_FID!EB4="","",Briefing_FID!EB4)</f>
        <v/>
      </c>
      <c r="EC4" s="3" t="str">
        <f>IF(Briefing_FID!EC4="","",Briefing_FID!EC4)</f>
        <v/>
      </c>
      <c r="ED4" s="28" t="str">
        <f>IF(Briefing_FID!ED4="","",Briefing_FID!ED4)</f>
        <v/>
      </c>
      <c r="EE4" s="100" t="str">
        <f>IF(Briefing_FID!EE4="","",Briefing_FID!EE4)</f>
        <v/>
      </c>
      <c r="EF4" s="3" t="str">
        <f>IF(Briefing_FID!EF4="","",Briefing_FID!EF4)</f>
        <v/>
      </c>
      <c r="EG4" s="28" t="str">
        <f>IF(Briefing_FID!EG4="","",Briefing_FID!EG4)</f>
        <v/>
      </c>
      <c r="EH4" s="100" t="str">
        <f>IF(Briefing_FID!EH4="","",Briefing_FID!EH4)</f>
        <v/>
      </c>
      <c r="EI4" s="3" t="str">
        <f>IF(Briefing_FID!EI4="","",Briefing_FID!EI4)</f>
        <v/>
      </c>
      <c r="EJ4" s="28" t="str">
        <f>IF(Briefing_FID!EJ4="","",Briefing_FID!EJ4)</f>
        <v/>
      </c>
      <c r="EK4" s="100" t="str">
        <f>IF(Briefing_FID!EK4="","",Briefing_FID!EK4)</f>
        <v/>
      </c>
      <c r="EL4" s="3" t="str">
        <f>IF(Briefing_FID!EL4="","",Briefing_FID!EL4)</f>
        <v/>
      </c>
      <c r="EM4" s="28" t="str">
        <f>IF(Briefing_FID!EM4="","",Briefing_FID!EM4)</f>
        <v/>
      </c>
      <c r="EN4" s="100">
        <f>IF(Briefing_FID!EN4="","",Briefing_FID!EN4)</f>
        <v>24.9</v>
      </c>
      <c r="EO4" s="3">
        <f>IF(Briefing_FID!EO4="","",Briefing_FID!EO4)</f>
        <v>0.16729999999999998</v>
      </c>
      <c r="EP4" s="28" t="str">
        <f>IF(Briefing_FID!EP4="","",Briefing_FID!EP4)</f>
        <v>Criar</v>
      </c>
      <c r="EQ4" s="28" t="str">
        <f>IF(Briefing_FID!EQ4="","",Briefing_FID!EQ4)</f>
        <v/>
      </c>
      <c r="ER4" s="28" t="str">
        <f>IF(Briefing_FID!ER4="","",Briefing_FID!ER4)</f>
        <v/>
      </c>
      <c r="ES4" s="62"/>
      <c r="ET4" s="96" t="str">
        <f>IF(Briefing_FID!EZ4="","",Briefing_FID!EZ4)</f>
        <v>LD + VC Oi</v>
      </c>
      <c r="EU4" s="97" t="str">
        <f>IF(Briefing_FID!FA4="","",Briefing_FID!FA4)</f>
        <v>0T0T_FTV_MIN_LD_270000.</v>
      </c>
      <c r="EV4" s="98" t="str">
        <f>IF(Briefing_FID!FB4="","",Briefing_FID!FB4)</f>
        <v/>
      </c>
      <c r="EW4" s="96" t="str">
        <f>IF(Briefing_FID!FC4="","",Briefing_FID!FC4)</f>
        <v/>
      </c>
      <c r="EX4" s="97" t="str">
        <f>IF(Briefing_FID!FD4="","",Briefing_FID!FD4)</f>
        <v/>
      </c>
      <c r="EY4" s="98" t="str">
        <f>IF(Briefing_FID!FE4="","",Briefing_FID!FE4)</f>
        <v/>
      </c>
      <c r="EZ4" s="104" t="str">
        <f>IF(Briefing_FID!FF4="","",Briefing_FID!FF4)</f>
        <v/>
      </c>
      <c r="FA4" s="144" t="str">
        <f>IF(Briefing_FID!FG4="","",Briefing_FID!FG4)</f>
        <v/>
      </c>
      <c r="FB4" s="144">
        <f>IF(Briefing_FID!FH4="","",Briefing_FID!FH4)</f>
        <v>154.9</v>
      </c>
      <c r="FC4" s="144" t="str">
        <f>IF(Briefing_FID!FI4="","",Briefing_FID!FI4)</f>
        <v/>
      </c>
      <c r="FD4" s="144" t="str">
        <f>IF(Briefing_FID!FJ4="","",Briefing_FID!FJ4)</f>
        <v/>
      </c>
      <c r="FE4" s="144" t="str">
        <f>IF(Briefing_FID!FK4="","",Briefing_FID!FK4)</f>
        <v/>
      </c>
      <c r="FF4" s="144" t="str">
        <f>IF(Briefing_FID!FL4="","",Briefing_FID!FL4)</f>
        <v/>
      </c>
      <c r="FG4" s="144" t="str">
        <f>IF(Briefing_FID!FM4="","",Briefing_FID!FM4)</f>
        <v/>
      </c>
      <c r="FH4" s="144" t="str">
        <f>IF(Briefing_FID!FN4="","",Briefing_FID!FN4)</f>
        <v/>
      </c>
      <c r="FI4" s="144" t="str">
        <f>IF(Briefing_FID!FO4="","",Briefing_FID!FO4)</f>
        <v/>
      </c>
      <c r="FJ4" s="144">
        <f>IF(Briefing_FID!FP4="","",Briefing_FID!FP4)</f>
        <v>164.9</v>
      </c>
      <c r="FK4" s="144" t="str">
        <f>IF(Briefing_FID!FQ4="","",Briefing_FID!FQ4)</f>
        <v/>
      </c>
      <c r="FL4" s="144" t="str">
        <f>IF(Briefing_FID!FR4="","",Briefing_FID!FR4)</f>
        <v/>
      </c>
      <c r="FM4" s="144" t="str">
        <f>IF(Briefing_FID!FS4="","",Briefing_FID!FS4)</f>
        <v/>
      </c>
      <c r="FN4" s="144">
        <f>IF(Briefing_FID!FT4="","",Briefing_FID!FT4)</f>
        <v>184.9</v>
      </c>
      <c r="FO4" s="144" t="str">
        <f>IF(Briefing_FID!FU4="","",Briefing_FID!FU4)</f>
        <v/>
      </c>
      <c r="FP4" s="144" t="str">
        <f>IF(Briefing_FID!FV4="","",Briefing_FID!FV4)</f>
        <v/>
      </c>
      <c r="FQ4" s="144" t="str">
        <f>IF(Briefing_FID!FW4="","",Briefing_FID!FW4)</f>
        <v/>
      </c>
      <c r="FR4" s="148"/>
      <c r="FS4" s="149"/>
      <c r="FT4" s="149"/>
      <c r="FU4" s="149"/>
      <c r="FV4" s="149"/>
      <c r="FW4" s="149"/>
      <c r="FX4" s="149"/>
      <c r="FY4" s="149"/>
      <c r="FZ4" s="149"/>
      <c r="GA4" s="150"/>
    </row>
    <row r="5" spans="1:183">
      <c r="A5" s="136" t="str">
        <f>IF(Briefing_FID!A5="","",Briefing_FID!A5)</f>
        <v>Oi Total</v>
      </c>
      <c r="B5" s="137" t="str">
        <f>IF(Briefing_FID!B5="","",Briefing_FID!B5)</f>
        <v>Migração</v>
      </c>
      <c r="C5" s="137" t="str">
        <f>IF(Briefing_FID!C5="","",Briefing_FID!C5)</f>
        <v>Atuais</v>
      </c>
      <c r="D5" s="46"/>
      <c r="E5" s="120"/>
      <c r="F5" s="117"/>
      <c r="G5" s="117"/>
      <c r="H5" s="72"/>
      <c r="I5" s="72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25"/>
      <c r="AD5" s="117"/>
      <c r="AE5" s="117"/>
      <c r="AF5" s="117"/>
      <c r="AG5" s="117"/>
      <c r="AH5" s="117"/>
      <c r="AI5" s="117"/>
      <c r="AJ5" s="117"/>
      <c r="AK5" s="117"/>
      <c r="AL5" s="124"/>
      <c r="AM5" s="37"/>
      <c r="AN5" s="38"/>
      <c r="AO5" s="39"/>
      <c r="AP5" s="111">
        <f>IF(Briefing_FID!AP5="","",Briefing_FID!AP5)</f>
        <v>42917</v>
      </c>
      <c r="AQ5" s="112">
        <f>IF(Briefing_FID!AQ5="","",Briefing_FID!AQ5)</f>
        <v>43039</v>
      </c>
      <c r="AR5" s="107" t="str">
        <f>IF(Briefing_FID!AR5="","",Briefing_FID!AR5)</f>
        <v>20. Oi Total</v>
      </c>
      <c r="AS5" s="108" t="str">
        <f>IF(Briefing_FID!AS5="","",Briefing_FID!AS5)</f>
        <v>20. Oi Total</v>
      </c>
      <c r="AT5" s="113" t="str">
        <f>IF(Briefing_FID!AT5="","",Briefing_FID!AT5)</f>
        <v/>
      </c>
      <c r="AU5" s="113" t="str">
        <f>IF(Briefing_FID!AU5="","",Briefing_FID!AU5)</f>
        <v>Varejo</v>
      </c>
      <c r="AV5" s="113">
        <f>IF(Briefing_FID!AV5="","",Briefing_FID!AV5)</f>
        <v>20</v>
      </c>
      <c r="AW5" s="113">
        <f>IF(Briefing_FID!AW5="","",Briefing_FID!AW5)</f>
        <v>10000</v>
      </c>
      <c r="AX5" s="114" t="str">
        <f>IF(Briefing_FID!AX5="","",Briefing_FID!AX5)</f>
        <v>Campanha Restrita</v>
      </c>
      <c r="AY5" s="71"/>
      <c r="AZ5" s="117" t="str">
        <f>IF(Briefing_FID!AZ5="","",Briefing_FID!AZ5)</f>
        <v>Sim</v>
      </c>
      <c r="BA5" s="118" t="str">
        <f>IF(Briefing_FID!BA5="","",Briefing_FID!BA5)</f>
        <v>Não</v>
      </c>
      <c r="BB5" s="55"/>
      <c r="BC5" s="102" t="str">
        <f>IF(Briefing_FID!BC5="","",Briefing_FID!BC5)</f>
        <v>Oi Total Fixo +  TV 3</v>
      </c>
      <c r="BD5" s="27" t="str">
        <f>IF(Briefing_FID!BD5="","",Briefing_FID!BD5)</f>
        <v>PCS-2PHipi</v>
      </c>
      <c r="BE5" s="100">
        <f>IF(Briefing_FID!BE5="","",Briefing_FID!BE5)</f>
        <v>60</v>
      </c>
      <c r="BF5" s="3">
        <f>IF(Briefing_FID!BF5="","",Briefing_FID!BF5)</f>
        <v>0.2089</v>
      </c>
      <c r="BG5" s="10" t="str">
        <f>IF(Briefing_FID!BG5="","",Briefing_FID!BG5)</f>
        <v>Criar</v>
      </c>
      <c r="BH5" s="100" t="str">
        <f>IF(Briefing_FID!BH5="","",Briefing_FID!BH5)</f>
        <v/>
      </c>
      <c r="BI5" s="3" t="str">
        <f>IF(Briefing_FID!BI5="","",Briefing_FID!BI5)</f>
        <v/>
      </c>
      <c r="BJ5" s="10" t="str">
        <f>IF(Briefing_FID!BJ5="","",Briefing_FID!BJ5)</f>
        <v/>
      </c>
      <c r="BK5" s="100" t="str">
        <f>IF(Briefing_FID!BK5="","",Briefing_FID!BK5)</f>
        <v/>
      </c>
      <c r="BL5" s="3" t="str">
        <f>IF(Briefing_FID!BL5="","",Briefing_FID!BL5)</f>
        <v/>
      </c>
      <c r="BM5" s="28" t="str">
        <f>IF(Briefing_FID!BM5="","",Briefing_FID!BM5)</f>
        <v/>
      </c>
      <c r="BN5" s="100">
        <f>IF(Briefing_FID!BN5="","",Briefing_FID!BN5)</f>
        <v>124.9</v>
      </c>
      <c r="BO5" s="3">
        <f>IF(Briefing_FID!BO5="","",Briefing_FID!BO5)</f>
        <v>0.35159999999999997</v>
      </c>
      <c r="BP5" s="28" t="str">
        <f>IF(Briefing_FID!BP5="","",Briefing_FID!BP5)</f>
        <v>Criar</v>
      </c>
      <c r="BQ5" s="100">
        <f>IF(Briefing_FID!BQ5="","",Briefing_FID!BQ5)</f>
        <v>124.9</v>
      </c>
      <c r="BR5" s="3">
        <f>IF(Briefing_FID!BR5="","",Briefing_FID!BR5)</f>
        <v>0.38669999999999999</v>
      </c>
      <c r="BS5" s="28" t="str">
        <f>IF(Briefing_FID!BS5="","",Briefing_FID!BS5)</f>
        <v>Criar</v>
      </c>
      <c r="BT5" s="100">
        <f>IF(Briefing_FID!BT5="","",Briefing_FID!BT5)</f>
        <v>154.9</v>
      </c>
      <c r="BU5" s="3">
        <f>IF(Briefing_FID!BU5="","",Briefing_FID!BU5)</f>
        <v>0.25939999999999996</v>
      </c>
      <c r="BV5" s="28" t="str">
        <f>IF(Briefing_FID!BV5="","",Briefing_FID!BV5)</f>
        <v>Criar</v>
      </c>
      <c r="BW5" s="100" t="str">
        <f>IF(Briefing_FID!BW5="","",Briefing_FID!BW5)</f>
        <v/>
      </c>
      <c r="BX5" s="3" t="str">
        <f>IF(Briefing_FID!BX5="","",Briefing_FID!BX5)</f>
        <v/>
      </c>
      <c r="BY5" s="28" t="str">
        <f>IF(Briefing_FID!BY5="","",Briefing_FID!BY5)</f>
        <v/>
      </c>
      <c r="BZ5" s="100" t="str">
        <f>IF(Briefing_FID!BZ5="","",Briefing_FID!BZ5)</f>
        <v/>
      </c>
      <c r="CA5" s="3" t="str">
        <f>IF(Briefing_FID!CA5="","",Briefing_FID!CA5)</f>
        <v/>
      </c>
      <c r="CB5" s="28" t="str">
        <f>IF(Briefing_FID!CB5="","",Briefing_FID!CB5)</f>
        <v/>
      </c>
      <c r="CC5" s="100" t="str">
        <f>IF(Briefing_FID!CC5="","",Briefing_FID!CC5)</f>
        <v/>
      </c>
      <c r="CD5" s="3" t="str">
        <f>IF(Briefing_FID!CD5="","",Briefing_FID!CD5)</f>
        <v/>
      </c>
      <c r="CE5" s="28" t="str">
        <f>IF(Briefing_FID!CE5="","",Briefing_FID!CE5)</f>
        <v/>
      </c>
      <c r="CF5" s="100" t="str">
        <f>IF(Briefing_FID!CF5="","",Briefing_FID!CF5)</f>
        <v/>
      </c>
      <c r="CG5" s="3" t="str">
        <f>IF(Briefing_FID!CG5="","",Briefing_FID!CG5)</f>
        <v/>
      </c>
      <c r="CH5" s="28" t="str">
        <f>IF(Briefing_FID!CH5="","",Briefing_FID!CH5)</f>
        <v/>
      </c>
      <c r="CI5" s="100" t="str">
        <f>IF(Briefing_FID!CI5="","",Briefing_FID!CI5)</f>
        <v/>
      </c>
      <c r="CJ5" s="3" t="str">
        <f>IF(Briefing_FID!CJ5="","",Briefing_FID!CJ5)</f>
        <v/>
      </c>
      <c r="CK5" s="28" t="str">
        <f>IF(Briefing_FID!CK5="","",Briefing_FID!CK5)</f>
        <v/>
      </c>
      <c r="CL5" s="100">
        <f>IF(Briefing_FID!CL5="","",Briefing_FID!CL5)</f>
        <v>134.9</v>
      </c>
      <c r="CM5" s="3">
        <f>IF(Briefing_FID!CM5="","",Briefing_FID!CM5)</f>
        <v>0.33760000000000001</v>
      </c>
      <c r="CN5" s="28" t="str">
        <f>IF(Briefing_FID!CN5="","",Briefing_FID!CN5)</f>
        <v>Criar</v>
      </c>
      <c r="CO5" s="100">
        <f>IF(Briefing_FID!CO5="","",Briefing_FID!CO5)</f>
        <v>134.9</v>
      </c>
      <c r="CP5" s="3">
        <f>IF(Briefing_FID!CP5="","",Briefing_FID!CP5)</f>
        <v>0.37159999999999999</v>
      </c>
      <c r="CQ5" s="28" t="str">
        <f>IF(Briefing_FID!CQ5="","",Briefing_FID!CQ5)</f>
        <v>Criar</v>
      </c>
      <c r="CR5" s="100">
        <f>IF(Briefing_FID!CR5="","",Briefing_FID!CR5)</f>
        <v>164.9</v>
      </c>
      <c r="CS5" s="3">
        <f>IF(Briefing_FID!CS5="","",Briefing_FID!CS5)</f>
        <v>0.34870000000000001</v>
      </c>
      <c r="CT5" s="28" t="str">
        <f>IF(Briefing_FID!CT5="","",Briefing_FID!CT5)</f>
        <v>Criar</v>
      </c>
      <c r="CU5" s="100" t="str">
        <f>IF(Briefing_FID!CU5="","",Briefing_FID!CU5)</f>
        <v/>
      </c>
      <c r="CV5" s="3" t="str">
        <f>IF(Briefing_FID!CV5="","",Briefing_FID!CV5)</f>
        <v/>
      </c>
      <c r="CW5" s="28" t="str">
        <f>IF(Briefing_FID!CW5="","",Briefing_FID!CW5)</f>
        <v/>
      </c>
      <c r="CX5" s="100">
        <f>IF(Briefing_FID!CX5="","",Briefing_FID!CX5)</f>
        <v>154.9</v>
      </c>
      <c r="CY5" s="3">
        <f>IF(Briefing_FID!CY5="","",Briefing_FID!CY5)</f>
        <v>0.40129999999999999</v>
      </c>
      <c r="CZ5" s="28" t="str">
        <f>IF(Briefing_FID!CZ5="","",Briefing_FID!CZ5)</f>
        <v>Criar</v>
      </c>
      <c r="DA5" s="100">
        <f>IF(Briefing_FID!DA5="","",Briefing_FID!DA5)</f>
        <v>154.9</v>
      </c>
      <c r="DB5" s="3">
        <f>IF(Briefing_FID!DB5="","",Briefing_FID!DB5)</f>
        <v>0.42569999999999997</v>
      </c>
      <c r="DC5" s="28" t="str">
        <f>IF(Briefing_FID!DC5="","",Briefing_FID!DC5)</f>
        <v>Criar</v>
      </c>
      <c r="DD5" s="100">
        <f>IF(Briefing_FID!DD5="","",Briefing_FID!DD5)</f>
        <v>184.9</v>
      </c>
      <c r="DE5" s="3">
        <f>IF(Briefing_FID!DE5="","",Briefing_FID!DE5)</f>
        <v>0.4002</v>
      </c>
      <c r="DF5" s="28" t="str">
        <f>IF(Briefing_FID!DF5="","",Briefing_FID!DF5)</f>
        <v>Criar</v>
      </c>
      <c r="DG5" s="100">
        <f>IF(Briefing_FID!DG5="","",Briefing_FID!DG5)</f>
        <v>75</v>
      </c>
      <c r="DH5" s="3">
        <f>IF(Briefing_FID!DH5="","",Briefing_FID!DH5)</f>
        <v>0.31900000000000001</v>
      </c>
      <c r="DI5" s="28" t="str">
        <f>IF(Briefing_FID!DI5="","",Briefing_FID!DI5)</f>
        <v>Criar</v>
      </c>
      <c r="DJ5" s="100">
        <f>IF(Briefing_FID!DJ5="","",Briefing_FID!DJ5)</f>
        <v>19.899999999999999</v>
      </c>
      <c r="DK5" s="3">
        <f>IF(Briefing_FID!DK5="","",Briefing_FID!DK5)</f>
        <v>9.1800000000000007E-2</v>
      </c>
      <c r="DL5" s="28" t="str">
        <f>IF(Briefing_FID!DL5="","",Briefing_FID!DL5)</f>
        <v>Criar</v>
      </c>
      <c r="DM5" s="100">
        <f>IF(Briefing_FID!DM5="","",Briefing_FID!DM5)</f>
        <v>19.899999999999999</v>
      </c>
      <c r="DN5" s="3">
        <f>IF(Briefing_FID!DN5="","",Briefing_FID!DN5)</f>
        <v>9.1800000000000007E-2</v>
      </c>
      <c r="DO5" s="28" t="str">
        <f>IF(Briefing_FID!DO5="","",Briefing_FID!DO5)</f>
        <v>Criar</v>
      </c>
      <c r="DP5" s="100">
        <f>IF(Briefing_FID!DP5="","",Briefing_FID!DP5)</f>
        <v>29.9</v>
      </c>
      <c r="DQ5" s="3">
        <f>IF(Briefing_FID!DQ5="","",Briefing_FID!DQ5)</f>
        <v>9.1800000000000007E-2</v>
      </c>
      <c r="DR5" s="28" t="str">
        <f>IF(Briefing_FID!DR5="","",Briefing_FID!DR5)</f>
        <v>Criar</v>
      </c>
      <c r="DS5" s="100">
        <f>IF(Briefing_FID!DS5="","",Briefing_FID!DS5)</f>
        <v>14.9</v>
      </c>
      <c r="DT5" s="3">
        <f>IF(Briefing_FID!DT5="","",Briefing_FID!DT5)</f>
        <v>9.1499999999999998E-2</v>
      </c>
      <c r="DU5" s="28" t="str">
        <f>IF(Briefing_FID!DU5="","",Briefing_FID!DU5)</f>
        <v>Criar</v>
      </c>
      <c r="DV5" s="100">
        <f>IF(Briefing_FID!DV5="","",Briefing_FID!DV5)</f>
        <v>10</v>
      </c>
      <c r="DW5" s="3">
        <f>IF(Briefing_FID!DW5="","",Briefing_FID!DW5)</f>
        <v>9.1800000000000007E-2</v>
      </c>
      <c r="DX5" s="28" t="str">
        <f>IF(Briefing_FID!DX5="","",Briefing_FID!DX5)</f>
        <v>Criar</v>
      </c>
      <c r="DY5" s="100" t="str">
        <f>IF(Briefing_FID!DY5="","",Briefing_FID!DY5)</f>
        <v/>
      </c>
      <c r="DZ5" s="3" t="str">
        <f>IF(Briefing_FID!DZ5="","",Briefing_FID!DZ5)</f>
        <v/>
      </c>
      <c r="EA5" s="28" t="str">
        <f>IF(Briefing_FID!EA5="","",Briefing_FID!EA5)</f>
        <v/>
      </c>
      <c r="EB5" s="100" t="str">
        <f>IF(Briefing_FID!EB5="","",Briefing_FID!EB5)</f>
        <v/>
      </c>
      <c r="EC5" s="3" t="str">
        <f>IF(Briefing_FID!EC5="","",Briefing_FID!EC5)</f>
        <v/>
      </c>
      <c r="ED5" s="28" t="str">
        <f>IF(Briefing_FID!ED5="","",Briefing_FID!ED5)</f>
        <v/>
      </c>
      <c r="EE5" s="100" t="str">
        <f>IF(Briefing_FID!EE5="","",Briefing_FID!EE5)</f>
        <v/>
      </c>
      <c r="EF5" s="3" t="str">
        <f>IF(Briefing_FID!EF5="","",Briefing_FID!EF5)</f>
        <v/>
      </c>
      <c r="EG5" s="28" t="str">
        <f>IF(Briefing_FID!EG5="","",Briefing_FID!EG5)</f>
        <v/>
      </c>
      <c r="EH5" s="100" t="str">
        <f>IF(Briefing_FID!EH5="","",Briefing_FID!EH5)</f>
        <v/>
      </c>
      <c r="EI5" s="3" t="str">
        <f>IF(Briefing_FID!EI5="","",Briefing_FID!EI5)</f>
        <v/>
      </c>
      <c r="EJ5" s="28" t="str">
        <f>IF(Briefing_FID!EJ5="","",Briefing_FID!EJ5)</f>
        <v/>
      </c>
      <c r="EK5" s="100" t="str">
        <f>IF(Briefing_FID!EK5="","",Briefing_FID!EK5)</f>
        <v/>
      </c>
      <c r="EL5" s="3" t="str">
        <f>IF(Briefing_FID!EL5="","",Briefing_FID!EL5)</f>
        <v/>
      </c>
      <c r="EM5" s="28" t="str">
        <f>IF(Briefing_FID!EM5="","",Briefing_FID!EM5)</f>
        <v/>
      </c>
      <c r="EN5" s="100">
        <f>IF(Briefing_FID!EN5="","",Briefing_FID!EN5)</f>
        <v>24.9</v>
      </c>
      <c r="EO5" s="3">
        <f>IF(Briefing_FID!EO5="","",Briefing_FID!EO5)</f>
        <v>0.16729999999999998</v>
      </c>
      <c r="EP5" s="28" t="str">
        <f>IF(Briefing_FID!EP5="","",Briefing_FID!EP5)</f>
        <v>Criar</v>
      </c>
      <c r="EQ5" s="28" t="str">
        <f>IF(Briefing_FID!EQ5="","",Briefing_FID!EQ5)</f>
        <v/>
      </c>
      <c r="ER5" s="28" t="str">
        <f>IF(Briefing_FID!ER5="","",Briefing_FID!ER5)</f>
        <v/>
      </c>
      <c r="ES5" s="62"/>
      <c r="ET5" s="96" t="str">
        <f>IF(Briefing_FID!EZ5="","",Briefing_FID!EZ5)</f>
        <v>LD + VC Oi</v>
      </c>
      <c r="EU5" s="97" t="str">
        <f>IF(Briefing_FID!FA5="","",Briefing_FID!FA5)</f>
        <v>0T0T_FTV_MIN_LD_270000.</v>
      </c>
      <c r="EV5" s="98" t="str">
        <f>IF(Briefing_FID!FB5="","",Briefing_FID!FB5)</f>
        <v/>
      </c>
      <c r="EW5" s="96" t="str">
        <f>IF(Briefing_FID!FC5="","",Briefing_FID!FC5)</f>
        <v/>
      </c>
      <c r="EX5" s="97" t="str">
        <f>IF(Briefing_FID!FD5="","",Briefing_FID!FD5)</f>
        <v/>
      </c>
      <c r="EY5" s="98" t="str">
        <f>IF(Briefing_FID!FE5="","",Briefing_FID!FE5)</f>
        <v/>
      </c>
      <c r="EZ5" s="104" t="str">
        <f>IF(Briefing_FID!FF5="","",Briefing_FID!FF5)</f>
        <v/>
      </c>
      <c r="FA5" s="144" t="str">
        <f>IF(Briefing_FID!FG5="","",Briefing_FID!FG5)</f>
        <v/>
      </c>
      <c r="FB5" s="144" t="str">
        <f>IF(Briefing_FID!FH5="","",Briefing_FID!FH5)</f>
        <v/>
      </c>
      <c r="FC5" s="144">
        <f>IF(Briefing_FID!FI5="","",Briefing_FID!FI5)</f>
        <v>184.9</v>
      </c>
      <c r="FD5" s="144">
        <f>IF(Briefing_FID!FJ5="","",Briefing_FID!FJ5)</f>
        <v>184.9</v>
      </c>
      <c r="FE5" s="144">
        <f>IF(Briefing_FID!FK5="","",Briefing_FID!FK5)</f>
        <v>214.9</v>
      </c>
      <c r="FF5" s="144" t="str">
        <f>IF(Briefing_FID!FL5="","",Briefing_FID!FL5)</f>
        <v/>
      </c>
      <c r="FG5" s="144" t="str">
        <f>IF(Briefing_FID!FM5="","",Briefing_FID!FM5)</f>
        <v/>
      </c>
      <c r="FH5" s="144" t="str">
        <f>IF(Briefing_FID!FN5="","",Briefing_FID!FN5)</f>
        <v/>
      </c>
      <c r="FI5" s="144" t="str">
        <f>IF(Briefing_FID!FO5="","",Briefing_FID!FO5)</f>
        <v/>
      </c>
      <c r="FJ5" s="144" t="str">
        <f>IF(Briefing_FID!FP5="","",Briefing_FID!FP5)</f>
        <v/>
      </c>
      <c r="FK5" s="144">
        <f>IF(Briefing_FID!FQ5="","",Briefing_FID!FQ5)</f>
        <v>194.9</v>
      </c>
      <c r="FL5" s="144">
        <f>IF(Briefing_FID!FR5="","",Briefing_FID!FR5)</f>
        <v>194.9</v>
      </c>
      <c r="FM5" s="144">
        <f>IF(Briefing_FID!FS5="","",Briefing_FID!FS5)</f>
        <v>224.9</v>
      </c>
      <c r="FN5" s="144" t="str">
        <f>IF(Briefing_FID!FT5="","",Briefing_FID!FT5)</f>
        <v/>
      </c>
      <c r="FO5" s="144">
        <f>IF(Briefing_FID!FU5="","",Briefing_FID!FU5)</f>
        <v>214.9</v>
      </c>
      <c r="FP5" s="144">
        <f>IF(Briefing_FID!FV5="","",Briefing_FID!FV5)</f>
        <v>214.9</v>
      </c>
      <c r="FQ5" s="144">
        <f>IF(Briefing_FID!FW5="","",Briefing_FID!FW5)</f>
        <v>244.9</v>
      </c>
      <c r="FR5" s="148"/>
      <c r="FS5" s="149"/>
      <c r="FT5" s="149"/>
      <c r="FU5" s="149"/>
      <c r="FV5" s="149"/>
      <c r="FW5" s="149"/>
      <c r="FX5" s="149"/>
      <c r="FY5" s="149"/>
      <c r="FZ5" s="149"/>
      <c r="GA5" s="150"/>
    </row>
    <row r="6" spans="1:183">
      <c r="A6" s="136" t="str">
        <f>IF(Briefing_FID!A6="","",Briefing_FID!A6)</f>
        <v>Oi Total</v>
      </c>
      <c r="B6" s="137" t="str">
        <f>IF(Briefing_FID!B6="","",Briefing_FID!B6)</f>
        <v>Migração</v>
      </c>
      <c r="C6" s="137" t="str">
        <f>IF(Briefing_FID!C6="","",Briefing_FID!C6)</f>
        <v>Atuais</v>
      </c>
      <c r="D6" s="46"/>
      <c r="E6" s="120"/>
      <c r="F6" s="117"/>
      <c r="G6" s="117"/>
      <c r="H6" s="72"/>
      <c r="I6" s="72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25"/>
      <c r="AD6" s="117"/>
      <c r="AE6" s="117"/>
      <c r="AF6" s="117"/>
      <c r="AG6" s="117"/>
      <c r="AH6" s="117"/>
      <c r="AI6" s="117"/>
      <c r="AJ6" s="117"/>
      <c r="AK6" s="117"/>
      <c r="AL6" s="124"/>
      <c r="AM6" s="37"/>
      <c r="AN6" s="38"/>
      <c r="AO6" s="39"/>
      <c r="AP6" s="111">
        <f>IF(Briefing_FID!AP6="","",Briefing_FID!AP6)</f>
        <v>42917</v>
      </c>
      <c r="AQ6" s="112">
        <f>IF(Briefing_FID!AQ6="","",Briefing_FID!AQ6)</f>
        <v>43039</v>
      </c>
      <c r="AR6" s="107" t="str">
        <f>IF(Briefing_FID!AR6="","",Briefing_FID!AR6)</f>
        <v>20. Oi Total</v>
      </c>
      <c r="AS6" s="108" t="str">
        <f>IF(Briefing_FID!AS6="","",Briefing_FID!AS6)</f>
        <v>20. Oi Total</v>
      </c>
      <c r="AT6" s="113" t="str">
        <f>IF(Briefing_FID!AT6="","",Briefing_FID!AT6)</f>
        <v/>
      </c>
      <c r="AU6" s="113" t="str">
        <f>IF(Briefing_FID!AU6="","",Briefing_FID!AU6)</f>
        <v>Varejo</v>
      </c>
      <c r="AV6" s="113">
        <f>IF(Briefing_FID!AV6="","",Briefing_FID!AV6)</f>
        <v>20</v>
      </c>
      <c r="AW6" s="113">
        <f>IF(Briefing_FID!AW6="","",Briefing_FID!AW6)</f>
        <v>10000</v>
      </c>
      <c r="AX6" s="114" t="str">
        <f>IF(Briefing_FID!AX6="","",Briefing_FID!AX6)</f>
        <v>Campanha Restrita</v>
      </c>
      <c r="AY6" s="71"/>
      <c r="AZ6" s="117" t="str">
        <f>IF(Briefing_FID!AZ6="","",Briefing_FID!AZ6)</f>
        <v>Sim</v>
      </c>
      <c r="BA6" s="118" t="str">
        <f>IF(Briefing_FID!BA6="","",Briefing_FID!BA6)</f>
        <v>Não</v>
      </c>
      <c r="BB6" s="55"/>
      <c r="BC6" s="102" t="str">
        <f>IF(Briefing_FID!BC6="","",Briefing_FID!BC6)</f>
        <v>Oi Total Fixo +  TV 2</v>
      </c>
      <c r="BD6" s="27" t="str">
        <f>IF(Briefing_FID!BD6="","",Briefing_FID!BD6)</f>
        <v>PCS-2PMepi</v>
      </c>
      <c r="BE6" s="100">
        <f>IF(Briefing_FID!BE6="","",Briefing_FID!BE6)</f>
        <v>45</v>
      </c>
      <c r="BF6" s="3">
        <f>IF(Briefing_FID!BF6="","",Briefing_FID!BF6)</f>
        <v>0.40670000000000001</v>
      </c>
      <c r="BG6" s="10" t="str">
        <f>IF(Briefing_FID!BG6="","",Briefing_FID!BG6)</f>
        <v>Criar</v>
      </c>
      <c r="BH6" s="100" t="str">
        <f>IF(Briefing_FID!BH6="","",Briefing_FID!BH6)</f>
        <v/>
      </c>
      <c r="BI6" s="3" t="str">
        <f>IF(Briefing_FID!BI6="","",Briefing_FID!BI6)</f>
        <v/>
      </c>
      <c r="BJ6" s="10" t="str">
        <f>IF(Briefing_FID!BJ6="","",Briefing_FID!BJ6)</f>
        <v/>
      </c>
      <c r="BK6" s="100">
        <f>IF(Briefing_FID!BK6="","",Briefing_FID!BK6)</f>
        <v>89.9</v>
      </c>
      <c r="BL6" s="3">
        <f>IF(Briefing_FID!BL6="","",Briefing_FID!BL6)</f>
        <v>0.25729999999999997</v>
      </c>
      <c r="BM6" s="28" t="str">
        <f>IF(Briefing_FID!BM6="","",Briefing_FID!BM6)</f>
        <v>Criar</v>
      </c>
      <c r="BN6" s="100" t="str">
        <f>IF(Briefing_FID!BN6="","",Briefing_FID!BN6)</f>
        <v/>
      </c>
      <c r="BO6" s="3" t="str">
        <f>IF(Briefing_FID!BO6="","",Briefing_FID!BO6)</f>
        <v/>
      </c>
      <c r="BP6" s="28" t="str">
        <f>IF(Briefing_FID!BP6="","",Briefing_FID!BP6)</f>
        <v/>
      </c>
      <c r="BQ6" s="100" t="str">
        <f>IF(Briefing_FID!BQ6="","",Briefing_FID!BQ6)</f>
        <v/>
      </c>
      <c r="BR6" s="3" t="str">
        <f>IF(Briefing_FID!BR6="","",Briefing_FID!BR6)</f>
        <v/>
      </c>
      <c r="BS6" s="28" t="str">
        <f>IF(Briefing_FID!BS6="","",Briefing_FID!BS6)</f>
        <v/>
      </c>
      <c r="BT6" s="100" t="str">
        <f>IF(Briefing_FID!BT6="","",Briefing_FID!BT6)</f>
        <v/>
      </c>
      <c r="BU6" s="3" t="str">
        <f>IF(Briefing_FID!BU6="","",Briefing_FID!BU6)</f>
        <v/>
      </c>
      <c r="BV6" s="28" t="str">
        <f>IF(Briefing_FID!BV6="","",Briefing_FID!BV6)</f>
        <v/>
      </c>
      <c r="BW6" s="100" t="str">
        <f>IF(Briefing_FID!BW6="","",Briefing_FID!BW6)</f>
        <v/>
      </c>
      <c r="BX6" s="3" t="str">
        <f>IF(Briefing_FID!BX6="","",Briefing_FID!BX6)</f>
        <v/>
      </c>
      <c r="BY6" s="28" t="str">
        <f>IF(Briefing_FID!BY6="","",Briefing_FID!BY6)</f>
        <v/>
      </c>
      <c r="BZ6" s="100" t="str">
        <f>IF(Briefing_FID!BZ6="","",Briefing_FID!BZ6)</f>
        <v/>
      </c>
      <c r="CA6" s="3" t="str">
        <f>IF(Briefing_FID!CA6="","",Briefing_FID!CA6)</f>
        <v/>
      </c>
      <c r="CB6" s="28" t="str">
        <f>IF(Briefing_FID!CB6="","",Briefing_FID!CB6)</f>
        <v/>
      </c>
      <c r="CC6" s="100" t="str">
        <f>IF(Briefing_FID!CC6="","",Briefing_FID!CC6)</f>
        <v/>
      </c>
      <c r="CD6" s="3" t="str">
        <f>IF(Briefing_FID!CD6="","",Briefing_FID!CD6)</f>
        <v/>
      </c>
      <c r="CE6" s="28" t="str">
        <f>IF(Briefing_FID!CE6="","",Briefing_FID!CE6)</f>
        <v/>
      </c>
      <c r="CF6" s="100" t="str">
        <f>IF(Briefing_FID!CF6="","",Briefing_FID!CF6)</f>
        <v/>
      </c>
      <c r="CG6" s="3" t="str">
        <f>IF(Briefing_FID!CG6="","",Briefing_FID!CG6)</f>
        <v/>
      </c>
      <c r="CH6" s="28" t="str">
        <f>IF(Briefing_FID!CH6="","",Briefing_FID!CH6)</f>
        <v/>
      </c>
      <c r="CI6" s="100">
        <f>IF(Briefing_FID!CI6="","",Briefing_FID!CI6)</f>
        <v>99.9</v>
      </c>
      <c r="CJ6" s="3">
        <f>IF(Briefing_FID!CJ6="","",Briefing_FID!CJ6)</f>
        <v>0.39489999999999997</v>
      </c>
      <c r="CK6" s="28" t="str">
        <f>IF(Briefing_FID!CK6="","",Briefing_FID!CK6)</f>
        <v>Criar</v>
      </c>
      <c r="CL6" s="100" t="str">
        <f>IF(Briefing_FID!CL6="","",Briefing_FID!CL6)</f>
        <v/>
      </c>
      <c r="CM6" s="3" t="str">
        <f>IF(Briefing_FID!CM6="","",Briefing_FID!CM6)</f>
        <v/>
      </c>
      <c r="CN6" s="28" t="str">
        <f>IF(Briefing_FID!CN6="","",Briefing_FID!CN6)</f>
        <v/>
      </c>
      <c r="CO6" s="100" t="str">
        <f>IF(Briefing_FID!CO6="","",Briefing_FID!CO6)</f>
        <v/>
      </c>
      <c r="CP6" s="3" t="str">
        <f>IF(Briefing_FID!CP6="","",Briefing_FID!CP6)</f>
        <v/>
      </c>
      <c r="CQ6" s="28" t="str">
        <f>IF(Briefing_FID!CQ6="","",Briefing_FID!CQ6)</f>
        <v/>
      </c>
      <c r="CR6" s="100" t="str">
        <f>IF(Briefing_FID!CR6="","",Briefing_FID!CR6)</f>
        <v/>
      </c>
      <c r="CS6" s="3" t="str">
        <f>IF(Briefing_FID!CS6="","",Briefing_FID!CS6)</f>
        <v/>
      </c>
      <c r="CT6" s="28" t="str">
        <f>IF(Briefing_FID!CT6="","",Briefing_FID!CT6)</f>
        <v/>
      </c>
      <c r="CU6" s="100">
        <f>IF(Briefing_FID!CU6="","",Briefing_FID!CU6)</f>
        <v>119.9</v>
      </c>
      <c r="CV6" s="3">
        <f>IF(Briefing_FID!CV6="","",Briefing_FID!CV6)</f>
        <v>0.45539999999999997</v>
      </c>
      <c r="CW6" s="28" t="str">
        <f>IF(Briefing_FID!CW6="","",Briefing_FID!CW6)</f>
        <v>Criar</v>
      </c>
      <c r="CX6" s="100" t="str">
        <f>IF(Briefing_FID!CX6="","",Briefing_FID!CX6)</f>
        <v/>
      </c>
      <c r="CY6" s="3" t="str">
        <f>IF(Briefing_FID!CY6="","",Briefing_FID!CY6)</f>
        <v/>
      </c>
      <c r="CZ6" s="28" t="str">
        <f>IF(Briefing_FID!CZ6="","",Briefing_FID!CZ6)</f>
        <v/>
      </c>
      <c r="DA6" s="100" t="str">
        <f>IF(Briefing_FID!DA6="","",Briefing_FID!DA6)</f>
        <v/>
      </c>
      <c r="DB6" s="3" t="str">
        <f>IF(Briefing_FID!DB6="","",Briefing_FID!DB6)</f>
        <v/>
      </c>
      <c r="DC6" s="28" t="str">
        <f>IF(Briefing_FID!DC6="","",Briefing_FID!DC6)</f>
        <v/>
      </c>
      <c r="DD6" s="100" t="str">
        <f>IF(Briefing_FID!DD6="","",Briefing_FID!DD6)</f>
        <v/>
      </c>
      <c r="DE6" s="3" t="str">
        <f>IF(Briefing_FID!DE6="","",Briefing_FID!DE6)</f>
        <v/>
      </c>
      <c r="DF6" s="28" t="str">
        <f>IF(Briefing_FID!DF6="","",Briefing_FID!DF6)</f>
        <v/>
      </c>
      <c r="DG6" s="100">
        <f>IF(Briefing_FID!DG6="","",Briefing_FID!DG6)</f>
        <v>75</v>
      </c>
      <c r="DH6" s="3">
        <f>IF(Briefing_FID!DH6="","",Briefing_FID!DH6)</f>
        <v>0.31900000000000001</v>
      </c>
      <c r="DI6" s="28" t="str">
        <f>IF(Briefing_FID!DI6="","",Briefing_FID!DI6)</f>
        <v>Criar</v>
      </c>
      <c r="DJ6" s="100">
        <f>IF(Briefing_FID!DJ6="","",Briefing_FID!DJ6)</f>
        <v>19.899999999999999</v>
      </c>
      <c r="DK6" s="3">
        <f>IF(Briefing_FID!DK6="","",Briefing_FID!DK6)</f>
        <v>9.1800000000000007E-2</v>
      </c>
      <c r="DL6" s="28" t="str">
        <f>IF(Briefing_FID!DL6="","",Briefing_FID!DL6)</f>
        <v>Criar</v>
      </c>
      <c r="DM6" s="100">
        <f>IF(Briefing_FID!DM6="","",Briefing_FID!DM6)</f>
        <v>19.899999999999999</v>
      </c>
      <c r="DN6" s="3">
        <f>IF(Briefing_FID!DN6="","",Briefing_FID!DN6)</f>
        <v>9.1800000000000007E-2</v>
      </c>
      <c r="DO6" s="28" t="str">
        <f>IF(Briefing_FID!DO6="","",Briefing_FID!DO6)</f>
        <v>Criar</v>
      </c>
      <c r="DP6" s="100">
        <f>IF(Briefing_FID!DP6="","",Briefing_FID!DP6)</f>
        <v>29.9</v>
      </c>
      <c r="DQ6" s="3">
        <f>IF(Briefing_FID!DQ6="","",Briefing_FID!DQ6)</f>
        <v>9.1800000000000007E-2</v>
      </c>
      <c r="DR6" s="28" t="str">
        <f>IF(Briefing_FID!DR6="","",Briefing_FID!DR6)</f>
        <v>Criar</v>
      </c>
      <c r="DS6" s="100">
        <f>IF(Briefing_FID!DS6="","",Briefing_FID!DS6)</f>
        <v>14.9</v>
      </c>
      <c r="DT6" s="3">
        <f>IF(Briefing_FID!DT6="","",Briefing_FID!DT6)</f>
        <v>9.1499999999999998E-2</v>
      </c>
      <c r="DU6" s="28" t="str">
        <f>IF(Briefing_FID!DU6="","",Briefing_FID!DU6)</f>
        <v>Criar</v>
      </c>
      <c r="DV6" s="100">
        <f>IF(Briefing_FID!DV6="","",Briefing_FID!DV6)</f>
        <v>10</v>
      </c>
      <c r="DW6" s="3">
        <f>IF(Briefing_FID!DW6="","",Briefing_FID!DW6)</f>
        <v>9.1800000000000007E-2</v>
      </c>
      <c r="DX6" s="28" t="str">
        <f>IF(Briefing_FID!DX6="","",Briefing_FID!DX6)</f>
        <v>Criar</v>
      </c>
      <c r="DY6" s="100" t="str">
        <f>IF(Briefing_FID!DY6="","",Briefing_FID!DY6)</f>
        <v/>
      </c>
      <c r="DZ6" s="3" t="str">
        <f>IF(Briefing_FID!DZ6="","",Briefing_FID!DZ6)</f>
        <v/>
      </c>
      <c r="EA6" s="28" t="str">
        <f>IF(Briefing_FID!EA6="","",Briefing_FID!EA6)</f>
        <v/>
      </c>
      <c r="EB6" s="100" t="str">
        <f>IF(Briefing_FID!EB6="","",Briefing_FID!EB6)</f>
        <v/>
      </c>
      <c r="EC6" s="3" t="str">
        <f>IF(Briefing_FID!EC6="","",Briefing_FID!EC6)</f>
        <v/>
      </c>
      <c r="ED6" s="28" t="str">
        <f>IF(Briefing_FID!ED6="","",Briefing_FID!ED6)</f>
        <v/>
      </c>
      <c r="EE6" s="100" t="str">
        <f>IF(Briefing_FID!EE6="","",Briefing_FID!EE6)</f>
        <v/>
      </c>
      <c r="EF6" s="3" t="str">
        <f>IF(Briefing_FID!EF6="","",Briefing_FID!EF6)</f>
        <v/>
      </c>
      <c r="EG6" s="28" t="str">
        <f>IF(Briefing_FID!EG6="","",Briefing_FID!EG6)</f>
        <v/>
      </c>
      <c r="EH6" s="100" t="str">
        <f>IF(Briefing_FID!EH6="","",Briefing_FID!EH6)</f>
        <v/>
      </c>
      <c r="EI6" s="3" t="str">
        <f>IF(Briefing_FID!EI6="","",Briefing_FID!EI6)</f>
        <v/>
      </c>
      <c r="EJ6" s="28" t="str">
        <f>IF(Briefing_FID!EJ6="","",Briefing_FID!EJ6)</f>
        <v/>
      </c>
      <c r="EK6" s="100" t="str">
        <f>IF(Briefing_FID!EK6="","",Briefing_FID!EK6)</f>
        <v/>
      </c>
      <c r="EL6" s="3" t="str">
        <f>IF(Briefing_FID!EL6="","",Briefing_FID!EL6)</f>
        <v/>
      </c>
      <c r="EM6" s="28" t="str">
        <f>IF(Briefing_FID!EM6="","",Briefing_FID!EM6)</f>
        <v/>
      </c>
      <c r="EN6" s="100">
        <f>IF(Briefing_FID!EN6="","",Briefing_FID!EN6)</f>
        <v>24.9</v>
      </c>
      <c r="EO6" s="3">
        <f>IF(Briefing_FID!EO6="","",Briefing_FID!EO6)</f>
        <v>0.16729999999999998</v>
      </c>
      <c r="EP6" s="28" t="str">
        <f>IF(Briefing_FID!EP6="","",Briefing_FID!EP6)</f>
        <v>Criar</v>
      </c>
      <c r="EQ6" s="28" t="str">
        <f>IF(Briefing_FID!EQ6="","",Briefing_FID!EQ6)</f>
        <v/>
      </c>
      <c r="ER6" s="28" t="str">
        <f>IF(Briefing_FID!ER6="","",Briefing_FID!ER6)</f>
        <v/>
      </c>
      <c r="ES6" s="62"/>
      <c r="ET6" s="96" t="str">
        <f>IF(Briefing_FID!EZ6="","",Briefing_FID!EZ6)</f>
        <v>LD + VC Oi</v>
      </c>
      <c r="EU6" s="97" t="str">
        <f>IF(Briefing_FID!FA6="","",Briefing_FID!FA6)</f>
        <v>0T0T_FTV_MIN_LD_270000.</v>
      </c>
      <c r="EV6" s="98" t="str">
        <f>IF(Briefing_FID!FB6="","",Briefing_FID!FB6)</f>
        <v/>
      </c>
      <c r="EW6" s="96" t="str">
        <f>IF(Briefing_FID!FC6="","",Briefing_FID!FC6)</f>
        <v/>
      </c>
      <c r="EX6" s="97" t="str">
        <f>IF(Briefing_FID!FD6="","",Briefing_FID!FD6)</f>
        <v/>
      </c>
      <c r="EY6" s="98" t="str">
        <f>IF(Briefing_FID!FE6="","",Briefing_FID!FE6)</f>
        <v/>
      </c>
      <c r="EZ6" s="104" t="str">
        <f>IF(Briefing_FID!FF6="","",Briefing_FID!FF6)</f>
        <v/>
      </c>
      <c r="FA6" s="144" t="str">
        <f>IF(Briefing_FID!FG6="","",Briefing_FID!FG6)</f>
        <v/>
      </c>
      <c r="FB6" s="144">
        <f>IF(Briefing_FID!FH6="","",Briefing_FID!FH6)</f>
        <v>134.9</v>
      </c>
      <c r="FC6" s="144" t="str">
        <f>IF(Briefing_FID!FI6="","",Briefing_FID!FI6)</f>
        <v/>
      </c>
      <c r="FD6" s="144" t="str">
        <f>IF(Briefing_FID!FJ6="","",Briefing_FID!FJ6)</f>
        <v/>
      </c>
      <c r="FE6" s="144" t="str">
        <f>IF(Briefing_FID!FK6="","",Briefing_FID!FK6)</f>
        <v/>
      </c>
      <c r="FF6" s="144" t="str">
        <f>IF(Briefing_FID!FL6="","",Briefing_FID!FL6)</f>
        <v/>
      </c>
      <c r="FG6" s="144" t="str">
        <f>IF(Briefing_FID!FM6="","",Briefing_FID!FM6)</f>
        <v/>
      </c>
      <c r="FH6" s="144" t="str">
        <f>IF(Briefing_FID!FN6="","",Briefing_FID!FN6)</f>
        <v/>
      </c>
      <c r="FI6" s="144" t="str">
        <f>IF(Briefing_FID!FO6="","",Briefing_FID!FO6)</f>
        <v/>
      </c>
      <c r="FJ6" s="144">
        <f>IF(Briefing_FID!FP6="","",Briefing_FID!FP6)</f>
        <v>144.9</v>
      </c>
      <c r="FK6" s="144" t="str">
        <f>IF(Briefing_FID!FQ6="","",Briefing_FID!FQ6)</f>
        <v/>
      </c>
      <c r="FL6" s="144" t="str">
        <f>IF(Briefing_FID!FR6="","",Briefing_FID!FR6)</f>
        <v/>
      </c>
      <c r="FM6" s="144" t="str">
        <f>IF(Briefing_FID!FS6="","",Briefing_FID!FS6)</f>
        <v/>
      </c>
      <c r="FN6" s="144">
        <f>IF(Briefing_FID!FT6="","",Briefing_FID!FT6)</f>
        <v>164.9</v>
      </c>
      <c r="FO6" s="144" t="str">
        <f>IF(Briefing_FID!FU6="","",Briefing_FID!FU6)</f>
        <v/>
      </c>
      <c r="FP6" s="144" t="str">
        <f>IF(Briefing_FID!FV6="","",Briefing_FID!FV6)</f>
        <v/>
      </c>
      <c r="FQ6" s="144" t="str">
        <f>IF(Briefing_FID!FW6="","",Briefing_FID!FW6)</f>
        <v/>
      </c>
      <c r="FR6" s="148"/>
      <c r="FS6" s="149"/>
      <c r="FT6" s="149"/>
      <c r="FU6" s="149"/>
      <c r="FV6" s="149"/>
      <c r="FW6" s="149"/>
      <c r="FX6" s="149"/>
      <c r="FY6" s="149"/>
      <c r="FZ6" s="149"/>
      <c r="GA6" s="150"/>
    </row>
    <row r="7" spans="1:183">
      <c r="A7" s="136" t="str">
        <f>IF(Briefing_FID!A7="","",Briefing_FID!A7)</f>
        <v>Oi Total</v>
      </c>
      <c r="B7" s="137" t="str">
        <f>IF(Briefing_FID!B7="","",Briefing_FID!B7)</f>
        <v>Migração</v>
      </c>
      <c r="C7" s="137" t="str">
        <f>IF(Briefing_FID!C7="","",Briefing_FID!C7)</f>
        <v>Atuais</v>
      </c>
      <c r="D7" s="46"/>
      <c r="E7" s="120"/>
      <c r="F7" s="117"/>
      <c r="G7" s="117"/>
      <c r="H7" s="72"/>
      <c r="I7" s="72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25"/>
      <c r="AD7" s="117"/>
      <c r="AE7" s="117"/>
      <c r="AF7" s="117"/>
      <c r="AG7" s="117"/>
      <c r="AH7" s="117"/>
      <c r="AI7" s="117"/>
      <c r="AJ7" s="117"/>
      <c r="AK7" s="117"/>
      <c r="AL7" s="124"/>
      <c r="AM7" s="37"/>
      <c r="AN7" s="38"/>
      <c r="AO7" s="39"/>
      <c r="AP7" s="111">
        <f>IF(Briefing_FID!AP7="","",Briefing_FID!AP7)</f>
        <v>42917</v>
      </c>
      <c r="AQ7" s="112">
        <f>IF(Briefing_FID!AQ7="","",Briefing_FID!AQ7)</f>
        <v>43039</v>
      </c>
      <c r="AR7" s="107" t="str">
        <f>IF(Briefing_FID!AR7="","",Briefing_FID!AR7)</f>
        <v>20. Oi Total</v>
      </c>
      <c r="AS7" s="108" t="str">
        <f>IF(Briefing_FID!AS7="","",Briefing_FID!AS7)</f>
        <v>20. Oi Total</v>
      </c>
      <c r="AT7" s="113" t="str">
        <f>IF(Briefing_FID!AT7="","",Briefing_FID!AT7)</f>
        <v/>
      </c>
      <c r="AU7" s="113" t="str">
        <f>IF(Briefing_FID!AU7="","",Briefing_FID!AU7)</f>
        <v>Varejo</v>
      </c>
      <c r="AV7" s="113">
        <f>IF(Briefing_FID!AV7="","",Briefing_FID!AV7)</f>
        <v>20</v>
      </c>
      <c r="AW7" s="113">
        <f>IF(Briefing_FID!AW7="","",Briefing_FID!AW7)</f>
        <v>10000</v>
      </c>
      <c r="AX7" s="114" t="str">
        <f>IF(Briefing_FID!AX7="","",Briefing_FID!AX7)</f>
        <v>Campanha Restrita</v>
      </c>
      <c r="AY7" s="71"/>
      <c r="AZ7" s="117" t="str">
        <f>IF(Briefing_FID!AZ7="","",Briefing_FID!AZ7)</f>
        <v>Sim</v>
      </c>
      <c r="BA7" s="118" t="str">
        <f>IF(Briefing_FID!BA7="","",Briefing_FID!BA7)</f>
        <v>Não</v>
      </c>
      <c r="BB7" s="55"/>
      <c r="BC7" s="102" t="str">
        <f>IF(Briefing_FID!BC7="","",Briefing_FID!BC7)</f>
        <v>Oi Total Fixo +  TV 3</v>
      </c>
      <c r="BD7" s="27" t="str">
        <f>IF(Briefing_FID!BD7="","",Briefing_FID!BD7)</f>
        <v>PCS-2PHipi</v>
      </c>
      <c r="BE7" s="100">
        <f>IF(Briefing_FID!BE7="","",Briefing_FID!BE7)</f>
        <v>45</v>
      </c>
      <c r="BF7" s="3">
        <f>IF(Briefing_FID!BF7="","",Briefing_FID!BF7)</f>
        <v>0.40670000000000001</v>
      </c>
      <c r="BG7" s="10" t="str">
        <f>IF(Briefing_FID!BG7="","",Briefing_FID!BG7)</f>
        <v>Criar</v>
      </c>
      <c r="BH7" s="100" t="str">
        <f>IF(Briefing_FID!BH7="","",Briefing_FID!BH7)</f>
        <v/>
      </c>
      <c r="BI7" s="3" t="str">
        <f>IF(Briefing_FID!BI7="","",Briefing_FID!BI7)</f>
        <v/>
      </c>
      <c r="BJ7" s="10" t="str">
        <f>IF(Briefing_FID!BJ7="","",Briefing_FID!BJ7)</f>
        <v/>
      </c>
      <c r="BK7" s="100" t="str">
        <f>IF(Briefing_FID!BK7="","",Briefing_FID!BK7)</f>
        <v/>
      </c>
      <c r="BL7" s="3" t="str">
        <f>IF(Briefing_FID!BL7="","",Briefing_FID!BL7)</f>
        <v/>
      </c>
      <c r="BM7" s="28" t="str">
        <f>IF(Briefing_FID!BM7="","",Briefing_FID!BM7)</f>
        <v/>
      </c>
      <c r="BN7" s="100">
        <f>IF(Briefing_FID!BN7="","",Briefing_FID!BN7)</f>
        <v>119.9</v>
      </c>
      <c r="BO7" s="3">
        <f>IF(Briefing_FID!BO7="","",Briefing_FID!BO7)</f>
        <v>0.3775</v>
      </c>
      <c r="BP7" s="28" t="str">
        <f>IF(Briefing_FID!BP7="","",Briefing_FID!BP7)</f>
        <v>Criar</v>
      </c>
      <c r="BQ7" s="100">
        <f>IF(Briefing_FID!BQ7="","",Briefing_FID!BQ7)</f>
        <v>119.9</v>
      </c>
      <c r="BR7" s="3">
        <f>IF(Briefing_FID!BR7="","",Briefing_FID!BR7)</f>
        <v>0.41120000000000001</v>
      </c>
      <c r="BS7" s="28" t="str">
        <f>IF(Briefing_FID!BS7="","",Briefing_FID!BS7)</f>
        <v>Criar</v>
      </c>
      <c r="BT7" s="100">
        <f>IF(Briefing_FID!BT7="","",Briefing_FID!BT7)</f>
        <v>149.9</v>
      </c>
      <c r="BU7" s="3">
        <f>IF(Briefing_FID!BU7="","",Briefing_FID!BU7)</f>
        <v>0.2833</v>
      </c>
      <c r="BV7" s="28" t="str">
        <f>IF(Briefing_FID!BV7="","",Briefing_FID!BV7)</f>
        <v>Criar</v>
      </c>
      <c r="BW7" s="100" t="str">
        <f>IF(Briefing_FID!BW7="","",Briefing_FID!BW7)</f>
        <v/>
      </c>
      <c r="BX7" s="3" t="str">
        <f>IF(Briefing_FID!BX7="","",Briefing_FID!BX7)</f>
        <v/>
      </c>
      <c r="BY7" s="28" t="str">
        <f>IF(Briefing_FID!BY7="","",Briefing_FID!BY7)</f>
        <v/>
      </c>
      <c r="BZ7" s="100" t="str">
        <f>IF(Briefing_FID!BZ7="","",Briefing_FID!BZ7)</f>
        <v/>
      </c>
      <c r="CA7" s="3" t="str">
        <f>IF(Briefing_FID!CA7="","",Briefing_FID!CA7)</f>
        <v/>
      </c>
      <c r="CB7" s="28" t="str">
        <f>IF(Briefing_FID!CB7="","",Briefing_FID!CB7)</f>
        <v/>
      </c>
      <c r="CC7" s="100" t="str">
        <f>IF(Briefing_FID!CC7="","",Briefing_FID!CC7)</f>
        <v/>
      </c>
      <c r="CD7" s="3" t="str">
        <f>IF(Briefing_FID!CD7="","",Briefing_FID!CD7)</f>
        <v/>
      </c>
      <c r="CE7" s="28" t="str">
        <f>IF(Briefing_FID!CE7="","",Briefing_FID!CE7)</f>
        <v/>
      </c>
      <c r="CF7" s="100" t="str">
        <f>IF(Briefing_FID!CF7="","",Briefing_FID!CF7)</f>
        <v/>
      </c>
      <c r="CG7" s="3" t="str">
        <f>IF(Briefing_FID!CG7="","",Briefing_FID!CG7)</f>
        <v/>
      </c>
      <c r="CH7" s="28" t="str">
        <f>IF(Briefing_FID!CH7="","",Briefing_FID!CH7)</f>
        <v/>
      </c>
      <c r="CI7" s="100" t="str">
        <f>IF(Briefing_FID!CI7="","",Briefing_FID!CI7)</f>
        <v/>
      </c>
      <c r="CJ7" s="3" t="str">
        <f>IF(Briefing_FID!CJ7="","",Briefing_FID!CJ7)</f>
        <v/>
      </c>
      <c r="CK7" s="28" t="str">
        <f>IF(Briefing_FID!CK7="","",Briefing_FID!CK7)</f>
        <v/>
      </c>
      <c r="CL7" s="100">
        <f>IF(Briefing_FID!CL7="","",Briefing_FID!CL7)</f>
        <v>129.9</v>
      </c>
      <c r="CM7" s="3">
        <f>IF(Briefing_FID!CM7="","",Briefing_FID!CM7)</f>
        <v>0.36209999999999998</v>
      </c>
      <c r="CN7" s="28" t="str">
        <f>IF(Briefing_FID!CN7="","",Briefing_FID!CN7)</f>
        <v>Criar</v>
      </c>
      <c r="CO7" s="100">
        <f>IF(Briefing_FID!CO7="","",Briefing_FID!CO7)</f>
        <v>129.9</v>
      </c>
      <c r="CP7" s="3">
        <f>IF(Briefing_FID!CP7="","",Briefing_FID!CP7)</f>
        <v>0.39489999999999997</v>
      </c>
      <c r="CQ7" s="28" t="str">
        <f>IF(Briefing_FID!CQ7="","",Briefing_FID!CQ7)</f>
        <v>Criar</v>
      </c>
      <c r="CR7" s="100">
        <f>IF(Briefing_FID!CR7="","",Briefing_FID!CR7)</f>
        <v>159.9</v>
      </c>
      <c r="CS7" s="3">
        <f>IF(Briefing_FID!CS7="","",Briefing_FID!CS7)</f>
        <v>0.36849999999999999</v>
      </c>
      <c r="CT7" s="28" t="str">
        <f>IF(Briefing_FID!CT7="","",Briefing_FID!CT7)</f>
        <v>Criar</v>
      </c>
      <c r="CU7" s="100" t="str">
        <f>IF(Briefing_FID!CU7="","",Briefing_FID!CU7)</f>
        <v/>
      </c>
      <c r="CV7" s="3" t="str">
        <f>IF(Briefing_FID!CV7="","",Briefing_FID!CV7)</f>
        <v/>
      </c>
      <c r="CW7" s="28" t="str">
        <f>IF(Briefing_FID!CW7="","",Briefing_FID!CW7)</f>
        <v/>
      </c>
      <c r="CX7" s="100" t="str">
        <f>IF(Briefing_FID!CX7="","",Briefing_FID!CX7)</f>
        <v/>
      </c>
      <c r="CY7" s="3" t="str">
        <f>IF(Briefing_FID!CY7="","",Briefing_FID!CY7)</f>
        <v/>
      </c>
      <c r="CZ7" s="28" t="str">
        <f>IF(Briefing_FID!CZ7="","",Briefing_FID!CZ7)</f>
        <v/>
      </c>
      <c r="DA7" s="100" t="str">
        <f>IF(Briefing_FID!DA7="","",Briefing_FID!DA7)</f>
        <v/>
      </c>
      <c r="DB7" s="3" t="str">
        <f>IF(Briefing_FID!DB7="","",Briefing_FID!DB7)</f>
        <v/>
      </c>
      <c r="DC7" s="28" t="str">
        <f>IF(Briefing_FID!DC7="","",Briefing_FID!DC7)</f>
        <v/>
      </c>
      <c r="DD7" s="100" t="str">
        <f>IF(Briefing_FID!DD7="","",Briefing_FID!DD7)</f>
        <v/>
      </c>
      <c r="DE7" s="3" t="str">
        <f>IF(Briefing_FID!DE7="","",Briefing_FID!DE7)</f>
        <v/>
      </c>
      <c r="DF7" s="28" t="str">
        <f>IF(Briefing_FID!DF7="","",Briefing_FID!DF7)</f>
        <v/>
      </c>
      <c r="DG7" s="100">
        <f>IF(Briefing_FID!DG7="","",Briefing_FID!DG7)</f>
        <v>75</v>
      </c>
      <c r="DH7" s="3">
        <f>IF(Briefing_FID!DH7="","",Briefing_FID!DH7)</f>
        <v>0.31900000000000001</v>
      </c>
      <c r="DI7" s="28" t="str">
        <f>IF(Briefing_FID!DI7="","",Briefing_FID!DI7)</f>
        <v>Criar</v>
      </c>
      <c r="DJ7" s="100">
        <f>IF(Briefing_FID!DJ7="","",Briefing_FID!DJ7)</f>
        <v>19.899999999999999</v>
      </c>
      <c r="DK7" s="3">
        <f>IF(Briefing_FID!DK7="","",Briefing_FID!DK7)</f>
        <v>9.1800000000000007E-2</v>
      </c>
      <c r="DL7" s="28" t="str">
        <f>IF(Briefing_FID!DL7="","",Briefing_FID!DL7)</f>
        <v>Criar</v>
      </c>
      <c r="DM7" s="100">
        <f>IF(Briefing_FID!DM7="","",Briefing_FID!DM7)</f>
        <v>19.899999999999999</v>
      </c>
      <c r="DN7" s="3">
        <f>IF(Briefing_FID!DN7="","",Briefing_FID!DN7)</f>
        <v>9.1800000000000007E-2</v>
      </c>
      <c r="DO7" s="28" t="str">
        <f>IF(Briefing_FID!DO7="","",Briefing_FID!DO7)</f>
        <v>Criar</v>
      </c>
      <c r="DP7" s="100">
        <f>IF(Briefing_FID!DP7="","",Briefing_FID!DP7)</f>
        <v>29.9</v>
      </c>
      <c r="DQ7" s="3">
        <f>IF(Briefing_FID!DQ7="","",Briefing_FID!DQ7)</f>
        <v>9.1800000000000007E-2</v>
      </c>
      <c r="DR7" s="28" t="str">
        <f>IF(Briefing_FID!DR7="","",Briefing_FID!DR7)</f>
        <v>Criar</v>
      </c>
      <c r="DS7" s="100">
        <f>IF(Briefing_FID!DS7="","",Briefing_FID!DS7)</f>
        <v>14.9</v>
      </c>
      <c r="DT7" s="3">
        <f>IF(Briefing_FID!DT7="","",Briefing_FID!DT7)</f>
        <v>9.1499999999999998E-2</v>
      </c>
      <c r="DU7" s="28" t="str">
        <f>IF(Briefing_FID!DU7="","",Briefing_FID!DU7)</f>
        <v>Criar</v>
      </c>
      <c r="DV7" s="100">
        <f>IF(Briefing_FID!DV7="","",Briefing_FID!DV7)</f>
        <v>10</v>
      </c>
      <c r="DW7" s="3">
        <f>IF(Briefing_FID!DW7="","",Briefing_FID!DW7)</f>
        <v>9.1800000000000007E-2</v>
      </c>
      <c r="DX7" s="28" t="str">
        <f>IF(Briefing_FID!DX7="","",Briefing_FID!DX7)</f>
        <v>Criar</v>
      </c>
      <c r="DY7" s="100" t="str">
        <f>IF(Briefing_FID!DY7="","",Briefing_FID!DY7)</f>
        <v/>
      </c>
      <c r="DZ7" s="3" t="str">
        <f>IF(Briefing_FID!DZ7="","",Briefing_FID!DZ7)</f>
        <v/>
      </c>
      <c r="EA7" s="28" t="str">
        <f>IF(Briefing_FID!EA7="","",Briefing_FID!EA7)</f>
        <v/>
      </c>
      <c r="EB7" s="100" t="str">
        <f>IF(Briefing_FID!EB7="","",Briefing_FID!EB7)</f>
        <v/>
      </c>
      <c r="EC7" s="3" t="str">
        <f>IF(Briefing_FID!EC7="","",Briefing_FID!EC7)</f>
        <v/>
      </c>
      <c r="ED7" s="28" t="str">
        <f>IF(Briefing_FID!ED7="","",Briefing_FID!ED7)</f>
        <v/>
      </c>
      <c r="EE7" s="100" t="str">
        <f>IF(Briefing_FID!EE7="","",Briefing_FID!EE7)</f>
        <v/>
      </c>
      <c r="EF7" s="3" t="str">
        <f>IF(Briefing_FID!EF7="","",Briefing_FID!EF7)</f>
        <v/>
      </c>
      <c r="EG7" s="28" t="str">
        <f>IF(Briefing_FID!EG7="","",Briefing_FID!EG7)</f>
        <v/>
      </c>
      <c r="EH7" s="100" t="str">
        <f>IF(Briefing_FID!EH7="","",Briefing_FID!EH7)</f>
        <v/>
      </c>
      <c r="EI7" s="3" t="str">
        <f>IF(Briefing_FID!EI7="","",Briefing_FID!EI7)</f>
        <v/>
      </c>
      <c r="EJ7" s="28" t="str">
        <f>IF(Briefing_FID!EJ7="","",Briefing_FID!EJ7)</f>
        <v/>
      </c>
      <c r="EK7" s="100" t="str">
        <f>IF(Briefing_FID!EK7="","",Briefing_FID!EK7)</f>
        <v/>
      </c>
      <c r="EL7" s="3" t="str">
        <f>IF(Briefing_FID!EL7="","",Briefing_FID!EL7)</f>
        <v/>
      </c>
      <c r="EM7" s="28" t="str">
        <f>IF(Briefing_FID!EM7="","",Briefing_FID!EM7)</f>
        <v/>
      </c>
      <c r="EN7" s="100">
        <f>IF(Briefing_FID!EN7="","",Briefing_FID!EN7)</f>
        <v>24.9</v>
      </c>
      <c r="EO7" s="3">
        <f>IF(Briefing_FID!EO7="","",Briefing_FID!EO7)</f>
        <v>0.16729999999999998</v>
      </c>
      <c r="EP7" s="28" t="str">
        <f>IF(Briefing_FID!EP7="","",Briefing_FID!EP7)</f>
        <v>Criar</v>
      </c>
      <c r="EQ7" s="28" t="str">
        <f>IF(Briefing_FID!EQ7="","",Briefing_FID!EQ7)</f>
        <v/>
      </c>
      <c r="ER7" s="28" t="str">
        <f>IF(Briefing_FID!ER7="","",Briefing_FID!ER7)</f>
        <v/>
      </c>
      <c r="ES7" s="62"/>
      <c r="ET7" s="96" t="str">
        <f>IF(Briefing_FID!EZ7="","",Briefing_FID!EZ7)</f>
        <v>LD + VC Oi</v>
      </c>
      <c r="EU7" s="97" t="str">
        <f>IF(Briefing_FID!FA7="","",Briefing_FID!FA7)</f>
        <v>0T0T_FTV_MIN_LD_270000.</v>
      </c>
      <c r="EV7" s="98" t="str">
        <f>IF(Briefing_FID!FB7="","",Briefing_FID!FB7)</f>
        <v/>
      </c>
      <c r="EW7" s="96" t="str">
        <f>IF(Briefing_FID!FC7="","",Briefing_FID!FC7)</f>
        <v/>
      </c>
      <c r="EX7" s="97" t="str">
        <f>IF(Briefing_FID!FD7="","",Briefing_FID!FD7)</f>
        <v/>
      </c>
      <c r="EY7" s="98" t="str">
        <f>IF(Briefing_FID!FE7="","",Briefing_FID!FE7)</f>
        <v/>
      </c>
      <c r="EZ7" s="104" t="str">
        <f>IF(Briefing_FID!FF7="","",Briefing_FID!FF7)</f>
        <v/>
      </c>
      <c r="FA7" s="144" t="str">
        <f>IF(Briefing_FID!FG7="","",Briefing_FID!FG7)</f>
        <v/>
      </c>
      <c r="FB7" s="144" t="str">
        <f>IF(Briefing_FID!FH7="","",Briefing_FID!FH7)</f>
        <v/>
      </c>
      <c r="FC7" s="144">
        <f>IF(Briefing_FID!FI7="","",Briefing_FID!FI7)</f>
        <v>164.9</v>
      </c>
      <c r="FD7" s="144">
        <f>IF(Briefing_FID!FJ7="","",Briefing_FID!FJ7)</f>
        <v>164.9</v>
      </c>
      <c r="FE7" s="144">
        <f>IF(Briefing_FID!FK7="","",Briefing_FID!FK7)</f>
        <v>194.9</v>
      </c>
      <c r="FF7" s="144" t="str">
        <f>IF(Briefing_FID!FL7="","",Briefing_FID!FL7)</f>
        <v/>
      </c>
      <c r="FG7" s="144" t="str">
        <f>IF(Briefing_FID!FM7="","",Briefing_FID!FM7)</f>
        <v/>
      </c>
      <c r="FH7" s="144" t="str">
        <f>IF(Briefing_FID!FN7="","",Briefing_FID!FN7)</f>
        <v/>
      </c>
      <c r="FI7" s="144" t="str">
        <f>IF(Briefing_FID!FO7="","",Briefing_FID!FO7)</f>
        <v/>
      </c>
      <c r="FJ7" s="144" t="str">
        <f>IF(Briefing_FID!FP7="","",Briefing_FID!FP7)</f>
        <v/>
      </c>
      <c r="FK7" s="144">
        <f>IF(Briefing_FID!FQ7="","",Briefing_FID!FQ7)</f>
        <v>174.9</v>
      </c>
      <c r="FL7" s="144">
        <f>IF(Briefing_FID!FR7="","",Briefing_FID!FR7)</f>
        <v>174.9</v>
      </c>
      <c r="FM7" s="144">
        <f>IF(Briefing_FID!FS7="","",Briefing_FID!FS7)</f>
        <v>204.9</v>
      </c>
      <c r="FN7" s="144" t="str">
        <f>IF(Briefing_FID!FT7="","",Briefing_FID!FT7)</f>
        <v/>
      </c>
      <c r="FO7" s="144" t="str">
        <f>IF(Briefing_FID!FU7="","",Briefing_FID!FU7)</f>
        <v/>
      </c>
      <c r="FP7" s="144" t="str">
        <f>IF(Briefing_FID!FV7="","",Briefing_FID!FV7)</f>
        <v/>
      </c>
      <c r="FQ7" s="144" t="str">
        <f>IF(Briefing_FID!FW7="","",Briefing_FID!FW7)</f>
        <v/>
      </c>
      <c r="FR7" s="148"/>
      <c r="FS7" s="149"/>
      <c r="FT7" s="149"/>
      <c r="FU7" s="149"/>
      <c r="FV7" s="149"/>
      <c r="FW7" s="149"/>
      <c r="FX7" s="149"/>
      <c r="FY7" s="149"/>
      <c r="FZ7" s="149"/>
      <c r="GA7" s="150"/>
    </row>
    <row r="8" spans="1:183">
      <c r="A8" s="136" t="str">
        <f>IF(Briefing_FID!A8="","",Briefing_FID!A8)</f>
        <v>Oi Total</v>
      </c>
      <c r="B8" s="137" t="str">
        <f>IF(Briefing_FID!B8="","",Briefing_FID!B8)</f>
        <v>Migração</v>
      </c>
      <c r="C8" s="137" t="str">
        <f>IF(Briefing_FID!C8="","",Briefing_FID!C8)</f>
        <v>Atuais</v>
      </c>
      <c r="D8" s="46"/>
      <c r="E8" s="120"/>
      <c r="F8" s="117"/>
      <c r="G8" s="117"/>
      <c r="H8" s="72"/>
      <c r="I8" s="72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25"/>
      <c r="AD8" s="117"/>
      <c r="AE8" s="117"/>
      <c r="AF8" s="117"/>
      <c r="AG8" s="117"/>
      <c r="AH8" s="117"/>
      <c r="AI8" s="117"/>
      <c r="AJ8" s="117"/>
      <c r="AK8" s="117"/>
      <c r="AL8" s="124"/>
      <c r="AM8" s="37"/>
      <c r="AN8" s="38"/>
      <c r="AO8" s="39"/>
      <c r="AP8" s="111">
        <f>IF(Briefing_FID!AP8="","",Briefing_FID!AP8)</f>
        <v>42917</v>
      </c>
      <c r="AQ8" s="112">
        <f>IF(Briefing_FID!AQ8="","",Briefing_FID!AQ8)</f>
        <v>43039</v>
      </c>
      <c r="AR8" s="107" t="str">
        <f>IF(Briefing_FID!AR8="","",Briefing_FID!AR8)</f>
        <v>20. Oi Total</v>
      </c>
      <c r="AS8" s="108" t="str">
        <f>IF(Briefing_FID!AS8="","",Briefing_FID!AS8)</f>
        <v>20. Oi Total</v>
      </c>
      <c r="AT8" s="113" t="str">
        <f>IF(Briefing_FID!AT8="","",Briefing_FID!AT8)</f>
        <v/>
      </c>
      <c r="AU8" s="113" t="str">
        <f>IF(Briefing_FID!AU8="","",Briefing_FID!AU8)</f>
        <v>Varejo</v>
      </c>
      <c r="AV8" s="113">
        <f>IF(Briefing_FID!AV8="","",Briefing_FID!AV8)</f>
        <v>20</v>
      </c>
      <c r="AW8" s="113">
        <f>IF(Briefing_FID!AW8="","",Briefing_FID!AW8)</f>
        <v>10000</v>
      </c>
      <c r="AX8" s="114" t="str">
        <f>IF(Briefing_FID!AX8="","",Briefing_FID!AX8)</f>
        <v>Campanha Restrita</v>
      </c>
      <c r="AY8" s="71"/>
      <c r="AZ8" s="117" t="str">
        <f>IF(Briefing_FID!AZ8="","",Briefing_FID!AZ8)</f>
        <v>Sim</v>
      </c>
      <c r="BA8" s="118" t="str">
        <f>IF(Briefing_FID!BA8="","",Briefing_FID!BA8)</f>
        <v>Não</v>
      </c>
      <c r="BB8" s="55"/>
      <c r="BC8" s="102" t="str">
        <f>IF(Briefing_FID!BC8="","",Briefing_FID!BC8)</f>
        <v>Oi Total Fixo +  TV 2</v>
      </c>
      <c r="BD8" s="27" t="str">
        <f>IF(Briefing_FID!BD8="","",Briefing_FID!BD8)</f>
        <v>PCS-2PMepi</v>
      </c>
      <c r="BE8" s="100">
        <f>IF(Briefing_FID!BE8="","",Briefing_FID!BE8)</f>
        <v>35</v>
      </c>
      <c r="BF8" s="3">
        <f>IF(Briefing_FID!BF8="","",Briefing_FID!BF8)</f>
        <v>0.53859999999999997</v>
      </c>
      <c r="BG8" s="10" t="str">
        <f>IF(Briefing_FID!BG8="","",Briefing_FID!BG8)</f>
        <v>Criar</v>
      </c>
      <c r="BH8" s="100" t="str">
        <f>IF(Briefing_FID!BH8="","",Briefing_FID!BH8)</f>
        <v/>
      </c>
      <c r="BI8" s="3" t="str">
        <f>IF(Briefing_FID!BI8="","",Briefing_FID!BI8)</f>
        <v/>
      </c>
      <c r="BJ8" s="10" t="str">
        <f>IF(Briefing_FID!BJ8="","",Briefing_FID!BJ8)</f>
        <v/>
      </c>
      <c r="BK8" s="100">
        <f>IF(Briefing_FID!BK8="","",Briefing_FID!BK8)</f>
        <v>79.900000000000006</v>
      </c>
      <c r="BL8" s="3">
        <f>IF(Briefing_FID!BL8="","",Briefing_FID!BL8)</f>
        <v>0.33989999999999998</v>
      </c>
      <c r="BM8" s="28" t="str">
        <f>IF(Briefing_FID!BM8="","",Briefing_FID!BM8)</f>
        <v>Criar</v>
      </c>
      <c r="BN8" s="100" t="str">
        <f>IF(Briefing_FID!BN8="","",Briefing_FID!BN8)</f>
        <v/>
      </c>
      <c r="BO8" s="3" t="str">
        <f>IF(Briefing_FID!BO8="","",Briefing_FID!BO8)</f>
        <v/>
      </c>
      <c r="BP8" s="28" t="str">
        <f>IF(Briefing_FID!BP8="","",Briefing_FID!BP8)</f>
        <v/>
      </c>
      <c r="BQ8" s="100" t="str">
        <f>IF(Briefing_FID!BQ8="","",Briefing_FID!BQ8)</f>
        <v/>
      </c>
      <c r="BR8" s="3" t="str">
        <f>IF(Briefing_FID!BR8="","",Briefing_FID!BR8)</f>
        <v/>
      </c>
      <c r="BS8" s="28" t="str">
        <f>IF(Briefing_FID!BS8="","",Briefing_FID!BS8)</f>
        <v/>
      </c>
      <c r="BT8" s="100" t="str">
        <f>IF(Briefing_FID!BT8="","",Briefing_FID!BT8)</f>
        <v/>
      </c>
      <c r="BU8" s="3" t="str">
        <f>IF(Briefing_FID!BU8="","",Briefing_FID!BU8)</f>
        <v/>
      </c>
      <c r="BV8" s="28" t="str">
        <f>IF(Briefing_FID!BV8="","",Briefing_FID!BV8)</f>
        <v/>
      </c>
      <c r="BW8" s="100" t="str">
        <f>IF(Briefing_FID!BW8="","",Briefing_FID!BW8)</f>
        <v/>
      </c>
      <c r="BX8" s="3" t="str">
        <f>IF(Briefing_FID!BX8="","",Briefing_FID!BX8)</f>
        <v/>
      </c>
      <c r="BY8" s="28" t="str">
        <f>IF(Briefing_FID!BY8="","",Briefing_FID!BY8)</f>
        <v/>
      </c>
      <c r="BZ8" s="100" t="str">
        <f>IF(Briefing_FID!BZ8="","",Briefing_FID!BZ8)</f>
        <v/>
      </c>
      <c r="CA8" s="3" t="str">
        <f>IF(Briefing_FID!CA8="","",Briefing_FID!CA8)</f>
        <v/>
      </c>
      <c r="CB8" s="28" t="str">
        <f>IF(Briefing_FID!CB8="","",Briefing_FID!CB8)</f>
        <v/>
      </c>
      <c r="CC8" s="100" t="str">
        <f>IF(Briefing_FID!CC8="","",Briefing_FID!CC8)</f>
        <v/>
      </c>
      <c r="CD8" s="3" t="str">
        <f>IF(Briefing_FID!CD8="","",Briefing_FID!CD8)</f>
        <v/>
      </c>
      <c r="CE8" s="28" t="str">
        <f>IF(Briefing_FID!CE8="","",Briefing_FID!CE8)</f>
        <v/>
      </c>
      <c r="CF8" s="100" t="str">
        <f>IF(Briefing_FID!CF8="","",Briefing_FID!CF8)</f>
        <v/>
      </c>
      <c r="CG8" s="3" t="str">
        <f>IF(Briefing_FID!CG8="","",Briefing_FID!CG8)</f>
        <v/>
      </c>
      <c r="CH8" s="28" t="str">
        <f>IF(Briefing_FID!CH8="","",Briefing_FID!CH8)</f>
        <v/>
      </c>
      <c r="CI8" s="100">
        <f>IF(Briefing_FID!CI8="","",Briefing_FID!CI8)</f>
        <v>89.9</v>
      </c>
      <c r="CJ8" s="3">
        <f>IF(Briefing_FID!CJ8="","",Briefing_FID!CJ8)</f>
        <v>0.45550000000000002</v>
      </c>
      <c r="CK8" s="28" t="str">
        <f>IF(Briefing_FID!CK8="","",Briefing_FID!CK8)</f>
        <v>Criar</v>
      </c>
      <c r="CL8" s="100" t="str">
        <f>IF(Briefing_FID!CL8="","",Briefing_FID!CL8)</f>
        <v/>
      </c>
      <c r="CM8" s="3" t="str">
        <f>IF(Briefing_FID!CM8="","",Briefing_FID!CM8)</f>
        <v/>
      </c>
      <c r="CN8" s="28" t="str">
        <f>IF(Briefing_FID!CN8="","",Briefing_FID!CN8)</f>
        <v/>
      </c>
      <c r="CO8" s="100" t="str">
        <f>IF(Briefing_FID!CO8="","",Briefing_FID!CO8)</f>
        <v/>
      </c>
      <c r="CP8" s="3" t="str">
        <f>IF(Briefing_FID!CP8="","",Briefing_FID!CP8)</f>
        <v/>
      </c>
      <c r="CQ8" s="28" t="str">
        <f>IF(Briefing_FID!CQ8="","",Briefing_FID!CQ8)</f>
        <v/>
      </c>
      <c r="CR8" s="100" t="str">
        <f>IF(Briefing_FID!CR8="","",Briefing_FID!CR8)</f>
        <v/>
      </c>
      <c r="CS8" s="3" t="str">
        <f>IF(Briefing_FID!CS8="","",Briefing_FID!CS8)</f>
        <v/>
      </c>
      <c r="CT8" s="28" t="str">
        <f>IF(Briefing_FID!CT8="","",Briefing_FID!CT8)</f>
        <v/>
      </c>
      <c r="CU8" s="100">
        <f>IF(Briefing_FID!CU8="","",Briefing_FID!CU8)</f>
        <v>109.9</v>
      </c>
      <c r="CV8" s="3">
        <f>IF(Briefing_FID!CV8="","",Briefing_FID!CV8)</f>
        <v>0.50080000000000002</v>
      </c>
      <c r="CW8" s="28" t="str">
        <f>IF(Briefing_FID!CW8="","",Briefing_FID!CW8)</f>
        <v>Criar</v>
      </c>
      <c r="CX8" s="100" t="str">
        <f>IF(Briefing_FID!CX8="","",Briefing_FID!CX8)</f>
        <v/>
      </c>
      <c r="CY8" s="3" t="str">
        <f>IF(Briefing_FID!CY8="","",Briefing_FID!CY8)</f>
        <v/>
      </c>
      <c r="CZ8" s="28" t="str">
        <f>IF(Briefing_FID!CZ8="","",Briefing_FID!CZ8)</f>
        <v/>
      </c>
      <c r="DA8" s="100" t="str">
        <f>IF(Briefing_FID!DA8="","",Briefing_FID!DA8)</f>
        <v/>
      </c>
      <c r="DB8" s="3" t="str">
        <f>IF(Briefing_FID!DB8="","",Briefing_FID!DB8)</f>
        <v/>
      </c>
      <c r="DC8" s="28" t="str">
        <f>IF(Briefing_FID!DC8="","",Briefing_FID!DC8)</f>
        <v/>
      </c>
      <c r="DD8" s="100" t="str">
        <f>IF(Briefing_FID!DD8="","",Briefing_FID!DD8)</f>
        <v/>
      </c>
      <c r="DE8" s="3" t="str">
        <f>IF(Briefing_FID!DE8="","",Briefing_FID!DE8)</f>
        <v/>
      </c>
      <c r="DF8" s="28" t="str">
        <f>IF(Briefing_FID!DF8="","",Briefing_FID!DF8)</f>
        <v/>
      </c>
      <c r="DG8" s="100">
        <f>IF(Briefing_FID!DG8="","",Briefing_FID!DG8)</f>
        <v>75</v>
      </c>
      <c r="DH8" s="3">
        <f>IF(Briefing_FID!DH8="","",Briefing_FID!DH8)</f>
        <v>0.31900000000000001</v>
      </c>
      <c r="DI8" s="28" t="str">
        <f>IF(Briefing_FID!DI8="","",Briefing_FID!DI8)</f>
        <v>Criar</v>
      </c>
      <c r="DJ8" s="100">
        <f>IF(Briefing_FID!DJ8="","",Briefing_FID!DJ8)</f>
        <v>19.899999999999999</v>
      </c>
      <c r="DK8" s="3">
        <f>IF(Briefing_FID!DK8="","",Briefing_FID!DK8)</f>
        <v>9.1800000000000007E-2</v>
      </c>
      <c r="DL8" s="28" t="str">
        <f>IF(Briefing_FID!DL8="","",Briefing_FID!DL8)</f>
        <v>Criar</v>
      </c>
      <c r="DM8" s="100">
        <f>IF(Briefing_FID!DM8="","",Briefing_FID!DM8)</f>
        <v>19.899999999999999</v>
      </c>
      <c r="DN8" s="3">
        <f>IF(Briefing_FID!DN8="","",Briefing_FID!DN8)</f>
        <v>9.1800000000000007E-2</v>
      </c>
      <c r="DO8" s="28" t="str">
        <f>IF(Briefing_FID!DO8="","",Briefing_FID!DO8)</f>
        <v>Criar</v>
      </c>
      <c r="DP8" s="100">
        <f>IF(Briefing_FID!DP8="","",Briefing_FID!DP8)</f>
        <v>29.9</v>
      </c>
      <c r="DQ8" s="3">
        <f>IF(Briefing_FID!DQ8="","",Briefing_FID!DQ8)</f>
        <v>9.1800000000000007E-2</v>
      </c>
      <c r="DR8" s="28" t="str">
        <f>IF(Briefing_FID!DR8="","",Briefing_FID!DR8)</f>
        <v>Criar</v>
      </c>
      <c r="DS8" s="100">
        <f>IF(Briefing_FID!DS8="","",Briefing_FID!DS8)</f>
        <v>14.9</v>
      </c>
      <c r="DT8" s="3">
        <f>IF(Briefing_FID!DT8="","",Briefing_FID!DT8)</f>
        <v>9.1499999999999998E-2</v>
      </c>
      <c r="DU8" s="28" t="str">
        <f>IF(Briefing_FID!DU8="","",Briefing_FID!DU8)</f>
        <v>Criar</v>
      </c>
      <c r="DV8" s="100">
        <f>IF(Briefing_FID!DV8="","",Briefing_FID!DV8)</f>
        <v>10</v>
      </c>
      <c r="DW8" s="3">
        <f>IF(Briefing_FID!DW8="","",Briefing_FID!DW8)</f>
        <v>9.1800000000000007E-2</v>
      </c>
      <c r="DX8" s="28" t="str">
        <f>IF(Briefing_FID!DX8="","",Briefing_FID!DX8)</f>
        <v>Criar</v>
      </c>
      <c r="DY8" s="100" t="str">
        <f>IF(Briefing_FID!DY8="","",Briefing_FID!DY8)</f>
        <v/>
      </c>
      <c r="DZ8" s="3" t="str">
        <f>IF(Briefing_FID!DZ8="","",Briefing_FID!DZ8)</f>
        <v/>
      </c>
      <c r="EA8" s="28" t="str">
        <f>IF(Briefing_FID!EA8="","",Briefing_FID!EA8)</f>
        <v/>
      </c>
      <c r="EB8" s="100" t="str">
        <f>IF(Briefing_FID!EB8="","",Briefing_FID!EB8)</f>
        <v/>
      </c>
      <c r="EC8" s="3" t="str">
        <f>IF(Briefing_FID!EC8="","",Briefing_FID!EC8)</f>
        <v/>
      </c>
      <c r="ED8" s="28" t="str">
        <f>IF(Briefing_FID!ED8="","",Briefing_FID!ED8)</f>
        <v/>
      </c>
      <c r="EE8" s="100" t="str">
        <f>IF(Briefing_FID!EE8="","",Briefing_FID!EE8)</f>
        <v/>
      </c>
      <c r="EF8" s="3" t="str">
        <f>IF(Briefing_FID!EF8="","",Briefing_FID!EF8)</f>
        <v/>
      </c>
      <c r="EG8" s="28" t="str">
        <f>IF(Briefing_FID!EG8="","",Briefing_FID!EG8)</f>
        <v/>
      </c>
      <c r="EH8" s="100" t="str">
        <f>IF(Briefing_FID!EH8="","",Briefing_FID!EH8)</f>
        <v/>
      </c>
      <c r="EI8" s="3" t="str">
        <f>IF(Briefing_FID!EI8="","",Briefing_FID!EI8)</f>
        <v/>
      </c>
      <c r="EJ8" s="28" t="str">
        <f>IF(Briefing_FID!EJ8="","",Briefing_FID!EJ8)</f>
        <v/>
      </c>
      <c r="EK8" s="100" t="str">
        <f>IF(Briefing_FID!EK8="","",Briefing_FID!EK8)</f>
        <v/>
      </c>
      <c r="EL8" s="3" t="str">
        <f>IF(Briefing_FID!EL8="","",Briefing_FID!EL8)</f>
        <v/>
      </c>
      <c r="EM8" s="28" t="str">
        <f>IF(Briefing_FID!EM8="","",Briefing_FID!EM8)</f>
        <v/>
      </c>
      <c r="EN8" s="100">
        <f>IF(Briefing_FID!EN8="","",Briefing_FID!EN8)</f>
        <v>24.9</v>
      </c>
      <c r="EO8" s="3">
        <f>IF(Briefing_FID!EO8="","",Briefing_FID!EO8)</f>
        <v>0.16729999999999998</v>
      </c>
      <c r="EP8" s="28" t="str">
        <f>IF(Briefing_FID!EP8="","",Briefing_FID!EP8)</f>
        <v>Criar</v>
      </c>
      <c r="EQ8" s="28" t="str">
        <f>IF(Briefing_FID!EQ8="","",Briefing_FID!EQ8)</f>
        <v/>
      </c>
      <c r="ER8" s="28" t="str">
        <f>IF(Briefing_FID!ER8="","",Briefing_FID!ER8)</f>
        <v/>
      </c>
      <c r="ES8" s="62"/>
      <c r="ET8" s="96" t="str">
        <f>IF(Briefing_FID!EZ8="","",Briefing_FID!EZ8)</f>
        <v>LD + VC Oi</v>
      </c>
      <c r="EU8" s="97" t="str">
        <f>IF(Briefing_FID!FA8="","",Briefing_FID!FA8)</f>
        <v>0T0T_FTV_MIN_LD_270000.</v>
      </c>
      <c r="EV8" s="98" t="str">
        <f>IF(Briefing_FID!FB8="","",Briefing_FID!FB8)</f>
        <v/>
      </c>
      <c r="EW8" s="96" t="str">
        <f>IF(Briefing_FID!FC8="","",Briefing_FID!FC8)</f>
        <v/>
      </c>
      <c r="EX8" s="97" t="str">
        <f>IF(Briefing_FID!FD8="","",Briefing_FID!FD8)</f>
        <v/>
      </c>
      <c r="EY8" s="98" t="str">
        <f>IF(Briefing_FID!FE8="","",Briefing_FID!FE8)</f>
        <v/>
      </c>
      <c r="EZ8" s="104" t="str">
        <f>IF(Briefing_FID!FF8="","",Briefing_FID!FF8)</f>
        <v/>
      </c>
      <c r="FA8" s="144" t="str">
        <f>IF(Briefing_FID!FG8="","",Briefing_FID!FG8)</f>
        <v/>
      </c>
      <c r="FB8" s="144">
        <f>IF(Briefing_FID!FH8="","",Briefing_FID!FH8)</f>
        <v>114.9</v>
      </c>
      <c r="FC8" s="144" t="str">
        <f>IF(Briefing_FID!FI8="","",Briefing_FID!FI8)</f>
        <v/>
      </c>
      <c r="FD8" s="144" t="str">
        <f>IF(Briefing_FID!FJ8="","",Briefing_FID!FJ8)</f>
        <v/>
      </c>
      <c r="FE8" s="144" t="str">
        <f>IF(Briefing_FID!FK8="","",Briefing_FID!FK8)</f>
        <v/>
      </c>
      <c r="FF8" s="144" t="str">
        <f>IF(Briefing_FID!FL8="","",Briefing_FID!FL8)</f>
        <v/>
      </c>
      <c r="FG8" s="144" t="str">
        <f>IF(Briefing_FID!FM8="","",Briefing_FID!FM8)</f>
        <v/>
      </c>
      <c r="FH8" s="144" t="str">
        <f>IF(Briefing_FID!FN8="","",Briefing_FID!FN8)</f>
        <v/>
      </c>
      <c r="FI8" s="144" t="str">
        <f>IF(Briefing_FID!FO8="","",Briefing_FID!FO8)</f>
        <v/>
      </c>
      <c r="FJ8" s="144">
        <f>IF(Briefing_FID!FP8="","",Briefing_FID!FP8)</f>
        <v>124.9</v>
      </c>
      <c r="FK8" s="144" t="str">
        <f>IF(Briefing_FID!FQ8="","",Briefing_FID!FQ8)</f>
        <v/>
      </c>
      <c r="FL8" s="144" t="str">
        <f>IF(Briefing_FID!FR8="","",Briefing_FID!FR8)</f>
        <v/>
      </c>
      <c r="FM8" s="144" t="str">
        <f>IF(Briefing_FID!FS8="","",Briefing_FID!FS8)</f>
        <v/>
      </c>
      <c r="FN8" s="144">
        <f>IF(Briefing_FID!FT8="","",Briefing_FID!FT8)</f>
        <v>144.9</v>
      </c>
      <c r="FO8" s="144" t="str">
        <f>IF(Briefing_FID!FU8="","",Briefing_FID!FU8)</f>
        <v/>
      </c>
      <c r="FP8" s="144" t="str">
        <f>IF(Briefing_FID!FV8="","",Briefing_FID!FV8)</f>
        <v/>
      </c>
      <c r="FQ8" s="144" t="str">
        <f>IF(Briefing_FID!FW8="","",Briefing_FID!FW8)</f>
        <v/>
      </c>
      <c r="FR8" s="148"/>
      <c r="FS8" s="149"/>
      <c r="FT8" s="149"/>
      <c r="FU8" s="149"/>
      <c r="FV8" s="149"/>
      <c r="FW8" s="149"/>
      <c r="FX8" s="149"/>
      <c r="FY8" s="149"/>
      <c r="FZ8" s="149"/>
      <c r="GA8" s="150"/>
    </row>
    <row r="9" spans="1:183">
      <c r="A9" s="136" t="str">
        <f>IF(Briefing_FID!A9="","",Briefing_FID!A9)</f>
        <v>Oi Total</v>
      </c>
      <c r="B9" s="137" t="str">
        <f>IF(Briefing_FID!B9="","",Briefing_FID!B9)</f>
        <v>Migração</v>
      </c>
      <c r="C9" s="137" t="str">
        <f>IF(Briefing_FID!C9="","",Briefing_FID!C9)</f>
        <v>Atuais</v>
      </c>
      <c r="D9" s="46"/>
      <c r="E9" s="120"/>
      <c r="F9" s="117"/>
      <c r="G9" s="117"/>
      <c r="H9" s="72"/>
      <c r="I9" s="72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25"/>
      <c r="AD9" s="117"/>
      <c r="AE9" s="117"/>
      <c r="AF9" s="117"/>
      <c r="AG9" s="117"/>
      <c r="AH9" s="117"/>
      <c r="AI9" s="117"/>
      <c r="AJ9" s="117"/>
      <c r="AK9" s="117"/>
      <c r="AL9" s="124"/>
      <c r="AM9" s="37"/>
      <c r="AN9" s="38"/>
      <c r="AO9" s="39"/>
      <c r="AP9" s="111">
        <f>IF(Briefing_FID!AP9="","",Briefing_FID!AP9)</f>
        <v>42917</v>
      </c>
      <c r="AQ9" s="112">
        <f>IF(Briefing_FID!AQ9="","",Briefing_FID!AQ9)</f>
        <v>43039</v>
      </c>
      <c r="AR9" s="107" t="str">
        <f>IF(Briefing_FID!AR9="","",Briefing_FID!AR9)</f>
        <v>20. Oi Total</v>
      </c>
      <c r="AS9" s="108" t="str">
        <f>IF(Briefing_FID!AS9="","",Briefing_FID!AS9)</f>
        <v>20. Oi Total</v>
      </c>
      <c r="AT9" s="113" t="str">
        <f>IF(Briefing_FID!AT9="","",Briefing_FID!AT9)</f>
        <v/>
      </c>
      <c r="AU9" s="113" t="str">
        <f>IF(Briefing_FID!AU9="","",Briefing_FID!AU9)</f>
        <v>Varejo</v>
      </c>
      <c r="AV9" s="113">
        <f>IF(Briefing_FID!AV9="","",Briefing_FID!AV9)</f>
        <v>20</v>
      </c>
      <c r="AW9" s="113">
        <f>IF(Briefing_FID!AW9="","",Briefing_FID!AW9)</f>
        <v>10000</v>
      </c>
      <c r="AX9" s="114" t="str">
        <f>IF(Briefing_FID!AX9="","",Briefing_FID!AX9)</f>
        <v>Campanha Restrita</v>
      </c>
      <c r="AY9" s="71"/>
      <c r="AZ9" s="117" t="str">
        <f>IF(Briefing_FID!AZ9="","",Briefing_FID!AZ9)</f>
        <v>Sim</v>
      </c>
      <c r="BA9" s="118" t="str">
        <f>IF(Briefing_FID!BA9="","",Briefing_FID!BA9)</f>
        <v>Não</v>
      </c>
      <c r="BB9" s="55"/>
      <c r="BC9" s="102" t="str">
        <f>IF(Briefing_FID!BC9="","",Briefing_FID!BC9)</f>
        <v>Oi Total Fixo +  TV 3</v>
      </c>
      <c r="BD9" s="27" t="str">
        <f>IF(Briefing_FID!BD9="","",Briefing_FID!BD9)</f>
        <v>PCS-2PHipi</v>
      </c>
      <c r="BE9" s="100">
        <f>IF(Briefing_FID!BE9="","",Briefing_FID!BE9)</f>
        <v>35</v>
      </c>
      <c r="BF9" s="3">
        <f>IF(Briefing_FID!BF9="","",Briefing_FID!BF9)</f>
        <v>0.53859999999999997</v>
      </c>
      <c r="BG9" s="10" t="str">
        <f>IF(Briefing_FID!BG9="","",Briefing_FID!BG9)</f>
        <v>Criar</v>
      </c>
      <c r="BH9" s="100" t="str">
        <f>IF(Briefing_FID!BH9="","",Briefing_FID!BH9)</f>
        <v/>
      </c>
      <c r="BI9" s="3" t="str">
        <f>IF(Briefing_FID!BI9="","",Briefing_FID!BI9)</f>
        <v/>
      </c>
      <c r="BJ9" s="10" t="str">
        <f>IF(Briefing_FID!BJ9="","",Briefing_FID!BJ9)</f>
        <v/>
      </c>
      <c r="BK9" s="100" t="str">
        <f>IF(Briefing_FID!BK9="","",Briefing_FID!BK9)</f>
        <v/>
      </c>
      <c r="BL9" s="3" t="str">
        <f>IF(Briefing_FID!BL9="","",Briefing_FID!BL9)</f>
        <v/>
      </c>
      <c r="BM9" s="28" t="str">
        <f>IF(Briefing_FID!BM9="","",Briefing_FID!BM9)</f>
        <v/>
      </c>
      <c r="BN9" s="100">
        <f>IF(Briefing_FID!BN9="","",Briefing_FID!BN9)</f>
        <v>109.9</v>
      </c>
      <c r="BO9" s="3">
        <f>IF(Briefing_FID!BO9="","",Briefing_FID!BO9)</f>
        <v>0.42949999999999999</v>
      </c>
      <c r="BP9" s="28" t="str">
        <f>IF(Briefing_FID!BP9="","",Briefing_FID!BP9)</f>
        <v>Criar</v>
      </c>
      <c r="BQ9" s="100">
        <f>IF(Briefing_FID!BQ9="","",Briefing_FID!BQ9)</f>
        <v>109.9</v>
      </c>
      <c r="BR9" s="3">
        <f>IF(Briefing_FID!BR9="","",Briefing_FID!BR9)</f>
        <v>0.46029999999999999</v>
      </c>
      <c r="BS9" s="28" t="str">
        <f>IF(Briefing_FID!BS9="","",Briefing_FID!BS9)</f>
        <v>Criar</v>
      </c>
      <c r="BT9" s="100">
        <f>IF(Briefing_FID!BT9="","",Briefing_FID!BT9)</f>
        <v>139.9</v>
      </c>
      <c r="BU9" s="3">
        <f>IF(Briefing_FID!BU9="","",Briefing_FID!BU9)</f>
        <v>0.33110000000000001</v>
      </c>
      <c r="BV9" s="28" t="str">
        <f>IF(Briefing_FID!BV9="","",Briefing_FID!BV9)</f>
        <v>Criar</v>
      </c>
      <c r="BW9" s="100" t="str">
        <f>IF(Briefing_FID!BW9="","",Briefing_FID!BW9)</f>
        <v/>
      </c>
      <c r="BX9" s="3" t="str">
        <f>IF(Briefing_FID!BX9="","",Briefing_FID!BX9)</f>
        <v/>
      </c>
      <c r="BY9" s="28" t="str">
        <f>IF(Briefing_FID!BY9="","",Briefing_FID!BY9)</f>
        <v/>
      </c>
      <c r="BZ9" s="100" t="str">
        <f>IF(Briefing_FID!BZ9="","",Briefing_FID!BZ9)</f>
        <v/>
      </c>
      <c r="CA9" s="3" t="str">
        <f>IF(Briefing_FID!CA9="","",Briefing_FID!CA9)</f>
        <v/>
      </c>
      <c r="CB9" s="28" t="str">
        <f>IF(Briefing_FID!CB9="","",Briefing_FID!CB9)</f>
        <v/>
      </c>
      <c r="CC9" s="100" t="str">
        <f>IF(Briefing_FID!CC9="","",Briefing_FID!CC9)</f>
        <v/>
      </c>
      <c r="CD9" s="3" t="str">
        <f>IF(Briefing_FID!CD9="","",Briefing_FID!CD9)</f>
        <v/>
      </c>
      <c r="CE9" s="28" t="str">
        <f>IF(Briefing_FID!CE9="","",Briefing_FID!CE9)</f>
        <v/>
      </c>
      <c r="CF9" s="100" t="str">
        <f>IF(Briefing_FID!CF9="","",Briefing_FID!CF9)</f>
        <v/>
      </c>
      <c r="CG9" s="3" t="str">
        <f>IF(Briefing_FID!CG9="","",Briefing_FID!CG9)</f>
        <v/>
      </c>
      <c r="CH9" s="28" t="str">
        <f>IF(Briefing_FID!CH9="","",Briefing_FID!CH9)</f>
        <v/>
      </c>
      <c r="CI9" s="100" t="str">
        <f>IF(Briefing_FID!CI9="","",Briefing_FID!CI9)</f>
        <v/>
      </c>
      <c r="CJ9" s="3" t="str">
        <f>IF(Briefing_FID!CJ9="","",Briefing_FID!CJ9)</f>
        <v/>
      </c>
      <c r="CK9" s="28" t="str">
        <f>IF(Briefing_FID!CK9="","",Briefing_FID!CK9)</f>
        <v/>
      </c>
      <c r="CL9" s="100">
        <f>IF(Briefing_FID!CL9="","",Briefing_FID!CL9)</f>
        <v>119.9</v>
      </c>
      <c r="CM9" s="3">
        <f>IF(Briefing_FID!CM9="","",Briefing_FID!CM9)</f>
        <v>0.41120000000000001</v>
      </c>
      <c r="CN9" s="28" t="str">
        <f>IF(Briefing_FID!CN9="","",Briefing_FID!CN9)</f>
        <v>Criar</v>
      </c>
      <c r="CO9" s="100">
        <f>IF(Briefing_FID!CO9="","",Briefing_FID!CO9)</f>
        <v>119.9</v>
      </c>
      <c r="CP9" s="3">
        <f>IF(Briefing_FID!CP9="","",Briefing_FID!CP9)</f>
        <v>0.44140000000000001</v>
      </c>
      <c r="CQ9" s="28" t="str">
        <f>IF(Briefing_FID!CQ9="","",Briefing_FID!CQ9)</f>
        <v>Criar</v>
      </c>
      <c r="CR9" s="100">
        <f>IF(Briefing_FID!CR9="","",Briefing_FID!CR9)</f>
        <v>149.9</v>
      </c>
      <c r="CS9" s="3">
        <f>IF(Briefing_FID!CS9="","",Briefing_FID!CS9)</f>
        <v>0.40799999999999997</v>
      </c>
      <c r="CT9" s="28" t="str">
        <f>IF(Briefing_FID!CT9="","",Briefing_FID!CT9)</f>
        <v>Criar</v>
      </c>
      <c r="CU9" s="100" t="str">
        <f>IF(Briefing_FID!CU9="","",Briefing_FID!CU9)</f>
        <v/>
      </c>
      <c r="CV9" s="3" t="str">
        <f>IF(Briefing_FID!CV9="","",Briefing_FID!CV9)</f>
        <v/>
      </c>
      <c r="CW9" s="28" t="str">
        <f>IF(Briefing_FID!CW9="","",Briefing_FID!CW9)</f>
        <v/>
      </c>
      <c r="CX9" s="100" t="str">
        <f>IF(Briefing_FID!CX9="","",Briefing_FID!CX9)</f>
        <v/>
      </c>
      <c r="CY9" s="3" t="str">
        <f>IF(Briefing_FID!CY9="","",Briefing_FID!CY9)</f>
        <v/>
      </c>
      <c r="CZ9" s="28" t="str">
        <f>IF(Briefing_FID!CZ9="","",Briefing_FID!CZ9)</f>
        <v/>
      </c>
      <c r="DA9" s="100" t="str">
        <f>IF(Briefing_FID!DA9="","",Briefing_FID!DA9)</f>
        <v/>
      </c>
      <c r="DB9" s="3" t="str">
        <f>IF(Briefing_FID!DB9="","",Briefing_FID!DB9)</f>
        <v/>
      </c>
      <c r="DC9" s="28" t="str">
        <f>IF(Briefing_FID!DC9="","",Briefing_FID!DC9)</f>
        <v/>
      </c>
      <c r="DD9" s="100" t="str">
        <f>IF(Briefing_FID!DD9="","",Briefing_FID!DD9)</f>
        <v/>
      </c>
      <c r="DE9" s="3" t="str">
        <f>IF(Briefing_FID!DE9="","",Briefing_FID!DE9)</f>
        <v/>
      </c>
      <c r="DF9" s="28" t="str">
        <f>IF(Briefing_FID!DF9="","",Briefing_FID!DF9)</f>
        <v/>
      </c>
      <c r="DG9" s="100">
        <f>IF(Briefing_FID!DG9="","",Briefing_FID!DG9)</f>
        <v>75</v>
      </c>
      <c r="DH9" s="3">
        <f>IF(Briefing_FID!DH9="","",Briefing_FID!DH9)</f>
        <v>0.31900000000000001</v>
      </c>
      <c r="DI9" s="28" t="str">
        <f>IF(Briefing_FID!DI9="","",Briefing_FID!DI9)</f>
        <v>Criar</v>
      </c>
      <c r="DJ9" s="100">
        <f>IF(Briefing_FID!DJ9="","",Briefing_FID!DJ9)</f>
        <v>19.899999999999999</v>
      </c>
      <c r="DK9" s="3">
        <f>IF(Briefing_FID!DK9="","",Briefing_FID!DK9)</f>
        <v>9.1800000000000007E-2</v>
      </c>
      <c r="DL9" s="28" t="str">
        <f>IF(Briefing_FID!DL9="","",Briefing_FID!DL9)</f>
        <v>Criar</v>
      </c>
      <c r="DM9" s="100">
        <f>IF(Briefing_FID!DM9="","",Briefing_FID!DM9)</f>
        <v>19.899999999999999</v>
      </c>
      <c r="DN9" s="3">
        <f>IF(Briefing_FID!DN9="","",Briefing_FID!DN9)</f>
        <v>9.1800000000000007E-2</v>
      </c>
      <c r="DO9" s="28" t="str">
        <f>IF(Briefing_FID!DO9="","",Briefing_FID!DO9)</f>
        <v>Criar</v>
      </c>
      <c r="DP9" s="100">
        <f>IF(Briefing_FID!DP9="","",Briefing_FID!DP9)</f>
        <v>29.9</v>
      </c>
      <c r="DQ9" s="3">
        <f>IF(Briefing_FID!DQ9="","",Briefing_FID!DQ9)</f>
        <v>9.1800000000000007E-2</v>
      </c>
      <c r="DR9" s="28" t="str">
        <f>IF(Briefing_FID!DR9="","",Briefing_FID!DR9)</f>
        <v>Criar</v>
      </c>
      <c r="DS9" s="100">
        <f>IF(Briefing_FID!DS9="","",Briefing_FID!DS9)</f>
        <v>14.9</v>
      </c>
      <c r="DT9" s="3">
        <f>IF(Briefing_FID!DT9="","",Briefing_FID!DT9)</f>
        <v>9.1499999999999998E-2</v>
      </c>
      <c r="DU9" s="28" t="str">
        <f>IF(Briefing_FID!DU9="","",Briefing_FID!DU9)</f>
        <v>Criar</v>
      </c>
      <c r="DV9" s="100">
        <f>IF(Briefing_FID!DV9="","",Briefing_FID!DV9)</f>
        <v>10</v>
      </c>
      <c r="DW9" s="3">
        <f>IF(Briefing_FID!DW9="","",Briefing_FID!DW9)</f>
        <v>9.1800000000000007E-2</v>
      </c>
      <c r="DX9" s="28" t="str">
        <f>IF(Briefing_FID!DX9="","",Briefing_FID!DX9)</f>
        <v>Criar</v>
      </c>
      <c r="DY9" s="100" t="str">
        <f>IF(Briefing_FID!DY9="","",Briefing_FID!DY9)</f>
        <v/>
      </c>
      <c r="DZ9" s="3" t="str">
        <f>IF(Briefing_FID!DZ9="","",Briefing_FID!DZ9)</f>
        <v/>
      </c>
      <c r="EA9" s="28" t="str">
        <f>IF(Briefing_FID!EA9="","",Briefing_FID!EA9)</f>
        <v/>
      </c>
      <c r="EB9" s="100" t="str">
        <f>IF(Briefing_FID!EB9="","",Briefing_FID!EB9)</f>
        <v/>
      </c>
      <c r="EC9" s="3" t="str">
        <f>IF(Briefing_FID!EC9="","",Briefing_FID!EC9)</f>
        <v/>
      </c>
      <c r="ED9" s="28" t="str">
        <f>IF(Briefing_FID!ED9="","",Briefing_FID!ED9)</f>
        <v/>
      </c>
      <c r="EE9" s="100" t="str">
        <f>IF(Briefing_FID!EE9="","",Briefing_FID!EE9)</f>
        <v/>
      </c>
      <c r="EF9" s="3" t="str">
        <f>IF(Briefing_FID!EF9="","",Briefing_FID!EF9)</f>
        <v/>
      </c>
      <c r="EG9" s="28" t="str">
        <f>IF(Briefing_FID!EG9="","",Briefing_FID!EG9)</f>
        <v/>
      </c>
      <c r="EH9" s="100" t="str">
        <f>IF(Briefing_FID!EH9="","",Briefing_FID!EH9)</f>
        <v/>
      </c>
      <c r="EI9" s="3" t="str">
        <f>IF(Briefing_FID!EI9="","",Briefing_FID!EI9)</f>
        <v/>
      </c>
      <c r="EJ9" s="28" t="str">
        <f>IF(Briefing_FID!EJ9="","",Briefing_FID!EJ9)</f>
        <v/>
      </c>
      <c r="EK9" s="100" t="str">
        <f>IF(Briefing_FID!EK9="","",Briefing_FID!EK9)</f>
        <v/>
      </c>
      <c r="EL9" s="3" t="str">
        <f>IF(Briefing_FID!EL9="","",Briefing_FID!EL9)</f>
        <v/>
      </c>
      <c r="EM9" s="28" t="str">
        <f>IF(Briefing_FID!EM9="","",Briefing_FID!EM9)</f>
        <v/>
      </c>
      <c r="EN9" s="100">
        <f>IF(Briefing_FID!EN9="","",Briefing_FID!EN9)</f>
        <v>24.9</v>
      </c>
      <c r="EO9" s="3">
        <f>IF(Briefing_FID!EO9="","",Briefing_FID!EO9)</f>
        <v>0.16729999999999998</v>
      </c>
      <c r="EP9" s="28" t="str">
        <f>IF(Briefing_FID!EP9="","",Briefing_FID!EP9)</f>
        <v>Criar</v>
      </c>
      <c r="EQ9" s="28" t="str">
        <f>IF(Briefing_FID!EQ9="","",Briefing_FID!EQ9)</f>
        <v/>
      </c>
      <c r="ER9" s="28" t="str">
        <f>IF(Briefing_FID!ER9="","",Briefing_FID!ER9)</f>
        <v/>
      </c>
      <c r="ES9" s="62"/>
      <c r="ET9" s="96" t="str">
        <f>IF(Briefing_FID!EZ9="","",Briefing_FID!EZ9)</f>
        <v>LD + VC Oi</v>
      </c>
      <c r="EU9" s="97" t="str">
        <f>IF(Briefing_FID!FA9="","",Briefing_FID!FA9)</f>
        <v>0T0T_FTV_MIN_LD_270000.</v>
      </c>
      <c r="EV9" s="98" t="str">
        <f>IF(Briefing_FID!FB9="","",Briefing_FID!FB9)</f>
        <v/>
      </c>
      <c r="EW9" s="96" t="str">
        <f>IF(Briefing_FID!FC9="","",Briefing_FID!FC9)</f>
        <v/>
      </c>
      <c r="EX9" s="97" t="str">
        <f>IF(Briefing_FID!FD9="","",Briefing_FID!FD9)</f>
        <v/>
      </c>
      <c r="EY9" s="98" t="str">
        <f>IF(Briefing_FID!FE9="","",Briefing_FID!FE9)</f>
        <v/>
      </c>
      <c r="EZ9" s="104" t="str">
        <f>IF(Briefing_FID!FF9="","",Briefing_FID!FF9)</f>
        <v/>
      </c>
      <c r="FA9" s="144" t="str">
        <f>IF(Briefing_FID!FG9="","",Briefing_FID!FG9)</f>
        <v/>
      </c>
      <c r="FB9" s="144" t="str">
        <f>IF(Briefing_FID!FH9="","",Briefing_FID!FH9)</f>
        <v/>
      </c>
      <c r="FC9" s="144">
        <f>IF(Briefing_FID!FI9="","",Briefing_FID!FI9)</f>
        <v>144.9</v>
      </c>
      <c r="FD9" s="144">
        <f>IF(Briefing_FID!FJ9="","",Briefing_FID!FJ9)</f>
        <v>144.9</v>
      </c>
      <c r="FE9" s="144">
        <f>IF(Briefing_FID!FK9="","",Briefing_FID!FK9)</f>
        <v>174.9</v>
      </c>
      <c r="FF9" s="144" t="str">
        <f>IF(Briefing_FID!FL9="","",Briefing_FID!FL9)</f>
        <v/>
      </c>
      <c r="FG9" s="144" t="str">
        <f>IF(Briefing_FID!FM9="","",Briefing_FID!FM9)</f>
        <v/>
      </c>
      <c r="FH9" s="144" t="str">
        <f>IF(Briefing_FID!FN9="","",Briefing_FID!FN9)</f>
        <v/>
      </c>
      <c r="FI9" s="144" t="str">
        <f>IF(Briefing_FID!FO9="","",Briefing_FID!FO9)</f>
        <v/>
      </c>
      <c r="FJ9" s="144" t="str">
        <f>IF(Briefing_FID!FP9="","",Briefing_FID!FP9)</f>
        <v/>
      </c>
      <c r="FK9" s="144">
        <f>IF(Briefing_FID!FQ9="","",Briefing_FID!FQ9)</f>
        <v>154.9</v>
      </c>
      <c r="FL9" s="144">
        <f>IF(Briefing_FID!FR9="","",Briefing_FID!FR9)</f>
        <v>154.9</v>
      </c>
      <c r="FM9" s="144">
        <f>IF(Briefing_FID!FS9="","",Briefing_FID!FS9)</f>
        <v>184.9</v>
      </c>
      <c r="FN9" s="144" t="str">
        <f>IF(Briefing_FID!FT9="","",Briefing_FID!FT9)</f>
        <v/>
      </c>
      <c r="FO9" s="144" t="str">
        <f>IF(Briefing_FID!FU9="","",Briefing_FID!FU9)</f>
        <v/>
      </c>
      <c r="FP9" s="144" t="str">
        <f>IF(Briefing_FID!FV9="","",Briefing_FID!FV9)</f>
        <v/>
      </c>
      <c r="FQ9" s="144" t="str">
        <f>IF(Briefing_FID!FW9="","",Briefing_FID!FW9)</f>
        <v/>
      </c>
      <c r="FR9" s="148"/>
      <c r="FS9" s="149"/>
      <c r="FT9" s="149"/>
      <c r="FU9" s="149"/>
      <c r="FV9" s="149"/>
      <c r="FW9" s="149"/>
      <c r="FX9" s="149"/>
      <c r="FY9" s="149"/>
      <c r="FZ9" s="149"/>
      <c r="GA9" s="150"/>
    </row>
    <row r="10" spans="1:183">
      <c r="A10" s="136" t="str">
        <f>IF(Briefing_FID!A10="","",Briefing_FID!A10)</f>
        <v/>
      </c>
      <c r="B10" s="137" t="str">
        <f>IF(Briefing_FID!B10="","",Briefing_FID!B10)</f>
        <v/>
      </c>
      <c r="C10" s="137" t="str">
        <f>IF(Briefing_FID!C10="","",Briefing_FID!C10)</f>
        <v/>
      </c>
      <c r="D10" s="46"/>
      <c r="E10" s="120"/>
      <c r="F10" s="117"/>
      <c r="G10" s="117"/>
      <c r="H10" s="72"/>
      <c r="I10" s="72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25"/>
      <c r="AD10" s="117"/>
      <c r="AE10" s="117"/>
      <c r="AF10" s="117"/>
      <c r="AG10" s="117"/>
      <c r="AH10" s="117"/>
      <c r="AI10" s="117"/>
      <c r="AJ10" s="117"/>
      <c r="AK10" s="117"/>
      <c r="AL10" s="124"/>
      <c r="AM10" s="37"/>
      <c r="AN10" s="38"/>
      <c r="AO10" s="39"/>
      <c r="AP10" s="111" t="str">
        <f>IF(Briefing_FID!AP10="","",Briefing_FID!AP10)</f>
        <v/>
      </c>
      <c r="AQ10" s="112" t="str">
        <f>IF(Briefing_FID!AQ10="","",Briefing_FID!AQ10)</f>
        <v/>
      </c>
      <c r="AR10" s="107" t="str">
        <f>IF(Briefing_FID!AR10="","",Briefing_FID!AR10)</f>
        <v/>
      </c>
      <c r="AS10" s="108" t="str">
        <f>IF(Briefing_FID!AS10="","",Briefing_FID!AS10)</f>
        <v/>
      </c>
      <c r="AT10" s="113" t="str">
        <f>IF(Briefing_FID!AT10="","",Briefing_FID!AT10)</f>
        <v/>
      </c>
      <c r="AU10" s="113" t="str">
        <f>IF(Briefing_FID!AU10="","",Briefing_FID!AU10)</f>
        <v/>
      </c>
      <c r="AV10" s="113" t="str">
        <f>IF(Briefing_FID!AV10="","",Briefing_FID!AV10)</f>
        <v/>
      </c>
      <c r="AW10" s="113" t="str">
        <f>IF(Briefing_FID!AW10="","",Briefing_FID!AW10)</f>
        <v/>
      </c>
      <c r="AX10" s="114" t="str">
        <f>IF(Briefing_FID!AX10="","",Briefing_FID!AX10)</f>
        <v/>
      </c>
      <c r="AY10" s="71"/>
      <c r="AZ10" s="117" t="str">
        <f>IF(Briefing_FID!AZ10="","",Briefing_FID!AZ10)</f>
        <v/>
      </c>
      <c r="BA10" s="118" t="str">
        <f>IF(Briefing_FID!BA10="","",Briefing_FID!BA10)</f>
        <v/>
      </c>
      <c r="BB10" s="55"/>
      <c r="BC10" s="102" t="str">
        <f>IF(Briefing_FID!BC10="","",Briefing_FID!BC10)</f>
        <v/>
      </c>
      <c r="BD10" s="27" t="str">
        <f>IF(Briefing_FID!BD10="","",Briefing_FID!BD10)</f>
        <v/>
      </c>
      <c r="BE10" s="100" t="str">
        <f>IF(Briefing_FID!BE10="","",Briefing_FID!BE10)</f>
        <v/>
      </c>
      <c r="BF10" s="3" t="str">
        <f>IF(Briefing_FID!BF10="","",Briefing_FID!BF10)</f>
        <v/>
      </c>
      <c r="BG10" s="10" t="str">
        <f>IF(Briefing_FID!BG10="","",Briefing_FID!BG10)</f>
        <v/>
      </c>
      <c r="BH10" s="100" t="str">
        <f>IF(Briefing_FID!BH10="","",Briefing_FID!BH10)</f>
        <v/>
      </c>
      <c r="BI10" s="3" t="str">
        <f>IF(Briefing_FID!BI10="","",Briefing_FID!BI10)</f>
        <v/>
      </c>
      <c r="BJ10" s="10" t="str">
        <f>IF(Briefing_FID!BJ10="","",Briefing_FID!BJ10)</f>
        <v/>
      </c>
      <c r="BK10" s="100" t="str">
        <f>IF(Briefing_FID!BK10="","",Briefing_FID!BK10)</f>
        <v/>
      </c>
      <c r="BL10" s="3" t="str">
        <f>IF(Briefing_FID!BL10="","",Briefing_FID!BL10)</f>
        <v/>
      </c>
      <c r="BM10" s="28" t="str">
        <f>IF(Briefing_FID!BM10="","",Briefing_FID!BM10)</f>
        <v/>
      </c>
      <c r="BN10" s="100" t="str">
        <f>IF(Briefing_FID!BN10="","",Briefing_FID!BN10)</f>
        <v/>
      </c>
      <c r="BO10" s="3" t="str">
        <f>IF(Briefing_FID!BO10="","",Briefing_FID!BO10)</f>
        <v/>
      </c>
      <c r="BP10" s="28" t="str">
        <f>IF(Briefing_FID!BP10="","",Briefing_FID!BP10)</f>
        <v/>
      </c>
      <c r="BQ10" s="100" t="str">
        <f>IF(Briefing_FID!BQ10="","",Briefing_FID!BQ10)</f>
        <v/>
      </c>
      <c r="BR10" s="3" t="str">
        <f>IF(Briefing_FID!BR10="","",Briefing_FID!BR10)</f>
        <v/>
      </c>
      <c r="BS10" s="28" t="str">
        <f>IF(Briefing_FID!BS10="","",Briefing_FID!BS10)</f>
        <v/>
      </c>
      <c r="BT10" s="100" t="str">
        <f>IF(Briefing_FID!BT10="","",Briefing_FID!BT10)</f>
        <v/>
      </c>
      <c r="BU10" s="3" t="str">
        <f>IF(Briefing_FID!BU10="","",Briefing_FID!BU10)</f>
        <v/>
      </c>
      <c r="BV10" s="28" t="str">
        <f>IF(Briefing_FID!BV10="","",Briefing_FID!BV10)</f>
        <v/>
      </c>
      <c r="BW10" s="100" t="str">
        <f>IF(Briefing_FID!BW10="","",Briefing_FID!BW10)</f>
        <v/>
      </c>
      <c r="BX10" s="3" t="str">
        <f>IF(Briefing_FID!BX10="","",Briefing_FID!BX10)</f>
        <v/>
      </c>
      <c r="BY10" s="28" t="str">
        <f>IF(Briefing_FID!BY10="","",Briefing_FID!BY10)</f>
        <v/>
      </c>
      <c r="BZ10" s="100" t="str">
        <f>IF(Briefing_FID!BZ10="","",Briefing_FID!BZ10)</f>
        <v/>
      </c>
      <c r="CA10" s="3" t="str">
        <f>IF(Briefing_FID!CA10="","",Briefing_FID!CA10)</f>
        <v/>
      </c>
      <c r="CB10" s="28" t="str">
        <f>IF(Briefing_FID!CB10="","",Briefing_FID!CB10)</f>
        <v/>
      </c>
      <c r="CC10" s="100" t="str">
        <f>IF(Briefing_FID!CC10="","",Briefing_FID!CC10)</f>
        <v/>
      </c>
      <c r="CD10" s="3" t="str">
        <f>IF(Briefing_FID!CD10="","",Briefing_FID!CD10)</f>
        <v/>
      </c>
      <c r="CE10" s="28" t="str">
        <f>IF(Briefing_FID!CE10="","",Briefing_FID!CE10)</f>
        <v/>
      </c>
      <c r="CF10" s="100" t="str">
        <f>IF(Briefing_FID!CF10="","",Briefing_FID!CF10)</f>
        <v/>
      </c>
      <c r="CG10" s="3" t="str">
        <f>IF(Briefing_FID!CG10="","",Briefing_FID!CG10)</f>
        <v/>
      </c>
      <c r="CH10" s="28" t="str">
        <f>IF(Briefing_FID!CH10="","",Briefing_FID!CH10)</f>
        <v/>
      </c>
      <c r="CI10" s="100" t="str">
        <f>IF(Briefing_FID!CI10="","",Briefing_FID!CI10)</f>
        <v/>
      </c>
      <c r="CJ10" s="3" t="str">
        <f>IF(Briefing_FID!CJ10="","",Briefing_FID!CJ10)</f>
        <v/>
      </c>
      <c r="CK10" s="28" t="str">
        <f>IF(Briefing_FID!CK10="","",Briefing_FID!CK10)</f>
        <v/>
      </c>
      <c r="CL10" s="100" t="str">
        <f>IF(Briefing_FID!CL10="","",Briefing_FID!CL10)</f>
        <v/>
      </c>
      <c r="CM10" s="3" t="str">
        <f>IF(Briefing_FID!CM10="","",Briefing_FID!CM10)</f>
        <v/>
      </c>
      <c r="CN10" s="28" t="str">
        <f>IF(Briefing_FID!CN10="","",Briefing_FID!CN10)</f>
        <v/>
      </c>
      <c r="CO10" s="100" t="str">
        <f>IF(Briefing_FID!CO10="","",Briefing_FID!CO10)</f>
        <v/>
      </c>
      <c r="CP10" s="3" t="str">
        <f>IF(Briefing_FID!CP10="","",Briefing_FID!CP10)</f>
        <v/>
      </c>
      <c r="CQ10" s="28" t="str">
        <f>IF(Briefing_FID!CQ10="","",Briefing_FID!CQ10)</f>
        <v/>
      </c>
      <c r="CR10" s="100" t="str">
        <f>IF(Briefing_FID!CR10="","",Briefing_FID!CR10)</f>
        <v/>
      </c>
      <c r="CS10" s="3" t="str">
        <f>IF(Briefing_FID!CS10="","",Briefing_FID!CS10)</f>
        <v/>
      </c>
      <c r="CT10" s="28" t="str">
        <f>IF(Briefing_FID!CT10="","",Briefing_FID!CT10)</f>
        <v/>
      </c>
      <c r="CU10" s="100" t="str">
        <f>IF(Briefing_FID!CU10="","",Briefing_FID!CU10)</f>
        <v/>
      </c>
      <c r="CV10" s="3" t="str">
        <f>IF(Briefing_FID!CV10="","",Briefing_FID!CV10)</f>
        <v/>
      </c>
      <c r="CW10" s="28" t="str">
        <f>IF(Briefing_FID!CW10="","",Briefing_FID!CW10)</f>
        <v/>
      </c>
      <c r="CX10" s="100" t="str">
        <f>IF(Briefing_FID!CX10="","",Briefing_FID!CX10)</f>
        <v/>
      </c>
      <c r="CY10" s="3" t="str">
        <f>IF(Briefing_FID!CY10="","",Briefing_FID!CY10)</f>
        <v/>
      </c>
      <c r="CZ10" s="28" t="str">
        <f>IF(Briefing_FID!CZ10="","",Briefing_FID!CZ10)</f>
        <v/>
      </c>
      <c r="DA10" s="100" t="str">
        <f>IF(Briefing_FID!DA10="","",Briefing_FID!DA10)</f>
        <v/>
      </c>
      <c r="DB10" s="3" t="str">
        <f>IF(Briefing_FID!DB10="","",Briefing_FID!DB10)</f>
        <v/>
      </c>
      <c r="DC10" s="28" t="str">
        <f>IF(Briefing_FID!DC10="","",Briefing_FID!DC10)</f>
        <v/>
      </c>
      <c r="DD10" s="100" t="str">
        <f>IF(Briefing_FID!DD10="","",Briefing_FID!DD10)</f>
        <v/>
      </c>
      <c r="DE10" s="3" t="str">
        <f>IF(Briefing_FID!DE10="","",Briefing_FID!DE10)</f>
        <v/>
      </c>
      <c r="DF10" s="28" t="str">
        <f>IF(Briefing_FID!DF10="","",Briefing_FID!DF10)</f>
        <v/>
      </c>
      <c r="DG10" s="100" t="str">
        <f>IF(Briefing_FID!DG10="","",Briefing_FID!DG10)</f>
        <v/>
      </c>
      <c r="DH10" s="3" t="str">
        <f>IF(Briefing_FID!DH10="","",Briefing_FID!DH10)</f>
        <v/>
      </c>
      <c r="DI10" s="28" t="str">
        <f>IF(Briefing_FID!DI10="","",Briefing_FID!DI10)</f>
        <v/>
      </c>
      <c r="DJ10" s="100" t="str">
        <f>IF(Briefing_FID!DJ10="","",Briefing_FID!DJ10)</f>
        <v/>
      </c>
      <c r="DK10" s="3" t="str">
        <f>IF(Briefing_FID!DK10="","",Briefing_FID!DK10)</f>
        <v/>
      </c>
      <c r="DL10" s="28" t="str">
        <f>IF(Briefing_FID!DL10="","",Briefing_FID!DL10)</f>
        <v/>
      </c>
      <c r="DM10" s="100" t="str">
        <f>IF(Briefing_FID!DM10="","",Briefing_FID!DM10)</f>
        <v/>
      </c>
      <c r="DN10" s="3" t="str">
        <f>IF(Briefing_FID!DN10="","",Briefing_FID!DN10)</f>
        <v/>
      </c>
      <c r="DO10" s="28" t="str">
        <f>IF(Briefing_FID!DO10="","",Briefing_FID!DO10)</f>
        <v/>
      </c>
      <c r="DP10" s="100" t="str">
        <f>IF(Briefing_FID!DP10="","",Briefing_FID!DP10)</f>
        <v/>
      </c>
      <c r="DQ10" s="3" t="str">
        <f>IF(Briefing_FID!DQ10="","",Briefing_FID!DQ10)</f>
        <v/>
      </c>
      <c r="DR10" s="28" t="str">
        <f>IF(Briefing_FID!DR10="","",Briefing_FID!DR10)</f>
        <v/>
      </c>
      <c r="DS10" s="100" t="str">
        <f>IF(Briefing_FID!DS10="","",Briefing_FID!DS10)</f>
        <v/>
      </c>
      <c r="DT10" s="3" t="str">
        <f>IF(Briefing_FID!DT10="","",Briefing_FID!DT10)</f>
        <v/>
      </c>
      <c r="DU10" s="28" t="str">
        <f>IF(Briefing_FID!DU10="","",Briefing_FID!DU10)</f>
        <v/>
      </c>
      <c r="DV10" s="100" t="str">
        <f>IF(Briefing_FID!DV10="","",Briefing_FID!DV10)</f>
        <v/>
      </c>
      <c r="DW10" s="3" t="str">
        <f>IF(Briefing_FID!DW10="","",Briefing_FID!DW10)</f>
        <v/>
      </c>
      <c r="DX10" s="28" t="str">
        <f>IF(Briefing_FID!DX10="","",Briefing_FID!DX10)</f>
        <v/>
      </c>
      <c r="DY10" s="100" t="str">
        <f>IF(Briefing_FID!DY10="","",Briefing_FID!DY10)</f>
        <v/>
      </c>
      <c r="DZ10" s="3" t="str">
        <f>IF(Briefing_FID!DZ10="","",Briefing_FID!DZ10)</f>
        <v/>
      </c>
      <c r="EA10" s="28" t="str">
        <f>IF(Briefing_FID!EA10="","",Briefing_FID!EA10)</f>
        <v/>
      </c>
      <c r="EB10" s="100" t="str">
        <f>IF(Briefing_FID!EB10="","",Briefing_FID!EB10)</f>
        <v/>
      </c>
      <c r="EC10" s="3" t="str">
        <f>IF(Briefing_FID!EC10="","",Briefing_FID!EC10)</f>
        <v/>
      </c>
      <c r="ED10" s="28" t="str">
        <f>IF(Briefing_FID!ED10="","",Briefing_FID!ED10)</f>
        <v/>
      </c>
      <c r="EE10" s="100" t="str">
        <f>IF(Briefing_FID!EE10="","",Briefing_FID!EE10)</f>
        <v/>
      </c>
      <c r="EF10" s="3" t="str">
        <f>IF(Briefing_FID!EF10="","",Briefing_FID!EF10)</f>
        <v/>
      </c>
      <c r="EG10" s="28" t="str">
        <f>IF(Briefing_FID!EG10="","",Briefing_FID!EG10)</f>
        <v/>
      </c>
      <c r="EH10" s="100" t="str">
        <f>IF(Briefing_FID!EH10="","",Briefing_FID!EH10)</f>
        <v/>
      </c>
      <c r="EI10" s="3" t="str">
        <f>IF(Briefing_FID!EI10="","",Briefing_FID!EI10)</f>
        <v/>
      </c>
      <c r="EJ10" s="28" t="str">
        <f>IF(Briefing_FID!EJ10="","",Briefing_FID!EJ10)</f>
        <v/>
      </c>
      <c r="EK10" s="100" t="str">
        <f>IF(Briefing_FID!EK10="","",Briefing_FID!EK10)</f>
        <v/>
      </c>
      <c r="EL10" s="3" t="str">
        <f>IF(Briefing_FID!EL10="","",Briefing_FID!EL10)</f>
        <v/>
      </c>
      <c r="EM10" s="28" t="str">
        <f>IF(Briefing_FID!EM10="","",Briefing_FID!EM10)</f>
        <v/>
      </c>
      <c r="EN10" s="100" t="str">
        <f>IF(Briefing_FID!EN10="","",Briefing_FID!EN10)</f>
        <v/>
      </c>
      <c r="EO10" s="3" t="str">
        <f>IF(Briefing_FID!EO10="","",Briefing_FID!EO10)</f>
        <v/>
      </c>
      <c r="EP10" s="28" t="str">
        <f>IF(Briefing_FID!EP10="","",Briefing_FID!EP10)</f>
        <v/>
      </c>
      <c r="EQ10" s="28" t="str">
        <f>IF(Briefing_FID!EQ10="","",Briefing_FID!EQ10)</f>
        <v/>
      </c>
      <c r="ER10" s="28" t="str">
        <f>IF(Briefing_FID!ER10="","",Briefing_FID!ER10)</f>
        <v/>
      </c>
      <c r="ES10" s="62"/>
      <c r="ET10" s="96" t="str">
        <f>IF(Briefing_FID!EZ10="","",Briefing_FID!EZ10)</f>
        <v/>
      </c>
      <c r="EU10" s="97" t="str">
        <f>IF(Briefing_FID!FA10="","",Briefing_FID!FA10)</f>
        <v/>
      </c>
      <c r="EV10" s="98" t="str">
        <f>IF(Briefing_FID!FB10="","",Briefing_FID!FB10)</f>
        <v/>
      </c>
      <c r="EW10" s="96" t="str">
        <f>IF(Briefing_FID!FC10="","",Briefing_FID!FC10)</f>
        <v/>
      </c>
      <c r="EX10" s="97" t="str">
        <f>IF(Briefing_FID!FD10="","",Briefing_FID!FD10)</f>
        <v/>
      </c>
      <c r="EY10" s="98" t="str">
        <f>IF(Briefing_FID!FE10="","",Briefing_FID!FE10)</f>
        <v/>
      </c>
      <c r="EZ10" s="104" t="str">
        <f>IF(Briefing_FID!FF10="","",Briefing_FID!FF10)</f>
        <v/>
      </c>
      <c r="FA10" s="144" t="str">
        <f>IF(Briefing_FID!FG10="","",Briefing_FID!FG10)</f>
        <v/>
      </c>
      <c r="FB10" s="144" t="str">
        <f>IF(Briefing_FID!FH10="","",Briefing_FID!FH10)</f>
        <v/>
      </c>
      <c r="FC10" s="144" t="str">
        <f>IF(Briefing_FID!FI10="","",Briefing_FID!FI10)</f>
        <v/>
      </c>
      <c r="FD10" s="144" t="str">
        <f>IF(Briefing_FID!FJ10="","",Briefing_FID!FJ10)</f>
        <v/>
      </c>
      <c r="FE10" s="144" t="str">
        <f>IF(Briefing_FID!FK10="","",Briefing_FID!FK10)</f>
        <v/>
      </c>
      <c r="FF10" s="144" t="str">
        <f>IF(Briefing_FID!FL10="","",Briefing_FID!FL10)</f>
        <v/>
      </c>
      <c r="FG10" s="144" t="str">
        <f>IF(Briefing_FID!FM10="","",Briefing_FID!FM10)</f>
        <v/>
      </c>
      <c r="FH10" s="144" t="str">
        <f>IF(Briefing_FID!FN10="","",Briefing_FID!FN10)</f>
        <v/>
      </c>
      <c r="FI10" s="144" t="str">
        <f>IF(Briefing_FID!FO10="","",Briefing_FID!FO10)</f>
        <v/>
      </c>
      <c r="FJ10" s="144" t="str">
        <f>IF(Briefing_FID!FP10="","",Briefing_FID!FP10)</f>
        <v/>
      </c>
      <c r="FK10" s="144" t="str">
        <f>IF(Briefing_FID!FQ10="","",Briefing_FID!FQ10)</f>
        <v/>
      </c>
      <c r="FL10" s="144" t="str">
        <f>IF(Briefing_FID!FR10="","",Briefing_FID!FR10)</f>
        <v/>
      </c>
      <c r="FM10" s="144" t="str">
        <f>IF(Briefing_FID!FS10="","",Briefing_FID!FS10)</f>
        <v/>
      </c>
      <c r="FN10" s="144" t="str">
        <f>IF(Briefing_FID!FT10="","",Briefing_FID!FT10)</f>
        <v/>
      </c>
      <c r="FO10" s="144" t="str">
        <f>IF(Briefing_FID!FU10="","",Briefing_FID!FU10)</f>
        <v/>
      </c>
      <c r="FP10" s="144" t="str">
        <f>IF(Briefing_FID!FV10="","",Briefing_FID!FV10)</f>
        <v/>
      </c>
      <c r="FQ10" s="144" t="str">
        <f>IF(Briefing_FID!FW10="","",Briefing_FID!FW10)</f>
        <v/>
      </c>
      <c r="FR10" s="151"/>
      <c r="FS10" s="152"/>
      <c r="FT10" s="152"/>
      <c r="FU10" s="152"/>
      <c r="FV10" s="152"/>
      <c r="FW10" s="152"/>
      <c r="FX10" s="152"/>
      <c r="FY10" s="152"/>
      <c r="FZ10" s="152"/>
      <c r="GA10" s="153"/>
    </row>
    <row r="11" spans="1:183">
      <c r="A11" s="136" t="str">
        <f>IF(Briefing_FID!A11="","",Briefing_FID!A11)</f>
        <v/>
      </c>
      <c r="B11" s="137" t="str">
        <f>IF(Briefing_FID!B11="","",Briefing_FID!B11)</f>
        <v/>
      </c>
      <c r="C11" s="137" t="str">
        <f>IF(Briefing_FID!C11="","",Briefing_FID!C11)</f>
        <v/>
      </c>
      <c r="D11" s="46"/>
      <c r="E11" s="120"/>
      <c r="F11" s="117"/>
      <c r="G11" s="117"/>
      <c r="H11" s="72"/>
      <c r="I11" s="72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23"/>
      <c r="AD11" s="117"/>
      <c r="AE11" s="117"/>
      <c r="AF11" s="117"/>
      <c r="AG11" s="117"/>
      <c r="AH11" s="117"/>
      <c r="AI11" s="117"/>
      <c r="AJ11" s="117"/>
      <c r="AK11" s="117"/>
      <c r="AL11" s="124"/>
      <c r="AM11" s="37"/>
      <c r="AN11" s="38"/>
      <c r="AO11" s="39"/>
      <c r="AP11" s="111" t="str">
        <f>IF(Briefing_FID!AP11="","",Briefing_FID!AP11)</f>
        <v/>
      </c>
      <c r="AQ11" s="112" t="str">
        <f>IF(Briefing_FID!AQ11="","",Briefing_FID!AQ11)</f>
        <v/>
      </c>
      <c r="AR11" s="107" t="str">
        <f>IF(Briefing_FID!AR11="","",Briefing_FID!AR11)</f>
        <v/>
      </c>
      <c r="AS11" s="108" t="str">
        <f>IF(Briefing_FID!AS11="","",Briefing_FID!AS11)</f>
        <v/>
      </c>
      <c r="AT11" s="113" t="str">
        <f>IF(Briefing_FID!AT11="","",Briefing_FID!AT11)</f>
        <v/>
      </c>
      <c r="AU11" s="113" t="str">
        <f>IF(Briefing_FID!AU11="","",Briefing_FID!AU11)</f>
        <v/>
      </c>
      <c r="AV11" s="113" t="str">
        <f>IF(Briefing_FID!AV11="","",Briefing_FID!AV11)</f>
        <v/>
      </c>
      <c r="AW11" s="113" t="str">
        <f>IF(Briefing_FID!AW11="","",Briefing_FID!AW11)</f>
        <v/>
      </c>
      <c r="AX11" s="114" t="str">
        <f>IF(Briefing_FID!AX11="","",Briefing_FID!AX11)</f>
        <v/>
      </c>
      <c r="AY11" s="71"/>
      <c r="AZ11" s="117" t="str">
        <f>IF(Briefing_FID!AZ11="","",Briefing_FID!AZ11)</f>
        <v/>
      </c>
      <c r="BA11" s="118" t="str">
        <f>IF(Briefing_FID!BA11="","",Briefing_FID!BA11)</f>
        <v/>
      </c>
      <c r="BB11" s="55"/>
      <c r="BC11" s="102" t="str">
        <f>IF(Briefing_FID!BC11="","",Briefing_FID!BC11)</f>
        <v/>
      </c>
      <c r="BD11" s="27" t="str">
        <f>IF(Briefing_FID!BD11="","",Briefing_FID!BD11)</f>
        <v/>
      </c>
      <c r="BE11" s="100" t="str">
        <f>IF(Briefing_FID!BE11="","",Briefing_FID!BE11)</f>
        <v/>
      </c>
      <c r="BF11" s="3" t="str">
        <f>IF(Briefing_FID!BF11="","",Briefing_FID!BF11)</f>
        <v/>
      </c>
      <c r="BG11" s="10" t="str">
        <f>IF(Briefing_FID!BG11="","",Briefing_FID!BG11)</f>
        <v/>
      </c>
      <c r="BH11" s="100" t="str">
        <f>IF(Briefing_FID!BH11="","",Briefing_FID!BH11)</f>
        <v/>
      </c>
      <c r="BI11" s="3" t="str">
        <f>IF(Briefing_FID!BI11="","",Briefing_FID!BI11)</f>
        <v/>
      </c>
      <c r="BJ11" s="10" t="str">
        <f>IF(Briefing_FID!BJ11="","",Briefing_FID!BJ11)</f>
        <v/>
      </c>
      <c r="BK11" s="100" t="str">
        <f>IF(Briefing_FID!BK11="","",Briefing_FID!BK11)</f>
        <v/>
      </c>
      <c r="BL11" s="3" t="str">
        <f>IF(Briefing_FID!BL11="","",Briefing_FID!BL11)</f>
        <v/>
      </c>
      <c r="BM11" s="28" t="str">
        <f>IF(Briefing_FID!BM11="","",Briefing_FID!BM11)</f>
        <v/>
      </c>
      <c r="BN11" s="100" t="str">
        <f>IF(Briefing_FID!BN11="","",Briefing_FID!BN11)</f>
        <v/>
      </c>
      <c r="BO11" s="3" t="str">
        <f>IF(Briefing_FID!BO11="","",Briefing_FID!BO11)</f>
        <v/>
      </c>
      <c r="BP11" s="28" t="str">
        <f>IF(Briefing_FID!BP11="","",Briefing_FID!BP11)</f>
        <v/>
      </c>
      <c r="BQ11" s="100" t="str">
        <f>IF(Briefing_FID!BQ11="","",Briefing_FID!BQ11)</f>
        <v/>
      </c>
      <c r="BR11" s="3" t="str">
        <f>IF(Briefing_FID!BR11="","",Briefing_FID!BR11)</f>
        <v/>
      </c>
      <c r="BS11" s="28" t="str">
        <f>IF(Briefing_FID!BS11="","",Briefing_FID!BS11)</f>
        <v/>
      </c>
      <c r="BT11" s="100" t="str">
        <f>IF(Briefing_FID!BT11="","",Briefing_FID!BT11)</f>
        <v/>
      </c>
      <c r="BU11" s="3" t="str">
        <f>IF(Briefing_FID!BU11="","",Briefing_FID!BU11)</f>
        <v/>
      </c>
      <c r="BV11" s="28" t="str">
        <f>IF(Briefing_FID!BV11="","",Briefing_FID!BV11)</f>
        <v/>
      </c>
      <c r="BW11" s="100" t="str">
        <f>IF(Briefing_FID!BW11="","",Briefing_FID!BW11)</f>
        <v/>
      </c>
      <c r="BX11" s="3" t="str">
        <f>IF(Briefing_FID!BX11="","",Briefing_FID!BX11)</f>
        <v/>
      </c>
      <c r="BY11" s="28" t="str">
        <f>IF(Briefing_FID!BY11="","",Briefing_FID!BY11)</f>
        <v/>
      </c>
      <c r="BZ11" s="100" t="str">
        <f>IF(Briefing_FID!BZ11="","",Briefing_FID!BZ11)</f>
        <v/>
      </c>
      <c r="CA11" s="3" t="str">
        <f>IF(Briefing_FID!CA11="","",Briefing_FID!CA11)</f>
        <v/>
      </c>
      <c r="CB11" s="28" t="str">
        <f>IF(Briefing_FID!CB11="","",Briefing_FID!CB11)</f>
        <v/>
      </c>
      <c r="CC11" s="100" t="str">
        <f>IF(Briefing_FID!CC11="","",Briefing_FID!CC11)</f>
        <v/>
      </c>
      <c r="CD11" s="3" t="str">
        <f>IF(Briefing_FID!CD11="","",Briefing_FID!CD11)</f>
        <v/>
      </c>
      <c r="CE11" s="28" t="str">
        <f>IF(Briefing_FID!CE11="","",Briefing_FID!CE11)</f>
        <v/>
      </c>
      <c r="CF11" s="100" t="str">
        <f>IF(Briefing_FID!CF11="","",Briefing_FID!CF11)</f>
        <v/>
      </c>
      <c r="CG11" s="3" t="str">
        <f>IF(Briefing_FID!CG11="","",Briefing_FID!CG11)</f>
        <v/>
      </c>
      <c r="CH11" s="28" t="str">
        <f>IF(Briefing_FID!CH11="","",Briefing_FID!CH11)</f>
        <v/>
      </c>
      <c r="CI11" s="100" t="str">
        <f>IF(Briefing_FID!CI11="","",Briefing_FID!CI11)</f>
        <v/>
      </c>
      <c r="CJ11" s="3" t="str">
        <f>IF(Briefing_FID!CJ11="","",Briefing_FID!CJ11)</f>
        <v/>
      </c>
      <c r="CK11" s="28" t="str">
        <f>IF(Briefing_FID!CK11="","",Briefing_FID!CK11)</f>
        <v/>
      </c>
      <c r="CL11" s="100" t="str">
        <f>IF(Briefing_FID!CL11="","",Briefing_FID!CL11)</f>
        <v/>
      </c>
      <c r="CM11" s="3" t="str">
        <f>IF(Briefing_FID!CM11="","",Briefing_FID!CM11)</f>
        <v/>
      </c>
      <c r="CN11" s="28" t="str">
        <f>IF(Briefing_FID!CN11="","",Briefing_FID!CN11)</f>
        <v/>
      </c>
      <c r="CO11" s="100" t="str">
        <f>IF(Briefing_FID!CO11="","",Briefing_FID!CO11)</f>
        <v/>
      </c>
      <c r="CP11" s="3" t="str">
        <f>IF(Briefing_FID!CP11="","",Briefing_FID!CP11)</f>
        <v/>
      </c>
      <c r="CQ11" s="28" t="str">
        <f>IF(Briefing_FID!CQ11="","",Briefing_FID!CQ11)</f>
        <v/>
      </c>
      <c r="CR11" s="100" t="str">
        <f>IF(Briefing_FID!CR11="","",Briefing_FID!CR11)</f>
        <v/>
      </c>
      <c r="CS11" s="3" t="str">
        <f>IF(Briefing_FID!CS11="","",Briefing_FID!CS11)</f>
        <v/>
      </c>
      <c r="CT11" s="28" t="str">
        <f>IF(Briefing_FID!CT11="","",Briefing_FID!CT11)</f>
        <v/>
      </c>
      <c r="CU11" s="100" t="str">
        <f>IF(Briefing_FID!CU11="","",Briefing_FID!CU11)</f>
        <v/>
      </c>
      <c r="CV11" s="3" t="str">
        <f>IF(Briefing_FID!CV11="","",Briefing_FID!CV11)</f>
        <v/>
      </c>
      <c r="CW11" s="28" t="str">
        <f>IF(Briefing_FID!CW11="","",Briefing_FID!CW11)</f>
        <v/>
      </c>
      <c r="CX11" s="100" t="str">
        <f>IF(Briefing_FID!CX11="","",Briefing_FID!CX11)</f>
        <v/>
      </c>
      <c r="CY11" s="3" t="str">
        <f>IF(Briefing_FID!CY11="","",Briefing_FID!CY11)</f>
        <v/>
      </c>
      <c r="CZ11" s="28" t="str">
        <f>IF(Briefing_FID!CZ11="","",Briefing_FID!CZ11)</f>
        <v/>
      </c>
      <c r="DA11" s="100" t="str">
        <f>IF(Briefing_FID!DA11="","",Briefing_FID!DA11)</f>
        <v/>
      </c>
      <c r="DB11" s="3" t="str">
        <f>IF(Briefing_FID!DB11="","",Briefing_FID!DB11)</f>
        <v/>
      </c>
      <c r="DC11" s="28" t="str">
        <f>IF(Briefing_FID!DC11="","",Briefing_FID!DC11)</f>
        <v/>
      </c>
      <c r="DD11" s="100" t="str">
        <f>IF(Briefing_FID!DD11="","",Briefing_FID!DD11)</f>
        <v/>
      </c>
      <c r="DE11" s="3" t="str">
        <f>IF(Briefing_FID!DE11="","",Briefing_FID!DE11)</f>
        <v/>
      </c>
      <c r="DF11" s="28" t="str">
        <f>IF(Briefing_FID!DF11="","",Briefing_FID!DF11)</f>
        <v/>
      </c>
      <c r="DG11" s="100" t="str">
        <f>IF(Briefing_FID!DG11="","",Briefing_FID!DG11)</f>
        <v/>
      </c>
      <c r="DH11" s="3" t="str">
        <f>IF(Briefing_FID!DH11="","",Briefing_FID!DH11)</f>
        <v/>
      </c>
      <c r="DI11" s="28" t="str">
        <f>IF(Briefing_FID!DI11="","",Briefing_FID!DI11)</f>
        <v/>
      </c>
      <c r="DJ11" s="100" t="str">
        <f>IF(Briefing_FID!DJ11="","",Briefing_FID!DJ11)</f>
        <v/>
      </c>
      <c r="DK11" s="3" t="str">
        <f>IF(Briefing_FID!DK11="","",Briefing_FID!DK11)</f>
        <v/>
      </c>
      <c r="DL11" s="28" t="str">
        <f>IF(Briefing_FID!DL11="","",Briefing_FID!DL11)</f>
        <v/>
      </c>
      <c r="DM11" s="100" t="str">
        <f>IF(Briefing_FID!DM11="","",Briefing_FID!DM11)</f>
        <v/>
      </c>
      <c r="DN11" s="3" t="str">
        <f>IF(Briefing_FID!DN11="","",Briefing_FID!DN11)</f>
        <v/>
      </c>
      <c r="DO11" s="28" t="str">
        <f>IF(Briefing_FID!DO11="","",Briefing_FID!DO11)</f>
        <v/>
      </c>
      <c r="DP11" s="100" t="str">
        <f>IF(Briefing_FID!DP11="","",Briefing_FID!DP11)</f>
        <v/>
      </c>
      <c r="DQ11" s="3" t="str">
        <f>IF(Briefing_FID!DQ11="","",Briefing_FID!DQ11)</f>
        <v/>
      </c>
      <c r="DR11" s="28" t="str">
        <f>IF(Briefing_FID!DR11="","",Briefing_FID!DR11)</f>
        <v/>
      </c>
      <c r="DS11" s="100" t="str">
        <f>IF(Briefing_FID!DS11="","",Briefing_FID!DS11)</f>
        <v/>
      </c>
      <c r="DT11" s="3" t="str">
        <f>IF(Briefing_FID!DT11="","",Briefing_FID!DT11)</f>
        <v/>
      </c>
      <c r="DU11" s="28" t="str">
        <f>IF(Briefing_FID!DU11="","",Briefing_FID!DU11)</f>
        <v/>
      </c>
      <c r="DV11" s="100" t="str">
        <f>IF(Briefing_FID!DV11="","",Briefing_FID!DV11)</f>
        <v/>
      </c>
      <c r="DW11" s="3" t="str">
        <f>IF(Briefing_FID!DW11="","",Briefing_FID!DW11)</f>
        <v/>
      </c>
      <c r="DX11" s="28" t="str">
        <f>IF(Briefing_FID!DX11="","",Briefing_FID!DX11)</f>
        <v/>
      </c>
      <c r="DY11" s="100" t="str">
        <f>IF(Briefing_FID!DY11="","",Briefing_FID!DY11)</f>
        <v/>
      </c>
      <c r="DZ11" s="3" t="str">
        <f>IF(Briefing_FID!DZ11="","",Briefing_FID!DZ11)</f>
        <v/>
      </c>
      <c r="EA11" s="28" t="str">
        <f>IF(Briefing_FID!EA11="","",Briefing_FID!EA11)</f>
        <v/>
      </c>
      <c r="EB11" s="100" t="str">
        <f>IF(Briefing_FID!EB11="","",Briefing_FID!EB11)</f>
        <v/>
      </c>
      <c r="EC11" s="3" t="str">
        <f>IF(Briefing_FID!EC11="","",Briefing_FID!EC11)</f>
        <v/>
      </c>
      <c r="ED11" s="28" t="str">
        <f>IF(Briefing_FID!ED11="","",Briefing_FID!ED11)</f>
        <v/>
      </c>
      <c r="EE11" s="100" t="str">
        <f>IF(Briefing_FID!EE11="","",Briefing_FID!EE11)</f>
        <v/>
      </c>
      <c r="EF11" s="3" t="str">
        <f>IF(Briefing_FID!EF11="","",Briefing_FID!EF11)</f>
        <v/>
      </c>
      <c r="EG11" s="28" t="str">
        <f>IF(Briefing_FID!EG11="","",Briefing_FID!EG11)</f>
        <v/>
      </c>
      <c r="EH11" s="100" t="str">
        <f>IF(Briefing_FID!EH11="","",Briefing_FID!EH11)</f>
        <v/>
      </c>
      <c r="EI11" s="3" t="str">
        <f>IF(Briefing_FID!EI11="","",Briefing_FID!EI11)</f>
        <v/>
      </c>
      <c r="EJ11" s="28" t="str">
        <f>IF(Briefing_FID!EJ11="","",Briefing_FID!EJ11)</f>
        <v/>
      </c>
      <c r="EK11" s="100" t="str">
        <f>IF(Briefing_FID!EK11="","",Briefing_FID!EK11)</f>
        <v/>
      </c>
      <c r="EL11" s="3" t="str">
        <f>IF(Briefing_FID!EL11="","",Briefing_FID!EL11)</f>
        <v/>
      </c>
      <c r="EM11" s="28" t="str">
        <f>IF(Briefing_FID!EM11="","",Briefing_FID!EM11)</f>
        <v/>
      </c>
      <c r="EN11" s="100" t="str">
        <f>IF(Briefing_FID!EN11="","",Briefing_FID!EN11)</f>
        <v/>
      </c>
      <c r="EO11" s="3" t="str">
        <f>IF(Briefing_FID!EO11="","",Briefing_FID!EO11)</f>
        <v/>
      </c>
      <c r="EP11" s="28" t="str">
        <f>IF(Briefing_FID!EP11="","",Briefing_FID!EP11)</f>
        <v/>
      </c>
      <c r="EQ11" s="28" t="str">
        <f>IF(Briefing_FID!EQ11="","",Briefing_FID!EQ11)</f>
        <v/>
      </c>
      <c r="ER11" s="28" t="str">
        <f>IF(Briefing_FID!ER11="","",Briefing_FID!ER11)</f>
        <v/>
      </c>
      <c r="ES11" s="62"/>
      <c r="ET11" s="96" t="str">
        <f>IF(Briefing_FID!EZ11="","",Briefing_FID!EZ11)</f>
        <v/>
      </c>
      <c r="EU11" s="97" t="str">
        <f>IF(Briefing_FID!FA11="","",Briefing_FID!FA11)</f>
        <v/>
      </c>
      <c r="EV11" s="98" t="str">
        <f>IF(Briefing_FID!FB11="","",Briefing_FID!FB11)</f>
        <v/>
      </c>
      <c r="EW11" s="96" t="str">
        <f>IF(Briefing_FID!FC11="","",Briefing_FID!FC11)</f>
        <v/>
      </c>
      <c r="EX11" s="97" t="str">
        <f>IF(Briefing_FID!FD11="","",Briefing_FID!FD11)</f>
        <v/>
      </c>
      <c r="EY11" s="98" t="str">
        <f>IF(Briefing_FID!FE11="","",Briefing_FID!FE11)</f>
        <v/>
      </c>
      <c r="EZ11" s="104" t="str">
        <f>IF(Briefing_FID!FF11="","",Briefing_FID!FF11)</f>
        <v/>
      </c>
      <c r="FA11" s="144" t="str">
        <f>IF(Briefing_FID!FG11="","",Briefing_FID!FG11)</f>
        <v/>
      </c>
      <c r="FB11" s="144" t="str">
        <f>IF(Briefing_FID!FH11="","",Briefing_FID!FH11)</f>
        <v/>
      </c>
      <c r="FC11" s="144" t="str">
        <f>IF(Briefing_FID!FI11="","",Briefing_FID!FI11)</f>
        <v/>
      </c>
      <c r="FD11" s="144" t="str">
        <f>IF(Briefing_FID!FJ11="","",Briefing_FID!FJ11)</f>
        <v/>
      </c>
      <c r="FE11" s="144" t="str">
        <f>IF(Briefing_FID!FK11="","",Briefing_FID!FK11)</f>
        <v/>
      </c>
      <c r="FF11" s="144" t="str">
        <f>IF(Briefing_FID!FL11="","",Briefing_FID!FL11)</f>
        <v/>
      </c>
      <c r="FG11" s="144" t="str">
        <f>IF(Briefing_FID!FM11="","",Briefing_FID!FM11)</f>
        <v/>
      </c>
      <c r="FH11" s="144" t="str">
        <f>IF(Briefing_FID!FN11="","",Briefing_FID!FN11)</f>
        <v/>
      </c>
      <c r="FI11" s="144" t="str">
        <f>IF(Briefing_FID!FO11="","",Briefing_FID!FO11)</f>
        <v/>
      </c>
      <c r="FJ11" s="144" t="str">
        <f>IF(Briefing_FID!FP11="","",Briefing_FID!FP11)</f>
        <v/>
      </c>
      <c r="FK11" s="144" t="str">
        <f>IF(Briefing_FID!FQ11="","",Briefing_FID!FQ11)</f>
        <v/>
      </c>
      <c r="FL11" s="144" t="str">
        <f>IF(Briefing_FID!FR11="","",Briefing_FID!FR11)</f>
        <v/>
      </c>
      <c r="FM11" s="144" t="str">
        <f>IF(Briefing_FID!FS11="","",Briefing_FID!FS11)</f>
        <v/>
      </c>
      <c r="FN11" s="144" t="str">
        <f>IF(Briefing_FID!FT11="","",Briefing_FID!FT11)</f>
        <v/>
      </c>
      <c r="FO11" s="144" t="str">
        <f>IF(Briefing_FID!FU11="","",Briefing_FID!FU11)</f>
        <v/>
      </c>
      <c r="FP11" s="144" t="str">
        <f>IF(Briefing_FID!FV11="","",Briefing_FID!FV11)</f>
        <v/>
      </c>
      <c r="FQ11" s="144" t="str">
        <f>IF(Briefing_FID!FW11="","",Briefing_FID!FW11)</f>
        <v/>
      </c>
      <c r="FR11" s="151"/>
      <c r="FS11" s="152"/>
      <c r="FT11" s="152"/>
      <c r="FU11" s="152"/>
      <c r="FV11" s="152"/>
      <c r="FW11" s="152"/>
      <c r="FX11" s="152"/>
      <c r="FY11" s="152"/>
      <c r="FZ11" s="152"/>
      <c r="GA11" s="153"/>
    </row>
    <row r="12" spans="1:183">
      <c r="A12" s="136" t="str">
        <f>IF(Briefing_FID!A12="","",Briefing_FID!A12)</f>
        <v/>
      </c>
      <c r="B12" s="137" t="str">
        <f>IF(Briefing_FID!B12="","",Briefing_FID!B12)</f>
        <v/>
      </c>
      <c r="C12" s="137" t="str">
        <f>IF(Briefing_FID!C12="","",Briefing_FID!C12)</f>
        <v/>
      </c>
      <c r="D12" s="46"/>
      <c r="E12" s="120"/>
      <c r="F12" s="117"/>
      <c r="G12" s="117"/>
      <c r="H12" s="72"/>
      <c r="I12" s="72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23"/>
      <c r="AD12" s="117"/>
      <c r="AE12" s="117"/>
      <c r="AF12" s="117"/>
      <c r="AG12" s="117"/>
      <c r="AH12" s="117"/>
      <c r="AI12" s="117"/>
      <c r="AJ12" s="117"/>
      <c r="AK12" s="117"/>
      <c r="AL12" s="124"/>
      <c r="AM12" s="37"/>
      <c r="AN12" s="38"/>
      <c r="AO12" s="39"/>
      <c r="AP12" s="111" t="str">
        <f>IF(Briefing_FID!AP12="","",Briefing_FID!AP12)</f>
        <v/>
      </c>
      <c r="AQ12" s="112" t="str">
        <f>IF(Briefing_FID!AQ12="","",Briefing_FID!AQ12)</f>
        <v/>
      </c>
      <c r="AR12" s="107" t="str">
        <f>IF(Briefing_FID!AR12="","",Briefing_FID!AR12)</f>
        <v/>
      </c>
      <c r="AS12" s="108" t="str">
        <f>IF(Briefing_FID!AS12="","",Briefing_FID!AS12)</f>
        <v/>
      </c>
      <c r="AT12" s="113" t="str">
        <f>IF(Briefing_FID!AT12="","",Briefing_FID!AT12)</f>
        <v/>
      </c>
      <c r="AU12" s="113" t="str">
        <f>IF(Briefing_FID!AU12="","",Briefing_FID!AU12)</f>
        <v/>
      </c>
      <c r="AV12" s="113" t="str">
        <f>IF(Briefing_FID!AV12="","",Briefing_FID!AV12)</f>
        <v/>
      </c>
      <c r="AW12" s="113" t="str">
        <f>IF(Briefing_FID!AW12="","",Briefing_FID!AW12)</f>
        <v/>
      </c>
      <c r="AX12" s="114" t="str">
        <f>IF(Briefing_FID!AX12="","",Briefing_FID!AX12)</f>
        <v/>
      </c>
      <c r="AY12" s="71"/>
      <c r="AZ12" s="117" t="str">
        <f>IF(Briefing_FID!AZ12="","",Briefing_FID!AZ12)</f>
        <v/>
      </c>
      <c r="BA12" s="118" t="str">
        <f>IF(Briefing_FID!BA12="","",Briefing_FID!BA12)</f>
        <v/>
      </c>
      <c r="BB12" s="55"/>
      <c r="BC12" s="102" t="str">
        <f>IF(Briefing_FID!BC12="","",Briefing_FID!BC12)</f>
        <v/>
      </c>
      <c r="BD12" s="27" t="str">
        <f>IF(Briefing_FID!BD12="","",Briefing_FID!BD12)</f>
        <v/>
      </c>
      <c r="BE12" s="100" t="str">
        <f>IF(Briefing_FID!BE12="","",Briefing_FID!BE12)</f>
        <v/>
      </c>
      <c r="BF12" s="3" t="str">
        <f>IF(Briefing_FID!BF12="","",Briefing_FID!BF12)</f>
        <v/>
      </c>
      <c r="BG12" s="10" t="str">
        <f>IF(Briefing_FID!BG12="","",Briefing_FID!BG12)</f>
        <v/>
      </c>
      <c r="BH12" s="100" t="str">
        <f>IF(Briefing_FID!BH12="","",Briefing_FID!BH12)</f>
        <v/>
      </c>
      <c r="BI12" s="3" t="str">
        <f>IF(Briefing_FID!BI12="","",Briefing_FID!BI12)</f>
        <v/>
      </c>
      <c r="BJ12" s="10" t="str">
        <f>IF(Briefing_FID!BJ12="","",Briefing_FID!BJ12)</f>
        <v/>
      </c>
      <c r="BK12" s="100" t="str">
        <f>IF(Briefing_FID!BK12="","",Briefing_FID!BK12)</f>
        <v/>
      </c>
      <c r="BL12" s="3" t="str">
        <f>IF(Briefing_FID!BL12="","",Briefing_FID!BL12)</f>
        <v/>
      </c>
      <c r="BM12" s="28" t="str">
        <f>IF(Briefing_FID!BM12="","",Briefing_FID!BM12)</f>
        <v/>
      </c>
      <c r="BN12" s="100" t="str">
        <f>IF(Briefing_FID!BN12="","",Briefing_FID!BN12)</f>
        <v/>
      </c>
      <c r="BO12" s="3" t="str">
        <f>IF(Briefing_FID!BO12="","",Briefing_FID!BO12)</f>
        <v/>
      </c>
      <c r="BP12" s="28" t="str">
        <f>IF(Briefing_FID!BP12="","",Briefing_FID!BP12)</f>
        <v/>
      </c>
      <c r="BQ12" s="100" t="str">
        <f>IF(Briefing_FID!BQ12="","",Briefing_FID!BQ12)</f>
        <v/>
      </c>
      <c r="BR12" s="3" t="str">
        <f>IF(Briefing_FID!BR12="","",Briefing_FID!BR12)</f>
        <v/>
      </c>
      <c r="BS12" s="28" t="str">
        <f>IF(Briefing_FID!BS12="","",Briefing_FID!BS12)</f>
        <v/>
      </c>
      <c r="BT12" s="100" t="str">
        <f>IF(Briefing_FID!BT12="","",Briefing_FID!BT12)</f>
        <v/>
      </c>
      <c r="BU12" s="3" t="str">
        <f>IF(Briefing_FID!BU12="","",Briefing_FID!BU12)</f>
        <v/>
      </c>
      <c r="BV12" s="28" t="str">
        <f>IF(Briefing_FID!BV12="","",Briefing_FID!BV12)</f>
        <v/>
      </c>
      <c r="BW12" s="100" t="str">
        <f>IF(Briefing_FID!BW12="","",Briefing_FID!BW12)</f>
        <v/>
      </c>
      <c r="BX12" s="3" t="str">
        <f>IF(Briefing_FID!BX12="","",Briefing_FID!BX12)</f>
        <v/>
      </c>
      <c r="BY12" s="28" t="str">
        <f>IF(Briefing_FID!BY12="","",Briefing_FID!BY12)</f>
        <v/>
      </c>
      <c r="BZ12" s="100" t="str">
        <f>IF(Briefing_FID!BZ12="","",Briefing_FID!BZ12)</f>
        <v/>
      </c>
      <c r="CA12" s="3" t="str">
        <f>IF(Briefing_FID!CA12="","",Briefing_FID!CA12)</f>
        <v/>
      </c>
      <c r="CB12" s="28" t="str">
        <f>IF(Briefing_FID!CB12="","",Briefing_FID!CB12)</f>
        <v/>
      </c>
      <c r="CC12" s="100" t="str">
        <f>IF(Briefing_FID!CC12="","",Briefing_FID!CC12)</f>
        <v/>
      </c>
      <c r="CD12" s="3" t="str">
        <f>IF(Briefing_FID!CD12="","",Briefing_FID!CD12)</f>
        <v/>
      </c>
      <c r="CE12" s="28" t="str">
        <f>IF(Briefing_FID!CE12="","",Briefing_FID!CE12)</f>
        <v/>
      </c>
      <c r="CF12" s="100" t="str">
        <f>IF(Briefing_FID!CF12="","",Briefing_FID!CF12)</f>
        <v/>
      </c>
      <c r="CG12" s="3" t="str">
        <f>IF(Briefing_FID!CG12="","",Briefing_FID!CG12)</f>
        <v/>
      </c>
      <c r="CH12" s="28" t="str">
        <f>IF(Briefing_FID!CH12="","",Briefing_FID!CH12)</f>
        <v/>
      </c>
      <c r="CI12" s="100" t="str">
        <f>IF(Briefing_FID!CI12="","",Briefing_FID!CI12)</f>
        <v/>
      </c>
      <c r="CJ12" s="3" t="str">
        <f>IF(Briefing_FID!CJ12="","",Briefing_FID!CJ12)</f>
        <v/>
      </c>
      <c r="CK12" s="28" t="str">
        <f>IF(Briefing_FID!CK12="","",Briefing_FID!CK12)</f>
        <v/>
      </c>
      <c r="CL12" s="100" t="str">
        <f>IF(Briefing_FID!CL12="","",Briefing_FID!CL12)</f>
        <v/>
      </c>
      <c r="CM12" s="3" t="str">
        <f>IF(Briefing_FID!CM12="","",Briefing_FID!CM12)</f>
        <v/>
      </c>
      <c r="CN12" s="28" t="str">
        <f>IF(Briefing_FID!CN12="","",Briefing_FID!CN12)</f>
        <v/>
      </c>
      <c r="CO12" s="100" t="str">
        <f>IF(Briefing_FID!CO12="","",Briefing_FID!CO12)</f>
        <v/>
      </c>
      <c r="CP12" s="3" t="str">
        <f>IF(Briefing_FID!CP12="","",Briefing_FID!CP12)</f>
        <v/>
      </c>
      <c r="CQ12" s="28" t="str">
        <f>IF(Briefing_FID!CQ12="","",Briefing_FID!CQ12)</f>
        <v/>
      </c>
      <c r="CR12" s="100" t="str">
        <f>IF(Briefing_FID!CR12="","",Briefing_FID!CR12)</f>
        <v/>
      </c>
      <c r="CS12" s="3" t="str">
        <f>IF(Briefing_FID!CS12="","",Briefing_FID!CS12)</f>
        <v/>
      </c>
      <c r="CT12" s="28" t="str">
        <f>IF(Briefing_FID!CT12="","",Briefing_FID!CT12)</f>
        <v/>
      </c>
      <c r="CU12" s="100" t="str">
        <f>IF(Briefing_FID!CU12="","",Briefing_FID!CU12)</f>
        <v/>
      </c>
      <c r="CV12" s="3" t="str">
        <f>IF(Briefing_FID!CV12="","",Briefing_FID!CV12)</f>
        <v/>
      </c>
      <c r="CW12" s="28" t="str">
        <f>IF(Briefing_FID!CW12="","",Briefing_FID!CW12)</f>
        <v/>
      </c>
      <c r="CX12" s="100" t="str">
        <f>IF(Briefing_FID!CX12="","",Briefing_FID!CX12)</f>
        <v/>
      </c>
      <c r="CY12" s="3" t="str">
        <f>IF(Briefing_FID!CY12="","",Briefing_FID!CY12)</f>
        <v/>
      </c>
      <c r="CZ12" s="28" t="str">
        <f>IF(Briefing_FID!CZ12="","",Briefing_FID!CZ12)</f>
        <v/>
      </c>
      <c r="DA12" s="100" t="str">
        <f>IF(Briefing_FID!DA12="","",Briefing_FID!DA12)</f>
        <v/>
      </c>
      <c r="DB12" s="3" t="str">
        <f>IF(Briefing_FID!DB12="","",Briefing_FID!DB12)</f>
        <v/>
      </c>
      <c r="DC12" s="28" t="str">
        <f>IF(Briefing_FID!DC12="","",Briefing_FID!DC12)</f>
        <v/>
      </c>
      <c r="DD12" s="100" t="str">
        <f>IF(Briefing_FID!DD12="","",Briefing_FID!DD12)</f>
        <v/>
      </c>
      <c r="DE12" s="3" t="str">
        <f>IF(Briefing_FID!DE12="","",Briefing_FID!DE12)</f>
        <v/>
      </c>
      <c r="DF12" s="28" t="str">
        <f>IF(Briefing_FID!DF12="","",Briefing_FID!DF12)</f>
        <v/>
      </c>
      <c r="DG12" s="100" t="str">
        <f>IF(Briefing_FID!DG12="","",Briefing_FID!DG12)</f>
        <v/>
      </c>
      <c r="DH12" s="3" t="str">
        <f>IF(Briefing_FID!DH12="","",Briefing_FID!DH12)</f>
        <v/>
      </c>
      <c r="DI12" s="28" t="str">
        <f>IF(Briefing_FID!DI12="","",Briefing_FID!DI12)</f>
        <v/>
      </c>
      <c r="DJ12" s="100" t="str">
        <f>IF(Briefing_FID!DJ12="","",Briefing_FID!DJ12)</f>
        <v/>
      </c>
      <c r="DK12" s="3" t="str">
        <f>IF(Briefing_FID!DK12="","",Briefing_FID!DK12)</f>
        <v/>
      </c>
      <c r="DL12" s="28" t="str">
        <f>IF(Briefing_FID!DL12="","",Briefing_FID!DL12)</f>
        <v/>
      </c>
      <c r="DM12" s="100" t="str">
        <f>IF(Briefing_FID!DM12="","",Briefing_FID!DM12)</f>
        <v/>
      </c>
      <c r="DN12" s="3" t="str">
        <f>IF(Briefing_FID!DN12="","",Briefing_FID!DN12)</f>
        <v/>
      </c>
      <c r="DO12" s="28" t="str">
        <f>IF(Briefing_FID!DO12="","",Briefing_FID!DO12)</f>
        <v/>
      </c>
      <c r="DP12" s="100" t="str">
        <f>IF(Briefing_FID!DP12="","",Briefing_FID!DP12)</f>
        <v/>
      </c>
      <c r="DQ12" s="3" t="str">
        <f>IF(Briefing_FID!DQ12="","",Briefing_FID!DQ12)</f>
        <v/>
      </c>
      <c r="DR12" s="28" t="str">
        <f>IF(Briefing_FID!DR12="","",Briefing_FID!DR12)</f>
        <v/>
      </c>
      <c r="DS12" s="100" t="str">
        <f>IF(Briefing_FID!DS12="","",Briefing_FID!DS12)</f>
        <v/>
      </c>
      <c r="DT12" s="3" t="str">
        <f>IF(Briefing_FID!DT12="","",Briefing_FID!DT12)</f>
        <v/>
      </c>
      <c r="DU12" s="28" t="str">
        <f>IF(Briefing_FID!DU12="","",Briefing_FID!DU12)</f>
        <v/>
      </c>
      <c r="DV12" s="100" t="str">
        <f>IF(Briefing_FID!DV12="","",Briefing_FID!DV12)</f>
        <v/>
      </c>
      <c r="DW12" s="3" t="str">
        <f>IF(Briefing_FID!DW12="","",Briefing_FID!DW12)</f>
        <v/>
      </c>
      <c r="DX12" s="28" t="str">
        <f>IF(Briefing_FID!DX12="","",Briefing_FID!DX12)</f>
        <v/>
      </c>
      <c r="DY12" s="100" t="str">
        <f>IF(Briefing_FID!DY12="","",Briefing_FID!DY12)</f>
        <v/>
      </c>
      <c r="DZ12" s="3" t="str">
        <f>IF(Briefing_FID!DZ12="","",Briefing_FID!DZ12)</f>
        <v/>
      </c>
      <c r="EA12" s="28" t="str">
        <f>IF(Briefing_FID!EA12="","",Briefing_FID!EA12)</f>
        <v/>
      </c>
      <c r="EB12" s="100" t="str">
        <f>IF(Briefing_FID!EB12="","",Briefing_FID!EB12)</f>
        <v/>
      </c>
      <c r="EC12" s="3" t="str">
        <f>IF(Briefing_FID!EC12="","",Briefing_FID!EC12)</f>
        <v/>
      </c>
      <c r="ED12" s="28" t="str">
        <f>IF(Briefing_FID!ED12="","",Briefing_FID!ED12)</f>
        <v/>
      </c>
      <c r="EE12" s="100" t="str">
        <f>IF(Briefing_FID!EE12="","",Briefing_FID!EE12)</f>
        <v/>
      </c>
      <c r="EF12" s="3" t="str">
        <f>IF(Briefing_FID!EF12="","",Briefing_FID!EF12)</f>
        <v/>
      </c>
      <c r="EG12" s="28" t="str">
        <f>IF(Briefing_FID!EG12="","",Briefing_FID!EG12)</f>
        <v/>
      </c>
      <c r="EH12" s="100" t="str">
        <f>IF(Briefing_FID!EH12="","",Briefing_FID!EH12)</f>
        <v/>
      </c>
      <c r="EI12" s="3" t="str">
        <f>IF(Briefing_FID!EI12="","",Briefing_FID!EI12)</f>
        <v/>
      </c>
      <c r="EJ12" s="28" t="str">
        <f>IF(Briefing_FID!EJ12="","",Briefing_FID!EJ12)</f>
        <v/>
      </c>
      <c r="EK12" s="100" t="str">
        <f>IF(Briefing_FID!EK12="","",Briefing_FID!EK12)</f>
        <v/>
      </c>
      <c r="EL12" s="3" t="str">
        <f>IF(Briefing_FID!EL12="","",Briefing_FID!EL12)</f>
        <v/>
      </c>
      <c r="EM12" s="28" t="str">
        <f>IF(Briefing_FID!EM12="","",Briefing_FID!EM12)</f>
        <v/>
      </c>
      <c r="EN12" s="100" t="str">
        <f>IF(Briefing_FID!EN12="","",Briefing_FID!EN12)</f>
        <v/>
      </c>
      <c r="EO12" s="3" t="str">
        <f>IF(Briefing_FID!EO12="","",Briefing_FID!EO12)</f>
        <v/>
      </c>
      <c r="EP12" s="28" t="str">
        <f>IF(Briefing_FID!EP12="","",Briefing_FID!EP12)</f>
        <v/>
      </c>
      <c r="EQ12" s="28" t="str">
        <f>IF(Briefing_FID!EQ12="","",Briefing_FID!EQ12)</f>
        <v/>
      </c>
      <c r="ER12" s="28" t="str">
        <f>IF(Briefing_FID!ER12="","",Briefing_FID!ER12)</f>
        <v/>
      </c>
      <c r="ES12" s="62"/>
      <c r="ET12" s="96" t="str">
        <f>IF(Briefing_FID!EZ12="","",Briefing_FID!EZ12)</f>
        <v/>
      </c>
      <c r="EU12" s="97" t="str">
        <f>IF(Briefing_FID!FA12="","",Briefing_FID!FA12)</f>
        <v/>
      </c>
      <c r="EV12" s="98" t="str">
        <f>IF(Briefing_FID!FB12="","",Briefing_FID!FB12)</f>
        <v/>
      </c>
      <c r="EW12" s="96" t="str">
        <f>IF(Briefing_FID!FC12="","",Briefing_FID!FC12)</f>
        <v/>
      </c>
      <c r="EX12" s="97" t="str">
        <f>IF(Briefing_FID!FD12="","",Briefing_FID!FD12)</f>
        <v/>
      </c>
      <c r="EY12" s="98" t="str">
        <f>IF(Briefing_FID!FE12="","",Briefing_FID!FE12)</f>
        <v/>
      </c>
      <c r="EZ12" s="104" t="str">
        <f>IF(Briefing_FID!FF12="","",Briefing_FID!FF12)</f>
        <v/>
      </c>
      <c r="FA12" s="144" t="str">
        <f>IF(Briefing_FID!FG12="","",Briefing_FID!FG12)</f>
        <v/>
      </c>
      <c r="FB12" s="144" t="str">
        <f>IF(Briefing_FID!FH12="","",Briefing_FID!FH12)</f>
        <v/>
      </c>
      <c r="FC12" s="144" t="str">
        <f>IF(Briefing_FID!FI12="","",Briefing_FID!FI12)</f>
        <v/>
      </c>
      <c r="FD12" s="144" t="str">
        <f>IF(Briefing_FID!FJ12="","",Briefing_FID!FJ12)</f>
        <v/>
      </c>
      <c r="FE12" s="144" t="str">
        <f>IF(Briefing_FID!FK12="","",Briefing_FID!FK12)</f>
        <v/>
      </c>
      <c r="FF12" s="144" t="str">
        <f>IF(Briefing_FID!FL12="","",Briefing_FID!FL12)</f>
        <v/>
      </c>
      <c r="FG12" s="144" t="str">
        <f>IF(Briefing_FID!FM12="","",Briefing_FID!FM12)</f>
        <v/>
      </c>
      <c r="FH12" s="144" t="str">
        <f>IF(Briefing_FID!FN12="","",Briefing_FID!FN12)</f>
        <v/>
      </c>
      <c r="FI12" s="144" t="str">
        <f>IF(Briefing_FID!FO12="","",Briefing_FID!FO12)</f>
        <v/>
      </c>
      <c r="FJ12" s="144" t="str">
        <f>IF(Briefing_FID!FP12="","",Briefing_FID!FP12)</f>
        <v/>
      </c>
      <c r="FK12" s="144" t="str">
        <f>IF(Briefing_FID!FQ12="","",Briefing_FID!FQ12)</f>
        <v/>
      </c>
      <c r="FL12" s="144" t="str">
        <f>IF(Briefing_FID!FR12="","",Briefing_FID!FR12)</f>
        <v/>
      </c>
      <c r="FM12" s="144" t="str">
        <f>IF(Briefing_FID!FS12="","",Briefing_FID!FS12)</f>
        <v/>
      </c>
      <c r="FN12" s="144" t="str">
        <f>IF(Briefing_FID!FT12="","",Briefing_FID!FT12)</f>
        <v/>
      </c>
      <c r="FO12" s="144" t="str">
        <f>IF(Briefing_FID!FU12="","",Briefing_FID!FU12)</f>
        <v/>
      </c>
      <c r="FP12" s="144" t="str">
        <f>IF(Briefing_FID!FV12="","",Briefing_FID!FV12)</f>
        <v/>
      </c>
      <c r="FQ12" s="144" t="str">
        <f>IF(Briefing_FID!FW12="","",Briefing_FID!FW12)</f>
        <v/>
      </c>
      <c r="FR12" s="151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1:183">
      <c r="A13" s="136" t="str">
        <f>IF(Briefing_FID!A13="","",Briefing_FID!A13)</f>
        <v/>
      </c>
      <c r="B13" s="137" t="str">
        <f>IF(Briefing_FID!B13="","",Briefing_FID!B13)</f>
        <v/>
      </c>
      <c r="C13" s="137" t="str">
        <f>IF(Briefing_FID!C13="","",Briefing_FID!C13)</f>
        <v/>
      </c>
      <c r="D13" s="46"/>
      <c r="E13" s="120"/>
      <c r="F13" s="117"/>
      <c r="G13" s="117"/>
      <c r="H13" s="72"/>
      <c r="I13" s="72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23"/>
      <c r="AD13" s="117"/>
      <c r="AE13" s="117"/>
      <c r="AF13" s="117"/>
      <c r="AG13" s="117"/>
      <c r="AH13" s="117"/>
      <c r="AI13" s="117"/>
      <c r="AJ13" s="117"/>
      <c r="AK13" s="117"/>
      <c r="AL13" s="124"/>
      <c r="AM13" s="37"/>
      <c r="AN13" s="38"/>
      <c r="AO13" s="39"/>
      <c r="AP13" s="111" t="str">
        <f>IF(Briefing_FID!AP13="","",Briefing_FID!AP13)</f>
        <v/>
      </c>
      <c r="AQ13" s="112" t="str">
        <f>IF(Briefing_FID!AQ13="","",Briefing_FID!AQ13)</f>
        <v/>
      </c>
      <c r="AR13" s="107" t="str">
        <f>IF(Briefing_FID!AR13="","",Briefing_FID!AR13)</f>
        <v/>
      </c>
      <c r="AS13" s="108" t="str">
        <f>IF(Briefing_FID!AS13="","",Briefing_FID!AS13)</f>
        <v/>
      </c>
      <c r="AT13" s="113" t="str">
        <f>IF(Briefing_FID!AT13="","",Briefing_FID!AT13)</f>
        <v/>
      </c>
      <c r="AU13" s="113" t="str">
        <f>IF(Briefing_FID!AU13="","",Briefing_FID!AU13)</f>
        <v/>
      </c>
      <c r="AV13" s="113" t="str">
        <f>IF(Briefing_FID!AV13="","",Briefing_FID!AV13)</f>
        <v/>
      </c>
      <c r="AW13" s="113" t="str">
        <f>IF(Briefing_FID!AW13="","",Briefing_FID!AW13)</f>
        <v/>
      </c>
      <c r="AX13" s="114" t="str">
        <f>IF(Briefing_FID!AX13="","",Briefing_FID!AX13)</f>
        <v/>
      </c>
      <c r="AY13" s="71"/>
      <c r="AZ13" s="117" t="str">
        <f>IF(Briefing_FID!AZ13="","",Briefing_FID!AZ13)</f>
        <v/>
      </c>
      <c r="BA13" s="118" t="str">
        <f>IF(Briefing_FID!BA13="","",Briefing_FID!BA13)</f>
        <v/>
      </c>
      <c r="BB13" s="55"/>
      <c r="BC13" s="102" t="str">
        <f>IF(Briefing_FID!BC13="","",Briefing_FID!BC13)</f>
        <v/>
      </c>
      <c r="BD13" s="27" t="str">
        <f>IF(Briefing_FID!BD13="","",Briefing_FID!BD13)</f>
        <v/>
      </c>
      <c r="BE13" s="100" t="str">
        <f>IF(Briefing_FID!BE13="","",Briefing_FID!BE13)</f>
        <v/>
      </c>
      <c r="BF13" s="3" t="str">
        <f>IF(Briefing_FID!BF13="","",Briefing_FID!BF13)</f>
        <v/>
      </c>
      <c r="BG13" s="10" t="str">
        <f>IF(Briefing_FID!BG13="","",Briefing_FID!BG13)</f>
        <v/>
      </c>
      <c r="BH13" s="100" t="str">
        <f>IF(Briefing_FID!BH13="","",Briefing_FID!BH13)</f>
        <v/>
      </c>
      <c r="BI13" s="3" t="str">
        <f>IF(Briefing_FID!BI13="","",Briefing_FID!BI13)</f>
        <v/>
      </c>
      <c r="BJ13" s="10" t="str">
        <f>IF(Briefing_FID!BJ13="","",Briefing_FID!BJ13)</f>
        <v/>
      </c>
      <c r="BK13" s="100" t="str">
        <f>IF(Briefing_FID!BK13="","",Briefing_FID!BK13)</f>
        <v/>
      </c>
      <c r="BL13" s="3" t="str">
        <f>IF(Briefing_FID!BL13="","",Briefing_FID!BL13)</f>
        <v/>
      </c>
      <c r="BM13" s="28" t="str">
        <f>IF(Briefing_FID!BM13="","",Briefing_FID!BM13)</f>
        <v/>
      </c>
      <c r="BN13" s="100" t="str">
        <f>IF(Briefing_FID!BN13="","",Briefing_FID!BN13)</f>
        <v/>
      </c>
      <c r="BO13" s="3" t="str">
        <f>IF(Briefing_FID!BO13="","",Briefing_FID!BO13)</f>
        <v/>
      </c>
      <c r="BP13" s="28" t="str">
        <f>IF(Briefing_FID!BP13="","",Briefing_FID!BP13)</f>
        <v/>
      </c>
      <c r="BQ13" s="100" t="str">
        <f>IF(Briefing_FID!BQ13="","",Briefing_FID!BQ13)</f>
        <v/>
      </c>
      <c r="BR13" s="3" t="str">
        <f>IF(Briefing_FID!BR13="","",Briefing_FID!BR13)</f>
        <v/>
      </c>
      <c r="BS13" s="28" t="str">
        <f>IF(Briefing_FID!BS13="","",Briefing_FID!BS13)</f>
        <v/>
      </c>
      <c r="BT13" s="100" t="str">
        <f>IF(Briefing_FID!BT13="","",Briefing_FID!BT13)</f>
        <v/>
      </c>
      <c r="BU13" s="3" t="str">
        <f>IF(Briefing_FID!BU13="","",Briefing_FID!BU13)</f>
        <v/>
      </c>
      <c r="BV13" s="28" t="str">
        <f>IF(Briefing_FID!BV13="","",Briefing_FID!BV13)</f>
        <v/>
      </c>
      <c r="BW13" s="100" t="str">
        <f>IF(Briefing_FID!BW13="","",Briefing_FID!BW13)</f>
        <v/>
      </c>
      <c r="BX13" s="3" t="str">
        <f>IF(Briefing_FID!BX13="","",Briefing_FID!BX13)</f>
        <v/>
      </c>
      <c r="BY13" s="28" t="str">
        <f>IF(Briefing_FID!BY13="","",Briefing_FID!BY13)</f>
        <v/>
      </c>
      <c r="BZ13" s="100" t="str">
        <f>IF(Briefing_FID!BZ13="","",Briefing_FID!BZ13)</f>
        <v/>
      </c>
      <c r="CA13" s="3" t="str">
        <f>IF(Briefing_FID!CA13="","",Briefing_FID!CA13)</f>
        <v/>
      </c>
      <c r="CB13" s="28" t="str">
        <f>IF(Briefing_FID!CB13="","",Briefing_FID!CB13)</f>
        <v/>
      </c>
      <c r="CC13" s="100" t="str">
        <f>IF(Briefing_FID!CC13="","",Briefing_FID!CC13)</f>
        <v/>
      </c>
      <c r="CD13" s="3" t="str">
        <f>IF(Briefing_FID!CD13="","",Briefing_FID!CD13)</f>
        <v/>
      </c>
      <c r="CE13" s="28" t="str">
        <f>IF(Briefing_FID!CE13="","",Briefing_FID!CE13)</f>
        <v/>
      </c>
      <c r="CF13" s="100" t="str">
        <f>IF(Briefing_FID!CF13="","",Briefing_FID!CF13)</f>
        <v/>
      </c>
      <c r="CG13" s="3" t="str">
        <f>IF(Briefing_FID!CG13="","",Briefing_FID!CG13)</f>
        <v/>
      </c>
      <c r="CH13" s="28" t="str">
        <f>IF(Briefing_FID!CH13="","",Briefing_FID!CH13)</f>
        <v/>
      </c>
      <c r="CI13" s="100" t="str">
        <f>IF(Briefing_FID!CI13="","",Briefing_FID!CI13)</f>
        <v/>
      </c>
      <c r="CJ13" s="3" t="str">
        <f>IF(Briefing_FID!CJ13="","",Briefing_FID!CJ13)</f>
        <v/>
      </c>
      <c r="CK13" s="28" t="str">
        <f>IF(Briefing_FID!CK13="","",Briefing_FID!CK13)</f>
        <v/>
      </c>
      <c r="CL13" s="100" t="str">
        <f>IF(Briefing_FID!CL13="","",Briefing_FID!CL13)</f>
        <v/>
      </c>
      <c r="CM13" s="3" t="str">
        <f>IF(Briefing_FID!CM13="","",Briefing_FID!CM13)</f>
        <v/>
      </c>
      <c r="CN13" s="28" t="str">
        <f>IF(Briefing_FID!CN13="","",Briefing_FID!CN13)</f>
        <v/>
      </c>
      <c r="CO13" s="100" t="str">
        <f>IF(Briefing_FID!CO13="","",Briefing_FID!CO13)</f>
        <v/>
      </c>
      <c r="CP13" s="3" t="str">
        <f>IF(Briefing_FID!CP13="","",Briefing_FID!CP13)</f>
        <v/>
      </c>
      <c r="CQ13" s="28" t="str">
        <f>IF(Briefing_FID!CQ13="","",Briefing_FID!CQ13)</f>
        <v/>
      </c>
      <c r="CR13" s="100" t="str">
        <f>IF(Briefing_FID!CR13="","",Briefing_FID!CR13)</f>
        <v/>
      </c>
      <c r="CS13" s="3" t="str">
        <f>IF(Briefing_FID!CS13="","",Briefing_FID!CS13)</f>
        <v/>
      </c>
      <c r="CT13" s="28" t="str">
        <f>IF(Briefing_FID!CT13="","",Briefing_FID!CT13)</f>
        <v/>
      </c>
      <c r="CU13" s="100" t="str">
        <f>IF(Briefing_FID!CU13="","",Briefing_FID!CU13)</f>
        <v/>
      </c>
      <c r="CV13" s="3" t="str">
        <f>IF(Briefing_FID!CV13="","",Briefing_FID!CV13)</f>
        <v/>
      </c>
      <c r="CW13" s="28" t="str">
        <f>IF(Briefing_FID!CW13="","",Briefing_FID!CW13)</f>
        <v/>
      </c>
      <c r="CX13" s="100" t="str">
        <f>IF(Briefing_FID!CX13="","",Briefing_FID!CX13)</f>
        <v/>
      </c>
      <c r="CY13" s="3" t="str">
        <f>IF(Briefing_FID!CY13="","",Briefing_FID!CY13)</f>
        <v/>
      </c>
      <c r="CZ13" s="28" t="str">
        <f>IF(Briefing_FID!CZ13="","",Briefing_FID!CZ13)</f>
        <v/>
      </c>
      <c r="DA13" s="100" t="str">
        <f>IF(Briefing_FID!DA13="","",Briefing_FID!DA13)</f>
        <v/>
      </c>
      <c r="DB13" s="3" t="str">
        <f>IF(Briefing_FID!DB13="","",Briefing_FID!DB13)</f>
        <v/>
      </c>
      <c r="DC13" s="28" t="str">
        <f>IF(Briefing_FID!DC13="","",Briefing_FID!DC13)</f>
        <v/>
      </c>
      <c r="DD13" s="100" t="str">
        <f>IF(Briefing_FID!DD13="","",Briefing_FID!DD13)</f>
        <v/>
      </c>
      <c r="DE13" s="3" t="str">
        <f>IF(Briefing_FID!DE13="","",Briefing_FID!DE13)</f>
        <v/>
      </c>
      <c r="DF13" s="28" t="str">
        <f>IF(Briefing_FID!DF13="","",Briefing_FID!DF13)</f>
        <v/>
      </c>
      <c r="DG13" s="100" t="str">
        <f>IF(Briefing_FID!DG13="","",Briefing_FID!DG13)</f>
        <v/>
      </c>
      <c r="DH13" s="3" t="str">
        <f>IF(Briefing_FID!DH13="","",Briefing_FID!DH13)</f>
        <v/>
      </c>
      <c r="DI13" s="28" t="str">
        <f>IF(Briefing_FID!DI13="","",Briefing_FID!DI13)</f>
        <v/>
      </c>
      <c r="DJ13" s="100" t="str">
        <f>IF(Briefing_FID!DJ13="","",Briefing_FID!DJ13)</f>
        <v/>
      </c>
      <c r="DK13" s="3" t="str">
        <f>IF(Briefing_FID!DK13="","",Briefing_FID!DK13)</f>
        <v/>
      </c>
      <c r="DL13" s="28" t="str">
        <f>IF(Briefing_FID!DL13="","",Briefing_FID!DL13)</f>
        <v/>
      </c>
      <c r="DM13" s="100" t="str">
        <f>IF(Briefing_FID!DM13="","",Briefing_FID!DM13)</f>
        <v/>
      </c>
      <c r="DN13" s="3" t="str">
        <f>IF(Briefing_FID!DN13="","",Briefing_FID!DN13)</f>
        <v/>
      </c>
      <c r="DO13" s="28" t="str">
        <f>IF(Briefing_FID!DO13="","",Briefing_FID!DO13)</f>
        <v/>
      </c>
      <c r="DP13" s="100" t="str">
        <f>IF(Briefing_FID!DP13="","",Briefing_FID!DP13)</f>
        <v/>
      </c>
      <c r="DQ13" s="3" t="str">
        <f>IF(Briefing_FID!DQ13="","",Briefing_FID!DQ13)</f>
        <v/>
      </c>
      <c r="DR13" s="28" t="str">
        <f>IF(Briefing_FID!DR13="","",Briefing_FID!DR13)</f>
        <v/>
      </c>
      <c r="DS13" s="100" t="str">
        <f>IF(Briefing_FID!DS13="","",Briefing_FID!DS13)</f>
        <v/>
      </c>
      <c r="DT13" s="3" t="str">
        <f>IF(Briefing_FID!DT13="","",Briefing_FID!DT13)</f>
        <v/>
      </c>
      <c r="DU13" s="28" t="str">
        <f>IF(Briefing_FID!DU13="","",Briefing_FID!DU13)</f>
        <v/>
      </c>
      <c r="DV13" s="100" t="str">
        <f>IF(Briefing_FID!DV13="","",Briefing_FID!DV13)</f>
        <v/>
      </c>
      <c r="DW13" s="3" t="str">
        <f>IF(Briefing_FID!DW13="","",Briefing_FID!DW13)</f>
        <v/>
      </c>
      <c r="DX13" s="28" t="str">
        <f>IF(Briefing_FID!DX13="","",Briefing_FID!DX13)</f>
        <v/>
      </c>
      <c r="DY13" s="100" t="str">
        <f>IF(Briefing_FID!DY13="","",Briefing_FID!DY13)</f>
        <v/>
      </c>
      <c r="DZ13" s="3" t="str">
        <f>IF(Briefing_FID!DZ13="","",Briefing_FID!DZ13)</f>
        <v/>
      </c>
      <c r="EA13" s="28" t="str">
        <f>IF(Briefing_FID!EA13="","",Briefing_FID!EA13)</f>
        <v/>
      </c>
      <c r="EB13" s="100" t="str">
        <f>IF(Briefing_FID!EB13="","",Briefing_FID!EB13)</f>
        <v/>
      </c>
      <c r="EC13" s="3" t="str">
        <f>IF(Briefing_FID!EC13="","",Briefing_FID!EC13)</f>
        <v/>
      </c>
      <c r="ED13" s="28" t="str">
        <f>IF(Briefing_FID!ED13="","",Briefing_FID!ED13)</f>
        <v/>
      </c>
      <c r="EE13" s="100" t="str">
        <f>IF(Briefing_FID!EE13="","",Briefing_FID!EE13)</f>
        <v/>
      </c>
      <c r="EF13" s="3" t="str">
        <f>IF(Briefing_FID!EF13="","",Briefing_FID!EF13)</f>
        <v/>
      </c>
      <c r="EG13" s="28" t="str">
        <f>IF(Briefing_FID!EG13="","",Briefing_FID!EG13)</f>
        <v/>
      </c>
      <c r="EH13" s="100" t="str">
        <f>IF(Briefing_FID!EH13="","",Briefing_FID!EH13)</f>
        <v/>
      </c>
      <c r="EI13" s="3" t="str">
        <f>IF(Briefing_FID!EI13="","",Briefing_FID!EI13)</f>
        <v/>
      </c>
      <c r="EJ13" s="28" t="str">
        <f>IF(Briefing_FID!EJ13="","",Briefing_FID!EJ13)</f>
        <v/>
      </c>
      <c r="EK13" s="100" t="str">
        <f>IF(Briefing_FID!EK13="","",Briefing_FID!EK13)</f>
        <v/>
      </c>
      <c r="EL13" s="3" t="str">
        <f>IF(Briefing_FID!EL13="","",Briefing_FID!EL13)</f>
        <v/>
      </c>
      <c r="EM13" s="28" t="str">
        <f>IF(Briefing_FID!EM13="","",Briefing_FID!EM13)</f>
        <v/>
      </c>
      <c r="EN13" s="100" t="str">
        <f>IF(Briefing_FID!EN13="","",Briefing_FID!EN13)</f>
        <v/>
      </c>
      <c r="EO13" s="3" t="str">
        <f>IF(Briefing_FID!EO13="","",Briefing_FID!EO13)</f>
        <v/>
      </c>
      <c r="EP13" s="28" t="str">
        <f>IF(Briefing_FID!EP13="","",Briefing_FID!EP13)</f>
        <v/>
      </c>
      <c r="EQ13" s="28" t="str">
        <f>IF(Briefing_FID!EQ13="","",Briefing_FID!EQ13)</f>
        <v/>
      </c>
      <c r="ER13" s="28" t="str">
        <f>IF(Briefing_FID!ER13="","",Briefing_FID!ER13)</f>
        <v/>
      </c>
      <c r="ES13" s="62"/>
      <c r="ET13" s="96" t="str">
        <f>IF(Briefing_FID!EZ13="","",Briefing_FID!EZ13)</f>
        <v/>
      </c>
      <c r="EU13" s="97" t="str">
        <f>IF(Briefing_FID!FA13="","",Briefing_FID!FA13)</f>
        <v/>
      </c>
      <c r="EV13" s="98" t="str">
        <f>IF(Briefing_FID!FB13="","",Briefing_FID!FB13)</f>
        <v/>
      </c>
      <c r="EW13" s="96" t="str">
        <f>IF(Briefing_FID!FC13="","",Briefing_FID!FC13)</f>
        <v/>
      </c>
      <c r="EX13" s="97" t="str">
        <f>IF(Briefing_FID!FD13="","",Briefing_FID!FD13)</f>
        <v/>
      </c>
      <c r="EY13" s="98" t="str">
        <f>IF(Briefing_FID!FE13="","",Briefing_FID!FE13)</f>
        <v/>
      </c>
      <c r="EZ13" s="104" t="str">
        <f>IF(Briefing_FID!FF13="","",Briefing_FID!FF13)</f>
        <v/>
      </c>
      <c r="FA13" s="144" t="str">
        <f>IF(Briefing_FID!FG13="","",Briefing_FID!FG13)</f>
        <v/>
      </c>
      <c r="FB13" s="144" t="str">
        <f>IF(Briefing_FID!FH13="","",Briefing_FID!FH13)</f>
        <v/>
      </c>
      <c r="FC13" s="144" t="str">
        <f>IF(Briefing_FID!FI13="","",Briefing_FID!FI13)</f>
        <v/>
      </c>
      <c r="FD13" s="144" t="str">
        <f>IF(Briefing_FID!FJ13="","",Briefing_FID!FJ13)</f>
        <v/>
      </c>
      <c r="FE13" s="144" t="str">
        <f>IF(Briefing_FID!FK13="","",Briefing_FID!FK13)</f>
        <v/>
      </c>
      <c r="FF13" s="144" t="str">
        <f>IF(Briefing_FID!FL13="","",Briefing_FID!FL13)</f>
        <v/>
      </c>
      <c r="FG13" s="144" t="str">
        <f>IF(Briefing_FID!FM13="","",Briefing_FID!FM13)</f>
        <v/>
      </c>
      <c r="FH13" s="144" t="str">
        <f>IF(Briefing_FID!FN13="","",Briefing_FID!FN13)</f>
        <v/>
      </c>
      <c r="FI13" s="144" t="str">
        <f>IF(Briefing_FID!FO13="","",Briefing_FID!FO13)</f>
        <v/>
      </c>
      <c r="FJ13" s="144" t="str">
        <f>IF(Briefing_FID!FP13="","",Briefing_FID!FP13)</f>
        <v/>
      </c>
      <c r="FK13" s="144" t="str">
        <f>IF(Briefing_FID!FQ13="","",Briefing_FID!FQ13)</f>
        <v/>
      </c>
      <c r="FL13" s="144" t="str">
        <f>IF(Briefing_FID!FR13="","",Briefing_FID!FR13)</f>
        <v/>
      </c>
      <c r="FM13" s="144" t="str">
        <f>IF(Briefing_FID!FS13="","",Briefing_FID!FS13)</f>
        <v/>
      </c>
      <c r="FN13" s="144" t="str">
        <f>IF(Briefing_FID!FT13="","",Briefing_FID!FT13)</f>
        <v/>
      </c>
      <c r="FO13" s="144" t="str">
        <f>IF(Briefing_FID!FU13="","",Briefing_FID!FU13)</f>
        <v/>
      </c>
      <c r="FP13" s="144" t="str">
        <f>IF(Briefing_FID!FV13="","",Briefing_FID!FV13)</f>
        <v/>
      </c>
      <c r="FQ13" s="144" t="str">
        <f>IF(Briefing_FID!FW13="","",Briefing_FID!FW13)</f>
        <v/>
      </c>
      <c r="FR13" s="151"/>
      <c r="FS13" s="152"/>
      <c r="FT13" s="152"/>
      <c r="FU13" s="152"/>
      <c r="FV13" s="152"/>
      <c r="FW13" s="152"/>
      <c r="FX13" s="152"/>
      <c r="FY13" s="152"/>
      <c r="FZ13" s="152"/>
      <c r="GA13" s="153"/>
    </row>
    <row r="14" spans="1:183">
      <c r="A14" s="136" t="str">
        <f>IF(Briefing_FID!A14="","",Briefing_FID!A14)</f>
        <v/>
      </c>
      <c r="B14" s="137" t="str">
        <f>IF(Briefing_FID!B14="","",Briefing_FID!B14)</f>
        <v/>
      </c>
      <c r="C14" s="137" t="str">
        <f>IF(Briefing_FID!C14="","",Briefing_FID!C14)</f>
        <v/>
      </c>
      <c r="D14" s="46"/>
      <c r="E14" s="120"/>
      <c r="F14" s="117"/>
      <c r="G14" s="117"/>
      <c r="H14" s="72"/>
      <c r="I14" s="72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23"/>
      <c r="AD14" s="117"/>
      <c r="AE14" s="117"/>
      <c r="AF14" s="117"/>
      <c r="AG14" s="117"/>
      <c r="AH14" s="117"/>
      <c r="AI14" s="117"/>
      <c r="AJ14" s="117"/>
      <c r="AK14" s="117"/>
      <c r="AL14" s="124"/>
      <c r="AM14" s="37"/>
      <c r="AN14" s="38"/>
      <c r="AO14" s="39"/>
      <c r="AP14" s="111" t="str">
        <f>IF(Briefing_FID!AP14="","",Briefing_FID!AP14)</f>
        <v/>
      </c>
      <c r="AQ14" s="112" t="str">
        <f>IF(Briefing_FID!AQ14="","",Briefing_FID!AQ14)</f>
        <v/>
      </c>
      <c r="AR14" s="107" t="str">
        <f>IF(Briefing_FID!AR14="","",Briefing_FID!AR14)</f>
        <v/>
      </c>
      <c r="AS14" s="108" t="str">
        <f>IF(Briefing_FID!AS14="","",Briefing_FID!AS14)</f>
        <v/>
      </c>
      <c r="AT14" s="113" t="str">
        <f>IF(Briefing_FID!AT14="","",Briefing_FID!AT14)</f>
        <v/>
      </c>
      <c r="AU14" s="113" t="str">
        <f>IF(Briefing_FID!AU14="","",Briefing_FID!AU14)</f>
        <v/>
      </c>
      <c r="AV14" s="113" t="str">
        <f>IF(Briefing_FID!AV14="","",Briefing_FID!AV14)</f>
        <v/>
      </c>
      <c r="AW14" s="113" t="str">
        <f>IF(Briefing_FID!AW14="","",Briefing_FID!AW14)</f>
        <v/>
      </c>
      <c r="AX14" s="114" t="str">
        <f>IF(Briefing_FID!AX14="","",Briefing_FID!AX14)</f>
        <v/>
      </c>
      <c r="AY14" s="71"/>
      <c r="AZ14" s="117" t="str">
        <f>IF(Briefing_FID!AZ14="","",Briefing_FID!AZ14)</f>
        <v/>
      </c>
      <c r="BA14" s="118" t="str">
        <f>IF(Briefing_FID!BA14="","",Briefing_FID!BA14)</f>
        <v/>
      </c>
      <c r="BB14" s="55"/>
      <c r="BC14" s="102" t="str">
        <f>IF(Briefing_FID!BC14="","",Briefing_FID!BC14)</f>
        <v/>
      </c>
      <c r="BD14" s="27" t="str">
        <f>IF(Briefing_FID!BD14="","",Briefing_FID!BD14)</f>
        <v/>
      </c>
      <c r="BE14" s="100" t="str">
        <f>IF(Briefing_FID!BE14="","",Briefing_FID!BE14)</f>
        <v/>
      </c>
      <c r="BF14" s="3" t="str">
        <f>IF(Briefing_FID!BF14="","",Briefing_FID!BF14)</f>
        <v/>
      </c>
      <c r="BG14" s="10" t="str">
        <f>IF(Briefing_FID!BG14="","",Briefing_FID!BG14)</f>
        <v/>
      </c>
      <c r="BH14" s="100" t="str">
        <f>IF(Briefing_FID!BH14="","",Briefing_FID!BH14)</f>
        <v/>
      </c>
      <c r="BI14" s="3" t="str">
        <f>IF(Briefing_FID!BI14="","",Briefing_FID!BI14)</f>
        <v/>
      </c>
      <c r="BJ14" s="10" t="str">
        <f>IF(Briefing_FID!BJ14="","",Briefing_FID!BJ14)</f>
        <v/>
      </c>
      <c r="BK14" s="100" t="str">
        <f>IF(Briefing_FID!BK14="","",Briefing_FID!BK14)</f>
        <v/>
      </c>
      <c r="BL14" s="3" t="str">
        <f>IF(Briefing_FID!BL14="","",Briefing_FID!BL14)</f>
        <v/>
      </c>
      <c r="BM14" s="28" t="str">
        <f>IF(Briefing_FID!BM14="","",Briefing_FID!BM14)</f>
        <v/>
      </c>
      <c r="BN14" s="100" t="str">
        <f>IF(Briefing_FID!BN14="","",Briefing_FID!BN14)</f>
        <v/>
      </c>
      <c r="BO14" s="3" t="str">
        <f>IF(Briefing_FID!BO14="","",Briefing_FID!BO14)</f>
        <v/>
      </c>
      <c r="BP14" s="28" t="str">
        <f>IF(Briefing_FID!BP14="","",Briefing_FID!BP14)</f>
        <v/>
      </c>
      <c r="BQ14" s="100" t="str">
        <f>IF(Briefing_FID!BQ14="","",Briefing_FID!BQ14)</f>
        <v/>
      </c>
      <c r="BR14" s="3" t="str">
        <f>IF(Briefing_FID!BR14="","",Briefing_FID!BR14)</f>
        <v/>
      </c>
      <c r="BS14" s="28" t="str">
        <f>IF(Briefing_FID!BS14="","",Briefing_FID!BS14)</f>
        <v/>
      </c>
      <c r="BT14" s="100" t="str">
        <f>IF(Briefing_FID!BT14="","",Briefing_FID!BT14)</f>
        <v/>
      </c>
      <c r="BU14" s="3" t="str">
        <f>IF(Briefing_FID!BU14="","",Briefing_FID!BU14)</f>
        <v/>
      </c>
      <c r="BV14" s="28" t="str">
        <f>IF(Briefing_FID!BV14="","",Briefing_FID!BV14)</f>
        <v/>
      </c>
      <c r="BW14" s="100" t="str">
        <f>IF(Briefing_FID!BW14="","",Briefing_FID!BW14)</f>
        <v/>
      </c>
      <c r="BX14" s="3" t="str">
        <f>IF(Briefing_FID!BX14="","",Briefing_FID!BX14)</f>
        <v/>
      </c>
      <c r="BY14" s="28" t="str">
        <f>IF(Briefing_FID!BY14="","",Briefing_FID!BY14)</f>
        <v/>
      </c>
      <c r="BZ14" s="100" t="str">
        <f>IF(Briefing_FID!BZ14="","",Briefing_FID!BZ14)</f>
        <v/>
      </c>
      <c r="CA14" s="3" t="str">
        <f>IF(Briefing_FID!CA14="","",Briefing_FID!CA14)</f>
        <v/>
      </c>
      <c r="CB14" s="28" t="str">
        <f>IF(Briefing_FID!CB14="","",Briefing_FID!CB14)</f>
        <v/>
      </c>
      <c r="CC14" s="100" t="str">
        <f>IF(Briefing_FID!CC14="","",Briefing_FID!CC14)</f>
        <v/>
      </c>
      <c r="CD14" s="3" t="str">
        <f>IF(Briefing_FID!CD14="","",Briefing_FID!CD14)</f>
        <v/>
      </c>
      <c r="CE14" s="28" t="str">
        <f>IF(Briefing_FID!CE14="","",Briefing_FID!CE14)</f>
        <v/>
      </c>
      <c r="CF14" s="100" t="str">
        <f>IF(Briefing_FID!CF14="","",Briefing_FID!CF14)</f>
        <v/>
      </c>
      <c r="CG14" s="3" t="str">
        <f>IF(Briefing_FID!CG14="","",Briefing_FID!CG14)</f>
        <v/>
      </c>
      <c r="CH14" s="28" t="str">
        <f>IF(Briefing_FID!CH14="","",Briefing_FID!CH14)</f>
        <v/>
      </c>
      <c r="CI14" s="100" t="str">
        <f>IF(Briefing_FID!CI14="","",Briefing_FID!CI14)</f>
        <v/>
      </c>
      <c r="CJ14" s="3" t="str">
        <f>IF(Briefing_FID!CJ14="","",Briefing_FID!CJ14)</f>
        <v/>
      </c>
      <c r="CK14" s="28" t="str">
        <f>IF(Briefing_FID!CK14="","",Briefing_FID!CK14)</f>
        <v/>
      </c>
      <c r="CL14" s="100" t="str">
        <f>IF(Briefing_FID!CL14="","",Briefing_FID!CL14)</f>
        <v/>
      </c>
      <c r="CM14" s="3" t="str">
        <f>IF(Briefing_FID!CM14="","",Briefing_FID!CM14)</f>
        <v/>
      </c>
      <c r="CN14" s="28" t="str">
        <f>IF(Briefing_FID!CN14="","",Briefing_FID!CN14)</f>
        <v/>
      </c>
      <c r="CO14" s="100" t="str">
        <f>IF(Briefing_FID!CO14="","",Briefing_FID!CO14)</f>
        <v/>
      </c>
      <c r="CP14" s="3" t="str">
        <f>IF(Briefing_FID!CP14="","",Briefing_FID!CP14)</f>
        <v/>
      </c>
      <c r="CQ14" s="28" t="str">
        <f>IF(Briefing_FID!CQ14="","",Briefing_FID!CQ14)</f>
        <v/>
      </c>
      <c r="CR14" s="100" t="str">
        <f>IF(Briefing_FID!CR14="","",Briefing_FID!CR14)</f>
        <v/>
      </c>
      <c r="CS14" s="3" t="str">
        <f>IF(Briefing_FID!CS14="","",Briefing_FID!CS14)</f>
        <v/>
      </c>
      <c r="CT14" s="28" t="str">
        <f>IF(Briefing_FID!CT14="","",Briefing_FID!CT14)</f>
        <v/>
      </c>
      <c r="CU14" s="100" t="str">
        <f>IF(Briefing_FID!CU14="","",Briefing_FID!CU14)</f>
        <v/>
      </c>
      <c r="CV14" s="3" t="str">
        <f>IF(Briefing_FID!CV14="","",Briefing_FID!CV14)</f>
        <v/>
      </c>
      <c r="CW14" s="28" t="str">
        <f>IF(Briefing_FID!CW14="","",Briefing_FID!CW14)</f>
        <v/>
      </c>
      <c r="CX14" s="100" t="str">
        <f>IF(Briefing_FID!CX14="","",Briefing_FID!CX14)</f>
        <v/>
      </c>
      <c r="CY14" s="3" t="str">
        <f>IF(Briefing_FID!CY14="","",Briefing_FID!CY14)</f>
        <v/>
      </c>
      <c r="CZ14" s="28" t="str">
        <f>IF(Briefing_FID!CZ14="","",Briefing_FID!CZ14)</f>
        <v/>
      </c>
      <c r="DA14" s="100" t="str">
        <f>IF(Briefing_FID!DA14="","",Briefing_FID!DA14)</f>
        <v/>
      </c>
      <c r="DB14" s="3" t="str">
        <f>IF(Briefing_FID!DB14="","",Briefing_FID!DB14)</f>
        <v/>
      </c>
      <c r="DC14" s="28" t="str">
        <f>IF(Briefing_FID!DC14="","",Briefing_FID!DC14)</f>
        <v/>
      </c>
      <c r="DD14" s="100" t="str">
        <f>IF(Briefing_FID!DD14="","",Briefing_FID!DD14)</f>
        <v/>
      </c>
      <c r="DE14" s="3" t="str">
        <f>IF(Briefing_FID!DE14="","",Briefing_FID!DE14)</f>
        <v/>
      </c>
      <c r="DF14" s="28" t="str">
        <f>IF(Briefing_FID!DF14="","",Briefing_FID!DF14)</f>
        <v/>
      </c>
      <c r="DG14" s="100" t="str">
        <f>IF(Briefing_FID!DG14="","",Briefing_FID!DG14)</f>
        <v/>
      </c>
      <c r="DH14" s="3" t="str">
        <f>IF(Briefing_FID!DH14="","",Briefing_FID!DH14)</f>
        <v/>
      </c>
      <c r="DI14" s="28" t="str">
        <f>IF(Briefing_FID!DI14="","",Briefing_FID!DI14)</f>
        <v/>
      </c>
      <c r="DJ14" s="100" t="str">
        <f>IF(Briefing_FID!DJ14="","",Briefing_FID!DJ14)</f>
        <v/>
      </c>
      <c r="DK14" s="3" t="str">
        <f>IF(Briefing_FID!DK14="","",Briefing_FID!DK14)</f>
        <v/>
      </c>
      <c r="DL14" s="28" t="str">
        <f>IF(Briefing_FID!DL14="","",Briefing_FID!DL14)</f>
        <v/>
      </c>
      <c r="DM14" s="100" t="str">
        <f>IF(Briefing_FID!DM14="","",Briefing_FID!DM14)</f>
        <v/>
      </c>
      <c r="DN14" s="3" t="str">
        <f>IF(Briefing_FID!DN14="","",Briefing_FID!DN14)</f>
        <v/>
      </c>
      <c r="DO14" s="28" t="str">
        <f>IF(Briefing_FID!DO14="","",Briefing_FID!DO14)</f>
        <v/>
      </c>
      <c r="DP14" s="100" t="str">
        <f>IF(Briefing_FID!DP14="","",Briefing_FID!DP14)</f>
        <v/>
      </c>
      <c r="DQ14" s="3" t="str">
        <f>IF(Briefing_FID!DQ14="","",Briefing_FID!DQ14)</f>
        <v/>
      </c>
      <c r="DR14" s="28" t="str">
        <f>IF(Briefing_FID!DR14="","",Briefing_FID!DR14)</f>
        <v/>
      </c>
      <c r="DS14" s="100" t="str">
        <f>IF(Briefing_FID!DS14="","",Briefing_FID!DS14)</f>
        <v/>
      </c>
      <c r="DT14" s="3" t="str">
        <f>IF(Briefing_FID!DT14="","",Briefing_FID!DT14)</f>
        <v/>
      </c>
      <c r="DU14" s="28" t="str">
        <f>IF(Briefing_FID!DU14="","",Briefing_FID!DU14)</f>
        <v/>
      </c>
      <c r="DV14" s="100" t="str">
        <f>IF(Briefing_FID!DV14="","",Briefing_FID!DV14)</f>
        <v/>
      </c>
      <c r="DW14" s="3" t="str">
        <f>IF(Briefing_FID!DW14="","",Briefing_FID!DW14)</f>
        <v/>
      </c>
      <c r="DX14" s="28" t="str">
        <f>IF(Briefing_FID!DX14="","",Briefing_FID!DX14)</f>
        <v/>
      </c>
      <c r="DY14" s="100" t="str">
        <f>IF(Briefing_FID!DY14="","",Briefing_FID!DY14)</f>
        <v/>
      </c>
      <c r="DZ14" s="3" t="str">
        <f>IF(Briefing_FID!DZ14="","",Briefing_FID!DZ14)</f>
        <v/>
      </c>
      <c r="EA14" s="28" t="str">
        <f>IF(Briefing_FID!EA14="","",Briefing_FID!EA14)</f>
        <v/>
      </c>
      <c r="EB14" s="100" t="str">
        <f>IF(Briefing_FID!EB14="","",Briefing_FID!EB14)</f>
        <v/>
      </c>
      <c r="EC14" s="3" t="str">
        <f>IF(Briefing_FID!EC14="","",Briefing_FID!EC14)</f>
        <v/>
      </c>
      <c r="ED14" s="28" t="str">
        <f>IF(Briefing_FID!ED14="","",Briefing_FID!ED14)</f>
        <v/>
      </c>
      <c r="EE14" s="100" t="str">
        <f>IF(Briefing_FID!EE14="","",Briefing_FID!EE14)</f>
        <v/>
      </c>
      <c r="EF14" s="3" t="str">
        <f>IF(Briefing_FID!EF14="","",Briefing_FID!EF14)</f>
        <v/>
      </c>
      <c r="EG14" s="28" t="str">
        <f>IF(Briefing_FID!EG14="","",Briefing_FID!EG14)</f>
        <v/>
      </c>
      <c r="EH14" s="100" t="str">
        <f>IF(Briefing_FID!EH14="","",Briefing_FID!EH14)</f>
        <v/>
      </c>
      <c r="EI14" s="3" t="str">
        <f>IF(Briefing_FID!EI14="","",Briefing_FID!EI14)</f>
        <v/>
      </c>
      <c r="EJ14" s="28" t="str">
        <f>IF(Briefing_FID!EJ14="","",Briefing_FID!EJ14)</f>
        <v/>
      </c>
      <c r="EK14" s="100" t="str">
        <f>IF(Briefing_FID!EK14="","",Briefing_FID!EK14)</f>
        <v/>
      </c>
      <c r="EL14" s="3" t="str">
        <f>IF(Briefing_FID!EL14="","",Briefing_FID!EL14)</f>
        <v/>
      </c>
      <c r="EM14" s="28" t="str">
        <f>IF(Briefing_FID!EM14="","",Briefing_FID!EM14)</f>
        <v/>
      </c>
      <c r="EN14" s="100" t="str">
        <f>IF(Briefing_FID!EN14="","",Briefing_FID!EN14)</f>
        <v/>
      </c>
      <c r="EO14" s="3" t="str">
        <f>IF(Briefing_FID!EO14="","",Briefing_FID!EO14)</f>
        <v/>
      </c>
      <c r="EP14" s="28" t="str">
        <f>IF(Briefing_FID!EP14="","",Briefing_FID!EP14)</f>
        <v/>
      </c>
      <c r="EQ14" s="28" t="str">
        <f>IF(Briefing_FID!EQ14="","",Briefing_FID!EQ14)</f>
        <v/>
      </c>
      <c r="ER14" s="28" t="str">
        <f>IF(Briefing_FID!ER14="","",Briefing_FID!ER14)</f>
        <v/>
      </c>
      <c r="ES14" s="62"/>
      <c r="ET14" s="96" t="str">
        <f>IF(Briefing_FID!EZ14="","",Briefing_FID!EZ14)</f>
        <v/>
      </c>
      <c r="EU14" s="97" t="str">
        <f>IF(Briefing_FID!FA14="","",Briefing_FID!FA14)</f>
        <v/>
      </c>
      <c r="EV14" s="98" t="str">
        <f>IF(Briefing_FID!FB14="","",Briefing_FID!FB14)</f>
        <v/>
      </c>
      <c r="EW14" s="96" t="str">
        <f>IF(Briefing_FID!FC14="","",Briefing_FID!FC14)</f>
        <v/>
      </c>
      <c r="EX14" s="97" t="str">
        <f>IF(Briefing_FID!FD14="","",Briefing_FID!FD14)</f>
        <v/>
      </c>
      <c r="EY14" s="98" t="str">
        <f>IF(Briefing_FID!FE14="","",Briefing_FID!FE14)</f>
        <v/>
      </c>
      <c r="EZ14" s="104" t="str">
        <f>IF(Briefing_FID!FF14="","",Briefing_FID!FF14)</f>
        <v/>
      </c>
      <c r="FA14" s="144" t="str">
        <f>IF(Briefing_FID!FG14="","",Briefing_FID!FG14)</f>
        <v/>
      </c>
      <c r="FB14" s="144" t="str">
        <f>IF(Briefing_FID!FH14="","",Briefing_FID!FH14)</f>
        <v/>
      </c>
      <c r="FC14" s="144" t="str">
        <f>IF(Briefing_FID!FI14="","",Briefing_FID!FI14)</f>
        <v/>
      </c>
      <c r="FD14" s="144" t="str">
        <f>IF(Briefing_FID!FJ14="","",Briefing_FID!FJ14)</f>
        <v/>
      </c>
      <c r="FE14" s="144" t="str">
        <f>IF(Briefing_FID!FK14="","",Briefing_FID!FK14)</f>
        <v/>
      </c>
      <c r="FF14" s="144" t="str">
        <f>IF(Briefing_FID!FL14="","",Briefing_FID!FL14)</f>
        <v/>
      </c>
      <c r="FG14" s="144" t="str">
        <f>IF(Briefing_FID!FM14="","",Briefing_FID!FM14)</f>
        <v/>
      </c>
      <c r="FH14" s="144" t="str">
        <f>IF(Briefing_FID!FN14="","",Briefing_FID!FN14)</f>
        <v/>
      </c>
      <c r="FI14" s="144" t="str">
        <f>IF(Briefing_FID!FO14="","",Briefing_FID!FO14)</f>
        <v/>
      </c>
      <c r="FJ14" s="144" t="str">
        <f>IF(Briefing_FID!FP14="","",Briefing_FID!FP14)</f>
        <v/>
      </c>
      <c r="FK14" s="144" t="str">
        <f>IF(Briefing_FID!FQ14="","",Briefing_FID!FQ14)</f>
        <v/>
      </c>
      <c r="FL14" s="144" t="str">
        <f>IF(Briefing_FID!FR14="","",Briefing_FID!FR14)</f>
        <v/>
      </c>
      <c r="FM14" s="144" t="str">
        <f>IF(Briefing_FID!FS14="","",Briefing_FID!FS14)</f>
        <v/>
      </c>
      <c r="FN14" s="144" t="str">
        <f>IF(Briefing_FID!FT14="","",Briefing_FID!FT14)</f>
        <v/>
      </c>
      <c r="FO14" s="144" t="str">
        <f>IF(Briefing_FID!FU14="","",Briefing_FID!FU14)</f>
        <v/>
      </c>
      <c r="FP14" s="144" t="str">
        <f>IF(Briefing_FID!FV14="","",Briefing_FID!FV14)</f>
        <v/>
      </c>
      <c r="FQ14" s="144" t="str">
        <f>IF(Briefing_FID!FW14="","",Briefing_FID!FW14)</f>
        <v/>
      </c>
      <c r="FR14" s="151"/>
      <c r="FS14" s="152"/>
      <c r="FT14" s="152"/>
      <c r="FU14" s="152"/>
      <c r="FV14" s="152"/>
      <c r="FW14" s="152"/>
      <c r="FX14" s="152"/>
      <c r="FY14" s="152"/>
      <c r="FZ14" s="152"/>
      <c r="GA14" s="153"/>
    </row>
    <row r="15" spans="1:183">
      <c r="A15" s="136" t="str">
        <f>IF(Briefing_FID!A15="","",Briefing_FID!A15)</f>
        <v/>
      </c>
      <c r="B15" s="137" t="str">
        <f>IF(Briefing_FID!B15="","",Briefing_FID!B15)</f>
        <v/>
      </c>
      <c r="C15" s="137" t="str">
        <f>IF(Briefing_FID!C15="","",Briefing_FID!C15)</f>
        <v/>
      </c>
      <c r="D15" s="46"/>
      <c r="E15" s="120"/>
      <c r="F15" s="117"/>
      <c r="G15" s="117"/>
      <c r="H15" s="72"/>
      <c r="I15" s="72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23"/>
      <c r="AD15" s="117"/>
      <c r="AE15" s="117"/>
      <c r="AF15" s="117"/>
      <c r="AG15" s="117"/>
      <c r="AH15" s="117"/>
      <c r="AI15" s="117"/>
      <c r="AJ15" s="117"/>
      <c r="AK15" s="117"/>
      <c r="AL15" s="124"/>
      <c r="AM15" s="37"/>
      <c r="AN15" s="38"/>
      <c r="AO15" s="39"/>
      <c r="AP15" s="111" t="str">
        <f>IF(Briefing_FID!AP15="","",Briefing_FID!AP15)</f>
        <v/>
      </c>
      <c r="AQ15" s="112" t="str">
        <f>IF(Briefing_FID!AQ15="","",Briefing_FID!AQ15)</f>
        <v/>
      </c>
      <c r="AR15" s="107" t="str">
        <f>IF(Briefing_FID!AR15="","",Briefing_FID!AR15)</f>
        <v/>
      </c>
      <c r="AS15" s="108" t="str">
        <f>IF(Briefing_FID!AS15="","",Briefing_FID!AS15)</f>
        <v/>
      </c>
      <c r="AT15" s="113" t="str">
        <f>IF(Briefing_FID!AT15="","",Briefing_FID!AT15)</f>
        <v/>
      </c>
      <c r="AU15" s="113" t="str">
        <f>IF(Briefing_FID!AU15="","",Briefing_FID!AU15)</f>
        <v/>
      </c>
      <c r="AV15" s="113" t="str">
        <f>IF(Briefing_FID!AV15="","",Briefing_FID!AV15)</f>
        <v/>
      </c>
      <c r="AW15" s="113" t="str">
        <f>IF(Briefing_FID!AW15="","",Briefing_FID!AW15)</f>
        <v/>
      </c>
      <c r="AX15" s="114" t="str">
        <f>IF(Briefing_FID!AX15="","",Briefing_FID!AX15)</f>
        <v/>
      </c>
      <c r="AY15" s="71"/>
      <c r="AZ15" s="117" t="str">
        <f>IF(Briefing_FID!AZ15="","",Briefing_FID!AZ15)</f>
        <v/>
      </c>
      <c r="BA15" s="118" t="str">
        <f>IF(Briefing_FID!BA15="","",Briefing_FID!BA15)</f>
        <v/>
      </c>
      <c r="BB15" s="55"/>
      <c r="BC15" s="102" t="str">
        <f>IF(Briefing_FID!BC15="","",Briefing_FID!BC15)</f>
        <v/>
      </c>
      <c r="BD15" s="27" t="str">
        <f>IF(Briefing_FID!BD15="","",Briefing_FID!BD15)</f>
        <v/>
      </c>
      <c r="BE15" s="100" t="str">
        <f>IF(Briefing_FID!BE15="","",Briefing_FID!BE15)</f>
        <v/>
      </c>
      <c r="BF15" s="3" t="str">
        <f>IF(Briefing_FID!BF15="","",Briefing_FID!BF15)</f>
        <v/>
      </c>
      <c r="BG15" s="10" t="str">
        <f>IF(Briefing_FID!BG15="","",Briefing_FID!BG15)</f>
        <v/>
      </c>
      <c r="BH15" s="100" t="str">
        <f>IF(Briefing_FID!BH15="","",Briefing_FID!BH15)</f>
        <v/>
      </c>
      <c r="BI15" s="3" t="str">
        <f>IF(Briefing_FID!BI15="","",Briefing_FID!BI15)</f>
        <v/>
      </c>
      <c r="BJ15" s="10" t="str">
        <f>IF(Briefing_FID!BJ15="","",Briefing_FID!BJ15)</f>
        <v/>
      </c>
      <c r="BK15" s="100" t="str">
        <f>IF(Briefing_FID!BK15="","",Briefing_FID!BK15)</f>
        <v/>
      </c>
      <c r="BL15" s="3" t="str">
        <f>IF(Briefing_FID!BL15="","",Briefing_FID!BL15)</f>
        <v/>
      </c>
      <c r="BM15" s="28" t="str">
        <f>IF(Briefing_FID!BM15="","",Briefing_FID!BM15)</f>
        <v/>
      </c>
      <c r="BN15" s="100" t="str">
        <f>IF(Briefing_FID!BN15="","",Briefing_FID!BN15)</f>
        <v/>
      </c>
      <c r="BO15" s="3" t="str">
        <f>IF(Briefing_FID!BO15="","",Briefing_FID!BO15)</f>
        <v/>
      </c>
      <c r="BP15" s="28" t="str">
        <f>IF(Briefing_FID!BP15="","",Briefing_FID!BP15)</f>
        <v/>
      </c>
      <c r="BQ15" s="100" t="str">
        <f>IF(Briefing_FID!BQ15="","",Briefing_FID!BQ15)</f>
        <v/>
      </c>
      <c r="BR15" s="3" t="str">
        <f>IF(Briefing_FID!BR15="","",Briefing_FID!BR15)</f>
        <v/>
      </c>
      <c r="BS15" s="28" t="str">
        <f>IF(Briefing_FID!BS15="","",Briefing_FID!BS15)</f>
        <v/>
      </c>
      <c r="BT15" s="100" t="str">
        <f>IF(Briefing_FID!BT15="","",Briefing_FID!BT15)</f>
        <v/>
      </c>
      <c r="BU15" s="3" t="str">
        <f>IF(Briefing_FID!BU15="","",Briefing_FID!BU15)</f>
        <v/>
      </c>
      <c r="BV15" s="28" t="str">
        <f>IF(Briefing_FID!BV15="","",Briefing_FID!BV15)</f>
        <v/>
      </c>
      <c r="BW15" s="100" t="str">
        <f>IF(Briefing_FID!BW15="","",Briefing_FID!BW15)</f>
        <v/>
      </c>
      <c r="BX15" s="3" t="str">
        <f>IF(Briefing_FID!BX15="","",Briefing_FID!BX15)</f>
        <v/>
      </c>
      <c r="BY15" s="28" t="str">
        <f>IF(Briefing_FID!BY15="","",Briefing_FID!BY15)</f>
        <v/>
      </c>
      <c r="BZ15" s="100" t="str">
        <f>IF(Briefing_FID!BZ15="","",Briefing_FID!BZ15)</f>
        <v/>
      </c>
      <c r="CA15" s="3" t="str">
        <f>IF(Briefing_FID!CA15="","",Briefing_FID!CA15)</f>
        <v/>
      </c>
      <c r="CB15" s="28" t="str">
        <f>IF(Briefing_FID!CB15="","",Briefing_FID!CB15)</f>
        <v/>
      </c>
      <c r="CC15" s="100" t="str">
        <f>IF(Briefing_FID!CC15="","",Briefing_FID!CC15)</f>
        <v/>
      </c>
      <c r="CD15" s="3" t="str">
        <f>IF(Briefing_FID!CD15="","",Briefing_FID!CD15)</f>
        <v/>
      </c>
      <c r="CE15" s="28" t="str">
        <f>IF(Briefing_FID!CE15="","",Briefing_FID!CE15)</f>
        <v/>
      </c>
      <c r="CF15" s="100" t="str">
        <f>IF(Briefing_FID!CF15="","",Briefing_FID!CF15)</f>
        <v/>
      </c>
      <c r="CG15" s="3" t="str">
        <f>IF(Briefing_FID!CG15="","",Briefing_FID!CG15)</f>
        <v/>
      </c>
      <c r="CH15" s="28" t="str">
        <f>IF(Briefing_FID!CH15="","",Briefing_FID!CH15)</f>
        <v/>
      </c>
      <c r="CI15" s="100" t="str">
        <f>IF(Briefing_FID!CI15="","",Briefing_FID!CI15)</f>
        <v/>
      </c>
      <c r="CJ15" s="3" t="str">
        <f>IF(Briefing_FID!CJ15="","",Briefing_FID!CJ15)</f>
        <v/>
      </c>
      <c r="CK15" s="28" t="str">
        <f>IF(Briefing_FID!CK15="","",Briefing_FID!CK15)</f>
        <v/>
      </c>
      <c r="CL15" s="100" t="str">
        <f>IF(Briefing_FID!CL15="","",Briefing_FID!CL15)</f>
        <v/>
      </c>
      <c r="CM15" s="3" t="str">
        <f>IF(Briefing_FID!CM15="","",Briefing_FID!CM15)</f>
        <v/>
      </c>
      <c r="CN15" s="28" t="str">
        <f>IF(Briefing_FID!CN15="","",Briefing_FID!CN15)</f>
        <v/>
      </c>
      <c r="CO15" s="100" t="str">
        <f>IF(Briefing_FID!CO15="","",Briefing_FID!CO15)</f>
        <v/>
      </c>
      <c r="CP15" s="3" t="str">
        <f>IF(Briefing_FID!CP15="","",Briefing_FID!CP15)</f>
        <v/>
      </c>
      <c r="CQ15" s="28" t="str">
        <f>IF(Briefing_FID!CQ15="","",Briefing_FID!CQ15)</f>
        <v/>
      </c>
      <c r="CR15" s="100" t="str">
        <f>IF(Briefing_FID!CR15="","",Briefing_FID!CR15)</f>
        <v/>
      </c>
      <c r="CS15" s="3" t="str">
        <f>IF(Briefing_FID!CS15="","",Briefing_FID!CS15)</f>
        <v/>
      </c>
      <c r="CT15" s="28" t="str">
        <f>IF(Briefing_FID!CT15="","",Briefing_FID!CT15)</f>
        <v/>
      </c>
      <c r="CU15" s="100" t="str">
        <f>IF(Briefing_FID!CU15="","",Briefing_FID!CU15)</f>
        <v/>
      </c>
      <c r="CV15" s="3" t="str">
        <f>IF(Briefing_FID!CV15="","",Briefing_FID!CV15)</f>
        <v/>
      </c>
      <c r="CW15" s="28" t="str">
        <f>IF(Briefing_FID!CW15="","",Briefing_FID!CW15)</f>
        <v/>
      </c>
      <c r="CX15" s="100" t="str">
        <f>IF(Briefing_FID!CX15="","",Briefing_FID!CX15)</f>
        <v/>
      </c>
      <c r="CY15" s="3" t="str">
        <f>IF(Briefing_FID!CY15="","",Briefing_FID!CY15)</f>
        <v/>
      </c>
      <c r="CZ15" s="28" t="str">
        <f>IF(Briefing_FID!CZ15="","",Briefing_FID!CZ15)</f>
        <v/>
      </c>
      <c r="DA15" s="100" t="str">
        <f>IF(Briefing_FID!DA15="","",Briefing_FID!DA15)</f>
        <v/>
      </c>
      <c r="DB15" s="3" t="str">
        <f>IF(Briefing_FID!DB15="","",Briefing_FID!DB15)</f>
        <v/>
      </c>
      <c r="DC15" s="28" t="str">
        <f>IF(Briefing_FID!DC15="","",Briefing_FID!DC15)</f>
        <v/>
      </c>
      <c r="DD15" s="100" t="str">
        <f>IF(Briefing_FID!DD15="","",Briefing_FID!DD15)</f>
        <v/>
      </c>
      <c r="DE15" s="3" t="str">
        <f>IF(Briefing_FID!DE15="","",Briefing_FID!DE15)</f>
        <v/>
      </c>
      <c r="DF15" s="28" t="str">
        <f>IF(Briefing_FID!DF15="","",Briefing_FID!DF15)</f>
        <v/>
      </c>
      <c r="DG15" s="100" t="str">
        <f>IF(Briefing_FID!DG15="","",Briefing_FID!DG15)</f>
        <v/>
      </c>
      <c r="DH15" s="3" t="str">
        <f>IF(Briefing_FID!DH15="","",Briefing_FID!DH15)</f>
        <v/>
      </c>
      <c r="DI15" s="28" t="str">
        <f>IF(Briefing_FID!DI15="","",Briefing_FID!DI15)</f>
        <v/>
      </c>
      <c r="DJ15" s="100" t="str">
        <f>IF(Briefing_FID!DJ15="","",Briefing_FID!DJ15)</f>
        <v/>
      </c>
      <c r="DK15" s="3" t="str">
        <f>IF(Briefing_FID!DK15="","",Briefing_FID!DK15)</f>
        <v/>
      </c>
      <c r="DL15" s="28" t="str">
        <f>IF(Briefing_FID!DL15="","",Briefing_FID!DL15)</f>
        <v/>
      </c>
      <c r="DM15" s="100" t="str">
        <f>IF(Briefing_FID!DM15="","",Briefing_FID!DM15)</f>
        <v/>
      </c>
      <c r="DN15" s="3" t="str">
        <f>IF(Briefing_FID!DN15="","",Briefing_FID!DN15)</f>
        <v/>
      </c>
      <c r="DO15" s="28" t="str">
        <f>IF(Briefing_FID!DO15="","",Briefing_FID!DO15)</f>
        <v/>
      </c>
      <c r="DP15" s="100" t="str">
        <f>IF(Briefing_FID!DP15="","",Briefing_FID!DP15)</f>
        <v/>
      </c>
      <c r="DQ15" s="3" t="str">
        <f>IF(Briefing_FID!DQ15="","",Briefing_FID!DQ15)</f>
        <v/>
      </c>
      <c r="DR15" s="28" t="str">
        <f>IF(Briefing_FID!DR15="","",Briefing_FID!DR15)</f>
        <v/>
      </c>
      <c r="DS15" s="100" t="str">
        <f>IF(Briefing_FID!DS15="","",Briefing_FID!DS15)</f>
        <v/>
      </c>
      <c r="DT15" s="3" t="str">
        <f>IF(Briefing_FID!DT15="","",Briefing_FID!DT15)</f>
        <v/>
      </c>
      <c r="DU15" s="28" t="str">
        <f>IF(Briefing_FID!DU15="","",Briefing_FID!DU15)</f>
        <v/>
      </c>
      <c r="DV15" s="100" t="str">
        <f>IF(Briefing_FID!DV15="","",Briefing_FID!DV15)</f>
        <v/>
      </c>
      <c r="DW15" s="3" t="str">
        <f>IF(Briefing_FID!DW15="","",Briefing_FID!DW15)</f>
        <v/>
      </c>
      <c r="DX15" s="28" t="str">
        <f>IF(Briefing_FID!DX15="","",Briefing_FID!DX15)</f>
        <v/>
      </c>
      <c r="DY15" s="100" t="str">
        <f>IF(Briefing_FID!DY15="","",Briefing_FID!DY15)</f>
        <v/>
      </c>
      <c r="DZ15" s="3" t="str">
        <f>IF(Briefing_FID!DZ15="","",Briefing_FID!DZ15)</f>
        <v/>
      </c>
      <c r="EA15" s="28" t="str">
        <f>IF(Briefing_FID!EA15="","",Briefing_FID!EA15)</f>
        <v/>
      </c>
      <c r="EB15" s="100" t="str">
        <f>IF(Briefing_FID!EB15="","",Briefing_FID!EB15)</f>
        <v/>
      </c>
      <c r="EC15" s="3" t="str">
        <f>IF(Briefing_FID!EC15="","",Briefing_FID!EC15)</f>
        <v/>
      </c>
      <c r="ED15" s="28" t="str">
        <f>IF(Briefing_FID!ED15="","",Briefing_FID!ED15)</f>
        <v/>
      </c>
      <c r="EE15" s="100" t="str">
        <f>IF(Briefing_FID!EE15="","",Briefing_FID!EE15)</f>
        <v/>
      </c>
      <c r="EF15" s="3" t="str">
        <f>IF(Briefing_FID!EF15="","",Briefing_FID!EF15)</f>
        <v/>
      </c>
      <c r="EG15" s="28" t="str">
        <f>IF(Briefing_FID!EG15="","",Briefing_FID!EG15)</f>
        <v/>
      </c>
      <c r="EH15" s="100" t="str">
        <f>IF(Briefing_FID!EH15="","",Briefing_FID!EH15)</f>
        <v/>
      </c>
      <c r="EI15" s="3" t="str">
        <f>IF(Briefing_FID!EI15="","",Briefing_FID!EI15)</f>
        <v/>
      </c>
      <c r="EJ15" s="28" t="str">
        <f>IF(Briefing_FID!EJ15="","",Briefing_FID!EJ15)</f>
        <v/>
      </c>
      <c r="EK15" s="100" t="str">
        <f>IF(Briefing_FID!EK15="","",Briefing_FID!EK15)</f>
        <v/>
      </c>
      <c r="EL15" s="3" t="str">
        <f>IF(Briefing_FID!EL15="","",Briefing_FID!EL15)</f>
        <v/>
      </c>
      <c r="EM15" s="28" t="str">
        <f>IF(Briefing_FID!EM15="","",Briefing_FID!EM15)</f>
        <v/>
      </c>
      <c r="EN15" s="100" t="str">
        <f>IF(Briefing_FID!EN15="","",Briefing_FID!EN15)</f>
        <v/>
      </c>
      <c r="EO15" s="3" t="str">
        <f>IF(Briefing_FID!EO15="","",Briefing_FID!EO15)</f>
        <v/>
      </c>
      <c r="EP15" s="28" t="str">
        <f>IF(Briefing_FID!EP15="","",Briefing_FID!EP15)</f>
        <v/>
      </c>
      <c r="EQ15" s="28" t="str">
        <f>IF(Briefing_FID!EQ15="","",Briefing_FID!EQ15)</f>
        <v/>
      </c>
      <c r="ER15" s="28" t="str">
        <f>IF(Briefing_FID!ER15="","",Briefing_FID!ER15)</f>
        <v/>
      </c>
      <c r="ES15" s="62"/>
      <c r="ET15" s="96" t="str">
        <f>IF(Briefing_FID!EZ15="","",Briefing_FID!EZ15)</f>
        <v/>
      </c>
      <c r="EU15" s="97" t="str">
        <f>IF(Briefing_FID!FA15="","",Briefing_FID!FA15)</f>
        <v/>
      </c>
      <c r="EV15" s="98" t="str">
        <f>IF(Briefing_FID!FB15="","",Briefing_FID!FB15)</f>
        <v/>
      </c>
      <c r="EW15" s="96" t="str">
        <f>IF(Briefing_FID!FC15="","",Briefing_FID!FC15)</f>
        <v/>
      </c>
      <c r="EX15" s="97" t="str">
        <f>IF(Briefing_FID!FD15="","",Briefing_FID!FD15)</f>
        <v/>
      </c>
      <c r="EY15" s="98" t="str">
        <f>IF(Briefing_FID!FE15="","",Briefing_FID!FE15)</f>
        <v/>
      </c>
      <c r="EZ15" s="104" t="str">
        <f>IF(Briefing_FID!FF15="","",Briefing_FID!FF15)</f>
        <v/>
      </c>
      <c r="FA15" s="144" t="str">
        <f>IF(Briefing_FID!FG15="","",Briefing_FID!FG15)</f>
        <v/>
      </c>
      <c r="FB15" s="144" t="str">
        <f>IF(Briefing_FID!FH15="","",Briefing_FID!FH15)</f>
        <v/>
      </c>
      <c r="FC15" s="144" t="str">
        <f>IF(Briefing_FID!FI15="","",Briefing_FID!FI15)</f>
        <v/>
      </c>
      <c r="FD15" s="144" t="str">
        <f>IF(Briefing_FID!FJ15="","",Briefing_FID!FJ15)</f>
        <v/>
      </c>
      <c r="FE15" s="144" t="str">
        <f>IF(Briefing_FID!FK15="","",Briefing_FID!FK15)</f>
        <v/>
      </c>
      <c r="FF15" s="144" t="str">
        <f>IF(Briefing_FID!FL15="","",Briefing_FID!FL15)</f>
        <v/>
      </c>
      <c r="FG15" s="144" t="str">
        <f>IF(Briefing_FID!FM15="","",Briefing_FID!FM15)</f>
        <v/>
      </c>
      <c r="FH15" s="144" t="str">
        <f>IF(Briefing_FID!FN15="","",Briefing_FID!FN15)</f>
        <v/>
      </c>
      <c r="FI15" s="144" t="str">
        <f>IF(Briefing_FID!FO15="","",Briefing_FID!FO15)</f>
        <v/>
      </c>
      <c r="FJ15" s="144" t="str">
        <f>IF(Briefing_FID!FP15="","",Briefing_FID!FP15)</f>
        <v/>
      </c>
      <c r="FK15" s="144" t="str">
        <f>IF(Briefing_FID!FQ15="","",Briefing_FID!FQ15)</f>
        <v/>
      </c>
      <c r="FL15" s="144" t="str">
        <f>IF(Briefing_FID!FR15="","",Briefing_FID!FR15)</f>
        <v/>
      </c>
      <c r="FM15" s="144" t="str">
        <f>IF(Briefing_FID!FS15="","",Briefing_FID!FS15)</f>
        <v/>
      </c>
      <c r="FN15" s="144" t="str">
        <f>IF(Briefing_FID!FT15="","",Briefing_FID!FT15)</f>
        <v/>
      </c>
      <c r="FO15" s="144" t="str">
        <f>IF(Briefing_FID!FU15="","",Briefing_FID!FU15)</f>
        <v/>
      </c>
      <c r="FP15" s="144" t="str">
        <f>IF(Briefing_FID!FV15="","",Briefing_FID!FV15)</f>
        <v/>
      </c>
      <c r="FQ15" s="144" t="str">
        <f>IF(Briefing_FID!FW15="","",Briefing_FID!FW15)</f>
        <v/>
      </c>
      <c r="FR15" s="151"/>
      <c r="FS15" s="152"/>
      <c r="FT15" s="152"/>
      <c r="FU15" s="152"/>
      <c r="FV15" s="152"/>
      <c r="FW15" s="152"/>
      <c r="FX15" s="152"/>
      <c r="FY15" s="152"/>
      <c r="FZ15" s="152"/>
      <c r="GA15" s="153"/>
    </row>
    <row r="16" spans="1:183">
      <c r="A16" s="136" t="str">
        <f>IF(Briefing_FID!A16="","",Briefing_FID!A16)</f>
        <v/>
      </c>
      <c r="B16" s="137" t="str">
        <f>IF(Briefing_FID!B16="","",Briefing_FID!B16)</f>
        <v/>
      </c>
      <c r="C16" s="137" t="str">
        <f>IF(Briefing_FID!C16="","",Briefing_FID!C16)</f>
        <v/>
      </c>
      <c r="D16" s="46"/>
      <c r="E16" s="120"/>
      <c r="F16" s="117"/>
      <c r="G16" s="117"/>
      <c r="H16" s="72"/>
      <c r="I16" s="72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23"/>
      <c r="AD16" s="117"/>
      <c r="AE16" s="117"/>
      <c r="AF16" s="117"/>
      <c r="AG16" s="117"/>
      <c r="AH16" s="117"/>
      <c r="AI16" s="117"/>
      <c r="AJ16" s="117"/>
      <c r="AK16" s="117"/>
      <c r="AL16" s="124"/>
      <c r="AM16" s="37"/>
      <c r="AN16" s="38"/>
      <c r="AO16" s="39"/>
      <c r="AP16" s="111" t="str">
        <f>IF(Briefing_FID!AP16="","",Briefing_FID!AP16)</f>
        <v/>
      </c>
      <c r="AQ16" s="112" t="str">
        <f>IF(Briefing_FID!AQ16="","",Briefing_FID!AQ16)</f>
        <v/>
      </c>
      <c r="AR16" s="107" t="str">
        <f>IF(Briefing_FID!AR16="","",Briefing_FID!AR16)</f>
        <v/>
      </c>
      <c r="AS16" s="108" t="str">
        <f>IF(Briefing_FID!AS16="","",Briefing_FID!AS16)</f>
        <v/>
      </c>
      <c r="AT16" s="113" t="str">
        <f>IF(Briefing_FID!AT16="","",Briefing_FID!AT16)</f>
        <v/>
      </c>
      <c r="AU16" s="113" t="str">
        <f>IF(Briefing_FID!AU16="","",Briefing_FID!AU16)</f>
        <v/>
      </c>
      <c r="AV16" s="113" t="str">
        <f>IF(Briefing_FID!AV16="","",Briefing_FID!AV16)</f>
        <v/>
      </c>
      <c r="AW16" s="113" t="str">
        <f>IF(Briefing_FID!AW16="","",Briefing_FID!AW16)</f>
        <v/>
      </c>
      <c r="AX16" s="114" t="str">
        <f>IF(Briefing_FID!AX16="","",Briefing_FID!AX16)</f>
        <v/>
      </c>
      <c r="AY16" s="71"/>
      <c r="AZ16" s="117" t="str">
        <f>IF(Briefing_FID!AZ16="","",Briefing_FID!AZ16)</f>
        <v/>
      </c>
      <c r="BA16" s="118" t="str">
        <f>IF(Briefing_FID!BA16="","",Briefing_FID!BA16)</f>
        <v/>
      </c>
      <c r="BB16" s="55"/>
      <c r="BC16" s="102" t="str">
        <f>IF(Briefing_FID!BC16="","",Briefing_FID!BC16)</f>
        <v/>
      </c>
      <c r="BD16" s="27" t="str">
        <f>IF(Briefing_FID!BD16="","",Briefing_FID!BD16)</f>
        <v/>
      </c>
      <c r="BE16" s="100" t="str">
        <f>IF(Briefing_FID!BE16="","",Briefing_FID!BE16)</f>
        <v/>
      </c>
      <c r="BF16" s="3" t="str">
        <f>IF(Briefing_FID!BF16="","",Briefing_FID!BF16)</f>
        <v/>
      </c>
      <c r="BG16" s="10" t="str">
        <f>IF(Briefing_FID!BG16="","",Briefing_FID!BG16)</f>
        <v/>
      </c>
      <c r="BH16" s="100" t="str">
        <f>IF(Briefing_FID!BH16="","",Briefing_FID!BH16)</f>
        <v/>
      </c>
      <c r="BI16" s="3" t="str">
        <f>IF(Briefing_FID!BI16="","",Briefing_FID!BI16)</f>
        <v/>
      </c>
      <c r="BJ16" s="10" t="str">
        <f>IF(Briefing_FID!BJ16="","",Briefing_FID!BJ16)</f>
        <v/>
      </c>
      <c r="BK16" s="100" t="str">
        <f>IF(Briefing_FID!BK16="","",Briefing_FID!BK16)</f>
        <v/>
      </c>
      <c r="BL16" s="3" t="str">
        <f>IF(Briefing_FID!BL16="","",Briefing_FID!BL16)</f>
        <v/>
      </c>
      <c r="BM16" s="28" t="str">
        <f>IF(Briefing_FID!BM16="","",Briefing_FID!BM16)</f>
        <v/>
      </c>
      <c r="BN16" s="100" t="str">
        <f>IF(Briefing_FID!BN16="","",Briefing_FID!BN16)</f>
        <v/>
      </c>
      <c r="BO16" s="3" t="str">
        <f>IF(Briefing_FID!BO16="","",Briefing_FID!BO16)</f>
        <v/>
      </c>
      <c r="BP16" s="28" t="str">
        <f>IF(Briefing_FID!BP16="","",Briefing_FID!BP16)</f>
        <v/>
      </c>
      <c r="BQ16" s="100" t="str">
        <f>IF(Briefing_FID!BQ16="","",Briefing_FID!BQ16)</f>
        <v/>
      </c>
      <c r="BR16" s="3" t="str">
        <f>IF(Briefing_FID!BR16="","",Briefing_FID!BR16)</f>
        <v/>
      </c>
      <c r="BS16" s="28" t="str">
        <f>IF(Briefing_FID!BS16="","",Briefing_FID!BS16)</f>
        <v/>
      </c>
      <c r="BT16" s="100" t="str">
        <f>IF(Briefing_FID!BT16="","",Briefing_FID!BT16)</f>
        <v/>
      </c>
      <c r="BU16" s="3" t="str">
        <f>IF(Briefing_FID!BU16="","",Briefing_FID!BU16)</f>
        <v/>
      </c>
      <c r="BV16" s="28" t="str">
        <f>IF(Briefing_FID!BV16="","",Briefing_FID!BV16)</f>
        <v/>
      </c>
      <c r="BW16" s="100" t="str">
        <f>IF(Briefing_FID!BW16="","",Briefing_FID!BW16)</f>
        <v/>
      </c>
      <c r="BX16" s="3" t="str">
        <f>IF(Briefing_FID!BX16="","",Briefing_FID!BX16)</f>
        <v/>
      </c>
      <c r="BY16" s="28" t="str">
        <f>IF(Briefing_FID!BY16="","",Briefing_FID!BY16)</f>
        <v/>
      </c>
      <c r="BZ16" s="100" t="str">
        <f>IF(Briefing_FID!BZ16="","",Briefing_FID!BZ16)</f>
        <v/>
      </c>
      <c r="CA16" s="3" t="str">
        <f>IF(Briefing_FID!CA16="","",Briefing_FID!CA16)</f>
        <v/>
      </c>
      <c r="CB16" s="28" t="str">
        <f>IF(Briefing_FID!CB16="","",Briefing_FID!CB16)</f>
        <v/>
      </c>
      <c r="CC16" s="100" t="str">
        <f>IF(Briefing_FID!CC16="","",Briefing_FID!CC16)</f>
        <v/>
      </c>
      <c r="CD16" s="3" t="str">
        <f>IF(Briefing_FID!CD16="","",Briefing_FID!CD16)</f>
        <v/>
      </c>
      <c r="CE16" s="28" t="str">
        <f>IF(Briefing_FID!CE16="","",Briefing_FID!CE16)</f>
        <v/>
      </c>
      <c r="CF16" s="100" t="str">
        <f>IF(Briefing_FID!CF16="","",Briefing_FID!CF16)</f>
        <v/>
      </c>
      <c r="CG16" s="3" t="str">
        <f>IF(Briefing_FID!CG16="","",Briefing_FID!CG16)</f>
        <v/>
      </c>
      <c r="CH16" s="28" t="str">
        <f>IF(Briefing_FID!CH16="","",Briefing_FID!CH16)</f>
        <v/>
      </c>
      <c r="CI16" s="100" t="str">
        <f>IF(Briefing_FID!CI16="","",Briefing_FID!CI16)</f>
        <v/>
      </c>
      <c r="CJ16" s="3" t="str">
        <f>IF(Briefing_FID!CJ16="","",Briefing_FID!CJ16)</f>
        <v/>
      </c>
      <c r="CK16" s="28" t="str">
        <f>IF(Briefing_FID!CK16="","",Briefing_FID!CK16)</f>
        <v/>
      </c>
      <c r="CL16" s="100" t="str">
        <f>IF(Briefing_FID!CL16="","",Briefing_FID!CL16)</f>
        <v/>
      </c>
      <c r="CM16" s="3" t="str">
        <f>IF(Briefing_FID!CM16="","",Briefing_FID!CM16)</f>
        <v/>
      </c>
      <c r="CN16" s="28" t="str">
        <f>IF(Briefing_FID!CN16="","",Briefing_FID!CN16)</f>
        <v/>
      </c>
      <c r="CO16" s="100" t="str">
        <f>IF(Briefing_FID!CO16="","",Briefing_FID!CO16)</f>
        <v/>
      </c>
      <c r="CP16" s="3" t="str">
        <f>IF(Briefing_FID!CP16="","",Briefing_FID!CP16)</f>
        <v/>
      </c>
      <c r="CQ16" s="28" t="str">
        <f>IF(Briefing_FID!CQ16="","",Briefing_FID!CQ16)</f>
        <v/>
      </c>
      <c r="CR16" s="100" t="str">
        <f>IF(Briefing_FID!CR16="","",Briefing_FID!CR16)</f>
        <v/>
      </c>
      <c r="CS16" s="3" t="str">
        <f>IF(Briefing_FID!CS16="","",Briefing_FID!CS16)</f>
        <v/>
      </c>
      <c r="CT16" s="28" t="str">
        <f>IF(Briefing_FID!CT16="","",Briefing_FID!CT16)</f>
        <v/>
      </c>
      <c r="CU16" s="100" t="str">
        <f>IF(Briefing_FID!CU16="","",Briefing_FID!CU16)</f>
        <v/>
      </c>
      <c r="CV16" s="3" t="str">
        <f>IF(Briefing_FID!CV16="","",Briefing_FID!CV16)</f>
        <v/>
      </c>
      <c r="CW16" s="28" t="str">
        <f>IF(Briefing_FID!CW16="","",Briefing_FID!CW16)</f>
        <v/>
      </c>
      <c r="CX16" s="100" t="str">
        <f>IF(Briefing_FID!CX16="","",Briefing_FID!CX16)</f>
        <v/>
      </c>
      <c r="CY16" s="3" t="str">
        <f>IF(Briefing_FID!CY16="","",Briefing_FID!CY16)</f>
        <v/>
      </c>
      <c r="CZ16" s="28" t="str">
        <f>IF(Briefing_FID!CZ16="","",Briefing_FID!CZ16)</f>
        <v/>
      </c>
      <c r="DA16" s="100" t="str">
        <f>IF(Briefing_FID!DA16="","",Briefing_FID!DA16)</f>
        <v/>
      </c>
      <c r="DB16" s="3" t="str">
        <f>IF(Briefing_FID!DB16="","",Briefing_FID!DB16)</f>
        <v/>
      </c>
      <c r="DC16" s="28" t="str">
        <f>IF(Briefing_FID!DC16="","",Briefing_FID!DC16)</f>
        <v/>
      </c>
      <c r="DD16" s="100" t="str">
        <f>IF(Briefing_FID!DD16="","",Briefing_FID!DD16)</f>
        <v/>
      </c>
      <c r="DE16" s="3" t="str">
        <f>IF(Briefing_FID!DE16="","",Briefing_FID!DE16)</f>
        <v/>
      </c>
      <c r="DF16" s="28" t="str">
        <f>IF(Briefing_FID!DF16="","",Briefing_FID!DF16)</f>
        <v/>
      </c>
      <c r="DG16" s="100" t="str">
        <f>IF(Briefing_FID!DG16="","",Briefing_FID!DG16)</f>
        <v/>
      </c>
      <c r="DH16" s="3" t="str">
        <f>IF(Briefing_FID!DH16="","",Briefing_FID!DH16)</f>
        <v/>
      </c>
      <c r="DI16" s="28" t="str">
        <f>IF(Briefing_FID!DI16="","",Briefing_FID!DI16)</f>
        <v/>
      </c>
      <c r="DJ16" s="100" t="str">
        <f>IF(Briefing_FID!DJ16="","",Briefing_FID!DJ16)</f>
        <v/>
      </c>
      <c r="DK16" s="3" t="str">
        <f>IF(Briefing_FID!DK16="","",Briefing_FID!DK16)</f>
        <v/>
      </c>
      <c r="DL16" s="28" t="str">
        <f>IF(Briefing_FID!DL16="","",Briefing_FID!DL16)</f>
        <v/>
      </c>
      <c r="DM16" s="100" t="str">
        <f>IF(Briefing_FID!DM16="","",Briefing_FID!DM16)</f>
        <v/>
      </c>
      <c r="DN16" s="3" t="str">
        <f>IF(Briefing_FID!DN16="","",Briefing_FID!DN16)</f>
        <v/>
      </c>
      <c r="DO16" s="28" t="str">
        <f>IF(Briefing_FID!DO16="","",Briefing_FID!DO16)</f>
        <v/>
      </c>
      <c r="DP16" s="100" t="str">
        <f>IF(Briefing_FID!DP16="","",Briefing_FID!DP16)</f>
        <v/>
      </c>
      <c r="DQ16" s="3" t="str">
        <f>IF(Briefing_FID!DQ16="","",Briefing_FID!DQ16)</f>
        <v/>
      </c>
      <c r="DR16" s="28" t="str">
        <f>IF(Briefing_FID!DR16="","",Briefing_FID!DR16)</f>
        <v/>
      </c>
      <c r="DS16" s="100" t="str">
        <f>IF(Briefing_FID!DS16="","",Briefing_FID!DS16)</f>
        <v/>
      </c>
      <c r="DT16" s="3" t="str">
        <f>IF(Briefing_FID!DT16="","",Briefing_FID!DT16)</f>
        <v/>
      </c>
      <c r="DU16" s="28" t="str">
        <f>IF(Briefing_FID!DU16="","",Briefing_FID!DU16)</f>
        <v/>
      </c>
      <c r="DV16" s="100" t="str">
        <f>IF(Briefing_FID!DV16="","",Briefing_FID!DV16)</f>
        <v/>
      </c>
      <c r="DW16" s="3" t="str">
        <f>IF(Briefing_FID!DW16="","",Briefing_FID!DW16)</f>
        <v/>
      </c>
      <c r="DX16" s="28" t="str">
        <f>IF(Briefing_FID!DX16="","",Briefing_FID!DX16)</f>
        <v/>
      </c>
      <c r="DY16" s="100" t="str">
        <f>IF(Briefing_FID!DY16="","",Briefing_FID!DY16)</f>
        <v/>
      </c>
      <c r="DZ16" s="3" t="str">
        <f>IF(Briefing_FID!DZ16="","",Briefing_FID!DZ16)</f>
        <v/>
      </c>
      <c r="EA16" s="28" t="str">
        <f>IF(Briefing_FID!EA16="","",Briefing_FID!EA16)</f>
        <v/>
      </c>
      <c r="EB16" s="100" t="str">
        <f>IF(Briefing_FID!EB16="","",Briefing_FID!EB16)</f>
        <v/>
      </c>
      <c r="EC16" s="3" t="str">
        <f>IF(Briefing_FID!EC16="","",Briefing_FID!EC16)</f>
        <v/>
      </c>
      <c r="ED16" s="28" t="str">
        <f>IF(Briefing_FID!ED16="","",Briefing_FID!ED16)</f>
        <v/>
      </c>
      <c r="EE16" s="100" t="str">
        <f>IF(Briefing_FID!EE16="","",Briefing_FID!EE16)</f>
        <v/>
      </c>
      <c r="EF16" s="3" t="str">
        <f>IF(Briefing_FID!EF16="","",Briefing_FID!EF16)</f>
        <v/>
      </c>
      <c r="EG16" s="28" t="str">
        <f>IF(Briefing_FID!EG16="","",Briefing_FID!EG16)</f>
        <v/>
      </c>
      <c r="EH16" s="100" t="str">
        <f>IF(Briefing_FID!EH16="","",Briefing_FID!EH16)</f>
        <v/>
      </c>
      <c r="EI16" s="3" t="str">
        <f>IF(Briefing_FID!EI16="","",Briefing_FID!EI16)</f>
        <v/>
      </c>
      <c r="EJ16" s="28" t="str">
        <f>IF(Briefing_FID!EJ16="","",Briefing_FID!EJ16)</f>
        <v/>
      </c>
      <c r="EK16" s="100" t="str">
        <f>IF(Briefing_FID!EK16="","",Briefing_FID!EK16)</f>
        <v/>
      </c>
      <c r="EL16" s="3" t="str">
        <f>IF(Briefing_FID!EL16="","",Briefing_FID!EL16)</f>
        <v/>
      </c>
      <c r="EM16" s="28" t="str">
        <f>IF(Briefing_FID!EM16="","",Briefing_FID!EM16)</f>
        <v/>
      </c>
      <c r="EN16" s="100" t="str">
        <f>IF(Briefing_FID!EN16="","",Briefing_FID!EN16)</f>
        <v/>
      </c>
      <c r="EO16" s="3" t="str">
        <f>IF(Briefing_FID!EO16="","",Briefing_FID!EO16)</f>
        <v/>
      </c>
      <c r="EP16" s="28" t="str">
        <f>IF(Briefing_FID!EP16="","",Briefing_FID!EP16)</f>
        <v/>
      </c>
      <c r="EQ16" s="28" t="str">
        <f>IF(Briefing_FID!EQ16="","",Briefing_FID!EQ16)</f>
        <v/>
      </c>
      <c r="ER16" s="28" t="str">
        <f>IF(Briefing_FID!ER16="","",Briefing_FID!ER16)</f>
        <v/>
      </c>
      <c r="ES16" s="62"/>
      <c r="ET16" s="96" t="str">
        <f>IF(Briefing_FID!EZ16="","",Briefing_FID!EZ16)</f>
        <v/>
      </c>
      <c r="EU16" s="97" t="str">
        <f>IF(Briefing_FID!FA16="","",Briefing_FID!FA16)</f>
        <v/>
      </c>
      <c r="EV16" s="98" t="str">
        <f>IF(Briefing_FID!FB16="","",Briefing_FID!FB16)</f>
        <v/>
      </c>
      <c r="EW16" s="96" t="str">
        <f>IF(Briefing_FID!FC16="","",Briefing_FID!FC16)</f>
        <v/>
      </c>
      <c r="EX16" s="97" t="str">
        <f>IF(Briefing_FID!FD16="","",Briefing_FID!FD16)</f>
        <v/>
      </c>
      <c r="EY16" s="98" t="str">
        <f>IF(Briefing_FID!FE16="","",Briefing_FID!FE16)</f>
        <v/>
      </c>
      <c r="EZ16" s="104" t="str">
        <f>IF(Briefing_FID!FF16="","",Briefing_FID!FF16)</f>
        <v/>
      </c>
      <c r="FA16" s="144" t="str">
        <f>IF(Briefing_FID!FG16="","",Briefing_FID!FG16)</f>
        <v/>
      </c>
      <c r="FB16" s="144" t="str">
        <f>IF(Briefing_FID!FH16="","",Briefing_FID!FH16)</f>
        <v/>
      </c>
      <c r="FC16" s="144" t="str">
        <f>IF(Briefing_FID!FI16="","",Briefing_FID!FI16)</f>
        <v/>
      </c>
      <c r="FD16" s="144" t="str">
        <f>IF(Briefing_FID!FJ16="","",Briefing_FID!FJ16)</f>
        <v/>
      </c>
      <c r="FE16" s="144" t="str">
        <f>IF(Briefing_FID!FK16="","",Briefing_FID!FK16)</f>
        <v/>
      </c>
      <c r="FF16" s="144" t="str">
        <f>IF(Briefing_FID!FL16="","",Briefing_FID!FL16)</f>
        <v/>
      </c>
      <c r="FG16" s="144" t="str">
        <f>IF(Briefing_FID!FM16="","",Briefing_FID!FM16)</f>
        <v/>
      </c>
      <c r="FH16" s="144" t="str">
        <f>IF(Briefing_FID!FN16="","",Briefing_FID!FN16)</f>
        <v/>
      </c>
      <c r="FI16" s="144" t="str">
        <f>IF(Briefing_FID!FO16="","",Briefing_FID!FO16)</f>
        <v/>
      </c>
      <c r="FJ16" s="144" t="str">
        <f>IF(Briefing_FID!FP16="","",Briefing_FID!FP16)</f>
        <v/>
      </c>
      <c r="FK16" s="144" t="str">
        <f>IF(Briefing_FID!FQ16="","",Briefing_FID!FQ16)</f>
        <v/>
      </c>
      <c r="FL16" s="144" t="str">
        <f>IF(Briefing_FID!FR16="","",Briefing_FID!FR16)</f>
        <v/>
      </c>
      <c r="FM16" s="144" t="str">
        <f>IF(Briefing_FID!FS16="","",Briefing_FID!FS16)</f>
        <v/>
      </c>
      <c r="FN16" s="144" t="str">
        <f>IF(Briefing_FID!FT16="","",Briefing_FID!FT16)</f>
        <v/>
      </c>
      <c r="FO16" s="144" t="str">
        <f>IF(Briefing_FID!FU16="","",Briefing_FID!FU16)</f>
        <v/>
      </c>
      <c r="FP16" s="144" t="str">
        <f>IF(Briefing_FID!FV16="","",Briefing_FID!FV16)</f>
        <v/>
      </c>
      <c r="FQ16" s="144" t="str">
        <f>IF(Briefing_FID!FW16="","",Briefing_FID!FW16)</f>
        <v/>
      </c>
      <c r="FR16" s="151"/>
      <c r="FS16" s="152"/>
      <c r="FT16" s="152"/>
      <c r="FU16" s="152"/>
      <c r="FV16" s="152"/>
      <c r="FW16" s="152"/>
      <c r="FX16" s="152"/>
      <c r="FY16" s="152"/>
      <c r="FZ16" s="152"/>
      <c r="GA16" s="153"/>
    </row>
    <row r="17" spans="1:183">
      <c r="A17" s="136" t="str">
        <f>IF(Briefing_FID!A17="","",Briefing_FID!A17)</f>
        <v/>
      </c>
      <c r="B17" s="137" t="str">
        <f>IF(Briefing_FID!B17="","",Briefing_FID!B17)</f>
        <v/>
      </c>
      <c r="C17" s="137" t="str">
        <f>IF(Briefing_FID!C17="","",Briefing_FID!C17)</f>
        <v/>
      </c>
      <c r="D17" s="46"/>
      <c r="E17" s="120"/>
      <c r="F17" s="117"/>
      <c r="G17" s="117"/>
      <c r="H17" s="72"/>
      <c r="I17" s="72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23"/>
      <c r="AD17" s="117"/>
      <c r="AE17" s="117"/>
      <c r="AF17" s="117"/>
      <c r="AG17" s="117"/>
      <c r="AH17" s="117"/>
      <c r="AI17" s="117"/>
      <c r="AJ17" s="117"/>
      <c r="AK17" s="117"/>
      <c r="AL17" s="124"/>
      <c r="AM17" s="37"/>
      <c r="AN17" s="38"/>
      <c r="AO17" s="39"/>
      <c r="AP17" s="111" t="str">
        <f>IF(Briefing_FID!AP17="","",Briefing_FID!AP17)</f>
        <v/>
      </c>
      <c r="AQ17" s="112" t="str">
        <f>IF(Briefing_FID!AQ17="","",Briefing_FID!AQ17)</f>
        <v/>
      </c>
      <c r="AR17" s="107" t="str">
        <f>IF(Briefing_FID!AR17="","",Briefing_FID!AR17)</f>
        <v/>
      </c>
      <c r="AS17" s="108" t="str">
        <f>IF(Briefing_FID!AS17="","",Briefing_FID!AS17)</f>
        <v/>
      </c>
      <c r="AT17" s="113" t="str">
        <f>IF(Briefing_FID!AT17="","",Briefing_FID!AT17)</f>
        <v/>
      </c>
      <c r="AU17" s="113" t="str">
        <f>IF(Briefing_FID!AU17="","",Briefing_FID!AU17)</f>
        <v/>
      </c>
      <c r="AV17" s="113" t="str">
        <f>IF(Briefing_FID!AV17="","",Briefing_FID!AV17)</f>
        <v/>
      </c>
      <c r="AW17" s="113" t="str">
        <f>IF(Briefing_FID!AW17="","",Briefing_FID!AW17)</f>
        <v/>
      </c>
      <c r="AX17" s="114" t="str">
        <f>IF(Briefing_FID!AX17="","",Briefing_FID!AX17)</f>
        <v/>
      </c>
      <c r="AY17" s="71"/>
      <c r="AZ17" s="117" t="str">
        <f>IF(Briefing_FID!AZ17="","",Briefing_FID!AZ17)</f>
        <v/>
      </c>
      <c r="BA17" s="118" t="str">
        <f>IF(Briefing_FID!BA17="","",Briefing_FID!BA17)</f>
        <v/>
      </c>
      <c r="BB17" s="55"/>
      <c r="BC17" s="102" t="str">
        <f>IF(Briefing_FID!BC17="","",Briefing_FID!BC17)</f>
        <v/>
      </c>
      <c r="BD17" s="27" t="str">
        <f>IF(Briefing_FID!BD17="","",Briefing_FID!BD17)</f>
        <v/>
      </c>
      <c r="BE17" s="100" t="str">
        <f>IF(Briefing_FID!BE17="","",Briefing_FID!BE17)</f>
        <v/>
      </c>
      <c r="BF17" s="3" t="str">
        <f>IF(Briefing_FID!BF17="","",Briefing_FID!BF17)</f>
        <v/>
      </c>
      <c r="BG17" s="10" t="str">
        <f>IF(Briefing_FID!BG17="","",Briefing_FID!BG17)</f>
        <v/>
      </c>
      <c r="BH17" s="100" t="str">
        <f>IF(Briefing_FID!BH17="","",Briefing_FID!BH17)</f>
        <v/>
      </c>
      <c r="BI17" s="3" t="str">
        <f>IF(Briefing_FID!BI17="","",Briefing_FID!BI17)</f>
        <v/>
      </c>
      <c r="BJ17" s="10" t="str">
        <f>IF(Briefing_FID!BJ17="","",Briefing_FID!BJ17)</f>
        <v/>
      </c>
      <c r="BK17" s="100" t="str">
        <f>IF(Briefing_FID!BK17="","",Briefing_FID!BK17)</f>
        <v/>
      </c>
      <c r="BL17" s="3" t="str">
        <f>IF(Briefing_FID!BL17="","",Briefing_FID!BL17)</f>
        <v/>
      </c>
      <c r="BM17" s="28" t="str">
        <f>IF(Briefing_FID!BM17="","",Briefing_FID!BM17)</f>
        <v/>
      </c>
      <c r="BN17" s="100" t="str">
        <f>IF(Briefing_FID!BN17="","",Briefing_FID!BN17)</f>
        <v/>
      </c>
      <c r="BO17" s="3" t="str">
        <f>IF(Briefing_FID!BO17="","",Briefing_FID!BO17)</f>
        <v/>
      </c>
      <c r="BP17" s="28" t="str">
        <f>IF(Briefing_FID!BP17="","",Briefing_FID!BP17)</f>
        <v/>
      </c>
      <c r="BQ17" s="100" t="str">
        <f>IF(Briefing_FID!BQ17="","",Briefing_FID!BQ17)</f>
        <v/>
      </c>
      <c r="BR17" s="3" t="str">
        <f>IF(Briefing_FID!BR17="","",Briefing_FID!BR17)</f>
        <v/>
      </c>
      <c r="BS17" s="28" t="str">
        <f>IF(Briefing_FID!BS17="","",Briefing_FID!BS17)</f>
        <v/>
      </c>
      <c r="BT17" s="100" t="str">
        <f>IF(Briefing_FID!BT17="","",Briefing_FID!BT17)</f>
        <v/>
      </c>
      <c r="BU17" s="3" t="str">
        <f>IF(Briefing_FID!BU17="","",Briefing_FID!BU17)</f>
        <v/>
      </c>
      <c r="BV17" s="28" t="str">
        <f>IF(Briefing_FID!BV17="","",Briefing_FID!BV17)</f>
        <v/>
      </c>
      <c r="BW17" s="100" t="str">
        <f>IF(Briefing_FID!BW17="","",Briefing_FID!BW17)</f>
        <v/>
      </c>
      <c r="BX17" s="3" t="str">
        <f>IF(Briefing_FID!BX17="","",Briefing_FID!BX17)</f>
        <v/>
      </c>
      <c r="BY17" s="28" t="str">
        <f>IF(Briefing_FID!BY17="","",Briefing_FID!BY17)</f>
        <v/>
      </c>
      <c r="BZ17" s="100" t="str">
        <f>IF(Briefing_FID!BZ17="","",Briefing_FID!BZ17)</f>
        <v/>
      </c>
      <c r="CA17" s="3" t="str">
        <f>IF(Briefing_FID!CA17="","",Briefing_FID!CA17)</f>
        <v/>
      </c>
      <c r="CB17" s="28" t="str">
        <f>IF(Briefing_FID!CB17="","",Briefing_FID!CB17)</f>
        <v/>
      </c>
      <c r="CC17" s="100" t="str">
        <f>IF(Briefing_FID!CC17="","",Briefing_FID!CC17)</f>
        <v/>
      </c>
      <c r="CD17" s="3" t="str">
        <f>IF(Briefing_FID!CD17="","",Briefing_FID!CD17)</f>
        <v/>
      </c>
      <c r="CE17" s="28" t="str">
        <f>IF(Briefing_FID!CE17="","",Briefing_FID!CE17)</f>
        <v/>
      </c>
      <c r="CF17" s="100" t="str">
        <f>IF(Briefing_FID!CF17="","",Briefing_FID!CF17)</f>
        <v/>
      </c>
      <c r="CG17" s="3" t="str">
        <f>IF(Briefing_FID!CG17="","",Briefing_FID!CG17)</f>
        <v/>
      </c>
      <c r="CH17" s="28" t="str">
        <f>IF(Briefing_FID!CH17="","",Briefing_FID!CH17)</f>
        <v/>
      </c>
      <c r="CI17" s="100" t="str">
        <f>IF(Briefing_FID!CI17="","",Briefing_FID!CI17)</f>
        <v/>
      </c>
      <c r="CJ17" s="3" t="str">
        <f>IF(Briefing_FID!CJ17="","",Briefing_FID!CJ17)</f>
        <v/>
      </c>
      <c r="CK17" s="28" t="str">
        <f>IF(Briefing_FID!CK17="","",Briefing_FID!CK17)</f>
        <v/>
      </c>
      <c r="CL17" s="100" t="str">
        <f>IF(Briefing_FID!CL17="","",Briefing_FID!CL17)</f>
        <v/>
      </c>
      <c r="CM17" s="3" t="str">
        <f>IF(Briefing_FID!CM17="","",Briefing_FID!CM17)</f>
        <v/>
      </c>
      <c r="CN17" s="28" t="str">
        <f>IF(Briefing_FID!CN17="","",Briefing_FID!CN17)</f>
        <v/>
      </c>
      <c r="CO17" s="100" t="str">
        <f>IF(Briefing_FID!CO17="","",Briefing_FID!CO17)</f>
        <v/>
      </c>
      <c r="CP17" s="3" t="str">
        <f>IF(Briefing_FID!CP17="","",Briefing_FID!CP17)</f>
        <v/>
      </c>
      <c r="CQ17" s="28" t="str">
        <f>IF(Briefing_FID!CQ17="","",Briefing_FID!CQ17)</f>
        <v/>
      </c>
      <c r="CR17" s="100" t="str">
        <f>IF(Briefing_FID!CR17="","",Briefing_FID!CR17)</f>
        <v/>
      </c>
      <c r="CS17" s="3" t="str">
        <f>IF(Briefing_FID!CS17="","",Briefing_FID!CS17)</f>
        <v/>
      </c>
      <c r="CT17" s="28" t="str">
        <f>IF(Briefing_FID!CT17="","",Briefing_FID!CT17)</f>
        <v/>
      </c>
      <c r="CU17" s="100" t="str">
        <f>IF(Briefing_FID!CU17="","",Briefing_FID!CU17)</f>
        <v/>
      </c>
      <c r="CV17" s="3" t="str">
        <f>IF(Briefing_FID!CV17="","",Briefing_FID!CV17)</f>
        <v/>
      </c>
      <c r="CW17" s="28" t="str">
        <f>IF(Briefing_FID!CW17="","",Briefing_FID!CW17)</f>
        <v/>
      </c>
      <c r="CX17" s="100" t="str">
        <f>IF(Briefing_FID!CX17="","",Briefing_FID!CX17)</f>
        <v/>
      </c>
      <c r="CY17" s="3" t="str">
        <f>IF(Briefing_FID!CY17="","",Briefing_FID!CY17)</f>
        <v/>
      </c>
      <c r="CZ17" s="28" t="str">
        <f>IF(Briefing_FID!CZ17="","",Briefing_FID!CZ17)</f>
        <v/>
      </c>
      <c r="DA17" s="100" t="str">
        <f>IF(Briefing_FID!DA17="","",Briefing_FID!DA17)</f>
        <v/>
      </c>
      <c r="DB17" s="3" t="str">
        <f>IF(Briefing_FID!DB17="","",Briefing_FID!DB17)</f>
        <v/>
      </c>
      <c r="DC17" s="28" t="str">
        <f>IF(Briefing_FID!DC17="","",Briefing_FID!DC17)</f>
        <v/>
      </c>
      <c r="DD17" s="100" t="str">
        <f>IF(Briefing_FID!DD17="","",Briefing_FID!DD17)</f>
        <v/>
      </c>
      <c r="DE17" s="3" t="str">
        <f>IF(Briefing_FID!DE17="","",Briefing_FID!DE17)</f>
        <v/>
      </c>
      <c r="DF17" s="28" t="str">
        <f>IF(Briefing_FID!DF17="","",Briefing_FID!DF17)</f>
        <v/>
      </c>
      <c r="DG17" s="100" t="str">
        <f>IF(Briefing_FID!DG17="","",Briefing_FID!DG17)</f>
        <v/>
      </c>
      <c r="DH17" s="3" t="str">
        <f>IF(Briefing_FID!DH17="","",Briefing_FID!DH17)</f>
        <v/>
      </c>
      <c r="DI17" s="28" t="str">
        <f>IF(Briefing_FID!DI17="","",Briefing_FID!DI17)</f>
        <v/>
      </c>
      <c r="DJ17" s="100" t="str">
        <f>IF(Briefing_FID!DJ17="","",Briefing_FID!DJ17)</f>
        <v/>
      </c>
      <c r="DK17" s="3" t="str">
        <f>IF(Briefing_FID!DK17="","",Briefing_FID!DK17)</f>
        <v/>
      </c>
      <c r="DL17" s="28" t="str">
        <f>IF(Briefing_FID!DL17="","",Briefing_FID!DL17)</f>
        <v/>
      </c>
      <c r="DM17" s="100" t="str">
        <f>IF(Briefing_FID!DM17="","",Briefing_FID!DM17)</f>
        <v/>
      </c>
      <c r="DN17" s="3" t="str">
        <f>IF(Briefing_FID!DN17="","",Briefing_FID!DN17)</f>
        <v/>
      </c>
      <c r="DO17" s="28" t="str">
        <f>IF(Briefing_FID!DO17="","",Briefing_FID!DO17)</f>
        <v/>
      </c>
      <c r="DP17" s="100" t="str">
        <f>IF(Briefing_FID!DP17="","",Briefing_FID!DP17)</f>
        <v/>
      </c>
      <c r="DQ17" s="3" t="str">
        <f>IF(Briefing_FID!DQ17="","",Briefing_FID!DQ17)</f>
        <v/>
      </c>
      <c r="DR17" s="28" t="str">
        <f>IF(Briefing_FID!DR17="","",Briefing_FID!DR17)</f>
        <v/>
      </c>
      <c r="DS17" s="100" t="str">
        <f>IF(Briefing_FID!DS17="","",Briefing_FID!DS17)</f>
        <v/>
      </c>
      <c r="DT17" s="3" t="str">
        <f>IF(Briefing_FID!DT17="","",Briefing_FID!DT17)</f>
        <v/>
      </c>
      <c r="DU17" s="28" t="str">
        <f>IF(Briefing_FID!DU17="","",Briefing_FID!DU17)</f>
        <v/>
      </c>
      <c r="DV17" s="100" t="str">
        <f>IF(Briefing_FID!DV17="","",Briefing_FID!DV17)</f>
        <v/>
      </c>
      <c r="DW17" s="3" t="str">
        <f>IF(Briefing_FID!DW17="","",Briefing_FID!DW17)</f>
        <v/>
      </c>
      <c r="DX17" s="28" t="str">
        <f>IF(Briefing_FID!DX17="","",Briefing_FID!DX17)</f>
        <v/>
      </c>
      <c r="DY17" s="100" t="str">
        <f>IF(Briefing_FID!DY17="","",Briefing_FID!DY17)</f>
        <v/>
      </c>
      <c r="DZ17" s="3" t="str">
        <f>IF(Briefing_FID!DZ17="","",Briefing_FID!DZ17)</f>
        <v/>
      </c>
      <c r="EA17" s="28" t="str">
        <f>IF(Briefing_FID!EA17="","",Briefing_FID!EA17)</f>
        <v/>
      </c>
      <c r="EB17" s="100" t="str">
        <f>IF(Briefing_FID!EB17="","",Briefing_FID!EB17)</f>
        <v/>
      </c>
      <c r="EC17" s="3" t="str">
        <f>IF(Briefing_FID!EC17="","",Briefing_FID!EC17)</f>
        <v/>
      </c>
      <c r="ED17" s="28" t="str">
        <f>IF(Briefing_FID!ED17="","",Briefing_FID!ED17)</f>
        <v/>
      </c>
      <c r="EE17" s="100" t="str">
        <f>IF(Briefing_FID!EE17="","",Briefing_FID!EE17)</f>
        <v/>
      </c>
      <c r="EF17" s="3" t="str">
        <f>IF(Briefing_FID!EF17="","",Briefing_FID!EF17)</f>
        <v/>
      </c>
      <c r="EG17" s="28" t="str">
        <f>IF(Briefing_FID!EG17="","",Briefing_FID!EG17)</f>
        <v/>
      </c>
      <c r="EH17" s="100" t="str">
        <f>IF(Briefing_FID!EH17="","",Briefing_FID!EH17)</f>
        <v/>
      </c>
      <c r="EI17" s="3" t="str">
        <f>IF(Briefing_FID!EI17="","",Briefing_FID!EI17)</f>
        <v/>
      </c>
      <c r="EJ17" s="28" t="str">
        <f>IF(Briefing_FID!EJ17="","",Briefing_FID!EJ17)</f>
        <v/>
      </c>
      <c r="EK17" s="100" t="str">
        <f>IF(Briefing_FID!EK17="","",Briefing_FID!EK17)</f>
        <v/>
      </c>
      <c r="EL17" s="3" t="str">
        <f>IF(Briefing_FID!EL17="","",Briefing_FID!EL17)</f>
        <v/>
      </c>
      <c r="EM17" s="28" t="str">
        <f>IF(Briefing_FID!EM17="","",Briefing_FID!EM17)</f>
        <v/>
      </c>
      <c r="EN17" s="100" t="str">
        <f>IF(Briefing_FID!EN17="","",Briefing_FID!EN17)</f>
        <v/>
      </c>
      <c r="EO17" s="3" t="str">
        <f>IF(Briefing_FID!EO17="","",Briefing_FID!EO17)</f>
        <v/>
      </c>
      <c r="EP17" s="28" t="str">
        <f>IF(Briefing_FID!EP17="","",Briefing_FID!EP17)</f>
        <v/>
      </c>
      <c r="EQ17" s="28" t="str">
        <f>IF(Briefing_FID!EQ17="","",Briefing_FID!EQ17)</f>
        <v/>
      </c>
      <c r="ER17" s="28" t="str">
        <f>IF(Briefing_FID!ER17="","",Briefing_FID!ER17)</f>
        <v/>
      </c>
      <c r="ES17" s="62"/>
      <c r="ET17" s="96" t="str">
        <f>IF(Briefing_FID!EZ17="","",Briefing_FID!EZ17)</f>
        <v/>
      </c>
      <c r="EU17" s="97" t="str">
        <f>IF(Briefing_FID!FA17="","",Briefing_FID!FA17)</f>
        <v/>
      </c>
      <c r="EV17" s="98" t="str">
        <f>IF(Briefing_FID!FB17="","",Briefing_FID!FB17)</f>
        <v/>
      </c>
      <c r="EW17" s="96" t="str">
        <f>IF(Briefing_FID!FC17="","",Briefing_FID!FC17)</f>
        <v/>
      </c>
      <c r="EX17" s="97" t="str">
        <f>IF(Briefing_FID!FD17="","",Briefing_FID!FD17)</f>
        <v/>
      </c>
      <c r="EY17" s="98" t="str">
        <f>IF(Briefing_FID!FE17="","",Briefing_FID!FE17)</f>
        <v/>
      </c>
      <c r="EZ17" s="104" t="str">
        <f>IF(Briefing_FID!FF17="","",Briefing_FID!FF17)</f>
        <v/>
      </c>
      <c r="FA17" s="144" t="str">
        <f>IF(Briefing_FID!FG17="","",Briefing_FID!FG17)</f>
        <v/>
      </c>
      <c r="FB17" s="144" t="str">
        <f>IF(Briefing_FID!FH17="","",Briefing_FID!FH17)</f>
        <v/>
      </c>
      <c r="FC17" s="144" t="str">
        <f>IF(Briefing_FID!FI17="","",Briefing_FID!FI17)</f>
        <v/>
      </c>
      <c r="FD17" s="144" t="str">
        <f>IF(Briefing_FID!FJ17="","",Briefing_FID!FJ17)</f>
        <v/>
      </c>
      <c r="FE17" s="144" t="str">
        <f>IF(Briefing_FID!FK17="","",Briefing_FID!FK17)</f>
        <v/>
      </c>
      <c r="FF17" s="144" t="str">
        <f>IF(Briefing_FID!FL17="","",Briefing_FID!FL17)</f>
        <v/>
      </c>
      <c r="FG17" s="144" t="str">
        <f>IF(Briefing_FID!FM17="","",Briefing_FID!FM17)</f>
        <v/>
      </c>
      <c r="FH17" s="144" t="str">
        <f>IF(Briefing_FID!FN17="","",Briefing_FID!FN17)</f>
        <v/>
      </c>
      <c r="FI17" s="144" t="str">
        <f>IF(Briefing_FID!FO17="","",Briefing_FID!FO17)</f>
        <v/>
      </c>
      <c r="FJ17" s="144" t="str">
        <f>IF(Briefing_FID!FP17="","",Briefing_FID!FP17)</f>
        <v/>
      </c>
      <c r="FK17" s="144" t="str">
        <f>IF(Briefing_FID!FQ17="","",Briefing_FID!FQ17)</f>
        <v/>
      </c>
      <c r="FL17" s="144" t="str">
        <f>IF(Briefing_FID!FR17="","",Briefing_FID!FR17)</f>
        <v/>
      </c>
      <c r="FM17" s="144" t="str">
        <f>IF(Briefing_FID!FS17="","",Briefing_FID!FS17)</f>
        <v/>
      </c>
      <c r="FN17" s="144" t="str">
        <f>IF(Briefing_FID!FT17="","",Briefing_FID!FT17)</f>
        <v/>
      </c>
      <c r="FO17" s="144" t="str">
        <f>IF(Briefing_FID!FU17="","",Briefing_FID!FU17)</f>
        <v/>
      </c>
      <c r="FP17" s="144" t="str">
        <f>IF(Briefing_FID!FV17="","",Briefing_FID!FV17)</f>
        <v/>
      </c>
      <c r="FQ17" s="144" t="str">
        <f>IF(Briefing_FID!FW17="","",Briefing_FID!FW17)</f>
        <v/>
      </c>
      <c r="FR17" s="151"/>
      <c r="FS17" s="152"/>
      <c r="FT17" s="152"/>
      <c r="FU17" s="152"/>
      <c r="FV17" s="152"/>
      <c r="FW17" s="152"/>
      <c r="FX17" s="152"/>
      <c r="FY17" s="152"/>
      <c r="FZ17" s="152"/>
      <c r="GA17" s="153"/>
    </row>
    <row r="18" spans="1:183">
      <c r="A18" s="136" t="str">
        <f>IF(Briefing_FID!A18="","",Briefing_FID!A18)</f>
        <v/>
      </c>
      <c r="B18" s="137" t="str">
        <f>IF(Briefing_FID!B18="","",Briefing_FID!B18)</f>
        <v/>
      </c>
      <c r="C18" s="137" t="str">
        <f>IF(Briefing_FID!C18="","",Briefing_FID!C18)</f>
        <v/>
      </c>
      <c r="D18" s="46"/>
      <c r="E18" s="120"/>
      <c r="F18" s="117"/>
      <c r="G18" s="117"/>
      <c r="H18" s="72"/>
      <c r="I18" s="72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23"/>
      <c r="AD18" s="117"/>
      <c r="AE18" s="117"/>
      <c r="AF18" s="117"/>
      <c r="AG18" s="117"/>
      <c r="AH18" s="117"/>
      <c r="AI18" s="117"/>
      <c r="AJ18" s="117"/>
      <c r="AK18" s="117"/>
      <c r="AL18" s="124"/>
      <c r="AM18" s="37"/>
      <c r="AN18" s="38"/>
      <c r="AO18" s="39"/>
      <c r="AP18" s="111" t="str">
        <f>IF(Briefing_FID!AP18="","",Briefing_FID!AP18)</f>
        <v/>
      </c>
      <c r="AQ18" s="112" t="str">
        <f>IF(Briefing_FID!AQ18="","",Briefing_FID!AQ18)</f>
        <v/>
      </c>
      <c r="AR18" s="107" t="str">
        <f>IF(Briefing_FID!AR18="","",Briefing_FID!AR18)</f>
        <v/>
      </c>
      <c r="AS18" s="108" t="str">
        <f>IF(Briefing_FID!AS18="","",Briefing_FID!AS18)</f>
        <v/>
      </c>
      <c r="AT18" s="113" t="str">
        <f>IF(Briefing_FID!AT18="","",Briefing_FID!AT18)</f>
        <v/>
      </c>
      <c r="AU18" s="113" t="str">
        <f>IF(Briefing_FID!AU18="","",Briefing_FID!AU18)</f>
        <v/>
      </c>
      <c r="AV18" s="113" t="str">
        <f>IF(Briefing_FID!AV18="","",Briefing_FID!AV18)</f>
        <v/>
      </c>
      <c r="AW18" s="113" t="str">
        <f>IF(Briefing_FID!AW18="","",Briefing_FID!AW18)</f>
        <v/>
      </c>
      <c r="AX18" s="114" t="str">
        <f>IF(Briefing_FID!AX18="","",Briefing_FID!AX18)</f>
        <v/>
      </c>
      <c r="AY18" s="71"/>
      <c r="AZ18" s="117" t="str">
        <f>IF(Briefing_FID!AZ18="","",Briefing_FID!AZ18)</f>
        <v/>
      </c>
      <c r="BA18" s="118" t="str">
        <f>IF(Briefing_FID!BA18="","",Briefing_FID!BA18)</f>
        <v/>
      </c>
      <c r="BB18" s="55"/>
      <c r="BC18" s="102" t="str">
        <f>IF(Briefing_FID!BC18="","",Briefing_FID!BC18)</f>
        <v/>
      </c>
      <c r="BD18" s="27" t="str">
        <f>IF(Briefing_FID!BD18="","",Briefing_FID!BD18)</f>
        <v/>
      </c>
      <c r="BE18" s="100" t="str">
        <f>IF(Briefing_FID!BE18="","",Briefing_FID!BE18)</f>
        <v/>
      </c>
      <c r="BF18" s="3" t="str">
        <f>IF(Briefing_FID!BF18="","",Briefing_FID!BF18)</f>
        <v/>
      </c>
      <c r="BG18" s="10" t="str">
        <f>IF(Briefing_FID!BG18="","",Briefing_FID!BG18)</f>
        <v/>
      </c>
      <c r="BH18" s="100" t="str">
        <f>IF(Briefing_FID!BH18="","",Briefing_FID!BH18)</f>
        <v/>
      </c>
      <c r="BI18" s="3" t="str">
        <f>IF(Briefing_FID!BI18="","",Briefing_FID!BI18)</f>
        <v/>
      </c>
      <c r="BJ18" s="10" t="str">
        <f>IF(Briefing_FID!BJ18="","",Briefing_FID!BJ18)</f>
        <v/>
      </c>
      <c r="BK18" s="100" t="str">
        <f>IF(Briefing_FID!BK18="","",Briefing_FID!BK18)</f>
        <v/>
      </c>
      <c r="BL18" s="3" t="str">
        <f>IF(Briefing_FID!BL18="","",Briefing_FID!BL18)</f>
        <v/>
      </c>
      <c r="BM18" s="28" t="str">
        <f>IF(Briefing_FID!BM18="","",Briefing_FID!BM18)</f>
        <v/>
      </c>
      <c r="BN18" s="100" t="str">
        <f>IF(Briefing_FID!BN18="","",Briefing_FID!BN18)</f>
        <v/>
      </c>
      <c r="BO18" s="3" t="str">
        <f>IF(Briefing_FID!BO18="","",Briefing_FID!BO18)</f>
        <v/>
      </c>
      <c r="BP18" s="28" t="str">
        <f>IF(Briefing_FID!BP18="","",Briefing_FID!BP18)</f>
        <v/>
      </c>
      <c r="BQ18" s="100" t="str">
        <f>IF(Briefing_FID!BQ18="","",Briefing_FID!BQ18)</f>
        <v/>
      </c>
      <c r="BR18" s="3" t="str">
        <f>IF(Briefing_FID!BR18="","",Briefing_FID!BR18)</f>
        <v/>
      </c>
      <c r="BS18" s="28" t="str">
        <f>IF(Briefing_FID!BS18="","",Briefing_FID!BS18)</f>
        <v/>
      </c>
      <c r="BT18" s="100" t="str">
        <f>IF(Briefing_FID!BT18="","",Briefing_FID!BT18)</f>
        <v/>
      </c>
      <c r="BU18" s="3" t="str">
        <f>IF(Briefing_FID!BU18="","",Briefing_FID!BU18)</f>
        <v/>
      </c>
      <c r="BV18" s="28" t="str">
        <f>IF(Briefing_FID!BV18="","",Briefing_FID!BV18)</f>
        <v/>
      </c>
      <c r="BW18" s="100" t="str">
        <f>IF(Briefing_FID!BW18="","",Briefing_FID!BW18)</f>
        <v/>
      </c>
      <c r="BX18" s="3" t="str">
        <f>IF(Briefing_FID!BX18="","",Briefing_FID!BX18)</f>
        <v/>
      </c>
      <c r="BY18" s="28" t="str">
        <f>IF(Briefing_FID!BY18="","",Briefing_FID!BY18)</f>
        <v/>
      </c>
      <c r="BZ18" s="100" t="str">
        <f>IF(Briefing_FID!BZ18="","",Briefing_FID!BZ18)</f>
        <v/>
      </c>
      <c r="CA18" s="3" t="str">
        <f>IF(Briefing_FID!CA18="","",Briefing_FID!CA18)</f>
        <v/>
      </c>
      <c r="CB18" s="28" t="str">
        <f>IF(Briefing_FID!CB18="","",Briefing_FID!CB18)</f>
        <v/>
      </c>
      <c r="CC18" s="100" t="str">
        <f>IF(Briefing_FID!CC18="","",Briefing_FID!CC18)</f>
        <v/>
      </c>
      <c r="CD18" s="3" t="str">
        <f>IF(Briefing_FID!CD18="","",Briefing_FID!CD18)</f>
        <v/>
      </c>
      <c r="CE18" s="28" t="str">
        <f>IF(Briefing_FID!CE18="","",Briefing_FID!CE18)</f>
        <v/>
      </c>
      <c r="CF18" s="100" t="str">
        <f>IF(Briefing_FID!CF18="","",Briefing_FID!CF18)</f>
        <v/>
      </c>
      <c r="CG18" s="3" t="str">
        <f>IF(Briefing_FID!CG18="","",Briefing_FID!CG18)</f>
        <v/>
      </c>
      <c r="CH18" s="28" t="str">
        <f>IF(Briefing_FID!CH18="","",Briefing_FID!CH18)</f>
        <v/>
      </c>
      <c r="CI18" s="100" t="str">
        <f>IF(Briefing_FID!CI18="","",Briefing_FID!CI18)</f>
        <v/>
      </c>
      <c r="CJ18" s="3" t="str">
        <f>IF(Briefing_FID!CJ18="","",Briefing_FID!CJ18)</f>
        <v/>
      </c>
      <c r="CK18" s="28" t="str">
        <f>IF(Briefing_FID!CK18="","",Briefing_FID!CK18)</f>
        <v/>
      </c>
      <c r="CL18" s="100" t="str">
        <f>IF(Briefing_FID!CL18="","",Briefing_FID!CL18)</f>
        <v/>
      </c>
      <c r="CM18" s="3" t="str">
        <f>IF(Briefing_FID!CM18="","",Briefing_FID!CM18)</f>
        <v/>
      </c>
      <c r="CN18" s="28" t="str">
        <f>IF(Briefing_FID!CN18="","",Briefing_FID!CN18)</f>
        <v/>
      </c>
      <c r="CO18" s="100" t="str">
        <f>IF(Briefing_FID!CO18="","",Briefing_FID!CO18)</f>
        <v/>
      </c>
      <c r="CP18" s="3" t="str">
        <f>IF(Briefing_FID!CP18="","",Briefing_FID!CP18)</f>
        <v/>
      </c>
      <c r="CQ18" s="28" t="str">
        <f>IF(Briefing_FID!CQ18="","",Briefing_FID!CQ18)</f>
        <v/>
      </c>
      <c r="CR18" s="100" t="str">
        <f>IF(Briefing_FID!CR18="","",Briefing_FID!CR18)</f>
        <v/>
      </c>
      <c r="CS18" s="3" t="str">
        <f>IF(Briefing_FID!CS18="","",Briefing_FID!CS18)</f>
        <v/>
      </c>
      <c r="CT18" s="28" t="str">
        <f>IF(Briefing_FID!CT18="","",Briefing_FID!CT18)</f>
        <v/>
      </c>
      <c r="CU18" s="100" t="str">
        <f>IF(Briefing_FID!CU18="","",Briefing_FID!CU18)</f>
        <v/>
      </c>
      <c r="CV18" s="3" t="str">
        <f>IF(Briefing_FID!CV18="","",Briefing_FID!CV18)</f>
        <v/>
      </c>
      <c r="CW18" s="28" t="str">
        <f>IF(Briefing_FID!CW18="","",Briefing_FID!CW18)</f>
        <v/>
      </c>
      <c r="CX18" s="100" t="str">
        <f>IF(Briefing_FID!CX18="","",Briefing_FID!CX18)</f>
        <v/>
      </c>
      <c r="CY18" s="3" t="str">
        <f>IF(Briefing_FID!CY18="","",Briefing_FID!CY18)</f>
        <v/>
      </c>
      <c r="CZ18" s="28" t="str">
        <f>IF(Briefing_FID!CZ18="","",Briefing_FID!CZ18)</f>
        <v/>
      </c>
      <c r="DA18" s="100" t="str">
        <f>IF(Briefing_FID!DA18="","",Briefing_FID!DA18)</f>
        <v/>
      </c>
      <c r="DB18" s="3" t="str">
        <f>IF(Briefing_FID!DB18="","",Briefing_FID!DB18)</f>
        <v/>
      </c>
      <c r="DC18" s="28" t="str">
        <f>IF(Briefing_FID!DC18="","",Briefing_FID!DC18)</f>
        <v/>
      </c>
      <c r="DD18" s="100" t="str">
        <f>IF(Briefing_FID!DD18="","",Briefing_FID!DD18)</f>
        <v/>
      </c>
      <c r="DE18" s="3" t="str">
        <f>IF(Briefing_FID!DE18="","",Briefing_FID!DE18)</f>
        <v/>
      </c>
      <c r="DF18" s="28" t="str">
        <f>IF(Briefing_FID!DF18="","",Briefing_FID!DF18)</f>
        <v/>
      </c>
      <c r="DG18" s="100" t="str">
        <f>IF(Briefing_FID!DG18="","",Briefing_FID!DG18)</f>
        <v/>
      </c>
      <c r="DH18" s="3" t="str">
        <f>IF(Briefing_FID!DH18="","",Briefing_FID!DH18)</f>
        <v/>
      </c>
      <c r="DI18" s="28" t="str">
        <f>IF(Briefing_FID!DI18="","",Briefing_FID!DI18)</f>
        <v/>
      </c>
      <c r="DJ18" s="100" t="str">
        <f>IF(Briefing_FID!DJ18="","",Briefing_FID!DJ18)</f>
        <v/>
      </c>
      <c r="DK18" s="3" t="str">
        <f>IF(Briefing_FID!DK18="","",Briefing_FID!DK18)</f>
        <v/>
      </c>
      <c r="DL18" s="28" t="str">
        <f>IF(Briefing_FID!DL18="","",Briefing_FID!DL18)</f>
        <v/>
      </c>
      <c r="DM18" s="100" t="str">
        <f>IF(Briefing_FID!DM18="","",Briefing_FID!DM18)</f>
        <v/>
      </c>
      <c r="DN18" s="3" t="str">
        <f>IF(Briefing_FID!DN18="","",Briefing_FID!DN18)</f>
        <v/>
      </c>
      <c r="DO18" s="28" t="str">
        <f>IF(Briefing_FID!DO18="","",Briefing_FID!DO18)</f>
        <v/>
      </c>
      <c r="DP18" s="100" t="str">
        <f>IF(Briefing_FID!DP18="","",Briefing_FID!DP18)</f>
        <v/>
      </c>
      <c r="DQ18" s="3" t="str">
        <f>IF(Briefing_FID!DQ18="","",Briefing_FID!DQ18)</f>
        <v/>
      </c>
      <c r="DR18" s="28" t="str">
        <f>IF(Briefing_FID!DR18="","",Briefing_FID!DR18)</f>
        <v/>
      </c>
      <c r="DS18" s="100" t="str">
        <f>IF(Briefing_FID!DS18="","",Briefing_FID!DS18)</f>
        <v/>
      </c>
      <c r="DT18" s="3" t="str">
        <f>IF(Briefing_FID!DT18="","",Briefing_FID!DT18)</f>
        <v/>
      </c>
      <c r="DU18" s="28" t="str">
        <f>IF(Briefing_FID!DU18="","",Briefing_FID!DU18)</f>
        <v/>
      </c>
      <c r="DV18" s="100" t="str">
        <f>IF(Briefing_FID!DV18="","",Briefing_FID!DV18)</f>
        <v/>
      </c>
      <c r="DW18" s="3" t="str">
        <f>IF(Briefing_FID!DW18="","",Briefing_FID!DW18)</f>
        <v/>
      </c>
      <c r="DX18" s="28" t="str">
        <f>IF(Briefing_FID!DX18="","",Briefing_FID!DX18)</f>
        <v/>
      </c>
      <c r="DY18" s="100" t="str">
        <f>IF(Briefing_FID!DY18="","",Briefing_FID!DY18)</f>
        <v/>
      </c>
      <c r="DZ18" s="3" t="str">
        <f>IF(Briefing_FID!DZ18="","",Briefing_FID!DZ18)</f>
        <v/>
      </c>
      <c r="EA18" s="28" t="str">
        <f>IF(Briefing_FID!EA18="","",Briefing_FID!EA18)</f>
        <v/>
      </c>
      <c r="EB18" s="100" t="str">
        <f>IF(Briefing_FID!EB18="","",Briefing_FID!EB18)</f>
        <v/>
      </c>
      <c r="EC18" s="3" t="str">
        <f>IF(Briefing_FID!EC18="","",Briefing_FID!EC18)</f>
        <v/>
      </c>
      <c r="ED18" s="28" t="str">
        <f>IF(Briefing_FID!ED18="","",Briefing_FID!ED18)</f>
        <v/>
      </c>
      <c r="EE18" s="100" t="str">
        <f>IF(Briefing_FID!EE18="","",Briefing_FID!EE18)</f>
        <v/>
      </c>
      <c r="EF18" s="3" t="str">
        <f>IF(Briefing_FID!EF18="","",Briefing_FID!EF18)</f>
        <v/>
      </c>
      <c r="EG18" s="28" t="str">
        <f>IF(Briefing_FID!EG18="","",Briefing_FID!EG18)</f>
        <v/>
      </c>
      <c r="EH18" s="100" t="str">
        <f>IF(Briefing_FID!EH18="","",Briefing_FID!EH18)</f>
        <v/>
      </c>
      <c r="EI18" s="3" t="str">
        <f>IF(Briefing_FID!EI18="","",Briefing_FID!EI18)</f>
        <v/>
      </c>
      <c r="EJ18" s="28" t="str">
        <f>IF(Briefing_FID!EJ18="","",Briefing_FID!EJ18)</f>
        <v/>
      </c>
      <c r="EK18" s="100" t="str">
        <f>IF(Briefing_FID!EK18="","",Briefing_FID!EK18)</f>
        <v/>
      </c>
      <c r="EL18" s="3" t="str">
        <f>IF(Briefing_FID!EL18="","",Briefing_FID!EL18)</f>
        <v/>
      </c>
      <c r="EM18" s="28" t="str">
        <f>IF(Briefing_FID!EM18="","",Briefing_FID!EM18)</f>
        <v/>
      </c>
      <c r="EN18" s="100" t="str">
        <f>IF(Briefing_FID!EN18="","",Briefing_FID!EN18)</f>
        <v/>
      </c>
      <c r="EO18" s="3" t="str">
        <f>IF(Briefing_FID!EO18="","",Briefing_FID!EO18)</f>
        <v/>
      </c>
      <c r="EP18" s="28" t="str">
        <f>IF(Briefing_FID!EP18="","",Briefing_FID!EP18)</f>
        <v/>
      </c>
      <c r="EQ18" s="28" t="str">
        <f>IF(Briefing_FID!EQ18="","",Briefing_FID!EQ18)</f>
        <v/>
      </c>
      <c r="ER18" s="28" t="str">
        <f>IF(Briefing_FID!ER18="","",Briefing_FID!ER18)</f>
        <v/>
      </c>
      <c r="ES18" s="62"/>
      <c r="ET18" s="96" t="str">
        <f>IF(Briefing_FID!EZ18="","",Briefing_FID!EZ18)</f>
        <v/>
      </c>
      <c r="EU18" s="97" t="str">
        <f>IF(Briefing_FID!FA18="","",Briefing_FID!FA18)</f>
        <v/>
      </c>
      <c r="EV18" s="98" t="str">
        <f>IF(Briefing_FID!FB18="","",Briefing_FID!FB18)</f>
        <v/>
      </c>
      <c r="EW18" s="96" t="str">
        <f>IF(Briefing_FID!FC18="","",Briefing_FID!FC18)</f>
        <v/>
      </c>
      <c r="EX18" s="97" t="str">
        <f>IF(Briefing_FID!FD18="","",Briefing_FID!FD18)</f>
        <v/>
      </c>
      <c r="EY18" s="98" t="str">
        <f>IF(Briefing_FID!FE18="","",Briefing_FID!FE18)</f>
        <v/>
      </c>
      <c r="EZ18" s="104" t="str">
        <f>IF(Briefing_FID!FF18="","",Briefing_FID!FF18)</f>
        <v/>
      </c>
      <c r="FA18" s="144" t="str">
        <f>IF(Briefing_FID!FG18="","",Briefing_FID!FG18)</f>
        <v/>
      </c>
      <c r="FB18" s="144" t="str">
        <f>IF(Briefing_FID!FH18="","",Briefing_FID!FH18)</f>
        <v/>
      </c>
      <c r="FC18" s="144" t="str">
        <f>IF(Briefing_FID!FI18="","",Briefing_FID!FI18)</f>
        <v/>
      </c>
      <c r="FD18" s="144" t="str">
        <f>IF(Briefing_FID!FJ18="","",Briefing_FID!FJ18)</f>
        <v/>
      </c>
      <c r="FE18" s="144" t="str">
        <f>IF(Briefing_FID!FK18="","",Briefing_FID!FK18)</f>
        <v/>
      </c>
      <c r="FF18" s="144" t="str">
        <f>IF(Briefing_FID!FL18="","",Briefing_FID!FL18)</f>
        <v/>
      </c>
      <c r="FG18" s="144" t="str">
        <f>IF(Briefing_FID!FM18="","",Briefing_FID!FM18)</f>
        <v/>
      </c>
      <c r="FH18" s="144" t="str">
        <f>IF(Briefing_FID!FN18="","",Briefing_FID!FN18)</f>
        <v/>
      </c>
      <c r="FI18" s="144" t="str">
        <f>IF(Briefing_FID!FO18="","",Briefing_FID!FO18)</f>
        <v/>
      </c>
      <c r="FJ18" s="144" t="str">
        <f>IF(Briefing_FID!FP18="","",Briefing_FID!FP18)</f>
        <v/>
      </c>
      <c r="FK18" s="144" t="str">
        <f>IF(Briefing_FID!FQ18="","",Briefing_FID!FQ18)</f>
        <v/>
      </c>
      <c r="FL18" s="144" t="str">
        <f>IF(Briefing_FID!FR18="","",Briefing_FID!FR18)</f>
        <v/>
      </c>
      <c r="FM18" s="144" t="str">
        <f>IF(Briefing_FID!FS18="","",Briefing_FID!FS18)</f>
        <v/>
      </c>
      <c r="FN18" s="144" t="str">
        <f>IF(Briefing_FID!FT18="","",Briefing_FID!FT18)</f>
        <v/>
      </c>
      <c r="FO18" s="144" t="str">
        <f>IF(Briefing_FID!FU18="","",Briefing_FID!FU18)</f>
        <v/>
      </c>
      <c r="FP18" s="144" t="str">
        <f>IF(Briefing_FID!FV18="","",Briefing_FID!FV18)</f>
        <v/>
      </c>
      <c r="FQ18" s="144" t="str">
        <f>IF(Briefing_FID!FW18="","",Briefing_FID!FW18)</f>
        <v/>
      </c>
      <c r="FR18" s="151"/>
      <c r="FS18" s="152"/>
      <c r="FT18" s="152"/>
      <c r="FU18" s="152"/>
      <c r="FV18" s="152"/>
      <c r="FW18" s="152"/>
      <c r="FX18" s="152"/>
      <c r="FY18" s="152"/>
      <c r="FZ18" s="152"/>
      <c r="GA18" s="153"/>
    </row>
    <row r="19" spans="1:183">
      <c r="A19" s="136" t="str">
        <f>IF(Briefing_FID!A19="","",Briefing_FID!A19)</f>
        <v/>
      </c>
      <c r="B19" s="137" t="str">
        <f>IF(Briefing_FID!B19="","",Briefing_FID!B19)</f>
        <v/>
      </c>
      <c r="C19" s="137" t="str">
        <f>IF(Briefing_FID!C19="","",Briefing_FID!C19)</f>
        <v/>
      </c>
      <c r="D19" s="46"/>
      <c r="E19" s="120"/>
      <c r="F19" s="117"/>
      <c r="G19" s="117"/>
      <c r="H19" s="72"/>
      <c r="I19" s="72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23"/>
      <c r="AD19" s="117"/>
      <c r="AE19" s="117"/>
      <c r="AF19" s="117"/>
      <c r="AG19" s="117"/>
      <c r="AH19" s="117"/>
      <c r="AI19" s="117"/>
      <c r="AJ19" s="117"/>
      <c r="AK19" s="117"/>
      <c r="AL19" s="124"/>
      <c r="AM19" s="37"/>
      <c r="AN19" s="38"/>
      <c r="AO19" s="39"/>
      <c r="AP19" s="111" t="str">
        <f>IF(Briefing_FID!AP19="","",Briefing_FID!AP19)</f>
        <v/>
      </c>
      <c r="AQ19" s="112" t="str">
        <f>IF(Briefing_FID!AQ19="","",Briefing_FID!AQ19)</f>
        <v/>
      </c>
      <c r="AR19" s="107" t="str">
        <f>IF(Briefing_FID!AR19="","",Briefing_FID!AR19)</f>
        <v/>
      </c>
      <c r="AS19" s="108" t="str">
        <f>IF(Briefing_FID!AS19="","",Briefing_FID!AS19)</f>
        <v/>
      </c>
      <c r="AT19" s="113" t="str">
        <f>IF(Briefing_FID!AT19="","",Briefing_FID!AT19)</f>
        <v/>
      </c>
      <c r="AU19" s="113" t="str">
        <f>IF(Briefing_FID!AU19="","",Briefing_FID!AU19)</f>
        <v/>
      </c>
      <c r="AV19" s="113" t="str">
        <f>IF(Briefing_FID!AV19="","",Briefing_FID!AV19)</f>
        <v/>
      </c>
      <c r="AW19" s="113" t="str">
        <f>IF(Briefing_FID!AW19="","",Briefing_FID!AW19)</f>
        <v/>
      </c>
      <c r="AX19" s="114" t="str">
        <f>IF(Briefing_FID!AX19="","",Briefing_FID!AX19)</f>
        <v/>
      </c>
      <c r="AY19" s="71"/>
      <c r="AZ19" s="117" t="str">
        <f>IF(Briefing_FID!AZ19="","",Briefing_FID!AZ19)</f>
        <v/>
      </c>
      <c r="BA19" s="118" t="str">
        <f>IF(Briefing_FID!BA19="","",Briefing_FID!BA19)</f>
        <v/>
      </c>
      <c r="BB19" s="55"/>
      <c r="BC19" s="102" t="str">
        <f>IF(Briefing_FID!BC19="","",Briefing_FID!BC19)</f>
        <v/>
      </c>
      <c r="BD19" s="27" t="str">
        <f>IF(Briefing_FID!BD19="","",Briefing_FID!BD19)</f>
        <v/>
      </c>
      <c r="BE19" s="100" t="str">
        <f>IF(Briefing_FID!BE19="","",Briefing_FID!BE19)</f>
        <v/>
      </c>
      <c r="BF19" s="3" t="str">
        <f>IF(Briefing_FID!BF19="","",Briefing_FID!BF19)</f>
        <v/>
      </c>
      <c r="BG19" s="10" t="str">
        <f>IF(Briefing_FID!BG19="","",Briefing_FID!BG19)</f>
        <v/>
      </c>
      <c r="BH19" s="100" t="str">
        <f>IF(Briefing_FID!BH19="","",Briefing_FID!BH19)</f>
        <v/>
      </c>
      <c r="BI19" s="3" t="str">
        <f>IF(Briefing_FID!BI19="","",Briefing_FID!BI19)</f>
        <v/>
      </c>
      <c r="BJ19" s="10" t="str">
        <f>IF(Briefing_FID!BJ19="","",Briefing_FID!BJ19)</f>
        <v/>
      </c>
      <c r="BK19" s="100" t="str">
        <f>IF(Briefing_FID!BK19="","",Briefing_FID!BK19)</f>
        <v/>
      </c>
      <c r="BL19" s="3" t="str">
        <f>IF(Briefing_FID!BL19="","",Briefing_FID!BL19)</f>
        <v/>
      </c>
      <c r="BM19" s="28" t="str">
        <f>IF(Briefing_FID!BM19="","",Briefing_FID!BM19)</f>
        <v/>
      </c>
      <c r="BN19" s="100" t="str">
        <f>IF(Briefing_FID!BN19="","",Briefing_FID!BN19)</f>
        <v/>
      </c>
      <c r="BO19" s="3" t="str">
        <f>IF(Briefing_FID!BO19="","",Briefing_FID!BO19)</f>
        <v/>
      </c>
      <c r="BP19" s="28" t="str">
        <f>IF(Briefing_FID!BP19="","",Briefing_FID!BP19)</f>
        <v/>
      </c>
      <c r="BQ19" s="100" t="str">
        <f>IF(Briefing_FID!BQ19="","",Briefing_FID!BQ19)</f>
        <v/>
      </c>
      <c r="BR19" s="3" t="str">
        <f>IF(Briefing_FID!BR19="","",Briefing_FID!BR19)</f>
        <v/>
      </c>
      <c r="BS19" s="28" t="str">
        <f>IF(Briefing_FID!BS19="","",Briefing_FID!BS19)</f>
        <v/>
      </c>
      <c r="BT19" s="100" t="str">
        <f>IF(Briefing_FID!BT19="","",Briefing_FID!BT19)</f>
        <v/>
      </c>
      <c r="BU19" s="3" t="str">
        <f>IF(Briefing_FID!BU19="","",Briefing_FID!BU19)</f>
        <v/>
      </c>
      <c r="BV19" s="28" t="str">
        <f>IF(Briefing_FID!BV19="","",Briefing_FID!BV19)</f>
        <v/>
      </c>
      <c r="BW19" s="100" t="str">
        <f>IF(Briefing_FID!BW19="","",Briefing_FID!BW19)</f>
        <v/>
      </c>
      <c r="BX19" s="3" t="str">
        <f>IF(Briefing_FID!BX19="","",Briefing_FID!BX19)</f>
        <v/>
      </c>
      <c r="BY19" s="28" t="str">
        <f>IF(Briefing_FID!BY19="","",Briefing_FID!BY19)</f>
        <v/>
      </c>
      <c r="BZ19" s="100" t="str">
        <f>IF(Briefing_FID!BZ19="","",Briefing_FID!BZ19)</f>
        <v/>
      </c>
      <c r="CA19" s="3" t="str">
        <f>IF(Briefing_FID!CA19="","",Briefing_FID!CA19)</f>
        <v/>
      </c>
      <c r="CB19" s="28" t="str">
        <f>IF(Briefing_FID!CB19="","",Briefing_FID!CB19)</f>
        <v/>
      </c>
      <c r="CC19" s="100" t="str">
        <f>IF(Briefing_FID!CC19="","",Briefing_FID!CC19)</f>
        <v/>
      </c>
      <c r="CD19" s="3" t="str">
        <f>IF(Briefing_FID!CD19="","",Briefing_FID!CD19)</f>
        <v/>
      </c>
      <c r="CE19" s="28" t="str">
        <f>IF(Briefing_FID!CE19="","",Briefing_FID!CE19)</f>
        <v/>
      </c>
      <c r="CF19" s="100" t="str">
        <f>IF(Briefing_FID!CF19="","",Briefing_FID!CF19)</f>
        <v/>
      </c>
      <c r="CG19" s="3" t="str">
        <f>IF(Briefing_FID!CG19="","",Briefing_FID!CG19)</f>
        <v/>
      </c>
      <c r="CH19" s="28" t="str">
        <f>IF(Briefing_FID!CH19="","",Briefing_FID!CH19)</f>
        <v/>
      </c>
      <c r="CI19" s="100" t="str">
        <f>IF(Briefing_FID!CI19="","",Briefing_FID!CI19)</f>
        <v/>
      </c>
      <c r="CJ19" s="3" t="str">
        <f>IF(Briefing_FID!CJ19="","",Briefing_FID!CJ19)</f>
        <v/>
      </c>
      <c r="CK19" s="28" t="str">
        <f>IF(Briefing_FID!CK19="","",Briefing_FID!CK19)</f>
        <v/>
      </c>
      <c r="CL19" s="100" t="str">
        <f>IF(Briefing_FID!CL19="","",Briefing_FID!CL19)</f>
        <v/>
      </c>
      <c r="CM19" s="3" t="str">
        <f>IF(Briefing_FID!CM19="","",Briefing_FID!CM19)</f>
        <v/>
      </c>
      <c r="CN19" s="28" t="str">
        <f>IF(Briefing_FID!CN19="","",Briefing_FID!CN19)</f>
        <v/>
      </c>
      <c r="CO19" s="100" t="str">
        <f>IF(Briefing_FID!CO19="","",Briefing_FID!CO19)</f>
        <v/>
      </c>
      <c r="CP19" s="3" t="str">
        <f>IF(Briefing_FID!CP19="","",Briefing_FID!CP19)</f>
        <v/>
      </c>
      <c r="CQ19" s="28" t="str">
        <f>IF(Briefing_FID!CQ19="","",Briefing_FID!CQ19)</f>
        <v/>
      </c>
      <c r="CR19" s="100" t="str">
        <f>IF(Briefing_FID!CR19="","",Briefing_FID!CR19)</f>
        <v/>
      </c>
      <c r="CS19" s="3" t="str">
        <f>IF(Briefing_FID!CS19="","",Briefing_FID!CS19)</f>
        <v/>
      </c>
      <c r="CT19" s="28" t="str">
        <f>IF(Briefing_FID!CT19="","",Briefing_FID!CT19)</f>
        <v/>
      </c>
      <c r="CU19" s="100" t="str">
        <f>IF(Briefing_FID!CU19="","",Briefing_FID!CU19)</f>
        <v/>
      </c>
      <c r="CV19" s="3" t="str">
        <f>IF(Briefing_FID!CV19="","",Briefing_FID!CV19)</f>
        <v/>
      </c>
      <c r="CW19" s="28" t="str">
        <f>IF(Briefing_FID!CW19="","",Briefing_FID!CW19)</f>
        <v/>
      </c>
      <c r="CX19" s="100" t="str">
        <f>IF(Briefing_FID!CX19="","",Briefing_FID!CX19)</f>
        <v/>
      </c>
      <c r="CY19" s="3" t="str">
        <f>IF(Briefing_FID!CY19="","",Briefing_FID!CY19)</f>
        <v/>
      </c>
      <c r="CZ19" s="28" t="str">
        <f>IF(Briefing_FID!CZ19="","",Briefing_FID!CZ19)</f>
        <v/>
      </c>
      <c r="DA19" s="100" t="str">
        <f>IF(Briefing_FID!DA19="","",Briefing_FID!DA19)</f>
        <v/>
      </c>
      <c r="DB19" s="3" t="str">
        <f>IF(Briefing_FID!DB19="","",Briefing_FID!DB19)</f>
        <v/>
      </c>
      <c r="DC19" s="28" t="str">
        <f>IF(Briefing_FID!DC19="","",Briefing_FID!DC19)</f>
        <v/>
      </c>
      <c r="DD19" s="100" t="str">
        <f>IF(Briefing_FID!DD19="","",Briefing_FID!DD19)</f>
        <v/>
      </c>
      <c r="DE19" s="3" t="str">
        <f>IF(Briefing_FID!DE19="","",Briefing_FID!DE19)</f>
        <v/>
      </c>
      <c r="DF19" s="28" t="str">
        <f>IF(Briefing_FID!DF19="","",Briefing_FID!DF19)</f>
        <v/>
      </c>
      <c r="DG19" s="100" t="str">
        <f>IF(Briefing_FID!DG19="","",Briefing_FID!DG19)</f>
        <v/>
      </c>
      <c r="DH19" s="3" t="str">
        <f>IF(Briefing_FID!DH19="","",Briefing_FID!DH19)</f>
        <v/>
      </c>
      <c r="DI19" s="28" t="str">
        <f>IF(Briefing_FID!DI19="","",Briefing_FID!DI19)</f>
        <v/>
      </c>
      <c r="DJ19" s="100" t="str">
        <f>IF(Briefing_FID!DJ19="","",Briefing_FID!DJ19)</f>
        <v/>
      </c>
      <c r="DK19" s="3" t="str">
        <f>IF(Briefing_FID!DK19="","",Briefing_FID!DK19)</f>
        <v/>
      </c>
      <c r="DL19" s="28" t="str">
        <f>IF(Briefing_FID!DL19="","",Briefing_FID!DL19)</f>
        <v/>
      </c>
      <c r="DM19" s="100" t="str">
        <f>IF(Briefing_FID!DM19="","",Briefing_FID!DM19)</f>
        <v/>
      </c>
      <c r="DN19" s="3" t="str">
        <f>IF(Briefing_FID!DN19="","",Briefing_FID!DN19)</f>
        <v/>
      </c>
      <c r="DO19" s="28" t="str">
        <f>IF(Briefing_FID!DO19="","",Briefing_FID!DO19)</f>
        <v/>
      </c>
      <c r="DP19" s="100" t="str">
        <f>IF(Briefing_FID!DP19="","",Briefing_FID!DP19)</f>
        <v/>
      </c>
      <c r="DQ19" s="3" t="str">
        <f>IF(Briefing_FID!DQ19="","",Briefing_FID!DQ19)</f>
        <v/>
      </c>
      <c r="DR19" s="28" t="str">
        <f>IF(Briefing_FID!DR19="","",Briefing_FID!DR19)</f>
        <v/>
      </c>
      <c r="DS19" s="100" t="str">
        <f>IF(Briefing_FID!DS19="","",Briefing_FID!DS19)</f>
        <v/>
      </c>
      <c r="DT19" s="3" t="str">
        <f>IF(Briefing_FID!DT19="","",Briefing_FID!DT19)</f>
        <v/>
      </c>
      <c r="DU19" s="28" t="str">
        <f>IF(Briefing_FID!DU19="","",Briefing_FID!DU19)</f>
        <v/>
      </c>
      <c r="DV19" s="100" t="str">
        <f>IF(Briefing_FID!DV19="","",Briefing_FID!DV19)</f>
        <v/>
      </c>
      <c r="DW19" s="3" t="str">
        <f>IF(Briefing_FID!DW19="","",Briefing_FID!DW19)</f>
        <v/>
      </c>
      <c r="DX19" s="28" t="str">
        <f>IF(Briefing_FID!DX19="","",Briefing_FID!DX19)</f>
        <v/>
      </c>
      <c r="DY19" s="100" t="str">
        <f>IF(Briefing_FID!DY19="","",Briefing_FID!DY19)</f>
        <v/>
      </c>
      <c r="DZ19" s="3" t="str">
        <f>IF(Briefing_FID!DZ19="","",Briefing_FID!DZ19)</f>
        <v/>
      </c>
      <c r="EA19" s="28" t="str">
        <f>IF(Briefing_FID!EA19="","",Briefing_FID!EA19)</f>
        <v/>
      </c>
      <c r="EB19" s="100" t="str">
        <f>IF(Briefing_FID!EB19="","",Briefing_FID!EB19)</f>
        <v/>
      </c>
      <c r="EC19" s="3" t="str">
        <f>IF(Briefing_FID!EC19="","",Briefing_FID!EC19)</f>
        <v/>
      </c>
      <c r="ED19" s="28" t="str">
        <f>IF(Briefing_FID!ED19="","",Briefing_FID!ED19)</f>
        <v/>
      </c>
      <c r="EE19" s="100" t="str">
        <f>IF(Briefing_FID!EE19="","",Briefing_FID!EE19)</f>
        <v/>
      </c>
      <c r="EF19" s="3" t="str">
        <f>IF(Briefing_FID!EF19="","",Briefing_FID!EF19)</f>
        <v/>
      </c>
      <c r="EG19" s="28" t="str">
        <f>IF(Briefing_FID!EG19="","",Briefing_FID!EG19)</f>
        <v/>
      </c>
      <c r="EH19" s="100" t="str">
        <f>IF(Briefing_FID!EH19="","",Briefing_FID!EH19)</f>
        <v/>
      </c>
      <c r="EI19" s="3" t="str">
        <f>IF(Briefing_FID!EI19="","",Briefing_FID!EI19)</f>
        <v/>
      </c>
      <c r="EJ19" s="28" t="str">
        <f>IF(Briefing_FID!EJ19="","",Briefing_FID!EJ19)</f>
        <v/>
      </c>
      <c r="EK19" s="100" t="str">
        <f>IF(Briefing_FID!EK19="","",Briefing_FID!EK19)</f>
        <v/>
      </c>
      <c r="EL19" s="3" t="str">
        <f>IF(Briefing_FID!EL19="","",Briefing_FID!EL19)</f>
        <v/>
      </c>
      <c r="EM19" s="28" t="str">
        <f>IF(Briefing_FID!EM19="","",Briefing_FID!EM19)</f>
        <v/>
      </c>
      <c r="EN19" s="100" t="str">
        <f>IF(Briefing_FID!EN19="","",Briefing_FID!EN19)</f>
        <v/>
      </c>
      <c r="EO19" s="3" t="str">
        <f>IF(Briefing_FID!EO19="","",Briefing_FID!EO19)</f>
        <v/>
      </c>
      <c r="EP19" s="28" t="str">
        <f>IF(Briefing_FID!EP19="","",Briefing_FID!EP19)</f>
        <v/>
      </c>
      <c r="EQ19" s="28" t="str">
        <f>IF(Briefing_FID!EQ19="","",Briefing_FID!EQ19)</f>
        <v/>
      </c>
      <c r="ER19" s="28" t="str">
        <f>IF(Briefing_FID!ER19="","",Briefing_FID!ER19)</f>
        <v/>
      </c>
      <c r="ES19" s="62"/>
      <c r="ET19" s="96" t="str">
        <f>IF(Briefing_FID!EZ19="","",Briefing_FID!EZ19)</f>
        <v/>
      </c>
      <c r="EU19" s="97" t="str">
        <f>IF(Briefing_FID!FA19="","",Briefing_FID!FA19)</f>
        <v/>
      </c>
      <c r="EV19" s="98" t="str">
        <f>IF(Briefing_FID!FB19="","",Briefing_FID!FB19)</f>
        <v/>
      </c>
      <c r="EW19" s="96" t="str">
        <f>IF(Briefing_FID!FC19="","",Briefing_FID!FC19)</f>
        <v/>
      </c>
      <c r="EX19" s="97" t="str">
        <f>IF(Briefing_FID!FD19="","",Briefing_FID!FD19)</f>
        <v/>
      </c>
      <c r="EY19" s="98" t="str">
        <f>IF(Briefing_FID!FE19="","",Briefing_FID!FE19)</f>
        <v/>
      </c>
      <c r="EZ19" s="104" t="str">
        <f>IF(Briefing_FID!FF19="","",Briefing_FID!FF19)</f>
        <v/>
      </c>
      <c r="FA19" s="144" t="str">
        <f>IF(Briefing_FID!FG19="","",Briefing_FID!FG19)</f>
        <v/>
      </c>
      <c r="FB19" s="144" t="str">
        <f>IF(Briefing_FID!FH19="","",Briefing_FID!FH19)</f>
        <v/>
      </c>
      <c r="FC19" s="144" t="str">
        <f>IF(Briefing_FID!FI19="","",Briefing_FID!FI19)</f>
        <v/>
      </c>
      <c r="FD19" s="144" t="str">
        <f>IF(Briefing_FID!FJ19="","",Briefing_FID!FJ19)</f>
        <v/>
      </c>
      <c r="FE19" s="144" t="str">
        <f>IF(Briefing_FID!FK19="","",Briefing_FID!FK19)</f>
        <v/>
      </c>
      <c r="FF19" s="144" t="str">
        <f>IF(Briefing_FID!FL19="","",Briefing_FID!FL19)</f>
        <v/>
      </c>
      <c r="FG19" s="144" t="str">
        <f>IF(Briefing_FID!FM19="","",Briefing_FID!FM19)</f>
        <v/>
      </c>
      <c r="FH19" s="144" t="str">
        <f>IF(Briefing_FID!FN19="","",Briefing_FID!FN19)</f>
        <v/>
      </c>
      <c r="FI19" s="144" t="str">
        <f>IF(Briefing_FID!FO19="","",Briefing_FID!FO19)</f>
        <v/>
      </c>
      <c r="FJ19" s="144" t="str">
        <f>IF(Briefing_FID!FP19="","",Briefing_FID!FP19)</f>
        <v/>
      </c>
      <c r="FK19" s="144" t="str">
        <f>IF(Briefing_FID!FQ19="","",Briefing_FID!FQ19)</f>
        <v/>
      </c>
      <c r="FL19" s="144" t="str">
        <f>IF(Briefing_FID!FR19="","",Briefing_FID!FR19)</f>
        <v/>
      </c>
      <c r="FM19" s="144" t="str">
        <f>IF(Briefing_FID!FS19="","",Briefing_FID!FS19)</f>
        <v/>
      </c>
      <c r="FN19" s="144" t="str">
        <f>IF(Briefing_FID!FT19="","",Briefing_FID!FT19)</f>
        <v/>
      </c>
      <c r="FO19" s="144" t="str">
        <f>IF(Briefing_FID!FU19="","",Briefing_FID!FU19)</f>
        <v/>
      </c>
      <c r="FP19" s="144" t="str">
        <f>IF(Briefing_FID!FV19="","",Briefing_FID!FV19)</f>
        <v/>
      </c>
      <c r="FQ19" s="144" t="str">
        <f>IF(Briefing_FID!FW19="","",Briefing_FID!FW19)</f>
        <v/>
      </c>
      <c r="FR19" s="151"/>
      <c r="FS19" s="152"/>
      <c r="FT19" s="152"/>
      <c r="FU19" s="152"/>
      <c r="FV19" s="152"/>
      <c r="FW19" s="152"/>
      <c r="FX19" s="152"/>
      <c r="FY19" s="152"/>
      <c r="FZ19" s="152"/>
      <c r="GA19" s="153"/>
    </row>
    <row r="20" spans="1:183">
      <c r="A20" s="136" t="str">
        <f>IF(Briefing_FID!A20="","",Briefing_FID!A20)</f>
        <v/>
      </c>
      <c r="B20" s="137" t="str">
        <f>IF(Briefing_FID!B20="","",Briefing_FID!B20)</f>
        <v/>
      </c>
      <c r="C20" s="137" t="str">
        <f>IF(Briefing_FID!C20="","",Briefing_FID!C20)</f>
        <v/>
      </c>
      <c r="D20" s="46"/>
      <c r="E20" s="120"/>
      <c r="F20" s="117"/>
      <c r="G20" s="117"/>
      <c r="H20" s="72"/>
      <c r="I20" s="72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23"/>
      <c r="AD20" s="117"/>
      <c r="AE20" s="117"/>
      <c r="AF20" s="117"/>
      <c r="AG20" s="117"/>
      <c r="AH20" s="117"/>
      <c r="AI20" s="117"/>
      <c r="AJ20" s="117"/>
      <c r="AK20" s="117"/>
      <c r="AL20" s="124"/>
      <c r="AM20" s="37"/>
      <c r="AN20" s="38"/>
      <c r="AO20" s="39"/>
      <c r="AP20" s="111" t="str">
        <f>IF(Briefing_FID!AP20="","",Briefing_FID!AP20)</f>
        <v/>
      </c>
      <c r="AQ20" s="112" t="str">
        <f>IF(Briefing_FID!AQ20="","",Briefing_FID!AQ20)</f>
        <v/>
      </c>
      <c r="AR20" s="107" t="str">
        <f>IF(Briefing_FID!AR20="","",Briefing_FID!AR20)</f>
        <v/>
      </c>
      <c r="AS20" s="108" t="str">
        <f>IF(Briefing_FID!AS20="","",Briefing_FID!AS20)</f>
        <v/>
      </c>
      <c r="AT20" s="113" t="str">
        <f>IF(Briefing_FID!AT20="","",Briefing_FID!AT20)</f>
        <v/>
      </c>
      <c r="AU20" s="113" t="str">
        <f>IF(Briefing_FID!AU20="","",Briefing_FID!AU20)</f>
        <v/>
      </c>
      <c r="AV20" s="113" t="str">
        <f>IF(Briefing_FID!AV20="","",Briefing_FID!AV20)</f>
        <v/>
      </c>
      <c r="AW20" s="113" t="str">
        <f>IF(Briefing_FID!AW20="","",Briefing_FID!AW20)</f>
        <v/>
      </c>
      <c r="AX20" s="114" t="str">
        <f>IF(Briefing_FID!AX20="","",Briefing_FID!AX20)</f>
        <v/>
      </c>
      <c r="AY20" s="71"/>
      <c r="AZ20" s="117" t="str">
        <f>IF(Briefing_FID!AZ20="","",Briefing_FID!AZ20)</f>
        <v/>
      </c>
      <c r="BA20" s="118" t="str">
        <f>IF(Briefing_FID!BA20="","",Briefing_FID!BA20)</f>
        <v/>
      </c>
      <c r="BB20" s="55"/>
      <c r="BC20" s="102" t="str">
        <f>IF(Briefing_FID!BC20="","",Briefing_FID!BC20)</f>
        <v/>
      </c>
      <c r="BD20" s="27" t="str">
        <f>IF(Briefing_FID!BD20="","",Briefing_FID!BD20)</f>
        <v/>
      </c>
      <c r="BE20" s="100" t="str">
        <f>IF(Briefing_FID!BE20="","",Briefing_FID!BE20)</f>
        <v/>
      </c>
      <c r="BF20" s="3" t="str">
        <f>IF(Briefing_FID!BF20="","",Briefing_FID!BF20)</f>
        <v/>
      </c>
      <c r="BG20" s="10" t="str">
        <f>IF(Briefing_FID!BG20="","",Briefing_FID!BG20)</f>
        <v/>
      </c>
      <c r="BH20" s="100" t="str">
        <f>IF(Briefing_FID!BH20="","",Briefing_FID!BH20)</f>
        <v/>
      </c>
      <c r="BI20" s="3" t="str">
        <f>IF(Briefing_FID!BI20="","",Briefing_FID!BI20)</f>
        <v/>
      </c>
      <c r="BJ20" s="10" t="str">
        <f>IF(Briefing_FID!BJ20="","",Briefing_FID!BJ20)</f>
        <v/>
      </c>
      <c r="BK20" s="100" t="str">
        <f>IF(Briefing_FID!BK20="","",Briefing_FID!BK20)</f>
        <v/>
      </c>
      <c r="BL20" s="3" t="str">
        <f>IF(Briefing_FID!BL20="","",Briefing_FID!BL20)</f>
        <v/>
      </c>
      <c r="BM20" s="28" t="str">
        <f>IF(Briefing_FID!BM20="","",Briefing_FID!BM20)</f>
        <v/>
      </c>
      <c r="BN20" s="100" t="str">
        <f>IF(Briefing_FID!BN20="","",Briefing_FID!BN20)</f>
        <v/>
      </c>
      <c r="BO20" s="3" t="str">
        <f>IF(Briefing_FID!BO20="","",Briefing_FID!BO20)</f>
        <v/>
      </c>
      <c r="BP20" s="28" t="str">
        <f>IF(Briefing_FID!BP20="","",Briefing_FID!BP20)</f>
        <v/>
      </c>
      <c r="BQ20" s="100" t="str">
        <f>IF(Briefing_FID!BQ20="","",Briefing_FID!BQ20)</f>
        <v/>
      </c>
      <c r="BR20" s="3" t="str">
        <f>IF(Briefing_FID!BR20="","",Briefing_FID!BR20)</f>
        <v/>
      </c>
      <c r="BS20" s="28" t="str">
        <f>IF(Briefing_FID!BS20="","",Briefing_FID!BS20)</f>
        <v/>
      </c>
      <c r="BT20" s="100" t="str">
        <f>IF(Briefing_FID!BT20="","",Briefing_FID!BT20)</f>
        <v/>
      </c>
      <c r="BU20" s="3" t="str">
        <f>IF(Briefing_FID!BU20="","",Briefing_FID!BU20)</f>
        <v/>
      </c>
      <c r="BV20" s="28" t="str">
        <f>IF(Briefing_FID!BV20="","",Briefing_FID!BV20)</f>
        <v/>
      </c>
      <c r="BW20" s="100" t="str">
        <f>IF(Briefing_FID!BW20="","",Briefing_FID!BW20)</f>
        <v/>
      </c>
      <c r="BX20" s="3" t="str">
        <f>IF(Briefing_FID!BX20="","",Briefing_FID!BX20)</f>
        <v/>
      </c>
      <c r="BY20" s="28" t="str">
        <f>IF(Briefing_FID!BY20="","",Briefing_FID!BY20)</f>
        <v/>
      </c>
      <c r="BZ20" s="100" t="str">
        <f>IF(Briefing_FID!BZ20="","",Briefing_FID!BZ20)</f>
        <v/>
      </c>
      <c r="CA20" s="3" t="str">
        <f>IF(Briefing_FID!CA20="","",Briefing_FID!CA20)</f>
        <v/>
      </c>
      <c r="CB20" s="28" t="str">
        <f>IF(Briefing_FID!CB20="","",Briefing_FID!CB20)</f>
        <v/>
      </c>
      <c r="CC20" s="100" t="str">
        <f>IF(Briefing_FID!CC20="","",Briefing_FID!CC20)</f>
        <v/>
      </c>
      <c r="CD20" s="3" t="str">
        <f>IF(Briefing_FID!CD20="","",Briefing_FID!CD20)</f>
        <v/>
      </c>
      <c r="CE20" s="28" t="str">
        <f>IF(Briefing_FID!CE20="","",Briefing_FID!CE20)</f>
        <v/>
      </c>
      <c r="CF20" s="100" t="str">
        <f>IF(Briefing_FID!CF20="","",Briefing_FID!CF20)</f>
        <v/>
      </c>
      <c r="CG20" s="3" t="str">
        <f>IF(Briefing_FID!CG20="","",Briefing_FID!CG20)</f>
        <v/>
      </c>
      <c r="CH20" s="28" t="str">
        <f>IF(Briefing_FID!CH20="","",Briefing_FID!CH20)</f>
        <v/>
      </c>
      <c r="CI20" s="100" t="str">
        <f>IF(Briefing_FID!CI20="","",Briefing_FID!CI20)</f>
        <v/>
      </c>
      <c r="CJ20" s="3" t="str">
        <f>IF(Briefing_FID!CJ20="","",Briefing_FID!CJ20)</f>
        <v/>
      </c>
      <c r="CK20" s="28" t="str">
        <f>IF(Briefing_FID!CK20="","",Briefing_FID!CK20)</f>
        <v/>
      </c>
      <c r="CL20" s="100" t="str">
        <f>IF(Briefing_FID!CL20="","",Briefing_FID!CL20)</f>
        <v/>
      </c>
      <c r="CM20" s="3" t="str">
        <f>IF(Briefing_FID!CM20="","",Briefing_FID!CM20)</f>
        <v/>
      </c>
      <c r="CN20" s="28" t="str">
        <f>IF(Briefing_FID!CN20="","",Briefing_FID!CN20)</f>
        <v/>
      </c>
      <c r="CO20" s="100" t="str">
        <f>IF(Briefing_FID!CO20="","",Briefing_FID!CO20)</f>
        <v/>
      </c>
      <c r="CP20" s="3" t="str">
        <f>IF(Briefing_FID!CP20="","",Briefing_FID!CP20)</f>
        <v/>
      </c>
      <c r="CQ20" s="28" t="str">
        <f>IF(Briefing_FID!CQ20="","",Briefing_FID!CQ20)</f>
        <v/>
      </c>
      <c r="CR20" s="100" t="str">
        <f>IF(Briefing_FID!CR20="","",Briefing_FID!CR20)</f>
        <v/>
      </c>
      <c r="CS20" s="3" t="str">
        <f>IF(Briefing_FID!CS20="","",Briefing_FID!CS20)</f>
        <v/>
      </c>
      <c r="CT20" s="28" t="str">
        <f>IF(Briefing_FID!CT20="","",Briefing_FID!CT20)</f>
        <v/>
      </c>
      <c r="CU20" s="100" t="str">
        <f>IF(Briefing_FID!CU20="","",Briefing_FID!CU20)</f>
        <v/>
      </c>
      <c r="CV20" s="3" t="str">
        <f>IF(Briefing_FID!CV20="","",Briefing_FID!CV20)</f>
        <v/>
      </c>
      <c r="CW20" s="28" t="str">
        <f>IF(Briefing_FID!CW20="","",Briefing_FID!CW20)</f>
        <v/>
      </c>
      <c r="CX20" s="100" t="str">
        <f>IF(Briefing_FID!CX20="","",Briefing_FID!CX20)</f>
        <v/>
      </c>
      <c r="CY20" s="3" t="str">
        <f>IF(Briefing_FID!CY20="","",Briefing_FID!CY20)</f>
        <v/>
      </c>
      <c r="CZ20" s="28" t="str">
        <f>IF(Briefing_FID!CZ20="","",Briefing_FID!CZ20)</f>
        <v/>
      </c>
      <c r="DA20" s="100" t="str">
        <f>IF(Briefing_FID!DA20="","",Briefing_FID!DA20)</f>
        <v/>
      </c>
      <c r="DB20" s="3" t="str">
        <f>IF(Briefing_FID!DB20="","",Briefing_FID!DB20)</f>
        <v/>
      </c>
      <c r="DC20" s="28" t="str">
        <f>IF(Briefing_FID!DC20="","",Briefing_FID!DC20)</f>
        <v/>
      </c>
      <c r="DD20" s="100" t="str">
        <f>IF(Briefing_FID!DD20="","",Briefing_FID!DD20)</f>
        <v/>
      </c>
      <c r="DE20" s="3" t="str">
        <f>IF(Briefing_FID!DE20="","",Briefing_FID!DE20)</f>
        <v/>
      </c>
      <c r="DF20" s="28" t="str">
        <f>IF(Briefing_FID!DF20="","",Briefing_FID!DF20)</f>
        <v/>
      </c>
      <c r="DG20" s="100" t="str">
        <f>IF(Briefing_FID!DG20="","",Briefing_FID!DG20)</f>
        <v/>
      </c>
      <c r="DH20" s="3" t="str">
        <f>IF(Briefing_FID!DH20="","",Briefing_FID!DH20)</f>
        <v/>
      </c>
      <c r="DI20" s="28" t="str">
        <f>IF(Briefing_FID!DI20="","",Briefing_FID!DI20)</f>
        <v/>
      </c>
      <c r="DJ20" s="100" t="str">
        <f>IF(Briefing_FID!DJ20="","",Briefing_FID!DJ20)</f>
        <v/>
      </c>
      <c r="DK20" s="3" t="str">
        <f>IF(Briefing_FID!DK20="","",Briefing_FID!DK20)</f>
        <v/>
      </c>
      <c r="DL20" s="28" t="str">
        <f>IF(Briefing_FID!DL20="","",Briefing_FID!DL20)</f>
        <v/>
      </c>
      <c r="DM20" s="100" t="str">
        <f>IF(Briefing_FID!DM20="","",Briefing_FID!DM20)</f>
        <v/>
      </c>
      <c r="DN20" s="3" t="str">
        <f>IF(Briefing_FID!DN20="","",Briefing_FID!DN20)</f>
        <v/>
      </c>
      <c r="DO20" s="28" t="str">
        <f>IF(Briefing_FID!DO20="","",Briefing_FID!DO20)</f>
        <v/>
      </c>
      <c r="DP20" s="100" t="str">
        <f>IF(Briefing_FID!DP20="","",Briefing_FID!DP20)</f>
        <v/>
      </c>
      <c r="DQ20" s="3" t="str">
        <f>IF(Briefing_FID!DQ20="","",Briefing_FID!DQ20)</f>
        <v/>
      </c>
      <c r="DR20" s="28" t="str">
        <f>IF(Briefing_FID!DR20="","",Briefing_FID!DR20)</f>
        <v/>
      </c>
      <c r="DS20" s="100" t="str">
        <f>IF(Briefing_FID!DS20="","",Briefing_FID!DS20)</f>
        <v/>
      </c>
      <c r="DT20" s="3" t="str">
        <f>IF(Briefing_FID!DT20="","",Briefing_FID!DT20)</f>
        <v/>
      </c>
      <c r="DU20" s="28" t="str">
        <f>IF(Briefing_FID!DU20="","",Briefing_FID!DU20)</f>
        <v/>
      </c>
      <c r="DV20" s="100" t="str">
        <f>IF(Briefing_FID!DV20="","",Briefing_FID!DV20)</f>
        <v/>
      </c>
      <c r="DW20" s="3" t="str">
        <f>IF(Briefing_FID!DW20="","",Briefing_FID!DW20)</f>
        <v/>
      </c>
      <c r="DX20" s="28" t="str">
        <f>IF(Briefing_FID!DX20="","",Briefing_FID!DX20)</f>
        <v/>
      </c>
      <c r="DY20" s="100" t="str">
        <f>IF(Briefing_FID!DY20="","",Briefing_FID!DY20)</f>
        <v/>
      </c>
      <c r="DZ20" s="3" t="str">
        <f>IF(Briefing_FID!DZ20="","",Briefing_FID!DZ20)</f>
        <v/>
      </c>
      <c r="EA20" s="28" t="str">
        <f>IF(Briefing_FID!EA20="","",Briefing_FID!EA20)</f>
        <v/>
      </c>
      <c r="EB20" s="100" t="str">
        <f>IF(Briefing_FID!EB20="","",Briefing_FID!EB20)</f>
        <v/>
      </c>
      <c r="EC20" s="3" t="str">
        <f>IF(Briefing_FID!EC20="","",Briefing_FID!EC20)</f>
        <v/>
      </c>
      <c r="ED20" s="28" t="str">
        <f>IF(Briefing_FID!ED20="","",Briefing_FID!ED20)</f>
        <v/>
      </c>
      <c r="EE20" s="100" t="str">
        <f>IF(Briefing_FID!EE20="","",Briefing_FID!EE20)</f>
        <v/>
      </c>
      <c r="EF20" s="3" t="str">
        <f>IF(Briefing_FID!EF20="","",Briefing_FID!EF20)</f>
        <v/>
      </c>
      <c r="EG20" s="28" t="str">
        <f>IF(Briefing_FID!EG20="","",Briefing_FID!EG20)</f>
        <v/>
      </c>
      <c r="EH20" s="100" t="str">
        <f>IF(Briefing_FID!EH20="","",Briefing_FID!EH20)</f>
        <v/>
      </c>
      <c r="EI20" s="3" t="str">
        <f>IF(Briefing_FID!EI20="","",Briefing_FID!EI20)</f>
        <v/>
      </c>
      <c r="EJ20" s="28" t="str">
        <f>IF(Briefing_FID!EJ20="","",Briefing_FID!EJ20)</f>
        <v/>
      </c>
      <c r="EK20" s="100" t="str">
        <f>IF(Briefing_FID!EK20="","",Briefing_FID!EK20)</f>
        <v/>
      </c>
      <c r="EL20" s="3" t="str">
        <f>IF(Briefing_FID!EL20="","",Briefing_FID!EL20)</f>
        <v/>
      </c>
      <c r="EM20" s="28" t="str">
        <f>IF(Briefing_FID!EM20="","",Briefing_FID!EM20)</f>
        <v/>
      </c>
      <c r="EN20" s="100" t="str">
        <f>IF(Briefing_FID!EN20="","",Briefing_FID!EN20)</f>
        <v/>
      </c>
      <c r="EO20" s="3" t="str">
        <f>IF(Briefing_FID!EO20="","",Briefing_FID!EO20)</f>
        <v/>
      </c>
      <c r="EP20" s="28" t="str">
        <f>IF(Briefing_FID!EP20="","",Briefing_FID!EP20)</f>
        <v/>
      </c>
      <c r="EQ20" s="28" t="str">
        <f>IF(Briefing_FID!EQ20="","",Briefing_FID!EQ20)</f>
        <v/>
      </c>
      <c r="ER20" s="28" t="str">
        <f>IF(Briefing_FID!ER20="","",Briefing_FID!ER20)</f>
        <v/>
      </c>
      <c r="ES20" s="62"/>
      <c r="ET20" s="96" t="str">
        <f>IF(Briefing_FID!EZ20="","",Briefing_FID!EZ20)</f>
        <v/>
      </c>
      <c r="EU20" s="97" t="str">
        <f>IF(Briefing_FID!FA20="","",Briefing_FID!FA20)</f>
        <v/>
      </c>
      <c r="EV20" s="98" t="str">
        <f>IF(Briefing_FID!FB20="","",Briefing_FID!FB20)</f>
        <v/>
      </c>
      <c r="EW20" s="96" t="str">
        <f>IF(Briefing_FID!FC20="","",Briefing_FID!FC20)</f>
        <v/>
      </c>
      <c r="EX20" s="97" t="str">
        <f>IF(Briefing_FID!FD20="","",Briefing_FID!FD20)</f>
        <v/>
      </c>
      <c r="EY20" s="98" t="str">
        <f>IF(Briefing_FID!FE20="","",Briefing_FID!FE20)</f>
        <v/>
      </c>
      <c r="EZ20" s="104" t="str">
        <f>IF(Briefing_FID!FF20="","",Briefing_FID!FF20)</f>
        <v/>
      </c>
      <c r="FA20" s="144" t="str">
        <f>IF(Briefing_FID!FG20="","",Briefing_FID!FG20)</f>
        <v/>
      </c>
      <c r="FB20" s="144" t="str">
        <f>IF(Briefing_FID!FH20="","",Briefing_FID!FH20)</f>
        <v/>
      </c>
      <c r="FC20" s="144" t="str">
        <f>IF(Briefing_FID!FI20="","",Briefing_FID!FI20)</f>
        <v/>
      </c>
      <c r="FD20" s="144" t="str">
        <f>IF(Briefing_FID!FJ20="","",Briefing_FID!FJ20)</f>
        <v/>
      </c>
      <c r="FE20" s="144" t="str">
        <f>IF(Briefing_FID!FK20="","",Briefing_FID!FK20)</f>
        <v/>
      </c>
      <c r="FF20" s="144" t="str">
        <f>IF(Briefing_FID!FL20="","",Briefing_FID!FL20)</f>
        <v/>
      </c>
      <c r="FG20" s="144" t="str">
        <f>IF(Briefing_FID!FM20="","",Briefing_FID!FM20)</f>
        <v/>
      </c>
      <c r="FH20" s="144" t="str">
        <f>IF(Briefing_FID!FN20="","",Briefing_FID!FN20)</f>
        <v/>
      </c>
      <c r="FI20" s="144" t="str">
        <f>IF(Briefing_FID!FO20="","",Briefing_FID!FO20)</f>
        <v/>
      </c>
      <c r="FJ20" s="144" t="str">
        <f>IF(Briefing_FID!FP20="","",Briefing_FID!FP20)</f>
        <v/>
      </c>
      <c r="FK20" s="144" t="str">
        <f>IF(Briefing_FID!FQ20="","",Briefing_FID!FQ20)</f>
        <v/>
      </c>
      <c r="FL20" s="144" t="str">
        <f>IF(Briefing_FID!FR20="","",Briefing_FID!FR20)</f>
        <v/>
      </c>
      <c r="FM20" s="144" t="str">
        <f>IF(Briefing_FID!FS20="","",Briefing_FID!FS20)</f>
        <v/>
      </c>
      <c r="FN20" s="144" t="str">
        <f>IF(Briefing_FID!FT20="","",Briefing_FID!FT20)</f>
        <v/>
      </c>
      <c r="FO20" s="144" t="str">
        <f>IF(Briefing_FID!FU20="","",Briefing_FID!FU20)</f>
        <v/>
      </c>
      <c r="FP20" s="144" t="str">
        <f>IF(Briefing_FID!FV20="","",Briefing_FID!FV20)</f>
        <v/>
      </c>
      <c r="FQ20" s="144" t="str">
        <f>IF(Briefing_FID!FW20="","",Briefing_FID!FW20)</f>
        <v/>
      </c>
      <c r="FR20" s="151"/>
      <c r="FS20" s="152"/>
      <c r="FT20" s="152"/>
      <c r="FU20" s="152"/>
      <c r="FV20" s="152"/>
      <c r="FW20" s="152"/>
      <c r="FX20" s="152"/>
      <c r="FY20" s="152"/>
      <c r="FZ20" s="152"/>
      <c r="GA20" s="153"/>
    </row>
    <row r="21" spans="1:183">
      <c r="A21" s="136" t="str">
        <f>IF(Briefing_FID!A21="","",Briefing_FID!A21)</f>
        <v/>
      </c>
      <c r="B21" s="137" t="str">
        <f>IF(Briefing_FID!B21="","",Briefing_FID!B21)</f>
        <v/>
      </c>
      <c r="C21" s="137" t="str">
        <f>IF(Briefing_FID!C21="","",Briefing_FID!C21)</f>
        <v/>
      </c>
      <c r="D21" s="46"/>
      <c r="E21" s="120"/>
      <c r="F21" s="117"/>
      <c r="G21" s="117"/>
      <c r="H21" s="72"/>
      <c r="I21" s="72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23"/>
      <c r="AD21" s="117"/>
      <c r="AE21" s="117"/>
      <c r="AF21" s="117"/>
      <c r="AG21" s="117"/>
      <c r="AH21" s="117"/>
      <c r="AI21" s="117"/>
      <c r="AJ21" s="117"/>
      <c r="AK21" s="117"/>
      <c r="AL21" s="124"/>
      <c r="AM21" s="37"/>
      <c r="AN21" s="38"/>
      <c r="AO21" s="39"/>
      <c r="AP21" s="111" t="str">
        <f>IF(Briefing_FID!AP21="","",Briefing_FID!AP21)</f>
        <v/>
      </c>
      <c r="AQ21" s="112" t="str">
        <f>IF(Briefing_FID!AQ21="","",Briefing_FID!AQ21)</f>
        <v/>
      </c>
      <c r="AR21" s="107" t="str">
        <f>IF(Briefing_FID!AR21="","",Briefing_FID!AR21)</f>
        <v/>
      </c>
      <c r="AS21" s="108" t="str">
        <f>IF(Briefing_FID!AS21="","",Briefing_FID!AS21)</f>
        <v/>
      </c>
      <c r="AT21" s="113" t="str">
        <f>IF(Briefing_FID!AT21="","",Briefing_FID!AT21)</f>
        <v/>
      </c>
      <c r="AU21" s="113" t="str">
        <f>IF(Briefing_FID!AU21="","",Briefing_FID!AU21)</f>
        <v/>
      </c>
      <c r="AV21" s="113" t="str">
        <f>IF(Briefing_FID!AV21="","",Briefing_FID!AV21)</f>
        <v/>
      </c>
      <c r="AW21" s="113" t="str">
        <f>IF(Briefing_FID!AW21="","",Briefing_FID!AW21)</f>
        <v/>
      </c>
      <c r="AX21" s="114" t="str">
        <f>IF(Briefing_FID!AX21="","",Briefing_FID!AX21)</f>
        <v/>
      </c>
      <c r="AY21" s="71"/>
      <c r="AZ21" s="117" t="str">
        <f>IF(Briefing_FID!AZ21="","",Briefing_FID!AZ21)</f>
        <v/>
      </c>
      <c r="BA21" s="118" t="str">
        <f>IF(Briefing_FID!BA21="","",Briefing_FID!BA21)</f>
        <v/>
      </c>
      <c r="BB21" s="55"/>
      <c r="BC21" s="102" t="str">
        <f>IF(Briefing_FID!BC21="","",Briefing_FID!BC21)</f>
        <v/>
      </c>
      <c r="BD21" s="27" t="str">
        <f>IF(Briefing_FID!BD21="","",Briefing_FID!BD21)</f>
        <v/>
      </c>
      <c r="BE21" s="100" t="str">
        <f>IF(Briefing_FID!BE21="","",Briefing_FID!BE21)</f>
        <v/>
      </c>
      <c r="BF21" s="3" t="str">
        <f>IF(Briefing_FID!BF21="","",Briefing_FID!BF21)</f>
        <v/>
      </c>
      <c r="BG21" s="10" t="str">
        <f>IF(Briefing_FID!BG21="","",Briefing_FID!BG21)</f>
        <v/>
      </c>
      <c r="BH21" s="100" t="str">
        <f>IF(Briefing_FID!BH21="","",Briefing_FID!BH21)</f>
        <v/>
      </c>
      <c r="BI21" s="3" t="str">
        <f>IF(Briefing_FID!BI21="","",Briefing_FID!BI21)</f>
        <v/>
      </c>
      <c r="BJ21" s="10" t="str">
        <f>IF(Briefing_FID!BJ21="","",Briefing_FID!BJ21)</f>
        <v/>
      </c>
      <c r="BK21" s="100" t="str">
        <f>IF(Briefing_FID!BK21="","",Briefing_FID!BK21)</f>
        <v/>
      </c>
      <c r="BL21" s="3" t="str">
        <f>IF(Briefing_FID!BL21="","",Briefing_FID!BL21)</f>
        <v/>
      </c>
      <c r="BM21" s="28" t="str">
        <f>IF(Briefing_FID!BM21="","",Briefing_FID!BM21)</f>
        <v/>
      </c>
      <c r="BN21" s="100" t="str">
        <f>IF(Briefing_FID!BN21="","",Briefing_FID!BN21)</f>
        <v/>
      </c>
      <c r="BO21" s="3" t="str">
        <f>IF(Briefing_FID!BO21="","",Briefing_FID!BO21)</f>
        <v/>
      </c>
      <c r="BP21" s="28" t="str">
        <f>IF(Briefing_FID!BP21="","",Briefing_FID!BP21)</f>
        <v/>
      </c>
      <c r="BQ21" s="100" t="str">
        <f>IF(Briefing_FID!BQ21="","",Briefing_FID!BQ21)</f>
        <v/>
      </c>
      <c r="BR21" s="3" t="str">
        <f>IF(Briefing_FID!BR21="","",Briefing_FID!BR21)</f>
        <v/>
      </c>
      <c r="BS21" s="28" t="str">
        <f>IF(Briefing_FID!BS21="","",Briefing_FID!BS21)</f>
        <v/>
      </c>
      <c r="BT21" s="100" t="str">
        <f>IF(Briefing_FID!BT21="","",Briefing_FID!BT21)</f>
        <v/>
      </c>
      <c r="BU21" s="3" t="str">
        <f>IF(Briefing_FID!BU21="","",Briefing_FID!BU21)</f>
        <v/>
      </c>
      <c r="BV21" s="28" t="str">
        <f>IF(Briefing_FID!BV21="","",Briefing_FID!BV21)</f>
        <v/>
      </c>
      <c r="BW21" s="100" t="str">
        <f>IF(Briefing_FID!BW21="","",Briefing_FID!BW21)</f>
        <v/>
      </c>
      <c r="BX21" s="3" t="str">
        <f>IF(Briefing_FID!BX21="","",Briefing_FID!BX21)</f>
        <v/>
      </c>
      <c r="BY21" s="28" t="str">
        <f>IF(Briefing_FID!BY21="","",Briefing_FID!BY21)</f>
        <v/>
      </c>
      <c r="BZ21" s="100" t="str">
        <f>IF(Briefing_FID!BZ21="","",Briefing_FID!BZ21)</f>
        <v/>
      </c>
      <c r="CA21" s="3" t="str">
        <f>IF(Briefing_FID!CA21="","",Briefing_FID!CA21)</f>
        <v/>
      </c>
      <c r="CB21" s="28" t="str">
        <f>IF(Briefing_FID!CB21="","",Briefing_FID!CB21)</f>
        <v/>
      </c>
      <c r="CC21" s="100" t="str">
        <f>IF(Briefing_FID!CC21="","",Briefing_FID!CC21)</f>
        <v/>
      </c>
      <c r="CD21" s="3" t="str">
        <f>IF(Briefing_FID!CD21="","",Briefing_FID!CD21)</f>
        <v/>
      </c>
      <c r="CE21" s="28" t="str">
        <f>IF(Briefing_FID!CE21="","",Briefing_FID!CE21)</f>
        <v/>
      </c>
      <c r="CF21" s="100" t="str">
        <f>IF(Briefing_FID!CF21="","",Briefing_FID!CF21)</f>
        <v/>
      </c>
      <c r="CG21" s="3" t="str">
        <f>IF(Briefing_FID!CG21="","",Briefing_FID!CG21)</f>
        <v/>
      </c>
      <c r="CH21" s="28" t="str">
        <f>IF(Briefing_FID!CH21="","",Briefing_FID!CH21)</f>
        <v/>
      </c>
      <c r="CI21" s="100" t="str">
        <f>IF(Briefing_FID!CI21="","",Briefing_FID!CI21)</f>
        <v/>
      </c>
      <c r="CJ21" s="3" t="str">
        <f>IF(Briefing_FID!CJ21="","",Briefing_FID!CJ21)</f>
        <v/>
      </c>
      <c r="CK21" s="28" t="str">
        <f>IF(Briefing_FID!CK21="","",Briefing_FID!CK21)</f>
        <v/>
      </c>
      <c r="CL21" s="100" t="str">
        <f>IF(Briefing_FID!CL21="","",Briefing_FID!CL21)</f>
        <v/>
      </c>
      <c r="CM21" s="3" t="str">
        <f>IF(Briefing_FID!CM21="","",Briefing_FID!CM21)</f>
        <v/>
      </c>
      <c r="CN21" s="28" t="str">
        <f>IF(Briefing_FID!CN21="","",Briefing_FID!CN21)</f>
        <v/>
      </c>
      <c r="CO21" s="100" t="str">
        <f>IF(Briefing_FID!CO21="","",Briefing_FID!CO21)</f>
        <v/>
      </c>
      <c r="CP21" s="3" t="str">
        <f>IF(Briefing_FID!CP21="","",Briefing_FID!CP21)</f>
        <v/>
      </c>
      <c r="CQ21" s="28" t="str">
        <f>IF(Briefing_FID!CQ21="","",Briefing_FID!CQ21)</f>
        <v/>
      </c>
      <c r="CR21" s="100" t="str">
        <f>IF(Briefing_FID!CR21="","",Briefing_FID!CR21)</f>
        <v/>
      </c>
      <c r="CS21" s="3" t="str">
        <f>IF(Briefing_FID!CS21="","",Briefing_FID!CS21)</f>
        <v/>
      </c>
      <c r="CT21" s="28" t="str">
        <f>IF(Briefing_FID!CT21="","",Briefing_FID!CT21)</f>
        <v/>
      </c>
      <c r="CU21" s="100" t="str">
        <f>IF(Briefing_FID!CU21="","",Briefing_FID!CU21)</f>
        <v/>
      </c>
      <c r="CV21" s="3" t="str">
        <f>IF(Briefing_FID!CV21="","",Briefing_FID!CV21)</f>
        <v/>
      </c>
      <c r="CW21" s="28" t="str">
        <f>IF(Briefing_FID!CW21="","",Briefing_FID!CW21)</f>
        <v/>
      </c>
      <c r="CX21" s="100" t="str">
        <f>IF(Briefing_FID!CX21="","",Briefing_FID!CX21)</f>
        <v/>
      </c>
      <c r="CY21" s="3" t="str">
        <f>IF(Briefing_FID!CY21="","",Briefing_FID!CY21)</f>
        <v/>
      </c>
      <c r="CZ21" s="28" t="str">
        <f>IF(Briefing_FID!CZ21="","",Briefing_FID!CZ21)</f>
        <v/>
      </c>
      <c r="DA21" s="100" t="str">
        <f>IF(Briefing_FID!DA21="","",Briefing_FID!DA21)</f>
        <v/>
      </c>
      <c r="DB21" s="3" t="str">
        <f>IF(Briefing_FID!DB21="","",Briefing_FID!DB21)</f>
        <v/>
      </c>
      <c r="DC21" s="28" t="str">
        <f>IF(Briefing_FID!DC21="","",Briefing_FID!DC21)</f>
        <v/>
      </c>
      <c r="DD21" s="100" t="str">
        <f>IF(Briefing_FID!DD21="","",Briefing_FID!DD21)</f>
        <v/>
      </c>
      <c r="DE21" s="3" t="str">
        <f>IF(Briefing_FID!DE21="","",Briefing_FID!DE21)</f>
        <v/>
      </c>
      <c r="DF21" s="28" t="str">
        <f>IF(Briefing_FID!DF21="","",Briefing_FID!DF21)</f>
        <v/>
      </c>
      <c r="DG21" s="100" t="str">
        <f>IF(Briefing_FID!DG21="","",Briefing_FID!DG21)</f>
        <v/>
      </c>
      <c r="DH21" s="3" t="str">
        <f>IF(Briefing_FID!DH21="","",Briefing_FID!DH21)</f>
        <v/>
      </c>
      <c r="DI21" s="28" t="str">
        <f>IF(Briefing_FID!DI21="","",Briefing_FID!DI21)</f>
        <v/>
      </c>
      <c r="DJ21" s="100" t="str">
        <f>IF(Briefing_FID!DJ21="","",Briefing_FID!DJ21)</f>
        <v/>
      </c>
      <c r="DK21" s="3" t="str">
        <f>IF(Briefing_FID!DK21="","",Briefing_FID!DK21)</f>
        <v/>
      </c>
      <c r="DL21" s="28" t="str">
        <f>IF(Briefing_FID!DL21="","",Briefing_FID!DL21)</f>
        <v/>
      </c>
      <c r="DM21" s="100" t="str">
        <f>IF(Briefing_FID!DM21="","",Briefing_FID!DM21)</f>
        <v/>
      </c>
      <c r="DN21" s="3" t="str">
        <f>IF(Briefing_FID!DN21="","",Briefing_FID!DN21)</f>
        <v/>
      </c>
      <c r="DO21" s="28" t="str">
        <f>IF(Briefing_FID!DO21="","",Briefing_FID!DO21)</f>
        <v/>
      </c>
      <c r="DP21" s="100" t="str">
        <f>IF(Briefing_FID!DP21="","",Briefing_FID!DP21)</f>
        <v/>
      </c>
      <c r="DQ21" s="3" t="str">
        <f>IF(Briefing_FID!DQ21="","",Briefing_FID!DQ21)</f>
        <v/>
      </c>
      <c r="DR21" s="28" t="str">
        <f>IF(Briefing_FID!DR21="","",Briefing_FID!DR21)</f>
        <v/>
      </c>
      <c r="DS21" s="100" t="str">
        <f>IF(Briefing_FID!DS21="","",Briefing_FID!DS21)</f>
        <v/>
      </c>
      <c r="DT21" s="3" t="str">
        <f>IF(Briefing_FID!DT21="","",Briefing_FID!DT21)</f>
        <v/>
      </c>
      <c r="DU21" s="28" t="str">
        <f>IF(Briefing_FID!DU21="","",Briefing_FID!DU21)</f>
        <v/>
      </c>
      <c r="DV21" s="100" t="str">
        <f>IF(Briefing_FID!DV21="","",Briefing_FID!DV21)</f>
        <v/>
      </c>
      <c r="DW21" s="3" t="str">
        <f>IF(Briefing_FID!DW21="","",Briefing_FID!DW21)</f>
        <v/>
      </c>
      <c r="DX21" s="28" t="str">
        <f>IF(Briefing_FID!DX21="","",Briefing_FID!DX21)</f>
        <v/>
      </c>
      <c r="DY21" s="100" t="str">
        <f>IF(Briefing_FID!DY21="","",Briefing_FID!DY21)</f>
        <v/>
      </c>
      <c r="DZ21" s="3" t="str">
        <f>IF(Briefing_FID!DZ21="","",Briefing_FID!DZ21)</f>
        <v/>
      </c>
      <c r="EA21" s="28" t="str">
        <f>IF(Briefing_FID!EA21="","",Briefing_FID!EA21)</f>
        <v/>
      </c>
      <c r="EB21" s="100" t="str">
        <f>IF(Briefing_FID!EB21="","",Briefing_FID!EB21)</f>
        <v/>
      </c>
      <c r="EC21" s="3" t="str">
        <f>IF(Briefing_FID!EC21="","",Briefing_FID!EC21)</f>
        <v/>
      </c>
      <c r="ED21" s="28" t="str">
        <f>IF(Briefing_FID!ED21="","",Briefing_FID!ED21)</f>
        <v/>
      </c>
      <c r="EE21" s="100" t="str">
        <f>IF(Briefing_FID!EE21="","",Briefing_FID!EE21)</f>
        <v/>
      </c>
      <c r="EF21" s="3" t="str">
        <f>IF(Briefing_FID!EF21="","",Briefing_FID!EF21)</f>
        <v/>
      </c>
      <c r="EG21" s="28" t="str">
        <f>IF(Briefing_FID!EG21="","",Briefing_FID!EG21)</f>
        <v/>
      </c>
      <c r="EH21" s="100" t="str">
        <f>IF(Briefing_FID!EH21="","",Briefing_FID!EH21)</f>
        <v/>
      </c>
      <c r="EI21" s="3" t="str">
        <f>IF(Briefing_FID!EI21="","",Briefing_FID!EI21)</f>
        <v/>
      </c>
      <c r="EJ21" s="28" t="str">
        <f>IF(Briefing_FID!EJ21="","",Briefing_FID!EJ21)</f>
        <v/>
      </c>
      <c r="EK21" s="100" t="str">
        <f>IF(Briefing_FID!EK21="","",Briefing_FID!EK21)</f>
        <v/>
      </c>
      <c r="EL21" s="3" t="str">
        <f>IF(Briefing_FID!EL21="","",Briefing_FID!EL21)</f>
        <v/>
      </c>
      <c r="EM21" s="28" t="str">
        <f>IF(Briefing_FID!EM21="","",Briefing_FID!EM21)</f>
        <v/>
      </c>
      <c r="EN21" s="100" t="str">
        <f>IF(Briefing_FID!EN21="","",Briefing_FID!EN21)</f>
        <v/>
      </c>
      <c r="EO21" s="3" t="str">
        <f>IF(Briefing_FID!EO21="","",Briefing_FID!EO21)</f>
        <v/>
      </c>
      <c r="EP21" s="28" t="str">
        <f>IF(Briefing_FID!EP21="","",Briefing_FID!EP21)</f>
        <v/>
      </c>
      <c r="EQ21" s="28" t="str">
        <f>IF(Briefing_FID!EQ21="","",Briefing_FID!EQ21)</f>
        <v/>
      </c>
      <c r="ER21" s="28" t="str">
        <f>IF(Briefing_FID!ER21="","",Briefing_FID!ER21)</f>
        <v/>
      </c>
      <c r="ES21" s="62"/>
      <c r="ET21" s="96" t="str">
        <f>IF(Briefing_FID!EZ21="","",Briefing_FID!EZ21)</f>
        <v/>
      </c>
      <c r="EU21" s="97" t="str">
        <f>IF(Briefing_FID!FA21="","",Briefing_FID!FA21)</f>
        <v/>
      </c>
      <c r="EV21" s="98" t="str">
        <f>IF(Briefing_FID!FB21="","",Briefing_FID!FB21)</f>
        <v/>
      </c>
      <c r="EW21" s="96" t="str">
        <f>IF(Briefing_FID!FC21="","",Briefing_FID!FC21)</f>
        <v/>
      </c>
      <c r="EX21" s="97" t="str">
        <f>IF(Briefing_FID!FD21="","",Briefing_FID!FD21)</f>
        <v/>
      </c>
      <c r="EY21" s="98" t="str">
        <f>IF(Briefing_FID!FE21="","",Briefing_FID!FE21)</f>
        <v/>
      </c>
      <c r="EZ21" s="104" t="str">
        <f>IF(Briefing_FID!FF21="","",Briefing_FID!FF21)</f>
        <v/>
      </c>
      <c r="FA21" s="144" t="str">
        <f>IF(Briefing_FID!FG21="","",Briefing_FID!FG21)</f>
        <v/>
      </c>
      <c r="FB21" s="144" t="str">
        <f>IF(Briefing_FID!FH21="","",Briefing_FID!FH21)</f>
        <v/>
      </c>
      <c r="FC21" s="144" t="str">
        <f>IF(Briefing_FID!FI21="","",Briefing_FID!FI21)</f>
        <v/>
      </c>
      <c r="FD21" s="144" t="str">
        <f>IF(Briefing_FID!FJ21="","",Briefing_FID!FJ21)</f>
        <v/>
      </c>
      <c r="FE21" s="144" t="str">
        <f>IF(Briefing_FID!FK21="","",Briefing_FID!FK21)</f>
        <v/>
      </c>
      <c r="FF21" s="144" t="str">
        <f>IF(Briefing_FID!FL21="","",Briefing_FID!FL21)</f>
        <v/>
      </c>
      <c r="FG21" s="144" t="str">
        <f>IF(Briefing_FID!FM21="","",Briefing_FID!FM21)</f>
        <v/>
      </c>
      <c r="FH21" s="144" t="str">
        <f>IF(Briefing_FID!FN21="","",Briefing_FID!FN21)</f>
        <v/>
      </c>
      <c r="FI21" s="144" t="str">
        <f>IF(Briefing_FID!FO21="","",Briefing_FID!FO21)</f>
        <v/>
      </c>
      <c r="FJ21" s="144" t="str">
        <f>IF(Briefing_FID!FP21="","",Briefing_FID!FP21)</f>
        <v/>
      </c>
      <c r="FK21" s="144" t="str">
        <f>IF(Briefing_FID!FQ21="","",Briefing_FID!FQ21)</f>
        <v/>
      </c>
      <c r="FL21" s="144" t="str">
        <f>IF(Briefing_FID!FR21="","",Briefing_FID!FR21)</f>
        <v/>
      </c>
      <c r="FM21" s="144" t="str">
        <f>IF(Briefing_FID!FS21="","",Briefing_FID!FS21)</f>
        <v/>
      </c>
      <c r="FN21" s="144" t="str">
        <f>IF(Briefing_FID!FT21="","",Briefing_FID!FT21)</f>
        <v/>
      </c>
      <c r="FO21" s="144" t="str">
        <f>IF(Briefing_FID!FU21="","",Briefing_FID!FU21)</f>
        <v/>
      </c>
      <c r="FP21" s="144" t="str">
        <f>IF(Briefing_FID!FV21="","",Briefing_FID!FV21)</f>
        <v/>
      </c>
      <c r="FQ21" s="144" t="str">
        <f>IF(Briefing_FID!FW21="","",Briefing_FID!FW21)</f>
        <v/>
      </c>
      <c r="FR21" s="151"/>
      <c r="FS21" s="152"/>
      <c r="FT21" s="152"/>
      <c r="FU21" s="152"/>
      <c r="FV21" s="152"/>
      <c r="FW21" s="152"/>
      <c r="FX21" s="152"/>
      <c r="FY21" s="152"/>
      <c r="FZ21" s="152"/>
      <c r="GA21" s="153"/>
    </row>
    <row r="22" spans="1:183">
      <c r="A22" s="136" t="str">
        <f>IF(Briefing_FID!A22="","",Briefing_FID!A22)</f>
        <v/>
      </c>
      <c r="B22" s="137" t="str">
        <f>IF(Briefing_FID!B22="","",Briefing_FID!B22)</f>
        <v/>
      </c>
      <c r="C22" s="137" t="str">
        <f>IF(Briefing_FID!C22="","",Briefing_FID!C22)</f>
        <v/>
      </c>
      <c r="D22" s="46"/>
      <c r="E22" s="120"/>
      <c r="F22" s="117"/>
      <c r="G22" s="117"/>
      <c r="H22" s="72"/>
      <c r="I22" s="72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23"/>
      <c r="AD22" s="117"/>
      <c r="AE22" s="117"/>
      <c r="AF22" s="117"/>
      <c r="AG22" s="117"/>
      <c r="AH22" s="117"/>
      <c r="AI22" s="117"/>
      <c r="AJ22" s="117"/>
      <c r="AK22" s="117"/>
      <c r="AL22" s="124"/>
      <c r="AM22" s="37"/>
      <c r="AN22" s="38"/>
      <c r="AO22" s="39"/>
      <c r="AP22" s="111" t="str">
        <f>IF(Briefing_FID!AP22="","",Briefing_FID!AP22)</f>
        <v/>
      </c>
      <c r="AQ22" s="112" t="str">
        <f>IF(Briefing_FID!AQ22="","",Briefing_FID!AQ22)</f>
        <v/>
      </c>
      <c r="AR22" s="107" t="str">
        <f>IF(Briefing_FID!AR22="","",Briefing_FID!AR22)</f>
        <v/>
      </c>
      <c r="AS22" s="108" t="str">
        <f>IF(Briefing_FID!AS22="","",Briefing_FID!AS22)</f>
        <v/>
      </c>
      <c r="AT22" s="113" t="str">
        <f>IF(Briefing_FID!AT22="","",Briefing_FID!AT22)</f>
        <v/>
      </c>
      <c r="AU22" s="113" t="str">
        <f>IF(Briefing_FID!AU22="","",Briefing_FID!AU22)</f>
        <v/>
      </c>
      <c r="AV22" s="113" t="str">
        <f>IF(Briefing_FID!AV22="","",Briefing_FID!AV22)</f>
        <v/>
      </c>
      <c r="AW22" s="113" t="str">
        <f>IF(Briefing_FID!AW22="","",Briefing_FID!AW22)</f>
        <v/>
      </c>
      <c r="AX22" s="114" t="str">
        <f>IF(Briefing_FID!AX22="","",Briefing_FID!AX22)</f>
        <v/>
      </c>
      <c r="AY22" s="71"/>
      <c r="AZ22" s="117" t="str">
        <f>IF(Briefing_FID!AZ22="","",Briefing_FID!AZ22)</f>
        <v/>
      </c>
      <c r="BA22" s="118" t="str">
        <f>IF(Briefing_FID!BA22="","",Briefing_FID!BA22)</f>
        <v/>
      </c>
      <c r="BB22" s="55"/>
      <c r="BC22" s="102" t="str">
        <f>IF(Briefing_FID!BC22="","",Briefing_FID!BC22)</f>
        <v/>
      </c>
      <c r="BD22" s="27" t="str">
        <f>IF(Briefing_FID!BD22="","",Briefing_FID!BD22)</f>
        <v/>
      </c>
      <c r="BE22" s="100" t="str">
        <f>IF(Briefing_FID!BE22="","",Briefing_FID!BE22)</f>
        <v/>
      </c>
      <c r="BF22" s="3" t="str">
        <f>IF(Briefing_FID!BF22="","",Briefing_FID!BF22)</f>
        <v/>
      </c>
      <c r="BG22" s="10" t="str">
        <f>IF(Briefing_FID!BG22="","",Briefing_FID!BG22)</f>
        <v/>
      </c>
      <c r="BH22" s="100" t="str">
        <f>IF(Briefing_FID!BH22="","",Briefing_FID!BH22)</f>
        <v/>
      </c>
      <c r="BI22" s="3" t="str">
        <f>IF(Briefing_FID!BI22="","",Briefing_FID!BI22)</f>
        <v/>
      </c>
      <c r="BJ22" s="10" t="str">
        <f>IF(Briefing_FID!BJ22="","",Briefing_FID!BJ22)</f>
        <v/>
      </c>
      <c r="BK22" s="100" t="str">
        <f>IF(Briefing_FID!BK22="","",Briefing_FID!BK22)</f>
        <v/>
      </c>
      <c r="BL22" s="3" t="str">
        <f>IF(Briefing_FID!BL22="","",Briefing_FID!BL22)</f>
        <v/>
      </c>
      <c r="BM22" s="28" t="str">
        <f>IF(Briefing_FID!BM22="","",Briefing_FID!BM22)</f>
        <v/>
      </c>
      <c r="BN22" s="100" t="str">
        <f>IF(Briefing_FID!BN22="","",Briefing_FID!BN22)</f>
        <v/>
      </c>
      <c r="BO22" s="3" t="str">
        <f>IF(Briefing_FID!BO22="","",Briefing_FID!BO22)</f>
        <v/>
      </c>
      <c r="BP22" s="28" t="str">
        <f>IF(Briefing_FID!BP22="","",Briefing_FID!BP22)</f>
        <v/>
      </c>
      <c r="BQ22" s="100" t="str">
        <f>IF(Briefing_FID!BQ22="","",Briefing_FID!BQ22)</f>
        <v/>
      </c>
      <c r="BR22" s="3" t="str">
        <f>IF(Briefing_FID!BR22="","",Briefing_FID!BR22)</f>
        <v/>
      </c>
      <c r="BS22" s="28" t="str">
        <f>IF(Briefing_FID!BS22="","",Briefing_FID!BS22)</f>
        <v/>
      </c>
      <c r="BT22" s="100" t="str">
        <f>IF(Briefing_FID!BT22="","",Briefing_FID!BT22)</f>
        <v/>
      </c>
      <c r="BU22" s="3" t="str">
        <f>IF(Briefing_FID!BU22="","",Briefing_FID!BU22)</f>
        <v/>
      </c>
      <c r="BV22" s="28" t="str">
        <f>IF(Briefing_FID!BV22="","",Briefing_FID!BV22)</f>
        <v/>
      </c>
      <c r="BW22" s="100" t="str">
        <f>IF(Briefing_FID!BW22="","",Briefing_FID!BW22)</f>
        <v/>
      </c>
      <c r="BX22" s="3" t="str">
        <f>IF(Briefing_FID!BX22="","",Briefing_FID!BX22)</f>
        <v/>
      </c>
      <c r="BY22" s="28" t="str">
        <f>IF(Briefing_FID!BY22="","",Briefing_FID!BY22)</f>
        <v/>
      </c>
      <c r="BZ22" s="100" t="str">
        <f>IF(Briefing_FID!BZ22="","",Briefing_FID!BZ22)</f>
        <v/>
      </c>
      <c r="CA22" s="3" t="str">
        <f>IF(Briefing_FID!CA22="","",Briefing_FID!CA22)</f>
        <v/>
      </c>
      <c r="CB22" s="28" t="str">
        <f>IF(Briefing_FID!CB22="","",Briefing_FID!CB22)</f>
        <v/>
      </c>
      <c r="CC22" s="100" t="str">
        <f>IF(Briefing_FID!CC22="","",Briefing_FID!CC22)</f>
        <v/>
      </c>
      <c r="CD22" s="3" t="str">
        <f>IF(Briefing_FID!CD22="","",Briefing_FID!CD22)</f>
        <v/>
      </c>
      <c r="CE22" s="28" t="str">
        <f>IF(Briefing_FID!CE22="","",Briefing_FID!CE22)</f>
        <v/>
      </c>
      <c r="CF22" s="100" t="str">
        <f>IF(Briefing_FID!CF22="","",Briefing_FID!CF22)</f>
        <v/>
      </c>
      <c r="CG22" s="3" t="str">
        <f>IF(Briefing_FID!CG22="","",Briefing_FID!CG22)</f>
        <v/>
      </c>
      <c r="CH22" s="28" t="str">
        <f>IF(Briefing_FID!CH22="","",Briefing_FID!CH22)</f>
        <v/>
      </c>
      <c r="CI22" s="100" t="str">
        <f>IF(Briefing_FID!CI22="","",Briefing_FID!CI22)</f>
        <v/>
      </c>
      <c r="CJ22" s="3" t="str">
        <f>IF(Briefing_FID!CJ22="","",Briefing_FID!CJ22)</f>
        <v/>
      </c>
      <c r="CK22" s="28" t="str">
        <f>IF(Briefing_FID!CK22="","",Briefing_FID!CK22)</f>
        <v/>
      </c>
      <c r="CL22" s="100" t="str">
        <f>IF(Briefing_FID!CL22="","",Briefing_FID!CL22)</f>
        <v/>
      </c>
      <c r="CM22" s="3" t="str">
        <f>IF(Briefing_FID!CM22="","",Briefing_FID!CM22)</f>
        <v/>
      </c>
      <c r="CN22" s="28" t="str">
        <f>IF(Briefing_FID!CN22="","",Briefing_FID!CN22)</f>
        <v/>
      </c>
      <c r="CO22" s="100" t="str">
        <f>IF(Briefing_FID!CO22="","",Briefing_FID!CO22)</f>
        <v/>
      </c>
      <c r="CP22" s="3" t="str">
        <f>IF(Briefing_FID!CP22="","",Briefing_FID!CP22)</f>
        <v/>
      </c>
      <c r="CQ22" s="28" t="str">
        <f>IF(Briefing_FID!CQ22="","",Briefing_FID!CQ22)</f>
        <v/>
      </c>
      <c r="CR22" s="100" t="str">
        <f>IF(Briefing_FID!CR22="","",Briefing_FID!CR22)</f>
        <v/>
      </c>
      <c r="CS22" s="3" t="str">
        <f>IF(Briefing_FID!CS22="","",Briefing_FID!CS22)</f>
        <v/>
      </c>
      <c r="CT22" s="28" t="str">
        <f>IF(Briefing_FID!CT22="","",Briefing_FID!CT22)</f>
        <v/>
      </c>
      <c r="CU22" s="100" t="str">
        <f>IF(Briefing_FID!CU22="","",Briefing_FID!CU22)</f>
        <v/>
      </c>
      <c r="CV22" s="3" t="str">
        <f>IF(Briefing_FID!CV22="","",Briefing_FID!CV22)</f>
        <v/>
      </c>
      <c r="CW22" s="28" t="str">
        <f>IF(Briefing_FID!CW22="","",Briefing_FID!CW22)</f>
        <v/>
      </c>
      <c r="CX22" s="100" t="str">
        <f>IF(Briefing_FID!CX22="","",Briefing_FID!CX22)</f>
        <v/>
      </c>
      <c r="CY22" s="3" t="str">
        <f>IF(Briefing_FID!CY22="","",Briefing_FID!CY22)</f>
        <v/>
      </c>
      <c r="CZ22" s="28" t="str">
        <f>IF(Briefing_FID!CZ22="","",Briefing_FID!CZ22)</f>
        <v/>
      </c>
      <c r="DA22" s="100" t="str">
        <f>IF(Briefing_FID!DA22="","",Briefing_FID!DA22)</f>
        <v/>
      </c>
      <c r="DB22" s="3" t="str">
        <f>IF(Briefing_FID!DB22="","",Briefing_FID!DB22)</f>
        <v/>
      </c>
      <c r="DC22" s="28" t="str">
        <f>IF(Briefing_FID!DC22="","",Briefing_FID!DC22)</f>
        <v/>
      </c>
      <c r="DD22" s="100" t="str">
        <f>IF(Briefing_FID!DD22="","",Briefing_FID!DD22)</f>
        <v/>
      </c>
      <c r="DE22" s="3" t="str">
        <f>IF(Briefing_FID!DE22="","",Briefing_FID!DE22)</f>
        <v/>
      </c>
      <c r="DF22" s="28" t="str">
        <f>IF(Briefing_FID!DF22="","",Briefing_FID!DF22)</f>
        <v/>
      </c>
      <c r="DG22" s="100" t="str">
        <f>IF(Briefing_FID!DG22="","",Briefing_FID!DG22)</f>
        <v/>
      </c>
      <c r="DH22" s="3" t="str">
        <f>IF(Briefing_FID!DH22="","",Briefing_FID!DH22)</f>
        <v/>
      </c>
      <c r="DI22" s="28" t="str">
        <f>IF(Briefing_FID!DI22="","",Briefing_FID!DI22)</f>
        <v/>
      </c>
      <c r="DJ22" s="100" t="str">
        <f>IF(Briefing_FID!DJ22="","",Briefing_FID!DJ22)</f>
        <v/>
      </c>
      <c r="DK22" s="3" t="str">
        <f>IF(Briefing_FID!DK22="","",Briefing_FID!DK22)</f>
        <v/>
      </c>
      <c r="DL22" s="28" t="str">
        <f>IF(Briefing_FID!DL22="","",Briefing_FID!DL22)</f>
        <v/>
      </c>
      <c r="DM22" s="100" t="str">
        <f>IF(Briefing_FID!DM22="","",Briefing_FID!DM22)</f>
        <v/>
      </c>
      <c r="DN22" s="3" t="str">
        <f>IF(Briefing_FID!DN22="","",Briefing_FID!DN22)</f>
        <v/>
      </c>
      <c r="DO22" s="28" t="str">
        <f>IF(Briefing_FID!DO22="","",Briefing_FID!DO22)</f>
        <v/>
      </c>
      <c r="DP22" s="100" t="str">
        <f>IF(Briefing_FID!DP22="","",Briefing_FID!DP22)</f>
        <v/>
      </c>
      <c r="DQ22" s="3" t="str">
        <f>IF(Briefing_FID!DQ22="","",Briefing_FID!DQ22)</f>
        <v/>
      </c>
      <c r="DR22" s="28" t="str">
        <f>IF(Briefing_FID!DR22="","",Briefing_FID!DR22)</f>
        <v/>
      </c>
      <c r="DS22" s="100" t="str">
        <f>IF(Briefing_FID!DS22="","",Briefing_FID!DS22)</f>
        <v/>
      </c>
      <c r="DT22" s="3" t="str">
        <f>IF(Briefing_FID!DT22="","",Briefing_FID!DT22)</f>
        <v/>
      </c>
      <c r="DU22" s="28" t="str">
        <f>IF(Briefing_FID!DU22="","",Briefing_FID!DU22)</f>
        <v/>
      </c>
      <c r="DV22" s="100" t="str">
        <f>IF(Briefing_FID!DV22="","",Briefing_FID!DV22)</f>
        <v/>
      </c>
      <c r="DW22" s="3" t="str">
        <f>IF(Briefing_FID!DW22="","",Briefing_FID!DW22)</f>
        <v/>
      </c>
      <c r="DX22" s="28" t="str">
        <f>IF(Briefing_FID!DX22="","",Briefing_FID!DX22)</f>
        <v/>
      </c>
      <c r="DY22" s="100" t="str">
        <f>IF(Briefing_FID!DY22="","",Briefing_FID!DY22)</f>
        <v/>
      </c>
      <c r="DZ22" s="3" t="str">
        <f>IF(Briefing_FID!DZ22="","",Briefing_FID!DZ22)</f>
        <v/>
      </c>
      <c r="EA22" s="28" t="str">
        <f>IF(Briefing_FID!EA22="","",Briefing_FID!EA22)</f>
        <v/>
      </c>
      <c r="EB22" s="100" t="str">
        <f>IF(Briefing_FID!EB22="","",Briefing_FID!EB22)</f>
        <v/>
      </c>
      <c r="EC22" s="3" t="str">
        <f>IF(Briefing_FID!EC22="","",Briefing_FID!EC22)</f>
        <v/>
      </c>
      <c r="ED22" s="28" t="str">
        <f>IF(Briefing_FID!ED22="","",Briefing_FID!ED22)</f>
        <v/>
      </c>
      <c r="EE22" s="100" t="str">
        <f>IF(Briefing_FID!EE22="","",Briefing_FID!EE22)</f>
        <v/>
      </c>
      <c r="EF22" s="3" t="str">
        <f>IF(Briefing_FID!EF22="","",Briefing_FID!EF22)</f>
        <v/>
      </c>
      <c r="EG22" s="28" t="str">
        <f>IF(Briefing_FID!EG22="","",Briefing_FID!EG22)</f>
        <v/>
      </c>
      <c r="EH22" s="100" t="str">
        <f>IF(Briefing_FID!EH22="","",Briefing_FID!EH22)</f>
        <v/>
      </c>
      <c r="EI22" s="3" t="str">
        <f>IF(Briefing_FID!EI22="","",Briefing_FID!EI22)</f>
        <v/>
      </c>
      <c r="EJ22" s="28" t="str">
        <f>IF(Briefing_FID!EJ22="","",Briefing_FID!EJ22)</f>
        <v/>
      </c>
      <c r="EK22" s="100" t="str">
        <f>IF(Briefing_FID!EK22="","",Briefing_FID!EK22)</f>
        <v/>
      </c>
      <c r="EL22" s="3" t="str">
        <f>IF(Briefing_FID!EL22="","",Briefing_FID!EL22)</f>
        <v/>
      </c>
      <c r="EM22" s="28" t="str">
        <f>IF(Briefing_FID!EM22="","",Briefing_FID!EM22)</f>
        <v/>
      </c>
      <c r="EN22" s="100" t="str">
        <f>IF(Briefing_FID!EN22="","",Briefing_FID!EN22)</f>
        <v/>
      </c>
      <c r="EO22" s="3" t="str">
        <f>IF(Briefing_FID!EO22="","",Briefing_FID!EO22)</f>
        <v/>
      </c>
      <c r="EP22" s="28" t="str">
        <f>IF(Briefing_FID!EP22="","",Briefing_FID!EP22)</f>
        <v/>
      </c>
      <c r="EQ22" s="28" t="str">
        <f>IF(Briefing_FID!EQ22="","",Briefing_FID!EQ22)</f>
        <v/>
      </c>
      <c r="ER22" s="28" t="str">
        <f>IF(Briefing_FID!ER22="","",Briefing_FID!ER22)</f>
        <v/>
      </c>
      <c r="ES22" s="62"/>
      <c r="ET22" s="96" t="str">
        <f>IF(Briefing_FID!EZ22="","",Briefing_FID!EZ22)</f>
        <v/>
      </c>
      <c r="EU22" s="97" t="str">
        <f>IF(Briefing_FID!FA22="","",Briefing_FID!FA22)</f>
        <v/>
      </c>
      <c r="EV22" s="98" t="str">
        <f>IF(Briefing_FID!FB22="","",Briefing_FID!FB22)</f>
        <v/>
      </c>
      <c r="EW22" s="96" t="str">
        <f>IF(Briefing_FID!FC22="","",Briefing_FID!FC22)</f>
        <v/>
      </c>
      <c r="EX22" s="97" t="str">
        <f>IF(Briefing_FID!FD22="","",Briefing_FID!FD22)</f>
        <v/>
      </c>
      <c r="EY22" s="98" t="str">
        <f>IF(Briefing_FID!FE22="","",Briefing_FID!FE22)</f>
        <v/>
      </c>
      <c r="EZ22" s="104" t="str">
        <f>IF(Briefing_FID!FF22="","",Briefing_FID!FF22)</f>
        <v/>
      </c>
      <c r="FA22" s="144" t="str">
        <f>IF(Briefing_FID!FG22="","",Briefing_FID!FG22)</f>
        <v/>
      </c>
      <c r="FB22" s="144" t="str">
        <f>IF(Briefing_FID!FH22="","",Briefing_FID!FH22)</f>
        <v/>
      </c>
      <c r="FC22" s="144" t="str">
        <f>IF(Briefing_FID!FI22="","",Briefing_FID!FI22)</f>
        <v/>
      </c>
      <c r="FD22" s="144" t="str">
        <f>IF(Briefing_FID!FJ22="","",Briefing_FID!FJ22)</f>
        <v/>
      </c>
      <c r="FE22" s="144" t="str">
        <f>IF(Briefing_FID!FK22="","",Briefing_FID!FK22)</f>
        <v/>
      </c>
      <c r="FF22" s="144" t="str">
        <f>IF(Briefing_FID!FL22="","",Briefing_FID!FL22)</f>
        <v/>
      </c>
      <c r="FG22" s="144" t="str">
        <f>IF(Briefing_FID!FM22="","",Briefing_FID!FM22)</f>
        <v/>
      </c>
      <c r="FH22" s="144" t="str">
        <f>IF(Briefing_FID!FN22="","",Briefing_FID!FN22)</f>
        <v/>
      </c>
      <c r="FI22" s="144" t="str">
        <f>IF(Briefing_FID!FO22="","",Briefing_FID!FO22)</f>
        <v/>
      </c>
      <c r="FJ22" s="144" t="str">
        <f>IF(Briefing_FID!FP22="","",Briefing_FID!FP22)</f>
        <v/>
      </c>
      <c r="FK22" s="144" t="str">
        <f>IF(Briefing_FID!FQ22="","",Briefing_FID!FQ22)</f>
        <v/>
      </c>
      <c r="FL22" s="144" t="str">
        <f>IF(Briefing_FID!FR22="","",Briefing_FID!FR22)</f>
        <v/>
      </c>
      <c r="FM22" s="144" t="str">
        <f>IF(Briefing_FID!FS22="","",Briefing_FID!FS22)</f>
        <v/>
      </c>
      <c r="FN22" s="144" t="str">
        <f>IF(Briefing_FID!FT22="","",Briefing_FID!FT22)</f>
        <v/>
      </c>
      <c r="FO22" s="144" t="str">
        <f>IF(Briefing_FID!FU22="","",Briefing_FID!FU22)</f>
        <v/>
      </c>
      <c r="FP22" s="144" t="str">
        <f>IF(Briefing_FID!FV22="","",Briefing_FID!FV22)</f>
        <v/>
      </c>
      <c r="FQ22" s="144" t="str">
        <f>IF(Briefing_FID!FW22="","",Briefing_FID!FW22)</f>
        <v/>
      </c>
      <c r="FR22" s="151"/>
      <c r="FS22" s="152"/>
      <c r="FT22" s="152"/>
      <c r="FU22" s="152"/>
      <c r="FV22" s="152"/>
      <c r="FW22" s="152"/>
      <c r="FX22" s="152"/>
      <c r="FY22" s="152"/>
      <c r="FZ22" s="152"/>
      <c r="GA22" s="153"/>
    </row>
    <row r="23" spans="1:183">
      <c r="A23" s="136" t="str">
        <f>IF(Briefing_FID!A23="","",Briefing_FID!A23)</f>
        <v/>
      </c>
      <c r="B23" s="137" t="str">
        <f>IF(Briefing_FID!B23="","",Briefing_FID!B23)</f>
        <v/>
      </c>
      <c r="C23" s="137" t="str">
        <f>IF(Briefing_FID!C23="","",Briefing_FID!C23)</f>
        <v/>
      </c>
      <c r="D23" s="46"/>
      <c r="E23" s="120"/>
      <c r="F23" s="117"/>
      <c r="G23" s="117"/>
      <c r="H23" s="72"/>
      <c r="I23" s="72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23"/>
      <c r="AD23" s="117"/>
      <c r="AE23" s="117"/>
      <c r="AF23" s="117"/>
      <c r="AG23" s="117"/>
      <c r="AH23" s="117"/>
      <c r="AI23" s="117"/>
      <c r="AJ23" s="117"/>
      <c r="AK23" s="117"/>
      <c r="AL23" s="124"/>
      <c r="AM23" s="37"/>
      <c r="AN23" s="38"/>
      <c r="AO23" s="39"/>
      <c r="AP23" s="111" t="str">
        <f>IF(Briefing_FID!AP23="","",Briefing_FID!AP23)</f>
        <v/>
      </c>
      <c r="AQ23" s="112" t="str">
        <f>IF(Briefing_FID!AQ23="","",Briefing_FID!AQ23)</f>
        <v/>
      </c>
      <c r="AR23" s="107" t="str">
        <f>IF(Briefing_FID!AR23="","",Briefing_FID!AR23)</f>
        <v/>
      </c>
      <c r="AS23" s="108" t="str">
        <f>IF(Briefing_FID!AS23="","",Briefing_FID!AS23)</f>
        <v/>
      </c>
      <c r="AT23" s="113" t="str">
        <f>IF(Briefing_FID!AT23="","",Briefing_FID!AT23)</f>
        <v/>
      </c>
      <c r="AU23" s="113" t="str">
        <f>IF(Briefing_FID!AU23="","",Briefing_FID!AU23)</f>
        <v/>
      </c>
      <c r="AV23" s="113" t="str">
        <f>IF(Briefing_FID!AV23="","",Briefing_FID!AV23)</f>
        <v/>
      </c>
      <c r="AW23" s="113" t="str">
        <f>IF(Briefing_FID!AW23="","",Briefing_FID!AW23)</f>
        <v/>
      </c>
      <c r="AX23" s="114" t="str">
        <f>IF(Briefing_FID!AX23="","",Briefing_FID!AX23)</f>
        <v/>
      </c>
      <c r="AY23" s="71"/>
      <c r="AZ23" s="117" t="str">
        <f>IF(Briefing_FID!AZ23="","",Briefing_FID!AZ23)</f>
        <v/>
      </c>
      <c r="BA23" s="118" t="str">
        <f>IF(Briefing_FID!BA23="","",Briefing_FID!BA23)</f>
        <v/>
      </c>
      <c r="BB23" s="55"/>
      <c r="BC23" s="102" t="str">
        <f>IF(Briefing_FID!BC23="","",Briefing_FID!BC23)</f>
        <v/>
      </c>
      <c r="BD23" s="27" t="str">
        <f>IF(Briefing_FID!BD23="","",Briefing_FID!BD23)</f>
        <v/>
      </c>
      <c r="BE23" s="100" t="str">
        <f>IF(Briefing_FID!BE23="","",Briefing_FID!BE23)</f>
        <v/>
      </c>
      <c r="BF23" s="3" t="str">
        <f>IF(Briefing_FID!BF23="","",Briefing_FID!BF23)</f>
        <v/>
      </c>
      <c r="BG23" s="10" t="str">
        <f>IF(Briefing_FID!BG23="","",Briefing_FID!BG23)</f>
        <v/>
      </c>
      <c r="BH23" s="100" t="str">
        <f>IF(Briefing_FID!BH23="","",Briefing_FID!BH23)</f>
        <v/>
      </c>
      <c r="BI23" s="3" t="str">
        <f>IF(Briefing_FID!BI23="","",Briefing_FID!BI23)</f>
        <v/>
      </c>
      <c r="BJ23" s="10" t="str">
        <f>IF(Briefing_FID!BJ23="","",Briefing_FID!BJ23)</f>
        <v/>
      </c>
      <c r="BK23" s="100" t="str">
        <f>IF(Briefing_FID!BK23="","",Briefing_FID!BK23)</f>
        <v/>
      </c>
      <c r="BL23" s="3" t="str">
        <f>IF(Briefing_FID!BL23="","",Briefing_FID!BL23)</f>
        <v/>
      </c>
      <c r="BM23" s="28" t="str">
        <f>IF(Briefing_FID!BM23="","",Briefing_FID!BM23)</f>
        <v/>
      </c>
      <c r="BN23" s="100" t="str">
        <f>IF(Briefing_FID!BN23="","",Briefing_FID!BN23)</f>
        <v/>
      </c>
      <c r="BO23" s="3" t="str">
        <f>IF(Briefing_FID!BO23="","",Briefing_FID!BO23)</f>
        <v/>
      </c>
      <c r="BP23" s="28" t="str">
        <f>IF(Briefing_FID!BP23="","",Briefing_FID!BP23)</f>
        <v/>
      </c>
      <c r="BQ23" s="100" t="str">
        <f>IF(Briefing_FID!BQ23="","",Briefing_FID!BQ23)</f>
        <v/>
      </c>
      <c r="BR23" s="3" t="str">
        <f>IF(Briefing_FID!BR23="","",Briefing_FID!BR23)</f>
        <v/>
      </c>
      <c r="BS23" s="28" t="str">
        <f>IF(Briefing_FID!BS23="","",Briefing_FID!BS23)</f>
        <v/>
      </c>
      <c r="BT23" s="100" t="str">
        <f>IF(Briefing_FID!BT23="","",Briefing_FID!BT23)</f>
        <v/>
      </c>
      <c r="BU23" s="3" t="str">
        <f>IF(Briefing_FID!BU23="","",Briefing_FID!BU23)</f>
        <v/>
      </c>
      <c r="BV23" s="28" t="str">
        <f>IF(Briefing_FID!BV23="","",Briefing_FID!BV23)</f>
        <v/>
      </c>
      <c r="BW23" s="100" t="str">
        <f>IF(Briefing_FID!BW23="","",Briefing_FID!BW23)</f>
        <v/>
      </c>
      <c r="BX23" s="3" t="str">
        <f>IF(Briefing_FID!BX23="","",Briefing_FID!BX23)</f>
        <v/>
      </c>
      <c r="BY23" s="28" t="str">
        <f>IF(Briefing_FID!BY23="","",Briefing_FID!BY23)</f>
        <v/>
      </c>
      <c r="BZ23" s="100" t="str">
        <f>IF(Briefing_FID!BZ23="","",Briefing_FID!BZ23)</f>
        <v/>
      </c>
      <c r="CA23" s="3" t="str">
        <f>IF(Briefing_FID!CA23="","",Briefing_FID!CA23)</f>
        <v/>
      </c>
      <c r="CB23" s="28" t="str">
        <f>IF(Briefing_FID!CB23="","",Briefing_FID!CB23)</f>
        <v/>
      </c>
      <c r="CC23" s="100" t="str">
        <f>IF(Briefing_FID!CC23="","",Briefing_FID!CC23)</f>
        <v/>
      </c>
      <c r="CD23" s="3" t="str">
        <f>IF(Briefing_FID!CD23="","",Briefing_FID!CD23)</f>
        <v/>
      </c>
      <c r="CE23" s="28" t="str">
        <f>IF(Briefing_FID!CE23="","",Briefing_FID!CE23)</f>
        <v/>
      </c>
      <c r="CF23" s="100" t="str">
        <f>IF(Briefing_FID!CF23="","",Briefing_FID!CF23)</f>
        <v/>
      </c>
      <c r="CG23" s="3" t="str">
        <f>IF(Briefing_FID!CG23="","",Briefing_FID!CG23)</f>
        <v/>
      </c>
      <c r="CH23" s="28" t="str">
        <f>IF(Briefing_FID!CH23="","",Briefing_FID!CH23)</f>
        <v/>
      </c>
      <c r="CI23" s="100" t="str">
        <f>IF(Briefing_FID!CI23="","",Briefing_FID!CI23)</f>
        <v/>
      </c>
      <c r="CJ23" s="3" t="str">
        <f>IF(Briefing_FID!CJ23="","",Briefing_FID!CJ23)</f>
        <v/>
      </c>
      <c r="CK23" s="28" t="str">
        <f>IF(Briefing_FID!CK23="","",Briefing_FID!CK23)</f>
        <v/>
      </c>
      <c r="CL23" s="100" t="str">
        <f>IF(Briefing_FID!CL23="","",Briefing_FID!CL23)</f>
        <v/>
      </c>
      <c r="CM23" s="3" t="str">
        <f>IF(Briefing_FID!CM23="","",Briefing_FID!CM23)</f>
        <v/>
      </c>
      <c r="CN23" s="28" t="str">
        <f>IF(Briefing_FID!CN23="","",Briefing_FID!CN23)</f>
        <v/>
      </c>
      <c r="CO23" s="100" t="str">
        <f>IF(Briefing_FID!CO23="","",Briefing_FID!CO23)</f>
        <v/>
      </c>
      <c r="CP23" s="3" t="str">
        <f>IF(Briefing_FID!CP23="","",Briefing_FID!CP23)</f>
        <v/>
      </c>
      <c r="CQ23" s="28" t="str">
        <f>IF(Briefing_FID!CQ23="","",Briefing_FID!CQ23)</f>
        <v/>
      </c>
      <c r="CR23" s="100" t="str">
        <f>IF(Briefing_FID!CR23="","",Briefing_FID!CR23)</f>
        <v/>
      </c>
      <c r="CS23" s="3" t="str">
        <f>IF(Briefing_FID!CS23="","",Briefing_FID!CS23)</f>
        <v/>
      </c>
      <c r="CT23" s="28" t="str">
        <f>IF(Briefing_FID!CT23="","",Briefing_FID!CT23)</f>
        <v/>
      </c>
      <c r="CU23" s="100" t="str">
        <f>IF(Briefing_FID!CU23="","",Briefing_FID!CU23)</f>
        <v/>
      </c>
      <c r="CV23" s="3" t="str">
        <f>IF(Briefing_FID!CV23="","",Briefing_FID!CV23)</f>
        <v/>
      </c>
      <c r="CW23" s="28" t="str">
        <f>IF(Briefing_FID!CW23="","",Briefing_FID!CW23)</f>
        <v/>
      </c>
      <c r="CX23" s="100" t="str">
        <f>IF(Briefing_FID!CX23="","",Briefing_FID!CX23)</f>
        <v/>
      </c>
      <c r="CY23" s="3" t="str">
        <f>IF(Briefing_FID!CY23="","",Briefing_FID!CY23)</f>
        <v/>
      </c>
      <c r="CZ23" s="28" t="str">
        <f>IF(Briefing_FID!CZ23="","",Briefing_FID!CZ23)</f>
        <v/>
      </c>
      <c r="DA23" s="100" t="str">
        <f>IF(Briefing_FID!DA23="","",Briefing_FID!DA23)</f>
        <v/>
      </c>
      <c r="DB23" s="3" t="str">
        <f>IF(Briefing_FID!DB23="","",Briefing_FID!DB23)</f>
        <v/>
      </c>
      <c r="DC23" s="28" t="str">
        <f>IF(Briefing_FID!DC23="","",Briefing_FID!DC23)</f>
        <v/>
      </c>
      <c r="DD23" s="100" t="str">
        <f>IF(Briefing_FID!DD23="","",Briefing_FID!DD23)</f>
        <v/>
      </c>
      <c r="DE23" s="3" t="str">
        <f>IF(Briefing_FID!DE23="","",Briefing_FID!DE23)</f>
        <v/>
      </c>
      <c r="DF23" s="28" t="str">
        <f>IF(Briefing_FID!DF23="","",Briefing_FID!DF23)</f>
        <v/>
      </c>
      <c r="DG23" s="100" t="str">
        <f>IF(Briefing_FID!DG23="","",Briefing_FID!DG23)</f>
        <v/>
      </c>
      <c r="DH23" s="3" t="str">
        <f>IF(Briefing_FID!DH23="","",Briefing_FID!DH23)</f>
        <v/>
      </c>
      <c r="DI23" s="28" t="str">
        <f>IF(Briefing_FID!DI23="","",Briefing_FID!DI23)</f>
        <v/>
      </c>
      <c r="DJ23" s="100" t="str">
        <f>IF(Briefing_FID!DJ23="","",Briefing_FID!DJ23)</f>
        <v/>
      </c>
      <c r="DK23" s="3" t="str">
        <f>IF(Briefing_FID!DK23="","",Briefing_FID!DK23)</f>
        <v/>
      </c>
      <c r="DL23" s="28" t="str">
        <f>IF(Briefing_FID!DL23="","",Briefing_FID!DL23)</f>
        <v/>
      </c>
      <c r="DM23" s="100" t="str">
        <f>IF(Briefing_FID!DM23="","",Briefing_FID!DM23)</f>
        <v/>
      </c>
      <c r="DN23" s="3" t="str">
        <f>IF(Briefing_FID!DN23="","",Briefing_FID!DN23)</f>
        <v/>
      </c>
      <c r="DO23" s="28" t="str">
        <f>IF(Briefing_FID!DO23="","",Briefing_FID!DO23)</f>
        <v/>
      </c>
      <c r="DP23" s="100" t="str">
        <f>IF(Briefing_FID!DP23="","",Briefing_FID!DP23)</f>
        <v/>
      </c>
      <c r="DQ23" s="3" t="str">
        <f>IF(Briefing_FID!DQ23="","",Briefing_FID!DQ23)</f>
        <v/>
      </c>
      <c r="DR23" s="28" t="str">
        <f>IF(Briefing_FID!DR23="","",Briefing_FID!DR23)</f>
        <v/>
      </c>
      <c r="DS23" s="100" t="str">
        <f>IF(Briefing_FID!DS23="","",Briefing_FID!DS23)</f>
        <v/>
      </c>
      <c r="DT23" s="3" t="str">
        <f>IF(Briefing_FID!DT23="","",Briefing_FID!DT23)</f>
        <v/>
      </c>
      <c r="DU23" s="28" t="str">
        <f>IF(Briefing_FID!DU23="","",Briefing_FID!DU23)</f>
        <v/>
      </c>
      <c r="DV23" s="100" t="str">
        <f>IF(Briefing_FID!DV23="","",Briefing_FID!DV23)</f>
        <v/>
      </c>
      <c r="DW23" s="3" t="str">
        <f>IF(Briefing_FID!DW23="","",Briefing_FID!DW23)</f>
        <v/>
      </c>
      <c r="DX23" s="28" t="str">
        <f>IF(Briefing_FID!DX23="","",Briefing_FID!DX23)</f>
        <v/>
      </c>
      <c r="DY23" s="100" t="str">
        <f>IF(Briefing_FID!DY23="","",Briefing_FID!DY23)</f>
        <v/>
      </c>
      <c r="DZ23" s="3" t="str">
        <f>IF(Briefing_FID!DZ23="","",Briefing_FID!DZ23)</f>
        <v/>
      </c>
      <c r="EA23" s="28" t="str">
        <f>IF(Briefing_FID!EA23="","",Briefing_FID!EA23)</f>
        <v/>
      </c>
      <c r="EB23" s="100" t="str">
        <f>IF(Briefing_FID!EB23="","",Briefing_FID!EB23)</f>
        <v/>
      </c>
      <c r="EC23" s="3" t="str">
        <f>IF(Briefing_FID!EC23="","",Briefing_FID!EC23)</f>
        <v/>
      </c>
      <c r="ED23" s="28" t="str">
        <f>IF(Briefing_FID!ED23="","",Briefing_FID!ED23)</f>
        <v/>
      </c>
      <c r="EE23" s="100" t="str">
        <f>IF(Briefing_FID!EE23="","",Briefing_FID!EE23)</f>
        <v/>
      </c>
      <c r="EF23" s="3" t="str">
        <f>IF(Briefing_FID!EF23="","",Briefing_FID!EF23)</f>
        <v/>
      </c>
      <c r="EG23" s="28" t="str">
        <f>IF(Briefing_FID!EG23="","",Briefing_FID!EG23)</f>
        <v/>
      </c>
      <c r="EH23" s="100" t="str">
        <f>IF(Briefing_FID!EH23="","",Briefing_FID!EH23)</f>
        <v/>
      </c>
      <c r="EI23" s="3" t="str">
        <f>IF(Briefing_FID!EI23="","",Briefing_FID!EI23)</f>
        <v/>
      </c>
      <c r="EJ23" s="28" t="str">
        <f>IF(Briefing_FID!EJ23="","",Briefing_FID!EJ23)</f>
        <v/>
      </c>
      <c r="EK23" s="100" t="str">
        <f>IF(Briefing_FID!EK23="","",Briefing_FID!EK23)</f>
        <v/>
      </c>
      <c r="EL23" s="3" t="str">
        <f>IF(Briefing_FID!EL23="","",Briefing_FID!EL23)</f>
        <v/>
      </c>
      <c r="EM23" s="28" t="str">
        <f>IF(Briefing_FID!EM23="","",Briefing_FID!EM23)</f>
        <v/>
      </c>
      <c r="EN23" s="100" t="str">
        <f>IF(Briefing_FID!EN23="","",Briefing_FID!EN23)</f>
        <v/>
      </c>
      <c r="EO23" s="3" t="str">
        <f>IF(Briefing_FID!EO23="","",Briefing_FID!EO23)</f>
        <v/>
      </c>
      <c r="EP23" s="28" t="str">
        <f>IF(Briefing_FID!EP23="","",Briefing_FID!EP23)</f>
        <v/>
      </c>
      <c r="EQ23" s="28" t="str">
        <f>IF(Briefing_FID!EQ23="","",Briefing_FID!EQ23)</f>
        <v/>
      </c>
      <c r="ER23" s="28" t="str">
        <f>IF(Briefing_FID!ER23="","",Briefing_FID!ER23)</f>
        <v/>
      </c>
      <c r="ES23" s="62"/>
      <c r="ET23" s="96" t="str">
        <f>IF(Briefing_FID!EZ23="","",Briefing_FID!EZ23)</f>
        <v/>
      </c>
      <c r="EU23" s="97" t="str">
        <f>IF(Briefing_FID!FA23="","",Briefing_FID!FA23)</f>
        <v/>
      </c>
      <c r="EV23" s="98" t="str">
        <f>IF(Briefing_FID!FB23="","",Briefing_FID!FB23)</f>
        <v/>
      </c>
      <c r="EW23" s="96" t="str">
        <f>IF(Briefing_FID!FC23="","",Briefing_FID!FC23)</f>
        <v/>
      </c>
      <c r="EX23" s="97" t="str">
        <f>IF(Briefing_FID!FD23="","",Briefing_FID!FD23)</f>
        <v/>
      </c>
      <c r="EY23" s="98" t="str">
        <f>IF(Briefing_FID!FE23="","",Briefing_FID!FE23)</f>
        <v/>
      </c>
      <c r="EZ23" s="104" t="str">
        <f>IF(Briefing_FID!FF23="","",Briefing_FID!FF23)</f>
        <v/>
      </c>
      <c r="FA23" s="144" t="str">
        <f>IF(Briefing_FID!FG23="","",Briefing_FID!FG23)</f>
        <v/>
      </c>
      <c r="FB23" s="144" t="str">
        <f>IF(Briefing_FID!FH23="","",Briefing_FID!FH23)</f>
        <v/>
      </c>
      <c r="FC23" s="144" t="str">
        <f>IF(Briefing_FID!FI23="","",Briefing_FID!FI23)</f>
        <v/>
      </c>
      <c r="FD23" s="144" t="str">
        <f>IF(Briefing_FID!FJ23="","",Briefing_FID!FJ23)</f>
        <v/>
      </c>
      <c r="FE23" s="144" t="str">
        <f>IF(Briefing_FID!FK23="","",Briefing_FID!FK23)</f>
        <v/>
      </c>
      <c r="FF23" s="144" t="str">
        <f>IF(Briefing_FID!FL23="","",Briefing_FID!FL23)</f>
        <v/>
      </c>
      <c r="FG23" s="144" t="str">
        <f>IF(Briefing_FID!FM23="","",Briefing_FID!FM23)</f>
        <v/>
      </c>
      <c r="FH23" s="144" t="str">
        <f>IF(Briefing_FID!FN23="","",Briefing_FID!FN23)</f>
        <v/>
      </c>
      <c r="FI23" s="144" t="str">
        <f>IF(Briefing_FID!FO23="","",Briefing_FID!FO23)</f>
        <v/>
      </c>
      <c r="FJ23" s="144" t="str">
        <f>IF(Briefing_FID!FP23="","",Briefing_FID!FP23)</f>
        <v/>
      </c>
      <c r="FK23" s="144" t="str">
        <f>IF(Briefing_FID!FQ23="","",Briefing_FID!FQ23)</f>
        <v/>
      </c>
      <c r="FL23" s="144" t="str">
        <f>IF(Briefing_FID!FR23="","",Briefing_FID!FR23)</f>
        <v/>
      </c>
      <c r="FM23" s="144" t="str">
        <f>IF(Briefing_FID!FS23="","",Briefing_FID!FS23)</f>
        <v/>
      </c>
      <c r="FN23" s="144" t="str">
        <f>IF(Briefing_FID!FT23="","",Briefing_FID!FT23)</f>
        <v/>
      </c>
      <c r="FO23" s="144" t="str">
        <f>IF(Briefing_FID!FU23="","",Briefing_FID!FU23)</f>
        <v/>
      </c>
      <c r="FP23" s="144" t="str">
        <f>IF(Briefing_FID!FV23="","",Briefing_FID!FV23)</f>
        <v/>
      </c>
      <c r="FQ23" s="144" t="str">
        <f>IF(Briefing_FID!FW23="","",Briefing_FID!FW23)</f>
        <v/>
      </c>
      <c r="FR23" s="151"/>
      <c r="FS23" s="152"/>
      <c r="FT23" s="152"/>
      <c r="FU23" s="152"/>
      <c r="FV23" s="152"/>
      <c r="FW23" s="152"/>
      <c r="FX23" s="152"/>
      <c r="FY23" s="152"/>
      <c r="FZ23" s="152"/>
      <c r="GA23" s="153"/>
    </row>
    <row r="24" spans="1:183">
      <c r="A24" s="136" t="str">
        <f>IF(Briefing_FID!A24="","",Briefing_FID!A24)</f>
        <v/>
      </c>
      <c r="B24" s="137" t="str">
        <f>IF(Briefing_FID!B24="","",Briefing_FID!B24)</f>
        <v/>
      </c>
      <c r="C24" s="137" t="str">
        <f>IF(Briefing_FID!C24="","",Briefing_FID!C24)</f>
        <v/>
      </c>
      <c r="D24" s="46"/>
      <c r="E24" s="120"/>
      <c r="F24" s="117"/>
      <c r="G24" s="117"/>
      <c r="H24" s="72"/>
      <c r="I24" s="72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23"/>
      <c r="AD24" s="117"/>
      <c r="AE24" s="117"/>
      <c r="AF24" s="117"/>
      <c r="AG24" s="117"/>
      <c r="AH24" s="117"/>
      <c r="AI24" s="117"/>
      <c r="AJ24" s="117"/>
      <c r="AK24" s="117"/>
      <c r="AL24" s="124"/>
      <c r="AM24" s="37"/>
      <c r="AN24" s="38"/>
      <c r="AO24" s="39"/>
      <c r="AP24" s="111" t="str">
        <f>IF(Briefing_FID!AP24="","",Briefing_FID!AP24)</f>
        <v/>
      </c>
      <c r="AQ24" s="112" t="str">
        <f>IF(Briefing_FID!AQ24="","",Briefing_FID!AQ24)</f>
        <v/>
      </c>
      <c r="AR24" s="107" t="str">
        <f>IF(Briefing_FID!AR24="","",Briefing_FID!AR24)</f>
        <v/>
      </c>
      <c r="AS24" s="108" t="str">
        <f>IF(Briefing_FID!AS24="","",Briefing_FID!AS24)</f>
        <v/>
      </c>
      <c r="AT24" s="113" t="str">
        <f>IF(Briefing_FID!AT24="","",Briefing_FID!AT24)</f>
        <v/>
      </c>
      <c r="AU24" s="113" t="str">
        <f>IF(Briefing_FID!AU24="","",Briefing_FID!AU24)</f>
        <v/>
      </c>
      <c r="AV24" s="113" t="str">
        <f>IF(Briefing_FID!AV24="","",Briefing_FID!AV24)</f>
        <v/>
      </c>
      <c r="AW24" s="113" t="str">
        <f>IF(Briefing_FID!AW24="","",Briefing_FID!AW24)</f>
        <v/>
      </c>
      <c r="AX24" s="114" t="str">
        <f>IF(Briefing_FID!AX24="","",Briefing_FID!AX24)</f>
        <v/>
      </c>
      <c r="AY24" s="71"/>
      <c r="AZ24" s="117" t="str">
        <f>IF(Briefing_FID!AZ24="","",Briefing_FID!AZ24)</f>
        <v/>
      </c>
      <c r="BA24" s="118" t="str">
        <f>IF(Briefing_FID!BA24="","",Briefing_FID!BA24)</f>
        <v/>
      </c>
      <c r="BB24" s="55"/>
      <c r="BC24" s="102" t="str">
        <f>IF(Briefing_FID!BC24="","",Briefing_FID!BC24)</f>
        <v/>
      </c>
      <c r="BD24" s="27" t="str">
        <f>IF(Briefing_FID!BD24="","",Briefing_FID!BD24)</f>
        <v/>
      </c>
      <c r="BE24" s="100" t="str">
        <f>IF(Briefing_FID!BE24="","",Briefing_FID!BE24)</f>
        <v/>
      </c>
      <c r="BF24" s="3" t="str">
        <f>IF(Briefing_FID!BF24="","",Briefing_FID!BF24)</f>
        <v/>
      </c>
      <c r="BG24" s="10" t="str">
        <f>IF(Briefing_FID!BG24="","",Briefing_FID!BG24)</f>
        <v/>
      </c>
      <c r="BH24" s="100" t="str">
        <f>IF(Briefing_FID!BH24="","",Briefing_FID!BH24)</f>
        <v/>
      </c>
      <c r="BI24" s="3" t="str">
        <f>IF(Briefing_FID!BI24="","",Briefing_FID!BI24)</f>
        <v/>
      </c>
      <c r="BJ24" s="10" t="str">
        <f>IF(Briefing_FID!BJ24="","",Briefing_FID!BJ24)</f>
        <v/>
      </c>
      <c r="BK24" s="100" t="str">
        <f>IF(Briefing_FID!BK24="","",Briefing_FID!BK24)</f>
        <v/>
      </c>
      <c r="BL24" s="3" t="str">
        <f>IF(Briefing_FID!BL24="","",Briefing_FID!BL24)</f>
        <v/>
      </c>
      <c r="BM24" s="28" t="str">
        <f>IF(Briefing_FID!BM24="","",Briefing_FID!BM24)</f>
        <v/>
      </c>
      <c r="BN24" s="100" t="str">
        <f>IF(Briefing_FID!BN24="","",Briefing_FID!BN24)</f>
        <v/>
      </c>
      <c r="BO24" s="3" t="str">
        <f>IF(Briefing_FID!BO24="","",Briefing_FID!BO24)</f>
        <v/>
      </c>
      <c r="BP24" s="28" t="str">
        <f>IF(Briefing_FID!BP24="","",Briefing_FID!BP24)</f>
        <v/>
      </c>
      <c r="BQ24" s="100" t="str">
        <f>IF(Briefing_FID!BQ24="","",Briefing_FID!BQ24)</f>
        <v/>
      </c>
      <c r="BR24" s="3" t="str">
        <f>IF(Briefing_FID!BR24="","",Briefing_FID!BR24)</f>
        <v/>
      </c>
      <c r="BS24" s="28" t="str">
        <f>IF(Briefing_FID!BS24="","",Briefing_FID!BS24)</f>
        <v/>
      </c>
      <c r="BT24" s="100" t="str">
        <f>IF(Briefing_FID!BT24="","",Briefing_FID!BT24)</f>
        <v/>
      </c>
      <c r="BU24" s="3" t="str">
        <f>IF(Briefing_FID!BU24="","",Briefing_FID!BU24)</f>
        <v/>
      </c>
      <c r="BV24" s="28" t="str">
        <f>IF(Briefing_FID!BV24="","",Briefing_FID!BV24)</f>
        <v/>
      </c>
      <c r="BW24" s="100" t="str">
        <f>IF(Briefing_FID!BW24="","",Briefing_FID!BW24)</f>
        <v/>
      </c>
      <c r="BX24" s="3" t="str">
        <f>IF(Briefing_FID!BX24="","",Briefing_FID!BX24)</f>
        <v/>
      </c>
      <c r="BY24" s="28" t="str">
        <f>IF(Briefing_FID!BY24="","",Briefing_FID!BY24)</f>
        <v/>
      </c>
      <c r="BZ24" s="100" t="str">
        <f>IF(Briefing_FID!BZ24="","",Briefing_FID!BZ24)</f>
        <v/>
      </c>
      <c r="CA24" s="3" t="str">
        <f>IF(Briefing_FID!CA24="","",Briefing_FID!CA24)</f>
        <v/>
      </c>
      <c r="CB24" s="28" t="str">
        <f>IF(Briefing_FID!CB24="","",Briefing_FID!CB24)</f>
        <v/>
      </c>
      <c r="CC24" s="100" t="str">
        <f>IF(Briefing_FID!CC24="","",Briefing_FID!CC24)</f>
        <v/>
      </c>
      <c r="CD24" s="3" t="str">
        <f>IF(Briefing_FID!CD24="","",Briefing_FID!CD24)</f>
        <v/>
      </c>
      <c r="CE24" s="28" t="str">
        <f>IF(Briefing_FID!CE24="","",Briefing_FID!CE24)</f>
        <v/>
      </c>
      <c r="CF24" s="100" t="str">
        <f>IF(Briefing_FID!CF24="","",Briefing_FID!CF24)</f>
        <v/>
      </c>
      <c r="CG24" s="3" t="str">
        <f>IF(Briefing_FID!CG24="","",Briefing_FID!CG24)</f>
        <v/>
      </c>
      <c r="CH24" s="28" t="str">
        <f>IF(Briefing_FID!CH24="","",Briefing_FID!CH24)</f>
        <v/>
      </c>
      <c r="CI24" s="100" t="str">
        <f>IF(Briefing_FID!CI24="","",Briefing_FID!CI24)</f>
        <v/>
      </c>
      <c r="CJ24" s="3" t="str">
        <f>IF(Briefing_FID!CJ24="","",Briefing_FID!CJ24)</f>
        <v/>
      </c>
      <c r="CK24" s="28" t="str">
        <f>IF(Briefing_FID!CK24="","",Briefing_FID!CK24)</f>
        <v/>
      </c>
      <c r="CL24" s="100" t="str">
        <f>IF(Briefing_FID!CL24="","",Briefing_FID!CL24)</f>
        <v/>
      </c>
      <c r="CM24" s="3" t="str">
        <f>IF(Briefing_FID!CM24="","",Briefing_FID!CM24)</f>
        <v/>
      </c>
      <c r="CN24" s="28" t="str">
        <f>IF(Briefing_FID!CN24="","",Briefing_FID!CN24)</f>
        <v/>
      </c>
      <c r="CO24" s="100" t="str">
        <f>IF(Briefing_FID!CO24="","",Briefing_FID!CO24)</f>
        <v/>
      </c>
      <c r="CP24" s="3" t="str">
        <f>IF(Briefing_FID!CP24="","",Briefing_FID!CP24)</f>
        <v/>
      </c>
      <c r="CQ24" s="28" t="str">
        <f>IF(Briefing_FID!CQ24="","",Briefing_FID!CQ24)</f>
        <v/>
      </c>
      <c r="CR24" s="100" t="str">
        <f>IF(Briefing_FID!CR24="","",Briefing_FID!CR24)</f>
        <v/>
      </c>
      <c r="CS24" s="3" t="str">
        <f>IF(Briefing_FID!CS24="","",Briefing_FID!CS24)</f>
        <v/>
      </c>
      <c r="CT24" s="28" t="str">
        <f>IF(Briefing_FID!CT24="","",Briefing_FID!CT24)</f>
        <v/>
      </c>
      <c r="CU24" s="100" t="str">
        <f>IF(Briefing_FID!CU24="","",Briefing_FID!CU24)</f>
        <v/>
      </c>
      <c r="CV24" s="3" t="str">
        <f>IF(Briefing_FID!CV24="","",Briefing_FID!CV24)</f>
        <v/>
      </c>
      <c r="CW24" s="28" t="str">
        <f>IF(Briefing_FID!CW24="","",Briefing_FID!CW24)</f>
        <v/>
      </c>
      <c r="CX24" s="100" t="str">
        <f>IF(Briefing_FID!CX24="","",Briefing_FID!CX24)</f>
        <v/>
      </c>
      <c r="CY24" s="3" t="str">
        <f>IF(Briefing_FID!CY24="","",Briefing_FID!CY24)</f>
        <v/>
      </c>
      <c r="CZ24" s="28" t="str">
        <f>IF(Briefing_FID!CZ24="","",Briefing_FID!CZ24)</f>
        <v/>
      </c>
      <c r="DA24" s="100" t="str">
        <f>IF(Briefing_FID!DA24="","",Briefing_FID!DA24)</f>
        <v/>
      </c>
      <c r="DB24" s="3" t="str">
        <f>IF(Briefing_FID!DB24="","",Briefing_FID!DB24)</f>
        <v/>
      </c>
      <c r="DC24" s="28" t="str">
        <f>IF(Briefing_FID!DC24="","",Briefing_FID!DC24)</f>
        <v/>
      </c>
      <c r="DD24" s="100" t="str">
        <f>IF(Briefing_FID!DD24="","",Briefing_FID!DD24)</f>
        <v/>
      </c>
      <c r="DE24" s="3" t="str">
        <f>IF(Briefing_FID!DE24="","",Briefing_FID!DE24)</f>
        <v/>
      </c>
      <c r="DF24" s="28" t="str">
        <f>IF(Briefing_FID!DF24="","",Briefing_FID!DF24)</f>
        <v/>
      </c>
      <c r="DG24" s="100" t="str">
        <f>IF(Briefing_FID!DG24="","",Briefing_FID!DG24)</f>
        <v/>
      </c>
      <c r="DH24" s="3" t="str">
        <f>IF(Briefing_FID!DH24="","",Briefing_FID!DH24)</f>
        <v/>
      </c>
      <c r="DI24" s="28" t="str">
        <f>IF(Briefing_FID!DI24="","",Briefing_FID!DI24)</f>
        <v/>
      </c>
      <c r="DJ24" s="100" t="str">
        <f>IF(Briefing_FID!DJ24="","",Briefing_FID!DJ24)</f>
        <v/>
      </c>
      <c r="DK24" s="3" t="str">
        <f>IF(Briefing_FID!DK24="","",Briefing_FID!DK24)</f>
        <v/>
      </c>
      <c r="DL24" s="28" t="str">
        <f>IF(Briefing_FID!DL24="","",Briefing_FID!DL24)</f>
        <v/>
      </c>
      <c r="DM24" s="100" t="str">
        <f>IF(Briefing_FID!DM24="","",Briefing_FID!DM24)</f>
        <v/>
      </c>
      <c r="DN24" s="3" t="str">
        <f>IF(Briefing_FID!DN24="","",Briefing_FID!DN24)</f>
        <v/>
      </c>
      <c r="DO24" s="28" t="str">
        <f>IF(Briefing_FID!DO24="","",Briefing_FID!DO24)</f>
        <v/>
      </c>
      <c r="DP24" s="100" t="str">
        <f>IF(Briefing_FID!DP24="","",Briefing_FID!DP24)</f>
        <v/>
      </c>
      <c r="DQ24" s="3" t="str">
        <f>IF(Briefing_FID!DQ24="","",Briefing_FID!DQ24)</f>
        <v/>
      </c>
      <c r="DR24" s="28" t="str">
        <f>IF(Briefing_FID!DR24="","",Briefing_FID!DR24)</f>
        <v/>
      </c>
      <c r="DS24" s="100" t="str">
        <f>IF(Briefing_FID!DS24="","",Briefing_FID!DS24)</f>
        <v/>
      </c>
      <c r="DT24" s="3" t="str">
        <f>IF(Briefing_FID!DT24="","",Briefing_FID!DT24)</f>
        <v/>
      </c>
      <c r="DU24" s="28" t="str">
        <f>IF(Briefing_FID!DU24="","",Briefing_FID!DU24)</f>
        <v/>
      </c>
      <c r="DV24" s="100" t="str">
        <f>IF(Briefing_FID!DV24="","",Briefing_FID!DV24)</f>
        <v/>
      </c>
      <c r="DW24" s="3" t="str">
        <f>IF(Briefing_FID!DW24="","",Briefing_FID!DW24)</f>
        <v/>
      </c>
      <c r="DX24" s="28" t="str">
        <f>IF(Briefing_FID!DX24="","",Briefing_FID!DX24)</f>
        <v/>
      </c>
      <c r="DY24" s="100" t="str">
        <f>IF(Briefing_FID!DY24="","",Briefing_FID!DY24)</f>
        <v/>
      </c>
      <c r="DZ24" s="3" t="str">
        <f>IF(Briefing_FID!DZ24="","",Briefing_FID!DZ24)</f>
        <v/>
      </c>
      <c r="EA24" s="28" t="str">
        <f>IF(Briefing_FID!EA24="","",Briefing_FID!EA24)</f>
        <v/>
      </c>
      <c r="EB24" s="100" t="str">
        <f>IF(Briefing_FID!EB24="","",Briefing_FID!EB24)</f>
        <v/>
      </c>
      <c r="EC24" s="3" t="str">
        <f>IF(Briefing_FID!EC24="","",Briefing_FID!EC24)</f>
        <v/>
      </c>
      <c r="ED24" s="28" t="str">
        <f>IF(Briefing_FID!ED24="","",Briefing_FID!ED24)</f>
        <v/>
      </c>
      <c r="EE24" s="100" t="str">
        <f>IF(Briefing_FID!EE24="","",Briefing_FID!EE24)</f>
        <v/>
      </c>
      <c r="EF24" s="3" t="str">
        <f>IF(Briefing_FID!EF24="","",Briefing_FID!EF24)</f>
        <v/>
      </c>
      <c r="EG24" s="28" t="str">
        <f>IF(Briefing_FID!EG24="","",Briefing_FID!EG24)</f>
        <v/>
      </c>
      <c r="EH24" s="100" t="str">
        <f>IF(Briefing_FID!EH24="","",Briefing_FID!EH24)</f>
        <v/>
      </c>
      <c r="EI24" s="3" t="str">
        <f>IF(Briefing_FID!EI24="","",Briefing_FID!EI24)</f>
        <v/>
      </c>
      <c r="EJ24" s="28" t="str">
        <f>IF(Briefing_FID!EJ24="","",Briefing_FID!EJ24)</f>
        <v/>
      </c>
      <c r="EK24" s="100" t="str">
        <f>IF(Briefing_FID!EK24="","",Briefing_FID!EK24)</f>
        <v/>
      </c>
      <c r="EL24" s="3" t="str">
        <f>IF(Briefing_FID!EL24="","",Briefing_FID!EL24)</f>
        <v/>
      </c>
      <c r="EM24" s="28" t="str">
        <f>IF(Briefing_FID!EM24="","",Briefing_FID!EM24)</f>
        <v/>
      </c>
      <c r="EN24" s="100" t="str">
        <f>IF(Briefing_FID!EN24="","",Briefing_FID!EN24)</f>
        <v/>
      </c>
      <c r="EO24" s="3" t="str">
        <f>IF(Briefing_FID!EO24="","",Briefing_FID!EO24)</f>
        <v/>
      </c>
      <c r="EP24" s="28" t="str">
        <f>IF(Briefing_FID!EP24="","",Briefing_FID!EP24)</f>
        <v/>
      </c>
      <c r="EQ24" s="28" t="str">
        <f>IF(Briefing_FID!EQ24="","",Briefing_FID!EQ24)</f>
        <v/>
      </c>
      <c r="ER24" s="28" t="str">
        <f>IF(Briefing_FID!ER24="","",Briefing_FID!ER24)</f>
        <v/>
      </c>
      <c r="ES24" s="62"/>
      <c r="ET24" s="96" t="str">
        <f>IF(Briefing_FID!EZ24="","",Briefing_FID!EZ24)</f>
        <v/>
      </c>
      <c r="EU24" s="97" t="str">
        <f>IF(Briefing_FID!FA24="","",Briefing_FID!FA24)</f>
        <v/>
      </c>
      <c r="EV24" s="98" t="str">
        <f>IF(Briefing_FID!FB24="","",Briefing_FID!FB24)</f>
        <v/>
      </c>
      <c r="EW24" s="96" t="str">
        <f>IF(Briefing_FID!FC24="","",Briefing_FID!FC24)</f>
        <v/>
      </c>
      <c r="EX24" s="97" t="str">
        <f>IF(Briefing_FID!FD24="","",Briefing_FID!FD24)</f>
        <v/>
      </c>
      <c r="EY24" s="98" t="str">
        <f>IF(Briefing_FID!FE24="","",Briefing_FID!FE24)</f>
        <v/>
      </c>
      <c r="EZ24" s="104" t="str">
        <f>IF(Briefing_FID!FF24="","",Briefing_FID!FF24)</f>
        <v/>
      </c>
      <c r="FA24" s="144" t="str">
        <f>IF(Briefing_FID!FG24="","",Briefing_FID!FG24)</f>
        <v/>
      </c>
      <c r="FB24" s="144" t="str">
        <f>IF(Briefing_FID!FH24="","",Briefing_FID!FH24)</f>
        <v/>
      </c>
      <c r="FC24" s="144" t="str">
        <f>IF(Briefing_FID!FI24="","",Briefing_FID!FI24)</f>
        <v/>
      </c>
      <c r="FD24" s="144" t="str">
        <f>IF(Briefing_FID!FJ24="","",Briefing_FID!FJ24)</f>
        <v/>
      </c>
      <c r="FE24" s="144" t="str">
        <f>IF(Briefing_FID!FK24="","",Briefing_FID!FK24)</f>
        <v/>
      </c>
      <c r="FF24" s="144" t="str">
        <f>IF(Briefing_FID!FL24="","",Briefing_FID!FL24)</f>
        <v/>
      </c>
      <c r="FG24" s="144" t="str">
        <f>IF(Briefing_FID!FM24="","",Briefing_FID!FM24)</f>
        <v/>
      </c>
      <c r="FH24" s="144" t="str">
        <f>IF(Briefing_FID!FN24="","",Briefing_FID!FN24)</f>
        <v/>
      </c>
      <c r="FI24" s="144" t="str">
        <f>IF(Briefing_FID!FO24="","",Briefing_FID!FO24)</f>
        <v/>
      </c>
      <c r="FJ24" s="144" t="str">
        <f>IF(Briefing_FID!FP24="","",Briefing_FID!FP24)</f>
        <v/>
      </c>
      <c r="FK24" s="144" t="str">
        <f>IF(Briefing_FID!FQ24="","",Briefing_FID!FQ24)</f>
        <v/>
      </c>
      <c r="FL24" s="144" t="str">
        <f>IF(Briefing_FID!FR24="","",Briefing_FID!FR24)</f>
        <v/>
      </c>
      <c r="FM24" s="144" t="str">
        <f>IF(Briefing_FID!FS24="","",Briefing_FID!FS24)</f>
        <v/>
      </c>
      <c r="FN24" s="144" t="str">
        <f>IF(Briefing_FID!FT24="","",Briefing_FID!FT24)</f>
        <v/>
      </c>
      <c r="FO24" s="144" t="str">
        <f>IF(Briefing_FID!FU24="","",Briefing_FID!FU24)</f>
        <v/>
      </c>
      <c r="FP24" s="144" t="str">
        <f>IF(Briefing_FID!FV24="","",Briefing_FID!FV24)</f>
        <v/>
      </c>
      <c r="FQ24" s="144" t="str">
        <f>IF(Briefing_FID!FW24="","",Briefing_FID!FW24)</f>
        <v/>
      </c>
      <c r="FR24" s="151"/>
      <c r="FS24" s="152"/>
      <c r="FT24" s="152"/>
      <c r="FU24" s="152"/>
      <c r="FV24" s="152"/>
      <c r="FW24" s="152"/>
      <c r="FX24" s="152"/>
      <c r="FY24" s="152"/>
      <c r="FZ24" s="152"/>
      <c r="GA24" s="153"/>
    </row>
    <row r="25" spans="1:183">
      <c r="A25" s="136" t="str">
        <f>IF(Briefing_FID!A25="","",Briefing_FID!A25)</f>
        <v/>
      </c>
      <c r="B25" s="137" t="str">
        <f>IF(Briefing_FID!B25="","",Briefing_FID!B25)</f>
        <v/>
      </c>
      <c r="C25" s="137" t="str">
        <f>IF(Briefing_FID!C25="","",Briefing_FID!C25)</f>
        <v/>
      </c>
      <c r="D25" s="46"/>
      <c r="E25" s="120"/>
      <c r="F25" s="117"/>
      <c r="G25" s="117"/>
      <c r="H25" s="72"/>
      <c r="I25" s="72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23"/>
      <c r="AD25" s="117"/>
      <c r="AE25" s="117"/>
      <c r="AF25" s="117"/>
      <c r="AG25" s="117"/>
      <c r="AH25" s="117"/>
      <c r="AI25" s="117"/>
      <c r="AJ25" s="117"/>
      <c r="AK25" s="117"/>
      <c r="AL25" s="124"/>
      <c r="AM25" s="37"/>
      <c r="AN25" s="38"/>
      <c r="AO25" s="39"/>
      <c r="AP25" s="111" t="str">
        <f>IF(Briefing_FID!AP25="","",Briefing_FID!AP25)</f>
        <v/>
      </c>
      <c r="AQ25" s="112" t="str">
        <f>IF(Briefing_FID!AQ25="","",Briefing_FID!AQ25)</f>
        <v/>
      </c>
      <c r="AR25" s="107" t="str">
        <f>IF(Briefing_FID!AR25="","",Briefing_FID!AR25)</f>
        <v/>
      </c>
      <c r="AS25" s="108" t="str">
        <f>IF(Briefing_FID!AS25="","",Briefing_FID!AS25)</f>
        <v/>
      </c>
      <c r="AT25" s="113" t="str">
        <f>IF(Briefing_FID!AT25="","",Briefing_FID!AT25)</f>
        <v/>
      </c>
      <c r="AU25" s="113" t="str">
        <f>IF(Briefing_FID!AU25="","",Briefing_FID!AU25)</f>
        <v/>
      </c>
      <c r="AV25" s="113" t="str">
        <f>IF(Briefing_FID!AV25="","",Briefing_FID!AV25)</f>
        <v/>
      </c>
      <c r="AW25" s="113" t="str">
        <f>IF(Briefing_FID!AW25="","",Briefing_FID!AW25)</f>
        <v/>
      </c>
      <c r="AX25" s="114" t="str">
        <f>IF(Briefing_FID!AX25="","",Briefing_FID!AX25)</f>
        <v/>
      </c>
      <c r="AY25" s="71"/>
      <c r="AZ25" s="117" t="str">
        <f>IF(Briefing_FID!AZ25="","",Briefing_FID!AZ25)</f>
        <v/>
      </c>
      <c r="BA25" s="118" t="str">
        <f>IF(Briefing_FID!BA25="","",Briefing_FID!BA25)</f>
        <v/>
      </c>
      <c r="BB25" s="55"/>
      <c r="BC25" s="102" t="str">
        <f>IF(Briefing_FID!BC25="","",Briefing_FID!BC25)</f>
        <v/>
      </c>
      <c r="BD25" s="27" t="str">
        <f>IF(Briefing_FID!BD25="","",Briefing_FID!BD25)</f>
        <v/>
      </c>
      <c r="BE25" s="100" t="str">
        <f>IF(Briefing_FID!BE25="","",Briefing_FID!BE25)</f>
        <v/>
      </c>
      <c r="BF25" s="3" t="str">
        <f>IF(Briefing_FID!BF25="","",Briefing_FID!BF25)</f>
        <v/>
      </c>
      <c r="BG25" s="10" t="str">
        <f>IF(Briefing_FID!BG25="","",Briefing_FID!BG25)</f>
        <v/>
      </c>
      <c r="BH25" s="100" t="str">
        <f>IF(Briefing_FID!BH25="","",Briefing_FID!BH25)</f>
        <v/>
      </c>
      <c r="BI25" s="3" t="str">
        <f>IF(Briefing_FID!BI25="","",Briefing_FID!BI25)</f>
        <v/>
      </c>
      <c r="BJ25" s="10" t="str">
        <f>IF(Briefing_FID!BJ25="","",Briefing_FID!BJ25)</f>
        <v/>
      </c>
      <c r="BK25" s="100" t="str">
        <f>IF(Briefing_FID!BK25="","",Briefing_FID!BK25)</f>
        <v/>
      </c>
      <c r="BL25" s="3" t="str">
        <f>IF(Briefing_FID!BL25="","",Briefing_FID!BL25)</f>
        <v/>
      </c>
      <c r="BM25" s="28" t="str">
        <f>IF(Briefing_FID!BM25="","",Briefing_FID!BM25)</f>
        <v/>
      </c>
      <c r="BN25" s="100" t="str">
        <f>IF(Briefing_FID!BN25="","",Briefing_FID!BN25)</f>
        <v/>
      </c>
      <c r="BO25" s="3" t="str">
        <f>IF(Briefing_FID!BO25="","",Briefing_FID!BO25)</f>
        <v/>
      </c>
      <c r="BP25" s="28" t="str">
        <f>IF(Briefing_FID!BP25="","",Briefing_FID!BP25)</f>
        <v/>
      </c>
      <c r="BQ25" s="100" t="str">
        <f>IF(Briefing_FID!BQ25="","",Briefing_FID!BQ25)</f>
        <v/>
      </c>
      <c r="BR25" s="3" t="str">
        <f>IF(Briefing_FID!BR25="","",Briefing_FID!BR25)</f>
        <v/>
      </c>
      <c r="BS25" s="28" t="str">
        <f>IF(Briefing_FID!BS25="","",Briefing_FID!BS25)</f>
        <v/>
      </c>
      <c r="BT25" s="100" t="str">
        <f>IF(Briefing_FID!BT25="","",Briefing_FID!BT25)</f>
        <v/>
      </c>
      <c r="BU25" s="3" t="str">
        <f>IF(Briefing_FID!BU25="","",Briefing_FID!BU25)</f>
        <v/>
      </c>
      <c r="BV25" s="28" t="str">
        <f>IF(Briefing_FID!BV25="","",Briefing_FID!BV25)</f>
        <v/>
      </c>
      <c r="BW25" s="100" t="str">
        <f>IF(Briefing_FID!BW25="","",Briefing_FID!BW25)</f>
        <v/>
      </c>
      <c r="BX25" s="3" t="str">
        <f>IF(Briefing_FID!BX25="","",Briefing_FID!BX25)</f>
        <v/>
      </c>
      <c r="BY25" s="28" t="str">
        <f>IF(Briefing_FID!BY25="","",Briefing_FID!BY25)</f>
        <v/>
      </c>
      <c r="BZ25" s="100" t="str">
        <f>IF(Briefing_FID!BZ25="","",Briefing_FID!BZ25)</f>
        <v/>
      </c>
      <c r="CA25" s="3" t="str">
        <f>IF(Briefing_FID!CA25="","",Briefing_FID!CA25)</f>
        <v/>
      </c>
      <c r="CB25" s="28" t="str">
        <f>IF(Briefing_FID!CB25="","",Briefing_FID!CB25)</f>
        <v/>
      </c>
      <c r="CC25" s="100" t="str">
        <f>IF(Briefing_FID!CC25="","",Briefing_FID!CC25)</f>
        <v/>
      </c>
      <c r="CD25" s="3" t="str">
        <f>IF(Briefing_FID!CD25="","",Briefing_FID!CD25)</f>
        <v/>
      </c>
      <c r="CE25" s="28" t="str">
        <f>IF(Briefing_FID!CE25="","",Briefing_FID!CE25)</f>
        <v/>
      </c>
      <c r="CF25" s="100" t="str">
        <f>IF(Briefing_FID!CF25="","",Briefing_FID!CF25)</f>
        <v/>
      </c>
      <c r="CG25" s="3" t="str">
        <f>IF(Briefing_FID!CG25="","",Briefing_FID!CG25)</f>
        <v/>
      </c>
      <c r="CH25" s="28" t="str">
        <f>IF(Briefing_FID!CH25="","",Briefing_FID!CH25)</f>
        <v/>
      </c>
      <c r="CI25" s="100" t="str">
        <f>IF(Briefing_FID!CI25="","",Briefing_FID!CI25)</f>
        <v/>
      </c>
      <c r="CJ25" s="3" t="str">
        <f>IF(Briefing_FID!CJ25="","",Briefing_FID!CJ25)</f>
        <v/>
      </c>
      <c r="CK25" s="28" t="str">
        <f>IF(Briefing_FID!CK25="","",Briefing_FID!CK25)</f>
        <v/>
      </c>
      <c r="CL25" s="100" t="str">
        <f>IF(Briefing_FID!CL25="","",Briefing_FID!CL25)</f>
        <v/>
      </c>
      <c r="CM25" s="3" t="str">
        <f>IF(Briefing_FID!CM25="","",Briefing_FID!CM25)</f>
        <v/>
      </c>
      <c r="CN25" s="28" t="str">
        <f>IF(Briefing_FID!CN25="","",Briefing_FID!CN25)</f>
        <v/>
      </c>
      <c r="CO25" s="100" t="str">
        <f>IF(Briefing_FID!CO25="","",Briefing_FID!CO25)</f>
        <v/>
      </c>
      <c r="CP25" s="3" t="str">
        <f>IF(Briefing_FID!CP25="","",Briefing_FID!CP25)</f>
        <v/>
      </c>
      <c r="CQ25" s="28" t="str">
        <f>IF(Briefing_FID!CQ25="","",Briefing_FID!CQ25)</f>
        <v/>
      </c>
      <c r="CR25" s="100" t="str">
        <f>IF(Briefing_FID!CR25="","",Briefing_FID!CR25)</f>
        <v/>
      </c>
      <c r="CS25" s="3" t="str">
        <f>IF(Briefing_FID!CS25="","",Briefing_FID!CS25)</f>
        <v/>
      </c>
      <c r="CT25" s="28" t="str">
        <f>IF(Briefing_FID!CT25="","",Briefing_FID!CT25)</f>
        <v/>
      </c>
      <c r="CU25" s="100" t="str">
        <f>IF(Briefing_FID!CU25="","",Briefing_FID!CU25)</f>
        <v/>
      </c>
      <c r="CV25" s="3" t="str">
        <f>IF(Briefing_FID!CV25="","",Briefing_FID!CV25)</f>
        <v/>
      </c>
      <c r="CW25" s="28" t="str">
        <f>IF(Briefing_FID!CW25="","",Briefing_FID!CW25)</f>
        <v/>
      </c>
      <c r="CX25" s="100" t="str">
        <f>IF(Briefing_FID!CX25="","",Briefing_FID!CX25)</f>
        <v/>
      </c>
      <c r="CY25" s="3" t="str">
        <f>IF(Briefing_FID!CY25="","",Briefing_FID!CY25)</f>
        <v/>
      </c>
      <c r="CZ25" s="28" t="str">
        <f>IF(Briefing_FID!CZ25="","",Briefing_FID!CZ25)</f>
        <v/>
      </c>
      <c r="DA25" s="100" t="str">
        <f>IF(Briefing_FID!DA25="","",Briefing_FID!DA25)</f>
        <v/>
      </c>
      <c r="DB25" s="3" t="str">
        <f>IF(Briefing_FID!DB25="","",Briefing_FID!DB25)</f>
        <v/>
      </c>
      <c r="DC25" s="28" t="str">
        <f>IF(Briefing_FID!DC25="","",Briefing_FID!DC25)</f>
        <v/>
      </c>
      <c r="DD25" s="100" t="str">
        <f>IF(Briefing_FID!DD25="","",Briefing_FID!DD25)</f>
        <v/>
      </c>
      <c r="DE25" s="3" t="str">
        <f>IF(Briefing_FID!DE25="","",Briefing_FID!DE25)</f>
        <v/>
      </c>
      <c r="DF25" s="28" t="str">
        <f>IF(Briefing_FID!DF25="","",Briefing_FID!DF25)</f>
        <v/>
      </c>
      <c r="DG25" s="100" t="str">
        <f>IF(Briefing_FID!DG25="","",Briefing_FID!DG25)</f>
        <v/>
      </c>
      <c r="DH25" s="3" t="str">
        <f>IF(Briefing_FID!DH25="","",Briefing_FID!DH25)</f>
        <v/>
      </c>
      <c r="DI25" s="28" t="str">
        <f>IF(Briefing_FID!DI25="","",Briefing_FID!DI25)</f>
        <v/>
      </c>
      <c r="DJ25" s="100" t="str">
        <f>IF(Briefing_FID!DJ25="","",Briefing_FID!DJ25)</f>
        <v/>
      </c>
      <c r="DK25" s="3" t="str">
        <f>IF(Briefing_FID!DK25="","",Briefing_FID!DK25)</f>
        <v/>
      </c>
      <c r="DL25" s="28" t="str">
        <f>IF(Briefing_FID!DL25="","",Briefing_FID!DL25)</f>
        <v/>
      </c>
      <c r="DM25" s="100" t="str">
        <f>IF(Briefing_FID!DM25="","",Briefing_FID!DM25)</f>
        <v/>
      </c>
      <c r="DN25" s="3" t="str">
        <f>IF(Briefing_FID!DN25="","",Briefing_FID!DN25)</f>
        <v/>
      </c>
      <c r="DO25" s="28" t="str">
        <f>IF(Briefing_FID!DO25="","",Briefing_FID!DO25)</f>
        <v/>
      </c>
      <c r="DP25" s="100" t="str">
        <f>IF(Briefing_FID!DP25="","",Briefing_FID!DP25)</f>
        <v/>
      </c>
      <c r="DQ25" s="3" t="str">
        <f>IF(Briefing_FID!DQ25="","",Briefing_FID!DQ25)</f>
        <v/>
      </c>
      <c r="DR25" s="28" t="str">
        <f>IF(Briefing_FID!DR25="","",Briefing_FID!DR25)</f>
        <v/>
      </c>
      <c r="DS25" s="100" t="str">
        <f>IF(Briefing_FID!DS25="","",Briefing_FID!DS25)</f>
        <v/>
      </c>
      <c r="DT25" s="3" t="str">
        <f>IF(Briefing_FID!DT25="","",Briefing_FID!DT25)</f>
        <v/>
      </c>
      <c r="DU25" s="28" t="str">
        <f>IF(Briefing_FID!DU25="","",Briefing_FID!DU25)</f>
        <v/>
      </c>
      <c r="DV25" s="100" t="str">
        <f>IF(Briefing_FID!DV25="","",Briefing_FID!DV25)</f>
        <v/>
      </c>
      <c r="DW25" s="3" t="str">
        <f>IF(Briefing_FID!DW25="","",Briefing_FID!DW25)</f>
        <v/>
      </c>
      <c r="DX25" s="28" t="str">
        <f>IF(Briefing_FID!DX25="","",Briefing_FID!DX25)</f>
        <v/>
      </c>
      <c r="DY25" s="100" t="str">
        <f>IF(Briefing_FID!DY25="","",Briefing_FID!DY25)</f>
        <v/>
      </c>
      <c r="DZ25" s="3" t="str">
        <f>IF(Briefing_FID!DZ25="","",Briefing_FID!DZ25)</f>
        <v/>
      </c>
      <c r="EA25" s="28" t="str">
        <f>IF(Briefing_FID!EA25="","",Briefing_FID!EA25)</f>
        <v/>
      </c>
      <c r="EB25" s="100" t="str">
        <f>IF(Briefing_FID!EB25="","",Briefing_FID!EB25)</f>
        <v/>
      </c>
      <c r="EC25" s="3" t="str">
        <f>IF(Briefing_FID!EC25="","",Briefing_FID!EC25)</f>
        <v/>
      </c>
      <c r="ED25" s="28" t="str">
        <f>IF(Briefing_FID!ED25="","",Briefing_FID!ED25)</f>
        <v/>
      </c>
      <c r="EE25" s="100" t="str">
        <f>IF(Briefing_FID!EE25="","",Briefing_FID!EE25)</f>
        <v/>
      </c>
      <c r="EF25" s="3" t="str">
        <f>IF(Briefing_FID!EF25="","",Briefing_FID!EF25)</f>
        <v/>
      </c>
      <c r="EG25" s="28" t="str">
        <f>IF(Briefing_FID!EG25="","",Briefing_FID!EG25)</f>
        <v/>
      </c>
      <c r="EH25" s="100" t="str">
        <f>IF(Briefing_FID!EH25="","",Briefing_FID!EH25)</f>
        <v/>
      </c>
      <c r="EI25" s="3" t="str">
        <f>IF(Briefing_FID!EI25="","",Briefing_FID!EI25)</f>
        <v/>
      </c>
      <c r="EJ25" s="28" t="str">
        <f>IF(Briefing_FID!EJ25="","",Briefing_FID!EJ25)</f>
        <v/>
      </c>
      <c r="EK25" s="100" t="str">
        <f>IF(Briefing_FID!EK25="","",Briefing_FID!EK25)</f>
        <v/>
      </c>
      <c r="EL25" s="3" t="str">
        <f>IF(Briefing_FID!EL25="","",Briefing_FID!EL25)</f>
        <v/>
      </c>
      <c r="EM25" s="28" t="str">
        <f>IF(Briefing_FID!EM25="","",Briefing_FID!EM25)</f>
        <v/>
      </c>
      <c r="EN25" s="100" t="str">
        <f>IF(Briefing_FID!EN25="","",Briefing_FID!EN25)</f>
        <v/>
      </c>
      <c r="EO25" s="3" t="str">
        <f>IF(Briefing_FID!EO25="","",Briefing_FID!EO25)</f>
        <v/>
      </c>
      <c r="EP25" s="28" t="str">
        <f>IF(Briefing_FID!EP25="","",Briefing_FID!EP25)</f>
        <v/>
      </c>
      <c r="EQ25" s="28" t="str">
        <f>IF(Briefing_FID!EQ25="","",Briefing_FID!EQ25)</f>
        <v/>
      </c>
      <c r="ER25" s="28" t="str">
        <f>IF(Briefing_FID!ER25="","",Briefing_FID!ER25)</f>
        <v/>
      </c>
      <c r="ES25" s="62"/>
      <c r="ET25" s="96" t="str">
        <f>IF(Briefing_FID!EZ25="","",Briefing_FID!EZ25)</f>
        <v/>
      </c>
      <c r="EU25" s="97" t="str">
        <f>IF(Briefing_FID!FA25="","",Briefing_FID!FA25)</f>
        <v/>
      </c>
      <c r="EV25" s="98" t="str">
        <f>IF(Briefing_FID!FB25="","",Briefing_FID!FB25)</f>
        <v/>
      </c>
      <c r="EW25" s="96" t="str">
        <f>IF(Briefing_FID!FC25="","",Briefing_FID!FC25)</f>
        <v/>
      </c>
      <c r="EX25" s="97" t="str">
        <f>IF(Briefing_FID!FD25="","",Briefing_FID!FD25)</f>
        <v/>
      </c>
      <c r="EY25" s="98" t="str">
        <f>IF(Briefing_FID!FE25="","",Briefing_FID!FE25)</f>
        <v/>
      </c>
      <c r="EZ25" s="104" t="str">
        <f>IF(Briefing_FID!FF25="","",Briefing_FID!FF25)</f>
        <v/>
      </c>
      <c r="FA25" s="144" t="str">
        <f>IF(Briefing_FID!FG25="","",Briefing_FID!FG25)</f>
        <v/>
      </c>
      <c r="FB25" s="144" t="str">
        <f>IF(Briefing_FID!FH25="","",Briefing_FID!FH25)</f>
        <v/>
      </c>
      <c r="FC25" s="144" t="str">
        <f>IF(Briefing_FID!FI25="","",Briefing_FID!FI25)</f>
        <v/>
      </c>
      <c r="FD25" s="144" t="str">
        <f>IF(Briefing_FID!FJ25="","",Briefing_FID!FJ25)</f>
        <v/>
      </c>
      <c r="FE25" s="144" t="str">
        <f>IF(Briefing_FID!FK25="","",Briefing_FID!FK25)</f>
        <v/>
      </c>
      <c r="FF25" s="144" t="str">
        <f>IF(Briefing_FID!FL25="","",Briefing_FID!FL25)</f>
        <v/>
      </c>
      <c r="FG25" s="144" t="str">
        <f>IF(Briefing_FID!FM25="","",Briefing_FID!FM25)</f>
        <v/>
      </c>
      <c r="FH25" s="144" t="str">
        <f>IF(Briefing_FID!FN25="","",Briefing_FID!FN25)</f>
        <v/>
      </c>
      <c r="FI25" s="144" t="str">
        <f>IF(Briefing_FID!FO25="","",Briefing_FID!FO25)</f>
        <v/>
      </c>
      <c r="FJ25" s="144" t="str">
        <f>IF(Briefing_FID!FP25="","",Briefing_FID!FP25)</f>
        <v/>
      </c>
      <c r="FK25" s="144" t="str">
        <f>IF(Briefing_FID!FQ25="","",Briefing_FID!FQ25)</f>
        <v/>
      </c>
      <c r="FL25" s="144" t="str">
        <f>IF(Briefing_FID!FR25="","",Briefing_FID!FR25)</f>
        <v/>
      </c>
      <c r="FM25" s="144" t="str">
        <f>IF(Briefing_FID!FS25="","",Briefing_FID!FS25)</f>
        <v/>
      </c>
      <c r="FN25" s="144" t="str">
        <f>IF(Briefing_FID!FT25="","",Briefing_FID!FT25)</f>
        <v/>
      </c>
      <c r="FO25" s="144" t="str">
        <f>IF(Briefing_FID!FU25="","",Briefing_FID!FU25)</f>
        <v/>
      </c>
      <c r="FP25" s="144" t="str">
        <f>IF(Briefing_FID!FV25="","",Briefing_FID!FV25)</f>
        <v/>
      </c>
      <c r="FQ25" s="144" t="str">
        <f>IF(Briefing_FID!FW25="","",Briefing_FID!FW25)</f>
        <v/>
      </c>
      <c r="FR25" s="151"/>
      <c r="FS25" s="152"/>
      <c r="FT25" s="152"/>
      <c r="FU25" s="152"/>
      <c r="FV25" s="152"/>
      <c r="FW25" s="152"/>
      <c r="FX25" s="152"/>
      <c r="FY25" s="152"/>
      <c r="FZ25" s="152"/>
      <c r="GA25" s="153"/>
    </row>
    <row r="26" spans="1:183">
      <c r="A26" s="136" t="str">
        <f>IF(Briefing_FID!A26="","",Briefing_FID!A26)</f>
        <v/>
      </c>
      <c r="B26" s="137" t="str">
        <f>IF(Briefing_FID!B26="","",Briefing_FID!B26)</f>
        <v/>
      </c>
      <c r="C26" s="137" t="str">
        <f>IF(Briefing_FID!C26="","",Briefing_FID!C26)</f>
        <v/>
      </c>
      <c r="D26" s="46"/>
      <c r="E26" s="120"/>
      <c r="F26" s="117"/>
      <c r="G26" s="117"/>
      <c r="H26" s="72"/>
      <c r="I26" s="72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23"/>
      <c r="AD26" s="117"/>
      <c r="AE26" s="117"/>
      <c r="AF26" s="117"/>
      <c r="AG26" s="117"/>
      <c r="AH26" s="117"/>
      <c r="AI26" s="117"/>
      <c r="AJ26" s="117"/>
      <c r="AK26" s="117"/>
      <c r="AL26" s="124"/>
      <c r="AM26" s="37"/>
      <c r="AN26" s="38"/>
      <c r="AO26" s="39"/>
      <c r="AP26" s="111" t="str">
        <f>IF(Briefing_FID!AP26="","",Briefing_FID!AP26)</f>
        <v/>
      </c>
      <c r="AQ26" s="112" t="str">
        <f>IF(Briefing_FID!AQ26="","",Briefing_FID!AQ26)</f>
        <v/>
      </c>
      <c r="AR26" s="107" t="str">
        <f>IF(Briefing_FID!AR26="","",Briefing_FID!AR26)</f>
        <v/>
      </c>
      <c r="AS26" s="108" t="str">
        <f>IF(Briefing_FID!AS26="","",Briefing_FID!AS26)</f>
        <v/>
      </c>
      <c r="AT26" s="113" t="str">
        <f>IF(Briefing_FID!AT26="","",Briefing_FID!AT26)</f>
        <v/>
      </c>
      <c r="AU26" s="113" t="str">
        <f>IF(Briefing_FID!AU26="","",Briefing_FID!AU26)</f>
        <v/>
      </c>
      <c r="AV26" s="113" t="str">
        <f>IF(Briefing_FID!AV26="","",Briefing_FID!AV26)</f>
        <v/>
      </c>
      <c r="AW26" s="113" t="str">
        <f>IF(Briefing_FID!AW26="","",Briefing_FID!AW26)</f>
        <v/>
      </c>
      <c r="AX26" s="114" t="str">
        <f>IF(Briefing_FID!AX26="","",Briefing_FID!AX26)</f>
        <v/>
      </c>
      <c r="AY26" s="71"/>
      <c r="AZ26" s="117" t="str">
        <f>IF(Briefing_FID!AZ26="","",Briefing_FID!AZ26)</f>
        <v/>
      </c>
      <c r="BA26" s="118" t="str">
        <f>IF(Briefing_FID!BA26="","",Briefing_FID!BA26)</f>
        <v/>
      </c>
      <c r="BB26" s="55"/>
      <c r="BC26" s="102" t="str">
        <f>IF(Briefing_FID!BC26="","",Briefing_FID!BC26)</f>
        <v/>
      </c>
      <c r="BD26" s="27" t="str">
        <f>IF(Briefing_FID!BD26="","",Briefing_FID!BD26)</f>
        <v/>
      </c>
      <c r="BE26" s="100" t="str">
        <f>IF(Briefing_FID!BE26="","",Briefing_FID!BE26)</f>
        <v/>
      </c>
      <c r="BF26" s="3" t="str">
        <f>IF(Briefing_FID!BF26="","",Briefing_FID!BF26)</f>
        <v/>
      </c>
      <c r="BG26" s="10" t="str">
        <f>IF(Briefing_FID!BG26="","",Briefing_FID!BG26)</f>
        <v/>
      </c>
      <c r="BH26" s="100" t="str">
        <f>IF(Briefing_FID!BH26="","",Briefing_FID!BH26)</f>
        <v/>
      </c>
      <c r="BI26" s="3" t="str">
        <f>IF(Briefing_FID!BI26="","",Briefing_FID!BI26)</f>
        <v/>
      </c>
      <c r="BJ26" s="10" t="str">
        <f>IF(Briefing_FID!BJ26="","",Briefing_FID!BJ26)</f>
        <v/>
      </c>
      <c r="BK26" s="100" t="str">
        <f>IF(Briefing_FID!BK26="","",Briefing_FID!BK26)</f>
        <v/>
      </c>
      <c r="BL26" s="3" t="str">
        <f>IF(Briefing_FID!BL26="","",Briefing_FID!BL26)</f>
        <v/>
      </c>
      <c r="BM26" s="28" t="str">
        <f>IF(Briefing_FID!BM26="","",Briefing_FID!BM26)</f>
        <v/>
      </c>
      <c r="BN26" s="100" t="str">
        <f>IF(Briefing_FID!BN26="","",Briefing_FID!BN26)</f>
        <v/>
      </c>
      <c r="BO26" s="3" t="str">
        <f>IF(Briefing_FID!BO26="","",Briefing_FID!BO26)</f>
        <v/>
      </c>
      <c r="BP26" s="28" t="str">
        <f>IF(Briefing_FID!BP26="","",Briefing_FID!BP26)</f>
        <v/>
      </c>
      <c r="BQ26" s="100" t="str">
        <f>IF(Briefing_FID!BQ26="","",Briefing_FID!BQ26)</f>
        <v/>
      </c>
      <c r="BR26" s="3" t="str">
        <f>IF(Briefing_FID!BR26="","",Briefing_FID!BR26)</f>
        <v/>
      </c>
      <c r="BS26" s="28" t="str">
        <f>IF(Briefing_FID!BS26="","",Briefing_FID!BS26)</f>
        <v/>
      </c>
      <c r="BT26" s="100" t="str">
        <f>IF(Briefing_FID!BT26="","",Briefing_FID!BT26)</f>
        <v/>
      </c>
      <c r="BU26" s="3" t="str">
        <f>IF(Briefing_FID!BU26="","",Briefing_FID!BU26)</f>
        <v/>
      </c>
      <c r="BV26" s="28" t="str">
        <f>IF(Briefing_FID!BV26="","",Briefing_FID!BV26)</f>
        <v/>
      </c>
      <c r="BW26" s="100" t="str">
        <f>IF(Briefing_FID!BW26="","",Briefing_FID!BW26)</f>
        <v/>
      </c>
      <c r="BX26" s="3" t="str">
        <f>IF(Briefing_FID!BX26="","",Briefing_FID!BX26)</f>
        <v/>
      </c>
      <c r="BY26" s="28" t="str">
        <f>IF(Briefing_FID!BY26="","",Briefing_FID!BY26)</f>
        <v/>
      </c>
      <c r="BZ26" s="100" t="str">
        <f>IF(Briefing_FID!BZ26="","",Briefing_FID!BZ26)</f>
        <v/>
      </c>
      <c r="CA26" s="3" t="str">
        <f>IF(Briefing_FID!CA26="","",Briefing_FID!CA26)</f>
        <v/>
      </c>
      <c r="CB26" s="28" t="str">
        <f>IF(Briefing_FID!CB26="","",Briefing_FID!CB26)</f>
        <v/>
      </c>
      <c r="CC26" s="100" t="str">
        <f>IF(Briefing_FID!CC26="","",Briefing_FID!CC26)</f>
        <v/>
      </c>
      <c r="CD26" s="3" t="str">
        <f>IF(Briefing_FID!CD26="","",Briefing_FID!CD26)</f>
        <v/>
      </c>
      <c r="CE26" s="28" t="str">
        <f>IF(Briefing_FID!CE26="","",Briefing_FID!CE26)</f>
        <v/>
      </c>
      <c r="CF26" s="100" t="str">
        <f>IF(Briefing_FID!CF26="","",Briefing_FID!CF26)</f>
        <v/>
      </c>
      <c r="CG26" s="3" t="str">
        <f>IF(Briefing_FID!CG26="","",Briefing_FID!CG26)</f>
        <v/>
      </c>
      <c r="CH26" s="28" t="str">
        <f>IF(Briefing_FID!CH26="","",Briefing_FID!CH26)</f>
        <v/>
      </c>
      <c r="CI26" s="100" t="str">
        <f>IF(Briefing_FID!CI26="","",Briefing_FID!CI26)</f>
        <v/>
      </c>
      <c r="CJ26" s="3" t="str">
        <f>IF(Briefing_FID!CJ26="","",Briefing_FID!CJ26)</f>
        <v/>
      </c>
      <c r="CK26" s="28" t="str">
        <f>IF(Briefing_FID!CK26="","",Briefing_FID!CK26)</f>
        <v/>
      </c>
      <c r="CL26" s="100" t="str">
        <f>IF(Briefing_FID!CL26="","",Briefing_FID!CL26)</f>
        <v/>
      </c>
      <c r="CM26" s="3" t="str">
        <f>IF(Briefing_FID!CM26="","",Briefing_FID!CM26)</f>
        <v/>
      </c>
      <c r="CN26" s="28" t="str">
        <f>IF(Briefing_FID!CN26="","",Briefing_FID!CN26)</f>
        <v/>
      </c>
      <c r="CO26" s="100" t="str">
        <f>IF(Briefing_FID!CO26="","",Briefing_FID!CO26)</f>
        <v/>
      </c>
      <c r="CP26" s="3" t="str">
        <f>IF(Briefing_FID!CP26="","",Briefing_FID!CP26)</f>
        <v/>
      </c>
      <c r="CQ26" s="28" t="str">
        <f>IF(Briefing_FID!CQ26="","",Briefing_FID!CQ26)</f>
        <v/>
      </c>
      <c r="CR26" s="100" t="str">
        <f>IF(Briefing_FID!CR26="","",Briefing_FID!CR26)</f>
        <v/>
      </c>
      <c r="CS26" s="3" t="str">
        <f>IF(Briefing_FID!CS26="","",Briefing_FID!CS26)</f>
        <v/>
      </c>
      <c r="CT26" s="28" t="str">
        <f>IF(Briefing_FID!CT26="","",Briefing_FID!CT26)</f>
        <v/>
      </c>
      <c r="CU26" s="100" t="str">
        <f>IF(Briefing_FID!CU26="","",Briefing_FID!CU26)</f>
        <v/>
      </c>
      <c r="CV26" s="3" t="str">
        <f>IF(Briefing_FID!CV26="","",Briefing_FID!CV26)</f>
        <v/>
      </c>
      <c r="CW26" s="28" t="str">
        <f>IF(Briefing_FID!CW26="","",Briefing_FID!CW26)</f>
        <v/>
      </c>
      <c r="CX26" s="100" t="str">
        <f>IF(Briefing_FID!CX26="","",Briefing_FID!CX26)</f>
        <v/>
      </c>
      <c r="CY26" s="3" t="str">
        <f>IF(Briefing_FID!CY26="","",Briefing_FID!CY26)</f>
        <v/>
      </c>
      <c r="CZ26" s="28" t="str">
        <f>IF(Briefing_FID!CZ26="","",Briefing_FID!CZ26)</f>
        <v/>
      </c>
      <c r="DA26" s="100" t="str">
        <f>IF(Briefing_FID!DA26="","",Briefing_FID!DA26)</f>
        <v/>
      </c>
      <c r="DB26" s="3" t="str">
        <f>IF(Briefing_FID!DB26="","",Briefing_FID!DB26)</f>
        <v/>
      </c>
      <c r="DC26" s="28" t="str">
        <f>IF(Briefing_FID!DC26="","",Briefing_FID!DC26)</f>
        <v/>
      </c>
      <c r="DD26" s="100" t="str">
        <f>IF(Briefing_FID!DD26="","",Briefing_FID!DD26)</f>
        <v/>
      </c>
      <c r="DE26" s="3" t="str">
        <f>IF(Briefing_FID!DE26="","",Briefing_FID!DE26)</f>
        <v/>
      </c>
      <c r="DF26" s="28" t="str">
        <f>IF(Briefing_FID!DF26="","",Briefing_FID!DF26)</f>
        <v/>
      </c>
      <c r="DG26" s="100" t="str">
        <f>IF(Briefing_FID!DG26="","",Briefing_FID!DG26)</f>
        <v/>
      </c>
      <c r="DH26" s="3" t="str">
        <f>IF(Briefing_FID!DH26="","",Briefing_FID!DH26)</f>
        <v/>
      </c>
      <c r="DI26" s="28" t="str">
        <f>IF(Briefing_FID!DI26="","",Briefing_FID!DI26)</f>
        <v/>
      </c>
      <c r="DJ26" s="100" t="str">
        <f>IF(Briefing_FID!DJ26="","",Briefing_FID!DJ26)</f>
        <v/>
      </c>
      <c r="DK26" s="3" t="str">
        <f>IF(Briefing_FID!DK26="","",Briefing_FID!DK26)</f>
        <v/>
      </c>
      <c r="DL26" s="28" t="str">
        <f>IF(Briefing_FID!DL26="","",Briefing_FID!DL26)</f>
        <v/>
      </c>
      <c r="DM26" s="100" t="str">
        <f>IF(Briefing_FID!DM26="","",Briefing_FID!DM26)</f>
        <v/>
      </c>
      <c r="DN26" s="3" t="str">
        <f>IF(Briefing_FID!DN26="","",Briefing_FID!DN26)</f>
        <v/>
      </c>
      <c r="DO26" s="28" t="str">
        <f>IF(Briefing_FID!DO26="","",Briefing_FID!DO26)</f>
        <v/>
      </c>
      <c r="DP26" s="100" t="str">
        <f>IF(Briefing_FID!DP26="","",Briefing_FID!DP26)</f>
        <v/>
      </c>
      <c r="DQ26" s="3" t="str">
        <f>IF(Briefing_FID!DQ26="","",Briefing_FID!DQ26)</f>
        <v/>
      </c>
      <c r="DR26" s="28" t="str">
        <f>IF(Briefing_FID!DR26="","",Briefing_FID!DR26)</f>
        <v/>
      </c>
      <c r="DS26" s="100" t="str">
        <f>IF(Briefing_FID!DS26="","",Briefing_FID!DS26)</f>
        <v/>
      </c>
      <c r="DT26" s="3" t="str">
        <f>IF(Briefing_FID!DT26="","",Briefing_FID!DT26)</f>
        <v/>
      </c>
      <c r="DU26" s="28" t="str">
        <f>IF(Briefing_FID!DU26="","",Briefing_FID!DU26)</f>
        <v/>
      </c>
      <c r="DV26" s="100" t="str">
        <f>IF(Briefing_FID!DV26="","",Briefing_FID!DV26)</f>
        <v/>
      </c>
      <c r="DW26" s="3" t="str">
        <f>IF(Briefing_FID!DW26="","",Briefing_FID!DW26)</f>
        <v/>
      </c>
      <c r="DX26" s="28" t="str">
        <f>IF(Briefing_FID!DX26="","",Briefing_FID!DX26)</f>
        <v/>
      </c>
      <c r="DY26" s="100" t="str">
        <f>IF(Briefing_FID!DY26="","",Briefing_FID!DY26)</f>
        <v/>
      </c>
      <c r="DZ26" s="3" t="str">
        <f>IF(Briefing_FID!DZ26="","",Briefing_FID!DZ26)</f>
        <v/>
      </c>
      <c r="EA26" s="28" t="str">
        <f>IF(Briefing_FID!EA26="","",Briefing_FID!EA26)</f>
        <v/>
      </c>
      <c r="EB26" s="100" t="str">
        <f>IF(Briefing_FID!EB26="","",Briefing_FID!EB26)</f>
        <v/>
      </c>
      <c r="EC26" s="3" t="str">
        <f>IF(Briefing_FID!EC26="","",Briefing_FID!EC26)</f>
        <v/>
      </c>
      <c r="ED26" s="28" t="str">
        <f>IF(Briefing_FID!ED26="","",Briefing_FID!ED26)</f>
        <v/>
      </c>
      <c r="EE26" s="100" t="str">
        <f>IF(Briefing_FID!EE26="","",Briefing_FID!EE26)</f>
        <v/>
      </c>
      <c r="EF26" s="3" t="str">
        <f>IF(Briefing_FID!EF26="","",Briefing_FID!EF26)</f>
        <v/>
      </c>
      <c r="EG26" s="28" t="str">
        <f>IF(Briefing_FID!EG26="","",Briefing_FID!EG26)</f>
        <v/>
      </c>
      <c r="EH26" s="100" t="str">
        <f>IF(Briefing_FID!EH26="","",Briefing_FID!EH26)</f>
        <v/>
      </c>
      <c r="EI26" s="3" t="str">
        <f>IF(Briefing_FID!EI26="","",Briefing_FID!EI26)</f>
        <v/>
      </c>
      <c r="EJ26" s="28" t="str">
        <f>IF(Briefing_FID!EJ26="","",Briefing_FID!EJ26)</f>
        <v/>
      </c>
      <c r="EK26" s="100" t="str">
        <f>IF(Briefing_FID!EK26="","",Briefing_FID!EK26)</f>
        <v/>
      </c>
      <c r="EL26" s="3" t="str">
        <f>IF(Briefing_FID!EL26="","",Briefing_FID!EL26)</f>
        <v/>
      </c>
      <c r="EM26" s="28" t="str">
        <f>IF(Briefing_FID!EM26="","",Briefing_FID!EM26)</f>
        <v/>
      </c>
      <c r="EN26" s="100" t="str">
        <f>IF(Briefing_FID!EN26="","",Briefing_FID!EN26)</f>
        <v/>
      </c>
      <c r="EO26" s="3" t="str">
        <f>IF(Briefing_FID!EO26="","",Briefing_FID!EO26)</f>
        <v/>
      </c>
      <c r="EP26" s="28" t="str">
        <f>IF(Briefing_FID!EP26="","",Briefing_FID!EP26)</f>
        <v/>
      </c>
      <c r="EQ26" s="28" t="str">
        <f>IF(Briefing_FID!EQ26="","",Briefing_FID!EQ26)</f>
        <v/>
      </c>
      <c r="ER26" s="28" t="str">
        <f>IF(Briefing_FID!ER26="","",Briefing_FID!ER26)</f>
        <v/>
      </c>
      <c r="ES26" s="62"/>
      <c r="ET26" s="96" t="str">
        <f>IF(Briefing_FID!EZ26="","",Briefing_FID!EZ26)</f>
        <v/>
      </c>
      <c r="EU26" s="97" t="str">
        <f>IF(Briefing_FID!FA26="","",Briefing_FID!FA26)</f>
        <v/>
      </c>
      <c r="EV26" s="98" t="str">
        <f>IF(Briefing_FID!FB26="","",Briefing_FID!FB26)</f>
        <v/>
      </c>
      <c r="EW26" s="96" t="str">
        <f>IF(Briefing_FID!FC26="","",Briefing_FID!FC26)</f>
        <v/>
      </c>
      <c r="EX26" s="97" t="str">
        <f>IF(Briefing_FID!FD26="","",Briefing_FID!FD26)</f>
        <v/>
      </c>
      <c r="EY26" s="98" t="str">
        <f>IF(Briefing_FID!FE26="","",Briefing_FID!FE26)</f>
        <v/>
      </c>
      <c r="EZ26" s="104" t="str">
        <f>IF(Briefing_FID!FF26="","",Briefing_FID!FF26)</f>
        <v/>
      </c>
      <c r="FA26" s="144" t="str">
        <f>IF(Briefing_FID!FG26="","",Briefing_FID!FG26)</f>
        <v/>
      </c>
      <c r="FB26" s="144" t="str">
        <f>IF(Briefing_FID!FH26="","",Briefing_FID!FH26)</f>
        <v/>
      </c>
      <c r="FC26" s="144" t="str">
        <f>IF(Briefing_FID!FI26="","",Briefing_FID!FI26)</f>
        <v/>
      </c>
      <c r="FD26" s="144" t="str">
        <f>IF(Briefing_FID!FJ26="","",Briefing_FID!FJ26)</f>
        <v/>
      </c>
      <c r="FE26" s="144" t="str">
        <f>IF(Briefing_FID!FK26="","",Briefing_FID!FK26)</f>
        <v/>
      </c>
      <c r="FF26" s="144" t="str">
        <f>IF(Briefing_FID!FL26="","",Briefing_FID!FL26)</f>
        <v/>
      </c>
      <c r="FG26" s="144" t="str">
        <f>IF(Briefing_FID!FM26="","",Briefing_FID!FM26)</f>
        <v/>
      </c>
      <c r="FH26" s="144" t="str">
        <f>IF(Briefing_FID!FN26="","",Briefing_FID!FN26)</f>
        <v/>
      </c>
      <c r="FI26" s="144" t="str">
        <f>IF(Briefing_FID!FO26="","",Briefing_FID!FO26)</f>
        <v/>
      </c>
      <c r="FJ26" s="144" t="str">
        <f>IF(Briefing_FID!FP26="","",Briefing_FID!FP26)</f>
        <v/>
      </c>
      <c r="FK26" s="144" t="str">
        <f>IF(Briefing_FID!FQ26="","",Briefing_FID!FQ26)</f>
        <v/>
      </c>
      <c r="FL26" s="144" t="str">
        <f>IF(Briefing_FID!FR26="","",Briefing_FID!FR26)</f>
        <v/>
      </c>
      <c r="FM26" s="144" t="str">
        <f>IF(Briefing_FID!FS26="","",Briefing_FID!FS26)</f>
        <v/>
      </c>
      <c r="FN26" s="144" t="str">
        <f>IF(Briefing_FID!FT26="","",Briefing_FID!FT26)</f>
        <v/>
      </c>
      <c r="FO26" s="144" t="str">
        <f>IF(Briefing_FID!FU26="","",Briefing_FID!FU26)</f>
        <v/>
      </c>
      <c r="FP26" s="144" t="str">
        <f>IF(Briefing_FID!FV26="","",Briefing_FID!FV26)</f>
        <v/>
      </c>
      <c r="FQ26" s="144" t="str">
        <f>IF(Briefing_FID!FW26="","",Briefing_FID!FW26)</f>
        <v/>
      </c>
      <c r="FR26" s="151"/>
      <c r="FS26" s="152"/>
      <c r="FT26" s="152"/>
      <c r="FU26" s="152"/>
      <c r="FV26" s="152"/>
      <c r="FW26" s="152"/>
      <c r="FX26" s="152"/>
      <c r="FY26" s="152"/>
      <c r="FZ26" s="152"/>
      <c r="GA26" s="153"/>
    </row>
    <row r="27" spans="1:183">
      <c r="A27" s="136" t="str">
        <f>IF(Briefing_FID!A27="","",Briefing_FID!A27)</f>
        <v/>
      </c>
      <c r="B27" s="137" t="str">
        <f>IF(Briefing_FID!B27="","",Briefing_FID!B27)</f>
        <v/>
      </c>
      <c r="C27" s="137" t="str">
        <f>IF(Briefing_FID!C27="","",Briefing_FID!C27)</f>
        <v/>
      </c>
      <c r="D27" s="46"/>
      <c r="E27" s="120"/>
      <c r="F27" s="117"/>
      <c r="G27" s="117"/>
      <c r="H27" s="72"/>
      <c r="I27" s="72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23"/>
      <c r="AD27" s="117"/>
      <c r="AE27" s="117"/>
      <c r="AF27" s="117"/>
      <c r="AG27" s="117"/>
      <c r="AH27" s="117"/>
      <c r="AI27" s="117"/>
      <c r="AJ27" s="117"/>
      <c r="AK27" s="117"/>
      <c r="AL27" s="124"/>
      <c r="AM27" s="37"/>
      <c r="AN27" s="38"/>
      <c r="AO27" s="39"/>
      <c r="AP27" s="111" t="str">
        <f>IF(Briefing_FID!AP27="","",Briefing_FID!AP27)</f>
        <v/>
      </c>
      <c r="AQ27" s="112" t="str">
        <f>IF(Briefing_FID!AQ27="","",Briefing_FID!AQ27)</f>
        <v/>
      </c>
      <c r="AR27" s="107" t="str">
        <f>IF(Briefing_FID!AR27="","",Briefing_FID!AR27)</f>
        <v/>
      </c>
      <c r="AS27" s="108" t="str">
        <f>IF(Briefing_FID!AS27="","",Briefing_FID!AS27)</f>
        <v/>
      </c>
      <c r="AT27" s="113" t="str">
        <f>IF(Briefing_FID!AT27="","",Briefing_FID!AT27)</f>
        <v/>
      </c>
      <c r="AU27" s="113" t="str">
        <f>IF(Briefing_FID!AU27="","",Briefing_FID!AU27)</f>
        <v/>
      </c>
      <c r="AV27" s="113" t="str">
        <f>IF(Briefing_FID!AV27="","",Briefing_FID!AV27)</f>
        <v/>
      </c>
      <c r="AW27" s="113" t="str">
        <f>IF(Briefing_FID!AW27="","",Briefing_FID!AW27)</f>
        <v/>
      </c>
      <c r="AX27" s="114" t="str">
        <f>IF(Briefing_FID!AX27="","",Briefing_FID!AX27)</f>
        <v/>
      </c>
      <c r="AY27" s="71"/>
      <c r="AZ27" s="117" t="str">
        <f>IF(Briefing_FID!AZ27="","",Briefing_FID!AZ27)</f>
        <v/>
      </c>
      <c r="BA27" s="118" t="str">
        <f>IF(Briefing_FID!BA27="","",Briefing_FID!BA27)</f>
        <v/>
      </c>
      <c r="BB27" s="55"/>
      <c r="BC27" s="102" t="str">
        <f>IF(Briefing_FID!BC27="","",Briefing_FID!BC27)</f>
        <v/>
      </c>
      <c r="BD27" s="27" t="str">
        <f>IF(Briefing_FID!BD27="","",Briefing_FID!BD27)</f>
        <v/>
      </c>
      <c r="BE27" s="100" t="str">
        <f>IF(Briefing_FID!BE27="","",Briefing_FID!BE27)</f>
        <v/>
      </c>
      <c r="BF27" s="3" t="str">
        <f>IF(Briefing_FID!BF27="","",Briefing_FID!BF27)</f>
        <v/>
      </c>
      <c r="BG27" s="10" t="str">
        <f>IF(Briefing_FID!BG27="","",Briefing_FID!BG27)</f>
        <v/>
      </c>
      <c r="BH27" s="100" t="str">
        <f>IF(Briefing_FID!BH27="","",Briefing_FID!BH27)</f>
        <v/>
      </c>
      <c r="BI27" s="3" t="str">
        <f>IF(Briefing_FID!BI27="","",Briefing_FID!BI27)</f>
        <v/>
      </c>
      <c r="BJ27" s="10" t="str">
        <f>IF(Briefing_FID!BJ27="","",Briefing_FID!BJ27)</f>
        <v/>
      </c>
      <c r="BK27" s="100" t="str">
        <f>IF(Briefing_FID!BK27="","",Briefing_FID!BK27)</f>
        <v/>
      </c>
      <c r="BL27" s="3" t="str">
        <f>IF(Briefing_FID!BL27="","",Briefing_FID!BL27)</f>
        <v/>
      </c>
      <c r="BM27" s="28" t="str">
        <f>IF(Briefing_FID!BM27="","",Briefing_FID!BM27)</f>
        <v/>
      </c>
      <c r="BN27" s="100" t="str">
        <f>IF(Briefing_FID!BN27="","",Briefing_FID!BN27)</f>
        <v/>
      </c>
      <c r="BO27" s="3" t="str">
        <f>IF(Briefing_FID!BO27="","",Briefing_FID!BO27)</f>
        <v/>
      </c>
      <c r="BP27" s="28" t="str">
        <f>IF(Briefing_FID!BP27="","",Briefing_FID!BP27)</f>
        <v/>
      </c>
      <c r="BQ27" s="100" t="str">
        <f>IF(Briefing_FID!BQ27="","",Briefing_FID!BQ27)</f>
        <v/>
      </c>
      <c r="BR27" s="3" t="str">
        <f>IF(Briefing_FID!BR27="","",Briefing_FID!BR27)</f>
        <v/>
      </c>
      <c r="BS27" s="28" t="str">
        <f>IF(Briefing_FID!BS27="","",Briefing_FID!BS27)</f>
        <v/>
      </c>
      <c r="BT27" s="100" t="str">
        <f>IF(Briefing_FID!BT27="","",Briefing_FID!BT27)</f>
        <v/>
      </c>
      <c r="BU27" s="3" t="str">
        <f>IF(Briefing_FID!BU27="","",Briefing_FID!BU27)</f>
        <v/>
      </c>
      <c r="BV27" s="28" t="str">
        <f>IF(Briefing_FID!BV27="","",Briefing_FID!BV27)</f>
        <v/>
      </c>
      <c r="BW27" s="100" t="str">
        <f>IF(Briefing_FID!BW27="","",Briefing_FID!BW27)</f>
        <v/>
      </c>
      <c r="BX27" s="3" t="str">
        <f>IF(Briefing_FID!BX27="","",Briefing_FID!BX27)</f>
        <v/>
      </c>
      <c r="BY27" s="28" t="str">
        <f>IF(Briefing_FID!BY27="","",Briefing_FID!BY27)</f>
        <v/>
      </c>
      <c r="BZ27" s="100" t="str">
        <f>IF(Briefing_FID!BZ27="","",Briefing_FID!BZ27)</f>
        <v/>
      </c>
      <c r="CA27" s="3" t="str">
        <f>IF(Briefing_FID!CA27="","",Briefing_FID!CA27)</f>
        <v/>
      </c>
      <c r="CB27" s="28" t="str">
        <f>IF(Briefing_FID!CB27="","",Briefing_FID!CB27)</f>
        <v/>
      </c>
      <c r="CC27" s="100" t="str">
        <f>IF(Briefing_FID!CC27="","",Briefing_FID!CC27)</f>
        <v/>
      </c>
      <c r="CD27" s="3" t="str">
        <f>IF(Briefing_FID!CD27="","",Briefing_FID!CD27)</f>
        <v/>
      </c>
      <c r="CE27" s="28" t="str">
        <f>IF(Briefing_FID!CE27="","",Briefing_FID!CE27)</f>
        <v/>
      </c>
      <c r="CF27" s="100" t="str">
        <f>IF(Briefing_FID!CF27="","",Briefing_FID!CF27)</f>
        <v/>
      </c>
      <c r="CG27" s="3" t="str">
        <f>IF(Briefing_FID!CG27="","",Briefing_FID!CG27)</f>
        <v/>
      </c>
      <c r="CH27" s="28" t="str">
        <f>IF(Briefing_FID!CH27="","",Briefing_FID!CH27)</f>
        <v/>
      </c>
      <c r="CI27" s="100" t="str">
        <f>IF(Briefing_FID!CI27="","",Briefing_FID!CI27)</f>
        <v/>
      </c>
      <c r="CJ27" s="3" t="str">
        <f>IF(Briefing_FID!CJ27="","",Briefing_FID!CJ27)</f>
        <v/>
      </c>
      <c r="CK27" s="28" t="str">
        <f>IF(Briefing_FID!CK27="","",Briefing_FID!CK27)</f>
        <v/>
      </c>
      <c r="CL27" s="100" t="str">
        <f>IF(Briefing_FID!CL27="","",Briefing_FID!CL27)</f>
        <v/>
      </c>
      <c r="CM27" s="3" t="str">
        <f>IF(Briefing_FID!CM27="","",Briefing_FID!CM27)</f>
        <v/>
      </c>
      <c r="CN27" s="28" t="str">
        <f>IF(Briefing_FID!CN27="","",Briefing_FID!CN27)</f>
        <v/>
      </c>
      <c r="CO27" s="100" t="str">
        <f>IF(Briefing_FID!CO27="","",Briefing_FID!CO27)</f>
        <v/>
      </c>
      <c r="CP27" s="3" t="str">
        <f>IF(Briefing_FID!CP27="","",Briefing_FID!CP27)</f>
        <v/>
      </c>
      <c r="CQ27" s="28" t="str">
        <f>IF(Briefing_FID!CQ27="","",Briefing_FID!CQ27)</f>
        <v/>
      </c>
      <c r="CR27" s="100" t="str">
        <f>IF(Briefing_FID!CR27="","",Briefing_FID!CR27)</f>
        <v/>
      </c>
      <c r="CS27" s="3" t="str">
        <f>IF(Briefing_FID!CS27="","",Briefing_FID!CS27)</f>
        <v/>
      </c>
      <c r="CT27" s="28" t="str">
        <f>IF(Briefing_FID!CT27="","",Briefing_FID!CT27)</f>
        <v/>
      </c>
      <c r="CU27" s="100" t="str">
        <f>IF(Briefing_FID!CU27="","",Briefing_FID!CU27)</f>
        <v/>
      </c>
      <c r="CV27" s="3" t="str">
        <f>IF(Briefing_FID!CV27="","",Briefing_FID!CV27)</f>
        <v/>
      </c>
      <c r="CW27" s="28" t="str">
        <f>IF(Briefing_FID!CW27="","",Briefing_FID!CW27)</f>
        <v/>
      </c>
      <c r="CX27" s="100" t="str">
        <f>IF(Briefing_FID!CX27="","",Briefing_FID!CX27)</f>
        <v/>
      </c>
      <c r="CY27" s="3" t="str">
        <f>IF(Briefing_FID!CY27="","",Briefing_FID!CY27)</f>
        <v/>
      </c>
      <c r="CZ27" s="28" t="str">
        <f>IF(Briefing_FID!CZ27="","",Briefing_FID!CZ27)</f>
        <v/>
      </c>
      <c r="DA27" s="100" t="str">
        <f>IF(Briefing_FID!DA27="","",Briefing_FID!DA27)</f>
        <v/>
      </c>
      <c r="DB27" s="3" t="str">
        <f>IF(Briefing_FID!DB27="","",Briefing_FID!DB27)</f>
        <v/>
      </c>
      <c r="DC27" s="28" t="str">
        <f>IF(Briefing_FID!DC27="","",Briefing_FID!DC27)</f>
        <v/>
      </c>
      <c r="DD27" s="100" t="str">
        <f>IF(Briefing_FID!DD27="","",Briefing_FID!DD27)</f>
        <v/>
      </c>
      <c r="DE27" s="3" t="str">
        <f>IF(Briefing_FID!DE27="","",Briefing_FID!DE27)</f>
        <v/>
      </c>
      <c r="DF27" s="28" t="str">
        <f>IF(Briefing_FID!DF27="","",Briefing_FID!DF27)</f>
        <v/>
      </c>
      <c r="DG27" s="100" t="str">
        <f>IF(Briefing_FID!DG27="","",Briefing_FID!DG27)</f>
        <v/>
      </c>
      <c r="DH27" s="3" t="str">
        <f>IF(Briefing_FID!DH27="","",Briefing_FID!DH27)</f>
        <v/>
      </c>
      <c r="DI27" s="28" t="str">
        <f>IF(Briefing_FID!DI27="","",Briefing_FID!DI27)</f>
        <v/>
      </c>
      <c r="DJ27" s="100" t="str">
        <f>IF(Briefing_FID!DJ27="","",Briefing_FID!DJ27)</f>
        <v/>
      </c>
      <c r="DK27" s="3" t="str">
        <f>IF(Briefing_FID!DK27="","",Briefing_FID!DK27)</f>
        <v/>
      </c>
      <c r="DL27" s="28" t="str">
        <f>IF(Briefing_FID!DL27="","",Briefing_FID!DL27)</f>
        <v/>
      </c>
      <c r="DM27" s="100" t="str">
        <f>IF(Briefing_FID!DM27="","",Briefing_FID!DM27)</f>
        <v/>
      </c>
      <c r="DN27" s="3" t="str">
        <f>IF(Briefing_FID!DN27="","",Briefing_FID!DN27)</f>
        <v/>
      </c>
      <c r="DO27" s="28" t="str">
        <f>IF(Briefing_FID!DO27="","",Briefing_FID!DO27)</f>
        <v/>
      </c>
      <c r="DP27" s="100" t="str">
        <f>IF(Briefing_FID!DP27="","",Briefing_FID!DP27)</f>
        <v/>
      </c>
      <c r="DQ27" s="3" t="str">
        <f>IF(Briefing_FID!DQ27="","",Briefing_FID!DQ27)</f>
        <v/>
      </c>
      <c r="DR27" s="28" t="str">
        <f>IF(Briefing_FID!DR27="","",Briefing_FID!DR27)</f>
        <v/>
      </c>
      <c r="DS27" s="100" t="str">
        <f>IF(Briefing_FID!DS27="","",Briefing_FID!DS27)</f>
        <v/>
      </c>
      <c r="DT27" s="3" t="str">
        <f>IF(Briefing_FID!DT27="","",Briefing_FID!DT27)</f>
        <v/>
      </c>
      <c r="DU27" s="28" t="str">
        <f>IF(Briefing_FID!DU27="","",Briefing_FID!DU27)</f>
        <v/>
      </c>
      <c r="DV27" s="100" t="str">
        <f>IF(Briefing_FID!DV27="","",Briefing_FID!DV27)</f>
        <v/>
      </c>
      <c r="DW27" s="3" t="str">
        <f>IF(Briefing_FID!DW27="","",Briefing_FID!DW27)</f>
        <v/>
      </c>
      <c r="DX27" s="28" t="str">
        <f>IF(Briefing_FID!DX27="","",Briefing_FID!DX27)</f>
        <v/>
      </c>
      <c r="DY27" s="100" t="str">
        <f>IF(Briefing_FID!DY27="","",Briefing_FID!DY27)</f>
        <v/>
      </c>
      <c r="DZ27" s="3" t="str">
        <f>IF(Briefing_FID!DZ27="","",Briefing_FID!DZ27)</f>
        <v/>
      </c>
      <c r="EA27" s="28" t="str">
        <f>IF(Briefing_FID!EA27="","",Briefing_FID!EA27)</f>
        <v/>
      </c>
      <c r="EB27" s="100" t="str">
        <f>IF(Briefing_FID!EB27="","",Briefing_FID!EB27)</f>
        <v/>
      </c>
      <c r="EC27" s="3" t="str">
        <f>IF(Briefing_FID!EC27="","",Briefing_FID!EC27)</f>
        <v/>
      </c>
      <c r="ED27" s="28" t="str">
        <f>IF(Briefing_FID!ED27="","",Briefing_FID!ED27)</f>
        <v/>
      </c>
      <c r="EE27" s="100" t="str">
        <f>IF(Briefing_FID!EE27="","",Briefing_FID!EE27)</f>
        <v/>
      </c>
      <c r="EF27" s="3" t="str">
        <f>IF(Briefing_FID!EF27="","",Briefing_FID!EF27)</f>
        <v/>
      </c>
      <c r="EG27" s="28" t="str">
        <f>IF(Briefing_FID!EG27="","",Briefing_FID!EG27)</f>
        <v/>
      </c>
      <c r="EH27" s="100" t="str">
        <f>IF(Briefing_FID!EH27="","",Briefing_FID!EH27)</f>
        <v/>
      </c>
      <c r="EI27" s="3" t="str">
        <f>IF(Briefing_FID!EI27="","",Briefing_FID!EI27)</f>
        <v/>
      </c>
      <c r="EJ27" s="28" t="str">
        <f>IF(Briefing_FID!EJ27="","",Briefing_FID!EJ27)</f>
        <v/>
      </c>
      <c r="EK27" s="100" t="str">
        <f>IF(Briefing_FID!EK27="","",Briefing_FID!EK27)</f>
        <v/>
      </c>
      <c r="EL27" s="3" t="str">
        <f>IF(Briefing_FID!EL27="","",Briefing_FID!EL27)</f>
        <v/>
      </c>
      <c r="EM27" s="28" t="str">
        <f>IF(Briefing_FID!EM27="","",Briefing_FID!EM27)</f>
        <v/>
      </c>
      <c r="EN27" s="100" t="str">
        <f>IF(Briefing_FID!EN27="","",Briefing_FID!EN27)</f>
        <v/>
      </c>
      <c r="EO27" s="3" t="str">
        <f>IF(Briefing_FID!EO27="","",Briefing_FID!EO27)</f>
        <v/>
      </c>
      <c r="EP27" s="28" t="str">
        <f>IF(Briefing_FID!EP27="","",Briefing_FID!EP27)</f>
        <v/>
      </c>
      <c r="EQ27" s="28" t="str">
        <f>IF(Briefing_FID!EQ27="","",Briefing_FID!EQ27)</f>
        <v/>
      </c>
      <c r="ER27" s="28" t="str">
        <f>IF(Briefing_FID!ER27="","",Briefing_FID!ER27)</f>
        <v/>
      </c>
      <c r="ES27" s="62"/>
      <c r="ET27" s="96" t="str">
        <f>IF(Briefing_FID!EZ27="","",Briefing_FID!EZ27)</f>
        <v/>
      </c>
      <c r="EU27" s="97" t="str">
        <f>IF(Briefing_FID!FA27="","",Briefing_FID!FA27)</f>
        <v/>
      </c>
      <c r="EV27" s="98" t="str">
        <f>IF(Briefing_FID!FB27="","",Briefing_FID!FB27)</f>
        <v/>
      </c>
      <c r="EW27" s="96" t="str">
        <f>IF(Briefing_FID!FC27="","",Briefing_FID!FC27)</f>
        <v/>
      </c>
      <c r="EX27" s="97" t="str">
        <f>IF(Briefing_FID!FD27="","",Briefing_FID!FD27)</f>
        <v/>
      </c>
      <c r="EY27" s="98" t="str">
        <f>IF(Briefing_FID!FE27="","",Briefing_FID!FE27)</f>
        <v/>
      </c>
      <c r="EZ27" s="104" t="str">
        <f>IF(Briefing_FID!FF27="","",Briefing_FID!FF27)</f>
        <v/>
      </c>
      <c r="FA27" s="144" t="str">
        <f>IF(Briefing_FID!FG27="","",Briefing_FID!FG27)</f>
        <v/>
      </c>
      <c r="FB27" s="144" t="str">
        <f>IF(Briefing_FID!FH27="","",Briefing_FID!FH27)</f>
        <v/>
      </c>
      <c r="FC27" s="144" t="str">
        <f>IF(Briefing_FID!FI27="","",Briefing_FID!FI27)</f>
        <v/>
      </c>
      <c r="FD27" s="144" t="str">
        <f>IF(Briefing_FID!FJ27="","",Briefing_FID!FJ27)</f>
        <v/>
      </c>
      <c r="FE27" s="144" t="str">
        <f>IF(Briefing_FID!FK27="","",Briefing_FID!FK27)</f>
        <v/>
      </c>
      <c r="FF27" s="144" t="str">
        <f>IF(Briefing_FID!FL27="","",Briefing_FID!FL27)</f>
        <v/>
      </c>
      <c r="FG27" s="144" t="str">
        <f>IF(Briefing_FID!FM27="","",Briefing_FID!FM27)</f>
        <v/>
      </c>
      <c r="FH27" s="144" t="str">
        <f>IF(Briefing_FID!FN27="","",Briefing_FID!FN27)</f>
        <v/>
      </c>
      <c r="FI27" s="144" t="str">
        <f>IF(Briefing_FID!FO27="","",Briefing_FID!FO27)</f>
        <v/>
      </c>
      <c r="FJ27" s="144" t="str">
        <f>IF(Briefing_FID!FP27="","",Briefing_FID!FP27)</f>
        <v/>
      </c>
      <c r="FK27" s="144" t="str">
        <f>IF(Briefing_FID!FQ27="","",Briefing_FID!FQ27)</f>
        <v/>
      </c>
      <c r="FL27" s="144" t="str">
        <f>IF(Briefing_FID!FR27="","",Briefing_FID!FR27)</f>
        <v/>
      </c>
      <c r="FM27" s="144" t="str">
        <f>IF(Briefing_FID!FS27="","",Briefing_FID!FS27)</f>
        <v/>
      </c>
      <c r="FN27" s="144" t="str">
        <f>IF(Briefing_FID!FT27="","",Briefing_FID!FT27)</f>
        <v/>
      </c>
      <c r="FO27" s="144" t="str">
        <f>IF(Briefing_FID!FU27="","",Briefing_FID!FU27)</f>
        <v/>
      </c>
      <c r="FP27" s="144" t="str">
        <f>IF(Briefing_FID!FV27="","",Briefing_FID!FV27)</f>
        <v/>
      </c>
      <c r="FQ27" s="144" t="str">
        <f>IF(Briefing_FID!FW27="","",Briefing_FID!FW27)</f>
        <v/>
      </c>
      <c r="FR27" s="151"/>
      <c r="FS27" s="152"/>
      <c r="FT27" s="152"/>
      <c r="FU27" s="152"/>
      <c r="FV27" s="152"/>
      <c r="FW27" s="152"/>
      <c r="FX27" s="152"/>
      <c r="FY27" s="152"/>
      <c r="FZ27" s="152"/>
      <c r="GA27" s="153"/>
    </row>
    <row r="28" spans="1:183">
      <c r="A28" s="136" t="str">
        <f>IF(Briefing_FID!A28="","",Briefing_FID!A28)</f>
        <v/>
      </c>
      <c r="B28" s="137" t="str">
        <f>IF(Briefing_FID!B28="","",Briefing_FID!B28)</f>
        <v/>
      </c>
      <c r="C28" s="137" t="str">
        <f>IF(Briefing_FID!C28="","",Briefing_FID!C28)</f>
        <v/>
      </c>
      <c r="D28" s="46"/>
      <c r="E28" s="120"/>
      <c r="F28" s="117"/>
      <c r="G28" s="117"/>
      <c r="H28" s="72"/>
      <c r="I28" s="72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23"/>
      <c r="AD28" s="117"/>
      <c r="AE28" s="117"/>
      <c r="AF28" s="117"/>
      <c r="AG28" s="117"/>
      <c r="AH28" s="117"/>
      <c r="AI28" s="117"/>
      <c r="AJ28" s="117"/>
      <c r="AK28" s="117"/>
      <c r="AL28" s="124"/>
      <c r="AM28" s="37"/>
      <c r="AN28" s="38"/>
      <c r="AO28" s="39"/>
      <c r="AP28" s="111" t="str">
        <f>IF(Briefing_FID!AP28="","",Briefing_FID!AP28)</f>
        <v/>
      </c>
      <c r="AQ28" s="112" t="str">
        <f>IF(Briefing_FID!AQ28="","",Briefing_FID!AQ28)</f>
        <v/>
      </c>
      <c r="AR28" s="107" t="str">
        <f>IF(Briefing_FID!AR28="","",Briefing_FID!AR28)</f>
        <v/>
      </c>
      <c r="AS28" s="108" t="str">
        <f>IF(Briefing_FID!AS28="","",Briefing_FID!AS28)</f>
        <v/>
      </c>
      <c r="AT28" s="113" t="str">
        <f>IF(Briefing_FID!AT28="","",Briefing_FID!AT28)</f>
        <v/>
      </c>
      <c r="AU28" s="113" t="str">
        <f>IF(Briefing_FID!AU28="","",Briefing_FID!AU28)</f>
        <v/>
      </c>
      <c r="AV28" s="113" t="str">
        <f>IF(Briefing_FID!AV28="","",Briefing_FID!AV28)</f>
        <v/>
      </c>
      <c r="AW28" s="113" t="str">
        <f>IF(Briefing_FID!AW28="","",Briefing_FID!AW28)</f>
        <v/>
      </c>
      <c r="AX28" s="114" t="str">
        <f>IF(Briefing_FID!AX28="","",Briefing_FID!AX28)</f>
        <v/>
      </c>
      <c r="AY28" s="71"/>
      <c r="AZ28" s="117" t="str">
        <f>IF(Briefing_FID!AZ28="","",Briefing_FID!AZ28)</f>
        <v/>
      </c>
      <c r="BA28" s="118" t="str">
        <f>IF(Briefing_FID!BA28="","",Briefing_FID!BA28)</f>
        <v/>
      </c>
      <c r="BB28" s="55"/>
      <c r="BC28" s="102" t="str">
        <f>IF(Briefing_FID!BC28="","",Briefing_FID!BC28)</f>
        <v/>
      </c>
      <c r="BD28" s="27" t="str">
        <f>IF(Briefing_FID!BD28="","",Briefing_FID!BD28)</f>
        <v/>
      </c>
      <c r="BE28" s="100" t="str">
        <f>IF(Briefing_FID!BE28="","",Briefing_FID!BE28)</f>
        <v/>
      </c>
      <c r="BF28" s="3" t="str">
        <f>IF(Briefing_FID!BF28="","",Briefing_FID!BF28)</f>
        <v/>
      </c>
      <c r="BG28" s="10" t="str">
        <f>IF(Briefing_FID!BG28="","",Briefing_FID!BG28)</f>
        <v/>
      </c>
      <c r="BH28" s="100" t="str">
        <f>IF(Briefing_FID!BH28="","",Briefing_FID!BH28)</f>
        <v/>
      </c>
      <c r="BI28" s="3" t="str">
        <f>IF(Briefing_FID!BI28="","",Briefing_FID!BI28)</f>
        <v/>
      </c>
      <c r="BJ28" s="10" t="str">
        <f>IF(Briefing_FID!BJ28="","",Briefing_FID!BJ28)</f>
        <v/>
      </c>
      <c r="BK28" s="100" t="str">
        <f>IF(Briefing_FID!BK28="","",Briefing_FID!BK28)</f>
        <v/>
      </c>
      <c r="BL28" s="3" t="str">
        <f>IF(Briefing_FID!BL28="","",Briefing_FID!BL28)</f>
        <v/>
      </c>
      <c r="BM28" s="28" t="str">
        <f>IF(Briefing_FID!BM28="","",Briefing_FID!BM28)</f>
        <v/>
      </c>
      <c r="BN28" s="100" t="str">
        <f>IF(Briefing_FID!BN28="","",Briefing_FID!BN28)</f>
        <v/>
      </c>
      <c r="BO28" s="3" t="str">
        <f>IF(Briefing_FID!BO28="","",Briefing_FID!BO28)</f>
        <v/>
      </c>
      <c r="BP28" s="28" t="str">
        <f>IF(Briefing_FID!BP28="","",Briefing_FID!BP28)</f>
        <v/>
      </c>
      <c r="BQ28" s="100" t="str">
        <f>IF(Briefing_FID!BQ28="","",Briefing_FID!BQ28)</f>
        <v/>
      </c>
      <c r="BR28" s="3" t="str">
        <f>IF(Briefing_FID!BR28="","",Briefing_FID!BR28)</f>
        <v/>
      </c>
      <c r="BS28" s="28" t="str">
        <f>IF(Briefing_FID!BS28="","",Briefing_FID!BS28)</f>
        <v/>
      </c>
      <c r="BT28" s="100" t="str">
        <f>IF(Briefing_FID!BT28="","",Briefing_FID!BT28)</f>
        <v/>
      </c>
      <c r="BU28" s="3" t="str">
        <f>IF(Briefing_FID!BU28="","",Briefing_FID!BU28)</f>
        <v/>
      </c>
      <c r="BV28" s="28" t="str">
        <f>IF(Briefing_FID!BV28="","",Briefing_FID!BV28)</f>
        <v/>
      </c>
      <c r="BW28" s="100" t="str">
        <f>IF(Briefing_FID!BW28="","",Briefing_FID!BW28)</f>
        <v/>
      </c>
      <c r="BX28" s="3" t="str">
        <f>IF(Briefing_FID!BX28="","",Briefing_FID!BX28)</f>
        <v/>
      </c>
      <c r="BY28" s="28" t="str">
        <f>IF(Briefing_FID!BY28="","",Briefing_FID!BY28)</f>
        <v/>
      </c>
      <c r="BZ28" s="100" t="str">
        <f>IF(Briefing_FID!BZ28="","",Briefing_FID!BZ28)</f>
        <v/>
      </c>
      <c r="CA28" s="3" t="str">
        <f>IF(Briefing_FID!CA28="","",Briefing_FID!CA28)</f>
        <v/>
      </c>
      <c r="CB28" s="28" t="str">
        <f>IF(Briefing_FID!CB28="","",Briefing_FID!CB28)</f>
        <v/>
      </c>
      <c r="CC28" s="100" t="str">
        <f>IF(Briefing_FID!CC28="","",Briefing_FID!CC28)</f>
        <v/>
      </c>
      <c r="CD28" s="3" t="str">
        <f>IF(Briefing_FID!CD28="","",Briefing_FID!CD28)</f>
        <v/>
      </c>
      <c r="CE28" s="28" t="str">
        <f>IF(Briefing_FID!CE28="","",Briefing_FID!CE28)</f>
        <v/>
      </c>
      <c r="CF28" s="100" t="str">
        <f>IF(Briefing_FID!CF28="","",Briefing_FID!CF28)</f>
        <v/>
      </c>
      <c r="CG28" s="3" t="str">
        <f>IF(Briefing_FID!CG28="","",Briefing_FID!CG28)</f>
        <v/>
      </c>
      <c r="CH28" s="28" t="str">
        <f>IF(Briefing_FID!CH28="","",Briefing_FID!CH28)</f>
        <v/>
      </c>
      <c r="CI28" s="100" t="str">
        <f>IF(Briefing_FID!CI28="","",Briefing_FID!CI28)</f>
        <v/>
      </c>
      <c r="CJ28" s="3" t="str">
        <f>IF(Briefing_FID!CJ28="","",Briefing_FID!CJ28)</f>
        <v/>
      </c>
      <c r="CK28" s="28" t="str">
        <f>IF(Briefing_FID!CK28="","",Briefing_FID!CK28)</f>
        <v/>
      </c>
      <c r="CL28" s="100" t="str">
        <f>IF(Briefing_FID!CL28="","",Briefing_FID!CL28)</f>
        <v/>
      </c>
      <c r="CM28" s="3" t="str">
        <f>IF(Briefing_FID!CM28="","",Briefing_FID!CM28)</f>
        <v/>
      </c>
      <c r="CN28" s="28" t="str">
        <f>IF(Briefing_FID!CN28="","",Briefing_FID!CN28)</f>
        <v/>
      </c>
      <c r="CO28" s="100" t="str">
        <f>IF(Briefing_FID!CO28="","",Briefing_FID!CO28)</f>
        <v/>
      </c>
      <c r="CP28" s="3" t="str">
        <f>IF(Briefing_FID!CP28="","",Briefing_FID!CP28)</f>
        <v/>
      </c>
      <c r="CQ28" s="28" t="str">
        <f>IF(Briefing_FID!CQ28="","",Briefing_FID!CQ28)</f>
        <v/>
      </c>
      <c r="CR28" s="100" t="str">
        <f>IF(Briefing_FID!CR28="","",Briefing_FID!CR28)</f>
        <v/>
      </c>
      <c r="CS28" s="3" t="str">
        <f>IF(Briefing_FID!CS28="","",Briefing_FID!CS28)</f>
        <v/>
      </c>
      <c r="CT28" s="28" t="str">
        <f>IF(Briefing_FID!CT28="","",Briefing_FID!CT28)</f>
        <v/>
      </c>
      <c r="CU28" s="100" t="str">
        <f>IF(Briefing_FID!CU28="","",Briefing_FID!CU28)</f>
        <v/>
      </c>
      <c r="CV28" s="3" t="str">
        <f>IF(Briefing_FID!CV28="","",Briefing_FID!CV28)</f>
        <v/>
      </c>
      <c r="CW28" s="28" t="str">
        <f>IF(Briefing_FID!CW28="","",Briefing_FID!CW28)</f>
        <v/>
      </c>
      <c r="CX28" s="100" t="str">
        <f>IF(Briefing_FID!CX28="","",Briefing_FID!CX28)</f>
        <v/>
      </c>
      <c r="CY28" s="3" t="str">
        <f>IF(Briefing_FID!CY28="","",Briefing_FID!CY28)</f>
        <v/>
      </c>
      <c r="CZ28" s="28" t="str">
        <f>IF(Briefing_FID!CZ28="","",Briefing_FID!CZ28)</f>
        <v/>
      </c>
      <c r="DA28" s="100" t="str">
        <f>IF(Briefing_FID!DA28="","",Briefing_FID!DA28)</f>
        <v/>
      </c>
      <c r="DB28" s="3" t="str">
        <f>IF(Briefing_FID!DB28="","",Briefing_FID!DB28)</f>
        <v/>
      </c>
      <c r="DC28" s="28" t="str">
        <f>IF(Briefing_FID!DC28="","",Briefing_FID!DC28)</f>
        <v/>
      </c>
      <c r="DD28" s="100" t="str">
        <f>IF(Briefing_FID!DD28="","",Briefing_FID!DD28)</f>
        <v/>
      </c>
      <c r="DE28" s="3" t="str">
        <f>IF(Briefing_FID!DE28="","",Briefing_FID!DE28)</f>
        <v/>
      </c>
      <c r="DF28" s="28" t="str">
        <f>IF(Briefing_FID!DF28="","",Briefing_FID!DF28)</f>
        <v/>
      </c>
      <c r="DG28" s="100" t="str">
        <f>IF(Briefing_FID!DG28="","",Briefing_FID!DG28)</f>
        <v/>
      </c>
      <c r="DH28" s="3" t="str">
        <f>IF(Briefing_FID!DH28="","",Briefing_FID!DH28)</f>
        <v/>
      </c>
      <c r="DI28" s="28" t="str">
        <f>IF(Briefing_FID!DI28="","",Briefing_FID!DI28)</f>
        <v/>
      </c>
      <c r="DJ28" s="100" t="str">
        <f>IF(Briefing_FID!DJ28="","",Briefing_FID!DJ28)</f>
        <v/>
      </c>
      <c r="DK28" s="3" t="str">
        <f>IF(Briefing_FID!DK28="","",Briefing_FID!DK28)</f>
        <v/>
      </c>
      <c r="DL28" s="28" t="str">
        <f>IF(Briefing_FID!DL28="","",Briefing_FID!DL28)</f>
        <v/>
      </c>
      <c r="DM28" s="100" t="str">
        <f>IF(Briefing_FID!DM28="","",Briefing_FID!DM28)</f>
        <v/>
      </c>
      <c r="DN28" s="3" t="str">
        <f>IF(Briefing_FID!DN28="","",Briefing_FID!DN28)</f>
        <v/>
      </c>
      <c r="DO28" s="28" t="str">
        <f>IF(Briefing_FID!DO28="","",Briefing_FID!DO28)</f>
        <v/>
      </c>
      <c r="DP28" s="100" t="str">
        <f>IF(Briefing_FID!DP28="","",Briefing_FID!DP28)</f>
        <v/>
      </c>
      <c r="DQ28" s="3" t="str">
        <f>IF(Briefing_FID!DQ28="","",Briefing_FID!DQ28)</f>
        <v/>
      </c>
      <c r="DR28" s="28" t="str">
        <f>IF(Briefing_FID!DR28="","",Briefing_FID!DR28)</f>
        <v/>
      </c>
      <c r="DS28" s="100" t="str">
        <f>IF(Briefing_FID!DS28="","",Briefing_FID!DS28)</f>
        <v/>
      </c>
      <c r="DT28" s="3" t="str">
        <f>IF(Briefing_FID!DT28="","",Briefing_FID!DT28)</f>
        <v/>
      </c>
      <c r="DU28" s="28" t="str">
        <f>IF(Briefing_FID!DU28="","",Briefing_FID!DU28)</f>
        <v/>
      </c>
      <c r="DV28" s="100" t="str">
        <f>IF(Briefing_FID!DV28="","",Briefing_FID!DV28)</f>
        <v/>
      </c>
      <c r="DW28" s="3" t="str">
        <f>IF(Briefing_FID!DW28="","",Briefing_FID!DW28)</f>
        <v/>
      </c>
      <c r="DX28" s="28" t="str">
        <f>IF(Briefing_FID!DX28="","",Briefing_FID!DX28)</f>
        <v/>
      </c>
      <c r="DY28" s="100" t="str">
        <f>IF(Briefing_FID!DY28="","",Briefing_FID!DY28)</f>
        <v/>
      </c>
      <c r="DZ28" s="3" t="str">
        <f>IF(Briefing_FID!DZ28="","",Briefing_FID!DZ28)</f>
        <v/>
      </c>
      <c r="EA28" s="28" t="str">
        <f>IF(Briefing_FID!EA28="","",Briefing_FID!EA28)</f>
        <v/>
      </c>
      <c r="EB28" s="100" t="str">
        <f>IF(Briefing_FID!EB28="","",Briefing_FID!EB28)</f>
        <v/>
      </c>
      <c r="EC28" s="3" t="str">
        <f>IF(Briefing_FID!EC28="","",Briefing_FID!EC28)</f>
        <v/>
      </c>
      <c r="ED28" s="28" t="str">
        <f>IF(Briefing_FID!ED28="","",Briefing_FID!ED28)</f>
        <v/>
      </c>
      <c r="EE28" s="100" t="str">
        <f>IF(Briefing_FID!EE28="","",Briefing_FID!EE28)</f>
        <v/>
      </c>
      <c r="EF28" s="3" t="str">
        <f>IF(Briefing_FID!EF28="","",Briefing_FID!EF28)</f>
        <v/>
      </c>
      <c r="EG28" s="28" t="str">
        <f>IF(Briefing_FID!EG28="","",Briefing_FID!EG28)</f>
        <v/>
      </c>
      <c r="EH28" s="100" t="str">
        <f>IF(Briefing_FID!EH28="","",Briefing_FID!EH28)</f>
        <v/>
      </c>
      <c r="EI28" s="3" t="str">
        <f>IF(Briefing_FID!EI28="","",Briefing_FID!EI28)</f>
        <v/>
      </c>
      <c r="EJ28" s="28" t="str">
        <f>IF(Briefing_FID!EJ28="","",Briefing_FID!EJ28)</f>
        <v/>
      </c>
      <c r="EK28" s="100" t="str">
        <f>IF(Briefing_FID!EK28="","",Briefing_FID!EK28)</f>
        <v/>
      </c>
      <c r="EL28" s="3" t="str">
        <f>IF(Briefing_FID!EL28="","",Briefing_FID!EL28)</f>
        <v/>
      </c>
      <c r="EM28" s="28" t="str">
        <f>IF(Briefing_FID!EM28="","",Briefing_FID!EM28)</f>
        <v/>
      </c>
      <c r="EN28" s="100" t="str">
        <f>IF(Briefing_FID!EN28="","",Briefing_FID!EN28)</f>
        <v/>
      </c>
      <c r="EO28" s="3" t="str">
        <f>IF(Briefing_FID!EO28="","",Briefing_FID!EO28)</f>
        <v/>
      </c>
      <c r="EP28" s="28" t="str">
        <f>IF(Briefing_FID!EP28="","",Briefing_FID!EP28)</f>
        <v/>
      </c>
      <c r="EQ28" s="28" t="str">
        <f>IF(Briefing_FID!EQ28="","",Briefing_FID!EQ28)</f>
        <v/>
      </c>
      <c r="ER28" s="28" t="str">
        <f>IF(Briefing_FID!ER28="","",Briefing_FID!ER28)</f>
        <v/>
      </c>
      <c r="ES28" s="62"/>
      <c r="ET28" s="96" t="str">
        <f>IF(Briefing_FID!EZ28="","",Briefing_FID!EZ28)</f>
        <v/>
      </c>
      <c r="EU28" s="97" t="str">
        <f>IF(Briefing_FID!FA28="","",Briefing_FID!FA28)</f>
        <v/>
      </c>
      <c r="EV28" s="98" t="str">
        <f>IF(Briefing_FID!FB28="","",Briefing_FID!FB28)</f>
        <v/>
      </c>
      <c r="EW28" s="96" t="str">
        <f>IF(Briefing_FID!FC28="","",Briefing_FID!FC28)</f>
        <v/>
      </c>
      <c r="EX28" s="97" t="str">
        <f>IF(Briefing_FID!FD28="","",Briefing_FID!FD28)</f>
        <v/>
      </c>
      <c r="EY28" s="98" t="str">
        <f>IF(Briefing_FID!FE28="","",Briefing_FID!FE28)</f>
        <v/>
      </c>
      <c r="EZ28" s="104" t="str">
        <f>IF(Briefing_FID!FF28="","",Briefing_FID!FF28)</f>
        <v/>
      </c>
      <c r="FA28" s="144" t="str">
        <f>IF(Briefing_FID!FG28="","",Briefing_FID!FG28)</f>
        <v/>
      </c>
      <c r="FB28" s="144" t="str">
        <f>IF(Briefing_FID!FH28="","",Briefing_FID!FH28)</f>
        <v/>
      </c>
      <c r="FC28" s="144" t="str">
        <f>IF(Briefing_FID!FI28="","",Briefing_FID!FI28)</f>
        <v/>
      </c>
      <c r="FD28" s="144" t="str">
        <f>IF(Briefing_FID!FJ28="","",Briefing_FID!FJ28)</f>
        <v/>
      </c>
      <c r="FE28" s="144" t="str">
        <f>IF(Briefing_FID!FK28="","",Briefing_FID!FK28)</f>
        <v/>
      </c>
      <c r="FF28" s="144" t="str">
        <f>IF(Briefing_FID!FL28="","",Briefing_FID!FL28)</f>
        <v/>
      </c>
      <c r="FG28" s="144" t="str">
        <f>IF(Briefing_FID!FM28="","",Briefing_FID!FM28)</f>
        <v/>
      </c>
      <c r="FH28" s="144" t="str">
        <f>IF(Briefing_FID!FN28="","",Briefing_FID!FN28)</f>
        <v/>
      </c>
      <c r="FI28" s="144" t="str">
        <f>IF(Briefing_FID!FO28="","",Briefing_FID!FO28)</f>
        <v/>
      </c>
      <c r="FJ28" s="144" t="str">
        <f>IF(Briefing_FID!FP28="","",Briefing_FID!FP28)</f>
        <v/>
      </c>
      <c r="FK28" s="144" t="str">
        <f>IF(Briefing_FID!FQ28="","",Briefing_FID!FQ28)</f>
        <v/>
      </c>
      <c r="FL28" s="144" t="str">
        <f>IF(Briefing_FID!FR28="","",Briefing_FID!FR28)</f>
        <v/>
      </c>
      <c r="FM28" s="144" t="str">
        <f>IF(Briefing_FID!FS28="","",Briefing_FID!FS28)</f>
        <v/>
      </c>
      <c r="FN28" s="144" t="str">
        <f>IF(Briefing_FID!FT28="","",Briefing_FID!FT28)</f>
        <v/>
      </c>
      <c r="FO28" s="144" t="str">
        <f>IF(Briefing_FID!FU28="","",Briefing_FID!FU28)</f>
        <v/>
      </c>
      <c r="FP28" s="144" t="str">
        <f>IF(Briefing_FID!FV28="","",Briefing_FID!FV28)</f>
        <v/>
      </c>
      <c r="FQ28" s="144" t="str">
        <f>IF(Briefing_FID!FW28="","",Briefing_FID!FW28)</f>
        <v/>
      </c>
      <c r="FR28" s="151"/>
      <c r="FS28" s="152"/>
      <c r="FT28" s="152"/>
      <c r="FU28" s="152"/>
      <c r="FV28" s="152"/>
      <c r="FW28" s="152"/>
      <c r="FX28" s="152"/>
      <c r="FY28" s="152"/>
      <c r="FZ28" s="152"/>
      <c r="GA28" s="153"/>
    </row>
    <row r="29" spans="1:183">
      <c r="A29" s="136" t="str">
        <f>IF(Briefing_FID!A29="","",Briefing_FID!A29)</f>
        <v/>
      </c>
      <c r="B29" s="137" t="str">
        <f>IF(Briefing_FID!B29="","",Briefing_FID!B29)</f>
        <v/>
      </c>
      <c r="C29" s="137" t="str">
        <f>IF(Briefing_FID!C29="","",Briefing_FID!C29)</f>
        <v/>
      </c>
      <c r="D29" s="46"/>
      <c r="E29" s="120"/>
      <c r="F29" s="117"/>
      <c r="G29" s="117"/>
      <c r="H29" s="72"/>
      <c r="I29" s="72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23"/>
      <c r="AD29" s="117"/>
      <c r="AE29" s="117"/>
      <c r="AF29" s="117"/>
      <c r="AG29" s="117"/>
      <c r="AH29" s="117"/>
      <c r="AI29" s="117"/>
      <c r="AJ29" s="117"/>
      <c r="AK29" s="117"/>
      <c r="AL29" s="124"/>
      <c r="AM29" s="37"/>
      <c r="AN29" s="38"/>
      <c r="AO29" s="39"/>
      <c r="AP29" s="111" t="str">
        <f>IF(Briefing_FID!AP29="","",Briefing_FID!AP29)</f>
        <v/>
      </c>
      <c r="AQ29" s="112" t="str">
        <f>IF(Briefing_FID!AQ29="","",Briefing_FID!AQ29)</f>
        <v/>
      </c>
      <c r="AR29" s="107" t="str">
        <f>IF(Briefing_FID!AR29="","",Briefing_FID!AR29)</f>
        <v/>
      </c>
      <c r="AS29" s="108" t="str">
        <f>IF(Briefing_FID!AS29="","",Briefing_FID!AS29)</f>
        <v/>
      </c>
      <c r="AT29" s="113" t="str">
        <f>IF(Briefing_FID!AT29="","",Briefing_FID!AT29)</f>
        <v/>
      </c>
      <c r="AU29" s="113" t="str">
        <f>IF(Briefing_FID!AU29="","",Briefing_FID!AU29)</f>
        <v/>
      </c>
      <c r="AV29" s="113" t="str">
        <f>IF(Briefing_FID!AV29="","",Briefing_FID!AV29)</f>
        <v/>
      </c>
      <c r="AW29" s="113" t="str">
        <f>IF(Briefing_FID!AW29="","",Briefing_FID!AW29)</f>
        <v/>
      </c>
      <c r="AX29" s="114" t="str">
        <f>IF(Briefing_FID!AX29="","",Briefing_FID!AX29)</f>
        <v/>
      </c>
      <c r="AY29" s="71"/>
      <c r="AZ29" s="117" t="str">
        <f>IF(Briefing_FID!AZ29="","",Briefing_FID!AZ29)</f>
        <v/>
      </c>
      <c r="BA29" s="118" t="str">
        <f>IF(Briefing_FID!BA29="","",Briefing_FID!BA29)</f>
        <v/>
      </c>
      <c r="BB29" s="55"/>
      <c r="BC29" s="102" t="str">
        <f>IF(Briefing_FID!BC29="","",Briefing_FID!BC29)</f>
        <v/>
      </c>
      <c r="BD29" s="27" t="str">
        <f>IF(Briefing_FID!BD29="","",Briefing_FID!BD29)</f>
        <v/>
      </c>
      <c r="BE29" s="100" t="str">
        <f>IF(Briefing_FID!BE29="","",Briefing_FID!BE29)</f>
        <v/>
      </c>
      <c r="BF29" s="3" t="str">
        <f>IF(Briefing_FID!BF29="","",Briefing_FID!BF29)</f>
        <v/>
      </c>
      <c r="BG29" s="10" t="str">
        <f>IF(Briefing_FID!BG29="","",Briefing_FID!BG29)</f>
        <v/>
      </c>
      <c r="BH29" s="100" t="str">
        <f>IF(Briefing_FID!BH29="","",Briefing_FID!BH29)</f>
        <v/>
      </c>
      <c r="BI29" s="3" t="str">
        <f>IF(Briefing_FID!BI29="","",Briefing_FID!BI29)</f>
        <v/>
      </c>
      <c r="BJ29" s="10" t="str">
        <f>IF(Briefing_FID!BJ29="","",Briefing_FID!BJ29)</f>
        <v/>
      </c>
      <c r="BK29" s="100" t="str">
        <f>IF(Briefing_FID!BK29="","",Briefing_FID!BK29)</f>
        <v/>
      </c>
      <c r="BL29" s="3" t="str">
        <f>IF(Briefing_FID!BL29="","",Briefing_FID!BL29)</f>
        <v/>
      </c>
      <c r="BM29" s="28" t="str">
        <f>IF(Briefing_FID!BM29="","",Briefing_FID!BM29)</f>
        <v/>
      </c>
      <c r="BN29" s="100" t="str">
        <f>IF(Briefing_FID!BN29="","",Briefing_FID!BN29)</f>
        <v/>
      </c>
      <c r="BO29" s="3" t="str">
        <f>IF(Briefing_FID!BO29="","",Briefing_FID!BO29)</f>
        <v/>
      </c>
      <c r="BP29" s="28" t="str">
        <f>IF(Briefing_FID!BP29="","",Briefing_FID!BP29)</f>
        <v/>
      </c>
      <c r="BQ29" s="100" t="str">
        <f>IF(Briefing_FID!BQ29="","",Briefing_FID!BQ29)</f>
        <v/>
      </c>
      <c r="BR29" s="3" t="str">
        <f>IF(Briefing_FID!BR29="","",Briefing_FID!BR29)</f>
        <v/>
      </c>
      <c r="BS29" s="28" t="str">
        <f>IF(Briefing_FID!BS29="","",Briefing_FID!BS29)</f>
        <v/>
      </c>
      <c r="BT29" s="100" t="str">
        <f>IF(Briefing_FID!BT29="","",Briefing_FID!BT29)</f>
        <v/>
      </c>
      <c r="BU29" s="3" t="str">
        <f>IF(Briefing_FID!BU29="","",Briefing_FID!BU29)</f>
        <v/>
      </c>
      <c r="BV29" s="28" t="str">
        <f>IF(Briefing_FID!BV29="","",Briefing_FID!BV29)</f>
        <v/>
      </c>
      <c r="BW29" s="100" t="str">
        <f>IF(Briefing_FID!BW29="","",Briefing_FID!BW29)</f>
        <v/>
      </c>
      <c r="BX29" s="3" t="str">
        <f>IF(Briefing_FID!BX29="","",Briefing_FID!BX29)</f>
        <v/>
      </c>
      <c r="BY29" s="28" t="str">
        <f>IF(Briefing_FID!BY29="","",Briefing_FID!BY29)</f>
        <v/>
      </c>
      <c r="BZ29" s="100" t="str">
        <f>IF(Briefing_FID!BZ29="","",Briefing_FID!BZ29)</f>
        <v/>
      </c>
      <c r="CA29" s="3" t="str">
        <f>IF(Briefing_FID!CA29="","",Briefing_FID!CA29)</f>
        <v/>
      </c>
      <c r="CB29" s="28" t="str">
        <f>IF(Briefing_FID!CB29="","",Briefing_FID!CB29)</f>
        <v/>
      </c>
      <c r="CC29" s="100" t="str">
        <f>IF(Briefing_FID!CC29="","",Briefing_FID!CC29)</f>
        <v/>
      </c>
      <c r="CD29" s="3" t="str">
        <f>IF(Briefing_FID!CD29="","",Briefing_FID!CD29)</f>
        <v/>
      </c>
      <c r="CE29" s="28" t="str">
        <f>IF(Briefing_FID!CE29="","",Briefing_FID!CE29)</f>
        <v/>
      </c>
      <c r="CF29" s="100" t="str">
        <f>IF(Briefing_FID!CF29="","",Briefing_FID!CF29)</f>
        <v/>
      </c>
      <c r="CG29" s="3" t="str">
        <f>IF(Briefing_FID!CG29="","",Briefing_FID!CG29)</f>
        <v/>
      </c>
      <c r="CH29" s="28" t="str">
        <f>IF(Briefing_FID!CH29="","",Briefing_FID!CH29)</f>
        <v/>
      </c>
      <c r="CI29" s="100" t="str">
        <f>IF(Briefing_FID!CI29="","",Briefing_FID!CI29)</f>
        <v/>
      </c>
      <c r="CJ29" s="3" t="str">
        <f>IF(Briefing_FID!CJ29="","",Briefing_FID!CJ29)</f>
        <v/>
      </c>
      <c r="CK29" s="28" t="str">
        <f>IF(Briefing_FID!CK29="","",Briefing_FID!CK29)</f>
        <v/>
      </c>
      <c r="CL29" s="100" t="str">
        <f>IF(Briefing_FID!CL29="","",Briefing_FID!CL29)</f>
        <v/>
      </c>
      <c r="CM29" s="3" t="str">
        <f>IF(Briefing_FID!CM29="","",Briefing_FID!CM29)</f>
        <v/>
      </c>
      <c r="CN29" s="28" t="str">
        <f>IF(Briefing_FID!CN29="","",Briefing_FID!CN29)</f>
        <v/>
      </c>
      <c r="CO29" s="100" t="str">
        <f>IF(Briefing_FID!CO29="","",Briefing_FID!CO29)</f>
        <v/>
      </c>
      <c r="CP29" s="3" t="str">
        <f>IF(Briefing_FID!CP29="","",Briefing_FID!CP29)</f>
        <v/>
      </c>
      <c r="CQ29" s="28" t="str">
        <f>IF(Briefing_FID!CQ29="","",Briefing_FID!CQ29)</f>
        <v/>
      </c>
      <c r="CR29" s="100" t="str">
        <f>IF(Briefing_FID!CR29="","",Briefing_FID!CR29)</f>
        <v/>
      </c>
      <c r="CS29" s="3" t="str">
        <f>IF(Briefing_FID!CS29="","",Briefing_FID!CS29)</f>
        <v/>
      </c>
      <c r="CT29" s="28" t="str">
        <f>IF(Briefing_FID!CT29="","",Briefing_FID!CT29)</f>
        <v/>
      </c>
      <c r="CU29" s="100" t="str">
        <f>IF(Briefing_FID!CU29="","",Briefing_FID!CU29)</f>
        <v/>
      </c>
      <c r="CV29" s="3" t="str">
        <f>IF(Briefing_FID!CV29="","",Briefing_FID!CV29)</f>
        <v/>
      </c>
      <c r="CW29" s="28" t="str">
        <f>IF(Briefing_FID!CW29="","",Briefing_FID!CW29)</f>
        <v/>
      </c>
      <c r="CX29" s="100" t="str">
        <f>IF(Briefing_FID!CX29="","",Briefing_FID!CX29)</f>
        <v/>
      </c>
      <c r="CY29" s="3" t="str">
        <f>IF(Briefing_FID!CY29="","",Briefing_FID!CY29)</f>
        <v/>
      </c>
      <c r="CZ29" s="28" t="str">
        <f>IF(Briefing_FID!CZ29="","",Briefing_FID!CZ29)</f>
        <v/>
      </c>
      <c r="DA29" s="100" t="str">
        <f>IF(Briefing_FID!DA29="","",Briefing_FID!DA29)</f>
        <v/>
      </c>
      <c r="DB29" s="3" t="str">
        <f>IF(Briefing_FID!DB29="","",Briefing_FID!DB29)</f>
        <v/>
      </c>
      <c r="DC29" s="28" t="str">
        <f>IF(Briefing_FID!DC29="","",Briefing_FID!DC29)</f>
        <v/>
      </c>
      <c r="DD29" s="100" t="str">
        <f>IF(Briefing_FID!DD29="","",Briefing_FID!DD29)</f>
        <v/>
      </c>
      <c r="DE29" s="3" t="str">
        <f>IF(Briefing_FID!DE29="","",Briefing_FID!DE29)</f>
        <v/>
      </c>
      <c r="DF29" s="28" t="str">
        <f>IF(Briefing_FID!DF29="","",Briefing_FID!DF29)</f>
        <v/>
      </c>
      <c r="DG29" s="100" t="str">
        <f>IF(Briefing_FID!DG29="","",Briefing_FID!DG29)</f>
        <v/>
      </c>
      <c r="DH29" s="3" t="str">
        <f>IF(Briefing_FID!DH29="","",Briefing_FID!DH29)</f>
        <v/>
      </c>
      <c r="DI29" s="28" t="str">
        <f>IF(Briefing_FID!DI29="","",Briefing_FID!DI29)</f>
        <v/>
      </c>
      <c r="DJ29" s="100" t="str">
        <f>IF(Briefing_FID!DJ29="","",Briefing_FID!DJ29)</f>
        <v/>
      </c>
      <c r="DK29" s="3" t="str">
        <f>IF(Briefing_FID!DK29="","",Briefing_FID!DK29)</f>
        <v/>
      </c>
      <c r="DL29" s="28" t="str">
        <f>IF(Briefing_FID!DL29="","",Briefing_FID!DL29)</f>
        <v/>
      </c>
      <c r="DM29" s="100" t="str">
        <f>IF(Briefing_FID!DM29="","",Briefing_FID!DM29)</f>
        <v/>
      </c>
      <c r="DN29" s="3" t="str">
        <f>IF(Briefing_FID!DN29="","",Briefing_FID!DN29)</f>
        <v/>
      </c>
      <c r="DO29" s="28" t="str">
        <f>IF(Briefing_FID!DO29="","",Briefing_FID!DO29)</f>
        <v/>
      </c>
      <c r="DP29" s="100" t="str">
        <f>IF(Briefing_FID!DP29="","",Briefing_FID!DP29)</f>
        <v/>
      </c>
      <c r="DQ29" s="3" t="str">
        <f>IF(Briefing_FID!DQ29="","",Briefing_FID!DQ29)</f>
        <v/>
      </c>
      <c r="DR29" s="28" t="str">
        <f>IF(Briefing_FID!DR29="","",Briefing_FID!DR29)</f>
        <v/>
      </c>
      <c r="DS29" s="100" t="str">
        <f>IF(Briefing_FID!DS29="","",Briefing_FID!DS29)</f>
        <v/>
      </c>
      <c r="DT29" s="3" t="str">
        <f>IF(Briefing_FID!DT29="","",Briefing_FID!DT29)</f>
        <v/>
      </c>
      <c r="DU29" s="28" t="str">
        <f>IF(Briefing_FID!DU29="","",Briefing_FID!DU29)</f>
        <v/>
      </c>
      <c r="DV29" s="100" t="str">
        <f>IF(Briefing_FID!DV29="","",Briefing_FID!DV29)</f>
        <v/>
      </c>
      <c r="DW29" s="3" t="str">
        <f>IF(Briefing_FID!DW29="","",Briefing_FID!DW29)</f>
        <v/>
      </c>
      <c r="DX29" s="28" t="str">
        <f>IF(Briefing_FID!DX29="","",Briefing_FID!DX29)</f>
        <v/>
      </c>
      <c r="DY29" s="100" t="str">
        <f>IF(Briefing_FID!DY29="","",Briefing_FID!DY29)</f>
        <v/>
      </c>
      <c r="DZ29" s="3" t="str">
        <f>IF(Briefing_FID!DZ29="","",Briefing_FID!DZ29)</f>
        <v/>
      </c>
      <c r="EA29" s="28" t="str">
        <f>IF(Briefing_FID!EA29="","",Briefing_FID!EA29)</f>
        <v/>
      </c>
      <c r="EB29" s="100" t="str">
        <f>IF(Briefing_FID!EB29="","",Briefing_FID!EB29)</f>
        <v/>
      </c>
      <c r="EC29" s="3" t="str">
        <f>IF(Briefing_FID!EC29="","",Briefing_FID!EC29)</f>
        <v/>
      </c>
      <c r="ED29" s="28" t="str">
        <f>IF(Briefing_FID!ED29="","",Briefing_FID!ED29)</f>
        <v/>
      </c>
      <c r="EE29" s="100" t="str">
        <f>IF(Briefing_FID!EE29="","",Briefing_FID!EE29)</f>
        <v/>
      </c>
      <c r="EF29" s="3" t="str">
        <f>IF(Briefing_FID!EF29="","",Briefing_FID!EF29)</f>
        <v/>
      </c>
      <c r="EG29" s="28" t="str">
        <f>IF(Briefing_FID!EG29="","",Briefing_FID!EG29)</f>
        <v/>
      </c>
      <c r="EH29" s="100" t="str">
        <f>IF(Briefing_FID!EH29="","",Briefing_FID!EH29)</f>
        <v/>
      </c>
      <c r="EI29" s="3" t="str">
        <f>IF(Briefing_FID!EI29="","",Briefing_FID!EI29)</f>
        <v/>
      </c>
      <c r="EJ29" s="28" t="str">
        <f>IF(Briefing_FID!EJ29="","",Briefing_FID!EJ29)</f>
        <v/>
      </c>
      <c r="EK29" s="100" t="str">
        <f>IF(Briefing_FID!EK29="","",Briefing_FID!EK29)</f>
        <v/>
      </c>
      <c r="EL29" s="3" t="str">
        <f>IF(Briefing_FID!EL29="","",Briefing_FID!EL29)</f>
        <v/>
      </c>
      <c r="EM29" s="28" t="str">
        <f>IF(Briefing_FID!EM29="","",Briefing_FID!EM29)</f>
        <v/>
      </c>
      <c r="EN29" s="100" t="str">
        <f>IF(Briefing_FID!EN29="","",Briefing_FID!EN29)</f>
        <v/>
      </c>
      <c r="EO29" s="3" t="str">
        <f>IF(Briefing_FID!EO29="","",Briefing_FID!EO29)</f>
        <v/>
      </c>
      <c r="EP29" s="28" t="str">
        <f>IF(Briefing_FID!EP29="","",Briefing_FID!EP29)</f>
        <v/>
      </c>
      <c r="EQ29" s="28" t="str">
        <f>IF(Briefing_FID!EQ29="","",Briefing_FID!EQ29)</f>
        <v/>
      </c>
      <c r="ER29" s="28" t="str">
        <f>IF(Briefing_FID!ER29="","",Briefing_FID!ER29)</f>
        <v/>
      </c>
      <c r="ES29" s="62"/>
      <c r="ET29" s="96" t="str">
        <f>IF(Briefing_FID!EZ29="","",Briefing_FID!EZ29)</f>
        <v/>
      </c>
      <c r="EU29" s="97" t="str">
        <f>IF(Briefing_FID!FA29="","",Briefing_FID!FA29)</f>
        <v/>
      </c>
      <c r="EV29" s="98" t="str">
        <f>IF(Briefing_FID!FB29="","",Briefing_FID!FB29)</f>
        <v/>
      </c>
      <c r="EW29" s="96" t="str">
        <f>IF(Briefing_FID!FC29="","",Briefing_FID!FC29)</f>
        <v/>
      </c>
      <c r="EX29" s="97" t="str">
        <f>IF(Briefing_FID!FD29="","",Briefing_FID!FD29)</f>
        <v/>
      </c>
      <c r="EY29" s="98" t="str">
        <f>IF(Briefing_FID!FE29="","",Briefing_FID!FE29)</f>
        <v/>
      </c>
      <c r="EZ29" s="104" t="str">
        <f>IF(Briefing_FID!FF29="","",Briefing_FID!FF29)</f>
        <v/>
      </c>
      <c r="FA29" s="144" t="str">
        <f>IF(Briefing_FID!FG29="","",Briefing_FID!FG29)</f>
        <v/>
      </c>
      <c r="FB29" s="144" t="str">
        <f>IF(Briefing_FID!FH29="","",Briefing_FID!FH29)</f>
        <v/>
      </c>
      <c r="FC29" s="144" t="str">
        <f>IF(Briefing_FID!FI29="","",Briefing_FID!FI29)</f>
        <v/>
      </c>
      <c r="FD29" s="144" t="str">
        <f>IF(Briefing_FID!FJ29="","",Briefing_FID!FJ29)</f>
        <v/>
      </c>
      <c r="FE29" s="144" t="str">
        <f>IF(Briefing_FID!FK29="","",Briefing_FID!FK29)</f>
        <v/>
      </c>
      <c r="FF29" s="144" t="str">
        <f>IF(Briefing_FID!FL29="","",Briefing_FID!FL29)</f>
        <v/>
      </c>
      <c r="FG29" s="144" t="str">
        <f>IF(Briefing_FID!FM29="","",Briefing_FID!FM29)</f>
        <v/>
      </c>
      <c r="FH29" s="144" t="str">
        <f>IF(Briefing_FID!FN29="","",Briefing_FID!FN29)</f>
        <v/>
      </c>
      <c r="FI29" s="144" t="str">
        <f>IF(Briefing_FID!FO29="","",Briefing_FID!FO29)</f>
        <v/>
      </c>
      <c r="FJ29" s="144" t="str">
        <f>IF(Briefing_FID!FP29="","",Briefing_FID!FP29)</f>
        <v/>
      </c>
      <c r="FK29" s="144" t="str">
        <f>IF(Briefing_FID!FQ29="","",Briefing_FID!FQ29)</f>
        <v/>
      </c>
      <c r="FL29" s="144" t="str">
        <f>IF(Briefing_FID!FR29="","",Briefing_FID!FR29)</f>
        <v/>
      </c>
      <c r="FM29" s="144" t="str">
        <f>IF(Briefing_FID!FS29="","",Briefing_FID!FS29)</f>
        <v/>
      </c>
      <c r="FN29" s="144" t="str">
        <f>IF(Briefing_FID!FT29="","",Briefing_FID!FT29)</f>
        <v/>
      </c>
      <c r="FO29" s="144" t="str">
        <f>IF(Briefing_FID!FU29="","",Briefing_FID!FU29)</f>
        <v/>
      </c>
      <c r="FP29" s="144" t="str">
        <f>IF(Briefing_FID!FV29="","",Briefing_FID!FV29)</f>
        <v/>
      </c>
      <c r="FQ29" s="144" t="str">
        <f>IF(Briefing_FID!FW29="","",Briefing_FID!FW29)</f>
        <v/>
      </c>
      <c r="FR29" s="151"/>
      <c r="FS29" s="152"/>
      <c r="FT29" s="152"/>
      <c r="FU29" s="152"/>
      <c r="FV29" s="152"/>
      <c r="FW29" s="152"/>
      <c r="FX29" s="152"/>
      <c r="FY29" s="152"/>
      <c r="FZ29" s="152"/>
      <c r="GA29" s="153"/>
    </row>
    <row r="30" spans="1:183">
      <c r="A30" s="136" t="str">
        <f>IF(Briefing_FID!A30="","",Briefing_FID!A30)</f>
        <v/>
      </c>
      <c r="B30" s="137" t="str">
        <f>IF(Briefing_FID!B30="","",Briefing_FID!B30)</f>
        <v/>
      </c>
      <c r="C30" s="137" t="str">
        <f>IF(Briefing_FID!C30="","",Briefing_FID!C30)</f>
        <v/>
      </c>
      <c r="D30" s="46"/>
      <c r="E30" s="120"/>
      <c r="F30" s="117"/>
      <c r="G30" s="117"/>
      <c r="H30" s="72"/>
      <c r="I30" s="72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23"/>
      <c r="AD30" s="117"/>
      <c r="AE30" s="117"/>
      <c r="AF30" s="117"/>
      <c r="AG30" s="117"/>
      <c r="AH30" s="117"/>
      <c r="AI30" s="117"/>
      <c r="AJ30" s="117"/>
      <c r="AK30" s="117"/>
      <c r="AL30" s="124"/>
      <c r="AM30" s="37"/>
      <c r="AN30" s="38"/>
      <c r="AO30" s="39"/>
      <c r="AP30" s="111" t="str">
        <f>IF(Briefing_FID!AP30="","",Briefing_FID!AP30)</f>
        <v/>
      </c>
      <c r="AQ30" s="112" t="str">
        <f>IF(Briefing_FID!AQ30="","",Briefing_FID!AQ30)</f>
        <v/>
      </c>
      <c r="AR30" s="107" t="str">
        <f>IF(Briefing_FID!AR30="","",Briefing_FID!AR30)</f>
        <v/>
      </c>
      <c r="AS30" s="108" t="str">
        <f>IF(Briefing_FID!AS30="","",Briefing_FID!AS30)</f>
        <v/>
      </c>
      <c r="AT30" s="113" t="str">
        <f>IF(Briefing_FID!AT30="","",Briefing_FID!AT30)</f>
        <v/>
      </c>
      <c r="AU30" s="113" t="str">
        <f>IF(Briefing_FID!AU30="","",Briefing_FID!AU30)</f>
        <v/>
      </c>
      <c r="AV30" s="113" t="str">
        <f>IF(Briefing_FID!AV30="","",Briefing_FID!AV30)</f>
        <v/>
      </c>
      <c r="AW30" s="113" t="str">
        <f>IF(Briefing_FID!AW30="","",Briefing_FID!AW30)</f>
        <v/>
      </c>
      <c r="AX30" s="114" t="str">
        <f>IF(Briefing_FID!AX30="","",Briefing_FID!AX30)</f>
        <v/>
      </c>
      <c r="AY30" s="71"/>
      <c r="AZ30" s="117" t="str">
        <f>IF(Briefing_FID!AZ30="","",Briefing_FID!AZ30)</f>
        <v/>
      </c>
      <c r="BA30" s="118" t="str">
        <f>IF(Briefing_FID!BA30="","",Briefing_FID!BA30)</f>
        <v/>
      </c>
      <c r="BB30" s="55"/>
      <c r="BC30" s="102" t="str">
        <f>IF(Briefing_FID!BC30="","",Briefing_FID!BC30)</f>
        <v/>
      </c>
      <c r="BD30" s="27" t="str">
        <f>IF(Briefing_FID!BD30="","",Briefing_FID!BD30)</f>
        <v/>
      </c>
      <c r="BE30" s="100" t="str">
        <f>IF(Briefing_FID!BE30="","",Briefing_FID!BE30)</f>
        <v/>
      </c>
      <c r="BF30" s="3" t="str">
        <f>IF(Briefing_FID!BF30="","",Briefing_FID!BF30)</f>
        <v/>
      </c>
      <c r="BG30" s="10" t="str">
        <f>IF(Briefing_FID!BG30="","",Briefing_FID!BG30)</f>
        <v/>
      </c>
      <c r="BH30" s="100" t="str">
        <f>IF(Briefing_FID!BH30="","",Briefing_FID!BH30)</f>
        <v/>
      </c>
      <c r="BI30" s="3" t="str">
        <f>IF(Briefing_FID!BI30="","",Briefing_FID!BI30)</f>
        <v/>
      </c>
      <c r="BJ30" s="10" t="str">
        <f>IF(Briefing_FID!BJ30="","",Briefing_FID!BJ30)</f>
        <v/>
      </c>
      <c r="BK30" s="100" t="str">
        <f>IF(Briefing_FID!BK30="","",Briefing_FID!BK30)</f>
        <v/>
      </c>
      <c r="BL30" s="3" t="str">
        <f>IF(Briefing_FID!BL30="","",Briefing_FID!BL30)</f>
        <v/>
      </c>
      <c r="BM30" s="28" t="str">
        <f>IF(Briefing_FID!BM30="","",Briefing_FID!BM30)</f>
        <v/>
      </c>
      <c r="BN30" s="100" t="str">
        <f>IF(Briefing_FID!BN30="","",Briefing_FID!BN30)</f>
        <v/>
      </c>
      <c r="BO30" s="3" t="str">
        <f>IF(Briefing_FID!BO30="","",Briefing_FID!BO30)</f>
        <v/>
      </c>
      <c r="BP30" s="28" t="str">
        <f>IF(Briefing_FID!BP30="","",Briefing_FID!BP30)</f>
        <v/>
      </c>
      <c r="BQ30" s="100" t="str">
        <f>IF(Briefing_FID!BQ30="","",Briefing_FID!BQ30)</f>
        <v/>
      </c>
      <c r="BR30" s="3" t="str">
        <f>IF(Briefing_FID!BR30="","",Briefing_FID!BR30)</f>
        <v/>
      </c>
      <c r="BS30" s="28" t="str">
        <f>IF(Briefing_FID!BS30="","",Briefing_FID!BS30)</f>
        <v/>
      </c>
      <c r="BT30" s="100" t="str">
        <f>IF(Briefing_FID!BT30="","",Briefing_FID!BT30)</f>
        <v/>
      </c>
      <c r="BU30" s="3" t="str">
        <f>IF(Briefing_FID!BU30="","",Briefing_FID!BU30)</f>
        <v/>
      </c>
      <c r="BV30" s="28" t="str">
        <f>IF(Briefing_FID!BV30="","",Briefing_FID!BV30)</f>
        <v/>
      </c>
      <c r="BW30" s="100" t="str">
        <f>IF(Briefing_FID!BW30="","",Briefing_FID!BW30)</f>
        <v/>
      </c>
      <c r="BX30" s="3" t="str">
        <f>IF(Briefing_FID!BX30="","",Briefing_FID!BX30)</f>
        <v/>
      </c>
      <c r="BY30" s="28" t="str">
        <f>IF(Briefing_FID!BY30="","",Briefing_FID!BY30)</f>
        <v/>
      </c>
      <c r="BZ30" s="100" t="str">
        <f>IF(Briefing_FID!BZ30="","",Briefing_FID!BZ30)</f>
        <v/>
      </c>
      <c r="CA30" s="3" t="str">
        <f>IF(Briefing_FID!CA30="","",Briefing_FID!CA30)</f>
        <v/>
      </c>
      <c r="CB30" s="28" t="str">
        <f>IF(Briefing_FID!CB30="","",Briefing_FID!CB30)</f>
        <v/>
      </c>
      <c r="CC30" s="100" t="str">
        <f>IF(Briefing_FID!CC30="","",Briefing_FID!CC30)</f>
        <v/>
      </c>
      <c r="CD30" s="3" t="str">
        <f>IF(Briefing_FID!CD30="","",Briefing_FID!CD30)</f>
        <v/>
      </c>
      <c r="CE30" s="28" t="str">
        <f>IF(Briefing_FID!CE30="","",Briefing_FID!CE30)</f>
        <v/>
      </c>
      <c r="CF30" s="100" t="str">
        <f>IF(Briefing_FID!CF30="","",Briefing_FID!CF30)</f>
        <v/>
      </c>
      <c r="CG30" s="3" t="str">
        <f>IF(Briefing_FID!CG30="","",Briefing_FID!CG30)</f>
        <v/>
      </c>
      <c r="CH30" s="28" t="str">
        <f>IF(Briefing_FID!CH30="","",Briefing_FID!CH30)</f>
        <v/>
      </c>
      <c r="CI30" s="100" t="str">
        <f>IF(Briefing_FID!CI30="","",Briefing_FID!CI30)</f>
        <v/>
      </c>
      <c r="CJ30" s="3" t="str">
        <f>IF(Briefing_FID!CJ30="","",Briefing_FID!CJ30)</f>
        <v/>
      </c>
      <c r="CK30" s="28" t="str">
        <f>IF(Briefing_FID!CK30="","",Briefing_FID!CK30)</f>
        <v/>
      </c>
      <c r="CL30" s="100" t="str">
        <f>IF(Briefing_FID!CL30="","",Briefing_FID!CL30)</f>
        <v/>
      </c>
      <c r="CM30" s="3" t="str">
        <f>IF(Briefing_FID!CM30="","",Briefing_FID!CM30)</f>
        <v/>
      </c>
      <c r="CN30" s="28" t="str">
        <f>IF(Briefing_FID!CN30="","",Briefing_FID!CN30)</f>
        <v/>
      </c>
      <c r="CO30" s="100" t="str">
        <f>IF(Briefing_FID!CO30="","",Briefing_FID!CO30)</f>
        <v/>
      </c>
      <c r="CP30" s="3" t="str">
        <f>IF(Briefing_FID!CP30="","",Briefing_FID!CP30)</f>
        <v/>
      </c>
      <c r="CQ30" s="28" t="str">
        <f>IF(Briefing_FID!CQ30="","",Briefing_FID!CQ30)</f>
        <v/>
      </c>
      <c r="CR30" s="100" t="str">
        <f>IF(Briefing_FID!CR30="","",Briefing_FID!CR30)</f>
        <v/>
      </c>
      <c r="CS30" s="3" t="str">
        <f>IF(Briefing_FID!CS30="","",Briefing_FID!CS30)</f>
        <v/>
      </c>
      <c r="CT30" s="28" t="str">
        <f>IF(Briefing_FID!CT30="","",Briefing_FID!CT30)</f>
        <v/>
      </c>
      <c r="CU30" s="100" t="str">
        <f>IF(Briefing_FID!CU30="","",Briefing_FID!CU30)</f>
        <v/>
      </c>
      <c r="CV30" s="3" t="str">
        <f>IF(Briefing_FID!CV30="","",Briefing_FID!CV30)</f>
        <v/>
      </c>
      <c r="CW30" s="28" t="str">
        <f>IF(Briefing_FID!CW30="","",Briefing_FID!CW30)</f>
        <v/>
      </c>
      <c r="CX30" s="100" t="str">
        <f>IF(Briefing_FID!CX30="","",Briefing_FID!CX30)</f>
        <v/>
      </c>
      <c r="CY30" s="3" t="str">
        <f>IF(Briefing_FID!CY30="","",Briefing_FID!CY30)</f>
        <v/>
      </c>
      <c r="CZ30" s="28" t="str">
        <f>IF(Briefing_FID!CZ30="","",Briefing_FID!CZ30)</f>
        <v/>
      </c>
      <c r="DA30" s="100" t="str">
        <f>IF(Briefing_FID!DA30="","",Briefing_FID!DA30)</f>
        <v/>
      </c>
      <c r="DB30" s="3" t="str">
        <f>IF(Briefing_FID!DB30="","",Briefing_FID!DB30)</f>
        <v/>
      </c>
      <c r="DC30" s="28" t="str">
        <f>IF(Briefing_FID!DC30="","",Briefing_FID!DC30)</f>
        <v/>
      </c>
      <c r="DD30" s="100" t="str">
        <f>IF(Briefing_FID!DD30="","",Briefing_FID!DD30)</f>
        <v/>
      </c>
      <c r="DE30" s="3" t="str">
        <f>IF(Briefing_FID!DE30="","",Briefing_FID!DE30)</f>
        <v/>
      </c>
      <c r="DF30" s="28" t="str">
        <f>IF(Briefing_FID!DF30="","",Briefing_FID!DF30)</f>
        <v/>
      </c>
      <c r="DG30" s="100" t="str">
        <f>IF(Briefing_FID!DG30="","",Briefing_FID!DG30)</f>
        <v/>
      </c>
      <c r="DH30" s="3" t="str">
        <f>IF(Briefing_FID!DH30="","",Briefing_FID!DH30)</f>
        <v/>
      </c>
      <c r="DI30" s="28" t="str">
        <f>IF(Briefing_FID!DI30="","",Briefing_FID!DI30)</f>
        <v/>
      </c>
      <c r="DJ30" s="100" t="str">
        <f>IF(Briefing_FID!DJ30="","",Briefing_FID!DJ30)</f>
        <v/>
      </c>
      <c r="DK30" s="3" t="str">
        <f>IF(Briefing_FID!DK30="","",Briefing_FID!DK30)</f>
        <v/>
      </c>
      <c r="DL30" s="28" t="str">
        <f>IF(Briefing_FID!DL30="","",Briefing_FID!DL30)</f>
        <v/>
      </c>
      <c r="DM30" s="100" t="str">
        <f>IF(Briefing_FID!DM30="","",Briefing_FID!DM30)</f>
        <v/>
      </c>
      <c r="DN30" s="3" t="str">
        <f>IF(Briefing_FID!DN30="","",Briefing_FID!DN30)</f>
        <v/>
      </c>
      <c r="DO30" s="28" t="str">
        <f>IF(Briefing_FID!DO30="","",Briefing_FID!DO30)</f>
        <v/>
      </c>
      <c r="DP30" s="100" t="str">
        <f>IF(Briefing_FID!DP30="","",Briefing_FID!DP30)</f>
        <v/>
      </c>
      <c r="DQ30" s="3" t="str">
        <f>IF(Briefing_FID!DQ30="","",Briefing_FID!DQ30)</f>
        <v/>
      </c>
      <c r="DR30" s="28" t="str">
        <f>IF(Briefing_FID!DR30="","",Briefing_FID!DR30)</f>
        <v/>
      </c>
      <c r="DS30" s="100" t="str">
        <f>IF(Briefing_FID!DS30="","",Briefing_FID!DS30)</f>
        <v/>
      </c>
      <c r="DT30" s="3" t="str">
        <f>IF(Briefing_FID!DT30="","",Briefing_FID!DT30)</f>
        <v/>
      </c>
      <c r="DU30" s="28" t="str">
        <f>IF(Briefing_FID!DU30="","",Briefing_FID!DU30)</f>
        <v/>
      </c>
      <c r="DV30" s="100" t="str">
        <f>IF(Briefing_FID!DV30="","",Briefing_FID!DV30)</f>
        <v/>
      </c>
      <c r="DW30" s="3" t="str">
        <f>IF(Briefing_FID!DW30="","",Briefing_FID!DW30)</f>
        <v/>
      </c>
      <c r="DX30" s="28" t="str">
        <f>IF(Briefing_FID!DX30="","",Briefing_FID!DX30)</f>
        <v/>
      </c>
      <c r="DY30" s="100" t="str">
        <f>IF(Briefing_FID!DY30="","",Briefing_FID!DY30)</f>
        <v/>
      </c>
      <c r="DZ30" s="3" t="str">
        <f>IF(Briefing_FID!DZ30="","",Briefing_FID!DZ30)</f>
        <v/>
      </c>
      <c r="EA30" s="28" t="str">
        <f>IF(Briefing_FID!EA30="","",Briefing_FID!EA30)</f>
        <v/>
      </c>
      <c r="EB30" s="100" t="str">
        <f>IF(Briefing_FID!EB30="","",Briefing_FID!EB30)</f>
        <v/>
      </c>
      <c r="EC30" s="3" t="str">
        <f>IF(Briefing_FID!EC30="","",Briefing_FID!EC30)</f>
        <v/>
      </c>
      <c r="ED30" s="28" t="str">
        <f>IF(Briefing_FID!ED30="","",Briefing_FID!ED30)</f>
        <v/>
      </c>
      <c r="EE30" s="100" t="str">
        <f>IF(Briefing_FID!EE30="","",Briefing_FID!EE30)</f>
        <v/>
      </c>
      <c r="EF30" s="3" t="str">
        <f>IF(Briefing_FID!EF30="","",Briefing_FID!EF30)</f>
        <v/>
      </c>
      <c r="EG30" s="28" t="str">
        <f>IF(Briefing_FID!EG30="","",Briefing_FID!EG30)</f>
        <v/>
      </c>
      <c r="EH30" s="100" t="str">
        <f>IF(Briefing_FID!EH30="","",Briefing_FID!EH30)</f>
        <v/>
      </c>
      <c r="EI30" s="3" t="str">
        <f>IF(Briefing_FID!EI30="","",Briefing_FID!EI30)</f>
        <v/>
      </c>
      <c r="EJ30" s="28" t="str">
        <f>IF(Briefing_FID!EJ30="","",Briefing_FID!EJ30)</f>
        <v/>
      </c>
      <c r="EK30" s="100" t="str">
        <f>IF(Briefing_FID!EK30="","",Briefing_FID!EK30)</f>
        <v/>
      </c>
      <c r="EL30" s="3" t="str">
        <f>IF(Briefing_FID!EL30="","",Briefing_FID!EL30)</f>
        <v/>
      </c>
      <c r="EM30" s="28" t="str">
        <f>IF(Briefing_FID!EM30="","",Briefing_FID!EM30)</f>
        <v/>
      </c>
      <c r="EN30" s="100" t="str">
        <f>IF(Briefing_FID!EN30="","",Briefing_FID!EN30)</f>
        <v/>
      </c>
      <c r="EO30" s="3" t="str">
        <f>IF(Briefing_FID!EO30="","",Briefing_FID!EO30)</f>
        <v/>
      </c>
      <c r="EP30" s="28" t="str">
        <f>IF(Briefing_FID!EP30="","",Briefing_FID!EP30)</f>
        <v/>
      </c>
      <c r="EQ30" s="28" t="str">
        <f>IF(Briefing_FID!EQ30="","",Briefing_FID!EQ30)</f>
        <v/>
      </c>
      <c r="ER30" s="28" t="str">
        <f>IF(Briefing_FID!ER30="","",Briefing_FID!ER30)</f>
        <v/>
      </c>
      <c r="ES30" s="62"/>
      <c r="ET30" s="96" t="str">
        <f>IF(Briefing_FID!EZ30="","",Briefing_FID!EZ30)</f>
        <v/>
      </c>
      <c r="EU30" s="97" t="str">
        <f>IF(Briefing_FID!FA30="","",Briefing_FID!FA30)</f>
        <v/>
      </c>
      <c r="EV30" s="98" t="str">
        <f>IF(Briefing_FID!FB30="","",Briefing_FID!FB30)</f>
        <v/>
      </c>
      <c r="EW30" s="96" t="str">
        <f>IF(Briefing_FID!FC30="","",Briefing_FID!FC30)</f>
        <v/>
      </c>
      <c r="EX30" s="97" t="str">
        <f>IF(Briefing_FID!FD30="","",Briefing_FID!FD30)</f>
        <v/>
      </c>
      <c r="EY30" s="98" t="str">
        <f>IF(Briefing_FID!FE30="","",Briefing_FID!FE30)</f>
        <v/>
      </c>
      <c r="EZ30" s="104" t="str">
        <f>IF(Briefing_FID!FF30="","",Briefing_FID!FF30)</f>
        <v/>
      </c>
      <c r="FA30" s="144" t="str">
        <f>IF(Briefing_FID!FG30="","",Briefing_FID!FG30)</f>
        <v/>
      </c>
      <c r="FB30" s="144" t="str">
        <f>IF(Briefing_FID!FH30="","",Briefing_FID!FH30)</f>
        <v/>
      </c>
      <c r="FC30" s="144" t="str">
        <f>IF(Briefing_FID!FI30="","",Briefing_FID!FI30)</f>
        <v/>
      </c>
      <c r="FD30" s="144" t="str">
        <f>IF(Briefing_FID!FJ30="","",Briefing_FID!FJ30)</f>
        <v/>
      </c>
      <c r="FE30" s="144" t="str">
        <f>IF(Briefing_FID!FK30="","",Briefing_FID!FK30)</f>
        <v/>
      </c>
      <c r="FF30" s="144" t="str">
        <f>IF(Briefing_FID!FL30="","",Briefing_FID!FL30)</f>
        <v/>
      </c>
      <c r="FG30" s="144" t="str">
        <f>IF(Briefing_FID!FM30="","",Briefing_FID!FM30)</f>
        <v/>
      </c>
      <c r="FH30" s="144" t="str">
        <f>IF(Briefing_FID!FN30="","",Briefing_FID!FN30)</f>
        <v/>
      </c>
      <c r="FI30" s="144" t="str">
        <f>IF(Briefing_FID!FO30="","",Briefing_FID!FO30)</f>
        <v/>
      </c>
      <c r="FJ30" s="144" t="str">
        <f>IF(Briefing_FID!FP30="","",Briefing_FID!FP30)</f>
        <v/>
      </c>
      <c r="FK30" s="144" t="str">
        <f>IF(Briefing_FID!FQ30="","",Briefing_FID!FQ30)</f>
        <v/>
      </c>
      <c r="FL30" s="144" t="str">
        <f>IF(Briefing_FID!FR30="","",Briefing_FID!FR30)</f>
        <v/>
      </c>
      <c r="FM30" s="144" t="str">
        <f>IF(Briefing_FID!FS30="","",Briefing_FID!FS30)</f>
        <v/>
      </c>
      <c r="FN30" s="144" t="str">
        <f>IF(Briefing_FID!FT30="","",Briefing_FID!FT30)</f>
        <v/>
      </c>
      <c r="FO30" s="144" t="str">
        <f>IF(Briefing_FID!FU30="","",Briefing_FID!FU30)</f>
        <v/>
      </c>
      <c r="FP30" s="144" t="str">
        <f>IF(Briefing_FID!FV30="","",Briefing_FID!FV30)</f>
        <v/>
      </c>
      <c r="FQ30" s="144" t="str">
        <f>IF(Briefing_FID!FW30="","",Briefing_FID!FW30)</f>
        <v/>
      </c>
      <c r="FR30" s="151"/>
      <c r="FS30" s="152"/>
      <c r="FT30" s="152"/>
      <c r="FU30" s="152"/>
      <c r="FV30" s="152"/>
      <c r="FW30" s="152"/>
      <c r="FX30" s="152"/>
      <c r="FY30" s="152"/>
      <c r="FZ30" s="152"/>
      <c r="GA30" s="153"/>
    </row>
    <row r="31" spans="1:183">
      <c r="A31" s="136" t="str">
        <f>IF(Briefing_FID!A31="","",Briefing_FID!A31)</f>
        <v/>
      </c>
      <c r="B31" s="137" t="str">
        <f>IF(Briefing_FID!B31="","",Briefing_FID!B31)</f>
        <v/>
      </c>
      <c r="C31" s="137" t="str">
        <f>IF(Briefing_FID!C31="","",Briefing_FID!C31)</f>
        <v/>
      </c>
      <c r="D31" s="46"/>
      <c r="E31" s="120"/>
      <c r="F31" s="117"/>
      <c r="G31" s="117"/>
      <c r="H31" s="72"/>
      <c r="I31" s="72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23"/>
      <c r="AD31" s="117"/>
      <c r="AE31" s="117"/>
      <c r="AF31" s="117"/>
      <c r="AG31" s="117"/>
      <c r="AH31" s="117"/>
      <c r="AI31" s="117"/>
      <c r="AJ31" s="117"/>
      <c r="AK31" s="117"/>
      <c r="AL31" s="124"/>
      <c r="AM31" s="37"/>
      <c r="AN31" s="38"/>
      <c r="AO31" s="39"/>
      <c r="AP31" s="111" t="str">
        <f>IF(Briefing_FID!AP31="","",Briefing_FID!AP31)</f>
        <v/>
      </c>
      <c r="AQ31" s="112" t="str">
        <f>IF(Briefing_FID!AQ31="","",Briefing_FID!AQ31)</f>
        <v/>
      </c>
      <c r="AR31" s="107" t="str">
        <f>IF(Briefing_FID!AR31="","",Briefing_FID!AR31)</f>
        <v/>
      </c>
      <c r="AS31" s="108" t="str">
        <f>IF(Briefing_FID!AS31="","",Briefing_FID!AS31)</f>
        <v/>
      </c>
      <c r="AT31" s="113" t="str">
        <f>IF(Briefing_FID!AT31="","",Briefing_FID!AT31)</f>
        <v/>
      </c>
      <c r="AU31" s="113" t="str">
        <f>IF(Briefing_FID!AU31="","",Briefing_FID!AU31)</f>
        <v/>
      </c>
      <c r="AV31" s="113" t="str">
        <f>IF(Briefing_FID!AV31="","",Briefing_FID!AV31)</f>
        <v/>
      </c>
      <c r="AW31" s="113" t="str">
        <f>IF(Briefing_FID!AW31="","",Briefing_FID!AW31)</f>
        <v/>
      </c>
      <c r="AX31" s="114" t="str">
        <f>IF(Briefing_FID!AX31="","",Briefing_FID!AX31)</f>
        <v/>
      </c>
      <c r="AY31" s="71"/>
      <c r="AZ31" s="117" t="str">
        <f>IF(Briefing_FID!AZ31="","",Briefing_FID!AZ31)</f>
        <v/>
      </c>
      <c r="BA31" s="118" t="str">
        <f>IF(Briefing_FID!BA31="","",Briefing_FID!BA31)</f>
        <v/>
      </c>
      <c r="BB31" s="55"/>
      <c r="BC31" s="102" t="str">
        <f>IF(Briefing_FID!BC31="","",Briefing_FID!BC31)</f>
        <v/>
      </c>
      <c r="BD31" s="27" t="str">
        <f>IF(Briefing_FID!BD31="","",Briefing_FID!BD31)</f>
        <v/>
      </c>
      <c r="BE31" s="100" t="str">
        <f>IF(Briefing_FID!BE31="","",Briefing_FID!BE31)</f>
        <v/>
      </c>
      <c r="BF31" s="3" t="str">
        <f>IF(Briefing_FID!BF31="","",Briefing_FID!BF31)</f>
        <v/>
      </c>
      <c r="BG31" s="10" t="str">
        <f>IF(Briefing_FID!BG31="","",Briefing_FID!BG31)</f>
        <v/>
      </c>
      <c r="BH31" s="100" t="str">
        <f>IF(Briefing_FID!BH31="","",Briefing_FID!BH31)</f>
        <v/>
      </c>
      <c r="BI31" s="3" t="str">
        <f>IF(Briefing_FID!BI31="","",Briefing_FID!BI31)</f>
        <v/>
      </c>
      <c r="BJ31" s="10" t="str">
        <f>IF(Briefing_FID!BJ31="","",Briefing_FID!BJ31)</f>
        <v/>
      </c>
      <c r="BK31" s="100" t="str">
        <f>IF(Briefing_FID!BK31="","",Briefing_FID!BK31)</f>
        <v/>
      </c>
      <c r="BL31" s="3" t="str">
        <f>IF(Briefing_FID!BL31="","",Briefing_FID!BL31)</f>
        <v/>
      </c>
      <c r="BM31" s="28" t="str">
        <f>IF(Briefing_FID!BM31="","",Briefing_FID!BM31)</f>
        <v/>
      </c>
      <c r="BN31" s="100" t="str">
        <f>IF(Briefing_FID!BN31="","",Briefing_FID!BN31)</f>
        <v/>
      </c>
      <c r="BO31" s="3" t="str">
        <f>IF(Briefing_FID!BO31="","",Briefing_FID!BO31)</f>
        <v/>
      </c>
      <c r="BP31" s="28" t="str">
        <f>IF(Briefing_FID!BP31="","",Briefing_FID!BP31)</f>
        <v/>
      </c>
      <c r="BQ31" s="100" t="str">
        <f>IF(Briefing_FID!BQ31="","",Briefing_FID!BQ31)</f>
        <v/>
      </c>
      <c r="BR31" s="3" t="str">
        <f>IF(Briefing_FID!BR31="","",Briefing_FID!BR31)</f>
        <v/>
      </c>
      <c r="BS31" s="28" t="str">
        <f>IF(Briefing_FID!BS31="","",Briefing_FID!BS31)</f>
        <v/>
      </c>
      <c r="BT31" s="100" t="str">
        <f>IF(Briefing_FID!BT31="","",Briefing_FID!BT31)</f>
        <v/>
      </c>
      <c r="BU31" s="3" t="str">
        <f>IF(Briefing_FID!BU31="","",Briefing_FID!BU31)</f>
        <v/>
      </c>
      <c r="BV31" s="28" t="str">
        <f>IF(Briefing_FID!BV31="","",Briefing_FID!BV31)</f>
        <v/>
      </c>
      <c r="BW31" s="100" t="str">
        <f>IF(Briefing_FID!BW31="","",Briefing_FID!BW31)</f>
        <v/>
      </c>
      <c r="BX31" s="3" t="str">
        <f>IF(Briefing_FID!BX31="","",Briefing_FID!BX31)</f>
        <v/>
      </c>
      <c r="BY31" s="28" t="str">
        <f>IF(Briefing_FID!BY31="","",Briefing_FID!BY31)</f>
        <v/>
      </c>
      <c r="BZ31" s="100" t="str">
        <f>IF(Briefing_FID!BZ31="","",Briefing_FID!BZ31)</f>
        <v/>
      </c>
      <c r="CA31" s="3" t="str">
        <f>IF(Briefing_FID!CA31="","",Briefing_FID!CA31)</f>
        <v/>
      </c>
      <c r="CB31" s="28" t="str">
        <f>IF(Briefing_FID!CB31="","",Briefing_FID!CB31)</f>
        <v/>
      </c>
      <c r="CC31" s="100" t="str">
        <f>IF(Briefing_FID!CC31="","",Briefing_FID!CC31)</f>
        <v/>
      </c>
      <c r="CD31" s="3" t="str">
        <f>IF(Briefing_FID!CD31="","",Briefing_FID!CD31)</f>
        <v/>
      </c>
      <c r="CE31" s="28" t="str">
        <f>IF(Briefing_FID!CE31="","",Briefing_FID!CE31)</f>
        <v/>
      </c>
      <c r="CF31" s="100" t="str">
        <f>IF(Briefing_FID!CF31="","",Briefing_FID!CF31)</f>
        <v/>
      </c>
      <c r="CG31" s="3" t="str">
        <f>IF(Briefing_FID!CG31="","",Briefing_FID!CG31)</f>
        <v/>
      </c>
      <c r="CH31" s="28" t="str">
        <f>IF(Briefing_FID!CH31="","",Briefing_FID!CH31)</f>
        <v/>
      </c>
      <c r="CI31" s="100" t="str">
        <f>IF(Briefing_FID!CI31="","",Briefing_FID!CI31)</f>
        <v/>
      </c>
      <c r="CJ31" s="3" t="str">
        <f>IF(Briefing_FID!CJ31="","",Briefing_FID!CJ31)</f>
        <v/>
      </c>
      <c r="CK31" s="28" t="str">
        <f>IF(Briefing_FID!CK31="","",Briefing_FID!CK31)</f>
        <v/>
      </c>
      <c r="CL31" s="100" t="str">
        <f>IF(Briefing_FID!CL31="","",Briefing_FID!CL31)</f>
        <v/>
      </c>
      <c r="CM31" s="3" t="str">
        <f>IF(Briefing_FID!CM31="","",Briefing_FID!CM31)</f>
        <v/>
      </c>
      <c r="CN31" s="28" t="str">
        <f>IF(Briefing_FID!CN31="","",Briefing_FID!CN31)</f>
        <v/>
      </c>
      <c r="CO31" s="100" t="str">
        <f>IF(Briefing_FID!CO31="","",Briefing_FID!CO31)</f>
        <v/>
      </c>
      <c r="CP31" s="3" t="str">
        <f>IF(Briefing_FID!CP31="","",Briefing_FID!CP31)</f>
        <v/>
      </c>
      <c r="CQ31" s="28" t="str">
        <f>IF(Briefing_FID!CQ31="","",Briefing_FID!CQ31)</f>
        <v/>
      </c>
      <c r="CR31" s="100" t="str">
        <f>IF(Briefing_FID!CR31="","",Briefing_FID!CR31)</f>
        <v/>
      </c>
      <c r="CS31" s="3" t="str">
        <f>IF(Briefing_FID!CS31="","",Briefing_FID!CS31)</f>
        <v/>
      </c>
      <c r="CT31" s="28" t="str">
        <f>IF(Briefing_FID!CT31="","",Briefing_FID!CT31)</f>
        <v/>
      </c>
      <c r="CU31" s="100" t="str">
        <f>IF(Briefing_FID!CU31="","",Briefing_FID!CU31)</f>
        <v/>
      </c>
      <c r="CV31" s="3" t="str">
        <f>IF(Briefing_FID!CV31="","",Briefing_FID!CV31)</f>
        <v/>
      </c>
      <c r="CW31" s="28" t="str">
        <f>IF(Briefing_FID!CW31="","",Briefing_FID!CW31)</f>
        <v/>
      </c>
      <c r="CX31" s="100" t="str">
        <f>IF(Briefing_FID!CX31="","",Briefing_FID!CX31)</f>
        <v/>
      </c>
      <c r="CY31" s="3" t="str">
        <f>IF(Briefing_FID!CY31="","",Briefing_FID!CY31)</f>
        <v/>
      </c>
      <c r="CZ31" s="28" t="str">
        <f>IF(Briefing_FID!CZ31="","",Briefing_FID!CZ31)</f>
        <v/>
      </c>
      <c r="DA31" s="100" t="str">
        <f>IF(Briefing_FID!DA31="","",Briefing_FID!DA31)</f>
        <v/>
      </c>
      <c r="DB31" s="3" t="str">
        <f>IF(Briefing_FID!DB31="","",Briefing_FID!DB31)</f>
        <v/>
      </c>
      <c r="DC31" s="28" t="str">
        <f>IF(Briefing_FID!DC31="","",Briefing_FID!DC31)</f>
        <v/>
      </c>
      <c r="DD31" s="100" t="str">
        <f>IF(Briefing_FID!DD31="","",Briefing_FID!DD31)</f>
        <v/>
      </c>
      <c r="DE31" s="3" t="str">
        <f>IF(Briefing_FID!DE31="","",Briefing_FID!DE31)</f>
        <v/>
      </c>
      <c r="DF31" s="28" t="str">
        <f>IF(Briefing_FID!DF31="","",Briefing_FID!DF31)</f>
        <v/>
      </c>
      <c r="DG31" s="100" t="str">
        <f>IF(Briefing_FID!DG31="","",Briefing_FID!DG31)</f>
        <v/>
      </c>
      <c r="DH31" s="3" t="str">
        <f>IF(Briefing_FID!DH31="","",Briefing_FID!DH31)</f>
        <v/>
      </c>
      <c r="DI31" s="28" t="str">
        <f>IF(Briefing_FID!DI31="","",Briefing_FID!DI31)</f>
        <v/>
      </c>
      <c r="DJ31" s="100" t="str">
        <f>IF(Briefing_FID!DJ31="","",Briefing_FID!DJ31)</f>
        <v/>
      </c>
      <c r="DK31" s="3" t="str">
        <f>IF(Briefing_FID!DK31="","",Briefing_FID!DK31)</f>
        <v/>
      </c>
      <c r="DL31" s="28" t="str">
        <f>IF(Briefing_FID!DL31="","",Briefing_FID!DL31)</f>
        <v/>
      </c>
      <c r="DM31" s="100" t="str">
        <f>IF(Briefing_FID!DM31="","",Briefing_FID!DM31)</f>
        <v/>
      </c>
      <c r="DN31" s="3" t="str">
        <f>IF(Briefing_FID!DN31="","",Briefing_FID!DN31)</f>
        <v/>
      </c>
      <c r="DO31" s="28" t="str">
        <f>IF(Briefing_FID!DO31="","",Briefing_FID!DO31)</f>
        <v/>
      </c>
      <c r="DP31" s="100" t="str">
        <f>IF(Briefing_FID!DP31="","",Briefing_FID!DP31)</f>
        <v/>
      </c>
      <c r="DQ31" s="3" t="str">
        <f>IF(Briefing_FID!DQ31="","",Briefing_FID!DQ31)</f>
        <v/>
      </c>
      <c r="DR31" s="28" t="str">
        <f>IF(Briefing_FID!DR31="","",Briefing_FID!DR31)</f>
        <v/>
      </c>
      <c r="DS31" s="100" t="str">
        <f>IF(Briefing_FID!DS31="","",Briefing_FID!DS31)</f>
        <v/>
      </c>
      <c r="DT31" s="3" t="str">
        <f>IF(Briefing_FID!DT31="","",Briefing_FID!DT31)</f>
        <v/>
      </c>
      <c r="DU31" s="28" t="str">
        <f>IF(Briefing_FID!DU31="","",Briefing_FID!DU31)</f>
        <v/>
      </c>
      <c r="DV31" s="100" t="str">
        <f>IF(Briefing_FID!DV31="","",Briefing_FID!DV31)</f>
        <v/>
      </c>
      <c r="DW31" s="3" t="str">
        <f>IF(Briefing_FID!DW31="","",Briefing_FID!DW31)</f>
        <v/>
      </c>
      <c r="DX31" s="28" t="str">
        <f>IF(Briefing_FID!DX31="","",Briefing_FID!DX31)</f>
        <v/>
      </c>
      <c r="DY31" s="100" t="str">
        <f>IF(Briefing_FID!DY31="","",Briefing_FID!DY31)</f>
        <v/>
      </c>
      <c r="DZ31" s="3" t="str">
        <f>IF(Briefing_FID!DZ31="","",Briefing_FID!DZ31)</f>
        <v/>
      </c>
      <c r="EA31" s="28" t="str">
        <f>IF(Briefing_FID!EA31="","",Briefing_FID!EA31)</f>
        <v/>
      </c>
      <c r="EB31" s="100" t="str">
        <f>IF(Briefing_FID!EB31="","",Briefing_FID!EB31)</f>
        <v/>
      </c>
      <c r="EC31" s="3" t="str">
        <f>IF(Briefing_FID!EC31="","",Briefing_FID!EC31)</f>
        <v/>
      </c>
      <c r="ED31" s="28" t="str">
        <f>IF(Briefing_FID!ED31="","",Briefing_FID!ED31)</f>
        <v/>
      </c>
      <c r="EE31" s="100" t="str">
        <f>IF(Briefing_FID!EE31="","",Briefing_FID!EE31)</f>
        <v/>
      </c>
      <c r="EF31" s="3" t="str">
        <f>IF(Briefing_FID!EF31="","",Briefing_FID!EF31)</f>
        <v/>
      </c>
      <c r="EG31" s="28" t="str">
        <f>IF(Briefing_FID!EG31="","",Briefing_FID!EG31)</f>
        <v/>
      </c>
      <c r="EH31" s="100" t="str">
        <f>IF(Briefing_FID!EH31="","",Briefing_FID!EH31)</f>
        <v/>
      </c>
      <c r="EI31" s="3" t="str">
        <f>IF(Briefing_FID!EI31="","",Briefing_FID!EI31)</f>
        <v/>
      </c>
      <c r="EJ31" s="28" t="str">
        <f>IF(Briefing_FID!EJ31="","",Briefing_FID!EJ31)</f>
        <v/>
      </c>
      <c r="EK31" s="100" t="str">
        <f>IF(Briefing_FID!EK31="","",Briefing_FID!EK31)</f>
        <v/>
      </c>
      <c r="EL31" s="3" t="str">
        <f>IF(Briefing_FID!EL31="","",Briefing_FID!EL31)</f>
        <v/>
      </c>
      <c r="EM31" s="28" t="str">
        <f>IF(Briefing_FID!EM31="","",Briefing_FID!EM31)</f>
        <v/>
      </c>
      <c r="EN31" s="100" t="str">
        <f>IF(Briefing_FID!EN31="","",Briefing_FID!EN31)</f>
        <v/>
      </c>
      <c r="EO31" s="3" t="str">
        <f>IF(Briefing_FID!EO31="","",Briefing_FID!EO31)</f>
        <v/>
      </c>
      <c r="EP31" s="28" t="str">
        <f>IF(Briefing_FID!EP31="","",Briefing_FID!EP31)</f>
        <v/>
      </c>
      <c r="EQ31" s="28" t="str">
        <f>IF(Briefing_FID!EQ31="","",Briefing_FID!EQ31)</f>
        <v/>
      </c>
      <c r="ER31" s="28" t="str">
        <f>IF(Briefing_FID!ER31="","",Briefing_FID!ER31)</f>
        <v/>
      </c>
      <c r="ES31" s="62"/>
      <c r="ET31" s="96" t="str">
        <f>IF(Briefing_FID!EZ31="","",Briefing_FID!EZ31)</f>
        <v/>
      </c>
      <c r="EU31" s="97" t="str">
        <f>IF(Briefing_FID!FA31="","",Briefing_FID!FA31)</f>
        <v/>
      </c>
      <c r="EV31" s="98" t="str">
        <f>IF(Briefing_FID!FB31="","",Briefing_FID!FB31)</f>
        <v/>
      </c>
      <c r="EW31" s="96" t="str">
        <f>IF(Briefing_FID!FC31="","",Briefing_FID!FC31)</f>
        <v/>
      </c>
      <c r="EX31" s="97" t="str">
        <f>IF(Briefing_FID!FD31="","",Briefing_FID!FD31)</f>
        <v/>
      </c>
      <c r="EY31" s="98" t="str">
        <f>IF(Briefing_FID!FE31="","",Briefing_FID!FE31)</f>
        <v/>
      </c>
      <c r="EZ31" s="104" t="str">
        <f>IF(Briefing_FID!FF31="","",Briefing_FID!FF31)</f>
        <v/>
      </c>
      <c r="FA31" s="144" t="str">
        <f>IF(Briefing_FID!FG31="","",Briefing_FID!FG31)</f>
        <v/>
      </c>
      <c r="FB31" s="144" t="str">
        <f>IF(Briefing_FID!FH31="","",Briefing_FID!FH31)</f>
        <v/>
      </c>
      <c r="FC31" s="144" t="str">
        <f>IF(Briefing_FID!FI31="","",Briefing_FID!FI31)</f>
        <v/>
      </c>
      <c r="FD31" s="144" t="str">
        <f>IF(Briefing_FID!FJ31="","",Briefing_FID!FJ31)</f>
        <v/>
      </c>
      <c r="FE31" s="144" t="str">
        <f>IF(Briefing_FID!FK31="","",Briefing_FID!FK31)</f>
        <v/>
      </c>
      <c r="FF31" s="144" t="str">
        <f>IF(Briefing_FID!FL31="","",Briefing_FID!FL31)</f>
        <v/>
      </c>
      <c r="FG31" s="144" t="str">
        <f>IF(Briefing_FID!FM31="","",Briefing_FID!FM31)</f>
        <v/>
      </c>
      <c r="FH31" s="144" t="str">
        <f>IF(Briefing_FID!FN31="","",Briefing_FID!FN31)</f>
        <v/>
      </c>
      <c r="FI31" s="144" t="str">
        <f>IF(Briefing_FID!FO31="","",Briefing_FID!FO31)</f>
        <v/>
      </c>
      <c r="FJ31" s="144" t="str">
        <f>IF(Briefing_FID!FP31="","",Briefing_FID!FP31)</f>
        <v/>
      </c>
      <c r="FK31" s="144" t="str">
        <f>IF(Briefing_FID!FQ31="","",Briefing_FID!FQ31)</f>
        <v/>
      </c>
      <c r="FL31" s="144" t="str">
        <f>IF(Briefing_FID!FR31="","",Briefing_FID!FR31)</f>
        <v/>
      </c>
      <c r="FM31" s="144" t="str">
        <f>IF(Briefing_FID!FS31="","",Briefing_FID!FS31)</f>
        <v/>
      </c>
      <c r="FN31" s="144" t="str">
        <f>IF(Briefing_FID!FT31="","",Briefing_FID!FT31)</f>
        <v/>
      </c>
      <c r="FO31" s="144" t="str">
        <f>IF(Briefing_FID!FU31="","",Briefing_FID!FU31)</f>
        <v/>
      </c>
      <c r="FP31" s="144" t="str">
        <f>IF(Briefing_FID!FV31="","",Briefing_FID!FV31)</f>
        <v/>
      </c>
      <c r="FQ31" s="144" t="str">
        <f>IF(Briefing_FID!FW31="","",Briefing_FID!FW31)</f>
        <v/>
      </c>
      <c r="FR31" s="151"/>
      <c r="FS31" s="152"/>
      <c r="FT31" s="152"/>
      <c r="FU31" s="152"/>
      <c r="FV31" s="152"/>
      <c r="FW31" s="152"/>
      <c r="FX31" s="152"/>
      <c r="FY31" s="152"/>
      <c r="FZ31" s="152"/>
      <c r="GA31" s="153"/>
    </row>
    <row r="32" spans="1:183">
      <c r="A32" s="136" t="str">
        <f>IF(Briefing_FID!A32="","",Briefing_FID!A32)</f>
        <v/>
      </c>
      <c r="B32" s="137" t="str">
        <f>IF(Briefing_FID!B32="","",Briefing_FID!B32)</f>
        <v/>
      </c>
      <c r="C32" s="137" t="str">
        <f>IF(Briefing_FID!C32="","",Briefing_FID!C32)</f>
        <v/>
      </c>
      <c r="D32" s="46"/>
      <c r="E32" s="120"/>
      <c r="F32" s="117"/>
      <c r="G32" s="117"/>
      <c r="H32" s="72"/>
      <c r="I32" s="72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23"/>
      <c r="AD32" s="117"/>
      <c r="AE32" s="117"/>
      <c r="AF32" s="117"/>
      <c r="AG32" s="117"/>
      <c r="AH32" s="117"/>
      <c r="AI32" s="117"/>
      <c r="AJ32" s="117"/>
      <c r="AK32" s="117"/>
      <c r="AL32" s="124"/>
      <c r="AM32" s="37"/>
      <c r="AN32" s="38"/>
      <c r="AO32" s="39"/>
      <c r="AP32" s="111" t="str">
        <f>IF(Briefing_FID!AP32="","",Briefing_FID!AP32)</f>
        <v/>
      </c>
      <c r="AQ32" s="112" t="str">
        <f>IF(Briefing_FID!AQ32="","",Briefing_FID!AQ32)</f>
        <v/>
      </c>
      <c r="AR32" s="107" t="str">
        <f>IF(Briefing_FID!AR32="","",Briefing_FID!AR32)</f>
        <v/>
      </c>
      <c r="AS32" s="108" t="str">
        <f>IF(Briefing_FID!AS32="","",Briefing_FID!AS32)</f>
        <v/>
      </c>
      <c r="AT32" s="113" t="str">
        <f>IF(Briefing_FID!AT32="","",Briefing_FID!AT32)</f>
        <v/>
      </c>
      <c r="AU32" s="113" t="str">
        <f>IF(Briefing_FID!AU32="","",Briefing_FID!AU32)</f>
        <v/>
      </c>
      <c r="AV32" s="113" t="str">
        <f>IF(Briefing_FID!AV32="","",Briefing_FID!AV32)</f>
        <v/>
      </c>
      <c r="AW32" s="113" t="str">
        <f>IF(Briefing_FID!AW32="","",Briefing_FID!AW32)</f>
        <v/>
      </c>
      <c r="AX32" s="114" t="str">
        <f>IF(Briefing_FID!AX32="","",Briefing_FID!AX32)</f>
        <v/>
      </c>
      <c r="AY32" s="71"/>
      <c r="AZ32" s="117" t="str">
        <f>IF(Briefing_FID!AZ32="","",Briefing_FID!AZ32)</f>
        <v/>
      </c>
      <c r="BA32" s="118" t="str">
        <f>IF(Briefing_FID!BA32="","",Briefing_FID!BA32)</f>
        <v/>
      </c>
      <c r="BB32" s="55"/>
      <c r="BC32" s="102" t="str">
        <f>IF(Briefing_FID!BC32="","",Briefing_FID!BC32)</f>
        <v/>
      </c>
      <c r="BD32" s="27" t="str">
        <f>IF(Briefing_FID!BD32="","",Briefing_FID!BD32)</f>
        <v/>
      </c>
      <c r="BE32" s="100" t="str">
        <f>IF(Briefing_FID!BE32="","",Briefing_FID!BE32)</f>
        <v/>
      </c>
      <c r="BF32" s="3" t="str">
        <f>IF(Briefing_FID!BF32="","",Briefing_FID!BF32)</f>
        <v/>
      </c>
      <c r="BG32" s="10" t="str">
        <f>IF(Briefing_FID!BG32="","",Briefing_FID!BG32)</f>
        <v/>
      </c>
      <c r="BH32" s="100" t="str">
        <f>IF(Briefing_FID!BH32="","",Briefing_FID!BH32)</f>
        <v/>
      </c>
      <c r="BI32" s="3" t="str">
        <f>IF(Briefing_FID!BI32="","",Briefing_FID!BI32)</f>
        <v/>
      </c>
      <c r="BJ32" s="10" t="str">
        <f>IF(Briefing_FID!BJ32="","",Briefing_FID!BJ32)</f>
        <v/>
      </c>
      <c r="BK32" s="100" t="str">
        <f>IF(Briefing_FID!BK32="","",Briefing_FID!BK32)</f>
        <v/>
      </c>
      <c r="BL32" s="3" t="str">
        <f>IF(Briefing_FID!BL32="","",Briefing_FID!BL32)</f>
        <v/>
      </c>
      <c r="BM32" s="28" t="str">
        <f>IF(Briefing_FID!BM32="","",Briefing_FID!BM32)</f>
        <v/>
      </c>
      <c r="BN32" s="100" t="str">
        <f>IF(Briefing_FID!BN32="","",Briefing_FID!BN32)</f>
        <v/>
      </c>
      <c r="BO32" s="3" t="str">
        <f>IF(Briefing_FID!BO32="","",Briefing_FID!BO32)</f>
        <v/>
      </c>
      <c r="BP32" s="28" t="str">
        <f>IF(Briefing_FID!BP32="","",Briefing_FID!BP32)</f>
        <v/>
      </c>
      <c r="BQ32" s="100" t="str">
        <f>IF(Briefing_FID!BQ32="","",Briefing_FID!BQ32)</f>
        <v/>
      </c>
      <c r="BR32" s="3" t="str">
        <f>IF(Briefing_FID!BR32="","",Briefing_FID!BR32)</f>
        <v/>
      </c>
      <c r="BS32" s="28" t="str">
        <f>IF(Briefing_FID!BS32="","",Briefing_FID!BS32)</f>
        <v/>
      </c>
      <c r="BT32" s="100" t="str">
        <f>IF(Briefing_FID!BT32="","",Briefing_FID!BT32)</f>
        <v/>
      </c>
      <c r="BU32" s="3" t="str">
        <f>IF(Briefing_FID!BU32="","",Briefing_FID!BU32)</f>
        <v/>
      </c>
      <c r="BV32" s="28" t="str">
        <f>IF(Briefing_FID!BV32="","",Briefing_FID!BV32)</f>
        <v/>
      </c>
      <c r="BW32" s="100" t="str">
        <f>IF(Briefing_FID!BW32="","",Briefing_FID!BW32)</f>
        <v/>
      </c>
      <c r="BX32" s="3" t="str">
        <f>IF(Briefing_FID!BX32="","",Briefing_FID!BX32)</f>
        <v/>
      </c>
      <c r="BY32" s="28" t="str">
        <f>IF(Briefing_FID!BY32="","",Briefing_FID!BY32)</f>
        <v/>
      </c>
      <c r="BZ32" s="100" t="str">
        <f>IF(Briefing_FID!BZ32="","",Briefing_FID!BZ32)</f>
        <v/>
      </c>
      <c r="CA32" s="3" t="str">
        <f>IF(Briefing_FID!CA32="","",Briefing_FID!CA32)</f>
        <v/>
      </c>
      <c r="CB32" s="28" t="str">
        <f>IF(Briefing_FID!CB32="","",Briefing_FID!CB32)</f>
        <v/>
      </c>
      <c r="CC32" s="100" t="str">
        <f>IF(Briefing_FID!CC32="","",Briefing_FID!CC32)</f>
        <v/>
      </c>
      <c r="CD32" s="3" t="str">
        <f>IF(Briefing_FID!CD32="","",Briefing_FID!CD32)</f>
        <v/>
      </c>
      <c r="CE32" s="28" t="str">
        <f>IF(Briefing_FID!CE32="","",Briefing_FID!CE32)</f>
        <v/>
      </c>
      <c r="CF32" s="100" t="str">
        <f>IF(Briefing_FID!CF32="","",Briefing_FID!CF32)</f>
        <v/>
      </c>
      <c r="CG32" s="3" t="str">
        <f>IF(Briefing_FID!CG32="","",Briefing_FID!CG32)</f>
        <v/>
      </c>
      <c r="CH32" s="28" t="str">
        <f>IF(Briefing_FID!CH32="","",Briefing_FID!CH32)</f>
        <v/>
      </c>
      <c r="CI32" s="100" t="str">
        <f>IF(Briefing_FID!CI32="","",Briefing_FID!CI32)</f>
        <v/>
      </c>
      <c r="CJ32" s="3" t="str">
        <f>IF(Briefing_FID!CJ32="","",Briefing_FID!CJ32)</f>
        <v/>
      </c>
      <c r="CK32" s="28" t="str">
        <f>IF(Briefing_FID!CK32="","",Briefing_FID!CK32)</f>
        <v/>
      </c>
      <c r="CL32" s="100" t="str">
        <f>IF(Briefing_FID!CL32="","",Briefing_FID!CL32)</f>
        <v/>
      </c>
      <c r="CM32" s="3" t="str">
        <f>IF(Briefing_FID!CM32="","",Briefing_FID!CM32)</f>
        <v/>
      </c>
      <c r="CN32" s="28" t="str">
        <f>IF(Briefing_FID!CN32="","",Briefing_FID!CN32)</f>
        <v/>
      </c>
      <c r="CO32" s="100" t="str">
        <f>IF(Briefing_FID!CO32="","",Briefing_FID!CO32)</f>
        <v/>
      </c>
      <c r="CP32" s="3" t="str">
        <f>IF(Briefing_FID!CP32="","",Briefing_FID!CP32)</f>
        <v/>
      </c>
      <c r="CQ32" s="28" t="str">
        <f>IF(Briefing_FID!CQ32="","",Briefing_FID!CQ32)</f>
        <v/>
      </c>
      <c r="CR32" s="100" t="str">
        <f>IF(Briefing_FID!CR32="","",Briefing_FID!CR32)</f>
        <v/>
      </c>
      <c r="CS32" s="3" t="str">
        <f>IF(Briefing_FID!CS32="","",Briefing_FID!CS32)</f>
        <v/>
      </c>
      <c r="CT32" s="28" t="str">
        <f>IF(Briefing_FID!CT32="","",Briefing_FID!CT32)</f>
        <v/>
      </c>
      <c r="CU32" s="100" t="str">
        <f>IF(Briefing_FID!CU32="","",Briefing_FID!CU32)</f>
        <v/>
      </c>
      <c r="CV32" s="3" t="str">
        <f>IF(Briefing_FID!CV32="","",Briefing_FID!CV32)</f>
        <v/>
      </c>
      <c r="CW32" s="28" t="str">
        <f>IF(Briefing_FID!CW32="","",Briefing_FID!CW32)</f>
        <v/>
      </c>
      <c r="CX32" s="100" t="str">
        <f>IF(Briefing_FID!CX32="","",Briefing_FID!CX32)</f>
        <v/>
      </c>
      <c r="CY32" s="3" t="str">
        <f>IF(Briefing_FID!CY32="","",Briefing_FID!CY32)</f>
        <v/>
      </c>
      <c r="CZ32" s="28" t="str">
        <f>IF(Briefing_FID!CZ32="","",Briefing_FID!CZ32)</f>
        <v/>
      </c>
      <c r="DA32" s="100" t="str">
        <f>IF(Briefing_FID!DA32="","",Briefing_FID!DA32)</f>
        <v/>
      </c>
      <c r="DB32" s="3" t="str">
        <f>IF(Briefing_FID!DB32="","",Briefing_FID!DB32)</f>
        <v/>
      </c>
      <c r="DC32" s="28" t="str">
        <f>IF(Briefing_FID!DC32="","",Briefing_FID!DC32)</f>
        <v/>
      </c>
      <c r="DD32" s="100" t="str">
        <f>IF(Briefing_FID!DD32="","",Briefing_FID!DD32)</f>
        <v/>
      </c>
      <c r="DE32" s="3" t="str">
        <f>IF(Briefing_FID!DE32="","",Briefing_FID!DE32)</f>
        <v/>
      </c>
      <c r="DF32" s="28" t="str">
        <f>IF(Briefing_FID!DF32="","",Briefing_FID!DF32)</f>
        <v/>
      </c>
      <c r="DG32" s="100" t="str">
        <f>IF(Briefing_FID!DG32="","",Briefing_FID!DG32)</f>
        <v/>
      </c>
      <c r="DH32" s="3" t="str">
        <f>IF(Briefing_FID!DH32="","",Briefing_FID!DH32)</f>
        <v/>
      </c>
      <c r="DI32" s="28" t="str">
        <f>IF(Briefing_FID!DI32="","",Briefing_FID!DI32)</f>
        <v/>
      </c>
      <c r="DJ32" s="100" t="str">
        <f>IF(Briefing_FID!DJ32="","",Briefing_FID!DJ32)</f>
        <v/>
      </c>
      <c r="DK32" s="3" t="str">
        <f>IF(Briefing_FID!DK32="","",Briefing_FID!DK32)</f>
        <v/>
      </c>
      <c r="DL32" s="28" t="str">
        <f>IF(Briefing_FID!DL32="","",Briefing_FID!DL32)</f>
        <v/>
      </c>
      <c r="DM32" s="100" t="str">
        <f>IF(Briefing_FID!DM32="","",Briefing_FID!DM32)</f>
        <v/>
      </c>
      <c r="DN32" s="3" t="str">
        <f>IF(Briefing_FID!DN32="","",Briefing_FID!DN32)</f>
        <v/>
      </c>
      <c r="DO32" s="28" t="str">
        <f>IF(Briefing_FID!DO32="","",Briefing_FID!DO32)</f>
        <v/>
      </c>
      <c r="DP32" s="100" t="str">
        <f>IF(Briefing_FID!DP32="","",Briefing_FID!DP32)</f>
        <v/>
      </c>
      <c r="DQ32" s="3" t="str">
        <f>IF(Briefing_FID!DQ32="","",Briefing_FID!DQ32)</f>
        <v/>
      </c>
      <c r="DR32" s="28" t="str">
        <f>IF(Briefing_FID!DR32="","",Briefing_FID!DR32)</f>
        <v/>
      </c>
      <c r="DS32" s="100" t="str">
        <f>IF(Briefing_FID!DS32="","",Briefing_FID!DS32)</f>
        <v/>
      </c>
      <c r="DT32" s="3" t="str">
        <f>IF(Briefing_FID!DT32="","",Briefing_FID!DT32)</f>
        <v/>
      </c>
      <c r="DU32" s="28" t="str">
        <f>IF(Briefing_FID!DU32="","",Briefing_FID!DU32)</f>
        <v/>
      </c>
      <c r="DV32" s="100" t="str">
        <f>IF(Briefing_FID!DV32="","",Briefing_FID!DV32)</f>
        <v/>
      </c>
      <c r="DW32" s="3" t="str">
        <f>IF(Briefing_FID!DW32="","",Briefing_FID!DW32)</f>
        <v/>
      </c>
      <c r="DX32" s="28" t="str">
        <f>IF(Briefing_FID!DX32="","",Briefing_FID!DX32)</f>
        <v/>
      </c>
      <c r="DY32" s="100" t="str">
        <f>IF(Briefing_FID!DY32="","",Briefing_FID!DY32)</f>
        <v/>
      </c>
      <c r="DZ32" s="3" t="str">
        <f>IF(Briefing_FID!DZ32="","",Briefing_FID!DZ32)</f>
        <v/>
      </c>
      <c r="EA32" s="28" t="str">
        <f>IF(Briefing_FID!EA32="","",Briefing_FID!EA32)</f>
        <v/>
      </c>
      <c r="EB32" s="100" t="str">
        <f>IF(Briefing_FID!EB32="","",Briefing_FID!EB32)</f>
        <v/>
      </c>
      <c r="EC32" s="3" t="str">
        <f>IF(Briefing_FID!EC32="","",Briefing_FID!EC32)</f>
        <v/>
      </c>
      <c r="ED32" s="28" t="str">
        <f>IF(Briefing_FID!ED32="","",Briefing_FID!ED32)</f>
        <v/>
      </c>
      <c r="EE32" s="100" t="str">
        <f>IF(Briefing_FID!EE32="","",Briefing_FID!EE32)</f>
        <v/>
      </c>
      <c r="EF32" s="3" t="str">
        <f>IF(Briefing_FID!EF32="","",Briefing_FID!EF32)</f>
        <v/>
      </c>
      <c r="EG32" s="28" t="str">
        <f>IF(Briefing_FID!EG32="","",Briefing_FID!EG32)</f>
        <v/>
      </c>
      <c r="EH32" s="100" t="str">
        <f>IF(Briefing_FID!EH32="","",Briefing_FID!EH32)</f>
        <v/>
      </c>
      <c r="EI32" s="3" t="str">
        <f>IF(Briefing_FID!EI32="","",Briefing_FID!EI32)</f>
        <v/>
      </c>
      <c r="EJ32" s="28" t="str">
        <f>IF(Briefing_FID!EJ32="","",Briefing_FID!EJ32)</f>
        <v/>
      </c>
      <c r="EK32" s="100" t="str">
        <f>IF(Briefing_FID!EK32="","",Briefing_FID!EK32)</f>
        <v/>
      </c>
      <c r="EL32" s="3" t="str">
        <f>IF(Briefing_FID!EL32="","",Briefing_FID!EL32)</f>
        <v/>
      </c>
      <c r="EM32" s="28" t="str">
        <f>IF(Briefing_FID!EM32="","",Briefing_FID!EM32)</f>
        <v/>
      </c>
      <c r="EN32" s="100" t="str">
        <f>IF(Briefing_FID!EN32="","",Briefing_FID!EN32)</f>
        <v/>
      </c>
      <c r="EO32" s="3" t="str">
        <f>IF(Briefing_FID!EO32="","",Briefing_FID!EO32)</f>
        <v/>
      </c>
      <c r="EP32" s="28" t="str">
        <f>IF(Briefing_FID!EP32="","",Briefing_FID!EP32)</f>
        <v/>
      </c>
      <c r="EQ32" s="28" t="str">
        <f>IF(Briefing_FID!EQ32="","",Briefing_FID!EQ32)</f>
        <v/>
      </c>
      <c r="ER32" s="28" t="str">
        <f>IF(Briefing_FID!ER32="","",Briefing_FID!ER32)</f>
        <v/>
      </c>
      <c r="ES32" s="62"/>
      <c r="ET32" s="96" t="str">
        <f>IF(Briefing_FID!EZ32="","",Briefing_FID!EZ32)</f>
        <v/>
      </c>
      <c r="EU32" s="97" t="str">
        <f>IF(Briefing_FID!FA32="","",Briefing_FID!FA32)</f>
        <v/>
      </c>
      <c r="EV32" s="98" t="str">
        <f>IF(Briefing_FID!FB32="","",Briefing_FID!FB32)</f>
        <v/>
      </c>
      <c r="EW32" s="96" t="str">
        <f>IF(Briefing_FID!FC32="","",Briefing_FID!FC32)</f>
        <v/>
      </c>
      <c r="EX32" s="97" t="str">
        <f>IF(Briefing_FID!FD32="","",Briefing_FID!FD32)</f>
        <v/>
      </c>
      <c r="EY32" s="98" t="str">
        <f>IF(Briefing_FID!FE32="","",Briefing_FID!FE32)</f>
        <v/>
      </c>
      <c r="EZ32" s="104" t="str">
        <f>IF(Briefing_FID!FF32="","",Briefing_FID!FF32)</f>
        <v/>
      </c>
      <c r="FA32" s="144" t="str">
        <f>IF(Briefing_FID!FG32="","",Briefing_FID!FG32)</f>
        <v/>
      </c>
      <c r="FB32" s="144" t="str">
        <f>IF(Briefing_FID!FH32="","",Briefing_FID!FH32)</f>
        <v/>
      </c>
      <c r="FC32" s="144" t="str">
        <f>IF(Briefing_FID!FI32="","",Briefing_FID!FI32)</f>
        <v/>
      </c>
      <c r="FD32" s="144" t="str">
        <f>IF(Briefing_FID!FJ32="","",Briefing_FID!FJ32)</f>
        <v/>
      </c>
      <c r="FE32" s="144" t="str">
        <f>IF(Briefing_FID!FK32="","",Briefing_FID!FK32)</f>
        <v/>
      </c>
      <c r="FF32" s="144" t="str">
        <f>IF(Briefing_FID!FL32="","",Briefing_FID!FL32)</f>
        <v/>
      </c>
      <c r="FG32" s="144" t="str">
        <f>IF(Briefing_FID!FM32="","",Briefing_FID!FM32)</f>
        <v/>
      </c>
      <c r="FH32" s="144" t="str">
        <f>IF(Briefing_FID!FN32="","",Briefing_FID!FN32)</f>
        <v/>
      </c>
      <c r="FI32" s="144" t="str">
        <f>IF(Briefing_FID!FO32="","",Briefing_FID!FO32)</f>
        <v/>
      </c>
      <c r="FJ32" s="144" t="str">
        <f>IF(Briefing_FID!FP32="","",Briefing_FID!FP32)</f>
        <v/>
      </c>
      <c r="FK32" s="144" t="str">
        <f>IF(Briefing_FID!FQ32="","",Briefing_FID!FQ32)</f>
        <v/>
      </c>
      <c r="FL32" s="144" t="str">
        <f>IF(Briefing_FID!FR32="","",Briefing_FID!FR32)</f>
        <v/>
      </c>
      <c r="FM32" s="144" t="str">
        <f>IF(Briefing_FID!FS32="","",Briefing_FID!FS32)</f>
        <v/>
      </c>
      <c r="FN32" s="144" t="str">
        <f>IF(Briefing_FID!FT32="","",Briefing_FID!FT32)</f>
        <v/>
      </c>
      <c r="FO32" s="144" t="str">
        <f>IF(Briefing_FID!FU32="","",Briefing_FID!FU32)</f>
        <v/>
      </c>
      <c r="FP32" s="144" t="str">
        <f>IF(Briefing_FID!FV32="","",Briefing_FID!FV32)</f>
        <v/>
      </c>
      <c r="FQ32" s="144" t="str">
        <f>IF(Briefing_FID!FW32="","",Briefing_FID!FW32)</f>
        <v/>
      </c>
      <c r="FR32" s="151"/>
      <c r="FS32" s="152"/>
      <c r="FT32" s="152"/>
      <c r="FU32" s="152"/>
      <c r="FV32" s="152"/>
      <c r="FW32" s="152"/>
      <c r="FX32" s="152"/>
      <c r="FY32" s="152"/>
      <c r="FZ32" s="152"/>
      <c r="GA32" s="153"/>
    </row>
    <row r="33" spans="1:183">
      <c r="A33" s="136" t="str">
        <f>IF(Briefing_FID!A33="","",Briefing_FID!A33)</f>
        <v/>
      </c>
      <c r="B33" s="137" t="str">
        <f>IF(Briefing_FID!B33="","",Briefing_FID!B33)</f>
        <v/>
      </c>
      <c r="C33" s="137" t="str">
        <f>IF(Briefing_FID!C33="","",Briefing_FID!C33)</f>
        <v/>
      </c>
      <c r="D33" s="46"/>
      <c r="E33" s="120"/>
      <c r="F33" s="117"/>
      <c r="G33" s="117"/>
      <c r="H33" s="72"/>
      <c r="I33" s="72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23"/>
      <c r="AD33" s="117"/>
      <c r="AE33" s="117"/>
      <c r="AF33" s="117"/>
      <c r="AG33" s="117"/>
      <c r="AH33" s="117"/>
      <c r="AI33" s="117"/>
      <c r="AJ33" s="117"/>
      <c r="AK33" s="117"/>
      <c r="AL33" s="124"/>
      <c r="AM33" s="37"/>
      <c r="AN33" s="38"/>
      <c r="AO33" s="39"/>
      <c r="AP33" s="111" t="str">
        <f>IF(Briefing_FID!AP33="","",Briefing_FID!AP33)</f>
        <v/>
      </c>
      <c r="AQ33" s="112" t="str">
        <f>IF(Briefing_FID!AQ33="","",Briefing_FID!AQ33)</f>
        <v/>
      </c>
      <c r="AR33" s="107" t="str">
        <f>IF(Briefing_FID!AR33="","",Briefing_FID!AR33)</f>
        <v/>
      </c>
      <c r="AS33" s="108" t="str">
        <f>IF(Briefing_FID!AS33="","",Briefing_FID!AS33)</f>
        <v/>
      </c>
      <c r="AT33" s="113" t="str">
        <f>IF(Briefing_FID!AT33="","",Briefing_FID!AT33)</f>
        <v/>
      </c>
      <c r="AU33" s="113" t="str">
        <f>IF(Briefing_FID!AU33="","",Briefing_FID!AU33)</f>
        <v/>
      </c>
      <c r="AV33" s="113" t="str">
        <f>IF(Briefing_FID!AV33="","",Briefing_FID!AV33)</f>
        <v/>
      </c>
      <c r="AW33" s="113" t="str">
        <f>IF(Briefing_FID!AW33="","",Briefing_FID!AW33)</f>
        <v/>
      </c>
      <c r="AX33" s="114" t="str">
        <f>IF(Briefing_FID!AX33="","",Briefing_FID!AX33)</f>
        <v/>
      </c>
      <c r="AY33" s="71"/>
      <c r="AZ33" s="117" t="str">
        <f>IF(Briefing_FID!AZ33="","",Briefing_FID!AZ33)</f>
        <v/>
      </c>
      <c r="BA33" s="118" t="str">
        <f>IF(Briefing_FID!BA33="","",Briefing_FID!BA33)</f>
        <v/>
      </c>
      <c r="BB33" s="55"/>
      <c r="BC33" s="102" t="str">
        <f>IF(Briefing_FID!BC33="","",Briefing_FID!BC33)</f>
        <v/>
      </c>
      <c r="BD33" s="27" t="str">
        <f>IF(Briefing_FID!BD33="","",Briefing_FID!BD33)</f>
        <v/>
      </c>
      <c r="BE33" s="100" t="str">
        <f>IF(Briefing_FID!BE33="","",Briefing_FID!BE33)</f>
        <v/>
      </c>
      <c r="BF33" s="3" t="str">
        <f>IF(Briefing_FID!BF33="","",Briefing_FID!BF33)</f>
        <v/>
      </c>
      <c r="BG33" s="10" t="str">
        <f>IF(Briefing_FID!BG33="","",Briefing_FID!BG33)</f>
        <v/>
      </c>
      <c r="BH33" s="100" t="str">
        <f>IF(Briefing_FID!BH33="","",Briefing_FID!BH33)</f>
        <v/>
      </c>
      <c r="BI33" s="3" t="str">
        <f>IF(Briefing_FID!BI33="","",Briefing_FID!BI33)</f>
        <v/>
      </c>
      <c r="BJ33" s="10" t="str">
        <f>IF(Briefing_FID!BJ33="","",Briefing_FID!BJ33)</f>
        <v/>
      </c>
      <c r="BK33" s="100" t="str">
        <f>IF(Briefing_FID!BK33="","",Briefing_FID!BK33)</f>
        <v/>
      </c>
      <c r="BL33" s="3" t="str">
        <f>IF(Briefing_FID!BL33="","",Briefing_FID!BL33)</f>
        <v/>
      </c>
      <c r="BM33" s="28" t="str">
        <f>IF(Briefing_FID!BM33="","",Briefing_FID!BM33)</f>
        <v/>
      </c>
      <c r="BN33" s="100" t="str">
        <f>IF(Briefing_FID!BN33="","",Briefing_FID!BN33)</f>
        <v/>
      </c>
      <c r="BO33" s="3" t="str">
        <f>IF(Briefing_FID!BO33="","",Briefing_FID!BO33)</f>
        <v/>
      </c>
      <c r="BP33" s="28" t="str">
        <f>IF(Briefing_FID!BP33="","",Briefing_FID!BP33)</f>
        <v/>
      </c>
      <c r="BQ33" s="100" t="str">
        <f>IF(Briefing_FID!BQ33="","",Briefing_FID!BQ33)</f>
        <v/>
      </c>
      <c r="BR33" s="3" t="str">
        <f>IF(Briefing_FID!BR33="","",Briefing_FID!BR33)</f>
        <v/>
      </c>
      <c r="BS33" s="28" t="str">
        <f>IF(Briefing_FID!BS33="","",Briefing_FID!BS33)</f>
        <v/>
      </c>
      <c r="BT33" s="100" t="str">
        <f>IF(Briefing_FID!BT33="","",Briefing_FID!BT33)</f>
        <v/>
      </c>
      <c r="BU33" s="3" t="str">
        <f>IF(Briefing_FID!BU33="","",Briefing_FID!BU33)</f>
        <v/>
      </c>
      <c r="BV33" s="28" t="str">
        <f>IF(Briefing_FID!BV33="","",Briefing_FID!BV33)</f>
        <v/>
      </c>
      <c r="BW33" s="100" t="str">
        <f>IF(Briefing_FID!BW33="","",Briefing_FID!BW33)</f>
        <v/>
      </c>
      <c r="BX33" s="3" t="str">
        <f>IF(Briefing_FID!BX33="","",Briefing_FID!BX33)</f>
        <v/>
      </c>
      <c r="BY33" s="28" t="str">
        <f>IF(Briefing_FID!BY33="","",Briefing_FID!BY33)</f>
        <v/>
      </c>
      <c r="BZ33" s="100" t="str">
        <f>IF(Briefing_FID!BZ33="","",Briefing_FID!BZ33)</f>
        <v/>
      </c>
      <c r="CA33" s="3" t="str">
        <f>IF(Briefing_FID!CA33="","",Briefing_FID!CA33)</f>
        <v/>
      </c>
      <c r="CB33" s="28" t="str">
        <f>IF(Briefing_FID!CB33="","",Briefing_FID!CB33)</f>
        <v/>
      </c>
      <c r="CC33" s="100" t="str">
        <f>IF(Briefing_FID!CC33="","",Briefing_FID!CC33)</f>
        <v/>
      </c>
      <c r="CD33" s="3" t="str">
        <f>IF(Briefing_FID!CD33="","",Briefing_FID!CD33)</f>
        <v/>
      </c>
      <c r="CE33" s="28" t="str">
        <f>IF(Briefing_FID!CE33="","",Briefing_FID!CE33)</f>
        <v/>
      </c>
      <c r="CF33" s="100" t="str">
        <f>IF(Briefing_FID!CF33="","",Briefing_FID!CF33)</f>
        <v/>
      </c>
      <c r="CG33" s="3" t="str">
        <f>IF(Briefing_FID!CG33="","",Briefing_FID!CG33)</f>
        <v/>
      </c>
      <c r="CH33" s="28" t="str">
        <f>IF(Briefing_FID!CH33="","",Briefing_FID!CH33)</f>
        <v/>
      </c>
      <c r="CI33" s="100" t="str">
        <f>IF(Briefing_FID!CI33="","",Briefing_FID!CI33)</f>
        <v/>
      </c>
      <c r="CJ33" s="3" t="str">
        <f>IF(Briefing_FID!CJ33="","",Briefing_FID!CJ33)</f>
        <v/>
      </c>
      <c r="CK33" s="28" t="str">
        <f>IF(Briefing_FID!CK33="","",Briefing_FID!CK33)</f>
        <v/>
      </c>
      <c r="CL33" s="100" t="str">
        <f>IF(Briefing_FID!CL33="","",Briefing_FID!CL33)</f>
        <v/>
      </c>
      <c r="CM33" s="3" t="str">
        <f>IF(Briefing_FID!CM33="","",Briefing_FID!CM33)</f>
        <v/>
      </c>
      <c r="CN33" s="28" t="str">
        <f>IF(Briefing_FID!CN33="","",Briefing_FID!CN33)</f>
        <v/>
      </c>
      <c r="CO33" s="100" t="str">
        <f>IF(Briefing_FID!CO33="","",Briefing_FID!CO33)</f>
        <v/>
      </c>
      <c r="CP33" s="3" t="str">
        <f>IF(Briefing_FID!CP33="","",Briefing_FID!CP33)</f>
        <v/>
      </c>
      <c r="CQ33" s="28" t="str">
        <f>IF(Briefing_FID!CQ33="","",Briefing_FID!CQ33)</f>
        <v/>
      </c>
      <c r="CR33" s="100" t="str">
        <f>IF(Briefing_FID!CR33="","",Briefing_FID!CR33)</f>
        <v/>
      </c>
      <c r="CS33" s="3" t="str">
        <f>IF(Briefing_FID!CS33="","",Briefing_FID!CS33)</f>
        <v/>
      </c>
      <c r="CT33" s="28" t="str">
        <f>IF(Briefing_FID!CT33="","",Briefing_FID!CT33)</f>
        <v/>
      </c>
      <c r="CU33" s="100" t="str">
        <f>IF(Briefing_FID!CU33="","",Briefing_FID!CU33)</f>
        <v/>
      </c>
      <c r="CV33" s="3" t="str">
        <f>IF(Briefing_FID!CV33="","",Briefing_FID!CV33)</f>
        <v/>
      </c>
      <c r="CW33" s="28" t="str">
        <f>IF(Briefing_FID!CW33="","",Briefing_FID!CW33)</f>
        <v/>
      </c>
      <c r="CX33" s="100" t="str">
        <f>IF(Briefing_FID!CX33="","",Briefing_FID!CX33)</f>
        <v/>
      </c>
      <c r="CY33" s="3" t="str">
        <f>IF(Briefing_FID!CY33="","",Briefing_FID!CY33)</f>
        <v/>
      </c>
      <c r="CZ33" s="28" t="str">
        <f>IF(Briefing_FID!CZ33="","",Briefing_FID!CZ33)</f>
        <v/>
      </c>
      <c r="DA33" s="100" t="str">
        <f>IF(Briefing_FID!DA33="","",Briefing_FID!DA33)</f>
        <v/>
      </c>
      <c r="DB33" s="3" t="str">
        <f>IF(Briefing_FID!DB33="","",Briefing_FID!DB33)</f>
        <v/>
      </c>
      <c r="DC33" s="28" t="str">
        <f>IF(Briefing_FID!DC33="","",Briefing_FID!DC33)</f>
        <v/>
      </c>
      <c r="DD33" s="100" t="str">
        <f>IF(Briefing_FID!DD33="","",Briefing_FID!DD33)</f>
        <v/>
      </c>
      <c r="DE33" s="3" t="str">
        <f>IF(Briefing_FID!DE33="","",Briefing_FID!DE33)</f>
        <v/>
      </c>
      <c r="DF33" s="28" t="str">
        <f>IF(Briefing_FID!DF33="","",Briefing_FID!DF33)</f>
        <v/>
      </c>
      <c r="DG33" s="100" t="str">
        <f>IF(Briefing_FID!DG33="","",Briefing_FID!DG33)</f>
        <v/>
      </c>
      <c r="DH33" s="3" t="str">
        <f>IF(Briefing_FID!DH33="","",Briefing_FID!DH33)</f>
        <v/>
      </c>
      <c r="DI33" s="28" t="str">
        <f>IF(Briefing_FID!DI33="","",Briefing_FID!DI33)</f>
        <v/>
      </c>
      <c r="DJ33" s="100" t="str">
        <f>IF(Briefing_FID!DJ33="","",Briefing_FID!DJ33)</f>
        <v/>
      </c>
      <c r="DK33" s="3" t="str">
        <f>IF(Briefing_FID!DK33="","",Briefing_FID!DK33)</f>
        <v/>
      </c>
      <c r="DL33" s="28" t="str">
        <f>IF(Briefing_FID!DL33="","",Briefing_FID!DL33)</f>
        <v/>
      </c>
      <c r="DM33" s="100" t="str">
        <f>IF(Briefing_FID!DM33="","",Briefing_FID!DM33)</f>
        <v/>
      </c>
      <c r="DN33" s="3" t="str">
        <f>IF(Briefing_FID!DN33="","",Briefing_FID!DN33)</f>
        <v/>
      </c>
      <c r="DO33" s="28" t="str">
        <f>IF(Briefing_FID!DO33="","",Briefing_FID!DO33)</f>
        <v/>
      </c>
      <c r="DP33" s="100" t="str">
        <f>IF(Briefing_FID!DP33="","",Briefing_FID!DP33)</f>
        <v/>
      </c>
      <c r="DQ33" s="3" t="str">
        <f>IF(Briefing_FID!DQ33="","",Briefing_FID!DQ33)</f>
        <v/>
      </c>
      <c r="DR33" s="28" t="str">
        <f>IF(Briefing_FID!DR33="","",Briefing_FID!DR33)</f>
        <v/>
      </c>
      <c r="DS33" s="100" t="str">
        <f>IF(Briefing_FID!DS33="","",Briefing_FID!DS33)</f>
        <v/>
      </c>
      <c r="DT33" s="3" t="str">
        <f>IF(Briefing_FID!DT33="","",Briefing_FID!DT33)</f>
        <v/>
      </c>
      <c r="DU33" s="28" t="str">
        <f>IF(Briefing_FID!DU33="","",Briefing_FID!DU33)</f>
        <v/>
      </c>
      <c r="DV33" s="100" t="str">
        <f>IF(Briefing_FID!DV33="","",Briefing_FID!DV33)</f>
        <v/>
      </c>
      <c r="DW33" s="3" t="str">
        <f>IF(Briefing_FID!DW33="","",Briefing_FID!DW33)</f>
        <v/>
      </c>
      <c r="DX33" s="28" t="str">
        <f>IF(Briefing_FID!DX33="","",Briefing_FID!DX33)</f>
        <v/>
      </c>
      <c r="DY33" s="100" t="str">
        <f>IF(Briefing_FID!DY33="","",Briefing_FID!DY33)</f>
        <v/>
      </c>
      <c r="DZ33" s="3" t="str">
        <f>IF(Briefing_FID!DZ33="","",Briefing_FID!DZ33)</f>
        <v/>
      </c>
      <c r="EA33" s="28" t="str">
        <f>IF(Briefing_FID!EA33="","",Briefing_FID!EA33)</f>
        <v/>
      </c>
      <c r="EB33" s="100" t="str">
        <f>IF(Briefing_FID!EB33="","",Briefing_FID!EB33)</f>
        <v/>
      </c>
      <c r="EC33" s="3" t="str">
        <f>IF(Briefing_FID!EC33="","",Briefing_FID!EC33)</f>
        <v/>
      </c>
      <c r="ED33" s="28" t="str">
        <f>IF(Briefing_FID!ED33="","",Briefing_FID!ED33)</f>
        <v/>
      </c>
      <c r="EE33" s="100" t="str">
        <f>IF(Briefing_FID!EE33="","",Briefing_FID!EE33)</f>
        <v/>
      </c>
      <c r="EF33" s="3" t="str">
        <f>IF(Briefing_FID!EF33="","",Briefing_FID!EF33)</f>
        <v/>
      </c>
      <c r="EG33" s="28" t="str">
        <f>IF(Briefing_FID!EG33="","",Briefing_FID!EG33)</f>
        <v/>
      </c>
      <c r="EH33" s="100" t="str">
        <f>IF(Briefing_FID!EH33="","",Briefing_FID!EH33)</f>
        <v/>
      </c>
      <c r="EI33" s="3" t="str">
        <f>IF(Briefing_FID!EI33="","",Briefing_FID!EI33)</f>
        <v/>
      </c>
      <c r="EJ33" s="28" t="str">
        <f>IF(Briefing_FID!EJ33="","",Briefing_FID!EJ33)</f>
        <v/>
      </c>
      <c r="EK33" s="100" t="str">
        <f>IF(Briefing_FID!EK33="","",Briefing_FID!EK33)</f>
        <v/>
      </c>
      <c r="EL33" s="3" t="str">
        <f>IF(Briefing_FID!EL33="","",Briefing_FID!EL33)</f>
        <v/>
      </c>
      <c r="EM33" s="28" t="str">
        <f>IF(Briefing_FID!EM33="","",Briefing_FID!EM33)</f>
        <v/>
      </c>
      <c r="EN33" s="100" t="str">
        <f>IF(Briefing_FID!EN33="","",Briefing_FID!EN33)</f>
        <v/>
      </c>
      <c r="EO33" s="3" t="str">
        <f>IF(Briefing_FID!EO33="","",Briefing_FID!EO33)</f>
        <v/>
      </c>
      <c r="EP33" s="28" t="str">
        <f>IF(Briefing_FID!EP33="","",Briefing_FID!EP33)</f>
        <v/>
      </c>
      <c r="EQ33" s="28" t="str">
        <f>IF(Briefing_FID!EQ33="","",Briefing_FID!EQ33)</f>
        <v/>
      </c>
      <c r="ER33" s="28" t="str">
        <f>IF(Briefing_FID!ER33="","",Briefing_FID!ER33)</f>
        <v/>
      </c>
      <c r="ES33" s="62"/>
      <c r="ET33" s="96" t="str">
        <f>IF(Briefing_FID!EZ33="","",Briefing_FID!EZ33)</f>
        <v/>
      </c>
      <c r="EU33" s="97" t="str">
        <f>IF(Briefing_FID!FA33="","",Briefing_FID!FA33)</f>
        <v/>
      </c>
      <c r="EV33" s="98" t="str">
        <f>IF(Briefing_FID!FB33="","",Briefing_FID!FB33)</f>
        <v/>
      </c>
      <c r="EW33" s="96" t="str">
        <f>IF(Briefing_FID!FC33="","",Briefing_FID!FC33)</f>
        <v/>
      </c>
      <c r="EX33" s="97" t="str">
        <f>IF(Briefing_FID!FD33="","",Briefing_FID!FD33)</f>
        <v/>
      </c>
      <c r="EY33" s="98" t="str">
        <f>IF(Briefing_FID!FE33="","",Briefing_FID!FE33)</f>
        <v/>
      </c>
      <c r="EZ33" s="104" t="str">
        <f>IF(Briefing_FID!FF33="","",Briefing_FID!FF33)</f>
        <v/>
      </c>
      <c r="FA33" s="144" t="str">
        <f>IF(Briefing_FID!FG33="","",Briefing_FID!FG33)</f>
        <v/>
      </c>
      <c r="FB33" s="144" t="str">
        <f>IF(Briefing_FID!FH33="","",Briefing_FID!FH33)</f>
        <v/>
      </c>
      <c r="FC33" s="144" t="str">
        <f>IF(Briefing_FID!FI33="","",Briefing_FID!FI33)</f>
        <v/>
      </c>
      <c r="FD33" s="144" t="str">
        <f>IF(Briefing_FID!FJ33="","",Briefing_FID!FJ33)</f>
        <v/>
      </c>
      <c r="FE33" s="144" t="str">
        <f>IF(Briefing_FID!FK33="","",Briefing_FID!FK33)</f>
        <v/>
      </c>
      <c r="FF33" s="144" t="str">
        <f>IF(Briefing_FID!FL33="","",Briefing_FID!FL33)</f>
        <v/>
      </c>
      <c r="FG33" s="144" t="str">
        <f>IF(Briefing_FID!FM33="","",Briefing_FID!FM33)</f>
        <v/>
      </c>
      <c r="FH33" s="144" t="str">
        <f>IF(Briefing_FID!FN33="","",Briefing_FID!FN33)</f>
        <v/>
      </c>
      <c r="FI33" s="144" t="str">
        <f>IF(Briefing_FID!FO33="","",Briefing_FID!FO33)</f>
        <v/>
      </c>
      <c r="FJ33" s="144" t="str">
        <f>IF(Briefing_FID!FP33="","",Briefing_FID!FP33)</f>
        <v/>
      </c>
      <c r="FK33" s="144" t="str">
        <f>IF(Briefing_FID!FQ33="","",Briefing_FID!FQ33)</f>
        <v/>
      </c>
      <c r="FL33" s="144" t="str">
        <f>IF(Briefing_FID!FR33="","",Briefing_FID!FR33)</f>
        <v/>
      </c>
      <c r="FM33" s="144" t="str">
        <f>IF(Briefing_FID!FS33="","",Briefing_FID!FS33)</f>
        <v/>
      </c>
      <c r="FN33" s="144" t="str">
        <f>IF(Briefing_FID!FT33="","",Briefing_FID!FT33)</f>
        <v/>
      </c>
      <c r="FO33" s="144" t="str">
        <f>IF(Briefing_FID!FU33="","",Briefing_FID!FU33)</f>
        <v/>
      </c>
      <c r="FP33" s="144" t="str">
        <f>IF(Briefing_FID!FV33="","",Briefing_FID!FV33)</f>
        <v/>
      </c>
      <c r="FQ33" s="144" t="str">
        <f>IF(Briefing_FID!FW33="","",Briefing_FID!FW33)</f>
        <v/>
      </c>
      <c r="FR33" s="151"/>
      <c r="FS33" s="152"/>
      <c r="FT33" s="152"/>
      <c r="FU33" s="152"/>
      <c r="FV33" s="152"/>
      <c r="FW33" s="152"/>
      <c r="FX33" s="152"/>
      <c r="FY33" s="152"/>
      <c r="FZ33" s="152"/>
      <c r="GA33" s="153"/>
    </row>
    <row r="34" spans="1:183">
      <c r="A34" s="136" t="str">
        <f>IF(Briefing_FID!A34="","",Briefing_FID!A34)</f>
        <v/>
      </c>
      <c r="B34" s="137" t="str">
        <f>IF(Briefing_FID!B34="","",Briefing_FID!B34)</f>
        <v/>
      </c>
      <c r="C34" s="137" t="str">
        <f>IF(Briefing_FID!C34="","",Briefing_FID!C34)</f>
        <v/>
      </c>
      <c r="D34" s="46"/>
      <c r="E34" s="120"/>
      <c r="F34" s="117"/>
      <c r="G34" s="117"/>
      <c r="H34" s="72"/>
      <c r="I34" s="72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23"/>
      <c r="AD34" s="117"/>
      <c r="AE34" s="117"/>
      <c r="AF34" s="117"/>
      <c r="AG34" s="117"/>
      <c r="AH34" s="117"/>
      <c r="AI34" s="117"/>
      <c r="AJ34" s="117"/>
      <c r="AK34" s="117"/>
      <c r="AL34" s="124"/>
      <c r="AM34" s="37"/>
      <c r="AN34" s="38"/>
      <c r="AO34" s="39"/>
      <c r="AP34" s="111" t="str">
        <f>IF(Briefing_FID!AP34="","",Briefing_FID!AP34)</f>
        <v/>
      </c>
      <c r="AQ34" s="112" t="str">
        <f>IF(Briefing_FID!AQ34="","",Briefing_FID!AQ34)</f>
        <v/>
      </c>
      <c r="AR34" s="107" t="str">
        <f>IF(Briefing_FID!AR34="","",Briefing_FID!AR34)</f>
        <v/>
      </c>
      <c r="AS34" s="108" t="str">
        <f>IF(Briefing_FID!AS34="","",Briefing_FID!AS34)</f>
        <v/>
      </c>
      <c r="AT34" s="113" t="str">
        <f>IF(Briefing_FID!AT34="","",Briefing_FID!AT34)</f>
        <v/>
      </c>
      <c r="AU34" s="113" t="str">
        <f>IF(Briefing_FID!AU34="","",Briefing_FID!AU34)</f>
        <v/>
      </c>
      <c r="AV34" s="113" t="str">
        <f>IF(Briefing_FID!AV34="","",Briefing_FID!AV34)</f>
        <v/>
      </c>
      <c r="AW34" s="113" t="str">
        <f>IF(Briefing_FID!AW34="","",Briefing_FID!AW34)</f>
        <v/>
      </c>
      <c r="AX34" s="114" t="str">
        <f>IF(Briefing_FID!AX34="","",Briefing_FID!AX34)</f>
        <v/>
      </c>
      <c r="AY34" s="71"/>
      <c r="AZ34" s="117" t="str">
        <f>IF(Briefing_FID!AZ34="","",Briefing_FID!AZ34)</f>
        <v/>
      </c>
      <c r="BA34" s="118" t="str">
        <f>IF(Briefing_FID!BA34="","",Briefing_FID!BA34)</f>
        <v/>
      </c>
      <c r="BB34" s="55"/>
      <c r="BC34" s="102" t="str">
        <f>IF(Briefing_FID!BC34="","",Briefing_FID!BC34)</f>
        <v/>
      </c>
      <c r="BD34" s="27" t="str">
        <f>IF(Briefing_FID!BD34="","",Briefing_FID!BD34)</f>
        <v/>
      </c>
      <c r="BE34" s="100" t="str">
        <f>IF(Briefing_FID!BE34="","",Briefing_FID!BE34)</f>
        <v/>
      </c>
      <c r="BF34" s="3" t="str">
        <f>IF(Briefing_FID!BF34="","",Briefing_FID!BF34)</f>
        <v/>
      </c>
      <c r="BG34" s="10" t="str">
        <f>IF(Briefing_FID!BG34="","",Briefing_FID!BG34)</f>
        <v/>
      </c>
      <c r="BH34" s="100" t="str">
        <f>IF(Briefing_FID!BH34="","",Briefing_FID!BH34)</f>
        <v/>
      </c>
      <c r="BI34" s="3" t="str">
        <f>IF(Briefing_FID!BI34="","",Briefing_FID!BI34)</f>
        <v/>
      </c>
      <c r="BJ34" s="10" t="str">
        <f>IF(Briefing_FID!BJ34="","",Briefing_FID!BJ34)</f>
        <v/>
      </c>
      <c r="BK34" s="100" t="str">
        <f>IF(Briefing_FID!BK34="","",Briefing_FID!BK34)</f>
        <v/>
      </c>
      <c r="BL34" s="3" t="str">
        <f>IF(Briefing_FID!BL34="","",Briefing_FID!BL34)</f>
        <v/>
      </c>
      <c r="BM34" s="28" t="str">
        <f>IF(Briefing_FID!BM34="","",Briefing_FID!BM34)</f>
        <v/>
      </c>
      <c r="BN34" s="100" t="str">
        <f>IF(Briefing_FID!BN34="","",Briefing_FID!BN34)</f>
        <v/>
      </c>
      <c r="BO34" s="3" t="str">
        <f>IF(Briefing_FID!BO34="","",Briefing_FID!BO34)</f>
        <v/>
      </c>
      <c r="BP34" s="28" t="str">
        <f>IF(Briefing_FID!BP34="","",Briefing_FID!BP34)</f>
        <v/>
      </c>
      <c r="BQ34" s="100" t="str">
        <f>IF(Briefing_FID!BQ34="","",Briefing_FID!BQ34)</f>
        <v/>
      </c>
      <c r="BR34" s="3" t="str">
        <f>IF(Briefing_FID!BR34="","",Briefing_FID!BR34)</f>
        <v/>
      </c>
      <c r="BS34" s="28" t="str">
        <f>IF(Briefing_FID!BS34="","",Briefing_FID!BS34)</f>
        <v/>
      </c>
      <c r="BT34" s="100" t="str">
        <f>IF(Briefing_FID!BT34="","",Briefing_FID!BT34)</f>
        <v/>
      </c>
      <c r="BU34" s="3" t="str">
        <f>IF(Briefing_FID!BU34="","",Briefing_FID!BU34)</f>
        <v/>
      </c>
      <c r="BV34" s="28" t="str">
        <f>IF(Briefing_FID!BV34="","",Briefing_FID!BV34)</f>
        <v/>
      </c>
      <c r="BW34" s="100" t="str">
        <f>IF(Briefing_FID!BW34="","",Briefing_FID!BW34)</f>
        <v/>
      </c>
      <c r="BX34" s="3" t="str">
        <f>IF(Briefing_FID!BX34="","",Briefing_FID!BX34)</f>
        <v/>
      </c>
      <c r="BY34" s="28" t="str">
        <f>IF(Briefing_FID!BY34="","",Briefing_FID!BY34)</f>
        <v/>
      </c>
      <c r="BZ34" s="100" t="str">
        <f>IF(Briefing_FID!BZ34="","",Briefing_FID!BZ34)</f>
        <v/>
      </c>
      <c r="CA34" s="3" t="str">
        <f>IF(Briefing_FID!CA34="","",Briefing_FID!CA34)</f>
        <v/>
      </c>
      <c r="CB34" s="28" t="str">
        <f>IF(Briefing_FID!CB34="","",Briefing_FID!CB34)</f>
        <v/>
      </c>
      <c r="CC34" s="100" t="str">
        <f>IF(Briefing_FID!CC34="","",Briefing_FID!CC34)</f>
        <v/>
      </c>
      <c r="CD34" s="3" t="str">
        <f>IF(Briefing_FID!CD34="","",Briefing_FID!CD34)</f>
        <v/>
      </c>
      <c r="CE34" s="28" t="str">
        <f>IF(Briefing_FID!CE34="","",Briefing_FID!CE34)</f>
        <v/>
      </c>
      <c r="CF34" s="100" t="str">
        <f>IF(Briefing_FID!CF34="","",Briefing_FID!CF34)</f>
        <v/>
      </c>
      <c r="CG34" s="3" t="str">
        <f>IF(Briefing_FID!CG34="","",Briefing_FID!CG34)</f>
        <v/>
      </c>
      <c r="CH34" s="28" t="str">
        <f>IF(Briefing_FID!CH34="","",Briefing_FID!CH34)</f>
        <v/>
      </c>
      <c r="CI34" s="100" t="str">
        <f>IF(Briefing_FID!CI34="","",Briefing_FID!CI34)</f>
        <v/>
      </c>
      <c r="CJ34" s="3" t="str">
        <f>IF(Briefing_FID!CJ34="","",Briefing_FID!CJ34)</f>
        <v/>
      </c>
      <c r="CK34" s="28" t="str">
        <f>IF(Briefing_FID!CK34="","",Briefing_FID!CK34)</f>
        <v/>
      </c>
      <c r="CL34" s="100" t="str">
        <f>IF(Briefing_FID!CL34="","",Briefing_FID!CL34)</f>
        <v/>
      </c>
      <c r="CM34" s="3" t="str">
        <f>IF(Briefing_FID!CM34="","",Briefing_FID!CM34)</f>
        <v/>
      </c>
      <c r="CN34" s="28" t="str">
        <f>IF(Briefing_FID!CN34="","",Briefing_FID!CN34)</f>
        <v/>
      </c>
      <c r="CO34" s="100" t="str">
        <f>IF(Briefing_FID!CO34="","",Briefing_FID!CO34)</f>
        <v/>
      </c>
      <c r="CP34" s="3" t="str">
        <f>IF(Briefing_FID!CP34="","",Briefing_FID!CP34)</f>
        <v/>
      </c>
      <c r="CQ34" s="28" t="str">
        <f>IF(Briefing_FID!CQ34="","",Briefing_FID!CQ34)</f>
        <v/>
      </c>
      <c r="CR34" s="100" t="str">
        <f>IF(Briefing_FID!CR34="","",Briefing_FID!CR34)</f>
        <v/>
      </c>
      <c r="CS34" s="3" t="str">
        <f>IF(Briefing_FID!CS34="","",Briefing_FID!CS34)</f>
        <v/>
      </c>
      <c r="CT34" s="28" t="str">
        <f>IF(Briefing_FID!CT34="","",Briefing_FID!CT34)</f>
        <v/>
      </c>
      <c r="CU34" s="100" t="str">
        <f>IF(Briefing_FID!CU34="","",Briefing_FID!CU34)</f>
        <v/>
      </c>
      <c r="CV34" s="3" t="str">
        <f>IF(Briefing_FID!CV34="","",Briefing_FID!CV34)</f>
        <v/>
      </c>
      <c r="CW34" s="28" t="str">
        <f>IF(Briefing_FID!CW34="","",Briefing_FID!CW34)</f>
        <v/>
      </c>
      <c r="CX34" s="100" t="str">
        <f>IF(Briefing_FID!CX34="","",Briefing_FID!CX34)</f>
        <v/>
      </c>
      <c r="CY34" s="3" t="str">
        <f>IF(Briefing_FID!CY34="","",Briefing_FID!CY34)</f>
        <v/>
      </c>
      <c r="CZ34" s="28" t="str">
        <f>IF(Briefing_FID!CZ34="","",Briefing_FID!CZ34)</f>
        <v/>
      </c>
      <c r="DA34" s="100" t="str">
        <f>IF(Briefing_FID!DA34="","",Briefing_FID!DA34)</f>
        <v/>
      </c>
      <c r="DB34" s="3" t="str">
        <f>IF(Briefing_FID!DB34="","",Briefing_FID!DB34)</f>
        <v/>
      </c>
      <c r="DC34" s="28" t="str">
        <f>IF(Briefing_FID!DC34="","",Briefing_FID!DC34)</f>
        <v/>
      </c>
      <c r="DD34" s="100" t="str">
        <f>IF(Briefing_FID!DD34="","",Briefing_FID!DD34)</f>
        <v/>
      </c>
      <c r="DE34" s="3" t="str">
        <f>IF(Briefing_FID!DE34="","",Briefing_FID!DE34)</f>
        <v/>
      </c>
      <c r="DF34" s="28" t="str">
        <f>IF(Briefing_FID!DF34="","",Briefing_FID!DF34)</f>
        <v/>
      </c>
      <c r="DG34" s="100" t="str">
        <f>IF(Briefing_FID!DG34="","",Briefing_FID!DG34)</f>
        <v/>
      </c>
      <c r="DH34" s="3" t="str">
        <f>IF(Briefing_FID!DH34="","",Briefing_FID!DH34)</f>
        <v/>
      </c>
      <c r="DI34" s="28" t="str">
        <f>IF(Briefing_FID!DI34="","",Briefing_FID!DI34)</f>
        <v/>
      </c>
      <c r="DJ34" s="100" t="str">
        <f>IF(Briefing_FID!DJ34="","",Briefing_FID!DJ34)</f>
        <v/>
      </c>
      <c r="DK34" s="3" t="str">
        <f>IF(Briefing_FID!DK34="","",Briefing_FID!DK34)</f>
        <v/>
      </c>
      <c r="DL34" s="28" t="str">
        <f>IF(Briefing_FID!DL34="","",Briefing_FID!DL34)</f>
        <v/>
      </c>
      <c r="DM34" s="100" t="str">
        <f>IF(Briefing_FID!DM34="","",Briefing_FID!DM34)</f>
        <v/>
      </c>
      <c r="DN34" s="3" t="str">
        <f>IF(Briefing_FID!DN34="","",Briefing_FID!DN34)</f>
        <v/>
      </c>
      <c r="DO34" s="28" t="str">
        <f>IF(Briefing_FID!DO34="","",Briefing_FID!DO34)</f>
        <v/>
      </c>
      <c r="DP34" s="100" t="str">
        <f>IF(Briefing_FID!DP34="","",Briefing_FID!DP34)</f>
        <v/>
      </c>
      <c r="DQ34" s="3" t="str">
        <f>IF(Briefing_FID!DQ34="","",Briefing_FID!DQ34)</f>
        <v/>
      </c>
      <c r="DR34" s="28" t="str">
        <f>IF(Briefing_FID!DR34="","",Briefing_FID!DR34)</f>
        <v/>
      </c>
      <c r="DS34" s="100" t="str">
        <f>IF(Briefing_FID!DS34="","",Briefing_FID!DS34)</f>
        <v/>
      </c>
      <c r="DT34" s="3" t="str">
        <f>IF(Briefing_FID!DT34="","",Briefing_FID!DT34)</f>
        <v/>
      </c>
      <c r="DU34" s="28" t="str">
        <f>IF(Briefing_FID!DU34="","",Briefing_FID!DU34)</f>
        <v/>
      </c>
      <c r="DV34" s="100" t="str">
        <f>IF(Briefing_FID!DV34="","",Briefing_FID!DV34)</f>
        <v/>
      </c>
      <c r="DW34" s="3" t="str">
        <f>IF(Briefing_FID!DW34="","",Briefing_FID!DW34)</f>
        <v/>
      </c>
      <c r="DX34" s="28" t="str">
        <f>IF(Briefing_FID!DX34="","",Briefing_FID!DX34)</f>
        <v/>
      </c>
      <c r="DY34" s="100" t="str">
        <f>IF(Briefing_FID!DY34="","",Briefing_FID!DY34)</f>
        <v/>
      </c>
      <c r="DZ34" s="3" t="str">
        <f>IF(Briefing_FID!DZ34="","",Briefing_FID!DZ34)</f>
        <v/>
      </c>
      <c r="EA34" s="28" t="str">
        <f>IF(Briefing_FID!EA34="","",Briefing_FID!EA34)</f>
        <v/>
      </c>
      <c r="EB34" s="100" t="str">
        <f>IF(Briefing_FID!EB34="","",Briefing_FID!EB34)</f>
        <v/>
      </c>
      <c r="EC34" s="3" t="str">
        <f>IF(Briefing_FID!EC34="","",Briefing_FID!EC34)</f>
        <v/>
      </c>
      <c r="ED34" s="28" t="str">
        <f>IF(Briefing_FID!ED34="","",Briefing_FID!ED34)</f>
        <v/>
      </c>
      <c r="EE34" s="100" t="str">
        <f>IF(Briefing_FID!EE34="","",Briefing_FID!EE34)</f>
        <v/>
      </c>
      <c r="EF34" s="3" t="str">
        <f>IF(Briefing_FID!EF34="","",Briefing_FID!EF34)</f>
        <v/>
      </c>
      <c r="EG34" s="28" t="str">
        <f>IF(Briefing_FID!EG34="","",Briefing_FID!EG34)</f>
        <v/>
      </c>
      <c r="EH34" s="100" t="str">
        <f>IF(Briefing_FID!EH34="","",Briefing_FID!EH34)</f>
        <v/>
      </c>
      <c r="EI34" s="3" t="str">
        <f>IF(Briefing_FID!EI34="","",Briefing_FID!EI34)</f>
        <v/>
      </c>
      <c r="EJ34" s="28" t="str">
        <f>IF(Briefing_FID!EJ34="","",Briefing_FID!EJ34)</f>
        <v/>
      </c>
      <c r="EK34" s="100" t="str">
        <f>IF(Briefing_FID!EK34="","",Briefing_FID!EK34)</f>
        <v/>
      </c>
      <c r="EL34" s="3" t="str">
        <f>IF(Briefing_FID!EL34="","",Briefing_FID!EL34)</f>
        <v/>
      </c>
      <c r="EM34" s="28" t="str">
        <f>IF(Briefing_FID!EM34="","",Briefing_FID!EM34)</f>
        <v/>
      </c>
      <c r="EN34" s="100" t="str">
        <f>IF(Briefing_FID!EN34="","",Briefing_FID!EN34)</f>
        <v/>
      </c>
      <c r="EO34" s="3" t="str">
        <f>IF(Briefing_FID!EO34="","",Briefing_FID!EO34)</f>
        <v/>
      </c>
      <c r="EP34" s="28" t="str">
        <f>IF(Briefing_FID!EP34="","",Briefing_FID!EP34)</f>
        <v/>
      </c>
      <c r="EQ34" s="28" t="str">
        <f>IF(Briefing_FID!EQ34="","",Briefing_FID!EQ34)</f>
        <v/>
      </c>
      <c r="ER34" s="28" t="str">
        <f>IF(Briefing_FID!ER34="","",Briefing_FID!ER34)</f>
        <v/>
      </c>
      <c r="ES34" s="62"/>
      <c r="ET34" s="96" t="str">
        <f>IF(Briefing_FID!EZ34="","",Briefing_FID!EZ34)</f>
        <v/>
      </c>
      <c r="EU34" s="97" t="str">
        <f>IF(Briefing_FID!FA34="","",Briefing_FID!FA34)</f>
        <v/>
      </c>
      <c r="EV34" s="98" t="str">
        <f>IF(Briefing_FID!FB34="","",Briefing_FID!FB34)</f>
        <v/>
      </c>
      <c r="EW34" s="96" t="str">
        <f>IF(Briefing_FID!FC34="","",Briefing_FID!FC34)</f>
        <v/>
      </c>
      <c r="EX34" s="97" t="str">
        <f>IF(Briefing_FID!FD34="","",Briefing_FID!FD34)</f>
        <v/>
      </c>
      <c r="EY34" s="98" t="str">
        <f>IF(Briefing_FID!FE34="","",Briefing_FID!FE34)</f>
        <v/>
      </c>
      <c r="EZ34" s="104" t="str">
        <f>IF(Briefing_FID!FF34="","",Briefing_FID!FF34)</f>
        <v/>
      </c>
      <c r="FA34" s="144" t="str">
        <f>IF(Briefing_FID!FG34="","",Briefing_FID!FG34)</f>
        <v/>
      </c>
      <c r="FB34" s="144" t="str">
        <f>IF(Briefing_FID!FH34="","",Briefing_FID!FH34)</f>
        <v/>
      </c>
      <c r="FC34" s="144" t="str">
        <f>IF(Briefing_FID!FI34="","",Briefing_FID!FI34)</f>
        <v/>
      </c>
      <c r="FD34" s="144" t="str">
        <f>IF(Briefing_FID!FJ34="","",Briefing_FID!FJ34)</f>
        <v/>
      </c>
      <c r="FE34" s="144" t="str">
        <f>IF(Briefing_FID!FK34="","",Briefing_FID!FK34)</f>
        <v/>
      </c>
      <c r="FF34" s="144" t="str">
        <f>IF(Briefing_FID!FL34="","",Briefing_FID!FL34)</f>
        <v/>
      </c>
      <c r="FG34" s="144" t="str">
        <f>IF(Briefing_FID!FM34="","",Briefing_FID!FM34)</f>
        <v/>
      </c>
      <c r="FH34" s="144" t="str">
        <f>IF(Briefing_FID!FN34="","",Briefing_FID!FN34)</f>
        <v/>
      </c>
      <c r="FI34" s="144" t="str">
        <f>IF(Briefing_FID!FO34="","",Briefing_FID!FO34)</f>
        <v/>
      </c>
      <c r="FJ34" s="144" t="str">
        <f>IF(Briefing_FID!FP34="","",Briefing_FID!FP34)</f>
        <v/>
      </c>
      <c r="FK34" s="144" t="str">
        <f>IF(Briefing_FID!FQ34="","",Briefing_FID!FQ34)</f>
        <v/>
      </c>
      <c r="FL34" s="144" t="str">
        <f>IF(Briefing_FID!FR34="","",Briefing_FID!FR34)</f>
        <v/>
      </c>
      <c r="FM34" s="144" t="str">
        <f>IF(Briefing_FID!FS34="","",Briefing_FID!FS34)</f>
        <v/>
      </c>
      <c r="FN34" s="144" t="str">
        <f>IF(Briefing_FID!FT34="","",Briefing_FID!FT34)</f>
        <v/>
      </c>
      <c r="FO34" s="144" t="str">
        <f>IF(Briefing_FID!FU34="","",Briefing_FID!FU34)</f>
        <v/>
      </c>
      <c r="FP34" s="144" t="str">
        <f>IF(Briefing_FID!FV34="","",Briefing_FID!FV34)</f>
        <v/>
      </c>
      <c r="FQ34" s="144" t="str">
        <f>IF(Briefing_FID!FW34="","",Briefing_FID!FW34)</f>
        <v/>
      </c>
      <c r="FR34" s="151"/>
      <c r="FS34" s="152"/>
      <c r="FT34" s="152"/>
      <c r="FU34" s="152"/>
      <c r="FV34" s="152"/>
      <c r="FW34" s="152"/>
      <c r="FX34" s="152"/>
      <c r="FY34" s="152"/>
      <c r="FZ34" s="152"/>
      <c r="GA34" s="153"/>
    </row>
    <row r="35" spans="1:183">
      <c r="A35" s="136" t="str">
        <f>IF(Briefing_FID!A35="","",Briefing_FID!A35)</f>
        <v/>
      </c>
      <c r="B35" s="137" t="str">
        <f>IF(Briefing_FID!B35="","",Briefing_FID!B35)</f>
        <v/>
      </c>
      <c r="C35" s="137" t="str">
        <f>IF(Briefing_FID!C35="","",Briefing_FID!C35)</f>
        <v/>
      </c>
      <c r="D35" s="46"/>
      <c r="E35" s="120"/>
      <c r="F35" s="117"/>
      <c r="G35" s="117"/>
      <c r="H35" s="72"/>
      <c r="I35" s="72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23"/>
      <c r="AD35" s="117"/>
      <c r="AE35" s="117"/>
      <c r="AF35" s="117"/>
      <c r="AG35" s="117"/>
      <c r="AH35" s="117"/>
      <c r="AI35" s="117"/>
      <c r="AJ35" s="117"/>
      <c r="AK35" s="117"/>
      <c r="AL35" s="124"/>
      <c r="AM35" s="37"/>
      <c r="AN35" s="38"/>
      <c r="AO35" s="39"/>
      <c r="AP35" s="111" t="str">
        <f>IF(Briefing_FID!AP35="","",Briefing_FID!AP35)</f>
        <v/>
      </c>
      <c r="AQ35" s="112" t="str">
        <f>IF(Briefing_FID!AQ35="","",Briefing_FID!AQ35)</f>
        <v/>
      </c>
      <c r="AR35" s="107" t="str">
        <f>IF(Briefing_FID!AR35="","",Briefing_FID!AR35)</f>
        <v/>
      </c>
      <c r="AS35" s="108" t="str">
        <f>IF(Briefing_FID!AS35="","",Briefing_FID!AS35)</f>
        <v/>
      </c>
      <c r="AT35" s="113" t="str">
        <f>IF(Briefing_FID!AT35="","",Briefing_FID!AT35)</f>
        <v/>
      </c>
      <c r="AU35" s="113" t="str">
        <f>IF(Briefing_FID!AU35="","",Briefing_FID!AU35)</f>
        <v/>
      </c>
      <c r="AV35" s="113" t="str">
        <f>IF(Briefing_FID!AV35="","",Briefing_FID!AV35)</f>
        <v/>
      </c>
      <c r="AW35" s="113" t="str">
        <f>IF(Briefing_FID!AW35="","",Briefing_FID!AW35)</f>
        <v/>
      </c>
      <c r="AX35" s="114" t="str">
        <f>IF(Briefing_FID!AX35="","",Briefing_FID!AX35)</f>
        <v/>
      </c>
      <c r="AY35" s="71"/>
      <c r="AZ35" s="117" t="str">
        <f>IF(Briefing_FID!AZ35="","",Briefing_FID!AZ35)</f>
        <v/>
      </c>
      <c r="BA35" s="118" t="str">
        <f>IF(Briefing_FID!BA35="","",Briefing_FID!BA35)</f>
        <v/>
      </c>
      <c r="BB35" s="55"/>
      <c r="BC35" s="102" t="str">
        <f>IF(Briefing_FID!BC35="","",Briefing_FID!BC35)</f>
        <v/>
      </c>
      <c r="BD35" s="27" t="str">
        <f>IF(Briefing_FID!BD35="","",Briefing_FID!BD35)</f>
        <v/>
      </c>
      <c r="BE35" s="100" t="str">
        <f>IF(Briefing_FID!BE35="","",Briefing_FID!BE35)</f>
        <v/>
      </c>
      <c r="BF35" s="3" t="str">
        <f>IF(Briefing_FID!BF35="","",Briefing_FID!BF35)</f>
        <v/>
      </c>
      <c r="BG35" s="10" t="str">
        <f>IF(Briefing_FID!BG35="","",Briefing_FID!BG35)</f>
        <v/>
      </c>
      <c r="BH35" s="100" t="str">
        <f>IF(Briefing_FID!BH35="","",Briefing_FID!BH35)</f>
        <v/>
      </c>
      <c r="BI35" s="3" t="str">
        <f>IF(Briefing_FID!BI35="","",Briefing_FID!BI35)</f>
        <v/>
      </c>
      <c r="BJ35" s="10" t="str">
        <f>IF(Briefing_FID!BJ35="","",Briefing_FID!BJ35)</f>
        <v/>
      </c>
      <c r="BK35" s="100" t="str">
        <f>IF(Briefing_FID!BK35="","",Briefing_FID!BK35)</f>
        <v/>
      </c>
      <c r="BL35" s="3" t="str">
        <f>IF(Briefing_FID!BL35="","",Briefing_FID!BL35)</f>
        <v/>
      </c>
      <c r="BM35" s="28" t="str">
        <f>IF(Briefing_FID!BM35="","",Briefing_FID!BM35)</f>
        <v/>
      </c>
      <c r="BN35" s="100" t="str">
        <f>IF(Briefing_FID!BN35="","",Briefing_FID!BN35)</f>
        <v/>
      </c>
      <c r="BO35" s="3" t="str">
        <f>IF(Briefing_FID!BO35="","",Briefing_FID!BO35)</f>
        <v/>
      </c>
      <c r="BP35" s="28" t="str">
        <f>IF(Briefing_FID!BP35="","",Briefing_FID!BP35)</f>
        <v/>
      </c>
      <c r="BQ35" s="100" t="str">
        <f>IF(Briefing_FID!BQ35="","",Briefing_FID!BQ35)</f>
        <v/>
      </c>
      <c r="BR35" s="3" t="str">
        <f>IF(Briefing_FID!BR35="","",Briefing_FID!BR35)</f>
        <v/>
      </c>
      <c r="BS35" s="28" t="str">
        <f>IF(Briefing_FID!BS35="","",Briefing_FID!BS35)</f>
        <v/>
      </c>
      <c r="BT35" s="100" t="str">
        <f>IF(Briefing_FID!BT35="","",Briefing_FID!BT35)</f>
        <v/>
      </c>
      <c r="BU35" s="3" t="str">
        <f>IF(Briefing_FID!BU35="","",Briefing_FID!BU35)</f>
        <v/>
      </c>
      <c r="BV35" s="28" t="str">
        <f>IF(Briefing_FID!BV35="","",Briefing_FID!BV35)</f>
        <v/>
      </c>
      <c r="BW35" s="100" t="str">
        <f>IF(Briefing_FID!BW35="","",Briefing_FID!BW35)</f>
        <v/>
      </c>
      <c r="BX35" s="3" t="str">
        <f>IF(Briefing_FID!BX35="","",Briefing_FID!BX35)</f>
        <v/>
      </c>
      <c r="BY35" s="28" t="str">
        <f>IF(Briefing_FID!BY35="","",Briefing_FID!BY35)</f>
        <v/>
      </c>
      <c r="BZ35" s="100" t="str">
        <f>IF(Briefing_FID!BZ35="","",Briefing_FID!BZ35)</f>
        <v/>
      </c>
      <c r="CA35" s="3" t="str">
        <f>IF(Briefing_FID!CA35="","",Briefing_FID!CA35)</f>
        <v/>
      </c>
      <c r="CB35" s="28" t="str">
        <f>IF(Briefing_FID!CB35="","",Briefing_FID!CB35)</f>
        <v/>
      </c>
      <c r="CC35" s="100" t="str">
        <f>IF(Briefing_FID!CC35="","",Briefing_FID!CC35)</f>
        <v/>
      </c>
      <c r="CD35" s="3" t="str">
        <f>IF(Briefing_FID!CD35="","",Briefing_FID!CD35)</f>
        <v/>
      </c>
      <c r="CE35" s="28" t="str">
        <f>IF(Briefing_FID!CE35="","",Briefing_FID!CE35)</f>
        <v/>
      </c>
      <c r="CF35" s="100" t="str">
        <f>IF(Briefing_FID!CF35="","",Briefing_FID!CF35)</f>
        <v/>
      </c>
      <c r="CG35" s="3" t="str">
        <f>IF(Briefing_FID!CG35="","",Briefing_FID!CG35)</f>
        <v/>
      </c>
      <c r="CH35" s="28" t="str">
        <f>IF(Briefing_FID!CH35="","",Briefing_FID!CH35)</f>
        <v/>
      </c>
      <c r="CI35" s="100" t="str">
        <f>IF(Briefing_FID!CI35="","",Briefing_FID!CI35)</f>
        <v/>
      </c>
      <c r="CJ35" s="3" t="str">
        <f>IF(Briefing_FID!CJ35="","",Briefing_FID!CJ35)</f>
        <v/>
      </c>
      <c r="CK35" s="28" t="str">
        <f>IF(Briefing_FID!CK35="","",Briefing_FID!CK35)</f>
        <v/>
      </c>
      <c r="CL35" s="100" t="str">
        <f>IF(Briefing_FID!CL35="","",Briefing_FID!CL35)</f>
        <v/>
      </c>
      <c r="CM35" s="3" t="str">
        <f>IF(Briefing_FID!CM35="","",Briefing_FID!CM35)</f>
        <v/>
      </c>
      <c r="CN35" s="28" t="str">
        <f>IF(Briefing_FID!CN35="","",Briefing_FID!CN35)</f>
        <v/>
      </c>
      <c r="CO35" s="100" t="str">
        <f>IF(Briefing_FID!CO35="","",Briefing_FID!CO35)</f>
        <v/>
      </c>
      <c r="CP35" s="3" t="str">
        <f>IF(Briefing_FID!CP35="","",Briefing_FID!CP35)</f>
        <v/>
      </c>
      <c r="CQ35" s="28" t="str">
        <f>IF(Briefing_FID!CQ35="","",Briefing_FID!CQ35)</f>
        <v/>
      </c>
      <c r="CR35" s="100" t="str">
        <f>IF(Briefing_FID!CR35="","",Briefing_FID!CR35)</f>
        <v/>
      </c>
      <c r="CS35" s="3" t="str">
        <f>IF(Briefing_FID!CS35="","",Briefing_FID!CS35)</f>
        <v/>
      </c>
      <c r="CT35" s="28" t="str">
        <f>IF(Briefing_FID!CT35="","",Briefing_FID!CT35)</f>
        <v/>
      </c>
      <c r="CU35" s="100" t="str">
        <f>IF(Briefing_FID!CU35="","",Briefing_FID!CU35)</f>
        <v/>
      </c>
      <c r="CV35" s="3" t="str">
        <f>IF(Briefing_FID!CV35="","",Briefing_FID!CV35)</f>
        <v/>
      </c>
      <c r="CW35" s="28" t="str">
        <f>IF(Briefing_FID!CW35="","",Briefing_FID!CW35)</f>
        <v/>
      </c>
      <c r="CX35" s="100" t="str">
        <f>IF(Briefing_FID!CX35="","",Briefing_FID!CX35)</f>
        <v/>
      </c>
      <c r="CY35" s="3" t="str">
        <f>IF(Briefing_FID!CY35="","",Briefing_FID!CY35)</f>
        <v/>
      </c>
      <c r="CZ35" s="28" t="str">
        <f>IF(Briefing_FID!CZ35="","",Briefing_FID!CZ35)</f>
        <v/>
      </c>
      <c r="DA35" s="100" t="str">
        <f>IF(Briefing_FID!DA35="","",Briefing_FID!DA35)</f>
        <v/>
      </c>
      <c r="DB35" s="3" t="str">
        <f>IF(Briefing_FID!DB35="","",Briefing_FID!DB35)</f>
        <v/>
      </c>
      <c r="DC35" s="28" t="str">
        <f>IF(Briefing_FID!DC35="","",Briefing_FID!DC35)</f>
        <v/>
      </c>
      <c r="DD35" s="100" t="str">
        <f>IF(Briefing_FID!DD35="","",Briefing_FID!DD35)</f>
        <v/>
      </c>
      <c r="DE35" s="3" t="str">
        <f>IF(Briefing_FID!DE35="","",Briefing_FID!DE35)</f>
        <v/>
      </c>
      <c r="DF35" s="28" t="str">
        <f>IF(Briefing_FID!DF35="","",Briefing_FID!DF35)</f>
        <v/>
      </c>
      <c r="DG35" s="100" t="str">
        <f>IF(Briefing_FID!DG35="","",Briefing_FID!DG35)</f>
        <v/>
      </c>
      <c r="DH35" s="3" t="str">
        <f>IF(Briefing_FID!DH35="","",Briefing_FID!DH35)</f>
        <v/>
      </c>
      <c r="DI35" s="28" t="str">
        <f>IF(Briefing_FID!DI35="","",Briefing_FID!DI35)</f>
        <v/>
      </c>
      <c r="DJ35" s="100" t="str">
        <f>IF(Briefing_FID!DJ35="","",Briefing_FID!DJ35)</f>
        <v/>
      </c>
      <c r="DK35" s="3" t="str">
        <f>IF(Briefing_FID!DK35="","",Briefing_FID!DK35)</f>
        <v/>
      </c>
      <c r="DL35" s="28" t="str">
        <f>IF(Briefing_FID!DL35="","",Briefing_FID!DL35)</f>
        <v/>
      </c>
      <c r="DM35" s="100" t="str">
        <f>IF(Briefing_FID!DM35="","",Briefing_FID!DM35)</f>
        <v/>
      </c>
      <c r="DN35" s="3" t="str">
        <f>IF(Briefing_FID!DN35="","",Briefing_FID!DN35)</f>
        <v/>
      </c>
      <c r="DO35" s="28" t="str">
        <f>IF(Briefing_FID!DO35="","",Briefing_FID!DO35)</f>
        <v/>
      </c>
      <c r="DP35" s="100" t="str">
        <f>IF(Briefing_FID!DP35="","",Briefing_FID!DP35)</f>
        <v/>
      </c>
      <c r="DQ35" s="3" t="str">
        <f>IF(Briefing_FID!DQ35="","",Briefing_FID!DQ35)</f>
        <v/>
      </c>
      <c r="DR35" s="28" t="str">
        <f>IF(Briefing_FID!DR35="","",Briefing_FID!DR35)</f>
        <v/>
      </c>
      <c r="DS35" s="100" t="str">
        <f>IF(Briefing_FID!DS35="","",Briefing_FID!DS35)</f>
        <v/>
      </c>
      <c r="DT35" s="3" t="str">
        <f>IF(Briefing_FID!DT35="","",Briefing_FID!DT35)</f>
        <v/>
      </c>
      <c r="DU35" s="28" t="str">
        <f>IF(Briefing_FID!DU35="","",Briefing_FID!DU35)</f>
        <v/>
      </c>
      <c r="DV35" s="100" t="str">
        <f>IF(Briefing_FID!DV35="","",Briefing_FID!DV35)</f>
        <v/>
      </c>
      <c r="DW35" s="3" t="str">
        <f>IF(Briefing_FID!DW35="","",Briefing_FID!DW35)</f>
        <v/>
      </c>
      <c r="DX35" s="28" t="str">
        <f>IF(Briefing_FID!DX35="","",Briefing_FID!DX35)</f>
        <v/>
      </c>
      <c r="DY35" s="100" t="str">
        <f>IF(Briefing_FID!DY35="","",Briefing_FID!DY35)</f>
        <v/>
      </c>
      <c r="DZ35" s="3" t="str">
        <f>IF(Briefing_FID!DZ35="","",Briefing_FID!DZ35)</f>
        <v/>
      </c>
      <c r="EA35" s="28" t="str">
        <f>IF(Briefing_FID!EA35="","",Briefing_FID!EA35)</f>
        <v/>
      </c>
      <c r="EB35" s="100" t="str">
        <f>IF(Briefing_FID!EB35="","",Briefing_FID!EB35)</f>
        <v/>
      </c>
      <c r="EC35" s="3" t="str">
        <f>IF(Briefing_FID!EC35="","",Briefing_FID!EC35)</f>
        <v/>
      </c>
      <c r="ED35" s="28" t="str">
        <f>IF(Briefing_FID!ED35="","",Briefing_FID!ED35)</f>
        <v/>
      </c>
      <c r="EE35" s="100" t="str">
        <f>IF(Briefing_FID!EE35="","",Briefing_FID!EE35)</f>
        <v/>
      </c>
      <c r="EF35" s="3" t="str">
        <f>IF(Briefing_FID!EF35="","",Briefing_FID!EF35)</f>
        <v/>
      </c>
      <c r="EG35" s="28" t="str">
        <f>IF(Briefing_FID!EG35="","",Briefing_FID!EG35)</f>
        <v/>
      </c>
      <c r="EH35" s="100" t="str">
        <f>IF(Briefing_FID!EH35="","",Briefing_FID!EH35)</f>
        <v/>
      </c>
      <c r="EI35" s="3" t="str">
        <f>IF(Briefing_FID!EI35="","",Briefing_FID!EI35)</f>
        <v/>
      </c>
      <c r="EJ35" s="28" t="str">
        <f>IF(Briefing_FID!EJ35="","",Briefing_FID!EJ35)</f>
        <v/>
      </c>
      <c r="EK35" s="100" t="str">
        <f>IF(Briefing_FID!EK35="","",Briefing_FID!EK35)</f>
        <v/>
      </c>
      <c r="EL35" s="3" t="str">
        <f>IF(Briefing_FID!EL35="","",Briefing_FID!EL35)</f>
        <v/>
      </c>
      <c r="EM35" s="28" t="str">
        <f>IF(Briefing_FID!EM35="","",Briefing_FID!EM35)</f>
        <v/>
      </c>
      <c r="EN35" s="100" t="str">
        <f>IF(Briefing_FID!EN35="","",Briefing_FID!EN35)</f>
        <v/>
      </c>
      <c r="EO35" s="3" t="str">
        <f>IF(Briefing_FID!EO35="","",Briefing_FID!EO35)</f>
        <v/>
      </c>
      <c r="EP35" s="28" t="str">
        <f>IF(Briefing_FID!EP35="","",Briefing_FID!EP35)</f>
        <v/>
      </c>
      <c r="EQ35" s="28" t="str">
        <f>IF(Briefing_FID!EQ35="","",Briefing_FID!EQ35)</f>
        <v/>
      </c>
      <c r="ER35" s="28" t="str">
        <f>IF(Briefing_FID!ER35="","",Briefing_FID!ER35)</f>
        <v/>
      </c>
      <c r="ES35" s="62"/>
      <c r="ET35" s="96" t="str">
        <f>IF(Briefing_FID!EZ35="","",Briefing_FID!EZ35)</f>
        <v/>
      </c>
      <c r="EU35" s="97" t="str">
        <f>IF(Briefing_FID!FA35="","",Briefing_FID!FA35)</f>
        <v/>
      </c>
      <c r="EV35" s="98" t="str">
        <f>IF(Briefing_FID!FB35="","",Briefing_FID!FB35)</f>
        <v/>
      </c>
      <c r="EW35" s="96" t="str">
        <f>IF(Briefing_FID!FC35="","",Briefing_FID!FC35)</f>
        <v/>
      </c>
      <c r="EX35" s="97" t="str">
        <f>IF(Briefing_FID!FD35="","",Briefing_FID!FD35)</f>
        <v/>
      </c>
      <c r="EY35" s="98" t="str">
        <f>IF(Briefing_FID!FE35="","",Briefing_FID!FE35)</f>
        <v/>
      </c>
      <c r="EZ35" s="104" t="str">
        <f>IF(Briefing_FID!FF35="","",Briefing_FID!FF35)</f>
        <v/>
      </c>
      <c r="FA35" s="144" t="str">
        <f>IF(Briefing_FID!FG35="","",Briefing_FID!FG35)</f>
        <v/>
      </c>
      <c r="FB35" s="144" t="str">
        <f>IF(Briefing_FID!FH35="","",Briefing_FID!FH35)</f>
        <v/>
      </c>
      <c r="FC35" s="144" t="str">
        <f>IF(Briefing_FID!FI35="","",Briefing_FID!FI35)</f>
        <v/>
      </c>
      <c r="FD35" s="144" t="str">
        <f>IF(Briefing_FID!FJ35="","",Briefing_FID!FJ35)</f>
        <v/>
      </c>
      <c r="FE35" s="144" t="str">
        <f>IF(Briefing_FID!FK35="","",Briefing_FID!FK35)</f>
        <v/>
      </c>
      <c r="FF35" s="144" t="str">
        <f>IF(Briefing_FID!FL35="","",Briefing_FID!FL35)</f>
        <v/>
      </c>
      <c r="FG35" s="144" t="str">
        <f>IF(Briefing_FID!FM35="","",Briefing_FID!FM35)</f>
        <v/>
      </c>
      <c r="FH35" s="144" t="str">
        <f>IF(Briefing_FID!FN35="","",Briefing_FID!FN35)</f>
        <v/>
      </c>
      <c r="FI35" s="144" t="str">
        <f>IF(Briefing_FID!FO35="","",Briefing_FID!FO35)</f>
        <v/>
      </c>
      <c r="FJ35" s="144" t="str">
        <f>IF(Briefing_FID!FP35="","",Briefing_FID!FP35)</f>
        <v/>
      </c>
      <c r="FK35" s="144" t="str">
        <f>IF(Briefing_FID!FQ35="","",Briefing_FID!FQ35)</f>
        <v/>
      </c>
      <c r="FL35" s="144" t="str">
        <f>IF(Briefing_FID!FR35="","",Briefing_FID!FR35)</f>
        <v/>
      </c>
      <c r="FM35" s="144" t="str">
        <f>IF(Briefing_FID!FS35="","",Briefing_FID!FS35)</f>
        <v/>
      </c>
      <c r="FN35" s="144" t="str">
        <f>IF(Briefing_FID!FT35="","",Briefing_FID!FT35)</f>
        <v/>
      </c>
      <c r="FO35" s="144" t="str">
        <f>IF(Briefing_FID!FU35="","",Briefing_FID!FU35)</f>
        <v/>
      </c>
      <c r="FP35" s="144" t="str">
        <f>IF(Briefing_FID!FV35="","",Briefing_FID!FV35)</f>
        <v/>
      </c>
      <c r="FQ35" s="144" t="str">
        <f>IF(Briefing_FID!FW35="","",Briefing_FID!FW35)</f>
        <v/>
      </c>
      <c r="FR35" s="151"/>
      <c r="FS35" s="152"/>
      <c r="FT35" s="152"/>
      <c r="FU35" s="152"/>
      <c r="FV35" s="152"/>
      <c r="FW35" s="152"/>
      <c r="FX35" s="152"/>
      <c r="FY35" s="152"/>
      <c r="FZ35" s="152"/>
      <c r="GA35" s="153"/>
    </row>
    <row r="36" spans="1:183">
      <c r="A36" s="136" t="str">
        <f>IF(Briefing_FID!A36="","",Briefing_FID!A36)</f>
        <v/>
      </c>
      <c r="B36" s="137" t="str">
        <f>IF(Briefing_FID!B36="","",Briefing_FID!B36)</f>
        <v/>
      </c>
      <c r="C36" s="137" t="str">
        <f>IF(Briefing_FID!C36="","",Briefing_FID!C36)</f>
        <v/>
      </c>
      <c r="D36" s="46"/>
      <c r="E36" s="120"/>
      <c r="F36" s="117"/>
      <c r="G36" s="117"/>
      <c r="H36" s="72"/>
      <c r="I36" s="72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23"/>
      <c r="AD36" s="117"/>
      <c r="AE36" s="117"/>
      <c r="AF36" s="117"/>
      <c r="AG36" s="117"/>
      <c r="AH36" s="117"/>
      <c r="AI36" s="117"/>
      <c r="AJ36" s="117"/>
      <c r="AK36" s="117"/>
      <c r="AL36" s="124"/>
      <c r="AM36" s="37"/>
      <c r="AN36" s="38"/>
      <c r="AO36" s="39"/>
      <c r="AP36" s="111" t="str">
        <f>IF(Briefing_FID!AP36="","",Briefing_FID!AP36)</f>
        <v/>
      </c>
      <c r="AQ36" s="112" t="str">
        <f>IF(Briefing_FID!AQ36="","",Briefing_FID!AQ36)</f>
        <v/>
      </c>
      <c r="AR36" s="107" t="str">
        <f>IF(Briefing_FID!AR36="","",Briefing_FID!AR36)</f>
        <v/>
      </c>
      <c r="AS36" s="108" t="str">
        <f>IF(Briefing_FID!AS36="","",Briefing_FID!AS36)</f>
        <v/>
      </c>
      <c r="AT36" s="113" t="str">
        <f>IF(Briefing_FID!AT36="","",Briefing_FID!AT36)</f>
        <v/>
      </c>
      <c r="AU36" s="113" t="str">
        <f>IF(Briefing_FID!AU36="","",Briefing_FID!AU36)</f>
        <v/>
      </c>
      <c r="AV36" s="113" t="str">
        <f>IF(Briefing_FID!AV36="","",Briefing_FID!AV36)</f>
        <v/>
      </c>
      <c r="AW36" s="113" t="str">
        <f>IF(Briefing_FID!AW36="","",Briefing_FID!AW36)</f>
        <v/>
      </c>
      <c r="AX36" s="114" t="str">
        <f>IF(Briefing_FID!AX36="","",Briefing_FID!AX36)</f>
        <v/>
      </c>
      <c r="AY36" s="71"/>
      <c r="AZ36" s="117" t="str">
        <f>IF(Briefing_FID!AZ36="","",Briefing_FID!AZ36)</f>
        <v/>
      </c>
      <c r="BA36" s="118" t="str">
        <f>IF(Briefing_FID!BA36="","",Briefing_FID!BA36)</f>
        <v/>
      </c>
      <c r="BB36" s="55"/>
      <c r="BC36" s="102" t="str">
        <f>IF(Briefing_FID!BC36="","",Briefing_FID!BC36)</f>
        <v/>
      </c>
      <c r="BD36" s="27" t="str">
        <f>IF(Briefing_FID!BD36="","",Briefing_FID!BD36)</f>
        <v/>
      </c>
      <c r="BE36" s="100" t="str">
        <f>IF(Briefing_FID!BE36="","",Briefing_FID!BE36)</f>
        <v/>
      </c>
      <c r="BF36" s="3" t="str">
        <f>IF(Briefing_FID!BF36="","",Briefing_FID!BF36)</f>
        <v/>
      </c>
      <c r="BG36" s="10" t="str">
        <f>IF(Briefing_FID!BG36="","",Briefing_FID!BG36)</f>
        <v/>
      </c>
      <c r="BH36" s="100" t="str">
        <f>IF(Briefing_FID!BH36="","",Briefing_FID!BH36)</f>
        <v/>
      </c>
      <c r="BI36" s="3" t="str">
        <f>IF(Briefing_FID!BI36="","",Briefing_FID!BI36)</f>
        <v/>
      </c>
      <c r="BJ36" s="10" t="str">
        <f>IF(Briefing_FID!BJ36="","",Briefing_FID!BJ36)</f>
        <v/>
      </c>
      <c r="BK36" s="100" t="str">
        <f>IF(Briefing_FID!BK36="","",Briefing_FID!BK36)</f>
        <v/>
      </c>
      <c r="BL36" s="3" t="str">
        <f>IF(Briefing_FID!BL36="","",Briefing_FID!BL36)</f>
        <v/>
      </c>
      <c r="BM36" s="28" t="str">
        <f>IF(Briefing_FID!BM36="","",Briefing_FID!BM36)</f>
        <v/>
      </c>
      <c r="BN36" s="100" t="str">
        <f>IF(Briefing_FID!BN36="","",Briefing_FID!BN36)</f>
        <v/>
      </c>
      <c r="BO36" s="3" t="str">
        <f>IF(Briefing_FID!BO36="","",Briefing_FID!BO36)</f>
        <v/>
      </c>
      <c r="BP36" s="28" t="str">
        <f>IF(Briefing_FID!BP36="","",Briefing_FID!BP36)</f>
        <v/>
      </c>
      <c r="BQ36" s="100" t="str">
        <f>IF(Briefing_FID!BQ36="","",Briefing_FID!BQ36)</f>
        <v/>
      </c>
      <c r="BR36" s="3" t="str">
        <f>IF(Briefing_FID!BR36="","",Briefing_FID!BR36)</f>
        <v/>
      </c>
      <c r="BS36" s="28" t="str">
        <f>IF(Briefing_FID!BS36="","",Briefing_FID!BS36)</f>
        <v/>
      </c>
      <c r="BT36" s="100" t="str">
        <f>IF(Briefing_FID!BT36="","",Briefing_FID!BT36)</f>
        <v/>
      </c>
      <c r="BU36" s="3" t="str">
        <f>IF(Briefing_FID!BU36="","",Briefing_FID!BU36)</f>
        <v/>
      </c>
      <c r="BV36" s="28" t="str">
        <f>IF(Briefing_FID!BV36="","",Briefing_FID!BV36)</f>
        <v/>
      </c>
      <c r="BW36" s="100" t="str">
        <f>IF(Briefing_FID!BW36="","",Briefing_FID!BW36)</f>
        <v/>
      </c>
      <c r="BX36" s="3" t="str">
        <f>IF(Briefing_FID!BX36="","",Briefing_FID!BX36)</f>
        <v/>
      </c>
      <c r="BY36" s="28" t="str">
        <f>IF(Briefing_FID!BY36="","",Briefing_FID!BY36)</f>
        <v/>
      </c>
      <c r="BZ36" s="100" t="str">
        <f>IF(Briefing_FID!BZ36="","",Briefing_FID!BZ36)</f>
        <v/>
      </c>
      <c r="CA36" s="3" t="str">
        <f>IF(Briefing_FID!CA36="","",Briefing_FID!CA36)</f>
        <v/>
      </c>
      <c r="CB36" s="28" t="str">
        <f>IF(Briefing_FID!CB36="","",Briefing_FID!CB36)</f>
        <v/>
      </c>
      <c r="CC36" s="100" t="str">
        <f>IF(Briefing_FID!CC36="","",Briefing_FID!CC36)</f>
        <v/>
      </c>
      <c r="CD36" s="3" t="str">
        <f>IF(Briefing_FID!CD36="","",Briefing_FID!CD36)</f>
        <v/>
      </c>
      <c r="CE36" s="28" t="str">
        <f>IF(Briefing_FID!CE36="","",Briefing_FID!CE36)</f>
        <v/>
      </c>
      <c r="CF36" s="100" t="str">
        <f>IF(Briefing_FID!CF36="","",Briefing_FID!CF36)</f>
        <v/>
      </c>
      <c r="CG36" s="3" t="str">
        <f>IF(Briefing_FID!CG36="","",Briefing_FID!CG36)</f>
        <v/>
      </c>
      <c r="CH36" s="28" t="str">
        <f>IF(Briefing_FID!CH36="","",Briefing_FID!CH36)</f>
        <v/>
      </c>
      <c r="CI36" s="100" t="str">
        <f>IF(Briefing_FID!CI36="","",Briefing_FID!CI36)</f>
        <v/>
      </c>
      <c r="CJ36" s="3" t="str">
        <f>IF(Briefing_FID!CJ36="","",Briefing_FID!CJ36)</f>
        <v/>
      </c>
      <c r="CK36" s="28" t="str">
        <f>IF(Briefing_FID!CK36="","",Briefing_FID!CK36)</f>
        <v/>
      </c>
      <c r="CL36" s="100" t="str">
        <f>IF(Briefing_FID!CL36="","",Briefing_FID!CL36)</f>
        <v/>
      </c>
      <c r="CM36" s="3" t="str">
        <f>IF(Briefing_FID!CM36="","",Briefing_FID!CM36)</f>
        <v/>
      </c>
      <c r="CN36" s="28" t="str">
        <f>IF(Briefing_FID!CN36="","",Briefing_FID!CN36)</f>
        <v/>
      </c>
      <c r="CO36" s="100" t="str">
        <f>IF(Briefing_FID!CO36="","",Briefing_FID!CO36)</f>
        <v/>
      </c>
      <c r="CP36" s="3" t="str">
        <f>IF(Briefing_FID!CP36="","",Briefing_FID!CP36)</f>
        <v/>
      </c>
      <c r="CQ36" s="28" t="str">
        <f>IF(Briefing_FID!CQ36="","",Briefing_FID!CQ36)</f>
        <v/>
      </c>
      <c r="CR36" s="100" t="str">
        <f>IF(Briefing_FID!CR36="","",Briefing_FID!CR36)</f>
        <v/>
      </c>
      <c r="CS36" s="3" t="str">
        <f>IF(Briefing_FID!CS36="","",Briefing_FID!CS36)</f>
        <v/>
      </c>
      <c r="CT36" s="28" t="str">
        <f>IF(Briefing_FID!CT36="","",Briefing_FID!CT36)</f>
        <v/>
      </c>
      <c r="CU36" s="100" t="str">
        <f>IF(Briefing_FID!CU36="","",Briefing_FID!CU36)</f>
        <v/>
      </c>
      <c r="CV36" s="3" t="str">
        <f>IF(Briefing_FID!CV36="","",Briefing_FID!CV36)</f>
        <v/>
      </c>
      <c r="CW36" s="28" t="str">
        <f>IF(Briefing_FID!CW36="","",Briefing_FID!CW36)</f>
        <v/>
      </c>
      <c r="CX36" s="100" t="str">
        <f>IF(Briefing_FID!CX36="","",Briefing_FID!CX36)</f>
        <v/>
      </c>
      <c r="CY36" s="3" t="str">
        <f>IF(Briefing_FID!CY36="","",Briefing_FID!CY36)</f>
        <v/>
      </c>
      <c r="CZ36" s="28" t="str">
        <f>IF(Briefing_FID!CZ36="","",Briefing_FID!CZ36)</f>
        <v/>
      </c>
      <c r="DA36" s="100" t="str">
        <f>IF(Briefing_FID!DA36="","",Briefing_FID!DA36)</f>
        <v/>
      </c>
      <c r="DB36" s="3" t="str">
        <f>IF(Briefing_FID!DB36="","",Briefing_FID!DB36)</f>
        <v/>
      </c>
      <c r="DC36" s="28" t="str">
        <f>IF(Briefing_FID!DC36="","",Briefing_FID!DC36)</f>
        <v/>
      </c>
      <c r="DD36" s="100" t="str">
        <f>IF(Briefing_FID!DD36="","",Briefing_FID!DD36)</f>
        <v/>
      </c>
      <c r="DE36" s="3" t="str">
        <f>IF(Briefing_FID!DE36="","",Briefing_FID!DE36)</f>
        <v/>
      </c>
      <c r="DF36" s="28" t="str">
        <f>IF(Briefing_FID!DF36="","",Briefing_FID!DF36)</f>
        <v/>
      </c>
      <c r="DG36" s="100" t="str">
        <f>IF(Briefing_FID!DG36="","",Briefing_FID!DG36)</f>
        <v/>
      </c>
      <c r="DH36" s="3" t="str">
        <f>IF(Briefing_FID!DH36="","",Briefing_FID!DH36)</f>
        <v/>
      </c>
      <c r="DI36" s="28" t="str">
        <f>IF(Briefing_FID!DI36="","",Briefing_FID!DI36)</f>
        <v/>
      </c>
      <c r="DJ36" s="100" t="str">
        <f>IF(Briefing_FID!DJ36="","",Briefing_FID!DJ36)</f>
        <v/>
      </c>
      <c r="DK36" s="3" t="str">
        <f>IF(Briefing_FID!DK36="","",Briefing_FID!DK36)</f>
        <v/>
      </c>
      <c r="DL36" s="28" t="str">
        <f>IF(Briefing_FID!DL36="","",Briefing_FID!DL36)</f>
        <v/>
      </c>
      <c r="DM36" s="100" t="str">
        <f>IF(Briefing_FID!DM36="","",Briefing_FID!DM36)</f>
        <v/>
      </c>
      <c r="DN36" s="3" t="str">
        <f>IF(Briefing_FID!DN36="","",Briefing_FID!DN36)</f>
        <v/>
      </c>
      <c r="DO36" s="28" t="str">
        <f>IF(Briefing_FID!DO36="","",Briefing_FID!DO36)</f>
        <v/>
      </c>
      <c r="DP36" s="100" t="str">
        <f>IF(Briefing_FID!DP36="","",Briefing_FID!DP36)</f>
        <v/>
      </c>
      <c r="DQ36" s="3" t="str">
        <f>IF(Briefing_FID!DQ36="","",Briefing_FID!DQ36)</f>
        <v/>
      </c>
      <c r="DR36" s="28" t="str">
        <f>IF(Briefing_FID!DR36="","",Briefing_FID!DR36)</f>
        <v/>
      </c>
      <c r="DS36" s="100" t="str">
        <f>IF(Briefing_FID!DS36="","",Briefing_FID!DS36)</f>
        <v/>
      </c>
      <c r="DT36" s="3" t="str">
        <f>IF(Briefing_FID!DT36="","",Briefing_FID!DT36)</f>
        <v/>
      </c>
      <c r="DU36" s="28" t="str">
        <f>IF(Briefing_FID!DU36="","",Briefing_FID!DU36)</f>
        <v/>
      </c>
      <c r="DV36" s="100" t="str">
        <f>IF(Briefing_FID!DV36="","",Briefing_FID!DV36)</f>
        <v/>
      </c>
      <c r="DW36" s="3" t="str">
        <f>IF(Briefing_FID!DW36="","",Briefing_FID!DW36)</f>
        <v/>
      </c>
      <c r="DX36" s="28" t="str">
        <f>IF(Briefing_FID!DX36="","",Briefing_FID!DX36)</f>
        <v/>
      </c>
      <c r="DY36" s="100" t="str">
        <f>IF(Briefing_FID!DY36="","",Briefing_FID!DY36)</f>
        <v/>
      </c>
      <c r="DZ36" s="3" t="str">
        <f>IF(Briefing_FID!DZ36="","",Briefing_FID!DZ36)</f>
        <v/>
      </c>
      <c r="EA36" s="28" t="str">
        <f>IF(Briefing_FID!EA36="","",Briefing_FID!EA36)</f>
        <v/>
      </c>
      <c r="EB36" s="100" t="str">
        <f>IF(Briefing_FID!EB36="","",Briefing_FID!EB36)</f>
        <v/>
      </c>
      <c r="EC36" s="3" t="str">
        <f>IF(Briefing_FID!EC36="","",Briefing_FID!EC36)</f>
        <v/>
      </c>
      <c r="ED36" s="28" t="str">
        <f>IF(Briefing_FID!ED36="","",Briefing_FID!ED36)</f>
        <v/>
      </c>
      <c r="EE36" s="100" t="str">
        <f>IF(Briefing_FID!EE36="","",Briefing_FID!EE36)</f>
        <v/>
      </c>
      <c r="EF36" s="3" t="str">
        <f>IF(Briefing_FID!EF36="","",Briefing_FID!EF36)</f>
        <v/>
      </c>
      <c r="EG36" s="28" t="str">
        <f>IF(Briefing_FID!EG36="","",Briefing_FID!EG36)</f>
        <v/>
      </c>
      <c r="EH36" s="100" t="str">
        <f>IF(Briefing_FID!EH36="","",Briefing_FID!EH36)</f>
        <v/>
      </c>
      <c r="EI36" s="3" t="str">
        <f>IF(Briefing_FID!EI36="","",Briefing_FID!EI36)</f>
        <v/>
      </c>
      <c r="EJ36" s="28" t="str">
        <f>IF(Briefing_FID!EJ36="","",Briefing_FID!EJ36)</f>
        <v/>
      </c>
      <c r="EK36" s="100" t="str">
        <f>IF(Briefing_FID!EK36="","",Briefing_FID!EK36)</f>
        <v/>
      </c>
      <c r="EL36" s="3" t="str">
        <f>IF(Briefing_FID!EL36="","",Briefing_FID!EL36)</f>
        <v/>
      </c>
      <c r="EM36" s="28" t="str">
        <f>IF(Briefing_FID!EM36="","",Briefing_FID!EM36)</f>
        <v/>
      </c>
      <c r="EN36" s="100" t="str">
        <f>IF(Briefing_FID!EN36="","",Briefing_FID!EN36)</f>
        <v/>
      </c>
      <c r="EO36" s="3" t="str">
        <f>IF(Briefing_FID!EO36="","",Briefing_FID!EO36)</f>
        <v/>
      </c>
      <c r="EP36" s="28" t="str">
        <f>IF(Briefing_FID!EP36="","",Briefing_FID!EP36)</f>
        <v/>
      </c>
      <c r="EQ36" s="28" t="str">
        <f>IF(Briefing_FID!EQ36="","",Briefing_FID!EQ36)</f>
        <v/>
      </c>
      <c r="ER36" s="28" t="str">
        <f>IF(Briefing_FID!ER36="","",Briefing_FID!ER36)</f>
        <v/>
      </c>
      <c r="ES36" s="62"/>
      <c r="ET36" s="96" t="str">
        <f>IF(Briefing_FID!EZ36="","",Briefing_FID!EZ36)</f>
        <v/>
      </c>
      <c r="EU36" s="97" t="str">
        <f>IF(Briefing_FID!FA36="","",Briefing_FID!FA36)</f>
        <v/>
      </c>
      <c r="EV36" s="98" t="str">
        <f>IF(Briefing_FID!FB36="","",Briefing_FID!FB36)</f>
        <v/>
      </c>
      <c r="EW36" s="96" t="str">
        <f>IF(Briefing_FID!FC36="","",Briefing_FID!FC36)</f>
        <v/>
      </c>
      <c r="EX36" s="97" t="str">
        <f>IF(Briefing_FID!FD36="","",Briefing_FID!FD36)</f>
        <v/>
      </c>
      <c r="EY36" s="98" t="str">
        <f>IF(Briefing_FID!FE36="","",Briefing_FID!FE36)</f>
        <v/>
      </c>
      <c r="EZ36" s="104" t="str">
        <f>IF(Briefing_FID!FF36="","",Briefing_FID!FF36)</f>
        <v/>
      </c>
      <c r="FA36" s="144" t="str">
        <f>IF(Briefing_FID!FG36="","",Briefing_FID!FG36)</f>
        <v/>
      </c>
      <c r="FB36" s="144" t="str">
        <f>IF(Briefing_FID!FH36="","",Briefing_FID!FH36)</f>
        <v/>
      </c>
      <c r="FC36" s="144" t="str">
        <f>IF(Briefing_FID!FI36="","",Briefing_FID!FI36)</f>
        <v/>
      </c>
      <c r="FD36" s="144" t="str">
        <f>IF(Briefing_FID!FJ36="","",Briefing_FID!FJ36)</f>
        <v/>
      </c>
      <c r="FE36" s="144" t="str">
        <f>IF(Briefing_FID!FK36="","",Briefing_FID!FK36)</f>
        <v/>
      </c>
      <c r="FF36" s="144" t="str">
        <f>IF(Briefing_FID!FL36="","",Briefing_FID!FL36)</f>
        <v/>
      </c>
      <c r="FG36" s="144" t="str">
        <f>IF(Briefing_FID!FM36="","",Briefing_FID!FM36)</f>
        <v/>
      </c>
      <c r="FH36" s="144" t="str">
        <f>IF(Briefing_FID!FN36="","",Briefing_FID!FN36)</f>
        <v/>
      </c>
      <c r="FI36" s="144" t="str">
        <f>IF(Briefing_FID!FO36="","",Briefing_FID!FO36)</f>
        <v/>
      </c>
      <c r="FJ36" s="144" t="str">
        <f>IF(Briefing_FID!FP36="","",Briefing_FID!FP36)</f>
        <v/>
      </c>
      <c r="FK36" s="144" t="str">
        <f>IF(Briefing_FID!FQ36="","",Briefing_FID!FQ36)</f>
        <v/>
      </c>
      <c r="FL36" s="144" t="str">
        <f>IF(Briefing_FID!FR36="","",Briefing_FID!FR36)</f>
        <v/>
      </c>
      <c r="FM36" s="144" t="str">
        <f>IF(Briefing_FID!FS36="","",Briefing_FID!FS36)</f>
        <v/>
      </c>
      <c r="FN36" s="144" t="str">
        <f>IF(Briefing_FID!FT36="","",Briefing_FID!FT36)</f>
        <v/>
      </c>
      <c r="FO36" s="144" t="str">
        <f>IF(Briefing_FID!FU36="","",Briefing_FID!FU36)</f>
        <v/>
      </c>
      <c r="FP36" s="144" t="str">
        <f>IF(Briefing_FID!FV36="","",Briefing_FID!FV36)</f>
        <v/>
      </c>
      <c r="FQ36" s="144" t="str">
        <f>IF(Briefing_FID!FW36="","",Briefing_FID!FW36)</f>
        <v/>
      </c>
      <c r="FR36" s="151"/>
      <c r="FS36" s="152"/>
      <c r="FT36" s="152"/>
      <c r="FU36" s="152"/>
      <c r="FV36" s="152"/>
      <c r="FW36" s="152"/>
      <c r="FX36" s="152"/>
      <c r="FY36" s="152"/>
      <c r="FZ36" s="152"/>
      <c r="GA36" s="153"/>
    </row>
    <row r="37" spans="1:183">
      <c r="A37" s="136" t="str">
        <f>IF(Briefing_FID!A37="","",Briefing_FID!A37)</f>
        <v/>
      </c>
      <c r="B37" s="137" t="str">
        <f>IF(Briefing_FID!B37="","",Briefing_FID!B37)</f>
        <v/>
      </c>
      <c r="C37" s="137" t="str">
        <f>IF(Briefing_FID!C37="","",Briefing_FID!C37)</f>
        <v/>
      </c>
      <c r="D37" s="46"/>
      <c r="E37" s="120"/>
      <c r="F37" s="117"/>
      <c r="G37" s="117"/>
      <c r="H37" s="72"/>
      <c r="I37" s="72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23"/>
      <c r="AD37" s="117"/>
      <c r="AE37" s="117"/>
      <c r="AF37" s="117"/>
      <c r="AG37" s="117"/>
      <c r="AH37" s="117"/>
      <c r="AI37" s="117"/>
      <c r="AJ37" s="117"/>
      <c r="AK37" s="117"/>
      <c r="AL37" s="124"/>
      <c r="AM37" s="37"/>
      <c r="AN37" s="38"/>
      <c r="AO37" s="39"/>
      <c r="AP37" s="111" t="str">
        <f>IF(Briefing_FID!AP37="","",Briefing_FID!AP37)</f>
        <v/>
      </c>
      <c r="AQ37" s="112" t="str">
        <f>IF(Briefing_FID!AQ37="","",Briefing_FID!AQ37)</f>
        <v/>
      </c>
      <c r="AR37" s="107" t="str">
        <f>IF(Briefing_FID!AR37="","",Briefing_FID!AR37)</f>
        <v/>
      </c>
      <c r="AS37" s="108" t="str">
        <f>IF(Briefing_FID!AS37="","",Briefing_FID!AS37)</f>
        <v/>
      </c>
      <c r="AT37" s="113" t="str">
        <f>IF(Briefing_FID!AT37="","",Briefing_FID!AT37)</f>
        <v/>
      </c>
      <c r="AU37" s="113" t="str">
        <f>IF(Briefing_FID!AU37="","",Briefing_FID!AU37)</f>
        <v/>
      </c>
      <c r="AV37" s="113" t="str">
        <f>IF(Briefing_FID!AV37="","",Briefing_FID!AV37)</f>
        <v/>
      </c>
      <c r="AW37" s="113" t="str">
        <f>IF(Briefing_FID!AW37="","",Briefing_FID!AW37)</f>
        <v/>
      </c>
      <c r="AX37" s="114" t="str">
        <f>IF(Briefing_FID!AX37="","",Briefing_FID!AX37)</f>
        <v/>
      </c>
      <c r="AY37" s="71"/>
      <c r="AZ37" s="117" t="str">
        <f>IF(Briefing_FID!AZ37="","",Briefing_FID!AZ37)</f>
        <v/>
      </c>
      <c r="BA37" s="118" t="str">
        <f>IF(Briefing_FID!BA37="","",Briefing_FID!BA37)</f>
        <v/>
      </c>
      <c r="BB37" s="55"/>
      <c r="BC37" s="102" t="str">
        <f>IF(Briefing_FID!BC37="","",Briefing_FID!BC37)</f>
        <v/>
      </c>
      <c r="BD37" s="27" t="str">
        <f>IF(Briefing_FID!BD37="","",Briefing_FID!BD37)</f>
        <v/>
      </c>
      <c r="BE37" s="100" t="str">
        <f>IF(Briefing_FID!BE37="","",Briefing_FID!BE37)</f>
        <v/>
      </c>
      <c r="BF37" s="3" t="str">
        <f>IF(Briefing_FID!BF37="","",Briefing_FID!BF37)</f>
        <v/>
      </c>
      <c r="BG37" s="10" t="str">
        <f>IF(Briefing_FID!BG37="","",Briefing_FID!BG37)</f>
        <v/>
      </c>
      <c r="BH37" s="100" t="str">
        <f>IF(Briefing_FID!BH37="","",Briefing_FID!BH37)</f>
        <v/>
      </c>
      <c r="BI37" s="3" t="str">
        <f>IF(Briefing_FID!BI37="","",Briefing_FID!BI37)</f>
        <v/>
      </c>
      <c r="BJ37" s="10" t="str">
        <f>IF(Briefing_FID!BJ37="","",Briefing_FID!BJ37)</f>
        <v/>
      </c>
      <c r="BK37" s="100" t="str">
        <f>IF(Briefing_FID!BK37="","",Briefing_FID!BK37)</f>
        <v/>
      </c>
      <c r="BL37" s="3" t="str">
        <f>IF(Briefing_FID!BL37="","",Briefing_FID!BL37)</f>
        <v/>
      </c>
      <c r="BM37" s="28" t="str">
        <f>IF(Briefing_FID!BM37="","",Briefing_FID!BM37)</f>
        <v/>
      </c>
      <c r="BN37" s="100" t="str">
        <f>IF(Briefing_FID!BN37="","",Briefing_FID!BN37)</f>
        <v/>
      </c>
      <c r="BO37" s="3" t="str">
        <f>IF(Briefing_FID!BO37="","",Briefing_FID!BO37)</f>
        <v/>
      </c>
      <c r="BP37" s="28" t="str">
        <f>IF(Briefing_FID!BP37="","",Briefing_FID!BP37)</f>
        <v/>
      </c>
      <c r="BQ37" s="100" t="str">
        <f>IF(Briefing_FID!BQ37="","",Briefing_FID!BQ37)</f>
        <v/>
      </c>
      <c r="BR37" s="3" t="str">
        <f>IF(Briefing_FID!BR37="","",Briefing_FID!BR37)</f>
        <v/>
      </c>
      <c r="BS37" s="28" t="str">
        <f>IF(Briefing_FID!BS37="","",Briefing_FID!BS37)</f>
        <v/>
      </c>
      <c r="BT37" s="100" t="str">
        <f>IF(Briefing_FID!BT37="","",Briefing_FID!BT37)</f>
        <v/>
      </c>
      <c r="BU37" s="3" t="str">
        <f>IF(Briefing_FID!BU37="","",Briefing_FID!BU37)</f>
        <v/>
      </c>
      <c r="BV37" s="28" t="str">
        <f>IF(Briefing_FID!BV37="","",Briefing_FID!BV37)</f>
        <v/>
      </c>
      <c r="BW37" s="100" t="str">
        <f>IF(Briefing_FID!BW37="","",Briefing_FID!BW37)</f>
        <v/>
      </c>
      <c r="BX37" s="3" t="str">
        <f>IF(Briefing_FID!BX37="","",Briefing_FID!BX37)</f>
        <v/>
      </c>
      <c r="BY37" s="28" t="str">
        <f>IF(Briefing_FID!BY37="","",Briefing_FID!BY37)</f>
        <v/>
      </c>
      <c r="BZ37" s="100" t="str">
        <f>IF(Briefing_FID!BZ37="","",Briefing_FID!BZ37)</f>
        <v/>
      </c>
      <c r="CA37" s="3" t="str">
        <f>IF(Briefing_FID!CA37="","",Briefing_FID!CA37)</f>
        <v/>
      </c>
      <c r="CB37" s="28" t="str">
        <f>IF(Briefing_FID!CB37="","",Briefing_FID!CB37)</f>
        <v/>
      </c>
      <c r="CC37" s="100" t="str">
        <f>IF(Briefing_FID!CC37="","",Briefing_FID!CC37)</f>
        <v/>
      </c>
      <c r="CD37" s="3" t="str">
        <f>IF(Briefing_FID!CD37="","",Briefing_FID!CD37)</f>
        <v/>
      </c>
      <c r="CE37" s="28" t="str">
        <f>IF(Briefing_FID!CE37="","",Briefing_FID!CE37)</f>
        <v/>
      </c>
      <c r="CF37" s="100" t="str">
        <f>IF(Briefing_FID!CF37="","",Briefing_FID!CF37)</f>
        <v/>
      </c>
      <c r="CG37" s="3" t="str">
        <f>IF(Briefing_FID!CG37="","",Briefing_FID!CG37)</f>
        <v/>
      </c>
      <c r="CH37" s="28" t="str">
        <f>IF(Briefing_FID!CH37="","",Briefing_FID!CH37)</f>
        <v/>
      </c>
      <c r="CI37" s="100" t="str">
        <f>IF(Briefing_FID!CI37="","",Briefing_FID!CI37)</f>
        <v/>
      </c>
      <c r="CJ37" s="3" t="str">
        <f>IF(Briefing_FID!CJ37="","",Briefing_FID!CJ37)</f>
        <v/>
      </c>
      <c r="CK37" s="28" t="str">
        <f>IF(Briefing_FID!CK37="","",Briefing_FID!CK37)</f>
        <v/>
      </c>
      <c r="CL37" s="100" t="str">
        <f>IF(Briefing_FID!CL37="","",Briefing_FID!CL37)</f>
        <v/>
      </c>
      <c r="CM37" s="3" t="str">
        <f>IF(Briefing_FID!CM37="","",Briefing_FID!CM37)</f>
        <v/>
      </c>
      <c r="CN37" s="28" t="str">
        <f>IF(Briefing_FID!CN37="","",Briefing_FID!CN37)</f>
        <v/>
      </c>
      <c r="CO37" s="100" t="str">
        <f>IF(Briefing_FID!CO37="","",Briefing_FID!CO37)</f>
        <v/>
      </c>
      <c r="CP37" s="3" t="str">
        <f>IF(Briefing_FID!CP37="","",Briefing_FID!CP37)</f>
        <v/>
      </c>
      <c r="CQ37" s="28" t="str">
        <f>IF(Briefing_FID!CQ37="","",Briefing_FID!CQ37)</f>
        <v/>
      </c>
      <c r="CR37" s="100" t="str">
        <f>IF(Briefing_FID!CR37="","",Briefing_FID!CR37)</f>
        <v/>
      </c>
      <c r="CS37" s="3" t="str">
        <f>IF(Briefing_FID!CS37="","",Briefing_FID!CS37)</f>
        <v/>
      </c>
      <c r="CT37" s="28" t="str">
        <f>IF(Briefing_FID!CT37="","",Briefing_FID!CT37)</f>
        <v/>
      </c>
      <c r="CU37" s="100" t="str">
        <f>IF(Briefing_FID!CU37="","",Briefing_FID!CU37)</f>
        <v/>
      </c>
      <c r="CV37" s="3" t="str">
        <f>IF(Briefing_FID!CV37="","",Briefing_FID!CV37)</f>
        <v/>
      </c>
      <c r="CW37" s="28" t="str">
        <f>IF(Briefing_FID!CW37="","",Briefing_FID!CW37)</f>
        <v/>
      </c>
      <c r="CX37" s="100" t="str">
        <f>IF(Briefing_FID!CX37="","",Briefing_FID!CX37)</f>
        <v/>
      </c>
      <c r="CY37" s="3" t="str">
        <f>IF(Briefing_FID!CY37="","",Briefing_FID!CY37)</f>
        <v/>
      </c>
      <c r="CZ37" s="28" t="str">
        <f>IF(Briefing_FID!CZ37="","",Briefing_FID!CZ37)</f>
        <v/>
      </c>
      <c r="DA37" s="100" t="str">
        <f>IF(Briefing_FID!DA37="","",Briefing_FID!DA37)</f>
        <v/>
      </c>
      <c r="DB37" s="3" t="str">
        <f>IF(Briefing_FID!DB37="","",Briefing_FID!DB37)</f>
        <v/>
      </c>
      <c r="DC37" s="28" t="str">
        <f>IF(Briefing_FID!DC37="","",Briefing_FID!DC37)</f>
        <v/>
      </c>
      <c r="DD37" s="100" t="str">
        <f>IF(Briefing_FID!DD37="","",Briefing_FID!DD37)</f>
        <v/>
      </c>
      <c r="DE37" s="3" t="str">
        <f>IF(Briefing_FID!DE37="","",Briefing_FID!DE37)</f>
        <v/>
      </c>
      <c r="DF37" s="28" t="str">
        <f>IF(Briefing_FID!DF37="","",Briefing_FID!DF37)</f>
        <v/>
      </c>
      <c r="DG37" s="100" t="str">
        <f>IF(Briefing_FID!DG37="","",Briefing_FID!DG37)</f>
        <v/>
      </c>
      <c r="DH37" s="3" t="str">
        <f>IF(Briefing_FID!DH37="","",Briefing_FID!DH37)</f>
        <v/>
      </c>
      <c r="DI37" s="28" t="str">
        <f>IF(Briefing_FID!DI37="","",Briefing_FID!DI37)</f>
        <v/>
      </c>
      <c r="DJ37" s="100" t="str">
        <f>IF(Briefing_FID!DJ37="","",Briefing_FID!DJ37)</f>
        <v/>
      </c>
      <c r="DK37" s="3" t="str">
        <f>IF(Briefing_FID!DK37="","",Briefing_FID!DK37)</f>
        <v/>
      </c>
      <c r="DL37" s="28" t="str">
        <f>IF(Briefing_FID!DL37="","",Briefing_FID!DL37)</f>
        <v/>
      </c>
      <c r="DM37" s="100" t="str">
        <f>IF(Briefing_FID!DM37="","",Briefing_FID!DM37)</f>
        <v/>
      </c>
      <c r="DN37" s="3" t="str">
        <f>IF(Briefing_FID!DN37="","",Briefing_FID!DN37)</f>
        <v/>
      </c>
      <c r="DO37" s="28" t="str">
        <f>IF(Briefing_FID!DO37="","",Briefing_FID!DO37)</f>
        <v/>
      </c>
      <c r="DP37" s="100" t="str">
        <f>IF(Briefing_FID!DP37="","",Briefing_FID!DP37)</f>
        <v/>
      </c>
      <c r="DQ37" s="3" t="str">
        <f>IF(Briefing_FID!DQ37="","",Briefing_FID!DQ37)</f>
        <v/>
      </c>
      <c r="DR37" s="28" t="str">
        <f>IF(Briefing_FID!DR37="","",Briefing_FID!DR37)</f>
        <v/>
      </c>
      <c r="DS37" s="100" t="str">
        <f>IF(Briefing_FID!DS37="","",Briefing_FID!DS37)</f>
        <v/>
      </c>
      <c r="DT37" s="3" t="str">
        <f>IF(Briefing_FID!DT37="","",Briefing_FID!DT37)</f>
        <v/>
      </c>
      <c r="DU37" s="28" t="str">
        <f>IF(Briefing_FID!DU37="","",Briefing_FID!DU37)</f>
        <v/>
      </c>
      <c r="DV37" s="100" t="str">
        <f>IF(Briefing_FID!DV37="","",Briefing_FID!DV37)</f>
        <v/>
      </c>
      <c r="DW37" s="3" t="str">
        <f>IF(Briefing_FID!DW37="","",Briefing_FID!DW37)</f>
        <v/>
      </c>
      <c r="DX37" s="28" t="str">
        <f>IF(Briefing_FID!DX37="","",Briefing_FID!DX37)</f>
        <v/>
      </c>
      <c r="DY37" s="100" t="str">
        <f>IF(Briefing_FID!DY37="","",Briefing_FID!DY37)</f>
        <v/>
      </c>
      <c r="DZ37" s="3" t="str">
        <f>IF(Briefing_FID!DZ37="","",Briefing_FID!DZ37)</f>
        <v/>
      </c>
      <c r="EA37" s="28" t="str">
        <f>IF(Briefing_FID!EA37="","",Briefing_FID!EA37)</f>
        <v/>
      </c>
      <c r="EB37" s="100" t="str">
        <f>IF(Briefing_FID!EB37="","",Briefing_FID!EB37)</f>
        <v/>
      </c>
      <c r="EC37" s="3" t="str">
        <f>IF(Briefing_FID!EC37="","",Briefing_FID!EC37)</f>
        <v/>
      </c>
      <c r="ED37" s="28" t="str">
        <f>IF(Briefing_FID!ED37="","",Briefing_FID!ED37)</f>
        <v/>
      </c>
      <c r="EE37" s="100" t="str">
        <f>IF(Briefing_FID!EE37="","",Briefing_FID!EE37)</f>
        <v/>
      </c>
      <c r="EF37" s="3" t="str">
        <f>IF(Briefing_FID!EF37="","",Briefing_FID!EF37)</f>
        <v/>
      </c>
      <c r="EG37" s="28" t="str">
        <f>IF(Briefing_FID!EG37="","",Briefing_FID!EG37)</f>
        <v/>
      </c>
      <c r="EH37" s="100" t="str">
        <f>IF(Briefing_FID!EH37="","",Briefing_FID!EH37)</f>
        <v/>
      </c>
      <c r="EI37" s="3" t="str">
        <f>IF(Briefing_FID!EI37="","",Briefing_FID!EI37)</f>
        <v/>
      </c>
      <c r="EJ37" s="28" t="str">
        <f>IF(Briefing_FID!EJ37="","",Briefing_FID!EJ37)</f>
        <v/>
      </c>
      <c r="EK37" s="100" t="str">
        <f>IF(Briefing_FID!EK37="","",Briefing_FID!EK37)</f>
        <v/>
      </c>
      <c r="EL37" s="3" t="str">
        <f>IF(Briefing_FID!EL37="","",Briefing_FID!EL37)</f>
        <v/>
      </c>
      <c r="EM37" s="28" t="str">
        <f>IF(Briefing_FID!EM37="","",Briefing_FID!EM37)</f>
        <v/>
      </c>
      <c r="EN37" s="100" t="str">
        <f>IF(Briefing_FID!EN37="","",Briefing_FID!EN37)</f>
        <v/>
      </c>
      <c r="EO37" s="3" t="str">
        <f>IF(Briefing_FID!EO37="","",Briefing_FID!EO37)</f>
        <v/>
      </c>
      <c r="EP37" s="28" t="str">
        <f>IF(Briefing_FID!EP37="","",Briefing_FID!EP37)</f>
        <v/>
      </c>
      <c r="EQ37" s="28" t="str">
        <f>IF(Briefing_FID!EQ37="","",Briefing_FID!EQ37)</f>
        <v/>
      </c>
      <c r="ER37" s="28" t="str">
        <f>IF(Briefing_FID!ER37="","",Briefing_FID!ER37)</f>
        <v/>
      </c>
      <c r="ES37" s="62"/>
      <c r="ET37" s="96" t="str">
        <f>IF(Briefing_FID!EZ37="","",Briefing_FID!EZ37)</f>
        <v/>
      </c>
      <c r="EU37" s="97" t="str">
        <f>IF(Briefing_FID!FA37="","",Briefing_FID!FA37)</f>
        <v/>
      </c>
      <c r="EV37" s="98" t="str">
        <f>IF(Briefing_FID!FB37="","",Briefing_FID!FB37)</f>
        <v/>
      </c>
      <c r="EW37" s="96" t="str">
        <f>IF(Briefing_FID!FC37="","",Briefing_FID!FC37)</f>
        <v/>
      </c>
      <c r="EX37" s="97" t="str">
        <f>IF(Briefing_FID!FD37="","",Briefing_FID!FD37)</f>
        <v/>
      </c>
      <c r="EY37" s="98" t="str">
        <f>IF(Briefing_FID!FE37="","",Briefing_FID!FE37)</f>
        <v/>
      </c>
      <c r="EZ37" s="104" t="str">
        <f>IF(Briefing_FID!FF37="","",Briefing_FID!FF37)</f>
        <v/>
      </c>
      <c r="FA37" s="144" t="str">
        <f>IF(Briefing_FID!FG37="","",Briefing_FID!FG37)</f>
        <v/>
      </c>
      <c r="FB37" s="144" t="str">
        <f>IF(Briefing_FID!FH37="","",Briefing_FID!FH37)</f>
        <v/>
      </c>
      <c r="FC37" s="144" t="str">
        <f>IF(Briefing_FID!FI37="","",Briefing_FID!FI37)</f>
        <v/>
      </c>
      <c r="FD37" s="144" t="str">
        <f>IF(Briefing_FID!FJ37="","",Briefing_FID!FJ37)</f>
        <v/>
      </c>
      <c r="FE37" s="144" t="str">
        <f>IF(Briefing_FID!FK37="","",Briefing_FID!FK37)</f>
        <v/>
      </c>
      <c r="FF37" s="144" t="str">
        <f>IF(Briefing_FID!FL37="","",Briefing_FID!FL37)</f>
        <v/>
      </c>
      <c r="FG37" s="144" t="str">
        <f>IF(Briefing_FID!FM37="","",Briefing_FID!FM37)</f>
        <v/>
      </c>
      <c r="FH37" s="144" t="str">
        <f>IF(Briefing_FID!FN37="","",Briefing_FID!FN37)</f>
        <v/>
      </c>
      <c r="FI37" s="144" t="str">
        <f>IF(Briefing_FID!FO37="","",Briefing_FID!FO37)</f>
        <v/>
      </c>
      <c r="FJ37" s="144" t="str">
        <f>IF(Briefing_FID!FP37="","",Briefing_FID!FP37)</f>
        <v/>
      </c>
      <c r="FK37" s="144" t="str">
        <f>IF(Briefing_FID!FQ37="","",Briefing_FID!FQ37)</f>
        <v/>
      </c>
      <c r="FL37" s="144" t="str">
        <f>IF(Briefing_FID!FR37="","",Briefing_FID!FR37)</f>
        <v/>
      </c>
      <c r="FM37" s="144" t="str">
        <f>IF(Briefing_FID!FS37="","",Briefing_FID!FS37)</f>
        <v/>
      </c>
      <c r="FN37" s="144" t="str">
        <f>IF(Briefing_FID!FT37="","",Briefing_FID!FT37)</f>
        <v/>
      </c>
      <c r="FO37" s="144" t="str">
        <f>IF(Briefing_FID!FU37="","",Briefing_FID!FU37)</f>
        <v/>
      </c>
      <c r="FP37" s="144" t="str">
        <f>IF(Briefing_FID!FV37="","",Briefing_FID!FV37)</f>
        <v/>
      </c>
      <c r="FQ37" s="144" t="str">
        <f>IF(Briefing_FID!FW37="","",Briefing_FID!FW37)</f>
        <v/>
      </c>
      <c r="FR37" s="151"/>
      <c r="FS37" s="152"/>
      <c r="FT37" s="152"/>
      <c r="FU37" s="152"/>
      <c r="FV37" s="152"/>
      <c r="FW37" s="152"/>
      <c r="FX37" s="152"/>
      <c r="FY37" s="152"/>
      <c r="FZ37" s="152"/>
      <c r="GA37" s="153"/>
    </row>
    <row r="38" spans="1:183">
      <c r="A38" s="136" t="str">
        <f>IF(Briefing_FID!A38="","",Briefing_FID!A38)</f>
        <v/>
      </c>
      <c r="B38" s="137" t="str">
        <f>IF(Briefing_FID!B38="","",Briefing_FID!B38)</f>
        <v/>
      </c>
      <c r="C38" s="137" t="str">
        <f>IF(Briefing_FID!C38="","",Briefing_FID!C38)</f>
        <v/>
      </c>
      <c r="D38" s="46"/>
      <c r="E38" s="120"/>
      <c r="F38" s="117"/>
      <c r="G38" s="117"/>
      <c r="H38" s="72"/>
      <c r="I38" s="72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23"/>
      <c r="AD38" s="117"/>
      <c r="AE38" s="117"/>
      <c r="AF38" s="117"/>
      <c r="AG38" s="117"/>
      <c r="AH38" s="117"/>
      <c r="AI38" s="117"/>
      <c r="AJ38" s="117"/>
      <c r="AK38" s="117"/>
      <c r="AL38" s="124"/>
      <c r="AM38" s="37"/>
      <c r="AN38" s="38"/>
      <c r="AO38" s="39"/>
      <c r="AP38" s="111" t="str">
        <f>IF(Briefing_FID!AP38="","",Briefing_FID!AP38)</f>
        <v/>
      </c>
      <c r="AQ38" s="112" t="str">
        <f>IF(Briefing_FID!AQ38="","",Briefing_FID!AQ38)</f>
        <v/>
      </c>
      <c r="AR38" s="107" t="str">
        <f>IF(Briefing_FID!AR38="","",Briefing_FID!AR38)</f>
        <v/>
      </c>
      <c r="AS38" s="108" t="str">
        <f>IF(Briefing_FID!AS38="","",Briefing_FID!AS38)</f>
        <v/>
      </c>
      <c r="AT38" s="113" t="str">
        <f>IF(Briefing_FID!AT38="","",Briefing_FID!AT38)</f>
        <v/>
      </c>
      <c r="AU38" s="113" t="str">
        <f>IF(Briefing_FID!AU38="","",Briefing_FID!AU38)</f>
        <v/>
      </c>
      <c r="AV38" s="113" t="str">
        <f>IF(Briefing_FID!AV38="","",Briefing_FID!AV38)</f>
        <v/>
      </c>
      <c r="AW38" s="113" t="str">
        <f>IF(Briefing_FID!AW38="","",Briefing_FID!AW38)</f>
        <v/>
      </c>
      <c r="AX38" s="114" t="str">
        <f>IF(Briefing_FID!AX38="","",Briefing_FID!AX38)</f>
        <v/>
      </c>
      <c r="AY38" s="71"/>
      <c r="AZ38" s="117" t="str">
        <f>IF(Briefing_FID!AZ38="","",Briefing_FID!AZ38)</f>
        <v/>
      </c>
      <c r="BA38" s="118" t="str">
        <f>IF(Briefing_FID!BA38="","",Briefing_FID!BA38)</f>
        <v/>
      </c>
      <c r="BB38" s="55"/>
      <c r="BC38" s="102" t="str">
        <f>IF(Briefing_FID!BC38="","",Briefing_FID!BC38)</f>
        <v/>
      </c>
      <c r="BD38" s="27" t="str">
        <f>IF(Briefing_FID!BD38="","",Briefing_FID!BD38)</f>
        <v/>
      </c>
      <c r="BE38" s="100" t="str">
        <f>IF(Briefing_FID!BE38="","",Briefing_FID!BE38)</f>
        <v/>
      </c>
      <c r="BF38" s="3" t="str">
        <f>IF(Briefing_FID!BF38="","",Briefing_FID!BF38)</f>
        <v/>
      </c>
      <c r="BG38" s="10" t="str">
        <f>IF(Briefing_FID!BG38="","",Briefing_FID!BG38)</f>
        <v/>
      </c>
      <c r="BH38" s="100" t="str">
        <f>IF(Briefing_FID!BH38="","",Briefing_FID!BH38)</f>
        <v/>
      </c>
      <c r="BI38" s="3" t="str">
        <f>IF(Briefing_FID!BI38="","",Briefing_FID!BI38)</f>
        <v/>
      </c>
      <c r="BJ38" s="10" t="str">
        <f>IF(Briefing_FID!BJ38="","",Briefing_FID!BJ38)</f>
        <v/>
      </c>
      <c r="BK38" s="100" t="str">
        <f>IF(Briefing_FID!BK38="","",Briefing_FID!BK38)</f>
        <v/>
      </c>
      <c r="BL38" s="3" t="str">
        <f>IF(Briefing_FID!BL38="","",Briefing_FID!BL38)</f>
        <v/>
      </c>
      <c r="BM38" s="28" t="str">
        <f>IF(Briefing_FID!BM38="","",Briefing_FID!BM38)</f>
        <v/>
      </c>
      <c r="BN38" s="100" t="str">
        <f>IF(Briefing_FID!BN38="","",Briefing_FID!BN38)</f>
        <v/>
      </c>
      <c r="BO38" s="3" t="str">
        <f>IF(Briefing_FID!BO38="","",Briefing_FID!BO38)</f>
        <v/>
      </c>
      <c r="BP38" s="28" t="str">
        <f>IF(Briefing_FID!BP38="","",Briefing_FID!BP38)</f>
        <v/>
      </c>
      <c r="BQ38" s="100" t="str">
        <f>IF(Briefing_FID!BQ38="","",Briefing_FID!BQ38)</f>
        <v/>
      </c>
      <c r="BR38" s="3" t="str">
        <f>IF(Briefing_FID!BR38="","",Briefing_FID!BR38)</f>
        <v/>
      </c>
      <c r="BS38" s="28" t="str">
        <f>IF(Briefing_FID!BS38="","",Briefing_FID!BS38)</f>
        <v/>
      </c>
      <c r="BT38" s="100" t="str">
        <f>IF(Briefing_FID!BT38="","",Briefing_FID!BT38)</f>
        <v/>
      </c>
      <c r="BU38" s="3" t="str">
        <f>IF(Briefing_FID!BU38="","",Briefing_FID!BU38)</f>
        <v/>
      </c>
      <c r="BV38" s="28" t="str">
        <f>IF(Briefing_FID!BV38="","",Briefing_FID!BV38)</f>
        <v/>
      </c>
      <c r="BW38" s="100" t="str">
        <f>IF(Briefing_FID!BW38="","",Briefing_FID!BW38)</f>
        <v/>
      </c>
      <c r="BX38" s="3" t="str">
        <f>IF(Briefing_FID!BX38="","",Briefing_FID!BX38)</f>
        <v/>
      </c>
      <c r="BY38" s="28" t="str">
        <f>IF(Briefing_FID!BY38="","",Briefing_FID!BY38)</f>
        <v/>
      </c>
      <c r="BZ38" s="100" t="str">
        <f>IF(Briefing_FID!BZ38="","",Briefing_FID!BZ38)</f>
        <v/>
      </c>
      <c r="CA38" s="3" t="str">
        <f>IF(Briefing_FID!CA38="","",Briefing_FID!CA38)</f>
        <v/>
      </c>
      <c r="CB38" s="28" t="str">
        <f>IF(Briefing_FID!CB38="","",Briefing_FID!CB38)</f>
        <v/>
      </c>
      <c r="CC38" s="100" t="str">
        <f>IF(Briefing_FID!CC38="","",Briefing_FID!CC38)</f>
        <v/>
      </c>
      <c r="CD38" s="3" t="str">
        <f>IF(Briefing_FID!CD38="","",Briefing_FID!CD38)</f>
        <v/>
      </c>
      <c r="CE38" s="28" t="str">
        <f>IF(Briefing_FID!CE38="","",Briefing_FID!CE38)</f>
        <v/>
      </c>
      <c r="CF38" s="100" t="str">
        <f>IF(Briefing_FID!CF38="","",Briefing_FID!CF38)</f>
        <v/>
      </c>
      <c r="CG38" s="3" t="str">
        <f>IF(Briefing_FID!CG38="","",Briefing_FID!CG38)</f>
        <v/>
      </c>
      <c r="CH38" s="28" t="str">
        <f>IF(Briefing_FID!CH38="","",Briefing_FID!CH38)</f>
        <v/>
      </c>
      <c r="CI38" s="100" t="str">
        <f>IF(Briefing_FID!CI38="","",Briefing_FID!CI38)</f>
        <v/>
      </c>
      <c r="CJ38" s="3" t="str">
        <f>IF(Briefing_FID!CJ38="","",Briefing_FID!CJ38)</f>
        <v/>
      </c>
      <c r="CK38" s="28" t="str">
        <f>IF(Briefing_FID!CK38="","",Briefing_FID!CK38)</f>
        <v/>
      </c>
      <c r="CL38" s="100" t="str">
        <f>IF(Briefing_FID!CL38="","",Briefing_FID!CL38)</f>
        <v/>
      </c>
      <c r="CM38" s="3" t="str">
        <f>IF(Briefing_FID!CM38="","",Briefing_FID!CM38)</f>
        <v/>
      </c>
      <c r="CN38" s="28" t="str">
        <f>IF(Briefing_FID!CN38="","",Briefing_FID!CN38)</f>
        <v/>
      </c>
      <c r="CO38" s="100" t="str">
        <f>IF(Briefing_FID!CO38="","",Briefing_FID!CO38)</f>
        <v/>
      </c>
      <c r="CP38" s="3" t="str">
        <f>IF(Briefing_FID!CP38="","",Briefing_FID!CP38)</f>
        <v/>
      </c>
      <c r="CQ38" s="28" t="str">
        <f>IF(Briefing_FID!CQ38="","",Briefing_FID!CQ38)</f>
        <v/>
      </c>
      <c r="CR38" s="100" t="str">
        <f>IF(Briefing_FID!CR38="","",Briefing_FID!CR38)</f>
        <v/>
      </c>
      <c r="CS38" s="3" t="str">
        <f>IF(Briefing_FID!CS38="","",Briefing_FID!CS38)</f>
        <v/>
      </c>
      <c r="CT38" s="28" t="str">
        <f>IF(Briefing_FID!CT38="","",Briefing_FID!CT38)</f>
        <v/>
      </c>
      <c r="CU38" s="100" t="str">
        <f>IF(Briefing_FID!CU38="","",Briefing_FID!CU38)</f>
        <v/>
      </c>
      <c r="CV38" s="3" t="str">
        <f>IF(Briefing_FID!CV38="","",Briefing_FID!CV38)</f>
        <v/>
      </c>
      <c r="CW38" s="28" t="str">
        <f>IF(Briefing_FID!CW38="","",Briefing_FID!CW38)</f>
        <v/>
      </c>
      <c r="CX38" s="100" t="str">
        <f>IF(Briefing_FID!CX38="","",Briefing_FID!CX38)</f>
        <v/>
      </c>
      <c r="CY38" s="3" t="str">
        <f>IF(Briefing_FID!CY38="","",Briefing_FID!CY38)</f>
        <v/>
      </c>
      <c r="CZ38" s="28" t="str">
        <f>IF(Briefing_FID!CZ38="","",Briefing_FID!CZ38)</f>
        <v/>
      </c>
      <c r="DA38" s="100" t="str">
        <f>IF(Briefing_FID!DA38="","",Briefing_FID!DA38)</f>
        <v/>
      </c>
      <c r="DB38" s="3" t="str">
        <f>IF(Briefing_FID!DB38="","",Briefing_FID!DB38)</f>
        <v/>
      </c>
      <c r="DC38" s="28" t="str">
        <f>IF(Briefing_FID!DC38="","",Briefing_FID!DC38)</f>
        <v/>
      </c>
      <c r="DD38" s="100" t="str">
        <f>IF(Briefing_FID!DD38="","",Briefing_FID!DD38)</f>
        <v/>
      </c>
      <c r="DE38" s="3" t="str">
        <f>IF(Briefing_FID!DE38="","",Briefing_FID!DE38)</f>
        <v/>
      </c>
      <c r="DF38" s="28" t="str">
        <f>IF(Briefing_FID!DF38="","",Briefing_FID!DF38)</f>
        <v/>
      </c>
      <c r="DG38" s="100" t="str">
        <f>IF(Briefing_FID!DG38="","",Briefing_FID!DG38)</f>
        <v/>
      </c>
      <c r="DH38" s="3" t="str">
        <f>IF(Briefing_FID!DH38="","",Briefing_FID!DH38)</f>
        <v/>
      </c>
      <c r="DI38" s="28" t="str">
        <f>IF(Briefing_FID!DI38="","",Briefing_FID!DI38)</f>
        <v/>
      </c>
      <c r="DJ38" s="100" t="str">
        <f>IF(Briefing_FID!DJ38="","",Briefing_FID!DJ38)</f>
        <v/>
      </c>
      <c r="DK38" s="3" t="str">
        <f>IF(Briefing_FID!DK38="","",Briefing_FID!DK38)</f>
        <v/>
      </c>
      <c r="DL38" s="28" t="str">
        <f>IF(Briefing_FID!DL38="","",Briefing_FID!DL38)</f>
        <v/>
      </c>
      <c r="DM38" s="100" t="str">
        <f>IF(Briefing_FID!DM38="","",Briefing_FID!DM38)</f>
        <v/>
      </c>
      <c r="DN38" s="3" t="str">
        <f>IF(Briefing_FID!DN38="","",Briefing_FID!DN38)</f>
        <v/>
      </c>
      <c r="DO38" s="28" t="str">
        <f>IF(Briefing_FID!DO38="","",Briefing_FID!DO38)</f>
        <v/>
      </c>
      <c r="DP38" s="100" t="str">
        <f>IF(Briefing_FID!DP38="","",Briefing_FID!DP38)</f>
        <v/>
      </c>
      <c r="DQ38" s="3" t="str">
        <f>IF(Briefing_FID!DQ38="","",Briefing_FID!DQ38)</f>
        <v/>
      </c>
      <c r="DR38" s="28" t="str">
        <f>IF(Briefing_FID!DR38="","",Briefing_FID!DR38)</f>
        <v/>
      </c>
      <c r="DS38" s="100" t="str">
        <f>IF(Briefing_FID!DS38="","",Briefing_FID!DS38)</f>
        <v/>
      </c>
      <c r="DT38" s="3" t="str">
        <f>IF(Briefing_FID!DT38="","",Briefing_FID!DT38)</f>
        <v/>
      </c>
      <c r="DU38" s="28" t="str">
        <f>IF(Briefing_FID!DU38="","",Briefing_FID!DU38)</f>
        <v/>
      </c>
      <c r="DV38" s="100" t="str">
        <f>IF(Briefing_FID!DV38="","",Briefing_FID!DV38)</f>
        <v/>
      </c>
      <c r="DW38" s="3" t="str">
        <f>IF(Briefing_FID!DW38="","",Briefing_FID!DW38)</f>
        <v/>
      </c>
      <c r="DX38" s="28" t="str">
        <f>IF(Briefing_FID!DX38="","",Briefing_FID!DX38)</f>
        <v/>
      </c>
      <c r="DY38" s="100" t="str">
        <f>IF(Briefing_FID!DY38="","",Briefing_FID!DY38)</f>
        <v/>
      </c>
      <c r="DZ38" s="3" t="str">
        <f>IF(Briefing_FID!DZ38="","",Briefing_FID!DZ38)</f>
        <v/>
      </c>
      <c r="EA38" s="28" t="str">
        <f>IF(Briefing_FID!EA38="","",Briefing_FID!EA38)</f>
        <v/>
      </c>
      <c r="EB38" s="100" t="str">
        <f>IF(Briefing_FID!EB38="","",Briefing_FID!EB38)</f>
        <v/>
      </c>
      <c r="EC38" s="3" t="str">
        <f>IF(Briefing_FID!EC38="","",Briefing_FID!EC38)</f>
        <v/>
      </c>
      <c r="ED38" s="28" t="str">
        <f>IF(Briefing_FID!ED38="","",Briefing_FID!ED38)</f>
        <v/>
      </c>
      <c r="EE38" s="100" t="str">
        <f>IF(Briefing_FID!EE38="","",Briefing_FID!EE38)</f>
        <v/>
      </c>
      <c r="EF38" s="3" t="str">
        <f>IF(Briefing_FID!EF38="","",Briefing_FID!EF38)</f>
        <v/>
      </c>
      <c r="EG38" s="28" t="str">
        <f>IF(Briefing_FID!EG38="","",Briefing_FID!EG38)</f>
        <v/>
      </c>
      <c r="EH38" s="100" t="str">
        <f>IF(Briefing_FID!EH38="","",Briefing_FID!EH38)</f>
        <v/>
      </c>
      <c r="EI38" s="3" t="str">
        <f>IF(Briefing_FID!EI38="","",Briefing_FID!EI38)</f>
        <v/>
      </c>
      <c r="EJ38" s="28" t="str">
        <f>IF(Briefing_FID!EJ38="","",Briefing_FID!EJ38)</f>
        <v/>
      </c>
      <c r="EK38" s="100" t="str">
        <f>IF(Briefing_FID!EK38="","",Briefing_FID!EK38)</f>
        <v/>
      </c>
      <c r="EL38" s="3" t="str">
        <f>IF(Briefing_FID!EL38="","",Briefing_FID!EL38)</f>
        <v/>
      </c>
      <c r="EM38" s="28" t="str">
        <f>IF(Briefing_FID!EM38="","",Briefing_FID!EM38)</f>
        <v/>
      </c>
      <c r="EN38" s="100" t="str">
        <f>IF(Briefing_FID!EN38="","",Briefing_FID!EN38)</f>
        <v/>
      </c>
      <c r="EO38" s="3" t="str">
        <f>IF(Briefing_FID!EO38="","",Briefing_FID!EO38)</f>
        <v/>
      </c>
      <c r="EP38" s="28" t="str">
        <f>IF(Briefing_FID!EP38="","",Briefing_FID!EP38)</f>
        <v/>
      </c>
      <c r="EQ38" s="28" t="str">
        <f>IF(Briefing_FID!EQ38="","",Briefing_FID!EQ38)</f>
        <v/>
      </c>
      <c r="ER38" s="28" t="str">
        <f>IF(Briefing_FID!ER38="","",Briefing_FID!ER38)</f>
        <v/>
      </c>
      <c r="ES38" s="62"/>
      <c r="ET38" s="96" t="str">
        <f>IF(Briefing_FID!EZ38="","",Briefing_FID!EZ38)</f>
        <v/>
      </c>
      <c r="EU38" s="97" t="str">
        <f>IF(Briefing_FID!FA38="","",Briefing_FID!FA38)</f>
        <v/>
      </c>
      <c r="EV38" s="98" t="str">
        <f>IF(Briefing_FID!FB38="","",Briefing_FID!FB38)</f>
        <v/>
      </c>
      <c r="EW38" s="96" t="str">
        <f>IF(Briefing_FID!FC38="","",Briefing_FID!FC38)</f>
        <v/>
      </c>
      <c r="EX38" s="97" t="str">
        <f>IF(Briefing_FID!FD38="","",Briefing_FID!FD38)</f>
        <v/>
      </c>
      <c r="EY38" s="98" t="str">
        <f>IF(Briefing_FID!FE38="","",Briefing_FID!FE38)</f>
        <v/>
      </c>
      <c r="EZ38" s="104" t="str">
        <f>IF(Briefing_FID!FF38="","",Briefing_FID!FF38)</f>
        <v/>
      </c>
      <c r="FA38" s="144" t="str">
        <f>IF(Briefing_FID!FG38="","",Briefing_FID!FG38)</f>
        <v/>
      </c>
      <c r="FB38" s="144" t="str">
        <f>IF(Briefing_FID!FH38="","",Briefing_FID!FH38)</f>
        <v/>
      </c>
      <c r="FC38" s="144" t="str">
        <f>IF(Briefing_FID!FI38="","",Briefing_FID!FI38)</f>
        <v/>
      </c>
      <c r="FD38" s="144" t="str">
        <f>IF(Briefing_FID!FJ38="","",Briefing_FID!FJ38)</f>
        <v/>
      </c>
      <c r="FE38" s="144" t="str">
        <f>IF(Briefing_FID!FK38="","",Briefing_FID!FK38)</f>
        <v/>
      </c>
      <c r="FF38" s="144" t="str">
        <f>IF(Briefing_FID!FL38="","",Briefing_FID!FL38)</f>
        <v/>
      </c>
      <c r="FG38" s="144" t="str">
        <f>IF(Briefing_FID!FM38="","",Briefing_FID!FM38)</f>
        <v/>
      </c>
      <c r="FH38" s="144" t="str">
        <f>IF(Briefing_FID!FN38="","",Briefing_FID!FN38)</f>
        <v/>
      </c>
      <c r="FI38" s="144" t="str">
        <f>IF(Briefing_FID!FO38="","",Briefing_FID!FO38)</f>
        <v/>
      </c>
      <c r="FJ38" s="144" t="str">
        <f>IF(Briefing_FID!FP38="","",Briefing_FID!FP38)</f>
        <v/>
      </c>
      <c r="FK38" s="144" t="str">
        <f>IF(Briefing_FID!FQ38="","",Briefing_FID!FQ38)</f>
        <v/>
      </c>
      <c r="FL38" s="144" t="str">
        <f>IF(Briefing_FID!FR38="","",Briefing_FID!FR38)</f>
        <v/>
      </c>
      <c r="FM38" s="144" t="str">
        <f>IF(Briefing_FID!FS38="","",Briefing_FID!FS38)</f>
        <v/>
      </c>
      <c r="FN38" s="144" t="str">
        <f>IF(Briefing_FID!FT38="","",Briefing_FID!FT38)</f>
        <v/>
      </c>
      <c r="FO38" s="144" t="str">
        <f>IF(Briefing_FID!FU38="","",Briefing_FID!FU38)</f>
        <v/>
      </c>
      <c r="FP38" s="144" t="str">
        <f>IF(Briefing_FID!FV38="","",Briefing_FID!FV38)</f>
        <v/>
      </c>
      <c r="FQ38" s="144" t="str">
        <f>IF(Briefing_FID!FW38="","",Briefing_FID!FW38)</f>
        <v/>
      </c>
      <c r="FR38" s="151"/>
      <c r="FS38" s="152"/>
      <c r="FT38" s="152"/>
      <c r="FU38" s="152"/>
      <c r="FV38" s="152"/>
      <c r="FW38" s="152"/>
      <c r="FX38" s="152"/>
      <c r="FY38" s="152"/>
      <c r="FZ38" s="152"/>
      <c r="GA38" s="153"/>
    </row>
    <row r="39" spans="1:183">
      <c r="A39" s="136" t="str">
        <f>IF(Briefing_FID!A39="","",Briefing_FID!A39)</f>
        <v/>
      </c>
      <c r="B39" s="137" t="str">
        <f>IF(Briefing_FID!B39="","",Briefing_FID!B39)</f>
        <v/>
      </c>
      <c r="C39" s="137" t="str">
        <f>IF(Briefing_FID!C39="","",Briefing_FID!C39)</f>
        <v/>
      </c>
      <c r="D39" s="46"/>
      <c r="E39" s="120"/>
      <c r="F39" s="117"/>
      <c r="G39" s="117"/>
      <c r="H39" s="72"/>
      <c r="I39" s="72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23"/>
      <c r="AD39" s="117"/>
      <c r="AE39" s="117"/>
      <c r="AF39" s="117"/>
      <c r="AG39" s="117"/>
      <c r="AH39" s="117"/>
      <c r="AI39" s="117"/>
      <c r="AJ39" s="117"/>
      <c r="AK39" s="117"/>
      <c r="AL39" s="124"/>
      <c r="AM39" s="37"/>
      <c r="AN39" s="38"/>
      <c r="AO39" s="39"/>
      <c r="AP39" s="111" t="str">
        <f>IF(Briefing_FID!AP39="","",Briefing_FID!AP39)</f>
        <v/>
      </c>
      <c r="AQ39" s="112" t="str">
        <f>IF(Briefing_FID!AQ39="","",Briefing_FID!AQ39)</f>
        <v/>
      </c>
      <c r="AR39" s="107" t="str">
        <f>IF(Briefing_FID!AR39="","",Briefing_FID!AR39)</f>
        <v/>
      </c>
      <c r="AS39" s="108" t="str">
        <f>IF(Briefing_FID!AS39="","",Briefing_FID!AS39)</f>
        <v/>
      </c>
      <c r="AT39" s="113" t="str">
        <f>IF(Briefing_FID!AT39="","",Briefing_FID!AT39)</f>
        <v/>
      </c>
      <c r="AU39" s="113" t="str">
        <f>IF(Briefing_FID!AU39="","",Briefing_FID!AU39)</f>
        <v/>
      </c>
      <c r="AV39" s="113" t="str">
        <f>IF(Briefing_FID!AV39="","",Briefing_FID!AV39)</f>
        <v/>
      </c>
      <c r="AW39" s="113" t="str">
        <f>IF(Briefing_FID!AW39="","",Briefing_FID!AW39)</f>
        <v/>
      </c>
      <c r="AX39" s="114" t="str">
        <f>IF(Briefing_FID!AX39="","",Briefing_FID!AX39)</f>
        <v/>
      </c>
      <c r="AY39" s="71"/>
      <c r="AZ39" s="117" t="str">
        <f>IF(Briefing_FID!AZ39="","",Briefing_FID!AZ39)</f>
        <v/>
      </c>
      <c r="BA39" s="118" t="str">
        <f>IF(Briefing_FID!BA39="","",Briefing_FID!BA39)</f>
        <v/>
      </c>
      <c r="BB39" s="55"/>
      <c r="BC39" s="102" t="str">
        <f>IF(Briefing_FID!BC39="","",Briefing_FID!BC39)</f>
        <v/>
      </c>
      <c r="BD39" s="27" t="str">
        <f>IF(Briefing_FID!BD39="","",Briefing_FID!BD39)</f>
        <v/>
      </c>
      <c r="BE39" s="100" t="str">
        <f>IF(Briefing_FID!BE39="","",Briefing_FID!BE39)</f>
        <v/>
      </c>
      <c r="BF39" s="3" t="str">
        <f>IF(Briefing_FID!BF39="","",Briefing_FID!BF39)</f>
        <v/>
      </c>
      <c r="BG39" s="10" t="str">
        <f>IF(Briefing_FID!BG39="","",Briefing_FID!BG39)</f>
        <v/>
      </c>
      <c r="BH39" s="100" t="str">
        <f>IF(Briefing_FID!BH39="","",Briefing_FID!BH39)</f>
        <v/>
      </c>
      <c r="BI39" s="3" t="str">
        <f>IF(Briefing_FID!BI39="","",Briefing_FID!BI39)</f>
        <v/>
      </c>
      <c r="BJ39" s="10" t="str">
        <f>IF(Briefing_FID!BJ39="","",Briefing_FID!BJ39)</f>
        <v/>
      </c>
      <c r="BK39" s="100" t="str">
        <f>IF(Briefing_FID!BK39="","",Briefing_FID!BK39)</f>
        <v/>
      </c>
      <c r="BL39" s="3" t="str">
        <f>IF(Briefing_FID!BL39="","",Briefing_FID!BL39)</f>
        <v/>
      </c>
      <c r="BM39" s="28" t="str">
        <f>IF(Briefing_FID!BM39="","",Briefing_FID!BM39)</f>
        <v/>
      </c>
      <c r="BN39" s="100" t="str">
        <f>IF(Briefing_FID!BN39="","",Briefing_FID!BN39)</f>
        <v/>
      </c>
      <c r="BO39" s="3" t="str">
        <f>IF(Briefing_FID!BO39="","",Briefing_FID!BO39)</f>
        <v/>
      </c>
      <c r="BP39" s="28" t="str">
        <f>IF(Briefing_FID!BP39="","",Briefing_FID!BP39)</f>
        <v/>
      </c>
      <c r="BQ39" s="100" t="str">
        <f>IF(Briefing_FID!BQ39="","",Briefing_FID!BQ39)</f>
        <v/>
      </c>
      <c r="BR39" s="3" t="str">
        <f>IF(Briefing_FID!BR39="","",Briefing_FID!BR39)</f>
        <v/>
      </c>
      <c r="BS39" s="28" t="str">
        <f>IF(Briefing_FID!BS39="","",Briefing_FID!BS39)</f>
        <v/>
      </c>
      <c r="BT39" s="100" t="str">
        <f>IF(Briefing_FID!BT39="","",Briefing_FID!BT39)</f>
        <v/>
      </c>
      <c r="BU39" s="3" t="str">
        <f>IF(Briefing_FID!BU39="","",Briefing_FID!BU39)</f>
        <v/>
      </c>
      <c r="BV39" s="28" t="str">
        <f>IF(Briefing_FID!BV39="","",Briefing_FID!BV39)</f>
        <v/>
      </c>
      <c r="BW39" s="100" t="str">
        <f>IF(Briefing_FID!BW39="","",Briefing_FID!BW39)</f>
        <v/>
      </c>
      <c r="BX39" s="3" t="str">
        <f>IF(Briefing_FID!BX39="","",Briefing_FID!BX39)</f>
        <v/>
      </c>
      <c r="BY39" s="28" t="str">
        <f>IF(Briefing_FID!BY39="","",Briefing_FID!BY39)</f>
        <v/>
      </c>
      <c r="BZ39" s="100" t="str">
        <f>IF(Briefing_FID!BZ39="","",Briefing_FID!BZ39)</f>
        <v/>
      </c>
      <c r="CA39" s="3" t="str">
        <f>IF(Briefing_FID!CA39="","",Briefing_FID!CA39)</f>
        <v/>
      </c>
      <c r="CB39" s="28" t="str">
        <f>IF(Briefing_FID!CB39="","",Briefing_FID!CB39)</f>
        <v/>
      </c>
      <c r="CC39" s="100" t="str">
        <f>IF(Briefing_FID!CC39="","",Briefing_FID!CC39)</f>
        <v/>
      </c>
      <c r="CD39" s="3" t="str">
        <f>IF(Briefing_FID!CD39="","",Briefing_FID!CD39)</f>
        <v/>
      </c>
      <c r="CE39" s="28" t="str">
        <f>IF(Briefing_FID!CE39="","",Briefing_FID!CE39)</f>
        <v/>
      </c>
      <c r="CF39" s="100" t="str">
        <f>IF(Briefing_FID!CF39="","",Briefing_FID!CF39)</f>
        <v/>
      </c>
      <c r="CG39" s="3" t="str">
        <f>IF(Briefing_FID!CG39="","",Briefing_FID!CG39)</f>
        <v/>
      </c>
      <c r="CH39" s="28" t="str">
        <f>IF(Briefing_FID!CH39="","",Briefing_FID!CH39)</f>
        <v/>
      </c>
      <c r="CI39" s="100" t="str">
        <f>IF(Briefing_FID!CI39="","",Briefing_FID!CI39)</f>
        <v/>
      </c>
      <c r="CJ39" s="3" t="str">
        <f>IF(Briefing_FID!CJ39="","",Briefing_FID!CJ39)</f>
        <v/>
      </c>
      <c r="CK39" s="28" t="str">
        <f>IF(Briefing_FID!CK39="","",Briefing_FID!CK39)</f>
        <v/>
      </c>
      <c r="CL39" s="100" t="str">
        <f>IF(Briefing_FID!CL39="","",Briefing_FID!CL39)</f>
        <v/>
      </c>
      <c r="CM39" s="3" t="str">
        <f>IF(Briefing_FID!CM39="","",Briefing_FID!CM39)</f>
        <v/>
      </c>
      <c r="CN39" s="28" t="str">
        <f>IF(Briefing_FID!CN39="","",Briefing_FID!CN39)</f>
        <v/>
      </c>
      <c r="CO39" s="100" t="str">
        <f>IF(Briefing_FID!CO39="","",Briefing_FID!CO39)</f>
        <v/>
      </c>
      <c r="CP39" s="3" t="str">
        <f>IF(Briefing_FID!CP39="","",Briefing_FID!CP39)</f>
        <v/>
      </c>
      <c r="CQ39" s="28" t="str">
        <f>IF(Briefing_FID!CQ39="","",Briefing_FID!CQ39)</f>
        <v/>
      </c>
      <c r="CR39" s="100" t="str">
        <f>IF(Briefing_FID!CR39="","",Briefing_FID!CR39)</f>
        <v/>
      </c>
      <c r="CS39" s="3" t="str">
        <f>IF(Briefing_FID!CS39="","",Briefing_FID!CS39)</f>
        <v/>
      </c>
      <c r="CT39" s="28" t="str">
        <f>IF(Briefing_FID!CT39="","",Briefing_FID!CT39)</f>
        <v/>
      </c>
      <c r="CU39" s="100" t="str">
        <f>IF(Briefing_FID!CU39="","",Briefing_FID!CU39)</f>
        <v/>
      </c>
      <c r="CV39" s="3" t="str">
        <f>IF(Briefing_FID!CV39="","",Briefing_FID!CV39)</f>
        <v/>
      </c>
      <c r="CW39" s="28" t="str">
        <f>IF(Briefing_FID!CW39="","",Briefing_FID!CW39)</f>
        <v/>
      </c>
      <c r="CX39" s="100" t="str">
        <f>IF(Briefing_FID!CX39="","",Briefing_FID!CX39)</f>
        <v/>
      </c>
      <c r="CY39" s="3" t="str">
        <f>IF(Briefing_FID!CY39="","",Briefing_FID!CY39)</f>
        <v/>
      </c>
      <c r="CZ39" s="28" t="str">
        <f>IF(Briefing_FID!CZ39="","",Briefing_FID!CZ39)</f>
        <v/>
      </c>
      <c r="DA39" s="100" t="str">
        <f>IF(Briefing_FID!DA39="","",Briefing_FID!DA39)</f>
        <v/>
      </c>
      <c r="DB39" s="3" t="str">
        <f>IF(Briefing_FID!DB39="","",Briefing_FID!DB39)</f>
        <v/>
      </c>
      <c r="DC39" s="28" t="str">
        <f>IF(Briefing_FID!DC39="","",Briefing_FID!DC39)</f>
        <v/>
      </c>
      <c r="DD39" s="100" t="str">
        <f>IF(Briefing_FID!DD39="","",Briefing_FID!DD39)</f>
        <v/>
      </c>
      <c r="DE39" s="3" t="str">
        <f>IF(Briefing_FID!DE39="","",Briefing_FID!DE39)</f>
        <v/>
      </c>
      <c r="DF39" s="28" t="str">
        <f>IF(Briefing_FID!DF39="","",Briefing_FID!DF39)</f>
        <v/>
      </c>
      <c r="DG39" s="100" t="str">
        <f>IF(Briefing_FID!DG39="","",Briefing_FID!DG39)</f>
        <v/>
      </c>
      <c r="DH39" s="3" t="str">
        <f>IF(Briefing_FID!DH39="","",Briefing_FID!DH39)</f>
        <v/>
      </c>
      <c r="DI39" s="28" t="str">
        <f>IF(Briefing_FID!DI39="","",Briefing_FID!DI39)</f>
        <v/>
      </c>
      <c r="DJ39" s="100" t="str">
        <f>IF(Briefing_FID!DJ39="","",Briefing_FID!DJ39)</f>
        <v/>
      </c>
      <c r="DK39" s="3" t="str">
        <f>IF(Briefing_FID!DK39="","",Briefing_FID!DK39)</f>
        <v/>
      </c>
      <c r="DL39" s="28" t="str">
        <f>IF(Briefing_FID!DL39="","",Briefing_FID!DL39)</f>
        <v/>
      </c>
      <c r="DM39" s="100" t="str">
        <f>IF(Briefing_FID!DM39="","",Briefing_FID!DM39)</f>
        <v/>
      </c>
      <c r="DN39" s="3" t="str">
        <f>IF(Briefing_FID!DN39="","",Briefing_FID!DN39)</f>
        <v/>
      </c>
      <c r="DO39" s="28" t="str">
        <f>IF(Briefing_FID!DO39="","",Briefing_FID!DO39)</f>
        <v/>
      </c>
      <c r="DP39" s="100" t="str">
        <f>IF(Briefing_FID!DP39="","",Briefing_FID!DP39)</f>
        <v/>
      </c>
      <c r="DQ39" s="3" t="str">
        <f>IF(Briefing_FID!DQ39="","",Briefing_FID!DQ39)</f>
        <v/>
      </c>
      <c r="DR39" s="28" t="str">
        <f>IF(Briefing_FID!DR39="","",Briefing_FID!DR39)</f>
        <v/>
      </c>
      <c r="DS39" s="100" t="str">
        <f>IF(Briefing_FID!DS39="","",Briefing_FID!DS39)</f>
        <v/>
      </c>
      <c r="DT39" s="3" t="str">
        <f>IF(Briefing_FID!DT39="","",Briefing_FID!DT39)</f>
        <v/>
      </c>
      <c r="DU39" s="28" t="str">
        <f>IF(Briefing_FID!DU39="","",Briefing_FID!DU39)</f>
        <v/>
      </c>
      <c r="DV39" s="100" t="str">
        <f>IF(Briefing_FID!DV39="","",Briefing_FID!DV39)</f>
        <v/>
      </c>
      <c r="DW39" s="3" t="str">
        <f>IF(Briefing_FID!DW39="","",Briefing_FID!DW39)</f>
        <v/>
      </c>
      <c r="DX39" s="28" t="str">
        <f>IF(Briefing_FID!DX39="","",Briefing_FID!DX39)</f>
        <v/>
      </c>
      <c r="DY39" s="100" t="str">
        <f>IF(Briefing_FID!DY39="","",Briefing_FID!DY39)</f>
        <v/>
      </c>
      <c r="DZ39" s="3" t="str">
        <f>IF(Briefing_FID!DZ39="","",Briefing_FID!DZ39)</f>
        <v/>
      </c>
      <c r="EA39" s="28" t="str">
        <f>IF(Briefing_FID!EA39="","",Briefing_FID!EA39)</f>
        <v/>
      </c>
      <c r="EB39" s="100" t="str">
        <f>IF(Briefing_FID!EB39="","",Briefing_FID!EB39)</f>
        <v/>
      </c>
      <c r="EC39" s="3" t="str">
        <f>IF(Briefing_FID!EC39="","",Briefing_FID!EC39)</f>
        <v/>
      </c>
      <c r="ED39" s="28" t="str">
        <f>IF(Briefing_FID!ED39="","",Briefing_FID!ED39)</f>
        <v/>
      </c>
      <c r="EE39" s="100" t="str">
        <f>IF(Briefing_FID!EE39="","",Briefing_FID!EE39)</f>
        <v/>
      </c>
      <c r="EF39" s="3" t="str">
        <f>IF(Briefing_FID!EF39="","",Briefing_FID!EF39)</f>
        <v/>
      </c>
      <c r="EG39" s="28" t="str">
        <f>IF(Briefing_FID!EG39="","",Briefing_FID!EG39)</f>
        <v/>
      </c>
      <c r="EH39" s="100" t="str">
        <f>IF(Briefing_FID!EH39="","",Briefing_FID!EH39)</f>
        <v/>
      </c>
      <c r="EI39" s="3" t="str">
        <f>IF(Briefing_FID!EI39="","",Briefing_FID!EI39)</f>
        <v/>
      </c>
      <c r="EJ39" s="28" t="str">
        <f>IF(Briefing_FID!EJ39="","",Briefing_FID!EJ39)</f>
        <v/>
      </c>
      <c r="EK39" s="100" t="str">
        <f>IF(Briefing_FID!EK39="","",Briefing_FID!EK39)</f>
        <v/>
      </c>
      <c r="EL39" s="3" t="str">
        <f>IF(Briefing_FID!EL39="","",Briefing_FID!EL39)</f>
        <v/>
      </c>
      <c r="EM39" s="28" t="str">
        <f>IF(Briefing_FID!EM39="","",Briefing_FID!EM39)</f>
        <v/>
      </c>
      <c r="EN39" s="100" t="str">
        <f>IF(Briefing_FID!EN39="","",Briefing_FID!EN39)</f>
        <v/>
      </c>
      <c r="EO39" s="3" t="str">
        <f>IF(Briefing_FID!EO39="","",Briefing_FID!EO39)</f>
        <v/>
      </c>
      <c r="EP39" s="28" t="str">
        <f>IF(Briefing_FID!EP39="","",Briefing_FID!EP39)</f>
        <v/>
      </c>
      <c r="EQ39" s="28" t="str">
        <f>IF(Briefing_FID!EQ39="","",Briefing_FID!EQ39)</f>
        <v/>
      </c>
      <c r="ER39" s="28" t="str">
        <f>IF(Briefing_FID!ER39="","",Briefing_FID!ER39)</f>
        <v/>
      </c>
      <c r="ES39" s="62"/>
      <c r="ET39" s="96" t="str">
        <f>IF(Briefing_FID!EZ39="","",Briefing_FID!EZ39)</f>
        <v/>
      </c>
      <c r="EU39" s="97" t="str">
        <f>IF(Briefing_FID!FA39="","",Briefing_FID!FA39)</f>
        <v/>
      </c>
      <c r="EV39" s="98" t="str">
        <f>IF(Briefing_FID!FB39="","",Briefing_FID!FB39)</f>
        <v/>
      </c>
      <c r="EW39" s="96" t="str">
        <f>IF(Briefing_FID!FC39="","",Briefing_FID!FC39)</f>
        <v/>
      </c>
      <c r="EX39" s="97" t="str">
        <f>IF(Briefing_FID!FD39="","",Briefing_FID!FD39)</f>
        <v/>
      </c>
      <c r="EY39" s="98" t="str">
        <f>IF(Briefing_FID!FE39="","",Briefing_FID!FE39)</f>
        <v/>
      </c>
      <c r="EZ39" s="104" t="str">
        <f>IF(Briefing_FID!FF39="","",Briefing_FID!FF39)</f>
        <v/>
      </c>
      <c r="FA39" s="144" t="str">
        <f>IF(Briefing_FID!FG39="","",Briefing_FID!FG39)</f>
        <v/>
      </c>
      <c r="FB39" s="144" t="str">
        <f>IF(Briefing_FID!FH39="","",Briefing_FID!FH39)</f>
        <v/>
      </c>
      <c r="FC39" s="144" t="str">
        <f>IF(Briefing_FID!FI39="","",Briefing_FID!FI39)</f>
        <v/>
      </c>
      <c r="FD39" s="144" t="str">
        <f>IF(Briefing_FID!FJ39="","",Briefing_FID!FJ39)</f>
        <v/>
      </c>
      <c r="FE39" s="144" t="str">
        <f>IF(Briefing_FID!FK39="","",Briefing_FID!FK39)</f>
        <v/>
      </c>
      <c r="FF39" s="144" t="str">
        <f>IF(Briefing_FID!FL39="","",Briefing_FID!FL39)</f>
        <v/>
      </c>
      <c r="FG39" s="144" t="str">
        <f>IF(Briefing_FID!FM39="","",Briefing_FID!FM39)</f>
        <v/>
      </c>
      <c r="FH39" s="144" t="str">
        <f>IF(Briefing_FID!FN39="","",Briefing_FID!FN39)</f>
        <v/>
      </c>
      <c r="FI39" s="144" t="str">
        <f>IF(Briefing_FID!FO39="","",Briefing_FID!FO39)</f>
        <v/>
      </c>
      <c r="FJ39" s="144" t="str">
        <f>IF(Briefing_FID!FP39="","",Briefing_FID!FP39)</f>
        <v/>
      </c>
      <c r="FK39" s="144" t="str">
        <f>IF(Briefing_FID!FQ39="","",Briefing_FID!FQ39)</f>
        <v/>
      </c>
      <c r="FL39" s="144" t="str">
        <f>IF(Briefing_FID!FR39="","",Briefing_FID!FR39)</f>
        <v/>
      </c>
      <c r="FM39" s="144" t="str">
        <f>IF(Briefing_FID!FS39="","",Briefing_FID!FS39)</f>
        <v/>
      </c>
      <c r="FN39" s="144" t="str">
        <f>IF(Briefing_FID!FT39="","",Briefing_FID!FT39)</f>
        <v/>
      </c>
      <c r="FO39" s="144" t="str">
        <f>IF(Briefing_FID!FU39="","",Briefing_FID!FU39)</f>
        <v/>
      </c>
      <c r="FP39" s="144" t="str">
        <f>IF(Briefing_FID!FV39="","",Briefing_FID!FV39)</f>
        <v/>
      </c>
      <c r="FQ39" s="144" t="str">
        <f>IF(Briefing_FID!FW39="","",Briefing_FID!FW39)</f>
        <v/>
      </c>
      <c r="FR39" s="151"/>
      <c r="FS39" s="152"/>
      <c r="FT39" s="152"/>
      <c r="FU39" s="152"/>
      <c r="FV39" s="152"/>
      <c r="FW39" s="152"/>
      <c r="FX39" s="152"/>
      <c r="FY39" s="152"/>
      <c r="FZ39" s="152"/>
      <c r="GA39" s="153"/>
    </row>
    <row r="40" spans="1:183">
      <c r="A40" s="136" t="str">
        <f>IF(Briefing_FID!A40="","",Briefing_FID!A40)</f>
        <v/>
      </c>
      <c r="B40" s="137" t="str">
        <f>IF(Briefing_FID!B40="","",Briefing_FID!B40)</f>
        <v/>
      </c>
      <c r="C40" s="137" t="str">
        <f>IF(Briefing_FID!C40="","",Briefing_FID!C40)</f>
        <v/>
      </c>
      <c r="D40" s="46"/>
      <c r="E40" s="120"/>
      <c r="F40" s="117"/>
      <c r="G40" s="117"/>
      <c r="H40" s="72"/>
      <c r="I40" s="72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23"/>
      <c r="AD40" s="117"/>
      <c r="AE40" s="117"/>
      <c r="AF40" s="117"/>
      <c r="AG40" s="117"/>
      <c r="AH40" s="117"/>
      <c r="AI40" s="117"/>
      <c r="AJ40" s="117"/>
      <c r="AK40" s="117"/>
      <c r="AL40" s="124"/>
      <c r="AM40" s="37"/>
      <c r="AN40" s="38"/>
      <c r="AO40" s="39"/>
      <c r="AP40" s="111" t="str">
        <f>IF(Briefing_FID!AP40="","",Briefing_FID!AP40)</f>
        <v/>
      </c>
      <c r="AQ40" s="112" t="str">
        <f>IF(Briefing_FID!AQ40="","",Briefing_FID!AQ40)</f>
        <v/>
      </c>
      <c r="AR40" s="107" t="str">
        <f>IF(Briefing_FID!AR40="","",Briefing_FID!AR40)</f>
        <v/>
      </c>
      <c r="AS40" s="108" t="str">
        <f>IF(Briefing_FID!AS40="","",Briefing_FID!AS40)</f>
        <v/>
      </c>
      <c r="AT40" s="113" t="str">
        <f>IF(Briefing_FID!AT40="","",Briefing_FID!AT40)</f>
        <v/>
      </c>
      <c r="AU40" s="113" t="str">
        <f>IF(Briefing_FID!AU40="","",Briefing_FID!AU40)</f>
        <v/>
      </c>
      <c r="AV40" s="113" t="str">
        <f>IF(Briefing_FID!AV40="","",Briefing_FID!AV40)</f>
        <v/>
      </c>
      <c r="AW40" s="113" t="str">
        <f>IF(Briefing_FID!AW40="","",Briefing_FID!AW40)</f>
        <v/>
      </c>
      <c r="AX40" s="114" t="str">
        <f>IF(Briefing_FID!AX40="","",Briefing_FID!AX40)</f>
        <v/>
      </c>
      <c r="AY40" s="71"/>
      <c r="AZ40" s="117" t="str">
        <f>IF(Briefing_FID!AZ40="","",Briefing_FID!AZ40)</f>
        <v/>
      </c>
      <c r="BA40" s="118" t="str">
        <f>IF(Briefing_FID!BA40="","",Briefing_FID!BA40)</f>
        <v/>
      </c>
      <c r="BB40" s="55"/>
      <c r="BC40" s="102" t="str">
        <f>IF(Briefing_FID!BC40="","",Briefing_FID!BC40)</f>
        <v/>
      </c>
      <c r="BD40" s="27" t="str">
        <f>IF(Briefing_FID!BD40="","",Briefing_FID!BD40)</f>
        <v/>
      </c>
      <c r="BE40" s="100" t="str">
        <f>IF(Briefing_FID!BE40="","",Briefing_FID!BE40)</f>
        <v/>
      </c>
      <c r="BF40" s="3" t="str">
        <f>IF(Briefing_FID!BF40="","",Briefing_FID!BF40)</f>
        <v/>
      </c>
      <c r="BG40" s="10" t="str">
        <f>IF(Briefing_FID!BG40="","",Briefing_FID!BG40)</f>
        <v/>
      </c>
      <c r="BH40" s="100" t="str">
        <f>IF(Briefing_FID!BH40="","",Briefing_FID!BH40)</f>
        <v/>
      </c>
      <c r="BI40" s="3" t="str">
        <f>IF(Briefing_FID!BI40="","",Briefing_FID!BI40)</f>
        <v/>
      </c>
      <c r="BJ40" s="10" t="str">
        <f>IF(Briefing_FID!BJ40="","",Briefing_FID!BJ40)</f>
        <v/>
      </c>
      <c r="BK40" s="100" t="str">
        <f>IF(Briefing_FID!BK40="","",Briefing_FID!BK40)</f>
        <v/>
      </c>
      <c r="BL40" s="3" t="str">
        <f>IF(Briefing_FID!BL40="","",Briefing_FID!BL40)</f>
        <v/>
      </c>
      <c r="BM40" s="28" t="str">
        <f>IF(Briefing_FID!BM40="","",Briefing_FID!BM40)</f>
        <v/>
      </c>
      <c r="BN40" s="100" t="str">
        <f>IF(Briefing_FID!BN40="","",Briefing_FID!BN40)</f>
        <v/>
      </c>
      <c r="BO40" s="3" t="str">
        <f>IF(Briefing_FID!BO40="","",Briefing_FID!BO40)</f>
        <v/>
      </c>
      <c r="BP40" s="28" t="str">
        <f>IF(Briefing_FID!BP40="","",Briefing_FID!BP40)</f>
        <v/>
      </c>
      <c r="BQ40" s="100" t="str">
        <f>IF(Briefing_FID!BQ40="","",Briefing_FID!BQ40)</f>
        <v/>
      </c>
      <c r="BR40" s="3" t="str">
        <f>IF(Briefing_FID!BR40="","",Briefing_FID!BR40)</f>
        <v/>
      </c>
      <c r="BS40" s="28" t="str">
        <f>IF(Briefing_FID!BS40="","",Briefing_FID!BS40)</f>
        <v/>
      </c>
      <c r="BT40" s="100" t="str">
        <f>IF(Briefing_FID!BT40="","",Briefing_FID!BT40)</f>
        <v/>
      </c>
      <c r="BU40" s="3" t="str">
        <f>IF(Briefing_FID!BU40="","",Briefing_FID!BU40)</f>
        <v/>
      </c>
      <c r="BV40" s="28" t="str">
        <f>IF(Briefing_FID!BV40="","",Briefing_FID!BV40)</f>
        <v/>
      </c>
      <c r="BW40" s="100" t="str">
        <f>IF(Briefing_FID!BW40="","",Briefing_FID!BW40)</f>
        <v/>
      </c>
      <c r="BX40" s="3" t="str">
        <f>IF(Briefing_FID!BX40="","",Briefing_FID!BX40)</f>
        <v/>
      </c>
      <c r="BY40" s="28" t="str">
        <f>IF(Briefing_FID!BY40="","",Briefing_FID!BY40)</f>
        <v/>
      </c>
      <c r="BZ40" s="100" t="str">
        <f>IF(Briefing_FID!BZ40="","",Briefing_FID!BZ40)</f>
        <v/>
      </c>
      <c r="CA40" s="3" t="str">
        <f>IF(Briefing_FID!CA40="","",Briefing_FID!CA40)</f>
        <v/>
      </c>
      <c r="CB40" s="28" t="str">
        <f>IF(Briefing_FID!CB40="","",Briefing_FID!CB40)</f>
        <v/>
      </c>
      <c r="CC40" s="100" t="str">
        <f>IF(Briefing_FID!CC40="","",Briefing_FID!CC40)</f>
        <v/>
      </c>
      <c r="CD40" s="3" t="str">
        <f>IF(Briefing_FID!CD40="","",Briefing_FID!CD40)</f>
        <v/>
      </c>
      <c r="CE40" s="28" t="str">
        <f>IF(Briefing_FID!CE40="","",Briefing_FID!CE40)</f>
        <v/>
      </c>
      <c r="CF40" s="100" t="str">
        <f>IF(Briefing_FID!CF40="","",Briefing_FID!CF40)</f>
        <v/>
      </c>
      <c r="CG40" s="3" t="str">
        <f>IF(Briefing_FID!CG40="","",Briefing_FID!CG40)</f>
        <v/>
      </c>
      <c r="CH40" s="28" t="str">
        <f>IF(Briefing_FID!CH40="","",Briefing_FID!CH40)</f>
        <v/>
      </c>
      <c r="CI40" s="100" t="str">
        <f>IF(Briefing_FID!CI40="","",Briefing_FID!CI40)</f>
        <v/>
      </c>
      <c r="CJ40" s="3" t="str">
        <f>IF(Briefing_FID!CJ40="","",Briefing_FID!CJ40)</f>
        <v/>
      </c>
      <c r="CK40" s="28" t="str">
        <f>IF(Briefing_FID!CK40="","",Briefing_FID!CK40)</f>
        <v/>
      </c>
      <c r="CL40" s="100" t="str">
        <f>IF(Briefing_FID!CL40="","",Briefing_FID!CL40)</f>
        <v/>
      </c>
      <c r="CM40" s="3" t="str">
        <f>IF(Briefing_FID!CM40="","",Briefing_FID!CM40)</f>
        <v/>
      </c>
      <c r="CN40" s="28" t="str">
        <f>IF(Briefing_FID!CN40="","",Briefing_FID!CN40)</f>
        <v/>
      </c>
      <c r="CO40" s="100" t="str">
        <f>IF(Briefing_FID!CO40="","",Briefing_FID!CO40)</f>
        <v/>
      </c>
      <c r="CP40" s="3" t="str">
        <f>IF(Briefing_FID!CP40="","",Briefing_FID!CP40)</f>
        <v/>
      </c>
      <c r="CQ40" s="28" t="str">
        <f>IF(Briefing_FID!CQ40="","",Briefing_FID!CQ40)</f>
        <v/>
      </c>
      <c r="CR40" s="100" t="str">
        <f>IF(Briefing_FID!CR40="","",Briefing_FID!CR40)</f>
        <v/>
      </c>
      <c r="CS40" s="3" t="str">
        <f>IF(Briefing_FID!CS40="","",Briefing_FID!CS40)</f>
        <v/>
      </c>
      <c r="CT40" s="28" t="str">
        <f>IF(Briefing_FID!CT40="","",Briefing_FID!CT40)</f>
        <v/>
      </c>
      <c r="CU40" s="100" t="str">
        <f>IF(Briefing_FID!CU40="","",Briefing_FID!CU40)</f>
        <v/>
      </c>
      <c r="CV40" s="3" t="str">
        <f>IF(Briefing_FID!CV40="","",Briefing_FID!CV40)</f>
        <v/>
      </c>
      <c r="CW40" s="28" t="str">
        <f>IF(Briefing_FID!CW40="","",Briefing_FID!CW40)</f>
        <v/>
      </c>
      <c r="CX40" s="100" t="str">
        <f>IF(Briefing_FID!CX40="","",Briefing_FID!CX40)</f>
        <v/>
      </c>
      <c r="CY40" s="3" t="str">
        <f>IF(Briefing_FID!CY40="","",Briefing_FID!CY40)</f>
        <v/>
      </c>
      <c r="CZ40" s="28" t="str">
        <f>IF(Briefing_FID!CZ40="","",Briefing_FID!CZ40)</f>
        <v/>
      </c>
      <c r="DA40" s="100" t="str">
        <f>IF(Briefing_FID!DA40="","",Briefing_FID!DA40)</f>
        <v/>
      </c>
      <c r="DB40" s="3" t="str">
        <f>IF(Briefing_FID!DB40="","",Briefing_FID!DB40)</f>
        <v/>
      </c>
      <c r="DC40" s="28" t="str">
        <f>IF(Briefing_FID!DC40="","",Briefing_FID!DC40)</f>
        <v/>
      </c>
      <c r="DD40" s="100" t="str">
        <f>IF(Briefing_FID!DD40="","",Briefing_FID!DD40)</f>
        <v/>
      </c>
      <c r="DE40" s="3" t="str">
        <f>IF(Briefing_FID!DE40="","",Briefing_FID!DE40)</f>
        <v/>
      </c>
      <c r="DF40" s="28" t="str">
        <f>IF(Briefing_FID!DF40="","",Briefing_FID!DF40)</f>
        <v/>
      </c>
      <c r="DG40" s="100" t="str">
        <f>IF(Briefing_FID!DG40="","",Briefing_FID!DG40)</f>
        <v/>
      </c>
      <c r="DH40" s="3" t="str">
        <f>IF(Briefing_FID!DH40="","",Briefing_FID!DH40)</f>
        <v/>
      </c>
      <c r="DI40" s="28" t="str">
        <f>IF(Briefing_FID!DI40="","",Briefing_FID!DI40)</f>
        <v/>
      </c>
      <c r="DJ40" s="100" t="str">
        <f>IF(Briefing_FID!DJ40="","",Briefing_FID!DJ40)</f>
        <v/>
      </c>
      <c r="DK40" s="3" t="str">
        <f>IF(Briefing_FID!DK40="","",Briefing_FID!DK40)</f>
        <v/>
      </c>
      <c r="DL40" s="28" t="str">
        <f>IF(Briefing_FID!DL40="","",Briefing_FID!DL40)</f>
        <v/>
      </c>
      <c r="DM40" s="100" t="str">
        <f>IF(Briefing_FID!DM40="","",Briefing_FID!DM40)</f>
        <v/>
      </c>
      <c r="DN40" s="3" t="str">
        <f>IF(Briefing_FID!DN40="","",Briefing_FID!DN40)</f>
        <v/>
      </c>
      <c r="DO40" s="28" t="str">
        <f>IF(Briefing_FID!DO40="","",Briefing_FID!DO40)</f>
        <v/>
      </c>
      <c r="DP40" s="100" t="str">
        <f>IF(Briefing_FID!DP40="","",Briefing_FID!DP40)</f>
        <v/>
      </c>
      <c r="DQ40" s="3" t="str">
        <f>IF(Briefing_FID!DQ40="","",Briefing_FID!DQ40)</f>
        <v/>
      </c>
      <c r="DR40" s="28" t="str">
        <f>IF(Briefing_FID!DR40="","",Briefing_FID!DR40)</f>
        <v/>
      </c>
      <c r="DS40" s="100" t="str">
        <f>IF(Briefing_FID!DS40="","",Briefing_FID!DS40)</f>
        <v/>
      </c>
      <c r="DT40" s="3" t="str">
        <f>IF(Briefing_FID!DT40="","",Briefing_FID!DT40)</f>
        <v/>
      </c>
      <c r="DU40" s="28" t="str">
        <f>IF(Briefing_FID!DU40="","",Briefing_FID!DU40)</f>
        <v/>
      </c>
      <c r="DV40" s="100" t="str">
        <f>IF(Briefing_FID!DV40="","",Briefing_FID!DV40)</f>
        <v/>
      </c>
      <c r="DW40" s="3" t="str">
        <f>IF(Briefing_FID!DW40="","",Briefing_FID!DW40)</f>
        <v/>
      </c>
      <c r="DX40" s="28" t="str">
        <f>IF(Briefing_FID!DX40="","",Briefing_FID!DX40)</f>
        <v/>
      </c>
      <c r="DY40" s="100" t="str">
        <f>IF(Briefing_FID!DY40="","",Briefing_FID!DY40)</f>
        <v/>
      </c>
      <c r="DZ40" s="3" t="str">
        <f>IF(Briefing_FID!DZ40="","",Briefing_FID!DZ40)</f>
        <v/>
      </c>
      <c r="EA40" s="28" t="str">
        <f>IF(Briefing_FID!EA40="","",Briefing_FID!EA40)</f>
        <v/>
      </c>
      <c r="EB40" s="100" t="str">
        <f>IF(Briefing_FID!EB40="","",Briefing_FID!EB40)</f>
        <v/>
      </c>
      <c r="EC40" s="3" t="str">
        <f>IF(Briefing_FID!EC40="","",Briefing_FID!EC40)</f>
        <v/>
      </c>
      <c r="ED40" s="28" t="str">
        <f>IF(Briefing_FID!ED40="","",Briefing_FID!ED40)</f>
        <v/>
      </c>
      <c r="EE40" s="100" t="str">
        <f>IF(Briefing_FID!EE40="","",Briefing_FID!EE40)</f>
        <v/>
      </c>
      <c r="EF40" s="3" t="str">
        <f>IF(Briefing_FID!EF40="","",Briefing_FID!EF40)</f>
        <v/>
      </c>
      <c r="EG40" s="28" t="str">
        <f>IF(Briefing_FID!EG40="","",Briefing_FID!EG40)</f>
        <v/>
      </c>
      <c r="EH40" s="100" t="str">
        <f>IF(Briefing_FID!EH40="","",Briefing_FID!EH40)</f>
        <v/>
      </c>
      <c r="EI40" s="3" t="str">
        <f>IF(Briefing_FID!EI40="","",Briefing_FID!EI40)</f>
        <v/>
      </c>
      <c r="EJ40" s="28" t="str">
        <f>IF(Briefing_FID!EJ40="","",Briefing_FID!EJ40)</f>
        <v/>
      </c>
      <c r="EK40" s="100" t="str">
        <f>IF(Briefing_FID!EK40="","",Briefing_FID!EK40)</f>
        <v/>
      </c>
      <c r="EL40" s="3" t="str">
        <f>IF(Briefing_FID!EL40="","",Briefing_FID!EL40)</f>
        <v/>
      </c>
      <c r="EM40" s="28" t="str">
        <f>IF(Briefing_FID!EM40="","",Briefing_FID!EM40)</f>
        <v/>
      </c>
      <c r="EN40" s="100" t="str">
        <f>IF(Briefing_FID!EN40="","",Briefing_FID!EN40)</f>
        <v/>
      </c>
      <c r="EO40" s="3" t="str">
        <f>IF(Briefing_FID!EO40="","",Briefing_FID!EO40)</f>
        <v/>
      </c>
      <c r="EP40" s="28" t="str">
        <f>IF(Briefing_FID!EP40="","",Briefing_FID!EP40)</f>
        <v/>
      </c>
      <c r="EQ40" s="28" t="str">
        <f>IF(Briefing_FID!EQ40="","",Briefing_FID!EQ40)</f>
        <v/>
      </c>
      <c r="ER40" s="28" t="str">
        <f>IF(Briefing_FID!ER40="","",Briefing_FID!ER40)</f>
        <v/>
      </c>
      <c r="ES40" s="62"/>
      <c r="ET40" s="96" t="str">
        <f>IF(Briefing_FID!EZ40="","",Briefing_FID!EZ40)</f>
        <v/>
      </c>
      <c r="EU40" s="97" t="str">
        <f>IF(Briefing_FID!FA40="","",Briefing_FID!FA40)</f>
        <v/>
      </c>
      <c r="EV40" s="98" t="str">
        <f>IF(Briefing_FID!FB40="","",Briefing_FID!FB40)</f>
        <v/>
      </c>
      <c r="EW40" s="96" t="str">
        <f>IF(Briefing_FID!FC40="","",Briefing_FID!FC40)</f>
        <v/>
      </c>
      <c r="EX40" s="97" t="str">
        <f>IF(Briefing_FID!FD40="","",Briefing_FID!FD40)</f>
        <v/>
      </c>
      <c r="EY40" s="98" t="str">
        <f>IF(Briefing_FID!FE40="","",Briefing_FID!FE40)</f>
        <v/>
      </c>
      <c r="EZ40" s="104" t="str">
        <f>IF(Briefing_FID!FF40="","",Briefing_FID!FF40)</f>
        <v/>
      </c>
      <c r="FA40" s="144" t="str">
        <f>IF(Briefing_FID!FG40="","",Briefing_FID!FG40)</f>
        <v/>
      </c>
      <c r="FB40" s="144" t="str">
        <f>IF(Briefing_FID!FH40="","",Briefing_FID!FH40)</f>
        <v/>
      </c>
      <c r="FC40" s="144" t="str">
        <f>IF(Briefing_FID!FI40="","",Briefing_FID!FI40)</f>
        <v/>
      </c>
      <c r="FD40" s="144" t="str">
        <f>IF(Briefing_FID!FJ40="","",Briefing_FID!FJ40)</f>
        <v/>
      </c>
      <c r="FE40" s="144" t="str">
        <f>IF(Briefing_FID!FK40="","",Briefing_FID!FK40)</f>
        <v/>
      </c>
      <c r="FF40" s="144" t="str">
        <f>IF(Briefing_FID!FL40="","",Briefing_FID!FL40)</f>
        <v/>
      </c>
      <c r="FG40" s="144" t="str">
        <f>IF(Briefing_FID!FM40="","",Briefing_FID!FM40)</f>
        <v/>
      </c>
      <c r="FH40" s="144" t="str">
        <f>IF(Briefing_FID!FN40="","",Briefing_FID!FN40)</f>
        <v/>
      </c>
      <c r="FI40" s="144" t="str">
        <f>IF(Briefing_FID!FO40="","",Briefing_FID!FO40)</f>
        <v/>
      </c>
      <c r="FJ40" s="144" t="str">
        <f>IF(Briefing_FID!FP40="","",Briefing_FID!FP40)</f>
        <v/>
      </c>
      <c r="FK40" s="144" t="str">
        <f>IF(Briefing_FID!FQ40="","",Briefing_FID!FQ40)</f>
        <v/>
      </c>
      <c r="FL40" s="144" t="str">
        <f>IF(Briefing_FID!FR40="","",Briefing_FID!FR40)</f>
        <v/>
      </c>
      <c r="FM40" s="144" t="str">
        <f>IF(Briefing_FID!FS40="","",Briefing_FID!FS40)</f>
        <v/>
      </c>
      <c r="FN40" s="144" t="str">
        <f>IF(Briefing_FID!FT40="","",Briefing_FID!FT40)</f>
        <v/>
      </c>
      <c r="FO40" s="144" t="str">
        <f>IF(Briefing_FID!FU40="","",Briefing_FID!FU40)</f>
        <v/>
      </c>
      <c r="FP40" s="144" t="str">
        <f>IF(Briefing_FID!FV40="","",Briefing_FID!FV40)</f>
        <v/>
      </c>
      <c r="FQ40" s="144" t="str">
        <f>IF(Briefing_FID!FW40="","",Briefing_FID!FW40)</f>
        <v/>
      </c>
      <c r="FR40" s="151"/>
      <c r="FS40" s="152"/>
      <c r="FT40" s="152"/>
      <c r="FU40" s="152"/>
      <c r="FV40" s="152"/>
      <c r="FW40" s="152"/>
      <c r="FX40" s="152"/>
      <c r="FY40" s="152"/>
      <c r="FZ40" s="152"/>
      <c r="GA40" s="153"/>
    </row>
    <row r="41" spans="1:183">
      <c r="A41" s="136" t="str">
        <f>IF(Briefing_FID!A41="","",Briefing_FID!A41)</f>
        <v/>
      </c>
      <c r="B41" s="137" t="str">
        <f>IF(Briefing_FID!B41="","",Briefing_FID!B41)</f>
        <v/>
      </c>
      <c r="C41" s="137" t="str">
        <f>IF(Briefing_FID!C41="","",Briefing_FID!C41)</f>
        <v/>
      </c>
      <c r="D41" s="46"/>
      <c r="E41" s="120"/>
      <c r="F41" s="117"/>
      <c r="G41" s="117"/>
      <c r="H41" s="72"/>
      <c r="I41" s="72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23"/>
      <c r="AD41" s="117"/>
      <c r="AE41" s="117"/>
      <c r="AF41" s="117"/>
      <c r="AG41" s="117"/>
      <c r="AH41" s="117"/>
      <c r="AI41" s="117"/>
      <c r="AJ41" s="117"/>
      <c r="AK41" s="117"/>
      <c r="AL41" s="124"/>
      <c r="AM41" s="37"/>
      <c r="AN41" s="38"/>
      <c r="AO41" s="39"/>
      <c r="AP41" s="111" t="str">
        <f>IF(Briefing_FID!AP41="","",Briefing_FID!AP41)</f>
        <v/>
      </c>
      <c r="AQ41" s="112" t="str">
        <f>IF(Briefing_FID!AQ41="","",Briefing_FID!AQ41)</f>
        <v/>
      </c>
      <c r="AR41" s="107" t="str">
        <f>IF(Briefing_FID!AR41="","",Briefing_FID!AR41)</f>
        <v/>
      </c>
      <c r="AS41" s="108" t="str">
        <f>IF(Briefing_FID!AS41="","",Briefing_FID!AS41)</f>
        <v/>
      </c>
      <c r="AT41" s="113" t="str">
        <f>IF(Briefing_FID!AT41="","",Briefing_FID!AT41)</f>
        <v/>
      </c>
      <c r="AU41" s="113" t="str">
        <f>IF(Briefing_FID!AU41="","",Briefing_FID!AU41)</f>
        <v/>
      </c>
      <c r="AV41" s="113" t="str">
        <f>IF(Briefing_FID!AV41="","",Briefing_FID!AV41)</f>
        <v/>
      </c>
      <c r="AW41" s="113" t="str">
        <f>IF(Briefing_FID!AW41="","",Briefing_FID!AW41)</f>
        <v/>
      </c>
      <c r="AX41" s="114" t="str">
        <f>IF(Briefing_FID!AX41="","",Briefing_FID!AX41)</f>
        <v/>
      </c>
      <c r="AY41" s="71"/>
      <c r="AZ41" s="117" t="str">
        <f>IF(Briefing_FID!AZ41="","",Briefing_FID!AZ41)</f>
        <v/>
      </c>
      <c r="BA41" s="118" t="str">
        <f>IF(Briefing_FID!BA41="","",Briefing_FID!BA41)</f>
        <v/>
      </c>
      <c r="BB41" s="55"/>
      <c r="BC41" s="102" t="str">
        <f>IF(Briefing_FID!BC41="","",Briefing_FID!BC41)</f>
        <v/>
      </c>
      <c r="BD41" s="27" t="str">
        <f>IF(Briefing_FID!BD41="","",Briefing_FID!BD41)</f>
        <v/>
      </c>
      <c r="BE41" s="100" t="str">
        <f>IF(Briefing_FID!BE41="","",Briefing_FID!BE41)</f>
        <v/>
      </c>
      <c r="BF41" s="3" t="str">
        <f>IF(Briefing_FID!BF41="","",Briefing_FID!BF41)</f>
        <v/>
      </c>
      <c r="BG41" s="10" t="str">
        <f>IF(Briefing_FID!BG41="","",Briefing_FID!BG41)</f>
        <v/>
      </c>
      <c r="BH41" s="100" t="str">
        <f>IF(Briefing_FID!BH41="","",Briefing_FID!BH41)</f>
        <v/>
      </c>
      <c r="BI41" s="3" t="str">
        <f>IF(Briefing_FID!BI41="","",Briefing_FID!BI41)</f>
        <v/>
      </c>
      <c r="BJ41" s="10" t="str">
        <f>IF(Briefing_FID!BJ41="","",Briefing_FID!BJ41)</f>
        <v/>
      </c>
      <c r="BK41" s="100" t="str">
        <f>IF(Briefing_FID!BK41="","",Briefing_FID!BK41)</f>
        <v/>
      </c>
      <c r="BL41" s="3" t="str">
        <f>IF(Briefing_FID!BL41="","",Briefing_FID!BL41)</f>
        <v/>
      </c>
      <c r="BM41" s="28" t="str">
        <f>IF(Briefing_FID!BM41="","",Briefing_FID!BM41)</f>
        <v/>
      </c>
      <c r="BN41" s="100" t="str">
        <f>IF(Briefing_FID!BN41="","",Briefing_FID!BN41)</f>
        <v/>
      </c>
      <c r="BO41" s="3" t="str">
        <f>IF(Briefing_FID!BO41="","",Briefing_FID!BO41)</f>
        <v/>
      </c>
      <c r="BP41" s="28" t="str">
        <f>IF(Briefing_FID!BP41="","",Briefing_FID!BP41)</f>
        <v/>
      </c>
      <c r="BQ41" s="100" t="str">
        <f>IF(Briefing_FID!BQ41="","",Briefing_FID!BQ41)</f>
        <v/>
      </c>
      <c r="BR41" s="3" t="str">
        <f>IF(Briefing_FID!BR41="","",Briefing_FID!BR41)</f>
        <v/>
      </c>
      <c r="BS41" s="28" t="str">
        <f>IF(Briefing_FID!BS41="","",Briefing_FID!BS41)</f>
        <v/>
      </c>
      <c r="BT41" s="100" t="str">
        <f>IF(Briefing_FID!BT41="","",Briefing_FID!BT41)</f>
        <v/>
      </c>
      <c r="BU41" s="3" t="str">
        <f>IF(Briefing_FID!BU41="","",Briefing_FID!BU41)</f>
        <v/>
      </c>
      <c r="BV41" s="28" t="str">
        <f>IF(Briefing_FID!BV41="","",Briefing_FID!BV41)</f>
        <v/>
      </c>
      <c r="BW41" s="100" t="str">
        <f>IF(Briefing_FID!BW41="","",Briefing_FID!BW41)</f>
        <v/>
      </c>
      <c r="BX41" s="3" t="str">
        <f>IF(Briefing_FID!BX41="","",Briefing_FID!BX41)</f>
        <v/>
      </c>
      <c r="BY41" s="28" t="str">
        <f>IF(Briefing_FID!BY41="","",Briefing_FID!BY41)</f>
        <v/>
      </c>
      <c r="BZ41" s="100" t="str">
        <f>IF(Briefing_FID!BZ41="","",Briefing_FID!BZ41)</f>
        <v/>
      </c>
      <c r="CA41" s="3" t="str">
        <f>IF(Briefing_FID!CA41="","",Briefing_FID!CA41)</f>
        <v/>
      </c>
      <c r="CB41" s="28" t="str">
        <f>IF(Briefing_FID!CB41="","",Briefing_FID!CB41)</f>
        <v/>
      </c>
      <c r="CC41" s="100" t="str">
        <f>IF(Briefing_FID!CC41="","",Briefing_FID!CC41)</f>
        <v/>
      </c>
      <c r="CD41" s="3" t="str">
        <f>IF(Briefing_FID!CD41="","",Briefing_FID!CD41)</f>
        <v/>
      </c>
      <c r="CE41" s="28" t="str">
        <f>IF(Briefing_FID!CE41="","",Briefing_FID!CE41)</f>
        <v/>
      </c>
      <c r="CF41" s="100" t="str">
        <f>IF(Briefing_FID!CF41="","",Briefing_FID!CF41)</f>
        <v/>
      </c>
      <c r="CG41" s="3" t="str">
        <f>IF(Briefing_FID!CG41="","",Briefing_FID!CG41)</f>
        <v/>
      </c>
      <c r="CH41" s="28" t="str">
        <f>IF(Briefing_FID!CH41="","",Briefing_FID!CH41)</f>
        <v/>
      </c>
      <c r="CI41" s="100" t="str">
        <f>IF(Briefing_FID!CI41="","",Briefing_FID!CI41)</f>
        <v/>
      </c>
      <c r="CJ41" s="3" t="str">
        <f>IF(Briefing_FID!CJ41="","",Briefing_FID!CJ41)</f>
        <v/>
      </c>
      <c r="CK41" s="28" t="str">
        <f>IF(Briefing_FID!CK41="","",Briefing_FID!CK41)</f>
        <v/>
      </c>
      <c r="CL41" s="100" t="str">
        <f>IF(Briefing_FID!CL41="","",Briefing_FID!CL41)</f>
        <v/>
      </c>
      <c r="CM41" s="3" t="str">
        <f>IF(Briefing_FID!CM41="","",Briefing_FID!CM41)</f>
        <v/>
      </c>
      <c r="CN41" s="28" t="str">
        <f>IF(Briefing_FID!CN41="","",Briefing_FID!CN41)</f>
        <v/>
      </c>
      <c r="CO41" s="100" t="str">
        <f>IF(Briefing_FID!CO41="","",Briefing_FID!CO41)</f>
        <v/>
      </c>
      <c r="CP41" s="3" t="str">
        <f>IF(Briefing_FID!CP41="","",Briefing_FID!CP41)</f>
        <v/>
      </c>
      <c r="CQ41" s="28" t="str">
        <f>IF(Briefing_FID!CQ41="","",Briefing_FID!CQ41)</f>
        <v/>
      </c>
      <c r="CR41" s="100" t="str">
        <f>IF(Briefing_FID!CR41="","",Briefing_FID!CR41)</f>
        <v/>
      </c>
      <c r="CS41" s="3" t="str">
        <f>IF(Briefing_FID!CS41="","",Briefing_FID!CS41)</f>
        <v/>
      </c>
      <c r="CT41" s="28" t="str">
        <f>IF(Briefing_FID!CT41="","",Briefing_FID!CT41)</f>
        <v/>
      </c>
      <c r="CU41" s="100" t="str">
        <f>IF(Briefing_FID!CU41="","",Briefing_FID!CU41)</f>
        <v/>
      </c>
      <c r="CV41" s="3" t="str">
        <f>IF(Briefing_FID!CV41="","",Briefing_FID!CV41)</f>
        <v/>
      </c>
      <c r="CW41" s="28" t="str">
        <f>IF(Briefing_FID!CW41="","",Briefing_FID!CW41)</f>
        <v/>
      </c>
      <c r="CX41" s="100" t="str">
        <f>IF(Briefing_FID!CX41="","",Briefing_FID!CX41)</f>
        <v/>
      </c>
      <c r="CY41" s="3" t="str">
        <f>IF(Briefing_FID!CY41="","",Briefing_FID!CY41)</f>
        <v/>
      </c>
      <c r="CZ41" s="28" t="str">
        <f>IF(Briefing_FID!CZ41="","",Briefing_FID!CZ41)</f>
        <v/>
      </c>
      <c r="DA41" s="100" t="str">
        <f>IF(Briefing_FID!DA41="","",Briefing_FID!DA41)</f>
        <v/>
      </c>
      <c r="DB41" s="3" t="str">
        <f>IF(Briefing_FID!DB41="","",Briefing_FID!DB41)</f>
        <v/>
      </c>
      <c r="DC41" s="28" t="str">
        <f>IF(Briefing_FID!DC41="","",Briefing_FID!DC41)</f>
        <v/>
      </c>
      <c r="DD41" s="100" t="str">
        <f>IF(Briefing_FID!DD41="","",Briefing_FID!DD41)</f>
        <v/>
      </c>
      <c r="DE41" s="3" t="str">
        <f>IF(Briefing_FID!DE41="","",Briefing_FID!DE41)</f>
        <v/>
      </c>
      <c r="DF41" s="28" t="str">
        <f>IF(Briefing_FID!DF41="","",Briefing_FID!DF41)</f>
        <v/>
      </c>
      <c r="DG41" s="100" t="str">
        <f>IF(Briefing_FID!DG41="","",Briefing_FID!DG41)</f>
        <v/>
      </c>
      <c r="DH41" s="3" t="str">
        <f>IF(Briefing_FID!DH41="","",Briefing_FID!DH41)</f>
        <v/>
      </c>
      <c r="DI41" s="28" t="str">
        <f>IF(Briefing_FID!DI41="","",Briefing_FID!DI41)</f>
        <v/>
      </c>
      <c r="DJ41" s="100" t="str">
        <f>IF(Briefing_FID!DJ41="","",Briefing_FID!DJ41)</f>
        <v/>
      </c>
      <c r="DK41" s="3" t="str">
        <f>IF(Briefing_FID!DK41="","",Briefing_FID!DK41)</f>
        <v/>
      </c>
      <c r="DL41" s="28" t="str">
        <f>IF(Briefing_FID!DL41="","",Briefing_FID!DL41)</f>
        <v/>
      </c>
      <c r="DM41" s="100" t="str">
        <f>IF(Briefing_FID!DM41="","",Briefing_FID!DM41)</f>
        <v/>
      </c>
      <c r="DN41" s="3" t="str">
        <f>IF(Briefing_FID!DN41="","",Briefing_FID!DN41)</f>
        <v/>
      </c>
      <c r="DO41" s="28" t="str">
        <f>IF(Briefing_FID!DO41="","",Briefing_FID!DO41)</f>
        <v/>
      </c>
      <c r="DP41" s="100" t="str">
        <f>IF(Briefing_FID!DP41="","",Briefing_FID!DP41)</f>
        <v/>
      </c>
      <c r="DQ41" s="3" t="str">
        <f>IF(Briefing_FID!DQ41="","",Briefing_FID!DQ41)</f>
        <v/>
      </c>
      <c r="DR41" s="28" t="str">
        <f>IF(Briefing_FID!DR41="","",Briefing_FID!DR41)</f>
        <v/>
      </c>
      <c r="DS41" s="100" t="str">
        <f>IF(Briefing_FID!DS41="","",Briefing_FID!DS41)</f>
        <v/>
      </c>
      <c r="DT41" s="3" t="str">
        <f>IF(Briefing_FID!DT41="","",Briefing_FID!DT41)</f>
        <v/>
      </c>
      <c r="DU41" s="28" t="str">
        <f>IF(Briefing_FID!DU41="","",Briefing_FID!DU41)</f>
        <v/>
      </c>
      <c r="DV41" s="100" t="str">
        <f>IF(Briefing_FID!DV41="","",Briefing_FID!DV41)</f>
        <v/>
      </c>
      <c r="DW41" s="3" t="str">
        <f>IF(Briefing_FID!DW41="","",Briefing_FID!DW41)</f>
        <v/>
      </c>
      <c r="DX41" s="28" t="str">
        <f>IF(Briefing_FID!DX41="","",Briefing_FID!DX41)</f>
        <v/>
      </c>
      <c r="DY41" s="100" t="str">
        <f>IF(Briefing_FID!DY41="","",Briefing_FID!DY41)</f>
        <v/>
      </c>
      <c r="DZ41" s="3" t="str">
        <f>IF(Briefing_FID!DZ41="","",Briefing_FID!DZ41)</f>
        <v/>
      </c>
      <c r="EA41" s="28" t="str">
        <f>IF(Briefing_FID!EA41="","",Briefing_FID!EA41)</f>
        <v/>
      </c>
      <c r="EB41" s="100" t="str">
        <f>IF(Briefing_FID!EB41="","",Briefing_FID!EB41)</f>
        <v/>
      </c>
      <c r="EC41" s="3" t="str">
        <f>IF(Briefing_FID!EC41="","",Briefing_FID!EC41)</f>
        <v/>
      </c>
      <c r="ED41" s="28" t="str">
        <f>IF(Briefing_FID!ED41="","",Briefing_FID!ED41)</f>
        <v/>
      </c>
      <c r="EE41" s="100" t="str">
        <f>IF(Briefing_FID!EE41="","",Briefing_FID!EE41)</f>
        <v/>
      </c>
      <c r="EF41" s="3" t="str">
        <f>IF(Briefing_FID!EF41="","",Briefing_FID!EF41)</f>
        <v/>
      </c>
      <c r="EG41" s="28" t="str">
        <f>IF(Briefing_FID!EG41="","",Briefing_FID!EG41)</f>
        <v/>
      </c>
      <c r="EH41" s="100" t="str">
        <f>IF(Briefing_FID!EH41="","",Briefing_FID!EH41)</f>
        <v/>
      </c>
      <c r="EI41" s="3" t="str">
        <f>IF(Briefing_FID!EI41="","",Briefing_FID!EI41)</f>
        <v/>
      </c>
      <c r="EJ41" s="28" t="str">
        <f>IF(Briefing_FID!EJ41="","",Briefing_FID!EJ41)</f>
        <v/>
      </c>
      <c r="EK41" s="100" t="str">
        <f>IF(Briefing_FID!EK41="","",Briefing_FID!EK41)</f>
        <v/>
      </c>
      <c r="EL41" s="3" t="str">
        <f>IF(Briefing_FID!EL41="","",Briefing_FID!EL41)</f>
        <v/>
      </c>
      <c r="EM41" s="28" t="str">
        <f>IF(Briefing_FID!EM41="","",Briefing_FID!EM41)</f>
        <v/>
      </c>
      <c r="EN41" s="100" t="str">
        <f>IF(Briefing_FID!EN41="","",Briefing_FID!EN41)</f>
        <v/>
      </c>
      <c r="EO41" s="3" t="str">
        <f>IF(Briefing_FID!EO41="","",Briefing_FID!EO41)</f>
        <v/>
      </c>
      <c r="EP41" s="28" t="str">
        <f>IF(Briefing_FID!EP41="","",Briefing_FID!EP41)</f>
        <v/>
      </c>
      <c r="EQ41" s="28" t="str">
        <f>IF(Briefing_FID!EQ41="","",Briefing_FID!EQ41)</f>
        <v/>
      </c>
      <c r="ER41" s="28" t="str">
        <f>IF(Briefing_FID!ER41="","",Briefing_FID!ER41)</f>
        <v/>
      </c>
      <c r="ES41" s="62"/>
      <c r="ET41" s="96" t="str">
        <f>IF(Briefing_FID!EZ41="","",Briefing_FID!EZ41)</f>
        <v/>
      </c>
      <c r="EU41" s="97" t="str">
        <f>IF(Briefing_FID!FA41="","",Briefing_FID!FA41)</f>
        <v/>
      </c>
      <c r="EV41" s="98" t="str">
        <f>IF(Briefing_FID!FB41="","",Briefing_FID!FB41)</f>
        <v/>
      </c>
      <c r="EW41" s="96" t="str">
        <f>IF(Briefing_FID!FC41="","",Briefing_FID!FC41)</f>
        <v/>
      </c>
      <c r="EX41" s="97" t="str">
        <f>IF(Briefing_FID!FD41="","",Briefing_FID!FD41)</f>
        <v/>
      </c>
      <c r="EY41" s="98" t="str">
        <f>IF(Briefing_FID!FE41="","",Briefing_FID!FE41)</f>
        <v/>
      </c>
      <c r="EZ41" s="104" t="str">
        <f>IF(Briefing_FID!FF41="","",Briefing_FID!FF41)</f>
        <v/>
      </c>
      <c r="FA41" s="144" t="str">
        <f>IF(Briefing_FID!FG41="","",Briefing_FID!FG41)</f>
        <v/>
      </c>
      <c r="FB41" s="144" t="str">
        <f>IF(Briefing_FID!FH41="","",Briefing_FID!FH41)</f>
        <v/>
      </c>
      <c r="FC41" s="144" t="str">
        <f>IF(Briefing_FID!FI41="","",Briefing_FID!FI41)</f>
        <v/>
      </c>
      <c r="FD41" s="144" t="str">
        <f>IF(Briefing_FID!FJ41="","",Briefing_FID!FJ41)</f>
        <v/>
      </c>
      <c r="FE41" s="144" t="str">
        <f>IF(Briefing_FID!FK41="","",Briefing_FID!FK41)</f>
        <v/>
      </c>
      <c r="FF41" s="144" t="str">
        <f>IF(Briefing_FID!FL41="","",Briefing_FID!FL41)</f>
        <v/>
      </c>
      <c r="FG41" s="144" t="str">
        <f>IF(Briefing_FID!FM41="","",Briefing_FID!FM41)</f>
        <v/>
      </c>
      <c r="FH41" s="144" t="str">
        <f>IF(Briefing_FID!FN41="","",Briefing_FID!FN41)</f>
        <v/>
      </c>
      <c r="FI41" s="144" t="str">
        <f>IF(Briefing_FID!FO41="","",Briefing_FID!FO41)</f>
        <v/>
      </c>
      <c r="FJ41" s="144" t="str">
        <f>IF(Briefing_FID!FP41="","",Briefing_FID!FP41)</f>
        <v/>
      </c>
      <c r="FK41" s="144" t="str">
        <f>IF(Briefing_FID!FQ41="","",Briefing_FID!FQ41)</f>
        <v/>
      </c>
      <c r="FL41" s="144" t="str">
        <f>IF(Briefing_FID!FR41="","",Briefing_FID!FR41)</f>
        <v/>
      </c>
      <c r="FM41" s="144" t="str">
        <f>IF(Briefing_FID!FS41="","",Briefing_FID!FS41)</f>
        <v/>
      </c>
      <c r="FN41" s="144" t="str">
        <f>IF(Briefing_FID!FT41="","",Briefing_FID!FT41)</f>
        <v/>
      </c>
      <c r="FO41" s="144" t="str">
        <f>IF(Briefing_FID!FU41="","",Briefing_FID!FU41)</f>
        <v/>
      </c>
      <c r="FP41" s="144" t="str">
        <f>IF(Briefing_FID!FV41="","",Briefing_FID!FV41)</f>
        <v/>
      </c>
      <c r="FQ41" s="144" t="str">
        <f>IF(Briefing_FID!FW41="","",Briefing_FID!FW41)</f>
        <v/>
      </c>
      <c r="FR41" s="151"/>
      <c r="FS41" s="152"/>
      <c r="FT41" s="152"/>
      <c r="FU41" s="152"/>
      <c r="FV41" s="152"/>
      <c r="FW41" s="152"/>
      <c r="FX41" s="152"/>
      <c r="FY41" s="152"/>
      <c r="FZ41" s="152"/>
      <c r="GA41" s="153"/>
    </row>
    <row r="42" spans="1:183">
      <c r="A42" s="136" t="str">
        <f>IF(Briefing_FID!A42="","",Briefing_FID!A42)</f>
        <v/>
      </c>
      <c r="B42" s="137" t="str">
        <f>IF(Briefing_FID!B42="","",Briefing_FID!B42)</f>
        <v/>
      </c>
      <c r="C42" s="137" t="str">
        <f>IF(Briefing_FID!C42="","",Briefing_FID!C42)</f>
        <v/>
      </c>
      <c r="D42" s="46"/>
      <c r="E42" s="120"/>
      <c r="F42" s="117"/>
      <c r="G42" s="117"/>
      <c r="H42" s="72"/>
      <c r="I42" s="72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23"/>
      <c r="AD42" s="117"/>
      <c r="AE42" s="117"/>
      <c r="AF42" s="117"/>
      <c r="AG42" s="117"/>
      <c r="AH42" s="117"/>
      <c r="AI42" s="117"/>
      <c r="AJ42" s="117"/>
      <c r="AK42" s="117"/>
      <c r="AL42" s="124"/>
      <c r="AM42" s="37"/>
      <c r="AN42" s="38"/>
      <c r="AO42" s="39"/>
      <c r="AP42" s="111" t="str">
        <f>IF(Briefing_FID!AP42="","",Briefing_FID!AP42)</f>
        <v/>
      </c>
      <c r="AQ42" s="112" t="str">
        <f>IF(Briefing_FID!AQ42="","",Briefing_FID!AQ42)</f>
        <v/>
      </c>
      <c r="AR42" s="107" t="str">
        <f>IF(Briefing_FID!AR42="","",Briefing_FID!AR42)</f>
        <v/>
      </c>
      <c r="AS42" s="108" t="str">
        <f>IF(Briefing_FID!AS42="","",Briefing_FID!AS42)</f>
        <v/>
      </c>
      <c r="AT42" s="113" t="str">
        <f>IF(Briefing_FID!AT42="","",Briefing_FID!AT42)</f>
        <v/>
      </c>
      <c r="AU42" s="113" t="str">
        <f>IF(Briefing_FID!AU42="","",Briefing_FID!AU42)</f>
        <v/>
      </c>
      <c r="AV42" s="113" t="str">
        <f>IF(Briefing_FID!AV42="","",Briefing_FID!AV42)</f>
        <v/>
      </c>
      <c r="AW42" s="113" t="str">
        <f>IF(Briefing_FID!AW42="","",Briefing_FID!AW42)</f>
        <v/>
      </c>
      <c r="AX42" s="114" t="str">
        <f>IF(Briefing_FID!AX42="","",Briefing_FID!AX42)</f>
        <v/>
      </c>
      <c r="AY42" s="71"/>
      <c r="AZ42" s="117" t="str">
        <f>IF(Briefing_FID!AZ42="","",Briefing_FID!AZ42)</f>
        <v/>
      </c>
      <c r="BA42" s="118" t="str">
        <f>IF(Briefing_FID!BA42="","",Briefing_FID!BA42)</f>
        <v/>
      </c>
      <c r="BB42" s="55"/>
      <c r="BC42" s="102" t="str">
        <f>IF(Briefing_FID!BC42="","",Briefing_FID!BC42)</f>
        <v/>
      </c>
      <c r="BD42" s="27" t="str">
        <f>IF(Briefing_FID!BD42="","",Briefing_FID!BD42)</f>
        <v/>
      </c>
      <c r="BE42" s="100" t="str">
        <f>IF(Briefing_FID!BE42="","",Briefing_FID!BE42)</f>
        <v/>
      </c>
      <c r="BF42" s="3" t="str">
        <f>IF(Briefing_FID!BF42="","",Briefing_FID!BF42)</f>
        <v/>
      </c>
      <c r="BG42" s="10" t="str">
        <f>IF(Briefing_FID!BG42="","",Briefing_FID!BG42)</f>
        <v/>
      </c>
      <c r="BH42" s="100" t="str">
        <f>IF(Briefing_FID!BH42="","",Briefing_FID!BH42)</f>
        <v/>
      </c>
      <c r="BI42" s="3" t="str">
        <f>IF(Briefing_FID!BI42="","",Briefing_FID!BI42)</f>
        <v/>
      </c>
      <c r="BJ42" s="10" t="str">
        <f>IF(Briefing_FID!BJ42="","",Briefing_FID!BJ42)</f>
        <v/>
      </c>
      <c r="BK42" s="100" t="str">
        <f>IF(Briefing_FID!BK42="","",Briefing_FID!BK42)</f>
        <v/>
      </c>
      <c r="BL42" s="3" t="str">
        <f>IF(Briefing_FID!BL42="","",Briefing_FID!BL42)</f>
        <v/>
      </c>
      <c r="BM42" s="28" t="str">
        <f>IF(Briefing_FID!BM42="","",Briefing_FID!BM42)</f>
        <v/>
      </c>
      <c r="BN42" s="100" t="str">
        <f>IF(Briefing_FID!BN42="","",Briefing_FID!BN42)</f>
        <v/>
      </c>
      <c r="BO42" s="3" t="str">
        <f>IF(Briefing_FID!BO42="","",Briefing_FID!BO42)</f>
        <v/>
      </c>
      <c r="BP42" s="28" t="str">
        <f>IF(Briefing_FID!BP42="","",Briefing_FID!BP42)</f>
        <v/>
      </c>
      <c r="BQ42" s="100" t="str">
        <f>IF(Briefing_FID!BQ42="","",Briefing_FID!BQ42)</f>
        <v/>
      </c>
      <c r="BR42" s="3" t="str">
        <f>IF(Briefing_FID!BR42="","",Briefing_FID!BR42)</f>
        <v/>
      </c>
      <c r="BS42" s="28" t="str">
        <f>IF(Briefing_FID!BS42="","",Briefing_FID!BS42)</f>
        <v/>
      </c>
      <c r="BT42" s="100" t="str">
        <f>IF(Briefing_FID!BT42="","",Briefing_FID!BT42)</f>
        <v/>
      </c>
      <c r="BU42" s="3" t="str">
        <f>IF(Briefing_FID!BU42="","",Briefing_FID!BU42)</f>
        <v/>
      </c>
      <c r="BV42" s="28" t="str">
        <f>IF(Briefing_FID!BV42="","",Briefing_FID!BV42)</f>
        <v/>
      </c>
      <c r="BW42" s="100" t="str">
        <f>IF(Briefing_FID!BW42="","",Briefing_FID!BW42)</f>
        <v/>
      </c>
      <c r="BX42" s="3" t="str">
        <f>IF(Briefing_FID!BX42="","",Briefing_FID!BX42)</f>
        <v/>
      </c>
      <c r="BY42" s="28" t="str">
        <f>IF(Briefing_FID!BY42="","",Briefing_FID!BY42)</f>
        <v/>
      </c>
      <c r="BZ42" s="100" t="str">
        <f>IF(Briefing_FID!BZ42="","",Briefing_FID!BZ42)</f>
        <v/>
      </c>
      <c r="CA42" s="3" t="str">
        <f>IF(Briefing_FID!CA42="","",Briefing_FID!CA42)</f>
        <v/>
      </c>
      <c r="CB42" s="28" t="str">
        <f>IF(Briefing_FID!CB42="","",Briefing_FID!CB42)</f>
        <v/>
      </c>
      <c r="CC42" s="100" t="str">
        <f>IF(Briefing_FID!CC42="","",Briefing_FID!CC42)</f>
        <v/>
      </c>
      <c r="CD42" s="3" t="str">
        <f>IF(Briefing_FID!CD42="","",Briefing_FID!CD42)</f>
        <v/>
      </c>
      <c r="CE42" s="28" t="str">
        <f>IF(Briefing_FID!CE42="","",Briefing_FID!CE42)</f>
        <v/>
      </c>
      <c r="CF42" s="100" t="str">
        <f>IF(Briefing_FID!CF42="","",Briefing_FID!CF42)</f>
        <v/>
      </c>
      <c r="CG42" s="3" t="str">
        <f>IF(Briefing_FID!CG42="","",Briefing_FID!CG42)</f>
        <v/>
      </c>
      <c r="CH42" s="28" t="str">
        <f>IF(Briefing_FID!CH42="","",Briefing_FID!CH42)</f>
        <v/>
      </c>
      <c r="CI42" s="100" t="str">
        <f>IF(Briefing_FID!CI42="","",Briefing_FID!CI42)</f>
        <v/>
      </c>
      <c r="CJ42" s="3" t="str">
        <f>IF(Briefing_FID!CJ42="","",Briefing_FID!CJ42)</f>
        <v/>
      </c>
      <c r="CK42" s="28" t="str">
        <f>IF(Briefing_FID!CK42="","",Briefing_FID!CK42)</f>
        <v/>
      </c>
      <c r="CL42" s="100" t="str">
        <f>IF(Briefing_FID!CL42="","",Briefing_FID!CL42)</f>
        <v/>
      </c>
      <c r="CM42" s="3" t="str">
        <f>IF(Briefing_FID!CM42="","",Briefing_FID!CM42)</f>
        <v/>
      </c>
      <c r="CN42" s="28" t="str">
        <f>IF(Briefing_FID!CN42="","",Briefing_FID!CN42)</f>
        <v/>
      </c>
      <c r="CO42" s="100" t="str">
        <f>IF(Briefing_FID!CO42="","",Briefing_FID!CO42)</f>
        <v/>
      </c>
      <c r="CP42" s="3" t="str">
        <f>IF(Briefing_FID!CP42="","",Briefing_FID!CP42)</f>
        <v/>
      </c>
      <c r="CQ42" s="28" t="str">
        <f>IF(Briefing_FID!CQ42="","",Briefing_FID!CQ42)</f>
        <v/>
      </c>
      <c r="CR42" s="100" t="str">
        <f>IF(Briefing_FID!CR42="","",Briefing_FID!CR42)</f>
        <v/>
      </c>
      <c r="CS42" s="3" t="str">
        <f>IF(Briefing_FID!CS42="","",Briefing_FID!CS42)</f>
        <v/>
      </c>
      <c r="CT42" s="28" t="str">
        <f>IF(Briefing_FID!CT42="","",Briefing_FID!CT42)</f>
        <v/>
      </c>
      <c r="CU42" s="100" t="str">
        <f>IF(Briefing_FID!CU42="","",Briefing_FID!CU42)</f>
        <v/>
      </c>
      <c r="CV42" s="3" t="str">
        <f>IF(Briefing_FID!CV42="","",Briefing_FID!CV42)</f>
        <v/>
      </c>
      <c r="CW42" s="28" t="str">
        <f>IF(Briefing_FID!CW42="","",Briefing_FID!CW42)</f>
        <v/>
      </c>
      <c r="CX42" s="100" t="str">
        <f>IF(Briefing_FID!CX42="","",Briefing_FID!CX42)</f>
        <v/>
      </c>
      <c r="CY42" s="3" t="str">
        <f>IF(Briefing_FID!CY42="","",Briefing_FID!CY42)</f>
        <v/>
      </c>
      <c r="CZ42" s="28" t="str">
        <f>IF(Briefing_FID!CZ42="","",Briefing_FID!CZ42)</f>
        <v/>
      </c>
      <c r="DA42" s="100" t="str">
        <f>IF(Briefing_FID!DA42="","",Briefing_FID!DA42)</f>
        <v/>
      </c>
      <c r="DB42" s="3" t="str">
        <f>IF(Briefing_FID!DB42="","",Briefing_FID!DB42)</f>
        <v/>
      </c>
      <c r="DC42" s="28" t="str">
        <f>IF(Briefing_FID!DC42="","",Briefing_FID!DC42)</f>
        <v/>
      </c>
      <c r="DD42" s="100" t="str">
        <f>IF(Briefing_FID!DD42="","",Briefing_FID!DD42)</f>
        <v/>
      </c>
      <c r="DE42" s="3" t="str">
        <f>IF(Briefing_FID!DE42="","",Briefing_FID!DE42)</f>
        <v/>
      </c>
      <c r="DF42" s="28" t="str">
        <f>IF(Briefing_FID!DF42="","",Briefing_FID!DF42)</f>
        <v/>
      </c>
      <c r="DG42" s="100" t="str">
        <f>IF(Briefing_FID!DG42="","",Briefing_FID!DG42)</f>
        <v/>
      </c>
      <c r="DH42" s="3" t="str">
        <f>IF(Briefing_FID!DH42="","",Briefing_FID!DH42)</f>
        <v/>
      </c>
      <c r="DI42" s="28" t="str">
        <f>IF(Briefing_FID!DI42="","",Briefing_FID!DI42)</f>
        <v/>
      </c>
      <c r="DJ42" s="100" t="str">
        <f>IF(Briefing_FID!DJ42="","",Briefing_FID!DJ42)</f>
        <v/>
      </c>
      <c r="DK42" s="3" t="str">
        <f>IF(Briefing_FID!DK42="","",Briefing_FID!DK42)</f>
        <v/>
      </c>
      <c r="DL42" s="28" t="str">
        <f>IF(Briefing_FID!DL42="","",Briefing_FID!DL42)</f>
        <v/>
      </c>
      <c r="DM42" s="100" t="str">
        <f>IF(Briefing_FID!DM42="","",Briefing_FID!DM42)</f>
        <v/>
      </c>
      <c r="DN42" s="3" t="str">
        <f>IF(Briefing_FID!DN42="","",Briefing_FID!DN42)</f>
        <v/>
      </c>
      <c r="DO42" s="28" t="str">
        <f>IF(Briefing_FID!DO42="","",Briefing_FID!DO42)</f>
        <v/>
      </c>
      <c r="DP42" s="100" t="str">
        <f>IF(Briefing_FID!DP42="","",Briefing_FID!DP42)</f>
        <v/>
      </c>
      <c r="DQ42" s="3" t="str">
        <f>IF(Briefing_FID!DQ42="","",Briefing_FID!DQ42)</f>
        <v/>
      </c>
      <c r="DR42" s="28" t="str">
        <f>IF(Briefing_FID!DR42="","",Briefing_FID!DR42)</f>
        <v/>
      </c>
      <c r="DS42" s="100" t="str">
        <f>IF(Briefing_FID!DS42="","",Briefing_FID!DS42)</f>
        <v/>
      </c>
      <c r="DT42" s="3" t="str">
        <f>IF(Briefing_FID!DT42="","",Briefing_FID!DT42)</f>
        <v/>
      </c>
      <c r="DU42" s="28" t="str">
        <f>IF(Briefing_FID!DU42="","",Briefing_FID!DU42)</f>
        <v/>
      </c>
      <c r="DV42" s="100" t="str">
        <f>IF(Briefing_FID!DV42="","",Briefing_FID!DV42)</f>
        <v/>
      </c>
      <c r="DW42" s="3" t="str">
        <f>IF(Briefing_FID!DW42="","",Briefing_FID!DW42)</f>
        <v/>
      </c>
      <c r="DX42" s="28" t="str">
        <f>IF(Briefing_FID!DX42="","",Briefing_FID!DX42)</f>
        <v/>
      </c>
      <c r="DY42" s="100" t="str">
        <f>IF(Briefing_FID!DY42="","",Briefing_FID!DY42)</f>
        <v/>
      </c>
      <c r="DZ42" s="3" t="str">
        <f>IF(Briefing_FID!DZ42="","",Briefing_FID!DZ42)</f>
        <v/>
      </c>
      <c r="EA42" s="28" t="str">
        <f>IF(Briefing_FID!EA42="","",Briefing_FID!EA42)</f>
        <v/>
      </c>
      <c r="EB42" s="100" t="str">
        <f>IF(Briefing_FID!EB42="","",Briefing_FID!EB42)</f>
        <v/>
      </c>
      <c r="EC42" s="3" t="str">
        <f>IF(Briefing_FID!EC42="","",Briefing_FID!EC42)</f>
        <v/>
      </c>
      <c r="ED42" s="28" t="str">
        <f>IF(Briefing_FID!ED42="","",Briefing_FID!ED42)</f>
        <v/>
      </c>
      <c r="EE42" s="100" t="str">
        <f>IF(Briefing_FID!EE42="","",Briefing_FID!EE42)</f>
        <v/>
      </c>
      <c r="EF42" s="3" t="str">
        <f>IF(Briefing_FID!EF42="","",Briefing_FID!EF42)</f>
        <v/>
      </c>
      <c r="EG42" s="28" t="str">
        <f>IF(Briefing_FID!EG42="","",Briefing_FID!EG42)</f>
        <v/>
      </c>
      <c r="EH42" s="100" t="str">
        <f>IF(Briefing_FID!EH42="","",Briefing_FID!EH42)</f>
        <v/>
      </c>
      <c r="EI42" s="3" t="str">
        <f>IF(Briefing_FID!EI42="","",Briefing_FID!EI42)</f>
        <v/>
      </c>
      <c r="EJ42" s="28" t="str">
        <f>IF(Briefing_FID!EJ42="","",Briefing_FID!EJ42)</f>
        <v/>
      </c>
      <c r="EK42" s="100" t="str">
        <f>IF(Briefing_FID!EK42="","",Briefing_FID!EK42)</f>
        <v/>
      </c>
      <c r="EL42" s="3" t="str">
        <f>IF(Briefing_FID!EL42="","",Briefing_FID!EL42)</f>
        <v/>
      </c>
      <c r="EM42" s="28" t="str">
        <f>IF(Briefing_FID!EM42="","",Briefing_FID!EM42)</f>
        <v/>
      </c>
      <c r="EN42" s="100" t="str">
        <f>IF(Briefing_FID!EN42="","",Briefing_FID!EN42)</f>
        <v/>
      </c>
      <c r="EO42" s="3" t="str">
        <f>IF(Briefing_FID!EO42="","",Briefing_FID!EO42)</f>
        <v/>
      </c>
      <c r="EP42" s="28" t="str">
        <f>IF(Briefing_FID!EP42="","",Briefing_FID!EP42)</f>
        <v/>
      </c>
      <c r="EQ42" s="28" t="str">
        <f>IF(Briefing_FID!EQ42="","",Briefing_FID!EQ42)</f>
        <v/>
      </c>
      <c r="ER42" s="28" t="str">
        <f>IF(Briefing_FID!ER42="","",Briefing_FID!ER42)</f>
        <v/>
      </c>
      <c r="ES42" s="62"/>
      <c r="ET42" s="96" t="str">
        <f>IF(Briefing_FID!EZ42="","",Briefing_FID!EZ42)</f>
        <v/>
      </c>
      <c r="EU42" s="97" t="str">
        <f>IF(Briefing_FID!FA42="","",Briefing_FID!FA42)</f>
        <v/>
      </c>
      <c r="EV42" s="98" t="str">
        <f>IF(Briefing_FID!FB42="","",Briefing_FID!FB42)</f>
        <v/>
      </c>
      <c r="EW42" s="96" t="str">
        <f>IF(Briefing_FID!FC42="","",Briefing_FID!FC42)</f>
        <v/>
      </c>
      <c r="EX42" s="97" t="str">
        <f>IF(Briefing_FID!FD42="","",Briefing_FID!FD42)</f>
        <v/>
      </c>
      <c r="EY42" s="98" t="str">
        <f>IF(Briefing_FID!FE42="","",Briefing_FID!FE42)</f>
        <v/>
      </c>
      <c r="EZ42" s="104" t="str">
        <f>IF(Briefing_FID!FF42="","",Briefing_FID!FF42)</f>
        <v/>
      </c>
      <c r="FA42" s="144" t="str">
        <f>IF(Briefing_FID!FG42="","",Briefing_FID!FG42)</f>
        <v/>
      </c>
      <c r="FB42" s="144" t="str">
        <f>IF(Briefing_FID!FH42="","",Briefing_FID!FH42)</f>
        <v/>
      </c>
      <c r="FC42" s="144" t="str">
        <f>IF(Briefing_FID!FI42="","",Briefing_FID!FI42)</f>
        <v/>
      </c>
      <c r="FD42" s="144" t="str">
        <f>IF(Briefing_FID!FJ42="","",Briefing_FID!FJ42)</f>
        <v/>
      </c>
      <c r="FE42" s="144" t="str">
        <f>IF(Briefing_FID!FK42="","",Briefing_FID!FK42)</f>
        <v/>
      </c>
      <c r="FF42" s="144" t="str">
        <f>IF(Briefing_FID!FL42="","",Briefing_FID!FL42)</f>
        <v/>
      </c>
      <c r="FG42" s="144" t="str">
        <f>IF(Briefing_FID!FM42="","",Briefing_FID!FM42)</f>
        <v/>
      </c>
      <c r="FH42" s="144" t="str">
        <f>IF(Briefing_FID!FN42="","",Briefing_FID!FN42)</f>
        <v/>
      </c>
      <c r="FI42" s="144" t="str">
        <f>IF(Briefing_FID!FO42="","",Briefing_FID!FO42)</f>
        <v/>
      </c>
      <c r="FJ42" s="144" t="str">
        <f>IF(Briefing_FID!FP42="","",Briefing_FID!FP42)</f>
        <v/>
      </c>
      <c r="FK42" s="144" t="str">
        <f>IF(Briefing_FID!FQ42="","",Briefing_FID!FQ42)</f>
        <v/>
      </c>
      <c r="FL42" s="144" t="str">
        <f>IF(Briefing_FID!FR42="","",Briefing_FID!FR42)</f>
        <v/>
      </c>
      <c r="FM42" s="144" t="str">
        <f>IF(Briefing_FID!FS42="","",Briefing_FID!FS42)</f>
        <v/>
      </c>
      <c r="FN42" s="144" t="str">
        <f>IF(Briefing_FID!FT42="","",Briefing_FID!FT42)</f>
        <v/>
      </c>
      <c r="FO42" s="144" t="str">
        <f>IF(Briefing_FID!FU42="","",Briefing_FID!FU42)</f>
        <v/>
      </c>
      <c r="FP42" s="144" t="str">
        <f>IF(Briefing_FID!FV42="","",Briefing_FID!FV42)</f>
        <v/>
      </c>
      <c r="FQ42" s="144" t="str">
        <f>IF(Briefing_FID!FW42="","",Briefing_FID!FW42)</f>
        <v/>
      </c>
      <c r="FR42" s="151"/>
      <c r="FS42" s="152"/>
      <c r="FT42" s="152"/>
      <c r="FU42" s="152"/>
      <c r="FV42" s="152"/>
      <c r="FW42" s="152"/>
      <c r="FX42" s="152"/>
      <c r="FY42" s="152"/>
      <c r="FZ42" s="152"/>
      <c r="GA42" s="153"/>
    </row>
    <row r="43" spans="1:183">
      <c r="A43" s="136" t="str">
        <f>IF(Briefing_FID!A43="","",Briefing_FID!A43)</f>
        <v/>
      </c>
      <c r="B43" s="137" t="str">
        <f>IF(Briefing_FID!B43="","",Briefing_FID!B43)</f>
        <v/>
      </c>
      <c r="C43" s="137" t="str">
        <f>IF(Briefing_FID!C43="","",Briefing_FID!C43)</f>
        <v/>
      </c>
      <c r="D43" s="46"/>
      <c r="E43" s="120"/>
      <c r="F43" s="117"/>
      <c r="G43" s="117"/>
      <c r="H43" s="72"/>
      <c r="I43" s="72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23"/>
      <c r="AD43" s="117"/>
      <c r="AE43" s="117"/>
      <c r="AF43" s="117"/>
      <c r="AG43" s="117"/>
      <c r="AH43" s="117"/>
      <c r="AI43" s="117"/>
      <c r="AJ43" s="117"/>
      <c r="AK43" s="117"/>
      <c r="AL43" s="124"/>
      <c r="AM43" s="37"/>
      <c r="AN43" s="38"/>
      <c r="AO43" s="39"/>
      <c r="AP43" s="111" t="str">
        <f>IF(Briefing_FID!AP43="","",Briefing_FID!AP43)</f>
        <v/>
      </c>
      <c r="AQ43" s="112" t="str">
        <f>IF(Briefing_FID!AQ43="","",Briefing_FID!AQ43)</f>
        <v/>
      </c>
      <c r="AR43" s="107" t="str">
        <f>IF(Briefing_FID!AR43="","",Briefing_FID!AR43)</f>
        <v/>
      </c>
      <c r="AS43" s="108" t="str">
        <f>IF(Briefing_FID!AS43="","",Briefing_FID!AS43)</f>
        <v/>
      </c>
      <c r="AT43" s="113" t="str">
        <f>IF(Briefing_FID!AT43="","",Briefing_FID!AT43)</f>
        <v/>
      </c>
      <c r="AU43" s="113" t="str">
        <f>IF(Briefing_FID!AU43="","",Briefing_FID!AU43)</f>
        <v/>
      </c>
      <c r="AV43" s="113" t="str">
        <f>IF(Briefing_FID!AV43="","",Briefing_FID!AV43)</f>
        <v/>
      </c>
      <c r="AW43" s="113" t="str">
        <f>IF(Briefing_FID!AW43="","",Briefing_FID!AW43)</f>
        <v/>
      </c>
      <c r="AX43" s="114" t="str">
        <f>IF(Briefing_FID!AX43="","",Briefing_FID!AX43)</f>
        <v/>
      </c>
      <c r="AY43" s="71"/>
      <c r="AZ43" s="117" t="str">
        <f>IF(Briefing_FID!AZ43="","",Briefing_FID!AZ43)</f>
        <v/>
      </c>
      <c r="BA43" s="118" t="str">
        <f>IF(Briefing_FID!BA43="","",Briefing_FID!BA43)</f>
        <v/>
      </c>
      <c r="BB43" s="55"/>
      <c r="BC43" s="102" t="str">
        <f>IF(Briefing_FID!BC43="","",Briefing_FID!BC43)</f>
        <v/>
      </c>
      <c r="BD43" s="27" t="str">
        <f>IF(Briefing_FID!BD43="","",Briefing_FID!BD43)</f>
        <v/>
      </c>
      <c r="BE43" s="100" t="str">
        <f>IF(Briefing_FID!BE43="","",Briefing_FID!BE43)</f>
        <v/>
      </c>
      <c r="BF43" s="3" t="str">
        <f>IF(Briefing_FID!BF43="","",Briefing_FID!BF43)</f>
        <v/>
      </c>
      <c r="BG43" s="10" t="str">
        <f>IF(Briefing_FID!BG43="","",Briefing_FID!BG43)</f>
        <v/>
      </c>
      <c r="BH43" s="100" t="str">
        <f>IF(Briefing_FID!BH43="","",Briefing_FID!BH43)</f>
        <v/>
      </c>
      <c r="BI43" s="3" t="str">
        <f>IF(Briefing_FID!BI43="","",Briefing_FID!BI43)</f>
        <v/>
      </c>
      <c r="BJ43" s="10" t="str">
        <f>IF(Briefing_FID!BJ43="","",Briefing_FID!BJ43)</f>
        <v/>
      </c>
      <c r="BK43" s="100" t="str">
        <f>IF(Briefing_FID!BK43="","",Briefing_FID!BK43)</f>
        <v/>
      </c>
      <c r="BL43" s="3" t="str">
        <f>IF(Briefing_FID!BL43="","",Briefing_FID!BL43)</f>
        <v/>
      </c>
      <c r="BM43" s="28" t="str">
        <f>IF(Briefing_FID!BM43="","",Briefing_FID!BM43)</f>
        <v/>
      </c>
      <c r="BN43" s="100" t="str">
        <f>IF(Briefing_FID!BN43="","",Briefing_FID!BN43)</f>
        <v/>
      </c>
      <c r="BO43" s="3" t="str">
        <f>IF(Briefing_FID!BO43="","",Briefing_FID!BO43)</f>
        <v/>
      </c>
      <c r="BP43" s="28" t="str">
        <f>IF(Briefing_FID!BP43="","",Briefing_FID!BP43)</f>
        <v/>
      </c>
      <c r="BQ43" s="100" t="str">
        <f>IF(Briefing_FID!BQ43="","",Briefing_FID!BQ43)</f>
        <v/>
      </c>
      <c r="BR43" s="3" t="str">
        <f>IF(Briefing_FID!BR43="","",Briefing_FID!BR43)</f>
        <v/>
      </c>
      <c r="BS43" s="28" t="str">
        <f>IF(Briefing_FID!BS43="","",Briefing_FID!BS43)</f>
        <v/>
      </c>
      <c r="BT43" s="100" t="str">
        <f>IF(Briefing_FID!BT43="","",Briefing_FID!BT43)</f>
        <v/>
      </c>
      <c r="BU43" s="3" t="str">
        <f>IF(Briefing_FID!BU43="","",Briefing_FID!BU43)</f>
        <v/>
      </c>
      <c r="BV43" s="28" t="str">
        <f>IF(Briefing_FID!BV43="","",Briefing_FID!BV43)</f>
        <v/>
      </c>
      <c r="BW43" s="100" t="str">
        <f>IF(Briefing_FID!BW43="","",Briefing_FID!BW43)</f>
        <v/>
      </c>
      <c r="BX43" s="3" t="str">
        <f>IF(Briefing_FID!BX43="","",Briefing_FID!BX43)</f>
        <v/>
      </c>
      <c r="BY43" s="28" t="str">
        <f>IF(Briefing_FID!BY43="","",Briefing_FID!BY43)</f>
        <v/>
      </c>
      <c r="BZ43" s="100" t="str">
        <f>IF(Briefing_FID!BZ43="","",Briefing_FID!BZ43)</f>
        <v/>
      </c>
      <c r="CA43" s="3" t="str">
        <f>IF(Briefing_FID!CA43="","",Briefing_FID!CA43)</f>
        <v/>
      </c>
      <c r="CB43" s="28" t="str">
        <f>IF(Briefing_FID!CB43="","",Briefing_FID!CB43)</f>
        <v/>
      </c>
      <c r="CC43" s="100" t="str">
        <f>IF(Briefing_FID!CC43="","",Briefing_FID!CC43)</f>
        <v/>
      </c>
      <c r="CD43" s="3" t="str">
        <f>IF(Briefing_FID!CD43="","",Briefing_FID!CD43)</f>
        <v/>
      </c>
      <c r="CE43" s="28" t="str">
        <f>IF(Briefing_FID!CE43="","",Briefing_FID!CE43)</f>
        <v/>
      </c>
      <c r="CF43" s="100" t="str">
        <f>IF(Briefing_FID!CF43="","",Briefing_FID!CF43)</f>
        <v/>
      </c>
      <c r="CG43" s="3" t="str">
        <f>IF(Briefing_FID!CG43="","",Briefing_FID!CG43)</f>
        <v/>
      </c>
      <c r="CH43" s="28" t="str">
        <f>IF(Briefing_FID!CH43="","",Briefing_FID!CH43)</f>
        <v/>
      </c>
      <c r="CI43" s="100" t="str">
        <f>IF(Briefing_FID!CI43="","",Briefing_FID!CI43)</f>
        <v/>
      </c>
      <c r="CJ43" s="3" t="str">
        <f>IF(Briefing_FID!CJ43="","",Briefing_FID!CJ43)</f>
        <v/>
      </c>
      <c r="CK43" s="28" t="str">
        <f>IF(Briefing_FID!CK43="","",Briefing_FID!CK43)</f>
        <v/>
      </c>
      <c r="CL43" s="100" t="str">
        <f>IF(Briefing_FID!CL43="","",Briefing_FID!CL43)</f>
        <v/>
      </c>
      <c r="CM43" s="3" t="str">
        <f>IF(Briefing_FID!CM43="","",Briefing_FID!CM43)</f>
        <v/>
      </c>
      <c r="CN43" s="28" t="str">
        <f>IF(Briefing_FID!CN43="","",Briefing_FID!CN43)</f>
        <v/>
      </c>
      <c r="CO43" s="100" t="str">
        <f>IF(Briefing_FID!CO43="","",Briefing_FID!CO43)</f>
        <v/>
      </c>
      <c r="CP43" s="3" t="str">
        <f>IF(Briefing_FID!CP43="","",Briefing_FID!CP43)</f>
        <v/>
      </c>
      <c r="CQ43" s="28" t="str">
        <f>IF(Briefing_FID!CQ43="","",Briefing_FID!CQ43)</f>
        <v/>
      </c>
      <c r="CR43" s="100" t="str">
        <f>IF(Briefing_FID!CR43="","",Briefing_FID!CR43)</f>
        <v/>
      </c>
      <c r="CS43" s="3" t="str">
        <f>IF(Briefing_FID!CS43="","",Briefing_FID!CS43)</f>
        <v/>
      </c>
      <c r="CT43" s="28" t="str">
        <f>IF(Briefing_FID!CT43="","",Briefing_FID!CT43)</f>
        <v/>
      </c>
      <c r="CU43" s="100" t="str">
        <f>IF(Briefing_FID!CU43="","",Briefing_FID!CU43)</f>
        <v/>
      </c>
      <c r="CV43" s="3" t="str">
        <f>IF(Briefing_FID!CV43="","",Briefing_FID!CV43)</f>
        <v/>
      </c>
      <c r="CW43" s="28" t="str">
        <f>IF(Briefing_FID!CW43="","",Briefing_FID!CW43)</f>
        <v/>
      </c>
      <c r="CX43" s="100" t="str">
        <f>IF(Briefing_FID!CX43="","",Briefing_FID!CX43)</f>
        <v/>
      </c>
      <c r="CY43" s="3" t="str">
        <f>IF(Briefing_FID!CY43="","",Briefing_FID!CY43)</f>
        <v/>
      </c>
      <c r="CZ43" s="28" t="str">
        <f>IF(Briefing_FID!CZ43="","",Briefing_FID!CZ43)</f>
        <v/>
      </c>
      <c r="DA43" s="100" t="str">
        <f>IF(Briefing_FID!DA43="","",Briefing_FID!DA43)</f>
        <v/>
      </c>
      <c r="DB43" s="3" t="str">
        <f>IF(Briefing_FID!DB43="","",Briefing_FID!DB43)</f>
        <v/>
      </c>
      <c r="DC43" s="28" t="str">
        <f>IF(Briefing_FID!DC43="","",Briefing_FID!DC43)</f>
        <v/>
      </c>
      <c r="DD43" s="100" t="str">
        <f>IF(Briefing_FID!DD43="","",Briefing_FID!DD43)</f>
        <v/>
      </c>
      <c r="DE43" s="3" t="str">
        <f>IF(Briefing_FID!DE43="","",Briefing_FID!DE43)</f>
        <v/>
      </c>
      <c r="DF43" s="28" t="str">
        <f>IF(Briefing_FID!DF43="","",Briefing_FID!DF43)</f>
        <v/>
      </c>
      <c r="DG43" s="100" t="str">
        <f>IF(Briefing_FID!DG43="","",Briefing_FID!DG43)</f>
        <v/>
      </c>
      <c r="DH43" s="3" t="str">
        <f>IF(Briefing_FID!DH43="","",Briefing_FID!DH43)</f>
        <v/>
      </c>
      <c r="DI43" s="28" t="str">
        <f>IF(Briefing_FID!DI43="","",Briefing_FID!DI43)</f>
        <v/>
      </c>
      <c r="DJ43" s="100" t="str">
        <f>IF(Briefing_FID!DJ43="","",Briefing_FID!DJ43)</f>
        <v/>
      </c>
      <c r="DK43" s="3" t="str">
        <f>IF(Briefing_FID!DK43="","",Briefing_FID!DK43)</f>
        <v/>
      </c>
      <c r="DL43" s="28" t="str">
        <f>IF(Briefing_FID!DL43="","",Briefing_FID!DL43)</f>
        <v/>
      </c>
      <c r="DM43" s="100" t="str">
        <f>IF(Briefing_FID!DM43="","",Briefing_FID!DM43)</f>
        <v/>
      </c>
      <c r="DN43" s="3" t="str">
        <f>IF(Briefing_FID!DN43="","",Briefing_FID!DN43)</f>
        <v/>
      </c>
      <c r="DO43" s="28" t="str">
        <f>IF(Briefing_FID!DO43="","",Briefing_FID!DO43)</f>
        <v/>
      </c>
      <c r="DP43" s="100" t="str">
        <f>IF(Briefing_FID!DP43="","",Briefing_FID!DP43)</f>
        <v/>
      </c>
      <c r="DQ43" s="3" t="str">
        <f>IF(Briefing_FID!DQ43="","",Briefing_FID!DQ43)</f>
        <v/>
      </c>
      <c r="DR43" s="28" t="str">
        <f>IF(Briefing_FID!DR43="","",Briefing_FID!DR43)</f>
        <v/>
      </c>
      <c r="DS43" s="100" t="str">
        <f>IF(Briefing_FID!DS43="","",Briefing_FID!DS43)</f>
        <v/>
      </c>
      <c r="DT43" s="3" t="str">
        <f>IF(Briefing_FID!DT43="","",Briefing_FID!DT43)</f>
        <v/>
      </c>
      <c r="DU43" s="28" t="str">
        <f>IF(Briefing_FID!DU43="","",Briefing_FID!DU43)</f>
        <v/>
      </c>
      <c r="DV43" s="100" t="str">
        <f>IF(Briefing_FID!DV43="","",Briefing_FID!DV43)</f>
        <v/>
      </c>
      <c r="DW43" s="3" t="str">
        <f>IF(Briefing_FID!DW43="","",Briefing_FID!DW43)</f>
        <v/>
      </c>
      <c r="DX43" s="28" t="str">
        <f>IF(Briefing_FID!DX43="","",Briefing_FID!DX43)</f>
        <v/>
      </c>
      <c r="DY43" s="100" t="str">
        <f>IF(Briefing_FID!DY43="","",Briefing_FID!DY43)</f>
        <v/>
      </c>
      <c r="DZ43" s="3" t="str">
        <f>IF(Briefing_FID!DZ43="","",Briefing_FID!DZ43)</f>
        <v/>
      </c>
      <c r="EA43" s="28" t="str">
        <f>IF(Briefing_FID!EA43="","",Briefing_FID!EA43)</f>
        <v/>
      </c>
      <c r="EB43" s="100" t="str">
        <f>IF(Briefing_FID!EB43="","",Briefing_FID!EB43)</f>
        <v/>
      </c>
      <c r="EC43" s="3" t="str">
        <f>IF(Briefing_FID!EC43="","",Briefing_FID!EC43)</f>
        <v/>
      </c>
      <c r="ED43" s="28" t="str">
        <f>IF(Briefing_FID!ED43="","",Briefing_FID!ED43)</f>
        <v/>
      </c>
      <c r="EE43" s="100" t="str">
        <f>IF(Briefing_FID!EE43="","",Briefing_FID!EE43)</f>
        <v/>
      </c>
      <c r="EF43" s="3" t="str">
        <f>IF(Briefing_FID!EF43="","",Briefing_FID!EF43)</f>
        <v/>
      </c>
      <c r="EG43" s="28" t="str">
        <f>IF(Briefing_FID!EG43="","",Briefing_FID!EG43)</f>
        <v/>
      </c>
      <c r="EH43" s="100" t="str">
        <f>IF(Briefing_FID!EH43="","",Briefing_FID!EH43)</f>
        <v/>
      </c>
      <c r="EI43" s="3" t="str">
        <f>IF(Briefing_FID!EI43="","",Briefing_FID!EI43)</f>
        <v/>
      </c>
      <c r="EJ43" s="28" t="str">
        <f>IF(Briefing_FID!EJ43="","",Briefing_FID!EJ43)</f>
        <v/>
      </c>
      <c r="EK43" s="100" t="str">
        <f>IF(Briefing_FID!EK43="","",Briefing_FID!EK43)</f>
        <v/>
      </c>
      <c r="EL43" s="3" t="str">
        <f>IF(Briefing_FID!EL43="","",Briefing_FID!EL43)</f>
        <v/>
      </c>
      <c r="EM43" s="28" t="str">
        <f>IF(Briefing_FID!EM43="","",Briefing_FID!EM43)</f>
        <v/>
      </c>
      <c r="EN43" s="100" t="str">
        <f>IF(Briefing_FID!EN43="","",Briefing_FID!EN43)</f>
        <v/>
      </c>
      <c r="EO43" s="3" t="str">
        <f>IF(Briefing_FID!EO43="","",Briefing_FID!EO43)</f>
        <v/>
      </c>
      <c r="EP43" s="28" t="str">
        <f>IF(Briefing_FID!EP43="","",Briefing_FID!EP43)</f>
        <v/>
      </c>
      <c r="EQ43" s="28" t="str">
        <f>IF(Briefing_FID!EQ43="","",Briefing_FID!EQ43)</f>
        <v/>
      </c>
      <c r="ER43" s="28" t="str">
        <f>IF(Briefing_FID!ER43="","",Briefing_FID!ER43)</f>
        <v/>
      </c>
      <c r="ES43" s="62"/>
      <c r="ET43" s="96" t="str">
        <f>IF(Briefing_FID!EZ43="","",Briefing_FID!EZ43)</f>
        <v/>
      </c>
      <c r="EU43" s="97" t="str">
        <f>IF(Briefing_FID!FA43="","",Briefing_FID!FA43)</f>
        <v/>
      </c>
      <c r="EV43" s="98" t="str">
        <f>IF(Briefing_FID!FB43="","",Briefing_FID!FB43)</f>
        <v/>
      </c>
      <c r="EW43" s="96" t="str">
        <f>IF(Briefing_FID!FC43="","",Briefing_FID!FC43)</f>
        <v/>
      </c>
      <c r="EX43" s="97" t="str">
        <f>IF(Briefing_FID!FD43="","",Briefing_FID!FD43)</f>
        <v/>
      </c>
      <c r="EY43" s="98" t="str">
        <f>IF(Briefing_FID!FE43="","",Briefing_FID!FE43)</f>
        <v/>
      </c>
      <c r="EZ43" s="104" t="str">
        <f>IF(Briefing_FID!FF43="","",Briefing_FID!FF43)</f>
        <v/>
      </c>
      <c r="FA43" s="144" t="str">
        <f>IF(Briefing_FID!FG43="","",Briefing_FID!FG43)</f>
        <v/>
      </c>
      <c r="FB43" s="144" t="str">
        <f>IF(Briefing_FID!FH43="","",Briefing_FID!FH43)</f>
        <v/>
      </c>
      <c r="FC43" s="144" t="str">
        <f>IF(Briefing_FID!FI43="","",Briefing_FID!FI43)</f>
        <v/>
      </c>
      <c r="FD43" s="144" t="str">
        <f>IF(Briefing_FID!FJ43="","",Briefing_FID!FJ43)</f>
        <v/>
      </c>
      <c r="FE43" s="144" t="str">
        <f>IF(Briefing_FID!FK43="","",Briefing_FID!FK43)</f>
        <v/>
      </c>
      <c r="FF43" s="144" t="str">
        <f>IF(Briefing_FID!FL43="","",Briefing_FID!FL43)</f>
        <v/>
      </c>
      <c r="FG43" s="144" t="str">
        <f>IF(Briefing_FID!FM43="","",Briefing_FID!FM43)</f>
        <v/>
      </c>
      <c r="FH43" s="144" t="str">
        <f>IF(Briefing_FID!FN43="","",Briefing_FID!FN43)</f>
        <v/>
      </c>
      <c r="FI43" s="144" t="str">
        <f>IF(Briefing_FID!FO43="","",Briefing_FID!FO43)</f>
        <v/>
      </c>
      <c r="FJ43" s="144" t="str">
        <f>IF(Briefing_FID!FP43="","",Briefing_FID!FP43)</f>
        <v/>
      </c>
      <c r="FK43" s="144" t="str">
        <f>IF(Briefing_FID!FQ43="","",Briefing_FID!FQ43)</f>
        <v/>
      </c>
      <c r="FL43" s="144" t="str">
        <f>IF(Briefing_FID!FR43="","",Briefing_FID!FR43)</f>
        <v/>
      </c>
      <c r="FM43" s="144" t="str">
        <f>IF(Briefing_FID!FS43="","",Briefing_FID!FS43)</f>
        <v/>
      </c>
      <c r="FN43" s="144" t="str">
        <f>IF(Briefing_FID!FT43="","",Briefing_FID!FT43)</f>
        <v/>
      </c>
      <c r="FO43" s="144" t="str">
        <f>IF(Briefing_FID!FU43="","",Briefing_FID!FU43)</f>
        <v/>
      </c>
      <c r="FP43" s="144" t="str">
        <f>IF(Briefing_FID!FV43="","",Briefing_FID!FV43)</f>
        <v/>
      </c>
      <c r="FQ43" s="144" t="str">
        <f>IF(Briefing_FID!FW43="","",Briefing_FID!FW43)</f>
        <v/>
      </c>
      <c r="FR43" s="151"/>
      <c r="FS43" s="152"/>
      <c r="FT43" s="152"/>
      <c r="FU43" s="152"/>
      <c r="FV43" s="152"/>
      <c r="FW43" s="152"/>
      <c r="FX43" s="152"/>
      <c r="FY43" s="152"/>
      <c r="FZ43" s="152"/>
      <c r="GA43" s="153"/>
    </row>
    <row r="44" spans="1:183">
      <c r="A44" s="136" t="str">
        <f>IF(Briefing_FID!A44="","",Briefing_FID!A44)</f>
        <v/>
      </c>
      <c r="B44" s="137" t="str">
        <f>IF(Briefing_FID!B44="","",Briefing_FID!B44)</f>
        <v/>
      </c>
      <c r="C44" s="137" t="str">
        <f>IF(Briefing_FID!C44="","",Briefing_FID!C44)</f>
        <v/>
      </c>
      <c r="D44" s="46"/>
      <c r="E44" s="120"/>
      <c r="F44" s="117"/>
      <c r="G44" s="117"/>
      <c r="H44" s="72"/>
      <c r="I44" s="72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23"/>
      <c r="AD44" s="117"/>
      <c r="AE44" s="117"/>
      <c r="AF44" s="117"/>
      <c r="AG44" s="117"/>
      <c r="AH44" s="117"/>
      <c r="AI44" s="117"/>
      <c r="AJ44" s="117"/>
      <c r="AK44" s="117"/>
      <c r="AL44" s="124"/>
      <c r="AM44" s="37"/>
      <c r="AN44" s="38"/>
      <c r="AO44" s="39"/>
      <c r="AP44" s="111" t="str">
        <f>IF(Briefing_FID!AP44="","",Briefing_FID!AP44)</f>
        <v/>
      </c>
      <c r="AQ44" s="112" t="str">
        <f>IF(Briefing_FID!AQ44="","",Briefing_FID!AQ44)</f>
        <v/>
      </c>
      <c r="AR44" s="107" t="str">
        <f>IF(Briefing_FID!AR44="","",Briefing_FID!AR44)</f>
        <v/>
      </c>
      <c r="AS44" s="108" t="str">
        <f>IF(Briefing_FID!AS44="","",Briefing_FID!AS44)</f>
        <v/>
      </c>
      <c r="AT44" s="113" t="str">
        <f>IF(Briefing_FID!AT44="","",Briefing_FID!AT44)</f>
        <v/>
      </c>
      <c r="AU44" s="113" t="str">
        <f>IF(Briefing_FID!AU44="","",Briefing_FID!AU44)</f>
        <v/>
      </c>
      <c r="AV44" s="113" t="str">
        <f>IF(Briefing_FID!AV44="","",Briefing_FID!AV44)</f>
        <v/>
      </c>
      <c r="AW44" s="113" t="str">
        <f>IF(Briefing_FID!AW44="","",Briefing_FID!AW44)</f>
        <v/>
      </c>
      <c r="AX44" s="114" t="str">
        <f>IF(Briefing_FID!AX44="","",Briefing_FID!AX44)</f>
        <v/>
      </c>
      <c r="AY44" s="71"/>
      <c r="AZ44" s="117" t="str">
        <f>IF(Briefing_FID!AZ44="","",Briefing_FID!AZ44)</f>
        <v/>
      </c>
      <c r="BA44" s="118" t="str">
        <f>IF(Briefing_FID!BA44="","",Briefing_FID!BA44)</f>
        <v/>
      </c>
      <c r="BB44" s="55"/>
      <c r="BC44" s="102" t="str">
        <f>IF(Briefing_FID!BC44="","",Briefing_FID!BC44)</f>
        <v/>
      </c>
      <c r="BD44" s="27" t="str">
        <f>IF(Briefing_FID!BD44="","",Briefing_FID!BD44)</f>
        <v/>
      </c>
      <c r="BE44" s="100" t="str">
        <f>IF(Briefing_FID!BE44="","",Briefing_FID!BE44)</f>
        <v/>
      </c>
      <c r="BF44" s="3" t="str">
        <f>IF(Briefing_FID!BF44="","",Briefing_FID!BF44)</f>
        <v/>
      </c>
      <c r="BG44" s="10" t="str">
        <f>IF(Briefing_FID!BG44="","",Briefing_FID!BG44)</f>
        <v/>
      </c>
      <c r="BH44" s="100" t="str">
        <f>IF(Briefing_FID!BH44="","",Briefing_FID!BH44)</f>
        <v/>
      </c>
      <c r="BI44" s="3" t="str">
        <f>IF(Briefing_FID!BI44="","",Briefing_FID!BI44)</f>
        <v/>
      </c>
      <c r="BJ44" s="10" t="str">
        <f>IF(Briefing_FID!BJ44="","",Briefing_FID!BJ44)</f>
        <v/>
      </c>
      <c r="BK44" s="100" t="str">
        <f>IF(Briefing_FID!BK44="","",Briefing_FID!BK44)</f>
        <v/>
      </c>
      <c r="BL44" s="3" t="str">
        <f>IF(Briefing_FID!BL44="","",Briefing_FID!BL44)</f>
        <v/>
      </c>
      <c r="BM44" s="28" t="str">
        <f>IF(Briefing_FID!BM44="","",Briefing_FID!BM44)</f>
        <v/>
      </c>
      <c r="BN44" s="100" t="str">
        <f>IF(Briefing_FID!BN44="","",Briefing_FID!BN44)</f>
        <v/>
      </c>
      <c r="BO44" s="3" t="str">
        <f>IF(Briefing_FID!BO44="","",Briefing_FID!BO44)</f>
        <v/>
      </c>
      <c r="BP44" s="28" t="str">
        <f>IF(Briefing_FID!BP44="","",Briefing_FID!BP44)</f>
        <v/>
      </c>
      <c r="BQ44" s="100" t="str">
        <f>IF(Briefing_FID!BQ44="","",Briefing_FID!BQ44)</f>
        <v/>
      </c>
      <c r="BR44" s="3" t="str">
        <f>IF(Briefing_FID!BR44="","",Briefing_FID!BR44)</f>
        <v/>
      </c>
      <c r="BS44" s="28" t="str">
        <f>IF(Briefing_FID!BS44="","",Briefing_FID!BS44)</f>
        <v/>
      </c>
      <c r="BT44" s="100" t="str">
        <f>IF(Briefing_FID!BT44="","",Briefing_FID!BT44)</f>
        <v/>
      </c>
      <c r="BU44" s="3" t="str">
        <f>IF(Briefing_FID!BU44="","",Briefing_FID!BU44)</f>
        <v/>
      </c>
      <c r="BV44" s="28" t="str">
        <f>IF(Briefing_FID!BV44="","",Briefing_FID!BV44)</f>
        <v/>
      </c>
      <c r="BW44" s="100" t="str">
        <f>IF(Briefing_FID!BW44="","",Briefing_FID!BW44)</f>
        <v/>
      </c>
      <c r="BX44" s="3" t="str">
        <f>IF(Briefing_FID!BX44="","",Briefing_FID!BX44)</f>
        <v/>
      </c>
      <c r="BY44" s="28" t="str">
        <f>IF(Briefing_FID!BY44="","",Briefing_FID!BY44)</f>
        <v/>
      </c>
      <c r="BZ44" s="100" t="str">
        <f>IF(Briefing_FID!BZ44="","",Briefing_FID!BZ44)</f>
        <v/>
      </c>
      <c r="CA44" s="3" t="str">
        <f>IF(Briefing_FID!CA44="","",Briefing_FID!CA44)</f>
        <v/>
      </c>
      <c r="CB44" s="28" t="str">
        <f>IF(Briefing_FID!CB44="","",Briefing_FID!CB44)</f>
        <v/>
      </c>
      <c r="CC44" s="100" t="str">
        <f>IF(Briefing_FID!CC44="","",Briefing_FID!CC44)</f>
        <v/>
      </c>
      <c r="CD44" s="3" t="str">
        <f>IF(Briefing_FID!CD44="","",Briefing_FID!CD44)</f>
        <v/>
      </c>
      <c r="CE44" s="28" t="str">
        <f>IF(Briefing_FID!CE44="","",Briefing_FID!CE44)</f>
        <v/>
      </c>
      <c r="CF44" s="100" t="str">
        <f>IF(Briefing_FID!CF44="","",Briefing_FID!CF44)</f>
        <v/>
      </c>
      <c r="CG44" s="3" t="str">
        <f>IF(Briefing_FID!CG44="","",Briefing_FID!CG44)</f>
        <v/>
      </c>
      <c r="CH44" s="28" t="str">
        <f>IF(Briefing_FID!CH44="","",Briefing_FID!CH44)</f>
        <v/>
      </c>
      <c r="CI44" s="100" t="str">
        <f>IF(Briefing_FID!CI44="","",Briefing_FID!CI44)</f>
        <v/>
      </c>
      <c r="CJ44" s="3" t="str">
        <f>IF(Briefing_FID!CJ44="","",Briefing_FID!CJ44)</f>
        <v/>
      </c>
      <c r="CK44" s="28" t="str">
        <f>IF(Briefing_FID!CK44="","",Briefing_FID!CK44)</f>
        <v/>
      </c>
      <c r="CL44" s="100" t="str">
        <f>IF(Briefing_FID!CL44="","",Briefing_FID!CL44)</f>
        <v/>
      </c>
      <c r="CM44" s="3" t="str">
        <f>IF(Briefing_FID!CM44="","",Briefing_FID!CM44)</f>
        <v/>
      </c>
      <c r="CN44" s="28" t="str">
        <f>IF(Briefing_FID!CN44="","",Briefing_FID!CN44)</f>
        <v/>
      </c>
      <c r="CO44" s="100" t="str">
        <f>IF(Briefing_FID!CO44="","",Briefing_FID!CO44)</f>
        <v/>
      </c>
      <c r="CP44" s="3" t="str">
        <f>IF(Briefing_FID!CP44="","",Briefing_FID!CP44)</f>
        <v/>
      </c>
      <c r="CQ44" s="28" t="str">
        <f>IF(Briefing_FID!CQ44="","",Briefing_FID!CQ44)</f>
        <v/>
      </c>
      <c r="CR44" s="100" t="str">
        <f>IF(Briefing_FID!CR44="","",Briefing_FID!CR44)</f>
        <v/>
      </c>
      <c r="CS44" s="3" t="str">
        <f>IF(Briefing_FID!CS44="","",Briefing_FID!CS44)</f>
        <v/>
      </c>
      <c r="CT44" s="28" t="str">
        <f>IF(Briefing_FID!CT44="","",Briefing_FID!CT44)</f>
        <v/>
      </c>
      <c r="CU44" s="100" t="str">
        <f>IF(Briefing_FID!CU44="","",Briefing_FID!CU44)</f>
        <v/>
      </c>
      <c r="CV44" s="3" t="str">
        <f>IF(Briefing_FID!CV44="","",Briefing_FID!CV44)</f>
        <v/>
      </c>
      <c r="CW44" s="28" t="str">
        <f>IF(Briefing_FID!CW44="","",Briefing_FID!CW44)</f>
        <v/>
      </c>
      <c r="CX44" s="100" t="str">
        <f>IF(Briefing_FID!CX44="","",Briefing_FID!CX44)</f>
        <v/>
      </c>
      <c r="CY44" s="3" t="str">
        <f>IF(Briefing_FID!CY44="","",Briefing_FID!CY44)</f>
        <v/>
      </c>
      <c r="CZ44" s="28" t="str">
        <f>IF(Briefing_FID!CZ44="","",Briefing_FID!CZ44)</f>
        <v/>
      </c>
      <c r="DA44" s="100" t="str">
        <f>IF(Briefing_FID!DA44="","",Briefing_FID!DA44)</f>
        <v/>
      </c>
      <c r="DB44" s="3" t="str">
        <f>IF(Briefing_FID!DB44="","",Briefing_FID!DB44)</f>
        <v/>
      </c>
      <c r="DC44" s="28" t="str">
        <f>IF(Briefing_FID!DC44="","",Briefing_FID!DC44)</f>
        <v/>
      </c>
      <c r="DD44" s="100" t="str">
        <f>IF(Briefing_FID!DD44="","",Briefing_FID!DD44)</f>
        <v/>
      </c>
      <c r="DE44" s="3" t="str">
        <f>IF(Briefing_FID!DE44="","",Briefing_FID!DE44)</f>
        <v/>
      </c>
      <c r="DF44" s="28" t="str">
        <f>IF(Briefing_FID!DF44="","",Briefing_FID!DF44)</f>
        <v/>
      </c>
      <c r="DG44" s="100" t="str">
        <f>IF(Briefing_FID!DG44="","",Briefing_FID!DG44)</f>
        <v/>
      </c>
      <c r="DH44" s="3" t="str">
        <f>IF(Briefing_FID!DH44="","",Briefing_FID!DH44)</f>
        <v/>
      </c>
      <c r="DI44" s="28" t="str">
        <f>IF(Briefing_FID!DI44="","",Briefing_FID!DI44)</f>
        <v/>
      </c>
      <c r="DJ44" s="100" t="str">
        <f>IF(Briefing_FID!DJ44="","",Briefing_FID!DJ44)</f>
        <v/>
      </c>
      <c r="DK44" s="3" t="str">
        <f>IF(Briefing_FID!DK44="","",Briefing_FID!DK44)</f>
        <v/>
      </c>
      <c r="DL44" s="28" t="str">
        <f>IF(Briefing_FID!DL44="","",Briefing_FID!DL44)</f>
        <v/>
      </c>
      <c r="DM44" s="100" t="str">
        <f>IF(Briefing_FID!DM44="","",Briefing_FID!DM44)</f>
        <v/>
      </c>
      <c r="DN44" s="3" t="str">
        <f>IF(Briefing_FID!DN44="","",Briefing_FID!DN44)</f>
        <v/>
      </c>
      <c r="DO44" s="28" t="str">
        <f>IF(Briefing_FID!DO44="","",Briefing_FID!DO44)</f>
        <v/>
      </c>
      <c r="DP44" s="100" t="str">
        <f>IF(Briefing_FID!DP44="","",Briefing_FID!DP44)</f>
        <v/>
      </c>
      <c r="DQ44" s="3" t="str">
        <f>IF(Briefing_FID!DQ44="","",Briefing_FID!DQ44)</f>
        <v/>
      </c>
      <c r="DR44" s="28" t="str">
        <f>IF(Briefing_FID!DR44="","",Briefing_FID!DR44)</f>
        <v/>
      </c>
      <c r="DS44" s="100" t="str">
        <f>IF(Briefing_FID!DS44="","",Briefing_FID!DS44)</f>
        <v/>
      </c>
      <c r="DT44" s="3" t="str">
        <f>IF(Briefing_FID!DT44="","",Briefing_FID!DT44)</f>
        <v/>
      </c>
      <c r="DU44" s="28" t="str">
        <f>IF(Briefing_FID!DU44="","",Briefing_FID!DU44)</f>
        <v/>
      </c>
      <c r="DV44" s="100" t="str">
        <f>IF(Briefing_FID!DV44="","",Briefing_FID!DV44)</f>
        <v/>
      </c>
      <c r="DW44" s="3" t="str">
        <f>IF(Briefing_FID!DW44="","",Briefing_FID!DW44)</f>
        <v/>
      </c>
      <c r="DX44" s="28" t="str">
        <f>IF(Briefing_FID!DX44="","",Briefing_FID!DX44)</f>
        <v/>
      </c>
      <c r="DY44" s="100" t="str">
        <f>IF(Briefing_FID!DY44="","",Briefing_FID!DY44)</f>
        <v/>
      </c>
      <c r="DZ44" s="3" t="str">
        <f>IF(Briefing_FID!DZ44="","",Briefing_FID!DZ44)</f>
        <v/>
      </c>
      <c r="EA44" s="28" t="str">
        <f>IF(Briefing_FID!EA44="","",Briefing_FID!EA44)</f>
        <v/>
      </c>
      <c r="EB44" s="100" t="str">
        <f>IF(Briefing_FID!EB44="","",Briefing_FID!EB44)</f>
        <v/>
      </c>
      <c r="EC44" s="3" t="str">
        <f>IF(Briefing_FID!EC44="","",Briefing_FID!EC44)</f>
        <v/>
      </c>
      <c r="ED44" s="28" t="str">
        <f>IF(Briefing_FID!ED44="","",Briefing_FID!ED44)</f>
        <v/>
      </c>
      <c r="EE44" s="100" t="str">
        <f>IF(Briefing_FID!EE44="","",Briefing_FID!EE44)</f>
        <v/>
      </c>
      <c r="EF44" s="3" t="str">
        <f>IF(Briefing_FID!EF44="","",Briefing_FID!EF44)</f>
        <v/>
      </c>
      <c r="EG44" s="28" t="str">
        <f>IF(Briefing_FID!EG44="","",Briefing_FID!EG44)</f>
        <v/>
      </c>
      <c r="EH44" s="100" t="str">
        <f>IF(Briefing_FID!EH44="","",Briefing_FID!EH44)</f>
        <v/>
      </c>
      <c r="EI44" s="3" t="str">
        <f>IF(Briefing_FID!EI44="","",Briefing_FID!EI44)</f>
        <v/>
      </c>
      <c r="EJ44" s="28" t="str">
        <f>IF(Briefing_FID!EJ44="","",Briefing_FID!EJ44)</f>
        <v/>
      </c>
      <c r="EK44" s="100" t="str">
        <f>IF(Briefing_FID!EK44="","",Briefing_FID!EK44)</f>
        <v/>
      </c>
      <c r="EL44" s="3" t="str">
        <f>IF(Briefing_FID!EL44="","",Briefing_FID!EL44)</f>
        <v/>
      </c>
      <c r="EM44" s="28" t="str">
        <f>IF(Briefing_FID!EM44="","",Briefing_FID!EM44)</f>
        <v/>
      </c>
      <c r="EN44" s="100" t="str">
        <f>IF(Briefing_FID!EN44="","",Briefing_FID!EN44)</f>
        <v/>
      </c>
      <c r="EO44" s="3" t="str">
        <f>IF(Briefing_FID!EO44="","",Briefing_FID!EO44)</f>
        <v/>
      </c>
      <c r="EP44" s="28" t="str">
        <f>IF(Briefing_FID!EP44="","",Briefing_FID!EP44)</f>
        <v/>
      </c>
      <c r="EQ44" s="28" t="str">
        <f>IF(Briefing_FID!EQ44="","",Briefing_FID!EQ44)</f>
        <v/>
      </c>
      <c r="ER44" s="28" t="str">
        <f>IF(Briefing_FID!ER44="","",Briefing_FID!ER44)</f>
        <v/>
      </c>
      <c r="ES44" s="62"/>
      <c r="ET44" s="96" t="str">
        <f>IF(Briefing_FID!EZ44="","",Briefing_FID!EZ44)</f>
        <v/>
      </c>
      <c r="EU44" s="97" t="str">
        <f>IF(Briefing_FID!FA44="","",Briefing_FID!FA44)</f>
        <v/>
      </c>
      <c r="EV44" s="98" t="str">
        <f>IF(Briefing_FID!FB44="","",Briefing_FID!FB44)</f>
        <v/>
      </c>
      <c r="EW44" s="96" t="str">
        <f>IF(Briefing_FID!FC44="","",Briefing_FID!FC44)</f>
        <v/>
      </c>
      <c r="EX44" s="97" t="str">
        <f>IF(Briefing_FID!FD44="","",Briefing_FID!FD44)</f>
        <v/>
      </c>
      <c r="EY44" s="98" t="str">
        <f>IF(Briefing_FID!FE44="","",Briefing_FID!FE44)</f>
        <v/>
      </c>
      <c r="EZ44" s="104" t="str">
        <f>IF(Briefing_FID!FF44="","",Briefing_FID!FF44)</f>
        <v/>
      </c>
      <c r="FA44" s="144" t="str">
        <f>IF(Briefing_FID!FG44="","",Briefing_FID!FG44)</f>
        <v/>
      </c>
      <c r="FB44" s="144" t="str">
        <f>IF(Briefing_FID!FH44="","",Briefing_FID!FH44)</f>
        <v/>
      </c>
      <c r="FC44" s="144" t="str">
        <f>IF(Briefing_FID!FI44="","",Briefing_FID!FI44)</f>
        <v/>
      </c>
      <c r="FD44" s="144" t="str">
        <f>IF(Briefing_FID!FJ44="","",Briefing_FID!FJ44)</f>
        <v/>
      </c>
      <c r="FE44" s="144" t="str">
        <f>IF(Briefing_FID!FK44="","",Briefing_FID!FK44)</f>
        <v/>
      </c>
      <c r="FF44" s="144" t="str">
        <f>IF(Briefing_FID!FL44="","",Briefing_FID!FL44)</f>
        <v/>
      </c>
      <c r="FG44" s="144" t="str">
        <f>IF(Briefing_FID!FM44="","",Briefing_FID!FM44)</f>
        <v/>
      </c>
      <c r="FH44" s="144" t="str">
        <f>IF(Briefing_FID!FN44="","",Briefing_FID!FN44)</f>
        <v/>
      </c>
      <c r="FI44" s="144" t="str">
        <f>IF(Briefing_FID!FO44="","",Briefing_FID!FO44)</f>
        <v/>
      </c>
      <c r="FJ44" s="144" t="str">
        <f>IF(Briefing_FID!FP44="","",Briefing_FID!FP44)</f>
        <v/>
      </c>
      <c r="FK44" s="144" t="str">
        <f>IF(Briefing_FID!FQ44="","",Briefing_FID!FQ44)</f>
        <v/>
      </c>
      <c r="FL44" s="144" t="str">
        <f>IF(Briefing_FID!FR44="","",Briefing_FID!FR44)</f>
        <v/>
      </c>
      <c r="FM44" s="144" t="str">
        <f>IF(Briefing_FID!FS44="","",Briefing_FID!FS44)</f>
        <v/>
      </c>
      <c r="FN44" s="144" t="str">
        <f>IF(Briefing_FID!FT44="","",Briefing_FID!FT44)</f>
        <v/>
      </c>
      <c r="FO44" s="144" t="str">
        <f>IF(Briefing_FID!FU44="","",Briefing_FID!FU44)</f>
        <v/>
      </c>
      <c r="FP44" s="144" t="str">
        <f>IF(Briefing_FID!FV44="","",Briefing_FID!FV44)</f>
        <v/>
      </c>
      <c r="FQ44" s="144" t="str">
        <f>IF(Briefing_FID!FW44="","",Briefing_FID!FW44)</f>
        <v/>
      </c>
      <c r="FR44" s="151"/>
      <c r="FS44" s="152"/>
      <c r="FT44" s="152"/>
      <c r="FU44" s="152"/>
      <c r="FV44" s="152"/>
      <c r="FW44" s="152"/>
      <c r="FX44" s="152"/>
      <c r="FY44" s="152"/>
      <c r="FZ44" s="152"/>
      <c r="GA44" s="153"/>
    </row>
    <row r="45" spans="1:183">
      <c r="A45" s="136" t="str">
        <f>IF(Briefing_FID!A45="","",Briefing_FID!A45)</f>
        <v/>
      </c>
      <c r="B45" s="137" t="str">
        <f>IF(Briefing_FID!B45="","",Briefing_FID!B45)</f>
        <v/>
      </c>
      <c r="C45" s="137" t="str">
        <f>IF(Briefing_FID!C45="","",Briefing_FID!C45)</f>
        <v/>
      </c>
      <c r="D45" s="46"/>
      <c r="E45" s="120"/>
      <c r="F45" s="117"/>
      <c r="G45" s="117"/>
      <c r="H45" s="72"/>
      <c r="I45" s="72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23"/>
      <c r="AD45" s="117"/>
      <c r="AE45" s="117"/>
      <c r="AF45" s="117"/>
      <c r="AG45" s="117"/>
      <c r="AH45" s="117"/>
      <c r="AI45" s="117"/>
      <c r="AJ45" s="117"/>
      <c r="AK45" s="117"/>
      <c r="AL45" s="124"/>
      <c r="AM45" s="37"/>
      <c r="AN45" s="38"/>
      <c r="AO45" s="39"/>
      <c r="AP45" s="111" t="str">
        <f>IF(Briefing_FID!AP45="","",Briefing_FID!AP45)</f>
        <v/>
      </c>
      <c r="AQ45" s="112" t="str">
        <f>IF(Briefing_FID!AQ45="","",Briefing_FID!AQ45)</f>
        <v/>
      </c>
      <c r="AR45" s="107" t="str">
        <f>IF(Briefing_FID!AR45="","",Briefing_FID!AR45)</f>
        <v/>
      </c>
      <c r="AS45" s="108" t="str">
        <f>IF(Briefing_FID!AS45="","",Briefing_FID!AS45)</f>
        <v/>
      </c>
      <c r="AT45" s="113" t="str">
        <f>IF(Briefing_FID!AT45="","",Briefing_FID!AT45)</f>
        <v/>
      </c>
      <c r="AU45" s="113" t="str">
        <f>IF(Briefing_FID!AU45="","",Briefing_FID!AU45)</f>
        <v/>
      </c>
      <c r="AV45" s="113" t="str">
        <f>IF(Briefing_FID!AV45="","",Briefing_FID!AV45)</f>
        <v/>
      </c>
      <c r="AW45" s="113" t="str">
        <f>IF(Briefing_FID!AW45="","",Briefing_FID!AW45)</f>
        <v/>
      </c>
      <c r="AX45" s="114" t="str">
        <f>IF(Briefing_FID!AX45="","",Briefing_FID!AX45)</f>
        <v/>
      </c>
      <c r="AY45" s="71"/>
      <c r="AZ45" s="117" t="str">
        <f>IF(Briefing_FID!AZ45="","",Briefing_FID!AZ45)</f>
        <v/>
      </c>
      <c r="BA45" s="118" t="str">
        <f>IF(Briefing_FID!BA45="","",Briefing_FID!BA45)</f>
        <v/>
      </c>
      <c r="BB45" s="55"/>
      <c r="BC45" s="102" t="str">
        <f>IF(Briefing_FID!BC45="","",Briefing_FID!BC45)</f>
        <v/>
      </c>
      <c r="BD45" s="27" t="str">
        <f>IF(Briefing_FID!BD45="","",Briefing_FID!BD45)</f>
        <v/>
      </c>
      <c r="BE45" s="100" t="str">
        <f>IF(Briefing_FID!BE45="","",Briefing_FID!BE45)</f>
        <v/>
      </c>
      <c r="BF45" s="3" t="str">
        <f>IF(Briefing_FID!BF45="","",Briefing_FID!BF45)</f>
        <v/>
      </c>
      <c r="BG45" s="10" t="str">
        <f>IF(Briefing_FID!BG45="","",Briefing_FID!BG45)</f>
        <v/>
      </c>
      <c r="BH45" s="100" t="str">
        <f>IF(Briefing_FID!BH45="","",Briefing_FID!BH45)</f>
        <v/>
      </c>
      <c r="BI45" s="3" t="str">
        <f>IF(Briefing_FID!BI45="","",Briefing_FID!BI45)</f>
        <v/>
      </c>
      <c r="BJ45" s="10" t="str">
        <f>IF(Briefing_FID!BJ45="","",Briefing_FID!BJ45)</f>
        <v/>
      </c>
      <c r="BK45" s="100" t="str">
        <f>IF(Briefing_FID!BK45="","",Briefing_FID!BK45)</f>
        <v/>
      </c>
      <c r="BL45" s="3" t="str">
        <f>IF(Briefing_FID!BL45="","",Briefing_FID!BL45)</f>
        <v/>
      </c>
      <c r="BM45" s="28" t="str">
        <f>IF(Briefing_FID!BM45="","",Briefing_FID!BM45)</f>
        <v/>
      </c>
      <c r="BN45" s="100" t="str">
        <f>IF(Briefing_FID!BN45="","",Briefing_FID!BN45)</f>
        <v/>
      </c>
      <c r="BO45" s="3" t="str">
        <f>IF(Briefing_FID!BO45="","",Briefing_FID!BO45)</f>
        <v/>
      </c>
      <c r="BP45" s="28" t="str">
        <f>IF(Briefing_FID!BP45="","",Briefing_FID!BP45)</f>
        <v/>
      </c>
      <c r="BQ45" s="100" t="str">
        <f>IF(Briefing_FID!BQ45="","",Briefing_FID!BQ45)</f>
        <v/>
      </c>
      <c r="BR45" s="3" t="str">
        <f>IF(Briefing_FID!BR45="","",Briefing_FID!BR45)</f>
        <v/>
      </c>
      <c r="BS45" s="28" t="str">
        <f>IF(Briefing_FID!BS45="","",Briefing_FID!BS45)</f>
        <v/>
      </c>
      <c r="BT45" s="100" t="str">
        <f>IF(Briefing_FID!BT45="","",Briefing_FID!BT45)</f>
        <v/>
      </c>
      <c r="BU45" s="3" t="str">
        <f>IF(Briefing_FID!BU45="","",Briefing_FID!BU45)</f>
        <v/>
      </c>
      <c r="BV45" s="28" t="str">
        <f>IF(Briefing_FID!BV45="","",Briefing_FID!BV45)</f>
        <v/>
      </c>
      <c r="BW45" s="100" t="str">
        <f>IF(Briefing_FID!BW45="","",Briefing_FID!BW45)</f>
        <v/>
      </c>
      <c r="BX45" s="3" t="str">
        <f>IF(Briefing_FID!BX45="","",Briefing_FID!BX45)</f>
        <v/>
      </c>
      <c r="BY45" s="28" t="str">
        <f>IF(Briefing_FID!BY45="","",Briefing_FID!BY45)</f>
        <v/>
      </c>
      <c r="BZ45" s="100" t="str">
        <f>IF(Briefing_FID!BZ45="","",Briefing_FID!BZ45)</f>
        <v/>
      </c>
      <c r="CA45" s="3" t="str">
        <f>IF(Briefing_FID!CA45="","",Briefing_FID!CA45)</f>
        <v/>
      </c>
      <c r="CB45" s="28" t="str">
        <f>IF(Briefing_FID!CB45="","",Briefing_FID!CB45)</f>
        <v/>
      </c>
      <c r="CC45" s="100" t="str">
        <f>IF(Briefing_FID!CC45="","",Briefing_FID!CC45)</f>
        <v/>
      </c>
      <c r="CD45" s="3" t="str">
        <f>IF(Briefing_FID!CD45="","",Briefing_FID!CD45)</f>
        <v/>
      </c>
      <c r="CE45" s="28" t="str">
        <f>IF(Briefing_FID!CE45="","",Briefing_FID!CE45)</f>
        <v/>
      </c>
      <c r="CF45" s="100" t="str">
        <f>IF(Briefing_FID!CF45="","",Briefing_FID!CF45)</f>
        <v/>
      </c>
      <c r="CG45" s="3" t="str">
        <f>IF(Briefing_FID!CG45="","",Briefing_FID!CG45)</f>
        <v/>
      </c>
      <c r="CH45" s="28" t="str">
        <f>IF(Briefing_FID!CH45="","",Briefing_FID!CH45)</f>
        <v/>
      </c>
      <c r="CI45" s="100" t="str">
        <f>IF(Briefing_FID!CI45="","",Briefing_FID!CI45)</f>
        <v/>
      </c>
      <c r="CJ45" s="3" t="str">
        <f>IF(Briefing_FID!CJ45="","",Briefing_FID!CJ45)</f>
        <v/>
      </c>
      <c r="CK45" s="28" t="str">
        <f>IF(Briefing_FID!CK45="","",Briefing_FID!CK45)</f>
        <v/>
      </c>
      <c r="CL45" s="100" t="str">
        <f>IF(Briefing_FID!CL45="","",Briefing_FID!CL45)</f>
        <v/>
      </c>
      <c r="CM45" s="3" t="str">
        <f>IF(Briefing_FID!CM45="","",Briefing_FID!CM45)</f>
        <v/>
      </c>
      <c r="CN45" s="28" t="str">
        <f>IF(Briefing_FID!CN45="","",Briefing_FID!CN45)</f>
        <v/>
      </c>
      <c r="CO45" s="100" t="str">
        <f>IF(Briefing_FID!CO45="","",Briefing_FID!CO45)</f>
        <v/>
      </c>
      <c r="CP45" s="3" t="str">
        <f>IF(Briefing_FID!CP45="","",Briefing_FID!CP45)</f>
        <v/>
      </c>
      <c r="CQ45" s="28" t="str">
        <f>IF(Briefing_FID!CQ45="","",Briefing_FID!CQ45)</f>
        <v/>
      </c>
      <c r="CR45" s="100" t="str">
        <f>IF(Briefing_FID!CR45="","",Briefing_FID!CR45)</f>
        <v/>
      </c>
      <c r="CS45" s="3" t="str">
        <f>IF(Briefing_FID!CS45="","",Briefing_FID!CS45)</f>
        <v/>
      </c>
      <c r="CT45" s="28" t="str">
        <f>IF(Briefing_FID!CT45="","",Briefing_FID!CT45)</f>
        <v/>
      </c>
      <c r="CU45" s="100" t="str">
        <f>IF(Briefing_FID!CU45="","",Briefing_FID!CU45)</f>
        <v/>
      </c>
      <c r="CV45" s="3" t="str">
        <f>IF(Briefing_FID!CV45="","",Briefing_FID!CV45)</f>
        <v/>
      </c>
      <c r="CW45" s="28" t="str">
        <f>IF(Briefing_FID!CW45="","",Briefing_FID!CW45)</f>
        <v/>
      </c>
      <c r="CX45" s="100" t="str">
        <f>IF(Briefing_FID!CX45="","",Briefing_FID!CX45)</f>
        <v/>
      </c>
      <c r="CY45" s="3" t="str">
        <f>IF(Briefing_FID!CY45="","",Briefing_FID!CY45)</f>
        <v/>
      </c>
      <c r="CZ45" s="28" t="str">
        <f>IF(Briefing_FID!CZ45="","",Briefing_FID!CZ45)</f>
        <v/>
      </c>
      <c r="DA45" s="100" t="str">
        <f>IF(Briefing_FID!DA45="","",Briefing_FID!DA45)</f>
        <v/>
      </c>
      <c r="DB45" s="3" t="str">
        <f>IF(Briefing_FID!DB45="","",Briefing_FID!DB45)</f>
        <v/>
      </c>
      <c r="DC45" s="28" t="str">
        <f>IF(Briefing_FID!DC45="","",Briefing_FID!DC45)</f>
        <v/>
      </c>
      <c r="DD45" s="100" t="str">
        <f>IF(Briefing_FID!DD45="","",Briefing_FID!DD45)</f>
        <v/>
      </c>
      <c r="DE45" s="3" t="str">
        <f>IF(Briefing_FID!DE45="","",Briefing_FID!DE45)</f>
        <v/>
      </c>
      <c r="DF45" s="28" t="str">
        <f>IF(Briefing_FID!DF45="","",Briefing_FID!DF45)</f>
        <v/>
      </c>
      <c r="DG45" s="100" t="str">
        <f>IF(Briefing_FID!DG45="","",Briefing_FID!DG45)</f>
        <v/>
      </c>
      <c r="DH45" s="3" t="str">
        <f>IF(Briefing_FID!DH45="","",Briefing_FID!DH45)</f>
        <v/>
      </c>
      <c r="DI45" s="28" t="str">
        <f>IF(Briefing_FID!DI45="","",Briefing_FID!DI45)</f>
        <v/>
      </c>
      <c r="DJ45" s="100" t="str">
        <f>IF(Briefing_FID!DJ45="","",Briefing_FID!DJ45)</f>
        <v/>
      </c>
      <c r="DK45" s="3" t="str">
        <f>IF(Briefing_FID!DK45="","",Briefing_FID!DK45)</f>
        <v/>
      </c>
      <c r="DL45" s="28" t="str">
        <f>IF(Briefing_FID!DL45="","",Briefing_FID!DL45)</f>
        <v/>
      </c>
      <c r="DM45" s="100" t="str">
        <f>IF(Briefing_FID!DM45="","",Briefing_FID!DM45)</f>
        <v/>
      </c>
      <c r="DN45" s="3" t="str">
        <f>IF(Briefing_FID!DN45="","",Briefing_FID!DN45)</f>
        <v/>
      </c>
      <c r="DO45" s="28" t="str">
        <f>IF(Briefing_FID!DO45="","",Briefing_FID!DO45)</f>
        <v/>
      </c>
      <c r="DP45" s="100" t="str">
        <f>IF(Briefing_FID!DP45="","",Briefing_FID!DP45)</f>
        <v/>
      </c>
      <c r="DQ45" s="3" t="str">
        <f>IF(Briefing_FID!DQ45="","",Briefing_FID!DQ45)</f>
        <v/>
      </c>
      <c r="DR45" s="28" t="str">
        <f>IF(Briefing_FID!DR45="","",Briefing_FID!DR45)</f>
        <v/>
      </c>
      <c r="DS45" s="100" t="str">
        <f>IF(Briefing_FID!DS45="","",Briefing_FID!DS45)</f>
        <v/>
      </c>
      <c r="DT45" s="3" t="str">
        <f>IF(Briefing_FID!DT45="","",Briefing_FID!DT45)</f>
        <v/>
      </c>
      <c r="DU45" s="28" t="str">
        <f>IF(Briefing_FID!DU45="","",Briefing_FID!DU45)</f>
        <v/>
      </c>
      <c r="DV45" s="100" t="str">
        <f>IF(Briefing_FID!DV45="","",Briefing_FID!DV45)</f>
        <v/>
      </c>
      <c r="DW45" s="3" t="str">
        <f>IF(Briefing_FID!DW45="","",Briefing_FID!DW45)</f>
        <v/>
      </c>
      <c r="DX45" s="28" t="str">
        <f>IF(Briefing_FID!DX45="","",Briefing_FID!DX45)</f>
        <v/>
      </c>
      <c r="DY45" s="100" t="str">
        <f>IF(Briefing_FID!DY45="","",Briefing_FID!DY45)</f>
        <v/>
      </c>
      <c r="DZ45" s="3" t="str">
        <f>IF(Briefing_FID!DZ45="","",Briefing_FID!DZ45)</f>
        <v/>
      </c>
      <c r="EA45" s="28" t="str">
        <f>IF(Briefing_FID!EA45="","",Briefing_FID!EA45)</f>
        <v/>
      </c>
      <c r="EB45" s="100" t="str">
        <f>IF(Briefing_FID!EB45="","",Briefing_FID!EB45)</f>
        <v/>
      </c>
      <c r="EC45" s="3" t="str">
        <f>IF(Briefing_FID!EC45="","",Briefing_FID!EC45)</f>
        <v/>
      </c>
      <c r="ED45" s="28" t="str">
        <f>IF(Briefing_FID!ED45="","",Briefing_FID!ED45)</f>
        <v/>
      </c>
      <c r="EE45" s="100" t="str">
        <f>IF(Briefing_FID!EE45="","",Briefing_FID!EE45)</f>
        <v/>
      </c>
      <c r="EF45" s="3" t="str">
        <f>IF(Briefing_FID!EF45="","",Briefing_FID!EF45)</f>
        <v/>
      </c>
      <c r="EG45" s="28" t="str">
        <f>IF(Briefing_FID!EG45="","",Briefing_FID!EG45)</f>
        <v/>
      </c>
      <c r="EH45" s="100" t="str">
        <f>IF(Briefing_FID!EH45="","",Briefing_FID!EH45)</f>
        <v/>
      </c>
      <c r="EI45" s="3" t="str">
        <f>IF(Briefing_FID!EI45="","",Briefing_FID!EI45)</f>
        <v/>
      </c>
      <c r="EJ45" s="28" t="str">
        <f>IF(Briefing_FID!EJ45="","",Briefing_FID!EJ45)</f>
        <v/>
      </c>
      <c r="EK45" s="100" t="str">
        <f>IF(Briefing_FID!EK45="","",Briefing_FID!EK45)</f>
        <v/>
      </c>
      <c r="EL45" s="3" t="str">
        <f>IF(Briefing_FID!EL45="","",Briefing_FID!EL45)</f>
        <v/>
      </c>
      <c r="EM45" s="28" t="str">
        <f>IF(Briefing_FID!EM45="","",Briefing_FID!EM45)</f>
        <v/>
      </c>
      <c r="EN45" s="100" t="str">
        <f>IF(Briefing_FID!EN45="","",Briefing_FID!EN45)</f>
        <v/>
      </c>
      <c r="EO45" s="3" t="str">
        <f>IF(Briefing_FID!EO45="","",Briefing_FID!EO45)</f>
        <v/>
      </c>
      <c r="EP45" s="28" t="str">
        <f>IF(Briefing_FID!EP45="","",Briefing_FID!EP45)</f>
        <v/>
      </c>
      <c r="EQ45" s="28" t="str">
        <f>IF(Briefing_FID!EQ45="","",Briefing_FID!EQ45)</f>
        <v/>
      </c>
      <c r="ER45" s="28" t="str">
        <f>IF(Briefing_FID!ER45="","",Briefing_FID!ER45)</f>
        <v/>
      </c>
      <c r="ES45" s="62"/>
      <c r="ET45" s="96" t="str">
        <f>IF(Briefing_FID!EZ45="","",Briefing_FID!EZ45)</f>
        <v/>
      </c>
      <c r="EU45" s="97" t="str">
        <f>IF(Briefing_FID!FA45="","",Briefing_FID!FA45)</f>
        <v/>
      </c>
      <c r="EV45" s="98" t="str">
        <f>IF(Briefing_FID!FB45="","",Briefing_FID!FB45)</f>
        <v/>
      </c>
      <c r="EW45" s="96" t="str">
        <f>IF(Briefing_FID!FC45="","",Briefing_FID!FC45)</f>
        <v/>
      </c>
      <c r="EX45" s="97" t="str">
        <f>IF(Briefing_FID!FD45="","",Briefing_FID!FD45)</f>
        <v/>
      </c>
      <c r="EY45" s="98" t="str">
        <f>IF(Briefing_FID!FE45="","",Briefing_FID!FE45)</f>
        <v/>
      </c>
      <c r="EZ45" s="104" t="str">
        <f>IF(Briefing_FID!FF45="","",Briefing_FID!FF45)</f>
        <v/>
      </c>
      <c r="FA45" s="144" t="str">
        <f>IF(Briefing_FID!FG45="","",Briefing_FID!FG45)</f>
        <v/>
      </c>
      <c r="FB45" s="144" t="str">
        <f>IF(Briefing_FID!FH45="","",Briefing_FID!FH45)</f>
        <v/>
      </c>
      <c r="FC45" s="144" t="str">
        <f>IF(Briefing_FID!FI45="","",Briefing_FID!FI45)</f>
        <v/>
      </c>
      <c r="FD45" s="144" t="str">
        <f>IF(Briefing_FID!FJ45="","",Briefing_FID!FJ45)</f>
        <v/>
      </c>
      <c r="FE45" s="144" t="str">
        <f>IF(Briefing_FID!FK45="","",Briefing_FID!FK45)</f>
        <v/>
      </c>
      <c r="FF45" s="144" t="str">
        <f>IF(Briefing_FID!FL45="","",Briefing_FID!FL45)</f>
        <v/>
      </c>
      <c r="FG45" s="144" t="str">
        <f>IF(Briefing_FID!FM45="","",Briefing_FID!FM45)</f>
        <v/>
      </c>
      <c r="FH45" s="144" t="str">
        <f>IF(Briefing_FID!FN45="","",Briefing_FID!FN45)</f>
        <v/>
      </c>
      <c r="FI45" s="144" t="str">
        <f>IF(Briefing_FID!FO45="","",Briefing_FID!FO45)</f>
        <v/>
      </c>
      <c r="FJ45" s="144" t="str">
        <f>IF(Briefing_FID!FP45="","",Briefing_FID!FP45)</f>
        <v/>
      </c>
      <c r="FK45" s="144" t="str">
        <f>IF(Briefing_FID!FQ45="","",Briefing_FID!FQ45)</f>
        <v/>
      </c>
      <c r="FL45" s="144" t="str">
        <f>IF(Briefing_FID!FR45="","",Briefing_FID!FR45)</f>
        <v/>
      </c>
      <c r="FM45" s="144" t="str">
        <f>IF(Briefing_FID!FS45="","",Briefing_FID!FS45)</f>
        <v/>
      </c>
      <c r="FN45" s="144" t="str">
        <f>IF(Briefing_FID!FT45="","",Briefing_FID!FT45)</f>
        <v/>
      </c>
      <c r="FO45" s="144" t="str">
        <f>IF(Briefing_FID!FU45="","",Briefing_FID!FU45)</f>
        <v/>
      </c>
      <c r="FP45" s="144" t="str">
        <f>IF(Briefing_FID!FV45="","",Briefing_FID!FV45)</f>
        <v/>
      </c>
      <c r="FQ45" s="144" t="str">
        <f>IF(Briefing_FID!FW45="","",Briefing_FID!FW45)</f>
        <v/>
      </c>
      <c r="FR45" s="151"/>
      <c r="FS45" s="152"/>
      <c r="FT45" s="152"/>
      <c r="FU45" s="152"/>
      <c r="FV45" s="152"/>
      <c r="FW45" s="152"/>
      <c r="FX45" s="152"/>
      <c r="FY45" s="152"/>
      <c r="FZ45" s="152"/>
      <c r="GA45" s="153"/>
    </row>
    <row r="46" spans="1:183">
      <c r="A46" s="136" t="str">
        <f>IF(Briefing_FID!A46="","",Briefing_FID!A46)</f>
        <v/>
      </c>
      <c r="B46" s="137" t="str">
        <f>IF(Briefing_FID!B46="","",Briefing_FID!B46)</f>
        <v/>
      </c>
      <c r="C46" s="137" t="str">
        <f>IF(Briefing_FID!C46="","",Briefing_FID!C46)</f>
        <v/>
      </c>
      <c r="D46" s="46"/>
      <c r="E46" s="120"/>
      <c r="F46" s="117"/>
      <c r="G46" s="117"/>
      <c r="H46" s="72"/>
      <c r="I46" s="72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23"/>
      <c r="AD46" s="117"/>
      <c r="AE46" s="117"/>
      <c r="AF46" s="117"/>
      <c r="AG46" s="117"/>
      <c r="AH46" s="117"/>
      <c r="AI46" s="117"/>
      <c r="AJ46" s="117"/>
      <c r="AK46" s="117"/>
      <c r="AL46" s="124"/>
      <c r="AM46" s="37"/>
      <c r="AN46" s="38"/>
      <c r="AO46" s="39"/>
      <c r="AP46" s="111" t="str">
        <f>IF(Briefing_FID!AP46="","",Briefing_FID!AP46)</f>
        <v/>
      </c>
      <c r="AQ46" s="112" t="str">
        <f>IF(Briefing_FID!AQ46="","",Briefing_FID!AQ46)</f>
        <v/>
      </c>
      <c r="AR46" s="107" t="str">
        <f>IF(Briefing_FID!AR46="","",Briefing_FID!AR46)</f>
        <v/>
      </c>
      <c r="AS46" s="108" t="str">
        <f>IF(Briefing_FID!AS46="","",Briefing_FID!AS46)</f>
        <v/>
      </c>
      <c r="AT46" s="113" t="str">
        <f>IF(Briefing_FID!AT46="","",Briefing_FID!AT46)</f>
        <v/>
      </c>
      <c r="AU46" s="113" t="str">
        <f>IF(Briefing_FID!AU46="","",Briefing_FID!AU46)</f>
        <v/>
      </c>
      <c r="AV46" s="113" t="str">
        <f>IF(Briefing_FID!AV46="","",Briefing_FID!AV46)</f>
        <v/>
      </c>
      <c r="AW46" s="113" t="str">
        <f>IF(Briefing_FID!AW46="","",Briefing_FID!AW46)</f>
        <v/>
      </c>
      <c r="AX46" s="114" t="str">
        <f>IF(Briefing_FID!AX46="","",Briefing_FID!AX46)</f>
        <v/>
      </c>
      <c r="AY46" s="71"/>
      <c r="AZ46" s="117" t="str">
        <f>IF(Briefing_FID!AZ46="","",Briefing_FID!AZ46)</f>
        <v/>
      </c>
      <c r="BA46" s="118" t="str">
        <f>IF(Briefing_FID!BA46="","",Briefing_FID!BA46)</f>
        <v/>
      </c>
      <c r="BB46" s="55"/>
      <c r="BC46" s="102" t="str">
        <f>IF(Briefing_FID!BC46="","",Briefing_FID!BC46)</f>
        <v/>
      </c>
      <c r="BD46" s="27" t="str">
        <f>IF(Briefing_FID!BD46="","",Briefing_FID!BD46)</f>
        <v/>
      </c>
      <c r="BE46" s="100" t="str">
        <f>IF(Briefing_FID!BE46="","",Briefing_FID!BE46)</f>
        <v/>
      </c>
      <c r="BF46" s="3" t="str">
        <f>IF(Briefing_FID!BF46="","",Briefing_FID!BF46)</f>
        <v/>
      </c>
      <c r="BG46" s="10" t="str">
        <f>IF(Briefing_FID!BG46="","",Briefing_FID!BG46)</f>
        <v/>
      </c>
      <c r="BH46" s="100" t="str">
        <f>IF(Briefing_FID!BH46="","",Briefing_FID!BH46)</f>
        <v/>
      </c>
      <c r="BI46" s="3" t="str">
        <f>IF(Briefing_FID!BI46="","",Briefing_FID!BI46)</f>
        <v/>
      </c>
      <c r="BJ46" s="10" t="str">
        <f>IF(Briefing_FID!BJ46="","",Briefing_FID!BJ46)</f>
        <v/>
      </c>
      <c r="BK46" s="100" t="str">
        <f>IF(Briefing_FID!BK46="","",Briefing_FID!BK46)</f>
        <v/>
      </c>
      <c r="BL46" s="3" t="str">
        <f>IF(Briefing_FID!BL46="","",Briefing_FID!BL46)</f>
        <v/>
      </c>
      <c r="BM46" s="28" t="str">
        <f>IF(Briefing_FID!BM46="","",Briefing_FID!BM46)</f>
        <v/>
      </c>
      <c r="BN46" s="100" t="str">
        <f>IF(Briefing_FID!BN46="","",Briefing_FID!BN46)</f>
        <v/>
      </c>
      <c r="BO46" s="3" t="str">
        <f>IF(Briefing_FID!BO46="","",Briefing_FID!BO46)</f>
        <v/>
      </c>
      <c r="BP46" s="28" t="str">
        <f>IF(Briefing_FID!BP46="","",Briefing_FID!BP46)</f>
        <v/>
      </c>
      <c r="BQ46" s="100" t="str">
        <f>IF(Briefing_FID!BQ46="","",Briefing_FID!BQ46)</f>
        <v/>
      </c>
      <c r="BR46" s="3" t="str">
        <f>IF(Briefing_FID!BR46="","",Briefing_FID!BR46)</f>
        <v/>
      </c>
      <c r="BS46" s="28" t="str">
        <f>IF(Briefing_FID!BS46="","",Briefing_FID!BS46)</f>
        <v/>
      </c>
      <c r="BT46" s="100" t="str">
        <f>IF(Briefing_FID!BT46="","",Briefing_FID!BT46)</f>
        <v/>
      </c>
      <c r="BU46" s="3" t="str">
        <f>IF(Briefing_FID!BU46="","",Briefing_FID!BU46)</f>
        <v/>
      </c>
      <c r="BV46" s="28" t="str">
        <f>IF(Briefing_FID!BV46="","",Briefing_FID!BV46)</f>
        <v/>
      </c>
      <c r="BW46" s="100" t="str">
        <f>IF(Briefing_FID!BW46="","",Briefing_FID!BW46)</f>
        <v/>
      </c>
      <c r="BX46" s="3" t="str">
        <f>IF(Briefing_FID!BX46="","",Briefing_FID!BX46)</f>
        <v/>
      </c>
      <c r="BY46" s="28" t="str">
        <f>IF(Briefing_FID!BY46="","",Briefing_FID!BY46)</f>
        <v/>
      </c>
      <c r="BZ46" s="100" t="str">
        <f>IF(Briefing_FID!BZ46="","",Briefing_FID!BZ46)</f>
        <v/>
      </c>
      <c r="CA46" s="3" t="str">
        <f>IF(Briefing_FID!CA46="","",Briefing_FID!CA46)</f>
        <v/>
      </c>
      <c r="CB46" s="28" t="str">
        <f>IF(Briefing_FID!CB46="","",Briefing_FID!CB46)</f>
        <v/>
      </c>
      <c r="CC46" s="100" t="str">
        <f>IF(Briefing_FID!CC46="","",Briefing_FID!CC46)</f>
        <v/>
      </c>
      <c r="CD46" s="3" t="str">
        <f>IF(Briefing_FID!CD46="","",Briefing_FID!CD46)</f>
        <v/>
      </c>
      <c r="CE46" s="28" t="str">
        <f>IF(Briefing_FID!CE46="","",Briefing_FID!CE46)</f>
        <v/>
      </c>
      <c r="CF46" s="100" t="str">
        <f>IF(Briefing_FID!CF46="","",Briefing_FID!CF46)</f>
        <v/>
      </c>
      <c r="CG46" s="3" t="str">
        <f>IF(Briefing_FID!CG46="","",Briefing_FID!CG46)</f>
        <v/>
      </c>
      <c r="CH46" s="28" t="str">
        <f>IF(Briefing_FID!CH46="","",Briefing_FID!CH46)</f>
        <v/>
      </c>
      <c r="CI46" s="100" t="str">
        <f>IF(Briefing_FID!CI46="","",Briefing_FID!CI46)</f>
        <v/>
      </c>
      <c r="CJ46" s="3" t="str">
        <f>IF(Briefing_FID!CJ46="","",Briefing_FID!CJ46)</f>
        <v/>
      </c>
      <c r="CK46" s="28" t="str">
        <f>IF(Briefing_FID!CK46="","",Briefing_FID!CK46)</f>
        <v/>
      </c>
      <c r="CL46" s="100" t="str">
        <f>IF(Briefing_FID!CL46="","",Briefing_FID!CL46)</f>
        <v/>
      </c>
      <c r="CM46" s="3" t="str">
        <f>IF(Briefing_FID!CM46="","",Briefing_FID!CM46)</f>
        <v/>
      </c>
      <c r="CN46" s="28" t="str">
        <f>IF(Briefing_FID!CN46="","",Briefing_FID!CN46)</f>
        <v/>
      </c>
      <c r="CO46" s="100" t="str">
        <f>IF(Briefing_FID!CO46="","",Briefing_FID!CO46)</f>
        <v/>
      </c>
      <c r="CP46" s="3" t="str">
        <f>IF(Briefing_FID!CP46="","",Briefing_FID!CP46)</f>
        <v/>
      </c>
      <c r="CQ46" s="28" t="str">
        <f>IF(Briefing_FID!CQ46="","",Briefing_FID!CQ46)</f>
        <v/>
      </c>
      <c r="CR46" s="100" t="str">
        <f>IF(Briefing_FID!CR46="","",Briefing_FID!CR46)</f>
        <v/>
      </c>
      <c r="CS46" s="3" t="str">
        <f>IF(Briefing_FID!CS46="","",Briefing_FID!CS46)</f>
        <v/>
      </c>
      <c r="CT46" s="28" t="str">
        <f>IF(Briefing_FID!CT46="","",Briefing_FID!CT46)</f>
        <v/>
      </c>
      <c r="CU46" s="100" t="str">
        <f>IF(Briefing_FID!CU46="","",Briefing_FID!CU46)</f>
        <v/>
      </c>
      <c r="CV46" s="3" t="str">
        <f>IF(Briefing_FID!CV46="","",Briefing_FID!CV46)</f>
        <v/>
      </c>
      <c r="CW46" s="28" t="str">
        <f>IF(Briefing_FID!CW46="","",Briefing_FID!CW46)</f>
        <v/>
      </c>
      <c r="CX46" s="100" t="str">
        <f>IF(Briefing_FID!CX46="","",Briefing_FID!CX46)</f>
        <v/>
      </c>
      <c r="CY46" s="3" t="str">
        <f>IF(Briefing_FID!CY46="","",Briefing_FID!CY46)</f>
        <v/>
      </c>
      <c r="CZ46" s="28" t="str">
        <f>IF(Briefing_FID!CZ46="","",Briefing_FID!CZ46)</f>
        <v/>
      </c>
      <c r="DA46" s="100" t="str">
        <f>IF(Briefing_FID!DA46="","",Briefing_FID!DA46)</f>
        <v/>
      </c>
      <c r="DB46" s="3" t="str">
        <f>IF(Briefing_FID!DB46="","",Briefing_FID!DB46)</f>
        <v/>
      </c>
      <c r="DC46" s="28" t="str">
        <f>IF(Briefing_FID!DC46="","",Briefing_FID!DC46)</f>
        <v/>
      </c>
      <c r="DD46" s="100" t="str">
        <f>IF(Briefing_FID!DD46="","",Briefing_FID!DD46)</f>
        <v/>
      </c>
      <c r="DE46" s="3" t="str">
        <f>IF(Briefing_FID!DE46="","",Briefing_FID!DE46)</f>
        <v/>
      </c>
      <c r="DF46" s="28" t="str">
        <f>IF(Briefing_FID!DF46="","",Briefing_FID!DF46)</f>
        <v/>
      </c>
      <c r="DG46" s="100" t="str">
        <f>IF(Briefing_FID!DG46="","",Briefing_FID!DG46)</f>
        <v/>
      </c>
      <c r="DH46" s="3" t="str">
        <f>IF(Briefing_FID!DH46="","",Briefing_FID!DH46)</f>
        <v/>
      </c>
      <c r="DI46" s="28" t="str">
        <f>IF(Briefing_FID!DI46="","",Briefing_FID!DI46)</f>
        <v/>
      </c>
      <c r="DJ46" s="100" t="str">
        <f>IF(Briefing_FID!DJ46="","",Briefing_FID!DJ46)</f>
        <v/>
      </c>
      <c r="DK46" s="3" t="str">
        <f>IF(Briefing_FID!DK46="","",Briefing_FID!DK46)</f>
        <v/>
      </c>
      <c r="DL46" s="28" t="str">
        <f>IF(Briefing_FID!DL46="","",Briefing_FID!DL46)</f>
        <v/>
      </c>
      <c r="DM46" s="100" t="str">
        <f>IF(Briefing_FID!DM46="","",Briefing_FID!DM46)</f>
        <v/>
      </c>
      <c r="DN46" s="3" t="str">
        <f>IF(Briefing_FID!DN46="","",Briefing_FID!DN46)</f>
        <v/>
      </c>
      <c r="DO46" s="28" t="str">
        <f>IF(Briefing_FID!DO46="","",Briefing_FID!DO46)</f>
        <v/>
      </c>
      <c r="DP46" s="100" t="str">
        <f>IF(Briefing_FID!DP46="","",Briefing_FID!DP46)</f>
        <v/>
      </c>
      <c r="DQ46" s="3" t="str">
        <f>IF(Briefing_FID!DQ46="","",Briefing_FID!DQ46)</f>
        <v/>
      </c>
      <c r="DR46" s="28" t="str">
        <f>IF(Briefing_FID!DR46="","",Briefing_FID!DR46)</f>
        <v/>
      </c>
      <c r="DS46" s="100" t="str">
        <f>IF(Briefing_FID!DS46="","",Briefing_FID!DS46)</f>
        <v/>
      </c>
      <c r="DT46" s="3" t="str">
        <f>IF(Briefing_FID!DT46="","",Briefing_FID!DT46)</f>
        <v/>
      </c>
      <c r="DU46" s="28" t="str">
        <f>IF(Briefing_FID!DU46="","",Briefing_FID!DU46)</f>
        <v/>
      </c>
      <c r="DV46" s="100" t="str">
        <f>IF(Briefing_FID!DV46="","",Briefing_FID!DV46)</f>
        <v/>
      </c>
      <c r="DW46" s="3" t="str">
        <f>IF(Briefing_FID!DW46="","",Briefing_FID!DW46)</f>
        <v/>
      </c>
      <c r="DX46" s="28" t="str">
        <f>IF(Briefing_FID!DX46="","",Briefing_FID!DX46)</f>
        <v/>
      </c>
      <c r="DY46" s="100" t="str">
        <f>IF(Briefing_FID!DY46="","",Briefing_FID!DY46)</f>
        <v/>
      </c>
      <c r="DZ46" s="3" t="str">
        <f>IF(Briefing_FID!DZ46="","",Briefing_FID!DZ46)</f>
        <v/>
      </c>
      <c r="EA46" s="28" t="str">
        <f>IF(Briefing_FID!EA46="","",Briefing_FID!EA46)</f>
        <v/>
      </c>
      <c r="EB46" s="100" t="str">
        <f>IF(Briefing_FID!EB46="","",Briefing_FID!EB46)</f>
        <v/>
      </c>
      <c r="EC46" s="3" t="str">
        <f>IF(Briefing_FID!EC46="","",Briefing_FID!EC46)</f>
        <v/>
      </c>
      <c r="ED46" s="28" t="str">
        <f>IF(Briefing_FID!ED46="","",Briefing_FID!ED46)</f>
        <v/>
      </c>
      <c r="EE46" s="100" t="str">
        <f>IF(Briefing_FID!EE46="","",Briefing_FID!EE46)</f>
        <v/>
      </c>
      <c r="EF46" s="3" t="str">
        <f>IF(Briefing_FID!EF46="","",Briefing_FID!EF46)</f>
        <v/>
      </c>
      <c r="EG46" s="28" t="str">
        <f>IF(Briefing_FID!EG46="","",Briefing_FID!EG46)</f>
        <v/>
      </c>
      <c r="EH46" s="100" t="str">
        <f>IF(Briefing_FID!EH46="","",Briefing_FID!EH46)</f>
        <v/>
      </c>
      <c r="EI46" s="3" t="str">
        <f>IF(Briefing_FID!EI46="","",Briefing_FID!EI46)</f>
        <v/>
      </c>
      <c r="EJ46" s="28" t="str">
        <f>IF(Briefing_FID!EJ46="","",Briefing_FID!EJ46)</f>
        <v/>
      </c>
      <c r="EK46" s="100" t="str">
        <f>IF(Briefing_FID!EK46="","",Briefing_FID!EK46)</f>
        <v/>
      </c>
      <c r="EL46" s="3" t="str">
        <f>IF(Briefing_FID!EL46="","",Briefing_FID!EL46)</f>
        <v/>
      </c>
      <c r="EM46" s="28" t="str">
        <f>IF(Briefing_FID!EM46="","",Briefing_FID!EM46)</f>
        <v/>
      </c>
      <c r="EN46" s="100" t="str">
        <f>IF(Briefing_FID!EN46="","",Briefing_FID!EN46)</f>
        <v/>
      </c>
      <c r="EO46" s="3" t="str">
        <f>IF(Briefing_FID!EO46="","",Briefing_FID!EO46)</f>
        <v/>
      </c>
      <c r="EP46" s="28" t="str">
        <f>IF(Briefing_FID!EP46="","",Briefing_FID!EP46)</f>
        <v/>
      </c>
      <c r="EQ46" s="28" t="str">
        <f>IF(Briefing_FID!EQ46="","",Briefing_FID!EQ46)</f>
        <v/>
      </c>
      <c r="ER46" s="28" t="str">
        <f>IF(Briefing_FID!ER46="","",Briefing_FID!ER46)</f>
        <v/>
      </c>
      <c r="ES46" s="62"/>
      <c r="ET46" s="96" t="str">
        <f>IF(Briefing_FID!EZ46="","",Briefing_FID!EZ46)</f>
        <v/>
      </c>
      <c r="EU46" s="97" t="str">
        <f>IF(Briefing_FID!FA46="","",Briefing_FID!FA46)</f>
        <v/>
      </c>
      <c r="EV46" s="98" t="str">
        <f>IF(Briefing_FID!FB46="","",Briefing_FID!FB46)</f>
        <v/>
      </c>
      <c r="EW46" s="96" t="str">
        <f>IF(Briefing_FID!FC46="","",Briefing_FID!FC46)</f>
        <v/>
      </c>
      <c r="EX46" s="97" t="str">
        <f>IF(Briefing_FID!FD46="","",Briefing_FID!FD46)</f>
        <v/>
      </c>
      <c r="EY46" s="98" t="str">
        <f>IF(Briefing_FID!FE46="","",Briefing_FID!FE46)</f>
        <v/>
      </c>
      <c r="EZ46" s="104" t="str">
        <f>IF(Briefing_FID!FF46="","",Briefing_FID!FF46)</f>
        <v/>
      </c>
      <c r="FA46" s="144" t="str">
        <f>IF(Briefing_FID!FG46="","",Briefing_FID!FG46)</f>
        <v/>
      </c>
      <c r="FB46" s="144" t="str">
        <f>IF(Briefing_FID!FH46="","",Briefing_FID!FH46)</f>
        <v/>
      </c>
      <c r="FC46" s="144" t="str">
        <f>IF(Briefing_FID!FI46="","",Briefing_FID!FI46)</f>
        <v/>
      </c>
      <c r="FD46" s="144" t="str">
        <f>IF(Briefing_FID!FJ46="","",Briefing_FID!FJ46)</f>
        <v/>
      </c>
      <c r="FE46" s="144" t="str">
        <f>IF(Briefing_FID!FK46="","",Briefing_FID!FK46)</f>
        <v/>
      </c>
      <c r="FF46" s="144" t="str">
        <f>IF(Briefing_FID!FL46="","",Briefing_FID!FL46)</f>
        <v/>
      </c>
      <c r="FG46" s="144" t="str">
        <f>IF(Briefing_FID!FM46="","",Briefing_FID!FM46)</f>
        <v/>
      </c>
      <c r="FH46" s="144" t="str">
        <f>IF(Briefing_FID!FN46="","",Briefing_FID!FN46)</f>
        <v/>
      </c>
      <c r="FI46" s="144" t="str">
        <f>IF(Briefing_FID!FO46="","",Briefing_FID!FO46)</f>
        <v/>
      </c>
      <c r="FJ46" s="144" t="str">
        <f>IF(Briefing_FID!FP46="","",Briefing_FID!FP46)</f>
        <v/>
      </c>
      <c r="FK46" s="144" t="str">
        <f>IF(Briefing_FID!FQ46="","",Briefing_FID!FQ46)</f>
        <v/>
      </c>
      <c r="FL46" s="144" t="str">
        <f>IF(Briefing_FID!FR46="","",Briefing_FID!FR46)</f>
        <v/>
      </c>
      <c r="FM46" s="144" t="str">
        <f>IF(Briefing_FID!FS46="","",Briefing_FID!FS46)</f>
        <v/>
      </c>
      <c r="FN46" s="144" t="str">
        <f>IF(Briefing_FID!FT46="","",Briefing_FID!FT46)</f>
        <v/>
      </c>
      <c r="FO46" s="144" t="str">
        <f>IF(Briefing_FID!FU46="","",Briefing_FID!FU46)</f>
        <v/>
      </c>
      <c r="FP46" s="144" t="str">
        <f>IF(Briefing_FID!FV46="","",Briefing_FID!FV46)</f>
        <v/>
      </c>
      <c r="FQ46" s="144" t="str">
        <f>IF(Briefing_FID!FW46="","",Briefing_FID!FW46)</f>
        <v/>
      </c>
      <c r="FR46" s="151"/>
      <c r="FS46" s="152"/>
      <c r="FT46" s="152"/>
      <c r="FU46" s="152"/>
      <c r="FV46" s="152"/>
      <c r="FW46" s="152"/>
      <c r="FX46" s="152"/>
      <c r="FY46" s="152"/>
      <c r="FZ46" s="152"/>
      <c r="GA46" s="153"/>
    </row>
    <row r="47" spans="1:183">
      <c r="A47" s="136" t="str">
        <f>IF(Briefing_FID!A47="","",Briefing_FID!A47)</f>
        <v/>
      </c>
      <c r="B47" s="137" t="str">
        <f>IF(Briefing_FID!B47="","",Briefing_FID!B47)</f>
        <v/>
      </c>
      <c r="C47" s="137" t="str">
        <f>IF(Briefing_FID!C47="","",Briefing_FID!C47)</f>
        <v/>
      </c>
      <c r="D47" s="46"/>
      <c r="E47" s="120"/>
      <c r="F47" s="117"/>
      <c r="G47" s="117"/>
      <c r="H47" s="72"/>
      <c r="I47" s="72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23"/>
      <c r="AD47" s="117"/>
      <c r="AE47" s="117"/>
      <c r="AF47" s="117"/>
      <c r="AG47" s="117"/>
      <c r="AH47" s="117"/>
      <c r="AI47" s="117"/>
      <c r="AJ47" s="117"/>
      <c r="AK47" s="117"/>
      <c r="AL47" s="124"/>
      <c r="AM47" s="37"/>
      <c r="AN47" s="38"/>
      <c r="AO47" s="39"/>
      <c r="AP47" s="111" t="str">
        <f>IF(Briefing_FID!AP47="","",Briefing_FID!AP47)</f>
        <v/>
      </c>
      <c r="AQ47" s="112" t="str">
        <f>IF(Briefing_FID!AQ47="","",Briefing_FID!AQ47)</f>
        <v/>
      </c>
      <c r="AR47" s="107" t="str">
        <f>IF(Briefing_FID!AR47="","",Briefing_FID!AR47)</f>
        <v/>
      </c>
      <c r="AS47" s="108" t="str">
        <f>IF(Briefing_FID!AS47="","",Briefing_FID!AS47)</f>
        <v/>
      </c>
      <c r="AT47" s="113" t="str">
        <f>IF(Briefing_FID!AT47="","",Briefing_FID!AT47)</f>
        <v/>
      </c>
      <c r="AU47" s="113" t="str">
        <f>IF(Briefing_FID!AU47="","",Briefing_FID!AU47)</f>
        <v/>
      </c>
      <c r="AV47" s="113" t="str">
        <f>IF(Briefing_FID!AV47="","",Briefing_FID!AV47)</f>
        <v/>
      </c>
      <c r="AW47" s="113" t="str">
        <f>IF(Briefing_FID!AW47="","",Briefing_FID!AW47)</f>
        <v/>
      </c>
      <c r="AX47" s="114" t="str">
        <f>IF(Briefing_FID!AX47="","",Briefing_FID!AX47)</f>
        <v/>
      </c>
      <c r="AY47" s="71"/>
      <c r="AZ47" s="117" t="str">
        <f>IF(Briefing_FID!AZ47="","",Briefing_FID!AZ47)</f>
        <v/>
      </c>
      <c r="BA47" s="118" t="str">
        <f>IF(Briefing_FID!BA47="","",Briefing_FID!BA47)</f>
        <v/>
      </c>
      <c r="BB47" s="55"/>
      <c r="BC47" s="102" t="str">
        <f>IF(Briefing_FID!BC47="","",Briefing_FID!BC47)</f>
        <v/>
      </c>
      <c r="BD47" s="27" t="str">
        <f>IF(Briefing_FID!BD47="","",Briefing_FID!BD47)</f>
        <v/>
      </c>
      <c r="BE47" s="100" t="str">
        <f>IF(Briefing_FID!BE47="","",Briefing_FID!BE47)</f>
        <v/>
      </c>
      <c r="BF47" s="3" t="str">
        <f>IF(Briefing_FID!BF47="","",Briefing_FID!BF47)</f>
        <v/>
      </c>
      <c r="BG47" s="10" t="str">
        <f>IF(Briefing_FID!BG47="","",Briefing_FID!BG47)</f>
        <v/>
      </c>
      <c r="BH47" s="100" t="str">
        <f>IF(Briefing_FID!BH47="","",Briefing_FID!BH47)</f>
        <v/>
      </c>
      <c r="BI47" s="3" t="str">
        <f>IF(Briefing_FID!BI47="","",Briefing_FID!BI47)</f>
        <v/>
      </c>
      <c r="BJ47" s="10" t="str">
        <f>IF(Briefing_FID!BJ47="","",Briefing_FID!BJ47)</f>
        <v/>
      </c>
      <c r="BK47" s="100" t="str">
        <f>IF(Briefing_FID!BK47="","",Briefing_FID!BK47)</f>
        <v/>
      </c>
      <c r="BL47" s="3" t="str">
        <f>IF(Briefing_FID!BL47="","",Briefing_FID!BL47)</f>
        <v/>
      </c>
      <c r="BM47" s="28" t="str">
        <f>IF(Briefing_FID!BM47="","",Briefing_FID!BM47)</f>
        <v/>
      </c>
      <c r="BN47" s="100" t="str">
        <f>IF(Briefing_FID!BN47="","",Briefing_FID!BN47)</f>
        <v/>
      </c>
      <c r="BO47" s="3" t="str">
        <f>IF(Briefing_FID!BO47="","",Briefing_FID!BO47)</f>
        <v/>
      </c>
      <c r="BP47" s="28" t="str">
        <f>IF(Briefing_FID!BP47="","",Briefing_FID!BP47)</f>
        <v/>
      </c>
      <c r="BQ47" s="100" t="str">
        <f>IF(Briefing_FID!BQ47="","",Briefing_FID!BQ47)</f>
        <v/>
      </c>
      <c r="BR47" s="3" t="str">
        <f>IF(Briefing_FID!BR47="","",Briefing_FID!BR47)</f>
        <v/>
      </c>
      <c r="BS47" s="28" t="str">
        <f>IF(Briefing_FID!BS47="","",Briefing_FID!BS47)</f>
        <v/>
      </c>
      <c r="BT47" s="100" t="str">
        <f>IF(Briefing_FID!BT47="","",Briefing_FID!BT47)</f>
        <v/>
      </c>
      <c r="BU47" s="3" t="str">
        <f>IF(Briefing_FID!BU47="","",Briefing_FID!BU47)</f>
        <v/>
      </c>
      <c r="BV47" s="28" t="str">
        <f>IF(Briefing_FID!BV47="","",Briefing_FID!BV47)</f>
        <v/>
      </c>
      <c r="BW47" s="100" t="str">
        <f>IF(Briefing_FID!BW47="","",Briefing_FID!BW47)</f>
        <v/>
      </c>
      <c r="BX47" s="3" t="str">
        <f>IF(Briefing_FID!BX47="","",Briefing_FID!BX47)</f>
        <v/>
      </c>
      <c r="BY47" s="28" t="str">
        <f>IF(Briefing_FID!BY47="","",Briefing_FID!BY47)</f>
        <v/>
      </c>
      <c r="BZ47" s="100" t="str">
        <f>IF(Briefing_FID!BZ47="","",Briefing_FID!BZ47)</f>
        <v/>
      </c>
      <c r="CA47" s="3" t="str">
        <f>IF(Briefing_FID!CA47="","",Briefing_FID!CA47)</f>
        <v/>
      </c>
      <c r="CB47" s="28" t="str">
        <f>IF(Briefing_FID!CB47="","",Briefing_FID!CB47)</f>
        <v/>
      </c>
      <c r="CC47" s="100" t="str">
        <f>IF(Briefing_FID!CC47="","",Briefing_FID!CC47)</f>
        <v/>
      </c>
      <c r="CD47" s="3" t="str">
        <f>IF(Briefing_FID!CD47="","",Briefing_FID!CD47)</f>
        <v/>
      </c>
      <c r="CE47" s="28" t="str">
        <f>IF(Briefing_FID!CE47="","",Briefing_FID!CE47)</f>
        <v/>
      </c>
      <c r="CF47" s="100" t="str">
        <f>IF(Briefing_FID!CF47="","",Briefing_FID!CF47)</f>
        <v/>
      </c>
      <c r="CG47" s="3" t="str">
        <f>IF(Briefing_FID!CG47="","",Briefing_FID!CG47)</f>
        <v/>
      </c>
      <c r="CH47" s="28" t="str">
        <f>IF(Briefing_FID!CH47="","",Briefing_FID!CH47)</f>
        <v/>
      </c>
      <c r="CI47" s="100" t="str">
        <f>IF(Briefing_FID!CI47="","",Briefing_FID!CI47)</f>
        <v/>
      </c>
      <c r="CJ47" s="3" t="str">
        <f>IF(Briefing_FID!CJ47="","",Briefing_FID!CJ47)</f>
        <v/>
      </c>
      <c r="CK47" s="28" t="str">
        <f>IF(Briefing_FID!CK47="","",Briefing_FID!CK47)</f>
        <v/>
      </c>
      <c r="CL47" s="100" t="str">
        <f>IF(Briefing_FID!CL47="","",Briefing_FID!CL47)</f>
        <v/>
      </c>
      <c r="CM47" s="3" t="str">
        <f>IF(Briefing_FID!CM47="","",Briefing_FID!CM47)</f>
        <v/>
      </c>
      <c r="CN47" s="28" t="str">
        <f>IF(Briefing_FID!CN47="","",Briefing_FID!CN47)</f>
        <v/>
      </c>
      <c r="CO47" s="100" t="str">
        <f>IF(Briefing_FID!CO47="","",Briefing_FID!CO47)</f>
        <v/>
      </c>
      <c r="CP47" s="3" t="str">
        <f>IF(Briefing_FID!CP47="","",Briefing_FID!CP47)</f>
        <v/>
      </c>
      <c r="CQ47" s="28" t="str">
        <f>IF(Briefing_FID!CQ47="","",Briefing_FID!CQ47)</f>
        <v/>
      </c>
      <c r="CR47" s="100" t="str">
        <f>IF(Briefing_FID!CR47="","",Briefing_FID!CR47)</f>
        <v/>
      </c>
      <c r="CS47" s="3" t="str">
        <f>IF(Briefing_FID!CS47="","",Briefing_FID!CS47)</f>
        <v/>
      </c>
      <c r="CT47" s="28" t="str">
        <f>IF(Briefing_FID!CT47="","",Briefing_FID!CT47)</f>
        <v/>
      </c>
      <c r="CU47" s="100" t="str">
        <f>IF(Briefing_FID!CU47="","",Briefing_FID!CU47)</f>
        <v/>
      </c>
      <c r="CV47" s="3" t="str">
        <f>IF(Briefing_FID!CV47="","",Briefing_FID!CV47)</f>
        <v/>
      </c>
      <c r="CW47" s="28" t="str">
        <f>IF(Briefing_FID!CW47="","",Briefing_FID!CW47)</f>
        <v/>
      </c>
      <c r="CX47" s="100" t="str">
        <f>IF(Briefing_FID!CX47="","",Briefing_FID!CX47)</f>
        <v/>
      </c>
      <c r="CY47" s="3" t="str">
        <f>IF(Briefing_FID!CY47="","",Briefing_FID!CY47)</f>
        <v/>
      </c>
      <c r="CZ47" s="28" t="str">
        <f>IF(Briefing_FID!CZ47="","",Briefing_FID!CZ47)</f>
        <v/>
      </c>
      <c r="DA47" s="100" t="str">
        <f>IF(Briefing_FID!DA47="","",Briefing_FID!DA47)</f>
        <v/>
      </c>
      <c r="DB47" s="3" t="str">
        <f>IF(Briefing_FID!DB47="","",Briefing_FID!DB47)</f>
        <v/>
      </c>
      <c r="DC47" s="28" t="str">
        <f>IF(Briefing_FID!DC47="","",Briefing_FID!DC47)</f>
        <v/>
      </c>
      <c r="DD47" s="100" t="str">
        <f>IF(Briefing_FID!DD47="","",Briefing_FID!DD47)</f>
        <v/>
      </c>
      <c r="DE47" s="3" t="str">
        <f>IF(Briefing_FID!DE47="","",Briefing_FID!DE47)</f>
        <v/>
      </c>
      <c r="DF47" s="28" t="str">
        <f>IF(Briefing_FID!DF47="","",Briefing_FID!DF47)</f>
        <v/>
      </c>
      <c r="DG47" s="100" t="str">
        <f>IF(Briefing_FID!DG47="","",Briefing_FID!DG47)</f>
        <v/>
      </c>
      <c r="DH47" s="3" t="str">
        <f>IF(Briefing_FID!DH47="","",Briefing_FID!DH47)</f>
        <v/>
      </c>
      <c r="DI47" s="28" t="str">
        <f>IF(Briefing_FID!DI47="","",Briefing_FID!DI47)</f>
        <v/>
      </c>
      <c r="DJ47" s="100" t="str">
        <f>IF(Briefing_FID!DJ47="","",Briefing_FID!DJ47)</f>
        <v/>
      </c>
      <c r="DK47" s="3" t="str">
        <f>IF(Briefing_FID!DK47="","",Briefing_FID!DK47)</f>
        <v/>
      </c>
      <c r="DL47" s="28" t="str">
        <f>IF(Briefing_FID!DL47="","",Briefing_FID!DL47)</f>
        <v/>
      </c>
      <c r="DM47" s="100" t="str">
        <f>IF(Briefing_FID!DM47="","",Briefing_FID!DM47)</f>
        <v/>
      </c>
      <c r="DN47" s="3" t="str">
        <f>IF(Briefing_FID!DN47="","",Briefing_FID!DN47)</f>
        <v/>
      </c>
      <c r="DO47" s="28" t="str">
        <f>IF(Briefing_FID!DO47="","",Briefing_FID!DO47)</f>
        <v/>
      </c>
      <c r="DP47" s="100" t="str">
        <f>IF(Briefing_FID!DP47="","",Briefing_FID!DP47)</f>
        <v/>
      </c>
      <c r="DQ47" s="3" t="str">
        <f>IF(Briefing_FID!DQ47="","",Briefing_FID!DQ47)</f>
        <v/>
      </c>
      <c r="DR47" s="28" t="str">
        <f>IF(Briefing_FID!DR47="","",Briefing_FID!DR47)</f>
        <v/>
      </c>
      <c r="DS47" s="100" t="str">
        <f>IF(Briefing_FID!DS47="","",Briefing_FID!DS47)</f>
        <v/>
      </c>
      <c r="DT47" s="3" t="str">
        <f>IF(Briefing_FID!DT47="","",Briefing_FID!DT47)</f>
        <v/>
      </c>
      <c r="DU47" s="28" t="str">
        <f>IF(Briefing_FID!DU47="","",Briefing_FID!DU47)</f>
        <v/>
      </c>
      <c r="DV47" s="100" t="str">
        <f>IF(Briefing_FID!DV47="","",Briefing_FID!DV47)</f>
        <v/>
      </c>
      <c r="DW47" s="3" t="str">
        <f>IF(Briefing_FID!DW47="","",Briefing_FID!DW47)</f>
        <v/>
      </c>
      <c r="DX47" s="28" t="str">
        <f>IF(Briefing_FID!DX47="","",Briefing_FID!DX47)</f>
        <v/>
      </c>
      <c r="DY47" s="100" t="str">
        <f>IF(Briefing_FID!DY47="","",Briefing_FID!DY47)</f>
        <v/>
      </c>
      <c r="DZ47" s="3" t="str">
        <f>IF(Briefing_FID!DZ47="","",Briefing_FID!DZ47)</f>
        <v/>
      </c>
      <c r="EA47" s="28" t="str">
        <f>IF(Briefing_FID!EA47="","",Briefing_FID!EA47)</f>
        <v/>
      </c>
      <c r="EB47" s="100" t="str">
        <f>IF(Briefing_FID!EB47="","",Briefing_FID!EB47)</f>
        <v/>
      </c>
      <c r="EC47" s="3" t="str">
        <f>IF(Briefing_FID!EC47="","",Briefing_FID!EC47)</f>
        <v/>
      </c>
      <c r="ED47" s="28" t="str">
        <f>IF(Briefing_FID!ED47="","",Briefing_FID!ED47)</f>
        <v/>
      </c>
      <c r="EE47" s="100" t="str">
        <f>IF(Briefing_FID!EE47="","",Briefing_FID!EE47)</f>
        <v/>
      </c>
      <c r="EF47" s="3" t="str">
        <f>IF(Briefing_FID!EF47="","",Briefing_FID!EF47)</f>
        <v/>
      </c>
      <c r="EG47" s="28" t="str">
        <f>IF(Briefing_FID!EG47="","",Briefing_FID!EG47)</f>
        <v/>
      </c>
      <c r="EH47" s="100" t="str">
        <f>IF(Briefing_FID!EH47="","",Briefing_FID!EH47)</f>
        <v/>
      </c>
      <c r="EI47" s="3" t="str">
        <f>IF(Briefing_FID!EI47="","",Briefing_FID!EI47)</f>
        <v/>
      </c>
      <c r="EJ47" s="28" t="str">
        <f>IF(Briefing_FID!EJ47="","",Briefing_FID!EJ47)</f>
        <v/>
      </c>
      <c r="EK47" s="100" t="str">
        <f>IF(Briefing_FID!EK47="","",Briefing_FID!EK47)</f>
        <v/>
      </c>
      <c r="EL47" s="3" t="str">
        <f>IF(Briefing_FID!EL47="","",Briefing_FID!EL47)</f>
        <v/>
      </c>
      <c r="EM47" s="28" t="str">
        <f>IF(Briefing_FID!EM47="","",Briefing_FID!EM47)</f>
        <v/>
      </c>
      <c r="EN47" s="100" t="str">
        <f>IF(Briefing_FID!EN47="","",Briefing_FID!EN47)</f>
        <v/>
      </c>
      <c r="EO47" s="3" t="str">
        <f>IF(Briefing_FID!EO47="","",Briefing_FID!EO47)</f>
        <v/>
      </c>
      <c r="EP47" s="28" t="str">
        <f>IF(Briefing_FID!EP47="","",Briefing_FID!EP47)</f>
        <v/>
      </c>
      <c r="EQ47" s="28" t="str">
        <f>IF(Briefing_FID!EQ47="","",Briefing_FID!EQ47)</f>
        <v/>
      </c>
      <c r="ER47" s="28" t="str">
        <f>IF(Briefing_FID!ER47="","",Briefing_FID!ER47)</f>
        <v/>
      </c>
      <c r="ES47" s="62"/>
      <c r="ET47" s="96" t="str">
        <f>IF(Briefing_FID!EZ47="","",Briefing_FID!EZ47)</f>
        <v/>
      </c>
      <c r="EU47" s="97" t="str">
        <f>IF(Briefing_FID!FA47="","",Briefing_FID!FA47)</f>
        <v/>
      </c>
      <c r="EV47" s="98" t="str">
        <f>IF(Briefing_FID!FB47="","",Briefing_FID!FB47)</f>
        <v/>
      </c>
      <c r="EW47" s="96" t="str">
        <f>IF(Briefing_FID!FC47="","",Briefing_FID!FC47)</f>
        <v/>
      </c>
      <c r="EX47" s="97" t="str">
        <f>IF(Briefing_FID!FD47="","",Briefing_FID!FD47)</f>
        <v/>
      </c>
      <c r="EY47" s="98" t="str">
        <f>IF(Briefing_FID!FE47="","",Briefing_FID!FE47)</f>
        <v/>
      </c>
      <c r="EZ47" s="104" t="str">
        <f>IF(Briefing_FID!FF47="","",Briefing_FID!FF47)</f>
        <v/>
      </c>
      <c r="FA47" s="144" t="str">
        <f>IF(Briefing_FID!FG47="","",Briefing_FID!FG47)</f>
        <v/>
      </c>
      <c r="FB47" s="144" t="str">
        <f>IF(Briefing_FID!FH47="","",Briefing_FID!FH47)</f>
        <v/>
      </c>
      <c r="FC47" s="144" t="str">
        <f>IF(Briefing_FID!FI47="","",Briefing_FID!FI47)</f>
        <v/>
      </c>
      <c r="FD47" s="144" t="str">
        <f>IF(Briefing_FID!FJ47="","",Briefing_FID!FJ47)</f>
        <v/>
      </c>
      <c r="FE47" s="144" t="str">
        <f>IF(Briefing_FID!FK47="","",Briefing_FID!FK47)</f>
        <v/>
      </c>
      <c r="FF47" s="144" t="str">
        <f>IF(Briefing_FID!FL47="","",Briefing_FID!FL47)</f>
        <v/>
      </c>
      <c r="FG47" s="144" t="str">
        <f>IF(Briefing_FID!FM47="","",Briefing_FID!FM47)</f>
        <v/>
      </c>
      <c r="FH47" s="144" t="str">
        <f>IF(Briefing_FID!FN47="","",Briefing_FID!FN47)</f>
        <v/>
      </c>
      <c r="FI47" s="144" t="str">
        <f>IF(Briefing_FID!FO47="","",Briefing_FID!FO47)</f>
        <v/>
      </c>
      <c r="FJ47" s="144" t="str">
        <f>IF(Briefing_FID!FP47="","",Briefing_FID!FP47)</f>
        <v/>
      </c>
      <c r="FK47" s="144" t="str">
        <f>IF(Briefing_FID!FQ47="","",Briefing_FID!FQ47)</f>
        <v/>
      </c>
      <c r="FL47" s="144" t="str">
        <f>IF(Briefing_FID!FR47="","",Briefing_FID!FR47)</f>
        <v/>
      </c>
      <c r="FM47" s="144" t="str">
        <f>IF(Briefing_FID!FS47="","",Briefing_FID!FS47)</f>
        <v/>
      </c>
      <c r="FN47" s="144" t="str">
        <f>IF(Briefing_FID!FT47="","",Briefing_FID!FT47)</f>
        <v/>
      </c>
      <c r="FO47" s="144" t="str">
        <f>IF(Briefing_FID!FU47="","",Briefing_FID!FU47)</f>
        <v/>
      </c>
      <c r="FP47" s="144" t="str">
        <f>IF(Briefing_FID!FV47="","",Briefing_FID!FV47)</f>
        <v/>
      </c>
      <c r="FQ47" s="144" t="str">
        <f>IF(Briefing_FID!FW47="","",Briefing_FID!FW47)</f>
        <v/>
      </c>
      <c r="FR47" s="151"/>
      <c r="FS47" s="152"/>
      <c r="FT47" s="152"/>
      <c r="FU47" s="152"/>
      <c r="FV47" s="152"/>
      <c r="FW47" s="152"/>
      <c r="FX47" s="152"/>
      <c r="FY47" s="152"/>
      <c r="FZ47" s="152"/>
      <c r="GA47" s="153"/>
    </row>
    <row r="48" spans="1:183">
      <c r="A48" s="136" t="str">
        <f>IF(Briefing_FID!A48="","",Briefing_FID!A48)</f>
        <v/>
      </c>
      <c r="B48" s="137" t="str">
        <f>IF(Briefing_FID!B48="","",Briefing_FID!B48)</f>
        <v/>
      </c>
      <c r="C48" s="137" t="str">
        <f>IF(Briefing_FID!C48="","",Briefing_FID!C48)</f>
        <v/>
      </c>
      <c r="D48" s="46"/>
      <c r="E48" s="120"/>
      <c r="F48" s="117"/>
      <c r="G48" s="117"/>
      <c r="H48" s="72"/>
      <c r="I48" s="72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23"/>
      <c r="AD48" s="117"/>
      <c r="AE48" s="117"/>
      <c r="AF48" s="117"/>
      <c r="AG48" s="117"/>
      <c r="AH48" s="117"/>
      <c r="AI48" s="117"/>
      <c r="AJ48" s="117"/>
      <c r="AK48" s="117"/>
      <c r="AL48" s="124"/>
      <c r="AM48" s="37"/>
      <c r="AN48" s="38"/>
      <c r="AO48" s="39"/>
      <c r="AP48" s="111" t="str">
        <f>IF(Briefing_FID!AP48="","",Briefing_FID!AP48)</f>
        <v/>
      </c>
      <c r="AQ48" s="112" t="str">
        <f>IF(Briefing_FID!AQ48="","",Briefing_FID!AQ48)</f>
        <v/>
      </c>
      <c r="AR48" s="107" t="str">
        <f>IF(Briefing_FID!AR48="","",Briefing_FID!AR48)</f>
        <v/>
      </c>
      <c r="AS48" s="108" t="str">
        <f>IF(Briefing_FID!AS48="","",Briefing_FID!AS48)</f>
        <v/>
      </c>
      <c r="AT48" s="113" t="str">
        <f>IF(Briefing_FID!AT48="","",Briefing_FID!AT48)</f>
        <v/>
      </c>
      <c r="AU48" s="113" t="str">
        <f>IF(Briefing_FID!AU48="","",Briefing_FID!AU48)</f>
        <v/>
      </c>
      <c r="AV48" s="113" t="str">
        <f>IF(Briefing_FID!AV48="","",Briefing_FID!AV48)</f>
        <v/>
      </c>
      <c r="AW48" s="113" t="str">
        <f>IF(Briefing_FID!AW48="","",Briefing_FID!AW48)</f>
        <v/>
      </c>
      <c r="AX48" s="114" t="str">
        <f>IF(Briefing_FID!AX48="","",Briefing_FID!AX48)</f>
        <v/>
      </c>
      <c r="AY48" s="71"/>
      <c r="AZ48" s="117" t="str">
        <f>IF(Briefing_FID!AZ48="","",Briefing_FID!AZ48)</f>
        <v/>
      </c>
      <c r="BA48" s="118" t="str">
        <f>IF(Briefing_FID!BA48="","",Briefing_FID!BA48)</f>
        <v/>
      </c>
      <c r="BB48" s="55"/>
      <c r="BC48" s="102" t="str">
        <f>IF(Briefing_FID!BC48="","",Briefing_FID!BC48)</f>
        <v/>
      </c>
      <c r="BD48" s="27" t="str">
        <f>IF(Briefing_FID!BD48="","",Briefing_FID!BD48)</f>
        <v/>
      </c>
      <c r="BE48" s="100" t="str">
        <f>IF(Briefing_FID!BE48="","",Briefing_FID!BE48)</f>
        <v/>
      </c>
      <c r="BF48" s="3" t="str">
        <f>IF(Briefing_FID!BF48="","",Briefing_FID!BF48)</f>
        <v/>
      </c>
      <c r="BG48" s="10" t="str">
        <f>IF(Briefing_FID!BG48="","",Briefing_FID!BG48)</f>
        <v/>
      </c>
      <c r="BH48" s="100" t="str">
        <f>IF(Briefing_FID!BH48="","",Briefing_FID!BH48)</f>
        <v/>
      </c>
      <c r="BI48" s="3" t="str">
        <f>IF(Briefing_FID!BI48="","",Briefing_FID!BI48)</f>
        <v/>
      </c>
      <c r="BJ48" s="10" t="str">
        <f>IF(Briefing_FID!BJ48="","",Briefing_FID!BJ48)</f>
        <v/>
      </c>
      <c r="BK48" s="100" t="str">
        <f>IF(Briefing_FID!BK48="","",Briefing_FID!BK48)</f>
        <v/>
      </c>
      <c r="BL48" s="3" t="str">
        <f>IF(Briefing_FID!BL48="","",Briefing_FID!BL48)</f>
        <v/>
      </c>
      <c r="BM48" s="28" t="str">
        <f>IF(Briefing_FID!BM48="","",Briefing_FID!BM48)</f>
        <v/>
      </c>
      <c r="BN48" s="100" t="str">
        <f>IF(Briefing_FID!BN48="","",Briefing_FID!BN48)</f>
        <v/>
      </c>
      <c r="BO48" s="3" t="str">
        <f>IF(Briefing_FID!BO48="","",Briefing_FID!BO48)</f>
        <v/>
      </c>
      <c r="BP48" s="28" t="str">
        <f>IF(Briefing_FID!BP48="","",Briefing_FID!BP48)</f>
        <v/>
      </c>
      <c r="BQ48" s="100" t="str">
        <f>IF(Briefing_FID!BQ48="","",Briefing_FID!BQ48)</f>
        <v/>
      </c>
      <c r="BR48" s="3" t="str">
        <f>IF(Briefing_FID!BR48="","",Briefing_FID!BR48)</f>
        <v/>
      </c>
      <c r="BS48" s="28" t="str">
        <f>IF(Briefing_FID!BS48="","",Briefing_FID!BS48)</f>
        <v/>
      </c>
      <c r="BT48" s="100" t="str">
        <f>IF(Briefing_FID!BT48="","",Briefing_FID!BT48)</f>
        <v/>
      </c>
      <c r="BU48" s="3" t="str">
        <f>IF(Briefing_FID!BU48="","",Briefing_FID!BU48)</f>
        <v/>
      </c>
      <c r="BV48" s="28" t="str">
        <f>IF(Briefing_FID!BV48="","",Briefing_FID!BV48)</f>
        <v/>
      </c>
      <c r="BW48" s="100" t="str">
        <f>IF(Briefing_FID!BW48="","",Briefing_FID!BW48)</f>
        <v/>
      </c>
      <c r="BX48" s="3" t="str">
        <f>IF(Briefing_FID!BX48="","",Briefing_FID!BX48)</f>
        <v/>
      </c>
      <c r="BY48" s="28" t="str">
        <f>IF(Briefing_FID!BY48="","",Briefing_FID!BY48)</f>
        <v/>
      </c>
      <c r="BZ48" s="100" t="str">
        <f>IF(Briefing_FID!BZ48="","",Briefing_FID!BZ48)</f>
        <v/>
      </c>
      <c r="CA48" s="3" t="str">
        <f>IF(Briefing_FID!CA48="","",Briefing_FID!CA48)</f>
        <v/>
      </c>
      <c r="CB48" s="28" t="str">
        <f>IF(Briefing_FID!CB48="","",Briefing_FID!CB48)</f>
        <v/>
      </c>
      <c r="CC48" s="100" t="str">
        <f>IF(Briefing_FID!CC48="","",Briefing_FID!CC48)</f>
        <v/>
      </c>
      <c r="CD48" s="3" t="str">
        <f>IF(Briefing_FID!CD48="","",Briefing_FID!CD48)</f>
        <v/>
      </c>
      <c r="CE48" s="28" t="str">
        <f>IF(Briefing_FID!CE48="","",Briefing_FID!CE48)</f>
        <v/>
      </c>
      <c r="CF48" s="100" t="str">
        <f>IF(Briefing_FID!CF48="","",Briefing_FID!CF48)</f>
        <v/>
      </c>
      <c r="CG48" s="3" t="str">
        <f>IF(Briefing_FID!CG48="","",Briefing_FID!CG48)</f>
        <v/>
      </c>
      <c r="CH48" s="28" t="str">
        <f>IF(Briefing_FID!CH48="","",Briefing_FID!CH48)</f>
        <v/>
      </c>
      <c r="CI48" s="100" t="str">
        <f>IF(Briefing_FID!CI48="","",Briefing_FID!CI48)</f>
        <v/>
      </c>
      <c r="CJ48" s="3" t="str">
        <f>IF(Briefing_FID!CJ48="","",Briefing_FID!CJ48)</f>
        <v/>
      </c>
      <c r="CK48" s="28" t="str">
        <f>IF(Briefing_FID!CK48="","",Briefing_FID!CK48)</f>
        <v/>
      </c>
      <c r="CL48" s="100" t="str">
        <f>IF(Briefing_FID!CL48="","",Briefing_FID!CL48)</f>
        <v/>
      </c>
      <c r="CM48" s="3" t="str">
        <f>IF(Briefing_FID!CM48="","",Briefing_FID!CM48)</f>
        <v/>
      </c>
      <c r="CN48" s="28" t="str">
        <f>IF(Briefing_FID!CN48="","",Briefing_FID!CN48)</f>
        <v/>
      </c>
      <c r="CO48" s="100" t="str">
        <f>IF(Briefing_FID!CO48="","",Briefing_FID!CO48)</f>
        <v/>
      </c>
      <c r="CP48" s="3" t="str">
        <f>IF(Briefing_FID!CP48="","",Briefing_FID!CP48)</f>
        <v/>
      </c>
      <c r="CQ48" s="28" t="str">
        <f>IF(Briefing_FID!CQ48="","",Briefing_FID!CQ48)</f>
        <v/>
      </c>
      <c r="CR48" s="100" t="str">
        <f>IF(Briefing_FID!CR48="","",Briefing_FID!CR48)</f>
        <v/>
      </c>
      <c r="CS48" s="3" t="str">
        <f>IF(Briefing_FID!CS48="","",Briefing_FID!CS48)</f>
        <v/>
      </c>
      <c r="CT48" s="28" t="str">
        <f>IF(Briefing_FID!CT48="","",Briefing_FID!CT48)</f>
        <v/>
      </c>
      <c r="CU48" s="100" t="str">
        <f>IF(Briefing_FID!CU48="","",Briefing_FID!CU48)</f>
        <v/>
      </c>
      <c r="CV48" s="3" t="str">
        <f>IF(Briefing_FID!CV48="","",Briefing_FID!CV48)</f>
        <v/>
      </c>
      <c r="CW48" s="28" t="str">
        <f>IF(Briefing_FID!CW48="","",Briefing_FID!CW48)</f>
        <v/>
      </c>
      <c r="CX48" s="100" t="str">
        <f>IF(Briefing_FID!CX48="","",Briefing_FID!CX48)</f>
        <v/>
      </c>
      <c r="CY48" s="3" t="str">
        <f>IF(Briefing_FID!CY48="","",Briefing_FID!CY48)</f>
        <v/>
      </c>
      <c r="CZ48" s="28" t="str">
        <f>IF(Briefing_FID!CZ48="","",Briefing_FID!CZ48)</f>
        <v/>
      </c>
      <c r="DA48" s="100" t="str">
        <f>IF(Briefing_FID!DA48="","",Briefing_FID!DA48)</f>
        <v/>
      </c>
      <c r="DB48" s="3" t="str">
        <f>IF(Briefing_FID!DB48="","",Briefing_FID!DB48)</f>
        <v/>
      </c>
      <c r="DC48" s="28" t="str">
        <f>IF(Briefing_FID!DC48="","",Briefing_FID!DC48)</f>
        <v/>
      </c>
      <c r="DD48" s="100" t="str">
        <f>IF(Briefing_FID!DD48="","",Briefing_FID!DD48)</f>
        <v/>
      </c>
      <c r="DE48" s="3" t="str">
        <f>IF(Briefing_FID!DE48="","",Briefing_FID!DE48)</f>
        <v/>
      </c>
      <c r="DF48" s="28" t="str">
        <f>IF(Briefing_FID!DF48="","",Briefing_FID!DF48)</f>
        <v/>
      </c>
      <c r="DG48" s="100" t="str">
        <f>IF(Briefing_FID!DG48="","",Briefing_FID!DG48)</f>
        <v/>
      </c>
      <c r="DH48" s="3" t="str">
        <f>IF(Briefing_FID!DH48="","",Briefing_FID!DH48)</f>
        <v/>
      </c>
      <c r="DI48" s="28" t="str">
        <f>IF(Briefing_FID!DI48="","",Briefing_FID!DI48)</f>
        <v/>
      </c>
      <c r="DJ48" s="100" t="str">
        <f>IF(Briefing_FID!DJ48="","",Briefing_FID!DJ48)</f>
        <v/>
      </c>
      <c r="DK48" s="3" t="str">
        <f>IF(Briefing_FID!DK48="","",Briefing_FID!DK48)</f>
        <v/>
      </c>
      <c r="DL48" s="28" t="str">
        <f>IF(Briefing_FID!DL48="","",Briefing_FID!DL48)</f>
        <v/>
      </c>
      <c r="DM48" s="100" t="str">
        <f>IF(Briefing_FID!DM48="","",Briefing_FID!DM48)</f>
        <v/>
      </c>
      <c r="DN48" s="3" t="str">
        <f>IF(Briefing_FID!DN48="","",Briefing_FID!DN48)</f>
        <v/>
      </c>
      <c r="DO48" s="28" t="str">
        <f>IF(Briefing_FID!DO48="","",Briefing_FID!DO48)</f>
        <v/>
      </c>
      <c r="DP48" s="100" t="str">
        <f>IF(Briefing_FID!DP48="","",Briefing_FID!DP48)</f>
        <v/>
      </c>
      <c r="DQ48" s="3" t="str">
        <f>IF(Briefing_FID!DQ48="","",Briefing_FID!DQ48)</f>
        <v/>
      </c>
      <c r="DR48" s="28" t="str">
        <f>IF(Briefing_FID!DR48="","",Briefing_FID!DR48)</f>
        <v/>
      </c>
      <c r="DS48" s="100" t="str">
        <f>IF(Briefing_FID!DS48="","",Briefing_FID!DS48)</f>
        <v/>
      </c>
      <c r="DT48" s="3" t="str">
        <f>IF(Briefing_FID!DT48="","",Briefing_FID!DT48)</f>
        <v/>
      </c>
      <c r="DU48" s="28" t="str">
        <f>IF(Briefing_FID!DU48="","",Briefing_FID!DU48)</f>
        <v/>
      </c>
      <c r="DV48" s="100" t="str">
        <f>IF(Briefing_FID!DV48="","",Briefing_FID!DV48)</f>
        <v/>
      </c>
      <c r="DW48" s="3" t="str">
        <f>IF(Briefing_FID!DW48="","",Briefing_FID!DW48)</f>
        <v/>
      </c>
      <c r="DX48" s="28" t="str">
        <f>IF(Briefing_FID!DX48="","",Briefing_FID!DX48)</f>
        <v/>
      </c>
      <c r="DY48" s="100" t="str">
        <f>IF(Briefing_FID!DY48="","",Briefing_FID!DY48)</f>
        <v/>
      </c>
      <c r="DZ48" s="3" t="str">
        <f>IF(Briefing_FID!DZ48="","",Briefing_FID!DZ48)</f>
        <v/>
      </c>
      <c r="EA48" s="28" t="str">
        <f>IF(Briefing_FID!EA48="","",Briefing_FID!EA48)</f>
        <v/>
      </c>
      <c r="EB48" s="100" t="str">
        <f>IF(Briefing_FID!EB48="","",Briefing_FID!EB48)</f>
        <v/>
      </c>
      <c r="EC48" s="3" t="str">
        <f>IF(Briefing_FID!EC48="","",Briefing_FID!EC48)</f>
        <v/>
      </c>
      <c r="ED48" s="28" t="str">
        <f>IF(Briefing_FID!ED48="","",Briefing_FID!ED48)</f>
        <v/>
      </c>
      <c r="EE48" s="100" t="str">
        <f>IF(Briefing_FID!EE48="","",Briefing_FID!EE48)</f>
        <v/>
      </c>
      <c r="EF48" s="3" t="str">
        <f>IF(Briefing_FID!EF48="","",Briefing_FID!EF48)</f>
        <v/>
      </c>
      <c r="EG48" s="28" t="str">
        <f>IF(Briefing_FID!EG48="","",Briefing_FID!EG48)</f>
        <v/>
      </c>
      <c r="EH48" s="100" t="str">
        <f>IF(Briefing_FID!EH48="","",Briefing_FID!EH48)</f>
        <v/>
      </c>
      <c r="EI48" s="3" t="str">
        <f>IF(Briefing_FID!EI48="","",Briefing_FID!EI48)</f>
        <v/>
      </c>
      <c r="EJ48" s="28" t="str">
        <f>IF(Briefing_FID!EJ48="","",Briefing_FID!EJ48)</f>
        <v/>
      </c>
      <c r="EK48" s="100" t="str">
        <f>IF(Briefing_FID!EK48="","",Briefing_FID!EK48)</f>
        <v/>
      </c>
      <c r="EL48" s="3" t="str">
        <f>IF(Briefing_FID!EL48="","",Briefing_FID!EL48)</f>
        <v/>
      </c>
      <c r="EM48" s="28" t="str">
        <f>IF(Briefing_FID!EM48="","",Briefing_FID!EM48)</f>
        <v/>
      </c>
      <c r="EN48" s="100" t="str">
        <f>IF(Briefing_FID!EN48="","",Briefing_FID!EN48)</f>
        <v/>
      </c>
      <c r="EO48" s="3" t="str">
        <f>IF(Briefing_FID!EO48="","",Briefing_FID!EO48)</f>
        <v/>
      </c>
      <c r="EP48" s="28" t="str">
        <f>IF(Briefing_FID!EP48="","",Briefing_FID!EP48)</f>
        <v/>
      </c>
      <c r="EQ48" s="28" t="str">
        <f>IF(Briefing_FID!EQ48="","",Briefing_FID!EQ48)</f>
        <v/>
      </c>
      <c r="ER48" s="28" t="str">
        <f>IF(Briefing_FID!ER48="","",Briefing_FID!ER48)</f>
        <v/>
      </c>
      <c r="ES48" s="62"/>
      <c r="ET48" s="96" t="str">
        <f>IF(Briefing_FID!EZ48="","",Briefing_FID!EZ48)</f>
        <v/>
      </c>
      <c r="EU48" s="97" t="str">
        <f>IF(Briefing_FID!FA48="","",Briefing_FID!FA48)</f>
        <v/>
      </c>
      <c r="EV48" s="98" t="str">
        <f>IF(Briefing_FID!FB48="","",Briefing_FID!FB48)</f>
        <v/>
      </c>
      <c r="EW48" s="96" t="str">
        <f>IF(Briefing_FID!FC48="","",Briefing_FID!FC48)</f>
        <v/>
      </c>
      <c r="EX48" s="97" t="str">
        <f>IF(Briefing_FID!FD48="","",Briefing_FID!FD48)</f>
        <v/>
      </c>
      <c r="EY48" s="98" t="str">
        <f>IF(Briefing_FID!FE48="","",Briefing_FID!FE48)</f>
        <v/>
      </c>
      <c r="EZ48" s="104" t="str">
        <f>IF(Briefing_FID!FF48="","",Briefing_FID!FF48)</f>
        <v/>
      </c>
      <c r="FA48" s="144" t="str">
        <f>IF(Briefing_FID!FG48="","",Briefing_FID!FG48)</f>
        <v/>
      </c>
      <c r="FB48" s="144" t="str">
        <f>IF(Briefing_FID!FH48="","",Briefing_FID!FH48)</f>
        <v/>
      </c>
      <c r="FC48" s="144" t="str">
        <f>IF(Briefing_FID!FI48="","",Briefing_FID!FI48)</f>
        <v/>
      </c>
      <c r="FD48" s="144" t="str">
        <f>IF(Briefing_FID!FJ48="","",Briefing_FID!FJ48)</f>
        <v/>
      </c>
      <c r="FE48" s="144" t="str">
        <f>IF(Briefing_FID!FK48="","",Briefing_FID!FK48)</f>
        <v/>
      </c>
      <c r="FF48" s="144" t="str">
        <f>IF(Briefing_FID!FL48="","",Briefing_FID!FL48)</f>
        <v/>
      </c>
      <c r="FG48" s="144" t="str">
        <f>IF(Briefing_FID!FM48="","",Briefing_FID!FM48)</f>
        <v/>
      </c>
      <c r="FH48" s="144" t="str">
        <f>IF(Briefing_FID!FN48="","",Briefing_FID!FN48)</f>
        <v/>
      </c>
      <c r="FI48" s="144" t="str">
        <f>IF(Briefing_FID!FO48="","",Briefing_FID!FO48)</f>
        <v/>
      </c>
      <c r="FJ48" s="144" t="str">
        <f>IF(Briefing_FID!FP48="","",Briefing_FID!FP48)</f>
        <v/>
      </c>
      <c r="FK48" s="144" t="str">
        <f>IF(Briefing_FID!FQ48="","",Briefing_FID!FQ48)</f>
        <v/>
      </c>
      <c r="FL48" s="144" t="str">
        <f>IF(Briefing_FID!FR48="","",Briefing_FID!FR48)</f>
        <v/>
      </c>
      <c r="FM48" s="144" t="str">
        <f>IF(Briefing_FID!FS48="","",Briefing_FID!FS48)</f>
        <v/>
      </c>
      <c r="FN48" s="144" t="str">
        <f>IF(Briefing_FID!FT48="","",Briefing_FID!FT48)</f>
        <v/>
      </c>
      <c r="FO48" s="144" t="str">
        <f>IF(Briefing_FID!FU48="","",Briefing_FID!FU48)</f>
        <v/>
      </c>
      <c r="FP48" s="144" t="str">
        <f>IF(Briefing_FID!FV48="","",Briefing_FID!FV48)</f>
        <v/>
      </c>
      <c r="FQ48" s="144" t="str">
        <f>IF(Briefing_FID!FW48="","",Briefing_FID!FW48)</f>
        <v/>
      </c>
      <c r="FR48" s="151"/>
      <c r="FS48" s="152"/>
      <c r="FT48" s="152"/>
      <c r="FU48" s="152"/>
      <c r="FV48" s="152"/>
      <c r="FW48" s="152"/>
      <c r="FX48" s="152"/>
      <c r="FY48" s="152"/>
      <c r="FZ48" s="152"/>
      <c r="GA48" s="153"/>
    </row>
    <row r="49" spans="1:183">
      <c r="A49" s="136" t="str">
        <f>IF(Briefing_FID!A49="","",Briefing_FID!A49)</f>
        <v/>
      </c>
      <c r="B49" s="137" t="str">
        <f>IF(Briefing_FID!B49="","",Briefing_FID!B49)</f>
        <v/>
      </c>
      <c r="C49" s="137" t="str">
        <f>IF(Briefing_FID!C49="","",Briefing_FID!C49)</f>
        <v/>
      </c>
      <c r="D49" s="46"/>
      <c r="E49" s="120"/>
      <c r="F49" s="117"/>
      <c r="G49" s="117"/>
      <c r="H49" s="72"/>
      <c r="I49" s="72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23"/>
      <c r="AD49" s="117"/>
      <c r="AE49" s="117"/>
      <c r="AF49" s="117"/>
      <c r="AG49" s="117"/>
      <c r="AH49" s="117"/>
      <c r="AI49" s="117"/>
      <c r="AJ49" s="117"/>
      <c r="AK49" s="117"/>
      <c r="AL49" s="124"/>
      <c r="AM49" s="37"/>
      <c r="AN49" s="38"/>
      <c r="AO49" s="39"/>
      <c r="AP49" s="111" t="str">
        <f>IF(Briefing_FID!AP49="","",Briefing_FID!AP49)</f>
        <v/>
      </c>
      <c r="AQ49" s="112" t="str">
        <f>IF(Briefing_FID!AQ49="","",Briefing_FID!AQ49)</f>
        <v/>
      </c>
      <c r="AR49" s="107" t="str">
        <f>IF(Briefing_FID!AR49="","",Briefing_FID!AR49)</f>
        <v/>
      </c>
      <c r="AS49" s="108" t="str">
        <f>IF(Briefing_FID!AS49="","",Briefing_FID!AS49)</f>
        <v/>
      </c>
      <c r="AT49" s="113" t="str">
        <f>IF(Briefing_FID!AT49="","",Briefing_FID!AT49)</f>
        <v/>
      </c>
      <c r="AU49" s="113" t="str">
        <f>IF(Briefing_FID!AU49="","",Briefing_FID!AU49)</f>
        <v/>
      </c>
      <c r="AV49" s="113" t="str">
        <f>IF(Briefing_FID!AV49="","",Briefing_FID!AV49)</f>
        <v/>
      </c>
      <c r="AW49" s="113" t="str">
        <f>IF(Briefing_FID!AW49="","",Briefing_FID!AW49)</f>
        <v/>
      </c>
      <c r="AX49" s="114" t="str">
        <f>IF(Briefing_FID!AX49="","",Briefing_FID!AX49)</f>
        <v/>
      </c>
      <c r="AY49" s="71"/>
      <c r="AZ49" s="117" t="str">
        <f>IF(Briefing_FID!AZ49="","",Briefing_FID!AZ49)</f>
        <v/>
      </c>
      <c r="BA49" s="118" t="str">
        <f>IF(Briefing_FID!BA49="","",Briefing_FID!BA49)</f>
        <v/>
      </c>
      <c r="BB49" s="55"/>
      <c r="BC49" s="102" t="str">
        <f>IF(Briefing_FID!BC49="","",Briefing_FID!BC49)</f>
        <v/>
      </c>
      <c r="BD49" s="27" t="str">
        <f>IF(Briefing_FID!BD49="","",Briefing_FID!BD49)</f>
        <v/>
      </c>
      <c r="BE49" s="100" t="str">
        <f>IF(Briefing_FID!BE49="","",Briefing_FID!BE49)</f>
        <v/>
      </c>
      <c r="BF49" s="3" t="str">
        <f>IF(Briefing_FID!BF49="","",Briefing_FID!BF49)</f>
        <v/>
      </c>
      <c r="BG49" s="10" t="str">
        <f>IF(Briefing_FID!BG49="","",Briefing_FID!BG49)</f>
        <v/>
      </c>
      <c r="BH49" s="100" t="str">
        <f>IF(Briefing_FID!BH49="","",Briefing_FID!BH49)</f>
        <v/>
      </c>
      <c r="BI49" s="3" t="str">
        <f>IF(Briefing_FID!BI49="","",Briefing_FID!BI49)</f>
        <v/>
      </c>
      <c r="BJ49" s="10" t="str">
        <f>IF(Briefing_FID!BJ49="","",Briefing_FID!BJ49)</f>
        <v/>
      </c>
      <c r="BK49" s="100" t="str">
        <f>IF(Briefing_FID!BK49="","",Briefing_FID!BK49)</f>
        <v/>
      </c>
      <c r="BL49" s="3" t="str">
        <f>IF(Briefing_FID!BL49="","",Briefing_FID!BL49)</f>
        <v/>
      </c>
      <c r="BM49" s="28" t="str">
        <f>IF(Briefing_FID!BM49="","",Briefing_FID!BM49)</f>
        <v/>
      </c>
      <c r="BN49" s="100" t="str">
        <f>IF(Briefing_FID!BN49="","",Briefing_FID!BN49)</f>
        <v/>
      </c>
      <c r="BO49" s="3" t="str">
        <f>IF(Briefing_FID!BO49="","",Briefing_FID!BO49)</f>
        <v/>
      </c>
      <c r="BP49" s="28" t="str">
        <f>IF(Briefing_FID!BP49="","",Briefing_FID!BP49)</f>
        <v/>
      </c>
      <c r="BQ49" s="100" t="str">
        <f>IF(Briefing_FID!BQ49="","",Briefing_FID!BQ49)</f>
        <v/>
      </c>
      <c r="BR49" s="3" t="str">
        <f>IF(Briefing_FID!BR49="","",Briefing_FID!BR49)</f>
        <v/>
      </c>
      <c r="BS49" s="28" t="str">
        <f>IF(Briefing_FID!BS49="","",Briefing_FID!BS49)</f>
        <v/>
      </c>
      <c r="BT49" s="100" t="str">
        <f>IF(Briefing_FID!BT49="","",Briefing_FID!BT49)</f>
        <v/>
      </c>
      <c r="BU49" s="3" t="str">
        <f>IF(Briefing_FID!BU49="","",Briefing_FID!BU49)</f>
        <v/>
      </c>
      <c r="BV49" s="28" t="str">
        <f>IF(Briefing_FID!BV49="","",Briefing_FID!BV49)</f>
        <v/>
      </c>
      <c r="BW49" s="100" t="str">
        <f>IF(Briefing_FID!BW49="","",Briefing_FID!BW49)</f>
        <v/>
      </c>
      <c r="BX49" s="3" t="str">
        <f>IF(Briefing_FID!BX49="","",Briefing_FID!BX49)</f>
        <v/>
      </c>
      <c r="BY49" s="28" t="str">
        <f>IF(Briefing_FID!BY49="","",Briefing_FID!BY49)</f>
        <v/>
      </c>
      <c r="BZ49" s="100" t="str">
        <f>IF(Briefing_FID!BZ49="","",Briefing_FID!BZ49)</f>
        <v/>
      </c>
      <c r="CA49" s="3" t="str">
        <f>IF(Briefing_FID!CA49="","",Briefing_FID!CA49)</f>
        <v/>
      </c>
      <c r="CB49" s="28" t="str">
        <f>IF(Briefing_FID!CB49="","",Briefing_FID!CB49)</f>
        <v/>
      </c>
      <c r="CC49" s="100" t="str">
        <f>IF(Briefing_FID!CC49="","",Briefing_FID!CC49)</f>
        <v/>
      </c>
      <c r="CD49" s="3" t="str">
        <f>IF(Briefing_FID!CD49="","",Briefing_FID!CD49)</f>
        <v/>
      </c>
      <c r="CE49" s="28" t="str">
        <f>IF(Briefing_FID!CE49="","",Briefing_FID!CE49)</f>
        <v/>
      </c>
      <c r="CF49" s="100" t="str">
        <f>IF(Briefing_FID!CF49="","",Briefing_FID!CF49)</f>
        <v/>
      </c>
      <c r="CG49" s="3" t="str">
        <f>IF(Briefing_FID!CG49="","",Briefing_FID!CG49)</f>
        <v/>
      </c>
      <c r="CH49" s="28" t="str">
        <f>IF(Briefing_FID!CH49="","",Briefing_FID!CH49)</f>
        <v/>
      </c>
      <c r="CI49" s="100" t="str">
        <f>IF(Briefing_FID!CI49="","",Briefing_FID!CI49)</f>
        <v/>
      </c>
      <c r="CJ49" s="3" t="str">
        <f>IF(Briefing_FID!CJ49="","",Briefing_FID!CJ49)</f>
        <v/>
      </c>
      <c r="CK49" s="28" t="str">
        <f>IF(Briefing_FID!CK49="","",Briefing_FID!CK49)</f>
        <v/>
      </c>
      <c r="CL49" s="100" t="str">
        <f>IF(Briefing_FID!CL49="","",Briefing_FID!CL49)</f>
        <v/>
      </c>
      <c r="CM49" s="3" t="str">
        <f>IF(Briefing_FID!CM49="","",Briefing_FID!CM49)</f>
        <v/>
      </c>
      <c r="CN49" s="28" t="str">
        <f>IF(Briefing_FID!CN49="","",Briefing_FID!CN49)</f>
        <v/>
      </c>
      <c r="CO49" s="100" t="str">
        <f>IF(Briefing_FID!CO49="","",Briefing_FID!CO49)</f>
        <v/>
      </c>
      <c r="CP49" s="3" t="str">
        <f>IF(Briefing_FID!CP49="","",Briefing_FID!CP49)</f>
        <v/>
      </c>
      <c r="CQ49" s="28" t="str">
        <f>IF(Briefing_FID!CQ49="","",Briefing_FID!CQ49)</f>
        <v/>
      </c>
      <c r="CR49" s="100" t="str">
        <f>IF(Briefing_FID!CR49="","",Briefing_FID!CR49)</f>
        <v/>
      </c>
      <c r="CS49" s="3" t="str">
        <f>IF(Briefing_FID!CS49="","",Briefing_FID!CS49)</f>
        <v/>
      </c>
      <c r="CT49" s="28" t="str">
        <f>IF(Briefing_FID!CT49="","",Briefing_FID!CT49)</f>
        <v/>
      </c>
      <c r="CU49" s="100" t="str">
        <f>IF(Briefing_FID!CU49="","",Briefing_FID!CU49)</f>
        <v/>
      </c>
      <c r="CV49" s="3" t="str">
        <f>IF(Briefing_FID!CV49="","",Briefing_FID!CV49)</f>
        <v/>
      </c>
      <c r="CW49" s="28" t="str">
        <f>IF(Briefing_FID!CW49="","",Briefing_FID!CW49)</f>
        <v/>
      </c>
      <c r="CX49" s="100" t="str">
        <f>IF(Briefing_FID!CX49="","",Briefing_FID!CX49)</f>
        <v/>
      </c>
      <c r="CY49" s="3" t="str">
        <f>IF(Briefing_FID!CY49="","",Briefing_FID!CY49)</f>
        <v/>
      </c>
      <c r="CZ49" s="28" t="str">
        <f>IF(Briefing_FID!CZ49="","",Briefing_FID!CZ49)</f>
        <v/>
      </c>
      <c r="DA49" s="100" t="str">
        <f>IF(Briefing_FID!DA49="","",Briefing_FID!DA49)</f>
        <v/>
      </c>
      <c r="DB49" s="3" t="str">
        <f>IF(Briefing_FID!DB49="","",Briefing_FID!DB49)</f>
        <v/>
      </c>
      <c r="DC49" s="28" t="str">
        <f>IF(Briefing_FID!DC49="","",Briefing_FID!DC49)</f>
        <v/>
      </c>
      <c r="DD49" s="100" t="str">
        <f>IF(Briefing_FID!DD49="","",Briefing_FID!DD49)</f>
        <v/>
      </c>
      <c r="DE49" s="3" t="str">
        <f>IF(Briefing_FID!DE49="","",Briefing_FID!DE49)</f>
        <v/>
      </c>
      <c r="DF49" s="28" t="str">
        <f>IF(Briefing_FID!DF49="","",Briefing_FID!DF49)</f>
        <v/>
      </c>
      <c r="DG49" s="100" t="str">
        <f>IF(Briefing_FID!DG49="","",Briefing_FID!DG49)</f>
        <v/>
      </c>
      <c r="DH49" s="3" t="str">
        <f>IF(Briefing_FID!DH49="","",Briefing_FID!DH49)</f>
        <v/>
      </c>
      <c r="DI49" s="28" t="str">
        <f>IF(Briefing_FID!DI49="","",Briefing_FID!DI49)</f>
        <v/>
      </c>
      <c r="DJ49" s="100" t="str">
        <f>IF(Briefing_FID!DJ49="","",Briefing_FID!DJ49)</f>
        <v/>
      </c>
      <c r="DK49" s="3" t="str">
        <f>IF(Briefing_FID!DK49="","",Briefing_FID!DK49)</f>
        <v/>
      </c>
      <c r="DL49" s="28" t="str">
        <f>IF(Briefing_FID!DL49="","",Briefing_FID!DL49)</f>
        <v/>
      </c>
      <c r="DM49" s="100" t="str">
        <f>IF(Briefing_FID!DM49="","",Briefing_FID!DM49)</f>
        <v/>
      </c>
      <c r="DN49" s="3" t="str">
        <f>IF(Briefing_FID!DN49="","",Briefing_FID!DN49)</f>
        <v/>
      </c>
      <c r="DO49" s="28" t="str">
        <f>IF(Briefing_FID!DO49="","",Briefing_FID!DO49)</f>
        <v/>
      </c>
      <c r="DP49" s="100" t="str">
        <f>IF(Briefing_FID!DP49="","",Briefing_FID!DP49)</f>
        <v/>
      </c>
      <c r="DQ49" s="3" t="str">
        <f>IF(Briefing_FID!DQ49="","",Briefing_FID!DQ49)</f>
        <v/>
      </c>
      <c r="DR49" s="28" t="str">
        <f>IF(Briefing_FID!DR49="","",Briefing_FID!DR49)</f>
        <v/>
      </c>
      <c r="DS49" s="100" t="str">
        <f>IF(Briefing_FID!DS49="","",Briefing_FID!DS49)</f>
        <v/>
      </c>
      <c r="DT49" s="3" t="str">
        <f>IF(Briefing_FID!DT49="","",Briefing_FID!DT49)</f>
        <v/>
      </c>
      <c r="DU49" s="28" t="str">
        <f>IF(Briefing_FID!DU49="","",Briefing_FID!DU49)</f>
        <v/>
      </c>
      <c r="DV49" s="100" t="str">
        <f>IF(Briefing_FID!DV49="","",Briefing_FID!DV49)</f>
        <v/>
      </c>
      <c r="DW49" s="3" t="str">
        <f>IF(Briefing_FID!DW49="","",Briefing_FID!DW49)</f>
        <v/>
      </c>
      <c r="DX49" s="28" t="str">
        <f>IF(Briefing_FID!DX49="","",Briefing_FID!DX49)</f>
        <v/>
      </c>
      <c r="DY49" s="100" t="str">
        <f>IF(Briefing_FID!DY49="","",Briefing_FID!DY49)</f>
        <v/>
      </c>
      <c r="DZ49" s="3" t="str">
        <f>IF(Briefing_FID!DZ49="","",Briefing_FID!DZ49)</f>
        <v/>
      </c>
      <c r="EA49" s="28" t="str">
        <f>IF(Briefing_FID!EA49="","",Briefing_FID!EA49)</f>
        <v/>
      </c>
      <c r="EB49" s="100" t="str">
        <f>IF(Briefing_FID!EB49="","",Briefing_FID!EB49)</f>
        <v/>
      </c>
      <c r="EC49" s="3" t="str">
        <f>IF(Briefing_FID!EC49="","",Briefing_FID!EC49)</f>
        <v/>
      </c>
      <c r="ED49" s="28" t="str">
        <f>IF(Briefing_FID!ED49="","",Briefing_FID!ED49)</f>
        <v/>
      </c>
      <c r="EE49" s="100" t="str">
        <f>IF(Briefing_FID!EE49="","",Briefing_FID!EE49)</f>
        <v/>
      </c>
      <c r="EF49" s="3" t="str">
        <f>IF(Briefing_FID!EF49="","",Briefing_FID!EF49)</f>
        <v/>
      </c>
      <c r="EG49" s="28" t="str">
        <f>IF(Briefing_FID!EG49="","",Briefing_FID!EG49)</f>
        <v/>
      </c>
      <c r="EH49" s="100" t="str">
        <f>IF(Briefing_FID!EH49="","",Briefing_FID!EH49)</f>
        <v/>
      </c>
      <c r="EI49" s="3" t="str">
        <f>IF(Briefing_FID!EI49="","",Briefing_FID!EI49)</f>
        <v/>
      </c>
      <c r="EJ49" s="28" t="str">
        <f>IF(Briefing_FID!EJ49="","",Briefing_FID!EJ49)</f>
        <v/>
      </c>
      <c r="EK49" s="100" t="str">
        <f>IF(Briefing_FID!EK49="","",Briefing_FID!EK49)</f>
        <v/>
      </c>
      <c r="EL49" s="3" t="str">
        <f>IF(Briefing_FID!EL49="","",Briefing_FID!EL49)</f>
        <v/>
      </c>
      <c r="EM49" s="28" t="str">
        <f>IF(Briefing_FID!EM49="","",Briefing_FID!EM49)</f>
        <v/>
      </c>
      <c r="EN49" s="100" t="str">
        <f>IF(Briefing_FID!EN49="","",Briefing_FID!EN49)</f>
        <v/>
      </c>
      <c r="EO49" s="3" t="str">
        <f>IF(Briefing_FID!EO49="","",Briefing_FID!EO49)</f>
        <v/>
      </c>
      <c r="EP49" s="28" t="str">
        <f>IF(Briefing_FID!EP49="","",Briefing_FID!EP49)</f>
        <v/>
      </c>
      <c r="EQ49" s="28" t="str">
        <f>IF(Briefing_FID!EQ49="","",Briefing_FID!EQ49)</f>
        <v/>
      </c>
      <c r="ER49" s="28" t="str">
        <f>IF(Briefing_FID!ER49="","",Briefing_FID!ER49)</f>
        <v/>
      </c>
      <c r="ES49" s="62"/>
      <c r="ET49" s="96" t="str">
        <f>IF(Briefing_FID!EZ49="","",Briefing_FID!EZ49)</f>
        <v/>
      </c>
      <c r="EU49" s="97" t="str">
        <f>IF(Briefing_FID!FA49="","",Briefing_FID!FA49)</f>
        <v/>
      </c>
      <c r="EV49" s="98" t="str">
        <f>IF(Briefing_FID!FB49="","",Briefing_FID!FB49)</f>
        <v/>
      </c>
      <c r="EW49" s="96" t="str">
        <f>IF(Briefing_FID!FC49="","",Briefing_FID!FC49)</f>
        <v/>
      </c>
      <c r="EX49" s="97" t="str">
        <f>IF(Briefing_FID!FD49="","",Briefing_FID!FD49)</f>
        <v/>
      </c>
      <c r="EY49" s="98" t="str">
        <f>IF(Briefing_FID!FE49="","",Briefing_FID!FE49)</f>
        <v/>
      </c>
      <c r="EZ49" s="104" t="str">
        <f>IF(Briefing_FID!FF49="","",Briefing_FID!FF49)</f>
        <v/>
      </c>
      <c r="FA49" s="144" t="str">
        <f>IF(Briefing_FID!FG49="","",Briefing_FID!FG49)</f>
        <v/>
      </c>
      <c r="FB49" s="144" t="str">
        <f>IF(Briefing_FID!FH49="","",Briefing_FID!FH49)</f>
        <v/>
      </c>
      <c r="FC49" s="144" t="str">
        <f>IF(Briefing_FID!FI49="","",Briefing_FID!FI49)</f>
        <v/>
      </c>
      <c r="FD49" s="144" t="str">
        <f>IF(Briefing_FID!FJ49="","",Briefing_FID!FJ49)</f>
        <v/>
      </c>
      <c r="FE49" s="144" t="str">
        <f>IF(Briefing_FID!FK49="","",Briefing_FID!FK49)</f>
        <v/>
      </c>
      <c r="FF49" s="144" t="str">
        <f>IF(Briefing_FID!FL49="","",Briefing_FID!FL49)</f>
        <v/>
      </c>
      <c r="FG49" s="144" t="str">
        <f>IF(Briefing_FID!FM49="","",Briefing_FID!FM49)</f>
        <v/>
      </c>
      <c r="FH49" s="144" t="str">
        <f>IF(Briefing_FID!FN49="","",Briefing_FID!FN49)</f>
        <v/>
      </c>
      <c r="FI49" s="144" t="str">
        <f>IF(Briefing_FID!FO49="","",Briefing_FID!FO49)</f>
        <v/>
      </c>
      <c r="FJ49" s="144" t="str">
        <f>IF(Briefing_FID!FP49="","",Briefing_FID!FP49)</f>
        <v/>
      </c>
      <c r="FK49" s="144" t="str">
        <f>IF(Briefing_FID!FQ49="","",Briefing_FID!FQ49)</f>
        <v/>
      </c>
      <c r="FL49" s="144" t="str">
        <f>IF(Briefing_FID!FR49="","",Briefing_FID!FR49)</f>
        <v/>
      </c>
      <c r="FM49" s="144" t="str">
        <f>IF(Briefing_FID!FS49="","",Briefing_FID!FS49)</f>
        <v/>
      </c>
      <c r="FN49" s="144" t="str">
        <f>IF(Briefing_FID!FT49="","",Briefing_FID!FT49)</f>
        <v/>
      </c>
      <c r="FO49" s="144" t="str">
        <f>IF(Briefing_FID!FU49="","",Briefing_FID!FU49)</f>
        <v/>
      </c>
      <c r="FP49" s="144" t="str">
        <f>IF(Briefing_FID!FV49="","",Briefing_FID!FV49)</f>
        <v/>
      </c>
      <c r="FQ49" s="144" t="str">
        <f>IF(Briefing_FID!FW49="","",Briefing_FID!FW49)</f>
        <v/>
      </c>
      <c r="FR49" s="151"/>
      <c r="FS49" s="152"/>
      <c r="FT49" s="152"/>
      <c r="FU49" s="152"/>
      <c r="FV49" s="152"/>
      <c r="FW49" s="152"/>
      <c r="FX49" s="152"/>
      <c r="FY49" s="152"/>
      <c r="FZ49" s="152"/>
      <c r="GA49" s="153"/>
    </row>
    <row r="50" spans="1:183">
      <c r="A50" s="136" t="str">
        <f>IF(Briefing_FID!A50="","",Briefing_FID!A50)</f>
        <v/>
      </c>
      <c r="B50" s="137" t="str">
        <f>IF(Briefing_FID!B50="","",Briefing_FID!B50)</f>
        <v/>
      </c>
      <c r="C50" s="137" t="str">
        <f>IF(Briefing_FID!C50="","",Briefing_FID!C50)</f>
        <v/>
      </c>
      <c r="D50" s="46"/>
      <c r="E50" s="120"/>
      <c r="F50" s="117"/>
      <c r="G50" s="117"/>
      <c r="H50" s="72"/>
      <c r="I50" s="72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23"/>
      <c r="AD50" s="117"/>
      <c r="AE50" s="117"/>
      <c r="AF50" s="117"/>
      <c r="AG50" s="117"/>
      <c r="AH50" s="117"/>
      <c r="AI50" s="117"/>
      <c r="AJ50" s="117"/>
      <c r="AK50" s="117"/>
      <c r="AL50" s="124"/>
      <c r="AM50" s="37"/>
      <c r="AN50" s="38"/>
      <c r="AO50" s="39"/>
      <c r="AP50" s="111" t="str">
        <f>IF(Briefing_FID!AP50="","",Briefing_FID!AP50)</f>
        <v/>
      </c>
      <c r="AQ50" s="112" t="str">
        <f>IF(Briefing_FID!AQ50="","",Briefing_FID!AQ50)</f>
        <v/>
      </c>
      <c r="AR50" s="107" t="str">
        <f>IF(Briefing_FID!AR50="","",Briefing_FID!AR50)</f>
        <v/>
      </c>
      <c r="AS50" s="108" t="str">
        <f>IF(Briefing_FID!AS50="","",Briefing_FID!AS50)</f>
        <v/>
      </c>
      <c r="AT50" s="113" t="str">
        <f>IF(Briefing_FID!AT50="","",Briefing_FID!AT50)</f>
        <v/>
      </c>
      <c r="AU50" s="113" t="str">
        <f>IF(Briefing_FID!AU50="","",Briefing_FID!AU50)</f>
        <v/>
      </c>
      <c r="AV50" s="113" t="str">
        <f>IF(Briefing_FID!AV50="","",Briefing_FID!AV50)</f>
        <v/>
      </c>
      <c r="AW50" s="113" t="str">
        <f>IF(Briefing_FID!AW50="","",Briefing_FID!AW50)</f>
        <v/>
      </c>
      <c r="AX50" s="114" t="str">
        <f>IF(Briefing_FID!AX50="","",Briefing_FID!AX50)</f>
        <v/>
      </c>
      <c r="AY50" s="71"/>
      <c r="AZ50" s="117" t="str">
        <f>IF(Briefing_FID!AZ50="","",Briefing_FID!AZ50)</f>
        <v/>
      </c>
      <c r="BA50" s="118" t="str">
        <f>IF(Briefing_FID!BA50="","",Briefing_FID!BA50)</f>
        <v/>
      </c>
      <c r="BB50" s="55"/>
      <c r="BC50" s="102" t="str">
        <f>IF(Briefing_FID!BC50="","",Briefing_FID!BC50)</f>
        <v/>
      </c>
      <c r="BD50" s="27" t="str">
        <f>IF(Briefing_FID!BD50="","",Briefing_FID!BD50)</f>
        <v/>
      </c>
      <c r="BE50" s="100" t="str">
        <f>IF(Briefing_FID!BE50="","",Briefing_FID!BE50)</f>
        <v/>
      </c>
      <c r="BF50" s="3" t="str">
        <f>IF(Briefing_FID!BF50="","",Briefing_FID!BF50)</f>
        <v/>
      </c>
      <c r="BG50" s="10" t="str">
        <f>IF(Briefing_FID!BG50="","",Briefing_FID!BG50)</f>
        <v/>
      </c>
      <c r="BH50" s="100" t="str">
        <f>IF(Briefing_FID!BH50="","",Briefing_FID!BH50)</f>
        <v/>
      </c>
      <c r="BI50" s="3" t="str">
        <f>IF(Briefing_FID!BI50="","",Briefing_FID!BI50)</f>
        <v/>
      </c>
      <c r="BJ50" s="10" t="str">
        <f>IF(Briefing_FID!BJ50="","",Briefing_FID!BJ50)</f>
        <v/>
      </c>
      <c r="BK50" s="100" t="str">
        <f>IF(Briefing_FID!BK50="","",Briefing_FID!BK50)</f>
        <v/>
      </c>
      <c r="BL50" s="3" t="str">
        <f>IF(Briefing_FID!BL50="","",Briefing_FID!BL50)</f>
        <v/>
      </c>
      <c r="BM50" s="28" t="str">
        <f>IF(Briefing_FID!BM50="","",Briefing_FID!BM50)</f>
        <v/>
      </c>
      <c r="BN50" s="100" t="str">
        <f>IF(Briefing_FID!BN50="","",Briefing_FID!BN50)</f>
        <v/>
      </c>
      <c r="BO50" s="3" t="str">
        <f>IF(Briefing_FID!BO50="","",Briefing_FID!BO50)</f>
        <v/>
      </c>
      <c r="BP50" s="28" t="str">
        <f>IF(Briefing_FID!BP50="","",Briefing_FID!BP50)</f>
        <v/>
      </c>
      <c r="BQ50" s="100" t="str">
        <f>IF(Briefing_FID!BQ50="","",Briefing_FID!BQ50)</f>
        <v/>
      </c>
      <c r="BR50" s="3" t="str">
        <f>IF(Briefing_FID!BR50="","",Briefing_FID!BR50)</f>
        <v/>
      </c>
      <c r="BS50" s="28" t="str">
        <f>IF(Briefing_FID!BS50="","",Briefing_FID!BS50)</f>
        <v/>
      </c>
      <c r="BT50" s="100" t="str">
        <f>IF(Briefing_FID!BT50="","",Briefing_FID!BT50)</f>
        <v/>
      </c>
      <c r="BU50" s="3" t="str">
        <f>IF(Briefing_FID!BU50="","",Briefing_FID!BU50)</f>
        <v/>
      </c>
      <c r="BV50" s="28" t="str">
        <f>IF(Briefing_FID!BV50="","",Briefing_FID!BV50)</f>
        <v/>
      </c>
      <c r="BW50" s="100" t="str">
        <f>IF(Briefing_FID!BW50="","",Briefing_FID!BW50)</f>
        <v/>
      </c>
      <c r="BX50" s="3" t="str">
        <f>IF(Briefing_FID!BX50="","",Briefing_FID!BX50)</f>
        <v/>
      </c>
      <c r="BY50" s="28" t="str">
        <f>IF(Briefing_FID!BY50="","",Briefing_FID!BY50)</f>
        <v/>
      </c>
      <c r="BZ50" s="100" t="str">
        <f>IF(Briefing_FID!BZ50="","",Briefing_FID!BZ50)</f>
        <v/>
      </c>
      <c r="CA50" s="3" t="str">
        <f>IF(Briefing_FID!CA50="","",Briefing_FID!CA50)</f>
        <v/>
      </c>
      <c r="CB50" s="28" t="str">
        <f>IF(Briefing_FID!CB50="","",Briefing_FID!CB50)</f>
        <v/>
      </c>
      <c r="CC50" s="100" t="str">
        <f>IF(Briefing_FID!CC50="","",Briefing_FID!CC50)</f>
        <v/>
      </c>
      <c r="CD50" s="3" t="str">
        <f>IF(Briefing_FID!CD50="","",Briefing_FID!CD50)</f>
        <v/>
      </c>
      <c r="CE50" s="28" t="str">
        <f>IF(Briefing_FID!CE50="","",Briefing_FID!CE50)</f>
        <v/>
      </c>
      <c r="CF50" s="100" t="str">
        <f>IF(Briefing_FID!CF50="","",Briefing_FID!CF50)</f>
        <v/>
      </c>
      <c r="CG50" s="3" t="str">
        <f>IF(Briefing_FID!CG50="","",Briefing_FID!CG50)</f>
        <v/>
      </c>
      <c r="CH50" s="28" t="str">
        <f>IF(Briefing_FID!CH50="","",Briefing_FID!CH50)</f>
        <v/>
      </c>
      <c r="CI50" s="100" t="str">
        <f>IF(Briefing_FID!CI50="","",Briefing_FID!CI50)</f>
        <v/>
      </c>
      <c r="CJ50" s="3" t="str">
        <f>IF(Briefing_FID!CJ50="","",Briefing_FID!CJ50)</f>
        <v/>
      </c>
      <c r="CK50" s="28" t="str">
        <f>IF(Briefing_FID!CK50="","",Briefing_FID!CK50)</f>
        <v/>
      </c>
      <c r="CL50" s="100" t="str">
        <f>IF(Briefing_FID!CL50="","",Briefing_FID!CL50)</f>
        <v/>
      </c>
      <c r="CM50" s="3" t="str">
        <f>IF(Briefing_FID!CM50="","",Briefing_FID!CM50)</f>
        <v/>
      </c>
      <c r="CN50" s="28" t="str">
        <f>IF(Briefing_FID!CN50="","",Briefing_FID!CN50)</f>
        <v/>
      </c>
      <c r="CO50" s="100" t="str">
        <f>IF(Briefing_FID!CO50="","",Briefing_FID!CO50)</f>
        <v/>
      </c>
      <c r="CP50" s="3" t="str">
        <f>IF(Briefing_FID!CP50="","",Briefing_FID!CP50)</f>
        <v/>
      </c>
      <c r="CQ50" s="28" t="str">
        <f>IF(Briefing_FID!CQ50="","",Briefing_FID!CQ50)</f>
        <v/>
      </c>
      <c r="CR50" s="100" t="str">
        <f>IF(Briefing_FID!CR50="","",Briefing_FID!CR50)</f>
        <v/>
      </c>
      <c r="CS50" s="3" t="str">
        <f>IF(Briefing_FID!CS50="","",Briefing_FID!CS50)</f>
        <v/>
      </c>
      <c r="CT50" s="28" t="str">
        <f>IF(Briefing_FID!CT50="","",Briefing_FID!CT50)</f>
        <v/>
      </c>
      <c r="CU50" s="100" t="str">
        <f>IF(Briefing_FID!CU50="","",Briefing_FID!CU50)</f>
        <v/>
      </c>
      <c r="CV50" s="3" t="str">
        <f>IF(Briefing_FID!CV50="","",Briefing_FID!CV50)</f>
        <v/>
      </c>
      <c r="CW50" s="28" t="str">
        <f>IF(Briefing_FID!CW50="","",Briefing_FID!CW50)</f>
        <v/>
      </c>
      <c r="CX50" s="100" t="str">
        <f>IF(Briefing_FID!CX50="","",Briefing_FID!CX50)</f>
        <v/>
      </c>
      <c r="CY50" s="3" t="str">
        <f>IF(Briefing_FID!CY50="","",Briefing_FID!CY50)</f>
        <v/>
      </c>
      <c r="CZ50" s="28" t="str">
        <f>IF(Briefing_FID!CZ50="","",Briefing_FID!CZ50)</f>
        <v/>
      </c>
      <c r="DA50" s="100" t="str">
        <f>IF(Briefing_FID!DA50="","",Briefing_FID!DA50)</f>
        <v/>
      </c>
      <c r="DB50" s="3" t="str">
        <f>IF(Briefing_FID!DB50="","",Briefing_FID!DB50)</f>
        <v/>
      </c>
      <c r="DC50" s="28" t="str">
        <f>IF(Briefing_FID!DC50="","",Briefing_FID!DC50)</f>
        <v/>
      </c>
      <c r="DD50" s="100" t="str">
        <f>IF(Briefing_FID!DD50="","",Briefing_FID!DD50)</f>
        <v/>
      </c>
      <c r="DE50" s="3" t="str">
        <f>IF(Briefing_FID!DE50="","",Briefing_FID!DE50)</f>
        <v/>
      </c>
      <c r="DF50" s="28" t="str">
        <f>IF(Briefing_FID!DF50="","",Briefing_FID!DF50)</f>
        <v/>
      </c>
      <c r="DG50" s="100" t="str">
        <f>IF(Briefing_FID!DG50="","",Briefing_FID!DG50)</f>
        <v/>
      </c>
      <c r="DH50" s="3" t="str">
        <f>IF(Briefing_FID!DH50="","",Briefing_FID!DH50)</f>
        <v/>
      </c>
      <c r="DI50" s="28" t="str">
        <f>IF(Briefing_FID!DI50="","",Briefing_FID!DI50)</f>
        <v/>
      </c>
      <c r="DJ50" s="100" t="str">
        <f>IF(Briefing_FID!DJ50="","",Briefing_FID!DJ50)</f>
        <v/>
      </c>
      <c r="DK50" s="3" t="str">
        <f>IF(Briefing_FID!DK50="","",Briefing_FID!DK50)</f>
        <v/>
      </c>
      <c r="DL50" s="28" t="str">
        <f>IF(Briefing_FID!DL50="","",Briefing_FID!DL50)</f>
        <v/>
      </c>
      <c r="DM50" s="100" t="str">
        <f>IF(Briefing_FID!DM50="","",Briefing_FID!DM50)</f>
        <v/>
      </c>
      <c r="DN50" s="3" t="str">
        <f>IF(Briefing_FID!DN50="","",Briefing_FID!DN50)</f>
        <v/>
      </c>
      <c r="DO50" s="28" t="str">
        <f>IF(Briefing_FID!DO50="","",Briefing_FID!DO50)</f>
        <v/>
      </c>
      <c r="DP50" s="100" t="str">
        <f>IF(Briefing_FID!DP50="","",Briefing_FID!DP50)</f>
        <v/>
      </c>
      <c r="DQ50" s="3" t="str">
        <f>IF(Briefing_FID!DQ50="","",Briefing_FID!DQ50)</f>
        <v/>
      </c>
      <c r="DR50" s="28" t="str">
        <f>IF(Briefing_FID!DR50="","",Briefing_FID!DR50)</f>
        <v/>
      </c>
      <c r="DS50" s="100" t="str">
        <f>IF(Briefing_FID!DS50="","",Briefing_FID!DS50)</f>
        <v/>
      </c>
      <c r="DT50" s="3" t="str">
        <f>IF(Briefing_FID!DT50="","",Briefing_FID!DT50)</f>
        <v/>
      </c>
      <c r="DU50" s="28" t="str">
        <f>IF(Briefing_FID!DU50="","",Briefing_FID!DU50)</f>
        <v/>
      </c>
      <c r="DV50" s="100" t="str">
        <f>IF(Briefing_FID!DV50="","",Briefing_FID!DV50)</f>
        <v/>
      </c>
      <c r="DW50" s="3" t="str">
        <f>IF(Briefing_FID!DW50="","",Briefing_FID!DW50)</f>
        <v/>
      </c>
      <c r="DX50" s="28" t="str">
        <f>IF(Briefing_FID!DX50="","",Briefing_FID!DX50)</f>
        <v/>
      </c>
      <c r="DY50" s="100" t="str">
        <f>IF(Briefing_FID!DY50="","",Briefing_FID!DY50)</f>
        <v/>
      </c>
      <c r="DZ50" s="3" t="str">
        <f>IF(Briefing_FID!DZ50="","",Briefing_FID!DZ50)</f>
        <v/>
      </c>
      <c r="EA50" s="28" t="str">
        <f>IF(Briefing_FID!EA50="","",Briefing_FID!EA50)</f>
        <v/>
      </c>
      <c r="EB50" s="100" t="str">
        <f>IF(Briefing_FID!EB50="","",Briefing_FID!EB50)</f>
        <v/>
      </c>
      <c r="EC50" s="3" t="str">
        <f>IF(Briefing_FID!EC50="","",Briefing_FID!EC50)</f>
        <v/>
      </c>
      <c r="ED50" s="28" t="str">
        <f>IF(Briefing_FID!ED50="","",Briefing_FID!ED50)</f>
        <v/>
      </c>
      <c r="EE50" s="100" t="str">
        <f>IF(Briefing_FID!EE50="","",Briefing_FID!EE50)</f>
        <v/>
      </c>
      <c r="EF50" s="3" t="str">
        <f>IF(Briefing_FID!EF50="","",Briefing_FID!EF50)</f>
        <v/>
      </c>
      <c r="EG50" s="28" t="str">
        <f>IF(Briefing_FID!EG50="","",Briefing_FID!EG50)</f>
        <v/>
      </c>
      <c r="EH50" s="100" t="str">
        <f>IF(Briefing_FID!EH50="","",Briefing_FID!EH50)</f>
        <v/>
      </c>
      <c r="EI50" s="3" t="str">
        <f>IF(Briefing_FID!EI50="","",Briefing_FID!EI50)</f>
        <v/>
      </c>
      <c r="EJ50" s="28" t="str">
        <f>IF(Briefing_FID!EJ50="","",Briefing_FID!EJ50)</f>
        <v/>
      </c>
      <c r="EK50" s="100" t="str">
        <f>IF(Briefing_FID!EK50="","",Briefing_FID!EK50)</f>
        <v/>
      </c>
      <c r="EL50" s="3" t="str">
        <f>IF(Briefing_FID!EL50="","",Briefing_FID!EL50)</f>
        <v/>
      </c>
      <c r="EM50" s="28" t="str">
        <f>IF(Briefing_FID!EM50="","",Briefing_FID!EM50)</f>
        <v/>
      </c>
      <c r="EN50" s="100" t="str">
        <f>IF(Briefing_FID!EN50="","",Briefing_FID!EN50)</f>
        <v/>
      </c>
      <c r="EO50" s="3" t="str">
        <f>IF(Briefing_FID!EO50="","",Briefing_FID!EO50)</f>
        <v/>
      </c>
      <c r="EP50" s="28" t="str">
        <f>IF(Briefing_FID!EP50="","",Briefing_FID!EP50)</f>
        <v/>
      </c>
      <c r="EQ50" s="28" t="str">
        <f>IF(Briefing_FID!EQ50="","",Briefing_FID!EQ50)</f>
        <v/>
      </c>
      <c r="ER50" s="28" t="str">
        <f>IF(Briefing_FID!ER50="","",Briefing_FID!ER50)</f>
        <v/>
      </c>
      <c r="ES50" s="62"/>
      <c r="ET50" s="96" t="str">
        <f>IF(Briefing_FID!EZ50="","",Briefing_FID!EZ50)</f>
        <v/>
      </c>
      <c r="EU50" s="97" t="str">
        <f>IF(Briefing_FID!FA50="","",Briefing_FID!FA50)</f>
        <v/>
      </c>
      <c r="EV50" s="98" t="str">
        <f>IF(Briefing_FID!FB50="","",Briefing_FID!FB50)</f>
        <v/>
      </c>
      <c r="EW50" s="96" t="str">
        <f>IF(Briefing_FID!FC50="","",Briefing_FID!FC50)</f>
        <v/>
      </c>
      <c r="EX50" s="97" t="str">
        <f>IF(Briefing_FID!FD50="","",Briefing_FID!FD50)</f>
        <v/>
      </c>
      <c r="EY50" s="98" t="str">
        <f>IF(Briefing_FID!FE50="","",Briefing_FID!FE50)</f>
        <v/>
      </c>
      <c r="EZ50" s="104" t="str">
        <f>IF(Briefing_FID!FF50="","",Briefing_FID!FF50)</f>
        <v/>
      </c>
      <c r="FA50" s="144" t="str">
        <f>IF(Briefing_FID!FG50="","",Briefing_FID!FG50)</f>
        <v/>
      </c>
      <c r="FB50" s="144" t="str">
        <f>IF(Briefing_FID!FH50="","",Briefing_FID!FH50)</f>
        <v/>
      </c>
      <c r="FC50" s="144" t="str">
        <f>IF(Briefing_FID!FI50="","",Briefing_FID!FI50)</f>
        <v/>
      </c>
      <c r="FD50" s="144" t="str">
        <f>IF(Briefing_FID!FJ50="","",Briefing_FID!FJ50)</f>
        <v/>
      </c>
      <c r="FE50" s="144" t="str">
        <f>IF(Briefing_FID!FK50="","",Briefing_FID!FK50)</f>
        <v/>
      </c>
      <c r="FF50" s="144" t="str">
        <f>IF(Briefing_FID!FL50="","",Briefing_FID!FL50)</f>
        <v/>
      </c>
      <c r="FG50" s="144" t="str">
        <f>IF(Briefing_FID!FM50="","",Briefing_FID!FM50)</f>
        <v/>
      </c>
      <c r="FH50" s="144" t="str">
        <f>IF(Briefing_FID!FN50="","",Briefing_FID!FN50)</f>
        <v/>
      </c>
      <c r="FI50" s="144" t="str">
        <f>IF(Briefing_FID!FO50="","",Briefing_FID!FO50)</f>
        <v/>
      </c>
      <c r="FJ50" s="144" t="str">
        <f>IF(Briefing_FID!FP50="","",Briefing_FID!FP50)</f>
        <v/>
      </c>
      <c r="FK50" s="144" t="str">
        <f>IF(Briefing_FID!FQ50="","",Briefing_FID!FQ50)</f>
        <v/>
      </c>
      <c r="FL50" s="144" t="str">
        <f>IF(Briefing_FID!FR50="","",Briefing_FID!FR50)</f>
        <v/>
      </c>
      <c r="FM50" s="144" t="str">
        <f>IF(Briefing_FID!FS50="","",Briefing_FID!FS50)</f>
        <v/>
      </c>
      <c r="FN50" s="144" t="str">
        <f>IF(Briefing_FID!FT50="","",Briefing_FID!FT50)</f>
        <v/>
      </c>
      <c r="FO50" s="144" t="str">
        <f>IF(Briefing_FID!FU50="","",Briefing_FID!FU50)</f>
        <v/>
      </c>
      <c r="FP50" s="144" t="str">
        <f>IF(Briefing_FID!FV50="","",Briefing_FID!FV50)</f>
        <v/>
      </c>
      <c r="FQ50" s="144" t="str">
        <f>IF(Briefing_FID!FW50="","",Briefing_FID!FW50)</f>
        <v/>
      </c>
      <c r="FR50" s="151"/>
      <c r="FS50" s="152"/>
      <c r="FT50" s="152"/>
      <c r="FU50" s="152"/>
      <c r="FV50" s="152"/>
      <c r="FW50" s="152"/>
      <c r="FX50" s="152"/>
      <c r="FY50" s="152"/>
      <c r="FZ50" s="152"/>
      <c r="GA50" s="153"/>
    </row>
    <row r="51" spans="1:183">
      <c r="A51" s="136" t="str">
        <f>IF(Briefing_FID!A51="","",Briefing_FID!A51)</f>
        <v/>
      </c>
      <c r="B51" s="137" t="str">
        <f>IF(Briefing_FID!B51="","",Briefing_FID!B51)</f>
        <v/>
      </c>
      <c r="C51" s="137" t="str">
        <f>IF(Briefing_FID!C51="","",Briefing_FID!C51)</f>
        <v/>
      </c>
      <c r="D51" s="46"/>
      <c r="E51" s="120"/>
      <c r="F51" s="117"/>
      <c r="G51" s="117"/>
      <c r="H51" s="72"/>
      <c r="I51" s="72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23"/>
      <c r="AD51" s="117"/>
      <c r="AE51" s="117"/>
      <c r="AF51" s="117"/>
      <c r="AG51" s="117"/>
      <c r="AH51" s="117"/>
      <c r="AI51" s="117"/>
      <c r="AJ51" s="117"/>
      <c r="AK51" s="117"/>
      <c r="AL51" s="124"/>
      <c r="AM51" s="37"/>
      <c r="AN51" s="38"/>
      <c r="AO51" s="39"/>
      <c r="AP51" s="111" t="str">
        <f>IF(Briefing_FID!AP51="","",Briefing_FID!AP51)</f>
        <v/>
      </c>
      <c r="AQ51" s="112" t="str">
        <f>IF(Briefing_FID!AQ51="","",Briefing_FID!AQ51)</f>
        <v/>
      </c>
      <c r="AR51" s="107" t="str">
        <f>IF(Briefing_FID!AR51="","",Briefing_FID!AR51)</f>
        <v/>
      </c>
      <c r="AS51" s="108" t="str">
        <f>IF(Briefing_FID!AS51="","",Briefing_FID!AS51)</f>
        <v/>
      </c>
      <c r="AT51" s="113" t="str">
        <f>IF(Briefing_FID!AT51="","",Briefing_FID!AT51)</f>
        <v/>
      </c>
      <c r="AU51" s="113" t="str">
        <f>IF(Briefing_FID!AU51="","",Briefing_FID!AU51)</f>
        <v/>
      </c>
      <c r="AV51" s="113" t="str">
        <f>IF(Briefing_FID!AV51="","",Briefing_FID!AV51)</f>
        <v/>
      </c>
      <c r="AW51" s="113" t="str">
        <f>IF(Briefing_FID!AW51="","",Briefing_FID!AW51)</f>
        <v/>
      </c>
      <c r="AX51" s="114" t="str">
        <f>IF(Briefing_FID!AX51="","",Briefing_FID!AX51)</f>
        <v/>
      </c>
      <c r="AY51" s="71"/>
      <c r="AZ51" s="117" t="str">
        <f>IF(Briefing_FID!AZ51="","",Briefing_FID!AZ51)</f>
        <v/>
      </c>
      <c r="BA51" s="118" t="str">
        <f>IF(Briefing_FID!BA51="","",Briefing_FID!BA51)</f>
        <v/>
      </c>
      <c r="BB51" s="55"/>
      <c r="BC51" s="102" t="str">
        <f>IF(Briefing_FID!BC51="","",Briefing_FID!BC51)</f>
        <v/>
      </c>
      <c r="BD51" s="27" t="str">
        <f>IF(Briefing_FID!BD51="","",Briefing_FID!BD51)</f>
        <v/>
      </c>
      <c r="BE51" s="100" t="str">
        <f>IF(Briefing_FID!BE51="","",Briefing_FID!BE51)</f>
        <v/>
      </c>
      <c r="BF51" s="3" t="str">
        <f>IF(Briefing_FID!BF51="","",Briefing_FID!BF51)</f>
        <v/>
      </c>
      <c r="BG51" s="10" t="str">
        <f>IF(Briefing_FID!BG51="","",Briefing_FID!BG51)</f>
        <v/>
      </c>
      <c r="BH51" s="100" t="str">
        <f>IF(Briefing_FID!BH51="","",Briefing_FID!BH51)</f>
        <v/>
      </c>
      <c r="BI51" s="3" t="str">
        <f>IF(Briefing_FID!BI51="","",Briefing_FID!BI51)</f>
        <v/>
      </c>
      <c r="BJ51" s="10" t="str">
        <f>IF(Briefing_FID!BJ51="","",Briefing_FID!BJ51)</f>
        <v/>
      </c>
      <c r="BK51" s="100" t="str">
        <f>IF(Briefing_FID!BK51="","",Briefing_FID!BK51)</f>
        <v/>
      </c>
      <c r="BL51" s="3" t="str">
        <f>IF(Briefing_FID!BL51="","",Briefing_FID!BL51)</f>
        <v/>
      </c>
      <c r="BM51" s="28" t="str">
        <f>IF(Briefing_FID!BM51="","",Briefing_FID!BM51)</f>
        <v/>
      </c>
      <c r="BN51" s="100" t="str">
        <f>IF(Briefing_FID!BN51="","",Briefing_FID!BN51)</f>
        <v/>
      </c>
      <c r="BO51" s="3" t="str">
        <f>IF(Briefing_FID!BO51="","",Briefing_FID!BO51)</f>
        <v/>
      </c>
      <c r="BP51" s="28" t="str">
        <f>IF(Briefing_FID!BP51="","",Briefing_FID!BP51)</f>
        <v/>
      </c>
      <c r="BQ51" s="100" t="str">
        <f>IF(Briefing_FID!BQ51="","",Briefing_FID!BQ51)</f>
        <v/>
      </c>
      <c r="BR51" s="3" t="str">
        <f>IF(Briefing_FID!BR51="","",Briefing_FID!BR51)</f>
        <v/>
      </c>
      <c r="BS51" s="28" t="str">
        <f>IF(Briefing_FID!BS51="","",Briefing_FID!BS51)</f>
        <v/>
      </c>
      <c r="BT51" s="100" t="str">
        <f>IF(Briefing_FID!BT51="","",Briefing_FID!BT51)</f>
        <v/>
      </c>
      <c r="BU51" s="3" t="str">
        <f>IF(Briefing_FID!BU51="","",Briefing_FID!BU51)</f>
        <v/>
      </c>
      <c r="BV51" s="28" t="str">
        <f>IF(Briefing_FID!BV51="","",Briefing_FID!BV51)</f>
        <v/>
      </c>
      <c r="BW51" s="100" t="str">
        <f>IF(Briefing_FID!BW51="","",Briefing_FID!BW51)</f>
        <v/>
      </c>
      <c r="BX51" s="3" t="str">
        <f>IF(Briefing_FID!BX51="","",Briefing_FID!BX51)</f>
        <v/>
      </c>
      <c r="BY51" s="28" t="str">
        <f>IF(Briefing_FID!BY51="","",Briefing_FID!BY51)</f>
        <v/>
      </c>
      <c r="BZ51" s="100" t="str">
        <f>IF(Briefing_FID!BZ51="","",Briefing_FID!BZ51)</f>
        <v/>
      </c>
      <c r="CA51" s="3" t="str">
        <f>IF(Briefing_FID!CA51="","",Briefing_FID!CA51)</f>
        <v/>
      </c>
      <c r="CB51" s="28" t="str">
        <f>IF(Briefing_FID!CB51="","",Briefing_FID!CB51)</f>
        <v/>
      </c>
      <c r="CC51" s="100" t="str">
        <f>IF(Briefing_FID!CC51="","",Briefing_FID!CC51)</f>
        <v/>
      </c>
      <c r="CD51" s="3" t="str">
        <f>IF(Briefing_FID!CD51="","",Briefing_FID!CD51)</f>
        <v/>
      </c>
      <c r="CE51" s="28" t="str">
        <f>IF(Briefing_FID!CE51="","",Briefing_FID!CE51)</f>
        <v/>
      </c>
      <c r="CF51" s="100" t="str">
        <f>IF(Briefing_FID!CF51="","",Briefing_FID!CF51)</f>
        <v/>
      </c>
      <c r="CG51" s="3" t="str">
        <f>IF(Briefing_FID!CG51="","",Briefing_FID!CG51)</f>
        <v/>
      </c>
      <c r="CH51" s="28" t="str">
        <f>IF(Briefing_FID!CH51="","",Briefing_FID!CH51)</f>
        <v/>
      </c>
      <c r="CI51" s="100" t="str">
        <f>IF(Briefing_FID!CI51="","",Briefing_FID!CI51)</f>
        <v/>
      </c>
      <c r="CJ51" s="3" t="str">
        <f>IF(Briefing_FID!CJ51="","",Briefing_FID!CJ51)</f>
        <v/>
      </c>
      <c r="CK51" s="28" t="str">
        <f>IF(Briefing_FID!CK51="","",Briefing_FID!CK51)</f>
        <v/>
      </c>
      <c r="CL51" s="100" t="str">
        <f>IF(Briefing_FID!CL51="","",Briefing_FID!CL51)</f>
        <v/>
      </c>
      <c r="CM51" s="3" t="str">
        <f>IF(Briefing_FID!CM51="","",Briefing_FID!CM51)</f>
        <v/>
      </c>
      <c r="CN51" s="28" t="str">
        <f>IF(Briefing_FID!CN51="","",Briefing_FID!CN51)</f>
        <v/>
      </c>
      <c r="CO51" s="100" t="str">
        <f>IF(Briefing_FID!CO51="","",Briefing_FID!CO51)</f>
        <v/>
      </c>
      <c r="CP51" s="3" t="str">
        <f>IF(Briefing_FID!CP51="","",Briefing_FID!CP51)</f>
        <v/>
      </c>
      <c r="CQ51" s="28" t="str">
        <f>IF(Briefing_FID!CQ51="","",Briefing_FID!CQ51)</f>
        <v/>
      </c>
      <c r="CR51" s="100" t="str">
        <f>IF(Briefing_FID!CR51="","",Briefing_FID!CR51)</f>
        <v/>
      </c>
      <c r="CS51" s="3" t="str">
        <f>IF(Briefing_FID!CS51="","",Briefing_FID!CS51)</f>
        <v/>
      </c>
      <c r="CT51" s="28" t="str">
        <f>IF(Briefing_FID!CT51="","",Briefing_FID!CT51)</f>
        <v/>
      </c>
      <c r="CU51" s="100" t="str">
        <f>IF(Briefing_FID!CU51="","",Briefing_FID!CU51)</f>
        <v/>
      </c>
      <c r="CV51" s="3" t="str">
        <f>IF(Briefing_FID!CV51="","",Briefing_FID!CV51)</f>
        <v/>
      </c>
      <c r="CW51" s="28" t="str">
        <f>IF(Briefing_FID!CW51="","",Briefing_FID!CW51)</f>
        <v/>
      </c>
      <c r="CX51" s="100" t="str">
        <f>IF(Briefing_FID!CX51="","",Briefing_FID!CX51)</f>
        <v/>
      </c>
      <c r="CY51" s="3" t="str">
        <f>IF(Briefing_FID!CY51="","",Briefing_FID!CY51)</f>
        <v/>
      </c>
      <c r="CZ51" s="28" t="str">
        <f>IF(Briefing_FID!CZ51="","",Briefing_FID!CZ51)</f>
        <v/>
      </c>
      <c r="DA51" s="100" t="str">
        <f>IF(Briefing_FID!DA51="","",Briefing_FID!DA51)</f>
        <v/>
      </c>
      <c r="DB51" s="3" t="str">
        <f>IF(Briefing_FID!DB51="","",Briefing_FID!DB51)</f>
        <v/>
      </c>
      <c r="DC51" s="28" t="str">
        <f>IF(Briefing_FID!DC51="","",Briefing_FID!DC51)</f>
        <v/>
      </c>
      <c r="DD51" s="100" t="str">
        <f>IF(Briefing_FID!DD51="","",Briefing_FID!DD51)</f>
        <v/>
      </c>
      <c r="DE51" s="3" t="str">
        <f>IF(Briefing_FID!DE51="","",Briefing_FID!DE51)</f>
        <v/>
      </c>
      <c r="DF51" s="28" t="str">
        <f>IF(Briefing_FID!DF51="","",Briefing_FID!DF51)</f>
        <v/>
      </c>
      <c r="DG51" s="100" t="str">
        <f>IF(Briefing_FID!DG51="","",Briefing_FID!DG51)</f>
        <v/>
      </c>
      <c r="DH51" s="3" t="str">
        <f>IF(Briefing_FID!DH51="","",Briefing_FID!DH51)</f>
        <v/>
      </c>
      <c r="DI51" s="28" t="str">
        <f>IF(Briefing_FID!DI51="","",Briefing_FID!DI51)</f>
        <v/>
      </c>
      <c r="DJ51" s="100" t="str">
        <f>IF(Briefing_FID!DJ51="","",Briefing_FID!DJ51)</f>
        <v/>
      </c>
      <c r="DK51" s="3" t="str">
        <f>IF(Briefing_FID!DK51="","",Briefing_FID!DK51)</f>
        <v/>
      </c>
      <c r="DL51" s="28" t="str">
        <f>IF(Briefing_FID!DL51="","",Briefing_FID!DL51)</f>
        <v/>
      </c>
      <c r="DM51" s="100" t="str">
        <f>IF(Briefing_FID!DM51="","",Briefing_FID!DM51)</f>
        <v/>
      </c>
      <c r="DN51" s="3" t="str">
        <f>IF(Briefing_FID!DN51="","",Briefing_FID!DN51)</f>
        <v/>
      </c>
      <c r="DO51" s="28" t="str">
        <f>IF(Briefing_FID!DO51="","",Briefing_FID!DO51)</f>
        <v/>
      </c>
      <c r="DP51" s="100" t="str">
        <f>IF(Briefing_FID!DP51="","",Briefing_FID!DP51)</f>
        <v/>
      </c>
      <c r="DQ51" s="3" t="str">
        <f>IF(Briefing_FID!DQ51="","",Briefing_FID!DQ51)</f>
        <v/>
      </c>
      <c r="DR51" s="28" t="str">
        <f>IF(Briefing_FID!DR51="","",Briefing_FID!DR51)</f>
        <v/>
      </c>
      <c r="DS51" s="100" t="str">
        <f>IF(Briefing_FID!DS51="","",Briefing_FID!DS51)</f>
        <v/>
      </c>
      <c r="DT51" s="3" t="str">
        <f>IF(Briefing_FID!DT51="","",Briefing_FID!DT51)</f>
        <v/>
      </c>
      <c r="DU51" s="28" t="str">
        <f>IF(Briefing_FID!DU51="","",Briefing_FID!DU51)</f>
        <v/>
      </c>
      <c r="DV51" s="100" t="str">
        <f>IF(Briefing_FID!DV51="","",Briefing_FID!DV51)</f>
        <v/>
      </c>
      <c r="DW51" s="3" t="str">
        <f>IF(Briefing_FID!DW51="","",Briefing_FID!DW51)</f>
        <v/>
      </c>
      <c r="DX51" s="28" t="str">
        <f>IF(Briefing_FID!DX51="","",Briefing_FID!DX51)</f>
        <v/>
      </c>
      <c r="DY51" s="100" t="str">
        <f>IF(Briefing_FID!DY51="","",Briefing_FID!DY51)</f>
        <v/>
      </c>
      <c r="DZ51" s="3" t="str">
        <f>IF(Briefing_FID!DZ51="","",Briefing_FID!DZ51)</f>
        <v/>
      </c>
      <c r="EA51" s="28" t="str">
        <f>IF(Briefing_FID!EA51="","",Briefing_FID!EA51)</f>
        <v/>
      </c>
      <c r="EB51" s="100" t="str">
        <f>IF(Briefing_FID!EB51="","",Briefing_FID!EB51)</f>
        <v/>
      </c>
      <c r="EC51" s="3" t="str">
        <f>IF(Briefing_FID!EC51="","",Briefing_FID!EC51)</f>
        <v/>
      </c>
      <c r="ED51" s="28" t="str">
        <f>IF(Briefing_FID!ED51="","",Briefing_FID!ED51)</f>
        <v/>
      </c>
      <c r="EE51" s="100" t="str">
        <f>IF(Briefing_FID!EE51="","",Briefing_FID!EE51)</f>
        <v/>
      </c>
      <c r="EF51" s="3" t="str">
        <f>IF(Briefing_FID!EF51="","",Briefing_FID!EF51)</f>
        <v/>
      </c>
      <c r="EG51" s="28" t="str">
        <f>IF(Briefing_FID!EG51="","",Briefing_FID!EG51)</f>
        <v/>
      </c>
      <c r="EH51" s="100" t="str">
        <f>IF(Briefing_FID!EH51="","",Briefing_FID!EH51)</f>
        <v/>
      </c>
      <c r="EI51" s="3" t="str">
        <f>IF(Briefing_FID!EI51="","",Briefing_FID!EI51)</f>
        <v/>
      </c>
      <c r="EJ51" s="28" t="str">
        <f>IF(Briefing_FID!EJ51="","",Briefing_FID!EJ51)</f>
        <v/>
      </c>
      <c r="EK51" s="100" t="str">
        <f>IF(Briefing_FID!EK51="","",Briefing_FID!EK51)</f>
        <v/>
      </c>
      <c r="EL51" s="3" t="str">
        <f>IF(Briefing_FID!EL51="","",Briefing_FID!EL51)</f>
        <v/>
      </c>
      <c r="EM51" s="28" t="str">
        <f>IF(Briefing_FID!EM51="","",Briefing_FID!EM51)</f>
        <v/>
      </c>
      <c r="EN51" s="100" t="str">
        <f>IF(Briefing_FID!EN51="","",Briefing_FID!EN51)</f>
        <v/>
      </c>
      <c r="EO51" s="3" t="str">
        <f>IF(Briefing_FID!EO51="","",Briefing_FID!EO51)</f>
        <v/>
      </c>
      <c r="EP51" s="28" t="str">
        <f>IF(Briefing_FID!EP51="","",Briefing_FID!EP51)</f>
        <v/>
      </c>
      <c r="EQ51" s="28" t="str">
        <f>IF(Briefing_FID!EQ51="","",Briefing_FID!EQ51)</f>
        <v/>
      </c>
      <c r="ER51" s="28" t="str">
        <f>IF(Briefing_FID!ER51="","",Briefing_FID!ER51)</f>
        <v/>
      </c>
      <c r="ES51" s="62"/>
      <c r="ET51" s="96" t="str">
        <f>IF(Briefing_FID!EZ51="","",Briefing_FID!EZ51)</f>
        <v/>
      </c>
      <c r="EU51" s="97" t="str">
        <f>IF(Briefing_FID!FA51="","",Briefing_FID!FA51)</f>
        <v/>
      </c>
      <c r="EV51" s="98" t="str">
        <f>IF(Briefing_FID!FB51="","",Briefing_FID!FB51)</f>
        <v/>
      </c>
      <c r="EW51" s="96" t="str">
        <f>IF(Briefing_FID!FC51="","",Briefing_FID!FC51)</f>
        <v/>
      </c>
      <c r="EX51" s="97" t="str">
        <f>IF(Briefing_FID!FD51="","",Briefing_FID!FD51)</f>
        <v/>
      </c>
      <c r="EY51" s="98" t="str">
        <f>IF(Briefing_FID!FE51="","",Briefing_FID!FE51)</f>
        <v/>
      </c>
      <c r="EZ51" s="104" t="str">
        <f>IF(Briefing_FID!FF51="","",Briefing_FID!FF51)</f>
        <v/>
      </c>
      <c r="FA51" s="144" t="str">
        <f>IF(Briefing_FID!FG51="","",Briefing_FID!FG51)</f>
        <v/>
      </c>
      <c r="FB51" s="144" t="str">
        <f>IF(Briefing_FID!FH51="","",Briefing_FID!FH51)</f>
        <v/>
      </c>
      <c r="FC51" s="144" t="str">
        <f>IF(Briefing_FID!FI51="","",Briefing_FID!FI51)</f>
        <v/>
      </c>
      <c r="FD51" s="144" t="str">
        <f>IF(Briefing_FID!FJ51="","",Briefing_FID!FJ51)</f>
        <v/>
      </c>
      <c r="FE51" s="144" t="str">
        <f>IF(Briefing_FID!FK51="","",Briefing_FID!FK51)</f>
        <v/>
      </c>
      <c r="FF51" s="144" t="str">
        <f>IF(Briefing_FID!FL51="","",Briefing_FID!FL51)</f>
        <v/>
      </c>
      <c r="FG51" s="144" t="str">
        <f>IF(Briefing_FID!FM51="","",Briefing_FID!FM51)</f>
        <v/>
      </c>
      <c r="FH51" s="144" t="str">
        <f>IF(Briefing_FID!FN51="","",Briefing_FID!FN51)</f>
        <v/>
      </c>
      <c r="FI51" s="144" t="str">
        <f>IF(Briefing_FID!FO51="","",Briefing_FID!FO51)</f>
        <v/>
      </c>
      <c r="FJ51" s="144" t="str">
        <f>IF(Briefing_FID!FP51="","",Briefing_FID!FP51)</f>
        <v/>
      </c>
      <c r="FK51" s="144" t="str">
        <f>IF(Briefing_FID!FQ51="","",Briefing_FID!FQ51)</f>
        <v/>
      </c>
      <c r="FL51" s="144" t="str">
        <f>IF(Briefing_FID!FR51="","",Briefing_FID!FR51)</f>
        <v/>
      </c>
      <c r="FM51" s="144" t="str">
        <f>IF(Briefing_FID!FS51="","",Briefing_FID!FS51)</f>
        <v/>
      </c>
      <c r="FN51" s="144" t="str">
        <f>IF(Briefing_FID!FT51="","",Briefing_FID!FT51)</f>
        <v/>
      </c>
      <c r="FO51" s="144" t="str">
        <f>IF(Briefing_FID!FU51="","",Briefing_FID!FU51)</f>
        <v/>
      </c>
      <c r="FP51" s="144" t="str">
        <f>IF(Briefing_FID!FV51="","",Briefing_FID!FV51)</f>
        <v/>
      </c>
      <c r="FQ51" s="144" t="str">
        <f>IF(Briefing_FID!FW51="","",Briefing_FID!FW51)</f>
        <v/>
      </c>
      <c r="FR51" s="151"/>
      <c r="FS51" s="152"/>
      <c r="FT51" s="152"/>
      <c r="FU51" s="152"/>
      <c r="FV51" s="152"/>
      <c r="FW51" s="152"/>
      <c r="FX51" s="152"/>
      <c r="FY51" s="152"/>
      <c r="FZ51" s="152"/>
      <c r="GA51" s="153"/>
    </row>
    <row r="52" spans="1:183">
      <c r="A52" s="136" t="str">
        <f>IF(Briefing_FID!A52="","",Briefing_FID!A52)</f>
        <v/>
      </c>
      <c r="B52" s="137" t="str">
        <f>IF(Briefing_FID!B52="","",Briefing_FID!B52)</f>
        <v/>
      </c>
      <c r="C52" s="137" t="str">
        <f>IF(Briefing_FID!C52="","",Briefing_FID!C52)</f>
        <v/>
      </c>
      <c r="D52" s="46"/>
      <c r="E52" s="120"/>
      <c r="F52" s="117"/>
      <c r="G52" s="117"/>
      <c r="H52" s="72"/>
      <c r="I52" s="72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23"/>
      <c r="AD52" s="117"/>
      <c r="AE52" s="117"/>
      <c r="AF52" s="117"/>
      <c r="AG52" s="117"/>
      <c r="AH52" s="117"/>
      <c r="AI52" s="117"/>
      <c r="AJ52" s="117"/>
      <c r="AK52" s="117"/>
      <c r="AL52" s="124"/>
      <c r="AM52" s="37"/>
      <c r="AN52" s="38"/>
      <c r="AO52" s="39"/>
      <c r="AP52" s="111" t="str">
        <f>IF(Briefing_FID!AP52="","",Briefing_FID!AP52)</f>
        <v/>
      </c>
      <c r="AQ52" s="112" t="str">
        <f>IF(Briefing_FID!AQ52="","",Briefing_FID!AQ52)</f>
        <v/>
      </c>
      <c r="AR52" s="107" t="str">
        <f>IF(Briefing_FID!AR52="","",Briefing_FID!AR52)</f>
        <v/>
      </c>
      <c r="AS52" s="108" t="str">
        <f>IF(Briefing_FID!AS52="","",Briefing_FID!AS52)</f>
        <v/>
      </c>
      <c r="AT52" s="113" t="str">
        <f>IF(Briefing_FID!AT52="","",Briefing_FID!AT52)</f>
        <v/>
      </c>
      <c r="AU52" s="113" t="str">
        <f>IF(Briefing_FID!AU52="","",Briefing_FID!AU52)</f>
        <v/>
      </c>
      <c r="AV52" s="113" t="str">
        <f>IF(Briefing_FID!AV52="","",Briefing_FID!AV52)</f>
        <v/>
      </c>
      <c r="AW52" s="113" t="str">
        <f>IF(Briefing_FID!AW52="","",Briefing_FID!AW52)</f>
        <v/>
      </c>
      <c r="AX52" s="114" t="str">
        <f>IF(Briefing_FID!AX52="","",Briefing_FID!AX52)</f>
        <v/>
      </c>
      <c r="AY52" s="71"/>
      <c r="AZ52" s="117" t="str">
        <f>IF(Briefing_FID!AZ52="","",Briefing_FID!AZ52)</f>
        <v/>
      </c>
      <c r="BA52" s="118" t="str">
        <f>IF(Briefing_FID!BA52="","",Briefing_FID!BA52)</f>
        <v/>
      </c>
      <c r="BB52" s="55"/>
      <c r="BC52" s="102" t="str">
        <f>IF(Briefing_FID!BC52="","",Briefing_FID!BC52)</f>
        <v/>
      </c>
      <c r="BD52" s="27" t="str">
        <f>IF(Briefing_FID!BD52="","",Briefing_FID!BD52)</f>
        <v/>
      </c>
      <c r="BE52" s="100" t="str">
        <f>IF(Briefing_FID!BE52="","",Briefing_FID!BE52)</f>
        <v/>
      </c>
      <c r="BF52" s="3" t="str">
        <f>IF(Briefing_FID!BF52="","",Briefing_FID!BF52)</f>
        <v/>
      </c>
      <c r="BG52" s="10" t="str">
        <f>IF(Briefing_FID!BG52="","",Briefing_FID!BG52)</f>
        <v/>
      </c>
      <c r="BH52" s="100" t="str">
        <f>IF(Briefing_FID!BH52="","",Briefing_FID!BH52)</f>
        <v/>
      </c>
      <c r="BI52" s="3" t="str">
        <f>IF(Briefing_FID!BI52="","",Briefing_FID!BI52)</f>
        <v/>
      </c>
      <c r="BJ52" s="10" t="str">
        <f>IF(Briefing_FID!BJ52="","",Briefing_FID!BJ52)</f>
        <v/>
      </c>
      <c r="BK52" s="100" t="str">
        <f>IF(Briefing_FID!BK52="","",Briefing_FID!BK52)</f>
        <v/>
      </c>
      <c r="BL52" s="3" t="str">
        <f>IF(Briefing_FID!BL52="","",Briefing_FID!BL52)</f>
        <v/>
      </c>
      <c r="BM52" s="28" t="str">
        <f>IF(Briefing_FID!BM52="","",Briefing_FID!BM52)</f>
        <v/>
      </c>
      <c r="BN52" s="100" t="str">
        <f>IF(Briefing_FID!BN52="","",Briefing_FID!BN52)</f>
        <v/>
      </c>
      <c r="BO52" s="3" t="str">
        <f>IF(Briefing_FID!BO52="","",Briefing_FID!BO52)</f>
        <v/>
      </c>
      <c r="BP52" s="28" t="str">
        <f>IF(Briefing_FID!BP52="","",Briefing_FID!BP52)</f>
        <v/>
      </c>
      <c r="BQ52" s="100" t="str">
        <f>IF(Briefing_FID!BQ52="","",Briefing_FID!BQ52)</f>
        <v/>
      </c>
      <c r="BR52" s="3" t="str">
        <f>IF(Briefing_FID!BR52="","",Briefing_FID!BR52)</f>
        <v/>
      </c>
      <c r="BS52" s="28" t="str">
        <f>IF(Briefing_FID!BS52="","",Briefing_FID!BS52)</f>
        <v/>
      </c>
      <c r="BT52" s="100" t="str">
        <f>IF(Briefing_FID!BT52="","",Briefing_FID!BT52)</f>
        <v/>
      </c>
      <c r="BU52" s="3" t="str">
        <f>IF(Briefing_FID!BU52="","",Briefing_FID!BU52)</f>
        <v/>
      </c>
      <c r="BV52" s="28" t="str">
        <f>IF(Briefing_FID!BV52="","",Briefing_FID!BV52)</f>
        <v/>
      </c>
      <c r="BW52" s="100" t="str">
        <f>IF(Briefing_FID!BW52="","",Briefing_FID!BW52)</f>
        <v/>
      </c>
      <c r="BX52" s="3" t="str">
        <f>IF(Briefing_FID!BX52="","",Briefing_FID!BX52)</f>
        <v/>
      </c>
      <c r="BY52" s="28" t="str">
        <f>IF(Briefing_FID!BY52="","",Briefing_FID!BY52)</f>
        <v/>
      </c>
      <c r="BZ52" s="100" t="str">
        <f>IF(Briefing_FID!BZ52="","",Briefing_FID!BZ52)</f>
        <v/>
      </c>
      <c r="CA52" s="3" t="str">
        <f>IF(Briefing_FID!CA52="","",Briefing_FID!CA52)</f>
        <v/>
      </c>
      <c r="CB52" s="28" t="str">
        <f>IF(Briefing_FID!CB52="","",Briefing_FID!CB52)</f>
        <v/>
      </c>
      <c r="CC52" s="100" t="str">
        <f>IF(Briefing_FID!CC52="","",Briefing_FID!CC52)</f>
        <v/>
      </c>
      <c r="CD52" s="3" t="str">
        <f>IF(Briefing_FID!CD52="","",Briefing_FID!CD52)</f>
        <v/>
      </c>
      <c r="CE52" s="28" t="str">
        <f>IF(Briefing_FID!CE52="","",Briefing_FID!CE52)</f>
        <v/>
      </c>
      <c r="CF52" s="100" t="str">
        <f>IF(Briefing_FID!CF52="","",Briefing_FID!CF52)</f>
        <v/>
      </c>
      <c r="CG52" s="3" t="str">
        <f>IF(Briefing_FID!CG52="","",Briefing_FID!CG52)</f>
        <v/>
      </c>
      <c r="CH52" s="28" t="str">
        <f>IF(Briefing_FID!CH52="","",Briefing_FID!CH52)</f>
        <v/>
      </c>
      <c r="CI52" s="100" t="str">
        <f>IF(Briefing_FID!CI52="","",Briefing_FID!CI52)</f>
        <v/>
      </c>
      <c r="CJ52" s="3" t="str">
        <f>IF(Briefing_FID!CJ52="","",Briefing_FID!CJ52)</f>
        <v/>
      </c>
      <c r="CK52" s="28" t="str">
        <f>IF(Briefing_FID!CK52="","",Briefing_FID!CK52)</f>
        <v/>
      </c>
      <c r="CL52" s="100" t="str">
        <f>IF(Briefing_FID!CL52="","",Briefing_FID!CL52)</f>
        <v/>
      </c>
      <c r="CM52" s="3" t="str">
        <f>IF(Briefing_FID!CM52="","",Briefing_FID!CM52)</f>
        <v/>
      </c>
      <c r="CN52" s="28" t="str">
        <f>IF(Briefing_FID!CN52="","",Briefing_FID!CN52)</f>
        <v/>
      </c>
      <c r="CO52" s="100" t="str">
        <f>IF(Briefing_FID!CO52="","",Briefing_FID!CO52)</f>
        <v/>
      </c>
      <c r="CP52" s="3" t="str">
        <f>IF(Briefing_FID!CP52="","",Briefing_FID!CP52)</f>
        <v/>
      </c>
      <c r="CQ52" s="28" t="str">
        <f>IF(Briefing_FID!CQ52="","",Briefing_FID!CQ52)</f>
        <v/>
      </c>
      <c r="CR52" s="100" t="str">
        <f>IF(Briefing_FID!CR52="","",Briefing_FID!CR52)</f>
        <v/>
      </c>
      <c r="CS52" s="3" t="str">
        <f>IF(Briefing_FID!CS52="","",Briefing_FID!CS52)</f>
        <v/>
      </c>
      <c r="CT52" s="28" t="str">
        <f>IF(Briefing_FID!CT52="","",Briefing_FID!CT52)</f>
        <v/>
      </c>
      <c r="CU52" s="100" t="str">
        <f>IF(Briefing_FID!CU52="","",Briefing_FID!CU52)</f>
        <v/>
      </c>
      <c r="CV52" s="3" t="str">
        <f>IF(Briefing_FID!CV52="","",Briefing_FID!CV52)</f>
        <v/>
      </c>
      <c r="CW52" s="28" t="str">
        <f>IF(Briefing_FID!CW52="","",Briefing_FID!CW52)</f>
        <v/>
      </c>
      <c r="CX52" s="100" t="str">
        <f>IF(Briefing_FID!CX52="","",Briefing_FID!CX52)</f>
        <v/>
      </c>
      <c r="CY52" s="3" t="str">
        <f>IF(Briefing_FID!CY52="","",Briefing_FID!CY52)</f>
        <v/>
      </c>
      <c r="CZ52" s="28" t="str">
        <f>IF(Briefing_FID!CZ52="","",Briefing_FID!CZ52)</f>
        <v/>
      </c>
      <c r="DA52" s="100" t="str">
        <f>IF(Briefing_FID!DA52="","",Briefing_FID!DA52)</f>
        <v/>
      </c>
      <c r="DB52" s="3" t="str">
        <f>IF(Briefing_FID!DB52="","",Briefing_FID!DB52)</f>
        <v/>
      </c>
      <c r="DC52" s="28" t="str">
        <f>IF(Briefing_FID!DC52="","",Briefing_FID!DC52)</f>
        <v/>
      </c>
      <c r="DD52" s="100" t="str">
        <f>IF(Briefing_FID!DD52="","",Briefing_FID!DD52)</f>
        <v/>
      </c>
      <c r="DE52" s="3" t="str">
        <f>IF(Briefing_FID!DE52="","",Briefing_FID!DE52)</f>
        <v/>
      </c>
      <c r="DF52" s="28" t="str">
        <f>IF(Briefing_FID!DF52="","",Briefing_FID!DF52)</f>
        <v/>
      </c>
      <c r="DG52" s="100" t="str">
        <f>IF(Briefing_FID!DG52="","",Briefing_FID!DG52)</f>
        <v/>
      </c>
      <c r="DH52" s="3" t="str">
        <f>IF(Briefing_FID!DH52="","",Briefing_FID!DH52)</f>
        <v/>
      </c>
      <c r="DI52" s="28" t="str">
        <f>IF(Briefing_FID!DI52="","",Briefing_FID!DI52)</f>
        <v/>
      </c>
      <c r="DJ52" s="100" t="str">
        <f>IF(Briefing_FID!DJ52="","",Briefing_FID!DJ52)</f>
        <v/>
      </c>
      <c r="DK52" s="3" t="str">
        <f>IF(Briefing_FID!DK52="","",Briefing_FID!DK52)</f>
        <v/>
      </c>
      <c r="DL52" s="28" t="str">
        <f>IF(Briefing_FID!DL52="","",Briefing_FID!DL52)</f>
        <v/>
      </c>
      <c r="DM52" s="100" t="str">
        <f>IF(Briefing_FID!DM52="","",Briefing_FID!DM52)</f>
        <v/>
      </c>
      <c r="DN52" s="3" t="str">
        <f>IF(Briefing_FID!DN52="","",Briefing_FID!DN52)</f>
        <v/>
      </c>
      <c r="DO52" s="28" t="str">
        <f>IF(Briefing_FID!DO52="","",Briefing_FID!DO52)</f>
        <v/>
      </c>
      <c r="DP52" s="100" t="str">
        <f>IF(Briefing_FID!DP52="","",Briefing_FID!DP52)</f>
        <v/>
      </c>
      <c r="DQ52" s="3" t="str">
        <f>IF(Briefing_FID!DQ52="","",Briefing_FID!DQ52)</f>
        <v/>
      </c>
      <c r="DR52" s="28" t="str">
        <f>IF(Briefing_FID!DR52="","",Briefing_FID!DR52)</f>
        <v/>
      </c>
      <c r="DS52" s="100" t="str">
        <f>IF(Briefing_FID!DS52="","",Briefing_FID!DS52)</f>
        <v/>
      </c>
      <c r="DT52" s="3" t="str">
        <f>IF(Briefing_FID!DT52="","",Briefing_FID!DT52)</f>
        <v/>
      </c>
      <c r="DU52" s="28" t="str">
        <f>IF(Briefing_FID!DU52="","",Briefing_FID!DU52)</f>
        <v/>
      </c>
      <c r="DV52" s="100" t="str">
        <f>IF(Briefing_FID!DV52="","",Briefing_FID!DV52)</f>
        <v/>
      </c>
      <c r="DW52" s="3" t="str">
        <f>IF(Briefing_FID!DW52="","",Briefing_FID!DW52)</f>
        <v/>
      </c>
      <c r="DX52" s="28" t="str">
        <f>IF(Briefing_FID!DX52="","",Briefing_FID!DX52)</f>
        <v/>
      </c>
      <c r="DY52" s="100" t="str">
        <f>IF(Briefing_FID!DY52="","",Briefing_FID!DY52)</f>
        <v/>
      </c>
      <c r="DZ52" s="3" t="str">
        <f>IF(Briefing_FID!DZ52="","",Briefing_FID!DZ52)</f>
        <v/>
      </c>
      <c r="EA52" s="28" t="str">
        <f>IF(Briefing_FID!EA52="","",Briefing_FID!EA52)</f>
        <v/>
      </c>
      <c r="EB52" s="100" t="str">
        <f>IF(Briefing_FID!EB52="","",Briefing_FID!EB52)</f>
        <v/>
      </c>
      <c r="EC52" s="3" t="str">
        <f>IF(Briefing_FID!EC52="","",Briefing_FID!EC52)</f>
        <v/>
      </c>
      <c r="ED52" s="28" t="str">
        <f>IF(Briefing_FID!ED52="","",Briefing_FID!ED52)</f>
        <v/>
      </c>
      <c r="EE52" s="100" t="str">
        <f>IF(Briefing_FID!EE52="","",Briefing_FID!EE52)</f>
        <v/>
      </c>
      <c r="EF52" s="3" t="str">
        <f>IF(Briefing_FID!EF52="","",Briefing_FID!EF52)</f>
        <v/>
      </c>
      <c r="EG52" s="28" t="str">
        <f>IF(Briefing_FID!EG52="","",Briefing_FID!EG52)</f>
        <v/>
      </c>
      <c r="EH52" s="100" t="str">
        <f>IF(Briefing_FID!EH52="","",Briefing_FID!EH52)</f>
        <v/>
      </c>
      <c r="EI52" s="3" t="str">
        <f>IF(Briefing_FID!EI52="","",Briefing_FID!EI52)</f>
        <v/>
      </c>
      <c r="EJ52" s="28" t="str">
        <f>IF(Briefing_FID!EJ52="","",Briefing_FID!EJ52)</f>
        <v/>
      </c>
      <c r="EK52" s="100" t="str">
        <f>IF(Briefing_FID!EK52="","",Briefing_FID!EK52)</f>
        <v/>
      </c>
      <c r="EL52" s="3" t="str">
        <f>IF(Briefing_FID!EL52="","",Briefing_FID!EL52)</f>
        <v/>
      </c>
      <c r="EM52" s="28" t="str">
        <f>IF(Briefing_FID!EM52="","",Briefing_FID!EM52)</f>
        <v/>
      </c>
      <c r="EN52" s="100" t="str">
        <f>IF(Briefing_FID!EN52="","",Briefing_FID!EN52)</f>
        <v/>
      </c>
      <c r="EO52" s="3" t="str">
        <f>IF(Briefing_FID!EO52="","",Briefing_FID!EO52)</f>
        <v/>
      </c>
      <c r="EP52" s="28" t="str">
        <f>IF(Briefing_FID!EP52="","",Briefing_FID!EP52)</f>
        <v/>
      </c>
      <c r="EQ52" s="28" t="str">
        <f>IF(Briefing_FID!EQ52="","",Briefing_FID!EQ52)</f>
        <v/>
      </c>
      <c r="ER52" s="28" t="str">
        <f>IF(Briefing_FID!ER52="","",Briefing_FID!ER52)</f>
        <v/>
      </c>
      <c r="ES52" s="62"/>
      <c r="ET52" s="96" t="str">
        <f>IF(Briefing_FID!EZ52="","",Briefing_FID!EZ52)</f>
        <v/>
      </c>
      <c r="EU52" s="97" t="str">
        <f>IF(Briefing_FID!FA52="","",Briefing_FID!FA52)</f>
        <v/>
      </c>
      <c r="EV52" s="98" t="str">
        <f>IF(Briefing_FID!FB52="","",Briefing_FID!FB52)</f>
        <v/>
      </c>
      <c r="EW52" s="96" t="str">
        <f>IF(Briefing_FID!FC52="","",Briefing_FID!FC52)</f>
        <v/>
      </c>
      <c r="EX52" s="97" t="str">
        <f>IF(Briefing_FID!FD52="","",Briefing_FID!FD52)</f>
        <v/>
      </c>
      <c r="EY52" s="98" t="str">
        <f>IF(Briefing_FID!FE52="","",Briefing_FID!FE52)</f>
        <v/>
      </c>
      <c r="EZ52" s="104" t="str">
        <f>IF(Briefing_FID!FF52="","",Briefing_FID!FF52)</f>
        <v/>
      </c>
      <c r="FA52" s="144" t="str">
        <f>IF(Briefing_FID!FG52="","",Briefing_FID!FG52)</f>
        <v/>
      </c>
      <c r="FB52" s="144" t="str">
        <f>IF(Briefing_FID!FH52="","",Briefing_FID!FH52)</f>
        <v/>
      </c>
      <c r="FC52" s="144" t="str">
        <f>IF(Briefing_FID!FI52="","",Briefing_FID!FI52)</f>
        <v/>
      </c>
      <c r="FD52" s="144" t="str">
        <f>IF(Briefing_FID!FJ52="","",Briefing_FID!FJ52)</f>
        <v/>
      </c>
      <c r="FE52" s="144" t="str">
        <f>IF(Briefing_FID!FK52="","",Briefing_FID!FK52)</f>
        <v/>
      </c>
      <c r="FF52" s="144" t="str">
        <f>IF(Briefing_FID!FL52="","",Briefing_FID!FL52)</f>
        <v/>
      </c>
      <c r="FG52" s="144" t="str">
        <f>IF(Briefing_FID!FM52="","",Briefing_FID!FM52)</f>
        <v/>
      </c>
      <c r="FH52" s="144" t="str">
        <f>IF(Briefing_FID!FN52="","",Briefing_FID!FN52)</f>
        <v/>
      </c>
      <c r="FI52" s="144" t="str">
        <f>IF(Briefing_FID!FO52="","",Briefing_FID!FO52)</f>
        <v/>
      </c>
      <c r="FJ52" s="144" t="str">
        <f>IF(Briefing_FID!FP52="","",Briefing_FID!FP52)</f>
        <v/>
      </c>
      <c r="FK52" s="144" t="str">
        <f>IF(Briefing_FID!FQ52="","",Briefing_FID!FQ52)</f>
        <v/>
      </c>
      <c r="FL52" s="144" t="str">
        <f>IF(Briefing_FID!FR52="","",Briefing_FID!FR52)</f>
        <v/>
      </c>
      <c r="FM52" s="144" t="str">
        <f>IF(Briefing_FID!FS52="","",Briefing_FID!FS52)</f>
        <v/>
      </c>
      <c r="FN52" s="144" t="str">
        <f>IF(Briefing_FID!FT52="","",Briefing_FID!FT52)</f>
        <v/>
      </c>
      <c r="FO52" s="144" t="str">
        <f>IF(Briefing_FID!FU52="","",Briefing_FID!FU52)</f>
        <v/>
      </c>
      <c r="FP52" s="144" t="str">
        <f>IF(Briefing_FID!FV52="","",Briefing_FID!FV52)</f>
        <v/>
      </c>
      <c r="FQ52" s="144" t="str">
        <f>IF(Briefing_FID!FW52="","",Briefing_FID!FW52)</f>
        <v/>
      </c>
      <c r="FR52" s="151"/>
      <c r="FS52" s="152"/>
      <c r="FT52" s="152"/>
      <c r="FU52" s="152"/>
      <c r="FV52" s="152"/>
      <c r="FW52" s="152"/>
      <c r="FX52" s="152"/>
      <c r="FY52" s="152"/>
      <c r="FZ52" s="152"/>
      <c r="GA52" s="153"/>
    </row>
    <row r="53" spans="1:183">
      <c r="A53" s="136" t="str">
        <f>IF(Briefing_FID!A53="","",Briefing_FID!A53)</f>
        <v/>
      </c>
      <c r="B53" s="137" t="str">
        <f>IF(Briefing_FID!B53="","",Briefing_FID!B53)</f>
        <v/>
      </c>
      <c r="C53" s="137" t="str">
        <f>IF(Briefing_FID!C53="","",Briefing_FID!C53)</f>
        <v/>
      </c>
      <c r="D53" s="46"/>
      <c r="E53" s="120"/>
      <c r="F53" s="117"/>
      <c r="G53" s="117"/>
      <c r="H53" s="72"/>
      <c r="I53" s="72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23"/>
      <c r="AD53" s="117"/>
      <c r="AE53" s="117"/>
      <c r="AF53" s="117"/>
      <c r="AG53" s="117"/>
      <c r="AH53" s="117"/>
      <c r="AI53" s="117"/>
      <c r="AJ53" s="117"/>
      <c r="AK53" s="117"/>
      <c r="AL53" s="124"/>
      <c r="AM53" s="37"/>
      <c r="AN53" s="38"/>
      <c r="AO53" s="39"/>
      <c r="AP53" s="111" t="str">
        <f>IF(Briefing_FID!AP53="","",Briefing_FID!AP53)</f>
        <v/>
      </c>
      <c r="AQ53" s="112" t="str">
        <f>IF(Briefing_FID!AQ53="","",Briefing_FID!AQ53)</f>
        <v/>
      </c>
      <c r="AR53" s="107" t="str">
        <f>IF(Briefing_FID!AR53="","",Briefing_FID!AR53)</f>
        <v/>
      </c>
      <c r="AS53" s="108" t="str">
        <f>IF(Briefing_FID!AS53="","",Briefing_FID!AS53)</f>
        <v/>
      </c>
      <c r="AT53" s="113" t="str">
        <f>IF(Briefing_FID!AT53="","",Briefing_FID!AT53)</f>
        <v/>
      </c>
      <c r="AU53" s="113" t="str">
        <f>IF(Briefing_FID!AU53="","",Briefing_FID!AU53)</f>
        <v/>
      </c>
      <c r="AV53" s="113" t="str">
        <f>IF(Briefing_FID!AV53="","",Briefing_FID!AV53)</f>
        <v/>
      </c>
      <c r="AW53" s="113" t="str">
        <f>IF(Briefing_FID!AW53="","",Briefing_FID!AW53)</f>
        <v/>
      </c>
      <c r="AX53" s="114" t="str">
        <f>IF(Briefing_FID!AX53="","",Briefing_FID!AX53)</f>
        <v/>
      </c>
      <c r="AY53" s="71"/>
      <c r="AZ53" s="117" t="str">
        <f>IF(Briefing_FID!AZ53="","",Briefing_FID!AZ53)</f>
        <v/>
      </c>
      <c r="BA53" s="118" t="str">
        <f>IF(Briefing_FID!BA53="","",Briefing_FID!BA53)</f>
        <v/>
      </c>
      <c r="BB53" s="55"/>
      <c r="BC53" s="102" t="str">
        <f>IF(Briefing_FID!BC53="","",Briefing_FID!BC53)</f>
        <v/>
      </c>
      <c r="BD53" s="27" t="str">
        <f>IF(Briefing_FID!BD53="","",Briefing_FID!BD53)</f>
        <v/>
      </c>
      <c r="BE53" s="100" t="str">
        <f>IF(Briefing_FID!BE53="","",Briefing_FID!BE53)</f>
        <v/>
      </c>
      <c r="BF53" s="3" t="str">
        <f>IF(Briefing_FID!BF53="","",Briefing_FID!BF53)</f>
        <v/>
      </c>
      <c r="BG53" s="10" t="str">
        <f>IF(Briefing_FID!BG53="","",Briefing_FID!BG53)</f>
        <v/>
      </c>
      <c r="BH53" s="100" t="str">
        <f>IF(Briefing_FID!BH53="","",Briefing_FID!BH53)</f>
        <v/>
      </c>
      <c r="BI53" s="3" t="str">
        <f>IF(Briefing_FID!BI53="","",Briefing_FID!BI53)</f>
        <v/>
      </c>
      <c r="BJ53" s="10" t="str">
        <f>IF(Briefing_FID!BJ53="","",Briefing_FID!BJ53)</f>
        <v/>
      </c>
      <c r="BK53" s="100" t="str">
        <f>IF(Briefing_FID!BK53="","",Briefing_FID!BK53)</f>
        <v/>
      </c>
      <c r="BL53" s="3" t="str">
        <f>IF(Briefing_FID!BL53="","",Briefing_FID!BL53)</f>
        <v/>
      </c>
      <c r="BM53" s="28" t="str">
        <f>IF(Briefing_FID!BM53="","",Briefing_FID!BM53)</f>
        <v/>
      </c>
      <c r="BN53" s="100" t="str">
        <f>IF(Briefing_FID!BN53="","",Briefing_FID!BN53)</f>
        <v/>
      </c>
      <c r="BO53" s="3" t="str">
        <f>IF(Briefing_FID!BO53="","",Briefing_FID!BO53)</f>
        <v/>
      </c>
      <c r="BP53" s="28" t="str">
        <f>IF(Briefing_FID!BP53="","",Briefing_FID!BP53)</f>
        <v/>
      </c>
      <c r="BQ53" s="100" t="str">
        <f>IF(Briefing_FID!BQ53="","",Briefing_FID!BQ53)</f>
        <v/>
      </c>
      <c r="BR53" s="3" t="str">
        <f>IF(Briefing_FID!BR53="","",Briefing_FID!BR53)</f>
        <v/>
      </c>
      <c r="BS53" s="28" t="str">
        <f>IF(Briefing_FID!BS53="","",Briefing_FID!BS53)</f>
        <v/>
      </c>
      <c r="BT53" s="100" t="str">
        <f>IF(Briefing_FID!BT53="","",Briefing_FID!BT53)</f>
        <v/>
      </c>
      <c r="BU53" s="3" t="str">
        <f>IF(Briefing_FID!BU53="","",Briefing_FID!BU53)</f>
        <v/>
      </c>
      <c r="BV53" s="28" t="str">
        <f>IF(Briefing_FID!BV53="","",Briefing_FID!BV53)</f>
        <v/>
      </c>
      <c r="BW53" s="100" t="str">
        <f>IF(Briefing_FID!BW53="","",Briefing_FID!BW53)</f>
        <v/>
      </c>
      <c r="BX53" s="3" t="str">
        <f>IF(Briefing_FID!BX53="","",Briefing_FID!BX53)</f>
        <v/>
      </c>
      <c r="BY53" s="28" t="str">
        <f>IF(Briefing_FID!BY53="","",Briefing_FID!BY53)</f>
        <v/>
      </c>
      <c r="BZ53" s="100" t="str">
        <f>IF(Briefing_FID!BZ53="","",Briefing_FID!BZ53)</f>
        <v/>
      </c>
      <c r="CA53" s="3" t="str">
        <f>IF(Briefing_FID!CA53="","",Briefing_FID!CA53)</f>
        <v/>
      </c>
      <c r="CB53" s="28" t="str">
        <f>IF(Briefing_FID!CB53="","",Briefing_FID!CB53)</f>
        <v/>
      </c>
      <c r="CC53" s="100" t="str">
        <f>IF(Briefing_FID!CC53="","",Briefing_FID!CC53)</f>
        <v/>
      </c>
      <c r="CD53" s="3" t="str">
        <f>IF(Briefing_FID!CD53="","",Briefing_FID!CD53)</f>
        <v/>
      </c>
      <c r="CE53" s="28" t="str">
        <f>IF(Briefing_FID!CE53="","",Briefing_FID!CE53)</f>
        <v/>
      </c>
      <c r="CF53" s="100" t="str">
        <f>IF(Briefing_FID!CF53="","",Briefing_FID!CF53)</f>
        <v/>
      </c>
      <c r="CG53" s="3" t="str">
        <f>IF(Briefing_FID!CG53="","",Briefing_FID!CG53)</f>
        <v/>
      </c>
      <c r="CH53" s="28" t="str">
        <f>IF(Briefing_FID!CH53="","",Briefing_FID!CH53)</f>
        <v/>
      </c>
      <c r="CI53" s="100" t="str">
        <f>IF(Briefing_FID!CI53="","",Briefing_FID!CI53)</f>
        <v/>
      </c>
      <c r="CJ53" s="3" t="str">
        <f>IF(Briefing_FID!CJ53="","",Briefing_FID!CJ53)</f>
        <v/>
      </c>
      <c r="CK53" s="28" t="str">
        <f>IF(Briefing_FID!CK53="","",Briefing_FID!CK53)</f>
        <v/>
      </c>
      <c r="CL53" s="100" t="str">
        <f>IF(Briefing_FID!CL53="","",Briefing_FID!CL53)</f>
        <v/>
      </c>
      <c r="CM53" s="3" t="str">
        <f>IF(Briefing_FID!CM53="","",Briefing_FID!CM53)</f>
        <v/>
      </c>
      <c r="CN53" s="28" t="str">
        <f>IF(Briefing_FID!CN53="","",Briefing_FID!CN53)</f>
        <v/>
      </c>
      <c r="CO53" s="100" t="str">
        <f>IF(Briefing_FID!CO53="","",Briefing_FID!CO53)</f>
        <v/>
      </c>
      <c r="CP53" s="3" t="str">
        <f>IF(Briefing_FID!CP53="","",Briefing_FID!CP53)</f>
        <v/>
      </c>
      <c r="CQ53" s="28" t="str">
        <f>IF(Briefing_FID!CQ53="","",Briefing_FID!CQ53)</f>
        <v/>
      </c>
      <c r="CR53" s="100" t="str">
        <f>IF(Briefing_FID!CR53="","",Briefing_FID!CR53)</f>
        <v/>
      </c>
      <c r="CS53" s="3" t="str">
        <f>IF(Briefing_FID!CS53="","",Briefing_FID!CS53)</f>
        <v/>
      </c>
      <c r="CT53" s="28" t="str">
        <f>IF(Briefing_FID!CT53="","",Briefing_FID!CT53)</f>
        <v/>
      </c>
      <c r="CU53" s="100" t="str">
        <f>IF(Briefing_FID!CU53="","",Briefing_FID!CU53)</f>
        <v/>
      </c>
      <c r="CV53" s="3" t="str">
        <f>IF(Briefing_FID!CV53="","",Briefing_FID!CV53)</f>
        <v/>
      </c>
      <c r="CW53" s="28" t="str">
        <f>IF(Briefing_FID!CW53="","",Briefing_FID!CW53)</f>
        <v/>
      </c>
      <c r="CX53" s="100" t="str">
        <f>IF(Briefing_FID!CX53="","",Briefing_FID!CX53)</f>
        <v/>
      </c>
      <c r="CY53" s="3" t="str">
        <f>IF(Briefing_FID!CY53="","",Briefing_FID!CY53)</f>
        <v/>
      </c>
      <c r="CZ53" s="28" t="str">
        <f>IF(Briefing_FID!CZ53="","",Briefing_FID!CZ53)</f>
        <v/>
      </c>
      <c r="DA53" s="100" t="str">
        <f>IF(Briefing_FID!DA53="","",Briefing_FID!DA53)</f>
        <v/>
      </c>
      <c r="DB53" s="3" t="str">
        <f>IF(Briefing_FID!DB53="","",Briefing_FID!DB53)</f>
        <v/>
      </c>
      <c r="DC53" s="28" t="str">
        <f>IF(Briefing_FID!DC53="","",Briefing_FID!DC53)</f>
        <v/>
      </c>
      <c r="DD53" s="100" t="str">
        <f>IF(Briefing_FID!DD53="","",Briefing_FID!DD53)</f>
        <v/>
      </c>
      <c r="DE53" s="3" t="str">
        <f>IF(Briefing_FID!DE53="","",Briefing_FID!DE53)</f>
        <v/>
      </c>
      <c r="DF53" s="28" t="str">
        <f>IF(Briefing_FID!DF53="","",Briefing_FID!DF53)</f>
        <v/>
      </c>
      <c r="DG53" s="100" t="str">
        <f>IF(Briefing_FID!DG53="","",Briefing_FID!DG53)</f>
        <v/>
      </c>
      <c r="DH53" s="3" t="str">
        <f>IF(Briefing_FID!DH53="","",Briefing_FID!DH53)</f>
        <v/>
      </c>
      <c r="DI53" s="28" t="str">
        <f>IF(Briefing_FID!DI53="","",Briefing_FID!DI53)</f>
        <v/>
      </c>
      <c r="DJ53" s="100" t="str">
        <f>IF(Briefing_FID!DJ53="","",Briefing_FID!DJ53)</f>
        <v/>
      </c>
      <c r="DK53" s="3" t="str">
        <f>IF(Briefing_FID!DK53="","",Briefing_FID!DK53)</f>
        <v/>
      </c>
      <c r="DL53" s="28" t="str">
        <f>IF(Briefing_FID!DL53="","",Briefing_FID!DL53)</f>
        <v/>
      </c>
      <c r="DM53" s="100" t="str">
        <f>IF(Briefing_FID!DM53="","",Briefing_FID!DM53)</f>
        <v/>
      </c>
      <c r="DN53" s="3" t="str">
        <f>IF(Briefing_FID!DN53="","",Briefing_FID!DN53)</f>
        <v/>
      </c>
      <c r="DO53" s="28" t="str">
        <f>IF(Briefing_FID!DO53="","",Briefing_FID!DO53)</f>
        <v/>
      </c>
      <c r="DP53" s="100" t="str">
        <f>IF(Briefing_FID!DP53="","",Briefing_FID!DP53)</f>
        <v/>
      </c>
      <c r="DQ53" s="3" t="str">
        <f>IF(Briefing_FID!DQ53="","",Briefing_FID!DQ53)</f>
        <v/>
      </c>
      <c r="DR53" s="28" t="str">
        <f>IF(Briefing_FID!DR53="","",Briefing_FID!DR53)</f>
        <v/>
      </c>
      <c r="DS53" s="100" t="str">
        <f>IF(Briefing_FID!DS53="","",Briefing_FID!DS53)</f>
        <v/>
      </c>
      <c r="DT53" s="3" t="str">
        <f>IF(Briefing_FID!DT53="","",Briefing_FID!DT53)</f>
        <v/>
      </c>
      <c r="DU53" s="28" t="str">
        <f>IF(Briefing_FID!DU53="","",Briefing_FID!DU53)</f>
        <v/>
      </c>
      <c r="DV53" s="100" t="str">
        <f>IF(Briefing_FID!DV53="","",Briefing_FID!DV53)</f>
        <v/>
      </c>
      <c r="DW53" s="3" t="str">
        <f>IF(Briefing_FID!DW53="","",Briefing_FID!DW53)</f>
        <v/>
      </c>
      <c r="DX53" s="28" t="str">
        <f>IF(Briefing_FID!DX53="","",Briefing_FID!DX53)</f>
        <v/>
      </c>
      <c r="DY53" s="100" t="str">
        <f>IF(Briefing_FID!DY53="","",Briefing_FID!DY53)</f>
        <v/>
      </c>
      <c r="DZ53" s="3" t="str">
        <f>IF(Briefing_FID!DZ53="","",Briefing_FID!DZ53)</f>
        <v/>
      </c>
      <c r="EA53" s="28" t="str">
        <f>IF(Briefing_FID!EA53="","",Briefing_FID!EA53)</f>
        <v/>
      </c>
      <c r="EB53" s="100" t="str">
        <f>IF(Briefing_FID!EB53="","",Briefing_FID!EB53)</f>
        <v/>
      </c>
      <c r="EC53" s="3" t="str">
        <f>IF(Briefing_FID!EC53="","",Briefing_FID!EC53)</f>
        <v/>
      </c>
      <c r="ED53" s="28" t="str">
        <f>IF(Briefing_FID!ED53="","",Briefing_FID!ED53)</f>
        <v/>
      </c>
      <c r="EE53" s="100" t="str">
        <f>IF(Briefing_FID!EE53="","",Briefing_FID!EE53)</f>
        <v/>
      </c>
      <c r="EF53" s="3" t="str">
        <f>IF(Briefing_FID!EF53="","",Briefing_FID!EF53)</f>
        <v/>
      </c>
      <c r="EG53" s="28" t="str">
        <f>IF(Briefing_FID!EG53="","",Briefing_FID!EG53)</f>
        <v/>
      </c>
      <c r="EH53" s="100" t="str">
        <f>IF(Briefing_FID!EH53="","",Briefing_FID!EH53)</f>
        <v/>
      </c>
      <c r="EI53" s="3" t="str">
        <f>IF(Briefing_FID!EI53="","",Briefing_FID!EI53)</f>
        <v/>
      </c>
      <c r="EJ53" s="28" t="str">
        <f>IF(Briefing_FID!EJ53="","",Briefing_FID!EJ53)</f>
        <v/>
      </c>
      <c r="EK53" s="100" t="str">
        <f>IF(Briefing_FID!EK53="","",Briefing_FID!EK53)</f>
        <v/>
      </c>
      <c r="EL53" s="3" t="str">
        <f>IF(Briefing_FID!EL53="","",Briefing_FID!EL53)</f>
        <v/>
      </c>
      <c r="EM53" s="28" t="str">
        <f>IF(Briefing_FID!EM53="","",Briefing_FID!EM53)</f>
        <v/>
      </c>
      <c r="EN53" s="100" t="str">
        <f>IF(Briefing_FID!EN53="","",Briefing_FID!EN53)</f>
        <v/>
      </c>
      <c r="EO53" s="3" t="str">
        <f>IF(Briefing_FID!EO53="","",Briefing_FID!EO53)</f>
        <v/>
      </c>
      <c r="EP53" s="28" t="str">
        <f>IF(Briefing_FID!EP53="","",Briefing_FID!EP53)</f>
        <v/>
      </c>
      <c r="EQ53" s="28" t="str">
        <f>IF(Briefing_FID!EQ53="","",Briefing_FID!EQ53)</f>
        <v/>
      </c>
      <c r="ER53" s="28" t="str">
        <f>IF(Briefing_FID!ER53="","",Briefing_FID!ER53)</f>
        <v/>
      </c>
      <c r="ES53" s="62"/>
      <c r="ET53" s="96" t="str">
        <f>IF(Briefing_FID!EZ53="","",Briefing_FID!EZ53)</f>
        <v/>
      </c>
      <c r="EU53" s="97" t="str">
        <f>IF(Briefing_FID!FA53="","",Briefing_FID!FA53)</f>
        <v/>
      </c>
      <c r="EV53" s="98" t="str">
        <f>IF(Briefing_FID!FB53="","",Briefing_FID!FB53)</f>
        <v/>
      </c>
      <c r="EW53" s="96" t="str">
        <f>IF(Briefing_FID!FC53="","",Briefing_FID!FC53)</f>
        <v/>
      </c>
      <c r="EX53" s="97" t="str">
        <f>IF(Briefing_FID!FD53="","",Briefing_FID!FD53)</f>
        <v/>
      </c>
      <c r="EY53" s="98" t="str">
        <f>IF(Briefing_FID!FE53="","",Briefing_FID!FE53)</f>
        <v/>
      </c>
      <c r="EZ53" s="104" t="str">
        <f>IF(Briefing_FID!FF53="","",Briefing_FID!FF53)</f>
        <v/>
      </c>
      <c r="FA53" s="144" t="str">
        <f>IF(Briefing_FID!FG53="","",Briefing_FID!FG53)</f>
        <v/>
      </c>
      <c r="FB53" s="144" t="str">
        <f>IF(Briefing_FID!FH53="","",Briefing_FID!FH53)</f>
        <v/>
      </c>
      <c r="FC53" s="144" t="str">
        <f>IF(Briefing_FID!FI53="","",Briefing_FID!FI53)</f>
        <v/>
      </c>
      <c r="FD53" s="144" t="str">
        <f>IF(Briefing_FID!FJ53="","",Briefing_FID!FJ53)</f>
        <v/>
      </c>
      <c r="FE53" s="144" t="str">
        <f>IF(Briefing_FID!FK53="","",Briefing_FID!FK53)</f>
        <v/>
      </c>
      <c r="FF53" s="144" t="str">
        <f>IF(Briefing_FID!FL53="","",Briefing_FID!FL53)</f>
        <v/>
      </c>
      <c r="FG53" s="144" t="str">
        <f>IF(Briefing_FID!FM53="","",Briefing_FID!FM53)</f>
        <v/>
      </c>
      <c r="FH53" s="144" t="str">
        <f>IF(Briefing_FID!FN53="","",Briefing_FID!FN53)</f>
        <v/>
      </c>
      <c r="FI53" s="144" t="str">
        <f>IF(Briefing_FID!FO53="","",Briefing_FID!FO53)</f>
        <v/>
      </c>
      <c r="FJ53" s="144" t="str">
        <f>IF(Briefing_FID!FP53="","",Briefing_FID!FP53)</f>
        <v/>
      </c>
      <c r="FK53" s="144" t="str">
        <f>IF(Briefing_FID!FQ53="","",Briefing_FID!FQ53)</f>
        <v/>
      </c>
      <c r="FL53" s="144" t="str">
        <f>IF(Briefing_FID!FR53="","",Briefing_FID!FR53)</f>
        <v/>
      </c>
      <c r="FM53" s="144" t="str">
        <f>IF(Briefing_FID!FS53="","",Briefing_FID!FS53)</f>
        <v/>
      </c>
      <c r="FN53" s="144" t="str">
        <f>IF(Briefing_FID!FT53="","",Briefing_FID!FT53)</f>
        <v/>
      </c>
      <c r="FO53" s="144" t="str">
        <f>IF(Briefing_FID!FU53="","",Briefing_FID!FU53)</f>
        <v/>
      </c>
      <c r="FP53" s="144" t="str">
        <f>IF(Briefing_FID!FV53="","",Briefing_FID!FV53)</f>
        <v/>
      </c>
      <c r="FQ53" s="144" t="str">
        <f>IF(Briefing_FID!FW53="","",Briefing_FID!FW53)</f>
        <v/>
      </c>
      <c r="FR53" s="151"/>
      <c r="FS53" s="152"/>
      <c r="FT53" s="152"/>
      <c r="FU53" s="152"/>
      <c r="FV53" s="152"/>
      <c r="FW53" s="152"/>
      <c r="FX53" s="152"/>
      <c r="FY53" s="152"/>
      <c r="FZ53" s="152"/>
      <c r="GA53" s="153"/>
    </row>
    <row r="54" spans="1:183">
      <c r="A54" s="136" t="str">
        <f>IF(Briefing_FID!A54="","",Briefing_FID!A54)</f>
        <v/>
      </c>
      <c r="B54" s="137" t="str">
        <f>IF(Briefing_FID!B54="","",Briefing_FID!B54)</f>
        <v/>
      </c>
      <c r="C54" s="137" t="str">
        <f>IF(Briefing_FID!C54="","",Briefing_FID!C54)</f>
        <v/>
      </c>
      <c r="D54" s="46"/>
      <c r="E54" s="120"/>
      <c r="F54" s="117"/>
      <c r="G54" s="117"/>
      <c r="H54" s="72"/>
      <c r="I54" s="72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23"/>
      <c r="AD54" s="117"/>
      <c r="AE54" s="117"/>
      <c r="AF54" s="117"/>
      <c r="AG54" s="117"/>
      <c r="AH54" s="117"/>
      <c r="AI54" s="117"/>
      <c r="AJ54" s="117"/>
      <c r="AK54" s="117"/>
      <c r="AL54" s="124"/>
      <c r="AM54" s="37"/>
      <c r="AN54" s="38"/>
      <c r="AO54" s="39"/>
      <c r="AP54" s="111" t="str">
        <f>IF(Briefing_FID!AP54="","",Briefing_FID!AP54)</f>
        <v/>
      </c>
      <c r="AQ54" s="112" t="str">
        <f>IF(Briefing_FID!AQ54="","",Briefing_FID!AQ54)</f>
        <v/>
      </c>
      <c r="AR54" s="107" t="str">
        <f>IF(Briefing_FID!AR54="","",Briefing_FID!AR54)</f>
        <v/>
      </c>
      <c r="AS54" s="108" t="str">
        <f>IF(Briefing_FID!AS54="","",Briefing_FID!AS54)</f>
        <v/>
      </c>
      <c r="AT54" s="113" t="str">
        <f>IF(Briefing_FID!AT54="","",Briefing_FID!AT54)</f>
        <v/>
      </c>
      <c r="AU54" s="113" t="str">
        <f>IF(Briefing_FID!AU54="","",Briefing_FID!AU54)</f>
        <v/>
      </c>
      <c r="AV54" s="113" t="str">
        <f>IF(Briefing_FID!AV54="","",Briefing_FID!AV54)</f>
        <v/>
      </c>
      <c r="AW54" s="113" t="str">
        <f>IF(Briefing_FID!AW54="","",Briefing_FID!AW54)</f>
        <v/>
      </c>
      <c r="AX54" s="114" t="str">
        <f>IF(Briefing_FID!AX54="","",Briefing_FID!AX54)</f>
        <v/>
      </c>
      <c r="AY54" s="71"/>
      <c r="AZ54" s="117" t="str">
        <f>IF(Briefing_FID!AZ54="","",Briefing_FID!AZ54)</f>
        <v/>
      </c>
      <c r="BA54" s="118" t="str">
        <f>IF(Briefing_FID!BA54="","",Briefing_FID!BA54)</f>
        <v/>
      </c>
      <c r="BB54" s="55"/>
      <c r="BC54" s="102" t="str">
        <f>IF(Briefing_FID!BC54="","",Briefing_FID!BC54)</f>
        <v/>
      </c>
      <c r="BD54" s="27" t="str">
        <f>IF(Briefing_FID!BD54="","",Briefing_FID!BD54)</f>
        <v/>
      </c>
      <c r="BE54" s="100" t="str">
        <f>IF(Briefing_FID!BE54="","",Briefing_FID!BE54)</f>
        <v/>
      </c>
      <c r="BF54" s="3" t="str">
        <f>IF(Briefing_FID!BF54="","",Briefing_FID!BF54)</f>
        <v/>
      </c>
      <c r="BG54" s="10" t="str">
        <f>IF(Briefing_FID!BG54="","",Briefing_FID!BG54)</f>
        <v/>
      </c>
      <c r="BH54" s="100" t="str">
        <f>IF(Briefing_FID!BH54="","",Briefing_FID!BH54)</f>
        <v/>
      </c>
      <c r="BI54" s="3" t="str">
        <f>IF(Briefing_FID!BI54="","",Briefing_FID!BI54)</f>
        <v/>
      </c>
      <c r="BJ54" s="10" t="str">
        <f>IF(Briefing_FID!BJ54="","",Briefing_FID!BJ54)</f>
        <v/>
      </c>
      <c r="BK54" s="100" t="str">
        <f>IF(Briefing_FID!BK54="","",Briefing_FID!BK54)</f>
        <v/>
      </c>
      <c r="BL54" s="3" t="str">
        <f>IF(Briefing_FID!BL54="","",Briefing_FID!BL54)</f>
        <v/>
      </c>
      <c r="BM54" s="28" t="str">
        <f>IF(Briefing_FID!BM54="","",Briefing_FID!BM54)</f>
        <v/>
      </c>
      <c r="BN54" s="100" t="str">
        <f>IF(Briefing_FID!BN54="","",Briefing_FID!BN54)</f>
        <v/>
      </c>
      <c r="BO54" s="3" t="str">
        <f>IF(Briefing_FID!BO54="","",Briefing_FID!BO54)</f>
        <v/>
      </c>
      <c r="BP54" s="28" t="str">
        <f>IF(Briefing_FID!BP54="","",Briefing_FID!BP54)</f>
        <v/>
      </c>
      <c r="BQ54" s="100" t="str">
        <f>IF(Briefing_FID!BQ54="","",Briefing_FID!BQ54)</f>
        <v/>
      </c>
      <c r="BR54" s="3" t="str">
        <f>IF(Briefing_FID!BR54="","",Briefing_FID!BR54)</f>
        <v/>
      </c>
      <c r="BS54" s="28" t="str">
        <f>IF(Briefing_FID!BS54="","",Briefing_FID!BS54)</f>
        <v/>
      </c>
      <c r="BT54" s="100" t="str">
        <f>IF(Briefing_FID!BT54="","",Briefing_FID!BT54)</f>
        <v/>
      </c>
      <c r="BU54" s="3" t="str">
        <f>IF(Briefing_FID!BU54="","",Briefing_FID!BU54)</f>
        <v/>
      </c>
      <c r="BV54" s="28" t="str">
        <f>IF(Briefing_FID!BV54="","",Briefing_FID!BV54)</f>
        <v/>
      </c>
      <c r="BW54" s="100" t="str">
        <f>IF(Briefing_FID!BW54="","",Briefing_FID!BW54)</f>
        <v/>
      </c>
      <c r="BX54" s="3" t="str">
        <f>IF(Briefing_FID!BX54="","",Briefing_FID!BX54)</f>
        <v/>
      </c>
      <c r="BY54" s="28" t="str">
        <f>IF(Briefing_FID!BY54="","",Briefing_FID!BY54)</f>
        <v/>
      </c>
      <c r="BZ54" s="100" t="str">
        <f>IF(Briefing_FID!BZ54="","",Briefing_FID!BZ54)</f>
        <v/>
      </c>
      <c r="CA54" s="3" t="str">
        <f>IF(Briefing_FID!CA54="","",Briefing_FID!CA54)</f>
        <v/>
      </c>
      <c r="CB54" s="28" t="str">
        <f>IF(Briefing_FID!CB54="","",Briefing_FID!CB54)</f>
        <v/>
      </c>
      <c r="CC54" s="100" t="str">
        <f>IF(Briefing_FID!CC54="","",Briefing_FID!CC54)</f>
        <v/>
      </c>
      <c r="CD54" s="3" t="str">
        <f>IF(Briefing_FID!CD54="","",Briefing_FID!CD54)</f>
        <v/>
      </c>
      <c r="CE54" s="28" t="str">
        <f>IF(Briefing_FID!CE54="","",Briefing_FID!CE54)</f>
        <v/>
      </c>
      <c r="CF54" s="100" t="str">
        <f>IF(Briefing_FID!CF54="","",Briefing_FID!CF54)</f>
        <v/>
      </c>
      <c r="CG54" s="3" t="str">
        <f>IF(Briefing_FID!CG54="","",Briefing_FID!CG54)</f>
        <v/>
      </c>
      <c r="CH54" s="28" t="str">
        <f>IF(Briefing_FID!CH54="","",Briefing_FID!CH54)</f>
        <v/>
      </c>
      <c r="CI54" s="100" t="str">
        <f>IF(Briefing_FID!CI54="","",Briefing_FID!CI54)</f>
        <v/>
      </c>
      <c r="CJ54" s="3" t="str">
        <f>IF(Briefing_FID!CJ54="","",Briefing_FID!CJ54)</f>
        <v/>
      </c>
      <c r="CK54" s="28" t="str">
        <f>IF(Briefing_FID!CK54="","",Briefing_FID!CK54)</f>
        <v/>
      </c>
      <c r="CL54" s="100" t="str">
        <f>IF(Briefing_FID!CL54="","",Briefing_FID!CL54)</f>
        <v/>
      </c>
      <c r="CM54" s="3" t="str">
        <f>IF(Briefing_FID!CM54="","",Briefing_FID!CM54)</f>
        <v/>
      </c>
      <c r="CN54" s="28" t="str">
        <f>IF(Briefing_FID!CN54="","",Briefing_FID!CN54)</f>
        <v/>
      </c>
      <c r="CO54" s="100" t="str">
        <f>IF(Briefing_FID!CO54="","",Briefing_FID!CO54)</f>
        <v/>
      </c>
      <c r="CP54" s="3" t="str">
        <f>IF(Briefing_FID!CP54="","",Briefing_FID!CP54)</f>
        <v/>
      </c>
      <c r="CQ54" s="28" t="str">
        <f>IF(Briefing_FID!CQ54="","",Briefing_FID!CQ54)</f>
        <v/>
      </c>
      <c r="CR54" s="100" t="str">
        <f>IF(Briefing_FID!CR54="","",Briefing_FID!CR54)</f>
        <v/>
      </c>
      <c r="CS54" s="3" t="str">
        <f>IF(Briefing_FID!CS54="","",Briefing_FID!CS54)</f>
        <v/>
      </c>
      <c r="CT54" s="28" t="str">
        <f>IF(Briefing_FID!CT54="","",Briefing_FID!CT54)</f>
        <v/>
      </c>
      <c r="CU54" s="100" t="str">
        <f>IF(Briefing_FID!CU54="","",Briefing_FID!CU54)</f>
        <v/>
      </c>
      <c r="CV54" s="3" t="str">
        <f>IF(Briefing_FID!CV54="","",Briefing_FID!CV54)</f>
        <v/>
      </c>
      <c r="CW54" s="28" t="str">
        <f>IF(Briefing_FID!CW54="","",Briefing_FID!CW54)</f>
        <v/>
      </c>
      <c r="CX54" s="100" t="str">
        <f>IF(Briefing_FID!CX54="","",Briefing_FID!CX54)</f>
        <v/>
      </c>
      <c r="CY54" s="3" t="str">
        <f>IF(Briefing_FID!CY54="","",Briefing_FID!CY54)</f>
        <v/>
      </c>
      <c r="CZ54" s="28" t="str">
        <f>IF(Briefing_FID!CZ54="","",Briefing_FID!CZ54)</f>
        <v/>
      </c>
      <c r="DA54" s="100" t="str">
        <f>IF(Briefing_FID!DA54="","",Briefing_FID!DA54)</f>
        <v/>
      </c>
      <c r="DB54" s="3" t="str">
        <f>IF(Briefing_FID!DB54="","",Briefing_FID!DB54)</f>
        <v/>
      </c>
      <c r="DC54" s="28" t="str">
        <f>IF(Briefing_FID!DC54="","",Briefing_FID!DC54)</f>
        <v/>
      </c>
      <c r="DD54" s="100" t="str">
        <f>IF(Briefing_FID!DD54="","",Briefing_FID!DD54)</f>
        <v/>
      </c>
      <c r="DE54" s="3" t="str">
        <f>IF(Briefing_FID!DE54="","",Briefing_FID!DE54)</f>
        <v/>
      </c>
      <c r="DF54" s="28" t="str">
        <f>IF(Briefing_FID!DF54="","",Briefing_FID!DF54)</f>
        <v/>
      </c>
      <c r="DG54" s="100" t="str">
        <f>IF(Briefing_FID!DG54="","",Briefing_FID!DG54)</f>
        <v/>
      </c>
      <c r="DH54" s="3" t="str">
        <f>IF(Briefing_FID!DH54="","",Briefing_FID!DH54)</f>
        <v/>
      </c>
      <c r="DI54" s="28" t="str">
        <f>IF(Briefing_FID!DI54="","",Briefing_FID!DI54)</f>
        <v/>
      </c>
      <c r="DJ54" s="100" t="str">
        <f>IF(Briefing_FID!DJ54="","",Briefing_FID!DJ54)</f>
        <v/>
      </c>
      <c r="DK54" s="3" t="str">
        <f>IF(Briefing_FID!DK54="","",Briefing_FID!DK54)</f>
        <v/>
      </c>
      <c r="DL54" s="28" t="str">
        <f>IF(Briefing_FID!DL54="","",Briefing_FID!DL54)</f>
        <v/>
      </c>
      <c r="DM54" s="100" t="str">
        <f>IF(Briefing_FID!DM54="","",Briefing_FID!DM54)</f>
        <v/>
      </c>
      <c r="DN54" s="3" t="str">
        <f>IF(Briefing_FID!DN54="","",Briefing_FID!DN54)</f>
        <v/>
      </c>
      <c r="DO54" s="28" t="str">
        <f>IF(Briefing_FID!DO54="","",Briefing_FID!DO54)</f>
        <v/>
      </c>
      <c r="DP54" s="100" t="str">
        <f>IF(Briefing_FID!DP54="","",Briefing_FID!DP54)</f>
        <v/>
      </c>
      <c r="DQ54" s="3" t="str">
        <f>IF(Briefing_FID!DQ54="","",Briefing_FID!DQ54)</f>
        <v/>
      </c>
      <c r="DR54" s="28" t="str">
        <f>IF(Briefing_FID!DR54="","",Briefing_FID!DR54)</f>
        <v/>
      </c>
      <c r="DS54" s="100" t="str">
        <f>IF(Briefing_FID!DS54="","",Briefing_FID!DS54)</f>
        <v/>
      </c>
      <c r="DT54" s="3" t="str">
        <f>IF(Briefing_FID!DT54="","",Briefing_FID!DT54)</f>
        <v/>
      </c>
      <c r="DU54" s="28" t="str">
        <f>IF(Briefing_FID!DU54="","",Briefing_FID!DU54)</f>
        <v/>
      </c>
      <c r="DV54" s="100" t="str">
        <f>IF(Briefing_FID!DV54="","",Briefing_FID!DV54)</f>
        <v/>
      </c>
      <c r="DW54" s="3" t="str">
        <f>IF(Briefing_FID!DW54="","",Briefing_FID!DW54)</f>
        <v/>
      </c>
      <c r="DX54" s="28" t="str">
        <f>IF(Briefing_FID!DX54="","",Briefing_FID!DX54)</f>
        <v/>
      </c>
      <c r="DY54" s="100" t="str">
        <f>IF(Briefing_FID!DY54="","",Briefing_FID!DY54)</f>
        <v/>
      </c>
      <c r="DZ54" s="3" t="str">
        <f>IF(Briefing_FID!DZ54="","",Briefing_FID!DZ54)</f>
        <v/>
      </c>
      <c r="EA54" s="28" t="str">
        <f>IF(Briefing_FID!EA54="","",Briefing_FID!EA54)</f>
        <v/>
      </c>
      <c r="EB54" s="100" t="str">
        <f>IF(Briefing_FID!EB54="","",Briefing_FID!EB54)</f>
        <v/>
      </c>
      <c r="EC54" s="3" t="str">
        <f>IF(Briefing_FID!EC54="","",Briefing_FID!EC54)</f>
        <v/>
      </c>
      <c r="ED54" s="28" t="str">
        <f>IF(Briefing_FID!ED54="","",Briefing_FID!ED54)</f>
        <v/>
      </c>
      <c r="EE54" s="100" t="str">
        <f>IF(Briefing_FID!EE54="","",Briefing_FID!EE54)</f>
        <v/>
      </c>
      <c r="EF54" s="3" t="str">
        <f>IF(Briefing_FID!EF54="","",Briefing_FID!EF54)</f>
        <v/>
      </c>
      <c r="EG54" s="28" t="str">
        <f>IF(Briefing_FID!EG54="","",Briefing_FID!EG54)</f>
        <v/>
      </c>
      <c r="EH54" s="100" t="str">
        <f>IF(Briefing_FID!EH54="","",Briefing_FID!EH54)</f>
        <v/>
      </c>
      <c r="EI54" s="3" t="str">
        <f>IF(Briefing_FID!EI54="","",Briefing_FID!EI54)</f>
        <v/>
      </c>
      <c r="EJ54" s="28" t="str">
        <f>IF(Briefing_FID!EJ54="","",Briefing_FID!EJ54)</f>
        <v/>
      </c>
      <c r="EK54" s="100" t="str">
        <f>IF(Briefing_FID!EK54="","",Briefing_FID!EK54)</f>
        <v/>
      </c>
      <c r="EL54" s="3" t="str">
        <f>IF(Briefing_FID!EL54="","",Briefing_FID!EL54)</f>
        <v/>
      </c>
      <c r="EM54" s="28" t="str">
        <f>IF(Briefing_FID!EM54="","",Briefing_FID!EM54)</f>
        <v/>
      </c>
      <c r="EN54" s="100" t="str">
        <f>IF(Briefing_FID!EN54="","",Briefing_FID!EN54)</f>
        <v/>
      </c>
      <c r="EO54" s="3" t="str">
        <f>IF(Briefing_FID!EO54="","",Briefing_FID!EO54)</f>
        <v/>
      </c>
      <c r="EP54" s="28" t="str">
        <f>IF(Briefing_FID!EP54="","",Briefing_FID!EP54)</f>
        <v/>
      </c>
      <c r="EQ54" s="28" t="str">
        <f>IF(Briefing_FID!EQ54="","",Briefing_FID!EQ54)</f>
        <v/>
      </c>
      <c r="ER54" s="28" t="str">
        <f>IF(Briefing_FID!ER54="","",Briefing_FID!ER54)</f>
        <v/>
      </c>
      <c r="ES54" s="62"/>
      <c r="ET54" s="96" t="str">
        <f>IF(Briefing_FID!EZ54="","",Briefing_FID!EZ54)</f>
        <v/>
      </c>
      <c r="EU54" s="97" t="str">
        <f>IF(Briefing_FID!FA54="","",Briefing_FID!FA54)</f>
        <v/>
      </c>
      <c r="EV54" s="98" t="str">
        <f>IF(Briefing_FID!FB54="","",Briefing_FID!FB54)</f>
        <v/>
      </c>
      <c r="EW54" s="96" t="str">
        <f>IF(Briefing_FID!FC54="","",Briefing_FID!FC54)</f>
        <v/>
      </c>
      <c r="EX54" s="97" t="str">
        <f>IF(Briefing_FID!FD54="","",Briefing_FID!FD54)</f>
        <v/>
      </c>
      <c r="EY54" s="98" t="str">
        <f>IF(Briefing_FID!FE54="","",Briefing_FID!FE54)</f>
        <v/>
      </c>
      <c r="EZ54" s="104" t="str">
        <f>IF(Briefing_FID!FF54="","",Briefing_FID!FF54)</f>
        <v/>
      </c>
      <c r="FA54" s="144" t="str">
        <f>IF(Briefing_FID!FG54="","",Briefing_FID!FG54)</f>
        <v/>
      </c>
      <c r="FB54" s="144" t="str">
        <f>IF(Briefing_FID!FH54="","",Briefing_FID!FH54)</f>
        <v/>
      </c>
      <c r="FC54" s="144" t="str">
        <f>IF(Briefing_FID!FI54="","",Briefing_FID!FI54)</f>
        <v/>
      </c>
      <c r="FD54" s="144" t="str">
        <f>IF(Briefing_FID!FJ54="","",Briefing_FID!FJ54)</f>
        <v/>
      </c>
      <c r="FE54" s="144" t="str">
        <f>IF(Briefing_FID!FK54="","",Briefing_FID!FK54)</f>
        <v/>
      </c>
      <c r="FF54" s="144" t="str">
        <f>IF(Briefing_FID!FL54="","",Briefing_FID!FL54)</f>
        <v/>
      </c>
      <c r="FG54" s="144" t="str">
        <f>IF(Briefing_FID!FM54="","",Briefing_FID!FM54)</f>
        <v/>
      </c>
      <c r="FH54" s="144" t="str">
        <f>IF(Briefing_FID!FN54="","",Briefing_FID!FN54)</f>
        <v/>
      </c>
      <c r="FI54" s="144" t="str">
        <f>IF(Briefing_FID!FO54="","",Briefing_FID!FO54)</f>
        <v/>
      </c>
      <c r="FJ54" s="144" t="str">
        <f>IF(Briefing_FID!FP54="","",Briefing_FID!FP54)</f>
        <v/>
      </c>
      <c r="FK54" s="144" t="str">
        <f>IF(Briefing_FID!FQ54="","",Briefing_FID!FQ54)</f>
        <v/>
      </c>
      <c r="FL54" s="144" t="str">
        <f>IF(Briefing_FID!FR54="","",Briefing_FID!FR54)</f>
        <v/>
      </c>
      <c r="FM54" s="144" t="str">
        <f>IF(Briefing_FID!FS54="","",Briefing_FID!FS54)</f>
        <v/>
      </c>
      <c r="FN54" s="144" t="str">
        <f>IF(Briefing_FID!FT54="","",Briefing_FID!FT54)</f>
        <v/>
      </c>
      <c r="FO54" s="144" t="str">
        <f>IF(Briefing_FID!FU54="","",Briefing_FID!FU54)</f>
        <v/>
      </c>
      <c r="FP54" s="144" t="str">
        <f>IF(Briefing_FID!FV54="","",Briefing_FID!FV54)</f>
        <v/>
      </c>
      <c r="FQ54" s="144" t="str">
        <f>IF(Briefing_FID!FW54="","",Briefing_FID!FW54)</f>
        <v/>
      </c>
      <c r="FR54" s="151"/>
      <c r="FS54" s="152"/>
      <c r="FT54" s="152"/>
      <c r="FU54" s="152"/>
      <c r="FV54" s="152"/>
      <c r="FW54" s="152"/>
      <c r="FX54" s="152"/>
      <c r="FY54" s="152"/>
      <c r="FZ54" s="152"/>
      <c r="GA54" s="153"/>
    </row>
    <row r="55" spans="1:183">
      <c r="A55" s="136" t="str">
        <f>IF(Briefing_FID!A55="","",Briefing_FID!A55)</f>
        <v/>
      </c>
      <c r="B55" s="137" t="str">
        <f>IF(Briefing_FID!B55="","",Briefing_FID!B55)</f>
        <v/>
      </c>
      <c r="C55" s="137" t="str">
        <f>IF(Briefing_FID!C55="","",Briefing_FID!C55)</f>
        <v/>
      </c>
      <c r="D55" s="46"/>
      <c r="E55" s="120"/>
      <c r="F55" s="117"/>
      <c r="G55" s="117"/>
      <c r="H55" s="72"/>
      <c r="I55" s="72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23"/>
      <c r="AD55" s="117"/>
      <c r="AE55" s="117"/>
      <c r="AF55" s="117"/>
      <c r="AG55" s="117"/>
      <c r="AH55" s="117"/>
      <c r="AI55" s="117"/>
      <c r="AJ55" s="117"/>
      <c r="AK55" s="117"/>
      <c r="AL55" s="124"/>
      <c r="AM55" s="37"/>
      <c r="AN55" s="38"/>
      <c r="AO55" s="39"/>
      <c r="AP55" s="111" t="str">
        <f>IF(Briefing_FID!AP55="","",Briefing_FID!AP55)</f>
        <v/>
      </c>
      <c r="AQ55" s="112" t="str">
        <f>IF(Briefing_FID!AQ55="","",Briefing_FID!AQ55)</f>
        <v/>
      </c>
      <c r="AR55" s="107" t="str">
        <f>IF(Briefing_FID!AR55="","",Briefing_FID!AR55)</f>
        <v/>
      </c>
      <c r="AS55" s="108" t="str">
        <f>IF(Briefing_FID!AS55="","",Briefing_FID!AS55)</f>
        <v/>
      </c>
      <c r="AT55" s="113" t="str">
        <f>IF(Briefing_FID!AT55="","",Briefing_FID!AT55)</f>
        <v/>
      </c>
      <c r="AU55" s="113" t="str">
        <f>IF(Briefing_FID!AU55="","",Briefing_FID!AU55)</f>
        <v/>
      </c>
      <c r="AV55" s="113" t="str">
        <f>IF(Briefing_FID!AV55="","",Briefing_FID!AV55)</f>
        <v/>
      </c>
      <c r="AW55" s="113" t="str">
        <f>IF(Briefing_FID!AW55="","",Briefing_FID!AW55)</f>
        <v/>
      </c>
      <c r="AX55" s="114" t="str">
        <f>IF(Briefing_FID!AX55="","",Briefing_FID!AX55)</f>
        <v/>
      </c>
      <c r="AY55" s="71"/>
      <c r="AZ55" s="117" t="str">
        <f>IF(Briefing_FID!AZ55="","",Briefing_FID!AZ55)</f>
        <v/>
      </c>
      <c r="BA55" s="118" t="str">
        <f>IF(Briefing_FID!BA55="","",Briefing_FID!BA55)</f>
        <v/>
      </c>
      <c r="BB55" s="55"/>
      <c r="BC55" s="102" t="str">
        <f>IF(Briefing_FID!BC55="","",Briefing_FID!BC55)</f>
        <v/>
      </c>
      <c r="BD55" s="27" t="str">
        <f>IF(Briefing_FID!BD55="","",Briefing_FID!BD55)</f>
        <v/>
      </c>
      <c r="BE55" s="100" t="str">
        <f>IF(Briefing_FID!BE55="","",Briefing_FID!BE55)</f>
        <v/>
      </c>
      <c r="BF55" s="3" t="str">
        <f>IF(Briefing_FID!BF55="","",Briefing_FID!BF55)</f>
        <v/>
      </c>
      <c r="BG55" s="10" t="str">
        <f>IF(Briefing_FID!BG55="","",Briefing_FID!BG55)</f>
        <v/>
      </c>
      <c r="BH55" s="100" t="str">
        <f>IF(Briefing_FID!BH55="","",Briefing_FID!BH55)</f>
        <v/>
      </c>
      <c r="BI55" s="3" t="str">
        <f>IF(Briefing_FID!BI55="","",Briefing_FID!BI55)</f>
        <v/>
      </c>
      <c r="BJ55" s="10" t="str">
        <f>IF(Briefing_FID!BJ55="","",Briefing_FID!BJ55)</f>
        <v/>
      </c>
      <c r="BK55" s="100" t="str">
        <f>IF(Briefing_FID!BK55="","",Briefing_FID!BK55)</f>
        <v/>
      </c>
      <c r="BL55" s="3" t="str">
        <f>IF(Briefing_FID!BL55="","",Briefing_FID!BL55)</f>
        <v/>
      </c>
      <c r="BM55" s="28" t="str">
        <f>IF(Briefing_FID!BM55="","",Briefing_FID!BM55)</f>
        <v/>
      </c>
      <c r="BN55" s="100" t="str">
        <f>IF(Briefing_FID!BN55="","",Briefing_FID!BN55)</f>
        <v/>
      </c>
      <c r="BO55" s="3" t="str">
        <f>IF(Briefing_FID!BO55="","",Briefing_FID!BO55)</f>
        <v/>
      </c>
      <c r="BP55" s="28" t="str">
        <f>IF(Briefing_FID!BP55="","",Briefing_FID!BP55)</f>
        <v/>
      </c>
      <c r="BQ55" s="100" t="str">
        <f>IF(Briefing_FID!BQ55="","",Briefing_FID!BQ55)</f>
        <v/>
      </c>
      <c r="BR55" s="3" t="str">
        <f>IF(Briefing_FID!BR55="","",Briefing_FID!BR55)</f>
        <v/>
      </c>
      <c r="BS55" s="28" t="str">
        <f>IF(Briefing_FID!BS55="","",Briefing_FID!BS55)</f>
        <v/>
      </c>
      <c r="BT55" s="100" t="str">
        <f>IF(Briefing_FID!BT55="","",Briefing_FID!BT55)</f>
        <v/>
      </c>
      <c r="BU55" s="3" t="str">
        <f>IF(Briefing_FID!BU55="","",Briefing_FID!BU55)</f>
        <v/>
      </c>
      <c r="BV55" s="28" t="str">
        <f>IF(Briefing_FID!BV55="","",Briefing_FID!BV55)</f>
        <v/>
      </c>
      <c r="BW55" s="100" t="str">
        <f>IF(Briefing_FID!BW55="","",Briefing_FID!BW55)</f>
        <v/>
      </c>
      <c r="BX55" s="3" t="str">
        <f>IF(Briefing_FID!BX55="","",Briefing_FID!BX55)</f>
        <v/>
      </c>
      <c r="BY55" s="28" t="str">
        <f>IF(Briefing_FID!BY55="","",Briefing_FID!BY55)</f>
        <v/>
      </c>
      <c r="BZ55" s="100" t="str">
        <f>IF(Briefing_FID!BZ55="","",Briefing_FID!BZ55)</f>
        <v/>
      </c>
      <c r="CA55" s="3" t="str">
        <f>IF(Briefing_FID!CA55="","",Briefing_FID!CA55)</f>
        <v/>
      </c>
      <c r="CB55" s="28" t="str">
        <f>IF(Briefing_FID!CB55="","",Briefing_FID!CB55)</f>
        <v/>
      </c>
      <c r="CC55" s="100" t="str">
        <f>IF(Briefing_FID!CC55="","",Briefing_FID!CC55)</f>
        <v/>
      </c>
      <c r="CD55" s="3" t="str">
        <f>IF(Briefing_FID!CD55="","",Briefing_FID!CD55)</f>
        <v/>
      </c>
      <c r="CE55" s="28" t="str">
        <f>IF(Briefing_FID!CE55="","",Briefing_FID!CE55)</f>
        <v/>
      </c>
      <c r="CF55" s="100" t="str">
        <f>IF(Briefing_FID!CF55="","",Briefing_FID!CF55)</f>
        <v/>
      </c>
      <c r="CG55" s="3" t="str">
        <f>IF(Briefing_FID!CG55="","",Briefing_FID!CG55)</f>
        <v/>
      </c>
      <c r="CH55" s="28" t="str">
        <f>IF(Briefing_FID!CH55="","",Briefing_FID!CH55)</f>
        <v/>
      </c>
      <c r="CI55" s="100" t="str">
        <f>IF(Briefing_FID!CI55="","",Briefing_FID!CI55)</f>
        <v/>
      </c>
      <c r="CJ55" s="3" t="str">
        <f>IF(Briefing_FID!CJ55="","",Briefing_FID!CJ55)</f>
        <v/>
      </c>
      <c r="CK55" s="28" t="str">
        <f>IF(Briefing_FID!CK55="","",Briefing_FID!CK55)</f>
        <v/>
      </c>
      <c r="CL55" s="100" t="str">
        <f>IF(Briefing_FID!CL55="","",Briefing_FID!CL55)</f>
        <v/>
      </c>
      <c r="CM55" s="3" t="str">
        <f>IF(Briefing_FID!CM55="","",Briefing_FID!CM55)</f>
        <v/>
      </c>
      <c r="CN55" s="28" t="str">
        <f>IF(Briefing_FID!CN55="","",Briefing_FID!CN55)</f>
        <v/>
      </c>
      <c r="CO55" s="100" t="str">
        <f>IF(Briefing_FID!CO55="","",Briefing_FID!CO55)</f>
        <v/>
      </c>
      <c r="CP55" s="3" t="str">
        <f>IF(Briefing_FID!CP55="","",Briefing_FID!CP55)</f>
        <v/>
      </c>
      <c r="CQ55" s="28" t="str">
        <f>IF(Briefing_FID!CQ55="","",Briefing_FID!CQ55)</f>
        <v/>
      </c>
      <c r="CR55" s="100" t="str">
        <f>IF(Briefing_FID!CR55="","",Briefing_FID!CR55)</f>
        <v/>
      </c>
      <c r="CS55" s="3" t="str">
        <f>IF(Briefing_FID!CS55="","",Briefing_FID!CS55)</f>
        <v/>
      </c>
      <c r="CT55" s="28" t="str">
        <f>IF(Briefing_FID!CT55="","",Briefing_FID!CT55)</f>
        <v/>
      </c>
      <c r="CU55" s="100" t="str">
        <f>IF(Briefing_FID!CU55="","",Briefing_FID!CU55)</f>
        <v/>
      </c>
      <c r="CV55" s="3" t="str">
        <f>IF(Briefing_FID!CV55="","",Briefing_FID!CV55)</f>
        <v/>
      </c>
      <c r="CW55" s="28" t="str">
        <f>IF(Briefing_FID!CW55="","",Briefing_FID!CW55)</f>
        <v/>
      </c>
      <c r="CX55" s="100" t="str">
        <f>IF(Briefing_FID!CX55="","",Briefing_FID!CX55)</f>
        <v/>
      </c>
      <c r="CY55" s="3" t="str">
        <f>IF(Briefing_FID!CY55="","",Briefing_FID!CY55)</f>
        <v/>
      </c>
      <c r="CZ55" s="28" t="str">
        <f>IF(Briefing_FID!CZ55="","",Briefing_FID!CZ55)</f>
        <v/>
      </c>
      <c r="DA55" s="100" t="str">
        <f>IF(Briefing_FID!DA55="","",Briefing_FID!DA55)</f>
        <v/>
      </c>
      <c r="DB55" s="3" t="str">
        <f>IF(Briefing_FID!DB55="","",Briefing_FID!DB55)</f>
        <v/>
      </c>
      <c r="DC55" s="28" t="str">
        <f>IF(Briefing_FID!DC55="","",Briefing_FID!DC55)</f>
        <v/>
      </c>
      <c r="DD55" s="100" t="str">
        <f>IF(Briefing_FID!DD55="","",Briefing_FID!DD55)</f>
        <v/>
      </c>
      <c r="DE55" s="3" t="str">
        <f>IF(Briefing_FID!DE55="","",Briefing_FID!DE55)</f>
        <v/>
      </c>
      <c r="DF55" s="28" t="str">
        <f>IF(Briefing_FID!DF55="","",Briefing_FID!DF55)</f>
        <v/>
      </c>
      <c r="DG55" s="100" t="str">
        <f>IF(Briefing_FID!DG55="","",Briefing_FID!DG55)</f>
        <v/>
      </c>
      <c r="DH55" s="3" t="str">
        <f>IF(Briefing_FID!DH55="","",Briefing_FID!DH55)</f>
        <v/>
      </c>
      <c r="DI55" s="28" t="str">
        <f>IF(Briefing_FID!DI55="","",Briefing_FID!DI55)</f>
        <v/>
      </c>
      <c r="DJ55" s="100" t="str">
        <f>IF(Briefing_FID!DJ55="","",Briefing_FID!DJ55)</f>
        <v/>
      </c>
      <c r="DK55" s="3" t="str">
        <f>IF(Briefing_FID!DK55="","",Briefing_FID!DK55)</f>
        <v/>
      </c>
      <c r="DL55" s="28" t="str">
        <f>IF(Briefing_FID!DL55="","",Briefing_FID!DL55)</f>
        <v/>
      </c>
      <c r="DM55" s="100" t="str">
        <f>IF(Briefing_FID!DM55="","",Briefing_FID!DM55)</f>
        <v/>
      </c>
      <c r="DN55" s="3" t="str">
        <f>IF(Briefing_FID!DN55="","",Briefing_FID!DN55)</f>
        <v/>
      </c>
      <c r="DO55" s="28" t="str">
        <f>IF(Briefing_FID!DO55="","",Briefing_FID!DO55)</f>
        <v/>
      </c>
      <c r="DP55" s="100" t="str">
        <f>IF(Briefing_FID!DP55="","",Briefing_FID!DP55)</f>
        <v/>
      </c>
      <c r="DQ55" s="3" t="str">
        <f>IF(Briefing_FID!DQ55="","",Briefing_FID!DQ55)</f>
        <v/>
      </c>
      <c r="DR55" s="28" t="str">
        <f>IF(Briefing_FID!DR55="","",Briefing_FID!DR55)</f>
        <v/>
      </c>
      <c r="DS55" s="100" t="str">
        <f>IF(Briefing_FID!DS55="","",Briefing_FID!DS55)</f>
        <v/>
      </c>
      <c r="DT55" s="3" t="str">
        <f>IF(Briefing_FID!DT55="","",Briefing_FID!DT55)</f>
        <v/>
      </c>
      <c r="DU55" s="28" t="str">
        <f>IF(Briefing_FID!DU55="","",Briefing_FID!DU55)</f>
        <v/>
      </c>
      <c r="DV55" s="100" t="str">
        <f>IF(Briefing_FID!DV55="","",Briefing_FID!DV55)</f>
        <v/>
      </c>
      <c r="DW55" s="3" t="str">
        <f>IF(Briefing_FID!DW55="","",Briefing_FID!DW55)</f>
        <v/>
      </c>
      <c r="DX55" s="28" t="str">
        <f>IF(Briefing_FID!DX55="","",Briefing_FID!DX55)</f>
        <v/>
      </c>
      <c r="DY55" s="100" t="str">
        <f>IF(Briefing_FID!DY55="","",Briefing_FID!DY55)</f>
        <v/>
      </c>
      <c r="DZ55" s="3" t="str">
        <f>IF(Briefing_FID!DZ55="","",Briefing_FID!DZ55)</f>
        <v/>
      </c>
      <c r="EA55" s="28" t="str">
        <f>IF(Briefing_FID!EA55="","",Briefing_FID!EA55)</f>
        <v/>
      </c>
      <c r="EB55" s="100" t="str">
        <f>IF(Briefing_FID!EB55="","",Briefing_FID!EB55)</f>
        <v/>
      </c>
      <c r="EC55" s="3" t="str">
        <f>IF(Briefing_FID!EC55="","",Briefing_FID!EC55)</f>
        <v/>
      </c>
      <c r="ED55" s="28" t="str">
        <f>IF(Briefing_FID!ED55="","",Briefing_FID!ED55)</f>
        <v/>
      </c>
      <c r="EE55" s="100" t="str">
        <f>IF(Briefing_FID!EE55="","",Briefing_FID!EE55)</f>
        <v/>
      </c>
      <c r="EF55" s="3" t="str">
        <f>IF(Briefing_FID!EF55="","",Briefing_FID!EF55)</f>
        <v/>
      </c>
      <c r="EG55" s="28" t="str">
        <f>IF(Briefing_FID!EG55="","",Briefing_FID!EG55)</f>
        <v/>
      </c>
      <c r="EH55" s="100" t="str">
        <f>IF(Briefing_FID!EH55="","",Briefing_FID!EH55)</f>
        <v/>
      </c>
      <c r="EI55" s="3" t="str">
        <f>IF(Briefing_FID!EI55="","",Briefing_FID!EI55)</f>
        <v/>
      </c>
      <c r="EJ55" s="28" t="str">
        <f>IF(Briefing_FID!EJ55="","",Briefing_FID!EJ55)</f>
        <v/>
      </c>
      <c r="EK55" s="100" t="str">
        <f>IF(Briefing_FID!EK55="","",Briefing_FID!EK55)</f>
        <v/>
      </c>
      <c r="EL55" s="3" t="str">
        <f>IF(Briefing_FID!EL55="","",Briefing_FID!EL55)</f>
        <v/>
      </c>
      <c r="EM55" s="28" t="str">
        <f>IF(Briefing_FID!EM55="","",Briefing_FID!EM55)</f>
        <v/>
      </c>
      <c r="EN55" s="100" t="str">
        <f>IF(Briefing_FID!EN55="","",Briefing_FID!EN55)</f>
        <v/>
      </c>
      <c r="EO55" s="3" t="str">
        <f>IF(Briefing_FID!EO55="","",Briefing_FID!EO55)</f>
        <v/>
      </c>
      <c r="EP55" s="28" t="str">
        <f>IF(Briefing_FID!EP55="","",Briefing_FID!EP55)</f>
        <v/>
      </c>
      <c r="EQ55" s="28" t="str">
        <f>IF(Briefing_FID!EQ55="","",Briefing_FID!EQ55)</f>
        <v/>
      </c>
      <c r="ER55" s="28" t="str">
        <f>IF(Briefing_FID!ER55="","",Briefing_FID!ER55)</f>
        <v/>
      </c>
      <c r="ES55" s="62"/>
      <c r="ET55" s="96" t="str">
        <f>IF(Briefing_FID!EZ55="","",Briefing_FID!EZ55)</f>
        <v/>
      </c>
      <c r="EU55" s="97" t="str">
        <f>IF(Briefing_FID!FA55="","",Briefing_FID!FA55)</f>
        <v/>
      </c>
      <c r="EV55" s="98" t="str">
        <f>IF(Briefing_FID!FB55="","",Briefing_FID!FB55)</f>
        <v/>
      </c>
      <c r="EW55" s="96" t="str">
        <f>IF(Briefing_FID!FC55="","",Briefing_FID!FC55)</f>
        <v/>
      </c>
      <c r="EX55" s="97" t="str">
        <f>IF(Briefing_FID!FD55="","",Briefing_FID!FD55)</f>
        <v/>
      </c>
      <c r="EY55" s="98" t="str">
        <f>IF(Briefing_FID!FE55="","",Briefing_FID!FE55)</f>
        <v/>
      </c>
      <c r="EZ55" s="104" t="str">
        <f>IF(Briefing_FID!FF55="","",Briefing_FID!FF55)</f>
        <v/>
      </c>
      <c r="FA55" s="144" t="str">
        <f>IF(Briefing_FID!FG55="","",Briefing_FID!FG55)</f>
        <v/>
      </c>
      <c r="FB55" s="144" t="str">
        <f>IF(Briefing_FID!FH55="","",Briefing_FID!FH55)</f>
        <v/>
      </c>
      <c r="FC55" s="144" t="str">
        <f>IF(Briefing_FID!FI55="","",Briefing_FID!FI55)</f>
        <v/>
      </c>
      <c r="FD55" s="144" t="str">
        <f>IF(Briefing_FID!FJ55="","",Briefing_FID!FJ55)</f>
        <v/>
      </c>
      <c r="FE55" s="144" t="str">
        <f>IF(Briefing_FID!FK55="","",Briefing_FID!FK55)</f>
        <v/>
      </c>
      <c r="FF55" s="144" t="str">
        <f>IF(Briefing_FID!FL55="","",Briefing_FID!FL55)</f>
        <v/>
      </c>
      <c r="FG55" s="144" t="str">
        <f>IF(Briefing_FID!FM55="","",Briefing_FID!FM55)</f>
        <v/>
      </c>
      <c r="FH55" s="144" t="str">
        <f>IF(Briefing_FID!FN55="","",Briefing_FID!FN55)</f>
        <v/>
      </c>
      <c r="FI55" s="144" t="str">
        <f>IF(Briefing_FID!FO55="","",Briefing_FID!FO55)</f>
        <v/>
      </c>
      <c r="FJ55" s="144" t="str">
        <f>IF(Briefing_FID!FP55="","",Briefing_FID!FP55)</f>
        <v/>
      </c>
      <c r="FK55" s="144" t="str">
        <f>IF(Briefing_FID!FQ55="","",Briefing_FID!FQ55)</f>
        <v/>
      </c>
      <c r="FL55" s="144" t="str">
        <f>IF(Briefing_FID!FR55="","",Briefing_FID!FR55)</f>
        <v/>
      </c>
      <c r="FM55" s="144" t="str">
        <f>IF(Briefing_FID!FS55="","",Briefing_FID!FS55)</f>
        <v/>
      </c>
      <c r="FN55" s="144" t="str">
        <f>IF(Briefing_FID!FT55="","",Briefing_FID!FT55)</f>
        <v/>
      </c>
      <c r="FO55" s="144" t="str">
        <f>IF(Briefing_FID!FU55="","",Briefing_FID!FU55)</f>
        <v/>
      </c>
      <c r="FP55" s="144" t="str">
        <f>IF(Briefing_FID!FV55="","",Briefing_FID!FV55)</f>
        <v/>
      </c>
      <c r="FQ55" s="144" t="str">
        <f>IF(Briefing_FID!FW55="","",Briefing_FID!FW55)</f>
        <v/>
      </c>
      <c r="FR55" s="151"/>
      <c r="FS55" s="152"/>
      <c r="FT55" s="152"/>
      <c r="FU55" s="152"/>
      <c r="FV55" s="152"/>
      <c r="FW55" s="152"/>
      <c r="FX55" s="152"/>
      <c r="FY55" s="152"/>
      <c r="FZ55" s="152"/>
      <c r="GA55" s="153"/>
    </row>
    <row r="56" spans="1:183">
      <c r="A56" s="136" t="str">
        <f>IF(Briefing_FID!A56="","",Briefing_FID!A56)</f>
        <v/>
      </c>
      <c r="B56" s="137" t="str">
        <f>IF(Briefing_FID!B56="","",Briefing_FID!B56)</f>
        <v/>
      </c>
      <c r="C56" s="137" t="str">
        <f>IF(Briefing_FID!C56="","",Briefing_FID!C56)</f>
        <v/>
      </c>
      <c r="D56" s="46"/>
      <c r="E56" s="120"/>
      <c r="F56" s="117"/>
      <c r="G56" s="117"/>
      <c r="H56" s="72"/>
      <c r="I56" s="72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23"/>
      <c r="AD56" s="117"/>
      <c r="AE56" s="117"/>
      <c r="AF56" s="117"/>
      <c r="AG56" s="117"/>
      <c r="AH56" s="117"/>
      <c r="AI56" s="117"/>
      <c r="AJ56" s="117"/>
      <c r="AK56" s="117"/>
      <c r="AL56" s="124"/>
      <c r="AM56" s="37"/>
      <c r="AN56" s="38"/>
      <c r="AO56" s="39"/>
      <c r="AP56" s="111" t="str">
        <f>IF(Briefing_FID!AP56="","",Briefing_FID!AP56)</f>
        <v/>
      </c>
      <c r="AQ56" s="112" t="str">
        <f>IF(Briefing_FID!AQ56="","",Briefing_FID!AQ56)</f>
        <v/>
      </c>
      <c r="AR56" s="107" t="str">
        <f>IF(Briefing_FID!AR56="","",Briefing_FID!AR56)</f>
        <v/>
      </c>
      <c r="AS56" s="108" t="str">
        <f>IF(Briefing_FID!AS56="","",Briefing_FID!AS56)</f>
        <v/>
      </c>
      <c r="AT56" s="113" t="str">
        <f>IF(Briefing_FID!AT56="","",Briefing_FID!AT56)</f>
        <v/>
      </c>
      <c r="AU56" s="113" t="str">
        <f>IF(Briefing_FID!AU56="","",Briefing_FID!AU56)</f>
        <v/>
      </c>
      <c r="AV56" s="113" t="str">
        <f>IF(Briefing_FID!AV56="","",Briefing_FID!AV56)</f>
        <v/>
      </c>
      <c r="AW56" s="113" t="str">
        <f>IF(Briefing_FID!AW56="","",Briefing_FID!AW56)</f>
        <v/>
      </c>
      <c r="AX56" s="114" t="str">
        <f>IF(Briefing_FID!AX56="","",Briefing_FID!AX56)</f>
        <v/>
      </c>
      <c r="AY56" s="71"/>
      <c r="AZ56" s="117" t="str">
        <f>IF(Briefing_FID!AZ56="","",Briefing_FID!AZ56)</f>
        <v/>
      </c>
      <c r="BA56" s="118" t="str">
        <f>IF(Briefing_FID!BA56="","",Briefing_FID!BA56)</f>
        <v/>
      </c>
      <c r="BB56" s="55"/>
      <c r="BC56" s="102" t="str">
        <f>IF(Briefing_FID!BC56="","",Briefing_FID!BC56)</f>
        <v/>
      </c>
      <c r="BD56" s="27" t="str">
        <f>IF(Briefing_FID!BD56="","",Briefing_FID!BD56)</f>
        <v/>
      </c>
      <c r="BE56" s="100" t="str">
        <f>IF(Briefing_FID!BE56="","",Briefing_FID!BE56)</f>
        <v/>
      </c>
      <c r="BF56" s="3" t="str">
        <f>IF(Briefing_FID!BF56="","",Briefing_FID!BF56)</f>
        <v/>
      </c>
      <c r="BG56" s="10" t="str">
        <f>IF(Briefing_FID!BG56="","",Briefing_FID!BG56)</f>
        <v/>
      </c>
      <c r="BH56" s="100" t="str">
        <f>IF(Briefing_FID!BH56="","",Briefing_FID!BH56)</f>
        <v/>
      </c>
      <c r="BI56" s="3" t="str">
        <f>IF(Briefing_FID!BI56="","",Briefing_FID!BI56)</f>
        <v/>
      </c>
      <c r="BJ56" s="10" t="str">
        <f>IF(Briefing_FID!BJ56="","",Briefing_FID!BJ56)</f>
        <v/>
      </c>
      <c r="BK56" s="100" t="str">
        <f>IF(Briefing_FID!BK56="","",Briefing_FID!BK56)</f>
        <v/>
      </c>
      <c r="BL56" s="3" t="str">
        <f>IF(Briefing_FID!BL56="","",Briefing_FID!BL56)</f>
        <v/>
      </c>
      <c r="BM56" s="28" t="str">
        <f>IF(Briefing_FID!BM56="","",Briefing_FID!BM56)</f>
        <v/>
      </c>
      <c r="BN56" s="100" t="str">
        <f>IF(Briefing_FID!BN56="","",Briefing_FID!BN56)</f>
        <v/>
      </c>
      <c r="BO56" s="3" t="str">
        <f>IF(Briefing_FID!BO56="","",Briefing_FID!BO56)</f>
        <v/>
      </c>
      <c r="BP56" s="28" t="str">
        <f>IF(Briefing_FID!BP56="","",Briefing_FID!BP56)</f>
        <v/>
      </c>
      <c r="BQ56" s="100" t="str">
        <f>IF(Briefing_FID!BQ56="","",Briefing_FID!BQ56)</f>
        <v/>
      </c>
      <c r="BR56" s="3" t="str">
        <f>IF(Briefing_FID!BR56="","",Briefing_FID!BR56)</f>
        <v/>
      </c>
      <c r="BS56" s="28" t="str">
        <f>IF(Briefing_FID!BS56="","",Briefing_FID!BS56)</f>
        <v/>
      </c>
      <c r="BT56" s="100" t="str">
        <f>IF(Briefing_FID!BT56="","",Briefing_FID!BT56)</f>
        <v/>
      </c>
      <c r="BU56" s="3" t="str">
        <f>IF(Briefing_FID!BU56="","",Briefing_FID!BU56)</f>
        <v/>
      </c>
      <c r="BV56" s="28" t="str">
        <f>IF(Briefing_FID!BV56="","",Briefing_FID!BV56)</f>
        <v/>
      </c>
      <c r="BW56" s="100" t="str">
        <f>IF(Briefing_FID!BW56="","",Briefing_FID!BW56)</f>
        <v/>
      </c>
      <c r="BX56" s="3" t="str">
        <f>IF(Briefing_FID!BX56="","",Briefing_FID!BX56)</f>
        <v/>
      </c>
      <c r="BY56" s="28" t="str">
        <f>IF(Briefing_FID!BY56="","",Briefing_FID!BY56)</f>
        <v/>
      </c>
      <c r="BZ56" s="100" t="str">
        <f>IF(Briefing_FID!BZ56="","",Briefing_FID!BZ56)</f>
        <v/>
      </c>
      <c r="CA56" s="3" t="str">
        <f>IF(Briefing_FID!CA56="","",Briefing_FID!CA56)</f>
        <v/>
      </c>
      <c r="CB56" s="28" t="str">
        <f>IF(Briefing_FID!CB56="","",Briefing_FID!CB56)</f>
        <v/>
      </c>
      <c r="CC56" s="100" t="str">
        <f>IF(Briefing_FID!CC56="","",Briefing_FID!CC56)</f>
        <v/>
      </c>
      <c r="CD56" s="3" t="str">
        <f>IF(Briefing_FID!CD56="","",Briefing_FID!CD56)</f>
        <v/>
      </c>
      <c r="CE56" s="28" t="str">
        <f>IF(Briefing_FID!CE56="","",Briefing_FID!CE56)</f>
        <v/>
      </c>
      <c r="CF56" s="100" t="str">
        <f>IF(Briefing_FID!CF56="","",Briefing_FID!CF56)</f>
        <v/>
      </c>
      <c r="CG56" s="3" t="str">
        <f>IF(Briefing_FID!CG56="","",Briefing_FID!CG56)</f>
        <v/>
      </c>
      <c r="CH56" s="28" t="str">
        <f>IF(Briefing_FID!CH56="","",Briefing_FID!CH56)</f>
        <v/>
      </c>
      <c r="CI56" s="100" t="str">
        <f>IF(Briefing_FID!CI56="","",Briefing_FID!CI56)</f>
        <v/>
      </c>
      <c r="CJ56" s="3" t="str">
        <f>IF(Briefing_FID!CJ56="","",Briefing_FID!CJ56)</f>
        <v/>
      </c>
      <c r="CK56" s="28" t="str">
        <f>IF(Briefing_FID!CK56="","",Briefing_FID!CK56)</f>
        <v/>
      </c>
      <c r="CL56" s="100" t="str">
        <f>IF(Briefing_FID!CL56="","",Briefing_FID!CL56)</f>
        <v/>
      </c>
      <c r="CM56" s="3" t="str">
        <f>IF(Briefing_FID!CM56="","",Briefing_FID!CM56)</f>
        <v/>
      </c>
      <c r="CN56" s="28" t="str">
        <f>IF(Briefing_FID!CN56="","",Briefing_FID!CN56)</f>
        <v/>
      </c>
      <c r="CO56" s="100" t="str">
        <f>IF(Briefing_FID!CO56="","",Briefing_FID!CO56)</f>
        <v/>
      </c>
      <c r="CP56" s="3" t="str">
        <f>IF(Briefing_FID!CP56="","",Briefing_FID!CP56)</f>
        <v/>
      </c>
      <c r="CQ56" s="28" t="str">
        <f>IF(Briefing_FID!CQ56="","",Briefing_FID!CQ56)</f>
        <v/>
      </c>
      <c r="CR56" s="100" t="str">
        <f>IF(Briefing_FID!CR56="","",Briefing_FID!CR56)</f>
        <v/>
      </c>
      <c r="CS56" s="3" t="str">
        <f>IF(Briefing_FID!CS56="","",Briefing_FID!CS56)</f>
        <v/>
      </c>
      <c r="CT56" s="28" t="str">
        <f>IF(Briefing_FID!CT56="","",Briefing_FID!CT56)</f>
        <v/>
      </c>
      <c r="CU56" s="100" t="str">
        <f>IF(Briefing_FID!CU56="","",Briefing_FID!CU56)</f>
        <v/>
      </c>
      <c r="CV56" s="3" t="str">
        <f>IF(Briefing_FID!CV56="","",Briefing_FID!CV56)</f>
        <v/>
      </c>
      <c r="CW56" s="28" t="str">
        <f>IF(Briefing_FID!CW56="","",Briefing_FID!CW56)</f>
        <v/>
      </c>
      <c r="CX56" s="100" t="str">
        <f>IF(Briefing_FID!CX56="","",Briefing_FID!CX56)</f>
        <v/>
      </c>
      <c r="CY56" s="3" t="str">
        <f>IF(Briefing_FID!CY56="","",Briefing_FID!CY56)</f>
        <v/>
      </c>
      <c r="CZ56" s="28" t="str">
        <f>IF(Briefing_FID!CZ56="","",Briefing_FID!CZ56)</f>
        <v/>
      </c>
      <c r="DA56" s="100" t="str">
        <f>IF(Briefing_FID!DA56="","",Briefing_FID!DA56)</f>
        <v/>
      </c>
      <c r="DB56" s="3" t="str">
        <f>IF(Briefing_FID!DB56="","",Briefing_FID!DB56)</f>
        <v/>
      </c>
      <c r="DC56" s="28" t="str">
        <f>IF(Briefing_FID!DC56="","",Briefing_FID!DC56)</f>
        <v/>
      </c>
      <c r="DD56" s="100" t="str">
        <f>IF(Briefing_FID!DD56="","",Briefing_FID!DD56)</f>
        <v/>
      </c>
      <c r="DE56" s="3" t="str">
        <f>IF(Briefing_FID!DE56="","",Briefing_FID!DE56)</f>
        <v/>
      </c>
      <c r="DF56" s="28" t="str">
        <f>IF(Briefing_FID!DF56="","",Briefing_FID!DF56)</f>
        <v/>
      </c>
      <c r="DG56" s="100" t="str">
        <f>IF(Briefing_FID!DG56="","",Briefing_FID!DG56)</f>
        <v/>
      </c>
      <c r="DH56" s="3" t="str">
        <f>IF(Briefing_FID!DH56="","",Briefing_FID!DH56)</f>
        <v/>
      </c>
      <c r="DI56" s="28" t="str">
        <f>IF(Briefing_FID!DI56="","",Briefing_FID!DI56)</f>
        <v/>
      </c>
      <c r="DJ56" s="100" t="str">
        <f>IF(Briefing_FID!DJ56="","",Briefing_FID!DJ56)</f>
        <v/>
      </c>
      <c r="DK56" s="3" t="str">
        <f>IF(Briefing_FID!DK56="","",Briefing_FID!DK56)</f>
        <v/>
      </c>
      <c r="DL56" s="28" t="str">
        <f>IF(Briefing_FID!DL56="","",Briefing_FID!DL56)</f>
        <v/>
      </c>
      <c r="DM56" s="100" t="str">
        <f>IF(Briefing_FID!DM56="","",Briefing_FID!DM56)</f>
        <v/>
      </c>
      <c r="DN56" s="3" t="str">
        <f>IF(Briefing_FID!DN56="","",Briefing_FID!DN56)</f>
        <v/>
      </c>
      <c r="DO56" s="28" t="str">
        <f>IF(Briefing_FID!DO56="","",Briefing_FID!DO56)</f>
        <v/>
      </c>
      <c r="DP56" s="100" t="str">
        <f>IF(Briefing_FID!DP56="","",Briefing_FID!DP56)</f>
        <v/>
      </c>
      <c r="DQ56" s="3" t="str">
        <f>IF(Briefing_FID!DQ56="","",Briefing_FID!DQ56)</f>
        <v/>
      </c>
      <c r="DR56" s="28" t="str">
        <f>IF(Briefing_FID!DR56="","",Briefing_FID!DR56)</f>
        <v/>
      </c>
      <c r="DS56" s="100" t="str">
        <f>IF(Briefing_FID!DS56="","",Briefing_FID!DS56)</f>
        <v/>
      </c>
      <c r="DT56" s="3" t="str">
        <f>IF(Briefing_FID!DT56="","",Briefing_FID!DT56)</f>
        <v/>
      </c>
      <c r="DU56" s="28" t="str">
        <f>IF(Briefing_FID!DU56="","",Briefing_FID!DU56)</f>
        <v/>
      </c>
      <c r="DV56" s="100" t="str">
        <f>IF(Briefing_FID!DV56="","",Briefing_FID!DV56)</f>
        <v/>
      </c>
      <c r="DW56" s="3" t="str">
        <f>IF(Briefing_FID!DW56="","",Briefing_FID!DW56)</f>
        <v/>
      </c>
      <c r="DX56" s="28" t="str">
        <f>IF(Briefing_FID!DX56="","",Briefing_FID!DX56)</f>
        <v/>
      </c>
      <c r="DY56" s="100" t="str">
        <f>IF(Briefing_FID!DY56="","",Briefing_FID!DY56)</f>
        <v/>
      </c>
      <c r="DZ56" s="3" t="str">
        <f>IF(Briefing_FID!DZ56="","",Briefing_FID!DZ56)</f>
        <v/>
      </c>
      <c r="EA56" s="28" t="str">
        <f>IF(Briefing_FID!EA56="","",Briefing_FID!EA56)</f>
        <v/>
      </c>
      <c r="EB56" s="100" t="str">
        <f>IF(Briefing_FID!EB56="","",Briefing_FID!EB56)</f>
        <v/>
      </c>
      <c r="EC56" s="3" t="str">
        <f>IF(Briefing_FID!EC56="","",Briefing_FID!EC56)</f>
        <v/>
      </c>
      <c r="ED56" s="28" t="str">
        <f>IF(Briefing_FID!ED56="","",Briefing_FID!ED56)</f>
        <v/>
      </c>
      <c r="EE56" s="100" t="str">
        <f>IF(Briefing_FID!EE56="","",Briefing_FID!EE56)</f>
        <v/>
      </c>
      <c r="EF56" s="3" t="str">
        <f>IF(Briefing_FID!EF56="","",Briefing_FID!EF56)</f>
        <v/>
      </c>
      <c r="EG56" s="28" t="str">
        <f>IF(Briefing_FID!EG56="","",Briefing_FID!EG56)</f>
        <v/>
      </c>
      <c r="EH56" s="100" t="str">
        <f>IF(Briefing_FID!EH56="","",Briefing_FID!EH56)</f>
        <v/>
      </c>
      <c r="EI56" s="3" t="str">
        <f>IF(Briefing_FID!EI56="","",Briefing_FID!EI56)</f>
        <v/>
      </c>
      <c r="EJ56" s="28" t="str">
        <f>IF(Briefing_FID!EJ56="","",Briefing_FID!EJ56)</f>
        <v/>
      </c>
      <c r="EK56" s="100" t="str">
        <f>IF(Briefing_FID!EK56="","",Briefing_FID!EK56)</f>
        <v/>
      </c>
      <c r="EL56" s="3" t="str">
        <f>IF(Briefing_FID!EL56="","",Briefing_FID!EL56)</f>
        <v/>
      </c>
      <c r="EM56" s="28" t="str">
        <f>IF(Briefing_FID!EM56="","",Briefing_FID!EM56)</f>
        <v/>
      </c>
      <c r="EN56" s="100" t="str">
        <f>IF(Briefing_FID!EN56="","",Briefing_FID!EN56)</f>
        <v/>
      </c>
      <c r="EO56" s="3" t="str">
        <f>IF(Briefing_FID!EO56="","",Briefing_FID!EO56)</f>
        <v/>
      </c>
      <c r="EP56" s="28" t="str">
        <f>IF(Briefing_FID!EP56="","",Briefing_FID!EP56)</f>
        <v/>
      </c>
      <c r="EQ56" s="28" t="str">
        <f>IF(Briefing_FID!EQ56="","",Briefing_FID!EQ56)</f>
        <v/>
      </c>
      <c r="ER56" s="28" t="str">
        <f>IF(Briefing_FID!ER56="","",Briefing_FID!ER56)</f>
        <v/>
      </c>
      <c r="ES56" s="62"/>
      <c r="ET56" s="96" t="str">
        <f>IF(Briefing_FID!EZ56="","",Briefing_FID!EZ56)</f>
        <v/>
      </c>
      <c r="EU56" s="97" t="str">
        <f>IF(Briefing_FID!FA56="","",Briefing_FID!FA56)</f>
        <v/>
      </c>
      <c r="EV56" s="98" t="str">
        <f>IF(Briefing_FID!FB56="","",Briefing_FID!FB56)</f>
        <v/>
      </c>
      <c r="EW56" s="96" t="str">
        <f>IF(Briefing_FID!FC56="","",Briefing_FID!FC56)</f>
        <v/>
      </c>
      <c r="EX56" s="97" t="str">
        <f>IF(Briefing_FID!FD56="","",Briefing_FID!FD56)</f>
        <v/>
      </c>
      <c r="EY56" s="98" t="str">
        <f>IF(Briefing_FID!FE56="","",Briefing_FID!FE56)</f>
        <v/>
      </c>
      <c r="EZ56" s="104" t="str">
        <f>IF(Briefing_FID!FF56="","",Briefing_FID!FF56)</f>
        <v/>
      </c>
      <c r="FA56" s="144" t="str">
        <f>IF(Briefing_FID!FG56="","",Briefing_FID!FG56)</f>
        <v/>
      </c>
      <c r="FB56" s="144" t="str">
        <f>IF(Briefing_FID!FH56="","",Briefing_FID!FH56)</f>
        <v/>
      </c>
      <c r="FC56" s="144" t="str">
        <f>IF(Briefing_FID!FI56="","",Briefing_FID!FI56)</f>
        <v/>
      </c>
      <c r="FD56" s="144" t="str">
        <f>IF(Briefing_FID!FJ56="","",Briefing_FID!FJ56)</f>
        <v/>
      </c>
      <c r="FE56" s="144" t="str">
        <f>IF(Briefing_FID!FK56="","",Briefing_FID!FK56)</f>
        <v/>
      </c>
      <c r="FF56" s="144" t="str">
        <f>IF(Briefing_FID!FL56="","",Briefing_FID!FL56)</f>
        <v/>
      </c>
      <c r="FG56" s="144" t="str">
        <f>IF(Briefing_FID!FM56="","",Briefing_FID!FM56)</f>
        <v/>
      </c>
      <c r="FH56" s="144" t="str">
        <f>IF(Briefing_FID!FN56="","",Briefing_FID!FN56)</f>
        <v/>
      </c>
      <c r="FI56" s="144" t="str">
        <f>IF(Briefing_FID!FO56="","",Briefing_FID!FO56)</f>
        <v/>
      </c>
      <c r="FJ56" s="144" t="str">
        <f>IF(Briefing_FID!FP56="","",Briefing_FID!FP56)</f>
        <v/>
      </c>
      <c r="FK56" s="144" t="str">
        <f>IF(Briefing_FID!FQ56="","",Briefing_FID!FQ56)</f>
        <v/>
      </c>
      <c r="FL56" s="144" t="str">
        <f>IF(Briefing_FID!FR56="","",Briefing_FID!FR56)</f>
        <v/>
      </c>
      <c r="FM56" s="144" t="str">
        <f>IF(Briefing_FID!FS56="","",Briefing_FID!FS56)</f>
        <v/>
      </c>
      <c r="FN56" s="144" t="str">
        <f>IF(Briefing_FID!FT56="","",Briefing_FID!FT56)</f>
        <v/>
      </c>
      <c r="FO56" s="144" t="str">
        <f>IF(Briefing_FID!FU56="","",Briefing_FID!FU56)</f>
        <v/>
      </c>
      <c r="FP56" s="144" t="str">
        <f>IF(Briefing_FID!FV56="","",Briefing_FID!FV56)</f>
        <v/>
      </c>
      <c r="FQ56" s="144" t="str">
        <f>IF(Briefing_FID!FW56="","",Briefing_FID!FW56)</f>
        <v/>
      </c>
      <c r="FR56" s="151"/>
      <c r="FS56" s="152"/>
      <c r="FT56" s="152"/>
      <c r="FU56" s="152"/>
      <c r="FV56" s="152"/>
      <c r="FW56" s="152"/>
      <c r="FX56" s="152"/>
      <c r="FY56" s="152"/>
      <c r="FZ56" s="152"/>
      <c r="GA56" s="153"/>
    </row>
    <row r="57" spans="1:183">
      <c r="A57" s="136" t="str">
        <f>IF(Briefing_FID!A57="","",Briefing_FID!A57)</f>
        <v/>
      </c>
      <c r="B57" s="137" t="str">
        <f>IF(Briefing_FID!B57="","",Briefing_FID!B57)</f>
        <v/>
      </c>
      <c r="C57" s="137" t="str">
        <f>IF(Briefing_FID!C57="","",Briefing_FID!C57)</f>
        <v/>
      </c>
      <c r="D57" s="46"/>
      <c r="E57" s="120"/>
      <c r="F57" s="117"/>
      <c r="G57" s="117"/>
      <c r="H57" s="72"/>
      <c r="I57" s="72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23"/>
      <c r="AD57" s="117"/>
      <c r="AE57" s="117"/>
      <c r="AF57" s="117"/>
      <c r="AG57" s="117"/>
      <c r="AH57" s="117"/>
      <c r="AI57" s="117"/>
      <c r="AJ57" s="117"/>
      <c r="AK57" s="117"/>
      <c r="AL57" s="124"/>
      <c r="AM57" s="37"/>
      <c r="AN57" s="38"/>
      <c r="AO57" s="39"/>
      <c r="AP57" s="111" t="str">
        <f>IF(Briefing_FID!AP57="","",Briefing_FID!AP57)</f>
        <v/>
      </c>
      <c r="AQ57" s="112" t="str">
        <f>IF(Briefing_FID!AQ57="","",Briefing_FID!AQ57)</f>
        <v/>
      </c>
      <c r="AR57" s="107" t="str">
        <f>IF(Briefing_FID!AR57="","",Briefing_FID!AR57)</f>
        <v/>
      </c>
      <c r="AS57" s="108" t="str">
        <f>IF(Briefing_FID!AS57="","",Briefing_FID!AS57)</f>
        <v/>
      </c>
      <c r="AT57" s="113" t="str">
        <f>IF(Briefing_FID!AT57="","",Briefing_FID!AT57)</f>
        <v/>
      </c>
      <c r="AU57" s="113" t="str">
        <f>IF(Briefing_FID!AU57="","",Briefing_FID!AU57)</f>
        <v/>
      </c>
      <c r="AV57" s="113" t="str">
        <f>IF(Briefing_FID!AV57="","",Briefing_FID!AV57)</f>
        <v/>
      </c>
      <c r="AW57" s="113" t="str">
        <f>IF(Briefing_FID!AW57="","",Briefing_FID!AW57)</f>
        <v/>
      </c>
      <c r="AX57" s="114" t="str">
        <f>IF(Briefing_FID!AX57="","",Briefing_FID!AX57)</f>
        <v/>
      </c>
      <c r="AY57" s="71"/>
      <c r="AZ57" s="117" t="str">
        <f>IF(Briefing_FID!AZ57="","",Briefing_FID!AZ57)</f>
        <v/>
      </c>
      <c r="BA57" s="118" t="str">
        <f>IF(Briefing_FID!BA57="","",Briefing_FID!BA57)</f>
        <v/>
      </c>
      <c r="BB57" s="55"/>
      <c r="BC57" s="102" t="str">
        <f>IF(Briefing_FID!BC57="","",Briefing_FID!BC57)</f>
        <v/>
      </c>
      <c r="BD57" s="27" t="str">
        <f>IF(Briefing_FID!BD57="","",Briefing_FID!BD57)</f>
        <v/>
      </c>
      <c r="BE57" s="100" t="str">
        <f>IF(Briefing_FID!BE57="","",Briefing_FID!BE57)</f>
        <v/>
      </c>
      <c r="BF57" s="3" t="str">
        <f>IF(Briefing_FID!BF57="","",Briefing_FID!BF57)</f>
        <v/>
      </c>
      <c r="BG57" s="10" t="str">
        <f>IF(Briefing_FID!BG57="","",Briefing_FID!BG57)</f>
        <v/>
      </c>
      <c r="BH57" s="100" t="str">
        <f>IF(Briefing_FID!BH57="","",Briefing_FID!BH57)</f>
        <v/>
      </c>
      <c r="BI57" s="3" t="str">
        <f>IF(Briefing_FID!BI57="","",Briefing_FID!BI57)</f>
        <v/>
      </c>
      <c r="BJ57" s="10" t="str">
        <f>IF(Briefing_FID!BJ57="","",Briefing_FID!BJ57)</f>
        <v/>
      </c>
      <c r="BK57" s="100" t="str">
        <f>IF(Briefing_FID!BK57="","",Briefing_FID!BK57)</f>
        <v/>
      </c>
      <c r="BL57" s="3" t="str">
        <f>IF(Briefing_FID!BL57="","",Briefing_FID!BL57)</f>
        <v/>
      </c>
      <c r="BM57" s="28" t="str">
        <f>IF(Briefing_FID!BM57="","",Briefing_FID!BM57)</f>
        <v/>
      </c>
      <c r="BN57" s="100" t="str">
        <f>IF(Briefing_FID!BN57="","",Briefing_FID!BN57)</f>
        <v/>
      </c>
      <c r="BO57" s="3" t="str">
        <f>IF(Briefing_FID!BO57="","",Briefing_FID!BO57)</f>
        <v/>
      </c>
      <c r="BP57" s="28" t="str">
        <f>IF(Briefing_FID!BP57="","",Briefing_FID!BP57)</f>
        <v/>
      </c>
      <c r="BQ57" s="100" t="str">
        <f>IF(Briefing_FID!BQ57="","",Briefing_FID!BQ57)</f>
        <v/>
      </c>
      <c r="BR57" s="3" t="str">
        <f>IF(Briefing_FID!BR57="","",Briefing_FID!BR57)</f>
        <v/>
      </c>
      <c r="BS57" s="28" t="str">
        <f>IF(Briefing_FID!BS57="","",Briefing_FID!BS57)</f>
        <v/>
      </c>
      <c r="BT57" s="100" t="str">
        <f>IF(Briefing_FID!BT57="","",Briefing_FID!BT57)</f>
        <v/>
      </c>
      <c r="BU57" s="3" t="str">
        <f>IF(Briefing_FID!BU57="","",Briefing_FID!BU57)</f>
        <v/>
      </c>
      <c r="BV57" s="28" t="str">
        <f>IF(Briefing_FID!BV57="","",Briefing_FID!BV57)</f>
        <v/>
      </c>
      <c r="BW57" s="100" t="str">
        <f>IF(Briefing_FID!BW57="","",Briefing_FID!BW57)</f>
        <v/>
      </c>
      <c r="BX57" s="3" t="str">
        <f>IF(Briefing_FID!BX57="","",Briefing_FID!BX57)</f>
        <v/>
      </c>
      <c r="BY57" s="28" t="str">
        <f>IF(Briefing_FID!BY57="","",Briefing_FID!BY57)</f>
        <v/>
      </c>
      <c r="BZ57" s="100" t="str">
        <f>IF(Briefing_FID!BZ57="","",Briefing_FID!BZ57)</f>
        <v/>
      </c>
      <c r="CA57" s="3" t="str">
        <f>IF(Briefing_FID!CA57="","",Briefing_FID!CA57)</f>
        <v/>
      </c>
      <c r="CB57" s="28" t="str">
        <f>IF(Briefing_FID!CB57="","",Briefing_FID!CB57)</f>
        <v/>
      </c>
      <c r="CC57" s="100" t="str">
        <f>IF(Briefing_FID!CC57="","",Briefing_FID!CC57)</f>
        <v/>
      </c>
      <c r="CD57" s="3" t="str">
        <f>IF(Briefing_FID!CD57="","",Briefing_FID!CD57)</f>
        <v/>
      </c>
      <c r="CE57" s="28" t="str">
        <f>IF(Briefing_FID!CE57="","",Briefing_FID!CE57)</f>
        <v/>
      </c>
      <c r="CF57" s="100" t="str">
        <f>IF(Briefing_FID!CF57="","",Briefing_FID!CF57)</f>
        <v/>
      </c>
      <c r="CG57" s="3" t="str">
        <f>IF(Briefing_FID!CG57="","",Briefing_FID!CG57)</f>
        <v/>
      </c>
      <c r="CH57" s="28" t="str">
        <f>IF(Briefing_FID!CH57="","",Briefing_FID!CH57)</f>
        <v/>
      </c>
      <c r="CI57" s="100" t="str">
        <f>IF(Briefing_FID!CI57="","",Briefing_FID!CI57)</f>
        <v/>
      </c>
      <c r="CJ57" s="3" t="str">
        <f>IF(Briefing_FID!CJ57="","",Briefing_FID!CJ57)</f>
        <v/>
      </c>
      <c r="CK57" s="28" t="str">
        <f>IF(Briefing_FID!CK57="","",Briefing_FID!CK57)</f>
        <v/>
      </c>
      <c r="CL57" s="100" t="str">
        <f>IF(Briefing_FID!CL57="","",Briefing_FID!CL57)</f>
        <v/>
      </c>
      <c r="CM57" s="3" t="str">
        <f>IF(Briefing_FID!CM57="","",Briefing_FID!CM57)</f>
        <v/>
      </c>
      <c r="CN57" s="28" t="str">
        <f>IF(Briefing_FID!CN57="","",Briefing_FID!CN57)</f>
        <v/>
      </c>
      <c r="CO57" s="100" t="str">
        <f>IF(Briefing_FID!CO57="","",Briefing_FID!CO57)</f>
        <v/>
      </c>
      <c r="CP57" s="3" t="str">
        <f>IF(Briefing_FID!CP57="","",Briefing_FID!CP57)</f>
        <v/>
      </c>
      <c r="CQ57" s="28" t="str">
        <f>IF(Briefing_FID!CQ57="","",Briefing_FID!CQ57)</f>
        <v/>
      </c>
      <c r="CR57" s="100" t="str">
        <f>IF(Briefing_FID!CR57="","",Briefing_FID!CR57)</f>
        <v/>
      </c>
      <c r="CS57" s="3" t="str">
        <f>IF(Briefing_FID!CS57="","",Briefing_FID!CS57)</f>
        <v/>
      </c>
      <c r="CT57" s="28" t="str">
        <f>IF(Briefing_FID!CT57="","",Briefing_FID!CT57)</f>
        <v/>
      </c>
      <c r="CU57" s="100" t="str">
        <f>IF(Briefing_FID!CU57="","",Briefing_FID!CU57)</f>
        <v/>
      </c>
      <c r="CV57" s="3" t="str">
        <f>IF(Briefing_FID!CV57="","",Briefing_FID!CV57)</f>
        <v/>
      </c>
      <c r="CW57" s="28" t="str">
        <f>IF(Briefing_FID!CW57="","",Briefing_FID!CW57)</f>
        <v/>
      </c>
      <c r="CX57" s="100" t="str">
        <f>IF(Briefing_FID!CX57="","",Briefing_FID!CX57)</f>
        <v/>
      </c>
      <c r="CY57" s="3" t="str">
        <f>IF(Briefing_FID!CY57="","",Briefing_FID!CY57)</f>
        <v/>
      </c>
      <c r="CZ57" s="28" t="str">
        <f>IF(Briefing_FID!CZ57="","",Briefing_FID!CZ57)</f>
        <v/>
      </c>
      <c r="DA57" s="100" t="str">
        <f>IF(Briefing_FID!DA57="","",Briefing_FID!DA57)</f>
        <v/>
      </c>
      <c r="DB57" s="3" t="str">
        <f>IF(Briefing_FID!DB57="","",Briefing_FID!DB57)</f>
        <v/>
      </c>
      <c r="DC57" s="28" t="str">
        <f>IF(Briefing_FID!DC57="","",Briefing_FID!DC57)</f>
        <v/>
      </c>
      <c r="DD57" s="100" t="str">
        <f>IF(Briefing_FID!DD57="","",Briefing_FID!DD57)</f>
        <v/>
      </c>
      <c r="DE57" s="3" t="str">
        <f>IF(Briefing_FID!DE57="","",Briefing_FID!DE57)</f>
        <v/>
      </c>
      <c r="DF57" s="28" t="str">
        <f>IF(Briefing_FID!DF57="","",Briefing_FID!DF57)</f>
        <v/>
      </c>
      <c r="DG57" s="100" t="str">
        <f>IF(Briefing_FID!DG57="","",Briefing_FID!DG57)</f>
        <v/>
      </c>
      <c r="DH57" s="3" t="str">
        <f>IF(Briefing_FID!DH57="","",Briefing_FID!DH57)</f>
        <v/>
      </c>
      <c r="DI57" s="28" t="str">
        <f>IF(Briefing_FID!DI57="","",Briefing_FID!DI57)</f>
        <v/>
      </c>
      <c r="DJ57" s="100" t="str">
        <f>IF(Briefing_FID!DJ57="","",Briefing_FID!DJ57)</f>
        <v/>
      </c>
      <c r="DK57" s="3" t="str">
        <f>IF(Briefing_FID!DK57="","",Briefing_FID!DK57)</f>
        <v/>
      </c>
      <c r="DL57" s="28" t="str">
        <f>IF(Briefing_FID!DL57="","",Briefing_FID!DL57)</f>
        <v/>
      </c>
      <c r="DM57" s="100" t="str">
        <f>IF(Briefing_FID!DM57="","",Briefing_FID!DM57)</f>
        <v/>
      </c>
      <c r="DN57" s="3" t="str">
        <f>IF(Briefing_FID!DN57="","",Briefing_FID!DN57)</f>
        <v/>
      </c>
      <c r="DO57" s="28" t="str">
        <f>IF(Briefing_FID!DO57="","",Briefing_FID!DO57)</f>
        <v/>
      </c>
      <c r="DP57" s="100" t="str">
        <f>IF(Briefing_FID!DP57="","",Briefing_FID!DP57)</f>
        <v/>
      </c>
      <c r="DQ57" s="3" t="str">
        <f>IF(Briefing_FID!DQ57="","",Briefing_FID!DQ57)</f>
        <v/>
      </c>
      <c r="DR57" s="28" t="str">
        <f>IF(Briefing_FID!DR57="","",Briefing_FID!DR57)</f>
        <v/>
      </c>
      <c r="DS57" s="100" t="str">
        <f>IF(Briefing_FID!DS57="","",Briefing_FID!DS57)</f>
        <v/>
      </c>
      <c r="DT57" s="3" t="str">
        <f>IF(Briefing_FID!DT57="","",Briefing_FID!DT57)</f>
        <v/>
      </c>
      <c r="DU57" s="28" t="str">
        <f>IF(Briefing_FID!DU57="","",Briefing_FID!DU57)</f>
        <v/>
      </c>
      <c r="DV57" s="100" t="str">
        <f>IF(Briefing_FID!DV57="","",Briefing_FID!DV57)</f>
        <v/>
      </c>
      <c r="DW57" s="3" t="str">
        <f>IF(Briefing_FID!DW57="","",Briefing_FID!DW57)</f>
        <v/>
      </c>
      <c r="DX57" s="28" t="str">
        <f>IF(Briefing_FID!DX57="","",Briefing_FID!DX57)</f>
        <v/>
      </c>
      <c r="DY57" s="100" t="str">
        <f>IF(Briefing_FID!DY57="","",Briefing_FID!DY57)</f>
        <v/>
      </c>
      <c r="DZ57" s="3" t="str">
        <f>IF(Briefing_FID!DZ57="","",Briefing_FID!DZ57)</f>
        <v/>
      </c>
      <c r="EA57" s="28" t="str">
        <f>IF(Briefing_FID!EA57="","",Briefing_FID!EA57)</f>
        <v/>
      </c>
      <c r="EB57" s="100" t="str">
        <f>IF(Briefing_FID!EB57="","",Briefing_FID!EB57)</f>
        <v/>
      </c>
      <c r="EC57" s="3" t="str">
        <f>IF(Briefing_FID!EC57="","",Briefing_FID!EC57)</f>
        <v/>
      </c>
      <c r="ED57" s="28" t="str">
        <f>IF(Briefing_FID!ED57="","",Briefing_FID!ED57)</f>
        <v/>
      </c>
      <c r="EE57" s="100" t="str">
        <f>IF(Briefing_FID!EE57="","",Briefing_FID!EE57)</f>
        <v/>
      </c>
      <c r="EF57" s="3" t="str">
        <f>IF(Briefing_FID!EF57="","",Briefing_FID!EF57)</f>
        <v/>
      </c>
      <c r="EG57" s="28" t="str">
        <f>IF(Briefing_FID!EG57="","",Briefing_FID!EG57)</f>
        <v/>
      </c>
      <c r="EH57" s="100" t="str">
        <f>IF(Briefing_FID!EH57="","",Briefing_FID!EH57)</f>
        <v/>
      </c>
      <c r="EI57" s="3" t="str">
        <f>IF(Briefing_FID!EI57="","",Briefing_FID!EI57)</f>
        <v/>
      </c>
      <c r="EJ57" s="28" t="str">
        <f>IF(Briefing_FID!EJ57="","",Briefing_FID!EJ57)</f>
        <v/>
      </c>
      <c r="EK57" s="100" t="str">
        <f>IF(Briefing_FID!EK57="","",Briefing_FID!EK57)</f>
        <v/>
      </c>
      <c r="EL57" s="3" t="str">
        <f>IF(Briefing_FID!EL57="","",Briefing_FID!EL57)</f>
        <v/>
      </c>
      <c r="EM57" s="28" t="str">
        <f>IF(Briefing_FID!EM57="","",Briefing_FID!EM57)</f>
        <v/>
      </c>
      <c r="EN57" s="100" t="str">
        <f>IF(Briefing_FID!EN57="","",Briefing_FID!EN57)</f>
        <v/>
      </c>
      <c r="EO57" s="3" t="str">
        <f>IF(Briefing_FID!EO57="","",Briefing_FID!EO57)</f>
        <v/>
      </c>
      <c r="EP57" s="28" t="str">
        <f>IF(Briefing_FID!EP57="","",Briefing_FID!EP57)</f>
        <v/>
      </c>
      <c r="EQ57" s="28" t="str">
        <f>IF(Briefing_FID!EQ57="","",Briefing_FID!EQ57)</f>
        <v/>
      </c>
      <c r="ER57" s="28" t="str">
        <f>IF(Briefing_FID!ER57="","",Briefing_FID!ER57)</f>
        <v/>
      </c>
      <c r="ES57" s="62"/>
      <c r="ET57" s="96" t="str">
        <f>IF(Briefing_FID!EZ57="","",Briefing_FID!EZ57)</f>
        <v/>
      </c>
      <c r="EU57" s="97" t="str">
        <f>IF(Briefing_FID!FA57="","",Briefing_FID!FA57)</f>
        <v/>
      </c>
      <c r="EV57" s="98" t="str">
        <f>IF(Briefing_FID!FB57="","",Briefing_FID!FB57)</f>
        <v/>
      </c>
      <c r="EW57" s="96" t="str">
        <f>IF(Briefing_FID!FC57="","",Briefing_FID!FC57)</f>
        <v/>
      </c>
      <c r="EX57" s="97" t="str">
        <f>IF(Briefing_FID!FD57="","",Briefing_FID!FD57)</f>
        <v/>
      </c>
      <c r="EY57" s="98" t="str">
        <f>IF(Briefing_FID!FE57="","",Briefing_FID!FE57)</f>
        <v/>
      </c>
      <c r="EZ57" s="104" t="str">
        <f>IF(Briefing_FID!FF57="","",Briefing_FID!FF57)</f>
        <v/>
      </c>
      <c r="FA57" s="144" t="str">
        <f>IF(Briefing_FID!FG57="","",Briefing_FID!FG57)</f>
        <v/>
      </c>
      <c r="FB57" s="144" t="str">
        <f>IF(Briefing_FID!FH57="","",Briefing_FID!FH57)</f>
        <v/>
      </c>
      <c r="FC57" s="144" t="str">
        <f>IF(Briefing_FID!FI57="","",Briefing_FID!FI57)</f>
        <v/>
      </c>
      <c r="FD57" s="144" t="str">
        <f>IF(Briefing_FID!FJ57="","",Briefing_FID!FJ57)</f>
        <v/>
      </c>
      <c r="FE57" s="144" t="str">
        <f>IF(Briefing_FID!FK57="","",Briefing_FID!FK57)</f>
        <v/>
      </c>
      <c r="FF57" s="144" t="str">
        <f>IF(Briefing_FID!FL57="","",Briefing_FID!FL57)</f>
        <v/>
      </c>
      <c r="FG57" s="144" t="str">
        <f>IF(Briefing_FID!FM57="","",Briefing_FID!FM57)</f>
        <v/>
      </c>
      <c r="FH57" s="144" t="str">
        <f>IF(Briefing_FID!FN57="","",Briefing_FID!FN57)</f>
        <v/>
      </c>
      <c r="FI57" s="144" t="str">
        <f>IF(Briefing_FID!FO57="","",Briefing_FID!FO57)</f>
        <v/>
      </c>
      <c r="FJ57" s="144" t="str">
        <f>IF(Briefing_FID!FP57="","",Briefing_FID!FP57)</f>
        <v/>
      </c>
      <c r="FK57" s="144" t="str">
        <f>IF(Briefing_FID!FQ57="","",Briefing_FID!FQ57)</f>
        <v/>
      </c>
      <c r="FL57" s="144" t="str">
        <f>IF(Briefing_FID!FR57="","",Briefing_FID!FR57)</f>
        <v/>
      </c>
      <c r="FM57" s="144" t="str">
        <f>IF(Briefing_FID!FS57="","",Briefing_FID!FS57)</f>
        <v/>
      </c>
      <c r="FN57" s="144" t="str">
        <f>IF(Briefing_FID!FT57="","",Briefing_FID!FT57)</f>
        <v/>
      </c>
      <c r="FO57" s="144" t="str">
        <f>IF(Briefing_FID!FU57="","",Briefing_FID!FU57)</f>
        <v/>
      </c>
      <c r="FP57" s="144" t="str">
        <f>IF(Briefing_FID!FV57="","",Briefing_FID!FV57)</f>
        <v/>
      </c>
      <c r="FQ57" s="144" t="str">
        <f>IF(Briefing_FID!FW57="","",Briefing_FID!FW57)</f>
        <v/>
      </c>
      <c r="FR57" s="151"/>
      <c r="FS57" s="152"/>
      <c r="FT57" s="152"/>
      <c r="FU57" s="152"/>
      <c r="FV57" s="152"/>
      <c r="FW57" s="152"/>
      <c r="FX57" s="152"/>
      <c r="FY57" s="152"/>
      <c r="FZ57" s="152"/>
      <c r="GA57" s="153"/>
    </row>
    <row r="58" spans="1:183">
      <c r="A58" s="136" t="str">
        <f>IF(Briefing_FID!A58="","",Briefing_FID!A58)</f>
        <v/>
      </c>
      <c r="B58" s="137" t="str">
        <f>IF(Briefing_FID!B58="","",Briefing_FID!B58)</f>
        <v/>
      </c>
      <c r="C58" s="137" t="str">
        <f>IF(Briefing_FID!C58="","",Briefing_FID!C58)</f>
        <v/>
      </c>
      <c r="D58" s="46"/>
      <c r="E58" s="120"/>
      <c r="F58" s="117"/>
      <c r="G58" s="117"/>
      <c r="H58" s="72"/>
      <c r="I58" s="72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23"/>
      <c r="AD58" s="117"/>
      <c r="AE58" s="117"/>
      <c r="AF58" s="117"/>
      <c r="AG58" s="117"/>
      <c r="AH58" s="117"/>
      <c r="AI58" s="117"/>
      <c r="AJ58" s="117"/>
      <c r="AK58" s="117"/>
      <c r="AL58" s="124"/>
      <c r="AM58" s="37"/>
      <c r="AN58" s="38"/>
      <c r="AO58" s="39"/>
      <c r="AP58" s="111" t="str">
        <f>IF(Briefing_FID!AP58="","",Briefing_FID!AP58)</f>
        <v/>
      </c>
      <c r="AQ58" s="112" t="str">
        <f>IF(Briefing_FID!AQ58="","",Briefing_FID!AQ58)</f>
        <v/>
      </c>
      <c r="AR58" s="107" t="str">
        <f>IF(Briefing_FID!AR58="","",Briefing_FID!AR58)</f>
        <v/>
      </c>
      <c r="AS58" s="108" t="str">
        <f>IF(Briefing_FID!AS58="","",Briefing_FID!AS58)</f>
        <v/>
      </c>
      <c r="AT58" s="113" t="str">
        <f>IF(Briefing_FID!AT58="","",Briefing_FID!AT58)</f>
        <v/>
      </c>
      <c r="AU58" s="113" t="str">
        <f>IF(Briefing_FID!AU58="","",Briefing_FID!AU58)</f>
        <v/>
      </c>
      <c r="AV58" s="113" t="str">
        <f>IF(Briefing_FID!AV58="","",Briefing_FID!AV58)</f>
        <v/>
      </c>
      <c r="AW58" s="113" t="str">
        <f>IF(Briefing_FID!AW58="","",Briefing_FID!AW58)</f>
        <v/>
      </c>
      <c r="AX58" s="114" t="str">
        <f>IF(Briefing_FID!AX58="","",Briefing_FID!AX58)</f>
        <v/>
      </c>
      <c r="AY58" s="71"/>
      <c r="AZ58" s="117" t="str">
        <f>IF(Briefing_FID!AZ58="","",Briefing_FID!AZ58)</f>
        <v/>
      </c>
      <c r="BA58" s="118" t="str">
        <f>IF(Briefing_FID!BA58="","",Briefing_FID!BA58)</f>
        <v/>
      </c>
      <c r="BB58" s="55"/>
      <c r="BC58" s="102" t="str">
        <f>IF(Briefing_FID!BC58="","",Briefing_FID!BC58)</f>
        <v/>
      </c>
      <c r="BD58" s="27" t="str">
        <f>IF(Briefing_FID!BD58="","",Briefing_FID!BD58)</f>
        <v/>
      </c>
      <c r="BE58" s="100" t="str">
        <f>IF(Briefing_FID!BE58="","",Briefing_FID!BE58)</f>
        <v/>
      </c>
      <c r="BF58" s="3" t="str">
        <f>IF(Briefing_FID!BF58="","",Briefing_FID!BF58)</f>
        <v/>
      </c>
      <c r="BG58" s="10" t="str">
        <f>IF(Briefing_FID!BG58="","",Briefing_FID!BG58)</f>
        <v/>
      </c>
      <c r="BH58" s="100" t="str">
        <f>IF(Briefing_FID!BH58="","",Briefing_FID!BH58)</f>
        <v/>
      </c>
      <c r="BI58" s="3" t="str">
        <f>IF(Briefing_FID!BI58="","",Briefing_FID!BI58)</f>
        <v/>
      </c>
      <c r="BJ58" s="10" t="str">
        <f>IF(Briefing_FID!BJ58="","",Briefing_FID!BJ58)</f>
        <v/>
      </c>
      <c r="BK58" s="100" t="str">
        <f>IF(Briefing_FID!BK58="","",Briefing_FID!BK58)</f>
        <v/>
      </c>
      <c r="BL58" s="3" t="str">
        <f>IF(Briefing_FID!BL58="","",Briefing_FID!BL58)</f>
        <v/>
      </c>
      <c r="BM58" s="28" t="str">
        <f>IF(Briefing_FID!BM58="","",Briefing_FID!BM58)</f>
        <v/>
      </c>
      <c r="BN58" s="100" t="str">
        <f>IF(Briefing_FID!BN58="","",Briefing_FID!BN58)</f>
        <v/>
      </c>
      <c r="BO58" s="3" t="str">
        <f>IF(Briefing_FID!BO58="","",Briefing_FID!BO58)</f>
        <v/>
      </c>
      <c r="BP58" s="28" t="str">
        <f>IF(Briefing_FID!BP58="","",Briefing_FID!BP58)</f>
        <v/>
      </c>
      <c r="BQ58" s="100" t="str">
        <f>IF(Briefing_FID!BQ58="","",Briefing_FID!BQ58)</f>
        <v/>
      </c>
      <c r="BR58" s="3" t="str">
        <f>IF(Briefing_FID!BR58="","",Briefing_FID!BR58)</f>
        <v/>
      </c>
      <c r="BS58" s="28" t="str">
        <f>IF(Briefing_FID!BS58="","",Briefing_FID!BS58)</f>
        <v/>
      </c>
      <c r="BT58" s="100" t="str">
        <f>IF(Briefing_FID!BT58="","",Briefing_FID!BT58)</f>
        <v/>
      </c>
      <c r="BU58" s="3" t="str">
        <f>IF(Briefing_FID!BU58="","",Briefing_FID!BU58)</f>
        <v/>
      </c>
      <c r="BV58" s="28" t="str">
        <f>IF(Briefing_FID!BV58="","",Briefing_FID!BV58)</f>
        <v/>
      </c>
      <c r="BW58" s="100" t="str">
        <f>IF(Briefing_FID!BW58="","",Briefing_FID!BW58)</f>
        <v/>
      </c>
      <c r="BX58" s="3" t="str">
        <f>IF(Briefing_FID!BX58="","",Briefing_FID!BX58)</f>
        <v/>
      </c>
      <c r="BY58" s="28" t="str">
        <f>IF(Briefing_FID!BY58="","",Briefing_FID!BY58)</f>
        <v/>
      </c>
      <c r="BZ58" s="100" t="str">
        <f>IF(Briefing_FID!BZ58="","",Briefing_FID!BZ58)</f>
        <v/>
      </c>
      <c r="CA58" s="3" t="str">
        <f>IF(Briefing_FID!CA58="","",Briefing_FID!CA58)</f>
        <v/>
      </c>
      <c r="CB58" s="28" t="str">
        <f>IF(Briefing_FID!CB58="","",Briefing_FID!CB58)</f>
        <v/>
      </c>
      <c r="CC58" s="100" t="str">
        <f>IF(Briefing_FID!CC58="","",Briefing_FID!CC58)</f>
        <v/>
      </c>
      <c r="CD58" s="3" t="str">
        <f>IF(Briefing_FID!CD58="","",Briefing_FID!CD58)</f>
        <v/>
      </c>
      <c r="CE58" s="28" t="str">
        <f>IF(Briefing_FID!CE58="","",Briefing_FID!CE58)</f>
        <v/>
      </c>
      <c r="CF58" s="100" t="str">
        <f>IF(Briefing_FID!CF58="","",Briefing_FID!CF58)</f>
        <v/>
      </c>
      <c r="CG58" s="3" t="str">
        <f>IF(Briefing_FID!CG58="","",Briefing_FID!CG58)</f>
        <v/>
      </c>
      <c r="CH58" s="28" t="str">
        <f>IF(Briefing_FID!CH58="","",Briefing_FID!CH58)</f>
        <v/>
      </c>
      <c r="CI58" s="100" t="str">
        <f>IF(Briefing_FID!CI58="","",Briefing_FID!CI58)</f>
        <v/>
      </c>
      <c r="CJ58" s="3" t="str">
        <f>IF(Briefing_FID!CJ58="","",Briefing_FID!CJ58)</f>
        <v/>
      </c>
      <c r="CK58" s="28" t="str">
        <f>IF(Briefing_FID!CK58="","",Briefing_FID!CK58)</f>
        <v/>
      </c>
      <c r="CL58" s="100" t="str">
        <f>IF(Briefing_FID!CL58="","",Briefing_FID!CL58)</f>
        <v/>
      </c>
      <c r="CM58" s="3" t="str">
        <f>IF(Briefing_FID!CM58="","",Briefing_FID!CM58)</f>
        <v/>
      </c>
      <c r="CN58" s="28" t="str">
        <f>IF(Briefing_FID!CN58="","",Briefing_FID!CN58)</f>
        <v/>
      </c>
      <c r="CO58" s="100" t="str">
        <f>IF(Briefing_FID!CO58="","",Briefing_FID!CO58)</f>
        <v/>
      </c>
      <c r="CP58" s="3" t="str">
        <f>IF(Briefing_FID!CP58="","",Briefing_FID!CP58)</f>
        <v/>
      </c>
      <c r="CQ58" s="28" t="str">
        <f>IF(Briefing_FID!CQ58="","",Briefing_FID!CQ58)</f>
        <v/>
      </c>
      <c r="CR58" s="100" t="str">
        <f>IF(Briefing_FID!CR58="","",Briefing_FID!CR58)</f>
        <v/>
      </c>
      <c r="CS58" s="3" t="str">
        <f>IF(Briefing_FID!CS58="","",Briefing_FID!CS58)</f>
        <v/>
      </c>
      <c r="CT58" s="28" t="str">
        <f>IF(Briefing_FID!CT58="","",Briefing_FID!CT58)</f>
        <v/>
      </c>
      <c r="CU58" s="100" t="str">
        <f>IF(Briefing_FID!CU58="","",Briefing_FID!CU58)</f>
        <v/>
      </c>
      <c r="CV58" s="3" t="str">
        <f>IF(Briefing_FID!CV58="","",Briefing_FID!CV58)</f>
        <v/>
      </c>
      <c r="CW58" s="28" t="str">
        <f>IF(Briefing_FID!CW58="","",Briefing_FID!CW58)</f>
        <v/>
      </c>
      <c r="CX58" s="100" t="str">
        <f>IF(Briefing_FID!CX58="","",Briefing_FID!CX58)</f>
        <v/>
      </c>
      <c r="CY58" s="3" t="str">
        <f>IF(Briefing_FID!CY58="","",Briefing_FID!CY58)</f>
        <v/>
      </c>
      <c r="CZ58" s="28" t="str">
        <f>IF(Briefing_FID!CZ58="","",Briefing_FID!CZ58)</f>
        <v/>
      </c>
      <c r="DA58" s="100" t="str">
        <f>IF(Briefing_FID!DA58="","",Briefing_FID!DA58)</f>
        <v/>
      </c>
      <c r="DB58" s="3" t="str">
        <f>IF(Briefing_FID!DB58="","",Briefing_FID!DB58)</f>
        <v/>
      </c>
      <c r="DC58" s="28" t="str">
        <f>IF(Briefing_FID!DC58="","",Briefing_FID!DC58)</f>
        <v/>
      </c>
      <c r="DD58" s="100" t="str">
        <f>IF(Briefing_FID!DD58="","",Briefing_FID!DD58)</f>
        <v/>
      </c>
      <c r="DE58" s="3" t="str">
        <f>IF(Briefing_FID!DE58="","",Briefing_FID!DE58)</f>
        <v/>
      </c>
      <c r="DF58" s="28" t="str">
        <f>IF(Briefing_FID!DF58="","",Briefing_FID!DF58)</f>
        <v/>
      </c>
      <c r="DG58" s="100" t="str">
        <f>IF(Briefing_FID!DG58="","",Briefing_FID!DG58)</f>
        <v/>
      </c>
      <c r="DH58" s="3" t="str">
        <f>IF(Briefing_FID!DH58="","",Briefing_FID!DH58)</f>
        <v/>
      </c>
      <c r="DI58" s="28" t="str">
        <f>IF(Briefing_FID!DI58="","",Briefing_FID!DI58)</f>
        <v/>
      </c>
      <c r="DJ58" s="100" t="str">
        <f>IF(Briefing_FID!DJ58="","",Briefing_FID!DJ58)</f>
        <v/>
      </c>
      <c r="DK58" s="3" t="str">
        <f>IF(Briefing_FID!DK58="","",Briefing_FID!DK58)</f>
        <v/>
      </c>
      <c r="DL58" s="28" t="str">
        <f>IF(Briefing_FID!DL58="","",Briefing_FID!DL58)</f>
        <v/>
      </c>
      <c r="DM58" s="100" t="str">
        <f>IF(Briefing_FID!DM58="","",Briefing_FID!DM58)</f>
        <v/>
      </c>
      <c r="DN58" s="3" t="str">
        <f>IF(Briefing_FID!DN58="","",Briefing_FID!DN58)</f>
        <v/>
      </c>
      <c r="DO58" s="28" t="str">
        <f>IF(Briefing_FID!DO58="","",Briefing_FID!DO58)</f>
        <v/>
      </c>
      <c r="DP58" s="100" t="str">
        <f>IF(Briefing_FID!DP58="","",Briefing_FID!DP58)</f>
        <v/>
      </c>
      <c r="DQ58" s="3" t="str">
        <f>IF(Briefing_FID!DQ58="","",Briefing_FID!DQ58)</f>
        <v/>
      </c>
      <c r="DR58" s="28" t="str">
        <f>IF(Briefing_FID!DR58="","",Briefing_FID!DR58)</f>
        <v/>
      </c>
      <c r="DS58" s="100" t="str">
        <f>IF(Briefing_FID!DS58="","",Briefing_FID!DS58)</f>
        <v/>
      </c>
      <c r="DT58" s="3" t="str">
        <f>IF(Briefing_FID!DT58="","",Briefing_FID!DT58)</f>
        <v/>
      </c>
      <c r="DU58" s="28" t="str">
        <f>IF(Briefing_FID!DU58="","",Briefing_FID!DU58)</f>
        <v/>
      </c>
      <c r="DV58" s="100" t="str">
        <f>IF(Briefing_FID!DV58="","",Briefing_FID!DV58)</f>
        <v/>
      </c>
      <c r="DW58" s="3" t="str">
        <f>IF(Briefing_FID!DW58="","",Briefing_FID!DW58)</f>
        <v/>
      </c>
      <c r="DX58" s="28" t="str">
        <f>IF(Briefing_FID!DX58="","",Briefing_FID!DX58)</f>
        <v/>
      </c>
      <c r="DY58" s="100" t="str">
        <f>IF(Briefing_FID!DY58="","",Briefing_FID!DY58)</f>
        <v/>
      </c>
      <c r="DZ58" s="3" t="str">
        <f>IF(Briefing_FID!DZ58="","",Briefing_FID!DZ58)</f>
        <v/>
      </c>
      <c r="EA58" s="28" t="str">
        <f>IF(Briefing_FID!EA58="","",Briefing_FID!EA58)</f>
        <v/>
      </c>
      <c r="EB58" s="100" t="str">
        <f>IF(Briefing_FID!EB58="","",Briefing_FID!EB58)</f>
        <v/>
      </c>
      <c r="EC58" s="3" t="str">
        <f>IF(Briefing_FID!EC58="","",Briefing_FID!EC58)</f>
        <v/>
      </c>
      <c r="ED58" s="28" t="str">
        <f>IF(Briefing_FID!ED58="","",Briefing_FID!ED58)</f>
        <v/>
      </c>
      <c r="EE58" s="100" t="str">
        <f>IF(Briefing_FID!EE58="","",Briefing_FID!EE58)</f>
        <v/>
      </c>
      <c r="EF58" s="3" t="str">
        <f>IF(Briefing_FID!EF58="","",Briefing_FID!EF58)</f>
        <v/>
      </c>
      <c r="EG58" s="28" t="str">
        <f>IF(Briefing_FID!EG58="","",Briefing_FID!EG58)</f>
        <v/>
      </c>
      <c r="EH58" s="100" t="str">
        <f>IF(Briefing_FID!EH58="","",Briefing_FID!EH58)</f>
        <v/>
      </c>
      <c r="EI58" s="3" t="str">
        <f>IF(Briefing_FID!EI58="","",Briefing_FID!EI58)</f>
        <v/>
      </c>
      <c r="EJ58" s="28" t="str">
        <f>IF(Briefing_FID!EJ58="","",Briefing_FID!EJ58)</f>
        <v/>
      </c>
      <c r="EK58" s="100" t="str">
        <f>IF(Briefing_FID!EK58="","",Briefing_FID!EK58)</f>
        <v/>
      </c>
      <c r="EL58" s="3" t="str">
        <f>IF(Briefing_FID!EL58="","",Briefing_FID!EL58)</f>
        <v/>
      </c>
      <c r="EM58" s="28" t="str">
        <f>IF(Briefing_FID!EM58="","",Briefing_FID!EM58)</f>
        <v/>
      </c>
      <c r="EN58" s="100" t="str">
        <f>IF(Briefing_FID!EN58="","",Briefing_FID!EN58)</f>
        <v/>
      </c>
      <c r="EO58" s="3" t="str">
        <f>IF(Briefing_FID!EO58="","",Briefing_FID!EO58)</f>
        <v/>
      </c>
      <c r="EP58" s="28" t="str">
        <f>IF(Briefing_FID!EP58="","",Briefing_FID!EP58)</f>
        <v/>
      </c>
      <c r="EQ58" s="28" t="str">
        <f>IF(Briefing_FID!EQ58="","",Briefing_FID!EQ58)</f>
        <v/>
      </c>
      <c r="ER58" s="28" t="str">
        <f>IF(Briefing_FID!ER58="","",Briefing_FID!ER58)</f>
        <v/>
      </c>
      <c r="ES58" s="62"/>
      <c r="ET58" s="96" t="str">
        <f>IF(Briefing_FID!EZ58="","",Briefing_FID!EZ58)</f>
        <v/>
      </c>
      <c r="EU58" s="97" t="str">
        <f>IF(Briefing_FID!FA58="","",Briefing_FID!FA58)</f>
        <v/>
      </c>
      <c r="EV58" s="98" t="str">
        <f>IF(Briefing_FID!FB58="","",Briefing_FID!FB58)</f>
        <v/>
      </c>
      <c r="EW58" s="96" t="str">
        <f>IF(Briefing_FID!FC58="","",Briefing_FID!FC58)</f>
        <v/>
      </c>
      <c r="EX58" s="97" t="str">
        <f>IF(Briefing_FID!FD58="","",Briefing_FID!FD58)</f>
        <v/>
      </c>
      <c r="EY58" s="98" t="str">
        <f>IF(Briefing_FID!FE58="","",Briefing_FID!FE58)</f>
        <v/>
      </c>
      <c r="EZ58" s="104" t="str">
        <f>IF(Briefing_FID!FF58="","",Briefing_FID!FF58)</f>
        <v/>
      </c>
      <c r="FA58" s="144" t="str">
        <f>IF(Briefing_FID!FG58="","",Briefing_FID!FG58)</f>
        <v/>
      </c>
      <c r="FB58" s="144" t="str">
        <f>IF(Briefing_FID!FH58="","",Briefing_FID!FH58)</f>
        <v/>
      </c>
      <c r="FC58" s="144" t="str">
        <f>IF(Briefing_FID!FI58="","",Briefing_FID!FI58)</f>
        <v/>
      </c>
      <c r="FD58" s="144" t="str">
        <f>IF(Briefing_FID!FJ58="","",Briefing_FID!FJ58)</f>
        <v/>
      </c>
      <c r="FE58" s="144" t="str">
        <f>IF(Briefing_FID!FK58="","",Briefing_FID!FK58)</f>
        <v/>
      </c>
      <c r="FF58" s="144" t="str">
        <f>IF(Briefing_FID!FL58="","",Briefing_FID!FL58)</f>
        <v/>
      </c>
      <c r="FG58" s="144" t="str">
        <f>IF(Briefing_FID!FM58="","",Briefing_FID!FM58)</f>
        <v/>
      </c>
      <c r="FH58" s="144" t="str">
        <f>IF(Briefing_FID!FN58="","",Briefing_FID!FN58)</f>
        <v/>
      </c>
      <c r="FI58" s="144" t="str">
        <f>IF(Briefing_FID!FO58="","",Briefing_FID!FO58)</f>
        <v/>
      </c>
      <c r="FJ58" s="144" t="str">
        <f>IF(Briefing_FID!FP58="","",Briefing_FID!FP58)</f>
        <v/>
      </c>
      <c r="FK58" s="144" t="str">
        <f>IF(Briefing_FID!FQ58="","",Briefing_FID!FQ58)</f>
        <v/>
      </c>
      <c r="FL58" s="144" t="str">
        <f>IF(Briefing_FID!FR58="","",Briefing_FID!FR58)</f>
        <v/>
      </c>
      <c r="FM58" s="144" t="str">
        <f>IF(Briefing_FID!FS58="","",Briefing_FID!FS58)</f>
        <v/>
      </c>
      <c r="FN58" s="144" t="str">
        <f>IF(Briefing_FID!FT58="","",Briefing_FID!FT58)</f>
        <v/>
      </c>
      <c r="FO58" s="144" t="str">
        <f>IF(Briefing_FID!FU58="","",Briefing_FID!FU58)</f>
        <v/>
      </c>
      <c r="FP58" s="144" t="str">
        <f>IF(Briefing_FID!FV58="","",Briefing_FID!FV58)</f>
        <v/>
      </c>
      <c r="FQ58" s="144" t="str">
        <f>IF(Briefing_FID!FW58="","",Briefing_FID!FW58)</f>
        <v/>
      </c>
      <c r="FR58" s="151"/>
      <c r="FS58" s="152"/>
      <c r="FT58" s="152"/>
      <c r="FU58" s="152"/>
      <c r="FV58" s="152"/>
      <c r="FW58" s="152"/>
      <c r="FX58" s="152"/>
      <c r="FY58" s="152"/>
      <c r="FZ58" s="152"/>
      <c r="GA58" s="153"/>
    </row>
    <row r="59" spans="1:183">
      <c r="A59" s="136" t="str">
        <f>IF(Briefing_FID!A59="","",Briefing_FID!A59)</f>
        <v/>
      </c>
      <c r="B59" s="137" t="str">
        <f>IF(Briefing_FID!B59="","",Briefing_FID!B59)</f>
        <v/>
      </c>
      <c r="C59" s="137" t="str">
        <f>IF(Briefing_FID!C59="","",Briefing_FID!C59)</f>
        <v/>
      </c>
      <c r="D59" s="46"/>
      <c r="E59" s="120"/>
      <c r="F59" s="117"/>
      <c r="G59" s="117"/>
      <c r="H59" s="72"/>
      <c r="I59" s="72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23"/>
      <c r="AD59" s="117"/>
      <c r="AE59" s="117"/>
      <c r="AF59" s="117"/>
      <c r="AG59" s="117"/>
      <c r="AH59" s="117"/>
      <c r="AI59" s="117"/>
      <c r="AJ59" s="117"/>
      <c r="AK59" s="117"/>
      <c r="AL59" s="124"/>
      <c r="AM59" s="37"/>
      <c r="AN59" s="38"/>
      <c r="AO59" s="39"/>
      <c r="AP59" s="111" t="str">
        <f>IF(Briefing_FID!AP59="","",Briefing_FID!AP59)</f>
        <v/>
      </c>
      <c r="AQ59" s="112" t="str">
        <f>IF(Briefing_FID!AQ59="","",Briefing_FID!AQ59)</f>
        <v/>
      </c>
      <c r="AR59" s="107" t="str">
        <f>IF(Briefing_FID!AR59="","",Briefing_FID!AR59)</f>
        <v/>
      </c>
      <c r="AS59" s="108" t="str">
        <f>IF(Briefing_FID!AS59="","",Briefing_FID!AS59)</f>
        <v/>
      </c>
      <c r="AT59" s="113" t="str">
        <f>IF(Briefing_FID!AT59="","",Briefing_FID!AT59)</f>
        <v/>
      </c>
      <c r="AU59" s="113" t="str">
        <f>IF(Briefing_FID!AU59="","",Briefing_FID!AU59)</f>
        <v/>
      </c>
      <c r="AV59" s="113" t="str">
        <f>IF(Briefing_FID!AV59="","",Briefing_FID!AV59)</f>
        <v/>
      </c>
      <c r="AW59" s="113" t="str">
        <f>IF(Briefing_FID!AW59="","",Briefing_FID!AW59)</f>
        <v/>
      </c>
      <c r="AX59" s="114" t="str">
        <f>IF(Briefing_FID!AX59="","",Briefing_FID!AX59)</f>
        <v/>
      </c>
      <c r="AY59" s="71"/>
      <c r="AZ59" s="117" t="str">
        <f>IF(Briefing_FID!AZ59="","",Briefing_FID!AZ59)</f>
        <v/>
      </c>
      <c r="BA59" s="118" t="str">
        <f>IF(Briefing_FID!BA59="","",Briefing_FID!BA59)</f>
        <v/>
      </c>
      <c r="BB59" s="55"/>
      <c r="BC59" s="102" t="str">
        <f>IF(Briefing_FID!BC59="","",Briefing_FID!BC59)</f>
        <v/>
      </c>
      <c r="BD59" s="27" t="str">
        <f>IF(Briefing_FID!BD59="","",Briefing_FID!BD59)</f>
        <v/>
      </c>
      <c r="BE59" s="100" t="str">
        <f>IF(Briefing_FID!BE59="","",Briefing_FID!BE59)</f>
        <v/>
      </c>
      <c r="BF59" s="3" t="str">
        <f>IF(Briefing_FID!BF59="","",Briefing_FID!BF59)</f>
        <v/>
      </c>
      <c r="BG59" s="10" t="str">
        <f>IF(Briefing_FID!BG59="","",Briefing_FID!BG59)</f>
        <v/>
      </c>
      <c r="BH59" s="100" t="str">
        <f>IF(Briefing_FID!BH59="","",Briefing_FID!BH59)</f>
        <v/>
      </c>
      <c r="BI59" s="3" t="str">
        <f>IF(Briefing_FID!BI59="","",Briefing_FID!BI59)</f>
        <v/>
      </c>
      <c r="BJ59" s="10" t="str">
        <f>IF(Briefing_FID!BJ59="","",Briefing_FID!BJ59)</f>
        <v/>
      </c>
      <c r="BK59" s="100" t="str">
        <f>IF(Briefing_FID!BK59="","",Briefing_FID!BK59)</f>
        <v/>
      </c>
      <c r="BL59" s="3" t="str">
        <f>IF(Briefing_FID!BL59="","",Briefing_FID!BL59)</f>
        <v/>
      </c>
      <c r="BM59" s="28" t="str">
        <f>IF(Briefing_FID!BM59="","",Briefing_FID!BM59)</f>
        <v/>
      </c>
      <c r="BN59" s="100" t="str">
        <f>IF(Briefing_FID!BN59="","",Briefing_FID!BN59)</f>
        <v/>
      </c>
      <c r="BO59" s="3" t="str">
        <f>IF(Briefing_FID!BO59="","",Briefing_FID!BO59)</f>
        <v/>
      </c>
      <c r="BP59" s="28" t="str">
        <f>IF(Briefing_FID!BP59="","",Briefing_FID!BP59)</f>
        <v/>
      </c>
      <c r="BQ59" s="100" t="str">
        <f>IF(Briefing_FID!BQ59="","",Briefing_FID!BQ59)</f>
        <v/>
      </c>
      <c r="BR59" s="3" t="str">
        <f>IF(Briefing_FID!BR59="","",Briefing_FID!BR59)</f>
        <v/>
      </c>
      <c r="BS59" s="28" t="str">
        <f>IF(Briefing_FID!BS59="","",Briefing_FID!BS59)</f>
        <v/>
      </c>
      <c r="BT59" s="100" t="str">
        <f>IF(Briefing_FID!BT59="","",Briefing_FID!BT59)</f>
        <v/>
      </c>
      <c r="BU59" s="3" t="str">
        <f>IF(Briefing_FID!BU59="","",Briefing_FID!BU59)</f>
        <v/>
      </c>
      <c r="BV59" s="28" t="str">
        <f>IF(Briefing_FID!BV59="","",Briefing_FID!BV59)</f>
        <v/>
      </c>
      <c r="BW59" s="100" t="str">
        <f>IF(Briefing_FID!BW59="","",Briefing_FID!BW59)</f>
        <v/>
      </c>
      <c r="BX59" s="3" t="str">
        <f>IF(Briefing_FID!BX59="","",Briefing_FID!BX59)</f>
        <v/>
      </c>
      <c r="BY59" s="28" t="str">
        <f>IF(Briefing_FID!BY59="","",Briefing_FID!BY59)</f>
        <v/>
      </c>
      <c r="BZ59" s="100" t="str">
        <f>IF(Briefing_FID!BZ59="","",Briefing_FID!BZ59)</f>
        <v/>
      </c>
      <c r="CA59" s="3" t="str">
        <f>IF(Briefing_FID!CA59="","",Briefing_FID!CA59)</f>
        <v/>
      </c>
      <c r="CB59" s="28" t="str">
        <f>IF(Briefing_FID!CB59="","",Briefing_FID!CB59)</f>
        <v/>
      </c>
      <c r="CC59" s="100" t="str">
        <f>IF(Briefing_FID!CC59="","",Briefing_FID!CC59)</f>
        <v/>
      </c>
      <c r="CD59" s="3" t="str">
        <f>IF(Briefing_FID!CD59="","",Briefing_FID!CD59)</f>
        <v/>
      </c>
      <c r="CE59" s="28" t="str">
        <f>IF(Briefing_FID!CE59="","",Briefing_FID!CE59)</f>
        <v/>
      </c>
      <c r="CF59" s="100" t="str">
        <f>IF(Briefing_FID!CF59="","",Briefing_FID!CF59)</f>
        <v/>
      </c>
      <c r="CG59" s="3" t="str">
        <f>IF(Briefing_FID!CG59="","",Briefing_FID!CG59)</f>
        <v/>
      </c>
      <c r="CH59" s="28" t="str">
        <f>IF(Briefing_FID!CH59="","",Briefing_FID!CH59)</f>
        <v/>
      </c>
      <c r="CI59" s="100" t="str">
        <f>IF(Briefing_FID!CI59="","",Briefing_FID!CI59)</f>
        <v/>
      </c>
      <c r="CJ59" s="3" t="str">
        <f>IF(Briefing_FID!CJ59="","",Briefing_FID!CJ59)</f>
        <v/>
      </c>
      <c r="CK59" s="28" t="str">
        <f>IF(Briefing_FID!CK59="","",Briefing_FID!CK59)</f>
        <v/>
      </c>
      <c r="CL59" s="100" t="str">
        <f>IF(Briefing_FID!CL59="","",Briefing_FID!CL59)</f>
        <v/>
      </c>
      <c r="CM59" s="3" t="str">
        <f>IF(Briefing_FID!CM59="","",Briefing_FID!CM59)</f>
        <v/>
      </c>
      <c r="CN59" s="28" t="str">
        <f>IF(Briefing_FID!CN59="","",Briefing_FID!CN59)</f>
        <v/>
      </c>
      <c r="CO59" s="100" t="str">
        <f>IF(Briefing_FID!CO59="","",Briefing_FID!CO59)</f>
        <v/>
      </c>
      <c r="CP59" s="3" t="str">
        <f>IF(Briefing_FID!CP59="","",Briefing_FID!CP59)</f>
        <v/>
      </c>
      <c r="CQ59" s="28" t="str">
        <f>IF(Briefing_FID!CQ59="","",Briefing_FID!CQ59)</f>
        <v/>
      </c>
      <c r="CR59" s="100" t="str">
        <f>IF(Briefing_FID!CR59="","",Briefing_FID!CR59)</f>
        <v/>
      </c>
      <c r="CS59" s="3" t="str">
        <f>IF(Briefing_FID!CS59="","",Briefing_FID!CS59)</f>
        <v/>
      </c>
      <c r="CT59" s="28" t="str">
        <f>IF(Briefing_FID!CT59="","",Briefing_FID!CT59)</f>
        <v/>
      </c>
      <c r="CU59" s="100" t="str">
        <f>IF(Briefing_FID!CU59="","",Briefing_FID!CU59)</f>
        <v/>
      </c>
      <c r="CV59" s="3" t="str">
        <f>IF(Briefing_FID!CV59="","",Briefing_FID!CV59)</f>
        <v/>
      </c>
      <c r="CW59" s="28" t="str">
        <f>IF(Briefing_FID!CW59="","",Briefing_FID!CW59)</f>
        <v/>
      </c>
      <c r="CX59" s="100" t="str">
        <f>IF(Briefing_FID!CX59="","",Briefing_FID!CX59)</f>
        <v/>
      </c>
      <c r="CY59" s="3" t="str">
        <f>IF(Briefing_FID!CY59="","",Briefing_FID!CY59)</f>
        <v/>
      </c>
      <c r="CZ59" s="28" t="str">
        <f>IF(Briefing_FID!CZ59="","",Briefing_FID!CZ59)</f>
        <v/>
      </c>
      <c r="DA59" s="100" t="str">
        <f>IF(Briefing_FID!DA59="","",Briefing_FID!DA59)</f>
        <v/>
      </c>
      <c r="DB59" s="3" t="str">
        <f>IF(Briefing_FID!DB59="","",Briefing_FID!DB59)</f>
        <v/>
      </c>
      <c r="DC59" s="28" t="str">
        <f>IF(Briefing_FID!DC59="","",Briefing_FID!DC59)</f>
        <v/>
      </c>
      <c r="DD59" s="100" t="str">
        <f>IF(Briefing_FID!DD59="","",Briefing_FID!DD59)</f>
        <v/>
      </c>
      <c r="DE59" s="3" t="str">
        <f>IF(Briefing_FID!DE59="","",Briefing_FID!DE59)</f>
        <v/>
      </c>
      <c r="DF59" s="28" t="str">
        <f>IF(Briefing_FID!DF59="","",Briefing_FID!DF59)</f>
        <v/>
      </c>
      <c r="DG59" s="100" t="str">
        <f>IF(Briefing_FID!DG59="","",Briefing_FID!DG59)</f>
        <v/>
      </c>
      <c r="DH59" s="3" t="str">
        <f>IF(Briefing_FID!DH59="","",Briefing_FID!DH59)</f>
        <v/>
      </c>
      <c r="DI59" s="28" t="str">
        <f>IF(Briefing_FID!DI59="","",Briefing_FID!DI59)</f>
        <v/>
      </c>
      <c r="DJ59" s="100" t="str">
        <f>IF(Briefing_FID!DJ59="","",Briefing_FID!DJ59)</f>
        <v/>
      </c>
      <c r="DK59" s="3" t="str">
        <f>IF(Briefing_FID!DK59="","",Briefing_FID!DK59)</f>
        <v/>
      </c>
      <c r="DL59" s="28" t="str">
        <f>IF(Briefing_FID!DL59="","",Briefing_FID!DL59)</f>
        <v/>
      </c>
      <c r="DM59" s="100" t="str">
        <f>IF(Briefing_FID!DM59="","",Briefing_FID!DM59)</f>
        <v/>
      </c>
      <c r="DN59" s="3" t="str">
        <f>IF(Briefing_FID!DN59="","",Briefing_FID!DN59)</f>
        <v/>
      </c>
      <c r="DO59" s="28" t="str">
        <f>IF(Briefing_FID!DO59="","",Briefing_FID!DO59)</f>
        <v/>
      </c>
      <c r="DP59" s="100" t="str">
        <f>IF(Briefing_FID!DP59="","",Briefing_FID!DP59)</f>
        <v/>
      </c>
      <c r="DQ59" s="3" t="str">
        <f>IF(Briefing_FID!DQ59="","",Briefing_FID!DQ59)</f>
        <v/>
      </c>
      <c r="DR59" s="28" t="str">
        <f>IF(Briefing_FID!DR59="","",Briefing_FID!DR59)</f>
        <v/>
      </c>
      <c r="DS59" s="100" t="str">
        <f>IF(Briefing_FID!DS59="","",Briefing_FID!DS59)</f>
        <v/>
      </c>
      <c r="DT59" s="3" t="str">
        <f>IF(Briefing_FID!DT59="","",Briefing_FID!DT59)</f>
        <v/>
      </c>
      <c r="DU59" s="28" t="str">
        <f>IF(Briefing_FID!DU59="","",Briefing_FID!DU59)</f>
        <v/>
      </c>
      <c r="DV59" s="100" t="str">
        <f>IF(Briefing_FID!DV59="","",Briefing_FID!DV59)</f>
        <v/>
      </c>
      <c r="DW59" s="3" t="str">
        <f>IF(Briefing_FID!DW59="","",Briefing_FID!DW59)</f>
        <v/>
      </c>
      <c r="DX59" s="28" t="str">
        <f>IF(Briefing_FID!DX59="","",Briefing_FID!DX59)</f>
        <v/>
      </c>
      <c r="DY59" s="100" t="str">
        <f>IF(Briefing_FID!DY59="","",Briefing_FID!DY59)</f>
        <v/>
      </c>
      <c r="DZ59" s="3" t="str">
        <f>IF(Briefing_FID!DZ59="","",Briefing_FID!DZ59)</f>
        <v/>
      </c>
      <c r="EA59" s="28" t="str">
        <f>IF(Briefing_FID!EA59="","",Briefing_FID!EA59)</f>
        <v/>
      </c>
      <c r="EB59" s="100" t="str">
        <f>IF(Briefing_FID!EB59="","",Briefing_FID!EB59)</f>
        <v/>
      </c>
      <c r="EC59" s="3" t="str">
        <f>IF(Briefing_FID!EC59="","",Briefing_FID!EC59)</f>
        <v/>
      </c>
      <c r="ED59" s="28" t="str">
        <f>IF(Briefing_FID!ED59="","",Briefing_FID!ED59)</f>
        <v/>
      </c>
      <c r="EE59" s="100" t="str">
        <f>IF(Briefing_FID!EE59="","",Briefing_FID!EE59)</f>
        <v/>
      </c>
      <c r="EF59" s="3" t="str">
        <f>IF(Briefing_FID!EF59="","",Briefing_FID!EF59)</f>
        <v/>
      </c>
      <c r="EG59" s="28" t="str">
        <f>IF(Briefing_FID!EG59="","",Briefing_FID!EG59)</f>
        <v/>
      </c>
      <c r="EH59" s="100" t="str">
        <f>IF(Briefing_FID!EH59="","",Briefing_FID!EH59)</f>
        <v/>
      </c>
      <c r="EI59" s="3" t="str">
        <f>IF(Briefing_FID!EI59="","",Briefing_FID!EI59)</f>
        <v/>
      </c>
      <c r="EJ59" s="28" t="str">
        <f>IF(Briefing_FID!EJ59="","",Briefing_FID!EJ59)</f>
        <v/>
      </c>
      <c r="EK59" s="100" t="str">
        <f>IF(Briefing_FID!EK59="","",Briefing_FID!EK59)</f>
        <v/>
      </c>
      <c r="EL59" s="3" t="str">
        <f>IF(Briefing_FID!EL59="","",Briefing_FID!EL59)</f>
        <v/>
      </c>
      <c r="EM59" s="28" t="str">
        <f>IF(Briefing_FID!EM59="","",Briefing_FID!EM59)</f>
        <v/>
      </c>
      <c r="EN59" s="100" t="str">
        <f>IF(Briefing_FID!EN59="","",Briefing_FID!EN59)</f>
        <v/>
      </c>
      <c r="EO59" s="3" t="str">
        <f>IF(Briefing_FID!EO59="","",Briefing_FID!EO59)</f>
        <v/>
      </c>
      <c r="EP59" s="28" t="str">
        <f>IF(Briefing_FID!EP59="","",Briefing_FID!EP59)</f>
        <v/>
      </c>
      <c r="EQ59" s="28" t="str">
        <f>IF(Briefing_FID!EQ59="","",Briefing_FID!EQ59)</f>
        <v/>
      </c>
      <c r="ER59" s="28" t="str">
        <f>IF(Briefing_FID!ER59="","",Briefing_FID!ER59)</f>
        <v/>
      </c>
      <c r="ES59" s="62"/>
      <c r="ET59" s="96" t="str">
        <f>IF(Briefing_FID!EZ59="","",Briefing_FID!EZ59)</f>
        <v/>
      </c>
      <c r="EU59" s="97" t="str">
        <f>IF(Briefing_FID!FA59="","",Briefing_FID!FA59)</f>
        <v/>
      </c>
      <c r="EV59" s="98" t="str">
        <f>IF(Briefing_FID!FB59="","",Briefing_FID!FB59)</f>
        <v/>
      </c>
      <c r="EW59" s="96" t="str">
        <f>IF(Briefing_FID!FC59="","",Briefing_FID!FC59)</f>
        <v/>
      </c>
      <c r="EX59" s="97" t="str">
        <f>IF(Briefing_FID!FD59="","",Briefing_FID!FD59)</f>
        <v/>
      </c>
      <c r="EY59" s="98" t="str">
        <f>IF(Briefing_FID!FE59="","",Briefing_FID!FE59)</f>
        <v/>
      </c>
      <c r="EZ59" s="104" t="str">
        <f>IF(Briefing_FID!FF59="","",Briefing_FID!FF59)</f>
        <v/>
      </c>
      <c r="FA59" s="144" t="str">
        <f>IF(Briefing_FID!FG59="","",Briefing_FID!FG59)</f>
        <v/>
      </c>
      <c r="FB59" s="144" t="str">
        <f>IF(Briefing_FID!FH59="","",Briefing_FID!FH59)</f>
        <v/>
      </c>
      <c r="FC59" s="144" t="str">
        <f>IF(Briefing_FID!FI59="","",Briefing_FID!FI59)</f>
        <v/>
      </c>
      <c r="FD59" s="144" t="str">
        <f>IF(Briefing_FID!FJ59="","",Briefing_FID!FJ59)</f>
        <v/>
      </c>
      <c r="FE59" s="144" t="str">
        <f>IF(Briefing_FID!FK59="","",Briefing_FID!FK59)</f>
        <v/>
      </c>
      <c r="FF59" s="144" t="str">
        <f>IF(Briefing_FID!FL59="","",Briefing_FID!FL59)</f>
        <v/>
      </c>
      <c r="FG59" s="144" t="str">
        <f>IF(Briefing_FID!FM59="","",Briefing_FID!FM59)</f>
        <v/>
      </c>
      <c r="FH59" s="144" t="str">
        <f>IF(Briefing_FID!FN59="","",Briefing_FID!FN59)</f>
        <v/>
      </c>
      <c r="FI59" s="144" t="str">
        <f>IF(Briefing_FID!FO59="","",Briefing_FID!FO59)</f>
        <v/>
      </c>
      <c r="FJ59" s="144" t="str">
        <f>IF(Briefing_FID!FP59="","",Briefing_FID!FP59)</f>
        <v/>
      </c>
      <c r="FK59" s="144" t="str">
        <f>IF(Briefing_FID!FQ59="","",Briefing_FID!FQ59)</f>
        <v/>
      </c>
      <c r="FL59" s="144" t="str">
        <f>IF(Briefing_FID!FR59="","",Briefing_FID!FR59)</f>
        <v/>
      </c>
      <c r="FM59" s="144" t="str">
        <f>IF(Briefing_FID!FS59="","",Briefing_FID!FS59)</f>
        <v/>
      </c>
      <c r="FN59" s="144" t="str">
        <f>IF(Briefing_FID!FT59="","",Briefing_FID!FT59)</f>
        <v/>
      </c>
      <c r="FO59" s="144" t="str">
        <f>IF(Briefing_FID!FU59="","",Briefing_FID!FU59)</f>
        <v/>
      </c>
      <c r="FP59" s="144" t="str">
        <f>IF(Briefing_FID!FV59="","",Briefing_FID!FV59)</f>
        <v/>
      </c>
      <c r="FQ59" s="144" t="str">
        <f>IF(Briefing_FID!FW59="","",Briefing_FID!FW59)</f>
        <v/>
      </c>
      <c r="FR59" s="151"/>
      <c r="FS59" s="152"/>
      <c r="FT59" s="152"/>
      <c r="FU59" s="152"/>
      <c r="FV59" s="152"/>
      <c r="FW59" s="152"/>
      <c r="FX59" s="152"/>
      <c r="FY59" s="152"/>
      <c r="FZ59" s="152"/>
      <c r="GA59" s="153"/>
    </row>
    <row r="60" spans="1:183">
      <c r="A60" s="136" t="str">
        <f>IF(Briefing_FID!A60="","",Briefing_FID!A60)</f>
        <v/>
      </c>
      <c r="B60" s="137" t="str">
        <f>IF(Briefing_FID!B60="","",Briefing_FID!B60)</f>
        <v/>
      </c>
      <c r="C60" s="137" t="str">
        <f>IF(Briefing_FID!C60="","",Briefing_FID!C60)</f>
        <v/>
      </c>
      <c r="D60" s="46"/>
      <c r="E60" s="120"/>
      <c r="F60" s="117"/>
      <c r="G60" s="117"/>
      <c r="H60" s="72"/>
      <c r="I60" s="72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23"/>
      <c r="AD60" s="117"/>
      <c r="AE60" s="117"/>
      <c r="AF60" s="117"/>
      <c r="AG60" s="117"/>
      <c r="AH60" s="117"/>
      <c r="AI60" s="117"/>
      <c r="AJ60" s="117"/>
      <c r="AK60" s="117"/>
      <c r="AL60" s="124"/>
      <c r="AM60" s="37"/>
      <c r="AN60" s="38"/>
      <c r="AO60" s="39"/>
      <c r="AP60" s="111" t="str">
        <f>IF(Briefing_FID!AP60="","",Briefing_FID!AP60)</f>
        <v/>
      </c>
      <c r="AQ60" s="112" t="str">
        <f>IF(Briefing_FID!AQ60="","",Briefing_FID!AQ60)</f>
        <v/>
      </c>
      <c r="AR60" s="107" t="str">
        <f>IF(Briefing_FID!AR60="","",Briefing_FID!AR60)</f>
        <v/>
      </c>
      <c r="AS60" s="108" t="str">
        <f>IF(Briefing_FID!AS60="","",Briefing_FID!AS60)</f>
        <v/>
      </c>
      <c r="AT60" s="113" t="str">
        <f>IF(Briefing_FID!AT60="","",Briefing_FID!AT60)</f>
        <v/>
      </c>
      <c r="AU60" s="113" t="str">
        <f>IF(Briefing_FID!AU60="","",Briefing_FID!AU60)</f>
        <v/>
      </c>
      <c r="AV60" s="113" t="str">
        <f>IF(Briefing_FID!AV60="","",Briefing_FID!AV60)</f>
        <v/>
      </c>
      <c r="AW60" s="113" t="str">
        <f>IF(Briefing_FID!AW60="","",Briefing_FID!AW60)</f>
        <v/>
      </c>
      <c r="AX60" s="114" t="str">
        <f>IF(Briefing_FID!AX60="","",Briefing_FID!AX60)</f>
        <v/>
      </c>
      <c r="AY60" s="71"/>
      <c r="AZ60" s="117" t="str">
        <f>IF(Briefing_FID!AZ60="","",Briefing_FID!AZ60)</f>
        <v/>
      </c>
      <c r="BA60" s="118" t="str">
        <f>IF(Briefing_FID!BA60="","",Briefing_FID!BA60)</f>
        <v/>
      </c>
      <c r="BB60" s="55"/>
      <c r="BC60" s="102" t="str">
        <f>IF(Briefing_FID!BC60="","",Briefing_FID!BC60)</f>
        <v/>
      </c>
      <c r="BD60" s="27" t="str">
        <f>IF(Briefing_FID!BD60="","",Briefing_FID!BD60)</f>
        <v/>
      </c>
      <c r="BE60" s="100" t="str">
        <f>IF(Briefing_FID!BE60="","",Briefing_FID!BE60)</f>
        <v/>
      </c>
      <c r="BF60" s="3" t="str">
        <f>IF(Briefing_FID!BF60="","",Briefing_FID!BF60)</f>
        <v/>
      </c>
      <c r="BG60" s="10" t="str">
        <f>IF(Briefing_FID!BG60="","",Briefing_FID!BG60)</f>
        <v/>
      </c>
      <c r="BH60" s="100" t="str">
        <f>IF(Briefing_FID!BH60="","",Briefing_FID!BH60)</f>
        <v/>
      </c>
      <c r="BI60" s="3" t="str">
        <f>IF(Briefing_FID!BI60="","",Briefing_FID!BI60)</f>
        <v/>
      </c>
      <c r="BJ60" s="10" t="str">
        <f>IF(Briefing_FID!BJ60="","",Briefing_FID!BJ60)</f>
        <v/>
      </c>
      <c r="BK60" s="100" t="str">
        <f>IF(Briefing_FID!BK60="","",Briefing_FID!BK60)</f>
        <v/>
      </c>
      <c r="BL60" s="3" t="str">
        <f>IF(Briefing_FID!BL60="","",Briefing_FID!BL60)</f>
        <v/>
      </c>
      <c r="BM60" s="28" t="str">
        <f>IF(Briefing_FID!BM60="","",Briefing_FID!BM60)</f>
        <v/>
      </c>
      <c r="BN60" s="100" t="str">
        <f>IF(Briefing_FID!BN60="","",Briefing_FID!BN60)</f>
        <v/>
      </c>
      <c r="BO60" s="3" t="str">
        <f>IF(Briefing_FID!BO60="","",Briefing_FID!BO60)</f>
        <v/>
      </c>
      <c r="BP60" s="28" t="str">
        <f>IF(Briefing_FID!BP60="","",Briefing_FID!BP60)</f>
        <v/>
      </c>
      <c r="BQ60" s="100" t="str">
        <f>IF(Briefing_FID!BQ60="","",Briefing_FID!BQ60)</f>
        <v/>
      </c>
      <c r="BR60" s="3" t="str">
        <f>IF(Briefing_FID!BR60="","",Briefing_FID!BR60)</f>
        <v/>
      </c>
      <c r="BS60" s="28" t="str">
        <f>IF(Briefing_FID!BS60="","",Briefing_FID!BS60)</f>
        <v/>
      </c>
      <c r="BT60" s="100" t="str">
        <f>IF(Briefing_FID!BT60="","",Briefing_FID!BT60)</f>
        <v/>
      </c>
      <c r="BU60" s="3" t="str">
        <f>IF(Briefing_FID!BU60="","",Briefing_FID!BU60)</f>
        <v/>
      </c>
      <c r="BV60" s="28" t="str">
        <f>IF(Briefing_FID!BV60="","",Briefing_FID!BV60)</f>
        <v/>
      </c>
      <c r="BW60" s="100" t="str">
        <f>IF(Briefing_FID!BW60="","",Briefing_FID!BW60)</f>
        <v/>
      </c>
      <c r="BX60" s="3" t="str">
        <f>IF(Briefing_FID!BX60="","",Briefing_FID!BX60)</f>
        <v/>
      </c>
      <c r="BY60" s="28" t="str">
        <f>IF(Briefing_FID!BY60="","",Briefing_FID!BY60)</f>
        <v/>
      </c>
      <c r="BZ60" s="100" t="str">
        <f>IF(Briefing_FID!BZ60="","",Briefing_FID!BZ60)</f>
        <v/>
      </c>
      <c r="CA60" s="3" t="str">
        <f>IF(Briefing_FID!CA60="","",Briefing_FID!CA60)</f>
        <v/>
      </c>
      <c r="CB60" s="28" t="str">
        <f>IF(Briefing_FID!CB60="","",Briefing_FID!CB60)</f>
        <v/>
      </c>
      <c r="CC60" s="100" t="str">
        <f>IF(Briefing_FID!CC60="","",Briefing_FID!CC60)</f>
        <v/>
      </c>
      <c r="CD60" s="3" t="str">
        <f>IF(Briefing_FID!CD60="","",Briefing_FID!CD60)</f>
        <v/>
      </c>
      <c r="CE60" s="28" t="str">
        <f>IF(Briefing_FID!CE60="","",Briefing_FID!CE60)</f>
        <v/>
      </c>
      <c r="CF60" s="100" t="str">
        <f>IF(Briefing_FID!CF60="","",Briefing_FID!CF60)</f>
        <v/>
      </c>
      <c r="CG60" s="3" t="str">
        <f>IF(Briefing_FID!CG60="","",Briefing_FID!CG60)</f>
        <v/>
      </c>
      <c r="CH60" s="28" t="str">
        <f>IF(Briefing_FID!CH60="","",Briefing_FID!CH60)</f>
        <v/>
      </c>
      <c r="CI60" s="100" t="str">
        <f>IF(Briefing_FID!CI60="","",Briefing_FID!CI60)</f>
        <v/>
      </c>
      <c r="CJ60" s="3" t="str">
        <f>IF(Briefing_FID!CJ60="","",Briefing_FID!CJ60)</f>
        <v/>
      </c>
      <c r="CK60" s="28" t="str">
        <f>IF(Briefing_FID!CK60="","",Briefing_FID!CK60)</f>
        <v/>
      </c>
      <c r="CL60" s="100" t="str">
        <f>IF(Briefing_FID!CL60="","",Briefing_FID!CL60)</f>
        <v/>
      </c>
      <c r="CM60" s="3" t="str">
        <f>IF(Briefing_FID!CM60="","",Briefing_FID!CM60)</f>
        <v/>
      </c>
      <c r="CN60" s="28" t="str">
        <f>IF(Briefing_FID!CN60="","",Briefing_FID!CN60)</f>
        <v/>
      </c>
      <c r="CO60" s="100" t="str">
        <f>IF(Briefing_FID!CO60="","",Briefing_FID!CO60)</f>
        <v/>
      </c>
      <c r="CP60" s="3" t="str">
        <f>IF(Briefing_FID!CP60="","",Briefing_FID!CP60)</f>
        <v/>
      </c>
      <c r="CQ60" s="28" t="str">
        <f>IF(Briefing_FID!CQ60="","",Briefing_FID!CQ60)</f>
        <v/>
      </c>
      <c r="CR60" s="100" t="str">
        <f>IF(Briefing_FID!CR60="","",Briefing_FID!CR60)</f>
        <v/>
      </c>
      <c r="CS60" s="3" t="str">
        <f>IF(Briefing_FID!CS60="","",Briefing_FID!CS60)</f>
        <v/>
      </c>
      <c r="CT60" s="28" t="str">
        <f>IF(Briefing_FID!CT60="","",Briefing_FID!CT60)</f>
        <v/>
      </c>
      <c r="CU60" s="100" t="str">
        <f>IF(Briefing_FID!CU60="","",Briefing_FID!CU60)</f>
        <v/>
      </c>
      <c r="CV60" s="3" t="str">
        <f>IF(Briefing_FID!CV60="","",Briefing_FID!CV60)</f>
        <v/>
      </c>
      <c r="CW60" s="28" t="str">
        <f>IF(Briefing_FID!CW60="","",Briefing_FID!CW60)</f>
        <v/>
      </c>
      <c r="CX60" s="100" t="str">
        <f>IF(Briefing_FID!CX60="","",Briefing_FID!CX60)</f>
        <v/>
      </c>
      <c r="CY60" s="3" t="str">
        <f>IF(Briefing_FID!CY60="","",Briefing_FID!CY60)</f>
        <v/>
      </c>
      <c r="CZ60" s="28" t="str">
        <f>IF(Briefing_FID!CZ60="","",Briefing_FID!CZ60)</f>
        <v/>
      </c>
      <c r="DA60" s="100" t="str">
        <f>IF(Briefing_FID!DA60="","",Briefing_FID!DA60)</f>
        <v/>
      </c>
      <c r="DB60" s="3" t="str">
        <f>IF(Briefing_FID!DB60="","",Briefing_FID!DB60)</f>
        <v/>
      </c>
      <c r="DC60" s="28" t="str">
        <f>IF(Briefing_FID!DC60="","",Briefing_FID!DC60)</f>
        <v/>
      </c>
      <c r="DD60" s="100" t="str">
        <f>IF(Briefing_FID!DD60="","",Briefing_FID!DD60)</f>
        <v/>
      </c>
      <c r="DE60" s="3" t="str">
        <f>IF(Briefing_FID!DE60="","",Briefing_FID!DE60)</f>
        <v/>
      </c>
      <c r="DF60" s="28" t="str">
        <f>IF(Briefing_FID!DF60="","",Briefing_FID!DF60)</f>
        <v/>
      </c>
      <c r="DG60" s="100" t="str">
        <f>IF(Briefing_FID!DG60="","",Briefing_FID!DG60)</f>
        <v/>
      </c>
      <c r="DH60" s="3" t="str">
        <f>IF(Briefing_FID!DH60="","",Briefing_FID!DH60)</f>
        <v/>
      </c>
      <c r="DI60" s="28" t="str">
        <f>IF(Briefing_FID!DI60="","",Briefing_FID!DI60)</f>
        <v/>
      </c>
      <c r="DJ60" s="100" t="str">
        <f>IF(Briefing_FID!DJ60="","",Briefing_FID!DJ60)</f>
        <v/>
      </c>
      <c r="DK60" s="3" t="str">
        <f>IF(Briefing_FID!DK60="","",Briefing_FID!DK60)</f>
        <v/>
      </c>
      <c r="DL60" s="28" t="str">
        <f>IF(Briefing_FID!DL60="","",Briefing_FID!DL60)</f>
        <v/>
      </c>
      <c r="DM60" s="100" t="str">
        <f>IF(Briefing_FID!DM60="","",Briefing_FID!DM60)</f>
        <v/>
      </c>
      <c r="DN60" s="3" t="str">
        <f>IF(Briefing_FID!DN60="","",Briefing_FID!DN60)</f>
        <v/>
      </c>
      <c r="DO60" s="28" t="str">
        <f>IF(Briefing_FID!DO60="","",Briefing_FID!DO60)</f>
        <v/>
      </c>
      <c r="DP60" s="100" t="str">
        <f>IF(Briefing_FID!DP60="","",Briefing_FID!DP60)</f>
        <v/>
      </c>
      <c r="DQ60" s="3" t="str">
        <f>IF(Briefing_FID!DQ60="","",Briefing_FID!DQ60)</f>
        <v/>
      </c>
      <c r="DR60" s="28" t="str">
        <f>IF(Briefing_FID!DR60="","",Briefing_FID!DR60)</f>
        <v/>
      </c>
      <c r="DS60" s="100" t="str">
        <f>IF(Briefing_FID!DS60="","",Briefing_FID!DS60)</f>
        <v/>
      </c>
      <c r="DT60" s="3" t="str">
        <f>IF(Briefing_FID!DT60="","",Briefing_FID!DT60)</f>
        <v/>
      </c>
      <c r="DU60" s="28" t="str">
        <f>IF(Briefing_FID!DU60="","",Briefing_FID!DU60)</f>
        <v/>
      </c>
      <c r="DV60" s="100" t="str">
        <f>IF(Briefing_FID!DV60="","",Briefing_FID!DV60)</f>
        <v/>
      </c>
      <c r="DW60" s="3" t="str">
        <f>IF(Briefing_FID!DW60="","",Briefing_FID!DW60)</f>
        <v/>
      </c>
      <c r="DX60" s="28" t="str">
        <f>IF(Briefing_FID!DX60="","",Briefing_FID!DX60)</f>
        <v/>
      </c>
      <c r="DY60" s="100" t="str">
        <f>IF(Briefing_FID!DY60="","",Briefing_FID!DY60)</f>
        <v/>
      </c>
      <c r="DZ60" s="3" t="str">
        <f>IF(Briefing_FID!DZ60="","",Briefing_FID!DZ60)</f>
        <v/>
      </c>
      <c r="EA60" s="28" t="str">
        <f>IF(Briefing_FID!EA60="","",Briefing_FID!EA60)</f>
        <v/>
      </c>
      <c r="EB60" s="100" t="str">
        <f>IF(Briefing_FID!EB60="","",Briefing_FID!EB60)</f>
        <v/>
      </c>
      <c r="EC60" s="3" t="str">
        <f>IF(Briefing_FID!EC60="","",Briefing_FID!EC60)</f>
        <v/>
      </c>
      <c r="ED60" s="28" t="str">
        <f>IF(Briefing_FID!ED60="","",Briefing_FID!ED60)</f>
        <v/>
      </c>
      <c r="EE60" s="100" t="str">
        <f>IF(Briefing_FID!EE60="","",Briefing_FID!EE60)</f>
        <v/>
      </c>
      <c r="EF60" s="3" t="str">
        <f>IF(Briefing_FID!EF60="","",Briefing_FID!EF60)</f>
        <v/>
      </c>
      <c r="EG60" s="28" t="str">
        <f>IF(Briefing_FID!EG60="","",Briefing_FID!EG60)</f>
        <v/>
      </c>
      <c r="EH60" s="100" t="str">
        <f>IF(Briefing_FID!EH60="","",Briefing_FID!EH60)</f>
        <v/>
      </c>
      <c r="EI60" s="3" t="str">
        <f>IF(Briefing_FID!EI60="","",Briefing_FID!EI60)</f>
        <v/>
      </c>
      <c r="EJ60" s="28" t="str">
        <f>IF(Briefing_FID!EJ60="","",Briefing_FID!EJ60)</f>
        <v/>
      </c>
      <c r="EK60" s="100" t="str">
        <f>IF(Briefing_FID!EK60="","",Briefing_FID!EK60)</f>
        <v/>
      </c>
      <c r="EL60" s="3" t="str">
        <f>IF(Briefing_FID!EL60="","",Briefing_FID!EL60)</f>
        <v/>
      </c>
      <c r="EM60" s="28" t="str">
        <f>IF(Briefing_FID!EM60="","",Briefing_FID!EM60)</f>
        <v/>
      </c>
      <c r="EN60" s="100" t="str">
        <f>IF(Briefing_FID!EN60="","",Briefing_FID!EN60)</f>
        <v/>
      </c>
      <c r="EO60" s="3" t="str">
        <f>IF(Briefing_FID!EO60="","",Briefing_FID!EO60)</f>
        <v/>
      </c>
      <c r="EP60" s="28" t="str">
        <f>IF(Briefing_FID!EP60="","",Briefing_FID!EP60)</f>
        <v/>
      </c>
      <c r="EQ60" s="28" t="str">
        <f>IF(Briefing_FID!EQ60="","",Briefing_FID!EQ60)</f>
        <v/>
      </c>
      <c r="ER60" s="28" t="str">
        <f>IF(Briefing_FID!ER60="","",Briefing_FID!ER60)</f>
        <v/>
      </c>
      <c r="ES60" s="62"/>
      <c r="ET60" s="96" t="str">
        <f>IF(Briefing_FID!EZ60="","",Briefing_FID!EZ60)</f>
        <v/>
      </c>
      <c r="EU60" s="97" t="str">
        <f>IF(Briefing_FID!FA60="","",Briefing_FID!FA60)</f>
        <v/>
      </c>
      <c r="EV60" s="98" t="str">
        <f>IF(Briefing_FID!FB60="","",Briefing_FID!FB60)</f>
        <v/>
      </c>
      <c r="EW60" s="96" t="str">
        <f>IF(Briefing_FID!FC60="","",Briefing_FID!FC60)</f>
        <v/>
      </c>
      <c r="EX60" s="97" t="str">
        <f>IF(Briefing_FID!FD60="","",Briefing_FID!FD60)</f>
        <v/>
      </c>
      <c r="EY60" s="98" t="str">
        <f>IF(Briefing_FID!FE60="","",Briefing_FID!FE60)</f>
        <v/>
      </c>
      <c r="EZ60" s="104" t="str">
        <f>IF(Briefing_FID!FF60="","",Briefing_FID!FF60)</f>
        <v/>
      </c>
      <c r="FA60" s="144" t="str">
        <f>IF(Briefing_FID!FG60="","",Briefing_FID!FG60)</f>
        <v/>
      </c>
      <c r="FB60" s="144" t="str">
        <f>IF(Briefing_FID!FH60="","",Briefing_FID!FH60)</f>
        <v/>
      </c>
      <c r="FC60" s="144" t="str">
        <f>IF(Briefing_FID!FI60="","",Briefing_FID!FI60)</f>
        <v/>
      </c>
      <c r="FD60" s="144" t="str">
        <f>IF(Briefing_FID!FJ60="","",Briefing_FID!FJ60)</f>
        <v/>
      </c>
      <c r="FE60" s="144" t="str">
        <f>IF(Briefing_FID!FK60="","",Briefing_FID!FK60)</f>
        <v/>
      </c>
      <c r="FF60" s="144" t="str">
        <f>IF(Briefing_FID!FL60="","",Briefing_FID!FL60)</f>
        <v/>
      </c>
      <c r="FG60" s="144" t="str">
        <f>IF(Briefing_FID!FM60="","",Briefing_FID!FM60)</f>
        <v/>
      </c>
      <c r="FH60" s="144" t="str">
        <f>IF(Briefing_FID!FN60="","",Briefing_FID!FN60)</f>
        <v/>
      </c>
      <c r="FI60" s="144" t="str">
        <f>IF(Briefing_FID!FO60="","",Briefing_FID!FO60)</f>
        <v/>
      </c>
      <c r="FJ60" s="144" t="str">
        <f>IF(Briefing_FID!FP60="","",Briefing_FID!FP60)</f>
        <v/>
      </c>
      <c r="FK60" s="144" t="str">
        <f>IF(Briefing_FID!FQ60="","",Briefing_FID!FQ60)</f>
        <v/>
      </c>
      <c r="FL60" s="144" t="str">
        <f>IF(Briefing_FID!FR60="","",Briefing_FID!FR60)</f>
        <v/>
      </c>
      <c r="FM60" s="144" t="str">
        <f>IF(Briefing_FID!FS60="","",Briefing_FID!FS60)</f>
        <v/>
      </c>
      <c r="FN60" s="144" t="str">
        <f>IF(Briefing_FID!FT60="","",Briefing_FID!FT60)</f>
        <v/>
      </c>
      <c r="FO60" s="144" t="str">
        <f>IF(Briefing_FID!FU60="","",Briefing_FID!FU60)</f>
        <v/>
      </c>
      <c r="FP60" s="144" t="str">
        <f>IF(Briefing_FID!FV60="","",Briefing_FID!FV60)</f>
        <v/>
      </c>
      <c r="FQ60" s="144" t="str">
        <f>IF(Briefing_FID!FW60="","",Briefing_FID!FW60)</f>
        <v/>
      </c>
      <c r="FR60" s="151"/>
      <c r="FS60" s="152"/>
      <c r="FT60" s="152"/>
      <c r="FU60" s="152"/>
      <c r="FV60" s="152"/>
      <c r="FW60" s="152"/>
      <c r="FX60" s="152"/>
      <c r="FY60" s="152"/>
      <c r="FZ60" s="152"/>
      <c r="GA60" s="153"/>
    </row>
    <row r="61" spans="1:183">
      <c r="A61" s="136" t="str">
        <f>IF(Briefing_FID!A61="","",Briefing_FID!A61)</f>
        <v/>
      </c>
      <c r="B61" s="137" t="str">
        <f>IF(Briefing_FID!B61="","",Briefing_FID!B61)</f>
        <v/>
      </c>
      <c r="C61" s="137" t="str">
        <f>IF(Briefing_FID!C61="","",Briefing_FID!C61)</f>
        <v/>
      </c>
      <c r="D61" s="46"/>
      <c r="E61" s="120"/>
      <c r="F61" s="117"/>
      <c r="G61" s="117"/>
      <c r="H61" s="72"/>
      <c r="I61" s="72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23"/>
      <c r="AD61" s="117"/>
      <c r="AE61" s="117"/>
      <c r="AF61" s="117"/>
      <c r="AG61" s="117"/>
      <c r="AH61" s="117"/>
      <c r="AI61" s="117"/>
      <c r="AJ61" s="117"/>
      <c r="AK61" s="117"/>
      <c r="AL61" s="124"/>
      <c r="AM61" s="37"/>
      <c r="AN61" s="38"/>
      <c r="AO61" s="39"/>
      <c r="AP61" s="111" t="str">
        <f>IF(Briefing_FID!AP61="","",Briefing_FID!AP61)</f>
        <v/>
      </c>
      <c r="AQ61" s="112" t="str">
        <f>IF(Briefing_FID!AQ61="","",Briefing_FID!AQ61)</f>
        <v/>
      </c>
      <c r="AR61" s="107" t="str">
        <f>IF(Briefing_FID!AR61="","",Briefing_FID!AR61)</f>
        <v/>
      </c>
      <c r="AS61" s="108" t="str">
        <f>IF(Briefing_FID!AS61="","",Briefing_FID!AS61)</f>
        <v/>
      </c>
      <c r="AT61" s="113" t="str">
        <f>IF(Briefing_FID!AT61="","",Briefing_FID!AT61)</f>
        <v/>
      </c>
      <c r="AU61" s="113" t="str">
        <f>IF(Briefing_FID!AU61="","",Briefing_FID!AU61)</f>
        <v/>
      </c>
      <c r="AV61" s="113" t="str">
        <f>IF(Briefing_FID!AV61="","",Briefing_FID!AV61)</f>
        <v/>
      </c>
      <c r="AW61" s="113" t="str">
        <f>IF(Briefing_FID!AW61="","",Briefing_FID!AW61)</f>
        <v/>
      </c>
      <c r="AX61" s="114" t="str">
        <f>IF(Briefing_FID!AX61="","",Briefing_FID!AX61)</f>
        <v/>
      </c>
      <c r="AY61" s="71"/>
      <c r="AZ61" s="117" t="str">
        <f>IF(Briefing_FID!AZ61="","",Briefing_FID!AZ61)</f>
        <v/>
      </c>
      <c r="BA61" s="118" t="str">
        <f>IF(Briefing_FID!BA61="","",Briefing_FID!BA61)</f>
        <v/>
      </c>
      <c r="BB61" s="55"/>
      <c r="BC61" s="102" t="str">
        <f>IF(Briefing_FID!BC61="","",Briefing_FID!BC61)</f>
        <v/>
      </c>
      <c r="BD61" s="27" t="str">
        <f>IF(Briefing_FID!BD61="","",Briefing_FID!BD61)</f>
        <v/>
      </c>
      <c r="BE61" s="100" t="str">
        <f>IF(Briefing_FID!BE61="","",Briefing_FID!BE61)</f>
        <v/>
      </c>
      <c r="BF61" s="3" t="str">
        <f>IF(Briefing_FID!BF61="","",Briefing_FID!BF61)</f>
        <v/>
      </c>
      <c r="BG61" s="10" t="str">
        <f>IF(Briefing_FID!BG61="","",Briefing_FID!BG61)</f>
        <v/>
      </c>
      <c r="BH61" s="100" t="str">
        <f>IF(Briefing_FID!BH61="","",Briefing_FID!BH61)</f>
        <v/>
      </c>
      <c r="BI61" s="3" t="str">
        <f>IF(Briefing_FID!BI61="","",Briefing_FID!BI61)</f>
        <v/>
      </c>
      <c r="BJ61" s="10" t="str">
        <f>IF(Briefing_FID!BJ61="","",Briefing_FID!BJ61)</f>
        <v/>
      </c>
      <c r="BK61" s="100" t="str">
        <f>IF(Briefing_FID!BK61="","",Briefing_FID!BK61)</f>
        <v/>
      </c>
      <c r="BL61" s="3" t="str">
        <f>IF(Briefing_FID!BL61="","",Briefing_FID!BL61)</f>
        <v/>
      </c>
      <c r="BM61" s="28" t="str">
        <f>IF(Briefing_FID!BM61="","",Briefing_FID!BM61)</f>
        <v/>
      </c>
      <c r="BN61" s="100" t="str">
        <f>IF(Briefing_FID!BN61="","",Briefing_FID!BN61)</f>
        <v/>
      </c>
      <c r="BO61" s="3" t="str">
        <f>IF(Briefing_FID!BO61="","",Briefing_FID!BO61)</f>
        <v/>
      </c>
      <c r="BP61" s="28" t="str">
        <f>IF(Briefing_FID!BP61="","",Briefing_FID!BP61)</f>
        <v/>
      </c>
      <c r="BQ61" s="100" t="str">
        <f>IF(Briefing_FID!BQ61="","",Briefing_FID!BQ61)</f>
        <v/>
      </c>
      <c r="BR61" s="3" t="str">
        <f>IF(Briefing_FID!BR61="","",Briefing_FID!BR61)</f>
        <v/>
      </c>
      <c r="BS61" s="28" t="str">
        <f>IF(Briefing_FID!BS61="","",Briefing_FID!BS61)</f>
        <v/>
      </c>
      <c r="BT61" s="100" t="str">
        <f>IF(Briefing_FID!BT61="","",Briefing_FID!BT61)</f>
        <v/>
      </c>
      <c r="BU61" s="3" t="str">
        <f>IF(Briefing_FID!BU61="","",Briefing_FID!BU61)</f>
        <v/>
      </c>
      <c r="BV61" s="28" t="str">
        <f>IF(Briefing_FID!BV61="","",Briefing_FID!BV61)</f>
        <v/>
      </c>
      <c r="BW61" s="100" t="str">
        <f>IF(Briefing_FID!BW61="","",Briefing_FID!BW61)</f>
        <v/>
      </c>
      <c r="BX61" s="3" t="str">
        <f>IF(Briefing_FID!BX61="","",Briefing_FID!BX61)</f>
        <v/>
      </c>
      <c r="BY61" s="28" t="str">
        <f>IF(Briefing_FID!BY61="","",Briefing_FID!BY61)</f>
        <v/>
      </c>
      <c r="BZ61" s="100" t="str">
        <f>IF(Briefing_FID!BZ61="","",Briefing_FID!BZ61)</f>
        <v/>
      </c>
      <c r="CA61" s="3" t="str">
        <f>IF(Briefing_FID!CA61="","",Briefing_FID!CA61)</f>
        <v/>
      </c>
      <c r="CB61" s="28" t="str">
        <f>IF(Briefing_FID!CB61="","",Briefing_FID!CB61)</f>
        <v/>
      </c>
      <c r="CC61" s="100" t="str">
        <f>IF(Briefing_FID!CC61="","",Briefing_FID!CC61)</f>
        <v/>
      </c>
      <c r="CD61" s="3" t="str">
        <f>IF(Briefing_FID!CD61="","",Briefing_FID!CD61)</f>
        <v/>
      </c>
      <c r="CE61" s="28" t="str">
        <f>IF(Briefing_FID!CE61="","",Briefing_FID!CE61)</f>
        <v/>
      </c>
      <c r="CF61" s="100" t="str">
        <f>IF(Briefing_FID!CF61="","",Briefing_FID!CF61)</f>
        <v/>
      </c>
      <c r="CG61" s="3" t="str">
        <f>IF(Briefing_FID!CG61="","",Briefing_FID!CG61)</f>
        <v/>
      </c>
      <c r="CH61" s="28" t="str">
        <f>IF(Briefing_FID!CH61="","",Briefing_FID!CH61)</f>
        <v/>
      </c>
      <c r="CI61" s="100" t="str">
        <f>IF(Briefing_FID!CI61="","",Briefing_FID!CI61)</f>
        <v/>
      </c>
      <c r="CJ61" s="3" t="str">
        <f>IF(Briefing_FID!CJ61="","",Briefing_FID!CJ61)</f>
        <v/>
      </c>
      <c r="CK61" s="28" t="str">
        <f>IF(Briefing_FID!CK61="","",Briefing_FID!CK61)</f>
        <v/>
      </c>
      <c r="CL61" s="100" t="str">
        <f>IF(Briefing_FID!CL61="","",Briefing_FID!CL61)</f>
        <v/>
      </c>
      <c r="CM61" s="3" t="str">
        <f>IF(Briefing_FID!CM61="","",Briefing_FID!CM61)</f>
        <v/>
      </c>
      <c r="CN61" s="28" t="str">
        <f>IF(Briefing_FID!CN61="","",Briefing_FID!CN61)</f>
        <v/>
      </c>
      <c r="CO61" s="100" t="str">
        <f>IF(Briefing_FID!CO61="","",Briefing_FID!CO61)</f>
        <v/>
      </c>
      <c r="CP61" s="3" t="str">
        <f>IF(Briefing_FID!CP61="","",Briefing_FID!CP61)</f>
        <v/>
      </c>
      <c r="CQ61" s="28" t="str">
        <f>IF(Briefing_FID!CQ61="","",Briefing_FID!CQ61)</f>
        <v/>
      </c>
      <c r="CR61" s="100" t="str">
        <f>IF(Briefing_FID!CR61="","",Briefing_FID!CR61)</f>
        <v/>
      </c>
      <c r="CS61" s="3" t="str">
        <f>IF(Briefing_FID!CS61="","",Briefing_FID!CS61)</f>
        <v/>
      </c>
      <c r="CT61" s="28" t="str">
        <f>IF(Briefing_FID!CT61="","",Briefing_FID!CT61)</f>
        <v/>
      </c>
      <c r="CU61" s="100" t="str">
        <f>IF(Briefing_FID!CU61="","",Briefing_FID!CU61)</f>
        <v/>
      </c>
      <c r="CV61" s="3" t="str">
        <f>IF(Briefing_FID!CV61="","",Briefing_FID!CV61)</f>
        <v/>
      </c>
      <c r="CW61" s="28" t="str">
        <f>IF(Briefing_FID!CW61="","",Briefing_FID!CW61)</f>
        <v/>
      </c>
      <c r="CX61" s="100" t="str">
        <f>IF(Briefing_FID!CX61="","",Briefing_FID!CX61)</f>
        <v/>
      </c>
      <c r="CY61" s="3" t="str">
        <f>IF(Briefing_FID!CY61="","",Briefing_FID!CY61)</f>
        <v/>
      </c>
      <c r="CZ61" s="28" t="str">
        <f>IF(Briefing_FID!CZ61="","",Briefing_FID!CZ61)</f>
        <v/>
      </c>
      <c r="DA61" s="100" t="str">
        <f>IF(Briefing_FID!DA61="","",Briefing_FID!DA61)</f>
        <v/>
      </c>
      <c r="DB61" s="3" t="str">
        <f>IF(Briefing_FID!DB61="","",Briefing_FID!DB61)</f>
        <v/>
      </c>
      <c r="DC61" s="28" t="str">
        <f>IF(Briefing_FID!DC61="","",Briefing_FID!DC61)</f>
        <v/>
      </c>
      <c r="DD61" s="100" t="str">
        <f>IF(Briefing_FID!DD61="","",Briefing_FID!DD61)</f>
        <v/>
      </c>
      <c r="DE61" s="3" t="str">
        <f>IF(Briefing_FID!DE61="","",Briefing_FID!DE61)</f>
        <v/>
      </c>
      <c r="DF61" s="28" t="str">
        <f>IF(Briefing_FID!DF61="","",Briefing_FID!DF61)</f>
        <v/>
      </c>
      <c r="DG61" s="100" t="str">
        <f>IF(Briefing_FID!DG61="","",Briefing_FID!DG61)</f>
        <v/>
      </c>
      <c r="DH61" s="3" t="str">
        <f>IF(Briefing_FID!DH61="","",Briefing_FID!DH61)</f>
        <v/>
      </c>
      <c r="DI61" s="28" t="str">
        <f>IF(Briefing_FID!DI61="","",Briefing_FID!DI61)</f>
        <v/>
      </c>
      <c r="DJ61" s="100" t="str">
        <f>IF(Briefing_FID!DJ61="","",Briefing_FID!DJ61)</f>
        <v/>
      </c>
      <c r="DK61" s="3" t="str">
        <f>IF(Briefing_FID!DK61="","",Briefing_FID!DK61)</f>
        <v/>
      </c>
      <c r="DL61" s="28" t="str">
        <f>IF(Briefing_FID!DL61="","",Briefing_FID!DL61)</f>
        <v/>
      </c>
      <c r="DM61" s="100" t="str">
        <f>IF(Briefing_FID!DM61="","",Briefing_FID!DM61)</f>
        <v/>
      </c>
      <c r="DN61" s="3" t="str">
        <f>IF(Briefing_FID!DN61="","",Briefing_FID!DN61)</f>
        <v/>
      </c>
      <c r="DO61" s="28" t="str">
        <f>IF(Briefing_FID!DO61="","",Briefing_FID!DO61)</f>
        <v/>
      </c>
      <c r="DP61" s="100" t="str">
        <f>IF(Briefing_FID!DP61="","",Briefing_FID!DP61)</f>
        <v/>
      </c>
      <c r="DQ61" s="3" t="str">
        <f>IF(Briefing_FID!DQ61="","",Briefing_FID!DQ61)</f>
        <v/>
      </c>
      <c r="DR61" s="28" t="str">
        <f>IF(Briefing_FID!DR61="","",Briefing_FID!DR61)</f>
        <v/>
      </c>
      <c r="DS61" s="100" t="str">
        <f>IF(Briefing_FID!DS61="","",Briefing_FID!DS61)</f>
        <v/>
      </c>
      <c r="DT61" s="3" t="str">
        <f>IF(Briefing_FID!DT61="","",Briefing_FID!DT61)</f>
        <v/>
      </c>
      <c r="DU61" s="28" t="str">
        <f>IF(Briefing_FID!DU61="","",Briefing_FID!DU61)</f>
        <v/>
      </c>
      <c r="DV61" s="100" t="str">
        <f>IF(Briefing_FID!DV61="","",Briefing_FID!DV61)</f>
        <v/>
      </c>
      <c r="DW61" s="3" t="str">
        <f>IF(Briefing_FID!DW61="","",Briefing_FID!DW61)</f>
        <v/>
      </c>
      <c r="DX61" s="28" t="str">
        <f>IF(Briefing_FID!DX61="","",Briefing_FID!DX61)</f>
        <v/>
      </c>
      <c r="DY61" s="100" t="str">
        <f>IF(Briefing_FID!DY61="","",Briefing_FID!DY61)</f>
        <v/>
      </c>
      <c r="DZ61" s="3" t="str">
        <f>IF(Briefing_FID!DZ61="","",Briefing_FID!DZ61)</f>
        <v/>
      </c>
      <c r="EA61" s="28" t="str">
        <f>IF(Briefing_FID!EA61="","",Briefing_FID!EA61)</f>
        <v/>
      </c>
      <c r="EB61" s="100" t="str">
        <f>IF(Briefing_FID!EB61="","",Briefing_FID!EB61)</f>
        <v/>
      </c>
      <c r="EC61" s="3" t="str">
        <f>IF(Briefing_FID!EC61="","",Briefing_FID!EC61)</f>
        <v/>
      </c>
      <c r="ED61" s="28" t="str">
        <f>IF(Briefing_FID!ED61="","",Briefing_FID!ED61)</f>
        <v/>
      </c>
      <c r="EE61" s="100" t="str">
        <f>IF(Briefing_FID!EE61="","",Briefing_FID!EE61)</f>
        <v/>
      </c>
      <c r="EF61" s="3" t="str">
        <f>IF(Briefing_FID!EF61="","",Briefing_FID!EF61)</f>
        <v/>
      </c>
      <c r="EG61" s="28" t="str">
        <f>IF(Briefing_FID!EG61="","",Briefing_FID!EG61)</f>
        <v/>
      </c>
      <c r="EH61" s="100" t="str">
        <f>IF(Briefing_FID!EH61="","",Briefing_FID!EH61)</f>
        <v/>
      </c>
      <c r="EI61" s="3" t="str">
        <f>IF(Briefing_FID!EI61="","",Briefing_FID!EI61)</f>
        <v/>
      </c>
      <c r="EJ61" s="28" t="str">
        <f>IF(Briefing_FID!EJ61="","",Briefing_FID!EJ61)</f>
        <v/>
      </c>
      <c r="EK61" s="100" t="str">
        <f>IF(Briefing_FID!EK61="","",Briefing_FID!EK61)</f>
        <v/>
      </c>
      <c r="EL61" s="3" t="str">
        <f>IF(Briefing_FID!EL61="","",Briefing_FID!EL61)</f>
        <v/>
      </c>
      <c r="EM61" s="28" t="str">
        <f>IF(Briefing_FID!EM61="","",Briefing_FID!EM61)</f>
        <v/>
      </c>
      <c r="EN61" s="100" t="str">
        <f>IF(Briefing_FID!EN61="","",Briefing_FID!EN61)</f>
        <v/>
      </c>
      <c r="EO61" s="3" t="str">
        <f>IF(Briefing_FID!EO61="","",Briefing_FID!EO61)</f>
        <v/>
      </c>
      <c r="EP61" s="28" t="str">
        <f>IF(Briefing_FID!EP61="","",Briefing_FID!EP61)</f>
        <v/>
      </c>
      <c r="EQ61" s="28" t="str">
        <f>IF(Briefing_FID!EQ61="","",Briefing_FID!EQ61)</f>
        <v/>
      </c>
      <c r="ER61" s="28" t="str">
        <f>IF(Briefing_FID!ER61="","",Briefing_FID!ER61)</f>
        <v/>
      </c>
      <c r="ES61" s="62"/>
      <c r="ET61" s="96" t="str">
        <f>IF(Briefing_FID!EZ61="","",Briefing_FID!EZ61)</f>
        <v/>
      </c>
      <c r="EU61" s="97" t="str">
        <f>IF(Briefing_FID!FA61="","",Briefing_FID!FA61)</f>
        <v/>
      </c>
      <c r="EV61" s="98" t="str">
        <f>IF(Briefing_FID!FB61="","",Briefing_FID!FB61)</f>
        <v/>
      </c>
      <c r="EW61" s="96" t="str">
        <f>IF(Briefing_FID!FC61="","",Briefing_FID!FC61)</f>
        <v/>
      </c>
      <c r="EX61" s="97" t="str">
        <f>IF(Briefing_FID!FD61="","",Briefing_FID!FD61)</f>
        <v/>
      </c>
      <c r="EY61" s="98" t="str">
        <f>IF(Briefing_FID!FE61="","",Briefing_FID!FE61)</f>
        <v/>
      </c>
      <c r="EZ61" s="104" t="str">
        <f>IF(Briefing_FID!FF61="","",Briefing_FID!FF61)</f>
        <v/>
      </c>
      <c r="FA61" s="144" t="str">
        <f>IF(Briefing_FID!FG61="","",Briefing_FID!FG61)</f>
        <v/>
      </c>
      <c r="FB61" s="144" t="str">
        <f>IF(Briefing_FID!FH61="","",Briefing_FID!FH61)</f>
        <v/>
      </c>
      <c r="FC61" s="144" t="str">
        <f>IF(Briefing_FID!FI61="","",Briefing_FID!FI61)</f>
        <v/>
      </c>
      <c r="FD61" s="144" t="str">
        <f>IF(Briefing_FID!FJ61="","",Briefing_FID!FJ61)</f>
        <v/>
      </c>
      <c r="FE61" s="144" t="str">
        <f>IF(Briefing_FID!FK61="","",Briefing_FID!FK61)</f>
        <v/>
      </c>
      <c r="FF61" s="144" t="str">
        <f>IF(Briefing_FID!FL61="","",Briefing_FID!FL61)</f>
        <v/>
      </c>
      <c r="FG61" s="144" t="str">
        <f>IF(Briefing_FID!FM61="","",Briefing_FID!FM61)</f>
        <v/>
      </c>
      <c r="FH61" s="144" t="str">
        <f>IF(Briefing_FID!FN61="","",Briefing_FID!FN61)</f>
        <v/>
      </c>
      <c r="FI61" s="144" t="str">
        <f>IF(Briefing_FID!FO61="","",Briefing_FID!FO61)</f>
        <v/>
      </c>
      <c r="FJ61" s="144" t="str">
        <f>IF(Briefing_FID!FP61="","",Briefing_FID!FP61)</f>
        <v/>
      </c>
      <c r="FK61" s="144" t="str">
        <f>IF(Briefing_FID!FQ61="","",Briefing_FID!FQ61)</f>
        <v/>
      </c>
      <c r="FL61" s="144" t="str">
        <f>IF(Briefing_FID!FR61="","",Briefing_FID!FR61)</f>
        <v/>
      </c>
      <c r="FM61" s="144" t="str">
        <f>IF(Briefing_FID!FS61="","",Briefing_FID!FS61)</f>
        <v/>
      </c>
      <c r="FN61" s="144" t="str">
        <f>IF(Briefing_FID!FT61="","",Briefing_FID!FT61)</f>
        <v/>
      </c>
      <c r="FO61" s="144" t="str">
        <f>IF(Briefing_FID!FU61="","",Briefing_FID!FU61)</f>
        <v/>
      </c>
      <c r="FP61" s="144" t="str">
        <f>IF(Briefing_FID!FV61="","",Briefing_FID!FV61)</f>
        <v/>
      </c>
      <c r="FQ61" s="144" t="str">
        <f>IF(Briefing_FID!FW61="","",Briefing_FID!FW61)</f>
        <v/>
      </c>
      <c r="FR61" s="151"/>
      <c r="FS61" s="152"/>
      <c r="FT61" s="152"/>
      <c r="FU61" s="152"/>
      <c r="FV61" s="152"/>
      <c r="FW61" s="152"/>
      <c r="FX61" s="152"/>
      <c r="FY61" s="152"/>
      <c r="FZ61" s="152"/>
      <c r="GA61" s="153"/>
    </row>
    <row r="62" spans="1:183">
      <c r="A62" s="136" t="str">
        <f>IF(Briefing_FID!A62="","",Briefing_FID!A62)</f>
        <v/>
      </c>
      <c r="B62" s="137" t="str">
        <f>IF(Briefing_FID!B62="","",Briefing_FID!B62)</f>
        <v/>
      </c>
      <c r="C62" s="137" t="str">
        <f>IF(Briefing_FID!C62="","",Briefing_FID!C62)</f>
        <v/>
      </c>
      <c r="D62" s="46"/>
      <c r="E62" s="120"/>
      <c r="F62" s="117"/>
      <c r="G62" s="117"/>
      <c r="H62" s="72"/>
      <c r="I62" s="72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23"/>
      <c r="AD62" s="117"/>
      <c r="AE62" s="117"/>
      <c r="AF62" s="117"/>
      <c r="AG62" s="117"/>
      <c r="AH62" s="117"/>
      <c r="AI62" s="117"/>
      <c r="AJ62" s="117"/>
      <c r="AK62" s="117"/>
      <c r="AL62" s="124"/>
      <c r="AM62" s="37"/>
      <c r="AN62" s="38"/>
      <c r="AO62" s="39"/>
      <c r="AP62" s="111" t="str">
        <f>IF(Briefing_FID!AP62="","",Briefing_FID!AP62)</f>
        <v/>
      </c>
      <c r="AQ62" s="112" t="str">
        <f>IF(Briefing_FID!AQ62="","",Briefing_FID!AQ62)</f>
        <v/>
      </c>
      <c r="AR62" s="107" t="str">
        <f>IF(Briefing_FID!AR62="","",Briefing_FID!AR62)</f>
        <v/>
      </c>
      <c r="AS62" s="108" t="str">
        <f>IF(Briefing_FID!AS62="","",Briefing_FID!AS62)</f>
        <v/>
      </c>
      <c r="AT62" s="113" t="str">
        <f>IF(Briefing_FID!AT62="","",Briefing_FID!AT62)</f>
        <v/>
      </c>
      <c r="AU62" s="113" t="str">
        <f>IF(Briefing_FID!AU62="","",Briefing_FID!AU62)</f>
        <v/>
      </c>
      <c r="AV62" s="113" t="str">
        <f>IF(Briefing_FID!AV62="","",Briefing_FID!AV62)</f>
        <v/>
      </c>
      <c r="AW62" s="113" t="str">
        <f>IF(Briefing_FID!AW62="","",Briefing_FID!AW62)</f>
        <v/>
      </c>
      <c r="AX62" s="114" t="str">
        <f>IF(Briefing_FID!AX62="","",Briefing_FID!AX62)</f>
        <v/>
      </c>
      <c r="AY62" s="71"/>
      <c r="AZ62" s="117" t="str">
        <f>IF(Briefing_FID!AZ62="","",Briefing_FID!AZ62)</f>
        <v/>
      </c>
      <c r="BA62" s="118" t="str">
        <f>IF(Briefing_FID!BA62="","",Briefing_FID!BA62)</f>
        <v/>
      </c>
      <c r="BB62" s="55"/>
      <c r="BC62" s="102" t="str">
        <f>IF(Briefing_FID!BC62="","",Briefing_FID!BC62)</f>
        <v/>
      </c>
      <c r="BD62" s="27" t="str">
        <f>IF(Briefing_FID!BD62="","",Briefing_FID!BD62)</f>
        <v/>
      </c>
      <c r="BE62" s="100" t="str">
        <f>IF(Briefing_FID!BE62="","",Briefing_FID!BE62)</f>
        <v/>
      </c>
      <c r="BF62" s="3" t="str">
        <f>IF(Briefing_FID!BF62="","",Briefing_FID!BF62)</f>
        <v/>
      </c>
      <c r="BG62" s="10" t="str">
        <f>IF(Briefing_FID!BG62="","",Briefing_FID!BG62)</f>
        <v/>
      </c>
      <c r="BH62" s="100" t="str">
        <f>IF(Briefing_FID!BH62="","",Briefing_FID!BH62)</f>
        <v/>
      </c>
      <c r="BI62" s="3" t="str">
        <f>IF(Briefing_FID!BI62="","",Briefing_FID!BI62)</f>
        <v/>
      </c>
      <c r="BJ62" s="10" t="str">
        <f>IF(Briefing_FID!BJ62="","",Briefing_FID!BJ62)</f>
        <v/>
      </c>
      <c r="BK62" s="100" t="str">
        <f>IF(Briefing_FID!BK62="","",Briefing_FID!BK62)</f>
        <v/>
      </c>
      <c r="BL62" s="3" t="str">
        <f>IF(Briefing_FID!BL62="","",Briefing_FID!BL62)</f>
        <v/>
      </c>
      <c r="BM62" s="28" t="str">
        <f>IF(Briefing_FID!BM62="","",Briefing_FID!BM62)</f>
        <v/>
      </c>
      <c r="BN62" s="100" t="str">
        <f>IF(Briefing_FID!BN62="","",Briefing_FID!BN62)</f>
        <v/>
      </c>
      <c r="BO62" s="3" t="str">
        <f>IF(Briefing_FID!BO62="","",Briefing_FID!BO62)</f>
        <v/>
      </c>
      <c r="BP62" s="28" t="str">
        <f>IF(Briefing_FID!BP62="","",Briefing_FID!BP62)</f>
        <v/>
      </c>
      <c r="BQ62" s="100" t="str">
        <f>IF(Briefing_FID!BQ62="","",Briefing_FID!BQ62)</f>
        <v/>
      </c>
      <c r="BR62" s="3" t="str">
        <f>IF(Briefing_FID!BR62="","",Briefing_FID!BR62)</f>
        <v/>
      </c>
      <c r="BS62" s="28" t="str">
        <f>IF(Briefing_FID!BS62="","",Briefing_FID!BS62)</f>
        <v/>
      </c>
      <c r="BT62" s="100" t="str">
        <f>IF(Briefing_FID!BT62="","",Briefing_FID!BT62)</f>
        <v/>
      </c>
      <c r="BU62" s="3" t="str">
        <f>IF(Briefing_FID!BU62="","",Briefing_FID!BU62)</f>
        <v/>
      </c>
      <c r="BV62" s="28" t="str">
        <f>IF(Briefing_FID!BV62="","",Briefing_FID!BV62)</f>
        <v/>
      </c>
      <c r="BW62" s="100" t="str">
        <f>IF(Briefing_FID!BW62="","",Briefing_FID!BW62)</f>
        <v/>
      </c>
      <c r="BX62" s="3" t="str">
        <f>IF(Briefing_FID!BX62="","",Briefing_FID!BX62)</f>
        <v/>
      </c>
      <c r="BY62" s="28" t="str">
        <f>IF(Briefing_FID!BY62="","",Briefing_FID!BY62)</f>
        <v/>
      </c>
      <c r="BZ62" s="100" t="str">
        <f>IF(Briefing_FID!BZ62="","",Briefing_FID!BZ62)</f>
        <v/>
      </c>
      <c r="CA62" s="3" t="str">
        <f>IF(Briefing_FID!CA62="","",Briefing_FID!CA62)</f>
        <v/>
      </c>
      <c r="CB62" s="28" t="str">
        <f>IF(Briefing_FID!CB62="","",Briefing_FID!CB62)</f>
        <v/>
      </c>
      <c r="CC62" s="100" t="str">
        <f>IF(Briefing_FID!CC62="","",Briefing_FID!CC62)</f>
        <v/>
      </c>
      <c r="CD62" s="3" t="str">
        <f>IF(Briefing_FID!CD62="","",Briefing_FID!CD62)</f>
        <v/>
      </c>
      <c r="CE62" s="28" t="str">
        <f>IF(Briefing_FID!CE62="","",Briefing_FID!CE62)</f>
        <v/>
      </c>
      <c r="CF62" s="100" t="str">
        <f>IF(Briefing_FID!CF62="","",Briefing_FID!CF62)</f>
        <v/>
      </c>
      <c r="CG62" s="3" t="str">
        <f>IF(Briefing_FID!CG62="","",Briefing_FID!CG62)</f>
        <v/>
      </c>
      <c r="CH62" s="28" t="str">
        <f>IF(Briefing_FID!CH62="","",Briefing_FID!CH62)</f>
        <v/>
      </c>
      <c r="CI62" s="100" t="str">
        <f>IF(Briefing_FID!CI62="","",Briefing_FID!CI62)</f>
        <v/>
      </c>
      <c r="CJ62" s="3" t="str">
        <f>IF(Briefing_FID!CJ62="","",Briefing_FID!CJ62)</f>
        <v/>
      </c>
      <c r="CK62" s="28" t="str">
        <f>IF(Briefing_FID!CK62="","",Briefing_FID!CK62)</f>
        <v/>
      </c>
      <c r="CL62" s="100" t="str">
        <f>IF(Briefing_FID!CL62="","",Briefing_FID!CL62)</f>
        <v/>
      </c>
      <c r="CM62" s="3" t="str">
        <f>IF(Briefing_FID!CM62="","",Briefing_FID!CM62)</f>
        <v/>
      </c>
      <c r="CN62" s="28" t="str">
        <f>IF(Briefing_FID!CN62="","",Briefing_FID!CN62)</f>
        <v/>
      </c>
      <c r="CO62" s="100" t="str">
        <f>IF(Briefing_FID!CO62="","",Briefing_FID!CO62)</f>
        <v/>
      </c>
      <c r="CP62" s="3" t="str">
        <f>IF(Briefing_FID!CP62="","",Briefing_FID!CP62)</f>
        <v/>
      </c>
      <c r="CQ62" s="28" t="str">
        <f>IF(Briefing_FID!CQ62="","",Briefing_FID!CQ62)</f>
        <v/>
      </c>
      <c r="CR62" s="100" t="str">
        <f>IF(Briefing_FID!CR62="","",Briefing_FID!CR62)</f>
        <v/>
      </c>
      <c r="CS62" s="3" t="str">
        <f>IF(Briefing_FID!CS62="","",Briefing_FID!CS62)</f>
        <v/>
      </c>
      <c r="CT62" s="28" t="str">
        <f>IF(Briefing_FID!CT62="","",Briefing_FID!CT62)</f>
        <v/>
      </c>
      <c r="CU62" s="100" t="str">
        <f>IF(Briefing_FID!CU62="","",Briefing_FID!CU62)</f>
        <v/>
      </c>
      <c r="CV62" s="3" t="str">
        <f>IF(Briefing_FID!CV62="","",Briefing_FID!CV62)</f>
        <v/>
      </c>
      <c r="CW62" s="28" t="str">
        <f>IF(Briefing_FID!CW62="","",Briefing_FID!CW62)</f>
        <v/>
      </c>
      <c r="CX62" s="100" t="str">
        <f>IF(Briefing_FID!CX62="","",Briefing_FID!CX62)</f>
        <v/>
      </c>
      <c r="CY62" s="3" t="str">
        <f>IF(Briefing_FID!CY62="","",Briefing_FID!CY62)</f>
        <v/>
      </c>
      <c r="CZ62" s="28" t="str">
        <f>IF(Briefing_FID!CZ62="","",Briefing_FID!CZ62)</f>
        <v/>
      </c>
      <c r="DA62" s="100" t="str">
        <f>IF(Briefing_FID!DA62="","",Briefing_FID!DA62)</f>
        <v/>
      </c>
      <c r="DB62" s="3" t="str">
        <f>IF(Briefing_FID!DB62="","",Briefing_FID!DB62)</f>
        <v/>
      </c>
      <c r="DC62" s="28" t="str">
        <f>IF(Briefing_FID!DC62="","",Briefing_FID!DC62)</f>
        <v/>
      </c>
      <c r="DD62" s="100" t="str">
        <f>IF(Briefing_FID!DD62="","",Briefing_FID!DD62)</f>
        <v/>
      </c>
      <c r="DE62" s="3" t="str">
        <f>IF(Briefing_FID!DE62="","",Briefing_FID!DE62)</f>
        <v/>
      </c>
      <c r="DF62" s="28" t="str">
        <f>IF(Briefing_FID!DF62="","",Briefing_FID!DF62)</f>
        <v/>
      </c>
      <c r="DG62" s="100" t="str">
        <f>IF(Briefing_FID!DG62="","",Briefing_FID!DG62)</f>
        <v/>
      </c>
      <c r="DH62" s="3" t="str">
        <f>IF(Briefing_FID!DH62="","",Briefing_FID!DH62)</f>
        <v/>
      </c>
      <c r="DI62" s="28" t="str">
        <f>IF(Briefing_FID!DI62="","",Briefing_FID!DI62)</f>
        <v/>
      </c>
      <c r="DJ62" s="100" t="str">
        <f>IF(Briefing_FID!DJ62="","",Briefing_FID!DJ62)</f>
        <v/>
      </c>
      <c r="DK62" s="3" t="str">
        <f>IF(Briefing_FID!DK62="","",Briefing_FID!DK62)</f>
        <v/>
      </c>
      <c r="DL62" s="28" t="str">
        <f>IF(Briefing_FID!DL62="","",Briefing_FID!DL62)</f>
        <v/>
      </c>
      <c r="DM62" s="100" t="str">
        <f>IF(Briefing_FID!DM62="","",Briefing_FID!DM62)</f>
        <v/>
      </c>
      <c r="DN62" s="3" t="str">
        <f>IF(Briefing_FID!DN62="","",Briefing_FID!DN62)</f>
        <v/>
      </c>
      <c r="DO62" s="28" t="str">
        <f>IF(Briefing_FID!DO62="","",Briefing_FID!DO62)</f>
        <v/>
      </c>
      <c r="DP62" s="100" t="str">
        <f>IF(Briefing_FID!DP62="","",Briefing_FID!DP62)</f>
        <v/>
      </c>
      <c r="DQ62" s="3" t="str">
        <f>IF(Briefing_FID!DQ62="","",Briefing_FID!DQ62)</f>
        <v/>
      </c>
      <c r="DR62" s="28" t="str">
        <f>IF(Briefing_FID!DR62="","",Briefing_FID!DR62)</f>
        <v/>
      </c>
      <c r="DS62" s="100" t="str">
        <f>IF(Briefing_FID!DS62="","",Briefing_FID!DS62)</f>
        <v/>
      </c>
      <c r="DT62" s="3" t="str">
        <f>IF(Briefing_FID!DT62="","",Briefing_FID!DT62)</f>
        <v/>
      </c>
      <c r="DU62" s="28" t="str">
        <f>IF(Briefing_FID!DU62="","",Briefing_FID!DU62)</f>
        <v/>
      </c>
      <c r="DV62" s="100" t="str">
        <f>IF(Briefing_FID!DV62="","",Briefing_FID!DV62)</f>
        <v/>
      </c>
      <c r="DW62" s="3" t="str">
        <f>IF(Briefing_FID!DW62="","",Briefing_FID!DW62)</f>
        <v/>
      </c>
      <c r="DX62" s="28" t="str">
        <f>IF(Briefing_FID!DX62="","",Briefing_FID!DX62)</f>
        <v/>
      </c>
      <c r="DY62" s="100" t="str">
        <f>IF(Briefing_FID!DY62="","",Briefing_FID!DY62)</f>
        <v/>
      </c>
      <c r="DZ62" s="3" t="str">
        <f>IF(Briefing_FID!DZ62="","",Briefing_FID!DZ62)</f>
        <v/>
      </c>
      <c r="EA62" s="28" t="str">
        <f>IF(Briefing_FID!EA62="","",Briefing_FID!EA62)</f>
        <v/>
      </c>
      <c r="EB62" s="100" t="str">
        <f>IF(Briefing_FID!EB62="","",Briefing_FID!EB62)</f>
        <v/>
      </c>
      <c r="EC62" s="3" t="str">
        <f>IF(Briefing_FID!EC62="","",Briefing_FID!EC62)</f>
        <v/>
      </c>
      <c r="ED62" s="28" t="str">
        <f>IF(Briefing_FID!ED62="","",Briefing_FID!ED62)</f>
        <v/>
      </c>
      <c r="EE62" s="100" t="str">
        <f>IF(Briefing_FID!EE62="","",Briefing_FID!EE62)</f>
        <v/>
      </c>
      <c r="EF62" s="3" t="str">
        <f>IF(Briefing_FID!EF62="","",Briefing_FID!EF62)</f>
        <v/>
      </c>
      <c r="EG62" s="28" t="str">
        <f>IF(Briefing_FID!EG62="","",Briefing_FID!EG62)</f>
        <v/>
      </c>
      <c r="EH62" s="100" t="str">
        <f>IF(Briefing_FID!EH62="","",Briefing_FID!EH62)</f>
        <v/>
      </c>
      <c r="EI62" s="3" t="str">
        <f>IF(Briefing_FID!EI62="","",Briefing_FID!EI62)</f>
        <v/>
      </c>
      <c r="EJ62" s="28" t="str">
        <f>IF(Briefing_FID!EJ62="","",Briefing_FID!EJ62)</f>
        <v/>
      </c>
      <c r="EK62" s="100" t="str">
        <f>IF(Briefing_FID!EK62="","",Briefing_FID!EK62)</f>
        <v/>
      </c>
      <c r="EL62" s="3" t="str">
        <f>IF(Briefing_FID!EL62="","",Briefing_FID!EL62)</f>
        <v/>
      </c>
      <c r="EM62" s="28" t="str">
        <f>IF(Briefing_FID!EM62="","",Briefing_FID!EM62)</f>
        <v/>
      </c>
      <c r="EN62" s="100" t="str">
        <f>IF(Briefing_FID!EN62="","",Briefing_FID!EN62)</f>
        <v/>
      </c>
      <c r="EO62" s="3" t="str">
        <f>IF(Briefing_FID!EO62="","",Briefing_FID!EO62)</f>
        <v/>
      </c>
      <c r="EP62" s="28" t="str">
        <f>IF(Briefing_FID!EP62="","",Briefing_FID!EP62)</f>
        <v/>
      </c>
      <c r="EQ62" s="28" t="str">
        <f>IF(Briefing_FID!EQ62="","",Briefing_FID!EQ62)</f>
        <v/>
      </c>
      <c r="ER62" s="28" t="str">
        <f>IF(Briefing_FID!ER62="","",Briefing_FID!ER62)</f>
        <v/>
      </c>
      <c r="ES62" s="62"/>
      <c r="ET62" s="96" t="str">
        <f>IF(Briefing_FID!EZ62="","",Briefing_FID!EZ62)</f>
        <v/>
      </c>
      <c r="EU62" s="97" t="str">
        <f>IF(Briefing_FID!FA62="","",Briefing_FID!FA62)</f>
        <v/>
      </c>
      <c r="EV62" s="98" t="str">
        <f>IF(Briefing_FID!FB62="","",Briefing_FID!FB62)</f>
        <v/>
      </c>
      <c r="EW62" s="96" t="str">
        <f>IF(Briefing_FID!FC62="","",Briefing_FID!FC62)</f>
        <v/>
      </c>
      <c r="EX62" s="97" t="str">
        <f>IF(Briefing_FID!FD62="","",Briefing_FID!FD62)</f>
        <v/>
      </c>
      <c r="EY62" s="98" t="str">
        <f>IF(Briefing_FID!FE62="","",Briefing_FID!FE62)</f>
        <v/>
      </c>
      <c r="EZ62" s="104" t="str">
        <f>IF(Briefing_FID!FF62="","",Briefing_FID!FF62)</f>
        <v/>
      </c>
      <c r="FA62" s="144" t="str">
        <f>IF(Briefing_FID!FG62="","",Briefing_FID!FG62)</f>
        <v/>
      </c>
      <c r="FB62" s="144" t="str">
        <f>IF(Briefing_FID!FH62="","",Briefing_FID!FH62)</f>
        <v/>
      </c>
      <c r="FC62" s="144" t="str">
        <f>IF(Briefing_FID!FI62="","",Briefing_FID!FI62)</f>
        <v/>
      </c>
      <c r="FD62" s="144" t="str">
        <f>IF(Briefing_FID!FJ62="","",Briefing_FID!FJ62)</f>
        <v/>
      </c>
      <c r="FE62" s="144" t="str">
        <f>IF(Briefing_FID!FK62="","",Briefing_FID!FK62)</f>
        <v/>
      </c>
      <c r="FF62" s="144" t="str">
        <f>IF(Briefing_FID!FL62="","",Briefing_FID!FL62)</f>
        <v/>
      </c>
      <c r="FG62" s="144" t="str">
        <f>IF(Briefing_FID!FM62="","",Briefing_FID!FM62)</f>
        <v/>
      </c>
      <c r="FH62" s="144" t="str">
        <f>IF(Briefing_FID!FN62="","",Briefing_FID!FN62)</f>
        <v/>
      </c>
      <c r="FI62" s="144" t="str">
        <f>IF(Briefing_FID!FO62="","",Briefing_FID!FO62)</f>
        <v/>
      </c>
      <c r="FJ62" s="144" t="str">
        <f>IF(Briefing_FID!FP62="","",Briefing_FID!FP62)</f>
        <v/>
      </c>
      <c r="FK62" s="144" t="str">
        <f>IF(Briefing_FID!FQ62="","",Briefing_FID!FQ62)</f>
        <v/>
      </c>
      <c r="FL62" s="144" t="str">
        <f>IF(Briefing_FID!FR62="","",Briefing_FID!FR62)</f>
        <v/>
      </c>
      <c r="FM62" s="144" t="str">
        <f>IF(Briefing_FID!FS62="","",Briefing_FID!FS62)</f>
        <v/>
      </c>
      <c r="FN62" s="144" t="str">
        <f>IF(Briefing_FID!FT62="","",Briefing_FID!FT62)</f>
        <v/>
      </c>
      <c r="FO62" s="144" t="str">
        <f>IF(Briefing_FID!FU62="","",Briefing_FID!FU62)</f>
        <v/>
      </c>
      <c r="FP62" s="144" t="str">
        <f>IF(Briefing_FID!FV62="","",Briefing_FID!FV62)</f>
        <v/>
      </c>
      <c r="FQ62" s="144" t="str">
        <f>IF(Briefing_FID!FW62="","",Briefing_FID!FW62)</f>
        <v/>
      </c>
      <c r="FR62" s="151"/>
      <c r="FS62" s="152"/>
      <c r="FT62" s="152"/>
      <c r="FU62" s="152"/>
      <c r="FV62" s="152"/>
      <c r="FW62" s="152"/>
      <c r="FX62" s="152"/>
      <c r="FY62" s="152"/>
      <c r="FZ62" s="152"/>
      <c r="GA62" s="153"/>
    </row>
    <row r="63" spans="1:183">
      <c r="A63" s="136" t="str">
        <f>IF(Briefing_FID!A63="","",Briefing_FID!A63)</f>
        <v/>
      </c>
      <c r="B63" s="137" t="str">
        <f>IF(Briefing_FID!B63="","",Briefing_FID!B63)</f>
        <v/>
      </c>
      <c r="C63" s="137" t="str">
        <f>IF(Briefing_FID!C63="","",Briefing_FID!C63)</f>
        <v/>
      </c>
      <c r="D63" s="46"/>
      <c r="E63" s="120"/>
      <c r="F63" s="117"/>
      <c r="G63" s="117"/>
      <c r="H63" s="72"/>
      <c r="I63" s="72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23"/>
      <c r="AD63" s="117"/>
      <c r="AE63" s="117"/>
      <c r="AF63" s="117"/>
      <c r="AG63" s="117"/>
      <c r="AH63" s="117"/>
      <c r="AI63" s="117"/>
      <c r="AJ63" s="117"/>
      <c r="AK63" s="117"/>
      <c r="AL63" s="124"/>
      <c r="AM63" s="37"/>
      <c r="AN63" s="38"/>
      <c r="AO63" s="39"/>
      <c r="AP63" s="111" t="str">
        <f>IF(Briefing_FID!AP63="","",Briefing_FID!AP63)</f>
        <v/>
      </c>
      <c r="AQ63" s="112" t="str">
        <f>IF(Briefing_FID!AQ63="","",Briefing_FID!AQ63)</f>
        <v/>
      </c>
      <c r="AR63" s="107" t="str">
        <f>IF(Briefing_FID!AR63="","",Briefing_FID!AR63)</f>
        <v/>
      </c>
      <c r="AS63" s="108" t="str">
        <f>IF(Briefing_FID!AS63="","",Briefing_FID!AS63)</f>
        <v/>
      </c>
      <c r="AT63" s="113" t="str">
        <f>IF(Briefing_FID!AT63="","",Briefing_FID!AT63)</f>
        <v/>
      </c>
      <c r="AU63" s="113" t="str">
        <f>IF(Briefing_FID!AU63="","",Briefing_FID!AU63)</f>
        <v/>
      </c>
      <c r="AV63" s="113" t="str">
        <f>IF(Briefing_FID!AV63="","",Briefing_FID!AV63)</f>
        <v/>
      </c>
      <c r="AW63" s="113" t="str">
        <f>IF(Briefing_FID!AW63="","",Briefing_FID!AW63)</f>
        <v/>
      </c>
      <c r="AX63" s="114" t="str">
        <f>IF(Briefing_FID!AX63="","",Briefing_FID!AX63)</f>
        <v/>
      </c>
      <c r="AY63" s="71"/>
      <c r="AZ63" s="117" t="str">
        <f>IF(Briefing_FID!AZ63="","",Briefing_FID!AZ63)</f>
        <v/>
      </c>
      <c r="BA63" s="118" t="str">
        <f>IF(Briefing_FID!BA63="","",Briefing_FID!BA63)</f>
        <v/>
      </c>
      <c r="BB63" s="55"/>
      <c r="BC63" s="102" t="str">
        <f>IF(Briefing_FID!BC63="","",Briefing_FID!BC63)</f>
        <v/>
      </c>
      <c r="BD63" s="27" t="str">
        <f>IF(Briefing_FID!BD63="","",Briefing_FID!BD63)</f>
        <v/>
      </c>
      <c r="BE63" s="100" t="str">
        <f>IF(Briefing_FID!BE63="","",Briefing_FID!BE63)</f>
        <v/>
      </c>
      <c r="BF63" s="3" t="str">
        <f>IF(Briefing_FID!BF63="","",Briefing_FID!BF63)</f>
        <v/>
      </c>
      <c r="BG63" s="10" t="str">
        <f>IF(Briefing_FID!BG63="","",Briefing_FID!BG63)</f>
        <v/>
      </c>
      <c r="BH63" s="100" t="str">
        <f>IF(Briefing_FID!BH63="","",Briefing_FID!BH63)</f>
        <v/>
      </c>
      <c r="BI63" s="3" t="str">
        <f>IF(Briefing_FID!BI63="","",Briefing_FID!BI63)</f>
        <v/>
      </c>
      <c r="BJ63" s="10" t="str">
        <f>IF(Briefing_FID!BJ63="","",Briefing_FID!BJ63)</f>
        <v/>
      </c>
      <c r="BK63" s="100" t="str">
        <f>IF(Briefing_FID!BK63="","",Briefing_FID!BK63)</f>
        <v/>
      </c>
      <c r="BL63" s="3" t="str">
        <f>IF(Briefing_FID!BL63="","",Briefing_FID!BL63)</f>
        <v/>
      </c>
      <c r="BM63" s="28" t="str">
        <f>IF(Briefing_FID!BM63="","",Briefing_FID!BM63)</f>
        <v/>
      </c>
      <c r="BN63" s="100" t="str">
        <f>IF(Briefing_FID!BN63="","",Briefing_FID!BN63)</f>
        <v/>
      </c>
      <c r="BO63" s="3" t="str">
        <f>IF(Briefing_FID!BO63="","",Briefing_FID!BO63)</f>
        <v/>
      </c>
      <c r="BP63" s="28" t="str">
        <f>IF(Briefing_FID!BP63="","",Briefing_FID!BP63)</f>
        <v/>
      </c>
      <c r="BQ63" s="100" t="str">
        <f>IF(Briefing_FID!BQ63="","",Briefing_FID!BQ63)</f>
        <v/>
      </c>
      <c r="BR63" s="3" t="str">
        <f>IF(Briefing_FID!BR63="","",Briefing_FID!BR63)</f>
        <v/>
      </c>
      <c r="BS63" s="28" t="str">
        <f>IF(Briefing_FID!BS63="","",Briefing_FID!BS63)</f>
        <v/>
      </c>
      <c r="BT63" s="100" t="str">
        <f>IF(Briefing_FID!BT63="","",Briefing_FID!BT63)</f>
        <v/>
      </c>
      <c r="BU63" s="3" t="str">
        <f>IF(Briefing_FID!BU63="","",Briefing_FID!BU63)</f>
        <v/>
      </c>
      <c r="BV63" s="28" t="str">
        <f>IF(Briefing_FID!BV63="","",Briefing_FID!BV63)</f>
        <v/>
      </c>
      <c r="BW63" s="100" t="str">
        <f>IF(Briefing_FID!BW63="","",Briefing_FID!BW63)</f>
        <v/>
      </c>
      <c r="BX63" s="3" t="str">
        <f>IF(Briefing_FID!BX63="","",Briefing_FID!BX63)</f>
        <v/>
      </c>
      <c r="BY63" s="28" t="str">
        <f>IF(Briefing_FID!BY63="","",Briefing_FID!BY63)</f>
        <v/>
      </c>
      <c r="BZ63" s="100" t="str">
        <f>IF(Briefing_FID!BZ63="","",Briefing_FID!BZ63)</f>
        <v/>
      </c>
      <c r="CA63" s="3" t="str">
        <f>IF(Briefing_FID!CA63="","",Briefing_FID!CA63)</f>
        <v/>
      </c>
      <c r="CB63" s="28" t="str">
        <f>IF(Briefing_FID!CB63="","",Briefing_FID!CB63)</f>
        <v/>
      </c>
      <c r="CC63" s="100" t="str">
        <f>IF(Briefing_FID!CC63="","",Briefing_FID!CC63)</f>
        <v/>
      </c>
      <c r="CD63" s="3" t="str">
        <f>IF(Briefing_FID!CD63="","",Briefing_FID!CD63)</f>
        <v/>
      </c>
      <c r="CE63" s="28" t="str">
        <f>IF(Briefing_FID!CE63="","",Briefing_FID!CE63)</f>
        <v/>
      </c>
      <c r="CF63" s="100" t="str">
        <f>IF(Briefing_FID!CF63="","",Briefing_FID!CF63)</f>
        <v/>
      </c>
      <c r="CG63" s="3" t="str">
        <f>IF(Briefing_FID!CG63="","",Briefing_FID!CG63)</f>
        <v/>
      </c>
      <c r="CH63" s="28" t="str">
        <f>IF(Briefing_FID!CH63="","",Briefing_FID!CH63)</f>
        <v/>
      </c>
      <c r="CI63" s="100" t="str">
        <f>IF(Briefing_FID!CI63="","",Briefing_FID!CI63)</f>
        <v/>
      </c>
      <c r="CJ63" s="3" t="str">
        <f>IF(Briefing_FID!CJ63="","",Briefing_FID!CJ63)</f>
        <v/>
      </c>
      <c r="CK63" s="28" t="str">
        <f>IF(Briefing_FID!CK63="","",Briefing_FID!CK63)</f>
        <v/>
      </c>
      <c r="CL63" s="100" t="str">
        <f>IF(Briefing_FID!CL63="","",Briefing_FID!CL63)</f>
        <v/>
      </c>
      <c r="CM63" s="3" t="str">
        <f>IF(Briefing_FID!CM63="","",Briefing_FID!CM63)</f>
        <v/>
      </c>
      <c r="CN63" s="28" t="str">
        <f>IF(Briefing_FID!CN63="","",Briefing_FID!CN63)</f>
        <v/>
      </c>
      <c r="CO63" s="100" t="str">
        <f>IF(Briefing_FID!CO63="","",Briefing_FID!CO63)</f>
        <v/>
      </c>
      <c r="CP63" s="3" t="str">
        <f>IF(Briefing_FID!CP63="","",Briefing_FID!CP63)</f>
        <v/>
      </c>
      <c r="CQ63" s="28" t="str">
        <f>IF(Briefing_FID!CQ63="","",Briefing_FID!CQ63)</f>
        <v/>
      </c>
      <c r="CR63" s="100" t="str">
        <f>IF(Briefing_FID!CR63="","",Briefing_FID!CR63)</f>
        <v/>
      </c>
      <c r="CS63" s="3" t="str">
        <f>IF(Briefing_FID!CS63="","",Briefing_FID!CS63)</f>
        <v/>
      </c>
      <c r="CT63" s="28" t="str">
        <f>IF(Briefing_FID!CT63="","",Briefing_FID!CT63)</f>
        <v/>
      </c>
      <c r="CU63" s="100" t="str">
        <f>IF(Briefing_FID!CU63="","",Briefing_FID!CU63)</f>
        <v/>
      </c>
      <c r="CV63" s="3" t="str">
        <f>IF(Briefing_FID!CV63="","",Briefing_FID!CV63)</f>
        <v/>
      </c>
      <c r="CW63" s="28" t="str">
        <f>IF(Briefing_FID!CW63="","",Briefing_FID!CW63)</f>
        <v/>
      </c>
      <c r="CX63" s="100" t="str">
        <f>IF(Briefing_FID!CX63="","",Briefing_FID!CX63)</f>
        <v/>
      </c>
      <c r="CY63" s="3" t="str">
        <f>IF(Briefing_FID!CY63="","",Briefing_FID!CY63)</f>
        <v/>
      </c>
      <c r="CZ63" s="28" t="str">
        <f>IF(Briefing_FID!CZ63="","",Briefing_FID!CZ63)</f>
        <v/>
      </c>
      <c r="DA63" s="100" t="str">
        <f>IF(Briefing_FID!DA63="","",Briefing_FID!DA63)</f>
        <v/>
      </c>
      <c r="DB63" s="3" t="str">
        <f>IF(Briefing_FID!DB63="","",Briefing_FID!DB63)</f>
        <v/>
      </c>
      <c r="DC63" s="28" t="str">
        <f>IF(Briefing_FID!DC63="","",Briefing_FID!DC63)</f>
        <v/>
      </c>
      <c r="DD63" s="100" t="str">
        <f>IF(Briefing_FID!DD63="","",Briefing_FID!DD63)</f>
        <v/>
      </c>
      <c r="DE63" s="3" t="str">
        <f>IF(Briefing_FID!DE63="","",Briefing_FID!DE63)</f>
        <v/>
      </c>
      <c r="DF63" s="28" t="str">
        <f>IF(Briefing_FID!DF63="","",Briefing_FID!DF63)</f>
        <v/>
      </c>
      <c r="DG63" s="100" t="str">
        <f>IF(Briefing_FID!DG63="","",Briefing_FID!DG63)</f>
        <v/>
      </c>
      <c r="DH63" s="3" t="str">
        <f>IF(Briefing_FID!DH63="","",Briefing_FID!DH63)</f>
        <v/>
      </c>
      <c r="DI63" s="28" t="str">
        <f>IF(Briefing_FID!DI63="","",Briefing_FID!DI63)</f>
        <v/>
      </c>
      <c r="DJ63" s="100" t="str">
        <f>IF(Briefing_FID!DJ63="","",Briefing_FID!DJ63)</f>
        <v/>
      </c>
      <c r="DK63" s="3" t="str">
        <f>IF(Briefing_FID!DK63="","",Briefing_FID!DK63)</f>
        <v/>
      </c>
      <c r="DL63" s="28" t="str">
        <f>IF(Briefing_FID!DL63="","",Briefing_FID!DL63)</f>
        <v/>
      </c>
      <c r="DM63" s="100" t="str">
        <f>IF(Briefing_FID!DM63="","",Briefing_FID!DM63)</f>
        <v/>
      </c>
      <c r="DN63" s="3" t="str">
        <f>IF(Briefing_FID!DN63="","",Briefing_FID!DN63)</f>
        <v/>
      </c>
      <c r="DO63" s="28" t="str">
        <f>IF(Briefing_FID!DO63="","",Briefing_FID!DO63)</f>
        <v/>
      </c>
      <c r="DP63" s="100" t="str">
        <f>IF(Briefing_FID!DP63="","",Briefing_FID!DP63)</f>
        <v/>
      </c>
      <c r="DQ63" s="3" t="str">
        <f>IF(Briefing_FID!DQ63="","",Briefing_FID!DQ63)</f>
        <v/>
      </c>
      <c r="DR63" s="28" t="str">
        <f>IF(Briefing_FID!DR63="","",Briefing_FID!DR63)</f>
        <v/>
      </c>
      <c r="DS63" s="100" t="str">
        <f>IF(Briefing_FID!DS63="","",Briefing_FID!DS63)</f>
        <v/>
      </c>
      <c r="DT63" s="3" t="str">
        <f>IF(Briefing_FID!DT63="","",Briefing_FID!DT63)</f>
        <v/>
      </c>
      <c r="DU63" s="28" t="str">
        <f>IF(Briefing_FID!DU63="","",Briefing_FID!DU63)</f>
        <v/>
      </c>
      <c r="DV63" s="100" t="str">
        <f>IF(Briefing_FID!DV63="","",Briefing_FID!DV63)</f>
        <v/>
      </c>
      <c r="DW63" s="3" t="str">
        <f>IF(Briefing_FID!DW63="","",Briefing_FID!DW63)</f>
        <v/>
      </c>
      <c r="DX63" s="28" t="str">
        <f>IF(Briefing_FID!DX63="","",Briefing_FID!DX63)</f>
        <v/>
      </c>
      <c r="DY63" s="100" t="str">
        <f>IF(Briefing_FID!DY63="","",Briefing_FID!DY63)</f>
        <v/>
      </c>
      <c r="DZ63" s="3" t="str">
        <f>IF(Briefing_FID!DZ63="","",Briefing_FID!DZ63)</f>
        <v/>
      </c>
      <c r="EA63" s="28" t="str">
        <f>IF(Briefing_FID!EA63="","",Briefing_FID!EA63)</f>
        <v/>
      </c>
      <c r="EB63" s="100" t="str">
        <f>IF(Briefing_FID!EB63="","",Briefing_FID!EB63)</f>
        <v/>
      </c>
      <c r="EC63" s="3" t="str">
        <f>IF(Briefing_FID!EC63="","",Briefing_FID!EC63)</f>
        <v/>
      </c>
      <c r="ED63" s="28" t="str">
        <f>IF(Briefing_FID!ED63="","",Briefing_FID!ED63)</f>
        <v/>
      </c>
      <c r="EE63" s="100" t="str">
        <f>IF(Briefing_FID!EE63="","",Briefing_FID!EE63)</f>
        <v/>
      </c>
      <c r="EF63" s="3" t="str">
        <f>IF(Briefing_FID!EF63="","",Briefing_FID!EF63)</f>
        <v/>
      </c>
      <c r="EG63" s="28" t="str">
        <f>IF(Briefing_FID!EG63="","",Briefing_FID!EG63)</f>
        <v/>
      </c>
      <c r="EH63" s="100" t="str">
        <f>IF(Briefing_FID!EH63="","",Briefing_FID!EH63)</f>
        <v/>
      </c>
      <c r="EI63" s="3" t="str">
        <f>IF(Briefing_FID!EI63="","",Briefing_FID!EI63)</f>
        <v/>
      </c>
      <c r="EJ63" s="28" t="str">
        <f>IF(Briefing_FID!EJ63="","",Briefing_FID!EJ63)</f>
        <v/>
      </c>
      <c r="EK63" s="100" t="str">
        <f>IF(Briefing_FID!EK63="","",Briefing_FID!EK63)</f>
        <v/>
      </c>
      <c r="EL63" s="3" t="str">
        <f>IF(Briefing_FID!EL63="","",Briefing_FID!EL63)</f>
        <v/>
      </c>
      <c r="EM63" s="28" t="str">
        <f>IF(Briefing_FID!EM63="","",Briefing_FID!EM63)</f>
        <v/>
      </c>
      <c r="EN63" s="100" t="str">
        <f>IF(Briefing_FID!EN63="","",Briefing_FID!EN63)</f>
        <v/>
      </c>
      <c r="EO63" s="3" t="str">
        <f>IF(Briefing_FID!EO63="","",Briefing_FID!EO63)</f>
        <v/>
      </c>
      <c r="EP63" s="28" t="str">
        <f>IF(Briefing_FID!EP63="","",Briefing_FID!EP63)</f>
        <v/>
      </c>
      <c r="EQ63" s="28" t="str">
        <f>IF(Briefing_FID!EQ63="","",Briefing_FID!EQ63)</f>
        <v/>
      </c>
      <c r="ER63" s="28" t="str">
        <f>IF(Briefing_FID!ER63="","",Briefing_FID!ER63)</f>
        <v/>
      </c>
      <c r="ES63" s="62"/>
      <c r="ET63" s="96" t="str">
        <f>IF(Briefing_FID!EZ63="","",Briefing_FID!EZ63)</f>
        <v/>
      </c>
      <c r="EU63" s="97" t="str">
        <f>IF(Briefing_FID!FA63="","",Briefing_FID!FA63)</f>
        <v/>
      </c>
      <c r="EV63" s="98" t="str">
        <f>IF(Briefing_FID!FB63="","",Briefing_FID!FB63)</f>
        <v/>
      </c>
      <c r="EW63" s="96" t="str">
        <f>IF(Briefing_FID!FC63="","",Briefing_FID!FC63)</f>
        <v/>
      </c>
      <c r="EX63" s="97" t="str">
        <f>IF(Briefing_FID!FD63="","",Briefing_FID!FD63)</f>
        <v/>
      </c>
      <c r="EY63" s="98" t="str">
        <f>IF(Briefing_FID!FE63="","",Briefing_FID!FE63)</f>
        <v/>
      </c>
      <c r="EZ63" s="104" t="str">
        <f>IF(Briefing_FID!FF63="","",Briefing_FID!FF63)</f>
        <v/>
      </c>
      <c r="FA63" s="144" t="str">
        <f>IF(Briefing_FID!FG63="","",Briefing_FID!FG63)</f>
        <v/>
      </c>
      <c r="FB63" s="144" t="str">
        <f>IF(Briefing_FID!FH63="","",Briefing_FID!FH63)</f>
        <v/>
      </c>
      <c r="FC63" s="144" t="str">
        <f>IF(Briefing_FID!FI63="","",Briefing_FID!FI63)</f>
        <v/>
      </c>
      <c r="FD63" s="144" t="str">
        <f>IF(Briefing_FID!FJ63="","",Briefing_FID!FJ63)</f>
        <v/>
      </c>
      <c r="FE63" s="144" t="str">
        <f>IF(Briefing_FID!FK63="","",Briefing_FID!FK63)</f>
        <v/>
      </c>
      <c r="FF63" s="144" t="str">
        <f>IF(Briefing_FID!FL63="","",Briefing_FID!FL63)</f>
        <v/>
      </c>
      <c r="FG63" s="144" t="str">
        <f>IF(Briefing_FID!FM63="","",Briefing_FID!FM63)</f>
        <v/>
      </c>
      <c r="FH63" s="144" t="str">
        <f>IF(Briefing_FID!FN63="","",Briefing_FID!FN63)</f>
        <v/>
      </c>
      <c r="FI63" s="144" t="str">
        <f>IF(Briefing_FID!FO63="","",Briefing_FID!FO63)</f>
        <v/>
      </c>
      <c r="FJ63" s="144" t="str">
        <f>IF(Briefing_FID!FP63="","",Briefing_FID!FP63)</f>
        <v/>
      </c>
      <c r="FK63" s="144" t="str">
        <f>IF(Briefing_FID!FQ63="","",Briefing_FID!FQ63)</f>
        <v/>
      </c>
      <c r="FL63" s="144" t="str">
        <f>IF(Briefing_FID!FR63="","",Briefing_FID!FR63)</f>
        <v/>
      </c>
      <c r="FM63" s="144" t="str">
        <f>IF(Briefing_FID!FS63="","",Briefing_FID!FS63)</f>
        <v/>
      </c>
      <c r="FN63" s="144" t="str">
        <f>IF(Briefing_FID!FT63="","",Briefing_FID!FT63)</f>
        <v/>
      </c>
      <c r="FO63" s="144" t="str">
        <f>IF(Briefing_FID!FU63="","",Briefing_FID!FU63)</f>
        <v/>
      </c>
      <c r="FP63" s="144" t="str">
        <f>IF(Briefing_FID!FV63="","",Briefing_FID!FV63)</f>
        <v/>
      </c>
      <c r="FQ63" s="144" t="str">
        <f>IF(Briefing_FID!FW63="","",Briefing_FID!FW63)</f>
        <v/>
      </c>
      <c r="FR63" s="151"/>
      <c r="FS63" s="152"/>
      <c r="FT63" s="152"/>
      <c r="FU63" s="152"/>
      <c r="FV63" s="152"/>
      <c r="FW63" s="152"/>
      <c r="FX63" s="152"/>
      <c r="FY63" s="152"/>
      <c r="FZ63" s="152"/>
      <c r="GA63" s="153"/>
    </row>
    <row r="64" spans="1:183">
      <c r="A64" s="136" t="str">
        <f>IF(Briefing_FID!A64="","",Briefing_FID!A64)</f>
        <v/>
      </c>
      <c r="B64" s="137" t="str">
        <f>IF(Briefing_FID!B64="","",Briefing_FID!B64)</f>
        <v/>
      </c>
      <c r="C64" s="137" t="str">
        <f>IF(Briefing_FID!C64="","",Briefing_FID!C64)</f>
        <v/>
      </c>
      <c r="D64" s="46"/>
      <c r="E64" s="120"/>
      <c r="F64" s="117"/>
      <c r="G64" s="117"/>
      <c r="H64" s="72"/>
      <c r="I64" s="72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23"/>
      <c r="AD64" s="117"/>
      <c r="AE64" s="117"/>
      <c r="AF64" s="117"/>
      <c r="AG64" s="117"/>
      <c r="AH64" s="117"/>
      <c r="AI64" s="117"/>
      <c r="AJ64" s="117"/>
      <c r="AK64" s="117"/>
      <c r="AL64" s="124"/>
      <c r="AM64" s="37"/>
      <c r="AN64" s="38"/>
      <c r="AO64" s="39"/>
      <c r="AP64" s="111" t="str">
        <f>IF(Briefing_FID!AP64="","",Briefing_FID!AP64)</f>
        <v/>
      </c>
      <c r="AQ64" s="112" t="str">
        <f>IF(Briefing_FID!AQ64="","",Briefing_FID!AQ64)</f>
        <v/>
      </c>
      <c r="AR64" s="107" t="str">
        <f>IF(Briefing_FID!AR64="","",Briefing_FID!AR64)</f>
        <v/>
      </c>
      <c r="AS64" s="108" t="str">
        <f>IF(Briefing_FID!AS64="","",Briefing_FID!AS64)</f>
        <v/>
      </c>
      <c r="AT64" s="113" t="str">
        <f>IF(Briefing_FID!AT64="","",Briefing_FID!AT64)</f>
        <v/>
      </c>
      <c r="AU64" s="113" t="str">
        <f>IF(Briefing_FID!AU64="","",Briefing_FID!AU64)</f>
        <v/>
      </c>
      <c r="AV64" s="113" t="str">
        <f>IF(Briefing_FID!AV64="","",Briefing_FID!AV64)</f>
        <v/>
      </c>
      <c r="AW64" s="113" t="str">
        <f>IF(Briefing_FID!AW64="","",Briefing_FID!AW64)</f>
        <v/>
      </c>
      <c r="AX64" s="114" t="str">
        <f>IF(Briefing_FID!AX64="","",Briefing_FID!AX64)</f>
        <v/>
      </c>
      <c r="AY64" s="71"/>
      <c r="AZ64" s="117" t="str">
        <f>IF(Briefing_FID!AZ64="","",Briefing_FID!AZ64)</f>
        <v/>
      </c>
      <c r="BA64" s="118" t="str">
        <f>IF(Briefing_FID!BA64="","",Briefing_FID!BA64)</f>
        <v/>
      </c>
      <c r="BB64" s="55"/>
      <c r="BC64" s="102" t="str">
        <f>IF(Briefing_FID!BC64="","",Briefing_FID!BC64)</f>
        <v/>
      </c>
      <c r="BD64" s="27" t="str">
        <f>IF(Briefing_FID!BD64="","",Briefing_FID!BD64)</f>
        <v/>
      </c>
      <c r="BE64" s="100" t="str">
        <f>IF(Briefing_FID!BE64="","",Briefing_FID!BE64)</f>
        <v/>
      </c>
      <c r="BF64" s="3" t="str">
        <f>IF(Briefing_FID!BF64="","",Briefing_FID!BF64)</f>
        <v/>
      </c>
      <c r="BG64" s="10" t="str">
        <f>IF(Briefing_FID!BG64="","",Briefing_FID!BG64)</f>
        <v/>
      </c>
      <c r="BH64" s="100" t="str">
        <f>IF(Briefing_FID!BH64="","",Briefing_FID!BH64)</f>
        <v/>
      </c>
      <c r="BI64" s="3" t="str">
        <f>IF(Briefing_FID!BI64="","",Briefing_FID!BI64)</f>
        <v/>
      </c>
      <c r="BJ64" s="10" t="str">
        <f>IF(Briefing_FID!BJ64="","",Briefing_FID!BJ64)</f>
        <v/>
      </c>
      <c r="BK64" s="100" t="str">
        <f>IF(Briefing_FID!BK64="","",Briefing_FID!BK64)</f>
        <v/>
      </c>
      <c r="BL64" s="3" t="str">
        <f>IF(Briefing_FID!BL64="","",Briefing_FID!BL64)</f>
        <v/>
      </c>
      <c r="BM64" s="28" t="str">
        <f>IF(Briefing_FID!BM64="","",Briefing_FID!BM64)</f>
        <v/>
      </c>
      <c r="BN64" s="100" t="str">
        <f>IF(Briefing_FID!BN64="","",Briefing_FID!BN64)</f>
        <v/>
      </c>
      <c r="BO64" s="3" t="str">
        <f>IF(Briefing_FID!BO64="","",Briefing_FID!BO64)</f>
        <v/>
      </c>
      <c r="BP64" s="28" t="str">
        <f>IF(Briefing_FID!BP64="","",Briefing_FID!BP64)</f>
        <v/>
      </c>
      <c r="BQ64" s="100" t="str">
        <f>IF(Briefing_FID!BQ64="","",Briefing_FID!BQ64)</f>
        <v/>
      </c>
      <c r="BR64" s="3" t="str">
        <f>IF(Briefing_FID!BR64="","",Briefing_FID!BR64)</f>
        <v/>
      </c>
      <c r="BS64" s="28" t="str">
        <f>IF(Briefing_FID!BS64="","",Briefing_FID!BS64)</f>
        <v/>
      </c>
      <c r="BT64" s="100" t="str">
        <f>IF(Briefing_FID!BT64="","",Briefing_FID!BT64)</f>
        <v/>
      </c>
      <c r="BU64" s="3" t="str">
        <f>IF(Briefing_FID!BU64="","",Briefing_FID!BU64)</f>
        <v/>
      </c>
      <c r="BV64" s="28" t="str">
        <f>IF(Briefing_FID!BV64="","",Briefing_FID!BV64)</f>
        <v/>
      </c>
      <c r="BW64" s="100" t="str">
        <f>IF(Briefing_FID!BW64="","",Briefing_FID!BW64)</f>
        <v/>
      </c>
      <c r="BX64" s="3" t="str">
        <f>IF(Briefing_FID!BX64="","",Briefing_FID!BX64)</f>
        <v/>
      </c>
      <c r="BY64" s="28" t="str">
        <f>IF(Briefing_FID!BY64="","",Briefing_FID!BY64)</f>
        <v/>
      </c>
      <c r="BZ64" s="100" t="str">
        <f>IF(Briefing_FID!BZ64="","",Briefing_FID!BZ64)</f>
        <v/>
      </c>
      <c r="CA64" s="3" t="str">
        <f>IF(Briefing_FID!CA64="","",Briefing_FID!CA64)</f>
        <v/>
      </c>
      <c r="CB64" s="28" t="str">
        <f>IF(Briefing_FID!CB64="","",Briefing_FID!CB64)</f>
        <v/>
      </c>
      <c r="CC64" s="100" t="str">
        <f>IF(Briefing_FID!CC64="","",Briefing_FID!CC64)</f>
        <v/>
      </c>
      <c r="CD64" s="3" t="str">
        <f>IF(Briefing_FID!CD64="","",Briefing_FID!CD64)</f>
        <v/>
      </c>
      <c r="CE64" s="28" t="str">
        <f>IF(Briefing_FID!CE64="","",Briefing_FID!CE64)</f>
        <v/>
      </c>
      <c r="CF64" s="100" t="str">
        <f>IF(Briefing_FID!CF64="","",Briefing_FID!CF64)</f>
        <v/>
      </c>
      <c r="CG64" s="3" t="str">
        <f>IF(Briefing_FID!CG64="","",Briefing_FID!CG64)</f>
        <v/>
      </c>
      <c r="CH64" s="28" t="str">
        <f>IF(Briefing_FID!CH64="","",Briefing_FID!CH64)</f>
        <v/>
      </c>
      <c r="CI64" s="100" t="str">
        <f>IF(Briefing_FID!CI64="","",Briefing_FID!CI64)</f>
        <v/>
      </c>
      <c r="CJ64" s="3" t="str">
        <f>IF(Briefing_FID!CJ64="","",Briefing_FID!CJ64)</f>
        <v/>
      </c>
      <c r="CK64" s="28" t="str">
        <f>IF(Briefing_FID!CK64="","",Briefing_FID!CK64)</f>
        <v/>
      </c>
      <c r="CL64" s="100" t="str">
        <f>IF(Briefing_FID!CL64="","",Briefing_FID!CL64)</f>
        <v/>
      </c>
      <c r="CM64" s="3" t="str">
        <f>IF(Briefing_FID!CM64="","",Briefing_FID!CM64)</f>
        <v/>
      </c>
      <c r="CN64" s="28" t="str">
        <f>IF(Briefing_FID!CN64="","",Briefing_FID!CN64)</f>
        <v/>
      </c>
      <c r="CO64" s="100" t="str">
        <f>IF(Briefing_FID!CO64="","",Briefing_FID!CO64)</f>
        <v/>
      </c>
      <c r="CP64" s="3" t="str">
        <f>IF(Briefing_FID!CP64="","",Briefing_FID!CP64)</f>
        <v/>
      </c>
      <c r="CQ64" s="28" t="str">
        <f>IF(Briefing_FID!CQ64="","",Briefing_FID!CQ64)</f>
        <v/>
      </c>
      <c r="CR64" s="100" t="str">
        <f>IF(Briefing_FID!CR64="","",Briefing_FID!CR64)</f>
        <v/>
      </c>
      <c r="CS64" s="3" t="str">
        <f>IF(Briefing_FID!CS64="","",Briefing_FID!CS64)</f>
        <v/>
      </c>
      <c r="CT64" s="28" t="str">
        <f>IF(Briefing_FID!CT64="","",Briefing_FID!CT64)</f>
        <v/>
      </c>
      <c r="CU64" s="100" t="str">
        <f>IF(Briefing_FID!CU64="","",Briefing_FID!CU64)</f>
        <v/>
      </c>
      <c r="CV64" s="3" t="str">
        <f>IF(Briefing_FID!CV64="","",Briefing_FID!CV64)</f>
        <v/>
      </c>
      <c r="CW64" s="28" t="str">
        <f>IF(Briefing_FID!CW64="","",Briefing_FID!CW64)</f>
        <v/>
      </c>
      <c r="CX64" s="100" t="str">
        <f>IF(Briefing_FID!CX64="","",Briefing_FID!CX64)</f>
        <v/>
      </c>
      <c r="CY64" s="3" t="str">
        <f>IF(Briefing_FID!CY64="","",Briefing_FID!CY64)</f>
        <v/>
      </c>
      <c r="CZ64" s="28" t="str">
        <f>IF(Briefing_FID!CZ64="","",Briefing_FID!CZ64)</f>
        <v/>
      </c>
      <c r="DA64" s="100" t="str">
        <f>IF(Briefing_FID!DA64="","",Briefing_FID!DA64)</f>
        <v/>
      </c>
      <c r="DB64" s="3" t="str">
        <f>IF(Briefing_FID!DB64="","",Briefing_FID!DB64)</f>
        <v/>
      </c>
      <c r="DC64" s="28" t="str">
        <f>IF(Briefing_FID!DC64="","",Briefing_FID!DC64)</f>
        <v/>
      </c>
      <c r="DD64" s="100" t="str">
        <f>IF(Briefing_FID!DD64="","",Briefing_FID!DD64)</f>
        <v/>
      </c>
      <c r="DE64" s="3" t="str">
        <f>IF(Briefing_FID!DE64="","",Briefing_FID!DE64)</f>
        <v/>
      </c>
      <c r="DF64" s="28" t="str">
        <f>IF(Briefing_FID!DF64="","",Briefing_FID!DF64)</f>
        <v/>
      </c>
      <c r="DG64" s="100" t="str">
        <f>IF(Briefing_FID!DG64="","",Briefing_FID!DG64)</f>
        <v/>
      </c>
      <c r="DH64" s="3" t="str">
        <f>IF(Briefing_FID!DH64="","",Briefing_FID!DH64)</f>
        <v/>
      </c>
      <c r="DI64" s="28" t="str">
        <f>IF(Briefing_FID!DI64="","",Briefing_FID!DI64)</f>
        <v/>
      </c>
      <c r="DJ64" s="100" t="str">
        <f>IF(Briefing_FID!DJ64="","",Briefing_FID!DJ64)</f>
        <v/>
      </c>
      <c r="DK64" s="3" t="str">
        <f>IF(Briefing_FID!DK64="","",Briefing_FID!DK64)</f>
        <v/>
      </c>
      <c r="DL64" s="28" t="str">
        <f>IF(Briefing_FID!DL64="","",Briefing_FID!DL64)</f>
        <v/>
      </c>
      <c r="DM64" s="100" t="str">
        <f>IF(Briefing_FID!DM64="","",Briefing_FID!DM64)</f>
        <v/>
      </c>
      <c r="DN64" s="3" t="str">
        <f>IF(Briefing_FID!DN64="","",Briefing_FID!DN64)</f>
        <v/>
      </c>
      <c r="DO64" s="28" t="str">
        <f>IF(Briefing_FID!DO64="","",Briefing_FID!DO64)</f>
        <v/>
      </c>
      <c r="DP64" s="100" t="str">
        <f>IF(Briefing_FID!DP64="","",Briefing_FID!DP64)</f>
        <v/>
      </c>
      <c r="DQ64" s="3" t="str">
        <f>IF(Briefing_FID!DQ64="","",Briefing_FID!DQ64)</f>
        <v/>
      </c>
      <c r="DR64" s="28" t="str">
        <f>IF(Briefing_FID!DR64="","",Briefing_FID!DR64)</f>
        <v/>
      </c>
      <c r="DS64" s="100" t="str">
        <f>IF(Briefing_FID!DS64="","",Briefing_FID!DS64)</f>
        <v/>
      </c>
      <c r="DT64" s="3" t="str">
        <f>IF(Briefing_FID!DT64="","",Briefing_FID!DT64)</f>
        <v/>
      </c>
      <c r="DU64" s="28" t="str">
        <f>IF(Briefing_FID!DU64="","",Briefing_FID!DU64)</f>
        <v/>
      </c>
      <c r="DV64" s="100" t="str">
        <f>IF(Briefing_FID!DV64="","",Briefing_FID!DV64)</f>
        <v/>
      </c>
      <c r="DW64" s="3" t="str">
        <f>IF(Briefing_FID!DW64="","",Briefing_FID!DW64)</f>
        <v/>
      </c>
      <c r="DX64" s="28" t="str">
        <f>IF(Briefing_FID!DX64="","",Briefing_FID!DX64)</f>
        <v/>
      </c>
      <c r="DY64" s="100" t="str">
        <f>IF(Briefing_FID!DY64="","",Briefing_FID!DY64)</f>
        <v/>
      </c>
      <c r="DZ64" s="3" t="str">
        <f>IF(Briefing_FID!DZ64="","",Briefing_FID!DZ64)</f>
        <v/>
      </c>
      <c r="EA64" s="28" t="str">
        <f>IF(Briefing_FID!EA64="","",Briefing_FID!EA64)</f>
        <v/>
      </c>
      <c r="EB64" s="100" t="str">
        <f>IF(Briefing_FID!EB64="","",Briefing_FID!EB64)</f>
        <v/>
      </c>
      <c r="EC64" s="3" t="str">
        <f>IF(Briefing_FID!EC64="","",Briefing_FID!EC64)</f>
        <v/>
      </c>
      <c r="ED64" s="28" t="str">
        <f>IF(Briefing_FID!ED64="","",Briefing_FID!ED64)</f>
        <v/>
      </c>
      <c r="EE64" s="100" t="str">
        <f>IF(Briefing_FID!EE64="","",Briefing_FID!EE64)</f>
        <v/>
      </c>
      <c r="EF64" s="3" t="str">
        <f>IF(Briefing_FID!EF64="","",Briefing_FID!EF64)</f>
        <v/>
      </c>
      <c r="EG64" s="28" t="str">
        <f>IF(Briefing_FID!EG64="","",Briefing_FID!EG64)</f>
        <v/>
      </c>
      <c r="EH64" s="100" t="str">
        <f>IF(Briefing_FID!EH64="","",Briefing_FID!EH64)</f>
        <v/>
      </c>
      <c r="EI64" s="3" t="str">
        <f>IF(Briefing_FID!EI64="","",Briefing_FID!EI64)</f>
        <v/>
      </c>
      <c r="EJ64" s="28" t="str">
        <f>IF(Briefing_FID!EJ64="","",Briefing_FID!EJ64)</f>
        <v/>
      </c>
      <c r="EK64" s="100" t="str">
        <f>IF(Briefing_FID!EK64="","",Briefing_FID!EK64)</f>
        <v/>
      </c>
      <c r="EL64" s="3" t="str">
        <f>IF(Briefing_FID!EL64="","",Briefing_FID!EL64)</f>
        <v/>
      </c>
      <c r="EM64" s="28" t="str">
        <f>IF(Briefing_FID!EM64="","",Briefing_FID!EM64)</f>
        <v/>
      </c>
      <c r="EN64" s="100" t="str">
        <f>IF(Briefing_FID!EN64="","",Briefing_FID!EN64)</f>
        <v/>
      </c>
      <c r="EO64" s="3" t="str">
        <f>IF(Briefing_FID!EO64="","",Briefing_FID!EO64)</f>
        <v/>
      </c>
      <c r="EP64" s="28" t="str">
        <f>IF(Briefing_FID!EP64="","",Briefing_FID!EP64)</f>
        <v/>
      </c>
      <c r="EQ64" s="28" t="str">
        <f>IF(Briefing_FID!EQ64="","",Briefing_FID!EQ64)</f>
        <v/>
      </c>
      <c r="ER64" s="28" t="str">
        <f>IF(Briefing_FID!ER64="","",Briefing_FID!ER64)</f>
        <v/>
      </c>
      <c r="ES64" s="62"/>
      <c r="ET64" s="96" t="str">
        <f>IF(Briefing_FID!EZ64="","",Briefing_FID!EZ64)</f>
        <v/>
      </c>
      <c r="EU64" s="97" t="str">
        <f>IF(Briefing_FID!FA64="","",Briefing_FID!FA64)</f>
        <v/>
      </c>
      <c r="EV64" s="98" t="str">
        <f>IF(Briefing_FID!FB64="","",Briefing_FID!FB64)</f>
        <v/>
      </c>
      <c r="EW64" s="96" t="str">
        <f>IF(Briefing_FID!FC64="","",Briefing_FID!FC64)</f>
        <v/>
      </c>
      <c r="EX64" s="97" t="str">
        <f>IF(Briefing_FID!FD64="","",Briefing_FID!FD64)</f>
        <v/>
      </c>
      <c r="EY64" s="98" t="str">
        <f>IF(Briefing_FID!FE64="","",Briefing_FID!FE64)</f>
        <v/>
      </c>
      <c r="EZ64" s="104" t="str">
        <f>IF(Briefing_FID!FF64="","",Briefing_FID!FF64)</f>
        <v/>
      </c>
      <c r="FA64" s="144" t="str">
        <f>IF(Briefing_FID!FG64="","",Briefing_FID!FG64)</f>
        <v/>
      </c>
      <c r="FB64" s="144" t="str">
        <f>IF(Briefing_FID!FH64="","",Briefing_FID!FH64)</f>
        <v/>
      </c>
      <c r="FC64" s="144" t="str">
        <f>IF(Briefing_FID!FI64="","",Briefing_FID!FI64)</f>
        <v/>
      </c>
      <c r="FD64" s="144" t="str">
        <f>IF(Briefing_FID!FJ64="","",Briefing_FID!FJ64)</f>
        <v/>
      </c>
      <c r="FE64" s="144" t="str">
        <f>IF(Briefing_FID!FK64="","",Briefing_FID!FK64)</f>
        <v/>
      </c>
      <c r="FF64" s="144" t="str">
        <f>IF(Briefing_FID!FL64="","",Briefing_FID!FL64)</f>
        <v/>
      </c>
      <c r="FG64" s="144" t="str">
        <f>IF(Briefing_FID!FM64="","",Briefing_FID!FM64)</f>
        <v/>
      </c>
      <c r="FH64" s="144" t="str">
        <f>IF(Briefing_FID!FN64="","",Briefing_FID!FN64)</f>
        <v/>
      </c>
      <c r="FI64" s="144" t="str">
        <f>IF(Briefing_FID!FO64="","",Briefing_FID!FO64)</f>
        <v/>
      </c>
      <c r="FJ64" s="144" t="str">
        <f>IF(Briefing_FID!FP64="","",Briefing_FID!FP64)</f>
        <v/>
      </c>
      <c r="FK64" s="144" t="str">
        <f>IF(Briefing_FID!FQ64="","",Briefing_FID!FQ64)</f>
        <v/>
      </c>
      <c r="FL64" s="144" t="str">
        <f>IF(Briefing_FID!FR64="","",Briefing_FID!FR64)</f>
        <v/>
      </c>
      <c r="FM64" s="144" t="str">
        <f>IF(Briefing_FID!FS64="","",Briefing_FID!FS64)</f>
        <v/>
      </c>
      <c r="FN64" s="144" t="str">
        <f>IF(Briefing_FID!FT64="","",Briefing_FID!FT64)</f>
        <v/>
      </c>
      <c r="FO64" s="144" t="str">
        <f>IF(Briefing_FID!FU64="","",Briefing_FID!FU64)</f>
        <v/>
      </c>
      <c r="FP64" s="144" t="str">
        <f>IF(Briefing_FID!FV64="","",Briefing_FID!FV64)</f>
        <v/>
      </c>
      <c r="FQ64" s="144" t="str">
        <f>IF(Briefing_FID!FW64="","",Briefing_FID!FW64)</f>
        <v/>
      </c>
      <c r="FR64" s="151"/>
      <c r="FS64" s="152"/>
      <c r="FT64" s="152"/>
      <c r="FU64" s="152"/>
      <c r="FV64" s="152"/>
      <c r="FW64" s="152"/>
      <c r="FX64" s="152"/>
      <c r="FY64" s="152"/>
      <c r="FZ64" s="152"/>
      <c r="GA64" s="153"/>
    </row>
    <row r="65" spans="1:183">
      <c r="A65" s="136" t="str">
        <f>IF(Briefing_FID!A65="","",Briefing_FID!A65)</f>
        <v/>
      </c>
      <c r="B65" s="137" t="str">
        <f>IF(Briefing_FID!B65="","",Briefing_FID!B65)</f>
        <v/>
      </c>
      <c r="C65" s="137" t="str">
        <f>IF(Briefing_FID!C65="","",Briefing_FID!C65)</f>
        <v/>
      </c>
      <c r="D65" s="46"/>
      <c r="E65" s="120"/>
      <c r="F65" s="117"/>
      <c r="G65" s="117"/>
      <c r="H65" s="72"/>
      <c r="I65" s="72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23"/>
      <c r="AD65" s="117"/>
      <c r="AE65" s="117"/>
      <c r="AF65" s="117"/>
      <c r="AG65" s="117"/>
      <c r="AH65" s="117"/>
      <c r="AI65" s="117"/>
      <c r="AJ65" s="117"/>
      <c r="AK65" s="117"/>
      <c r="AL65" s="124"/>
      <c r="AM65" s="37"/>
      <c r="AN65" s="38"/>
      <c r="AO65" s="39"/>
      <c r="AP65" s="111" t="str">
        <f>IF(Briefing_FID!AP65="","",Briefing_FID!AP65)</f>
        <v/>
      </c>
      <c r="AQ65" s="112" t="str">
        <f>IF(Briefing_FID!AQ65="","",Briefing_FID!AQ65)</f>
        <v/>
      </c>
      <c r="AR65" s="107" t="str">
        <f>IF(Briefing_FID!AR65="","",Briefing_FID!AR65)</f>
        <v/>
      </c>
      <c r="AS65" s="108" t="str">
        <f>IF(Briefing_FID!AS65="","",Briefing_FID!AS65)</f>
        <v/>
      </c>
      <c r="AT65" s="113" t="str">
        <f>IF(Briefing_FID!AT65="","",Briefing_FID!AT65)</f>
        <v/>
      </c>
      <c r="AU65" s="113" t="str">
        <f>IF(Briefing_FID!AU65="","",Briefing_FID!AU65)</f>
        <v/>
      </c>
      <c r="AV65" s="113" t="str">
        <f>IF(Briefing_FID!AV65="","",Briefing_FID!AV65)</f>
        <v/>
      </c>
      <c r="AW65" s="113" t="str">
        <f>IF(Briefing_FID!AW65="","",Briefing_FID!AW65)</f>
        <v/>
      </c>
      <c r="AX65" s="114" t="str">
        <f>IF(Briefing_FID!AX65="","",Briefing_FID!AX65)</f>
        <v/>
      </c>
      <c r="AY65" s="71"/>
      <c r="AZ65" s="117" t="str">
        <f>IF(Briefing_FID!AZ65="","",Briefing_FID!AZ65)</f>
        <v/>
      </c>
      <c r="BA65" s="118" t="str">
        <f>IF(Briefing_FID!BA65="","",Briefing_FID!BA65)</f>
        <v/>
      </c>
      <c r="BB65" s="55"/>
      <c r="BC65" s="102" t="str">
        <f>IF(Briefing_FID!BC65="","",Briefing_FID!BC65)</f>
        <v/>
      </c>
      <c r="BD65" s="27" t="str">
        <f>IF(Briefing_FID!BD65="","",Briefing_FID!BD65)</f>
        <v/>
      </c>
      <c r="BE65" s="100" t="str">
        <f>IF(Briefing_FID!BE65="","",Briefing_FID!BE65)</f>
        <v/>
      </c>
      <c r="BF65" s="3" t="str">
        <f>IF(Briefing_FID!BF65="","",Briefing_FID!BF65)</f>
        <v/>
      </c>
      <c r="BG65" s="10" t="str">
        <f>IF(Briefing_FID!BG65="","",Briefing_FID!BG65)</f>
        <v/>
      </c>
      <c r="BH65" s="100" t="str">
        <f>IF(Briefing_FID!BH65="","",Briefing_FID!BH65)</f>
        <v/>
      </c>
      <c r="BI65" s="3" t="str">
        <f>IF(Briefing_FID!BI65="","",Briefing_FID!BI65)</f>
        <v/>
      </c>
      <c r="BJ65" s="10" t="str">
        <f>IF(Briefing_FID!BJ65="","",Briefing_FID!BJ65)</f>
        <v/>
      </c>
      <c r="BK65" s="100" t="str">
        <f>IF(Briefing_FID!BK65="","",Briefing_FID!BK65)</f>
        <v/>
      </c>
      <c r="BL65" s="3" t="str">
        <f>IF(Briefing_FID!BL65="","",Briefing_FID!BL65)</f>
        <v/>
      </c>
      <c r="BM65" s="28" t="str">
        <f>IF(Briefing_FID!BM65="","",Briefing_FID!BM65)</f>
        <v/>
      </c>
      <c r="BN65" s="100" t="str">
        <f>IF(Briefing_FID!BN65="","",Briefing_FID!BN65)</f>
        <v/>
      </c>
      <c r="BO65" s="3" t="str">
        <f>IF(Briefing_FID!BO65="","",Briefing_FID!BO65)</f>
        <v/>
      </c>
      <c r="BP65" s="28" t="str">
        <f>IF(Briefing_FID!BP65="","",Briefing_FID!BP65)</f>
        <v/>
      </c>
      <c r="BQ65" s="100" t="str">
        <f>IF(Briefing_FID!BQ65="","",Briefing_FID!BQ65)</f>
        <v/>
      </c>
      <c r="BR65" s="3" t="str">
        <f>IF(Briefing_FID!BR65="","",Briefing_FID!BR65)</f>
        <v/>
      </c>
      <c r="BS65" s="28" t="str">
        <f>IF(Briefing_FID!BS65="","",Briefing_FID!BS65)</f>
        <v/>
      </c>
      <c r="BT65" s="100" t="str">
        <f>IF(Briefing_FID!BT65="","",Briefing_FID!BT65)</f>
        <v/>
      </c>
      <c r="BU65" s="3" t="str">
        <f>IF(Briefing_FID!BU65="","",Briefing_FID!BU65)</f>
        <v/>
      </c>
      <c r="BV65" s="28" t="str">
        <f>IF(Briefing_FID!BV65="","",Briefing_FID!BV65)</f>
        <v/>
      </c>
      <c r="BW65" s="100" t="str">
        <f>IF(Briefing_FID!BW65="","",Briefing_FID!BW65)</f>
        <v/>
      </c>
      <c r="BX65" s="3" t="str">
        <f>IF(Briefing_FID!BX65="","",Briefing_FID!BX65)</f>
        <v/>
      </c>
      <c r="BY65" s="28" t="str">
        <f>IF(Briefing_FID!BY65="","",Briefing_FID!BY65)</f>
        <v/>
      </c>
      <c r="BZ65" s="100" t="str">
        <f>IF(Briefing_FID!BZ65="","",Briefing_FID!BZ65)</f>
        <v/>
      </c>
      <c r="CA65" s="3" t="str">
        <f>IF(Briefing_FID!CA65="","",Briefing_FID!CA65)</f>
        <v/>
      </c>
      <c r="CB65" s="28" t="str">
        <f>IF(Briefing_FID!CB65="","",Briefing_FID!CB65)</f>
        <v/>
      </c>
      <c r="CC65" s="100" t="str">
        <f>IF(Briefing_FID!CC65="","",Briefing_FID!CC65)</f>
        <v/>
      </c>
      <c r="CD65" s="3" t="str">
        <f>IF(Briefing_FID!CD65="","",Briefing_FID!CD65)</f>
        <v/>
      </c>
      <c r="CE65" s="28" t="str">
        <f>IF(Briefing_FID!CE65="","",Briefing_FID!CE65)</f>
        <v/>
      </c>
      <c r="CF65" s="100" t="str">
        <f>IF(Briefing_FID!CF65="","",Briefing_FID!CF65)</f>
        <v/>
      </c>
      <c r="CG65" s="3" t="str">
        <f>IF(Briefing_FID!CG65="","",Briefing_FID!CG65)</f>
        <v/>
      </c>
      <c r="CH65" s="28" t="str">
        <f>IF(Briefing_FID!CH65="","",Briefing_FID!CH65)</f>
        <v/>
      </c>
      <c r="CI65" s="100" t="str">
        <f>IF(Briefing_FID!CI65="","",Briefing_FID!CI65)</f>
        <v/>
      </c>
      <c r="CJ65" s="3" t="str">
        <f>IF(Briefing_FID!CJ65="","",Briefing_FID!CJ65)</f>
        <v/>
      </c>
      <c r="CK65" s="28" t="str">
        <f>IF(Briefing_FID!CK65="","",Briefing_FID!CK65)</f>
        <v/>
      </c>
      <c r="CL65" s="100" t="str">
        <f>IF(Briefing_FID!CL65="","",Briefing_FID!CL65)</f>
        <v/>
      </c>
      <c r="CM65" s="3" t="str">
        <f>IF(Briefing_FID!CM65="","",Briefing_FID!CM65)</f>
        <v/>
      </c>
      <c r="CN65" s="28" t="str">
        <f>IF(Briefing_FID!CN65="","",Briefing_FID!CN65)</f>
        <v/>
      </c>
      <c r="CO65" s="100" t="str">
        <f>IF(Briefing_FID!CO65="","",Briefing_FID!CO65)</f>
        <v/>
      </c>
      <c r="CP65" s="3" t="str">
        <f>IF(Briefing_FID!CP65="","",Briefing_FID!CP65)</f>
        <v/>
      </c>
      <c r="CQ65" s="28" t="str">
        <f>IF(Briefing_FID!CQ65="","",Briefing_FID!CQ65)</f>
        <v/>
      </c>
      <c r="CR65" s="100" t="str">
        <f>IF(Briefing_FID!CR65="","",Briefing_FID!CR65)</f>
        <v/>
      </c>
      <c r="CS65" s="3" t="str">
        <f>IF(Briefing_FID!CS65="","",Briefing_FID!CS65)</f>
        <v/>
      </c>
      <c r="CT65" s="28" t="str">
        <f>IF(Briefing_FID!CT65="","",Briefing_FID!CT65)</f>
        <v/>
      </c>
      <c r="CU65" s="100" t="str">
        <f>IF(Briefing_FID!CU65="","",Briefing_FID!CU65)</f>
        <v/>
      </c>
      <c r="CV65" s="3" t="str">
        <f>IF(Briefing_FID!CV65="","",Briefing_FID!CV65)</f>
        <v/>
      </c>
      <c r="CW65" s="28" t="str">
        <f>IF(Briefing_FID!CW65="","",Briefing_FID!CW65)</f>
        <v/>
      </c>
      <c r="CX65" s="100" t="str">
        <f>IF(Briefing_FID!CX65="","",Briefing_FID!CX65)</f>
        <v/>
      </c>
      <c r="CY65" s="3" t="str">
        <f>IF(Briefing_FID!CY65="","",Briefing_FID!CY65)</f>
        <v/>
      </c>
      <c r="CZ65" s="28" t="str">
        <f>IF(Briefing_FID!CZ65="","",Briefing_FID!CZ65)</f>
        <v/>
      </c>
      <c r="DA65" s="100" t="str">
        <f>IF(Briefing_FID!DA65="","",Briefing_FID!DA65)</f>
        <v/>
      </c>
      <c r="DB65" s="3" t="str">
        <f>IF(Briefing_FID!DB65="","",Briefing_FID!DB65)</f>
        <v/>
      </c>
      <c r="DC65" s="28" t="str">
        <f>IF(Briefing_FID!DC65="","",Briefing_FID!DC65)</f>
        <v/>
      </c>
      <c r="DD65" s="100" t="str">
        <f>IF(Briefing_FID!DD65="","",Briefing_FID!DD65)</f>
        <v/>
      </c>
      <c r="DE65" s="3" t="str">
        <f>IF(Briefing_FID!DE65="","",Briefing_FID!DE65)</f>
        <v/>
      </c>
      <c r="DF65" s="28" t="str">
        <f>IF(Briefing_FID!DF65="","",Briefing_FID!DF65)</f>
        <v/>
      </c>
      <c r="DG65" s="100" t="str">
        <f>IF(Briefing_FID!DG65="","",Briefing_FID!DG65)</f>
        <v/>
      </c>
      <c r="DH65" s="3" t="str">
        <f>IF(Briefing_FID!DH65="","",Briefing_FID!DH65)</f>
        <v/>
      </c>
      <c r="DI65" s="28" t="str">
        <f>IF(Briefing_FID!DI65="","",Briefing_FID!DI65)</f>
        <v/>
      </c>
      <c r="DJ65" s="100" t="str">
        <f>IF(Briefing_FID!DJ65="","",Briefing_FID!DJ65)</f>
        <v/>
      </c>
      <c r="DK65" s="3" t="str">
        <f>IF(Briefing_FID!DK65="","",Briefing_FID!DK65)</f>
        <v/>
      </c>
      <c r="DL65" s="28" t="str">
        <f>IF(Briefing_FID!DL65="","",Briefing_FID!DL65)</f>
        <v/>
      </c>
      <c r="DM65" s="100" t="str">
        <f>IF(Briefing_FID!DM65="","",Briefing_FID!DM65)</f>
        <v/>
      </c>
      <c r="DN65" s="3" t="str">
        <f>IF(Briefing_FID!DN65="","",Briefing_FID!DN65)</f>
        <v/>
      </c>
      <c r="DO65" s="28" t="str">
        <f>IF(Briefing_FID!DO65="","",Briefing_FID!DO65)</f>
        <v/>
      </c>
      <c r="DP65" s="100" t="str">
        <f>IF(Briefing_FID!DP65="","",Briefing_FID!DP65)</f>
        <v/>
      </c>
      <c r="DQ65" s="3" t="str">
        <f>IF(Briefing_FID!DQ65="","",Briefing_FID!DQ65)</f>
        <v/>
      </c>
      <c r="DR65" s="28" t="str">
        <f>IF(Briefing_FID!DR65="","",Briefing_FID!DR65)</f>
        <v/>
      </c>
      <c r="DS65" s="100" t="str">
        <f>IF(Briefing_FID!DS65="","",Briefing_FID!DS65)</f>
        <v/>
      </c>
      <c r="DT65" s="3" t="str">
        <f>IF(Briefing_FID!DT65="","",Briefing_FID!DT65)</f>
        <v/>
      </c>
      <c r="DU65" s="28" t="str">
        <f>IF(Briefing_FID!DU65="","",Briefing_FID!DU65)</f>
        <v/>
      </c>
      <c r="DV65" s="100" t="str">
        <f>IF(Briefing_FID!DV65="","",Briefing_FID!DV65)</f>
        <v/>
      </c>
      <c r="DW65" s="3" t="str">
        <f>IF(Briefing_FID!DW65="","",Briefing_FID!DW65)</f>
        <v/>
      </c>
      <c r="DX65" s="28" t="str">
        <f>IF(Briefing_FID!DX65="","",Briefing_FID!DX65)</f>
        <v/>
      </c>
      <c r="DY65" s="100" t="str">
        <f>IF(Briefing_FID!DY65="","",Briefing_FID!DY65)</f>
        <v/>
      </c>
      <c r="DZ65" s="3" t="str">
        <f>IF(Briefing_FID!DZ65="","",Briefing_FID!DZ65)</f>
        <v/>
      </c>
      <c r="EA65" s="28" t="str">
        <f>IF(Briefing_FID!EA65="","",Briefing_FID!EA65)</f>
        <v/>
      </c>
      <c r="EB65" s="100" t="str">
        <f>IF(Briefing_FID!EB65="","",Briefing_FID!EB65)</f>
        <v/>
      </c>
      <c r="EC65" s="3" t="str">
        <f>IF(Briefing_FID!EC65="","",Briefing_FID!EC65)</f>
        <v/>
      </c>
      <c r="ED65" s="28" t="str">
        <f>IF(Briefing_FID!ED65="","",Briefing_FID!ED65)</f>
        <v/>
      </c>
      <c r="EE65" s="100" t="str">
        <f>IF(Briefing_FID!EE65="","",Briefing_FID!EE65)</f>
        <v/>
      </c>
      <c r="EF65" s="3" t="str">
        <f>IF(Briefing_FID!EF65="","",Briefing_FID!EF65)</f>
        <v/>
      </c>
      <c r="EG65" s="28" t="str">
        <f>IF(Briefing_FID!EG65="","",Briefing_FID!EG65)</f>
        <v/>
      </c>
      <c r="EH65" s="100" t="str">
        <f>IF(Briefing_FID!EH65="","",Briefing_FID!EH65)</f>
        <v/>
      </c>
      <c r="EI65" s="3" t="str">
        <f>IF(Briefing_FID!EI65="","",Briefing_FID!EI65)</f>
        <v/>
      </c>
      <c r="EJ65" s="28" t="str">
        <f>IF(Briefing_FID!EJ65="","",Briefing_FID!EJ65)</f>
        <v/>
      </c>
      <c r="EK65" s="100" t="str">
        <f>IF(Briefing_FID!EK65="","",Briefing_FID!EK65)</f>
        <v/>
      </c>
      <c r="EL65" s="3" t="str">
        <f>IF(Briefing_FID!EL65="","",Briefing_FID!EL65)</f>
        <v/>
      </c>
      <c r="EM65" s="28" t="str">
        <f>IF(Briefing_FID!EM65="","",Briefing_FID!EM65)</f>
        <v/>
      </c>
      <c r="EN65" s="100" t="str">
        <f>IF(Briefing_FID!EN65="","",Briefing_FID!EN65)</f>
        <v/>
      </c>
      <c r="EO65" s="3" t="str">
        <f>IF(Briefing_FID!EO65="","",Briefing_FID!EO65)</f>
        <v/>
      </c>
      <c r="EP65" s="28" t="str">
        <f>IF(Briefing_FID!EP65="","",Briefing_FID!EP65)</f>
        <v/>
      </c>
      <c r="EQ65" s="28" t="str">
        <f>IF(Briefing_FID!EQ65="","",Briefing_FID!EQ65)</f>
        <v/>
      </c>
      <c r="ER65" s="28" t="str">
        <f>IF(Briefing_FID!ER65="","",Briefing_FID!ER65)</f>
        <v/>
      </c>
      <c r="ES65" s="62"/>
      <c r="ET65" s="96" t="str">
        <f>IF(Briefing_FID!EZ65="","",Briefing_FID!EZ65)</f>
        <v/>
      </c>
      <c r="EU65" s="97" t="str">
        <f>IF(Briefing_FID!FA65="","",Briefing_FID!FA65)</f>
        <v/>
      </c>
      <c r="EV65" s="98" t="str">
        <f>IF(Briefing_FID!FB65="","",Briefing_FID!FB65)</f>
        <v/>
      </c>
      <c r="EW65" s="96" t="str">
        <f>IF(Briefing_FID!FC65="","",Briefing_FID!FC65)</f>
        <v/>
      </c>
      <c r="EX65" s="97" t="str">
        <f>IF(Briefing_FID!FD65="","",Briefing_FID!FD65)</f>
        <v/>
      </c>
      <c r="EY65" s="98" t="str">
        <f>IF(Briefing_FID!FE65="","",Briefing_FID!FE65)</f>
        <v/>
      </c>
      <c r="EZ65" s="104" t="str">
        <f>IF(Briefing_FID!FF65="","",Briefing_FID!FF65)</f>
        <v/>
      </c>
      <c r="FA65" s="144" t="str">
        <f>IF(Briefing_FID!FG65="","",Briefing_FID!FG65)</f>
        <v/>
      </c>
      <c r="FB65" s="144" t="str">
        <f>IF(Briefing_FID!FH65="","",Briefing_FID!FH65)</f>
        <v/>
      </c>
      <c r="FC65" s="144" t="str">
        <f>IF(Briefing_FID!FI65="","",Briefing_FID!FI65)</f>
        <v/>
      </c>
      <c r="FD65" s="144" t="str">
        <f>IF(Briefing_FID!FJ65="","",Briefing_FID!FJ65)</f>
        <v/>
      </c>
      <c r="FE65" s="144" t="str">
        <f>IF(Briefing_FID!FK65="","",Briefing_FID!FK65)</f>
        <v/>
      </c>
      <c r="FF65" s="144" t="str">
        <f>IF(Briefing_FID!FL65="","",Briefing_FID!FL65)</f>
        <v/>
      </c>
      <c r="FG65" s="144" t="str">
        <f>IF(Briefing_FID!FM65="","",Briefing_FID!FM65)</f>
        <v/>
      </c>
      <c r="FH65" s="144" t="str">
        <f>IF(Briefing_FID!FN65="","",Briefing_FID!FN65)</f>
        <v/>
      </c>
      <c r="FI65" s="144" t="str">
        <f>IF(Briefing_FID!FO65="","",Briefing_FID!FO65)</f>
        <v/>
      </c>
      <c r="FJ65" s="144" t="str">
        <f>IF(Briefing_FID!FP65="","",Briefing_FID!FP65)</f>
        <v/>
      </c>
      <c r="FK65" s="144" t="str">
        <f>IF(Briefing_FID!FQ65="","",Briefing_FID!FQ65)</f>
        <v/>
      </c>
      <c r="FL65" s="144" t="str">
        <f>IF(Briefing_FID!FR65="","",Briefing_FID!FR65)</f>
        <v/>
      </c>
      <c r="FM65" s="144" t="str">
        <f>IF(Briefing_FID!FS65="","",Briefing_FID!FS65)</f>
        <v/>
      </c>
      <c r="FN65" s="144" t="str">
        <f>IF(Briefing_FID!FT65="","",Briefing_FID!FT65)</f>
        <v/>
      </c>
      <c r="FO65" s="144" t="str">
        <f>IF(Briefing_FID!FU65="","",Briefing_FID!FU65)</f>
        <v/>
      </c>
      <c r="FP65" s="144" t="str">
        <f>IF(Briefing_FID!FV65="","",Briefing_FID!FV65)</f>
        <v/>
      </c>
      <c r="FQ65" s="144" t="str">
        <f>IF(Briefing_FID!FW65="","",Briefing_FID!FW65)</f>
        <v/>
      </c>
      <c r="FR65" s="151"/>
      <c r="FS65" s="152"/>
      <c r="FT65" s="152"/>
      <c r="FU65" s="152"/>
      <c r="FV65" s="152"/>
      <c r="FW65" s="152"/>
      <c r="FX65" s="152"/>
      <c r="FY65" s="152"/>
      <c r="FZ65" s="152"/>
      <c r="GA65" s="153"/>
    </row>
    <row r="66" spans="1:183">
      <c r="A66" s="136" t="str">
        <f>IF(Briefing_FID!A66="","",Briefing_FID!A66)</f>
        <v/>
      </c>
      <c r="B66" s="137" t="str">
        <f>IF(Briefing_FID!B66="","",Briefing_FID!B66)</f>
        <v/>
      </c>
      <c r="C66" s="137" t="str">
        <f>IF(Briefing_FID!C66="","",Briefing_FID!C66)</f>
        <v/>
      </c>
      <c r="D66" s="46"/>
      <c r="E66" s="120"/>
      <c r="F66" s="117"/>
      <c r="G66" s="117"/>
      <c r="H66" s="72"/>
      <c r="I66" s="72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23"/>
      <c r="AD66" s="117"/>
      <c r="AE66" s="117"/>
      <c r="AF66" s="117"/>
      <c r="AG66" s="117"/>
      <c r="AH66" s="117"/>
      <c r="AI66" s="117"/>
      <c r="AJ66" s="117"/>
      <c r="AK66" s="117"/>
      <c r="AL66" s="124"/>
      <c r="AM66" s="37"/>
      <c r="AN66" s="38"/>
      <c r="AO66" s="39"/>
      <c r="AP66" s="111" t="str">
        <f>IF(Briefing_FID!AP66="","",Briefing_FID!AP66)</f>
        <v/>
      </c>
      <c r="AQ66" s="112" t="str">
        <f>IF(Briefing_FID!AQ66="","",Briefing_FID!AQ66)</f>
        <v/>
      </c>
      <c r="AR66" s="107" t="str">
        <f>IF(Briefing_FID!AR66="","",Briefing_FID!AR66)</f>
        <v/>
      </c>
      <c r="AS66" s="108" t="str">
        <f>IF(Briefing_FID!AS66="","",Briefing_FID!AS66)</f>
        <v/>
      </c>
      <c r="AT66" s="113" t="str">
        <f>IF(Briefing_FID!AT66="","",Briefing_FID!AT66)</f>
        <v/>
      </c>
      <c r="AU66" s="113" t="str">
        <f>IF(Briefing_FID!AU66="","",Briefing_FID!AU66)</f>
        <v/>
      </c>
      <c r="AV66" s="113" t="str">
        <f>IF(Briefing_FID!AV66="","",Briefing_FID!AV66)</f>
        <v/>
      </c>
      <c r="AW66" s="113" t="str">
        <f>IF(Briefing_FID!AW66="","",Briefing_FID!AW66)</f>
        <v/>
      </c>
      <c r="AX66" s="114" t="str">
        <f>IF(Briefing_FID!AX66="","",Briefing_FID!AX66)</f>
        <v/>
      </c>
      <c r="AY66" s="71"/>
      <c r="AZ66" s="117" t="str">
        <f>IF(Briefing_FID!AZ66="","",Briefing_FID!AZ66)</f>
        <v/>
      </c>
      <c r="BA66" s="118" t="str">
        <f>IF(Briefing_FID!BA66="","",Briefing_FID!BA66)</f>
        <v/>
      </c>
      <c r="BB66" s="55"/>
      <c r="BC66" s="102" t="str">
        <f>IF(Briefing_FID!BC66="","",Briefing_FID!BC66)</f>
        <v/>
      </c>
      <c r="BD66" s="27" t="str">
        <f>IF(Briefing_FID!BD66="","",Briefing_FID!BD66)</f>
        <v/>
      </c>
      <c r="BE66" s="100" t="str">
        <f>IF(Briefing_FID!BE66="","",Briefing_FID!BE66)</f>
        <v/>
      </c>
      <c r="BF66" s="3" t="str">
        <f>IF(Briefing_FID!BF66="","",Briefing_FID!BF66)</f>
        <v/>
      </c>
      <c r="BG66" s="10" t="str">
        <f>IF(Briefing_FID!BG66="","",Briefing_FID!BG66)</f>
        <v/>
      </c>
      <c r="BH66" s="100" t="str">
        <f>IF(Briefing_FID!BH66="","",Briefing_FID!BH66)</f>
        <v/>
      </c>
      <c r="BI66" s="3" t="str">
        <f>IF(Briefing_FID!BI66="","",Briefing_FID!BI66)</f>
        <v/>
      </c>
      <c r="BJ66" s="10" t="str">
        <f>IF(Briefing_FID!BJ66="","",Briefing_FID!BJ66)</f>
        <v/>
      </c>
      <c r="BK66" s="100" t="str">
        <f>IF(Briefing_FID!BK66="","",Briefing_FID!BK66)</f>
        <v/>
      </c>
      <c r="BL66" s="3" t="str">
        <f>IF(Briefing_FID!BL66="","",Briefing_FID!BL66)</f>
        <v/>
      </c>
      <c r="BM66" s="28" t="str">
        <f>IF(Briefing_FID!BM66="","",Briefing_FID!BM66)</f>
        <v/>
      </c>
      <c r="BN66" s="100" t="str">
        <f>IF(Briefing_FID!BN66="","",Briefing_FID!BN66)</f>
        <v/>
      </c>
      <c r="BO66" s="3" t="str">
        <f>IF(Briefing_FID!BO66="","",Briefing_FID!BO66)</f>
        <v/>
      </c>
      <c r="BP66" s="28" t="str">
        <f>IF(Briefing_FID!BP66="","",Briefing_FID!BP66)</f>
        <v/>
      </c>
      <c r="BQ66" s="100" t="str">
        <f>IF(Briefing_FID!BQ66="","",Briefing_FID!BQ66)</f>
        <v/>
      </c>
      <c r="BR66" s="3" t="str">
        <f>IF(Briefing_FID!BR66="","",Briefing_FID!BR66)</f>
        <v/>
      </c>
      <c r="BS66" s="28" t="str">
        <f>IF(Briefing_FID!BS66="","",Briefing_FID!BS66)</f>
        <v/>
      </c>
      <c r="BT66" s="100" t="str">
        <f>IF(Briefing_FID!BT66="","",Briefing_FID!BT66)</f>
        <v/>
      </c>
      <c r="BU66" s="3" t="str">
        <f>IF(Briefing_FID!BU66="","",Briefing_FID!BU66)</f>
        <v/>
      </c>
      <c r="BV66" s="28" t="str">
        <f>IF(Briefing_FID!BV66="","",Briefing_FID!BV66)</f>
        <v/>
      </c>
      <c r="BW66" s="100" t="str">
        <f>IF(Briefing_FID!BW66="","",Briefing_FID!BW66)</f>
        <v/>
      </c>
      <c r="BX66" s="3" t="str">
        <f>IF(Briefing_FID!BX66="","",Briefing_FID!BX66)</f>
        <v/>
      </c>
      <c r="BY66" s="28" t="str">
        <f>IF(Briefing_FID!BY66="","",Briefing_FID!BY66)</f>
        <v/>
      </c>
      <c r="BZ66" s="100" t="str">
        <f>IF(Briefing_FID!BZ66="","",Briefing_FID!BZ66)</f>
        <v/>
      </c>
      <c r="CA66" s="3" t="str">
        <f>IF(Briefing_FID!CA66="","",Briefing_FID!CA66)</f>
        <v/>
      </c>
      <c r="CB66" s="28" t="str">
        <f>IF(Briefing_FID!CB66="","",Briefing_FID!CB66)</f>
        <v/>
      </c>
      <c r="CC66" s="100" t="str">
        <f>IF(Briefing_FID!CC66="","",Briefing_FID!CC66)</f>
        <v/>
      </c>
      <c r="CD66" s="3" t="str">
        <f>IF(Briefing_FID!CD66="","",Briefing_FID!CD66)</f>
        <v/>
      </c>
      <c r="CE66" s="28" t="str">
        <f>IF(Briefing_FID!CE66="","",Briefing_FID!CE66)</f>
        <v/>
      </c>
      <c r="CF66" s="100" t="str">
        <f>IF(Briefing_FID!CF66="","",Briefing_FID!CF66)</f>
        <v/>
      </c>
      <c r="CG66" s="3" t="str">
        <f>IF(Briefing_FID!CG66="","",Briefing_FID!CG66)</f>
        <v/>
      </c>
      <c r="CH66" s="28" t="str">
        <f>IF(Briefing_FID!CH66="","",Briefing_FID!CH66)</f>
        <v/>
      </c>
      <c r="CI66" s="100" t="str">
        <f>IF(Briefing_FID!CI66="","",Briefing_FID!CI66)</f>
        <v/>
      </c>
      <c r="CJ66" s="3" t="str">
        <f>IF(Briefing_FID!CJ66="","",Briefing_FID!CJ66)</f>
        <v/>
      </c>
      <c r="CK66" s="28" t="str">
        <f>IF(Briefing_FID!CK66="","",Briefing_FID!CK66)</f>
        <v/>
      </c>
      <c r="CL66" s="100" t="str">
        <f>IF(Briefing_FID!CL66="","",Briefing_FID!CL66)</f>
        <v/>
      </c>
      <c r="CM66" s="3" t="str">
        <f>IF(Briefing_FID!CM66="","",Briefing_FID!CM66)</f>
        <v/>
      </c>
      <c r="CN66" s="28" t="str">
        <f>IF(Briefing_FID!CN66="","",Briefing_FID!CN66)</f>
        <v/>
      </c>
      <c r="CO66" s="100" t="str">
        <f>IF(Briefing_FID!CO66="","",Briefing_FID!CO66)</f>
        <v/>
      </c>
      <c r="CP66" s="3" t="str">
        <f>IF(Briefing_FID!CP66="","",Briefing_FID!CP66)</f>
        <v/>
      </c>
      <c r="CQ66" s="28" t="str">
        <f>IF(Briefing_FID!CQ66="","",Briefing_FID!CQ66)</f>
        <v/>
      </c>
      <c r="CR66" s="100" t="str">
        <f>IF(Briefing_FID!CR66="","",Briefing_FID!CR66)</f>
        <v/>
      </c>
      <c r="CS66" s="3" t="str">
        <f>IF(Briefing_FID!CS66="","",Briefing_FID!CS66)</f>
        <v/>
      </c>
      <c r="CT66" s="28" t="str">
        <f>IF(Briefing_FID!CT66="","",Briefing_FID!CT66)</f>
        <v/>
      </c>
      <c r="CU66" s="100" t="str">
        <f>IF(Briefing_FID!CU66="","",Briefing_FID!CU66)</f>
        <v/>
      </c>
      <c r="CV66" s="3" t="str">
        <f>IF(Briefing_FID!CV66="","",Briefing_FID!CV66)</f>
        <v/>
      </c>
      <c r="CW66" s="28" t="str">
        <f>IF(Briefing_FID!CW66="","",Briefing_FID!CW66)</f>
        <v/>
      </c>
      <c r="CX66" s="100" t="str">
        <f>IF(Briefing_FID!CX66="","",Briefing_FID!CX66)</f>
        <v/>
      </c>
      <c r="CY66" s="3" t="str">
        <f>IF(Briefing_FID!CY66="","",Briefing_FID!CY66)</f>
        <v/>
      </c>
      <c r="CZ66" s="28" t="str">
        <f>IF(Briefing_FID!CZ66="","",Briefing_FID!CZ66)</f>
        <v/>
      </c>
      <c r="DA66" s="100" t="str">
        <f>IF(Briefing_FID!DA66="","",Briefing_FID!DA66)</f>
        <v/>
      </c>
      <c r="DB66" s="3" t="str">
        <f>IF(Briefing_FID!DB66="","",Briefing_FID!DB66)</f>
        <v/>
      </c>
      <c r="DC66" s="28" t="str">
        <f>IF(Briefing_FID!DC66="","",Briefing_FID!DC66)</f>
        <v/>
      </c>
      <c r="DD66" s="100" t="str">
        <f>IF(Briefing_FID!DD66="","",Briefing_FID!DD66)</f>
        <v/>
      </c>
      <c r="DE66" s="3" t="str">
        <f>IF(Briefing_FID!DE66="","",Briefing_FID!DE66)</f>
        <v/>
      </c>
      <c r="DF66" s="28" t="str">
        <f>IF(Briefing_FID!DF66="","",Briefing_FID!DF66)</f>
        <v/>
      </c>
      <c r="DG66" s="100" t="str">
        <f>IF(Briefing_FID!DG66="","",Briefing_FID!DG66)</f>
        <v/>
      </c>
      <c r="DH66" s="3" t="str">
        <f>IF(Briefing_FID!DH66="","",Briefing_FID!DH66)</f>
        <v/>
      </c>
      <c r="DI66" s="28" t="str">
        <f>IF(Briefing_FID!DI66="","",Briefing_FID!DI66)</f>
        <v/>
      </c>
      <c r="DJ66" s="100" t="str">
        <f>IF(Briefing_FID!DJ66="","",Briefing_FID!DJ66)</f>
        <v/>
      </c>
      <c r="DK66" s="3" t="str">
        <f>IF(Briefing_FID!DK66="","",Briefing_FID!DK66)</f>
        <v/>
      </c>
      <c r="DL66" s="28" t="str">
        <f>IF(Briefing_FID!DL66="","",Briefing_FID!DL66)</f>
        <v/>
      </c>
      <c r="DM66" s="100" t="str">
        <f>IF(Briefing_FID!DM66="","",Briefing_FID!DM66)</f>
        <v/>
      </c>
      <c r="DN66" s="3" t="str">
        <f>IF(Briefing_FID!DN66="","",Briefing_FID!DN66)</f>
        <v/>
      </c>
      <c r="DO66" s="28" t="str">
        <f>IF(Briefing_FID!DO66="","",Briefing_FID!DO66)</f>
        <v/>
      </c>
      <c r="DP66" s="100" t="str">
        <f>IF(Briefing_FID!DP66="","",Briefing_FID!DP66)</f>
        <v/>
      </c>
      <c r="DQ66" s="3" t="str">
        <f>IF(Briefing_FID!DQ66="","",Briefing_FID!DQ66)</f>
        <v/>
      </c>
      <c r="DR66" s="28" t="str">
        <f>IF(Briefing_FID!DR66="","",Briefing_FID!DR66)</f>
        <v/>
      </c>
      <c r="DS66" s="100" t="str">
        <f>IF(Briefing_FID!DS66="","",Briefing_FID!DS66)</f>
        <v/>
      </c>
      <c r="DT66" s="3" t="str">
        <f>IF(Briefing_FID!DT66="","",Briefing_FID!DT66)</f>
        <v/>
      </c>
      <c r="DU66" s="28" t="str">
        <f>IF(Briefing_FID!DU66="","",Briefing_FID!DU66)</f>
        <v/>
      </c>
      <c r="DV66" s="100" t="str">
        <f>IF(Briefing_FID!DV66="","",Briefing_FID!DV66)</f>
        <v/>
      </c>
      <c r="DW66" s="3" t="str">
        <f>IF(Briefing_FID!DW66="","",Briefing_FID!DW66)</f>
        <v/>
      </c>
      <c r="DX66" s="28" t="str">
        <f>IF(Briefing_FID!DX66="","",Briefing_FID!DX66)</f>
        <v/>
      </c>
      <c r="DY66" s="100" t="str">
        <f>IF(Briefing_FID!DY66="","",Briefing_FID!DY66)</f>
        <v/>
      </c>
      <c r="DZ66" s="3" t="str">
        <f>IF(Briefing_FID!DZ66="","",Briefing_FID!DZ66)</f>
        <v/>
      </c>
      <c r="EA66" s="28" t="str">
        <f>IF(Briefing_FID!EA66="","",Briefing_FID!EA66)</f>
        <v/>
      </c>
      <c r="EB66" s="100" t="str">
        <f>IF(Briefing_FID!EB66="","",Briefing_FID!EB66)</f>
        <v/>
      </c>
      <c r="EC66" s="3" t="str">
        <f>IF(Briefing_FID!EC66="","",Briefing_FID!EC66)</f>
        <v/>
      </c>
      <c r="ED66" s="28" t="str">
        <f>IF(Briefing_FID!ED66="","",Briefing_FID!ED66)</f>
        <v/>
      </c>
      <c r="EE66" s="100" t="str">
        <f>IF(Briefing_FID!EE66="","",Briefing_FID!EE66)</f>
        <v/>
      </c>
      <c r="EF66" s="3" t="str">
        <f>IF(Briefing_FID!EF66="","",Briefing_FID!EF66)</f>
        <v/>
      </c>
      <c r="EG66" s="28" t="str">
        <f>IF(Briefing_FID!EG66="","",Briefing_FID!EG66)</f>
        <v/>
      </c>
      <c r="EH66" s="100" t="str">
        <f>IF(Briefing_FID!EH66="","",Briefing_FID!EH66)</f>
        <v/>
      </c>
      <c r="EI66" s="3" t="str">
        <f>IF(Briefing_FID!EI66="","",Briefing_FID!EI66)</f>
        <v/>
      </c>
      <c r="EJ66" s="28" t="str">
        <f>IF(Briefing_FID!EJ66="","",Briefing_FID!EJ66)</f>
        <v/>
      </c>
      <c r="EK66" s="100" t="str">
        <f>IF(Briefing_FID!EK66="","",Briefing_FID!EK66)</f>
        <v/>
      </c>
      <c r="EL66" s="3" t="str">
        <f>IF(Briefing_FID!EL66="","",Briefing_FID!EL66)</f>
        <v/>
      </c>
      <c r="EM66" s="28" t="str">
        <f>IF(Briefing_FID!EM66="","",Briefing_FID!EM66)</f>
        <v/>
      </c>
      <c r="EN66" s="100" t="str">
        <f>IF(Briefing_FID!EN66="","",Briefing_FID!EN66)</f>
        <v/>
      </c>
      <c r="EO66" s="3" t="str">
        <f>IF(Briefing_FID!EO66="","",Briefing_FID!EO66)</f>
        <v/>
      </c>
      <c r="EP66" s="28" t="str">
        <f>IF(Briefing_FID!EP66="","",Briefing_FID!EP66)</f>
        <v/>
      </c>
      <c r="EQ66" s="28" t="str">
        <f>IF(Briefing_FID!EQ66="","",Briefing_FID!EQ66)</f>
        <v/>
      </c>
      <c r="ER66" s="28" t="str">
        <f>IF(Briefing_FID!ER66="","",Briefing_FID!ER66)</f>
        <v/>
      </c>
      <c r="ES66" s="62"/>
      <c r="ET66" s="96" t="str">
        <f>IF(Briefing_FID!EZ66="","",Briefing_FID!EZ66)</f>
        <v/>
      </c>
      <c r="EU66" s="97" t="str">
        <f>IF(Briefing_FID!FA66="","",Briefing_FID!FA66)</f>
        <v/>
      </c>
      <c r="EV66" s="98" t="str">
        <f>IF(Briefing_FID!FB66="","",Briefing_FID!FB66)</f>
        <v/>
      </c>
      <c r="EW66" s="96" t="str">
        <f>IF(Briefing_FID!FC66="","",Briefing_FID!FC66)</f>
        <v/>
      </c>
      <c r="EX66" s="97" t="str">
        <f>IF(Briefing_FID!FD66="","",Briefing_FID!FD66)</f>
        <v/>
      </c>
      <c r="EY66" s="98" t="str">
        <f>IF(Briefing_FID!FE66="","",Briefing_FID!FE66)</f>
        <v/>
      </c>
      <c r="EZ66" s="104" t="str">
        <f>IF(Briefing_FID!FF66="","",Briefing_FID!FF66)</f>
        <v/>
      </c>
      <c r="FA66" s="144" t="str">
        <f>IF(Briefing_FID!FG66="","",Briefing_FID!FG66)</f>
        <v/>
      </c>
      <c r="FB66" s="144" t="str">
        <f>IF(Briefing_FID!FH66="","",Briefing_FID!FH66)</f>
        <v/>
      </c>
      <c r="FC66" s="144" t="str">
        <f>IF(Briefing_FID!FI66="","",Briefing_FID!FI66)</f>
        <v/>
      </c>
      <c r="FD66" s="144" t="str">
        <f>IF(Briefing_FID!FJ66="","",Briefing_FID!FJ66)</f>
        <v/>
      </c>
      <c r="FE66" s="144" t="str">
        <f>IF(Briefing_FID!FK66="","",Briefing_FID!FK66)</f>
        <v/>
      </c>
      <c r="FF66" s="144" t="str">
        <f>IF(Briefing_FID!FL66="","",Briefing_FID!FL66)</f>
        <v/>
      </c>
      <c r="FG66" s="144" t="str">
        <f>IF(Briefing_FID!FM66="","",Briefing_FID!FM66)</f>
        <v/>
      </c>
      <c r="FH66" s="144" t="str">
        <f>IF(Briefing_FID!FN66="","",Briefing_FID!FN66)</f>
        <v/>
      </c>
      <c r="FI66" s="144" t="str">
        <f>IF(Briefing_FID!FO66="","",Briefing_FID!FO66)</f>
        <v/>
      </c>
      <c r="FJ66" s="144" t="str">
        <f>IF(Briefing_FID!FP66="","",Briefing_FID!FP66)</f>
        <v/>
      </c>
      <c r="FK66" s="144" t="str">
        <f>IF(Briefing_FID!FQ66="","",Briefing_FID!FQ66)</f>
        <v/>
      </c>
      <c r="FL66" s="144" t="str">
        <f>IF(Briefing_FID!FR66="","",Briefing_FID!FR66)</f>
        <v/>
      </c>
      <c r="FM66" s="144" t="str">
        <f>IF(Briefing_FID!FS66="","",Briefing_FID!FS66)</f>
        <v/>
      </c>
      <c r="FN66" s="144" t="str">
        <f>IF(Briefing_FID!FT66="","",Briefing_FID!FT66)</f>
        <v/>
      </c>
      <c r="FO66" s="144" t="str">
        <f>IF(Briefing_FID!FU66="","",Briefing_FID!FU66)</f>
        <v/>
      </c>
      <c r="FP66" s="144" t="str">
        <f>IF(Briefing_FID!FV66="","",Briefing_FID!FV66)</f>
        <v/>
      </c>
      <c r="FQ66" s="144" t="str">
        <f>IF(Briefing_FID!FW66="","",Briefing_FID!FW66)</f>
        <v/>
      </c>
      <c r="FR66" s="151"/>
      <c r="FS66" s="152"/>
      <c r="FT66" s="152"/>
      <c r="FU66" s="152"/>
      <c r="FV66" s="152"/>
      <c r="FW66" s="152"/>
      <c r="FX66" s="152"/>
      <c r="FY66" s="152"/>
      <c r="FZ66" s="152"/>
      <c r="GA66" s="153"/>
    </row>
    <row r="67" spans="1:183">
      <c r="A67" s="136" t="str">
        <f>IF(Briefing_FID!A67="","",Briefing_FID!A67)</f>
        <v/>
      </c>
      <c r="B67" s="137" t="str">
        <f>IF(Briefing_FID!B67="","",Briefing_FID!B67)</f>
        <v/>
      </c>
      <c r="C67" s="137" t="str">
        <f>IF(Briefing_FID!C67="","",Briefing_FID!C67)</f>
        <v/>
      </c>
      <c r="D67" s="46"/>
      <c r="E67" s="120"/>
      <c r="F67" s="117"/>
      <c r="G67" s="117"/>
      <c r="H67" s="72"/>
      <c r="I67" s="72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23"/>
      <c r="AD67" s="117"/>
      <c r="AE67" s="117"/>
      <c r="AF67" s="117"/>
      <c r="AG67" s="117"/>
      <c r="AH67" s="117"/>
      <c r="AI67" s="117"/>
      <c r="AJ67" s="117"/>
      <c r="AK67" s="117"/>
      <c r="AL67" s="124"/>
      <c r="AM67" s="37"/>
      <c r="AN67" s="38"/>
      <c r="AO67" s="39"/>
      <c r="AP67" s="111" t="str">
        <f>IF(Briefing_FID!AP67="","",Briefing_FID!AP67)</f>
        <v/>
      </c>
      <c r="AQ67" s="112" t="str">
        <f>IF(Briefing_FID!AQ67="","",Briefing_FID!AQ67)</f>
        <v/>
      </c>
      <c r="AR67" s="107" t="str">
        <f>IF(Briefing_FID!AR67="","",Briefing_FID!AR67)</f>
        <v/>
      </c>
      <c r="AS67" s="108" t="str">
        <f>IF(Briefing_FID!AS67="","",Briefing_FID!AS67)</f>
        <v/>
      </c>
      <c r="AT67" s="113" t="str">
        <f>IF(Briefing_FID!AT67="","",Briefing_FID!AT67)</f>
        <v/>
      </c>
      <c r="AU67" s="113" t="str">
        <f>IF(Briefing_FID!AU67="","",Briefing_FID!AU67)</f>
        <v/>
      </c>
      <c r="AV67" s="113" t="str">
        <f>IF(Briefing_FID!AV67="","",Briefing_FID!AV67)</f>
        <v/>
      </c>
      <c r="AW67" s="113" t="str">
        <f>IF(Briefing_FID!AW67="","",Briefing_FID!AW67)</f>
        <v/>
      </c>
      <c r="AX67" s="114" t="str">
        <f>IF(Briefing_FID!AX67="","",Briefing_FID!AX67)</f>
        <v/>
      </c>
      <c r="AY67" s="71"/>
      <c r="AZ67" s="117" t="str">
        <f>IF(Briefing_FID!AZ67="","",Briefing_FID!AZ67)</f>
        <v/>
      </c>
      <c r="BA67" s="118" t="str">
        <f>IF(Briefing_FID!BA67="","",Briefing_FID!BA67)</f>
        <v/>
      </c>
      <c r="BB67" s="55"/>
      <c r="BC67" s="102" t="str">
        <f>IF(Briefing_FID!BC67="","",Briefing_FID!BC67)</f>
        <v/>
      </c>
      <c r="BD67" s="27" t="str">
        <f>IF(Briefing_FID!BD67="","",Briefing_FID!BD67)</f>
        <v/>
      </c>
      <c r="BE67" s="100" t="str">
        <f>IF(Briefing_FID!BE67="","",Briefing_FID!BE67)</f>
        <v/>
      </c>
      <c r="BF67" s="3" t="str">
        <f>IF(Briefing_FID!BF67="","",Briefing_FID!BF67)</f>
        <v/>
      </c>
      <c r="BG67" s="10" t="str">
        <f>IF(Briefing_FID!BG67="","",Briefing_FID!BG67)</f>
        <v/>
      </c>
      <c r="BH67" s="100" t="str">
        <f>IF(Briefing_FID!BH67="","",Briefing_FID!BH67)</f>
        <v/>
      </c>
      <c r="BI67" s="3" t="str">
        <f>IF(Briefing_FID!BI67="","",Briefing_FID!BI67)</f>
        <v/>
      </c>
      <c r="BJ67" s="10" t="str">
        <f>IF(Briefing_FID!BJ67="","",Briefing_FID!BJ67)</f>
        <v/>
      </c>
      <c r="BK67" s="100" t="str">
        <f>IF(Briefing_FID!BK67="","",Briefing_FID!BK67)</f>
        <v/>
      </c>
      <c r="BL67" s="3" t="str">
        <f>IF(Briefing_FID!BL67="","",Briefing_FID!BL67)</f>
        <v/>
      </c>
      <c r="BM67" s="28" t="str">
        <f>IF(Briefing_FID!BM67="","",Briefing_FID!BM67)</f>
        <v/>
      </c>
      <c r="BN67" s="100" t="str">
        <f>IF(Briefing_FID!BN67="","",Briefing_FID!BN67)</f>
        <v/>
      </c>
      <c r="BO67" s="3" t="str">
        <f>IF(Briefing_FID!BO67="","",Briefing_FID!BO67)</f>
        <v/>
      </c>
      <c r="BP67" s="28" t="str">
        <f>IF(Briefing_FID!BP67="","",Briefing_FID!BP67)</f>
        <v/>
      </c>
      <c r="BQ67" s="100" t="str">
        <f>IF(Briefing_FID!BQ67="","",Briefing_FID!BQ67)</f>
        <v/>
      </c>
      <c r="BR67" s="3" t="str">
        <f>IF(Briefing_FID!BR67="","",Briefing_FID!BR67)</f>
        <v/>
      </c>
      <c r="BS67" s="28" t="str">
        <f>IF(Briefing_FID!BS67="","",Briefing_FID!BS67)</f>
        <v/>
      </c>
      <c r="BT67" s="100" t="str">
        <f>IF(Briefing_FID!BT67="","",Briefing_FID!BT67)</f>
        <v/>
      </c>
      <c r="BU67" s="3" t="str">
        <f>IF(Briefing_FID!BU67="","",Briefing_FID!BU67)</f>
        <v/>
      </c>
      <c r="BV67" s="28" t="str">
        <f>IF(Briefing_FID!BV67="","",Briefing_FID!BV67)</f>
        <v/>
      </c>
      <c r="BW67" s="100" t="str">
        <f>IF(Briefing_FID!BW67="","",Briefing_FID!BW67)</f>
        <v/>
      </c>
      <c r="BX67" s="3" t="str">
        <f>IF(Briefing_FID!BX67="","",Briefing_FID!BX67)</f>
        <v/>
      </c>
      <c r="BY67" s="28" t="str">
        <f>IF(Briefing_FID!BY67="","",Briefing_FID!BY67)</f>
        <v/>
      </c>
      <c r="BZ67" s="100" t="str">
        <f>IF(Briefing_FID!BZ67="","",Briefing_FID!BZ67)</f>
        <v/>
      </c>
      <c r="CA67" s="3" t="str">
        <f>IF(Briefing_FID!CA67="","",Briefing_FID!CA67)</f>
        <v/>
      </c>
      <c r="CB67" s="28" t="str">
        <f>IF(Briefing_FID!CB67="","",Briefing_FID!CB67)</f>
        <v/>
      </c>
      <c r="CC67" s="100" t="str">
        <f>IF(Briefing_FID!CC67="","",Briefing_FID!CC67)</f>
        <v/>
      </c>
      <c r="CD67" s="3" t="str">
        <f>IF(Briefing_FID!CD67="","",Briefing_FID!CD67)</f>
        <v/>
      </c>
      <c r="CE67" s="28" t="str">
        <f>IF(Briefing_FID!CE67="","",Briefing_FID!CE67)</f>
        <v/>
      </c>
      <c r="CF67" s="100" t="str">
        <f>IF(Briefing_FID!CF67="","",Briefing_FID!CF67)</f>
        <v/>
      </c>
      <c r="CG67" s="3" t="str">
        <f>IF(Briefing_FID!CG67="","",Briefing_FID!CG67)</f>
        <v/>
      </c>
      <c r="CH67" s="28" t="str">
        <f>IF(Briefing_FID!CH67="","",Briefing_FID!CH67)</f>
        <v/>
      </c>
      <c r="CI67" s="100" t="str">
        <f>IF(Briefing_FID!CI67="","",Briefing_FID!CI67)</f>
        <v/>
      </c>
      <c r="CJ67" s="3" t="str">
        <f>IF(Briefing_FID!CJ67="","",Briefing_FID!CJ67)</f>
        <v/>
      </c>
      <c r="CK67" s="28" t="str">
        <f>IF(Briefing_FID!CK67="","",Briefing_FID!CK67)</f>
        <v/>
      </c>
      <c r="CL67" s="100" t="str">
        <f>IF(Briefing_FID!CL67="","",Briefing_FID!CL67)</f>
        <v/>
      </c>
      <c r="CM67" s="3" t="str">
        <f>IF(Briefing_FID!CM67="","",Briefing_FID!CM67)</f>
        <v/>
      </c>
      <c r="CN67" s="28" t="str">
        <f>IF(Briefing_FID!CN67="","",Briefing_FID!CN67)</f>
        <v/>
      </c>
      <c r="CO67" s="100" t="str">
        <f>IF(Briefing_FID!CO67="","",Briefing_FID!CO67)</f>
        <v/>
      </c>
      <c r="CP67" s="3" t="str">
        <f>IF(Briefing_FID!CP67="","",Briefing_FID!CP67)</f>
        <v/>
      </c>
      <c r="CQ67" s="28" t="str">
        <f>IF(Briefing_FID!CQ67="","",Briefing_FID!CQ67)</f>
        <v/>
      </c>
      <c r="CR67" s="100" t="str">
        <f>IF(Briefing_FID!CR67="","",Briefing_FID!CR67)</f>
        <v/>
      </c>
      <c r="CS67" s="3" t="str">
        <f>IF(Briefing_FID!CS67="","",Briefing_FID!CS67)</f>
        <v/>
      </c>
      <c r="CT67" s="28" t="str">
        <f>IF(Briefing_FID!CT67="","",Briefing_FID!CT67)</f>
        <v/>
      </c>
      <c r="CU67" s="100" t="str">
        <f>IF(Briefing_FID!CU67="","",Briefing_FID!CU67)</f>
        <v/>
      </c>
      <c r="CV67" s="3" t="str">
        <f>IF(Briefing_FID!CV67="","",Briefing_FID!CV67)</f>
        <v/>
      </c>
      <c r="CW67" s="28" t="str">
        <f>IF(Briefing_FID!CW67="","",Briefing_FID!CW67)</f>
        <v/>
      </c>
      <c r="CX67" s="100" t="str">
        <f>IF(Briefing_FID!CX67="","",Briefing_FID!CX67)</f>
        <v/>
      </c>
      <c r="CY67" s="3" t="str">
        <f>IF(Briefing_FID!CY67="","",Briefing_FID!CY67)</f>
        <v/>
      </c>
      <c r="CZ67" s="28" t="str">
        <f>IF(Briefing_FID!CZ67="","",Briefing_FID!CZ67)</f>
        <v/>
      </c>
      <c r="DA67" s="100" t="str">
        <f>IF(Briefing_FID!DA67="","",Briefing_FID!DA67)</f>
        <v/>
      </c>
      <c r="DB67" s="3" t="str">
        <f>IF(Briefing_FID!DB67="","",Briefing_FID!DB67)</f>
        <v/>
      </c>
      <c r="DC67" s="28" t="str">
        <f>IF(Briefing_FID!DC67="","",Briefing_FID!DC67)</f>
        <v/>
      </c>
      <c r="DD67" s="100" t="str">
        <f>IF(Briefing_FID!DD67="","",Briefing_FID!DD67)</f>
        <v/>
      </c>
      <c r="DE67" s="3" t="str">
        <f>IF(Briefing_FID!DE67="","",Briefing_FID!DE67)</f>
        <v/>
      </c>
      <c r="DF67" s="28" t="str">
        <f>IF(Briefing_FID!DF67="","",Briefing_FID!DF67)</f>
        <v/>
      </c>
      <c r="DG67" s="100" t="str">
        <f>IF(Briefing_FID!DG67="","",Briefing_FID!DG67)</f>
        <v/>
      </c>
      <c r="DH67" s="3" t="str">
        <f>IF(Briefing_FID!DH67="","",Briefing_FID!DH67)</f>
        <v/>
      </c>
      <c r="DI67" s="28" t="str">
        <f>IF(Briefing_FID!DI67="","",Briefing_FID!DI67)</f>
        <v/>
      </c>
      <c r="DJ67" s="100" t="str">
        <f>IF(Briefing_FID!DJ67="","",Briefing_FID!DJ67)</f>
        <v/>
      </c>
      <c r="DK67" s="3" t="str">
        <f>IF(Briefing_FID!DK67="","",Briefing_FID!DK67)</f>
        <v/>
      </c>
      <c r="DL67" s="28" t="str">
        <f>IF(Briefing_FID!DL67="","",Briefing_FID!DL67)</f>
        <v/>
      </c>
      <c r="DM67" s="100" t="str">
        <f>IF(Briefing_FID!DM67="","",Briefing_FID!DM67)</f>
        <v/>
      </c>
      <c r="DN67" s="3" t="str">
        <f>IF(Briefing_FID!DN67="","",Briefing_FID!DN67)</f>
        <v/>
      </c>
      <c r="DO67" s="28" t="str">
        <f>IF(Briefing_FID!DO67="","",Briefing_FID!DO67)</f>
        <v/>
      </c>
      <c r="DP67" s="100" t="str">
        <f>IF(Briefing_FID!DP67="","",Briefing_FID!DP67)</f>
        <v/>
      </c>
      <c r="DQ67" s="3" t="str">
        <f>IF(Briefing_FID!DQ67="","",Briefing_FID!DQ67)</f>
        <v/>
      </c>
      <c r="DR67" s="28" t="str">
        <f>IF(Briefing_FID!DR67="","",Briefing_FID!DR67)</f>
        <v/>
      </c>
      <c r="DS67" s="100" t="str">
        <f>IF(Briefing_FID!DS67="","",Briefing_FID!DS67)</f>
        <v/>
      </c>
      <c r="DT67" s="3" t="str">
        <f>IF(Briefing_FID!DT67="","",Briefing_FID!DT67)</f>
        <v/>
      </c>
      <c r="DU67" s="28" t="str">
        <f>IF(Briefing_FID!DU67="","",Briefing_FID!DU67)</f>
        <v/>
      </c>
      <c r="DV67" s="100" t="str">
        <f>IF(Briefing_FID!DV67="","",Briefing_FID!DV67)</f>
        <v/>
      </c>
      <c r="DW67" s="3" t="str">
        <f>IF(Briefing_FID!DW67="","",Briefing_FID!DW67)</f>
        <v/>
      </c>
      <c r="DX67" s="28" t="str">
        <f>IF(Briefing_FID!DX67="","",Briefing_FID!DX67)</f>
        <v/>
      </c>
      <c r="DY67" s="100" t="str">
        <f>IF(Briefing_FID!DY67="","",Briefing_FID!DY67)</f>
        <v/>
      </c>
      <c r="DZ67" s="3" t="str">
        <f>IF(Briefing_FID!DZ67="","",Briefing_FID!DZ67)</f>
        <v/>
      </c>
      <c r="EA67" s="28" t="str">
        <f>IF(Briefing_FID!EA67="","",Briefing_FID!EA67)</f>
        <v/>
      </c>
      <c r="EB67" s="100" t="str">
        <f>IF(Briefing_FID!EB67="","",Briefing_FID!EB67)</f>
        <v/>
      </c>
      <c r="EC67" s="3" t="str">
        <f>IF(Briefing_FID!EC67="","",Briefing_FID!EC67)</f>
        <v/>
      </c>
      <c r="ED67" s="28" t="str">
        <f>IF(Briefing_FID!ED67="","",Briefing_FID!ED67)</f>
        <v/>
      </c>
      <c r="EE67" s="100" t="str">
        <f>IF(Briefing_FID!EE67="","",Briefing_FID!EE67)</f>
        <v/>
      </c>
      <c r="EF67" s="3" t="str">
        <f>IF(Briefing_FID!EF67="","",Briefing_FID!EF67)</f>
        <v/>
      </c>
      <c r="EG67" s="28" t="str">
        <f>IF(Briefing_FID!EG67="","",Briefing_FID!EG67)</f>
        <v/>
      </c>
      <c r="EH67" s="100" t="str">
        <f>IF(Briefing_FID!EH67="","",Briefing_FID!EH67)</f>
        <v/>
      </c>
      <c r="EI67" s="3" t="str">
        <f>IF(Briefing_FID!EI67="","",Briefing_FID!EI67)</f>
        <v/>
      </c>
      <c r="EJ67" s="28" t="str">
        <f>IF(Briefing_FID!EJ67="","",Briefing_FID!EJ67)</f>
        <v/>
      </c>
      <c r="EK67" s="100" t="str">
        <f>IF(Briefing_FID!EK67="","",Briefing_FID!EK67)</f>
        <v/>
      </c>
      <c r="EL67" s="3" t="str">
        <f>IF(Briefing_FID!EL67="","",Briefing_FID!EL67)</f>
        <v/>
      </c>
      <c r="EM67" s="28" t="str">
        <f>IF(Briefing_FID!EM67="","",Briefing_FID!EM67)</f>
        <v/>
      </c>
      <c r="EN67" s="100" t="str">
        <f>IF(Briefing_FID!EN67="","",Briefing_FID!EN67)</f>
        <v/>
      </c>
      <c r="EO67" s="3" t="str">
        <f>IF(Briefing_FID!EO67="","",Briefing_FID!EO67)</f>
        <v/>
      </c>
      <c r="EP67" s="28" t="str">
        <f>IF(Briefing_FID!EP67="","",Briefing_FID!EP67)</f>
        <v/>
      </c>
      <c r="EQ67" s="28" t="str">
        <f>IF(Briefing_FID!EQ67="","",Briefing_FID!EQ67)</f>
        <v/>
      </c>
      <c r="ER67" s="28" t="str">
        <f>IF(Briefing_FID!ER67="","",Briefing_FID!ER67)</f>
        <v/>
      </c>
      <c r="ES67" s="62"/>
      <c r="ET67" s="96" t="str">
        <f>IF(Briefing_FID!EZ67="","",Briefing_FID!EZ67)</f>
        <v/>
      </c>
      <c r="EU67" s="97" t="str">
        <f>IF(Briefing_FID!FA67="","",Briefing_FID!FA67)</f>
        <v/>
      </c>
      <c r="EV67" s="98" t="str">
        <f>IF(Briefing_FID!FB67="","",Briefing_FID!FB67)</f>
        <v/>
      </c>
      <c r="EW67" s="96" t="str">
        <f>IF(Briefing_FID!FC67="","",Briefing_FID!FC67)</f>
        <v/>
      </c>
      <c r="EX67" s="97" t="str">
        <f>IF(Briefing_FID!FD67="","",Briefing_FID!FD67)</f>
        <v/>
      </c>
      <c r="EY67" s="98" t="str">
        <f>IF(Briefing_FID!FE67="","",Briefing_FID!FE67)</f>
        <v/>
      </c>
      <c r="EZ67" s="104" t="str">
        <f>IF(Briefing_FID!FF67="","",Briefing_FID!FF67)</f>
        <v/>
      </c>
      <c r="FA67" s="144" t="str">
        <f>IF(Briefing_FID!FG67="","",Briefing_FID!FG67)</f>
        <v/>
      </c>
      <c r="FB67" s="144" t="str">
        <f>IF(Briefing_FID!FH67="","",Briefing_FID!FH67)</f>
        <v/>
      </c>
      <c r="FC67" s="144" t="str">
        <f>IF(Briefing_FID!FI67="","",Briefing_FID!FI67)</f>
        <v/>
      </c>
      <c r="FD67" s="144" t="str">
        <f>IF(Briefing_FID!FJ67="","",Briefing_FID!FJ67)</f>
        <v/>
      </c>
      <c r="FE67" s="144" t="str">
        <f>IF(Briefing_FID!FK67="","",Briefing_FID!FK67)</f>
        <v/>
      </c>
      <c r="FF67" s="144" t="str">
        <f>IF(Briefing_FID!FL67="","",Briefing_FID!FL67)</f>
        <v/>
      </c>
      <c r="FG67" s="144" t="str">
        <f>IF(Briefing_FID!FM67="","",Briefing_FID!FM67)</f>
        <v/>
      </c>
      <c r="FH67" s="144" t="str">
        <f>IF(Briefing_FID!FN67="","",Briefing_FID!FN67)</f>
        <v/>
      </c>
      <c r="FI67" s="144" t="str">
        <f>IF(Briefing_FID!FO67="","",Briefing_FID!FO67)</f>
        <v/>
      </c>
      <c r="FJ67" s="144" t="str">
        <f>IF(Briefing_FID!FP67="","",Briefing_FID!FP67)</f>
        <v/>
      </c>
      <c r="FK67" s="144" t="str">
        <f>IF(Briefing_FID!FQ67="","",Briefing_FID!FQ67)</f>
        <v/>
      </c>
      <c r="FL67" s="144" t="str">
        <f>IF(Briefing_FID!FR67="","",Briefing_FID!FR67)</f>
        <v/>
      </c>
      <c r="FM67" s="144" t="str">
        <f>IF(Briefing_FID!FS67="","",Briefing_FID!FS67)</f>
        <v/>
      </c>
      <c r="FN67" s="144" t="str">
        <f>IF(Briefing_FID!FT67="","",Briefing_FID!FT67)</f>
        <v/>
      </c>
      <c r="FO67" s="144" t="str">
        <f>IF(Briefing_FID!FU67="","",Briefing_FID!FU67)</f>
        <v/>
      </c>
      <c r="FP67" s="144" t="str">
        <f>IF(Briefing_FID!FV67="","",Briefing_FID!FV67)</f>
        <v/>
      </c>
      <c r="FQ67" s="144" t="str">
        <f>IF(Briefing_FID!FW67="","",Briefing_FID!FW67)</f>
        <v/>
      </c>
      <c r="FR67" s="151"/>
      <c r="FS67" s="152"/>
      <c r="FT67" s="152"/>
      <c r="FU67" s="152"/>
      <c r="FV67" s="152"/>
      <c r="FW67" s="152"/>
      <c r="FX67" s="152"/>
      <c r="FY67" s="152"/>
      <c r="FZ67" s="152"/>
      <c r="GA67" s="153"/>
    </row>
    <row r="68" spans="1:183">
      <c r="A68" s="136" t="str">
        <f>IF(Briefing_FID!A68="","",Briefing_FID!A68)</f>
        <v/>
      </c>
      <c r="B68" s="137" t="str">
        <f>IF(Briefing_FID!B68="","",Briefing_FID!B68)</f>
        <v/>
      </c>
      <c r="C68" s="137" t="str">
        <f>IF(Briefing_FID!C68="","",Briefing_FID!C68)</f>
        <v/>
      </c>
      <c r="D68" s="46"/>
      <c r="E68" s="120"/>
      <c r="F68" s="117"/>
      <c r="G68" s="117"/>
      <c r="H68" s="72"/>
      <c r="I68" s="72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23"/>
      <c r="AD68" s="117"/>
      <c r="AE68" s="117"/>
      <c r="AF68" s="117"/>
      <c r="AG68" s="117"/>
      <c r="AH68" s="117"/>
      <c r="AI68" s="117"/>
      <c r="AJ68" s="117"/>
      <c r="AK68" s="117"/>
      <c r="AL68" s="124"/>
      <c r="AM68" s="37"/>
      <c r="AN68" s="38"/>
      <c r="AO68" s="39"/>
      <c r="AP68" s="111" t="str">
        <f>IF(Briefing_FID!AP68="","",Briefing_FID!AP68)</f>
        <v/>
      </c>
      <c r="AQ68" s="112" t="str">
        <f>IF(Briefing_FID!AQ68="","",Briefing_FID!AQ68)</f>
        <v/>
      </c>
      <c r="AR68" s="107" t="str">
        <f>IF(Briefing_FID!AR68="","",Briefing_FID!AR68)</f>
        <v/>
      </c>
      <c r="AS68" s="108" t="str">
        <f>IF(Briefing_FID!AS68="","",Briefing_FID!AS68)</f>
        <v/>
      </c>
      <c r="AT68" s="113" t="str">
        <f>IF(Briefing_FID!AT68="","",Briefing_FID!AT68)</f>
        <v/>
      </c>
      <c r="AU68" s="113" t="str">
        <f>IF(Briefing_FID!AU68="","",Briefing_FID!AU68)</f>
        <v/>
      </c>
      <c r="AV68" s="113" t="str">
        <f>IF(Briefing_FID!AV68="","",Briefing_FID!AV68)</f>
        <v/>
      </c>
      <c r="AW68" s="113" t="str">
        <f>IF(Briefing_FID!AW68="","",Briefing_FID!AW68)</f>
        <v/>
      </c>
      <c r="AX68" s="114" t="str">
        <f>IF(Briefing_FID!AX68="","",Briefing_FID!AX68)</f>
        <v/>
      </c>
      <c r="AY68" s="71"/>
      <c r="AZ68" s="117" t="str">
        <f>IF(Briefing_FID!AZ68="","",Briefing_FID!AZ68)</f>
        <v/>
      </c>
      <c r="BA68" s="118" t="str">
        <f>IF(Briefing_FID!BA68="","",Briefing_FID!BA68)</f>
        <v/>
      </c>
      <c r="BB68" s="55"/>
      <c r="BC68" s="102" t="str">
        <f>IF(Briefing_FID!BC68="","",Briefing_FID!BC68)</f>
        <v/>
      </c>
      <c r="BD68" s="27" t="str">
        <f>IF(Briefing_FID!BD68="","",Briefing_FID!BD68)</f>
        <v/>
      </c>
      <c r="BE68" s="100" t="str">
        <f>IF(Briefing_FID!BE68="","",Briefing_FID!BE68)</f>
        <v/>
      </c>
      <c r="BF68" s="3" t="str">
        <f>IF(Briefing_FID!BF68="","",Briefing_FID!BF68)</f>
        <v/>
      </c>
      <c r="BG68" s="10" t="str">
        <f>IF(Briefing_FID!BG68="","",Briefing_FID!BG68)</f>
        <v/>
      </c>
      <c r="BH68" s="100" t="str">
        <f>IF(Briefing_FID!BH68="","",Briefing_FID!BH68)</f>
        <v/>
      </c>
      <c r="BI68" s="3" t="str">
        <f>IF(Briefing_FID!BI68="","",Briefing_FID!BI68)</f>
        <v/>
      </c>
      <c r="BJ68" s="10" t="str">
        <f>IF(Briefing_FID!BJ68="","",Briefing_FID!BJ68)</f>
        <v/>
      </c>
      <c r="BK68" s="100" t="str">
        <f>IF(Briefing_FID!BK68="","",Briefing_FID!BK68)</f>
        <v/>
      </c>
      <c r="BL68" s="3" t="str">
        <f>IF(Briefing_FID!BL68="","",Briefing_FID!BL68)</f>
        <v/>
      </c>
      <c r="BM68" s="28" t="str">
        <f>IF(Briefing_FID!BM68="","",Briefing_FID!BM68)</f>
        <v/>
      </c>
      <c r="BN68" s="100" t="str">
        <f>IF(Briefing_FID!BN68="","",Briefing_FID!BN68)</f>
        <v/>
      </c>
      <c r="BO68" s="3" t="str">
        <f>IF(Briefing_FID!BO68="","",Briefing_FID!BO68)</f>
        <v/>
      </c>
      <c r="BP68" s="28" t="str">
        <f>IF(Briefing_FID!BP68="","",Briefing_FID!BP68)</f>
        <v/>
      </c>
      <c r="BQ68" s="100" t="str">
        <f>IF(Briefing_FID!BQ68="","",Briefing_FID!BQ68)</f>
        <v/>
      </c>
      <c r="BR68" s="3" t="str">
        <f>IF(Briefing_FID!BR68="","",Briefing_FID!BR68)</f>
        <v/>
      </c>
      <c r="BS68" s="28" t="str">
        <f>IF(Briefing_FID!BS68="","",Briefing_FID!BS68)</f>
        <v/>
      </c>
      <c r="BT68" s="100" t="str">
        <f>IF(Briefing_FID!BT68="","",Briefing_FID!BT68)</f>
        <v/>
      </c>
      <c r="BU68" s="3" t="str">
        <f>IF(Briefing_FID!BU68="","",Briefing_FID!BU68)</f>
        <v/>
      </c>
      <c r="BV68" s="28" t="str">
        <f>IF(Briefing_FID!BV68="","",Briefing_FID!BV68)</f>
        <v/>
      </c>
      <c r="BW68" s="100" t="str">
        <f>IF(Briefing_FID!BW68="","",Briefing_FID!BW68)</f>
        <v/>
      </c>
      <c r="BX68" s="3" t="str">
        <f>IF(Briefing_FID!BX68="","",Briefing_FID!BX68)</f>
        <v/>
      </c>
      <c r="BY68" s="28" t="str">
        <f>IF(Briefing_FID!BY68="","",Briefing_FID!BY68)</f>
        <v/>
      </c>
      <c r="BZ68" s="100" t="str">
        <f>IF(Briefing_FID!BZ68="","",Briefing_FID!BZ68)</f>
        <v/>
      </c>
      <c r="CA68" s="3" t="str">
        <f>IF(Briefing_FID!CA68="","",Briefing_FID!CA68)</f>
        <v/>
      </c>
      <c r="CB68" s="28" t="str">
        <f>IF(Briefing_FID!CB68="","",Briefing_FID!CB68)</f>
        <v/>
      </c>
      <c r="CC68" s="100" t="str">
        <f>IF(Briefing_FID!CC68="","",Briefing_FID!CC68)</f>
        <v/>
      </c>
      <c r="CD68" s="3" t="str">
        <f>IF(Briefing_FID!CD68="","",Briefing_FID!CD68)</f>
        <v/>
      </c>
      <c r="CE68" s="28" t="str">
        <f>IF(Briefing_FID!CE68="","",Briefing_FID!CE68)</f>
        <v/>
      </c>
      <c r="CF68" s="100" t="str">
        <f>IF(Briefing_FID!CF68="","",Briefing_FID!CF68)</f>
        <v/>
      </c>
      <c r="CG68" s="3" t="str">
        <f>IF(Briefing_FID!CG68="","",Briefing_FID!CG68)</f>
        <v/>
      </c>
      <c r="CH68" s="28" t="str">
        <f>IF(Briefing_FID!CH68="","",Briefing_FID!CH68)</f>
        <v/>
      </c>
      <c r="CI68" s="100" t="str">
        <f>IF(Briefing_FID!CI68="","",Briefing_FID!CI68)</f>
        <v/>
      </c>
      <c r="CJ68" s="3" t="str">
        <f>IF(Briefing_FID!CJ68="","",Briefing_FID!CJ68)</f>
        <v/>
      </c>
      <c r="CK68" s="28" t="str">
        <f>IF(Briefing_FID!CK68="","",Briefing_FID!CK68)</f>
        <v/>
      </c>
      <c r="CL68" s="100" t="str">
        <f>IF(Briefing_FID!CL68="","",Briefing_FID!CL68)</f>
        <v/>
      </c>
      <c r="CM68" s="3" t="str">
        <f>IF(Briefing_FID!CM68="","",Briefing_FID!CM68)</f>
        <v/>
      </c>
      <c r="CN68" s="28" t="str">
        <f>IF(Briefing_FID!CN68="","",Briefing_FID!CN68)</f>
        <v/>
      </c>
      <c r="CO68" s="100" t="str">
        <f>IF(Briefing_FID!CO68="","",Briefing_FID!CO68)</f>
        <v/>
      </c>
      <c r="CP68" s="3" t="str">
        <f>IF(Briefing_FID!CP68="","",Briefing_FID!CP68)</f>
        <v/>
      </c>
      <c r="CQ68" s="28" t="str">
        <f>IF(Briefing_FID!CQ68="","",Briefing_FID!CQ68)</f>
        <v/>
      </c>
      <c r="CR68" s="100" t="str">
        <f>IF(Briefing_FID!CR68="","",Briefing_FID!CR68)</f>
        <v/>
      </c>
      <c r="CS68" s="3" t="str">
        <f>IF(Briefing_FID!CS68="","",Briefing_FID!CS68)</f>
        <v/>
      </c>
      <c r="CT68" s="28" t="str">
        <f>IF(Briefing_FID!CT68="","",Briefing_FID!CT68)</f>
        <v/>
      </c>
      <c r="CU68" s="100" t="str">
        <f>IF(Briefing_FID!CU68="","",Briefing_FID!CU68)</f>
        <v/>
      </c>
      <c r="CV68" s="3" t="str">
        <f>IF(Briefing_FID!CV68="","",Briefing_FID!CV68)</f>
        <v/>
      </c>
      <c r="CW68" s="28" t="str">
        <f>IF(Briefing_FID!CW68="","",Briefing_FID!CW68)</f>
        <v/>
      </c>
      <c r="CX68" s="100" t="str">
        <f>IF(Briefing_FID!CX68="","",Briefing_FID!CX68)</f>
        <v/>
      </c>
      <c r="CY68" s="3" t="str">
        <f>IF(Briefing_FID!CY68="","",Briefing_FID!CY68)</f>
        <v/>
      </c>
      <c r="CZ68" s="28" t="str">
        <f>IF(Briefing_FID!CZ68="","",Briefing_FID!CZ68)</f>
        <v/>
      </c>
      <c r="DA68" s="100" t="str">
        <f>IF(Briefing_FID!DA68="","",Briefing_FID!DA68)</f>
        <v/>
      </c>
      <c r="DB68" s="3" t="str">
        <f>IF(Briefing_FID!DB68="","",Briefing_FID!DB68)</f>
        <v/>
      </c>
      <c r="DC68" s="28" t="str">
        <f>IF(Briefing_FID!DC68="","",Briefing_FID!DC68)</f>
        <v/>
      </c>
      <c r="DD68" s="100" t="str">
        <f>IF(Briefing_FID!DD68="","",Briefing_FID!DD68)</f>
        <v/>
      </c>
      <c r="DE68" s="3" t="str">
        <f>IF(Briefing_FID!DE68="","",Briefing_FID!DE68)</f>
        <v/>
      </c>
      <c r="DF68" s="28" t="str">
        <f>IF(Briefing_FID!DF68="","",Briefing_FID!DF68)</f>
        <v/>
      </c>
      <c r="DG68" s="100" t="str">
        <f>IF(Briefing_FID!DG68="","",Briefing_FID!DG68)</f>
        <v/>
      </c>
      <c r="DH68" s="3" t="str">
        <f>IF(Briefing_FID!DH68="","",Briefing_FID!DH68)</f>
        <v/>
      </c>
      <c r="DI68" s="28" t="str">
        <f>IF(Briefing_FID!DI68="","",Briefing_FID!DI68)</f>
        <v/>
      </c>
      <c r="DJ68" s="100" t="str">
        <f>IF(Briefing_FID!DJ68="","",Briefing_FID!DJ68)</f>
        <v/>
      </c>
      <c r="DK68" s="3" t="str">
        <f>IF(Briefing_FID!DK68="","",Briefing_FID!DK68)</f>
        <v/>
      </c>
      <c r="DL68" s="28" t="str">
        <f>IF(Briefing_FID!DL68="","",Briefing_FID!DL68)</f>
        <v/>
      </c>
      <c r="DM68" s="100" t="str">
        <f>IF(Briefing_FID!DM68="","",Briefing_FID!DM68)</f>
        <v/>
      </c>
      <c r="DN68" s="3" t="str">
        <f>IF(Briefing_FID!DN68="","",Briefing_FID!DN68)</f>
        <v/>
      </c>
      <c r="DO68" s="28" t="str">
        <f>IF(Briefing_FID!DO68="","",Briefing_FID!DO68)</f>
        <v/>
      </c>
      <c r="DP68" s="100" t="str">
        <f>IF(Briefing_FID!DP68="","",Briefing_FID!DP68)</f>
        <v/>
      </c>
      <c r="DQ68" s="3" t="str">
        <f>IF(Briefing_FID!DQ68="","",Briefing_FID!DQ68)</f>
        <v/>
      </c>
      <c r="DR68" s="28" t="str">
        <f>IF(Briefing_FID!DR68="","",Briefing_FID!DR68)</f>
        <v/>
      </c>
      <c r="DS68" s="100" t="str">
        <f>IF(Briefing_FID!DS68="","",Briefing_FID!DS68)</f>
        <v/>
      </c>
      <c r="DT68" s="3" t="str">
        <f>IF(Briefing_FID!DT68="","",Briefing_FID!DT68)</f>
        <v/>
      </c>
      <c r="DU68" s="28" t="str">
        <f>IF(Briefing_FID!DU68="","",Briefing_FID!DU68)</f>
        <v/>
      </c>
      <c r="DV68" s="100" t="str">
        <f>IF(Briefing_FID!DV68="","",Briefing_FID!DV68)</f>
        <v/>
      </c>
      <c r="DW68" s="3" t="str">
        <f>IF(Briefing_FID!DW68="","",Briefing_FID!DW68)</f>
        <v/>
      </c>
      <c r="DX68" s="28" t="str">
        <f>IF(Briefing_FID!DX68="","",Briefing_FID!DX68)</f>
        <v/>
      </c>
      <c r="DY68" s="100" t="str">
        <f>IF(Briefing_FID!DY68="","",Briefing_FID!DY68)</f>
        <v/>
      </c>
      <c r="DZ68" s="3" t="str">
        <f>IF(Briefing_FID!DZ68="","",Briefing_FID!DZ68)</f>
        <v/>
      </c>
      <c r="EA68" s="28" t="str">
        <f>IF(Briefing_FID!EA68="","",Briefing_FID!EA68)</f>
        <v/>
      </c>
      <c r="EB68" s="100" t="str">
        <f>IF(Briefing_FID!EB68="","",Briefing_FID!EB68)</f>
        <v/>
      </c>
      <c r="EC68" s="3" t="str">
        <f>IF(Briefing_FID!EC68="","",Briefing_FID!EC68)</f>
        <v/>
      </c>
      <c r="ED68" s="28" t="str">
        <f>IF(Briefing_FID!ED68="","",Briefing_FID!ED68)</f>
        <v/>
      </c>
      <c r="EE68" s="100" t="str">
        <f>IF(Briefing_FID!EE68="","",Briefing_FID!EE68)</f>
        <v/>
      </c>
      <c r="EF68" s="3" t="str">
        <f>IF(Briefing_FID!EF68="","",Briefing_FID!EF68)</f>
        <v/>
      </c>
      <c r="EG68" s="28" t="str">
        <f>IF(Briefing_FID!EG68="","",Briefing_FID!EG68)</f>
        <v/>
      </c>
      <c r="EH68" s="100" t="str">
        <f>IF(Briefing_FID!EH68="","",Briefing_FID!EH68)</f>
        <v/>
      </c>
      <c r="EI68" s="3" t="str">
        <f>IF(Briefing_FID!EI68="","",Briefing_FID!EI68)</f>
        <v/>
      </c>
      <c r="EJ68" s="28" t="str">
        <f>IF(Briefing_FID!EJ68="","",Briefing_FID!EJ68)</f>
        <v/>
      </c>
      <c r="EK68" s="100" t="str">
        <f>IF(Briefing_FID!EK68="","",Briefing_FID!EK68)</f>
        <v/>
      </c>
      <c r="EL68" s="3" t="str">
        <f>IF(Briefing_FID!EL68="","",Briefing_FID!EL68)</f>
        <v/>
      </c>
      <c r="EM68" s="28" t="str">
        <f>IF(Briefing_FID!EM68="","",Briefing_FID!EM68)</f>
        <v/>
      </c>
      <c r="EN68" s="100" t="str">
        <f>IF(Briefing_FID!EN68="","",Briefing_FID!EN68)</f>
        <v/>
      </c>
      <c r="EO68" s="3" t="str">
        <f>IF(Briefing_FID!EO68="","",Briefing_FID!EO68)</f>
        <v/>
      </c>
      <c r="EP68" s="28" t="str">
        <f>IF(Briefing_FID!EP68="","",Briefing_FID!EP68)</f>
        <v/>
      </c>
      <c r="EQ68" s="28" t="str">
        <f>IF(Briefing_FID!EQ68="","",Briefing_FID!EQ68)</f>
        <v/>
      </c>
      <c r="ER68" s="28" t="str">
        <f>IF(Briefing_FID!ER68="","",Briefing_FID!ER68)</f>
        <v/>
      </c>
      <c r="ES68" s="62"/>
      <c r="ET68" s="96" t="str">
        <f>IF(Briefing_FID!EZ68="","",Briefing_FID!EZ68)</f>
        <v/>
      </c>
      <c r="EU68" s="97" t="str">
        <f>IF(Briefing_FID!FA68="","",Briefing_FID!FA68)</f>
        <v/>
      </c>
      <c r="EV68" s="98" t="str">
        <f>IF(Briefing_FID!FB68="","",Briefing_FID!FB68)</f>
        <v/>
      </c>
      <c r="EW68" s="96" t="str">
        <f>IF(Briefing_FID!FC68="","",Briefing_FID!FC68)</f>
        <v/>
      </c>
      <c r="EX68" s="97" t="str">
        <f>IF(Briefing_FID!FD68="","",Briefing_FID!FD68)</f>
        <v/>
      </c>
      <c r="EY68" s="98" t="str">
        <f>IF(Briefing_FID!FE68="","",Briefing_FID!FE68)</f>
        <v/>
      </c>
      <c r="EZ68" s="104" t="str">
        <f>IF(Briefing_FID!FF68="","",Briefing_FID!FF68)</f>
        <v/>
      </c>
      <c r="FA68" s="144" t="str">
        <f>IF(Briefing_FID!FG68="","",Briefing_FID!FG68)</f>
        <v/>
      </c>
      <c r="FB68" s="144" t="str">
        <f>IF(Briefing_FID!FH68="","",Briefing_FID!FH68)</f>
        <v/>
      </c>
      <c r="FC68" s="144" t="str">
        <f>IF(Briefing_FID!FI68="","",Briefing_FID!FI68)</f>
        <v/>
      </c>
      <c r="FD68" s="144" t="str">
        <f>IF(Briefing_FID!FJ68="","",Briefing_FID!FJ68)</f>
        <v/>
      </c>
      <c r="FE68" s="144" t="str">
        <f>IF(Briefing_FID!FK68="","",Briefing_FID!FK68)</f>
        <v/>
      </c>
      <c r="FF68" s="144" t="str">
        <f>IF(Briefing_FID!FL68="","",Briefing_FID!FL68)</f>
        <v/>
      </c>
      <c r="FG68" s="144" t="str">
        <f>IF(Briefing_FID!FM68="","",Briefing_FID!FM68)</f>
        <v/>
      </c>
      <c r="FH68" s="144" t="str">
        <f>IF(Briefing_FID!FN68="","",Briefing_FID!FN68)</f>
        <v/>
      </c>
      <c r="FI68" s="144" t="str">
        <f>IF(Briefing_FID!FO68="","",Briefing_FID!FO68)</f>
        <v/>
      </c>
      <c r="FJ68" s="144" t="str">
        <f>IF(Briefing_FID!FP68="","",Briefing_FID!FP68)</f>
        <v/>
      </c>
      <c r="FK68" s="144" t="str">
        <f>IF(Briefing_FID!FQ68="","",Briefing_FID!FQ68)</f>
        <v/>
      </c>
      <c r="FL68" s="144" t="str">
        <f>IF(Briefing_FID!FR68="","",Briefing_FID!FR68)</f>
        <v/>
      </c>
      <c r="FM68" s="144" t="str">
        <f>IF(Briefing_FID!FS68="","",Briefing_FID!FS68)</f>
        <v/>
      </c>
      <c r="FN68" s="144" t="str">
        <f>IF(Briefing_FID!FT68="","",Briefing_FID!FT68)</f>
        <v/>
      </c>
      <c r="FO68" s="144" t="str">
        <f>IF(Briefing_FID!FU68="","",Briefing_FID!FU68)</f>
        <v/>
      </c>
      <c r="FP68" s="144" t="str">
        <f>IF(Briefing_FID!FV68="","",Briefing_FID!FV68)</f>
        <v/>
      </c>
      <c r="FQ68" s="144" t="str">
        <f>IF(Briefing_FID!FW68="","",Briefing_FID!FW68)</f>
        <v/>
      </c>
      <c r="FR68" s="151"/>
      <c r="FS68" s="152"/>
      <c r="FT68" s="152"/>
      <c r="FU68" s="152"/>
      <c r="FV68" s="152"/>
      <c r="FW68" s="152"/>
      <c r="FX68" s="152"/>
      <c r="FY68" s="152"/>
      <c r="FZ68" s="152"/>
      <c r="GA68" s="153"/>
    </row>
    <row r="69" spans="1:183">
      <c r="A69" s="136" t="str">
        <f>IF(Briefing_FID!A69="","",Briefing_FID!A69)</f>
        <v/>
      </c>
      <c r="B69" s="137" t="str">
        <f>IF(Briefing_FID!B69="","",Briefing_FID!B69)</f>
        <v/>
      </c>
      <c r="C69" s="137" t="str">
        <f>IF(Briefing_FID!C69="","",Briefing_FID!C69)</f>
        <v/>
      </c>
      <c r="D69" s="46"/>
      <c r="E69" s="120"/>
      <c r="F69" s="117"/>
      <c r="G69" s="117"/>
      <c r="H69" s="72"/>
      <c r="I69" s="72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23"/>
      <c r="AD69" s="117"/>
      <c r="AE69" s="117"/>
      <c r="AF69" s="117"/>
      <c r="AG69" s="117"/>
      <c r="AH69" s="117"/>
      <c r="AI69" s="117"/>
      <c r="AJ69" s="117"/>
      <c r="AK69" s="117"/>
      <c r="AL69" s="124"/>
      <c r="AM69" s="37"/>
      <c r="AN69" s="38"/>
      <c r="AO69" s="39"/>
      <c r="AP69" s="111" t="str">
        <f>IF(Briefing_FID!AP69="","",Briefing_FID!AP69)</f>
        <v/>
      </c>
      <c r="AQ69" s="112" t="str">
        <f>IF(Briefing_FID!AQ69="","",Briefing_FID!AQ69)</f>
        <v/>
      </c>
      <c r="AR69" s="107" t="str">
        <f>IF(Briefing_FID!AR69="","",Briefing_FID!AR69)</f>
        <v/>
      </c>
      <c r="AS69" s="108" t="str">
        <f>IF(Briefing_FID!AS69="","",Briefing_FID!AS69)</f>
        <v/>
      </c>
      <c r="AT69" s="113" t="str">
        <f>IF(Briefing_FID!AT69="","",Briefing_FID!AT69)</f>
        <v/>
      </c>
      <c r="AU69" s="113" t="str">
        <f>IF(Briefing_FID!AU69="","",Briefing_FID!AU69)</f>
        <v/>
      </c>
      <c r="AV69" s="113" t="str">
        <f>IF(Briefing_FID!AV69="","",Briefing_FID!AV69)</f>
        <v/>
      </c>
      <c r="AW69" s="113" t="str">
        <f>IF(Briefing_FID!AW69="","",Briefing_FID!AW69)</f>
        <v/>
      </c>
      <c r="AX69" s="114" t="str">
        <f>IF(Briefing_FID!AX69="","",Briefing_FID!AX69)</f>
        <v/>
      </c>
      <c r="AY69" s="71"/>
      <c r="AZ69" s="117" t="str">
        <f>IF(Briefing_FID!AZ69="","",Briefing_FID!AZ69)</f>
        <v/>
      </c>
      <c r="BA69" s="118" t="str">
        <f>IF(Briefing_FID!BA69="","",Briefing_FID!BA69)</f>
        <v/>
      </c>
      <c r="BB69" s="55"/>
      <c r="BC69" s="102" t="str">
        <f>IF(Briefing_FID!BC69="","",Briefing_FID!BC69)</f>
        <v/>
      </c>
      <c r="BD69" s="27" t="str">
        <f>IF(Briefing_FID!BD69="","",Briefing_FID!BD69)</f>
        <v/>
      </c>
      <c r="BE69" s="100" t="str">
        <f>IF(Briefing_FID!BE69="","",Briefing_FID!BE69)</f>
        <v/>
      </c>
      <c r="BF69" s="3" t="str">
        <f>IF(Briefing_FID!BF69="","",Briefing_FID!BF69)</f>
        <v/>
      </c>
      <c r="BG69" s="10" t="str">
        <f>IF(Briefing_FID!BG69="","",Briefing_FID!BG69)</f>
        <v/>
      </c>
      <c r="BH69" s="100" t="str">
        <f>IF(Briefing_FID!BH69="","",Briefing_FID!BH69)</f>
        <v/>
      </c>
      <c r="BI69" s="3" t="str">
        <f>IF(Briefing_FID!BI69="","",Briefing_FID!BI69)</f>
        <v/>
      </c>
      <c r="BJ69" s="10" t="str">
        <f>IF(Briefing_FID!BJ69="","",Briefing_FID!BJ69)</f>
        <v/>
      </c>
      <c r="BK69" s="100" t="str">
        <f>IF(Briefing_FID!BK69="","",Briefing_FID!BK69)</f>
        <v/>
      </c>
      <c r="BL69" s="3" t="str">
        <f>IF(Briefing_FID!BL69="","",Briefing_FID!BL69)</f>
        <v/>
      </c>
      <c r="BM69" s="28" t="str">
        <f>IF(Briefing_FID!BM69="","",Briefing_FID!BM69)</f>
        <v/>
      </c>
      <c r="BN69" s="100" t="str">
        <f>IF(Briefing_FID!BN69="","",Briefing_FID!BN69)</f>
        <v/>
      </c>
      <c r="BO69" s="3" t="str">
        <f>IF(Briefing_FID!BO69="","",Briefing_FID!BO69)</f>
        <v/>
      </c>
      <c r="BP69" s="28" t="str">
        <f>IF(Briefing_FID!BP69="","",Briefing_FID!BP69)</f>
        <v/>
      </c>
      <c r="BQ69" s="100" t="str">
        <f>IF(Briefing_FID!BQ69="","",Briefing_FID!BQ69)</f>
        <v/>
      </c>
      <c r="BR69" s="3" t="str">
        <f>IF(Briefing_FID!BR69="","",Briefing_FID!BR69)</f>
        <v/>
      </c>
      <c r="BS69" s="28" t="str">
        <f>IF(Briefing_FID!BS69="","",Briefing_FID!BS69)</f>
        <v/>
      </c>
      <c r="BT69" s="100" t="str">
        <f>IF(Briefing_FID!BT69="","",Briefing_FID!BT69)</f>
        <v/>
      </c>
      <c r="BU69" s="3" t="str">
        <f>IF(Briefing_FID!BU69="","",Briefing_FID!BU69)</f>
        <v/>
      </c>
      <c r="BV69" s="28" t="str">
        <f>IF(Briefing_FID!BV69="","",Briefing_FID!BV69)</f>
        <v/>
      </c>
      <c r="BW69" s="100" t="str">
        <f>IF(Briefing_FID!BW69="","",Briefing_FID!BW69)</f>
        <v/>
      </c>
      <c r="BX69" s="3" t="str">
        <f>IF(Briefing_FID!BX69="","",Briefing_FID!BX69)</f>
        <v/>
      </c>
      <c r="BY69" s="28" t="str">
        <f>IF(Briefing_FID!BY69="","",Briefing_FID!BY69)</f>
        <v/>
      </c>
      <c r="BZ69" s="100" t="str">
        <f>IF(Briefing_FID!BZ69="","",Briefing_FID!BZ69)</f>
        <v/>
      </c>
      <c r="CA69" s="3" t="str">
        <f>IF(Briefing_FID!CA69="","",Briefing_FID!CA69)</f>
        <v/>
      </c>
      <c r="CB69" s="28" t="str">
        <f>IF(Briefing_FID!CB69="","",Briefing_FID!CB69)</f>
        <v/>
      </c>
      <c r="CC69" s="100" t="str">
        <f>IF(Briefing_FID!CC69="","",Briefing_FID!CC69)</f>
        <v/>
      </c>
      <c r="CD69" s="3" t="str">
        <f>IF(Briefing_FID!CD69="","",Briefing_FID!CD69)</f>
        <v/>
      </c>
      <c r="CE69" s="28" t="str">
        <f>IF(Briefing_FID!CE69="","",Briefing_FID!CE69)</f>
        <v/>
      </c>
      <c r="CF69" s="100" t="str">
        <f>IF(Briefing_FID!CF69="","",Briefing_FID!CF69)</f>
        <v/>
      </c>
      <c r="CG69" s="3" t="str">
        <f>IF(Briefing_FID!CG69="","",Briefing_FID!CG69)</f>
        <v/>
      </c>
      <c r="CH69" s="28" t="str">
        <f>IF(Briefing_FID!CH69="","",Briefing_FID!CH69)</f>
        <v/>
      </c>
      <c r="CI69" s="100" t="str">
        <f>IF(Briefing_FID!CI69="","",Briefing_FID!CI69)</f>
        <v/>
      </c>
      <c r="CJ69" s="3" t="str">
        <f>IF(Briefing_FID!CJ69="","",Briefing_FID!CJ69)</f>
        <v/>
      </c>
      <c r="CK69" s="28" t="str">
        <f>IF(Briefing_FID!CK69="","",Briefing_FID!CK69)</f>
        <v/>
      </c>
      <c r="CL69" s="100" t="str">
        <f>IF(Briefing_FID!CL69="","",Briefing_FID!CL69)</f>
        <v/>
      </c>
      <c r="CM69" s="3" t="str">
        <f>IF(Briefing_FID!CM69="","",Briefing_FID!CM69)</f>
        <v/>
      </c>
      <c r="CN69" s="28" t="str">
        <f>IF(Briefing_FID!CN69="","",Briefing_FID!CN69)</f>
        <v/>
      </c>
      <c r="CO69" s="100" t="str">
        <f>IF(Briefing_FID!CO69="","",Briefing_FID!CO69)</f>
        <v/>
      </c>
      <c r="CP69" s="3" t="str">
        <f>IF(Briefing_FID!CP69="","",Briefing_FID!CP69)</f>
        <v/>
      </c>
      <c r="CQ69" s="28" t="str">
        <f>IF(Briefing_FID!CQ69="","",Briefing_FID!CQ69)</f>
        <v/>
      </c>
      <c r="CR69" s="100" t="str">
        <f>IF(Briefing_FID!CR69="","",Briefing_FID!CR69)</f>
        <v/>
      </c>
      <c r="CS69" s="3" t="str">
        <f>IF(Briefing_FID!CS69="","",Briefing_FID!CS69)</f>
        <v/>
      </c>
      <c r="CT69" s="28" t="str">
        <f>IF(Briefing_FID!CT69="","",Briefing_FID!CT69)</f>
        <v/>
      </c>
      <c r="CU69" s="100" t="str">
        <f>IF(Briefing_FID!CU69="","",Briefing_FID!CU69)</f>
        <v/>
      </c>
      <c r="CV69" s="3" t="str">
        <f>IF(Briefing_FID!CV69="","",Briefing_FID!CV69)</f>
        <v/>
      </c>
      <c r="CW69" s="28" t="str">
        <f>IF(Briefing_FID!CW69="","",Briefing_FID!CW69)</f>
        <v/>
      </c>
      <c r="CX69" s="100" t="str">
        <f>IF(Briefing_FID!CX69="","",Briefing_FID!CX69)</f>
        <v/>
      </c>
      <c r="CY69" s="3" t="str">
        <f>IF(Briefing_FID!CY69="","",Briefing_FID!CY69)</f>
        <v/>
      </c>
      <c r="CZ69" s="28" t="str">
        <f>IF(Briefing_FID!CZ69="","",Briefing_FID!CZ69)</f>
        <v/>
      </c>
      <c r="DA69" s="100" t="str">
        <f>IF(Briefing_FID!DA69="","",Briefing_FID!DA69)</f>
        <v/>
      </c>
      <c r="DB69" s="3" t="str">
        <f>IF(Briefing_FID!DB69="","",Briefing_FID!DB69)</f>
        <v/>
      </c>
      <c r="DC69" s="28" t="str">
        <f>IF(Briefing_FID!DC69="","",Briefing_FID!DC69)</f>
        <v/>
      </c>
      <c r="DD69" s="100" t="str">
        <f>IF(Briefing_FID!DD69="","",Briefing_FID!DD69)</f>
        <v/>
      </c>
      <c r="DE69" s="3" t="str">
        <f>IF(Briefing_FID!DE69="","",Briefing_FID!DE69)</f>
        <v/>
      </c>
      <c r="DF69" s="28" t="str">
        <f>IF(Briefing_FID!DF69="","",Briefing_FID!DF69)</f>
        <v/>
      </c>
      <c r="DG69" s="100" t="str">
        <f>IF(Briefing_FID!DG69="","",Briefing_FID!DG69)</f>
        <v/>
      </c>
      <c r="DH69" s="3" t="str">
        <f>IF(Briefing_FID!DH69="","",Briefing_FID!DH69)</f>
        <v/>
      </c>
      <c r="DI69" s="28" t="str">
        <f>IF(Briefing_FID!DI69="","",Briefing_FID!DI69)</f>
        <v/>
      </c>
      <c r="DJ69" s="100" t="str">
        <f>IF(Briefing_FID!DJ69="","",Briefing_FID!DJ69)</f>
        <v/>
      </c>
      <c r="DK69" s="3" t="str">
        <f>IF(Briefing_FID!DK69="","",Briefing_FID!DK69)</f>
        <v/>
      </c>
      <c r="DL69" s="28" t="str">
        <f>IF(Briefing_FID!DL69="","",Briefing_FID!DL69)</f>
        <v/>
      </c>
      <c r="DM69" s="100" t="str">
        <f>IF(Briefing_FID!DM69="","",Briefing_FID!DM69)</f>
        <v/>
      </c>
      <c r="DN69" s="3" t="str">
        <f>IF(Briefing_FID!DN69="","",Briefing_FID!DN69)</f>
        <v/>
      </c>
      <c r="DO69" s="28" t="str">
        <f>IF(Briefing_FID!DO69="","",Briefing_FID!DO69)</f>
        <v/>
      </c>
      <c r="DP69" s="100" t="str">
        <f>IF(Briefing_FID!DP69="","",Briefing_FID!DP69)</f>
        <v/>
      </c>
      <c r="DQ69" s="3" t="str">
        <f>IF(Briefing_FID!DQ69="","",Briefing_FID!DQ69)</f>
        <v/>
      </c>
      <c r="DR69" s="28" t="str">
        <f>IF(Briefing_FID!DR69="","",Briefing_FID!DR69)</f>
        <v/>
      </c>
      <c r="DS69" s="100" t="str">
        <f>IF(Briefing_FID!DS69="","",Briefing_FID!DS69)</f>
        <v/>
      </c>
      <c r="DT69" s="3" t="str">
        <f>IF(Briefing_FID!DT69="","",Briefing_FID!DT69)</f>
        <v/>
      </c>
      <c r="DU69" s="28" t="str">
        <f>IF(Briefing_FID!DU69="","",Briefing_FID!DU69)</f>
        <v/>
      </c>
      <c r="DV69" s="100" t="str">
        <f>IF(Briefing_FID!DV69="","",Briefing_FID!DV69)</f>
        <v/>
      </c>
      <c r="DW69" s="3" t="str">
        <f>IF(Briefing_FID!DW69="","",Briefing_FID!DW69)</f>
        <v/>
      </c>
      <c r="DX69" s="28" t="str">
        <f>IF(Briefing_FID!DX69="","",Briefing_FID!DX69)</f>
        <v/>
      </c>
      <c r="DY69" s="100" t="str">
        <f>IF(Briefing_FID!DY69="","",Briefing_FID!DY69)</f>
        <v/>
      </c>
      <c r="DZ69" s="3" t="str">
        <f>IF(Briefing_FID!DZ69="","",Briefing_FID!DZ69)</f>
        <v/>
      </c>
      <c r="EA69" s="28" t="str">
        <f>IF(Briefing_FID!EA69="","",Briefing_FID!EA69)</f>
        <v/>
      </c>
      <c r="EB69" s="100" t="str">
        <f>IF(Briefing_FID!EB69="","",Briefing_FID!EB69)</f>
        <v/>
      </c>
      <c r="EC69" s="3" t="str">
        <f>IF(Briefing_FID!EC69="","",Briefing_FID!EC69)</f>
        <v/>
      </c>
      <c r="ED69" s="28" t="str">
        <f>IF(Briefing_FID!ED69="","",Briefing_FID!ED69)</f>
        <v/>
      </c>
      <c r="EE69" s="100" t="str">
        <f>IF(Briefing_FID!EE69="","",Briefing_FID!EE69)</f>
        <v/>
      </c>
      <c r="EF69" s="3" t="str">
        <f>IF(Briefing_FID!EF69="","",Briefing_FID!EF69)</f>
        <v/>
      </c>
      <c r="EG69" s="28" t="str">
        <f>IF(Briefing_FID!EG69="","",Briefing_FID!EG69)</f>
        <v/>
      </c>
      <c r="EH69" s="100" t="str">
        <f>IF(Briefing_FID!EH69="","",Briefing_FID!EH69)</f>
        <v/>
      </c>
      <c r="EI69" s="3" t="str">
        <f>IF(Briefing_FID!EI69="","",Briefing_FID!EI69)</f>
        <v/>
      </c>
      <c r="EJ69" s="28" t="str">
        <f>IF(Briefing_FID!EJ69="","",Briefing_FID!EJ69)</f>
        <v/>
      </c>
      <c r="EK69" s="100" t="str">
        <f>IF(Briefing_FID!EK69="","",Briefing_FID!EK69)</f>
        <v/>
      </c>
      <c r="EL69" s="3" t="str">
        <f>IF(Briefing_FID!EL69="","",Briefing_FID!EL69)</f>
        <v/>
      </c>
      <c r="EM69" s="28" t="str">
        <f>IF(Briefing_FID!EM69="","",Briefing_FID!EM69)</f>
        <v/>
      </c>
      <c r="EN69" s="100" t="str">
        <f>IF(Briefing_FID!EN69="","",Briefing_FID!EN69)</f>
        <v/>
      </c>
      <c r="EO69" s="3" t="str">
        <f>IF(Briefing_FID!EO69="","",Briefing_FID!EO69)</f>
        <v/>
      </c>
      <c r="EP69" s="28" t="str">
        <f>IF(Briefing_FID!EP69="","",Briefing_FID!EP69)</f>
        <v/>
      </c>
      <c r="EQ69" s="28" t="str">
        <f>IF(Briefing_FID!EQ69="","",Briefing_FID!EQ69)</f>
        <v/>
      </c>
      <c r="ER69" s="28" t="str">
        <f>IF(Briefing_FID!ER69="","",Briefing_FID!ER69)</f>
        <v/>
      </c>
      <c r="ES69" s="62"/>
      <c r="ET69" s="96" t="str">
        <f>IF(Briefing_FID!EZ69="","",Briefing_FID!EZ69)</f>
        <v/>
      </c>
      <c r="EU69" s="97" t="str">
        <f>IF(Briefing_FID!FA69="","",Briefing_FID!FA69)</f>
        <v/>
      </c>
      <c r="EV69" s="98" t="str">
        <f>IF(Briefing_FID!FB69="","",Briefing_FID!FB69)</f>
        <v/>
      </c>
      <c r="EW69" s="96" t="str">
        <f>IF(Briefing_FID!FC69="","",Briefing_FID!FC69)</f>
        <v/>
      </c>
      <c r="EX69" s="97" t="str">
        <f>IF(Briefing_FID!FD69="","",Briefing_FID!FD69)</f>
        <v/>
      </c>
      <c r="EY69" s="98" t="str">
        <f>IF(Briefing_FID!FE69="","",Briefing_FID!FE69)</f>
        <v/>
      </c>
      <c r="EZ69" s="104" t="str">
        <f>IF(Briefing_FID!FF69="","",Briefing_FID!FF69)</f>
        <v/>
      </c>
      <c r="FA69" s="144" t="str">
        <f>IF(Briefing_FID!FG69="","",Briefing_FID!FG69)</f>
        <v/>
      </c>
      <c r="FB69" s="144" t="str">
        <f>IF(Briefing_FID!FH69="","",Briefing_FID!FH69)</f>
        <v/>
      </c>
      <c r="FC69" s="144" t="str">
        <f>IF(Briefing_FID!FI69="","",Briefing_FID!FI69)</f>
        <v/>
      </c>
      <c r="FD69" s="144" t="str">
        <f>IF(Briefing_FID!FJ69="","",Briefing_FID!FJ69)</f>
        <v/>
      </c>
      <c r="FE69" s="144" t="str">
        <f>IF(Briefing_FID!FK69="","",Briefing_FID!FK69)</f>
        <v/>
      </c>
      <c r="FF69" s="144" t="str">
        <f>IF(Briefing_FID!FL69="","",Briefing_FID!FL69)</f>
        <v/>
      </c>
      <c r="FG69" s="144" t="str">
        <f>IF(Briefing_FID!FM69="","",Briefing_FID!FM69)</f>
        <v/>
      </c>
      <c r="FH69" s="144" t="str">
        <f>IF(Briefing_FID!FN69="","",Briefing_FID!FN69)</f>
        <v/>
      </c>
      <c r="FI69" s="144" t="str">
        <f>IF(Briefing_FID!FO69="","",Briefing_FID!FO69)</f>
        <v/>
      </c>
      <c r="FJ69" s="144" t="str">
        <f>IF(Briefing_FID!FP69="","",Briefing_FID!FP69)</f>
        <v/>
      </c>
      <c r="FK69" s="144" t="str">
        <f>IF(Briefing_FID!FQ69="","",Briefing_FID!FQ69)</f>
        <v/>
      </c>
      <c r="FL69" s="144" t="str">
        <f>IF(Briefing_FID!FR69="","",Briefing_FID!FR69)</f>
        <v/>
      </c>
      <c r="FM69" s="144" t="str">
        <f>IF(Briefing_FID!FS69="","",Briefing_FID!FS69)</f>
        <v/>
      </c>
      <c r="FN69" s="144" t="str">
        <f>IF(Briefing_FID!FT69="","",Briefing_FID!FT69)</f>
        <v/>
      </c>
      <c r="FO69" s="144" t="str">
        <f>IF(Briefing_FID!FU69="","",Briefing_FID!FU69)</f>
        <v/>
      </c>
      <c r="FP69" s="144" t="str">
        <f>IF(Briefing_FID!FV69="","",Briefing_FID!FV69)</f>
        <v/>
      </c>
      <c r="FQ69" s="144" t="str">
        <f>IF(Briefing_FID!FW69="","",Briefing_FID!FW69)</f>
        <v/>
      </c>
      <c r="FR69" s="151"/>
      <c r="FS69" s="152"/>
      <c r="FT69" s="152"/>
      <c r="FU69" s="152"/>
      <c r="FV69" s="152"/>
      <c r="FW69" s="152"/>
      <c r="FX69" s="152"/>
      <c r="FY69" s="152"/>
      <c r="FZ69" s="152"/>
      <c r="GA69" s="153"/>
    </row>
    <row r="70" spans="1:183">
      <c r="A70" s="136" t="str">
        <f>IF(Briefing_FID!A70="","",Briefing_FID!A70)</f>
        <v/>
      </c>
      <c r="B70" s="137" t="str">
        <f>IF(Briefing_FID!B70="","",Briefing_FID!B70)</f>
        <v/>
      </c>
      <c r="C70" s="137" t="str">
        <f>IF(Briefing_FID!C70="","",Briefing_FID!C70)</f>
        <v/>
      </c>
      <c r="D70" s="46"/>
      <c r="E70" s="120"/>
      <c r="F70" s="117"/>
      <c r="G70" s="117"/>
      <c r="H70" s="72"/>
      <c r="I70" s="72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23"/>
      <c r="AD70" s="117"/>
      <c r="AE70" s="117"/>
      <c r="AF70" s="117"/>
      <c r="AG70" s="117"/>
      <c r="AH70" s="117"/>
      <c r="AI70" s="117"/>
      <c r="AJ70" s="117"/>
      <c r="AK70" s="117"/>
      <c r="AL70" s="124"/>
      <c r="AM70" s="37"/>
      <c r="AN70" s="38"/>
      <c r="AO70" s="39"/>
      <c r="AP70" s="111" t="str">
        <f>IF(Briefing_FID!AP70="","",Briefing_FID!AP70)</f>
        <v/>
      </c>
      <c r="AQ70" s="112" t="str">
        <f>IF(Briefing_FID!AQ70="","",Briefing_FID!AQ70)</f>
        <v/>
      </c>
      <c r="AR70" s="107" t="str">
        <f>IF(Briefing_FID!AR70="","",Briefing_FID!AR70)</f>
        <v/>
      </c>
      <c r="AS70" s="108" t="str">
        <f>IF(Briefing_FID!AS70="","",Briefing_FID!AS70)</f>
        <v/>
      </c>
      <c r="AT70" s="113" t="str">
        <f>IF(Briefing_FID!AT70="","",Briefing_FID!AT70)</f>
        <v/>
      </c>
      <c r="AU70" s="113" t="str">
        <f>IF(Briefing_FID!AU70="","",Briefing_FID!AU70)</f>
        <v/>
      </c>
      <c r="AV70" s="113" t="str">
        <f>IF(Briefing_FID!AV70="","",Briefing_FID!AV70)</f>
        <v/>
      </c>
      <c r="AW70" s="113" t="str">
        <f>IF(Briefing_FID!AW70="","",Briefing_FID!AW70)</f>
        <v/>
      </c>
      <c r="AX70" s="114" t="str">
        <f>IF(Briefing_FID!AX70="","",Briefing_FID!AX70)</f>
        <v/>
      </c>
      <c r="AY70" s="71"/>
      <c r="AZ70" s="117" t="str">
        <f>IF(Briefing_FID!AZ70="","",Briefing_FID!AZ70)</f>
        <v/>
      </c>
      <c r="BA70" s="118" t="str">
        <f>IF(Briefing_FID!BA70="","",Briefing_FID!BA70)</f>
        <v/>
      </c>
      <c r="BB70" s="55"/>
      <c r="BC70" s="102" t="str">
        <f>IF(Briefing_FID!BC70="","",Briefing_FID!BC70)</f>
        <v/>
      </c>
      <c r="BD70" s="27" t="str">
        <f>IF(Briefing_FID!BD70="","",Briefing_FID!BD70)</f>
        <v/>
      </c>
      <c r="BE70" s="100" t="str">
        <f>IF(Briefing_FID!BE70="","",Briefing_FID!BE70)</f>
        <v/>
      </c>
      <c r="BF70" s="3" t="str">
        <f>IF(Briefing_FID!BF70="","",Briefing_FID!BF70)</f>
        <v/>
      </c>
      <c r="BG70" s="10" t="str">
        <f>IF(Briefing_FID!BG70="","",Briefing_FID!BG70)</f>
        <v/>
      </c>
      <c r="BH70" s="100" t="str">
        <f>IF(Briefing_FID!BH70="","",Briefing_FID!BH70)</f>
        <v/>
      </c>
      <c r="BI70" s="3" t="str">
        <f>IF(Briefing_FID!BI70="","",Briefing_FID!BI70)</f>
        <v/>
      </c>
      <c r="BJ70" s="10" t="str">
        <f>IF(Briefing_FID!BJ70="","",Briefing_FID!BJ70)</f>
        <v/>
      </c>
      <c r="BK70" s="100" t="str">
        <f>IF(Briefing_FID!BK70="","",Briefing_FID!BK70)</f>
        <v/>
      </c>
      <c r="BL70" s="3" t="str">
        <f>IF(Briefing_FID!BL70="","",Briefing_FID!BL70)</f>
        <v/>
      </c>
      <c r="BM70" s="28" t="str">
        <f>IF(Briefing_FID!BM70="","",Briefing_FID!BM70)</f>
        <v/>
      </c>
      <c r="BN70" s="100" t="str">
        <f>IF(Briefing_FID!BN70="","",Briefing_FID!BN70)</f>
        <v/>
      </c>
      <c r="BO70" s="3" t="str">
        <f>IF(Briefing_FID!BO70="","",Briefing_FID!BO70)</f>
        <v/>
      </c>
      <c r="BP70" s="28" t="str">
        <f>IF(Briefing_FID!BP70="","",Briefing_FID!BP70)</f>
        <v/>
      </c>
      <c r="BQ70" s="100" t="str">
        <f>IF(Briefing_FID!BQ70="","",Briefing_FID!BQ70)</f>
        <v/>
      </c>
      <c r="BR70" s="3" t="str">
        <f>IF(Briefing_FID!BR70="","",Briefing_FID!BR70)</f>
        <v/>
      </c>
      <c r="BS70" s="28" t="str">
        <f>IF(Briefing_FID!BS70="","",Briefing_FID!BS70)</f>
        <v/>
      </c>
      <c r="BT70" s="100" t="str">
        <f>IF(Briefing_FID!BT70="","",Briefing_FID!BT70)</f>
        <v/>
      </c>
      <c r="BU70" s="3" t="str">
        <f>IF(Briefing_FID!BU70="","",Briefing_FID!BU70)</f>
        <v/>
      </c>
      <c r="BV70" s="28" t="str">
        <f>IF(Briefing_FID!BV70="","",Briefing_FID!BV70)</f>
        <v/>
      </c>
      <c r="BW70" s="100" t="str">
        <f>IF(Briefing_FID!BW70="","",Briefing_FID!BW70)</f>
        <v/>
      </c>
      <c r="BX70" s="3" t="str">
        <f>IF(Briefing_FID!BX70="","",Briefing_FID!BX70)</f>
        <v/>
      </c>
      <c r="BY70" s="28" t="str">
        <f>IF(Briefing_FID!BY70="","",Briefing_FID!BY70)</f>
        <v/>
      </c>
      <c r="BZ70" s="100" t="str">
        <f>IF(Briefing_FID!BZ70="","",Briefing_FID!BZ70)</f>
        <v/>
      </c>
      <c r="CA70" s="3" t="str">
        <f>IF(Briefing_FID!CA70="","",Briefing_FID!CA70)</f>
        <v/>
      </c>
      <c r="CB70" s="28" t="str">
        <f>IF(Briefing_FID!CB70="","",Briefing_FID!CB70)</f>
        <v/>
      </c>
      <c r="CC70" s="100" t="str">
        <f>IF(Briefing_FID!CC70="","",Briefing_FID!CC70)</f>
        <v/>
      </c>
      <c r="CD70" s="3" t="str">
        <f>IF(Briefing_FID!CD70="","",Briefing_FID!CD70)</f>
        <v/>
      </c>
      <c r="CE70" s="28" t="str">
        <f>IF(Briefing_FID!CE70="","",Briefing_FID!CE70)</f>
        <v/>
      </c>
      <c r="CF70" s="100" t="str">
        <f>IF(Briefing_FID!CF70="","",Briefing_FID!CF70)</f>
        <v/>
      </c>
      <c r="CG70" s="3" t="str">
        <f>IF(Briefing_FID!CG70="","",Briefing_FID!CG70)</f>
        <v/>
      </c>
      <c r="CH70" s="28" t="str">
        <f>IF(Briefing_FID!CH70="","",Briefing_FID!CH70)</f>
        <v/>
      </c>
      <c r="CI70" s="100" t="str">
        <f>IF(Briefing_FID!CI70="","",Briefing_FID!CI70)</f>
        <v/>
      </c>
      <c r="CJ70" s="3" t="str">
        <f>IF(Briefing_FID!CJ70="","",Briefing_FID!CJ70)</f>
        <v/>
      </c>
      <c r="CK70" s="28" t="str">
        <f>IF(Briefing_FID!CK70="","",Briefing_FID!CK70)</f>
        <v/>
      </c>
      <c r="CL70" s="100" t="str">
        <f>IF(Briefing_FID!CL70="","",Briefing_FID!CL70)</f>
        <v/>
      </c>
      <c r="CM70" s="3" t="str">
        <f>IF(Briefing_FID!CM70="","",Briefing_FID!CM70)</f>
        <v/>
      </c>
      <c r="CN70" s="28" t="str">
        <f>IF(Briefing_FID!CN70="","",Briefing_FID!CN70)</f>
        <v/>
      </c>
      <c r="CO70" s="100" t="str">
        <f>IF(Briefing_FID!CO70="","",Briefing_FID!CO70)</f>
        <v/>
      </c>
      <c r="CP70" s="3" t="str">
        <f>IF(Briefing_FID!CP70="","",Briefing_FID!CP70)</f>
        <v/>
      </c>
      <c r="CQ70" s="28" t="str">
        <f>IF(Briefing_FID!CQ70="","",Briefing_FID!CQ70)</f>
        <v/>
      </c>
      <c r="CR70" s="100" t="str">
        <f>IF(Briefing_FID!CR70="","",Briefing_FID!CR70)</f>
        <v/>
      </c>
      <c r="CS70" s="3" t="str">
        <f>IF(Briefing_FID!CS70="","",Briefing_FID!CS70)</f>
        <v/>
      </c>
      <c r="CT70" s="28" t="str">
        <f>IF(Briefing_FID!CT70="","",Briefing_FID!CT70)</f>
        <v/>
      </c>
      <c r="CU70" s="100" t="str">
        <f>IF(Briefing_FID!CU70="","",Briefing_FID!CU70)</f>
        <v/>
      </c>
      <c r="CV70" s="3" t="str">
        <f>IF(Briefing_FID!CV70="","",Briefing_FID!CV70)</f>
        <v/>
      </c>
      <c r="CW70" s="28" t="str">
        <f>IF(Briefing_FID!CW70="","",Briefing_FID!CW70)</f>
        <v/>
      </c>
      <c r="CX70" s="100" t="str">
        <f>IF(Briefing_FID!CX70="","",Briefing_FID!CX70)</f>
        <v/>
      </c>
      <c r="CY70" s="3" t="str">
        <f>IF(Briefing_FID!CY70="","",Briefing_FID!CY70)</f>
        <v/>
      </c>
      <c r="CZ70" s="28" t="str">
        <f>IF(Briefing_FID!CZ70="","",Briefing_FID!CZ70)</f>
        <v/>
      </c>
      <c r="DA70" s="100" t="str">
        <f>IF(Briefing_FID!DA70="","",Briefing_FID!DA70)</f>
        <v/>
      </c>
      <c r="DB70" s="3" t="str">
        <f>IF(Briefing_FID!DB70="","",Briefing_FID!DB70)</f>
        <v/>
      </c>
      <c r="DC70" s="28" t="str">
        <f>IF(Briefing_FID!DC70="","",Briefing_FID!DC70)</f>
        <v/>
      </c>
      <c r="DD70" s="100" t="str">
        <f>IF(Briefing_FID!DD70="","",Briefing_FID!DD70)</f>
        <v/>
      </c>
      <c r="DE70" s="3" t="str">
        <f>IF(Briefing_FID!DE70="","",Briefing_FID!DE70)</f>
        <v/>
      </c>
      <c r="DF70" s="28" t="str">
        <f>IF(Briefing_FID!DF70="","",Briefing_FID!DF70)</f>
        <v/>
      </c>
      <c r="DG70" s="100" t="str">
        <f>IF(Briefing_FID!DG70="","",Briefing_FID!DG70)</f>
        <v/>
      </c>
      <c r="DH70" s="3" t="str">
        <f>IF(Briefing_FID!DH70="","",Briefing_FID!DH70)</f>
        <v/>
      </c>
      <c r="DI70" s="28" t="str">
        <f>IF(Briefing_FID!DI70="","",Briefing_FID!DI70)</f>
        <v/>
      </c>
      <c r="DJ70" s="100" t="str">
        <f>IF(Briefing_FID!DJ70="","",Briefing_FID!DJ70)</f>
        <v/>
      </c>
      <c r="DK70" s="3" t="str">
        <f>IF(Briefing_FID!DK70="","",Briefing_FID!DK70)</f>
        <v/>
      </c>
      <c r="DL70" s="28" t="str">
        <f>IF(Briefing_FID!DL70="","",Briefing_FID!DL70)</f>
        <v/>
      </c>
      <c r="DM70" s="100" t="str">
        <f>IF(Briefing_FID!DM70="","",Briefing_FID!DM70)</f>
        <v/>
      </c>
      <c r="DN70" s="3" t="str">
        <f>IF(Briefing_FID!DN70="","",Briefing_FID!DN70)</f>
        <v/>
      </c>
      <c r="DO70" s="28" t="str">
        <f>IF(Briefing_FID!DO70="","",Briefing_FID!DO70)</f>
        <v/>
      </c>
      <c r="DP70" s="100" t="str">
        <f>IF(Briefing_FID!DP70="","",Briefing_FID!DP70)</f>
        <v/>
      </c>
      <c r="DQ70" s="3" t="str">
        <f>IF(Briefing_FID!DQ70="","",Briefing_FID!DQ70)</f>
        <v/>
      </c>
      <c r="DR70" s="28" t="str">
        <f>IF(Briefing_FID!DR70="","",Briefing_FID!DR70)</f>
        <v/>
      </c>
      <c r="DS70" s="100" t="str">
        <f>IF(Briefing_FID!DS70="","",Briefing_FID!DS70)</f>
        <v/>
      </c>
      <c r="DT70" s="3" t="str">
        <f>IF(Briefing_FID!DT70="","",Briefing_FID!DT70)</f>
        <v/>
      </c>
      <c r="DU70" s="28" t="str">
        <f>IF(Briefing_FID!DU70="","",Briefing_FID!DU70)</f>
        <v/>
      </c>
      <c r="DV70" s="100" t="str">
        <f>IF(Briefing_FID!DV70="","",Briefing_FID!DV70)</f>
        <v/>
      </c>
      <c r="DW70" s="3" t="str">
        <f>IF(Briefing_FID!DW70="","",Briefing_FID!DW70)</f>
        <v/>
      </c>
      <c r="DX70" s="28" t="str">
        <f>IF(Briefing_FID!DX70="","",Briefing_FID!DX70)</f>
        <v/>
      </c>
      <c r="DY70" s="100" t="str">
        <f>IF(Briefing_FID!DY70="","",Briefing_FID!DY70)</f>
        <v/>
      </c>
      <c r="DZ70" s="3" t="str">
        <f>IF(Briefing_FID!DZ70="","",Briefing_FID!DZ70)</f>
        <v/>
      </c>
      <c r="EA70" s="28" t="str">
        <f>IF(Briefing_FID!EA70="","",Briefing_FID!EA70)</f>
        <v/>
      </c>
      <c r="EB70" s="100" t="str">
        <f>IF(Briefing_FID!EB70="","",Briefing_FID!EB70)</f>
        <v/>
      </c>
      <c r="EC70" s="3" t="str">
        <f>IF(Briefing_FID!EC70="","",Briefing_FID!EC70)</f>
        <v/>
      </c>
      <c r="ED70" s="28" t="str">
        <f>IF(Briefing_FID!ED70="","",Briefing_FID!ED70)</f>
        <v/>
      </c>
      <c r="EE70" s="100" t="str">
        <f>IF(Briefing_FID!EE70="","",Briefing_FID!EE70)</f>
        <v/>
      </c>
      <c r="EF70" s="3" t="str">
        <f>IF(Briefing_FID!EF70="","",Briefing_FID!EF70)</f>
        <v/>
      </c>
      <c r="EG70" s="28" t="str">
        <f>IF(Briefing_FID!EG70="","",Briefing_FID!EG70)</f>
        <v/>
      </c>
      <c r="EH70" s="100" t="str">
        <f>IF(Briefing_FID!EH70="","",Briefing_FID!EH70)</f>
        <v/>
      </c>
      <c r="EI70" s="3" t="str">
        <f>IF(Briefing_FID!EI70="","",Briefing_FID!EI70)</f>
        <v/>
      </c>
      <c r="EJ70" s="28" t="str">
        <f>IF(Briefing_FID!EJ70="","",Briefing_FID!EJ70)</f>
        <v/>
      </c>
      <c r="EK70" s="100" t="str">
        <f>IF(Briefing_FID!EK70="","",Briefing_FID!EK70)</f>
        <v/>
      </c>
      <c r="EL70" s="3" t="str">
        <f>IF(Briefing_FID!EL70="","",Briefing_FID!EL70)</f>
        <v/>
      </c>
      <c r="EM70" s="28" t="str">
        <f>IF(Briefing_FID!EM70="","",Briefing_FID!EM70)</f>
        <v/>
      </c>
      <c r="EN70" s="100" t="str">
        <f>IF(Briefing_FID!EN70="","",Briefing_FID!EN70)</f>
        <v/>
      </c>
      <c r="EO70" s="3" t="str">
        <f>IF(Briefing_FID!EO70="","",Briefing_FID!EO70)</f>
        <v/>
      </c>
      <c r="EP70" s="28" t="str">
        <f>IF(Briefing_FID!EP70="","",Briefing_FID!EP70)</f>
        <v/>
      </c>
      <c r="EQ70" s="28" t="str">
        <f>IF(Briefing_FID!EQ70="","",Briefing_FID!EQ70)</f>
        <v/>
      </c>
      <c r="ER70" s="28" t="str">
        <f>IF(Briefing_FID!ER70="","",Briefing_FID!ER70)</f>
        <v/>
      </c>
      <c r="ES70" s="62"/>
      <c r="ET70" s="96" t="str">
        <f>IF(Briefing_FID!EZ70="","",Briefing_FID!EZ70)</f>
        <v/>
      </c>
      <c r="EU70" s="97" t="str">
        <f>IF(Briefing_FID!FA70="","",Briefing_FID!FA70)</f>
        <v/>
      </c>
      <c r="EV70" s="98" t="str">
        <f>IF(Briefing_FID!FB70="","",Briefing_FID!FB70)</f>
        <v/>
      </c>
      <c r="EW70" s="96" t="str">
        <f>IF(Briefing_FID!FC70="","",Briefing_FID!FC70)</f>
        <v/>
      </c>
      <c r="EX70" s="97" t="str">
        <f>IF(Briefing_FID!FD70="","",Briefing_FID!FD70)</f>
        <v/>
      </c>
      <c r="EY70" s="98" t="str">
        <f>IF(Briefing_FID!FE70="","",Briefing_FID!FE70)</f>
        <v/>
      </c>
      <c r="EZ70" s="104" t="str">
        <f>IF(Briefing_FID!FF70="","",Briefing_FID!FF70)</f>
        <v/>
      </c>
      <c r="FA70" s="144" t="str">
        <f>IF(Briefing_FID!FG70="","",Briefing_FID!FG70)</f>
        <v/>
      </c>
      <c r="FB70" s="144" t="str">
        <f>IF(Briefing_FID!FH70="","",Briefing_FID!FH70)</f>
        <v/>
      </c>
      <c r="FC70" s="144" t="str">
        <f>IF(Briefing_FID!FI70="","",Briefing_FID!FI70)</f>
        <v/>
      </c>
      <c r="FD70" s="144" t="str">
        <f>IF(Briefing_FID!FJ70="","",Briefing_FID!FJ70)</f>
        <v/>
      </c>
      <c r="FE70" s="144" t="str">
        <f>IF(Briefing_FID!FK70="","",Briefing_FID!FK70)</f>
        <v/>
      </c>
      <c r="FF70" s="144" t="str">
        <f>IF(Briefing_FID!FL70="","",Briefing_FID!FL70)</f>
        <v/>
      </c>
      <c r="FG70" s="144" t="str">
        <f>IF(Briefing_FID!FM70="","",Briefing_FID!FM70)</f>
        <v/>
      </c>
      <c r="FH70" s="144" t="str">
        <f>IF(Briefing_FID!FN70="","",Briefing_FID!FN70)</f>
        <v/>
      </c>
      <c r="FI70" s="144" t="str">
        <f>IF(Briefing_FID!FO70="","",Briefing_FID!FO70)</f>
        <v/>
      </c>
      <c r="FJ70" s="144" t="str">
        <f>IF(Briefing_FID!FP70="","",Briefing_FID!FP70)</f>
        <v/>
      </c>
      <c r="FK70" s="144" t="str">
        <f>IF(Briefing_FID!FQ70="","",Briefing_FID!FQ70)</f>
        <v/>
      </c>
      <c r="FL70" s="144" t="str">
        <f>IF(Briefing_FID!FR70="","",Briefing_FID!FR70)</f>
        <v/>
      </c>
      <c r="FM70" s="144" t="str">
        <f>IF(Briefing_FID!FS70="","",Briefing_FID!FS70)</f>
        <v/>
      </c>
      <c r="FN70" s="144" t="str">
        <f>IF(Briefing_FID!FT70="","",Briefing_FID!FT70)</f>
        <v/>
      </c>
      <c r="FO70" s="144" t="str">
        <f>IF(Briefing_FID!FU70="","",Briefing_FID!FU70)</f>
        <v/>
      </c>
      <c r="FP70" s="144" t="str">
        <f>IF(Briefing_FID!FV70="","",Briefing_FID!FV70)</f>
        <v/>
      </c>
      <c r="FQ70" s="144" t="str">
        <f>IF(Briefing_FID!FW70="","",Briefing_FID!FW70)</f>
        <v/>
      </c>
      <c r="FR70" s="151"/>
      <c r="FS70" s="152"/>
      <c r="FT70" s="152"/>
      <c r="FU70" s="152"/>
      <c r="FV70" s="152"/>
      <c r="FW70" s="152"/>
      <c r="FX70" s="152"/>
      <c r="FY70" s="152"/>
      <c r="FZ70" s="152"/>
      <c r="GA70" s="153"/>
    </row>
    <row r="71" spans="1:183">
      <c r="A71" s="136" t="str">
        <f>IF(Briefing_FID!A71="","",Briefing_FID!A71)</f>
        <v/>
      </c>
      <c r="B71" s="137" t="str">
        <f>IF(Briefing_FID!B71="","",Briefing_FID!B71)</f>
        <v/>
      </c>
      <c r="C71" s="137" t="str">
        <f>IF(Briefing_FID!C71="","",Briefing_FID!C71)</f>
        <v/>
      </c>
      <c r="D71" s="46"/>
      <c r="E71" s="120"/>
      <c r="F71" s="117"/>
      <c r="G71" s="117"/>
      <c r="H71" s="72"/>
      <c r="I71" s="72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23"/>
      <c r="AD71" s="117"/>
      <c r="AE71" s="117"/>
      <c r="AF71" s="117"/>
      <c r="AG71" s="117"/>
      <c r="AH71" s="117"/>
      <c r="AI71" s="117"/>
      <c r="AJ71" s="117"/>
      <c r="AK71" s="117"/>
      <c r="AL71" s="124"/>
      <c r="AM71" s="37"/>
      <c r="AN71" s="38"/>
      <c r="AO71" s="39"/>
      <c r="AP71" s="111" t="str">
        <f>IF(Briefing_FID!AP71="","",Briefing_FID!AP71)</f>
        <v/>
      </c>
      <c r="AQ71" s="112" t="str">
        <f>IF(Briefing_FID!AQ71="","",Briefing_FID!AQ71)</f>
        <v/>
      </c>
      <c r="AR71" s="107" t="str">
        <f>IF(Briefing_FID!AR71="","",Briefing_FID!AR71)</f>
        <v/>
      </c>
      <c r="AS71" s="108" t="str">
        <f>IF(Briefing_FID!AS71="","",Briefing_FID!AS71)</f>
        <v/>
      </c>
      <c r="AT71" s="113" t="str">
        <f>IF(Briefing_FID!AT71="","",Briefing_FID!AT71)</f>
        <v/>
      </c>
      <c r="AU71" s="113" t="str">
        <f>IF(Briefing_FID!AU71="","",Briefing_FID!AU71)</f>
        <v/>
      </c>
      <c r="AV71" s="113" t="str">
        <f>IF(Briefing_FID!AV71="","",Briefing_FID!AV71)</f>
        <v/>
      </c>
      <c r="AW71" s="113" t="str">
        <f>IF(Briefing_FID!AW71="","",Briefing_FID!AW71)</f>
        <v/>
      </c>
      <c r="AX71" s="114" t="str">
        <f>IF(Briefing_FID!AX71="","",Briefing_FID!AX71)</f>
        <v/>
      </c>
      <c r="AY71" s="71"/>
      <c r="AZ71" s="117" t="str">
        <f>IF(Briefing_FID!AZ71="","",Briefing_FID!AZ71)</f>
        <v/>
      </c>
      <c r="BA71" s="118" t="str">
        <f>IF(Briefing_FID!BA71="","",Briefing_FID!BA71)</f>
        <v/>
      </c>
      <c r="BB71" s="55"/>
      <c r="BC71" s="102" t="str">
        <f>IF(Briefing_FID!BC71="","",Briefing_FID!BC71)</f>
        <v/>
      </c>
      <c r="BD71" s="27" t="str">
        <f>IF(Briefing_FID!BD71="","",Briefing_FID!BD71)</f>
        <v/>
      </c>
      <c r="BE71" s="100" t="str">
        <f>IF(Briefing_FID!BE71="","",Briefing_FID!BE71)</f>
        <v/>
      </c>
      <c r="BF71" s="3" t="str">
        <f>IF(Briefing_FID!BF71="","",Briefing_FID!BF71)</f>
        <v/>
      </c>
      <c r="BG71" s="10" t="str">
        <f>IF(Briefing_FID!BG71="","",Briefing_FID!BG71)</f>
        <v/>
      </c>
      <c r="BH71" s="100" t="str">
        <f>IF(Briefing_FID!BH71="","",Briefing_FID!BH71)</f>
        <v/>
      </c>
      <c r="BI71" s="3" t="str">
        <f>IF(Briefing_FID!BI71="","",Briefing_FID!BI71)</f>
        <v/>
      </c>
      <c r="BJ71" s="10" t="str">
        <f>IF(Briefing_FID!BJ71="","",Briefing_FID!BJ71)</f>
        <v/>
      </c>
      <c r="BK71" s="100" t="str">
        <f>IF(Briefing_FID!BK71="","",Briefing_FID!BK71)</f>
        <v/>
      </c>
      <c r="BL71" s="3" t="str">
        <f>IF(Briefing_FID!BL71="","",Briefing_FID!BL71)</f>
        <v/>
      </c>
      <c r="BM71" s="28" t="str">
        <f>IF(Briefing_FID!BM71="","",Briefing_FID!BM71)</f>
        <v/>
      </c>
      <c r="BN71" s="100" t="str">
        <f>IF(Briefing_FID!BN71="","",Briefing_FID!BN71)</f>
        <v/>
      </c>
      <c r="BO71" s="3" t="str">
        <f>IF(Briefing_FID!BO71="","",Briefing_FID!BO71)</f>
        <v/>
      </c>
      <c r="BP71" s="28" t="str">
        <f>IF(Briefing_FID!BP71="","",Briefing_FID!BP71)</f>
        <v/>
      </c>
      <c r="BQ71" s="100" t="str">
        <f>IF(Briefing_FID!BQ71="","",Briefing_FID!BQ71)</f>
        <v/>
      </c>
      <c r="BR71" s="3" t="str">
        <f>IF(Briefing_FID!BR71="","",Briefing_FID!BR71)</f>
        <v/>
      </c>
      <c r="BS71" s="28" t="str">
        <f>IF(Briefing_FID!BS71="","",Briefing_FID!BS71)</f>
        <v/>
      </c>
      <c r="BT71" s="100" t="str">
        <f>IF(Briefing_FID!BT71="","",Briefing_FID!BT71)</f>
        <v/>
      </c>
      <c r="BU71" s="3" t="str">
        <f>IF(Briefing_FID!BU71="","",Briefing_FID!BU71)</f>
        <v/>
      </c>
      <c r="BV71" s="28" t="str">
        <f>IF(Briefing_FID!BV71="","",Briefing_FID!BV71)</f>
        <v/>
      </c>
      <c r="BW71" s="100" t="str">
        <f>IF(Briefing_FID!BW71="","",Briefing_FID!BW71)</f>
        <v/>
      </c>
      <c r="BX71" s="3" t="str">
        <f>IF(Briefing_FID!BX71="","",Briefing_FID!BX71)</f>
        <v/>
      </c>
      <c r="BY71" s="28" t="str">
        <f>IF(Briefing_FID!BY71="","",Briefing_FID!BY71)</f>
        <v/>
      </c>
      <c r="BZ71" s="100" t="str">
        <f>IF(Briefing_FID!BZ71="","",Briefing_FID!BZ71)</f>
        <v/>
      </c>
      <c r="CA71" s="3" t="str">
        <f>IF(Briefing_FID!CA71="","",Briefing_FID!CA71)</f>
        <v/>
      </c>
      <c r="CB71" s="28" t="str">
        <f>IF(Briefing_FID!CB71="","",Briefing_FID!CB71)</f>
        <v/>
      </c>
      <c r="CC71" s="100" t="str">
        <f>IF(Briefing_FID!CC71="","",Briefing_FID!CC71)</f>
        <v/>
      </c>
      <c r="CD71" s="3" t="str">
        <f>IF(Briefing_FID!CD71="","",Briefing_FID!CD71)</f>
        <v/>
      </c>
      <c r="CE71" s="28" t="str">
        <f>IF(Briefing_FID!CE71="","",Briefing_FID!CE71)</f>
        <v/>
      </c>
      <c r="CF71" s="100" t="str">
        <f>IF(Briefing_FID!CF71="","",Briefing_FID!CF71)</f>
        <v/>
      </c>
      <c r="CG71" s="3" t="str">
        <f>IF(Briefing_FID!CG71="","",Briefing_FID!CG71)</f>
        <v/>
      </c>
      <c r="CH71" s="28" t="str">
        <f>IF(Briefing_FID!CH71="","",Briefing_FID!CH71)</f>
        <v/>
      </c>
      <c r="CI71" s="100" t="str">
        <f>IF(Briefing_FID!CI71="","",Briefing_FID!CI71)</f>
        <v/>
      </c>
      <c r="CJ71" s="3" t="str">
        <f>IF(Briefing_FID!CJ71="","",Briefing_FID!CJ71)</f>
        <v/>
      </c>
      <c r="CK71" s="28" t="str">
        <f>IF(Briefing_FID!CK71="","",Briefing_FID!CK71)</f>
        <v/>
      </c>
      <c r="CL71" s="100" t="str">
        <f>IF(Briefing_FID!CL71="","",Briefing_FID!CL71)</f>
        <v/>
      </c>
      <c r="CM71" s="3" t="str">
        <f>IF(Briefing_FID!CM71="","",Briefing_FID!CM71)</f>
        <v/>
      </c>
      <c r="CN71" s="28" t="str">
        <f>IF(Briefing_FID!CN71="","",Briefing_FID!CN71)</f>
        <v/>
      </c>
      <c r="CO71" s="100" t="str">
        <f>IF(Briefing_FID!CO71="","",Briefing_FID!CO71)</f>
        <v/>
      </c>
      <c r="CP71" s="3" t="str">
        <f>IF(Briefing_FID!CP71="","",Briefing_FID!CP71)</f>
        <v/>
      </c>
      <c r="CQ71" s="28" t="str">
        <f>IF(Briefing_FID!CQ71="","",Briefing_FID!CQ71)</f>
        <v/>
      </c>
      <c r="CR71" s="100" t="str">
        <f>IF(Briefing_FID!CR71="","",Briefing_FID!CR71)</f>
        <v/>
      </c>
      <c r="CS71" s="3" t="str">
        <f>IF(Briefing_FID!CS71="","",Briefing_FID!CS71)</f>
        <v/>
      </c>
      <c r="CT71" s="28" t="str">
        <f>IF(Briefing_FID!CT71="","",Briefing_FID!CT71)</f>
        <v/>
      </c>
      <c r="CU71" s="100" t="str">
        <f>IF(Briefing_FID!CU71="","",Briefing_FID!CU71)</f>
        <v/>
      </c>
      <c r="CV71" s="3" t="str">
        <f>IF(Briefing_FID!CV71="","",Briefing_FID!CV71)</f>
        <v/>
      </c>
      <c r="CW71" s="28" t="str">
        <f>IF(Briefing_FID!CW71="","",Briefing_FID!CW71)</f>
        <v/>
      </c>
      <c r="CX71" s="100" t="str">
        <f>IF(Briefing_FID!CX71="","",Briefing_FID!CX71)</f>
        <v/>
      </c>
      <c r="CY71" s="3" t="str">
        <f>IF(Briefing_FID!CY71="","",Briefing_FID!CY71)</f>
        <v/>
      </c>
      <c r="CZ71" s="28" t="str">
        <f>IF(Briefing_FID!CZ71="","",Briefing_FID!CZ71)</f>
        <v/>
      </c>
      <c r="DA71" s="100" t="str">
        <f>IF(Briefing_FID!DA71="","",Briefing_FID!DA71)</f>
        <v/>
      </c>
      <c r="DB71" s="3" t="str">
        <f>IF(Briefing_FID!DB71="","",Briefing_FID!DB71)</f>
        <v/>
      </c>
      <c r="DC71" s="28" t="str">
        <f>IF(Briefing_FID!DC71="","",Briefing_FID!DC71)</f>
        <v/>
      </c>
      <c r="DD71" s="100" t="str">
        <f>IF(Briefing_FID!DD71="","",Briefing_FID!DD71)</f>
        <v/>
      </c>
      <c r="DE71" s="3" t="str">
        <f>IF(Briefing_FID!DE71="","",Briefing_FID!DE71)</f>
        <v/>
      </c>
      <c r="DF71" s="28" t="str">
        <f>IF(Briefing_FID!DF71="","",Briefing_FID!DF71)</f>
        <v/>
      </c>
      <c r="DG71" s="100" t="str">
        <f>IF(Briefing_FID!DG71="","",Briefing_FID!DG71)</f>
        <v/>
      </c>
      <c r="DH71" s="3" t="str">
        <f>IF(Briefing_FID!DH71="","",Briefing_FID!DH71)</f>
        <v/>
      </c>
      <c r="DI71" s="28" t="str">
        <f>IF(Briefing_FID!DI71="","",Briefing_FID!DI71)</f>
        <v/>
      </c>
      <c r="DJ71" s="100" t="str">
        <f>IF(Briefing_FID!DJ71="","",Briefing_FID!DJ71)</f>
        <v/>
      </c>
      <c r="DK71" s="3" t="str">
        <f>IF(Briefing_FID!DK71="","",Briefing_FID!DK71)</f>
        <v/>
      </c>
      <c r="DL71" s="28" t="str">
        <f>IF(Briefing_FID!DL71="","",Briefing_FID!DL71)</f>
        <v/>
      </c>
      <c r="DM71" s="100" t="str">
        <f>IF(Briefing_FID!DM71="","",Briefing_FID!DM71)</f>
        <v/>
      </c>
      <c r="DN71" s="3" t="str">
        <f>IF(Briefing_FID!DN71="","",Briefing_FID!DN71)</f>
        <v/>
      </c>
      <c r="DO71" s="28" t="str">
        <f>IF(Briefing_FID!DO71="","",Briefing_FID!DO71)</f>
        <v/>
      </c>
      <c r="DP71" s="100" t="str">
        <f>IF(Briefing_FID!DP71="","",Briefing_FID!DP71)</f>
        <v/>
      </c>
      <c r="DQ71" s="3" t="str">
        <f>IF(Briefing_FID!DQ71="","",Briefing_FID!DQ71)</f>
        <v/>
      </c>
      <c r="DR71" s="28" t="str">
        <f>IF(Briefing_FID!DR71="","",Briefing_FID!DR71)</f>
        <v/>
      </c>
      <c r="DS71" s="100" t="str">
        <f>IF(Briefing_FID!DS71="","",Briefing_FID!DS71)</f>
        <v/>
      </c>
      <c r="DT71" s="3" t="str">
        <f>IF(Briefing_FID!DT71="","",Briefing_FID!DT71)</f>
        <v/>
      </c>
      <c r="DU71" s="28" t="str">
        <f>IF(Briefing_FID!DU71="","",Briefing_FID!DU71)</f>
        <v/>
      </c>
      <c r="DV71" s="100" t="str">
        <f>IF(Briefing_FID!DV71="","",Briefing_FID!DV71)</f>
        <v/>
      </c>
      <c r="DW71" s="3" t="str">
        <f>IF(Briefing_FID!DW71="","",Briefing_FID!DW71)</f>
        <v/>
      </c>
      <c r="DX71" s="28" t="str">
        <f>IF(Briefing_FID!DX71="","",Briefing_FID!DX71)</f>
        <v/>
      </c>
      <c r="DY71" s="100" t="str">
        <f>IF(Briefing_FID!DY71="","",Briefing_FID!DY71)</f>
        <v/>
      </c>
      <c r="DZ71" s="3" t="str">
        <f>IF(Briefing_FID!DZ71="","",Briefing_FID!DZ71)</f>
        <v/>
      </c>
      <c r="EA71" s="28" t="str">
        <f>IF(Briefing_FID!EA71="","",Briefing_FID!EA71)</f>
        <v/>
      </c>
      <c r="EB71" s="100" t="str">
        <f>IF(Briefing_FID!EB71="","",Briefing_FID!EB71)</f>
        <v/>
      </c>
      <c r="EC71" s="3" t="str">
        <f>IF(Briefing_FID!EC71="","",Briefing_FID!EC71)</f>
        <v/>
      </c>
      <c r="ED71" s="28" t="str">
        <f>IF(Briefing_FID!ED71="","",Briefing_FID!ED71)</f>
        <v/>
      </c>
      <c r="EE71" s="100" t="str">
        <f>IF(Briefing_FID!EE71="","",Briefing_FID!EE71)</f>
        <v/>
      </c>
      <c r="EF71" s="3" t="str">
        <f>IF(Briefing_FID!EF71="","",Briefing_FID!EF71)</f>
        <v/>
      </c>
      <c r="EG71" s="28" t="str">
        <f>IF(Briefing_FID!EG71="","",Briefing_FID!EG71)</f>
        <v/>
      </c>
      <c r="EH71" s="100" t="str">
        <f>IF(Briefing_FID!EH71="","",Briefing_FID!EH71)</f>
        <v/>
      </c>
      <c r="EI71" s="3" t="str">
        <f>IF(Briefing_FID!EI71="","",Briefing_FID!EI71)</f>
        <v/>
      </c>
      <c r="EJ71" s="28" t="str">
        <f>IF(Briefing_FID!EJ71="","",Briefing_FID!EJ71)</f>
        <v/>
      </c>
      <c r="EK71" s="100" t="str">
        <f>IF(Briefing_FID!EK71="","",Briefing_FID!EK71)</f>
        <v/>
      </c>
      <c r="EL71" s="3" t="str">
        <f>IF(Briefing_FID!EL71="","",Briefing_FID!EL71)</f>
        <v/>
      </c>
      <c r="EM71" s="28" t="str">
        <f>IF(Briefing_FID!EM71="","",Briefing_FID!EM71)</f>
        <v/>
      </c>
      <c r="EN71" s="100" t="str">
        <f>IF(Briefing_FID!EN71="","",Briefing_FID!EN71)</f>
        <v/>
      </c>
      <c r="EO71" s="3" t="str">
        <f>IF(Briefing_FID!EO71="","",Briefing_FID!EO71)</f>
        <v/>
      </c>
      <c r="EP71" s="28" t="str">
        <f>IF(Briefing_FID!EP71="","",Briefing_FID!EP71)</f>
        <v/>
      </c>
      <c r="EQ71" s="28" t="str">
        <f>IF(Briefing_FID!EQ71="","",Briefing_FID!EQ71)</f>
        <v/>
      </c>
      <c r="ER71" s="28" t="str">
        <f>IF(Briefing_FID!ER71="","",Briefing_FID!ER71)</f>
        <v/>
      </c>
      <c r="ES71" s="62"/>
      <c r="ET71" s="96" t="str">
        <f>IF(Briefing_FID!EZ71="","",Briefing_FID!EZ71)</f>
        <v/>
      </c>
      <c r="EU71" s="97" t="str">
        <f>IF(Briefing_FID!FA71="","",Briefing_FID!FA71)</f>
        <v/>
      </c>
      <c r="EV71" s="98" t="str">
        <f>IF(Briefing_FID!FB71="","",Briefing_FID!FB71)</f>
        <v/>
      </c>
      <c r="EW71" s="96" t="str">
        <f>IF(Briefing_FID!FC71="","",Briefing_FID!FC71)</f>
        <v/>
      </c>
      <c r="EX71" s="97" t="str">
        <f>IF(Briefing_FID!FD71="","",Briefing_FID!FD71)</f>
        <v/>
      </c>
      <c r="EY71" s="98" t="str">
        <f>IF(Briefing_FID!FE71="","",Briefing_FID!FE71)</f>
        <v/>
      </c>
      <c r="EZ71" s="104" t="str">
        <f>IF(Briefing_FID!FF71="","",Briefing_FID!FF71)</f>
        <v/>
      </c>
      <c r="FA71" s="144" t="str">
        <f>IF(Briefing_FID!FG71="","",Briefing_FID!FG71)</f>
        <v/>
      </c>
      <c r="FB71" s="144" t="str">
        <f>IF(Briefing_FID!FH71="","",Briefing_FID!FH71)</f>
        <v/>
      </c>
      <c r="FC71" s="144" t="str">
        <f>IF(Briefing_FID!FI71="","",Briefing_FID!FI71)</f>
        <v/>
      </c>
      <c r="FD71" s="144" t="str">
        <f>IF(Briefing_FID!FJ71="","",Briefing_FID!FJ71)</f>
        <v/>
      </c>
      <c r="FE71" s="144" t="str">
        <f>IF(Briefing_FID!FK71="","",Briefing_FID!FK71)</f>
        <v/>
      </c>
      <c r="FF71" s="144" t="str">
        <f>IF(Briefing_FID!FL71="","",Briefing_FID!FL71)</f>
        <v/>
      </c>
      <c r="FG71" s="144" t="str">
        <f>IF(Briefing_FID!FM71="","",Briefing_FID!FM71)</f>
        <v/>
      </c>
      <c r="FH71" s="144" t="str">
        <f>IF(Briefing_FID!FN71="","",Briefing_FID!FN71)</f>
        <v/>
      </c>
      <c r="FI71" s="144" t="str">
        <f>IF(Briefing_FID!FO71="","",Briefing_FID!FO71)</f>
        <v/>
      </c>
      <c r="FJ71" s="144" t="str">
        <f>IF(Briefing_FID!FP71="","",Briefing_FID!FP71)</f>
        <v/>
      </c>
      <c r="FK71" s="144" t="str">
        <f>IF(Briefing_FID!FQ71="","",Briefing_FID!FQ71)</f>
        <v/>
      </c>
      <c r="FL71" s="144" t="str">
        <f>IF(Briefing_FID!FR71="","",Briefing_FID!FR71)</f>
        <v/>
      </c>
      <c r="FM71" s="144" t="str">
        <f>IF(Briefing_FID!FS71="","",Briefing_FID!FS71)</f>
        <v/>
      </c>
      <c r="FN71" s="144" t="str">
        <f>IF(Briefing_FID!FT71="","",Briefing_FID!FT71)</f>
        <v/>
      </c>
      <c r="FO71" s="144" t="str">
        <f>IF(Briefing_FID!FU71="","",Briefing_FID!FU71)</f>
        <v/>
      </c>
      <c r="FP71" s="144" t="str">
        <f>IF(Briefing_FID!FV71="","",Briefing_FID!FV71)</f>
        <v/>
      </c>
      <c r="FQ71" s="144" t="str">
        <f>IF(Briefing_FID!FW71="","",Briefing_FID!FW71)</f>
        <v/>
      </c>
      <c r="FR71" s="151"/>
      <c r="FS71" s="152"/>
      <c r="FT71" s="152"/>
      <c r="FU71" s="152"/>
      <c r="FV71" s="152"/>
      <c r="FW71" s="152"/>
      <c r="FX71" s="152"/>
      <c r="FY71" s="152"/>
      <c r="FZ71" s="152"/>
      <c r="GA71" s="153"/>
    </row>
    <row r="72" spans="1:183">
      <c r="A72" s="136" t="str">
        <f>IF(Briefing_FID!A72="","",Briefing_FID!A72)</f>
        <v/>
      </c>
      <c r="B72" s="137" t="str">
        <f>IF(Briefing_FID!B72="","",Briefing_FID!B72)</f>
        <v/>
      </c>
      <c r="C72" s="137" t="str">
        <f>IF(Briefing_FID!C72="","",Briefing_FID!C72)</f>
        <v/>
      </c>
      <c r="D72" s="46"/>
      <c r="E72" s="120"/>
      <c r="F72" s="117"/>
      <c r="G72" s="117"/>
      <c r="H72" s="72"/>
      <c r="I72" s="72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23"/>
      <c r="AD72" s="117"/>
      <c r="AE72" s="117"/>
      <c r="AF72" s="117"/>
      <c r="AG72" s="117"/>
      <c r="AH72" s="117"/>
      <c r="AI72" s="117"/>
      <c r="AJ72" s="117"/>
      <c r="AK72" s="117"/>
      <c r="AL72" s="124"/>
      <c r="AM72" s="37"/>
      <c r="AN72" s="38"/>
      <c r="AO72" s="39"/>
      <c r="AP72" s="111" t="str">
        <f>IF(Briefing_FID!AP72="","",Briefing_FID!AP72)</f>
        <v/>
      </c>
      <c r="AQ72" s="112" t="str">
        <f>IF(Briefing_FID!AQ72="","",Briefing_FID!AQ72)</f>
        <v/>
      </c>
      <c r="AR72" s="107" t="str">
        <f>IF(Briefing_FID!AR72="","",Briefing_FID!AR72)</f>
        <v/>
      </c>
      <c r="AS72" s="108" t="str">
        <f>IF(Briefing_FID!AS72="","",Briefing_FID!AS72)</f>
        <v/>
      </c>
      <c r="AT72" s="113" t="str">
        <f>IF(Briefing_FID!AT72="","",Briefing_FID!AT72)</f>
        <v/>
      </c>
      <c r="AU72" s="113" t="str">
        <f>IF(Briefing_FID!AU72="","",Briefing_FID!AU72)</f>
        <v/>
      </c>
      <c r="AV72" s="113" t="str">
        <f>IF(Briefing_FID!AV72="","",Briefing_FID!AV72)</f>
        <v/>
      </c>
      <c r="AW72" s="113" t="str">
        <f>IF(Briefing_FID!AW72="","",Briefing_FID!AW72)</f>
        <v/>
      </c>
      <c r="AX72" s="114" t="str">
        <f>IF(Briefing_FID!AX72="","",Briefing_FID!AX72)</f>
        <v/>
      </c>
      <c r="AY72" s="71"/>
      <c r="AZ72" s="117" t="str">
        <f>IF(Briefing_FID!AZ72="","",Briefing_FID!AZ72)</f>
        <v/>
      </c>
      <c r="BA72" s="118" t="str">
        <f>IF(Briefing_FID!BA72="","",Briefing_FID!BA72)</f>
        <v/>
      </c>
      <c r="BB72" s="55"/>
      <c r="BC72" s="102" t="str">
        <f>IF(Briefing_FID!BC72="","",Briefing_FID!BC72)</f>
        <v/>
      </c>
      <c r="BD72" s="27" t="str">
        <f>IF(Briefing_FID!BD72="","",Briefing_FID!BD72)</f>
        <v/>
      </c>
      <c r="BE72" s="100" t="str">
        <f>IF(Briefing_FID!BE72="","",Briefing_FID!BE72)</f>
        <v/>
      </c>
      <c r="BF72" s="3" t="str">
        <f>IF(Briefing_FID!BF72="","",Briefing_FID!BF72)</f>
        <v/>
      </c>
      <c r="BG72" s="10" t="str">
        <f>IF(Briefing_FID!BG72="","",Briefing_FID!BG72)</f>
        <v/>
      </c>
      <c r="BH72" s="100" t="str">
        <f>IF(Briefing_FID!BH72="","",Briefing_FID!BH72)</f>
        <v/>
      </c>
      <c r="BI72" s="3" t="str">
        <f>IF(Briefing_FID!BI72="","",Briefing_FID!BI72)</f>
        <v/>
      </c>
      <c r="BJ72" s="10" t="str">
        <f>IF(Briefing_FID!BJ72="","",Briefing_FID!BJ72)</f>
        <v/>
      </c>
      <c r="BK72" s="100" t="str">
        <f>IF(Briefing_FID!BK72="","",Briefing_FID!BK72)</f>
        <v/>
      </c>
      <c r="BL72" s="3" t="str">
        <f>IF(Briefing_FID!BL72="","",Briefing_FID!BL72)</f>
        <v/>
      </c>
      <c r="BM72" s="28" t="str">
        <f>IF(Briefing_FID!BM72="","",Briefing_FID!BM72)</f>
        <v/>
      </c>
      <c r="BN72" s="100" t="str">
        <f>IF(Briefing_FID!BN72="","",Briefing_FID!BN72)</f>
        <v/>
      </c>
      <c r="BO72" s="3" t="str">
        <f>IF(Briefing_FID!BO72="","",Briefing_FID!BO72)</f>
        <v/>
      </c>
      <c r="BP72" s="28" t="str">
        <f>IF(Briefing_FID!BP72="","",Briefing_FID!BP72)</f>
        <v/>
      </c>
      <c r="BQ72" s="100" t="str">
        <f>IF(Briefing_FID!BQ72="","",Briefing_FID!BQ72)</f>
        <v/>
      </c>
      <c r="BR72" s="3" t="str">
        <f>IF(Briefing_FID!BR72="","",Briefing_FID!BR72)</f>
        <v/>
      </c>
      <c r="BS72" s="28" t="str">
        <f>IF(Briefing_FID!BS72="","",Briefing_FID!BS72)</f>
        <v/>
      </c>
      <c r="BT72" s="100" t="str">
        <f>IF(Briefing_FID!BT72="","",Briefing_FID!BT72)</f>
        <v/>
      </c>
      <c r="BU72" s="3" t="str">
        <f>IF(Briefing_FID!BU72="","",Briefing_FID!BU72)</f>
        <v/>
      </c>
      <c r="BV72" s="28" t="str">
        <f>IF(Briefing_FID!BV72="","",Briefing_FID!BV72)</f>
        <v/>
      </c>
      <c r="BW72" s="100" t="str">
        <f>IF(Briefing_FID!BW72="","",Briefing_FID!BW72)</f>
        <v/>
      </c>
      <c r="BX72" s="3" t="str">
        <f>IF(Briefing_FID!BX72="","",Briefing_FID!BX72)</f>
        <v/>
      </c>
      <c r="BY72" s="28" t="str">
        <f>IF(Briefing_FID!BY72="","",Briefing_FID!BY72)</f>
        <v/>
      </c>
      <c r="BZ72" s="100" t="str">
        <f>IF(Briefing_FID!BZ72="","",Briefing_FID!BZ72)</f>
        <v/>
      </c>
      <c r="CA72" s="3" t="str">
        <f>IF(Briefing_FID!CA72="","",Briefing_FID!CA72)</f>
        <v/>
      </c>
      <c r="CB72" s="28" t="str">
        <f>IF(Briefing_FID!CB72="","",Briefing_FID!CB72)</f>
        <v/>
      </c>
      <c r="CC72" s="100" t="str">
        <f>IF(Briefing_FID!CC72="","",Briefing_FID!CC72)</f>
        <v/>
      </c>
      <c r="CD72" s="3" t="str">
        <f>IF(Briefing_FID!CD72="","",Briefing_FID!CD72)</f>
        <v/>
      </c>
      <c r="CE72" s="28" t="str">
        <f>IF(Briefing_FID!CE72="","",Briefing_FID!CE72)</f>
        <v/>
      </c>
      <c r="CF72" s="100" t="str">
        <f>IF(Briefing_FID!CF72="","",Briefing_FID!CF72)</f>
        <v/>
      </c>
      <c r="CG72" s="3" t="str">
        <f>IF(Briefing_FID!CG72="","",Briefing_FID!CG72)</f>
        <v/>
      </c>
      <c r="CH72" s="28" t="str">
        <f>IF(Briefing_FID!CH72="","",Briefing_FID!CH72)</f>
        <v/>
      </c>
      <c r="CI72" s="100" t="str">
        <f>IF(Briefing_FID!CI72="","",Briefing_FID!CI72)</f>
        <v/>
      </c>
      <c r="CJ72" s="3" t="str">
        <f>IF(Briefing_FID!CJ72="","",Briefing_FID!CJ72)</f>
        <v/>
      </c>
      <c r="CK72" s="28" t="str">
        <f>IF(Briefing_FID!CK72="","",Briefing_FID!CK72)</f>
        <v/>
      </c>
      <c r="CL72" s="100" t="str">
        <f>IF(Briefing_FID!CL72="","",Briefing_FID!CL72)</f>
        <v/>
      </c>
      <c r="CM72" s="3" t="str">
        <f>IF(Briefing_FID!CM72="","",Briefing_FID!CM72)</f>
        <v/>
      </c>
      <c r="CN72" s="28" t="str">
        <f>IF(Briefing_FID!CN72="","",Briefing_FID!CN72)</f>
        <v/>
      </c>
      <c r="CO72" s="100" t="str">
        <f>IF(Briefing_FID!CO72="","",Briefing_FID!CO72)</f>
        <v/>
      </c>
      <c r="CP72" s="3" t="str">
        <f>IF(Briefing_FID!CP72="","",Briefing_FID!CP72)</f>
        <v/>
      </c>
      <c r="CQ72" s="28" t="str">
        <f>IF(Briefing_FID!CQ72="","",Briefing_FID!CQ72)</f>
        <v/>
      </c>
      <c r="CR72" s="100" t="str">
        <f>IF(Briefing_FID!CR72="","",Briefing_FID!CR72)</f>
        <v/>
      </c>
      <c r="CS72" s="3" t="str">
        <f>IF(Briefing_FID!CS72="","",Briefing_FID!CS72)</f>
        <v/>
      </c>
      <c r="CT72" s="28" t="str">
        <f>IF(Briefing_FID!CT72="","",Briefing_FID!CT72)</f>
        <v/>
      </c>
      <c r="CU72" s="100" t="str">
        <f>IF(Briefing_FID!CU72="","",Briefing_FID!CU72)</f>
        <v/>
      </c>
      <c r="CV72" s="3" t="str">
        <f>IF(Briefing_FID!CV72="","",Briefing_FID!CV72)</f>
        <v/>
      </c>
      <c r="CW72" s="28" t="str">
        <f>IF(Briefing_FID!CW72="","",Briefing_FID!CW72)</f>
        <v/>
      </c>
      <c r="CX72" s="100" t="str">
        <f>IF(Briefing_FID!CX72="","",Briefing_FID!CX72)</f>
        <v/>
      </c>
      <c r="CY72" s="3" t="str">
        <f>IF(Briefing_FID!CY72="","",Briefing_FID!CY72)</f>
        <v/>
      </c>
      <c r="CZ72" s="28" t="str">
        <f>IF(Briefing_FID!CZ72="","",Briefing_FID!CZ72)</f>
        <v/>
      </c>
      <c r="DA72" s="100" t="str">
        <f>IF(Briefing_FID!DA72="","",Briefing_FID!DA72)</f>
        <v/>
      </c>
      <c r="DB72" s="3" t="str">
        <f>IF(Briefing_FID!DB72="","",Briefing_FID!DB72)</f>
        <v/>
      </c>
      <c r="DC72" s="28" t="str">
        <f>IF(Briefing_FID!DC72="","",Briefing_FID!DC72)</f>
        <v/>
      </c>
      <c r="DD72" s="100" t="str">
        <f>IF(Briefing_FID!DD72="","",Briefing_FID!DD72)</f>
        <v/>
      </c>
      <c r="DE72" s="3" t="str">
        <f>IF(Briefing_FID!DE72="","",Briefing_FID!DE72)</f>
        <v/>
      </c>
      <c r="DF72" s="28" t="str">
        <f>IF(Briefing_FID!DF72="","",Briefing_FID!DF72)</f>
        <v/>
      </c>
      <c r="DG72" s="100" t="str">
        <f>IF(Briefing_FID!DG72="","",Briefing_FID!DG72)</f>
        <v/>
      </c>
      <c r="DH72" s="3" t="str">
        <f>IF(Briefing_FID!DH72="","",Briefing_FID!DH72)</f>
        <v/>
      </c>
      <c r="DI72" s="28" t="str">
        <f>IF(Briefing_FID!DI72="","",Briefing_FID!DI72)</f>
        <v/>
      </c>
      <c r="DJ72" s="100" t="str">
        <f>IF(Briefing_FID!DJ72="","",Briefing_FID!DJ72)</f>
        <v/>
      </c>
      <c r="DK72" s="3" t="str">
        <f>IF(Briefing_FID!DK72="","",Briefing_FID!DK72)</f>
        <v/>
      </c>
      <c r="DL72" s="28" t="str">
        <f>IF(Briefing_FID!DL72="","",Briefing_FID!DL72)</f>
        <v/>
      </c>
      <c r="DM72" s="100" t="str">
        <f>IF(Briefing_FID!DM72="","",Briefing_FID!DM72)</f>
        <v/>
      </c>
      <c r="DN72" s="3" t="str">
        <f>IF(Briefing_FID!DN72="","",Briefing_FID!DN72)</f>
        <v/>
      </c>
      <c r="DO72" s="28" t="str">
        <f>IF(Briefing_FID!DO72="","",Briefing_FID!DO72)</f>
        <v/>
      </c>
      <c r="DP72" s="100" t="str">
        <f>IF(Briefing_FID!DP72="","",Briefing_FID!DP72)</f>
        <v/>
      </c>
      <c r="DQ72" s="3" t="str">
        <f>IF(Briefing_FID!DQ72="","",Briefing_FID!DQ72)</f>
        <v/>
      </c>
      <c r="DR72" s="28" t="str">
        <f>IF(Briefing_FID!DR72="","",Briefing_FID!DR72)</f>
        <v/>
      </c>
      <c r="DS72" s="100" t="str">
        <f>IF(Briefing_FID!DS72="","",Briefing_FID!DS72)</f>
        <v/>
      </c>
      <c r="DT72" s="3" t="str">
        <f>IF(Briefing_FID!DT72="","",Briefing_FID!DT72)</f>
        <v/>
      </c>
      <c r="DU72" s="28" t="str">
        <f>IF(Briefing_FID!DU72="","",Briefing_FID!DU72)</f>
        <v/>
      </c>
      <c r="DV72" s="100" t="str">
        <f>IF(Briefing_FID!DV72="","",Briefing_FID!DV72)</f>
        <v/>
      </c>
      <c r="DW72" s="3" t="str">
        <f>IF(Briefing_FID!DW72="","",Briefing_FID!DW72)</f>
        <v/>
      </c>
      <c r="DX72" s="28" t="str">
        <f>IF(Briefing_FID!DX72="","",Briefing_FID!DX72)</f>
        <v/>
      </c>
      <c r="DY72" s="100" t="str">
        <f>IF(Briefing_FID!DY72="","",Briefing_FID!DY72)</f>
        <v/>
      </c>
      <c r="DZ72" s="3" t="str">
        <f>IF(Briefing_FID!DZ72="","",Briefing_FID!DZ72)</f>
        <v/>
      </c>
      <c r="EA72" s="28" t="str">
        <f>IF(Briefing_FID!EA72="","",Briefing_FID!EA72)</f>
        <v/>
      </c>
      <c r="EB72" s="100" t="str">
        <f>IF(Briefing_FID!EB72="","",Briefing_FID!EB72)</f>
        <v/>
      </c>
      <c r="EC72" s="3" t="str">
        <f>IF(Briefing_FID!EC72="","",Briefing_FID!EC72)</f>
        <v/>
      </c>
      <c r="ED72" s="28" t="str">
        <f>IF(Briefing_FID!ED72="","",Briefing_FID!ED72)</f>
        <v/>
      </c>
      <c r="EE72" s="100" t="str">
        <f>IF(Briefing_FID!EE72="","",Briefing_FID!EE72)</f>
        <v/>
      </c>
      <c r="EF72" s="3" t="str">
        <f>IF(Briefing_FID!EF72="","",Briefing_FID!EF72)</f>
        <v/>
      </c>
      <c r="EG72" s="28" t="str">
        <f>IF(Briefing_FID!EG72="","",Briefing_FID!EG72)</f>
        <v/>
      </c>
      <c r="EH72" s="100" t="str">
        <f>IF(Briefing_FID!EH72="","",Briefing_FID!EH72)</f>
        <v/>
      </c>
      <c r="EI72" s="3" t="str">
        <f>IF(Briefing_FID!EI72="","",Briefing_FID!EI72)</f>
        <v/>
      </c>
      <c r="EJ72" s="28" t="str">
        <f>IF(Briefing_FID!EJ72="","",Briefing_FID!EJ72)</f>
        <v/>
      </c>
      <c r="EK72" s="100" t="str">
        <f>IF(Briefing_FID!EK72="","",Briefing_FID!EK72)</f>
        <v/>
      </c>
      <c r="EL72" s="3" t="str">
        <f>IF(Briefing_FID!EL72="","",Briefing_FID!EL72)</f>
        <v/>
      </c>
      <c r="EM72" s="28" t="str">
        <f>IF(Briefing_FID!EM72="","",Briefing_FID!EM72)</f>
        <v/>
      </c>
      <c r="EN72" s="100" t="str">
        <f>IF(Briefing_FID!EN72="","",Briefing_FID!EN72)</f>
        <v/>
      </c>
      <c r="EO72" s="3" t="str">
        <f>IF(Briefing_FID!EO72="","",Briefing_FID!EO72)</f>
        <v/>
      </c>
      <c r="EP72" s="28" t="str">
        <f>IF(Briefing_FID!EP72="","",Briefing_FID!EP72)</f>
        <v/>
      </c>
      <c r="EQ72" s="28" t="str">
        <f>IF(Briefing_FID!EQ72="","",Briefing_FID!EQ72)</f>
        <v/>
      </c>
      <c r="ER72" s="28" t="str">
        <f>IF(Briefing_FID!ER72="","",Briefing_FID!ER72)</f>
        <v/>
      </c>
      <c r="ES72" s="62"/>
      <c r="ET72" s="96" t="str">
        <f>IF(Briefing_FID!EZ72="","",Briefing_FID!EZ72)</f>
        <v/>
      </c>
      <c r="EU72" s="97" t="str">
        <f>IF(Briefing_FID!FA72="","",Briefing_FID!FA72)</f>
        <v/>
      </c>
      <c r="EV72" s="98" t="str">
        <f>IF(Briefing_FID!FB72="","",Briefing_FID!FB72)</f>
        <v/>
      </c>
      <c r="EW72" s="96" t="str">
        <f>IF(Briefing_FID!FC72="","",Briefing_FID!FC72)</f>
        <v/>
      </c>
      <c r="EX72" s="97" t="str">
        <f>IF(Briefing_FID!FD72="","",Briefing_FID!FD72)</f>
        <v/>
      </c>
      <c r="EY72" s="98" t="str">
        <f>IF(Briefing_FID!FE72="","",Briefing_FID!FE72)</f>
        <v/>
      </c>
      <c r="EZ72" s="104" t="str">
        <f>IF(Briefing_FID!FF72="","",Briefing_FID!FF72)</f>
        <v/>
      </c>
      <c r="FA72" s="144" t="str">
        <f>IF(Briefing_FID!FG72="","",Briefing_FID!FG72)</f>
        <v/>
      </c>
      <c r="FB72" s="144" t="str">
        <f>IF(Briefing_FID!FH72="","",Briefing_FID!FH72)</f>
        <v/>
      </c>
      <c r="FC72" s="144" t="str">
        <f>IF(Briefing_FID!FI72="","",Briefing_FID!FI72)</f>
        <v/>
      </c>
      <c r="FD72" s="144" t="str">
        <f>IF(Briefing_FID!FJ72="","",Briefing_FID!FJ72)</f>
        <v/>
      </c>
      <c r="FE72" s="144" t="str">
        <f>IF(Briefing_FID!FK72="","",Briefing_FID!FK72)</f>
        <v/>
      </c>
      <c r="FF72" s="144" t="str">
        <f>IF(Briefing_FID!FL72="","",Briefing_FID!FL72)</f>
        <v/>
      </c>
      <c r="FG72" s="144" t="str">
        <f>IF(Briefing_FID!FM72="","",Briefing_FID!FM72)</f>
        <v/>
      </c>
      <c r="FH72" s="144" t="str">
        <f>IF(Briefing_FID!FN72="","",Briefing_FID!FN72)</f>
        <v/>
      </c>
      <c r="FI72" s="144" t="str">
        <f>IF(Briefing_FID!FO72="","",Briefing_FID!FO72)</f>
        <v/>
      </c>
      <c r="FJ72" s="144" t="str">
        <f>IF(Briefing_FID!FP72="","",Briefing_FID!FP72)</f>
        <v/>
      </c>
      <c r="FK72" s="144" t="str">
        <f>IF(Briefing_FID!FQ72="","",Briefing_FID!FQ72)</f>
        <v/>
      </c>
      <c r="FL72" s="144" t="str">
        <f>IF(Briefing_FID!FR72="","",Briefing_FID!FR72)</f>
        <v/>
      </c>
      <c r="FM72" s="144" t="str">
        <f>IF(Briefing_FID!FS72="","",Briefing_FID!FS72)</f>
        <v/>
      </c>
      <c r="FN72" s="144" t="str">
        <f>IF(Briefing_FID!FT72="","",Briefing_FID!FT72)</f>
        <v/>
      </c>
      <c r="FO72" s="144" t="str">
        <f>IF(Briefing_FID!FU72="","",Briefing_FID!FU72)</f>
        <v/>
      </c>
      <c r="FP72" s="144" t="str">
        <f>IF(Briefing_FID!FV72="","",Briefing_FID!FV72)</f>
        <v/>
      </c>
      <c r="FQ72" s="144" t="str">
        <f>IF(Briefing_FID!FW72="","",Briefing_FID!FW72)</f>
        <v/>
      </c>
      <c r="FR72" s="151"/>
      <c r="FS72" s="152"/>
      <c r="FT72" s="152"/>
      <c r="FU72" s="152"/>
      <c r="FV72" s="152"/>
      <c r="FW72" s="152"/>
      <c r="FX72" s="152"/>
      <c r="FY72" s="152"/>
      <c r="FZ72" s="152"/>
      <c r="GA72" s="153"/>
    </row>
    <row r="73" spans="1:183">
      <c r="A73" s="136" t="str">
        <f>IF(Briefing_FID!A73="","",Briefing_FID!A73)</f>
        <v/>
      </c>
      <c r="B73" s="137" t="str">
        <f>IF(Briefing_FID!B73="","",Briefing_FID!B73)</f>
        <v/>
      </c>
      <c r="C73" s="137" t="str">
        <f>IF(Briefing_FID!C73="","",Briefing_FID!C73)</f>
        <v/>
      </c>
      <c r="D73" s="46"/>
      <c r="E73" s="120"/>
      <c r="F73" s="117"/>
      <c r="G73" s="117"/>
      <c r="H73" s="72"/>
      <c r="I73" s="72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23"/>
      <c r="AD73" s="117"/>
      <c r="AE73" s="117"/>
      <c r="AF73" s="117"/>
      <c r="AG73" s="117"/>
      <c r="AH73" s="117"/>
      <c r="AI73" s="117"/>
      <c r="AJ73" s="117"/>
      <c r="AK73" s="117"/>
      <c r="AL73" s="124"/>
      <c r="AM73" s="37"/>
      <c r="AN73" s="38"/>
      <c r="AO73" s="39"/>
      <c r="AP73" s="111" t="str">
        <f>IF(Briefing_FID!AP73="","",Briefing_FID!AP73)</f>
        <v/>
      </c>
      <c r="AQ73" s="112" t="str">
        <f>IF(Briefing_FID!AQ73="","",Briefing_FID!AQ73)</f>
        <v/>
      </c>
      <c r="AR73" s="107" t="str">
        <f>IF(Briefing_FID!AR73="","",Briefing_FID!AR73)</f>
        <v/>
      </c>
      <c r="AS73" s="108" t="str">
        <f>IF(Briefing_FID!AS73="","",Briefing_FID!AS73)</f>
        <v/>
      </c>
      <c r="AT73" s="113" t="str">
        <f>IF(Briefing_FID!AT73="","",Briefing_FID!AT73)</f>
        <v/>
      </c>
      <c r="AU73" s="113" t="str">
        <f>IF(Briefing_FID!AU73="","",Briefing_FID!AU73)</f>
        <v/>
      </c>
      <c r="AV73" s="113" t="str">
        <f>IF(Briefing_FID!AV73="","",Briefing_FID!AV73)</f>
        <v/>
      </c>
      <c r="AW73" s="113" t="str">
        <f>IF(Briefing_FID!AW73="","",Briefing_FID!AW73)</f>
        <v/>
      </c>
      <c r="AX73" s="114" t="str">
        <f>IF(Briefing_FID!AX73="","",Briefing_FID!AX73)</f>
        <v/>
      </c>
      <c r="AY73" s="71"/>
      <c r="AZ73" s="117" t="str">
        <f>IF(Briefing_FID!AZ73="","",Briefing_FID!AZ73)</f>
        <v/>
      </c>
      <c r="BA73" s="118" t="str">
        <f>IF(Briefing_FID!BA73="","",Briefing_FID!BA73)</f>
        <v/>
      </c>
      <c r="BB73" s="55"/>
      <c r="BC73" s="102" t="str">
        <f>IF(Briefing_FID!BC73="","",Briefing_FID!BC73)</f>
        <v/>
      </c>
      <c r="BD73" s="27" t="str">
        <f>IF(Briefing_FID!BD73="","",Briefing_FID!BD73)</f>
        <v/>
      </c>
      <c r="BE73" s="100" t="str">
        <f>IF(Briefing_FID!BE73="","",Briefing_FID!BE73)</f>
        <v/>
      </c>
      <c r="BF73" s="3" t="str">
        <f>IF(Briefing_FID!BF73="","",Briefing_FID!BF73)</f>
        <v/>
      </c>
      <c r="BG73" s="10" t="str">
        <f>IF(Briefing_FID!BG73="","",Briefing_FID!BG73)</f>
        <v/>
      </c>
      <c r="BH73" s="100" t="str">
        <f>IF(Briefing_FID!BH73="","",Briefing_FID!BH73)</f>
        <v/>
      </c>
      <c r="BI73" s="3" t="str">
        <f>IF(Briefing_FID!BI73="","",Briefing_FID!BI73)</f>
        <v/>
      </c>
      <c r="BJ73" s="10" t="str">
        <f>IF(Briefing_FID!BJ73="","",Briefing_FID!BJ73)</f>
        <v/>
      </c>
      <c r="BK73" s="100" t="str">
        <f>IF(Briefing_FID!BK73="","",Briefing_FID!BK73)</f>
        <v/>
      </c>
      <c r="BL73" s="3" t="str">
        <f>IF(Briefing_FID!BL73="","",Briefing_FID!BL73)</f>
        <v/>
      </c>
      <c r="BM73" s="28" t="str">
        <f>IF(Briefing_FID!BM73="","",Briefing_FID!BM73)</f>
        <v/>
      </c>
      <c r="BN73" s="100" t="str">
        <f>IF(Briefing_FID!BN73="","",Briefing_FID!BN73)</f>
        <v/>
      </c>
      <c r="BO73" s="3" t="str">
        <f>IF(Briefing_FID!BO73="","",Briefing_FID!BO73)</f>
        <v/>
      </c>
      <c r="BP73" s="28" t="str">
        <f>IF(Briefing_FID!BP73="","",Briefing_FID!BP73)</f>
        <v/>
      </c>
      <c r="BQ73" s="100" t="str">
        <f>IF(Briefing_FID!BQ73="","",Briefing_FID!BQ73)</f>
        <v/>
      </c>
      <c r="BR73" s="3" t="str">
        <f>IF(Briefing_FID!BR73="","",Briefing_FID!BR73)</f>
        <v/>
      </c>
      <c r="BS73" s="28" t="str">
        <f>IF(Briefing_FID!BS73="","",Briefing_FID!BS73)</f>
        <v/>
      </c>
      <c r="BT73" s="100" t="str">
        <f>IF(Briefing_FID!BT73="","",Briefing_FID!BT73)</f>
        <v/>
      </c>
      <c r="BU73" s="3" t="str">
        <f>IF(Briefing_FID!BU73="","",Briefing_FID!BU73)</f>
        <v/>
      </c>
      <c r="BV73" s="28" t="str">
        <f>IF(Briefing_FID!BV73="","",Briefing_FID!BV73)</f>
        <v/>
      </c>
      <c r="BW73" s="100" t="str">
        <f>IF(Briefing_FID!BW73="","",Briefing_FID!BW73)</f>
        <v/>
      </c>
      <c r="BX73" s="3" t="str">
        <f>IF(Briefing_FID!BX73="","",Briefing_FID!BX73)</f>
        <v/>
      </c>
      <c r="BY73" s="28" t="str">
        <f>IF(Briefing_FID!BY73="","",Briefing_FID!BY73)</f>
        <v/>
      </c>
      <c r="BZ73" s="100" t="str">
        <f>IF(Briefing_FID!BZ73="","",Briefing_FID!BZ73)</f>
        <v/>
      </c>
      <c r="CA73" s="3" t="str">
        <f>IF(Briefing_FID!CA73="","",Briefing_FID!CA73)</f>
        <v/>
      </c>
      <c r="CB73" s="28" t="str">
        <f>IF(Briefing_FID!CB73="","",Briefing_FID!CB73)</f>
        <v/>
      </c>
      <c r="CC73" s="100" t="str">
        <f>IF(Briefing_FID!CC73="","",Briefing_FID!CC73)</f>
        <v/>
      </c>
      <c r="CD73" s="3" t="str">
        <f>IF(Briefing_FID!CD73="","",Briefing_FID!CD73)</f>
        <v/>
      </c>
      <c r="CE73" s="28" t="str">
        <f>IF(Briefing_FID!CE73="","",Briefing_FID!CE73)</f>
        <v/>
      </c>
      <c r="CF73" s="100" t="str">
        <f>IF(Briefing_FID!CF73="","",Briefing_FID!CF73)</f>
        <v/>
      </c>
      <c r="CG73" s="3" t="str">
        <f>IF(Briefing_FID!CG73="","",Briefing_FID!CG73)</f>
        <v/>
      </c>
      <c r="CH73" s="28" t="str">
        <f>IF(Briefing_FID!CH73="","",Briefing_FID!CH73)</f>
        <v/>
      </c>
      <c r="CI73" s="100" t="str">
        <f>IF(Briefing_FID!CI73="","",Briefing_FID!CI73)</f>
        <v/>
      </c>
      <c r="CJ73" s="3" t="str">
        <f>IF(Briefing_FID!CJ73="","",Briefing_FID!CJ73)</f>
        <v/>
      </c>
      <c r="CK73" s="28" t="str">
        <f>IF(Briefing_FID!CK73="","",Briefing_FID!CK73)</f>
        <v/>
      </c>
      <c r="CL73" s="100" t="str">
        <f>IF(Briefing_FID!CL73="","",Briefing_FID!CL73)</f>
        <v/>
      </c>
      <c r="CM73" s="3" t="str">
        <f>IF(Briefing_FID!CM73="","",Briefing_FID!CM73)</f>
        <v/>
      </c>
      <c r="CN73" s="28" t="str">
        <f>IF(Briefing_FID!CN73="","",Briefing_FID!CN73)</f>
        <v/>
      </c>
      <c r="CO73" s="100" t="str">
        <f>IF(Briefing_FID!CO73="","",Briefing_FID!CO73)</f>
        <v/>
      </c>
      <c r="CP73" s="3" t="str">
        <f>IF(Briefing_FID!CP73="","",Briefing_FID!CP73)</f>
        <v/>
      </c>
      <c r="CQ73" s="28" t="str">
        <f>IF(Briefing_FID!CQ73="","",Briefing_FID!CQ73)</f>
        <v/>
      </c>
      <c r="CR73" s="100" t="str">
        <f>IF(Briefing_FID!CR73="","",Briefing_FID!CR73)</f>
        <v/>
      </c>
      <c r="CS73" s="3" t="str">
        <f>IF(Briefing_FID!CS73="","",Briefing_FID!CS73)</f>
        <v/>
      </c>
      <c r="CT73" s="28" t="str">
        <f>IF(Briefing_FID!CT73="","",Briefing_FID!CT73)</f>
        <v/>
      </c>
      <c r="CU73" s="100" t="str">
        <f>IF(Briefing_FID!CU73="","",Briefing_FID!CU73)</f>
        <v/>
      </c>
      <c r="CV73" s="3" t="str">
        <f>IF(Briefing_FID!CV73="","",Briefing_FID!CV73)</f>
        <v/>
      </c>
      <c r="CW73" s="28" t="str">
        <f>IF(Briefing_FID!CW73="","",Briefing_FID!CW73)</f>
        <v/>
      </c>
      <c r="CX73" s="100" t="str">
        <f>IF(Briefing_FID!CX73="","",Briefing_FID!CX73)</f>
        <v/>
      </c>
      <c r="CY73" s="3" t="str">
        <f>IF(Briefing_FID!CY73="","",Briefing_FID!CY73)</f>
        <v/>
      </c>
      <c r="CZ73" s="28" t="str">
        <f>IF(Briefing_FID!CZ73="","",Briefing_FID!CZ73)</f>
        <v/>
      </c>
      <c r="DA73" s="100" t="str">
        <f>IF(Briefing_FID!DA73="","",Briefing_FID!DA73)</f>
        <v/>
      </c>
      <c r="DB73" s="3" t="str">
        <f>IF(Briefing_FID!DB73="","",Briefing_FID!DB73)</f>
        <v/>
      </c>
      <c r="DC73" s="28" t="str">
        <f>IF(Briefing_FID!DC73="","",Briefing_FID!DC73)</f>
        <v/>
      </c>
      <c r="DD73" s="100" t="str">
        <f>IF(Briefing_FID!DD73="","",Briefing_FID!DD73)</f>
        <v/>
      </c>
      <c r="DE73" s="3" t="str">
        <f>IF(Briefing_FID!DE73="","",Briefing_FID!DE73)</f>
        <v/>
      </c>
      <c r="DF73" s="28" t="str">
        <f>IF(Briefing_FID!DF73="","",Briefing_FID!DF73)</f>
        <v/>
      </c>
      <c r="DG73" s="100" t="str">
        <f>IF(Briefing_FID!DG73="","",Briefing_FID!DG73)</f>
        <v/>
      </c>
      <c r="DH73" s="3" t="str">
        <f>IF(Briefing_FID!DH73="","",Briefing_FID!DH73)</f>
        <v/>
      </c>
      <c r="DI73" s="28" t="str">
        <f>IF(Briefing_FID!DI73="","",Briefing_FID!DI73)</f>
        <v/>
      </c>
      <c r="DJ73" s="100" t="str">
        <f>IF(Briefing_FID!DJ73="","",Briefing_FID!DJ73)</f>
        <v/>
      </c>
      <c r="DK73" s="3" t="str">
        <f>IF(Briefing_FID!DK73="","",Briefing_FID!DK73)</f>
        <v/>
      </c>
      <c r="DL73" s="28" t="str">
        <f>IF(Briefing_FID!DL73="","",Briefing_FID!DL73)</f>
        <v/>
      </c>
      <c r="DM73" s="100" t="str">
        <f>IF(Briefing_FID!DM73="","",Briefing_FID!DM73)</f>
        <v/>
      </c>
      <c r="DN73" s="3" t="str">
        <f>IF(Briefing_FID!DN73="","",Briefing_FID!DN73)</f>
        <v/>
      </c>
      <c r="DO73" s="28" t="str">
        <f>IF(Briefing_FID!DO73="","",Briefing_FID!DO73)</f>
        <v/>
      </c>
      <c r="DP73" s="100" t="str">
        <f>IF(Briefing_FID!DP73="","",Briefing_FID!DP73)</f>
        <v/>
      </c>
      <c r="DQ73" s="3" t="str">
        <f>IF(Briefing_FID!DQ73="","",Briefing_FID!DQ73)</f>
        <v/>
      </c>
      <c r="DR73" s="28" t="str">
        <f>IF(Briefing_FID!DR73="","",Briefing_FID!DR73)</f>
        <v/>
      </c>
      <c r="DS73" s="100" t="str">
        <f>IF(Briefing_FID!DS73="","",Briefing_FID!DS73)</f>
        <v/>
      </c>
      <c r="DT73" s="3" t="str">
        <f>IF(Briefing_FID!DT73="","",Briefing_FID!DT73)</f>
        <v/>
      </c>
      <c r="DU73" s="28" t="str">
        <f>IF(Briefing_FID!DU73="","",Briefing_FID!DU73)</f>
        <v/>
      </c>
      <c r="DV73" s="100" t="str">
        <f>IF(Briefing_FID!DV73="","",Briefing_FID!DV73)</f>
        <v/>
      </c>
      <c r="DW73" s="3" t="str">
        <f>IF(Briefing_FID!DW73="","",Briefing_FID!DW73)</f>
        <v/>
      </c>
      <c r="DX73" s="28" t="str">
        <f>IF(Briefing_FID!DX73="","",Briefing_FID!DX73)</f>
        <v/>
      </c>
      <c r="DY73" s="100" t="str">
        <f>IF(Briefing_FID!DY73="","",Briefing_FID!DY73)</f>
        <v/>
      </c>
      <c r="DZ73" s="3" t="str">
        <f>IF(Briefing_FID!DZ73="","",Briefing_FID!DZ73)</f>
        <v/>
      </c>
      <c r="EA73" s="28" t="str">
        <f>IF(Briefing_FID!EA73="","",Briefing_FID!EA73)</f>
        <v/>
      </c>
      <c r="EB73" s="100" t="str">
        <f>IF(Briefing_FID!EB73="","",Briefing_FID!EB73)</f>
        <v/>
      </c>
      <c r="EC73" s="3" t="str">
        <f>IF(Briefing_FID!EC73="","",Briefing_FID!EC73)</f>
        <v/>
      </c>
      <c r="ED73" s="28" t="str">
        <f>IF(Briefing_FID!ED73="","",Briefing_FID!ED73)</f>
        <v/>
      </c>
      <c r="EE73" s="100" t="str">
        <f>IF(Briefing_FID!EE73="","",Briefing_FID!EE73)</f>
        <v/>
      </c>
      <c r="EF73" s="3" t="str">
        <f>IF(Briefing_FID!EF73="","",Briefing_FID!EF73)</f>
        <v/>
      </c>
      <c r="EG73" s="28" t="str">
        <f>IF(Briefing_FID!EG73="","",Briefing_FID!EG73)</f>
        <v/>
      </c>
      <c r="EH73" s="100" t="str">
        <f>IF(Briefing_FID!EH73="","",Briefing_FID!EH73)</f>
        <v/>
      </c>
      <c r="EI73" s="3" t="str">
        <f>IF(Briefing_FID!EI73="","",Briefing_FID!EI73)</f>
        <v/>
      </c>
      <c r="EJ73" s="28" t="str">
        <f>IF(Briefing_FID!EJ73="","",Briefing_FID!EJ73)</f>
        <v/>
      </c>
      <c r="EK73" s="100" t="str">
        <f>IF(Briefing_FID!EK73="","",Briefing_FID!EK73)</f>
        <v/>
      </c>
      <c r="EL73" s="3" t="str">
        <f>IF(Briefing_FID!EL73="","",Briefing_FID!EL73)</f>
        <v/>
      </c>
      <c r="EM73" s="28" t="str">
        <f>IF(Briefing_FID!EM73="","",Briefing_FID!EM73)</f>
        <v/>
      </c>
      <c r="EN73" s="100" t="str">
        <f>IF(Briefing_FID!EN73="","",Briefing_FID!EN73)</f>
        <v/>
      </c>
      <c r="EO73" s="3" t="str">
        <f>IF(Briefing_FID!EO73="","",Briefing_FID!EO73)</f>
        <v/>
      </c>
      <c r="EP73" s="28" t="str">
        <f>IF(Briefing_FID!EP73="","",Briefing_FID!EP73)</f>
        <v/>
      </c>
      <c r="EQ73" s="28" t="str">
        <f>IF(Briefing_FID!EQ73="","",Briefing_FID!EQ73)</f>
        <v/>
      </c>
      <c r="ER73" s="28" t="str">
        <f>IF(Briefing_FID!ER73="","",Briefing_FID!ER73)</f>
        <v/>
      </c>
      <c r="ES73" s="62"/>
      <c r="ET73" s="96" t="str">
        <f>IF(Briefing_FID!EZ73="","",Briefing_FID!EZ73)</f>
        <v/>
      </c>
      <c r="EU73" s="97" t="str">
        <f>IF(Briefing_FID!FA73="","",Briefing_FID!FA73)</f>
        <v/>
      </c>
      <c r="EV73" s="98" t="str">
        <f>IF(Briefing_FID!FB73="","",Briefing_FID!FB73)</f>
        <v/>
      </c>
      <c r="EW73" s="96" t="str">
        <f>IF(Briefing_FID!FC73="","",Briefing_FID!FC73)</f>
        <v/>
      </c>
      <c r="EX73" s="97" t="str">
        <f>IF(Briefing_FID!FD73="","",Briefing_FID!FD73)</f>
        <v/>
      </c>
      <c r="EY73" s="98" t="str">
        <f>IF(Briefing_FID!FE73="","",Briefing_FID!FE73)</f>
        <v/>
      </c>
      <c r="EZ73" s="104" t="str">
        <f>IF(Briefing_FID!FF73="","",Briefing_FID!FF73)</f>
        <v/>
      </c>
      <c r="FA73" s="144" t="str">
        <f>IF(Briefing_FID!FG73="","",Briefing_FID!FG73)</f>
        <v/>
      </c>
      <c r="FB73" s="144" t="str">
        <f>IF(Briefing_FID!FH73="","",Briefing_FID!FH73)</f>
        <v/>
      </c>
      <c r="FC73" s="144" t="str">
        <f>IF(Briefing_FID!FI73="","",Briefing_FID!FI73)</f>
        <v/>
      </c>
      <c r="FD73" s="144" t="str">
        <f>IF(Briefing_FID!FJ73="","",Briefing_FID!FJ73)</f>
        <v/>
      </c>
      <c r="FE73" s="144" t="str">
        <f>IF(Briefing_FID!FK73="","",Briefing_FID!FK73)</f>
        <v/>
      </c>
      <c r="FF73" s="144" t="str">
        <f>IF(Briefing_FID!FL73="","",Briefing_FID!FL73)</f>
        <v/>
      </c>
      <c r="FG73" s="144" t="str">
        <f>IF(Briefing_FID!FM73="","",Briefing_FID!FM73)</f>
        <v/>
      </c>
      <c r="FH73" s="144" t="str">
        <f>IF(Briefing_FID!FN73="","",Briefing_FID!FN73)</f>
        <v/>
      </c>
      <c r="FI73" s="144" t="str">
        <f>IF(Briefing_FID!FO73="","",Briefing_FID!FO73)</f>
        <v/>
      </c>
      <c r="FJ73" s="144" t="str">
        <f>IF(Briefing_FID!FP73="","",Briefing_FID!FP73)</f>
        <v/>
      </c>
      <c r="FK73" s="144" t="str">
        <f>IF(Briefing_FID!FQ73="","",Briefing_FID!FQ73)</f>
        <v/>
      </c>
      <c r="FL73" s="144" t="str">
        <f>IF(Briefing_FID!FR73="","",Briefing_FID!FR73)</f>
        <v/>
      </c>
      <c r="FM73" s="144" t="str">
        <f>IF(Briefing_FID!FS73="","",Briefing_FID!FS73)</f>
        <v/>
      </c>
      <c r="FN73" s="144" t="str">
        <f>IF(Briefing_FID!FT73="","",Briefing_FID!FT73)</f>
        <v/>
      </c>
      <c r="FO73" s="144" t="str">
        <f>IF(Briefing_FID!FU73="","",Briefing_FID!FU73)</f>
        <v/>
      </c>
      <c r="FP73" s="144" t="str">
        <f>IF(Briefing_FID!FV73="","",Briefing_FID!FV73)</f>
        <v/>
      </c>
      <c r="FQ73" s="144" t="str">
        <f>IF(Briefing_FID!FW73="","",Briefing_FID!FW73)</f>
        <v/>
      </c>
      <c r="FR73" s="151"/>
      <c r="FS73" s="152"/>
      <c r="FT73" s="152"/>
      <c r="FU73" s="152"/>
      <c r="FV73" s="152"/>
      <c r="FW73" s="152"/>
      <c r="FX73" s="152"/>
      <c r="FY73" s="152"/>
      <c r="FZ73" s="152"/>
      <c r="GA73" s="153"/>
    </row>
    <row r="74" spans="1:183">
      <c r="A74" s="136" t="str">
        <f>IF(Briefing_FID!A74="","",Briefing_FID!A74)</f>
        <v/>
      </c>
      <c r="B74" s="137" t="str">
        <f>IF(Briefing_FID!B74="","",Briefing_FID!B74)</f>
        <v/>
      </c>
      <c r="C74" s="137" t="str">
        <f>IF(Briefing_FID!C74="","",Briefing_FID!C74)</f>
        <v/>
      </c>
      <c r="D74" s="46"/>
      <c r="E74" s="120"/>
      <c r="F74" s="117"/>
      <c r="G74" s="117"/>
      <c r="H74" s="72"/>
      <c r="I74" s="72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23"/>
      <c r="AD74" s="117"/>
      <c r="AE74" s="117"/>
      <c r="AF74" s="117"/>
      <c r="AG74" s="117"/>
      <c r="AH74" s="117"/>
      <c r="AI74" s="117"/>
      <c r="AJ74" s="117"/>
      <c r="AK74" s="117"/>
      <c r="AL74" s="124"/>
      <c r="AM74" s="37"/>
      <c r="AN74" s="38"/>
      <c r="AO74" s="39"/>
      <c r="AP74" s="111" t="str">
        <f>IF(Briefing_FID!AP74="","",Briefing_FID!AP74)</f>
        <v/>
      </c>
      <c r="AQ74" s="112" t="str">
        <f>IF(Briefing_FID!AQ74="","",Briefing_FID!AQ74)</f>
        <v/>
      </c>
      <c r="AR74" s="107" t="str">
        <f>IF(Briefing_FID!AR74="","",Briefing_FID!AR74)</f>
        <v/>
      </c>
      <c r="AS74" s="108" t="str">
        <f>IF(Briefing_FID!AS74="","",Briefing_FID!AS74)</f>
        <v/>
      </c>
      <c r="AT74" s="113" t="str">
        <f>IF(Briefing_FID!AT74="","",Briefing_FID!AT74)</f>
        <v/>
      </c>
      <c r="AU74" s="113" t="str">
        <f>IF(Briefing_FID!AU74="","",Briefing_FID!AU74)</f>
        <v/>
      </c>
      <c r="AV74" s="113" t="str">
        <f>IF(Briefing_FID!AV74="","",Briefing_FID!AV74)</f>
        <v/>
      </c>
      <c r="AW74" s="113" t="str">
        <f>IF(Briefing_FID!AW74="","",Briefing_FID!AW74)</f>
        <v/>
      </c>
      <c r="AX74" s="114" t="str">
        <f>IF(Briefing_FID!AX74="","",Briefing_FID!AX74)</f>
        <v/>
      </c>
      <c r="AY74" s="71"/>
      <c r="AZ74" s="117" t="str">
        <f>IF(Briefing_FID!AZ74="","",Briefing_FID!AZ74)</f>
        <v/>
      </c>
      <c r="BA74" s="118" t="str">
        <f>IF(Briefing_FID!BA74="","",Briefing_FID!BA74)</f>
        <v/>
      </c>
      <c r="BB74" s="55"/>
      <c r="BC74" s="102" t="str">
        <f>IF(Briefing_FID!BC74="","",Briefing_FID!BC74)</f>
        <v/>
      </c>
      <c r="BD74" s="27" t="str">
        <f>IF(Briefing_FID!BD74="","",Briefing_FID!BD74)</f>
        <v/>
      </c>
      <c r="BE74" s="100" t="str">
        <f>IF(Briefing_FID!BE74="","",Briefing_FID!BE74)</f>
        <v/>
      </c>
      <c r="BF74" s="3" t="str">
        <f>IF(Briefing_FID!BF74="","",Briefing_FID!BF74)</f>
        <v/>
      </c>
      <c r="BG74" s="10" t="str">
        <f>IF(Briefing_FID!BG74="","",Briefing_FID!BG74)</f>
        <v/>
      </c>
      <c r="BH74" s="100" t="str">
        <f>IF(Briefing_FID!BH74="","",Briefing_FID!BH74)</f>
        <v/>
      </c>
      <c r="BI74" s="3" t="str">
        <f>IF(Briefing_FID!BI74="","",Briefing_FID!BI74)</f>
        <v/>
      </c>
      <c r="BJ74" s="10" t="str">
        <f>IF(Briefing_FID!BJ74="","",Briefing_FID!BJ74)</f>
        <v/>
      </c>
      <c r="BK74" s="100" t="str">
        <f>IF(Briefing_FID!BK74="","",Briefing_FID!BK74)</f>
        <v/>
      </c>
      <c r="BL74" s="3" t="str">
        <f>IF(Briefing_FID!BL74="","",Briefing_FID!BL74)</f>
        <v/>
      </c>
      <c r="BM74" s="28" t="str">
        <f>IF(Briefing_FID!BM74="","",Briefing_FID!BM74)</f>
        <v/>
      </c>
      <c r="BN74" s="100" t="str">
        <f>IF(Briefing_FID!BN74="","",Briefing_FID!BN74)</f>
        <v/>
      </c>
      <c r="BO74" s="3" t="str">
        <f>IF(Briefing_FID!BO74="","",Briefing_FID!BO74)</f>
        <v/>
      </c>
      <c r="BP74" s="28" t="str">
        <f>IF(Briefing_FID!BP74="","",Briefing_FID!BP74)</f>
        <v/>
      </c>
      <c r="BQ74" s="100" t="str">
        <f>IF(Briefing_FID!BQ74="","",Briefing_FID!BQ74)</f>
        <v/>
      </c>
      <c r="BR74" s="3" t="str">
        <f>IF(Briefing_FID!BR74="","",Briefing_FID!BR74)</f>
        <v/>
      </c>
      <c r="BS74" s="28" t="str">
        <f>IF(Briefing_FID!BS74="","",Briefing_FID!BS74)</f>
        <v/>
      </c>
      <c r="BT74" s="100" t="str">
        <f>IF(Briefing_FID!BT74="","",Briefing_FID!BT74)</f>
        <v/>
      </c>
      <c r="BU74" s="3" t="str">
        <f>IF(Briefing_FID!BU74="","",Briefing_FID!BU74)</f>
        <v/>
      </c>
      <c r="BV74" s="28" t="str">
        <f>IF(Briefing_FID!BV74="","",Briefing_FID!BV74)</f>
        <v/>
      </c>
      <c r="BW74" s="100" t="str">
        <f>IF(Briefing_FID!BW74="","",Briefing_FID!BW74)</f>
        <v/>
      </c>
      <c r="BX74" s="3" t="str">
        <f>IF(Briefing_FID!BX74="","",Briefing_FID!BX74)</f>
        <v/>
      </c>
      <c r="BY74" s="28" t="str">
        <f>IF(Briefing_FID!BY74="","",Briefing_FID!BY74)</f>
        <v/>
      </c>
      <c r="BZ74" s="100" t="str">
        <f>IF(Briefing_FID!BZ74="","",Briefing_FID!BZ74)</f>
        <v/>
      </c>
      <c r="CA74" s="3" t="str">
        <f>IF(Briefing_FID!CA74="","",Briefing_FID!CA74)</f>
        <v/>
      </c>
      <c r="CB74" s="28" t="str">
        <f>IF(Briefing_FID!CB74="","",Briefing_FID!CB74)</f>
        <v/>
      </c>
      <c r="CC74" s="100" t="str">
        <f>IF(Briefing_FID!CC74="","",Briefing_FID!CC74)</f>
        <v/>
      </c>
      <c r="CD74" s="3" t="str">
        <f>IF(Briefing_FID!CD74="","",Briefing_FID!CD74)</f>
        <v/>
      </c>
      <c r="CE74" s="28" t="str">
        <f>IF(Briefing_FID!CE74="","",Briefing_FID!CE74)</f>
        <v/>
      </c>
      <c r="CF74" s="100" t="str">
        <f>IF(Briefing_FID!CF74="","",Briefing_FID!CF74)</f>
        <v/>
      </c>
      <c r="CG74" s="3" t="str">
        <f>IF(Briefing_FID!CG74="","",Briefing_FID!CG74)</f>
        <v/>
      </c>
      <c r="CH74" s="28" t="str">
        <f>IF(Briefing_FID!CH74="","",Briefing_FID!CH74)</f>
        <v/>
      </c>
      <c r="CI74" s="100" t="str">
        <f>IF(Briefing_FID!CI74="","",Briefing_FID!CI74)</f>
        <v/>
      </c>
      <c r="CJ74" s="3" t="str">
        <f>IF(Briefing_FID!CJ74="","",Briefing_FID!CJ74)</f>
        <v/>
      </c>
      <c r="CK74" s="28" t="str">
        <f>IF(Briefing_FID!CK74="","",Briefing_FID!CK74)</f>
        <v/>
      </c>
      <c r="CL74" s="100" t="str">
        <f>IF(Briefing_FID!CL74="","",Briefing_FID!CL74)</f>
        <v/>
      </c>
      <c r="CM74" s="3" t="str">
        <f>IF(Briefing_FID!CM74="","",Briefing_FID!CM74)</f>
        <v/>
      </c>
      <c r="CN74" s="28" t="str">
        <f>IF(Briefing_FID!CN74="","",Briefing_FID!CN74)</f>
        <v/>
      </c>
      <c r="CO74" s="100" t="str">
        <f>IF(Briefing_FID!CO74="","",Briefing_FID!CO74)</f>
        <v/>
      </c>
      <c r="CP74" s="3" t="str">
        <f>IF(Briefing_FID!CP74="","",Briefing_FID!CP74)</f>
        <v/>
      </c>
      <c r="CQ74" s="28" t="str">
        <f>IF(Briefing_FID!CQ74="","",Briefing_FID!CQ74)</f>
        <v/>
      </c>
      <c r="CR74" s="100" t="str">
        <f>IF(Briefing_FID!CR74="","",Briefing_FID!CR74)</f>
        <v/>
      </c>
      <c r="CS74" s="3" t="str">
        <f>IF(Briefing_FID!CS74="","",Briefing_FID!CS74)</f>
        <v/>
      </c>
      <c r="CT74" s="28" t="str">
        <f>IF(Briefing_FID!CT74="","",Briefing_FID!CT74)</f>
        <v/>
      </c>
      <c r="CU74" s="100" t="str">
        <f>IF(Briefing_FID!CU74="","",Briefing_FID!CU74)</f>
        <v/>
      </c>
      <c r="CV74" s="3" t="str">
        <f>IF(Briefing_FID!CV74="","",Briefing_FID!CV74)</f>
        <v/>
      </c>
      <c r="CW74" s="28" t="str">
        <f>IF(Briefing_FID!CW74="","",Briefing_FID!CW74)</f>
        <v/>
      </c>
      <c r="CX74" s="100" t="str">
        <f>IF(Briefing_FID!CX74="","",Briefing_FID!CX74)</f>
        <v/>
      </c>
      <c r="CY74" s="3" t="str">
        <f>IF(Briefing_FID!CY74="","",Briefing_FID!CY74)</f>
        <v/>
      </c>
      <c r="CZ74" s="28" t="str">
        <f>IF(Briefing_FID!CZ74="","",Briefing_FID!CZ74)</f>
        <v/>
      </c>
      <c r="DA74" s="100" t="str">
        <f>IF(Briefing_FID!DA74="","",Briefing_FID!DA74)</f>
        <v/>
      </c>
      <c r="DB74" s="3" t="str">
        <f>IF(Briefing_FID!DB74="","",Briefing_FID!DB74)</f>
        <v/>
      </c>
      <c r="DC74" s="28" t="str">
        <f>IF(Briefing_FID!DC74="","",Briefing_FID!DC74)</f>
        <v/>
      </c>
      <c r="DD74" s="100" t="str">
        <f>IF(Briefing_FID!DD74="","",Briefing_FID!DD74)</f>
        <v/>
      </c>
      <c r="DE74" s="3" t="str">
        <f>IF(Briefing_FID!DE74="","",Briefing_FID!DE74)</f>
        <v/>
      </c>
      <c r="DF74" s="28" t="str">
        <f>IF(Briefing_FID!DF74="","",Briefing_FID!DF74)</f>
        <v/>
      </c>
      <c r="DG74" s="100" t="str">
        <f>IF(Briefing_FID!DG74="","",Briefing_FID!DG74)</f>
        <v/>
      </c>
      <c r="DH74" s="3" t="str">
        <f>IF(Briefing_FID!DH74="","",Briefing_FID!DH74)</f>
        <v/>
      </c>
      <c r="DI74" s="28" t="str">
        <f>IF(Briefing_FID!DI74="","",Briefing_FID!DI74)</f>
        <v/>
      </c>
      <c r="DJ74" s="100" t="str">
        <f>IF(Briefing_FID!DJ74="","",Briefing_FID!DJ74)</f>
        <v/>
      </c>
      <c r="DK74" s="3" t="str">
        <f>IF(Briefing_FID!DK74="","",Briefing_FID!DK74)</f>
        <v/>
      </c>
      <c r="DL74" s="28" t="str">
        <f>IF(Briefing_FID!DL74="","",Briefing_FID!DL74)</f>
        <v/>
      </c>
      <c r="DM74" s="100" t="str">
        <f>IF(Briefing_FID!DM74="","",Briefing_FID!DM74)</f>
        <v/>
      </c>
      <c r="DN74" s="3" t="str">
        <f>IF(Briefing_FID!DN74="","",Briefing_FID!DN74)</f>
        <v/>
      </c>
      <c r="DO74" s="28" t="str">
        <f>IF(Briefing_FID!DO74="","",Briefing_FID!DO74)</f>
        <v/>
      </c>
      <c r="DP74" s="100" t="str">
        <f>IF(Briefing_FID!DP74="","",Briefing_FID!DP74)</f>
        <v/>
      </c>
      <c r="DQ74" s="3" t="str">
        <f>IF(Briefing_FID!DQ74="","",Briefing_FID!DQ74)</f>
        <v/>
      </c>
      <c r="DR74" s="28" t="str">
        <f>IF(Briefing_FID!DR74="","",Briefing_FID!DR74)</f>
        <v/>
      </c>
      <c r="DS74" s="100" t="str">
        <f>IF(Briefing_FID!DS74="","",Briefing_FID!DS74)</f>
        <v/>
      </c>
      <c r="DT74" s="3" t="str">
        <f>IF(Briefing_FID!DT74="","",Briefing_FID!DT74)</f>
        <v/>
      </c>
      <c r="DU74" s="28" t="str">
        <f>IF(Briefing_FID!DU74="","",Briefing_FID!DU74)</f>
        <v/>
      </c>
      <c r="DV74" s="100" t="str">
        <f>IF(Briefing_FID!DV74="","",Briefing_FID!DV74)</f>
        <v/>
      </c>
      <c r="DW74" s="3" t="str">
        <f>IF(Briefing_FID!DW74="","",Briefing_FID!DW74)</f>
        <v/>
      </c>
      <c r="DX74" s="28" t="str">
        <f>IF(Briefing_FID!DX74="","",Briefing_FID!DX74)</f>
        <v/>
      </c>
      <c r="DY74" s="100" t="str">
        <f>IF(Briefing_FID!DY74="","",Briefing_FID!DY74)</f>
        <v/>
      </c>
      <c r="DZ74" s="3" t="str">
        <f>IF(Briefing_FID!DZ74="","",Briefing_FID!DZ74)</f>
        <v/>
      </c>
      <c r="EA74" s="28" t="str">
        <f>IF(Briefing_FID!EA74="","",Briefing_FID!EA74)</f>
        <v/>
      </c>
      <c r="EB74" s="100" t="str">
        <f>IF(Briefing_FID!EB74="","",Briefing_FID!EB74)</f>
        <v/>
      </c>
      <c r="EC74" s="3" t="str">
        <f>IF(Briefing_FID!EC74="","",Briefing_FID!EC74)</f>
        <v/>
      </c>
      <c r="ED74" s="28" t="str">
        <f>IF(Briefing_FID!ED74="","",Briefing_FID!ED74)</f>
        <v/>
      </c>
      <c r="EE74" s="100" t="str">
        <f>IF(Briefing_FID!EE74="","",Briefing_FID!EE74)</f>
        <v/>
      </c>
      <c r="EF74" s="3" t="str">
        <f>IF(Briefing_FID!EF74="","",Briefing_FID!EF74)</f>
        <v/>
      </c>
      <c r="EG74" s="28" t="str">
        <f>IF(Briefing_FID!EG74="","",Briefing_FID!EG74)</f>
        <v/>
      </c>
      <c r="EH74" s="100" t="str">
        <f>IF(Briefing_FID!EH74="","",Briefing_FID!EH74)</f>
        <v/>
      </c>
      <c r="EI74" s="3" t="str">
        <f>IF(Briefing_FID!EI74="","",Briefing_FID!EI74)</f>
        <v/>
      </c>
      <c r="EJ74" s="28" t="str">
        <f>IF(Briefing_FID!EJ74="","",Briefing_FID!EJ74)</f>
        <v/>
      </c>
      <c r="EK74" s="100" t="str">
        <f>IF(Briefing_FID!EK74="","",Briefing_FID!EK74)</f>
        <v/>
      </c>
      <c r="EL74" s="3" t="str">
        <f>IF(Briefing_FID!EL74="","",Briefing_FID!EL74)</f>
        <v/>
      </c>
      <c r="EM74" s="28" t="str">
        <f>IF(Briefing_FID!EM74="","",Briefing_FID!EM74)</f>
        <v/>
      </c>
      <c r="EN74" s="100" t="str">
        <f>IF(Briefing_FID!EN74="","",Briefing_FID!EN74)</f>
        <v/>
      </c>
      <c r="EO74" s="3" t="str">
        <f>IF(Briefing_FID!EO74="","",Briefing_FID!EO74)</f>
        <v/>
      </c>
      <c r="EP74" s="28" t="str">
        <f>IF(Briefing_FID!EP74="","",Briefing_FID!EP74)</f>
        <v/>
      </c>
      <c r="EQ74" s="28" t="str">
        <f>IF(Briefing_FID!EQ74="","",Briefing_FID!EQ74)</f>
        <v/>
      </c>
      <c r="ER74" s="28" t="str">
        <f>IF(Briefing_FID!ER74="","",Briefing_FID!ER74)</f>
        <v/>
      </c>
      <c r="ES74" s="62"/>
      <c r="ET74" s="96" t="str">
        <f>IF(Briefing_FID!EZ74="","",Briefing_FID!EZ74)</f>
        <v/>
      </c>
      <c r="EU74" s="97" t="str">
        <f>IF(Briefing_FID!FA74="","",Briefing_FID!FA74)</f>
        <v/>
      </c>
      <c r="EV74" s="98" t="str">
        <f>IF(Briefing_FID!FB74="","",Briefing_FID!FB74)</f>
        <v/>
      </c>
      <c r="EW74" s="96" t="str">
        <f>IF(Briefing_FID!FC74="","",Briefing_FID!FC74)</f>
        <v/>
      </c>
      <c r="EX74" s="97" t="str">
        <f>IF(Briefing_FID!FD74="","",Briefing_FID!FD74)</f>
        <v/>
      </c>
      <c r="EY74" s="98" t="str">
        <f>IF(Briefing_FID!FE74="","",Briefing_FID!FE74)</f>
        <v/>
      </c>
      <c r="EZ74" s="104" t="str">
        <f>IF(Briefing_FID!FF74="","",Briefing_FID!FF74)</f>
        <v/>
      </c>
      <c r="FA74" s="144" t="str">
        <f>IF(Briefing_FID!FG74="","",Briefing_FID!FG74)</f>
        <v/>
      </c>
      <c r="FB74" s="144" t="str">
        <f>IF(Briefing_FID!FH74="","",Briefing_FID!FH74)</f>
        <v/>
      </c>
      <c r="FC74" s="144" t="str">
        <f>IF(Briefing_FID!FI74="","",Briefing_FID!FI74)</f>
        <v/>
      </c>
      <c r="FD74" s="144" t="str">
        <f>IF(Briefing_FID!FJ74="","",Briefing_FID!FJ74)</f>
        <v/>
      </c>
      <c r="FE74" s="144" t="str">
        <f>IF(Briefing_FID!FK74="","",Briefing_FID!FK74)</f>
        <v/>
      </c>
      <c r="FF74" s="144" t="str">
        <f>IF(Briefing_FID!FL74="","",Briefing_FID!FL74)</f>
        <v/>
      </c>
      <c r="FG74" s="144" t="str">
        <f>IF(Briefing_FID!FM74="","",Briefing_FID!FM74)</f>
        <v/>
      </c>
      <c r="FH74" s="144" t="str">
        <f>IF(Briefing_FID!FN74="","",Briefing_FID!FN74)</f>
        <v/>
      </c>
      <c r="FI74" s="144" t="str">
        <f>IF(Briefing_FID!FO74="","",Briefing_FID!FO74)</f>
        <v/>
      </c>
      <c r="FJ74" s="144" t="str">
        <f>IF(Briefing_FID!FP74="","",Briefing_FID!FP74)</f>
        <v/>
      </c>
      <c r="FK74" s="144" t="str">
        <f>IF(Briefing_FID!FQ74="","",Briefing_FID!FQ74)</f>
        <v/>
      </c>
      <c r="FL74" s="144" t="str">
        <f>IF(Briefing_FID!FR74="","",Briefing_FID!FR74)</f>
        <v/>
      </c>
      <c r="FM74" s="144" t="str">
        <f>IF(Briefing_FID!FS74="","",Briefing_FID!FS74)</f>
        <v/>
      </c>
      <c r="FN74" s="144" t="str">
        <f>IF(Briefing_FID!FT74="","",Briefing_FID!FT74)</f>
        <v/>
      </c>
      <c r="FO74" s="144" t="str">
        <f>IF(Briefing_FID!FU74="","",Briefing_FID!FU74)</f>
        <v/>
      </c>
      <c r="FP74" s="144" t="str">
        <f>IF(Briefing_FID!FV74="","",Briefing_FID!FV74)</f>
        <v/>
      </c>
      <c r="FQ74" s="144" t="str">
        <f>IF(Briefing_FID!FW74="","",Briefing_FID!FW74)</f>
        <v/>
      </c>
      <c r="FR74" s="151"/>
      <c r="FS74" s="152"/>
      <c r="FT74" s="152"/>
      <c r="FU74" s="152"/>
      <c r="FV74" s="152"/>
      <c r="FW74" s="152"/>
      <c r="FX74" s="152"/>
      <c r="FY74" s="152"/>
      <c r="FZ74" s="152"/>
      <c r="GA74" s="153"/>
    </row>
    <row r="75" spans="1:183">
      <c r="A75" s="136" t="str">
        <f>IF(Briefing_FID!A75="","",Briefing_FID!A75)</f>
        <v/>
      </c>
      <c r="B75" s="137" t="str">
        <f>IF(Briefing_FID!B75="","",Briefing_FID!B75)</f>
        <v/>
      </c>
      <c r="C75" s="137" t="str">
        <f>IF(Briefing_FID!C75="","",Briefing_FID!C75)</f>
        <v/>
      </c>
      <c r="D75" s="46"/>
      <c r="E75" s="120"/>
      <c r="F75" s="117"/>
      <c r="G75" s="117"/>
      <c r="H75" s="72"/>
      <c r="I75" s="72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23"/>
      <c r="AD75" s="117"/>
      <c r="AE75" s="117"/>
      <c r="AF75" s="117"/>
      <c r="AG75" s="117"/>
      <c r="AH75" s="117"/>
      <c r="AI75" s="117"/>
      <c r="AJ75" s="117"/>
      <c r="AK75" s="117"/>
      <c r="AL75" s="124"/>
      <c r="AM75" s="37"/>
      <c r="AN75" s="38"/>
      <c r="AO75" s="39"/>
      <c r="AP75" s="111" t="str">
        <f>IF(Briefing_FID!AP75="","",Briefing_FID!AP75)</f>
        <v/>
      </c>
      <c r="AQ75" s="112" t="str">
        <f>IF(Briefing_FID!AQ75="","",Briefing_FID!AQ75)</f>
        <v/>
      </c>
      <c r="AR75" s="107" t="str">
        <f>IF(Briefing_FID!AR75="","",Briefing_FID!AR75)</f>
        <v/>
      </c>
      <c r="AS75" s="108" t="str">
        <f>IF(Briefing_FID!AS75="","",Briefing_FID!AS75)</f>
        <v/>
      </c>
      <c r="AT75" s="113" t="str">
        <f>IF(Briefing_FID!AT75="","",Briefing_FID!AT75)</f>
        <v/>
      </c>
      <c r="AU75" s="113" t="str">
        <f>IF(Briefing_FID!AU75="","",Briefing_FID!AU75)</f>
        <v/>
      </c>
      <c r="AV75" s="113" t="str">
        <f>IF(Briefing_FID!AV75="","",Briefing_FID!AV75)</f>
        <v/>
      </c>
      <c r="AW75" s="113" t="str">
        <f>IF(Briefing_FID!AW75="","",Briefing_FID!AW75)</f>
        <v/>
      </c>
      <c r="AX75" s="114" t="str">
        <f>IF(Briefing_FID!AX75="","",Briefing_FID!AX75)</f>
        <v/>
      </c>
      <c r="AY75" s="71"/>
      <c r="AZ75" s="117" t="str">
        <f>IF(Briefing_FID!AZ75="","",Briefing_FID!AZ75)</f>
        <v/>
      </c>
      <c r="BA75" s="118" t="str">
        <f>IF(Briefing_FID!BA75="","",Briefing_FID!BA75)</f>
        <v/>
      </c>
      <c r="BB75" s="55"/>
      <c r="BC75" s="102" t="str">
        <f>IF(Briefing_FID!BC75="","",Briefing_FID!BC75)</f>
        <v/>
      </c>
      <c r="BD75" s="27" t="str">
        <f>IF(Briefing_FID!BD75="","",Briefing_FID!BD75)</f>
        <v/>
      </c>
      <c r="BE75" s="100" t="str">
        <f>IF(Briefing_FID!BE75="","",Briefing_FID!BE75)</f>
        <v/>
      </c>
      <c r="BF75" s="3" t="str">
        <f>IF(Briefing_FID!BF75="","",Briefing_FID!BF75)</f>
        <v/>
      </c>
      <c r="BG75" s="10" t="str">
        <f>IF(Briefing_FID!BG75="","",Briefing_FID!BG75)</f>
        <v/>
      </c>
      <c r="BH75" s="100" t="str">
        <f>IF(Briefing_FID!BH75="","",Briefing_FID!BH75)</f>
        <v/>
      </c>
      <c r="BI75" s="3" t="str">
        <f>IF(Briefing_FID!BI75="","",Briefing_FID!BI75)</f>
        <v/>
      </c>
      <c r="BJ75" s="10" t="str">
        <f>IF(Briefing_FID!BJ75="","",Briefing_FID!BJ75)</f>
        <v/>
      </c>
      <c r="BK75" s="100" t="str">
        <f>IF(Briefing_FID!BK75="","",Briefing_FID!BK75)</f>
        <v/>
      </c>
      <c r="BL75" s="3" t="str">
        <f>IF(Briefing_FID!BL75="","",Briefing_FID!BL75)</f>
        <v/>
      </c>
      <c r="BM75" s="28" t="str">
        <f>IF(Briefing_FID!BM75="","",Briefing_FID!BM75)</f>
        <v/>
      </c>
      <c r="BN75" s="100" t="str">
        <f>IF(Briefing_FID!BN75="","",Briefing_FID!BN75)</f>
        <v/>
      </c>
      <c r="BO75" s="3" t="str">
        <f>IF(Briefing_FID!BO75="","",Briefing_FID!BO75)</f>
        <v/>
      </c>
      <c r="BP75" s="28" t="str">
        <f>IF(Briefing_FID!BP75="","",Briefing_FID!BP75)</f>
        <v/>
      </c>
      <c r="BQ75" s="100" t="str">
        <f>IF(Briefing_FID!BQ75="","",Briefing_FID!BQ75)</f>
        <v/>
      </c>
      <c r="BR75" s="3" t="str">
        <f>IF(Briefing_FID!BR75="","",Briefing_FID!BR75)</f>
        <v/>
      </c>
      <c r="BS75" s="28" t="str">
        <f>IF(Briefing_FID!BS75="","",Briefing_FID!BS75)</f>
        <v/>
      </c>
      <c r="BT75" s="100" t="str">
        <f>IF(Briefing_FID!BT75="","",Briefing_FID!BT75)</f>
        <v/>
      </c>
      <c r="BU75" s="3" t="str">
        <f>IF(Briefing_FID!BU75="","",Briefing_FID!BU75)</f>
        <v/>
      </c>
      <c r="BV75" s="28" t="str">
        <f>IF(Briefing_FID!BV75="","",Briefing_FID!BV75)</f>
        <v/>
      </c>
      <c r="BW75" s="100" t="str">
        <f>IF(Briefing_FID!BW75="","",Briefing_FID!BW75)</f>
        <v/>
      </c>
      <c r="BX75" s="3" t="str">
        <f>IF(Briefing_FID!BX75="","",Briefing_FID!BX75)</f>
        <v/>
      </c>
      <c r="BY75" s="28" t="str">
        <f>IF(Briefing_FID!BY75="","",Briefing_FID!BY75)</f>
        <v/>
      </c>
      <c r="BZ75" s="100" t="str">
        <f>IF(Briefing_FID!BZ75="","",Briefing_FID!BZ75)</f>
        <v/>
      </c>
      <c r="CA75" s="3" t="str">
        <f>IF(Briefing_FID!CA75="","",Briefing_FID!CA75)</f>
        <v/>
      </c>
      <c r="CB75" s="28" t="str">
        <f>IF(Briefing_FID!CB75="","",Briefing_FID!CB75)</f>
        <v/>
      </c>
      <c r="CC75" s="100" t="str">
        <f>IF(Briefing_FID!CC75="","",Briefing_FID!CC75)</f>
        <v/>
      </c>
      <c r="CD75" s="3" t="str">
        <f>IF(Briefing_FID!CD75="","",Briefing_FID!CD75)</f>
        <v/>
      </c>
      <c r="CE75" s="28" t="str">
        <f>IF(Briefing_FID!CE75="","",Briefing_FID!CE75)</f>
        <v/>
      </c>
      <c r="CF75" s="100" t="str">
        <f>IF(Briefing_FID!CF75="","",Briefing_FID!CF75)</f>
        <v/>
      </c>
      <c r="CG75" s="3" t="str">
        <f>IF(Briefing_FID!CG75="","",Briefing_FID!CG75)</f>
        <v/>
      </c>
      <c r="CH75" s="28" t="str">
        <f>IF(Briefing_FID!CH75="","",Briefing_FID!CH75)</f>
        <v/>
      </c>
      <c r="CI75" s="100" t="str">
        <f>IF(Briefing_FID!CI75="","",Briefing_FID!CI75)</f>
        <v/>
      </c>
      <c r="CJ75" s="3" t="str">
        <f>IF(Briefing_FID!CJ75="","",Briefing_FID!CJ75)</f>
        <v/>
      </c>
      <c r="CK75" s="28" t="str">
        <f>IF(Briefing_FID!CK75="","",Briefing_FID!CK75)</f>
        <v/>
      </c>
      <c r="CL75" s="100" t="str">
        <f>IF(Briefing_FID!CL75="","",Briefing_FID!CL75)</f>
        <v/>
      </c>
      <c r="CM75" s="3" t="str">
        <f>IF(Briefing_FID!CM75="","",Briefing_FID!CM75)</f>
        <v/>
      </c>
      <c r="CN75" s="28" t="str">
        <f>IF(Briefing_FID!CN75="","",Briefing_FID!CN75)</f>
        <v/>
      </c>
      <c r="CO75" s="100" t="str">
        <f>IF(Briefing_FID!CO75="","",Briefing_FID!CO75)</f>
        <v/>
      </c>
      <c r="CP75" s="3" t="str">
        <f>IF(Briefing_FID!CP75="","",Briefing_FID!CP75)</f>
        <v/>
      </c>
      <c r="CQ75" s="28" t="str">
        <f>IF(Briefing_FID!CQ75="","",Briefing_FID!CQ75)</f>
        <v/>
      </c>
      <c r="CR75" s="100" t="str">
        <f>IF(Briefing_FID!CR75="","",Briefing_FID!CR75)</f>
        <v/>
      </c>
      <c r="CS75" s="3" t="str">
        <f>IF(Briefing_FID!CS75="","",Briefing_FID!CS75)</f>
        <v/>
      </c>
      <c r="CT75" s="28" t="str">
        <f>IF(Briefing_FID!CT75="","",Briefing_FID!CT75)</f>
        <v/>
      </c>
      <c r="CU75" s="100" t="str">
        <f>IF(Briefing_FID!CU75="","",Briefing_FID!CU75)</f>
        <v/>
      </c>
      <c r="CV75" s="3" t="str">
        <f>IF(Briefing_FID!CV75="","",Briefing_FID!CV75)</f>
        <v/>
      </c>
      <c r="CW75" s="28" t="str">
        <f>IF(Briefing_FID!CW75="","",Briefing_FID!CW75)</f>
        <v/>
      </c>
      <c r="CX75" s="100" t="str">
        <f>IF(Briefing_FID!CX75="","",Briefing_FID!CX75)</f>
        <v/>
      </c>
      <c r="CY75" s="3" t="str">
        <f>IF(Briefing_FID!CY75="","",Briefing_FID!CY75)</f>
        <v/>
      </c>
      <c r="CZ75" s="28" t="str">
        <f>IF(Briefing_FID!CZ75="","",Briefing_FID!CZ75)</f>
        <v/>
      </c>
      <c r="DA75" s="100" t="str">
        <f>IF(Briefing_FID!DA75="","",Briefing_FID!DA75)</f>
        <v/>
      </c>
      <c r="DB75" s="3" t="str">
        <f>IF(Briefing_FID!DB75="","",Briefing_FID!DB75)</f>
        <v/>
      </c>
      <c r="DC75" s="28" t="str">
        <f>IF(Briefing_FID!DC75="","",Briefing_FID!DC75)</f>
        <v/>
      </c>
      <c r="DD75" s="100" t="str">
        <f>IF(Briefing_FID!DD75="","",Briefing_FID!DD75)</f>
        <v/>
      </c>
      <c r="DE75" s="3" t="str">
        <f>IF(Briefing_FID!DE75="","",Briefing_FID!DE75)</f>
        <v/>
      </c>
      <c r="DF75" s="28" t="str">
        <f>IF(Briefing_FID!DF75="","",Briefing_FID!DF75)</f>
        <v/>
      </c>
      <c r="DG75" s="100" t="str">
        <f>IF(Briefing_FID!DG75="","",Briefing_FID!DG75)</f>
        <v/>
      </c>
      <c r="DH75" s="3" t="str">
        <f>IF(Briefing_FID!DH75="","",Briefing_FID!DH75)</f>
        <v/>
      </c>
      <c r="DI75" s="28" t="str">
        <f>IF(Briefing_FID!DI75="","",Briefing_FID!DI75)</f>
        <v/>
      </c>
      <c r="DJ75" s="100" t="str">
        <f>IF(Briefing_FID!DJ75="","",Briefing_FID!DJ75)</f>
        <v/>
      </c>
      <c r="DK75" s="3" t="str">
        <f>IF(Briefing_FID!DK75="","",Briefing_FID!DK75)</f>
        <v/>
      </c>
      <c r="DL75" s="28" t="str">
        <f>IF(Briefing_FID!DL75="","",Briefing_FID!DL75)</f>
        <v/>
      </c>
      <c r="DM75" s="100" t="str">
        <f>IF(Briefing_FID!DM75="","",Briefing_FID!DM75)</f>
        <v/>
      </c>
      <c r="DN75" s="3" t="str">
        <f>IF(Briefing_FID!DN75="","",Briefing_FID!DN75)</f>
        <v/>
      </c>
      <c r="DO75" s="28" t="str">
        <f>IF(Briefing_FID!DO75="","",Briefing_FID!DO75)</f>
        <v/>
      </c>
      <c r="DP75" s="100" t="str">
        <f>IF(Briefing_FID!DP75="","",Briefing_FID!DP75)</f>
        <v/>
      </c>
      <c r="DQ75" s="3" t="str">
        <f>IF(Briefing_FID!DQ75="","",Briefing_FID!DQ75)</f>
        <v/>
      </c>
      <c r="DR75" s="28" t="str">
        <f>IF(Briefing_FID!DR75="","",Briefing_FID!DR75)</f>
        <v/>
      </c>
      <c r="DS75" s="100" t="str">
        <f>IF(Briefing_FID!DS75="","",Briefing_FID!DS75)</f>
        <v/>
      </c>
      <c r="DT75" s="3" t="str">
        <f>IF(Briefing_FID!DT75="","",Briefing_FID!DT75)</f>
        <v/>
      </c>
      <c r="DU75" s="28" t="str">
        <f>IF(Briefing_FID!DU75="","",Briefing_FID!DU75)</f>
        <v/>
      </c>
      <c r="DV75" s="100" t="str">
        <f>IF(Briefing_FID!DV75="","",Briefing_FID!DV75)</f>
        <v/>
      </c>
      <c r="DW75" s="3" t="str">
        <f>IF(Briefing_FID!DW75="","",Briefing_FID!DW75)</f>
        <v/>
      </c>
      <c r="DX75" s="28" t="str">
        <f>IF(Briefing_FID!DX75="","",Briefing_FID!DX75)</f>
        <v/>
      </c>
      <c r="DY75" s="100" t="str">
        <f>IF(Briefing_FID!DY75="","",Briefing_FID!DY75)</f>
        <v/>
      </c>
      <c r="DZ75" s="3" t="str">
        <f>IF(Briefing_FID!DZ75="","",Briefing_FID!DZ75)</f>
        <v/>
      </c>
      <c r="EA75" s="28" t="str">
        <f>IF(Briefing_FID!EA75="","",Briefing_FID!EA75)</f>
        <v/>
      </c>
      <c r="EB75" s="100" t="str">
        <f>IF(Briefing_FID!EB75="","",Briefing_FID!EB75)</f>
        <v/>
      </c>
      <c r="EC75" s="3" t="str">
        <f>IF(Briefing_FID!EC75="","",Briefing_FID!EC75)</f>
        <v/>
      </c>
      <c r="ED75" s="28" t="str">
        <f>IF(Briefing_FID!ED75="","",Briefing_FID!ED75)</f>
        <v/>
      </c>
      <c r="EE75" s="100" t="str">
        <f>IF(Briefing_FID!EE75="","",Briefing_FID!EE75)</f>
        <v/>
      </c>
      <c r="EF75" s="3" t="str">
        <f>IF(Briefing_FID!EF75="","",Briefing_FID!EF75)</f>
        <v/>
      </c>
      <c r="EG75" s="28" t="str">
        <f>IF(Briefing_FID!EG75="","",Briefing_FID!EG75)</f>
        <v/>
      </c>
      <c r="EH75" s="100" t="str">
        <f>IF(Briefing_FID!EH75="","",Briefing_FID!EH75)</f>
        <v/>
      </c>
      <c r="EI75" s="3" t="str">
        <f>IF(Briefing_FID!EI75="","",Briefing_FID!EI75)</f>
        <v/>
      </c>
      <c r="EJ75" s="28" t="str">
        <f>IF(Briefing_FID!EJ75="","",Briefing_FID!EJ75)</f>
        <v/>
      </c>
      <c r="EK75" s="100" t="str">
        <f>IF(Briefing_FID!EK75="","",Briefing_FID!EK75)</f>
        <v/>
      </c>
      <c r="EL75" s="3" t="str">
        <f>IF(Briefing_FID!EL75="","",Briefing_FID!EL75)</f>
        <v/>
      </c>
      <c r="EM75" s="28" t="str">
        <f>IF(Briefing_FID!EM75="","",Briefing_FID!EM75)</f>
        <v/>
      </c>
      <c r="EN75" s="100" t="str">
        <f>IF(Briefing_FID!EN75="","",Briefing_FID!EN75)</f>
        <v/>
      </c>
      <c r="EO75" s="3" t="str">
        <f>IF(Briefing_FID!EO75="","",Briefing_FID!EO75)</f>
        <v/>
      </c>
      <c r="EP75" s="28" t="str">
        <f>IF(Briefing_FID!EP75="","",Briefing_FID!EP75)</f>
        <v/>
      </c>
      <c r="EQ75" s="28" t="str">
        <f>IF(Briefing_FID!EQ75="","",Briefing_FID!EQ75)</f>
        <v/>
      </c>
      <c r="ER75" s="28" t="str">
        <f>IF(Briefing_FID!ER75="","",Briefing_FID!ER75)</f>
        <v/>
      </c>
      <c r="ES75" s="62"/>
      <c r="ET75" s="96" t="str">
        <f>IF(Briefing_FID!EZ75="","",Briefing_FID!EZ75)</f>
        <v/>
      </c>
      <c r="EU75" s="97" t="str">
        <f>IF(Briefing_FID!FA75="","",Briefing_FID!FA75)</f>
        <v/>
      </c>
      <c r="EV75" s="98" t="str">
        <f>IF(Briefing_FID!FB75="","",Briefing_FID!FB75)</f>
        <v/>
      </c>
      <c r="EW75" s="96" t="str">
        <f>IF(Briefing_FID!FC75="","",Briefing_FID!FC75)</f>
        <v/>
      </c>
      <c r="EX75" s="97" t="str">
        <f>IF(Briefing_FID!FD75="","",Briefing_FID!FD75)</f>
        <v/>
      </c>
      <c r="EY75" s="98" t="str">
        <f>IF(Briefing_FID!FE75="","",Briefing_FID!FE75)</f>
        <v/>
      </c>
      <c r="EZ75" s="104" t="str">
        <f>IF(Briefing_FID!FF75="","",Briefing_FID!FF75)</f>
        <v/>
      </c>
      <c r="FA75" s="144" t="str">
        <f>IF(Briefing_FID!FG75="","",Briefing_FID!FG75)</f>
        <v/>
      </c>
      <c r="FB75" s="144" t="str">
        <f>IF(Briefing_FID!FH75="","",Briefing_FID!FH75)</f>
        <v/>
      </c>
      <c r="FC75" s="144" t="str">
        <f>IF(Briefing_FID!FI75="","",Briefing_FID!FI75)</f>
        <v/>
      </c>
      <c r="FD75" s="144" t="str">
        <f>IF(Briefing_FID!FJ75="","",Briefing_FID!FJ75)</f>
        <v/>
      </c>
      <c r="FE75" s="144" t="str">
        <f>IF(Briefing_FID!FK75="","",Briefing_FID!FK75)</f>
        <v/>
      </c>
      <c r="FF75" s="144" t="str">
        <f>IF(Briefing_FID!FL75="","",Briefing_FID!FL75)</f>
        <v/>
      </c>
      <c r="FG75" s="144" t="str">
        <f>IF(Briefing_FID!FM75="","",Briefing_FID!FM75)</f>
        <v/>
      </c>
      <c r="FH75" s="144" t="str">
        <f>IF(Briefing_FID!FN75="","",Briefing_FID!FN75)</f>
        <v/>
      </c>
      <c r="FI75" s="144" t="str">
        <f>IF(Briefing_FID!FO75="","",Briefing_FID!FO75)</f>
        <v/>
      </c>
      <c r="FJ75" s="144" t="str">
        <f>IF(Briefing_FID!FP75="","",Briefing_FID!FP75)</f>
        <v/>
      </c>
      <c r="FK75" s="144" t="str">
        <f>IF(Briefing_FID!FQ75="","",Briefing_FID!FQ75)</f>
        <v/>
      </c>
      <c r="FL75" s="144" t="str">
        <f>IF(Briefing_FID!FR75="","",Briefing_FID!FR75)</f>
        <v/>
      </c>
      <c r="FM75" s="144" t="str">
        <f>IF(Briefing_FID!FS75="","",Briefing_FID!FS75)</f>
        <v/>
      </c>
      <c r="FN75" s="144" t="str">
        <f>IF(Briefing_FID!FT75="","",Briefing_FID!FT75)</f>
        <v/>
      </c>
      <c r="FO75" s="144" t="str">
        <f>IF(Briefing_FID!FU75="","",Briefing_FID!FU75)</f>
        <v/>
      </c>
      <c r="FP75" s="144" t="str">
        <f>IF(Briefing_FID!FV75="","",Briefing_FID!FV75)</f>
        <v/>
      </c>
      <c r="FQ75" s="144" t="str">
        <f>IF(Briefing_FID!FW75="","",Briefing_FID!FW75)</f>
        <v/>
      </c>
      <c r="FR75" s="151"/>
      <c r="FS75" s="152"/>
      <c r="FT75" s="152"/>
      <c r="FU75" s="152"/>
      <c r="FV75" s="152"/>
      <c r="FW75" s="152"/>
      <c r="FX75" s="152"/>
      <c r="FY75" s="152"/>
      <c r="FZ75" s="152"/>
      <c r="GA75" s="153"/>
    </row>
    <row r="76" spans="1:183">
      <c r="A76" s="136" t="str">
        <f>IF(Briefing_FID!A76="","",Briefing_FID!A76)</f>
        <v/>
      </c>
      <c r="B76" s="137" t="str">
        <f>IF(Briefing_FID!B76="","",Briefing_FID!B76)</f>
        <v/>
      </c>
      <c r="C76" s="137" t="str">
        <f>IF(Briefing_FID!C76="","",Briefing_FID!C76)</f>
        <v/>
      </c>
      <c r="D76" s="46"/>
      <c r="E76" s="120"/>
      <c r="F76" s="117"/>
      <c r="G76" s="117"/>
      <c r="H76" s="72"/>
      <c r="I76" s="72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23"/>
      <c r="AD76" s="117"/>
      <c r="AE76" s="117"/>
      <c r="AF76" s="117"/>
      <c r="AG76" s="117"/>
      <c r="AH76" s="117"/>
      <c r="AI76" s="117"/>
      <c r="AJ76" s="117"/>
      <c r="AK76" s="117"/>
      <c r="AL76" s="124"/>
      <c r="AM76" s="37"/>
      <c r="AN76" s="38"/>
      <c r="AO76" s="39"/>
      <c r="AP76" s="111" t="str">
        <f>IF(Briefing_FID!AP76="","",Briefing_FID!AP76)</f>
        <v/>
      </c>
      <c r="AQ76" s="112" t="str">
        <f>IF(Briefing_FID!AQ76="","",Briefing_FID!AQ76)</f>
        <v/>
      </c>
      <c r="AR76" s="107" t="str">
        <f>IF(Briefing_FID!AR76="","",Briefing_FID!AR76)</f>
        <v/>
      </c>
      <c r="AS76" s="108" t="str">
        <f>IF(Briefing_FID!AS76="","",Briefing_FID!AS76)</f>
        <v/>
      </c>
      <c r="AT76" s="113" t="str">
        <f>IF(Briefing_FID!AT76="","",Briefing_FID!AT76)</f>
        <v/>
      </c>
      <c r="AU76" s="113" t="str">
        <f>IF(Briefing_FID!AU76="","",Briefing_FID!AU76)</f>
        <v/>
      </c>
      <c r="AV76" s="113" t="str">
        <f>IF(Briefing_FID!AV76="","",Briefing_FID!AV76)</f>
        <v/>
      </c>
      <c r="AW76" s="113" t="str">
        <f>IF(Briefing_FID!AW76="","",Briefing_FID!AW76)</f>
        <v/>
      </c>
      <c r="AX76" s="114" t="str">
        <f>IF(Briefing_FID!AX76="","",Briefing_FID!AX76)</f>
        <v/>
      </c>
      <c r="AY76" s="71"/>
      <c r="AZ76" s="117" t="str">
        <f>IF(Briefing_FID!AZ76="","",Briefing_FID!AZ76)</f>
        <v/>
      </c>
      <c r="BA76" s="118" t="str">
        <f>IF(Briefing_FID!BA76="","",Briefing_FID!BA76)</f>
        <v/>
      </c>
      <c r="BB76" s="55"/>
      <c r="BC76" s="102" t="str">
        <f>IF(Briefing_FID!BC76="","",Briefing_FID!BC76)</f>
        <v/>
      </c>
      <c r="BD76" s="27" t="str">
        <f>IF(Briefing_FID!BD76="","",Briefing_FID!BD76)</f>
        <v/>
      </c>
      <c r="BE76" s="100" t="str">
        <f>IF(Briefing_FID!BE76="","",Briefing_FID!BE76)</f>
        <v/>
      </c>
      <c r="BF76" s="3" t="str">
        <f>IF(Briefing_FID!BF76="","",Briefing_FID!BF76)</f>
        <v/>
      </c>
      <c r="BG76" s="10" t="str">
        <f>IF(Briefing_FID!BG76="","",Briefing_FID!BG76)</f>
        <v/>
      </c>
      <c r="BH76" s="100" t="str">
        <f>IF(Briefing_FID!BH76="","",Briefing_FID!BH76)</f>
        <v/>
      </c>
      <c r="BI76" s="3" t="str">
        <f>IF(Briefing_FID!BI76="","",Briefing_FID!BI76)</f>
        <v/>
      </c>
      <c r="BJ76" s="10" t="str">
        <f>IF(Briefing_FID!BJ76="","",Briefing_FID!BJ76)</f>
        <v/>
      </c>
      <c r="BK76" s="100" t="str">
        <f>IF(Briefing_FID!BK76="","",Briefing_FID!BK76)</f>
        <v/>
      </c>
      <c r="BL76" s="3" t="str">
        <f>IF(Briefing_FID!BL76="","",Briefing_FID!BL76)</f>
        <v/>
      </c>
      <c r="BM76" s="28" t="str">
        <f>IF(Briefing_FID!BM76="","",Briefing_FID!BM76)</f>
        <v/>
      </c>
      <c r="BN76" s="100" t="str">
        <f>IF(Briefing_FID!BN76="","",Briefing_FID!BN76)</f>
        <v/>
      </c>
      <c r="BO76" s="3" t="str">
        <f>IF(Briefing_FID!BO76="","",Briefing_FID!BO76)</f>
        <v/>
      </c>
      <c r="BP76" s="28" t="str">
        <f>IF(Briefing_FID!BP76="","",Briefing_FID!BP76)</f>
        <v/>
      </c>
      <c r="BQ76" s="100" t="str">
        <f>IF(Briefing_FID!BQ76="","",Briefing_FID!BQ76)</f>
        <v/>
      </c>
      <c r="BR76" s="3" t="str">
        <f>IF(Briefing_FID!BR76="","",Briefing_FID!BR76)</f>
        <v/>
      </c>
      <c r="BS76" s="28" t="str">
        <f>IF(Briefing_FID!BS76="","",Briefing_FID!BS76)</f>
        <v/>
      </c>
      <c r="BT76" s="100" t="str">
        <f>IF(Briefing_FID!BT76="","",Briefing_FID!BT76)</f>
        <v/>
      </c>
      <c r="BU76" s="3" t="str">
        <f>IF(Briefing_FID!BU76="","",Briefing_FID!BU76)</f>
        <v/>
      </c>
      <c r="BV76" s="28" t="str">
        <f>IF(Briefing_FID!BV76="","",Briefing_FID!BV76)</f>
        <v/>
      </c>
      <c r="BW76" s="100" t="str">
        <f>IF(Briefing_FID!BW76="","",Briefing_FID!BW76)</f>
        <v/>
      </c>
      <c r="BX76" s="3" t="str">
        <f>IF(Briefing_FID!BX76="","",Briefing_FID!BX76)</f>
        <v/>
      </c>
      <c r="BY76" s="28" t="str">
        <f>IF(Briefing_FID!BY76="","",Briefing_FID!BY76)</f>
        <v/>
      </c>
      <c r="BZ76" s="100" t="str">
        <f>IF(Briefing_FID!BZ76="","",Briefing_FID!BZ76)</f>
        <v/>
      </c>
      <c r="CA76" s="3" t="str">
        <f>IF(Briefing_FID!CA76="","",Briefing_FID!CA76)</f>
        <v/>
      </c>
      <c r="CB76" s="28" t="str">
        <f>IF(Briefing_FID!CB76="","",Briefing_FID!CB76)</f>
        <v/>
      </c>
      <c r="CC76" s="100" t="str">
        <f>IF(Briefing_FID!CC76="","",Briefing_FID!CC76)</f>
        <v/>
      </c>
      <c r="CD76" s="3" t="str">
        <f>IF(Briefing_FID!CD76="","",Briefing_FID!CD76)</f>
        <v/>
      </c>
      <c r="CE76" s="28" t="str">
        <f>IF(Briefing_FID!CE76="","",Briefing_FID!CE76)</f>
        <v/>
      </c>
      <c r="CF76" s="100" t="str">
        <f>IF(Briefing_FID!CF76="","",Briefing_FID!CF76)</f>
        <v/>
      </c>
      <c r="CG76" s="3" t="str">
        <f>IF(Briefing_FID!CG76="","",Briefing_FID!CG76)</f>
        <v/>
      </c>
      <c r="CH76" s="28" t="str">
        <f>IF(Briefing_FID!CH76="","",Briefing_FID!CH76)</f>
        <v/>
      </c>
      <c r="CI76" s="100" t="str">
        <f>IF(Briefing_FID!CI76="","",Briefing_FID!CI76)</f>
        <v/>
      </c>
      <c r="CJ76" s="3" t="str">
        <f>IF(Briefing_FID!CJ76="","",Briefing_FID!CJ76)</f>
        <v/>
      </c>
      <c r="CK76" s="28" t="str">
        <f>IF(Briefing_FID!CK76="","",Briefing_FID!CK76)</f>
        <v/>
      </c>
      <c r="CL76" s="100" t="str">
        <f>IF(Briefing_FID!CL76="","",Briefing_FID!CL76)</f>
        <v/>
      </c>
      <c r="CM76" s="3" t="str">
        <f>IF(Briefing_FID!CM76="","",Briefing_FID!CM76)</f>
        <v/>
      </c>
      <c r="CN76" s="28" t="str">
        <f>IF(Briefing_FID!CN76="","",Briefing_FID!CN76)</f>
        <v/>
      </c>
      <c r="CO76" s="100" t="str">
        <f>IF(Briefing_FID!CO76="","",Briefing_FID!CO76)</f>
        <v/>
      </c>
      <c r="CP76" s="3" t="str">
        <f>IF(Briefing_FID!CP76="","",Briefing_FID!CP76)</f>
        <v/>
      </c>
      <c r="CQ76" s="28" t="str">
        <f>IF(Briefing_FID!CQ76="","",Briefing_FID!CQ76)</f>
        <v/>
      </c>
      <c r="CR76" s="100" t="str">
        <f>IF(Briefing_FID!CR76="","",Briefing_FID!CR76)</f>
        <v/>
      </c>
      <c r="CS76" s="3" t="str">
        <f>IF(Briefing_FID!CS76="","",Briefing_FID!CS76)</f>
        <v/>
      </c>
      <c r="CT76" s="28" t="str">
        <f>IF(Briefing_FID!CT76="","",Briefing_FID!CT76)</f>
        <v/>
      </c>
      <c r="CU76" s="100" t="str">
        <f>IF(Briefing_FID!CU76="","",Briefing_FID!CU76)</f>
        <v/>
      </c>
      <c r="CV76" s="3" t="str">
        <f>IF(Briefing_FID!CV76="","",Briefing_FID!CV76)</f>
        <v/>
      </c>
      <c r="CW76" s="28" t="str">
        <f>IF(Briefing_FID!CW76="","",Briefing_FID!CW76)</f>
        <v/>
      </c>
      <c r="CX76" s="100" t="str">
        <f>IF(Briefing_FID!CX76="","",Briefing_FID!CX76)</f>
        <v/>
      </c>
      <c r="CY76" s="3" t="str">
        <f>IF(Briefing_FID!CY76="","",Briefing_FID!CY76)</f>
        <v/>
      </c>
      <c r="CZ76" s="28" t="str">
        <f>IF(Briefing_FID!CZ76="","",Briefing_FID!CZ76)</f>
        <v/>
      </c>
      <c r="DA76" s="100" t="str">
        <f>IF(Briefing_FID!DA76="","",Briefing_FID!DA76)</f>
        <v/>
      </c>
      <c r="DB76" s="3" t="str">
        <f>IF(Briefing_FID!DB76="","",Briefing_FID!DB76)</f>
        <v/>
      </c>
      <c r="DC76" s="28" t="str">
        <f>IF(Briefing_FID!DC76="","",Briefing_FID!DC76)</f>
        <v/>
      </c>
      <c r="DD76" s="100" t="str">
        <f>IF(Briefing_FID!DD76="","",Briefing_FID!DD76)</f>
        <v/>
      </c>
      <c r="DE76" s="3" t="str">
        <f>IF(Briefing_FID!DE76="","",Briefing_FID!DE76)</f>
        <v/>
      </c>
      <c r="DF76" s="28" t="str">
        <f>IF(Briefing_FID!DF76="","",Briefing_FID!DF76)</f>
        <v/>
      </c>
      <c r="DG76" s="100" t="str">
        <f>IF(Briefing_FID!DG76="","",Briefing_FID!DG76)</f>
        <v/>
      </c>
      <c r="DH76" s="3" t="str">
        <f>IF(Briefing_FID!DH76="","",Briefing_FID!DH76)</f>
        <v/>
      </c>
      <c r="DI76" s="28" t="str">
        <f>IF(Briefing_FID!DI76="","",Briefing_FID!DI76)</f>
        <v/>
      </c>
      <c r="DJ76" s="100" t="str">
        <f>IF(Briefing_FID!DJ76="","",Briefing_FID!DJ76)</f>
        <v/>
      </c>
      <c r="DK76" s="3" t="str">
        <f>IF(Briefing_FID!DK76="","",Briefing_FID!DK76)</f>
        <v/>
      </c>
      <c r="DL76" s="28" t="str">
        <f>IF(Briefing_FID!DL76="","",Briefing_FID!DL76)</f>
        <v/>
      </c>
      <c r="DM76" s="100" t="str">
        <f>IF(Briefing_FID!DM76="","",Briefing_FID!DM76)</f>
        <v/>
      </c>
      <c r="DN76" s="3" t="str">
        <f>IF(Briefing_FID!DN76="","",Briefing_FID!DN76)</f>
        <v/>
      </c>
      <c r="DO76" s="28" t="str">
        <f>IF(Briefing_FID!DO76="","",Briefing_FID!DO76)</f>
        <v/>
      </c>
      <c r="DP76" s="100" t="str">
        <f>IF(Briefing_FID!DP76="","",Briefing_FID!DP76)</f>
        <v/>
      </c>
      <c r="DQ76" s="3" t="str">
        <f>IF(Briefing_FID!DQ76="","",Briefing_FID!DQ76)</f>
        <v/>
      </c>
      <c r="DR76" s="28" t="str">
        <f>IF(Briefing_FID!DR76="","",Briefing_FID!DR76)</f>
        <v/>
      </c>
      <c r="DS76" s="100" t="str">
        <f>IF(Briefing_FID!DS76="","",Briefing_FID!DS76)</f>
        <v/>
      </c>
      <c r="DT76" s="3" t="str">
        <f>IF(Briefing_FID!DT76="","",Briefing_FID!DT76)</f>
        <v/>
      </c>
      <c r="DU76" s="28" t="str">
        <f>IF(Briefing_FID!DU76="","",Briefing_FID!DU76)</f>
        <v/>
      </c>
      <c r="DV76" s="100" t="str">
        <f>IF(Briefing_FID!DV76="","",Briefing_FID!DV76)</f>
        <v/>
      </c>
      <c r="DW76" s="3" t="str">
        <f>IF(Briefing_FID!DW76="","",Briefing_FID!DW76)</f>
        <v/>
      </c>
      <c r="DX76" s="28" t="str">
        <f>IF(Briefing_FID!DX76="","",Briefing_FID!DX76)</f>
        <v/>
      </c>
      <c r="DY76" s="100" t="str">
        <f>IF(Briefing_FID!DY76="","",Briefing_FID!DY76)</f>
        <v/>
      </c>
      <c r="DZ76" s="3" t="str">
        <f>IF(Briefing_FID!DZ76="","",Briefing_FID!DZ76)</f>
        <v/>
      </c>
      <c r="EA76" s="28" t="str">
        <f>IF(Briefing_FID!EA76="","",Briefing_FID!EA76)</f>
        <v/>
      </c>
      <c r="EB76" s="100" t="str">
        <f>IF(Briefing_FID!EB76="","",Briefing_FID!EB76)</f>
        <v/>
      </c>
      <c r="EC76" s="3" t="str">
        <f>IF(Briefing_FID!EC76="","",Briefing_FID!EC76)</f>
        <v/>
      </c>
      <c r="ED76" s="28" t="str">
        <f>IF(Briefing_FID!ED76="","",Briefing_FID!ED76)</f>
        <v/>
      </c>
      <c r="EE76" s="100" t="str">
        <f>IF(Briefing_FID!EE76="","",Briefing_FID!EE76)</f>
        <v/>
      </c>
      <c r="EF76" s="3" t="str">
        <f>IF(Briefing_FID!EF76="","",Briefing_FID!EF76)</f>
        <v/>
      </c>
      <c r="EG76" s="28" t="str">
        <f>IF(Briefing_FID!EG76="","",Briefing_FID!EG76)</f>
        <v/>
      </c>
      <c r="EH76" s="100" t="str">
        <f>IF(Briefing_FID!EH76="","",Briefing_FID!EH76)</f>
        <v/>
      </c>
      <c r="EI76" s="3" t="str">
        <f>IF(Briefing_FID!EI76="","",Briefing_FID!EI76)</f>
        <v/>
      </c>
      <c r="EJ76" s="28" t="str">
        <f>IF(Briefing_FID!EJ76="","",Briefing_FID!EJ76)</f>
        <v/>
      </c>
      <c r="EK76" s="100" t="str">
        <f>IF(Briefing_FID!EK76="","",Briefing_FID!EK76)</f>
        <v/>
      </c>
      <c r="EL76" s="3" t="str">
        <f>IF(Briefing_FID!EL76="","",Briefing_FID!EL76)</f>
        <v/>
      </c>
      <c r="EM76" s="28" t="str">
        <f>IF(Briefing_FID!EM76="","",Briefing_FID!EM76)</f>
        <v/>
      </c>
      <c r="EN76" s="100" t="str">
        <f>IF(Briefing_FID!EN76="","",Briefing_FID!EN76)</f>
        <v/>
      </c>
      <c r="EO76" s="3" t="str">
        <f>IF(Briefing_FID!EO76="","",Briefing_FID!EO76)</f>
        <v/>
      </c>
      <c r="EP76" s="28" t="str">
        <f>IF(Briefing_FID!EP76="","",Briefing_FID!EP76)</f>
        <v/>
      </c>
      <c r="EQ76" s="28" t="str">
        <f>IF(Briefing_FID!EQ76="","",Briefing_FID!EQ76)</f>
        <v/>
      </c>
      <c r="ER76" s="28" t="str">
        <f>IF(Briefing_FID!ER76="","",Briefing_FID!ER76)</f>
        <v/>
      </c>
      <c r="ES76" s="62"/>
      <c r="ET76" s="96" t="str">
        <f>IF(Briefing_FID!EZ76="","",Briefing_FID!EZ76)</f>
        <v/>
      </c>
      <c r="EU76" s="97" t="str">
        <f>IF(Briefing_FID!FA76="","",Briefing_FID!FA76)</f>
        <v/>
      </c>
      <c r="EV76" s="98" t="str">
        <f>IF(Briefing_FID!FB76="","",Briefing_FID!FB76)</f>
        <v/>
      </c>
      <c r="EW76" s="96" t="str">
        <f>IF(Briefing_FID!FC76="","",Briefing_FID!FC76)</f>
        <v/>
      </c>
      <c r="EX76" s="97" t="str">
        <f>IF(Briefing_FID!FD76="","",Briefing_FID!FD76)</f>
        <v/>
      </c>
      <c r="EY76" s="98" t="str">
        <f>IF(Briefing_FID!FE76="","",Briefing_FID!FE76)</f>
        <v/>
      </c>
      <c r="EZ76" s="104" t="str">
        <f>IF(Briefing_FID!FF76="","",Briefing_FID!FF76)</f>
        <v/>
      </c>
      <c r="FA76" s="144" t="str">
        <f>IF(Briefing_FID!FG76="","",Briefing_FID!FG76)</f>
        <v/>
      </c>
      <c r="FB76" s="144" t="str">
        <f>IF(Briefing_FID!FH76="","",Briefing_FID!FH76)</f>
        <v/>
      </c>
      <c r="FC76" s="144" t="str">
        <f>IF(Briefing_FID!FI76="","",Briefing_FID!FI76)</f>
        <v/>
      </c>
      <c r="FD76" s="144" t="str">
        <f>IF(Briefing_FID!FJ76="","",Briefing_FID!FJ76)</f>
        <v/>
      </c>
      <c r="FE76" s="144" t="str">
        <f>IF(Briefing_FID!FK76="","",Briefing_FID!FK76)</f>
        <v/>
      </c>
      <c r="FF76" s="144" t="str">
        <f>IF(Briefing_FID!FL76="","",Briefing_FID!FL76)</f>
        <v/>
      </c>
      <c r="FG76" s="144" t="str">
        <f>IF(Briefing_FID!FM76="","",Briefing_FID!FM76)</f>
        <v/>
      </c>
      <c r="FH76" s="144" t="str">
        <f>IF(Briefing_FID!FN76="","",Briefing_FID!FN76)</f>
        <v/>
      </c>
      <c r="FI76" s="144" t="str">
        <f>IF(Briefing_FID!FO76="","",Briefing_FID!FO76)</f>
        <v/>
      </c>
      <c r="FJ76" s="144" t="str">
        <f>IF(Briefing_FID!FP76="","",Briefing_FID!FP76)</f>
        <v/>
      </c>
      <c r="FK76" s="144" t="str">
        <f>IF(Briefing_FID!FQ76="","",Briefing_FID!FQ76)</f>
        <v/>
      </c>
      <c r="FL76" s="144" t="str">
        <f>IF(Briefing_FID!FR76="","",Briefing_FID!FR76)</f>
        <v/>
      </c>
      <c r="FM76" s="144" t="str">
        <f>IF(Briefing_FID!FS76="","",Briefing_FID!FS76)</f>
        <v/>
      </c>
      <c r="FN76" s="144" t="str">
        <f>IF(Briefing_FID!FT76="","",Briefing_FID!FT76)</f>
        <v/>
      </c>
      <c r="FO76" s="144" t="str">
        <f>IF(Briefing_FID!FU76="","",Briefing_FID!FU76)</f>
        <v/>
      </c>
      <c r="FP76" s="144" t="str">
        <f>IF(Briefing_FID!FV76="","",Briefing_FID!FV76)</f>
        <v/>
      </c>
      <c r="FQ76" s="144" t="str">
        <f>IF(Briefing_FID!FW76="","",Briefing_FID!FW76)</f>
        <v/>
      </c>
      <c r="FR76" s="151"/>
      <c r="FS76" s="152"/>
      <c r="FT76" s="152"/>
      <c r="FU76" s="152"/>
      <c r="FV76" s="152"/>
      <c r="FW76" s="152"/>
      <c r="FX76" s="152"/>
      <c r="FY76" s="152"/>
      <c r="FZ76" s="152"/>
      <c r="GA76" s="153"/>
    </row>
    <row r="77" spans="1:183">
      <c r="A77" s="136" t="str">
        <f>IF(Briefing_FID!A77="","",Briefing_FID!A77)</f>
        <v/>
      </c>
      <c r="B77" s="137" t="str">
        <f>IF(Briefing_FID!B77="","",Briefing_FID!B77)</f>
        <v/>
      </c>
      <c r="C77" s="137" t="str">
        <f>IF(Briefing_FID!C77="","",Briefing_FID!C77)</f>
        <v/>
      </c>
      <c r="D77" s="46"/>
      <c r="E77" s="120"/>
      <c r="F77" s="117"/>
      <c r="G77" s="117"/>
      <c r="H77" s="72"/>
      <c r="I77" s="72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23"/>
      <c r="AD77" s="117"/>
      <c r="AE77" s="117"/>
      <c r="AF77" s="117"/>
      <c r="AG77" s="117"/>
      <c r="AH77" s="117"/>
      <c r="AI77" s="117"/>
      <c r="AJ77" s="117"/>
      <c r="AK77" s="117"/>
      <c r="AL77" s="124"/>
      <c r="AM77" s="37"/>
      <c r="AN77" s="38"/>
      <c r="AO77" s="39"/>
      <c r="AP77" s="111" t="str">
        <f>IF(Briefing_FID!AP77="","",Briefing_FID!AP77)</f>
        <v/>
      </c>
      <c r="AQ77" s="112" t="str">
        <f>IF(Briefing_FID!AQ77="","",Briefing_FID!AQ77)</f>
        <v/>
      </c>
      <c r="AR77" s="107" t="str">
        <f>IF(Briefing_FID!AR77="","",Briefing_FID!AR77)</f>
        <v/>
      </c>
      <c r="AS77" s="108" t="str">
        <f>IF(Briefing_FID!AS77="","",Briefing_FID!AS77)</f>
        <v/>
      </c>
      <c r="AT77" s="113" t="str">
        <f>IF(Briefing_FID!AT77="","",Briefing_FID!AT77)</f>
        <v/>
      </c>
      <c r="AU77" s="113" t="str">
        <f>IF(Briefing_FID!AU77="","",Briefing_FID!AU77)</f>
        <v/>
      </c>
      <c r="AV77" s="113" t="str">
        <f>IF(Briefing_FID!AV77="","",Briefing_FID!AV77)</f>
        <v/>
      </c>
      <c r="AW77" s="113" t="str">
        <f>IF(Briefing_FID!AW77="","",Briefing_FID!AW77)</f>
        <v/>
      </c>
      <c r="AX77" s="114" t="str">
        <f>IF(Briefing_FID!AX77="","",Briefing_FID!AX77)</f>
        <v/>
      </c>
      <c r="AY77" s="71"/>
      <c r="AZ77" s="117" t="str">
        <f>IF(Briefing_FID!AZ77="","",Briefing_FID!AZ77)</f>
        <v/>
      </c>
      <c r="BA77" s="118" t="str">
        <f>IF(Briefing_FID!BA77="","",Briefing_FID!BA77)</f>
        <v/>
      </c>
      <c r="BB77" s="55"/>
      <c r="BC77" s="102" t="str">
        <f>IF(Briefing_FID!BC77="","",Briefing_FID!BC77)</f>
        <v/>
      </c>
      <c r="BD77" s="27" t="str">
        <f>IF(Briefing_FID!BD77="","",Briefing_FID!BD77)</f>
        <v/>
      </c>
      <c r="BE77" s="100" t="str">
        <f>IF(Briefing_FID!BE77="","",Briefing_FID!BE77)</f>
        <v/>
      </c>
      <c r="BF77" s="3" t="str">
        <f>IF(Briefing_FID!BF77="","",Briefing_FID!BF77)</f>
        <v/>
      </c>
      <c r="BG77" s="10" t="str">
        <f>IF(Briefing_FID!BG77="","",Briefing_FID!BG77)</f>
        <v/>
      </c>
      <c r="BH77" s="100" t="str">
        <f>IF(Briefing_FID!BH77="","",Briefing_FID!BH77)</f>
        <v/>
      </c>
      <c r="BI77" s="3" t="str">
        <f>IF(Briefing_FID!BI77="","",Briefing_FID!BI77)</f>
        <v/>
      </c>
      <c r="BJ77" s="10" t="str">
        <f>IF(Briefing_FID!BJ77="","",Briefing_FID!BJ77)</f>
        <v/>
      </c>
      <c r="BK77" s="100" t="str">
        <f>IF(Briefing_FID!BK77="","",Briefing_FID!BK77)</f>
        <v/>
      </c>
      <c r="BL77" s="3" t="str">
        <f>IF(Briefing_FID!BL77="","",Briefing_FID!BL77)</f>
        <v/>
      </c>
      <c r="BM77" s="28" t="str">
        <f>IF(Briefing_FID!BM77="","",Briefing_FID!BM77)</f>
        <v/>
      </c>
      <c r="BN77" s="100" t="str">
        <f>IF(Briefing_FID!BN77="","",Briefing_FID!BN77)</f>
        <v/>
      </c>
      <c r="BO77" s="3" t="str">
        <f>IF(Briefing_FID!BO77="","",Briefing_FID!BO77)</f>
        <v/>
      </c>
      <c r="BP77" s="28" t="str">
        <f>IF(Briefing_FID!BP77="","",Briefing_FID!BP77)</f>
        <v/>
      </c>
      <c r="BQ77" s="100" t="str">
        <f>IF(Briefing_FID!BQ77="","",Briefing_FID!BQ77)</f>
        <v/>
      </c>
      <c r="BR77" s="3" t="str">
        <f>IF(Briefing_FID!BR77="","",Briefing_FID!BR77)</f>
        <v/>
      </c>
      <c r="BS77" s="28" t="str">
        <f>IF(Briefing_FID!BS77="","",Briefing_FID!BS77)</f>
        <v/>
      </c>
      <c r="BT77" s="100" t="str">
        <f>IF(Briefing_FID!BT77="","",Briefing_FID!BT77)</f>
        <v/>
      </c>
      <c r="BU77" s="3" t="str">
        <f>IF(Briefing_FID!BU77="","",Briefing_FID!BU77)</f>
        <v/>
      </c>
      <c r="BV77" s="28" t="str">
        <f>IF(Briefing_FID!BV77="","",Briefing_FID!BV77)</f>
        <v/>
      </c>
      <c r="BW77" s="100" t="str">
        <f>IF(Briefing_FID!BW77="","",Briefing_FID!BW77)</f>
        <v/>
      </c>
      <c r="BX77" s="3" t="str">
        <f>IF(Briefing_FID!BX77="","",Briefing_FID!BX77)</f>
        <v/>
      </c>
      <c r="BY77" s="28" t="str">
        <f>IF(Briefing_FID!BY77="","",Briefing_FID!BY77)</f>
        <v/>
      </c>
      <c r="BZ77" s="100" t="str">
        <f>IF(Briefing_FID!BZ77="","",Briefing_FID!BZ77)</f>
        <v/>
      </c>
      <c r="CA77" s="3" t="str">
        <f>IF(Briefing_FID!CA77="","",Briefing_FID!CA77)</f>
        <v/>
      </c>
      <c r="CB77" s="28" t="str">
        <f>IF(Briefing_FID!CB77="","",Briefing_FID!CB77)</f>
        <v/>
      </c>
      <c r="CC77" s="100" t="str">
        <f>IF(Briefing_FID!CC77="","",Briefing_FID!CC77)</f>
        <v/>
      </c>
      <c r="CD77" s="3" t="str">
        <f>IF(Briefing_FID!CD77="","",Briefing_FID!CD77)</f>
        <v/>
      </c>
      <c r="CE77" s="28" t="str">
        <f>IF(Briefing_FID!CE77="","",Briefing_FID!CE77)</f>
        <v/>
      </c>
      <c r="CF77" s="100" t="str">
        <f>IF(Briefing_FID!CF77="","",Briefing_FID!CF77)</f>
        <v/>
      </c>
      <c r="CG77" s="3" t="str">
        <f>IF(Briefing_FID!CG77="","",Briefing_FID!CG77)</f>
        <v/>
      </c>
      <c r="CH77" s="28" t="str">
        <f>IF(Briefing_FID!CH77="","",Briefing_FID!CH77)</f>
        <v/>
      </c>
      <c r="CI77" s="100" t="str">
        <f>IF(Briefing_FID!CI77="","",Briefing_FID!CI77)</f>
        <v/>
      </c>
      <c r="CJ77" s="3" t="str">
        <f>IF(Briefing_FID!CJ77="","",Briefing_FID!CJ77)</f>
        <v/>
      </c>
      <c r="CK77" s="28" t="str">
        <f>IF(Briefing_FID!CK77="","",Briefing_FID!CK77)</f>
        <v/>
      </c>
      <c r="CL77" s="100" t="str">
        <f>IF(Briefing_FID!CL77="","",Briefing_FID!CL77)</f>
        <v/>
      </c>
      <c r="CM77" s="3" t="str">
        <f>IF(Briefing_FID!CM77="","",Briefing_FID!CM77)</f>
        <v/>
      </c>
      <c r="CN77" s="28" t="str">
        <f>IF(Briefing_FID!CN77="","",Briefing_FID!CN77)</f>
        <v/>
      </c>
      <c r="CO77" s="100" t="str">
        <f>IF(Briefing_FID!CO77="","",Briefing_FID!CO77)</f>
        <v/>
      </c>
      <c r="CP77" s="3" t="str">
        <f>IF(Briefing_FID!CP77="","",Briefing_FID!CP77)</f>
        <v/>
      </c>
      <c r="CQ77" s="28" t="str">
        <f>IF(Briefing_FID!CQ77="","",Briefing_FID!CQ77)</f>
        <v/>
      </c>
      <c r="CR77" s="100" t="str">
        <f>IF(Briefing_FID!CR77="","",Briefing_FID!CR77)</f>
        <v/>
      </c>
      <c r="CS77" s="3" t="str">
        <f>IF(Briefing_FID!CS77="","",Briefing_FID!CS77)</f>
        <v/>
      </c>
      <c r="CT77" s="28" t="str">
        <f>IF(Briefing_FID!CT77="","",Briefing_FID!CT77)</f>
        <v/>
      </c>
      <c r="CU77" s="100" t="str">
        <f>IF(Briefing_FID!CU77="","",Briefing_FID!CU77)</f>
        <v/>
      </c>
      <c r="CV77" s="3" t="str">
        <f>IF(Briefing_FID!CV77="","",Briefing_FID!CV77)</f>
        <v/>
      </c>
      <c r="CW77" s="28" t="str">
        <f>IF(Briefing_FID!CW77="","",Briefing_FID!CW77)</f>
        <v/>
      </c>
      <c r="CX77" s="100" t="str">
        <f>IF(Briefing_FID!CX77="","",Briefing_FID!CX77)</f>
        <v/>
      </c>
      <c r="CY77" s="3" t="str">
        <f>IF(Briefing_FID!CY77="","",Briefing_FID!CY77)</f>
        <v/>
      </c>
      <c r="CZ77" s="28" t="str">
        <f>IF(Briefing_FID!CZ77="","",Briefing_FID!CZ77)</f>
        <v/>
      </c>
      <c r="DA77" s="100" t="str">
        <f>IF(Briefing_FID!DA77="","",Briefing_FID!DA77)</f>
        <v/>
      </c>
      <c r="DB77" s="3" t="str">
        <f>IF(Briefing_FID!DB77="","",Briefing_FID!DB77)</f>
        <v/>
      </c>
      <c r="DC77" s="28" t="str">
        <f>IF(Briefing_FID!DC77="","",Briefing_FID!DC77)</f>
        <v/>
      </c>
      <c r="DD77" s="100" t="str">
        <f>IF(Briefing_FID!DD77="","",Briefing_FID!DD77)</f>
        <v/>
      </c>
      <c r="DE77" s="3" t="str">
        <f>IF(Briefing_FID!DE77="","",Briefing_FID!DE77)</f>
        <v/>
      </c>
      <c r="DF77" s="28" t="str">
        <f>IF(Briefing_FID!DF77="","",Briefing_FID!DF77)</f>
        <v/>
      </c>
      <c r="DG77" s="100" t="str">
        <f>IF(Briefing_FID!DG77="","",Briefing_FID!DG77)</f>
        <v/>
      </c>
      <c r="DH77" s="3" t="str">
        <f>IF(Briefing_FID!DH77="","",Briefing_FID!DH77)</f>
        <v/>
      </c>
      <c r="DI77" s="28" t="str">
        <f>IF(Briefing_FID!DI77="","",Briefing_FID!DI77)</f>
        <v/>
      </c>
      <c r="DJ77" s="100" t="str">
        <f>IF(Briefing_FID!DJ77="","",Briefing_FID!DJ77)</f>
        <v/>
      </c>
      <c r="DK77" s="3" t="str">
        <f>IF(Briefing_FID!DK77="","",Briefing_FID!DK77)</f>
        <v/>
      </c>
      <c r="DL77" s="28" t="str">
        <f>IF(Briefing_FID!DL77="","",Briefing_FID!DL77)</f>
        <v/>
      </c>
      <c r="DM77" s="100" t="str">
        <f>IF(Briefing_FID!DM77="","",Briefing_FID!DM77)</f>
        <v/>
      </c>
      <c r="DN77" s="3" t="str">
        <f>IF(Briefing_FID!DN77="","",Briefing_FID!DN77)</f>
        <v/>
      </c>
      <c r="DO77" s="28" t="str">
        <f>IF(Briefing_FID!DO77="","",Briefing_FID!DO77)</f>
        <v/>
      </c>
      <c r="DP77" s="100" t="str">
        <f>IF(Briefing_FID!DP77="","",Briefing_FID!DP77)</f>
        <v/>
      </c>
      <c r="DQ77" s="3" t="str">
        <f>IF(Briefing_FID!DQ77="","",Briefing_FID!DQ77)</f>
        <v/>
      </c>
      <c r="DR77" s="28" t="str">
        <f>IF(Briefing_FID!DR77="","",Briefing_FID!DR77)</f>
        <v/>
      </c>
      <c r="DS77" s="100" t="str">
        <f>IF(Briefing_FID!DS77="","",Briefing_FID!DS77)</f>
        <v/>
      </c>
      <c r="DT77" s="3" t="str">
        <f>IF(Briefing_FID!DT77="","",Briefing_FID!DT77)</f>
        <v/>
      </c>
      <c r="DU77" s="28" t="str">
        <f>IF(Briefing_FID!DU77="","",Briefing_FID!DU77)</f>
        <v/>
      </c>
      <c r="DV77" s="100" t="str">
        <f>IF(Briefing_FID!DV77="","",Briefing_FID!DV77)</f>
        <v/>
      </c>
      <c r="DW77" s="3" t="str">
        <f>IF(Briefing_FID!DW77="","",Briefing_FID!DW77)</f>
        <v/>
      </c>
      <c r="DX77" s="28" t="str">
        <f>IF(Briefing_FID!DX77="","",Briefing_FID!DX77)</f>
        <v/>
      </c>
      <c r="DY77" s="100" t="str">
        <f>IF(Briefing_FID!DY77="","",Briefing_FID!DY77)</f>
        <v/>
      </c>
      <c r="DZ77" s="3" t="str">
        <f>IF(Briefing_FID!DZ77="","",Briefing_FID!DZ77)</f>
        <v/>
      </c>
      <c r="EA77" s="28" t="str">
        <f>IF(Briefing_FID!EA77="","",Briefing_FID!EA77)</f>
        <v/>
      </c>
      <c r="EB77" s="100" t="str">
        <f>IF(Briefing_FID!EB77="","",Briefing_FID!EB77)</f>
        <v/>
      </c>
      <c r="EC77" s="3" t="str">
        <f>IF(Briefing_FID!EC77="","",Briefing_FID!EC77)</f>
        <v/>
      </c>
      <c r="ED77" s="28" t="str">
        <f>IF(Briefing_FID!ED77="","",Briefing_FID!ED77)</f>
        <v/>
      </c>
      <c r="EE77" s="100" t="str">
        <f>IF(Briefing_FID!EE77="","",Briefing_FID!EE77)</f>
        <v/>
      </c>
      <c r="EF77" s="3" t="str">
        <f>IF(Briefing_FID!EF77="","",Briefing_FID!EF77)</f>
        <v/>
      </c>
      <c r="EG77" s="28" t="str">
        <f>IF(Briefing_FID!EG77="","",Briefing_FID!EG77)</f>
        <v/>
      </c>
      <c r="EH77" s="100" t="str">
        <f>IF(Briefing_FID!EH77="","",Briefing_FID!EH77)</f>
        <v/>
      </c>
      <c r="EI77" s="3" t="str">
        <f>IF(Briefing_FID!EI77="","",Briefing_FID!EI77)</f>
        <v/>
      </c>
      <c r="EJ77" s="28" t="str">
        <f>IF(Briefing_FID!EJ77="","",Briefing_FID!EJ77)</f>
        <v/>
      </c>
      <c r="EK77" s="100" t="str">
        <f>IF(Briefing_FID!EK77="","",Briefing_FID!EK77)</f>
        <v/>
      </c>
      <c r="EL77" s="3" t="str">
        <f>IF(Briefing_FID!EL77="","",Briefing_FID!EL77)</f>
        <v/>
      </c>
      <c r="EM77" s="28" t="str">
        <f>IF(Briefing_FID!EM77="","",Briefing_FID!EM77)</f>
        <v/>
      </c>
      <c r="EN77" s="100" t="str">
        <f>IF(Briefing_FID!EN77="","",Briefing_FID!EN77)</f>
        <v/>
      </c>
      <c r="EO77" s="3" t="str">
        <f>IF(Briefing_FID!EO77="","",Briefing_FID!EO77)</f>
        <v/>
      </c>
      <c r="EP77" s="28" t="str">
        <f>IF(Briefing_FID!EP77="","",Briefing_FID!EP77)</f>
        <v/>
      </c>
      <c r="EQ77" s="28" t="str">
        <f>IF(Briefing_FID!EQ77="","",Briefing_FID!EQ77)</f>
        <v/>
      </c>
      <c r="ER77" s="28" t="str">
        <f>IF(Briefing_FID!ER77="","",Briefing_FID!ER77)</f>
        <v/>
      </c>
      <c r="ES77" s="62"/>
      <c r="ET77" s="96" t="str">
        <f>IF(Briefing_FID!EZ77="","",Briefing_FID!EZ77)</f>
        <v/>
      </c>
      <c r="EU77" s="97" t="str">
        <f>IF(Briefing_FID!FA77="","",Briefing_FID!FA77)</f>
        <v/>
      </c>
      <c r="EV77" s="98" t="str">
        <f>IF(Briefing_FID!FB77="","",Briefing_FID!FB77)</f>
        <v/>
      </c>
      <c r="EW77" s="96" t="str">
        <f>IF(Briefing_FID!FC77="","",Briefing_FID!FC77)</f>
        <v/>
      </c>
      <c r="EX77" s="97" t="str">
        <f>IF(Briefing_FID!FD77="","",Briefing_FID!FD77)</f>
        <v/>
      </c>
      <c r="EY77" s="98" t="str">
        <f>IF(Briefing_FID!FE77="","",Briefing_FID!FE77)</f>
        <v/>
      </c>
      <c r="EZ77" s="104" t="str">
        <f>IF(Briefing_FID!FF77="","",Briefing_FID!FF77)</f>
        <v/>
      </c>
      <c r="FA77" s="144" t="str">
        <f>IF(Briefing_FID!FG77="","",Briefing_FID!FG77)</f>
        <v/>
      </c>
      <c r="FB77" s="144" t="str">
        <f>IF(Briefing_FID!FH77="","",Briefing_FID!FH77)</f>
        <v/>
      </c>
      <c r="FC77" s="144" t="str">
        <f>IF(Briefing_FID!FI77="","",Briefing_FID!FI77)</f>
        <v/>
      </c>
      <c r="FD77" s="144" t="str">
        <f>IF(Briefing_FID!FJ77="","",Briefing_FID!FJ77)</f>
        <v/>
      </c>
      <c r="FE77" s="144" t="str">
        <f>IF(Briefing_FID!FK77="","",Briefing_FID!FK77)</f>
        <v/>
      </c>
      <c r="FF77" s="144" t="str">
        <f>IF(Briefing_FID!FL77="","",Briefing_FID!FL77)</f>
        <v/>
      </c>
      <c r="FG77" s="144" t="str">
        <f>IF(Briefing_FID!FM77="","",Briefing_FID!FM77)</f>
        <v/>
      </c>
      <c r="FH77" s="144" t="str">
        <f>IF(Briefing_FID!FN77="","",Briefing_FID!FN77)</f>
        <v/>
      </c>
      <c r="FI77" s="144" t="str">
        <f>IF(Briefing_FID!FO77="","",Briefing_FID!FO77)</f>
        <v/>
      </c>
      <c r="FJ77" s="144" t="str">
        <f>IF(Briefing_FID!FP77="","",Briefing_FID!FP77)</f>
        <v/>
      </c>
      <c r="FK77" s="144" t="str">
        <f>IF(Briefing_FID!FQ77="","",Briefing_FID!FQ77)</f>
        <v/>
      </c>
      <c r="FL77" s="144" t="str">
        <f>IF(Briefing_FID!FR77="","",Briefing_FID!FR77)</f>
        <v/>
      </c>
      <c r="FM77" s="144" t="str">
        <f>IF(Briefing_FID!FS77="","",Briefing_FID!FS77)</f>
        <v/>
      </c>
      <c r="FN77" s="144" t="str">
        <f>IF(Briefing_FID!FT77="","",Briefing_FID!FT77)</f>
        <v/>
      </c>
      <c r="FO77" s="144" t="str">
        <f>IF(Briefing_FID!FU77="","",Briefing_FID!FU77)</f>
        <v/>
      </c>
      <c r="FP77" s="144" t="str">
        <f>IF(Briefing_FID!FV77="","",Briefing_FID!FV77)</f>
        <v/>
      </c>
      <c r="FQ77" s="144" t="str">
        <f>IF(Briefing_FID!FW77="","",Briefing_FID!FW77)</f>
        <v/>
      </c>
      <c r="FR77" s="151"/>
      <c r="FS77" s="152"/>
      <c r="FT77" s="152"/>
      <c r="FU77" s="152"/>
      <c r="FV77" s="152"/>
      <c r="FW77" s="152"/>
      <c r="FX77" s="152"/>
      <c r="FY77" s="152"/>
      <c r="FZ77" s="152"/>
      <c r="GA77" s="153"/>
    </row>
    <row r="78" spans="1:183">
      <c r="A78" s="136" t="str">
        <f>IF(Briefing_FID!A78="","",Briefing_FID!A78)</f>
        <v/>
      </c>
      <c r="B78" s="137" t="str">
        <f>IF(Briefing_FID!B78="","",Briefing_FID!B78)</f>
        <v/>
      </c>
      <c r="C78" s="137" t="str">
        <f>IF(Briefing_FID!C78="","",Briefing_FID!C78)</f>
        <v/>
      </c>
      <c r="D78" s="46"/>
      <c r="E78" s="120"/>
      <c r="F78" s="117"/>
      <c r="G78" s="117"/>
      <c r="H78" s="72"/>
      <c r="I78" s="72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23"/>
      <c r="AD78" s="117"/>
      <c r="AE78" s="117"/>
      <c r="AF78" s="117"/>
      <c r="AG78" s="117"/>
      <c r="AH78" s="117"/>
      <c r="AI78" s="117"/>
      <c r="AJ78" s="117"/>
      <c r="AK78" s="117"/>
      <c r="AL78" s="124"/>
      <c r="AM78" s="37"/>
      <c r="AN78" s="38"/>
      <c r="AO78" s="39"/>
      <c r="AP78" s="111" t="str">
        <f>IF(Briefing_FID!AP78="","",Briefing_FID!AP78)</f>
        <v/>
      </c>
      <c r="AQ78" s="112" t="str">
        <f>IF(Briefing_FID!AQ78="","",Briefing_FID!AQ78)</f>
        <v/>
      </c>
      <c r="AR78" s="107" t="str">
        <f>IF(Briefing_FID!AR78="","",Briefing_FID!AR78)</f>
        <v/>
      </c>
      <c r="AS78" s="108" t="str">
        <f>IF(Briefing_FID!AS78="","",Briefing_FID!AS78)</f>
        <v/>
      </c>
      <c r="AT78" s="113" t="str">
        <f>IF(Briefing_FID!AT78="","",Briefing_FID!AT78)</f>
        <v/>
      </c>
      <c r="AU78" s="113" t="str">
        <f>IF(Briefing_FID!AU78="","",Briefing_FID!AU78)</f>
        <v/>
      </c>
      <c r="AV78" s="113" t="str">
        <f>IF(Briefing_FID!AV78="","",Briefing_FID!AV78)</f>
        <v/>
      </c>
      <c r="AW78" s="113" t="str">
        <f>IF(Briefing_FID!AW78="","",Briefing_FID!AW78)</f>
        <v/>
      </c>
      <c r="AX78" s="114" t="str">
        <f>IF(Briefing_FID!AX78="","",Briefing_FID!AX78)</f>
        <v/>
      </c>
      <c r="AY78" s="71"/>
      <c r="AZ78" s="117" t="str">
        <f>IF(Briefing_FID!AZ78="","",Briefing_FID!AZ78)</f>
        <v/>
      </c>
      <c r="BA78" s="118" t="str">
        <f>IF(Briefing_FID!BA78="","",Briefing_FID!BA78)</f>
        <v/>
      </c>
      <c r="BB78" s="55"/>
      <c r="BC78" s="102" t="str">
        <f>IF(Briefing_FID!BC78="","",Briefing_FID!BC78)</f>
        <v/>
      </c>
      <c r="BD78" s="27" t="str">
        <f>IF(Briefing_FID!BD78="","",Briefing_FID!BD78)</f>
        <v/>
      </c>
      <c r="BE78" s="100" t="str">
        <f>IF(Briefing_FID!BE78="","",Briefing_FID!BE78)</f>
        <v/>
      </c>
      <c r="BF78" s="3" t="str">
        <f>IF(Briefing_FID!BF78="","",Briefing_FID!BF78)</f>
        <v/>
      </c>
      <c r="BG78" s="10" t="str">
        <f>IF(Briefing_FID!BG78="","",Briefing_FID!BG78)</f>
        <v/>
      </c>
      <c r="BH78" s="100" t="str">
        <f>IF(Briefing_FID!BH78="","",Briefing_FID!BH78)</f>
        <v/>
      </c>
      <c r="BI78" s="3" t="str">
        <f>IF(Briefing_FID!BI78="","",Briefing_FID!BI78)</f>
        <v/>
      </c>
      <c r="BJ78" s="10" t="str">
        <f>IF(Briefing_FID!BJ78="","",Briefing_FID!BJ78)</f>
        <v/>
      </c>
      <c r="BK78" s="100" t="str">
        <f>IF(Briefing_FID!BK78="","",Briefing_FID!BK78)</f>
        <v/>
      </c>
      <c r="BL78" s="3" t="str">
        <f>IF(Briefing_FID!BL78="","",Briefing_FID!BL78)</f>
        <v/>
      </c>
      <c r="BM78" s="28" t="str">
        <f>IF(Briefing_FID!BM78="","",Briefing_FID!BM78)</f>
        <v/>
      </c>
      <c r="BN78" s="100" t="str">
        <f>IF(Briefing_FID!BN78="","",Briefing_FID!BN78)</f>
        <v/>
      </c>
      <c r="BO78" s="3" t="str">
        <f>IF(Briefing_FID!BO78="","",Briefing_FID!BO78)</f>
        <v/>
      </c>
      <c r="BP78" s="28" t="str">
        <f>IF(Briefing_FID!BP78="","",Briefing_FID!BP78)</f>
        <v/>
      </c>
      <c r="BQ78" s="100" t="str">
        <f>IF(Briefing_FID!BQ78="","",Briefing_FID!BQ78)</f>
        <v/>
      </c>
      <c r="BR78" s="3" t="str">
        <f>IF(Briefing_FID!BR78="","",Briefing_FID!BR78)</f>
        <v/>
      </c>
      <c r="BS78" s="28" t="str">
        <f>IF(Briefing_FID!BS78="","",Briefing_FID!BS78)</f>
        <v/>
      </c>
      <c r="BT78" s="100" t="str">
        <f>IF(Briefing_FID!BT78="","",Briefing_FID!BT78)</f>
        <v/>
      </c>
      <c r="BU78" s="3" t="str">
        <f>IF(Briefing_FID!BU78="","",Briefing_FID!BU78)</f>
        <v/>
      </c>
      <c r="BV78" s="28" t="str">
        <f>IF(Briefing_FID!BV78="","",Briefing_FID!BV78)</f>
        <v/>
      </c>
      <c r="BW78" s="100" t="str">
        <f>IF(Briefing_FID!BW78="","",Briefing_FID!BW78)</f>
        <v/>
      </c>
      <c r="BX78" s="3" t="str">
        <f>IF(Briefing_FID!BX78="","",Briefing_FID!BX78)</f>
        <v/>
      </c>
      <c r="BY78" s="28" t="str">
        <f>IF(Briefing_FID!BY78="","",Briefing_FID!BY78)</f>
        <v/>
      </c>
      <c r="BZ78" s="100" t="str">
        <f>IF(Briefing_FID!BZ78="","",Briefing_FID!BZ78)</f>
        <v/>
      </c>
      <c r="CA78" s="3" t="str">
        <f>IF(Briefing_FID!CA78="","",Briefing_FID!CA78)</f>
        <v/>
      </c>
      <c r="CB78" s="28" t="str">
        <f>IF(Briefing_FID!CB78="","",Briefing_FID!CB78)</f>
        <v/>
      </c>
      <c r="CC78" s="100" t="str">
        <f>IF(Briefing_FID!CC78="","",Briefing_FID!CC78)</f>
        <v/>
      </c>
      <c r="CD78" s="3" t="str">
        <f>IF(Briefing_FID!CD78="","",Briefing_FID!CD78)</f>
        <v/>
      </c>
      <c r="CE78" s="28" t="str">
        <f>IF(Briefing_FID!CE78="","",Briefing_FID!CE78)</f>
        <v/>
      </c>
      <c r="CF78" s="100" t="str">
        <f>IF(Briefing_FID!CF78="","",Briefing_FID!CF78)</f>
        <v/>
      </c>
      <c r="CG78" s="3" t="str">
        <f>IF(Briefing_FID!CG78="","",Briefing_FID!CG78)</f>
        <v/>
      </c>
      <c r="CH78" s="28" t="str">
        <f>IF(Briefing_FID!CH78="","",Briefing_FID!CH78)</f>
        <v/>
      </c>
      <c r="CI78" s="100" t="str">
        <f>IF(Briefing_FID!CI78="","",Briefing_FID!CI78)</f>
        <v/>
      </c>
      <c r="CJ78" s="3" t="str">
        <f>IF(Briefing_FID!CJ78="","",Briefing_FID!CJ78)</f>
        <v/>
      </c>
      <c r="CK78" s="28" t="str">
        <f>IF(Briefing_FID!CK78="","",Briefing_FID!CK78)</f>
        <v/>
      </c>
      <c r="CL78" s="100" t="str">
        <f>IF(Briefing_FID!CL78="","",Briefing_FID!CL78)</f>
        <v/>
      </c>
      <c r="CM78" s="3" t="str">
        <f>IF(Briefing_FID!CM78="","",Briefing_FID!CM78)</f>
        <v/>
      </c>
      <c r="CN78" s="28" t="str">
        <f>IF(Briefing_FID!CN78="","",Briefing_FID!CN78)</f>
        <v/>
      </c>
      <c r="CO78" s="100" t="str">
        <f>IF(Briefing_FID!CO78="","",Briefing_FID!CO78)</f>
        <v/>
      </c>
      <c r="CP78" s="3" t="str">
        <f>IF(Briefing_FID!CP78="","",Briefing_FID!CP78)</f>
        <v/>
      </c>
      <c r="CQ78" s="28" t="str">
        <f>IF(Briefing_FID!CQ78="","",Briefing_FID!CQ78)</f>
        <v/>
      </c>
      <c r="CR78" s="100" t="str">
        <f>IF(Briefing_FID!CR78="","",Briefing_FID!CR78)</f>
        <v/>
      </c>
      <c r="CS78" s="3" t="str">
        <f>IF(Briefing_FID!CS78="","",Briefing_FID!CS78)</f>
        <v/>
      </c>
      <c r="CT78" s="28" t="str">
        <f>IF(Briefing_FID!CT78="","",Briefing_FID!CT78)</f>
        <v/>
      </c>
      <c r="CU78" s="100" t="str">
        <f>IF(Briefing_FID!CU78="","",Briefing_FID!CU78)</f>
        <v/>
      </c>
      <c r="CV78" s="3" t="str">
        <f>IF(Briefing_FID!CV78="","",Briefing_FID!CV78)</f>
        <v/>
      </c>
      <c r="CW78" s="28" t="str">
        <f>IF(Briefing_FID!CW78="","",Briefing_FID!CW78)</f>
        <v/>
      </c>
      <c r="CX78" s="100" t="str">
        <f>IF(Briefing_FID!CX78="","",Briefing_FID!CX78)</f>
        <v/>
      </c>
      <c r="CY78" s="3" t="str">
        <f>IF(Briefing_FID!CY78="","",Briefing_FID!CY78)</f>
        <v/>
      </c>
      <c r="CZ78" s="28" t="str">
        <f>IF(Briefing_FID!CZ78="","",Briefing_FID!CZ78)</f>
        <v/>
      </c>
      <c r="DA78" s="100" t="str">
        <f>IF(Briefing_FID!DA78="","",Briefing_FID!DA78)</f>
        <v/>
      </c>
      <c r="DB78" s="3" t="str">
        <f>IF(Briefing_FID!DB78="","",Briefing_FID!DB78)</f>
        <v/>
      </c>
      <c r="DC78" s="28" t="str">
        <f>IF(Briefing_FID!DC78="","",Briefing_FID!DC78)</f>
        <v/>
      </c>
      <c r="DD78" s="100" t="str">
        <f>IF(Briefing_FID!DD78="","",Briefing_FID!DD78)</f>
        <v/>
      </c>
      <c r="DE78" s="3" t="str">
        <f>IF(Briefing_FID!DE78="","",Briefing_FID!DE78)</f>
        <v/>
      </c>
      <c r="DF78" s="28" t="str">
        <f>IF(Briefing_FID!DF78="","",Briefing_FID!DF78)</f>
        <v/>
      </c>
      <c r="DG78" s="100" t="str">
        <f>IF(Briefing_FID!DG78="","",Briefing_FID!DG78)</f>
        <v/>
      </c>
      <c r="DH78" s="3" t="str">
        <f>IF(Briefing_FID!DH78="","",Briefing_FID!DH78)</f>
        <v/>
      </c>
      <c r="DI78" s="28" t="str">
        <f>IF(Briefing_FID!DI78="","",Briefing_FID!DI78)</f>
        <v/>
      </c>
      <c r="DJ78" s="100" t="str">
        <f>IF(Briefing_FID!DJ78="","",Briefing_FID!DJ78)</f>
        <v/>
      </c>
      <c r="DK78" s="3" t="str">
        <f>IF(Briefing_FID!DK78="","",Briefing_FID!DK78)</f>
        <v/>
      </c>
      <c r="DL78" s="28" t="str">
        <f>IF(Briefing_FID!DL78="","",Briefing_FID!DL78)</f>
        <v/>
      </c>
      <c r="DM78" s="100" t="str">
        <f>IF(Briefing_FID!DM78="","",Briefing_FID!DM78)</f>
        <v/>
      </c>
      <c r="DN78" s="3" t="str">
        <f>IF(Briefing_FID!DN78="","",Briefing_FID!DN78)</f>
        <v/>
      </c>
      <c r="DO78" s="28" t="str">
        <f>IF(Briefing_FID!DO78="","",Briefing_FID!DO78)</f>
        <v/>
      </c>
      <c r="DP78" s="100" t="str">
        <f>IF(Briefing_FID!DP78="","",Briefing_FID!DP78)</f>
        <v/>
      </c>
      <c r="DQ78" s="3" t="str">
        <f>IF(Briefing_FID!DQ78="","",Briefing_FID!DQ78)</f>
        <v/>
      </c>
      <c r="DR78" s="28" t="str">
        <f>IF(Briefing_FID!DR78="","",Briefing_FID!DR78)</f>
        <v/>
      </c>
      <c r="DS78" s="100" t="str">
        <f>IF(Briefing_FID!DS78="","",Briefing_FID!DS78)</f>
        <v/>
      </c>
      <c r="DT78" s="3" t="str">
        <f>IF(Briefing_FID!DT78="","",Briefing_FID!DT78)</f>
        <v/>
      </c>
      <c r="DU78" s="28" t="str">
        <f>IF(Briefing_FID!DU78="","",Briefing_FID!DU78)</f>
        <v/>
      </c>
      <c r="DV78" s="100" t="str">
        <f>IF(Briefing_FID!DV78="","",Briefing_FID!DV78)</f>
        <v/>
      </c>
      <c r="DW78" s="3" t="str">
        <f>IF(Briefing_FID!DW78="","",Briefing_FID!DW78)</f>
        <v/>
      </c>
      <c r="DX78" s="28" t="str">
        <f>IF(Briefing_FID!DX78="","",Briefing_FID!DX78)</f>
        <v/>
      </c>
      <c r="DY78" s="100" t="str">
        <f>IF(Briefing_FID!DY78="","",Briefing_FID!DY78)</f>
        <v/>
      </c>
      <c r="DZ78" s="3" t="str">
        <f>IF(Briefing_FID!DZ78="","",Briefing_FID!DZ78)</f>
        <v/>
      </c>
      <c r="EA78" s="28" t="str">
        <f>IF(Briefing_FID!EA78="","",Briefing_FID!EA78)</f>
        <v/>
      </c>
      <c r="EB78" s="100" t="str">
        <f>IF(Briefing_FID!EB78="","",Briefing_FID!EB78)</f>
        <v/>
      </c>
      <c r="EC78" s="3" t="str">
        <f>IF(Briefing_FID!EC78="","",Briefing_FID!EC78)</f>
        <v/>
      </c>
      <c r="ED78" s="28" t="str">
        <f>IF(Briefing_FID!ED78="","",Briefing_FID!ED78)</f>
        <v/>
      </c>
      <c r="EE78" s="100" t="str">
        <f>IF(Briefing_FID!EE78="","",Briefing_FID!EE78)</f>
        <v/>
      </c>
      <c r="EF78" s="3" t="str">
        <f>IF(Briefing_FID!EF78="","",Briefing_FID!EF78)</f>
        <v/>
      </c>
      <c r="EG78" s="28" t="str">
        <f>IF(Briefing_FID!EG78="","",Briefing_FID!EG78)</f>
        <v/>
      </c>
      <c r="EH78" s="100" t="str">
        <f>IF(Briefing_FID!EH78="","",Briefing_FID!EH78)</f>
        <v/>
      </c>
      <c r="EI78" s="3" t="str">
        <f>IF(Briefing_FID!EI78="","",Briefing_FID!EI78)</f>
        <v/>
      </c>
      <c r="EJ78" s="28" t="str">
        <f>IF(Briefing_FID!EJ78="","",Briefing_FID!EJ78)</f>
        <v/>
      </c>
      <c r="EK78" s="100" t="str">
        <f>IF(Briefing_FID!EK78="","",Briefing_FID!EK78)</f>
        <v/>
      </c>
      <c r="EL78" s="3" t="str">
        <f>IF(Briefing_FID!EL78="","",Briefing_FID!EL78)</f>
        <v/>
      </c>
      <c r="EM78" s="28" t="str">
        <f>IF(Briefing_FID!EM78="","",Briefing_FID!EM78)</f>
        <v/>
      </c>
      <c r="EN78" s="100" t="str">
        <f>IF(Briefing_FID!EN78="","",Briefing_FID!EN78)</f>
        <v/>
      </c>
      <c r="EO78" s="3" t="str">
        <f>IF(Briefing_FID!EO78="","",Briefing_FID!EO78)</f>
        <v/>
      </c>
      <c r="EP78" s="28" t="str">
        <f>IF(Briefing_FID!EP78="","",Briefing_FID!EP78)</f>
        <v/>
      </c>
      <c r="EQ78" s="28" t="str">
        <f>IF(Briefing_FID!EQ78="","",Briefing_FID!EQ78)</f>
        <v/>
      </c>
      <c r="ER78" s="28" t="str">
        <f>IF(Briefing_FID!ER78="","",Briefing_FID!ER78)</f>
        <v/>
      </c>
      <c r="ES78" s="62"/>
      <c r="ET78" s="96" t="str">
        <f>IF(Briefing_FID!EZ78="","",Briefing_FID!EZ78)</f>
        <v/>
      </c>
      <c r="EU78" s="97" t="str">
        <f>IF(Briefing_FID!FA78="","",Briefing_FID!FA78)</f>
        <v/>
      </c>
      <c r="EV78" s="98" t="str">
        <f>IF(Briefing_FID!FB78="","",Briefing_FID!FB78)</f>
        <v/>
      </c>
      <c r="EW78" s="96" t="str">
        <f>IF(Briefing_FID!FC78="","",Briefing_FID!FC78)</f>
        <v/>
      </c>
      <c r="EX78" s="97" t="str">
        <f>IF(Briefing_FID!FD78="","",Briefing_FID!FD78)</f>
        <v/>
      </c>
      <c r="EY78" s="98" t="str">
        <f>IF(Briefing_FID!FE78="","",Briefing_FID!FE78)</f>
        <v/>
      </c>
      <c r="EZ78" s="104" t="str">
        <f>IF(Briefing_FID!FF78="","",Briefing_FID!FF78)</f>
        <v/>
      </c>
      <c r="FA78" s="144" t="str">
        <f>IF(Briefing_FID!FG78="","",Briefing_FID!FG78)</f>
        <v/>
      </c>
      <c r="FB78" s="144" t="str">
        <f>IF(Briefing_FID!FH78="","",Briefing_FID!FH78)</f>
        <v/>
      </c>
      <c r="FC78" s="144" t="str">
        <f>IF(Briefing_FID!FI78="","",Briefing_FID!FI78)</f>
        <v/>
      </c>
      <c r="FD78" s="144" t="str">
        <f>IF(Briefing_FID!FJ78="","",Briefing_FID!FJ78)</f>
        <v/>
      </c>
      <c r="FE78" s="144" t="str">
        <f>IF(Briefing_FID!FK78="","",Briefing_FID!FK78)</f>
        <v/>
      </c>
      <c r="FF78" s="144" t="str">
        <f>IF(Briefing_FID!FL78="","",Briefing_FID!FL78)</f>
        <v/>
      </c>
      <c r="FG78" s="144" t="str">
        <f>IF(Briefing_FID!FM78="","",Briefing_FID!FM78)</f>
        <v/>
      </c>
      <c r="FH78" s="144" t="str">
        <f>IF(Briefing_FID!FN78="","",Briefing_FID!FN78)</f>
        <v/>
      </c>
      <c r="FI78" s="144" t="str">
        <f>IF(Briefing_FID!FO78="","",Briefing_FID!FO78)</f>
        <v/>
      </c>
      <c r="FJ78" s="144" t="str">
        <f>IF(Briefing_FID!FP78="","",Briefing_FID!FP78)</f>
        <v/>
      </c>
      <c r="FK78" s="144" t="str">
        <f>IF(Briefing_FID!FQ78="","",Briefing_FID!FQ78)</f>
        <v/>
      </c>
      <c r="FL78" s="144" t="str">
        <f>IF(Briefing_FID!FR78="","",Briefing_FID!FR78)</f>
        <v/>
      </c>
      <c r="FM78" s="144" t="str">
        <f>IF(Briefing_FID!FS78="","",Briefing_FID!FS78)</f>
        <v/>
      </c>
      <c r="FN78" s="144" t="str">
        <f>IF(Briefing_FID!FT78="","",Briefing_FID!FT78)</f>
        <v/>
      </c>
      <c r="FO78" s="144" t="str">
        <f>IF(Briefing_FID!FU78="","",Briefing_FID!FU78)</f>
        <v/>
      </c>
      <c r="FP78" s="144" t="str">
        <f>IF(Briefing_FID!FV78="","",Briefing_FID!FV78)</f>
        <v/>
      </c>
      <c r="FQ78" s="144" t="str">
        <f>IF(Briefing_FID!FW78="","",Briefing_FID!FW78)</f>
        <v/>
      </c>
      <c r="FR78" s="151"/>
      <c r="FS78" s="152"/>
      <c r="FT78" s="152"/>
      <c r="FU78" s="152"/>
      <c r="FV78" s="152"/>
      <c r="FW78" s="152"/>
      <c r="FX78" s="152"/>
      <c r="FY78" s="152"/>
      <c r="FZ78" s="152"/>
      <c r="GA78" s="153"/>
    </row>
    <row r="79" spans="1:183">
      <c r="A79" s="136" t="str">
        <f>IF(Briefing_FID!A79="","",Briefing_FID!A79)</f>
        <v/>
      </c>
      <c r="B79" s="137" t="str">
        <f>IF(Briefing_FID!B79="","",Briefing_FID!B79)</f>
        <v/>
      </c>
      <c r="C79" s="137" t="str">
        <f>IF(Briefing_FID!C79="","",Briefing_FID!C79)</f>
        <v/>
      </c>
      <c r="D79" s="46"/>
      <c r="E79" s="120"/>
      <c r="F79" s="117"/>
      <c r="G79" s="117"/>
      <c r="H79" s="72"/>
      <c r="I79" s="72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23"/>
      <c r="AD79" s="117"/>
      <c r="AE79" s="117"/>
      <c r="AF79" s="117"/>
      <c r="AG79" s="117"/>
      <c r="AH79" s="117"/>
      <c r="AI79" s="117"/>
      <c r="AJ79" s="117"/>
      <c r="AK79" s="117"/>
      <c r="AL79" s="124"/>
      <c r="AM79" s="37"/>
      <c r="AN79" s="38"/>
      <c r="AO79" s="39"/>
      <c r="AP79" s="111" t="str">
        <f>IF(Briefing_FID!AP79="","",Briefing_FID!AP79)</f>
        <v/>
      </c>
      <c r="AQ79" s="112" t="str">
        <f>IF(Briefing_FID!AQ79="","",Briefing_FID!AQ79)</f>
        <v/>
      </c>
      <c r="AR79" s="107" t="str">
        <f>IF(Briefing_FID!AR79="","",Briefing_FID!AR79)</f>
        <v/>
      </c>
      <c r="AS79" s="108" t="str">
        <f>IF(Briefing_FID!AS79="","",Briefing_FID!AS79)</f>
        <v/>
      </c>
      <c r="AT79" s="113" t="str">
        <f>IF(Briefing_FID!AT79="","",Briefing_FID!AT79)</f>
        <v/>
      </c>
      <c r="AU79" s="113" t="str">
        <f>IF(Briefing_FID!AU79="","",Briefing_FID!AU79)</f>
        <v/>
      </c>
      <c r="AV79" s="113" t="str">
        <f>IF(Briefing_FID!AV79="","",Briefing_FID!AV79)</f>
        <v/>
      </c>
      <c r="AW79" s="113" t="str">
        <f>IF(Briefing_FID!AW79="","",Briefing_FID!AW79)</f>
        <v/>
      </c>
      <c r="AX79" s="114" t="str">
        <f>IF(Briefing_FID!AX79="","",Briefing_FID!AX79)</f>
        <v/>
      </c>
      <c r="AY79" s="71"/>
      <c r="AZ79" s="117" t="str">
        <f>IF(Briefing_FID!AZ79="","",Briefing_FID!AZ79)</f>
        <v/>
      </c>
      <c r="BA79" s="118" t="str">
        <f>IF(Briefing_FID!BA79="","",Briefing_FID!BA79)</f>
        <v/>
      </c>
      <c r="BB79" s="55"/>
      <c r="BC79" s="102" t="str">
        <f>IF(Briefing_FID!BC79="","",Briefing_FID!BC79)</f>
        <v/>
      </c>
      <c r="BD79" s="27" t="str">
        <f>IF(Briefing_FID!BD79="","",Briefing_FID!BD79)</f>
        <v/>
      </c>
      <c r="BE79" s="100" t="str">
        <f>IF(Briefing_FID!BE79="","",Briefing_FID!BE79)</f>
        <v/>
      </c>
      <c r="BF79" s="3" t="str">
        <f>IF(Briefing_FID!BF79="","",Briefing_FID!BF79)</f>
        <v/>
      </c>
      <c r="BG79" s="10" t="str">
        <f>IF(Briefing_FID!BG79="","",Briefing_FID!BG79)</f>
        <v/>
      </c>
      <c r="BH79" s="100" t="str">
        <f>IF(Briefing_FID!BH79="","",Briefing_FID!BH79)</f>
        <v/>
      </c>
      <c r="BI79" s="3" t="str">
        <f>IF(Briefing_FID!BI79="","",Briefing_FID!BI79)</f>
        <v/>
      </c>
      <c r="BJ79" s="10" t="str">
        <f>IF(Briefing_FID!BJ79="","",Briefing_FID!BJ79)</f>
        <v/>
      </c>
      <c r="BK79" s="100" t="str">
        <f>IF(Briefing_FID!BK79="","",Briefing_FID!BK79)</f>
        <v/>
      </c>
      <c r="BL79" s="3" t="str">
        <f>IF(Briefing_FID!BL79="","",Briefing_FID!BL79)</f>
        <v/>
      </c>
      <c r="BM79" s="28" t="str">
        <f>IF(Briefing_FID!BM79="","",Briefing_FID!BM79)</f>
        <v/>
      </c>
      <c r="BN79" s="100" t="str">
        <f>IF(Briefing_FID!BN79="","",Briefing_FID!BN79)</f>
        <v/>
      </c>
      <c r="BO79" s="3" t="str">
        <f>IF(Briefing_FID!BO79="","",Briefing_FID!BO79)</f>
        <v/>
      </c>
      <c r="BP79" s="28" t="str">
        <f>IF(Briefing_FID!BP79="","",Briefing_FID!BP79)</f>
        <v/>
      </c>
      <c r="BQ79" s="100" t="str">
        <f>IF(Briefing_FID!BQ79="","",Briefing_FID!BQ79)</f>
        <v/>
      </c>
      <c r="BR79" s="3" t="str">
        <f>IF(Briefing_FID!BR79="","",Briefing_FID!BR79)</f>
        <v/>
      </c>
      <c r="BS79" s="28" t="str">
        <f>IF(Briefing_FID!BS79="","",Briefing_FID!BS79)</f>
        <v/>
      </c>
      <c r="BT79" s="100" t="str">
        <f>IF(Briefing_FID!BT79="","",Briefing_FID!BT79)</f>
        <v/>
      </c>
      <c r="BU79" s="3" t="str">
        <f>IF(Briefing_FID!BU79="","",Briefing_FID!BU79)</f>
        <v/>
      </c>
      <c r="BV79" s="28" t="str">
        <f>IF(Briefing_FID!BV79="","",Briefing_FID!BV79)</f>
        <v/>
      </c>
      <c r="BW79" s="100" t="str">
        <f>IF(Briefing_FID!BW79="","",Briefing_FID!BW79)</f>
        <v/>
      </c>
      <c r="BX79" s="3" t="str">
        <f>IF(Briefing_FID!BX79="","",Briefing_FID!BX79)</f>
        <v/>
      </c>
      <c r="BY79" s="28" t="str">
        <f>IF(Briefing_FID!BY79="","",Briefing_FID!BY79)</f>
        <v/>
      </c>
      <c r="BZ79" s="100" t="str">
        <f>IF(Briefing_FID!BZ79="","",Briefing_FID!BZ79)</f>
        <v/>
      </c>
      <c r="CA79" s="3" t="str">
        <f>IF(Briefing_FID!CA79="","",Briefing_FID!CA79)</f>
        <v/>
      </c>
      <c r="CB79" s="28" t="str">
        <f>IF(Briefing_FID!CB79="","",Briefing_FID!CB79)</f>
        <v/>
      </c>
      <c r="CC79" s="100" t="str">
        <f>IF(Briefing_FID!CC79="","",Briefing_FID!CC79)</f>
        <v/>
      </c>
      <c r="CD79" s="3" t="str">
        <f>IF(Briefing_FID!CD79="","",Briefing_FID!CD79)</f>
        <v/>
      </c>
      <c r="CE79" s="28" t="str">
        <f>IF(Briefing_FID!CE79="","",Briefing_FID!CE79)</f>
        <v/>
      </c>
      <c r="CF79" s="100" t="str">
        <f>IF(Briefing_FID!CF79="","",Briefing_FID!CF79)</f>
        <v/>
      </c>
      <c r="CG79" s="3" t="str">
        <f>IF(Briefing_FID!CG79="","",Briefing_FID!CG79)</f>
        <v/>
      </c>
      <c r="CH79" s="28" t="str">
        <f>IF(Briefing_FID!CH79="","",Briefing_FID!CH79)</f>
        <v/>
      </c>
      <c r="CI79" s="100" t="str">
        <f>IF(Briefing_FID!CI79="","",Briefing_FID!CI79)</f>
        <v/>
      </c>
      <c r="CJ79" s="3" t="str">
        <f>IF(Briefing_FID!CJ79="","",Briefing_FID!CJ79)</f>
        <v/>
      </c>
      <c r="CK79" s="28" t="str">
        <f>IF(Briefing_FID!CK79="","",Briefing_FID!CK79)</f>
        <v/>
      </c>
      <c r="CL79" s="100" t="str">
        <f>IF(Briefing_FID!CL79="","",Briefing_FID!CL79)</f>
        <v/>
      </c>
      <c r="CM79" s="3" t="str">
        <f>IF(Briefing_FID!CM79="","",Briefing_FID!CM79)</f>
        <v/>
      </c>
      <c r="CN79" s="28" t="str">
        <f>IF(Briefing_FID!CN79="","",Briefing_FID!CN79)</f>
        <v/>
      </c>
      <c r="CO79" s="100" t="str">
        <f>IF(Briefing_FID!CO79="","",Briefing_FID!CO79)</f>
        <v/>
      </c>
      <c r="CP79" s="3" t="str">
        <f>IF(Briefing_FID!CP79="","",Briefing_FID!CP79)</f>
        <v/>
      </c>
      <c r="CQ79" s="28" t="str">
        <f>IF(Briefing_FID!CQ79="","",Briefing_FID!CQ79)</f>
        <v/>
      </c>
      <c r="CR79" s="100" t="str">
        <f>IF(Briefing_FID!CR79="","",Briefing_FID!CR79)</f>
        <v/>
      </c>
      <c r="CS79" s="3" t="str">
        <f>IF(Briefing_FID!CS79="","",Briefing_FID!CS79)</f>
        <v/>
      </c>
      <c r="CT79" s="28" t="str">
        <f>IF(Briefing_FID!CT79="","",Briefing_FID!CT79)</f>
        <v/>
      </c>
      <c r="CU79" s="100" t="str">
        <f>IF(Briefing_FID!CU79="","",Briefing_FID!CU79)</f>
        <v/>
      </c>
      <c r="CV79" s="3" t="str">
        <f>IF(Briefing_FID!CV79="","",Briefing_FID!CV79)</f>
        <v/>
      </c>
      <c r="CW79" s="28" t="str">
        <f>IF(Briefing_FID!CW79="","",Briefing_FID!CW79)</f>
        <v/>
      </c>
      <c r="CX79" s="100" t="str">
        <f>IF(Briefing_FID!CX79="","",Briefing_FID!CX79)</f>
        <v/>
      </c>
      <c r="CY79" s="3" t="str">
        <f>IF(Briefing_FID!CY79="","",Briefing_FID!CY79)</f>
        <v/>
      </c>
      <c r="CZ79" s="28" t="str">
        <f>IF(Briefing_FID!CZ79="","",Briefing_FID!CZ79)</f>
        <v/>
      </c>
      <c r="DA79" s="100" t="str">
        <f>IF(Briefing_FID!DA79="","",Briefing_FID!DA79)</f>
        <v/>
      </c>
      <c r="DB79" s="3" t="str">
        <f>IF(Briefing_FID!DB79="","",Briefing_FID!DB79)</f>
        <v/>
      </c>
      <c r="DC79" s="28" t="str">
        <f>IF(Briefing_FID!DC79="","",Briefing_FID!DC79)</f>
        <v/>
      </c>
      <c r="DD79" s="100" t="str">
        <f>IF(Briefing_FID!DD79="","",Briefing_FID!DD79)</f>
        <v/>
      </c>
      <c r="DE79" s="3" t="str">
        <f>IF(Briefing_FID!DE79="","",Briefing_FID!DE79)</f>
        <v/>
      </c>
      <c r="DF79" s="28" t="str">
        <f>IF(Briefing_FID!DF79="","",Briefing_FID!DF79)</f>
        <v/>
      </c>
      <c r="DG79" s="100" t="str">
        <f>IF(Briefing_FID!DG79="","",Briefing_FID!DG79)</f>
        <v/>
      </c>
      <c r="DH79" s="3" t="str">
        <f>IF(Briefing_FID!DH79="","",Briefing_FID!DH79)</f>
        <v/>
      </c>
      <c r="DI79" s="28" t="str">
        <f>IF(Briefing_FID!DI79="","",Briefing_FID!DI79)</f>
        <v/>
      </c>
      <c r="DJ79" s="100" t="str">
        <f>IF(Briefing_FID!DJ79="","",Briefing_FID!DJ79)</f>
        <v/>
      </c>
      <c r="DK79" s="3" t="str">
        <f>IF(Briefing_FID!DK79="","",Briefing_FID!DK79)</f>
        <v/>
      </c>
      <c r="DL79" s="28" t="str">
        <f>IF(Briefing_FID!DL79="","",Briefing_FID!DL79)</f>
        <v/>
      </c>
      <c r="DM79" s="100" t="str">
        <f>IF(Briefing_FID!DM79="","",Briefing_FID!DM79)</f>
        <v/>
      </c>
      <c r="DN79" s="3" t="str">
        <f>IF(Briefing_FID!DN79="","",Briefing_FID!DN79)</f>
        <v/>
      </c>
      <c r="DO79" s="28" t="str">
        <f>IF(Briefing_FID!DO79="","",Briefing_FID!DO79)</f>
        <v/>
      </c>
      <c r="DP79" s="100" t="str">
        <f>IF(Briefing_FID!DP79="","",Briefing_FID!DP79)</f>
        <v/>
      </c>
      <c r="DQ79" s="3" t="str">
        <f>IF(Briefing_FID!DQ79="","",Briefing_FID!DQ79)</f>
        <v/>
      </c>
      <c r="DR79" s="28" t="str">
        <f>IF(Briefing_FID!DR79="","",Briefing_FID!DR79)</f>
        <v/>
      </c>
      <c r="DS79" s="100" t="str">
        <f>IF(Briefing_FID!DS79="","",Briefing_FID!DS79)</f>
        <v/>
      </c>
      <c r="DT79" s="3" t="str">
        <f>IF(Briefing_FID!DT79="","",Briefing_FID!DT79)</f>
        <v/>
      </c>
      <c r="DU79" s="28" t="str">
        <f>IF(Briefing_FID!DU79="","",Briefing_FID!DU79)</f>
        <v/>
      </c>
      <c r="DV79" s="100" t="str">
        <f>IF(Briefing_FID!DV79="","",Briefing_FID!DV79)</f>
        <v/>
      </c>
      <c r="DW79" s="3" t="str">
        <f>IF(Briefing_FID!DW79="","",Briefing_FID!DW79)</f>
        <v/>
      </c>
      <c r="DX79" s="28" t="str">
        <f>IF(Briefing_FID!DX79="","",Briefing_FID!DX79)</f>
        <v/>
      </c>
      <c r="DY79" s="100" t="str">
        <f>IF(Briefing_FID!DY79="","",Briefing_FID!DY79)</f>
        <v/>
      </c>
      <c r="DZ79" s="3" t="str">
        <f>IF(Briefing_FID!DZ79="","",Briefing_FID!DZ79)</f>
        <v/>
      </c>
      <c r="EA79" s="28" t="str">
        <f>IF(Briefing_FID!EA79="","",Briefing_FID!EA79)</f>
        <v/>
      </c>
      <c r="EB79" s="100" t="str">
        <f>IF(Briefing_FID!EB79="","",Briefing_FID!EB79)</f>
        <v/>
      </c>
      <c r="EC79" s="3" t="str">
        <f>IF(Briefing_FID!EC79="","",Briefing_FID!EC79)</f>
        <v/>
      </c>
      <c r="ED79" s="28" t="str">
        <f>IF(Briefing_FID!ED79="","",Briefing_FID!ED79)</f>
        <v/>
      </c>
      <c r="EE79" s="100" t="str">
        <f>IF(Briefing_FID!EE79="","",Briefing_FID!EE79)</f>
        <v/>
      </c>
      <c r="EF79" s="3" t="str">
        <f>IF(Briefing_FID!EF79="","",Briefing_FID!EF79)</f>
        <v/>
      </c>
      <c r="EG79" s="28" t="str">
        <f>IF(Briefing_FID!EG79="","",Briefing_FID!EG79)</f>
        <v/>
      </c>
      <c r="EH79" s="100" t="str">
        <f>IF(Briefing_FID!EH79="","",Briefing_FID!EH79)</f>
        <v/>
      </c>
      <c r="EI79" s="3" t="str">
        <f>IF(Briefing_FID!EI79="","",Briefing_FID!EI79)</f>
        <v/>
      </c>
      <c r="EJ79" s="28" t="str">
        <f>IF(Briefing_FID!EJ79="","",Briefing_FID!EJ79)</f>
        <v/>
      </c>
      <c r="EK79" s="100" t="str">
        <f>IF(Briefing_FID!EK79="","",Briefing_FID!EK79)</f>
        <v/>
      </c>
      <c r="EL79" s="3" t="str">
        <f>IF(Briefing_FID!EL79="","",Briefing_FID!EL79)</f>
        <v/>
      </c>
      <c r="EM79" s="28" t="str">
        <f>IF(Briefing_FID!EM79="","",Briefing_FID!EM79)</f>
        <v/>
      </c>
      <c r="EN79" s="100" t="str">
        <f>IF(Briefing_FID!EN79="","",Briefing_FID!EN79)</f>
        <v/>
      </c>
      <c r="EO79" s="3" t="str">
        <f>IF(Briefing_FID!EO79="","",Briefing_FID!EO79)</f>
        <v/>
      </c>
      <c r="EP79" s="28" t="str">
        <f>IF(Briefing_FID!EP79="","",Briefing_FID!EP79)</f>
        <v/>
      </c>
      <c r="EQ79" s="28" t="str">
        <f>IF(Briefing_FID!EQ79="","",Briefing_FID!EQ79)</f>
        <v/>
      </c>
      <c r="ER79" s="28" t="str">
        <f>IF(Briefing_FID!ER79="","",Briefing_FID!ER79)</f>
        <v/>
      </c>
      <c r="ES79" s="62"/>
      <c r="ET79" s="96" t="str">
        <f>IF(Briefing_FID!EZ79="","",Briefing_FID!EZ79)</f>
        <v/>
      </c>
      <c r="EU79" s="97" t="str">
        <f>IF(Briefing_FID!FA79="","",Briefing_FID!FA79)</f>
        <v/>
      </c>
      <c r="EV79" s="98" t="str">
        <f>IF(Briefing_FID!FB79="","",Briefing_FID!FB79)</f>
        <v/>
      </c>
      <c r="EW79" s="96" t="str">
        <f>IF(Briefing_FID!FC79="","",Briefing_FID!FC79)</f>
        <v/>
      </c>
      <c r="EX79" s="97" t="str">
        <f>IF(Briefing_FID!FD79="","",Briefing_FID!FD79)</f>
        <v/>
      </c>
      <c r="EY79" s="98" t="str">
        <f>IF(Briefing_FID!FE79="","",Briefing_FID!FE79)</f>
        <v/>
      </c>
      <c r="EZ79" s="104" t="str">
        <f>IF(Briefing_FID!FF79="","",Briefing_FID!FF79)</f>
        <v/>
      </c>
      <c r="FA79" s="144" t="str">
        <f>IF(Briefing_FID!FG79="","",Briefing_FID!FG79)</f>
        <v/>
      </c>
      <c r="FB79" s="144" t="str">
        <f>IF(Briefing_FID!FH79="","",Briefing_FID!FH79)</f>
        <v/>
      </c>
      <c r="FC79" s="144" t="str">
        <f>IF(Briefing_FID!FI79="","",Briefing_FID!FI79)</f>
        <v/>
      </c>
      <c r="FD79" s="144" t="str">
        <f>IF(Briefing_FID!FJ79="","",Briefing_FID!FJ79)</f>
        <v/>
      </c>
      <c r="FE79" s="144" t="str">
        <f>IF(Briefing_FID!FK79="","",Briefing_FID!FK79)</f>
        <v/>
      </c>
      <c r="FF79" s="144" t="str">
        <f>IF(Briefing_FID!FL79="","",Briefing_FID!FL79)</f>
        <v/>
      </c>
      <c r="FG79" s="144" t="str">
        <f>IF(Briefing_FID!FM79="","",Briefing_FID!FM79)</f>
        <v/>
      </c>
      <c r="FH79" s="144" t="str">
        <f>IF(Briefing_FID!FN79="","",Briefing_FID!FN79)</f>
        <v/>
      </c>
      <c r="FI79" s="144" t="str">
        <f>IF(Briefing_FID!FO79="","",Briefing_FID!FO79)</f>
        <v/>
      </c>
      <c r="FJ79" s="144" t="str">
        <f>IF(Briefing_FID!FP79="","",Briefing_FID!FP79)</f>
        <v/>
      </c>
      <c r="FK79" s="144" t="str">
        <f>IF(Briefing_FID!FQ79="","",Briefing_FID!FQ79)</f>
        <v/>
      </c>
      <c r="FL79" s="144" t="str">
        <f>IF(Briefing_FID!FR79="","",Briefing_FID!FR79)</f>
        <v/>
      </c>
      <c r="FM79" s="144" t="str">
        <f>IF(Briefing_FID!FS79="","",Briefing_FID!FS79)</f>
        <v/>
      </c>
      <c r="FN79" s="144" t="str">
        <f>IF(Briefing_FID!FT79="","",Briefing_FID!FT79)</f>
        <v/>
      </c>
      <c r="FO79" s="144" t="str">
        <f>IF(Briefing_FID!FU79="","",Briefing_FID!FU79)</f>
        <v/>
      </c>
      <c r="FP79" s="144" t="str">
        <f>IF(Briefing_FID!FV79="","",Briefing_FID!FV79)</f>
        <v/>
      </c>
      <c r="FQ79" s="144" t="str">
        <f>IF(Briefing_FID!FW79="","",Briefing_FID!FW79)</f>
        <v/>
      </c>
      <c r="FR79" s="151"/>
      <c r="FS79" s="152"/>
      <c r="FT79" s="152"/>
      <c r="FU79" s="152"/>
      <c r="FV79" s="152"/>
      <c r="FW79" s="152"/>
      <c r="FX79" s="152"/>
      <c r="FY79" s="152"/>
      <c r="FZ79" s="152"/>
      <c r="GA79" s="153"/>
    </row>
    <row r="80" spans="1:183">
      <c r="A80" s="136" t="str">
        <f>IF(Briefing_FID!A80="","",Briefing_FID!A80)</f>
        <v/>
      </c>
      <c r="B80" s="137" t="str">
        <f>IF(Briefing_FID!B80="","",Briefing_FID!B80)</f>
        <v/>
      </c>
      <c r="C80" s="137" t="str">
        <f>IF(Briefing_FID!C80="","",Briefing_FID!C80)</f>
        <v/>
      </c>
      <c r="D80" s="46"/>
      <c r="E80" s="120"/>
      <c r="F80" s="117"/>
      <c r="G80" s="117"/>
      <c r="H80" s="72"/>
      <c r="I80" s="72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23"/>
      <c r="AD80" s="117"/>
      <c r="AE80" s="117"/>
      <c r="AF80" s="117"/>
      <c r="AG80" s="117"/>
      <c r="AH80" s="117"/>
      <c r="AI80" s="117"/>
      <c r="AJ80" s="117"/>
      <c r="AK80" s="117"/>
      <c r="AL80" s="124"/>
      <c r="AM80" s="37"/>
      <c r="AN80" s="38"/>
      <c r="AO80" s="39"/>
      <c r="AP80" s="111" t="str">
        <f>IF(Briefing_FID!AP80="","",Briefing_FID!AP80)</f>
        <v/>
      </c>
      <c r="AQ80" s="112" t="str">
        <f>IF(Briefing_FID!AQ80="","",Briefing_FID!AQ80)</f>
        <v/>
      </c>
      <c r="AR80" s="107" t="str">
        <f>IF(Briefing_FID!AR80="","",Briefing_FID!AR80)</f>
        <v/>
      </c>
      <c r="AS80" s="108" t="str">
        <f>IF(Briefing_FID!AS80="","",Briefing_FID!AS80)</f>
        <v/>
      </c>
      <c r="AT80" s="113" t="str">
        <f>IF(Briefing_FID!AT80="","",Briefing_FID!AT80)</f>
        <v/>
      </c>
      <c r="AU80" s="113" t="str">
        <f>IF(Briefing_FID!AU80="","",Briefing_FID!AU80)</f>
        <v/>
      </c>
      <c r="AV80" s="113" t="str">
        <f>IF(Briefing_FID!AV80="","",Briefing_FID!AV80)</f>
        <v/>
      </c>
      <c r="AW80" s="113" t="str">
        <f>IF(Briefing_FID!AW80="","",Briefing_FID!AW80)</f>
        <v/>
      </c>
      <c r="AX80" s="114" t="str">
        <f>IF(Briefing_FID!AX80="","",Briefing_FID!AX80)</f>
        <v/>
      </c>
      <c r="AY80" s="71"/>
      <c r="AZ80" s="117" t="str">
        <f>IF(Briefing_FID!AZ80="","",Briefing_FID!AZ80)</f>
        <v/>
      </c>
      <c r="BA80" s="118" t="str">
        <f>IF(Briefing_FID!BA80="","",Briefing_FID!BA80)</f>
        <v/>
      </c>
      <c r="BB80" s="55"/>
      <c r="BC80" s="102" t="str">
        <f>IF(Briefing_FID!BC80="","",Briefing_FID!BC80)</f>
        <v/>
      </c>
      <c r="BD80" s="27" t="str">
        <f>IF(Briefing_FID!BD80="","",Briefing_FID!BD80)</f>
        <v/>
      </c>
      <c r="BE80" s="100" t="str">
        <f>IF(Briefing_FID!BE80="","",Briefing_FID!BE80)</f>
        <v/>
      </c>
      <c r="BF80" s="3" t="str">
        <f>IF(Briefing_FID!BF80="","",Briefing_FID!BF80)</f>
        <v/>
      </c>
      <c r="BG80" s="10" t="str">
        <f>IF(Briefing_FID!BG80="","",Briefing_FID!BG80)</f>
        <v/>
      </c>
      <c r="BH80" s="100" t="str">
        <f>IF(Briefing_FID!BH80="","",Briefing_FID!BH80)</f>
        <v/>
      </c>
      <c r="BI80" s="3" t="str">
        <f>IF(Briefing_FID!BI80="","",Briefing_FID!BI80)</f>
        <v/>
      </c>
      <c r="BJ80" s="10" t="str">
        <f>IF(Briefing_FID!BJ80="","",Briefing_FID!BJ80)</f>
        <v/>
      </c>
      <c r="BK80" s="100" t="str">
        <f>IF(Briefing_FID!BK80="","",Briefing_FID!BK80)</f>
        <v/>
      </c>
      <c r="BL80" s="3" t="str">
        <f>IF(Briefing_FID!BL80="","",Briefing_FID!BL80)</f>
        <v/>
      </c>
      <c r="BM80" s="28" t="str">
        <f>IF(Briefing_FID!BM80="","",Briefing_FID!BM80)</f>
        <v/>
      </c>
      <c r="BN80" s="100" t="str">
        <f>IF(Briefing_FID!BN80="","",Briefing_FID!BN80)</f>
        <v/>
      </c>
      <c r="BO80" s="3" t="str">
        <f>IF(Briefing_FID!BO80="","",Briefing_FID!BO80)</f>
        <v/>
      </c>
      <c r="BP80" s="28" t="str">
        <f>IF(Briefing_FID!BP80="","",Briefing_FID!BP80)</f>
        <v/>
      </c>
      <c r="BQ80" s="100" t="str">
        <f>IF(Briefing_FID!BQ80="","",Briefing_FID!BQ80)</f>
        <v/>
      </c>
      <c r="BR80" s="3" t="str">
        <f>IF(Briefing_FID!BR80="","",Briefing_FID!BR80)</f>
        <v/>
      </c>
      <c r="BS80" s="28" t="str">
        <f>IF(Briefing_FID!BS80="","",Briefing_FID!BS80)</f>
        <v/>
      </c>
      <c r="BT80" s="100" t="str">
        <f>IF(Briefing_FID!BT80="","",Briefing_FID!BT80)</f>
        <v/>
      </c>
      <c r="BU80" s="3" t="str">
        <f>IF(Briefing_FID!BU80="","",Briefing_FID!BU80)</f>
        <v/>
      </c>
      <c r="BV80" s="28" t="str">
        <f>IF(Briefing_FID!BV80="","",Briefing_FID!BV80)</f>
        <v/>
      </c>
      <c r="BW80" s="100" t="str">
        <f>IF(Briefing_FID!BW80="","",Briefing_FID!BW80)</f>
        <v/>
      </c>
      <c r="BX80" s="3" t="str">
        <f>IF(Briefing_FID!BX80="","",Briefing_FID!BX80)</f>
        <v/>
      </c>
      <c r="BY80" s="28" t="str">
        <f>IF(Briefing_FID!BY80="","",Briefing_FID!BY80)</f>
        <v/>
      </c>
      <c r="BZ80" s="100" t="str">
        <f>IF(Briefing_FID!BZ80="","",Briefing_FID!BZ80)</f>
        <v/>
      </c>
      <c r="CA80" s="3" t="str">
        <f>IF(Briefing_FID!CA80="","",Briefing_FID!CA80)</f>
        <v/>
      </c>
      <c r="CB80" s="28" t="str">
        <f>IF(Briefing_FID!CB80="","",Briefing_FID!CB80)</f>
        <v/>
      </c>
      <c r="CC80" s="100" t="str">
        <f>IF(Briefing_FID!CC80="","",Briefing_FID!CC80)</f>
        <v/>
      </c>
      <c r="CD80" s="3" t="str">
        <f>IF(Briefing_FID!CD80="","",Briefing_FID!CD80)</f>
        <v/>
      </c>
      <c r="CE80" s="28" t="str">
        <f>IF(Briefing_FID!CE80="","",Briefing_FID!CE80)</f>
        <v/>
      </c>
      <c r="CF80" s="100" t="str">
        <f>IF(Briefing_FID!CF80="","",Briefing_FID!CF80)</f>
        <v/>
      </c>
      <c r="CG80" s="3" t="str">
        <f>IF(Briefing_FID!CG80="","",Briefing_FID!CG80)</f>
        <v/>
      </c>
      <c r="CH80" s="28" t="str">
        <f>IF(Briefing_FID!CH80="","",Briefing_FID!CH80)</f>
        <v/>
      </c>
      <c r="CI80" s="100" t="str">
        <f>IF(Briefing_FID!CI80="","",Briefing_FID!CI80)</f>
        <v/>
      </c>
      <c r="CJ80" s="3" t="str">
        <f>IF(Briefing_FID!CJ80="","",Briefing_FID!CJ80)</f>
        <v/>
      </c>
      <c r="CK80" s="28" t="str">
        <f>IF(Briefing_FID!CK80="","",Briefing_FID!CK80)</f>
        <v/>
      </c>
      <c r="CL80" s="100" t="str">
        <f>IF(Briefing_FID!CL80="","",Briefing_FID!CL80)</f>
        <v/>
      </c>
      <c r="CM80" s="3" t="str">
        <f>IF(Briefing_FID!CM80="","",Briefing_FID!CM80)</f>
        <v/>
      </c>
      <c r="CN80" s="28" t="str">
        <f>IF(Briefing_FID!CN80="","",Briefing_FID!CN80)</f>
        <v/>
      </c>
      <c r="CO80" s="100" t="str">
        <f>IF(Briefing_FID!CO80="","",Briefing_FID!CO80)</f>
        <v/>
      </c>
      <c r="CP80" s="3" t="str">
        <f>IF(Briefing_FID!CP80="","",Briefing_FID!CP80)</f>
        <v/>
      </c>
      <c r="CQ80" s="28" t="str">
        <f>IF(Briefing_FID!CQ80="","",Briefing_FID!CQ80)</f>
        <v/>
      </c>
      <c r="CR80" s="100" t="str">
        <f>IF(Briefing_FID!CR80="","",Briefing_FID!CR80)</f>
        <v/>
      </c>
      <c r="CS80" s="3" t="str">
        <f>IF(Briefing_FID!CS80="","",Briefing_FID!CS80)</f>
        <v/>
      </c>
      <c r="CT80" s="28" t="str">
        <f>IF(Briefing_FID!CT80="","",Briefing_FID!CT80)</f>
        <v/>
      </c>
      <c r="CU80" s="100" t="str">
        <f>IF(Briefing_FID!CU80="","",Briefing_FID!CU80)</f>
        <v/>
      </c>
      <c r="CV80" s="3" t="str">
        <f>IF(Briefing_FID!CV80="","",Briefing_FID!CV80)</f>
        <v/>
      </c>
      <c r="CW80" s="28" t="str">
        <f>IF(Briefing_FID!CW80="","",Briefing_FID!CW80)</f>
        <v/>
      </c>
      <c r="CX80" s="100" t="str">
        <f>IF(Briefing_FID!CX80="","",Briefing_FID!CX80)</f>
        <v/>
      </c>
      <c r="CY80" s="3" t="str">
        <f>IF(Briefing_FID!CY80="","",Briefing_FID!CY80)</f>
        <v/>
      </c>
      <c r="CZ80" s="28" t="str">
        <f>IF(Briefing_FID!CZ80="","",Briefing_FID!CZ80)</f>
        <v/>
      </c>
      <c r="DA80" s="100" t="str">
        <f>IF(Briefing_FID!DA80="","",Briefing_FID!DA80)</f>
        <v/>
      </c>
      <c r="DB80" s="3" t="str">
        <f>IF(Briefing_FID!DB80="","",Briefing_FID!DB80)</f>
        <v/>
      </c>
      <c r="DC80" s="28" t="str">
        <f>IF(Briefing_FID!DC80="","",Briefing_FID!DC80)</f>
        <v/>
      </c>
      <c r="DD80" s="100" t="str">
        <f>IF(Briefing_FID!DD80="","",Briefing_FID!DD80)</f>
        <v/>
      </c>
      <c r="DE80" s="3" t="str">
        <f>IF(Briefing_FID!DE80="","",Briefing_FID!DE80)</f>
        <v/>
      </c>
      <c r="DF80" s="28" t="str">
        <f>IF(Briefing_FID!DF80="","",Briefing_FID!DF80)</f>
        <v/>
      </c>
      <c r="DG80" s="100" t="str">
        <f>IF(Briefing_FID!DG80="","",Briefing_FID!DG80)</f>
        <v/>
      </c>
      <c r="DH80" s="3" t="str">
        <f>IF(Briefing_FID!DH80="","",Briefing_FID!DH80)</f>
        <v/>
      </c>
      <c r="DI80" s="28" t="str">
        <f>IF(Briefing_FID!DI80="","",Briefing_FID!DI80)</f>
        <v/>
      </c>
      <c r="DJ80" s="100" t="str">
        <f>IF(Briefing_FID!DJ80="","",Briefing_FID!DJ80)</f>
        <v/>
      </c>
      <c r="DK80" s="3" t="str">
        <f>IF(Briefing_FID!DK80="","",Briefing_FID!DK80)</f>
        <v/>
      </c>
      <c r="DL80" s="28" t="str">
        <f>IF(Briefing_FID!DL80="","",Briefing_FID!DL80)</f>
        <v/>
      </c>
      <c r="DM80" s="100" t="str">
        <f>IF(Briefing_FID!DM80="","",Briefing_FID!DM80)</f>
        <v/>
      </c>
      <c r="DN80" s="3" t="str">
        <f>IF(Briefing_FID!DN80="","",Briefing_FID!DN80)</f>
        <v/>
      </c>
      <c r="DO80" s="28" t="str">
        <f>IF(Briefing_FID!DO80="","",Briefing_FID!DO80)</f>
        <v/>
      </c>
      <c r="DP80" s="100" t="str">
        <f>IF(Briefing_FID!DP80="","",Briefing_FID!DP80)</f>
        <v/>
      </c>
      <c r="DQ80" s="3" t="str">
        <f>IF(Briefing_FID!DQ80="","",Briefing_FID!DQ80)</f>
        <v/>
      </c>
      <c r="DR80" s="28" t="str">
        <f>IF(Briefing_FID!DR80="","",Briefing_FID!DR80)</f>
        <v/>
      </c>
      <c r="DS80" s="100" t="str">
        <f>IF(Briefing_FID!DS80="","",Briefing_FID!DS80)</f>
        <v/>
      </c>
      <c r="DT80" s="3" t="str">
        <f>IF(Briefing_FID!DT80="","",Briefing_FID!DT80)</f>
        <v/>
      </c>
      <c r="DU80" s="28" t="str">
        <f>IF(Briefing_FID!DU80="","",Briefing_FID!DU80)</f>
        <v/>
      </c>
      <c r="DV80" s="100" t="str">
        <f>IF(Briefing_FID!DV80="","",Briefing_FID!DV80)</f>
        <v/>
      </c>
      <c r="DW80" s="3" t="str">
        <f>IF(Briefing_FID!DW80="","",Briefing_FID!DW80)</f>
        <v/>
      </c>
      <c r="DX80" s="28" t="str">
        <f>IF(Briefing_FID!DX80="","",Briefing_FID!DX80)</f>
        <v/>
      </c>
      <c r="DY80" s="100" t="str">
        <f>IF(Briefing_FID!DY80="","",Briefing_FID!DY80)</f>
        <v/>
      </c>
      <c r="DZ80" s="3" t="str">
        <f>IF(Briefing_FID!DZ80="","",Briefing_FID!DZ80)</f>
        <v/>
      </c>
      <c r="EA80" s="28" t="str">
        <f>IF(Briefing_FID!EA80="","",Briefing_FID!EA80)</f>
        <v/>
      </c>
      <c r="EB80" s="100" t="str">
        <f>IF(Briefing_FID!EB80="","",Briefing_FID!EB80)</f>
        <v/>
      </c>
      <c r="EC80" s="3" t="str">
        <f>IF(Briefing_FID!EC80="","",Briefing_FID!EC80)</f>
        <v/>
      </c>
      <c r="ED80" s="28" t="str">
        <f>IF(Briefing_FID!ED80="","",Briefing_FID!ED80)</f>
        <v/>
      </c>
      <c r="EE80" s="100" t="str">
        <f>IF(Briefing_FID!EE80="","",Briefing_FID!EE80)</f>
        <v/>
      </c>
      <c r="EF80" s="3" t="str">
        <f>IF(Briefing_FID!EF80="","",Briefing_FID!EF80)</f>
        <v/>
      </c>
      <c r="EG80" s="28" t="str">
        <f>IF(Briefing_FID!EG80="","",Briefing_FID!EG80)</f>
        <v/>
      </c>
      <c r="EH80" s="100" t="str">
        <f>IF(Briefing_FID!EH80="","",Briefing_FID!EH80)</f>
        <v/>
      </c>
      <c r="EI80" s="3" t="str">
        <f>IF(Briefing_FID!EI80="","",Briefing_FID!EI80)</f>
        <v/>
      </c>
      <c r="EJ80" s="28" t="str">
        <f>IF(Briefing_FID!EJ80="","",Briefing_FID!EJ80)</f>
        <v/>
      </c>
      <c r="EK80" s="100" t="str">
        <f>IF(Briefing_FID!EK80="","",Briefing_FID!EK80)</f>
        <v/>
      </c>
      <c r="EL80" s="3" t="str">
        <f>IF(Briefing_FID!EL80="","",Briefing_FID!EL80)</f>
        <v/>
      </c>
      <c r="EM80" s="28" t="str">
        <f>IF(Briefing_FID!EM80="","",Briefing_FID!EM80)</f>
        <v/>
      </c>
      <c r="EN80" s="100" t="str">
        <f>IF(Briefing_FID!EN80="","",Briefing_FID!EN80)</f>
        <v/>
      </c>
      <c r="EO80" s="3" t="str">
        <f>IF(Briefing_FID!EO80="","",Briefing_FID!EO80)</f>
        <v/>
      </c>
      <c r="EP80" s="28" t="str">
        <f>IF(Briefing_FID!EP80="","",Briefing_FID!EP80)</f>
        <v/>
      </c>
      <c r="EQ80" s="28" t="str">
        <f>IF(Briefing_FID!EQ80="","",Briefing_FID!EQ80)</f>
        <v/>
      </c>
      <c r="ER80" s="28" t="str">
        <f>IF(Briefing_FID!ER80="","",Briefing_FID!ER80)</f>
        <v/>
      </c>
      <c r="ES80" s="62"/>
      <c r="ET80" s="96" t="str">
        <f>IF(Briefing_FID!EZ80="","",Briefing_FID!EZ80)</f>
        <v/>
      </c>
      <c r="EU80" s="97" t="str">
        <f>IF(Briefing_FID!FA80="","",Briefing_FID!FA80)</f>
        <v/>
      </c>
      <c r="EV80" s="98" t="str">
        <f>IF(Briefing_FID!FB80="","",Briefing_FID!FB80)</f>
        <v/>
      </c>
      <c r="EW80" s="96" t="str">
        <f>IF(Briefing_FID!FC80="","",Briefing_FID!FC80)</f>
        <v/>
      </c>
      <c r="EX80" s="97" t="str">
        <f>IF(Briefing_FID!FD80="","",Briefing_FID!FD80)</f>
        <v/>
      </c>
      <c r="EY80" s="98" t="str">
        <f>IF(Briefing_FID!FE80="","",Briefing_FID!FE80)</f>
        <v/>
      </c>
      <c r="EZ80" s="104" t="str">
        <f>IF(Briefing_FID!FF80="","",Briefing_FID!FF80)</f>
        <v/>
      </c>
      <c r="FA80" s="144" t="str">
        <f>IF(Briefing_FID!FG80="","",Briefing_FID!FG80)</f>
        <v/>
      </c>
      <c r="FB80" s="144" t="str">
        <f>IF(Briefing_FID!FH80="","",Briefing_FID!FH80)</f>
        <v/>
      </c>
      <c r="FC80" s="144" t="str">
        <f>IF(Briefing_FID!FI80="","",Briefing_FID!FI80)</f>
        <v/>
      </c>
      <c r="FD80" s="144" t="str">
        <f>IF(Briefing_FID!FJ80="","",Briefing_FID!FJ80)</f>
        <v/>
      </c>
      <c r="FE80" s="144" t="str">
        <f>IF(Briefing_FID!FK80="","",Briefing_FID!FK80)</f>
        <v/>
      </c>
      <c r="FF80" s="144" t="str">
        <f>IF(Briefing_FID!FL80="","",Briefing_FID!FL80)</f>
        <v/>
      </c>
      <c r="FG80" s="144" t="str">
        <f>IF(Briefing_FID!FM80="","",Briefing_FID!FM80)</f>
        <v/>
      </c>
      <c r="FH80" s="144" t="str">
        <f>IF(Briefing_FID!FN80="","",Briefing_FID!FN80)</f>
        <v/>
      </c>
      <c r="FI80" s="144" t="str">
        <f>IF(Briefing_FID!FO80="","",Briefing_FID!FO80)</f>
        <v/>
      </c>
      <c r="FJ80" s="144" t="str">
        <f>IF(Briefing_FID!FP80="","",Briefing_FID!FP80)</f>
        <v/>
      </c>
      <c r="FK80" s="144" t="str">
        <f>IF(Briefing_FID!FQ80="","",Briefing_FID!FQ80)</f>
        <v/>
      </c>
      <c r="FL80" s="144" t="str">
        <f>IF(Briefing_FID!FR80="","",Briefing_FID!FR80)</f>
        <v/>
      </c>
      <c r="FM80" s="144" t="str">
        <f>IF(Briefing_FID!FS80="","",Briefing_FID!FS80)</f>
        <v/>
      </c>
      <c r="FN80" s="144" t="str">
        <f>IF(Briefing_FID!FT80="","",Briefing_FID!FT80)</f>
        <v/>
      </c>
      <c r="FO80" s="144" t="str">
        <f>IF(Briefing_FID!FU80="","",Briefing_FID!FU80)</f>
        <v/>
      </c>
      <c r="FP80" s="144" t="str">
        <f>IF(Briefing_FID!FV80="","",Briefing_FID!FV80)</f>
        <v/>
      </c>
      <c r="FQ80" s="144" t="str">
        <f>IF(Briefing_FID!FW80="","",Briefing_FID!FW80)</f>
        <v/>
      </c>
      <c r="FR80" s="151"/>
      <c r="FS80" s="152"/>
      <c r="FT80" s="152"/>
      <c r="FU80" s="152"/>
      <c r="FV80" s="152"/>
      <c r="FW80" s="152"/>
      <c r="FX80" s="152"/>
      <c r="FY80" s="152"/>
      <c r="FZ80" s="152"/>
      <c r="GA80" s="153"/>
    </row>
    <row r="81" spans="1:183">
      <c r="A81" s="136" t="str">
        <f>IF(Briefing_FID!A81="","",Briefing_FID!A81)</f>
        <v/>
      </c>
      <c r="B81" s="137" t="str">
        <f>IF(Briefing_FID!B81="","",Briefing_FID!B81)</f>
        <v/>
      </c>
      <c r="C81" s="137" t="str">
        <f>IF(Briefing_FID!C81="","",Briefing_FID!C81)</f>
        <v/>
      </c>
      <c r="D81" s="46"/>
      <c r="E81" s="120"/>
      <c r="F81" s="117"/>
      <c r="G81" s="117"/>
      <c r="H81" s="72"/>
      <c r="I81" s="72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23"/>
      <c r="AD81" s="117"/>
      <c r="AE81" s="117"/>
      <c r="AF81" s="117"/>
      <c r="AG81" s="117"/>
      <c r="AH81" s="117"/>
      <c r="AI81" s="117"/>
      <c r="AJ81" s="117"/>
      <c r="AK81" s="117"/>
      <c r="AL81" s="124"/>
      <c r="AM81" s="37"/>
      <c r="AN81" s="38"/>
      <c r="AO81" s="39"/>
      <c r="AP81" s="111" t="str">
        <f>IF(Briefing_FID!AP81="","",Briefing_FID!AP81)</f>
        <v/>
      </c>
      <c r="AQ81" s="112" t="str">
        <f>IF(Briefing_FID!AQ81="","",Briefing_FID!AQ81)</f>
        <v/>
      </c>
      <c r="AR81" s="107" t="str">
        <f>IF(Briefing_FID!AR81="","",Briefing_FID!AR81)</f>
        <v/>
      </c>
      <c r="AS81" s="108" t="str">
        <f>IF(Briefing_FID!AS81="","",Briefing_FID!AS81)</f>
        <v/>
      </c>
      <c r="AT81" s="113" t="str">
        <f>IF(Briefing_FID!AT81="","",Briefing_FID!AT81)</f>
        <v/>
      </c>
      <c r="AU81" s="113" t="str">
        <f>IF(Briefing_FID!AU81="","",Briefing_FID!AU81)</f>
        <v/>
      </c>
      <c r="AV81" s="113" t="str">
        <f>IF(Briefing_FID!AV81="","",Briefing_FID!AV81)</f>
        <v/>
      </c>
      <c r="AW81" s="113" t="str">
        <f>IF(Briefing_FID!AW81="","",Briefing_FID!AW81)</f>
        <v/>
      </c>
      <c r="AX81" s="114" t="str">
        <f>IF(Briefing_FID!AX81="","",Briefing_FID!AX81)</f>
        <v/>
      </c>
      <c r="AY81" s="71"/>
      <c r="AZ81" s="117" t="str">
        <f>IF(Briefing_FID!AZ81="","",Briefing_FID!AZ81)</f>
        <v/>
      </c>
      <c r="BA81" s="118" t="str">
        <f>IF(Briefing_FID!BA81="","",Briefing_FID!BA81)</f>
        <v/>
      </c>
      <c r="BB81" s="55"/>
      <c r="BC81" s="102" t="str">
        <f>IF(Briefing_FID!BC81="","",Briefing_FID!BC81)</f>
        <v/>
      </c>
      <c r="BD81" s="27" t="str">
        <f>IF(Briefing_FID!BD81="","",Briefing_FID!BD81)</f>
        <v/>
      </c>
      <c r="BE81" s="100" t="str">
        <f>IF(Briefing_FID!BE81="","",Briefing_FID!BE81)</f>
        <v/>
      </c>
      <c r="BF81" s="3" t="str">
        <f>IF(Briefing_FID!BF81="","",Briefing_FID!BF81)</f>
        <v/>
      </c>
      <c r="BG81" s="10" t="str">
        <f>IF(Briefing_FID!BG81="","",Briefing_FID!BG81)</f>
        <v/>
      </c>
      <c r="BH81" s="100" t="str">
        <f>IF(Briefing_FID!BH81="","",Briefing_FID!BH81)</f>
        <v/>
      </c>
      <c r="BI81" s="3" t="str">
        <f>IF(Briefing_FID!BI81="","",Briefing_FID!BI81)</f>
        <v/>
      </c>
      <c r="BJ81" s="10" t="str">
        <f>IF(Briefing_FID!BJ81="","",Briefing_FID!BJ81)</f>
        <v/>
      </c>
      <c r="BK81" s="100" t="str">
        <f>IF(Briefing_FID!BK81="","",Briefing_FID!BK81)</f>
        <v/>
      </c>
      <c r="BL81" s="3" t="str">
        <f>IF(Briefing_FID!BL81="","",Briefing_FID!BL81)</f>
        <v/>
      </c>
      <c r="BM81" s="28" t="str">
        <f>IF(Briefing_FID!BM81="","",Briefing_FID!BM81)</f>
        <v/>
      </c>
      <c r="BN81" s="100" t="str">
        <f>IF(Briefing_FID!BN81="","",Briefing_FID!BN81)</f>
        <v/>
      </c>
      <c r="BO81" s="3" t="str">
        <f>IF(Briefing_FID!BO81="","",Briefing_FID!BO81)</f>
        <v/>
      </c>
      <c r="BP81" s="28" t="str">
        <f>IF(Briefing_FID!BP81="","",Briefing_FID!BP81)</f>
        <v/>
      </c>
      <c r="BQ81" s="100" t="str">
        <f>IF(Briefing_FID!BQ81="","",Briefing_FID!BQ81)</f>
        <v/>
      </c>
      <c r="BR81" s="3" t="str">
        <f>IF(Briefing_FID!BR81="","",Briefing_FID!BR81)</f>
        <v/>
      </c>
      <c r="BS81" s="28" t="str">
        <f>IF(Briefing_FID!BS81="","",Briefing_FID!BS81)</f>
        <v/>
      </c>
      <c r="BT81" s="100" t="str">
        <f>IF(Briefing_FID!BT81="","",Briefing_FID!BT81)</f>
        <v/>
      </c>
      <c r="BU81" s="3" t="str">
        <f>IF(Briefing_FID!BU81="","",Briefing_FID!BU81)</f>
        <v/>
      </c>
      <c r="BV81" s="28" t="str">
        <f>IF(Briefing_FID!BV81="","",Briefing_FID!BV81)</f>
        <v/>
      </c>
      <c r="BW81" s="100" t="str">
        <f>IF(Briefing_FID!BW81="","",Briefing_FID!BW81)</f>
        <v/>
      </c>
      <c r="BX81" s="3" t="str">
        <f>IF(Briefing_FID!BX81="","",Briefing_FID!BX81)</f>
        <v/>
      </c>
      <c r="BY81" s="28" t="str">
        <f>IF(Briefing_FID!BY81="","",Briefing_FID!BY81)</f>
        <v/>
      </c>
      <c r="BZ81" s="100" t="str">
        <f>IF(Briefing_FID!BZ81="","",Briefing_FID!BZ81)</f>
        <v/>
      </c>
      <c r="CA81" s="3" t="str">
        <f>IF(Briefing_FID!CA81="","",Briefing_FID!CA81)</f>
        <v/>
      </c>
      <c r="CB81" s="28" t="str">
        <f>IF(Briefing_FID!CB81="","",Briefing_FID!CB81)</f>
        <v/>
      </c>
      <c r="CC81" s="100" t="str">
        <f>IF(Briefing_FID!CC81="","",Briefing_FID!CC81)</f>
        <v/>
      </c>
      <c r="CD81" s="3" t="str">
        <f>IF(Briefing_FID!CD81="","",Briefing_FID!CD81)</f>
        <v/>
      </c>
      <c r="CE81" s="28" t="str">
        <f>IF(Briefing_FID!CE81="","",Briefing_FID!CE81)</f>
        <v/>
      </c>
      <c r="CF81" s="100" t="str">
        <f>IF(Briefing_FID!CF81="","",Briefing_FID!CF81)</f>
        <v/>
      </c>
      <c r="CG81" s="3" t="str">
        <f>IF(Briefing_FID!CG81="","",Briefing_FID!CG81)</f>
        <v/>
      </c>
      <c r="CH81" s="28" t="str">
        <f>IF(Briefing_FID!CH81="","",Briefing_FID!CH81)</f>
        <v/>
      </c>
      <c r="CI81" s="100" t="str">
        <f>IF(Briefing_FID!CI81="","",Briefing_FID!CI81)</f>
        <v/>
      </c>
      <c r="CJ81" s="3" t="str">
        <f>IF(Briefing_FID!CJ81="","",Briefing_FID!CJ81)</f>
        <v/>
      </c>
      <c r="CK81" s="28" t="str">
        <f>IF(Briefing_FID!CK81="","",Briefing_FID!CK81)</f>
        <v/>
      </c>
      <c r="CL81" s="100" t="str">
        <f>IF(Briefing_FID!CL81="","",Briefing_FID!CL81)</f>
        <v/>
      </c>
      <c r="CM81" s="3" t="str">
        <f>IF(Briefing_FID!CM81="","",Briefing_FID!CM81)</f>
        <v/>
      </c>
      <c r="CN81" s="28" t="str">
        <f>IF(Briefing_FID!CN81="","",Briefing_FID!CN81)</f>
        <v/>
      </c>
      <c r="CO81" s="100" t="str">
        <f>IF(Briefing_FID!CO81="","",Briefing_FID!CO81)</f>
        <v/>
      </c>
      <c r="CP81" s="3" t="str">
        <f>IF(Briefing_FID!CP81="","",Briefing_FID!CP81)</f>
        <v/>
      </c>
      <c r="CQ81" s="28" t="str">
        <f>IF(Briefing_FID!CQ81="","",Briefing_FID!CQ81)</f>
        <v/>
      </c>
      <c r="CR81" s="100" t="str">
        <f>IF(Briefing_FID!CR81="","",Briefing_FID!CR81)</f>
        <v/>
      </c>
      <c r="CS81" s="3" t="str">
        <f>IF(Briefing_FID!CS81="","",Briefing_FID!CS81)</f>
        <v/>
      </c>
      <c r="CT81" s="28" t="str">
        <f>IF(Briefing_FID!CT81="","",Briefing_FID!CT81)</f>
        <v/>
      </c>
      <c r="CU81" s="100" t="str">
        <f>IF(Briefing_FID!CU81="","",Briefing_FID!CU81)</f>
        <v/>
      </c>
      <c r="CV81" s="3" t="str">
        <f>IF(Briefing_FID!CV81="","",Briefing_FID!CV81)</f>
        <v/>
      </c>
      <c r="CW81" s="28" t="str">
        <f>IF(Briefing_FID!CW81="","",Briefing_FID!CW81)</f>
        <v/>
      </c>
      <c r="CX81" s="100" t="str">
        <f>IF(Briefing_FID!CX81="","",Briefing_FID!CX81)</f>
        <v/>
      </c>
      <c r="CY81" s="3" t="str">
        <f>IF(Briefing_FID!CY81="","",Briefing_FID!CY81)</f>
        <v/>
      </c>
      <c r="CZ81" s="28" t="str">
        <f>IF(Briefing_FID!CZ81="","",Briefing_FID!CZ81)</f>
        <v/>
      </c>
      <c r="DA81" s="100" t="str">
        <f>IF(Briefing_FID!DA81="","",Briefing_FID!DA81)</f>
        <v/>
      </c>
      <c r="DB81" s="3" t="str">
        <f>IF(Briefing_FID!DB81="","",Briefing_FID!DB81)</f>
        <v/>
      </c>
      <c r="DC81" s="28" t="str">
        <f>IF(Briefing_FID!DC81="","",Briefing_FID!DC81)</f>
        <v/>
      </c>
      <c r="DD81" s="100" t="str">
        <f>IF(Briefing_FID!DD81="","",Briefing_FID!DD81)</f>
        <v/>
      </c>
      <c r="DE81" s="3" t="str">
        <f>IF(Briefing_FID!DE81="","",Briefing_FID!DE81)</f>
        <v/>
      </c>
      <c r="DF81" s="28" t="str">
        <f>IF(Briefing_FID!DF81="","",Briefing_FID!DF81)</f>
        <v/>
      </c>
      <c r="DG81" s="100" t="str">
        <f>IF(Briefing_FID!DG81="","",Briefing_FID!DG81)</f>
        <v/>
      </c>
      <c r="DH81" s="3" t="str">
        <f>IF(Briefing_FID!DH81="","",Briefing_FID!DH81)</f>
        <v/>
      </c>
      <c r="DI81" s="28" t="str">
        <f>IF(Briefing_FID!DI81="","",Briefing_FID!DI81)</f>
        <v/>
      </c>
      <c r="DJ81" s="100" t="str">
        <f>IF(Briefing_FID!DJ81="","",Briefing_FID!DJ81)</f>
        <v/>
      </c>
      <c r="DK81" s="3" t="str">
        <f>IF(Briefing_FID!DK81="","",Briefing_FID!DK81)</f>
        <v/>
      </c>
      <c r="DL81" s="28" t="str">
        <f>IF(Briefing_FID!DL81="","",Briefing_FID!DL81)</f>
        <v/>
      </c>
      <c r="DM81" s="100" t="str">
        <f>IF(Briefing_FID!DM81="","",Briefing_FID!DM81)</f>
        <v/>
      </c>
      <c r="DN81" s="3" t="str">
        <f>IF(Briefing_FID!DN81="","",Briefing_FID!DN81)</f>
        <v/>
      </c>
      <c r="DO81" s="28" t="str">
        <f>IF(Briefing_FID!DO81="","",Briefing_FID!DO81)</f>
        <v/>
      </c>
      <c r="DP81" s="100" t="str">
        <f>IF(Briefing_FID!DP81="","",Briefing_FID!DP81)</f>
        <v/>
      </c>
      <c r="DQ81" s="3" t="str">
        <f>IF(Briefing_FID!DQ81="","",Briefing_FID!DQ81)</f>
        <v/>
      </c>
      <c r="DR81" s="28" t="str">
        <f>IF(Briefing_FID!DR81="","",Briefing_FID!DR81)</f>
        <v/>
      </c>
      <c r="DS81" s="100" t="str">
        <f>IF(Briefing_FID!DS81="","",Briefing_FID!DS81)</f>
        <v/>
      </c>
      <c r="DT81" s="3" t="str">
        <f>IF(Briefing_FID!DT81="","",Briefing_FID!DT81)</f>
        <v/>
      </c>
      <c r="DU81" s="28" t="str">
        <f>IF(Briefing_FID!DU81="","",Briefing_FID!DU81)</f>
        <v/>
      </c>
      <c r="DV81" s="100" t="str">
        <f>IF(Briefing_FID!DV81="","",Briefing_FID!DV81)</f>
        <v/>
      </c>
      <c r="DW81" s="3" t="str">
        <f>IF(Briefing_FID!DW81="","",Briefing_FID!DW81)</f>
        <v/>
      </c>
      <c r="DX81" s="28" t="str">
        <f>IF(Briefing_FID!DX81="","",Briefing_FID!DX81)</f>
        <v/>
      </c>
      <c r="DY81" s="100" t="str">
        <f>IF(Briefing_FID!DY81="","",Briefing_FID!DY81)</f>
        <v/>
      </c>
      <c r="DZ81" s="3" t="str">
        <f>IF(Briefing_FID!DZ81="","",Briefing_FID!DZ81)</f>
        <v/>
      </c>
      <c r="EA81" s="28" t="str">
        <f>IF(Briefing_FID!EA81="","",Briefing_FID!EA81)</f>
        <v/>
      </c>
      <c r="EB81" s="100" t="str">
        <f>IF(Briefing_FID!EB81="","",Briefing_FID!EB81)</f>
        <v/>
      </c>
      <c r="EC81" s="3" t="str">
        <f>IF(Briefing_FID!EC81="","",Briefing_FID!EC81)</f>
        <v/>
      </c>
      <c r="ED81" s="28" t="str">
        <f>IF(Briefing_FID!ED81="","",Briefing_FID!ED81)</f>
        <v/>
      </c>
      <c r="EE81" s="100" t="str">
        <f>IF(Briefing_FID!EE81="","",Briefing_FID!EE81)</f>
        <v/>
      </c>
      <c r="EF81" s="3" t="str">
        <f>IF(Briefing_FID!EF81="","",Briefing_FID!EF81)</f>
        <v/>
      </c>
      <c r="EG81" s="28" t="str">
        <f>IF(Briefing_FID!EG81="","",Briefing_FID!EG81)</f>
        <v/>
      </c>
      <c r="EH81" s="100" t="str">
        <f>IF(Briefing_FID!EH81="","",Briefing_FID!EH81)</f>
        <v/>
      </c>
      <c r="EI81" s="3" t="str">
        <f>IF(Briefing_FID!EI81="","",Briefing_FID!EI81)</f>
        <v/>
      </c>
      <c r="EJ81" s="28" t="str">
        <f>IF(Briefing_FID!EJ81="","",Briefing_FID!EJ81)</f>
        <v/>
      </c>
      <c r="EK81" s="100" t="str">
        <f>IF(Briefing_FID!EK81="","",Briefing_FID!EK81)</f>
        <v/>
      </c>
      <c r="EL81" s="3" t="str">
        <f>IF(Briefing_FID!EL81="","",Briefing_FID!EL81)</f>
        <v/>
      </c>
      <c r="EM81" s="28" t="str">
        <f>IF(Briefing_FID!EM81="","",Briefing_FID!EM81)</f>
        <v/>
      </c>
      <c r="EN81" s="100" t="str">
        <f>IF(Briefing_FID!EN81="","",Briefing_FID!EN81)</f>
        <v/>
      </c>
      <c r="EO81" s="3" t="str">
        <f>IF(Briefing_FID!EO81="","",Briefing_FID!EO81)</f>
        <v/>
      </c>
      <c r="EP81" s="28" t="str">
        <f>IF(Briefing_FID!EP81="","",Briefing_FID!EP81)</f>
        <v/>
      </c>
      <c r="EQ81" s="28" t="str">
        <f>IF(Briefing_FID!EQ81="","",Briefing_FID!EQ81)</f>
        <v/>
      </c>
      <c r="ER81" s="28" t="str">
        <f>IF(Briefing_FID!ER81="","",Briefing_FID!ER81)</f>
        <v/>
      </c>
      <c r="ES81" s="62"/>
      <c r="ET81" s="96" t="str">
        <f>IF(Briefing_FID!EZ81="","",Briefing_FID!EZ81)</f>
        <v/>
      </c>
      <c r="EU81" s="97" t="str">
        <f>IF(Briefing_FID!FA81="","",Briefing_FID!FA81)</f>
        <v/>
      </c>
      <c r="EV81" s="98" t="str">
        <f>IF(Briefing_FID!FB81="","",Briefing_FID!FB81)</f>
        <v/>
      </c>
      <c r="EW81" s="96" t="str">
        <f>IF(Briefing_FID!FC81="","",Briefing_FID!FC81)</f>
        <v/>
      </c>
      <c r="EX81" s="97" t="str">
        <f>IF(Briefing_FID!FD81="","",Briefing_FID!FD81)</f>
        <v/>
      </c>
      <c r="EY81" s="98" t="str">
        <f>IF(Briefing_FID!FE81="","",Briefing_FID!FE81)</f>
        <v/>
      </c>
      <c r="EZ81" s="104" t="str">
        <f>IF(Briefing_FID!FF81="","",Briefing_FID!FF81)</f>
        <v/>
      </c>
      <c r="FA81" s="144" t="str">
        <f>IF(Briefing_FID!FG81="","",Briefing_FID!FG81)</f>
        <v/>
      </c>
      <c r="FB81" s="144" t="str">
        <f>IF(Briefing_FID!FH81="","",Briefing_FID!FH81)</f>
        <v/>
      </c>
      <c r="FC81" s="144" t="str">
        <f>IF(Briefing_FID!FI81="","",Briefing_FID!FI81)</f>
        <v/>
      </c>
      <c r="FD81" s="144" t="str">
        <f>IF(Briefing_FID!FJ81="","",Briefing_FID!FJ81)</f>
        <v/>
      </c>
      <c r="FE81" s="144" t="str">
        <f>IF(Briefing_FID!FK81="","",Briefing_FID!FK81)</f>
        <v/>
      </c>
      <c r="FF81" s="144" t="str">
        <f>IF(Briefing_FID!FL81="","",Briefing_FID!FL81)</f>
        <v/>
      </c>
      <c r="FG81" s="144" t="str">
        <f>IF(Briefing_FID!FM81="","",Briefing_FID!FM81)</f>
        <v/>
      </c>
      <c r="FH81" s="144" t="str">
        <f>IF(Briefing_FID!FN81="","",Briefing_FID!FN81)</f>
        <v/>
      </c>
      <c r="FI81" s="144" t="str">
        <f>IF(Briefing_FID!FO81="","",Briefing_FID!FO81)</f>
        <v/>
      </c>
      <c r="FJ81" s="144" t="str">
        <f>IF(Briefing_FID!FP81="","",Briefing_FID!FP81)</f>
        <v/>
      </c>
      <c r="FK81" s="144" t="str">
        <f>IF(Briefing_FID!FQ81="","",Briefing_FID!FQ81)</f>
        <v/>
      </c>
      <c r="FL81" s="144" t="str">
        <f>IF(Briefing_FID!FR81="","",Briefing_FID!FR81)</f>
        <v/>
      </c>
      <c r="FM81" s="144" t="str">
        <f>IF(Briefing_FID!FS81="","",Briefing_FID!FS81)</f>
        <v/>
      </c>
      <c r="FN81" s="144" t="str">
        <f>IF(Briefing_FID!FT81="","",Briefing_FID!FT81)</f>
        <v/>
      </c>
      <c r="FO81" s="144" t="str">
        <f>IF(Briefing_FID!FU81="","",Briefing_FID!FU81)</f>
        <v/>
      </c>
      <c r="FP81" s="144" t="str">
        <f>IF(Briefing_FID!FV81="","",Briefing_FID!FV81)</f>
        <v/>
      </c>
      <c r="FQ81" s="144" t="str">
        <f>IF(Briefing_FID!FW81="","",Briefing_FID!FW81)</f>
        <v/>
      </c>
      <c r="FR81" s="151"/>
      <c r="FS81" s="152"/>
      <c r="FT81" s="152"/>
      <c r="FU81" s="152"/>
      <c r="FV81" s="152"/>
      <c r="FW81" s="152"/>
      <c r="FX81" s="152"/>
      <c r="FY81" s="152"/>
      <c r="FZ81" s="152"/>
      <c r="GA81" s="153"/>
    </row>
    <row r="82" spans="1:183">
      <c r="A82" s="136" t="str">
        <f>IF(Briefing_FID!A82="","",Briefing_FID!A82)</f>
        <v/>
      </c>
      <c r="B82" s="137" t="str">
        <f>IF(Briefing_FID!B82="","",Briefing_FID!B82)</f>
        <v/>
      </c>
      <c r="C82" s="137" t="str">
        <f>IF(Briefing_FID!C82="","",Briefing_FID!C82)</f>
        <v/>
      </c>
      <c r="D82" s="46"/>
      <c r="E82" s="120"/>
      <c r="F82" s="117"/>
      <c r="G82" s="117"/>
      <c r="H82" s="72"/>
      <c r="I82" s="72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23"/>
      <c r="AD82" s="117"/>
      <c r="AE82" s="117"/>
      <c r="AF82" s="117"/>
      <c r="AG82" s="117"/>
      <c r="AH82" s="117"/>
      <c r="AI82" s="117"/>
      <c r="AJ82" s="117"/>
      <c r="AK82" s="117"/>
      <c r="AL82" s="124"/>
      <c r="AM82" s="37"/>
      <c r="AN82" s="38"/>
      <c r="AO82" s="39"/>
      <c r="AP82" s="111" t="str">
        <f>IF(Briefing_FID!AP82="","",Briefing_FID!AP82)</f>
        <v/>
      </c>
      <c r="AQ82" s="112" t="str">
        <f>IF(Briefing_FID!AQ82="","",Briefing_FID!AQ82)</f>
        <v/>
      </c>
      <c r="AR82" s="107" t="str">
        <f>IF(Briefing_FID!AR82="","",Briefing_FID!AR82)</f>
        <v/>
      </c>
      <c r="AS82" s="108" t="str">
        <f>IF(Briefing_FID!AS82="","",Briefing_FID!AS82)</f>
        <v/>
      </c>
      <c r="AT82" s="113" t="str">
        <f>IF(Briefing_FID!AT82="","",Briefing_FID!AT82)</f>
        <v/>
      </c>
      <c r="AU82" s="113" t="str">
        <f>IF(Briefing_FID!AU82="","",Briefing_FID!AU82)</f>
        <v/>
      </c>
      <c r="AV82" s="113" t="str">
        <f>IF(Briefing_FID!AV82="","",Briefing_FID!AV82)</f>
        <v/>
      </c>
      <c r="AW82" s="113" t="str">
        <f>IF(Briefing_FID!AW82="","",Briefing_FID!AW82)</f>
        <v/>
      </c>
      <c r="AX82" s="114" t="str">
        <f>IF(Briefing_FID!AX82="","",Briefing_FID!AX82)</f>
        <v/>
      </c>
      <c r="AY82" s="71"/>
      <c r="AZ82" s="117" t="str">
        <f>IF(Briefing_FID!AZ82="","",Briefing_FID!AZ82)</f>
        <v/>
      </c>
      <c r="BA82" s="118" t="str">
        <f>IF(Briefing_FID!BA82="","",Briefing_FID!BA82)</f>
        <v/>
      </c>
      <c r="BB82" s="55"/>
      <c r="BC82" s="102" t="str">
        <f>IF(Briefing_FID!BC82="","",Briefing_FID!BC82)</f>
        <v/>
      </c>
      <c r="BD82" s="27" t="str">
        <f>IF(Briefing_FID!BD82="","",Briefing_FID!BD82)</f>
        <v/>
      </c>
      <c r="BE82" s="100" t="str">
        <f>IF(Briefing_FID!BE82="","",Briefing_FID!BE82)</f>
        <v/>
      </c>
      <c r="BF82" s="3" t="str">
        <f>IF(Briefing_FID!BF82="","",Briefing_FID!BF82)</f>
        <v/>
      </c>
      <c r="BG82" s="10" t="str">
        <f>IF(Briefing_FID!BG82="","",Briefing_FID!BG82)</f>
        <v/>
      </c>
      <c r="BH82" s="100" t="str">
        <f>IF(Briefing_FID!BH82="","",Briefing_FID!BH82)</f>
        <v/>
      </c>
      <c r="BI82" s="3" t="str">
        <f>IF(Briefing_FID!BI82="","",Briefing_FID!BI82)</f>
        <v/>
      </c>
      <c r="BJ82" s="10" t="str">
        <f>IF(Briefing_FID!BJ82="","",Briefing_FID!BJ82)</f>
        <v/>
      </c>
      <c r="BK82" s="100" t="str">
        <f>IF(Briefing_FID!BK82="","",Briefing_FID!BK82)</f>
        <v/>
      </c>
      <c r="BL82" s="3" t="str">
        <f>IF(Briefing_FID!BL82="","",Briefing_FID!BL82)</f>
        <v/>
      </c>
      <c r="BM82" s="28" t="str">
        <f>IF(Briefing_FID!BM82="","",Briefing_FID!BM82)</f>
        <v/>
      </c>
      <c r="BN82" s="100" t="str">
        <f>IF(Briefing_FID!BN82="","",Briefing_FID!BN82)</f>
        <v/>
      </c>
      <c r="BO82" s="3" t="str">
        <f>IF(Briefing_FID!BO82="","",Briefing_FID!BO82)</f>
        <v/>
      </c>
      <c r="BP82" s="28" t="str">
        <f>IF(Briefing_FID!BP82="","",Briefing_FID!BP82)</f>
        <v/>
      </c>
      <c r="BQ82" s="100" t="str">
        <f>IF(Briefing_FID!BQ82="","",Briefing_FID!BQ82)</f>
        <v/>
      </c>
      <c r="BR82" s="3" t="str">
        <f>IF(Briefing_FID!BR82="","",Briefing_FID!BR82)</f>
        <v/>
      </c>
      <c r="BS82" s="28" t="str">
        <f>IF(Briefing_FID!BS82="","",Briefing_FID!BS82)</f>
        <v/>
      </c>
      <c r="BT82" s="100" t="str">
        <f>IF(Briefing_FID!BT82="","",Briefing_FID!BT82)</f>
        <v/>
      </c>
      <c r="BU82" s="3" t="str">
        <f>IF(Briefing_FID!BU82="","",Briefing_FID!BU82)</f>
        <v/>
      </c>
      <c r="BV82" s="28" t="str">
        <f>IF(Briefing_FID!BV82="","",Briefing_FID!BV82)</f>
        <v/>
      </c>
      <c r="BW82" s="100" t="str">
        <f>IF(Briefing_FID!BW82="","",Briefing_FID!BW82)</f>
        <v/>
      </c>
      <c r="BX82" s="3" t="str">
        <f>IF(Briefing_FID!BX82="","",Briefing_FID!BX82)</f>
        <v/>
      </c>
      <c r="BY82" s="28" t="str">
        <f>IF(Briefing_FID!BY82="","",Briefing_FID!BY82)</f>
        <v/>
      </c>
      <c r="BZ82" s="100" t="str">
        <f>IF(Briefing_FID!BZ82="","",Briefing_FID!BZ82)</f>
        <v/>
      </c>
      <c r="CA82" s="3" t="str">
        <f>IF(Briefing_FID!CA82="","",Briefing_FID!CA82)</f>
        <v/>
      </c>
      <c r="CB82" s="28" t="str">
        <f>IF(Briefing_FID!CB82="","",Briefing_FID!CB82)</f>
        <v/>
      </c>
      <c r="CC82" s="100" t="str">
        <f>IF(Briefing_FID!CC82="","",Briefing_FID!CC82)</f>
        <v/>
      </c>
      <c r="CD82" s="3" t="str">
        <f>IF(Briefing_FID!CD82="","",Briefing_FID!CD82)</f>
        <v/>
      </c>
      <c r="CE82" s="28" t="str">
        <f>IF(Briefing_FID!CE82="","",Briefing_FID!CE82)</f>
        <v/>
      </c>
      <c r="CF82" s="100" t="str">
        <f>IF(Briefing_FID!CF82="","",Briefing_FID!CF82)</f>
        <v/>
      </c>
      <c r="CG82" s="3" t="str">
        <f>IF(Briefing_FID!CG82="","",Briefing_FID!CG82)</f>
        <v/>
      </c>
      <c r="CH82" s="28" t="str">
        <f>IF(Briefing_FID!CH82="","",Briefing_FID!CH82)</f>
        <v/>
      </c>
      <c r="CI82" s="100" t="str">
        <f>IF(Briefing_FID!CI82="","",Briefing_FID!CI82)</f>
        <v/>
      </c>
      <c r="CJ82" s="3" t="str">
        <f>IF(Briefing_FID!CJ82="","",Briefing_FID!CJ82)</f>
        <v/>
      </c>
      <c r="CK82" s="28" t="str">
        <f>IF(Briefing_FID!CK82="","",Briefing_FID!CK82)</f>
        <v/>
      </c>
      <c r="CL82" s="100" t="str">
        <f>IF(Briefing_FID!CL82="","",Briefing_FID!CL82)</f>
        <v/>
      </c>
      <c r="CM82" s="3" t="str">
        <f>IF(Briefing_FID!CM82="","",Briefing_FID!CM82)</f>
        <v/>
      </c>
      <c r="CN82" s="28" t="str">
        <f>IF(Briefing_FID!CN82="","",Briefing_FID!CN82)</f>
        <v/>
      </c>
      <c r="CO82" s="100" t="str">
        <f>IF(Briefing_FID!CO82="","",Briefing_FID!CO82)</f>
        <v/>
      </c>
      <c r="CP82" s="3" t="str">
        <f>IF(Briefing_FID!CP82="","",Briefing_FID!CP82)</f>
        <v/>
      </c>
      <c r="CQ82" s="28" t="str">
        <f>IF(Briefing_FID!CQ82="","",Briefing_FID!CQ82)</f>
        <v/>
      </c>
      <c r="CR82" s="100" t="str">
        <f>IF(Briefing_FID!CR82="","",Briefing_FID!CR82)</f>
        <v/>
      </c>
      <c r="CS82" s="3" t="str">
        <f>IF(Briefing_FID!CS82="","",Briefing_FID!CS82)</f>
        <v/>
      </c>
      <c r="CT82" s="28" t="str">
        <f>IF(Briefing_FID!CT82="","",Briefing_FID!CT82)</f>
        <v/>
      </c>
      <c r="CU82" s="100" t="str">
        <f>IF(Briefing_FID!CU82="","",Briefing_FID!CU82)</f>
        <v/>
      </c>
      <c r="CV82" s="3" t="str">
        <f>IF(Briefing_FID!CV82="","",Briefing_FID!CV82)</f>
        <v/>
      </c>
      <c r="CW82" s="28" t="str">
        <f>IF(Briefing_FID!CW82="","",Briefing_FID!CW82)</f>
        <v/>
      </c>
      <c r="CX82" s="100" t="str">
        <f>IF(Briefing_FID!CX82="","",Briefing_FID!CX82)</f>
        <v/>
      </c>
      <c r="CY82" s="3" t="str">
        <f>IF(Briefing_FID!CY82="","",Briefing_FID!CY82)</f>
        <v/>
      </c>
      <c r="CZ82" s="28" t="str">
        <f>IF(Briefing_FID!CZ82="","",Briefing_FID!CZ82)</f>
        <v/>
      </c>
      <c r="DA82" s="100" t="str">
        <f>IF(Briefing_FID!DA82="","",Briefing_FID!DA82)</f>
        <v/>
      </c>
      <c r="DB82" s="3" t="str">
        <f>IF(Briefing_FID!DB82="","",Briefing_FID!DB82)</f>
        <v/>
      </c>
      <c r="DC82" s="28" t="str">
        <f>IF(Briefing_FID!DC82="","",Briefing_FID!DC82)</f>
        <v/>
      </c>
      <c r="DD82" s="100" t="str">
        <f>IF(Briefing_FID!DD82="","",Briefing_FID!DD82)</f>
        <v/>
      </c>
      <c r="DE82" s="3" t="str">
        <f>IF(Briefing_FID!DE82="","",Briefing_FID!DE82)</f>
        <v/>
      </c>
      <c r="DF82" s="28" t="str">
        <f>IF(Briefing_FID!DF82="","",Briefing_FID!DF82)</f>
        <v/>
      </c>
      <c r="DG82" s="100" t="str">
        <f>IF(Briefing_FID!DG82="","",Briefing_FID!DG82)</f>
        <v/>
      </c>
      <c r="DH82" s="3" t="str">
        <f>IF(Briefing_FID!DH82="","",Briefing_FID!DH82)</f>
        <v/>
      </c>
      <c r="DI82" s="28" t="str">
        <f>IF(Briefing_FID!DI82="","",Briefing_FID!DI82)</f>
        <v/>
      </c>
      <c r="DJ82" s="100" t="str">
        <f>IF(Briefing_FID!DJ82="","",Briefing_FID!DJ82)</f>
        <v/>
      </c>
      <c r="DK82" s="3" t="str">
        <f>IF(Briefing_FID!DK82="","",Briefing_FID!DK82)</f>
        <v/>
      </c>
      <c r="DL82" s="28" t="str">
        <f>IF(Briefing_FID!DL82="","",Briefing_FID!DL82)</f>
        <v/>
      </c>
      <c r="DM82" s="100" t="str">
        <f>IF(Briefing_FID!DM82="","",Briefing_FID!DM82)</f>
        <v/>
      </c>
      <c r="DN82" s="3" t="str">
        <f>IF(Briefing_FID!DN82="","",Briefing_FID!DN82)</f>
        <v/>
      </c>
      <c r="DO82" s="28" t="str">
        <f>IF(Briefing_FID!DO82="","",Briefing_FID!DO82)</f>
        <v/>
      </c>
      <c r="DP82" s="100" t="str">
        <f>IF(Briefing_FID!DP82="","",Briefing_FID!DP82)</f>
        <v/>
      </c>
      <c r="DQ82" s="3" t="str">
        <f>IF(Briefing_FID!DQ82="","",Briefing_FID!DQ82)</f>
        <v/>
      </c>
      <c r="DR82" s="28" t="str">
        <f>IF(Briefing_FID!DR82="","",Briefing_FID!DR82)</f>
        <v/>
      </c>
      <c r="DS82" s="100" t="str">
        <f>IF(Briefing_FID!DS82="","",Briefing_FID!DS82)</f>
        <v/>
      </c>
      <c r="DT82" s="3" t="str">
        <f>IF(Briefing_FID!DT82="","",Briefing_FID!DT82)</f>
        <v/>
      </c>
      <c r="DU82" s="28" t="str">
        <f>IF(Briefing_FID!DU82="","",Briefing_FID!DU82)</f>
        <v/>
      </c>
      <c r="DV82" s="100" t="str">
        <f>IF(Briefing_FID!DV82="","",Briefing_FID!DV82)</f>
        <v/>
      </c>
      <c r="DW82" s="3" t="str">
        <f>IF(Briefing_FID!DW82="","",Briefing_FID!DW82)</f>
        <v/>
      </c>
      <c r="DX82" s="28" t="str">
        <f>IF(Briefing_FID!DX82="","",Briefing_FID!DX82)</f>
        <v/>
      </c>
      <c r="DY82" s="100" t="str">
        <f>IF(Briefing_FID!DY82="","",Briefing_FID!DY82)</f>
        <v/>
      </c>
      <c r="DZ82" s="3" t="str">
        <f>IF(Briefing_FID!DZ82="","",Briefing_FID!DZ82)</f>
        <v/>
      </c>
      <c r="EA82" s="28" t="str">
        <f>IF(Briefing_FID!EA82="","",Briefing_FID!EA82)</f>
        <v/>
      </c>
      <c r="EB82" s="100" t="str">
        <f>IF(Briefing_FID!EB82="","",Briefing_FID!EB82)</f>
        <v/>
      </c>
      <c r="EC82" s="3" t="str">
        <f>IF(Briefing_FID!EC82="","",Briefing_FID!EC82)</f>
        <v/>
      </c>
      <c r="ED82" s="28" t="str">
        <f>IF(Briefing_FID!ED82="","",Briefing_FID!ED82)</f>
        <v/>
      </c>
      <c r="EE82" s="100" t="str">
        <f>IF(Briefing_FID!EE82="","",Briefing_FID!EE82)</f>
        <v/>
      </c>
      <c r="EF82" s="3" t="str">
        <f>IF(Briefing_FID!EF82="","",Briefing_FID!EF82)</f>
        <v/>
      </c>
      <c r="EG82" s="28" t="str">
        <f>IF(Briefing_FID!EG82="","",Briefing_FID!EG82)</f>
        <v/>
      </c>
      <c r="EH82" s="100" t="str">
        <f>IF(Briefing_FID!EH82="","",Briefing_FID!EH82)</f>
        <v/>
      </c>
      <c r="EI82" s="3" t="str">
        <f>IF(Briefing_FID!EI82="","",Briefing_FID!EI82)</f>
        <v/>
      </c>
      <c r="EJ82" s="28" t="str">
        <f>IF(Briefing_FID!EJ82="","",Briefing_FID!EJ82)</f>
        <v/>
      </c>
      <c r="EK82" s="100" t="str">
        <f>IF(Briefing_FID!EK82="","",Briefing_FID!EK82)</f>
        <v/>
      </c>
      <c r="EL82" s="3" t="str">
        <f>IF(Briefing_FID!EL82="","",Briefing_FID!EL82)</f>
        <v/>
      </c>
      <c r="EM82" s="28" t="str">
        <f>IF(Briefing_FID!EM82="","",Briefing_FID!EM82)</f>
        <v/>
      </c>
      <c r="EN82" s="100" t="str">
        <f>IF(Briefing_FID!EN82="","",Briefing_FID!EN82)</f>
        <v/>
      </c>
      <c r="EO82" s="3" t="str">
        <f>IF(Briefing_FID!EO82="","",Briefing_FID!EO82)</f>
        <v/>
      </c>
      <c r="EP82" s="28" t="str">
        <f>IF(Briefing_FID!EP82="","",Briefing_FID!EP82)</f>
        <v/>
      </c>
      <c r="EQ82" s="28" t="str">
        <f>IF(Briefing_FID!EQ82="","",Briefing_FID!EQ82)</f>
        <v/>
      </c>
      <c r="ER82" s="28" t="str">
        <f>IF(Briefing_FID!ER82="","",Briefing_FID!ER82)</f>
        <v/>
      </c>
      <c r="ES82" s="62"/>
      <c r="ET82" s="96" t="str">
        <f>IF(Briefing_FID!EZ82="","",Briefing_FID!EZ82)</f>
        <v/>
      </c>
      <c r="EU82" s="97" t="str">
        <f>IF(Briefing_FID!FA82="","",Briefing_FID!FA82)</f>
        <v/>
      </c>
      <c r="EV82" s="98" t="str">
        <f>IF(Briefing_FID!FB82="","",Briefing_FID!FB82)</f>
        <v/>
      </c>
      <c r="EW82" s="96" t="str">
        <f>IF(Briefing_FID!FC82="","",Briefing_FID!FC82)</f>
        <v/>
      </c>
      <c r="EX82" s="97" t="str">
        <f>IF(Briefing_FID!FD82="","",Briefing_FID!FD82)</f>
        <v/>
      </c>
      <c r="EY82" s="98" t="str">
        <f>IF(Briefing_FID!FE82="","",Briefing_FID!FE82)</f>
        <v/>
      </c>
      <c r="EZ82" s="104" t="str">
        <f>IF(Briefing_FID!FF82="","",Briefing_FID!FF82)</f>
        <v/>
      </c>
      <c r="FA82" s="144" t="str">
        <f>IF(Briefing_FID!FG82="","",Briefing_FID!FG82)</f>
        <v/>
      </c>
      <c r="FB82" s="144" t="str">
        <f>IF(Briefing_FID!FH82="","",Briefing_FID!FH82)</f>
        <v/>
      </c>
      <c r="FC82" s="144" t="str">
        <f>IF(Briefing_FID!FI82="","",Briefing_FID!FI82)</f>
        <v/>
      </c>
      <c r="FD82" s="144" t="str">
        <f>IF(Briefing_FID!FJ82="","",Briefing_FID!FJ82)</f>
        <v/>
      </c>
      <c r="FE82" s="144" t="str">
        <f>IF(Briefing_FID!FK82="","",Briefing_FID!FK82)</f>
        <v/>
      </c>
      <c r="FF82" s="144" t="str">
        <f>IF(Briefing_FID!FL82="","",Briefing_FID!FL82)</f>
        <v/>
      </c>
      <c r="FG82" s="144" t="str">
        <f>IF(Briefing_FID!FM82="","",Briefing_FID!FM82)</f>
        <v/>
      </c>
      <c r="FH82" s="144" t="str">
        <f>IF(Briefing_FID!FN82="","",Briefing_FID!FN82)</f>
        <v/>
      </c>
      <c r="FI82" s="144" t="str">
        <f>IF(Briefing_FID!FO82="","",Briefing_FID!FO82)</f>
        <v/>
      </c>
      <c r="FJ82" s="144" t="str">
        <f>IF(Briefing_FID!FP82="","",Briefing_FID!FP82)</f>
        <v/>
      </c>
      <c r="FK82" s="144" t="str">
        <f>IF(Briefing_FID!FQ82="","",Briefing_FID!FQ82)</f>
        <v/>
      </c>
      <c r="FL82" s="144" t="str">
        <f>IF(Briefing_FID!FR82="","",Briefing_FID!FR82)</f>
        <v/>
      </c>
      <c r="FM82" s="144" t="str">
        <f>IF(Briefing_FID!FS82="","",Briefing_FID!FS82)</f>
        <v/>
      </c>
      <c r="FN82" s="144" t="str">
        <f>IF(Briefing_FID!FT82="","",Briefing_FID!FT82)</f>
        <v/>
      </c>
      <c r="FO82" s="144" t="str">
        <f>IF(Briefing_FID!FU82="","",Briefing_FID!FU82)</f>
        <v/>
      </c>
      <c r="FP82" s="144" t="str">
        <f>IF(Briefing_FID!FV82="","",Briefing_FID!FV82)</f>
        <v/>
      </c>
      <c r="FQ82" s="144" t="str">
        <f>IF(Briefing_FID!FW82="","",Briefing_FID!FW82)</f>
        <v/>
      </c>
      <c r="FR82" s="151"/>
      <c r="FS82" s="152"/>
      <c r="FT82" s="152"/>
      <c r="FU82" s="152"/>
      <c r="FV82" s="152"/>
      <c r="FW82" s="152"/>
      <c r="FX82" s="152"/>
      <c r="FY82" s="152"/>
      <c r="FZ82" s="152"/>
      <c r="GA82" s="153"/>
    </row>
  </sheetData>
  <mergeCells count="40">
    <mergeCell ref="FA1:FQ1"/>
    <mergeCell ref="FR1:GA1"/>
    <mergeCell ref="ET1:EV1"/>
    <mergeCell ref="EW1:EY1"/>
    <mergeCell ref="DY1:EA1"/>
    <mergeCell ref="EB1:ED1"/>
    <mergeCell ref="EH1:EJ1"/>
    <mergeCell ref="EK1:EM1"/>
    <mergeCell ref="EN1:ER1"/>
    <mergeCell ref="EE1:EG1"/>
    <mergeCell ref="DV1:DX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DP1:DR1"/>
    <mergeCell ref="DS1:DU1"/>
    <mergeCell ref="CL1:CN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BB1:BD1"/>
    <mergeCell ref="E1:AL1"/>
    <mergeCell ref="AM1:AO1"/>
    <mergeCell ref="AP1:AQ1"/>
    <mergeCell ref="AR1:AX1"/>
    <mergeCell ref="AY1:BA1"/>
  </mergeCells>
  <conditionalFormatting sqref="BB2">
    <cfRule type="cellIs" dxfId="0" priority="1" operator="equal">
      <formula>"Falta(m) Dado(s)"</formula>
    </cfRule>
  </conditionalFormatting>
  <dataValidations count="4">
    <dataValidation type="list" allowBlank="1" showInputMessage="1" showErrorMessage="1" sqref="ES3:ES82 D3:D82 AY3:AY82">
      <formula1>"Não"</formula1>
    </dataValidation>
    <dataValidation type="list" allowBlank="1" showInputMessage="1" showErrorMessage="1" sqref="EZ3:EZ82">
      <formula1>"Chip Alone (PCS-SBL11111)"</formula1>
    </dataValidation>
    <dataValidation type="list" allowBlank="1" showInputMessage="1" showErrorMessage="1" sqref="AZ3:BA82">
      <formula1>"Sim,Não"</formula1>
    </dataValidation>
    <dataValidation type="list" allowBlank="1" showInputMessage="1" showErrorMessage="1" sqref="E3:AL82">
      <formula1>"X,x"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theme="1"/>
  </sheetPr>
  <dimension ref="A1:E77"/>
  <sheetViews>
    <sheetView showGridLines="0" workbookViewId="0">
      <selection activeCell="D13" sqref="D13"/>
    </sheetView>
  </sheetViews>
  <sheetFormatPr defaultRowHeight="15"/>
  <cols>
    <col min="1" max="1" width="13.28515625" style="1" bestFit="1" customWidth="1"/>
    <col min="2" max="2" width="34.5703125" style="1" bestFit="1" customWidth="1"/>
    <col min="3" max="3" width="11.140625" style="2" bestFit="1" customWidth="1"/>
    <col min="4" max="16384" width="9.140625" style="1"/>
  </cols>
  <sheetData>
    <row r="1" spans="1:5">
      <c r="A1" s="156" t="s">
        <v>87</v>
      </c>
      <c r="B1" s="156" t="s">
        <v>88</v>
      </c>
      <c r="C1" s="156" t="s">
        <v>89</v>
      </c>
      <c r="D1" s="157" t="s">
        <v>312</v>
      </c>
      <c r="E1" s="158" t="s">
        <v>313</v>
      </c>
    </row>
    <row r="2" spans="1:5">
      <c r="A2" s="159" t="s">
        <v>239</v>
      </c>
      <c r="B2" s="160" t="s">
        <v>90</v>
      </c>
      <c r="C2" s="161">
        <v>75.84</v>
      </c>
      <c r="D2" s="162" t="s">
        <v>314</v>
      </c>
      <c r="E2" s="163"/>
    </row>
    <row r="3" spans="1:5">
      <c r="A3" s="159" t="s">
        <v>315</v>
      </c>
      <c r="B3" s="160" t="s">
        <v>316</v>
      </c>
      <c r="C3" s="161">
        <v>134.44999999999999</v>
      </c>
      <c r="D3" s="163" t="s">
        <v>317</v>
      </c>
      <c r="E3" s="163"/>
    </row>
    <row r="4" spans="1:5">
      <c r="A4" s="164" t="s">
        <v>91</v>
      </c>
      <c r="B4" s="165" t="s">
        <v>92</v>
      </c>
      <c r="C4" s="166">
        <v>84.23</v>
      </c>
      <c r="D4" s="162" t="s">
        <v>318</v>
      </c>
      <c r="E4" s="163"/>
    </row>
    <row r="5" spans="1:5">
      <c r="A5" s="164" t="s">
        <v>93</v>
      </c>
      <c r="B5" s="165" t="s">
        <v>94</v>
      </c>
      <c r="C5" s="166">
        <v>84.23</v>
      </c>
      <c r="D5" s="162" t="s">
        <v>318</v>
      </c>
      <c r="E5" s="163"/>
    </row>
    <row r="6" spans="1:5">
      <c r="A6" s="164" t="s">
        <v>95</v>
      </c>
      <c r="B6" s="165" t="s">
        <v>96</v>
      </c>
      <c r="C6" s="166">
        <v>84.23</v>
      </c>
      <c r="D6" s="162" t="s">
        <v>318</v>
      </c>
      <c r="E6" s="163"/>
    </row>
    <row r="7" spans="1:5">
      <c r="A7" s="164" t="s">
        <v>97</v>
      </c>
      <c r="B7" s="165" t="s">
        <v>98</v>
      </c>
      <c r="C7" s="166">
        <v>98.26</v>
      </c>
      <c r="D7" s="162" t="s">
        <v>318</v>
      </c>
      <c r="E7" s="163"/>
    </row>
    <row r="8" spans="1:5">
      <c r="A8" s="164" t="s">
        <v>99</v>
      </c>
      <c r="B8" s="165" t="s">
        <v>100</v>
      </c>
      <c r="C8" s="166">
        <v>112.31</v>
      </c>
      <c r="D8" s="162" t="s">
        <v>318</v>
      </c>
      <c r="E8" s="163"/>
    </row>
    <row r="9" spans="1:5">
      <c r="A9" s="164" t="s">
        <v>101</v>
      </c>
      <c r="B9" s="165" t="s">
        <v>102</v>
      </c>
      <c r="C9" s="166">
        <v>126.34</v>
      </c>
      <c r="D9" s="162" t="s">
        <v>318</v>
      </c>
      <c r="E9" s="163"/>
    </row>
    <row r="10" spans="1:5">
      <c r="A10" s="164" t="s">
        <v>103</v>
      </c>
      <c r="B10" s="165" t="s">
        <v>104</v>
      </c>
      <c r="C10" s="166">
        <v>140.38</v>
      </c>
      <c r="D10" s="162" t="s">
        <v>318</v>
      </c>
      <c r="E10" s="163"/>
    </row>
    <row r="11" spans="1:5">
      <c r="A11" s="164" t="s">
        <v>105</v>
      </c>
      <c r="B11" s="165" t="s">
        <v>106</v>
      </c>
      <c r="C11" s="166">
        <v>210.58</v>
      </c>
      <c r="D11" s="162" t="s">
        <v>318</v>
      </c>
      <c r="E11" s="163"/>
    </row>
    <row r="12" spans="1:5">
      <c r="A12" s="164" t="s">
        <v>107</v>
      </c>
      <c r="B12" s="165" t="s">
        <v>108</v>
      </c>
      <c r="C12" s="166">
        <v>280.77</v>
      </c>
      <c r="D12" s="162" t="s">
        <v>318</v>
      </c>
      <c r="E12" s="163"/>
    </row>
    <row r="13" spans="1:5">
      <c r="A13" s="164" t="s">
        <v>109</v>
      </c>
      <c r="B13" s="165" t="s">
        <v>110</v>
      </c>
      <c r="C13" s="166">
        <v>280.77</v>
      </c>
      <c r="D13" s="162" t="s">
        <v>318</v>
      </c>
      <c r="E13" s="163"/>
    </row>
    <row r="14" spans="1:5">
      <c r="A14" s="164" t="s">
        <v>265</v>
      </c>
      <c r="B14" s="165" t="s">
        <v>111</v>
      </c>
      <c r="C14" s="166">
        <v>280.77</v>
      </c>
      <c r="D14" s="162" t="s">
        <v>318</v>
      </c>
      <c r="E14" s="163"/>
    </row>
    <row r="15" spans="1:5">
      <c r="A15" s="167" t="s">
        <v>264</v>
      </c>
      <c r="B15" s="168" t="s">
        <v>112</v>
      </c>
      <c r="C15" s="169">
        <v>300</v>
      </c>
      <c r="D15" s="162" t="s">
        <v>319</v>
      </c>
      <c r="E15" s="163"/>
    </row>
    <row r="16" spans="1:5">
      <c r="A16" s="167" t="s">
        <v>263</v>
      </c>
      <c r="B16" s="168" t="s">
        <v>113</v>
      </c>
      <c r="C16" s="169">
        <v>300</v>
      </c>
      <c r="D16" s="162" t="s">
        <v>319</v>
      </c>
      <c r="E16" s="163"/>
    </row>
    <row r="17" spans="1:5">
      <c r="A17" s="167" t="s">
        <v>262</v>
      </c>
      <c r="B17" s="168" t="s">
        <v>114</v>
      </c>
      <c r="C17" s="169">
        <v>300</v>
      </c>
      <c r="D17" s="162" t="s">
        <v>319</v>
      </c>
      <c r="E17" s="163"/>
    </row>
    <row r="18" spans="1:5">
      <c r="A18" s="167" t="s">
        <v>261</v>
      </c>
      <c r="B18" s="168" t="s">
        <v>115</v>
      </c>
      <c r="C18" s="169">
        <v>300</v>
      </c>
      <c r="D18" s="162" t="s">
        <v>319</v>
      </c>
      <c r="E18" s="163"/>
    </row>
    <row r="19" spans="1:5">
      <c r="A19" s="167" t="s">
        <v>260</v>
      </c>
      <c r="B19" s="168" t="s">
        <v>116</v>
      </c>
      <c r="C19" s="169">
        <v>300</v>
      </c>
      <c r="D19" s="162" t="s">
        <v>319</v>
      </c>
      <c r="E19" s="163"/>
    </row>
    <row r="20" spans="1:5">
      <c r="A20" s="167" t="s">
        <v>259</v>
      </c>
      <c r="B20" s="168" t="s">
        <v>117</v>
      </c>
      <c r="C20" s="169">
        <v>300</v>
      </c>
      <c r="D20" s="162" t="s">
        <v>319</v>
      </c>
      <c r="E20" s="163"/>
    </row>
    <row r="21" spans="1:5">
      <c r="A21" s="167" t="s">
        <v>258</v>
      </c>
      <c r="B21" s="168" t="s">
        <v>118</v>
      </c>
      <c r="C21" s="169">
        <v>300</v>
      </c>
      <c r="D21" s="162" t="s">
        <v>319</v>
      </c>
      <c r="E21" s="163"/>
    </row>
    <row r="22" spans="1:5">
      <c r="A22" s="159" t="s">
        <v>119</v>
      </c>
      <c r="B22" s="159" t="s">
        <v>120</v>
      </c>
      <c r="C22" s="161">
        <v>73.33</v>
      </c>
      <c r="D22" s="162" t="s">
        <v>320</v>
      </c>
      <c r="E22" s="170"/>
    </row>
    <row r="23" spans="1:5">
      <c r="A23" s="159" t="s">
        <v>121</v>
      </c>
      <c r="B23" s="159" t="s">
        <v>122</v>
      </c>
      <c r="C23" s="161">
        <v>87.56</v>
      </c>
      <c r="D23" s="162" t="s">
        <v>320</v>
      </c>
      <c r="E23" s="170"/>
    </row>
    <row r="24" spans="1:5">
      <c r="A24" s="159" t="s">
        <v>123</v>
      </c>
      <c r="B24" s="159" t="s">
        <v>124</v>
      </c>
      <c r="C24" s="161">
        <v>128.07</v>
      </c>
      <c r="D24" s="162" t="s">
        <v>320</v>
      </c>
      <c r="E24" s="170"/>
    </row>
    <row r="25" spans="1:5">
      <c r="A25" s="159" t="s">
        <v>125</v>
      </c>
      <c r="B25" s="159" t="s">
        <v>126</v>
      </c>
      <c r="C25" s="161">
        <v>213.45</v>
      </c>
      <c r="D25" s="162" t="s">
        <v>320</v>
      </c>
      <c r="E25" s="170"/>
    </row>
    <row r="26" spans="1:5">
      <c r="A26" s="159" t="s">
        <v>127</v>
      </c>
      <c r="B26" s="159" t="s">
        <v>128</v>
      </c>
      <c r="C26" s="161">
        <v>330.59</v>
      </c>
      <c r="D26" s="162" t="s">
        <v>320</v>
      </c>
      <c r="E26" s="170"/>
    </row>
    <row r="27" spans="1:5">
      <c r="A27" s="159" t="s">
        <v>129</v>
      </c>
      <c r="B27" s="4" t="s">
        <v>130</v>
      </c>
      <c r="C27" s="161">
        <v>479.46</v>
      </c>
      <c r="D27" s="162" t="s">
        <v>320</v>
      </c>
      <c r="E27" s="170"/>
    </row>
    <row r="28" spans="1:5">
      <c r="A28" s="164" t="s">
        <v>131</v>
      </c>
      <c r="B28" s="5" t="s">
        <v>132</v>
      </c>
      <c r="C28" s="166">
        <v>114.89</v>
      </c>
      <c r="D28" s="162" t="s">
        <v>320</v>
      </c>
      <c r="E28" s="170"/>
    </row>
    <row r="29" spans="1:5">
      <c r="A29" s="164" t="s">
        <v>133</v>
      </c>
      <c r="B29" s="5" t="s">
        <v>134</v>
      </c>
      <c r="C29" s="166">
        <v>216.36</v>
      </c>
      <c r="D29" s="162" t="s">
        <v>320</v>
      </c>
      <c r="E29" s="170"/>
    </row>
    <row r="30" spans="1:5">
      <c r="A30" s="164" t="s">
        <v>135</v>
      </c>
      <c r="B30" s="5" t="s">
        <v>136</v>
      </c>
      <c r="C30" s="166">
        <v>280.77</v>
      </c>
      <c r="D30" s="162" t="s">
        <v>320</v>
      </c>
      <c r="E30" s="170"/>
    </row>
    <row r="31" spans="1:5">
      <c r="A31" s="164" t="s">
        <v>137</v>
      </c>
      <c r="B31" s="5" t="s">
        <v>138</v>
      </c>
      <c r="C31" s="166">
        <v>345.16</v>
      </c>
      <c r="D31" s="162" t="s">
        <v>320</v>
      </c>
      <c r="E31" s="170"/>
    </row>
    <row r="32" spans="1:5">
      <c r="A32" s="159" t="s">
        <v>139</v>
      </c>
      <c r="B32" s="159" t="s">
        <v>140</v>
      </c>
      <c r="C32" s="161">
        <v>99</v>
      </c>
      <c r="D32" s="162" t="s">
        <v>318</v>
      </c>
      <c r="E32" s="170"/>
    </row>
    <row r="33" spans="1:5">
      <c r="A33" s="159" t="s">
        <v>141</v>
      </c>
      <c r="B33" s="159" t="s">
        <v>142</v>
      </c>
      <c r="C33" s="161">
        <v>121.03</v>
      </c>
      <c r="D33" s="162" t="s">
        <v>318</v>
      </c>
      <c r="E33" s="170"/>
    </row>
    <row r="34" spans="1:5">
      <c r="A34" s="159" t="s">
        <v>143</v>
      </c>
      <c r="B34" s="159" t="s">
        <v>144</v>
      </c>
      <c r="C34" s="161">
        <v>121.03</v>
      </c>
      <c r="D34" s="162" t="s">
        <v>318</v>
      </c>
      <c r="E34" s="170"/>
    </row>
    <row r="35" spans="1:5">
      <c r="A35" s="159" t="s">
        <v>145</v>
      </c>
      <c r="B35" s="159" t="s">
        <v>146</v>
      </c>
      <c r="C35" s="161">
        <v>176.09</v>
      </c>
      <c r="D35" s="162" t="s">
        <v>318</v>
      </c>
      <c r="E35" s="170"/>
    </row>
    <row r="36" spans="1:5">
      <c r="A36" s="159" t="s">
        <v>147</v>
      </c>
      <c r="B36" s="159" t="s">
        <v>148</v>
      </c>
      <c r="C36" s="161">
        <v>192.61</v>
      </c>
      <c r="D36" s="162" t="s">
        <v>318</v>
      </c>
      <c r="E36" s="170"/>
    </row>
    <row r="37" spans="1:5">
      <c r="A37" s="159" t="s">
        <v>149</v>
      </c>
      <c r="B37" s="159" t="s">
        <v>150</v>
      </c>
      <c r="C37" s="161">
        <v>209.13</v>
      </c>
      <c r="D37" s="162" t="s">
        <v>318</v>
      </c>
      <c r="E37" s="170"/>
    </row>
    <row r="38" spans="1:5">
      <c r="A38" s="159" t="s">
        <v>151</v>
      </c>
      <c r="B38" s="159" t="s">
        <v>152</v>
      </c>
      <c r="C38" s="161">
        <v>203.63</v>
      </c>
      <c r="D38" s="162" t="s">
        <v>318</v>
      </c>
      <c r="E38" s="170"/>
    </row>
    <row r="39" spans="1:5">
      <c r="A39" s="159" t="s">
        <v>153</v>
      </c>
      <c r="B39" s="159" t="s">
        <v>154</v>
      </c>
      <c r="C39" s="161">
        <v>220.14</v>
      </c>
      <c r="D39" s="162" t="s">
        <v>318</v>
      </c>
      <c r="E39" s="170"/>
    </row>
    <row r="40" spans="1:5">
      <c r="A40" s="159" t="s">
        <v>155</v>
      </c>
      <c r="B40" s="159" t="s">
        <v>156</v>
      </c>
      <c r="C40" s="161">
        <v>209.13</v>
      </c>
      <c r="D40" s="162" t="s">
        <v>318</v>
      </c>
      <c r="E40" s="170"/>
    </row>
    <row r="41" spans="1:5">
      <c r="A41" s="159" t="s">
        <v>157</v>
      </c>
      <c r="B41" s="159" t="s">
        <v>158</v>
      </c>
      <c r="C41" s="161">
        <v>253.18</v>
      </c>
      <c r="D41" s="162" t="s">
        <v>318</v>
      </c>
      <c r="E41" s="170"/>
    </row>
    <row r="42" spans="1:5">
      <c r="A42" s="159" t="s">
        <v>159</v>
      </c>
      <c r="B42" s="159" t="s">
        <v>160</v>
      </c>
      <c r="C42" s="161">
        <v>165.08</v>
      </c>
      <c r="D42" s="162" t="s">
        <v>318</v>
      </c>
      <c r="E42" s="170"/>
    </row>
    <row r="43" spans="1:5">
      <c r="A43" s="159" t="s">
        <v>161</v>
      </c>
      <c r="B43" s="159" t="s">
        <v>162</v>
      </c>
      <c r="C43" s="161">
        <v>220.14</v>
      </c>
      <c r="D43" s="162" t="s">
        <v>318</v>
      </c>
      <c r="E43" s="170"/>
    </row>
    <row r="44" spans="1:5">
      <c r="A44" s="159" t="s">
        <v>163</v>
      </c>
      <c r="B44" s="159" t="s">
        <v>164</v>
      </c>
      <c r="C44" s="161">
        <v>203.63</v>
      </c>
      <c r="D44" s="162" t="s">
        <v>318</v>
      </c>
      <c r="E44" s="170"/>
    </row>
    <row r="45" spans="1:5">
      <c r="A45" s="159" t="s">
        <v>165</v>
      </c>
      <c r="B45" s="159" t="s">
        <v>166</v>
      </c>
      <c r="C45" s="161">
        <v>258.69</v>
      </c>
      <c r="D45" s="162" t="s">
        <v>318</v>
      </c>
      <c r="E45" s="170"/>
    </row>
    <row r="46" spans="1:5">
      <c r="A46" s="159" t="s">
        <v>167</v>
      </c>
      <c r="B46" s="159" t="s">
        <v>168</v>
      </c>
      <c r="C46" s="161">
        <v>214.64</v>
      </c>
      <c r="D46" s="162" t="s">
        <v>318</v>
      </c>
      <c r="E46" s="170"/>
    </row>
    <row r="47" spans="1:5">
      <c r="A47" s="159" t="s">
        <v>169</v>
      </c>
      <c r="B47" s="159" t="s">
        <v>170</v>
      </c>
      <c r="C47" s="161">
        <v>269.7</v>
      </c>
      <c r="D47" s="162" t="s">
        <v>318</v>
      </c>
      <c r="E47" s="170"/>
    </row>
    <row r="48" spans="1:5">
      <c r="A48" s="159" t="s">
        <v>171</v>
      </c>
      <c r="B48" s="159" t="s">
        <v>172</v>
      </c>
      <c r="C48" s="161">
        <v>253.18</v>
      </c>
      <c r="D48" s="162" t="s">
        <v>318</v>
      </c>
      <c r="E48" s="170"/>
    </row>
    <row r="49" spans="1:5">
      <c r="A49" s="159" t="s">
        <v>173</v>
      </c>
      <c r="B49" s="159" t="s">
        <v>174</v>
      </c>
      <c r="C49" s="161">
        <v>308.25</v>
      </c>
      <c r="D49" s="162" t="s">
        <v>318</v>
      </c>
      <c r="E49" s="170"/>
    </row>
    <row r="50" spans="1:5">
      <c r="A50" s="159" t="s">
        <v>175</v>
      </c>
      <c r="B50" s="159" t="s">
        <v>176</v>
      </c>
      <c r="C50" s="161">
        <v>110.13</v>
      </c>
      <c r="D50" s="162" t="s">
        <v>318</v>
      </c>
      <c r="E50" s="170"/>
    </row>
    <row r="51" spans="1:5">
      <c r="A51" s="159" t="s">
        <v>177</v>
      </c>
      <c r="B51" s="159" t="s">
        <v>178</v>
      </c>
      <c r="C51" s="161">
        <v>11.01</v>
      </c>
      <c r="D51" s="162" t="s">
        <v>318</v>
      </c>
      <c r="E51" s="170"/>
    </row>
    <row r="52" spans="1:5">
      <c r="A52" s="159" t="s">
        <v>179</v>
      </c>
      <c r="B52" s="159" t="s">
        <v>180</v>
      </c>
      <c r="C52" s="161">
        <v>21.91</v>
      </c>
      <c r="D52" s="162" t="s">
        <v>318</v>
      </c>
      <c r="E52" s="170"/>
    </row>
    <row r="53" spans="1:5">
      <c r="A53" s="171" t="s">
        <v>181</v>
      </c>
      <c r="B53" s="171" t="s">
        <v>182</v>
      </c>
      <c r="C53" s="172">
        <v>93.5</v>
      </c>
      <c r="D53" s="162" t="s">
        <v>318</v>
      </c>
      <c r="E53" s="170" t="s">
        <v>321</v>
      </c>
    </row>
    <row r="54" spans="1:5">
      <c r="A54" s="171" t="s">
        <v>183</v>
      </c>
      <c r="B54" s="171" t="s">
        <v>184</v>
      </c>
      <c r="C54" s="172">
        <v>115.52</v>
      </c>
      <c r="D54" s="162" t="s">
        <v>318</v>
      </c>
      <c r="E54" s="170" t="s">
        <v>321</v>
      </c>
    </row>
    <row r="55" spans="1:5">
      <c r="A55" s="159" t="s">
        <v>185</v>
      </c>
      <c r="B55" s="159" t="s">
        <v>186</v>
      </c>
      <c r="C55" s="161">
        <v>16.399999999999999</v>
      </c>
      <c r="D55" s="162" t="s">
        <v>318</v>
      </c>
      <c r="E55" s="170"/>
    </row>
    <row r="56" spans="1:5">
      <c r="A56" s="159" t="s">
        <v>187</v>
      </c>
      <c r="B56" s="159" t="s">
        <v>188</v>
      </c>
      <c r="C56" s="161">
        <v>21.91</v>
      </c>
      <c r="D56" s="162" t="s">
        <v>318</v>
      </c>
      <c r="E56" s="170"/>
    </row>
    <row r="57" spans="1:5">
      <c r="A57" s="159" t="s">
        <v>189</v>
      </c>
      <c r="B57" s="159" t="s">
        <v>190</v>
      </c>
      <c r="C57" s="161">
        <v>32.92</v>
      </c>
      <c r="D57" s="162" t="s">
        <v>318</v>
      </c>
      <c r="E57" s="170"/>
    </row>
    <row r="58" spans="1:5">
      <c r="A58" s="159" t="s">
        <v>191</v>
      </c>
      <c r="B58" s="159" t="s">
        <v>192</v>
      </c>
      <c r="C58" s="161">
        <v>29.9</v>
      </c>
      <c r="D58" s="162" t="s">
        <v>318</v>
      </c>
      <c r="E58" s="170"/>
    </row>
    <row r="59" spans="1:5">
      <c r="A59" s="171" t="s">
        <v>202</v>
      </c>
      <c r="B59" s="171" t="s">
        <v>55</v>
      </c>
      <c r="C59" s="172">
        <v>93.5</v>
      </c>
      <c r="D59" s="162" t="s">
        <v>318</v>
      </c>
      <c r="E59" s="170" t="s">
        <v>322</v>
      </c>
    </row>
    <row r="60" spans="1:5">
      <c r="A60" s="171" t="s">
        <v>203</v>
      </c>
      <c r="B60" s="171" t="s">
        <v>56</v>
      </c>
      <c r="C60" s="172">
        <v>115.52</v>
      </c>
      <c r="D60" s="162" t="s">
        <v>318</v>
      </c>
      <c r="E60" s="170" t="s">
        <v>322</v>
      </c>
    </row>
    <row r="61" spans="1:5">
      <c r="A61" s="171" t="s">
        <v>204</v>
      </c>
      <c r="B61" s="171" t="s">
        <v>57</v>
      </c>
      <c r="C61" s="172">
        <v>115.52</v>
      </c>
      <c r="D61" s="162" t="s">
        <v>318</v>
      </c>
      <c r="E61" s="170" t="s">
        <v>322</v>
      </c>
    </row>
    <row r="62" spans="1:5">
      <c r="A62" s="171" t="s">
        <v>205</v>
      </c>
      <c r="B62" s="171" t="s">
        <v>58</v>
      </c>
      <c r="C62" s="172">
        <v>93.5</v>
      </c>
      <c r="D62" s="162" t="s">
        <v>318</v>
      </c>
      <c r="E62" s="170" t="s">
        <v>322</v>
      </c>
    </row>
    <row r="63" spans="1:5">
      <c r="A63" s="173" t="s">
        <v>323</v>
      </c>
      <c r="B63" s="173" t="s">
        <v>324</v>
      </c>
      <c r="C63" s="174"/>
      <c r="D63" s="174" t="s">
        <v>317</v>
      </c>
      <c r="E63" s="170" t="s">
        <v>325</v>
      </c>
    </row>
    <row r="64" spans="1:5">
      <c r="A64" s="173" t="s">
        <v>326</v>
      </c>
      <c r="B64" s="173" t="s">
        <v>327</v>
      </c>
      <c r="C64" s="174"/>
      <c r="D64" s="174" t="s">
        <v>317</v>
      </c>
      <c r="E64" s="170" t="s">
        <v>325</v>
      </c>
    </row>
    <row r="65" spans="1:5">
      <c r="A65" s="173" t="s">
        <v>328</v>
      </c>
      <c r="B65" s="173" t="s">
        <v>329</v>
      </c>
      <c r="C65" s="174"/>
      <c r="D65" s="174" t="s">
        <v>317</v>
      </c>
      <c r="E65" s="170" t="s">
        <v>325</v>
      </c>
    </row>
    <row r="66" spans="1:5">
      <c r="A66" s="173" t="s">
        <v>330</v>
      </c>
      <c r="B66" s="173" t="s">
        <v>331</v>
      </c>
      <c r="C66" s="174"/>
      <c r="D66" s="174" t="s">
        <v>317</v>
      </c>
      <c r="E66" s="170" t="s">
        <v>325</v>
      </c>
    </row>
    <row r="67" spans="1:5">
      <c r="A67" s="173" t="s">
        <v>332</v>
      </c>
      <c r="B67" s="173" t="s">
        <v>333</v>
      </c>
      <c r="C67" s="174"/>
      <c r="D67" s="174" t="s">
        <v>317</v>
      </c>
      <c r="E67" s="170" t="s">
        <v>325</v>
      </c>
    </row>
    <row r="68" spans="1:5">
      <c r="A68" s="162" t="s">
        <v>193</v>
      </c>
      <c r="B68" s="162" t="s">
        <v>53</v>
      </c>
      <c r="C68" s="175">
        <v>19.899999999999999</v>
      </c>
      <c r="D68" s="163" t="s">
        <v>317</v>
      </c>
      <c r="E68" s="163"/>
    </row>
    <row r="69" spans="1:5">
      <c r="A69" s="162" t="s">
        <v>194</v>
      </c>
      <c r="B69" s="162" t="s">
        <v>195</v>
      </c>
      <c r="C69" s="176">
        <v>32.68</v>
      </c>
      <c r="D69" s="163" t="s">
        <v>317</v>
      </c>
      <c r="E69" s="163"/>
    </row>
    <row r="70" spans="1:5">
      <c r="A70" s="162" t="s">
        <v>196</v>
      </c>
      <c r="B70" s="162" t="s">
        <v>45</v>
      </c>
      <c r="C70" s="175">
        <v>43.61</v>
      </c>
      <c r="D70" s="163" t="s">
        <v>317</v>
      </c>
      <c r="E70" s="163"/>
    </row>
    <row r="71" spans="1:5">
      <c r="A71" s="162" t="s">
        <v>197</v>
      </c>
      <c r="B71" s="162" t="s">
        <v>46</v>
      </c>
      <c r="C71" s="175">
        <v>163.35</v>
      </c>
      <c r="D71" s="163" t="s">
        <v>317</v>
      </c>
      <c r="E71" s="163"/>
    </row>
    <row r="72" spans="1:5">
      <c r="A72" s="162" t="s">
        <v>198</v>
      </c>
      <c r="B72" s="162" t="s">
        <v>199</v>
      </c>
      <c r="C72" s="175">
        <v>89.66</v>
      </c>
      <c r="D72" s="163" t="s">
        <v>317</v>
      </c>
      <c r="E72" s="163"/>
    </row>
    <row r="73" spans="1:5">
      <c r="A73" s="162" t="s">
        <v>200</v>
      </c>
      <c r="B73" s="162" t="s">
        <v>201</v>
      </c>
      <c r="C73" s="175">
        <v>179.33</v>
      </c>
      <c r="D73" s="163" t="s">
        <v>317</v>
      </c>
      <c r="E73" s="163"/>
    </row>
    <row r="74" spans="1:5">
      <c r="A74" s="162" t="s">
        <v>334</v>
      </c>
      <c r="B74" s="162" t="s">
        <v>304</v>
      </c>
      <c r="C74" s="175">
        <v>60</v>
      </c>
      <c r="D74" s="163" t="s">
        <v>317</v>
      </c>
      <c r="E74" s="163"/>
    </row>
    <row r="75" spans="1:5">
      <c r="A75" s="177" t="s">
        <v>335</v>
      </c>
      <c r="B75" s="177" t="s">
        <v>336</v>
      </c>
      <c r="C75" s="178">
        <v>19.899999999999999</v>
      </c>
      <c r="D75" s="177"/>
      <c r="E75" s="163"/>
    </row>
    <row r="76" spans="1:5">
      <c r="A76" s="179" t="s">
        <v>337</v>
      </c>
      <c r="B76" s="179" t="s">
        <v>337</v>
      </c>
      <c r="C76" s="180">
        <v>4.37</v>
      </c>
      <c r="D76" s="179" t="s">
        <v>318</v>
      </c>
      <c r="E76" s="163"/>
    </row>
    <row r="77" spans="1:5">
      <c r="A77" s="179" t="s">
        <v>338</v>
      </c>
      <c r="B77" s="179" t="s">
        <v>338</v>
      </c>
      <c r="C77" s="180">
        <v>33.369999999999997</v>
      </c>
      <c r="D77" s="179" t="s">
        <v>318</v>
      </c>
      <c r="E77" s="16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tabColor theme="1"/>
  </sheetPr>
  <dimension ref="A1:G1260"/>
  <sheetViews>
    <sheetView zoomScaleNormal="100" workbookViewId="0"/>
  </sheetViews>
  <sheetFormatPr defaultColWidth="23" defaultRowHeight="15"/>
  <cols>
    <col min="1" max="1" width="70.5703125" customWidth="1"/>
    <col min="2" max="2" width="34" bestFit="1" customWidth="1"/>
    <col min="3" max="3" width="72" customWidth="1"/>
    <col min="4" max="4" width="13" bestFit="1" customWidth="1"/>
    <col min="5" max="5" width="17.5703125" style="1" bestFit="1" customWidth="1"/>
    <col min="6" max="6" width="47.42578125" bestFit="1" customWidth="1"/>
    <col min="7" max="7" width="12.28515625" bestFit="1" customWidth="1"/>
  </cols>
  <sheetData>
    <row r="1" spans="1:7">
      <c r="A1" s="130" t="s">
        <v>52</v>
      </c>
      <c r="B1" s="130" t="s">
        <v>206</v>
      </c>
      <c r="C1" s="130" t="s">
        <v>207</v>
      </c>
      <c r="D1" s="131" t="s">
        <v>208</v>
      </c>
      <c r="E1" s="132" t="s">
        <v>273</v>
      </c>
      <c r="F1" s="130" t="s">
        <v>271</v>
      </c>
      <c r="G1" s="131" t="s">
        <v>272</v>
      </c>
    </row>
    <row r="2" spans="1:7">
      <c r="A2" s="1" t="e">
        <f>VLOOKUP(B2,PLANOS!A:B,2,0)&amp;D2&amp;C2</f>
        <v>#N/A</v>
      </c>
      <c r="B2" s="1"/>
      <c r="C2" s="1"/>
      <c r="D2" s="155"/>
      <c r="F2" s="1"/>
      <c r="G2" s="1"/>
    </row>
    <row r="3" spans="1:7">
      <c r="A3" s="1" t="e">
        <f>VLOOKUP(B3,PLANOS!A:B,2,0)&amp;D3&amp;C3</f>
        <v>#N/A</v>
      </c>
      <c r="B3" s="1"/>
      <c r="C3" s="1"/>
      <c r="D3" s="155"/>
      <c r="F3" s="1"/>
      <c r="G3" s="1"/>
    </row>
    <row r="4" spans="1:7">
      <c r="A4" s="1" t="e">
        <f>VLOOKUP(B4,PLANOS!A:B,2,0)&amp;D4&amp;C4</f>
        <v>#N/A</v>
      </c>
      <c r="B4" s="1"/>
      <c r="C4" s="1"/>
      <c r="D4" s="155"/>
      <c r="F4" s="1"/>
      <c r="G4" s="1"/>
    </row>
    <row r="5" spans="1:7">
      <c r="A5" s="1" t="e">
        <f>VLOOKUP(B5,PLANOS!A:B,2,0)&amp;D5&amp;C5</f>
        <v>#N/A</v>
      </c>
      <c r="B5" s="1"/>
      <c r="C5" s="1"/>
      <c r="D5" s="155"/>
      <c r="F5" s="1"/>
      <c r="G5" s="1"/>
    </row>
    <row r="6" spans="1:7">
      <c r="A6" s="1" t="e">
        <f>VLOOKUP(B6,PLANOS!A:B,2,0)&amp;D6&amp;C6</f>
        <v>#N/A</v>
      </c>
      <c r="B6" s="1"/>
      <c r="C6" s="1"/>
      <c r="D6" s="155"/>
      <c r="F6" s="1"/>
      <c r="G6" s="1"/>
    </row>
    <row r="7" spans="1:7">
      <c r="A7" s="1" t="e">
        <f>VLOOKUP(B7,PLANOS!A:B,2,0)&amp;D7&amp;C7</f>
        <v>#N/A</v>
      </c>
      <c r="B7" s="1"/>
      <c r="C7" s="1"/>
      <c r="D7" s="155"/>
      <c r="F7" s="1"/>
      <c r="G7" s="1"/>
    </row>
    <row r="8" spans="1:7">
      <c r="A8" s="1" t="e">
        <f>VLOOKUP(B8,PLANOS!A:B,2,0)&amp;D8&amp;C8</f>
        <v>#N/A</v>
      </c>
      <c r="B8" s="1"/>
      <c r="C8" s="1"/>
      <c r="D8" s="155"/>
      <c r="F8" s="1"/>
      <c r="G8" s="1"/>
    </row>
    <row r="9" spans="1:7">
      <c r="A9" s="1" t="e">
        <f>VLOOKUP(B9,PLANOS!A:B,2,0)&amp;D9&amp;C9</f>
        <v>#N/A</v>
      </c>
      <c r="B9" s="1"/>
      <c r="C9" s="1"/>
      <c r="D9" s="155"/>
      <c r="F9" s="1"/>
      <c r="G9" s="1"/>
    </row>
    <row r="10" spans="1:7">
      <c r="A10" s="1" t="e">
        <f>VLOOKUP(B10,PLANOS!A:B,2,0)&amp;D10&amp;C10</f>
        <v>#N/A</v>
      </c>
      <c r="B10" s="1"/>
      <c r="C10" s="1"/>
      <c r="D10" s="155"/>
      <c r="F10" s="1"/>
      <c r="G10" s="1"/>
    </row>
    <row r="11" spans="1:7">
      <c r="A11" s="1" t="e">
        <f>VLOOKUP(B11,PLANOS!A:B,2,0)&amp;D11&amp;C11</f>
        <v>#N/A</v>
      </c>
      <c r="B11" s="1"/>
      <c r="C11" s="1"/>
      <c r="D11" s="155"/>
      <c r="F11" s="1"/>
      <c r="G11" s="1"/>
    </row>
    <row r="12" spans="1:7">
      <c r="A12" s="1" t="e">
        <f>VLOOKUP(B12,PLANOS!A:B,2,0)&amp;D12&amp;C12</f>
        <v>#N/A</v>
      </c>
      <c r="B12" s="1"/>
      <c r="C12" s="1"/>
      <c r="D12" s="155"/>
      <c r="F12" s="1"/>
      <c r="G12" s="1"/>
    </row>
    <row r="13" spans="1:7">
      <c r="A13" s="1" t="e">
        <f>VLOOKUP(B13,PLANOS!A:B,2,0)&amp;D13&amp;C13</f>
        <v>#N/A</v>
      </c>
      <c r="B13" s="1"/>
      <c r="C13" s="1"/>
      <c r="D13" s="155"/>
      <c r="F13" s="1"/>
      <c r="G13" s="1"/>
    </row>
    <row r="14" spans="1:7">
      <c r="A14" s="1" t="e">
        <f>VLOOKUP(B14,PLANOS!A:B,2,0)&amp;D14&amp;C14</f>
        <v>#N/A</v>
      </c>
      <c r="B14" s="1"/>
      <c r="C14" s="1"/>
      <c r="D14" s="155"/>
      <c r="F14" s="1"/>
      <c r="G14" s="1"/>
    </row>
    <row r="15" spans="1:7">
      <c r="A15" s="1" t="e">
        <f>VLOOKUP(B15,PLANOS!A:B,2,0)&amp;D15&amp;C15</f>
        <v>#N/A</v>
      </c>
      <c r="B15" s="1"/>
      <c r="C15" s="1"/>
      <c r="D15" s="155"/>
      <c r="F15" s="1"/>
      <c r="G15" s="1"/>
    </row>
    <row r="16" spans="1:7">
      <c r="A16" s="1" t="e">
        <f>VLOOKUP(B16,PLANOS!A:B,2,0)&amp;D16&amp;C16</f>
        <v>#N/A</v>
      </c>
      <c r="B16" s="1"/>
      <c r="C16" s="1"/>
      <c r="D16" s="155"/>
      <c r="F16" s="1"/>
      <c r="G16" s="1"/>
    </row>
    <row r="17" spans="1:7">
      <c r="A17" s="1" t="e">
        <f>VLOOKUP(B17,PLANOS!A:B,2,0)&amp;D17&amp;C17</f>
        <v>#N/A</v>
      </c>
      <c r="B17" s="1"/>
      <c r="C17" s="1"/>
      <c r="D17" s="155"/>
      <c r="F17" s="1"/>
      <c r="G17" s="1"/>
    </row>
    <row r="18" spans="1:7">
      <c r="A18" s="1" t="e">
        <f>VLOOKUP(B18,PLANOS!A:B,2,0)&amp;D18&amp;C18</f>
        <v>#N/A</v>
      </c>
      <c r="B18" s="1"/>
      <c r="C18" s="1"/>
      <c r="D18" s="155"/>
      <c r="F18" s="1"/>
      <c r="G18" s="1"/>
    </row>
    <row r="19" spans="1:7">
      <c r="A19" s="1" t="e">
        <f>VLOOKUP(B19,PLANOS!A:B,2,0)&amp;D19&amp;C19</f>
        <v>#N/A</v>
      </c>
      <c r="B19" s="1"/>
      <c r="C19" s="1"/>
      <c r="D19" s="155"/>
      <c r="F19" s="1"/>
      <c r="G19" s="1"/>
    </row>
    <row r="20" spans="1:7">
      <c r="A20" s="1" t="e">
        <f>VLOOKUP(B20,PLANOS!A:B,2,0)&amp;D20&amp;C20</f>
        <v>#N/A</v>
      </c>
      <c r="B20" s="1"/>
      <c r="C20" s="1"/>
      <c r="D20" s="155"/>
      <c r="F20" s="1"/>
      <c r="G20" s="1"/>
    </row>
    <row r="21" spans="1:7">
      <c r="A21" s="1" t="e">
        <f>VLOOKUP(B21,PLANOS!A:B,2,0)&amp;D21&amp;C21</f>
        <v>#N/A</v>
      </c>
      <c r="B21" s="1"/>
      <c r="C21" s="1"/>
      <c r="D21" s="155"/>
      <c r="F21" s="1"/>
      <c r="G21" s="1"/>
    </row>
    <row r="22" spans="1:7">
      <c r="A22" s="1" t="e">
        <f>VLOOKUP(B22,PLANOS!A:B,2,0)&amp;D22&amp;C22</f>
        <v>#N/A</v>
      </c>
      <c r="B22" s="1"/>
      <c r="C22" s="1"/>
      <c r="D22" s="155"/>
      <c r="F22" s="1"/>
      <c r="G22" s="1"/>
    </row>
    <row r="23" spans="1:7">
      <c r="A23" s="1" t="e">
        <f>VLOOKUP(B23,PLANOS!A:B,2,0)&amp;D23&amp;C23</f>
        <v>#N/A</v>
      </c>
      <c r="B23" s="1"/>
      <c r="C23" s="1"/>
      <c r="D23" s="155"/>
      <c r="F23" s="1"/>
      <c r="G23" s="1"/>
    </row>
    <row r="24" spans="1:7">
      <c r="A24" s="1" t="e">
        <f>VLOOKUP(B24,PLANOS!A:B,2,0)&amp;D24&amp;C24</f>
        <v>#N/A</v>
      </c>
      <c r="B24" s="1"/>
      <c r="C24" s="1"/>
      <c r="D24" s="155"/>
      <c r="F24" s="1"/>
      <c r="G24" s="1"/>
    </row>
    <row r="25" spans="1:7">
      <c r="A25" s="1" t="e">
        <f>VLOOKUP(B25,PLANOS!A:B,2,0)&amp;D25&amp;C25</f>
        <v>#N/A</v>
      </c>
      <c r="B25" s="1"/>
      <c r="C25" s="1"/>
      <c r="D25" s="155"/>
      <c r="F25" s="1"/>
      <c r="G25" s="1"/>
    </row>
    <row r="26" spans="1:7">
      <c r="A26" s="1" t="e">
        <f>VLOOKUP(B26,PLANOS!A:B,2,0)&amp;D26&amp;C26</f>
        <v>#N/A</v>
      </c>
      <c r="B26" s="1"/>
      <c r="C26" s="1"/>
      <c r="D26" s="155"/>
      <c r="F26" s="1"/>
      <c r="G26" s="1"/>
    </row>
    <row r="27" spans="1:7">
      <c r="A27" s="1" t="e">
        <f>VLOOKUP(B27,PLANOS!A:B,2,0)&amp;D27&amp;C27</f>
        <v>#N/A</v>
      </c>
      <c r="B27" s="1"/>
      <c r="C27" s="1"/>
      <c r="D27" s="155"/>
      <c r="F27" s="1"/>
      <c r="G27" s="1"/>
    </row>
    <row r="28" spans="1:7">
      <c r="A28" s="1" t="e">
        <f>VLOOKUP(B28,PLANOS!A:B,2,0)&amp;D28&amp;C28</f>
        <v>#N/A</v>
      </c>
      <c r="B28" s="1"/>
      <c r="C28" s="1"/>
      <c r="D28" s="155"/>
      <c r="F28" s="1"/>
      <c r="G28" s="1"/>
    </row>
    <row r="29" spans="1:7">
      <c r="A29" s="1" t="e">
        <f>VLOOKUP(B29,PLANOS!A:B,2,0)&amp;D29&amp;C29</f>
        <v>#N/A</v>
      </c>
      <c r="B29" s="1"/>
      <c r="C29" s="1"/>
      <c r="D29" s="155"/>
      <c r="F29" s="1"/>
      <c r="G29" s="1"/>
    </row>
    <row r="30" spans="1:7">
      <c r="A30" s="1" t="e">
        <f>VLOOKUP(B30,PLANOS!A:B,2,0)&amp;D30&amp;C30</f>
        <v>#N/A</v>
      </c>
      <c r="B30" s="1"/>
      <c r="C30" s="1"/>
      <c r="D30" s="155"/>
      <c r="F30" s="1"/>
      <c r="G30" s="1"/>
    </row>
    <row r="31" spans="1:7">
      <c r="A31" s="1" t="e">
        <f>VLOOKUP(B31,PLANOS!A:B,2,0)&amp;D31&amp;C31</f>
        <v>#N/A</v>
      </c>
      <c r="B31" s="1"/>
      <c r="C31" s="1"/>
      <c r="D31" s="155"/>
      <c r="F31" s="1"/>
      <c r="G31" s="1"/>
    </row>
    <row r="32" spans="1:7">
      <c r="A32" s="1" t="e">
        <f>VLOOKUP(B32,PLANOS!A:B,2,0)&amp;D32&amp;C32</f>
        <v>#N/A</v>
      </c>
      <c r="B32" s="1"/>
      <c r="C32" s="1"/>
      <c r="D32" s="155"/>
      <c r="F32" s="1"/>
      <c r="G32" s="1"/>
    </row>
    <row r="33" spans="1:7">
      <c r="A33" s="1" t="e">
        <f>VLOOKUP(B33,PLANOS!A:B,2,0)&amp;D33&amp;C33</f>
        <v>#N/A</v>
      </c>
      <c r="B33" s="1"/>
      <c r="C33" s="1"/>
      <c r="D33" s="155"/>
      <c r="F33" s="1"/>
      <c r="G33" s="1"/>
    </row>
    <row r="34" spans="1:7">
      <c r="A34" s="1" t="e">
        <f>VLOOKUP(B34,PLANOS!A:B,2,0)&amp;D34&amp;C34</f>
        <v>#N/A</v>
      </c>
      <c r="B34" s="1"/>
      <c r="C34" s="1"/>
      <c r="D34" s="155"/>
      <c r="F34" s="1"/>
      <c r="G34" s="1"/>
    </row>
    <row r="35" spans="1:7">
      <c r="A35" s="1" t="e">
        <f>VLOOKUP(B35,PLANOS!A:B,2,0)&amp;D35&amp;C35</f>
        <v>#N/A</v>
      </c>
      <c r="B35" s="1"/>
      <c r="C35" s="1"/>
      <c r="D35" s="155"/>
      <c r="F35" s="1"/>
      <c r="G35" s="1"/>
    </row>
    <row r="36" spans="1:7">
      <c r="A36" s="1" t="e">
        <f>VLOOKUP(B36,PLANOS!A:B,2,0)&amp;D36&amp;C36</f>
        <v>#N/A</v>
      </c>
      <c r="B36" s="1"/>
      <c r="C36" s="1"/>
      <c r="D36" s="155"/>
      <c r="F36" s="1"/>
      <c r="G36" s="1"/>
    </row>
    <row r="37" spans="1:7">
      <c r="A37" s="1" t="e">
        <f>VLOOKUP(B37,PLANOS!A:B,2,0)&amp;D37&amp;C37</f>
        <v>#N/A</v>
      </c>
      <c r="B37" s="1"/>
      <c r="C37" s="1"/>
      <c r="D37" s="155"/>
      <c r="F37" s="1"/>
      <c r="G37" s="1"/>
    </row>
    <row r="38" spans="1:7">
      <c r="A38" s="1" t="e">
        <f>VLOOKUP(B38,PLANOS!A:B,2,0)&amp;D38&amp;C38</f>
        <v>#N/A</v>
      </c>
      <c r="B38" s="1"/>
      <c r="C38" s="1"/>
      <c r="D38" s="155"/>
      <c r="F38" s="1"/>
      <c r="G38" s="1"/>
    </row>
    <row r="39" spans="1:7">
      <c r="A39" s="1" t="e">
        <f>VLOOKUP(B39,PLANOS!A:B,2,0)&amp;D39&amp;C39</f>
        <v>#N/A</v>
      </c>
      <c r="B39" s="1"/>
      <c r="C39" s="1"/>
      <c r="D39" s="155"/>
      <c r="F39" s="1"/>
      <c r="G39" s="1"/>
    </row>
    <row r="40" spans="1:7">
      <c r="A40" s="1" t="e">
        <f>VLOOKUP(B40,PLANOS!A:B,2,0)&amp;D40&amp;C40</f>
        <v>#N/A</v>
      </c>
      <c r="B40" s="1"/>
      <c r="C40" s="1"/>
      <c r="D40" s="155"/>
      <c r="F40" s="1"/>
      <c r="G40" s="1"/>
    </row>
    <row r="41" spans="1:7">
      <c r="A41" s="1" t="e">
        <f>VLOOKUP(B41,PLANOS!A:B,2,0)&amp;D41&amp;C41</f>
        <v>#N/A</v>
      </c>
      <c r="B41" s="1"/>
      <c r="C41" s="1"/>
      <c r="D41" s="155"/>
      <c r="F41" s="1"/>
      <c r="G41" s="1"/>
    </row>
    <row r="42" spans="1:7">
      <c r="A42" s="1" t="e">
        <f>VLOOKUP(B42,PLANOS!A:B,2,0)&amp;D42&amp;C42</f>
        <v>#N/A</v>
      </c>
      <c r="B42" s="1"/>
      <c r="C42" s="1"/>
      <c r="D42" s="155"/>
      <c r="F42" s="1"/>
      <c r="G42" s="1"/>
    </row>
    <row r="43" spans="1:7">
      <c r="A43" s="1" t="e">
        <f>VLOOKUP(B43,PLANOS!A:B,2,0)&amp;D43&amp;C43</f>
        <v>#N/A</v>
      </c>
      <c r="B43" s="1"/>
      <c r="C43" s="1"/>
      <c r="D43" s="155"/>
      <c r="F43" s="1"/>
      <c r="G43" s="1"/>
    </row>
    <row r="44" spans="1:7">
      <c r="A44" s="1" t="e">
        <f>VLOOKUP(B44,PLANOS!A:B,2,0)&amp;D44&amp;C44</f>
        <v>#N/A</v>
      </c>
      <c r="B44" s="1"/>
      <c r="C44" s="1"/>
      <c r="D44" s="155"/>
      <c r="F44" s="1"/>
      <c r="G44" s="1"/>
    </row>
    <row r="45" spans="1:7">
      <c r="A45" s="1" t="e">
        <f>VLOOKUP(B45,PLANOS!A:B,2,0)&amp;D45&amp;C45</f>
        <v>#N/A</v>
      </c>
      <c r="B45" s="1"/>
      <c r="C45" s="1"/>
      <c r="D45" s="155"/>
      <c r="F45" s="1"/>
      <c r="G45" s="1"/>
    </row>
    <row r="46" spans="1:7">
      <c r="A46" s="1" t="e">
        <f>VLOOKUP(B46,PLANOS!A:B,2,0)&amp;D46&amp;C46</f>
        <v>#N/A</v>
      </c>
      <c r="B46" s="1"/>
      <c r="C46" s="1"/>
      <c r="D46" s="155"/>
      <c r="F46" s="1"/>
      <c r="G46" s="1"/>
    </row>
    <row r="47" spans="1:7">
      <c r="A47" s="1" t="e">
        <f>VLOOKUP(B47,PLANOS!A:B,2,0)&amp;D47&amp;C47</f>
        <v>#N/A</v>
      </c>
      <c r="B47" s="1"/>
      <c r="C47" s="1"/>
      <c r="D47" s="155"/>
      <c r="F47" s="1"/>
      <c r="G47" s="1"/>
    </row>
    <row r="48" spans="1:7">
      <c r="A48" s="1" t="e">
        <f>VLOOKUP(B48,PLANOS!A:B,2,0)&amp;D48&amp;C48</f>
        <v>#N/A</v>
      </c>
      <c r="B48" s="1"/>
      <c r="C48" s="1"/>
      <c r="D48" s="155"/>
      <c r="F48" s="1"/>
      <c r="G48" s="1"/>
    </row>
    <row r="49" spans="1:7">
      <c r="A49" s="1" t="e">
        <f>VLOOKUP(B49,PLANOS!A:B,2,0)&amp;D49&amp;C49</f>
        <v>#N/A</v>
      </c>
      <c r="B49" s="1"/>
      <c r="C49" s="1"/>
      <c r="D49" s="155"/>
      <c r="F49" s="1"/>
      <c r="G49" s="1"/>
    </row>
    <row r="50" spans="1:7">
      <c r="A50" s="1" t="e">
        <f>VLOOKUP(B50,PLANOS!A:B,2,0)&amp;D50&amp;C50</f>
        <v>#N/A</v>
      </c>
      <c r="B50" s="1"/>
      <c r="C50" s="1"/>
      <c r="D50" s="155"/>
      <c r="F50" s="1"/>
      <c r="G50" s="1"/>
    </row>
    <row r="51" spans="1:7">
      <c r="A51" s="1" t="e">
        <f>VLOOKUP(B51,PLANOS!A:B,2,0)&amp;D51&amp;C51</f>
        <v>#N/A</v>
      </c>
      <c r="B51" s="1"/>
      <c r="C51" s="1"/>
      <c r="D51" s="155"/>
      <c r="F51" s="1"/>
      <c r="G51" s="1"/>
    </row>
    <row r="52" spans="1:7">
      <c r="A52" s="1" t="e">
        <f>VLOOKUP(B52,PLANOS!A:B,2,0)&amp;D52&amp;C52</f>
        <v>#N/A</v>
      </c>
      <c r="B52" s="1"/>
      <c r="C52" s="1"/>
      <c r="D52" s="155"/>
      <c r="F52" s="1"/>
      <c r="G52" s="1"/>
    </row>
    <row r="53" spans="1:7">
      <c r="A53" s="1" t="e">
        <f>VLOOKUP(B53,PLANOS!A:B,2,0)&amp;D53&amp;C53</f>
        <v>#N/A</v>
      </c>
      <c r="B53" s="1"/>
      <c r="C53" s="1"/>
      <c r="D53" s="155"/>
      <c r="F53" s="1"/>
      <c r="G53" s="1"/>
    </row>
    <row r="54" spans="1:7">
      <c r="A54" s="1" t="e">
        <f>VLOOKUP(B54,PLANOS!A:B,2,0)&amp;D54&amp;C54</f>
        <v>#N/A</v>
      </c>
      <c r="B54" s="1"/>
      <c r="C54" s="1"/>
      <c r="D54" s="155"/>
      <c r="F54" s="1"/>
      <c r="G54" s="1"/>
    </row>
    <row r="55" spans="1:7">
      <c r="A55" s="1" t="e">
        <f>VLOOKUP(B55,PLANOS!A:B,2,0)&amp;D55&amp;C55</f>
        <v>#N/A</v>
      </c>
      <c r="B55" s="1"/>
      <c r="C55" s="1"/>
      <c r="D55" s="155"/>
      <c r="F55" s="1"/>
      <c r="G55" s="1"/>
    </row>
    <row r="56" spans="1:7">
      <c r="A56" s="1" t="e">
        <f>VLOOKUP(B56,PLANOS!A:B,2,0)&amp;D56&amp;C56</f>
        <v>#N/A</v>
      </c>
      <c r="B56" s="1"/>
      <c r="C56" s="1"/>
      <c r="D56" s="155"/>
      <c r="F56" s="1"/>
      <c r="G56" s="1"/>
    </row>
    <row r="57" spans="1:7">
      <c r="A57" s="1" t="e">
        <f>VLOOKUP(B57,PLANOS!A:B,2,0)&amp;D57&amp;C57</f>
        <v>#N/A</v>
      </c>
      <c r="B57" s="1"/>
      <c r="C57" s="1"/>
      <c r="D57" s="155"/>
      <c r="F57" s="1"/>
      <c r="G57" s="1"/>
    </row>
    <row r="58" spans="1:7">
      <c r="A58" s="1" t="e">
        <f>VLOOKUP(B58,PLANOS!A:B,2,0)&amp;D58&amp;C58</f>
        <v>#N/A</v>
      </c>
      <c r="B58" s="1"/>
      <c r="C58" s="1"/>
      <c r="D58" s="155"/>
      <c r="F58" s="1"/>
      <c r="G58" s="1"/>
    </row>
    <row r="59" spans="1:7">
      <c r="A59" s="1" t="e">
        <f>VLOOKUP(B59,PLANOS!A:B,2,0)&amp;D59&amp;C59</f>
        <v>#N/A</v>
      </c>
      <c r="B59" s="1"/>
      <c r="C59" s="1"/>
      <c r="D59" s="155"/>
      <c r="F59" s="1"/>
      <c r="G59" s="1"/>
    </row>
    <row r="60" spans="1:7">
      <c r="A60" s="1" t="e">
        <f>VLOOKUP(B60,PLANOS!A:B,2,0)&amp;D60&amp;C60</f>
        <v>#N/A</v>
      </c>
      <c r="B60" s="1"/>
      <c r="C60" s="1"/>
      <c r="D60" s="155"/>
      <c r="F60" s="1"/>
      <c r="G60" s="1"/>
    </row>
    <row r="61" spans="1:7">
      <c r="A61" s="1" t="e">
        <f>VLOOKUP(B61,PLANOS!A:B,2,0)&amp;D61&amp;C61</f>
        <v>#N/A</v>
      </c>
      <c r="B61" s="1"/>
      <c r="C61" s="1"/>
      <c r="D61" s="155"/>
      <c r="F61" s="1"/>
      <c r="G61" s="1"/>
    </row>
    <row r="62" spans="1:7">
      <c r="A62" s="1" t="e">
        <f>VLOOKUP(B62,PLANOS!A:B,2,0)&amp;D62&amp;C62</f>
        <v>#N/A</v>
      </c>
      <c r="B62" s="1"/>
      <c r="C62" s="1"/>
      <c r="D62" s="155"/>
      <c r="F62" s="1"/>
      <c r="G62" s="1"/>
    </row>
    <row r="63" spans="1:7">
      <c r="A63" s="1" t="e">
        <f>VLOOKUP(B63,PLANOS!A:B,2,0)&amp;D63&amp;C63</f>
        <v>#N/A</v>
      </c>
      <c r="B63" s="1"/>
      <c r="C63" s="1"/>
      <c r="D63" s="155"/>
      <c r="F63" s="1"/>
      <c r="G63" s="1"/>
    </row>
    <row r="64" spans="1:7">
      <c r="A64" s="1" t="e">
        <f>VLOOKUP(B64,PLANOS!A:B,2,0)&amp;D64&amp;C64</f>
        <v>#N/A</v>
      </c>
      <c r="B64" s="1"/>
      <c r="C64" s="1"/>
      <c r="D64" s="155"/>
      <c r="F64" s="1"/>
      <c r="G64" s="1"/>
    </row>
    <row r="65" spans="1:7">
      <c r="A65" s="1" t="e">
        <f>VLOOKUP(B65,PLANOS!A:B,2,0)&amp;D65&amp;C65</f>
        <v>#N/A</v>
      </c>
      <c r="B65" s="1"/>
      <c r="C65" s="1"/>
      <c r="D65" s="155"/>
      <c r="F65" s="1"/>
      <c r="G65" s="1"/>
    </row>
    <row r="66" spans="1:7">
      <c r="A66" s="1" t="e">
        <f>VLOOKUP(B66,PLANOS!A:B,2,0)&amp;D66&amp;C66</f>
        <v>#N/A</v>
      </c>
      <c r="B66" s="1"/>
      <c r="C66" s="1"/>
      <c r="D66" s="155"/>
      <c r="F66" s="1"/>
      <c r="G66" s="1"/>
    </row>
    <row r="67" spans="1:7">
      <c r="A67" s="1" t="e">
        <f>VLOOKUP(B67,PLANOS!A:B,2,0)&amp;D67&amp;C67</f>
        <v>#N/A</v>
      </c>
      <c r="B67" s="1"/>
      <c r="C67" s="1"/>
      <c r="D67" s="155"/>
      <c r="F67" s="1"/>
      <c r="G67" s="1"/>
    </row>
    <row r="68" spans="1:7">
      <c r="A68" s="1" t="e">
        <f>VLOOKUP(B68,PLANOS!A:B,2,0)&amp;D68&amp;C68</f>
        <v>#N/A</v>
      </c>
      <c r="B68" s="1"/>
      <c r="C68" s="1"/>
      <c r="D68" s="155"/>
      <c r="F68" s="1"/>
      <c r="G68" s="1"/>
    </row>
    <row r="69" spans="1:7">
      <c r="A69" s="1" t="e">
        <f>VLOOKUP(B69,PLANOS!A:B,2,0)&amp;D69&amp;C69</f>
        <v>#N/A</v>
      </c>
      <c r="B69" s="1"/>
      <c r="C69" s="1"/>
      <c r="D69" s="155"/>
      <c r="F69" s="1"/>
      <c r="G69" s="1"/>
    </row>
    <row r="70" spans="1:7">
      <c r="A70" s="1" t="e">
        <f>VLOOKUP(B70,PLANOS!A:B,2,0)&amp;D70&amp;C70</f>
        <v>#N/A</v>
      </c>
      <c r="B70" s="1"/>
      <c r="C70" s="1"/>
      <c r="D70" s="155"/>
      <c r="F70" s="1"/>
      <c r="G70" s="1"/>
    </row>
    <row r="71" spans="1:7">
      <c r="A71" s="1" t="e">
        <f>VLOOKUP(B71,PLANOS!A:B,2,0)&amp;D71&amp;C71</f>
        <v>#N/A</v>
      </c>
      <c r="B71" s="1"/>
      <c r="C71" s="1"/>
      <c r="D71" s="155"/>
      <c r="F71" s="1"/>
      <c r="G71" s="1"/>
    </row>
    <row r="72" spans="1:7">
      <c r="A72" s="1" t="e">
        <f>VLOOKUP(B72,PLANOS!A:B,2,0)&amp;D72&amp;C72</f>
        <v>#N/A</v>
      </c>
      <c r="B72" s="1"/>
      <c r="C72" s="1"/>
      <c r="D72" s="155"/>
      <c r="F72" s="1"/>
      <c r="G72" s="1"/>
    </row>
    <row r="73" spans="1:7">
      <c r="A73" s="1" t="e">
        <f>VLOOKUP(B73,PLANOS!A:B,2,0)&amp;D73&amp;C73</f>
        <v>#N/A</v>
      </c>
      <c r="B73" s="1"/>
      <c r="C73" s="1"/>
      <c r="D73" s="155"/>
      <c r="F73" s="1"/>
      <c r="G73" s="1"/>
    </row>
    <row r="74" spans="1:7">
      <c r="A74" s="1" t="e">
        <f>VLOOKUP(B74,PLANOS!A:B,2,0)&amp;D74&amp;C74</f>
        <v>#N/A</v>
      </c>
      <c r="B74" s="1"/>
      <c r="C74" s="1"/>
      <c r="D74" s="155"/>
      <c r="F74" s="1"/>
      <c r="G74" s="1"/>
    </row>
    <row r="75" spans="1:7">
      <c r="A75" s="1" t="e">
        <f>VLOOKUP(B75,PLANOS!A:B,2,0)&amp;D75&amp;C75</f>
        <v>#N/A</v>
      </c>
      <c r="B75" s="1"/>
      <c r="C75" s="1"/>
      <c r="D75" s="155"/>
      <c r="F75" s="1"/>
      <c r="G75" s="1"/>
    </row>
    <row r="76" spans="1:7">
      <c r="A76" s="1" t="e">
        <f>VLOOKUP(B76,PLANOS!A:B,2,0)&amp;D76&amp;C76</f>
        <v>#N/A</v>
      </c>
      <c r="B76" s="1"/>
      <c r="C76" s="1"/>
      <c r="D76" s="155"/>
      <c r="F76" s="1"/>
      <c r="G76" s="1"/>
    </row>
    <row r="77" spans="1:7">
      <c r="A77" s="1" t="e">
        <f>VLOOKUP(B77,PLANOS!A:B,2,0)&amp;D77&amp;C77</f>
        <v>#N/A</v>
      </c>
      <c r="B77" s="1"/>
      <c r="C77" s="1"/>
      <c r="D77" s="155"/>
      <c r="F77" s="1"/>
      <c r="G77" s="1"/>
    </row>
    <row r="78" spans="1:7">
      <c r="A78" s="1" t="e">
        <f>VLOOKUP(B78,PLANOS!A:B,2,0)&amp;D78&amp;C78</f>
        <v>#N/A</v>
      </c>
      <c r="B78" s="1"/>
      <c r="C78" s="1"/>
      <c r="D78" s="155"/>
      <c r="F78" s="1"/>
      <c r="G78" s="1"/>
    </row>
    <row r="79" spans="1:7">
      <c r="A79" s="1" t="e">
        <f>VLOOKUP(B79,PLANOS!A:B,2,0)&amp;D79&amp;C79</f>
        <v>#N/A</v>
      </c>
      <c r="B79" s="1"/>
      <c r="C79" s="1"/>
      <c r="D79" s="155"/>
      <c r="F79" s="1"/>
      <c r="G79" s="1"/>
    </row>
    <row r="80" spans="1:7">
      <c r="A80" s="1" t="e">
        <f>VLOOKUP(B80,PLANOS!A:B,2,0)&amp;D80&amp;C80</f>
        <v>#N/A</v>
      </c>
      <c r="B80" s="1"/>
      <c r="C80" s="1"/>
      <c r="D80" s="155"/>
      <c r="F80" s="1"/>
      <c r="G80" s="1"/>
    </row>
    <row r="81" spans="1:7">
      <c r="A81" s="1" t="e">
        <f>VLOOKUP(B81,PLANOS!A:B,2,0)&amp;D81&amp;C81</f>
        <v>#N/A</v>
      </c>
      <c r="B81" s="1"/>
      <c r="C81" s="1"/>
      <c r="D81" s="155"/>
      <c r="F81" s="1"/>
      <c r="G81" s="1"/>
    </row>
    <row r="82" spans="1:7">
      <c r="A82" s="1" t="e">
        <f>VLOOKUP(B82,PLANOS!A:B,2,0)&amp;D82&amp;C82</f>
        <v>#N/A</v>
      </c>
      <c r="B82" s="1"/>
      <c r="C82" s="1"/>
      <c r="D82" s="155"/>
      <c r="F82" s="1"/>
      <c r="G82" s="1"/>
    </row>
    <row r="83" spans="1:7">
      <c r="A83" s="1" t="e">
        <f>VLOOKUP(B83,PLANOS!A:B,2,0)&amp;D83&amp;C83</f>
        <v>#N/A</v>
      </c>
      <c r="B83" s="1"/>
      <c r="C83" s="1"/>
      <c r="D83" s="155"/>
      <c r="F83" s="1"/>
      <c r="G83" s="1"/>
    </row>
    <row r="84" spans="1:7">
      <c r="A84" s="1" t="e">
        <f>VLOOKUP(B84,PLANOS!A:B,2,0)&amp;D84&amp;C84</f>
        <v>#N/A</v>
      </c>
      <c r="B84" s="1"/>
      <c r="C84" s="1"/>
      <c r="D84" s="155"/>
      <c r="F84" s="1"/>
      <c r="G84" s="1"/>
    </row>
    <row r="85" spans="1:7">
      <c r="A85" s="1" t="e">
        <f>VLOOKUP(B85,PLANOS!A:B,2,0)&amp;D85&amp;C85</f>
        <v>#N/A</v>
      </c>
      <c r="B85" s="1"/>
      <c r="C85" s="1"/>
      <c r="D85" s="155"/>
      <c r="F85" s="1"/>
      <c r="G85" s="1"/>
    </row>
    <row r="86" spans="1:7">
      <c r="A86" s="1" t="e">
        <f>VLOOKUP(B86,PLANOS!A:B,2,0)&amp;D86&amp;C86</f>
        <v>#N/A</v>
      </c>
      <c r="B86" s="1"/>
      <c r="C86" s="1"/>
      <c r="D86" s="155"/>
      <c r="F86" s="1"/>
      <c r="G86" s="1"/>
    </row>
    <row r="87" spans="1:7">
      <c r="A87" s="1" t="e">
        <f>VLOOKUP(B87,PLANOS!A:B,2,0)&amp;D87&amp;C87</f>
        <v>#N/A</v>
      </c>
      <c r="B87" s="1"/>
      <c r="C87" s="1"/>
      <c r="D87" s="155"/>
      <c r="F87" s="1"/>
      <c r="G87" s="1"/>
    </row>
    <row r="88" spans="1:7">
      <c r="A88" s="1" t="e">
        <f>VLOOKUP(B88,PLANOS!A:B,2,0)&amp;D88&amp;C88</f>
        <v>#N/A</v>
      </c>
      <c r="B88" s="1"/>
      <c r="C88" s="1"/>
      <c r="D88" s="155"/>
      <c r="F88" s="1"/>
      <c r="G88" s="1"/>
    </row>
    <row r="89" spans="1:7">
      <c r="A89" s="1" t="e">
        <f>VLOOKUP(B89,PLANOS!A:B,2,0)&amp;D89&amp;C89</f>
        <v>#N/A</v>
      </c>
      <c r="B89" s="1"/>
      <c r="C89" s="1"/>
      <c r="D89" s="155"/>
      <c r="F89" s="1"/>
      <c r="G89" s="1"/>
    </row>
    <row r="90" spans="1:7">
      <c r="A90" s="1" t="e">
        <f>VLOOKUP(B90,PLANOS!A:B,2,0)&amp;D90&amp;C90</f>
        <v>#N/A</v>
      </c>
      <c r="B90" s="1"/>
      <c r="C90" s="1"/>
      <c r="D90" s="155"/>
      <c r="F90" s="1"/>
      <c r="G90" s="1"/>
    </row>
    <row r="91" spans="1:7">
      <c r="A91" s="1" t="e">
        <f>VLOOKUP(B91,PLANOS!A:B,2,0)&amp;D91&amp;C91</f>
        <v>#N/A</v>
      </c>
      <c r="B91" s="1"/>
      <c r="C91" s="1"/>
      <c r="D91" s="155"/>
      <c r="F91" s="1"/>
      <c r="G91" s="1"/>
    </row>
    <row r="92" spans="1:7">
      <c r="A92" s="1" t="e">
        <f>VLOOKUP(B92,PLANOS!A:B,2,0)&amp;D92&amp;C92</f>
        <v>#N/A</v>
      </c>
      <c r="B92" s="1"/>
      <c r="C92" s="1"/>
      <c r="D92" s="155"/>
      <c r="F92" s="1"/>
      <c r="G92" s="1"/>
    </row>
    <row r="93" spans="1:7">
      <c r="A93" s="1" t="e">
        <f>VLOOKUP(B93,PLANOS!A:B,2,0)&amp;D93&amp;C93</f>
        <v>#N/A</v>
      </c>
      <c r="B93" s="1"/>
      <c r="C93" s="1"/>
      <c r="D93" s="155"/>
      <c r="F93" s="1"/>
      <c r="G93" s="1"/>
    </row>
    <row r="94" spans="1:7">
      <c r="A94" s="1" t="e">
        <f>VLOOKUP(B94,PLANOS!A:B,2,0)&amp;D94&amp;C94</f>
        <v>#N/A</v>
      </c>
      <c r="B94" s="1"/>
      <c r="C94" s="1"/>
      <c r="D94" s="155"/>
      <c r="F94" s="1"/>
      <c r="G94" s="1"/>
    </row>
    <row r="95" spans="1:7">
      <c r="A95" s="1" t="e">
        <f>VLOOKUP(B95,PLANOS!A:B,2,0)&amp;D95&amp;C95</f>
        <v>#N/A</v>
      </c>
      <c r="B95" s="1"/>
      <c r="C95" s="1"/>
      <c r="D95" s="155"/>
      <c r="F95" s="1"/>
      <c r="G95" s="1"/>
    </row>
    <row r="96" spans="1:7">
      <c r="A96" s="1" t="e">
        <f>VLOOKUP(B96,PLANOS!A:B,2,0)&amp;D96&amp;C96</f>
        <v>#N/A</v>
      </c>
      <c r="B96" s="1"/>
      <c r="C96" s="1"/>
      <c r="D96" s="155"/>
      <c r="F96" s="1"/>
      <c r="G96" s="1"/>
    </row>
    <row r="97" spans="1:7">
      <c r="A97" s="1" t="e">
        <f>VLOOKUP(B97,PLANOS!A:B,2,0)&amp;D97&amp;C97</f>
        <v>#N/A</v>
      </c>
      <c r="B97" s="1"/>
      <c r="C97" s="1"/>
      <c r="D97" s="155"/>
      <c r="F97" s="1"/>
      <c r="G97" s="1"/>
    </row>
    <row r="98" spans="1:7">
      <c r="A98" s="1" t="e">
        <f>VLOOKUP(B98,PLANOS!A:B,2,0)&amp;D98&amp;C98</f>
        <v>#N/A</v>
      </c>
      <c r="B98" s="1"/>
      <c r="C98" s="1"/>
      <c r="D98" s="155"/>
      <c r="F98" s="1"/>
      <c r="G98" s="1"/>
    </row>
    <row r="99" spans="1:7">
      <c r="A99" s="1" t="e">
        <f>VLOOKUP(B99,PLANOS!A:B,2,0)&amp;D99&amp;C99</f>
        <v>#N/A</v>
      </c>
      <c r="B99" s="1"/>
      <c r="C99" s="1"/>
      <c r="D99" s="155"/>
      <c r="F99" s="1"/>
      <c r="G99" s="1"/>
    </row>
    <row r="100" spans="1:7">
      <c r="A100" s="1" t="e">
        <f>VLOOKUP(B100,PLANOS!A:B,2,0)&amp;D100&amp;C100</f>
        <v>#N/A</v>
      </c>
      <c r="B100" s="1"/>
      <c r="C100" s="1"/>
      <c r="D100" s="155"/>
      <c r="F100" s="1"/>
      <c r="G100" s="1"/>
    </row>
    <row r="101" spans="1:7">
      <c r="A101" s="1" t="e">
        <f>VLOOKUP(B101,PLANOS!A:B,2,0)&amp;D101&amp;C101</f>
        <v>#N/A</v>
      </c>
      <c r="B101" s="1"/>
      <c r="C101" s="1"/>
      <c r="D101" s="155"/>
      <c r="F101" s="1"/>
      <c r="G101" s="1"/>
    </row>
    <row r="102" spans="1:7">
      <c r="A102" s="1" t="e">
        <f>VLOOKUP(B102,PLANOS!A:B,2,0)&amp;D102&amp;C102</f>
        <v>#N/A</v>
      </c>
      <c r="B102" s="1"/>
      <c r="C102" s="1"/>
      <c r="D102" s="155"/>
      <c r="F102" s="1"/>
      <c r="G102" s="1"/>
    </row>
    <row r="103" spans="1:7">
      <c r="A103" s="1" t="e">
        <f>VLOOKUP(B103,PLANOS!A:B,2,0)&amp;D103&amp;C103</f>
        <v>#N/A</v>
      </c>
      <c r="B103" s="1"/>
      <c r="C103" s="1"/>
      <c r="D103" s="155"/>
      <c r="F103" s="1"/>
      <c r="G103" s="1"/>
    </row>
    <row r="104" spans="1:7">
      <c r="A104" s="1" t="e">
        <f>VLOOKUP(B104,PLANOS!A:B,2,0)&amp;D104&amp;C104</f>
        <v>#N/A</v>
      </c>
      <c r="B104" s="1"/>
      <c r="C104" s="1"/>
      <c r="D104" s="155"/>
      <c r="F104" s="1"/>
      <c r="G104" s="1"/>
    </row>
    <row r="105" spans="1:7">
      <c r="A105" s="1" t="e">
        <f>VLOOKUP(B105,PLANOS!A:B,2,0)&amp;D105&amp;C105</f>
        <v>#N/A</v>
      </c>
      <c r="B105" s="1"/>
      <c r="C105" s="1"/>
      <c r="D105" s="155"/>
      <c r="F105" s="1"/>
      <c r="G105" s="1"/>
    </row>
    <row r="106" spans="1:7">
      <c r="A106" s="1" t="e">
        <f>VLOOKUP(B106,PLANOS!A:B,2,0)&amp;D106&amp;C106</f>
        <v>#N/A</v>
      </c>
      <c r="B106" s="1"/>
      <c r="C106" s="1"/>
      <c r="D106" s="155"/>
      <c r="F106" s="1"/>
      <c r="G106" s="1"/>
    </row>
    <row r="107" spans="1:7">
      <c r="A107" s="1" t="e">
        <f>VLOOKUP(B107,PLANOS!A:B,2,0)&amp;D107&amp;C107</f>
        <v>#N/A</v>
      </c>
      <c r="B107" s="1"/>
      <c r="C107" s="1"/>
      <c r="D107" s="155"/>
      <c r="F107" s="1"/>
      <c r="G107" s="1"/>
    </row>
    <row r="108" spans="1:7">
      <c r="A108" s="1" t="e">
        <f>VLOOKUP(B108,PLANOS!A:B,2,0)&amp;D108&amp;C108</f>
        <v>#N/A</v>
      </c>
      <c r="B108" s="1"/>
      <c r="C108" s="1"/>
      <c r="D108" s="155"/>
      <c r="F108" s="1"/>
      <c r="G108" s="1"/>
    </row>
    <row r="109" spans="1:7">
      <c r="A109" s="1" t="e">
        <f>VLOOKUP(B109,PLANOS!A:B,2,0)&amp;D109&amp;C109</f>
        <v>#N/A</v>
      </c>
      <c r="B109" s="1"/>
      <c r="C109" s="1"/>
      <c r="D109" s="155"/>
      <c r="F109" s="1"/>
      <c r="G109" s="1"/>
    </row>
    <row r="110" spans="1:7">
      <c r="A110" s="1" t="e">
        <f>VLOOKUP(B110,PLANOS!A:B,2,0)&amp;D110&amp;C110</f>
        <v>#N/A</v>
      </c>
      <c r="B110" s="1"/>
      <c r="C110" s="1"/>
      <c r="D110" s="155"/>
      <c r="F110" s="1"/>
      <c r="G110" s="1"/>
    </row>
    <row r="111" spans="1:7">
      <c r="A111" s="1" t="e">
        <f>VLOOKUP(B111,PLANOS!A:B,2,0)&amp;D111&amp;C111</f>
        <v>#N/A</v>
      </c>
      <c r="B111" s="1"/>
      <c r="C111" s="1"/>
      <c r="D111" s="155"/>
      <c r="F111" s="1"/>
      <c r="G111" s="1"/>
    </row>
    <row r="112" spans="1:7">
      <c r="A112" s="1" t="e">
        <f>VLOOKUP(B112,PLANOS!A:B,2,0)&amp;D112&amp;C112</f>
        <v>#N/A</v>
      </c>
      <c r="B112" s="1"/>
      <c r="C112" s="1"/>
      <c r="D112" s="155"/>
      <c r="F112" s="1"/>
      <c r="G112" s="1"/>
    </row>
    <row r="113" spans="1:7">
      <c r="A113" s="1" t="e">
        <f>VLOOKUP(B113,PLANOS!A:B,2,0)&amp;D113&amp;C113</f>
        <v>#N/A</v>
      </c>
      <c r="B113" s="1"/>
      <c r="C113" s="1"/>
      <c r="D113" s="155"/>
      <c r="F113" s="1"/>
      <c r="G113" s="1"/>
    </row>
    <row r="114" spans="1:7">
      <c r="A114" s="1" t="e">
        <f>VLOOKUP(B114,PLANOS!A:B,2,0)&amp;D114&amp;C114</f>
        <v>#N/A</v>
      </c>
      <c r="B114" s="1"/>
      <c r="C114" s="1"/>
      <c r="D114" s="155"/>
      <c r="F114" s="1"/>
      <c r="G114" s="1"/>
    </row>
    <row r="115" spans="1:7">
      <c r="A115" s="1" t="e">
        <f>VLOOKUP(B115,PLANOS!A:B,2,0)&amp;D115&amp;C115</f>
        <v>#N/A</v>
      </c>
      <c r="B115" s="1"/>
      <c r="C115" s="1"/>
      <c r="D115" s="155"/>
      <c r="F115" s="1"/>
      <c r="G115" s="1"/>
    </row>
    <row r="116" spans="1:7">
      <c r="A116" s="1" t="e">
        <f>VLOOKUP(B116,PLANOS!A:B,2,0)&amp;D116&amp;C116</f>
        <v>#N/A</v>
      </c>
      <c r="B116" s="1"/>
      <c r="C116" s="1"/>
      <c r="D116" s="155"/>
      <c r="F116" s="1"/>
      <c r="G116" s="1"/>
    </row>
    <row r="117" spans="1:7">
      <c r="A117" s="1" t="e">
        <f>VLOOKUP(B117,PLANOS!A:B,2,0)&amp;D117&amp;C117</f>
        <v>#N/A</v>
      </c>
      <c r="B117" s="1"/>
      <c r="C117" s="1"/>
      <c r="D117" s="155"/>
      <c r="F117" s="1"/>
      <c r="G117" s="1"/>
    </row>
    <row r="118" spans="1:7">
      <c r="A118" s="1" t="e">
        <f>VLOOKUP(B118,PLANOS!A:B,2,0)&amp;D118&amp;C118</f>
        <v>#N/A</v>
      </c>
      <c r="B118" s="1"/>
      <c r="C118" s="1"/>
      <c r="D118" s="155"/>
      <c r="F118" s="1"/>
      <c r="G118" s="1"/>
    </row>
    <row r="119" spans="1:7">
      <c r="A119" s="1" t="e">
        <f>VLOOKUP(B119,PLANOS!A:B,2,0)&amp;D119&amp;C119</f>
        <v>#N/A</v>
      </c>
      <c r="B119" s="1"/>
      <c r="C119" s="1"/>
      <c r="D119" s="155"/>
      <c r="F119" s="1"/>
      <c r="G119" s="1"/>
    </row>
    <row r="120" spans="1:7">
      <c r="A120" s="1" t="e">
        <f>VLOOKUP(B120,PLANOS!A:B,2,0)&amp;D120&amp;C120</f>
        <v>#N/A</v>
      </c>
      <c r="B120" s="1"/>
      <c r="C120" s="1"/>
      <c r="D120" s="155"/>
      <c r="F120" s="1"/>
      <c r="G120" s="1"/>
    </row>
    <row r="121" spans="1:7">
      <c r="A121" s="1" t="e">
        <f>VLOOKUP(B121,PLANOS!A:B,2,0)&amp;D121&amp;C121</f>
        <v>#N/A</v>
      </c>
      <c r="B121" s="1"/>
      <c r="C121" s="1"/>
      <c r="D121" s="155"/>
      <c r="F121" s="1"/>
      <c r="G121" s="1"/>
    </row>
    <row r="122" spans="1:7">
      <c r="A122" s="1" t="e">
        <f>VLOOKUP(B122,PLANOS!A:B,2,0)&amp;D122&amp;C122</f>
        <v>#N/A</v>
      </c>
      <c r="B122" s="1"/>
      <c r="C122" s="1"/>
      <c r="D122" s="155"/>
      <c r="F122" s="1"/>
      <c r="G122" s="1"/>
    </row>
    <row r="123" spans="1:7">
      <c r="A123" s="1" t="e">
        <f>VLOOKUP(B123,PLANOS!A:B,2,0)&amp;D123&amp;C123</f>
        <v>#N/A</v>
      </c>
      <c r="B123" s="1"/>
      <c r="C123" s="1"/>
      <c r="D123" s="155"/>
      <c r="F123" s="1"/>
      <c r="G123" s="1"/>
    </row>
    <row r="124" spans="1:7">
      <c r="A124" s="1" t="e">
        <f>VLOOKUP(B124,PLANOS!A:B,2,0)&amp;D124&amp;C124</f>
        <v>#N/A</v>
      </c>
      <c r="B124" s="1"/>
      <c r="C124" s="1"/>
      <c r="D124" s="155"/>
      <c r="F124" s="1"/>
      <c r="G124" s="1"/>
    </row>
    <row r="125" spans="1:7">
      <c r="A125" s="1" t="e">
        <f>VLOOKUP(B125,PLANOS!A:B,2,0)&amp;D125&amp;C125</f>
        <v>#N/A</v>
      </c>
      <c r="B125" s="1"/>
      <c r="C125" s="1"/>
      <c r="D125" s="155"/>
      <c r="F125" s="1"/>
      <c r="G125" s="1"/>
    </row>
    <row r="126" spans="1:7">
      <c r="A126" s="1" t="e">
        <f>VLOOKUP(B126,PLANOS!A:B,2,0)&amp;D126&amp;C126</f>
        <v>#N/A</v>
      </c>
      <c r="B126" s="1"/>
      <c r="C126" s="1"/>
      <c r="D126" s="155"/>
      <c r="F126" s="1"/>
      <c r="G126" s="1"/>
    </row>
    <row r="127" spans="1:7">
      <c r="A127" s="1" t="e">
        <f>VLOOKUP(B127,PLANOS!A:B,2,0)&amp;D127&amp;C127</f>
        <v>#N/A</v>
      </c>
      <c r="B127" s="1"/>
      <c r="C127" s="1"/>
      <c r="D127" s="155"/>
      <c r="F127" s="1"/>
      <c r="G127" s="1"/>
    </row>
    <row r="128" spans="1:7">
      <c r="A128" s="1" t="e">
        <f>VLOOKUP(B128,PLANOS!A:B,2,0)&amp;D128&amp;C128</f>
        <v>#N/A</v>
      </c>
      <c r="B128" s="1"/>
      <c r="C128" s="1"/>
      <c r="D128" s="155"/>
      <c r="F128" s="1"/>
      <c r="G128" s="1"/>
    </row>
    <row r="129" spans="1:7">
      <c r="A129" s="1" t="e">
        <f>VLOOKUP(B129,PLANOS!A:B,2,0)&amp;D129&amp;C129</f>
        <v>#N/A</v>
      </c>
      <c r="B129" s="1"/>
      <c r="C129" s="1"/>
      <c r="D129" s="155"/>
      <c r="F129" s="1"/>
      <c r="G129" s="1"/>
    </row>
    <row r="130" spans="1:7">
      <c r="A130" s="1" t="e">
        <f>VLOOKUP(B130,PLANOS!A:B,2,0)&amp;D130&amp;C130</f>
        <v>#N/A</v>
      </c>
      <c r="B130" s="1"/>
      <c r="C130" s="1"/>
      <c r="D130" s="155"/>
      <c r="F130" s="1"/>
      <c r="G130" s="1"/>
    </row>
    <row r="131" spans="1:7">
      <c r="A131" s="1" t="e">
        <f>VLOOKUP(B131,PLANOS!A:B,2,0)&amp;D131&amp;C131</f>
        <v>#N/A</v>
      </c>
      <c r="B131" s="1"/>
      <c r="C131" s="1"/>
      <c r="D131" s="155"/>
      <c r="F131" s="1"/>
      <c r="G131" s="1"/>
    </row>
    <row r="132" spans="1:7">
      <c r="A132" s="1" t="e">
        <f>VLOOKUP(B132,PLANOS!A:B,2,0)&amp;D132&amp;C132</f>
        <v>#N/A</v>
      </c>
      <c r="B132" s="1"/>
      <c r="C132" s="1"/>
      <c r="D132" s="155"/>
      <c r="F132" s="1"/>
      <c r="G132" s="1"/>
    </row>
    <row r="133" spans="1:7">
      <c r="A133" s="1" t="e">
        <f>VLOOKUP(B133,PLANOS!A:B,2,0)&amp;D133&amp;C133</f>
        <v>#N/A</v>
      </c>
      <c r="B133" s="1"/>
      <c r="C133" s="1"/>
      <c r="D133" s="155"/>
      <c r="F133" s="1"/>
      <c r="G133" s="1"/>
    </row>
    <row r="134" spans="1:7">
      <c r="A134" s="1" t="e">
        <f>VLOOKUP(B134,PLANOS!A:B,2,0)&amp;D134&amp;C134</f>
        <v>#N/A</v>
      </c>
      <c r="B134" s="1"/>
      <c r="C134" s="1"/>
      <c r="D134" s="155"/>
      <c r="F134" s="1"/>
      <c r="G134" s="1"/>
    </row>
    <row r="135" spans="1:7">
      <c r="A135" s="1" t="e">
        <f>VLOOKUP(B135,PLANOS!A:B,2,0)&amp;D135&amp;C135</f>
        <v>#N/A</v>
      </c>
      <c r="B135" s="1"/>
      <c r="C135" s="1"/>
      <c r="D135" s="155"/>
      <c r="F135" s="1"/>
      <c r="G135" s="1"/>
    </row>
    <row r="136" spans="1:7">
      <c r="A136" s="1" t="e">
        <f>VLOOKUP(B136,PLANOS!A:B,2,0)&amp;D136&amp;C136</f>
        <v>#N/A</v>
      </c>
      <c r="B136" s="1"/>
      <c r="C136" s="1"/>
      <c r="D136" s="155"/>
      <c r="F136" s="1"/>
      <c r="G136" s="1"/>
    </row>
    <row r="137" spans="1:7">
      <c r="A137" s="1" t="e">
        <f>VLOOKUP(B137,PLANOS!A:B,2,0)&amp;D137&amp;C137</f>
        <v>#N/A</v>
      </c>
      <c r="B137" s="1"/>
      <c r="C137" s="1"/>
      <c r="D137" s="155"/>
      <c r="F137" s="1"/>
      <c r="G137" s="1"/>
    </row>
    <row r="138" spans="1:7">
      <c r="A138" s="1" t="e">
        <f>VLOOKUP(B138,PLANOS!A:B,2,0)&amp;D138&amp;C138</f>
        <v>#N/A</v>
      </c>
      <c r="B138" s="1"/>
      <c r="C138" s="1"/>
      <c r="D138" s="155"/>
      <c r="F138" s="1"/>
      <c r="G138" s="1"/>
    </row>
    <row r="139" spans="1:7">
      <c r="A139" s="1" t="e">
        <f>VLOOKUP(B139,PLANOS!A:B,2,0)&amp;D139&amp;C139</f>
        <v>#N/A</v>
      </c>
      <c r="B139" s="1"/>
      <c r="C139" s="1"/>
      <c r="D139" s="155"/>
      <c r="F139" s="1"/>
      <c r="G139" s="1"/>
    </row>
    <row r="140" spans="1:7">
      <c r="A140" s="1" t="e">
        <f>VLOOKUP(B140,PLANOS!A:B,2,0)&amp;D140&amp;C140</f>
        <v>#N/A</v>
      </c>
      <c r="B140" s="1"/>
      <c r="C140" s="1"/>
      <c r="D140" s="155"/>
      <c r="F140" s="1"/>
      <c r="G140" s="1"/>
    </row>
    <row r="141" spans="1:7">
      <c r="A141" s="1" t="e">
        <f>VLOOKUP(B141,PLANOS!A:B,2,0)&amp;D141&amp;C141</f>
        <v>#N/A</v>
      </c>
      <c r="B141" s="1"/>
      <c r="C141" s="1"/>
      <c r="D141" s="155"/>
      <c r="F141" s="1"/>
      <c r="G141" s="1"/>
    </row>
    <row r="142" spans="1:7">
      <c r="A142" s="1" t="e">
        <f>VLOOKUP(B142,PLANOS!A:B,2,0)&amp;D142&amp;C142</f>
        <v>#N/A</v>
      </c>
      <c r="B142" s="1"/>
      <c r="C142" s="1"/>
      <c r="D142" s="155"/>
      <c r="F142" s="1"/>
      <c r="G142" s="1"/>
    </row>
    <row r="143" spans="1:7">
      <c r="A143" s="1" t="e">
        <f>VLOOKUP(B143,PLANOS!A:B,2,0)&amp;D143&amp;C143</f>
        <v>#N/A</v>
      </c>
      <c r="B143" s="1"/>
      <c r="C143" s="1"/>
      <c r="D143" s="155"/>
      <c r="F143" s="1"/>
      <c r="G143" s="1"/>
    </row>
    <row r="144" spans="1:7">
      <c r="A144" s="1" t="e">
        <f>VLOOKUP(B144,PLANOS!A:B,2,0)&amp;D144&amp;C144</f>
        <v>#N/A</v>
      </c>
      <c r="B144" s="1"/>
      <c r="C144" s="1"/>
      <c r="D144" s="155"/>
      <c r="F144" s="1"/>
      <c r="G144" s="1"/>
    </row>
    <row r="145" spans="1:7">
      <c r="A145" s="1" t="e">
        <f>VLOOKUP(B145,PLANOS!A:B,2,0)&amp;D145&amp;C145</f>
        <v>#N/A</v>
      </c>
      <c r="B145" s="1"/>
      <c r="C145" s="1"/>
      <c r="D145" s="155"/>
      <c r="F145" s="1"/>
      <c r="G145" s="1"/>
    </row>
    <row r="146" spans="1:7">
      <c r="A146" s="1" t="e">
        <f>VLOOKUP(B146,PLANOS!A:B,2,0)&amp;D146&amp;C146</f>
        <v>#N/A</v>
      </c>
      <c r="B146" s="1"/>
      <c r="C146" s="1"/>
      <c r="D146" s="155"/>
      <c r="F146" s="1"/>
      <c r="G146" s="1"/>
    </row>
    <row r="147" spans="1:7">
      <c r="A147" s="1" t="e">
        <f>VLOOKUP(B147,PLANOS!A:B,2,0)&amp;D147&amp;C147</f>
        <v>#N/A</v>
      </c>
      <c r="B147" s="1"/>
      <c r="C147" s="1"/>
      <c r="D147" s="155"/>
      <c r="F147" s="1"/>
      <c r="G147" s="1"/>
    </row>
    <row r="148" spans="1:7">
      <c r="A148" s="1" t="e">
        <f>VLOOKUP(B148,PLANOS!A:B,2,0)&amp;D148&amp;C148</f>
        <v>#N/A</v>
      </c>
      <c r="B148" s="1"/>
      <c r="C148" s="1"/>
      <c r="D148" s="155"/>
      <c r="F148" s="1"/>
      <c r="G148" s="1"/>
    </row>
    <row r="149" spans="1:7">
      <c r="A149" s="1" t="e">
        <f>VLOOKUP(B149,PLANOS!A:B,2,0)&amp;D149&amp;C149</f>
        <v>#N/A</v>
      </c>
      <c r="B149" s="1"/>
      <c r="C149" s="1"/>
      <c r="D149" s="155"/>
      <c r="F149" s="1"/>
      <c r="G149" s="1"/>
    </row>
    <row r="150" spans="1:7">
      <c r="A150" s="1" t="e">
        <f>VLOOKUP(B150,PLANOS!A:B,2,0)&amp;D150&amp;C150</f>
        <v>#N/A</v>
      </c>
      <c r="B150" s="1"/>
      <c r="C150" s="1"/>
      <c r="D150" s="155"/>
      <c r="F150" s="1"/>
      <c r="G150" s="1"/>
    </row>
    <row r="151" spans="1:7">
      <c r="A151" s="1" t="e">
        <f>VLOOKUP(B151,PLANOS!A:B,2,0)&amp;D151&amp;C151</f>
        <v>#N/A</v>
      </c>
      <c r="B151" s="1"/>
      <c r="C151" s="1"/>
      <c r="D151" s="155"/>
      <c r="F151" s="1"/>
      <c r="G151" s="1"/>
    </row>
    <row r="152" spans="1:7">
      <c r="A152" s="1" t="e">
        <f>VLOOKUP(B152,PLANOS!A:B,2,0)&amp;D152&amp;C152</f>
        <v>#N/A</v>
      </c>
      <c r="B152" s="1"/>
      <c r="C152" s="1"/>
      <c r="D152" s="155"/>
      <c r="F152" s="1"/>
      <c r="G152" s="1"/>
    </row>
    <row r="153" spans="1:7">
      <c r="A153" s="1" t="e">
        <f>VLOOKUP(B153,PLANOS!A:B,2,0)&amp;D153&amp;C153</f>
        <v>#N/A</v>
      </c>
      <c r="B153" s="1"/>
      <c r="C153" s="1"/>
      <c r="D153" s="155"/>
      <c r="F153" s="1"/>
      <c r="G153" s="1"/>
    </row>
    <row r="154" spans="1:7">
      <c r="A154" s="1" t="e">
        <f>VLOOKUP(B154,PLANOS!A:B,2,0)&amp;D154&amp;C154</f>
        <v>#N/A</v>
      </c>
      <c r="B154" s="1"/>
      <c r="C154" s="1"/>
      <c r="D154" s="155"/>
      <c r="F154" s="1"/>
      <c r="G154" s="1"/>
    </row>
    <row r="155" spans="1:7">
      <c r="A155" s="1" t="e">
        <f>VLOOKUP(B155,PLANOS!A:B,2,0)&amp;D155&amp;C155</f>
        <v>#N/A</v>
      </c>
      <c r="B155" s="1"/>
      <c r="C155" s="1"/>
      <c r="D155" s="155"/>
      <c r="F155" s="1"/>
      <c r="G155" s="1"/>
    </row>
    <row r="156" spans="1:7">
      <c r="A156" s="1" t="e">
        <f>VLOOKUP(B156,PLANOS!A:B,2,0)&amp;D156&amp;C156</f>
        <v>#N/A</v>
      </c>
      <c r="B156" s="1"/>
      <c r="C156" s="1"/>
      <c r="D156" s="155"/>
      <c r="F156" s="1"/>
      <c r="G156" s="1"/>
    </row>
    <row r="157" spans="1:7">
      <c r="A157" s="1" t="e">
        <f>VLOOKUP(B157,PLANOS!A:B,2,0)&amp;D157&amp;C157</f>
        <v>#N/A</v>
      </c>
      <c r="B157" s="1"/>
      <c r="C157" s="1"/>
      <c r="D157" s="155"/>
      <c r="F157" s="1"/>
      <c r="G157" s="1"/>
    </row>
    <row r="158" spans="1:7">
      <c r="A158" s="1" t="e">
        <f>VLOOKUP(B158,PLANOS!A:B,2,0)&amp;D158&amp;C158</f>
        <v>#N/A</v>
      </c>
      <c r="B158" s="1"/>
      <c r="C158" s="1"/>
      <c r="D158" s="155"/>
      <c r="F158" s="1"/>
      <c r="G158" s="1"/>
    </row>
    <row r="159" spans="1:7">
      <c r="A159" s="1" t="e">
        <f>VLOOKUP(B159,PLANOS!A:B,2,0)&amp;D159&amp;C159</f>
        <v>#N/A</v>
      </c>
      <c r="B159" s="1"/>
      <c r="C159" s="1"/>
      <c r="D159" s="155"/>
      <c r="F159" s="1"/>
      <c r="G159" s="1"/>
    </row>
    <row r="160" spans="1:7">
      <c r="A160" s="1" t="e">
        <f>VLOOKUP(B160,PLANOS!A:B,2,0)&amp;D160&amp;C160</f>
        <v>#N/A</v>
      </c>
      <c r="B160" s="1"/>
      <c r="C160" s="1"/>
      <c r="D160" s="155"/>
      <c r="F160" s="1"/>
      <c r="G160" s="1"/>
    </row>
    <row r="161" spans="1:7">
      <c r="A161" s="1" t="e">
        <f>VLOOKUP(B161,PLANOS!A:B,2,0)&amp;D161&amp;C161</f>
        <v>#N/A</v>
      </c>
      <c r="B161" s="1"/>
      <c r="C161" s="1"/>
      <c r="D161" s="155"/>
      <c r="F161" s="1"/>
      <c r="G161" s="1"/>
    </row>
    <row r="162" spans="1:7">
      <c r="A162" s="1" t="e">
        <f>VLOOKUP(B162,PLANOS!A:B,2,0)&amp;D162&amp;C162</f>
        <v>#N/A</v>
      </c>
      <c r="B162" s="1"/>
      <c r="C162" s="1"/>
      <c r="D162" s="155"/>
      <c r="F162" s="1"/>
      <c r="G162" s="1"/>
    </row>
    <row r="163" spans="1:7">
      <c r="A163" s="1" t="e">
        <f>VLOOKUP(B163,PLANOS!A:B,2,0)&amp;D163&amp;C163</f>
        <v>#N/A</v>
      </c>
      <c r="B163" s="1"/>
      <c r="C163" s="1"/>
      <c r="D163" s="155"/>
      <c r="F163" s="1"/>
      <c r="G163" s="1"/>
    </row>
    <row r="164" spans="1:7">
      <c r="A164" s="1" t="e">
        <f>VLOOKUP(B164,PLANOS!A:B,2,0)&amp;D164&amp;C164</f>
        <v>#N/A</v>
      </c>
      <c r="B164" s="1"/>
      <c r="C164" s="1"/>
      <c r="D164" s="155"/>
      <c r="F164" s="1"/>
      <c r="G164" s="1"/>
    </row>
    <row r="165" spans="1:7">
      <c r="A165" s="1" t="e">
        <f>VLOOKUP(B165,PLANOS!A:B,2,0)&amp;D165&amp;C165</f>
        <v>#N/A</v>
      </c>
      <c r="B165" s="1"/>
      <c r="C165" s="1"/>
      <c r="D165" s="155"/>
      <c r="F165" s="1"/>
      <c r="G165" s="1"/>
    </row>
    <row r="166" spans="1:7">
      <c r="A166" s="1" t="e">
        <f>VLOOKUP(B166,PLANOS!A:B,2,0)&amp;D166&amp;C166</f>
        <v>#N/A</v>
      </c>
      <c r="B166" s="1"/>
      <c r="C166" s="1"/>
      <c r="D166" s="155"/>
      <c r="F166" s="1"/>
      <c r="G166" s="1"/>
    </row>
    <row r="167" spans="1:7">
      <c r="A167" s="1" t="e">
        <f>VLOOKUP(B167,PLANOS!A:B,2,0)&amp;D167&amp;C167</f>
        <v>#N/A</v>
      </c>
      <c r="B167" s="1"/>
      <c r="C167" s="1"/>
      <c r="D167" s="155"/>
      <c r="F167" s="1"/>
      <c r="G167" s="1"/>
    </row>
    <row r="168" spans="1:7">
      <c r="A168" s="1" t="e">
        <f>VLOOKUP(B168,PLANOS!A:B,2,0)&amp;D168&amp;C168</f>
        <v>#N/A</v>
      </c>
      <c r="B168" s="1"/>
      <c r="C168" s="1"/>
      <c r="D168" s="155"/>
      <c r="F168" s="1"/>
      <c r="G168" s="1"/>
    </row>
    <row r="169" spans="1:7">
      <c r="A169" s="1" t="e">
        <f>VLOOKUP(B169,PLANOS!A:B,2,0)&amp;D169&amp;C169</f>
        <v>#N/A</v>
      </c>
      <c r="B169" s="1"/>
      <c r="C169" s="1"/>
      <c r="D169" s="155"/>
      <c r="F169" s="1"/>
      <c r="G169" s="1"/>
    </row>
    <row r="170" spans="1:7">
      <c r="A170" s="1" t="e">
        <f>VLOOKUP(B170,PLANOS!A:B,2,0)&amp;D170&amp;C170</f>
        <v>#N/A</v>
      </c>
      <c r="B170" s="1"/>
      <c r="C170" s="1"/>
      <c r="D170" s="155"/>
      <c r="F170" s="1"/>
      <c r="G170" s="1"/>
    </row>
    <row r="171" spans="1:7">
      <c r="A171" s="1" t="e">
        <f>VLOOKUP(B171,PLANOS!A:B,2,0)&amp;D171&amp;C171</f>
        <v>#N/A</v>
      </c>
      <c r="B171" s="1"/>
      <c r="C171" s="1"/>
      <c r="D171" s="155"/>
      <c r="F171" s="1"/>
      <c r="G171" s="1"/>
    </row>
    <row r="172" spans="1:7">
      <c r="A172" s="1" t="e">
        <f>VLOOKUP(B172,PLANOS!A:B,2,0)&amp;D172&amp;C172</f>
        <v>#N/A</v>
      </c>
      <c r="B172" s="1"/>
      <c r="C172" s="1"/>
      <c r="D172" s="155"/>
      <c r="F172" s="1"/>
      <c r="G172" s="1"/>
    </row>
    <row r="173" spans="1:7">
      <c r="A173" s="1" t="e">
        <f>VLOOKUP(B173,PLANOS!A:B,2,0)&amp;D173&amp;C173</f>
        <v>#N/A</v>
      </c>
      <c r="B173" s="1"/>
      <c r="C173" s="1"/>
      <c r="D173" s="155"/>
      <c r="F173" s="1"/>
      <c r="G173" s="1"/>
    </row>
    <row r="174" spans="1:7">
      <c r="A174" s="1" t="e">
        <f>VLOOKUP(B174,PLANOS!A:B,2,0)&amp;D174&amp;C174</f>
        <v>#N/A</v>
      </c>
      <c r="B174" s="1"/>
      <c r="C174" s="1"/>
      <c r="D174" s="155"/>
      <c r="F174" s="1"/>
      <c r="G174" s="1"/>
    </row>
    <row r="175" spans="1:7">
      <c r="A175" s="1" t="e">
        <f>VLOOKUP(B175,PLANOS!A:B,2,0)&amp;D175&amp;C175</f>
        <v>#N/A</v>
      </c>
      <c r="B175" s="1"/>
      <c r="C175" s="1"/>
      <c r="D175" s="155"/>
      <c r="F175" s="1"/>
      <c r="G175" s="1"/>
    </row>
    <row r="176" spans="1:7">
      <c r="A176" s="1" t="e">
        <f>VLOOKUP(B176,PLANOS!A:B,2,0)&amp;D176&amp;C176</f>
        <v>#N/A</v>
      </c>
      <c r="B176" s="1"/>
      <c r="C176" s="1"/>
      <c r="D176" s="155"/>
      <c r="F176" s="1"/>
      <c r="G176" s="1"/>
    </row>
    <row r="177" spans="1:7">
      <c r="A177" s="1" t="e">
        <f>VLOOKUP(B177,PLANOS!A:B,2,0)&amp;D177&amp;C177</f>
        <v>#N/A</v>
      </c>
      <c r="B177" s="1"/>
      <c r="C177" s="1"/>
      <c r="D177" s="155"/>
      <c r="F177" s="1"/>
      <c r="G177" s="1"/>
    </row>
    <row r="178" spans="1:7">
      <c r="A178" s="1" t="e">
        <f>VLOOKUP(B178,PLANOS!A:B,2,0)&amp;D178&amp;C178</f>
        <v>#N/A</v>
      </c>
      <c r="B178" s="1"/>
      <c r="C178" s="1"/>
      <c r="D178" s="155"/>
      <c r="F178" s="1"/>
      <c r="G178" s="1"/>
    </row>
    <row r="179" spans="1:7">
      <c r="A179" s="1" t="e">
        <f>VLOOKUP(B179,PLANOS!A:B,2,0)&amp;D179&amp;C179</f>
        <v>#N/A</v>
      </c>
      <c r="B179" s="1"/>
      <c r="C179" s="1"/>
      <c r="D179" s="155"/>
      <c r="F179" s="1"/>
      <c r="G179" s="1"/>
    </row>
    <row r="180" spans="1:7">
      <c r="A180" s="1" t="e">
        <f>VLOOKUP(B180,PLANOS!A:B,2,0)&amp;D180&amp;C180</f>
        <v>#N/A</v>
      </c>
      <c r="B180" s="1"/>
      <c r="C180" s="1"/>
      <c r="D180" s="155"/>
      <c r="F180" s="1"/>
      <c r="G180" s="1"/>
    </row>
    <row r="181" spans="1:7">
      <c r="A181" s="1" t="e">
        <f>VLOOKUP(B181,PLANOS!A:B,2,0)&amp;D181&amp;C181</f>
        <v>#N/A</v>
      </c>
      <c r="B181" s="1"/>
      <c r="C181" s="1"/>
      <c r="D181" s="155"/>
      <c r="F181" s="1"/>
      <c r="G181" s="1"/>
    </row>
    <row r="182" spans="1:7">
      <c r="A182" s="1" t="e">
        <f>VLOOKUP(B182,PLANOS!A:B,2,0)&amp;D182&amp;C182</f>
        <v>#N/A</v>
      </c>
      <c r="B182" s="1"/>
      <c r="C182" s="1"/>
      <c r="D182" s="155"/>
      <c r="F182" s="1"/>
      <c r="G182" s="1"/>
    </row>
    <row r="183" spans="1:7">
      <c r="A183" s="1" t="e">
        <f>VLOOKUP(B183,PLANOS!A:B,2,0)&amp;D183&amp;C183</f>
        <v>#N/A</v>
      </c>
      <c r="B183" s="1"/>
      <c r="C183" s="1"/>
      <c r="D183" s="155"/>
      <c r="F183" s="1"/>
      <c r="G183" s="1"/>
    </row>
    <row r="184" spans="1:7">
      <c r="A184" s="1" t="e">
        <f>VLOOKUP(B184,PLANOS!A:B,2,0)&amp;D184&amp;C184</f>
        <v>#N/A</v>
      </c>
      <c r="B184" s="1"/>
      <c r="C184" s="1"/>
      <c r="D184" s="155"/>
      <c r="F184" s="1"/>
      <c r="G184" s="1"/>
    </row>
    <row r="185" spans="1:7">
      <c r="A185" s="1" t="e">
        <f>VLOOKUP(B185,PLANOS!A:B,2,0)&amp;D185&amp;C185</f>
        <v>#N/A</v>
      </c>
      <c r="B185" s="1"/>
      <c r="C185" s="1"/>
      <c r="D185" s="155"/>
      <c r="F185" s="1"/>
      <c r="G185" s="1"/>
    </row>
    <row r="186" spans="1:7">
      <c r="A186" s="1" t="e">
        <f>VLOOKUP(B186,PLANOS!A:B,2,0)&amp;D186&amp;C186</f>
        <v>#N/A</v>
      </c>
      <c r="B186" s="1"/>
      <c r="C186" s="1"/>
      <c r="D186" s="155"/>
      <c r="F186" s="1"/>
      <c r="G186" s="1"/>
    </row>
    <row r="187" spans="1:7">
      <c r="A187" s="1" t="e">
        <f>VLOOKUP(B187,PLANOS!A:B,2,0)&amp;D187&amp;C187</f>
        <v>#N/A</v>
      </c>
      <c r="B187" s="1"/>
      <c r="C187" s="1"/>
      <c r="D187" s="155"/>
      <c r="F187" s="1"/>
      <c r="G187" s="1"/>
    </row>
    <row r="188" spans="1:7">
      <c r="A188" s="1" t="e">
        <f>VLOOKUP(B188,PLANOS!A:B,2,0)&amp;D188&amp;C188</f>
        <v>#N/A</v>
      </c>
      <c r="B188" s="1"/>
      <c r="C188" s="1"/>
      <c r="D188" s="155"/>
      <c r="F188" s="1"/>
      <c r="G188" s="1"/>
    </row>
    <row r="189" spans="1:7">
      <c r="A189" s="1" t="e">
        <f>VLOOKUP(B189,PLANOS!A:B,2,0)&amp;D189&amp;C189</f>
        <v>#N/A</v>
      </c>
      <c r="B189" s="1"/>
      <c r="C189" s="1"/>
      <c r="D189" s="155"/>
      <c r="F189" s="1"/>
      <c r="G189" s="1"/>
    </row>
    <row r="190" spans="1:7">
      <c r="A190" s="1" t="e">
        <f>VLOOKUP(B190,PLANOS!A:B,2,0)&amp;D190&amp;C190</f>
        <v>#N/A</v>
      </c>
      <c r="B190" s="1"/>
      <c r="C190" s="1"/>
      <c r="D190" s="155"/>
      <c r="F190" s="1"/>
      <c r="G190" s="1"/>
    </row>
    <row r="191" spans="1:7">
      <c r="A191" s="1" t="e">
        <f>VLOOKUP(B191,PLANOS!A:B,2,0)&amp;D191&amp;C191</f>
        <v>#N/A</v>
      </c>
      <c r="B191" s="1"/>
      <c r="C191" s="1"/>
      <c r="D191" s="155"/>
      <c r="F191" s="1"/>
      <c r="G191" s="1"/>
    </row>
    <row r="192" spans="1:7">
      <c r="A192" s="1" t="e">
        <f>VLOOKUP(B192,PLANOS!A:B,2,0)&amp;D192&amp;C192</f>
        <v>#N/A</v>
      </c>
      <c r="B192" s="1"/>
      <c r="C192" s="1"/>
      <c r="D192" s="155"/>
      <c r="F192" s="1"/>
      <c r="G192" s="1"/>
    </row>
    <row r="193" spans="1:7">
      <c r="A193" s="1" t="e">
        <f>VLOOKUP(B193,PLANOS!A:B,2,0)&amp;D193&amp;C193</f>
        <v>#N/A</v>
      </c>
      <c r="B193" s="1"/>
      <c r="C193" s="1"/>
      <c r="D193" s="155"/>
      <c r="F193" s="1"/>
      <c r="G193" s="1"/>
    </row>
    <row r="194" spans="1:7">
      <c r="A194" s="1" t="e">
        <f>VLOOKUP(B194,PLANOS!A:B,2,0)&amp;D194&amp;C194</f>
        <v>#N/A</v>
      </c>
      <c r="B194" s="1"/>
      <c r="C194" s="1"/>
      <c r="D194" s="155"/>
      <c r="F194" s="1"/>
      <c r="G194" s="1"/>
    </row>
    <row r="195" spans="1:7">
      <c r="A195" s="1" t="e">
        <f>VLOOKUP(B195,PLANOS!A:B,2,0)&amp;D195&amp;C195</f>
        <v>#N/A</v>
      </c>
      <c r="B195" s="1"/>
      <c r="C195" s="1"/>
      <c r="D195" s="155"/>
      <c r="F195" s="1"/>
      <c r="G195" s="1"/>
    </row>
    <row r="196" spans="1:7">
      <c r="A196" s="1" t="e">
        <f>VLOOKUP(B196,PLANOS!A:B,2,0)&amp;D196&amp;C196</f>
        <v>#N/A</v>
      </c>
      <c r="B196" s="1"/>
      <c r="C196" s="1"/>
      <c r="D196" s="155"/>
      <c r="F196" s="1"/>
      <c r="G196" s="1"/>
    </row>
    <row r="197" spans="1:7">
      <c r="A197" s="1" t="e">
        <f>VLOOKUP(B197,PLANOS!A:B,2,0)&amp;D197&amp;C197</f>
        <v>#N/A</v>
      </c>
      <c r="B197" s="1"/>
      <c r="C197" s="1"/>
      <c r="D197" s="155"/>
      <c r="F197" s="1"/>
      <c r="G197" s="1"/>
    </row>
    <row r="198" spans="1:7">
      <c r="A198" s="1" t="e">
        <f>VLOOKUP(B198,PLANOS!A:B,2,0)&amp;D198&amp;C198</f>
        <v>#N/A</v>
      </c>
      <c r="B198" s="1"/>
      <c r="C198" s="1"/>
      <c r="D198" s="155"/>
      <c r="F198" s="1"/>
      <c r="G198" s="1"/>
    </row>
    <row r="199" spans="1:7">
      <c r="A199" s="1" t="e">
        <f>VLOOKUP(B199,PLANOS!A:B,2,0)&amp;D199&amp;C199</f>
        <v>#N/A</v>
      </c>
      <c r="B199" s="1"/>
      <c r="C199" s="1"/>
      <c r="D199" s="155"/>
      <c r="F199" s="1"/>
      <c r="G199" s="1"/>
    </row>
    <row r="200" spans="1:7">
      <c r="A200" s="1" t="e">
        <f>VLOOKUP(B200,PLANOS!A:B,2,0)&amp;D200&amp;C200</f>
        <v>#N/A</v>
      </c>
      <c r="B200" s="1"/>
      <c r="C200" s="1"/>
      <c r="D200" s="155"/>
      <c r="F200" s="1"/>
      <c r="G200" s="1"/>
    </row>
    <row r="201" spans="1:7">
      <c r="A201" s="1" t="e">
        <f>VLOOKUP(B201,PLANOS!A:B,2,0)&amp;D201&amp;C201</f>
        <v>#N/A</v>
      </c>
      <c r="B201" s="1"/>
      <c r="C201" s="1"/>
      <c r="D201" s="155"/>
      <c r="F201" s="1"/>
      <c r="G201" s="1"/>
    </row>
    <row r="202" spans="1:7">
      <c r="A202" s="1" t="e">
        <f>VLOOKUP(B202,PLANOS!A:B,2,0)&amp;D202&amp;C202</f>
        <v>#N/A</v>
      </c>
      <c r="B202" s="1"/>
      <c r="C202" s="1"/>
      <c r="D202" s="155"/>
      <c r="F202" s="1"/>
      <c r="G202" s="1"/>
    </row>
    <row r="203" spans="1:7">
      <c r="A203" s="1" t="e">
        <f>VLOOKUP(B203,PLANOS!A:B,2,0)&amp;D203&amp;C203</f>
        <v>#N/A</v>
      </c>
      <c r="B203" s="1"/>
      <c r="C203" s="1"/>
      <c r="D203" s="155"/>
      <c r="F203" s="1"/>
      <c r="G203" s="1"/>
    </row>
    <row r="204" spans="1:7">
      <c r="A204" s="1" t="e">
        <f>VLOOKUP(B204,PLANOS!A:B,2,0)&amp;D204&amp;C204</f>
        <v>#N/A</v>
      </c>
      <c r="B204" s="1"/>
      <c r="C204" s="1"/>
      <c r="D204" s="155"/>
      <c r="F204" s="1"/>
      <c r="G204" s="1"/>
    </row>
    <row r="205" spans="1:7">
      <c r="A205" s="1" t="e">
        <f>VLOOKUP(B205,PLANOS!A:B,2,0)&amp;D205&amp;C205</f>
        <v>#N/A</v>
      </c>
      <c r="B205" s="1"/>
      <c r="C205" s="1"/>
      <c r="D205" s="155"/>
      <c r="F205" s="1"/>
      <c r="G205" s="1"/>
    </row>
    <row r="206" spans="1:7">
      <c r="A206" s="1" t="e">
        <f>VLOOKUP(B206,PLANOS!A:B,2,0)&amp;D206&amp;C206</f>
        <v>#N/A</v>
      </c>
      <c r="B206" s="1"/>
      <c r="C206" s="1"/>
      <c r="D206" s="155"/>
      <c r="F206" s="1"/>
      <c r="G206" s="1"/>
    </row>
    <row r="207" spans="1:7">
      <c r="A207" s="1" t="e">
        <f>VLOOKUP(B207,PLANOS!A:B,2,0)&amp;D207&amp;C207</f>
        <v>#N/A</v>
      </c>
      <c r="B207" s="1"/>
      <c r="C207" s="1"/>
      <c r="D207" s="155"/>
      <c r="F207" s="1"/>
      <c r="G207" s="1"/>
    </row>
    <row r="208" spans="1:7">
      <c r="A208" s="1" t="e">
        <f>VLOOKUP(B208,PLANOS!A:B,2,0)&amp;D208&amp;C208</f>
        <v>#N/A</v>
      </c>
      <c r="B208" s="1"/>
      <c r="C208" s="1"/>
      <c r="D208" s="155"/>
      <c r="F208" s="1"/>
      <c r="G208" s="1"/>
    </row>
    <row r="209" spans="1:7">
      <c r="A209" s="1" t="e">
        <f>VLOOKUP(B209,PLANOS!A:B,2,0)&amp;D209&amp;C209</f>
        <v>#N/A</v>
      </c>
      <c r="B209" s="1"/>
      <c r="C209" s="1"/>
      <c r="D209" s="155"/>
      <c r="F209" s="1"/>
      <c r="G209" s="1"/>
    </row>
    <row r="210" spans="1:7">
      <c r="A210" s="1" t="e">
        <f>VLOOKUP(B210,PLANOS!A:B,2,0)&amp;D210&amp;C210</f>
        <v>#N/A</v>
      </c>
      <c r="B210" s="1"/>
      <c r="C210" s="1"/>
      <c r="D210" s="155"/>
      <c r="F210" s="1"/>
      <c r="G210" s="1"/>
    </row>
    <row r="211" spans="1:7">
      <c r="A211" s="1" t="e">
        <f>VLOOKUP(B211,PLANOS!A:B,2,0)&amp;D211&amp;C211</f>
        <v>#N/A</v>
      </c>
      <c r="B211" s="1"/>
      <c r="C211" s="1"/>
      <c r="D211" s="155"/>
      <c r="F211" s="1"/>
      <c r="G211" s="1"/>
    </row>
    <row r="212" spans="1:7">
      <c r="A212" s="1" t="e">
        <f>VLOOKUP(B212,PLANOS!A:B,2,0)&amp;D212&amp;C212</f>
        <v>#N/A</v>
      </c>
      <c r="B212" s="1"/>
      <c r="C212" s="1"/>
      <c r="D212" s="155"/>
      <c r="F212" s="1"/>
      <c r="G212" s="1"/>
    </row>
    <row r="213" spans="1:7">
      <c r="A213" s="1" t="e">
        <f>VLOOKUP(B213,PLANOS!A:B,2,0)&amp;D213&amp;C213</f>
        <v>#N/A</v>
      </c>
      <c r="B213" s="1"/>
      <c r="C213" s="1"/>
      <c r="D213" s="155"/>
      <c r="F213" s="1"/>
      <c r="G213" s="1"/>
    </row>
    <row r="214" spans="1:7">
      <c r="A214" s="1" t="e">
        <f>VLOOKUP(B214,PLANOS!A:B,2,0)&amp;D214&amp;C214</f>
        <v>#N/A</v>
      </c>
      <c r="B214" s="1"/>
      <c r="C214" s="1"/>
      <c r="D214" s="155"/>
      <c r="F214" s="1"/>
      <c r="G214" s="1"/>
    </row>
    <row r="215" spans="1:7">
      <c r="A215" s="1" t="e">
        <f>VLOOKUP(B215,PLANOS!A:B,2,0)&amp;D215&amp;C215</f>
        <v>#N/A</v>
      </c>
      <c r="B215" s="1"/>
      <c r="C215" s="1"/>
      <c r="D215" s="155"/>
      <c r="F215" s="1"/>
      <c r="G215" s="1"/>
    </row>
    <row r="216" spans="1:7">
      <c r="A216" s="1" t="e">
        <f>VLOOKUP(B216,PLANOS!A:B,2,0)&amp;D216&amp;C216</f>
        <v>#N/A</v>
      </c>
      <c r="B216" s="1"/>
      <c r="C216" s="1"/>
      <c r="D216" s="155"/>
      <c r="F216" s="1"/>
      <c r="G216" s="1"/>
    </row>
    <row r="217" spans="1:7">
      <c r="A217" s="1" t="e">
        <f>VLOOKUP(B217,PLANOS!A:B,2,0)&amp;D217&amp;C217</f>
        <v>#N/A</v>
      </c>
      <c r="B217" s="1"/>
      <c r="C217" s="1"/>
      <c r="D217" s="155"/>
      <c r="F217" s="1"/>
      <c r="G217" s="1"/>
    </row>
    <row r="218" spans="1:7">
      <c r="A218" s="1" t="e">
        <f>VLOOKUP(B218,PLANOS!A:B,2,0)&amp;D218&amp;C218</f>
        <v>#N/A</v>
      </c>
      <c r="B218" s="1"/>
      <c r="C218" s="1"/>
      <c r="D218" s="155"/>
      <c r="F218" s="1"/>
      <c r="G218" s="1"/>
    </row>
    <row r="219" spans="1:7">
      <c r="A219" s="1" t="e">
        <f>VLOOKUP(B219,PLANOS!A:B,2,0)&amp;D219&amp;C219</f>
        <v>#N/A</v>
      </c>
      <c r="B219" s="1"/>
      <c r="C219" s="1"/>
      <c r="D219" s="155"/>
      <c r="F219" s="1"/>
      <c r="G219" s="1"/>
    </row>
    <row r="220" spans="1:7">
      <c r="A220" s="1" t="e">
        <f>VLOOKUP(B220,PLANOS!A:B,2,0)&amp;D220&amp;C220</f>
        <v>#N/A</v>
      </c>
      <c r="B220" s="1"/>
      <c r="C220" s="1"/>
      <c r="D220" s="155"/>
      <c r="F220" s="1"/>
      <c r="G220" s="1"/>
    </row>
    <row r="221" spans="1:7">
      <c r="A221" s="1" t="e">
        <f>VLOOKUP(B221,PLANOS!A:B,2,0)&amp;D221&amp;C221</f>
        <v>#N/A</v>
      </c>
      <c r="B221" s="1"/>
      <c r="C221" s="1"/>
      <c r="D221" s="155"/>
      <c r="F221" s="1"/>
      <c r="G221" s="1"/>
    </row>
    <row r="222" spans="1:7">
      <c r="A222" s="1" t="e">
        <f>VLOOKUP(B222,PLANOS!A:B,2,0)&amp;D222&amp;C222</f>
        <v>#N/A</v>
      </c>
      <c r="B222" s="1"/>
      <c r="C222" s="1"/>
      <c r="D222" s="155"/>
      <c r="F222" s="1"/>
      <c r="G222" s="1"/>
    </row>
    <row r="223" spans="1:7">
      <c r="A223" s="1" t="e">
        <f>VLOOKUP(B223,PLANOS!A:B,2,0)&amp;D223&amp;C223</f>
        <v>#N/A</v>
      </c>
      <c r="B223" s="1"/>
      <c r="C223" s="1"/>
      <c r="D223" s="155"/>
      <c r="F223" s="1"/>
      <c r="G223" s="1"/>
    </row>
    <row r="224" spans="1:7">
      <c r="A224" s="1" t="e">
        <f>VLOOKUP(B224,PLANOS!A:B,2,0)&amp;D224&amp;C224</f>
        <v>#N/A</v>
      </c>
      <c r="B224" s="1"/>
      <c r="C224" s="1"/>
      <c r="D224" s="155"/>
      <c r="F224" s="1"/>
      <c r="G224" s="1"/>
    </row>
    <row r="225" spans="1:7">
      <c r="A225" s="1" t="e">
        <f>VLOOKUP(B225,PLANOS!A:B,2,0)&amp;D225&amp;C225</f>
        <v>#N/A</v>
      </c>
      <c r="B225" s="1"/>
      <c r="C225" s="1"/>
      <c r="D225" s="155"/>
      <c r="F225" s="1"/>
      <c r="G225" s="1"/>
    </row>
    <row r="226" spans="1:7">
      <c r="A226" s="1" t="e">
        <f>VLOOKUP(B226,PLANOS!A:B,2,0)&amp;D226&amp;C226</f>
        <v>#N/A</v>
      </c>
      <c r="B226" s="1"/>
      <c r="C226" s="1"/>
      <c r="D226" s="155"/>
      <c r="F226" s="1"/>
      <c r="G226" s="1"/>
    </row>
    <row r="227" spans="1:7">
      <c r="A227" s="1" t="e">
        <f>VLOOKUP(B227,PLANOS!A:B,2,0)&amp;D227&amp;C227</f>
        <v>#N/A</v>
      </c>
      <c r="B227" s="1"/>
      <c r="C227" s="1"/>
      <c r="D227" s="155"/>
      <c r="F227" s="1"/>
      <c r="G227" s="1"/>
    </row>
    <row r="228" spans="1:7">
      <c r="A228" s="1" t="e">
        <f>VLOOKUP(B228,PLANOS!A:B,2,0)&amp;D228&amp;C228</f>
        <v>#N/A</v>
      </c>
      <c r="B228" s="1"/>
      <c r="C228" s="1"/>
      <c r="D228" s="155"/>
      <c r="F228" s="1"/>
      <c r="G228" s="1"/>
    </row>
    <row r="229" spans="1:7">
      <c r="A229" s="1" t="e">
        <f>VLOOKUP(B229,PLANOS!A:B,2,0)&amp;D229&amp;C229</f>
        <v>#N/A</v>
      </c>
      <c r="B229" s="1"/>
      <c r="C229" s="1"/>
      <c r="D229" s="155"/>
      <c r="F229" s="1"/>
      <c r="G229" s="1"/>
    </row>
    <row r="230" spans="1:7">
      <c r="A230" s="1" t="e">
        <f>VLOOKUP(B230,PLANOS!A:B,2,0)&amp;D230&amp;C230</f>
        <v>#N/A</v>
      </c>
      <c r="B230" s="1"/>
      <c r="C230" s="1"/>
      <c r="D230" s="155"/>
      <c r="F230" s="1"/>
      <c r="G230" s="1"/>
    </row>
    <row r="231" spans="1:7">
      <c r="A231" s="1" t="e">
        <f>VLOOKUP(B231,PLANOS!A:B,2,0)&amp;D231&amp;C231</f>
        <v>#N/A</v>
      </c>
      <c r="B231" s="1"/>
      <c r="C231" s="1"/>
      <c r="D231" s="155"/>
      <c r="F231" s="1"/>
      <c r="G231" s="1"/>
    </row>
    <row r="232" spans="1:7">
      <c r="A232" s="1" t="e">
        <f>VLOOKUP(B232,PLANOS!A:B,2,0)&amp;D232&amp;C232</f>
        <v>#N/A</v>
      </c>
      <c r="B232" s="1"/>
      <c r="C232" s="1"/>
      <c r="D232" s="155"/>
      <c r="F232" s="1"/>
      <c r="G232" s="1"/>
    </row>
    <row r="233" spans="1:7">
      <c r="A233" s="1" t="e">
        <f>VLOOKUP(B233,PLANOS!A:B,2,0)&amp;D233&amp;C233</f>
        <v>#N/A</v>
      </c>
      <c r="B233" s="1"/>
      <c r="C233" s="1"/>
      <c r="D233" s="155"/>
      <c r="F233" s="1"/>
      <c r="G233" s="1"/>
    </row>
    <row r="234" spans="1:7">
      <c r="A234" s="1" t="e">
        <f>VLOOKUP(B234,PLANOS!A:B,2,0)&amp;D234&amp;C234</f>
        <v>#N/A</v>
      </c>
      <c r="B234" s="1"/>
      <c r="C234" s="1"/>
      <c r="D234" s="155"/>
      <c r="F234" s="1"/>
      <c r="G234" s="1"/>
    </row>
    <row r="235" spans="1:7">
      <c r="A235" s="1" t="e">
        <f>VLOOKUP(B235,PLANOS!A:B,2,0)&amp;D235&amp;C235</f>
        <v>#N/A</v>
      </c>
      <c r="B235" s="1"/>
      <c r="C235" s="1"/>
      <c r="D235" s="155"/>
      <c r="F235" s="1"/>
      <c r="G235" s="1"/>
    </row>
    <row r="236" spans="1:7">
      <c r="A236" s="1" t="e">
        <f>VLOOKUP(B236,PLANOS!A:B,2,0)&amp;D236&amp;C236</f>
        <v>#N/A</v>
      </c>
      <c r="B236" s="1"/>
      <c r="C236" s="1"/>
      <c r="D236" s="155"/>
      <c r="F236" s="1"/>
      <c r="G236" s="1"/>
    </row>
    <row r="237" spans="1:7">
      <c r="A237" s="1" t="e">
        <f>VLOOKUP(B237,PLANOS!A:B,2,0)&amp;D237&amp;C237</f>
        <v>#N/A</v>
      </c>
      <c r="B237" s="1"/>
      <c r="C237" s="1"/>
      <c r="D237" s="155"/>
      <c r="F237" s="1"/>
      <c r="G237" s="1"/>
    </row>
    <row r="238" spans="1:7">
      <c r="A238" s="1" t="e">
        <f>VLOOKUP(B238,PLANOS!A:B,2,0)&amp;D238&amp;C238</f>
        <v>#N/A</v>
      </c>
      <c r="B238" s="1"/>
      <c r="C238" s="1"/>
      <c r="D238" s="155"/>
      <c r="F238" s="1"/>
      <c r="G238" s="1"/>
    </row>
    <row r="239" spans="1:7">
      <c r="A239" s="1" t="e">
        <f>VLOOKUP(B239,PLANOS!A:B,2,0)&amp;D239&amp;C239</f>
        <v>#N/A</v>
      </c>
      <c r="B239" s="1"/>
      <c r="C239" s="1"/>
      <c r="D239" s="155"/>
      <c r="F239" s="1"/>
      <c r="G239" s="1"/>
    </row>
    <row r="240" spans="1:7">
      <c r="A240" s="1" t="e">
        <f>VLOOKUP(B240,PLANOS!A:B,2,0)&amp;D240&amp;C240</f>
        <v>#N/A</v>
      </c>
      <c r="B240" s="1"/>
      <c r="C240" s="1"/>
      <c r="D240" s="155"/>
      <c r="F240" s="1"/>
      <c r="G240" s="1"/>
    </row>
    <row r="241" spans="1:7">
      <c r="A241" s="1" t="e">
        <f>VLOOKUP(B241,PLANOS!A:B,2,0)&amp;D241&amp;C241</f>
        <v>#N/A</v>
      </c>
      <c r="B241" s="1"/>
      <c r="C241" s="1"/>
      <c r="D241" s="155"/>
      <c r="F241" s="1"/>
      <c r="G241" s="1"/>
    </row>
    <row r="242" spans="1:7">
      <c r="A242" s="1" t="e">
        <f>VLOOKUP(B242,PLANOS!A:B,2,0)&amp;D242&amp;C242</f>
        <v>#N/A</v>
      </c>
      <c r="B242" s="1"/>
      <c r="C242" s="1"/>
      <c r="D242" s="155"/>
      <c r="F242" s="1"/>
      <c r="G242" s="1"/>
    </row>
    <row r="243" spans="1:7">
      <c r="A243" s="1" t="e">
        <f>VLOOKUP(B243,PLANOS!A:B,2,0)&amp;D243&amp;C243</f>
        <v>#N/A</v>
      </c>
      <c r="B243" s="1"/>
      <c r="C243" s="1"/>
      <c r="D243" s="155"/>
      <c r="F243" s="1"/>
      <c r="G243" s="1"/>
    </row>
    <row r="244" spans="1:7">
      <c r="A244" s="1" t="e">
        <f>VLOOKUP(B244,PLANOS!A:B,2,0)&amp;D244&amp;C244</f>
        <v>#N/A</v>
      </c>
      <c r="B244" s="1"/>
      <c r="C244" s="1"/>
      <c r="D244" s="155"/>
      <c r="F244" s="1"/>
      <c r="G244" s="1"/>
    </row>
    <row r="245" spans="1:7">
      <c r="A245" s="1" t="e">
        <f>VLOOKUP(B245,PLANOS!A:B,2,0)&amp;D245&amp;C245</f>
        <v>#N/A</v>
      </c>
      <c r="B245" s="1"/>
      <c r="C245" s="1"/>
      <c r="D245" s="155"/>
      <c r="F245" s="1"/>
      <c r="G245" s="1"/>
    </row>
    <row r="246" spans="1:7">
      <c r="A246" s="1" t="e">
        <f>VLOOKUP(B246,PLANOS!A:B,2,0)&amp;D246&amp;C246</f>
        <v>#N/A</v>
      </c>
      <c r="B246" s="1"/>
      <c r="C246" s="1"/>
      <c r="D246" s="155"/>
      <c r="F246" s="1"/>
      <c r="G246" s="1"/>
    </row>
    <row r="247" spans="1:7">
      <c r="A247" s="1" t="e">
        <f>VLOOKUP(B247,PLANOS!A:B,2,0)&amp;D247&amp;C247</f>
        <v>#N/A</v>
      </c>
      <c r="B247" s="1"/>
      <c r="C247" s="1"/>
      <c r="D247" s="155"/>
      <c r="F247" s="1"/>
      <c r="G247" s="1"/>
    </row>
    <row r="248" spans="1:7">
      <c r="A248" s="1" t="e">
        <f>VLOOKUP(B248,PLANOS!A:B,2,0)&amp;D248&amp;C248</f>
        <v>#N/A</v>
      </c>
      <c r="B248" s="1"/>
      <c r="C248" s="1"/>
      <c r="D248" s="155"/>
      <c r="F248" s="1"/>
      <c r="G248" s="1"/>
    </row>
    <row r="249" spans="1:7">
      <c r="A249" s="1" t="e">
        <f>VLOOKUP(B249,PLANOS!A:B,2,0)&amp;D249&amp;C249</f>
        <v>#N/A</v>
      </c>
      <c r="B249" s="1"/>
      <c r="C249" s="1"/>
      <c r="D249" s="155"/>
      <c r="F249" s="1"/>
      <c r="G249" s="1"/>
    </row>
    <row r="250" spans="1:7">
      <c r="A250" s="1" t="e">
        <f>VLOOKUP(B250,PLANOS!A:B,2,0)&amp;D250&amp;C250</f>
        <v>#N/A</v>
      </c>
      <c r="B250" s="1"/>
      <c r="C250" s="1"/>
      <c r="D250" s="155"/>
      <c r="F250" s="1"/>
      <c r="G250" s="1"/>
    </row>
    <row r="251" spans="1:7">
      <c r="A251" s="1" t="e">
        <f>VLOOKUP(B251,PLANOS!A:B,2,0)&amp;D251&amp;C251</f>
        <v>#N/A</v>
      </c>
      <c r="B251" s="1"/>
      <c r="C251" s="1"/>
      <c r="D251" s="155"/>
      <c r="F251" s="1"/>
      <c r="G251" s="1"/>
    </row>
    <row r="252" spans="1:7">
      <c r="A252" s="1" t="e">
        <f>VLOOKUP(B252,PLANOS!A:B,2,0)&amp;D252&amp;C252</f>
        <v>#N/A</v>
      </c>
      <c r="B252" s="1"/>
      <c r="C252" s="1"/>
      <c r="D252" s="155"/>
      <c r="F252" s="1"/>
      <c r="G252" s="1"/>
    </row>
    <row r="253" spans="1:7">
      <c r="A253" s="1" t="e">
        <f>VLOOKUP(B253,PLANOS!A:B,2,0)&amp;D253&amp;C253</f>
        <v>#N/A</v>
      </c>
      <c r="B253" s="1"/>
      <c r="C253" s="1"/>
      <c r="D253" s="155"/>
      <c r="F253" s="1"/>
      <c r="G253" s="1"/>
    </row>
    <row r="254" spans="1:7">
      <c r="A254" s="1" t="e">
        <f>VLOOKUP(B254,PLANOS!A:B,2,0)&amp;D254&amp;C254</f>
        <v>#N/A</v>
      </c>
      <c r="B254" s="1"/>
      <c r="C254" s="1"/>
      <c r="D254" s="155"/>
      <c r="F254" s="1"/>
      <c r="G254" s="1"/>
    </row>
    <row r="255" spans="1:7">
      <c r="A255" s="1" t="e">
        <f>VLOOKUP(B255,PLANOS!A:B,2,0)&amp;D255&amp;C255</f>
        <v>#N/A</v>
      </c>
      <c r="B255" s="1"/>
      <c r="C255" s="1"/>
      <c r="D255" s="155"/>
      <c r="F255" s="1"/>
      <c r="G255" s="1"/>
    </row>
    <row r="256" spans="1:7">
      <c r="A256" s="1" t="e">
        <f>VLOOKUP(B256,PLANOS!A:B,2,0)&amp;D256&amp;C256</f>
        <v>#N/A</v>
      </c>
      <c r="B256" s="1"/>
      <c r="C256" s="1"/>
      <c r="D256" s="155"/>
      <c r="F256" s="1"/>
      <c r="G256" s="1"/>
    </row>
    <row r="257" spans="1:7">
      <c r="A257" s="1" t="e">
        <f>VLOOKUP(B257,PLANOS!A:B,2,0)&amp;D257&amp;C257</f>
        <v>#N/A</v>
      </c>
      <c r="B257" s="1"/>
      <c r="C257" s="1"/>
      <c r="D257" s="155"/>
      <c r="F257" s="1"/>
      <c r="G257" s="1"/>
    </row>
    <row r="258" spans="1:7">
      <c r="A258" s="1" t="e">
        <f>VLOOKUP(B258,PLANOS!A:B,2,0)&amp;D258&amp;C258</f>
        <v>#N/A</v>
      </c>
      <c r="B258" s="1"/>
      <c r="C258" s="1"/>
      <c r="D258" s="155"/>
      <c r="F258" s="1"/>
      <c r="G258" s="1"/>
    </row>
    <row r="259" spans="1:7">
      <c r="A259" s="1" t="e">
        <f>VLOOKUP(B259,PLANOS!A:B,2,0)&amp;D259&amp;C259</f>
        <v>#N/A</v>
      </c>
      <c r="B259" s="1"/>
      <c r="C259" s="1"/>
      <c r="D259" s="155"/>
      <c r="F259" s="1"/>
      <c r="G259" s="1"/>
    </row>
    <row r="260" spans="1:7">
      <c r="A260" s="1" t="e">
        <f>VLOOKUP(B260,PLANOS!A:B,2,0)&amp;D260&amp;C260</f>
        <v>#N/A</v>
      </c>
      <c r="B260" s="1"/>
      <c r="C260" s="1"/>
      <c r="D260" s="155"/>
      <c r="F260" s="1"/>
      <c r="G260" s="1"/>
    </row>
    <row r="261" spans="1:7">
      <c r="A261" s="1" t="e">
        <f>VLOOKUP(B261,PLANOS!A:B,2,0)&amp;D261&amp;C261</f>
        <v>#N/A</v>
      </c>
      <c r="B261" s="1"/>
      <c r="C261" s="1"/>
      <c r="D261" s="155"/>
      <c r="F261" s="1"/>
      <c r="G261" s="1"/>
    </row>
    <row r="262" spans="1:7">
      <c r="A262" s="1" t="e">
        <f>VLOOKUP(B262,PLANOS!A:B,2,0)&amp;D262&amp;C262</f>
        <v>#N/A</v>
      </c>
      <c r="B262" s="1"/>
      <c r="C262" s="1"/>
      <c r="D262" s="155"/>
      <c r="F262" s="1"/>
      <c r="G262" s="1"/>
    </row>
    <row r="263" spans="1:7">
      <c r="A263" s="1" t="e">
        <f>VLOOKUP(B263,PLANOS!A:B,2,0)&amp;D263&amp;C263</f>
        <v>#N/A</v>
      </c>
      <c r="B263" s="1"/>
      <c r="C263" s="1"/>
      <c r="D263" s="155"/>
      <c r="F263" s="1"/>
      <c r="G263" s="1"/>
    </row>
    <row r="264" spans="1:7">
      <c r="A264" s="1" t="e">
        <f>VLOOKUP(B264,PLANOS!A:B,2,0)&amp;D264&amp;C264</f>
        <v>#N/A</v>
      </c>
      <c r="B264" s="1"/>
      <c r="C264" s="1"/>
      <c r="D264" s="155"/>
      <c r="F264" s="1"/>
      <c r="G264" s="1"/>
    </row>
    <row r="265" spans="1:7">
      <c r="A265" s="1" t="e">
        <f>VLOOKUP(B265,PLANOS!A:B,2,0)&amp;D265&amp;C265</f>
        <v>#N/A</v>
      </c>
      <c r="B265" s="1"/>
      <c r="C265" s="1"/>
      <c r="D265" s="155"/>
      <c r="F265" s="1"/>
      <c r="G265" s="1"/>
    </row>
    <row r="266" spans="1:7">
      <c r="A266" s="1" t="e">
        <f>VLOOKUP(B266,PLANOS!A:B,2,0)&amp;D266&amp;C266</f>
        <v>#N/A</v>
      </c>
      <c r="B266" s="1"/>
      <c r="C266" s="1"/>
      <c r="D266" s="155"/>
      <c r="F266" s="1"/>
      <c r="G266" s="1"/>
    </row>
    <row r="267" spans="1:7">
      <c r="A267" s="1" t="e">
        <f>VLOOKUP(B267,PLANOS!A:B,2,0)&amp;D267&amp;C267</f>
        <v>#N/A</v>
      </c>
      <c r="B267" s="1"/>
      <c r="C267" s="1"/>
      <c r="D267" s="155"/>
      <c r="F267" s="1"/>
      <c r="G267" s="1"/>
    </row>
    <row r="268" spans="1:7">
      <c r="A268" s="1" t="e">
        <f>VLOOKUP(B268,PLANOS!A:B,2,0)&amp;D268&amp;C268</f>
        <v>#N/A</v>
      </c>
      <c r="B268" s="1"/>
      <c r="C268" s="1"/>
      <c r="D268" s="155"/>
      <c r="F268" s="1"/>
      <c r="G268" s="1"/>
    </row>
    <row r="269" spans="1:7">
      <c r="A269" s="1" t="e">
        <f>VLOOKUP(B269,PLANOS!A:B,2,0)&amp;D269&amp;C269</f>
        <v>#N/A</v>
      </c>
      <c r="B269" s="1"/>
      <c r="C269" s="1"/>
      <c r="D269" s="155"/>
      <c r="F269" s="1"/>
      <c r="G269" s="1"/>
    </row>
    <row r="270" spans="1:7">
      <c r="A270" s="1" t="e">
        <f>VLOOKUP(B270,PLANOS!A:B,2,0)&amp;D270&amp;C270</f>
        <v>#N/A</v>
      </c>
      <c r="B270" s="1"/>
      <c r="C270" s="1"/>
      <c r="D270" s="155"/>
      <c r="F270" s="1"/>
      <c r="G270" s="1"/>
    </row>
    <row r="271" spans="1:7">
      <c r="A271" s="1" t="e">
        <f>VLOOKUP(B271,PLANOS!A:B,2,0)&amp;D271&amp;C271</f>
        <v>#N/A</v>
      </c>
      <c r="B271" s="1"/>
      <c r="C271" s="1"/>
      <c r="D271" s="155"/>
      <c r="F271" s="1"/>
      <c r="G271" s="1"/>
    </row>
    <row r="272" spans="1:7">
      <c r="A272" s="1" t="e">
        <f>VLOOKUP(B272,PLANOS!A:B,2,0)&amp;D272&amp;C272</f>
        <v>#N/A</v>
      </c>
      <c r="B272" s="1"/>
      <c r="C272" s="1"/>
      <c r="D272" s="155"/>
      <c r="F272" s="1"/>
      <c r="G272" s="1"/>
    </row>
    <row r="273" spans="1:7">
      <c r="A273" s="1" t="e">
        <f>VLOOKUP(B273,PLANOS!A:B,2,0)&amp;D273&amp;C273</f>
        <v>#N/A</v>
      </c>
      <c r="B273" s="1"/>
      <c r="C273" s="1"/>
      <c r="D273" s="155"/>
      <c r="F273" s="1"/>
      <c r="G273" s="1"/>
    </row>
    <row r="274" spans="1:7">
      <c r="A274" s="1" t="e">
        <f>VLOOKUP(B274,PLANOS!A:B,2,0)&amp;D274&amp;C274</f>
        <v>#N/A</v>
      </c>
      <c r="B274" s="1"/>
      <c r="C274" s="1"/>
      <c r="D274" s="155"/>
      <c r="F274" s="1"/>
      <c r="G274" s="1"/>
    </row>
    <row r="275" spans="1:7">
      <c r="A275" s="1" t="e">
        <f>VLOOKUP(B275,PLANOS!A:B,2,0)&amp;D275&amp;C275</f>
        <v>#N/A</v>
      </c>
      <c r="B275" s="1"/>
      <c r="C275" s="1"/>
      <c r="D275" s="155"/>
      <c r="F275" s="1"/>
      <c r="G275" s="1"/>
    </row>
    <row r="276" spans="1:7">
      <c r="A276" s="1" t="e">
        <f>VLOOKUP(B276,PLANOS!A:B,2,0)&amp;D276&amp;C276</f>
        <v>#N/A</v>
      </c>
      <c r="B276" s="1"/>
      <c r="C276" s="1"/>
      <c r="D276" s="155"/>
      <c r="F276" s="1"/>
      <c r="G276" s="1"/>
    </row>
    <row r="277" spans="1:7">
      <c r="A277" s="1" t="e">
        <f>VLOOKUP(B277,PLANOS!A:B,2,0)&amp;D277&amp;C277</f>
        <v>#N/A</v>
      </c>
      <c r="B277" s="1"/>
      <c r="C277" s="1"/>
      <c r="D277" s="155"/>
      <c r="F277" s="1"/>
      <c r="G277" s="1"/>
    </row>
    <row r="278" spans="1:7">
      <c r="A278" s="1" t="e">
        <f>VLOOKUP(B278,PLANOS!A:B,2,0)&amp;D278&amp;C278</f>
        <v>#N/A</v>
      </c>
      <c r="B278" s="1"/>
      <c r="C278" s="1"/>
      <c r="D278" s="155"/>
      <c r="F278" s="1"/>
      <c r="G278" s="1"/>
    </row>
    <row r="279" spans="1:7">
      <c r="A279" s="1" t="e">
        <f>VLOOKUP(B279,PLANOS!A:B,2,0)&amp;D279&amp;C279</f>
        <v>#N/A</v>
      </c>
      <c r="B279" s="1"/>
      <c r="C279" s="1"/>
      <c r="D279" s="155"/>
      <c r="F279" s="1"/>
      <c r="G279" s="1"/>
    </row>
    <row r="280" spans="1:7">
      <c r="A280" s="1" t="e">
        <f>VLOOKUP(B280,PLANOS!A:B,2,0)&amp;D280&amp;C280</f>
        <v>#N/A</v>
      </c>
      <c r="B280" s="1"/>
      <c r="C280" s="1"/>
      <c r="D280" s="155"/>
      <c r="F280" s="1"/>
      <c r="G280" s="1"/>
    </row>
    <row r="281" spans="1:7">
      <c r="A281" s="1" t="e">
        <f>VLOOKUP(B281,PLANOS!A:B,2,0)&amp;D281&amp;C281</f>
        <v>#N/A</v>
      </c>
      <c r="B281" s="1"/>
      <c r="C281" s="1"/>
      <c r="D281" s="155"/>
      <c r="F281" s="1"/>
      <c r="G281" s="1"/>
    </row>
    <row r="282" spans="1:7">
      <c r="A282" s="1" t="e">
        <f>VLOOKUP(B282,PLANOS!A:B,2,0)&amp;D282&amp;C282</f>
        <v>#N/A</v>
      </c>
      <c r="B282" s="1"/>
      <c r="C282" s="1"/>
      <c r="D282" s="155"/>
      <c r="F282" s="1"/>
      <c r="G282" s="1"/>
    </row>
    <row r="283" spans="1:7">
      <c r="A283" s="1" t="e">
        <f>VLOOKUP(B283,PLANOS!A:B,2,0)&amp;D283&amp;C283</f>
        <v>#N/A</v>
      </c>
      <c r="B283" s="1"/>
      <c r="C283" s="1"/>
      <c r="D283" s="155"/>
      <c r="F283" s="1"/>
      <c r="G283" s="1"/>
    </row>
    <row r="284" spans="1:7">
      <c r="A284" s="1" t="e">
        <f>VLOOKUP(B284,PLANOS!A:B,2,0)&amp;D284&amp;C284</f>
        <v>#N/A</v>
      </c>
      <c r="B284" s="1"/>
      <c r="C284" s="1"/>
      <c r="D284" s="155"/>
      <c r="F284" s="1"/>
      <c r="G284" s="1"/>
    </row>
    <row r="285" spans="1:7">
      <c r="A285" s="1" t="e">
        <f>VLOOKUP(B285,PLANOS!A:B,2,0)&amp;D285&amp;C285</f>
        <v>#N/A</v>
      </c>
      <c r="B285" s="1"/>
      <c r="C285" s="1"/>
      <c r="D285" s="155"/>
      <c r="F285" s="1"/>
      <c r="G285" s="1"/>
    </row>
    <row r="286" spans="1:7">
      <c r="A286" s="1" t="e">
        <f>VLOOKUP(B286,PLANOS!A:B,2,0)&amp;D286&amp;C286</f>
        <v>#N/A</v>
      </c>
      <c r="B286" s="1"/>
      <c r="C286" s="1"/>
      <c r="D286" s="155"/>
      <c r="F286" s="1"/>
      <c r="G286" s="1"/>
    </row>
    <row r="287" spans="1:7">
      <c r="A287" s="1" t="e">
        <f>VLOOKUP(B287,PLANOS!A:B,2,0)&amp;D287&amp;C287</f>
        <v>#N/A</v>
      </c>
      <c r="B287" s="1"/>
      <c r="C287" s="1"/>
      <c r="D287" s="155"/>
      <c r="F287" s="1"/>
      <c r="G287" s="1"/>
    </row>
    <row r="288" spans="1:7">
      <c r="A288" s="1" t="e">
        <f>VLOOKUP(B288,PLANOS!A:B,2,0)&amp;D288&amp;C288</f>
        <v>#N/A</v>
      </c>
      <c r="B288" s="1"/>
      <c r="C288" s="1"/>
      <c r="D288" s="155"/>
      <c r="F288" s="1"/>
      <c r="G288" s="1"/>
    </row>
    <row r="289" spans="1:7">
      <c r="A289" s="1" t="e">
        <f>VLOOKUP(B289,PLANOS!A:B,2,0)&amp;D289&amp;C289</f>
        <v>#N/A</v>
      </c>
      <c r="B289" s="1"/>
      <c r="C289" s="1"/>
      <c r="D289" s="155"/>
      <c r="F289" s="1"/>
      <c r="G289" s="1"/>
    </row>
    <row r="290" spans="1:7">
      <c r="A290" s="1" t="e">
        <f>VLOOKUP(B290,PLANOS!A:B,2,0)&amp;D290&amp;C290</f>
        <v>#N/A</v>
      </c>
      <c r="B290" s="1"/>
      <c r="C290" s="1"/>
      <c r="D290" s="155"/>
      <c r="F290" s="1"/>
      <c r="G290" s="1"/>
    </row>
    <row r="291" spans="1:7">
      <c r="A291" s="1" t="e">
        <f>VLOOKUP(B291,PLANOS!A:B,2,0)&amp;D291&amp;C291</f>
        <v>#N/A</v>
      </c>
      <c r="B291" s="1"/>
      <c r="C291" s="1"/>
      <c r="D291" s="155"/>
      <c r="F291" s="1"/>
      <c r="G291" s="1"/>
    </row>
    <row r="292" spans="1:7">
      <c r="A292" s="1" t="e">
        <f>VLOOKUP(B292,PLANOS!A:B,2,0)&amp;D292&amp;C292</f>
        <v>#N/A</v>
      </c>
      <c r="B292" s="1"/>
      <c r="C292" s="1"/>
      <c r="D292" s="155"/>
      <c r="F292" s="1"/>
      <c r="G292" s="1"/>
    </row>
    <row r="293" spans="1:7">
      <c r="A293" s="1" t="e">
        <f>VLOOKUP(B293,PLANOS!A:B,2,0)&amp;D293&amp;C293</f>
        <v>#N/A</v>
      </c>
      <c r="B293" s="1"/>
      <c r="C293" s="1"/>
      <c r="D293" s="155"/>
      <c r="F293" s="1"/>
      <c r="G293" s="1"/>
    </row>
    <row r="294" spans="1:7">
      <c r="A294" s="1" t="e">
        <f>VLOOKUP(B294,PLANOS!A:B,2,0)&amp;D294&amp;C294</f>
        <v>#N/A</v>
      </c>
      <c r="B294" s="1"/>
      <c r="C294" s="1"/>
      <c r="D294" s="155"/>
      <c r="F294" s="1"/>
      <c r="G294" s="1"/>
    </row>
    <row r="295" spans="1:7">
      <c r="A295" s="1" t="e">
        <f>VLOOKUP(B295,PLANOS!A:B,2,0)&amp;D295&amp;C295</f>
        <v>#N/A</v>
      </c>
      <c r="B295" s="1"/>
      <c r="C295" s="1"/>
      <c r="D295" s="155"/>
      <c r="F295" s="1"/>
      <c r="G295" s="1"/>
    </row>
    <row r="296" spans="1:7">
      <c r="A296" s="1" t="e">
        <f>VLOOKUP(B296,PLANOS!A:B,2,0)&amp;D296&amp;C296</f>
        <v>#N/A</v>
      </c>
      <c r="B296" s="1"/>
      <c r="C296" s="1"/>
      <c r="D296" s="155"/>
      <c r="F296" s="1"/>
      <c r="G296" s="1"/>
    </row>
    <row r="297" spans="1:7">
      <c r="A297" s="1" t="e">
        <f>VLOOKUP(B297,PLANOS!A:B,2,0)&amp;D297&amp;C297</f>
        <v>#N/A</v>
      </c>
      <c r="B297" s="1"/>
      <c r="C297" s="1"/>
      <c r="D297" s="155"/>
      <c r="F297" s="1"/>
      <c r="G297" s="1"/>
    </row>
    <row r="298" spans="1:7">
      <c r="A298" s="1" t="e">
        <f>VLOOKUP(B298,PLANOS!A:B,2,0)&amp;D298&amp;C298</f>
        <v>#N/A</v>
      </c>
      <c r="B298" s="1"/>
      <c r="C298" s="1"/>
      <c r="D298" s="155"/>
      <c r="F298" s="1"/>
      <c r="G298" s="1"/>
    </row>
    <row r="299" spans="1:7">
      <c r="A299" s="1" t="e">
        <f>VLOOKUP(B299,PLANOS!A:B,2,0)&amp;D299&amp;C299</f>
        <v>#N/A</v>
      </c>
      <c r="B299" s="1"/>
      <c r="C299" s="1"/>
      <c r="D299" s="155"/>
      <c r="F299" s="1"/>
      <c r="G299" s="1"/>
    </row>
    <row r="300" spans="1:7">
      <c r="A300" s="1" t="e">
        <f>VLOOKUP(B300,PLANOS!A:B,2,0)&amp;D300&amp;C300</f>
        <v>#N/A</v>
      </c>
      <c r="B300" s="1"/>
      <c r="C300" s="1"/>
      <c r="D300" s="155"/>
      <c r="F300" s="1"/>
      <c r="G300" s="1"/>
    </row>
    <row r="301" spans="1:7">
      <c r="A301" s="1" t="e">
        <f>VLOOKUP(B301,PLANOS!A:B,2,0)&amp;D301&amp;C301</f>
        <v>#N/A</v>
      </c>
      <c r="B301" s="1"/>
      <c r="C301" s="1"/>
      <c r="D301" s="155"/>
      <c r="F301" s="1"/>
      <c r="G301" s="1"/>
    </row>
    <row r="302" spans="1:7">
      <c r="A302" s="1" t="e">
        <f>VLOOKUP(B302,PLANOS!A:B,2,0)&amp;D302&amp;C302</f>
        <v>#N/A</v>
      </c>
      <c r="B302" s="1"/>
      <c r="C302" s="1"/>
      <c r="D302" s="155"/>
      <c r="F302" s="1"/>
      <c r="G302" s="1"/>
    </row>
    <row r="303" spans="1:7">
      <c r="A303" s="1" t="e">
        <f>VLOOKUP(B303,PLANOS!A:B,2,0)&amp;D303&amp;C303</f>
        <v>#N/A</v>
      </c>
      <c r="B303" s="1"/>
      <c r="C303" s="1"/>
      <c r="D303" s="155"/>
      <c r="F303" s="1"/>
      <c r="G303" s="1"/>
    </row>
    <row r="304" spans="1:7">
      <c r="A304" s="1" t="e">
        <f>VLOOKUP(B304,PLANOS!A:B,2,0)&amp;D304&amp;C304</f>
        <v>#N/A</v>
      </c>
      <c r="B304" s="1"/>
      <c r="C304" s="1"/>
      <c r="D304" s="155"/>
      <c r="F304" s="1"/>
      <c r="G304" s="1"/>
    </row>
    <row r="305" spans="1:7">
      <c r="A305" s="1" t="e">
        <f>VLOOKUP(B305,PLANOS!A:B,2,0)&amp;D305&amp;C305</f>
        <v>#N/A</v>
      </c>
      <c r="B305" s="1"/>
      <c r="C305" s="1"/>
      <c r="D305" s="155"/>
      <c r="F305" s="1"/>
      <c r="G305" s="1"/>
    </row>
    <row r="306" spans="1:7">
      <c r="A306" s="1" t="e">
        <f>VLOOKUP(B306,PLANOS!A:B,2,0)&amp;D306&amp;C306</f>
        <v>#N/A</v>
      </c>
      <c r="B306" s="1"/>
      <c r="C306" s="1"/>
      <c r="D306" s="155"/>
      <c r="F306" s="1"/>
      <c r="G306" s="1"/>
    </row>
    <row r="307" spans="1:7">
      <c r="A307" s="1" t="e">
        <f>VLOOKUP(B307,PLANOS!A:B,2,0)&amp;D307&amp;C307</f>
        <v>#N/A</v>
      </c>
      <c r="B307" s="1"/>
      <c r="C307" s="1"/>
      <c r="D307" s="155"/>
      <c r="F307" s="1"/>
      <c r="G307" s="1"/>
    </row>
    <row r="308" spans="1:7">
      <c r="A308" s="1" t="e">
        <f>VLOOKUP(B308,PLANOS!A:B,2,0)&amp;D308&amp;C308</f>
        <v>#N/A</v>
      </c>
      <c r="B308" s="1"/>
      <c r="C308" s="1"/>
      <c r="D308" s="155"/>
      <c r="F308" s="1"/>
      <c r="G308" s="1"/>
    </row>
    <row r="309" spans="1:7">
      <c r="A309" s="1" t="e">
        <f>VLOOKUP(B309,PLANOS!A:B,2,0)&amp;D309&amp;C309</f>
        <v>#N/A</v>
      </c>
      <c r="B309" s="1"/>
      <c r="C309" s="1"/>
      <c r="D309" s="155"/>
      <c r="F309" s="1"/>
      <c r="G309" s="1"/>
    </row>
    <row r="310" spans="1:7">
      <c r="A310" s="1" t="e">
        <f>VLOOKUP(B310,PLANOS!A:B,2,0)&amp;D310&amp;C310</f>
        <v>#N/A</v>
      </c>
      <c r="B310" s="1"/>
      <c r="C310" s="1"/>
      <c r="D310" s="155"/>
      <c r="F310" s="1"/>
      <c r="G310" s="1"/>
    </row>
    <row r="311" spans="1:7">
      <c r="A311" s="1" t="e">
        <f>VLOOKUP(B311,PLANOS!A:B,2,0)&amp;D311&amp;C311</f>
        <v>#N/A</v>
      </c>
      <c r="B311" s="1"/>
      <c r="C311" s="1"/>
      <c r="D311" s="155"/>
      <c r="F311" s="1"/>
      <c r="G311" s="1"/>
    </row>
    <row r="312" spans="1:7">
      <c r="A312" s="1" t="e">
        <f>VLOOKUP(B312,PLANOS!A:B,2,0)&amp;D312&amp;C312</f>
        <v>#N/A</v>
      </c>
      <c r="B312" s="1"/>
      <c r="C312" s="1"/>
      <c r="D312" s="155"/>
      <c r="F312" s="1"/>
      <c r="G312" s="1"/>
    </row>
    <row r="313" spans="1:7">
      <c r="A313" s="1" t="e">
        <f>VLOOKUP(B313,PLANOS!A:B,2,0)&amp;D313&amp;C313</f>
        <v>#N/A</v>
      </c>
      <c r="B313" s="1"/>
      <c r="C313" s="1"/>
      <c r="D313" s="155"/>
      <c r="F313" s="1"/>
      <c r="G313" s="1"/>
    </row>
    <row r="314" spans="1:7">
      <c r="A314" s="1" t="e">
        <f>VLOOKUP(B314,PLANOS!A:B,2,0)&amp;D314&amp;C314</f>
        <v>#N/A</v>
      </c>
      <c r="B314" s="1"/>
      <c r="C314" s="1"/>
      <c r="D314" s="155"/>
      <c r="F314" s="1"/>
      <c r="G314" s="1"/>
    </row>
    <row r="315" spans="1:7">
      <c r="A315" s="1" t="e">
        <f>VLOOKUP(B315,PLANOS!A:B,2,0)&amp;D315&amp;C315</f>
        <v>#N/A</v>
      </c>
      <c r="B315" s="1"/>
      <c r="C315" s="1"/>
      <c r="D315" s="155"/>
      <c r="F315" s="1"/>
      <c r="G315" s="1"/>
    </row>
    <row r="316" spans="1:7">
      <c r="A316" s="1" t="e">
        <f>VLOOKUP(B316,PLANOS!A:B,2,0)&amp;D316&amp;C316</f>
        <v>#N/A</v>
      </c>
      <c r="B316" s="1"/>
      <c r="C316" s="1"/>
      <c r="D316" s="155"/>
      <c r="F316" s="1"/>
      <c r="G316" s="1"/>
    </row>
    <row r="317" spans="1:7">
      <c r="A317" s="1" t="e">
        <f>VLOOKUP(B317,PLANOS!A:B,2,0)&amp;D317&amp;C317</f>
        <v>#N/A</v>
      </c>
      <c r="B317" s="1"/>
      <c r="C317" s="1"/>
      <c r="D317" s="155"/>
      <c r="F317" s="1"/>
      <c r="G317" s="1"/>
    </row>
    <row r="318" spans="1:7">
      <c r="A318" s="1" t="e">
        <f>VLOOKUP(B318,PLANOS!A:B,2,0)&amp;D318&amp;C318</f>
        <v>#N/A</v>
      </c>
      <c r="B318" s="1"/>
      <c r="C318" s="1"/>
      <c r="D318" s="155"/>
      <c r="F318" s="1"/>
      <c r="G318" s="1"/>
    </row>
    <row r="319" spans="1:7">
      <c r="A319" s="1" t="e">
        <f>VLOOKUP(B319,PLANOS!A:B,2,0)&amp;D319&amp;C319</f>
        <v>#N/A</v>
      </c>
      <c r="B319" s="1"/>
      <c r="C319" s="1"/>
      <c r="D319" s="155"/>
      <c r="F319" s="1"/>
      <c r="G319" s="1"/>
    </row>
    <row r="320" spans="1:7">
      <c r="A320" s="1" t="e">
        <f>VLOOKUP(B320,PLANOS!A:B,2,0)&amp;D320&amp;C320</f>
        <v>#N/A</v>
      </c>
      <c r="B320" s="1"/>
      <c r="C320" s="1"/>
      <c r="D320" s="155"/>
      <c r="F320" s="1"/>
      <c r="G320" s="1"/>
    </row>
    <row r="321" spans="1:7">
      <c r="A321" s="1" t="e">
        <f>VLOOKUP(B321,PLANOS!A:B,2,0)&amp;D321&amp;C321</f>
        <v>#N/A</v>
      </c>
      <c r="B321" s="1"/>
      <c r="C321" s="1"/>
      <c r="D321" s="155"/>
      <c r="F321" s="1"/>
      <c r="G321" s="1"/>
    </row>
    <row r="322" spans="1:7">
      <c r="A322" s="1" t="e">
        <f>VLOOKUP(B322,PLANOS!A:B,2,0)&amp;D322&amp;C322</f>
        <v>#N/A</v>
      </c>
      <c r="B322" s="1"/>
      <c r="C322" s="1"/>
      <c r="D322" s="155"/>
      <c r="F322" s="1"/>
      <c r="G322" s="1"/>
    </row>
    <row r="323" spans="1:7">
      <c r="A323" s="1" t="e">
        <f>VLOOKUP(B323,PLANOS!A:B,2,0)&amp;D323&amp;C323</f>
        <v>#N/A</v>
      </c>
      <c r="B323" s="1"/>
      <c r="C323" s="1"/>
      <c r="D323" s="155"/>
      <c r="F323" s="1"/>
      <c r="G323" s="1"/>
    </row>
    <row r="324" spans="1:7">
      <c r="A324" s="1" t="e">
        <f>VLOOKUP(B324,PLANOS!A:B,2,0)&amp;D324&amp;C324</f>
        <v>#N/A</v>
      </c>
      <c r="B324" s="1"/>
      <c r="C324" s="1"/>
      <c r="D324" s="155"/>
      <c r="F324" s="1"/>
      <c r="G324" s="1"/>
    </row>
    <row r="325" spans="1:7">
      <c r="A325" s="1" t="e">
        <f>VLOOKUP(B325,PLANOS!A:B,2,0)&amp;D325&amp;C325</f>
        <v>#N/A</v>
      </c>
      <c r="B325" s="1"/>
      <c r="C325" s="1"/>
      <c r="D325" s="155"/>
      <c r="F325" s="1"/>
      <c r="G325" s="1"/>
    </row>
    <row r="326" spans="1:7">
      <c r="A326" s="1" t="e">
        <f>VLOOKUP(B326,PLANOS!A:B,2,0)&amp;D326&amp;C326</f>
        <v>#N/A</v>
      </c>
      <c r="B326" s="1"/>
      <c r="C326" s="1"/>
      <c r="D326" s="155"/>
      <c r="F326" s="1"/>
      <c r="G326" s="1"/>
    </row>
    <row r="327" spans="1:7">
      <c r="A327" s="1" t="e">
        <f>VLOOKUP(B327,PLANOS!A:B,2,0)&amp;D327&amp;C327</f>
        <v>#N/A</v>
      </c>
      <c r="B327" s="1"/>
      <c r="C327" s="1"/>
      <c r="D327" s="155"/>
      <c r="F327" s="1"/>
      <c r="G327" s="1"/>
    </row>
    <row r="328" spans="1:7">
      <c r="A328" s="1" t="e">
        <f>VLOOKUP(B328,PLANOS!A:B,2,0)&amp;D328&amp;C328</f>
        <v>#N/A</v>
      </c>
      <c r="B328" s="1"/>
      <c r="C328" s="1"/>
      <c r="D328" s="155"/>
      <c r="F328" s="1"/>
      <c r="G328" s="1"/>
    </row>
    <row r="329" spans="1:7">
      <c r="A329" s="1" t="e">
        <f>VLOOKUP(B329,PLANOS!A:B,2,0)&amp;D329&amp;C329</f>
        <v>#N/A</v>
      </c>
      <c r="B329" s="1"/>
      <c r="C329" s="1"/>
      <c r="D329" s="155"/>
      <c r="F329" s="1"/>
      <c r="G329" s="1"/>
    </row>
    <row r="330" spans="1:7">
      <c r="A330" s="1" t="e">
        <f>VLOOKUP(B330,PLANOS!A:B,2,0)&amp;D330&amp;C330</f>
        <v>#N/A</v>
      </c>
      <c r="B330" s="1"/>
      <c r="C330" s="1"/>
      <c r="D330" s="155"/>
      <c r="F330" s="1"/>
      <c r="G330" s="1"/>
    </row>
    <row r="331" spans="1:7">
      <c r="A331" s="1" t="e">
        <f>VLOOKUP(B331,PLANOS!A:B,2,0)&amp;D331&amp;C331</f>
        <v>#N/A</v>
      </c>
      <c r="B331" s="1"/>
      <c r="C331" s="1"/>
      <c r="D331" s="155"/>
      <c r="F331" s="1"/>
      <c r="G331" s="1"/>
    </row>
    <row r="332" spans="1:7">
      <c r="A332" s="1" t="e">
        <f>VLOOKUP(B332,PLANOS!A:B,2,0)&amp;D332&amp;C332</f>
        <v>#N/A</v>
      </c>
      <c r="B332" s="1"/>
      <c r="C332" s="1"/>
      <c r="D332" s="155"/>
      <c r="F332" s="1"/>
      <c r="G332" s="1"/>
    </row>
    <row r="333" spans="1:7">
      <c r="A333" s="1" t="e">
        <f>VLOOKUP(B333,PLANOS!A:B,2,0)&amp;D333&amp;C333</f>
        <v>#N/A</v>
      </c>
      <c r="B333" s="1"/>
      <c r="C333" s="1"/>
      <c r="D333" s="155"/>
      <c r="F333" s="1"/>
      <c r="G333" s="1"/>
    </row>
    <row r="334" spans="1:7">
      <c r="A334" s="1" t="e">
        <f>VLOOKUP(B334,PLANOS!A:B,2,0)&amp;D334&amp;C334</f>
        <v>#N/A</v>
      </c>
      <c r="B334" s="1"/>
      <c r="C334" s="1"/>
      <c r="D334" s="155"/>
      <c r="F334" s="1"/>
      <c r="G334" s="1"/>
    </row>
    <row r="335" spans="1:7">
      <c r="A335" s="1" t="e">
        <f>VLOOKUP(B335,PLANOS!A:B,2,0)&amp;D335&amp;C335</f>
        <v>#N/A</v>
      </c>
      <c r="B335" s="1"/>
      <c r="C335" s="1"/>
      <c r="D335" s="155"/>
      <c r="F335" s="1"/>
      <c r="G335" s="1"/>
    </row>
    <row r="336" spans="1:7">
      <c r="A336" s="1" t="e">
        <f>VLOOKUP(B336,PLANOS!A:B,2,0)&amp;D336&amp;C336</f>
        <v>#N/A</v>
      </c>
      <c r="B336" s="1"/>
      <c r="C336" s="1"/>
      <c r="D336" s="155"/>
      <c r="F336" s="1"/>
      <c r="G336" s="1"/>
    </row>
    <row r="337" spans="1:7">
      <c r="A337" s="1" t="e">
        <f>VLOOKUP(B337,PLANOS!A:B,2,0)&amp;D337&amp;C337</f>
        <v>#N/A</v>
      </c>
      <c r="B337" s="1"/>
      <c r="C337" s="1"/>
      <c r="D337" s="155"/>
      <c r="F337" s="1"/>
      <c r="G337" s="1"/>
    </row>
    <row r="338" spans="1:7">
      <c r="A338" s="1" t="e">
        <f>VLOOKUP(B338,PLANOS!A:B,2,0)&amp;D338&amp;C338</f>
        <v>#N/A</v>
      </c>
      <c r="B338" s="1"/>
      <c r="C338" s="1"/>
      <c r="D338" s="155"/>
      <c r="F338" s="1"/>
      <c r="G338" s="1"/>
    </row>
    <row r="339" spans="1:7">
      <c r="A339" s="1" t="e">
        <f>VLOOKUP(B339,PLANOS!A:B,2,0)&amp;D339&amp;C339</f>
        <v>#N/A</v>
      </c>
      <c r="B339" s="1"/>
      <c r="C339" s="1"/>
      <c r="D339" s="155"/>
      <c r="F339" s="1"/>
      <c r="G339" s="1"/>
    </row>
    <row r="340" spans="1:7">
      <c r="A340" s="1" t="e">
        <f>VLOOKUP(B340,PLANOS!A:B,2,0)&amp;D340&amp;C340</f>
        <v>#N/A</v>
      </c>
      <c r="B340" s="1"/>
      <c r="C340" s="1"/>
      <c r="D340" s="155"/>
      <c r="F340" s="1"/>
      <c r="G340" s="1"/>
    </row>
    <row r="341" spans="1:7">
      <c r="A341" s="1" t="e">
        <f>VLOOKUP(B341,PLANOS!A:B,2,0)&amp;D341&amp;C341</f>
        <v>#N/A</v>
      </c>
      <c r="B341" s="1"/>
      <c r="C341" s="1"/>
      <c r="D341" s="155"/>
      <c r="F341" s="1"/>
      <c r="G341" s="1"/>
    </row>
    <row r="342" spans="1:7">
      <c r="A342" s="1" t="e">
        <f>VLOOKUP(B342,PLANOS!A:B,2,0)&amp;D342&amp;C342</f>
        <v>#N/A</v>
      </c>
      <c r="B342" s="1"/>
      <c r="C342" s="1"/>
      <c r="D342" s="155"/>
      <c r="F342" s="1"/>
      <c r="G342" s="1"/>
    </row>
    <row r="343" spans="1:7">
      <c r="A343" s="1" t="e">
        <f>VLOOKUP(B343,PLANOS!A:B,2,0)&amp;D343&amp;C343</f>
        <v>#N/A</v>
      </c>
      <c r="B343" s="1"/>
      <c r="C343" s="1"/>
      <c r="D343" s="155"/>
      <c r="F343" s="1"/>
      <c r="G343" s="1"/>
    </row>
    <row r="344" spans="1:7">
      <c r="A344" s="1" t="e">
        <f>VLOOKUP(B344,PLANOS!A:B,2,0)&amp;D344&amp;C344</f>
        <v>#N/A</v>
      </c>
      <c r="B344" s="1"/>
      <c r="C344" s="1"/>
      <c r="D344" s="155"/>
      <c r="F344" s="1"/>
      <c r="G344" s="1"/>
    </row>
    <row r="345" spans="1:7">
      <c r="A345" s="1" t="e">
        <f>VLOOKUP(B345,PLANOS!A:B,2,0)&amp;D345&amp;C345</f>
        <v>#N/A</v>
      </c>
      <c r="B345" s="1"/>
      <c r="C345" s="1"/>
      <c r="D345" s="155"/>
      <c r="F345" s="1"/>
      <c r="G345" s="1"/>
    </row>
    <row r="346" spans="1:7">
      <c r="A346" s="1" t="e">
        <f>VLOOKUP(B346,PLANOS!A:B,2,0)&amp;D346&amp;C346</f>
        <v>#N/A</v>
      </c>
      <c r="B346" s="1"/>
      <c r="C346" s="1"/>
      <c r="D346" s="155"/>
      <c r="F346" s="1"/>
      <c r="G346" s="1"/>
    </row>
    <row r="347" spans="1:7">
      <c r="A347" s="1" t="e">
        <f>VLOOKUP(B347,PLANOS!A:B,2,0)&amp;D347&amp;C347</f>
        <v>#N/A</v>
      </c>
      <c r="B347" s="1"/>
      <c r="C347" s="1"/>
      <c r="D347" s="155"/>
      <c r="F347" s="1"/>
      <c r="G347" s="1"/>
    </row>
    <row r="348" spans="1:7">
      <c r="A348" s="1" t="e">
        <f>VLOOKUP(B348,PLANOS!A:B,2,0)&amp;D348&amp;C348</f>
        <v>#N/A</v>
      </c>
      <c r="B348" s="1"/>
      <c r="C348" s="1"/>
      <c r="D348" s="155"/>
      <c r="F348" s="1"/>
      <c r="G348" s="1"/>
    </row>
    <row r="349" spans="1:7">
      <c r="A349" s="1" t="e">
        <f>VLOOKUP(B349,PLANOS!A:B,2,0)&amp;D349&amp;C349</f>
        <v>#N/A</v>
      </c>
      <c r="B349" s="1"/>
      <c r="C349" s="1"/>
      <c r="D349" s="155"/>
      <c r="F349" s="1"/>
      <c r="G349" s="1"/>
    </row>
    <row r="350" spans="1:7">
      <c r="A350" s="1" t="e">
        <f>VLOOKUP(B350,PLANOS!A:B,2,0)&amp;D350&amp;C350</f>
        <v>#N/A</v>
      </c>
      <c r="B350" s="1"/>
      <c r="C350" s="1"/>
      <c r="D350" s="155"/>
      <c r="F350" s="1"/>
      <c r="G350" s="1"/>
    </row>
    <row r="351" spans="1:7">
      <c r="A351" s="1" t="e">
        <f>VLOOKUP(B351,PLANOS!A:B,2,0)&amp;D351&amp;C351</f>
        <v>#N/A</v>
      </c>
      <c r="B351" s="1"/>
      <c r="C351" s="1"/>
      <c r="D351" s="155"/>
      <c r="F351" s="1"/>
      <c r="G351" s="1"/>
    </row>
    <row r="352" spans="1:7">
      <c r="A352" s="1" t="e">
        <f>VLOOKUP(B352,PLANOS!A:B,2,0)&amp;D352&amp;C352</f>
        <v>#N/A</v>
      </c>
      <c r="B352" s="1"/>
      <c r="C352" s="1"/>
      <c r="D352" s="155"/>
      <c r="F352" s="1"/>
      <c r="G352" s="1"/>
    </row>
    <row r="353" spans="1:7">
      <c r="A353" s="1" t="e">
        <f>VLOOKUP(B353,PLANOS!A:B,2,0)&amp;D353&amp;C353</f>
        <v>#N/A</v>
      </c>
      <c r="B353" s="1"/>
      <c r="C353" s="1"/>
      <c r="D353" s="155"/>
      <c r="F353" s="1"/>
      <c r="G353" s="1"/>
    </row>
    <row r="354" spans="1:7">
      <c r="A354" s="1" t="e">
        <f>VLOOKUP(B354,PLANOS!A:B,2,0)&amp;D354&amp;C354</f>
        <v>#N/A</v>
      </c>
      <c r="B354" s="1"/>
      <c r="C354" s="1"/>
      <c r="D354" s="155"/>
      <c r="F354" s="1"/>
      <c r="G354" s="1"/>
    </row>
    <row r="355" spans="1:7">
      <c r="A355" s="1" t="e">
        <f>VLOOKUP(B355,PLANOS!A:B,2,0)&amp;D355&amp;C355</f>
        <v>#N/A</v>
      </c>
      <c r="B355" s="1"/>
      <c r="C355" s="1"/>
      <c r="D355" s="155"/>
      <c r="F355" s="1"/>
      <c r="G355" s="1"/>
    </row>
    <row r="356" spans="1:7">
      <c r="A356" s="1" t="e">
        <f>VLOOKUP(B356,PLANOS!A:B,2,0)&amp;D356&amp;C356</f>
        <v>#N/A</v>
      </c>
      <c r="B356" s="1"/>
      <c r="C356" s="1"/>
      <c r="D356" s="155"/>
      <c r="F356" s="1"/>
      <c r="G356" s="1"/>
    </row>
    <row r="357" spans="1:7">
      <c r="A357" s="1" t="e">
        <f>VLOOKUP(B357,PLANOS!A:B,2,0)&amp;D357&amp;C357</f>
        <v>#N/A</v>
      </c>
      <c r="B357" s="1"/>
      <c r="C357" s="1"/>
      <c r="D357" s="155"/>
      <c r="F357" s="1"/>
      <c r="G357" s="1"/>
    </row>
    <row r="358" spans="1:7">
      <c r="A358" s="1" t="e">
        <f>VLOOKUP(B358,PLANOS!A:B,2,0)&amp;D358&amp;C358</f>
        <v>#N/A</v>
      </c>
      <c r="B358" s="1"/>
      <c r="C358" s="1"/>
      <c r="D358" s="155"/>
      <c r="F358" s="1"/>
      <c r="G358" s="1"/>
    </row>
    <row r="359" spans="1:7">
      <c r="A359" s="1" t="e">
        <f>VLOOKUP(B359,PLANOS!A:B,2,0)&amp;D359&amp;C359</f>
        <v>#N/A</v>
      </c>
      <c r="B359" s="1"/>
      <c r="C359" s="1"/>
      <c r="D359" s="155"/>
      <c r="F359" s="1"/>
      <c r="G359" s="1"/>
    </row>
    <row r="360" spans="1:7">
      <c r="A360" s="1" t="e">
        <f>VLOOKUP(B360,PLANOS!A:B,2,0)&amp;D360&amp;C360</f>
        <v>#N/A</v>
      </c>
      <c r="B360" s="1"/>
      <c r="C360" s="1"/>
      <c r="D360" s="155"/>
      <c r="F360" s="1"/>
      <c r="G360" s="1"/>
    </row>
    <row r="361" spans="1:7">
      <c r="A361" s="1" t="e">
        <f>VLOOKUP(B361,PLANOS!A:B,2,0)&amp;D361&amp;C361</f>
        <v>#N/A</v>
      </c>
      <c r="B361" s="1"/>
      <c r="C361" s="1"/>
      <c r="D361" s="155"/>
      <c r="F361" s="1"/>
      <c r="G361" s="1"/>
    </row>
    <row r="362" spans="1:7">
      <c r="A362" s="1" t="e">
        <f>VLOOKUP(B362,PLANOS!A:B,2,0)&amp;D362&amp;C362</f>
        <v>#N/A</v>
      </c>
      <c r="B362" s="1"/>
      <c r="C362" s="1"/>
      <c r="D362" s="155"/>
      <c r="F362" s="1"/>
      <c r="G362" s="1"/>
    </row>
    <row r="363" spans="1:7">
      <c r="A363" s="1" t="e">
        <f>VLOOKUP(B363,PLANOS!A:B,2,0)&amp;D363&amp;C363</f>
        <v>#N/A</v>
      </c>
      <c r="B363" s="1"/>
      <c r="C363" s="1"/>
      <c r="D363" s="155"/>
      <c r="F363" s="1"/>
      <c r="G363" s="1"/>
    </row>
    <row r="364" spans="1:7">
      <c r="A364" s="1" t="e">
        <f>VLOOKUP(B364,PLANOS!A:B,2,0)&amp;D364&amp;C364</f>
        <v>#N/A</v>
      </c>
      <c r="B364" s="1"/>
      <c r="C364" s="1"/>
      <c r="D364" s="155"/>
      <c r="F364" s="1"/>
      <c r="G364" s="1"/>
    </row>
    <row r="365" spans="1:7">
      <c r="A365" s="1" t="e">
        <f>VLOOKUP(B365,PLANOS!A:B,2,0)&amp;D365&amp;C365</f>
        <v>#N/A</v>
      </c>
      <c r="B365" s="1"/>
      <c r="C365" s="1"/>
      <c r="D365" s="155"/>
      <c r="F365" s="1"/>
      <c r="G365" s="1"/>
    </row>
    <row r="366" spans="1:7">
      <c r="A366" s="1" t="e">
        <f>VLOOKUP(B366,PLANOS!A:B,2,0)&amp;D366&amp;C366</f>
        <v>#N/A</v>
      </c>
      <c r="B366" s="1"/>
      <c r="C366" s="1"/>
      <c r="D366" s="155"/>
      <c r="F366" s="1"/>
      <c r="G366" s="1"/>
    </row>
    <row r="367" spans="1:7">
      <c r="A367" s="1" t="e">
        <f>VLOOKUP(B367,PLANOS!A:B,2,0)&amp;D367&amp;C367</f>
        <v>#N/A</v>
      </c>
      <c r="B367" s="1"/>
      <c r="C367" s="1"/>
      <c r="D367" s="155"/>
      <c r="F367" s="1"/>
      <c r="G367" s="1"/>
    </row>
    <row r="368" spans="1:7">
      <c r="A368" s="1" t="e">
        <f>VLOOKUP(B368,PLANOS!A:B,2,0)&amp;D368&amp;C368</f>
        <v>#N/A</v>
      </c>
      <c r="B368" s="1"/>
      <c r="C368" s="1"/>
      <c r="D368" s="155"/>
      <c r="F368" s="1"/>
      <c r="G368" s="1"/>
    </row>
    <row r="369" spans="1:7">
      <c r="A369" s="1" t="e">
        <f>VLOOKUP(B369,PLANOS!A:B,2,0)&amp;D369&amp;C369</f>
        <v>#N/A</v>
      </c>
      <c r="B369" s="1"/>
      <c r="C369" s="1"/>
      <c r="D369" s="155"/>
      <c r="F369" s="1"/>
      <c r="G369" s="1"/>
    </row>
    <row r="370" spans="1:7">
      <c r="A370" s="1" t="e">
        <f>VLOOKUP(B370,PLANOS!A:B,2,0)&amp;D370&amp;C370</f>
        <v>#N/A</v>
      </c>
      <c r="B370" s="1"/>
      <c r="C370" s="1"/>
      <c r="D370" s="155"/>
      <c r="F370" s="1"/>
      <c r="G370" s="1"/>
    </row>
    <row r="371" spans="1:7">
      <c r="A371" s="1" t="e">
        <f>VLOOKUP(B371,PLANOS!A:B,2,0)&amp;D371&amp;C371</f>
        <v>#N/A</v>
      </c>
      <c r="B371" s="1"/>
      <c r="C371" s="1"/>
      <c r="D371" s="155"/>
      <c r="F371" s="1"/>
      <c r="G371" s="1"/>
    </row>
    <row r="372" spans="1:7">
      <c r="A372" s="1" t="e">
        <f>VLOOKUP(B372,PLANOS!A:B,2,0)&amp;D372&amp;C372</f>
        <v>#N/A</v>
      </c>
      <c r="B372" s="1"/>
      <c r="C372" s="1"/>
      <c r="D372" s="155"/>
      <c r="F372" s="1"/>
      <c r="G372" s="1"/>
    </row>
    <row r="373" spans="1:7">
      <c r="A373" s="1" t="e">
        <f>VLOOKUP(B373,PLANOS!A:B,2,0)&amp;D373&amp;C373</f>
        <v>#N/A</v>
      </c>
      <c r="B373" s="1"/>
      <c r="C373" s="1"/>
      <c r="D373" s="155"/>
      <c r="F373" s="1"/>
      <c r="G373" s="1"/>
    </row>
    <row r="374" spans="1:7">
      <c r="A374" s="1" t="e">
        <f>VLOOKUP(B374,PLANOS!A:B,2,0)&amp;D374&amp;C374</f>
        <v>#N/A</v>
      </c>
      <c r="B374" s="1"/>
      <c r="C374" s="1"/>
      <c r="D374" s="155"/>
      <c r="F374" s="1"/>
      <c r="G374" s="1"/>
    </row>
    <row r="375" spans="1:7">
      <c r="A375" s="1" t="e">
        <f>VLOOKUP(B375,PLANOS!A:B,2,0)&amp;D375&amp;C375</f>
        <v>#N/A</v>
      </c>
      <c r="B375" s="1"/>
      <c r="C375" s="1"/>
      <c r="D375" s="155"/>
      <c r="F375" s="1"/>
      <c r="G375" s="1"/>
    </row>
    <row r="376" spans="1:7">
      <c r="A376" s="1" t="e">
        <f>VLOOKUP(B376,PLANOS!A:B,2,0)&amp;D376&amp;C376</f>
        <v>#N/A</v>
      </c>
      <c r="B376" s="1"/>
      <c r="C376" s="1"/>
      <c r="D376" s="155"/>
      <c r="F376" s="1"/>
      <c r="G376" s="1"/>
    </row>
    <row r="377" spans="1:7">
      <c r="A377" s="1" t="e">
        <f>VLOOKUP(B377,PLANOS!A:B,2,0)&amp;D377&amp;C377</f>
        <v>#N/A</v>
      </c>
      <c r="B377" s="1"/>
      <c r="C377" s="1"/>
      <c r="D377" s="155"/>
      <c r="F377" s="1"/>
      <c r="G377" s="1"/>
    </row>
    <row r="378" spans="1:7">
      <c r="A378" s="1" t="e">
        <f>VLOOKUP(B378,PLANOS!A:B,2,0)&amp;D378&amp;C378</f>
        <v>#N/A</v>
      </c>
      <c r="B378" s="1"/>
      <c r="C378" s="1"/>
      <c r="D378" s="155"/>
      <c r="F378" s="1"/>
      <c r="G378" s="1"/>
    </row>
    <row r="379" spans="1:7">
      <c r="A379" s="1" t="e">
        <f>VLOOKUP(B379,PLANOS!A:B,2,0)&amp;D379&amp;C379</f>
        <v>#N/A</v>
      </c>
      <c r="B379" s="1"/>
      <c r="C379" s="1"/>
      <c r="D379" s="155"/>
      <c r="F379" s="1"/>
      <c r="G379" s="1"/>
    </row>
    <row r="380" spans="1:7">
      <c r="A380" s="1" t="e">
        <f>VLOOKUP(B380,PLANOS!A:B,2,0)&amp;D380&amp;C380</f>
        <v>#N/A</v>
      </c>
      <c r="B380" s="1"/>
      <c r="C380" s="1"/>
      <c r="D380" s="155"/>
      <c r="F380" s="1"/>
      <c r="G380" s="1"/>
    </row>
    <row r="381" spans="1:7">
      <c r="A381" s="1" t="e">
        <f>VLOOKUP(B381,PLANOS!A:B,2,0)&amp;D381&amp;C381</f>
        <v>#N/A</v>
      </c>
      <c r="B381" s="1"/>
      <c r="C381" s="1"/>
      <c r="D381" s="155"/>
      <c r="F381" s="1"/>
      <c r="G381" s="1"/>
    </row>
    <row r="382" spans="1:7">
      <c r="A382" s="1" t="e">
        <f>VLOOKUP(B382,PLANOS!A:B,2,0)&amp;D382&amp;C382</f>
        <v>#N/A</v>
      </c>
      <c r="B382" s="1"/>
      <c r="C382" s="1"/>
      <c r="D382" s="155"/>
      <c r="F382" s="1"/>
      <c r="G382" s="1"/>
    </row>
    <row r="383" spans="1:7">
      <c r="A383" s="1" t="e">
        <f>VLOOKUP(B383,PLANOS!A:B,2,0)&amp;D383&amp;C383</f>
        <v>#N/A</v>
      </c>
      <c r="B383" s="1"/>
      <c r="C383" s="1"/>
      <c r="D383" s="155"/>
      <c r="F383" s="1"/>
      <c r="G383" s="1"/>
    </row>
    <row r="384" spans="1:7">
      <c r="A384" s="1" t="e">
        <f>VLOOKUP(B384,PLANOS!A:B,2,0)&amp;D384&amp;C384</f>
        <v>#N/A</v>
      </c>
      <c r="B384" s="1"/>
      <c r="C384" s="1"/>
      <c r="D384" s="155"/>
      <c r="F384" s="1"/>
      <c r="G384" s="1"/>
    </row>
    <row r="385" spans="1:7">
      <c r="A385" s="1" t="e">
        <f>VLOOKUP(B385,PLANOS!A:B,2,0)&amp;D385&amp;C385</f>
        <v>#N/A</v>
      </c>
      <c r="B385" s="1"/>
      <c r="C385" s="1"/>
      <c r="D385" s="155"/>
      <c r="F385" s="1"/>
      <c r="G385" s="1"/>
    </row>
    <row r="386" spans="1:7">
      <c r="A386" s="1" t="e">
        <f>VLOOKUP(B386,PLANOS!A:B,2,0)&amp;D386&amp;C386</f>
        <v>#N/A</v>
      </c>
      <c r="B386" s="1"/>
      <c r="C386" s="1"/>
      <c r="D386" s="155"/>
      <c r="F386" s="1"/>
      <c r="G386" s="1"/>
    </row>
    <row r="387" spans="1:7">
      <c r="A387" s="1" t="e">
        <f>VLOOKUP(B387,PLANOS!A:B,2,0)&amp;D387&amp;C387</f>
        <v>#N/A</v>
      </c>
      <c r="B387" s="1"/>
      <c r="C387" s="1"/>
      <c r="D387" s="155"/>
      <c r="F387" s="1"/>
      <c r="G387" s="1"/>
    </row>
    <row r="388" spans="1:7">
      <c r="A388" s="1" t="e">
        <f>VLOOKUP(B388,PLANOS!A:B,2,0)&amp;D388&amp;C388</f>
        <v>#N/A</v>
      </c>
      <c r="B388" s="1"/>
      <c r="C388" s="1"/>
      <c r="D388" s="155"/>
      <c r="F388" s="1"/>
      <c r="G388" s="1"/>
    </row>
    <row r="389" spans="1:7">
      <c r="A389" s="1" t="e">
        <f>VLOOKUP(B389,PLANOS!A:B,2,0)&amp;D389&amp;C389</f>
        <v>#N/A</v>
      </c>
      <c r="B389" s="1"/>
      <c r="C389" s="1"/>
      <c r="D389" s="155"/>
      <c r="F389" s="1"/>
      <c r="G389" s="1"/>
    </row>
    <row r="390" spans="1:7">
      <c r="A390" s="1" t="e">
        <f>VLOOKUP(B390,PLANOS!A:B,2,0)&amp;D390&amp;C390</f>
        <v>#N/A</v>
      </c>
      <c r="B390" s="1"/>
      <c r="C390" s="1"/>
      <c r="D390" s="155"/>
      <c r="F390" s="1"/>
      <c r="G390" s="1"/>
    </row>
    <row r="391" spans="1:7">
      <c r="A391" s="1" t="e">
        <f>VLOOKUP(B391,PLANOS!A:B,2,0)&amp;D391&amp;C391</f>
        <v>#N/A</v>
      </c>
      <c r="B391" s="1"/>
      <c r="C391" s="1"/>
      <c r="D391" s="155"/>
      <c r="F391" s="1"/>
      <c r="G391" s="1"/>
    </row>
    <row r="392" spans="1:7">
      <c r="A392" s="1" t="e">
        <f>VLOOKUP(B392,PLANOS!A:B,2,0)&amp;D392&amp;C392</f>
        <v>#N/A</v>
      </c>
      <c r="B392" s="1"/>
      <c r="C392" s="1"/>
      <c r="D392" s="155"/>
      <c r="F392" s="1"/>
      <c r="G392" s="1"/>
    </row>
    <row r="393" spans="1:7">
      <c r="A393" s="1" t="e">
        <f>VLOOKUP(B393,PLANOS!A:B,2,0)&amp;D393&amp;C393</f>
        <v>#N/A</v>
      </c>
      <c r="B393" s="1"/>
      <c r="C393" s="1"/>
      <c r="D393" s="155"/>
      <c r="F393" s="1"/>
      <c r="G393" s="1"/>
    </row>
    <row r="394" spans="1:7">
      <c r="A394" s="1" t="e">
        <f>VLOOKUP(B394,PLANOS!A:B,2,0)&amp;D394&amp;C394</f>
        <v>#N/A</v>
      </c>
      <c r="B394" s="1"/>
      <c r="C394" s="1"/>
      <c r="D394" s="155"/>
      <c r="F394" s="1"/>
      <c r="G394" s="1"/>
    </row>
    <row r="395" spans="1:7">
      <c r="A395" s="1" t="e">
        <f>VLOOKUP(B395,PLANOS!A:B,2,0)&amp;D395&amp;C395</f>
        <v>#N/A</v>
      </c>
      <c r="B395" s="1"/>
      <c r="C395" s="1"/>
      <c r="D395" s="155"/>
      <c r="F395" s="1"/>
      <c r="G395" s="1"/>
    </row>
    <row r="396" spans="1:7">
      <c r="A396" s="1" t="e">
        <f>VLOOKUP(B396,PLANOS!A:B,2,0)&amp;D396&amp;C396</f>
        <v>#N/A</v>
      </c>
      <c r="B396" s="1"/>
      <c r="C396" s="1"/>
      <c r="D396" s="155"/>
      <c r="F396" s="1"/>
      <c r="G396" s="1"/>
    </row>
    <row r="397" spans="1:7">
      <c r="A397" s="1" t="e">
        <f>VLOOKUP(B397,PLANOS!A:B,2,0)&amp;D397&amp;C397</f>
        <v>#N/A</v>
      </c>
      <c r="B397" s="1"/>
      <c r="C397" s="1"/>
      <c r="D397" s="155"/>
      <c r="F397" s="1"/>
      <c r="G397" s="1"/>
    </row>
    <row r="398" spans="1:7">
      <c r="A398" s="1" t="e">
        <f>VLOOKUP(B398,PLANOS!A:B,2,0)&amp;D398&amp;C398</f>
        <v>#N/A</v>
      </c>
      <c r="B398" s="1"/>
      <c r="C398" s="1"/>
      <c r="D398" s="155"/>
      <c r="F398" s="1"/>
      <c r="G398" s="1"/>
    </row>
    <row r="399" spans="1:7">
      <c r="A399" s="1" t="e">
        <f>VLOOKUP(B399,PLANOS!A:B,2,0)&amp;D399&amp;C399</f>
        <v>#N/A</v>
      </c>
      <c r="B399" s="1"/>
      <c r="C399" s="1"/>
      <c r="D399" s="155"/>
      <c r="F399" s="1"/>
      <c r="G399" s="1"/>
    </row>
    <row r="400" spans="1:7">
      <c r="A400" s="1" t="e">
        <f>VLOOKUP(B400,PLANOS!A:B,2,0)&amp;D400&amp;C400</f>
        <v>#N/A</v>
      </c>
      <c r="B400" s="1"/>
      <c r="C400" s="1"/>
      <c r="D400" s="155"/>
      <c r="F400" s="1"/>
      <c r="G400" s="1"/>
    </row>
    <row r="401" spans="1:7">
      <c r="A401" s="1" t="e">
        <f>VLOOKUP(B401,PLANOS!A:B,2,0)&amp;D401&amp;C401</f>
        <v>#N/A</v>
      </c>
      <c r="B401" s="1"/>
      <c r="C401" s="1"/>
      <c r="D401" s="155"/>
      <c r="F401" s="1"/>
      <c r="G401" s="1"/>
    </row>
    <row r="402" spans="1:7">
      <c r="A402" s="1" t="e">
        <f>VLOOKUP(B402,PLANOS!A:B,2,0)&amp;D402&amp;C402</f>
        <v>#N/A</v>
      </c>
      <c r="B402" s="1"/>
      <c r="C402" s="1"/>
      <c r="D402" s="155"/>
      <c r="F402" s="1"/>
      <c r="G402" s="1"/>
    </row>
    <row r="403" spans="1:7">
      <c r="A403" s="1" t="e">
        <f>VLOOKUP(B403,PLANOS!A:B,2,0)&amp;D403&amp;C403</f>
        <v>#N/A</v>
      </c>
      <c r="B403" s="1"/>
      <c r="C403" s="1"/>
      <c r="D403" s="155"/>
      <c r="F403" s="1"/>
      <c r="G403" s="1"/>
    </row>
    <row r="404" spans="1:7">
      <c r="A404" s="1" t="e">
        <f>VLOOKUP(B404,PLANOS!A:B,2,0)&amp;D404&amp;C404</f>
        <v>#N/A</v>
      </c>
      <c r="B404" s="1"/>
      <c r="C404" s="1"/>
      <c r="D404" s="155"/>
      <c r="F404" s="1"/>
      <c r="G404" s="1"/>
    </row>
    <row r="405" spans="1:7">
      <c r="A405" s="1" t="e">
        <f>VLOOKUP(B405,PLANOS!A:B,2,0)&amp;D405&amp;C405</f>
        <v>#N/A</v>
      </c>
      <c r="B405" s="1"/>
      <c r="C405" s="1"/>
      <c r="D405" s="155"/>
      <c r="F405" s="1"/>
      <c r="G405" s="1"/>
    </row>
    <row r="406" spans="1:7">
      <c r="A406" s="1" t="e">
        <f>VLOOKUP(B406,PLANOS!A:B,2,0)&amp;D406&amp;C406</f>
        <v>#N/A</v>
      </c>
      <c r="B406" s="1"/>
      <c r="C406" s="1"/>
      <c r="D406" s="155"/>
      <c r="F406" s="1"/>
      <c r="G406" s="1"/>
    </row>
    <row r="407" spans="1:7">
      <c r="A407" s="1" t="e">
        <f>VLOOKUP(B407,PLANOS!A:B,2,0)&amp;D407&amp;C407</f>
        <v>#N/A</v>
      </c>
      <c r="B407" s="1"/>
      <c r="C407" s="1"/>
      <c r="D407" s="155"/>
      <c r="F407" s="1"/>
      <c r="G407" s="1"/>
    </row>
    <row r="408" spans="1:7">
      <c r="A408" s="1" t="e">
        <f>VLOOKUP(B408,PLANOS!A:B,2,0)&amp;D408&amp;C408</f>
        <v>#N/A</v>
      </c>
      <c r="B408" s="1"/>
      <c r="C408" s="1"/>
      <c r="D408" s="155"/>
      <c r="F408" s="1"/>
      <c r="G408" s="1"/>
    </row>
    <row r="409" spans="1:7">
      <c r="A409" s="1" t="e">
        <f>VLOOKUP(B409,PLANOS!A:B,2,0)&amp;D409&amp;C409</f>
        <v>#N/A</v>
      </c>
      <c r="B409" s="1"/>
      <c r="C409" s="1"/>
      <c r="D409" s="155"/>
      <c r="F409" s="1"/>
      <c r="G409" s="1"/>
    </row>
    <row r="410" spans="1:7">
      <c r="A410" s="1" t="e">
        <f>VLOOKUP(B410,PLANOS!A:B,2,0)&amp;D410&amp;C410</f>
        <v>#N/A</v>
      </c>
      <c r="B410" s="1"/>
      <c r="C410" s="1"/>
      <c r="D410" s="155"/>
      <c r="F410" s="1"/>
      <c r="G410" s="1"/>
    </row>
    <row r="411" spans="1:7">
      <c r="A411" s="1" t="e">
        <f>VLOOKUP(B411,PLANOS!A:B,2,0)&amp;D411&amp;C411</f>
        <v>#N/A</v>
      </c>
      <c r="B411" s="1"/>
      <c r="C411" s="1"/>
      <c r="D411" s="155"/>
      <c r="F411" s="1"/>
      <c r="G411" s="1"/>
    </row>
    <row r="412" spans="1:7">
      <c r="A412" s="1" t="e">
        <f>VLOOKUP(B412,PLANOS!A:B,2,0)&amp;D412&amp;C412</f>
        <v>#N/A</v>
      </c>
      <c r="B412" s="1"/>
      <c r="C412" s="1"/>
      <c r="D412" s="155"/>
      <c r="F412" s="1"/>
      <c r="G412" s="1"/>
    </row>
    <row r="413" spans="1:7">
      <c r="A413" s="1" t="e">
        <f>VLOOKUP(B413,PLANOS!A:B,2,0)&amp;D413&amp;C413</f>
        <v>#N/A</v>
      </c>
      <c r="B413" s="1"/>
      <c r="C413" s="1"/>
      <c r="D413" s="155"/>
      <c r="F413" s="1"/>
      <c r="G413" s="1"/>
    </row>
    <row r="414" spans="1:7">
      <c r="A414" s="1" t="e">
        <f>VLOOKUP(B414,PLANOS!A:B,2,0)&amp;D414&amp;C414</f>
        <v>#N/A</v>
      </c>
      <c r="B414" s="1"/>
      <c r="C414" s="1"/>
      <c r="D414" s="155"/>
      <c r="F414" s="1"/>
      <c r="G414" s="1"/>
    </row>
    <row r="415" spans="1:7">
      <c r="A415" s="1" t="e">
        <f>VLOOKUP(B415,PLANOS!A:B,2,0)&amp;D415&amp;C415</f>
        <v>#N/A</v>
      </c>
      <c r="B415" s="1"/>
      <c r="C415" s="1"/>
      <c r="D415" s="155"/>
      <c r="F415" s="1"/>
      <c r="G415" s="1"/>
    </row>
    <row r="416" spans="1:7">
      <c r="A416" s="1" t="e">
        <f>VLOOKUP(B416,PLANOS!A:B,2,0)&amp;D416&amp;C416</f>
        <v>#N/A</v>
      </c>
      <c r="B416" s="1"/>
      <c r="C416" s="1"/>
      <c r="D416" s="155"/>
      <c r="F416" s="1"/>
      <c r="G416" s="1"/>
    </row>
    <row r="417" spans="1:7">
      <c r="A417" s="1" t="e">
        <f>VLOOKUP(B417,PLANOS!A:B,2,0)&amp;D417&amp;C417</f>
        <v>#N/A</v>
      </c>
      <c r="B417" s="1"/>
      <c r="C417" s="1"/>
      <c r="D417" s="155"/>
      <c r="F417" s="1"/>
      <c r="G417" s="1"/>
    </row>
    <row r="418" spans="1:7">
      <c r="A418" s="1" t="e">
        <f>VLOOKUP(B418,PLANOS!A:B,2,0)&amp;D418&amp;C418</f>
        <v>#N/A</v>
      </c>
      <c r="B418" s="1"/>
      <c r="C418" s="1"/>
      <c r="D418" s="155"/>
      <c r="F418" s="1"/>
      <c r="G418" s="1"/>
    </row>
    <row r="419" spans="1:7">
      <c r="A419" s="1" t="e">
        <f>VLOOKUP(B419,PLANOS!A:B,2,0)&amp;D419&amp;C419</f>
        <v>#N/A</v>
      </c>
      <c r="B419" s="1"/>
      <c r="C419" s="1"/>
      <c r="D419" s="155"/>
      <c r="F419" s="1"/>
      <c r="G419" s="1"/>
    </row>
    <row r="420" spans="1:7">
      <c r="A420" s="1" t="e">
        <f>VLOOKUP(B420,PLANOS!A:B,2,0)&amp;D420&amp;C420</f>
        <v>#N/A</v>
      </c>
      <c r="B420" s="1"/>
      <c r="C420" s="1"/>
      <c r="D420" s="155"/>
      <c r="F420" s="1"/>
      <c r="G420" s="1"/>
    </row>
    <row r="421" spans="1:7">
      <c r="A421" s="1" t="e">
        <f>VLOOKUP(B421,PLANOS!A:B,2,0)&amp;D421&amp;C421</f>
        <v>#N/A</v>
      </c>
      <c r="B421" s="1"/>
      <c r="C421" s="1"/>
      <c r="D421" s="155"/>
      <c r="F421" s="1"/>
      <c r="G421" s="1"/>
    </row>
    <row r="422" spans="1:7">
      <c r="A422" s="1" t="e">
        <f>VLOOKUP(B422,PLANOS!A:B,2,0)&amp;D422&amp;C422</f>
        <v>#N/A</v>
      </c>
      <c r="B422" s="1"/>
      <c r="C422" s="1"/>
      <c r="D422" s="155"/>
      <c r="F422" s="1"/>
      <c r="G422" s="1"/>
    </row>
    <row r="423" spans="1:7">
      <c r="A423" s="1" t="e">
        <f>VLOOKUP(B423,PLANOS!A:B,2,0)&amp;D423&amp;C423</f>
        <v>#N/A</v>
      </c>
      <c r="B423" s="1"/>
      <c r="C423" s="1"/>
      <c r="D423" s="155"/>
      <c r="F423" s="1"/>
      <c r="G423" s="1"/>
    </row>
    <row r="424" spans="1:7">
      <c r="A424" s="1" t="e">
        <f>VLOOKUP(B424,PLANOS!A:B,2,0)&amp;D424&amp;C424</f>
        <v>#N/A</v>
      </c>
      <c r="B424" s="1"/>
      <c r="C424" s="1"/>
      <c r="D424" s="155"/>
      <c r="F424" s="1"/>
      <c r="G424" s="1"/>
    </row>
    <row r="425" spans="1:7">
      <c r="A425" s="1" t="e">
        <f>VLOOKUP(B425,PLANOS!A:B,2,0)&amp;D425&amp;C425</f>
        <v>#N/A</v>
      </c>
      <c r="B425" s="1"/>
      <c r="C425" s="1"/>
      <c r="D425" s="155"/>
      <c r="F425" s="1"/>
      <c r="G425" s="1"/>
    </row>
    <row r="426" spans="1:7">
      <c r="A426" s="1" t="e">
        <f>VLOOKUP(B426,PLANOS!A:B,2,0)&amp;D426&amp;C426</f>
        <v>#N/A</v>
      </c>
      <c r="B426" s="1"/>
      <c r="C426" s="1"/>
      <c r="D426" s="155"/>
      <c r="F426" s="1"/>
      <c r="G426" s="1"/>
    </row>
    <row r="427" spans="1:7">
      <c r="A427" s="1" t="e">
        <f>VLOOKUP(B427,PLANOS!A:B,2,0)&amp;D427&amp;C427</f>
        <v>#N/A</v>
      </c>
      <c r="B427" s="1"/>
      <c r="C427" s="1"/>
      <c r="D427" s="155"/>
      <c r="F427" s="1"/>
      <c r="G427" s="1"/>
    </row>
    <row r="428" spans="1:7">
      <c r="A428" s="1" t="e">
        <f>VLOOKUP(B428,PLANOS!A:B,2,0)&amp;D428&amp;C428</f>
        <v>#N/A</v>
      </c>
      <c r="B428" s="1"/>
      <c r="C428" s="1"/>
      <c r="D428" s="155"/>
      <c r="F428" s="1"/>
      <c r="G428" s="1"/>
    </row>
    <row r="429" spans="1:7">
      <c r="A429" s="1" t="e">
        <f>VLOOKUP(B429,PLANOS!A:B,2,0)&amp;D429&amp;C429</f>
        <v>#N/A</v>
      </c>
      <c r="B429" s="1"/>
      <c r="C429" s="1"/>
      <c r="D429" s="155"/>
      <c r="F429" s="1"/>
      <c r="G429" s="1"/>
    </row>
    <row r="430" spans="1:7">
      <c r="A430" s="1" t="e">
        <f>VLOOKUP(B430,PLANOS!A:B,2,0)&amp;D430&amp;C430</f>
        <v>#N/A</v>
      </c>
      <c r="B430" s="1"/>
      <c r="C430" s="1"/>
      <c r="D430" s="155"/>
      <c r="F430" s="1"/>
      <c r="G430" s="1"/>
    </row>
    <row r="431" spans="1:7">
      <c r="A431" s="1" t="e">
        <f>VLOOKUP(B431,PLANOS!A:B,2,0)&amp;D431&amp;C431</f>
        <v>#N/A</v>
      </c>
      <c r="B431" s="1"/>
      <c r="C431" s="1"/>
      <c r="D431" s="155"/>
      <c r="F431" s="1"/>
      <c r="G431" s="1"/>
    </row>
    <row r="432" spans="1:7">
      <c r="A432" s="1" t="e">
        <f>VLOOKUP(B432,PLANOS!A:B,2,0)&amp;D432&amp;C432</f>
        <v>#N/A</v>
      </c>
      <c r="B432" s="1"/>
      <c r="C432" s="1"/>
      <c r="D432" s="155"/>
      <c r="F432" s="1"/>
      <c r="G432" s="1"/>
    </row>
    <row r="433" spans="1:7">
      <c r="A433" s="1" t="e">
        <f>VLOOKUP(B433,PLANOS!A:B,2,0)&amp;D433&amp;C433</f>
        <v>#N/A</v>
      </c>
      <c r="B433" s="1"/>
      <c r="C433" s="1"/>
      <c r="D433" s="155"/>
      <c r="F433" s="1"/>
      <c r="G433" s="1"/>
    </row>
    <row r="434" spans="1:7">
      <c r="A434" s="1" t="e">
        <f>VLOOKUP(B434,PLANOS!A:B,2,0)&amp;D434&amp;C434</f>
        <v>#N/A</v>
      </c>
      <c r="B434" s="1"/>
      <c r="C434" s="1"/>
      <c r="D434" s="155"/>
      <c r="F434" s="1"/>
      <c r="G434" s="1"/>
    </row>
    <row r="435" spans="1:7">
      <c r="A435" s="1" t="e">
        <f>VLOOKUP(B435,PLANOS!A:B,2,0)&amp;D435&amp;C435</f>
        <v>#N/A</v>
      </c>
      <c r="B435" s="1"/>
      <c r="C435" s="1"/>
      <c r="D435" s="155"/>
      <c r="F435" s="1"/>
      <c r="G435" s="1"/>
    </row>
    <row r="436" spans="1:7">
      <c r="A436" s="1" t="e">
        <f>VLOOKUP(B436,PLANOS!A:B,2,0)&amp;D436&amp;C436</f>
        <v>#N/A</v>
      </c>
      <c r="B436" s="1"/>
      <c r="C436" s="1"/>
      <c r="D436" s="155"/>
      <c r="F436" s="1"/>
      <c r="G436" s="1"/>
    </row>
    <row r="437" spans="1:7">
      <c r="A437" s="1" t="e">
        <f>VLOOKUP(B437,PLANOS!A:B,2,0)&amp;D437&amp;C437</f>
        <v>#N/A</v>
      </c>
      <c r="B437" s="1"/>
      <c r="C437" s="1"/>
      <c r="D437" s="155"/>
      <c r="F437" s="1"/>
      <c r="G437" s="1"/>
    </row>
    <row r="438" spans="1:7">
      <c r="A438" s="1" t="e">
        <f>VLOOKUP(B438,PLANOS!A:B,2,0)&amp;D438&amp;C438</f>
        <v>#N/A</v>
      </c>
      <c r="B438" s="1"/>
      <c r="C438" s="1"/>
      <c r="D438" s="155"/>
      <c r="F438" s="1"/>
      <c r="G438" s="1"/>
    </row>
    <row r="439" spans="1:7">
      <c r="A439" s="1" t="e">
        <f>VLOOKUP(B439,PLANOS!A:B,2,0)&amp;D439&amp;C439</f>
        <v>#N/A</v>
      </c>
      <c r="B439" s="1"/>
      <c r="C439" s="1"/>
      <c r="D439" s="155"/>
      <c r="F439" s="1"/>
      <c r="G439" s="1"/>
    </row>
    <row r="440" spans="1:7">
      <c r="A440" s="1" t="e">
        <f>VLOOKUP(B440,PLANOS!A:B,2,0)&amp;D440&amp;C440</f>
        <v>#N/A</v>
      </c>
      <c r="B440" s="1"/>
      <c r="C440" s="1"/>
      <c r="D440" s="155"/>
      <c r="F440" s="1"/>
      <c r="G440" s="1"/>
    </row>
    <row r="441" spans="1:7">
      <c r="A441" s="1" t="e">
        <f>VLOOKUP(B441,PLANOS!A:B,2,0)&amp;D441&amp;C441</f>
        <v>#N/A</v>
      </c>
      <c r="B441" s="1"/>
      <c r="C441" s="1"/>
      <c r="D441" s="155"/>
      <c r="F441" s="1"/>
      <c r="G441" s="1"/>
    </row>
    <row r="442" spans="1:7">
      <c r="A442" s="1" t="e">
        <f>VLOOKUP(B442,PLANOS!A:B,2,0)&amp;D442&amp;C442</f>
        <v>#N/A</v>
      </c>
      <c r="B442" s="1"/>
      <c r="C442" s="1"/>
      <c r="D442" s="155"/>
      <c r="F442" s="1"/>
      <c r="G442" s="1"/>
    </row>
    <row r="443" spans="1:7">
      <c r="A443" s="1" t="e">
        <f>VLOOKUP(B443,PLANOS!A:B,2,0)&amp;D443&amp;C443</f>
        <v>#N/A</v>
      </c>
      <c r="B443" s="1"/>
      <c r="C443" s="1"/>
      <c r="D443" s="155"/>
      <c r="F443" s="1"/>
      <c r="G443" s="1"/>
    </row>
    <row r="444" spans="1:7">
      <c r="A444" s="1" t="e">
        <f>VLOOKUP(B444,PLANOS!A:B,2,0)&amp;D444&amp;C444</f>
        <v>#N/A</v>
      </c>
      <c r="B444" s="1"/>
      <c r="C444" s="1"/>
      <c r="D444" s="155"/>
      <c r="F444" s="1"/>
      <c r="G444" s="1"/>
    </row>
    <row r="445" spans="1:7">
      <c r="A445" s="1" t="e">
        <f>VLOOKUP(B445,PLANOS!A:B,2,0)&amp;D445&amp;C445</f>
        <v>#N/A</v>
      </c>
      <c r="B445" s="1"/>
      <c r="C445" s="1"/>
      <c r="D445" s="155"/>
      <c r="F445" s="1"/>
      <c r="G445" s="1"/>
    </row>
    <row r="446" spans="1:7">
      <c r="A446" s="1" t="e">
        <f>VLOOKUP(B446,PLANOS!A:B,2,0)&amp;D446&amp;C446</f>
        <v>#N/A</v>
      </c>
      <c r="B446" s="1"/>
      <c r="C446" s="1"/>
      <c r="D446" s="155"/>
      <c r="F446" s="1"/>
      <c r="G446" s="1"/>
    </row>
    <row r="447" spans="1:7">
      <c r="A447" s="1" t="e">
        <f>VLOOKUP(B447,PLANOS!A:B,2,0)&amp;D447&amp;C447</f>
        <v>#N/A</v>
      </c>
      <c r="B447" s="1"/>
      <c r="C447" s="1"/>
      <c r="D447" s="155"/>
      <c r="F447" s="1"/>
      <c r="G447" s="1"/>
    </row>
    <row r="448" spans="1:7">
      <c r="A448" s="1" t="e">
        <f>VLOOKUP(B448,PLANOS!A:B,2,0)&amp;D448&amp;C448</f>
        <v>#N/A</v>
      </c>
      <c r="B448" s="1"/>
      <c r="C448" s="1"/>
      <c r="D448" s="155"/>
      <c r="F448" s="1"/>
      <c r="G448" s="1"/>
    </row>
    <row r="449" spans="1:7">
      <c r="A449" s="1" t="e">
        <f>VLOOKUP(B449,PLANOS!A:B,2,0)&amp;D449&amp;C449</f>
        <v>#N/A</v>
      </c>
      <c r="B449" s="1"/>
      <c r="C449" s="1"/>
      <c r="D449" s="155"/>
      <c r="F449" s="1"/>
      <c r="G449" s="1"/>
    </row>
    <row r="450" spans="1:7">
      <c r="A450" s="1" t="e">
        <f>VLOOKUP(B450,PLANOS!A:B,2,0)&amp;D450&amp;C450</f>
        <v>#N/A</v>
      </c>
      <c r="B450" s="1"/>
      <c r="C450" s="1"/>
      <c r="D450" s="155"/>
      <c r="F450" s="1"/>
      <c r="G450" s="1"/>
    </row>
    <row r="451" spans="1:7">
      <c r="A451" s="1" t="e">
        <f>VLOOKUP(B451,PLANOS!A:B,2,0)&amp;D451&amp;C451</f>
        <v>#N/A</v>
      </c>
      <c r="B451" s="1"/>
      <c r="C451" s="1"/>
      <c r="D451" s="155"/>
      <c r="F451" s="1"/>
      <c r="G451" s="1"/>
    </row>
    <row r="452" spans="1:7">
      <c r="A452" s="1" t="e">
        <f>VLOOKUP(B452,PLANOS!A:B,2,0)&amp;D452&amp;C452</f>
        <v>#N/A</v>
      </c>
      <c r="B452" s="1"/>
      <c r="C452" s="1"/>
      <c r="D452" s="155"/>
      <c r="F452" s="1"/>
      <c r="G452" s="1"/>
    </row>
    <row r="453" spans="1:7">
      <c r="A453" s="1" t="e">
        <f>VLOOKUP(B453,PLANOS!A:B,2,0)&amp;D453&amp;C453</f>
        <v>#N/A</v>
      </c>
      <c r="B453" s="1"/>
      <c r="C453" s="1"/>
      <c r="D453" s="155"/>
      <c r="F453" s="1"/>
      <c r="G453" s="1"/>
    </row>
    <row r="454" spans="1:7">
      <c r="A454" s="1" t="e">
        <f>VLOOKUP(B454,PLANOS!A:B,2,0)&amp;D454&amp;C454</f>
        <v>#N/A</v>
      </c>
      <c r="B454" s="1"/>
      <c r="C454" s="1"/>
      <c r="D454" s="155"/>
      <c r="F454" s="1"/>
      <c r="G454" s="1"/>
    </row>
    <row r="455" spans="1:7">
      <c r="A455" s="1" t="e">
        <f>VLOOKUP(B455,PLANOS!A:B,2,0)&amp;D455&amp;C455</f>
        <v>#N/A</v>
      </c>
      <c r="B455" s="1"/>
      <c r="C455" s="1"/>
      <c r="D455" s="155"/>
      <c r="F455" s="1"/>
      <c r="G455" s="1"/>
    </row>
    <row r="456" spans="1:7">
      <c r="A456" s="1" t="e">
        <f>VLOOKUP(B456,PLANOS!A:B,2,0)&amp;D456&amp;C456</f>
        <v>#N/A</v>
      </c>
      <c r="B456" s="1"/>
      <c r="C456" s="1"/>
      <c r="D456" s="155"/>
      <c r="F456" s="1"/>
      <c r="G456" s="1"/>
    </row>
    <row r="457" spans="1:7">
      <c r="A457" s="1" t="e">
        <f>VLOOKUP(B457,PLANOS!A:B,2,0)&amp;D457&amp;C457</f>
        <v>#N/A</v>
      </c>
      <c r="B457" s="1"/>
      <c r="C457" s="1"/>
      <c r="D457" s="155"/>
      <c r="F457" s="1"/>
      <c r="G457" s="1"/>
    </row>
    <row r="458" spans="1:7">
      <c r="A458" s="1" t="e">
        <f>VLOOKUP(B458,PLANOS!A:B,2,0)&amp;D458&amp;C458</f>
        <v>#N/A</v>
      </c>
      <c r="B458" s="1"/>
      <c r="C458" s="1"/>
      <c r="D458" s="155"/>
      <c r="F458" s="1"/>
      <c r="G458" s="1"/>
    </row>
    <row r="459" spans="1:7">
      <c r="A459" s="1" t="e">
        <f>VLOOKUP(B459,PLANOS!A:B,2,0)&amp;D459&amp;C459</f>
        <v>#N/A</v>
      </c>
      <c r="B459" s="1"/>
      <c r="C459" s="1"/>
      <c r="D459" s="155"/>
      <c r="F459" s="1"/>
      <c r="G459" s="1"/>
    </row>
    <row r="460" spans="1:7">
      <c r="A460" s="1" t="e">
        <f>VLOOKUP(B460,PLANOS!A:B,2,0)&amp;D460&amp;C460</f>
        <v>#N/A</v>
      </c>
      <c r="B460" s="1"/>
      <c r="C460" s="1"/>
      <c r="D460" s="155"/>
      <c r="F460" s="1"/>
      <c r="G460" s="1"/>
    </row>
    <row r="461" spans="1:7">
      <c r="A461" s="1" t="e">
        <f>VLOOKUP(B461,PLANOS!A:B,2,0)&amp;D461&amp;C461</f>
        <v>#N/A</v>
      </c>
      <c r="B461" s="1"/>
      <c r="C461" s="1"/>
      <c r="D461" s="155"/>
      <c r="F461" s="1"/>
      <c r="G461" s="1"/>
    </row>
    <row r="462" spans="1:7">
      <c r="A462" s="1" t="e">
        <f>VLOOKUP(B462,PLANOS!A:B,2,0)&amp;D462&amp;C462</f>
        <v>#N/A</v>
      </c>
      <c r="B462" s="1"/>
      <c r="C462" s="1"/>
      <c r="D462" s="155"/>
      <c r="F462" s="1"/>
      <c r="G462" s="1"/>
    </row>
    <row r="463" spans="1:7">
      <c r="A463" s="1" t="e">
        <f>VLOOKUP(B463,PLANOS!A:B,2,0)&amp;D463&amp;C463</f>
        <v>#N/A</v>
      </c>
      <c r="B463" s="1"/>
      <c r="C463" s="1"/>
      <c r="D463" s="155"/>
      <c r="F463" s="1"/>
      <c r="G463" s="1"/>
    </row>
    <row r="464" spans="1:7">
      <c r="A464" s="1" t="e">
        <f>VLOOKUP(B464,PLANOS!A:B,2,0)&amp;D464&amp;C464</f>
        <v>#N/A</v>
      </c>
      <c r="B464" s="1"/>
      <c r="C464" s="1"/>
      <c r="D464" s="155"/>
      <c r="F464" s="1"/>
      <c r="G464" s="1"/>
    </row>
    <row r="465" spans="1:7">
      <c r="A465" s="1" t="e">
        <f>VLOOKUP(B465,PLANOS!A:B,2,0)&amp;D465&amp;C465</f>
        <v>#N/A</v>
      </c>
      <c r="B465" s="1"/>
      <c r="C465" s="1"/>
      <c r="D465" s="155"/>
      <c r="F465" s="1"/>
      <c r="G465" s="1"/>
    </row>
    <row r="466" spans="1:7">
      <c r="A466" s="1" t="e">
        <f>VLOOKUP(B466,PLANOS!A:B,2,0)&amp;D466&amp;C466</f>
        <v>#N/A</v>
      </c>
      <c r="B466" s="1"/>
      <c r="C466" s="1"/>
      <c r="D466" s="155"/>
      <c r="F466" s="1"/>
      <c r="G466" s="1"/>
    </row>
    <row r="467" spans="1:7">
      <c r="A467" s="1" t="e">
        <f>VLOOKUP(B467,PLANOS!A:B,2,0)&amp;D467&amp;C467</f>
        <v>#N/A</v>
      </c>
      <c r="B467" s="1"/>
      <c r="C467" s="1"/>
      <c r="D467" s="155"/>
      <c r="F467" s="1"/>
      <c r="G467" s="1"/>
    </row>
    <row r="468" spans="1:7">
      <c r="A468" s="1" t="e">
        <f>VLOOKUP(B468,PLANOS!A:B,2,0)&amp;D468&amp;C468</f>
        <v>#N/A</v>
      </c>
      <c r="B468" s="1"/>
      <c r="C468" s="1"/>
      <c r="D468" s="155"/>
      <c r="F468" s="1"/>
      <c r="G468" s="1"/>
    </row>
    <row r="469" spans="1:7">
      <c r="A469" s="1" t="e">
        <f>VLOOKUP(B469,PLANOS!A:B,2,0)&amp;D469&amp;C469</f>
        <v>#N/A</v>
      </c>
      <c r="B469" s="1"/>
      <c r="C469" s="1"/>
      <c r="D469" s="155"/>
      <c r="F469" s="1"/>
      <c r="G469" s="1"/>
    </row>
    <row r="470" spans="1:7">
      <c r="A470" s="1" t="e">
        <f>VLOOKUP(B470,PLANOS!A:B,2,0)&amp;D470&amp;C470</f>
        <v>#N/A</v>
      </c>
      <c r="B470" s="1"/>
      <c r="C470" s="1"/>
      <c r="D470" s="155"/>
      <c r="F470" s="1"/>
      <c r="G470" s="1"/>
    </row>
    <row r="471" spans="1:7">
      <c r="A471" s="1" t="e">
        <f>VLOOKUP(B471,PLANOS!A:B,2,0)&amp;D471&amp;C471</f>
        <v>#N/A</v>
      </c>
      <c r="B471" s="1"/>
      <c r="C471" s="1"/>
      <c r="D471" s="155"/>
      <c r="F471" s="1"/>
      <c r="G471" s="1"/>
    </row>
    <row r="472" spans="1:7">
      <c r="A472" s="1" t="e">
        <f>VLOOKUP(B472,PLANOS!A:B,2,0)&amp;D472&amp;C472</f>
        <v>#N/A</v>
      </c>
      <c r="B472" s="1"/>
      <c r="C472" s="1"/>
      <c r="D472" s="155"/>
      <c r="F472" s="1"/>
      <c r="G472" s="1"/>
    </row>
    <row r="473" spans="1:7">
      <c r="A473" s="1" t="e">
        <f>VLOOKUP(B473,PLANOS!A:B,2,0)&amp;D473&amp;C473</f>
        <v>#N/A</v>
      </c>
      <c r="B473" s="1"/>
      <c r="C473" s="1"/>
      <c r="D473" s="155"/>
      <c r="F473" s="1"/>
      <c r="G473" s="1"/>
    </row>
    <row r="474" spans="1:7">
      <c r="A474" s="1" t="e">
        <f>VLOOKUP(B474,PLANOS!A:B,2,0)&amp;D474&amp;C474</f>
        <v>#N/A</v>
      </c>
      <c r="B474" s="1"/>
      <c r="C474" s="1"/>
      <c r="D474" s="155"/>
      <c r="F474" s="1"/>
      <c r="G474" s="1"/>
    </row>
    <row r="475" spans="1:7">
      <c r="A475" s="1" t="e">
        <f>VLOOKUP(B475,PLANOS!A:B,2,0)&amp;D475&amp;C475</f>
        <v>#N/A</v>
      </c>
      <c r="B475" s="1"/>
      <c r="C475" s="1"/>
      <c r="D475" s="155"/>
      <c r="F475" s="1"/>
      <c r="G475" s="1"/>
    </row>
    <row r="476" spans="1:7">
      <c r="A476" s="1" t="e">
        <f>VLOOKUP(B476,PLANOS!A:B,2,0)&amp;D476&amp;C476</f>
        <v>#N/A</v>
      </c>
      <c r="B476" s="1"/>
      <c r="C476" s="1"/>
      <c r="D476" s="155"/>
      <c r="F476" s="1"/>
      <c r="G476" s="1"/>
    </row>
    <row r="477" spans="1:7">
      <c r="A477" s="1" t="e">
        <f>VLOOKUP(B477,PLANOS!A:B,2,0)&amp;D477&amp;C477</f>
        <v>#N/A</v>
      </c>
      <c r="B477" s="1"/>
      <c r="C477" s="1"/>
      <c r="D477" s="155"/>
      <c r="F477" s="1"/>
      <c r="G477" s="1"/>
    </row>
    <row r="478" spans="1:7">
      <c r="A478" s="1" t="e">
        <f>VLOOKUP(B478,PLANOS!A:B,2,0)&amp;D478&amp;C478</f>
        <v>#N/A</v>
      </c>
      <c r="B478" s="1"/>
      <c r="C478" s="1"/>
      <c r="D478" s="155"/>
      <c r="F478" s="1"/>
      <c r="G478" s="1"/>
    </row>
    <row r="479" spans="1:7">
      <c r="A479" s="1" t="e">
        <f>VLOOKUP(B479,PLANOS!A:B,2,0)&amp;D479&amp;C479</f>
        <v>#N/A</v>
      </c>
      <c r="B479" s="1"/>
      <c r="C479" s="1"/>
      <c r="D479" s="155"/>
      <c r="F479" s="1"/>
      <c r="G479" s="1"/>
    </row>
    <row r="480" spans="1:7">
      <c r="A480" s="1" t="e">
        <f>VLOOKUP(B480,PLANOS!A:B,2,0)&amp;D480&amp;C480</f>
        <v>#N/A</v>
      </c>
      <c r="B480" s="1"/>
      <c r="C480" s="1"/>
      <c r="D480" s="155"/>
      <c r="F480" s="1"/>
      <c r="G480" s="1"/>
    </row>
    <row r="481" spans="1:7">
      <c r="A481" s="1" t="e">
        <f>VLOOKUP(B481,PLANOS!A:B,2,0)&amp;D481&amp;C481</f>
        <v>#N/A</v>
      </c>
      <c r="B481" s="1"/>
      <c r="C481" s="1"/>
      <c r="D481" s="155"/>
      <c r="F481" s="1"/>
      <c r="G481" s="1"/>
    </row>
    <row r="482" spans="1:7">
      <c r="A482" s="1" t="e">
        <f>VLOOKUP(B482,PLANOS!A:B,2,0)&amp;D482&amp;C482</f>
        <v>#N/A</v>
      </c>
      <c r="B482" s="1"/>
      <c r="C482" s="1"/>
      <c r="D482" s="155"/>
      <c r="F482" s="1"/>
      <c r="G482" s="1"/>
    </row>
    <row r="483" spans="1:7">
      <c r="A483" s="1" t="e">
        <f>VLOOKUP(B483,PLANOS!A:B,2,0)&amp;D483&amp;C483</f>
        <v>#N/A</v>
      </c>
      <c r="B483" s="1"/>
      <c r="C483" s="1"/>
      <c r="D483" s="155"/>
      <c r="F483" s="1"/>
      <c r="G483" s="1"/>
    </row>
    <row r="484" spans="1:7">
      <c r="A484" s="1" t="e">
        <f>VLOOKUP(B484,PLANOS!A:B,2,0)&amp;D484&amp;C484</f>
        <v>#N/A</v>
      </c>
      <c r="B484" s="1"/>
      <c r="C484" s="1"/>
      <c r="D484" s="155"/>
      <c r="F484" s="1"/>
      <c r="G484" s="1"/>
    </row>
    <row r="485" spans="1:7">
      <c r="A485" s="1" t="e">
        <f>VLOOKUP(B485,PLANOS!A:B,2,0)&amp;D485&amp;C485</f>
        <v>#N/A</v>
      </c>
      <c r="B485" s="1"/>
      <c r="C485" s="1"/>
      <c r="D485" s="155"/>
      <c r="F485" s="1"/>
      <c r="G485" s="1"/>
    </row>
    <row r="486" spans="1:7">
      <c r="A486" s="1" t="e">
        <f>VLOOKUP(B486,PLANOS!A:B,2,0)&amp;D486&amp;C486</f>
        <v>#N/A</v>
      </c>
      <c r="B486" s="1"/>
      <c r="C486" s="1"/>
      <c r="D486" s="155"/>
      <c r="F486" s="1"/>
      <c r="G486" s="1"/>
    </row>
    <row r="487" spans="1:7">
      <c r="A487" s="1" t="e">
        <f>VLOOKUP(B487,PLANOS!A:B,2,0)&amp;D487&amp;C487</f>
        <v>#N/A</v>
      </c>
      <c r="B487" s="1"/>
      <c r="C487" s="1"/>
      <c r="D487" s="155"/>
      <c r="F487" s="1"/>
      <c r="G487" s="1"/>
    </row>
    <row r="488" spans="1:7">
      <c r="A488" s="1" t="e">
        <f>VLOOKUP(B488,PLANOS!A:B,2,0)&amp;D488&amp;C488</f>
        <v>#N/A</v>
      </c>
      <c r="B488" s="1"/>
      <c r="C488" s="1"/>
      <c r="D488" s="155"/>
      <c r="F488" s="1"/>
      <c r="G488" s="1"/>
    </row>
    <row r="489" spans="1:7">
      <c r="A489" s="1" t="e">
        <f>VLOOKUP(B489,PLANOS!A:B,2,0)&amp;D489&amp;C489</f>
        <v>#N/A</v>
      </c>
      <c r="B489" s="1"/>
      <c r="C489" s="1"/>
      <c r="D489" s="155"/>
      <c r="F489" s="1"/>
      <c r="G489" s="1"/>
    </row>
    <row r="490" spans="1:7">
      <c r="A490" s="1" t="e">
        <f>VLOOKUP(B490,PLANOS!A:B,2,0)&amp;D490&amp;C490</f>
        <v>#N/A</v>
      </c>
      <c r="B490" s="1"/>
      <c r="C490" s="1"/>
      <c r="D490" s="155"/>
      <c r="F490" s="1"/>
      <c r="G490" s="1"/>
    </row>
    <row r="491" spans="1:7">
      <c r="A491" s="1" t="e">
        <f>VLOOKUP(B491,PLANOS!A:B,2,0)&amp;D491&amp;C491</f>
        <v>#N/A</v>
      </c>
      <c r="B491" s="1"/>
      <c r="C491" s="1"/>
      <c r="D491" s="155"/>
      <c r="F491" s="1"/>
      <c r="G491" s="1"/>
    </row>
    <row r="492" spans="1:7">
      <c r="A492" s="1" t="e">
        <f>VLOOKUP(B492,PLANOS!A:B,2,0)&amp;D492&amp;C492</f>
        <v>#N/A</v>
      </c>
      <c r="B492" s="1"/>
      <c r="C492" s="1"/>
      <c r="D492" s="155"/>
      <c r="F492" s="1"/>
      <c r="G492" s="1"/>
    </row>
    <row r="493" spans="1:7">
      <c r="A493" s="1" t="e">
        <f>VLOOKUP(B493,PLANOS!A:B,2,0)&amp;D493&amp;C493</f>
        <v>#N/A</v>
      </c>
      <c r="B493" s="1"/>
      <c r="C493" s="1"/>
      <c r="D493" s="155"/>
      <c r="F493" s="1"/>
      <c r="G493" s="1"/>
    </row>
    <row r="494" spans="1:7">
      <c r="A494" s="1" t="e">
        <f>VLOOKUP(B494,PLANOS!A:B,2,0)&amp;D494&amp;C494</f>
        <v>#N/A</v>
      </c>
      <c r="B494" s="1"/>
      <c r="C494" s="1"/>
      <c r="D494" s="155"/>
      <c r="F494" s="1"/>
      <c r="G494" s="1"/>
    </row>
    <row r="495" spans="1:7">
      <c r="A495" s="1" t="e">
        <f>VLOOKUP(B495,PLANOS!A:B,2,0)&amp;D495&amp;C495</f>
        <v>#N/A</v>
      </c>
      <c r="B495" s="1"/>
      <c r="C495" s="1"/>
      <c r="D495" s="155"/>
      <c r="F495" s="1"/>
      <c r="G495" s="1"/>
    </row>
    <row r="496" spans="1:7">
      <c r="A496" s="1" t="e">
        <f>VLOOKUP(B496,PLANOS!A:B,2,0)&amp;D496&amp;C496</f>
        <v>#N/A</v>
      </c>
      <c r="B496" s="1"/>
      <c r="C496" s="1"/>
      <c r="D496" s="155"/>
      <c r="F496" s="1"/>
      <c r="G496" s="1"/>
    </row>
    <row r="497" spans="1:7">
      <c r="A497" s="1" t="e">
        <f>VLOOKUP(B497,PLANOS!A:B,2,0)&amp;D497&amp;C497</f>
        <v>#N/A</v>
      </c>
      <c r="B497" s="1"/>
      <c r="C497" s="1"/>
      <c r="D497" s="155"/>
      <c r="F497" s="1"/>
      <c r="G497" s="1"/>
    </row>
    <row r="498" spans="1:7">
      <c r="A498" s="1" t="e">
        <f>VLOOKUP(B498,PLANOS!A:B,2,0)&amp;D498&amp;C498</f>
        <v>#N/A</v>
      </c>
      <c r="B498" s="1"/>
      <c r="C498" s="1"/>
      <c r="D498" s="155"/>
      <c r="F498" s="1"/>
      <c r="G498" s="1"/>
    </row>
    <row r="499" spans="1:7">
      <c r="A499" s="1" t="e">
        <f>VLOOKUP(B499,PLANOS!A:B,2,0)&amp;D499&amp;C499</f>
        <v>#N/A</v>
      </c>
      <c r="B499" s="1"/>
      <c r="C499" s="1"/>
      <c r="D499" s="155"/>
      <c r="F499" s="1"/>
      <c r="G499" s="1"/>
    </row>
    <row r="500" spans="1:7">
      <c r="A500" s="1" t="e">
        <f>VLOOKUP(B500,PLANOS!A:B,2,0)&amp;D500&amp;C500</f>
        <v>#N/A</v>
      </c>
      <c r="B500" s="1"/>
      <c r="C500" s="1"/>
      <c r="D500" s="155"/>
      <c r="F500" s="1"/>
      <c r="G500" s="1"/>
    </row>
    <row r="501" spans="1:7">
      <c r="A501" s="1" t="e">
        <f>VLOOKUP(B501,PLANOS!A:B,2,0)&amp;D501&amp;C501</f>
        <v>#N/A</v>
      </c>
      <c r="B501" s="1"/>
      <c r="C501" s="1"/>
      <c r="D501" s="155"/>
      <c r="F501" s="1"/>
      <c r="G501" s="1"/>
    </row>
    <row r="502" spans="1:7">
      <c r="A502" s="1" t="e">
        <f>VLOOKUP(B502,PLANOS!A:B,2,0)&amp;D502&amp;C502</f>
        <v>#N/A</v>
      </c>
      <c r="B502" s="1"/>
      <c r="C502" s="1"/>
      <c r="D502" s="155"/>
      <c r="F502" s="1"/>
      <c r="G502" s="1"/>
    </row>
    <row r="503" spans="1:7">
      <c r="A503" s="1" t="e">
        <f>VLOOKUP(B503,PLANOS!A:B,2,0)&amp;D503&amp;C503</f>
        <v>#N/A</v>
      </c>
      <c r="B503" s="1"/>
      <c r="C503" s="1"/>
      <c r="D503" s="155"/>
      <c r="F503" s="1"/>
      <c r="G503" s="1"/>
    </row>
    <row r="504" spans="1:7">
      <c r="A504" s="1" t="e">
        <f>VLOOKUP(B504,PLANOS!A:B,2,0)&amp;D504&amp;C504</f>
        <v>#N/A</v>
      </c>
      <c r="B504" s="1"/>
      <c r="C504" s="1"/>
      <c r="D504" s="155"/>
      <c r="F504" s="1"/>
      <c r="G504" s="1"/>
    </row>
    <row r="505" spans="1:7">
      <c r="A505" s="1" t="e">
        <f>VLOOKUP(B505,PLANOS!A:B,2,0)&amp;D505&amp;C505</f>
        <v>#N/A</v>
      </c>
      <c r="B505" s="1"/>
      <c r="C505" s="1"/>
      <c r="D505" s="155"/>
      <c r="F505" s="1"/>
      <c r="G505" s="1"/>
    </row>
    <row r="506" spans="1:7">
      <c r="A506" s="1" t="e">
        <f>VLOOKUP(B506,PLANOS!A:B,2,0)&amp;D506&amp;C506</f>
        <v>#N/A</v>
      </c>
      <c r="B506" s="1"/>
      <c r="C506" s="1"/>
      <c r="D506" s="155"/>
      <c r="F506" s="1"/>
      <c r="G506" s="1"/>
    </row>
    <row r="507" spans="1:7">
      <c r="A507" s="1" t="e">
        <f>VLOOKUP(B507,PLANOS!A:B,2,0)&amp;D507&amp;C507</f>
        <v>#N/A</v>
      </c>
      <c r="B507" s="1"/>
      <c r="C507" s="1"/>
      <c r="D507" s="155"/>
      <c r="F507" s="1"/>
      <c r="G507" s="1"/>
    </row>
    <row r="508" spans="1:7">
      <c r="A508" s="1" t="e">
        <f>VLOOKUP(B508,PLANOS!A:B,2,0)&amp;D508&amp;C508</f>
        <v>#N/A</v>
      </c>
      <c r="B508" s="1"/>
      <c r="C508" s="1"/>
      <c r="D508" s="155"/>
      <c r="F508" s="1"/>
      <c r="G508" s="1"/>
    </row>
    <row r="509" spans="1:7">
      <c r="A509" s="1" t="e">
        <f>VLOOKUP(B509,PLANOS!A:B,2,0)&amp;D509&amp;C509</f>
        <v>#N/A</v>
      </c>
      <c r="B509" s="1"/>
      <c r="C509" s="1"/>
      <c r="D509" s="155"/>
      <c r="F509" s="1"/>
      <c r="G509" s="1"/>
    </row>
    <row r="510" spans="1:7">
      <c r="A510" s="1" t="e">
        <f>VLOOKUP(B510,PLANOS!A:B,2,0)&amp;D510&amp;C510</f>
        <v>#N/A</v>
      </c>
      <c r="B510" s="1"/>
      <c r="C510" s="1"/>
      <c r="D510" s="155"/>
      <c r="F510" s="1"/>
      <c r="G510" s="1"/>
    </row>
    <row r="511" spans="1:7">
      <c r="A511" s="1" t="e">
        <f>VLOOKUP(B511,PLANOS!A:B,2,0)&amp;D511&amp;C511</f>
        <v>#N/A</v>
      </c>
      <c r="B511" s="1"/>
      <c r="C511" s="1"/>
      <c r="D511" s="155"/>
      <c r="F511" s="1"/>
      <c r="G511" s="1"/>
    </row>
    <row r="512" spans="1:7">
      <c r="A512" s="1" t="e">
        <f>VLOOKUP(B512,PLANOS!A:B,2,0)&amp;D512&amp;C512</f>
        <v>#N/A</v>
      </c>
      <c r="B512" s="1"/>
      <c r="C512" s="1"/>
      <c r="D512" s="155"/>
      <c r="F512" s="1"/>
      <c r="G512" s="1"/>
    </row>
    <row r="513" spans="1:7">
      <c r="A513" s="1" t="e">
        <f>VLOOKUP(B513,PLANOS!A:B,2,0)&amp;D513&amp;C513</f>
        <v>#N/A</v>
      </c>
      <c r="B513" s="1"/>
      <c r="C513" s="1"/>
      <c r="D513" s="155"/>
      <c r="F513" s="1"/>
      <c r="G513" s="1"/>
    </row>
    <row r="514" spans="1:7">
      <c r="A514" s="1" t="e">
        <f>VLOOKUP(B514,PLANOS!A:B,2,0)&amp;D514&amp;C514</f>
        <v>#N/A</v>
      </c>
      <c r="B514" s="1"/>
      <c r="C514" s="1"/>
      <c r="D514" s="155"/>
      <c r="F514" s="1"/>
      <c r="G514" s="1"/>
    </row>
    <row r="515" spans="1:7">
      <c r="A515" s="1" t="e">
        <f>VLOOKUP(B515,PLANOS!A:B,2,0)&amp;D515&amp;C515</f>
        <v>#N/A</v>
      </c>
      <c r="B515" s="1"/>
      <c r="C515" s="1"/>
      <c r="D515" s="155"/>
      <c r="F515" s="1"/>
      <c r="G515" s="1"/>
    </row>
    <row r="516" spans="1:7">
      <c r="A516" s="1" t="e">
        <f>VLOOKUP(B516,PLANOS!A:B,2,0)&amp;D516&amp;C516</f>
        <v>#N/A</v>
      </c>
      <c r="B516" s="1"/>
      <c r="C516" s="1"/>
      <c r="D516" s="155"/>
      <c r="F516" s="1"/>
      <c r="G516" s="1"/>
    </row>
    <row r="517" spans="1:7">
      <c r="A517" s="1" t="e">
        <f>VLOOKUP(B517,PLANOS!A:B,2,0)&amp;D517&amp;C517</f>
        <v>#N/A</v>
      </c>
      <c r="B517" s="1"/>
      <c r="C517" s="1"/>
      <c r="D517" s="155"/>
      <c r="F517" s="1"/>
      <c r="G517" s="1"/>
    </row>
    <row r="518" spans="1:7">
      <c r="A518" s="1" t="e">
        <f>VLOOKUP(B518,PLANOS!A:B,2,0)&amp;D518&amp;C518</f>
        <v>#N/A</v>
      </c>
      <c r="B518" s="1"/>
      <c r="C518" s="1"/>
      <c r="D518" s="155"/>
      <c r="F518" s="1"/>
      <c r="G518" s="1"/>
    </row>
    <row r="519" spans="1:7">
      <c r="A519" s="1" t="e">
        <f>VLOOKUP(B519,PLANOS!A:B,2,0)&amp;D519&amp;C519</f>
        <v>#N/A</v>
      </c>
      <c r="B519" s="1"/>
      <c r="C519" s="1"/>
      <c r="D519" s="155"/>
      <c r="F519" s="1"/>
      <c r="G519" s="1"/>
    </row>
    <row r="520" spans="1:7">
      <c r="A520" s="1" t="e">
        <f>VLOOKUP(B520,PLANOS!A:B,2,0)&amp;D520&amp;C520</f>
        <v>#N/A</v>
      </c>
      <c r="B520" s="1"/>
      <c r="C520" s="1"/>
      <c r="D520" s="155"/>
      <c r="F520" s="1"/>
      <c r="G520" s="1"/>
    </row>
    <row r="521" spans="1:7">
      <c r="A521" s="1" t="e">
        <f>VLOOKUP(B521,PLANOS!A:B,2,0)&amp;D521&amp;C521</f>
        <v>#N/A</v>
      </c>
      <c r="B521" s="1"/>
      <c r="C521" s="1"/>
      <c r="D521" s="155"/>
      <c r="F521" s="1"/>
      <c r="G521" s="1"/>
    </row>
    <row r="522" spans="1:7">
      <c r="A522" s="1" t="e">
        <f>VLOOKUP(B522,PLANOS!A:B,2,0)&amp;D522&amp;C522</f>
        <v>#N/A</v>
      </c>
      <c r="B522" s="1"/>
      <c r="C522" s="1"/>
      <c r="D522" s="155"/>
      <c r="F522" s="1"/>
      <c r="G522" s="1"/>
    </row>
    <row r="523" spans="1:7">
      <c r="A523" s="1" t="e">
        <f>VLOOKUP(B523,PLANOS!A:B,2,0)&amp;D523&amp;C523</f>
        <v>#N/A</v>
      </c>
      <c r="B523" s="1"/>
      <c r="C523" s="1"/>
      <c r="D523" s="155"/>
      <c r="F523" s="1"/>
      <c r="G523" s="1"/>
    </row>
    <row r="524" spans="1:7">
      <c r="A524" s="1" t="e">
        <f>VLOOKUP(B524,PLANOS!A:B,2,0)&amp;D524&amp;C524</f>
        <v>#N/A</v>
      </c>
      <c r="B524" s="1"/>
      <c r="C524" s="1"/>
      <c r="D524" s="155"/>
      <c r="F524" s="1"/>
      <c r="G524" s="1"/>
    </row>
    <row r="525" spans="1:7">
      <c r="A525" s="1" t="e">
        <f>VLOOKUP(B525,PLANOS!A:B,2,0)&amp;D525&amp;C525</f>
        <v>#N/A</v>
      </c>
      <c r="B525" s="1"/>
      <c r="C525" s="1"/>
      <c r="D525" s="155"/>
      <c r="F525" s="1"/>
      <c r="G525" s="1"/>
    </row>
    <row r="526" spans="1:7">
      <c r="A526" s="1" t="e">
        <f>VLOOKUP(B526,PLANOS!A:B,2,0)&amp;D526&amp;C526</f>
        <v>#N/A</v>
      </c>
      <c r="B526" s="1"/>
      <c r="C526" s="1"/>
      <c r="D526" s="155"/>
      <c r="F526" s="1"/>
      <c r="G526" s="1"/>
    </row>
    <row r="527" spans="1:7">
      <c r="A527" s="1" t="e">
        <f>VLOOKUP(B527,PLANOS!A:B,2,0)&amp;D527&amp;C527</f>
        <v>#N/A</v>
      </c>
      <c r="B527" s="1"/>
      <c r="C527" s="1"/>
      <c r="D527" s="155"/>
      <c r="F527" s="1"/>
      <c r="G527" s="1"/>
    </row>
    <row r="528" spans="1:7">
      <c r="A528" s="1" t="e">
        <f>VLOOKUP(B528,PLANOS!A:B,2,0)&amp;D528&amp;C528</f>
        <v>#N/A</v>
      </c>
      <c r="B528" s="1"/>
      <c r="C528" s="1"/>
      <c r="D528" s="155"/>
      <c r="F528" s="1"/>
      <c r="G528" s="1"/>
    </row>
    <row r="529" spans="1:7">
      <c r="A529" s="1" t="e">
        <f>VLOOKUP(B529,PLANOS!A:B,2,0)&amp;D529&amp;C529</f>
        <v>#N/A</v>
      </c>
      <c r="B529" s="1"/>
      <c r="C529" s="1"/>
      <c r="D529" s="155"/>
      <c r="F529" s="1"/>
      <c r="G529" s="1"/>
    </row>
    <row r="530" spans="1:7">
      <c r="A530" s="1" t="e">
        <f>VLOOKUP(B530,PLANOS!A:B,2,0)&amp;D530&amp;C530</f>
        <v>#N/A</v>
      </c>
      <c r="B530" s="1"/>
      <c r="C530" s="1"/>
      <c r="D530" s="155"/>
      <c r="F530" s="1"/>
      <c r="G530" s="1"/>
    </row>
    <row r="531" spans="1:7">
      <c r="A531" s="1" t="e">
        <f>VLOOKUP(B531,PLANOS!A:B,2,0)&amp;D531&amp;C531</f>
        <v>#N/A</v>
      </c>
      <c r="B531" s="1"/>
      <c r="C531" s="1"/>
      <c r="D531" s="155"/>
      <c r="F531" s="1"/>
      <c r="G531" s="1"/>
    </row>
    <row r="532" spans="1:7">
      <c r="A532" s="1" t="e">
        <f>VLOOKUP(B532,PLANOS!A:B,2,0)&amp;D532&amp;C532</f>
        <v>#N/A</v>
      </c>
      <c r="B532" s="1"/>
      <c r="C532" s="1"/>
      <c r="D532" s="155"/>
      <c r="F532" s="1"/>
      <c r="G532" s="1"/>
    </row>
    <row r="533" spans="1:7">
      <c r="A533" s="1" t="e">
        <f>VLOOKUP(B533,PLANOS!A:B,2,0)&amp;D533&amp;C533</f>
        <v>#N/A</v>
      </c>
      <c r="B533" s="1"/>
      <c r="C533" s="1"/>
      <c r="D533" s="155"/>
      <c r="F533" s="1"/>
      <c r="G533" s="1"/>
    </row>
    <row r="534" spans="1:7">
      <c r="A534" s="1" t="e">
        <f>VLOOKUP(B534,PLANOS!A:B,2,0)&amp;D534&amp;C534</f>
        <v>#N/A</v>
      </c>
      <c r="B534" s="1"/>
      <c r="C534" s="1"/>
      <c r="D534" s="155"/>
      <c r="F534" s="1"/>
      <c r="G534" s="1"/>
    </row>
    <row r="535" spans="1:7">
      <c r="A535" s="1" t="e">
        <f>VLOOKUP(B535,PLANOS!A:B,2,0)&amp;D535&amp;C535</f>
        <v>#N/A</v>
      </c>
      <c r="B535" s="1"/>
      <c r="C535" s="1"/>
      <c r="D535" s="155"/>
      <c r="F535" s="1"/>
      <c r="G535" s="1"/>
    </row>
    <row r="536" spans="1:7">
      <c r="A536" s="1" t="e">
        <f>VLOOKUP(B536,PLANOS!A:B,2,0)&amp;D536&amp;C536</f>
        <v>#N/A</v>
      </c>
      <c r="B536" s="1"/>
      <c r="C536" s="1"/>
      <c r="D536" s="155"/>
      <c r="F536" s="1"/>
      <c r="G536" s="1"/>
    </row>
    <row r="537" spans="1:7">
      <c r="A537" s="1" t="e">
        <f>VLOOKUP(B537,PLANOS!A:B,2,0)&amp;D537&amp;C537</f>
        <v>#N/A</v>
      </c>
      <c r="B537" s="1"/>
      <c r="C537" s="1"/>
      <c r="D537" s="155"/>
      <c r="F537" s="1"/>
      <c r="G537" s="1"/>
    </row>
    <row r="538" spans="1:7">
      <c r="A538" s="1" t="e">
        <f>VLOOKUP(B538,PLANOS!A:B,2,0)&amp;D538&amp;C538</f>
        <v>#N/A</v>
      </c>
      <c r="B538" s="1"/>
      <c r="C538" s="1"/>
      <c r="D538" s="155"/>
      <c r="F538" s="1"/>
      <c r="G538" s="1"/>
    </row>
    <row r="539" spans="1:7">
      <c r="A539" s="1" t="e">
        <f>VLOOKUP(B539,PLANOS!A:B,2,0)&amp;D539&amp;C539</f>
        <v>#N/A</v>
      </c>
      <c r="B539" s="1"/>
      <c r="C539" s="1"/>
      <c r="D539" s="155"/>
      <c r="F539" s="1"/>
      <c r="G539" s="1"/>
    </row>
    <row r="540" spans="1:7">
      <c r="A540" s="1" t="e">
        <f>VLOOKUP(B540,PLANOS!A:B,2,0)&amp;D540&amp;C540</f>
        <v>#N/A</v>
      </c>
      <c r="B540" s="1"/>
      <c r="C540" s="1"/>
      <c r="D540" s="155"/>
      <c r="F540" s="1"/>
      <c r="G540" s="1"/>
    </row>
    <row r="541" spans="1:7">
      <c r="A541" s="1" t="e">
        <f>VLOOKUP(B541,PLANOS!A:B,2,0)&amp;D541&amp;C541</f>
        <v>#N/A</v>
      </c>
      <c r="B541" s="1"/>
      <c r="C541" s="1"/>
      <c r="D541" s="155"/>
      <c r="F541" s="1"/>
      <c r="G541" s="1"/>
    </row>
    <row r="542" spans="1:7">
      <c r="A542" s="1" t="e">
        <f>VLOOKUP(B542,PLANOS!A:B,2,0)&amp;D542&amp;C542</f>
        <v>#N/A</v>
      </c>
      <c r="B542" s="1"/>
      <c r="C542" s="1"/>
      <c r="D542" s="155"/>
      <c r="F542" s="1"/>
      <c r="G542" s="1"/>
    </row>
    <row r="543" spans="1:7">
      <c r="A543" s="1" t="e">
        <f>VLOOKUP(B543,PLANOS!A:B,2,0)&amp;D543&amp;C543</f>
        <v>#N/A</v>
      </c>
      <c r="B543" s="1"/>
      <c r="C543" s="1"/>
      <c r="D543" s="155"/>
      <c r="F543" s="1"/>
      <c r="G543" s="1"/>
    </row>
    <row r="544" spans="1:7">
      <c r="A544" s="1" t="e">
        <f>VLOOKUP(B544,PLANOS!A:B,2,0)&amp;D544&amp;C544</f>
        <v>#N/A</v>
      </c>
      <c r="B544" s="1"/>
      <c r="C544" s="1"/>
      <c r="D544" s="155"/>
      <c r="F544" s="1"/>
      <c r="G544" s="1"/>
    </row>
    <row r="545" spans="1:7">
      <c r="A545" s="1" t="e">
        <f>VLOOKUP(B545,PLANOS!A:B,2,0)&amp;D545&amp;C545</f>
        <v>#N/A</v>
      </c>
      <c r="B545" s="1"/>
      <c r="C545" s="1"/>
      <c r="D545" s="155"/>
      <c r="F545" s="1"/>
      <c r="G545" s="1"/>
    </row>
    <row r="546" spans="1:7">
      <c r="A546" s="1" t="e">
        <f>VLOOKUP(B546,PLANOS!A:B,2,0)&amp;D546&amp;C546</f>
        <v>#N/A</v>
      </c>
      <c r="B546" s="1"/>
      <c r="C546" s="1"/>
      <c r="D546" s="155"/>
      <c r="F546" s="1"/>
      <c r="G546" s="1"/>
    </row>
    <row r="547" spans="1:7">
      <c r="A547" s="1" t="e">
        <f>VLOOKUP(B547,PLANOS!A:B,2,0)&amp;D547&amp;C547</f>
        <v>#N/A</v>
      </c>
      <c r="B547" s="1"/>
      <c r="C547" s="1"/>
      <c r="D547" s="155"/>
      <c r="F547" s="1"/>
      <c r="G547" s="1"/>
    </row>
    <row r="548" spans="1:7">
      <c r="A548" s="1" t="e">
        <f>VLOOKUP(B548,PLANOS!A:B,2,0)&amp;D548&amp;C548</f>
        <v>#N/A</v>
      </c>
      <c r="B548" s="1"/>
      <c r="C548" s="1"/>
      <c r="D548" s="155"/>
      <c r="F548" s="1"/>
      <c r="G548" s="1"/>
    </row>
    <row r="549" spans="1:7">
      <c r="A549" s="1" t="e">
        <f>VLOOKUP(B549,PLANOS!A:B,2,0)&amp;D549&amp;C549</f>
        <v>#N/A</v>
      </c>
      <c r="B549" s="1"/>
      <c r="C549" s="1"/>
      <c r="D549" s="155"/>
      <c r="F549" s="1"/>
      <c r="G549" s="1"/>
    </row>
    <row r="550" spans="1:7">
      <c r="A550" s="1" t="e">
        <f>VLOOKUP(B550,PLANOS!A:B,2,0)&amp;D550&amp;C550</f>
        <v>#N/A</v>
      </c>
      <c r="B550" s="1"/>
      <c r="C550" s="1"/>
      <c r="D550" s="155"/>
      <c r="F550" s="1"/>
      <c r="G550" s="1"/>
    </row>
    <row r="551" spans="1:7">
      <c r="A551" s="1" t="e">
        <f>VLOOKUP(B551,PLANOS!A:B,2,0)&amp;D551&amp;C551</f>
        <v>#N/A</v>
      </c>
      <c r="B551" s="1"/>
      <c r="C551" s="1"/>
      <c r="D551" s="155"/>
      <c r="F551" s="1"/>
      <c r="G551" s="1"/>
    </row>
    <row r="552" spans="1:7">
      <c r="A552" s="1" t="e">
        <f>VLOOKUP(B552,PLANOS!A:B,2,0)&amp;D552&amp;C552</f>
        <v>#N/A</v>
      </c>
      <c r="B552" s="1"/>
      <c r="C552" s="1"/>
      <c r="D552" s="155"/>
      <c r="F552" s="1"/>
      <c r="G552" s="1"/>
    </row>
    <row r="553" spans="1:7">
      <c r="A553" s="1" t="e">
        <f>VLOOKUP(B553,PLANOS!A:B,2,0)&amp;D553&amp;C553</f>
        <v>#N/A</v>
      </c>
      <c r="B553" s="1"/>
      <c r="C553" s="1"/>
      <c r="D553" s="155"/>
      <c r="F553" s="1"/>
      <c r="G553" s="1"/>
    </row>
    <row r="554" spans="1:7">
      <c r="A554" s="1" t="e">
        <f>VLOOKUP(B554,PLANOS!A:B,2,0)&amp;D554&amp;C554</f>
        <v>#N/A</v>
      </c>
      <c r="B554" s="1"/>
      <c r="C554" s="1"/>
      <c r="D554" s="155"/>
      <c r="F554" s="1"/>
      <c r="G554" s="1"/>
    </row>
    <row r="555" spans="1:7">
      <c r="A555" s="1" t="e">
        <f>VLOOKUP(B555,PLANOS!A:B,2,0)&amp;D555&amp;C555</f>
        <v>#N/A</v>
      </c>
      <c r="B555" s="1"/>
      <c r="C555" s="1"/>
      <c r="D555" s="155"/>
      <c r="F555" s="1"/>
      <c r="G555" s="1"/>
    </row>
    <row r="556" spans="1:7">
      <c r="A556" s="1" t="e">
        <f>VLOOKUP(B556,PLANOS!A:B,2,0)&amp;D556&amp;C556</f>
        <v>#N/A</v>
      </c>
      <c r="B556" s="1"/>
      <c r="C556" s="1"/>
      <c r="D556" s="155"/>
      <c r="F556" s="1"/>
      <c r="G556" s="1"/>
    </row>
    <row r="557" spans="1:7">
      <c r="A557" s="1" t="e">
        <f>VLOOKUP(B557,PLANOS!A:B,2,0)&amp;D557&amp;C557</f>
        <v>#N/A</v>
      </c>
      <c r="B557" s="1"/>
      <c r="C557" s="1"/>
      <c r="D557" s="155"/>
      <c r="F557" s="1"/>
      <c r="G557" s="1"/>
    </row>
    <row r="558" spans="1:7">
      <c r="A558" s="1" t="e">
        <f>VLOOKUP(B558,PLANOS!A:B,2,0)&amp;D558&amp;C558</f>
        <v>#N/A</v>
      </c>
      <c r="B558" s="1"/>
      <c r="C558" s="1"/>
      <c r="D558" s="155"/>
      <c r="F558" s="1"/>
      <c r="G558" s="1"/>
    </row>
    <row r="559" spans="1:7">
      <c r="A559" s="1" t="e">
        <f>VLOOKUP(B559,PLANOS!A:B,2,0)&amp;D559&amp;C559</f>
        <v>#N/A</v>
      </c>
      <c r="B559" s="1"/>
      <c r="C559" s="1"/>
      <c r="D559" s="155"/>
      <c r="F559" s="1"/>
      <c r="G559" s="1"/>
    </row>
    <row r="560" spans="1:7">
      <c r="A560" s="1" t="e">
        <f>VLOOKUP(B560,PLANOS!A:B,2,0)&amp;D560&amp;C560</f>
        <v>#N/A</v>
      </c>
      <c r="B560" s="1"/>
      <c r="C560" s="1"/>
      <c r="D560" s="155"/>
      <c r="F560" s="1"/>
      <c r="G560" s="1"/>
    </row>
    <row r="561" spans="1:7">
      <c r="A561" s="1" t="e">
        <f>VLOOKUP(B561,PLANOS!A:B,2,0)&amp;D561&amp;C561</f>
        <v>#N/A</v>
      </c>
      <c r="B561" s="1"/>
      <c r="C561" s="1"/>
      <c r="D561" s="155"/>
      <c r="F561" s="1"/>
      <c r="G561" s="1"/>
    </row>
    <row r="562" spans="1:7">
      <c r="A562" s="1" t="e">
        <f>VLOOKUP(B562,PLANOS!A:B,2,0)&amp;D562&amp;C562</f>
        <v>#N/A</v>
      </c>
      <c r="B562" s="1"/>
      <c r="C562" s="1"/>
      <c r="D562" s="155"/>
      <c r="F562" s="1"/>
      <c r="G562" s="1"/>
    </row>
    <row r="563" spans="1:7">
      <c r="A563" s="1" t="e">
        <f>VLOOKUP(B563,PLANOS!A:B,2,0)&amp;D563&amp;C563</f>
        <v>#N/A</v>
      </c>
      <c r="B563" s="1"/>
      <c r="C563" s="1"/>
      <c r="D563" s="155"/>
      <c r="F563" s="1"/>
      <c r="G563" s="1"/>
    </row>
    <row r="564" spans="1:7">
      <c r="A564" s="1" t="e">
        <f>VLOOKUP(B564,PLANOS!A:B,2,0)&amp;D564&amp;C564</f>
        <v>#N/A</v>
      </c>
      <c r="B564" s="1"/>
      <c r="C564" s="1"/>
      <c r="D564" s="155"/>
      <c r="F564" s="1"/>
      <c r="G564" s="1"/>
    </row>
    <row r="565" spans="1:7">
      <c r="A565" s="1" t="e">
        <f>VLOOKUP(B565,PLANOS!A:B,2,0)&amp;D565&amp;C565</f>
        <v>#N/A</v>
      </c>
      <c r="B565" s="1"/>
      <c r="C565" s="1"/>
      <c r="D565" s="155"/>
      <c r="F565" s="1"/>
      <c r="G565" s="1"/>
    </row>
    <row r="566" spans="1:7">
      <c r="A566" s="1" t="e">
        <f>VLOOKUP(B566,PLANOS!A:B,2,0)&amp;D566&amp;C566</f>
        <v>#N/A</v>
      </c>
      <c r="B566" s="1"/>
      <c r="C566" s="1"/>
      <c r="D566" s="155"/>
      <c r="F566" s="1"/>
      <c r="G566" s="1"/>
    </row>
    <row r="567" spans="1:7">
      <c r="A567" s="1" t="e">
        <f>VLOOKUP(B567,PLANOS!A:B,2,0)&amp;D567&amp;C567</f>
        <v>#N/A</v>
      </c>
      <c r="B567" s="1"/>
      <c r="C567" s="1"/>
      <c r="D567" s="155"/>
      <c r="F567" s="1"/>
      <c r="G567" s="1"/>
    </row>
    <row r="568" spans="1:7">
      <c r="A568" s="1" t="e">
        <f>VLOOKUP(B568,PLANOS!A:B,2,0)&amp;D568&amp;C568</f>
        <v>#N/A</v>
      </c>
      <c r="B568" s="1"/>
      <c r="C568" s="1"/>
      <c r="D568" s="155"/>
      <c r="F568" s="1"/>
      <c r="G568" s="1"/>
    </row>
    <row r="569" spans="1:7">
      <c r="A569" s="1" t="e">
        <f>VLOOKUP(B569,PLANOS!A:B,2,0)&amp;D569&amp;C569</f>
        <v>#N/A</v>
      </c>
      <c r="B569" s="1"/>
      <c r="C569" s="1"/>
      <c r="D569" s="155"/>
      <c r="F569" s="1"/>
      <c r="G569" s="1"/>
    </row>
    <row r="570" spans="1:7">
      <c r="A570" s="1" t="e">
        <f>VLOOKUP(B570,PLANOS!A:B,2,0)&amp;D570&amp;C570</f>
        <v>#N/A</v>
      </c>
      <c r="B570" s="1"/>
      <c r="C570" s="1"/>
      <c r="D570" s="155"/>
      <c r="F570" s="1"/>
      <c r="G570" s="1"/>
    </row>
    <row r="571" spans="1:7">
      <c r="A571" s="1" t="e">
        <f>VLOOKUP(B571,PLANOS!A:B,2,0)&amp;D571&amp;C571</f>
        <v>#N/A</v>
      </c>
      <c r="B571" s="1"/>
      <c r="C571" s="1"/>
      <c r="D571" s="155"/>
      <c r="F571" s="1"/>
      <c r="G571" s="1"/>
    </row>
    <row r="572" spans="1:7">
      <c r="A572" s="1" t="e">
        <f>VLOOKUP(B572,PLANOS!A:B,2,0)&amp;D572&amp;C572</f>
        <v>#N/A</v>
      </c>
      <c r="B572" s="1"/>
      <c r="C572" s="1"/>
      <c r="D572" s="155"/>
      <c r="F572" s="1"/>
      <c r="G572" s="1"/>
    </row>
    <row r="573" spans="1:7">
      <c r="A573" s="1" t="e">
        <f>VLOOKUP(B573,PLANOS!A:B,2,0)&amp;D573&amp;C573</f>
        <v>#N/A</v>
      </c>
      <c r="B573" s="1"/>
      <c r="C573" s="1"/>
      <c r="D573" s="155"/>
      <c r="F573" s="1"/>
      <c r="G573" s="1"/>
    </row>
    <row r="574" spans="1:7">
      <c r="A574" s="1" t="e">
        <f>VLOOKUP(B574,PLANOS!A:B,2,0)&amp;D574&amp;C574</f>
        <v>#N/A</v>
      </c>
      <c r="B574" s="1"/>
      <c r="C574" s="1"/>
      <c r="D574" s="155"/>
      <c r="F574" s="1"/>
      <c r="G574" s="1"/>
    </row>
    <row r="575" spans="1:7">
      <c r="A575" s="1" t="e">
        <f>VLOOKUP(B575,PLANOS!A:B,2,0)&amp;D575&amp;C575</f>
        <v>#N/A</v>
      </c>
      <c r="B575" s="1"/>
      <c r="C575" s="1"/>
      <c r="D575" s="155"/>
      <c r="F575" s="1"/>
      <c r="G575" s="1"/>
    </row>
    <row r="576" spans="1:7">
      <c r="A576" s="1" t="e">
        <f>VLOOKUP(B576,PLANOS!A:B,2,0)&amp;D576&amp;C576</f>
        <v>#N/A</v>
      </c>
      <c r="B576" s="1"/>
      <c r="C576" s="1"/>
      <c r="D576" s="155"/>
      <c r="F576" s="1"/>
      <c r="G576" s="1"/>
    </row>
    <row r="577" spans="1:7">
      <c r="A577" s="1" t="e">
        <f>VLOOKUP(B577,PLANOS!A:B,2,0)&amp;D577&amp;C577</f>
        <v>#N/A</v>
      </c>
      <c r="B577" s="1"/>
      <c r="C577" s="1"/>
      <c r="D577" s="155"/>
      <c r="F577" s="1"/>
      <c r="G577" s="1"/>
    </row>
    <row r="578" spans="1:7">
      <c r="A578" s="1" t="e">
        <f>VLOOKUP(B578,PLANOS!A:B,2,0)&amp;D578&amp;C578</f>
        <v>#N/A</v>
      </c>
      <c r="B578" s="1"/>
      <c r="C578" s="1"/>
      <c r="D578" s="155"/>
      <c r="F578" s="1"/>
      <c r="G578" s="1"/>
    </row>
    <row r="579" spans="1:7">
      <c r="A579" s="1" t="e">
        <f>VLOOKUP(B579,PLANOS!A:B,2,0)&amp;D579&amp;C579</f>
        <v>#N/A</v>
      </c>
      <c r="B579" s="1"/>
      <c r="C579" s="1"/>
      <c r="D579" s="155"/>
      <c r="F579" s="1"/>
      <c r="G579" s="1"/>
    </row>
    <row r="580" spans="1:7">
      <c r="A580" s="1" t="e">
        <f>VLOOKUP(B580,PLANOS!A:B,2,0)&amp;D580&amp;C580</f>
        <v>#N/A</v>
      </c>
      <c r="B580" s="1"/>
      <c r="C580" s="1"/>
      <c r="D580" s="155"/>
      <c r="F580" s="1"/>
      <c r="G580" s="1"/>
    </row>
    <row r="581" spans="1:7">
      <c r="A581" s="1" t="e">
        <f>VLOOKUP(B581,PLANOS!A:B,2,0)&amp;D581&amp;C581</f>
        <v>#N/A</v>
      </c>
      <c r="B581" s="1"/>
      <c r="C581" s="1"/>
      <c r="D581" s="155"/>
      <c r="F581" s="1"/>
      <c r="G581" s="1"/>
    </row>
    <row r="582" spans="1:7">
      <c r="A582" s="1" t="e">
        <f>VLOOKUP(B582,PLANOS!A:B,2,0)&amp;D582&amp;C582</f>
        <v>#N/A</v>
      </c>
      <c r="B582" s="1"/>
      <c r="C582" s="1"/>
      <c r="D582" s="155"/>
      <c r="F582" s="1"/>
      <c r="G582" s="1"/>
    </row>
    <row r="583" spans="1:7">
      <c r="A583" s="1" t="e">
        <f>VLOOKUP(B583,PLANOS!A:B,2,0)&amp;D583&amp;C583</f>
        <v>#N/A</v>
      </c>
      <c r="B583" s="1"/>
      <c r="C583" s="1"/>
      <c r="D583" s="155"/>
      <c r="F583" s="1"/>
      <c r="G583" s="1"/>
    </row>
    <row r="584" spans="1:7">
      <c r="A584" s="1" t="e">
        <f>VLOOKUP(B584,PLANOS!A:B,2,0)&amp;D584&amp;C584</f>
        <v>#N/A</v>
      </c>
      <c r="B584" s="1"/>
      <c r="C584" s="1"/>
      <c r="D584" s="155"/>
      <c r="F584" s="1"/>
      <c r="G584" s="1"/>
    </row>
    <row r="585" spans="1:7">
      <c r="A585" s="1" t="e">
        <f>VLOOKUP(B585,PLANOS!A:B,2,0)&amp;D585&amp;C585</f>
        <v>#N/A</v>
      </c>
      <c r="B585" s="1"/>
      <c r="C585" s="1"/>
      <c r="D585" s="155"/>
      <c r="F585" s="1"/>
      <c r="G585" s="1"/>
    </row>
    <row r="586" spans="1:7">
      <c r="A586" s="1" t="e">
        <f>VLOOKUP(B586,PLANOS!A:B,2,0)&amp;D586&amp;C586</f>
        <v>#N/A</v>
      </c>
      <c r="B586" s="1"/>
      <c r="C586" s="1"/>
      <c r="D586" s="155"/>
      <c r="F586" s="1"/>
      <c r="G586" s="1"/>
    </row>
    <row r="587" spans="1:7">
      <c r="A587" s="1" t="e">
        <f>VLOOKUP(B587,PLANOS!A:B,2,0)&amp;D587&amp;C587</f>
        <v>#N/A</v>
      </c>
      <c r="B587" s="1"/>
      <c r="C587" s="1"/>
      <c r="D587" s="155"/>
      <c r="F587" s="1"/>
      <c r="G587" s="1"/>
    </row>
    <row r="588" spans="1:7">
      <c r="A588" s="1" t="e">
        <f>VLOOKUP(B588,PLANOS!A:B,2,0)&amp;D588&amp;C588</f>
        <v>#N/A</v>
      </c>
      <c r="B588" s="1"/>
      <c r="C588" s="1"/>
      <c r="D588" s="155"/>
      <c r="F588" s="1"/>
      <c r="G588" s="1"/>
    </row>
    <row r="589" spans="1:7">
      <c r="A589" s="1" t="e">
        <f>VLOOKUP(B589,PLANOS!A:B,2,0)&amp;D589&amp;C589</f>
        <v>#N/A</v>
      </c>
      <c r="B589" s="1"/>
      <c r="C589" s="1"/>
      <c r="D589" s="155"/>
      <c r="F589" s="1"/>
      <c r="G589" s="1"/>
    </row>
    <row r="590" spans="1:7">
      <c r="A590" s="1" t="e">
        <f>VLOOKUP(B590,PLANOS!A:B,2,0)&amp;D590&amp;C590</f>
        <v>#N/A</v>
      </c>
      <c r="B590" s="1"/>
      <c r="C590" s="1"/>
      <c r="D590" s="155"/>
      <c r="F590" s="1"/>
      <c r="G590" s="1"/>
    </row>
    <row r="591" spans="1:7">
      <c r="A591" s="1" t="e">
        <f>VLOOKUP(B591,PLANOS!A:B,2,0)&amp;D591&amp;C591</f>
        <v>#N/A</v>
      </c>
      <c r="B591" s="1"/>
      <c r="C591" s="1"/>
      <c r="D591" s="155"/>
      <c r="F591" s="1"/>
      <c r="G591" s="1"/>
    </row>
    <row r="592" spans="1:7">
      <c r="A592" s="1" t="e">
        <f>VLOOKUP(B592,PLANOS!A:B,2,0)&amp;D592&amp;C592</f>
        <v>#N/A</v>
      </c>
      <c r="B592" s="1"/>
      <c r="C592" s="1"/>
      <c r="D592" s="155"/>
      <c r="F592" s="1"/>
      <c r="G592" s="1"/>
    </row>
    <row r="593" spans="1:7">
      <c r="A593" s="1" t="e">
        <f>VLOOKUP(B593,PLANOS!A:B,2,0)&amp;D593&amp;C593</f>
        <v>#N/A</v>
      </c>
      <c r="B593" s="1"/>
      <c r="C593" s="1"/>
      <c r="D593" s="155"/>
      <c r="F593" s="1"/>
      <c r="G593" s="1"/>
    </row>
    <row r="594" spans="1:7">
      <c r="A594" s="1" t="e">
        <f>VLOOKUP(B594,PLANOS!A:B,2,0)&amp;D594&amp;C594</f>
        <v>#N/A</v>
      </c>
      <c r="B594" s="1"/>
      <c r="C594" s="1"/>
      <c r="D594" s="155"/>
      <c r="F594" s="1"/>
      <c r="G594" s="1"/>
    </row>
    <row r="595" spans="1:7">
      <c r="A595" s="1" t="e">
        <f>VLOOKUP(B595,PLANOS!A:B,2,0)&amp;D595&amp;C595</f>
        <v>#N/A</v>
      </c>
      <c r="B595" s="1"/>
      <c r="C595" s="1"/>
      <c r="D595" s="155"/>
      <c r="F595" s="1"/>
      <c r="G595" s="1"/>
    </row>
    <row r="596" spans="1:7">
      <c r="A596" s="1" t="e">
        <f>VLOOKUP(B596,PLANOS!A:B,2,0)&amp;D596&amp;C596</f>
        <v>#N/A</v>
      </c>
      <c r="B596" s="1"/>
      <c r="C596" s="1"/>
      <c r="D596" s="155"/>
      <c r="F596" s="1"/>
      <c r="G596" s="1"/>
    </row>
    <row r="597" spans="1:7">
      <c r="A597" s="1" t="e">
        <f>VLOOKUP(B597,PLANOS!A:B,2,0)&amp;D597&amp;C597</f>
        <v>#N/A</v>
      </c>
      <c r="B597" s="1"/>
      <c r="C597" s="1"/>
      <c r="D597" s="155"/>
      <c r="F597" s="1"/>
      <c r="G597" s="1"/>
    </row>
    <row r="598" spans="1:7">
      <c r="A598" s="1" t="e">
        <f>VLOOKUP(B598,PLANOS!A:B,2,0)&amp;D598&amp;C598</f>
        <v>#N/A</v>
      </c>
      <c r="B598" s="1"/>
      <c r="C598" s="1"/>
      <c r="D598" s="155"/>
      <c r="F598" s="1"/>
      <c r="G598" s="1"/>
    </row>
    <row r="599" spans="1:7">
      <c r="A599" s="1" t="e">
        <f>VLOOKUP(B599,PLANOS!A:B,2,0)&amp;D599&amp;C599</f>
        <v>#N/A</v>
      </c>
      <c r="B599" s="1"/>
      <c r="C599" s="1"/>
      <c r="D599" s="155"/>
      <c r="F599" s="1"/>
      <c r="G599" s="1"/>
    </row>
    <row r="600" spans="1:7">
      <c r="A600" s="1" t="e">
        <f>VLOOKUP(B600,PLANOS!A:B,2,0)&amp;D600&amp;C600</f>
        <v>#N/A</v>
      </c>
      <c r="B600" s="1"/>
      <c r="C600" s="1"/>
      <c r="D600" s="155"/>
      <c r="F600" s="1"/>
      <c r="G600" s="1"/>
    </row>
    <row r="601" spans="1:7">
      <c r="A601" s="1" t="e">
        <f>VLOOKUP(B601,PLANOS!A:B,2,0)&amp;D601&amp;C601</f>
        <v>#N/A</v>
      </c>
      <c r="B601" s="1"/>
      <c r="C601" s="1"/>
      <c r="D601" s="155"/>
      <c r="F601" s="1"/>
      <c r="G601" s="1"/>
    </row>
    <row r="602" spans="1:7">
      <c r="A602" s="1" t="e">
        <f>VLOOKUP(B602,PLANOS!A:B,2,0)&amp;D602&amp;C602</f>
        <v>#N/A</v>
      </c>
      <c r="B602" s="1"/>
      <c r="C602" s="1"/>
      <c r="D602" s="155"/>
      <c r="F602" s="1"/>
      <c r="G602" s="1"/>
    </row>
    <row r="603" spans="1:7">
      <c r="A603" s="1" t="e">
        <f>VLOOKUP(B603,PLANOS!A:B,2,0)&amp;D603&amp;C603</f>
        <v>#N/A</v>
      </c>
      <c r="B603" s="1"/>
      <c r="C603" s="1"/>
      <c r="D603" s="155"/>
      <c r="F603" s="1"/>
      <c r="G603" s="1"/>
    </row>
    <row r="604" spans="1:7">
      <c r="A604" s="1" t="e">
        <f>VLOOKUP(B604,PLANOS!A:B,2,0)&amp;D604&amp;C604</f>
        <v>#N/A</v>
      </c>
      <c r="B604" s="1"/>
      <c r="C604" s="1"/>
      <c r="D604" s="155"/>
      <c r="F604" s="1"/>
      <c r="G604" s="1"/>
    </row>
    <row r="605" spans="1:7">
      <c r="A605" s="1" t="e">
        <f>VLOOKUP(B605,PLANOS!A:B,2,0)&amp;D605&amp;C605</f>
        <v>#N/A</v>
      </c>
      <c r="B605" s="1"/>
      <c r="C605" s="1"/>
      <c r="D605" s="155"/>
      <c r="F605" s="1"/>
      <c r="G605" s="1"/>
    </row>
    <row r="606" spans="1:7">
      <c r="A606" s="1" t="e">
        <f>VLOOKUP(B606,PLANOS!A:B,2,0)&amp;D606&amp;C606</f>
        <v>#N/A</v>
      </c>
      <c r="B606" s="1"/>
      <c r="C606" s="1"/>
      <c r="D606" s="155"/>
      <c r="F606" s="1"/>
      <c r="G606" s="1"/>
    </row>
    <row r="607" spans="1:7">
      <c r="A607" s="1" t="e">
        <f>VLOOKUP(B607,PLANOS!A:B,2,0)&amp;D607&amp;C607</f>
        <v>#N/A</v>
      </c>
      <c r="B607" s="1"/>
      <c r="C607" s="1"/>
      <c r="D607" s="155"/>
      <c r="F607" s="1"/>
      <c r="G607" s="1"/>
    </row>
    <row r="608" spans="1:7">
      <c r="A608" s="1" t="e">
        <f>VLOOKUP(B608,PLANOS!A:B,2,0)&amp;D608&amp;C608</f>
        <v>#N/A</v>
      </c>
      <c r="B608" s="1"/>
      <c r="C608" s="1"/>
      <c r="D608" s="155"/>
      <c r="F608" s="1"/>
      <c r="G608" s="1"/>
    </row>
    <row r="609" spans="1:7">
      <c r="A609" s="1" t="e">
        <f>VLOOKUP(B609,PLANOS!A:B,2,0)&amp;D609&amp;C609</f>
        <v>#N/A</v>
      </c>
      <c r="B609" s="1"/>
      <c r="C609" s="1"/>
      <c r="D609" s="155"/>
      <c r="F609" s="1"/>
      <c r="G609" s="1"/>
    </row>
    <row r="610" spans="1:7">
      <c r="A610" s="1" t="e">
        <f>VLOOKUP(B610,PLANOS!A:B,2,0)&amp;D610&amp;C610</f>
        <v>#N/A</v>
      </c>
      <c r="B610" s="1"/>
      <c r="C610" s="1"/>
      <c r="D610" s="155"/>
      <c r="F610" s="1"/>
      <c r="G610" s="1"/>
    </row>
    <row r="611" spans="1:7">
      <c r="A611" s="1" t="e">
        <f>VLOOKUP(B611,PLANOS!A:B,2,0)&amp;D611&amp;C611</f>
        <v>#N/A</v>
      </c>
      <c r="B611" s="1"/>
      <c r="C611" s="1"/>
      <c r="D611" s="155"/>
      <c r="F611" s="1"/>
      <c r="G611" s="1"/>
    </row>
    <row r="612" spans="1:7">
      <c r="A612" s="1" t="e">
        <f>VLOOKUP(B612,PLANOS!A:B,2,0)&amp;D612&amp;C612</f>
        <v>#N/A</v>
      </c>
      <c r="B612" s="1"/>
      <c r="C612" s="1"/>
      <c r="D612" s="155"/>
      <c r="F612" s="1"/>
      <c r="G612" s="1"/>
    </row>
    <row r="613" spans="1:7">
      <c r="A613" s="1" t="e">
        <f>VLOOKUP(B613,PLANOS!A:B,2,0)&amp;D613&amp;C613</f>
        <v>#N/A</v>
      </c>
      <c r="B613" s="1"/>
      <c r="C613" s="1"/>
      <c r="D613" s="155"/>
      <c r="F613" s="1"/>
      <c r="G613" s="1"/>
    </row>
    <row r="614" spans="1:7">
      <c r="A614" s="1" t="e">
        <f>VLOOKUP(B614,PLANOS!A:B,2,0)&amp;D614&amp;C614</f>
        <v>#N/A</v>
      </c>
      <c r="B614" s="1"/>
      <c r="C614" s="1"/>
      <c r="D614" s="155"/>
      <c r="F614" s="1"/>
      <c r="G614" s="1"/>
    </row>
    <row r="615" spans="1:7">
      <c r="A615" s="1" t="e">
        <f>VLOOKUP(B615,PLANOS!A:B,2,0)&amp;D615&amp;C615</f>
        <v>#N/A</v>
      </c>
      <c r="B615" s="1"/>
      <c r="C615" s="1"/>
      <c r="D615" s="155"/>
      <c r="F615" s="1"/>
      <c r="G615" s="1"/>
    </row>
    <row r="616" spans="1:7">
      <c r="A616" s="1" t="e">
        <f>VLOOKUP(B616,PLANOS!A:B,2,0)&amp;D616&amp;C616</f>
        <v>#N/A</v>
      </c>
      <c r="B616" s="1"/>
      <c r="C616" s="1"/>
      <c r="D616" s="155"/>
      <c r="F616" s="1"/>
      <c r="G616" s="1"/>
    </row>
    <row r="617" spans="1:7">
      <c r="A617" s="1" t="e">
        <f>VLOOKUP(B617,PLANOS!A:B,2,0)&amp;D617&amp;C617</f>
        <v>#N/A</v>
      </c>
      <c r="B617" s="1"/>
      <c r="C617" s="1"/>
      <c r="D617" s="155"/>
      <c r="F617" s="1"/>
      <c r="G617" s="1"/>
    </row>
    <row r="618" spans="1:7">
      <c r="A618" s="1" t="e">
        <f>VLOOKUP(B618,PLANOS!A:B,2,0)&amp;D618&amp;C618</f>
        <v>#N/A</v>
      </c>
      <c r="B618" s="1"/>
      <c r="C618" s="1"/>
      <c r="D618" s="155"/>
      <c r="F618" s="1"/>
      <c r="G618" s="1"/>
    </row>
    <row r="619" spans="1:7">
      <c r="A619" s="1" t="e">
        <f>VLOOKUP(B619,PLANOS!A:B,2,0)&amp;D619&amp;C619</f>
        <v>#N/A</v>
      </c>
      <c r="B619" s="1"/>
      <c r="C619" s="1"/>
      <c r="D619" s="155"/>
      <c r="F619" s="1"/>
      <c r="G619" s="1"/>
    </row>
    <row r="620" spans="1:7">
      <c r="A620" s="1" t="e">
        <f>VLOOKUP(B620,PLANOS!A:B,2,0)&amp;D620&amp;C620</f>
        <v>#N/A</v>
      </c>
      <c r="B620" s="1"/>
      <c r="C620" s="1"/>
      <c r="D620" s="155"/>
      <c r="F620" s="1"/>
      <c r="G620" s="1"/>
    </row>
    <row r="621" spans="1:7">
      <c r="A621" s="1" t="e">
        <f>VLOOKUP(B621,PLANOS!A:B,2,0)&amp;D621&amp;C621</f>
        <v>#N/A</v>
      </c>
      <c r="B621" s="1"/>
      <c r="C621" s="1"/>
      <c r="D621" s="155"/>
      <c r="F621" s="1"/>
      <c r="G621" s="1"/>
    </row>
    <row r="622" spans="1:7">
      <c r="A622" s="1" t="e">
        <f>VLOOKUP(B622,PLANOS!A:B,2,0)&amp;D622&amp;C622</f>
        <v>#N/A</v>
      </c>
      <c r="B622" s="1"/>
      <c r="C622" s="1"/>
      <c r="D622" s="155"/>
      <c r="F622" s="1"/>
      <c r="G622" s="1"/>
    </row>
    <row r="623" spans="1:7">
      <c r="A623" s="1" t="e">
        <f>VLOOKUP(B623,PLANOS!A:B,2,0)&amp;D623&amp;C623</f>
        <v>#N/A</v>
      </c>
      <c r="B623" s="1"/>
      <c r="C623" s="1"/>
      <c r="D623" s="155"/>
      <c r="F623" s="1"/>
      <c r="G623" s="1"/>
    </row>
    <row r="624" spans="1:7">
      <c r="A624" s="1" t="e">
        <f>VLOOKUP(B624,PLANOS!A:B,2,0)&amp;D624&amp;C624</f>
        <v>#N/A</v>
      </c>
      <c r="B624" s="1"/>
      <c r="C624" s="1"/>
      <c r="D624" s="155"/>
      <c r="F624" s="1"/>
      <c r="G624" s="1"/>
    </row>
    <row r="625" spans="1:7">
      <c r="A625" s="1" t="e">
        <f>VLOOKUP(B625,PLANOS!A:B,2,0)&amp;D625&amp;C625</f>
        <v>#N/A</v>
      </c>
      <c r="B625" s="1"/>
      <c r="C625" s="1"/>
      <c r="D625" s="155"/>
      <c r="F625" s="1"/>
      <c r="G625" s="1"/>
    </row>
    <row r="626" spans="1:7">
      <c r="A626" s="1" t="e">
        <f>VLOOKUP(B626,PLANOS!A:B,2,0)&amp;D626&amp;C626</f>
        <v>#N/A</v>
      </c>
      <c r="B626" s="1"/>
      <c r="C626" s="1"/>
      <c r="D626" s="155"/>
      <c r="F626" s="1"/>
      <c r="G626" s="1"/>
    </row>
    <row r="627" spans="1:7">
      <c r="A627" s="1" t="e">
        <f>VLOOKUP(B627,PLANOS!A:B,2,0)&amp;D627&amp;C627</f>
        <v>#N/A</v>
      </c>
      <c r="B627" s="1"/>
      <c r="C627" s="1"/>
      <c r="D627" s="155"/>
      <c r="F627" s="1"/>
      <c r="G627" s="1"/>
    </row>
    <row r="628" spans="1:7">
      <c r="A628" s="1" t="e">
        <f>VLOOKUP(B628,PLANOS!A:B,2,0)&amp;D628&amp;C628</f>
        <v>#N/A</v>
      </c>
      <c r="B628" s="1"/>
      <c r="C628" s="1"/>
      <c r="D628" s="155"/>
      <c r="F628" s="1"/>
      <c r="G628" s="1"/>
    </row>
    <row r="629" spans="1:7">
      <c r="A629" s="1" t="e">
        <f>VLOOKUP(B629,PLANOS!A:B,2,0)&amp;D629&amp;C629</f>
        <v>#N/A</v>
      </c>
      <c r="B629" s="1"/>
      <c r="C629" s="1"/>
      <c r="D629" s="155"/>
      <c r="F629" s="1"/>
      <c r="G629" s="1"/>
    </row>
    <row r="630" spans="1:7">
      <c r="A630" s="1" t="e">
        <f>VLOOKUP(B630,PLANOS!A:B,2,0)&amp;D630&amp;C630</f>
        <v>#N/A</v>
      </c>
      <c r="B630" s="1"/>
      <c r="C630" s="1"/>
      <c r="D630" s="155"/>
      <c r="F630" s="1"/>
      <c r="G630" s="1"/>
    </row>
    <row r="631" spans="1:7">
      <c r="A631" s="1" t="e">
        <f>VLOOKUP(B631,PLANOS!A:B,2,0)&amp;D631&amp;C631</f>
        <v>#N/A</v>
      </c>
      <c r="B631" s="1"/>
      <c r="C631" s="1"/>
      <c r="D631" s="155"/>
      <c r="F631" s="1"/>
      <c r="G631" s="1"/>
    </row>
    <row r="632" spans="1:7">
      <c r="A632" s="1" t="e">
        <f>VLOOKUP(B632,PLANOS!A:B,2,0)&amp;D632&amp;C632</f>
        <v>#N/A</v>
      </c>
      <c r="B632" s="1"/>
      <c r="C632" s="1"/>
      <c r="D632" s="155"/>
      <c r="F632" s="1"/>
      <c r="G632" s="1"/>
    </row>
    <row r="633" spans="1:7">
      <c r="A633" s="1" t="e">
        <f>VLOOKUP(B633,PLANOS!A:B,2,0)&amp;D633&amp;C633</f>
        <v>#N/A</v>
      </c>
      <c r="B633" s="1"/>
      <c r="C633" s="1"/>
      <c r="D633" s="155"/>
      <c r="F633" s="1"/>
      <c r="G633" s="1"/>
    </row>
    <row r="634" spans="1:7">
      <c r="A634" s="1" t="e">
        <f>VLOOKUP(B634,PLANOS!A:B,2,0)&amp;D634&amp;C634</f>
        <v>#N/A</v>
      </c>
      <c r="B634" s="1"/>
      <c r="C634" s="1"/>
      <c r="D634" s="155"/>
      <c r="F634" s="1"/>
      <c r="G634" s="1"/>
    </row>
    <row r="635" spans="1:7">
      <c r="A635" s="1" t="e">
        <f>VLOOKUP(B635,PLANOS!A:B,2,0)&amp;D635&amp;C635</f>
        <v>#N/A</v>
      </c>
      <c r="B635" s="1"/>
      <c r="C635" s="1"/>
      <c r="D635" s="155"/>
      <c r="F635" s="1"/>
      <c r="G635" s="1"/>
    </row>
    <row r="636" spans="1:7">
      <c r="A636" s="1" t="e">
        <f>VLOOKUP(B636,PLANOS!A:B,2,0)&amp;D636&amp;C636</f>
        <v>#N/A</v>
      </c>
      <c r="B636" s="1"/>
      <c r="C636" s="1"/>
      <c r="D636" s="155"/>
      <c r="F636" s="1"/>
      <c r="G636" s="1"/>
    </row>
    <row r="637" spans="1:7">
      <c r="A637" s="1" t="e">
        <f>VLOOKUP(B637,PLANOS!A:B,2,0)&amp;D637&amp;C637</f>
        <v>#N/A</v>
      </c>
      <c r="B637" s="1"/>
      <c r="C637" s="1"/>
      <c r="D637" s="155"/>
      <c r="F637" s="1"/>
      <c r="G637" s="1"/>
    </row>
    <row r="638" spans="1:7">
      <c r="A638" s="1" t="e">
        <f>VLOOKUP(B638,PLANOS!A:B,2,0)&amp;D638&amp;C638</f>
        <v>#N/A</v>
      </c>
      <c r="B638" s="1"/>
      <c r="C638" s="1"/>
      <c r="D638" s="155"/>
      <c r="F638" s="1"/>
      <c r="G638" s="1"/>
    </row>
    <row r="639" spans="1:7">
      <c r="A639" s="1" t="e">
        <f>VLOOKUP(B639,PLANOS!A:B,2,0)&amp;D639&amp;C639</f>
        <v>#N/A</v>
      </c>
      <c r="B639" s="1"/>
      <c r="C639" s="1"/>
      <c r="D639" s="155"/>
      <c r="F639" s="1"/>
      <c r="G639" s="1"/>
    </row>
    <row r="640" spans="1:7">
      <c r="A640" s="1" t="e">
        <f>VLOOKUP(B640,PLANOS!A:B,2,0)&amp;D640&amp;C640</f>
        <v>#N/A</v>
      </c>
      <c r="B640" s="1"/>
      <c r="C640" s="1"/>
      <c r="D640" s="155"/>
      <c r="F640" s="1"/>
      <c r="G640" s="1"/>
    </row>
    <row r="641" spans="1:7">
      <c r="A641" s="1" t="e">
        <f>VLOOKUP(B641,PLANOS!A:B,2,0)&amp;D641&amp;C641</f>
        <v>#N/A</v>
      </c>
      <c r="B641" s="1"/>
      <c r="C641" s="1"/>
      <c r="D641" s="155"/>
      <c r="F641" s="1"/>
      <c r="G641" s="1"/>
    </row>
    <row r="642" spans="1:7">
      <c r="A642" s="1" t="e">
        <f>VLOOKUP(B642,PLANOS!A:B,2,0)&amp;D642&amp;C642</f>
        <v>#N/A</v>
      </c>
      <c r="B642" s="1"/>
      <c r="C642" s="1"/>
      <c r="D642" s="155"/>
      <c r="F642" s="1"/>
      <c r="G642" s="1"/>
    </row>
    <row r="643" spans="1:7">
      <c r="A643" s="1" t="e">
        <f>VLOOKUP(B643,PLANOS!A:B,2,0)&amp;D643&amp;C643</f>
        <v>#N/A</v>
      </c>
      <c r="B643" s="1"/>
      <c r="C643" s="1"/>
      <c r="D643" s="155"/>
      <c r="F643" s="1"/>
      <c r="G643" s="1"/>
    </row>
    <row r="644" spans="1:7">
      <c r="A644" s="1" t="e">
        <f>VLOOKUP(B644,PLANOS!A:B,2,0)&amp;D644&amp;C644</f>
        <v>#N/A</v>
      </c>
      <c r="B644" s="1"/>
      <c r="C644" s="1"/>
      <c r="D644" s="155"/>
      <c r="F644" s="1"/>
      <c r="G644" s="1"/>
    </row>
    <row r="645" spans="1:7">
      <c r="A645" s="1" t="e">
        <f>VLOOKUP(B645,PLANOS!A:B,2,0)&amp;D645&amp;C645</f>
        <v>#N/A</v>
      </c>
      <c r="B645" s="1"/>
      <c r="C645" s="1"/>
      <c r="D645" s="155"/>
      <c r="F645" s="1"/>
      <c r="G645" s="1"/>
    </row>
    <row r="646" spans="1:7">
      <c r="A646" s="1" t="e">
        <f>VLOOKUP(B646,PLANOS!A:B,2,0)&amp;D646&amp;C646</f>
        <v>#N/A</v>
      </c>
      <c r="B646" s="1"/>
      <c r="C646" s="1"/>
      <c r="D646" s="155"/>
      <c r="F646" s="1"/>
      <c r="G646" s="1"/>
    </row>
    <row r="647" spans="1:7">
      <c r="A647" s="1" t="e">
        <f>VLOOKUP(B647,PLANOS!A:B,2,0)&amp;D647&amp;C647</f>
        <v>#N/A</v>
      </c>
      <c r="B647" s="1"/>
      <c r="C647" s="1"/>
      <c r="D647" s="155"/>
      <c r="F647" s="1"/>
      <c r="G647" s="1"/>
    </row>
    <row r="648" spans="1:7">
      <c r="A648" s="1" t="e">
        <f>VLOOKUP(B648,PLANOS!A:B,2,0)&amp;D648&amp;C648</f>
        <v>#N/A</v>
      </c>
      <c r="B648" s="1"/>
      <c r="C648" s="1"/>
      <c r="D648" s="155"/>
      <c r="F648" s="1"/>
      <c r="G648" s="1"/>
    </row>
    <row r="649" spans="1:7">
      <c r="A649" s="1" t="e">
        <f>VLOOKUP(B649,PLANOS!A:B,2,0)&amp;D649&amp;C649</f>
        <v>#N/A</v>
      </c>
      <c r="B649" s="1"/>
      <c r="C649" s="1"/>
      <c r="D649" s="155"/>
      <c r="F649" s="1"/>
      <c r="G649" s="1"/>
    </row>
    <row r="650" spans="1:7">
      <c r="A650" s="1" t="e">
        <f>VLOOKUP(B650,PLANOS!A:B,2,0)&amp;D650&amp;C650</f>
        <v>#N/A</v>
      </c>
      <c r="B650" s="1"/>
      <c r="C650" s="1"/>
      <c r="D650" s="155"/>
      <c r="F650" s="1"/>
      <c r="G650" s="1"/>
    </row>
    <row r="651" spans="1:7">
      <c r="A651" s="1" t="e">
        <f>VLOOKUP(B651,PLANOS!A:B,2,0)&amp;D651&amp;C651</f>
        <v>#N/A</v>
      </c>
      <c r="B651" s="1"/>
      <c r="C651" s="1"/>
      <c r="D651" s="155"/>
      <c r="F651" s="1"/>
      <c r="G651" s="1"/>
    </row>
    <row r="652" spans="1:7">
      <c r="A652" s="1" t="e">
        <f>VLOOKUP(B652,PLANOS!A:B,2,0)&amp;D652&amp;C652</f>
        <v>#N/A</v>
      </c>
      <c r="B652" s="1"/>
      <c r="C652" s="1"/>
      <c r="D652" s="155"/>
      <c r="F652" s="1"/>
      <c r="G652" s="1"/>
    </row>
    <row r="653" spans="1:7">
      <c r="A653" s="1" t="e">
        <f>VLOOKUP(B653,PLANOS!A:B,2,0)&amp;D653&amp;C653</f>
        <v>#N/A</v>
      </c>
      <c r="B653" s="1"/>
      <c r="C653" s="1"/>
      <c r="D653" s="155"/>
      <c r="F653" s="1"/>
      <c r="G653" s="1"/>
    </row>
    <row r="654" spans="1:7">
      <c r="A654" s="1" t="e">
        <f>VLOOKUP(B654,PLANOS!A:B,2,0)&amp;D654&amp;C654</f>
        <v>#N/A</v>
      </c>
      <c r="B654" s="1"/>
      <c r="C654" s="1"/>
      <c r="D654" s="155"/>
      <c r="F654" s="1"/>
      <c r="G654" s="1"/>
    </row>
    <row r="655" spans="1:7">
      <c r="A655" s="1" t="e">
        <f>VLOOKUP(B655,PLANOS!A:B,2,0)&amp;D655&amp;C655</f>
        <v>#N/A</v>
      </c>
      <c r="B655" s="1"/>
      <c r="C655" s="1"/>
      <c r="D655" s="155"/>
      <c r="F655" s="1"/>
      <c r="G655" s="1"/>
    </row>
    <row r="656" spans="1:7">
      <c r="A656" s="1" t="e">
        <f>VLOOKUP(B656,PLANOS!A:B,2,0)&amp;D656&amp;C656</f>
        <v>#N/A</v>
      </c>
      <c r="B656" s="1"/>
      <c r="C656" s="1"/>
      <c r="D656" s="155"/>
      <c r="F656" s="1"/>
      <c r="G656" s="1"/>
    </row>
    <row r="657" spans="1:7">
      <c r="A657" s="1" t="e">
        <f>VLOOKUP(B657,PLANOS!A:B,2,0)&amp;D657&amp;C657</f>
        <v>#N/A</v>
      </c>
      <c r="B657" s="1"/>
      <c r="C657" s="1"/>
      <c r="D657" s="155"/>
      <c r="F657" s="1"/>
      <c r="G657" s="1"/>
    </row>
    <row r="658" spans="1:7">
      <c r="A658" s="1" t="e">
        <f>VLOOKUP(B658,PLANOS!A:B,2,0)&amp;D658&amp;C658</f>
        <v>#N/A</v>
      </c>
      <c r="B658" s="1"/>
      <c r="C658" s="1"/>
      <c r="D658" s="155"/>
      <c r="F658" s="1"/>
      <c r="G658" s="1"/>
    </row>
    <row r="659" spans="1:7">
      <c r="A659" s="1" t="e">
        <f>VLOOKUP(B659,PLANOS!A:B,2,0)&amp;D659&amp;C659</f>
        <v>#N/A</v>
      </c>
      <c r="B659" s="1"/>
      <c r="C659" s="1"/>
      <c r="D659" s="155"/>
      <c r="F659" s="1"/>
      <c r="G659" s="1"/>
    </row>
    <row r="660" spans="1:7">
      <c r="A660" s="1" t="e">
        <f>VLOOKUP(B660,PLANOS!A:B,2,0)&amp;D660&amp;C660</f>
        <v>#N/A</v>
      </c>
      <c r="B660" s="1"/>
      <c r="C660" s="1"/>
      <c r="D660" s="155"/>
      <c r="F660" s="1"/>
      <c r="G660" s="1"/>
    </row>
    <row r="661" spans="1:7">
      <c r="A661" s="1" t="e">
        <f>VLOOKUP(B661,PLANOS!A:B,2,0)&amp;D661&amp;C661</f>
        <v>#N/A</v>
      </c>
      <c r="B661" s="1"/>
      <c r="C661" s="1"/>
      <c r="D661" s="155"/>
      <c r="F661" s="1"/>
      <c r="G661" s="1"/>
    </row>
    <row r="662" spans="1:7">
      <c r="A662" s="1" t="e">
        <f>VLOOKUP(B662,PLANOS!A:B,2,0)&amp;D662&amp;C662</f>
        <v>#N/A</v>
      </c>
      <c r="B662" s="1"/>
      <c r="C662" s="1"/>
      <c r="D662" s="155"/>
      <c r="F662" s="1"/>
      <c r="G662" s="1"/>
    </row>
    <row r="663" spans="1:7">
      <c r="A663" s="1" t="e">
        <f>VLOOKUP(B663,PLANOS!A:B,2,0)&amp;D663&amp;C663</f>
        <v>#N/A</v>
      </c>
      <c r="B663" s="1"/>
      <c r="C663" s="1"/>
      <c r="D663" s="155"/>
      <c r="F663" s="1"/>
      <c r="G663" s="1"/>
    </row>
    <row r="664" spans="1:7">
      <c r="A664" s="1" t="e">
        <f>VLOOKUP(B664,PLANOS!A:B,2,0)&amp;D664&amp;C664</f>
        <v>#N/A</v>
      </c>
      <c r="B664" s="1"/>
      <c r="C664" s="1"/>
      <c r="D664" s="155"/>
      <c r="F664" s="1"/>
      <c r="G664" s="1"/>
    </row>
    <row r="665" spans="1:7">
      <c r="A665" s="1" t="e">
        <f>VLOOKUP(B665,PLANOS!A:B,2,0)&amp;D665&amp;C665</f>
        <v>#N/A</v>
      </c>
      <c r="B665" s="1"/>
      <c r="C665" s="1"/>
      <c r="D665" s="155"/>
      <c r="F665" s="1"/>
      <c r="G665" s="1"/>
    </row>
    <row r="666" spans="1:7">
      <c r="A666" s="1" t="e">
        <f>VLOOKUP(B666,PLANOS!A:B,2,0)&amp;D666&amp;C666</f>
        <v>#N/A</v>
      </c>
      <c r="B666" s="1"/>
      <c r="C666" s="1"/>
      <c r="D666" s="155"/>
      <c r="F666" s="1"/>
      <c r="G666" s="1"/>
    </row>
    <row r="667" spans="1:7">
      <c r="A667" s="1" t="e">
        <f>VLOOKUP(B667,PLANOS!A:B,2,0)&amp;D667&amp;C667</f>
        <v>#N/A</v>
      </c>
      <c r="B667" s="1"/>
      <c r="C667" s="1"/>
      <c r="D667" s="155"/>
      <c r="F667" s="1"/>
      <c r="G667" s="1"/>
    </row>
    <row r="668" spans="1:7">
      <c r="A668" s="1" t="e">
        <f>VLOOKUP(B668,PLANOS!A:B,2,0)&amp;D668&amp;C668</f>
        <v>#N/A</v>
      </c>
      <c r="B668" s="1"/>
      <c r="C668" s="1"/>
      <c r="D668" s="155"/>
      <c r="F668" s="1"/>
      <c r="G668" s="1"/>
    </row>
    <row r="669" spans="1:7">
      <c r="A669" s="1" t="e">
        <f>VLOOKUP(B669,PLANOS!A:B,2,0)&amp;D669&amp;C669</f>
        <v>#N/A</v>
      </c>
      <c r="B669" s="1"/>
      <c r="C669" s="1"/>
      <c r="D669" s="155"/>
      <c r="F669" s="1"/>
      <c r="G669" s="1"/>
    </row>
    <row r="670" spans="1:7">
      <c r="A670" s="1" t="e">
        <f>VLOOKUP(B670,PLANOS!A:B,2,0)&amp;D670&amp;C670</f>
        <v>#N/A</v>
      </c>
      <c r="B670" s="1"/>
      <c r="C670" s="1"/>
      <c r="D670" s="155"/>
      <c r="F670" s="1"/>
      <c r="G670" s="1"/>
    </row>
    <row r="671" spans="1:7">
      <c r="A671" s="1" t="e">
        <f>VLOOKUP(B671,PLANOS!A:B,2,0)&amp;D671&amp;C671</f>
        <v>#N/A</v>
      </c>
      <c r="B671" s="1"/>
      <c r="C671" s="1"/>
      <c r="D671" s="155"/>
      <c r="F671" s="1"/>
      <c r="G671" s="1"/>
    </row>
    <row r="672" spans="1:7">
      <c r="A672" s="1" t="e">
        <f>VLOOKUP(B672,PLANOS!A:B,2,0)&amp;D672&amp;C672</f>
        <v>#N/A</v>
      </c>
      <c r="B672" s="1"/>
      <c r="C672" s="1"/>
      <c r="D672" s="155"/>
      <c r="F672" s="1"/>
      <c r="G672" s="1"/>
    </row>
    <row r="673" spans="1:7">
      <c r="A673" s="1" t="e">
        <f>VLOOKUP(B673,PLANOS!A:B,2,0)&amp;D673&amp;C673</f>
        <v>#N/A</v>
      </c>
      <c r="B673" s="1"/>
      <c r="C673" s="1"/>
      <c r="D673" s="155"/>
      <c r="F673" s="1"/>
      <c r="G673" s="1"/>
    </row>
    <row r="674" spans="1:7">
      <c r="A674" s="1" t="e">
        <f>VLOOKUP(B674,PLANOS!A:B,2,0)&amp;D674&amp;C674</f>
        <v>#N/A</v>
      </c>
      <c r="B674" s="1"/>
      <c r="C674" s="1"/>
      <c r="D674" s="155"/>
      <c r="F674" s="1"/>
      <c r="G674" s="1"/>
    </row>
    <row r="675" spans="1:7">
      <c r="A675" s="1" t="e">
        <f>VLOOKUP(B675,PLANOS!A:B,2,0)&amp;D675&amp;C675</f>
        <v>#N/A</v>
      </c>
      <c r="B675" s="1"/>
      <c r="C675" s="1"/>
      <c r="D675" s="155"/>
      <c r="F675" s="1"/>
      <c r="G675" s="1"/>
    </row>
    <row r="676" spans="1:7">
      <c r="A676" s="1" t="e">
        <f>VLOOKUP(B676,PLANOS!A:B,2,0)&amp;D676&amp;C676</f>
        <v>#N/A</v>
      </c>
      <c r="B676" s="1"/>
      <c r="C676" s="1"/>
      <c r="D676" s="155"/>
      <c r="F676" s="1"/>
      <c r="G676" s="1"/>
    </row>
    <row r="677" spans="1:7">
      <c r="A677" s="1" t="e">
        <f>VLOOKUP(B677,PLANOS!A:B,2,0)&amp;D677&amp;C677</f>
        <v>#N/A</v>
      </c>
      <c r="B677" s="1"/>
      <c r="C677" s="1"/>
      <c r="D677" s="155"/>
      <c r="F677" s="1"/>
      <c r="G677" s="1"/>
    </row>
    <row r="678" spans="1:7">
      <c r="A678" s="1" t="e">
        <f>VLOOKUP(B678,PLANOS!A:B,2,0)&amp;D678&amp;C678</f>
        <v>#N/A</v>
      </c>
      <c r="B678" s="1"/>
      <c r="C678" s="1"/>
      <c r="D678" s="155"/>
      <c r="F678" s="1"/>
      <c r="G678" s="1"/>
    </row>
    <row r="679" spans="1:7">
      <c r="A679" s="1" t="e">
        <f>VLOOKUP(B679,PLANOS!A:B,2,0)&amp;D679&amp;C679</f>
        <v>#N/A</v>
      </c>
      <c r="B679" s="1"/>
      <c r="C679" s="1"/>
      <c r="D679" s="155"/>
      <c r="F679" s="1"/>
      <c r="G679" s="1"/>
    </row>
    <row r="680" spans="1:7">
      <c r="A680" s="1" t="e">
        <f>VLOOKUP(B680,PLANOS!A:B,2,0)&amp;D680&amp;C680</f>
        <v>#N/A</v>
      </c>
      <c r="B680" s="1"/>
      <c r="C680" s="1"/>
      <c r="D680" s="155"/>
      <c r="F680" s="1"/>
      <c r="G680" s="1"/>
    </row>
    <row r="681" spans="1:7">
      <c r="A681" s="1" t="e">
        <f>VLOOKUP(B681,PLANOS!A:B,2,0)&amp;D681&amp;C681</f>
        <v>#N/A</v>
      </c>
      <c r="B681" s="1"/>
      <c r="C681" s="1"/>
      <c r="D681" s="155"/>
      <c r="F681" s="1"/>
      <c r="G681" s="1"/>
    </row>
    <row r="682" spans="1:7">
      <c r="A682" s="1" t="e">
        <f>VLOOKUP(B682,PLANOS!A:B,2,0)&amp;D682&amp;C682</f>
        <v>#N/A</v>
      </c>
      <c r="B682" s="1"/>
      <c r="C682" s="1"/>
      <c r="D682" s="155"/>
      <c r="F682" s="1"/>
      <c r="G682" s="1"/>
    </row>
    <row r="683" spans="1:7">
      <c r="A683" s="1" t="e">
        <f>VLOOKUP(B683,PLANOS!A:B,2,0)&amp;D683&amp;C683</f>
        <v>#N/A</v>
      </c>
      <c r="B683" s="1"/>
      <c r="C683" s="1"/>
      <c r="D683" s="155"/>
      <c r="F683" s="1"/>
      <c r="G683" s="1"/>
    </row>
    <row r="684" spans="1:7">
      <c r="A684" s="1" t="e">
        <f>VLOOKUP(B684,PLANOS!A:B,2,0)&amp;D684&amp;C684</f>
        <v>#N/A</v>
      </c>
      <c r="B684" s="1"/>
      <c r="C684" s="1"/>
      <c r="D684" s="155"/>
      <c r="F684" s="1"/>
      <c r="G684" s="1"/>
    </row>
    <row r="685" spans="1:7">
      <c r="A685" s="1" t="e">
        <f>VLOOKUP(B685,PLANOS!A:B,2,0)&amp;D685&amp;C685</f>
        <v>#N/A</v>
      </c>
      <c r="B685" s="1"/>
      <c r="C685" s="1"/>
      <c r="D685" s="155"/>
      <c r="F685" s="1"/>
      <c r="G685" s="1"/>
    </row>
    <row r="686" spans="1:7">
      <c r="A686" s="1" t="e">
        <f>VLOOKUP(B686,PLANOS!A:B,2,0)&amp;D686&amp;C686</f>
        <v>#N/A</v>
      </c>
      <c r="B686" s="1"/>
      <c r="C686" s="1"/>
      <c r="D686" s="155"/>
      <c r="F686" s="1"/>
      <c r="G686" s="1"/>
    </row>
    <row r="687" spans="1:7">
      <c r="A687" s="1" t="e">
        <f>VLOOKUP(B687,PLANOS!A:B,2,0)&amp;D687&amp;C687</f>
        <v>#N/A</v>
      </c>
      <c r="B687" s="1"/>
      <c r="C687" s="1"/>
      <c r="D687" s="155"/>
      <c r="F687" s="1"/>
      <c r="G687" s="1"/>
    </row>
    <row r="688" spans="1:7">
      <c r="A688" s="1" t="e">
        <f>VLOOKUP(B688,PLANOS!A:B,2,0)&amp;D688&amp;C688</f>
        <v>#N/A</v>
      </c>
      <c r="B688" s="1"/>
      <c r="C688" s="1"/>
      <c r="D688" s="155"/>
      <c r="F688" s="1"/>
      <c r="G688" s="1"/>
    </row>
    <row r="689" spans="1:7">
      <c r="A689" s="1" t="e">
        <f>VLOOKUP(B689,PLANOS!A:B,2,0)&amp;D689&amp;C689</f>
        <v>#N/A</v>
      </c>
      <c r="B689" s="1"/>
      <c r="C689" s="1"/>
      <c r="D689" s="155"/>
      <c r="F689" s="1"/>
      <c r="G689" s="1"/>
    </row>
    <row r="690" spans="1:7">
      <c r="A690" s="1" t="e">
        <f>VLOOKUP(B690,PLANOS!A:B,2,0)&amp;D690&amp;C690</f>
        <v>#N/A</v>
      </c>
      <c r="B690" s="1"/>
      <c r="C690" s="1"/>
      <c r="D690" s="155"/>
      <c r="F690" s="1"/>
      <c r="G690" s="1"/>
    </row>
    <row r="691" spans="1:7">
      <c r="A691" s="1" t="e">
        <f>VLOOKUP(B691,PLANOS!A:B,2,0)&amp;D691&amp;C691</f>
        <v>#N/A</v>
      </c>
      <c r="B691" s="1"/>
      <c r="C691" s="1"/>
      <c r="D691" s="155"/>
      <c r="F691" s="1"/>
      <c r="G691" s="1"/>
    </row>
    <row r="692" spans="1:7">
      <c r="A692" s="1" t="e">
        <f>VLOOKUP(B692,PLANOS!A:B,2,0)&amp;D692&amp;C692</f>
        <v>#N/A</v>
      </c>
      <c r="B692" s="1"/>
      <c r="C692" s="1"/>
      <c r="D692" s="155"/>
      <c r="F692" s="1"/>
      <c r="G692" s="1"/>
    </row>
    <row r="693" spans="1:7">
      <c r="A693" s="1" t="e">
        <f>VLOOKUP(B693,PLANOS!A:B,2,0)&amp;D693&amp;C693</f>
        <v>#N/A</v>
      </c>
      <c r="B693" s="1"/>
      <c r="C693" s="1"/>
      <c r="D693" s="155"/>
      <c r="F693" s="1"/>
      <c r="G693" s="1"/>
    </row>
    <row r="694" spans="1:7">
      <c r="A694" s="1" t="e">
        <f>VLOOKUP(B694,PLANOS!A:B,2,0)&amp;D694&amp;C694</f>
        <v>#N/A</v>
      </c>
      <c r="B694" s="1"/>
      <c r="C694" s="1"/>
      <c r="D694" s="155"/>
      <c r="F694" s="1"/>
      <c r="G694" s="1"/>
    </row>
    <row r="695" spans="1:7">
      <c r="A695" s="1" t="e">
        <f>VLOOKUP(B695,PLANOS!A:B,2,0)&amp;D695&amp;C695</f>
        <v>#N/A</v>
      </c>
      <c r="B695" s="1"/>
      <c r="C695" s="1"/>
      <c r="D695" s="155"/>
      <c r="F695" s="1"/>
      <c r="G695" s="1"/>
    </row>
    <row r="696" spans="1:7">
      <c r="A696" s="1" t="e">
        <f>VLOOKUP(B696,PLANOS!A:B,2,0)&amp;D696&amp;C696</f>
        <v>#N/A</v>
      </c>
      <c r="B696" s="1"/>
      <c r="C696" s="1"/>
      <c r="D696" s="155"/>
      <c r="F696" s="1"/>
      <c r="G696" s="1"/>
    </row>
    <row r="697" spans="1:7">
      <c r="A697" s="1" t="e">
        <f>VLOOKUP(B697,PLANOS!A:B,2,0)&amp;D697&amp;C697</f>
        <v>#N/A</v>
      </c>
      <c r="B697" s="1"/>
      <c r="C697" s="1"/>
      <c r="D697" s="155"/>
      <c r="F697" s="1"/>
      <c r="G697" s="1"/>
    </row>
    <row r="698" spans="1:7">
      <c r="A698" s="1" t="e">
        <f>VLOOKUP(B698,PLANOS!A:B,2,0)&amp;D698&amp;C698</f>
        <v>#N/A</v>
      </c>
      <c r="B698" s="1"/>
      <c r="C698" s="1"/>
      <c r="D698" s="155"/>
      <c r="F698" s="1"/>
      <c r="G698" s="1"/>
    </row>
    <row r="699" spans="1:7">
      <c r="A699" s="1" t="e">
        <f>VLOOKUP(B699,PLANOS!A:B,2,0)&amp;D699&amp;C699</f>
        <v>#N/A</v>
      </c>
      <c r="B699" s="1"/>
      <c r="C699" s="1"/>
      <c r="D699" s="155"/>
      <c r="F699" s="1"/>
      <c r="G699" s="1"/>
    </row>
    <row r="700" spans="1:7">
      <c r="A700" s="1" t="e">
        <f>VLOOKUP(B700,PLANOS!A:B,2,0)&amp;D700&amp;C700</f>
        <v>#N/A</v>
      </c>
      <c r="B700" s="1"/>
      <c r="C700" s="1"/>
      <c r="D700" s="155"/>
      <c r="F700" s="1"/>
      <c r="G700" s="1"/>
    </row>
    <row r="701" spans="1:7">
      <c r="A701" s="1" t="e">
        <f>VLOOKUP(B701,PLANOS!A:B,2,0)&amp;D701&amp;C701</f>
        <v>#N/A</v>
      </c>
      <c r="B701" s="1"/>
      <c r="C701" s="1"/>
      <c r="D701" s="155"/>
      <c r="F701" s="1"/>
      <c r="G701" s="1"/>
    </row>
    <row r="702" spans="1:7">
      <c r="A702" s="1" t="e">
        <f>VLOOKUP(B702,PLANOS!A:B,2,0)&amp;D702&amp;C702</f>
        <v>#N/A</v>
      </c>
      <c r="B702" s="1"/>
      <c r="C702" s="1"/>
      <c r="D702" s="155"/>
      <c r="F702" s="1"/>
      <c r="G702" s="1"/>
    </row>
    <row r="703" spans="1:7">
      <c r="A703" s="1" t="e">
        <f>VLOOKUP(B703,PLANOS!A:B,2,0)&amp;D703&amp;C703</f>
        <v>#N/A</v>
      </c>
      <c r="B703" s="1"/>
      <c r="C703" s="1"/>
      <c r="D703" s="155"/>
      <c r="F703" s="1"/>
      <c r="G703" s="1"/>
    </row>
    <row r="704" spans="1:7">
      <c r="A704" s="1" t="e">
        <f>VLOOKUP(B704,PLANOS!A:B,2,0)&amp;D704&amp;C704</f>
        <v>#N/A</v>
      </c>
      <c r="B704" s="1"/>
      <c r="C704" s="1"/>
      <c r="D704" s="155"/>
      <c r="F704" s="1"/>
      <c r="G704" s="1"/>
    </row>
    <row r="705" spans="1:7">
      <c r="A705" s="1" t="e">
        <f>VLOOKUP(B705,PLANOS!A:B,2,0)&amp;D705&amp;C705</f>
        <v>#N/A</v>
      </c>
      <c r="B705" s="1"/>
      <c r="C705" s="1"/>
      <c r="D705" s="155"/>
      <c r="F705" s="1"/>
      <c r="G705" s="1"/>
    </row>
    <row r="706" spans="1:7">
      <c r="A706" s="1" t="e">
        <f>VLOOKUP(B706,PLANOS!A:B,2,0)&amp;D706&amp;C706</f>
        <v>#N/A</v>
      </c>
      <c r="B706" s="1"/>
      <c r="C706" s="1"/>
      <c r="D706" s="155"/>
      <c r="F706" s="1"/>
      <c r="G706" s="1"/>
    </row>
    <row r="707" spans="1:7">
      <c r="A707" s="1" t="e">
        <f>VLOOKUP(B707,PLANOS!A:B,2,0)&amp;D707&amp;C707</f>
        <v>#N/A</v>
      </c>
      <c r="B707" s="1"/>
      <c r="C707" s="1"/>
      <c r="D707" s="155"/>
      <c r="F707" s="1"/>
      <c r="G707" s="1"/>
    </row>
    <row r="708" spans="1:7">
      <c r="A708" s="1" t="e">
        <f>VLOOKUP(B708,PLANOS!A:B,2,0)&amp;D708&amp;C708</f>
        <v>#N/A</v>
      </c>
      <c r="B708" s="1"/>
      <c r="C708" s="1"/>
      <c r="D708" s="155"/>
      <c r="F708" s="1"/>
      <c r="G708" s="1"/>
    </row>
    <row r="709" spans="1:7">
      <c r="A709" s="1" t="e">
        <f>VLOOKUP(B709,PLANOS!A:B,2,0)&amp;D709&amp;C709</f>
        <v>#N/A</v>
      </c>
      <c r="B709" s="1"/>
      <c r="C709" s="1"/>
      <c r="D709" s="155"/>
      <c r="F709" s="1"/>
      <c r="G709" s="1"/>
    </row>
    <row r="710" spans="1:7">
      <c r="A710" s="1" t="e">
        <f>VLOOKUP(B710,PLANOS!A:B,2,0)&amp;D710&amp;C710</f>
        <v>#N/A</v>
      </c>
      <c r="B710" s="1"/>
      <c r="C710" s="1"/>
      <c r="D710" s="155"/>
      <c r="F710" s="1"/>
      <c r="G710" s="1"/>
    </row>
    <row r="711" spans="1:7">
      <c r="A711" s="1" t="e">
        <f>VLOOKUP(B711,PLANOS!A:B,2,0)&amp;D711&amp;C711</f>
        <v>#N/A</v>
      </c>
      <c r="B711" s="1"/>
      <c r="C711" s="1"/>
      <c r="D711" s="155"/>
      <c r="F711" s="1"/>
      <c r="G711" s="1"/>
    </row>
    <row r="712" spans="1:7">
      <c r="A712" s="1" t="e">
        <f>VLOOKUP(B712,PLANOS!A:B,2,0)&amp;D712&amp;C712</f>
        <v>#N/A</v>
      </c>
      <c r="B712" s="1"/>
      <c r="C712" s="1"/>
      <c r="D712" s="155"/>
      <c r="F712" s="1"/>
      <c r="G712" s="1"/>
    </row>
    <row r="713" spans="1:7">
      <c r="A713" s="1" t="e">
        <f>VLOOKUP(B713,PLANOS!A:B,2,0)&amp;D713&amp;C713</f>
        <v>#N/A</v>
      </c>
      <c r="B713" s="1"/>
      <c r="C713" s="1"/>
      <c r="D713" s="155"/>
      <c r="F713" s="1"/>
      <c r="G713" s="1"/>
    </row>
    <row r="714" spans="1:7">
      <c r="A714" s="1" t="e">
        <f>VLOOKUP(B714,PLANOS!A:B,2,0)&amp;D714&amp;C714</f>
        <v>#N/A</v>
      </c>
      <c r="B714" s="1"/>
      <c r="C714" s="1"/>
      <c r="D714" s="155"/>
      <c r="F714" s="1"/>
      <c r="G714" s="1"/>
    </row>
    <row r="715" spans="1:7">
      <c r="A715" s="1" t="e">
        <f>VLOOKUP(B715,PLANOS!A:B,2,0)&amp;D715&amp;C715</f>
        <v>#N/A</v>
      </c>
      <c r="B715" s="1"/>
      <c r="C715" s="1"/>
      <c r="D715" s="155"/>
      <c r="F715" s="1"/>
      <c r="G715" s="1"/>
    </row>
    <row r="716" spans="1:7">
      <c r="A716" s="1" t="e">
        <f>VLOOKUP(B716,PLANOS!A:B,2,0)&amp;D716&amp;C716</f>
        <v>#N/A</v>
      </c>
      <c r="B716" s="1"/>
      <c r="C716" s="1"/>
      <c r="D716" s="155"/>
      <c r="F716" s="1"/>
      <c r="G716" s="1"/>
    </row>
    <row r="717" spans="1:7">
      <c r="A717" s="1" t="e">
        <f>VLOOKUP(B717,PLANOS!A:B,2,0)&amp;D717&amp;C717</f>
        <v>#N/A</v>
      </c>
      <c r="B717" s="1"/>
      <c r="C717" s="1"/>
      <c r="D717" s="155"/>
      <c r="F717" s="1"/>
      <c r="G717" s="1"/>
    </row>
    <row r="718" spans="1:7">
      <c r="A718" s="1" t="e">
        <f>VLOOKUP(B718,PLANOS!A:B,2,0)&amp;D718&amp;C718</f>
        <v>#N/A</v>
      </c>
      <c r="B718" s="1"/>
      <c r="C718" s="1"/>
      <c r="D718" s="155"/>
      <c r="F718" s="1"/>
      <c r="G718" s="1"/>
    </row>
    <row r="719" spans="1:7">
      <c r="A719" s="1" t="e">
        <f>VLOOKUP(B719,PLANOS!A:B,2,0)&amp;D719&amp;C719</f>
        <v>#N/A</v>
      </c>
      <c r="B719" s="1"/>
      <c r="C719" s="1"/>
      <c r="D719" s="155"/>
      <c r="F719" s="1"/>
      <c r="G719" s="1"/>
    </row>
    <row r="720" spans="1:7">
      <c r="A720" s="1" t="e">
        <f>VLOOKUP(B720,PLANOS!A:B,2,0)&amp;D720&amp;C720</f>
        <v>#N/A</v>
      </c>
      <c r="B720" s="1"/>
      <c r="C720" s="1"/>
      <c r="D720" s="155"/>
      <c r="F720" s="1"/>
      <c r="G720" s="1"/>
    </row>
    <row r="721" spans="1:7">
      <c r="A721" s="1" t="e">
        <f>VLOOKUP(B721,PLANOS!A:B,2,0)&amp;D721&amp;C721</f>
        <v>#N/A</v>
      </c>
      <c r="B721" s="1"/>
      <c r="C721" s="1"/>
      <c r="D721" s="155"/>
      <c r="F721" s="1"/>
      <c r="G721" s="1"/>
    </row>
    <row r="722" spans="1:7">
      <c r="A722" s="1" t="e">
        <f>VLOOKUP(B722,PLANOS!A:B,2,0)&amp;D722&amp;C722</f>
        <v>#N/A</v>
      </c>
      <c r="B722" s="1"/>
      <c r="C722" s="1"/>
      <c r="D722" s="155"/>
      <c r="F722" s="1"/>
      <c r="G722" s="1"/>
    </row>
    <row r="723" spans="1:7">
      <c r="A723" s="1" t="e">
        <f>VLOOKUP(B723,PLANOS!A:B,2,0)&amp;D723&amp;C723</f>
        <v>#N/A</v>
      </c>
      <c r="B723" s="1"/>
      <c r="C723" s="1"/>
      <c r="D723" s="155"/>
      <c r="F723" s="1"/>
      <c r="G723" s="1"/>
    </row>
    <row r="724" spans="1:7">
      <c r="A724" s="1" t="e">
        <f>VLOOKUP(B724,PLANOS!A:B,2,0)&amp;D724&amp;C724</f>
        <v>#N/A</v>
      </c>
      <c r="B724" s="1"/>
      <c r="C724" s="1"/>
      <c r="D724" s="155"/>
      <c r="F724" s="1"/>
      <c r="G724" s="1"/>
    </row>
    <row r="725" spans="1:7">
      <c r="A725" s="1" t="e">
        <f>VLOOKUP(B725,PLANOS!A:B,2,0)&amp;D725&amp;C725</f>
        <v>#N/A</v>
      </c>
      <c r="B725" s="1"/>
      <c r="C725" s="1"/>
      <c r="D725" s="155"/>
      <c r="F725" s="1"/>
      <c r="G725" s="1"/>
    </row>
    <row r="726" spans="1:7">
      <c r="A726" s="1" t="e">
        <f>VLOOKUP(B726,PLANOS!A:B,2,0)&amp;D726&amp;C726</f>
        <v>#N/A</v>
      </c>
      <c r="B726" s="1"/>
      <c r="C726" s="1"/>
      <c r="D726" s="155"/>
      <c r="F726" s="1"/>
      <c r="G726" s="1"/>
    </row>
    <row r="727" spans="1:7">
      <c r="A727" s="1" t="e">
        <f>VLOOKUP(B727,PLANOS!A:B,2,0)&amp;D727&amp;C727</f>
        <v>#N/A</v>
      </c>
      <c r="B727" s="1"/>
      <c r="C727" s="1"/>
      <c r="D727" s="155"/>
      <c r="F727" s="1"/>
      <c r="G727" s="1"/>
    </row>
    <row r="728" spans="1:7">
      <c r="A728" s="1" t="e">
        <f>VLOOKUP(B728,PLANOS!A:B,2,0)&amp;D728&amp;C728</f>
        <v>#N/A</v>
      </c>
      <c r="B728" s="1"/>
      <c r="C728" s="1"/>
      <c r="D728" s="155"/>
      <c r="F728" s="1"/>
      <c r="G728" s="1"/>
    </row>
    <row r="729" spans="1:7">
      <c r="A729" s="1" t="e">
        <f>VLOOKUP(B729,PLANOS!A:B,2,0)&amp;D729&amp;C729</f>
        <v>#N/A</v>
      </c>
      <c r="B729" s="1"/>
      <c r="C729" s="1"/>
      <c r="D729" s="155"/>
      <c r="F729" s="1"/>
      <c r="G729" s="1"/>
    </row>
    <row r="730" spans="1:7">
      <c r="A730" s="1" t="e">
        <f>VLOOKUP(B730,PLANOS!A:B,2,0)&amp;D730&amp;C730</f>
        <v>#N/A</v>
      </c>
      <c r="B730" s="1"/>
      <c r="C730" s="1"/>
      <c r="D730" s="155"/>
      <c r="F730" s="1"/>
      <c r="G730" s="1"/>
    </row>
    <row r="731" spans="1:7">
      <c r="A731" s="1" t="e">
        <f>VLOOKUP(B731,PLANOS!A:B,2,0)&amp;D731&amp;C731</f>
        <v>#N/A</v>
      </c>
      <c r="B731" s="1"/>
      <c r="C731" s="1"/>
      <c r="D731" s="155"/>
      <c r="F731" s="1"/>
      <c r="G731" s="1"/>
    </row>
    <row r="732" spans="1:7">
      <c r="A732" s="1" t="e">
        <f>VLOOKUP(B732,PLANOS!A:B,2,0)&amp;D732&amp;C732</f>
        <v>#N/A</v>
      </c>
      <c r="B732" s="1"/>
      <c r="C732" s="1"/>
      <c r="D732" s="155"/>
      <c r="F732" s="1"/>
      <c r="G732" s="1"/>
    </row>
    <row r="733" spans="1:7">
      <c r="A733" s="1" t="e">
        <f>VLOOKUP(B733,PLANOS!A:B,2,0)&amp;D733&amp;C733</f>
        <v>#N/A</v>
      </c>
      <c r="B733" s="1"/>
      <c r="C733" s="1"/>
      <c r="D733" s="155"/>
      <c r="F733" s="1"/>
      <c r="G733" s="1"/>
    </row>
    <row r="734" spans="1:7">
      <c r="A734" s="1" t="e">
        <f>VLOOKUP(B734,PLANOS!A:B,2,0)&amp;D734&amp;C734</f>
        <v>#N/A</v>
      </c>
      <c r="B734" s="1"/>
      <c r="C734" s="1"/>
      <c r="D734" s="155"/>
      <c r="F734" s="1"/>
      <c r="G734" s="1"/>
    </row>
    <row r="735" spans="1:7">
      <c r="A735" s="1" t="e">
        <f>VLOOKUP(B735,PLANOS!A:B,2,0)&amp;D735&amp;C735</f>
        <v>#N/A</v>
      </c>
      <c r="B735" s="1"/>
      <c r="C735" s="1"/>
      <c r="D735" s="155"/>
      <c r="F735" s="1"/>
      <c r="G735" s="1"/>
    </row>
    <row r="736" spans="1:7">
      <c r="A736" s="1" t="e">
        <f>VLOOKUP(B736,PLANOS!A:B,2,0)&amp;D736&amp;C736</f>
        <v>#N/A</v>
      </c>
      <c r="B736" s="1"/>
      <c r="C736" s="1"/>
      <c r="D736" s="155"/>
      <c r="F736" s="1"/>
      <c r="G736" s="1"/>
    </row>
    <row r="737" spans="1:7">
      <c r="A737" s="1" t="e">
        <f>VLOOKUP(B737,PLANOS!A:B,2,0)&amp;D737&amp;C737</f>
        <v>#N/A</v>
      </c>
      <c r="B737" s="1"/>
      <c r="C737" s="1"/>
      <c r="D737" s="155"/>
      <c r="F737" s="1"/>
      <c r="G737" s="1"/>
    </row>
    <row r="738" spans="1:7">
      <c r="A738" s="1" t="e">
        <f>VLOOKUP(B738,PLANOS!A:B,2,0)&amp;D738&amp;C738</f>
        <v>#N/A</v>
      </c>
      <c r="B738" s="1"/>
      <c r="C738" s="1"/>
      <c r="D738" s="155"/>
      <c r="F738" s="1"/>
      <c r="G738" s="1"/>
    </row>
    <row r="739" spans="1:7">
      <c r="A739" s="1" t="e">
        <f>VLOOKUP(B739,PLANOS!A:B,2,0)&amp;D739&amp;C739</f>
        <v>#N/A</v>
      </c>
      <c r="B739" s="1"/>
      <c r="C739" s="1"/>
      <c r="D739" s="155"/>
      <c r="F739" s="1"/>
      <c r="G739" s="1"/>
    </row>
    <row r="740" spans="1:7">
      <c r="A740" s="1" t="e">
        <f>VLOOKUP(B740,PLANOS!A:B,2,0)&amp;D740&amp;C740</f>
        <v>#N/A</v>
      </c>
      <c r="B740" s="1"/>
      <c r="C740" s="1"/>
      <c r="D740" s="155"/>
      <c r="F740" s="1"/>
      <c r="G740" s="1"/>
    </row>
    <row r="741" spans="1:7">
      <c r="A741" s="1" t="e">
        <f>VLOOKUP(B741,PLANOS!A:B,2,0)&amp;D741&amp;C741</f>
        <v>#N/A</v>
      </c>
      <c r="B741" s="1"/>
      <c r="C741" s="1"/>
      <c r="D741" s="155"/>
      <c r="F741" s="1"/>
      <c r="G741" s="1"/>
    </row>
    <row r="742" spans="1:7">
      <c r="A742" s="1" t="e">
        <f>VLOOKUP(B742,PLANOS!A:B,2,0)&amp;D742&amp;C742</f>
        <v>#N/A</v>
      </c>
      <c r="B742" s="1"/>
      <c r="C742" s="1"/>
      <c r="D742" s="155"/>
      <c r="F742" s="1"/>
      <c r="G742" s="1"/>
    </row>
    <row r="743" spans="1:7">
      <c r="A743" s="1" t="e">
        <f>VLOOKUP(B743,PLANOS!A:B,2,0)&amp;D743&amp;C743</f>
        <v>#N/A</v>
      </c>
      <c r="B743" s="1"/>
      <c r="C743" s="1"/>
      <c r="D743" s="155"/>
      <c r="F743" s="1"/>
      <c r="G743" s="1"/>
    </row>
    <row r="744" spans="1:7">
      <c r="A744" s="1" t="e">
        <f>VLOOKUP(B744,PLANOS!A:B,2,0)&amp;D744&amp;C744</f>
        <v>#N/A</v>
      </c>
      <c r="B744" s="1"/>
      <c r="C744" s="1"/>
      <c r="D744" s="155"/>
      <c r="F744" s="1"/>
      <c r="G744" s="1"/>
    </row>
    <row r="745" spans="1:7">
      <c r="A745" s="1" t="e">
        <f>VLOOKUP(B745,PLANOS!A:B,2,0)&amp;D745&amp;C745</f>
        <v>#N/A</v>
      </c>
      <c r="B745" s="1"/>
      <c r="C745" s="1"/>
      <c r="D745" s="155"/>
      <c r="F745" s="1"/>
      <c r="G745" s="1"/>
    </row>
    <row r="746" spans="1:7">
      <c r="A746" s="1" t="e">
        <f>VLOOKUP(B746,PLANOS!A:B,2,0)&amp;D746&amp;C746</f>
        <v>#N/A</v>
      </c>
      <c r="B746" s="1"/>
      <c r="C746" s="1"/>
      <c r="D746" s="155"/>
      <c r="F746" s="1"/>
      <c r="G746" s="1"/>
    </row>
    <row r="747" spans="1:7">
      <c r="A747" s="1" t="e">
        <f>VLOOKUP(B747,PLANOS!A:B,2,0)&amp;D747&amp;C747</f>
        <v>#N/A</v>
      </c>
      <c r="B747" s="1"/>
      <c r="C747" s="1"/>
      <c r="D747" s="155"/>
      <c r="F747" s="1"/>
      <c r="G747" s="1"/>
    </row>
    <row r="748" spans="1:7">
      <c r="A748" s="1" t="e">
        <f>VLOOKUP(B748,PLANOS!A:B,2,0)&amp;D748&amp;C748</f>
        <v>#N/A</v>
      </c>
      <c r="B748" s="1"/>
      <c r="C748" s="1"/>
      <c r="D748" s="155"/>
      <c r="F748" s="1"/>
      <c r="G748" s="1"/>
    </row>
    <row r="749" spans="1:7">
      <c r="A749" s="1" t="e">
        <f>VLOOKUP(B749,PLANOS!A:B,2,0)&amp;D749&amp;C749</f>
        <v>#N/A</v>
      </c>
      <c r="B749" s="1"/>
      <c r="C749" s="1"/>
      <c r="D749" s="155"/>
      <c r="F749" s="1"/>
      <c r="G749" s="1"/>
    </row>
    <row r="750" spans="1:7">
      <c r="A750" s="1" t="e">
        <f>VLOOKUP(B750,PLANOS!A:B,2,0)&amp;D750&amp;C750</f>
        <v>#N/A</v>
      </c>
      <c r="B750" s="1"/>
      <c r="C750" s="1"/>
      <c r="D750" s="155"/>
      <c r="F750" s="1"/>
      <c r="G750" s="1"/>
    </row>
    <row r="751" spans="1:7">
      <c r="A751" s="1" t="e">
        <f>VLOOKUP(B751,PLANOS!A:B,2,0)&amp;D751&amp;C751</f>
        <v>#N/A</v>
      </c>
      <c r="B751" s="1"/>
      <c r="C751" s="1"/>
      <c r="D751" s="155"/>
      <c r="F751" s="1"/>
      <c r="G751" s="1"/>
    </row>
    <row r="752" spans="1:7">
      <c r="A752" s="1" t="e">
        <f>VLOOKUP(B752,PLANOS!A:B,2,0)&amp;D752&amp;C752</f>
        <v>#N/A</v>
      </c>
      <c r="B752" s="1"/>
      <c r="C752" s="1"/>
      <c r="D752" s="155"/>
      <c r="F752" s="1"/>
      <c r="G752" s="1"/>
    </row>
    <row r="753" spans="1:7">
      <c r="A753" s="1" t="e">
        <f>VLOOKUP(B753,PLANOS!A:B,2,0)&amp;D753&amp;C753</f>
        <v>#N/A</v>
      </c>
      <c r="B753" s="1"/>
      <c r="C753" s="1"/>
      <c r="D753" s="155"/>
      <c r="F753" s="1"/>
      <c r="G753" s="1"/>
    </row>
    <row r="754" spans="1:7">
      <c r="A754" s="1" t="e">
        <f>VLOOKUP(B754,PLANOS!A:B,2,0)&amp;D754&amp;C754</f>
        <v>#N/A</v>
      </c>
      <c r="B754" s="1"/>
      <c r="C754" s="1"/>
      <c r="D754" s="155"/>
      <c r="F754" s="1"/>
      <c r="G754" s="1"/>
    </row>
    <row r="755" spans="1:7">
      <c r="A755" s="1" t="e">
        <f>VLOOKUP(B755,PLANOS!A:B,2,0)&amp;D755&amp;C755</f>
        <v>#N/A</v>
      </c>
      <c r="B755" s="1"/>
      <c r="C755" s="1"/>
      <c r="D755" s="155"/>
      <c r="F755" s="1"/>
      <c r="G755" s="1"/>
    </row>
    <row r="756" spans="1:7">
      <c r="A756" s="1" t="e">
        <f>VLOOKUP(B756,PLANOS!A:B,2,0)&amp;D756&amp;C756</f>
        <v>#N/A</v>
      </c>
      <c r="B756" s="1"/>
      <c r="C756" s="1"/>
      <c r="D756" s="155"/>
      <c r="F756" s="1"/>
      <c r="G756" s="1"/>
    </row>
    <row r="757" spans="1:7">
      <c r="A757" s="1" t="e">
        <f>VLOOKUP(B757,PLANOS!A:B,2,0)&amp;D757&amp;C757</f>
        <v>#N/A</v>
      </c>
      <c r="B757" s="1"/>
      <c r="C757" s="1"/>
      <c r="D757" s="155"/>
      <c r="F757" s="1"/>
      <c r="G757" s="1"/>
    </row>
    <row r="758" spans="1:7">
      <c r="A758" s="1" t="e">
        <f>VLOOKUP(B758,PLANOS!A:B,2,0)&amp;D758&amp;C758</f>
        <v>#N/A</v>
      </c>
      <c r="B758" s="1"/>
      <c r="C758" s="1"/>
      <c r="D758" s="155"/>
      <c r="F758" s="1"/>
      <c r="G758" s="1"/>
    </row>
    <row r="759" spans="1:7">
      <c r="A759" s="1" t="e">
        <f>VLOOKUP(B759,PLANOS!A:B,2,0)&amp;D759&amp;C759</f>
        <v>#N/A</v>
      </c>
      <c r="B759" s="1"/>
      <c r="C759" s="1"/>
      <c r="D759" s="155"/>
      <c r="F759" s="1"/>
      <c r="G759" s="1"/>
    </row>
    <row r="760" spans="1:7">
      <c r="A760" s="1" t="e">
        <f>VLOOKUP(B760,PLANOS!A:B,2,0)&amp;D760&amp;C760</f>
        <v>#N/A</v>
      </c>
      <c r="B760" s="1"/>
      <c r="C760" s="1"/>
      <c r="D760" s="155"/>
      <c r="F760" s="1"/>
      <c r="G760" s="1"/>
    </row>
    <row r="761" spans="1:7">
      <c r="A761" s="1" t="e">
        <f>VLOOKUP(B761,PLANOS!A:B,2,0)&amp;D761&amp;C761</f>
        <v>#N/A</v>
      </c>
      <c r="B761" s="1"/>
      <c r="C761" s="1"/>
      <c r="D761" s="155"/>
      <c r="F761" s="1"/>
      <c r="G761" s="1"/>
    </row>
    <row r="762" spans="1:7">
      <c r="A762" s="1" t="e">
        <f>VLOOKUP(B762,PLANOS!A:B,2,0)&amp;D762&amp;C762</f>
        <v>#N/A</v>
      </c>
      <c r="B762" s="1"/>
      <c r="C762" s="1"/>
      <c r="D762" s="155"/>
      <c r="F762" s="1"/>
      <c r="G762" s="1"/>
    </row>
    <row r="763" spans="1:7">
      <c r="A763" s="1" t="e">
        <f>VLOOKUP(B763,PLANOS!A:B,2,0)&amp;D763&amp;C763</f>
        <v>#N/A</v>
      </c>
      <c r="B763" s="1"/>
      <c r="C763" s="1"/>
      <c r="D763" s="155"/>
      <c r="F763" s="1"/>
      <c r="G763" s="1"/>
    </row>
    <row r="764" spans="1:7">
      <c r="A764" s="1" t="e">
        <f>VLOOKUP(B764,PLANOS!A:B,2,0)&amp;D764&amp;C764</f>
        <v>#N/A</v>
      </c>
      <c r="B764" s="1"/>
      <c r="C764" s="1"/>
      <c r="D764" s="155"/>
      <c r="F764" s="1"/>
      <c r="G764" s="1"/>
    </row>
    <row r="765" spans="1:7">
      <c r="A765" s="1" t="e">
        <f>VLOOKUP(B765,PLANOS!A:B,2,0)&amp;D765&amp;C765</f>
        <v>#N/A</v>
      </c>
      <c r="B765" s="1"/>
      <c r="C765" s="1"/>
      <c r="D765" s="155"/>
      <c r="F765" s="1"/>
      <c r="G765" s="1"/>
    </row>
    <row r="766" spans="1:7">
      <c r="A766" s="1" t="e">
        <f>VLOOKUP(B766,PLANOS!A:B,2,0)&amp;D766&amp;C766</f>
        <v>#N/A</v>
      </c>
      <c r="B766" s="1"/>
      <c r="C766" s="1"/>
      <c r="D766" s="155"/>
      <c r="F766" s="1"/>
      <c r="G766" s="1"/>
    </row>
    <row r="767" spans="1:7">
      <c r="A767" s="1" t="e">
        <f>VLOOKUP(B767,PLANOS!A:B,2,0)&amp;D767&amp;C767</f>
        <v>#N/A</v>
      </c>
      <c r="B767" s="1"/>
      <c r="C767" s="1"/>
      <c r="D767" s="155"/>
      <c r="F767" s="1"/>
      <c r="G767" s="1"/>
    </row>
    <row r="768" spans="1:7">
      <c r="A768" s="1" t="e">
        <f>VLOOKUP(B768,PLANOS!A:B,2,0)&amp;D768&amp;C768</f>
        <v>#N/A</v>
      </c>
      <c r="B768" s="1"/>
      <c r="C768" s="1"/>
      <c r="D768" s="155"/>
      <c r="F768" s="1"/>
      <c r="G768" s="1"/>
    </row>
    <row r="769" spans="1:7">
      <c r="A769" s="1" t="e">
        <f>VLOOKUP(B769,PLANOS!A:B,2,0)&amp;D769&amp;C769</f>
        <v>#N/A</v>
      </c>
      <c r="B769" s="1"/>
      <c r="C769" s="1"/>
      <c r="D769" s="155"/>
      <c r="F769" s="1"/>
      <c r="G769" s="1"/>
    </row>
    <row r="770" spans="1:7">
      <c r="A770" s="1" t="e">
        <f>VLOOKUP(B770,PLANOS!A:B,2,0)&amp;D770&amp;C770</f>
        <v>#N/A</v>
      </c>
      <c r="B770" s="1"/>
      <c r="C770" s="1"/>
      <c r="D770" s="155"/>
      <c r="F770" s="1"/>
      <c r="G770" s="1"/>
    </row>
    <row r="771" spans="1:7">
      <c r="A771" s="1" t="e">
        <f>VLOOKUP(B771,PLANOS!A:B,2,0)&amp;D771&amp;C771</f>
        <v>#N/A</v>
      </c>
      <c r="B771" s="1"/>
      <c r="C771" s="1"/>
      <c r="D771" s="155"/>
      <c r="F771" s="1"/>
      <c r="G771" s="1"/>
    </row>
    <row r="772" spans="1:7">
      <c r="A772" s="1" t="e">
        <f>VLOOKUP(B772,PLANOS!A:B,2,0)&amp;D772&amp;C772</f>
        <v>#N/A</v>
      </c>
      <c r="B772" s="1"/>
      <c r="C772" s="1"/>
      <c r="D772" s="155"/>
      <c r="F772" s="1"/>
      <c r="G772" s="1"/>
    </row>
    <row r="773" spans="1:7">
      <c r="A773" s="1" t="e">
        <f>VLOOKUP(B773,PLANOS!A:B,2,0)&amp;D773&amp;C773</f>
        <v>#N/A</v>
      </c>
      <c r="B773" s="1"/>
      <c r="C773" s="1"/>
      <c r="D773" s="155"/>
      <c r="F773" s="1"/>
      <c r="G773" s="1"/>
    </row>
    <row r="774" spans="1:7">
      <c r="A774" s="1" t="e">
        <f>VLOOKUP(B774,PLANOS!A:B,2,0)&amp;D774&amp;C774</f>
        <v>#N/A</v>
      </c>
      <c r="B774" s="1"/>
      <c r="C774" s="1"/>
      <c r="D774" s="155"/>
      <c r="F774" s="1"/>
      <c r="G774" s="1"/>
    </row>
    <row r="775" spans="1:7">
      <c r="A775" s="1" t="e">
        <f>VLOOKUP(B775,PLANOS!A:B,2,0)&amp;D775&amp;C775</f>
        <v>#N/A</v>
      </c>
      <c r="B775" s="1"/>
      <c r="C775" s="1"/>
      <c r="D775" s="155"/>
      <c r="F775" s="1"/>
      <c r="G775" s="1"/>
    </row>
    <row r="776" spans="1:7">
      <c r="A776" s="1" t="e">
        <f>VLOOKUP(B776,PLANOS!A:B,2,0)&amp;D776&amp;C776</f>
        <v>#N/A</v>
      </c>
      <c r="B776" s="1"/>
      <c r="C776" s="1"/>
      <c r="D776" s="155"/>
      <c r="F776" s="1"/>
      <c r="G776" s="1"/>
    </row>
    <row r="777" spans="1:7">
      <c r="A777" s="1" t="e">
        <f>VLOOKUP(B777,PLANOS!A:B,2,0)&amp;D777&amp;C777</f>
        <v>#N/A</v>
      </c>
      <c r="B777" s="1"/>
      <c r="C777" s="1"/>
      <c r="D777" s="155"/>
      <c r="F777" s="1"/>
      <c r="G777" s="1"/>
    </row>
    <row r="778" spans="1:7">
      <c r="A778" s="1" t="e">
        <f>VLOOKUP(B778,PLANOS!A:B,2,0)&amp;D778&amp;C778</f>
        <v>#N/A</v>
      </c>
      <c r="B778" s="1"/>
      <c r="C778" s="1"/>
      <c r="D778" s="155"/>
      <c r="F778" s="1"/>
      <c r="G778" s="1"/>
    </row>
    <row r="779" spans="1:7">
      <c r="A779" s="1" t="e">
        <f>VLOOKUP(B779,PLANOS!A:B,2,0)&amp;D779&amp;C779</f>
        <v>#N/A</v>
      </c>
      <c r="B779" s="1"/>
      <c r="C779" s="1"/>
      <c r="D779" s="155"/>
      <c r="F779" s="1"/>
      <c r="G779" s="1"/>
    </row>
    <row r="780" spans="1:7">
      <c r="A780" s="1" t="e">
        <f>VLOOKUP(B780,PLANOS!A:B,2,0)&amp;D780&amp;C780</f>
        <v>#N/A</v>
      </c>
      <c r="B780" s="1"/>
      <c r="C780" s="1"/>
      <c r="D780" s="155"/>
      <c r="F780" s="1"/>
      <c r="G780" s="1"/>
    </row>
    <row r="781" spans="1:7">
      <c r="A781" s="1" t="e">
        <f>VLOOKUP(B781,PLANOS!A:B,2,0)&amp;D781&amp;C781</f>
        <v>#N/A</v>
      </c>
      <c r="B781" s="1"/>
      <c r="C781" s="1"/>
      <c r="D781" s="155"/>
      <c r="F781" s="1"/>
      <c r="G781" s="1"/>
    </row>
    <row r="782" spans="1:7">
      <c r="A782" s="1" t="e">
        <f>VLOOKUP(B782,PLANOS!A:B,2,0)&amp;D782&amp;C782</f>
        <v>#N/A</v>
      </c>
      <c r="B782" s="1"/>
      <c r="C782" s="1"/>
      <c r="D782" s="155"/>
      <c r="F782" s="1"/>
      <c r="G782" s="1"/>
    </row>
    <row r="783" spans="1:7">
      <c r="A783" s="1" t="e">
        <f>VLOOKUP(B783,PLANOS!A:B,2,0)&amp;D783&amp;C783</f>
        <v>#N/A</v>
      </c>
      <c r="B783" s="1"/>
      <c r="C783" s="1"/>
      <c r="D783" s="155"/>
      <c r="F783" s="1"/>
      <c r="G783" s="1"/>
    </row>
    <row r="784" spans="1:7">
      <c r="A784" s="1" t="e">
        <f>VLOOKUP(B784,PLANOS!A:B,2,0)&amp;D784&amp;C784</f>
        <v>#N/A</v>
      </c>
      <c r="B784" s="1"/>
      <c r="C784" s="1"/>
      <c r="D784" s="155"/>
      <c r="F784" s="1"/>
      <c r="G784" s="1"/>
    </row>
    <row r="785" spans="1:7">
      <c r="A785" s="1" t="e">
        <f>VLOOKUP(B785,PLANOS!A:B,2,0)&amp;D785&amp;C785</f>
        <v>#N/A</v>
      </c>
      <c r="B785" s="1"/>
      <c r="C785" s="1"/>
      <c r="D785" s="155"/>
      <c r="F785" s="1"/>
      <c r="G785" s="1"/>
    </row>
    <row r="786" spans="1:7">
      <c r="A786" s="1" t="e">
        <f>VLOOKUP(B786,PLANOS!A:B,2,0)&amp;D786&amp;C786</f>
        <v>#N/A</v>
      </c>
      <c r="B786" s="1"/>
      <c r="C786" s="1"/>
      <c r="D786" s="155"/>
      <c r="F786" s="1"/>
      <c r="G786" s="1"/>
    </row>
    <row r="787" spans="1:7">
      <c r="A787" s="1" t="e">
        <f>VLOOKUP(B787,PLANOS!A:B,2,0)&amp;D787&amp;C787</f>
        <v>#N/A</v>
      </c>
      <c r="B787" s="1"/>
      <c r="C787" s="1"/>
      <c r="D787" s="155"/>
      <c r="F787" s="1"/>
      <c r="G787" s="1"/>
    </row>
    <row r="788" spans="1:7">
      <c r="A788" s="1" t="e">
        <f>VLOOKUP(B788,PLANOS!A:B,2,0)&amp;D788&amp;C788</f>
        <v>#N/A</v>
      </c>
      <c r="B788" s="1"/>
      <c r="C788" s="1"/>
      <c r="D788" s="155"/>
      <c r="F788" s="1"/>
      <c r="G788" s="1"/>
    </row>
    <row r="789" spans="1:7">
      <c r="A789" s="1" t="e">
        <f>VLOOKUP(B789,PLANOS!A:B,2,0)&amp;D789&amp;C789</f>
        <v>#N/A</v>
      </c>
      <c r="B789" s="1"/>
      <c r="C789" s="1"/>
      <c r="D789" s="155"/>
      <c r="F789" s="1"/>
      <c r="G789" s="1"/>
    </row>
    <row r="790" spans="1:7">
      <c r="A790" s="1" t="e">
        <f>VLOOKUP(B790,PLANOS!A:B,2,0)&amp;D790&amp;C790</f>
        <v>#N/A</v>
      </c>
      <c r="B790" s="1"/>
      <c r="C790" s="1"/>
      <c r="D790" s="155"/>
      <c r="F790" s="1"/>
      <c r="G790" s="1"/>
    </row>
    <row r="791" spans="1:7">
      <c r="A791" s="1" t="e">
        <f>VLOOKUP(B791,PLANOS!A:B,2,0)&amp;D791&amp;C791</f>
        <v>#N/A</v>
      </c>
      <c r="B791" s="1"/>
      <c r="C791" s="1"/>
      <c r="D791" s="155"/>
      <c r="F791" s="1"/>
      <c r="G791" s="1"/>
    </row>
    <row r="792" spans="1:7">
      <c r="A792" s="1" t="e">
        <f>VLOOKUP(B792,PLANOS!A:B,2,0)&amp;D792&amp;C792</f>
        <v>#N/A</v>
      </c>
      <c r="B792" s="1"/>
      <c r="C792" s="1"/>
      <c r="D792" s="155"/>
      <c r="F792" s="1"/>
      <c r="G792" s="1"/>
    </row>
    <row r="793" spans="1:7">
      <c r="A793" s="1" t="e">
        <f>VLOOKUP(B793,PLANOS!A:B,2,0)&amp;D793&amp;C793</f>
        <v>#N/A</v>
      </c>
      <c r="B793" s="1"/>
      <c r="C793" s="1"/>
      <c r="D793" s="155"/>
      <c r="F793" s="1"/>
      <c r="G793" s="1"/>
    </row>
    <row r="794" spans="1:7">
      <c r="A794" s="1" t="e">
        <f>VLOOKUP(B794,PLANOS!A:B,2,0)&amp;D794&amp;C794</f>
        <v>#N/A</v>
      </c>
      <c r="B794" s="1"/>
      <c r="C794" s="1"/>
      <c r="D794" s="155"/>
      <c r="F794" s="1"/>
      <c r="G794" s="1"/>
    </row>
    <row r="795" spans="1:7">
      <c r="A795" s="1" t="e">
        <f>VLOOKUP(B795,PLANOS!A:B,2,0)&amp;D795&amp;C795</f>
        <v>#N/A</v>
      </c>
      <c r="B795" s="1"/>
      <c r="C795" s="1"/>
      <c r="D795" s="155"/>
      <c r="F795" s="1"/>
      <c r="G795" s="1"/>
    </row>
    <row r="796" spans="1:7">
      <c r="A796" s="1" t="e">
        <f>VLOOKUP(B796,PLANOS!A:B,2,0)&amp;D796&amp;C796</f>
        <v>#N/A</v>
      </c>
      <c r="B796" s="1"/>
      <c r="C796" s="1"/>
      <c r="D796" s="155"/>
      <c r="F796" s="1"/>
      <c r="G796" s="1"/>
    </row>
    <row r="797" spans="1:7">
      <c r="A797" s="1" t="e">
        <f>VLOOKUP(B797,PLANOS!A:B,2,0)&amp;D797&amp;C797</f>
        <v>#N/A</v>
      </c>
      <c r="B797" s="1"/>
      <c r="C797" s="1"/>
      <c r="D797" s="155"/>
      <c r="F797" s="1"/>
      <c r="G797" s="1"/>
    </row>
    <row r="798" spans="1:7">
      <c r="A798" s="1" t="e">
        <f>VLOOKUP(B798,PLANOS!A:B,2,0)&amp;D798&amp;C798</f>
        <v>#N/A</v>
      </c>
      <c r="B798" s="1"/>
      <c r="C798" s="1"/>
      <c r="D798" s="155"/>
      <c r="F798" s="1"/>
      <c r="G798" s="1"/>
    </row>
    <row r="799" spans="1:7">
      <c r="A799" s="1" t="e">
        <f>VLOOKUP(B799,PLANOS!A:B,2,0)&amp;D799&amp;C799</f>
        <v>#N/A</v>
      </c>
      <c r="B799" s="1"/>
      <c r="C799" s="1"/>
      <c r="D799" s="155"/>
      <c r="F799" s="1"/>
      <c r="G799" s="1"/>
    </row>
    <row r="800" spans="1:7">
      <c r="A800" s="1" t="e">
        <f>VLOOKUP(B800,PLANOS!A:B,2,0)&amp;D800&amp;C800</f>
        <v>#N/A</v>
      </c>
      <c r="B800" s="1"/>
      <c r="C800" s="1"/>
      <c r="D800" s="155"/>
      <c r="F800" s="1"/>
      <c r="G800" s="1"/>
    </row>
    <row r="801" spans="1:7">
      <c r="A801" s="1" t="e">
        <f>VLOOKUP(B801,PLANOS!A:B,2,0)&amp;D801&amp;C801</f>
        <v>#N/A</v>
      </c>
      <c r="B801" s="1"/>
      <c r="C801" s="1"/>
      <c r="D801" s="155"/>
      <c r="F801" s="1"/>
      <c r="G801" s="1"/>
    </row>
    <row r="802" spans="1:7">
      <c r="A802" s="1" t="e">
        <f>VLOOKUP(B802,PLANOS!A:B,2,0)&amp;D802&amp;C802</f>
        <v>#N/A</v>
      </c>
      <c r="B802" s="1"/>
      <c r="C802" s="1"/>
      <c r="D802" s="155"/>
      <c r="F802" s="1"/>
      <c r="G802" s="1"/>
    </row>
    <row r="803" spans="1:7">
      <c r="A803" s="1" t="e">
        <f>VLOOKUP(B803,PLANOS!A:B,2,0)&amp;D803&amp;C803</f>
        <v>#N/A</v>
      </c>
      <c r="B803" s="1"/>
      <c r="C803" s="1"/>
      <c r="D803" s="155"/>
      <c r="F803" s="1"/>
      <c r="G803" s="1"/>
    </row>
    <row r="804" spans="1:7">
      <c r="A804" s="1" t="e">
        <f>VLOOKUP(B804,PLANOS!A:B,2,0)&amp;D804&amp;C804</f>
        <v>#N/A</v>
      </c>
      <c r="B804" s="1"/>
      <c r="C804" s="1"/>
      <c r="D804" s="155"/>
      <c r="F804" s="1"/>
      <c r="G804" s="1"/>
    </row>
    <row r="805" spans="1:7">
      <c r="A805" s="1" t="e">
        <f>VLOOKUP(B805,PLANOS!A:B,2,0)&amp;D805&amp;C805</f>
        <v>#N/A</v>
      </c>
      <c r="B805" s="1"/>
      <c r="C805" s="1"/>
      <c r="D805" s="155"/>
      <c r="F805" s="1"/>
      <c r="G805" s="1"/>
    </row>
    <row r="806" spans="1:7">
      <c r="A806" s="1" t="e">
        <f>VLOOKUP(B806,PLANOS!A:B,2,0)&amp;D806&amp;C806</f>
        <v>#N/A</v>
      </c>
      <c r="B806" s="1"/>
      <c r="C806" s="1"/>
      <c r="D806" s="155"/>
      <c r="F806" s="1"/>
      <c r="G806" s="1"/>
    </row>
    <row r="807" spans="1:7">
      <c r="A807" s="1" t="e">
        <f>VLOOKUP(B807,PLANOS!A:B,2,0)&amp;D807&amp;C807</f>
        <v>#N/A</v>
      </c>
      <c r="B807" s="1"/>
      <c r="C807" s="1"/>
      <c r="D807" s="155"/>
      <c r="F807" s="1"/>
      <c r="G807" s="1"/>
    </row>
    <row r="808" spans="1:7">
      <c r="A808" s="1" t="e">
        <f>VLOOKUP(B808,PLANOS!A:B,2,0)&amp;D808&amp;C808</f>
        <v>#N/A</v>
      </c>
      <c r="B808" s="1"/>
      <c r="C808" s="1"/>
      <c r="D808" s="155"/>
      <c r="F808" s="1"/>
      <c r="G808" s="1"/>
    </row>
    <row r="809" spans="1:7">
      <c r="A809" s="1" t="e">
        <f>VLOOKUP(B809,PLANOS!A:B,2,0)&amp;D809&amp;C809</f>
        <v>#N/A</v>
      </c>
      <c r="B809" s="1"/>
      <c r="C809" s="1"/>
      <c r="D809" s="155"/>
      <c r="F809" s="1"/>
      <c r="G809" s="1"/>
    </row>
    <row r="810" spans="1:7">
      <c r="A810" s="1" t="e">
        <f>VLOOKUP(B810,PLANOS!A:B,2,0)&amp;D810&amp;C810</f>
        <v>#N/A</v>
      </c>
      <c r="B810" s="1"/>
      <c r="C810" s="1"/>
      <c r="D810" s="155"/>
      <c r="F810" s="1"/>
      <c r="G810" s="1"/>
    </row>
    <row r="811" spans="1:7">
      <c r="A811" s="1" t="e">
        <f>VLOOKUP(B811,PLANOS!A:B,2,0)&amp;D811&amp;C811</f>
        <v>#N/A</v>
      </c>
      <c r="B811" s="1"/>
      <c r="C811" s="1"/>
      <c r="D811" s="155"/>
      <c r="F811" s="1"/>
      <c r="G811" s="1"/>
    </row>
    <row r="812" spans="1:7">
      <c r="A812" s="1" t="e">
        <f>VLOOKUP(B812,PLANOS!A:B,2,0)&amp;D812&amp;C812</f>
        <v>#N/A</v>
      </c>
      <c r="B812" s="1"/>
      <c r="C812" s="1"/>
      <c r="D812" s="155"/>
      <c r="F812" s="1"/>
      <c r="G812" s="1"/>
    </row>
    <row r="813" spans="1:7">
      <c r="A813" s="1" t="e">
        <f>VLOOKUP(B813,PLANOS!A:B,2,0)&amp;D813&amp;C813</f>
        <v>#N/A</v>
      </c>
      <c r="B813" s="1"/>
      <c r="C813" s="1"/>
      <c r="D813" s="155"/>
      <c r="F813" s="1"/>
      <c r="G813" s="1"/>
    </row>
    <row r="814" spans="1:7">
      <c r="A814" s="1" t="e">
        <f>VLOOKUP(B814,PLANOS!A:B,2,0)&amp;D814&amp;C814</f>
        <v>#N/A</v>
      </c>
      <c r="B814" s="1"/>
      <c r="C814" s="1"/>
      <c r="D814" s="155"/>
      <c r="F814" s="1"/>
      <c r="G814" s="1"/>
    </row>
    <row r="815" spans="1:7">
      <c r="A815" s="1" t="e">
        <f>VLOOKUP(B815,PLANOS!A:B,2,0)&amp;D815&amp;C815</f>
        <v>#N/A</v>
      </c>
      <c r="B815" s="1"/>
      <c r="C815" s="1"/>
      <c r="D815" s="155"/>
      <c r="F815" s="1"/>
      <c r="G815" s="1"/>
    </row>
    <row r="816" spans="1:7">
      <c r="A816" s="1" t="e">
        <f>VLOOKUP(B816,PLANOS!A:B,2,0)&amp;D816&amp;C816</f>
        <v>#N/A</v>
      </c>
      <c r="B816" s="1"/>
      <c r="C816" s="1"/>
      <c r="D816" s="155"/>
      <c r="F816" s="1"/>
      <c r="G816" s="1"/>
    </row>
    <row r="817" spans="1:7">
      <c r="A817" s="1" t="e">
        <f>VLOOKUP(B817,PLANOS!A:B,2,0)&amp;D817&amp;C817</f>
        <v>#N/A</v>
      </c>
      <c r="B817" s="1"/>
      <c r="C817" s="1"/>
      <c r="D817" s="155"/>
      <c r="F817" s="1"/>
      <c r="G817" s="1"/>
    </row>
    <row r="818" spans="1:7">
      <c r="A818" s="1" t="e">
        <f>VLOOKUP(B818,PLANOS!A:B,2,0)&amp;D818&amp;C818</f>
        <v>#N/A</v>
      </c>
      <c r="B818" s="1"/>
      <c r="C818" s="1"/>
      <c r="D818" s="155"/>
      <c r="F818" s="1"/>
      <c r="G818" s="1"/>
    </row>
    <row r="819" spans="1:7">
      <c r="A819" s="1" t="e">
        <f>VLOOKUP(B819,PLANOS!A:B,2,0)&amp;D819&amp;C819</f>
        <v>#N/A</v>
      </c>
      <c r="B819" s="1"/>
      <c r="C819" s="1"/>
      <c r="D819" s="155"/>
      <c r="F819" s="1"/>
      <c r="G819" s="1"/>
    </row>
    <row r="820" spans="1:7">
      <c r="A820" s="1" t="e">
        <f>VLOOKUP(B820,PLANOS!A:B,2,0)&amp;D820&amp;C820</f>
        <v>#N/A</v>
      </c>
      <c r="B820" s="1"/>
      <c r="C820" s="1"/>
      <c r="D820" s="155"/>
      <c r="F820" s="1"/>
      <c r="G820" s="1"/>
    </row>
    <row r="821" spans="1:7">
      <c r="A821" s="1" t="e">
        <f>VLOOKUP(B821,PLANOS!A:B,2,0)&amp;D821&amp;C821</f>
        <v>#N/A</v>
      </c>
      <c r="B821" s="1"/>
      <c r="C821" s="1"/>
      <c r="D821" s="155"/>
      <c r="F821" s="1"/>
      <c r="G821" s="1"/>
    </row>
    <row r="822" spans="1:7">
      <c r="A822" s="1" t="e">
        <f>VLOOKUP(B822,PLANOS!A:B,2,0)&amp;D822&amp;C822</f>
        <v>#N/A</v>
      </c>
      <c r="B822" s="1"/>
      <c r="C822" s="1"/>
      <c r="D822" s="155"/>
      <c r="F822" s="1"/>
      <c r="G822" s="1"/>
    </row>
    <row r="823" spans="1:7">
      <c r="A823" s="1" t="e">
        <f>VLOOKUP(B823,PLANOS!A:B,2,0)&amp;D823&amp;C823</f>
        <v>#N/A</v>
      </c>
      <c r="B823" s="1"/>
      <c r="C823" s="1"/>
      <c r="D823" s="155"/>
      <c r="F823" s="1"/>
      <c r="G823" s="1"/>
    </row>
    <row r="824" spans="1:7">
      <c r="A824" s="1" t="e">
        <f>VLOOKUP(B824,PLANOS!A:B,2,0)&amp;D824&amp;C824</f>
        <v>#N/A</v>
      </c>
      <c r="B824" s="1"/>
      <c r="C824" s="1"/>
      <c r="D824" s="155"/>
      <c r="F824" s="1"/>
      <c r="G824" s="1"/>
    </row>
    <row r="825" spans="1:7">
      <c r="A825" s="1" t="e">
        <f>VLOOKUP(B825,PLANOS!A:B,2,0)&amp;D825&amp;C825</f>
        <v>#N/A</v>
      </c>
      <c r="B825" s="1"/>
      <c r="C825" s="1"/>
      <c r="D825" s="155"/>
      <c r="F825" s="1"/>
      <c r="G825" s="1"/>
    </row>
    <row r="826" spans="1:7">
      <c r="A826" s="1" t="e">
        <f>VLOOKUP(B826,PLANOS!A:B,2,0)&amp;D826&amp;C826</f>
        <v>#N/A</v>
      </c>
      <c r="B826" s="1"/>
      <c r="C826" s="1"/>
      <c r="D826" s="155"/>
      <c r="F826" s="1"/>
      <c r="G826" s="1"/>
    </row>
    <row r="827" spans="1:7">
      <c r="A827" s="1" t="e">
        <f>VLOOKUP(B827,PLANOS!A:B,2,0)&amp;D827&amp;C827</f>
        <v>#N/A</v>
      </c>
      <c r="B827" s="1"/>
      <c r="C827" s="1"/>
      <c r="D827" s="155"/>
      <c r="F827" s="1"/>
      <c r="G827" s="1"/>
    </row>
    <row r="828" spans="1:7">
      <c r="A828" s="1" t="e">
        <f>VLOOKUP(B828,PLANOS!A:B,2,0)&amp;D828&amp;C828</f>
        <v>#N/A</v>
      </c>
      <c r="B828" s="1"/>
      <c r="C828" s="1"/>
      <c r="D828" s="155"/>
      <c r="F828" s="1"/>
      <c r="G828" s="1"/>
    </row>
    <row r="829" spans="1:7">
      <c r="A829" s="1" t="e">
        <f>VLOOKUP(B829,PLANOS!A:B,2,0)&amp;D829&amp;C829</f>
        <v>#N/A</v>
      </c>
      <c r="B829" s="1"/>
      <c r="C829" s="1"/>
      <c r="D829" s="155"/>
      <c r="F829" s="1"/>
      <c r="G829" s="1"/>
    </row>
    <row r="830" spans="1:7">
      <c r="A830" s="1" t="e">
        <f>VLOOKUP(B830,PLANOS!A:B,2,0)&amp;D830&amp;C830</f>
        <v>#N/A</v>
      </c>
      <c r="B830" s="1"/>
      <c r="C830" s="1"/>
      <c r="D830" s="155"/>
      <c r="F830" s="1"/>
      <c r="G830" s="1"/>
    </row>
    <row r="831" spans="1:7">
      <c r="A831" s="1" t="e">
        <f>VLOOKUP(B831,PLANOS!A:B,2,0)&amp;D831&amp;C831</f>
        <v>#N/A</v>
      </c>
      <c r="B831" s="1"/>
      <c r="C831" s="1"/>
      <c r="D831" s="155"/>
      <c r="F831" s="1"/>
      <c r="G831" s="1"/>
    </row>
    <row r="832" spans="1:7">
      <c r="A832" s="1" t="e">
        <f>VLOOKUP(B832,PLANOS!A:B,2,0)&amp;D832&amp;C832</f>
        <v>#N/A</v>
      </c>
      <c r="B832" s="1"/>
      <c r="C832" s="1"/>
      <c r="D832" s="155"/>
      <c r="F832" s="1"/>
      <c r="G832" s="1"/>
    </row>
    <row r="833" spans="1:7">
      <c r="A833" s="1" t="e">
        <f>VLOOKUP(B833,PLANOS!A:B,2,0)&amp;D833&amp;C833</f>
        <v>#N/A</v>
      </c>
      <c r="B833" s="1"/>
      <c r="C833" s="1"/>
      <c r="D833" s="155"/>
      <c r="F833" s="1"/>
      <c r="G833" s="1"/>
    </row>
    <row r="834" spans="1:7">
      <c r="A834" s="1" t="e">
        <f>VLOOKUP(B834,PLANOS!A:B,2,0)&amp;D834&amp;C834</f>
        <v>#N/A</v>
      </c>
      <c r="B834" s="1"/>
      <c r="C834" s="1"/>
      <c r="D834" s="155"/>
      <c r="F834" s="1"/>
      <c r="G834" s="1"/>
    </row>
    <row r="835" spans="1:7">
      <c r="A835" s="1" t="e">
        <f>VLOOKUP(B835,PLANOS!A:B,2,0)&amp;D835&amp;C835</f>
        <v>#N/A</v>
      </c>
      <c r="B835" s="1"/>
      <c r="C835" s="1"/>
      <c r="D835" s="155"/>
      <c r="F835" s="1"/>
      <c r="G835" s="1"/>
    </row>
    <row r="836" spans="1:7">
      <c r="A836" s="1" t="e">
        <f>VLOOKUP(B836,PLANOS!A:B,2,0)&amp;D836&amp;C836</f>
        <v>#N/A</v>
      </c>
      <c r="B836" s="1"/>
      <c r="C836" s="1"/>
      <c r="D836" s="155"/>
      <c r="F836" s="1"/>
      <c r="G836" s="1"/>
    </row>
    <row r="837" spans="1:7">
      <c r="A837" s="1" t="e">
        <f>VLOOKUP(B837,PLANOS!A:B,2,0)&amp;D837&amp;C837</f>
        <v>#N/A</v>
      </c>
      <c r="B837" s="1"/>
      <c r="C837" s="1"/>
      <c r="D837" s="155"/>
      <c r="F837" s="1"/>
      <c r="G837" s="1"/>
    </row>
    <row r="838" spans="1:7">
      <c r="A838" s="1" t="e">
        <f>VLOOKUP(B838,PLANOS!A:B,2,0)&amp;D838&amp;C838</f>
        <v>#N/A</v>
      </c>
      <c r="B838" s="1"/>
      <c r="C838" s="1"/>
      <c r="D838" s="155"/>
      <c r="F838" s="1"/>
      <c r="G838" s="1"/>
    </row>
    <row r="839" spans="1:7">
      <c r="A839" s="1" t="e">
        <f>VLOOKUP(B839,PLANOS!A:B,2,0)&amp;D839&amp;C839</f>
        <v>#N/A</v>
      </c>
      <c r="B839" s="1"/>
      <c r="C839" s="1"/>
      <c r="D839" s="155"/>
      <c r="F839" s="1"/>
      <c r="G839" s="1"/>
    </row>
    <row r="840" spans="1:7">
      <c r="A840" s="1" t="e">
        <f>VLOOKUP(B840,PLANOS!A:B,2,0)&amp;D840&amp;C840</f>
        <v>#N/A</v>
      </c>
      <c r="B840" s="1"/>
      <c r="C840" s="1"/>
      <c r="D840" s="155"/>
      <c r="F840" s="1"/>
      <c r="G840" s="1"/>
    </row>
    <row r="841" spans="1:7">
      <c r="A841" s="1" t="e">
        <f>VLOOKUP(B841,PLANOS!A:B,2,0)&amp;D841&amp;C841</f>
        <v>#N/A</v>
      </c>
      <c r="B841" s="1"/>
      <c r="C841" s="1"/>
      <c r="D841" s="155"/>
      <c r="F841" s="1"/>
      <c r="G841" s="1"/>
    </row>
    <row r="842" spans="1:7">
      <c r="A842" s="1" t="e">
        <f>VLOOKUP(B842,PLANOS!A:B,2,0)&amp;D842&amp;C842</f>
        <v>#N/A</v>
      </c>
      <c r="B842" s="1"/>
      <c r="C842" s="1"/>
      <c r="D842" s="155"/>
      <c r="F842" s="1"/>
      <c r="G842" s="1"/>
    </row>
    <row r="843" spans="1:7">
      <c r="A843" s="1" t="e">
        <f>VLOOKUP(B843,PLANOS!A:B,2,0)&amp;D843&amp;C843</f>
        <v>#N/A</v>
      </c>
      <c r="B843" s="1"/>
      <c r="C843" s="1"/>
      <c r="D843" s="155"/>
      <c r="F843" s="1"/>
      <c r="G843" s="1"/>
    </row>
    <row r="844" spans="1:7">
      <c r="A844" s="1" t="e">
        <f>VLOOKUP(B844,PLANOS!A:B,2,0)&amp;D844&amp;C844</f>
        <v>#N/A</v>
      </c>
      <c r="B844" s="1"/>
      <c r="C844" s="1"/>
      <c r="D844" s="155"/>
      <c r="F844" s="1"/>
      <c r="G844" s="1"/>
    </row>
    <row r="845" spans="1:7">
      <c r="A845" s="1" t="e">
        <f>VLOOKUP(B845,PLANOS!A:B,2,0)&amp;D845&amp;C845</f>
        <v>#N/A</v>
      </c>
      <c r="B845" s="1"/>
      <c r="C845" s="1"/>
      <c r="D845" s="155"/>
      <c r="F845" s="1"/>
      <c r="G845" s="1"/>
    </row>
    <row r="846" spans="1:7">
      <c r="A846" s="1" t="e">
        <f>VLOOKUP(B846,PLANOS!A:B,2,0)&amp;D846&amp;C846</f>
        <v>#N/A</v>
      </c>
      <c r="B846" s="1"/>
      <c r="C846" s="1"/>
      <c r="D846" s="155"/>
      <c r="F846" s="1"/>
      <c r="G846" s="1"/>
    </row>
    <row r="847" spans="1:7">
      <c r="A847" s="1" t="e">
        <f>VLOOKUP(B847,PLANOS!A:B,2,0)&amp;D847&amp;C847</f>
        <v>#N/A</v>
      </c>
      <c r="B847" s="1"/>
      <c r="C847" s="1"/>
      <c r="D847" s="155"/>
      <c r="F847" s="1"/>
      <c r="G847" s="1"/>
    </row>
    <row r="848" spans="1:7">
      <c r="A848" s="1" t="e">
        <f>VLOOKUP(B848,PLANOS!A:B,2,0)&amp;D848&amp;C848</f>
        <v>#N/A</v>
      </c>
      <c r="B848" s="1"/>
      <c r="C848" s="1"/>
      <c r="D848" s="155"/>
      <c r="F848" s="1"/>
      <c r="G848" s="1"/>
    </row>
    <row r="849" spans="1:7">
      <c r="A849" s="1" t="e">
        <f>VLOOKUP(B849,PLANOS!A:B,2,0)&amp;D849&amp;C849</f>
        <v>#N/A</v>
      </c>
      <c r="B849" s="1"/>
      <c r="C849" s="1"/>
      <c r="D849" s="155"/>
      <c r="F849" s="1"/>
      <c r="G849" s="1"/>
    </row>
    <row r="850" spans="1:7">
      <c r="A850" s="1" t="e">
        <f>VLOOKUP(B850,PLANOS!A:B,2,0)&amp;D850&amp;C850</f>
        <v>#N/A</v>
      </c>
      <c r="B850" s="1"/>
      <c r="C850" s="1"/>
      <c r="D850" s="155"/>
      <c r="F850" s="1"/>
      <c r="G850" s="1"/>
    </row>
    <row r="851" spans="1:7">
      <c r="A851" s="1" t="e">
        <f>VLOOKUP(B851,PLANOS!A:B,2,0)&amp;D851&amp;C851</f>
        <v>#N/A</v>
      </c>
      <c r="B851" s="1"/>
      <c r="C851" s="1"/>
      <c r="D851" s="155"/>
      <c r="F851" s="1"/>
      <c r="G851" s="1"/>
    </row>
    <row r="852" spans="1:7">
      <c r="A852" s="1" t="e">
        <f>VLOOKUP(B852,PLANOS!A:B,2,0)&amp;D852&amp;C852</f>
        <v>#N/A</v>
      </c>
      <c r="B852" s="1"/>
      <c r="C852" s="1"/>
      <c r="D852" s="155"/>
      <c r="F852" s="1"/>
      <c r="G852" s="1"/>
    </row>
    <row r="853" spans="1:7">
      <c r="A853" s="1" t="e">
        <f>VLOOKUP(B853,PLANOS!A:B,2,0)&amp;D853&amp;C853</f>
        <v>#N/A</v>
      </c>
      <c r="B853" s="1"/>
      <c r="C853" s="1"/>
      <c r="D853" s="155"/>
      <c r="F853" s="1"/>
      <c r="G853" s="1"/>
    </row>
    <row r="854" spans="1:7">
      <c r="A854" s="1" t="e">
        <f>VLOOKUP(B854,PLANOS!A:B,2,0)&amp;D854&amp;C854</f>
        <v>#N/A</v>
      </c>
      <c r="B854" s="1"/>
      <c r="C854" s="1"/>
      <c r="D854" s="155"/>
      <c r="F854" s="1"/>
      <c r="G854" s="1"/>
    </row>
    <row r="855" spans="1:7">
      <c r="A855" s="1" t="e">
        <f>VLOOKUP(B855,PLANOS!A:B,2,0)&amp;D855&amp;C855</f>
        <v>#N/A</v>
      </c>
      <c r="B855" s="1"/>
      <c r="C855" s="1"/>
      <c r="D855" s="155"/>
      <c r="F855" s="1"/>
      <c r="G855" s="1"/>
    </row>
    <row r="856" spans="1:7">
      <c r="A856" s="1" t="e">
        <f>VLOOKUP(B856,PLANOS!A:B,2,0)&amp;D856&amp;C856</f>
        <v>#N/A</v>
      </c>
      <c r="B856" s="1"/>
      <c r="C856" s="1"/>
      <c r="D856" s="155"/>
      <c r="F856" s="1"/>
      <c r="G856" s="1"/>
    </row>
    <row r="857" spans="1:7">
      <c r="A857" s="1" t="e">
        <f>VLOOKUP(B857,PLANOS!A:B,2,0)&amp;D857&amp;C857</f>
        <v>#N/A</v>
      </c>
      <c r="B857" s="1"/>
      <c r="C857" s="1"/>
      <c r="D857" s="155"/>
      <c r="F857" s="1"/>
      <c r="G857" s="1"/>
    </row>
    <row r="858" spans="1:7">
      <c r="A858" s="1" t="e">
        <f>VLOOKUP(B858,PLANOS!A:B,2,0)&amp;D858&amp;C858</f>
        <v>#N/A</v>
      </c>
      <c r="B858" s="1"/>
      <c r="C858" s="1"/>
      <c r="D858" s="155"/>
      <c r="F858" s="1"/>
      <c r="G858" s="1"/>
    </row>
    <row r="859" spans="1:7">
      <c r="A859" s="1" t="e">
        <f>VLOOKUP(B859,PLANOS!A:B,2,0)&amp;D859&amp;C859</f>
        <v>#N/A</v>
      </c>
      <c r="B859" s="1"/>
      <c r="C859" s="1"/>
      <c r="D859" s="155"/>
      <c r="F859" s="1"/>
      <c r="G859" s="1"/>
    </row>
    <row r="860" spans="1:7">
      <c r="A860" s="1" t="e">
        <f>VLOOKUP(B860,PLANOS!A:B,2,0)&amp;D860&amp;C860</f>
        <v>#N/A</v>
      </c>
      <c r="B860" s="1"/>
      <c r="C860" s="1"/>
      <c r="D860" s="155"/>
      <c r="F860" s="1"/>
      <c r="G860" s="1"/>
    </row>
    <row r="861" spans="1:7">
      <c r="A861" s="1" t="e">
        <f>VLOOKUP(B861,PLANOS!A:B,2,0)&amp;D861&amp;C861</f>
        <v>#N/A</v>
      </c>
      <c r="B861" s="1"/>
      <c r="C861" s="1"/>
      <c r="D861" s="155"/>
      <c r="F861" s="1"/>
      <c r="G861" s="1"/>
    </row>
    <row r="862" spans="1:7">
      <c r="A862" s="1" t="e">
        <f>VLOOKUP(B862,PLANOS!A:B,2,0)&amp;D862&amp;C862</f>
        <v>#N/A</v>
      </c>
      <c r="B862" s="1"/>
      <c r="C862" s="1"/>
      <c r="D862" s="155"/>
      <c r="F862" s="1"/>
      <c r="G862" s="1"/>
    </row>
    <row r="863" spans="1:7">
      <c r="A863" s="1" t="e">
        <f>VLOOKUP(B863,PLANOS!A:B,2,0)&amp;D863&amp;C863</f>
        <v>#N/A</v>
      </c>
      <c r="B863" s="1"/>
      <c r="C863" s="1"/>
      <c r="D863" s="155"/>
      <c r="F863" s="1"/>
      <c r="G863" s="1"/>
    </row>
    <row r="864" spans="1:7">
      <c r="A864" s="1" t="e">
        <f>VLOOKUP(B864,PLANOS!A:B,2,0)&amp;D864&amp;C864</f>
        <v>#N/A</v>
      </c>
      <c r="B864" s="1"/>
      <c r="C864" s="1"/>
      <c r="D864" s="155"/>
      <c r="F864" s="1"/>
      <c r="G864" s="1"/>
    </row>
    <row r="865" spans="1:7">
      <c r="A865" s="1" t="e">
        <f>VLOOKUP(B865,PLANOS!A:B,2,0)&amp;D865&amp;C865</f>
        <v>#N/A</v>
      </c>
      <c r="B865" s="1"/>
      <c r="C865" s="1"/>
      <c r="D865" s="155"/>
      <c r="F865" s="1"/>
      <c r="G865" s="1"/>
    </row>
    <row r="866" spans="1:7">
      <c r="A866" s="1" t="e">
        <f>VLOOKUP(B866,PLANOS!A:B,2,0)&amp;D866&amp;C866</f>
        <v>#N/A</v>
      </c>
      <c r="B866" s="1"/>
      <c r="C866" s="1"/>
      <c r="D866" s="155"/>
      <c r="F866" s="1"/>
      <c r="G866" s="1"/>
    </row>
    <row r="867" spans="1:7">
      <c r="A867" s="1" t="e">
        <f>VLOOKUP(B867,PLANOS!A:B,2,0)&amp;D867&amp;C867</f>
        <v>#N/A</v>
      </c>
      <c r="B867" s="1"/>
      <c r="C867" s="1"/>
      <c r="D867" s="155"/>
      <c r="F867" s="1"/>
      <c r="G867" s="1"/>
    </row>
    <row r="868" spans="1:7">
      <c r="A868" s="1" t="e">
        <f>VLOOKUP(B868,PLANOS!A:B,2,0)&amp;D868&amp;C868</f>
        <v>#N/A</v>
      </c>
      <c r="B868" s="1"/>
      <c r="C868" s="1"/>
      <c r="D868" s="155"/>
      <c r="F868" s="1"/>
      <c r="G868" s="1"/>
    </row>
    <row r="869" spans="1:7">
      <c r="A869" s="1" t="e">
        <f>VLOOKUP(B869,PLANOS!A:B,2,0)&amp;D869&amp;C869</f>
        <v>#N/A</v>
      </c>
      <c r="B869" s="1"/>
      <c r="C869" s="1"/>
      <c r="D869" s="155"/>
      <c r="F869" s="1"/>
      <c r="G869" s="1"/>
    </row>
    <row r="870" spans="1:7">
      <c r="A870" s="1" t="e">
        <f>VLOOKUP(B870,PLANOS!A:B,2,0)&amp;D870&amp;C870</f>
        <v>#N/A</v>
      </c>
      <c r="B870" s="1"/>
      <c r="C870" s="1"/>
      <c r="D870" s="155"/>
      <c r="F870" s="1"/>
      <c r="G870" s="1"/>
    </row>
    <row r="871" spans="1:7">
      <c r="A871" s="1" t="e">
        <f>VLOOKUP(B871,PLANOS!A:B,2,0)&amp;D871&amp;C871</f>
        <v>#N/A</v>
      </c>
      <c r="B871" s="1"/>
      <c r="C871" s="1"/>
      <c r="D871" s="155"/>
      <c r="F871" s="1"/>
      <c r="G871" s="1"/>
    </row>
    <row r="872" spans="1:7">
      <c r="A872" s="1" t="e">
        <f>VLOOKUP(B872,PLANOS!A:B,2,0)&amp;D872&amp;C872</f>
        <v>#N/A</v>
      </c>
      <c r="B872" s="1"/>
      <c r="C872" s="1"/>
      <c r="D872" s="155"/>
      <c r="F872" s="1"/>
      <c r="G872" s="1"/>
    </row>
    <row r="873" spans="1:7">
      <c r="A873" s="1" t="e">
        <f>VLOOKUP(B873,PLANOS!A:B,2,0)&amp;D873&amp;C873</f>
        <v>#N/A</v>
      </c>
      <c r="B873" s="1"/>
      <c r="C873" s="1"/>
      <c r="D873" s="155"/>
      <c r="F873" s="1"/>
      <c r="G873" s="1"/>
    </row>
    <row r="874" spans="1:7">
      <c r="A874" s="1" t="e">
        <f>VLOOKUP(B874,PLANOS!A:B,2,0)&amp;D874&amp;C874</f>
        <v>#N/A</v>
      </c>
      <c r="B874" s="1"/>
      <c r="C874" s="1"/>
      <c r="D874" s="155"/>
      <c r="F874" s="1"/>
      <c r="G874" s="1"/>
    </row>
    <row r="875" spans="1:7">
      <c r="A875" s="1" t="e">
        <f>VLOOKUP(B875,PLANOS!A:B,2,0)&amp;D875&amp;C875</f>
        <v>#N/A</v>
      </c>
      <c r="B875" s="1"/>
      <c r="C875" s="1"/>
      <c r="D875" s="155"/>
      <c r="F875" s="1"/>
      <c r="G875" s="1"/>
    </row>
    <row r="876" spans="1:7">
      <c r="A876" s="1" t="e">
        <f>VLOOKUP(B876,PLANOS!A:B,2,0)&amp;D876&amp;C876</f>
        <v>#N/A</v>
      </c>
      <c r="B876" s="1"/>
      <c r="C876" s="1"/>
      <c r="D876" s="155"/>
      <c r="F876" s="1"/>
      <c r="G876" s="1"/>
    </row>
    <row r="877" spans="1:7">
      <c r="A877" s="1" t="e">
        <f>VLOOKUP(B877,PLANOS!A:B,2,0)&amp;D877&amp;C877</f>
        <v>#N/A</v>
      </c>
      <c r="B877" s="1"/>
      <c r="C877" s="1"/>
      <c r="D877" s="155"/>
      <c r="F877" s="1"/>
      <c r="G877" s="1"/>
    </row>
    <row r="878" spans="1:7">
      <c r="A878" s="1" t="e">
        <f>VLOOKUP(B878,PLANOS!A:B,2,0)&amp;D878&amp;C878</f>
        <v>#N/A</v>
      </c>
      <c r="B878" s="1"/>
      <c r="C878" s="1"/>
      <c r="D878" s="155"/>
      <c r="F878" s="1"/>
      <c r="G878" s="1"/>
    </row>
    <row r="879" spans="1:7">
      <c r="A879" s="1" t="e">
        <f>VLOOKUP(B879,PLANOS!A:B,2,0)&amp;D879&amp;C879</f>
        <v>#N/A</v>
      </c>
      <c r="B879" s="1"/>
      <c r="C879" s="1"/>
      <c r="D879" s="155"/>
      <c r="F879" s="1"/>
      <c r="G879" s="1"/>
    </row>
    <row r="880" spans="1:7">
      <c r="A880" s="1" t="e">
        <f>VLOOKUP(B880,PLANOS!A:B,2,0)&amp;D880&amp;C880</f>
        <v>#N/A</v>
      </c>
      <c r="B880" s="1"/>
      <c r="C880" s="1"/>
      <c r="D880" s="155"/>
      <c r="F880" s="1"/>
      <c r="G880" s="1"/>
    </row>
    <row r="881" spans="1:7">
      <c r="A881" s="1" t="e">
        <f>VLOOKUP(B881,PLANOS!A:B,2,0)&amp;D881&amp;C881</f>
        <v>#N/A</v>
      </c>
      <c r="B881" s="1"/>
      <c r="C881" s="1"/>
      <c r="D881" s="155"/>
      <c r="F881" s="1"/>
      <c r="G881" s="1"/>
    </row>
    <row r="882" spans="1:7">
      <c r="A882" s="1" t="e">
        <f>VLOOKUP(B882,PLANOS!A:B,2,0)&amp;D882&amp;C882</f>
        <v>#N/A</v>
      </c>
      <c r="B882" s="1"/>
      <c r="C882" s="1"/>
      <c r="D882" s="155"/>
      <c r="F882" s="1"/>
      <c r="G882" s="1"/>
    </row>
    <row r="883" spans="1:7">
      <c r="A883" s="1" t="e">
        <f>VLOOKUP(B883,PLANOS!A:B,2,0)&amp;D883&amp;C883</f>
        <v>#N/A</v>
      </c>
      <c r="B883" s="1"/>
      <c r="C883" s="1"/>
      <c r="D883" s="155"/>
      <c r="F883" s="1"/>
      <c r="G883" s="1"/>
    </row>
    <row r="884" spans="1:7">
      <c r="A884" s="1" t="e">
        <f>VLOOKUP(B884,PLANOS!A:B,2,0)&amp;D884&amp;C884</f>
        <v>#N/A</v>
      </c>
      <c r="B884" s="1"/>
      <c r="C884" s="1"/>
      <c r="D884" s="155"/>
      <c r="F884" s="1"/>
      <c r="G884" s="1"/>
    </row>
    <row r="885" spans="1:7">
      <c r="A885" s="1" t="e">
        <f>VLOOKUP(B885,PLANOS!A:B,2,0)&amp;D885&amp;C885</f>
        <v>#N/A</v>
      </c>
      <c r="B885" s="1"/>
      <c r="C885" s="1"/>
      <c r="D885" s="155"/>
      <c r="F885" s="1"/>
      <c r="G885" s="1"/>
    </row>
    <row r="886" spans="1:7">
      <c r="A886" s="1" t="e">
        <f>VLOOKUP(B886,PLANOS!A:B,2,0)&amp;D886&amp;C886</f>
        <v>#N/A</v>
      </c>
      <c r="B886" s="1"/>
      <c r="C886" s="1"/>
      <c r="D886" s="155"/>
      <c r="F886" s="1"/>
      <c r="G886" s="1"/>
    </row>
    <row r="887" spans="1:7">
      <c r="A887" s="1" t="e">
        <f>VLOOKUP(B887,PLANOS!A:B,2,0)&amp;D887&amp;C887</f>
        <v>#N/A</v>
      </c>
      <c r="B887" s="1"/>
      <c r="C887" s="1"/>
      <c r="D887" s="155"/>
      <c r="F887" s="1"/>
      <c r="G887" s="1"/>
    </row>
    <row r="888" spans="1:7">
      <c r="A888" s="1" t="e">
        <f>VLOOKUP(B888,PLANOS!A:B,2,0)&amp;D888&amp;C888</f>
        <v>#N/A</v>
      </c>
      <c r="B888" s="1"/>
      <c r="C888" s="1"/>
      <c r="D888" s="155"/>
      <c r="F888" s="1"/>
      <c r="G888" s="1"/>
    </row>
    <row r="889" spans="1:7">
      <c r="A889" s="1" t="e">
        <f>VLOOKUP(B889,PLANOS!A:B,2,0)&amp;D889&amp;C889</f>
        <v>#N/A</v>
      </c>
      <c r="B889" s="1"/>
      <c r="C889" s="1"/>
      <c r="D889" s="155"/>
      <c r="F889" s="1"/>
      <c r="G889" s="1"/>
    </row>
    <row r="890" spans="1:7">
      <c r="A890" s="1" t="e">
        <f>VLOOKUP(B890,PLANOS!A:B,2,0)&amp;D890&amp;C890</f>
        <v>#N/A</v>
      </c>
      <c r="B890" s="1"/>
      <c r="C890" s="1"/>
      <c r="D890" s="155"/>
      <c r="F890" s="1"/>
      <c r="G890" s="1"/>
    </row>
    <row r="891" spans="1:7">
      <c r="A891" s="1" t="e">
        <f>VLOOKUP(B891,PLANOS!A:B,2,0)&amp;D891&amp;C891</f>
        <v>#N/A</v>
      </c>
      <c r="B891" s="1"/>
      <c r="C891" s="1"/>
      <c r="D891" s="155"/>
      <c r="F891" s="1"/>
      <c r="G891" s="1"/>
    </row>
    <row r="892" spans="1:7">
      <c r="A892" s="1" t="e">
        <f>VLOOKUP(B892,PLANOS!A:B,2,0)&amp;D892&amp;C892</f>
        <v>#N/A</v>
      </c>
      <c r="B892" s="1"/>
      <c r="C892" s="1"/>
      <c r="D892" s="155"/>
      <c r="F892" s="1"/>
      <c r="G892" s="1"/>
    </row>
    <row r="893" spans="1:7">
      <c r="A893" s="1" t="e">
        <f>VLOOKUP(B893,PLANOS!A:B,2,0)&amp;D893&amp;C893</f>
        <v>#N/A</v>
      </c>
      <c r="B893" s="1"/>
      <c r="C893" s="1"/>
      <c r="D893" s="155"/>
      <c r="F893" s="1"/>
      <c r="G893" s="1"/>
    </row>
    <row r="894" spans="1:7">
      <c r="A894" s="1" t="e">
        <f>VLOOKUP(B894,PLANOS!A:B,2,0)&amp;D894&amp;C894</f>
        <v>#N/A</v>
      </c>
      <c r="B894" s="1"/>
      <c r="C894" s="1"/>
      <c r="D894" s="155"/>
      <c r="F894" s="1"/>
      <c r="G894" s="1"/>
    </row>
    <row r="895" spans="1:7">
      <c r="A895" s="1" t="e">
        <f>VLOOKUP(B895,PLANOS!A:B,2,0)&amp;D895&amp;C895</f>
        <v>#N/A</v>
      </c>
      <c r="B895" s="1"/>
      <c r="C895" s="1"/>
      <c r="D895" s="155"/>
      <c r="F895" s="1"/>
      <c r="G895" s="1"/>
    </row>
    <row r="896" spans="1:7">
      <c r="A896" s="1" t="e">
        <f>VLOOKUP(B896,PLANOS!A:B,2,0)&amp;D896&amp;C896</f>
        <v>#N/A</v>
      </c>
      <c r="B896" s="1"/>
      <c r="C896" s="1"/>
      <c r="D896" s="155"/>
      <c r="F896" s="1"/>
      <c r="G896" s="1"/>
    </row>
    <row r="897" spans="1:7">
      <c r="A897" s="1" t="e">
        <f>VLOOKUP(B897,PLANOS!A:B,2,0)&amp;D897&amp;C897</f>
        <v>#N/A</v>
      </c>
      <c r="B897" s="1"/>
      <c r="C897" s="1"/>
      <c r="D897" s="155"/>
      <c r="F897" s="1"/>
      <c r="G897" s="1"/>
    </row>
    <row r="898" spans="1:7">
      <c r="A898" s="1" t="e">
        <f>VLOOKUP(B898,PLANOS!A:B,2,0)&amp;D898&amp;C898</f>
        <v>#N/A</v>
      </c>
      <c r="B898" s="1"/>
      <c r="C898" s="1"/>
      <c r="D898" s="155"/>
      <c r="F898" s="1"/>
      <c r="G898" s="1"/>
    </row>
    <row r="899" spans="1:7">
      <c r="A899" s="1" t="e">
        <f>VLOOKUP(B899,PLANOS!A:B,2,0)&amp;D899&amp;C899</f>
        <v>#N/A</v>
      </c>
      <c r="B899" s="1"/>
      <c r="C899" s="1"/>
      <c r="D899" s="155"/>
      <c r="F899" s="1"/>
      <c r="G899" s="1"/>
    </row>
    <row r="900" spans="1:7">
      <c r="A900" s="1" t="e">
        <f>VLOOKUP(B900,PLANOS!A:B,2,0)&amp;D900&amp;C900</f>
        <v>#N/A</v>
      </c>
      <c r="B900" s="1"/>
      <c r="C900" s="1"/>
      <c r="D900" s="155"/>
      <c r="F900" s="1"/>
      <c r="G900" s="1"/>
    </row>
    <row r="901" spans="1:7">
      <c r="A901" s="1" t="e">
        <f>VLOOKUP(B901,PLANOS!A:B,2,0)&amp;D901&amp;C901</f>
        <v>#N/A</v>
      </c>
      <c r="B901" s="1"/>
      <c r="C901" s="1"/>
      <c r="D901" s="155"/>
      <c r="F901" s="1"/>
      <c r="G901" s="1"/>
    </row>
    <row r="902" spans="1:7">
      <c r="A902" s="1" t="e">
        <f>VLOOKUP(B902,PLANOS!A:B,2,0)&amp;D902&amp;C902</f>
        <v>#N/A</v>
      </c>
      <c r="B902" s="1"/>
      <c r="C902" s="1"/>
      <c r="D902" s="155"/>
      <c r="F902" s="1"/>
      <c r="G902" s="1"/>
    </row>
    <row r="903" spans="1:7">
      <c r="A903" s="1" t="e">
        <f>VLOOKUP(B903,PLANOS!A:B,2,0)&amp;D903&amp;C903</f>
        <v>#N/A</v>
      </c>
      <c r="B903" s="1"/>
      <c r="C903" s="1"/>
      <c r="D903" s="155"/>
      <c r="F903" s="1"/>
      <c r="G903" s="1"/>
    </row>
    <row r="904" spans="1:7">
      <c r="A904" s="1" t="e">
        <f>VLOOKUP(B904,PLANOS!A:B,2,0)&amp;D904&amp;C904</f>
        <v>#N/A</v>
      </c>
      <c r="B904" s="1"/>
      <c r="C904" s="1"/>
      <c r="D904" s="155"/>
      <c r="F904" s="1"/>
      <c r="G904" s="1"/>
    </row>
    <row r="905" spans="1:7">
      <c r="A905" s="1" t="e">
        <f>VLOOKUP(B905,PLANOS!A:B,2,0)&amp;D905&amp;C905</f>
        <v>#N/A</v>
      </c>
      <c r="B905" s="1"/>
      <c r="C905" s="1"/>
      <c r="D905" s="155"/>
      <c r="F905" s="1"/>
      <c r="G905" s="1"/>
    </row>
    <row r="906" spans="1:7">
      <c r="A906" s="1" t="e">
        <f>VLOOKUP(B906,PLANOS!A:B,2,0)&amp;D906&amp;C906</f>
        <v>#N/A</v>
      </c>
      <c r="B906" s="1"/>
      <c r="C906" s="1"/>
      <c r="D906" s="155"/>
      <c r="F906" s="1"/>
      <c r="G906" s="1"/>
    </row>
    <row r="907" spans="1:7">
      <c r="A907" s="1" t="e">
        <f>VLOOKUP(B907,PLANOS!A:B,2,0)&amp;D907&amp;C907</f>
        <v>#N/A</v>
      </c>
      <c r="B907" s="1"/>
      <c r="C907" s="1"/>
      <c r="D907" s="155"/>
      <c r="F907" s="1"/>
      <c r="G907" s="1"/>
    </row>
    <row r="908" spans="1:7">
      <c r="A908" s="1" t="e">
        <f>VLOOKUP(B908,PLANOS!A:B,2,0)&amp;D908&amp;C908</f>
        <v>#N/A</v>
      </c>
      <c r="B908" s="1"/>
      <c r="C908" s="1"/>
      <c r="D908" s="155"/>
      <c r="F908" s="1"/>
      <c r="G908" s="1"/>
    </row>
    <row r="909" spans="1:7">
      <c r="A909" s="1" t="e">
        <f>VLOOKUP(B909,PLANOS!A:B,2,0)&amp;D909&amp;C909</f>
        <v>#N/A</v>
      </c>
      <c r="B909" s="1"/>
      <c r="C909" s="1"/>
      <c r="D909" s="155"/>
      <c r="F909" s="1"/>
      <c r="G909" s="1"/>
    </row>
    <row r="910" spans="1:7">
      <c r="A910" s="1" t="e">
        <f>VLOOKUP(B910,PLANOS!A:B,2,0)&amp;D910&amp;C910</f>
        <v>#N/A</v>
      </c>
      <c r="B910" s="1"/>
      <c r="C910" s="1"/>
      <c r="D910" s="155"/>
      <c r="F910" s="1"/>
      <c r="G910" s="1"/>
    </row>
    <row r="911" spans="1:7">
      <c r="A911" s="1" t="e">
        <f>VLOOKUP(B911,PLANOS!A:B,2,0)&amp;D911&amp;C911</f>
        <v>#N/A</v>
      </c>
      <c r="B911" s="1"/>
      <c r="C911" s="1"/>
      <c r="D911" s="155"/>
      <c r="F911" s="1"/>
      <c r="G911" s="1"/>
    </row>
    <row r="912" spans="1:7">
      <c r="A912" s="1" t="e">
        <f>VLOOKUP(B912,PLANOS!A:B,2,0)&amp;D912&amp;C912</f>
        <v>#N/A</v>
      </c>
      <c r="B912" s="1"/>
      <c r="C912" s="1"/>
      <c r="D912" s="155"/>
      <c r="F912" s="1"/>
      <c r="G912" s="1"/>
    </row>
    <row r="913" spans="1:7">
      <c r="A913" s="1" t="e">
        <f>VLOOKUP(B913,PLANOS!A:B,2,0)&amp;D913&amp;C913</f>
        <v>#N/A</v>
      </c>
      <c r="B913" s="1"/>
      <c r="C913" s="1"/>
      <c r="D913" s="155"/>
      <c r="F913" s="1"/>
      <c r="G913" s="1"/>
    </row>
    <row r="914" spans="1:7">
      <c r="A914" s="1" t="e">
        <f>VLOOKUP(B914,PLANOS!A:B,2,0)&amp;D914&amp;C914</f>
        <v>#N/A</v>
      </c>
      <c r="B914" s="1"/>
      <c r="C914" s="1"/>
      <c r="D914" s="155"/>
      <c r="F914" s="1"/>
      <c r="G914" s="1"/>
    </row>
    <row r="915" spans="1:7">
      <c r="A915" s="1" t="e">
        <f>VLOOKUP(B915,PLANOS!A:B,2,0)&amp;D915&amp;C915</f>
        <v>#N/A</v>
      </c>
      <c r="B915" s="1"/>
      <c r="C915" s="1"/>
      <c r="D915" s="155"/>
      <c r="F915" s="1"/>
      <c r="G915" s="1"/>
    </row>
    <row r="916" spans="1:7">
      <c r="A916" s="1" t="e">
        <f>VLOOKUP(B916,PLANOS!A:B,2,0)&amp;D916&amp;C916</f>
        <v>#N/A</v>
      </c>
      <c r="B916" s="1"/>
      <c r="C916" s="1"/>
      <c r="D916" s="155"/>
      <c r="F916" s="1"/>
      <c r="G916" s="1"/>
    </row>
    <row r="917" spans="1:7">
      <c r="A917" s="1" t="e">
        <f>VLOOKUP(B917,PLANOS!A:B,2,0)&amp;D917&amp;C917</f>
        <v>#N/A</v>
      </c>
      <c r="B917" s="1"/>
      <c r="C917" s="1"/>
      <c r="D917" s="155"/>
      <c r="F917" s="1"/>
      <c r="G917" s="1"/>
    </row>
    <row r="918" spans="1:7">
      <c r="A918" s="1" t="e">
        <f>VLOOKUP(B918,PLANOS!A:B,2,0)&amp;D918&amp;C918</f>
        <v>#N/A</v>
      </c>
      <c r="B918" s="1"/>
      <c r="C918" s="1"/>
      <c r="D918" s="155"/>
      <c r="F918" s="1"/>
      <c r="G918" s="1"/>
    </row>
    <row r="919" spans="1:7">
      <c r="A919" s="1" t="e">
        <f>VLOOKUP(B919,PLANOS!A:B,2,0)&amp;D919&amp;C919</f>
        <v>#N/A</v>
      </c>
      <c r="B919" s="1"/>
      <c r="C919" s="1"/>
      <c r="D919" s="155"/>
      <c r="F919" s="1"/>
      <c r="G919" s="1"/>
    </row>
    <row r="920" spans="1:7">
      <c r="A920" s="1" t="e">
        <f>VLOOKUP(B920,PLANOS!A:B,2,0)&amp;D920&amp;C920</f>
        <v>#N/A</v>
      </c>
      <c r="B920" s="1"/>
      <c r="C920" s="1"/>
      <c r="D920" s="155"/>
      <c r="F920" s="1"/>
      <c r="G920" s="1"/>
    </row>
    <row r="921" spans="1:7">
      <c r="A921" s="1" t="e">
        <f>VLOOKUP(B921,PLANOS!A:B,2,0)&amp;D921&amp;C921</f>
        <v>#N/A</v>
      </c>
      <c r="B921" s="1"/>
      <c r="C921" s="1"/>
      <c r="D921" s="155"/>
      <c r="F921" s="1"/>
      <c r="G921" s="1"/>
    </row>
    <row r="922" spans="1:7">
      <c r="A922" s="1" t="e">
        <f>VLOOKUP(B922,PLANOS!A:B,2,0)&amp;D922&amp;C922</f>
        <v>#N/A</v>
      </c>
      <c r="B922" s="1"/>
      <c r="C922" s="1"/>
      <c r="D922" s="155"/>
      <c r="F922" s="1"/>
      <c r="G922" s="1"/>
    </row>
    <row r="923" spans="1:7">
      <c r="A923" s="1" t="e">
        <f>VLOOKUP(B923,PLANOS!A:B,2,0)&amp;D923&amp;C923</f>
        <v>#N/A</v>
      </c>
      <c r="B923" s="1"/>
      <c r="C923" s="1"/>
      <c r="D923" s="155"/>
      <c r="F923" s="1"/>
      <c r="G923" s="1"/>
    </row>
    <row r="924" spans="1:7">
      <c r="A924" s="1" t="e">
        <f>VLOOKUP(B924,PLANOS!A:B,2,0)&amp;D924&amp;C924</f>
        <v>#N/A</v>
      </c>
      <c r="B924" s="1"/>
      <c r="C924" s="1"/>
      <c r="D924" s="155"/>
      <c r="F924" s="1"/>
      <c r="G924" s="1"/>
    </row>
    <row r="925" spans="1:7">
      <c r="A925" s="1" t="e">
        <f>VLOOKUP(B925,PLANOS!A:B,2,0)&amp;D925&amp;C925</f>
        <v>#N/A</v>
      </c>
      <c r="B925" s="1"/>
      <c r="C925" s="1"/>
      <c r="D925" s="155"/>
      <c r="F925" s="1"/>
      <c r="G925" s="1"/>
    </row>
    <row r="926" spans="1:7">
      <c r="A926" s="1" t="e">
        <f>VLOOKUP(B926,PLANOS!A:B,2,0)&amp;D926&amp;C926</f>
        <v>#N/A</v>
      </c>
      <c r="B926" s="1"/>
      <c r="C926" s="1"/>
      <c r="D926" s="155"/>
      <c r="F926" s="1"/>
      <c r="G926" s="1"/>
    </row>
    <row r="927" spans="1:7">
      <c r="A927" s="1" t="e">
        <f>VLOOKUP(B927,PLANOS!A:B,2,0)&amp;D927&amp;C927</f>
        <v>#N/A</v>
      </c>
      <c r="B927" s="1"/>
      <c r="C927" s="1"/>
      <c r="D927" s="155"/>
      <c r="F927" s="1"/>
      <c r="G927" s="1"/>
    </row>
    <row r="928" spans="1:7">
      <c r="A928" s="1" t="e">
        <f>VLOOKUP(B928,PLANOS!A:B,2,0)&amp;D928&amp;C928</f>
        <v>#N/A</v>
      </c>
      <c r="B928" s="1"/>
      <c r="C928" s="1"/>
      <c r="D928" s="155"/>
      <c r="F928" s="1"/>
      <c r="G928" s="1"/>
    </row>
    <row r="929" spans="1:7">
      <c r="A929" s="1" t="e">
        <f>VLOOKUP(B929,PLANOS!A:B,2,0)&amp;D929&amp;C929</f>
        <v>#N/A</v>
      </c>
      <c r="B929" s="1"/>
      <c r="C929" s="1"/>
      <c r="D929" s="155"/>
      <c r="F929" s="1"/>
      <c r="G929" s="1"/>
    </row>
    <row r="930" spans="1:7">
      <c r="A930" s="1" t="e">
        <f>VLOOKUP(B930,PLANOS!A:B,2,0)&amp;D930&amp;C930</f>
        <v>#N/A</v>
      </c>
      <c r="B930" s="1"/>
      <c r="C930" s="1"/>
      <c r="D930" s="155"/>
      <c r="F930" s="1"/>
      <c r="G930" s="1"/>
    </row>
    <row r="931" spans="1:7">
      <c r="A931" s="1" t="e">
        <f>VLOOKUP(B931,PLANOS!A:B,2,0)&amp;D931&amp;C931</f>
        <v>#N/A</v>
      </c>
      <c r="B931" s="1"/>
      <c r="C931" s="1"/>
      <c r="D931" s="155"/>
      <c r="F931" s="1"/>
      <c r="G931" s="1"/>
    </row>
    <row r="932" spans="1:7">
      <c r="A932" s="1" t="e">
        <f>VLOOKUP(B932,PLANOS!A:B,2,0)&amp;D932&amp;C932</f>
        <v>#N/A</v>
      </c>
      <c r="B932" s="1"/>
      <c r="C932" s="1"/>
      <c r="D932" s="155"/>
      <c r="F932" s="1"/>
      <c r="G932" s="1"/>
    </row>
    <row r="933" spans="1:7">
      <c r="A933" s="1" t="e">
        <f>VLOOKUP(B933,PLANOS!A:B,2,0)&amp;D933&amp;C933</f>
        <v>#N/A</v>
      </c>
      <c r="B933" s="1"/>
      <c r="C933" s="1"/>
      <c r="D933" s="155"/>
      <c r="F933" s="1"/>
      <c r="G933" s="1"/>
    </row>
    <row r="934" spans="1:7">
      <c r="A934" s="1" t="e">
        <f>VLOOKUP(B934,PLANOS!A:B,2,0)&amp;D934&amp;C934</f>
        <v>#N/A</v>
      </c>
      <c r="B934" s="1"/>
      <c r="C934" s="1"/>
      <c r="D934" s="155"/>
      <c r="F934" s="1"/>
      <c r="G934" s="1"/>
    </row>
    <row r="935" spans="1:7">
      <c r="A935" s="1" t="e">
        <f>VLOOKUP(B935,PLANOS!A:B,2,0)&amp;D935&amp;C935</f>
        <v>#N/A</v>
      </c>
      <c r="B935" s="1"/>
      <c r="C935" s="1"/>
      <c r="D935" s="155"/>
      <c r="F935" s="1"/>
      <c r="G935" s="1"/>
    </row>
    <row r="936" spans="1:7">
      <c r="A936" s="1" t="e">
        <f>VLOOKUP(B936,PLANOS!A:B,2,0)&amp;D936&amp;C936</f>
        <v>#N/A</v>
      </c>
      <c r="B936" s="1"/>
      <c r="C936" s="1"/>
      <c r="D936" s="155"/>
      <c r="F936" s="1"/>
      <c r="G936" s="1"/>
    </row>
    <row r="937" spans="1:7">
      <c r="A937" s="1" t="e">
        <f>VLOOKUP(B937,PLANOS!A:B,2,0)&amp;D937&amp;C937</f>
        <v>#N/A</v>
      </c>
      <c r="B937" s="1"/>
      <c r="C937" s="1"/>
      <c r="D937" s="155"/>
      <c r="F937" s="1"/>
      <c r="G937" s="1"/>
    </row>
    <row r="938" spans="1:7">
      <c r="A938" s="1" t="e">
        <f>VLOOKUP(B938,PLANOS!A:B,2,0)&amp;D938&amp;C938</f>
        <v>#N/A</v>
      </c>
      <c r="B938" s="1"/>
      <c r="C938" s="1"/>
      <c r="D938" s="155"/>
      <c r="F938" s="1"/>
      <c r="G938" s="1"/>
    </row>
    <row r="939" spans="1:7">
      <c r="A939" s="1" t="e">
        <f>VLOOKUP(B939,PLANOS!A:B,2,0)&amp;D939&amp;C939</f>
        <v>#N/A</v>
      </c>
      <c r="B939" s="1"/>
      <c r="C939" s="1"/>
      <c r="D939" s="155"/>
      <c r="F939" s="1"/>
      <c r="G939" s="1"/>
    </row>
    <row r="940" spans="1:7">
      <c r="A940" s="1" t="e">
        <f>VLOOKUP(B940,PLANOS!A:B,2,0)&amp;D940&amp;C940</f>
        <v>#N/A</v>
      </c>
      <c r="B940" s="1"/>
      <c r="C940" s="1"/>
      <c r="D940" s="155"/>
      <c r="F940" s="1"/>
      <c r="G940" s="1"/>
    </row>
    <row r="941" spans="1:7">
      <c r="A941" s="1" t="e">
        <f>VLOOKUP(B941,PLANOS!A:B,2,0)&amp;D941&amp;C941</f>
        <v>#N/A</v>
      </c>
      <c r="B941" s="1"/>
      <c r="C941" s="1"/>
      <c r="D941" s="155"/>
      <c r="F941" s="1"/>
      <c r="G941" s="1"/>
    </row>
    <row r="942" spans="1:7">
      <c r="A942" s="1" t="e">
        <f>VLOOKUP(B942,PLANOS!A:B,2,0)&amp;D942&amp;C942</f>
        <v>#N/A</v>
      </c>
      <c r="B942" s="1"/>
      <c r="C942" s="1"/>
      <c r="D942" s="155"/>
      <c r="F942" s="1"/>
      <c r="G942" s="1"/>
    </row>
    <row r="943" spans="1:7">
      <c r="A943" s="1" t="e">
        <f>VLOOKUP(B943,PLANOS!A:B,2,0)&amp;D943&amp;C943</f>
        <v>#N/A</v>
      </c>
      <c r="B943" s="1"/>
      <c r="C943" s="1"/>
      <c r="D943" s="155"/>
      <c r="F943" s="1"/>
      <c r="G943" s="1"/>
    </row>
    <row r="944" spans="1:7">
      <c r="A944" s="1" t="e">
        <f>VLOOKUP(B944,PLANOS!A:B,2,0)&amp;D944&amp;C944</f>
        <v>#N/A</v>
      </c>
      <c r="B944" s="1"/>
      <c r="C944" s="1"/>
      <c r="D944" s="155"/>
      <c r="F944" s="1"/>
      <c r="G944" s="1"/>
    </row>
    <row r="945" spans="1:7">
      <c r="A945" s="1" t="e">
        <f>VLOOKUP(B945,PLANOS!A:B,2,0)&amp;D945&amp;C945</f>
        <v>#N/A</v>
      </c>
      <c r="B945" s="1"/>
      <c r="C945" s="1"/>
      <c r="D945" s="155"/>
      <c r="F945" s="1"/>
      <c r="G945" s="1"/>
    </row>
    <row r="946" spans="1:7">
      <c r="A946" s="1" t="e">
        <f>VLOOKUP(B946,PLANOS!A:B,2,0)&amp;D946&amp;C946</f>
        <v>#N/A</v>
      </c>
      <c r="B946" s="1"/>
      <c r="C946" s="1"/>
      <c r="D946" s="155"/>
      <c r="F946" s="1"/>
      <c r="G946" s="1"/>
    </row>
    <row r="947" spans="1:7">
      <c r="A947" s="1" t="e">
        <f>VLOOKUP(B947,PLANOS!A:B,2,0)&amp;D947&amp;C947</f>
        <v>#N/A</v>
      </c>
      <c r="B947" s="1"/>
      <c r="C947" s="1"/>
      <c r="D947" s="155"/>
      <c r="F947" s="1"/>
      <c r="G947" s="1"/>
    </row>
    <row r="948" spans="1:7">
      <c r="A948" s="1" t="e">
        <f>VLOOKUP(B948,PLANOS!A:B,2,0)&amp;D948&amp;C948</f>
        <v>#N/A</v>
      </c>
      <c r="B948" s="1"/>
      <c r="C948" s="1"/>
      <c r="D948" s="155"/>
      <c r="F948" s="1"/>
      <c r="G948" s="1"/>
    </row>
    <row r="949" spans="1:7">
      <c r="A949" s="1" t="e">
        <f>VLOOKUP(B949,PLANOS!A:B,2,0)&amp;D949&amp;C949</f>
        <v>#N/A</v>
      </c>
      <c r="B949" s="1"/>
      <c r="C949" s="1"/>
      <c r="D949" s="155"/>
      <c r="F949" s="1"/>
      <c r="G949" s="1"/>
    </row>
    <row r="950" spans="1:7">
      <c r="A950" s="1" t="e">
        <f>VLOOKUP(B950,PLANOS!A:B,2,0)&amp;D950&amp;C950</f>
        <v>#N/A</v>
      </c>
      <c r="B950" s="1"/>
      <c r="C950" s="1"/>
      <c r="D950" s="155"/>
      <c r="F950" s="1"/>
      <c r="G950" s="1"/>
    </row>
    <row r="951" spans="1:7">
      <c r="A951" s="1" t="e">
        <f>VLOOKUP(B951,PLANOS!A:B,2,0)&amp;D951&amp;C951</f>
        <v>#N/A</v>
      </c>
      <c r="B951" s="1"/>
      <c r="C951" s="1"/>
      <c r="D951" s="155"/>
      <c r="F951" s="1"/>
      <c r="G951" s="1"/>
    </row>
    <row r="952" spans="1:7">
      <c r="A952" s="1" t="e">
        <f>VLOOKUP(B952,PLANOS!A:B,2,0)&amp;D952&amp;C952</f>
        <v>#N/A</v>
      </c>
      <c r="B952" s="1"/>
      <c r="C952" s="1"/>
      <c r="D952" s="155"/>
      <c r="F952" s="1"/>
      <c r="G952" s="1"/>
    </row>
    <row r="953" spans="1:7">
      <c r="A953" s="1" t="e">
        <f>VLOOKUP(B953,PLANOS!A:B,2,0)&amp;D953&amp;C953</f>
        <v>#N/A</v>
      </c>
      <c r="B953" s="1"/>
      <c r="C953" s="1"/>
      <c r="D953" s="155"/>
      <c r="F953" s="1"/>
      <c r="G953" s="1"/>
    </row>
    <row r="954" spans="1:7">
      <c r="A954" s="1" t="e">
        <f>VLOOKUP(B954,PLANOS!A:B,2,0)&amp;D954&amp;C954</f>
        <v>#N/A</v>
      </c>
      <c r="B954" s="1"/>
      <c r="C954" s="1"/>
      <c r="D954" s="155"/>
      <c r="F954" s="1"/>
      <c r="G954" s="1"/>
    </row>
    <row r="955" spans="1:7">
      <c r="A955" s="1" t="e">
        <f>VLOOKUP(B955,PLANOS!A:B,2,0)&amp;D955&amp;C955</f>
        <v>#N/A</v>
      </c>
      <c r="B955" s="1"/>
      <c r="C955" s="1"/>
      <c r="D955" s="155"/>
      <c r="F955" s="1"/>
      <c r="G955" s="1"/>
    </row>
    <row r="956" spans="1:7">
      <c r="A956" s="1" t="e">
        <f>VLOOKUP(B956,PLANOS!A:B,2,0)&amp;D956&amp;C956</f>
        <v>#N/A</v>
      </c>
      <c r="B956" s="1"/>
      <c r="C956" s="1"/>
      <c r="D956" s="155"/>
      <c r="F956" s="1"/>
      <c r="G956" s="1"/>
    </row>
    <row r="957" spans="1:7">
      <c r="A957" s="1" t="e">
        <f>VLOOKUP(B957,PLANOS!A:B,2,0)&amp;D957&amp;C957</f>
        <v>#N/A</v>
      </c>
      <c r="B957" s="1"/>
      <c r="C957" s="1"/>
      <c r="D957" s="155"/>
      <c r="F957" s="1"/>
      <c r="G957" s="1"/>
    </row>
    <row r="958" spans="1:7">
      <c r="A958" s="1" t="e">
        <f>VLOOKUP(B958,PLANOS!A:B,2,0)&amp;D958&amp;C958</f>
        <v>#N/A</v>
      </c>
      <c r="B958" s="1"/>
      <c r="C958" s="1"/>
      <c r="D958" s="155"/>
      <c r="F958" s="1"/>
      <c r="G958" s="1"/>
    </row>
    <row r="959" spans="1:7">
      <c r="A959" s="1" t="e">
        <f>VLOOKUP(B959,PLANOS!A:B,2,0)&amp;D959&amp;C959</f>
        <v>#N/A</v>
      </c>
      <c r="B959" s="1"/>
      <c r="C959" s="1"/>
      <c r="D959" s="155"/>
      <c r="F959" s="1"/>
      <c r="G959" s="1"/>
    </row>
    <row r="960" spans="1:7">
      <c r="A960" s="1" t="e">
        <f>VLOOKUP(B960,PLANOS!A:B,2,0)&amp;D960&amp;C960</f>
        <v>#N/A</v>
      </c>
      <c r="B960" s="1"/>
      <c r="C960" s="1"/>
      <c r="D960" s="155"/>
      <c r="F960" s="1"/>
      <c r="G960" s="1"/>
    </row>
    <row r="961" spans="1:7">
      <c r="A961" s="1" t="e">
        <f>VLOOKUP(B961,PLANOS!A:B,2,0)&amp;D961&amp;C961</f>
        <v>#N/A</v>
      </c>
      <c r="B961" s="1"/>
      <c r="C961" s="1"/>
      <c r="D961" s="155"/>
      <c r="F961" s="1"/>
      <c r="G961" s="1"/>
    </row>
    <row r="962" spans="1:7">
      <c r="A962" s="1" t="e">
        <f>VLOOKUP(B962,PLANOS!A:B,2,0)&amp;D962&amp;C962</f>
        <v>#N/A</v>
      </c>
      <c r="B962" s="1"/>
      <c r="C962" s="1"/>
      <c r="D962" s="155"/>
      <c r="F962" s="1"/>
      <c r="G962" s="1"/>
    </row>
    <row r="963" spans="1:7">
      <c r="A963" s="1" t="e">
        <f>VLOOKUP(B963,PLANOS!A:B,2,0)&amp;D963&amp;C963</f>
        <v>#N/A</v>
      </c>
      <c r="B963" s="1"/>
      <c r="C963" s="1"/>
      <c r="D963" s="155"/>
      <c r="F963" s="1"/>
      <c r="G963" s="1"/>
    </row>
    <row r="964" spans="1:7">
      <c r="A964" s="1" t="e">
        <f>VLOOKUP(B964,PLANOS!A:B,2,0)&amp;D964&amp;C964</f>
        <v>#N/A</v>
      </c>
      <c r="B964" s="1"/>
      <c r="C964" s="1"/>
      <c r="D964" s="155"/>
      <c r="F964" s="1"/>
      <c r="G964" s="1"/>
    </row>
    <row r="965" spans="1:7">
      <c r="A965" s="1" t="e">
        <f>VLOOKUP(B965,PLANOS!A:B,2,0)&amp;D965&amp;C965</f>
        <v>#N/A</v>
      </c>
      <c r="B965" s="1"/>
      <c r="C965" s="1"/>
      <c r="D965" s="155"/>
      <c r="F965" s="1"/>
      <c r="G965" s="1"/>
    </row>
    <row r="966" spans="1:7">
      <c r="A966" s="1" t="e">
        <f>VLOOKUP(B966,PLANOS!A:B,2,0)&amp;D966&amp;C966</f>
        <v>#N/A</v>
      </c>
      <c r="B966" s="1"/>
      <c r="C966" s="1"/>
      <c r="D966" s="155"/>
      <c r="F966" s="1"/>
      <c r="G966" s="1"/>
    </row>
    <row r="967" spans="1:7">
      <c r="A967" s="1" t="e">
        <f>VLOOKUP(B967,PLANOS!A:B,2,0)&amp;D967&amp;C967</f>
        <v>#N/A</v>
      </c>
      <c r="B967" s="1"/>
      <c r="C967" s="1"/>
      <c r="D967" s="155"/>
      <c r="F967" s="1"/>
      <c r="G967" s="1"/>
    </row>
    <row r="968" spans="1:7">
      <c r="A968" s="1" t="e">
        <f>VLOOKUP(B968,PLANOS!A:B,2,0)&amp;D968&amp;C968</f>
        <v>#N/A</v>
      </c>
      <c r="B968" s="1"/>
      <c r="C968" s="1"/>
      <c r="D968" s="155"/>
      <c r="F968" s="1"/>
      <c r="G968" s="1"/>
    </row>
    <row r="969" spans="1:7">
      <c r="A969" s="1" t="e">
        <f>VLOOKUP(B969,PLANOS!A:B,2,0)&amp;D969&amp;C969</f>
        <v>#N/A</v>
      </c>
      <c r="B969" s="1"/>
      <c r="C969" s="1"/>
      <c r="D969" s="155"/>
      <c r="F969" s="1"/>
      <c r="G969" s="1"/>
    </row>
    <row r="970" spans="1:7">
      <c r="A970" s="1" t="e">
        <f>VLOOKUP(B970,PLANOS!A:B,2,0)&amp;D970&amp;C970</f>
        <v>#N/A</v>
      </c>
      <c r="B970" s="1"/>
      <c r="C970" s="1"/>
      <c r="D970" s="155"/>
      <c r="F970" s="1"/>
      <c r="G970" s="1"/>
    </row>
    <row r="971" spans="1:7">
      <c r="A971" s="1" t="e">
        <f>VLOOKUP(B971,PLANOS!A:B,2,0)&amp;D971&amp;C971</f>
        <v>#N/A</v>
      </c>
      <c r="B971" s="1"/>
      <c r="C971" s="1"/>
      <c r="D971" s="155"/>
      <c r="F971" s="1"/>
      <c r="G971" s="1"/>
    </row>
    <row r="972" spans="1:7">
      <c r="A972" s="1" t="e">
        <f>VLOOKUP(B972,PLANOS!A:B,2,0)&amp;D972&amp;C972</f>
        <v>#N/A</v>
      </c>
      <c r="B972" s="1"/>
      <c r="C972" s="1"/>
      <c r="D972" s="155"/>
      <c r="F972" s="1"/>
      <c r="G972" s="1"/>
    </row>
    <row r="973" spans="1:7">
      <c r="A973" s="1" t="e">
        <f>VLOOKUP(B973,PLANOS!A:B,2,0)&amp;D973&amp;C973</f>
        <v>#N/A</v>
      </c>
      <c r="B973" s="1"/>
      <c r="C973" s="1"/>
      <c r="D973" s="155"/>
      <c r="F973" s="1"/>
      <c r="G973" s="1"/>
    </row>
    <row r="974" spans="1:7">
      <c r="A974" s="1" t="e">
        <f>VLOOKUP(B974,PLANOS!A:B,2,0)&amp;D974&amp;C974</f>
        <v>#N/A</v>
      </c>
      <c r="B974" s="1"/>
      <c r="C974" s="1"/>
      <c r="D974" s="155"/>
      <c r="F974" s="1"/>
      <c r="G974" s="1"/>
    </row>
    <row r="975" spans="1:7">
      <c r="A975" s="1" t="e">
        <f>VLOOKUP(B975,PLANOS!A:B,2,0)&amp;D975&amp;C975</f>
        <v>#N/A</v>
      </c>
      <c r="B975" s="1"/>
      <c r="C975" s="1"/>
      <c r="D975" s="155"/>
      <c r="F975" s="1"/>
      <c r="G975" s="1"/>
    </row>
    <row r="976" spans="1:7">
      <c r="A976" s="1" t="e">
        <f>VLOOKUP(B976,PLANOS!A:B,2,0)&amp;D976&amp;C976</f>
        <v>#N/A</v>
      </c>
      <c r="B976" s="1"/>
      <c r="C976" s="1"/>
      <c r="D976" s="155"/>
      <c r="F976" s="1"/>
      <c r="G976" s="1"/>
    </row>
    <row r="977" spans="1:7">
      <c r="A977" s="1" t="e">
        <f>VLOOKUP(B977,PLANOS!A:B,2,0)&amp;D977&amp;C977</f>
        <v>#N/A</v>
      </c>
      <c r="B977" s="1"/>
      <c r="C977" s="1"/>
      <c r="D977" s="155"/>
      <c r="F977" s="1"/>
      <c r="G977" s="1"/>
    </row>
    <row r="978" spans="1:7">
      <c r="A978" s="1" t="e">
        <f>VLOOKUP(B978,PLANOS!A:B,2,0)&amp;D978&amp;C978</f>
        <v>#N/A</v>
      </c>
      <c r="B978" s="1"/>
      <c r="C978" s="1"/>
      <c r="D978" s="155"/>
      <c r="F978" s="1"/>
      <c r="G978" s="1"/>
    </row>
    <row r="979" spans="1:7">
      <c r="A979" s="1" t="e">
        <f>VLOOKUP(B979,PLANOS!A:B,2,0)&amp;D979&amp;C979</f>
        <v>#N/A</v>
      </c>
      <c r="B979" s="1"/>
      <c r="C979" s="1"/>
      <c r="D979" s="155"/>
      <c r="F979" s="1"/>
      <c r="G979" s="1"/>
    </row>
    <row r="980" spans="1:7">
      <c r="A980" s="1" t="e">
        <f>VLOOKUP(B980,PLANOS!A:B,2,0)&amp;D980&amp;C980</f>
        <v>#N/A</v>
      </c>
      <c r="B980" s="1"/>
      <c r="C980" s="1"/>
      <c r="D980" s="155"/>
      <c r="F980" s="1"/>
      <c r="G980" s="1"/>
    </row>
    <row r="981" spans="1:7">
      <c r="A981" s="1" t="e">
        <f>VLOOKUP(B981,PLANOS!A:B,2,0)&amp;D981&amp;C981</f>
        <v>#N/A</v>
      </c>
      <c r="B981" s="1"/>
      <c r="C981" s="1"/>
      <c r="D981" s="155"/>
      <c r="F981" s="1"/>
      <c r="G981" s="1"/>
    </row>
    <row r="982" spans="1:7">
      <c r="A982" s="1" t="e">
        <f>VLOOKUP(B982,PLANOS!A:B,2,0)&amp;D982&amp;C982</f>
        <v>#N/A</v>
      </c>
      <c r="B982" s="1"/>
      <c r="C982" s="1"/>
      <c r="D982" s="155"/>
      <c r="F982" s="1"/>
      <c r="G982" s="1"/>
    </row>
    <row r="983" spans="1:7">
      <c r="A983" s="1" t="e">
        <f>VLOOKUP(B983,PLANOS!A:B,2,0)&amp;D983&amp;C983</f>
        <v>#N/A</v>
      </c>
      <c r="B983" s="1"/>
      <c r="C983" s="1"/>
      <c r="D983" s="155"/>
      <c r="F983" s="1"/>
      <c r="G983" s="1"/>
    </row>
    <row r="984" spans="1:7">
      <c r="A984" s="1" t="e">
        <f>VLOOKUP(B984,PLANOS!A:B,2,0)&amp;D984&amp;C984</f>
        <v>#N/A</v>
      </c>
      <c r="B984" s="1"/>
      <c r="C984" s="1"/>
      <c r="D984" s="155"/>
      <c r="F984" s="1"/>
      <c r="G984" s="1"/>
    </row>
    <row r="985" spans="1:7">
      <c r="A985" s="1" t="e">
        <f>VLOOKUP(B985,PLANOS!A:B,2,0)&amp;D985&amp;C985</f>
        <v>#N/A</v>
      </c>
      <c r="B985" s="1"/>
      <c r="C985" s="1"/>
      <c r="D985" s="155"/>
      <c r="F985" s="1"/>
      <c r="G985" s="1"/>
    </row>
    <row r="986" spans="1:7">
      <c r="A986" s="1" t="e">
        <f>VLOOKUP(B986,PLANOS!A:B,2,0)&amp;D986&amp;C986</f>
        <v>#N/A</v>
      </c>
      <c r="B986" s="1"/>
      <c r="C986" s="1"/>
      <c r="D986" s="155"/>
      <c r="F986" s="1"/>
      <c r="G986" s="1"/>
    </row>
    <row r="987" spans="1:7">
      <c r="A987" s="1" t="e">
        <f>VLOOKUP(B987,PLANOS!A:B,2,0)&amp;D987&amp;C987</f>
        <v>#N/A</v>
      </c>
      <c r="B987" s="1"/>
      <c r="C987" s="1"/>
      <c r="D987" s="155"/>
      <c r="F987" s="1"/>
      <c r="G987" s="1"/>
    </row>
    <row r="988" spans="1:7">
      <c r="A988" s="1" t="e">
        <f>VLOOKUP(B988,PLANOS!A:B,2,0)&amp;D988&amp;C988</f>
        <v>#N/A</v>
      </c>
      <c r="B988" s="1"/>
      <c r="C988" s="1"/>
      <c r="D988" s="155"/>
      <c r="F988" s="1"/>
      <c r="G988" s="1"/>
    </row>
    <row r="989" spans="1:7">
      <c r="A989" s="1" t="e">
        <f>VLOOKUP(B989,PLANOS!A:B,2,0)&amp;D989&amp;C989</f>
        <v>#N/A</v>
      </c>
      <c r="B989" s="1"/>
      <c r="C989" s="1"/>
      <c r="D989" s="155"/>
      <c r="F989" s="1"/>
      <c r="G989" s="1"/>
    </row>
    <row r="990" spans="1:7">
      <c r="A990" s="1" t="e">
        <f>VLOOKUP(B990,PLANOS!A:B,2,0)&amp;D990&amp;C990</f>
        <v>#N/A</v>
      </c>
      <c r="B990" s="1"/>
      <c r="C990" s="1"/>
      <c r="D990" s="155"/>
      <c r="F990" s="1"/>
      <c r="G990" s="1"/>
    </row>
    <row r="991" spans="1:7">
      <c r="A991" s="1" t="e">
        <f>VLOOKUP(B991,PLANOS!A:B,2,0)&amp;D991&amp;C991</f>
        <v>#N/A</v>
      </c>
      <c r="B991" s="1"/>
      <c r="C991" s="1"/>
      <c r="D991" s="155"/>
      <c r="F991" s="1"/>
      <c r="G991" s="1"/>
    </row>
    <row r="992" spans="1:7">
      <c r="A992" s="1" t="e">
        <f>VLOOKUP(B992,PLANOS!A:B,2,0)&amp;D992&amp;C992</f>
        <v>#N/A</v>
      </c>
      <c r="B992" s="1"/>
      <c r="C992" s="1"/>
      <c r="D992" s="155"/>
      <c r="F992" s="1"/>
      <c r="G992" s="1"/>
    </row>
    <row r="993" spans="1:7">
      <c r="A993" s="1" t="e">
        <f>VLOOKUP(B993,PLANOS!A:B,2,0)&amp;D993&amp;C993</f>
        <v>#N/A</v>
      </c>
      <c r="B993" s="1"/>
      <c r="C993" s="1"/>
      <c r="D993" s="155"/>
      <c r="F993" s="1"/>
      <c r="G993" s="1"/>
    </row>
    <row r="994" spans="1:7">
      <c r="A994" s="1" t="e">
        <f>VLOOKUP(B994,PLANOS!A:B,2,0)&amp;D994&amp;C994</f>
        <v>#N/A</v>
      </c>
      <c r="B994" s="1"/>
      <c r="C994" s="1"/>
      <c r="D994" s="155"/>
      <c r="F994" s="1"/>
      <c r="G994" s="1"/>
    </row>
    <row r="995" spans="1:7">
      <c r="A995" s="1" t="e">
        <f>VLOOKUP(B995,PLANOS!A:B,2,0)&amp;D995&amp;C995</f>
        <v>#N/A</v>
      </c>
      <c r="B995" s="1"/>
      <c r="C995" s="1"/>
      <c r="D995" s="155"/>
      <c r="F995" s="1"/>
      <c r="G995" s="1"/>
    </row>
    <row r="996" spans="1:7">
      <c r="A996" s="1" t="e">
        <f>VLOOKUP(B996,PLANOS!A:B,2,0)&amp;D996&amp;C996</f>
        <v>#N/A</v>
      </c>
      <c r="B996" s="1"/>
      <c r="C996" s="1"/>
      <c r="D996" s="155"/>
      <c r="F996" s="1"/>
      <c r="G996" s="1"/>
    </row>
    <row r="997" spans="1:7">
      <c r="A997" s="1" t="e">
        <f>VLOOKUP(B997,PLANOS!A:B,2,0)&amp;D997&amp;C997</f>
        <v>#N/A</v>
      </c>
      <c r="B997" s="1"/>
      <c r="C997" s="1"/>
      <c r="D997" s="155"/>
      <c r="F997" s="1"/>
      <c r="G997" s="1"/>
    </row>
    <row r="998" spans="1:7">
      <c r="A998" s="1" t="e">
        <f>VLOOKUP(B998,PLANOS!A:B,2,0)&amp;D998&amp;C998</f>
        <v>#N/A</v>
      </c>
      <c r="B998" s="1"/>
      <c r="C998" s="1"/>
      <c r="D998" s="155"/>
      <c r="F998" s="1"/>
      <c r="G998" s="1"/>
    </row>
    <row r="999" spans="1:7">
      <c r="A999" s="1" t="e">
        <f>VLOOKUP(B999,PLANOS!A:B,2,0)&amp;D999&amp;C999</f>
        <v>#N/A</v>
      </c>
      <c r="B999" s="1"/>
      <c r="C999" s="1"/>
      <c r="D999" s="155"/>
      <c r="F999" s="1"/>
      <c r="G999" s="1"/>
    </row>
    <row r="1000" spans="1:7">
      <c r="A1000" s="1" t="e">
        <f>VLOOKUP(B1000,PLANOS!A:B,2,0)&amp;D1000&amp;C1000</f>
        <v>#N/A</v>
      </c>
      <c r="B1000" s="1"/>
      <c r="C1000" s="1"/>
      <c r="D1000" s="155"/>
      <c r="F1000" s="1"/>
      <c r="G1000" s="1"/>
    </row>
    <row r="1001" spans="1:7">
      <c r="A1001" s="1" t="e">
        <f>VLOOKUP(B1001,PLANOS!A:B,2,0)&amp;D1001&amp;C1001</f>
        <v>#N/A</v>
      </c>
      <c r="B1001" s="1"/>
      <c r="C1001" s="1"/>
      <c r="D1001" s="155"/>
      <c r="F1001" s="1"/>
      <c r="G1001" s="1"/>
    </row>
    <row r="1002" spans="1:7">
      <c r="A1002" s="1" t="e">
        <f>VLOOKUP(B1002,PLANOS!A:B,2,0)&amp;D1002&amp;C1002</f>
        <v>#N/A</v>
      </c>
      <c r="B1002" s="1"/>
      <c r="C1002" s="1"/>
      <c r="D1002" s="155"/>
      <c r="F1002" s="1"/>
      <c r="G1002" s="1"/>
    </row>
    <row r="1003" spans="1:7">
      <c r="A1003" s="1" t="e">
        <f>VLOOKUP(B1003,PLANOS!A:B,2,0)&amp;D1003&amp;C1003</f>
        <v>#N/A</v>
      </c>
      <c r="B1003" s="1"/>
      <c r="C1003" s="1"/>
      <c r="D1003" s="155"/>
      <c r="F1003" s="1"/>
      <c r="G1003" s="1"/>
    </row>
    <row r="1004" spans="1:7">
      <c r="A1004" s="1" t="e">
        <f>VLOOKUP(B1004,PLANOS!A:B,2,0)&amp;D1004&amp;C1004</f>
        <v>#N/A</v>
      </c>
      <c r="B1004" s="1"/>
      <c r="C1004" s="1"/>
      <c r="D1004" s="155"/>
      <c r="F1004" s="1"/>
      <c r="G1004" s="1"/>
    </row>
    <row r="1005" spans="1:7">
      <c r="A1005" s="1" t="e">
        <f>VLOOKUP(B1005,PLANOS!A:B,2,0)&amp;D1005&amp;C1005</f>
        <v>#N/A</v>
      </c>
      <c r="B1005" s="1"/>
      <c r="C1005" s="1"/>
      <c r="D1005" s="155"/>
      <c r="F1005" s="1"/>
      <c r="G1005" s="1"/>
    </row>
    <row r="1006" spans="1:7">
      <c r="A1006" s="1" t="e">
        <f>VLOOKUP(B1006,PLANOS!A:B,2,0)&amp;D1006&amp;C1006</f>
        <v>#N/A</v>
      </c>
      <c r="B1006" s="1"/>
      <c r="C1006" s="1"/>
      <c r="D1006" s="155"/>
      <c r="F1006" s="1"/>
      <c r="G1006" s="1"/>
    </row>
    <row r="1007" spans="1:7">
      <c r="A1007" s="1" t="e">
        <f>VLOOKUP(B1007,PLANOS!A:B,2,0)&amp;D1007&amp;C1007</f>
        <v>#N/A</v>
      </c>
      <c r="B1007" s="1"/>
      <c r="C1007" s="1"/>
      <c r="D1007" s="155"/>
      <c r="F1007" s="1"/>
      <c r="G1007" s="1"/>
    </row>
    <row r="1008" spans="1:7">
      <c r="A1008" s="1" t="e">
        <f>VLOOKUP(B1008,PLANOS!A:B,2,0)&amp;D1008&amp;C1008</f>
        <v>#N/A</v>
      </c>
      <c r="B1008" s="1"/>
      <c r="C1008" s="1"/>
      <c r="D1008" s="155"/>
      <c r="F1008" s="1"/>
      <c r="G1008" s="1"/>
    </row>
    <row r="1009" spans="1:7">
      <c r="A1009" s="1" t="e">
        <f>VLOOKUP(B1009,PLANOS!A:B,2,0)&amp;D1009&amp;C1009</f>
        <v>#N/A</v>
      </c>
      <c r="B1009" s="1"/>
      <c r="C1009" s="1"/>
      <c r="D1009" s="155"/>
      <c r="F1009" s="1"/>
      <c r="G1009" s="1"/>
    </row>
    <row r="1010" spans="1:7">
      <c r="A1010" s="1" t="e">
        <f>VLOOKUP(B1010,PLANOS!A:B,2,0)&amp;D1010&amp;C1010</f>
        <v>#N/A</v>
      </c>
      <c r="B1010" s="1"/>
      <c r="C1010" s="1"/>
      <c r="D1010" s="155"/>
      <c r="F1010" s="1"/>
      <c r="G1010" s="1"/>
    </row>
    <row r="1011" spans="1:7">
      <c r="A1011" s="1" t="e">
        <f>VLOOKUP(B1011,PLANOS!A:B,2,0)&amp;D1011&amp;C1011</f>
        <v>#N/A</v>
      </c>
      <c r="B1011" s="1"/>
      <c r="C1011" s="1"/>
      <c r="D1011" s="155"/>
      <c r="F1011" s="1"/>
      <c r="G1011" s="1"/>
    </row>
    <row r="1012" spans="1:7">
      <c r="A1012" s="1" t="e">
        <f>VLOOKUP(B1012,PLANOS!A:B,2,0)&amp;D1012&amp;C1012</f>
        <v>#N/A</v>
      </c>
      <c r="B1012" s="1"/>
      <c r="C1012" s="1"/>
      <c r="D1012" s="155"/>
      <c r="F1012" s="1"/>
      <c r="G1012" s="1"/>
    </row>
    <row r="1013" spans="1:7">
      <c r="A1013" s="1" t="e">
        <f>VLOOKUP(B1013,PLANOS!A:B,2,0)&amp;D1013&amp;C1013</f>
        <v>#N/A</v>
      </c>
      <c r="B1013" s="1"/>
      <c r="C1013" s="1"/>
      <c r="D1013" s="155"/>
      <c r="F1013" s="1"/>
      <c r="G1013" s="1"/>
    </row>
    <row r="1014" spans="1:7">
      <c r="A1014" s="1" t="e">
        <f>VLOOKUP(B1014,PLANOS!A:B,2,0)&amp;D1014&amp;C1014</f>
        <v>#N/A</v>
      </c>
      <c r="B1014" s="1"/>
      <c r="C1014" s="1"/>
      <c r="D1014" s="155"/>
      <c r="F1014" s="1"/>
      <c r="G1014" s="1"/>
    </row>
    <row r="1015" spans="1:7">
      <c r="A1015" s="1" t="e">
        <f>VLOOKUP(B1015,PLANOS!A:B,2,0)&amp;D1015&amp;C1015</f>
        <v>#N/A</v>
      </c>
      <c r="B1015" s="1"/>
      <c r="C1015" s="1"/>
      <c r="D1015" s="155"/>
      <c r="F1015" s="1"/>
      <c r="G1015" s="1"/>
    </row>
    <row r="1016" spans="1:7">
      <c r="A1016" s="1" t="e">
        <f>VLOOKUP(B1016,PLANOS!A:B,2,0)&amp;D1016&amp;C1016</f>
        <v>#N/A</v>
      </c>
      <c r="B1016" s="1"/>
      <c r="C1016" s="1"/>
      <c r="D1016" s="155"/>
      <c r="F1016" s="1"/>
      <c r="G1016" s="1"/>
    </row>
    <row r="1017" spans="1:7">
      <c r="A1017" s="1" t="e">
        <f>VLOOKUP(B1017,PLANOS!A:B,2,0)&amp;D1017&amp;C1017</f>
        <v>#N/A</v>
      </c>
      <c r="B1017" s="1"/>
      <c r="C1017" s="1"/>
      <c r="D1017" s="155"/>
      <c r="F1017" s="1"/>
      <c r="G1017" s="1"/>
    </row>
    <row r="1018" spans="1:7">
      <c r="A1018" s="1" t="e">
        <f>VLOOKUP(B1018,PLANOS!A:B,2,0)&amp;D1018&amp;C1018</f>
        <v>#N/A</v>
      </c>
      <c r="B1018" s="1"/>
      <c r="C1018" s="1"/>
      <c r="D1018" s="155"/>
      <c r="F1018" s="1"/>
      <c r="G1018" s="1"/>
    </row>
    <row r="1019" spans="1:7">
      <c r="A1019" s="1" t="e">
        <f>VLOOKUP(B1019,PLANOS!A:B,2,0)&amp;D1019&amp;C1019</f>
        <v>#N/A</v>
      </c>
      <c r="B1019" s="1"/>
      <c r="C1019" s="1"/>
      <c r="D1019" s="155"/>
      <c r="F1019" s="1"/>
      <c r="G1019" s="1"/>
    </row>
    <row r="1020" spans="1:7">
      <c r="A1020" s="1" t="e">
        <f>VLOOKUP(B1020,PLANOS!A:B,2,0)&amp;D1020&amp;C1020</f>
        <v>#N/A</v>
      </c>
      <c r="B1020" s="1"/>
      <c r="C1020" s="1"/>
      <c r="D1020" s="155"/>
      <c r="F1020" s="1"/>
      <c r="G1020" s="1"/>
    </row>
    <row r="1021" spans="1:7">
      <c r="A1021" s="1" t="e">
        <f>VLOOKUP(B1021,PLANOS!A:B,2,0)&amp;D1021&amp;C1021</f>
        <v>#N/A</v>
      </c>
      <c r="B1021" s="1"/>
      <c r="C1021" s="1"/>
      <c r="D1021" s="155"/>
      <c r="F1021" s="1"/>
      <c r="G1021" s="1"/>
    </row>
    <row r="1022" spans="1:7">
      <c r="A1022" s="1" t="e">
        <f>VLOOKUP(B1022,PLANOS!A:B,2,0)&amp;D1022&amp;C1022</f>
        <v>#N/A</v>
      </c>
      <c r="B1022" s="1"/>
      <c r="C1022" s="1"/>
      <c r="D1022" s="155"/>
      <c r="F1022" s="1"/>
      <c r="G1022" s="1"/>
    </row>
    <row r="1023" spans="1:7">
      <c r="A1023" s="1" t="e">
        <f>VLOOKUP(B1023,PLANOS!A:B,2,0)&amp;D1023&amp;C1023</f>
        <v>#N/A</v>
      </c>
      <c r="B1023" s="1"/>
      <c r="C1023" s="1"/>
      <c r="D1023" s="155"/>
      <c r="F1023" s="1"/>
      <c r="G1023" s="1"/>
    </row>
    <row r="1024" spans="1:7">
      <c r="A1024" s="1" t="e">
        <f>VLOOKUP(B1024,PLANOS!A:B,2,0)&amp;D1024&amp;C1024</f>
        <v>#N/A</v>
      </c>
      <c r="B1024" s="1"/>
      <c r="C1024" s="1"/>
      <c r="D1024" s="155"/>
      <c r="F1024" s="1"/>
      <c r="G1024" s="1"/>
    </row>
    <row r="1025" spans="1:7">
      <c r="A1025" s="1" t="e">
        <f>VLOOKUP(B1025,PLANOS!A:B,2,0)&amp;D1025&amp;C1025</f>
        <v>#N/A</v>
      </c>
      <c r="B1025" s="1"/>
      <c r="C1025" s="1"/>
      <c r="D1025" s="155"/>
      <c r="F1025" s="1"/>
      <c r="G1025" s="1"/>
    </row>
    <row r="1026" spans="1:7">
      <c r="A1026" s="1" t="e">
        <f>VLOOKUP(B1026,PLANOS!A:B,2,0)&amp;D1026&amp;C1026</f>
        <v>#N/A</v>
      </c>
      <c r="B1026" s="1"/>
      <c r="C1026" s="1"/>
      <c r="D1026" s="155"/>
      <c r="F1026" s="1"/>
      <c r="G1026" s="1"/>
    </row>
    <row r="1027" spans="1:7">
      <c r="A1027" s="1" t="e">
        <f>VLOOKUP(B1027,PLANOS!A:B,2,0)&amp;D1027&amp;C1027</f>
        <v>#N/A</v>
      </c>
      <c r="B1027" s="1"/>
      <c r="C1027" s="1"/>
      <c r="D1027" s="155"/>
      <c r="F1027" s="1"/>
      <c r="G1027" s="1"/>
    </row>
    <row r="1028" spans="1:7">
      <c r="A1028" s="1" t="e">
        <f>VLOOKUP(B1028,PLANOS!A:B,2,0)&amp;D1028&amp;C1028</f>
        <v>#N/A</v>
      </c>
      <c r="B1028" s="1"/>
      <c r="C1028" s="1"/>
      <c r="D1028" s="155"/>
      <c r="F1028" s="1"/>
      <c r="G1028" s="1"/>
    </row>
    <row r="1029" spans="1:7">
      <c r="A1029" s="1" t="e">
        <f>VLOOKUP(B1029,PLANOS!A:B,2,0)&amp;D1029&amp;C1029</f>
        <v>#N/A</v>
      </c>
      <c r="B1029" s="1"/>
      <c r="C1029" s="1"/>
      <c r="D1029" s="155"/>
      <c r="F1029" s="1"/>
      <c r="G1029" s="1"/>
    </row>
    <row r="1030" spans="1:7">
      <c r="A1030" s="1" t="e">
        <f>VLOOKUP(B1030,PLANOS!A:B,2,0)&amp;D1030&amp;C1030</f>
        <v>#N/A</v>
      </c>
      <c r="B1030" s="1"/>
      <c r="C1030" s="1"/>
      <c r="D1030" s="155"/>
      <c r="F1030" s="1"/>
      <c r="G1030" s="1"/>
    </row>
    <row r="1031" spans="1:7">
      <c r="A1031" s="1" t="e">
        <f>VLOOKUP(B1031,PLANOS!A:B,2,0)&amp;D1031&amp;C1031</f>
        <v>#N/A</v>
      </c>
      <c r="B1031" s="1"/>
      <c r="C1031" s="1"/>
      <c r="D1031" s="155"/>
      <c r="F1031" s="1"/>
      <c r="G1031" s="1"/>
    </row>
    <row r="1032" spans="1:7">
      <c r="A1032" s="1" t="e">
        <f>VLOOKUP(B1032,PLANOS!A:B,2,0)&amp;D1032&amp;C1032</f>
        <v>#N/A</v>
      </c>
      <c r="B1032" s="1"/>
      <c r="C1032" s="1"/>
      <c r="D1032" s="155"/>
      <c r="F1032" s="1"/>
      <c r="G1032" s="1"/>
    </row>
    <row r="1033" spans="1:7">
      <c r="A1033" s="1" t="e">
        <f>VLOOKUP(B1033,PLANOS!A:B,2,0)&amp;D1033&amp;C1033</f>
        <v>#N/A</v>
      </c>
      <c r="B1033" s="1"/>
      <c r="C1033" s="1"/>
      <c r="D1033" s="155"/>
      <c r="F1033" s="1"/>
      <c r="G1033" s="1"/>
    </row>
    <row r="1034" spans="1:7">
      <c r="A1034" s="1" t="e">
        <f>VLOOKUP(B1034,PLANOS!A:B,2,0)&amp;D1034&amp;C1034</f>
        <v>#N/A</v>
      </c>
      <c r="B1034" s="1"/>
      <c r="C1034" s="1"/>
      <c r="D1034" s="155"/>
      <c r="F1034" s="1"/>
      <c r="G1034" s="1"/>
    </row>
    <row r="1035" spans="1:7">
      <c r="A1035" s="1" t="e">
        <f>VLOOKUP(B1035,PLANOS!A:B,2,0)&amp;D1035&amp;C1035</f>
        <v>#N/A</v>
      </c>
      <c r="B1035" s="1"/>
      <c r="C1035" s="1"/>
      <c r="D1035" s="155"/>
      <c r="F1035" s="1"/>
      <c r="G1035" s="1"/>
    </row>
    <row r="1036" spans="1:7">
      <c r="A1036" s="1" t="e">
        <f>VLOOKUP(B1036,PLANOS!A:B,2,0)&amp;D1036&amp;C1036</f>
        <v>#N/A</v>
      </c>
      <c r="B1036" s="1"/>
      <c r="C1036" s="1"/>
      <c r="D1036" s="155"/>
      <c r="F1036" s="1"/>
      <c r="G1036" s="1"/>
    </row>
    <row r="1037" spans="1:7">
      <c r="A1037" s="1" t="e">
        <f>VLOOKUP(B1037,PLANOS!A:B,2,0)&amp;D1037&amp;C1037</f>
        <v>#N/A</v>
      </c>
      <c r="B1037" s="1"/>
      <c r="C1037" s="1"/>
      <c r="D1037" s="155"/>
      <c r="F1037" s="1"/>
      <c r="G1037" s="1"/>
    </row>
    <row r="1038" spans="1:7">
      <c r="A1038" s="1" t="e">
        <f>VLOOKUP(B1038,PLANOS!A:B,2,0)&amp;D1038&amp;C1038</f>
        <v>#N/A</v>
      </c>
      <c r="B1038" s="1"/>
      <c r="C1038" s="1"/>
      <c r="D1038" s="155"/>
      <c r="F1038" s="1"/>
      <c r="G1038" s="1"/>
    </row>
    <row r="1039" spans="1:7">
      <c r="A1039" s="1" t="e">
        <f>VLOOKUP(B1039,PLANOS!A:B,2,0)&amp;D1039&amp;C1039</f>
        <v>#N/A</v>
      </c>
      <c r="B1039" s="1"/>
      <c r="C1039" s="1"/>
      <c r="D1039" s="155"/>
      <c r="F1039" s="1"/>
      <c r="G1039" s="1"/>
    </row>
    <row r="1040" spans="1:7">
      <c r="A1040" s="1" t="e">
        <f>VLOOKUP(B1040,PLANOS!A:B,2,0)&amp;D1040&amp;C1040</f>
        <v>#N/A</v>
      </c>
      <c r="B1040" s="1"/>
      <c r="C1040" s="1"/>
      <c r="D1040" s="155"/>
      <c r="F1040" s="1"/>
      <c r="G1040" s="1"/>
    </row>
    <row r="1041" spans="1:7">
      <c r="A1041" s="1" t="e">
        <f>VLOOKUP(B1041,PLANOS!A:B,2,0)&amp;D1041&amp;C1041</f>
        <v>#N/A</v>
      </c>
      <c r="B1041" s="1"/>
      <c r="C1041" s="1"/>
      <c r="D1041" s="155"/>
      <c r="F1041" s="1"/>
      <c r="G1041" s="1"/>
    </row>
    <row r="1042" spans="1:7">
      <c r="A1042" s="1" t="e">
        <f>VLOOKUP(B1042,PLANOS!A:B,2,0)&amp;D1042&amp;C1042</f>
        <v>#N/A</v>
      </c>
      <c r="B1042" s="1"/>
      <c r="C1042" s="1"/>
      <c r="D1042" s="155"/>
      <c r="F1042" s="1"/>
      <c r="G1042" s="1"/>
    </row>
    <row r="1043" spans="1:7">
      <c r="A1043" s="1" t="e">
        <f>VLOOKUP(B1043,PLANOS!A:B,2,0)&amp;D1043&amp;C1043</f>
        <v>#N/A</v>
      </c>
      <c r="B1043" s="1"/>
      <c r="C1043" s="1"/>
      <c r="D1043" s="155"/>
      <c r="F1043" s="1"/>
      <c r="G1043" s="1"/>
    </row>
    <row r="1044" spans="1:7">
      <c r="A1044" s="1" t="e">
        <f>VLOOKUP(B1044,PLANOS!A:B,2,0)&amp;D1044&amp;C1044</f>
        <v>#N/A</v>
      </c>
      <c r="B1044" s="1"/>
      <c r="C1044" s="1"/>
      <c r="D1044" s="155"/>
      <c r="F1044" s="1"/>
      <c r="G1044" s="1"/>
    </row>
    <row r="1045" spans="1:7">
      <c r="A1045" s="1" t="e">
        <f>VLOOKUP(B1045,PLANOS!A:B,2,0)&amp;D1045&amp;C1045</f>
        <v>#N/A</v>
      </c>
      <c r="B1045" s="1"/>
      <c r="C1045" s="1"/>
      <c r="D1045" s="155"/>
      <c r="F1045" s="1"/>
      <c r="G1045" s="1"/>
    </row>
    <row r="1046" spans="1:7">
      <c r="A1046" s="1" t="e">
        <f>VLOOKUP(B1046,PLANOS!A:B,2,0)&amp;D1046&amp;C1046</f>
        <v>#N/A</v>
      </c>
      <c r="B1046" s="1"/>
      <c r="C1046" s="1"/>
      <c r="D1046" s="155"/>
      <c r="F1046" s="1"/>
      <c r="G1046" s="1"/>
    </row>
    <row r="1047" spans="1:7">
      <c r="A1047" s="1" t="e">
        <f>VLOOKUP(B1047,PLANOS!A:B,2,0)&amp;D1047&amp;C1047</f>
        <v>#N/A</v>
      </c>
      <c r="B1047" s="1"/>
      <c r="C1047" s="1"/>
      <c r="D1047" s="155"/>
      <c r="F1047" s="1"/>
      <c r="G1047" s="1"/>
    </row>
    <row r="1048" spans="1:7">
      <c r="A1048" s="1" t="e">
        <f>VLOOKUP(B1048,PLANOS!A:B,2,0)&amp;D1048&amp;C1048</f>
        <v>#N/A</v>
      </c>
      <c r="B1048" s="1"/>
      <c r="C1048" s="1"/>
      <c r="D1048" s="155"/>
      <c r="F1048" s="1"/>
      <c r="G1048" s="1"/>
    </row>
    <row r="1049" spans="1:7">
      <c r="A1049" s="1" t="e">
        <f>VLOOKUP(B1049,PLANOS!A:B,2,0)&amp;D1049&amp;C1049</f>
        <v>#N/A</v>
      </c>
      <c r="B1049" s="1"/>
      <c r="C1049" s="1"/>
      <c r="D1049" s="155"/>
      <c r="F1049" s="1"/>
      <c r="G1049" s="1"/>
    </row>
    <row r="1050" spans="1:7">
      <c r="A1050" s="1" t="e">
        <f>VLOOKUP(B1050,PLANOS!A:B,2,0)&amp;D1050&amp;C1050</f>
        <v>#N/A</v>
      </c>
      <c r="B1050" s="1"/>
      <c r="C1050" s="1"/>
      <c r="D1050" s="155"/>
      <c r="F1050" s="1"/>
      <c r="G1050" s="1"/>
    </row>
    <row r="1051" spans="1:7">
      <c r="A1051" s="1" t="e">
        <f>VLOOKUP(B1051,PLANOS!A:B,2,0)&amp;D1051&amp;C1051</f>
        <v>#N/A</v>
      </c>
      <c r="B1051" s="1"/>
      <c r="C1051" s="1"/>
      <c r="D1051" s="155"/>
      <c r="F1051" s="1"/>
      <c r="G1051" s="1"/>
    </row>
    <row r="1052" spans="1:7">
      <c r="A1052" s="1" t="e">
        <f>VLOOKUP(B1052,PLANOS!A:B,2,0)&amp;D1052&amp;C1052</f>
        <v>#N/A</v>
      </c>
      <c r="B1052" s="1"/>
      <c r="C1052" s="1"/>
      <c r="D1052" s="155"/>
      <c r="F1052" s="1"/>
      <c r="G1052" s="1"/>
    </row>
    <row r="1053" spans="1:7">
      <c r="A1053" s="1" t="e">
        <f>VLOOKUP(B1053,PLANOS!A:B,2,0)&amp;D1053&amp;C1053</f>
        <v>#N/A</v>
      </c>
      <c r="B1053" s="1"/>
      <c r="C1053" s="1"/>
      <c r="D1053" s="155"/>
      <c r="F1053" s="1"/>
      <c r="G1053" s="1"/>
    </row>
    <row r="1054" spans="1:7">
      <c r="A1054" s="1" t="e">
        <f>VLOOKUP(B1054,PLANOS!A:B,2,0)&amp;D1054&amp;C1054</f>
        <v>#N/A</v>
      </c>
      <c r="B1054" s="1"/>
      <c r="C1054" s="1"/>
      <c r="D1054" s="155"/>
      <c r="F1054" s="1"/>
      <c r="G1054" s="1"/>
    </row>
    <row r="1055" spans="1:7">
      <c r="A1055" s="1" t="e">
        <f>VLOOKUP(B1055,PLANOS!A:B,2,0)&amp;D1055&amp;C1055</f>
        <v>#N/A</v>
      </c>
      <c r="B1055" s="1"/>
      <c r="C1055" s="1"/>
      <c r="D1055" s="155"/>
      <c r="F1055" s="1"/>
      <c r="G1055" s="1"/>
    </row>
    <row r="1056" spans="1:7">
      <c r="A1056" s="1" t="e">
        <f>VLOOKUP(B1056,PLANOS!A:B,2,0)&amp;D1056&amp;C1056</f>
        <v>#N/A</v>
      </c>
      <c r="B1056" s="1"/>
      <c r="C1056" s="1"/>
      <c r="D1056" s="155"/>
      <c r="F1056" s="1"/>
      <c r="G1056" s="1"/>
    </row>
    <row r="1057" spans="1:7">
      <c r="A1057" s="1" t="e">
        <f>VLOOKUP(B1057,PLANOS!A:B,2,0)&amp;D1057&amp;C1057</f>
        <v>#N/A</v>
      </c>
      <c r="B1057" s="1"/>
      <c r="C1057" s="1"/>
      <c r="D1057" s="155"/>
      <c r="F1057" s="1"/>
      <c r="G1057" s="1"/>
    </row>
    <row r="1058" spans="1:7">
      <c r="A1058" s="1" t="e">
        <f>VLOOKUP(B1058,PLANOS!A:B,2,0)&amp;D1058&amp;C1058</f>
        <v>#N/A</v>
      </c>
      <c r="B1058" s="1"/>
      <c r="C1058" s="1"/>
      <c r="D1058" s="155"/>
      <c r="F1058" s="1"/>
      <c r="G1058" s="1"/>
    </row>
    <row r="1059" spans="1:7">
      <c r="A1059" s="1" t="e">
        <f>VLOOKUP(B1059,PLANOS!A:B,2,0)&amp;D1059&amp;C1059</f>
        <v>#N/A</v>
      </c>
      <c r="B1059" s="1"/>
      <c r="C1059" s="1"/>
      <c r="D1059" s="155"/>
      <c r="F1059" s="1"/>
      <c r="G1059" s="1"/>
    </row>
    <row r="1060" spans="1:7">
      <c r="A1060" s="1" t="e">
        <f>VLOOKUP(B1060,PLANOS!A:B,2,0)&amp;D1060&amp;C1060</f>
        <v>#N/A</v>
      </c>
      <c r="B1060" s="1"/>
      <c r="C1060" s="1"/>
      <c r="D1060" s="155"/>
      <c r="F1060" s="1"/>
      <c r="G1060" s="1"/>
    </row>
    <row r="1061" spans="1:7">
      <c r="A1061" s="1" t="e">
        <f>VLOOKUP(B1061,PLANOS!A:B,2,0)&amp;D1061&amp;C1061</f>
        <v>#N/A</v>
      </c>
      <c r="B1061" s="1"/>
      <c r="C1061" s="1"/>
      <c r="D1061" s="155"/>
      <c r="F1061" s="1"/>
      <c r="G1061" s="1"/>
    </row>
    <row r="1062" spans="1:7">
      <c r="A1062" s="1" t="e">
        <f>VLOOKUP(B1062,PLANOS!A:B,2,0)&amp;D1062&amp;C1062</f>
        <v>#N/A</v>
      </c>
      <c r="B1062" s="1"/>
      <c r="C1062" s="1"/>
      <c r="D1062" s="155"/>
      <c r="F1062" s="1"/>
      <c r="G1062" s="1"/>
    </row>
    <row r="1063" spans="1:7">
      <c r="A1063" s="1" t="e">
        <f>VLOOKUP(B1063,PLANOS!A:B,2,0)&amp;D1063&amp;C1063</f>
        <v>#N/A</v>
      </c>
      <c r="B1063" s="1"/>
      <c r="C1063" s="1"/>
      <c r="D1063" s="155"/>
      <c r="F1063" s="1"/>
      <c r="G1063" s="1"/>
    </row>
    <row r="1064" spans="1:7">
      <c r="A1064" s="1" t="e">
        <f>VLOOKUP(B1064,PLANOS!A:B,2,0)&amp;D1064&amp;C1064</f>
        <v>#N/A</v>
      </c>
      <c r="B1064" s="1"/>
      <c r="C1064" s="1"/>
      <c r="D1064" s="155"/>
      <c r="F1064" s="1"/>
      <c r="G1064" s="1"/>
    </row>
    <row r="1065" spans="1:7">
      <c r="A1065" s="1" t="e">
        <f>VLOOKUP(B1065,PLANOS!A:B,2,0)&amp;D1065&amp;C1065</f>
        <v>#N/A</v>
      </c>
      <c r="B1065" s="1"/>
      <c r="C1065" s="1"/>
      <c r="D1065" s="155"/>
      <c r="F1065" s="1"/>
      <c r="G1065" s="1"/>
    </row>
    <row r="1066" spans="1:7">
      <c r="A1066" s="1" t="e">
        <f>VLOOKUP(B1066,PLANOS!A:B,2,0)&amp;D1066&amp;C1066</f>
        <v>#N/A</v>
      </c>
      <c r="B1066" s="1"/>
      <c r="C1066" s="1"/>
      <c r="D1066" s="155"/>
      <c r="F1066" s="1"/>
      <c r="G1066" s="1"/>
    </row>
    <row r="1067" spans="1:7">
      <c r="A1067" s="1" t="e">
        <f>VLOOKUP(B1067,PLANOS!A:B,2,0)&amp;D1067&amp;C1067</f>
        <v>#N/A</v>
      </c>
      <c r="B1067" s="1"/>
      <c r="C1067" s="1"/>
      <c r="D1067" s="155"/>
      <c r="F1067" s="1"/>
      <c r="G1067" s="1"/>
    </row>
    <row r="1068" spans="1:7">
      <c r="A1068" s="1" t="e">
        <f>VLOOKUP(B1068,PLANOS!A:B,2,0)&amp;D1068&amp;C1068</f>
        <v>#N/A</v>
      </c>
      <c r="B1068" s="1"/>
      <c r="C1068" s="1"/>
      <c r="D1068" s="155"/>
      <c r="F1068" s="1"/>
      <c r="G1068" s="1"/>
    </row>
    <row r="1069" spans="1:7">
      <c r="A1069" s="1" t="e">
        <f>VLOOKUP(B1069,PLANOS!A:B,2,0)&amp;D1069&amp;C1069</f>
        <v>#N/A</v>
      </c>
      <c r="B1069" s="1"/>
      <c r="C1069" s="1"/>
      <c r="D1069" s="155"/>
      <c r="F1069" s="1"/>
      <c r="G1069" s="1"/>
    </row>
    <row r="1070" spans="1:7">
      <c r="A1070" s="1" t="e">
        <f>VLOOKUP(B1070,PLANOS!A:B,2,0)&amp;D1070&amp;C1070</f>
        <v>#N/A</v>
      </c>
      <c r="B1070" s="1"/>
      <c r="C1070" s="1"/>
      <c r="D1070" s="155"/>
      <c r="F1070" s="1"/>
      <c r="G1070" s="1"/>
    </row>
    <row r="1071" spans="1:7">
      <c r="A1071" s="1" t="e">
        <f>VLOOKUP(B1071,PLANOS!A:B,2,0)&amp;D1071&amp;C1071</f>
        <v>#N/A</v>
      </c>
      <c r="B1071" s="1"/>
      <c r="C1071" s="1"/>
      <c r="D1071" s="155"/>
      <c r="F1071" s="1"/>
      <c r="G1071" s="1"/>
    </row>
    <row r="1072" spans="1:7">
      <c r="A1072" s="1" t="e">
        <f>VLOOKUP(B1072,PLANOS!A:B,2,0)&amp;D1072&amp;C1072</f>
        <v>#N/A</v>
      </c>
      <c r="B1072" s="1"/>
      <c r="C1072" s="1"/>
      <c r="D1072" s="155"/>
      <c r="F1072" s="1"/>
      <c r="G1072" s="1"/>
    </row>
    <row r="1073" spans="1:7">
      <c r="A1073" s="1" t="e">
        <f>VLOOKUP(B1073,PLANOS!A:B,2,0)&amp;D1073&amp;C1073</f>
        <v>#N/A</v>
      </c>
      <c r="B1073" s="1"/>
      <c r="C1073" s="1"/>
      <c r="D1073" s="155"/>
      <c r="F1073" s="1"/>
      <c r="G1073" s="1"/>
    </row>
    <row r="1074" spans="1:7">
      <c r="A1074" s="1" t="e">
        <f>VLOOKUP(B1074,PLANOS!A:B,2,0)&amp;D1074&amp;C1074</f>
        <v>#N/A</v>
      </c>
      <c r="B1074" s="1"/>
      <c r="C1074" s="1"/>
      <c r="D1074" s="155"/>
      <c r="F1074" s="1"/>
      <c r="G1074" s="1"/>
    </row>
    <row r="1075" spans="1:7">
      <c r="A1075" s="1" t="e">
        <f>VLOOKUP(B1075,PLANOS!A:B,2,0)&amp;D1075&amp;C1075</f>
        <v>#N/A</v>
      </c>
      <c r="B1075" s="1"/>
      <c r="C1075" s="1"/>
      <c r="D1075" s="155"/>
      <c r="F1075" s="1"/>
      <c r="G1075" s="1"/>
    </row>
    <row r="1076" spans="1:7">
      <c r="A1076" s="1" t="e">
        <f>VLOOKUP(B1076,PLANOS!A:B,2,0)&amp;D1076&amp;C1076</f>
        <v>#N/A</v>
      </c>
      <c r="B1076" s="1"/>
      <c r="C1076" s="1"/>
      <c r="D1076" s="155"/>
      <c r="F1076" s="1"/>
      <c r="G1076" s="1"/>
    </row>
    <row r="1077" spans="1:7">
      <c r="A1077" s="1" t="e">
        <f>VLOOKUP(B1077,PLANOS!A:B,2,0)&amp;D1077&amp;C1077</f>
        <v>#N/A</v>
      </c>
      <c r="B1077" s="1"/>
      <c r="C1077" s="1"/>
      <c r="D1077" s="155"/>
      <c r="F1077" s="1"/>
      <c r="G1077" s="1"/>
    </row>
    <row r="1078" spans="1:7">
      <c r="A1078" s="1" t="e">
        <f>VLOOKUP(B1078,PLANOS!A:B,2,0)&amp;D1078&amp;C1078</f>
        <v>#N/A</v>
      </c>
      <c r="B1078" s="1"/>
      <c r="C1078" s="1"/>
      <c r="D1078" s="155"/>
      <c r="F1078" s="1"/>
      <c r="G1078" s="1"/>
    </row>
    <row r="1079" spans="1:7">
      <c r="A1079" s="1" t="e">
        <f>VLOOKUP(B1079,PLANOS!A:B,2,0)&amp;D1079&amp;C1079</f>
        <v>#N/A</v>
      </c>
      <c r="B1079" s="1"/>
      <c r="C1079" s="1"/>
      <c r="D1079" s="155"/>
      <c r="F1079" s="1"/>
      <c r="G1079" s="1"/>
    </row>
    <row r="1080" spans="1:7">
      <c r="A1080" s="1" t="e">
        <f>VLOOKUP(B1080,PLANOS!A:B,2,0)&amp;D1080&amp;C1080</f>
        <v>#N/A</v>
      </c>
      <c r="B1080" s="1"/>
      <c r="C1080" s="1"/>
      <c r="D1080" s="155"/>
      <c r="F1080" s="1"/>
      <c r="G1080" s="1"/>
    </row>
    <row r="1081" spans="1:7">
      <c r="A1081" s="1" t="e">
        <f>VLOOKUP(B1081,PLANOS!A:B,2,0)&amp;D1081&amp;C1081</f>
        <v>#N/A</v>
      </c>
      <c r="B1081" s="1"/>
      <c r="C1081" s="1"/>
      <c r="D1081" s="155"/>
      <c r="F1081" s="1"/>
      <c r="G1081" s="1"/>
    </row>
    <row r="1082" spans="1:7">
      <c r="A1082" s="1" t="e">
        <f>VLOOKUP(B1082,PLANOS!A:B,2,0)&amp;D1082&amp;C1082</f>
        <v>#N/A</v>
      </c>
      <c r="B1082" s="1"/>
      <c r="C1082" s="1"/>
      <c r="D1082" s="155"/>
      <c r="F1082" s="1"/>
      <c r="G1082" s="1"/>
    </row>
    <row r="1083" spans="1:7">
      <c r="A1083" s="1" t="e">
        <f>VLOOKUP(B1083,PLANOS!A:B,2,0)&amp;D1083&amp;C1083</f>
        <v>#N/A</v>
      </c>
      <c r="B1083" s="1"/>
      <c r="C1083" s="1"/>
      <c r="D1083" s="155"/>
      <c r="F1083" s="1"/>
      <c r="G1083" s="1"/>
    </row>
    <row r="1084" spans="1:7">
      <c r="A1084" s="1" t="e">
        <f>VLOOKUP(B1084,PLANOS!A:B,2,0)&amp;D1084&amp;C1084</f>
        <v>#N/A</v>
      </c>
      <c r="B1084" s="1"/>
      <c r="C1084" s="1"/>
      <c r="D1084" s="155"/>
      <c r="F1084" s="1"/>
      <c r="G1084" s="1"/>
    </row>
    <row r="1085" spans="1:7">
      <c r="A1085" s="1" t="e">
        <f>VLOOKUP(B1085,PLANOS!A:B,2,0)&amp;D1085&amp;C1085</f>
        <v>#N/A</v>
      </c>
      <c r="B1085" s="1"/>
      <c r="C1085" s="1"/>
      <c r="D1085" s="155"/>
      <c r="F1085" s="1"/>
      <c r="G1085" s="1"/>
    </row>
    <row r="1086" spans="1:7">
      <c r="A1086" s="1" t="e">
        <f>VLOOKUP(B1086,PLANOS!A:B,2,0)&amp;D1086&amp;C1086</f>
        <v>#N/A</v>
      </c>
      <c r="B1086" s="1"/>
      <c r="C1086" s="1"/>
      <c r="D1086" s="155"/>
      <c r="F1086" s="1"/>
      <c r="G1086" s="1"/>
    </row>
    <row r="1087" spans="1:7">
      <c r="A1087" s="1" t="e">
        <f>VLOOKUP(B1087,PLANOS!A:B,2,0)&amp;D1087&amp;C1087</f>
        <v>#N/A</v>
      </c>
      <c r="B1087" s="1"/>
      <c r="C1087" s="1"/>
      <c r="D1087" s="155"/>
      <c r="F1087" s="1"/>
      <c r="G1087" s="1"/>
    </row>
    <row r="1088" spans="1:7">
      <c r="A1088" s="1" t="e">
        <f>VLOOKUP(B1088,PLANOS!A:B,2,0)&amp;D1088&amp;C1088</f>
        <v>#N/A</v>
      </c>
      <c r="B1088" s="1"/>
      <c r="C1088" s="1"/>
      <c r="D1088" s="155"/>
      <c r="F1088" s="1"/>
      <c r="G1088" s="1"/>
    </row>
    <row r="1089" spans="1:7">
      <c r="A1089" s="1" t="e">
        <f>VLOOKUP(B1089,PLANOS!A:B,2,0)&amp;D1089&amp;C1089</f>
        <v>#N/A</v>
      </c>
      <c r="B1089" s="1"/>
      <c r="C1089" s="1"/>
      <c r="D1089" s="155"/>
      <c r="F1089" s="1"/>
      <c r="G1089" s="1"/>
    </row>
    <row r="1090" spans="1:7">
      <c r="A1090" s="1" t="e">
        <f>VLOOKUP(B1090,PLANOS!A:B,2,0)&amp;D1090&amp;C1090</f>
        <v>#N/A</v>
      </c>
      <c r="B1090" s="1"/>
      <c r="C1090" s="1"/>
      <c r="D1090" s="155"/>
      <c r="F1090" s="1"/>
      <c r="G1090" s="1"/>
    </row>
    <row r="1091" spans="1:7">
      <c r="A1091" s="1" t="e">
        <f>VLOOKUP(B1091,PLANOS!A:B,2,0)&amp;D1091&amp;C1091</f>
        <v>#N/A</v>
      </c>
      <c r="B1091" s="1"/>
      <c r="C1091" s="1"/>
      <c r="D1091" s="155"/>
      <c r="F1091" s="1"/>
      <c r="G1091" s="1"/>
    </row>
    <row r="1092" spans="1:7">
      <c r="A1092" s="1" t="e">
        <f>VLOOKUP(B1092,PLANOS!A:B,2,0)&amp;D1092&amp;C1092</f>
        <v>#N/A</v>
      </c>
      <c r="B1092" s="1"/>
      <c r="C1092" s="1"/>
      <c r="D1092" s="155"/>
      <c r="F1092" s="1"/>
      <c r="G1092" s="1"/>
    </row>
    <row r="1093" spans="1:7">
      <c r="A1093" s="1" t="e">
        <f>VLOOKUP(B1093,PLANOS!A:B,2,0)&amp;D1093&amp;C1093</f>
        <v>#N/A</v>
      </c>
      <c r="B1093" s="1"/>
      <c r="C1093" s="1"/>
      <c r="D1093" s="155"/>
      <c r="F1093" s="1"/>
      <c r="G1093" s="1"/>
    </row>
    <row r="1094" spans="1:7">
      <c r="A1094" s="1" t="e">
        <f>VLOOKUP(B1094,PLANOS!A:B,2,0)&amp;D1094&amp;C1094</f>
        <v>#N/A</v>
      </c>
      <c r="B1094" s="1"/>
      <c r="C1094" s="1"/>
      <c r="D1094" s="155"/>
      <c r="F1094" s="1"/>
      <c r="G1094" s="1"/>
    </row>
    <row r="1095" spans="1:7">
      <c r="A1095" s="1" t="e">
        <f>VLOOKUP(B1095,PLANOS!A:B,2,0)&amp;D1095&amp;C1095</f>
        <v>#N/A</v>
      </c>
      <c r="B1095" s="1"/>
      <c r="C1095" s="1"/>
      <c r="D1095" s="155"/>
      <c r="F1095" s="1"/>
      <c r="G1095" s="1"/>
    </row>
    <row r="1096" spans="1:7">
      <c r="A1096" s="1" t="e">
        <f>VLOOKUP(B1096,PLANOS!A:B,2,0)&amp;D1096&amp;C1096</f>
        <v>#N/A</v>
      </c>
      <c r="B1096" s="1"/>
      <c r="C1096" s="1"/>
      <c r="D1096" s="155"/>
      <c r="F1096" s="1"/>
      <c r="G1096" s="1"/>
    </row>
    <row r="1097" spans="1:7">
      <c r="A1097" s="1" t="e">
        <f>VLOOKUP(B1097,PLANOS!A:B,2,0)&amp;D1097&amp;C1097</f>
        <v>#N/A</v>
      </c>
      <c r="B1097" s="1"/>
      <c r="C1097" s="1"/>
      <c r="D1097" s="155"/>
      <c r="F1097" s="1"/>
      <c r="G1097" s="1"/>
    </row>
    <row r="1098" spans="1:7">
      <c r="A1098" s="1" t="e">
        <f>VLOOKUP(B1098,PLANOS!A:B,2,0)&amp;D1098&amp;C1098</f>
        <v>#N/A</v>
      </c>
      <c r="B1098" s="1"/>
      <c r="C1098" s="1"/>
      <c r="D1098" s="155"/>
      <c r="F1098" s="1"/>
      <c r="G1098" s="1"/>
    </row>
    <row r="1099" spans="1:7">
      <c r="A1099" s="1" t="e">
        <f>VLOOKUP(B1099,PLANOS!A:B,2,0)&amp;D1099&amp;C1099</f>
        <v>#N/A</v>
      </c>
      <c r="B1099" s="1"/>
      <c r="C1099" s="1"/>
      <c r="D1099" s="155"/>
      <c r="F1099" s="1"/>
      <c r="G1099" s="1"/>
    </row>
    <row r="1100" spans="1:7">
      <c r="A1100" s="1" t="e">
        <f>VLOOKUP(B1100,PLANOS!A:B,2,0)&amp;D1100&amp;C1100</f>
        <v>#N/A</v>
      </c>
      <c r="B1100" s="1"/>
      <c r="C1100" s="1"/>
      <c r="D1100" s="155"/>
      <c r="F1100" s="1"/>
      <c r="G1100" s="1"/>
    </row>
    <row r="1101" spans="1:7">
      <c r="A1101" s="1" t="e">
        <f>VLOOKUP(B1101,PLANOS!A:B,2,0)&amp;D1101&amp;C1101</f>
        <v>#N/A</v>
      </c>
      <c r="B1101" s="1"/>
      <c r="C1101" s="1"/>
      <c r="D1101" s="155"/>
      <c r="F1101" s="1"/>
      <c r="G1101" s="1"/>
    </row>
    <row r="1102" spans="1:7">
      <c r="A1102" s="1" t="e">
        <f>VLOOKUP(B1102,PLANOS!A:B,2,0)&amp;D1102&amp;C1102</f>
        <v>#N/A</v>
      </c>
      <c r="B1102" s="1"/>
      <c r="C1102" s="1"/>
      <c r="D1102" s="155"/>
      <c r="F1102" s="1"/>
      <c r="G1102" s="1"/>
    </row>
    <row r="1103" spans="1:7">
      <c r="A1103" s="1" t="e">
        <f>VLOOKUP(B1103,PLANOS!A:B,2,0)&amp;D1103&amp;C1103</f>
        <v>#N/A</v>
      </c>
      <c r="B1103" s="1"/>
      <c r="C1103" s="1"/>
      <c r="D1103" s="155"/>
      <c r="F1103" s="1"/>
      <c r="G1103" s="1"/>
    </row>
    <row r="1104" spans="1:7">
      <c r="A1104" s="1" t="e">
        <f>VLOOKUP(B1104,PLANOS!A:B,2,0)&amp;D1104&amp;C1104</f>
        <v>#N/A</v>
      </c>
      <c r="B1104" s="1"/>
      <c r="C1104" s="1"/>
      <c r="D1104" s="155"/>
      <c r="F1104" s="1"/>
      <c r="G1104" s="1"/>
    </row>
    <row r="1105" spans="1:7">
      <c r="A1105" s="1" t="e">
        <f>VLOOKUP(B1105,PLANOS!A:B,2,0)&amp;D1105&amp;C1105</f>
        <v>#N/A</v>
      </c>
      <c r="B1105" s="1"/>
      <c r="C1105" s="1"/>
      <c r="D1105" s="155"/>
      <c r="F1105" s="1"/>
      <c r="G1105" s="1"/>
    </row>
    <row r="1106" spans="1:7">
      <c r="A1106" s="1" t="e">
        <f>VLOOKUP(B1106,PLANOS!A:B,2,0)&amp;D1106&amp;C1106</f>
        <v>#N/A</v>
      </c>
      <c r="B1106" s="1"/>
      <c r="C1106" s="1"/>
      <c r="D1106" s="155"/>
      <c r="F1106" s="1"/>
      <c r="G1106" s="1"/>
    </row>
    <row r="1107" spans="1:7">
      <c r="A1107" s="1" t="e">
        <f>VLOOKUP(B1107,PLANOS!A:B,2,0)&amp;D1107&amp;C1107</f>
        <v>#N/A</v>
      </c>
      <c r="B1107" s="1"/>
      <c r="C1107" s="1"/>
      <c r="D1107" s="155"/>
      <c r="F1107" s="1"/>
      <c r="G1107" s="1"/>
    </row>
    <row r="1108" spans="1:7">
      <c r="A1108" s="1" t="e">
        <f>VLOOKUP(B1108,PLANOS!A:B,2,0)&amp;D1108&amp;C1108</f>
        <v>#N/A</v>
      </c>
      <c r="B1108" s="1"/>
      <c r="C1108" s="1"/>
      <c r="D1108" s="155"/>
      <c r="F1108" s="1"/>
      <c r="G1108" s="1"/>
    </row>
    <row r="1109" spans="1:7">
      <c r="A1109" s="1" t="e">
        <f>VLOOKUP(B1109,PLANOS!A:B,2,0)&amp;D1109&amp;C1109</f>
        <v>#N/A</v>
      </c>
      <c r="B1109" s="1"/>
      <c r="C1109" s="1"/>
      <c r="D1109" s="155"/>
      <c r="F1109" s="1"/>
      <c r="G1109" s="1"/>
    </row>
    <row r="1110" spans="1:7">
      <c r="A1110" s="1" t="e">
        <f>VLOOKUP(B1110,PLANOS!A:B,2,0)&amp;D1110&amp;C1110</f>
        <v>#N/A</v>
      </c>
      <c r="B1110" s="1"/>
      <c r="C1110" s="1"/>
      <c r="D1110" s="155"/>
      <c r="F1110" s="1"/>
      <c r="G1110" s="1"/>
    </row>
    <row r="1111" spans="1:7">
      <c r="A1111" s="1" t="e">
        <f>VLOOKUP(B1111,PLANOS!A:B,2,0)&amp;D1111&amp;C1111</f>
        <v>#N/A</v>
      </c>
      <c r="B1111" s="1"/>
      <c r="C1111" s="1"/>
      <c r="D1111" s="155"/>
      <c r="F1111" s="1"/>
      <c r="G1111" s="1"/>
    </row>
    <row r="1112" spans="1:7">
      <c r="A1112" s="1" t="e">
        <f>VLOOKUP(B1112,PLANOS!A:B,2,0)&amp;D1112&amp;C1112</f>
        <v>#N/A</v>
      </c>
      <c r="B1112" s="1"/>
      <c r="C1112" s="1"/>
      <c r="D1112" s="155"/>
      <c r="F1112" s="1"/>
      <c r="G1112" s="1"/>
    </row>
    <row r="1113" spans="1:7">
      <c r="A1113" s="1" t="e">
        <f>VLOOKUP(B1113,PLANOS!A:B,2,0)&amp;D1113&amp;C1113</f>
        <v>#N/A</v>
      </c>
      <c r="B1113" s="1"/>
      <c r="C1113" s="1"/>
      <c r="D1113" s="155"/>
      <c r="F1113" s="1"/>
      <c r="G1113" s="1"/>
    </row>
    <row r="1114" spans="1:7">
      <c r="A1114" s="1" t="e">
        <f>VLOOKUP(B1114,PLANOS!A:B,2,0)&amp;D1114&amp;C1114</f>
        <v>#N/A</v>
      </c>
      <c r="B1114" s="1"/>
      <c r="C1114" s="1"/>
      <c r="D1114" s="155"/>
      <c r="F1114" s="1"/>
      <c r="G1114" s="1"/>
    </row>
    <row r="1115" spans="1:7">
      <c r="A1115" s="1" t="e">
        <f>VLOOKUP(B1115,PLANOS!A:B,2,0)&amp;D1115&amp;C1115</f>
        <v>#N/A</v>
      </c>
      <c r="B1115" s="1"/>
      <c r="C1115" s="1"/>
      <c r="D1115" s="155"/>
      <c r="F1115" s="1"/>
      <c r="G1115" s="1"/>
    </row>
    <row r="1116" spans="1:7">
      <c r="A1116" s="1" t="e">
        <f>VLOOKUP(B1116,PLANOS!A:B,2,0)&amp;D1116&amp;C1116</f>
        <v>#N/A</v>
      </c>
      <c r="B1116" s="1"/>
      <c r="C1116" s="1"/>
      <c r="D1116" s="155"/>
      <c r="F1116" s="1"/>
      <c r="G1116" s="1"/>
    </row>
    <row r="1117" spans="1:7">
      <c r="A1117" s="1" t="e">
        <f>VLOOKUP(B1117,PLANOS!A:B,2,0)&amp;D1117&amp;C1117</f>
        <v>#N/A</v>
      </c>
      <c r="B1117" s="1"/>
      <c r="C1117" s="1"/>
      <c r="D1117" s="155"/>
      <c r="F1117" s="1"/>
      <c r="G1117" s="1"/>
    </row>
    <row r="1118" spans="1:7">
      <c r="A1118" s="1" t="e">
        <f>VLOOKUP(B1118,PLANOS!A:B,2,0)&amp;D1118&amp;C1118</f>
        <v>#N/A</v>
      </c>
      <c r="B1118" s="1"/>
      <c r="C1118" s="1"/>
      <c r="D1118" s="155"/>
      <c r="F1118" s="1"/>
      <c r="G1118" s="1"/>
    </row>
    <row r="1119" spans="1:7">
      <c r="A1119" s="1" t="e">
        <f>VLOOKUP(B1119,PLANOS!A:B,2,0)&amp;D1119&amp;C1119</f>
        <v>#N/A</v>
      </c>
      <c r="B1119" s="1"/>
      <c r="C1119" s="1"/>
      <c r="D1119" s="155"/>
      <c r="F1119" s="1"/>
      <c r="G1119" s="1"/>
    </row>
    <row r="1120" spans="1:7">
      <c r="A1120" s="1" t="e">
        <f>VLOOKUP(B1120,PLANOS!A:B,2,0)&amp;D1120&amp;C1120</f>
        <v>#N/A</v>
      </c>
      <c r="B1120" s="1"/>
      <c r="C1120" s="1"/>
      <c r="D1120" s="155"/>
      <c r="F1120" s="1"/>
      <c r="G1120" s="1"/>
    </row>
    <row r="1121" spans="1:7">
      <c r="A1121" s="1" t="e">
        <f>VLOOKUP(B1121,PLANOS!A:B,2,0)&amp;D1121&amp;C1121</f>
        <v>#N/A</v>
      </c>
      <c r="B1121" s="1"/>
      <c r="C1121" s="1"/>
      <c r="D1121" s="155"/>
      <c r="F1121" s="1"/>
      <c r="G1121" s="1"/>
    </row>
    <row r="1122" spans="1:7">
      <c r="A1122" s="1" t="e">
        <f>VLOOKUP(B1122,PLANOS!A:B,2,0)&amp;D1122&amp;C1122</f>
        <v>#N/A</v>
      </c>
      <c r="B1122" s="1"/>
      <c r="C1122" s="1"/>
      <c r="D1122" s="155"/>
      <c r="F1122" s="1"/>
      <c r="G1122" s="1"/>
    </row>
    <row r="1123" spans="1:7">
      <c r="A1123" s="1" t="e">
        <f>VLOOKUP(B1123,PLANOS!A:B,2,0)&amp;D1123&amp;C1123</f>
        <v>#N/A</v>
      </c>
      <c r="B1123" s="1"/>
      <c r="C1123" s="1"/>
      <c r="D1123" s="155"/>
      <c r="F1123" s="1"/>
      <c r="G1123" s="1"/>
    </row>
    <row r="1124" spans="1:7">
      <c r="A1124" s="1" t="e">
        <f>VLOOKUP(B1124,PLANOS!A:B,2,0)&amp;D1124&amp;C1124</f>
        <v>#N/A</v>
      </c>
      <c r="B1124" s="1"/>
      <c r="C1124" s="1"/>
      <c r="D1124" s="155"/>
      <c r="F1124" s="1"/>
      <c r="G1124" s="1"/>
    </row>
    <row r="1125" spans="1:7">
      <c r="A1125" s="1" t="e">
        <f>VLOOKUP(B1125,PLANOS!A:B,2,0)&amp;D1125&amp;C1125</f>
        <v>#N/A</v>
      </c>
      <c r="B1125" s="1"/>
      <c r="C1125" s="1"/>
      <c r="D1125" s="155"/>
      <c r="F1125" s="1"/>
      <c r="G1125" s="1"/>
    </row>
    <row r="1126" spans="1:7">
      <c r="A1126" s="1" t="e">
        <f>VLOOKUP(B1126,PLANOS!A:B,2,0)&amp;D1126&amp;C1126</f>
        <v>#N/A</v>
      </c>
      <c r="B1126" s="1"/>
      <c r="C1126" s="1"/>
      <c r="D1126" s="155"/>
      <c r="F1126" s="1"/>
      <c r="G1126" s="1"/>
    </row>
    <row r="1127" spans="1:7">
      <c r="A1127" s="1" t="e">
        <f>VLOOKUP(B1127,PLANOS!A:B,2,0)&amp;D1127&amp;C1127</f>
        <v>#N/A</v>
      </c>
      <c r="B1127" s="1"/>
      <c r="C1127" s="1"/>
      <c r="D1127" s="155"/>
      <c r="F1127" s="1"/>
      <c r="G1127" s="1"/>
    </row>
    <row r="1128" spans="1:7">
      <c r="A1128" s="1" t="e">
        <f>VLOOKUP(B1128,PLANOS!A:B,2,0)&amp;D1128&amp;C1128</f>
        <v>#N/A</v>
      </c>
      <c r="B1128" s="1"/>
      <c r="C1128" s="1"/>
      <c r="D1128" s="155"/>
      <c r="F1128" s="1"/>
      <c r="G1128" s="1"/>
    </row>
    <row r="1129" spans="1:7">
      <c r="A1129" s="1" t="e">
        <f>VLOOKUP(B1129,PLANOS!A:B,2,0)&amp;D1129&amp;C1129</f>
        <v>#N/A</v>
      </c>
      <c r="B1129" s="1"/>
      <c r="C1129" s="1"/>
      <c r="D1129" s="155"/>
      <c r="F1129" s="1"/>
      <c r="G1129" s="1"/>
    </row>
    <row r="1130" spans="1:7">
      <c r="A1130" s="1" t="e">
        <f>VLOOKUP(B1130,PLANOS!A:B,2,0)&amp;D1130&amp;C1130</f>
        <v>#N/A</v>
      </c>
      <c r="B1130" s="1"/>
      <c r="C1130" s="1"/>
      <c r="D1130" s="155"/>
      <c r="F1130" s="1"/>
      <c r="G1130" s="1"/>
    </row>
    <row r="1131" spans="1:7">
      <c r="A1131" s="1" t="e">
        <f>VLOOKUP(B1131,PLANOS!A:B,2,0)&amp;D1131&amp;C1131</f>
        <v>#N/A</v>
      </c>
      <c r="B1131" s="1"/>
      <c r="C1131" s="1"/>
      <c r="D1131" s="155"/>
      <c r="F1131" s="1"/>
      <c r="G1131" s="1"/>
    </row>
    <row r="1132" spans="1:7">
      <c r="A1132" s="1" t="e">
        <f>VLOOKUP(B1132,PLANOS!A:B,2,0)&amp;D1132&amp;C1132</f>
        <v>#N/A</v>
      </c>
      <c r="B1132" s="1"/>
      <c r="C1132" s="1"/>
      <c r="D1132" s="155"/>
      <c r="F1132" s="1"/>
      <c r="G1132" s="1"/>
    </row>
    <row r="1133" spans="1:7">
      <c r="A1133" s="1" t="e">
        <f>VLOOKUP(B1133,PLANOS!A:B,2,0)&amp;D1133&amp;C1133</f>
        <v>#N/A</v>
      </c>
      <c r="B1133" s="1"/>
      <c r="C1133" s="1"/>
      <c r="D1133" s="155"/>
      <c r="F1133" s="1"/>
      <c r="G1133" s="1"/>
    </row>
    <row r="1134" spans="1:7">
      <c r="A1134" s="1" t="e">
        <f>VLOOKUP(B1134,PLANOS!A:B,2,0)&amp;D1134&amp;C1134</f>
        <v>#N/A</v>
      </c>
      <c r="B1134" s="1"/>
      <c r="C1134" s="1"/>
      <c r="D1134" s="155"/>
      <c r="F1134" s="1"/>
      <c r="G1134" s="1"/>
    </row>
    <row r="1135" spans="1:7">
      <c r="A1135" s="1" t="e">
        <f>VLOOKUP(B1135,PLANOS!A:B,2,0)&amp;D1135&amp;C1135</f>
        <v>#N/A</v>
      </c>
      <c r="B1135" s="1"/>
      <c r="C1135" s="1"/>
      <c r="D1135" s="155"/>
      <c r="F1135" s="1"/>
      <c r="G1135" s="1"/>
    </row>
    <row r="1136" spans="1:7">
      <c r="A1136" s="1" t="e">
        <f>VLOOKUP(B1136,PLANOS!A:B,2,0)&amp;D1136&amp;C1136</f>
        <v>#N/A</v>
      </c>
      <c r="B1136" s="1"/>
      <c r="C1136" s="1"/>
      <c r="D1136" s="155"/>
      <c r="F1136" s="1"/>
      <c r="G1136" s="1"/>
    </row>
    <row r="1137" spans="1:7">
      <c r="A1137" s="1" t="e">
        <f>VLOOKUP(B1137,PLANOS!A:B,2,0)&amp;D1137&amp;C1137</f>
        <v>#N/A</v>
      </c>
      <c r="B1137" s="1"/>
      <c r="C1137" s="1"/>
      <c r="D1137" s="155"/>
      <c r="F1137" s="1"/>
      <c r="G1137" s="1"/>
    </row>
    <row r="1138" spans="1:7">
      <c r="A1138" s="1" t="e">
        <f>VLOOKUP(B1138,PLANOS!A:B,2,0)&amp;D1138&amp;C1138</f>
        <v>#N/A</v>
      </c>
      <c r="B1138" s="1"/>
      <c r="C1138" s="1"/>
      <c r="D1138" s="155"/>
      <c r="F1138" s="1"/>
      <c r="G1138" s="1"/>
    </row>
    <row r="1139" spans="1:7">
      <c r="A1139" s="1" t="e">
        <f>VLOOKUP(B1139,PLANOS!A:B,2,0)&amp;D1139&amp;C1139</f>
        <v>#N/A</v>
      </c>
      <c r="B1139" s="1"/>
      <c r="C1139" s="1"/>
      <c r="D1139" s="155"/>
      <c r="F1139" s="1"/>
      <c r="G1139" s="1"/>
    </row>
    <row r="1140" spans="1:7">
      <c r="A1140" s="1" t="e">
        <f>VLOOKUP(B1140,PLANOS!A:B,2,0)&amp;D1140&amp;C1140</f>
        <v>#N/A</v>
      </c>
      <c r="B1140" s="1"/>
      <c r="C1140" s="1"/>
      <c r="D1140" s="155"/>
      <c r="F1140" s="1"/>
      <c r="G1140" s="1"/>
    </row>
    <row r="1141" spans="1:7">
      <c r="A1141" s="1" t="e">
        <f>VLOOKUP(B1141,PLANOS!A:B,2,0)&amp;D1141&amp;C1141</f>
        <v>#N/A</v>
      </c>
      <c r="B1141" s="1"/>
      <c r="C1141" s="1"/>
      <c r="D1141" s="155"/>
      <c r="F1141" s="1"/>
      <c r="G1141" s="1"/>
    </row>
    <row r="1142" spans="1:7">
      <c r="A1142" s="1" t="e">
        <f>VLOOKUP(B1142,PLANOS!A:B,2,0)&amp;D1142&amp;C1142</f>
        <v>#N/A</v>
      </c>
      <c r="B1142" s="1"/>
      <c r="C1142" s="1"/>
      <c r="D1142" s="155"/>
      <c r="F1142" s="1"/>
      <c r="G1142" s="1"/>
    </row>
    <row r="1143" spans="1:7">
      <c r="A1143" s="1" t="e">
        <f>VLOOKUP(B1143,PLANOS!A:B,2,0)&amp;D1143&amp;C1143</f>
        <v>#N/A</v>
      </c>
      <c r="B1143" s="1"/>
      <c r="C1143" s="1"/>
      <c r="D1143" s="155"/>
      <c r="F1143" s="1"/>
      <c r="G1143" s="1"/>
    </row>
    <row r="1144" spans="1:7">
      <c r="A1144" s="1" t="e">
        <f>VLOOKUP(B1144,PLANOS!A:B,2,0)&amp;D1144&amp;C1144</f>
        <v>#N/A</v>
      </c>
      <c r="B1144" s="1"/>
      <c r="C1144" s="1"/>
      <c r="D1144" s="155"/>
      <c r="F1144" s="1"/>
      <c r="G1144" s="1"/>
    </row>
    <row r="1145" spans="1:7">
      <c r="A1145" s="1" t="e">
        <f>VLOOKUP(B1145,PLANOS!A:B,2,0)&amp;D1145&amp;C1145</f>
        <v>#N/A</v>
      </c>
      <c r="B1145" s="1"/>
      <c r="C1145" s="1"/>
      <c r="D1145" s="155"/>
      <c r="F1145" s="1"/>
      <c r="G1145" s="1"/>
    </row>
    <row r="1146" spans="1:7">
      <c r="A1146" s="1" t="e">
        <f>VLOOKUP(B1146,PLANOS!A:B,2,0)&amp;D1146&amp;C1146</f>
        <v>#N/A</v>
      </c>
      <c r="B1146" s="1"/>
      <c r="C1146" s="1"/>
      <c r="D1146" s="155"/>
      <c r="F1146" s="1"/>
      <c r="G1146" s="1"/>
    </row>
    <row r="1147" spans="1:7">
      <c r="A1147" s="1" t="e">
        <f>VLOOKUP(B1147,PLANOS!A:B,2,0)&amp;D1147&amp;C1147</f>
        <v>#N/A</v>
      </c>
      <c r="B1147" s="1"/>
      <c r="C1147" s="1"/>
      <c r="D1147" s="155"/>
      <c r="F1147" s="1"/>
      <c r="G1147" s="1"/>
    </row>
    <row r="1148" spans="1:7">
      <c r="A1148" s="1" t="e">
        <f>VLOOKUP(B1148,PLANOS!A:B,2,0)&amp;D1148&amp;C1148</f>
        <v>#N/A</v>
      </c>
      <c r="B1148" s="1"/>
      <c r="C1148" s="1"/>
      <c r="D1148" s="155"/>
      <c r="F1148" s="1"/>
      <c r="G1148" s="1"/>
    </row>
    <row r="1149" spans="1:7">
      <c r="A1149" s="1" t="e">
        <f>VLOOKUP(B1149,PLANOS!A:B,2,0)&amp;D1149&amp;C1149</f>
        <v>#N/A</v>
      </c>
      <c r="B1149" s="1"/>
      <c r="C1149" s="1"/>
      <c r="D1149" s="155"/>
      <c r="F1149" s="1"/>
      <c r="G1149" s="1"/>
    </row>
    <row r="1150" spans="1:7">
      <c r="A1150" s="1" t="e">
        <f>VLOOKUP(B1150,PLANOS!A:B,2,0)&amp;D1150&amp;C1150</f>
        <v>#N/A</v>
      </c>
      <c r="B1150" s="1"/>
      <c r="C1150" s="1"/>
      <c r="D1150" s="155"/>
      <c r="F1150" s="1"/>
      <c r="G1150" s="1"/>
    </row>
    <row r="1151" spans="1:7">
      <c r="A1151" s="1" t="e">
        <f>VLOOKUP(B1151,PLANOS!A:B,2,0)&amp;D1151&amp;C1151</f>
        <v>#N/A</v>
      </c>
      <c r="B1151" s="1"/>
      <c r="C1151" s="1"/>
      <c r="D1151" s="155"/>
      <c r="F1151" s="1"/>
      <c r="G1151" s="1"/>
    </row>
    <row r="1152" spans="1:7">
      <c r="A1152" s="1" t="e">
        <f>VLOOKUP(B1152,PLANOS!A:B,2,0)&amp;D1152&amp;C1152</f>
        <v>#N/A</v>
      </c>
      <c r="B1152" s="1"/>
      <c r="C1152" s="1"/>
      <c r="D1152" s="155"/>
      <c r="F1152" s="1"/>
      <c r="G1152" s="1"/>
    </row>
    <row r="1153" spans="1:7">
      <c r="A1153" s="1" t="e">
        <f>VLOOKUP(B1153,PLANOS!A:B,2,0)&amp;D1153&amp;C1153</f>
        <v>#N/A</v>
      </c>
      <c r="B1153" s="1"/>
      <c r="C1153" s="1"/>
      <c r="D1153" s="155"/>
      <c r="F1153" s="1"/>
      <c r="G1153" s="1"/>
    </row>
    <row r="1154" spans="1:7">
      <c r="A1154" s="1" t="e">
        <f>VLOOKUP(B1154,PLANOS!A:B,2,0)&amp;D1154&amp;C1154</f>
        <v>#N/A</v>
      </c>
      <c r="B1154" s="1"/>
      <c r="C1154" s="1"/>
      <c r="D1154" s="155"/>
      <c r="F1154" s="1"/>
      <c r="G1154" s="1"/>
    </row>
    <row r="1155" spans="1:7">
      <c r="A1155" s="1" t="e">
        <f>VLOOKUP(B1155,PLANOS!A:B,2,0)&amp;D1155&amp;C1155</f>
        <v>#N/A</v>
      </c>
      <c r="B1155" s="1"/>
      <c r="C1155" s="1"/>
      <c r="D1155" s="155"/>
      <c r="F1155" s="1"/>
      <c r="G1155" s="1"/>
    </row>
    <row r="1156" spans="1:7">
      <c r="A1156" s="1" t="e">
        <f>VLOOKUP(B1156,PLANOS!A:B,2,0)&amp;D1156&amp;C1156</f>
        <v>#N/A</v>
      </c>
      <c r="B1156" s="1"/>
      <c r="C1156" s="1"/>
      <c r="D1156" s="155"/>
      <c r="F1156" s="1"/>
      <c r="G1156" s="1"/>
    </row>
    <row r="1157" spans="1:7">
      <c r="A1157" s="1" t="e">
        <f>VLOOKUP(B1157,PLANOS!A:B,2,0)&amp;D1157&amp;C1157</f>
        <v>#N/A</v>
      </c>
      <c r="B1157" s="1"/>
      <c r="C1157" s="1"/>
      <c r="D1157" s="155"/>
      <c r="F1157" s="1"/>
      <c r="G1157" s="1"/>
    </row>
    <row r="1158" spans="1:7">
      <c r="A1158" s="1" t="e">
        <f>VLOOKUP(B1158,PLANOS!A:B,2,0)&amp;D1158&amp;C1158</f>
        <v>#N/A</v>
      </c>
      <c r="B1158" s="1"/>
      <c r="C1158" s="1"/>
      <c r="D1158" s="155"/>
      <c r="F1158" s="1"/>
      <c r="G1158" s="1"/>
    </row>
    <row r="1159" spans="1:7">
      <c r="A1159" s="1" t="e">
        <f>VLOOKUP(B1159,PLANOS!A:B,2,0)&amp;D1159&amp;C1159</f>
        <v>#N/A</v>
      </c>
      <c r="B1159" s="1"/>
      <c r="C1159" s="1"/>
      <c r="D1159" s="155"/>
      <c r="F1159" s="1"/>
      <c r="G1159" s="1"/>
    </row>
    <row r="1160" spans="1:7">
      <c r="A1160" s="1" t="e">
        <f>VLOOKUP(B1160,PLANOS!A:B,2,0)&amp;D1160&amp;C1160</f>
        <v>#N/A</v>
      </c>
      <c r="B1160" s="1"/>
      <c r="C1160" s="1"/>
      <c r="D1160" s="155"/>
      <c r="F1160" s="1"/>
      <c r="G1160" s="1"/>
    </row>
    <row r="1161" spans="1:7">
      <c r="A1161" s="1" t="e">
        <f>VLOOKUP(B1161,PLANOS!A:B,2,0)&amp;D1161&amp;C1161</f>
        <v>#N/A</v>
      </c>
      <c r="B1161" s="1"/>
      <c r="C1161" s="1"/>
      <c r="D1161" s="155"/>
      <c r="F1161" s="1"/>
      <c r="G1161" s="1"/>
    </row>
    <row r="1162" spans="1:7">
      <c r="A1162" s="1" t="e">
        <f>VLOOKUP(B1162,PLANOS!A:B,2,0)&amp;D1162&amp;C1162</f>
        <v>#N/A</v>
      </c>
      <c r="B1162" s="1"/>
      <c r="C1162" s="1"/>
      <c r="D1162" s="155"/>
      <c r="F1162" s="1"/>
      <c r="G1162" s="1"/>
    </row>
    <row r="1163" spans="1:7">
      <c r="A1163" s="1" t="e">
        <f>VLOOKUP(B1163,PLANOS!A:B,2,0)&amp;D1163&amp;C1163</f>
        <v>#N/A</v>
      </c>
      <c r="B1163" s="1"/>
      <c r="C1163" s="1"/>
      <c r="D1163" s="155"/>
      <c r="F1163" s="1"/>
      <c r="G1163" s="1"/>
    </row>
    <row r="1164" spans="1:7">
      <c r="A1164" s="1" t="e">
        <f>VLOOKUP(B1164,PLANOS!A:B,2,0)&amp;D1164&amp;C1164</f>
        <v>#N/A</v>
      </c>
      <c r="B1164" s="1"/>
      <c r="C1164" s="1"/>
      <c r="D1164" s="155"/>
      <c r="F1164" s="1"/>
      <c r="G1164" s="1"/>
    </row>
    <row r="1165" spans="1:7">
      <c r="A1165" s="1" t="e">
        <f>VLOOKUP(B1165,PLANOS!A:B,2,0)&amp;D1165&amp;C1165</f>
        <v>#N/A</v>
      </c>
      <c r="B1165" s="1"/>
      <c r="C1165" s="1"/>
      <c r="D1165" s="155"/>
      <c r="F1165" s="1"/>
      <c r="G1165" s="1"/>
    </row>
    <row r="1166" spans="1:7">
      <c r="A1166" s="1" t="e">
        <f>VLOOKUP(B1166,PLANOS!A:B,2,0)&amp;D1166&amp;C1166</f>
        <v>#N/A</v>
      </c>
      <c r="B1166" s="1"/>
      <c r="C1166" s="1"/>
      <c r="D1166" s="155"/>
      <c r="F1166" s="1"/>
      <c r="G1166" s="1"/>
    </row>
    <row r="1167" spans="1:7">
      <c r="A1167" s="1" t="e">
        <f>VLOOKUP(B1167,PLANOS!A:B,2,0)&amp;D1167&amp;C1167</f>
        <v>#N/A</v>
      </c>
      <c r="B1167" s="1"/>
      <c r="C1167" s="1"/>
      <c r="D1167" s="155"/>
      <c r="F1167" s="1"/>
      <c r="G1167" s="1"/>
    </row>
    <row r="1168" spans="1:7">
      <c r="A1168" s="1" t="e">
        <f>VLOOKUP(B1168,PLANOS!A:B,2,0)&amp;D1168&amp;C1168</f>
        <v>#N/A</v>
      </c>
      <c r="B1168" s="1"/>
      <c r="C1168" s="1"/>
      <c r="D1168" s="155"/>
      <c r="F1168" s="1"/>
      <c r="G1168" s="1"/>
    </row>
    <row r="1169" spans="1:7">
      <c r="A1169" s="1" t="e">
        <f>VLOOKUP(B1169,PLANOS!A:B,2,0)&amp;D1169&amp;C1169</f>
        <v>#N/A</v>
      </c>
      <c r="B1169" s="1"/>
      <c r="C1169" s="1"/>
      <c r="D1169" s="155"/>
      <c r="F1169" s="1"/>
      <c r="G1169" s="1"/>
    </row>
    <row r="1170" spans="1:7">
      <c r="A1170" s="1" t="e">
        <f>VLOOKUP(B1170,PLANOS!A:B,2,0)&amp;D1170&amp;C1170</f>
        <v>#N/A</v>
      </c>
      <c r="B1170" s="1"/>
      <c r="C1170" s="1"/>
      <c r="D1170" s="155"/>
      <c r="F1170" s="1"/>
      <c r="G1170" s="1"/>
    </row>
    <row r="1171" spans="1:7">
      <c r="A1171" s="1"/>
    </row>
    <row r="1172" spans="1:7">
      <c r="A1172" s="1"/>
    </row>
    <row r="1173" spans="1:7">
      <c r="A1173" s="1"/>
    </row>
    <row r="1174" spans="1:7">
      <c r="A1174" s="1"/>
    </row>
    <row r="1175" spans="1:7">
      <c r="A1175" s="1"/>
    </row>
    <row r="1176" spans="1:7">
      <c r="A1176" s="1"/>
    </row>
    <row r="1177" spans="1:7">
      <c r="A1177" s="1"/>
    </row>
    <row r="1178" spans="1:7">
      <c r="A1178" s="1"/>
    </row>
    <row r="1179" spans="1:7">
      <c r="A1179" s="1"/>
    </row>
    <row r="1180" spans="1:7">
      <c r="A1180" s="1"/>
    </row>
    <row r="1181" spans="1:7">
      <c r="A1181" s="1"/>
    </row>
    <row r="1182" spans="1:7">
      <c r="A1182" s="1"/>
    </row>
    <row r="1183" spans="1:7">
      <c r="A1183" s="1"/>
    </row>
    <row r="1184" spans="1:7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</sheetData>
  <autoFilter ref="A1:G1260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tabColor theme="1"/>
  </sheetPr>
  <dimension ref="A1:F32"/>
  <sheetViews>
    <sheetView showGridLines="0" zoomScale="90" zoomScaleNormal="90" workbookViewId="0">
      <selection activeCell="B32" sqref="B32"/>
    </sheetView>
  </sheetViews>
  <sheetFormatPr defaultRowHeight="15"/>
  <cols>
    <col min="1" max="1" width="29.42578125" style="76" bestFit="1" customWidth="1"/>
    <col min="2" max="3" width="48.7109375" style="76" customWidth="1"/>
    <col min="4" max="5" width="9.140625" style="76"/>
    <col min="6" max="6" width="15.7109375" style="77" bestFit="1" customWidth="1"/>
    <col min="7" max="16384" width="9.140625" style="76"/>
  </cols>
  <sheetData>
    <row r="1" spans="1:3">
      <c r="A1" s="74" t="s">
        <v>257</v>
      </c>
      <c r="B1" s="75" t="s">
        <v>32</v>
      </c>
      <c r="C1" s="74" t="s">
        <v>237</v>
      </c>
    </row>
    <row r="2" spans="1:3">
      <c r="A2" s="78" t="s">
        <v>243</v>
      </c>
      <c r="B2" s="78" t="s">
        <v>256</v>
      </c>
      <c r="C2" s="78" t="s">
        <v>131</v>
      </c>
    </row>
    <row r="3" spans="1:3">
      <c r="A3" s="78" t="s">
        <v>244</v>
      </c>
      <c r="B3" s="78" t="s">
        <v>216</v>
      </c>
      <c r="C3" s="78" t="s">
        <v>133</v>
      </c>
    </row>
    <row r="4" spans="1:3">
      <c r="A4" s="78" t="s">
        <v>255</v>
      </c>
      <c r="B4" s="78" t="s">
        <v>217</v>
      </c>
      <c r="C4" s="78" t="s">
        <v>135</v>
      </c>
    </row>
    <row r="5" spans="1:3">
      <c r="A5" s="78" t="s">
        <v>245</v>
      </c>
      <c r="B5" s="78" t="s">
        <v>218</v>
      </c>
      <c r="C5" s="78" t="s">
        <v>137</v>
      </c>
    </row>
    <row r="6" spans="1:3">
      <c r="A6" s="78" t="s">
        <v>246</v>
      </c>
      <c r="B6" s="78" t="s">
        <v>219</v>
      </c>
      <c r="C6" s="78" t="s">
        <v>119</v>
      </c>
    </row>
    <row r="7" spans="1:3">
      <c r="A7" s="78" t="s">
        <v>247</v>
      </c>
      <c r="B7" s="78" t="s">
        <v>220</v>
      </c>
      <c r="C7" s="78" t="s">
        <v>121</v>
      </c>
    </row>
    <row r="8" spans="1:3">
      <c r="A8" s="79" t="s">
        <v>248</v>
      </c>
      <c r="B8" s="79" t="s">
        <v>221</v>
      </c>
      <c r="C8" s="79" t="s">
        <v>123</v>
      </c>
    </row>
    <row r="9" spans="1:3">
      <c r="A9" s="79" t="s">
        <v>249</v>
      </c>
      <c r="B9" s="79" t="s">
        <v>222</v>
      </c>
      <c r="C9" s="79" t="s">
        <v>125</v>
      </c>
    </row>
    <row r="10" spans="1:3">
      <c r="A10" s="79" t="s">
        <v>250</v>
      </c>
      <c r="B10" s="79" t="s">
        <v>223</v>
      </c>
      <c r="C10" s="79" t="s">
        <v>127</v>
      </c>
    </row>
    <row r="11" spans="1:3">
      <c r="A11" s="79" t="s">
        <v>251</v>
      </c>
      <c r="B11" s="79" t="s">
        <v>224</v>
      </c>
      <c r="C11" s="79" t="s">
        <v>129</v>
      </c>
    </row>
    <row r="12" spans="1:3">
      <c r="A12" s="79" t="s">
        <v>252</v>
      </c>
      <c r="B12" s="79" t="s">
        <v>225</v>
      </c>
      <c r="C12" s="79" t="s">
        <v>231</v>
      </c>
    </row>
    <row r="13" spans="1:3">
      <c r="A13" s="79" t="s">
        <v>253</v>
      </c>
      <c r="B13" s="79" t="s">
        <v>226</v>
      </c>
      <c r="C13" s="79" t="s">
        <v>232</v>
      </c>
    </row>
    <row r="14" spans="1:3">
      <c r="A14" s="79" t="s">
        <v>254</v>
      </c>
      <c r="B14" s="79" t="s">
        <v>227</v>
      </c>
      <c r="C14" s="79" t="s">
        <v>233</v>
      </c>
    </row>
    <row r="15" spans="1:3">
      <c r="A15" s="79" t="s">
        <v>240</v>
      </c>
      <c r="B15" s="79" t="s">
        <v>228</v>
      </c>
      <c r="C15" s="79" t="s">
        <v>234</v>
      </c>
    </row>
    <row r="16" spans="1:3">
      <c r="A16" s="79" t="s">
        <v>241</v>
      </c>
      <c r="B16" s="79" t="s">
        <v>229</v>
      </c>
      <c r="C16" s="79" t="s">
        <v>235</v>
      </c>
    </row>
    <row r="17" spans="1:3">
      <c r="A17" s="79" t="s">
        <v>242</v>
      </c>
      <c r="B17" s="79" t="s">
        <v>230</v>
      </c>
      <c r="C17" s="79" t="s">
        <v>236</v>
      </c>
    </row>
    <row r="18" spans="1:3">
      <c r="A18" s="80" t="s">
        <v>209</v>
      </c>
      <c r="B18" s="80" t="s">
        <v>209</v>
      </c>
      <c r="C18" s="80"/>
    </row>
    <row r="19" spans="1:3">
      <c r="A19" s="80" t="s">
        <v>210</v>
      </c>
      <c r="B19" s="80" t="s">
        <v>210</v>
      </c>
      <c r="C19" s="80"/>
    </row>
    <row r="20" spans="1:3">
      <c r="A20" s="80" t="s">
        <v>211</v>
      </c>
      <c r="B20" s="80" t="s">
        <v>211</v>
      </c>
      <c r="C20" s="80"/>
    </row>
    <row r="21" spans="1:3">
      <c r="A21" s="80" t="s">
        <v>212</v>
      </c>
      <c r="B21" s="80" t="s">
        <v>212</v>
      </c>
      <c r="C21" s="80"/>
    </row>
    <row r="22" spans="1:3">
      <c r="A22" s="80" t="s">
        <v>213</v>
      </c>
      <c r="B22" s="80" t="s">
        <v>213</v>
      </c>
      <c r="C22" s="80"/>
    </row>
    <row r="23" spans="1:3">
      <c r="A23" s="80" t="s">
        <v>214</v>
      </c>
      <c r="B23" s="80" t="s">
        <v>214</v>
      </c>
      <c r="C23" s="80"/>
    </row>
    <row r="24" spans="1:3">
      <c r="A24" s="80" t="s">
        <v>215</v>
      </c>
      <c r="B24" s="80" t="s">
        <v>215</v>
      </c>
      <c r="C24" s="80"/>
    </row>
    <row r="25" spans="1:3">
      <c r="A25" s="154" t="s">
        <v>305</v>
      </c>
      <c r="B25" s="154" t="s">
        <v>305</v>
      </c>
      <c r="C25" s="81"/>
    </row>
    <row r="26" spans="1:3">
      <c r="A26" s="154" t="s">
        <v>303</v>
      </c>
      <c r="B26" s="154" t="s">
        <v>305</v>
      </c>
      <c r="C26" s="81"/>
    </row>
    <row r="27" spans="1:3">
      <c r="A27" s="154" t="s">
        <v>304</v>
      </c>
      <c r="B27" s="154" t="s">
        <v>304</v>
      </c>
      <c r="C27" s="81"/>
    </row>
    <row r="28" spans="1:3">
      <c r="A28" s="154" t="s">
        <v>307</v>
      </c>
      <c r="B28" s="81" t="s">
        <v>307</v>
      </c>
      <c r="C28" s="81"/>
    </row>
    <row r="29" spans="1:3">
      <c r="A29" s="154" t="s">
        <v>308</v>
      </c>
      <c r="B29" s="81" t="s">
        <v>308</v>
      </c>
      <c r="C29" s="81"/>
    </row>
    <row r="30" spans="1:3">
      <c r="A30" s="154" t="s">
        <v>309</v>
      </c>
      <c r="B30" s="76" t="s">
        <v>309</v>
      </c>
    </row>
    <row r="31" spans="1:3">
      <c r="A31" s="1" t="s">
        <v>311</v>
      </c>
      <c r="B31" s="1" t="s">
        <v>311</v>
      </c>
    </row>
    <row r="32" spans="1:3">
      <c r="A32" s="1" t="s">
        <v>310</v>
      </c>
      <c r="B32" s="1" t="s">
        <v>310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showGridLines="0" workbookViewId="0">
      <selection activeCell="C10" sqref="C10"/>
    </sheetView>
  </sheetViews>
  <sheetFormatPr defaultRowHeight="15"/>
  <cols>
    <col min="1" max="1" width="9.5703125" bestFit="1" customWidth="1"/>
    <col min="2" max="2" width="9.42578125" bestFit="1" customWidth="1"/>
    <col min="3" max="3" width="8.140625" bestFit="1" customWidth="1"/>
    <col min="4" max="4" width="8" bestFit="1" customWidth="1"/>
    <col min="5" max="5" width="11.140625" bestFit="1" customWidth="1"/>
    <col min="6" max="6" width="10.140625" bestFit="1" customWidth="1"/>
  </cols>
  <sheetData>
    <row r="1" spans="1:6" ht="15.75" thickBot="1">
      <c r="A1" s="208" t="s">
        <v>359</v>
      </c>
      <c r="B1" s="209" t="s">
        <v>360</v>
      </c>
      <c r="C1" s="209" t="s">
        <v>361</v>
      </c>
      <c r="D1" s="209" t="s">
        <v>362</v>
      </c>
      <c r="E1" s="209" t="s">
        <v>363</v>
      </c>
      <c r="F1" s="209" t="s">
        <v>364</v>
      </c>
    </row>
    <row r="2" spans="1:6" ht="15.75" thickBot="1">
      <c r="A2" s="210" t="s">
        <v>365</v>
      </c>
      <c r="B2" s="211" t="s">
        <v>366</v>
      </c>
      <c r="C2" s="211" t="s">
        <v>339</v>
      </c>
      <c r="D2" s="212">
        <v>1039021</v>
      </c>
      <c r="E2" s="213" t="s">
        <v>367</v>
      </c>
      <c r="F2" s="213" t="s">
        <v>368</v>
      </c>
    </row>
    <row r="3" spans="1:6" ht="15.75" thickBot="1">
      <c r="A3" s="214"/>
      <c r="B3" s="215"/>
      <c r="C3" s="215"/>
      <c r="D3" s="212">
        <v>1039025</v>
      </c>
      <c r="E3" s="213" t="s">
        <v>369</v>
      </c>
      <c r="F3" s="213" t="s">
        <v>368</v>
      </c>
    </row>
    <row r="4" spans="1:6" ht="15.75" thickBot="1">
      <c r="A4" s="216"/>
      <c r="B4" s="217"/>
      <c r="C4" s="218"/>
      <c r="D4" s="212">
        <v>1039830</v>
      </c>
      <c r="E4" s="213" t="s">
        <v>370</v>
      </c>
      <c r="F4" s="213" t="s">
        <v>368</v>
      </c>
    </row>
  </sheetData>
  <mergeCells count="3">
    <mergeCell ref="A2:A4"/>
    <mergeCell ref="B2:B4"/>
    <mergeCell ref="C2:C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F4E2BEBF8F554687FE9007BABED835" ma:contentTypeVersion="0" ma:contentTypeDescription="Crie um novo documento." ma:contentTypeScope="" ma:versionID="39426ea7b3b1bad51cc01fab0e03c42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e078010f886becc52d8153076464f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D0011-6E24-49F8-A36C-5FD1A0FAF0DD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195346D-FBA8-4835-897F-3F166A88F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D27D0D-E943-4497-A24C-71D6289B1E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Briefing_FID</vt:lpstr>
      <vt:lpstr>Briefing_TRAT</vt:lpstr>
      <vt:lpstr>ARBOR</vt:lpstr>
      <vt:lpstr>BENEFICIOS</vt:lpstr>
      <vt:lpstr>PLANOS</vt:lpstr>
      <vt:lpstr>PDVs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</dc:creator>
  <cp:lastModifiedBy>profile</cp:lastModifiedBy>
  <dcterms:created xsi:type="dcterms:W3CDTF">2014-07-31T12:01:34Z</dcterms:created>
  <dcterms:modified xsi:type="dcterms:W3CDTF">2017-05-19T20:50:19Z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0x010100E6F4E2BEBF8F554687FE9007BABED835</vt:lpwstr>
  </property>
</Properties>
</file>
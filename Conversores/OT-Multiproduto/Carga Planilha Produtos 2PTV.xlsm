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\Ofertas  683- Ofertas OiT - Substituição Aquisição e Ajuste preço Migração\DTs multiproduto\Conversor OT-2PTV\Aquisição\"/>
    </mc:Choice>
  </mc:AlternateContent>
  <bookViews>
    <workbookView xWindow="0" yWindow="0" windowWidth="20490" windowHeight="7530"/>
  </bookViews>
  <sheets>
    <sheet name="2PTV Com Fidelidade" sheetId="1" r:id="rId1"/>
    <sheet name="2PTV Sem Fidelidade" sheetId="2" r:id="rId2"/>
    <sheet name="Sheet1" sheetId="3" r:id="rId3"/>
  </sheets>
  <functionGroups builtInGroupCount="18"/>
  <externalReferences>
    <externalReference r:id="rId4"/>
  </externalReferences>
  <definedNames>
    <definedName name="_xlnm._FilterDatabase" localSheetId="0" hidden="1">'2PTV Com Fidelidade'!#REF!</definedName>
    <definedName name="validValues">[1]Settings!$A$1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B1" i="3"/>
</calcChain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Lucas, Victor Motta d.</author>
    <author>Author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2" shapeId="0">
      <text/>
    </comment>
    <comment ref="AI4" authorId="2" shapeId="0">
      <text/>
    </comment>
    <comment ref="AJ4" authorId="2" shapeId="0">
      <text/>
    </comment>
    <comment ref="AK4" authorId="2" shapeId="0">
      <text/>
    </comment>
    <comment ref="AL4" authorId="2" shapeId="0">
      <text/>
    </comment>
    <comment ref="AM4" authorId="2" shapeId="0">
      <text/>
    </comment>
    <comment ref="AN4" authorId="2" shapeId="0">
      <text/>
    </comment>
    <comment ref="AO4" authorId="2" shapeId="0">
      <text/>
    </comment>
    <comment ref="AP4" authorId="2" shapeId="0">
      <text/>
    </comment>
    <comment ref="AQ4" authorId="2" shapeId="0">
      <text/>
    </comment>
    <comment ref="AR4" authorId="2" shapeId="0">
      <text/>
    </comment>
    <comment ref="AS4" authorId="2" shapeId="0">
      <text/>
    </comment>
    <comment ref="AT4" authorId="2" shapeId="0">
      <text/>
    </comment>
    <comment ref="AU4" authorId="2" shapeId="0">
      <text/>
    </comment>
    <comment ref="AV4" authorId="2" shapeId="0">
      <text/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B3" authorId="0" shapeId="0">
      <text/>
    </comment>
    <comment ref="C3" authorId="0" shapeId="0">
      <text/>
    </comment>
    <comment ref="D3" authorId="0" shapeId="0">
      <text/>
    </comment>
    <comment ref="E3" authorId="0" shapeId="0">
      <text/>
    </comment>
    <comment ref="F3" authorId="0" shapeId="0">
      <text/>
    </comment>
    <comment ref="G3" authorId="0" shapeId="0">
      <text/>
    </comment>
    <comment ref="H3" authorId="0" shapeId="0">
      <text/>
    </comment>
    <comment ref="I3" authorId="0" shapeId="0">
      <text/>
    </comment>
    <comment ref="J3" authorId="0" shapeId="0">
      <text/>
    </comment>
    <comment ref="K3" authorId="0" shapeId="0">
      <text/>
    </comment>
    <comment ref="L3" authorId="0" shapeId="0">
      <text/>
    </comment>
    <comment ref="M3" authorId="0" shapeId="0">
      <text/>
    </comment>
    <comment ref="N3" authorId="0" shapeId="0">
      <text/>
    </comment>
    <comment ref="P3" authorId="0" shapeId="0">
      <text/>
    </comment>
    <comment ref="Q3" authorId="0" shapeId="0">
      <text/>
    </comment>
    <comment ref="R3" authorId="0" shapeId="0">
      <text/>
    </comment>
    <comment ref="S3" authorId="0" shapeId="0">
      <text/>
    </comment>
    <comment ref="T3" authorId="0" shapeId="0">
      <text/>
    </comment>
    <comment ref="U3" authorId="0" shapeId="0">
      <text/>
    </comment>
    <comment ref="V3" authorId="0" shapeId="0">
      <text/>
    </comment>
    <comment ref="W3" authorId="0" shapeId="0">
      <text/>
    </comment>
    <comment ref="X3" authorId="0" shapeId="0">
      <text/>
    </comment>
    <comment ref="Y3" authorId="0" shapeId="0">
      <text/>
    </comment>
    <comment ref="Z3" authorId="0" shapeId="0">
      <text/>
    </comment>
    <comment ref="AA3" authorId="0" shapeId="0">
      <text/>
    </comment>
    <comment ref="AB3" authorId="0" shapeId="0">
      <text/>
    </comment>
    <comment ref="AC3" authorId="0" shapeId="0">
      <text/>
    </comment>
    <comment ref="AD3" authorId="0" shapeId="0">
      <text/>
    </comment>
    <comment ref="AE3" authorId="0" shapeId="0">
      <text/>
    </comment>
    <comment ref="AF3" authorId="0" shapeId="0">
      <text/>
    </comment>
    <comment ref="AG3" authorId="0" shapeId="0">
      <text/>
    </comment>
    <comment ref="AH3" authorId="0" shapeId="0">
      <text/>
    </comment>
    <comment ref="AI3" authorId="0" shapeId="0">
      <text/>
    </comment>
    <comment ref="AJ3" authorId="0" shapeId="0">
      <text/>
    </comment>
    <comment ref="AK3" authorId="0" shapeId="0">
      <text/>
    </comment>
    <comment ref="AL3" authorId="0" shapeId="0">
      <text/>
    </comment>
    <comment ref="AM3" authorId="0" shapeId="0">
      <text/>
    </comment>
    <comment ref="AN3" authorId="0" shapeId="0">
      <text/>
    </comment>
    <comment ref="AO3" authorId="0" shapeId="0">
      <text/>
    </comment>
    <comment ref="AP3" authorId="0" shapeId="0">
      <text/>
    </comment>
    <comment ref="AQ3" authorId="0" shapeId="0">
      <text/>
    </comment>
    <comment ref="AR3" authorId="0" shapeId="0">
      <text/>
    </comment>
    <comment ref="AS3" authorId="0" shapeId="0">
      <text/>
    </comment>
    <comment ref="AT3" authorId="0" shapeId="0">
      <text/>
    </comment>
    <comment ref="AU3" authorId="0" shapeId="0">
      <text/>
    </comment>
    <comment ref="AV3" authorId="0" shapeId="0">
      <text/>
    </comment>
  </commentList>
</comments>
</file>

<file path=xl/sharedStrings.xml><?xml version="1.0" encoding="utf-8"?>
<sst xmlns="http://schemas.openxmlformats.org/spreadsheetml/2006/main" count="421" uniqueCount="232">
  <si>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</si>
  <si>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</si>
  <si>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</si>
  <si>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</si>
  <si>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</si>
  <si>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</si>
  <si>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</si>
  <si>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</si>
  <si>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</si>
  <si>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</si>
  <si>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</si>
  <si>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</si>
  <si>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</si>
  <si>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</si>
  <si>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</si>
  <si>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</si>
  <si>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</si>
  <si>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</si>
  <si>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</si>
  <si>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</si>
  <si>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</si>
  <si>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</si>
  <si>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</si>
  <si>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</si>
  <si>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</si>
  <si>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</si>
  <si>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</si>
  <si>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</si>
  <si>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</si>
  <si>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</si>
  <si>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</si>
  <si>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</si>
  <si>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</si>
  <si>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</si>
  <si>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</si>
  <si>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</si>
  <si>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</si>
  <si>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</si>
  <si>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</si>
  <si>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</si>
  <si>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</si>
  <si>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</si>
  <si>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</si>
  <si>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</si>
  <si>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</si>
  <si>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</si>
  <si>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</si>
  <si>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</si>
  <si>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</si>
  <si>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</si>
  <si>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</si>
  <si>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</si>
  <si>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</si>
  <si>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</si>
  <si>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</si>
  <si>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</si>
  <si>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</si>
  <si>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</si>
  <si>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</si>
  <si>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</si>
  <si>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</si>
  <si>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</si>
  <si>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</si>
  <si>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</si>
  <si>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</si>
  <si>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</si>
  <si>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</si>
  <si>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</si>
  <si>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</si>
  <si>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</si>
  <si>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</si>
  <si>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</si>
  <si>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</si>
  <si>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</si>
  <si>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</si>
  <si>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</si>
  <si>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</si>
  <si>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</si>
  <si>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</si>
  <si>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</si>
  <si>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</si>
  <si>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</si>
  <si>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</si>
  <si>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</si>
  <si>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PreSelecao_ConteudoOnline</t>
  </si>
  <si>
    <t>CodigoPlanoConteudoOnline</t>
  </si>
  <si>
    <t>PlanoBundleOferta</t>
  </si>
  <si>
    <t>OpcaoSVA</t>
  </si>
  <si>
    <t>OpcaoSD</t>
  </si>
  <si>
    <t>OfertacomDVR</t>
  </si>
  <si>
    <t>FranquiaVozMovel</t>
  </si>
  <si>
    <t>NivelPrecoRet</t>
  </si>
  <si>
    <t>MesesFidel</t>
  </si>
  <si>
    <t>.CodigoOfertaVozSemLDSemVCSemFidel</t>
  </si>
  <si>
    <t>.CodigoOfertaVozSemLDComVCSemFidel</t>
  </si>
  <si>
    <t>.CodigoOfertaVozComLDSemVCSemFidel</t>
  </si>
  <si>
    <t>.CodigoOfertaVozComLDComVCSemFidel</t>
  </si>
  <si>
    <t>False"TV Start HD""VC LD Ilimitado""Fixo Ilimitado""RetencaoOT"</t>
  </si>
  <si>
    <t>False"TV Start HD""VC Ilimitado""Fixo Ilimitado""RetencaoOT"</t>
  </si>
  <si>
    <t>"TV Mix HD"</t>
  </si>
  <si>
    <t>False"TV Mix HD""VC LD Ilimitado""Fixo Ilimitado""RetencaoOT"</t>
  </si>
  <si>
    <t>False"TV Mix HD""VC Ilimitado""Fixo Ilimitado""RetencaoOT"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</si>
  <si>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</si>
  <si>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</si>
  <si>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</si>
  <si>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</si>
  <si>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False"TV Mix HBOMAX HD""VC LD Ilimitado""Fixo Ilimitado""RetencaoOT"</t>
  </si>
  <si>
    <t>False"TV Mix HBOMAX HD""VC Ilimitado""Fixo Ilimitado""RetencaoOT"</t>
  </si>
  <si>
    <t>False"TV Mix Telecine HD""VC LD Ilimitado""Fixo Ilimitado""RetencaoOT"</t>
  </si>
  <si>
    <t>False"TV Mix Telecine HD""VC Ilimitado""Fixo Ilimitado""RetencaoOT"</t>
  </si>
  <si>
    <t>False"TV Mix Cinema HD""VC LD Ilimitado""Fixo Ilimitado""RetencaoOT"</t>
  </si>
  <si>
    <t>False"TV Mix Cinema HD""VC Ilimitado""Fixo Ilimitado""RetencaoOT"</t>
  </si>
  <si>
    <t>False"TV Total HBOMAX HD""VC LD Ilimitado""Fixo Ilimitado""RetencaoOT"</t>
  </si>
  <si>
    <t>False"TV Total HBOMAX HD""VC Ilimitado""Fixo Ilimitado""RetencaoOT"</t>
  </si>
  <si>
    <t>False"TV Total Telecine HD""VC LD Ilimitado""Fixo Ilimitado""RetencaoOT"</t>
  </si>
  <si>
    <t>False"TV Total Telecine HD""VC Ilimitado""Fixo Ilimitado""RetencaoOT"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</si>
  <si>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</si>
  <si>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</si>
  <si>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</si>
  <si>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</si>
  <si>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</si>
  <si>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</si>
  <si>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</si>
  <si>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</si>
  <si>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False"TV Mix HD""Sem Ilimitado""Fixo Ilimitado""RetencaoOT"</t>
  </si>
  <si>
    <t>False"TV Mix HBOMAX HD""Sem Ilimitado""Fixo Ilimitado""RetencaoOT"</t>
  </si>
  <si>
    <t>False"TV Mix HBOMAX HD""LD Ilimitado""Fixo Ilimitado""RetencaoOT"</t>
  </si>
  <si>
    <t>False"TV Mix Telecine HD""Sem Ilimitado""Fixo Ilimitado""RetencaoOT"</t>
  </si>
  <si>
    <t>False"TV Mix Telecine HD""LD Ilimitado""Fixo Ilimitado""RetencaoOT"</t>
  </si>
  <si>
    <t>False"TV Mix Cinema HD""Sem Ilimitado""Fixo Ilimitado""RetencaoOT"</t>
  </si>
  <si>
    <t>False"TV Mix Cinema HD""LD Ilimitado""Fixo Ilimitado""RetencaoOT"</t>
  </si>
  <si>
    <t>False"TV Total HD""Sem Ilimitado""Fixo Ilimitado""RetencaoOT"</t>
  </si>
  <si>
    <t>False"TV Total HD""LD Ilimitado""Fixo Ilimitado""RetencaoOT"</t>
  </si>
  <si>
    <t>False"TV Total HBOMAX HD""Sem Ilimitado""Fixo Ilimitado""RetencaoOT"</t>
  </si>
  <si>
    <t>False"TV Total HBOMAX HD""LD Ilimitado""Fixo Ilimitado""RetencaoOT"</t>
  </si>
  <si>
    <t>False"TV Total Telecine HD""Sem Ilimitado""Fixo Ilimitado""RetencaoOT"</t>
  </si>
  <si>
    <t>False"TV Total Telecine HD""LD Ilimitado""Fixo Ilimitado""RetencaoOT"</t>
  </si>
  <si>
    <t>False"TV Total Cinema HD""Sem Ilimitado""Fixo Ilimitado""RetencaoOT"</t>
  </si>
  <si>
    <t>False"TV Total Cinema HD""LD Ilimitado""Fixo Ilimitado""RetencaoOT"</t>
  </si>
  <si>
    <t>TipoOferta == "Fixo_TV"</t>
  </si>
  <si>
    <t>FixedPlan</t>
  </si>
  <si>
    <t>LDPackage</t>
  </si>
  <si>
    <t>VCPackage</t>
  </si>
  <si>
    <t>Velocidade Oferta</t>
  </si>
  <si>
    <t>TV</t>
  </si>
  <si>
    <t>Degradacao_Fixo</t>
  </si>
  <si>
    <t>Degradacao_Fixo_Velox</t>
  </si>
  <si>
    <t>Degradacao_Fixo_TV</t>
  </si>
  <si>
    <t>PriceFoundMulti</t>
  </si>
  <si>
    <t>MultiOnlyFidel</t>
  </si>
  <si>
    <t>FFonlySD</t>
  </si>
  <si>
    <t>PriceLDMulti</t>
  </si>
  <si>
    <t>PriceVCMulti</t>
  </si>
  <si>
    <t>PriceFixedMulti</t>
  </si>
  <si>
    <t>PriceBBFIDELMulti</t>
  </si>
  <si>
    <t>PriceTVMulti</t>
  </si>
  <si>
    <t>PriceFixedSFIDELMulti</t>
  </si>
  <si>
    <t>PriceBBSFIDELMulti</t>
  </si>
  <si>
    <t>PriceTVSFIDELMulti</t>
  </si>
  <si>
    <t>Price_PontoAdicional</t>
  </si>
  <si>
    <t>PlanoMultiFidel</t>
  </si>
  <si>
    <t>CampanhaMultiFidel</t>
  </si>
  <si>
    <t>OfertaMultiFidel</t>
  </si>
  <si>
    <t>PlanoMultiSFidel</t>
  </si>
  <si>
    <t>CampanhaMultiSFIdel</t>
  </si>
  <si>
    <t>OfertaMultiSFidel</t>
  </si>
  <si>
    <t>PriceTotalMulti</t>
  </si>
  <si>
    <t>PriceTotalSFidelMulti</t>
  </si>
  <si>
    <t>Tempo_Fidel</t>
  </si>
  <si>
    <t>Valor_Multa</t>
  </si>
  <si>
    <t>.TipoOferta == "Fixo_TV"</t>
  </si>
  <si>
    <t>.FixedPlan</t>
  </si>
  <si>
    <t>.LDPackage</t>
  </si>
  <si>
    <t>.VCPackage</t>
  </si>
  <si>
    <t>.VelVeloxOferta</t>
  </si>
  <si>
    <t>.TV</t>
  </si>
  <si>
    <t>.Degradacao_Fixo</t>
  </si>
  <si>
    <t>.Degradacao_Fixo_Velox</t>
  </si>
  <si>
    <t>.Degradacao_Fixo_TV</t>
  </si>
  <si>
    <t>.PriceFoundMulti</t>
  </si>
  <si>
    <t>.MultiOnlyFidel</t>
  </si>
  <si>
    <t>.FFonlySD</t>
  </si>
  <si>
    <t>.PriceLDMulti</t>
  </si>
  <si>
    <t>.PriceVCMulti</t>
  </si>
  <si>
    <t>.PriceFixedMulti</t>
  </si>
  <si>
    <t>.PriceBBFIDELMulti</t>
  </si>
  <si>
    <t>.PriceTVMulti</t>
  </si>
  <si>
    <t>.PriceFixedSFIDELMulti</t>
  </si>
  <si>
    <t>.PriceBBSFIDELMulti</t>
  </si>
  <si>
    <t>.PriceTVSFIDELMulti</t>
  </si>
  <si>
    <t>.Price_PontoAdicional</t>
  </si>
  <si>
    <t>.PlanoMultiFidel</t>
  </si>
  <si>
    <t>.CampanhaMultiFidel</t>
  </si>
  <si>
    <t>.OfertaMultiFidel</t>
  </si>
  <si>
    <t>.PlanoMultiSFidel</t>
  </si>
  <si>
    <t>.CampanhaMultiSFIdel</t>
  </si>
  <si>
    <t>.OfertaMultiSFidel</t>
  </si>
  <si>
    <t>.PriceTotalMulti</t>
  </si>
  <si>
    <t>.PriceTotalSFidelMulti</t>
  </si>
  <si>
    <t>.Tempo_Fidel</t>
  </si>
  <si>
    <t>.Valor_Multa_Retention</t>
  </si>
  <si>
    <t>False</t>
  </si>
  <si>
    <t/>
  </si>
  <si>
    <t>FX Ilim</t>
  </si>
  <si>
    <t>LD Ilim FM</t>
  </si>
  <si>
    <t>"oi total fixo + tv 1"</t>
  </si>
  <si>
    <t>TRUE</t>
  </si>
  <si>
    <t>"oi total fixo + tv 2"</t>
  </si>
  <si>
    <t>VC Ilim</t>
  </si>
  <si>
    <t>"oi total fixo + tv 3"</t>
  </si>
  <si>
    <t>"OT_PAI18_FID_TV1_BASICO_START"</t>
  </si>
  <si>
    <t>"TV Start HD"</t>
  </si>
  <si>
    <t>"TV Start HD"LD Ilim FMVC IlimFX Ilim</t>
  </si>
  <si>
    <t>"OT_PAI18_FID_TV2_INTER_MIX"</t>
  </si>
  <si>
    <t>"TV Mix HD"LD Ilim FMVC IlimFX Ilim</t>
  </si>
  <si>
    <t>"OT_PAI18_FID_TV3_INTER_MIXFILMES"</t>
  </si>
  <si>
    <t>"TV Mix HBOMAX HD"</t>
  </si>
  <si>
    <t>"TV Mix HBOMAX HD"LD Ilim FMVC IlimFX Ilim</t>
  </si>
  <si>
    <t>"TV Mix Telecine HD"</t>
  </si>
  <si>
    <t>"TV Mix Telecine HD"LD Ilim FMVC IlimFX Ilim</t>
  </si>
  <si>
    <t>"TV Mix Cinema HD"</t>
  </si>
  <si>
    <t>"TV Mix Cinema HD"LD Ilim FMVC IlimFX Ilim</t>
  </si>
  <si>
    <t>"OT_PAI18_FID_TV2_TOP_TOTAL"</t>
  </si>
  <si>
    <t>"TV Total HD"</t>
  </si>
  <si>
    <t>"TV Total HD"LD Ilim FMVC IlimFX Ilim</t>
  </si>
  <si>
    <t>"OT_PAI18_FID_TV3_TOP_TOTALFILMES"</t>
  </si>
  <si>
    <t>"TV Total HBOMAX HD"</t>
  </si>
  <si>
    <t>"TV Total HBOMAX HD"LD Ilim FMVC IlimFX Ilim</t>
  </si>
  <si>
    <t>"TV Total Telecine HD"</t>
  </si>
  <si>
    <t>"TV Total Telecine HD"LD Ilim FMVC IlimFX Ilim</t>
  </si>
  <si>
    <t>"TV Total Cinema HD"</t>
  </si>
  <si>
    <t>"TV Total Cinema HD"LD Ilim FMVC IlimFX Ilim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</si>
</sst>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0" borderId="1" xfId="0" applyNumberForma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4" borderId="1" xfId="0" applyNumberFormat="1" applyFill="1" applyBorder="1" applyProtection="1"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0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49" fontId="0" fillId="0" borderId="0" xfId="0" applyNumberFormat="1" applyFill="1" applyAlignment="1" applyProtection="1">
      <alignment horizontal="center"/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1524000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2PTV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2:AW63"/>
  <sheetViews>
    <sheetView tabSelected="1" workbookViewId="0">
      <selection activeCell="F16" sqref="F16"/>
    </sheetView>
  </sheetViews>
  <sheetFormatPr defaultRowHeight="15" x14ac:dyDescent="0.25"/>
  <cols>
    <col min="1" max="1" width="8.7109375" bestFit="1" customWidth="1"/>
    <col min="2" max="2" width="23.1406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7.42578125" bestFit="1" customWidth="1"/>
    <col min="7" max="8" width="21.7109375" bestFit="1" customWidth="1"/>
    <col min="9" max="9" width="23.140625" bestFit="1" customWidth="1"/>
    <col min="10" max="10" width="20.140625" bestFit="1" customWidth="1"/>
    <col min="11" max="11" width="20.28515625" bestFit="1" customWidth="1"/>
    <col min="12" max="12" width="32.140625" bestFit="1" customWidth="1"/>
    <col min="13" max="13" width="15.140625" bestFit="1" customWidth="1"/>
    <col min="14" max="14" width="24.140625" bestFit="1" customWidth="1"/>
    <col min="15" max="15" width="12.85546875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20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6" width="46.2851562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0.85546875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139</v>
      </c>
      <c r="C3" s="3" t="s">
        <v>140</v>
      </c>
      <c r="D3" s="3" t="s">
        <v>141</v>
      </c>
      <c r="E3" s="3" t="s">
        <v>142</v>
      </c>
      <c r="F3" s="3" t="s">
        <v>143</v>
      </c>
      <c r="G3" s="3" t="s">
        <v>144</v>
      </c>
      <c r="H3" s="3" t="s">
        <v>145</v>
      </c>
      <c r="I3" s="3" t="s">
        <v>146</v>
      </c>
      <c r="J3" s="3" t="s">
        <v>147</v>
      </c>
      <c r="K3" s="4" t="s">
        <v>15</v>
      </c>
      <c r="L3" s="5" t="s">
        <v>148</v>
      </c>
      <c r="M3" s="5" t="s">
        <v>149</v>
      </c>
      <c r="N3" s="5" t="s">
        <v>150</v>
      </c>
      <c r="O3" s="5" t="s">
        <v>151</v>
      </c>
      <c r="P3" s="5" t="s">
        <v>152</v>
      </c>
      <c r="Q3" s="5" t="s">
        <v>153</v>
      </c>
      <c r="R3" s="5" t="s">
        <v>154</v>
      </c>
      <c r="S3" s="5" t="s">
        <v>155</v>
      </c>
      <c r="T3" s="5" t="s">
        <v>156</v>
      </c>
      <c r="U3" s="5" t="s">
        <v>157</v>
      </c>
      <c r="V3" s="5" t="s">
        <v>158</v>
      </c>
      <c r="W3" s="5" t="s">
        <v>159</v>
      </c>
      <c r="X3" s="5" t="s">
        <v>160</v>
      </c>
      <c r="Y3" s="5" t="s">
        <v>161</v>
      </c>
      <c r="Z3" s="5" t="s">
        <v>162</v>
      </c>
      <c r="AA3" s="5" t="s">
        <v>163</v>
      </c>
      <c r="AB3" s="5" t="s">
        <v>164</v>
      </c>
      <c r="AC3" s="5" t="s">
        <v>165</v>
      </c>
      <c r="AD3" s="5" t="s">
        <v>166</v>
      </c>
      <c r="AE3" s="5" t="s">
        <v>167</v>
      </c>
      <c r="AF3" s="5" t="s">
        <v>168</v>
      </c>
      <c r="AG3" s="5" t="s">
        <v>169</v>
      </c>
      <c r="AW3" t="s">
        <v>124</v>
      </c>
    </row>
    <row r="4" spans="1:49" x14ac:dyDescent="0.25">
      <c r="A4" s="6" t="s">
        <v>38</v>
      </c>
      <c r="B4" s="7" t="s">
        <v>170</v>
      </c>
      <c r="C4" s="8" t="s">
        <v>171</v>
      </c>
      <c r="D4" s="8" t="s">
        <v>172</v>
      </c>
      <c r="E4" s="8" t="s">
        <v>173</v>
      </c>
      <c r="F4" s="8" t="s">
        <v>174</v>
      </c>
      <c r="G4" s="8" t="s">
        <v>175</v>
      </c>
      <c r="H4" s="8" t="s">
        <v>176</v>
      </c>
      <c r="I4" s="8" t="s">
        <v>177</v>
      </c>
      <c r="J4" s="9" t="s">
        <v>178</v>
      </c>
      <c r="K4" s="10"/>
      <c r="L4" s="5" t="s">
        <v>179</v>
      </c>
      <c r="M4" s="5" t="s">
        <v>180</v>
      </c>
      <c r="N4" s="5" t="s">
        <v>181</v>
      </c>
      <c r="O4" s="5" t="s">
        <v>182</v>
      </c>
      <c r="P4" s="5" t="s">
        <v>183</v>
      </c>
      <c r="Q4" s="5" t="s">
        <v>184</v>
      </c>
      <c r="R4" s="5" t="s">
        <v>185</v>
      </c>
      <c r="S4" s="5" t="s">
        <v>186</v>
      </c>
      <c r="T4" s="5" t="s">
        <v>187</v>
      </c>
      <c r="U4" s="5" t="s">
        <v>188</v>
      </c>
      <c r="V4" s="5" t="s">
        <v>189</v>
      </c>
      <c r="W4" s="5" t="s">
        <v>190</v>
      </c>
      <c r="X4" s="5" t="s">
        <v>191</v>
      </c>
      <c r="Y4" s="5" t="s">
        <v>192</v>
      </c>
      <c r="Z4" s="5" t="s">
        <v>193</v>
      </c>
      <c r="AA4" s="5" t="s">
        <v>194</v>
      </c>
      <c r="AB4" s="5" t="s">
        <v>195</v>
      </c>
      <c r="AC4" s="5" t="s">
        <v>196</v>
      </c>
      <c r="AD4" s="5" t="s">
        <v>197</v>
      </c>
      <c r="AE4" s="5" t="s">
        <v>198</v>
      </c>
      <c r="AF4" s="5" t="s">
        <v>199</v>
      </c>
      <c r="AG4" s="5" t="s">
        <v>200</v>
      </c>
      <c r="AW4" t="s">
        <v>126</v>
      </c>
    </row>
    <row r="5" spans="1:49" x14ac:dyDescent="0.25">
      <c r="B5" s="11" t="s">
        <v>201</v>
      </c>
      <c r="C5" s="12" t="s">
        <v>202</v>
      </c>
      <c r="D5" s="12" t="s">
        <v>202</v>
      </c>
      <c r="E5" s="12" t="s">
        <v>202</v>
      </c>
      <c r="F5" s="12" t="s">
        <v>202</v>
      </c>
      <c r="G5" s="12" t="s">
        <v>202</v>
      </c>
      <c r="H5" s="12" t="s">
        <v>202</v>
      </c>
      <c r="I5" s="12" t="s">
        <v>202</v>
      </c>
      <c r="J5" s="12" t="s">
        <v>202</v>
      </c>
      <c r="K5" s="13" t="s">
        <v>202</v>
      </c>
      <c r="L5" s="12" t="s">
        <v>202</v>
      </c>
      <c r="M5" s="12" t="s">
        <v>202</v>
      </c>
      <c r="N5" s="12" t="s">
        <v>202</v>
      </c>
      <c r="O5" s="12" t="s">
        <v>202</v>
      </c>
      <c r="P5" s="12" t="s">
        <v>202</v>
      </c>
      <c r="Q5" s="12" t="s">
        <v>202</v>
      </c>
      <c r="R5" s="12" t="s">
        <v>202</v>
      </c>
      <c r="S5" s="12" t="s">
        <v>202</v>
      </c>
      <c r="T5" s="12" t="s">
        <v>202</v>
      </c>
      <c r="U5" s="12" t="s">
        <v>202</v>
      </c>
      <c r="V5" s="12" t="s">
        <v>202</v>
      </c>
      <c r="W5" s="12" t="s">
        <v>202</v>
      </c>
      <c r="X5" s="12" t="s">
        <v>202</v>
      </c>
      <c r="Y5" s="12" t="s">
        <v>202</v>
      </c>
      <c r="Z5" s="12" t="s">
        <v>202</v>
      </c>
      <c r="AA5" s="12" t="s">
        <v>202</v>
      </c>
      <c r="AB5" s="12" t="s">
        <v>202</v>
      </c>
      <c r="AC5" s="12" t="s">
        <v>202</v>
      </c>
      <c r="AD5" s="12" t="s">
        <v>202</v>
      </c>
      <c r="AE5" s="12" t="s">
        <v>202</v>
      </c>
      <c r="AF5" s="12" t="s">
        <v>202</v>
      </c>
      <c r="AG5" s="12" t="s">
        <v>202</v>
      </c>
      <c r="AW5" t="s">
        <v>125</v>
      </c>
    </row>
    <row r="6" spans="1:49" x14ac:dyDescent="0.25">
      <c r="B6" s="11"/>
      <c r="C6" s="12" t="s">
        <v>203</v>
      </c>
      <c r="D6" s="12" t="s">
        <v>204</v>
      </c>
      <c r="E6" s="12" t="s">
        <v>208</v>
      </c>
      <c r="F6" s="14">
        <v>0</v>
      </c>
      <c r="G6" t="s">
        <v>211</v>
      </c>
      <c r="H6" s="12"/>
      <c r="I6" s="12"/>
      <c r="J6" s="12"/>
      <c r="K6" s="13"/>
      <c r="L6" t="b">
        <v>1</v>
      </c>
      <c r="N6" t="b">
        <v>1</v>
      </c>
      <c r="O6">
        <v>0</v>
      </c>
      <c r="P6">
        <v>0</v>
      </c>
      <c r="Q6">
        <v>55.1</v>
      </c>
      <c r="R6">
        <v>0</v>
      </c>
      <c r="S6">
        <v>89.8</v>
      </c>
      <c r="T6" s="14"/>
      <c r="U6" s="14">
        <v>0</v>
      </c>
      <c r="V6" s="14"/>
      <c r="W6" s="14">
        <v>24.9</v>
      </c>
      <c r="X6" s="12" t="s">
        <v>205</v>
      </c>
      <c r="Y6" t="s">
        <v>210</v>
      </c>
      <c r="Z6" t="s">
        <v>210</v>
      </c>
      <c r="AA6" s="15"/>
      <c r="AB6" s="12"/>
      <c r="AC6" s="12"/>
      <c r="AD6" s="16">
        <v>144.9</v>
      </c>
      <c r="AE6" s="16"/>
      <c r="AF6" s="14">
        <v>12</v>
      </c>
      <c r="AG6" s="14">
        <v>99</v>
      </c>
      <c r="AH6" t="s">
        <v>212</v>
      </c>
      <c r="AW6" t="s">
        <v>128</v>
      </c>
    </row>
    <row r="7" spans="1:49" x14ac:dyDescent="0.25">
      <c r="B7" s="11"/>
      <c r="C7" s="12" t="s">
        <v>203</v>
      </c>
      <c r="D7" s="12" t="s">
        <v>204</v>
      </c>
      <c r="E7" s="12" t="s">
        <v>208</v>
      </c>
      <c r="F7" s="14">
        <v>0</v>
      </c>
      <c r="G7" s="12" t="s">
        <v>99</v>
      </c>
      <c r="H7" s="12"/>
      <c r="I7" s="12"/>
      <c r="J7" s="12"/>
      <c r="K7" s="13"/>
      <c r="L7" s="17" t="s">
        <v>206</v>
      </c>
      <c r="M7" s="17"/>
      <c r="N7" s="17" t="b">
        <v>1</v>
      </c>
      <c r="O7" s="14">
        <v>0</v>
      </c>
      <c r="P7" s="14">
        <v>0</v>
      </c>
      <c r="Q7" s="14">
        <v>55.1</v>
      </c>
      <c r="R7" s="14">
        <v>0</v>
      </c>
      <c r="S7" s="14">
        <v>104.8</v>
      </c>
      <c r="T7" s="15"/>
      <c r="U7" s="15">
        <v>0</v>
      </c>
      <c r="V7" s="15"/>
      <c r="W7" s="15">
        <v>24.9</v>
      </c>
      <c r="X7" s="12" t="s">
        <v>207</v>
      </c>
      <c r="Y7" s="12" t="s">
        <v>213</v>
      </c>
      <c r="Z7" s="12" t="s">
        <v>213</v>
      </c>
      <c r="AA7" s="15"/>
      <c r="AB7" s="15"/>
      <c r="AC7" s="15"/>
      <c r="AD7" s="16">
        <v>159.9</v>
      </c>
      <c r="AE7" s="16"/>
      <c r="AF7" s="14">
        <v>12</v>
      </c>
      <c r="AG7" s="14">
        <v>199</v>
      </c>
      <c r="AH7" t="s">
        <v>214</v>
      </c>
      <c r="AW7" t="s">
        <v>127</v>
      </c>
    </row>
    <row r="8" spans="1:49" x14ac:dyDescent="0.25">
      <c r="C8" t="s">
        <v>203</v>
      </c>
      <c r="D8" t="s">
        <v>204</v>
      </c>
      <c r="E8" t="s">
        <v>208</v>
      </c>
      <c r="F8">
        <v>0</v>
      </c>
      <c r="G8" t="s">
        <v>216</v>
      </c>
      <c r="L8" t="b">
        <v>1</v>
      </c>
      <c r="N8" t="b">
        <v>1</v>
      </c>
      <c r="O8">
        <v>0</v>
      </c>
      <c r="P8">
        <v>0</v>
      </c>
      <c r="Q8">
        <v>55.1</v>
      </c>
      <c r="R8">
        <v>0</v>
      </c>
      <c r="S8">
        <v>139.80000000000001</v>
      </c>
      <c r="U8">
        <v>0</v>
      </c>
      <c r="W8">
        <v>24.9</v>
      </c>
      <c r="X8" t="s">
        <v>209</v>
      </c>
      <c r="Y8" t="s">
        <v>215</v>
      </c>
      <c r="Z8" t="s">
        <v>215</v>
      </c>
      <c r="AD8">
        <v>194.9</v>
      </c>
      <c r="AF8">
        <v>12</v>
      </c>
      <c r="AG8">
        <v>199</v>
      </c>
      <c r="AH8" t="s">
        <v>217</v>
      </c>
      <c r="AW8" t="s">
        <v>130</v>
      </c>
    </row>
    <row r="9" spans="1:49" x14ac:dyDescent="0.25">
      <c r="C9" t="s">
        <v>203</v>
      </c>
      <c r="D9" t="s">
        <v>204</v>
      </c>
      <c r="E9" t="s">
        <v>208</v>
      </c>
      <c r="F9">
        <v>0</v>
      </c>
      <c r="G9" t="s">
        <v>218</v>
      </c>
      <c r="L9" t="b">
        <v>1</v>
      </c>
      <c r="N9" t="b">
        <v>1</v>
      </c>
      <c r="O9">
        <v>0</v>
      </c>
      <c r="P9">
        <v>0</v>
      </c>
      <c r="Q9">
        <v>55.1</v>
      </c>
      <c r="R9">
        <v>0</v>
      </c>
      <c r="S9">
        <v>149.80000000000001</v>
      </c>
      <c r="U9">
        <v>0</v>
      </c>
      <c r="W9">
        <v>24.9</v>
      </c>
      <c r="X9" t="s">
        <v>209</v>
      </c>
      <c r="Y9" t="s">
        <v>215</v>
      </c>
      <c r="Z9" t="s">
        <v>215</v>
      </c>
      <c r="AD9">
        <v>204.9</v>
      </c>
      <c r="AF9">
        <v>12</v>
      </c>
      <c r="AG9">
        <v>199</v>
      </c>
      <c r="AH9" t="s">
        <v>219</v>
      </c>
      <c r="AW9" t="s">
        <v>129</v>
      </c>
    </row>
    <row r="10" spans="1:49" x14ac:dyDescent="0.25">
      <c r="C10" t="s">
        <v>203</v>
      </c>
      <c r="D10" t="s">
        <v>204</v>
      </c>
      <c r="E10" t="s">
        <v>208</v>
      </c>
      <c r="F10">
        <v>0</v>
      </c>
      <c r="G10" t="s">
        <v>220</v>
      </c>
      <c r="L10" t="b">
        <v>1</v>
      </c>
      <c r="N10" t="b">
        <v>1</v>
      </c>
      <c r="O10">
        <v>0</v>
      </c>
      <c r="P10">
        <v>0</v>
      </c>
      <c r="Q10">
        <v>55.1</v>
      </c>
      <c r="R10">
        <v>0</v>
      </c>
      <c r="S10">
        <v>184.8</v>
      </c>
      <c r="U10">
        <v>0</v>
      </c>
      <c r="W10">
        <v>24.9</v>
      </c>
      <c r="X10" t="s">
        <v>209</v>
      </c>
      <c r="Y10" t="s">
        <v>215</v>
      </c>
      <c r="Z10" t="s">
        <v>215</v>
      </c>
      <c r="AD10">
        <v>239.9</v>
      </c>
      <c r="AF10">
        <v>12</v>
      </c>
      <c r="AG10">
        <v>199</v>
      </c>
      <c r="AH10" t="s">
        <v>221</v>
      </c>
      <c r="AW10" t="s">
        <v>132</v>
      </c>
    </row>
    <row r="11" spans="1:49" x14ac:dyDescent="0.25">
      <c r="C11" t="s">
        <v>203</v>
      </c>
      <c r="D11" t="s">
        <v>204</v>
      </c>
      <c r="E11" t="s">
        <v>208</v>
      </c>
      <c r="F11">
        <v>0</v>
      </c>
      <c r="G11" t="s">
        <v>223</v>
      </c>
      <c r="L11" t="b">
        <v>1</v>
      </c>
      <c r="N11" t="b">
        <v>1</v>
      </c>
      <c r="O11">
        <v>0</v>
      </c>
      <c r="P11">
        <v>0</v>
      </c>
      <c r="Q11">
        <v>55.1</v>
      </c>
      <c r="R11">
        <v>0</v>
      </c>
      <c r="S11">
        <v>154.80000000000001</v>
      </c>
      <c r="U11">
        <v>0</v>
      </c>
      <c r="W11">
        <v>24.9</v>
      </c>
      <c r="X11" t="s">
        <v>209</v>
      </c>
      <c r="Y11" t="s">
        <v>222</v>
      </c>
      <c r="Z11" t="s">
        <v>222</v>
      </c>
      <c r="AD11">
        <v>209.9</v>
      </c>
      <c r="AF11">
        <v>12</v>
      </c>
      <c r="AG11">
        <v>299</v>
      </c>
      <c r="AH11" t="s">
        <v>224</v>
      </c>
      <c r="AW11" t="s">
        <v>131</v>
      </c>
    </row>
    <row r="12" spans="1:49" x14ac:dyDescent="0.25">
      <c r="C12" t="s">
        <v>203</v>
      </c>
      <c r="D12" t="s">
        <v>204</v>
      </c>
      <c r="E12" t="s">
        <v>208</v>
      </c>
      <c r="F12">
        <v>0</v>
      </c>
      <c r="G12" t="s">
        <v>226</v>
      </c>
      <c r="L12" t="b">
        <v>1</v>
      </c>
      <c r="N12" t="b">
        <v>1</v>
      </c>
      <c r="O12">
        <v>0</v>
      </c>
      <c r="P12">
        <v>0</v>
      </c>
      <c r="Q12">
        <v>55.1</v>
      </c>
      <c r="R12">
        <v>0</v>
      </c>
      <c r="S12">
        <v>189.8</v>
      </c>
      <c r="U12">
        <v>0</v>
      </c>
      <c r="W12">
        <v>24.9</v>
      </c>
      <c r="X12" t="s">
        <v>209</v>
      </c>
      <c r="Y12" t="s">
        <v>225</v>
      </c>
      <c r="Z12" t="s">
        <v>225</v>
      </c>
      <c r="AD12">
        <v>244.9</v>
      </c>
      <c r="AF12">
        <v>12</v>
      </c>
      <c r="AG12">
        <v>299</v>
      </c>
      <c r="AH12" t="s">
        <v>227</v>
      </c>
      <c r="AW12" t="s">
        <v>134</v>
      </c>
    </row>
    <row r="13" spans="1:49" x14ac:dyDescent="0.25">
      <c r="C13" t="s">
        <v>203</v>
      </c>
      <c r="D13" t="s">
        <v>204</v>
      </c>
      <c r="E13" t="s">
        <v>208</v>
      </c>
      <c r="F13">
        <v>0</v>
      </c>
      <c r="G13" t="s">
        <v>228</v>
      </c>
      <c r="L13" t="b">
        <v>1</v>
      </c>
      <c r="N13" t="b">
        <v>1</v>
      </c>
      <c r="O13">
        <v>0</v>
      </c>
      <c r="P13">
        <v>0</v>
      </c>
      <c r="Q13">
        <v>55.1</v>
      </c>
      <c r="R13">
        <v>0</v>
      </c>
      <c r="S13">
        <v>199.8</v>
      </c>
      <c r="U13">
        <v>0</v>
      </c>
      <c r="W13">
        <v>24.9</v>
      </c>
      <c r="X13" t="s">
        <v>209</v>
      </c>
      <c r="Y13" t="s">
        <v>225</v>
      </c>
      <c r="Z13" t="s">
        <v>225</v>
      </c>
      <c r="AD13">
        <v>254.9</v>
      </c>
      <c r="AF13">
        <v>12</v>
      </c>
      <c r="AG13">
        <v>299</v>
      </c>
      <c r="AH13" t="s">
        <v>229</v>
      </c>
      <c r="AW13" t="s">
        <v>133</v>
      </c>
    </row>
    <row r="14" spans="1:49" x14ac:dyDescent="0.25">
      <c r="C14" t="s">
        <v>203</v>
      </c>
      <c r="D14" t="s">
        <v>204</v>
      </c>
      <c r="E14" t="s">
        <v>208</v>
      </c>
      <c r="F14">
        <v>0</v>
      </c>
      <c r="G14" t="s">
        <v>230</v>
      </c>
      <c r="L14" t="b">
        <v>1</v>
      </c>
      <c r="N14" t="b">
        <v>1</v>
      </c>
      <c r="O14">
        <v>0</v>
      </c>
      <c r="P14">
        <v>0</v>
      </c>
      <c r="Q14">
        <v>55.1</v>
      </c>
      <c r="R14">
        <v>0</v>
      </c>
      <c r="S14">
        <v>234.8</v>
      </c>
      <c r="U14">
        <v>0</v>
      </c>
      <c r="W14">
        <v>24.9</v>
      </c>
      <c r="X14" t="s">
        <v>209</v>
      </c>
      <c r="Y14" t="s">
        <v>225</v>
      </c>
      <c r="Z14" t="s">
        <v>225</v>
      </c>
      <c r="AD14">
        <v>289.90000000000003</v>
      </c>
      <c r="AF14">
        <v>12</v>
      </c>
      <c r="AG14">
        <v>299</v>
      </c>
      <c r="AH14" t="s">
        <v>231</v>
      </c>
      <c r="AW14" t="s">
        <v>136</v>
      </c>
    </row>
    <row r="15" spans="1:49" x14ac:dyDescent="0.25">
      <c r="AW15" t="s">
        <v>135</v>
      </c>
    </row>
    <row r="16" spans="1:49" x14ac:dyDescent="0.25">
      <c r="AW16" t="s">
        <v>138</v>
      </c>
    </row>
    <row r="17" spans="49:49" x14ac:dyDescent="0.25">
      <c r="AW17" t="s">
        <v>137</v>
      </c>
    </row>
    <row r="18" spans="49:49" x14ac:dyDescent="0.25">
      <c r="AW18" t="s">
        <v>97</v>
      </c>
    </row>
    <row r="19" spans="49:49" x14ac:dyDescent="0.25">
      <c r="AW19" t="s">
        <v>98</v>
      </c>
    </row>
    <row r="20" spans="49:49" x14ac:dyDescent="0.25">
      <c r="AW20" t="s">
        <v>100</v>
      </c>
    </row>
    <row r="21" spans="49:49" x14ac:dyDescent="0.25">
      <c r="AW21" t="s">
        <v>101</v>
      </c>
    </row>
    <row r="22" spans="49:49" x14ac:dyDescent="0.25">
      <c r="AW22" t="s">
        <v>106</v>
      </c>
    </row>
    <row r="23" spans="49:49" x14ac:dyDescent="0.25">
      <c r="AW23" t="s">
        <v>107</v>
      </c>
    </row>
    <row r="24" spans="49:49" x14ac:dyDescent="0.25">
      <c r="AW24" t="s">
        <v>108</v>
      </c>
    </row>
    <row r="25" spans="49:49" x14ac:dyDescent="0.25">
      <c r="AW25" t="s">
        <v>109</v>
      </c>
    </row>
    <row r="26" spans="49:49" x14ac:dyDescent="0.25">
      <c r="AW26" t="s">
        <v>110</v>
      </c>
    </row>
    <row r="27" spans="49:49" x14ac:dyDescent="0.25">
      <c r="AW27" t="s">
        <v>111</v>
      </c>
    </row>
    <row r="28" spans="49:49" x14ac:dyDescent="0.25">
      <c r="AW28" t="s">
        <v>102</v>
      </c>
    </row>
    <row r="29" spans="49:49" x14ac:dyDescent="0.25">
      <c r="AW29" t="s">
        <v>103</v>
      </c>
    </row>
    <row r="30" spans="49:49" x14ac:dyDescent="0.25">
      <c r="AW30" t="s">
        <v>112</v>
      </c>
    </row>
    <row r="31" spans="49:49" x14ac:dyDescent="0.25">
      <c r="AW31" t="s">
        <v>113</v>
      </c>
    </row>
    <row r="32" spans="49:49" x14ac:dyDescent="0.25">
      <c r="AW32" t="s">
        <v>114</v>
      </c>
    </row>
    <row r="33" spans="49:49" x14ac:dyDescent="0.25">
      <c r="AW33" t="s">
        <v>115</v>
      </c>
    </row>
    <row r="34" spans="49:49" x14ac:dyDescent="0.25">
      <c r="AW34" t="s">
        <v>116</v>
      </c>
    </row>
    <row r="35" spans="49:49" x14ac:dyDescent="0.25">
      <c r="AW35" t="s">
        <v>117</v>
      </c>
    </row>
    <row r="36" spans="49:49" x14ac:dyDescent="0.25">
      <c r="AW36" t="s">
        <v>116</v>
      </c>
    </row>
    <row r="37" spans="49:49" x14ac:dyDescent="0.25">
      <c r="AW37" t="s">
        <v>117</v>
      </c>
    </row>
    <row r="38" spans="49:49" x14ac:dyDescent="0.25">
      <c r="AW38" t="s">
        <v>112</v>
      </c>
    </row>
    <row r="39" spans="49:49" x14ac:dyDescent="0.25">
      <c r="AW39" t="s">
        <v>112</v>
      </c>
    </row>
    <row r="40" spans="49:49" x14ac:dyDescent="0.25">
      <c r="AW40" t="s">
        <v>103</v>
      </c>
    </row>
    <row r="41" spans="49:49" x14ac:dyDescent="0.25">
      <c r="AW41" t="s">
        <v>103</v>
      </c>
    </row>
    <row r="42" spans="49:49" x14ac:dyDescent="0.25">
      <c r="AW42" t="s">
        <v>103</v>
      </c>
    </row>
    <row r="43" spans="49:49" x14ac:dyDescent="0.25">
      <c r="AW43" t="s">
        <v>102</v>
      </c>
    </row>
    <row r="44" spans="49:49" x14ac:dyDescent="0.25">
      <c r="AW44" t="s">
        <v>102</v>
      </c>
    </row>
    <row r="45" spans="49:49" x14ac:dyDescent="0.25">
      <c r="AW45" t="s">
        <v>102</v>
      </c>
    </row>
    <row r="46" spans="49:49" x14ac:dyDescent="0.25">
      <c r="AW46" t="s">
        <v>115</v>
      </c>
    </row>
    <row r="47" spans="49:49" x14ac:dyDescent="0.25">
      <c r="AW47" t="s">
        <v>115</v>
      </c>
    </row>
    <row r="48" spans="49:49" x14ac:dyDescent="0.25">
      <c r="AW48" t="s">
        <v>115</v>
      </c>
    </row>
    <row r="49" spans="49:49" x14ac:dyDescent="0.25">
      <c r="AW49" t="s">
        <v>114</v>
      </c>
    </row>
    <row r="50" spans="49:49" x14ac:dyDescent="0.25">
      <c r="AW50" t="s">
        <v>114</v>
      </c>
    </row>
    <row r="51" spans="49:49" x14ac:dyDescent="0.25">
      <c r="AW51" t="s">
        <v>114</v>
      </c>
    </row>
    <row r="52" spans="49:49" x14ac:dyDescent="0.25">
      <c r="AW52" t="s">
        <v>123</v>
      </c>
    </row>
    <row r="53" spans="49:49" x14ac:dyDescent="0.25">
      <c r="AW53" t="s">
        <v>122</v>
      </c>
    </row>
    <row r="54" spans="49:49" x14ac:dyDescent="0.25">
      <c r="AW54" t="s">
        <v>119</v>
      </c>
    </row>
    <row r="55" spans="49:49" x14ac:dyDescent="0.25">
      <c r="AW55" t="s">
        <v>118</v>
      </c>
    </row>
    <row r="56" spans="49:49" x14ac:dyDescent="0.25">
      <c r="AW56" t="s">
        <v>105</v>
      </c>
    </row>
    <row r="57" spans="49:49" x14ac:dyDescent="0.25">
      <c r="AW57" t="s">
        <v>105</v>
      </c>
    </row>
    <row r="58" spans="49:49" x14ac:dyDescent="0.25">
      <c r="AW58" t="s">
        <v>105</v>
      </c>
    </row>
    <row r="59" spans="49:49" x14ac:dyDescent="0.25">
      <c r="AW59" t="s">
        <v>104</v>
      </c>
    </row>
    <row r="60" spans="49:49" x14ac:dyDescent="0.25">
      <c r="AW60" t="s">
        <v>104</v>
      </c>
    </row>
    <row r="61" spans="49:49" x14ac:dyDescent="0.25">
      <c r="AW61" t="s">
        <v>104</v>
      </c>
    </row>
    <row r="62" spans="49:49" x14ac:dyDescent="0.25">
      <c r="AW62" t="s">
        <v>121</v>
      </c>
    </row>
    <row r="63" spans="49:49" x14ac:dyDescent="0.25">
      <c r="AW63" t="s">
        <v>120</v>
      </c>
    </row>
  </sheetData>
  <dataConsolidate/>
  <dataValidations count="1">
    <dataValidation type="list" showInputMessage="1" error="Please select a valid value" promptTitle="select a value" sqref="K3:K7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1524000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V5"/>
  <sheetViews>
    <sheetView workbookViewId="0">
      <selection activeCell="L6" sqref="L6:AV14"/>
    </sheetView>
  </sheetViews>
  <sheetFormatPr defaultRowHeight="15" x14ac:dyDescent="0.25"/>
  <cols>
    <col min="2" max="2" width="14.425781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2.5703125" bestFit="1" customWidth="1"/>
    <col min="7" max="7" width="16.7109375" bestFit="1" customWidth="1"/>
    <col min="8" max="8" width="21.7109375" bestFit="1" customWidth="1"/>
    <col min="9" max="9" width="23.140625" bestFit="1" customWidth="1"/>
    <col min="10" max="10" width="20.140625" bestFit="1" customWidth="1"/>
    <col min="12" max="12" width="16.42578125" bestFit="1" customWidth="1"/>
    <col min="13" max="13" width="15" bestFit="1" customWidth="1"/>
    <col min="14" max="14" width="24.140625" bestFit="1" customWidth="1"/>
    <col min="15" max="15" width="12.85546875" bestFit="1" customWidth="1"/>
    <col min="16" max="16" width="28.7109375" bestFit="1" customWidth="1"/>
    <col min="30" max="30" width="42.42578125" bestFit="1" customWidth="1"/>
    <col min="31" max="31" width="45.85546875" bestFit="1" customWidth="1"/>
    <col min="32" max="32" width="42.140625" bestFit="1" customWidth="1"/>
    <col min="34" max="34" width="43.85546875" bestFit="1" customWidth="1"/>
    <col min="48" max="48" width="11.7109375" bestFit="1" customWidth="1"/>
    <col min="49" max="49" width="69.28515625" bestFit="1" customWidth="1"/>
  </cols>
  <sheetData>
    <row r="3" spans="1:48" x14ac:dyDescent="0.25">
      <c r="A3" s="1" t="s">
        <v>0</v>
      </c>
      <c r="B3" s="2" t="s">
        <v>139</v>
      </c>
      <c r="C3" s="3" t="s">
        <v>140</v>
      </c>
      <c r="D3" s="3" t="s">
        <v>141</v>
      </c>
      <c r="E3" s="3" t="s">
        <v>142</v>
      </c>
      <c r="F3" s="3" t="s">
        <v>143</v>
      </c>
      <c r="G3" s="3" t="s">
        <v>144</v>
      </c>
      <c r="H3" s="3" t="s">
        <v>145</v>
      </c>
      <c r="I3" s="3" t="s">
        <v>146</v>
      </c>
      <c r="J3" s="3" t="s">
        <v>147</v>
      </c>
      <c r="K3" s="4" t="s">
        <v>15</v>
      </c>
      <c r="L3" s="5" t="s">
        <v>148</v>
      </c>
      <c r="M3" s="5" t="s">
        <v>149</v>
      </c>
      <c r="N3" s="5" t="s">
        <v>150</v>
      </c>
      <c r="O3" s="5" t="s">
        <v>151</v>
      </c>
      <c r="P3" s="5" t="s">
        <v>152</v>
      </c>
      <c r="Q3" s="5" t="s">
        <v>153</v>
      </c>
      <c r="R3" s="5" t="s">
        <v>154</v>
      </c>
      <c r="S3" s="5" t="s">
        <v>155</v>
      </c>
      <c r="T3" s="5" t="s">
        <v>156</v>
      </c>
      <c r="U3" s="5" t="s">
        <v>157</v>
      </c>
      <c r="V3" s="5" t="s">
        <v>158</v>
      </c>
      <c r="W3" s="5" t="s">
        <v>159</v>
      </c>
      <c r="X3" s="5" t="s">
        <v>160</v>
      </c>
      <c r="Y3" s="5" t="s">
        <v>161</v>
      </c>
      <c r="Z3" s="5" t="s">
        <v>162</v>
      </c>
      <c r="AA3" s="5" t="s">
        <v>163</v>
      </c>
      <c r="AB3" s="5" t="s">
        <v>164</v>
      </c>
      <c r="AC3" s="5" t="s">
        <v>165</v>
      </c>
      <c r="AD3" s="5" t="s">
        <v>166</v>
      </c>
      <c r="AE3" s="5" t="s">
        <v>167</v>
      </c>
      <c r="AF3" s="5" t="s">
        <v>168</v>
      </c>
      <c r="AG3" s="5" t="s">
        <v>169</v>
      </c>
      <c r="AH3" s="5" t="s">
        <v>23</v>
      </c>
      <c r="AI3" s="5" t="s">
        <v>24</v>
      </c>
      <c r="AJ3" s="5" t="s">
        <v>25</v>
      </c>
      <c r="AK3" s="5" t="s">
        <v>26</v>
      </c>
      <c r="AL3" s="5" t="s">
        <v>86</v>
      </c>
      <c r="AM3" s="5" t="s">
        <v>28</v>
      </c>
      <c r="AN3" s="5" t="s">
        <v>29</v>
      </c>
      <c r="AO3" s="5" t="s">
        <v>30</v>
      </c>
      <c r="AP3" s="5" t="s">
        <v>31</v>
      </c>
      <c r="AQ3" s="5" t="s">
        <v>32</v>
      </c>
      <c r="AR3" s="5" t="s">
        <v>89</v>
      </c>
      <c r="AS3" s="5" t="s">
        <v>34</v>
      </c>
      <c r="AT3" s="5" t="s">
        <v>35</v>
      </c>
      <c r="AU3" s="5" t="s">
        <v>36</v>
      </c>
      <c r="AV3" s="5" t="s">
        <v>92</v>
      </c>
    </row>
    <row r="4" spans="1:48" x14ac:dyDescent="0.25">
      <c r="A4" s="6" t="s">
        <v>38</v>
      </c>
      <c r="B4" s="7" t="s">
        <v>170</v>
      </c>
      <c r="C4" s="8" t="s">
        <v>171</v>
      </c>
      <c r="D4" s="8" t="s">
        <v>172</v>
      </c>
      <c r="E4" s="8" t="s">
        <v>173</v>
      </c>
      <c r="F4" s="8" t="s">
        <v>174</v>
      </c>
      <c r="G4" s="8" t="s">
        <v>175</v>
      </c>
      <c r="H4" s="8" t="s">
        <v>176</v>
      </c>
      <c r="I4" s="8" t="s">
        <v>177</v>
      </c>
      <c r="J4" s="9" t="s">
        <v>178</v>
      </c>
      <c r="K4" s="10"/>
      <c r="L4" s="5" t="s">
        <v>179</v>
      </c>
      <c r="M4" s="5" t="s">
        <v>180</v>
      </c>
      <c r="N4" s="5" t="s">
        <v>181</v>
      </c>
      <c r="O4" s="5" t="s">
        <v>182</v>
      </c>
      <c r="P4" s="5" t="s">
        <v>183</v>
      </c>
      <c r="Q4" s="5" t="s">
        <v>184</v>
      </c>
      <c r="R4" s="5" t="s">
        <v>185</v>
      </c>
      <c r="S4" s="5" t="s">
        <v>186</v>
      </c>
      <c r="T4" s="5" t="s">
        <v>187</v>
      </c>
      <c r="U4" s="5" t="s">
        <v>188</v>
      </c>
      <c r="V4" s="5" t="s">
        <v>189</v>
      </c>
      <c r="W4" s="5" t="s">
        <v>190</v>
      </c>
      <c r="X4" s="5" t="s">
        <v>191</v>
      </c>
      <c r="Y4" s="5" t="s">
        <v>192</v>
      </c>
      <c r="Z4" s="5" t="s">
        <v>193</v>
      </c>
      <c r="AA4" s="5" t="s">
        <v>194</v>
      </c>
      <c r="AB4" s="5" t="s">
        <v>195</v>
      </c>
      <c r="AC4" s="5" t="s">
        <v>196</v>
      </c>
      <c r="AD4" s="5" t="s">
        <v>197</v>
      </c>
      <c r="AE4" s="5" t="s">
        <v>198</v>
      </c>
      <c r="AF4" s="5" t="s">
        <v>199</v>
      </c>
      <c r="AG4" s="5" t="s">
        <v>200</v>
      </c>
      <c r="AH4" s="5" t="s">
        <v>93</v>
      </c>
      <c r="AI4" s="5" t="s">
        <v>94</v>
      </c>
      <c r="AJ4" s="5" t="s">
        <v>95</v>
      </c>
      <c r="AK4" s="5" t="s">
        <v>96</v>
      </c>
      <c r="AL4" s="5" t="s">
        <v>27</v>
      </c>
      <c r="AM4" s="5" t="s">
        <v>69</v>
      </c>
      <c r="AN4" s="5" t="s">
        <v>70</v>
      </c>
      <c r="AO4" s="5" t="s">
        <v>71</v>
      </c>
      <c r="AP4" s="5" t="s">
        <v>31</v>
      </c>
      <c r="AQ4" s="5" t="s">
        <v>32</v>
      </c>
      <c r="AR4" s="5" t="s">
        <v>33</v>
      </c>
      <c r="AS4" s="5" t="s">
        <v>34</v>
      </c>
      <c r="AT4" s="5" t="s">
        <v>72</v>
      </c>
      <c r="AU4" s="5" t="s">
        <v>73</v>
      </c>
      <c r="AV4" s="5" t="s">
        <v>37</v>
      </c>
    </row>
    <row r="5" spans="1:48" x14ac:dyDescent="0.25">
      <c r="B5" t="b">
        <v>0</v>
      </c>
    </row>
  </sheetData>
  <dataValidations count="1">
    <dataValidation type="list" showInputMessage="1" error="Please select a valid value" promptTitle="select a value" sqref="K3:K4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V3"/>
  <sheetViews>
    <sheetView workbookViewId="0">
      <selection activeCell="AF7" sqref="AF7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2.85546875" bestFit="1" customWidth="1"/>
    <col min="4" max="4" width="27.140625" bestFit="1" customWidth="1"/>
    <col min="5" max="5" width="25.28515625" bestFit="1" customWidth="1"/>
    <col min="6" max="6" width="12.5703125" bestFit="1" customWidth="1"/>
    <col min="7" max="7" width="16.7109375" bestFit="1" customWidth="1"/>
    <col min="8" max="8" width="14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14" bestFit="1" customWidth="1"/>
    <col min="14" max="14" width="24.140625" bestFit="1" customWidth="1"/>
    <col min="15" max="15" width="7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20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5" width="20" bestFit="1" customWidth="1"/>
    <col min="26" max="26" width="27.710937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38" bestFit="1" customWidth="1"/>
    <col min="31" max="32" width="38.140625" bestFit="1" customWidth="1"/>
    <col min="33" max="33" width="38.28515625" bestFit="1" customWidth="1"/>
    <col min="34" max="34" width="34.28515625" bestFit="1" customWidth="1"/>
    <col min="35" max="36" width="34.42578125" bestFit="1" customWidth="1"/>
    <col min="37" max="37" width="34.5703125" bestFit="1" customWidth="1"/>
    <col min="38" max="38" width="18.855468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</cols>
  <sheetData>
    <row r="1" spans="1:48" x14ac:dyDescent="0.25">
      <c r="A1">
        <v>1</v>
      </c>
      <c r="B1">
        <f>A1+1</f>
        <v>2</v>
      </c>
      <c r="C1">
        <f t="shared" ref="C1:AV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si="0"/>
        <v>41</v>
      </c>
      <c r="AP1">
        <f t="shared" si="0"/>
        <v>42</v>
      </c>
      <c r="AQ1">
        <f t="shared" si="0"/>
        <v>43</v>
      </c>
      <c r="AR1">
        <f t="shared" si="0"/>
        <v>44</v>
      </c>
      <c r="AS1">
        <f t="shared" si="0"/>
        <v>45</v>
      </c>
      <c r="AT1">
        <f t="shared" si="0"/>
        <v>46</v>
      </c>
      <c r="AU1">
        <f t="shared" si="0"/>
        <v>47</v>
      </c>
      <c r="AV1">
        <f t="shared" si="0"/>
        <v>48</v>
      </c>
    </row>
    <row r="2" spans="1:48" x14ac:dyDescent="0.25">
      <c r="A2" s="1" t="s">
        <v>0</v>
      </c>
      <c r="B2" s="2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13</v>
      </c>
      <c r="N2" s="3" t="s">
        <v>14</v>
      </c>
      <c r="O2" s="4" t="s">
        <v>15</v>
      </c>
      <c r="P2" s="5" t="s">
        <v>74</v>
      </c>
      <c r="Q2" s="5" t="s">
        <v>75</v>
      </c>
      <c r="R2" s="5" t="s">
        <v>76</v>
      </c>
      <c r="S2" s="5" t="s">
        <v>77</v>
      </c>
      <c r="T2" s="5" t="s">
        <v>78</v>
      </c>
      <c r="U2" s="5" t="s">
        <v>79</v>
      </c>
      <c r="V2" s="5" t="s">
        <v>80</v>
      </c>
      <c r="W2" s="5" t="s">
        <v>81</v>
      </c>
      <c r="X2" s="5" t="s">
        <v>82</v>
      </c>
      <c r="Y2" s="5" t="s">
        <v>83</v>
      </c>
      <c r="Z2" s="5" t="s">
        <v>84</v>
      </c>
      <c r="AA2" s="5" t="s">
        <v>16</v>
      </c>
      <c r="AB2" s="5" t="s">
        <v>17</v>
      </c>
      <c r="AC2" s="5" t="s">
        <v>85</v>
      </c>
      <c r="AD2" s="5" t="s">
        <v>19</v>
      </c>
      <c r="AE2" s="5" t="s">
        <v>20</v>
      </c>
      <c r="AF2" s="5" t="s">
        <v>21</v>
      </c>
      <c r="AG2" s="5" t="s">
        <v>22</v>
      </c>
      <c r="AH2" s="5" t="s">
        <v>23</v>
      </c>
      <c r="AI2" s="5" t="s">
        <v>24</v>
      </c>
      <c r="AJ2" s="5" t="s">
        <v>25</v>
      </c>
      <c r="AK2" s="5" t="s">
        <v>26</v>
      </c>
      <c r="AL2" s="5" t="s">
        <v>86</v>
      </c>
      <c r="AM2" s="5" t="s">
        <v>28</v>
      </c>
      <c r="AN2" s="5" t="s">
        <v>29</v>
      </c>
      <c r="AO2" s="5" t="s">
        <v>30</v>
      </c>
      <c r="AP2" s="5" t="s">
        <v>87</v>
      </c>
      <c r="AQ2" s="5" t="s">
        <v>88</v>
      </c>
      <c r="AR2" s="5" t="s">
        <v>89</v>
      </c>
      <c r="AS2" s="5" t="s">
        <v>90</v>
      </c>
      <c r="AT2" s="5" t="s">
        <v>35</v>
      </c>
      <c r="AU2" s="5" t="s">
        <v>91</v>
      </c>
      <c r="AV2" s="5" t="s">
        <v>92</v>
      </c>
    </row>
    <row r="3" spans="1:48" x14ac:dyDescent="0.25">
      <c r="A3" s="6" t="s">
        <v>38</v>
      </c>
      <c r="B3" s="7" t="s">
        <v>1</v>
      </c>
      <c r="C3" s="8" t="s">
        <v>39</v>
      </c>
      <c r="D3" s="8" t="s">
        <v>40</v>
      </c>
      <c r="E3" s="8" t="s">
        <v>41</v>
      </c>
      <c r="F3" s="8" t="s">
        <v>42</v>
      </c>
      <c r="G3" s="8" t="s">
        <v>43</v>
      </c>
      <c r="H3" s="8" t="s">
        <v>7</v>
      </c>
      <c r="I3" s="8" t="s">
        <v>8</v>
      </c>
      <c r="J3" s="8" t="s">
        <v>44</v>
      </c>
      <c r="K3" s="8" t="s">
        <v>45</v>
      </c>
      <c r="L3" s="8" t="s">
        <v>46</v>
      </c>
      <c r="M3" s="8" t="s">
        <v>47</v>
      </c>
      <c r="N3" s="9" t="s">
        <v>48</v>
      </c>
      <c r="O3" s="10"/>
      <c r="P3" s="5" t="s">
        <v>49</v>
      </c>
      <c r="Q3" s="5" t="s">
        <v>50</v>
      </c>
      <c r="R3" s="5" t="s">
        <v>51</v>
      </c>
      <c r="S3" s="5" t="s">
        <v>52</v>
      </c>
      <c r="T3" s="5" t="s">
        <v>53</v>
      </c>
      <c r="U3" s="5" t="s">
        <v>54</v>
      </c>
      <c r="V3" s="5" t="s">
        <v>55</v>
      </c>
      <c r="W3" s="5" t="s">
        <v>56</v>
      </c>
      <c r="X3" s="5" t="s">
        <v>57</v>
      </c>
      <c r="Y3" s="5" t="s">
        <v>58</v>
      </c>
      <c r="Z3" s="5" t="s">
        <v>12</v>
      </c>
      <c r="AA3" s="5" t="s">
        <v>59</v>
      </c>
      <c r="AB3" s="5" t="s">
        <v>60</v>
      </c>
      <c r="AC3" s="5" t="s">
        <v>18</v>
      </c>
      <c r="AD3" s="5" t="s">
        <v>61</v>
      </c>
      <c r="AE3" s="5" t="s">
        <v>62</v>
      </c>
      <c r="AF3" s="5" t="s">
        <v>63</v>
      </c>
      <c r="AG3" s="5" t="s">
        <v>64</v>
      </c>
      <c r="AH3" s="5" t="s">
        <v>65</v>
      </c>
      <c r="AI3" s="5" t="s">
        <v>66</v>
      </c>
      <c r="AJ3" s="5" t="s">
        <v>67</v>
      </c>
      <c r="AK3" s="5" t="s">
        <v>68</v>
      </c>
      <c r="AL3" s="5" t="s">
        <v>27</v>
      </c>
      <c r="AM3" s="5" t="s">
        <v>69</v>
      </c>
      <c r="AN3" s="5" t="s">
        <v>70</v>
      </c>
      <c r="AO3" s="5" t="s">
        <v>71</v>
      </c>
      <c r="AP3" s="5" t="s">
        <v>31</v>
      </c>
      <c r="AQ3" s="5" t="s">
        <v>32</v>
      </c>
      <c r="AR3" s="5" t="s">
        <v>33</v>
      </c>
      <c r="AS3" s="5" t="s">
        <v>34</v>
      </c>
      <c r="AT3" s="5" t="s">
        <v>72</v>
      </c>
      <c r="AU3" s="5" t="s">
        <v>73</v>
      </c>
      <c r="AV3" s="5" t="s">
        <v>37</v>
      </c>
    </row>
  </sheetData>
  <dataValidations count="1">
    <dataValidation type="list" showInputMessage="1" error="Please select a valid value" promptTitle="select a value" sqref="O2:O3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2PTV Com Fidelidade</vt:lpstr>
      <vt:lpstr>2PTV Sem Fidelidade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2018-07-17T14:30:10Z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